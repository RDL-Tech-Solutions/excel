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78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'Monitoramento'!$A$1:$AK$41</definedName>
    <definedName name="_xlnm.Print_Area" localSheetId="2">'Consol Mensal'!$A$1:$AA$77</definedName>
    <definedName name="_xlnm.Print_Area" localSheetId="5">'Config'!$A$1:$T$97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41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i/>
      <sz val="9"/>
      <color rgb="FF7F7F7F"/>
      <name val="Calibri"/>
      <family val="2"/>
    </font>
    <font>
      <b/>
      <sz val="11"/>
      <color rgb="FF000000"/>
      <name val="Calibri"/>
      <family val="2"/>
    </font>
    <font>
      <b/>
      <sz val="8"/>
      <color rgb="FF7F7F7F"/>
      <name val="Calibri"/>
      <family val="2"/>
    </font>
    <font>
      <sz val="8"/>
      <color rgb="FF7F7F7F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/>
      <top/>
      <bottom style="dotted">
        <color rgb="FF7F7F7F"/>
      </bottom>
      <diagonal/>
    </border>
    <border>
      <left/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595959"/>
      </bottom>
      <diagonal/>
    </border>
    <border>
      <left/>
      <right/>
      <top style="medium">
        <color rgb="FF000000"/>
      </top>
      <bottom/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434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horizontal="left" vertical="center"/>
    </xf>
    <xf numFmtId="0" fontId="5" fillId="3" borderId="5" xfId="0" applyNumberFormat="1" applyFont="1" applyFill="1" applyBorder="1" applyAlignment="1">
      <alignment horizontal="left" vertical="center" indent="1"/>
    </xf>
    <xf numFmtId="3" fontId="6" fillId="8" borderId="5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left" vertical="center" indent="1"/>
    </xf>
    <xf numFmtId="0" fontId="5" fillId="5" borderId="5" xfId="0" applyNumberFormat="1" applyFont="1" applyFill="1" applyBorder="1" applyAlignment="1">
      <alignment horizontal="left" vertical="center" indent="1"/>
    </xf>
    <xf numFmtId="9" fontId="6" fillId="8" borderId="5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left" vertical="center" indent="1"/>
    </xf>
    <xf numFmtId="0" fontId="7" fillId="0" borderId="0" xfId="0" applyNumberFormat="1" applyFont="1" applyFill="1" applyBorder="1" applyAlignment="1">
      <alignment horizontal="left" vertical="center"/>
    </xf>
    <xf numFmtId="0" fontId="8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8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3" fontId="9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8" fillId="0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6" fontId="9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5" fillId="9" borderId="6" xfId="0" applyNumberFormat="1" applyFont="1" applyFill="1" applyBorder="1" applyAlignment="1">
      <alignment horizontal="left" vertical="center"/>
    </xf>
    <xf numFmtId="0" fontId="5" fillId="9" borderId="0" xfId="0" applyNumberFormat="1" applyFont="1" applyFill="1" applyBorder="1" applyAlignment="1">
      <alignment horizontal="left" vertical="center"/>
    </xf>
    <xf numFmtId="3" fontId="5" fillId="9" borderId="6" xfId="0" applyNumberFormat="1" applyFont="1" applyFill="1" applyBorder="1" applyAlignment="1">
      <alignment horizontal="center" vertical="center"/>
    </xf>
    <xf numFmtId="168" fontId="9" fillId="9" borderId="0" xfId="0" applyNumberFormat="1" applyFont="1" applyFill="1" applyBorder="1" applyAlignment="1">
      <alignment horizontal="center" vertical="center"/>
    </xf>
    <xf numFmtId="3" fontId="9" fillId="9" borderId="0" xfId="0" applyNumberFormat="1" applyFont="1" applyFill="1" applyBorder="1" applyAlignment="1">
      <alignment horizontal="center" vertical="center"/>
    </xf>
    <xf numFmtId="167" fontId="9" fillId="9" borderId="0" xfId="0" applyNumberFormat="1" applyFont="1" applyFill="1" applyBorder="1" applyAlignment="1">
      <alignment horizontal="center" vertical="center"/>
    </xf>
    <xf numFmtId="9" fontId="9" fillId="9" borderId="0" xfId="0" applyNumberFormat="1" applyFont="1" applyFill="1" applyBorder="1" applyAlignment="1">
      <alignment horizontal="center" vertical="center"/>
    </xf>
    <xf numFmtId="0" fontId="9" fillId="9" borderId="0" xfId="0" applyNumberFormat="1" applyFont="1" applyFill="1" applyBorder="1" applyAlignment="1">
      <alignment horizontal="center" vertical="center"/>
    </xf>
    <xf numFmtId="168" fontId="5" fillId="9" borderId="6" xfId="0" applyNumberFormat="1" applyFont="1" applyFill="1" applyBorder="1" applyAlignment="1">
      <alignment horizontal="center" vertical="center"/>
    </xf>
    <xf numFmtId="167" fontId="5" fillId="9" borderId="6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168" fontId="5" fillId="0" borderId="0" xfId="0" applyNumberFormat="1" applyFont="1" applyFill="1" applyBorder="1" applyAlignment="1">
      <alignment horizontal="center" vertical="center"/>
    </xf>
    <xf numFmtId="9" fontId="5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0" fontId="14" fillId="7" borderId="7" xfId="0" applyNumberFormat="1" applyFont="1" applyFill="1" applyBorder="1" applyAlignment="1">
      <alignment horizontal="left" vertical="center" indent="1"/>
    </xf>
    <xf numFmtId="0" fontId="14" fillId="7" borderId="8" xfId="0" applyNumberFormat="1" applyFont="1" applyFill="1" applyBorder="1" applyAlignment="1">
      <alignment horizontal="left" vertical="center" indent="1"/>
    </xf>
    <xf numFmtId="0" fontId="14" fillId="7" borderId="9" xfId="0" applyNumberFormat="1" applyFont="1" applyFill="1" applyBorder="1" applyAlignment="1">
      <alignment horizontal="left" vertical="center" indent="1"/>
    </xf>
    <xf numFmtId="0" fontId="15" fillId="8" borderId="0" xfId="0" applyNumberFormat="1" applyFont="1" applyFill="1" applyBorder="1" applyAlignment="1">
      <alignment horizontal="left" vertical="center" wrapText="1" indent="1"/>
    </xf>
    <xf numFmtId="0" fontId="16" fillId="10" borderId="0" xfId="0" applyNumberFormat="1" applyFont="1" applyFill="1" applyBorder="1" applyAlignment="1">
      <alignment horizontal="left" vertical="center" wrapText="1" indent="1"/>
    </xf>
    <xf numFmtId="0" fontId="17" fillId="0" borderId="0" xfId="0" applyNumberFormat="1" applyFont="1" applyFill="1" applyBorder="1" applyAlignment="1">
      <alignment horizontal="left" vertical="center"/>
    </xf>
    <xf numFmtId="0" fontId="2" fillId="11" borderId="0" xfId="0" applyNumberFormat="1" applyFont="1" applyFill="1" applyBorder="1" applyAlignment="1">
      <alignment horizontal="center" vertical="center" wrapText="1"/>
    </xf>
    <xf numFmtId="0" fontId="18" fillId="8" borderId="5" xfId="0" applyNumberFormat="1" applyFont="1" applyFill="1" applyBorder="1" applyAlignment="1">
      <alignment horizontal="left" vertical="center"/>
    </xf>
    <xf numFmtId="0" fontId="18" fillId="8" borderId="5" xfId="0" applyNumberFormat="1" applyFont="1" applyFill="1" applyBorder="1" applyAlignment="1">
      <alignment horizontal="center" vertical="center"/>
    </xf>
    <xf numFmtId="0" fontId="19" fillId="0" borderId="0" xfId="0" applyNumberFormat="1" applyFont="1" applyFill="1" applyBorder="1" applyAlignment="1">
      <alignment horizontal="center" vertical="center"/>
    </xf>
    <xf numFmtId="0" fontId="20" fillId="12" borderId="0" xfId="0" applyNumberFormat="1" applyFont="1" applyFill="1" applyBorder="1" applyAlignment="1">
      <alignment horizontal="left" vertical="center" indent="1"/>
    </xf>
    <xf numFmtId="0" fontId="21" fillId="9" borderId="5" xfId="0" applyNumberFormat="1" applyFont="1" applyFill="1" applyBorder="1" applyAlignment="1">
      <alignment horizontal="center" vertical="center"/>
    </xf>
    <xf numFmtId="0" fontId="21" fillId="9" borderId="5" xfId="0" applyNumberFormat="1" applyFont="1" applyFill="1" applyBorder="1" applyAlignment="1">
      <alignment horizontal="left" vertical="center"/>
    </xf>
    <xf numFmtId="0" fontId="22" fillId="8" borderId="5" xfId="0" applyNumberFormat="1" applyFont="1" applyFill="1" applyBorder="1" applyAlignment="1">
      <alignment horizontal="left" vertical="center"/>
    </xf>
    <xf numFmtId="0" fontId="23" fillId="3" borderId="0" xfId="0" applyNumberFormat="1" applyFont="1" applyFill="1" applyBorder="1" applyAlignment="1">
      <alignment horizontal="center" vertical="center" wrapText="1"/>
    </xf>
    <xf numFmtId="0" fontId="23" fillId="4" borderId="0" xfId="0" applyNumberFormat="1" applyFont="1" applyFill="1" applyBorder="1" applyAlignment="1">
      <alignment horizontal="center" vertical="center" wrapText="1"/>
    </xf>
    <xf numFmtId="0" fontId="23" fillId="5" borderId="0" xfId="0" applyNumberFormat="1" applyFont="1" applyFill="1" applyBorder="1" applyAlignment="1">
      <alignment horizontal="center" vertical="center" wrapText="1"/>
    </xf>
    <xf numFmtId="0" fontId="23" fillId="6" borderId="0" xfId="0" applyNumberFormat="1" applyFont="1" applyFill="1" applyBorder="1" applyAlignment="1">
      <alignment horizontal="center" vertical="center" wrapTex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0" fontId="21" fillId="9" borderId="10" xfId="0" applyNumberFormat="1" applyFont="1" applyFill="1" applyBorder="1" applyAlignment="1">
      <alignment horizontal="left" vertical="center"/>
    </xf>
    <xf numFmtId="0" fontId="21" fillId="9" borderId="11" xfId="0" applyNumberFormat="1" applyFont="1" applyFill="1" applyBorder="1" applyAlignment="1">
      <alignment horizontal="left" vertical="center"/>
    </xf>
    <xf numFmtId="0" fontId="21" fillId="9" borderId="12" xfId="0" applyNumberFormat="1" applyFont="1" applyFill="1" applyBorder="1" applyAlignment="1">
      <alignment horizontal="left" vertical="center"/>
    </xf>
    <xf numFmtId="0" fontId="18" fillId="8" borderId="10" xfId="0" applyNumberFormat="1" applyFont="1" applyFill="1" applyBorder="1" applyAlignment="1">
      <alignment horizontal="left" vertical="center"/>
    </xf>
    <xf numFmtId="0" fontId="18" fillId="8" borderId="11" xfId="0" applyNumberFormat="1" applyFont="1" applyFill="1" applyBorder="1" applyAlignment="1">
      <alignment horizontal="left" vertical="center"/>
    </xf>
    <xf numFmtId="0" fontId="18" fillId="8" borderId="12" xfId="0" applyNumberFormat="1" applyFont="1" applyFill="1" applyBorder="1" applyAlignment="1">
      <alignment horizontal="left" vertical="center"/>
    </xf>
    <xf numFmtId="3" fontId="18" fillId="8" borderId="5" xfId="0" applyNumberFormat="1" applyFont="1" applyFill="1" applyBorder="1" applyAlignment="1">
      <alignment horizontal="right" vertical="center"/>
    </xf>
    <xf numFmtId="9" fontId="18" fillId="8" borderId="5" xfId="0" applyNumberFormat="1" applyFont="1" applyFill="1" applyBorder="1" applyAlignment="1">
      <alignment horizontal="right" vertical="center"/>
    </xf>
    <xf numFmtId="1" fontId="13" fillId="0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left" vertical="center"/>
    </xf>
    <xf numFmtId="0" fontId="0" fillId="13" borderId="13" xfId="0" applyNumberFormat="1" applyFont="1" applyFill="1" applyBorder="1" applyAlignment="1">
      <alignment horizontal="center" vertical="center"/>
    </xf>
    <xf numFmtId="0" fontId="0" fillId="12" borderId="13" xfId="0" applyNumberFormat="1" applyFont="1" applyFill="1" applyBorder="1" applyAlignment="1">
      <alignment horizontal="center" vertical="center"/>
    </xf>
    <xf numFmtId="0" fontId="24" fillId="12" borderId="13" xfId="0" applyNumberFormat="1" applyFont="1" applyFill="1" applyBorder="1" applyAlignment="1">
      <alignment horizontal="center" vertical="center"/>
    </xf>
    <xf numFmtId="0" fontId="25" fillId="0" borderId="0" xfId="0" applyNumberFormat="1" applyFont="1" applyFill="1" applyBorder="1" applyAlignment="1">
      <alignment horizontal="right" vertical="center" indent="1"/>
    </xf>
    <xf numFmtId="0" fontId="26" fillId="8" borderId="14" xfId="0" applyNumberFormat="1" applyFont="1" applyFill="1" applyBorder="1" applyAlignment="1" applyProtection="1">
      <alignment horizontal="center" vertical="center"/>
      <protection locked="0"/>
    </xf>
    <xf numFmtId="0" fontId="26" fillId="8" borderId="15" xfId="0" applyNumberFormat="1" applyFont="1" applyFill="1" applyBorder="1" applyAlignment="1" applyProtection="1">
      <alignment horizontal="center" vertical="center"/>
      <protection locked="0"/>
    </xf>
    <xf numFmtId="0" fontId="26" fillId="8" borderId="16" xfId="0" applyNumberFormat="1" applyFont="1" applyFill="1" applyBorder="1" applyAlignment="1" applyProtection="1">
      <alignment horizontal="center" vertical="center"/>
      <protection locked="0"/>
    </xf>
    <xf numFmtId="164" fontId="27" fillId="8" borderId="14" xfId="0" applyNumberFormat="1" applyFont="1" applyFill="1" applyBorder="1" applyAlignment="1" applyProtection="1">
      <alignment horizontal="center" vertical="center"/>
      <protection locked="0"/>
    </xf>
    <xf numFmtId="164" fontId="27" fillId="8" borderId="15" xfId="0" applyNumberFormat="1" applyFont="1" applyFill="1" applyBorder="1" applyAlignment="1" applyProtection="1">
      <alignment horizontal="center" vertical="center"/>
      <protection locked="0"/>
    </xf>
    <xf numFmtId="164" fontId="27" fillId="8" borderId="16" xfId="0" applyNumberFormat="1" applyFont="1" applyFill="1" applyBorder="1" applyAlignment="1" applyProtection="1">
      <alignment horizontal="center" vertical="center"/>
      <protection locked="0"/>
    </xf>
    <xf numFmtId="0" fontId="28" fillId="0" borderId="0" xfId="0" applyNumberFormat="1" applyFont="1" applyFill="1" applyBorder="1" applyAlignment="1">
      <alignment horizontal="center" vertical="center"/>
    </xf>
    <xf numFmtId="0" fontId="29" fillId="0" borderId="0" xfId="0" applyNumberFormat="1" applyFont="1" applyFill="1" applyBorder="1" applyAlignment="1">
      <alignment horizontal="right" vertical="center"/>
    </xf>
    <xf numFmtId="0" fontId="0" fillId="14" borderId="17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18" xfId="0" applyNumberFormat="1" applyFont="1" applyFill="1" applyBorder="1" applyAlignment="1">
      <alignment horizontal="center" vertical="center"/>
    </xf>
    <xf numFmtId="0" fontId="0" fillId="14" borderId="19" xfId="0" applyNumberFormat="1" applyFont="1" applyFill="1" applyBorder="1" applyAlignment="1">
      <alignment horizontal="center" vertical="center"/>
    </xf>
    <xf numFmtId="0" fontId="0" fillId="14" borderId="20" xfId="0" applyNumberFormat="1" applyFont="1" applyFill="1" applyBorder="1" applyAlignment="1">
      <alignment horizontal="center" vertical="center"/>
    </xf>
    <xf numFmtId="0" fontId="0" fillId="14" borderId="21" xfId="0" applyNumberFormat="1" applyFont="1" applyFill="1" applyBorder="1" applyAlignment="1">
      <alignment horizontal="center" vertical="center"/>
    </xf>
    <xf numFmtId="0" fontId="0" fillId="3" borderId="22" xfId="0" applyNumberFormat="1" applyFont="1" applyFill="1" applyBorder="1" applyAlignment="1">
      <alignment horizontal="center" vertical="center"/>
    </xf>
    <xf numFmtId="0" fontId="30" fillId="3" borderId="22" xfId="0" applyNumberFormat="1" applyFont="1" applyFill="1" applyBorder="1" applyAlignment="1">
      <alignment horizontal="center" vertical="center" wrapText="1"/>
    </xf>
    <xf numFmtId="3" fontId="31" fillId="14" borderId="0" xfId="0" applyNumberFormat="1" applyFont="1" applyFill="1" applyBorder="1" applyAlignment="1">
      <alignment horizontal="center" vertical="center"/>
    </xf>
    <xf numFmtId="0" fontId="32" fillId="14" borderId="0" xfId="0" applyNumberFormat="1" applyFont="1" applyFill="1" applyBorder="1" applyAlignment="1">
      <alignment horizontal="center" vertical="center"/>
    </xf>
    <xf numFmtId="0" fontId="33" fillId="14" borderId="0" xfId="0" applyNumberFormat="1" applyFont="1" applyFill="1" applyBorder="1" applyAlignment="1">
      <alignment horizontal="center" vertical="center" wrapText="1"/>
    </xf>
    <xf numFmtId="169" fontId="34" fillId="14" borderId="20" xfId="0" applyNumberFormat="1" applyFont="1" applyFill="1" applyBorder="1" applyAlignment="1">
      <alignment horizontal="center" vertical="center"/>
    </xf>
    <xf numFmtId="0" fontId="0" fillId="4" borderId="22" xfId="0" applyNumberFormat="1" applyFont="1" applyFill="1" applyBorder="1" applyAlignment="1">
      <alignment horizontal="center" vertical="center"/>
    </xf>
    <xf numFmtId="0" fontId="30" fillId="4" borderId="22" xfId="0" applyNumberFormat="1" applyFont="1" applyFill="1" applyBorder="1" applyAlignment="1">
      <alignment horizontal="center" vertical="center" wrapText="1"/>
    </xf>
    <xf numFmtId="0" fontId="0" fillId="5" borderId="22" xfId="0" applyNumberFormat="1" applyFont="1" applyFill="1" applyBorder="1" applyAlignment="1">
      <alignment horizontal="center" vertical="center"/>
    </xf>
    <xf numFmtId="0" fontId="30" fillId="5" borderId="22" xfId="0" applyNumberFormat="1" applyFont="1" applyFill="1" applyBorder="1" applyAlignment="1">
      <alignment horizontal="center" vertical="center" wrapText="1"/>
    </xf>
    <xf numFmtId="0" fontId="35" fillId="14" borderId="23" xfId="0" applyNumberFormat="1" applyFont="1" applyFill="1" applyBorder="1" applyAlignment="1">
      <alignment horizontal="left" vertical="center" indent="1"/>
    </xf>
    <xf numFmtId="3" fontId="30" fillId="14" borderId="23" xfId="0" applyNumberFormat="1" applyFont="1" applyFill="1" applyBorder="1" applyAlignment="1">
      <alignment horizontal="right" vertical="center" indent="1"/>
    </xf>
    <xf numFmtId="0" fontId="35" fillId="14" borderId="0" xfId="0" applyNumberFormat="1" applyFont="1" applyFill="1" applyBorder="1" applyAlignment="1">
      <alignment horizontal="left" vertical="center" indent="1"/>
    </xf>
    <xf numFmtId="3" fontId="30" fillId="14" borderId="0" xfId="0" applyNumberFormat="1" applyFont="1" applyFill="1" applyBorder="1" applyAlignment="1">
      <alignment horizontal="right" vertical="center" indent="1"/>
    </xf>
    <xf numFmtId="170" fontId="30" fillId="14" borderId="23" xfId="0" applyNumberFormat="1" applyFont="1" applyFill="1" applyBorder="1" applyAlignment="1">
      <alignment horizontal="right" vertical="center" indent="1"/>
    </xf>
    <xf numFmtId="167" fontId="30" fillId="14" borderId="23" xfId="0" applyNumberFormat="1" applyFont="1" applyFill="1" applyBorder="1" applyAlignment="1">
      <alignment horizontal="right" vertical="center" indent="1"/>
    </xf>
    <xf numFmtId="171" fontId="30" fillId="14" borderId="23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center" vertical="center" wrapText="1"/>
    </xf>
    <xf numFmtId="0" fontId="0" fillId="6" borderId="22" xfId="0" applyNumberFormat="1" applyFont="1" applyFill="1" applyBorder="1" applyAlignment="1">
      <alignment horizontal="center" vertical="center"/>
    </xf>
    <xf numFmtId="0" fontId="30" fillId="6" borderId="22" xfId="0" applyNumberFormat="1" applyFont="1" applyFill="1" applyBorder="1" applyAlignment="1">
      <alignment horizontal="center" vertical="center" wrapText="1"/>
    </xf>
    <xf numFmtId="0" fontId="30" fillId="14" borderId="0" xfId="0" applyNumberFormat="1" applyFont="1" applyFill="1" applyBorder="1" applyAlignment="1">
      <alignment horizontal="right" vertical="center" indent="1"/>
    </xf>
    <xf numFmtId="0" fontId="36" fillId="0" borderId="0" xfId="0" applyNumberFormat="1" applyFont="1" applyFill="1" applyBorder="1" applyAlignment="1">
      <alignment horizontal="left" vertical="center"/>
    </xf>
    <xf numFmtId="0" fontId="14" fillId="12" borderId="13" xfId="0" applyNumberFormat="1" applyFont="1" applyFill="1" applyBorder="1" applyAlignment="1">
      <alignment horizontal="center" vertical="center"/>
    </xf>
    <xf numFmtId="0" fontId="14" fillId="12" borderId="13" xfId="0" applyNumberFormat="1" applyFont="1" applyFill="1" applyBorder="1" applyAlignment="1" applyProtection="1">
      <alignment horizontal="right" vertical="center" indent="1"/>
      <protection locked="0"/>
    </xf>
    <xf numFmtId="0" fontId="27" fillId="8" borderId="14" xfId="0" applyNumberFormat="1" applyFont="1" applyFill="1" applyBorder="1" applyAlignment="1" applyProtection="1">
      <alignment horizontal="center" vertical="center"/>
      <protection locked="0"/>
    </xf>
    <xf numFmtId="0" fontId="27" fillId="8" borderId="16" xfId="0" applyNumberFormat="1" applyFont="1" applyFill="1" applyBorder="1" applyAlignment="1" applyProtection="1">
      <alignment horizontal="center" vertical="center"/>
      <protection locked="0"/>
    </xf>
    <xf numFmtId="0" fontId="37" fillId="0" borderId="0" xfId="0" applyNumberFormat="1" applyFont="1" applyFill="1" applyBorder="1" applyAlignment="1">
      <alignment horizontal="left" vertical="center" indent="1"/>
    </xf>
    <xf numFmtId="0" fontId="8" fillId="0" borderId="24" xfId="0" applyNumberFormat="1" applyFont="1" applyFill="1" applyBorder="1" applyAlignment="1">
      <alignment horizontal="center" vertical="center"/>
    </xf>
    <xf numFmtId="0" fontId="8" fillId="0" borderId="25" xfId="0" applyNumberFormat="1" applyFont="1" applyFill="1" applyBorder="1" applyAlignment="1">
      <alignment horizontal="center" vertical="center"/>
    </xf>
    <xf numFmtId="0" fontId="8" fillId="2" borderId="26" xfId="0" applyNumberFormat="1" applyFont="1" applyFill="1" applyBorder="1" applyAlignment="1">
      <alignment horizontal="center" vertical="center"/>
    </xf>
    <xf numFmtId="0" fontId="8" fillId="2" borderId="27" xfId="0" applyNumberFormat="1" applyFont="1" applyFill="1" applyBorder="1" applyAlignment="1">
      <alignment horizontal="center" vertical="center"/>
    </xf>
    <xf numFmtId="0" fontId="8" fillId="2" borderId="28" xfId="0" applyNumberFormat="1" applyFont="1" applyFill="1" applyBorder="1" applyAlignment="1">
      <alignment horizontal="center" vertical="center"/>
    </xf>
    <xf numFmtId="0" fontId="8" fillId="2" borderId="29" xfId="0" applyNumberFormat="1" applyFont="1" applyFill="1" applyBorder="1" applyAlignment="1">
      <alignment horizontal="center" vertical="center"/>
    </xf>
    <xf numFmtId="0" fontId="8" fillId="2" borderId="24" xfId="0" applyNumberFormat="1" applyFont="1" applyFill="1" applyBorder="1" applyAlignment="1">
      <alignment horizontal="center" vertical="center"/>
    </xf>
    <xf numFmtId="0" fontId="8" fillId="2" borderId="25" xfId="0" applyNumberFormat="1" applyFont="1" applyFill="1" applyBorder="1" applyAlignment="1">
      <alignment horizontal="center" vertical="center"/>
    </xf>
    <xf numFmtId="0" fontId="38" fillId="15" borderId="7" xfId="0" applyNumberFormat="1" applyFont="1" applyFill="1" applyBorder="1" applyAlignment="1">
      <alignment horizontal="center" vertical="center"/>
    </xf>
    <xf numFmtId="0" fontId="38" fillId="15" borderId="8" xfId="0" applyNumberFormat="1" applyFont="1" applyFill="1" applyBorder="1" applyAlignment="1">
      <alignment horizontal="center" vertical="center"/>
    </xf>
    <xf numFmtId="0" fontId="38" fillId="15" borderId="9" xfId="0" applyNumberFormat="1" applyFont="1" applyFill="1" applyBorder="1" applyAlignment="1">
      <alignment horizontal="center" vertical="center"/>
    </xf>
    <xf numFmtId="0" fontId="8" fillId="15" borderId="24" xfId="0" applyNumberFormat="1" applyFont="1" applyFill="1" applyBorder="1" applyAlignment="1">
      <alignment horizontal="center" vertical="center"/>
    </xf>
    <xf numFmtId="0" fontId="8" fillId="15" borderId="25" xfId="0" applyNumberFormat="1" applyFont="1" applyFill="1" applyBorder="1" applyAlignment="1">
      <alignment horizontal="center" vertical="center"/>
    </xf>
    <xf numFmtId="172" fontId="0" fillId="16" borderId="30" xfId="0" applyNumberFormat="1" applyFont="1" applyFill="1" applyBorder="1" applyAlignment="1">
      <alignment horizontal="center" vertical="center"/>
    </xf>
    <xf numFmtId="172" fontId="0" fillId="16" borderId="31" xfId="0" applyNumberFormat="1" applyFont="1" applyFill="1" applyBorder="1" applyAlignment="1">
      <alignment horizontal="center" vertical="center"/>
    </xf>
    <xf numFmtId="172" fontId="0" fillId="16" borderId="32" xfId="0" applyNumberFormat="1" applyFont="1" applyFill="1" applyBorder="1" applyAlignment="1">
      <alignment horizontal="center" vertical="center"/>
    </xf>
    <xf numFmtId="0" fontId="39" fillId="0" borderId="0" xfId="0" applyNumberFormat="1" applyFont="1" applyFill="1" applyBorder="1" applyAlignment="1">
      <alignment horizontal="center" vertical="center"/>
    </xf>
    <xf numFmtId="0" fontId="40" fillId="0" borderId="0" xfId="0" applyNumberFormat="1" applyFont="1" applyFill="1" applyBorder="1" applyAlignment="1">
      <alignment horizontal="center" vertical="center"/>
    </xf>
    <xf numFmtId="0" fontId="5" fillId="0" borderId="33" xfId="0" applyNumberFormat="1" applyFont="1" applyFill="1" applyBorder="1" applyAlignment="1">
      <alignment horizontal="center" vertical="center"/>
    </xf>
    <xf numFmtId="0" fontId="8" fillId="0" borderId="34" xfId="0" applyNumberFormat="1" applyFont="1" applyFill="1" applyBorder="1" applyAlignment="1">
      <alignment horizontal="left" vertical="center"/>
    </xf>
    <xf numFmtId="3" fontId="8" fillId="0" borderId="35" xfId="0" applyNumberFormat="1" applyFont="1" applyFill="1" applyBorder="1" applyAlignment="1">
      <alignment horizontal="center" vertical="center"/>
    </xf>
    <xf numFmtId="0" fontId="0" fillId="0" borderId="33" xfId="0" applyNumberFormat="1" applyFont="1" applyFill="1" applyBorder="1" applyAlignment="1">
      <alignment horizontal="center" vertical="center"/>
    </xf>
    <xf numFmtId="3" fontId="0" fillId="0" borderId="36" xfId="0" applyNumberFormat="1" applyFont="1" applyFill="1" applyBorder="1" applyAlignment="1">
      <alignment horizontal="center" vertical="center"/>
    </xf>
    <xf numFmtId="3" fontId="0" fillId="0" borderId="37" xfId="0" applyNumberFormat="1" applyFont="1" applyFill="1" applyBorder="1" applyAlignment="1">
      <alignment horizontal="center" vertical="center"/>
    </xf>
    <xf numFmtId="3" fontId="0" fillId="0" borderId="38" xfId="0" applyNumberFormat="1" applyFont="1" applyFill="1" applyBorder="1" applyAlignment="1">
      <alignment horizontal="center" vertical="center"/>
    </xf>
    <xf numFmtId="0" fontId="5" fillId="0" borderId="39" xfId="0" applyNumberFormat="1" applyFont="1" applyFill="1" applyBorder="1" applyAlignment="1">
      <alignment horizontal="center" vertical="center"/>
    </xf>
    <xf numFmtId="0" fontId="8" fillId="0" borderId="40" xfId="0" applyNumberFormat="1" applyFont="1" applyFill="1" applyBorder="1" applyAlignment="1">
      <alignment horizontal="left" vertical="center"/>
    </xf>
    <xf numFmtId="3" fontId="8" fillId="0" borderId="41" xfId="0" applyNumberFormat="1" applyFont="1" applyFill="1" applyBorder="1" applyAlignment="1">
      <alignment horizontal="center" vertical="center"/>
    </xf>
    <xf numFmtId="0" fontId="0" fillId="0" borderId="39" xfId="0" applyNumberFormat="1" applyFont="1" applyFill="1" applyBorder="1" applyAlignment="1">
      <alignment horizontal="center" vertical="center"/>
    </xf>
    <xf numFmtId="3" fontId="0" fillId="0" borderId="42" xfId="0" applyNumberFormat="1" applyFont="1" applyFill="1" applyBorder="1" applyAlignment="1">
      <alignment horizontal="center" vertical="center"/>
    </xf>
    <xf numFmtId="3" fontId="0" fillId="0" borderId="43" xfId="0" applyNumberFormat="1" applyFont="1" applyFill="1" applyBorder="1" applyAlignment="1">
      <alignment horizontal="center" vertical="center"/>
    </xf>
    <xf numFmtId="3" fontId="0" fillId="0" borderId="44" xfId="0" applyNumberFormat="1" applyFont="1" applyFill="1" applyBorder="1" applyAlignment="1">
      <alignment horizontal="center" vertical="center"/>
    </xf>
    <xf numFmtId="0" fontId="5" fillId="0" borderId="13" xfId="0" applyNumberFormat="1" applyFont="1" applyFill="1" applyBorder="1" applyAlignment="1">
      <alignment horizontal="center" vertical="center"/>
    </xf>
    <xf numFmtId="0" fontId="8" fillId="0" borderId="29" xfId="0" applyNumberFormat="1" applyFont="1" applyFill="1" applyBorder="1" applyAlignment="1">
      <alignment horizontal="left" vertical="center"/>
    </xf>
    <xf numFmtId="3" fontId="8" fillId="0" borderId="25" xfId="0" applyNumberFormat="1" applyFont="1" applyFill="1" applyBorder="1" applyAlignment="1">
      <alignment horizontal="center" vertical="center"/>
    </xf>
    <xf numFmtId="0" fontId="0" fillId="0" borderId="13" xfId="0" applyNumberFormat="1" applyFont="1" applyFill="1" applyBorder="1" applyAlignment="1">
      <alignment horizontal="center" vertical="center"/>
    </xf>
    <xf numFmtId="3" fontId="0" fillId="0" borderId="45" xfId="0" applyNumberFormat="1" applyFont="1" applyFill="1" applyBorder="1" applyAlignment="1">
      <alignment horizontal="center" vertical="center"/>
    </xf>
    <xf numFmtId="3" fontId="0" fillId="0" borderId="46" xfId="0" applyNumberFormat="1" applyFont="1" applyFill="1" applyBorder="1" applyAlignment="1">
      <alignment horizontal="center" vertical="center"/>
    </xf>
    <xf numFmtId="3" fontId="0" fillId="0" borderId="47" xfId="0" applyNumberFormat="1" applyFont="1" applyFill="1" applyBorder="1" applyAlignment="1">
      <alignment horizontal="center" vertical="center"/>
    </xf>
    <xf numFmtId="0" fontId="8" fillId="0" borderId="48" xfId="0" applyNumberFormat="1" applyFont="1" applyFill="1" applyBorder="1" applyAlignment="1">
      <alignment horizontal="center" vertical="center" wrapText="1"/>
    </xf>
    <xf numFmtId="0" fontId="32" fillId="0" borderId="0" xfId="0" applyNumberFormat="1" applyFont="1" applyFill="1" applyBorder="1" applyAlignment="1">
      <alignment horizontal="right" vertical="center"/>
    </xf>
    <xf numFmtId="0" fontId="30" fillId="0" borderId="49" xfId="0" applyNumberFormat="1" applyFont="1" applyFill="1" applyBorder="1" applyAlignment="1">
      <alignment horizontal="left" vertical="center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8" xfId="0" applyNumberFormat="1" applyFont="1" applyFill="1" applyBorder="1" applyAlignment="1">
      <alignment horizontal="center" vertical="center" wrapText="1"/>
    </xf>
    <xf numFmtId="0" fontId="8" fillId="15" borderId="7" xfId="0" applyNumberFormat="1" applyFont="1" applyFill="1" applyBorder="1" applyAlignment="1">
      <alignment horizontal="center" vertical="center" wrapText="1"/>
    </xf>
    <xf numFmtId="0" fontId="8" fillId="15" borderId="9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8" fillId="3" borderId="50" xfId="0" applyNumberFormat="1" applyFont="1" applyFill="1" applyBorder="1" applyAlignment="1">
      <alignment horizontal="left" vertical="center" indent="1"/>
    </xf>
    <xf numFmtId="0" fontId="8" fillId="3" borderId="51" xfId="0" applyNumberFormat="1" applyFont="1" applyFill="1" applyBorder="1" applyAlignment="1">
      <alignment horizontal="left" vertical="center" indent="1"/>
    </xf>
    <xf numFmtId="3" fontId="8" fillId="3" borderId="50" xfId="0" applyNumberFormat="1" applyFont="1" applyFill="1" applyBorder="1" applyAlignment="1">
      <alignment horizontal="center" vertical="center"/>
    </xf>
    <xf numFmtId="3" fontId="8" fillId="3" borderId="51" xfId="0" applyNumberFormat="1" applyFont="1" applyFill="1" applyBorder="1" applyAlignment="1">
      <alignment horizontal="center" vertical="center"/>
    </xf>
    <xf numFmtId="3" fontId="38" fillId="3" borderId="50" xfId="0" applyNumberFormat="1" applyFont="1" applyFill="1" applyBorder="1" applyAlignment="1">
      <alignment horizontal="center" vertical="center"/>
    </xf>
    <xf numFmtId="3" fontId="38" fillId="3" borderId="51" xfId="0" applyNumberFormat="1" applyFont="1" applyFill="1" applyBorder="1" applyAlignment="1">
      <alignment horizontal="center" vertical="center"/>
    </xf>
    <xf numFmtId="168" fontId="0" fillId="3" borderId="50" xfId="0" applyNumberFormat="1" applyFont="1" applyFill="1" applyBorder="1" applyAlignment="1">
      <alignment horizontal="center" vertical="center"/>
    </xf>
    <xf numFmtId="168" fontId="0" fillId="3" borderId="51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174" fontId="8" fillId="3" borderId="50" xfId="0" applyNumberFormat="1" applyFont="1" applyFill="1" applyBorder="1" applyAlignment="1">
      <alignment horizontal="center" vertical="center"/>
    </xf>
    <xf numFmtId="174" fontId="8" fillId="3" borderId="51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9" fontId="0" fillId="3" borderId="51" xfId="0" applyNumberFormat="1" applyFont="1" applyFill="1" applyBorder="1" applyAlignment="1">
      <alignment horizontal="center" vertical="center"/>
    </xf>
    <xf numFmtId="0" fontId="5" fillId="3" borderId="50" xfId="0" applyNumberFormat="1" applyFont="1" applyFill="1" applyBorder="1" applyAlignment="1">
      <alignment horizontal="center" vertical="center"/>
    </xf>
    <xf numFmtId="0" fontId="5" fillId="3" borderId="51" xfId="0" applyNumberFormat="1" applyFont="1" applyFill="1" applyBorder="1" applyAlignment="1">
      <alignment horizontal="center" vertical="center"/>
    </xf>
    <xf numFmtId="0" fontId="5" fillId="3" borderId="27" xfId="0" applyNumberFormat="1" applyFont="1" applyFill="1" applyBorder="1" applyAlignment="1">
      <alignment horizontal="center" vertical="center"/>
    </xf>
    <xf numFmtId="0" fontId="8" fillId="3" borderId="52" xfId="0" applyNumberFormat="1" applyFont="1" applyFill="1" applyBorder="1" applyAlignment="1">
      <alignment horizontal="left" vertical="center" indent="1"/>
    </xf>
    <xf numFmtId="0" fontId="8" fillId="3" borderId="53" xfId="0" applyNumberFormat="1" applyFont="1" applyFill="1" applyBorder="1" applyAlignment="1">
      <alignment horizontal="left" vertical="center" indent="1"/>
    </xf>
    <xf numFmtId="3" fontId="8" fillId="3" borderId="52" xfId="0" applyNumberFormat="1" applyFont="1" applyFill="1" applyBorder="1" applyAlignment="1">
      <alignment horizontal="center" vertical="center"/>
    </xf>
    <xf numFmtId="3" fontId="8" fillId="3" borderId="53" xfId="0" applyNumberFormat="1" applyFont="1" applyFill="1" applyBorder="1" applyAlignment="1">
      <alignment horizontal="center" vertical="center"/>
    </xf>
    <xf numFmtId="3" fontId="38" fillId="3" borderId="52" xfId="0" applyNumberFormat="1" applyFont="1" applyFill="1" applyBorder="1" applyAlignment="1">
      <alignment horizontal="center" vertical="center"/>
    </xf>
    <xf numFmtId="3" fontId="38" fillId="3" borderId="53" xfId="0" applyNumberFormat="1" applyFont="1" applyFill="1" applyBorder="1" applyAlignment="1">
      <alignment horizontal="center" vertical="center"/>
    </xf>
    <xf numFmtId="168" fontId="0" fillId="3" borderId="52" xfId="0" applyNumberFormat="1" applyFont="1" applyFill="1" applyBorder="1" applyAlignment="1">
      <alignment horizontal="center" vertical="center"/>
    </xf>
    <xf numFmtId="168" fontId="0" fillId="3" borderId="53" xfId="0" applyNumberFormat="1" applyFont="1" applyFill="1" applyBorder="1" applyAlignment="1">
      <alignment horizontal="center" vertical="center"/>
    </xf>
    <xf numFmtId="3" fontId="0" fillId="3" borderId="52" xfId="0" applyNumberFormat="1" applyFont="1" applyFill="1" applyBorder="1" applyAlignment="1">
      <alignment horizontal="center" vertical="center"/>
    </xf>
    <xf numFmtId="3" fontId="0" fillId="3" borderId="53" xfId="0" applyNumberFormat="1" applyFont="1" applyFill="1" applyBorder="1" applyAlignment="1">
      <alignment horizontal="center" vertical="center"/>
    </xf>
    <xf numFmtId="174" fontId="8" fillId="3" borderId="52" xfId="0" applyNumberFormat="1" applyFont="1" applyFill="1" applyBorder="1" applyAlignment="1">
      <alignment horizontal="center" vertical="center"/>
    </xf>
    <xf numFmtId="174" fontId="8" fillId="3" borderId="53" xfId="0" applyNumberFormat="1" applyFont="1" applyFill="1" applyBorder="1" applyAlignment="1">
      <alignment horizontal="center" vertical="center"/>
    </xf>
    <xf numFmtId="9" fontId="0" fillId="3" borderId="52" xfId="0" applyNumberFormat="1" applyFont="1" applyFill="1" applyBorder="1" applyAlignment="1">
      <alignment horizontal="center" vertical="center"/>
    </xf>
    <xf numFmtId="9" fontId="0" fillId="3" borderId="53" xfId="0" applyNumberFormat="1" applyFont="1" applyFill="1" applyBorder="1" applyAlignment="1">
      <alignment horizontal="center" vertical="center"/>
    </xf>
    <xf numFmtId="0" fontId="5" fillId="3" borderId="52" xfId="0" applyNumberFormat="1" applyFont="1" applyFill="1" applyBorder="1" applyAlignment="1">
      <alignment horizontal="center" vertical="center"/>
    </xf>
    <xf numFmtId="0" fontId="5" fillId="3" borderId="53" xfId="0" applyNumberFormat="1" applyFont="1" applyFill="1" applyBorder="1" applyAlignment="1">
      <alignment horizontal="center" vertical="center"/>
    </xf>
    <xf numFmtId="0" fontId="5" fillId="3" borderId="54" xfId="0" applyNumberFormat="1" applyFont="1" applyFill="1" applyBorder="1" applyAlignment="1">
      <alignment horizontal="center" vertical="center"/>
    </xf>
    <xf numFmtId="168" fontId="38" fillId="3" borderId="52" xfId="0" applyNumberFormat="1" applyFont="1" applyFill="1" applyBorder="1" applyAlignment="1">
      <alignment horizontal="center" vertical="center"/>
    </xf>
    <xf numFmtId="168" fontId="38" fillId="3" borderId="53" xfId="0" applyNumberFormat="1" applyFont="1" applyFill="1" applyBorder="1" applyAlignment="1">
      <alignment horizontal="center" vertical="center"/>
    </xf>
    <xf numFmtId="0" fontId="8" fillId="3" borderId="55" xfId="0" applyNumberFormat="1" applyFont="1" applyFill="1" applyBorder="1" applyAlignment="1">
      <alignment horizontal="left" vertical="center" indent="1"/>
    </xf>
    <xf numFmtId="0" fontId="8" fillId="3" borderId="56" xfId="0" applyNumberFormat="1" applyFont="1" applyFill="1" applyBorder="1" applyAlignment="1">
      <alignment horizontal="left" vertical="center" indent="1"/>
    </xf>
    <xf numFmtId="3" fontId="8" fillId="3" borderId="55" xfId="0" applyNumberFormat="1" applyFont="1" applyFill="1" applyBorder="1" applyAlignment="1">
      <alignment horizontal="center" vertical="center"/>
    </xf>
    <xf numFmtId="3" fontId="8" fillId="3" borderId="56" xfId="0" applyNumberFormat="1" applyFont="1" applyFill="1" applyBorder="1" applyAlignment="1">
      <alignment horizontal="center" vertical="center"/>
    </xf>
    <xf numFmtId="3" fontId="38" fillId="3" borderId="55" xfId="0" applyNumberFormat="1" applyFont="1" applyFill="1" applyBorder="1" applyAlignment="1">
      <alignment horizontal="center" vertical="center"/>
    </xf>
    <xf numFmtId="3" fontId="38" fillId="3" borderId="56" xfId="0" applyNumberFormat="1" applyFont="1" applyFill="1" applyBorder="1" applyAlignment="1">
      <alignment horizontal="center" vertical="center"/>
    </xf>
    <xf numFmtId="168" fontId="0" fillId="3" borderId="55" xfId="0" applyNumberFormat="1" applyFont="1" applyFill="1" applyBorder="1" applyAlignment="1">
      <alignment horizontal="center" vertical="center"/>
    </xf>
    <xf numFmtId="168" fontId="0" fillId="3" borderId="56" xfId="0" applyNumberFormat="1" applyFont="1" applyFill="1" applyBorder="1" applyAlignment="1">
      <alignment horizontal="center" vertical="center"/>
    </xf>
    <xf numFmtId="3" fontId="0" fillId="3" borderId="55" xfId="0" applyNumberFormat="1" applyFont="1" applyFill="1" applyBorder="1" applyAlignment="1">
      <alignment horizontal="center" vertical="center"/>
    </xf>
    <xf numFmtId="3" fontId="0" fillId="3" borderId="56" xfId="0" applyNumberFormat="1" applyFont="1" applyFill="1" applyBorder="1" applyAlignment="1">
      <alignment horizontal="center" vertical="center"/>
    </xf>
    <xf numFmtId="174" fontId="8" fillId="3" borderId="55" xfId="0" applyNumberFormat="1" applyFont="1" applyFill="1" applyBorder="1" applyAlignment="1">
      <alignment horizontal="center" vertical="center"/>
    </xf>
    <xf numFmtId="174" fontId="8" fillId="3" borderId="56" xfId="0" applyNumberFormat="1" applyFont="1" applyFill="1" applyBorder="1" applyAlignment="1">
      <alignment horizontal="center" vertical="center"/>
    </xf>
    <xf numFmtId="9" fontId="0" fillId="3" borderId="55" xfId="0" applyNumberFormat="1" applyFont="1" applyFill="1" applyBorder="1" applyAlignment="1">
      <alignment horizontal="center" vertical="center"/>
    </xf>
    <xf numFmtId="9" fontId="0" fillId="3" borderId="56" xfId="0" applyNumberFormat="1" applyFont="1" applyFill="1" applyBorder="1" applyAlignment="1">
      <alignment horizontal="center" vertical="center"/>
    </xf>
    <xf numFmtId="0" fontId="5" fillId="3" borderId="55" xfId="0" applyNumberFormat="1" applyFont="1" applyFill="1" applyBorder="1" applyAlignment="1">
      <alignment horizontal="center" vertical="center"/>
    </xf>
    <xf numFmtId="0" fontId="5" fillId="3" borderId="56" xfId="0" applyNumberFormat="1" applyFont="1" applyFill="1" applyBorder="1" applyAlignment="1">
      <alignment horizontal="center" vertical="center"/>
    </xf>
    <xf numFmtId="0" fontId="5" fillId="3" borderId="57" xfId="0" applyNumberFormat="1" applyFont="1" applyFill="1" applyBorder="1" applyAlignment="1">
      <alignment horizontal="center" vertical="center"/>
    </xf>
    <xf numFmtId="0" fontId="8" fillId="4" borderId="50" xfId="0" applyNumberFormat="1" applyFont="1" applyFill="1" applyBorder="1" applyAlignment="1">
      <alignment horizontal="left" vertical="center" indent="1"/>
    </xf>
    <xf numFmtId="0" fontId="8" fillId="4" borderId="51" xfId="0" applyNumberFormat="1" applyFont="1" applyFill="1" applyBorder="1" applyAlignment="1">
      <alignment horizontal="left" vertical="center" indent="1"/>
    </xf>
    <xf numFmtId="3" fontId="8" fillId="4" borderId="50" xfId="0" applyNumberFormat="1" applyFont="1" applyFill="1" applyBorder="1" applyAlignment="1">
      <alignment horizontal="center" vertical="center"/>
    </xf>
    <xf numFmtId="3" fontId="8" fillId="4" borderId="51" xfId="0" applyNumberFormat="1" applyFont="1" applyFill="1" applyBorder="1" applyAlignment="1">
      <alignment horizontal="center" vertical="center"/>
    </xf>
    <xf numFmtId="3" fontId="38" fillId="4" borderId="50" xfId="0" applyNumberFormat="1" applyFont="1" applyFill="1" applyBorder="1" applyAlignment="1">
      <alignment horizontal="center" vertical="center"/>
    </xf>
    <xf numFmtId="3" fontId="38" fillId="4" borderId="51" xfId="0" applyNumberFormat="1" applyFont="1" applyFill="1" applyBorder="1" applyAlignment="1">
      <alignment horizontal="center" vertical="center"/>
    </xf>
    <xf numFmtId="168" fontId="0" fillId="4" borderId="50" xfId="0" applyNumberFormat="1" applyFont="1" applyFill="1" applyBorder="1" applyAlignment="1">
      <alignment horizontal="center" vertical="center"/>
    </xf>
    <xf numFmtId="168" fontId="0" fillId="4" borderId="51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174" fontId="8" fillId="4" borderId="50" xfId="0" applyNumberFormat="1" applyFont="1" applyFill="1" applyBorder="1" applyAlignment="1">
      <alignment horizontal="center" vertical="center"/>
    </xf>
    <xf numFmtId="174" fontId="8" fillId="4" borderId="51" xfId="0" applyNumberFormat="1" applyFont="1" applyFill="1" applyBorder="1" applyAlignment="1">
      <alignment horizontal="center" vertical="center"/>
    </xf>
    <xf numFmtId="9" fontId="0" fillId="4" borderId="50" xfId="0" applyNumberFormat="1" applyFont="1" applyFill="1" applyBorder="1" applyAlignment="1">
      <alignment horizontal="center" vertical="center"/>
    </xf>
    <xf numFmtId="9" fontId="0" fillId="4" borderId="51" xfId="0" applyNumberFormat="1" applyFont="1" applyFill="1" applyBorder="1" applyAlignment="1">
      <alignment horizontal="center" vertical="center"/>
    </xf>
    <xf numFmtId="0" fontId="5" fillId="4" borderId="50" xfId="0" applyNumberFormat="1" applyFont="1" applyFill="1" applyBorder="1" applyAlignment="1">
      <alignment horizontal="center" vertical="center"/>
    </xf>
    <xf numFmtId="0" fontId="5" fillId="4" borderId="51" xfId="0" applyNumberFormat="1" applyFont="1" applyFill="1" applyBorder="1" applyAlignment="1">
      <alignment horizontal="center" vertical="center"/>
    </xf>
    <xf numFmtId="0" fontId="5" fillId="4" borderId="27" xfId="0" applyNumberFormat="1" applyFont="1" applyFill="1" applyBorder="1" applyAlignment="1">
      <alignment horizontal="center" vertical="center"/>
    </xf>
    <xf numFmtId="0" fontId="8" fillId="4" borderId="52" xfId="0" applyNumberFormat="1" applyFont="1" applyFill="1" applyBorder="1" applyAlignment="1">
      <alignment horizontal="left" vertical="center" indent="1"/>
    </xf>
    <xf numFmtId="0" fontId="8" fillId="4" borderId="53" xfId="0" applyNumberFormat="1" applyFont="1" applyFill="1" applyBorder="1" applyAlignment="1">
      <alignment horizontal="left" vertical="center" indent="1"/>
    </xf>
    <xf numFmtId="3" fontId="8" fillId="4" borderId="52" xfId="0" applyNumberFormat="1" applyFont="1" applyFill="1" applyBorder="1" applyAlignment="1">
      <alignment horizontal="center" vertical="center"/>
    </xf>
    <xf numFmtId="3" fontId="8" fillId="4" borderId="53" xfId="0" applyNumberFormat="1" applyFont="1" applyFill="1" applyBorder="1" applyAlignment="1">
      <alignment horizontal="center" vertical="center"/>
    </xf>
    <xf numFmtId="3" fontId="38" fillId="4" borderId="52" xfId="0" applyNumberFormat="1" applyFont="1" applyFill="1" applyBorder="1" applyAlignment="1">
      <alignment horizontal="center" vertical="center"/>
    </xf>
    <xf numFmtId="3" fontId="38" fillId="4" borderId="53" xfId="0" applyNumberFormat="1" applyFont="1" applyFill="1" applyBorder="1" applyAlignment="1">
      <alignment horizontal="center" vertical="center"/>
    </xf>
    <xf numFmtId="168" fontId="0" fillId="4" borderId="52" xfId="0" applyNumberFormat="1" applyFont="1" applyFill="1" applyBorder="1" applyAlignment="1">
      <alignment horizontal="center" vertical="center"/>
    </xf>
    <xf numFmtId="168" fontId="0" fillId="4" borderId="53" xfId="0" applyNumberFormat="1" applyFont="1" applyFill="1" applyBorder="1" applyAlignment="1">
      <alignment horizontal="center" vertical="center"/>
    </xf>
    <xf numFmtId="3" fontId="0" fillId="4" borderId="52" xfId="0" applyNumberFormat="1" applyFont="1" applyFill="1" applyBorder="1" applyAlignment="1">
      <alignment horizontal="center" vertical="center"/>
    </xf>
    <xf numFmtId="3" fontId="0" fillId="4" borderId="53" xfId="0" applyNumberFormat="1" applyFont="1" applyFill="1" applyBorder="1" applyAlignment="1">
      <alignment horizontal="center" vertical="center"/>
    </xf>
    <xf numFmtId="174" fontId="8" fillId="4" borderId="52" xfId="0" applyNumberFormat="1" applyFont="1" applyFill="1" applyBorder="1" applyAlignment="1">
      <alignment horizontal="center" vertical="center"/>
    </xf>
    <xf numFmtId="174" fontId="8" fillId="4" borderId="53" xfId="0" applyNumberFormat="1" applyFont="1" applyFill="1" applyBorder="1" applyAlignment="1">
      <alignment horizontal="center" vertical="center"/>
    </xf>
    <xf numFmtId="9" fontId="0" fillId="4" borderId="52" xfId="0" applyNumberFormat="1" applyFont="1" applyFill="1" applyBorder="1" applyAlignment="1">
      <alignment horizontal="center" vertical="center"/>
    </xf>
    <xf numFmtId="9" fontId="0" fillId="4" borderId="53" xfId="0" applyNumberFormat="1" applyFont="1" applyFill="1" applyBorder="1" applyAlignment="1">
      <alignment horizontal="center" vertical="center"/>
    </xf>
    <xf numFmtId="0" fontId="5" fillId="4" borderId="52" xfId="0" applyNumberFormat="1" applyFont="1" applyFill="1" applyBorder="1" applyAlignment="1">
      <alignment horizontal="center" vertical="center"/>
    </xf>
    <xf numFmtId="0" fontId="5" fillId="4" borderId="53" xfId="0" applyNumberFormat="1" applyFont="1" applyFill="1" applyBorder="1" applyAlignment="1">
      <alignment horizontal="center" vertical="center"/>
    </xf>
    <xf numFmtId="0" fontId="5" fillId="4" borderId="54" xfId="0" applyNumberFormat="1" applyFont="1" applyFill="1" applyBorder="1" applyAlignment="1">
      <alignment horizontal="center" vertical="center"/>
    </xf>
    <xf numFmtId="0" fontId="8" fillId="4" borderId="55" xfId="0" applyNumberFormat="1" applyFont="1" applyFill="1" applyBorder="1" applyAlignment="1">
      <alignment horizontal="left" vertical="center" indent="1"/>
    </xf>
    <xf numFmtId="0" fontId="8" fillId="4" borderId="56" xfId="0" applyNumberFormat="1" applyFont="1" applyFill="1" applyBorder="1" applyAlignment="1">
      <alignment horizontal="left" vertical="center" indent="1"/>
    </xf>
    <xf numFmtId="3" fontId="8" fillId="4" borderId="55" xfId="0" applyNumberFormat="1" applyFont="1" applyFill="1" applyBorder="1" applyAlignment="1">
      <alignment horizontal="center" vertical="center"/>
    </xf>
    <xf numFmtId="3" fontId="8" fillId="4" borderId="56" xfId="0" applyNumberFormat="1" applyFont="1" applyFill="1" applyBorder="1" applyAlignment="1">
      <alignment horizontal="center" vertical="center"/>
    </xf>
    <xf numFmtId="168" fontId="38" fillId="4" borderId="55" xfId="0" applyNumberFormat="1" applyFont="1" applyFill="1" applyBorder="1" applyAlignment="1">
      <alignment horizontal="center" vertical="center"/>
    </xf>
    <xf numFmtId="168" fontId="38" fillId="4" borderId="56" xfId="0" applyNumberFormat="1" applyFont="1" applyFill="1" applyBorder="1" applyAlignment="1">
      <alignment horizontal="center" vertical="center"/>
    </xf>
    <xf numFmtId="168" fontId="0" fillId="4" borderId="55" xfId="0" applyNumberFormat="1" applyFont="1" applyFill="1" applyBorder="1" applyAlignment="1">
      <alignment horizontal="center" vertical="center"/>
    </xf>
    <xf numFmtId="168" fontId="0" fillId="4" borderId="56" xfId="0" applyNumberFormat="1" applyFont="1" applyFill="1" applyBorder="1" applyAlignment="1">
      <alignment horizontal="center" vertical="center"/>
    </xf>
    <xf numFmtId="174" fontId="8" fillId="4" borderId="55" xfId="0" applyNumberFormat="1" applyFont="1" applyFill="1" applyBorder="1" applyAlignment="1">
      <alignment horizontal="center" vertical="center"/>
    </xf>
    <xf numFmtId="174" fontId="8" fillId="4" borderId="56" xfId="0" applyNumberFormat="1" applyFont="1" applyFill="1" applyBorder="1" applyAlignment="1">
      <alignment horizontal="center" vertical="center"/>
    </xf>
    <xf numFmtId="9" fontId="0" fillId="4" borderId="55" xfId="0" applyNumberFormat="1" applyFont="1" applyFill="1" applyBorder="1" applyAlignment="1">
      <alignment horizontal="center" vertical="center"/>
    </xf>
    <xf numFmtId="9" fontId="0" fillId="4" borderId="56" xfId="0" applyNumberFormat="1" applyFont="1" applyFill="1" applyBorder="1" applyAlignment="1">
      <alignment horizontal="center" vertical="center"/>
    </xf>
    <xf numFmtId="0" fontId="5" fillId="4" borderId="55" xfId="0" applyNumberFormat="1" applyFont="1" applyFill="1" applyBorder="1" applyAlignment="1">
      <alignment horizontal="center" vertical="center"/>
    </xf>
    <xf numFmtId="0" fontId="5" fillId="4" borderId="56" xfId="0" applyNumberFormat="1" applyFont="1" applyFill="1" applyBorder="1" applyAlignment="1">
      <alignment horizontal="center" vertical="center"/>
    </xf>
    <xf numFmtId="0" fontId="5" fillId="4" borderId="57" xfId="0" applyNumberFormat="1" applyFont="1" applyFill="1" applyBorder="1" applyAlignment="1">
      <alignment horizontal="center" vertical="center"/>
    </xf>
    <xf numFmtId="0" fontId="8" fillId="5" borderId="50" xfId="0" applyNumberFormat="1" applyFont="1" applyFill="1" applyBorder="1" applyAlignment="1">
      <alignment horizontal="left" vertical="center" indent="1"/>
    </xf>
    <xf numFmtId="0" fontId="8" fillId="5" borderId="51" xfId="0" applyNumberFormat="1" applyFont="1" applyFill="1" applyBorder="1" applyAlignment="1">
      <alignment horizontal="left" vertical="center" indent="1"/>
    </xf>
    <xf numFmtId="3" fontId="8" fillId="5" borderId="50" xfId="0" applyNumberFormat="1" applyFont="1" applyFill="1" applyBorder="1" applyAlignment="1">
      <alignment horizontal="center" vertical="center"/>
    </xf>
    <xf numFmtId="3" fontId="8" fillId="5" borderId="51" xfId="0" applyNumberFormat="1" applyFont="1" applyFill="1" applyBorder="1" applyAlignment="1">
      <alignment horizontal="center" vertical="center"/>
    </xf>
    <xf numFmtId="3" fontId="38" fillId="5" borderId="50" xfId="0" applyNumberFormat="1" applyFont="1" applyFill="1" applyBorder="1" applyAlignment="1">
      <alignment horizontal="center" vertical="center"/>
    </xf>
    <xf numFmtId="3" fontId="38" fillId="5" borderId="51" xfId="0" applyNumberFormat="1" applyFont="1" applyFill="1" applyBorder="1" applyAlignment="1">
      <alignment horizontal="center" vertical="center"/>
    </xf>
    <xf numFmtId="168" fontId="0" fillId="5" borderId="50" xfId="0" applyNumberFormat="1" applyFont="1" applyFill="1" applyBorder="1" applyAlignment="1">
      <alignment horizontal="center" vertical="center"/>
    </xf>
    <xf numFmtId="168" fontId="0" fillId="5" borderId="51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174" fontId="8" fillId="5" borderId="50" xfId="0" applyNumberFormat="1" applyFont="1" applyFill="1" applyBorder="1" applyAlignment="1">
      <alignment horizontal="center" vertical="center"/>
    </xf>
    <xf numFmtId="174" fontId="8" fillId="5" borderId="51" xfId="0" applyNumberFormat="1" applyFont="1" applyFill="1" applyBorder="1" applyAlignment="1">
      <alignment horizontal="center" vertical="center"/>
    </xf>
    <xf numFmtId="9" fontId="0" fillId="5" borderId="50" xfId="0" applyNumberFormat="1" applyFont="1" applyFill="1" applyBorder="1" applyAlignment="1">
      <alignment horizontal="center" vertical="center"/>
    </xf>
    <xf numFmtId="9" fontId="0" fillId="5" borderId="51" xfId="0" applyNumberFormat="1" applyFont="1" applyFill="1" applyBorder="1" applyAlignment="1">
      <alignment horizontal="center" vertical="center"/>
    </xf>
    <xf numFmtId="0" fontId="5" fillId="5" borderId="50" xfId="0" applyNumberFormat="1" applyFont="1" applyFill="1" applyBorder="1" applyAlignment="1">
      <alignment horizontal="center" vertical="center"/>
    </xf>
    <xf numFmtId="0" fontId="5" fillId="5" borderId="51" xfId="0" applyNumberFormat="1" applyFont="1" applyFill="1" applyBorder="1" applyAlignment="1">
      <alignment horizontal="center" vertical="center"/>
    </xf>
    <xf numFmtId="0" fontId="5" fillId="5" borderId="27" xfId="0" applyNumberFormat="1" applyFont="1" applyFill="1" applyBorder="1" applyAlignment="1">
      <alignment horizontal="center" vertical="center"/>
    </xf>
    <xf numFmtId="0" fontId="8" fillId="5" borderId="52" xfId="0" applyNumberFormat="1" applyFont="1" applyFill="1" applyBorder="1" applyAlignment="1">
      <alignment horizontal="left" vertical="center" indent="1"/>
    </xf>
    <xf numFmtId="0" fontId="8" fillId="5" borderId="53" xfId="0" applyNumberFormat="1" applyFont="1" applyFill="1" applyBorder="1" applyAlignment="1">
      <alignment horizontal="left" vertical="center" indent="1"/>
    </xf>
    <xf numFmtId="3" fontId="8" fillId="5" borderId="52" xfId="0" applyNumberFormat="1" applyFont="1" applyFill="1" applyBorder="1" applyAlignment="1">
      <alignment horizontal="center" vertical="center"/>
    </xf>
    <xf numFmtId="3" fontId="8" fillId="5" borderId="53" xfId="0" applyNumberFormat="1" applyFont="1" applyFill="1" applyBorder="1" applyAlignment="1">
      <alignment horizontal="center" vertical="center"/>
    </xf>
    <xf numFmtId="3" fontId="38" fillId="5" borderId="52" xfId="0" applyNumberFormat="1" applyFont="1" applyFill="1" applyBorder="1" applyAlignment="1">
      <alignment horizontal="center" vertical="center"/>
    </xf>
    <xf numFmtId="3" fontId="38" fillId="5" borderId="53" xfId="0" applyNumberFormat="1" applyFont="1" applyFill="1" applyBorder="1" applyAlignment="1">
      <alignment horizontal="center" vertical="center"/>
    </xf>
    <xf numFmtId="168" fontId="0" fillId="5" borderId="52" xfId="0" applyNumberFormat="1" applyFont="1" applyFill="1" applyBorder="1" applyAlignment="1">
      <alignment horizontal="center" vertical="center"/>
    </xf>
    <xf numFmtId="168" fontId="0" fillId="5" borderId="53" xfId="0" applyNumberFormat="1" applyFont="1" applyFill="1" applyBorder="1" applyAlignment="1">
      <alignment horizontal="center" vertical="center"/>
    </xf>
    <xf numFmtId="3" fontId="0" fillId="5" borderId="52" xfId="0" applyNumberFormat="1" applyFont="1" applyFill="1" applyBorder="1" applyAlignment="1">
      <alignment horizontal="center" vertical="center"/>
    </xf>
    <xf numFmtId="3" fontId="0" fillId="5" borderId="53" xfId="0" applyNumberFormat="1" applyFont="1" applyFill="1" applyBorder="1" applyAlignment="1">
      <alignment horizontal="center" vertical="center"/>
    </xf>
    <xf numFmtId="174" fontId="8" fillId="5" borderId="52" xfId="0" applyNumberFormat="1" applyFont="1" applyFill="1" applyBorder="1" applyAlignment="1">
      <alignment horizontal="center" vertical="center"/>
    </xf>
    <xf numFmtId="174" fontId="8" fillId="5" borderId="53" xfId="0" applyNumberFormat="1" applyFont="1" applyFill="1" applyBorder="1" applyAlignment="1">
      <alignment horizontal="center" vertical="center"/>
    </xf>
    <xf numFmtId="9" fontId="0" fillId="5" borderId="52" xfId="0" applyNumberFormat="1" applyFont="1" applyFill="1" applyBorder="1" applyAlignment="1">
      <alignment horizontal="center" vertical="center"/>
    </xf>
    <xf numFmtId="9" fontId="0" fillId="5" borderId="53" xfId="0" applyNumberFormat="1" applyFont="1" applyFill="1" applyBorder="1" applyAlignment="1">
      <alignment horizontal="center" vertical="center"/>
    </xf>
    <xf numFmtId="0" fontId="5" fillId="5" borderId="52" xfId="0" applyNumberFormat="1" applyFont="1" applyFill="1" applyBorder="1" applyAlignment="1">
      <alignment horizontal="center" vertical="center"/>
    </xf>
    <xf numFmtId="0" fontId="5" fillId="5" borderId="53" xfId="0" applyNumberFormat="1" applyFont="1" applyFill="1" applyBorder="1" applyAlignment="1">
      <alignment horizontal="center" vertical="center"/>
    </xf>
    <xf numFmtId="0" fontId="5" fillId="5" borderId="54" xfId="0" applyNumberFormat="1" applyFont="1" applyFill="1" applyBorder="1" applyAlignment="1">
      <alignment horizontal="center" vertical="center"/>
    </xf>
    <xf numFmtId="0" fontId="8" fillId="5" borderId="55" xfId="0" applyNumberFormat="1" applyFont="1" applyFill="1" applyBorder="1" applyAlignment="1">
      <alignment horizontal="left" vertical="center" indent="1"/>
    </xf>
    <xf numFmtId="0" fontId="8" fillId="5" borderId="56" xfId="0" applyNumberFormat="1" applyFont="1" applyFill="1" applyBorder="1" applyAlignment="1">
      <alignment horizontal="left" vertical="center" indent="1"/>
    </xf>
    <xf numFmtId="3" fontId="8" fillId="5" borderId="55" xfId="0" applyNumberFormat="1" applyFont="1" applyFill="1" applyBorder="1" applyAlignment="1">
      <alignment horizontal="center" vertical="center"/>
    </xf>
    <xf numFmtId="3" fontId="8" fillId="5" borderId="56" xfId="0" applyNumberFormat="1" applyFont="1" applyFill="1" applyBorder="1" applyAlignment="1">
      <alignment horizontal="center" vertical="center"/>
    </xf>
    <xf numFmtId="3" fontId="38" fillId="5" borderId="55" xfId="0" applyNumberFormat="1" applyFont="1" applyFill="1" applyBorder="1" applyAlignment="1">
      <alignment horizontal="center" vertical="center"/>
    </xf>
    <xf numFmtId="3" fontId="38" fillId="5" borderId="56" xfId="0" applyNumberFormat="1" applyFont="1" applyFill="1" applyBorder="1" applyAlignment="1">
      <alignment horizontal="center" vertical="center"/>
    </xf>
    <xf numFmtId="168" fontId="0" fillId="5" borderId="55" xfId="0" applyNumberFormat="1" applyFont="1" applyFill="1" applyBorder="1" applyAlignment="1">
      <alignment horizontal="center" vertical="center"/>
    </xf>
    <xf numFmtId="168" fontId="0" fillId="5" borderId="56" xfId="0" applyNumberFormat="1" applyFont="1" applyFill="1" applyBorder="1" applyAlignment="1">
      <alignment horizontal="center" vertical="center"/>
    </xf>
    <xf numFmtId="3" fontId="0" fillId="5" borderId="55" xfId="0" applyNumberFormat="1" applyFont="1" applyFill="1" applyBorder="1" applyAlignment="1">
      <alignment horizontal="center" vertical="center"/>
    </xf>
    <xf numFmtId="3" fontId="0" fillId="5" borderId="56" xfId="0" applyNumberFormat="1" applyFont="1" applyFill="1" applyBorder="1" applyAlignment="1">
      <alignment horizontal="center" vertical="center"/>
    </xf>
    <xf numFmtId="174" fontId="8" fillId="5" borderId="55" xfId="0" applyNumberFormat="1" applyFont="1" applyFill="1" applyBorder="1" applyAlignment="1">
      <alignment horizontal="center" vertical="center"/>
    </xf>
    <xf numFmtId="174" fontId="8" fillId="5" borderId="56" xfId="0" applyNumberFormat="1" applyFont="1" applyFill="1" applyBorder="1" applyAlignment="1">
      <alignment horizontal="center" vertical="center"/>
    </xf>
    <xf numFmtId="9" fontId="0" fillId="5" borderId="55" xfId="0" applyNumberFormat="1" applyFont="1" applyFill="1" applyBorder="1" applyAlignment="1">
      <alignment horizontal="center" vertical="center"/>
    </xf>
    <xf numFmtId="9" fontId="0" fillId="5" borderId="56" xfId="0" applyNumberFormat="1" applyFont="1" applyFill="1" applyBorder="1" applyAlignment="1">
      <alignment horizontal="center" vertical="center"/>
    </xf>
    <xf numFmtId="0" fontId="5" fillId="5" borderId="55" xfId="0" applyNumberFormat="1" applyFont="1" applyFill="1" applyBorder="1" applyAlignment="1">
      <alignment horizontal="center" vertical="center"/>
    </xf>
    <xf numFmtId="0" fontId="5" fillId="5" borderId="56" xfId="0" applyNumberFormat="1" applyFont="1" applyFill="1" applyBorder="1" applyAlignment="1">
      <alignment horizontal="center" vertical="center"/>
    </xf>
    <xf numFmtId="0" fontId="5" fillId="5" borderId="57" xfId="0" applyNumberFormat="1" applyFont="1" applyFill="1" applyBorder="1" applyAlignment="1">
      <alignment horizontal="center" vertical="center"/>
    </xf>
    <xf numFmtId="166" fontId="38" fillId="3" borderId="50" xfId="0" applyNumberFormat="1" applyFont="1" applyFill="1" applyBorder="1" applyAlignment="1">
      <alignment horizontal="center" vertical="center"/>
    </xf>
    <xf numFmtId="166" fontId="38" fillId="3" borderId="51" xfId="0" applyNumberFormat="1" applyFont="1" applyFill="1" applyBorder="1" applyAlignment="1">
      <alignment horizontal="center" vertical="center"/>
    </xf>
    <xf numFmtId="166" fontId="0" fillId="3" borderId="50" xfId="0" applyNumberFormat="1" applyFont="1" applyFill="1" applyBorder="1" applyAlignment="1">
      <alignment horizontal="center" vertical="center"/>
    </xf>
    <xf numFmtId="166" fontId="0" fillId="3" borderId="51" xfId="0" applyNumberFormat="1" applyFont="1" applyFill="1" applyBorder="1" applyAlignment="1">
      <alignment horizontal="center" vertical="center"/>
    </xf>
    <xf numFmtId="9" fontId="8" fillId="3" borderId="55" xfId="0" applyNumberFormat="1" applyFont="1" applyFill="1" applyBorder="1" applyAlignment="1">
      <alignment horizontal="center" vertical="center"/>
    </xf>
    <xf numFmtId="9" fontId="8" fillId="3" borderId="56" xfId="0" applyNumberFormat="1" applyFont="1" applyFill="1" applyBorder="1" applyAlignment="1">
      <alignment horizontal="center" vertical="center"/>
    </xf>
    <xf numFmtId="167" fontId="38" fillId="3" borderId="55" xfId="0" applyNumberFormat="1" applyFont="1" applyFill="1" applyBorder="1" applyAlignment="1">
      <alignment horizontal="center" vertical="center"/>
    </xf>
    <xf numFmtId="167" fontId="38" fillId="3" borderId="56" xfId="0" applyNumberFormat="1" applyFont="1" applyFill="1" applyBorder="1" applyAlignment="1">
      <alignment horizontal="center" vertical="center"/>
    </xf>
    <xf numFmtId="167" fontId="0" fillId="3" borderId="55" xfId="0" applyNumberFormat="1" applyFont="1" applyFill="1" applyBorder="1" applyAlignment="1">
      <alignment horizontal="center" vertical="center"/>
    </xf>
    <xf numFmtId="167" fontId="0" fillId="3" borderId="56" xfId="0" applyNumberFormat="1" applyFont="1" applyFill="1" applyBorder="1" applyAlignment="1">
      <alignment horizontal="center" vertical="center"/>
    </xf>
    <xf numFmtId="0" fontId="8" fillId="6" borderId="50" xfId="0" applyNumberFormat="1" applyFont="1" applyFill="1" applyBorder="1" applyAlignment="1">
      <alignment horizontal="left" vertical="center" indent="1"/>
    </xf>
    <xf numFmtId="0" fontId="8" fillId="6" borderId="51" xfId="0" applyNumberFormat="1" applyFont="1" applyFill="1" applyBorder="1" applyAlignment="1">
      <alignment horizontal="left" vertical="center" indent="1"/>
    </xf>
    <xf numFmtId="3" fontId="8" fillId="6" borderId="50" xfId="0" applyNumberFormat="1" applyFont="1" applyFill="1" applyBorder="1" applyAlignment="1">
      <alignment horizontal="center" vertical="center"/>
    </xf>
    <xf numFmtId="3" fontId="8" fillId="6" borderId="51" xfId="0" applyNumberFormat="1" applyFont="1" applyFill="1" applyBorder="1" applyAlignment="1">
      <alignment horizontal="center" vertical="center"/>
    </xf>
    <xf numFmtId="3" fontId="38" fillId="6" borderId="50" xfId="0" applyNumberFormat="1" applyFont="1" applyFill="1" applyBorder="1" applyAlignment="1">
      <alignment horizontal="center" vertical="center"/>
    </xf>
    <xf numFmtId="3" fontId="38" fillId="6" borderId="51" xfId="0" applyNumberFormat="1" applyFont="1" applyFill="1" applyBorder="1" applyAlignment="1">
      <alignment horizontal="center" vertical="center"/>
    </xf>
    <xf numFmtId="168" fontId="0" fillId="6" borderId="50" xfId="0" applyNumberFormat="1" applyFont="1" applyFill="1" applyBorder="1" applyAlignment="1">
      <alignment horizontal="center" vertical="center"/>
    </xf>
    <xf numFmtId="168" fontId="0" fillId="6" borderId="51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174" fontId="8" fillId="6" borderId="50" xfId="0" applyNumberFormat="1" applyFont="1" applyFill="1" applyBorder="1" applyAlignment="1">
      <alignment horizontal="center" vertical="center"/>
    </xf>
    <xf numFmtId="174" fontId="8" fillId="6" borderId="51" xfId="0" applyNumberFormat="1" applyFont="1" applyFill="1" applyBorder="1" applyAlignment="1">
      <alignment horizontal="center" vertical="center"/>
    </xf>
    <xf numFmtId="9" fontId="0" fillId="6" borderId="50" xfId="0" applyNumberFormat="1" applyFont="1" applyFill="1" applyBorder="1" applyAlignment="1">
      <alignment horizontal="center" vertical="center"/>
    </xf>
    <xf numFmtId="9" fontId="0" fillId="6" borderId="51" xfId="0" applyNumberFormat="1" applyFont="1" applyFill="1" applyBorder="1" applyAlignment="1">
      <alignment horizontal="center" vertical="center"/>
    </xf>
    <xf numFmtId="0" fontId="5" fillId="6" borderId="50" xfId="0" applyNumberFormat="1" applyFont="1" applyFill="1" applyBorder="1" applyAlignment="1">
      <alignment horizontal="center" vertical="center"/>
    </xf>
    <xf numFmtId="0" fontId="5" fillId="6" borderId="51" xfId="0" applyNumberFormat="1" applyFont="1" applyFill="1" applyBorder="1" applyAlignment="1">
      <alignment horizontal="center" vertical="center"/>
    </xf>
    <xf numFmtId="0" fontId="5" fillId="6" borderId="27" xfId="0" applyNumberFormat="1" applyFont="1" applyFill="1" applyBorder="1" applyAlignment="1">
      <alignment horizontal="center" vertical="center"/>
    </xf>
    <xf numFmtId="0" fontId="8" fillId="6" borderId="52" xfId="0" applyNumberFormat="1" applyFont="1" applyFill="1" applyBorder="1" applyAlignment="1">
      <alignment horizontal="left" vertical="center" indent="1"/>
    </xf>
    <xf numFmtId="0" fontId="8" fillId="6" borderId="53" xfId="0" applyNumberFormat="1" applyFont="1" applyFill="1" applyBorder="1" applyAlignment="1">
      <alignment horizontal="left" vertical="center" indent="1"/>
    </xf>
    <xf numFmtId="3" fontId="8" fillId="6" borderId="52" xfId="0" applyNumberFormat="1" applyFont="1" applyFill="1" applyBorder="1" applyAlignment="1">
      <alignment horizontal="center" vertical="center"/>
    </xf>
    <xf numFmtId="3" fontId="8" fillId="6" borderId="53" xfId="0" applyNumberFormat="1" applyFont="1" applyFill="1" applyBorder="1" applyAlignment="1">
      <alignment horizontal="center" vertical="center"/>
    </xf>
    <xf numFmtId="3" fontId="38" fillId="6" borderId="52" xfId="0" applyNumberFormat="1" applyFont="1" applyFill="1" applyBorder="1" applyAlignment="1">
      <alignment horizontal="center" vertical="center"/>
    </xf>
    <xf numFmtId="3" fontId="38" fillId="6" borderId="53" xfId="0" applyNumberFormat="1" applyFont="1" applyFill="1" applyBorder="1" applyAlignment="1">
      <alignment horizontal="center" vertical="center"/>
    </xf>
    <xf numFmtId="168" fontId="0" fillId="6" borderId="52" xfId="0" applyNumberFormat="1" applyFont="1" applyFill="1" applyBorder="1" applyAlignment="1">
      <alignment horizontal="center" vertical="center"/>
    </xf>
    <xf numFmtId="168" fontId="0" fillId="6" borderId="53" xfId="0" applyNumberFormat="1" applyFont="1" applyFill="1" applyBorder="1" applyAlignment="1">
      <alignment horizontal="center" vertical="center"/>
    </xf>
    <xf numFmtId="3" fontId="0" fillId="6" borderId="52" xfId="0" applyNumberFormat="1" applyFont="1" applyFill="1" applyBorder="1" applyAlignment="1">
      <alignment horizontal="center" vertical="center"/>
    </xf>
    <xf numFmtId="3" fontId="0" fillId="6" borderId="53" xfId="0" applyNumberFormat="1" applyFont="1" applyFill="1" applyBorder="1" applyAlignment="1">
      <alignment horizontal="center" vertical="center"/>
    </xf>
    <xf numFmtId="174" fontId="8" fillId="6" borderId="52" xfId="0" applyNumberFormat="1" applyFont="1" applyFill="1" applyBorder="1" applyAlignment="1">
      <alignment horizontal="center" vertical="center"/>
    </xf>
    <xf numFmtId="174" fontId="8" fillId="6" borderId="53" xfId="0" applyNumberFormat="1" applyFont="1" applyFill="1" applyBorder="1" applyAlignment="1">
      <alignment horizontal="center" vertical="center"/>
    </xf>
    <xf numFmtId="9" fontId="0" fillId="6" borderId="52" xfId="0" applyNumberFormat="1" applyFont="1" applyFill="1" applyBorder="1" applyAlignment="1">
      <alignment horizontal="center" vertical="center"/>
    </xf>
    <xf numFmtId="9" fontId="0" fillId="6" borderId="53" xfId="0" applyNumberFormat="1" applyFont="1" applyFill="1" applyBorder="1" applyAlignment="1">
      <alignment horizontal="center" vertical="center"/>
    </xf>
    <xf numFmtId="0" fontId="5" fillId="6" borderId="52" xfId="0" applyNumberFormat="1" applyFont="1" applyFill="1" applyBorder="1" applyAlignment="1">
      <alignment horizontal="center" vertical="center"/>
    </xf>
    <xf numFmtId="0" fontId="5" fillId="6" borderId="53" xfId="0" applyNumberFormat="1" applyFont="1" applyFill="1" applyBorder="1" applyAlignment="1">
      <alignment horizontal="center" vertical="center"/>
    </xf>
    <xf numFmtId="0" fontId="5" fillId="6" borderId="54" xfId="0" applyNumberFormat="1" applyFont="1" applyFill="1" applyBorder="1" applyAlignment="1">
      <alignment horizontal="center" vertical="center"/>
    </xf>
    <xf numFmtId="0" fontId="8" fillId="6" borderId="55" xfId="0" applyNumberFormat="1" applyFont="1" applyFill="1" applyBorder="1" applyAlignment="1">
      <alignment horizontal="left" vertical="center" indent="1"/>
    </xf>
    <xf numFmtId="0" fontId="8" fillId="6" borderId="56" xfId="0" applyNumberFormat="1" applyFont="1" applyFill="1" applyBorder="1" applyAlignment="1">
      <alignment horizontal="left" vertical="center" indent="1"/>
    </xf>
    <xf numFmtId="3" fontId="8" fillId="6" borderId="55" xfId="0" applyNumberFormat="1" applyFont="1" applyFill="1" applyBorder="1" applyAlignment="1">
      <alignment horizontal="center" vertical="center"/>
    </xf>
    <xf numFmtId="3" fontId="8" fillId="6" borderId="56" xfId="0" applyNumberFormat="1" applyFont="1" applyFill="1" applyBorder="1" applyAlignment="1">
      <alignment horizontal="center" vertical="center"/>
    </xf>
    <xf numFmtId="3" fontId="38" fillId="6" borderId="55" xfId="0" applyNumberFormat="1" applyFont="1" applyFill="1" applyBorder="1" applyAlignment="1">
      <alignment horizontal="center" vertical="center"/>
    </xf>
    <xf numFmtId="3" fontId="38" fillId="6" borderId="56" xfId="0" applyNumberFormat="1" applyFont="1" applyFill="1" applyBorder="1" applyAlignment="1">
      <alignment horizontal="center" vertical="center"/>
    </xf>
    <xf numFmtId="168" fontId="0" fillId="6" borderId="55" xfId="0" applyNumberFormat="1" applyFont="1" applyFill="1" applyBorder="1" applyAlignment="1">
      <alignment horizontal="center" vertical="center"/>
    </xf>
    <xf numFmtId="168" fontId="0" fillId="6" borderId="56" xfId="0" applyNumberFormat="1" applyFont="1" applyFill="1" applyBorder="1" applyAlignment="1">
      <alignment horizontal="center" vertical="center"/>
    </xf>
    <xf numFmtId="3" fontId="0" fillId="6" borderId="55" xfId="0" applyNumberFormat="1" applyFont="1" applyFill="1" applyBorder="1" applyAlignment="1">
      <alignment horizontal="center" vertical="center"/>
    </xf>
    <xf numFmtId="3" fontId="0" fillId="6" borderId="56" xfId="0" applyNumberFormat="1" applyFont="1" applyFill="1" applyBorder="1" applyAlignment="1">
      <alignment horizontal="center" vertical="center"/>
    </xf>
    <xf numFmtId="174" fontId="8" fillId="6" borderId="55" xfId="0" applyNumberFormat="1" applyFont="1" applyFill="1" applyBorder="1" applyAlignment="1">
      <alignment horizontal="center" vertical="center"/>
    </xf>
    <xf numFmtId="174" fontId="8" fillId="6" borderId="56" xfId="0" applyNumberFormat="1" applyFont="1" applyFill="1" applyBorder="1" applyAlignment="1">
      <alignment horizontal="center" vertical="center"/>
    </xf>
    <xf numFmtId="9" fontId="0" fillId="6" borderId="55" xfId="0" applyNumberFormat="1" applyFont="1" applyFill="1" applyBorder="1" applyAlignment="1">
      <alignment horizontal="center" vertical="center"/>
    </xf>
    <xf numFmtId="9" fontId="0" fillId="6" borderId="56" xfId="0" applyNumberFormat="1" applyFont="1" applyFill="1" applyBorder="1" applyAlignment="1">
      <alignment horizontal="center" vertical="center"/>
    </xf>
    <xf numFmtId="0" fontId="5" fillId="6" borderId="55" xfId="0" applyNumberFormat="1" applyFont="1" applyFill="1" applyBorder="1" applyAlignment="1">
      <alignment horizontal="center" vertical="center"/>
    </xf>
    <xf numFmtId="0" fontId="5" fillId="6" borderId="56" xfId="0" applyNumberFormat="1" applyFont="1" applyFill="1" applyBorder="1" applyAlignment="1">
      <alignment horizontal="center" vertical="center"/>
    </xf>
    <xf numFmtId="0" fontId="5" fillId="6" borderId="57" xfId="0" applyNumberFormat="1" applyFont="1" applyFill="1" applyBorder="1" applyAlignment="1">
      <alignment horizontal="center" vertical="center"/>
    </xf>
    <xf numFmtId="0" fontId="8" fillId="3" borderId="26" xfId="0" applyNumberFormat="1" applyFont="1" applyFill="1" applyBorder="1" applyAlignment="1">
      <alignment horizontal="center" vertical="center"/>
    </xf>
    <xf numFmtId="0" fontId="8" fillId="3" borderId="27" xfId="0" applyNumberFormat="1" applyFont="1" applyFill="1" applyBorder="1" applyAlignment="1">
      <alignment horizontal="center" vertical="center"/>
    </xf>
    <xf numFmtId="0" fontId="8" fillId="3" borderId="58" xfId="0" applyNumberFormat="1" applyFont="1" applyFill="1" applyBorder="1" applyAlignment="1">
      <alignment horizontal="center" vertical="center"/>
    </xf>
    <xf numFmtId="0" fontId="8" fillId="3" borderId="59" xfId="0" applyNumberFormat="1" applyFont="1" applyFill="1" applyBorder="1" applyAlignment="1">
      <alignment horizontal="center" vertical="center"/>
    </xf>
    <xf numFmtId="0" fontId="8" fillId="3" borderId="28" xfId="0" applyNumberFormat="1" applyFont="1" applyFill="1" applyBorder="1" applyAlignment="1">
      <alignment horizontal="center" vertical="center"/>
    </xf>
    <xf numFmtId="0" fontId="8" fillId="3" borderId="29" xfId="0" applyNumberFormat="1" applyFont="1" applyFill="1" applyBorder="1" applyAlignment="1">
      <alignment horizontal="center" vertical="center"/>
    </xf>
    <xf numFmtId="0" fontId="8" fillId="4" borderId="26" xfId="0" applyNumberFormat="1" applyFont="1" applyFill="1" applyBorder="1" applyAlignment="1">
      <alignment horizontal="center" vertical="center"/>
    </xf>
    <xf numFmtId="0" fontId="8" fillId="4" borderId="27" xfId="0" applyNumberFormat="1" applyFont="1" applyFill="1" applyBorder="1" applyAlignment="1">
      <alignment horizontal="center" vertical="center"/>
    </xf>
    <xf numFmtId="0" fontId="8" fillId="4" borderId="58" xfId="0" applyNumberFormat="1" applyFont="1" applyFill="1" applyBorder="1" applyAlignment="1">
      <alignment horizontal="center" vertical="center"/>
    </xf>
    <xf numFmtId="0" fontId="8" fillId="4" borderId="59" xfId="0" applyNumberFormat="1" applyFont="1" applyFill="1" applyBorder="1" applyAlignment="1">
      <alignment horizontal="center" vertical="center"/>
    </xf>
    <xf numFmtId="0" fontId="8" fillId="4" borderId="28" xfId="0" applyNumberFormat="1" applyFont="1" applyFill="1" applyBorder="1" applyAlignment="1">
      <alignment horizontal="center" vertical="center"/>
    </xf>
    <xf numFmtId="0" fontId="8" fillId="4" borderId="29" xfId="0" applyNumberFormat="1" applyFont="1" applyFill="1" applyBorder="1" applyAlignment="1">
      <alignment horizontal="center" vertical="center"/>
    </xf>
    <xf numFmtId="0" fontId="8" fillId="5" borderId="26" xfId="0" applyNumberFormat="1" applyFont="1" applyFill="1" applyBorder="1" applyAlignment="1">
      <alignment horizontal="center" vertical="center"/>
    </xf>
    <xf numFmtId="0" fontId="8" fillId="5" borderId="27" xfId="0" applyNumberFormat="1" applyFont="1" applyFill="1" applyBorder="1" applyAlignment="1">
      <alignment horizontal="center" vertical="center"/>
    </xf>
    <xf numFmtId="0" fontId="8" fillId="5" borderId="58" xfId="0" applyNumberFormat="1" applyFont="1" applyFill="1" applyBorder="1" applyAlignment="1">
      <alignment horizontal="center" vertical="center"/>
    </xf>
    <xf numFmtId="0" fontId="8" fillId="5" borderId="59" xfId="0" applyNumberFormat="1" applyFont="1" applyFill="1" applyBorder="1" applyAlignment="1">
      <alignment horizontal="center" vertical="center"/>
    </xf>
    <xf numFmtId="0" fontId="8" fillId="5" borderId="28" xfId="0" applyNumberFormat="1" applyFont="1" applyFill="1" applyBorder="1" applyAlignment="1">
      <alignment horizontal="center" vertical="center"/>
    </xf>
    <xf numFmtId="0" fontId="8" fillId="5" borderId="29" xfId="0" applyNumberFormat="1" applyFont="1" applyFill="1" applyBorder="1" applyAlignment="1">
      <alignment horizontal="center" vertical="center"/>
    </xf>
    <xf numFmtId="0" fontId="8" fillId="6" borderId="26" xfId="0" applyNumberFormat="1" applyFont="1" applyFill="1" applyBorder="1" applyAlignment="1">
      <alignment horizontal="center" vertical="center"/>
    </xf>
    <xf numFmtId="0" fontId="8" fillId="6" borderId="27" xfId="0" applyNumberFormat="1" applyFont="1" applyFill="1" applyBorder="1" applyAlignment="1">
      <alignment horizontal="center" vertical="center"/>
    </xf>
    <xf numFmtId="0" fontId="8" fillId="6" borderId="58" xfId="0" applyNumberFormat="1" applyFont="1" applyFill="1" applyBorder="1" applyAlignment="1">
      <alignment horizontal="center" vertical="center"/>
    </xf>
    <xf numFmtId="0" fontId="8" fillId="6" borderId="59" xfId="0" applyNumberFormat="1" applyFont="1" applyFill="1" applyBorder="1" applyAlignment="1">
      <alignment horizontal="center" vertical="center"/>
    </xf>
    <xf numFmtId="0" fontId="8" fillId="6" borderId="28" xfId="0" applyNumberFormat="1" applyFont="1" applyFill="1" applyBorder="1" applyAlignment="1">
      <alignment horizontal="center" vertical="center"/>
    </xf>
    <xf numFmtId="0" fontId="8" fillId="6" borderId="29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5" fillId="2" borderId="9" xfId="0" applyNumberFormat="1" applyFont="1" applyFill="1" applyBorder="1" applyAlignment="1">
      <alignment horizontal="center" vertical="center" wrapText="1"/>
    </xf>
    <xf numFmtId="0" fontId="5" fillId="2" borderId="8" xfId="0" applyNumberFormat="1" applyFont="1" applyFill="1" applyBorder="1" applyAlignment="1">
      <alignment horizontal="center" vertical="center" wrapText="1"/>
    </xf>
    <xf numFmtId="0" fontId="5" fillId="16" borderId="48" xfId="0" applyNumberFormat="1" applyFont="1" applyFill="1" applyBorder="1" applyAlignment="1">
      <alignment horizontal="center" vertical="center" wrapText="1"/>
    </xf>
    <xf numFmtId="0" fontId="5" fillId="16" borderId="7" xfId="0" applyNumberFormat="1" applyFont="1" applyFill="1" applyBorder="1" applyAlignment="1">
      <alignment horizontal="center" vertical="center" wrapText="1"/>
    </xf>
    <xf numFmtId="0" fontId="5" fillId="16" borderId="9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6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9" formatCode="0%"/>
    </dxf>
    <dxf>
      <numFmt numFmtId="173" formatCode="[&gt;=1000]#,##0;#,##0.0"/>
    </dxf>
    <dxf>
      <fill>
        <patternFill>
          <bgColor rgb="FFE2EFD9"/>
        </patternFill>
      </fill>
    </dxf>
    <dxf>
      <fill>
        <patternFill>
          <bgColor rgb="FFD9E2F3"/>
        </patternFill>
      </fill>
    </dxf>
    <dxf>
      <fill>
        <patternFill>
          <bgColor rgb="FFFFF2CB"/>
        </patternFill>
      </fill>
    </dxf>
    <dxf>
      <fill>
        <patternFill>
          <bgColor rgb="FFE2EFD9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Config!$D$82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Config!$D$83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calculos!$M$12:$M$42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Config!$D$87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calculos!$Z$12:$Z$42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calculos!$BB$349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calculos!$Y$12:$Y$42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calculos!$BE$12:$BE$42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calculos!$AN$349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calculos!$AO$349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calculos!$AV$349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calculos!$BB$12:$BB$42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calculos!$AW$349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calculos!$AN$349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calculos!$AZ$93:$AZ$97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calculos!$AO$349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calculos!$BA$93:$BA$97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calculos!$AV$349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calculos!$BB$93:$BB$97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calculos!$AW$349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calculos!$BC$93:$BC$97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AI3" totalsRowShown="0">
  <autoFilter ref="A2:AI3"/>
  <tableColumns count="35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Linhas NF"/>
    <tableColumn id="7" name="IN Caixas Movimentadas"/>
    <tableColumn id="8" name="IN Peças Movimentadas"/>
    <tableColumn id="9" name="IN Itens Recebidos"/>
    <tableColumn id="10" name="IN Itens Recebidos CX Mista"/>
    <tableColumn id="11" name="IN Caixas Fechadas"/>
    <tableColumn id="12" name="IN Caixas Mistas Recebidas"/>
    <tableColumn id="13" name="OUT Veículos Expedidos"/>
    <tableColumn id="14" name="OUT Pedidos Expedidos"/>
    <tableColumn id="15" name="OUT Pedidos Faturados"/>
    <tableColumn id="16" name="OUT Itens Expedidos"/>
    <tableColumn id="17" name="OUT Peças Movimentadas"/>
    <tableColumn id="18" name="OUT Linhas NF"/>
    <tableColumn id="19" name="OUT Caixas Expedidas"/>
    <tableColumn id="20" name="OUT Pallets Movimentados"/>
    <tableColumn id="21" name="OUT Toneladas Movimentadas"/>
    <tableColumn id="22" name="NC Incidentes"/>
    <tableColumn id="23" name="NC No show"/>
    <tableColumn id="24" name="NC Backlog"/>
    <tableColumn id="25" name="Posições Disponíveis"/>
    <tableColumn id="26" name="Posições Ocupadas"/>
    <tableColumn id="27" name="Efetivo Op."/>
    <tableColumn id="28" name="Falta"/>
    <tableColumn id="29" name="Folga"/>
    <tableColumn id="30" name="Férias"/>
    <tableColumn id="31" name="Desligamento"/>
    <tableColumn id="32" name="Desvios Comportamentais"/>
    <tableColumn id="33" name="Acidentes CAF"/>
    <tableColumn id="34" name="Acidentes SAF"/>
    <tableColumn id="35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97"/>
      <c r="B1" s="97"/>
      <c r="C1" s="97"/>
      <c r="D1" s="97"/>
      <c r="E1" s="97"/>
      <c r="F1" s="97"/>
      <c r="G1" s="99" t="str">
        <f>"DASHBOARD · INDICADORES OPERACIONAIS"&amp;IF(calculos!$E$2="",""," · "&amp;calculos!$E$2)</f>
        <v>DASHBOARD · INDICADORES OPERACIONAIS · TPC</v>
      </c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3" ht="26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L3" s="100" t="inlineStr">
        <is>
          <t xml:space="preserve">PERÍODO  ▸</t>
        </is>
      </c>
      <c r="M3" s="100"/>
      <c r="N3" s="100"/>
      <c r="O3" s="100"/>
      <c r="Q3" s="104">
        <v>46296</v>
      </c>
      <c r="R3" s="105"/>
      <c r="S3" s="106"/>
      <c r="T3" s="107" t="inlineStr">
        <is>
          <t xml:space="preserve">até</t>
        </is>
      </c>
      <c r="V3" s="104">
        <v>46326</v>
      </c>
      <c r="W3" s="105"/>
      <c r="X3" s="106"/>
    </row>
    <row r="4" ht="16" customHeight="1">
      <c r="B4" s="108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</row>
    <row r="6" ht="46" customHeight="1">
      <c r="B6" s="115"/>
      <c r="C6" s="116" t="str">
        <f>Config!$D$60&amp;""</f>
        <v>RECEBIMENTO (IN)</v>
      </c>
      <c r="D6" s="116"/>
      <c r="E6" s="116"/>
      <c r="G6" s="121"/>
      <c r="H6" s="122" t="str">
        <f>Config!$D$62&amp;""</f>
        <v>EXPEDIÇÃO (OUT)</v>
      </c>
      <c r="I6" s="122"/>
      <c r="J6" s="122"/>
      <c r="L6" s="123"/>
      <c r="M6" s="124" t="str">
        <f>Config!$D$64&amp;""</f>
        <v>NC OPERACIONAL</v>
      </c>
      <c r="N6" s="124"/>
      <c r="O6" s="124"/>
      <c r="Q6" s="115"/>
      <c r="R6" s="116" t="str">
        <f>Config!$D$68&amp;""</f>
        <v>ÍNDICE DE OCUPAÇÃO (P.P)</v>
      </c>
      <c r="S6" s="116"/>
      <c r="T6" s="116"/>
      <c r="V6" s="133"/>
      <c r="W6" s="134" t="str">
        <f>Config!$D$74&amp;""</f>
        <v>GENTE</v>
      </c>
      <c r="X6" s="134"/>
      <c r="Y6" s="134"/>
    </row>
    <row r="7" ht="20" customHeight="1">
      <c r="B7" s="117">
        <f>IF(calculos!$AX$349="Não se aplica","—",calculos!$B$307)</f>
        <v>0</v>
      </c>
      <c r="C7" s="117"/>
      <c r="D7" s="117"/>
      <c r="E7" s="117"/>
      <c r="G7" s="117">
        <f>IF(calculos!$AY$349="Não se aplica","—",calculos!$B$310)</f>
        <v>0</v>
      </c>
      <c r="H7" s="117"/>
      <c r="I7" s="117"/>
      <c r="J7" s="117"/>
      <c r="L7" s="117">
        <f>calculos!$B$313</f>
        <v>0</v>
      </c>
      <c r="M7" s="117"/>
      <c r="N7" s="117"/>
      <c r="O7" s="117"/>
      <c r="Q7" s="125" t="str">
        <f>IF(OR(calculos!$AZ$349="Completo",calculos!$AZ$349=""),calculos!$BA$349&amp;"","")</f>
        <v>ARMAZÉM</v>
      </c>
      <c r="R7" s="125"/>
      <c r="S7" s="129" t="str">
        <f>IF(OR(calculos!$AZ$349="Completo",calculos!$AZ$349=""),calculos!$B$317,"")</f>
        <v/>
      </c>
      <c r="T7" s="129"/>
      <c r="V7" s="125" t="str">
        <f>Config!$D$75&amp;""</f>
        <v>EFETIVO</v>
      </c>
      <c r="W7" s="125"/>
      <c r="X7" s="126" t="str">
        <f>calculos!$B$320</f>
        <v/>
      </c>
      <c r="Y7" s="126"/>
    </row>
    <row r="8" ht="20" customHeight="1">
      <c r="B8" s="117"/>
      <c r="C8" s="117"/>
      <c r="D8" s="117"/>
      <c r="E8" s="117"/>
      <c r="G8" s="117"/>
      <c r="H8" s="117"/>
      <c r="I8" s="117"/>
      <c r="J8" s="117"/>
      <c r="L8" s="117"/>
      <c r="M8" s="117"/>
      <c r="N8" s="117"/>
      <c r="O8" s="117"/>
      <c r="Q8" s="125" t="str">
        <f>IF(calculos!$AZ$349="Não se aplica","",Config!$D$71&amp;"")</f>
        <v>OCUPADA</v>
      </c>
      <c r="R8" s="125"/>
      <c r="S8" s="129" t="str">
        <f>IF(calculos!$AZ$349="Não se aplica","",calculos!$B$316)</f>
        <v/>
      </c>
      <c r="T8" s="129"/>
      <c r="V8" s="125" t="str">
        <f>Config!$D$76&amp;""</f>
        <v>ABSENTEÍSMO (H/H)</v>
      </c>
      <c r="W8" s="125"/>
      <c r="X8" s="130" t="str">
        <f>calculos!$B$323</f>
        <v/>
      </c>
      <c r="Y8" s="130"/>
    </row>
    <row r="9" ht="20" customHeight="1">
      <c r="B9" s="117"/>
      <c r="C9" s="117"/>
      <c r="D9" s="117"/>
      <c r="E9" s="117"/>
      <c r="G9" s="117"/>
      <c r="H9" s="117"/>
      <c r="I9" s="117"/>
      <c r="J9" s="117"/>
      <c r="L9" s="117"/>
      <c r="M9" s="117"/>
      <c r="N9" s="117"/>
      <c r="O9" s="117"/>
      <c r="Q9" s="125" t="str">
        <f>IF(OR(calculos!$AZ$349="Completo",calculos!$AZ$349=""),Config!$D$72&amp;"","")</f>
        <v>TX OCUPAÇÃO</v>
      </c>
      <c r="R9" s="125"/>
      <c r="S9" s="130" t="str">
        <f>IF(OR(calculos!$AZ$349="Completo",calculos!$AZ$349=""),calculos!$B$318,"")</f>
        <v/>
      </c>
      <c r="T9" s="130"/>
      <c r="V9" s="125" t="str">
        <f>Config!$D$77&amp;""</f>
        <v>FÉRIAS</v>
      </c>
      <c r="W9" s="125"/>
      <c r="X9" s="126">
        <f>calculos!$B$325</f>
        <v>0</v>
      </c>
      <c r="Y9" s="126"/>
    </row>
    <row r="10" ht="20" customHeight="1">
      <c r="B10" s="118" t="str">
        <f>IF(calculos!$AX$349="Não se aplica","não se aplica a este cliente",Config!$D$61&amp;"")</f>
        <v>veículos recebidos</v>
      </c>
      <c r="C10" s="118"/>
      <c r="D10" s="118"/>
      <c r="E10" s="118"/>
      <c r="G10" s="118" t="str">
        <f>IF(calculos!$AY$349="Não se aplica","não se aplica a este cliente",Config!$D$63&amp;"")</f>
        <v>veículos expedidos</v>
      </c>
      <c r="H10" s="118"/>
      <c r="I10" s="118"/>
      <c r="J10" s="118"/>
      <c r="L10" s="118" t="str">
        <f>Config!$D$65&amp;""</f>
        <v>incidentes no período</v>
      </c>
      <c r="M10" s="118"/>
      <c r="N10" s="118"/>
      <c r="O10" s="118"/>
      <c r="Q10" s="125" t="str">
        <f>IF(OR(calculos!$AZ$349="Completo",calculos!$AZ$349=""),Config!$D$73&amp;"","")</f>
        <v>OCIOSIDADE</v>
      </c>
      <c r="R10" s="125"/>
      <c r="S10" s="131" t="str">
        <f>IF(OR(calculos!$AZ$349="Completo",calculos!$AZ$349=""),calculos!$B$319,"")</f>
        <v/>
      </c>
      <c r="T10" s="131"/>
      <c r="V10" s="125" t="str">
        <f>Config!$D$78&amp;""</f>
        <v>TURNOVER</v>
      </c>
      <c r="W10" s="125"/>
      <c r="X10" s="130" t="str">
        <f>calculos!$B$327</f>
        <v/>
      </c>
      <c r="Y10" s="130"/>
    </row>
    <row r="11" ht="20" customHeight="1">
      <c r="B11" s="119" t="str">
        <f>IF(calculos!$AX$349="Não se aplica","",calculos!$B$347)</f>
        <v>0 pallets movimentados</v>
      </c>
      <c r="C11" s="119"/>
      <c r="D11" s="119"/>
      <c r="E11" s="119"/>
      <c r="G11" s="119" t="str">
        <f>IF(calculos!$AY$349="Não se aplica","",calculos!$F$347)</f>
        <v>0 pallets movimentados</v>
      </c>
      <c r="H11" s="119"/>
      <c r="I11" s="119"/>
      <c r="J11" s="119"/>
      <c r="L11" s="125" t="str">
        <f>Config!$D$66&amp;""</f>
        <v>NO SHOW</v>
      </c>
      <c r="M11" s="125"/>
      <c r="N11" s="126">
        <f>calculos!$B$314</f>
        <v>0</v>
      </c>
      <c r="O11" s="126"/>
      <c r="Q11" s="132" t="str">
        <f>IF(calculos!$AZ$349="Não se aplica","não se aplica a este cliente",IF(calculos!$AZ$349="Só ocupadas","só posições ocupadas · sem contrato (Spot / Cross)",IF(ISNUMBER(calculos!$B$318),"taxa de ocupação · "&amp;IF(calculos!$B$318&gt;1,"excede o contratado",IF(calculos!$B$318&gt;=calculos!$B$6,"ocupação alta",IF(calculos!$B$318&gt;=calculos!$B$5,"ocupação média","ociosidade alta"))),"")))</f>
        <v/>
      </c>
      <c r="R11" s="132"/>
      <c r="S11" s="132"/>
      <c r="T11" s="132"/>
      <c r="V11" s="125" t="str">
        <f>Config!$D$79&amp;""</f>
        <v>DESVIOS COMPORTAM.</v>
      </c>
      <c r="W11" s="125"/>
      <c r="X11" s="126">
        <f>calculos!$B$328</f>
        <v>0</v>
      </c>
      <c r="Y11" s="126"/>
    </row>
    <row r="12" ht="20" customHeight="1">
      <c r="B12" s="119" t="str">
        <f>IF(calculos!$AX$349="Não se aplica","",calculos!$D$347)</f>
        <v>0,0 t movimentadas</v>
      </c>
      <c r="C12" s="119"/>
      <c r="D12" s="119"/>
      <c r="E12" s="119"/>
      <c r="G12" s="119" t="str">
        <f>IF(calculos!$AY$349="Não se aplica","",calculos!$H$347)</f>
        <v>0,0 t movimentadas</v>
      </c>
      <c r="H12" s="119"/>
      <c r="I12" s="119"/>
      <c r="J12" s="119"/>
      <c r="L12" s="127" t="str">
        <f>Config!$D$67&amp;""</f>
        <v>BACKLOG</v>
      </c>
      <c r="M12" s="127"/>
      <c r="N12" s="128" t="str">
        <f>calculos!$B$315</f>
        <v/>
      </c>
      <c r="O12" s="128"/>
      <c r="Q12" s="132"/>
      <c r="R12" s="132"/>
      <c r="S12" s="132"/>
      <c r="T12" s="132"/>
      <c r="V12" s="127" t="str">
        <f>Config!$D$80&amp;""</f>
        <v>ACIDENTES (CAF/SAF)</v>
      </c>
      <c r="W12" s="127"/>
      <c r="X12" s="135" t="str">
        <f>N(calculos!$B$329)&amp;" / "&amp;N(calculos!$B$330)</f>
        <v>0 / 0</v>
      </c>
      <c r="Y12" s="135"/>
    </row>
    <row r="13" ht="18" customHeight="1">
      <c r="B13" s="120" t="str">
        <f>IF(calculos!$AX$349="Não se aplica","",calculos!$D$307)</f>
        <v/>
      </c>
      <c r="C13" s="120"/>
      <c r="D13" s="120"/>
      <c r="E13" s="120"/>
      <c r="G13" s="120" t="str">
        <f>IF(calculos!$AY$349="Não se aplica","",calculos!$D$310)</f>
        <v/>
      </c>
      <c r="H13" s="120"/>
      <c r="I13" s="120"/>
      <c r="J13" s="120"/>
      <c r="L13" s="120" t="str">
        <f>calculos!$D$313</f>
        <v/>
      </c>
      <c r="M13" s="120"/>
      <c r="N13" s="120"/>
      <c r="O13" s="120"/>
      <c r="Q13" s="120" t="str">
        <f>IF(AND(calculos!$AZ$349&lt;&gt;"Completo",calculos!$AZ$349&lt;&gt;""),"",calculos!$D$318)</f>
        <v/>
      </c>
      <c r="R13" s="120"/>
      <c r="S13" s="120"/>
      <c r="T13" s="120"/>
      <c r="V13" s="120" t="str">
        <f>calculos!$D$320</f>
        <v/>
      </c>
      <c r="W13" s="120"/>
      <c r="X13" s="120"/>
      <c r="Y13" s="120"/>
    </row>
    <row r="65">
      <c r="B65" s="136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</row>
  </sheetData>
  <sheetProtection password="CC78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N(calculos!$B$328)&gt;0</formula>
    </cfRule>
  </conditionalFormatting>
  <conditionalFormatting sqref="X11">
    <cfRule type="expression" dxfId="7" priority="11">
      <formula>N(calculos!$B$328)=0</formula>
    </cfRule>
  </conditionalFormatting>
  <conditionalFormatting sqref="X12">
    <cfRule type="expression" dxfId="8" priority="12" stopIfTrue="1">
      <formula>N(calculos!$B$329)+N(calculos!$B$330)&gt;0</formula>
    </cfRule>
  </conditionalFormatting>
  <conditionalFormatting sqref="X12">
    <cfRule type="expression" dxfId="7" priority="13">
      <formula>N(calculos!$B$329)+N(calculos!$B$330)=0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OFFSET(calculos!$AP$12,0,0,1+calculos!$AP$10,1)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BA41"/>
  <sheetViews>
    <sheetView showGridLines="0" zoomScale="100" zoomScaleNormal="100" workbookViewId="0">
      <pane xSplit="5" ySplit="6" topLeftCell="F7" activePane="bottomRight" state="frozen"/>
      <selection pane="bottomRight" activeCell="F7" sqref="F7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  <col min="38" max="38" width="2" customWidth="1" hidden="1"/>
    <col min="39" max="39" width="2" customWidth="1" hidden="1"/>
    <col min="40" max="40" width="10" customWidth="1" hidden="1"/>
    <col min="41" max="41" width="10" customWidth="1" hidden="1"/>
    <col min="42" max="42" width="10" customWidth="1" hidden="1"/>
    <col min="43" max="43" width="10" customWidth="1" hidden="1"/>
    <col min="44" max="44" width="10" customWidth="1" hidden="1"/>
    <col min="45" max="45" width="10" customWidth="1" hidden="1"/>
    <col min="46" max="46" width="10" customWidth="1" hidden="1"/>
    <col min="47" max="47" width="10" customWidth="1" hidden="1"/>
    <col min="48" max="48" width="10" customWidth="1" hidden="1"/>
    <col min="49" max="49" width="10" customWidth="1" hidden="1"/>
    <col min="50" max="50" width="10" customWidth="1" hidden="1"/>
    <col min="51" max="51" width="10" customWidth="1" hidden="1"/>
    <col min="52" max="52" width="10" customWidth="1" hidden="1"/>
    <col min="53" max="53" width="10" customWidth="1" hidden="1"/>
  </cols>
  <sheetData>
    <row r="1" ht="34.5" customHeight="1">
      <c r="A1" s="97"/>
      <c r="B1" s="97"/>
      <c r="C1" s="97"/>
      <c r="D1" s="97"/>
      <c r="E1" s="97"/>
      <c r="F1" s="97"/>
      <c r="G1" s="137" t="inlineStr">
        <is>
          <t xml:space="preserve">MONITORAMENTO DIÁRIO DE PERFORMANCE · TPC</t>
        </is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8" t="inlineStr">
        <is>
          <t xml:space="preserve">OUTUBRO · 2026</t>
        </is>
      </c>
      <c r="AF1" s="138"/>
      <c r="AG1" s="138"/>
      <c r="AH1" s="138"/>
      <c r="AI1" s="138"/>
      <c r="AJ1" s="138"/>
      <c r="AK1" s="138"/>
    </row>
    <row r="2" ht="24" customHeight="1">
      <c r="A2" s="100" t="inlineStr">
        <is>
          <t xml:space="preserve">CLIENTE  ▸</t>
        </is>
      </c>
      <c r="B2" s="100"/>
      <c r="C2" s="139" t="inlineStr">
        <is>
          <t xml:space="preserve">Alpargatas</t>
        </is>
      </c>
      <c r="D2" s="140"/>
      <c r="F2" s="141" t="inlineStr">
        <is>
          <t xml:space="preserve">Escolha o cliente (célula amarela) e o mês (célula vermelha). Linhas = indicadores que o cliente usa, conforme a aba Config.</t>
        </is>
      </c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</row>
    <row r="4" ht="19.5" customHeight="1">
      <c r="A4" s="142" t="inlineStr">
        <is>
          <t xml:space="preserve">CLIENTE</t>
        </is>
      </c>
      <c r="B4" s="144" t="inlineStr">
        <is>
          <t xml:space="preserve">INDICADORES</t>
        </is>
      </c>
      <c r="C4" s="145"/>
      <c r="D4" s="148" t="inlineStr">
        <is>
          <t xml:space="preserve">META</t>
        </is>
      </c>
      <c r="F4" s="150" t="inlineStr">
        <is>
          <t xml:space="preserve">REALIZADO P/DIA</t>
        </is>
      </c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  <c r="AG4" s="151"/>
      <c r="AH4" s="151"/>
      <c r="AI4" s="151"/>
      <c r="AJ4" s="152"/>
      <c r="AK4" s="153" t="inlineStr">
        <is>
          <t xml:space="preserve">MÊS</t>
        </is>
      </c>
    </row>
    <row r="5" ht="13.5" customHeight="1">
      <c r="A5" s="143"/>
      <c r="B5" s="146"/>
      <c r="C5" s="147"/>
      <c r="D5" s="149"/>
      <c r="F5" s="155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5" s="156">
        <f>IF(F5="","",IF(MONTH(F5+1)=MONTH($F$5),F5+1,""))</f>
        <v>46297</v>
      </c>
      <c r="H5" s="156">
        <f>IF(G5="","",IF(MONTH(G5+1)=MONTH($F$5),G5+1,""))</f>
        <v>46298</v>
      </c>
      <c r="I5" s="156">
        <f>IF(H5="","",IF(MONTH(H5+1)=MONTH($F$5),H5+1,""))</f>
        <v>46299</v>
      </c>
      <c r="J5" s="156">
        <f>IF(I5="","",IF(MONTH(I5+1)=MONTH($F$5),I5+1,""))</f>
        <v>46300</v>
      </c>
      <c r="K5" s="156">
        <f>IF(J5="","",IF(MONTH(J5+1)=MONTH($F$5),J5+1,""))</f>
        <v>46301</v>
      </c>
      <c r="L5" s="156">
        <f>IF(K5="","",IF(MONTH(K5+1)=MONTH($F$5),K5+1,""))</f>
        <v>46302</v>
      </c>
      <c r="M5" s="156">
        <f>IF(L5="","",IF(MONTH(L5+1)=MONTH($F$5),L5+1,""))</f>
        <v>46303</v>
      </c>
      <c r="N5" s="156">
        <f>IF(M5="","",IF(MONTH(M5+1)=MONTH($F$5),M5+1,""))</f>
        <v>46304</v>
      </c>
      <c r="O5" s="156">
        <f>IF(N5="","",IF(MONTH(N5+1)=MONTH($F$5),N5+1,""))</f>
        <v>46305</v>
      </c>
      <c r="P5" s="156">
        <f>IF(O5="","",IF(MONTH(O5+1)=MONTH($F$5),O5+1,""))</f>
        <v>46306</v>
      </c>
      <c r="Q5" s="156">
        <f>IF(P5="","",IF(MONTH(P5+1)=MONTH($F$5),P5+1,""))</f>
        <v>46307</v>
      </c>
      <c r="R5" s="156">
        <f>IF(Q5="","",IF(MONTH(Q5+1)=MONTH($F$5),Q5+1,""))</f>
        <v>46308</v>
      </c>
      <c r="S5" s="156">
        <f>IF(R5="","",IF(MONTH(R5+1)=MONTH($F$5),R5+1,""))</f>
        <v>46309</v>
      </c>
      <c r="T5" s="156">
        <f>IF(S5="","",IF(MONTH(S5+1)=MONTH($F$5),S5+1,""))</f>
        <v>46310</v>
      </c>
      <c r="U5" s="156">
        <f>IF(T5="","",IF(MONTH(T5+1)=MONTH($F$5),T5+1,""))</f>
        <v>46311</v>
      </c>
      <c r="V5" s="156">
        <f>IF(U5="","",IF(MONTH(U5+1)=MONTH($F$5),U5+1,""))</f>
        <v>46312</v>
      </c>
      <c r="W5" s="156">
        <f>IF(V5="","",IF(MONTH(V5+1)=MONTH($F$5),V5+1,""))</f>
        <v>46313</v>
      </c>
      <c r="X5" s="156">
        <f>IF(W5="","",IF(MONTH(W5+1)=MONTH($F$5),W5+1,""))</f>
        <v>46314</v>
      </c>
      <c r="Y5" s="156">
        <f>IF(X5="","",IF(MONTH(X5+1)=MONTH($F$5),X5+1,""))</f>
        <v>46315</v>
      </c>
      <c r="Z5" s="156">
        <f>IF(Y5="","",IF(MONTH(Y5+1)=MONTH($F$5),Y5+1,""))</f>
        <v>46316</v>
      </c>
      <c r="AA5" s="156">
        <f>IF(Z5="","",IF(MONTH(Z5+1)=MONTH($F$5),Z5+1,""))</f>
        <v>46317</v>
      </c>
      <c r="AB5" s="156">
        <f>IF(AA5="","",IF(MONTH(AA5+1)=MONTH($F$5),AA5+1,""))</f>
        <v>46318</v>
      </c>
      <c r="AC5" s="156">
        <f>IF(AB5="","",IF(MONTH(AB5+1)=MONTH($F$5),AB5+1,""))</f>
        <v>46319</v>
      </c>
      <c r="AD5" s="156">
        <f>IF(AC5="","",IF(MONTH(AC5+1)=MONTH($F$5),AC5+1,""))</f>
        <v>46320</v>
      </c>
      <c r="AE5" s="156">
        <f>IF(AD5="","",IF(MONTH(AD5+1)=MONTH($F$5),AD5+1,""))</f>
        <v>46321</v>
      </c>
      <c r="AF5" s="156">
        <f>IF(AE5="","",IF(MONTH(AE5+1)=MONTH($F$5),AE5+1,""))</f>
        <v>46322</v>
      </c>
      <c r="AG5" s="156">
        <f>IF(AF5="","",IF(MONTH(AF5+1)=MONTH($F$5),AF5+1,""))</f>
        <v>46323</v>
      </c>
      <c r="AH5" s="156">
        <f>IF(AG5="","",IF(MONTH(AG5+1)=MONTH($F$5),AG5+1,""))</f>
        <v>46324</v>
      </c>
      <c r="AI5" s="156">
        <f>IF(AH5="","",IF(MONTH(AH5+1)=MONTH($F$5),AH5+1,""))</f>
        <v>46325</v>
      </c>
      <c r="AJ5" s="157">
        <f>IF(AI5="","",IF(MONTH(AI5+1)=MONTH($F$5),AI5+1,""))</f>
        <v>46326</v>
      </c>
      <c r="AK5" s="154"/>
      <c r="AN5" s="158" t="inlineStr">
        <is>
          <t xml:space="preserve">Indicador</t>
        </is>
      </c>
      <c r="AO5" s="158" t="inlineStr">
        <is>
          <t xml:space="preserve">Grupo</t>
        </is>
      </c>
      <c r="AP5" s="158" t="inlineStr">
        <is>
          <t xml:space="preserve">Coluna BD</t>
        </is>
      </c>
      <c r="AQ5" s="158" t="inlineStr">
        <is>
          <t xml:space="preserve">Tipo</t>
        </is>
      </c>
      <c r="AR5" s="158" t="inlineStr">
        <is>
          <t xml:space="preserve">Linha meta</t>
        </is>
      </c>
      <c r="AS5" s="158" t="inlineStr">
        <is>
          <t xml:space="preserve">Formato</t>
        </is>
      </c>
      <c r="AT5" s="158" t="inlineStr">
        <is>
          <t xml:space="preserve">Usa?</t>
        </is>
      </c>
      <c r="AU5" s="158" t="inlineStr">
        <is>
          <t xml:space="preserve">Nº</t>
        </is>
      </c>
      <c r="AW5" s="158" t="inlineStr">
        <is>
          <t xml:space="preserve">Linha →</t>
        </is>
      </c>
      <c r="AX5" s="158" t="inlineStr">
        <is>
          <t xml:space="preserve">Col BD</t>
        </is>
      </c>
      <c r="AY5" s="158" t="inlineStr">
        <is>
          <t xml:space="preserve">Tipo</t>
        </is>
      </c>
      <c r="AZ5" s="158" t="inlineStr">
        <is>
          <t xml:space="preserve">Formato</t>
        </is>
      </c>
      <c r="BA5" s="158" t="inlineStr">
        <is>
          <t xml:space="preserve">Meta</t>
        </is>
      </c>
    </row>
    <row r="7" ht="15.75" customHeight="1">
      <c r="A7" s="181" t="str">
        <f>$C$2&amp;""</f>
        <v>Alpargatas</v>
      </c>
      <c r="B7" s="160" t="str">
        <f>IF($AW7=0,"",INDEX($AO$7:$AO$39,$AW7))</f>
        <v>IN</v>
      </c>
      <c r="C7" s="161" t="str">
        <f>IF($AW7=0,"",INDEX($AN$7:$AN$39,$AW7))</f>
        <v>Veículos Recebidos</v>
      </c>
      <c r="D7" s="162" t="str">
        <f>IF(OR($AW7=0,N($BA7)=0),"",IFERROR(1/(1/INDEX(BD!$AL$23:$BF$55,$BA7,MATCH($C$2,BD!$AL$22:$BF$22,0))),""))</f>
        <v/>
      </c>
      <c r="E7" s="163"/>
      <c r="F7" s="164" t="str">
        <f>IF(OR($AW7=0,F$5=""),"",IF($AY7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7),"&lt;&gt;")=0,"",SUMIFS(INDEX(BD!$A$3:$AI$5001,0,$AX7),BD!$A$3:$A$5001,F$5,BD!$B$3:$B$5001,$C$2))))</f>
        <v/>
      </c>
      <c r="G7" s="165" t="str">
        <f>IF(OR($AW7=0,G$5=""),"",IF($AY7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7),"&lt;&gt;")=0,"",SUMIFS(INDEX(BD!$A$3:$AI$5001,0,$AX7),BD!$A$3:$A$5001,G$5,BD!$B$3:$B$5001,$C$2))))</f>
        <v/>
      </c>
      <c r="H7" s="165" t="str">
        <f>IF(OR($AW7=0,H$5=""),"",IF($AY7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7),"&lt;&gt;")=0,"",SUMIFS(INDEX(BD!$A$3:$AI$5001,0,$AX7),BD!$A$3:$A$5001,H$5,BD!$B$3:$B$5001,$C$2))))</f>
        <v/>
      </c>
      <c r="I7" s="165" t="str">
        <f>IF(OR($AW7=0,I$5=""),"",IF($AY7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7),"&lt;&gt;")=0,"",SUMIFS(INDEX(BD!$A$3:$AI$5001,0,$AX7),BD!$A$3:$A$5001,I$5,BD!$B$3:$B$5001,$C$2))))</f>
        <v/>
      </c>
      <c r="J7" s="165" t="str">
        <f>IF(OR($AW7=0,J$5=""),"",IF($AY7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7),"&lt;&gt;")=0,"",SUMIFS(INDEX(BD!$A$3:$AI$5001,0,$AX7),BD!$A$3:$A$5001,J$5,BD!$B$3:$B$5001,$C$2))))</f>
        <v/>
      </c>
      <c r="K7" s="165" t="str">
        <f>IF(OR($AW7=0,K$5=""),"",IF($AY7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7),"&lt;&gt;")=0,"",SUMIFS(INDEX(BD!$A$3:$AI$5001,0,$AX7),BD!$A$3:$A$5001,K$5,BD!$B$3:$B$5001,$C$2))))</f>
        <v/>
      </c>
      <c r="L7" s="165" t="str">
        <f>IF(OR($AW7=0,L$5=""),"",IF($AY7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7),"&lt;&gt;")=0,"",SUMIFS(INDEX(BD!$A$3:$AI$5001,0,$AX7),BD!$A$3:$A$5001,L$5,BD!$B$3:$B$5001,$C$2))))</f>
        <v/>
      </c>
      <c r="M7" s="165" t="str">
        <f>IF(OR($AW7=0,M$5=""),"",IF($AY7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7),"&lt;&gt;")=0,"",SUMIFS(INDEX(BD!$A$3:$AI$5001,0,$AX7),BD!$A$3:$A$5001,M$5,BD!$B$3:$B$5001,$C$2))))</f>
        <v/>
      </c>
      <c r="N7" s="165" t="str">
        <f>IF(OR($AW7=0,N$5=""),"",IF($AY7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7),"&lt;&gt;")=0,"",SUMIFS(INDEX(BD!$A$3:$AI$5001,0,$AX7),BD!$A$3:$A$5001,N$5,BD!$B$3:$B$5001,$C$2))))</f>
        <v/>
      </c>
      <c r="O7" s="165" t="str">
        <f>IF(OR($AW7=0,O$5=""),"",IF($AY7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7),"&lt;&gt;")=0,"",SUMIFS(INDEX(BD!$A$3:$AI$5001,0,$AX7),BD!$A$3:$A$5001,O$5,BD!$B$3:$B$5001,$C$2))))</f>
        <v/>
      </c>
      <c r="P7" s="165" t="str">
        <f>IF(OR($AW7=0,P$5=""),"",IF($AY7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7),"&lt;&gt;")=0,"",SUMIFS(INDEX(BD!$A$3:$AI$5001,0,$AX7),BD!$A$3:$A$5001,P$5,BD!$B$3:$B$5001,$C$2))))</f>
        <v/>
      </c>
      <c r="Q7" s="165" t="str">
        <f>IF(OR($AW7=0,Q$5=""),"",IF($AY7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7),"&lt;&gt;")=0,"",SUMIFS(INDEX(BD!$A$3:$AI$5001,0,$AX7),BD!$A$3:$A$5001,Q$5,BD!$B$3:$B$5001,$C$2))))</f>
        <v/>
      </c>
      <c r="R7" s="165" t="str">
        <f>IF(OR($AW7=0,R$5=""),"",IF($AY7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7),"&lt;&gt;")=0,"",SUMIFS(INDEX(BD!$A$3:$AI$5001,0,$AX7),BD!$A$3:$A$5001,R$5,BD!$B$3:$B$5001,$C$2))))</f>
        <v/>
      </c>
      <c r="S7" s="165" t="str">
        <f>IF(OR($AW7=0,S$5=""),"",IF($AY7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7),"&lt;&gt;")=0,"",SUMIFS(INDEX(BD!$A$3:$AI$5001,0,$AX7),BD!$A$3:$A$5001,S$5,BD!$B$3:$B$5001,$C$2))))</f>
        <v/>
      </c>
      <c r="T7" s="165" t="str">
        <f>IF(OR($AW7=0,T$5=""),"",IF($AY7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7),"&lt;&gt;")=0,"",SUMIFS(INDEX(BD!$A$3:$AI$5001,0,$AX7),BD!$A$3:$A$5001,T$5,BD!$B$3:$B$5001,$C$2))))</f>
        <v/>
      </c>
      <c r="U7" s="165" t="str">
        <f>IF(OR($AW7=0,U$5=""),"",IF($AY7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7),"&lt;&gt;")=0,"",SUMIFS(INDEX(BD!$A$3:$AI$5001,0,$AX7),BD!$A$3:$A$5001,U$5,BD!$B$3:$B$5001,$C$2))))</f>
        <v/>
      </c>
      <c r="V7" s="165" t="str">
        <f>IF(OR($AW7=0,V$5=""),"",IF($AY7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7),"&lt;&gt;")=0,"",SUMIFS(INDEX(BD!$A$3:$AI$5001,0,$AX7),BD!$A$3:$A$5001,V$5,BD!$B$3:$B$5001,$C$2))))</f>
        <v/>
      </c>
      <c r="W7" s="165" t="str">
        <f>IF(OR($AW7=0,W$5=""),"",IF($AY7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7),"&lt;&gt;")=0,"",SUMIFS(INDEX(BD!$A$3:$AI$5001,0,$AX7),BD!$A$3:$A$5001,W$5,BD!$B$3:$B$5001,$C$2))))</f>
        <v/>
      </c>
      <c r="X7" s="165" t="str">
        <f>IF(OR($AW7=0,X$5=""),"",IF($AY7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7),"&lt;&gt;")=0,"",SUMIFS(INDEX(BD!$A$3:$AI$5001,0,$AX7),BD!$A$3:$A$5001,X$5,BD!$B$3:$B$5001,$C$2))))</f>
        <v/>
      </c>
      <c r="Y7" s="165" t="str">
        <f>IF(OR($AW7=0,Y$5=""),"",IF($AY7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7),"&lt;&gt;")=0,"",SUMIFS(INDEX(BD!$A$3:$AI$5001,0,$AX7),BD!$A$3:$A$5001,Y$5,BD!$B$3:$B$5001,$C$2))))</f>
        <v/>
      </c>
      <c r="Z7" s="165" t="str">
        <f>IF(OR($AW7=0,Z$5=""),"",IF($AY7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7),"&lt;&gt;")=0,"",SUMIFS(INDEX(BD!$A$3:$AI$5001,0,$AX7),BD!$A$3:$A$5001,Z$5,BD!$B$3:$B$5001,$C$2))))</f>
        <v/>
      </c>
      <c r="AA7" s="165" t="str">
        <f>IF(OR($AW7=0,AA$5=""),"",IF($AY7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7),"&lt;&gt;")=0,"",SUMIFS(INDEX(BD!$A$3:$AI$5001,0,$AX7),BD!$A$3:$A$5001,AA$5,BD!$B$3:$B$5001,$C$2))))</f>
        <v/>
      </c>
      <c r="AB7" s="165" t="str">
        <f>IF(OR($AW7=0,AB$5=""),"",IF($AY7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7),"&lt;&gt;")=0,"",SUMIFS(INDEX(BD!$A$3:$AI$5001,0,$AX7),BD!$A$3:$A$5001,AB$5,BD!$B$3:$B$5001,$C$2))))</f>
        <v/>
      </c>
      <c r="AC7" s="165" t="str">
        <f>IF(OR($AW7=0,AC$5=""),"",IF($AY7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7),"&lt;&gt;")=0,"",SUMIFS(INDEX(BD!$A$3:$AI$5001,0,$AX7),BD!$A$3:$A$5001,AC$5,BD!$B$3:$B$5001,$C$2))))</f>
        <v/>
      </c>
      <c r="AD7" s="165" t="str">
        <f>IF(OR($AW7=0,AD$5=""),"",IF($AY7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7),"&lt;&gt;")=0,"",SUMIFS(INDEX(BD!$A$3:$AI$5001,0,$AX7),BD!$A$3:$A$5001,AD$5,BD!$B$3:$B$5001,$C$2))))</f>
        <v/>
      </c>
      <c r="AE7" s="165" t="str">
        <f>IF(OR($AW7=0,AE$5=""),"",IF($AY7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7),"&lt;&gt;")=0,"",SUMIFS(INDEX(BD!$A$3:$AI$5001,0,$AX7),BD!$A$3:$A$5001,AE$5,BD!$B$3:$B$5001,$C$2))))</f>
        <v/>
      </c>
      <c r="AF7" s="165" t="str">
        <f>IF(OR($AW7=0,AF$5=""),"",IF($AY7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7),"&lt;&gt;")=0,"",SUMIFS(INDEX(BD!$A$3:$AI$5001,0,$AX7),BD!$A$3:$A$5001,AF$5,BD!$B$3:$B$5001,$C$2))))</f>
        <v/>
      </c>
      <c r="AG7" s="165" t="str">
        <f>IF(OR($AW7=0,AG$5=""),"",IF($AY7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7),"&lt;&gt;")=0,"",SUMIFS(INDEX(BD!$A$3:$AI$5001,0,$AX7),BD!$A$3:$A$5001,AG$5,BD!$B$3:$B$5001,$C$2))))</f>
        <v/>
      </c>
      <c r="AH7" s="165" t="str">
        <f>IF(OR($AW7=0,AH$5=""),"",IF($AY7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7),"&lt;&gt;")=0,"",SUMIFS(INDEX(BD!$A$3:$AI$5001,0,$AX7),BD!$A$3:$A$5001,AH$5,BD!$B$3:$B$5001,$C$2))))</f>
        <v/>
      </c>
      <c r="AI7" s="165" t="str">
        <f>IF(OR($AW7=0,AI$5=""),"",IF($AY7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7),"&lt;&gt;")=0,"",SUMIFS(INDEX(BD!$A$3:$AI$5001,0,$AX7),BD!$A$3:$A$5001,AI$5,BD!$B$3:$B$5001,$C$2))))</f>
        <v/>
      </c>
      <c r="AJ7" s="166" t="str">
        <f>IF(OR($AW7=0,AJ$5=""),"",IF($AY7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7),"&lt;&gt;")=0,"",SUMIFS(INDEX(BD!$A$3:$AI$5001,0,$AX7),BD!$A$3:$A$5001,AJ$5,BD!$B$3:$B$5001,$C$2))))</f>
        <v/>
      </c>
      <c r="AK7" s="162" t="str">
        <f>IF($AW7=0,"",IF($AY7="fluxo",IF(COUNT(F7:AJ7)=0,"",SUM(F7:AJ7)),IFERROR(LOOKUP(9.99E+307,F7:AJ7),"")))</f>
        <v/>
      </c>
      <c r="AN7" s="159" t="inlineStr">
        <is>
          <t xml:space="preserve">Veículos Recebidos</t>
        </is>
      </c>
      <c r="AO7" s="159" t="inlineStr">
        <is>
          <t xml:space="preserve">IN</t>
        </is>
      </c>
      <c r="AP7" s="159">
        <v>3</v>
      </c>
      <c r="AQ7" s="159" t="inlineStr">
        <is>
          <t xml:space="preserve">fluxo</t>
        </is>
      </c>
      <c r="AR7" s="159">
        <v>1</v>
      </c>
      <c r="AS7" s="159" t="inlineStr">
        <is>
          <t xml:space="preserve">int</t>
        </is>
      </c>
      <c r="AT7" s="159">
        <f>IF($C$2="",0,IF(IFERROR(INDEX(Config!$D$35:$D$54,MATCH($C$2,Config!$B$35:$B$54,0)),"Sim")="Não",0,1))</f>
        <v>1</v>
      </c>
      <c r="AU7" s="159">
        <f>AT7</f>
        <v>1</v>
      </c>
      <c r="AW7" s="159">
        <f>IFERROR(MATCH(1,$AU$7:$AU$39,0),0)</f>
        <v>1</v>
      </c>
      <c r="AX7" s="159">
        <f>IF($AW7=0,"",INDEX($AP$7:$AP$39,$AW7))</f>
        <v>3</v>
      </c>
      <c r="AY7" s="159" t="str">
        <f>IF($AW7=0,"",INDEX($AQ$7:$AQ$39,$AW7))</f>
        <v>fluxo</v>
      </c>
      <c r="AZ7" s="159" t="str">
        <f>IF($AW7=0,"",INDEX($AS$7:$AS$39,$AW7))</f>
        <v>int</v>
      </c>
      <c r="BA7" s="159">
        <f>IF($AW7=0,"",INDEX($AR$7:$AR$39,$AW7))</f>
        <v>1</v>
      </c>
    </row>
    <row r="8" ht="15.75" customHeight="1">
      <c r="A8" s="181"/>
      <c r="B8" s="167" t="str">
        <f>IF($AW8=0,"",INDEX($AO$7:$AO$39,$AW8))</f>
        <v>IN</v>
      </c>
      <c r="C8" s="168" t="str">
        <f>IF($AW8=0,"",INDEX($AN$7:$AN$39,$AW8))</f>
        <v>Caixas Movimentadas</v>
      </c>
      <c r="D8" s="169" t="str">
        <f>IF(OR($AW8=0,N($BA8)=0),"",IFERROR(1/(1/INDEX(BD!$AL$23:$BF$55,$BA8,MATCH($C$2,BD!$AL$22:$BF$22,0))),""))</f>
        <v/>
      </c>
      <c r="E8" s="170"/>
      <c r="F8" s="171" t="str">
        <f>IF(OR($AW8=0,F$5=""),"",IF($AY8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8),"&lt;&gt;")=0,"",SUMIFS(INDEX(BD!$A$3:$AI$5001,0,$AX8),BD!$A$3:$A$5001,F$5,BD!$B$3:$B$5001,$C$2))))</f>
        <v/>
      </c>
      <c r="G8" s="172" t="str">
        <f>IF(OR($AW8=0,G$5=""),"",IF($AY8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8),"&lt;&gt;")=0,"",SUMIFS(INDEX(BD!$A$3:$AI$5001,0,$AX8),BD!$A$3:$A$5001,G$5,BD!$B$3:$B$5001,$C$2))))</f>
        <v/>
      </c>
      <c r="H8" s="172" t="str">
        <f>IF(OR($AW8=0,H$5=""),"",IF($AY8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8),"&lt;&gt;")=0,"",SUMIFS(INDEX(BD!$A$3:$AI$5001,0,$AX8),BD!$A$3:$A$5001,H$5,BD!$B$3:$B$5001,$C$2))))</f>
        <v/>
      </c>
      <c r="I8" s="172" t="str">
        <f>IF(OR($AW8=0,I$5=""),"",IF($AY8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8),"&lt;&gt;")=0,"",SUMIFS(INDEX(BD!$A$3:$AI$5001,0,$AX8),BD!$A$3:$A$5001,I$5,BD!$B$3:$B$5001,$C$2))))</f>
        <v/>
      </c>
      <c r="J8" s="172" t="str">
        <f>IF(OR($AW8=0,J$5=""),"",IF($AY8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8),"&lt;&gt;")=0,"",SUMIFS(INDEX(BD!$A$3:$AI$5001,0,$AX8),BD!$A$3:$A$5001,J$5,BD!$B$3:$B$5001,$C$2))))</f>
        <v/>
      </c>
      <c r="K8" s="172" t="str">
        <f>IF(OR($AW8=0,K$5=""),"",IF($AY8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8),"&lt;&gt;")=0,"",SUMIFS(INDEX(BD!$A$3:$AI$5001,0,$AX8),BD!$A$3:$A$5001,K$5,BD!$B$3:$B$5001,$C$2))))</f>
        <v/>
      </c>
      <c r="L8" s="172" t="str">
        <f>IF(OR($AW8=0,L$5=""),"",IF($AY8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8),"&lt;&gt;")=0,"",SUMIFS(INDEX(BD!$A$3:$AI$5001,0,$AX8),BD!$A$3:$A$5001,L$5,BD!$B$3:$B$5001,$C$2))))</f>
        <v/>
      </c>
      <c r="M8" s="172" t="str">
        <f>IF(OR($AW8=0,M$5=""),"",IF($AY8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8),"&lt;&gt;")=0,"",SUMIFS(INDEX(BD!$A$3:$AI$5001,0,$AX8),BD!$A$3:$A$5001,M$5,BD!$B$3:$B$5001,$C$2))))</f>
        <v/>
      </c>
      <c r="N8" s="172" t="str">
        <f>IF(OR($AW8=0,N$5=""),"",IF($AY8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8),"&lt;&gt;")=0,"",SUMIFS(INDEX(BD!$A$3:$AI$5001,0,$AX8),BD!$A$3:$A$5001,N$5,BD!$B$3:$B$5001,$C$2))))</f>
        <v/>
      </c>
      <c r="O8" s="172" t="str">
        <f>IF(OR($AW8=0,O$5=""),"",IF($AY8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8),"&lt;&gt;")=0,"",SUMIFS(INDEX(BD!$A$3:$AI$5001,0,$AX8),BD!$A$3:$A$5001,O$5,BD!$B$3:$B$5001,$C$2))))</f>
        <v/>
      </c>
      <c r="P8" s="172" t="str">
        <f>IF(OR($AW8=0,P$5=""),"",IF($AY8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8),"&lt;&gt;")=0,"",SUMIFS(INDEX(BD!$A$3:$AI$5001,0,$AX8),BD!$A$3:$A$5001,P$5,BD!$B$3:$B$5001,$C$2))))</f>
        <v/>
      </c>
      <c r="Q8" s="172" t="str">
        <f>IF(OR($AW8=0,Q$5=""),"",IF($AY8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8),"&lt;&gt;")=0,"",SUMIFS(INDEX(BD!$A$3:$AI$5001,0,$AX8),BD!$A$3:$A$5001,Q$5,BD!$B$3:$B$5001,$C$2))))</f>
        <v/>
      </c>
      <c r="R8" s="172" t="str">
        <f>IF(OR($AW8=0,R$5=""),"",IF($AY8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8),"&lt;&gt;")=0,"",SUMIFS(INDEX(BD!$A$3:$AI$5001,0,$AX8),BD!$A$3:$A$5001,R$5,BD!$B$3:$B$5001,$C$2))))</f>
        <v/>
      </c>
      <c r="S8" s="172" t="str">
        <f>IF(OR($AW8=0,S$5=""),"",IF($AY8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8),"&lt;&gt;")=0,"",SUMIFS(INDEX(BD!$A$3:$AI$5001,0,$AX8),BD!$A$3:$A$5001,S$5,BD!$B$3:$B$5001,$C$2))))</f>
        <v/>
      </c>
      <c r="T8" s="172" t="str">
        <f>IF(OR($AW8=0,T$5=""),"",IF($AY8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8),"&lt;&gt;")=0,"",SUMIFS(INDEX(BD!$A$3:$AI$5001,0,$AX8),BD!$A$3:$A$5001,T$5,BD!$B$3:$B$5001,$C$2))))</f>
        <v/>
      </c>
      <c r="U8" s="172" t="str">
        <f>IF(OR($AW8=0,U$5=""),"",IF($AY8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8),"&lt;&gt;")=0,"",SUMIFS(INDEX(BD!$A$3:$AI$5001,0,$AX8),BD!$A$3:$A$5001,U$5,BD!$B$3:$B$5001,$C$2))))</f>
        <v/>
      </c>
      <c r="V8" s="172" t="str">
        <f>IF(OR($AW8=0,V$5=""),"",IF($AY8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8),"&lt;&gt;")=0,"",SUMIFS(INDEX(BD!$A$3:$AI$5001,0,$AX8),BD!$A$3:$A$5001,V$5,BD!$B$3:$B$5001,$C$2))))</f>
        <v/>
      </c>
      <c r="W8" s="172" t="str">
        <f>IF(OR($AW8=0,W$5=""),"",IF($AY8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8),"&lt;&gt;")=0,"",SUMIFS(INDEX(BD!$A$3:$AI$5001,0,$AX8),BD!$A$3:$A$5001,W$5,BD!$B$3:$B$5001,$C$2))))</f>
        <v/>
      </c>
      <c r="X8" s="172" t="str">
        <f>IF(OR($AW8=0,X$5=""),"",IF($AY8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8),"&lt;&gt;")=0,"",SUMIFS(INDEX(BD!$A$3:$AI$5001,0,$AX8),BD!$A$3:$A$5001,X$5,BD!$B$3:$B$5001,$C$2))))</f>
        <v/>
      </c>
      <c r="Y8" s="172" t="str">
        <f>IF(OR($AW8=0,Y$5=""),"",IF($AY8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8),"&lt;&gt;")=0,"",SUMIFS(INDEX(BD!$A$3:$AI$5001,0,$AX8),BD!$A$3:$A$5001,Y$5,BD!$B$3:$B$5001,$C$2))))</f>
        <v/>
      </c>
      <c r="Z8" s="172" t="str">
        <f>IF(OR($AW8=0,Z$5=""),"",IF($AY8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8),"&lt;&gt;")=0,"",SUMIFS(INDEX(BD!$A$3:$AI$5001,0,$AX8),BD!$A$3:$A$5001,Z$5,BD!$B$3:$B$5001,$C$2))))</f>
        <v/>
      </c>
      <c r="AA8" s="172" t="str">
        <f>IF(OR($AW8=0,AA$5=""),"",IF($AY8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8),"&lt;&gt;")=0,"",SUMIFS(INDEX(BD!$A$3:$AI$5001,0,$AX8),BD!$A$3:$A$5001,AA$5,BD!$B$3:$B$5001,$C$2))))</f>
        <v/>
      </c>
      <c r="AB8" s="172" t="str">
        <f>IF(OR($AW8=0,AB$5=""),"",IF($AY8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8),"&lt;&gt;")=0,"",SUMIFS(INDEX(BD!$A$3:$AI$5001,0,$AX8),BD!$A$3:$A$5001,AB$5,BD!$B$3:$B$5001,$C$2))))</f>
        <v/>
      </c>
      <c r="AC8" s="172" t="str">
        <f>IF(OR($AW8=0,AC$5=""),"",IF($AY8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8),"&lt;&gt;")=0,"",SUMIFS(INDEX(BD!$A$3:$AI$5001,0,$AX8),BD!$A$3:$A$5001,AC$5,BD!$B$3:$B$5001,$C$2))))</f>
        <v/>
      </c>
      <c r="AD8" s="172" t="str">
        <f>IF(OR($AW8=0,AD$5=""),"",IF($AY8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8),"&lt;&gt;")=0,"",SUMIFS(INDEX(BD!$A$3:$AI$5001,0,$AX8),BD!$A$3:$A$5001,AD$5,BD!$B$3:$B$5001,$C$2))))</f>
        <v/>
      </c>
      <c r="AE8" s="172" t="str">
        <f>IF(OR($AW8=0,AE$5=""),"",IF($AY8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8),"&lt;&gt;")=0,"",SUMIFS(INDEX(BD!$A$3:$AI$5001,0,$AX8),BD!$A$3:$A$5001,AE$5,BD!$B$3:$B$5001,$C$2))))</f>
        <v/>
      </c>
      <c r="AF8" s="172" t="str">
        <f>IF(OR($AW8=0,AF$5=""),"",IF($AY8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8),"&lt;&gt;")=0,"",SUMIFS(INDEX(BD!$A$3:$AI$5001,0,$AX8),BD!$A$3:$A$5001,AF$5,BD!$B$3:$B$5001,$C$2))))</f>
        <v/>
      </c>
      <c r="AG8" s="172" t="str">
        <f>IF(OR($AW8=0,AG$5=""),"",IF($AY8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8),"&lt;&gt;")=0,"",SUMIFS(INDEX(BD!$A$3:$AI$5001,0,$AX8),BD!$A$3:$A$5001,AG$5,BD!$B$3:$B$5001,$C$2))))</f>
        <v/>
      </c>
      <c r="AH8" s="172" t="str">
        <f>IF(OR($AW8=0,AH$5=""),"",IF($AY8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8),"&lt;&gt;")=0,"",SUMIFS(INDEX(BD!$A$3:$AI$5001,0,$AX8),BD!$A$3:$A$5001,AH$5,BD!$B$3:$B$5001,$C$2))))</f>
        <v/>
      </c>
      <c r="AI8" s="172" t="str">
        <f>IF(OR($AW8=0,AI$5=""),"",IF($AY8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8),"&lt;&gt;")=0,"",SUMIFS(INDEX(BD!$A$3:$AI$5001,0,$AX8),BD!$A$3:$A$5001,AI$5,BD!$B$3:$B$5001,$C$2))))</f>
        <v/>
      </c>
      <c r="AJ8" s="173" t="str">
        <f>IF(OR($AW8=0,AJ$5=""),"",IF($AY8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8),"&lt;&gt;")=0,"",SUMIFS(INDEX(BD!$A$3:$AI$5001,0,$AX8),BD!$A$3:$A$5001,AJ$5,BD!$B$3:$B$5001,$C$2))))</f>
        <v/>
      </c>
      <c r="AK8" s="169" t="str">
        <f>IF($AW8=0,"",IF($AY8="fluxo",IF(COUNT(F8:AJ8)=0,"",SUM(F8:AJ8)),IFERROR(LOOKUP(9.99E+307,F8:AJ8),"")))</f>
        <v/>
      </c>
      <c r="AN8" s="159" t="inlineStr">
        <is>
          <t xml:space="preserve">Pallets Movimentados</t>
        </is>
      </c>
      <c r="AO8" s="159" t="inlineStr">
        <is>
          <t xml:space="preserve">IN</t>
        </is>
      </c>
      <c r="AP8" s="159">
        <v>4</v>
      </c>
      <c r="AQ8" s="159" t="inlineStr">
        <is>
          <t xml:space="preserve">fluxo</t>
        </is>
      </c>
      <c r="AR8" s="159">
        <v>2</v>
      </c>
      <c r="AS8" s="159" t="inlineStr">
        <is>
          <t xml:space="preserve">int</t>
        </is>
      </c>
      <c r="AT8" s="159">
        <f>IF($C$2="",0,IF(IFERROR(INDEX(Config!$E$35:$E$54,MATCH($C$2,Config!$B$35:$B$54,0)),"Sim")="Não",0,1))</f>
        <v>0</v>
      </c>
      <c r="AU8" s="159">
        <f>AU7+AT8</f>
        <v>1</v>
      </c>
      <c r="AW8" s="159">
        <f>IFERROR(MATCH(2,$AU$7:$AU$39,0),0)</f>
        <v>5</v>
      </c>
      <c r="AX8" s="159">
        <f>IF($AW8=0,"",INDEX($AP$7:$AP$39,$AW8))</f>
        <v>7</v>
      </c>
      <c r="AY8" s="159" t="str">
        <f>IF($AW8=0,"",INDEX($AQ$7:$AQ$39,$AW8))</f>
        <v>fluxo</v>
      </c>
      <c r="AZ8" s="159" t="str">
        <f>IF($AW8=0,"",INDEX($AS$7:$AS$39,$AW8))</f>
        <v>int</v>
      </c>
      <c r="BA8" s="159">
        <f>IF($AW8=0,"",INDEX($AR$7:$AR$39,$AW8))</f>
        <v>5</v>
      </c>
    </row>
    <row r="9" ht="15.75" customHeight="1">
      <c r="A9" s="181"/>
      <c r="B9" s="167" t="str">
        <f>IF($AW9=0,"",INDEX($AO$7:$AO$39,$AW9))</f>
        <v>OUT</v>
      </c>
      <c r="C9" s="168" t="str">
        <f>IF($AW9=0,"",INDEX($AN$7:$AN$39,$AW9))</f>
        <v>Veículos Expedidos</v>
      </c>
      <c r="D9" s="169" t="str">
        <f>IF(OR($AW9=0,N($BA9)=0),"",IFERROR(1/(1/INDEX(BD!$AL$23:$BF$55,$BA9,MATCH($C$2,BD!$AL$22:$BF$22,0))),""))</f>
        <v/>
      </c>
      <c r="E9" s="170"/>
      <c r="F9" s="171" t="str">
        <f>IF(OR($AW9=0,F$5=""),"",IF($AY9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9),"&lt;&gt;")=0,"",SUMIFS(INDEX(BD!$A$3:$AI$5001,0,$AX9),BD!$A$3:$A$5001,F$5,BD!$B$3:$B$5001,$C$2))))</f>
        <v/>
      </c>
      <c r="G9" s="172" t="str">
        <f>IF(OR($AW9=0,G$5=""),"",IF($AY9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9),"&lt;&gt;")=0,"",SUMIFS(INDEX(BD!$A$3:$AI$5001,0,$AX9),BD!$A$3:$A$5001,G$5,BD!$B$3:$B$5001,$C$2))))</f>
        <v/>
      </c>
      <c r="H9" s="172" t="str">
        <f>IF(OR($AW9=0,H$5=""),"",IF($AY9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9),"&lt;&gt;")=0,"",SUMIFS(INDEX(BD!$A$3:$AI$5001,0,$AX9),BD!$A$3:$A$5001,H$5,BD!$B$3:$B$5001,$C$2))))</f>
        <v/>
      </c>
      <c r="I9" s="172" t="str">
        <f>IF(OR($AW9=0,I$5=""),"",IF($AY9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9),"&lt;&gt;")=0,"",SUMIFS(INDEX(BD!$A$3:$AI$5001,0,$AX9),BD!$A$3:$A$5001,I$5,BD!$B$3:$B$5001,$C$2))))</f>
        <v/>
      </c>
      <c r="J9" s="172" t="str">
        <f>IF(OR($AW9=0,J$5=""),"",IF($AY9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9),"&lt;&gt;")=0,"",SUMIFS(INDEX(BD!$A$3:$AI$5001,0,$AX9),BD!$A$3:$A$5001,J$5,BD!$B$3:$B$5001,$C$2))))</f>
        <v/>
      </c>
      <c r="K9" s="172" t="str">
        <f>IF(OR($AW9=0,K$5=""),"",IF($AY9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9),"&lt;&gt;")=0,"",SUMIFS(INDEX(BD!$A$3:$AI$5001,0,$AX9),BD!$A$3:$A$5001,K$5,BD!$B$3:$B$5001,$C$2))))</f>
        <v/>
      </c>
      <c r="L9" s="172" t="str">
        <f>IF(OR($AW9=0,L$5=""),"",IF($AY9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9),"&lt;&gt;")=0,"",SUMIFS(INDEX(BD!$A$3:$AI$5001,0,$AX9),BD!$A$3:$A$5001,L$5,BD!$B$3:$B$5001,$C$2))))</f>
        <v/>
      </c>
      <c r="M9" s="172" t="str">
        <f>IF(OR($AW9=0,M$5=""),"",IF($AY9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9),"&lt;&gt;")=0,"",SUMIFS(INDEX(BD!$A$3:$AI$5001,0,$AX9),BD!$A$3:$A$5001,M$5,BD!$B$3:$B$5001,$C$2))))</f>
        <v/>
      </c>
      <c r="N9" s="172" t="str">
        <f>IF(OR($AW9=0,N$5=""),"",IF($AY9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9),"&lt;&gt;")=0,"",SUMIFS(INDEX(BD!$A$3:$AI$5001,0,$AX9),BD!$A$3:$A$5001,N$5,BD!$B$3:$B$5001,$C$2))))</f>
        <v/>
      </c>
      <c r="O9" s="172" t="str">
        <f>IF(OR($AW9=0,O$5=""),"",IF($AY9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9),"&lt;&gt;")=0,"",SUMIFS(INDEX(BD!$A$3:$AI$5001,0,$AX9),BD!$A$3:$A$5001,O$5,BD!$B$3:$B$5001,$C$2))))</f>
        <v/>
      </c>
      <c r="P9" s="172" t="str">
        <f>IF(OR($AW9=0,P$5=""),"",IF($AY9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9),"&lt;&gt;")=0,"",SUMIFS(INDEX(BD!$A$3:$AI$5001,0,$AX9),BD!$A$3:$A$5001,P$5,BD!$B$3:$B$5001,$C$2))))</f>
        <v/>
      </c>
      <c r="Q9" s="172" t="str">
        <f>IF(OR($AW9=0,Q$5=""),"",IF($AY9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9),"&lt;&gt;")=0,"",SUMIFS(INDEX(BD!$A$3:$AI$5001,0,$AX9),BD!$A$3:$A$5001,Q$5,BD!$B$3:$B$5001,$C$2))))</f>
        <v/>
      </c>
      <c r="R9" s="172" t="str">
        <f>IF(OR($AW9=0,R$5=""),"",IF($AY9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9),"&lt;&gt;")=0,"",SUMIFS(INDEX(BD!$A$3:$AI$5001,0,$AX9),BD!$A$3:$A$5001,R$5,BD!$B$3:$B$5001,$C$2))))</f>
        <v/>
      </c>
      <c r="S9" s="172" t="str">
        <f>IF(OR($AW9=0,S$5=""),"",IF($AY9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9),"&lt;&gt;")=0,"",SUMIFS(INDEX(BD!$A$3:$AI$5001,0,$AX9),BD!$A$3:$A$5001,S$5,BD!$B$3:$B$5001,$C$2))))</f>
        <v/>
      </c>
      <c r="T9" s="172" t="str">
        <f>IF(OR($AW9=0,T$5=""),"",IF($AY9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9),"&lt;&gt;")=0,"",SUMIFS(INDEX(BD!$A$3:$AI$5001,0,$AX9),BD!$A$3:$A$5001,T$5,BD!$B$3:$B$5001,$C$2))))</f>
        <v/>
      </c>
      <c r="U9" s="172" t="str">
        <f>IF(OR($AW9=0,U$5=""),"",IF($AY9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9),"&lt;&gt;")=0,"",SUMIFS(INDEX(BD!$A$3:$AI$5001,0,$AX9),BD!$A$3:$A$5001,U$5,BD!$B$3:$B$5001,$C$2))))</f>
        <v/>
      </c>
      <c r="V9" s="172" t="str">
        <f>IF(OR($AW9=0,V$5=""),"",IF($AY9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9),"&lt;&gt;")=0,"",SUMIFS(INDEX(BD!$A$3:$AI$5001,0,$AX9),BD!$A$3:$A$5001,V$5,BD!$B$3:$B$5001,$C$2))))</f>
        <v/>
      </c>
      <c r="W9" s="172" t="str">
        <f>IF(OR($AW9=0,W$5=""),"",IF($AY9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9),"&lt;&gt;")=0,"",SUMIFS(INDEX(BD!$A$3:$AI$5001,0,$AX9),BD!$A$3:$A$5001,W$5,BD!$B$3:$B$5001,$C$2))))</f>
        <v/>
      </c>
      <c r="X9" s="172" t="str">
        <f>IF(OR($AW9=0,X$5=""),"",IF($AY9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9),"&lt;&gt;")=0,"",SUMIFS(INDEX(BD!$A$3:$AI$5001,0,$AX9),BD!$A$3:$A$5001,X$5,BD!$B$3:$B$5001,$C$2))))</f>
        <v/>
      </c>
      <c r="Y9" s="172" t="str">
        <f>IF(OR($AW9=0,Y$5=""),"",IF($AY9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9),"&lt;&gt;")=0,"",SUMIFS(INDEX(BD!$A$3:$AI$5001,0,$AX9),BD!$A$3:$A$5001,Y$5,BD!$B$3:$B$5001,$C$2))))</f>
        <v/>
      </c>
      <c r="Z9" s="172" t="str">
        <f>IF(OR($AW9=0,Z$5=""),"",IF($AY9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9),"&lt;&gt;")=0,"",SUMIFS(INDEX(BD!$A$3:$AI$5001,0,$AX9),BD!$A$3:$A$5001,Z$5,BD!$B$3:$B$5001,$C$2))))</f>
        <v/>
      </c>
      <c r="AA9" s="172" t="str">
        <f>IF(OR($AW9=0,AA$5=""),"",IF($AY9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9),"&lt;&gt;")=0,"",SUMIFS(INDEX(BD!$A$3:$AI$5001,0,$AX9),BD!$A$3:$A$5001,AA$5,BD!$B$3:$B$5001,$C$2))))</f>
        <v/>
      </c>
      <c r="AB9" s="172" t="str">
        <f>IF(OR($AW9=0,AB$5=""),"",IF($AY9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9),"&lt;&gt;")=0,"",SUMIFS(INDEX(BD!$A$3:$AI$5001,0,$AX9),BD!$A$3:$A$5001,AB$5,BD!$B$3:$B$5001,$C$2))))</f>
        <v/>
      </c>
      <c r="AC9" s="172" t="str">
        <f>IF(OR($AW9=0,AC$5=""),"",IF($AY9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9),"&lt;&gt;")=0,"",SUMIFS(INDEX(BD!$A$3:$AI$5001,0,$AX9),BD!$A$3:$A$5001,AC$5,BD!$B$3:$B$5001,$C$2))))</f>
        <v/>
      </c>
      <c r="AD9" s="172" t="str">
        <f>IF(OR($AW9=0,AD$5=""),"",IF($AY9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9),"&lt;&gt;")=0,"",SUMIFS(INDEX(BD!$A$3:$AI$5001,0,$AX9),BD!$A$3:$A$5001,AD$5,BD!$B$3:$B$5001,$C$2))))</f>
        <v/>
      </c>
      <c r="AE9" s="172" t="str">
        <f>IF(OR($AW9=0,AE$5=""),"",IF($AY9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9),"&lt;&gt;")=0,"",SUMIFS(INDEX(BD!$A$3:$AI$5001,0,$AX9),BD!$A$3:$A$5001,AE$5,BD!$B$3:$B$5001,$C$2))))</f>
        <v/>
      </c>
      <c r="AF9" s="172" t="str">
        <f>IF(OR($AW9=0,AF$5=""),"",IF($AY9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9),"&lt;&gt;")=0,"",SUMIFS(INDEX(BD!$A$3:$AI$5001,0,$AX9),BD!$A$3:$A$5001,AF$5,BD!$B$3:$B$5001,$C$2))))</f>
        <v/>
      </c>
      <c r="AG9" s="172" t="str">
        <f>IF(OR($AW9=0,AG$5=""),"",IF($AY9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9),"&lt;&gt;")=0,"",SUMIFS(INDEX(BD!$A$3:$AI$5001,0,$AX9),BD!$A$3:$A$5001,AG$5,BD!$B$3:$B$5001,$C$2))))</f>
        <v/>
      </c>
      <c r="AH9" s="172" t="str">
        <f>IF(OR($AW9=0,AH$5=""),"",IF($AY9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9),"&lt;&gt;")=0,"",SUMIFS(INDEX(BD!$A$3:$AI$5001,0,$AX9),BD!$A$3:$A$5001,AH$5,BD!$B$3:$B$5001,$C$2))))</f>
        <v/>
      </c>
      <c r="AI9" s="172" t="str">
        <f>IF(OR($AW9=0,AI$5=""),"",IF($AY9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9),"&lt;&gt;")=0,"",SUMIFS(INDEX(BD!$A$3:$AI$5001,0,$AX9),BD!$A$3:$A$5001,AI$5,BD!$B$3:$B$5001,$C$2))))</f>
        <v/>
      </c>
      <c r="AJ9" s="173" t="str">
        <f>IF(OR($AW9=0,AJ$5=""),"",IF($AY9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9),"&lt;&gt;")=0,"",SUMIFS(INDEX(BD!$A$3:$AI$5001,0,$AX9),BD!$A$3:$A$5001,AJ$5,BD!$B$3:$B$5001,$C$2))))</f>
        <v/>
      </c>
      <c r="AK9" s="169" t="str">
        <f>IF($AW9=0,"",IF($AY9="fluxo",IF(COUNT(F9:AJ9)=0,"",SUM(F9:AJ9)),IFERROR(LOOKUP(9.99E+307,F9:AJ9),"")))</f>
        <v/>
      </c>
      <c r="AN9" s="159" t="inlineStr">
        <is>
          <t xml:space="preserve">Toneladas Movimentadas</t>
        </is>
      </c>
      <c r="AO9" s="159" t="inlineStr">
        <is>
          <t xml:space="preserve">IN</t>
        </is>
      </c>
      <c r="AP9" s="159">
        <v>5</v>
      </c>
      <c r="AQ9" s="159" t="inlineStr">
        <is>
          <t xml:space="preserve">fluxo</t>
        </is>
      </c>
      <c r="AR9" s="159">
        <v>3</v>
      </c>
      <c r="AS9" s="159" t="inlineStr">
        <is>
          <t xml:space="preserve">dec</t>
        </is>
      </c>
      <c r="AT9" s="159">
        <f>IF($C$2="",0,IF(IFERROR(INDEX(Config!$F$35:$F$54,MATCH($C$2,Config!$B$35:$B$54,0)),"Sim")="Não",0,1))</f>
        <v>0</v>
      </c>
      <c r="AU9" s="159">
        <f>AU8+AT9</f>
        <v>1</v>
      </c>
      <c r="AW9" s="159">
        <f>IFERROR(MATCH(3,$AU$7:$AU$39,0),0)</f>
        <v>11</v>
      </c>
      <c r="AX9" s="159">
        <f>IF($AW9=0,"",INDEX($AP$7:$AP$39,$AW9))</f>
        <v>13</v>
      </c>
      <c r="AY9" s="159" t="str">
        <f>IF($AW9=0,"",INDEX($AQ$7:$AQ$39,$AW9))</f>
        <v>fluxo</v>
      </c>
      <c r="AZ9" s="159" t="str">
        <f>IF($AW9=0,"",INDEX($AS$7:$AS$39,$AW9))</f>
        <v>int</v>
      </c>
      <c r="BA9" s="159">
        <f>IF($AW9=0,"",INDEX($AR$7:$AR$39,$AW9))</f>
        <v>11</v>
      </c>
    </row>
    <row r="10" ht="15.75" customHeight="1">
      <c r="A10" s="181"/>
      <c r="B10" s="167" t="str">
        <f>IF($AW10=0,"",INDEX($AO$7:$AO$39,$AW10))</f>
        <v>OUT</v>
      </c>
      <c r="C10" s="168" t="str">
        <f>IF($AW10=0,"",INDEX($AN$7:$AN$39,$AW10))</f>
        <v>Caixas Expedidas</v>
      </c>
      <c r="D10" s="169" t="str">
        <f>IF(OR($AW10=0,N($BA10)=0),"",IFERROR(1/(1/INDEX(BD!$AL$23:$BF$55,$BA10,MATCH($C$2,BD!$AL$22:$BF$22,0))),""))</f>
        <v/>
      </c>
      <c r="E10" s="170"/>
      <c r="F10" s="171" t="str">
        <f>IF(OR($AW10=0,F$5=""),"",IF($AY10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10),"&lt;&gt;")=0,"",SUMIFS(INDEX(BD!$A$3:$AI$5001,0,$AX10),BD!$A$3:$A$5001,F$5,BD!$B$3:$B$5001,$C$2))))</f>
        <v/>
      </c>
      <c r="G10" s="172" t="str">
        <f>IF(OR($AW10=0,G$5=""),"",IF($AY10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10),"&lt;&gt;")=0,"",SUMIFS(INDEX(BD!$A$3:$AI$5001,0,$AX10),BD!$A$3:$A$5001,G$5,BD!$B$3:$B$5001,$C$2))))</f>
        <v/>
      </c>
      <c r="H10" s="172" t="str">
        <f>IF(OR($AW10=0,H$5=""),"",IF($AY10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10),"&lt;&gt;")=0,"",SUMIFS(INDEX(BD!$A$3:$AI$5001,0,$AX10),BD!$A$3:$A$5001,H$5,BD!$B$3:$B$5001,$C$2))))</f>
        <v/>
      </c>
      <c r="I10" s="172" t="str">
        <f>IF(OR($AW10=0,I$5=""),"",IF($AY10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10),"&lt;&gt;")=0,"",SUMIFS(INDEX(BD!$A$3:$AI$5001,0,$AX10),BD!$A$3:$A$5001,I$5,BD!$B$3:$B$5001,$C$2))))</f>
        <v/>
      </c>
      <c r="J10" s="172" t="str">
        <f>IF(OR($AW10=0,J$5=""),"",IF($AY10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10),"&lt;&gt;")=0,"",SUMIFS(INDEX(BD!$A$3:$AI$5001,0,$AX10),BD!$A$3:$A$5001,J$5,BD!$B$3:$B$5001,$C$2))))</f>
        <v/>
      </c>
      <c r="K10" s="172" t="str">
        <f>IF(OR($AW10=0,K$5=""),"",IF($AY10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10),"&lt;&gt;")=0,"",SUMIFS(INDEX(BD!$A$3:$AI$5001,0,$AX10),BD!$A$3:$A$5001,K$5,BD!$B$3:$B$5001,$C$2))))</f>
        <v/>
      </c>
      <c r="L10" s="172" t="str">
        <f>IF(OR($AW10=0,L$5=""),"",IF($AY10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10),"&lt;&gt;")=0,"",SUMIFS(INDEX(BD!$A$3:$AI$5001,0,$AX10),BD!$A$3:$A$5001,L$5,BD!$B$3:$B$5001,$C$2))))</f>
        <v/>
      </c>
      <c r="M10" s="172" t="str">
        <f>IF(OR($AW10=0,M$5=""),"",IF($AY10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10),"&lt;&gt;")=0,"",SUMIFS(INDEX(BD!$A$3:$AI$5001,0,$AX10),BD!$A$3:$A$5001,M$5,BD!$B$3:$B$5001,$C$2))))</f>
        <v/>
      </c>
      <c r="N10" s="172" t="str">
        <f>IF(OR($AW10=0,N$5=""),"",IF($AY10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10),"&lt;&gt;")=0,"",SUMIFS(INDEX(BD!$A$3:$AI$5001,0,$AX10),BD!$A$3:$A$5001,N$5,BD!$B$3:$B$5001,$C$2))))</f>
        <v/>
      </c>
      <c r="O10" s="172" t="str">
        <f>IF(OR($AW10=0,O$5=""),"",IF($AY10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10),"&lt;&gt;")=0,"",SUMIFS(INDEX(BD!$A$3:$AI$5001,0,$AX10),BD!$A$3:$A$5001,O$5,BD!$B$3:$B$5001,$C$2))))</f>
        <v/>
      </c>
      <c r="P10" s="172" t="str">
        <f>IF(OR($AW10=0,P$5=""),"",IF($AY10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10),"&lt;&gt;")=0,"",SUMIFS(INDEX(BD!$A$3:$AI$5001,0,$AX10),BD!$A$3:$A$5001,P$5,BD!$B$3:$B$5001,$C$2))))</f>
        <v/>
      </c>
      <c r="Q10" s="172" t="str">
        <f>IF(OR($AW10=0,Q$5=""),"",IF($AY10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10),"&lt;&gt;")=0,"",SUMIFS(INDEX(BD!$A$3:$AI$5001,0,$AX10),BD!$A$3:$A$5001,Q$5,BD!$B$3:$B$5001,$C$2))))</f>
        <v/>
      </c>
      <c r="R10" s="172" t="str">
        <f>IF(OR($AW10=0,R$5=""),"",IF($AY10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10),"&lt;&gt;")=0,"",SUMIFS(INDEX(BD!$A$3:$AI$5001,0,$AX10),BD!$A$3:$A$5001,R$5,BD!$B$3:$B$5001,$C$2))))</f>
        <v/>
      </c>
      <c r="S10" s="172" t="str">
        <f>IF(OR($AW10=0,S$5=""),"",IF($AY10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10),"&lt;&gt;")=0,"",SUMIFS(INDEX(BD!$A$3:$AI$5001,0,$AX10),BD!$A$3:$A$5001,S$5,BD!$B$3:$B$5001,$C$2))))</f>
        <v/>
      </c>
      <c r="T10" s="172" t="str">
        <f>IF(OR($AW10=0,T$5=""),"",IF($AY10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10),"&lt;&gt;")=0,"",SUMIFS(INDEX(BD!$A$3:$AI$5001,0,$AX10),BD!$A$3:$A$5001,T$5,BD!$B$3:$B$5001,$C$2))))</f>
        <v/>
      </c>
      <c r="U10" s="172" t="str">
        <f>IF(OR($AW10=0,U$5=""),"",IF($AY10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10),"&lt;&gt;")=0,"",SUMIFS(INDEX(BD!$A$3:$AI$5001,0,$AX10),BD!$A$3:$A$5001,U$5,BD!$B$3:$B$5001,$C$2))))</f>
        <v/>
      </c>
      <c r="V10" s="172" t="str">
        <f>IF(OR($AW10=0,V$5=""),"",IF($AY10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10),"&lt;&gt;")=0,"",SUMIFS(INDEX(BD!$A$3:$AI$5001,0,$AX10),BD!$A$3:$A$5001,V$5,BD!$B$3:$B$5001,$C$2))))</f>
        <v/>
      </c>
      <c r="W10" s="172" t="str">
        <f>IF(OR($AW10=0,W$5=""),"",IF($AY10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10),"&lt;&gt;")=0,"",SUMIFS(INDEX(BD!$A$3:$AI$5001,0,$AX10),BD!$A$3:$A$5001,W$5,BD!$B$3:$B$5001,$C$2))))</f>
        <v/>
      </c>
      <c r="X10" s="172" t="str">
        <f>IF(OR($AW10=0,X$5=""),"",IF($AY10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10),"&lt;&gt;")=0,"",SUMIFS(INDEX(BD!$A$3:$AI$5001,0,$AX10),BD!$A$3:$A$5001,X$5,BD!$B$3:$B$5001,$C$2))))</f>
        <v/>
      </c>
      <c r="Y10" s="172" t="str">
        <f>IF(OR($AW10=0,Y$5=""),"",IF($AY10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10),"&lt;&gt;")=0,"",SUMIFS(INDEX(BD!$A$3:$AI$5001,0,$AX10),BD!$A$3:$A$5001,Y$5,BD!$B$3:$B$5001,$C$2))))</f>
        <v/>
      </c>
      <c r="Z10" s="172" t="str">
        <f>IF(OR($AW10=0,Z$5=""),"",IF($AY10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10),"&lt;&gt;")=0,"",SUMIFS(INDEX(BD!$A$3:$AI$5001,0,$AX10),BD!$A$3:$A$5001,Z$5,BD!$B$3:$B$5001,$C$2))))</f>
        <v/>
      </c>
      <c r="AA10" s="172" t="str">
        <f>IF(OR($AW10=0,AA$5=""),"",IF($AY10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10),"&lt;&gt;")=0,"",SUMIFS(INDEX(BD!$A$3:$AI$5001,0,$AX10),BD!$A$3:$A$5001,AA$5,BD!$B$3:$B$5001,$C$2))))</f>
        <v/>
      </c>
      <c r="AB10" s="172" t="str">
        <f>IF(OR($AW10=0,AB$5=""),"",IF($AY10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10),"&lt;&gt;")=0,"",SUMIFS(INDEX(BD!$A$3:$AI$5001,0,$AX10),BD!$A$3:$A$5001,AB$5,BD!$B$3:$B$5001,$C$2))))</f>
        <v/>
      </c>
      <c r="AC10" s="172" t="str">
        <f>IF(OR($AW10=0,AC$5=""),"",IF($AY10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10),"&lt;&gt;")=0,"",SUMIFS(INDEX(BD!$A$3:$AI$5001,0,$AX10),BD!$A$3:$A$5001,AC$5,BD!$B$3:$B$5001,$C$2))))</f>
        <v/>
      </c>
      <c r="AD10" s="172" t="str">
        <f>IF(OR($AW10=0,AD$5=""),"",IF($AY10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10),"&lt;&gt;")=0,"",SUMIFS(INDEX(BD!$A$3:$AI$5001,0,$AX10),BD!$A$3:$A$5001,AD$5,BD!$B$3:$B$5001,$C$2))))</f>
        <v/>
      </c>
      <c r="AE10" s="172" t="str">
        <f>IF(OR($AW10=0,AE$5=""),"",IF($AY10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10),"&lt;&gt;")=0,"",SUMIFS(INDEX(BD!$A$3:$AI$5001,0,$AX10),BD!$A$3:$A$5001,AE$5,BD!$B$3:$B$5001,$C$2))))</f>
        <v/>
      </c>
      <c r="AF10" s="172" t="str">
        <f>IF(OR($AW10=0,AF$5=""),"",IF($AY10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10),"&lt;&gt;")=0,"",SUMIFS(INDEX(BD!$A$3:$AI$5001,0,$AX10),BD!$A$3:$A$5001,AF$5,BD!$B$3:$B$5001,$C$2))))</f>
        <v/>
      </c>
      <c r="AG10" s="172" t="str">
        <f>IF(OR($AW10=0,AG$5=""),"",IF($AY10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10),"&lt;&gt;")=0,"",SUMIFS(INDEX(BD!$A$3:$AI$5001,0,$AX10),BD!$A$3:$A$5001,AG$5,BD!$B$3:$B$5001,$C$2))))</f>
        <v/>
      </c>
      <c r="AH10" s="172" t="str">
        <f>IF(OR($AW10=0,AH$5=""),"",IF($AY10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10),"&lt;&gt;")=0,"",SUMIFS(INDEX(BD!$A$3:$AI$5001,0,$AX10),BD!$A$3:$A$5001,AH$5,BD!$B$3:$B$5001,$C$2))))</f>
        <v/>
      </c>
      <c r="AI10" s="172" t="str">
        <f>IF(OR($AW10=0,AI$5=""),"",IF($AY10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10),"&lt;&gt;")=0,"",SUMIFS(INDEX(BD!$A$3:$AI$5001,0,$AX10),BD!$A$3:$A$5001,AI$5,BD!$B$3:$B$5001,$C$2))))</f>
        <v/>
      </c>
      <c r="AJ10" s="173" t="str">
        <f>IF(OR($AW10=0,AJ$5=""),"",IF($AY10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10),"&lt;&gt;")=0,"",SUMIFS(INDEX(BD!$A$3:$AI$5001,0,$AX10),BD!$A$3:$A$5001,AJ$5,BD!$B$3:$B$5001,$C$2))))</f>
        <v/>
      </c>
      <c r="AK10" s="169" t="str">
        <f>IF($AW10=0,"",IF($AY10="fluxo",IF(COUNT(F10:AJ10)=0,"",SUM(F10:AJ10)),IFERROR(LOOKUP(9.99E+307,F10:AJ10),"")))</f>
        <v/>
      </c>
      <c r="AN10" s="159" t="inlineStr">
        <is>
          <t xml:space="preserve">Linhas NF</t>
        </is>
      </c>
      <c r="AO10" s="159" t="inlineStr">
        <is>
          <t xml:space="preserve">IN</t>
        </is>
      </c>
      <c r="AP10" s="159">
        <v>6</v>
      </c>
      <c r="AQ10" s="159" t="inlineStr">
        <is>
          <t xml:space="preserve">fluxo</t>
        </is>
      </c>
      <c r="AR10" s="159">
        <v>4</v>
      </c>
      <c r="AS10" s="159" t="inlineStr">
        <is>
          <t xml:space="preserve">int</t>
        </is>
      </c>
      <c r="AT10" s="159">
        <f>IF($C$2="",0,IF(IFERROR(INDEX(Config!$G$35:$G$54,MATCH($C$2,Config!$B$35:$B$54,0)),"Sim")="Não",0,1))</f>
        <v>0</v>
      </c>
      <c r="AU10" s="159">
        <f>AU9+AT10</f>
        <v>1</v>
      </c>
      <c r="AW10" s="159">
        <f>IFERROR(MATCH(4,$AU$7:$AU$39,0),0)</f>
        <v>17</v>
      </c>
      <c r="AX10" s="159">
        <f>IF($AW10=0,"",INDEX($AP$7:$AP$39,$AW10))</f>
        <v>19</v>
      </c>
      <c r="AY10" s="159" t="str">
        <f>IF($AW10=0,"",INDEX($AQ$7:$AQ$39,$AW10))</f>
        <v>fluxo</v>
      </c>
      <c r="AZ10" s="159" t="str">
        <f>IF($AW10=0,"",INDEX($AS$7:$AS$39,$AW10))</f>
        <v>int</v>
      </c>
      <c r="BA10" s="159">
        <f>IF($AW10=0,"",INDEX($AR$7:$AR$39,$AW10))</f>
        <v>17</v>
      </c>
    </row>
    <row r="11" ht="15.75" customHeight="1">
      <c r="A11" s="181"/>
      <c r="B11" s="167" t="str">
        <f>IF($AW11=0,"",INDEX($AO$7:$AO$39,$AW11))</f>
        <v>NC</v>
      </c>
      <c r="C11" s="168" t="str">
        <f>IF($AW11=0,"",INDEX($AN$7:$AN$39,$AW11))</f>
        <v>Incidentes</v>
      </c>
      <c r="D11" s="169" t="str">
        <f>IF(OR($AW11=0,N($BA11)=0),"",IFERROR(1/(1/INDEX(BD!$AL$23:$BF$55,$BA11,MATCH($C$2,BD!$AL$22:$BF$22,0))),""))</f>
        <v/>
      </c>
      <c r="E11" s="170"/>
      <c r="F11" s="171" t="str">
        <f>IF(OR($AW11=0,F$5=""),"",IF($AY11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11),"&lt;&gt;")=0,"",SUMIFS(INDEX(BD!$A$3:$AI$5001,0,$AX11),BD!$A$3:$A$5001,F$5,BD!$B$3:$B$5001,$C$2))))</f>
        <v/>
      </c>
      <c r="G11" s="172" t="str">
        <f>IF(OR($AW11=0,G$5=""),"",IF($AY11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11),"&lt;&gt;")=0,"",SUMIFS(INDEX(BD!$A$3:$AI$5001,0,$AX11),BD!$A$3:$A$5001,G$5,BD!$B$3:$B$5001,$C$2))))</f>
        <v/>
      </c>
      <c r="H11" s="172" t="str">
        <f>IF(OR($AW11=0,H$5=""),"",IF($AY11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11),"&lt;&gt;")=0,"",SUMIFS(INDEX(BD!$A$3:$AI$5001,0,$AX11),BD!$A$3:$A$5001,H$5,BD!$B$3:$B$5001,$C$2))))</f>
        <v/>
      </c>
      <c r="I11" s="172" t="str">
        <f>IF(OR($AW11=0,I$5=""),"",IF($AY11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11),"&lt;&gt;")=0,"",SUMIFS(INDEX(BD!$A$3:$AI$5001,0,$AX11),BD!$A$3:$A$5001,I$5,BD!$B$3:$B$5001,$C$2))))</f>
        <v/>
      </c>
      <c r="J11" s="172" t="str">
        <f>IF(OR($AW11=0,J$5=""),"",IF($AY11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11),"&lt;&gt;")=0,"",SUMIFS(INDEX(BD!$A$3:$AI$5001,0,$AX11),BD!$A$3:$A$5001,J$5,BD!$B$3:$B$5001,$C$2))))</f>
        <v/>
      </c>
      <c r="K11" s="172" t="str">
        <f>IF(OR($AW11=0,K$5=""),"",IF($AY11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11),"&lt;&gt;")=0,"",SUMIFS(INDEX(BD!$A$3:$AI$5001,0,$AX11),BD!$A$3:$A$5001,K$5,BD!$B$3:$B$5001,$C$2))))</f>
        <v/>
      </c>
      <c r="L11" s="172" t="str">
        <f>IF(OR($AW11=0,L$5=""),"",IF($AY11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11),"&lt;&gt;")=0,"",SUMIFS(INDEX(BD!$A$3:$AI$5001,0,$AX11),BD!$A$3:$A$5001,L$5,BD!$B$3:$B$5001,$C$2))))</f>
        <v/>
      </c>
      <c r="M11" s="172" t="str">
        <f>IF(OR($AW11=0,M$5=""),"",IF($AY11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11),"&lt;&gt;")=0,"",SUMIFS(INDEX(BD!$A$3:$AI$5001,0,$AX11),BD!$A$3:$A$5001,M$5,BD!$B$3:$B$5001,$C$2))))</f>
        <v/>
      </c>
      <c r="N11" s="172" t="str">
        <f>IF(OR($AW11=0,N$5=""),"",IF($AY11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11),"&lt;&gt;")=0,"",SUMIFS(INDEX(BD!$A$3:$AI$5001,0,$AX11),BD!$A$3:$A$5001,N$5,BD!$B$3:$B$5001,$C$2))))</f>
        <v/>
      </c>
      <c r="O11" s="172" t="str">
        <f>IF(OR($AW11=0,O$5=""),"",IF($AY11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11),"&lt;&gt;")=0,"",SUMIFS(INDEX(BD!$A$3:$AI$5001,0,$AX11),BD!$A$3:$A$5001,O$5,BD!$B$3:$B$5001,$C$2))))</f>
        <v/>
      </c>
      <c r="P11" s="172" t="str">
        <f>IF(OR($AW11=0,P$5=""),"",IF($AY11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11),"&lt;&gt;")=0,"",SUMIFS(INDEX(BD!$A$3:$AI$5001,0,$AX11),BD!$A$3:$A$5001,P$5,BD!$B$3:$B$5001,$C$2))))</f>
        <v/>
      </c>
      <c r="Q11" s="172" t="str">
        <f>IF(OR($AW11=0,Q$5=""),"",IF($AY11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11),"&lt;&gt;")=0,"",SUMIFS(INDEX(BD!$A$3:$AI$5001,0,$AX11),BD!$A$3:$A$5001,Q$5,BD!$B$3:$B$5001,$C$2))))</f>
        <v/>
      </c>
      <c r="R11" s="172" t="str">
        <f>IF(OR($AW11=0,R$5=""),"",IF($AY11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11),"&lt;&gt;")=0,"",SUMIFS(INDEX(BD!$A$3:$AI$5001,0,$AX11),BD!$A$3:$A$5001,R$5,BD!$B$3:$B$5001,$C$2))))</f>
        <v/>
      </c>
      <c r="S11" s="172" t="str">
        <f>IF(OR($AW11=0,S$5=""),"",IF($AY11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11),"&lt;&gt;")=0,"",SUMIFS(INDEX(BD!$A$3:$AI$5001,0,$AX11),BD!$A$3:$A$5001,S$5,BD!$B$3:$B$5001,$C$2))))</f>
        <v/>
      </c>
      <c r="T11" s="172" t="str">
        <f>IF(OR($AW11=0,T$5=""),"",IF($AY11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11),"&lt;&gt;")=0,"",SUMIFS(INDEX(BD!$A$3:$AI$5001,0,$AX11),BD!$A$3:$A$5001,T$5,BD!$B$3:$B$5001,$C$2))))</f>
        <v/>
      </c>
      <c r="U11" s="172" t="str">
        <f>IF(OR($AW11=0,U$5=""),"",IF($AY11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11),"&lt;&gt;")=0,"",SUMIFS(INDEX(BD!$A$3:$AI$5001,0,$AX11),BD!$A$3:$A$5001,U$5,BD!$B$3:$B$5001,$C$2))))</f>
        <v/>
      </c>
      <c r="V11" s="172" t="str">
        <f>IF(OR($AW11=0,V$5=""),"",IF($AY11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11),"&lt;&gt;")=0,"",SUMIFS(INDEX(BD!$A$3:$AI$5001,0,$AX11),BD!$A$3:$A$5001,V$5,BD!$B$3:$B$5001,$C$2))))</f>
        <v/>
      </c>
      <c r="W11" s="172" t="str">
        <f>IF(OR($AW11=0,W$5=""),"",IF($AY11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11),"&lt;&gt;")=0,"",SUMIFS(INDEX(BD!$A$3:$AI$5001,0,$AX11),BD!$A$3:$A$5001,W$5,BD!$B$3:$B$5001,$C$2))))</f>
        <v/>
      </c>
      <c r="X11" s="172" t="str">
        <f>IF(OR($AW11=0,X$5=""),"",IF($AY11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11),"&lt;&gt;")=0,"",SUMIFS(INDEX(BD!$A$3:$AI$5001,0,$AX11),BD!$A$3:$A$5001,X$5,BD!$B$3:$B$5001,$C$2))))</f>
        <v/>
      </c>
      <c r="Y11" s="172" t="str">
        <f>IF(OR($AW11=0,Y$5=""),"",IF($AY11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11),"&lt;&gt;")=0,"",SUMIFS(INDEX(BD!$A$3:$AI$5001,0,$AX11),BD!$A$3:$A$5001,Y$5,BD!$B$3:$B$5001,$C$2))))</f>
        <v/>
      </c>
      <c r="Z11" s="172" t="str">
        <f>IF(OR($AW11=0,Z$5=""),"",IF($AY11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11),"&lt;&gt;")=0,"",SUMIFS(INDEX(BD!$A$3:$AI$5001,0,$AX11),BD!$A$3:$A$5001,Z$5,BD!$B$3:$B$5001,$C$2))))</f>
        <v/>
      </c>
      <c r="AA11" s="172" t="str">
        <f>IF(OR($AW11=0,AA$5=""),"",IF($AY11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11),"&lt;&gt;")=0,"",SUMIFS(INDEX(BD!$A$3:$AI$5001,0,$AX11),BD!$A$3:$A$5001,AA$5,BD!$B$3:$B$5001,$C$2))))</f>
        <v/>
      </c>
      <c r="AB11" s="172" t="str">
        <f>IF(OR($AW11=0,AB$5=""),"",IF($AY11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11),"&lt;&gt;")=0,"",SUMIFS(INDEX(BD!$A$3:$AI$5001,0,$AX11),BD!$A$3:$A$5001,AB$5,BD!$B$3:$B$5001,$C$2))))</f>
        <v/>
      </c>
      <c r="AC11" s="172" t="str">
        <f>IF(OR($AW11=0,AC$5=""),"",IF($AY11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11),"&lt;&gt;")=0,"",SUMIFS(INDEX(BD!$A$3:$AI$5001,0,$AX11),BD!$A$3:$A$5001,AC$5,BD!$B$3:$B$5001,$C$2))))</f>
        <v/>
      </c>
      <c r="AD11" s="172" t="str">
        <f>IF(OR($AW11=0,AD$5=""),"",IF($AY11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11),"&lt;&gt;")=0,"",SUMIFS(INDEX(BD!$A$3:$AI$5001,0,$AX11),BD!$A$3:$A$5001,AD$5,BD!$B$3:$B$5001,$C$2))))</f>
        <v/>
      </c>
      <c r="AE11" s="172" t="str">
        <f>IF(OR($AW11=0,AE$5=""),"",IF($AY11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11),"&lt;&gt;")=0,"",SUMIFS(INDEX(BD!$A$3:$AI$5001,0,$AX11),BD!$A$3:$A$5001,AE$5,BD!$B$3:$B$5001,$C$2))))</f>
        <v/>
      </c>
      <c r="AF11" s="172" t="str">
        <f>IF(OR($AW11=0,AF$5=""),"",IF($AY11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11),"&lt;&gt;")=0,"",SUMIFS(INDEX(BD!$A$3:$AI$5001,0,$AX11),BD!$A$3:$A$5001,AF$5,BD!$B$3:$B$5001,$C$2))))</f>
        <v/>
      </c>
      <c r="AG11" s="172" t="str">
        <f>IF(OR($AW11=0,AG$5=""),"",IF($AY11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11),"&lt;&gt;")=0,"",SUMIFS(INDEX(BD!$A$3:$AI$5001,0,$AX11),BD!$A$3:$A$5001,AG$5,BD!$B$3:$B$5001,$C$2))))</f>
        <v/>
      </c>
      <c r="AH11" s="172" t="str">
        <f>IF(OR($AW11=0,AH$5=""),"",IF($AY11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11),"&lt;&gt;")=0,"",SUMIFS(INDEX(BD!$A$3:$AI$5001,0,$AX11),BD!$A$3:$A$5001,AH$5,BD!$B$3:$B$5001,$C$2))))</f>
        <v/>
      </c>
      <c r="AI11" s="172" t="str">
        <f>IF(OR($AW11=0,AI$5=""),"",IF($AY11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11),"&lt;&gt;")=0,"",SUMIFS(INDEX(BD!$A$3:$AI$5001,0,$AX11),BD!$A$3:$A$5001,AI$5,BD!$B$3:$B$5001,$C$2))))</f>
        <v/>
      </c>
      <c r="AJ11" s="173" t="str">
        <f>IF(OR($AW11=0,AJ$5=""),"",IF($AY11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11),"&lt;&gt;")=0,"",SUMIFS(INDEX(BD!$A$3:$AI$5001,0,$AX11),BD!$A$3:$A$5001,AJ$5,BD!$B$3:$B$5001,$C$2))))</f>
        <v/>
      </c>
      <c r="AK11" s="169" t="str">
        <f>IF($AW11=0,"",IF($AY11="fluxo",IF(COUNT(F11:AJ11)=0,"",SUM(F11:AJ11)),IFERROR(LOOKUP(9.99E+307,F11:AJ11),"")))</f>
        <v/>
      </c>
      <c r="AN11" s="159" t="inlineStr">
        <is>
          <t xml:space="preserve">Caixas Movimentadas</t>
        </is>
      </c>
      <c r="AO11" s="159" t="inlineStr">
        <is>
          <t xml:space="preserve">IN</t>
        </is>
      </c>
      <c r="AP11" s="159">
        <v>7</v>
      </c>
      <c r="AQ11" s="159" t="inlineStr">
        <is>
          <t xml:space="preserve">fluxo</t>
        </is>
      </c>
      <c r="AR11" s="159">
        <v>5</v>
      </c>
      <c r="AS11" s="159" t="inlineStr">
        <is>
          <t xml:space="preserve">int</t>
        </is>
      </c>
      <c r="AT11" s="159">
        <f>IF($C$2="",0,IF(IFERROR(INDEX(Config!$H$35:$H$54,MATCH($C$2,Config!$B$35:$B$54,0)),"Sim")="Não",0,1))</f>
        <v>1</v>
      </c>
      <c r="AU11" s="159">
        <f>AU10+AT11</f>
        <v>2</v>
      </c>
      <c r="AW11" s="159">
        <f>IFERROR(MATCH(5,$AU$7:$AU$39,0),0)</f>
        <v>20</v>
      </c>
      <c r="AX11" s="159">
        <f>IF($AW11=0,"",INDEX($AP$7:$AP$39,$AW11))</f>
        <v>22</v>
      </c>
      <c r="AY11" s="159" t="str">
        <f>IF($AW11=0,"",INDEX($AQ$7:$AQ$39,$AW11))</f>
        <v>fluxo</v>
      </c>
      <c r="AZ11" s="159" t="str">
        <f>IF($AW11=0,"",INDEX($AS$7:$AS$39,$AW11))</f>
        <v>int</v>
      </c>
      <c r="BA11" s="159">
        <f>IF($AW11=0,"",INDEX($AR$7:$AR$39,$AW11))</f>
        <v>20</v>
      </c>
    </row>
    <row r="12" ht="15.75" customHeight="1">
      <c r="A12" s="181"/>
      <c r="B12" s="167" t="str">
        <f>IF($AW12=0,"",INDEX($AO$7:$AO$39,$AW12))</f>
        <v>NC</v>
      </c>
      <c r="C12" s="168" t="str">
        <f>IF($AW12=0,"",INDEX($AN$7:$AN$39,$AW12))</f>
        <v>No show</v>
      </c>
      <c r="D12" s="169" t="str">
        <f>IF(OR($AW12=0,N($BA12)=0),"",IFERROR(1/(1/INDEX(BD!$AL$23:$BF$55,$BA12,MATCH($C$2,BD!$AL$22:$BF$22,0))),""))</f>
        <v/>
      </c>
      <c r="E12" s="170"/>
      <c r="F12" s="171" t="str">
        <f>IF(OR($AW12=0,F$5=""),"",IF($AY12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12),"&lt;&gt;")=0,"",SUMIFS(INDEX(BD!$A$3:$AI$5001,0,$AX12),BD!$A$3:$A$5001,F$5,BD!$B$3:$B$5001,$C$2))))</f>
        <v/>
      </c>
      <c r="G12" s="172" t="str">
        <f>IF(OR($AW12=0,G$5=""),"",IF($AY12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12),"&lt;&gt;")=0,"",SUMIFS(INDEX(BD!$A$3:$AI$5001,0,$AX12),BD!$A$3:$A$5001,G$5,BD!$B$3:$B$5001,$C$2))))</f>
        <v/>
      </c>
      <c r="H12" s="172" t="str">
        <f>IF(OR($AW12=0,H$5=""),"",IF($AY12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12),"&lt;&gt;")=0,"",SUMIFS(INDEX(BD!$A$3:$AI$5001,0,$AX12),BD!$A$3:$A$5001,H$5,BD!$B$3:$B$5001,$C$2))))</f>
        <v/>
      </c>
      <c r="I12" s="172" t="str">
        <f>IF(OR($AW12=0,I$5=""),"",IF($AY12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12),"&lt;&gt;")=0,"",SUMIFS(INDEX(BD!$A$3:$AI$5001,0,$AX12),BD!$A$3:$A$5001,I$5,BD!$B$3:$B$5001,$C$2))))</f>
        <v/>
      </c>
      <c r="J12" s="172" t="str">
        <f>IF(OR($AW12=0,J$5=""),"",IF($AY12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12),"&lt;&gt;")=0,"",SUMIFS(INDEX(BD!$A$3:$AI$5001,0,$AX12),BD!$A$3:$A$5001,J$5,BD!$B$3:$B$5001,$C$2))))</f>
        <v/>
      </c>
      <c r="K12" s="172" t="str">
        <f>IF(OR($AW12=0,K$5=""),"",IF($AY12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12),"&lt;&gt;")=0,"",SUMIFS(INDEX(BD!$A$3:$AI$5001,0,$AX12),BD!$A$3:$A$5001,K$5,BD!$B$3:$B$5001,$C$2))))</f>
        <v/>
      </c>
      <c r="L12" s="172" t="str">
        <f>IF(OR($AW12=0,L$5=""),"",IF($AY12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12),"&lt;&gt;")=0,"",SUMIFS(INDEX(BD!$A$3:$AI$5001,0,$AX12),BD!$A$3:$A$5001,L$5,BD!$B$3:$B$5001,$C$2))))</f>
        <v/>
      </c>
      <c r="M12" s="172" t="str">
        <f>IF(OR($AW12=0,M$5=""),"",IF($AY12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12),"&lt;&gt;")=0,"",SUMIFS(INDEX(BD!$A$3:$AI$5001,0,$AX12),BD!$A$3:$A$5001,M$5,BD!$B$3:$B$5001,$C$2))))</f>
        <v/>
      </c>
      <c r="N12" s="172" t="str">
        <f>IF(OR($AW12=0,N$5=""),"",IF($AY12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12),"&lt;&gt;")=0,"",SUMIFS(INDEX(BD!$A$3:$AI$5001,0,$AX12),BD!$A$3:$A$5001,N$5,BD!$B$3:$B$5001,$C$2))))</f>
        <v/>
      </c>
      <c r="O12" s="172" t="str">
        <f>IF(OR($AW12=0,O$5=""),"",IF($AY12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12),"&lt;&gt;")=0,"",SUMIFS(INDEX(BD!$A$3:$AI$5001,0,$AX12),BD!$A$3:$A$5001,O$5,BD!$B$3:$B$5001,$C$2))))</f>
        <v/>
      </c>
      <c r="P12" s="172" t="str">
        <f>IF(OR($AW12=0,P$5=""),"",IF($AY12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12),"&lt;&gt;")=0,"",SUMIFS(INDEX(BD!$A$3:$AI$5001,0,$AX12),BD!$A$3:$A$5001,P$5,BD!$B$3:$B$5001,$C$2))))</f>
        <v/>
      </c>
      <c r="Q12" s="172" t="str">
        <f>IF(OR($AW12=0,Q$5=""),"",IF($AY12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12),"&lt;&gt;")=0,"",SUMIFS(INDEX(BD!$A$3:$AI$5001,0,$AX12),BD!$A$3:$A$5001,Q$5,BD!$B$3:$B$5001,$C$2))))</f>
        <v/>
      </c>
      <c r="R12" s="172" t="str">
        <f>IF(OR($AW12=0,R$5=""),"",IF($AY12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12),"&lt;&gt;")=0,"",SUMIFS(INDEX(BD!$A$3:$AI$5001,0,$AX12),BD!$A$3:$A$5001,R$5,BD!$B$3:$B$5001,$C$2))))</f>
        <v/>
      </c>
      <c r="S12" s="172" t="str">
        <f>IF(OR($AW12=0,S$5=""),"",IF($AY12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12),"&lt;&gt;")=0,"",SUMIFS(INDEX(BD!$A$3:$AI$5001,0,$AX12),BD!$A$3:$A$5001,S$5,BD!$B$3:$B$5001,$C$2))))</f>
        <v/>
      </c>
      <c r="T12" s="172" t="str">
        <f>IF(OR($AW12=0,T$5=""),"",IF($AY12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12),"&lt;&gt;")=0,"",SUMIFS(INDEX(BD!$A$3:$AI$5001,0,$AX12),BD!$A$3:$A$5001,T$5,BD!$B$3:$B$5001,$C$2))))</f>
        <v/>
      </c>
      <c r="U12" s="172" t="str">
        <f>IF(OR($AW12=0,U$5=""),"",IF($AY12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12),"&lt;&gt;")=0,"",SUMIFS(INDEX(BD!$A$3:$AI$5001,0,$AX12),BD!$A$3:$A$5001,U$5,BD!$B$3:$B$5001,$C$2))))</f>
        <v/>
      </c>
      <c r="V12" s="172" t="str">
        <f>IF(OR($AW12=0,V$5=""),"",IF($AY12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12),"&lt;&gt;")=0,"",SUMIFS(INDEX(BD!$A$3:$AI$5001,0,$AX12),BD!$A$3:$A$5001,V$5,BD!$B$3:$B$5001,$C$2))))</f>
        <v/>
      </c>
      <c r="W12" s="172" t="str">
        <f>IF(OR($AW12=0,W$5=""),"",IF($AY12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12),"&lt;&gt;")=0,"",SUMIFS(INDEX(BD!$A$3:$AI$5001,0,$AX12),BD!$A$3:$A$5001,W$5,BD!$B$3:$B$5001,$C$2))))</f>
        <v/>
      </c>
      <c r="X12" s="172" t="str">
        <f>IF(OR($AW12=0,X$5=""),"",IF($AY12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12),"&lt;&gt;")=0,"",SUMIFS(INDEX(BD!$A$3:$AI$5001,0,$AX12),BD!$A$3:$A$5001,X$5,BD!$B$3:$B$5001,$C$2))))</f>
        <v/>
      </c>
      <c r="Y12" s="172" t="str">
        <f>IF(OR($AW12=0,Y$5=""),"",IF($AY12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12),"&lt;&gt;")=0,"",SUMIFS(INDEX(BD!$A$3:$AI$5001,0,$AX12),BD!$A$3:$A$5001,Y$5,BD!$B$3:$B$5001,$C$2))))</f>
        <v/>
      </c>
      <c r="Z12" s="172" t="str">
        <f>IF(OR($AW12=0,Z$5=""),"",IF($AY12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12),"&lt;&gt;")=0,"",SUMIFS(INDEX(BD!$A$3:$AI$5001,0,$AX12),BD!$A$3:$A$5001,Z$5,BD!$B$3:$B$5001,$C$2))))</f>
        <v/>
      </c>
      <c r="AA12" s="172" t="str">
        <f>IF(OR($AW12=0,AA$5=""),"",IF($AY12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12),"&lt;&gt;")=0,"",SUMIFS(INDEX(BD!$A$3:$AI$5001,0,$AX12),BD!$A$3:$A$5001,AA$5,BD!$B$3:$B$5001,$C$2))))</f>
        <v/>
      </c>
      <c r="AB12" s="172" t="str">
        <f>IF(OR($AW12=0,AB$5=""),"",IF($AY12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12),"&lt;&gt;")=0,"",SUMIFS(INDEX(BD!$A$3:$AI$5001,0,$AX12),BD!$A$3:$A$5001,AB$5,BD!$B$3:$B$5001,$C$2))))</f>
        <v/>
      </c>
      <c r="AC12" s="172" t="str">
        <f>IF(OR($AW12=0,AC$5=""),"",IF($AY12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12),"&lt;&gt;")=0,"",SUMIFS(INDEX(BD!$A$3:$AI$5001,0,$AX12),BD!$A$3:$A$5001,AC$5,BD!$B$3:$B$5001,$C$2))))</f>
        <v/>
      </c>
      <c r="AD12" s="172" t="str">
        <f>IF(OR($AW12=0,AD$5=""),"",IF($AY12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12),"&lt;&gt;")=0,"",SUMIFS(INDEX(BD!$A$3:$AI$5001,0,$AX12),BD!$A$3:$A$5001,AD$5,BD!$B$3:$B$5001,$C$2))))</f>
        <v/>
      </c>
      <c r="AE12" s="172" t="str">
        <f>IF(OR($AW12=0,AE$5=""),"",IF($AY12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12),"&lt;&gt;")=0,"",SUMIFS(INDEX(BD!$A$3:$AI$5001,0,$AX12),BD!$A$3:$A$5001,AE$5,BD!$B$3:$B$5001,$C$2))))</f>
        <v/>
      </c>
      <c r="AF12" s="172" t="str">
        <f>IF(OR($AW12=0,AF$5=""),"",IF($AY12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12),"&lt;&gt;")=0,"",SUMIFS(INDEX(BD!$A$3:$AI$5001,0,$AX12),BD!$A$3:$A$5001,AF$5,BD!$B$3:$B$5001,$C$2))))</f>
        <v/>
      </c>
      <c r="AG12" s="172" t="str">
        <f>IF(OR($AW12=0,AG$5=""),"",IF($AY12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12),"&lt;&gt;")=0,"",SUMIFS(INDEX(BD!$A$3:$AI$5001,0,$AX12),BD!$A$3:$A$5001,AG$5,BD!$B$3:$B$5001,$C$2))))</f>
        <v/>
      </c>
      <c r="AH12" s="172" t="str">
        <f>IF(OR($AW12=0,AH$5=""),"",IF($AY12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12),"&lt;&gt;")=0,"",SUMIFS(INDEX(BD!$A$3:$AI$5001,0,$AX12),BD!$A$3:$A$5001,AH$5,BD!$B$3:$B$5001,$C$2))))</f>
        <v/>
      </c>
      <c r="AI12" s="172" t="str">
        <f>IF(OR($AW12=0,AI$5=""),"",IF($AY12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12),"&lt;&gt;")=0,"",SUMIFS(INDEX(BD!$A$3:$AI$5001,0,$AX12),BD!$A$3:$A$5001,AI$5,BD!$B$3:$B$5001,$C$2))))</f>
        <v/>
      </c>
      <c r="AJ12" s="173" t="str">
        <f>IF(OR($AW12=0,AJ$5=""),"",IF($AY12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12),"&lt;&gt;")=0,"",SUMIFS(INDEX(BD!$A$3:$AI$5001,0,$AX12),BD!$A$3:$A$5001,AJ$5,BD!$B$3:$B$5001,$C$2))))</f>
        <v/>
      </c>
      <c r="AK12" s="169" t="str">
        <f>IF($AW12=0,"",IF($AY12="fluxo",IF(COUNT(F12:AJ12)=0,"",SUM(F12:AJ12)),IFERROR(LOOKUP(9.99E+307,F12:AJ12),"")))</f>
        <v/>
      </c>
      <c r="AN12" s="159" t="inlineStr">
        <is>
          <t xml:space="preserve">Peças Movimentadas</t>
        </is>
      </c>
      <c r="AO12" s="159" t="inlineStr">
        <is>
          <t xml:space="preserve">IN</t>
        </is>
      </c>
      <c r="AP12" s="159">
        <v>8</v>
      </c>
      <c r="AQ12" s="159" t="inlineStr">
        <is>
          <t xml:space="preserve">fluxo</t>
        </is>
      </c>
      <c r="AR12" s="159">
        <v>6</v>
      </c>
      <c r="AS12" s="159" t="inlineStr">
        <is>
          <t xml:space="preserve">int</t>
        </is>
      </c>
      <c r="AT12" s="159">
        <f>IF($C$2="",0,IF(IFERROR(INDEX(Config!$I$35:$I$54,MATCH($C$2,Config!$B$35:$B$54,0)),"Sim")="Não",0,1))</f>
        <v>0</v>
      </c>
      <c r="AU12" s="159">
        <f>AU11+AT12</f>
        <v>2</v>
      </c>
      <c r="AW12" s="159">
        <f>IFERROR(MATCH(6,$AU$7:$AU$39,0),0)</f>
        <v>21</v>
      </c>
      <c r="AX12" s="159">
        <f>IF($AW12=0,"",INDEX($AP$7:$AP$39,$AW12))</f>
        <v>23</v>
      </c>
      <c r="AY12" s="159" t="str">
        <f>IF($AW12=0,"",INDEX($AQ$7:$AQ$39,$AW12))</f>
        <v>fluxo</v>
      </c>
      <c r="AZ12" s="159" t="str">
        <f>IF($AW12=0,"",INDEX($AS$7:$AS$39,$AW12))</f>
        <v>int</v>
      </c>
      <c r="BA12" s="159">
        <f>IF($AW12=0,"",INDEX($AR$7:$AR$39,$AW12))</f>
        <v>21</v>
      </c>
    </row>
    <row r="13" ht="15.75" customHeight="1">
      <c r="A13" s="181"/>
      <c r="B13" s="167" t="str">
        <f>IF($AW13=0,"",INDEX($AO$7:$AO$39,$AW13))</f>
        <v>NC</v>
      </c>
      <c r="C13" s="168" t="str">
        <f>IF($AW13=0,"",INDEX($AN$7:$AN$39,$AW13))</f>
        <v>Backlog</v>
      </c>
      <c r="D13" s="169" t="str">
        <f>IF(OR($AW13=0,N($BA13)=0),"",IFERROR(1/(1/INDEX(BD!$AL$23:$BF$55,$BA13,MATCH($C$2,BD!$AL$22:$BF$22,0))),""))</f>
        <v/>
      </c>
      <c r="E13" s="170"/>
      <c r="F13" s="171" t="str">
        <f>IF(OR($AW13=0,F$5=""),"",IF($AY13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13),"&lt;&gt;")=0,"",SUMIFS(INDEX(BD!$A$3:$AI$5001,0,$AX13),BD!$A$3:$A$5001,F$5,BD!$B$3:$B$5001,$C$2))))</f>
        <v/>
      </c>
      <c r="G13" s="172" t="str">
        <f>IF(OR($AW13=0,G$5=""),"",IF($AY13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13),"&lt;&gt;")=0,"",SUMIFS(INDEX(BD!$A$3:$AI$5001,0,$AX13),BD!$A$3:$A$5001,G$5,BD!$B$3:$B$5001,$C$2))))</f>
        <v/>
      </c>
      <c r="H13" s="172" t="str">
        <f>IF(OR($AW13=0,H$5=""),"",IF($AY13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13),"&lt;&gt;")=0,"",SUMIFS(INDEX(BD!$A$3:$AI$5001,0,$AX13),BD!$A$3:$A$5001,H$5,BD!$B$3:$B$5001,$C$2))))</f>
        <v/>
      </c>
      <c r="I13" s="172" t="str">
        <f>IF(OR($AW13=0,I$5=""),"",IF($AY13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13),"&lt;&gt;")=0,"",SUMIFS(INDEX(BD!$A$3:$AI$5001,0,$AX13),BD!$A$3:$A$5001,I$5,BD!$B$3:$B$5001,$C$2))))</f>
        <v/>
      </c>
      <c r="J13" s="172" t="str">
        <f>IF(OR($AW13=0,J$5=""),"",IF($AY13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13),"&lt;&gt;")=0,"",SUMIFS(INDEX(BD!$A$3:$AI$5001,0,$AX13),BD!$A$3:$A$5001,J$5,BD!$B$3:$B$5001,$C$2))))</f>
        <v/>
      </c>
      <c r="K13" s="172" t="str">
        <f>IF(OR($AW13=0,K$5=""),"",IF($AY13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13),"&lt;&gt;")=0,"",SUMIFS(INDEX(BD!$A$3:$AI$5001,0,$AX13),BD!$A$3:$A$5001,K$5,BD!$B$3:$B$5001,$C$2))))</f>
        <v/>
      </c>
      <c r="L13" s="172" t="str">
        <f>IF(OR($AW13=0,L$5=""),"",IF($AY13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13),"&lt;&gt;")=0,"",SUMIFS(INDEX(BD!$A$3:$AI$5001,0,$AX13),BD!$A$3:$A$5001,L$5,BD!$B$3:$B$5001,$C$2))))</f>
        <v/>
      </c>
      <c r="M13" s="172" t="str">
        <f>IF(OR($AW13=0,M$5=""),"",IF($AY13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13),"&lt;&gt;")=0,"",SUMIFS(INDEX(BD!$A$3:$AI$5001,0,$AX13),BD!$A$3:$A$5001,M$5,BD!$B$3:$B$5001,$C$2))))</f>
        <v/>
      </c>
      <c r="N13" s="172" t="str">
        <f>IF(OR($AW13=0,N$5=""),"",IF($AY13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13),"&lt;&gt;")=0,"",SUMIFS(INDEX(BD!$A$3:$AI$5001,0,$AX13),BD!$A$3:$A$5001,N$5,BD!$B$3:$B$5001,$C$2))))</f>
        <v/>
      </c>
      <c r="O13" s="172" t="str">
        <f>IF(OR($AW13=0,O$5=""),"",IF($AY13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13),"&lt;&gt;")=0,"",SUMIFS(INDEX(BD!$A$3:$AI$5001,0,$AX13),BD!$A$3:$A$5001,O$5,BD!$B$3:$B$5001,$C$2))))</f>
        <v/>
      </c>
      <c r="P13" s="172" t="str">
        <f>IF(OR($AW13=0,P$5=""),"",IF($AY13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13),"&lt;&gt;")=0,"",SUMIFS(INDEX(BD!$A$3:$AI$5001,0,$AX13),BD!$A$3:$A$5001,P$5,BD!$B$3:$B$5001,$C$2))))</f>
        <v/>
      </c>
      <c r="Q13" s="172" t="str">
        <f>IF(OR($AW13=0,Q$5=""),"",IF($AY13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13),"&lt;&gt;")=0,"",SUMIFS(INDEX(BD!$A$3:$AI$5001,0,$AX13),BD!$A$3:$A$5001,Q$5,BD!$B$3:$B$5001,$C$2))))</f>
        <v/>
      </c>
      <c r="R13" s="172" t="str">
        <f>IF(OR($AW13=0,R$5=""),"",IF($AY13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13),"&lt;&gt;")=0,"",SUMIFS(INDEX(BD!$A$3:$AI$5001,0,$AX13),BD!$A$3:$A$5001,R$5,BD!$B$3:$B$5001,$C$2))))</f>
        <v/>
      </c>
      <c r="S13" s="172" t="str">
        <f>IF(OR($AW13=0,S$5=""),"",IF($AY13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13),"&lt;&gt;")=0,"",SUMIFS(INDEX(BD!$A$3:$AI$5001,0,$AX13),BD!$A$3:$A$5001,S$5,BD!$B$3:$B$5001,$C$2))))</f>
        <v/>
      </c>
      <c r="T13" s="172" t="str">
        <f>IF(OR($AW13=0,T$5=""),"",IF($AY13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13),"&lt;&gt;")=0,"",SUMIFS(INDEX(BD!$A$3:$AI$5001,0,$AX13),BD!$A$3:$A$5001,T$5,BD!$B$3:$B$5001,$C$2))))</f>
        <v/>
      </c>
      <c r="U13" s="172" t="str">
        <f>IF(OR($AW13=0,U$5=""),"",IF($AY13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13),"&lt;&gt;")=0,"",SUMIFS(INDEX(BD!$A$3:$AI$5001,0,$AX13),BD!$A$3:$A$5001,U$5,BD!$B$3:$B$5001,$C$2))))</f>
        <v/>
      </c>
      <c r="V13" s="172" t="str">
        <f>IF(OR($AW13=0,V$5=""),"",IF($AY13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13),"&lt;&gt;")=0,"",SUMIFS(INDEX(BD!$A$3:$AI$5001,0,$AX13),BD!$A$3:$A$5001,V$5,BD!$B$3:$B$5001,$C$2))))</f>
        <v/>
      </c>
      <c r="W13" s="172" t="str">
        <f>IF(OR($AW13=0,W$5=""),"",IF($AY13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13),"&lt;&gt;")=0,"",SUMIFS(INDEX(BD!$A$3:$AI$5001,0,$AX13),BD!$A$3:$A$5001,W$5,BD!$B$3:$B$5001,$C$2))))</f>
        <v/>
      </c>
      <c r="X13" s="172" t="str">
        <f>IF(OR($AW13=0,X$5=""),"",IF($AY13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13),"&lt;&gt;")=0,"",SUMIFS(INDEX(BD!$A$3:$AI$5001,0,$AX13),BD!$A$3:$A$5001,X$5,BD!$B$3:$B$5001,$C$2))))</f>
        <v/>
      </c>
      <c r="Y13" s="172" t="str">
        <f>IF(OR($AW13=0,Y$5=""),"",IF($AY13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13),"&lt;&gt;")=0,"",SUMIFS(INDEX(BD!$A$3:$AI$5001,0,$AX13),BD!$A$3:$A$5001,Y$5,BD!$B$3:$B$5001,$C$2))))</f>
        <v/>
      </c>
      <c r="Z13" s="172" t="str">
        <f>IF(OR($AW13=0,Z$5=""),"",IF($AY13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13),"&lt;&gt;")=0,"",SUMIFS(INDEX(BD!$A$3:$AI$5001,0,$AX13),BD!$A$3:$A$5001,Z$5,BD!$B$3:$B$5001,$C$2))))</f>
        <v/>
      </c>
      <c r="AA13" s="172" t="str">
        <f>IF(OR($AW13=0,AA$5=""),"",IF($AY13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13),"&lt;&gt;")=0,"",SUMIFS(INDEX(BD!$A$3:$AI$5001,0,$AX13),BD!$A$3:$A$5001,AA$5,BD!$B$3:$B$5001,$C$2))))</f>
        <v/>
      </c>
      <c r="AB13" s="172" t="str">
        <f>IF(OR($AW13=0,AB$5=""),"",IF($AY13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13),"&lt;&gt;")=0,"",SUMIFS(INDEX(BD!$A$3:$AI$5001,0,$AX13),BD!$A$3:$A$5001,AB$5,BD!$B$3:$B$5001,$C$2))))</f>
        <v/>
      </c>
      <c r="AC13" s="172" t="str">
        <f>IF(OR($AW13=0,AC$5=""),"",IF($AY13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13),"&lt;&gt;")=0,"",SUMIFS(INDEX(BD!$A$3:$AI$5001,0,$AX13),BD!$A$3:$A$5001,AC$5,BD!$B$3:$B$5001,$C$2))))</f>
        <v/>
      </c>
      <c r="AD13" s="172" t="str">
        <f>IF(OR($AW13=0,AD$5=""),"",IF($AY13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13),"&lt;&gt;")=0,"",SUMIFS(INDEX(BD!$A$3:$AI$5001,0,$AX13),BD!$A$3:$A$5001,AD$5,BD!$B$3:$B$5001,$C$2))))</f>
        <v/>
      </c>
      <c r="AE13" s="172" t="str">
        <f>IF(OR($AW13=0,AE$5=""),"",IF($AY13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13),"&lt;&gt;")=0,"",SUMIFS(INDEX(BD!$A$3:$AI$5001,0,$AX13),BD!$A$3:$A$5001,AE$5,BD!$B$3:$B$5001,$C$2))))</f>
        <v/>
      </c>
      <c r="AF13" s="172" t="str">
        <f>IF(OR($AW13=0,AF$5=""),"",IF($AY13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13),"&lt;&gt;")=0,"",SUMIFS(INDEX(BD!$A$3:$AI$5001,0,$AX13),BD!$A$3:$A$5001,AF$5,BD!$B$3:$B$5001,$C$2))))</f>
        <v/>
      </c>
      <c r="AG13" s="172" t="str">
        <f>IF(OR($AW13=0,AG$5=""),"",IF($AY13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13),"&lt;&gt;")=0,"",SUMIFS(INDEX(BD!$A$3:$AI$5001,0,$AX13),BD!$A$3:$A$5001,AG$5,BD!$B$3:$B$5001,$C$2))))</f>
        <v/>
      </c>
      <c r="AH13" s="172" t="str">
        <f>IF(OR($AW13=0,AH$5=""),"",IF($AY13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13),"&lt;&gt;")=0,"",SUMIFS(INDEX(BD!$A$3:$AI$5001,0,$AX13),BD!$A$3:$A$5001,AH$5,BD!$B$3:$B$5001,$C$2))))</f>
        <v/>
      </c>
      <c r="AI13" s="172" t="str">
        <f>IF(OR($AW13=0,AI$5=""),"",IF($AY13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13),"&lt;&gt;")=0,"",SUMIFS(INDEX(BD!$A$3:$AI$5001,0,$AX13),BD!$A$3:$A$5001,AI$5,BD!$B$3:$B$5001,$C$2))))</f>
        <v/>
      </c>
      <c r="AJ13" s="173" t="str">
        <f>IF(OR($AW13=0,AJ$5=""),"",IF($AY13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13),"&lt;&gt;")=0,"",SUMIFS(INDEX(BD!$A$3:$AI$5001,0,$AX13),BD!$A$3:$A$5001,AJ$5,BD!$B$3:$B$5001,$C$2))))</f>
        <v/>
      </c>
      <c r="AK13" s="169" t="str">
        <f>IF($AW13=0,"",IF($AY13="fluxo",IF(COUNT(F13:AJ13)=0,"",SUM(F13:AJ13)),IFERROR(LOOKUP(9.99E+307,F13:AJ13),"")))</f>
        <v/>
      </c>
      <c r="AN13" s="159" t="inlineStr">
        <is>
          <t xml:space="preserve">Itens Recebidos</t>
        </is>
      </c>
      <c r="AO13" s="159" t="inlineStr">
        <is>
          <t xml:space="preserve">IN</t>
        </is>
      </c>
      <c r="AP13" s="159">
        <v>9</v>
      </c>
      <c r="AQ13" s="159" t="inlineStr">
        <is>
          <t xml:space="preserve">fluxo</t>
        </is>
      </c>
      <c r="AR13" s="159">
        <v>7</v>
      </c>
      <c r="AS13" s="159" t="inlineStr">
        <is>
          <t xml:space="preserve">int</t>
        </is>
      </c>
      <c r="AT13" s="159">
        <f>IF($C$2="",0,IF(IFERROR(INDEX(Config!$J$35:$J$54,MATCH($C$2,Config!$B$35:$B$54,0)),"Sim")="Não",0,1))</f>
        <v>0</v>
      </c>
      <c r="AU13" s="159">
        <f>AU12+AT13</f>
        <v>2</v>
      </c>
      <c r="AW13" s="159">
        <f>IFERROR(MATCH(7,$AU$7:$AU$39,0),0)</f>
        <v>22</v>
      </c>
      <c r="AX13" s="159">
        <f>IF($AW13=0,"",INDEX($AP$7:$AP$39,$AW13))</f>
        <v>24</v>
      </c>
      <c r="AY13" s="159" t="str">
        <f>IF($AW13=0,"",INDEX($AQ$7:$AQ$39,$AW13))</f>
        <v>estoque</v>
      </c>
      <c r="AZ13" s="159" t="str">
        <f>IF($AW13=0,"",INDEX($AS$7:$AS$39,$AW13))</f>
        <v>int</v>
      </c>
      <c r="BA13" s="159">
        <f>IF($AW13=0,"",INDEX($AR$7:$AR$39,$AW13))</f>
        <v>22</v>
      </c>
    </row>
    <row r="14" ht="15.75" customHeight="1">
      <c r="A14" s="181"/>
      <c r="B14" s="167" t="str">
        <f>IF($AW14=0,"",INDEX($AO$7:$AO$39,$AW14))</f>
        <v>OCUPAÇÃO (P.P)</v>
      </c>
      <c r="C14" s="168" t="str">
        <f>IF($AW14=0,"",INDEX($AN$7:$AN$39,$AW14))</f>
        <v>Posições Disponíveis</v>
      </c>
      <c r="D14" s="169" t="str">
        <f>IF(OR($AW14=0,N($BA14)=0),"",IFERROR(1/(1/INDEX(BD!$AL$23:$BF$55,$BA14,MATCH($C$2,BD!$AL$22:$BF$22,0))),""))</f>
        <v/>
      </c>
      <c r="E14" s="170"/>
      <c r="F14" s="171" t="str">
        <f>IF(OR($AW14=0,F$5=""),"",IF($AY14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14),"&lt;&gt;")=0,"",SUMIFS(INDEX(BD!$A$3:$AI$5001,0,$AX14),BD!$A$3:$A$5001,F$5,BD!$B$3:$B$5001,$C$2))))</f>
        <v/>
      </c>
      <c r="G14" s="172" t="str">
        <f>IF(OR($AW14=0,G$5=""),"",IF($AY14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14),"&lt;&gt;")=0,"",SUMIFS(INDEX(BD!$A$3:$AI$5001,0,$AX14),BD!$A$3:$A$5001,G$5,BD!$B$3:$B$5001,$C$2))))</f>
        <v/>
      </c>
      <c r="H14" s="172" t="str">
        <f>IF(OR($AW14=0,H$5=""),"",IF($AY14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14),"&lt;&gt;")=0,"",SUMIFS(INDEX(BD!$A$3:$AI$5001,0,$AX14),BD!$A$3:$A$5001,H$5,BD!$B$3:$B$5001,$C$2))))</f>
        <v/>
      </c>
      <c r="I14" s="172" t="str">
        <f>IF(OR($AW14=0,I$5=""),"",IF($AY14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14),"&lt;&gt;")=0,"",SUMIFS(INDEX(BD!$A$3:$AI$5001,0,$AX14),BD!$A$3:$A$5001,I$5,BD!$B$3:$B$5001,$C$2))))</f>
        <v/>
      </c>
      <c r="J14" s="172" t="str">
        <f>IF(OR($AW14=0,J$5=""),"",IF($AY14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14),"&lt;&gt;")=0,"",SUMIFS(INDEX(BD!$A$3:$AI$5001,0,$AX14),BD!$A$3:$A$5001,J$5,BD!$B$3:$B$5001,$C$2))))</f>
        <v/>
      </c>
      <c r="K14" s="172" t="str">
        <f>IF(OR($AW14=0,K$5=""),"",IF($AY14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14),"&lt;&gt;")=0,"",SUMIFS(INDEX(BD!$A$3:$AI$5001,0,$AX14),BD!$A$3:$A$5001,K$5,BD!$B$3:$B$5001,$C$2))))</f>
        <v/>
      </c>
      <c r="L14" s="172" t="str">
        <f>IF(OR($AW14=0,L$5=""),"",IF($AY14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14),"&lt;&gt;")=0,"",SUMIFS(INDEX(BD!$A$3:$AI$5001,0,$AX14),BD!$A$3:$A$5001,L$5,BD!$B$3:$B$5001,$C$2))))</f>
        <v/>
      </c>
      <c r="M14" s="172" t="str">
        <f>IF(OR($AW14=0,M$5=""),"",IF($AY14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14),"&lt;&gt;")=0,"",SUMIFS(INDEX(BD!$A$3:$AI$5001,0,$AX14),BD!$A$3:$A$5001,M$5,BD!$B$3:$B$5001,$C$2))))</f>
        <v/>
      </c>
      <c r="N14" s="172" t="str">
        <f>IF(OR($AW14=0,N$5=""),"",IF($AY14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14),"&lt;&gt;")=0,"",SUMIFS(INDEX(BD!$A$3:$AI$5001,0,$AX14),BD!$A$3:$A$5001,N$5,BD!$B$3:$B$5001,$C$2))))</f>
        <v/>
      </c>
      <c r="O14" s="172" t="str">
        <f>IF(OR($AW14=0,O$5=""),"",IF($AY14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14),"&lt;&gt;")=0,"",SUMIFS(INDEX(BD!$A$3:$AI$5001,0,$AX14),BD!$A$3:$A$5001,O$5,BD!$B$3:$B$5001,$C$2))))</f>
        <v/>
      </c>
      <c r="P14" s="172" t="str">
        <f>IF(OR($AW14=0,P$5=""),"",IF($AY14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14),"&lt;&gt;")=0,"",SUMIFS(INDEX(BD!$A$3:$AI$5001,0,$AX14),BD!$A$3:$A$5001,P$5,BD!$B$3:$B$5001,$C$2))))</f>
        <v/>
      </c>
      <c r="Q14" s="172" t="str">
        <f>IF(OR($AW14=0,Q$5=""),"",IF($AY14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14),"&lt;&gt;")=0,"",SUMIFS(INDEX(BD!$A$3:$AI$5001,0,$AX14),BD!$A$3:$A$5001,Q$5,BD!$B$3:$B$5001,$C$2))))</f>
        <v/>
      </c>
      <c r="R14" s="172" t="str">
        <f>IF(OR($AW14=0,R$5=""),"",IF($AY14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14),"&lt;&gt;")=0,"",SUMIFS(INDEX(BD!$A$3:$AI$5001,0,$AX14),BD!$A$3:$A$5001,R$5,BD!$B$3:$B$5001,$C$2))))</f>
        <v/>
      </c>
      <c r="S14" s="172" t="str">
        <f>IF(OR($AW14=0,S$5=""),"",IF($AY14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14),"&lt;&gt;")=0,"",SUMIFS(INDEX(BD!$A$3:$AI$5001,0,$AX14),BD!$A$3:$A$5001,S$5,BD!$B$3:$B$5001,$C$2))))</f>
        <v/>
      </c>
      <c r="T14" s="172" t="str">
        <f>IF(OR($AW14=0,T$5=""),"",IF($AY14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14),"&lt;&gt;")=0,"",SUMIFS(INDEX(BD!$A$3:$AI$5001,0,$AX14),BD!$A$3:$A$5001,T$5,BD!$B$3:$B$5001,$C$2))))</f>
        <v/>
      </c>
      <c r="U14" s="172" t="str">
        <f>IF(OR($AW14=0,U$5=""),"",IF($AY14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14),"&lt;&gt;")=0,"",SUMIFS(INDEX(BD!$A$3:$AI$5001,0,$AX14),BD!$A$3:$A$5001,U$5,BD!$B$3:$B$5001,$C$2))))</f>
        <v/>
      </c>
      <c r="V14" s="172" t="str">
        <f>IF(OR($AW14=0,V$5=""),"",IF($AY14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14),"&lt;&gt;")=0,"",SUMIFS(INDEX(BD!$A$3:$AI$5001,0,$AX14),BD!$A$3:$A$5001,V$5,BD!$B$3:$B$5001,$C$2))))</f>
        <v/>
      </c>
      <c r="W14" s="172" t="str">
        <f>IF(OR($AW14=0,W$5=""),"",IF($AY14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14),"&lt;&gt;")=0,"",SUMIFS(INDEX(BD!$A$3:$AI$5001,0,$AX14),BD!$A$3:$A$5001,W$5,BD!$B$3:$B$5001,$C$2))))</f>
        <v/>
      </c>
      <c r="X14" s="172" t="str">
        <f>IF(OR($AW14=0,X$5=""),"",IF($AY14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14),"&lt;&gt;")=0,"",SUMIFS(INDEX(BD!$A$3:$AI$5001,0,$AX14),BD!$A$3:$A$5001,X$5,BD!$B$3:$B$5001,$C$2))))</f>
        <v/>
      </c>
      <c r="Y14" s="172" t="str">
        <f>IF(OR($AW14=0,Y$5=""),"",IF($AY14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14),"&lt;&gt;")=0,"",SUMIFS(INDEX(BD!$A$3:$AI$5001,0,$AX14),BD!$A$3:$A$5001,Y$5,BD!$B$3:$B$5001,$C$2))))</f>
        <v/>
      </c>
      <c r="Z14" s="172" t="str">
        <f>IF(OR($AW14=0,Z$5=""),"",IF($AY14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14),"&lt;&gt;")=0,"",SUMIFS(INDEX(BD!$A$3:$AI$5001,0,$AX14),BD!$A$3:$A$5001,Z$5,BD!$B$3:$B$5001,$C$2))))</f>
        <v/>
      </c>
      <c r="AA14" s="172" t="str">
        <f>IF(OR($AW14=0,AA$5=""),"",IF($AY14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14),"&lt;&gt;")=0,"",SUMIFS(INDEX(BD!$A$3:$AI$5001,0,$AX14),BD!$A$3:$A$5001,AA$5,BD!$B$3:$B$5001,$C$2))))</f>
        <v/>
      </c>
      <c r="AB14" s="172" t="str">
        <f>IF(OR($AW14=0,AB$5=""),"",IF($AY14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14),"&lt;&gt;")=0,"",SUMIFS(INDEX(BD!$A$3:$AI$5001,0,$AX14),BD!$A$3:$A$5001,AB$5,BD!$B$3:$B$5001,$C$2))))</f>
        <v/>
      </c>
      <c r="AC14" s="172" t="str">
        <f>IF(OR($AW14=0,AC$5=""),"",IF($AY14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14),"&lt;&gt;")=0,"",SUMIFS(INDEX(BD!$A$3:$AI$5001,0,$AX14),BD!$A$3:$A$5001,AC$5,BD!$B$3:$B$5001,$C$2))))</f>
        <v/>
      </c>
      <c r="AD14" s="172" t="str">
        <f>IF(OR($AW14=0,AD$5=""),"",IF($AY14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14),"&lt;&gt;")=0,"",SUMIFS(INDEX(BD!$A$3:$AI$5001,0,$AX14),BD!$A$3:$A$5001,AD$5,BD!$B$3:$B$5001,$C$2))))</f>
        <v/>
      </c>
      <c r="AE14" s="172" t="str">
        <f>IF(OR($AW14=0,AE$5=""),"",IF($AY14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14),"&lt;&gt;")=0,"",SUMIFS(INDEX(BD!$A$3:$AI$5001,0,$AX14),BD!$A$3:$A$5001,AE$5,BD!$B$3:$B$5001,$C$2))))</f>
        <v/>
      </c>
      <c r="AF14" s="172" t="str">
        <f>IF(OR($AW14=0,AF$5=""),"",IF($AY14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14),"&lt;&gt;")=0,"",SUMIFS(INDEX(BD!$A$3:$AI$5001,0,$AX14),BD!$A$3:$A$5001,AF$5,BD!$B$3:$B$5001,$C$2))))</f>
        <v/>
      </c>
      <c r="AG14" s="172" t="str">
        <f>IF(OR($AW14=0,AG$5=""),"",IF($AY14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14),"&lt;&gt;")=0,"",SUMIFS(INDEX(BD!$A$3:$AI$5001,0,$AX14),BD!$A$3:$A$5001,AG$5,BD!$B$3:$B$5001,$C$2))))</f>
        <v/>
      </c>
      <c r="AH14" s="172" t="str">
        <f>IF(OR($AW14=0,AH$5=""),"",IF($AY14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14),"&lt;&gt;")=0,"",SUMIFS(INDEX(BD!$A$3:$AI$5001,0,$AX14),BD!$A$3:$A$5001,AH$5,BD!$B$3:$B$5001,$C$2))))</f>
        <v/>
      </c>
      <c r="AI14" s="172" t="str">
        <f>IF(OR($AW14=0,AI$5=""),"",IF($AY14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14),"&lt;&gt;")=0,"",SUMIFS(INDEX(BD!$A$3:$AI$5001,0,$AX14),BD!$A$3:$A$5001,AI$5,BD!$B$3:$B$5001,$C$2))))</f>
        <v/>
      </c>
      <c r="AJ14" s="173" t="str">
        <f>IF(OR($AW14=0,AJ$5=""),"",IF($AY14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14),"&lt;&gt;")=0,"",SUMIFS(INDEX(BD!$A$3:$AI$5001,0,$AX14),BD!$A$3:$A$5001,AJ$5,BD!$B$3:$B$5001,$C$2))))</f>
        <v/>
      </c>
      <c r="AK14" s="169" t="str">
        <f>IF($AW14=0,"",IF($AY14="fluxo",IF(COUNT(F14:AJ14)=0,"",SUM(F14:AJ14)),IFERROR(LOOKUP(9.99E+307,F14:AJ14),"")))</f>
        <v/>
      </c>
      <c r="AN14" s="159" t="inlineStr">
        <is>
          <t xml:space="preserve">Itens Recebidos CX Mista</t>
        </is>
      </c>
      <c r="AO14" s="159" t="inlineStr">
        <is>
          <t xml:space="preserve">IN</t>
        </is>
      </c>
      <c r="AP14" s="159">
        <v>10</v>
      </c>
      <c r="AQ14" s="159" t="inlineStr">
        <is>
          <t xml:space="preserve">fluxo</t>
        </is>
      </c>
      <c r="AR14" s="159">
        <v>8</v>
      </c>
      <c r="AS14" s="159" t="inlineStr">
        <is>
          <t xml:space="preserve">int</t>
        </is>
      </c>
      <c r="AT14" s="159">
        <f>IF($C$2="",0,IF(IFERROR(INDEX(Config!$K$35:$K$54,MATCH($C$2,Config!$B$35:$B$54,0)),"Sim")="Não",0,1))</f>
        <v>0</v>
      </c>
      <c r="AU14" s="159">
        <f>AU13+AT14</f>
        <v>2</v>
      </c>
      <c r="AW14" s="159">
        <f>IFERROR(MATCH(8,$AU$7:$AU$39,0),0)</f>
        <v>23</v>
      </c>
      <c r="AX14" s="159">
        <f>IF($AW14=0,"",INDEX($AP$7:$AP$39,$AW14))</f>
        <v>25</v>
      </c>
      <c r="AY14" s="159" t="str">
        <f>IF($AW14=0,"",INDEX($AQ$7:$AQ$39,$AW14))</f>
        <v>disp</v>
      </c>
      <c r="AZ14" s="159" t="str">
        <f>IF($AW14=0,"",INDEX($AS$7:$AS$39,$AW14))</f>
        <v>int</v>
      </c>
      <c r="BA14" s="159">
        <f>IF($AW14=0,"",INDEX($AR$7:$AR$39,$AW14))</f>
        <v>23</v>
      </c>
    </row>
    <row r="15" ht="15.75" customHeight="1">
      <c r="A15" s="181"/>
      <c r="B15" s="167" t="str">
        <f>IF($AW15=0,"",INDEX($AO$7:$AO$39,$AW15))</f>
        <v>OCUPAÇÃO (P.P)</v>
      </c>
      <c r="C15" s="168" t="str">
        <f>IF($AW15=0,"",INDEX($AN$7:$AN$39,$AW15))</f>
        <v>Posições Ocupadas</v>
      </c>
      <c r="D15" s="169" t="str">
        <f>IF(OR($AW15=0,N($BA15)=0),"",IFERROR(1/(1/INDEX(BD!$AL$23:$BF$55,$BA15,MATCH($C$2,BD!$AL$22:$BF$22,0))),""))</f>
        <v/>
      </c>
      <c r="E15" s="170"/>
      <c r="F15" s="171" t="str">
        <f>IF(OR($AW15=0,F$5=""),"",IF($AY15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15),"&lt;&gt;")=0,"",SUMIFS(INDEX(BD!$A$3:$AI$5001,0,$AX15),BD!$A$3:$A$5001,F$5,BD!$B$3:$B$5001,$C$2))))</f>
        <v/>
      </c>
      <c r="G15" s="172" t="str">
        <f>IF(OR($AW15=0,G$5=""),"",IF($AY15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15),"&lt;&gt;")=0,"",SUMIFS(INDEX(BD!$A$3:$AI$5001,0,$AX15),BD!$A$3:$A$5001,G$5,BD!$B$3:$B$5001,$C$2))))</f>
        <v/>
      </c>
      <c r="H15" s="172" t="str">
        <f>IF(OR($AW15=0,H$5=""),"",IF($AY15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15),"&lt;&gt;")=0,"",SUMIFS(INDEX(BD!$A$3:$AI$5001,0,$AX15),BD!$A$3:$A$5001,H$5,BD!$B$3:$B$5001,$C$2))))</f>
        <v/>
      </c>
      <c r="I15" s="172" t="str">
        <f>IF(OR($AW15=0,I$5=""),"",IF($AY15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15),"&lt;&gt;")=0,"",SUMIFS(INDEX(BD!$A$3:$AI$5001,0,$AX15),BD!$A$3:$A$5001,I$5,BD!$B$3:$B$5001,$C$2))))</f>
        <v/>
      </c>
      <c r="J15" s="172" t="str">
        <f>IF(OR($AW15=0,J$5=""),"",IF($AY15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15),"&lt;&gt;")=0,"",SUMIFS(INDEX(BD!$A$3:$AI$5001,0,$AX15),BD!$A$3:$A$5001,J$5,BD!$B$3:$B$5001,$C$2))))</f>
        <v/>
      </c>
      <c r="K15" s="172" t="str">
        <f>IF(OR($AW15=0,K$5=""),"",IF($AY15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15),"&lt;&gt;")=0,"",SUMIFS(INDEX(BD!$A$3:$AI$5001,0,$AX15),BD!$A$3:$A$5001,K$5,BD!$B$3:$B$5001,$C$2))))</f>
        <v/>
      </c>
      <c r="L15" s="172" t="str">
        <f>IF(OR($AW15=0,L$5=""),"",IF($AY15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15),"&lt;&gt;")=0,"",SUMIFS(INDEX(BD!$A$3:$AI$5001,0,$AX15),BD!$A$3:$A$5001,L$5,BD!$B$3:$B$5001,$C$2))))</f>
        <v/>
      </c>
      <c r="M15" s="172" t="str">
        <f>IF(OR($AW15=0,M$5=""),"",IF($AY15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15),"&lt;&gt;")=0,"",SUMIFS(INDEX(BD!$A$3:$AI$5001,0,$AX15),BD!$A$3:$A$5001,M$5,BD!$B$3:$B$5001,$C$2))))</f>
        <v/>
      </c>
      <c r="N15" s="172" t="str">
        <f>IF(OR($AW15=0,N$5=""),"",IF($AY15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15),"&lt;&gt;")=0,"",SUMIFS(INDEX(BD!$A$3:$AI$5001,0,$AX15),BD!$A$3:$A$5001,N$5,BD!$B$3:$B$5001,$C$2))))</f>
        <v/>
      </c>
      <c r="O15" s="172" t="str">
        <f>IF(OR($AW15=0,O$5=""),"",IF($AY15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15),"&lt;&gt;")=0,"",SUMIFS(INDEX(BD!$A$3:$AI$5001,0,$AX15),BD!$A$3:$A$5001,O$5,BD!$B$3:$B$5001,$C$2))))</f>
        <v/>
      </c>
      <c r="P15" s="172" t="str">
        <f>IF(OR($AW15=0,P$5=""),"",IF($AY15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15),"&lt;&gt;")=0,"",SUMIFS(INDEX(BD!$A$3:$AI$5001,0,$AX15),BD!$A$3:$A$5001,P$5,BD!$B$3:$B$5001,$C$2))))</f>
        <v/>
      </c>
      <c r="Q15" s="172" t="str">
        <f>IF(OR($AW15=0,Q$5=""),"",IF($AY15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15),"&lt;&gt;")=0,"",SUMIFS(INDEX(BD!$A$3:$AI$5001,0,$AX15),BD!$A$3:$A$5001,Q$5,BD!$B$3:$B$5001,$C$2))))</f>
        <v/>
      </c>
      <c r="R15" s="172" t="str">
        <f>IF(OR($AW15=0,R$5=""),"",IF($AY15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15),"&lt;&gt;")=0,"",SUMIFS(INDEX(BD!$A$3:$AI$5001,0,$AX15),BD!$A$3:$A$5001,R$5,BD!$B$3:$B$5001,$C$2))))</f>
        <v/>
      </c>
      <c r="S15" s="172" t="str">
        <f>IF(OR($AW15=0,S$5=""),"",IF($AY15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15),"&lt;&gt;")=0,"",SUMIFS(INDEX(BD!$A$3:$AI$5001,0,$AX15),BD!$A$3:$A$5001,S$5,BD!$B$3:$B$5001,$C$2))))</f>
        <v/>
      </c>
      <c r="T15" s="172" t="str">
        <f>IF(OR($AW15=0,T$5=""),"",IF($AY15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15),"&lt;&gt;")=0,"",SUMIFS(INDEX(BD!$A$3:$AI$5001,0,$AX15),BD!$A$3:$A$5001,T$5,BD!$B$3:$B$5001,$C$2))))</f>
        <v/>
      </c>
      <c r="U15" s="172" t="str">
        <f>IF(OR($AW15=0,U$5=""),"",IF($AY15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15),"&lt;&gt;")=0,"",SUMIFS(INDEX(BD!$A$3:$AI$5001,0,$AX15),BD!$A$3:$A$5001,U$5,BD!$B$3:$B$5001,$C$2))))</f>
        <v/>
      </c>
      <c r="V15" s="172" t="str">
        <f>IF(OR($AW15=0,V$5=""),"",IF($AY15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15),"&lt;&gt;")=0,"",SUMIFS(INDEX(BD!$A$3:$AI$5001,0,$AX15),BD!$A$3:$A$5001,V$5,BD!$B$3:$B$5001,$C$2))))</f>
        <v/>
      </c>
      <c r="W15" s="172" t="str">
        <f>IF(OR($AW15=0,W$5=""),"",IF($AY15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15),"&lt;&gt;")=0,"",SUMIFS(INDEX(BD!$A$3:$AI$5001,0,$AX15),BD!$A$3:$A$5001,W$5,BD!$B$3:$B$5001,$C$2))))</f>
        <v/>
      </c>
      <c r="X15" s="172" t="str">
        <f>IF(OR($AW15=0,X$5=""),"",IF($AY15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15),"&lt;&gt;")=0,"",SUMIFS(INDEX(BD!$A$3:$AI$5001,0,$AX15),BD!$A$3:$A$5001,X$5,BD!$B$3:$B$5001,$C$2))))</f>
        <v/>
      </c>
      <c r="Y15" s="172" t="str">
        <f>IF(OR($AW15=0,Y$5=""),"",IF($AY15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15),"&lt;&gt;")=0,"",SUMIFS(INDEX(BD!$A$3:$AI$5001,0,$AX15),BD!$A$3:$A$5001,Y$5,BD!$B$3:$B$5001,$C$2))))</f>
        <v/>
      </c>
      <c r="Z15" s="172" t="str">
        <f>IF(OR($AW15=0,Z$5=""),"",IF($AY15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15),"&lt;&gt;")=0,"",SUMIFS(INDEX(BD!$A$3:$AI$5001,0,$AX15),BD!$A$3:$A$5001,Z$5,BD!$B$3:$B$5001,$C$2))))</f>
        <v/>
      </c>
      <c r="AA15" s="172" t="str">
        <f>IF(OR($AW15=0,AA$5=""),"",IF($AY15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15),"&lt;&gt;")=0,"",SUMIFS(INDEX(BD!$A$3:$AI$5001,0,$AX15),BD!$A$3:$A$5001,AA$5,BD!$B$3:$B$5001,$C$2))))</f>
        <v/>
      </c>
      <c r="AB15" s="172" t="str">
        <f>IF(OR($AW15=0,AB$5=""),"",IF($AY15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15),"&lt;&gt;")=0,"",SUMIFS(INDEX(BD!$A$3:$AI$5001,0,$AX15),BD!$A$3:$A$5001,AB$5,BD!$B$3:$B$5001,$C$2))))</f>
        <v/>
      </c>
      <c r="AC15" s="172" t="str">
        <f>IF(OR($AW15=0,AC$5=""),"",IF($AY15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15),"&lt;&gt;")=0,"",SUMIFS(INDEX(BD!$A$3:$AI$5001,0,$AX15),BD!$A$3:$A$5001,AC$5,BD!$B$3:$B$5001,$C$2))))</f>
        <v/>
      </c>
      <c r="AD15" s="172" t="str">
        <f>IF(OR($AW15=0,AD$5=""),"",IF($AY15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15),"&lt;&gt;")=0,"",SUMIFS(INDEX(BD!$A$3:$AI$5001,0,$AX15),BD!$A$3:$A$5001,AD$5,BD!$B$3:$B$5001,$C$2))))</f>
        <v/>
      </c>
      <c r="AE15" s="172" t="str">
        <f>IF(OR($AW15=0,AE$5=""),"",IF($AY15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15),"&lt;&gt;")=0,"",SUMIFS(INDEX(BD!$A$3:$AI$5001,0,$AX15),BD!$A$3:$A$5001,AE$5,BD!$B$3:$B$5001,$C$2))))</f>
        <v/>
      </c>
      <c r="AF15" s="172" t="str">
        <f>IF(OR($AW15=0,AF$5=""),"",IF($AY15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15),"&lt;&gt;")=0,"",SUMIFS(INDEX(BD!$A$3:$AI$5001,0,$AX15),BD!$A$3:$A$5001,AF$5,BD!$B$3:$B$5001,$C$2))))</f>
        <v/>
      </c>
      <c r="AG15" s="172" t="str">
        <f>IF(OR($AW15=0,AG$5=""),"",IF($AY15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15),"&lt;&gt;")=0,"",SUMIFS(INDEX(BD!$A$3:$AI$5001,0,$AX15),BD!$A$3:$A$5001,AG$5,BD!$B$3:$B$5001,$C$2))))</f>
        <v/>
      </c>
      <c r="AH15" s="172" t="str">
        <f>IF(OR($AW15=0,AH$5=""),"",IF($AY15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15),"&lt;&gt;")=0,"",SUMIFS(INDEX(BD!$A$3:$AI$5001,0,$AX15),BD!$A$3:$A$5001,AH$5,BD!$B$3:$B$5001,$C$2))))</f>
        <v/>
      </c>
      <c r="AI15" s="172" t="str">
        <f>IF(OR($AW15=0,AI$5=""),"",IF($AY15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15),"&lt;&gt;")=0,"",SUMIFS(INDEX(BD!$A$3:$AI$5001,0,$AX15),BD!$A$3:$A$5001,AI$5,BD!$B$3:$B$5001,$C$2))))</f>
        <v/>
      </c>
      <c r="AJ15" s="173" t="str">
        <f>IF(OR($AW15=0,AJ$5=""),"",IF($AY15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15),"&lt;&gt;")=0,"",SUMIFS(INDEX(BD!$A$3:$AI$5001,0,$AX15),BD!$A$3:$A$5001,AJ$5,BD!$B$3:$B$5001,$C$2))))</f>
        <v/>
      </c>
      <c r="AK15" s="169" t="str">
        <f>IF($AW15=0,"",IF($AY15="fluxo",IF(COUNT(F15:AJ15)=0,"",SUM(F15:AJ15)),IFERROR(LOOKUP(9.99E+307,F15:AJ15),"")))</f>
        <v/>
      </c>
      <c r="AN15" s="159" t="inlineStr">
        <is>
          <t xml:space="preserve">Caixas Fechadas</t>
        </is>
      </c>
      <c r="AO15" s="159" t="inlineStr">
        <is>
          <t xml:space="preserve">IN</t>
        </is>
      </c>
      <c r="AP15" s="159">
        <v>11</v>
      </c>
      <c r="AQ15" s="159" t="inlineStr">
        <is>
          <t xml:space="preserve">fluxo</t>
        </is>
      </c>
      <c r="AR15" s="159">
        <v>9</v>
      </c>
      <c r="AS15" s="159" t="inlineStr">
        <is>
          <t xml:space="preserve">int</t>
        </is>
      </c>
      <c r="AT15" s="159">
        <f>IF($C$2="",0,IF(IFERROR(INDEX(Config!$L$35:$L$54,MATCH($C$2,Config!$B$35:$B$54,0)),"Sim")="Não",0,1))</f>
        <v>0</v>
      </c>
      <c r="AU15" s="159">
        <f>AU14+AT15</f>
        <v>2</v>
      </c>
      <c r="AW15" s="159">
        <f>IFERROR(MATCH(9,$AU$7:$AU$39,0),0)</f>
        <v>24</v>
      </c>
      <c r="AX15" s="159">
        <f>IF($AW15=0,"",INDEX($AP$7:$AP$39,$AW15))</f>
        <v>26</v>
      </c>
      <c r="AY15" s="159" t="str">
        <f>IF($AW15=0,"",INDEX($AQ$7:$AQ$39,$AW15))</f>
        <v>estoque</v>
      </c>
      <c r="AZ15" s="159" t="str">
        <f>IF($AW15=0,"",INDEX($AS$7:$AS$39,$AW15))</f>
        <v>int</v>
      </c>
      <c r="BA15" s="159">
        <f>IF($AW15=0,"",INDEX($AR$7:$AR$39,$AW15))</f>
        <v>24</v>
      </c>
    </row>
    <row r="16" ht="15.75" customHeight="1">
      <c r="A16" s="181"/>
      <c r="B16" s="167" t="str">
        <f>IF($AW16=0,"",INDEX($AO$7:$AO$39,$AW16))</f>
        <v>OCUPAÇÃO (P.P)</v>
      </c>
      <c r="C16" s="168" t="str">
        <f>IF($AW16=0,"",INDEX($AN$7:$AN$39,$AW16))</f>
        <v>Taxa de Ocupação</v>
      </c>
      <c r="D16" s="169" t="str">
        <f>IF(OR($AW16=0,N($BA16)=0),"",IFERROR(1/(1/INDEX(BD!$AL$23:$BF$55,$BA16,MATCH($C$2,BD!$AL$22:$BF$22,0))),""))</f>
        <v/>
      </c>
      <c r="E16" s="170"/>
      <c r="F16" s="171" t="str">
        <f>IF(OR($AW16=0,F$5=""),"",IF($AY16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16),"&lt;&gt;")=0,"",SUMIFS(INDEX(BD!$A$3:$AI$5001,0,$AX16),BD!$A$3:$A$5001,F$5,BD!$B$3:$B$5001,$C$2))))</f>
        <v/>
      </c>
      <c r="G16" s="172" t="str">
        <f>IF(OR($AW16=0,G$5=""),"",IF($AY16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16),"&lt;&gt;")=0,"",SUMIFS(INDEX(BD!$A$3:$AI$5001,0,$AX16),BD!$A$3:$A$5001,G$5,BD!$B$3:$B$5001,$C$2))))</f>
        <v/>
      </c>
      <c r="H16" s="172" t="str">
        <f>IF(OR($AW16=0,H$5=""),"",IF($AY16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16),"&lt;&gt;")=0,"",SUMIFS(INDEX(BD!$A$3:$AI$5001,0,$AX16),BD!$A$3:$A$5001,H$5,BD!$B$3:$B$5001,$C$2))))</f>
        <v/>
      </c>
      <c r="I16" s="172" t="str">
        <f>IF(OR($AW16=0,I$5=""),"",IF($AY16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16),"&lt;&gt;")=0,"",SUMIFS(INDEX(BD!$A$3:$AI$5001,0,$AX16),BD!$A$3:$A$5001,I$5,BD!$B$3:$B$5001,$C$2))))</f>
        <v/>
      </c>
      <c r="J16" s="172" t="str">
        <f>IF(OR($AW16=0,J$5=""),"",IF($AY16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16),"&lt;&gt;")=0,"",SUMIFS(INDEX(BD!$A$3:$AI$5001,0,$AX16),BD!$A$3:$A$5001,J$5,BD!$B$3:$B$5001,$C$2))))</f>
        <v/>
      </c>
      <c r="K16" s="172" t="str">
        <f>IF(OR($AW16=0,K$5=""),"",IF($AY16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16),"&lt;&gt;")=0,"",SUMIFS(INDEX(BD!$A$3:$AI$5001,0,$AX16),BD!$A$3:$A$5001,K$5,BD!$B$3:$B$5001,$C$2))))</f>
        <v/>
      </c>
      <c r="L16" s="172" t="str">
        <f>IF(OR($AW16=0,L$5=""),"",IF($AY16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16),"&lt;&gt;")=0,"",SUMIFS(INDEX(BD!$A$3:$AI$5001,0,$AX16),BD!$A$3:$A$5001,L$5,BD!$B$3:$B$5001,$C$2))))</f>
        <v/>
      </c>
      <c r="M16" s="172" t="str">
        <f>IF(OR($AW16=0,M$5=""),"",IF($AY16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16),"&lt;&gt;")=0,"",SUMIFS(INDEX(BD!$A$3:$AI$5001,0,$AX16),BD!$A$3:$A$5001,M$5,BD!$B$3:$B$5001,$C$2))))</f>
        <v/>
      </c>
      <c r="N16" s="172" t="str">
        <f>IF(OR($AW16=0,N$5=""),"",IF($AY16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16),"&lt;&gt;")=0,"",SUMIFS(INDEX(BD!$A$3:$AI$5001,0,$AX16),BD!$A$3:$A$5001,N$5,BD!$B$3:$B$5001,$C$2))))</f>
        <v/>
      </c>
      <c r="O16" s="172" t="str">
        <f>IF(OR($AW16=0,O$5=""),"",IF($AY16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16),"&lt;&gt;")=0,"",SUMIFS(INDEX(BD!$A$3:$AI$5001,0,$AX16),BD!$A$3:$A$5001,O$5,BD!$B$3:$B$5001,$C$2))))</f>
        <v/>
      </c>
      <c r="P16" s="172" t="str">
        <f>IF(OR($AW16=0,P$5=""),"",IF($AY16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16),"&lt;&gt;")=0,"",SUMIFS(INDEX(BD!$A$3:$AI$5001,0,$AX16),BD!$A$3:$A$5001,P$5,BD!$B$3:$B$5001,$C$2))))</f>
        <v/>
      </c>
      <c r="Q16" s="172" t="str">
        <f>IF(OR($AW16=0,Q$5=""),"",IF($AY16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16),"&lt;&gt;")=0,"",SUMIFS(INDEX(BD!$A$3:$AI$5001,0,$AX16),BD!$A$3:$A$5001,Q$5,BD!$B$3:$B$5001,$C$2))))</f>
        <v/>
      </c>
      <c r="R16" s="172" t="str">
        <f>IF(OR($AW16=0,R$5=""),"",IF($AY16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16),"&lt;&gt;")=0,"",SUMIFS(INDEX(BD!$A$3:$AI$5001,0,$AX16),BD!$A$3:$A$5001,R$5,BD!$B$3:$B$5001,$C$2))))</f>
        <v/>
      </c>
      <c r="S16" s="172" t="str">
        <f>IF(OR($AW16=0,S$5=""),"",IF($AY16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16),"&lt;&gt;")=0,"",SUMIFS(INDEX(BD!$A$3:$AI$5001,0,$AX16),BD!$A$3:$A$5001,S$5,BD!$B$3:$B$5001,$C$2))))</f>
        <v/>
      </c>
      <c r="T16" s="172" t="str">
        <f>IF(OR($AW16=0,T$5=""),"",IF($AY16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16),"&lt;&gt;")=0,"",SUMIFS(INDEX(BD!$A$3:$AI$5001,0,$AX16),BD!$A$3:$A$5001,T$5,BD!$B$3:$B$5001,$C$2))))</f>
        <v/>
      </c>
      <c r="U16" s="172" t="str">
        <f>IF(OR($AW16=0,U$5=""),"",IF($AY16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16),"&lt;&gt;")=0,"",SUMIFS(INDEX(BD!$A$3:$AI$5001,0,$AX16),BD!$A$3:$A$5001,U$5,BD!$B$3:$B$5001,$C$2))))</f>
        <v/>
      </c>
      <c r="V16" s="172" t="str">
        <f>IF(OR($AW16=0,V$5=""),"",IF($AY16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16),"&lt;&gt;")=0,"",SUMIFS(INDEX(BD!$A$3:$AI$5001,0,$AX16),BD!$A$3:$A$5001,V$5,BD!$B$3:$B$5001,$C$2))))</f>
        <v/>
      </c>
      <c r="W16" s="172" t="str">
        <f>IF(OR($AW16=0,W$5=""),"",IF($AY16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16),"&lt;&gt;")=0,"",SUMIFS(INDEX(BD!$A$3:$AI$5001,0,$AX16),BD!$A$3:$A$5001,W$5,BD!$B$3:$B$5001,$C$2))))</f>
        <v/>
      </c>
      <c r="X16" s="172" t="str">
        <f>IF(OR($AW16=0,X$5=""),"",IF($AY16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16),"&lt;&gt;")=0,"",SUMIFS(INDEX(BD!$A$3:$AI$5001,0,$AX16),BD!$A$3:$A$5001,X$5,BD!$B$3:$B$5001,$C$2))))</f>
        <v/>
      </c>
      <c r="Y16" s="172" t="str">
        <f>IF(OR($AW16=0,Y$5=""),"",IF($AY16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16),"&lt;&gt;")=0,"",SUMIFS(INDEX(BD!$A$3:$AI$5001,0,$AX16),BD!$A$3:$A$5001,Y$5,BD!$B$3:$B$5001,$C$2))))</f>
        <v/>
      </c>
      <c r="Z16" s="172" t="str">
        <f>IF(OR($AW16=0,Z$5=""),"",IF($AY16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16),"&lt;&gt;")=0,"",SUMIFS(INDEX(BD!$A$3:$AI$5001,0,$AX16),BD!$A$3:$A$5001,Z$5,BD!$B$3:$B$5001,$C$2))))</f>
        <v/>
      </c>
      <c r="AA16" s="172" t="str">
        <f>IF(OR($AW16=0,AA$5=""),"",IF($AY16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16),"&lt;&gt;")=0,"",SUMIFS(INDEX(BD!$A$3:$AI$5001,0,$AX16),BD!$A$3:$A$5001,AA$5,BD!$B$3:$B$5001,$C$2))))</f>
        <v/>
      </c>
      <c r="AB16" s="172" t="str">
        <f>IF(OR($AW16=0,AB$5=""),"",IF($AY16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16),"&lt;&gt;")=0,"",SUMIFS(INDEX(BD!$A$3:$AI$5001,0,$AX16),BD!$A$3:$A$5001,AB$5,BD!$B$3:$B$5001,$C$2))))</f>
        <v/>
      </c>
      <c r="AC16" s="172" t="str">
        <f>IF(OR($AW16=0,AC$5=""),"",IF($AY16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16),"&lt;&gt;")=0,"",SUMIFS(INDEX(BD!$A$3:$AI$5001,0,$AX16),BD!$A$3:$A$5001,AC$5,BD!$B$3:$B$5001,$C$2))))</f>
        <v/>
      </c>
      <c r="AD16" s="172" t="str">
        <f>IF(OR($AW16=0,AD$5=""),"",IF($AY16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16),"&lt;&gt;")=0,"",SUMIFS(INDEX(BD!$A$3:$AI$5001,0,$AX16),BD!$A$3:$A$5001,AD$5,BD!$B$3:$B$5001,$C$2))))</f>
        <v/>
      </c>
      <c r="AE16" s="172" t="str">
        <f>IF(OR($AW16=0,AE$5=""),"",IF($AY16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16),"&lt;&gt;")=0,"",SUMIFS(INDEX(BD!$A$3:$AI$5001,0,$AX16),BD!$A$3:$A$5001,AE$5,BD!$B$3:$B$5001,$C$2))))</f>
        <v/>
      </c>
      <c r="AF16" s="172" t="str">
        <f>IF(OR($AW16=0,AF$5=""),"",IF($AY16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16),"&lt;&gt;")=0,"",SUMIFS(INDEX(BD!$A$3:$AI$5001,0,$AX16),BD!$A$3:$A$5001,AF$5,BD!$B$3:$B$5001,$C$2))))</f>
        <v/>
      </c>
      <c r="AG16" s="172" t="str">
        <f>IF(OR($AW16=0,AG$5=""),"",IF($AY16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16),"&lt;&gt;")=0,"",SUMIFS(INDEX(BD!$A$3:$AI$5001,0,$AX16),BD!$A$3:$A$5001,AG$5,BD!$B$3:$B$5001,$C$2))))</f>
        <v/>
      </c>
      <c r="AH16" s="172" t="str">
        <f>IF(OR($AW16=0,AH$5=""),"",IF($AY16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16),"&lt;&gt;")=0,"",SUMIFS(INDEX(BD!$A$3:$AI$5001,0,$AX16),BD!$A$3:$A$5001,AH$5,BD!$B$3:$B$5001,$C$2))))</f>
        <v/>
      </c>
      <c r="AI16" s="172" t="str">
        <f>IF(OR($AW16=0,AI$5=""),"",IF($AY16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16),"&lt;&gt;")=0,"",SUMIFS(INDEX(BD!$A$3:$AI$5001,0,$AX16),BD!$A$3:$A$5001,AI$5,BD!$B$3:$B$5001,$C$2))))</f>
        <v/>
      </c>
      <c r="AJ16" s="173" t="str">
        <f>IF(OR($AW16=0,AJ$5=""),"",IF($AY16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16),"&lt;&gt;")=0,"",SUMIFS(INDEX(BD!$A$3:$AI$5001,0,$AX16),BD!$A$3:$A$5001,AJ$5,BD!$B$3:$B$5001,$C$2))))</f>
        <v/>
      </c>
      <c r="AK16" s="169" t="str">
        <f>IF($AW16=0,"",IF($AY16="fluxo",IF(COUNT(F16:AJ16)=0,"",SUM(F16:AJ16)),IFERROR(LOOKUP(9.99E+307,F16:AJ16),"")))</f>
        <v/>
      </c>
      <c r="AN16" s="159" t="inlineStr">
        <is>
          <t xml:space="preserve">Caixas Mistas Recebidas</t>
        </is>
      </c>
      <c r="AO16" s="159" t="inlineStr">
        <is>
          <t xml:space="preserve">IN</t>
        </is>
      </c>
      <c r="AP16" s="159">
        <v>12</v>
      </c>
      <c r="AQ16" s="159" t="inlineStr">
        <is>
          <t xml:space="preserve">fluxo</t>
        </is>
      </c>
      <c r="AR16" s="159">
        <v>10</v>
      </c>
      <c r="AS16" s="159" t="inlineStr">
        <is>
          <t xml:space="preserve">int</t>
        </is>
      </c>
      <c r="AT16" s="159">
        <f>IF($C$2="",0,IF(IFERROR(INDEX(Config!$M$35:$M$54,MATCH($C$2,Config!$B$35:$B$54,0)),"Sim")="Não",0,1))</f>
        <v>0</v>
      </c>
      <c r="AU16" s="159">
        <f>AU15+AT16</f>
        <v>2</v>
      </c>
      <c r="AW16" s="159">
        <f>IFERROR(MATCH(10,$AU$7:$AU$39,0),0)</f>
        <v>25</v>
      </c>
      <c r="AX16" s="159">
        <f>IF($AW16=0,"",INDEX($AP$7:$AP$39,$AW16))</f>
        <v>0</v>
      </c>
      <c r="AY16" s="159" t="str">
        <f>IF($AW16=0,"",INDEX($AQ$7:$AQ$39,$AW16))</f>
        <v>taxa</v>
      </c>
      <c r="AZ16" s="159" t="str">
        <f>IF($AW16=0,"",INDEX($AS$7:$AS$39,$AW16))</f>
        <v>pct</v>
      </c>
      <c r="BA16" s="159">
        <f>IF($AW16=0,"",INDEX($AR$7:$AR$39,$AW16))</f>
        <v>25</v>
      </c>
    </row>
    <row r="17" ht="15.75" customHeight="1">
      <c r="A17" s="181"/>
      <c r="B17" s="167" t="str">
        <f>IF($AW17=0,"",INDEX($AO$7:$AO$39,$AW17))</f>
        <v>GENTE</v>
      </c>
      <c r="C17" s="168" t="str">
        <f>IF($AW17=0,"",INDEX($AN$7:$AN$39,$AW17))</f>
        <v>Efetivo Op.</v>
      </c>
      <c r="D17" s="169" t="str">
        <f>IF(OR($AW17=0,N($BA17)=0),"",IFERROR(1/(1/INDEX(BD!$AL$23:$BF$55,$BA17,MATCH($C$2,BD!$AL$22:$BF$22,0))),""))</f>
        <v/>
      </c>
      <c r="E17" s="170"/>
      <c r="F17" s="171" t="str">
        <f>IF(OR($AW17=0,F$5=""),"",IF($AY17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17),"&lt;&gt;")=0,"",SUMIFS(INDEX(BD!$A$3:$AI$5001,0,$AX17),BD!$A$3:$A$5001,F$5,BD!$B$3:$B$5001,$C$2))))</f>
        <v/>
      </c>
      <c r="G17" s="172" t="str">
        <f>IF(OR($AW17=0,G$5=""),"",IF($AY17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17),"&lt;&gt;")=0,"",SUMIFS(INDEX(BD!$A$3:$AI$5001,0,$AX17),BD!$A$3:$A$5001,G$5,BD!$B$3:$B$5001,$C$2))))</f>
        <v/>
      </c>
      <c r="H17" s="172" t="str">
        <f>IF(OR($AW17=0,H$5=""),"",IF($AY17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17),"&lt;&gt;")=0,"",SUMIFS(INDEX(BD!$A$3:$AI$5001,0,$AX17),BD!$A$3:$A$5001,H$5,BD!$B$3:$B$5001,$C$2))))</f>
        <v/>
      </c>
      <c r="I17" s="172" t="str">
        <f>IF(OR($AW17=0,I$5=""),"",IF($AY17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17),"&lt;&gt;")=0,"",SUMIFS(INDEX(BD!$A$3:$AI$5001,0,$AX17),BD!$A$3:$A$5001,I$5,BD!$B$3:$B$5001,$C$2))))</f>
        <v/>
      </c>
      <c r="J17" s="172" t="str">
        <f>IF(OR($AW17=0,J$5=""),"",IF($AY17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17),"&lt;&gt;")=0,"",SUMIFS(INDEX(BD!$A$3:$AI$5001,0,$AX17),BD!$A$3:$A$5001,J$5,BD!$B$3:$B$5001,$C$2))))</f>
        <v/>
      </c>
      <c r="K17" s="172" t="str">
        <f>IF(OR($AW17=0,K$5=""),"",IF($AY17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17),"&lt;&gt;")=0,"",SUMIFS(INDEX(BD!$A$3:$AI$5001,0,$AX17),BD!$A$3:$A$5001,K$5,BD!$B$3:$B$5001,$C$2))))</f>
        <v/>
      </c>
      <c r="L17" s="172" t="str">
        <f>IF(OR($AW17=0,L$5=""),"",IF($AY17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17),"&lt;&gt;")=0,"",SUMIFS(INDEX(BD!$A$3:$AI$5001,0,$AX17),BD!$A$3:$A$5001,L$5,BD!$B$3:$B$5001,$C$2))))</f>
        <v/>
      </c>
      <c r="M17" s="172" t="str">
        <f>IF(OR($AW17=0,M$5=""),"",IF($AY17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17),"&lt;&gt;")=0,"",SUMIFS(INDEX(BD!$A$3:$AI$5001,0,$AX17),BD!$A$3:$A$5001,M$5,BD!$B$3:$B$5001,$C$2))))</f>
        <v/>
      </c>
      <c r="N17" s="172" t="str">
        <f>IF(OR($AW17=0,N$5=""),"",IF($AY17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17),"&lt;&gt;")=0,"",SUMIFS(INDEX(BD!$A$3:$AI$5001,0,$AX17),BD!$A$3:$A$5001,N$5,BD!$B$3:$B$5001,$C$2))))</f>
        <v/>
      </c>
      <c r="O17" s="172" t="str">
        <f>IF(OR($AW17=0,O$5=""),"",IF($AY17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17),"&lt;&gt;")=0,"",SUMIFS(INDEX(BD!$A$3:$AI$5001,0,$AX17),BD!$A$3:$A$5001,O$5,BD!$B$3:$B$5001,$C$2))))</f>
        <v/>
      </c>
      <c r="P17" s="172" t="str">
        <f>IF(OR($AW17=0,P$5=""),"",IF($AY17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17),"&lt;&gt;")=0,"",SUMIFS(INDEX(BD!$A$3:$AI$5001,0,$AX17),BD!$A$3:$A$5001,P$5,BD!$B$3:$B$5001,$C$2))))</f>
        <v/>
      </c>
      <c r="Q17" s="172" t="str">
        <f>IF(OR($AW17=0,Q$5=""),"",IF($AY17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17),"&lt;&gt;")=0,"",SUMIFS(INDEX(BD!$A$3:$AI$5001,0,$AX17),BD!$A$3:$A$5001,Q$5,BD!$B$3:$B$5001,$C$2))))</f>
        <v/>
      </c>
      <c r="R17" s="172" t="str">
        <f>IF(OR($AW17=0,R$5=""),"",IF($AY17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17),"&lt;&gt;")=0,"",SUMIFS(INDEX(BD!$A$3:$AI$5001,0,$AX17),BD!$A$3:$A$5001,R$5,BD!$B$3:$B$5001,$C$2))))</f>
        <v/>
      </c>
      <c r="S17" s="172" t="str">
        <f>IF(OR($AW17=0,S$5=""),"",IF($AY17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17),"&lt;&gt;")=0,"",SUMIFS(INDEX(BD!$A$3:$AI$5001,0,$AX17),BD!$A$3:$A$5001,S$5,BD!$B$3:$B$5001,$C$2))))</f>
        <v/>
      </c>
      <c r="T17" s="172" t="str">
        <f>IF(OR($AW17=0,T$5=""),"",IF($AY17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17),"&lt;&gt;")=0,"",SUMIFS(INDEX(BD!$A$3:$AI$5001,0,$AX17),BD!$A$3:$A$5001,T$5,BD!$B$3:$B$5001,$C$2))))</f>
        <v/>
      </c>
      <c r="U17" s="172" t="str">
        <f>IF(OR($AW17=0,U$5=""),"",IF($AY17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17),"&lt;&gt;")=0,"",SUMIFS(INDEX(BD!$A$3:$AI$5001,0,$AX17),BD!$A$3:$A$5001,U$5,BD!$B$3:$B$5001,$C$2))))</f>
        <v/>
      </c>
      <c r="V17" s="172" t="str">
        <f>IF(OR($AW17=0,V$5=""),"",IF($AY17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17),"&lt;&gt;")=0,"",SUMIFS(INDEX(BD!$A$3:$AI$5001,0,$AX17),BD!$A$3:$A$5001,V$5,BD!$B$3:$B$5001,$C$2))))</f>
        <v/>
      </c>
      <c r="W17" s="172" t="str">
        <f>IF(OR($AW17=0,W$5=""),"",IF($AY17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17),"&lt;&gt;")=0,"",SUMIFS(INDEX(BD!$A$3:$AI$5001,0,$AX17),BD!$A$3:$A$5001,W$5,BD!$B$3:$B$5001,$C$2))))</f>
        <v/>
      </c>
      <c r="X17" s="172" t="str">
        <f>IF(OR($AW17=0,X$5=""),"",IF($AY17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17),"&lt;&gt;")=0,"",SUMIFS(INDEX(BD!$A$3:$AI$5001,0,$AX17),BD!$A$3:$A$5001,X$5,BD!$B$3:$B$5001,$C$2))))</f>
        <v/>
      </c>
      <c r="Y17" s="172" t="str">
        <f>IF(OR($AW17=0,Y$5=""),"",IF($AY17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17),"&lt;&gt;")=0,"",SUMIFS(INDEX(BD!$A$3:$AI$5001,0,$AX17),BD!$A$3:$A$5001,Y$5,BD!$B$3:$B$5001,$C$2))))</f>
        <v/>
      </c>
      <c r="Z17" s="172" t="str">
        <f>IF(OR($AW17=0,Z$5=""),"",IF($AY17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17),"&lt;&gt;")=0,"",SUMIFS(INDEX(BD!$A$3:$AI$5001,0,$AX17),BD!$A$3:$A$5001,Z$5,BD!$B$3:$B$5001,$C$2))))</f>
        <v/>
      </c>
      <c r="AA17" s="172" t="str">
        <f>IF(OR($AW17=0,AA$5=""),"",IF($AY17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17),"&lt;&gt;")=0,"",SUMIFS(INDEX(BD!$A$3:$AI$5001,0,$AX17),BD!$A$3:$A$5001,AA$5,BD!$B$3:$B$5001,$C$2))))</f>
        <v/>
      </c>
      <c r="AB17" s="172" t="str">
        <f>IF(OR($AW17=0,AB$5=""),"",IF($AY17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17),"&lt;&gt;")=0,"",SUMIFS(INDEX(BD!$A$3:$AI$5001,0,$AX17),BD!$A$3:$A$5001,AB$5,BD!$B$3:$B$5001,$C$2))))</f>
        <v/>
      </c>
      <c r="AC17" s="172" t="str">
        <f>IF(OR($AW17=0,AC$5=""),"",IF($AY17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17),"&lt;&gt;")=0,"",SUMIFS(INDEX(BD!$A$3:$AI$5001,0,$AX17),BD!$A$3:$A$5001,AC$5,BD!$B$3:$B$5001,$C$2))))</f>
        <v/>
      </c>
      <c r="AD17" s="172" t="str">
        <f>IF(OR($AW17=0,AD$5=""),"",IF($AY17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17),"&lt;&gt;")=0,"",SUMIFS(INDEX(BD!$A$3:$AI$5001,0,$AX17),BD!$A$3:$A$5001,AD$5,BD!$B$3:$B$5001,$C$2))))</f>
        <v/>
      </c>
      <c r="AE17" s="172" t="str">
        <f>IF(OR($AW17=0,AE$5=""),"",IF($AY17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17),"&lt;&gt;")=0,"",SUMIFS(INDEX(BD!$A$3:$AI$5001,0,$AX17),BD!$A$3:$A$5001,AE$5,BD!$B$3:$B$5001,$C$2))))</f>
        <v/>
      </c>
      <c r="AF17" s="172" t="str">
        <f>IF(OR($AW17=0,AF$5=""),"",IF($AY17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17),"&lt;&gt;")=0,"",SUMIFS(INDEX(BD!$A$3:$AI$5001,0,$AX17),BD!$A$3:$A$5001,AF$5,BD!$B$3:$B$5001,$C$2))))</f>
        <v/>
      </c>
      <c r="AG17" s="172" t="str">
        <f>IF(OR($AW17=0,AG$5=""),"",IF($AY17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17),"&lt;&gt;")=0,"",SUMIFS(INDEX(BD!$A$3:$AI$5001,0,$AX17),BD!$A$3:$A$5001,AG$5,BD!$B$3:$B$5001,$C$2))))</f>
        <v/>
      </c>
      <c r="AH17" s="172" t="str">
        <f>IF(OR($AW17=0,AH$5=""),"",IF($AY17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17),"&lt;&gt;")=0,"",SUMIFS(INDEX(BD!$A$3:$AI$5001,0,$AX17),BD!$A$3:$A$5001,AH$5,BD!$B$3:$B$5001,$C$2))))</f>
        <v/>
      </c>
      <c r="AI17" s="172" t="str">
        <f>IF(OR($AW17=0,AI$5=""),"",IF($AY17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17),"&lt;&gt;")=0,"",SUMIFS(INDEX(BD!$A$3:$AI$5001,0,$AX17),BD!$A$3:$A$5001,AI$5,BD!$B$3:$B$5001,$C$2))))</f>
        <v/>
      </c>
      <c r="AJ17" s="173" t="str">
        <f>IF(OR($AW17=0,AJ$5=""),"",IF($AY17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17),"&lt;&gt;")=0,"",SUMIFS(INDEX(BD!$A$3:$AI$5001,0,$AX17),BD!$A$3:$A$5001,AJ$5,BD!$B$3:$B$5001,$C$2))))</f>
        <v/>
      </c>
      <c r="AK17" s="169" t="str">
        <f>IF($AW17=0,"",IF($AY17="fluxo",IF(COUNT(F17:AJ17)=0,"",SUM(F17:AJ17)),IFERROR(LOOKUP(9.99E+307,F17:AJ17),"")))</f>
        <v/>
      </c>
      <c r="AN17" s="159" t="inlineStr">
        <is>
          <t xml:space="preserve">Veículos Expedidos</t>
        </is>
      </c>
      <c r="AO17" s="159" t="inlineStr">
        <is>
          <t xml:space="preserve">OUT</t>
        </is>
      </c>
      <c r="AP17" s="159">
        <v>13</v>
      </c>
      <c r="AQ17" s="159" t="inlineStr">
        <is>
          <t xml:space="preserve">fluxo</t>
        </is>
      </c>
      <c r="AR17" s="159">
        <v>11</v>
      </c>
      <c r="AS17" s="159" t="inlineStr">
        <is>
          <t xml:space="preserve">int</t>
        </is>
      </c>
      <c r="AT17" s="159">
        <f>IF($C$2="",0,IF(IFERROR(INDEX(Config!$N$35:$N$54,MATCH($C$2,Config!$B$35:$B$54,0)),"Sim")="Não",0,1))</f>
        <v>1</v>
      </c>
      <c r="AU17" s="159">
        <f>AU16+AT17</f>
        <v>3</v>
      </c>
      <c r="AW17" s="159">
        <f>IFERROR(MATCH(11,$AU$7:$AU$39,0),0)</f>
        <v>26</v>
      </c>
      <c r="AX17" s="159">
        <f>IF($AW17=0,"",INDEX($AP$7:$AP$39,$AW17))</f>
        <v>27</v>
      </c>
      <c r="AY17" s="159" t="str">
        <f>IF($AW17=0,"",INDEX($AQ$7:$AQ$39,$AW17))</f>
        <v>estoque</v>
      </c>
      <c r="AZ17" s="159" t="str">
        <f>IF($AW17=0,"",INDEX($AS$7:$AS$39,$AW17))</f>
        <v>int</v>
      </c>
      <c r="BA17" s="159">
        <f>IF($AW17=0,"",INDEX($AR$7:$AR$39,$AW17))</f>
        <v>26</v>
      </c>
    </row>
    <row r="18" ht="15.75" customHeight="1">
      <c r="A18" s="181"/>
      <c r="B18" s="167" t="str">
        <f>IF($AW18=0,"",INDEX($AO$7:$AO$39,$AW18))</f>
        <v>GENTE</v>
      </c>
      <c r="C18" s="168" t="str">
        <f>IF($AW18=0,"",INDEX($AN$7:$AN$39,$AW18))</f>
        <v>Falta</v>
      </c>
      <c r="D18" s="169" t="str">
        <f>IF(OR($AW18=0,N($BA18)=0),"",IFERROR(1/(1/INDEX(BD!$AL$23:$BF$55,$BA18,MATCH($C$2,BD!$AL$22:$BF$22,0))),""))</f>
        <v/>
      </c>
      <c r="E18" s="170"/>
      <c r="F18" s="171" t="str">
        <f>IF(OR($AW18=0,F$5=""),"",IF($AY18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18),"&lt;&gt;")=0,"",SUMIFS(INDEX(BD!$A$3:$AI$5001,0,$AX18),BD!$A$3:$A$5001,F$5,BD!$B$3:$B$5001,$C$2))))</f>
        <v/>
      </c>
      <c r="G18" s="172" t="str">
        <f>IF(OR($AW18=0,G$5=""),"",IF($AY18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18),"&lt;&gt;")=0,"",SUMIFS(INDEX(BD!$A$3:$AI$5001,0,$AX18),BD!$A$3:$A$5001,G$5,BD!$B$3:$B$5001,$C$2))))</f>
        <v/>
      </c>
      <c r="H18" s="172" t="str">
        <f>IF(OR($AW18=0,H$5=""),"",IF($AY18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18),"&lt;&gt;")=0,"",SUMIFS(INDEX(BD!$A$3:$AI$5001,0,$AX18),BD!$A$3:$A$5001,H$5,BD!$B$3:$B$5001,$C$2))))</f>
        <v/>
      </c>
      <c r="I18" s="172" t="str">
        <f>IF(OR($AW18=0,I$5=""),"",IF($AY18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18),"&lt;&gt;")=0,"",SUMIFS(INDEX(BD!$A$3:$AI$5001,0,$AX18),BD!$A$3:$A$5001,I$5,BD!$B$3:$B$5001,$C$2))))</f>
        <v/>
      </c>
      <c r="J18" s="172" t="str">
        <f>IF(OR($AW18=0,J$5=""),"",IF($AY18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18),"&lt;&gt;")=0,"",SUMIFS(INDEX(BD!$A$3:$AI$5001,0,$AX18),BD!$A$3:$A$5001,J$5,BD!$B$3:$B$5001,$C$2))))</f>
        <v/>
      </c>
      <c r="K18" s="172" t="str">
        <f>IF(OR($AW18=0,K$5=""),"",IF($AY18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18),"&lt;&gt;")=0,"",SUMIFS(INDEX(BD!$A$3:$AI$5001,0,$AX18),BD!$A$3:$A$5001,K$5,BD!$B$3:$B$5001,$C$2))))</f>
        <v/>
      </c>
      <c r="L18" s="172" t="str">
        <f>IF(OR($AW18=0,L$5=""),"",IF($AY18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18),"&lt;&gt;")=0,"",SUMIFS(INDEX(BD!$A$3:$AI$5001,0,$AX18),BD!$A$3:$A$5001,L$5,BD!$B$3:$B$5001,$C$2))))</f>
        <v/>
      </c>
      <c r="M18" s="172" t="str">
        <f>IF(OR($AW18=0,M$5=""),"",IF($AY18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18),"&lt;&gt;")=0,"",SUMIFS(INDEX(BD!$A$3:$AI$5001,0,$AX18),BD!$A$3:$A$5001,M$5,BD!$B$3:$B$5001,$C$2))))</f>
        <v/>
      </c>
      <c r="N18" s="172" t="str">
        <f>IF(OR($AW18=0,N$5=""),"",IF($AY18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18),"&lt;&gt;")=0,"",SUMIFS(INDEX(BD!$A$3:$AI$5001,0,$AX18),BD!$A$3:$A$5001,N$5,BD!$B$3:$B$5001,$C$2))))</f>
        <v/>
      </c>
      <c r="O18" s="172" t="str">
        <f>IF(OR($AW18=0,O$5=""),"",IF($AY18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18),"&lt;&gt;")=0,"",SUMIFS(INDEX(BD!$A$3:$AI$5001,0,$AX18),BD!$A$3:$A$5001,O$5,BD!$B$3:$B$5001,$C$2))))</f>
        <v/>
      </c>
      <c r="P18" s="172" t="str">
        <f>IF(OR($AW18=0,P$5=""),"",IF($AY18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18),"&lt;&gt;")=0,"",SUMIFS(INDEX(BD!$A$3:$AI$5001,0,$AX18),BD!$A$3:$A$5001,P$5,BD!$B$3:$B$5001,$C$2))))</f>
        <v/>
      </c>
      <c r="Q18" s="172" t="str">
        <f>IF(OR($AW18=0,Q$5=""),"",IF($AY18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18),"&lt;&gt;")=0,"",SUMIFS(INDEX(BD!$A$3:$AI$5001,0,$AX18),BD!$A$3:$A$5001,Q$5,BD!$B$3:$B$5001,$C$2))))</f>
        <v/>
      </c>
      <c r="R18" s="172" t="str">
        <f>IF(OR($AW18=0,R$5=""),"",IF($AY18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18),"&lt;&gt;")=0,"",SUMIFS(INDEX(BD!$A$3:$AI$5001,0,$AX18),BD!$A$3:$A$5001,R$5,BD!$B$3:$B$5001,$C$2))))</f>
        <v/>
      </c>
      <c r="S18" s="172" t="str">
        <f>IF(OR($AW18=0,S$5=""),"",IF($AY18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18),"&lt;&gt;")=0,"",SUMIFS(INDEX(BD!$A$3:$AI$5001,0,$AX18),BD!$A$3:$A$5001,S$5,BD!$B$3:$B$5001,$C$2))))</f>
        <v/>
      </c>
      <c r="T18" s="172" t="str">
        <f>IF(OR($AW18=0,T$5=""),"",IF($AY18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18),"&lt;&gt;")=0,"",SUMIFS(INDEX(BD!$A$3:$AI$5001,0,$AX18),BD!$A$3:$A$5001,T$5,BD!$B$3:$B$5001,$C$2))))</f>
        <v/>
      </c>
      <c r="U18" s="172" t="str">
        <f>IF(OR($AW18=0,U$5=""),"",IF($AY18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18),"&lt;&gt;")=0,"",SUMIFS(INDEX(BD!$A$3:$AI$5001,0,$AX18),BD!$A$3:$A$5001,U$5,BD!$B$3:$B$5001,$C$2))))</f>
        <v/>
      </c>
      <c r="V18" s="172" t="str">
        <f>IF(OR($AW18=0,V$5=""),"",IF($AY18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18),"&lt;&gt;")=0,"",SUMIFS(INDEX(BD!$A$3:$AI$5001,0,$AX18),BD!$A$3:$A$5001,V$5,BD!$B$3:$B$5001,$C$2))))</f>
        <v/>
      </c>
      <c r="W18" s="172" t="str">
        <f>IF(OR($AW18=0,W$5=""),"",IF($AY18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18),"&lt;&gt;")=0,"",SUMIFS(INDEX(BD!$A$3:$AI$5001,0,$AX18),BD!$A$3:$A$5001,W$5,BD!$B$3:$B$5001,$C$2))))</f>
        <v/>
      </c>
      <c r="X18" s="172" t="str">
        <f>IF(OR($AW18=0,X$5=""),"",IF($AY18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18),"&lt;&gt;")=0,"",SUMIFS(INDEX(BD!$A$3:$AI$5001,0,$AX18),BD!$A$3:$A$5001,X$5,BD!$B$3:$B$5001,$C$2))))</f>
        <v/>
      </c>
      <c r="Y18" s="172" t="str">
        <f>IF(OR($AW18=0,Y$5=""),"",IF($AY18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18),"&lt;&gt;")=0,"",SUMIFS(INDEX(BD!$A$3:$AI$5001,0,$AX18),BD!$A$3:$A$5001,Y$5,BD!$B$3:$B$5001,$C$2))))</f>
        <v/>
      </c>
      <c r="Z18" s="172" t="str">
        <f>IF(OR($AW18=0,Z$5=""),"",IF($AY18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18),"&lt;&gt;")=0,"",SUMIFS(INDEX(BD!$A$3:$AI$5001,0,$AX18),BD!$A$3:$A$5001,Z$5,BD!$B$3:$B$5001,$C$2))))</f>
        <v/>
      </c>
      <c r="AA18" s="172" t="str">
        <f>IF(OR($AW18=0,AA$5=""),"",IF($AY18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18),"&lt;&gt;")=0,"",SUMIFS(INDEX(BD!$A$3:$AI$5001,0,$AX18),BD!$A$3:$A$5001,AA$5,BD!$B$3:$B$5001,$C$2))))</f>
        <v/>
      </c>
      <c r="AB18" s="172" t="str">
        <f>IF(OR($AW18=0,AB$5=""),"",IF($AY18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18),"&lt;&gt;")=0,"",SUMIFS(INDEX(BD!$A$3:$AI$5001,0,$AX18),BD!$A$3:$A$5001,AB$5,BD!$B$3:$B$5001,$C$2))))</f>
        <v/>
      </c>
      <c r="AC18" s="172" t="str">
        <f>IF(OR($AW18=0,AC$5=""),"",IF($AY18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18),"&lt;&gt;")=0,"",SUMIFS(INDEX(BD!$A$3:$AI$5001,0,$AX18),BD!$A$3:$A$5001,AC$5,BD!$B$3:$B$5001,$C$2))))</f>
        <v/>
      </c>
      <c r="AD18" s="172" t="str">
        <f>IF(OR($AW18=0,AD$5=""),"",IF($AY18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18),"&lt;&gt;")=0,"",SUMIFS(INDEX(BD!$A$3:$AI$5001,0,$AX18),BD!$A$3:$A$5001,AD$5,BD!$B$3:$B$5001,$C$2))))</f>
        <v/>
      </c>
      <c r="AE18" s="172" t="str">
        <f>IF(OR($AW18=0,AE$5=""),"",IF($AY18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18),"&lt;&gt;")=0,"",SUMIFS(INDEX(BD!$A$3:$AI$5001,0,$AX18),BD!$A$3:$A$5001,AE$5,BD!$B$3:$B$5001,$C$2))))</f>
        <v/>
      </c>
      <c r="AF18" s="172" t="str">
        <f>IF(OR($AW18=0,AF$5=""),"",IF($AY18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18),"&lt;&gt;")=0,"",SUMIFS(INDEX(BD!$A$3:$AI$5001,0,$AX18),BD!$A$3:$A$5001,AF$5,BD!$B$3:$B$5001,$C$2))))</f>
        <v/>
      </c>
      <c r="AG18" s="172" t="str">
        <f>IF(OR($AW18=0,AG$5=""),"",IF($AY18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18),"&lt;&gt;")=0,"",SUMIFS(INDEX(BD!$A$3:$AI$5001,0,$AX18),BD!$A$3:$A$5001,AG$5,BD!$B$3:$B$5001,$C$2))))</f>
        <v/>
      </c>
      <c r="AH18" s="172" t="str">
        <f>IF(OR($AW18=0,AH$5=""),"",IF($AY18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18),"&lt;&gt;")=0,"",SUMIFS(INDEX(BD!$A$3:$AI$5001,0,$AX18),BD!$A$3:$A$5001,AH$5,BD!$B$3:$B$5001,$C$2))))</f>
        <v/>
      </c>
      <c r="AI18" s="172" t="str">
        <f>IF(OR($AW18=0,AI$5=""),"",IF($AY18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18),"&lt;&gt;")=0,"",SUMIFS(INDEX(BD!$A$3:$AI$5001,0,$AX18),BD!$A$3:$A$5001,AI$5,BD!$B$3:$B$5001,$C$2))))</f>
        <v/>
      </c>
      <c r="AJ18" s="173" t="str">
        <f>IF(OR($AW18=0,AJ$5=""),"",IF($AY18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18),"&lt;&gt;")=0,"",SUMIFS(INDEX(BD!$A$3:$AI$5001,0,$AX18),BD!$A$3:$A$5001,AJ$5,BD!$B$3:$B$5001,$C$2))))</f>
        <v/>
      </c>
      <c r="AK18" s="169" t="str">
        <f>IF($AW18=0,"",IF($AY18="fluxo",IF(COUNT(F18:AJ18)=0,"",SUM(F18:AJ18)),IFERROR(LOOKUP(9.99E+307,F18:AJ18),"")))</f>
        <v/>
      </c>
      <c r="AN18" s="159" t="inlineStr">
        <is>
          <t xml:space="preserve">Pedidos Expedidos</t>
        </is>
      </c>
      <c r="AO18" s="159" t="inlineStr">
        <is>
          <t xml:space="preserve">OUT</t>
        </is>
      </c>
      <c r="AP18" s="159">
        <v>14</v>
      </c>
      <c r="AQ18" s="159" t="inlineStr">
        <is>
          <t xml:space="preserve">fluxo</t>
        </is>
      </c>
      <c r="AR18" s="159">
        <v>12</v>
      </c>
      <c r="AS18" s="159" t="inlineStr">
        <is>
          <t xml:space="preserve">int</t>
        </is>
      </c>
      <c r="AT18" s="159">
        <f>IF($C$2="",0,IF(IFERROR(INDEX(Config!$O$35:$O$54,MATCH($C$2,Config!$B$35:$B$54,0)),"Sim")="Não",0,1))</f>
        <v>0</v>
      </c>
      <c r="AU18" s="159">
        <f>AU17+AT18</f>
        <v>3</v>
      </c>
      <c r="AW18" s="159">
        <f>IFERROR(MATCH(12,$AU$7:$AU$39,0),0)</f>
        <v>27</v>
      </c>
      <c r="AX18" s="159">
        <f>IF($AW18=0,"",INDEX($AP$7:$AP$39,$AW18))</f>
        <v>28</v>
      </c>
      <c r="AY18" s="159" t="str">
        <f>IF($AW18=0,"",INDEX($AQ$7:$AQ$39,$AW18))</f>
        <v>fluxo</v>
      </c>
      <c r="AZ18" s="159" t="str">
        <f>IF($AW18=0,"",INDEX($AS$7:$AS$39,$AW18))</f>
        <v>int</v>
      </c>
      <c r="BA18" s="159">
        <f>IF($AW18=0,"",INDEX($AR$7:$AR$39,$AW18))</f>
        <v>27</v>
      </c>
    </row>
    <row r="19" ht="15.75" customHeight="1">
      <c r="A19" s="181"/>
      <c r="B19" s="167" t="str">
        <f>IF($AW19=0,"",INDEX($AO$7:$AO$39,$AW19))</f>
        <v>GENTE</v>
      </c>
      <c r="C19" s="168" t="str">
        <f>IF($AW19=0,"",INDEX($AN$7:$AN$39,$AW19))</f>
        <v>Folga</v>
      </c>
      <c r="D19" s="169" t="str">
        <f>IF(OR($AW19=0,N($BA19)=0),"",IFERROR(1/(1/INDEX(BD!$AL$23:$BF$55,$BA19,MATCH($C$2,BD!$AL$22:$BF$22,0))),""))</f>
        <v/>
      </c>
      <c r="E19" s="170"/>
      <c r="F19" s="171" t="str">
        <f>IF(OR($AW19=0,F$5=""),"",IF($AY19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19),"&lt;&gt;")=0,"",SUMIFS(INDEX(BD!$A$3:$AI$5001,0,$AX19),BD!$A$3:$A$5001,F$5,BD!$B$3:$B$5001,$C$2))))</f>
        <v/>
      </c>
      <c r="G19" s="172" t="str">
        <f>IF(OR($AW19=0,G$5=""),"",IF($AY19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19),"&lt;&gt;")=0,"",SUMIFS(INDEX(BD!$A$3:$AI$5001,0,$AX19),BD!$A$3:$A$5001,G$5,BD!$B$3:$B$5001,$C$2))))</f>
        <v/>
      </c>
      <c r="H19" s="172" t="str">
        <f>IF(OR($AW19=0,H$5=""),"",IF($AY19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19),"&lt;&gt;")=0,"",SUMIFS(INDEX(BD!$A$3:$AI$5001,0,$AX19),BD!$A$3:$A$5001,H$5,BD!$B$3:$B$5001,$C$2))))</f>
        <v/>
      </c>
      <c r="I19" s="172" t="str">
        <f>IF(OR($AW19=0,I$5=""),"",IF($AY19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19),"&lt;&gt;")=0,"",SUMIFS(INDEX(BD!$A$3:$AI$5001,0,$AX19),BD!$A$3:$A$5001,I$5,BD!$B$3:$B$5001,$C$2))))</f>
        <v/>
      </c>
      <c r="J19" s="172" t="str">
        <f>IF(OR($AW19=0,J$5=""),"",IF($AY19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19),"&lt;&gt;")=0,"",SUMIFS(INDEX(BD!$A$3:$AI$5001,0,$AX19),BD!$A$3:$A$5001,J$5,BD!$B$3:$B$5001,$C$2))))</f>
        <v/>
      </c>
      <c r="K19" s="172" t="str">
        <f>IF(OR($AW19=0,K$5=""),"",IF($AY19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19),"&lt;&gt;")=0,"",SUMIFS(INDEX(BD!$A$3:$AI$5001,0,$AX19),BD!$A$3:$A$5001,K$5,BD!$B$3:$B$5001,$C$2))))</f>
        <v/>
      </c>
      <c r="L19" s="172" t="str">
        <f>IF(OR($AW19=0,L$5=""),"",IF($AY19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19),"&lt;&gt;")=0,"",SUMIFS(INDEX(BD!$A$3:$AI$5001,0,$AX19),BD!$A$3:$A$5001,L$5,BD!$B$3:$B$5001,$C$2))))</f>
        <v/>
      </c>
      <c r="M19" s="172" t="str">
        <f>IF(OR($AW19=0,M$5=""),"",IF($AY19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19),"&lt;&gt;")=0,"",SUMIFS(INDEX(BD!$A$3:$AI$5001,0,$AX19),BD!$A$3:$A$5001,M$5,BD!$B$3:$B$5001,$C$2))))</f>
        <v/>
      </c>
      <c r="N19" s="172" t="str">
        <f>IF(OR($AW19=0,N$5=""),"",IF($AY19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19),"&lt;&gt;")=0,"",SUMIFS(INDEX(BD!$A$3:$AI$5001,0,$AX19),BD!$A$3:$A$5001,N$5,BD!$B$3:$B$5001,$C$2))))</f>
        <v/>
      </c>
      <c r="O19" s="172" t="str">
        <f>IF(OR($AW19=0,O$5=""),"",IF($AY19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19),"&lt;&gt;")=0,"",SUMIFS(INDEX(BD!$A$3:$AI$5001,0,$AX19),BD!$A$3:$A$5001,O$5,BD!$B$3:$B$5001,$C$2))))</f>
        <v/>
      </c>
      <c r="P19" s="172" t="str">
        <f>IF(OR($AW19=0,P$5=""),"",IF($AY19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19),"&lt;&gt;")=0,"",SUMIFS(INDEX(BD!$A$3:$AI$5001,0,$AX19),BD!$A$3:$A$5001,P$5,BD!$B$3:$B$5001,$C$2))))</f>
        <v/>
      </c>
      <c r="Q19" s="172" t="str">
        <f>IF(OR($AW19=0,Q$5=""),"",IF($AY19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19),"&lt;&gt;")=0,"",SUMIFS(INDEX(BD!$A$3:$AI$5001,0,$AX19),BD!$A$3:$A$5001,Q$5,BD!$B$3:$B$5001,$C$2))))</f>
        <v/>
      </c>
      <c r="R19" s="172" t="str">
        <f>IF(OR($AW19=0,R$5=""),"",IF($AY19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19),"&lt;&gt;")=0,"",SUMIFS(INDEX(BD!$A$3:$AI$5001,0,$AX19),BD!$A$3:$A$5001,R$5,BD!$B$3:$B$5001,$C$2))))</f>
        <v/>
      </c>
      <c r="S19" s="172" t="str">
        <f>IF(OR($AW19=0,S$5=""),"",IF($AY19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19),"&lt;&gt;")=0,"",SUMIFS(INDEX(BD!$A$3:$AI$5001,0,$AX19),BD!$A$3:$A$5001,S$5,BD!$B$3:$B$5001,$C$2))))</f>
        <v/>
      </c>
      <c r="T19" s="172" t="str">
        <f>IF(OR($AW19=0,T$5=""),"",IF($AY19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19),"&lt;&gt;")=0,"",SUMIFS(INDEX(BD!$A$3:$AI$5001,0,$AX19),BD!$A$3:$A$5001,T$5,BD!$B$3:$B$5001,$C$2))))</f>
        <v/>
      </c>
      <c r="U19" s="172" t="str">
        <f>IF(OR($AW19=0,U$5=""),"",IF($AY19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19),"&lt;&gt;")=0,"",SUMIFS(INDEX(BD!$A$3:$AI$5001,0,$AX19),BD!$A$3:$A$5001,U$5,BD!$B$3:$B$5001,$C$2))))</f>
        <v/>
      </c>
      <c r="V19" s="172" t="str">
        <f>IF(OR($AW19=0,V$5=""),"",IF($AY19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19),"&lt;&gt;")=0,"",SUMIFS(INDEX(BD!$A$3:$AI$5001,0,$AX19),BD!$A$3:$A$5001,V$5,BD!$B$3:$B$5001,$C$2))))</f>
        <v/>
      </c>
      <c r="W19" s="172" t="str">
        <f>IF(OR($AW19=0,W$5=""),"",IF($AY19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19),"&lt;&gt;")=0,"",SUMIFS(INDEX(BD!$A$3:$AI$5001,0,$AX19),BD!$A$3:$A$5001,W$5,BD!$B$3:$B$5001,$C$2))))</f>
        <v/>
      </c>
      <c r="X19" s="172" t="str">
        <f>IF(OR($AW19=0,X$5=""),"",IF($AY19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19),"&lt;&gt;")=0,"",SUMIFS(INDEX(BD!$A$3:$AI$5001,0,$AX19),BD!$A$3:$A$5001,X$5,BD!$B$3:$B$5001,$C$2))))</f>
        <v/>
      </c>
      <c r="Y19" s="172" t="str">
        <f>IF(OR($AW19=0,Y$5=""),"",IF($AY19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19),"&lt;&gt;")=0,"",SUMIFS(INDEX(BD!$A$3:$AI$5001,0,$AX19),BD!$A$3:$A$5001,Y$5,BD!$B$3:$B$5001,$C$2))))</f>
        <v/>
      </c>
      <c r="Z19" s="172" t="str">
        <f>IF(OR($AW19=0,Z$5=""),"",IF($AY19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19),"&lt;&gt;")=0,"",SUMIFS(INDEX(BD!$A$3:$AI$5001,0,$AX19),BD!$A$3:$A$5001,Z$5,BD!$B$3:$B$5001,$C$2))))</f>
        <v/>
      </c>
      <c r="AA19" s="172" t="str">
        <f>IF(OR($AW19=0,AA$5=""),"",IF($AY19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19),"&lt;&gt;")=0,"",SUMIFS(INDEX(BD!$A$3:$AI$5001,0,$AX19),BD!$A$3:$A$5001,AA$5,BD!$B$3:$B$5001,$C$2))))</f>
        <v/>
      </c>
      <c r="AB19" s="172" t="str">
        <f>IF(OR($AW19=0,AB$5=""),"",IF($AY19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19),"&lt;&gt;")=0,"",SUMIFS(INDEX(BD!$A$3:$AI$5001,0,$AX19),BD!$A$3:$A$5001,AB$5,BD!$B$3:$B$5001,$C$2))))</f>
        <v/>
      </c>
      <c r="AC19" s="172" t="str">
        <f>IF(OR($AW19=0,AC$5=""),"",IF($AY19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19),"&lt;&gt;")=0,"",SUMIFS(INDEX(BD!$A$3:$AI$5001,0,$AX19),BD!$A$3:$A$5001,AC$5,BD!$B$3:$B$5001,$C$2))))</f>
        <v/>
      </c>
      <c r="AD19" s="172" t="str">
        <f>IF(OR($AW19=0,AD$5=""),"",IF($AY19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19),"&lt;&gt;")=0,"",SUMIFS(INDEX(BD!$A$3:$AI$5001,0,$AX19),BD!$A$3:$A$5001,AD$5,BD!$B$3:$B$5001,$C$2))))</f>
        <v/>
      </c>
      <c r="AE19" s="172" t="str">
        <f>IF(OR($AW19=0,AE$5=""),"",IF($AY19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19),"&lt;&gt;")=0,"",SUMIFS(INDEX(BD!$A$3:$AI$5001,0,$AX19),BD!$A$3:$A$5001,AE$5,BD!$B$3:$B$5001,$C$2))))</f>
        <v/>
      </c>
      <c r="AF19" s="172" t="str">
        <f>IF(OR($AW19=0,AF$5=""),"",IF($AY19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19),"&lt;&gt;")=0,"",SUMIFS(INDEX(BD!$A$3:$AI$5001,0,$AX19),BD!$A$3:$A$5001,AF$5,BD!$B$3:$B$5001,$C$2))))</f>
        <v/>
      </c>
      <c r="AG19" s="172" t="str">
        <f>IF(OR($AW19=0,AG$5=""),"",IF($AY19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19),"&lt;&gt;")=0,"",SUMIFS(INDEX(BD!$A$3:$AI$5001,0,$AX19),BD!$A$3:$A$5001,AG$5,BD!$B$3:$B$5001,$C$2))))</f>
        <v/>
      </c>
      <c r="AH19" s="172" t="str">
        <f>IF(OR($AW19=0,AH$5=""),"",IF($AY19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19),"&lt;&gt;")=0,"",SUMIFS(INDEX(BD!$A$3:$AI$5001,0,$AX19),BD!$A$3:$A$5001,AH$5,BD!$B$3:$B$5001,$C$2))))</f>
        <v/>
      </c>
      <c r="AI19" s="172" t="str">
        <f>IF(OR($AW19=0,AI$5=""),"",IF($AY19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19),"&lt;&gt;")=0,"",SUMIFS(INDEX(BD!$A$3:$AI$5001,0,$AX19),BD!$A$3:$A$5001,AI$5,BD!$B$3:$B$5001,$C$2))))</f>
        <v/>
      </c>
      <c r="AJ19" s="173" t="str">
        <f>IF(OR($AW19=0,AJ$5=""),"",IF($AY19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19),"&lt;&gt;")=0,"",SUMIFS(INDEX(BD!$A$3:$AI$5001,0,$AX19),BD!$A$3:$A$5001,AJ$5,BD!$B$3:$B$5001,$C$2))))</f>
        <v/>
      </c>
      <c r="AK19" s="169" t="str">
        <f>IF($AW19=0,"",IF($AY19="fluxo",IF(COUNT(F19:AJ19)=0,"",SUM(F19:AJ19)),IFERROR(LOOKUP(9.99E+307,F19:AJ19),"")))</f>
        <v/>
      </c>
      <c r="AN19" s="159" t="inlineStr">
        <is>
          <t xml:space="preserve">Pedidos Faturados</t>
        </is>
      </c>
      <c r="AO19" s="159" t="inlineStr">
        <is>
          <t xml:space="preserve">OUT</t>
        </is>
      </c>
      <c r="AP19" s="159">
        <v>15</v>
      </c>
      <c r="AQ19" s="159" t="inlineStr">
        <is>
          <t xml:space="preserve">fluxo</t>
        </is>
      </c>
      <c r="AR19" s="159">
        <v>13</v>
      </c>
      <c r="AS19" s="159" t="inlineStr">
        <is>
          <t xml:space="preserve">int</t>
        </is>
      </c>
      <c r="AT19" s="159">
        <f>IF($C$2="",0,IF(IFERROR(INDEX(Config!$P$35:$P$54,MATCH($C$2,Config!$B$35:$B$54,0)),"Sim")="Não",0,1))</f>
        <v>0</v>
      </c>
      <c r="AU19" s="159">
        <f>AU18+AT19</f>
        <v>3</v>
      </c>
      <c r="AW19" s="159">
        <f>IFERROR(MATCH(13,$AU$7:$AU$39,0),0)</f>
        <v>28</v>
      </c>
      <c r="AX19" s="159">
        <f>IF($AW19=0,"",INDEX($AP$7:$AP$39,$AW19))</f>
        <v>29</v>
      </c>
      <c r="AY19" s="159" t="str">
        <f>IF($AW19=0,"",INDEX($AQ$7:$AQ$39,$AW19))</f>
        <v>fluxo</v>
      </c>
      <c r="AZ19" s="159" t="str">
        <f>IF($AW19=0,"",INDEX($AS$7:$AS$39,$AW19))</f>
        <v>int</v>
      </c>
      <c r="BA19" s="159">
        <f>IF($AW19=0,"",INDEX($AR$7:$AR$39,$AW19))</f>
        <v>28</v>
      </c>
    </row>
    <row r="20" ht="15.75" customHeight="1">
      <c r="A20" s="181"/>
      <c r="B20" s="167" t="str">
        <f>IF($AW20=0,"",INDEX($AO$7:$AO$39,$AW20))</f>
        <v>GENTE</v>
      </c>
      <c r="C20" s="168" t="str">
        <f>IF($AW20=0,"",INDEX($AN$7:$AN$39,$AW20))</f>
        <v>Férias</v>
      </c>
      <c r="D20" s="169" t="str">
        <f>IF(OR($AW20=0,N($BA20)=0),"",IFERROR(1/(1/INDEX(BD!$AL$23:$BF$55,$BA20,MATCH($C$2,BD!$AL$22:$BF$22,0))),""))</f>
        <v/>
      </c>
      <c r="E20" s="170"/>
      <c r="F20" s="171" t="str">
        <f>IF(OR($AW20=0,F$5=""),"",IF($AY20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20),"&lt;&gt;")=0,"",SUMIFS(INDEX(BD!$A$3:$AI$5001,0,$AX20),BD!$A$3:$A$5001,F$5,BD!$B$3:$B$5001,$C$2))))</f>
        <v/>
      </c>
      <c r="G20" s="172" t="str">
        <f>IF(OR($AW20=0,G$5=""),"",IF($AY20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20),"&lt;&gt;")=0,"",SUMIFS(INDEX(BD!$A$3:$AI$5001,0,$AX20),BD!$A$3:$A$5001,G$5,BD!$B$3:$B$5001,$C$2))))</f>
        <v/>
      </c>
      <c r="H20" s="172" t="str">
        <f>IF(OR($AW20=0,H$5=""),"",IF($AY20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20),"&lt;&gt;")=0,"",SUMIFS(INDEX(BD!$A$3:$AI$5001,0,$AX20),BD!$A$3:$A$5001,H$5,BD!$B$3:$B$5001,$C$2))))</f>
        <v/>
      </c>
      <c r="I20" s="172" t="str">
        <f>IF(OR($AW20=0,I$5=""),"",IF($AY20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20),"&lt;&gt;")=0,"",SUMIFS(INDEX(BD!$A$3:$AI$5001,0,$AX20),BD!$A$3:$A$5001,I$5,BD!$B$3:$B$5001,$C$2))))</f>
        <v/>
      </c>
      <c r="J20" s="172" t="str">
        <f>IF(OR($AW20=0,J$5=""),"",IF($AY20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20),"&lt;&gt;")=0,"",SUMIFS(INDEX(BD!$A$3:$AI$5001,0,$AX20),BD!$A$3:$A$5001,J$5,BD!$B$3:$B$5001,$C$2))))</f>
        <v/>
      </c>
      <c r="K20" s="172" t="str">
        <f>IF(OR($AW20=0,K$5=""),"",IF($AY20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20),"&lt;&gt;")=0,"",SUMIFS(INDEX(BD!$A$3:$AI$5001,0,$AX20),BD!$A$3:$A$5001,K$5,BD!$B$3:$B$5001,$C$2))))</f>
        <v/>
      </c>
      <c r="L20" s="172" t="str">
        <f>IF(OR($AW20=0,L$5=""),"",IF($AY20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20),"&lt;&gt;")=0,"",SUMIFS(INDEX(BD!$A$3:$AI$5001,0,$AX20),BD!$A$3:$A$5001,L$5,BD!$B$3:$B$5001,$C$2))))</f>
        <v/>
      </c>
      <c r="M20" s="172" t="str">
        <f>IF(OR($AW20=0,M$5=""),"",IF($AY20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20),"&lt;&gt;")=0,"",SUMIFS(INDEX(BD!$A$3:$AI$5001,0,$AX20),BD!$A$3:$A$5001,M$5,BD!$B$3:$B$5001,$C$2))))</f>
        <v/>
      </c>
      <c r="N20" s="172" t="str">
        <f>IF(OR($AW20=0,N$5=""),"",IF($AY20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20),"&lt;&gt;")=0,"",SUMIFS(INDEX(BD!$A$3:$AI$5001,0,$AX20),BD!$A$3:$A$5001,N$5,BD!$B$3:$B$5001,$C$2))))</f>
        <v/>
      </c>
      <c r="O20" s="172" t="str">
        <f>IF(OR($AW20=0,O$5=""),"",IF($AY20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20),"&lt;&gt;")=0,"",SUMIFS(INDEX(BD!$A$3:$AI$5001,0,$AX20),BD!$A$3:$A$5001,O$5,BD!$B$3:$B$5001,$C$2))))</f>
        <v/>
      </c>
      <c r="P20" s="172" t="str">
        <f>IF(OR($AW20=0,P$5=""),"",IF($AY20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20),"&lt;&gt;")=0,"",SUMIFS(INDEX(BD!$A$3:$AI$5001,0,$AX20),BD!$A$3:$A$5001,P$5,BD!$B$3:$B$5001,$C$2))))</f>
        <v/>
      </c>
      <c r="Q20" s="172" t="str">
        <f>IF(OR($AW20=0,Q$5=""),"",IF($AY20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20),"&lt;&gt;")=0,"",SUMIFS(INDEX(BD!$A$3:$AI$5001,0,$AX20),BD!$A$3:$A$5001,Q$5,BD!$B$3:$B$5001,$C$2))))</f>
        <v/>
      </c>
      <c r="R20" s="172" t="str">
        <f>IF(OR($AW20=0,R$5=""),"",IF($AY20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20),"&lt;&gt;")=0,"",SUMIFS(INDEX(BD!$A$3:$AI$5001,0,$AX20),BD!$A$3:$A$5001,R$5,BD!$B$3:$B$5001,$C$2))))</f>
        <v/>
      </c>
      <c r="S20" s="172" t="str">
        <f>IF(OR($AW20=0,S$5=""),"",IF($AY20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20),"&lt;&gt;")=0,"",SUMIFS(INDEX(BD!$A$3:$AI$5001,0,$AX20),BD!$A$3:$A$5001,S$5,BD!$B$3:$B$5001,$C$2))))</f>
        <v/>
      </c>
      <c r="T20" s="172" t="str">
        <f>IF(OR($AW20=0,T$5=""),"",IF($AY20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20),"&lt;&gt;")=0,"",SUMIFS(INDEX(BD!$A$3:$AI$5001,0,$AX20),BD!$A$3:$A$5001,T$5,BD!$B$3:$B$5001,$C$2))))</f>
        <v/>
      </c>
      <c r="U20" s="172" t="str">
        <f>IF(OR($AW20=0,U$5=""),"",IF($AY20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20),"&lt;&gt;")=0,"",SUMIFS(INDEX(BD!$A$3:$AI$5001,0,$AX20),BD!$A$3:$A$5001,U$5,BD!$B$3:$B$5001,$C$2))))</f>
        <v/>
      </c>
      <c r="V20" s="172" t="str">
        <f>IF(OR($AW20=0,V$5=""),"",IF($AY20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20),"&lt;&gt;")=0,"",SUMIFS(INDEX(BD!$A$3:$AI$5001,0,$AX20),BD!$A$3:$A$5001,V$5,BD!$B$3:$B$5001,$C$2))))</f>
        <v/>
      </c>
      <c r="W20" s="172" t="str">
        <f>IF(OR($AW20=0,W$5=""),"",IF($AY20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20),"&lt;&gt;")=0,"",SUMIFS(INDEX(BD!$A$3:$AI$5001,0,$AX20),BD!$A$3:$A$5001,W$5,BD!$B$3:$B$5001,$C$2))))</f>
        <v/>
      </c>
      <c r="X20" s="172" t="str">
        <f>IF(OR($AW20=0,X$5=""),"",IF($AY20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20),"&lt;&gt;")=0,"",SUMIFS(INDEX(BD!$A$3:$AI$5001,0,$AX20),BD!$A$3:$A$5001,X$5,BD!$B$3:$B$5001,$C$2))))</f>
        <v/>
      </c>
      <c r="Y20" s="172" t="str">
        <f>IF(OR($AW20=0,Y$5=""),"",IF($AY20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20),"&lt;&gt;")=0,"",SUMIFS(INDEX(BD!$A$3:$AI$5001,0,$AX20),BD!$A$3:$A$5001,Y$5,BD!$B$3:$B$5001,$C$2))))</f>
        <v/>
      </c>
      <c r="Z20" s="172" t="str">
        <f>IF(OR($AW20=0,Z$5=""),"",IF($AY20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20),"&lt;&gt;")=0,"",SUMIFS(INDEX(BD!$A$3:$AI$5001,0,$AX20),BD!$A$3:$A$5001,Z$5,BD!$B$3:$B$5001,$C$2))))</f>
        <v/>
      </c>
      <c r="AA20" s="172" t="str">
        <f>IF(OR($AW20=0,AA$5=""),"",IF($AY20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20),"&lt;&gt;")=0,"",SUMIFS(INDEX(BD!$A$3:$AI$5001,0,$AX20),BD!$A$3:$A$5001,AA$5,BD!$B$3:$B$5001,$C$2))))</f>
        <v/>
      </c>
      <c r="AB20" s="172" t="str">
        <f>IF(OR($AW20=0,AB$5=""),"",IF($AY20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20),"&lt;&gt;")=0,"",SUMIFS(INDEX(BD!$A$3:$AI$5001,0,$AX20),BD!$A$3:$A$5001,AB$5,BD!$B$3:$B$5001,$C$2))))</f>
        <v/>
      </c>
      <c r="AC20" s="172" t="str">
        <f>IF(OR($AW20=0,AC$5=""),"",IF($AY20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20),"&lt;&gt;")=0,"",SUMIFS(INDEX(BD!$A$3:$AI$5001,0,$AX20),BD!$A$3:$A$5001,AC$5,BD!$B$3:$B$5001,$C$2))))</f>
        <v/>
      </c>
      <c r="AD20" s="172" t="str">
        <f>IF(OR($AW20=0,AD$5=""),"",IF($AY20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20),"&lt;&gt;")=0,"",SUMIFS(INDEX(BD!$A$3:$AI$5001,0,$AX20),BD!$A$3:$A$5001,AD$5,BD!$B$3:$B$5001,$C$2))))</f>
        <v/>
      </c>
      <c r="AE20" s="172" t="str">
        <f>IF(OR($AW20=0,AE$5=""),"",IF($AY20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20),"&lt;&gt;")=0,"",SUMIFS(INDEX(BD!$A$3:$AI$5001,0,$AX20),BD!$A$3:$A$5001,AE$5,BD!$B$3:$B$5001,$C$2))))</f>
        <v/>
      </c>
      <c r="AF20" s="172" t="str">
        <f>IF(OR($AW20=0,AF$5=""),"",IF($AY20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20),"&lt;&gt;")=0,"",SUMIFS(INDEX(BD!$A$3:$AI$5001,0,$AX20),BD!$A$3:$A$5001,AF$5,BD!$B$3:$B$5001,$C$2))))</f>
        <v/>
      </c>
      <c r="AG20" s="172" t="str">
        <f>IF(OR($AW20=0,AG$5=""),"",IF($AY20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20),"&lt;&gt;")=0,"",SUMIFS(INDEX(BD!$A$3:$AI$5001,0,$AX20),BD!$A$3:$A$5001,AG$5,BD!$B$3:$B$5001,$C$2))))</f>
        <v/>
      </c>
      <c r="AH20" s="172" t="str">
        <f>IF(OR($AW20=0,AH$5=""),"",IF($AY20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20),"&lt;&gt;")=0,"",SUMIFS(INDEX(BD!$A$3:$AI$5001,0,$AX20),BD!$A$3:$A$5001,AH$5,BD!$B$3:$B$5001,$C$2))))</f>
        <v/>
      </c>
      <c r="AI20" s="172" t="str">
        <f>IF(OR($AW20=0,AI$5=""),"",IF($AY20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20),"&lt;&gt;")=0,"",SUMIFS(INDEX(BD!$A$3:$AI$5001,0,$AX20),BD!$A$3:$A$5001,AI$5,BD!$B$3:$B$5001,$C$2))))</f>
        <v/>
      </c>
      <c r="AJ20" s="173" t="str">
        <f>IF(OR($AW20=0,AJ$5=""),"",IF($AY20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20),"&lt;&gt;")=0,"",SUMIFS(INDEX(BD!$A$3:$AI$5001,0,$AX20),BD!$A$3:$A$5001,AJ$5,BD!$B$3:$B$5001,$C$2))))</f>
        <v/>
      </c>
      <c r="AK20" s="169" t="str">
        <f>IF($AW20=0,"",IF($AY20="fluxo",IF(COUNT(F20:AJ20)=0,"",SUM(F20:AJ20)),IFERROR(LOOKUP(9.99E+307,F20:AJ20),"")))</f>
        <v/>
      </c>
      <c r="AN20" s="159" t="inlineStr">
        <is>
          <t xml:space="preserve">Itens Expedidos</t>
        </is>
      </c>
      <c r="AO20" s="159" t="inlineStr">
        <is>
          <t xml:space="preserve">OUT</t>
        </is>
      </c>
      <c r="AP20" s="159">
        <v>16</v>
      </c>
      <c r="AQ20" s="159" t="inlineStr">
        <is>
          <t xml:space="preserve">fluxo</t>
        </is>
      </c>
      <c r="AR20" s="159">
        <v>14</v>
      </c>
      <c r="AS20" s="159" t="inlineStr">
        <is>
          <t xml:space="preserve">int</t>
        </is>
      </c>
      <c r="AT20" s="159">
        <f>IF($C$2="",0,IF(IFERROR(INDEX(Config!$Q$35:$Q$54,MATCH($C$2,Config!$B$35:$B$54,0)),"Sim")="Não",0,1))</f>
        <v>0</v>
      </c>
      <c r="AU20" s="159">
        <f>AU19+AT20</f>
        <v>3</v>
      </c>
      <c r="AW20" s="159">
        <f>IFERROR(MATCH(14,$AU$7:$AU$39,0),0)</f>
        <v>29</v>
      </c>
      <c r="AX20" s="159">
        <f>IF($AW20=0,"",INDEX($AP$7:$AP$39,$AW20))</f>
        <v>30</v>
      </c>
      <c r="AY20" s="159" t="str">
        <f>IF($AW20=0,"",INDEX($AQ$7:$AQ$39,$AW20))</f>
        <v>fluxo</v>
      </c>
      <c r="AZ20" s="159" t="str">
        <f>IF($AW20=0,"",INDEX($AS$7:$AS$39,$AW20))</f>
        <v>int</v>
      </c>
      <c r="BA20" s="159">
        <f>IF($AW20=0,"",INDEX($AR$7:$AR$39,$AW20))</f>
        <v>29</v>
      </c>
    </row>
    <row r="21" ht="15.75" customHeight="1">
      <c r="A21" s="181"/>
      <c r="B21" s="167" t="str">
        <f>IF($AW21=0,"",INDEX($AO$7:$AO$39,$AW21))</f>
        <v>GENTE</v>
      </c>
      <c r="C21" s="168" t="str">
        <f>IF($AW21=0,"",INDEX($AN$7:$AN$39,$AW21))</f>
        <v>Desligamento</v>
      </c>
      <c r="D21" s="169" t="str">
        <f>IF(OR($AW21=0,N($BA21)=0),"",IFERROR(1/(1/INDEX(BD!$AL$23:$BF$55,$BA21,MATCH($C$2,BD!$AL$22:$BF$22,0))),""))</f>
        <v/>
      </c>
      <c r="E21" s="170"/>
      <c r="F21" s="171" t="str">
        <f>IF(OR($AW21=0,F$5=""),"",IF($AY21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21),"&lt;&gt;")=0,"",SUMIFS(INDEX(BD!$A$3:$AI$5001,0,$AX21),BD!$A$3:$A$5001,F$5,BD!$B$3:$B$5001,$C$2))))</f>
        <v/>
      </c>
      <c r="G21" s="172" t="str">
        <f>IF(OR($AW21=0,G$5=""),"",IF($AY21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21),"&lt;&gt;")=0,"",SUMIFS(INDEX(BD!$A$3:$AI$5001,0,$AX21),BD!$A$3:$A$5001,G$5,BD!$B$3:$B$5001,$C$2))))</f>
        <v/>
      </c>
      <c r="H21" s="172" t="str">
        <f>IF(OR($AW21=0,H$5=""),"",IF($AY21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21),"&lt;&gt;")=0,"",SUMIFS(INDEX(BD!$A$3:$AI$5001,0,$AX21),BD!$A$3:$A$5001,H$5,BD!$B$3:$B$5001,$C$2))))</f>
        <v/>
      </c>
      <c r="I21" s="172" t="str">
        <f>IF(OR($AW21=0,I$5=""),"",IF($AY21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21),"&lt;&gt;")=0,"",SUMIFS(INDEX(BD!$A$3:$AI$5001,0,$AX21),BD!$A$3:$A$5001,I$5,BD!$B$3:$B$5001,$C$2))))</f>
        <v/>
      </c>
      <c r="J21" s="172" t="str">
        <f>IF(OR($AW21=0,J$5=""),"",IF($AY21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21),"&lt;&gt;")=0,"",SUMIFS(INDEX(BD!$A$3:$AI$5001,0,$AX21),BD!$A$3:$A$5001,J$5,BD!$B$3:$B$5001,$C$2))))</f>
        <v/>
      </c>
      <c r="K21" s="172" t="str">
        <f>IF(OR($AW21=0,K$5=""),"",IF($AY21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21),"&lt;&gt;")=0,"",SUMIFS(INDEX(BD!$A$3:$AI$5001,0,$AX21),BD!$A$3:$A$5001,K$5,BD!$B$3:$B$5001,$C$2))))</f>
        <v/>
      </c>
      <c r="L21" s="172" t="str">
        <f>IF(OR($AW21=0,L$5=""),"",IF($AY21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21),"&lt;&gt;")=0,"",SUMIFS(INDEX(BD!$A$3:$AI$5001,0,$AX21),BD!$A$3:$A$5001,L$5,BD!$B$3:$B$5001,$C$2))))</f>
        <v/>
      </c>
      <c r="M21" s="172" t="str">
        <f>IF(OR($AW21=0,M$5=""),"",IF($AY21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21),"&lt;&gt;")=0,"",SUMIFS(INDEX(BD!$A$3:$AI$5001,0,$AX21),BD!$A$3:$A$5001,M$5,BD!$B$3:$B$5001,$C$2))))</f>
        <v/>
      </c>
      <c r="N21" s="172" t="str">
        <f>IF(OR($AW21=0,N$5=""),"",IF($AY21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21),"&lt;&gt;")=0,"",SUMIFS(INDEX(BD!$A$3:$AI$5001,0,$AX21),BD!$A$3:$A$5001,N$5,BD!$B$3:$B$5001,$C$2))))</f>
        <v/>
      </c>
      <c r="O21" s="172" t="str">
        <f>IF(OR($AW21=0,O$5=""),"",IF($AY21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21),"&lt;&gt;")=0,"",SUMIFS(INDEX(BD!$A$3:$AI$5001,0,$AX21),BD!$A$3:$A$5001,O$5,BD!$B$3:$B$5001,$C$2))))</f>
        <v/>
      </c>
      <c r="P21" s="172" t="str">
        <f>IF(OR($AW21=0,P$5=""),"",IF($AY21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21),"&lt;&gt;")=0,"",SUMIFS(INDEX(BD!$A$3:$AI$5001,0,$AX21),BD!$A$3:$A$5001,P$5,BD!$B$3:$B$5001,$C$2))))</f>
        <v/>
      </c>
      <c r="Q21" s="172" t="str">
        <f>IF(OR($AW21=0,Q$5=""),"",IF($AY21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21),"&lt;&gt;")=0,"",SUMIFS(INDEX(BD!$A$3:$AI$5001,0,$AX21),BD!$A$3:$A$5001,Q$5,BD!$B$3:$B$5001,$C$2))))</f>
        <v/>
      </c>
      <c r="R21" s="172" t="str">
        <f>IF(OR($AW21=0,R$5=""),"",IF($AY21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21),"&lt;&gt;")=0,"",SUMIFS(INDEX(BD!$A$3:$AI$5001,0,$AX21),BD!$A$3:$A$5001,R$5,BD!$B$3:$B$5001,$C$2))))</f>
        <v/>
      </c>
      <c r="S21" s="172" t="str">
        <f>IF(OR($AW21=0,S$5=""),"",IF($AY21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21),"&lt;&gt;")=0,"",SUMIFS(INDEX(BD!$A$3:$AI$5001,0,$AX21),BD!$A$3:$A$5001,S$5,BD!$B$3:$B$5001,$C$2))))</f>
        <v/>
      </c>
      <c r="T21" s="172" t="str">
        <f>IF(OR($AW21=0,T$5=""),"",IF($AY21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21),"&lt;&gt;")=0,"",SUMIFS(INDEX(BD!$A$3:$AI$5001,0,$AX21),BD!$A$3:$A$5001,T$5,BD!$B$3:$B$5001,$C$2))))</f>
        <v/>
      </c>
      <c r="U21" s="172" t="str">
        <f>IF(OR($AW21=0,U$5=""),"",IF($AY21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21),"&lt;&gt;")=0,"",SUMIFS(INDEX(BD!$A$3:$AI$5001,0,$AX21),BD!$A$3:$A$5001,U$5,BD!$B$3:$B$5001,$C$2))))</f>
        <v/>
      </c>
      <c r="V21" s="172" t="str">
        <f>IF(OR($AW21=0,V$5=""),"",IF($AY21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21),"&lt;&gt;")=0,"",SUMIFS(INDEX(BD!$A$3:$AI$5001,0,$AX21),BD!$A$3:$A$5001,V$5,BD!$B$3:$B$5001,$C$2))))</f>
        <v/>
      </c>
      <c r="W21" s="172" t="str">
        <f>IF(OR($AW21=0,W$5=""),"",IF($AY21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21),"&lt;&gt;")=0,"",SUMIFS(INDEX(BD!$A$3:$AI$5001,0,$AX21),BD!$A$3:$A$5001,W$5,BD!$B$3:$B$5001,$C$2))))</f>
        <v/>
      </c>
      <c r="X21" s="172" t="str">
        <f>IF(OR($AW21=0,X$5=""),"",IF($AY21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21),"&lt;&gt;")=0,"",SUMIFS(INDEX(BD!$A$3:$AI$5001,0,$AX21),BD!$A$3:$A$5001,X$5,BD!$B$3:$B$5001,$C$2))))</f>
        <v/>
      </c>
      <c r="Y21" s="172" t="str">
        <f>IF(OR($AW21=0,Y$5=""),"",IF($AY21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21),"&lt;&gt;")=0,"",SUMIFS(INDEX(BD!$A$3:$AI$5001,0,$AX21),BD!$A$3:$A$5001,Y$5,BD!$B$3:$B$5001,$C$2))))</f>
        <v/>
      </c>
      <c r="Z21" s="172" t="str">
        <f>IF(OR($AW21=0,Z$5=""),"",IF($AY21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21),"&lt;&gt;")=0,"",SUMIFS(INDEX(BD!$A$3:$AI$5001,0,$AX21),BD!$A$3:$A$5001,Z$5,BD!$B$3:$B$5001,$C$2))))</f>
        <v/>
      </c>
      <c r="AA21" s="172" t="str">
        <f>IF(OR($AW21=0,AA$5=""),"",IF($AY21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21),"&lt;&gt;")=0,"",SUMIFS(INDEX(BD!$A$3:$AI$5001,0,$AX21),BD!$A$3:$A$5001,AA$5,BD!$B$3:$B$5001,$C$2))))</f>
        <v/>
      </c>
      <c r="AB21" s="172" t="str">
        <f>IF(OR($AW21=0,AB$5=""),"",IF($AY21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21),"&lt;&gt;")=0,"",SUMIFS(INDEX(BD!$A$3:$AI$5001,0,$AX21),BD!$A$3:$A$5001,AB$5,BD!$B$3:$B$5001,$C$2))))</f>
        <v/>
      </c>
      <c r="AC21" s="172" t="str">
        <f>IF(OR($AW21=0,AC$5=""),"",IF($AY21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21),"&lt;&gt;")=0,"",SUMIFS(INDEX(BD!$A$3:$AI$5001,0,$AX21),BD!$A$3:$A$5001,AC$5,BD!$B$3:$B$5001,$C$2))))</f>
        <v/>
      </c>
      <c r="AD21" s="172" t="str">
        <f>IF(OR($AW21=0,AD$5=""),"",IF($AY21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21),"&lt;&gt;")=0,"",SUMIFS(INDEX(BD!$A$3:$AI$5001,0,$AX21),BD!$A$3:$A$5001,AD$5,BD!$B$3:$B$5001,$C$2))))</f>
        <v/>
      </c>
      <c r="AE21" s="172" t="str">
        <f>IF(OR($AW21=0,AE$5=""),"",IF($AY21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21),"&lt;&gt;")=0,"",SUMIFS(INDEX(BD!$A$3:$AI$5001,0,$AX21),BD!$A$3:$A$5001,AE$5,BD!$B$3:$B$5001,$C$2))))</f>
        <v/>
      </c>
      <c r="AF21" s="172" t="str">
        <f>IF(OR($AW21=0,AF$5=""),"",IF($AY21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21),"&lt;&gt;")=0,"",SUMIFS(INDEX(BD!$A$3:$AI$5001,0,$AX21),BD!$A$3:$A$5001,AF$5,BD!$B$3:$B$5001,$C$2))))</f>
        <v/>
      </c>
      <c r="AG21" s="172" t="str">
        <f>IF(OR($AW21=0,AG$5=""),"",IF($AY21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21),"&lt;&gt;")=0,"",SUMIFS(INDEX(BD!$A$3:$AI$5001,0,$AX21),BD!$A$3:$A$5001,AG$5,BD!$B$3:$B$5001,$C$2))))</f>
        <v/>
      </c>
      <c r="AH21" s="172" t="str">
        <f>IF(OR($AW21=0,AH$5=""),"",IF($AY21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21),"&lt;&gt;")=0,"",SUMIFS(INDEX(BD!$A$3:$AI$5001,0,$AX21),BD!$A$3:$A$5001,AH$5,BD!$B$3:$B$5001,$C$2))))</f>
        <v/>
      </c>
      <c r="AI21" s="172" t="str">
        <f>IF(OR($AW21=0,AI$5=""),"",IF($AY21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21),"&lt;&gt;")=0,"",SUMIFS(INDEX(BD!$A$3:$AI$5001,0,$AX21),BD!$A$3:$A$5001,AI$5,BD!$B$3:$B$5001,$C$2))))</f>
        <v/>
      </c>
      <c r="AJ21" s="173" t="str">
        <f>IF(OR($AW21=0,AJ$5=""),"",IF($AY21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21),"&lt;&gt;")=0,"",SUMIFS(INDEX(BD!$A$3:$AI$5001,0,$AX21),BD!$A$3:$A$5001,AJ$5,BD!$B$3:$B$5001,$C$2))))</f>
        <v/>
      </c>
      <c r="AK21" s="169" t="str">
        <f>IF($AW21=0,"",IF($AY21="fluxo",IF(COUNT(F21:AJ21)=0,"",SUM(F21:AJ21)),IFERROR(LOOKUP(9.99E+307,F21:AJ21),"")))</f>
        <v/>
      </c>
      <c r="AN21" s="159" t="inlineStr">
        <is>
          <t xml:space="preserve">Peças Movimentadas</t>
        </is>
      </c>
      <c r="AO21" s="159" t="inlineStr">
        <is>
          <t xml:space="preserve">OUT</t>
        </is>
      </c>
      <c r="AP21" s="159">
        <v>17</v>
      </c>
      <c r="AQ21" s="159" t="inlineStr">
        <is>
          <t xml:space="preserve">fluxo</t>
        </is>
      </c>
      <c r="AR21" s="159">
        <v>15</v>
      </c>
      <c r="AS21" s="159" t="inlineStr">
        <is>
          <t xml:space="preserve">int</t>
        </is>
      </c>
      <c r="AT21" s="159">
        <f>IF($C$2="",0,IF(IFERROR(INDEX(Config!$R$35:$R$54,MATCH($C$2,Config!$B$35:$B$54,0)),"Sim")="Não",0,1))</f>
        <v>0</v>
      </c>
      <c r="AU21" s="159">
        <f>AU20+AT21</f>
        <v>3</v>
      </c>
      <c r="AW21" s="159">
        <f>IFERROR(MATCH(15,$AU$7:$AU$39,0),0)</f>
        <v>30</v>
      </c>
      <c r="AX21" s="159">
        <f>IF($AW21=0,"",INDEX($AP$7:$AP$39,$AW21))</f>
        <v>31</v>
      </c>
      <c r="AY21" s="159" t="str">
        <f>IF($AW21=0,"",INDEX($AQ$7:$AQ$39,$AW21))</f>
        <v>fluxo</v>
      </c>
      <c r="AZ21" s="159" t="str">
        <f>IF($AW21=0,"",INDEX($AS$7:$AS$39,$AW21))</f>
        <v>int</v>
      </c>
      <c r="BA21" s="159">
        <f>IF($AW21=0,"",INDEX($AR$7:$AR$39,$AW21))</f>
        <v>30</v>
      </c>
    </row>
    <row r="22" ht="15.75" customHeight="1">
      <c r="A22" s="181"/>
      <c r="B22" s="167" t="str">
        <f>IF($AW22=0,"",INDEX($AO$7:$AO$39,$AW22))</f>
        <v>GENTE</v>
      </c>
      <c r="C22" s="168" t="str">
        <f>IF($AW22=0,"",INDEX($AN$7:$AN$39,$AW22))</f>
        <v>Desvios Comportamentais</v>
      </c>
      <c r="D22" s="169" t="str">
        <f>IF(OR($AW22=0,N($BA22)=0),"",IFERROR(1/(1/INDEX(BD!$AL$23:$BF$55,$BA22,MATCH($C$2,BD!$AL$22:$BF$22,0))),""))</f>
        <v/>
      </c>
      <c r="E22" s="170"/>
      <c r="F22" s="171" t="str">
        <f>IF(OR($AW22=0,F$5=""),"",IF($AY22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22),"&lt;&gt;")=0,"",SUMIFS(INDEX(BD!$A$3:$AI$5001,0,$AX22),BD!$A$3:$A$5001,F$5,BD!$B$3:$B$5001,$C$2))))</f>
        <v/>
      </c>
      <c r="G22" s="172" t="str">
        <f>IF(OR($AW22=0,G$5=""),"",IF($AY22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22),"&lt;&gt;")=0,"",SUMIFS(INDEX(BD!$A$3:$AI$5001,0,$AX22),BD!$A$3:$A$5001,G$5,BD!$B$3:$B$5001,$C$2))))</f>
        <v/>
      </c>
      <c r="H22" s="172" t="str">
        <f>IF(OR($AW22=0,H$5=""),"",IF($AY22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22),"&lt;&gt;")=0,"",SUMIFS(INDEX(BD!$A$3:$AI$5001,0,$AX22),BD!$A$3:$A$5001,H$5,BD!$B$3:$B$5001,$C$2))))</f>
        <v/>
      </c>
      <c r="I22" s="172" t="str">
        <f>IF(OR($AW22=0,I$5=""),"",IF($AY22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22),"&lt;&gt;")=0,"",SUMIFS(INDEX(BD!$A$3:$AI$5001,0,$AX22),BD!$A$3:$A$5001,I$5,BD!$B$3:$B$5001,$C$2))))</f>
        <v/>
      </c>
      <c r="J22" s="172" t="str">
        <f>IF(OR($AW22=0,J$5=""),"",IF($AY22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22),"&lt;&gt;")=0,"",SUMIFS(INDEX(BD!$A$3:$AI$5001,0,$AX22),BD!$A$3:$A$5001,J$5,BD!$B$3:$B$5001,$C$2))))</f>
        <v/>
      </c>
      <c r="K22" s="172" t="str">
        <f>IF(OR($AW22=0,K$5=""),"",IF($AY22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22),"&lt;&gt;")=0,"",SUMIFS(INDEX(BD!$A$3:$AI$5001,0,$AX22),BD!$A$3:$A$5001,K$5,BD!$B$3:$B$5001,$C$2))))</f>
        <v/>
      </c>
      <c r="L22" s="172" t="str">
        <f>IF(OR($AW22=0,L$5=""),"",IF($AY22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22),"&lt;&gt;")=0,"",SUMIFS(INDEX(BD!$A$3:$AI$5001,0,$AX22),BD!$A$3:$A$5001,L$5,BD!$B$3:$B$5001,$C$2))))</f>
        <v/>
      </c>
      <c r="M22" s="172" t="str">
        <f>IF(OR($AW22=0,M$5=""),"",IF($AY22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22),"&lt;&gt;")=0,"",SUMIFS(INDEX(BD!$A$3:$AI$5001,0,$AX22),BD!$A$3:$A$5001,M$5,BD!$B$3:$B$5001,$C$2))))</f>
        <v/>
      </c>
      <c r="N22" s="172" t="str">
        <f>IF(OR($AW22=0,N$5=""),"",IF($AY22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22),"&lt;&gt;")=0,"",SUMIFS(INDEX(BD!$A$3:$AI$5001,0,$AX22),BD!$A$3:$A$5001,N$5,BD!$B$3:$B$5001,$C$2))))</f>
        <v/>
      </c>
      <c r="O22" s="172" t="str">
        <f>IF(OR($AW22=0,O$5=""),"",IF($AY22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22),"&lt;&gt;")=0,"",SUMIFS(INDEX(BD!$A$3:$AI$5001,0,$AX22),BD!$A$3:$A$5001,O$5,BD!$B$3:$B$5001,$C$2))))</f>
        <v/>
      </c>
      <c r="P22" s="172" t="str">
        <f>IF(OR($AW22=0,P$5=""),"",IF($AY22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22),"&lt;&gt;")=0,"",SUMIFS(INDEX(BD!$A$3:$AI$5001,0,$AX22),BD!$A$3:$A$5001,P$5,BD!$B$3:$B$5001,$C$2))))</f>
        <v/>
      </c>
      <c r="Q22" s="172" t="str">
        <f>IF(OR($AW22=0,Q$5=""),"",IF($AY22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22),"&lt;&gt;")=0,"",SUMIFS(INDEX(BD!$A$3:$AI$5001,0,$AX22),BD!$A$3:$A$5001,Q$5,BD!$B$3:$B$5001,$C$2))))</f>
        <v/>
      </c>
      <c r="R22" s="172" t="str">
        <f>IF(OR($AW22=0,R$5=""),"",IF($AY22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22),"&lt;&gt;")=0,"",SUMIFS(INDEX(BD!$A$3:$AI$5001,0,$AX22),BD!$A$3:$A$5001,R$5,BD!$B$3:$B$5001,$C$2))))</f>
        <v/>
      </c>
      <c r="S22" s="172" t="str">
        <f>IF(OR($AW22=0,S$5=""),"",IF($AY22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22),"&lt;&gt;")=0,"",SUMIFS(INDEX(BD!$A$3:$AI$5001,0,$AX22),BD!$A$3:$A$5001,S$5,BD!$B$3:$B$5001,$C$2))))</f>
        <v/>
      </c>
      <c r="T22" s="172" t="str">
        <f>IF(OR($AW22=0,T$5=""),"",IF($AY22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22),"&lt;&gt;")=0,"",SUMIFS(INDEX(BD!$A$3:$AI$5001,0,$AX22),BD!$A$3:$A$5001,T$5,BD!$B$3:$B$5001,$C$2))))</f>
        <v/>
      </c>
      <c r="U22" s="172" t="str">
        <f>IF(OR($AW22=0,U$5=""),"",IF($AY22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22),"&lt;&gt;")=0,"",SUMIFS(INDEX(BD!$A$3:$AI$5001,0,$AX22),BD!$A$3:$A$5001,U$5,BD!$B$3:$B$5001,$C$2))))</f>
        <v/>
      </c>
      <c r="V22" s="172" t="str">
        <f>IF(OR($AW22=0,V$5=""),"",IF($AY22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22),"&lt;&gt;")=0,"",SUMIFS(INDEX(BD!$A$3:$AI$5001,0,$AX22),BD!$A$3:$A$5001,V$5,BD!$B$3:$B$5001,$C$2))))</f>
        <v/>
      </c>
      <c r="W22" s="172" t="str">
        <f>IF(OR($AW22=0,W$5=""),"",IF($AY22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22),"&lt;&gt;")=0,"",SUMIFS(INDEX(BD!$A$3:$AI$5001,0,$AX22),BD!$A$3:$A$5001,W$5,BD!$B$3:$B$5001,$C$2))))</f>
        <v/>
      </c>
      <c r="X22" s="172" t="str">
        <f>IF(OR($AW22=0,X$5=""),"",IF($AY22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22),"&lt;&gt;")=0,"",SUMIFS(INDEX(BD!$A$3:$AI$5001,0,$AX22),BD!$A$3:$A$5001,X$5,BD!$B$3:$B$5001,$C$2))))</f>
        <v/>
      </c>
      <c r="Y22" s="172" t="str">
        <f>IF(OR($AW22=0,Y$5=""),"",IF($AY22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22),"&lt;&gt;")=0,"",SUMIFS(INDEX(BD!$A$3:$AI$5001,0,$AX22),BD!$A$3:$A$5001,Y$5,BD!$B$3:$B$5001,$C$2))))</f>
        <v/>
      </c>
      <c r="Z22" s="172" t="str">
        <f>IF(OR($AW22=0,Z$5=""),"",IF($AY22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22),"&lt;&gt;")=0,"",SUMIFS(INDEX(BD!$A$3:$AI$5001,0,$AX22),BD!$A$3:$A$5001,Z$5,BD!$B$3:$B$5001,$C$2))))</f>
        <v/>
      </c>
      <c r="AA22" s="172" t="str">
        <f>IF(OR($AW22=0,AA$5=""),"",IF($AY22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22),"&lt;&gt;")=0,"",SUMIFS(INDEX(BD!$A$3:$AI$5001,0,$AX22),BD!$A$3:$A$5001,AA$5,BD!$B$3:$B$5001,$C$2))))</f>
        <v/>
      </c>
      <c r="AB22" s="172" t="str">
        <f>IF(OR($AW22=0,AB$5=""),"",IF($AY22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22),"&lt;&gt;")=0,"",SUMIFS(INDEX(BD!$A$3:$AI$5001,0,$AX22),BD!$A$3:$A$5001,AB$5,BD!$B$3:$B$5001,$C$2))))</f>
        <v/>
      </c>
      <c r="AC22" s="172" t="str">
        <f>IF(OR($AW22=0,AC$5=""),"",IF($AY22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22),"&lt;&gt;")=0,"",SUMIFS(INDEX(BD!$A$3:$AI$5001,0,$AX22),BD!$A$3:$A$5001,AC$5,BD!$B$3:$B$5001,$C$2))))</f>
        <v/>
      </c>
      <c r="AD22" s="172" t="str">
        <f>IF(OR($AW22=0,AD$5=""),"",IF($AY22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22),"&lt;&gt;")=0,"",SUMIFS(INDEX(BD!$A$3:$AI$5001,0,$AX22),BD!$A$3:$A$5001,AD$5,BD!$B$3:$B$5001,$C$2))))</f>
        <v/>
      </c>
      <c r="AE22" s="172" t="str">
        <f>IF(OR($AW22=0,AE$5=""),"",IF($AY22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22),"&lt;&gt;")=0,"",SUMIFS(INDEX(BD!$A$3:$AI$5001,0,$AX22),BD!$A$3:$A$5001,AE$5,BD!$B$3:$B$5001,$C$2))))</f>
        <v/>
      </c>
      <c r="AF22" s="172" t="str">
        <f>IF(OR($AW22=0,AF$5=""),"",IF($AY22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22),"&lt;&gt;")=0,"",SUMIFS(INDEX(BD!$A$3:$AI$5001,0,$AX22),BD!$A$3:$A$5001,AF$5,BD!$B$3:$B$5001,$C$2))))</f>
        <v/>
      </c>
      <c r="AG22" s="172" t="str">
        <f>IF(OR($AW22=0,AG$5=""),"",IF($AY22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22),"&lt;&gt;")=0,"",SUMIFS(INDEX(BD!$A$3:$AI$5001,0,$AX22),BD!$A$3:$A$5001,AG$5,BD!$B$3:$B$5001,$C$2))))</f>
        <v/>
      </c>
      <c r="AH22" s="172" t="str">
        <f>IF(OR($AW22=0,AH$5=""),"",IF($AY22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22),"&lt;&gt;")=0,"",SUMIFS(INDEX(BD!$A$3:$AI$5001,0,$AX22),BD!$A$3:$A$5001,AH$5,BD!$B$3:$B$5001,$C$2))))</f>
        <v/>
      </c>
      <c r="AI22" s="172" t="str">
        <f>IF(OR($AW22=0,AI$5=""),"",IF($AY22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22),"&lt;&gt;")=0,"",SUMIFS(INDEX(BD!$A$3:$AI$5001,0,$AX22),BD!$A$3:$A$5001,AI$5,BD!$B$3:$B$5001,$C$2))))</f>
        <v/>
      </c>
      <c r="AJ22" s="173" t="str">
        <f>IF(OR($AW22=0,AJ$5=""),"",IF($AY22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22),"&lt;&gt;")=0,"",SUMIFS(INDEX(BD!$A$3:$AI$5001,0,$AX22),BD!$A$3:$A$5001,AJ$5,BD!$B$3:$B$5001,$C$2))))</f>
        <v/>
      </c>
      <c r="AK22" s="169" t="str">
        <f>IF($AW22=0,"",IF($AY22="fluxo",IF(COUNT(F22:AJ22)=0,"",SUM(F22:AJ22)),IFERROR(LOOKUP(9.99E+307,F22:AJ22),"")))</f>
        <v/>
      </c>
      <c r="AN22" s="159" t="inlineStr">
        <is>
          <t xml:space="preserve">Linhas NF</t>
        </is>
      </c>
      <c r="AO22" s="159" t="inlineStr">
        <is>
          <t xml:space="preserve">OUT</t>
        </is>
      </c>
      <c r="AP22" s="159">
        <v>18</v>
      </c>
      <c r="AQ22" s="159" t="inlineStr">
        <is>
          <t xml:space="preserve">fluxo</t>
        </is>
      </c>
      <c r="AR22" s="159">
        <v>16</v>
      </c>
      <c r="AS22" s="159" t="inlineStr">
        <is>
          <t xml:space="preserve">int</t>
        </is>
      </c>
      <c r="AT22" s="159">
        <f>IF($C$2="",0,IF(IFERROR(INDEX(Config!$S$35:$S$54,MATCH($C$2,Config!$B$35:$B$54,0)),"Sim")="Não",0,1))</f>
        <v>0</v>
      </c>
      <c r="AU22" s="159">
        <f>AU21+AT22</f>
        <v>3</v>
      </c>
      <c r="AW22" s="159">
        <f>IFERROR(MATCH(16,$AU$7:$AU$39,0),0)</f>
        <v>31</v>
      </c>
      <c r="AX22" s="159">
        <f>IF($AW22=0,"",INDEX($AP$7:$AP$39,$AW22))</f>
        <v>32</v>
      </c>
      <c r="AY22" s="159" t="str">
        <f>IF($AW22=0,"",INDEX($AQ$7:$AQ$39,$AW22))</f>
        <v>fluxo</v>
      </c>
      <c r="AZ22" s="159" t="str">
        <f>IF($AW22=0,"",INDEX($AS$7:$AS$39,$AW22))</f>
        <v>int</v>
      </c>
      <c r="BA22" s="159">
        <f>IF($AW22=0,"",INDEX($AR$7:$AR$39,$AW22))</f>
        <v>31</v>
      </c>
    </row>
    <row r="23" ht="15.75" customHeight="1">
      <c r="A23" s="181"/>
      <c r="B23" s="167" t="str">
        <f>IF($AW23=0,"",INDEX($AO$7:$AO$39,$AW23))</f>
        <v>GENTE</v>
      </c>
      <c r="C23" s="168" t="str">
        <f>IF($AW23=0,"",INDEX($AN$7:$AN$39,$AW23))</f>
        <v>Acidentes CAF</v>
      </c>
      <c r="D23" s="169" t="str">
        <f>IF(OR($AW23=0,N($BA23)=0),"",IFERROR(1/(1/INDEX(BD!$AL$23:$BF$55,$BA23,MATCH($C$2,BD!$AL$22:$BF$22,0))),""))</f>
        <v/>
      </c>
      <c r="E23" s="170"/>
      <c r="F23" s="171" t="str">
        <f>IF(OR($AW23=0,F$5=""),"",IF($AY23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23),"&lt;&gt;")=0,"",SUMIFS(INDEX(BD!$A$3:$AI$5001,0,$AX23),BD!$A$3:$A$5001,F$5,BD!$B$3:$B$5001,$C$2))))</f>
        <v/>
      </c>
      <c r="G23" s="172" t="str">
        <f>IF(OR($AW23=0,G$5=""),"",IF($AY23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23),"&lt;&gt;")=0,"",SUMIFS(INDEX(BD!$A$3:$AI$5001,0,$AX23),BD!$A$3:$A$5001,G$5,BD!$B$3:$B$5001,$C$2))))</f>
        <v/>
      </c>
      <c r="H23" s="172" t="str">
        <f>IF(OR($AW23=0,H$5=""),"",IF($AY23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23),"&lt;&gt;")=0,"",SUMIFS(INDEX(BD!$A$3:$AI$5001,0,$AX23),BD!$A$3:$A$5001,H$5,BD!$B$3:$B$5001,$C$2))))</f>
        <v/>
      </c>
      <c r="I23" s="172" t="str">
        <f>IF(OR($AW23=0,I$5=""),"",IF($AY23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23),"&lt;&gt;")=0,"",SUMIFS(INDEX(BD!$A$3:$AI$5001,0,$AX23),BD!$A$3:$A$5001,I$5,BD!$B$3:$B$5001,$C$2))))</f>
        <v/>
      </c>
      <c r="J23" s="172" t="str">
        <f>IF(OR($AW23=0,J$5=""),"",IF($AY23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23),"&lt;&gt;")=0,"",SUMIFS(INDEX(BD!$A$3:$AI$5001,0,$AX23),BD!$A$3:$A$5001,J$5,BD!$B$3:$B$5001,$C$2))))</f>
        <v/>
      </c>
      <c r="K23" s="172" t="str">
        <f>IF(OR($AW23=0,K$5=""),"",IF($AY23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23),"&lt;&gt;")=0,"",SUMIFS(INDEX(BD!$A$3:$AI$5001,0,$AX23),BD!$A$3:$A$5001,K$5,BD!$B$3:$B$5001,$C$2))))</f>
        <v/>
      </c>
      <c r="L23" s="172" t="str">
        <f>IF(OR($AW23=0,L$5=""),"",IF($AY23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23),"&lt;&gt;")=0,"",SUMIFS(INDEX(BD!$A$3:$AI$5001,0,$AX23),BD!$A$3:$A$5001,L$5,BD!$B$3:$B$5001,$C$2))))</f>
        <v/>
      </c>
      <c r="M23" s="172" t="str">
        <f>IF(OR($AW23=0,M$5=""),"",IF($AY23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23),"&lt;&gt;")=0,"",SUMIFS(INDEX(BD!$A$3:$AI$5001,0,$AX23),BD!$A$3:$A$5001,M$5,BD!$B$3:$B$5001,$C$2))))</f>
        <v/>
      </c>
      <c r="N23" s="172" t="str">
        <f>IF(OR($AW23=0,N$5=""),"",IF($AY23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23),"&lt;&gt;")=0,"",SUMIFS(INDEX(BD!$A$3:$AI$5001,0,$AX23),BD!$A$3:$A$5001,N$5,BD!$B$3:$B$5001,$C$2))))</f>
        <v/>
      </c>
      <c r="O23" s="172" t="str">
        <f>IF(OR($AW23=0,O$5=""),"",IF($AY23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23),"&lt;&gt;")=0,"",SUMIFS(INDEX(BD!$A$3:$AI$5001,0,$AX23),BD!$A$3:$A$5001,O$5,BD!$B$3:$B$5001,$C$2))))</f>
        <v/>
      </c>
      <c r="P23" s="172" t="str">
        <f>IF(OR($AW23=0,P$5=""),"",IF($AY23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23),"&lt;&gt;")=0,"",SUMIFS(INDEX(BD!$A$3:$AI$5001,0,$AX23),BD!$A$3:$A$5001,P$5,BD!$B$3:$B$5001,$C$2))))</f>
        <v/>
      </c>
      <c r="Q23" s="172" t="str">
        <f>IF(OR($AW23=0,Q$5=""),"",IF($AY23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23),"&lt;&gt;")=0,"",SUMIFS(INDEX(BD!$A$3:$AI$5001,0,$AX23),BD!$A$3:$A$5001,Q$5,BD!$B$3:$B$5001,$C$2))))</f>
        <v/>
      </c>
      <c r="R23" s="172" t="str">
        <f>IF(OR($AW23=0,R$5=""),"",IF($AY23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23),"&lt;&gt;")=0,"",SUMIFS(INDEX(BD!$A$3:$AI$5001,0,$AX23),BD!$A$3:$A$5001,R$5,BD!$B$3:$B$5001,$C$2))))</f>
        <v/>
      </c>
      <c r="S23" s="172" t="str">
        <f>IF(OR($AW23=0,S$5=""),"",IF($AY23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23),"&lt;&gt;")=0,"",SUMIFS(INDEX(BD!$A$3:$AI$5001,0,$AX23),BD!$A$3:$A$5001,S$5,BD!$B$3:$B$5001,$C$2))))</f>
        <v/>
      </c>
      <c r="T23" s="172" t="str">
        <f>IF(OR($AW23=0,T$5=""),"",IF($AY23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23),"&lt;&gt;")=0,"",SUMIFS(INDEX(BD!$A$3:$AI$5001,0,$AX23),BD!$A$3:$A$5001,T$5,BD!$B$3:$B$5001,$C$2))))</f>
        <v/>
      </c>
      <c r="U23" s="172" t="str">
        <f>IF(OR($AW23=0,U$5=""),"",IF($AY23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23),"&lt;&gt;")=0,"",SUMIFS(INDEX(BD!$A$3:$AI$5001,0,$AX23),BD!$A$3:$A$5001,U$5,BD!$B$3:$B$5001,$C$2))))</f>
        <v/>
      </c>
      <c r="V23" s="172" t="str">
        <f>IF(OR($AW23=0,V$5=""),"",IF($AY23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23),"&lt;&gt;")=0,"",SUMIFS(INDEX(BD!$A$3:$AI$5001,0,$AX23),BD!$A$3:$A$5001,V$5,BD!$B$3:$B$5001,$C$2))))</f>
        <v/>
      </c>
      <c r="W23" s="172" t="str">
        <f>IF(OR($AW23=0,W$5=""),"",IF($AY23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23),"&lt;&gt;")=0,"",SUMIFS(INDEX(BD!$A$3:$AI$5001,0,$AX23),BD!$A$3:$A$5001,W$5,BD!$B$3:$B$5001,$C$2))))</f>
        <v/>
      </c>
      <c r="X23" s="172" t="str">
        <f>IF(OR($AW23=0,X$5=""),"",IF($AY23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23),"&lt;&gt;")=0,"",SUMIFS(INDEX(BD!$A$3:$AI$5001,0,$AX23),BD!$A$3:$A$5001,X$5,BD!$B$3:$B$5001,$C$2))))</f>
        <v/>
      </c>
      <c r="Y23" s="172" t="str">
        <f>IF(OR($AW23=0,Y$5=""),"",IF($AY23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23),"&lt;&gt;")=0,"",SUMIFS(INDEX(BD!$A$3:$AI$5001,0,$AX23),BD!$A$3:$A$5001,Y$5,BD!$B$3:$B$5001,$C$2))))</f>
        <v/>
      </c>
      <c r="Z23" s="172" t="str">
        <f>IF(OR($AW23=0,Z$5=""),"",IF($AY23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23),"&lt;&gt;")=0,"",SUMIFS(INDEX(BD!$A$3:$AI$5001,0,$AX23),BD!$A$3:$A$5001,Z$5,BD!$B$3:$B$5001,$C$2))))</f>
        <v/>
      </c>
      <c r="AA23" s="172" t="str">
        <f>IF(OR($AW23=0,AA$5=""),"",IF($AY23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23),"&lt;&gt;")=0,"",SUMIFS(INDEX(BD!$A$3:$AI$5001,0,$AX23),BD!$A$3:$A$5001,AA$5,BD!$B$3:$B$5001,$C$2))))</f>
        <v/>
      </c>
      <c r="AB23" s="172" t="str">
        <f>IF(OR($AW23=0,AB$5=""),"",IF($AY23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23),"&lt;&gt;")=0,"",SUMIFS(INDEX(BD!$A$3:$AI$5001,0,$AX23),BD!$A$3:$A$5001,AB$5,BD!$B$3:$B$5001,$C$2))))</f>
        <v/>
      </c>
      <c r="AC23" s="172" t="str">
        <f>IF(OR($AW23=0,AC$5=""),"",IF($AY23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23),"&lt;&gt;")=0,"",SUMIFS(INDEX(BD!$A$3:$AI$5001,0,$AX23),BD!$A$3:$A$5001,AC$5,BD!$B$3:$B$5001,$C$2))))</f>
        <v/>
      </c>
      <c r="AD23" s="172" t="str">
        <f>IF(OR($AW23=0,AD$5=""),"",IF($AY23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23),"&lt;&gt;")=0,"",SUMIFS(INDEX(BD!$A$3:$AI$5001,0,$AX23),BD!$A$3:$A$5001,AD$5,BD!$B$3:$B$5001,$C$2))))</f>
        <v/>
      </c>
      <c r="AE23" s="172" t="str">
        <f>IF(OR($AW23=0,AE$5=""),"",IF($AY23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23),"&lt;&gt;")=0,"",SUMIFS(INDEX(BD!$A$3:$AI$5001,0,$AX23),BD!$A$3:$A$5001,AE$5,BD!$B$3:$B$5001,$C$2))))</f>
        <v/>
      </c>
      <c r="AF23" s="172" t="str">
        <f>IF(OR($AW23=0,AF$5=""),"",IF($AY23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23),"&lt;&gt;")=0,"",SUMIFS(INDEX(BD!$A$3:$AI$5001,0,$AX23),BD!$A$3:$A$5001,AF$5,BD!$B$3:$B$5001,$C$2))))</f>
        <v/>
      </c>
      <c r="AG23" s="172" t="str">
        <f>IF(OR($AW23=0,AG$5=""),"",IF($AY23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23),"&lt;&gt;")=0,"",SUMIFS(INDEX(BD!$A$3:$AI$5001,0,$AX23),BD!$A$3:$A$5001,AG$5,BD!$B$3:$B$5001,$C$2))))</f>
        <v/>
      </c>
      <c r="AH23" s="172" t="str">
        <f>IF(OR($AW23=0,AH$5=""),"",IF($AY23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23),"&lt;&gt;")=0,"",SUMIFS(INDEX(BD!$A$3:$AI$5001,0,$AX23),BD!$A$3:$A$5001,AH$5,BD!$B$3:$B$5001,$C$2))))</f>
        <v/>
      </c>
      <c r="AI23" s="172" t="str">
        <f>IF(OR($AW23=0,AI$5=""),"",IF($AY23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23),"&lt;&gt;")=0,"",SUMIFS(INDEX(BD!$A$3:$AI$5001,0,$AX23),BD!$A$3:$A$5001,AI$5,BD!$B$3:$B$5001,$C$2))))</f>
        <v/>
      </c>
      <c r="AJ23" s="173" t="str">
        <f>IF(OR($AW23=0,AJ$5=""),"",IF($AY23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23),"&lt;&gt;")=0,"",SUMIFS(INDEX(BD!$A$3:$AI$5001,0,$AX23),BD!$A$3:$A$5001,AJ$5,BD!$B$3:$B$5001,$C$2))))</f>
        <v/>
      </c>
      <c r="AK23" s="169" t="str">
        <f>IF($AW23=0,"",IF($AY23="fluxo",IF(COUNT(F23:AJ23)=0,"",SUM(F23:AJ23)),IFERROR(LOOKUP(9.99E+307,F23:AJ23),"")))</f>
        <v/>
      </c>
      <c r="AN23" s="159" t="inlineStr">
        <is>
          <t xml:space="preserve">Caixas Expedidas</t>
        </is>
      </c>
      <c r="AO23" s="159" t="inlineStr">
        <is>
          <t xml:space="preserve">OUT</t>
        </is>
      </c>
      <c r="AP23" s="159">
        <v>19</v>
      </c>
      <c r="AQ23" s="159" t="inlineStr">
        <is>
          <t xml:space="preserve">fluxo</t>
        </is>
      </c>
      <c r="AR23" s="159">
        <v>17</v>
      </c>
      <c r="AS23" s="159" t="inlineStr">
        <is>
          <t xml:space="preserve">int</t>
        </is>
      </c>
      <c r="AT23" s="159">
        <f>IF($C$2="",0,IF(IFERROR(INDEX(Config!$T$35:$T$54,MATCH($C$2,Config!$B$35:$B$54,0)),"Sim")="Não",0,1))</f>
        <v>1</v>
      </c>
      <c r="AU23" s="159">
        <f>AU22+AT23</f>
        <v>4</v>
      </c>
      <c r="AW23" s="159">
        <f>IFERROR(MATCH(17,$AU$7:$AU$39,0),0)</f>
        <v>32</v>
      </c>
      <c r="AX23" s="159">
        <f>IF($AW23=0,"",INDEX($AP$7:$AP$39,$AW23))</f>
        <v>33</v>
      </c>
      <c r="AY23" s="159" t="str">
        <f>IF($AW23=0,"",INDEX($AQ$7:$AQ$39,$AW23))</f>
        <v>fluxo</v>
      </c>
      <c r="AZ23" s="159" t="str">
        <f>IF($AW23=0,"",INDEX($AS$7:$AS$39,$AW23))</f>
        <v>int</v>
      </c>
      <c r="BA23" s="159">
        <f>IF($AW23=0,"",INDEX($AR$7:$AR$39,$AW23))</f>
        <v>32</v>
      </c>
    </row>
    <row r="24" ht="15.75" customHeight="1">
      <c r="A24" s="181"/>
      <c r="B24" s="167" t="str">
        <f>IF($AW24=0,"",INDEX($AO$7:$AO$39,$AW24))</f>
        <v>GENTE</v>
      </c>
      <c r="C24" s="168" t="str">
        <f>IF($AW24=0,"",INDEX($AN$7:$AN$39,$AW24))</f>
        <v>Acidentes SAF</v>
      </c>
      <c r="D24" s="169" t="str">
        <f>IF(OR($AW24=0,N($BA24)=0),"",IFERROR(1/(1/INDEX(BD!$AL$23:$BF$55,$BA24,MATCH($C$2,BD!$AL$22:$BF$22,0))),""))</f>
        <v/>
      </c>
      <c r="E24" s="170"/>
      <c r="F24" s="171" t="str">
        <f>IF(OR($AW24=0,F$5=""),"",IF($AY24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24),"&lt;&gt;")=0,"",SUMIFS(INDEX(BD!$A$3:$AI$5001,0,$AX24),BD!$A$3:$A$5001,F$5,BD!$B$3:$B$5001,$C$2))))</f>
        <v/>
      </c>
      <c r="G24" s="172" t="str">
        <f>IF(OR($AW24=0,G$5=""),"",IF($AY24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24),"&lt;&gt;")=0,"",SUMIFS(INDEX(BD!$A$3:$AI$5001,0,$AX24),BD!$A$3:$A$5001,G$5,BD!$B$3:$B$5001,$C$2))))</f>
        <v/>
      </c>
      <c r="H24" s="172" t="str">
        <f>IF(OR($AW24=0,H$5=""),"",IF($AY24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24),"&lt;&gt;")=0,"",SUMIFS(INDEX(BD!$A$3:$AI$5001,0,$AX24),BD!$A$3:$A$5001,H$5,BD!$B$3:$B$5001,$C$2))))</f>
        <v/>
      </c>
      <c r="I24" s="172" t="str">
        <f>IF(OR($AW24=0,I$5=""),"",IF($AY24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24),"&lt;&gt;")=0,"",SUMIFS(INDEX(BD!$A$3:$AI$5001,0,$AX24),BD!$A$3:$A$5001,I$5,BD!$B$3:$B$5001,$C$2))))</f>
        <v/>
      </c>
      <c r="J24" s="172" t="str">
        <f>IF(OR($AW24=0,J$5=""),"",IF($AY24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24),"&lt;&gt;")=0,"",SUMIFS(INDEX(BD!$A$3:$AI$5001,0,$AX24),BD!$A$3:$A$5001,J$5,BD!$B$3:$B$5001,$C$2))))</f>
        <v/>
      </c>
      <c r="K24" s="172" t="str">
        <f>IF(OR($AW24=0,K$5=""),"",IF($AY24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24),"&lt;&gt;")=0,"",SUMIFS(INDEX(BD!$A$3:$AI$5001,0,$AX24),BD!$A$3:$A$5001,K$5,BD!$B$3:$B$5001,$C$2))))</f>
        <v/>
      </c>
      <c r="L24" s="172" t="str">
        <f>IF(OR($AW24=0,L$5=""),"",IF($AY24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24),"&lt;&gt;")=0,"",SUMIFS(INDEX(BD!$A$3:$AI$5001,0,$AX24),BD!$A$3:$A$5001,L$5,BD!$B$3:$B$5001,$C$2))))</f>
        <v/>
      </c>
      <c r="M24" s="172" t="str">
        <f>IF(OR($AW24=0,M$5=""),"",IF($AY24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24),"&lt;&gt;")=0,"",SUMIFS(INDEX(BD!$A$3:$AI$5001,0,$AX24),BD!$A$3:$A$5001,M$5,BD!$B$3:$B$5001,$C$2))))</f>
        <v/>
      </c>
      <c r="N24" s="172" t="str">
        <f>IF(OR($AW24=0,N$5=""),"",IF($AY24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24),"&lt;&gt;")=0,"",SUMIFS(INDEX(BD!$A$3:$AI$5001,0,$AX24),BD!$A$3:$A$5001,N$5,BD!$B$3:$B$5001,$C$2))))</f>
        <v/>
      </c>
      <c r="O24" s="172" t="str">
        <f>IF(OR($AW24=0,O$5=""),"",IF($AY24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24),"&lt;&gt;")=0,"",SUMIFS(INDEX(BD!$A$3:$AI$5001,0,$AX24),BD!$A$3:$A$5001,O$5,BD!$B$3:$B$5001,$C$2))))</f>
        <v/>
      </c>
      <c r="P24" s="172" t="str">
        <f>IF(OR($AW24=0,P$5=""),"",IF($AY24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24),"&lt;&gt;")=0,"",SUMIFS(INDEX(BD!$A$3:$AI$5001,0,$AX24),BD!$A$3:$A$5001,P$5,BD!$B$3:$B$5001,$C$2))))</f>
        <v/>
      </c>
      <c r="Q24" s="172" t="str">
        <f>IF(OR($AW24=0,Q$5=""),"",IF($AY24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24),"&lt;&gt;")=0,"",SUMIFS(INDEX(BD!$A$3:$AI$5001,0,$AX24),BD!$A$3:$A$5001,Q$5,BD!$B$3:$B$5001,$C$2))))</f>
        <v/>
      </c>
      <c r="R24" s="172" t="str">
        <f>IF(OR($AW24=0,R$5=""),"",IF($AY24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24),"&lt;&gt;")=0,"",SUMIFS(INDEX(BD!$A$3:$AI$5001,0,$AX24),BD!$A$3:$A$5001,R$5,BD!$B$3:$B$5001,$C$2))))</f>
        <v/>
      </c>
      <c r="S24" s="172" t="str">
        <f>IF(OR($AW24=0,S$5=""),"",IF($AY24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24),"&lt;&gt;")=0,"",SUMIFS(INDEX(BD!$A$3:$AI$5001,0,$AX24),BD!$A$3:$A$5001,S$5,BD!$B$3:$B$5001,$C$2))))</f>
        <v/>
      </c>
      <c r="T24" s="172" t="str">
        <f>IF(OR($AW24=0,T$5=""),"",IF($AY24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24),"&lt;&gt;")=0,"",SUMIFS(INDEX(BD!$A$3:$AI$5001,0,$AX24),BD!$A$3:$A$5001,T$5,BD!$B$3:$B$5001,$C$2))))</f>
        <v/>
      </c>
      <c r="U24" s="172" t="str">
        <f>IF(OR($AW24=0,U$5=""),"",IF($AY24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24),"&lt;&gt;")=0,"",SUMIFS(INDEX(BD!$A$3:$AI$5001,0,$AX24),BD!$A$3:$A$5001,U$5,BD!$B$3:$B$5001,$C$2))))</f>
        <v/>
      </c>
      <c r="V24" s="172" t="str">
        <f>IF(OR($AW24=0,V$5=""),"",IF($AY24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24),"&lt;&gt;")=0,"",SUMIFS(INDEX(BD!$A$3:$AI$5001,0,$AX24),BD!$A$3:$A$5001,V$5,BD!$B$3:$B$5001,$C$2))))</f>
        <v/>
      </c>
      <c r="W24" s="172" t="str">
        <f>IF(OR($AW24=0,W$5=""),"",IF($AY24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24),"&lt;&gt;")=0,"",SUMIFS(INDEX(BD!$A$3:$AI$5001,0,$AX24),BD!$A$3:$A$5001,W$5,BD!$B$3:$B$5001,$C$2))))</f>
        <v/>
      </c>
      <c r="X24" s="172" t="str">
        <f>IF(OR($AW24=0,X$5=""),"",IF($AY24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24),"&lt;&gt;")=0,"",SUMIFS(INDEX(BD!$A$3:$AI$5001,0,$AX24),BD!$A$3:$A$5001,X$5,BD!$B$3:$B$5001,$C$2))))</f>
        <v/>
      </c>
      <c r="Y24" s="172" t="str">
        <f>IF(OR($AW24=0,Y$5=""),"",IF($AY24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24),"&lt;&gt;")=0,"",SUMIFS(INDEX(BD!$A$3:$AI$5001,0,$AX24),BD!$A$3:$A$5001,Y$5,BD!$B$3:$B$5001,$C$2))))</f>
        <v/>
      </c>
      <c r="Z24" s="172" t="str">
        <f>IF(OR($AW24=0,Z$5=""),"",IF($AY24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24),"&lt;&gt;")=0,"",SUMIFS(INDEX(BD!$A$3:$AI$5001,0,$AX24),BD!$A$3:$A$5001,Z$5,BD!$B$3:$B$5001,$C$2))))</f>
        <v/>
      </c>
      <c r="AA24" s="172" t="str">
        <f>IF(OR($AW24=0,AA$5=""),"",IF($AY24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24),"&lt;&gt;")=0,"",SUMIFS(INDEX(BD!$A$3:$AI$5001,0,$AX24),BD!$A$3:$A$5001,AA$5,BD!$B$3:$B$5001,$C$2))))</f>
        <v/>
      </c>
      <c r="AB24" s="172" t="str">
        <f>IF(OR($AW24=0,AB$5=""),"",IF($AY24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24),"&lt;&gt;")=0,"",SUMIFS(INDEX(BD!$A$3:$AI$5001,0,$AX24),BD!$A$3:$A$5001,AB$5,BD!$B$3:$B$5001,$C$2))))</f>
        <v/>
      </c>
      <c r="AC24" s="172" t="str">
        <f>IF(OR($AW24=0,AC$5=""),"",IF($AY24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24),"&lt;&gt;")=0,"",SUMIFS(INDEX(BD!$A$3:$AI$5001,0,$AX24),BD!$A$3:$A$5001,AC$5,BD!$B$3:$B$5001,$C$2))))</f>
        <v/>
      </c>
      <c r="AD24" s="172" t="str">
        <f>IF(OR($AW24=0,AD$5=""),"",IF($AY24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24),"&lt;&gt;")=0,"",SUMIFS(INDEX(BD!$A$3:$AI$5001,0,$AX24),BD!$A$3:$A$5001,AD$5,BD!$B$3:$B$5001,$C$2))))</f>
        <v/>
      </c>
      <c r="AE24" s="172" t="str">
        <f>IF(OR($AW24=0,AE$5=""),"",IF($AY24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24),"&lt;&gt;")=0,"",SUMIFS(INDEX(BD!$A$3:$AI$5001,0,$AX24),BD!$A$3:$A$5001,AE$5,BD!$B$3:$B$5001,$C$2))))</f>
        <v/>
      </c>
      <c r="AF24" s="172" t="str">
        <f>IF(OR($AW24=0,AF$5=""),"",IF($AY24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24),"&lt;&gt;")=0,"",SUMIFS(INDEX(BD!$A$3:$AI$5001,0,$AX24),BD!$A$3:$A$5001,AF$5,BD!$B$3:$B$5001,$C$2))))</f>
        <v/>
      </c>
      <c r="AG24" s="172" t="str">
        <f>IF(OR($AW24=0,AG$5=""),"",IF($AY24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24),"&lt;&gt;")=0,"",SUMIFS(INDEX(BD!$A$3:$AI$5001,0,$AX24),BD!$A$3:$A$5001,AG$5,BD!$B$3:$B$5001,$C$2))))</f>
        <v/>
      </c>
      <c r="AH24" s="172" t="str">
        <f>IF(OR($AW24=0,AH$5=""),"",IF($AY24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24),"&lt;&gt;")=0,"",SUMIFS(INDEX(BD!$A$3:$AI$5001,0,$AX24),BD!$A$3:$A$5001,AH$5,BD!$B$3:$B$5001,$C$2))))</f>
        <v/>
      </c>
      <c r="AI24" s="172" t="str">
        <f>IF(OR($AW24=0,AI$5=""),"",IF($AY24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24),"&lt;&gt;")=0,"",SUMIFS(INDEX(BD!$A$3:$AI$5001,0,$AX24),BD!$A$3:$A$5001,AI$5,BD!$B$3:$B$5001,$C$2))))</f>
        <v/>
      </c>
      <c r="AJ24" s="173" t="str">
        <f>IF(OR($AW24=0,AJ$5=""),"",IF($AY24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24),"&lt;&gt;")=0,"",SUMIFS(INDEX(BD!$A$3:$AI$5001,0,$AX24),BD!$A$3:$A$5001,AJ$5,BD!$B$3:$B$5001,$C$2))))</f>
        <v/>
      </c>
      <c r="AK24" s="169" t="str">
        <f>IF($AW24=0,"",IF($AY24="fluxo",IF(COUNT(F24:AJ24)=0,"",SUM(F24:AJ24)),IFERROR(LOOKUP(9.99E+307,F24:AJ24),"")))</f>
        <v/>
      </c>
      <c r="AN24" s="159" t="inlineStr">
        <is>
          <t xml:space="preserve">Pallets Movimentados</t>
        </is>
      </c>
      <c r="AO24" s="159" t="inlineStr">
        <is>
          <t xml:space="preserve">OUT</t>
        </is>
      </c>
      <c r="AP24" s="159">
        <v>20</v>
      </c>
      <c r="AQ24" s="159" t="inlineStr">
        <is>
          <t xml:space="preserve">fluxo</t>
        </is>
      </c>
      <c r="AR24" s="159">
        <v>18</v>
      </c>
      <c r="AS24" s="159" t="inlineStr">
        <is>
          <t xml:space="preserve">int</t>
        </is>
      </c>
      <c r="AT24" s="159">
        <f>IF($C$2="",0,IF(IFERROR(INDEX(Config!$U$35:$U$54,MATCH($C$2,Config!$B$35:$B$54,0)),"Sim")="Não",0,1))</f>
        <v>0</v>
      </c>
      <c r="AU24" s="159">
        <f>AU23+AT24</f>
        <v>4</v>
      </c>
      <c r="AW24" s="159">
        <f>IFERROR(MATCH(18,$AU$7:$AU$39,0),0)</f>
        <v>33</v>
      </c>
      <c r="AX24" s="159">
        <f>IF($AW24=0,"",INDEX($AP$7:$AP$39,$AW24))</f>
        <v>34</v>
      </c>
      <c r="AY24" s="159" t="str">
        <f>IF($AW24=0,"",INDEX($AQ$7:$AQ$39,$AW24))</f>
        <v>fluxo</v>
      </c>
      <c r="AZ24" s="159" t="str">
        <f>IF($AW24=0,"",INDEX($AS$7:$AS$39,$AW24))</f>
        <v>int</v>
      </c>
      <c r="BA24" s="159">
        <f>IF($AW24=0,"",INDEX($AR$7:$AR$39,$AW24))</f>
        <v>33</v>
      </c>
    </row>
    <row r="25" ht="15.75" customHeight="1">
      <c r="A25" s="181"/>
      <c r="B25" s="167" t="str">
        <f>IF($AW25=0,"",INDEX($AO$7:$AO$39,$AW25))</f>
        <v/>
      </c>
      <c r="C25" s="168" t="str">
        <f>IF($AW25=0,"",INDEX($AN$7:$AN$39,$AW25))</f>
        <v/>
      </c>
      <c r="D25" s="169" t="str">
        <f>IF(OR($AW25=0,N($BA25)=0),"",IFERROR(1/(1/INDEX(BD!$AL$23:$BF$55,$BA25,MATCH($C$2,BD!$AL$22:$BF$22,0))),""))</f>
        <v/>
      </c>
      <c r="E25" s="170"/>
      <c r="F25" s="171" t="str">
        <f>IF(OR($AW25=0,F$5=""),"",IF($AY25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25),"&lt;&gt;")=0,"",SUMIFS(INDEX(BD!$A$3:$AI$5001,0,$AX25),BD!$A$3:$A$5001,F$5,BD!$B$3:$B$5001,$C$2))))</f>
        <v/>
      </c>
      <c r="G25" s="172" t="str">
        <f>IF(OR($AW25=0,G$5=""),"",IF($AY25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25),"&lt;&gt;")=0,"",SUMIFS(INDEX(BD!$A$3:$AI$5001,0,$AX25),BD!$A$3:$A$5001,G$5,BD!$B$3:$B$5001,$C$2))))</f>
        <v/>
      </c>
      <c r="H25" s="172" t="str">
        <f>IF(OR($AW25=0,H$5=""),"",IF($AY25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25),"&lt;&gt;")=0,"",SUMIFS(INDEX(BD!$A$3:$AI$5001,0,$AX25),BD!$A$3:$A$5001,H$5,BD!$B$3:$B$5001,$C$2))))</f>
        <v/>
      </c>
      <c r="I25" s="172" t="str">
        <f>IF(OR($AW25=0,I$5=""),"",IF($AY25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25),"&lt;&gt;")=0,"",SUMIFS(INDEX(BD!$A$3:$AI$5001,0,$AX25),BD!$A$3:$A$5001,I$5,BD!$B$3:$B$5001,$C$2))))</f>
        <v/>
      </c>
      <c r="J25" s="172" t="str">
        <f>IF(OR($AW25=0,J$5=""),"",IF($AY25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25),"&lt;&gt;")=0,"",SUMIFS(INDEX(BD!$A$3:$AI$5001,0,$AX25),BD!$A$3:$A$5001,J$5,BD!$B$3:$B$5001,$C$2))))</f>
        <v/>
      </c>
      <c r="K25" s="172" t="str">
        <f>IF(OR($AW25=0,K$5=""),"",IF($AY25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25),"&lt;&gt;")=0,"",SUMIFS(INDEX(BD!$A$3:$AI$5001,0,$AX25),BD!$A$3:$A$5001,K$5,BD!$B$3:$B$5001,$C$2))))</f>
        <v/>
      </c>
      <c r="L25" s="172" t="str">
        <f>IF(OR($AW25=0,L$5=""),"",IF($AY25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25),"&lt;&gt;")=0,"",SUMIFS(INDEX(BD!$A$3:$AI$5001,0,$AX25),BD!$A$3:$A$5001,L$5,BD!$B$3:$B$5001,$C$2))))</f>
        <v/>
      </c>
      <c r="M25" s="172" t="str">
        <f>IF(OR($AW25=0,M$5=""),"",IF($AY25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25),"&lt;&gt;")=0,"",SUMIFS(INDEX(BD!$A$3:$AI$5001,0,$AX25),BD!$A$3:$A$5001,M$5,BD!$B$3:$B$5001,$C$2))))</f>
        <v/>
      </c>
      <c r="N25" s="172" t="str">
        <f>IF(OR($AW25=0,N$5=""),"",IF($AY25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25),"&lt;&gt;")=0,"",SUMIFS(INDEX(BD!$A$3:$AI$5001,0,$AX25),BD!$A$3:$A$5001,N$5,BD!$B$3:$B$5001,$C$2))))</f>
        <v/>
      </c>
      <c r="O25" s="172" t="str">
        <f>IF(OR($AW25=0,O$5=""),"",IF($AY25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25),"&lt;&gt;")=0,"",SUMIFS(INDEX(BD!$A$3:$AI$5001,0,$AX25),BD!$A$3:$A$5001,O$5,BD!$B$3:$B$5001,$C$2))))</f>
        <v/>
      </c>
      <c r="P25" s="172" t="str">
        <f>IF(OR($AW25=0,P$5=""),"",IF($AY25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25),"&lt;&gt;")=0,"",SUMIFS(INDEX(BD!$A$3:$AI$5001,0,$AX25),BD!$A$3:$A$5001,P$5,BD!$B$3:$B$5001,$C$2))))</f>
        <v/>
      </c>
      <c r="Q25" s="172" t="str">
        <f>IF(OR($AW25=0,Q$5=""),"",IF($AY25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25),"&lt;&gt;")=0,"",SUMIFS(INDEX(BD!$A$3:$AI$5001,0,$AX25),BD!$A$3:$A$5001,Q$5,BD!$B$3:$B$5001,$C$2))))</f>
        <v/>
      </c>
      <c r="R25" s="172" t="str">
        <f>IF(OR($AW25=0,R$5=""),"",IF($AY25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25),"&lt;&gt;")=0,"",SUMIFS(INDEX(BD!$A$3:$AI$5001,0,$AX25),BD!$A$3:$A$5001,R$5,BD!$B$3:$B$5001,$C$2))))</f>
        <v/>
      </c>
      <c r="S25" s="172" t="str">
        <f>IF(OR($AW25=0,S$5=""),"",IF($AY25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25),"&lt;&gt;")=0,"",SUMIFS(INDEX(BD!$A$3:$AI$5001,0,$AX25),BD!$A$3:$A$5001,S$5,BD!$B$3:$B$5001,$C$2))))</f>
        <v/>
      </c>
      <c r="T25" s="172" t="str">
        <f>IF(OR($AW25=0,T$5=""),"",IF($AY25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25),"&lt;&gt;")=0,"",SUMIFS(INDEX(BD!$A$3:$AI$5001,0,$AX25),BD!$A$3:$A$5001,T$5,BD!$B$3:$B$5001,$C$2))))</f>
        <v/>
      </c>
      <c r="U25" s="172" t="str">
        <f>IF(OR($AW25=0,U$5=""),"",IF($AY25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25),"&lt;&gt;")=0,"",SUMIFS(INDEX(BD!$A$3:$AI$5001,0,$AX25),BD!$A$3:$A$5001,U$5,BD!$B$3:$B$5001,$C$2))))</f>
        <v/>
      </c>
      <c r="V25" s="172" t="str">
        <f>IF(OR($AW25=0,V$5=""),"",IF($AY25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25),"&lt;&gt;")=0,"",SUMIFS(INDEX(BD!$A$3:$AI$5001,0,$AX25),BD!$A$3:$A$5001,V$5,BD!$B$3:$B$5001,$C$2))))</f>
        <v/>
      </c>
      <c r="W25" s="172" t="str">
        <f>IF(OR($AW25=0,W$5=""),"",IF($AY25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25),"&lt;&gt;")=0,"",SUMIFS(INDEX(BD!$A$3:$AI$5001,0,$AX25),BD!$A$3:$A$5001,W$5,BD!$B$3:$B$5001,$C$2))))</f>
        <v/>
      </c>
      <c r="X25" s="172" t="str">
        <f>IF(OR($AW25=0,X$5=""),"",IF($AY25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25),"&lt;&gt;")=0,"",SUMIFS(INDEX(BD!$A$3:$AI$5001,0,$AX25),BD!$A$3:$A$5001,X$5,BD!$B$3:$B$5001,$C$2))))</f>
        <v/>
      </c>
      <c r="Y25" s="172" t="str">
        <f>IF(OR($AW25=0,Y$5=""),"",IF($AY25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25),"&lt;&gt;")=0,"",SUMIFS(INDEX(BD!$A$3:$AI$5001,0,$AX25),BD!$A$3:$A$5001,Y$5,BD!$B$3:$B$5001,$C$2))))</f>
        <v/>
      </c>
      <c r="Z25" s="172" t="str">
        <f>IF(OR($AW25=0,Z$5=""),"",IF($AY25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25),"&lt;&gt;")=0,"",SUMIFS(INDEX(BD!$A$3:$AI$5001,0,$AX25),BD!$A$3:$A$5001,Z$5,BD!$B$3:$B$5001,$C$2))))</f>
        <v/>
      </c>
      <c r="AA25" s="172" t="str">
        <f>IF(OR($AW25=0,AA$5=""),"",IF($AY25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25),"&lt;&gt;")=0,"",SUMIFS(INDEX(BD!$A$3:$AI$5001,0,$AX25),BD!$A$3:$A$5001,AA$5,BD!$B$3:$B$5001,$C$2))))</f>
        <v/>
      </c>
      <c r="AB25" s="172" t="str">
        <f>IF(OR($AW25=0,AB$5=""),"",IF($AY25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25),"&lt;&gt;")=0,"",SUMIFS(INDEX(BD!$A$3:$AI$5001,0,$AX25),BD!$A$3:$A$5001,AB$5,BD!$B$3:$B$5001,$C$2))))</f>
        <v/>
      </c>
      <c r="AC25" s="172" t="str">
        <f>IF(OR($AW25=0,AC$5=""),"",IF($AY25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25),"&lt;&gt;")=0,"",SUMIFS(INDEX(BD!$A$3:$AI$5001,0,$AX25),BD!$A$3:$A$5001,AC$5,BD!$B$3:$B$5001,$C$2))))</f>
        <v/>
      </c>
      <c r="AD25" s="172" t="str">
        <f>IF(OR($AW25=0,AD$5=""),"",IF($AY25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25),"&lt;&gt;")=0,"",SUMIFS(INDEX(BD!$A$3:$AI$5001,0,$AX25),BD!$A$3:$A$5001,AD$5,BD!$B$3:$B$5001,$C$2))))</f>
        <v/>
      </c>
      <c r="AE25" s="172" t="str">
        <f>IF(OR($AW25=0,AE$5=""),"",IF($AY25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25),"&lt;&gt;")=0,"",SUMIFS(INDEX(BD!$A$3:$AI$5001,0,$AX25),BD!$A$3:$A$5001,AE$5,BD!$B$3:$B$5001,$C$2))))</f>
        <v/>
      </c>
      <c r="AF25" s="172" t="str">
        <f>IF(OR($AW25=0,AF$5=""),"",IF($AY25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25),"&lt;&gt;")=0,"",SUMIFS(INDEX(BD!$A$3:$AI$5001,0,$AX25),BD!$A$3:$A$5001,AF$5,BD!$B$3:$B$5001,$C$2))))</f>
        <v/>
      </c>
      <c r="AG25" s="172" t="str">
        <f>IF(OR($AW25=0,AG$5=""),"",IF($AY25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25),"&lt;&gt;")=0,"",SUMIFS(INDEX(BD!$A$3:$AI$5001,0,$AX25),BD!$A$3:$A$5001,AG$5,BD!$B$3:$B$5001,$C$2))))</f>
        <v/>
      </c>
      <c r="AH25" s="172" t="str">
        <f>IF(OR($AW25=0,AH$5=""),"",IF($AY25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25),"&lt;&gt;")=0,"",SUMIFS(INDEX(BD!$A$3:$AI$5001,0,$AX25),BD!$A$3:$A$5001,AH$5,BD!$B$3:$B$5001,$C$2))))</f>
        <v/>
      </c>
      <c r="AI25" s="172" t="str">
        <f>IF(OR($AW25=0,AI$5=""),"",IF($AY25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25),"&lt;&gt;")=0,"",SUMIFS(INDEX(BD!$A$3:$AI$5001,0,$AX25),BD!$A$3:$A$5001,AI$5,BD!$B$3:$B$5001,$C$2))))</f>
        <v/>
      </c>
      <c r="AJ25" s="173" t="str">
        <f>IF(OR($AW25=0,AJ$5=""),"",IF($AY25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25),"&lt;&gt;")=0,"",SUMIFS(INDEX(BD!$A$3:$AI$5001,0,$AX25),BD!$A$3:$A$5001,AJ$5,BD!$B$3:$B$5001,$C$2))))</f>
        <v/>
      </c>
      <c r="AK25" s="169" t="str">
        <f>IF($AW25=0,"",IF($AY25="fluxo",IF(COUNT(F25:AJ25)=0,"",SUM(F25:AJ25)),IFERROR(LOOKUP(9.99E+307,F25:AJ25),"")))</f>
        <v/>
      </c>
      <c r="AN25" s="159" t="inlineStr">
        <is>
          <t xml:space="preserve">Toneladas Movimentadas</t>
        </is>
      </c>
      <c r="AO25" s="159" t="inlineStr">
        <is>
          <t xml:space="preserve">OUT</t>
        </is>
      </c>
      <c r="AP25" s="159">
        <v>21</v>
      </c>
      <c r="AQ25" s="159" t="inlineStr">
        <is>
          <t xml:space="preserve">fluxo</t>
        </is>
      </c>
      <c r="AR25" s="159">
        <v>19</v>
      </c>
      <c r="AS25" s="159" t="inlineStr">
        <is>
          <t xml:space="preserve">dec</t>
        </is>
      </c>
      <c r="AT25" s="159">
        <f>IF($C$2="",0,IF(IFERROR(INDEX(Config!$V$35:$V$54,MATCH($C$2,Config!$B$35:$B$54,0)),"Sim")="Não",0,1))</f>
        <v>0</v>
      </c>
      <c r="AU25" s="159">
        <f>AU24+AT25</f>
        <v>4</v>
      </c>
      <c r="AW25" s="159">
        <f>IFERROR(MATCH(19,$AU$7:$AU$39,0),0)</f>
        <v>0</v>
      </c>
      <c r="AX25" s="159" t="str">
        <f>IF($AW25=0,"",INDEX($AP$7:$AP$39,$AW25))</f>
        <v/>
      </c>
      <c r="AY25" s="159" t="str">
        <f>IF($AW25=0,"",INDEX($AQ$7:$AQ$39,$AW25))</f>
        <v/>
      </c>
      <c r="AZ25" s="159" t="str">
        <f>IF($AW25=0,"",INDEX($AS$7:$AS$39,$AW25))</f>
        <v/>
      </c>
      <c r="BA25" s="159" t="str">
        <f>IF($AW25=0,"",INDEX($AR$7:$AR$39,$AW25))</f>
        <v/>
      </c>
    </row>
    <row r="26" ht="15.75" customHeight="1">
      <c r="A26" s="181"/>
      <c r="B26" s="167" t="str">
        <f>IF($AW26=0,"",INDEX($AO$7:$AO$39,$AW26))</f>
        <v/>
      </c>
      <c r="C26" s="168" t="str">
        <f>IF($AW26=0,"",INDEX($AN$7:$AN$39,$AW26))</f>
        <v/>
      </c>
      <c r="D26" s="169" t="str">
        <f>IF(OR($AW26=0,N($BA26)=0),"",IFERROR(1/(1/INDEX(BD!$AL$23:$BF$55,$BA26,MATCH($C$2,BD!$AL$22:$BF$22,0))),""))</f>
        <v/>
      </c>
      <c r="E26" s="170"/>
      <c r="F26" s="171" t="str">
        <f>IF(OR($AW26=0,F$5=""),"",IF($AY26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26),"&lt;&gt;")=0,"",SUMIFS(INDEX(BD!$A$3:$AI$5001,0,$AX26),BD!$A$3:$A$5001,F$5,BD!$B$3:$B$5001,$C$2))))</f>
        <v/>
      </c>
      <c r="G26" s="172" t="str">
        <f>IF(OR($AW26=0,G$5=""),"",IF($AY26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26),"&lt;&gt;")=0,"",SUMIFS(INDEX(BD!$A$3:$AI$5001,0,$AX26),BD!$A$3:$A$5001,G$5,BD!$B$3:$B$5001,$C$2))))</f>
        <v/>
      </c>
      <c r="H26" s="172" t="str">
        <f>IF(OR($AW26=0,H$5=""),"",IF($AY26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26),"&lt;&gt;")=0,"",SUMIFS(INDEX(BD!$A$3:$AI$5001,0,$AX26),BD!$A$3:$A$5001,H$5,BD!$B$3:$B$5001,$C$2))))</f>
        <v/>
      </c>
      <c r="I26" s="172" t="str">
        <f>IF(OR($AW26=0,I$5=""),"",IF($AY26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26),"&lt;&gt;")=0,"",SUMIFS(INDEX(BD!$A$3:$AI$5001,0,$AX26),BD!$A$3:$A$5001,I$5,BD!$B$3:$B$5001,$C$2))))</f>
        <v/>
      </c>
      <c r="J26" s="172" t="str">
        <f>IF(OR($AW26=0,J$5=""),"",IF($AY26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26),"&lt;&gt;")=0,"",SUMIFS(INDEX(BD!$A$3:$AI$5001,0,$AX26),BD!$A$3:$A$5001,J$5,BD!$B$3:$B$5001,$C$2))))</f>
        <v/>
      </c>
      <c r="K26" s="172" t="str">
        <f>IF(OR($AW26=0,K$5=""),"",IF($AY26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26),"&lt;&gt;")=0,"",SUMIFS(INDEX(BD!$A$3:$AI$5001,0,$AX26),BD!$A$3:$A$5001,K$5,BD!$B$3:$B$5001,$C$2))))</f>
        <v/>
      </c>
      <c r="L26" s="172" t="str">
        <f>IF(OR($AW26=0,L$5=""),"",IF($AY26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26),"&lt;&gt;")=0,"",SUMIFS(INDEX(BD!$A$3:$AI$5001,0,$AX26),BD!$A$3:$A$5001,L$5,BD!$B$3:$B$5001,$C$2))))</f>
        <v/>
      </c>
      <c r="M26" s="172" t="str">
        <f>IF(OR($AW26=0,M$5=""),"",IF($AY26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26),"&lt;&gt;")=0,"",SUMIFS(INDEX(BD!$A$3:$AI$5001,0,$AX26),BD!$A$3:$A$5001,M$5,BD!$B$3:$B$5001,$C$2))))</f>
        <v/>
      </c>
      <c r="N26" s="172" t="str">
        <f>IF(OR($AW26=0,N$5=""),"",IF($AY26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26),"&lt;&gt;")=0,"",SUMIFS(INDEX(BD!$A$3:$AI$5001,0,$AX26),BD!$A$3:$A$5001,N$5,BD!$B$3:$B$5001,$C$2))))</f>
        <v/>
      </c>
      <c r="O26" s="172" t="str">
        <f>IF(OR($AW26=0,O$5=""),"",IF($AY26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26),"&lt;&gt;")=0,"",SUMIFS(INDEX(BD!$A$3:$AI$5001,0,$AX26),BD!$A$3:$A$5001,O$5,BD!$B$3:$B$5001,$C$2))))</f>
        <v/>
      </c>
      <c r="P26" s="172" t="str">
        <f>IF(OR($AW26=0,P$5=""),"",IF($AY26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26),"&lt;&gt;")=0,"",SUMIFS(INDEX(BD!$A$3:$AI$5001,0,$AX26),BD!$A$3:$A$5001,P$5,BD!$B$3:$B$5001,$C$2))))</f>
        <v/>
      </c>
      <c r="Q26" s="172" t="str">
        <f>IF(OR($AW26=0,Q$5=""),"",IF($AY26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26),"&lt;&gt;")=0,"",SUMIFS(INDEX(BD!$A$3:$AI$5001,0,$AX26),BD!$A$3:$A$5001,Q$5,BD!$B$3:$B$5001,$C$2))))</f>
        <v/>
      </c>
      <c r="R26" s="172" t="str">
        <f>IF(OR($AW26=0,R$5=""),"",IF($AY26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26),"&lt;&gt;")=0,"",SUMIFS(INDEX(BD!$A$3:$AI$5001,0,$AX26),BD!$A$3:$A$5001,R$5,BD!$B$3:$B$5001,$C$2))))</f>
        <v/>
      </c>
      <c r="S26" s="172" t="str">
        <f>IF(OR($AW26=0,S$5=""),"",IF($AY26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26),"&lt;&gt;")=0,"",SUMIFS(INDEX(BD!$A$3:$AI$5001,0,$AX26),BD!$A$3:$A$5001,S$5,BD!$B$3:$B$5001,$C$2))))</f>
        <v/>
      </c>
      <c r="T26" s="172" t="str">
        <f>IF(OR($AW26=0,T$5=""),"",IF($AY26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26),"&lt;&gt;")=0,"",SUMIFS(INDEX(BD!$A$3:$AI$5001,0,$AX26),BD!$A$3:$A$5001,T$5,BD!$B$3:$B$5001,$C$2))))</f>
        <v/>
      </c>
      <c r="U26" s="172" t="str">
        <f>IF(OR($AW26=0,U$5=""),"",IF($AY26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26),"&lt;&gt;")=0,"",SUMIFS(INDEX(BD!$A$3:$AI$5001,0,$AX26),BD!$A$3:$A$5001,U$5,BD!$B$3:$B$5001,$C$2))))</f>
        <v/>
      </c>
      <c r="V26" s="172" t="str">
        <f>IF(OR($AW26=0,V$5=""),"",IF($AY26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26),"&lt;&gt;")=0,"",SUMIFS(INDEX(BD!$A$3:$AI$5001,0,$AX26),BD!$A$3:$A$5001,V$5,BD!$B$3:$B$5001,$C$2))))</f>
        <v/>
      </c>
      <c r="W26" s="172" t="str">
        <f>IF(OR($AW26=0,W$5=""),"",IF($AY26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26),"&lt;&gt;")=0,"",SUMIFS(INDEX(BD!$A$3:$AI$5001,0,$AX26),BD!$A$3:$A$5001,W$5,BD!$B$3:$B$5001,$C$2))))</f>
        <v/>
      </c>
      <c r="X26" s="172" t="str">
        <f>IF(OR($AW26=0,X$5=""),"",IF($AY26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26),"&lt;&gt;")=0,"",SUMIFS(INDEX(BD!$A$3:$AI$5001,0,$AX26),BD!$A$3:$A$5001,X$5,BD!$B$3:$B$5001,$C$2))))</f>
        <v/>
      </c>
      <c r="Y26" s="172" t="str">
        <f>IF(OR($AW26=0,Y$5=""),"",IF($AY26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26),"&lt;&gt;")=0,"",SUMIFS(INDEX(BD!$A$3:$AI$5001,0,$AX26),BD!$A$3:$A$5001,Y$5,BD!$B$3:$B$5001,$C$2))))</f>
        <v/>
      </c>
      <c r="Z26" s="172" t="str">
        <f>IF(OR($AW26=0,Z$5=""),"",IF($AY26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26),"&lt;&gt;")=0,"",SUMIFS(INDEX(BD!$A$3:$AI$5001,0,$AX26),BD!$A$3:$A$5001,Z$5,BD!$B$3:$B$5001,$C$2))))</f>
        <v/>
      </c>
      <c r="AA26" s="172" t="str">
        <f>IF(OR($AW26=0,AA$5=""),"",IF($AY26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26),"&lt;&gt;")=0,"",SUMIFS(INDEX(BD!$A$3:$AI$5001,0,$AX26),BD!$A$3:$A$5001,AA$5,BD!$B$3:$B$5001,$C$2))))</f>
        <v/>
      </c>
      <c r="AB26" s="172" t="str">
        <f>IF(OR($AW26=0,AB$5=""),"",IF($AY26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26),"&lt;&gt;")=0,"",SUMIFS(INDEX(BD!$A$3:$AI$5001,0,$AX26),BD!$A$3:$A$5001,AB$5,BD!$B$3:$B$5001,$C$2))))</f>
        <v/>
      </c>
      <c r="AC26" s="172" t="str">
        <f>IF(OR($AW26=0,AC$5=""),"",IF($AY26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26),"&lt;&gt;")=0,"",SUMIFS(INDEX(BD!$A$3:$AI$5001,0,$AX26),BD!$A$3:$A$5001,AC$5,BD!$B$3:$B$5001,$C$2))))</f>
        <v/>
      </c>
      <c r="AD26" s="172" t="str">
        <f>IF(OR($AW26=0,AD$5=""),"",IF($AY26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26),"&lt;&gt;")=0,"",SUMIFS(INDEX(BD!$A$3:$AI$5001,0,$AX26),BD!$A$3:$A$5001,AD$5,BD!$B$3:$B$5001,$C$2))))</f>
        <v/>
      </c>
      <c r="AE26" s="172" t="str">
        <f>IF(OR($AW26=0,AE$5=""),"",IF($AY26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26),"&lt;&gt;")=0,"",SUMIFS(INDEX(BD!$A$3:$AI$5001,0,$AX26),BD!$A$3:$A$5001,AE$5,BD!$B$3:$B$5001,$C$2))))</f>
        <v/>
      </c>
      <c r="AF26" s="172" t="str">
        <f>IF(OR($AW26=0,AF$5=""),"",IF($AY26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26),"&lt;&gt;")=0,"",SUMIFS(INDEX(BD!$A$3:$AI$5001,0,$AX26),BD!$A$3:$A$5001,AF$5,BD!$B$3:$B$5001,$C$2))))</f>
        <v/>
      </c>
      <c r="AG26" s="172" t="str">
        <f>IF(OR($AW26=0,AG$5=""),"",IF($AY26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26),"&lt;&gt;")=0,"",SUMIFS(INDEX(BD!$A$3:$AI$5001,0,$AX26),BD!$A$3:$A$5001,AG$5,BD!$B$3:$B$5001,$C$2))))</f>
        <v/>
      </c>
      <c r="AH26" s="172" t="str">
        <f>IF(OR($AW26=0,AH$5=""),"",IF($AY26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26),"&lt;&gt;")=0,"",SUMIFS(INDEX(BD!$A$3:$AI$5001,0,$AX26),BD!$A$3:$A$5001,AH$5,BD!$B$3:$B$5001,$C$2))))</f>
        <v/>
      </c>
      <c r="AI26" s="172" t="str">
        <f>IF(OR($AW26=0,AI$5=""),"",IF($AY26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26),"&lt;&gt;")=0,"",SUMIFS(INDEX(BD!$A$3:$AI$5001,0,$AX26),BD!$A$3:$A$5001,AI$5,BD!$B$3:$B$5001,$C$2))))</f>
        <v/>
      </c>
      <c r="AJ26" s="173" t="str">
        <f>IF(OR($AW26=0,AJ$5=""),"",IF($AY26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26),"&lt;&gt;")=0,"",SUMIFS(INDEX(BD!$A$3:$AI$5001,0,$AX26),BD!$A$3:$A$5001,AJ$5,BD!$B$3:$B$5001,$C$2))))</f>
        <v/>
      </c>
      <c r="AK26" s="169" t="str">
        <f>IF($AW26=0,"",IF($AY26="fluxo",IF(COUNT(F26:AJ26)=0,"",SUM(F26:AJ26)),IFERROR(LOOKUP(9.99E+307,F26:AJ26),"")))</f>
        <v/>
      </c>
      <c r="AN26" s="159" t="inlineStr">
        <is>
          <t xml:space="preserve">Incidentes</t>
        </is>
      </c>
      <c r="AO26" s="159" t="inlineStr">
        <is>
          <t xml:space="preserve">NC</t>
        </is>
      </c>
      <c r="AP26" s="159">
        <v>22</v>
      </c>
      <c r="AQ26" s="159" t="inlineStr">
        <is>
          <t xml:space="preserve">fluxo</t>
        </is>
      </c>
      <c r="AR26" s="159">
        <v>20</v>
      </c>
      <c r="AS26" s="159" t="inlineStr">
        <is>
          <t xml:space="preserve">int</t>
        </is>
      </c>
      <c r="AT26" s="159">
        <f>IF($C$2="",0,IF(IFERROR(INDEX(Config!$W$35:$W$54,MATCH($C$2,Config!$B$35:$B$54,0)),"Sim")="Não",0,1))</f>
        <v>1</v>
      </c>
      <c r="AU26" s="159">
        <f>AU25+AT26</f>
        <v>5</v>
      </c>
      <c r="AW26" s="159">
        <f>IFERROR(MATCH(20,$AU$7:$AU$39,0),0)</f>
        <v>0</v>
      </c>
      <c r="AX26" s="159" t="str">
        <f>IF($AW26=0,"",INDEX($AP$7:$AP$39,$AW26))</f>
        <v/>
      </c>
      <c r="AY26" s="159" t="str">
        <f>IF($AW26=0,"",INDEX($AQ$7:$AQ$39,$AW26))</f>
        <v/>
      </c>
      <c r="AZ26" s="159" t="str">
        <f>IF($AW26=0,"",INDEX($AS$7:$AS$39,$AW26))</f>
        <v/>
      </c>
      <c r="BA26" s="159" t="str">
        <f>IF($AW26=0,"",INDEX($AR$7:$AR$39,$AW26))</f>
        <v/>
      </c>
    </row>
    <row r="27" ht="15.75" customHeight="1">
      <c r="A27" s="181"/>
      <c r="B27" s="167" t="str">
        <f>IF($AW27=0,"",INDEX($AO$7:$AO$39,$AW27))</f>
        <v/>
      </c>
      <c r="C27" s="168" t="str">
        <f>IF($AW27=0,"",INDEX($AN$7:$AN$39,$AW27))</f>
        <v/>
      </c>
      <c r="D27" s="169" t="str">
        <f>IF(OR($AW27=0,N($BA27)=0),"",IFERROR(1/(1/INDEX(BD!$AL$23:$BF$55,$BA27,MATCH($C$2,BD!$AL$22:$BF$22,0))),""))</f>
        <v/>
      </c>
      <c r="E27" s="170"/>
      <c r="F27" s="171" t="str">
        <f>IF(OR($AW27=0,F$5=""),"",IF($AY27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27),"&lt;&gt;")=0,"",SUMIFS(INDEX(BD!$A$3:$AI$5001,0,$AX27),BD!$A$3:$A$5001,F$5,BD!$B$3:$B$5001,$C$2))))</f>
        <v/>
      </c>
      <c r="G27" s="172" t="str">
        <f>IF(OR($AW27=0,G$5=""),"",IF($AY27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27),"&lt;&gt;")=0,"",SUMIFS(INDEX(BD!$A$3:$AI$5001,0,$AX27),BD!$A$3:$A$5001,G$5,BD!$B$3:$B$5001,$C$2))))</f>
        <v/>
      </c>
      <c r="H27" s="172" t="str">
        <f>IF(OR($AW27=0,H$5=""),"",IF($AY27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27),"&lt;&gt;")=0,"",SUMIFS(INDEX(BD!$A$3:$AI$5001,0,$AX27),BD!$A$3:$A$5001,H$5,BD!$B$3:$B$5001,$C$2))))</f>
        <v/>
      </c>
      <c r="I27" s="172" t="str">
        <f>IF(OR($AW27=0,I$5=""),"",IF($AY27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27),"&lt;&gt;")=0,"",SUMIFS(INDEX(BD!$A$3:$AI$5001,0,$AX27),BD!$A$3:$A$5001,I$5,BD!$B$3:$B$5001,$C$2))))</f>
        <v/>
      </c>
      <c r="J27" s="172" t="str">
        <f>IF(OR($AW27=0,J$5=""),"",IF($AY27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27),"&lt;&gt;")=0,"",SUMIFS(INDEX(BD!$A$3:$AI$5001,0,$AX27),BD!$A$3:$A$5001,J$5,BD!$B$3:$B$5001,$C$2))))</f>
        <v/>
      </c>
      <c r="K27" s="172" t="str">
        <f>IF(OR($AW27=0,K$5=""),"",IF($AY27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27),"&lt;&gt;")=0,"",SUMIFS(INDEX(BD!$A$3:$AI$5001,0,$AX27),BD!$A$3:$A$5001,K$5,BD!$B$3:$B$5001,$C$2))))</f>
        <v/>
      </c>
      <c r="L27" s="172" t="str">
        <f>IF(OR($AW27=0,L$5=""),"",IF($AY27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27),"&lt;&gt;")=0,"",SUMIFS(INDEX(BD!$A$3:$AI$5001,0,$AX27),BD!$A$3:$A$5001,L$5,BD!$B$3:$B$5001,$C$2))))</f>
        <v/>
      </c>
      <c r="M27" s="172" t="str">
        <f>IF(OR($AW27=0,M$5=""),"",IF($AY27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27),"&lt;&gt;")=0,"",SUMIFS(INDEX(BD!$A$3:$AI$5001,0,$AX27),BD!$A$3:$A$5001,M$5,BD!$B$3:$B$5001,$C$2))))</f>
        <v/>
      </c>
      <c r="N27" s="172" t="str">
        <f>IF(OR($AW27=0,N$5=""),"",IF($AY27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27),"&lt;&gt;")=0,"",SUMIFS(INDEX(BD!$A$3:$AI$5001,0,$AX27),BD!$A$3:$A$5001,N$5,BD!$B$3:$B$5001,$C$2))))</f>
        <v/>
      </c>
      <c r="O27" s="172" t="str">
        <f>IF(OR($AW27=0,O$5=""),"",IF($AY27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27),"&lt;&gt;")=0,"",SUMIFS(INDEX(BD!$A$3:$AI$5001,0,$AX27),BD!$A$3:$A$5001,O$5,BD!$B$3:$B$5001,$C$2))))</f>
        <v/>
      </c>
      <c r="P27" s="172" t="str">
        <f>IF(OR($AW27=0,P$5=""),"",IF($AY27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27),"&lt;&gt;")=0,"",SUMIFS(INDEX(BD!$A$3:$AI$5001,0,$AX27),BD!$A$3:$A$5001,P$5,BD!$B$3:$B$5001,$C$2))))</f>
        <v/>
      </c>
      <c r="Q27" s="172" t="str">
        <f>IF(OR($AW27=0,Q$5=""),"",IF($AY27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27),"&lt;&gt;")=0,"",SUMIFS(INDEX(BD!$A$3:$AI$5001,0,$AX27),BD!$A$3:$A$5001,Q$5,BD!$B$3:$B$5001,$C$2))))</f>
        <v/>
      </c>
      <c r="R27" s="172" t="str">
        <f>IF(OR($AW27=0,R$5=""),"",IF($AY27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27),"&lt;&gt;")=0,"",SUMIFS(INDEX(BD!$A$3:$AI$5001,0,$AX27),BD!$A$3:$A$5001,R$5,BD!$B$3:$B$5001,$C$2))))</f>
        <v/>
      </c>
      <c r="S27" s="172" t="str">
        <f>IF(OR($AW27=0,S$5=""),"",IF($AY27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27),"&lt;&gt;")=0,"",SUMIFS(INDEX(BD!$A$3:$AI$5001,0,$AX27),BD!$A$3:$A$5001,S$5,BD!$B$3:$B$5001,$C$2))))</f>
        <v/>
      </c>
      <c r="T27" s="172" t="str">
        <f>IF(OR($AW27=0,T$5=""),"",IF($AY27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27),"&lt;&gt;")=0,"",SUMIFS(INDEX(BD!$A$3:$AI$5001,0,$AX27),BD!$A$3:$A$5001,T$5,BD!$B$3:$B$5001,$C$2))))</f>
        <v/>
      </c>
      <c r="U27" s="172" t="str">
        <f>IF(OR($AW27=0,U$5=""),"",IF($AY27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27),"&lt;&gt;")=0,"",SUMIFS(INDEX(BD!$A$3:$AI$5001,0,$AX27),BD!$A$3:$A$5001,U$5,BD!$B$3:$B$5001,$C$2))))</f>
        <v/>
      </c>
      <c r="V27" s="172" t="str">
        <f>IF(OR($AW27=0,V$5=""),"",IF($AY27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27),"&lt;&gt;")=0,"",SUMIFS(INDEX(BD!$A$3:$AI$5001,0,$AX27),BD!$A$3:$A$5001,V$5,BD!$B$3:$B$5001,$C$2))))</f>
        <v/>
      </c>
      <c r="W27" s="172" t="str">
        <f>IF(OR($AW27=0,W$5=""),"",IF($AY27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27),"&lt;&gt;")=0,"",SUMIFS(INDEX(BD!$A$3:$AI$5001,0,$AX27),BD!$A$3:$A$5001,W$5,BD!$B$3:$B$5001,$C$2))))</f>
        <v/>
      </c>
      <c r="X27" s="172" t="str">
        <f>IF(OR($AW27=0,X$5=""),"",IF($AY27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27),"&lt;&gt;")=0,"",SUMIFS(INDEX(BD!$A$3:$AI$5001,0,$AX27),BD!$A$3:$A$5001,X$5,BD!$B$3:$B$5001,$C$2))))</f>
        <v/>
      </c>
      <c r="Y27" s="172" t="str">
        <f>IF(OR($AW27=0,Y$5=""),"",IF($AY27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27),"&lt;&gt;")=0,"",SUMIFS(INDEX(BD!$A$3:$AI$5001,0,$AX27),BD!$A$3:$A$5001,Y$5,BD!$B$3:$B$5001,$C$2))))</f>
        <v/>
      </c>
      <c r="Z27" s="172" t="str">
        <f>IF(OR($AW27=0,Z$5=""),"",IF($AY27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27),"&lt;&gt;")=0,"",SUMIFS(INDEX(BD!$A$3:$AI$5001,0,$AX27),BD!$A$3:$A$5001,Z$5,BD!$B$3:$B$5001,$C$2))))</f>
        <v/>
      </c>
      <c r="AA27" s="172" t="str">
        <f>IF(OR($AW27=0,AA$5=""),"",IF($AY27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27),"&lt;&gt;")=0,"",SUMIFS(INDEX(BD!$A$3:$AI$5001,0,$AX27),BD!$A$3:$A$5001,AA$5,BD!$B$3:$B$5001,$C$2))))</f>
        <v/>
      </c>
      <c r="AB27" s="172" t="str">
        <f>IF(OR($AW27=0,AB$5=""),"",IF($AY27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27),"&lt;&gt;")=0,"",SUMIFS(INDEX(BD!$A$3:$AI$5001,0,$AX27),BD!$A$3:$A$5001,AB$5,BD!$B$3:$B$5001,$C$2))))</f>
        <v/>
      </c>
      <c r="AC27" s="172" t="str">
        <f>IF(OR($AW27=0,AC$5=""),"",IF($AY27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27),"&lt;&gt;")=0,"",SUMIFS(INDEX(BD!$A$3:$AI$5001,0,$AX27),BD!$A$3:$A$5001,AC$5,BD!$B$3:$B$5001,$C$2))))</f>
        <v/>
      </c>
      <c r="AD27" s="172" t="str">
        <f>IF(OR($AW27=0,AD$5=""),"",IF($AY27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27),"&lt;&gt;")=0,"",SUMIFS(INDEX(BD!$A$3:$AI$5001,0,$AX27),BD!$A$3:$A$5001,AD$5,BD!$B$3:$B$5001,$C$2))))</f>
        <v/>
      </c>
      <c r="AE27" s="172" t="str">
        <f>IF(OR($AW27=0,AE$5=""),"",IF($AY27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27),"&lt;&gt;")=0,"",SUMIFS(INDEX(BD!$A$3:$AI$5001,0,$AX27),BD!$A$3:$A$5001,AE$5,BD!$B$3:$B$5001,$C$2))))</f>
        <v/>
      </c>
      <c r="AF27" s="172" t="str">
        <f>IF(OR($AW27=0,AF$5=""),"",IF($AY27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27),"&lt;&gt;")=0,"",SUMIFS(INDEX(BD!$A$3:$AI$5001,0,$AX27),BD!$A$3:$A$5001,AF$5,BD!$B$3:$B$5001,$C$2))))</f>
        <v/>
      </c>
      <c r="AG27" s="172" t="str">
        <f>IF(OR($AW27=0,AG$5=""),"",IF($AY27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27),"&lt;&gt;")=0,"",SUMIFS(INDEX(BD!$A$3:$AI$5001,0,$AX27),BD!$A$3:$A$5001,AG$5,BD!$B$3:$B$5001,$C$2))))</f>
        <v/>
      </c>
      <c r="AH27" s="172" t="str">
        <f>IF(OR($AW27=0,AH$5=""),"",IF($AY27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27),"&lt;&gt;")=0,"",SUMIFS(INDEX(BD!$A$3:$AI$5001,0,$AX27),BD!$A$3:$A$5001,AH$5,BD!$B$3:$B$5001,$C$2))))</f>
        <v/>
      </c>
      <c r="AI27" s="172" t="str">
        <f>IF(OR($AW27=0,AI$5=""),"",IF($AY27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27),"&lt;&gt;")=0,"",SUMIFS(INDEX(BD!$A$3:$AI$5001,0,$AX27),BD!$A$3:$A$5001,AI$5,BD!$B$3:$B$5001,$C$2))))</f>
        <v/>
      </c>
      <c r="AJ27" s="173" t="str">
        <f>IF(OR($AW27=0,AJ$5=""),"",IF($AY27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27),"&lt;&gt;")=0,"",SUMIFS(INDEX(BD!$A$3:$AI$5001,0,$AX27),BD!$A$3:$A$5001,AJ$5,BD!$B$3:$B$5001,$C$2))))</f>
        <v/>
      </c>
      <c r="AK27" s="169" t="str">
        <f>IF($AW27=0,"",IF($AY27="fluxo",IF(COUNT(F27:AJ27)=0,"",SUM(F27:AJ27)),IFERROR(LOOKUP(9.99E+307,F27:AJ27),"")))</f>
        <v/>
      </c>
      <c r="AN27" s="159" t="inlineStr">
        <is>
          <t xml:space="preserve">No show</t>
        </is>
      </c>
      <c r="AO27" s="159" t="inlineStr">
        <is>
          <t xml:space="preserve">NC</t>
        </is>
      </c>
      <c r="AP27" s="159">
        <v>23</v>
      </c>
      <c r="AQ27" s="159" t="inlineStr">
        <is>
          <t xml:space="preserve">fluxo</t>
        </is>
      </c>
      <c r="AR27" s="159">
        <v>21</v>
      </c>
      <c r="AS27" s="159" t="inlineStr">
        <is>
          <t xml:space="preserve">int</t>
        </is>
      </c>
      <c r="AT27" s="159">
        <f>IF($C$2="",0,IF(IFERROR(INDEX(Config!$X$35:$X$54,MATCH($C$2,Config!$B$35:$B$54,0)),"Sim")="Não",0,1))</f>
        <v>1</v>
      </c>
      <c r="AU27" s="159">
        <f>AU26+AT27</f>
        <v>6</v>
      </c>
      <c r="AW27" s="159">
        <f>IFERROR(MATCH(21,$AU$7:$AU$39,0),0)</f>
        <v>0</v>
      </c>
      <c r="AX27" s="159" t="str">
        <f>IF($AW27=0,"",INDEX($AP$7:$AP$39,$AW27))</f>
        <v/>
      </c>
      <c r="AY27" s="159" t="str">
        <f>IF($AW27=0,"",INDEX($AQ$7:$AQ$39,$AW27))</f>
        <v/>
      </c>
      <c r="AZ27" s="159" t="str">
        <f>IF($AW27=0,"",INDEX($AS$7:$AS$39,$AW27))</f>
        <v/>
      </c>
      <c r="BA27" s="159" t="str">
        <f>IF($AW27=0,"",INDEX($AR$7:$AR$39,$AW27))</f>
        <v/>
      </c>
    </row>
    <row r="28" ht="15.75" customHeight="1">
      <c r="A28" s="181"/>
      <c r="B28" s="167" t="str">
        <f>IF($AW28=0,"",INDEX($AO$7:$AO$39,$AW28))</f>
        <v/>
      </c>
      <c r="C28" s="168" t="str">
        <f>IF($AW28=0,"",INDEX($AN$7:$AN$39,$AW28))</f>
        <v/>
      </c>
      <c r="D28" s="169" t="str">
        <f>IF(OR($AW28=0,N($BA28)=0),"",IFERROR(1/(1/INDEX(BD!$AL$23:$BF$55,$BA28,MATCH($C$2,BD!$AL$22:$BF$22,0))),""))</f>
        <v/>
      </c>
      <c r="E28" s="170"/>
      <c r="F28" s="171" t="str">
        <f>IF(OR($AW28=0,F$5=""),"",IF($AY28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28),"&lt;&gt;")=0,"",SUMIFS(INDEX(BD!$A$3:$AI$5001,0,$AX28),BD!$A$3:$A$5001,F$5,BD!$B$3:$B$5001,$C$2))))</f>
        <v/>
      </c>
      <c r="G28" s="172" t="str">
        <f>IF(OR($AW28=0,G$5=""),"",IF($AY28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28),"&lt;&gt;")=0,"",SUMIFS(INDEX(BD!$A$3:$AI$5001,0,$AX28),BD!$A$3:$A$5001,G$5,BD!$B$3:$B$5001,$C$2))))</f>
        <v/>
      </c>
      <c r="H28" s="172" t="str">
        <f>IF(OR($AW28=0,H$5=""),"",IF($AY28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28),"&lt;&gt;")=0,"",SUMIFS(INDEX(BD!$A$3:$AI$5001,0,$AX28),BD!$A$3:$A$5001,H$5,BD!$B$3:$B$5001,$C$2))))</f>
        <v/>
      </c>
      <c r="I28" s="172" t="str">
        <f>IF(OR($AW28=0,I$5=""),"",IF($AY28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28),"&lt;&gt;")=0,"",SUMIFS(INDEX(BD!$A$3:$AI$5001,0,$AX28),BD!$A$3:$A$5001,I$5,BD!$B$3:$B$5001,$C$2))))</f>
        <v/>
      </c>
      <c r="J28" s="172" t="str">
        <f>IF(OR($AW28=0,J$5=""),"",IF($AY28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28),"&lt;&gt;")=0,"",SUMIFS(INDEX(BD!$A$3:$AI$5001,0,$AX28),BD!$A$3:$A$5001,J$5,BD!$B$3:$B$5001,$C$2))))</f>
        <v/>
      </c>
      <c r="K28" s="172" t="str">
        <f>IF(OR($AW28=0,K$5=""),"",IF($AY28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28),"&lt;&gt;")=0,"",SUMIFS(INDEX(BD!$A$3:$AI$5001,0,$AX28),BD!$A$3:$A$5001,K$5,BD!$B$3:$B$5001,$C$2))))</f>
        <v/>
      </c>
      <c r="L28" s="172" t="str">
        <f>IF(OR($AW28=0,L$5=""),"",IF($AY28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28),"&lt;&gt;")=0,"",SUMIFS(INDEX(BD!$A$3:$AI$5001,0,$AX28),BD!$A$3:$A$5001,L$5,BD!$B$3:$B$5001,$C$2))))</f>
        <v/>
      </c>
      <c r="M28" s="172" t="str">
        <f>IF(OR($AW28=0,M$5=""),"",IF($AY28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28),"&lt;&gt;")=0,"",SUMIFS(INDEX(BD!$A$3:$AI$5001,0,$AX28),BD!$A$3:$A$5001,M$5,BD!$B$3:$B$5001,$C$2))))</f>
        <v/>
      </c>
      <c r="N28" s="172" t="str">
        <f>IF(OR($AW28=0,N$5=""),"",IF($AY28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28),"&lt;&gt;")=0,"",SUMIFS(INDEX(BD!$A$3:$AI$5001,0,$AX28),BD!$A$3:$A$5001,N$5,BD!$B$3:$B$5001,$C$2))))</f>
        <v/>
      </c>
      <c r="O28" s="172" t="str">
        <f>IF(OR($AW28=0,O$5=""),"",IF($AY28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28),"&lt;&gt;")=0,"",SUMIFS(INDEX(BD!$A$3:$AI$5001,0,$AX28),BD!$A$3:$A$5001,O$5,BD!$B$3:$B$5001,$C$2))))</f>
        <v/>
      </c>
      <c r="P28" s="172" t="str">
        <f>IF(OR($AW28=0,P$5=""),"",IF($AY28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28),"&lt;&gt;")=0,"",SUMIFS(INDEX(BD!$A$3:$AI$5001,0,$AX28),BD!$A$3:$A$5001,P$5,BD!$B$3:$B$5001,$C$2))))</f>
        <v/>
      </c>
      <c r="Q28" s="172" t="str">
        <f>IF(OR($AW28=0,Q$5=""),"",IF($AY28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28),"&lt;&gt;")=0,"",SUMIFS(INDEX(BD!$A$3:$AI$5001,0,$AX28),BD!$A$3:$A$5001,Q$5,BD!$B$3:$B$5001,$C$2))))</f>
        <v/>
      </c>
      <c r="R28" s="172" t="str">
        <f>IF(OR($AW28=0,R$5=""),"",IF($AY28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28),"&lt;&gt;")=0,"",SUMIFS(INDEX(BD!$A$3:$AI$5001,0,$AX28),BD!$A$3:$A$5001,R$5,BD!$B$3:$B$5001,$C$2))))</f>
        <v/>
      </c>
      <c r="S28" s="172" t="str">
        <f>IF(OR($AW28=0,S$5=""),"",IF($AY28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28),"&lt;&gt;")=0,"",SUMIFS(INDEX(BD!$A$3:$AI$5001,0,$AX28),BD!$A$3:$A$5001,S$5,BD!$B$3:$B$5001,$C$2))))</f>
        <v/>
      </c>
      <c r="T28" s="172" t="str">
        <f>IF(OR($AW28=0,T$5=""),"",IF($AY28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28),"&lt;&gt;")=0,"",SUMIFS(INDEX(BD!$A$3:$AI$5001,0,$AX28),BD!$A$3:$A$5001,T$5,BD!$B$3:$B$5001,$C$2))))</f>
        <v/>
      </c>
      <c r="U28" s="172" t="str">
        <f>IF(OR($AW28=0,U$5=""),"",IF($AY28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28),"&lt;&gt;")=0,"",SUMIFS(INDEX(BD!$A$3:$AI$5001,0,$AX28),BD!$A$3:$A$5001,U$5,BD!$B$3:$B$5001,$C$2))))</f>
        <v/>
      </c>
      <c r="V28" s="172" t="str">
        <f>IF(OR($AW28=0,V$5=""),"",IF($AY28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28),"&lt;&gt;")=0,"",SUMIFS(INDEX(BD!$A$3:$AI$5001,0,$AX28),BD!$A$3:$A$5001,V$5,BD!$B$3:$B$5001,$C$2))))</f>
        <v/>
      </c>
      <c r="W28" s="172" t="str">
        <f>IF(OR($AW28=0,W$5=""),"",IF($AY28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28),"&lt;&gt;")=0,"",SUMIFS(INDEX(BD!$A$3:$AI$5001,0,$AX28),BD!$A$3:$A$5001,W$5,BD!$B$3:$B$5001,$C$2))))</f>
        <v/>
      </c>
      <c r="X28" s="172" t="str">
        <f>IF(OR($AW28=0,X$5=""),"",IF($AY28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28),"&lt;&gt;")=0,"",SUMIFS(INDEX(BD!$A$3:$AI$5001,0,$AX28),BD!$A$3:$A$5001,X$5,BD!$B$3:$B$5001,$C$2))))</f>
        <v/>
      </c>
      <c r="Y28" s="172" t="str">
        <f>IF(OR($AW28=0,Y$5=""),"",IF($AY28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28),"&lt;&gt;")=0,"",SUMIFS(INDEX(BD!$A$3:$AI$5001,0,$AX28),BD!$A$3:$A$5001,Y$5,BD!$B$3:$B$5001,$C$2))))</f>
        <v/>
      </c>
      <c r="Z28" s="172" t="str">
        <f>IF(OR($AW28=0,Z$5=""),"",IF($AY28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28),"&lt;&gt;")=0,"",SUMIFS(INDEX(BD!$A$3:$AI$5001,0,$AX28),BD!$A$3:$A$5001,Z$5,BD!$B$3:$B$5001,$C$2))))</f>
        <v/>
      </c>
      <c r="AA28" s="172" t="str">
        <f>IF(OR($AW28=0,AA$5=""),"",IF($AY28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28),"&lt;&gt;")=0,"",SUMIFS(INDEX(BD!$A$3:$AI$5001,0,$AX28),BD!$A$3:$A$5001,AA$5,BD!$B$3:$B$5001,$C$2))))</f>
        <v/>
      </c>
      <c r="AB28" s="172" t="str">
        <f>IF(OR($AW28=0,AB$5=""),"",IF($AY28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28),"&lt;&gt;")=0,"",SUMIFS(INDEX(BD!$A$3:$AI$5001,0,$AX28),BD!$A$3:$A$5001,AB$5,BD!$B$3:$B$5001,$C$2))))</f>
        <v/>
      </c>
      <c r="AC28" s="172" t="str">
        <f>IF(OR($AW28=0,AC$5=""),"",IF($AY28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28),"&lt;&gt;")=0,"",SUMIFS(INDEX(BD!$A$3:$AI$5001,0,$AX28),BD!$A$3:$A$5001,AC$5,BD!$B$3:$B$5001,$C$2))))</f>
        <v/>
      </c>
      <c r="AD28" s="172" t="str">
        <f>IF(OR($AW28=0,AD$5=""),"",IF($AY28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28),"&lt;&gt;")=0,"",SUMIFS(INDEX(BD!$A$3:$AI$5001,0,$AX28),BD!$A$3:$A$5001,AD$5,BD!$B$3:$B$5001,$C$2))))</f>
        <v/>
      </c>
      <c r="AE28" s="172" t="str">
        <f>IF(OR($AW28=0,AE$5=""),"",IF($AY28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28),"&lt;&gt;")=0,"",SUMIFS(INDEX(BD!$A$3:$AI$5001,0,$AX28),BD!$A$3:$A$5001,AE$5,BD!$B$3:$B$5001,$C$2))))</f>
        <v/>
      </c>
      <c r="AF28" s="172" t="str">
        <f>IF(OR($AW28=0,AF$5=""),"",IF($AY28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28),"&lt;&gt;")=0,"",SUMIFS(INDEX(BD!$A$3:$AI$5001,0,$AX28),BD!$A$3:$A$5001,AF$5,BD!$B$3:$B$5001,$C$2))))</f>
        <v/>
      </c>
      <c r="AG28" s="172" t="str">
        <f>IF(OR($AW28=0,AG$5=""),"",IF($AY28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28),"&lt;&gt;")=0,"",SUMIFS(INDEX(BD!$A$3:$AI$5001,0,$AX28),BD!$A$3:$A$5001,AG$5,BD!$B$3:$B$5001,$C$2))))</f>
        <v/>
      </c>
      <c r="AH28" s="172" t="str">
        <f>IF(OR($AW28=0,AH$5=""),"",IF($AY28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28),"&lt;&gt;")=0,"",SUMIFS(INDEX(BD!$A$3:$AI$5001,0,$AX28),BD!$A$3:$A$5001,AH$5,BD!$B$3:$B$5001,$C$2))))</f>
        <v/>
      </c>
      <c r="AI28" s="172" t="str">
        <f>IF(OR($AW28=0,AI$5=""),"",IF($AY28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28),"&lt;&gt;")=0,"",SUMIFS(INDEX(BD!$A$3:$AI$5001,0,$AX28),BD!$A$3:$A$5001,AI$5,BD!$B$3:$B$5001,$C$2))))</f>
        <v/>
      </c>
      <c r="AJ28" s="173" t="str">
        <f>IF(OR($AW28=0,AJ$5=""),"",IF($AY28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28),"&lt;&gt;")=0,"",SUMIFS(INDEX(BD!$A$3:$AI$5001,0,$AX28),BD!$A$3:$A$5001,AJ$5,BD!$B$3:$B$5001,$C$2))))</f>
        <v/>
      </c>
      <c r="AK28" s="169" t="str">
        <f>IF($AW28=0,"",IF($AY28="fluxo",IF(COUNT(F28:AJ28)=0,"",SUM(F28:AJ28)),IFERROR(LOOKUP(9.99E+307,F28:AJ28),"")))</f>
        <v/>
      </c>
      <c r="AN28" s="159" t="inlineStr">
        <is>
          <t xml:space="preserve">Backlog</t>
        </is>
      </c>
      <c r="AO28" s="159" t="inlineStr">
        <is>
          <t xml:space="preserve">NC</t>
        </is>
      </c>
      <c r="AP28" s="159">
        <v>24</v>
      </c>
      <c r="AQ28" s="159" t="inlineStr">
        <is>
          <t xml:space="preserve">estoque</t>
        </is>
      </c>
      <c r="AR28" s="159">
        <v>22</v>
      </c>
      <c r="AS28" s="159" t="inlineStr">
        <is>
          <t xml:space="preserve">int</t>
        </is>
      </c>
      <c r="AT28" s="159">
        <f>IF($C$2="",0,IF(IFERROR(INDEX(Config!$Y$35:$Y$54,MATCH($C$2,Config!$B$35:$B$54,0)),"Sim")="Não",0,1))</f>
        <v>1</v>
      </c>
      <c r="AU28" s="159">
        <f>AU27+AT28</f>
        <v>7</v>
      </c>
      <c r="AW28" s="159">
        <f>IFERROR(MATCH(22,$AU$7:$AU$39,0),0)</f>
        <v>0</v>
      </c>
      <c r="AX28" s="159" t="str">
        <f>IF($AW28=0,"",INDEX($AP$7:$AP$39,$AW28))</f>
        <v/>
      </c>
      <c r="AY28" s="159" t="str">
        <f>IF($AW28=0,"",INDEX($AQ$7:$AQ$39,$AW28))</f>
        <v/>
      </c>
      <c r="AZ28" s="159" t="str">
        <f>IF($AW28=0,"",INDEX($AS$7:$AS$39,$AW28))</f>
        <v/>
      </c>
      <c r="BA28" s="159" t="str">
        <f>IF($AW28=0,"",INDEX($AR$7:$AR$39,$AW28))</f>
        <v/>
      </c>
    </row>
    <row r="29" ht="15.75" customHeight="1">
      <c r="A29" s="181"/>
      <c r="B29" s="167" t="str">
        <f>IF($AW29=0,"",INDEX($AO$7:$AO$39,$AW29))</f>
        <v/>
      </c>
      <c r="C29" s="168" t="str">
        <f>IF($AW29=0,"",INDEX($AN$7:$AN$39,$AW29))</f>
        <v/>
      </c>
      <c r="D29" s="169" t="str">
        <f>IF(OR($AW29=0,N($BA29)=0),"",IFERROR(1/(1/INDEX(BD!$AL$23:$BF$55,$BA29,MATCH($C$2,BD!$AL$22:$BF$22,0))),""))</f>
        <v/>
      </c>
      <c r="E29" s="170"/>
      <c r="F29" s="171" t="str">
        <f>IF(OR($AW29=0,F$5=""),"",IF($AY29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29),"&lt;&gt;")=0,"",SUMIFS(INDEX(BD!$A$3:$AI$5001,0,$AX29),BD!$A$3:$A$5001,F$5,BD!$B$3:$B$5001,$C$2))))</f>
        <v/>
      </c>
      <c r="G29" s="172" t="str">
        <f>IF(OR($AW29=0,G$5=""),"",IF($AY29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29),"&lt;&gt;")=0,"",SUMIFS(INDEX(BD!$A$3:$AI$5001,0,$AX29),BD!$A$3:$A$5001,G$5,BD!$B$3:$B$5001,$C$2))))</f>
        <v/>
      </c>
      <c r="H29" s="172" t="str">
        <f>IF(OR($AW29=0,H$5=""),"",IF($AY29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29),"&lt;&gt;")=0,"",SUMIFS(INDEX(BD!$A$3:$AI$5001,0,$AX29),BD!$A$3:$A$5001,H$5,BD!$B$3:$B$5001,$C$2))))</f>
        <v/>
      </c>
      <c r="I29" s="172" t="str">
        <f>IF(OR($AW29=0,I$5=""),"",IF($AY29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29),"&lt;&gt;")=0,"",SUMIFS(INDEX(BD!$A$3:$AI$5001,0,$AX29),BD!$A$3:$A$5001,I$5,BD!$B$3:$B$5001,$C$2))))</f>
        <v/>
      </c>
      <c r="J29" s="172" t="str">
        <f>IF(OR($AW29=0,J$5=""),"",IF($AY29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29),"&lt;&gt;")=0,"",SUMIFS(INDEX(BD!$A$3:$AI$5001,0,$AX29),BD!$A$3:$A$5001,J$5,BD!$B$3:$B$5001,$C$2))))</f>
        <v/>
      </c>
      <c r="K29" s="172" t="str">
        <f>IF(OR($AW29=0,K$5=""),"",IF($AY29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29),"&lt;&gt;")=0,"",SUMIFS(INDEX(BD!$A$3:$AI$5001,0,$AX29),BD!$A$3:$A$5001,K$5,BD!$B$3:$B$5001,$C$2))))</f>
        <v/>
      </c>
      <c r="L29" s="172" t="str">
        <f>IF(OR($AW29=0,L$5=""),"",IF($AY29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29),"&lt;&gt;")=0,"",SUMIFS(INDEX(BD!$A$3:$AI$5001,0,$AX29),BD!$A$3:$A$5001,L$5,BD!$B$3:$B$5001,$C$2))))</f>
        <v/>
      </c>
      <c r="M29" s="172" t="str">
        <f>IF(OR($AW29=0,M$5=""),"",IF($AY29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29),"&lt;&gt;")=0,"",SUMIFS(INDEX(BD!$A$3:$AI$5001,0,$AX29),BD!$A$3:$A$5001,M$5,BD!$B$3:$B$5001,$C$2))))</f>
        <v/>
      </c>
      <c r="N29" s="172" t="str">
        <f>IF(OR($AW29=0,N$5=""),"",IF($AY29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29),"&lt;&gt;")=0,"",SUMIFS(INDEX(BD!$A$3:$AI$5001,0,$AX29),BD!$A$3:$A$5001,N$5,BD!$B$3:$B$5001,$C$2))))</f>
        <v/>
      </c>
      <c r="O29" s="172" t="str">
        <f>IF(OR($AW29=0,O$5=""),"",IF($AY29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29),"&lt;&gt;")=0,"",SUMIFS(INDEX(BD!$A$3:$AI$5001,0,$AX29),BD!$A$3:$A$5001,O$5,BD!$B$3:$B$5001,$C$2))))</f>
        <v/>
      </c>
      <c r="P29" s="172" t="str">
        <f>IF(OR($AW29=0,P$5=""),"",IF($AY29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29),"&lt;&gt;")=0,"",SUMIFS(INDEX(BD!$A$3:$AI$5001,0,$AX29),BD!$A$3:$A$5001,P$5,BD!$B$3:$B$5001,$C$2))))</f>
        <v/>
      </c>
      <c r="Q29" s="172" t="str">
        <f>IF(OR($AW29=0,Q$5=""),"",IF($AY29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29),"&lt;&gt;")=0,"",SUMIFS(INDEX(BD!$A$3:$AI$5001,0,$AX29),BD!$A$3:$A$5001,Q$5,BD!$B$3:$B$5001,$C$2))))</f>
        <v/>
      </c>
      <c r="R29" s="172" t="str">
        <f>IF(OR($AW29=0,R$5=""),"",IF($AY29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29),"&lt;&gt;")=0,"",SUMIFS(INDEX(BD!$A$3:$AI$5001,0,$AX29),BD!$A$3:$A$5001,R$5,BD!$B$3:$B$5001,$C$2))))</f>
        <v/>
      </c>
      <c r="S29" s="172" t="str">
        <f>IF(OR($AW29=0,S$5=""),"",IF($AY29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29),"&lt;&gt;")=0,"",SUMIFS(INDEX(BD!$A$3:$AI$5001,0,$AX29),BD!$A$3:$A$5001,S$5,BD!$B$3:$B$5001,$C$2))))</f>
        <v/>
      </c>
      <c r="T29" s="172" t="str">
        <f>IF(OR($AW29=0,T$5=""),"",IF($AY29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29),"&lt;&gt;")=0,"",SUMIFS(INDEX(BD!$A$3:$AI$5001,0,$AX29),BD!$A$3:$A$5001,T$5,BD!$B$3:$B$5001,$C$2))))</f>
        <v/>
      </c>
      <c r="U29" s="172" t="str">
        <f>IF(OR($AW29=0,U$5=""),"",IF($AY29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29),"&lt;&gt;")=0,"",SUMIFS(INDEX(BD!$A$3:$AI$5001,0,$AX29),BD!$A$3:$A$5001,U$5,BD!$B$3:$B$5001,$C$2))))</f>
        <v/>
      </c>
      <c r="V29" s="172" t="str">
        <f>IF(OR($AW29=0,V$5=""),"",IF($AY29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29),"&lt;&gt;")=0,"",SUMIFS(INDEX(BD!$A$3:$AI$5001,0,$AX29),BD!$A$3:$A$5001,V$5,BD!$B$3:$B$5001,$C$2))))</f>
        <v/>
      </c>
      <c r="W29" s="172" t="str">
        <f>IF(OR($AW29=0,W$5=""),"",IF($AY29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29),"&lt;&gt;")=0,"",SUMIFS(INDEX(BD!$A$3:$AI$5001,0,$AX29),BD!$A$3:$A$5001,W$5,BD!$B$3:$B$5001,$C$2))))</f>
        <v/>
      </c>
      <c r="X29" s="172" t="str">
        <f>IF(OR($AW29=0,X$5=""),"",IF($AY29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29),"&lt;&gt;")=0,"",SUMIFS(INDEX(BD!$A$3:$AI$5001,0,$AX29),BD!$A$3:$A$5001,X$5,BD!$B$3:$B$5001,$C$2))))</f>
        <v/>
      </c>
      <c r="Y29" s="172" t="str">
        <f>IF(OR($AW29=0,Y$5=""),"",IF($AY29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29),"&lt;&gt;")=0,"",SUMIFS(INDEX(BD!$A$3:$AI$5001,0,$AX29),BD!$A$3:$A$5001,Y$5,BD!$B$3:$B$5001,$C$2))))</f>
        <v/>
      </c>
      <c r="Z29" s="172" t="str">
        <f>IF(OR($AW29=0,Z$5=""),"",IF($AY29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29),"&lt;&gt;")=0,"",SUMIFS(INDEX(BD!$A$3:$AI$5001,0,$AX29),BD!$A$3:$A$5001,Z$5,BD!$B$3:$B$5001,$C$2))))</f>
        <v/>
      </c>
      <c r="AA29" s="172" t="str">
        <f>IF(OR($AW29=0,AA$5=""),"",IF($AY29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29),"&lt;&gt;")=0,"",SUMIFS(INDEX(BD!$A$3:$AI$5001,0,$AX29),BD!$A$3:$A$5001,AA$5,BD!$B$3:$B$5001,$C$2))))</f>
        <v/>
      </c>
      <c r="AB29" s="172" t="str">
        <f>IF(OR($AW29=0,AB$5=""),"",IF($AY29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29),"&lt;&gt;")=0,"",SUMIFS(INDEX(BD!$A$3:$AI$5001,0,$AX29),BD!$A$3:$A$5001,AB$5,BD!$B$3:$B$5001,$C$2))))</f>
        <v/>
      </c>
      <c r="AC29" s="172" t="str">
        <f>IF(OR($AW29=0,AC$5=""),"",IF($AY29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29),"&lt;&gt;")=0,"",SUMIFS(INDEX(BD!$A$3:$AI$5001,0,$AX29),BD!$A$3:$A$5001,AC$5,BD!$B$3:$B$5001,$C$2))))</f>
        <v/>
      </c>
      <c r="AD29" s="172" t="str">
        <f>IF(OR($AW29=0,AD$5=""),"",IF($AY29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29),"&lt;&gt;")=0,"",SUMIFS(INDEX(BD!$A$3:$AI$5001,0,$AX29),BD!$A$3:$A$5001,AD$5,BD!$B$3:$B$5001,$C$2))))</f>
        <v/>
      </c>
      <c r="AE29" s="172" t="str">
        <f>IF(OR($AW29=0,AE$5=""),"",IF($AY29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29),"&lt;&gt;")=0,"",SUMIFS(INDEX(BD!$A$3:$AI$5001,0,$AX29),BD!$A$3:$A$5001,AE$5,BD!$B$3:$B$5001,$C$2))))</f>
        <v/>
      </c>
      <c r="AF29" s="172" t="str">
        <f>IF(OR($AW29=0,AF$5=""),"",IF($AY29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29),"&lt;&gt;")=0,"",SUMIFS(INDEX(BD!$A$3:$AI$5001,0,$AX29),BD!$A$3:$A$5001,AF$5,BD!$B$3:$B$5001,$C$2))))</f>
        <v/>
      </c>
      <c r="AG29" s="172" t="str">
        <f>IF(OR($AW29=0,AG$5=""),"",IF($AY29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29),"&lt;&gt;")=0,"",SUMIFS(INDEX(BD!$A$3:$AI$5001,0,$AX29),BD!$A$3:$A$5001,AG$5,BD!$B$3:$B$5001,$C$2))))</f>
        <v/>
      </c>
      <c r="AH29" s="172" t="str">
        <f>IF(OR($AW29=0,AH$5=""),"",IF($AY29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29),"&lt;&gt;")=0,"",SUMIFS(INDEX(BD!$A$3:$AI$5001,0,$AX29),BD!$A$3:$A$5001,AH$5,BD!$B$3:$B$5001,$C$2))))</f>
        <v/>
      </c>
      <c r="AI29" s="172" t="str">
        <f>IF(OR($AW29=0,AI$5=""),"",IF($AY29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29),"&lt;&gt;")=0,"",SUMIFS(INDEX(BD!$A$3:$AI$5001,0,$AX29),BD!$A$3:$A$5001,AI$5,BD!$B$3:$B$5001,$C$2))))</f>
        <v/>
      </c>
      <c r="AJ29" s="173" t="str">
        <f>IF(OR($AW29=0,AJ$5=""),"",IF($AY29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29),"&lt;&gt;")=0,"",SUMIFS(INDEX(BD!$A$3:$AI$5001,0,$AX29),BD!$A$3:$A$5001,AJ$5,BD!$B$3:$B$5001,$C$2))))</f>
        <v/>
      </c>
      <c r="AK29" s="169" t="str">
        <f>IF($AW29=0,"",IF($AY29="fluxo",IF(COUNT(F29:AJ29)=0,"",SUM(F29:AJ29)),IFERROR(LOOKUP(9.99E+307,F29:AJ29),"")))</f>
        <v/>
      </c>
      <c r="AN29" s="159" t="inlineStr">
        <is>
          <t xml:space="preserve">Posições Disponíveis</t>
        </is>
      </c>
      <c r="AO29" s="159" t="inlineStr">
        <is>
          <t xml:space="preserve">OCUPAÇÃO (P.P)</t>
        </is>
      </c>
      <c r="AP29" s="159">
        <v>25</v>
      </c>
      <c r="AQ29" s="159" t="inlineStr">
        <is>
          <t xml:space="preserve">disp</t>
        </is>
      </c>
      <c r="AR29" s="159">
        <v>23</v>
      </c>
      <c r="AS29" s="159" t="inlineStr">
        <is>
          <t xml:space="preserve">int</t>
        </is>
      </c>
      <c r="AT29" s="159">
        <f>IF($C$2="",0,IF(IFERROR(INDEX(Config!$Z$35:$Z$54,MATCH($C$2,Config!$B$35:$B$54,0)),"Sim")="Não",0,1))</f>
        <v>1</v>
      </c>
      <c r="AU29" s="159">
        <f>AU28+AT29</f>
        <v>8</v>
      </c>
      <c r="AW29" s="159">
        <f>IFERROR(MATCH(23,$AU$7:$AU$39,0),0)</f>
        <v>0</v>
      </c>
      <c r="AX29" s="159" t="str">
        <f>IF($AW29=0,"",INDEX($AP$7:$AP$39,$AW29))</f>
        <v/>
      </c>
      <c r="AY29" s="159" t="str">
        <f>IF($AW29=0,"",INDEX($AQ$7:$AQ$39,$AW29))</f>
        <v/>
      </c>
      <c r="AZ29" s="159" t="str">
        <f>IF($AW29=0,"",INDEX($AS$7:$AS$39,$AW29))</f>
        <v/>
      </c>
      <c r="BA29" s="159" t="str">
        <f>IF($AW29=0,"",INDEX($AR$7:$AR$39,$AW29))</f>
        <v/>
      </c>
    </row>
    <row r="30" ht="15.75" customHeight="1">
      <c r="A30" s="181"/>
      <c r="B30" s="167" t="str">
        <f>IF($AW30=0,"",INDEX($AO$7:$AO$39,$AW30))</f>
        <v/>
      </c>
      <c r="C30" s="168" t="str">
        <f>IF($AW30=0,"",INDEX($AN$7:$AN$39,$AW30))</f>
        <v/>
      </c>
      <c r="D30" s="169" t="str">
        <f>IF(OR($AW30=0,N($BA30)=0),"",IFERROR(1/(1/INDEX(BD!$AL$23:$BF$55,$BA30,MATCH($C$2,BD!$AL$22:$BF$22,0))),""))</f>
        <v/>
      </c>
      <c r="E30" s="170"/>
      <c r="F30" s="171" t="str">
        <f>IF(OR($AW30=0,F$5=""),"",IF($AY30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30),"&lt;&gt;")=0,"",SUMIFS(INDEX(BD!$A$3:$AI$5001,0,$AX30),BD!$A$3:$A$5001,F$5,BD!$B$3:$B$5001,$C$2))))</f>
        <v/>
      </c>
      <c r="G30" s="172" t="str">
        <f>IF(OR($AW30=0,G$5=""),"",IF($AY30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30),"&lt;&gt;")=0,"",SUMIFS(INDEX(BD!$A$3:$AI$5001,0,$AX30),BD!$A$3:$A$5001,G$5,BD!$B$3:$B$5001,$C$2))))</f>
        <v/>
      </c>
      <c r="H30" s="172" t="str">
        <f>IF(OR($AW30=0,H$5=""),"",IF($AY30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30),"&lt;&gt;")=0,"",SUMIFS(INDEX(BD!$A$3:$AI$5001,0,$AX30),BD!$A$3:$A$5001,H$5,BD!$B$3:$B$5001,$C$2))))</f>
        <v/>
      </c>
      <c r="I30" s="172" t="str">
        <f>IF(OR($AW30=0,I$5=""),"",IF($AY30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30),"&lt;&gt;")=0,"",SUMIFS(INDEX(BD!$A$3:$AI$5001,0,$AX30),BD!$A$3:$A$5001,I$5,BD!$B$3:$B$5001,$C$2))))</f>
        <v/>
      </c>
      <c r="J30" s="172" t="str">
        <f>IF(OR($AW30=0,J$5=""),"",IF($AY30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30),"&lt;&gt;")=0,"",SUMIFS(INDEX(BD!$A$3:$AI$5001,0,$AX30),BD!$A$3:$A$5001,J$5,BD!$B$3:$B$5001,$C$2))))</f>
        <v/>
      </c>
      <c r="K30" s="172" t="str">
        <f>IF(OR($AW30=0,K$5=""),"",IF($AY30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30),"&lt;&gt;")=0,"",SUMIFS(INDEX(BD!$A$3:$AI$5001,0,$AX30),BD!$A$3:$A$5001,K$5,BD!$B$3:$B$5001,$C$2))))</f>
        <v/>
      </c>
      <c r="L30" s="172" t="str">
        <f>IF(OR($AW30=0,L$5=""),"",IF($AY30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30),"&lt;&gt;")=0,"",SUMIFS(INDEX(BD!$A$3:$AI$5001,0,$AX30),BD!$A$3:$A$5001,L$5,BD!$B$3:$B$5001,$C$2))))</f>
        <v/>
      </c>
      <c r="M30" s="172" t="str">
        <f>IF(OR($AW30=0,M$5=""),"",IF($AY30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30),"&lt;&gt;")=0,"",SUMIFS(INDEX(BD!$A$3:$AI$5001,0,$AX30),BD!$A$3:$A$5001,M$5,BD!$B$3:$B$5001,$C$2))))</f>
        <v/>
      </c>
      <c r="N30" s="172" t="str">
        <f>IF(OR($AW30=0,N$5=""),"",IF($AY30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30),"&lt;&gt;")=0,"",SUMIFS(INDEX(BD!$A$3:$AI$5001,0,$AX30),BD!$A$3:$A$5001,N$5,BD!$B$3:$B$5001,$C$2))))</f>
        <v/>
      </c>
      <c r="O30" s="172" t="str">
        <f>IF(OR($AW30=0,O$5=""),"",IF($AY30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30),"&lt;&gt;")=0,"",SUMIFS(INDEX(BD!$A$3:$AI$5001,0,$AX30),BD!$A$3:$A$5001,O$5,BD!$B$3:$B$5001,$C$2))))</f>
        <v/>
      </c>
      <c r="P30" s="172" t="str">
        <f>IF(OR($AW30=0,P$5=""),"",IF($AY30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30),"&lt;&gt;")=0,"",SUMIFS(INDEX(BD!$A$3:$AI$5001,0,$AX30),BD!$A$3:$A$5001,P$5,BD!$B$3:$B$5001,$C$2))))</f>
        <v/>
      </c>
      <c r="Q30" s="172" t="str">
        <f>IF(OR($AW30=0,Q$5=""),"",IF($AY30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30),"&lt;&gt;")=0,"",SUMIFS(INDEX(BD!$A$3:$AI$5001,0,$AX30),BD!$A$3:$A$5001,Q$5,BD!$B$3:$B$5001,$C$2))))</f>
        <v/>
      </c>
      <c r="R30" s="172" t="str">
        <f>IF(OR($AW30=0,R$5=""),"",IF($AY30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30),"&lt;&gt;")=0,"",SUMIFS(INDEX(BD!$A$3:$AI$5001,0,$AX30),BD!$A$3:$A$5001,R$5,BD!$B$3:$B$5001,$C$2))))</f>
        <v/>
      </c>
      <c r="S30" s="172" t="str">
        <f>IF(OR($AW30=0,S$5=""),"",IF($AY30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30),"&lt;&gt;")=0,"",SUMIFS(INDEX(BD!$A$3:$AI$5001,0,$AX30),BD!$A$3:$A$5001,S$5,BD!$B$3:$B$5001,$C$2))))</f>
        <v/>
      </c>
      <c r="T30" s="172" t="str">
        <f>IF(OR($AW30=0,T$5=""),"",IF($AY30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30),"&lt;&gt;")=0,"",SUMIFS(INDEX(BD!$A$3:$AI$5001,0,$AX30),BD!$A$3:$A$5001,T$5,BD!$B$3:$B$5001,$C$2))))</f>
        <v/>
      </c>
      <c r="U30" s="172" t="str">
        <f>IF(OR($AW30=0,U$5=""),"",IF($AY30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30),"&lt;&gt;")=0,"",SUMIFS(INDEX(BD!$A$3:$AI$5001,0,$AX30),BD!$A$3:$A$5001,U$5,BD!$B$3:$B$5001,$C$2))))</f>
        <v/>
      </c>
      <c r="V30" s="172" t="str">
        <f>IF(OR($AW30=0,V$5=""),"",IF($AY30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30),"&lt;&gt;")=0,"",SUMIFS(INDEX(BD!$A$3:$AI$5001,0,$AX30),BD!$A$3:$A$5001,V$5,BD!$B$3:$B$5001,$C$2))))</f>
        <v/>
      </c>
      <c r="W30" s="172" t="str">
        <f>IF(OR($AW30=0,W$5=""),"",IF($AY30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30),"&lt;&gt;")=0,"",SUMIFS(INDEX(BD!$A$3:$AI$5001,0,$AX30),BD!$A$3:$A$5001,W$5,BD!$B$3:$B$5001,$C$2))))</f>
        <v/>
      </c>
      <c r="X30" s="172" t="str">
        <f>IF(OR($AW30=0,X$5=""),"",IF($AY30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30),"&lt;&gt;")=0,"",SUMIFS(INDEX(BD!$A$3:$AI$5001,0,$AX30),BD!$A$3:$A$5001,X$5,BD!$B$3:$B$5001,$C$2))))</f>
        <v/>
      </c>
      <c r="Y30" s="172" t="str">
        <f>IF(OR($AW30=0,Y$5=""),"",IF($AY30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30),"&lt;&gt;")=0,"",SUMIFS(INDEX(BD!$A$3:$AI$5001,0,$AX30),BD!$A$3:$A$5001,Y$5,BD!$B$3:$B$5001,$C$2))))</f>
        <v/>
      </c>
      <c r="Z30" s="172" t="str">
        <f>IF(OR($AW30=0,Z$5=""),"",IF($AY30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30),"&lt;&gt;")=0,"",SUMIFS(INDEX(BD!$A$3:$AI$5001,0,$AX30),BD!$A$3:$A$5001,Z$5,BD!$B$3:$B$5001,$C$2))))</f>
        <v/>
      </c>
      <c r="AA30" s="172" t="str">
        <f>IF(OR($AW30=0,AA$5=""),"",IF($AY30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30),"&lt;&gt;")=0,"",SUMIFS(INDEX(BD!$A$3:$AI$5001,0,$AX30),BD!$A$3:$A$5001,AA$5,BD!$B$3:$B$5001,$C$2))))</f>
        <v/>
      </c>
      <c r="AB30" s="172" t="str">
        <f>IF(OR($AW30=0,AB$5=""),"",IF($AY30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30),"&lt;&gt;")=0,"",SUMIFS(INDEX(BD!$A$3:$AI$5001,0,$AX30),BD!$A$3:$A$5001,AB$5,BD!$B$3:$B$5001,$C$2))))</f>
        <v/>
      </c>
      <c r="AC30" s="172" t="str">
        <f>IF(OR($AW30=0,AC$5=""),"",IF($AY30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30),"&lt;&gt;")=0,"",SUMIFS(INDEX(BD!$A$3:$AI$5001,0,$AX30),BD!$A$3:$A$5001,AC$5,BD!$B$3:$B$5001,$C$2))))</f>
        <v/>
      </c>
      <c r="AD30" s="172" t="str">
        <f>IF(OR($AW30=0,AD$5=""),"",IF($AY30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30),"&lt;&gt;")=0,"",SUMIFS(INDEX(BD!$A$3:$AI$5001,0,$AX30),BD!$A$3:$A$5001,AD$5,BD!$B$3:$B$5001,$C$2))))</f>
        <v/>
      </c>
      <c r="AE30" s="172" t="str">
        <f>IF(OR($AW30=0,AE$5=""),"",IF($AY30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30),"&lt;&gt;")=0,"",SUMIFS(INDEX(BD!$A$3:$AI$5001,0,$AX30),BD!$A$3:$A$5001,AE$5,BD!$B$3:$B$5001,$C$2))))</f>
        <v/>
      </c>
      <c r="AF30" s="172" t="str">
        <f>IF(OR($AW30=0,AF$5=""),"",IF($AY30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30),"&lt;&gt;")=0,"",SUMIFS(INDEX(BD!$A$3:$AI$5001,0,$AX30),BD!$A$3:$A$5001,AF$5,BD!$B$3:$B$5001,$C$2))))</f>
        <v/>
      </c>
      <c r="AG30" s="172" t="str">
        <f>IF(OR($AW30=0,AG$5=""),"",IF($AY30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30),"&lt;&gt;")=0,"",SUMIFS(INDEX(BD!$A$3:$AI$5001,0,$AX30),BD!$A$3:$A$5001,AG$5,BD!$B$3:$B$5001,$C$2))))</f>
        <v/>
      </c>
      <c r="AH30" s="172" t="str">
        <f>IF(OR($AW30=0,AH$5=""),"",IF($AY30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30),"&lt;&gt;")=0,"",SUMIFS(INDEX(BD!$A$3:$AI$5001,0,$AX30),BD!$A$3:$A$5001,AH$5,BD!$B$3:$B$5001,$C$2))))</f>
        <v/>
      </c>
      <c r="AI30" s="172" t="str">
        <f>IF(OR($AW30=0,AI$5=""),"",IF($AY30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30),"&lt;&gt;")=0,"",SUMIFS(INDEX(BD!$A$3:$AI$5001,0,$AX30),BD!$A$3:$A$5001,AI$5,BD!$B$3:$B$5001,$C$2))))</f>
        <v/>
      </c>
      <c r="AJ30" s="173" t="str">
        <f>IF(OR($AW30=0,AJ$5=""),"",IF($AY30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30),"&lt;&gt;")=0,"",SUMIFS(INDEX(BD!$A$3:$AI$5001,0,$AX30),BD!$A$3:$A$5001,AJ$5,BD!$B$3:$B$5001,$C$2))))</f>
        <v/>
      </c>
      <c r="AK30" s="169" t="str">
        <f>IF($AW30=0,"",IF($AY30="fluxo",IF(COUNT(F30:AJ30)=0,"",SUM(F30:AJ30)),IFERROR(LOOKUP(9.99E+307,F30:AJ30),"")))</f>
        <v/>
      </c>
      <c r="AN30" s="159" t="inlineStr">
        <is>
          <t xml:space="preserve">Posições Ocupadas</t>
        </is>
      </c>
      <c r="AO30" s="159" t="inlineStr">
        <is>
          <t xml:space="preserve">OCUPAÇÃO (P.P)</t>
        </is>
      </c>
      <c r="AP30" s="159">
        <v>26</v>
      </c>
      <c r="AQ30" s="159" t="inlineStr">
        <is>
          <t xml:space="preserve">estoque</t>
        </is>
      </c>
      <c r="AR30" s="159">
        <v>24</v>
      </c>
      <c r="AS30" s="159" t="inlineStr">
        <is>
          <t xml:space="preserve">int</t>
        </is>
      </c>
      <c r="AT30" s="159">
        <f>IF($C$2="",0,IF(IFERROR(INDEX(Config!$AA$35:$AA$54,MATCH($C$2,Config!$B$35:$B$54,0)),"Sim")="Não",0,1))</f>
        <v>1</v>
      </c>
      <c r="AU30" s="159">
        <f>AU29+AT30</f>
        <v>9</v>
      </c>
      <c r="AW30" s="159">
        <f>IFERROR(MATCH(24,$AU$7:$AU$39,0),0)</f>
        <v>0</v>
      </c>
      <c r="AX30" s="159" t="str">
        <f>IF($AW30=0,"",INDEX($AP$7:$AP$39,$AW30))</f>
        <v/>
      </c>
      <c r="AY30" s="159" t="str">
        <f>IF($AW30=0,"",INDEX($AQ$7:$AQ$39,$AW30))</f>
        <v/>
      </c>
      <c r="AZ30" s="159" t="str">
        <f>IF($AW30=0,"",INDEX($AS$7:$AS$39,$AW30))</f>
        <v/>
      </c>
      <c r="BA30" s="159" t="str">
        <f>IF($AW30=0,"",INDEX($AR$7:$AR$39,$AW30))</f>
        <v/>
      </c>
    </row>
    <row r="31" ht="15.75" customHeight="1">
      <c r="A31" s="181"/>
      <c r="B31" s="167" t="str">
        <f>IF($AW31=0,"",INDEX($AO$7:$AO$39,$AW31))</f>
        <v/>
      </c>
      <c r="C31" s="168" t="str">
        <f>IF($AW31=0,"",INDEX($AN$7:$AN$39,$AW31))</f>
        <v/>
      </c>
      <c r="D31" s="169" t="str">
        <f>IF(OR($AW31=0,N($BA31)=0),"",IFERROR(1/(1/INDEX(BD!$AL$23:$BF$55,$BA31,MATCH($C$2,BD!$AL$22:$BF$22,0))),""))</f>
        <v/>
      </c>
      <c r="E31" s="170"/>
      <c r="F31" s="171" t="str">
        <f>IF(OR($AW31=0,F$5=""),"",IF($AY31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31),"&lt;&gt;")=0,"",SUMIFS(INDEX(BD!$A$3:$AI$5001,0,$AX31),BD!$A$3:$A$5001,F$5,BD!$B$3:$B$5001,$C$2))))</f>
        <v/>
      </c>
      <c r="G31" s="172" t="str">
        <f>IF(OR($AW31=0,G$5=""),"",IF($AY31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31),"&lt;&gt;")=0,"",SUMIFS(INDEX(BD!$A$3:$AI$5001,0,$AX31),BD!$A$3:$A$5001,G$5,BD!$B$3:$B$5001,$C$2))))</f>
        <v/>
      </c>
      <c r="H31" s="172" t="str">
        <f>IF(OR($AW31=0,H$5=""),"",IF($AY31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31),"&lt;&gt;")=0,"",SUMIFS(INDEX(BD!$A$3:$AI$5001,0,$AX31),BD!$A$3:$A$5001,H$5,BD!$B$3:$B$5001,$C$2))))</f>
        <v/>
      </c>
      <c r="I31" s="172" t="str">
        <f>IF(OR($AW31=0,I$5=""),"",IF($AY31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31),"&lt;&gt;")=0,"",SUMIFS(INDEX(BD!$A$3:$AI$5001,0,$AX31),BD!$A$3:$A$5001,I$5,BD!$B$3:$B$5001,$C$2))))</f>
        <v/>
      </c>
      <c r="J31" s="172" t="str">
        <f>IF(OR($AW31=0,J$5=""),"",IF($AY31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31),"&lt;&gt;")=0,"",SUMIFS(INDEX(BD!$A$3:$AI$5001,0,$AX31),BD!$A$3:$A$5001,J$5,BD!$B$3:$B$5001,$C$2))))</f>
        <v/>
      </c>
      <c r="K31" s="172" t="str">
        <f>IF(OR($AW31=0,K$5=""),"",IF($AY31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31),"&lt;&gt;")=0,"",SUMIFS(INDEX(BD!$A$3:$AI$5001,0,$AX31),BD!$A$3:$A$5001,K$5,BD!$B$3:$B$5001,$C$2))))</f>
        <v/>
      </c>
      <c r="L31" s="172" t="str">
        <f>IF(OR($AW31=0,L$5=""),"",IF($AY31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31),"&lt;&gt;")=0,"",SUMIFS(INDEX(BD!$A$3:$AI$5001,0,$AX31),BD!$A$3:$A$5001,L$5,BD!$B$3:$B$5001,$C$2))))</f>
        <v/>
      </c>
      <c r="M31" s="172" t="str">
        <f>IF(OR($AW31=0,M$5=""),"",IF($AY31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31),"&lt;&gt;")=0,"",SUMIFS(INDEX(BD!$A$3:$AI$5001,0,$AX31),BD!$A$3:$A$5001,M$5,BD!$B$3:$B$5001,$C$2))))</f>
        <v/>
      </c>
      <c r="N31" s="172" t="str">
        <f>IF(OR($AW31=0,N$5=""),"",IF($AY31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31),"&lt;&gt;")=0,"",SUMIFS(INDEX(BD!$A$3:$AI$5001,0,$AX31),BD!$A$3:$A$5001,N$5,BD!$B$3:$B$5001,$C$2))))</f>
        <v/>
      </c>
      <c r="O31" s="172" t="str">
        <f>IF(OR($AW31=0,O$5=""),"",IF($AY31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31),"&lt;&gt;")=0,"",SUMIFS(INDEX(BD!$A$3:$AI$5001,0,$AX31),BD!$A$3:$A$5001,O$5,BD!$B$3:$B$5001,$C$2))))</f>
        <v/>
      </c>
      <c r="P31" s="172" t="str">
        <f>IF(OR($AW31=0,P$5=""),"",IF($AY31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31),"&lt;&gt;")=0,"",SUMIFS(INDEX(BD!$A$3:$AI$5001,0,$AX31),BD!$A$3:$A$5001,P$5,BD!$B$3:$B$5001,$C$2))))</f>
        <v/>
      </c>
      <c r="Q31" s="172" t="str">
        <f>IF(OR($AW31=0,Q$5=""),"",IF($AY31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31),"&lt;&gt;")=0,"",SUMIFS(INDEX(BD!$A$3:$AI$5001,0,$AX31),BD!$A$3:$A$5001,Q$5,BD!$B$3:$B$5001,$C$2))))</f>
        <v/>
      </c>
      <c r="R31" s="172" t="str">
        <f>IF(OR($AW31=0,R$5=""),"",IF($AY31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31),"&lt;&gt;")=0,"",SUMIFS(INDEX(BD!$A$3:$AI$5001,0,$AX31),BD!$A$3:$A$5001,R$5,BD!$B$3:$B$5001,$C$2))))</f>
        <v/>
      </c>
      <c r="S31" s="172" t="str">
        <f>IF(OR($AW31=0,S$5=""),"",IF($AY31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31),"&lt;&gt;")=0,"",SUMIFS(INDEX(BD!$A$3:$AI$5001,0,$AX31),BD!$A$3:$A$5001,S$5,BD!$B$3:$B$5001,$C$2))))</f>
        <v/>
      </c>
      <c r="T31" s="172" t="str">
        <f>IF(OR($AW31=0,T$5=""),"",IF($AY31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31),"&lt;&gt;")=0,"",SUMIFS(INDEX(BD!$A$3:$AI$5001,0,$AX31),BD!$A$3:$A$5001,T$5,BD!$B$3:$B$5001,$C$2))))</f>
        <v/>
      </c>
      <c r="U31" s="172" t="str">
        <f>IF(OR($AW31=0,U$5=""),"",IF($AY31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31),"&lt;&gt;")=0,"",SUMIFS(INDEX(BD!$A$3:$AI$5001,0,$AX31),BD!$A$3:$A$5001,U$5,BD!$B$3:$B$5001,$C$2))))</f>
        <v/>
      </c>
      <c r="V31" s="172" t="str">
        <f>IF(OR($AW31=0,V$5=""),"",IF($AY31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31),"&lt;&gt;")=0,"",SUMIFS(INDEX(BD!$A$3:$AI$5001,0,$AX31),BD!$A$3:$A$5001,V$5,BD!$B$3:$B$5001,$C$2))))</f>
        <v/>
      </c>
      <c r="W31" s="172" t="str">
        <f>IF(OR($AW31=0,W$5=""),"",IF($AY31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31),"&lt;&gt;")=0,"",SUMIFS(INDEX(BD!$A$3:$AI$5001,0,$AX31),BD!$A$3:$A$5001,W$5,BD!$B$3:$B$5001,$C$2))))</f>
        <v/>
      </c>
      <c r="X31" s="172" t="str">
        <f>IF(OR($AW31=0,X$5=""),"",IF($AY31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31),"&lt;&gt;")=0,"",SUMIFS(INDEX(BD!$A$3:$AI$5001,0,$AX31),BD!$A$3:$A$5001,X$5,BD!$B$3:$B$5001,$C$2))))</f>
        <v/>
      </c>
      <c r="Y31" s="172" t="str">
        <f>IF(OR($AW31=0,Y$5=""),"",IF($AY31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31),"&lt;&gt;")=0,"",SUMIFS(INDEX(BD!$A$3:$AI$5001,0,$AX31),BD!$A$3:$A$5001,Y$5,BD!$B$3:$B$5001,$C$2))))</f>
        <v/>
      </c>
      <c r="Z31" s="172" t="str">
        <f>IF(OR($AW31=0,Z$5=""),"",IF($AY31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31),"&lt;&gt;")=0,"",SUMIFS(INDEX(BD!$A$3:$AI$5001,0,$AX31),BD!$A$3:$A$5001,Z$5,BD!$B$3:$B$5001,$C$2))))</f>
        <v/>
      </c>
      <c r="AA31" s="172" t="str">
        <f>IF(OR($AW31=0,AA$5=""),"",IF($AY31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31),"&lt;&gt;")=0,"",SUMIFS(INDEX(BD!$A$3:$AI$5001,0,$AX31),BD!$A$3:$A$5001,AA$5,BD!$B$3:$B$5001,$C$2))))</f>
        <v/>
      </c>
      <c r="AB31" s="172" t="str">
        <f>IF(OR($AW31=0,AB$5=""),"",IF($AY31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31),"&lt;&gt;")=0,"",SUMIFS(INDEX(BD!$A$3:$AI$5001,0,$AX31),BD!$A$3:$A$5001,AB$5,BD!$B$3:$B$5001,$C$2))))</f>
        <v/>
      </c>
      <c r="AC31" s="172" t="str">
        <f>IF(OR($AW31=0,AC$5=""),"",IF($AY31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31),"&lt;&gt;")=0,"",SUMIFS(INDEX(BD!$A$3:$AI$5001,0,$AX31),BD!$A$3:$A$5001,AC$5,BD!$B$3:$B$5001,$C$2))))</f>
        <v/>
      </c>
      <c r="AD31" s="172" t="str">
        <f>IF(OR($AW31=0,AD$5=""),"",IF($AY31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31),"&lt;&gt;")=0,"",SUMIFS(INDEX(BD!$A$3:$AI$5001,0,$AX31),BD!$A$3:$A$5001,AD$5,BD!$B$3:$B$5001,$C$2))))</f>
        <v/>
      </c>
      <c r="AE31" s="172" t="str">
        <f>IF(OR($AW31=0,AE$5=""),"",IF($AY31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31),"&lt;&gt;")=0,"",SUMIFS(INDEX(BD!$A$3:$AI$5001,0,$AX31),BD!$A$3:$A$5001,AE$5,BD!$B$3:$B$5001,$C$2))))</f>
        <v/>
      </c>
      <c r="AF31" s="172" t="str">
        <f>IF(OR($AW31=0,AF$5=""),"",IF($AY31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31),"&lt;&gt;")=0,"",SUMIFS(INDEX(BD!$A$3:$AI$5001,0,$AX31),BD!$A$3:$A$5001,AF$5,BD!$B$3:$B$5001,$C$2))))</f>
        <v/>
      </c>
      <c r="AG31" s="172" t="str">
        <f>IF(OR($AW31=0,AG$5=""),"",IF($AY31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31),"&lt;&gt;")=0,"",SUMIFS(INDEX(BD!$A$3:$AI$5001,0,$AX31),BD!$A$3:$A$5001,AG$5,BD!$B$3:$B$5001,$C$2))))</f>
        <v/>
      </c>
      <c r="AH31" s="172" t="str">
        <f>IF(OR($AW31=0,AH$5=""),"",IF($AY31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31),"&lt;&gt;")=0,"",SUMIFS(INDEX(BD!$A$3:$AI$5001,0,$AX31),BD!$A$3:$A$5001,AH$5,BD!$B$3:$B$5001,$C$2))))</f>
        <v/>
      </c>
      <c r="AI31" s="172" t="str">
        <f>IF(OR($AW31=0,AI$5=""),"",IF($AY31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31),"&lt;&gt;")=0,"",SUMIFS(INDEX(BD!$A$3:$AI$5001,0,$AX31),BD!$A$3:$A$5001,AI$5,BD!$B$3:$B$5001,$C$2))))</f>
        <v/>
      </c>
      <c r="AJ31" s="173" t="str">
        <f>IF(OR($AW31=0,AJ$5=""),"",IF($AY31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31),"&lt;&gt;")=0,"",SUMIFS(INDEX(BD!$A$3:$AI$5001,0,$AX31),BD!$A$3:$A$5001,AJ$5,BD!$B$3:$B$5001,$C$2))))</f>
        <v/>
      </c>
      <c r="AK31" s="169" t="str">
        <f>IF($AW31=0,"",IF($AY31="fluxo",IF(COUNT(F31:AJ31)=0,"",SUM(F31:AJ31)),IFERROR(LOOKUP(9.99E+307,F31:AJ31),"")))</f>
        <v/>
      </c>
      <c r="AN31" s="159" t="inlineStr">
        <is>
          <t xml:space="preserve">Taxa de Ocupação</t>
        </is>
      </c>
      <c r="AO31" s="159" t="inlineStr">
        <is>
          <t xml:space="preserve">OCUPAÇÃO (P.P)</t>
        </is>
      </c>
      <c r="AP31" s="159">
        <v>0</v>
      </c>
      <c r="AQ31" s="159" t="inlineStr">
        <is>
          <t xml:space="preserve">taxa</t>
        </is>
      </c>
      <c r="AR31" s="159">
        <v>25</v>
      </c>
      <c r="AS31" s="159" t="inlineStr">
        <is>
          <t xml:space="preserve">pct</t>
        </is>
      </c>
      <c r="AT31" s="159">
        <f>MIN(AT29,AT30)</f>
        <v>1</v>
      </c>
      <c r="AU31" s="159">
        <f>AU30+AT31</f>
        <v>10</v>
      </c>
      <c r="AW31" s="159">
        <f>IFERROR(MATCH(25,$AU$7:$AU$39,0),0)</f>
        <v>0</v>
      </c>
      <c r="AX31" s="159" t="str">
        <f>IF($AW31=0,"",INDEX($AP$7:$AP$39,$AW31))</f>
        <v/>
      </c>
      <c r="AY31" s="159" t="str">
        <f>IF($AW31=0,"",INDEX($AQ$7:$AQ$39,$AW31))</f>
        <v/>
      </c>
      <c r="AZ31" s="159" t="str">
        <f>IF($AW31=0,"",INDEX($AS$7:$AS$39,$AW31))</f>
        <v/>
      </c>
      <c r="BA31" s="159" t="str">
        <f>IF($AW31=0,"",INDEX($AR$7:$AR$39,$AW31))</f>
        <v/>
      </c>
    </row>
    <row r="32" ht="15.75" customHeight="1">
      <c r="A32" s="181"/>
      <c r="B32" s="167" t="str">
        <f>IF($AW32=0,"",INDEX($AO$7:$AO$39,$AW32))</f>
        <v/>
      </c>
      <c r="C32" s="168" t="str">
        <f>IF($AW32=0,"",INDEX($AN$7:$AN$39,$AW32))</f>
        <v/>
      </c>
      <c r="D32" s="169" t="str">
        <f>IF(OR($AW32=0,N($BA32)=0),"",IFERROR(1/(1/INDEX(BD!$AL$23:$BF$55,$BA32,MATCH($C$2,BD!$AL$22:$BF$22,0))),""))</f>
        <v/>
      </c>
      <c r="E32" s="170"/>
      <c r="F32" s="171" t="str">
        <f>IF(OR($AW32=0,F$5=""),"",IF($AY32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32),"&lt;&gt;")=0,"",SUMIFS(INDEX(BD!$A$3:$AI$5001,0,$AX32),BD!$A$3:$A$5001,F$5,BD!$B$3:$B$5001,$C$2))))</f>
        <v/>
      </c>
      <c r="G32" s="172" t="str">
        <f>IF(OR($AW32=0,G$5=""),"",IF($AY32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32),"&lt;&gt;")=0,"",SUMIFS(INDEX(BD!$A$3:$AI$5001,0,$AX32),BD!$A$3:$A$5001,G$5,BD!$B$3:$B$5001,$C$2))))</f>
        <v/>
      </c>
      <c r="H32" s="172" t="str">
        <f>IF(OR($AW32=0,H$5=""),"",IF($AY32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32),"&lt;&gt;")=0,"",SUMIFS(INDEX(BD!$A$3:$AI$5001,0,$AX32),BD!$A$3:$A$5001,H$5,BD!$B$3:$B$5001,$C$2))))</f>
        <v/>
      </c>
      <c r="I32" s="172" t="str">
        <f>IF(OR($AW32=0,I$5=""),"",IF($AY32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32),"&lt;&gt;")=0,"",SUMIFS(INDEX(BD!$A$3:$AI$5001,0,$AX32),BD!$A$3:$A$5001,I$5,BD!$B$3:$B$5001,$C$2))))</f>
        <v/>
      </c>
      <c r="J32" s="172" t="str">
        <f>IF(OR($AW32=0,J$5=""),"",IF($AY32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32),"&lt;&gt;")=0,"",SUMIFS(INDEX(BD!$A$3:$AI$5001,0,$AX32),BD!$A$3:$A$5001,J$5,BD!$B$3:$B$5001,$C$2))))</f>
        <v/>
      </c>
      <c r="K32" s="172" t="str">
        <f>IF(OR($AW32=0,K$5=""),"",IF($AY32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32),"&lt;&gt;")=0,"",SUMIFS(INDEX(BD!$A$3:$AI$5001,0,$AX32),BD!$A$3:$A$5001,K$5,BD!$B$3:$B$5001,$C$2))))</f>
        <v/>
      </c>
      <c r="L32" s="172" t="str">
        <f>IF(OR($AW32=0,L$5=""),"",IF($AY32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32),"&lt;&gt;")=0,"",SUMIFS(INDEX(BD!$A$3:$AI$5001,0,$AX32),BD!$A$3:$A$5001,L$5,BD!$B$3:$B$5001,$C$2))))</f>
        <v/>
      </c>
      <c r="M32" s="172" t="str">
        <f>IF(OR($AW32=0,M$5=""),"",IF($AY32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32),"&lt;&gt;")=0,"",SUMIFS(INDEX(BD!$A$3:$AI$5001,0,$AX32),BD!$A$3:$A$5001,M$5,BD!$B$3:$B$5001,$C$2))))</f>
        <v/>
      </c>
      <c r="N32" s="172" t="str">
        <f>IF(OR($AW32=0,N$5=""),"",IF($AY32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32),"&lt;&gt;")=0,"",SUMIFS(INDEX(BD!$A$3:$AI$5001,0,$AX32),BD!$A$3:$A$5001,N$5,BD!$B$3:$B$5001,$C$2))))</f>
        <v/>
      </c>
      <c r="O32" s="172" t="str">
        <f>IF(OR($AW32=0,O$5=""),"",IF($AY32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32),"&lt;&gt;")=0,"",SUMIFS(INDEX(BD!$A$3:$AI$5001,0,$AX32),BD!$A$3:$A$5001,O$5,BD!$B$3:$B$5001,$C$2))))</f>
        <v/>
      </c>
      <c r="P32" s="172" t="str">
        <f>IF(OR($AW32=0,P$5=""),"",IF($AY32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32),"&lt;&gt;")=0,"",SUMIFS(INDEX(BD!$A$3:$AI$5001,0,$AX32),BD!$A$3:$A$5001,P$5,BD!$B$3:$B$5001,$C$2))))</f>
        <v/>
      </c>
      <c r="Q32" s="172" t="str">
        <f>IF(OR($AW32=0,Q$5=""),"",IF($AY32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32),"&lt;&gt;")=0,"",SUMIFS(INDEX(BD!$A$3:$AI$5001,0,$AX32),BD!$A$3:$A$5001,Q$5,BD!$B$3:$B$5001,$C$2))))</f>
        <v/>
      </c>
      <c r="R32" s="172" t="str">
        <f>IF(OR($AW32=0,R$5=""),"",IF($AY32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32),"&lt;&gt;")=0,"",SUMIFS(INDEX(BD!$A$3:$AI$5001,0,$AX32),BD!$A$3:$A$5001,R$5,BD!$B$3:$B$5001,$C$2))))</f>
        <v/>
      </c>
      <c r="S32" s="172" t="str">
        <f>IF(OR($AW32=0,S$5=""),"",IF($AY32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32),"&lt;&gt;")=0,"",SUMIFS(INDEX(BD!$A$3:$AI$5001,0,$AX32),BD!$A$3:$A$5001,S$5,BD!$B$3:$B$5001,$C$2))))</f>
        <v/>
      </c>
      <c r="T32" s="172" t="str">
        <f>IF(OR($AW32=0,T$5=""),"",IF($AY32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32),"&lt;&gt;")=0,"",SUMIFS(INDEX(BD!$A$3:$AI$5001,0,$AX32),BD!$A$3:$A$5001,T$5,BD!$B$3:$B$5001,$C$2))))</f>
        <v/>
      </c>
      <c r="U32" s="172" t="str">
        <f>IF(OR($AW32=0,U$5=""),"",IF($AY32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32),"&lt;&gt;")=0,"",SUMIFS(INDEX(BD!$A$3:$AI$5001,0,$AX32),BD!$A$3:$A$5001,U$5,BD!$B$3:$B$5001,$C$2))))</f>
        <v/>
      </c>
      <c r="V32" s="172" t="str">
        <f>IF(OR($AW32=0,V$5=""),"",IF($AY32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32),"&lt;&gt;")=0,"",SUMIFS(INDEX(BD!$A$3:$AI$5001,0,$AX32),BD!$A$3:$A$5001,V$5,BD!$B$3:$B$5001,$C$2))))</f>
        <v/>
      </c>
      <c r="W32" s="172" t="str">
        <f>IF(OR($AW32=0,W$5=""),"",IF($AY32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32),"&lt;&gt;")=0,"",SUMIFS(INDEX(BD!$A$3:$AI$5001,0,$AX32),BD!$A$3:$A$5001,W$5,BD!$B$3:$B$5001,$C$2))))</f>
        <v/>
      </c>
      <c r="X32" s="172" t="str">
        <f>IF(OR($AW32=0,X$5=""),"",IF($AY32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32),"&lt;&gt;")=0,"",SUMIFS(INDEX(BD!$A$3:$AI$5001,0,$AX32),BD!$A$3:$A$5001,X$5,BD!$B$3:$B$5001,$C$2))))</f>
        <v/>
      </c>
      <c r="Y32" s="172" t="str">
        <f>IF(OR($AW32=0,Y$5=""),"",IF($AY32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32),"&lt;&gt;")=0,"",SUMIFS(INDEX(BD!$A$3:$AI$5001,0,$AX32),BD!$A$3:$A$5001,Y$5,BD!$B$3:$B$5001,$C$2))))</f>
        <v/>
      </c>
      <c r="Z32" s="172" t="str">
        <f>IF(OR($AW32=0,Z$5=""),"",IF($AY32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32),"&lt;&gt;")=0,"",SUMIFS(INDEX(BD!$A$3:$AI$5001,0,$AX32),BD!$A$3:$A$5001,Z$5,BD!$B$3:$B$5001,$C$2))))</f>
        <v/>
      </c>
      <c r="AA32" s="172" t="str">
        <f>IF(OR($AW32=0,AA$5=""),"",IF($AY32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32),"&lt;&gt;")=0,"",SUMIFS(INDEX(BD!$A$3:$AI$5001,0,$AX32),BD!$A$3:$A$5001,AA$5,BD!$B$3:$B$5001,$C$2))))</f>
        <v/>
      </c>
      <c r="AB32" s="172" t="str">
        <f>IF(OR($AW32=0,AB$5=""),"",IF($AY32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32),"&lt;&gt;")=0,"",SUMIFS(INDEX(BD!$A$3:$AI$5001,0,$AX32),BD!$A$3:$A$5001,AB$5,BD!$B$3:$B$5001,$C$2))))</f>
        <v/>
      </c>
      <c r="AC32" s="172" t="str">
        <f>IF(OR($AW32=0,AC$5=""),"",IF($AY32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32),"&lt;&gt;")=0,"",SUMIFS(INDEX(BD!$A$3:$AI$5001,0,$AX32),BD!$A$3:$A$5001,AC$5,BD!$B$3:$B$5001,$C$2))))</f>
        <v/>
      </c>
      <c r="AD32" s="172" t="str">
        <f>IF(OR($AW32=0,AD$5=""),"",IF($AY32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32),"&lt;&gt;")=0,"",SUMIFS(INDEX(BD!$A$3:$AI$5001,0,$AX32),BD!$A$3:$A$5001,AD$5,BD!$B$3:$B$5001,$C$2))))</f>
        <v/>
      </c>
      <c r="AE32" s="172" t="str">
        <f>IF(OR($AW32=0,AE$5=""),"",IF($AY32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32),"&lt;&gt;")=0,"",SUMIFS(INDEX(BD!$A$3:$AI$5001,0,$AX32),BD!$A$3:$A$5001,AE$5,BD!$B$3:$B$5001,$C$2))))</f>
        <v/>
      </c>
      <c r="AF32" s="172" t="str">
        <f>IF(OR($AW32=0,AF$5=""),"",IF($AY32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32),"&lt;&gt;")=0,"",SUMIFS(INDEX(BD!$A$3:$AI$5001,0,$AX32),BD!$A$3:$A$5001,AF$5,BD!$B$3:$B$5001,$C$2))))</f>
        <v/>
      </c>
      <c r="AG32" s="172" t="str">
        <f>IF(OR($AW32=0,AG$5=""),"",IF($AY32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32),"&lt;&gt;")=0,"",SUMIFS(INDEX(BD!$A$3:$AI$5001,0,$AX32),BD!$A$3:$A$5001,AG$5,BD!$B$3:$B$5001,$C$2))))</f>
        <v/>
      </c>
      <c r="AH32" s="172" t="str">
        <f>IF(OR($AW32=0,AH$5=""),"",IF($AY32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32),"&lt;&gt;")=0,"",SUMIFS(INDEX(BD!$A$3:$AI$5001,0,$AX32),BD!$A$3:$A$5001,AH$5,BD!$B$3:$B$5001,$C$2))))</f>
        <v/>
      </c>
      <c r="AI32" s="172" t="str">
        <f>IF(OR($AW32=0,AI$5=""),"",IF($AY32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32),"&lt;&gt;")=0,"",SUMIFS(INDEX(BD!$A$3:$AI$5001,0,$AX32),BD!$A$3:$A$5001,AI$5,BD!$B$3:$B$5001,$C$2))))</f>
        <v/>
      </c>
      <c r="AJ32" s="173" t="str">
        <f>IF(OR($AW32=0,AJ$5=""),"",IF($AY32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32),"&lt;&gt;")=0,"",SUMIFS(INDEX(BD!$A$3:$AI$5001,0,$AX32),BD!$A$3:$A$5001,AJ$5,BD!$B$3:$B$5001,$C$2))))</f>
        <v/>
      </c>
      <c r="AK32" s="169" t="str">
        <f>IF($AW32=0,"",IF($AY32="fluxo",IF(COUNT(F32:AJ32)=0,"",SUM(F32:AJ32)),IFERROR(LOOKUP(9.99E+307,F32:AJ32),"")))</f>
        <v/>
      </c>
      <c r="AN32" s="159" t="inlineStr">
        <is>
          <t xml:space="preserve">Efetivo Op.</t>
        </is>
      </c>
      <c r="AO32" s="159" t="inlineStr">
        <is>
          <t xml:space="preserve">GENTE</t>
        </is>
      </c>
      <c r="AP32" s="159">
        <v>27</v>
      </c>
      <c r="AQ32" s="159" t="inlineStr">
        <is>
          <t xml:space="preserve">estoque</t>
        </is>
      </c>
      <c r="AR32" s="159">
        <v>26</v>
      </c>
      <c r="AS32" s="159" t="inlineStr">
        <is>
          <t xml:space="preserve">int</t>
        </is>
      </c>
      <c r="AT32" s="159">
        <f>IF($C$2="",0,IF(IFERROR(INDEX(Config!$AB$35:$AB$54,MATCH($C$2,Config!$B$35:$B$54,0)),"Sim")="Não",0,1))</f>
        <v>1</v>
      </c>
      <c r="AU32" s="159">
        <f>AU31+AT32</f>
        <v>11</v>
      </c>
      <c r="AW32" s="159">
        <f>IFERROR(MATCH(26,$AU$7:$AU$39,0),0)</f>
        <v>0</v>
      </c>
      <c r="AX32" s="159" t="str">
        <f>IF($AW32=0,"",INDEX($AP$7:$AP$39,$AW32))</f>
        <v/>
      </c>
      <c r="AY32" s="159" t="str">
        <f>IF($AW32=0,"",INDEX($AQ$7:$AQ$39,$AW32))</f>
        <v/>
      </c>
      <c r="AZ32" s="159" t="str">
        <f>IF($AW32=0,"",INDEX($AS$7:$AS$39,$AW32))</f>
        <v/>
      </c>
      <c r="BA32" s="159" t="str">
        <f>IF($AW32=0,"",INDEX($AR$7:$AR$39,$AW32))</f>
        <v/>
      </c>
    </row>
    <row r="33" ht="15.75" customHeight="1">
      <c r="A33" s="181"/>
      <c r="B33" s="167" t="str">
        <f>IF($AW33=0,"",INDEX($AO$7:$AO$39,$AW33))</f>
        <v/>
      </c>
      <c r="C33" s="168" t="str">
        <f>IF($AW33=0,"",INDEX($AN$7:$AN$39,$AW33))</f>
        <v/>
      </c>
      <c r="D33" s="169" t="str">
        <f>IF(OR($AW33=0,N($BA33)=0),"",IFERROR(1/(1/INDEX(BD!$AL$23:$BF$55,$BA33,MATCH($C$2,BD!$AL$22:$BF$22,0))),""))</f>
        <v/>
      </c>
      <c r="E33" s="170"/>
      <c r="F33" s="171" t="str">
        <f>IF(OR($AW33=0,F$5=""),"",IF($AY33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33),"&lt;&gt;")=0,"",SUMIFS(INDEX(BD!$A$3:$AI$5001,0,$AX33),BD!$A$3:$A$5001,F$5,BD!$B$3:$B$5001,$C$2))))</f>
        <v/>
      </c>
      <c r="G33" s="172" t="str">
        <f>IF(OR($AW33=0,G$5=""),"",IF($AY33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33),"&lt;&gt;")=0,"",SUMIFS(INDEX(BD!$A$3:$AI$5001,0,$AX33),BD!$A$3:$A$5001,G$5,BD!$B$3:$B$5001,$C$2))))</f>
        <v/>
      </c>
      <c r="H33" s="172" t="str">
        <f>IF(OR($AW33=0,H$5=""),"",IF($AY33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33),"&lt;&gt;")=0,"",SUMIFS(INDEX(BD!$A$3:$AI$5001,0,$AX33),BD!$A$3:$A$5001,H$5,BD!$B$3:$B$5001,$C$2))))</f>
        <v/>
      </c>
      <c r="I33" s="172" t="str">
        <f>IF(OR($AW33=0,I$5=""),"",IF($AY33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33),"&lt;&gt;")=0,"",SUMIFS(INDEX(BD!$A$3:$AI$5001,0,$AX33),BD!$A$3:$A$5001,I$5,BD!$B$3:$B$5001,$C$2))))</f>
        <v/>
      </c>
      <c r="J33" s="172" t="str">
        <f>IF(OR($AW33=0,J$5=""),"",IF($AY33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33),"&lt;&gt;")=0,"",SUMIFS(INDEX(BD!$A$3:$AI$5001,0,$AX33),BD!$A$3:$A$5001,J$5,BD!$B$3:$B$5001,$C$2))))</f>
        <v/>
      </c>
      <c r="K33" s="172" t="str">
        <f>IF(OR($AW33=0,K$5=""),"",IF($AY33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33),"&lt;&gt;")=0,"",SUMIFS(INDEX(BD!$A$3:$AI$5001,0,$AX33),BD!$A$3:$A$5001,K$5,BD!$B$3:$B$5001,$C$2))))</f>
        <v/>
      </c>
      <c r="L33" s="172" t="str">
        <f>IF(OR($AW33=0,L$5=""),"",IF($AY33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33),"&lt;&gt;")=0,"",SUMIFS(INDEX(BD!$A$3:$AI$5001,0,$AX33),BD!$A$3:$A$5001,L$5,BD!$B$3:$B$5001,$C$2))))</f>
        <v/>
      </c>
      <c r="M33" s="172" t="str">
        <f>IF(OR($AW33=0,M$5=""),"",IF($AY33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33),"&lt;&gt;")=0,"",SUMIFS(INDEX(BD!$A$3:$AI$5001,0,$AX33),BD!$A$3:$A$5001,M$5,BD!$B$3:$B$5001,$C$2))))</f>
        <v/>
      </c>
      <c r="N33" s="172" t="str">
        <f>IF(OR($AW33=0,N$5=""),"",IF($AY33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33),"&lt;&gt;")=0,"",SUMIFS(INDEX(BD!$A$3:$AI$5001,0,$AX33),BD!$A$3:$A$5001,N$5,BD!$B$3:$B$5001,$C$2))))</f>
        <v/>
      </c>
      <c r="O33" s="172" t="str">
        <f>IF(OR($AW33=0,O$5=""),"",IF($AY33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33),"&lt;&gt;")=0,"",SUMIFS(INDEX(BD!$A$3:$AI$5001,0,$AX33),BD!$A$3:$A$5001,O$5,BD!$B$3:$B$5001,$C$2))))</f>
        <v/>
      </c>
      <c r="P33" s="172" t="str">
        <f>IF(OR($AW33=0,P$5=""),"",IF($AY33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33),"&lt;&gt;")=0,"",SUMIFS(INDEX(BD!$A$3:$AI$5001,0,$AX33),BD!$A$3:$A$5001,P$5,BD!$B$3:$B$5001,$C$2))))</f>
        <v/>
      </c>
      <c r="Q33" s="172" t="str">
        <f>IF(OR($AW33=0,Q$5=""),"",IF($AY33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33),"&lt;&gt;")=0,"",SUMIFS(INDEX(BD!$A$3:$AI$5001,0,$AX33),BD!$A$3:$A$5001,Q$5,BD!$B$3:$B$5001,$C$2))))</f>
        <v/>
      </c>
      <c r="R33" s="172" t="str">
        <f>IF(OR($AW33=0,R$5=""),"",IF($AY33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33),"&lt;&gt;")=0,"",SUMIFS(INDEX(BD!$A$3:$AI$5001,0,$AX33),BD!$A$3:$A$5001,R$5,BD!$B$3:$B$5001,$C$2))))</f>
        <v/>
      </c>
      <c r="S33" s="172" t="str">
        <f>IF(OR($AW33=0,S$5=""),"",IF($AY33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33),"&lt;&gt;")=0,"",SUMIFS(INDEX(BD!$A$3:$AI$5001,0,$AX33),BD!$A$3:$A$5001,S$5,BD!$B$3:$B$5001,$C$2))))</f>
        <v/>
      </c>
      <c r="T33" s="172" t="str">
        <f>IF(OR($AW33=0,T$5=""),"",IF($AY33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33),"&lt;&gt;")=0,"",SUMIFS(INDEX(BD!$A$3:$AI$5001,0,$AX33),BD!$A$3:$A$5001,T$5,BD!$B$3:$B$5001,$C$2))))</f>
        <v/>
      </c>
      <c r="U33" s="172" t="str">
        <f>IF(OR($AW33=0,U$5=""),"",IF($AY33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33),"&lt;&gt;")=0,"",SUMIFS(INDEX(BD!$A$3:$AI$5001,0,$AX33),BD!$A$3:$A$5001,U$5,BD!$B$3:$B$5001,$C$2))))</f>
        <v/>
      </c>
      <c r="V33" s="172" t="str">
        <f>IF(OR($AW33=0,V$5=""),"",IF($AY33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33),"&lt;&gt;")=0,"",SUMIFS(INDEX(BD!$A$3:$AI$5001,0,$AX33),BD!$A$3:$A$5001,V$5,BD!$B$3:$B$5001,$C$2))))</f>
        <v/>
      </c>
      <c r="W33" s="172" t="str">
        <f>IF(OR($AW33=0,W$5=""),"",IF($AY33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33),"&lt;&gt;")=0,"",SUMIFS(INDEX(BD!$A$3:$AI$5001,0,$AX33),BD!$A$3:$A$5001,W$5,BD!$B$3:$B$5001,$C$2))))</f>
        <v/>
      </c>
      <c r="X33" s="172" t="str">
        <f>IF(OR($AW33=0,X$5=""),"",IF($AY33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33),"&lt;&gt;")=0,"",SUMIFS(INDEX(BD!$A$3:$AI$5001,0,$AX33),BD!$A$3:$A$5001,X$5,BD!$B$3:$B$5001,$C$2))))</f>
        <v/>
      </c>
      <c r="Y33" s="172" t="str">
        <f>IF(OR($AW33=0,Y$5=""),"",IF($AY33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33),"&lt;&gt;")=0,"",SUMIFS(INDEX(BD!$A$3:$AI$5001,0,$AX33),BD!$A$3:$A$5001,Y$5,BD!$B$3:$B$5001,$C$2))))</f>
        <v/>
      </c>
      <c r="Z33" s="172" t="str">
        <f>IF(OR($AW33=0,Z$5=""),"",IF($AY33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33),"&lt;&gt;")=0,"",SUMIFS(INDEX(BD!$A$3:$AI$5001,0,$AX33),BD!$A$3:$A$5001,Z$5,BD!$B$3:$B$5001,$C$2))))</f>
        <v/>
      </c>
      <c r="AA33" s="172" t="str">
        <f>IF(OR($AW33=0,AA$5=""),"",IF($AY33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33),"&lt;&gt;")=0,"",SUMIFS(INDEX(BD!$A$3:$AI$5001,0,$AX33),BD!$A$3:$A$5001,AA$5,BD!$B$3:$B$5001,$C$2))))</f>
        <v/>
      </c>
      <c r="AB33" s="172" t="str">
        <f>IF(OR($AW33=0,AB$5=""),"",IF($AY33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33),"&lt;&gt;")=0,"",SUMIFS(INDEX(BD!$A$3:$AI$5001,0,$AX33),BD!$A$3:$A$5001,AB$5,BD!$B$3:$B$5001,$C$2))))</f>
        <v/>
      </c>
      <c r="AC33" s="172" t="str">
        <f>IF(OR($AW33=0,AC$5=""),"",IF($AY33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33),"&lt;&gt;")=0,"",SUMIFS(INDEX(BD!$A$3:$AI$5001,0,$AX33),BD!$A$3:$A$5001,AC$5,BD!$B$3:$B$5001,$C$2))))</f>
        <v/>
      </c>
      <c r="AD33" s="172" t="str">
        <f>IF(OR($AW33=0,AD$5=""),"",IF($AY33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33),"&lt;&gt;")=0,"",SUMIFS(INDEX(BD!$A$3:$AI$5001,0,$AX33),BD!$A$3:$A$5001,AD$5,BD!$B$3:$B$5001,$C$2))))</f>
        <v/>
      </c>
      <c r="AE33" s="172" t="str">
        <f>IF(OR($AW33=0,AE$5=""),"",IF($AY33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33),"&lt;&gt;")=0,"",SUMIFS(INDEX(BD!$A$3:$AI$5001,0,$AX33),BD!$A$3:$A$5001,AE$5,BD!$B$3:$B$5001,$C$2))))</f>
        <v/>
      </c>
      <c r="AF33" s="172" t="str">
        <f>IF(OR($AW33=0,AF$5=""),"",IF($AY33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33),"&lt;&gt;")=0,"",SUMIFS(INDEX(BD!$A$3:$AI$5001,0,$AX33),BD!$A$3:$A$5001,AF$5,BD!$B$3:$B$5001,$C$2))))</f>
        <v/>
      </c>
      <c r="AG33" s="172" t="str">
        <f>IF(OR($AW33=0,AG$5=""),"",IF($AY33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33),"&lt;&gt;")=0,"",SUMIFS(INDEX(BD!$A$3:$AI$5001,0,$AX33),BD!$A$3:$A$5001,AG$5,BD!$B$3:$B$5001,$C$2))))</f>
        <v/>
      </c>
      <c r="AH33" s="172" t="str">
        <f>IF(OR($AW33=0,AH$5=""),"",IF($AY33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33),"&lt;&gt;")=0,"",SUMIFS(INDEX(BD!$A$3:$AI$5001,0,$AX33),BD!$A$3:$A$5001,AH$5,BD!$B$3:$B$5001,$C$2))))</f>
        <v/>
      </c>
      <c r="AI33" s="172" t="str">
        <f>IF(OR($AW33=0,AI$5=""),"",IF($AY33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33),"&lt;&gt;")=0,"",SUMIFS(INDEX(BD!$A$3:$AI$5001,0,$AX33),BD!$A$3:$A$5001,AI$5,BD!$B$3:$B$5001,$C$2))))</f>
        <v/>
      </c>
      <c r="AJ33" s="173" t="str">
        <f>IF(OR($AW33=0,AJ$5=""),"",IF($AY33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33),"&lt;&gt;")=0,"",SUMIFS(INDEX(BD!$A$3:$AI$5001,0,$AX33),BD!$A$3:$A$5001,AJ$5,BD!$B$3:$B$5001,$C$2))))</f>
        <v/>
      </c>
      <c r="AK33" s="169" t="str">
        <f>IF($AW33=0,"",IF($AY33="fluxo",IF(COUNT(F33:AJ33)=0,"",SUM(F33:AJ33)),IFERROR(LOOKUP(9.99E+307,F33:AJ33),"")))</f>
        <v/>
      </c>
      <c r="AN33" s="159" t="inlineStr">
        <is>
          <t xml:space="preserve">Falta</t>
        </is>
      </c>
      <c r="AO33" s="159" t="inlineStr">
        <is>
          <t xml:space="preserve">GENTE</t>
        </is>
      </c>
      <c r="AP33" s="159">
        <v>28</v>
      </c>
      <c r="AQ33" s="159" t="inlineStr">
        <is>
          <t xml:space="preserve">fluxo</t>
        </is>
      </c>
      <c r="AR33" s="159">
        <v>27</v>
      </c>
      <c r="AS33" s="159" t="inlineStr">
        <is>
          <t xml:space="preserve">int</t>
        </is>
      </c>
      <c r="AT33" s="159">
        <f>IF($C$2="",0,IF(IFERROR(INDEX(Config!$AC$35:$AC$54,MATCH($C$2,Config!$B$35:$B$54,0)),"Sim")="Não",0,1))</f>
        <v>1</v>
      </c>
      <c r="AU33" s="159">
        <f>AU32+AT33</f>
        <v>12</v>
      </c>
      <c r="AW33" s="159">
        <f>IFERROR(MATCH(27,$AU$7:$AU$39,0),0)</f>
        <v>0</v>
      </c>
      <c r="AX33" s="159" t="str">
        <f>IF($AW33=0,"",INDEX($AP$7:$AP$39,$AW33))</f>
        <v/>
      </c>
      <c r="AY33" s="159" t="str">
        <f>IF($AW33=0,"",INDEX($AQ$7:$AQ$39,$AW33))</f>
        <v/>
      </c>
      <c r="AZ33" s="159" t="str">
        <f>IF($AW33=0,"",INDEX($AS$7:$AS$39,$AW33))</f>
        <v/>
      </c>
      <c r="BA33" s="159" t="str">
        <f>IF($AW33=0,"",INDEX($AR$7:$AR$39,$AW33))</f>
        <v/>
      </c>
    </row>
    <row r="34" ht="15.75" customHeight="1">
      <c r="A34" s="181"/>
      <c r="B34" s="167" t="str">
        <f>IF($AW34=0,"",INDEX($AO$7:$AO$39,$AW34))</f>
        <v/>
      </c>
      <c r="C34" s="168" t="str">
        <f>IF($AW34=0,"",INDEX($AN$7:$AN$39,$AW34))</f>
        <v/>
      </c>
      <c r="D34" s="169" t="str">
        <f>IF(OR($AW34=0,N($BA34)=0),"",IFERROR(1/(1/INDEX(BD!$AL$23:$BF$55,$BA34,MATCH($C$2,BD!$AL$22:$BF$22,0))),""))</f>
        <v/>
      </c>
      <c r="E34" s="170"/>
      <c r="F34" s="171" t="str">
        <f>IF(OR($AW34=0,F$5=""),"",IF($AY34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34),"&lt;&gt;")=0,"",SUMIFS(INDEX(BD!$A$3:$AI$5001,0,$AX34),BD!$A$3:$A$5001,F$5,BD!$B$3:$B$5001,$C$2))))</f>
        <v/>
      </c>
      <c r="G34" s="172" t="str">
        <f>IF(OR($AW34=0,G$5=""),"",IF($AY34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34),"&lt;&gt;")=0,"",SUMIFS(INDEX(BD!$A$3:$AI$5001,0,$AX34),BD!$A$3:$A$5001,G$5,BD!$B$3:$B$5001,$C$2))))</f>
        <v/>
      </c>
      <c r="H34" s="172" t="str">
        <f>IF(OR($AW34=0,H$5=""),"",IF($AY34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34),"&lt;&gt;")=0,"",SUMIFS(INDEX(BD!$A$3:$AI$5001,0,$AX34),BD!$A$3:$A$5001,H$5,BD!$B$3:$B$5001,$C$2))))</f>
        <v/>
      </c>
      <c r="I34" s="172" t="str">
        <f>IF(OR($AW34=0,I$5=""),"",IF($AY34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34),"&lt;&gt;")=0,"",SUMIFS(INDEX(BD!$A$3:$AI$5001,0,$AX34),BD!$A$3:$A$5001,I$5,BD!$B$3:$B$5001,$C$2))))</f>
        <v/>
      </c>
      <c r="J34" s="172" t="str">
        <f>IF(OR($AW34=0,J$5=""),"",IF($AY34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34),"&lt;&gt;")=0,"",SUMIFS(INDEX(BD!$A$3:$AI$5001,0,$AX34),BD!$A$3:$A$5001,J$5,BD!$B$3:$B$5001,$C$2))))</f>
        <v/>
      </c>
      <c r="K34" s="172" t="str">
        <f>IF(OR($AW34=0,K$5=""),"",IF($AY34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34),"&lt;&gt;")=0,"",SUMIFS(INDEX(BD!$A$3:$AI$5001,0,$AX34),BD!$A$3:$A$5001,K$5,BD!$B$3:$B$5001,$C$2))))</f>
        <v/>
      </c>
      <c r="L34" s="172" t="str">
        <f>IF(OR($AW34=0,L$5=""),"",IF($AY34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34),"&lt;&gt;")=0,"",SUMIFS(INDEX(BD!$A$3:$AI$5001,0,$AX34),BD!$A$3:$A$5001,L$5,BD!$B$3:$B$5001,$C$2))))</f>
        <v/>
      </c>
      <c r="M34" s="172" t="str">
        <f>IF(OR($AW34=0,M$5=""),"",IF($AY34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34),"&lt;&gt;")=0,"",SUMIFS(INDEX(BD!$A$3:$AI$5001,0,$AX34),BD!$A$3:$A$5001,M$5,BD!$B$3:$B$5001,$C$2))))</f>
        <v/>
      </c>
      <c r="N34" s="172" t="str">
        <f>IF(OR($AW34=0,N$5=""),"",IF($AY34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34),"&lt;&gt;")=0,"",SUMIFS(INDEX(BD!$A$3:$AI$5001,0,$AX34),BD!$A$3:$A$5001,N$5,BD!$B$3:$B$5001,$C$2))))</f>
        <v/>
      </c>
      <c r="O34" s="172" t="str">
        <f>IF(OR($AW34=0,O$5=""),"",IF($AY34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34),"&lt;&gt;")=0,"",SUMIFS(INDEX(BD!$A$3:$AI$5001,0,$AX34),BD!$A$3:$A$5001,O$5,BD!$B$3:$B$5001,$C$2))))</f>
        <v/>
      </c>
      <c r="P34" s="172" t="str">
        <f>IF(OR($AW34=0,P$5=""),"",IF($AY34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34),"&lt;&gt;")=0,"",SUMIFS(INDEX(BD!$A$3:$AI$5001,0,$AX34),BD!$A$3:$A$5001,P$5,BD!$B$3:$B$5001,$C$2))))</f>
        <v/>
      </c>
      <c r="Q34" s="172" t="str">
        <f>IF(OR($AW34=0,Q$5=""),"",IF($AY34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34),"&lt;&gt;")=0,"",SUMIFS(INDEX(BD!$A$3:$AI$5001,0,$AX34),BD!$A$3:$A$5001,Q$5,BD!$B$3:$B$5001,$C$2))))</f>
        <v/>
      </c>
      <c r="R34" s="172" t="str">
        <f>IF(OR($AW34=0,R$5=""),"",IF($AY34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34),"&lt;&gt;")=0,"",SUMIFS(INDEX(BD!$A$3:$AI$5001,0,$AX34),BD!$A$3:$A$5001,R$5,BD!$B$3:$B$5001,$C$2))))</f>
        <v/>
      </c>
      <c r="S34" s="172" t="str">
        <f>IF(OR($AW34=0,S$5=""),"",IF($AY34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34),"&lt;&gt;")=0,"",SUMIFS(INDEX(BD!$A$3:$AI$5001,0,$AX34),BD!$A$3:$A$5001,S$5,BD!$B$3:$B$5001,$C$2))))</f>
        <v/>
      </c>
      <c r="T34" s="172" t="str">
        <f>IF(OR($AW34=0,T$5=""),"",IF($AY34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34),"&lt;&gt;")=0,"",SUMIFS(INDEX(BD!$A$3:$AI$5001,0,$AX34),BD!$A$3:$A$5001,T$5,BD!$B$3:$B$5001,$C$2))))</f>
        <v/>
      </c>
      <c r="U34" s="172" t="str">
        <f>IF(OR($AW34=0,U$5=""),"",IF($AY34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34),"&lt;&gt;")=0,"",SUMIFS(INDEX(BD!$A$3:$AI$5001,0,$AX34),BD!$A$3:$A$5001,U$5,BD!$B$3:$B$5001,$C$2))))</f>
        <v/>
      </c>
      <c r="V34" s="172" t="str">
        <f>IF(OR($AW34=0,V$5=""),"",IF($AY34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34),"&lt;&gt;")=0,"",SUMIFS(INDEX(BD!$A$3:$AI$5001,0,$AX34),BD!$A$3:$A$5001,V$5,BD!$B$3:$B$5001,$C$2))))</f>
        <v/>
      </c>
      <c r="W34" s="172" t="str">
        <f>IF(OR($AW34=0,W$5=""),"",IF($AY34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34),"&lt;&gt;")=0,"",SUMIFS(INDEX(BD!$A$3:$AI$5001,0,$AX34),BD!$A$3:$A$5001,W$5,BD!$B$3:$B$5001,$C$2))))</f>
        <v/>
      </c>
      <c r="X34" s="172" t="str">
        <f>IF(OR($AW34=0,X$5=""),"",IF($AY34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34),"&lt;&gt;")=0,"",SUMIFS(INDEX(BD!$A$3:$AI$5001,0,$AX34),BD!$A$3:$A$5001,X$5,BD!$B$3:$B$5001,$C$2))))</f>
        <v/>
      </c>
      <c r="Y34" s="172" t="str">
        <f>IF(OR($AW34=0,Y$5=""),"",IF($AY34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34),"&lt;&gt;")=0,"",SUMIFS(INDEX(BD!$A$3:$AI$5001,0,$AX34),BD!$A$3:$A$5001,Y$5,BD!$B$3:$B$5001,$C$2))))</f>
        <v/>
      </c>
      <c r="Z34" s="172" t="str">
        <f>IF(OR($AW34=0,Z$5=""),"",IF($AY34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34),"&lt;&gt;")=0,"",SUMIFS(INDEX(BD!$A$3:$AI$5001,0,$AX34),BD!$A$3:$A$5001,Z$5,BD!$B$3:$B$5001,$C$2))))</f>
        <v/>
      </c>
      <c r="AA34" s="172" t="str">
        <f>IF(OR($AW34=0,AA$5=""),"",IF($AY34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34),"&lt;&gt;")=0,"",SUMIFS(INDEX(BD!$A$3:$AI$5001,0,$AX34),BD!$A$3:$A$5001,AA$5,BD!$B$3:$B$5001,$C$2))))</f>
        <v/>
      </c>
      <c r="AB34" s="172" t="str">
        <f>IF(OR($AW34=0,AB$5=""),"",IF($AY34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34),"&lt;&gt;")=0,"",SUMIFS(INDEX(BD!$A$3:$AI$5001,0,$AX34),BD!$A$3:$A$5001,AB$5,BD!$B$3:$B$5001,$C$2))))</f>
        <v/>
      </c>
      <c r="AC34" s="172" t="str">
        <f>IF(OR($AW34=0,AC$5=""),"",IF($AY34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34),"&lt;&gt;")=0,"",SUMIFS(INDEX(BD!$A$3:$AI$5001,0,$AX34),BD!$A$3:$A$5001,AC$5,BD!$B$3:$B$5001,$C$2))))</f>
        <v/>
      </c>
      <c r="AD34" s="172" t="str">
        <f>IF(OR($AW34=0,AD$5=""),"",IF($AY34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34),"&lt;&gt;")=0,"",SUMIFS(INDEX(BD!$A$3:$AI$5001,0,$AX34),BD!$A$3:$A$5001,AD$5,BD!$B$3:$B$5001,$C$2))))</f>
        <v/>
      </c>
      <c r="AE34" s="172" t="str">
        <f>IF(OR($AW34=0,AE$5=""),"",IF($AY34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34),"&lt;&gt;")=0,"",SUMIFS(INDEX(BD!$A$3:$AI$5001,0,$AX34),BD!$A$3:$A$5001,AE$5,BD!$B$3:$B$5001,$C$2))))</f>
        <v/>
      </c>
      <c r="AF34" s="172" t="str">
        <f>IF(OR($AW34=0,AF$5=""),"",IF($AY34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34),"&lt;&gt;")=0,"",SUMIFS(INDEX(BD!$A$3:$AI$5001,0,$AX34),BD!$A$3:$A$5001,AF$5,BD!$B$3:$B$5001,$C$2))))</f>
        <v/>
      </c>
      <c r="AG34" s="172" t="str">
        <f>IF(OR($AW34=0,AG$5=""),"",IF($AY34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34),"&lt;&gt;")=0,"",SUMIFS(INDEX(BD!$A$3:$AI$5001,0,$AX34),BD!$A$3:$A$5001,AG$5,BD!$B$3:$B$5001,$C$2))))</f>
        <v/>
      </c>
      <c r="AH34" s="172" t="str">
        <f>IF(OR($AW34=0,AH$5=""),"",IF($AY34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34),"&lt;&gt;")=0,"",SUMIFS(INDEX(BD!$A$3:$AI$5001,0,$AX34),BD!$A$3:$A$5001,AH$5,BD!$B$3:$B$5001,$C$2))))</f>
        <v/>
      </c>
      <c r="AI34" s="172" t="str">
        <f>IF(OR($AW34=0,AI$5=""),"",IF($AY34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34),"&lt;&gt;")=0,"",SUMIFS(INDEX(BD!$A$3:$AI$5001,0,$AX34),BD!$A$3:$A$5001,AI$5,BD!$B$3:$B$5001,$C$2))))</f>
        <v/>
      </c>
      <c r="AJ34" s="173" t="str">
        <f>IF(OR($AW34=0,AJ$5=""),"",IF($AY34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34),"&lt;&gt;")=0,"",SUMIFS(INDEX(BD!$A$3:$AI$5001,0,$AX34),BD!$A$3:$A$5001,AJ$5,BD!$B$3:$B$5001,$C$2))))</f>
        <v/>
      </c>
      <c r="AK34" s="169" t="str">
        <f>IF($AW34=0,"",IF($AY34="fluxo",IF(COUNT(F34:AJ34)=0,"",SUM(F34:AJ34)),IFERROR(LOOKUP(9.99E+307,F34:AJ34),"")))</f>
        <v/>
      </c>
      <c r="AN34" s="159" t="inlineStr">
        <is>
          <t xml:space="preserve">Folga</t>
        </is>
      </c>
      <c r="AO34" s="159" t="inlineStr">
        <is>
          <t xml:space="preserve">GENTE</t>
        </is>
      </c>
      <c r="AP34" s="159">
        <v>29</v>
      </c>
      <c r="AQ34" s="159" t="inlineStr">
        <is>
          <t xml:space="preserve">fluxo</t>
        </is>
      </c>
      <c r="AR34" s="159">
        <v>28</v>
      </c>
      <c r="AS34" s="159" t="inlineStr">
        <is>
          <t xml:space="preserve">int</t>
        </is>
      </c>
      <c r="AT34" s="159">
        <f>IF($C$2="",0,IF(IFERROR(INDEX(Config!$AD$35:$AD$54,MATCH($C$2,Config!$B$35:$B$54,0)),"Sim")="Não",0,1))</f>
        <v>1</v>
      </c>
      <c r="AU34" s="159">
        <f>AU33+AT34</f>
        <v>13</v>
      </c>
      <c r="AW34" s="159">
        <f>IFERROR(MATCH(28,$AU$7:$AU$39,0),0)</f>
        <v>0</v>
      </c>
      <c r="AX34" s="159" t="str">
        <f>IF($AW34=0,"",INDEX($AP$7:$AP$39,$AW34))</f>
        <v/>
      </c>
      <c r="AY34" s="159" t="str">
        <f>IF($AW34=0,"",INDEX($AQ$7:$AQ$39,$AW34))</f>
        <v/>
      </c>
      <c r="AZ34" s="159" t="str">
        <f>IF($AW34=0,"",INDEX($AS$7:$AS$39,$AW34))</f>
        <v/>
      </c>
      <c r="BA34" s="159" t="str">
        <f>IF($AW34=0,"",INDEX($AR$7:$AR$39,$AW34))</f>
        <v/>
      </c>
    </row>
    <row r="35" ht="15.75" customHeight="1">
      <c r="A35" s="181"/>
      <c r="B35" s="167" t="str">
        <f>IF($AW35=0,"",INDEX($AO$7:$AO$39,$AW35))</f>
        <v/>
      </c>
      <c r="C35" s="168" t="str">
        <f>IF($AW35=0,"",INDEX($AN$7:$AN$39,$AW35))</f>
        <v/>
      </c>
      <c r="D35" s="169" t="str">
        <f>IF(OR($AW35=0,N($BA35)=0),"",IFERROR(1/(1/INDEX(BD!$AL$23:$BF$55,$BA35,MATCH($C$2,BD!$AL$22:$BF$22,0))),""))</f>
        <v/>
      </c>
      <c r="E35" s="170"/>
      <c r="F35" s="171" t="str">
        <f>IF(OR($AW35=0,F$5=""),"",IF($AY35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35),"&lt;&gt;")=0,"",SUMIFS(INDEX(BD!$A$3:$AI$5001,0,$AX35),BD!$A$3:$A$5001,F$5,BD!$B$3:$B$5001,$C$2))))</f>
        <v/>
      </c>
      <c r="G35" s="172" t="str">
        <f>IF(OR($AW35=0,G$5=""),"",IF($AY35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35),"&lt;&gt;")=0,"",SUMIFS(INDEX(BD!$A$3:$AI$5001,0,$AX35),BD!$A$3:$A$5001,G$5,BD!$B$3:$B$5001,$C$2))))</f>
        <v/>
      </c>
      <c r="H35" s="172" t="str">
        <f>IF(OR($AW35=0,H$5=""),"",IF($AY35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35),"&lt;&gt;")=0,"",SUMIFS(INDEX(BD!$A$3:$AI$5001,0,$AX35),BD!$A$3:$A$5001,H$5,BD!$B$3:$B$5001,$C$2))))</f>
        <v/>
      </c>
      <c r="I35" s="172" t="str">
        <f>IF(OR($AW35=0,I$5=""),"",IF($AY35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35),"&lt;&gt;")=0,"",SUMIFS(INDEX(BD!$A$3:$AI$5001,0,$AX35),BD!$A$3:$A$5001,I$5,BD!$B$3:$B$5001,$C$2))))</f>
        <v/>
      </c>
      <c r="J35" s="172" t="str">
        <f>IF(OR($AW35=0,J$5=""),"",IF($AY35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35),"&lt;&gt;")=0,"",SUMIFS(INDEX(BD!$A$3:$AI$5001,0,$AX35),BD!$A$3:$A$5001,J$5,BD!$B$3:$B$5001,$C$2))))</f>
        <v/>
      </c>
      <c r="K35" s="172" t="str">
        <f>IF(OR($AW35=0,K$5=""),"",IF($AY35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35),"&lt;&gt;")=0,"",SUMIFS(INDEX(BD!$A$3:$AI$5001,0,$AX35),BD!$A$3:$A$5001,K$5,BD!$B$3:$B$5001,$C$2))))</f>
        <v/>
      </c>
      <c r="L35" s="172" t="str">
        <f>IF(OR($AW35=0,L$5=""),"",IF($AY35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35),"&lt;&gt;")=0,"",SUMIFS(INDEX(BD!$A$3:$AI$5001,0,$AX35),BD!$A$3:$A$5001,L$5,BD!$B$3:$B$5001,$C$2))))</f>
        <v/>
      </c>
      <c r="M35" s="172" t="str">
        <f>IF(OR($AW35=0,M$5=""),"",IF($AY35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35),"&lt;&gt;")=0,"",SUMIFS(INDEX(BD!$A$3:$AI$5001,0,$AX35),BD!$A$3:$A$5001,M$5,BD!$B$3:$B$5001,$C$2))))</f>
        <v/>
      </c>
      <c r="N35" s="172" t="str">
        <f>IF(OR($AW35=0,N$5=""),"",IF($AY35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35),"&lt;&gt;")=0,"",SUMIFS(INDEX(BD!$A$3:$AI$5001,0,$AX35),BD!$A$3:$A$5001,N$5,BD!$B$3:$B$5001,$C$2))))</f>
        <v/>
      </c>
      <c r="O35" s="172" t="str">
        <f>IF(OR($AW35=0,O$5=""),"",IF($AY35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35),"&lt;&gt;")=0,"",SUMIFS(INDEX(BD!$A$3:$AI$5001,0,$AX35),BD!$A$3:$A$5001,O$5,BD!$B$3:$B$5001,$C$2))))</f>
        <v/>
      </c>
      <c r="P35" s="172" t="str">
        <f>IF(OR($AW35=0,P$5=""),"",IF($AY35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35),"&lt;&gt;")=0,"",SUMIFS(INDEX(BD!$A$3:$AI$5001,0,$AX35),BD!$A$3:$A$5001,P$5,BD!$B$3:$B$5001,$C$2))))</f>
        <v/>
      </c>
      <c r="Q35" s="172" t="str">
        <f>IF(OR($AW35=0,Q$5=""),"",IF($AY35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35),"&lt;&gt;")=0,"",SUMIFS(INDEX(BD!$A$3:$AI$5001,0,$AX35),BD!$A$3:$A$5001,Q$5,BD!$B$3:$B$5001,$C$2))))</f>
        <v/>
      </c>
      <c r="R35" s="172" t="str">
        <f>IF(OR($AW35=0,R$5=""),"",IF($AY35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35),"&lt;&gt;")=0,"",SUMIFS(INDEX(BD!$A$3:$AI$5001,0,$AX35),BD!$A$3:$A$5001,R$5,BD!$B$3:$B$5001,$C$2))))</f>
        <v/>
      </c>
      <c r="S35" s="172" t="str">
        <f>IF(OR($AW35=0,S$5=""),"",IF($AY35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35),"&lt;&gt;")=0,"",SUMIFS(INDEX(BD!$A$3:$AI$5001,0,$AX35),BD!$A$3:$A$5001,S$5,BD!$B$3:$B$5001,$C$2))))</f>
        <v/>
      </c>
      <c r="T35" s="172" t="str">
        <f>IF(OR($AW35=0,T$5=""),"",IF($AY35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35),"&lt;&gt;")=0,"",SUMIFS(INDEX(BD!$A$3:$AI$5001,0,$AX35),BD!$A$3:$A$5001,T$5,BD!$B$3:$B$5001,$C$2))))</f>
        <v/>
      </c>
      <c r="U35" s="172" t="str">
        <f>IF(OR($AW35=0,U$5=""),"",IF($AY35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35),"&lt;&gt;")=0,"",SUMIFS(INDEX(BD!$A$3:$AI$5001,0,$AX35),BD!$A$3:$A$5001,U$5,BD!$B$3:$B$5001,$C$2))))</f>
        <v/>
      </c>
      <c r="V35" s="172" t="str">
        <f>IF(OR($AW35=0,V$5=""),"",IF($AY35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35),"&lt;&gt;")=0,"",SUMIFS(INDEX(BD!$A$3:$AI$5001,0,$AX35),BD!$A$3:$A$5001,V$5,BD!$B$3:$B$5001,$C$2))))</f>
        <v/>
      </c>
      <c r="W35" s="172" t="str">
        <f>IF(OR($AW35=0,W$5=""),"",IF($AY35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35),"&lt;&gt;")=0,"",SUMIFS(INDEX(BD!$A$3:$AI$5001,0,$AX35),BD!$A$3:$A$5001,W$5,BD!$B$3:$B$5001,$C$2))))</f>
        <v/>
      </c>
      <c r="X35" s="172" t="str">
        <f>IF(OR($AW35=0,X$5=""),"",IF($AY35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35),"&lt;&gt;")=0,"",SUMIFS(INDEX(BD!$A$3:$AI$5001,0,$AX35),BD!$A$3:$A$5001,X$5,BD!$B$3:$B$5001,$C$2))))</f>
        <v/>
      </c>
      <c r="Y35" s="172" t="str">
        <f>IF(OR($AW35=0,Y$5=""),"",IF($AY35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35),"&lt;&gt;")=0,"",SUMIFS(INDEX(BD!$A$3:$AI$5001,0,$AX35),BD!$A$3:$A$5001,Y$5,BD!$B$3:$B$5001,$C$2))))</f>
        <v/>
      </c>
      <c r="Z35" s="172" t="str">
        <f>IF(OR($AW35=0,Z$5=""),"",IF($AY35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35),"&lt;&gt;")=0,"",SUMIFS(INDEX(BD!$A$3:$AI$5001,0,$AX35),BD!$A$3:$A$5001,Z$5,BD!$B$3:$B$5001,$C$2))))</f>
        <v/>
      </c>
      <c r="AA35" s="172" t="str">
        <f>IF(OR($AW35=0,AA$5=""),"",IF($AY35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35),"&lt;&gt;")=0,"",SUMIFS(INDEX(BD!$A$3:$AI$5001,0,$AX35),BD!$A$3:$A$5001,AA$5,BD!$B$3:$B$5001,$C$2))))</f>
        <v/>
      </c>
      <c r="AB35" s="172" t="str">
        <f>IF(OR($AW35=0,AB$5=""),"",IF($AY35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35),"&lt;&gt;")=0,"",SUMIFS(INDEX(BD!$A$3:$AI$5001,0,$AX35),BD!$A$3:$A$5001,AB$5,BD!$B$3:$B$5001,$C$2))))</f>
        <v/>
      </c>
      <c r="AC35" s="172" t="str">
        <f>IF(OR($AW35=0,AC$5=""),"",IF($AY35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35),"&lt;&gt;")=0,"",SUMIFS(INDEX(BD!$A$3:$AI$5001,0,$AX35),BD!$A$3:$A$5001,AC$5,BD!$B$3:$B$5001,$C$2))))</f>
        <v/>
      </c>
      <c r="AD35" s="172" t="str">
        <f>IF(OR($AW35=0,AD$5=""),"",IF($AY35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35),"&lt;&gt;")=0,"",SUMIFS(INDEX(BD!$A$3:$AI$5001,0,$AX35),BD!$A$3:$A$5001,AD$5,BD!$B$3:$B$5001,$C$2))))</f>
        <v/>
      </c>
      <c r="AE35" s="172" t="str">
        <f>IF(OR($AW35=0,AE$5=""),"",IF($AY35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35),"&lt;&gt;")=0,"",SUMIFS(INDEX(BD!$A$3:$AI$5001,0,$AX35),BD!$A$3:$A$5001,AE$5,BD!$B$3:$B$5001,$C$2))))</f>
        <v/>
      </c>
      <c r="AF35" s="172" t="str">
        <f>IF(OR($AW35=0,AF$5=""),"",IF($AY35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35),"&lt;&gt;")=0,"",SUMIFS(INDEX(BD!$A$3:$AI$5001,0,$AX35),BD!$A$3:$A$5001,AF$5,BD!$B$3:$B$5001,$C$2))))</f>
        <v/>
      </c>
      <c r="AG35" s="172" t="str">
        <f>IF(OR($AW35=0,AG$5=""),"",IF($AY35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35),"&lt;&gt;")=0,"",SUMIFS(INDEX(BD!$A$3:$AI$5001,0,$AX35),BD!$A$3:$A$5001,AG$5,BD!$B$3:$B$5001,$C$2))))</f>
        <v/>
      </c>
      <c r="AH35" s="172" t="str">
        <f>IF(OR($AW35=0,AH$5=""),"",IF($AY35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35),"&lt;&gt;")=0,"",SUMIFS(INDEX(BD!$A$3:$AI$5001,0,$AX35),BD!$A$3:$A$5001,AH$5,BD!$B$3:$B$5001,$C$2))))</f>
        <v/>
      </c>
      <c r="AI35" s="172" t="str">
        <f>IF(OR($AW35=0,AI$5=""),"",IF($AY35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35),"&lt;&gt;")=0,"",SUMIFS(INDEX(BD!$A$3:$AI$5001,0,$AX35),BD!$A$3:$A$5001,AI$5,BD!$B$3:$B$5001,$C$2))))</f>
        <v/>
      </c>
      <c r="AJ35" s="173" t="str">
        <f>IF(OR($AW35=0,AJ$5=""),"",IF($AY35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35),"&lt;&gt;")=0,"",SUMIFS(INDEX(BD!$A$3:$AI$5001,0,$AX35),BD!$A$3:$A$5001,AJ$5,BD!$B$3:$B$5001,$C$2))))</f>
        <v/>
      </c>
      <c r="AK35" s="169" t="str">
        <f>IF($AW35=0,"",IF($AY35="fluxo",IF(COUNT(F35:AJ35)=0,"",SUM(F35:AJ35)),IFERROR(LOOKUP(9.99E+307,F35:AJ35),"")))</f>
        <v/>
      </c>
      <c r="AN35" s="159" t="inlineStr">
        <is>
          <t xml:space="preserve">Férias</t>
        </is>
      </c>
      <c r="AO35" s="159" t="inlineStr">
        <is>
          <t xml:space="preserve">GENTE</t>
        </is>
      </c>
      <c r="AP35" s="159">
        <v>30</v>
      </c>
      <c r="AQ35" s="159" t="inlineStr">
        <is>
          <t xml:space="preserve">fluxo</t>
        </is>
      </c>
      <c r="AR35" s="159">
        <v>29</v>
      </c>
      <c r="AS35" s="159" t="inlineStr">
        <is>
          <t xml:space="preserve">int</t>
        </is>
      </c>
      <c r="AT35" s="159">
        <f>IF($C$2="",0,IF(IFERROR(INDEX(Config!$AE$35:$AE$54,MATCH($C$2,Config!$B$35:$B$54,0)),"Sim")="Não",0,1))</f>
        <v>1</v>
      </c>
      <c r="AU35" s="159">
        <f>AU34+AT35</f>
        <v>14</v>
      </c>
      <c r="AW35" s="159">
        <f>IFERROR(MATCH(29,$AU$7:$AU$39,0),0)</f>
        <v>0</v>
      </c>
      <c r="AX35" s="159" t="str">
        <f>IF($AW35=0,"",INDEX($AP$7:$AP$39,$AW35))</f>
        <v/>
      </c>
      <c r="AY35" s="159" t="str">
        <f>IF($AW35=0,"",INDEX($AQ$7:$AQ$39,$AW35))</f>
        <v/>
      </c>
      <c r="AZ35" s="159" t="str">
        <f>IF($AW35=0,"",INDEX($AS$7:$AS$39,$AW35))</f>
        <v/>
      </c>
      <c r="BA35" s="159" t="str">
        <f>IF($AW35=0,"",INDEX($AR$7:$AR$39,$AW35))</f>
        <v/>
      </c>
    </row>
    <row r="36" ht="15.75" customHeight="1">
      <c r="A36" s="181"/>
      <c r="B36" s="167" t="str">
        <f>IF($AW36=0,"",INDEX($AO$7:$AO$39,$AW36))</f>
        <v/>
      </c>
      <c r="C36" s="168" t="str">
        <f>IF($AW36=0,"",INDEX($AN$7:$AN$39,$AW36))</f>
        <v/>
      </c>
      <c r="D36" s="169" t="str">
        <f>IF(OR($AW36=0,N($BA36)=0),"",IFERROR(1/(1/INDEX(BD!$AL$23:$BF$55,$BA36,MATCH($C$2,BD!$AL$22:$BF$22,0))),""))</f>
        <v/>
      </c>
      <c r="E36" s="170"/>
      <c r="F36" s="171" t="str">
        <f>IF(OR($AW36=0,F$5=""),"",IF($AY36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36),"&lt;&gt;")=0,"",SUMIFS(INDEX(BD!$A$3:$AI$5001,0,$AX36),BD!$A$3:$A$5001,F$5,BD!$B$3:$B$5001,$C$2))))</f>
        <v/>
      </c>
      <c r="G36" s="172" t="str">
        <f>IF(OR($AW36=0,G$5=""),"",IF($AY36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36),"&lt;&gt;")=0,"",SUMIFS(INDEX(BD!$A$3:$AI$5001,0,$AX36),BD!$A$3:$A$5001,G$5,BD!$B$3:$B$5001,$C$2))))</f>
        <v/>
      </c>
      <c r="H36" s="172" t="str">
        <f>IF(OR($AW36=0,H$5=""),"",IF($AY36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36),"&lt;&gt;")=0,"",SUMIFS(INDEX(BD!$A$3:$AI$5001,0,$AX36),BD!$A$3:$A$5001,H$5,BD!$B$3:$B$5001,$C$2))))</f>
        <v/>
      </c>
      <c r="I36" s="172" t="str">
        <f>IF(OR($AW36=0,I$5=""),"",IF($AY36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36),"&lt;&gt;")=0,"",SUMIFS(INDEX(BD!$A$3:$AI$5001,0,$AX36),BD!$A$3:$A$5001,I$5,BD!$B$3:$B$5001,$C$2))))</f>
        <v/>
      </c>
      <c r="J36" s="172" t="str">
        <f>IF(OR($AW36=0,J$5=""),"",IF($AY36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36),"&lt;&gt;")=0,"",SUMIFS(INDEX(BD!$A$3:$AI$5001,0,$AX36),BD!$A$3:$A$5001,J$5,BD!$B$3:$B$5001,$C$2))))</f>
        <v/>
      </c>
      <c r="K36" s="172" t="str">
        <f>IF(OR($AW36=0,K$5=""),"",IF($AY36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36),"&lt;&gt;")=0,"",SUMIFS(INDEX(BD!$A$3:$AI$5001,0,$AX36),BD!$A$3:$A$5001,K$5,BD!$B$3:$B$5001,$C$2))))</f>
        <v/>
      </c>
      <c r="L36" s="172" t="str">
        <f>IF(OR($AW36=0,L$5=""),"",IF($AY36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36),"&lt;&gt;")=0,"",SUMIFS(INDEX(BD!$A$3:$AI$5001,0,$AX36),BD!$A$3:$A$5001,L$5,BD!$B$3:$B$5001,$C$2))))</f>
        <v/>
      </c>
      <c r="M36" s="172" t="str">
        <f>IF(OR($AW36=0,M$5=""),"",IF($AY36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36),"&lt;&gt;")=0,"",SUMIFS(INDEX(BD!$A$3:$AI$5001,0,$AX36),BD!$A$3:$A$5001,M$5,BD!$B$3:$B$5001,$C$2))))</f>
        <v/>
      </c>
      <c r="N36" s="172" t="str">
        <f>IF(OR($AW36=0,N$5=""),"",IF($AY36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36),"&lt;&gt;")=0,"",SUMIFS(INDEX(BD!$A$3:$AI$5001,0,$AX36),BD!$A$3:$A$5001,N$5,BD!$B$3:$B$5001,$C$2))))</f>
        <v/>
      </c>
      <c r="O36" s="172" t="str">
        <f>IF(OR($AW36=0,O$5=""),"",IF($AY36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36),"&lt;&gt;")=0,"",SUMIFS(INDEX(BD!$A$3:$AI$5001,0,$AX36),BD!$A$3:$A$5001,O$5,BD!$B$3:$B$5001,$C$2))))</f>
        <v/>
      </c>
      <c r="P36" s="172" t="str">
        <f>IF(OR($AW36=0,P$5=""),"",IF($AY36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36),"&lt;&gt;")=0,"",SUMIFS(INDEX(BD!$A$3:$AI$5001,0,$AX36),BD!$A$3:$A$5001,P$5,BD!$B$3:$B$5001,$C$2))))</f>
        <v/>
      </c>
      <c r="Q36" s="172" t="str">
        <f>IF(OR($AW36=0,Q$5=""),"",IF($AY36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36),"&lt;&gt;")=0,"",SUMIFS(INDEX(BD!$A$3:$AI$5001,0,$AX36),BD!$A$3:$A$5001,Q$5,BD!$B$3:$B$5001,$C$2))))</f>
        <v/>
      </c>
      <c r="R36" s="172" t="str">
        <f>IF(OR($AW36=0,R$5=""),"",IF($AY36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36),"&lt;&gt;")=0,"",SUMIFS(INDEX(BD!$A$3:$AI$5001,0,$AX36),BD!$A$3:$A$5001,R$5,BD!$B$3:$B$5001,$C$2))))</f>
        <v/>
      </c>
      <c r="S36" s="172" t="str">
        <f>IF(OR($AW36=0,S$5=""),"",IF($AY36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36),"&lt;&gt;")=0,"",SUMIFS(INDEX(BD!$A$3:$AI$5001,0,$AX36),BD!$A$3:$A$5001,S$5,BD!$B$3:$B$5001,$C$2))))</f>
        <v/>
      </c>
      <c r="T36" s="172" t="str">
        <f>IF(OR($AW36=0,T$5=""),"",IF($AY36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36),"&lt;&gt;")=0,"",SUMIFS(INDEX(BD!$A$3:$AI$5001,0,$AX36),BD!$A$3:$A$5001,T$5,BD!$B$3:$B$5001,$C$2))))</f>
        <v/>
      </c>
      <c r="U36" s="172" t="str">
        <f>IF(OR($AW36=0,U$5=""),"",IF($AY36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36),"&lt;&gt;")=0,"",SUMIFS(INDEX(BD!$A$3:$AI$5001,0,$AX36),BD!$A$3:$A$5001,U$5,BD!$B$3:$B$5001,$C$2))))</f>
        <v/>
      </c>
      <c r="V36" s="172" t="str">
        <f>IF(OR($AW36=0,V$5=""),"",IF($AY36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36),"&lt;&gt;")=0,"",SUMIFS(INDEX(BD!$A$3:$AI$5001,0,$AX36),BD!$A$3:$A$5001,V$5,BD!$B$3:$B$5001,$C$2))))</f>
        <v/>
      </c>
      <c r="W36" s="172" t="str">
        <f>IF(OR($AW36=0,W$5=""),"",IF($AY36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36),"&lt;&gt;")=0,"",SUMIFS(INDEX(BD!$A$3:$AI$5001,0,$AX36),BD!$A$3:$A$5001,W$5,BD!$B$3:$B$5001,$C$2))))</f>
        <v/>
      </c>
      <c r="X36" s="172" t="str">
        <f>IF(OR($AW36=0,X$5=""),"",IF($AY36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36),"&lt;&gt;")=0,"",SUMIFS(INDEX(BD!$A$3:$AI$5001,0,$AX36),BD!$A$3:$A$5001,X$5,BD!$B$3:$B$5001,$C$2))))</f>
        <v/>
      </c>
      <c r="Y36" s="172" t="str">
        <f>IF(OR($AW36=0,Y$5=""),"",IF($AY36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36),"&lt;&gt;")=0,"",SUMIFS(INDEX(BD!$A$3:$AI$5001,0,$AX36),BD!$A$3:$A$5001,Y$5,BD!$B$3:$B$5001,$C$2))))</f>
        <v/>
      </c>
      <c r="Z36" s="172" t="str">
        <f>IF(OR($AW36=0,Z$5=""),"",IF($AY36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36),"&lt;&gt;")=0,"",SUMIFS(INDEX(BD!$A$3:$AI$5001,0,$AX36),BD!$A$3:$A$5001,Z$5,BD!$B$3:$B$5001,$C$2))))</f>
        <v/>
      </c>
      <c r="AA36" s="172" t="str">
        <f>IF(OR($AW36=0,AA$5=""),"",IF($AY36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36),"&lt;&gt;")=0,"",SUMIFS(INDEX(BD!$A$3:$AI$5001,0,$AX36),BD!$A$3:$A$5001,AA$5,BD!$B$3:$B$5001,$C$2))))</f>
        <v/>
      </c>
      <c r="AB36" s="172" t="str">
        <f>IF(OR($AW36=0,AB$5=""),"",IF($AY36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36),"&lt;&gt;")=0,"",SUMIFS(INDEX(BD!$A$3:$AI$5001,0,$AX36),BD!$A$3:$A$5001,AB$5,BD!$B$3:$B$5001,$C$2))))</f>
        <v/>
      </c>
      <c r="AC36" s="172" t="str">
        <f>IF(OR($AW36=0,AC$5=""),"",IF($AY36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36),"&lt;&gt;")=0,"",SUMIFS(INDEX(BD!$A$3:$AI$5001,0,$AX36),BD!$A$3:$A$5001,AC$5,BD!$B$3:$B$5001,$C$2))))</f>
        <v/>
      </c>
      <c r="AD36" s="172" t="str">
        <f>IF(OR($AW36=0,AD$5=""),"",IF($AY36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36),"&lt;&gt;")=0,"",SUMIFS(INDEX(BD!$A$3:$AI$5001,0,$AX36),BD!$A$3:$A$5001,AD$5,BD!$B$3:$B$5001,$C$2))))</f>
        <v/>
      </c>
      <c r="AE36" s="172" t="str">
        <f>IF(OR($AW36=0,AE$5=""),"",IF($AY36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36),"&lt;&gt;")=0,"",SUMIFS(INDEX(BD!$A$3:$AI$5001,0,$AX36),BD!$A$3:$A$5001,AE$5,BD!$B$3:$B$5001,$C$2))))</f>
        <v/>
      </c>
      <c r="AF36" s="172" t="str">
        <f>IF(OR($AW36=0,AF$5=""),"",IF($AY36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36),"&lt;&gt;")=0,"",SUMIFS(INDEX(BD!$A$3:$AI$5001,0,$AX36),BD!$A$3:$A$5001,AF$5,BD!$B$3:$B$5001,$C$2))))</f>
        <v/>
      </c>
      <c r="AG36" s="172" t="str">
        <f>IF(OR($AW36=0,AG$5=""),"",IF($AY36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36),"&lt;&gt;")=0,"",SUMIFS(INDEX(BD!$A$3:$AI$5001,0,$AX36),BD!$A$3:$A$5001,AG$5,BD!$B$3:$B$5001,$C$2))))</f>
        <v/>
      </c>
      <c r="AH36" s="172" t="str">
        <f>IF(OR($AW36=0,AH$5=""),"",IF($AY36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36),"&lt;&gt;")=0,"",SUMIFS(INDEX(BD!$A$3:$AI$5001,0,$AX36),BD!$A$3:$A$5001,AH$5,BD!$B$3:$B$5001,$C$2))))</f>
        <v/>
      </c>
      <c r="AI36" s="172" t="str">
        <f>IF(OR($AW36=0,AI$5=""),"",IF($AY36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36),"&lt;&gt;")=0,"",SUMIFS(INDEX(BD!$A$3:$AI$5001,0,$AX36),BD!$A$3:$A$5001,AI$5,BD!$B$3:$B$5001,$C$2))))</f>
        <v/>
      </c>
      <c r="AJ36" s="173" t="str">
        <f>IF(OR($AW36=0,AJ$5=""),"",IF($AY36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36),"&lt;&gt;")=0,"",SUMIFS(INDEX(BD!$A$3:$AI$5001,0,$AX36),BD!$A$3:$A$5001,AJ$5,BD!$B$3:$B$5001,$C$2))))</f>
        <v/>
      </c>
      <c r="AK36" s="169" t="str">
        <f>IF($AW36=0,"",IF($AY36="fluxo",IF(COUNT(F36:AJ36)=0,"",SUM(F36:AJ36)),IFERROR(LOOKUP(9.99E+307,F36:AJ36),"")))</f>
        <v/>
      </c>
      <c r="AN36" s="159" t="inlineStr">
        <is>
          <t xml:space="preserve">Desligamento</t>
        </is>
      </c>
      <c r="AO36" s="159" t="inlineStr">
        <is>
          <t xml:space="preserve">GENTE</t>
        </is>
      </c>
      <c r="AP36" s="159">
        <v>31</v>
      </c>
      <c r="AQ36" s="159" t="inlineStr">
        <is>
          <t xml:space="preserve">fluxo</t>
        </is>
      </c>
      <c r="AR36" s="159">
        <v>30</v>
      </c>
      <c r="AS36" s="159" t="inlineStr">
        <is>
          <t xml:space="preserve">int</t>
        </is>
      </c>
      <c r="AT36" s="159">
        <f>IF($C$2="",0,IF(IFERROR(INDEX(Config!$AF$35:$AF$54,MATCH($C$2,Config!$B$35:$B$54,0)),"Sim")="Não",0,1))</f>
        <v>1</v>
      </c>
      <c r="AU36" s="159">
        <f>AU35+AT36</f>
        <v>15</v>
      </c>
      <c r="AW36" s="159">
        <f>IFERROR(MATCH(30,$AU$7:$AU$39,0),0)</f>
        <v>0</v>
      </c>
      <c r="AX36" s="159" t="str">
        <f>IF($AW36=0,"",INDEX($AP$7:$AP$39,$AW36))</f>
        <v/>
      </c>
      <c r="AY36" s="159" t="str">
        <f>IF($AW36=0,"",INDEX($AQ$7:$AQ$39,$AW36))</f>
        <v/>
      </c>
      <c r="AZ36" s="159" t="str">
        <f>IF($AW36=0,"",INDEX($AS$7:$AS$39,$AW36))</f>
        <v/>
      </c>
      <c r="BA36" s="159" t="str">
        <f>IF($AW36=0,"",INDEX($AR$7:$AR$39,$AW36))</f>
        <v/>
      </c>
    </row>
    <row r="37" ht="15.75" customHeight="1">
      <c r="A37" s="181"/>
      <c r="B37" s="167" t="str">
        <f>IF($AW37=0,"",INDEX($AO$7:$AO$39,$AW37))</f>
        <v/>
      </c>
      <c r="C37" s="168" t="str">
        <f>IF($AW37=0,"",INDEX($AN$7:$AN$39,$AW37))</f>
        <v/>
      </c>
      <c r="D37" s="169" t="str">
        <f>IF(OR($AW37=0,N($BA37)=0),"",IFERROR(1/(1/INDEX(BD!$AL$23:$BF$55,$BA37,MATCH($C$2,BD!$AL$22:$BF$22,0))),""))</f>
        <v/>
      </c>
      <c r="E37" s="170"/>
      <c r="F37" s="171" t="str">
        <f>IF(OR($AW37=0,F$5=""),"",IF($AY37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37),"&lt;&gt;")=0,"",SUMIFS(INDEX(BD!$A$3:$AI$5001,0,$AX37),BD!$A$3:$A$5001,F$5,BD!$B$3:$B$5001,$C$2))))</f>
        <v/>
      </c>
      <c r="G37" s="172" t="str">
        <f>IF(OR($AW37=0,G$5=""),"",IF($AY37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37),"&lt;&gt;")=0,"",SUMIFS(INDEX(BD!$A$3:$AI$5001,0,$AX37),BD!$A$3:$A$5001,G$5,BD!$B$3:$B$5001,$C$2))))</f>
        <v/>
      </c>
      <c r="H37" s="172" t="str">
        <f>IF(OR($AW37=0,H$5=""),"",IF($AY37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37),"&lt;&gt;")=0,"",SUMIFS(INDEX(BD!$A$3:$AI$5001,0,$AX37),BD!$A$3:$A$5001,H$5,BD!$B$3:$B$5001,$C$2))))</f>
        <v/>
      </c>
      <c r="I37" s="172" t="str">
        <f>IF(OR($AW37=0,I$5=""),"",IF($AY37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37),"&lt;&gt;")=0,"",SUMIFS(INDEX(BD!$A$3:$AI$5001,0,$AX37),BD!$A$3:$A$5001,I$5,BD!$B$3:$B$5001,$C$2))))</f>
        <v/>
      </c>
      <c r="J37" s="172" t="str">
        <f>IF(OR($AW37=0,J$5=""),"",IF($AY37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37),"&lt;&gt;")=0,"",SUMIFS(INDEX(BD!$A$3:$AI$5001,0,$AX37),BD!$A$3:$A$5001,J$5,BD!$B$3:$B$5001,$C$2))))</f>
        <v/>
      </c>
      <c r="K37" s="172" t="str">
        <f>IF(OR($AW37=0,K$5=""),"",IF($AY37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37),"&lt;&gt;")=0,"",SUMIFS(INDEX(BD!$A$3:$AI$5001,0,$AX37),BD!$A$3:$A$5001,K$5,BD!$B$3:$B$5001,$C$2))))</f>
        <v/>
      </c>
      <c r="L37" s="172" t="str">
        <f>IF(OR($AW37=0,L$5=""),"",IF($AY37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37),"&lt;&gt;")=0,"",SUMIFS(INDEX(BD!$A$3:$AI$5001,0,$AX37),BD!$A$3:$A$5001,L$5,BD!$B$3:$B$5001,$C$2))))</f>
        <v/>
      </c>
      <c r="M37" s="172" t="str">
        <f>IF(OR($AW37=0,M$5=""),"",IF($AY37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37),"&lt;&gt;")=0,"",SUMIFS(INDEX(BD!$A$3:$AI$5001,0,$AX37),BD!$A$3:$A$5001,M$5,BD!$B$3:$B$5001,$C$2))))</f>
        <v/>
      </c>
      <c r="N37" s="172" t="str">
        <f>IF(OR($AW37=0,N$5=""),"",IF($AY37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37),"&lt;&gt;")=0,"",SUMIFS(INDEX(BD!$A$3:$AI$5001,0,$AX37),BD!$A$3:$A$5001,N$5,BD!$B$3:$B$5001,$C$2))))</f>
        <v/>
      </c>
      <c r="O37" s="172" t="str">
        <f>IF(OR($AW37=0,O$5=""),"",IF($AY37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37),"&lt;&gt;")=0,"",SUMIFS(INDEX(BD!$A$3:$AI$5001,0,$AX37),BD!$A$3:$A$5001,O$5,BD!$B$3:$B$5001,$C$2))))</f>
        <v/>
      </c>
      <c r="P37" s="172" t="str">
        <f>IF(OR($AW37=0,P$5=""),"",IF($AY37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37),"&lt;&gt;")=0,"",SUMIFS(INDEX(BD!$A$3:$AI$5001,0,$AX37),BD!$A$3:$A$5001,P$5,BD!$B$3:$B$5001,$C$2))))</f>
        <v/>
      </c>
      <c r="Q37" s="172" t="str">
        <f>IF(OR($AW37=0,Q$5=""),"",IF($AY37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37),"&lt;&gt;")=0,"",SUMIFS(INDEX(BD!$A$3:$AI$5001,0,$AX37),BD!$A$3:$A$5001,Q$5,BD!$B$3:$B$5001,$C$2))))</f>
        <v/>
      </c>
      <c r="R37" s="172" t="str">
        <f>IF(OR($AW37=0,R$5=""),"",IF($AY37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37),"&lt;&gt;")=0,"",SUMIFS(INDEX(BD!$A$3:$AI$5001,0,$AX37),BD!$A$3:$A$5001,R$5,BD!$B$3:$B$5001,$C$2))))</f>
        <v/>
      </c>
      <c r="S37" s="172" t="str">
        <f>IF(OR($AW37=0,S$5=""),"",IF($AY37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37),"&lt;&gt;")=0,"",SUMIFS(INDEX(BD!$A$3:$AI$5001,0,$AX37),BD!$A$3:$A$5001,S$5,BD!$B$3:$B$5001,$C$2))))</f>
        <v/>
      </c>
      <c r="T37" s="172" t="str">
        <f>IF(OR($AW37=0,T$5=""),"",IF($AY37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37),"&lt;&gt;")=0,"",SUMIFS(INDEX(BD!$A$3:$AI$5001,0,$AX37),BD!$A$3:$A$5001,T$5,BD!$B$3:$B$5001,$C$2))))</f>
        <v/>
      </c>
      <c r="U37" s="172" t="str">
        <f>IF(OR($AW37=0,U$5=""),"",IF($AY37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37),"&lt;&gt;")=0,"",SUMIFS(INDEX(BD!$A$3:$AI$5001,0,$AX37),BD!$A$3:$A$5001,U$5,BD!$B$3:$B$5001,$C$2))))</f>
        <v/>
      </c>
      <c r="V37" s="172" t="str">
        <f>IF(OR($AW37=0,V$5=""),"",IF($AY37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37),"&lt;&gt;")=0,"",SUMIFS(INDEX(BD!$A$3:$AI$5001,0,$AX37),BD!$A$3:$A$5001,V$5,BD!$B$3:$B$5001,$C$2))))</f>
        <v/>
      </c>
      <c r="W37" s="172" t="str">
        <f>IF(OR($AW37=0,W$5=""),"",IF($AY37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37),"&lt;&gt;")=0,"",SUMIFS(INDEX(BD!$A$3:$AI$5001,0,$AX37),BD!$A$3:$A$5001,W$5,BD!$B$3:$B$5001,$C$2))))</f>
        <v/>
      </c>
      <c r="X37" s="172" t="str">
        <f>IF(OR($AW37=0,X$5=""),"",IF($AY37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37),"&lt;&gt;")=0,"",SUMIFS(INDEX(BD!$A$3:$AI$5001,0,$AX37),BD!$A$3:$A$5001,X$5,BD!$B$3:$B$5001,$C$2))))</f>
        <v/>
      </c>
      <c r="Y37" s="172" t="str">
        <f>IF(OR($AW37=0,Y$5=""),"",IF($AY37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37),"&lt;&gt;")=0,"",SUMIFS(INDEX(BD!$A$3:$AI$5001,0,$AX37),BD!$A$3:$A$5001,Y$5,BD!$B$3:$B$5001,$C$2))))</f>
        <v/>
      </c>
      <c r="Z37" s="172" t="str">
        <f>IF(OR($AW37=0,Z$5=""),"",IF($AY37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37),"&lt;&gt;")=0,"",SUMIFS(INDEX(BD!$A$3:$AI$5001,0,$AX37),BD!$A$3:$A$5001,Z$5,BD!$B$3:$B$5001,$C$2))))</f>
        <v/>
      </c>
      <c r="AA37" s="172" t="str">
        <f>IF(OR($AW37=0,AA$5=""),"",IF($AY37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37),"&lt;&gt;")=0,"",SUMIFS(INDEX(BD!$A$3:$AI$5001,0,$AX37),BD!$A$3:$A$5001,AA$5,BD!$B$3:$B$5001,$C$2))))</f>
        <v/>
      </c>
      <c r="AB37" s="172" t="str">
        <f>IF(OR($AW37=0,AB$5=""),"",IF($AY37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37),"&lt;&gt;")=0,"",SUMIFS(INDEX(BD!$A$3:$AI$5001,0,$AX37),BD!$A$3:$A$5001,AB$5,BD!$B$3:$B$5001,$C$2))))</f>
        <v/>
      </c>
      <c r="AC37" s="172" t="str">
        <f>IF(OR($AW37=0,AC$5=""),"",IF($AY37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37),"&lt;&gt;")=0,"",SUMIFS(INDEX(BD!$A$3:$AI$5001,0,$AX37),BD!$A$3:$A$5001,AC$5,BD!$B$3:$B$5001,$C$2))))</f>
        <v/>
      </c>
      <c r="AD37" s="172" t="str">
        <f>IF(OR($AW37=0,AD$5=""),"",IF($AY37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37),"&lt;&gt;")=0,"",SUMIFS(INDEX(BD!$A$3:$AI$5001,0,$AX37),BD!$A$3:$A$5001,AD$5,BD!$B$3:$B$5001,$C$2))))</f>
        <v/>
      </c>
      <c r="AE37" s="172" t="str">
        <f>IF(OR($AW37=0,AE$5=""),"",IF($AY37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37),"&lt;&gt;")=0,"",SUMIFS(INDEX(BD!$A$3:$AI$5001,0,$AX37),BD!$A$3:$A$5001,AE$5,BD!$B$3:$B$5001,$C$2))))</f>
        <v/>
      </c>
      <c r="AF37" s="172" t="str">
        <f>IF(OR($AW37=0,AF$5=""),"",IF($AY37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37),"&lt;&gt;")=0,"",SUMIFS(INDEX(BD!$A$3:$AI$5001,0,$AX37),BD!$A$3:$A$5001,AF$5,BD!$B$3:$B$5001,$C$2))))</f>
        <v/>
      </c>
      <c r="AG37" s="172" t="str">
        <f>IF(OR($AW37=0,AG$5=""),"",IF($AY37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37),"&lt;&gt;")=0,"",SUMIFS(INDEX(BD!$A$3:$AI$5001,0,$AX37),BD!$A$3:$A$5001,AG$5,BD!$B$3:$B$5001,$C$2))))</f>
        <v/>
      </c>
      <c r="AH37" s="172" t="str">
        <f>IF(OR($AW37=0,AH$5=""),"",IF($AY37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37),"&lt;&gt;")=0,"",SUMIFS(INDEX(BD!$A$3:$AI$5001,0,$AX37),BD!$A$3:$A$5001,AH$5,BD!$B$3:$B$5001,$C$2))))</f>
        <v/>
      </c>
      <c r="AI37" s="172" t="str">
        <f>IF(OR($AW37=0,AI$5=""),"",IF($AY37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37),"&lt;&gt;")=0,"",SUMIFS(INDEX(BD!$A$3:$AI$5001,0,$AX37),BD!$A$3:$A$5001,AI$5,BD!$B$3:$B$5001,$C$2))))</f>
        <v/>
      </c>
      <c r="AJ37" s="173" t="str">
        <f>IF(OR($AW37=0,AJ$5=""),"",IF($AY37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37),"&lt;&gt;")=0,"",SUMIFS(INDEX(BD!$A$3:$AI$5001,0,$AX37),BD!$A$3:$A$5001,AJ$5,BD!$B$3:$B$5001,$C$2))))</f>
        <v/>
      </c>
      <c r="AK37" s="169" t="str">
        <f>IF($AW37=0,"",IF($AY37="fluxo",IF(COUNT(F37:AJ37)=0,"",SUM(F37:AJ37)),IFERROR(LOOKUP(9.99E+307,F37:AJ37),"")))</f>
        <v/>
      </c>
      <c r="AN37" s="159" t="inlineStr">
        <is>
          <t xml:space="preserve">Desvios Comportamentais</t>
        </is>
      </c>
      <c r="AO37" s="159" t="inlineStr">
        <is>
          <t xml:space="preserve">GENTE</t>
        </is>
      </c>
      <c r="AP37" s="159">
        <v>32</v>
      </c>
      <c r="AQ37" s="159" t="inlineStr">
        <is>
          <t xml:space="preserve">fluxo</t>
        </is>
      </c>
      <c r="AR37" s="159">
        <v>31</v>
      </c>
      <c r="AS37" s="159" t="inlineStr">
        <is>
          <t xml:space="preserve">int</t>
        </is>
      </c>
      <c r="AT37" s="159">
        <f>IF($C$2="",0,IF(IFERROR(INDEX(Config!$AG$35:$AG$54,MATCH($C$2,Config!$B$35:$B$54,0)),"Sim")="Não",0,1))</f>
        <v>1</v>
      </c>
      <c r="AU37" s="159">
        <f>AU36+AT37</f>
        <v>16</v>
      </c>
      <c r="AW37" s="159">
        <f>IFERROR(MATCH(31,$AU$7:$AU$39,0),0)</f>
        <v>0</v>
      </c>
      <c r="AX37" s="159" t="str">
        <f>IF($AW37=0,"",INDEX($AP$7:$AP$39,$AW37))</f>
        <v/>
      </c>
      <c r="AY37" s="159" t="str">
        <f>IF($AW37=0,"",INDEX($AQ$7:$AQ$39,$AW37))</f>
        <v/>
      </c>
      <c r="AZ37" s="159" t="str">
        <f>IF($AW37=0,"",INDEX($AS$7:$AS$39,$AW37))</f>
        <v/>
      </c>
      <c r="BA37" s="159" t="str">
        <f>IF($AW37=0,"",INDEX($AR$7:$AR$39,$AW37))</f>
        <v/>
      </c>
    </row>
    <row r="38" ht="15.75" customHeight="1">
      <c r="A38" s="181"/>
      <c r="B38" s="167" t="str">
        <f>IF($AW38=0,"",INDEX($AO$7:$AO$39,$AW38))</f>
        <v/>
      </c>
      <c r="C38" s="168" t="str">
        <f>IF($AW38=0,"",INDEX($AN$7:$AN$39,$AW38))</f>
        <v/>
      </c>
      <c r="D38" s="169" t="str">
        <f>IF(OR($AW38=0,N($BA38)=0),"",IFERROR(1/(1/INDEX(BD!$AL$23:$BF$55,$BA38,MATCH($C$2,BD!$AL$22:$BF$22,0))),""))</f>
        <v/>
      </c>
      <c r="E38" s="170"/>
      <c r="F38" s="171" t="str">
        <f>IF(OR($AW38=0,F$5=""),"",IF($AY38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38),"&lt;&gt;")=0,"",SUMIFS(INDEX(BD!$A$3:$AI$5001,0,$AX38),BD!$A$3:$A$5001,F$5,BD!$B$3:$B$5001,$C$2))))</f>
        <v/>
      </c>
      <c r="G38" s="172" t="str">
        <f>IF(OR($AW38=0,G$5=""),"",IF($AY38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38),"&lt;&gt;")=0,"",SUMIFS(INDEX(BD!$A$3:$AI$5001,0,$AX38),BD!$A$3:$A$5001,G$5,BD!$B$3:$B$5001,$C$2))))</f>
        <v/>
      </c>
      <c r="H38" s="172" t="str">
        <f>IF(OR($AW38=0,H$5=""),"",IF($AY38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38),"&lt;&gt;")=0,"",SUMIFS(INDEX(BD!$A$3:$AI$5001,0,$AX38),BD!$A$3:$A$5001,H$5,BD!$B$3:$B$5001,$C$2))))</f>
        <v/>
      </c>
      <c r="I38" s="172" t="str">
        <f>IF(OR($AW38=0,I$5=""),"",IF($AY38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38),"&lt;&gt;")=0,"",SUMIFS(INDEX(BD!$A$3:$AI$5001,0,$AX38),BD!$A$3:$A$5001,I$5,BD!$B$3:$B$5001,$C$2))))</f>
        <v/>
      </c>
      <c r="J38" s="172" t="str">
        <f>IF(OR($AW38=0,J$5=""),"",IF($AY38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38),"&lt;&gt;")=0,"",SUMIFS(INDEX(BD!$A$3:$AI$5001,0,$AX38),BD!$A$3:$A$5001,J$5,BD!$B$3:$B$5001,$C$2))))</f>
        <v/>
      </c>
      <c r="K38" s="172" t="str">
        <f>IF(OR($AW38=0,K$5=""),"",IF($AY38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38),"&lt;&gt;")=0,"",SUMIFS(INDEX(BD!$A$3:$AI$5001,0,$AX38),BD!$A$3:$A$5001,K$5,BD!$B$3:$B$5001,$C$2))))</f>
        <v/>
      </c>
      <c r="L38" s="172" t="str">
        <f>IF(OR($AW38=0,L$5=""),"",IF($AY38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38),"&lt;&gt;")=0,"",SUMIFS(INDEX(BD!$A$3:$AI$5001,0,$AX38),BD!$A$3:$A$5001,L$5,BD!$B$3:$B$5001,$C$2))))</f>
        <v/>
      </c>
      <c r="M38" s="172" t="str">
        <f>IF(OR($AW38=0,M$5=""),"",IF($AY38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38),"&lt;&gt;")=0,"",SUMIFS(INDEX(BD!$A$3:$AI$5001,0,$AX38),BD!$A$3:$A$5001,M$5,BD!$B$3:$B$5001,$C$2))))</f>
        <v/>
      </c>
      <c r="N38" s="172" t="str">
        <f>IF(OR($AW38=0,N$5=""),"",IF($AY38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38),"&lt;&gt;")=0,"",SUMIFS(INDEX(BD!$A$3:$AI$5001,0,$AX38),BD!$A$3:$A$5001,N$5,BD!$B$3:$B$5001,$C$2))))</f>
        <v/>
      </c>
      <c r="O38" s="172" t="str">
        <f>IF(OR($AW38=0,O$5=""),"",IF($AY38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38),"&lt;&gt;")=0,"",SUMIFS(INDEX(BD!$A$3:$AI$5001,0,$AX38),BD!$A$3:$A$5001,O$5,BD!$B$3:$B$5001,$C$2))))</f>
        <v/>
      </c>
      <c r="P38" s="172" t="str">
        <f>IF(OR($AW38=0,P$5=""),"",IF($AY38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38),"&lt;&gt;")=0,"",SUMIFS(INDEX(BD!$A$3:$AI$5001,0,$AX38),BD!$A$3:$A$5001,P$5,BD!$B$3:$B$5001,$C$2))))</f>
        <v/>
      </c>
      <c r="Q38" s="172" t="str">
        <f>IF(OR($AW38=0,Q$5=""),"",IF($AY38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38),"&lt;&gt;")=0,"",SUMIFS(INDEX(BD!$A$3:$AI$5001,0,$AX38),BD!$A$3:$A$5001,Q$5,BD!$B$3:$B$5001,$C$2))))</f>
        <v/>
      </c>
      <c r="R38" s="172" t="str">
        <f>IF(OR($AW38=0,R$5=""),"",IF($AY38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38),"&lt;&gt;")=0,"",SUMIFS(INDEX(BD!$A$3:$AI$5001,0,$AX38),BD!$A$3:$A$5001,R$5,BD!$B$3:$B$5001,$C$2))))</f>
        <v/>
      </c>
      <c r="S38" s="172" t="str">
        <f>IF(OR($AW38=0,S$5=""),"",IF($AY38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38),"&lt;&gt;")=0,"",SUMIFS(INDEX(BD!$A$3:$AI$5001,0,$AX38),BD!$A$3:$A$5001,S$5,BD!$B$3:$B$5001,$C$2))))</f>
        <v/>
      </c>
      <c r="T38" s="172" t="str">
        <f>IF(OR($AW38=0,T$5=""),"",IF($AY38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38),"&lt;&gt;")=0,"",SUMIFS(INDEX(BD!$A$3:$AI$5001,0,$AX38),BD!$A$3:$A$5001,T$5,BD!$B$3:$B$5001,$C$2))))</f>
        <v/>
      </c>
      <c r="U38" s="172" t="str">
        <f>IF(OR($AW38=0,U$5=""),"",IF($AY38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38),"&lt;&gt;")=0,"",SUMIFS(INDEX(BD!$A$3:$AI$5001,0,$AX38),BD!$A$3:$A$5001,U$5,BD!$B$3:$B$5001,$C$2))))</f>
        <v/>
      </c>
      <c r="V38" s="172" t="str">
        <f>IF(OR($AW38=0,V$5=""),"",IF($AY38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38),"&lt;&gt;")=0,"",SUMIFS(INDEX(BD!$A$3:$AI$5001,0,$AX38),BD!$A$3:$A$5001,V$5,BD!$B$3:$B$5001,$C$2))))</f>
        <v/>
      </c>
      <c r="W38" s="172" t="str">
        <f>IF(OR($AW38=0,W$5=""),"",IF($AY38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38),"&lt;&gt;")=0,"",SUMIFS(INDEX(BD!$A$3:$AI$5001,0,$AX38),BD!$A$3:$A$5001,W$5,BD!$B$3:$B$5001,$C$2))))</f>
        <v/>
      </c>
      <c r="X38" s="172" t="str">
        <f>IF(OR($AW38=0,X$5=""),"",IF($AY38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38),"&lt;&gt;")=0,"",SUMIFS(INDEX(BD!$A$3:$AI$5001,0,$AX38),BD!$A$3:$A$5001,X$5,BD!$B$3:$B$5001,$C$2))))</f>
        <v/>
      </c>
      <c r="Y38" s="172" t="str">
        <f>IF(OR($AW38=0,Y$5=""),"",IF($AY38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38),"&lt;&gt;")=0,"",SUMIFS(INDEX(BD!$A$3:$AI$5001,0,$AX38),BD!$A$3:$A$5001,Y$5,BD!$B$3:$B$5001,$C$2))))</f>
        <v/>
      </c>
      <c r="Z38" s="172" t="str">
        <f>IF(OR($AW38=0,Z$5=""),"",IF($AY38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38),"&lt;&gt;")=0,"",SUMIFS(INDEX(BD!$A$3:$AI$5001,0,$AX38),BD!$A$3:$A$5001,Z$5,BD!$B$3:$B$5001,$C$2))))</f>
        <v/>
      </c>
      <c r="AA38" s="172" t="str">
        <f>IF(OR($AW38=0,AA$5=""),"",IF($AY38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38),"&lt;&gt;")=0,"",SUMIFS(INDEX(BD!$A$3:$AI$5001,0,$AX38),BD!$A$3:$A$5001,AA$5,BD!$B$3:$B$5001,$C$2))))</f>
        <v/>
      </c>
      <c r="AB38" s="172" t="str">
        <f>IF(OR($AW38=0,AB$5=""),"",IF($AY38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38),"&lt;&gt;")=0,"",SUMIFS(INDEX(BD!$A$3:$AI$5001,0,$AX38),BD!$A$3:$A$5001,AB$5,BD!$B$3:$B$5001,$C$2))))</f>
        <v/>
      </c>
      <c r="AC38" s="172" t="str">
        <f>IF(OR($AW38=0,AC$5=""),"",IF($AY38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38),"&lt;&gt;")=0,"",SUMIFS(INDEX(BD!$A$3:$AI$5001,0,$AX38),BD!$A$3:$A$5001,AC$5,BD!$B$3:$B$5001,$C$2))))</f>
        <v/>
      </c>
      <c r="AD38" s="172" t="str">
        <f>IF(OR($AW38=0,AD$5=""),"",IF($AY38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38),"&lt;&gt;")=0,"",SUMIFS(INDEX(BD!$A$3:$AI$5001,0,$AX38),BD!$A$3:$A$5001,AD$5,BD!$B$3:$B$5001,$C$2))))</f>
        <v/>
      </c>
      <c r="AE38" s="172" t="str">
        <f>IF(OR($AW38=0,AE$5=""),"",IF($AY38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38),"&lt;&gt;")=0,"",SUMIFS(INDEX(BD!$A$3:$AI$5001,0,$AX38),BD!$A$3:$A$5001,AE$5,BD!$B$3:$B$5001,$C$2))))</f>
        <v/>
      </c>
      <c r="AF38" s="172" t="str">
        <f>IF(OR($AW38=0,AF$5=""),"",IF($AY38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38),"&lt;&gt;")=0,"",SUMIFS(INDEX(BD!$A$3:$AI$5001,0,$AX38),BD!$A$3:$A$5001,AF$5,BD!$B$3:$B$5001,$C$2))))</f>
        <v/>
      </c>
      <c r="AG38" s="172" t="str">
        <f>IF(OR($AW38=0,AG$5=""),"",IF($AY38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38),"&lt;&gt;")=0,"",SUMIFS(INDEX(BD!$A$3:$AI$5001,0,$AX38),BD!$A$3:$A$5001,AG$5,BD!$B$3:$B$5001,$C$2))))</f>
        <v/>
      </c>
      <c r="AH38" s="172" t="str">
        <f>IF(OR($AW38=0,AH$5=""),"",IF($AY38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38),"&lt;&gt;")=0,"",SUMIFS(INDEX(BD!$A$3:$AI$5001,0,$AX38),BD!$A$3:$A$5001,AH$5,BD!$B$3:$B$5001,$C$2))))</f>
        <v/>
      </c>
      <c r="AI38" s="172" t="str">
        <f>IF(OR($AW38=0,AI$5=""),"",IF($AY38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38),"&lt;&gt;")=0,"",SUMIFS(INDEX(BD!$A$3:$AI$5001,0,$AX38),BD!$A$3:$A$5001,AI$5,BD!$B$3:$B$5001,$C$2))))</f>
        <v/>
      </c>
      <c r="AJ38" s="173" t="str">
        <f>IF(OR($AW38=0,AJ$5=""),"",IF($AY38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38),"&lt;&gt;")=0,"",SUMIFS(INDEX(BD!$A$3:$AI$5001,0,$AX38),BD!$A$3:$A$5001,AJ$5,BD!$B$3:$B$5001,$C$2))))</f>
        <v/>
      </c>
      <c r="AK38" s="169" t="str">
        <f>IF($AW38=0,"",IF($AY38="fluxo",IF(COUNT(F38:AJ38)=0,"",SUM(F38:AJ38)),IFERROR(LOOKUP(9.99E+307,F38:AJ38),"")))</f>
        <v/>
      </c>
      <c r="AN38" s="159" t="inlineStr">
        <is>
          <t xml:space="preserve">Acidentes CAF</t>
        </is>
      </c>
      <c r="AO38" s="159" t="inlineStr">
        <is>
          <t xml:space="preserve">GENTE</t>
        </is>
      </c>
      <c r="AP38" s="159">
        <v>33</v>
      </c>
      <c r="AQ38" s="159" t="inlineStr">
        <is>
          <t xml:space="preserve">fluxo</t>
        </is>
      </c>
      <c r="AR38" s="159">
        <v>32</v>
      </c>
      <c r="AS38" s="159" t="inlineStr">
        <is>
          <t xml:space="preserve">int</t>
        </is>
      </c>
      <c r="AT38" s="159">
        <f>IF($C$2="",0,IF(IFERROR(INDEX(Config!$AH$35:$AH$54,MATCH($C$2,Config!$B$35:$B$54,0)),"Sim")="Não",0,1))</f>
        <v>1</v>
      </c>
      <c r="AU38" s="159">
        <f>AU37+AT38</f>
        <v>17</v>
      </c>
      <c r="AW38" s="159">
        <f>IFERROR(MATCH(32,$AU$7:$AU$39,0),0)</f>
        <v>0</v>
      </c>
      <c r="AX38" s="159" t="str">
        <f>IF($AW38=0,"",INDEX($AP$7:$AP$39,$AW38))</f>
        <v/>
      </c>
      <c r="AY38" s="159" t="str">
        <f>IF($AW38=0,"",INDEX($AQ$7:$AQ$39,$AW38))</f>
        <v/>
      </c>
      <c r="AZ38" s="159" t="str">
        <f>IF($AW38=0,"",INDEX($AS$7:$AS$39,$AW38))</f>
        <v/>
      </c>
      <c r="BA38" s="159" t="str">
        <f>IF($AW38=0,"",INDEX($AR$7:$AR$39,$AW38))</f>
        <v/>
      </c>
    </row>
    <row r="39" ht="15.75" customHeight="1">
      <c r="A39" s="181"/>
      <c r="B39" s="174" t="str">
        <f>IF($AW39=0,"",INDEX($AO$7:$AO$39,$AW39))</f>
        <v/>
      </c>
      <c r="C39" s="175" t="str">
        <f>IF($AW39=0,"",INDEX($AN$7:$AN$39,$AW39))</f>
        <v/>
      </c>
      <c r="D39" s="176" t="str">
        <f>IF(OR($AW39=0,N($BA39)=0),"",IFERROR(1/(1/INDEX(BD!$AL$23:$BF$55,$BA39,MATCH($C$2,BD!$AL$22:$BF$22,0))),""))</f>
        <v/>
      </c>
      <c r="E39" s="177"/>
      <c r="F39" s="178" t="str">
        <f>IF(OR($AW39=0,F$5=""),"",IF($AY39="taxa",IF(COUNTIFS(BD!$A$3:$A$5001,F$5,BD!$B$3:$B$5001,$C$2,BD!$Z$3:$Z$5001,"&lt;&gt;")=0,"",IFERROR(SUMIFS(BD!$Z$3:$Z$5001,BD!$A$3:$A$5001,F$5,BD!$B$3:$B$5001,$C$2)/SUMIFS(BD!$Y$3:$Y$5001,BD!$A$3:$A$5001,F$5,BD!$B$3:$B$5001,$C$2),"")),IF(COUNTIFS(BD!$A$3:$A$5001,F$5,BD!$B$3:$B$5001,$C$2,INDEX(BD!$A$3:$AI$5001,0,$AX39),"&lt;&gt;")=0,"",SUMIFS(INDEX(BD!$A$3:$AI$5001,0,$AX39),BD!$A$3:$A$5001,F$5,BD!$B$3:$B$5001,$C$2))))</f>
        <v/>
      </c>
      <c r="G39" s="179" t="str">
        <f>IF(OR($AW39=0,G$5=""),"",IF($AY39="taxa",IF(COUNTIFS(BD!$A$3:$A$5001,G$5,BD!$B$3:$B$5001,$C$2,BD!$Z$3:$Z$5001,"&lt;&gt;")=0,"",IFERROR(SUMIFS(BD!$Z$3:$Z$5001,BD!$A$3:$A$5001,G$5,BD!$B$3:$B$5001,$C$2)/SUMIFS(BD!$Y$3:$Y$5001,BD!$A$3:$A$5001,G$5,BD!$B$3:$B$5001,$C$2),"")),IF(COUNTIFS(BD!$A$3:$A$5001,G$5,BD!$B$3:$B$5001,$C$2,INDEX(BD!$A$3:$AI$5001,0,$AX39),"&lt;&gt;")=0,"",SUMIFS(INDEX(BD!$A$3:$AI$5001,0,$AX39),BD!$A$3:$A$5001,G$5,BD!$B$3:$B$5001,$C$2))))</f>
        <v/>
      </c>
      <c r="H39" s="179" t="str">
        <f>IF(OR($AW39=0,H$5=""),"",IF($AY39="taxa",IF(COUNTIFS(BD!$A$3:$A$5001,H$5,BD!$B$3:$B$5001,$C$2,BD!$Z$3:$Z$5001,"&lt;&gt;")=0,"",IFERROR(SUMIFS(BD!$Z$3:$Z$5001,BD!$A$3:$A$5001,H$5,BD!$B$3:$B$5001,$C$2)/SUMIFS(BD!$Y$3:$Y$5001,BD!$A$3:$A$5001,H$5,BD!$B$3:$B$5001,$C$2),"")),IF(COUNTIFS(BD!$A$3:$A$5001,H$5,BD!$B$3:$B$5001,$C$2,INDEX(BD!$A$3:$AI$5001,0,$AX39),"&lt;&gt;")=0,"",SUMIFS(INDEX(BD!$A$3:$AI$5001,0,$AX39),BD!$A$3:$A$5001,H$5,BD!$B$3:$B$5001,$C$2))))</f>
        <v/>
      </c>
      <c r="I39" s="179" t="str">
        <f>IF(OR($AW39=0,I$5=""),"",IF($AY39="taxa",IF(COUNTIFS(BD!$A$3:$A$5001,I$5,BD!$B$3:$B$5001,$C$2,BD!$Z$3:$Z$5001,"&lt;&gt;")=0,"",IFERROR(SUMIFS(BD!$Z$3:$Z$5001,BD!$A$3:$A$5001,I$5,BD!$B$3:$B$5001,$C$2)/SUMIFS(BD!$Y$3:$Y$5001,BD!$A$3:$A$5001,I$5,BD!$B$3:$B$5001,$C$2),"")),IF(COUNTIFS(BD!$A$3:$A$5001,I$5,BD!$B$3:$B$5001,$C$2,INDEX(BD!$A$3:$AI$5001,0,$AX39),"&lt;&gt;")=0,"",SUMIFS(INDEX(BD!$A$3:$AI$5001,0,$AX39),BD!$A$3:$A$5001,I$5,BD!$B$3:$B$5001,$C$2))))</f>
        <v/>
      </c>
      <c r="J39" s="179" t="str">
        <f>IF(OR($AW39=0,J$5=""),"",IF($AY39="taxa",IF(COUNTIFS(BD!$A$3:$A$5001,J$5,BD!$B$3:$B$5001,$C$2,BD!$Z$3:$Z$5001,"&lt;&gt;")=0,"",IFERROR(SUMIFS(BD!$Z$3:$Z$5001,BD!$A$3:$A$5001,J$5,BD!$B$3:$B$5001,$C$2)/SUMIFS(BD!$Y$3:$Y$5001,BD!$A$3:$A$5001,J$5,BD!$B$3:$B$5001,$C$2),"")),IF(COUNTIFS(BD!$A$3:$A$5001,J$5,BD!$B$3:$B$5001,$C$2,INDEX(BD!$A$3:$AI$5001,0,$AX39),"&lt;&gt;")=0,"",SUMIFS(INDEX(BD!$A$3:$AI$5001,0,$AX39),BD!$A$3:$A$5001,J$5,BD!$B$3:$B$5001,$C$2))))</f>
        <v/>
      </c>
      <c r="K39" s="179" t="str">
        <f>IF(OR($AW39=0,K$5=""),"",IF($AY39="taxa",IF(COUNTIFS(BD!$A$3:$A$5001,K$5,BD!$B$3:$B$5001,$C$2,BD!$Z$3:$Z$5001,"&lt;&gt;")=0,"",IFERROR(SUMIFS(BD!$Z$3:$Z$5001,BD!$A$3:$A$5001,K$5,BD!$B$3:$B$5001,$C$2)/SUMIFS(BD!$Y$3:$Y$5001,BD!$A$3:$A$5001,K$5,BD!$B$3:$B$5001,$C$2),"")),IF(COUNTIFS(BD!$A$3:$A$5001,K$5,BD!$B$3:$B$5001,$C$2,INDEX(BD!$A$3:$AI$5001,0,$AX39),"&lt;&gt;")=0,"",SUMIFS(INDEX(BD!$A$3:$AI$5001,0,$AX39),BD!$A$3:$A$5001,K$5,BD!$B$3:$B$5001,$C$2))))</f>
        <v/>
      </c>
      <c r="L39" s="179" t="str">
        <f>IF(OR($AW39=0,L$5=""),"",IF($AY39="taxa",IF(COUNTIFS(BD!$A$3:$A$5001,L$5,BD!$B$3:$B$5001,$C$2,BD!$Z$3:$Z$5001,"&lt;&gt;")=0,"",IFERROR(SUMIFS(BD!$Z$3:$Z$5001,BD!$A$3:$A$5001,L$5,BD!$B$3:$B$5001,$C$2)/SUMIFS(BD!$Y$3:$Y$5001,BD!$A$3:$A$5001,L$5,BD!$B$3:$B$5001,$C$2),"")),IF(COUNTIFS(BD!$A$3:$A$5001,L$5,BD!$B$3:$B$5001,$C$2,INDEX(BD!$A$3:$AI$5001,0,$AX39),"&lt;&gt;")=0,"",SUMIFS(INDEX(BD!$A$3:$AI$5001,0,$AX39),BD!$A$3:$A$5001,L$5,BD!$B$3:$B$5001,$C$2))))</f>
        <v/>
      </c>
      <c r="M39" s="179" t="str">
        <f>IF(OR($AW39=0,M$5=""),"",IF($AY39="taxa",IF(COUNTIFS(BD!$A$3:$A$5001,M$5,BD!$B$3:$B$5001,$C$2,BD!$Z$3:$Z$5001,"&lt;&gt;")=0,"",IFERROR(SUMIFS(BD!$Z$3:$Z$5001,BD!$A$3:$A$5001,M$5,BD!$B$3:$B$5001,$C$2)/SUMIFS(BD!$Y$3:$Y$5001,BD!$A$3:$A$5001,M$5,BD!$B$3:$B$5001,$C$2),"")),IF(COUNTIFS(BD!$A$3:$A$5001,M$5,BD!$B$3:$B$5001,$C$2,INDEX(BD!$A$3:$AI$5001,0,$AX39),"&lt;&gt;")=0,"",SUMIFS(INDEX(BD!$A$3:$AI$5001,0,$AX39),BD!$A$3:$A$5001,M$5,BD!$B$3:$B$5001,$C$2))))</f>
        <v/>
      </c>
      <c r="N39" s="179" t="str">
        <f>IF(OR($AW39=0,N$5=""),"",IF($AY39="taxa",IF(COUNTIFS(BD!$A$3:$A$5001,N$5,BD!$B$3:$B$5001,$C$2,BD!$Z$3:$Z$5001,"&lt;&gt;")=0,"",IFERROR(SUMIFS(BD!$Z$3:$Z$5001,BD!$A$3:$A$5001,N$5,BD!$B$3:$B$5001,$C$2)/SUMIFS(BD!$Y$3:$Y$5001,BD!$A$3:$A$5001,N$5,BD!$B$3:$B$5001,$C$2),"")),IF(COUNTIFS(BD!$A$3:$A$5001,N$5,BD!$B$3:$B$5001,$C$2,INDEX(BD!$A$3:$AI$5001,0,$AX39),"&lt;&gt;")=0,"",SUMIFS(INDEX(BD!$A$3:$AI$5001,0,$AX39),BD!$A$3:$A$5001,N$5,BD!$B$3:$B$5001,$C$2))))</f>
        <v/>
      </c>
      <c r="O39" s="179" t="str">
        <f>IF(OR($AW39=0,O$5=""),"",IF($AY39="taxa",IF(COUNTIFS(BD!$A$3:$A$5001,O$5,BD!$B$3:$B$5001,$C$2,BD!$Z$3:$Z$5001,"&lt;&gt;")=0,"",IFERROR(SUMIFS(BD!$Z$3:$Z$5001,BD!$A$3:$A$5001,O$5,BD!$B$3:$B$5001,$C$2)/SUMIFS(BD!$Y$3:$Y$5001,BD!$A$3:$A$5001,O$5,BD!$B$3:$B$5001,$C$2),"")),IF(COUNTIFS(BD!$A$3:$A$5001,O$5,BD!$B$3:$B$5001,$C$2,INDEX(BD!$A$3:$AI$5001,0,$AX39),"&lt;&gt;")=0,"",SUMIFS(INDEX(BD!$A$3:$AI$5001,0,$AX39),BD!$A$3:$A$5001,O$5,BD!$B$3:$B$5001,$C$2))))</f>
        <v/>
      </c>
      <c r="P39" s="179" t="str">
        <f>IF(OR($AW39=0,P$5=""),"",IF($AY39="taxa",IF(COUNTIFS(BD!$A$3:$A$5001,P$5,BD!$B$3:$B$5001,$C$2,BD!$Z$3:$Z$5001,"&lt;&gt;")=0,"",IFERROR(SUMIFS(BD!$Z$3:$Z$5001,BD!$A$3:$A$5001,P$5,BD!$B$3:$B$5001,$C$2)/SUMIFS(BD!$Y$3:$Y$5001,BD!$A$3:$A$5001,P$5,BD!$B$3:$B$5001,$C$2),"")),IF(COUNTIFS(BD!$A$3:$A$5001,P$5,BD!$B$3:$B$5001,$C$2,INDEX(BD!$A$3:$AI$5001,0,$AX39),"&lt;&gt;")=0,"",SUMIFS(INDEX(BD!$A$3:$AI$5001,0,$AX39),BD!$A$3:$A$5001,P$5,BD!$B$3:$B$5001,$C$2))))</f>
        <v/>
      </c>
      <c r="Q39" s="179" t="str">
        <f>IF(OR($AW39=0,Q$5=""),"",IF($AY39="taxa",IF(COUNTIFS(BD!$A$3:$A$5001,Q$5,BD!$B$3:$B$5001,$C$2,BD!$Z$3:$Z$5001,"&lt;&gt;")=0,"",IFERROR(SUMIFS(BD!$Z$3:$Z$5001,BD!$A$3:$A$5001,Q$5,BD!$B$3:$B$5001,$C$2)/SUMIFS(BD!$Y$3:$Y$5001,BD!$A$3:$A$5001,Q$5,BD!$B$3:$B$5001,$C$2),"")),IF(COUNTIFS(BD!$A$3:$A$5001,Q$5,BD!$B$3:$B$5001,$C$2,INDEX(BD!$A$3:$AI$5001,0,$AX39),"&lt;&gt;")=0,"",SUMIFS(INDEX(BD!$A$3:$AI$5001,0,$AX39),BD!$A$3:$A$5001,Q$5,BD!$B$3:$B$5001,$C$2))))</f>
        <v/>
      </c>
      <c r="R39" s="179" t="str">
        <f>IF(OR($AW39=0,R$5=""),"",IF($AY39="taxa",IF(COUNTIFS(BD!$A$3:$A$5001,R$5,BD!$B$3:$B$5001,$C$2,BD!$Z$3:$Z$5001,"&lt;&gt;")=0,"",IFERROR(SUMIFS(BD!$Z$3:$Z$5001,BD!$A$3:$A$5001,R$5,BD!$B$3:$B$5001,$C$2)/SUMIFS(BD!$Y$3:$Y$5001,BD!$A$3:$A$5001,R$5,BD!$B$3:$B$5001,$C$2),"")),IF(COUNTIFS(BD!$A$3:$A$5001,R$5,BD!$B$3:$B$5001,$C$2,INDEX(BD!$A$3:$AI$5001,0,$AX39),"&lt;&gt;")=0,"",SUMIFS(INDEX(BD!$A$3:$AI$5001,0,$AX39),BD!$A$3:$A$5001,R$5,BD!$B$3:$B$5001,$C$2))))</f>
        <v/>
      </c>
      <c r="S39" s="179" t="str">
        <f>IF(OR($AW39=0,S$5=""),"",IF($AY39="taxa",IF(COUNTIFS(BD!$A$3:$A$5001,S$5,BD!$B$3:$B$5001,$C$2,BD!$Z$3:$Z$5001,"&lt;&gt;")=0,"",IFERROR(SUMIFS(BD!$Z$3:$Z$5001,BD!$A$3:$A$5001,S$5,BD!$B$3:$B$5001,$C$2)/SUMIFS(BD!$Y$3:$Y$5001,BD!$A$3:$A$5001,S$5,BD!$B$3:$B$5001,$C$2),"")),IF(COUNTIFS(BD!$A$3:$A$5001,S$5,BD!$B$3:$B$5001,$C$2,INDEX(BD!$A$3:$AI$5001,0,$AX39),"&lt;&gt;")=0,"",SUMIFS(INDEX(BD!$A$3:$AI$5001,0,$AX39),BD!$A$3:$A$5001,S$5,BD!$B$3:$B$5001,$C$2))))</f>
        <v/>
      </c>
      <c r="T39" s="179" t="str">
        <f>IF(OR($AW39=0,T$5=""),"",IF($AY39="taxa",IF(COUNTIFS(BD!$A$3:$A$5001,T$5,BD!$B$3:$B$5001,$C$2,BD!$Z$3:$Z$5001,"&lt;&gt;")=0,"",IFERROR(SUMIFS(BD!$Z$3:$Z$5001,BD!$A$3:$A$5001,T$5,BD!$B$3:$B$5001,$C$2)/SUMIFS(BD!$Y$3:$Y$5001,BD!$A$3:$A$5001,T$5,BD!$B$3:$B$5001,$C$2),"")),IF(COUNTIFS(BD!$A$3:$A$5001,T$5,BD!$B$3:$B$5001,$C$2,INDEX(BD!$A$3:$AI$5001,0,$AX39),"&lt;&gt;")=0,"",SUMIFS(INDEX(BD!$A$3:$AI$5001,0,$AX39),BD!$A$3:$A$5001,T$5,BD!$B$3:$B$5001,$C$2))))</f>
        <v/>
      </c>
      <c r="U39" s="179" t="str">
        <f>IF(OR($AW39=0,U$5=""),"",IF($AY39="taxa",IF(COUNTIFS(BD!$A$3:$A$5001,U$5,BD!$B$3:$B$5001,$C$2,BD!$Z$3:$Z$5001,"&lt;&gt;")=0,"",IFERROR(SUMIFS(BD!$Z$3:$Z$5001,BD!$A$3:$A$5001,U$5,BD!$B$3:$B$5001,$C$2)/SUMIFS(BD!$Y$3:$Y$5001,BD!$A$3:$A$5001,U$5,BD!$B$3:$B$5001,$C$2),"")),IF(COUNTIFS(BD!$A$3:$A$5001,U$5,BD!$B$3:$B$5001,$C$2,INDEX(BD!$A$3:$AI$5001,0,$AX39),"&lt;&gt;")=0,"",SUMIFS(INDEX(BD!$A$3:$AI$5001,0,$AX39),BD!$A$3:$A$5001,U$5,BD!$B$3:$B$5001,$C$2))))</f>
        <v/>
      </c>
      <c r="V39" s="179" t="str">
        <f>IF(OR($AW39=0,V$5=""),"",IF($AY39="taxa",IF(COUNTIFS(BD!$A$3:$A$5001,V$5,BD!$B$3:$B$5001,$C$2,BD!$Z$3:$Z$5001,"&lt;&gt;")=0,"",IFERROR(SUMIFS(BD!$Z$3:$Z$5001,BD!$A$3:$A$5001,V$5,BD!$B$3:$B$5001,$C$2)/SUMIFS(BD!$Y$3:$Y$5001,BD!$A$3:$A$5001,V$5,BD!$B$3:$B$5001,$C$2),"")),IF(COUNTIFS(BD!$A$3:$A$5001,V$5,BD!$B$3:$B$5001,$C$2,INDEX(BD!$A$3:$AI$5001,0,$AX39),"&lt;&gt;")=0,"",SUMIFS(INDEX(BD!$A$3:$AI$5001,0,$AX39),BD!$A$3:$A$5001,V$5,BD!$B$3:$B$5001,$C$2))))</f>
        <v/>
      </c>
      <c r="W39" s="179" t="str">
        <f>IF(OR($AW39=0,W$5=""),"",IF($AY39="taxa",IF(COUNTIFS(BD!$A$3:$A$5001,W$5,BD!$B$3:$B$5001,$C$2,BD!$Z$3:$Z$5001,"&lt;&gt;")=0,"",IFERROR(SUMIFS(BD!$Z$3:$Z$5001,BD!$A$3:$A$5001,W$5,BD!$B$3:$B$5001,$C$2)/SUMIFS(BD!$Y$3:$Y$5001,BD!$A$3:$A$5001,W$5,BD!$B$3:$B$5001,$C$2),"")),IF(COUNTIFS(BD!$A$3:$A$5001,W$5,BD!$B$3:$B$5001,$C$2,INDEX(BD!$A$3:$AI$5001,0,$AX39),"&lt;&gt;")=0,"",SUMIFS(INDEX(BD!$A$3:$AI$5001,0,$AX39),BD!$A$3:$A$5001,W$5,BD!$B$3:$B$5001,$C$2))))</f>
        <v/>
      </c>
      <c r="X39" s="179" t="str">
        <f>IF(OR($AW39=0,X$5=""),"",IF($AY39="taxa",IF(COUNTIFS(BD!$A$3:$A$5001,X$5,BD!$B$3:$B$5001,$C$2,BD!$Z$3:$Z$5001,"&lt;&gt;")=0,"",IFERROR(SUMIFS(BD!$Z$3:$Z$5001,BD!$A$3:$A$5001,X$5,BD!$B$3:$B$5001,$C$2)/SUMIFS(BD!$Y$3:$Y$5001,BD!$A$3:$A$5001,X$5,BD!$B$3:$B$5001,$C$2),"")),IF(COUNTIFS(BD!$A$3:$A$5001,X$5,BD!$B$3:$B$5001,$C$2,INDEX(BD!$A$3:$AI$5001,0,$AX39),"&lt;&gt;")=0,"",SUMIFS(INDEX(BD!$A$3:$AI$5001,0,$AX39),BD!$A$3:$A$5001,X$5,BD!$B$3:$B$5001,$C$2))))</f>
        <v/>
      </c>
      <c r="Y39" s="179" t="str">
        <f>IF(OR($AW39=0,Y$5=""),"",IF($AY39="taxa",IF(COUNTIFS(BD!$A$3:$A$5001,Y$5,BD!$B$3:$B$5001,$C$2,BD!$Z$3:$Z$5001,"&lt;&gt;")=0,"",IFERROR(SUMIFS(BD!$Z$3:$Z$5001,BD!$A$3:$A$5001,Y$5,BD!$B$3:$B$5001,$C$2)/SUMIFS(BD!$Y$3:$Y$5001,BD!$A$3:$A$5001,Y$5,BD!$B$3:$B$5001,$C$2),"")),IF(COUNTIFS(BD!$A$3:$A$5001,Y$5,BD!$B$3:$B$5001,$C$2,INDEX(BD!$A$3:$AI$5001,0,$AX39),"&lt;&gt;")=0,"",SUMIFS(INDEX(BD!$A$3:$AI$5001,0,$AX39),BD!$A$3:$A$5001,Y$5,BD!$B$3:$B$5001,$C$2))))</f>
        <v/>
      </c>
      <c r="Z39" s="179" t="str">
        <f>IF(OR($AW39=0,Z$5=""),"",IF($AY39="taxa",IF(COUNTIFS(BD!$A$3:$A$5001,Z$5,BD!$B$3:$B$5001,$C$2,BD!$Z$3:$Z$5001,"&lt;&gt;")=0,"",IFERROR(SUMIFS(BD!$Z$3:$Z$5001,BD!$A$3:$A$5001,Z$5,BD!$B$3:$B$5001,$C$2)/SUMIFS(BD!$Y$3:$Y$5001,BD!$A$3:$A$5001,Z$5,BD!$B$3:$B$5001,$C$2),"")),IF(COUNTIFS(BD!$A$3:$A$5001,Z$5,BD!$B$3:$B$5001,$C$2,INDEX(BD!$A$3:$AI$5001,0,$AX39),"&lt;&gt;")=0,"",SUMIFS(INDEX(BD!$A$3:$AI$5001,0,$AX39),BD!$A$3:$A$5001,Z$5,BD!$B$3:$B$5001,$C$2))))</f>
        <v/>
      </c>
      <c r="AA39" s="179" t="str">
        <f>IF(OR($AW39=0,AA$5=""),"",IF($AY39="taxa",IF(COUNTIFS(BD!$A$3:$A$5001,AA$5,BD!$B$3:$B$5001,$C$2,BD!$Z$3:$Z$5001,"&lt;&gt;")=0,"",IFERROR(SUMIFS(BD!$Z$3:$Z$5001,BD!$A$3:$A$5001,AA$5,BD!$B$3:$B$5001,$C$2)/SUMIFS(BD!$Y$3:$Y$5001,BD!$A$3:$A$5001,AA$5,BD!$B$3:$B$5001,$C$2),"")),IF(COUNTIFS(BD!$A$3:$A$5001,AA$5,BD!$B$3:$B$5001,$C$2,INDEX(BD!$A$3:$AI$5001,0,$AX39),"&lt;&gt;")=0,"",SUMIFS(INDEX(BD!$A$3:$AI$5001,0,$AX39),BD!$A$3:$A$5001,AA$5,BD!$B$3:$B$5001,$C$2))))</f>
        <v/>
      </c>
      <c r="AB39" s="179" t="str">
        <f>IF(OR($AW39=0,AB$5=""),"",IF($AY39="taxa",IF(COUNTIFS(BD!$A$3:$A$5001,AB$5,BD!$B$3:$B$5001,$C$2,BD!$Z$3:$Z$5001,"&lt;&gt;")=0,"",IFERROR(SUMIFS(BD!$Z$3:$Z$5001,BD!$A$3:$A$5001,AB$5,BD!$B$3:$B$5001,$C$2)/SUMIFS(BD!$Y$3:$Y$5001,BD!$A$3:$A$5001,AB$5,BD!$B$3:$B$5001,$C$2),"")),IF(COUNTIFS(BD!$A$3:$A$5001,AB$5,BD!$B$3:$B$5001,$C$2,INDEX(BD!$A$3:$AI$5001,0,$AX39),"&lt;&gt;")=0,"",SUMIFS(INDEX(BD!$A$3:$AI$5001,0,$AX39),BD!$A$3:$A$5001,AB$5,BD!$B$3:$B$5001,$C$2))))</f>
        <v/>
      </c>
      <c r="AC39" s="179" t="str">
        <f>IF(OR($AW39=0,AC$5=""),"",IF($AY39="taxa",IF(COUNTIFS(BD!$A$3:$A$5001,AC$5,BD!$B$3:$B$5001,$C$2,BD!$Z$3:$Z$5001,"&lt;&gt;")=0,"",IFERROR(SUMIFS(BD!$Z$3:$Z$5001,BD!$A$3:$A$5001,AC$5,BD!$B$3:$B$5001,$C$2)/SUMIFS(BD!$Y$3:$Y$5001,BD!$A$3:$A$5001,AC$5,BD!$B$3:$B$5001,$C$2),"")),IF(COUNTIFS(BD!$A$3:$A$5001,AC$5,BD!$B$3:$B$5001,$C$2,INDEX(BD!$A$3:$AI$5001,0,$AX39),"&lt;&gt;")=0,"",SUMIFS(INDEX(BD!$A$3:$AI$5001,0,$AX39),BD!$A$3:$A$5001,AC$5,BD!$B$3:$B$5001,$C$2))))</f>
        <v/>
      </c>
      <c r="AD39" s="179" t="str">
        <f>IF(OR($AW39=0,AD$5=""),"",IF($AY39="taxa",IF(COUNTIFS(BD!$A$3:$A$5001,AD$5,BD!$B$3:$B$5001,$C$2,BD!$Z$3:$Z$5001,"&lt;&gt;")=0,"",IFERROR(SUMIFS(BD!$Z$3:$Z$5001,BD!$A$3:$A$5001,AD$5,BD!$B$3:$B$5001,$C$2)/SUMIFS(BD!$Y$3:$Y$5001,BD!$A$3:$A$5001,AD$5,BD!$B$3:$B$5001,$C$2),"")),IF(COUNTIFS(BD!$A$3:$A$5001,AD$5,BD!$B$3:$B$5001,$C$2,INDEX(BD!$A$3:$AI$5001,0,$AX39),"&lt;&gt;")=0,"",SUMIFS(INDEX(BD!$A$3:$AI$5001,0,$AX39),BD!$A$3:$A$5001,AD$5,BD!$B$3:$B$5001,$C$2))))</f>
        <v/>
      </c>
      <c r="AE39" s="179" t="str">
        <f>IF(OR($AW39=0,AE$5=""),"",IF($AY39="taxa",IF(COUNTIFS(BD!$A$3:$A$5001,AE$5,BD!$B$3:$B$5001,$C$2,BD!$Z$3:$Z$5001,"&lt;&gt;")=0,"",IFERROR(SUMIFS(BD!$Z$3:$Z$5001,BD!$A$3:$A$5001,AE$5,BD!$B$3:$B$5001,$C$2)/SUMIFS(BD!$Y$3:$Y$5001,BD!$A$3:$A$5001,AE$5,BD!$B$3:$B$5001,$C$2),"")),IF(COUNTIFS(BD!$A$3:$A$5001,AE$5,BD!$B$3:$B$5001,$C$2,INDEX(BD!$A$3:$AI$5001,0,$AX39),"&lt;&gt;")=0,"",SUMIFS(INDEX(BD!$A$3:$AI$5001,0,$AX39),BD!$A$3:$A$5001,AE$5,BD!$B$3:$B$5001,$C$2))))</f>
        <v/>
      </c>
      <c r="AF39" s="179" t="str">
        <f>IF(OR($AW39=0,AF$5=""),"",IF($AY39="taxa",IF(COUNTIFS(BD!$A$3:$A$5001,AF$5,BD!$B$3:$B$5001,$C$2,BD!$Z$3:$Z$5001,"&lt;&gt;")=0,"",IFERROR(SUMIFS(BD!$Z$3:$Z$5001,BD!$A$3:$A$5001,AF$5,BD!$B$3:$B$5001,$C$2)/SUMIFS(BD!$Y$3:$Y$5001,BD!$A$3:$A$5001,AF$5,BD!$B$3:$B$5001,$C$2),"")),IF(COUNTIFS(BD!$A$3:$A$5001,AF$5,BD!$B$3:$B$5001,$C$2,INDEX(BD!$A$3:$AI$5001,0,$AX39),"&lt;&gt;")=0,"",SUMIFS(INDEX(BD!$A$3:$AI$5001,0,$AX39),BD!$A$3:$A$5001,AF$5,BD!$B$3:$B$5001,$C$2))))</f>
        <v/>
      </c>
      <c r="AG39" s="179" t="str">
        <f>IF(OR($AW39=0,AG$5=""),"",IF($AY39="taxa",IF(COUNTIFS(BD!$A$3:$A$5001,AG$5,BD!$B$3:$B$5001,$C$2,BD!$Z$3:$Z$5001,"&lt;&gt;")=0,"",IFERROR(SUMIFS(BD!$Z$3:$Z$5001,BD!$A$3:$A$5001,AG$5,BD!$B$3:$B$5001,$C$2)/SUMIFS(BD!$Y$3:$Y$5001,BD!$A$3:$A$5001,AG$5,BD!$B$3:$B$5001,$C$2),"")),IF(COUNTIFS(BD!$A$3:$A$5001,AG$5,BD!$B$3:$B$5001,$C$2,INDEX(BD!$A$3:$AI$5001,0,$AX39),"&lt;&gt;")=0,"",SUMIFS(INDEX(BD!$A$3:$AI$5001,0,$AX39),BD!$A$3:$A$5001,AG$5,BD!$B$3:$B$5001,$C$2))))</f>
        <v/>
      </c>
      <c r="AH39" s="179" t="str">
        <f>IF(OR($AW39=0,AH$5=""),"",IF($AY39="taxa",IF(COUNTIFS(BD!$A$3:$A$5001,AH$5,BD!$B$3:$B$5001,$C$2,BD!$Z$3:$Z$5001,"&lt;&gt;")=0,"",IFERROR(SUMIFS(BD!$Z$3:$Z$5001,BD!$A$3:$A$5001,AH$5,BD!$B$3:$B$5001,$C$2)/SUMIFS(BD!$Y$3:$Y$5001,BD!$A$3:$A$5001,AH$5,BD!$B$3:$B$5001,$C$2),"")),IF(COUNTIFS(BD!$A$3:$A$5001,AH$5,BD!$B$3:$B$5001,$C$2,INDEX(BD!$A$3:$AI$5001,0,$AX39),"&lt;&gt;")=0,"",SUMIFS(INDEX(BD!$A$3:$AI$5001,0,$AX39),BD!$A$3:$A$5001,AH$5,BD!$B$3:$B$5001,$C$2))))</f>
        <v/>
      </c>
      <c r="AI39" s="179" t="str">
        <f>IF(OR($AW39=0,AI$5=""),"",IF($AY39="taxa",IF(COUNTIFS(BD!$A$3:$A$5001,AI$5,BD!$B$3:$B$5001,$C$2,BD!$Z$3:$Z$5001,"&lt;&gt;")=0,"",IFERROR(SUMIFS(BD!$Z$3:$Z$5001,BD!$A$3:$A$5001,AI$5,BD!$B$3:$B$5001,$C$2)/SUMIFS(BD!$Y$3:$Y$5001,BD!$A$3:$A$5001,AI$5,BD!$B$3:$B$5001,$C$2),"")),IF(COUNTIFS(BD!$A$3:$A$5001,AI$5,BD!$B$3:$B$5001,$C$2,INDEX(BD!$A$3:$AI$5001,0,$AX39),"&lt;&gt;")=0,"",SUMIFS(INDEX(BD!$A$3:$AI$5001,0,$AX39),BD!$A$3:$A$5001,AI$5,BD!$B$3:$B$5001,$C$2))))</f>
        <v/>
      </c>
      <c r="AJ39" s="180" t="str">
        <f>IF(OR($AW39=0,AJ$5=""),"",IF($AY39="taxa",IF(COUNTIFS(BD!$A$3:$A$5001,AJ$5,BD!$B$3:$B$5001,$C$2,BD!$Z$3:$Z$5001,"&lt;&gt;")=0,"",IFERROR(SUMIFS(BD!$Z$3:$Z$5001,BD!$A$3:$A$5001,AJ$5,BD!$B$3:$B$5001,$C$2)/SUMIFS(BD!$Y$3:$Y$5001,BD!$A$3:$A$5001,AJ$5,BD!$B$3:$B$5001,$C$2),"")),IF(COUNTIFS(BD!$A$3:$A$5001,AJ$5,BD!$B$3:$B$5001,$C$2,INDEX(BD!$A$3:$AI$5001,0,$AX39),"&lt;&gt;")=0,"",SUMIFS(INDEX(BD!$A$3:$AI$5001,0,$AX39),BD!$A$3:$A$5001,AJ$5,BD!$B$3:$B$5001,$C$2))))</f>
        <v/>
      </c>
      <c r="AK39" s="176" t="str">
        <f>IF($AW39=0,"",IF($AY39="fluxo",IF(COUNT(F39:AJ39)=0,"",SUM(F39:AJ39)),IFERROR(LOOKUP(9.99E+307,F39:AJ39),"")))</f>
        <v/>
      </c>
      <c r="AN39" s="159" t="inlineStr">
        <is>
          <t xml:space="preserve">Acidentes SAF</t>
        </is>
      </c>
      <c r="AO39" s="159" t="inlineStr">
        <is>
          <t xml:space="preserve">GENTE</t>
        </is>
      </c>
      <c r="AP39" s="159">
        <v>34</v>
      </c>
      <c r="AQ39" s="159" t="inlineStr">
        <is>
          <t xml:space="preserve">fluxo</t>
        </is>
      </c>
      <c r="AR39" s="159">
        <v>33</v>
      </c>
      <c r="AS39" s="159" t="inlineStr">
        <is>
          <t xml:space="preserve">int</t>
        </is>
      </c>
      <c r="AT39" s="159">
        <f>IF($C$2="",0,IF(IFERROR(INDEX(Config!$AI$35:$AI$54,MATCH($C$2,Config!$B$35:$B$54,0)),"Sim")="Não",0,1))</f>
        <v>1</v>
      </c>
      <c r="AU39" s="159">
        <f>AU38+AT39</f>
        <v>18</v>
      </c>
      <c r="AW39" s="159">
        <f>IFERROR(MATCH(33,$AU$7:$AU$39,0),0)</f>
        <v>0</v>
      </c>
      <c r="AX39" s="159" t="str">
        <f>IF($AW39=0,"",INDEX($AP$7:$AP$39,$AW39))</f>
        <v/>
      </c>
      <c r="AY39" s="159" t="str">
        <f>IF($AW39=0,"",INDEX($AQ$7:$AQ$39,$AW39))</f>
        <v/>
      </c>
      <c r="AZ39" s="159" t="str">
        <f>IF($AW39=0,"",INDEX($AS$7:$AS$39,$AW39))</f>
        <v/>
      </c>
      <c r="BA39" s="159" t="str">
        <f>IF($AW39=0,"",INDEX($AR$7:$AR$39,$AW39))</f>
        <v/>
      </c>
    </row>
    <row r="41">
      <c r="A41" s="31" t="inlineStr">
        <is>
          <t xml:space="preserve">Cliente e mês: células do topo. Linhas = indicadores marcados "Sim" para o cliente na aba Config (tabela 2). Célula vazia = sem registro. MÊS: soma nos fluxos e NC; último dado em ocupação e efetivo. Taxa = ocupadas ÷ disponíveis (contrato). Ocupação: verde ≥ faixa alta, verde escuro &gt; 100% (excede o contratado), amarelo ≥ faixa de atenção, vermelho abaixo (ociosidade). META: aba BD (tabela de metas).</t>
        </is>
      </c>
    </row>
  </sheetData>
  <sheetProtection password="CC78" sheet="1" objects="1" scenarios="1"/>
  <mergeCells count="11">
    <mergeCell ref="G1:AD1"/>
    <mergeCell ref="AE1:AK1"/>
    <mergeCell ref="A2:B2"/>
    <mergeCell ref="C2:D2"/>
    <mergeCell ref="F2:AK2"/>
    <mergeCell ref="A4:A5"/>
    <mergeCell ref="B4:C5"/>
    <mergeCell ref="D4:D5"/>
    <mergeCell ref="F4:AJ4"/>
    <mergeCell ref="AK4:AK5"/>
    <mergeCell ref="A7:A39"/>
  </mergeCells>
  <conditionalFormatting sqref="F5:AJ5">
    <cfRule type="expression" dxfId="13" priority="1">
      <formula>AND(ISNUMBER(F5),WEEKDAY(F5,2)&gt;5)</formula>
    </cfRule>
  </conditionalFormatting>
  <conditionalFormatting sqref="F7:AK39">
    <cfRule type="expression" dxfId="14" priority="2" stopIfTrue="1">
      <formula>AND($C7="Incidentes",ISNUMBER(F7),F7&gt;0)</formula>
    </cfRule>
  </conditionalFormatting>
  <conditionalFormatting sqref="F7:AK39">
    <cfRule type="expression" dxfId="15" priority="3" stopIfTrue="1">
      <formula>AND($AY7="taxa",ISNUMBER(F7),F7&gt;1)</formula>
    </cfRule>
  </conditionalFormatting>
  <conditionalFormatting sqref="F7:AK39">
    <cfRule type="expression" dxfId="16" priority="4" stopIfTrue="1">
      <formula>AND($AY7="taxa",ISNUMBER(F7),F7&gt;=calculos!$B$6)</formula>
    </cfRule>
  </conditionalFormatting>
  <conditionalFormatting sqref="F7:AK39">
    <cfRule type="expression" dxfId="17" priority="5" stopIfTrue="1">
      <formula>AND($AY7="taxa",ISNUMBER(F7),F7&gt;=calculos!$B$5)</formula>
    </cfRule>
  </conditionalFormatting>
  <conditionalFormatting sqref="F7:AK39">
    <cfRule type="expression" dxfId="18" priority="6">
      <formula>AND($AY7="taxa",ISNUMBER(F7))</formula>
    </cfRule>
  </conditionalFormatting>
  <conditionalFormatting sqref="D7:AK39">
    <cfRule type="expression" dxfId="19" priority="7">
      <formula>$AZ7="pct"</formula>
    </cfRule>
  </conditionalFormatting>
  <conditionalFormatting sqref="D7:AK39">
    <cfRule type="expression" dxfId="20" priority="8">
      <formula>$AZ7="dec"</formula>
    </cfRule>
  </conditionalFormatting>
  <conditionalFormatting sqref="B7:AK39">
    <cfRule type="expression" dxfId="21" priority="9">
      <formula>$B7="IN"</formula>
    </cfRule>
  </conditionalFormatting>
  <conditionalFormatting sqref="B7:AK39">
    <cfRule type="expression" dxfId="22" priority="10">
      <formula>$B7="OUT"</formula>
    </cfRule>
  </conditionalFormatting>
  <conditionalFormatting sqref="B7:AK39">
    <cfRule type="expression" dxfId="23" priority="11">
      <formula>$B7="NC"</formula>
    </cfRule>
  </conditionalFormatting>
  <conditionalFormatting sqref="B7:AK39">
    <cfRule type="expression" dxfId="24" priority="12">
      <formula>$B7="OCUPAÇÃO (P.P)"</formula>
    </cfRule>
  </conditionalFormatting>
  <conditionalFormatting sqref="B7:AK39">
    <cfRule type="expression" dxfId="25" priority="13">
      <formula>$B7="GENTE"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AE1">
      <formula1>calculos!$AN$12:$AN$23</formula1>
    </dataValidation>
    <dataValidation type="list" allowBlank="1" showInputMessage="1" showErrorMessage="1" promptTitle="Cliente" prompt="Escolha o cliente. As linhas mostram só os indicadores que ele usa (Config, tabela 2)." errorTitle="Valor inválido" error="Escolha um valor da lista." sqref="C2">
      <formula1>OFFSET(calculos!$AP$13,0,0,calculos!$AP$10,1)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77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97"/>
      <c r="B1" s="97"/>
      <c r="C1" s="97"/>
      <c r="D1" s="97"/>
      <c r="E1" s="97"/>
      <c r="F1" s="97"/>
      <c r="G1" s="137" t="str">
        <f>"CONSOL MENSAL · QUADRO DE INDICADORES"&amp;IF(calculos_quadro!$E$2="",""," · "&amp;calculos_quadro!$E$2)</f>
        <v>CONSOL MENSAL · QUADRO DE INDICADORES · TPC</v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8" t="inlineStr">
        <is>
          <t xml:space="preserve">OUTUBRO · 2026</t>
        </is>
      </c>
      <c r="W1" s="138"/>
      <c r="X1" s="138"/>
      <c r="Y1" s="138"/>
      <c r="Z1" s="138"/>
      <c r="AA1" s="138"/>
    </row>
    <row r="3" ht="24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Q3" s="182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182"/>
      <c r="S3" s="182"/>
      <c r="T3" s="182"/>
      <c r="U3" s="182"/>
      <c r="V3" s="182"/>
      <c r="W3" s="182"/>
      <c r="X3" s="182"/>
      <c r="Y3" s="182"/>
      <c r="Z3" s="182"/>
    </row>
    <row r="5" ht="20" customHeight="1">
      <c r="B5" s="183" t="inlineStr">
        <is>
          <t xml:space="preserve">QUADRO DE INDICADORES · cliente e mês selecionados</t>
        </is>
      </c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</row>
    <row r="6" ht="28" customHeight="1">
      <c r="B6" s="184" t="inlineStr">
        <is>
          <t xml:space="preserve">GRUPO</t>
        </is>
      </c>
      <c r="C6" s="185"/>
      <c r="D6" s="184" t="inlineStr">
        <is>
          <t xml:space="preserve">INDICADOR</t>
        </is>
      </c>
      <c r="E6" s="186"/>
      <c r="F6" s="186"/>
      <c r="G6" s="185"/>
      <c r="H6" s="187" t="inlineStr">
        <is>
          <t xml:space="preserve">META</t>
        </is>
      </c>
      <c r="I6" s="188"/>
      <c r="J6" s="187" t="inlineStr">
        <is>
          <t xml:space="preserve">REALIZADO</t>
        </is>
      </c>
      <c r="K6" s="189"/>
      <c r="L6" s="188"/>
      <c r="M6" s="187" t="inlineStr">
        <is>
          <t xml:space="preserve">MÉDIA / DIA</t>
        </is>
      </c>
      <c r="N6" s="188"/>
      <c r="O6" s="187" t="inlineStr">
        <is>
          <t xml:space="preserve">MÁXIMO NO DIA</t>
        </is>
      </c>
      <c r="P6" s="189"/>
      <c r="Q6" s="188"/>
      <c r="R6" s="187" t="inlineStr">
        <is>
          <t xml:space="preserve">MÊS ANTERIOR</t>
        </is>
      </c>
      <c r="S6" s="188"/>
      <c r="T6" s="187" t="inlineStr">
        <is>
          <t xml:space="preserve">VARIAÇÃO</t>
        </is>
      </c>
      <c r="U6" s="189"/>
      <c r="V6" s="188"/>
      <c r="W6" s="187" t="inlineStr">
        <is>
          <t xml:space="preserve">% DA META</t>
        </is>
      </c>
      <c r="X6" s="188"/>
      <c r="Y6" s="187" t="inlineStr">
        <is>
          <t xml:space="preserve">STATUS</t>
        </is>
      </c>
      <c r="Z6" s="188"/>
    </row>
    <row r="7" ht="16" customHeight="1">
      <c r="B7" s="404" t="inlineStr">
        <is>
          <t xml:space="preserve">IN</t>
        </is>
      </c>
      <c r="C7" s="405"/>
      <c r="D7" s="191" t="inlineStr">
        <is>
          <t xml:space="preserve">Veículos Recebidos</t>
        </is>
      </c>
      <c r="E7" s="190"/>
      <c r="F7" s="190"/>
      <c r="G7" s="190"/>
      <c r="H7" s="193" t="str">
        <f>IF(calculos_quadro!$B$307=0,"—",calculos_quadro!$C$48)</f>
        <v/>
      </c>
      <c r="I7" s="192"/>
      <c r="J7" s="195">
        <f>IF(calculos_quadro!$B$307=0,"—",calculos_quadro!$C$43)</f>
        <v>0</v>
      </c>
      <c r="K7" s="194"/>
      <c r="L7" s="194"/>
      <c r="M7" s="197" t="str">
        <f>IF(calculos_quadro!$B$307=0,"—",calculos_quadro!$C$44)</f>
        <v/>
      </c>
      <c r="N7" s="196"/>
      <c r="O7" s="199">
        <f>IF(calculos_quadro!$B$307=0,"—",calculos_quadro!$C$45)</f>
        <v>0</v>
      </c>
      <c r="P7" s="198"/>
      <c r="Q7" s="198"/>
      <c r="R7" s="199" t="str">
        <f>IF(calculos_quadro!$B$307=0,"—",calculos_quadro!$C$46)</f>
        <v/>
      </c>
      <c r="S7" s="198"/>
      <c r="T7" s="201" t="str">
        <f>IF(calculos_quadro!$B$307=0,"—",calculos_quadro!$C$47)</f>
        <v/>
      </c>
      <c r="U7" s="200"/>
      <c r="V7" s="200"/>
      <c r="W7" s="203" t="str">
        <f>IF(calculos_quadro!$B$307=0,"—",calculos_quadro!$C$49)</f>
        <v/>
      </c>
      <c r="X7" s="202"/>
      <c r="Y7" s="205" t="str">
        <f>IF(calculos_quadro!$B$307=0,"—",calculos_quadro!$C$50)</f>
        <v/>
      </c>
      <c r="Z7" s="206"/>
    </row>
    <row r="8" ht="16" customHeight="1">
      <c r="B8" s="406"/>
      <c r="C8" s="407"/>
      <c r="D8" s="208" t="inlineStr">
        <is>
          <t xml:space="preserve">Pallets Movimentados</t>
        </is>
      </c>
      <c r="E8" s="207"/>
      <c r="F8" s="207"/>
      <c r="G8" s="207"/>
      <c r="H8" s="210" t="str">
        <f>IF(calculos_quadro!$B$308=0,"—",calculos_quadro!$D$48)</f>
        <v/>
      </c>
      <c r="I8" s="209"/>
      <c r="J8" s="212">
        <f>IF(calculos_quadro!$B$308=0,"—",calculos_quadro!$D$43)</f>
        <v>0</v>
      </c>
      <c r="K8" s="211"/>
      <c r="L8" s="211"/>
      <c r="M8" s="214" t="str">
        <f>IF(calculos_quadro!$B$308=0,"—",calculos_quadro!$D$44)</f>
        <v/>
      </c>
      <c r="N8" s="213"/>
      <c r="O8" s="216">
        <f>IF(calculos_quadro!$B$308=0,"—",calculos_quadro!$D$45)</f>
        <v>0</v>
      </c>
      <c r="P8" s="215"/>
      <c r="Q8" s="215"/>
      <c r="R8" s="216" t="str">
        <f>IF(calculos_quadro!$B$308=0,"—",calculos_quadro!$D$46)</f>
        <v/>
      </c>
      <c r="S8" s="215"/>
      <c r="T8" s="218" t="str">
        <f>IF(calculos_quadro!$B$308=0,"—",calculos_quadro!$D$47)</f>
        <v/>
      </c>
      <c r="U8" s="217"/>
      <c r="V8" s="217"/>
      <c r="W8" s="220" t="str">
        <f>IF(calculos_quadro!$B$308=0,"—",calculos_quadro!$D$49)</f>
        <v/>
      </c>
      <c r="X8" s="219"/>
      <c r="Y8" s="222" t="str">
        <f>IF(calculos_quadro!$B$308=0,"—",calculos_quadro!$D$50)</f>
        <v/>
      </c>
      <c r="Z8" s="223"/>
    </row>
    <row r="9" ht="16" customHeight="1">
      <c r="B9" s="406"/>
      <c r="C9" s="407"/>
      <c r="D9" s="208" t="inlineStr">
        <is>
          <t xml:space="preserve">Toneladas Movimentadas</t>
        </is>
      </c>
      <c r="E9" s="207"/>
      <c r="F9" s="207"/>
      <c r="G9" s="207"/>
      <c r="H9" s="210" t="str">
        <f>IF(calculos_quadro!$B$309=0,"—",calculos_quadro!$E$48)</f>
        <v/>
      </c>
      <c r="I9" s="209"/>
      <c r="J9" s="225">
        <f>IF(calculos_quadro!$B$309=0,"—",calculos_quadro!$E$43)</f>
        <v>0</v>
      </c>
      <c r="K9" s="224"/>
      <c r="L9" s="224"/>
      <c r="M9" s="214" t="str">
        <f>IF(calculos_quadro!$B$309=0,"—",calculos_quadro!$E$44)</f>
        <v/>
      </c>
      <c r="N9" s="213"/>
      <c r="O9" s="214">
        <f>IF(calculos_quadro!$B$309=0,"—",calculos_quadro!$E$45)</f>
        <v>0</v>
      </c>
      <c r="P9" s="213"/>
      <c r="Q9" s="213"/>
      <c r="R9" s="214" t="str">
        <f>IF(calculos_quadro!$B$309=0,"—",calculos_quadro!$E$46)</f>
        <v/>
      </c>
      <c r="S9" s="213"/>
      <c r="T9" s="218" t="str">
        <f>IF(calculos_quadro!$B$309=0,"—",calculos_quadro!$E$47)</f>
        <v/>
      </c>
      <c r="U9" s="217"/>
      <c r="V9" s="217"/>
      <c r="W9" s="220" t="str">
        <f>IF(calculos_quadro!$B$309=0,"—",calculos_quadro!$E$49)</f>
        <v/>
      </c>
      <c r="X9" s="219"/>
      <c r="Y9" s="222" t="str">
        <f>IF(calculos_quadro!$B$309=0,"—",calculos_quadro!$E$50)</f>
        <v/>
      </c>
      <c r="Z9" s="223"/>
    </row>
    <row r="10" ht="16" customHeight="1">
      <c r="B10" s="406"/>
      <c r="C10" s="407"/>
      <c r="D10" s="208" t="inlineStr">
        <is>
          <t xml:space="preserve">Linhas NF</t>
        </is>
      </c>
      <c r="E10" s="207"/>
      <c r="F10" s="207"/>
      <c r="G10" s="207"/>
      <c r="H10" s="210" t="str">
        <f>IF(calculos_quadro!$B$310=0,"—",calculos_quadro!$F$48)</f>
        <v/>
      </c>
      <c r="I10" s="209"/>
      <c r="J10" s="212">
        <f>IF(calculos_quadro!$B$310=0,"—",calculos_quadro!$F$43)</f>
        <v>0</v>
      </c>
      <c r="K10" s="211"/>
      <c r="L10" s="211"/>
      <c r="M10" s="214" t="str">
        <f>IF(calculos_quadro!$B$310=0,"—",calculos_quadro!$F$44)</f>
        <v/>
      </c>
      <c r="N10" s="213"/>
      <c r="O10" s="216">
        <f>IF(calculos_quadro!$B$310=0,"—",calculos_quadro!$F$45)</f>
        <v>0</v>
      </c>
      <c r="P10" s="215"/>
      <c r="Q10" s="215"/>
      <c r="R10" s="216" t="str">
        <f>IF(calculos_quadro!$B$310=0,"—",calculos_quadro!$F$46)</f>
        <v/>
      </c>
      <c r="S10" s="215"/>
      <c r="T10" s="218" t="str">
        <f>IF(calculos_quadro!$B$310=0,"—",calculos_quadro!$F$47)</f>
        <v/>
      </c>
      <c r="U10" s="217"/>
      <c r="V10" s="217"/>
      <c r="W10" s="220" t="str">
        <f>IF(calculos_quadro!$B$310=0,"—",calculos_quadro!$F$49)</f>
        <v/>
      </c>
      <c r="X10" s="219"/>
      <c r="Y10" s="222" t="str">
        <f>IF(calculos_quadro!$B$310=0,"—",calculos_quadro!$F$50)</f>
        <v/>
      </c>
      <c r="Z10" s="223"/>
    </row>
    <row r="11" ht="16" customHeight="1">
      <c r="B11" s="406"/>
      <c r="C11" s="407"/>
      <c r="D11" s="208" t="inlineStr">
        <is>
          <t xml:space="preserve">Caixas Movimentadas</t>
        </is>
      </c>
      <c r="E11" s="207"/>
      <c r="F11" s="207"/>
      <c r="G11" s="207"/>
      <c r="H11" s="210" t="str">
        <f>IF(calculos_quadro!$B$311=0,"—",calculos_quadro!$G$48)</f>
        <v/>
      </c>
      <c r="I11" s="209"/>
      <c r="J11" s="212">
        <f>IF(calculos_quadro!$B$311=0,"—",calculos_quadro!$G$43)</f>
        <v>0</v>
      </c>
      <c r="K11" s="211"/>
      <c r="L11" s="211"/>
      <c r="M11" s="214" t="str">
        <f>IF(calculos_quadro!$B$311=0,"—",calculos_quadro!$G$44)</f>
        <v/>
      </c>
      <c r="N11" s="213"/>
      <c r="O11" s="216">
        <f>IF(calculos_quadro!$B$311=0,"—",calculos_quadro!$G$45)</f>
        <v>0</v>
      </c>
      <c r="P11" s="215"/>
      <c r="Q11" s="215"/>
      <c r="R11" s="216" t="str">
        <f>IF(calculos_quadro!$B$311=0,"—",calculos_quadro!$G$46)</f>
        <v/>
      </c>
      <c r="S11" s="215"/>
      <c r="T11" s="218" t="str">
        <f>IF(calculos_quadro!$B$311=0,"—",calculos_quadro!$G$47)</f>
        <v/>
      </c>
      <c r="U11" s="217"/>
      <c r="V11" s="217"/>
      <c r="W11" s="220" t="str">
        <f>IF(calculos_quadro!$B$311=0,"—",calculos_quadro!$G$49)</f>
        <v/>
      </c>
      <c r="X11" s="219"/>
      <c r="Y11" s="222" t="str">
        <f>IF(calculos_quadro!$B$311=0,"—",calculos_quadro!$G$50)</f>
        <v/>
      </c>
      <c r="Z11" s="223"/>
    </row>
    <row r="12" ht="16" customHeight="1">
      <c r="B12" s="406"/>
      <c r="C12" s="407"/>
      <c r="D12" s="208" t="inlineStr">
        <is>
          <t xml:space="preserve">Peças Movimentadas</t>
        </is>
      </c>
      <c r="E12" s="207"/>
      <c r="F12" s="207"/>
      <c r="G12" s="207"/>
      <c r="H12" s="210" t="str">
        <f>IF(calculos_quadro!$B$312=0,"—",calculos_quadro!$H$48)</f>
        <v/>
      </c>
      <c r="I12" s="209"/>
      <c r="J12" s="212">
        <f>IF(calculos_quadro!$B$312=0,"—",calculos_quadro!$H$43)</f>
        <v>0</v>
      </c>
      <c r="K12" s="211"/>
      <c r="L12" s="211"/>
      <c r="M12" s="214" t="str">
        <f>IF(calculos_quadro!$B$312=0,"—",calculos_quadro!$H$44)</f>
        <v/>
      </c>
      <c r="N12" s="213"/>
      <c r="O12" s="216">
        <f>IF(calculos_quadro!$B$312=0,"—",calculos_quadro!$H$45)</f>
        <v>0</v>
      </c>
      <c r="P12" s="215"/>
      <c r="Q12" s="215"/>
      <c r="R12" s="216" t="str">
        <f>IF(calculos_quadro!$B$312=0,"—",calculos_quadro!$H$46)</f>
        <v/>
      </c>
      <c r="S12" s="215"/>
      <c r="T12" s="218" t="str">
        <f>IF(calculos_quadro!$B$312=0,"—",calculos_quadro!$H$47)</f>
        <v/>
      </c>
      <c r="U12" s="217"/>
      <c r="V12" s="217"/>
      <c r="W12" s="220" t="str">
        <f>IF(calculos_quadro!$B$312=0,"—",calculos_quadro!$H$49)</f>
        <v/>
      </c>
      <c r="X12" s="219"/>
      <c r="Y12" s="222" t="str">
        <f>IF(calculos_quadro!$B$312=0,"—",calculos_quadro!$H$50)</f>
        <v/>
      </c>
      <c r="Z12" s="223"/>
    </row>
    <row r="13" ht="16" customHeight="1">
      <c r="B13" s="406"/>
      <c r="C13" s="407"/>
      <c r="D13" s="208" t="inlineStr">
        <is>
          <t xml:space="preserve">Itens Recebidos</t>
        </is>
      </c>
      <c r="E13" s="207"/>
      <c r="F13" s="207"/>
      <c r="G13" s="207"/>
      <c r="H13" s="210" t="str">
        <f>IF(calculos_quadro!$B$313=0,"—",calculos_quadro!$I$48)</f>
        <v/>
      </c>
      <c r="I13" s="209"/>
      <c r="J13" s="212">
        <f>IF(calculos_quadro!$B$313=0,"—",calculos_quadro!$I$43)</f>
        <v>0</v>
      </c>
      <c r="K13" s="211"/>
      <c r="L13" s="211"/>
      <c r="M13" s="214" t="str">
        <f>IF(calculos_quadro!$B$313=0,"—",calculos_quadro!$I$44)</f>
        <v/>
      </c>
      <c r="N13" s="213"/>
      <c r="O13" s="216">
        <f>IF(calculos_quadro!$B$313=0,"—",calculos_quadro!$I$45)</f>
        <v>0</v>
      </c>
      <c r="P13" s="215"/>
      <c r="Q13" s="215"/>
      <c r="R13" s="216" t="str">
        <f>IF(calculos_quadro!$B$313=0,"—",calculos_quadro!$I$46)</f>
        <v/>
      </c>
      <c r="S13" s="215"/>
      <c r="T13" s="218" t="str">
        <f>IF(calculos_quadro!$B$313=0,"—",calculos_quadro!$I$47)</f>
        <v/>
      </c>
      <c r="U13" s="217"/>
      <c r="V13" s="217"/>
      <c r="W13" s="220" t="str">
        <f>IF(calculos_quadro!$B$313=0,"—",calculos_quadro!$I$49)</f>
        <v/>
      </c>
      <c r="X13" s="219"/>
      <c r="Y13" s="222" t="str">
        <f>IF(calculos_quadro!$B$313=0,"—",calculos_quadro!$I$50)</f>
        <v/>
      </c>
      <c r="Z13" s="223"/>
    </row>
    <row r="14" ht="16" customHeight="1">
      <c r="B14" s="406"/>
      <c r="C14" s="407"/>
      <c r="D14" s="208" t="inlineStr">
        <is>
          <t xml:space="preserve">Itens Recebidos CX Mista</t>
        </is>
      </c>
      <c r="E14" s="207"/>
      <c r="F14" s="207"/>
      <c r="G14" s="207"/>
      <c r="H14" s="210" t="str">
        <f>IF(calculos_quadro!$B$314=0,"—",calculos_quadro!$J$48)</f>
        <v/>
      </c>
      <c r="I14" s="209"/>
      <c r="J14" s="212">
        <f>IF(calculos_quadro!$B$314=0,"—",calculos_quadro!$J$43)</f>
        <v>0</v>
      </c>
      <c r="K14" s="211"/>
      <c r="L14" s="211"/>
      <c r="M14" s="214" t="str">
        <f>IF(calculos_quadro!$B$314=0,"—",calculos_quadro!$J$44)</f>
        <v/>
      </c>
      <c r="N14" s="213"/>
      <c r="O14" s="216">
        <f>IF(calculos_quadro!$B$314=0,"—",calculos_quadro!$J$45)</f>
        <v>0</v>
      </c>
      <c r="P14" s="215"/>
      <c r="Q14" s="215"/>
      <c r="R14" s="216" t="str">
        <f>IF(calculos_quadro!$B$314=0,"—",calculos_quadro!$J$46)</f>
        <v/>
      </c>
      <c r="S14" s="215"/>
      <c r="T14" s="218" t="str">
        <f>IF(calculos_quadro!$B$314=0,"—",calculos_quadro!$J$47)</f>
        <v/>
      </c>
      <c r="U14" s="217"/>
      <c r="V14" s="217"/>
      <c r="W14" s="220" t="str">
        <f>IF(calculos_quadro!$B$314=0,"—",calculos_quadro!$J$49)</f>
        <v/>
      </c>
      <c r="X14" s="219"/>
      <c r="Y14" s="222" t="str">
        <f>IF(calculos_quadro!$B$314=0,"—",calculos_quadro!$J$50)</f>
        <v/>
      </c>
      <c r="Z14" s="223"/>
    </row>
    <row r="15" ht="16" customHeight="1">
      <c r="B15" s="406"/>
      <c r="C15" s="407"/>
      <c r="D15" s="208" t="inlineStr">
        <is>
          <t xml:space="preserve">Caixas Fechadas</t>
        </is>
      </c>
      <c r="E15" s="207"/>
      <c r="F15" s="207"/>
      <c r="G15" s="207"/>
      <c r="H15" s="210" t="str">
        <f>IF(calculos_quadro!$B$315=0,"—",calculos_quadro!$K$48)</f>
        <v/>
      </c>
      <c r="I15" s="209"/>
      <c r="J15" s="212">
        <f>IF(calculos_quadro!$B$315=0,"—",calculos_quadro!$K$43)</f>
        <v>0</v>
      </c>
      <c r="K15" s="211"/>
      <c r="L15" s="211"/>
      <c r="M15" s="214" t="str">
        <f>IF(calculos_quadro!$B$315=0,"—",calculos_quadro!$K$44)</f>
        <v/>
      </c>
      <c r="N15" s="213"/>
      <c r="O15" s="216">
        <f>IF(calculos_quadro!$B$315=0,"—",calculos_quadro!$K$45)</f>
        <v>0</v>
      </c>
      <c r="P15" s="215"/>
      <c r="Q15" s="215"/>
      <c r="R15" s="216" t="str">
        <f>IF(calculos_quadro!$B$315=0,"—",calculos_quadro!$K$46)</f>
        <v/>
      </c>
      <c r="S15" s="215"/>
      <c r="T15" s="218" t="str">
        <f>IF(calculos_quadro!$B$315=0,"—",calculos_quadro!$K$47)</f>
        <v/>
      </c>
      <c r="U15" s="217"/>
      <c r="V15" s="217"/>
      <c r="W15" s="220" t="str">
        <f>IF(calculos_quadro!$B$315=0,"—",calculos_quadro!$K$49)</f>
        <v/>
      </c>
      <c r="X15" s="219"/>
      <c r="Y15" s="222" t="str">
        <f>IF(calculos_quadro!$B$315=0,"—",calculos_quadro!$K$50)</f>
        <v/>
      </c>
      <c r="Z15" s="223"/>
    </row>
    <row r="16" ht="16" customHeight="1">
      <c r="B16" s="408"/>
      <c r="C16" s="409"/>
      <c r="D16" s="227" t="inlineStr">
        <is>
          <t xml:space="preserve">Caixas Mistas Recebidas</t>
        </is>
      </c>
      <c r="E16" s="226"/>
      <c r="F16" s="226"/>
      <c r="G16" s="226"/>
      <c r="H16" s="229" t="str">
        <f>IF(calculos_quadro!$B$316=0,"—",calculos_quadro!$L$48)</f>
        <v/>
      </c>
      <c r="I16" s="228"/>
      <c r="J16" s="231">
        <f>IF(calculos_quadro!$B$316=0,"—",calculos_quadro!$L$43)</f>
        <v>0</v>
      </c>
      <c r="K16" s="230"/>
      <c r="L16" s="230"/>
      <c r="M16" s="233" t="str">
        <f>IF(calculos_quadro!$B$316=0,"—",calculos_quadro!$L$44)</f>
        <v/>
      </c>
      <c r="N16" s="232"/>
      <c r="O16" s="235">
        <f>IF(calculos_quadro!$B$316=0,"—",calculos_quadro!$L$45)</f>
        <v>0</v>
      </c>
      <c r="P16" s="234"/>
      <c r="Q16" s="234"/>
      <c r="R16" s="235" t="str">
        <f>IF(calculos_quadro!$B$316=0,"—",calculos_quadro!$L$46)</f>
        <v/>
      </c>
      <c r="S16" s="234"/>
      <c r="T16" s="237" t="str">
        <f>IF(calculos_quadro!$B$316=0,"—",calculos_quadro!$L$47)</f>
        <v/>
      </c>
      <c r="U16" s="236"/>
      <c r="V16" s="236"/>
      <c r="W16" s="239" t="str">
        <f>IF(calculos_quadro!$B$316=0,"—",calculos_quadro!$L$49)</f>
        <v/>
      </c>
      <c r="X16" s="238"/>
      <c r="Y16" s="241" t="str">
        <f>IF(calculos_quadro!$B$316=0,"—",calculos_quadro!$L$50)</f>
        <v/>
      </c>
      <c r="Z16" s="242"/>
    </row>
    <row r="17" ht="16" customHeight="1">
      <c r="B17" s="410" t="inlineStr">
        <is>
          <t xml:space="preserve">OUT</t>
        </is>
      </c>
      <c r="C17" s="411"/>
      <c r="D17" s="244" t="inlineStr">
        <is>
          <t xml:space="preserve">Veículos Expedidos</t>
        </is>
      </c>
      <c r="E17" s="243"/>
      <c r="F17" s="243"/>
      <c r="G17" s="243"/>
      <c r="H17" s="246" t="str">
        <f>IF(calculos_quadro!$B$317=0,"—",calculos_quadro!$M$48)</f>
        <v/>
      </c>
      <c r="I17" s="245"/>
      <c r="J17" s="248">
        <f>IF(calculos_quadro!$B$317=0,"—",calculos_quadro!$M$43)</f>
        <v>0</v>
      </c>
      <c r="K17" s="247"/>
      <c r="L17" s="247"/>
      <c r="M17" s="250" t="str">
        <f>IF(calculos_quadro!$B$317=0,"—",calculos_quadro!$M$44)</f>
        <v/>
      </c>
      <c r="N17" s="249"/>
      <c r="O17" s="252">
        <f>IF(calculos_quadro!$B$317=0,"—",calculos_quadro!$M$45)</f>
        <v>0</v>
      </c>
      <c r="P17" s="251"/>
      <c r="Q17" s="251"/>
      <c r="R17" s="252" t="str">
        <f>IF(calculos_quadro!$B$317=0,"—",calculos_quadro!$M$46)</f>
        <v/>
      </c>
      <c r="S17" s="251"/>
      <c r="T17" s="254" t="str">
        <f>IF(calculos_quadro!$B$317=0,"—",calculos_quadro!$M$47)</f>
        <v/>
      </c>
      <c r="U17" s="253"/>
      <c r="V17" s="253"/>
      <c r="W17" s="256" t="str">
        <f>IF(calculos_quadro!$B$317=0,"—",calculos_quadro!$M$49)</f>
        <v/>
      </c>
      <c r="X17" s="255"/>
      <c r="Y17" s="258" t="str">
        <f>IF(calculos_quadro!$B$317=0,"—",calculos_quadro!$M$50)</f>
        <v/>
      </c>
      <c r="Z17" s="259"/>
    </row>
    <row r="18" ht="16" customHeight="1">
      <c r="B18" s="412"/>
      <c r="C18" s="413"/>
      <c r="D18" s="261" t="inlineStr">
        <is>
          <t xml:space="preserve">Pedidos Expedidos</t>
        </is>
      </c>
      <c r="E18" s="260"/>
      <c r="F18" s="260"/>
      <c r="G18" s="260"/>
      <c r="H18" s="263" t="str">
        <f>IF(calculos_quadro!$B$318=0,"—",calculos_quadro!$N$48)</f>
        <v/>
      </c>
      <c r="I18" s="262"/>
      <c r="J18" s="265">
        <f>IF(calculos_quadro!$B$318=0,"—",calculos_quadro!$N$43)</f>
        <v>0</v>
      </c>
      <c r="K18" s="264"/>
      <c r="L18" s="264"/>
      <c r="M18" s="267" t="str">
        <f>IF(calculos_quadro!$B$318=0,"—",calculos_quadro!$N$44)</f>
        <v/>
      </c>
      <c r="N18" s="266"/>
      <c r="O18" s="269">
        <f>IF(calculos_quadro!$B$318=0,"—",calculos_quadro!$N$45)</f>
        <v>0</v>
      </c>
      <c r="P18" s="268"/>
      <c r="Q18" s="268"/>
      <c r="R18" s="269" t="str">
        <f>IF(calculos_quadro!$B$318=0,"—",calculos_quadro!$N$46)</f>
        <v/>
      </c>
      <c r="S18" s="268"/>
      <c r="T18" s="271" t="str">
        <f>IF(calculos_quadro!$B$318=0,"—",calculos_quadro!$N$47)</f>
        <v/>
      </c>
      <c r="U18" s="270"/>
      <c r="V18" s="270"/>
      <c r="W18" s="273" t="str">
        <f>IF(calculos_quadro!$B$318=0,"—",calculos_quadro!$N$49)</f>
        <v/>
      </c>
      <c r="X18" s="272"/>
      <c r="Y18" s="275" t="str">
        <f>IF(calculos_quadro!$B$318=0,"—",calculos_quadro!$N$50)</f>
        <v/>
      </c>
      <c r="Z18" s="276"/>
    </row>
    <row r="19" ht="16" customHeight="1">
      <c r="B19" s="412"/>
      <c r="C19" s="413"/>
      <c r="D19" s="261" t="inlineStr">
        <is>
          <t xml:space="preserve">Pedidos Faturados</t>
        </is>
      </c>
      <c r="E19" s="260"/>
      <c r="F19" s="260"/>
      <c r="G19" s="260"/>
      <c r="H19" s="263" t="str">
        <f>IF(calculos_quadro!$B$319=0,"—",calculos_quadro!$O$48)</f>
        <v/>
      </c>
      <c r="I19" s="262"/>
      <c r="J19" s="265">
        <f>IF(calculos_quadro!$B$319=0,"—",calculos_quadro!$O$43)</f>
        <v>0</v>
      </c>
      <c r="K19" s="264"/>
      <c r="L19" s="264"/>
      <c r="M19" s="267" t="str">
        <f>IF(calculos_quadro!$B$319=0,"—",calculos_quadro!$O$44)</f>
        <v/>
      </c>
      <c r="N19" s="266"/>
      <c r="O19" s="269">
        <f>IF(calculos_quadro!$B$319=0,"—",calculos_quadro!$O$45)</f>
        <v>0</v>
      </c>
      <c r="P19" s="268"/>
      <c r="Q19" s="268"/>
      <c r="R19" s="269" t="str">
        <f>IF(calculos_quadro!$B$319=0,"—",calculos_quadro!$O$46)</f>
        <v/>
      </c>
      <c r="S19" s="268"/>
      <c r="T19" s="271" t="str">
        <f>IF(calculos_quadro!$B$319=0,"—",calculos_quadro!$O$47)</f>
        <v/>
      </c>
      <c r="U19" s="270"/>
      <c r="V19" s="270"/>
      <c r="W19" s="273" t="str">
        <f>IF(calculos_quadro!$B$319=0,"—",calculos_quadro!$O$49)</f>
        <v/>
      </c>
      <c r="X19" s="272"/>
      <c r="Y19" s="275" t="str">
        <f>IF(calculos_quadro!$B$319=0,"—",calculos_quadro!$O$50)</f>
        <v/>
      </c>
      <c r="Z19" s="276"/>
    </row>
    <row r="20" ht="16" customHeight="1">
      <c r="B20" s="412"/>
      <c r="C20" s="413"/>
      <c r="D20" s="261" t="inlineStr">
        <is>
          <t xml:space="preserve">Itens Expedidos</t>
        </is>
      </c>
      <c r="E20" s="260"/>
      <c r="F20" s="260"/>
      <c r="G20" s="260"/>
      <c r="H20" s="263" t="str">
        <f>IF(calculos_quadro!$B$320=0,"—",calculos_quadro!$P$48)</f>
        <v/>
      </c>
      <c r="I20" s="262"/>
      <c r="J20" s="265">
        <f>IF(calculos_quadro!$B$320=0,"—",calculos_quadro!$P$43)</f>
        <v>0</v>
      </c>
      <c r="K20" s="264"/>
      <c r="L20" s="264"/>
      <c r="M20" s="267" t="str">
        <f>IF(calculos_quadro!$B$320=0,"—",calculos_quadro!$P$44)</f>
        <v/>
      </c>
      <c r="N20" s="266"/>
      <c r="O20" s="269">
        <f>IF(calculos_quadro!$B$320=0,"—",calculos_quadro!$P$45)</f>
        <v>0</v>
      </c>
      <c r="P20" s="268"/>
      <c r="Q20" s="268"/>
      <c r="R20" s="269" t="str">
        <f>IF(calculos_quadro!$B$320=0,"—",calculos_quadro!$P$46)</f>
        <v/>
      </c>
      <c r="S20" s="268"/>
      <c r="T20" s="271" t="str">
        <f>IF(calculos_quadro!$B$320=0,"—",calculos_quadro!$P$47)</f>
        <v/>
      </c>
      <c r="U20" s="270"/>
      <c r="V20" s="270"/>
      <c r="W20" s="273" t="str">
        <f>IF(calculos_quadro!$B$320=0,"—",calculos_quadro!$P$49)</f>
        <v/>
      </c>
      <c r="X20" s="272"/>
      <c r="Y20" s="275" t="str">
        <f>IF(calculos_quadro!$B$320=0,"—",calculos_quadro!$P$50)</f>
        <v/>
      </c>
      <c r="Z20" s="276"/>
    </row>
    <row r="21" ht="16" customHeight="1">
      <c r="B21" s="412"/>
      <c r="C21" s="413"/>
      <c r="D21" s="261" t="inlineStr">
        <is>
          <t xml:space="preserve">Peças Movimentadas</t>
        </is>
      </c>
      <c r="E21" s="260"/>
      <c r="F21" s="260"/>
      <c r="G21" s="260"/>
      <c r="H21" s="263" t="str">
        <f>IF(calculos_quadro!$B$321=0,"—",calculos_quadro!$Q$48)</f>
        <v/>
      </c>
      <c r="I21" s="262"/>
      <c r="J21" s="265">
        <f>IF(calculos_quadro!$B$321=0,"—",calculos_quadro!$Q$43)</f>
        <v>0</v>
      </c>
      <c r="K21" s="264"/>
      <c r="L21" s="264"/>
      <c r="M21" s="267" t="str">
        <f>IF(calculos_quadro!$B$321=0,"—",calculos_quadro!$Q$44)</f>
        <v/>
      </c>
      <c r="N21" s="266"/>
      <c r="O21" s="269">
        <f>IF(calculos_quadro!$B$321=0,"—",calculos_quadro!$Q$45)</f>
        <v>0</v>
      </c>
      <c r="P21" s="268"/>
      <c r="Q21" s="268"/>
      <c r="R21" s="269" t="str">
        <f>IF(calculos_quadro!$B$321=0,"—",calculos_quadro!$Q$46)</f>
        <v/>
      </c>
      <c r="S21" s="268"/>
      <c r="T21" s="271" t="str">
        <f>IF(calculos_quadro!$B$321=0,"—",calculos_quadro!$Q$47)</f>
        <v/>
      </c>
      <c r="U21" s="270"/>
      <c r="V21" s="270"/>
      <c r="W21" s="273" t="str">
        <f>IF(calculos_quadro!$B$321=0,"—",calculos_quadro!$Q$49)</f>
        <v/>
      </c>
      <c r="X21" s="272"/>
      <c r="Y21" s="275" t="str">
        <f>IF(calculos_quadro!$B$321=0,"—",calculos_quadro!$Q$50)</f>
        <v/>
      </c>
      <c r="Z21" s="276"/>
    </row>
    <row r="22" ht="16" customHeight="1">
      <c r="B22" s="412"/>
      <c r="C22" s="413"/>
      <c r="D22" s="261" t="inlineStr">
        <is>
          <t xml:space="preserve">Linhas NF</t>
        </is>
      </c>
      <c r="E22" s="260"/>
      <c r="F22" s="260"/>
      <c r="G22" s="260"/>
      <c r="H22" s="263" t="str">
        <f>IF(calculos_quadro!$B$322=0,"—",calculos_quadro!$R$48)</f>
        <v/>
      </c>
      <c r="I22" s="262"/>
      <c r="J22" s="265">
        <f>IF(calculos_quadro!$B$322=0,"—",calculos_quadro!$R$43)</f>
        <v>0</v>
      </c>
      <c r="K22" s="264"/>
      <c r="L22" s="264"/>
      <c r="M22" s="267" t="str">
        <f>IF(calculos_quadro!$B$322=0,"—",calculos_quadro!$R$44)</f>
        <v/>
      </c>
      <c r="N22" s="266"/>
      <c r="O22" s="269">
        <f>IF(calculos_quadro!$B$322=0,"—",calculos_quadro!$R$45)</f>
        <v>0</v>
      </c>
      <c r="P22" s="268"/>
      <c r="Q22" s="268"/>
      <c r="R22" s="269" t="str">
        <f>IF(calculos_quadro!$B$322=0,"—",calculos_quadro!$R$46)</f>
        <v/>
      </c>
      <c r="S22" s="268"/>
      <c r="T22" s="271" t="str">
        <f>IF(calculos_quadro!$B$322=0,"—",calculos_quadro!$R$47)</f>
        <v/>
      </c>
      <c r="U22" s="270"/>
      <c r="V22" s="270"/>
      <c r="W22" s="273" t="str">
        <f>IF(calculos_quadro!$B$322=0,"—",calculos_quadro!$R$49)</f>
        <v/>
      </c>
      <c r="X22" s="272"/>
      <c r="Y22" s="275" t="str">
        <f>IF(calculos_quadro!$B$322=0,"—",calculos_quadro!$R$50)</f>
        <v/>
      </c>
      <c r="Z22" s="276"/>
    </row>
    <row r="23" ht="16" customHeight="1">
      <c r="B23" s="412"/>
      <c r="C23" s="413"/>
      <c r="D23" s="261" t="inlineStr">
        <is>
          <t xml:space="preserve">Caixas Expedidas</t>
        </is>
      </c>
      <c r="E23" s="260"/>
      <c r="F23" s="260"/>
      <c r="G23" s="260"/>
      <c r="H23" s="263" t="str">
        <f>IF(calculos_quadro!$B$323=0,"—",calculos_quadro!$S$48)</f>
        <v/>
      </c>
      <c r="I23" s="262"/>
      <c r="J23" s="265">
        <f>IF(calculos_quadro!$B$323=0,"—",calculos_quadro!$S$43)</f>
        <v>0</v>
      </c>
      <c r="K23" s="264"/>
      <c r="L23" s="264"/>
      <c r="M23" s="267" t="str">
        <f>IF(calculos_quadro!$B$323=0,"—",calculos_quadro!$S$44)</f>
        <v/>
      </c>
      <c r="N23" s="266"/>
      <c r="O23" s="269">
        <f>IF(calculos_quadro!$B$323=0,"—",calculos_quadro!$S$45)</f>
        <v>0</v>
      </c>
      <c r="P23" s="268"/>
      <c r="Q23" s="268"/>
      <c r="R23" s="269" t="str">
        <f>IF(calculos_quadro!$B$323=0,"—",calculos_quadro!$S$46)</f>
        <v/>
      </c>
      <c r="S23" s="268"/>
      <c r="T23" s="271" t="str">
        <f>IF(calculos_quadro!$B$323=0,"—",calculos_quadro!$S$47)</f>
        <v/>
      </c>
      <c r="U23" s="270"/>
      <c r="V23" s="270"/>
      <c r="W23" s="273" t="str">
        <f>IF(calculos_quadro!$B$323=0,"—",calculos_quadro!$S$49)</f>
        <v/>
      </c>
      <c r="X23" s="272"/>
      <c r="Y23" s="275" t="str">
        <f>IF(calculos_quadro!$B$323=0,"—",calculos_quadro!$S$50)</f>
        <v/>
      </c>
      <c r="Z23" s="276"/>
    </row>
    <row r="24" ht="16" customHeight="1">
      <c r="B24" s="412"/>
      <c r="C24" s="413"/>
      <c r="D24" s="261" t="inlineStr">
        <is>
          <t xml:space="preserve">Pallets Movimentados</t>
        </is>
      </c>
      <c r="E24" s="260"/>
      <c r="F24" s="260"/>
      <c r="G24" s="260"/>
      <c r="H24" s="263" t="str">
        <f>IF(calculos_quadro!$B$324=0,"—",calculos_quadro!$T$48)</f>
        <v/>
      </c>
      <c r="I24" s="262"/>
      <c r="J24" s="265">
        <f>IF(calculos_quadro!$B$324=0,"—",calculos_quadro!$T$43)</f>
        <v>0</v>
      </c>
      <c r="K24" s="264"/>
      <c r="L24" s="264"/>
      <c r="M24" s="267" t="str">
        <f>IF(calculos_quadro!$B$324=0,"—",calculos_quadro!$T$44)</f>
        <v/>
      </c>
      <c r="N24" s="266"/>
      <c r="O24" s="269">
        <f>IF(calculos_quadro!$B$324=0,"—",calculos_quadro!$T$45)</f>
        <v>0</v>
      </c>
      <c r="P24" s="268"/>
      <c r="Q24" s="268"/>
      <c r="R24" s="269" t="str">
        <f>IF(calculos_quadro!$B$324=0,"—",calculos_quadro!$T$46)</f>
        <v/>
      </c>
      <c r="S24" s="268"/>
      <c r="T24" s="271" t="str">
        <f>IF(calculos_quadro!$B$324=0,"—",calculos_quadro!$T$47)</f>
        <v/>
      </c>
      <c r="U24" s="270"/>
      <c r="V24" s="270"/>
      <c r="W24" s="273" t="str">
        <f>IF(calculos_quadro!$B$324=0,"—",calculos_quadro!$T$49)</f>
        <v/>
      </c>
      <c r="X24" s="272"/>
      <c r="Y24" s="275" t="str">
        <f>IF(calculos_quadro!$B$324=0,"—",calculos_quadro!$T$50)</f>
        <v/>
      </c>
      <c r="Z24" s="276"/>
    </row>
    <row r="25" ht="16" customHeight="1">
      <c r="B25" s="414"/>
      <c r="C25" s="415"/>
      <c r="D25" s="278" t="inlineStr">
        <is>
          <t xml:space="preserve">Toneladas Movimentadas</t>
        </is>
      </c>
      <c r="E25" s="277"/>
      <c r="F25" s="277"/>
      <c r="G25" s="277"/>
      <c r="H25" s="280" t="str">
        <f>IF(calculos_quadro!$B$325=0,"—",calculos_quadro!$U$48)</f>
        <v/>
      </c>
      <c r="I25" s="279"/>
      <c r="J25" s="282">
        <f>IF(calculos_quadro!$B$325=0,"—",calculos_quadro!$U$43)</f>
        <v>0</v>
      </c>
      <c r="K25" s="281"/>
      <c r="L25" s="281"/>
      <c r="M25" s="284" t="str">
        <f>IF(calculos_quadro!$B$325=0,"—",calculos_quadro!$U$44)</f>
        <v/>
      </c>
      <c r="N25" s="283"/>
      <c r="O25" s="284">
        <f>IF(calculos_quadro!$B$325=0,"—",calculos_quadro!$U$45)</f>
        <v>0</v>
      </c>
      <c r="P25" s="283"/>
      <c r="Q25" s="283"/>
      <c r="R25" s="284" t="str">
        <f>IF(calculos_quadro!$B$325=0,"—",calculos_quadro!$U$46)</f>
        <v/>
      </c>
      <c r="S25" s="283"/>
      <c r="T25" s="286" t="str">
        <f>IF(calculos_quadro!$B$325=0,"—",calculos_quadro!$U$47)</f>
        <v/>
      </c>
      <c r="U25" s="285"/>
      <c r="V25" s="285"/>
      <c r="W25" s="288" t="str">
        <f>IF(calculos_quadro!$B$325=0,"—",calculos_quadro!$U$49)</f>
        <v/>
      </c>
      <c r="X25" s="287"/>
      <c r="Y25" s="290" t="str">
        <f>IF(calculos_quadro!$B$325=0,"—",calculos_quadro!$U$50)</f>
        <v/>
      </c>
      <c r="Z25" s="291"/>
    </row>
    <row r="26" ht="16" customHeight="1">
      <c r="B26" s="416" t="inlineStr">
        <is>
          <t xml:space="preserve">NC</t>
        </is>
      </c>
      <c r="C26" s="417"/>
      <c r="D26" s="293" t="inlineStr">
        <is>
          <t xml:space="preserve">Incidentes</t>
        </is>
      </c>
      <c r="E26" s="292"/>
      <c r="F26" s="292"/>
      <c r="G26" s="292"/>
      <c r="H26" s="295" t="str">
        <f>IF(calculos_quadro!$B$326=0,"—",calculos_quadro!$V$48)</f>
        <v/>
      </c>
      <c r="I26" s="294"/>
      <c r="J26" s="297">
        <f>IF(calculos_quadro!$B$326=0,"—",calculos_quadro!$V$43)</f>
        <v>0</v>
      </c>
      <c r="K26" s="296"/>
      <c r="L26" s="296"/>
      <c r="M26" s="299" t="str">
        <f>IF(calculos_quadro!$B$326=0,"—",calculos_quadro!$V$44)</f>
        <v/>
      </c>
      <c r="N26" s="298"/>
      <c r="O26" s="301">
        <f>IF(calculos_quadro!$B$326=0,"—",calculos_quadro!$V$45)</f>
        <v>0</v>
      </c>
      <c r="P26" s="300"/>
      <c r="Q26" s="300"/>
      <c r="R26" s="301" t="str">
        <f>IF(calculos_quadro!$B$326=0,"—",calculos_quadro!$V$46)</f>
        <v/>
      </c>
      <c r="S26" s="300"/>
      <c r="T26" s="303" t="str">
        <f>IF(calculos_quadro!$B$326=0,"—",calculos_quadro!$V$47)</f>
        <v/>
      </c>
      <c r="U26" s="302"/>
      <c r="V26" s="302"/>
      <c r="W26" s="305" t="str">
        <f>IF(calculos_quadro!$B$326=0,"—",calculos_quadro!$V$49)</f>
        <v/>
      </c>
      <c r="X26" s="304"/>
      <c r="Y26" s="307" t="str">
        <f>IF(calculos_quadro!$B$326=0,"—",calculos_quadro!$V$50)</f>
        <v/>
      </c>
      <c r="Z26" s="308"/>
    </row>
    <row r="27" ht="16" customHeight="1">
      <c r="B27" s="418"/>
      <c r="C27" s="419"/>
      <c r="D27" s="310" t="inlineStr">
        <is>
          <t xml:space="preserve">No show</t>
        </is>
      </c>
      <c r="E27" s="309"/>
      <c r="F27" s="309"/>
      <c r="G27" s="309"/>
      <c r="H27" s="312" t="str">
        <f>IF(calculos_quadro!$B$327=0,"—",calculos_quadro!$W$48)</f>
        <v/>
      </c>
      <c r="I27" s="311"/>
      <c r="J27" s="314">
        <f>IF(calculos_quadro!$B$327=0,"—",calculos_quadro!$W$43)</f>
        <v>0</v>
      </c>
      <c r="K27" s="313"/>
      <c r="L27" s="313"/>
      <c r="M27" s="316" t="str">
        <f>IF(calculos_quadro!$B$327=0,"—",calculos_quadro!$W$44)</f>
        <v/>
      </c>
      <c r="N27" s="315"/>
      <c r="O27" s="318">
        <f>IF(calculos_quadro!$B$327=0,"—",calculos_quadro!$W$45)</f>
        <v>0</v>
      </c>
      <c r="P27" s="317"/>
      <c r="Q27" s="317"/>
      <c r="R27" s="318" t="str">
        <f>IF(calculos_quadro!$B$327=0,"—",calculos_quadro!$W$46)</f>
        <v/>
      </c>
      <c r="S27" s="317"/>
      <c r="T27" s="320" t="str">
        <f>IF(calculos_quadro!$B$327=0,"—",calculos_quadro!$W$47)</f>
        <v/>
      </c>
      <c r="U27" s="319"/>
      <c r="V27" s="319"/>
      <c r="W27" s="322" t="str">
        <f>IF(calculos_quadro!$B$327=0,"—",calculos_quadro!$W$49)</f>
        <v/>
      </c>
      <c r="X27" s="321"/>
      <c r="Y27" s="324" t="str">
        <f>IF(calculos_quadro!$B$327=0,"—",calculos_quadro!$W$50)</f>
        <v/>
      </c>
      <c r="Z27" s="325"/>
    </row>
    <row r="28" ht="16" customHeight="1">
      <c r="B28" s="420"/>
      <c r="C28" s="421"/>
      <c r="D28" s="327" t="inlineStr">
        <is>
          <t xml:space="preserve">Backlog</t>
        </is>
      </c>
      <c r="E28" s="326"/>
      <c r="F28" s="326"/>
      <c r="G28" s="326"/>
      <c r="H28" s="329" t="str">
        <f>IF(calculos_quadro!$B$328=0,"—",calculos_quadro!$X$48)</f>
        <v/>
      </c>
      <c r="I28" s="328"/>
      <c r="J28" s="331" t="str">
        <f>IF(calculos_quadro!$B$328=0,"—",calculos_quadro!$X$43)</f>
        <v/>
      </c>
      <c r="K28" s="330"/>
      <c r="L28" s="330"/>
      <c r="M28" s="333" t="str">
        <f>IF(calculos_quadro!$B$328=0,"—",calculos_quadro!$X$44)</f>
        <v/>
      </c>
      <c r="N28" s="332"/>
      <c r="O28" s="335" t="str">
        <f>IF(calculos_quadro!$B$328=0,"—",calculos_quadro!$X$45)</f>
        <v/>
      </c>
      <c r="P28" s="334"/>
      <c r="Q28" s="334"/>
      <c r="R28" s="335" t="str">
        <f>IF(calculos_quadro!$B$328=0,"—",calculos_quadro!$X$46)</f>
        <v/>
      </c>
      <c r="S28" s="334"/>
      <c r="T28" s="337" t="str">
        <f>IF(calculos_quadro!$B$328=0,"—",calculos_quadro!$X$47)</f>
        <v/>
      </c>
      <c r="U28" s="336"/>
      <c r="V28" s="336"/>
      <c r="W28" s="339" t="str">
        <f>IF(calculos_quadro!$B$328=0,"—",calculos_quadro!$X$49)</f>
        <v/>
      </c>
      <c r="X28" s="338"/>
      <c r="Y28" s="341" t="str">
        <f>IF(calculos_quadro!$B$328=0,"—",calculos_quadro!$X$50)</f>
        <v/>
      </c>
      <c r="Z28" s="342"/>
    </row>
    <row r="29" ht="16" customHeight="1">
      <c r="B29" s="404" t="inlineStr">
        <is>
          <t xml:space="preserve">OCUPAÇÃO (P.P)</t>
        </is>
      </c>
      <c r="C29" s="405"/>
      <c r="D29" s="191" t="inlineStr">
        <is>
          <t xml:space="preserve">Posições Disponíveis</t>
        </is>
      </c>
      <c r="E29" s="190"/>
      <c r="F29" s="190"/>
      <c r="G29" s="190"/>
      <c r="H29" s="193" t="str">
        <f>IF(calculos_quadro!$B$329=0,"—",calculos_quadro!$Y$48)</f>
        <v/>
      </c>
      <c r="I29" s="192"/>
      <c r="J29" s="344" t="str">
        <f>IF(calculos_quadro!$B$329=0,"—",calculos_quadro!$Y$43)</f>
        <v/>
      </c>
      <c r="K29" s="343"/>
      <c r="L29" s="343"/>
      <c r="M29" s="197"/>
      <c r="N29" s="196"/>
      <c r="O29" s="346" t="str">
        <f>IF(calculos_quadro!$B$329=0,"—",calculos_quadro!$Y$45)</f>
        <v/>
      </c>
      <c r="P29" s="345"/>
      <c r="Q29" s="345"/>
      <c r="R29" s="346" t="str">
        <f>IF(calculos_quadro!$B$329=0,"—",calculos_quadro!$Y$46)</f>
        <v/>
      </c>
      <c r="S29" s="345"/>
      <c r="T29" s="201" t="str">
        <f>IF(calculos_quadro!$B$329=0,"—",calculos_quadro!$Y$47)</f>
        <v/>
      </c>
      <c r="U29" s="200"/>
      <c r="V29" s="200"/>
      <c r="W29" s="203" t="str">
        <f>IF(calculos_quadro!$B$329=0,"—",calculos_quadro!$Y$49)</f>
        <v/>
      </c>
      <c r="X29" s="202"/>
      <c r="Y29" s="205" t="str">
        <f>IF(calculos_quadro!$B$329=0,"—",calculos_quadro!$Y$50)</f>
        <v/>
      </c>
      <c r="Z29" s="206"/>
    </row>
    <row r="30" ht="16" customHeight="1">
      <c r="B30" s="406"/>
      <c r="C30" s="407"/>
      <c r="D30" s="208" t="inlineStr">
        <is>
          <t xml:space="preserve">Posições Ocupadas</t>
        </is>
      </c>
      <c r="E30" s="207"/>
      <c r="F30" s="207"/>
      <c r="G30" s="207"/>
      <c r="H30" s="210" t="str">
        <f>IF(calculos_quadro!$B$330=0,"—",calculos_quadro!$Z$48)</f>
        <v/>
      </c>
      <c r="I30" s="209"/>
      <c r="J30" s="212" t="str">
        <f>IF(calculos_quadro!$B$330=0,"—",calculos_quadro!$Z$43)</f>
        <v/>
      </c>
      <c r="K30" s="211"/>
      <c r="L30" s="211"/>
      <c r="M30" s="214" t="str">
        <f>IF(calculos_quadro!$B$330=0,"—",calculos_quadro!$Z$44)</f>
        <v/>
      </c>
      <c r="N30" s="213"/>
      <c r="O30" s="216" t="str">
        <f>IF(calculos_quadro!$B$330=0,"—",calculos_quadro!$Z$45)</f>
        <v/>
      </c>
      <c r="P30" s="215"/>
      <c r="Q30" s="215"/>
      <c r="R30" s="216" t="str">
        <f>IF(calculos_quadro!$B$330=0,"—",calculos_quadro!$Z$46)</f>
        <v/>
      </c>
      <c r="S30" s="215"/>
      <c r="T30" s="218" t="str">
        <f>IF(calculos_quadro!$B$330=0,"—",calculos_quadro!$Z$47)</f>
        <v/>
      </c>
      <c r="U30" s="217"/>
      <c r="V30" s="217"/>
      <c r="W30" s="220" t="str">
        <f>IF(calculos_quadro!$B$330=0,"—",calculos_quadro!$Z$49)</f>
        <v/>
      </c>
      <c r="X30" s="219"/>
      <c r="Y30" s="222" t="str">
        <f>IF(calculos_quadro!$B$330=0,"—",calculos_quadro!$Z$50)</f>
        <v/>
      </c>
      <c r="Z30" s="223"/>
    </row>
    <row r="31" ht="16" customHeight="1">
      <c r="B31" s="408"/>
      <c r="C31" s="409"/>
      <c r="D31" s="227" t="inlineStr">
        <is>
          <t xml:space="preserve">Taxa de Ocupação</t>
        </is>
      </c>
      <c r="E31" s="226"/>
      <c r="F31" s="226"/>
      <c r="G31" s="226"/>
      <c r="H31" s="348" t="str">
        <f>IF(calculos_quadro!$B$331=0,"—",calculos_quadro!$AA$48)</f>
        <v/>
      </c>
      <c r="I31" s="347"/>
      <c r="J31" s="350" t="str">
        <f>IF(calculos_quadro!$B$331=0,"—",calculos_quadro!$AA$43)</f>
        <v/>
      </c>
      <c r="K31" s="349"/>
      <c r="L31" s="349"/>
      <c r="M31" s="352" t="str">
        <f>IF(calculos_quadro!$B$331=0,"—",calculos_quadro!$AA$44)</f>
        <v/>
      </c>
      <c r="N31" s="351"/>
      <c r="O31" s="352" t="str">
        <f>IF(calculos_quadro!$B$331=0,"—",calculos_quadro!$AA$45)</f>
        <v/>
      </c>
      <c r="P31" s="351"/>
      <c r="Q31" s="351"/>
      <c r="R31" s="352" t="str">
        <f>IF(calculos_quadro!$B$331=0,"—",calculos_quadro!$AA$46)</f>
        <v/>
      </c>
      <c r="S31" s="351"/>
      <c r="T31" s="237" t="str">
        <f>IF(calculos_quadro!$B$331=0,"—",calculos_quadro!$AA$47)</f>
        <v/>
      </c>
      <c r="U31" s="236"/>
      <c r="V31" s="236"/>
      <c r="W31" s="239" t="str">
        <f>IF(calculos_quadro!$B$331=0,"—",calculos_quadro!$AA$49)</f>
        <v/>
      </c>
      <c r="X31" s="238"/>
      <c r="Y31" s="241" t="str">
        <f>IF(calculos_quadro!$B$331=0,"—",calculos_quadro!$AA$50)</f>
        <v/>
      </c>
      <c r="Z31" s="242"/>
    </row>
    <row r="32" ht="16" customHeight="1">
      <c r="B32" s="422" t="inlineStr">
        <is>
          <t xml:space="preserve">GENTE</t>
        </is>
      </c>
      <c r="C32" s="423"/>
      <c r="D32" s="354" t="inlineStr">
        <is>
          <t xml:space="preserve">Efetivo Op.</t>
        </is>
      </c>
      <c r="E32" s="353"/>
      <c r="F32" s="353"/>
      <c r="G32" s="353"/>
      <c r="H32" s="356" t="str">
        <f>IF(calculos_quadro!$B$332=0,"—",calculos_quadro!$AB$48)</f>
        <v/>
      </c>
      <c r="I32" s="355"/>
      <c r="J32" s="358" t="str">
        <f>IF(calculos_quadro!$B$332=0,"—",calculos_quadro!$AB$43)</f>
        <v/>
      </c>
      <c r="K32" s="357"/>
      <c r="L32" s="357"/>
      <c r="M32" s="360" t="str">
        <f>IF(calculos_quadro!$B$332=0,"—",calculos_quadro!$AB$44)</f>
        <v/>
      </c>
      <c r="N32" s="359"/>
      <c r="O32" s="362" t="str">
        <f>IF(calculos_quadro!$B$332=0,"—",calculos_quadro!$AB$45)</f>
        <v/>
      </c>
      <c r="P32" s="361"/>
      <c r="Q32" s="361"/>
      <c r="R32" s="362" t="str">
        <f>IF(calculos_quadro!$B$332=0,"—",calculos_quadro!$AB$46)</f>
        <v/>
      </c>
      <c r="S32" s="361"/>
      <c r="T32" s="364" t="str">
        <f>IF(calculos_quadro!$B$332=0,"—",calculos_quadro!$AB$47)</f>
        <v/>
      </c>
      <c r="U32" s="363"/>
      <c r="V32" s="363"/>
      <c r="W32" s="366" t="str">
        <f>IF(calculos_quadro!$B$332=0,"—",calculos_quadro!$AB$49)</f>
        <v/>
      </c>
      <c r="X32" s="365"/>
      <c r="Y32" s="368" t="str">
        <f>IF(calculos_quadro!$B$332=0,"—",calculos_quadro!$AB$50)</f>
        <v/>
      </c>
      <c r="Z32" s="369"/>
    </row>
    <row r="33" ht="16" customHeight="1">
      <c r="B33" s="424"/>
      <c r="C33" s="425"/>
      <c r="D33" s="371" t="inlineStr">
        <is>
          <t xml:space="preserve">Falta</t>
        </is>
      </c>
      <c r="E33" s="370"/>
      <c r="F33" s="370"/>
      <c r="G33" s="370"/>
      <c r="H33" s="373" t="str">
        <f>IF(calculos_quadro!$B$333=0,"—",calculos_quadro!$AC$48)</f>
        <v/>
      </c>
      <c r="I33" s="372"/>
      <c r="J33" s="375">
        <f>IF(calculos_quadro!$B$333=0,"—",calculos_quadro!$AC$43)</f>
        <v>0</v>
      </c>
      <c r="K33" s="374"/>
      <c r="L33" s="374"/>
      <c r="M33" s="377" t="str">
        <f>IF(calculos_quadro!$B$333=0,"—",calculos_quadro!$AC$44)</f>
        <v/>
      </c>
      <c r="N33" s="376"/>
      <c r="O33" s="379">
        <f>IF(calculos_quadro!$B$333=0,"—",calculos_quadro!$AC$45)</f>
        <v>0</v>
      </c>
      <c r="P33" s="378"/>
      <c r="Q33" s="378"/>
      <c r="R33" s="379" t="str">
        <f>IF(calculos_quadro!$B$333=0,"—",calculos_quadro!$AC$46)</f>
        <v/>
      </c>
      <c r="S33" s="378"/>
      <c r="T33" s="381" t="str">
        <f>IF(calculos_quadro!$B$333=0,"—",calculos_quadro!$AC$47)</f>
        <v/>
      </c>
      <c r="U33" s="380"/>
      <c r="V33" s="380"/>
      <c r="W33" s="383" t="str">
        <f>IF(calculos_quadro!$B$333=0,"—",calculos_quadro!$AC$49)</f>
        <v/>
      </c>
      <c r="X33" s="382"/>
      <c r="Y33" s="385" t="str">
        <f>IF(calculos_quadro!$B$333=0,"—",calculos_quadro!$AC$50)</f>
        <v/>
      </c>
      <c r="Z33" s="386"/>
    </row>
    <row r="34" ht="16" customHeight="1">
      <c r="B34" s="424"/>
      <c r="C34" s="425"/>
      <c r="D34" s="371" t="inlineStr">
        <is>
          <t xml:space="preserve">Folga</t>
        </is>
      </c>
      <c r="E34" s="370"/>
      <c r="F34" s="370"/>
      <c r="G34" s="370"/>
      <c r="H34" s="373" t="str">
        <f>IF(calculos_quadro!$B$334=0,"—",calculos_quadro!$AD$48)</f>
        <v/>
      </c>
      <c r="I34" s="372"/>
      <c r="J34" s="375">
        <f>IF(calculos_quadro!$B$334=0,"—",calculos_quadro!$AD$43)</f>
        <v>0</v>
      </c>
      <c r="K34" s="374"/>
      <c r="L34" s="374"/>
      <c r="M34" s="377" t="str">
        <f>IF(calculos_quadro!$B$334=0,"—",calculos_quadro!$AD$44)</f>
        <v/>
      </c>
      <c r="N34" s="376"/>
      <c r="O34" s="379">
        <f>IF(calculos_quadro!$B$334=0,"—",calculos_quadro!$AD$45)</f>
        <v>0</v>
      </c>
      <c r="P34" s="378"/>
      <c r="Q34" s="378"/>
      <c r="R34" s="379" t="str">
        <f>IF(calculos_quadro!$B$334=0,"—",calculos_quadro!$AD$46)</f>
        <v/>
      </c>
      <c r="S34" s="378"/>
      <c r="T34" s="381" t="str">
        <f>IF(calculos_quadro!$B$334=0,"—",calculos_quadro!$AD$47)</f>
        <v/>
      </c>
      <c r="U34" s="380"/>
      <c r="V34" s="380"/>
      <c r="W34" s="383" t="str">
        <f>IF(calculos_quadro!$B$334=0,"—",calculos_quadro!$AD$49)</f>
        <v/>
      </c>
      <c r="X34" s="382"/>
      <c r="Y34" s="385" t="str">
        <f>IF(calculos_quadro!$B$334=0,"—",calculos_quadro!$AD$50)</f>
        <v/>
      </c>
      <c r="Z34" s="386"/>
    </row>
    <row r="35" ht="16" customHeight="1">
      <c r="B35" s="424"/>
      <c r="C35" s="425"/>
      <c r="D35" s="371" t="inlineStr">
        <is>
          <t xml:space="preserve">Férias</t>
        </is>
      </c>
      <c r="E35" s="370"/>
      <c r="F35" s="370"/>
      <c r="G35" s="370"/>
      <c r="H35" s="373" t="str">
        <f>IF(calculos_quadro!$B$335=0,"—",calculos_quadro!$AE$48)</f>
        <v/>
      </c>
      <c r="I35" s="372"/>
      <c r="J35" s="375">
        <f>IF(calculos_quadro!$B$335=0,"—",calculos_quadro!$AE$43)</f>
        <v>0</v>
      </c>
      <c r="K35" s="374"/>
      <c r="L35" s="374"/>
      <c r="M35" s="377" t="str">
        <f>IF(calculos_quadro!$B$335=0,"—",calculos_quadro!$AE$44)</f>
        <v/>
      </c>
      <c r="N35" s="376"/>
      <c r="O35" s="379">
        <f>IF(calculos_quadro!$B$335=0,"—",calculos_quadro!$AE$45)</f>
        <v>0</v>
      </c>
      <c r="P35" s="378"/>
      <c r="Q35" s="378"/>
      <c r="R35" s="379" t="str">
        <f>IF(calculos_quadro!$B$335=0,"—",calculos_quadro!$AE$46)</f>
        <v/>
      </c>
      <c r="S35" s="378"/>
      <c r="T35" s="381" t="str">
        <f>IF(calculos_quadro!$B$335=0,"—",calculos_quadro!$AE$47)</f>
        <v/>
      </c>
      <c r="U35" s="380"/>
      <c r="V35" s="380"/>
      <c r="W35" s="383" t="str">
        <f>IF(calculos_quadro!$B$335=0,"—",calculos_quadro!$AE$49)</f>
        <v/>
      </c>
      <c r="X35" s="382"/>
      <c r="Y35" s="385" t="str">
        <f>IF(calculos_quadro!$B$335=0,"—",calculos_quadro!$AE$50)</f>
        <v/>
      </c>
      <c r="Z35" s="386"/>
    </row>
    <row r="36" ht="16" customHeight="1">
      <c r="B36" s="424"/>
      <c r="C36" s="425"/>
      <c r="D36" s="371" t="inlineStr">
        <is>
          <t xml:space="preserve">Desligamento</t>
        </is>
      </c>
      <c r="E36" s="370"/>
      <c r="F36" s="370"/>
      <c r="G36" s="370"/>
      <c r="H36" s="373" t="str">
        <f>IF(calculos_quadro!$B$336=0,"—",calculos_quadro!$AF$48)</f>
        <v/>
      </c>
      <c r="I36" s="372"/>
      <c r="J36" s="375">
        <f>IF(calculos_quadro!$B$336=0,"—",calculos_quadro!$AF$43)</f>
        <v>0</v>
      </c>
      <c r="K36" s="374"/>
      <c r="L36" s="374"/>
      <c r="M36" s="377" t="str">
        <f>IF(calculos_quadro!$B$336=0,"—",calculos_quadro!$AF$44)</f>
        <v/>
      </c>
      <c r="N36" s="376"/>
      <c r="O36" s="379">
        <f>IF(calculos_quadro!$B$336=0,"—",calculos_quadro!$AF$45)</f>
        <v>0</v>
      </c>
      <c r="P36" s="378"/>
      <c r="Q36" s="378"/>
      <c r="R36" s="379" t="str">
        <f>IF(calculos_quadro!$B$336=0,"—",calculos_quadro!$AF$46)</f>
        <v/>
      </c>
      <c r="S36" s="378"/>
      <c r="T36" s="381" t="str">
        <f>IF(calculos_quadro!$B$336=0,"—",calculos_quadro!$AF$47)</f>
        <v/>
      </c>
      <c r="U36" s="380"/>
      <c r="V36" s="380"/>
      <c r="W36" s="383" t="str">
        <f>IF(calculos_quadro!$B$336=0,"—",calculos_quadro!$AF$49)</f>
        <v/>
      </c>
      <c r="X36" s="382"/>
      <c r="Y36" s="385" t="str">
        <f>IF(calculos_quadro!$B$336=0,"—",calculos_quadro!$AF$50)</f>
        <v/>
      </c>
      <c r="Z36" s="386"/>
    </row>
    <row r="37" ht="16" customHeight="1">
      <c r="B37" s="424"/>
      <c r="C37" s="425"/>
      <c r="D37" s="371" t="inlineStr">
        <is>
          <t xml:space="preserve">Desvios Comportamentais</t>
        </is>
      </c>
      <c r="E37" s="370"/>
      <c r="F37" s="370"/>
      <c r="G37" s="370"/>
      <c r="H37" s="373" t="str">
        <f>IF(calculos_quadro!$B$337=0,"—",calculos_quadro!$AG$48)</f>
        <v/>
      </c>
      <c r="I37" s="372"/>
      <c r="J37" s="375">
        <f>IF(calculos_quadro!$B$337=0,"—",calculos_quadro!$AG$43)</f>
        <v>0</v>
      </c>
      <c r="K37" s="374"/>
      <c r="L37" s="374"/>
      <c r="M37" s="377" t="str">
        <f>IF(calculos_quadro!$B$337=0,"—",calculos_quadro!$AG$44)</f>
        <v/>
      </c>
      <c r="N37" s="376"/>
      <c r="O37" s="379">
        <f>IF(calculos_quadro!$B$337=0,"—",calculos_quadro!$AG$45)</f>
        <v>0</v>
      </c>
      <c r="P37" s="378"/>
      <c r="Q37" s="378"/>
      <c r="R37" s="379" t="str">
        <f>IF(calculos_quadro!$B$337=0,"—",calculos_quadro!$AG$46)</f>
        <v/>
      </c>
      <c r="S37" s="378"/>
      <c r="T37" s="381" t="str">
        <f>IF(calculos_quadro!$B$337=0,"—",calculos_quadro!$AG$47)</f>
        <v/>
      </c>
      <c r="U37" s="380"/>
      <c r="V37" s="380"/>
      <c r="W37" s="383" t="str">
        <f>IF(calculos_quadro!$B$337=0,"—",calculos_quadro!$AG$49)</f>
        <v/>
      </c>
      <c r="X37" s="382"/>
      <c r="Y37" s="385" t="str">
        <f>IF(calculos_quadro!$B$337=0,"—",calculos_quadro!$AG$50)</f>
        <v/>
      </c>
      <c r="Z37" s="386"/>
    </row>
    <row r="38" ht="16" customHeight="1">
      <c r="B38" s="424"/>
      <c r="C38" s="425"/>
      <c r="D38" s="371" t="inlineStr">
        <is>
          <t xml:space="preserve">Acidentes CAF</t>
        </is>
      </c>
      <c r="E38" s="370"/>
      <c r="F38" s="370"/>
      <c r="G38" s="370"/>
      <c r="H38" s="373" t="str">
        <f>IF(calculos_quadro!$B$338=0,"—",calculos_quadro!$AH$48)</f>
        <v/>
      </c>
      <c r="I38" s="372"/>
      <c r="J38" s="375">
        <f>IF(calculos_quadro!$B$338=0,"—",calculos_quadro!$AH$43)</f>
        <v>0</v>
      </c>
      <c r="K38" s="374"/>
      <c r="L38" s="374"/>
      <c r="M38" s="377" t="str">
        <f>IF(calculos_quadro!$B$338=0,"—",calculos_quadro!$AH$44)</f>
        <v/>
      </c>
      <c r="N38" s="376"/>
      <c r="O38" s="379">
        <f>IF(calculos_quadro!$B$338=0,"—",calculos_quadro!$AH$45)</f>
        <v>0</v>
      </c>
      <c r="P38" s="378"/>
      <c r="Q38" s="378"/>
      <c r="R38" s="379" t="str">
        <f>IF(calculos_quadro!$B$338=0,"—",calculos_quadro!$AH$46)</f>
        <v/>
      </c>
      <c r="S38" s="378"/>
      <c r="T38" s="381" t="str">
        <f>IF(calculos_quadro!$B$338=0,"—",calculos_quadro!$AH$47)</f>
        <v/>
      </c>
      <c r="U38" s="380"/>
      <c r="V38" s="380"/>
      <c r="W38" s="383" t="str">
        <f>IF(calculos_quadro!$B$338=0,"—",calculos_quadro!$AH$49)</f>
        <v/>
      </c>
      <c r="X38" s="382"/>
      <c r="Y38" s="385" t="str">
        <f>IF(calculos_quadro!$B$338=0,"—",calculos_quadro!$AH$50)</f>
        <v/>
      </c>
      <c r="Z38" s="386"/>
    </row>
    <row r="39" ht="16" customHeight="1">
      <c r="B39" s="426"/>
      <c r="C39" s="427"/>
      <c r="D39" s="388" t="inlineStr">
        <is>
          <t xml:space="preserve">Acidentes SAF</t>
        </is>
      </c>
      <c r="E39" s="387"/>
      <c r="F39" s="387"/>
      <c r="G39" s="387"/>
      <c r="H39" s="390" t="str">
        <f>IF(calculos_quadro!$B$339=0,"—",calculos_quadro!$AI$48)</f>
        <v/>
      </c>
      <c r="I39" s="389"/>
      <c r="J39" s="392">
        <f>IF(calculos_quadro!$B$339=0,"—",calculos_quadro!$AI$43)</f>
        <v>0</v>
      </c>
      <c r="K39" s="391"/>
      <c r="L39" s="391"/>
      <c r="M39" s="394" t="str">
        <f>IF(calculos_quadro!$B$339=0,"—",calculos_quadro!$AI$44)</f>
        <v/>
      </c>
      <c r="N39" s="393"/>
      <c r="O39" s="396">
        <f>IF(calculos_quadro!$B$339=0,"—",calculos_quadro!$AI$45)</f>
        <v>0</v>
      </c>
      <c r="P39" s="395"/>
      <c r="Q39" s="395"/>
      <c r="R39" s="396" t="str">
        <f>IF(calculos_quadro!$B$339=0,"—",calculos_quadro!$AI$46)</f>
        <v/>
      </c>
      <c r="S39" s="395"/>
      <c r="T39" s="398" t="str">
        <f>IF(calculos_quadro!$B$339=0,"—",calculos_quadro!$AI$47)</f>
        <v/>
      </c>
      <c r="U39" s="397"/>
      <c r="V39" s="397"/>
      <c r="W39" s="400" t="str">
        <f>IF(calculos_quadro!$B$339=0,"—",calculos_quadro!$AI$49)</f>
        <v/>
      </c>
      <c r="X39" s="399"/>
      <c r="Y39" s="402" t="str">
        <f>IF(calculos_quadro!$B$339=0,"—",calculos_quadro!$AI$50)</f>
        <v/>
      </c>
      <c r="Z39" s="403"/>
    </row>
    <row r="40">
      <c r="B40" s="31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42" ht="20" customHeight="1">
      <c r="B42" s="183" t="inlineStr">
        <is>
          <t xml:space="preserve">RESUMO POR CLIENTE · mês inteiro · segue o filtro desta aba</t>
        </is>
      </c>
      <c r="C42" s="183"/>
      <c r="D42" s="183"/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183"/>
      <c r="Y42" s="183"/>
      <c r="Z42" s="183"/>
    </row>
    <row r="43" ht="30" customHeight="1">
      <c r="B43" s="428" t="inlineStr">
        <is>
          <t xml:space="preserve">GRUPO</t>
        </is>
      </c>
      <c r="C43" s="429"/>
      <c r="D43" s="428" t="inlineStr">
        <is>
          <t xml:space="preserve">INDICADOR</t>
        </is>
      </c>
      <c r="E43" s="430"/>
      <c r="F43" s="430"/>
      <c r="G43" s="429"/>
      <c r="H43" s="431" t="str">
        <f>calculos_quadro!$G$284&amp;""</f>
        <v>Alpargatas</v>
      </c>
      <c r="I43" s="431" t="str">
        <f>calculos_quadro!$G$285&amp;""</f>
        <v>Basf</v>
      </c>
      <c r="J43" s="432" t="str">
        <f>calculos_quadro!$G$286&amp;""</f>
        <v>Beautybiz</v>
      </c>
      <c r="K43" s="433"/>
      <c r="L43" s="431" t="str">
        <f>calculos_quadro!$G$287&amp;""</f>
        <v>Boticário</v>
      </c>
      <c r="M43" s="431" t="str">
        <f>calculos_quadro!$G$288&amp;""</f>
        <v>Confiance</v>
      </c>
      <c r="N43" s="431" t="str">
        <f>calculos_quadro!$G$289&amp;""</f>
        <v>GE Vernova</v>
      </c>
      <c r="O43" s="432" t="str">
        <f>calculos_quadro!$G$290&amp;""</f>
        <v>Omnilife</v>
      </c>
      <c r="P43" s="433"/>
      <c r="Q43" s="431" t="str">
        <f>calculos_quadro!$G$291&amp;""</f>
        <v>Supply</v>
      </c>
      <c r="R43" s="431" t="str">
        <f>calculos_quadro!$G$292&amp;""</f>
        <v>Vedacit</v>
      </c>
      <c r="S43" s="431" t="str">
        <f>calculos_quadro!$G$293&amp;""</f>
        <v>Vestas</v>
      </c>
      <c r="T43" s="432" t="str">
        <f>calculos_quadro!$G$294&amp;""</f>
        <v/>
      </c>
      <c r="U43" s="433"/>
      <c r="V43" s="431" t="str">
        <f>calculos_quadro!$G$295&amp;""</f>
        <v/>
      </c>
      <c r="W43" s="431" t="str">
        <f>calculos_quadro!$G$296&amp;""</f>
        <v/>
      </c>
      <c r="X43" s="431" t="str">
        <f>calculos_quadro!$G$297&amp;""</f>
        <v/>
      </c>
      <c r="Y43" s="431" t="str">
        <f>calculos_quadro!$G$298&amp;""</f>
        <v/>
      </c>
      <c r="Z43" s="431" t="str">
        <f>calculos_quadro!$G$299&amp;""</f>
        <v/>
      </c>
    </row>
    <row r="44" ht="15.75" customHeight="1">
      <c r="B44" s="404" t="inlineStr">
        <is>
          <t xml:space="preserve">IN</t>
        </is>
      </c>
      <c r="C44" s="405"/>
      <c r="D44" s="191" t="inlineStr">
        <is>
          <t xml:space="preserve">Veículos Recebidos</t>
        </is>
      </c>
      <c r="E44" s="190"/>
      <c r="F44" s="190"/>
      <c r="G44" s="190"/>
      <c r="H44" s="199">
        <f>IF(calculos_quadro!$G$284="","",IFERROR(INDEX(calculos_quadro!$B$103:$U$103,MATCH(calculos_quadro!$G$284,calculos_quadro!$B$102:$U$102,0)),""))</f>
        <v>0</v>
      </c>
      <c r="I44" s="199">
        <f>IF(calculos_quadro!$G$285="","",IFERROR(INDEX(calculos_quadro!$B$103:$U$103,MATCH(calculos_quadro!$G$285,calculos_quadro!$B$102:$U$102,0)),""))</f>
        <v>0</v>
      </c>
      <c r="J44" s="199">
        <f>IF(calculos_quadro!$G$286="","",IFERROR(INDEX(calculos_quadro!$B$103:$U$103,MATCH(calculos_quadro!$G$286,calculos_quadro!$B$102:$U$102,0)),""))</f>
        <v>0</v>
      </c>
      <c r="K44" s="198"/>
      <c r="L44" s="199">
        <f>IF(calculos_quadro!$G$287="","",IFERROR(INDEX(calculos_quadro!$B$103:$U$103,MATCH(calculos_quadro!$G$287,calculos_quadro!$B$102:$U$102,0)),""))</f>
        <v>0</v>
      </c>
      <c r="M44" s="199">
        <f>IF(calculos_quadro!$G$288="","",IFERROR(INDEX(calculos_quadro!$B$103:$U$103,MATCH(calculos_quadro!$G$288,calculos_quadro!$B$102:$U$102,0)),""))</f>
        <v>0</v>
      </c>
      <c r="N44" s="199">
        <f>IF(calculos_quadro!$G$289="","",IFERROR(INDEX(calculos_quadro!$B$103:$U$103,MATCH(calculos_quadro!$G$289,calculos_quadro!$B$102:$U$102,0)),""))</f>
        <v>0</v>
      </c>
      <c r="O44" s="199">
        <f>IF(calculos_quadro!$G$290="","",IFERROR(INDEX(calculos_quadro!$B$103:$U$103,MATCH(calculos_quadro!$G$290,calculos_quadro!$B$102:$U$102,0)),""))</f>
        <v>0</v>
      </c>
      <c r="P44" s="198"/>
      <c r="Q44" s="199">
        <f>IF(calculos_quadro!$G$291="","",IFERROR(INDEX(calculos_quadro!$B$103:$U$103,MATCH(calculos_quadro!$G$291,calculos_quadro!$B$102:$U$102,0)),""))</f>
        <v>0</v>
      </c>
      <c r="R44" s="199">
        <f>IF(calculos_quadro!$G$292="","",IFERROR(INDEX(calculos_quadro!$B$103:$U$103,MATCH(calculos_quadro!$G$292,calculos_quadro!$B$102:$U$102,0)),""))</f>
        <v>0</v>
      </c>
      <c r="S44" s="199">
        <f>IF(calculos_quadro!$G$293="","",IFERROR(INDEX(calculos_quadro!$B$103:$U$103,MATCH(calculos_quadro!$G$293,calculos_quadro!$B$102:$U$102,0)),""))</f>
        <v>0</v>
      </c>
      <c r="T44" s="199" t="str">
        <f>IF(calculos_quadro!$G$294="","",IFERROR(INDEX(calculos_quadro!$B$103:$U$103,MATCH(calculos_quadro!$G$294,calculos_quadro!$B$102:$U$102,0)),""))</f>
        <v/>
      </c>
      <c r="U44" s="198"/>
      <c r="V44" s="199" t="str">
        <f>IF(calculos_quadro!$G$295="","",IFERROR(INDEX(calculos_quadro!$B$103:$U$103,MATCH(calculos_quadro!$G$295,calculos_quadro!$B$102:$U$102,0)),""))</f>
        <v/>
      </c>
      <c r="W44" s="199" t="str">
        <f>IF(calculos_quadro!$G$296="","",IFERROR(INDEX(calculos_quadro!$B$103:$U$103,MATCH(calculos_quadro!$G$296,calculos_quadro!$B$102:$U$102,0)),""))</f>
        <v/>
      </c>
      <c r="X44" s="199" t="str">
        <f>IF(calculos_quadro!$G$297="","",IFERROR(INDEX(calculos_quadro!$B$103:$U$103,MATCH(calculos_quadro!$G$297,calculos_quadro!$B$102:$U$102,0)),""))</f>
        <v/>
      </c>
      <c r="Y44" s="199" t="str">
        <f>IF(calculos_quadro!$G$298="","",IFERROR(INDEX(calculos_quadro!$B$103:$U$103,MATCH(calculos_quadro!$G$298,calculos_quadro!$B$102:$U$102,0)),""))</f>
        <v/>
      </c>
      <c r="Z44" s="199" t="str">
        <f>IF(calculos_quadro!$G$299="","",IFERROR(INDEX(calculos_quadro!$B$103:$U$103,MATCH(calculos_quadro!$G$299,calculos_quadro!$B$102:$U$102,0)),""))</f>
        <v/>
      </c>
    </row>
    <row r="45" ht="15.75" customHeight="1">
      <c r="B45" s="406"/>
      <c r="C45" s="407"/>
      <c r="D45" s="208" t="inlineStr">
        <is>
          <t xml:space="preserve">Pallets Movimentados</t>
        </is>
      </c>
      <c r="E45" s="207"/>
      <c r="F45" s="207"/>
      <c r="G45" s="207"/>
      <c r="H45" s="216" t="str">
        <f>IF(calculos_quadro!$G$284="","",IFERROR(INDEX(calculos_quadro!$B$104:$U$104,MATCH(calculos_quadro!$G$284,calculos_quadro!$B$102:$U$102,0)),""))</f>
        <v>—</v>
      </c>
      <c r="I45" s="216">
        <f>IF(calculos_quadro!$G$285="","",IFERROR(INDEX(calculos_quadro!$B$104:$U$104,MATCH(calculos_quadro!$G$285,calculos_quadro!$B$102:$U$102,0)),""))</f>
        <v>0</v>
      </c>
      <c r="J45" s="216">
        <f>IF(calculos_quadro!$G$286="","",IFERROR(INDEX(calculos_quadro!$B$104:$U$104,MATCH(calculos_quadro!$G$286,calculos_quadro!$B$102:$U$102,0)),""))</f>
        <v>0</v>
      </c>
      <c r="K45" s="215"/>
      <c r="L45" s="216" t="str">
        <f>IF(calculos_quadro!$G$287="","",IFERROR(INDEX(calculos_quadro!$B$104:$U$104,MATCH(calculos_quadro!$G$287,calculos_quadro!$B$102:$U$102,0)),""))</f>
        <v>—</v>
      </c>
      <c r="M45" s="216">
        <f>IF(calculos_quadro!$G$288="","",IFERROR(INDEX(calculos_quadro!$B$104:$U$104,MATCH(calculos_quadro!$G$288,calculos_quadro!$B$102:$U$102,0)),""))</f>
        <v>0</v>
      </c>
      <c r="N45" s="216">
        <f>IF(calculos_quadro!$G$289="","",IFERROR(INDEX(calculos_quadro!$B$104:$U$104,MATCH(calculos_quadro!$G$289,calculos_quadro!$B$102:$U$102,0)),""))</f>
        <v>0</v>
      </c>
      <c r="O45" s="216">
        <f>IF(calculos_quadro!$G$290="","",IFERROR(INDEX(calculos_quadro!$B$104:$U$104,MATCH(calculos_quadro!$G$290,calculos_quadro!$B$102:$U$102,0)),""))</f>
        <v>0</v>
      </c>
      <c r="P45" s="215"/>
      <c r="Q45" s="216">
        <f>IF(calculos_quadro!$G$291="","",IFERROR(INDEX(calculos_quadro!$B$104:$U$104,MATCH(calculos_quadro!$G$291,calculos_quadro!$B$102:$U$102,0)),""))</f>
        <v>0</v>
      </c>
      <c r="R45" s="216">
        <f>IF(calculos_quadro!$G$292="","",IFERROR(INDEX(calculos_quadro!$B$104:$U$104,MATCH(calculos_quadro!$G$292,calculos_quadro!$B$102:$U$102,0)),""))</f>
        <v>0</v>
      </c>
      <c r="S45" s="216" t="str">
        <f>IF(calculos_quadro!$G$293="","",IFERROR(INDEX(calculos_quadro!$B$104:$U$104,MATCH(calculos_quadro!$G$293,calculos_quadro!$B$102:$U$102,0)),""))</f>
        <v>—</v>
      </c>
      <c r="T45" s="216" t="str">
        <f>IF(calculos_quadro!$G$294="","",IFERROR(INDEX(calculos_quadro!$B$104:$U$104,MATCH(calculos_quadro!$G$294,calculos_quadro!$B$102:$U$102,0)),""))</f>
        <v/>
      </c>
      <c r="U45" s="215"/>
      <c r="V45" s="216" t="str">
        <f>IF(calculos_quadro!$G$295="","",IFERROR(INDEX(calculos_quadro!$B$104:$U$104,MATCH(calculos_quadro!$G$295,calculos_quadro!$B$102:$U$102,0)),""))</f>
        <v/>
      </c>
      <c r="W45" s="216" t="str">
        <f>IF(calculos_quadro!$G$296="","",IFERROR(INDEX(calculos_quadro!$B$104:$U$104,MATCH(calculos_quadro!$G$296,calculos_quadro!$B$102:$U$102,0)),""))</f>
        <v/>
      </c>
      <c r="X45" s="216" t="str">
        <f>IF(calculos_quadro!$G$297="","",IFERROR(INDEX(calculos_quadro!$B$104:$U$104,MATCH(calculos_quadro!$G$297,calculos_quadro!$B$102:$U$102,0)),""))</f>
        <v/>
      </c>
      <c r="Y45" s="216" t="str">
        <f>IF(calculos_quadro!$G$298="","",IFERROR(INDEX(calculos_quadro!$B$104:$U$104,MATCH(calculos_quadro!$G$298,calculos_quadro!$B$102:$U$102,0)),""))</f>
        <v/>
      </c>
      <c r="Z45" s="216" t="str">
        <f>IF(calculos_quadro!$G$299="","",IFERROR(INDEX(calculos_quadro!$B$104:$U$104,MATCH(calculos_quadro!$G$299,calculos_quadro!$B$102:$U$102,0)),""))</f>
        <v/>
      </c>
    </row>
    <row r="46" ht="15.75" customHeight="1">
      <c r="B46" s="406"/>
      <c r="C46" s="407"/>
      <c r="D46" s="208" t="inlineStr">
        <is>
          <t xml:space="preserve">Toneladas Movimentadas</t>
        </is>
      </c>
      <c r="E46" s="207"/>
      <c r="F46" s="207"/>
      <c r="G46" s="207"/>
      <c r="H46" s="214" t="str">
        <f>IF(calculos_quadro!$G$284="","",IFERROR(INDEX(calculos_quadro!$B$105:$U$105,MATCH(calculos_quadro!$G$284,calculos_quadro!$B$102:$U$102,0)),""))</f>
        <v>—</v>
      </c>
      <c r="I46" s="214">
        <f>IF(calculos_quadro!$G$285="","",IFERROR(INDEX(calculos_quadro!$B$105:$U$105,MATCH(calculos_quadro!$G$285,calculos_quadro!$B$102:$U$102,0)),""))</f>
        <v>0</v>
      </c>
      <c r="J46" s="214" t="str">
        <f>IF(calculos_quadro!$G$286="","",IFERROR(INDEX(calculos_quadro!$B$105:$U$105,MATCH(calculos_quadro!$G$286,calculos_quadro!$B$102:$U$102,0)),""))</f>
        <v>—</v>
      </c>
      <c r="K46" s="213"/>
      <c r="L46" s="214" t="str">
        <f>IF(calculos_quadro!$G$287="","",IFERROR(INDEX(calculos_quadro!$B$105:$U$105,MATCH(calculos_quadro!$G$287,calculos_quadro!$B$102:$U$102,0)),""))</f>
        <v>—</v>
      </c>
      <c r="M46" s="214">
        <f>IF(calculos_quadro!$G$288="","",IFERROR(INDEX(calculos_quadro!$B$105:$U$105,MATCH(calculos_quadro!$G$288,calculos_quadro!$B$102:$U$102,0)),""))</f>
        <v>0</v>
      </c>
      <c r="N46" s="214" t="str">
        <f>IF(calculos_quadro!$G$289="","",IFERROR(INDEX(calculos_quadro!$B$105:$U$105,MATCH(calculos_quadro!$G$289,calculos_quadro!$B$102:$U$102,0)),""))</f>
        <v>—</v>
      </c>
      <c r="O46" s="214" t="str">
        <f>IF(calculos_quadro!$G$290="","",IFERROR(INDEX(calculos_quadro!$B$105:$U$105,MATCH(calculos_quadro!$G$290,calculos_quadro!$B$102:$U$102,0)),""))</f>
        <v>—</v>
      </c>
      <c r="P46" s="213"/>
      <c r="Q46" s="214">
        <f>IF(calculos_quadro!$G$291="","",IFERROR(INDEX(calculos_quadro!$B$105:$U$105,MATCH(calculos_quadro!$G$291,calculos_quadro!$B$102:$U$102,0)),""))</f>
        <v>0</v>
      </c>
      <c r="R46" s="214" t="str">
        <f>IF(calculos_quadro!$G$292="","",IFERROR(INDEX(calculos_quadro!$B$105:$U$105,MATCH(calculos_quadro!$G$292,calculos_quadro!$B$102:$U$102,0)),""))</f>
        <v>—</v>
      </c>
      <c r="S46" s="214" t="str">
        <f>IF(calculos_quadro!$G$293="","",IFERROR(INDEX(calculos_quadro!$B$105:$U$105,MATCH(calculos_quadro!$G$293,calculos_quadro!$B$102:$U$102,0)),""))</f>
        <v>—</v>
      </c>
      <c r="T46" s="214" t="str">
        <f>IF(calculos_quadro!$G$294="","",IFERROR(INDEX(calculos_quadro!$B$105:$U$105,MATCH(calculos_quadro!$G$294,calculos_quadro!$B$102:$U$102,0)),""))</f>
        <v/>
      </c>
      <c r="U46" s="213"/>
      <c r="V46" s="214" t="str">
        <f>IF(calculos_quadro!$G$295="","",IFERROR(INDEX(calculos_quadro!$B$105:$U$105,MATCH(calculos_quadro!$G$295,calculos_quadro!$B$102:$U$102,0)),""))</f>
        <v/>
      </c>
      <c r="W46" s="214" t="str">
        <f>IF(calculos_quadro!$G$296="","",IFERROR(INDEX(calculos_quadro!$B$105:$U$105,MATCH(calculos_quadro!$G$296,calculos_quadro!$B$102:$U$102,0)),""))</f>
        <v/>
      </c>
      <c r="X46" s="214" t="str">
        <f>IF(calculos_quadro!$G$297="","",IFERROR(INDEX(calculos_quadro!$B$105:$U$105,MATCH(calculos_quadro!$G$297,calculos_quadro!$B$102:$U$102,0)),""))</f>
        <v/>
      </c>
      <c r="Y46" s="214" t="str">
        <f>IF(calculos_quadro!$G$298="","",IFERROR(INDEX(calculos_quadro!$B$105:$U$105,MATCH(calculos_quadro!$G$298,calculos_quadro!$B$102:$U$102,0)),""))</f>
        <v/>
      </c>
      <c r="Z46" s="214" t="str">
        <f>IF(calculos_quadro!$G$299="","",IFERROR(INDEX(calculos_quadro!$B$105:$U$105,MATCH(calculos_quadro!$G$299,calculos_quadro!$B$102:$U$102,0)),""))</f>
        <v/>
      </c>
    </row>
    <row r="47" ht="15.75" customHeight="1">
      <c r="B47" s="406"/>
      <c r="C47" s="407"/>
      <c r="D47" s="208" t="inlineStr">
        <is>
          <t xml:space="preserve">Linhas NF</t>
        </is>
      </c>
      <c r="E47" s="207"/>
      <c r="F47" s="207"/>
      <c r="G47" s="207"/>
      <c r="H47" s="216" t="str">
        <f>IF(calculos_quadro!$G$284="","",IFERROR(INDEX(calculos_quadro!$B$106:$U$106,MATCH(calculos_quadro!$G$284,calculos_quadro!$B$102:$U$102,0)),""))</f>
        <v>—</v>
      </c>
      <c r="I47" s="216" t="str">
        <f>IF(calculos_quadro!$G$285="","",IFERROR(INDEX(calculos_quadro!$B$106:$U$106,MATCH(calculos_quadro!$G$285,calculos_quadro!$B$102:$U$102,0)),""))</f>
        <v>—</v>
      </c>
      <c r="J47" s="216" t="str">
        <f>IF(calculos_quadro!$G$286="","",IFERROR(INDEX(calculos_quadro!$B$106:$U$106,MATCH(calculos_quadro!$G$286,calculos_quadro!$B$102:$U$102,0)),""))</f>
        <v>—</v>
      </c>
      <c r="K47" s="215"/>
      <c r="L47" s="216" t="str">
        <f>IF(calculos_quadro!$G$287="","",IFERROR(INDEX(calculos_quadro!$B$106:$U$106,MATCH(calculos_quadro!$G$287,calculos_quadro!$B$102:$U$102,0)),""))</f>
        <v>—</v>
      </c>
      <c r="M47" s="216" t="str">
        <f>IF(calculos_quadro!$G$288="","",IFERROR(INDEX(calculos_quadro!$B$106:$U$106,MATCH(calculos_quadro!$G$288,calculos_quadro!$B$102:$U$102,0)),""))</f>
        <v>—</v>
      </c>
      <c r="N47" s="216">
        <f>IF(calculos_quadro!$G$289="","",IFERROR(INDEX(calculos_quadro!$B$106:$U$106,MATCH(calculos_quadro!$G$289,calculos_quadro!$B$102:$U$102,0)),""))</f>
        <v>0</v>
      </c>
      <c r="O47" s="216" t="str">
        <f>IF(calculos_quadro!$G$290="","",IFERROR(INDEX(calculos_quadro!$B$106:$U$106,MATCH(calculos_quadro!$G$290,calculos_quadro!$B$102:$U$102,0)),""))</f>
        <v>—</v>
      </c>
      <c r="P47" s="215"/>
      <c r="Q47" s="216" t="str">
        <f>IF(calculos_quadro!$G$291="","",IFERROR(INDEX(calculos_quadro!$B$106:$U$106,MATCH(calculos_quadro!$G$291,calculos_quadro!$B$102:$U$102,0)),""))</f>
        <v>—</v>
      </c>
      <c r="R47" s="216" t="str">
        <f>IF(calculos_quadro!$G$292="","",IFERROR(INDEX(calculos_quadro!$B$106:$U$106,MATCH(calculos_quadro!$G$292,calculos_quadro!$B$102:$U$102,0)),""))</f>
        <v>—</v>
      </c>
      <c r="S47" s="216">
        <f>IF(calculos_quadro!$G$293="","",IFERROR(INDEX(calculos_quadro!$B$106:$U$106,MATCH(calculos_quadro!$G$293,calculos_quadro!$B$102:$U$102,0)),""))</f>
        <v>0</v>
      </c>
      <c r="T47" s="216" t="str">
        <f>IF(calculos_quadro!$G$294="","",IFERROR(INDEX(calculos_quadro!$B$106:$U$106,MATCH(calculos_quadro!$G$294,calculos_quadro!$B$102:$U$102,0)),""))</f>
        <v/>
      </c>
      <c r="U47" s="215"/>
      <c r="V47" s="216" t="str">
        <f>IF(calculos_quadro!$G$295="","",IFERROR(INDEX(calculos_quadro!$B$106:$U$106,MATCH(calculos_quadro!$G$295,calculos_quadro!$B$102:$U$102,0)),""))</f>
        <v/>
      </c>
      <c r="W47" s="216" t="str">
        <f>IF(calculos_quadro!$G$296="","",IFERROR(INDEX(calculos_quadro!$B$106:$U$106,MATCH(calculos_quadro!$G$296,calculos_quadro!$B$102:$U$102,0)),""))</f>
        <v/>
      </c>
      <c r="X47" s="216" t="str">
        <f>IF(calculos_quadro!$G$297="","",IFERROR(INDEX(calculos_quadro!$B$106:$U$106,MATCH(calculos_quadro!$G$297,calculos_quadro!$B$102:$U$102,0)),""))</f>
        <v/>
      </c>
      <c r="Y47" s="216" t="str">
        <f>IF(calculos_quadro!$G$298="","",IFERROR(INDEX(calculos_quadro!$B$106:$U$106,MATCH(calculos_quadro!$G$298,calculos_quadro!$B$102:$U$102,0)),""))</f>
        <v/>
      </c>
      <c r="Z47" s="216" t="str">
        <f>IF(calculos_quadro!$G$299="","",IFERROR(INDEX(calculos_quadro!$B$106:$U$106,MATCH(calculos_quadro!$G$299,calculos_quadro!$B$102:$U$102,0)),""))</f>
        <v/>
      </c>
    </row>
    <row r="48" ht="15.75" customHeight="1">
      <c r="B48" s="406"/>
      <c r="C48" s="407"/>
      <c r="D48" s="208" t="inlineStr">
        <is>
          <t xml:space="preserve">Caixas Movimentadas</t>
        </is>
      </c>
      <c r="E48" s="207"/>
      <c r="F48" s="207"/>
      <c r="G48" s="207"/>
      <c r="H48" s="216">
        <f>IF(calculos_quadro!$G$284="","",IFERROR(INDEX(calculos_quadro!$B$107:$U$107,MATCH(calculos_quadro!$G$284,calculos_quadro!$B$102:$U$102,0)),""))</f>
        <v>0</v>
      </c>
      <c r="I48" s="216" t="str">
        <f>IF(calculos_quadro!$G$285="","",IFERROR(INDEX(calculos_quadro!$B$107:$U$107,MATCH(calculos_quadro!$G$285,calculos_quadro!$B$102:$U$102,0)),""))</f>
        <v>—</v>
      </c>
      <c r="J48" s="216">
        <f>IF(calculos_quadro!$G$286="","",IFERROR(INDEX(calculos_quadro!$B$107:$U$107,MATCH(calculos_quadro!$G$286,calculos_quadro!$B$102:$U$102,0)),""))</f>
        <v>0</v>
      </c>
      <c r="K48" s="215"/>
      <c r="L48" s="216" t="str">
        <f>IF(calculos_quadro!$G$287="","",IFERROR(INDEX(calculos_quadro!$B$107:$U$107,MATCH(calculos_quadro!$G$287,calculos_quadro!$B$102:$U$102,0)),""))</f>
        <v>—</v>
      </c>
      <c r="M48" s="216" t="str">
        <f>IF(calculos_quadro!$G$288="","",IFERROR(INDEX(calculos_quadro!$B$107:$U$107,MATCH(calculos_quadro!$G$288,calculos_quadro!$B$102:$U$102,0)),""))</f>
        <v>—</v>
      </c>
      <c r="N48" s="216" t="str">
        <f>IF(calculos_quadro!$G$289="","",IFERROR(INDEX(calculos_quadro!$B$107:$U$107,MATCH(calculos_quadro!$G$289,calculos_quadro!$B$102:$U$102,0)),""))</f>
        <v>—</v>
      </c>
      <c r="O48" s="216" t="str">
        <f>IF(calculos_quadro!$G$290="","",IFERROR(INDEX(calculos_quadro!$B$107:$U$107,MATCH(calculos_quadro!$G$290,calculos_quadro!$B$102:$U$102,0)),""))</f>
        <v>—</v>
      </c>
      <c r="P48" s="215"/>
      <c r="Q48" s="216" t="str">
        <f>IF(calculos_quadro!$G$291="","",IFERROR(INDEX(calculos_quadro!$B$107:$U$107,MATCH(calculos_quadro!$G$291,calculos_quadro!$B$102:$U$102,0)),""))</f>
        <v>—</v>
      </c>
      <c r="R48" s="216" t="str">
        <f>IF(calculos_quadro!$G$292="","",IFERROR(INDEX(calculos_quadro!$B$107:$U$107,MATCH(calculos_quadro!$G$292,calculos_quadro!$B$102:$U$102,0)),""))</f>
        <v>—</v>
      </c>
      <c r="S48" s="216" t="str">
        <f>IF(calculos_quadro!$G$293="","",IFERROR(INDEX(calculos_quadro!$B$107:$U$107,MATCH(calculos_quadro!$G$293,calculos_quadro!$B$102:$U$102,0)),""))</f>
        <v>—</v>
      </c>
      <c r="T48" s="216" t="str">
        <f>IF(calculos_quadro!$G$294="","",IFERROR(INDEX(calculos_quadro!$B$107:$U$107,MATCH(calculos_quadro!$G$294,calculos_quadro!$B$102:$U$102,0)),""))</f>
        <v/>
      </c>
      <c r="U48" s="215"/>
      <c r="V48" s="216" t="str">
        <f>IF(calculos_quadro!$G$295="","",IFERROR(INDEX(calculos_quadro!$B$107:$U$107,MATCH(calculos_quadro!$G$295,calculos_quadro!$B$102:$U$102,0)),""))</f>
        <v/>
      </c>
      <c r="W48" s="216" t="str">
        <f>IF(calculos_quadro!$G$296="","",IFERROR(INDEX(calculos_quadro!$B$107:$U$107,MATCH(calculos_quadro!$G$296,calculos_quadro!$B$102:$U$102,0)),""))</f>
        <v/>
      </c>
      <c r="X48" s="216" t="str">
        <f>IF(calculos_quadro!$G$297="","",IFERROR(INDEX(calculos_quadro!$B$107:$U$107,MATCH(calculos_quadro!$G$297,calculos_quadro!$B$102:$U$102,0)),""))</f>
        <v/>
      </c>
      <c r="Y48" s="216" t="str">
        <f>IF(calculos_quadro!$G$298="","",IFERROR(INDEX(calculos_quadro!$B$107:$U$107,MATCH(calculos_quadro!$G$298,calculos_quadro!$B$102:$U$102,0)),""))</f>
        <v/>
      </c>
      <c r="Z48" s="216" t="str">
        <f>IF(calculos_quadro!$G$299="","",IFERROR(INDEX(calculos_quadro!$B$107:$U$107,MATCH(calculos_quadro!$G$299,calculos_quadro!$B$102:$U$102,0)),""))</f>
        <v/>
      </c>
    </row>
    <row r="49" ht="15.75" customHeight="1">
      <c r="B49" s="406"/>
      <c r="C49" s="407"/>
      <c r="D49" s="208" t="inlineStr">
        <is>
          <t xml:space="preserve">Peças Movimentadas</t>
        </is>
      </c>
      <c r="E49" s="207"/>
      <c r="F49" s="207"/>
      <c r="G49" s="207"/>
      <c r="H49" s="216" t="str">
        <f>IF(calculos_quadro!$G$284="","",IFERROR(INDEX(calculos_quadro!$B$108:$U$108,MATCH(calculos_quadro!$G$284,calculos_quadro!$B$102:$U$102,0)),""))</f>
        <v>—</v>
      </c>
      <c r="I49" s="216" t="str">
        <f>IF(calculos_quadro!$G$285="","",IFERROR(INDEX(calculos_quadro!$B$108:$U$108,MATCH(calculos_quadro!$G$285,calculos_quadro!$B$102:$U$102,0)),""))</f>
        <v>—</v>
      </c>
      <c r="J49" s="216" t="str">
        <f>IF(calculos_quadro!$G$286="","",IFERROR(INDEX(calculos_quadro!$B$108:$U$108,MATCH(calculos_quadro!$G$286,calculos_quadro!$B$102:$U$102,0)),""))</f>
        <v>—</v>
      </c>
      <c r="K49" s="215"/>
      <c r="L49" s="216" t="str">
        <f>IF(calculos_quadro!$G$287="","",IFERROR(INDEX(calculos_quadro!$B$108:$U$108,MATCH(calculos_quadro!$G$287,calculos_quadro!$B$102:$U$102,0)),""))</f>
        <v>—</v>
      </c>
      <c r="M49" s="216" t="str">
        <f>IF(calculos_quadro!$G$288="","",IFERROR(INDEX(calculos_quadro!$B$108:$U$108,MATCH(calculos_quadro!$G$288,calculos_quadro!$B$102:$U$102,0)),""))</f>
        <v>—</v>
      </c>
      <c r="N49" s="216">
        <f>IF(calculos_quadro!$G$289="","",IFERROR(INDEX(calculos_quadro!$B$108:$U$108,MATCH(calculos_quadro!$G$289,calculos_quadro!$B$102:$U$102,0)),""))</f>
        <v>0</v>
      </c>
      <c r="O49" s="216" t="str">
        <f>IF(calculos_quadro!$G$290="","",IFERROR(INDEX(calculos_quadro!$B$108:$U$108,MATCH(calculos_quadro!$G$290,calculos_quadro!$B$102:$U$102,0)),""))</f>
        <v>—</v>
      </c>
      <c r="P49" s="215"/>
      <c r="Q49" s="216" t="str">
        <f>IF(calculos_quadro!$G$291="","",IFERROR(INDEX(calculos_quadro!$B$108:$U$108,MATCH(calculos_quadro!$G$291,calculos_quadro!$B$102:$U$102,0)),""))</f>
        <v>—</v>
      </c>
      <c r="R49" s="216" t="str">
        <f>IF(calculos_quadro!$G$292="","",IFERROR(INDEX(calculos_quadro!$B$108:$U$108,MATCH(calculos_quadro!$G$292,calculos_quadro!$B$102:$U$102,0)),""))</f>
        <v>—</v>
      </c>
      <c r="S49" s="216" t="str">
        <f>IF(calculos_quadro!$G$293="","",IFERROR(INDEX(calculos_quadro!$B$108:$U$108,MATCH(calculos_quadro!$G$293,calculos_quadro!$B$102:$U$102,0)),""))</f>
        <v>—</v>
      </c>
      <c r="T49" s="216" t="str">
        <f>IF(calculos_quadro!$G$294="","",IFERROR(INDEX(calculos_quadro!$B$108:$U$108,MATCH(calculos_quadro!$G$294,calculos_quadro!$B$102:$U$102,0)),""))</f>
        <v/>
      </c>
      <c r="U49" s="215"/>
      <c r="V49" s="216" t="str">
        <f>IF(calculos_quadro!$G$295="","",IFERROR(INDEX(calculos_quadro!$B$108:$U$108,MATCH(calculos_quadro!$G$295,calculos_quadro!$B$102:$U$102,0)),""))</f>
        <v/>
      </c>
      <c r="W49" s="216" t="str">
        <f>IF(calculos_quadro!$G$296="","",IFERROR(INDEX(calculos_quadro!$B$108:$U$108,MATCH(calculos_quadro!$G$296,calculos_quadro!$B$102:$U$102,0)),""))</f>
        <v/>
      </c>
      <c r="X49" s="216" t="str">
        <f>IF(calculos_quadro!$G$297="","",IFERROR(INDEX(calculos_quadro!$B$108:$U$108,MATCH(calculos_quadro!$G$297,calculos_quadro!$B$102:$U$102,0)),""))</f>
        <v/>
      </c>
      <c r="Y49" s="216" t="str">
        <f>IF(calculos_quadro!$G$298="","",IFERROR(INDEX(calculos_quadro!$B$108:$U$108,MATCH(calculos_quadro!$G$298,calculos_quadro!$B$102:$U$102,0)),""))</f>
        <v/>
      </c>
      <c r="Z49" s="216" t="str">
        <f>IF(calculos_quadro!$G$299="","",IFERROR(INDEX(calculos_quadro!$B$108:$U$108,MATCH(calculos_quadro!$G$299,calculos_quadro!$B$102:$U$102,0)),""))</f>
        <v/>
      </c>
    </row>
    <row r="50" ht="15.75" customHeight="1">
      <c r="B50" s="406"/>
      <c r="C50" s="407"/>
      <c r="D50" s="208" t="inlineStr">
        <is>
          <t xml:space="preserve">Itens Recebidos</t>
        </is>
      </c>
      <c r="E50" s="207"/>
      <c r="F50" s="207"/>
      <c r="G50" s="207"/>
      <c r="H50" s="216" t="str">
        <f>IF(calculos_quadro!$G$284="","",IFERROR(INDEX(calculos_quadro!$B$109:$U$109,MATCH(calculos_quadro!$G$284,calculos_quadro!$B$102:$U$102,0)),""))</f>
        <v>—</v>
      </c>
      <c r="I50" s="216" t="str">
        <f>IF(calculos_quadro!$G$285="","",IFERROR(INDEX(calculos_quadro!$B$109:$U$109,MATCH(calculos_quadro!$G$285,calculos_quadro!$B$102:$U$102,0)),""))</f>
        <v>—</v>
      </c>
      <c r="J50" s="216" t="str">
        <f>IF(calculos_quadro!$G$286="","",IFERROR(INDEX(calculos_quadro!$B$109:$U$109,MATCH(calculos_quadro!$G$286,calculos_quadro!$B$102:$U$102,0)),""))</f>
        <v>—</v>
      </c>
      <c r="K50" s="215"/>
      <c r="L50" s="216" t="str">
        <f>IF(calculos_quadro!$G$287="","",IFERROR(INDEX(calculos_quadro!$B$109:$U$109,MATCH(calculos_quadro!$G$287,calculos_quadro!$B$102:$U$102,0)),""))</f>
        <v>—</v>
      </c>
      <c r="M50" s="216" t="str">
        <f>IF(calculos_quadro!$G$288="","",IFERROR(INDEX(calculos_quadro!$B$109:$U$109,MATCH(calculos_quadro!$G$288,calculos_quadro!$B$102:$U$102,0)),""))</f>
        <v>—</v>
      </c>
      <c r="N50" s="216" t="str">
        <f>IF(calculos_quadro!$G$289="","",IFERROR(INDEX(calculos_quadro!$B$109:$U$109,MATCH(calculos_quadro!$G$289,calculos_quadro!$B$102:$U$102,0)),""))</f>
        <v>—</v>
      </c>
      <c r="O50" s="216" t="str">
        <f>IF(calculos_quadro!$G$290="","",IFERROR(INDEX(calculos_quadro!$B$109:$U$109,MATCH(calculos_quadro!$G$290,calculos_quadro!$B$102:$U$102,0)),""))</f>
        <v>—</v>
      </c>
      <c r="P50" s="215"/>
      <c r="Q50" s="216" t="str">
        <f>IF(calculos_quadro!$G$291="","",IFERROR(INDEX(calculos_quadro!$B$109:$U$109,MATCH(calculos_quadro!$G$291,calculos_quadro!$B$102:$U$102,0)),""))</f>
        <v>—</v>
      </c>
      <c r="R50" s="216" t="str">
        <f>IF(calculos_quadro!$G$292="","",IFERROR(INDEX(calculos_quadro!$B$109:$U$109,MATCH(calculos_quadro!$G$292,calculos_quadro!$B$102:$U$102,0)),""))</f>
        <v>—</v>
      </c>
      <c r="S50" s="216" t="str">
        <f>IF(calculos_quadro!$G$293="","",IFERROR(INDEX(calculos_quadro!$B$109:$U$109,MATCH(calculos_quadro!$G$293,calculos_quadro!$B$102:$U$102,0)),""))</f>
        <v>—</v>
      </c>
      <c r="T50" s="216" t="str">
        <f>IF(calculos_quadro!$G$294="","",IFERROR(INDEX(calculos_quadro!$B$109:$U$109,MATCH(calculos_quadro!$G$294,calculos_quadro!$B$102:$U$102,0)),""))</f>
        <v/>
      </c>
      <c r="U50" s="215"/>
      <c r="V50" s="216" t="str">
        <f>IF(calculos_quadro!$G$295="","",IFERROR(INDEX(calculos_quadro!$B$109:$U$109,MATCH(calculos_quadro!$G$295,calculos_quadro!$B$102:$U$102,0)),""))</f>
        <v/>
      </c>
      <c r="W50" s="216" t="str">
        <f>IF(calculos_quadro!$G$296="","",IFERROR(INDEX(calculos_quadro!$B$109:$U$109,MATCH(calculos_quadro!$G$296,calculos_quadro!$B$102:$U$102,0)),""))</f>
        <v/>
      </c>
      <c r="X50" s="216" t="str">
        <f>IF(calculos_quadro!$G$297="","",IFERROR(INDEX(calculos_quadro!$B$109:$U$109,MATCH(calculos_quadro!$G$297,calculos_quadro!$B$102:$U$102,0)),""))</f>
        <v/>
      </c>
      <c r="Y50" s="216" t="str">
        <f>IF(calculos_quadro!$G$298="","",IFERROR(INDEX(calculos_quadro!$B$109:$U$109,MATCH(calculos_quadro!$G$298,calculos_quadro!$B$102:$U$102,0)),""))</f>
        <v/>
      </c>
      <c r="Z50" s="216" t="str">
        <f>IF(calculos_quadro!$G$299="","",IFERROR(INDEX(calculos_quadro!$B$109:$U$109,MATCH(calculos_quadro!$G$299,calculos_quadro!$B$102:$U$102,0)),""))</f>
        <v/>
      </c>
    </row>
    <row r="51" ht="15.75" customHeight="1">
      <c r="B51" s="406"/>
      <c r="C51" s="407"/>
      <c r="D51" s="208" t="inlineStr">
        <is>
          <t xml:space="preserve">Itens Recebidos CX Mista</t>
        </is>
      </c>
      <c r="E51" s="207"/>
      <c r="F51" s="207"/>
      <c r="G51" s="207"/>
      <c r="H51" s="216" t="str">
        <f>IF(calculos_quadro!$G$284="","",IFERROR(INDEX(calculos_quadro!$B$110:$U$110,MATCH(calculos_quadro!$G$284,calculos_quadro!$B$102:$U$102,0)),""))</f>
        <v>—</v>
      </c>
      <c r="I51" s="216" t="str">
        <f>IF(calculos_quadro!$G$285="","",IFERROR(INDEX(calculos_quadro!$B$110:$U$110,MATCH(calculos_quadro!$G$285,calculos_quadro!$B$102:$U$102,0)),""))</f>
        <v>—</v>
      </c>
      <c r="J51" s="216" t="str">
        <f>IF(calculos_quadro!$G$286="","",IFERROR(INDEX(calculos_quadro!$B$110:$U$110,MATCH(calculos_quadro!$G$286,calculos_quadro!$B$102:$U$102,0)),""))</f>
        <v>—</v>
      </c>
      <c r="K51" s="215"/>
      <c r="L51" s="216">
        <f>IF(calculos_quadro!$G$287="","",IFERROR(INDEX(calculos_quadro!$B$110:$U$110,MATCH(calculos_quadro!$G$287,calculos_quadro!$B$102:$U$102,0)),""))</f>
        <v>0</v>
      </c>
      <c r="M51" s="216" t="str">
        <f>IF(calculos_quadro!$G$288="","",IFERROR(INDEX(calculos_quadro!$B$110:$U$110,MATCH(calculos_quadro!$G$288,calculos_quadro!$B$102:$U$102,0)),""))</f>
        <v>—</v>
      </c>
      <c r="N51" s="216" t="str">
        <f>IF(calculos_quadro!$G$289="","",IFERROR(INDEX(calculos_quadro!$B$110:$U$110,MATCH(calculos_quadro!$G$289,calculos_quadro!$B$102:$U$102,0)),""))</f>
        <v>—</v>
      </c>
      <c r="O51" s="216" t="str">
        <f>IF(calculos_quadro!$G$290="","",IFERROR(INDEX(calculos_quadro!$B$110:$U$110,MATCH(calculos_quadro!$G$290,calculos_quadro!$B$102:$U$102,0)),""))</f>
        <v>—</v>
      </c>
      <c r="P51" s="215"/>
      <c r="Q51" s="216" t="str">
        <f>IF(calculos_quadro!$G$291="","",IFERROR(INDEX(calculos_quadro!$B$110:$U$110,MATCH(calculos_quadro!$G$291,calculos_quadro!$B$102:$U$102,0)),""))</f>
        <v>—</v>
      </c>
      <c r="R51" s="216" t="str">
        <f>IF(calculos_quadro!$G$292="","",IFERROR(INDEX(calculos_quadro!$B$110:$U$110,MATCH(calculos_quadro!$G$292,calculos_quadro!$B$102:$U$102,0)),""))</f>
        <v>—</v>
      </c>
      <c r="S51" s="216" t="str">
        <f>IF(calculos_quadro!$G$293="","",IFERROR(INDEX(calculos_quadro!$B$110:$U$110,MATCH(calculos_quadro!$G$293,calculos_quadro!$B$102:$U$102,0)),""))</f>
        <v>—</v>
      </c>
      <c r="T51" s="216" t="str">
        <f>IF(calculos_quadro!$G$294="","",IFERROR(INDEX(calculos_quadro!$B$110:$U$110,MATCH(calculos_quadro!$G$294,calculos_quadro!$B$102:$U$102,0)),""))</f>
        <v/>
      </c>
      <c r="U51" s="215"/>
      <c r="V51" s="216" t="str">
        <f>IF(calculos_quadro!$G$295="","",IFERROR(INDEX(calculos_quadro!$B$110:$U$110,MATCH(calculos_quadro!$G$295,calculos_quadro!$B$102:$U$102,0)),""))</f>
        <v/>
      </c>
      <c r="W51" s="216" t="str">
        <f>IF(calculos_quadro!$G$296="","",IFERROR(INDEX(calculos_quadro!$B$110:$U$110,MATCH(calculos_quadro!$G$296,calculos_quadro!$B$102:$U$102,0)),""))</f>
        <v/>
      </c>
      <c r="X51" s="216" t="str">
        <f>IF(calculos_quadro!$G$297="","",IFERROR(INDEX(calculos_quadro!$B$110:$U$110,MATCH(calculos_quadro!$G$297,calculos_quadro!$B$102:$U$102,0)),""))</f>
        <v/>
      </c>
      <c r="Y51" s="216" t="str">
        <f>IF(calculos_quadro!$G$298="","",IFERROR(INDEX(calculos_quadro!$B$110:$U$110,MATCH(calculos_quadro!$G$298,calculos_quadro!$B$102:$U$102,0)),""))</f>
        <v/>
      </c>
      <c r="Z51" s="216" t="str">
        <f>IF(calculos_quadro!$G$299="","",IFERROR(INDEX(calculos_quadro!$B$110:$U$110,MATCH(calculos_quadro!$G$299,calculos_quadro!$B$102:$U$102,0)),""))</f>
        <v/>
      </c>
    </row>
    <row r="52" ht="15.75" customHeight="1">
      <c r="B52" s="406"/>
      <c r="C52" s="407"/>
      <c r="D52" s="208" t="inlineStr">
        <is>
          <t xml:space="preserve">Caixas Fechadas</t>
        </is>
      </c>
      <c r="E52" s="207"/>
      <c r="F52" s="207"/>
      <c r="G52" s="207"/>
      <c r="H52" s="216" t="str">
        <f>IF(calculos_quadro!$G$284="","",IFERROR(INDEX(calculos_quadro!$B$111:$U$111,MATCH(calculos_quadro!$G$284,calculos_quadro!$B$102:$U$102,0)),""))</f>
        <v>—</v>
      </c>
      <c r="I52" s="216" t="str">
        <f>IF(calculos_quadro!$G$285="","",IFERROR(INDEX(calculos_quadro!$B$111:$U$111,MATCH(calculos_quadro!$G$285,calculos_quadro!$B$102:$U$102,0)),""))</f>
        <v>—</v>
      </c>
      <c r="J52" s="216" t="str">
        <f>IF(calculos_quadro!$G$286="","",IFERROR(INDEX(calculos_quadro!$B$111:$U$111,MATCH(calculos_quadro!$G$286,calculos_quadro!$B$102:$U$102,0)),""))</f>
        <v>—</v>
      </c>
      <c r="K52" s="215"/>
      <c r="L52" s="216">
        <f>IF(calculos_quadro!$G$287="","",IFERROR(INDEX(calculos_quadro!$B$111:$U$111,MATCH(calculos_quadro!$G$287,calculos_quadro!$B$102:$U$102,0)),""))</f>
        <v>0</v>
      </c>
      <c r="M52" s="216" t="str">
        <f>IF(calculos_quadro!$G$288="","",IFERROR(INDEX(calculos_quadro!$B$111:$U$111,MATCH(calculos_quadro!$G$288,calculos_quadro!$B$102:$U$102,0)),""))</f>
        <v>—</v>
      </c>
      <c r="N52" s="216" t="str">
        <f>IF(calculos_quadro!$G$289="","",IFERROR(INDEX(calculos_quadro!$B$111:$U$111,MATCH(calculos_quadro!$G$289,calculos_quadro!$B$102:$U$102,0)),""))</f>
        <v>—</v>
      </c>
      <c r="O52" s="216" t="str">
        <f>IF(calculos_quadro!$G$290="","",IFERROR(INDEX(calculos_quadro!$B$111:$U$111,MATCH(calculos_quadro!$G$290,calculos_quadro!$B$102:$U$102,0)),""))</f>
        <v>—</v>
      </c>
      <c r="P52" s="215"/>
      <c r="Q52" s="216" t="str">
        <f>IF(calculos_quadro!$G$291="","",IFERROR(INDEX(calculos_quadro!$B$111:$U$111,MATCH(calculos_quadro!$G$291,calculos_quadro!$B$102:$U$102,0)),""))</f>
        <v>—</v>
      </c>
      <c r="R52" s="216" t="str">
        <f>IF(calculos_quadro!$G$292="","",IFERROR(INDEX(calculos_quadro!$B$111:$U$111,MATCH(calculos_quadro!$G$292,calculos_quadro!$B$102:$U$102,0)),""))</f>
        <v>—</v>
      </c>
      <c r="S52" s="216" t="str">
        <f>IF(calculos_quadro!$G$293="","",IFERROR(INDEX(calculos_quadro!$B$111:$U$111,MATCH(calculos_quadro!$G$293,calculos_quadro!$B$102:$U$102,0)),""))</f>
        <v>—</v>
      </c>
      <c r="T52" s="216" t="str">
        <f>IF(calculos_quadro!$G$294="","",IFERROR(INDEX(calculos_quadro!$B$111:$U$111,MATCH(calculos_quadro!$G$294,calculos_quadro!$B$102:$U$102,0)),""))</f>
        <v/>
      </c>
      <c r="U52" s="215"/>
      <c r="V52" s="216" t="str">
        <f>IF(calculos_quadro!$G$295="","",IFERROR(INDEX(calculos_quadro!$B$111:$U$111,MATCH(calculos_quadro!$G$295,calculos_quadro!$B$102:$U$102,0)),""))</f>
        <v/>
      </c>
      <c r="W52" s="216" t="str">
        <f>IF(calculos_quadro!$G$296="","",IFERROR(INDEX(calculos_quadro!$B$111:$U$111,MATCH(calculos_quadro!$G$296,calculos_quadro!$B$102:$U$102,0)),""))</f>
        <v/>
      </c>
      <c r="X52" s="216" t="str">
        <f>IF(calculos_quadro!$G$297="","",IFERROR(INDEX(calculos_quadro!$B$111:$U$111,MATCH(calculos_quadro!$G$297,calculos_quadro!$B$102:$U$102,0)),""))</f>
        <v/>
      </c>
      <c r="Y52" s="216" t="str">
        <f>IF(calculos_quadro!$G$298="","",IFERROR(INDEX(calculos_quadro!$B$111:$U$111,MATCH(calculos_quadro!$G$298,calculos_quadro!$B$102:$U$102,0)),""))</f>
        <v/>
      </c>
      <c r="Z52" s="216" t="str">
        <f>IF(calculos_quadro!$G$299="","",IFERROR(INDEX(calculos_quadro!$B$111:$U$111,MATCH(calculos_quadro!$G$299,calculos_quadro!$B$102:$U$102,0)),""))</f>
        <v/>
      </c>
    </row>
    <row r="53" ht="15.75" customHeight="1">
      <c r="B53" s="408"/>
      <c r="C53" s="409"/>
      <c r="D53" s="227" t="inlineStr">
        <is>
          <t xml:space="preserve">Caixas Mistas Recebidas</t>
        </is>
      </c>
      <c r="E53" s="226"/>
      <c r="F53" s="226"/>
      <c r="G53" s="226"/>
      <c r="H53" s="235" t="str">
        <f>IF(calculos_quadro!$G$284="","",IFERROR(INDEX(calculos_quadro!$B$112:$U$112,MATCH(calculos_quadro!$G$284,calculos_quadro!$B$102:$U$102,0)),""))</f>
        <v>—</v>
      </c>
      <c r="I53" s="235" t="str">
        <f>IF(calculos_quadro!$G$285="","",IFERROR(INDEX(calculos_quadro!$B$112:$U$112,MATCH(calculos_quadro!$G$285,calculos_quadro!$B$102:$U$102,0)),""))</f>
        <v>—</v>
      </c>
      <c r="J53" s="235" t="str">
        <f>IF(calculos_quadro!$G$286="","",IFERROR(INDEX(calculos_quadro!$B$112:$U$112,MATCH(calculos_quadro!$G$286,calculos_quadro!$B$102:$U$102,0)),""))</f>
        <v>—</v>
      </c>
      <c r="K53" s="234"/>
      <c r="L53" s="235">
        <f>IF(calculos_quadro!$G$287="","",IFERROR(INDEX(calculos_quadro!$B$112:$U$112,MATCH(calculos_quadro!$G$287,calculos_quadro!$B$102:$U$102,0)),""))</f>
        <v>0</v>
      </c>
      <c r="M53" s="235" t="str">
        <f>IF(calculos_quadro!$G$288="","",IFERROR(INDEX(calculos_quadro!$B$112:$U$112,MATCH(calculos_quadro!$G$288,calculos_quadro!$B$102:$U$102,0)),""))</f>
        <v>—</v>
      </c>
      <c r="N53" s="235" t="str">
        <f>IF(calculos_quadro!$G$289="","",IFERROR(INDEX(calculos_quadro!$B$112:$U$112,MATCH(calculos_quadro!$G$289,calculos_quadro!$B$102:$U$102,0)),""))</f>
        <v>—</v>
      </c>
      <c r="O53" s="235" t="str">
        <f>IF(calculos_quadro!$G$290="","",IFERROR(INDEX(calculos_quadro!$B$112:$U$112,MATCH(calculos_quadro!$G$290,calculos_quadro!$B$102:$U$102,0)),""))</f>
        <v>—</v>
      </c>
      <c r="P53" s="234"/>
      <c r="Q53" s="235" t="str">
        <f>IF(calculos_quadro!$G$291="","",IFERROR(INDEX(calculos_quadro!$B$112:$U$112,MATCH(calculos_quadro!$G$291,calculos_quadro!$B$102:$U$102,0)),""))</f>
        <v>—</v>
      </c>
      <c r="R53" s="235" t="str">
        <f>IF(calculos_quadro!$G$292="","",IFERROR(INDEX(calculos_quadro!$B$112:$U$112,MATCH(calculos_quadro!$G$292,calculos_quadro!$B$102:$U$102,0)),""))</f>
        <v>—</v>
      </c>
      <c r="S53" s="235" t="str">
        <f>IF(calculos_quadro!$G$293="","",IFERROR(INDEX(calculos_quadro!$B$112:$U$112,MATCH(calculos_quadro!$G$293,calculos_quadro!$B$102:$U$102,0)),""))</f>
        <v>—</v>
      </c>
      <c r="T53" s="235" t="str">
        <f>IF(calculos_quadro!$G$294="","",IFERROR(INDEX(calculos_quadro!$B$112:$U$112,MATCH(calculos_quadro!$G$294,calculos_quadro!$B$102:$U$102,0)),""))</f>
        <v/>
      </c>
      <c r="U53" s="234"/>
      <c r="V53" s="235" t="str">
        <f>IF(calculos_quadro!$G$295="","",IFERROR(INDEX(calculos_quadro!$B$112:$U$112,MATCH(calculos_quadro!$G$295,calculos_quadro!$B$102:$U$102,0)),""))</f>
        <v/>
      </c>
      <c r="W53" s="235" t="str">
        <f>IF(calculos_quadro!$G$296="","",IFERROR(INDEX(calculos_quadro!$B$112:$U$112,MATCH(calculos_quadro!$G$296,calculos_quadro!$B$102:$U$102,0)),""))</f>
        <v/>
      </c>
      <c r="X53" s="235" t="str">
        <f>IF(calculos_quadro!$G$297="","",IFERROR(INDEX(calculos_quadro!$B$112:$U$112,MATCH(calculos_quadro!$G$297,calculos_quadro!$B$102:$U$102,0)),""))</f>
        <v/>
      </c>
      <c r="Y53" s="235" t="str">
        <f>IF(calculos_quadro!$G$298="","",IFERROR(INDEX(calculos_quadro!$B$112:$U$112,MATCH(calculos_quadro!$G$298,calculos_quadro!$B$102:$U$102,0)),""))</f>
        <v/>
      </c>
      <c r="Z53" s="235" t="str">
        <f>IF(calculos_quadro!$G$299="","",IFERROR(INDEX(calculos_quadro!$B$112:$U$112,MATCH(calculos_quadro!$G$299,calculos_quadro!$B$102:$U$102,0)),""))</f>
        <v/>
      </c>
    </row>
    <row r="54" ht="15.75" customHeight="1">
      <c r="B54" s="410" t="inlineStr">
        <is>
          <t xml:space="preserve">OUT</t>
        </is>
      </c>
      <c r="C54" s="411"/>
      <c r="D54" s="244" t="inlineStr">
        <is>
          <t xml:space="preserve">Veículos Expedidos</t>
        </is>
      </c>
      <c r="E54" s="243"/>
      <c r="F54" s="243"/>
      <c r="G54" s="243"/>
      <c r="H54" s="252">
        <f>IF(calculos_quadro!$G$284="","",IFERROR(INDEX(calculos_quadro!$B$113:$U$113,MATCH(calculos_quadro!$G$284,calculos_quadro!$B$102:$U$102,0)),""))</f>
        <v>0</v>
      </c>
      <c r="I54" s="252">
        <f>IF(calculos_quadro!$G$285="","",IFERROR(INDEX(calculos_quadro!$B$113:$U$113,MATCH(calculos_quadro!$G$285,calculos_quadro!$B$102:$U$102,0)),""))</f>
        <v>0</v>
      </c>
      <c r="J54" s="252">
        <f>IF(calculos_quadro!$G$286="","",IFERROR(INDEX(calculos_quadro!$B$113:$U$113,MATCH(calculos_quadro!$G$286,calculos_quadro!$B$102:$U$102,0)),""))</f>
        <v>0</v>
      </c>
      <c r="K54" s="251"/>
      <c r="L54" s="252">
        <f>IF(calculos_quadro!$G$287="","",IFERROR(INDEX(calculos_quadro!$B$113:$U$113,MATCH(calculos_quadro!$G$287,calculos_quadro!$B$102:$U$102,0)),""))</f>
        <v>0</v>
      </c>
      <c r="M54" s="252">
        <f>IF(calculos_quadro!$G$288="","",IFERROR(INDEX(calculos_quadro!$B$113:$U$113,MATCH(calculos_quadro!$G$288,calculos_quadro!$B$102:$U$102,0)),""))</f>
        <v>0</v>
      </c>
      <c r="N54" s="252">
        <f>IF(calculos_quadro!$G$289="","",IFERROR(INDEX(calculos_quadro!$B$113:$U$113,MATCH(calculos_quadro!$G$289,calculos_quadro!$B$102:$U$102,0)),""))</f>
        <v>0</v>
      </c>
      <c r="O54" s="252">
        <f>IF(calculos_quadro!$G$290="","",IFERROR(INDEX(calculos_quadro!$B$113:$U$113,MATCH(calculos_quadro!$G$290,calculos_quadro!$B$102:$U$102,0)),""))</f>
        <v>0</v>
      </c>
      <c r="P54" s="251"/>
      <c r="Q54" s="252">
        <f>IF(calculos_quadro!$G$291="","",IFERROR(INDEX(calculos_quadro!$B$113:$U$113,MATCH(calculos_quadro!$G$291,calculos_quadro!$B$102:$U$102,0)),""))</f>
        <v>0</v>
      </c>
      <c r="R54" s="252">
        <f>IF(calculos_quadro!$G$292="","",IFERROR(INDEX(calculos_quadro!$B$113:$U$113,MATCH(calculos_quadro!$G$292,calculos_quadro!$B$102:$U$102,0)),""))</f>
        <v>0</v>
      </c>
      <c r="S54" s="252">
        <f>IF(calculos_quadro!$G$293="","",IFERROR(INDEX(calculos_quadro!$B$113:$U$113,MATCH(calculos_quadro!$G$293,calculos_quadro!$B$102:$U$102,0)),""))</f>
        <v>0</v>
      </c>
      <c r="T54" s="252" t="str">
        <f>IF(calculos_quadro!$G$294="","",IFERROR(INDEX(calculos_quadro!$B$113:$U$113,MATCH(calculos_quadro!$G$294,calculos_quadro!$B$102:$U$102,0)),""))</f>
        <v/>
      </c>
      <c r="U54" s="251"/>
      <c r="V54" s="252" t="str">
        <f>IF(calculos_quadro!$G$295="","",IFERROR(INDEX(calculos_quadro!$B$113:$U$113,MATCH(calculos_quadro!$G$295,calculos_quadro!$B$102:$U$102,0)),""))</f>
        <v/>
      </c>
      <c r="W54" s="252" t="str">
        <f>IF(calculos_quadro!$G$296="","",IFERROR(INDEX(calculos_quadro!$B$113:$U$113,MATCH(calculos_quadro!$G$296,calculos_quadro!$B$102:$U$102,0)),""))</f>
        <v/>
      </c>
      <c r="X54" s="252" t="str">
        <f>IF(calculos_quadro!$G$297="","",IFERROR(INDEX(calculos_quadro!$B$113:$U$113,MATCH(calculos_quadro!$G$297,calculos_quadro!$B$102:$U$102,0)),""))</f>
        <v/>
      </c>
      <c r="Y54" s="252" t="str">
        <f>IF(calculos_quadro!$G$298="","",IFERROR(INDEX(calculos_quadro!$B$113:$U$113,MATCH(calculos_quadro!$G$298,calculos_quadro!$B$102:$U$102,0)),""))</f>
        <v/>
      </c>
      <c r="Z54" s="252" t="str">
        <f>IF(calculos_quadro!$G$299="","",IFERROR(INDEX(calculos_quadro!$B$113:$U$113,MATCH(calculos_quadro!$G$299,calculos_quadro!$B$102:$U$102,0)),""))</f>
        <v/>
      </c>
    </row>
    <row r="55" ht="15.75" customHeight="1">
      <c r="B55" s="412"/>
      <c r="C55" s="413"/>
      <c r="D55" s="261" t="inlineStr">
        <is>
          <t xml:space="preserve">Pedidos Expedidos</t>
        </is>
      </c>
      <c r="E55" s="260"/>
      <c r="F55" s="260"/>
      <c r="G55" s="260"/>
      <c r="H55" s="269" t="str">
        <f>IF(calculos_quadro!$G$284="","",IFERROR(INDEX(calculos_quadro!$B$114:$U$114,MATCH(calculos_quadro!$G$284,calculos_quadro!$B$102:$U$102,0)),""))</f>
        <v>—</v>
      </c>
      <c r="I55" s="269" t="str">
        <f>IF(calculos_quadro!$G$285="","",IFERROR(INDEX(calculos_quadro!$B$114:$U$114,MATCH(calculos_quadro!$G$285,calculos_quadro!$B$102:$U$102,0)),""))</f>
        <v>—</v>
      </c>
      <c r="J55" s="269">
        <f>IF(calculos_quadro!$G$286="","",IFERROR(INDEX(calculos_quadro!$B$114:$U$114,MATCH(calculos_quadro!$G$286,calculos_quadro!$B$102:$U$102,0)),""))</f>
        <v>0</v>
      </c>
      <c r="K55" s="268"/>
      <c r="L55" s="269" t="str">
        <f>IF(calculos_quadro!$G$287="","",IFERROR(INDEX(calculos_quadro!$B$114:$U$114,MATCH(calculos_quadro!$G$287,calculos_quadro!$B$102:$U$102,0)),""))</f>
        <v>—</v>
      </c>
      <c r="M55" s="269" t="str">
        <f>IF(calculos_quadro!$G$288="","",IFERROR(INDEX(calculos_quadro!$B$114:$U$114,MATCH(calculos_quadro!$G$288,calculos_quadro!$B$102:$U$102,0)),""))</f>
        <v>—</v>
      </c>
      <c r="N55" s="269" t="str">
        <f>IF(calculos_quadro!$G$289="","",IFERROR(INDEX(calculos_quadro!$B$114:$U$114,MATCH(calculos_quadro!$G$289,calculos_quadro!$B$102:$U$102,0)),""))</f>
        <v>—</v>
      </c>
      <c r="O55" s="269" t="str">
        <f>IF(calculos_quadro!$G$290="","",IFERROR(INDEX(calculos_quadro!$B$114:$U$114,MATCH(calculos_quadro!$G$290,calculos_quadro!$B$102:$U$102,0)),""))</f>
        <v>—</v>
      </c>
      <c r="P55" s="268"/>
      <c r="Q55" s="269" t="str">
        <f>IF(calculos_quadro!$G$291="","",IFERROR(INDEX(calculos_quadro!$B$114:$U$114,MATCH(calculos_quadro!$G$291,calculos_quadro!$B$102:$U$102,0)),""))</f>
        <v>—</v>
      </c>
      <c r="R55" s="269" t="str">
        <f>IF(calculos_quadro!$G$292="","",IFERROR(INDEX(calculos_quadro!$B$114:$U$114,MATCH(calculos_quadro!$G$292,calculos_quadro!$B$102:$U$102,0)),""))</f>
        <v>—</v>
      </c>
      <c r="S55" s="269" t="str">
        <f>IF(calculos_quadro!$G$293="","",IFERROR(INDEX(calculos_quadro!$B$114:$U$114,MATCH(calculos_quadro!$G$293,calculos_quadro!$B$102:$U$102,0)),""))</f>
        <v>—</v>
      </c>
      <c r="T55" s="269" t="str">
        <f>IF(calculos_quadro!$G$294="","",IFERROR(INDEX(calculos_quadro!$B$114:$U$114,MATCH(calculos_quadro!$G$294,calculos_quadro!$B$102:$U$102,0)),""))</f>
        <v/>
      </c>
      <c r="U55" s="268"/>
      <c r="V55" s="269" t="str">
        <f>IF(calculos_quadro!$G$295="","",IFERROR(INDEX(calculos_quadro!$B$114:$U$114,MATCH(calculos_quadro!$G$295,calculos_quadro!$B$102:$U$102,0)),""))</f>
        <v/>
      </c>
      <c r="W55" s="269" t="str">
        <f>IF(calculos_quadro!$G$296="","",IFERROR(INDEX(calculos_quadro!$B$114:$U$114,MATCH(calculos_quadro!$G$296,calculos_quadro!$B$102:$U$102,0)),""))</f>
        <v/>
      </c>
      <c r="X55" s="269" t="str">
        <f>IF(calculos_quadro!$G$297="","",IFERROR(INDEX(calculos_quadro!$B$114:$U$114,MATCH(calculos_quadro!$G$297,calculos_quadro!$B$102:$U$102,0)),""))</f>
        <v/>
      </c>
      <c r="Y55" s="269" t="str">
        <f>IF(calculos_quadro!$G$298="","",IFERROR(INDEX(calculos_quadro!$B$114:$U$114,MATCH(calculos_quadro!$G$298,calculos_quadro!$B$102:$U$102,0)),""))</f>
        <v/>
      </c>
      <c r="Z55" s="269" t="str">
        <f>IF(calculos_quadro!$G$299="","",IFERROR(INDEX(calculos_quadro!$B$114:$U$114,MATCH(calculos_quadro!$G$299,calculos_quadro!$B$102:$U$102,0)),""))</f>
        <v/>
      </c>
    </row>
    <row r="56" ht="15.75" customHeight="1">
      <c r="B56" s="412"/>
      <c r="C56" s="413"/>
      <c r="D56" s="261" t="inlineStr">
        <is>
          <t xml:space="preserve">Pedidos Faturados</t>
        </is>
      </c>
      <c r="E56" s="260"/>
      <c r="F56" s="260"/>
      <c r="G56" s="260"/>
      <c r="H56" s="269" t="str">
        <f>IF(calculos_quadro!$G$284="","",IFERROR(INDEX(calculos_quadro!$B$115:$U$115,MATCH(calculos_quadro!$G$284,calculos_quadro!$B$102:$U$102,0)),""))</f>
        <v>—</v>
      </c>
      <c r="I56" s="269" t="str">
        <f>IF(calculos_quadro!$G$285="","",IFERROR(INDEX(calculos_quadro!$B$115:$U$115,MATCH(calculos_quadro!$G$285,calculos_quadro!$B$102:$U$102,0)),""))</f>
        <v>—</v>
      </c>
      <c r="J56" s="269" t="str">
        <f>IF(calculos_quadro!$G$286="","",IFERROR(INDEX(calculos_quadro!$B$115:$U$115,MATCH(calculos_quadro!$G$286,calculos_quadro!$B$102:$U$102,0)),""))</f>
        <v>—</v>
      </c>
      <c r="K56" s="268"/>
      <c r="L56" s="269">
        <f>IF(calculos_quadro!$G$287="","",IFERROR(INDEX(calculos_quadro!$B$115:$U$115,MATCH(calculos_quadro!$G$287,calculos_quadro!$B$102:$U$102,0)),""))</f>
        <v>0</v>
      </c>
      <c r="M56" s="269" t="str">
        <f>IF(calculos_quadro!$G$288="","",IFERROR(INDEX(calculos_quadro!$B$115:$U$115,MATCH(calculos_quadro!$G$288,calculos_quadro!$B$102:$U$102,0)),""))</f>
        <v>—</v>
      </c>
      <c r="N56" s="269" t="str">
        <f>IF(calculos_quadro!$G$289="","",IFERROR(INDEX(calculos_quadro!$B$115:$U$115,MATCH(calculos_quadro!$G$289,calculos_quadro!$B$102:$U$102,0)),""))</f>
        <v>—</v>
      </c>
      <c r="O56" s="269" t="str">
        <f>IF(calculos_quadro!$G$290="","",IFERROR(INDEX(calculos_quadro!$B$115:$U$115,MATCH(calculos_quadro!$G$290,calculos_quadro!$B$102:$U$102,0)),""))</f>
        <v>—</v>
      </c>
      <c r="P56" s="268"/>
      <c r="Q56" s="269" t="str">
        <f>IF(calculos_quadro!$G$291="","",IFERROR(INDEX(calculos_quadro!$B$115:$U$115,MATCH(calculos_quadro!$G$291,calculos_quadro!$B$102:$U$102,0)),""))</f>
        <v>—</v>
      </c>
      <c r="R56" s="269" t="str">
        <f>IF(calculos_quadro!$G$292="","",IFERROR(INDEX(calculos_quadro!$B$115:$U$115,MATCH(calculos_quadro!$G$292,calculos_quadro!$B$102:$U$102,0)),""))</f>
        <v>—</v>
      </c>
      <c r="S56" s="269" t="str">
        <f>IF(calculos_quadro!$G$293="","",IFERROR(INDEX(calculos_quadro!$B$115:$U$115,MATCH(calculos_quadro!$G$293,calculos_quadro!$B$102:$U$102,0)),""))</f>
        <v>—</v>
      </c>
      <c r="T56" s="269" t="str">
        <f>IF(calculos_quadro!$G$294="","",IFERROR(INDEX(calculos_quadro!$B$115:$U$115,MATCH(calculos_quadro!$G$294,calculos_quadro!$B$102:$U$102,0)),""))</f>
        <v/>
      </c>
      <c r="U56" s="268"/>
      <c r="V56" s="269" t="str">
        <f>IF(calculos_quadro!$G$295="","",IFERROR(INDEX(calculos_quadro!$B$115:$U$115,MATCH(calculos_quadro!$G$295,calculos_quadro!$B$102:$U$102,0)),""))</f>
        <v/>
      </c>
      <c r="W56" s="269" t="str">
        <f>IF(calculos_quadro!$G$296="","",IFERROR(INDEX(calculos_quadro!$B$115:$U$115,MATCH(calculos_quadro!$G$296,calculos_quadro!$B$102:$U$102,0)),""))</f>
        <v/>
      </c>
      <c r="X56" s="269" t="str">
        <f>IF(calculos_quadro!$G$297="","",IFERROR(INDEX(calculos_quadro!$B$115:$U$115,MATCH(calculos_quadro!$G$297,calculos_quadro!$B$102:$U$102,0)),""))</f>
        <v/>
      </c>
      <c r="Y56" s="269" t="str">
        <f>IF(calculos_quadro!$G$298="","",IFERROR(INDEX(calculos_quadro!$B$115:$U$115,MATCH(calculos_quadro!$G$298,calculos_quadro!$B$102:$U$102,0)),""))</f>
        <v/>
      </c>
      <c r="Z56" s="269" t="str">
        <f>IF(calculos_quadro!$G$299="","",IFERROR(INDEX(calculos_quadro!$B$115:$U$115,MATCH(calculos_quadro!$G$299,calculos_quadro!$B$102:$U$102,0)),""))</f>
        <v/>
      </c>
    </row>
    <row r="57" ht="15.75" customHeight="1">
      <c r="B57" s="412"/>
      <c r="C57" s="413"/>
      <c r="D57" s="261" t="inlineStr">
        <is>
          <t xml:space="preserve">Itens Expedidos</t>
        </is>
      </c>
      <c r="E57" s="260"/>
      <c r="F57" s="260"/>
      <c r="G57" s="260"/>
      <c r="H57" s="269" t="str">
        <f>IF(calculos_quadro!$G$284="","",IFERROR(INDEX(calculos_quadro!$B$116:$U$116,MATCH(calculos_quadro!$G$284,calculos_quadro!$B$102:$U$102,0)),""))</f>
        <v>—</v>
      </c>
      <c r="I57" s="269" t="str">
        <f>IF(calculos_quadro!$G$285="","",IFERROR(INDEX(calculos_quadro!$B$116:$U$116,MATCH(calculos_quadro!$G$285,calculos_quadro!$B$102:$U$102,0)),""))</f>
        <v>—</v>
      </c>
      <c r="J57" s="269" t="str">
        <f>IF(calculos_quadro!$G$286="","",IFERROR(INDEX(calculos_quadro!$B$116:$U$116,MATCH(calculos_quadro!$G$286,calculos_quadro!$B$102:$U$102,0)),""))</f>
        <v>—</v>
      </c>
      <c r="K57" s="268"/>
      <c r="L57" s="269">
        <f>IF(calculos_quadro!$G$287="","",IFERROR(INDEX(calculos_quadro!$B$116:$U$116,MATCH(calculos_quadro!$G$287,calculos_quadro!$B$102:$U$102,0)),""))</f>
        <v>0</v>
      </c>
      <c r="M57" s="269" t="str">
        <f>IF(calculos_quadro!$G$288="","",IFERROR(INDEX(calculos_quadro!$B$116:$U$116,MATCH(calculos_quadro!$G$288,calculos_quadro!$B$102:$U$102,0)),""))</f>
        <v>—</v>
      </c>
      <c r="N57" s="269" t="str">
        <f>IF(calculos_quadro!$G$289="","",IFERROR(INDEX(calculos_quadro!$B$116:$U$116,MATCH(calculos_quadro!$G$289,calculos_quadro!$B$102:$U$102,0)),""))</f>
        <v>—</v>
      </c>
      <c r="O57" s="269" t="str">
        <f>IF(calculos_quadro!$G$290="","",IFERROR(INDEX(calculos_quadro!$B$116:$U$116,MATCH(calculos_quadro!$G$290,calculos_quadro!$B$102:$U$102,0)),""))</f>
        <v>—</v>
      </c>
      <c r="P57" s="268"/>
      <c r="Q57" s="269" t="str">
        <f>IF(calculos_quadro!$G$291="","",IFERROR(INDEX(calculos_quadro!$B$116:$U$116,MATCH(calculos_quadro!$G$291,calculos_quadro!$B$102:$U$102,0)),""))</f>
        <v>—</v>
      </c>
      <c r="R57" s="269" t="str">
        <f>IF(calculos_quadro!$G$292="","",IFERROR(INDEX(calculos_quadro!$B$116:$U$116,MATCH(calculos_quadro!$G$292,calculos_quadro!$B$102:$U$102,0)),""))</f>
        <v>—</v>
      </c>
      <c r="S57" s="269" t="str">
        <f>IF(calculos_quadro!$G$293="","",IFERROR(INDEX(calculos_quadro!$B$116:$U$116,MATCH(calculos_quadro!$G$293,calculos_quadro!$B$102:$U$102,0)),""))</f>
        <v>—</v>
      </c>
      <c r="T57" s="269" t="str">
        <f>IF(calculos_quadro!$G$294="","",IFERROR(INDEX(calculos_quadro!$B$116:$U$116,MATCH(calculos_quadro!$G$294,calculos_quadro!$B$102:$U$102,0)),""))</f>
        <v/>
      </c>
      <c r="U57" s="268"/>
      <c r="V57" s="269" t="str">
        <f>IF(calculos_quadro!$G$295="","",IFERROR(INDEX(calculos_quadro!$B$116:$U$116,MATCH(calculos_quadro!$G$295,calculos_quadro!$B$102:$U$102,0)),""))</f>
        <v/>
      </c>
      <c r="W57" s="269" t="str">
        <f>IF(calculos_quadro!$G$296="","",IFERROR(INDEX(calculos_quadro!$B$116:$U$116,MATCH(calculos_quadro!$G$296,calculos_quadro!$B$102:$U$102,0)),""))</f>
        <v/>
      </c>
      <c r="X57" s="269" t="str">
        <f>IF(calculos_quadro!$G$297="","",IFERROR(INDEX(calculos_quadro!$B$116:$U$116,MATCH(calculos_quadro!$G$297,calculos_quadro!$B$102:$U$102,0)),""))</f>
        <v/>
      </c>
      <c r="Y57" s="269" t="str">
        <f>IF(calculos_quadro!$G$298="","",IFERROR(INDEX(calculos_quadro!$B$116:$U$116,MATCH(calculos_quadro!$G$298,calculos_quadro!$B$102:$U$102,0)),""))</f>
        <v/>
      </c>
      <c r="Z57" s="269" t="str">
        <f>IF(calculos_quadro!$G$299="","",IFERROR(INDEX(calculos_quadro!$B$116:$U$116,MATCH(calculos_quadro!$G$299,calculos_quadro!$B$102:$U$102,0)),""))</f>
        <v/>
      </c>
    </row>
    <row r="58" ht="15.75" customHeight="1">
      <c r="B58" s="412"/>
      <c r="C58" s="413"/>
      <c r="D58" s="261" t="inlineStr">
        <is>
          <t xml:space="preserve">Peças Movimentadas</t>
        </is>
      </c>
      <c r="E58" s="260"/>
      <c r="F58" s="260"/>
      <c r="G58" s="260"/>
      <c r="H58" s="269" t="str">
        <f>IF(calculos_quadro!$G$284="","",IFERROR(INDEX(calculos_quadro!$B$117:$U$117,MATCH(calculos_quadro!$G$284,calculos_quadro!$B$102:$U$102,0)),""))</f>
        <v>—</v>
      </c>
      <c r="I58" s="269" t="str">
        <f>IF(calculos_quadro!$G$285="","",IFERROR(INDEX(calculos_quadro!$B$117:$U$117,MATCH(calculos_quadro!$G$285,calculos_quadro!$B$102:$U$102,0)),""))</f>
        <v>—</v>
      </c>
      <c r="J58" s="269" t="str">
        <f>IF(calculos_quadro!$G$286="","",IFERROR(INDEX(calculos_quadro!$B$117:$U$117,MATCH(calculos_quadro!$G$286,calculos_quadro!$B$102:$U$102,0)),""))</f>
        <v>—</v>
      </c>
      <c r="K58" s="268"/>
      <c r="L58" s="269" t="str">
        <f>IF(calculos_quadro!$G$287="","",IFERROR(INDEX(calculos_quadro!$B$117:$U$117,MATCH(calculos_quadro!$G$287,calculos_quadro!$B$102:$U$102,0)),""))</f>
        <v>—</v>
      </c>
      <c r="M58" s="269" t="str">
        <f>IF(calculos_quadro!$G$288="","",IFERROR(INDEX(calculos_quadro!$B$117:$U$117,MATCH(calculos_quadro!$G$288,calculos_quadro!$B$102:$U$102,0)),""))</f>
        <v>—</v>
      </c>
      <c r="N58" s="269">
        <f>IF(calculos_quadro!$G$289="","",IFERROR(INDEX(calculos_quadro!$B$117:$U$117,MATCH(calculos_quadro!$G$289,calculos_quadro!$B$102:$U$102,0)),""))</f>
        <v>0</v>
      </c>
      <c r="O58" s="269" t="str">
        <f>IF(calculos_quadro!$G$290="","",IFERROR(INDEX(calculos_quadro!$B$117:$U$117,MATCH(calculos_quadro!$G$290,calculos_quadro!$B$102:$U$102,0)),""))</f>
        <v>—</v>
      </c>
      <c r="P58" s="268"/>
      <c r="Q58" s="269" t="str">
        <f>IF(calculos_quadro!$G$291="","",IFERROR(INDEX(calculos_quadro!$B$117:$U$117,MATCH(calculos_quadro!$G$291,calculos_quadro!$B$102:$U$102,0)),""))</f>
        <v>—</v>
      </c>
      <c r="R58" s="269" t="str">
        <f>IF(calculos_quadro!$G$292="","",IFERROR(INDEX(calculos_quadro!$B$117:$U$117,MATCH(calculos_quadro!$G$292,calculos_quadro!$B$102:$U$102,0)),""))</f>
        <v>—</v>
      </c>
      <c r="S58" s="269" t="str">
        <f>IF(calculos_quadro!$G$293="","",IFERROR(INDEX(calculos_quadro!$B$117:$U$117,MATCH(calculos_quadro!$G$293,calculos_quadro!$B$102:$U$102,0)),""))</f>
        <v>—</v>
      </c>
      <c r="T58" s="269" t="str">
        <f>IF(calculos_quadro!$G$294="","",IFERROR(INDEX(calculos_quadro!$B$117:$U$117,MATCH(calculos_quadro!$G$294,calculos_quadro!$B$102:$U$102,0)),""))</f>
        <v/>
      </c>
      <c r="U58" s="268"/>
      <c r="V58" s="269" t="str">
        <f>IF(calculos_quadro!$G$295="","",IFERROR(INDEX(calculos_quadro!$B$117:$U$117,MATCH(calculos_quadro!$G$295,calculos_quadro!$B$102:$U$102,0)),""))</f>
        <v/>
      </c>
      <c r="W58" s="269" t="str">
        <f>IF(calculos_quadro!$G$296="","",IFERROR(INDEX(calculos_quadro!$B$117:$U$117,MATCH(calculos_quadro!$G$296,calculos_quadro!$B$102:$U$102,0)),""))</f>
        <v/>
      </c>
      <c r="X58" s="269" t="str">
        <f>IF(calculos_quadro!$G$297="","",IFERROR(INDEX(calculos_quadro!$B$117:$U$117,MATCH(calculos_quadro!$G$297,calculos_quadro!$B$102:$U$102,0)),""))</f>
        <v/>
      </c>
      <c r="Y58" s="269" t="str">
        <f>IF(calculos_quadro!$G$298="","",IFERROR(INDEX(calculos_quadro!$B$117:$U$117,MATCH(calculos_quadro!$G$298,calculos_quadro!$B$102:$U$102,0)),""))</f>
        <v/>
      </c>
      <c r="Z58" s="269" t="str">
        <f>IF(calculos_quadro!$G$299="","",IFERROR(INDEX(calculos_quadro!$B$117:$U$117,MATCH(calculos_quadro!$G$299,calculos_quadro!$B$102:$U$102,0)),""))</f>
        <v/>
      </c>
    </row>
    <row r="59" ht="15.75" customHeight="1">
      <c r="B59" s="412"/>
      <c r="C59" s="413"/>
      <c r="D59" s="261" t="inlineStr">
        <is>
          <t xml:space="preserve">Linhas NF</t>
        </is>
      </c>
      <c r="E59" s="260"/>
      <c r="F59" s="260"/>
      <c r="G59" s="260"/>
      <c r="H59" s="269" t="str">
        <f>IF(calculos_quadro!$G$284="","",IFERROR(INDEX(calculos_quadro!$B$118:$U$118,MATCH(calculos_quadro!$G$284,calculos_quadro!$B$102:$U$102,0)),""))</f>
        <v>—</v>
      </c>
      <c r="I59" s="269" t="str">
        <f>IF(calculos_quadro!$G$285="","",IFERROR(INDEX(calculos_quadro!$B$118:$U$118,MATCH(calculos_quadro!$G$285,calculos_quadro!$B$102:$U$102,0)),""))</f>
        <v>—</v>
      </c>
      <c r="J59" s="269" t="str">
        <f>IF(calculos_quadro!$G$286="","",IFERROR(INDEX(calculos_quadro!$B$118:$U$118,MATCH(calculos_quadro!$G$286,calculos_quadro!$B$102:$U$102,0)),""))</f>
        <v>—</v>
      </c>
      <c r="K59" s="268"/>
      <c r="L59" s="269" t="str">
        <f>IF(calculos_quadro!$G$287="","",IFERROR(INDEX(calculos_quadro!$B$118:$U$118,MATCH(calculos_quadro!$G$287,calculos_quadro!$B$102:$U$102,0)),""))</f>
        <v>—</v>
      </c>
      <c r="M59" s="269" t="str">
        <f>IF(calculos_quadro!$G$288="","",IFERROR(INDEX(calculos_quadro!$B$118:$U$118,MATCH(calculos_quadro!$G$288,calculos_quadro!$B$102:$U$102,0)),""))</f>
        <v>—</v>
      </c>
      <c r="N59" s="269">
        <f>IF(calculos_quadro!$G$289="","",IFERROR(INDEX(calculos_quadro!$B$118:$U$118,MATCH(calculos_quadro!$G$289,calculos_quadro!$B$102:$U$102,0)),""))</f>
        <v>0</v>
      </c>
      <c r="O59" s="269" t="str">
        <f>IF(calculos_quadro!$G$290="","",IFERROR(INDEX(calculos_quadro!$B$118:$U$118,MATCH(calculos_quadro!$G$290,calculos_quadro!$B$102:$U$102,0)),""))</f>
        <v>—</v>
      </c>
      <c r="P59" s="268"/>
      <c r="Q59" s="269" t="str">
        <f>IF(calculos_quadro!$G$291="","",IFERROR(INDEX(calculos_quadro!$B$118:$U$118,MATCH(calculos_quadro!$G$291,calculos_quadro!$B$102:$U$102,0)),""))</f>
        <v>—</v>
      </c>
      <c r="R59" s="269" t="str">
        <f>IF(calculos_quadro!$G$292="","",IFERROR(INDEX(calculos_quadro!$B$118:$U$118,MATCH(calculos_quadro!$G$292,calculos_quadro!$B$102:$U$102,0)),""))</f>
        <v>—</v>
      </c>
      <c r="S59" s="269">
        <f>IF(calculos_quadro!$G$293="","",IFERROR(INDEX(calculos_quadro!$B$118:$U$118,MATCH(calculos_quadro!$G$293,calculos_quadro!$B$102:$U$102,0)),""))</f>
        <v>0</v>
      </c>
      <c r="T59" s="269" t="str">
        <f>IF(calculos_quadro!$G$294="","",IFERROR(INDEX(calculos_quadro!$B$118:$U$118,MATCH(calculos_quadro!$G$294,calculos_quadro!$B$102:$U$102,0)),""))</f>
        <v/>
      </c>
      <c r="U59" s="268"/>
      <c r="V59" s="269" t="str">
        <f>IF(calculos_quadro!$G$295="","",IFERROR(INDEX(calculos_quadro!$B$118:$U$118,MATCH(calculos_quadro!$G$295,calculos_quadro!$B$102:$U$102,0)),""))</f>
        <v/>
      </c>
      <c r="W59" s="269" t="str">
        <f>IF(calculos_quadro!$G$296="","",IFERROR(INDEX(calculos_quadro!$B$118:$U$118,MATCH(calculos_quadro!$G$296,calculos_quadro!$B$102:$U$102,0)),""))</f>
        <v/>
      </c>
      <c r="X59" s="269" t="str">
        <f>IF(calculos_quadro!$G$297="","",IFERROR(INDEX(calculos_quadro!$B$118:$U$118,MATCH(calculos_quadro!$G$297,calculos_quadro!$B$102:$U$102,0)),""))</f>
        <v/>
      </c>
      <c r="Y59" s="269" t="str">
        <f>IF(calculos_quadro!$G$298="","",IFERROR(INDEX(calculos_quadro!$B$118:$U$118,MATCH(calculos_quadro!$G$298,calculos_quadro!$B$102:$U$102,0)),""))</f>
        <v/>
      </c>
      <c r="Z59" s="269" t="str">
        <f>IF(calculos_quadro!$G$299="","",IFERROR(INDEX(calculos_quadro!$B$118:$U$118,MATCH(calculos_quadro!$G$299,calculos_quadro!$B$102:$U$102,0)),""))</f>
        <v/>
      </c>
    </row>
    <row r="60" ht="15.75" customHeight="1">
      <c r="B60" s="412"/>
      <c r="C60" s="413"/>
      <c r="D60" s="261" t="inlineStr">
        <is>
          <t xml:space="preserve">Caixas Expedidas</t>
        </is>
      </c>
      <c r="E60" s="260"/>
      <c r="F60" s="260"/>
      <c r="G60" s="260"/>
      <c r="H60" s="269">
        <f>IF(calculos_quadro!$G$284="","",IFERROR(INDEX(calculos_quadro!$B$119:$U$119,MATCH(calculos_quadro!$G$284,calculos_quadro!$B$102:$U$102,0)),""))</f>
        <v>0</v>
      </c>
      <c r="I60" s="269" t="str">
        <f>IF(calculos_quadro!$G$285="","",IFERROR(INDEX(calculos_quadro!$B$119:$U$119,MATCH(calculos_quadro!$G$285,calculos_quadro!$B$102:$U$102,0)),""))</f>
        <v>—</v>
      </c>
      <c r="J60" s="269" t="str">
        <f>IF(calculos_quadro!$G$286="","",IFERROR(INDEX(calculos_quadro!$B$119:$U$119,MATCH(calculos_quadro!$G$286,calculos_quadro!$B$102:$U$102,0)),""))</f>
        <v>—</v>
      </c>
      <c r="K60" s="268"/>
      <c r="L60" s="269" t="str">
        <f>IF(calculos_quadro!$G$287="","",IFERROR(INDEX(calculos_quadro!$B$119:$U$119,MATCH(calculos_quadro!$G$287,calculos_quadro!$B$102:$U$102,0)),""))</f>
        <v>—</v>
      </c>
      <c r="M60" s="269" t="str">
        <f>IF(calculos_quadro!$G$288="","",IFERROR(INDEX(calculos_quadro!$B$119:$U$119,MATCH(calculos_quadro!$G$288,calculos_quadro!$B$102:$U$102,0)),""))</f>
        <v>—</v>
      </c>
      <c r="N60" s="269" t="str">
        <f>IF(calculos_quadro!$G$289="","",IFERROR(INDEX(calculos_quadro!$B$119:$U$119,MATCH(calculos_quadro!$G$289,calculos_quadro!$B$102:$U$102,0)),""))</f>
        <v>—</v>
      </c>
      <c r="O60" s="269" t="str">
        <f>IF(calculos_quadro!$G$290="","",IFERROR(INDEX(calculos_quadro!$B$119:$U$119,MATCH(calculos_quadro!$G$290,calculos_quadro!$B$102:$U$102,0)),""))</f>
        <v>—</v>
      </c>
      <c r="P60" s="268"/>
      <c r="Q60" s="269" t="str">
        <f>IF(calculos_quadro!$G$291="","",IFERROR(INDEX(calculos_quadro!$B$119:$U$119,MATCH(calculos_quadro!$G$291,calculos_quadro!$B$102:$U$102,0)),""))</f>
        <v>—</v>
      </c>
      <c r="R60" s="269" t="str">
        <f>IF(calculos_quadro!$G$292="","",IFERROR(INDEX(calculos_quadro!$B$119:$U$119,MATCH(calculos_quadro!$G$292,calculos_quadro!$B$102:$U$102,0)),""))</f>
        <v>—</v>
      </c>
      <c r="S60" s="269" t="str">
        <f>IF(calculos_quadro!$G$293="","",IFERROR(INDEX(calculos_quadro!$B$119:$U$119,MATCH(calculos_quadro!$G$293,calculos_quadro!$B$102:$U$102,0)),""))</f>
        <v>—</v>
      </c>
      <c r="T60" s="269" t="str">
        <f>IF(calculos_quadro!$G$294="","",IFERROR(INDEX(calculos_quadro!$B$119:$U$119,MATCH(calculos_quadro!$G$294,calculos_quadro!$B$102:$U$102,0)),""))</f>
        <v/>
      </c>
      <c r="U60" s="268"/>
      <c r="V60" s="269" t="str">
        <f>IF(calculos_quadro!$G$295="","",IFERROR(INDEX(calculos_quadro!$B$119:$U$119,MATCH(calculos_quadro!$G$295,calculos_quadro!$B$102:$U$102,0)),""))</f>
        <v/>
      </c>
      <c r="W60" s="269" t="str">
        <f>IF(calculos_quadro!$G$296="","",IFERROR(INDEX(calculos_quadro!$B$119:$U$119,MATCH(calculos_quadro!$G$296,calculos_quadro!$B$102:$U$102,0)),""))</f>
        <v/>
      </c>
      <c r="X60" s="269" t="str">
        <f>IF(calculos_quadro!$G$297="","",IFERROR(INDEX(calculos_quadro!$B$119:$U$119,MATCH(calculos_quadro!$G$297,calculos_quadro!$B$102:$U$102,0)),""))</f>
        <v/>
      </c>
      <c r="Y60" s="269" t="str">
        <f>IF(calculos_quadro!$G$298="","",IFERROR(INDEX(calculos_quadro!$B$119:$U$119,MATCH(calculos_quadro!$G$298,calculos_quadro!$B$102:$U$102,0)),""))</f>
        <v/>
      </c>
      <c r="Z60" s="269" t="str">
        <f>IF(calculos_quadro!$G$299="","",IFERROR(INDEX(calculos_quadro!$B$119:$U$119,MATCH(calculos_quadro!$G$299,calculos_quadro!$B$102:$U$102,0)),""))</f>
        <v/>
      </c>
    </row>
    <row r="61" ht="15.75" customHeight="1">
      <c r="B61" s="412"/>
      <c r="C61" s="413"/>
      <c r="D61" s="261" t="inlineStr">
        <is>
          <t xml:space="preserve">Pallets Movimentados</t>
        </is>
      </c>
      <c r="E61" s="260"/>
      <c r="F61" s="260"/>
      <c r="G61" s="260"/>
      <c r="H61" s="269" t="str">
        <f>IF(calculos_quadro!$G$284="","",IFERROR(INDEX(calculos_quadro!$B$120:$U$120,MATCH(calculos_quadro!$G$284,calculos_quadro!$B$102:$U$102,0)),""))</f>
        <v>—</v>
      </c>
      <c r="I61" s="269">
        <f>IF(calculos_quadro!$G$285="","",IFERROR(INDEX(calculos_quadro!$B$120:$U$120,MATCH(calculos_quadro!$G$285,calculos_quadro!$B$102:$U$102,0)),""))</f>
        <v>0</v>
      </c>
      <c r="J61" s="269">
        <f>IF(calculos_quadro!$G$286="","",IFERROR(INDEX(calculos_quadro!$B$120:$U$120,MATCH(calculos_quadro!$G$286,calculos_quadro!$B$102:$U$102,0)),""))</f>
        <v>0</v>
      </c>
      <c r="K61" s="268"/>
      <c r="L61" s="269">
        <f>IF(calculos_quadro!$G$287="","",IFERROR(INDEX(calculos_quadro!$B$120:$U$120,MATCH(calculos_quadro!$G$287,calculos_quadro!$B$102:$U$102,0)),""))</f>
        <v>0</v>
      </c>
      <c r="M61" s="269">
        <f>IF(calculos_quadro!$G$288="","",IFERROR(INDEX(calculos_quadro!$B$120:$U$120,MATCH(calculos_quadro!$G$288,calculos_quadro!$B$102:$U$102,0)),""))</f>
        <v>0</v>
      </c>
      <c r="N61" s="269">
        <f>IF(calculos_quadro!$G$289="","",IFERROR(INDEX(calculos_quadro!$B$120:$U$120,MATCH(calculos_quadro!$G$289,calculos_quadro!$B$102:$U$102,0)),""))</f>
        <v>0</v>
      </c>
      <c r="O61" s="269">
        <f>IF(calculos_quadro!$G$290="","",IFERROR(INDEX(calculos_quadro!$B$120:$U$120,MATCH(calculos_quadro!$G$290,calculos_quadro!$B$102:$U$102,0)),""))</f>
        <v>0</v>
      </c>
      <c r="P61" s="268"/>
      <c r="Q61" s="269">
        <f>IF(calculos_quadro!$G$291="","",IFERROR(INDEX(calculos_quadro!$B$120:$U$120,MATCH(calculos_quadro!$G$291,calculos_quadro!$B$102:$U$102,0)),""))</f>
        <v>0</v>
      </c>
      <c r="R61" s="269">
        <f>IF(calculos_quadro!$G$292="","",IFERROR(INDEX(calculos_quadro!$B$120:$U$120,MATCH(calculos_quadro!$G$292,calculos_quadro!$B$102:$U$102,0)),""))</f>
        <v>0</v>
      </c>
      <c r="S61" s="269" t="str">
        <f>IF(calculos_quadro!$G$293="","",IFERROR(INDEX(calculos_quadro!$B$120:$U$120,MATCH(calculos_quadro!$G$293,calculos_quadro!$B$102:$U$102,0)),""))</f>
        <v>—</v>
      </c>
      <c r="T61" s="269" t="str">
        <f>IF(calculos_quadro!$G$294="","",IFERROR(INDEX(calculos_quadro!$B$120:$U$120,MATCH(calculos_quadro!$G$294,calculos_quadro!$B$102:$U$102,0)),""))</f>
        <v/>
      </c>
      <c r="U61" s="268"/>
      <c r="V61" s="269" t="str">
        <f>IF(calculos_quadro!$G$295="","",IFERROR(INDEX(calculos_quadro!$B$120:$U$120,MATCH(calculos_quadro!$G$295,calculos_quadro!$B$102:$U$102,0)),""))</f>
        <v/>
      </c>
      <c r="W61" s="269" t="str">
        <f>IF(calculos_quadro!$G$296="","",IFERROR(INDEX(calculos_quadro!$B$120:$U$120,MATCH(calculos_quadro!$G$296,calculos_quadro!$B$102:$U$102,0)),""))</f>
        <v/>
      </c>
      <c r="X61" s="269" t="str">
        <f>IF(calculos_quadro!$G$297="","",IFERROR(INDEX(calculos_quadro!$B$120:$U$120,MATCH(calculos_quadro!$G$297,calculos_quadro!$B$102:$U$102,0)),""))</f>
        <v/>
      </c>
      <c r="Y61" s="269" t="str">
        <f>IF(calculos_quadro!$G$298="","",IFERROR(INDEX(calculos_quadro!$B$120:$U$120,MATCH(calculos_quadro!$G$298,calculos_quadro!$B$102:$U$102,0)),""))</f>
        <v/>
      </c>
      <c r="Z61" s="269" t="str">
        <f>IF(calculos_quadro!$G$299="","",IFERROR(INDEX(calculos_quadro!$B$120:$U$120,MATCH(calculos_quadro!$G$299,calculos_quadro!$B$102:$U$102,0)),""))</f>
        <v/>
      </c>
    </row>
    <row r="62" ht="15.75" customHeight="1">
      <c r="B62" s="414"/>
      <c r="C62" s="415"/>
      <c r="D62" s="278" t="inlineStr">
        <is>
          <t xml:space="preserve">Toneladas Movimentadas</t>
        </is>
      </c>
      <c r="E62" s="277"/>
      <c r="F62" s="277"/>
      <c r="G62" s="277"/>
      <c r="H62" s="284" t="str">
        <f>IF(calculos_quadro!$G$284="","",IFERROR(INDEX(calculos_quadro!$B$121:$U$121,MATCH(calculos_quadro!$G$284,calculos_quadro!$B$102:$U$102,0)),""))</f>
        <v>—</v>
      </c>
      <c r="I62" s="284">
        <f>IF(calculos_quadro!$G$285="","",IFERROR(INDEX(calculos_quadro!$B$121:$U$121,MATCH(calculos_quadro!$G$285,calculos_quadro!$B$102:$U$102,0)),""))</f>
        <v>0</v>
      </c>
      <c r="J62" s="284" t="str">
        <f>IF(calculos_quadro!$G$286="","",IFERROR(INDEX(calculos_quadro!$B$121:$U$121,MATCH(calculos_quadro!$G$286,calculos_quadro!$B$102:$U$102,0)),""))</f>
        <v>—</v>
      </c>
      <c r="K62" s="283"/>
      <c r="L62" s="284" t="str">
        <f>IF(calculos_quadro!$G$287="","",IFERROR(INDEX(calculos_quadro!$B$121:$U$121,MATCH(calculos_quadro!$G$287,calculos_quadro!$B$102:$U$102,0)),""))</f>
        <v>—</v>
      </c>
      <c r="M62" s="284">
        <f>IF(calculos_quadro!$G$288="","",IFERROR(INDEX(calculos_quadro!$B$121:$U$121,MATCH(calculos_quadro!$G$288,calculos_quadro!$B$102:$U$102,0)),""))</f>
        <v>0</v>
      </c>
      <c r="N62" s="284" t="str">
        <f>IF(calculos_quadro!$G$289="","",IFERROR(INDEX(calculos_quadro!$B$121:$U$121,MATCH(calculos_quadro!$G$289,calculos_quadro!$B$102:$U$102,0)),""))</f>
        <v>—</v>
      </c>
      <c r="O62" s="284" t="str">
        <f>IF(calculos_quadro!$G$290="","",IFERROR(INDEX(calculos_quadro!$B$121:$U$121,MATCH(calculos_quadro!$G$290,calculos_quadro!$B$102:$U$102,0)),""))</f>
        <v>—</v>
      </c>
      <c r="P62" s="283"/>
      <c r="Q62" s="284">
        <f>IF(calculos_quadro!$G$291="","",IFERROR(INDEX(calculos_quadro!$B$121:$U$121,MATCH(calculos_quadro!$G$291,calculos_quadro!$B$102:$U$102,0)),""))</f>
        <v>0</v>
      </c>
      <c r="R62" s="284" t="str">
        <f>IF(calculos_quadro!$G$292="","",IFERROR(INDEX(calculos_quadro!$B$121:$U$121,MATCH(calculos_quadro!$G$292,calculos_quadro!$B$102:$U$102,0)),""))</f>
        <v>—</v>
      </c>
      <c r="S62" s="284" t="str">
        <f>IF(calculos_quadro!$G$293="","",IFERROR(INDEX(calculos_quadro!$B$121:$U$121,MATCH(calculos_quadro!$G$293,calculos_quadro!$B$102:$U$102,0)),""))</f>
        <v>—</v>
      </c>
      <c r="T62" s="284" t="str">
        <f>IF(calculos_quadro!$G$294="","",IFERROR(INDEX(calculos_quadro!$B$121:$U$121,MATCH(calculos_quadro!$G$294,calculos_quadro!$B$102:$U$102,0)),""))</f>
        <v/>
      </c>
      <c r="U62" s="283"/>
      <c r="V62" s="284" t="str">
        <f>IF(calculos_quadro!$G$295="","",IFERROR(INDEX(calculos_quadro!$B$121:$U$121,MATCH(calculos_quadro!$G$295,calculos_quadro!$B$102:$U$102,0)),""))</f>
        <v/>
      </c>
      <c r="W62" s="284" t="str">
        <f>IF(calculos_quadro!$G$296="","",IFERROR(INDEX(calculos_quadro!$B$121:$U$121,MATCH(calculos_quadro!$G$296,calculos_quadro!$B$102:$U$102,0)),""))</f>
        <v/>
      </c>
      <c r="X62" s="284" t="str">
        <f>IF(calculos_quadro!$G$297="","",IFERROR(INDEX(calculos_quadro!$B$121:$U$121,MATCH(calculos_quadro!$G$297,calculos_quadro!$B$102:$U$102,0)),""))</f>
        <v/>
      </c>
      <c r="Y62" s="284" t="str">
        <f>IF(calculos_quadro!$G$298="","",IFERROR(INDEX(calculos_quadro!$B$121:$U$121,MATCH(calculos_quadro!$G$298,calculos_quadro!$B$102:$U$102,0)),""))</f>
        <v/>
      </c>
      <c r="Z62" s="284" t="str">
        <f>IF(calculos_quadro!$G$299="","",IFERROR(INDEX(calculos_quadro!$B$121:$U$121,MATCH(calculos_quadro!$G$299,calculos_quadro!$B$102:$U$102,0)),""))</f>
        <v/>
      </c>
    </row>
    <row r="63" ht="15.75" customHeight="1">
      <c r="B63" s="416" t="inlineStr">
        <is>
          <t xml:space="preserve">NC</t>
        </is>
      </c>
      <c r="C63" s="417"/>
      <c r="D63" s="293" t="inlineStr">
        <is>
          <t xml:space="preserve">Incidentes</t>
        </is>
      </c>
      <c r="E63" s="292"/>
      <c r="F63" s="292"/>
      <c r="G63" s="292"/>
      <c r="H63" s="301">
        <f>IF(calculos_quadro!$G$284="","",IFERROR(INDEX(calculos_quadro!$B$122:$U$122,MATCH(calculos_quadro!$G$284,calculos_quadro!$B$102:$U$102,0)),""))</f>
        <v>0</v>
      </c>
      <c r="I63" s="301">
        <f>IF(calculos_quadro!$G$285="","",IFERROR(INDEX(calculos_quadro!$B$122:$U$122,MATCH(calculos_quadro!$G$285,calculos_quadro!$B$102:$U$102,0)),""))</f>
        <v>0</v>
      </c>
      <c r="J63" s="301">
        <f>IF(calculos_quadro!$G$286="","",IFERROR(INDEX(calculos_quadro!$B$122:$U$122,MATCH(calculos_quadro!$G$286,calculos_quadro!$B$102:$U$102,0)),""))</f>
        <v>0</v>
      </c>
      <c r="K63" s="300"/>
      <c r="L63" s="301">
        <f>IF(calculos_quadro!$G$287="","",IFERROR(INDEX(calculos_quadro!$B$122:$U$122,MATCH(calculos_quadro!$G$287,calculos_quadro!$B$102:$U$102,0)),""))</f>
        <v>0</v>
      </c>
      <c r="M63" s="301">
        <f>IF(calculos_quadro!$G$288="","",IFERROR(INDEX(calculos_quadro!$B$122:$U$122,MATCH(calculos_quadro!$G$288,calculos_quadro!$B$102:$U$102,0)),""))</f>
        <v>0</v>
      </c>
      <c r="N63" s="301">
        <f>IF(calculos_quadro!$G$289="","",IFERROR(INDEX(calculos_quadro!$B$122:$U$122,MATCH(calculos_quadro!$G$289,calculos_quadro!$B$102:$U$102,0)),""))</f>
        <v>0</v>
      </c>
      <c r="O63" s="301">
        <f>IF(calculos_quadro!$G$290="","",IFERROR(INDEX(calculos_quadro!$B$122:$U$122,MATCH(calculos_quadro!$G$290,calculos_quadro!$B$102:$U$102,0)),""))</f>
        <v>0</v>
      </c>
      <c r="P63" s="300"/>
      <c r="Q63" s="301">
        <f>IF(calculos_quadro!$G$291="","",IFERROR(INDEX(calculos_quadro!$B$122:$U$122,MATCH(calculos_quadro!$G$291,calculos_quadro!$B$102:$U$102,0)),""))</f>
        <v>0</v>
      </c>
      <c r="R63" s="301">
        <f>IF(calculos_quadro!$G$292="","",IFERROR(INDEX(calculos_quadro!$B$122:$U$122,MATCH(calculos_quadro!$G$292,calculos_quadro!$B$102:$U$102,0)),""))</f>
        <v>0</v>
      </c>
      <c r="S63" s="301">
        <f>IF(calculos_quadro!$G$293="","",IFERROR(INDEX(calculos_quadro!$B$122:$U$122,MATCH(calculos_quadro!$G$293,calculos_quadro!$B$102:$U$102,0)),""))</f>
        <v>0</v>
      </c>
      <c r="T63" s="301" t="str">
        <f>IF(calculos_quadro!$G$294="","",IFERROR(INDEX(calculos_quadro!$B$122:$U$122,MATCH(calculos_quadro!$G$294,calculos_quadro!$B$102:$U$102,0)),""))</f>
        <v/>
      </c>
      <c r="U63" s="300"/>
      <c r="V63" s="301" t="str">
        <f>IF(calculos_quadro!$G$295="","",IFERROR(INDEX(calculos_quadro!$B$122:$U$122,MATCH(calculos_quadro!$G$295,calculos_quadro!$B$102:$U$102,0)),""))</f>
        <v/>
      </c>
      <c r="W63" s="301" t="str">
        <f>IF(calculos_quadro!$G$296="","",IFERROR(INDEX(calculos_quadro!$B$122:$U$122,MATCH(calculos_quadro!$G$296,calculos_quadro!$B$102:$U$102,0)),""))</f>
        <v/>
      </c>
      <c r="X63" s="301" t="str">
        <f>IF(calculos_quadro!$G$297="","",IFERROR(INDEX(calculos_quadro!$B$122:$U$122,MATCH(calculos_quadro!$G$297,calculos_quadro!$B$102:$U$102,0)),""))</f>
        <v/>
      </c>
      <c r="Y63" s="301" t="str">
        <f>IF(calculos_quadro!$G$298="","",IFERROR(INDEX(calculos_quadro!$B$122:$U$122,MATCH(calculos_quadro!$G$298,calculos_quadro!$B$102:$U$102,0)),""))</f>
        <v/>
      </c>
      <c r="Z63" s="301" t="str">
        <f>IF(calculos_quadro!$G$299="","",IFERROR(INDEX(calculos_quadro!$B$122:$U$122,MATCH(calculos_quadro!$G$299,calculos_quadro!$B$102:$U$102,0)),""))</f>
        <v/>
      </c>
    </row>
    <row r="64" ht="15.75" customHeight="1">
      <c r="B64" s="418"/>
      <c r="C64" s="419"/>
      <c r="D64" s="310" t="inlineStr">
        <is>
          <t xml:space="preserve">No show</t>
        </is>
      </c>
      <c r="E64" s="309"/>
      <c r="F64" s="309"/>
      <c r="G64" s="309"/>
      <c r="H64" s="318">
        <f>IF(calculos_quadro!$G$284="","",IFERROR(INDEX(calculos_quadro!$B$123:$U$123,MATCH(calculos_quadro!$G$284,calculos_quadro!$B$102:$U$102,0)),""))</f>
        <v>0</v>
      </c>
      <c r="I64" s="318">
        <f>IF(calculos_quadro!$G$285="","",IFERROR(INDEX(calculos_quadro!$B$123:$U$123,MATCH(calculos_quadro!$G$285,calculos_quadro!$B$102:$U$102,0)),""))</f>
        <v>0</v>
      </c>
      <c r="J64" s="318">
        <f>IF(calculos_quadro!$G$286="","",IFERROR(INDEX(calculos_quadro!$B$123:$U$123,MATCH(calculos_quadro!$G$286,calculos_quadro!$B$102:$U$102,0)),""))</f>
        <v>0</v>
      </c>
      <c r="K64" s="317"/>
      <c r="L64" s="318">
        <f>IF(calculos_quadro!$G$287="","",IFERROR(INDEX(calculos_quadro!$B$123:$U$123,MATCH(calculos_quadro!$G$287,calculos_quadro!$B$102:$U$102,0)),""))</f>
        <v>0</v>
      </c>
      <c r="M64" s="318">
        <f>IF(calculos_quadro!$G$288="","",IFERROR(INDEX(calculos_quadro!$B$123:$U$123,MATCH(calculos_quadro!$G$288,calculos_quadro!$B$102:$U$102,0)),""))</f>
        <v>0</v>
      </c>
      <c r="N64" s="318">
        <f>IF(calculos_quadro!$G$289="","",IFERROR(INDEX(calculos_quadro!$B$123:$U$123,MATCH(calculos_quadro!$G$289,calculos_quadro!$B$102:$U$102,0)),""))</f>
        <v>0</v>
      </c>
      <c r="O64" s="318">
        <f>IF(calculos_quadro!$G$290="","",IFERROR(INDEX(calculos_quadro!$B$123:$U$123,MATCH(calculos_quadro!$G$290,calculos_quadro!$B$102:$U$102,0)),""))</f>
        <v>0</v>
      </c>
      <c r="P64" s="317"/>
      <c r="Q64" s="318">
        <f>IF(calculos_quadro!$G$291="","",IFERROR(INDEX(calculos_quadro!$B$123:$U$123,MATCH(calculos_quadro!$G$291,calculos_quadro!$B$102:$U$102,0)),""))</f>
        <v>0</v>
      </c>
      <c r="R64" s="318">
        <f>IF(calculos_quadro!$G$292="","",IFERROR(INDEX(calculos_quadro!$B$123:$U$123,MATCH(calculos_quadro!$G$292,calculos_quadro!$B$102:$U$102,0)),""))</f>
        <v>0</v>
      </c>
      <c r="S64" s="318">
        <f>IF(calculos_quadro!$G$293="","",IFERROR(INDEX(calculos_quadro!$B$123:$U$123,MATCH(calculos_quadro!$G$293,calculos_quadro!$B$102:$U$102,0)),""))</f>
        <v>0</v>
      </c>
      <c r="T64" s="318" t="str">
        <f>IF(calculos_quadro!$G$294="","",IFERROR(INDEX(calculos_quadro!$B$123:$U$123,MATCH(calculos_quadro!$G$294,calculos_quadro!$B$102:$U$102,0)),""))</f>
        <v/>
      </c>
      <c r="U64" s="317"/>
      <c r="V64" s="318" t="str">
        <f>IF(calculos_quadro!$G$295="","",IFERROR(INDEX(calculos_quadro!$B$123:$U$123,MATCH(calculos_quadro!$G$295,calculos_quadro!$B$102:$U$102,0)),""))</f>
        <v/>
      </c>
      <c r="W64" s="318" t="str">
        <f>IF(calculos_quadro!$G$296="","",IFERROR(INDEX(calculos_quadro!$B$123:$U$123,MATCH(calculos_quadro!$G$296,calculos_quadro!$B$102:$U$102,0)),""))</f>
        <v/>
      </c>
      <c r="X64" s="318" t="str">
        <f>IF(calculos_quadro!$G$297="","",IFERROR(INDEX(calculos_quadro!$B$123:$U$123,MATCH(calculos_quadro!$G$297,calculos_quadro!$B$102:$U$102,0)),""))</f>
        <v/>
      </c>
      <c r="Y64" s="318" t="str">
        <f>IF(calculos_quadro!$G$298="","",IFERROR(INDEX(calculos_quadro!$B$123:$U$123,MATCH(calculos_quadro!$G$298,calculos_quadro!$B$102:$U$102,0)),""))</f>
        <v/>
      </c>
      <c r="Z64" s="318" t="str">
        <f>IF(calculos_quadro!$G$299="","",IFERROR(INDEX(calculos_quadro!$B$123:$U$123,MATCH(calculos_quadro!$G$299,calculos_quadro!$B$102:$U$102,0)),""))</f>
        <v/>
      </c>
    </row>
    <row r="65" ht="15.75" customHeight="1">
      <c r="B65" s="420"/>
      <c r="C65" s="421"/>
      <c r="D65" s="327" t="inlineStr">
        <is>
          <t xml:space="preserve">Backlog</t>
        </is>
      </c>
      <c r="E65" s="326"/>
      <c r="F65" s="326"/>
      <c r="G65" s="326"/>
      <c r="H65" s="335" t="str">
        <f>IF(calculos_quadro!$G$284="","",IFERROR(INDEX(calculos_quadro!$B$124:$U$124,MATCH(calculos_quadro!$G$284,calculos_quadro!$B$102:$U$102,0)),""))</f>
        <v/>
      </c>
      <c r="I65" s="335" t="str">
        <f>IF(calculos_quadro!$G$285="","",IFERROR(INDEX(calculos_quadro!$B$124:$U$124,MATCH(calculos_quadro!$G$285,calculos_quadro!$B$102:$U$102,0)),""))</f>
        <v/>
      </c>
      <c r="J65" s="335" t="str">
        <f>IF(calculos_quadro!$G$286="","",IFERROR(INDEX(calculos_quadro!$B$124:$U$124,MATCH(calculos_quadro!$G$286,calculos_quadro!$B$102:$U$102,0)),""))</f>
        <v/>
      </c>
      <c r="K65" s="334"/>
      <c r="L65" s="335" t="str">
        <f>IF(calculos_quadro!$G$287="","",IFERROR(INDEX(calculos_quadro!$B$124:$U$124,MATCH(calculos_quadro!$G$287,calculos_quadro!$B$102:$U$102,0)),""))</f>
        <v/>
      </c>
      <c r="M65" s="335" t="str">
        <f>IF(calculos_quadro!$G$288="","",IFERROR(INDEX(calculos_quadro!$B$124:$U$124,MATCH(calculos_quadro!$G$288,calculos_quadro!$B$102:$U$102,0)),""))</f>
        <v/>
      </c>
      <c r="N65" s="335" t="str">
        <f>IF(calculos_quadro!$G$289="","",IFERROR(INDEX(calculos_quadro!$B$124:$U$124,MATCH(calculos_quadro!$G$289,calculos_quadro!$B$102:$U$102,0)),""))</f>
        <v/>
      </c>
      <c r="O65" s="335" t="str">
        <f>IF(calculos_quadro!$G$290="","",IFERROR(INDEX(calculos_quadro!$B$124:$U$124,MATCH(calculos_quadro!$G$290,calculos_quadro!$B$102:$U$102,0)),""))</f>
        <v/>
      </c>
      <c r="P65" s="334"/>
      <c r="Q65" s="335" t="str">
        <f>IF(calculos_quadro!$G$291="","",IFERROR(INDEX(calculos_quadro!$B$124:$U$124,MATCH(calculos_quadro!$G$291,calculos_quadro!$B$102:$U$102,0)),""))</f>
        <v/>
      </c>
      <c r="R65" s="335" t="str">
        <f>IF(calculos_quadro!$G$292="","",IFERROR(INDEX(calculos_quadro!$B$124:$U$124,MATCH(calculos_quadro!$G$292,calculos_quadro!$B$102:$U$102,0)),""))</f>
        <v/>
      </c>
      <c r="S65" s="335" t="str">
        <f>IF(calculos_quadro!$G$293="","",IFERROR(INDEX(calculos_quadro!$B$124:$U$124,MATCH(calculos_quadro!$G$293,calculos_quadro!$B$102:$U$102,0)),""))</f>
        <v/>
      </c>
      <c r="T65" s="335" t="str">
        <f>IF(calculos_quadro!$G$294="","",IFERROR(INDEX(calculos_quadro!$B$124:$U$124,MATCH(calculos_quadro!$G$294,calculos_quadro!$B$102:$U$102,0)),""))</f>
        <v/>
      </c>
      <c r="U65" s="334"/>
      <c r="V65" s="335" t="str">
        <f>IF(calculos_quadro!$G$295="","",IFERROR(INDEX(calculos_quadro!$B$124:$U$124,MATCH(calculos_quadro!$G$295,calculos_quadro!$B$102:$U$102,0)),""))</f>
        <v/>
      </c>
      <c r="W65" s="335" t="str">
        <f>IF(calculos_quadro!$G$296="","",IFERROR(INDEX(calculos_quadro!$B$124:$U$124,MATCH(calculos_quadro!$G$296,calculos_quadro!$B$102:$U$102,0)),""))</f>
        <v/>
      </c>
      <c r="X65" s="335" t="str">
        <f>IF(calculos_quadro!$G$297="","",IFERROR(INDEX(calculos_quadro!$B$124:$U$124,MATCH(calculos_quadro!$G$297,calculos_quadro!$B$102:$U$102,0)),""))</f>
        <v/>
      </c>
      <c r="Y65" s="335" t="str">
        <f>IF(calculos_quadro!$G$298="","",IFERROR(INDEX(calculos_quadro!$B$124:$U$124,MATCH(calculos_quadro!$G$298,calculos_quadro!$B$102:$U$102,0)),""))</f>
        <v/>
      </c>
      <c r="Z65" s="335" t="str">
        <f>IF(calculos_quadro!$G$299="","",IFERROR(INDEX(calculos_quadro!$B$124:$U$124,MATCH(calculos_quadro!$G$299,calculos_quadro!$B$102:$U$102,0)),""))</f>
        <v/>
      </c>
    </row>
    <row r="66" ht="15.75" customHeight="1">
      <c r="B66" s="404" t="inlineStr">
        <is>
          <t xml:space="preserve">OCUPAÇÃO (P.P)</t>
        </is>
      </c>
      <c r="C66" s="405"/>
      <c r="D66" s="191" t="inlineStr">
        <is>
          <t xml:space="preserve">Posições Disponíveis</t>
        </is>
      </c>
      <c r="E66" s="190"/>
      <c r="F66" s="190"/>
      <c r="G66" s="190"/>
      <c r="H66" s="199" t="str">
        <f>IF(calculos_quadro!$G$284="","",IFERROR(INDEX(calculos_quadro!$B$125:$U$125,MATCH(calculos_quadro!$G$284,calculos_quadro!$B$102:$U$102,0)),""))</f>
        <v/>
      </c>
      <c r="I66" s="199" t="str">
        <f>IF(calculos_quadro!$G$285="","",IFERROR(INDEX(calculos_quadro!$B$125:$U$125,MATCH(calculos_quadro!$G$285,calculos_quadro!$B$102:$U$102,0)),""))</f>
        <v/>
      </c>
      <c r="J66" s="199" t="str">
        <f>IF(calculos_quadro!$G$286="","",IFERROR(INDEX(calculos_quadro!$B$125:$U$125,MATCH(calculos_quadro!$G$286,calculos_quadro!$B$102:$U$102,0)),""))</f>
        <v/>
      </c>
      <c r="K66" s="198"/>
      <c r="L66" s="199" t="str">
        <f>IF(calculos_quadro!$G$287="","",IFERROR(INDEX(calculos_quadro!$B$125:$U$125,MATCH(calculos_quadro!$G$287,calculos_quadro!$B$102:$U$102,0)),""))</f>
        <v/>
      </c>
      <c r="M66" s="199" t="str">
        <f>IF(calculos_quadro!$G$288="","",IFERROR(INDEX(calculos_quadro!$B$125:$U$125,MATCH(calculos_quadro!$G$288,calculos_quadro!$B$102:$U$102,0)),""))</f>
        <v/>
      </c>
      <c r="N66" s="199" t="str">
        <f>IF(calculos_quadro!$G$289="","",IFERROR(INDEX(calculos_quadro!$B$125:$U$125,MATCH(calculos_quadro!$G$289,calculos_quadro!$B$102:$U$102,0)),""))</f>
        <v/>
      </c>
      <c r="O66" s="199" t="str">
        <f>IF(calculos_quadro!$G$290="","",IFERROR(INDEX(calculos_quadro!$B$125:$U$125,MATCH(calculos_quadro!$G$290,calculos_quadro!$B$102:$U$102,0)),""))</f>
        <v/>
      </c>
      <c r="P66" s="198"/>
      <c r="Q66" s="199" t="str">
        <f>IF(calculos_quadro!$G$291="","",IFERROR(INDEX(calculos_quadro!$B$125:$U$125,MATCH(calculos_quadro!$G$291,calculos_quadro!$B$102:$U$102,0)),""))</f>
        <v/>
      </c>
      <c r="R66" s="199" t="str">
        <f>IF(calculos_quadro!$G$292="","",IFERROR(INDEX(calculos_quadro!$B$125:$U$125,MATCH(calculos_quadro!$G$292,calculos_quadro!$B$102:$U$102,0)),""))</f>
        <v/>
      </c>
      <c r="S66" s="199" t="str">
        <f>IF(calculos_quadro!$G$293="","",IFERROR(INDEX(calculos_quadro!$B$125:$U$125,MATCH(calculos_quadro!$G$293,calculos_quadro!$B$102:$U$102,0)),""))</f>
        <v/>
      </c>
      <c r="T66" s="199" t="str">
        <f>IF(calculos_quadro!$G$294="","",IFERROR(INDEX(calculos_quadro!$B$125:$U$125,MATCH(calculos_quadro!$G$294,calculos_quadro!$B$102:$U$102,0)),""))</f>
        <v/>
      </c>
      <c r="U66" s="198"/>
      <c r="V66" s="199" t="str">
        <f>IF(calculos_quadro!$G$295="","",IFERROR(INDEX(calculos_quadro!$B$125:$U$125,MATCH(calculos_quadro!$G$295,calculos_quadro!$B$102:$U$102,0)),""))</f>
        <v/>
      </c>
      <c r="W66" s="199" t="str">
        <f>IF(calculos_quadro!$G$296="","",IFERROR(INDEX(calculos_quadro!$B$125:$U$125,MATCH(calculos_quadro!$G$296,calculos_quadro!$B$102:$U$102,0)),""))</f>
        <v/>
      </c>
      <c r="X66" s="199" t="str">
        <f>IF(calculos_quadro!$G$297="","",IFERROR(INDEX(calculos_quadro!$B$125:$U$125,MATCH(calculos_quadro!$G$297,calculos_quadro!$B$102:$U$102,0)),""))</f>
        <v/>
      </c>
      <c r="Y66" s="199" t="str">
        <f>IF(calculos_quadro!$G$298="","",IFERROR(INDEX(calculos_quadro!$B$125:$U$125,MATCH(calculos_quadro!$G$298,calculos_quadro!$B$102:$U$102,0)),""))</f>
        <v/>
      </c>
      <c r="Z66" s="199" t="str">
        <f>IF(calculos_quadro!$G$299="","",IFERROR(INDEX(calculos_quadro!$B$125:$U$125,MATCH(calculos_quadro!$G$299,calculos_quadro!$B$102:$U$102,0)),""))</f>
        <v/>
      </c>
    </row>
    <row r="67" ht="15.75" customHeight="1">
      <c r="B67" s="406"/>
      <c r="C67" s="407"/>
      <c r="D67" s="208" t="inlineStr">
        <is>
          <t xml:space="preserve">Posições Ocupadas</t>
        </is>
      </c>
      <c r="E67" s="207"/>
      <c r="F67" s="207"/>
      <c r="G67" s="207"/>
      <c r="H67" s="216" t="str">
        <f>IF(calculos_quadro!$G$284="","",IFERROR(INDEX(calculos_quadro!$B$126:$U$126,MATCH(calculos_quadro!$G$284,calculos_quadro!$B$102:$U$102,0)),""))</f>
        <v/>
      </c>
      <c r="I67" s="216" t="str">
        <f>IF(calculos_quadro!$G$285="","",IFERROR(INDEX(calculos_quadro!$B$126:$U$126,MATCH(calculos_quadro!$G$285,calculos_quadro!$B$102:$U$102,0)),""))</f>
        <v/>
      </c>
      <c r="J67" s="216" t="str">
        <f>IF(calculos_quadro!$G$286="","",IFERROR(INDEX(calculos_quadro!$B$126:$U$126,MATCH(calculos_quadro!$G$286,calculos_quadro!$B$102:$U$102,0)),""))</f>
        <v/>
      </c>
      <c r="K67" s="215"/>
      <c r="L67" s="216" t="str">
        <f>IF(calculos_quadro!$G$287="","",IFERROR(INDEX(calculos_quadro!$B$126:$U$126,MATCH(calculos_quadro!$G$287,calculos_quadro!$B$102:$U$102,0)),""))</f>
        <v/>
      </c>
      <c r="M67" s="216" t="str">
        <f>IF(calculos_quadro!$G$288="","",IFERROR(INDEX(calculos_quadro!$B$126:$U$126,MATCH(calculos_quadro!$G$288,calculos_quadro!$B$102:$U$102,0)),""))</f>
        <v/>
      </c>
      <c r="N67" s="216" t="str">
        <f>IF(calculos_quadro!$G$289="","",IFERROR(INDEX(calculos_quadro!$B$126:$U$126,MATCH(calculos_quadro!$G$289,calculos_quadro!$B$102:$U$102,0)),""))</f>
        <v/>
      </c>
      <c r="O67" s="216" t="str">
        <f>IF(calculos_quadro!$G$290="","",IFERROR(INDEX(calculos_quadro!$B$126:$U$126,MATCH(calculos_quadro!$G$290,calculos_quadro!$B$102:$U$102,0)),""))</f>
        <v/>
      </c>
      <c r="P67" s="215"/>
      <c r="Q67" s="216" t="str">
        <f>IF(calculos_quadro!$G$291="","",IFERROR(INDEX(calculos_quadro!$B$126:$U$126,MATCH(calculos_quadro!$G$291,calculos_quadro!$B$102:$U$102,0)),""))</f>
        <v/>
      </c>
      <c r="R67" s="216" t="str">
        <f>IF(calculos_quadro!$G$292="","",IFERROR(INDEX(calculos_quadro!$B$126:$U$126,MATCH(calculos_quadro!$G$292,calculos_quadro!$B$102:$U$102,0)),""))</f>
        <v/>
      </c>
      <c r="S67" s="216" t="str">
        <f>IF(calculos_quadro!$G$293="","",IFERROR(INDEX(calculos_quadro!$B$126:$U$126,MATCH(calculos_quadro!$G$293,calculos_quadro!$B$102:$U$102,0)),""))</f>
        <v/>
      </c>
      <c r="T67" s="216" t="str">
        <f>IF(calculos_quadro!$G$294="","",IFERROR(INDEX(calculos_quadro!$B$126:$U$126,MATCH(calculos_quadro!$G$294,calculos_quadro!$B$102:$U$102,0)),""))</f>
        <v/>
      </c>
      <c r="U67" s="215"/>
      <c r="V67" s="216" t="str">
        <f>IF(calculos_quadro!$G$295="","",IFERROR(INDEX(calculos_quadro!$B$126:$U$126,MATCH(calculos_quadro!$G$295,calculos_quadro!$B$102:$U$102,0)),""))</f>
        <v/>
      </c>
      <c r="W67" s="216" t="str">
        <f>IF(calculos_quadro!$G$296="","",IFERROR(INDEX(calculos_quadro!$B$126:$U$126,MATCH(calculos_quadro!$G$296,calculos_quadro!$B$102:$U$102,0)),""))</f>
        <v/>
      </c>
      <c r="X67" s="216" t="str">
        <f>IF(calculos_quadro!$G$297="","",IFERROR(INDEX(calculos_quadro!$B$126:$U$126,MATCH(calculos_quadro!$G$297,calculos_quadro!$B$102:$U$102,0)),""))</f>
        <v/>
      </c>
      <c r="Y67" s="216" t="str">
        <f>IF(calculos_quadro!$G$298="","",IFERROR(INDEX(calculos_quadro!$B$126:$U$126,MATCH(calculos_quadro!$G$298,calculos_quadro!$B$102:$U$102,0)),""))</f>
        <v/>
      </c>
      <c r="Z67" s="216" t="str">
        <f>IF(calculos_quadro!$G$299="","",IFERROR(INDEX(calculos_quadro!$B$126:$U$126,MATCH(calculos_quadro!$G$299,calculos_quadro!$B$102:$U$102,0)),""))</f>
        <v/>
      </c>
    </row>
    <row r="68" ht="15.75" customHeight="1">
      <c r="B68" s="408"/>
      <c r="C68" s="409"/>
      <c r="D68" s="227" t="inlineStr">
        <is>
          <t xml:space="preserve">Taxa de Ocupação</t>
        </is>
      </c>
      <c r="E68" s="226"/>
      <c r="F68" s="226"/>
      <c r="G68" s="226"/>
      <c r="H68" s="239" t="str">
        <f>IF(calculos_quadro!$G$284="","",IFERROR(INDEX(calculos_quadro!$B$127:$U$127,MATCH(calculos_quadro!$G$284,calculos_quadro!$B$102:$U$102,0)),""))</f>
        <v/>
      </c>
      <c r="I68" s="239" t="str">
        <f>IF(calculos_quadro!$G$285="","",IFERROR(INDEX(calculos_quadro!$B$127:$U$127,MATCH(calculos_quadro!$G$285,calculos_quadro!$B$102:$U$102,0)),""))</f>
        <v/>
      </c>
      <c r="J68" s="239" t="str">
        <f>IF(calculos_quadro!$G$286="","",IFERROR(INDEX(calculos_quadro!$B$127:$U$127,MATCH(calculos_quadro!$G$286,calculos_quadro!$B$102:$U$102,0)),""))</f>
        <v/>
      </c>
      <c r="K68" s="238"/>
      <c r="L68" s="239" t="str">
        <f>IF(calculos_quadro!$G$287="","",IFERROR(INDEX(calculos_quadro!$B$127:$U$127,MATCH(calculos_quadro!$G$287,calculos_quadro!$B$102:$U$102,0)),""))</f>
        <v/>
      </c>
      <c r="M68" s="239" t="str">
        <f>IF(calculos_quadro!$G$288="","",IFERROR(INDEX(calculos_quadro!$B$127:$U$127,MATCH(calculos_quadro!$G$288,calculos_quadro!$B$102:$U$102,0)),""))</f>
        <v/>
      </c>
      <c r="N68" s="239" t="str">
        <f>IF(calculos_quadro!$G$289="","",IFERROR(INDEX(calculos_quadro!$B$127:$U$127,MATCH(calculos_quadro!$G$289,calculos_quadro!$B$102:$U$102,0)),""))</f>
        <v/>
      </c>
      <c r="O68" s="239" t="str">
        <f>IF(calculos_quadro!$G$290="","",IFERROR(INDEX(calculos_quadro!$B$127:$U$127,MATCH(calculos_quadro!$G$290,calculos_quadro!$B$102:$U$102,0)),""))</f>
        <v/>
      </c>
      <c r="P68" s="238"/>
      <c r="Q68" s="239" t="str">
        <f>IF(calculos_quadro!$G$291="","",IFERROR(INDEX(calculos_quadro!$B$127:$U$127,MATCH(calculos_quadro!$G$291,calculos_quadro!$B$102:$U$102,0)),""))</f>
        <v/>
      </c>
      <c r="R68" s="239" t="str">
        <f>IF(calculos_quadro!$G$292="","",IFERROR(INDEX(calculos_quadro!$B$127:$U$127,MATCH(calculos_quadro!$G$292,calculos_quadro!$B$102:$U$102,0)),""))</f>
        <v/>
      </c>
      <c r="S68" s="239" t="str">
        <f>IF(calculos_quadro!$G$293="","",IFERROR(INDEX(calculos_quadro!$B$127:$U$127,MATCH(calculos_quadro!$G$293,calculos_quadro!$B$102:$U$102,0)),""))</f>
        <v/>
      </c>
      <c r="T68" s="239" t="str">
        <f>IF(calculos_quadro!$G$294="","",IFERROR(INDEX(calculos_quadro!$B$127:$U$127,MATCH(calculos_quadro!$G$294,calculos_quadro!$B$102:$U$102,0)),""))</f>
        <v/>
      </c>
      <c r="U68" s="238"/>
      <c r="V68" s="239" t="str">
        <f>IF(calculos_quadro!$G$295="","",IFERROR(INDEX(calculos_quadro!$B$127:$U$127,MATCH(calculos_quadro!$G$295,calculos_quadro!$B$102:$U$102,0)),""))</f>
        <v/>
      </c>
      <c r="W68" s="239" t="str">
        <f>IF(calculos_quadro!$G$296="","",IFERROR(INDEX(calculos_quadro!$B$127:$U$127,MATCH(calculos_quadro!$G$296,calculos_quadro!$B$102:$U$102,0)),""))</f>
        <v/>
      </c>
      <c r="X68" s="239" t="str">
        <f>IF(calculos_quadro!$G$297="","",IFERROR(INDEX(calculos_quadro!$B$127:$U$127,MATCH(calculos_quadro!$G$297,calculos_quadro!$B$102:$U$102,0)),""))</f>
        <v/>
      </c>
      <c r="Y68" s="239" t="str">
        <f>IF(calculos_quadro!$G$298="","",IFERROR(INDEX(calculos_quadro!$B$127:$U$127,MATCH(calculos_quadro!$G$298,calculos_quadro!$B$102:$U$102,0)),""))</f>
        <v/>
      </c>
      <c r="Z68" s="239" t="str">
        <f>IF(calculos_quadro!$G$299="","",IFERROR(INDEX(calculos_quadro!$B$127:$U$127,MATCH(calculos_quadro!$G$299,calculos_quadro!$B$102:$U$102,0)),""))</f>
        <v/>
      </c>
    </row>
    <row r="69" ht="15.75" customHeight="1">
      <c r="B69" s="422" t="inlineStr">
        <is>
          <t xml:space="preserve">GENTE</t>
        </is>
      </c>
      <c r="C69" s="423"/>
      <c r="D69" s="354" t="inlineStr">
        <is>
          <t xml:space="preserve">Efetivo Op.</t>
        </is>
      </c>
      <c r="E69" s="353"/>
      <c r="F69" s="353"/>
      <c r="G69" s="353"/>
      <c r="H69" s="362" t="str">
        <f>IF(calculos_quadro!$G$284="","",IFERROR(INDEX(calculos_quadro!$B$128:$U$128,MATCH(calculos_quadro!$G$284,calculos_quadro!$B$102:$U$102,0)),""))</f>
        <v/>
      </c>
      <c r="I69" s="362" t="str">
        <f>IF(calculos_quadro!$G$285="","",IFERROR(INDEX(calculos_quadro!$B$128:$U$128,MATCH(calculos_quadro!$G$285,calculos_quadro!$B$102:$U$102,0)),""))</f>
        <v/>
      </c>
      <c r="J69" s="362" t="str">
        <f>IF(calculos_quadro!$G$286="","",IFERROR(INDEX(calculos_quadro!$B$128:$U$128,MATCH(calculos_quadro!$G$286,calculos_quadro!$B$102:$U$102,0)),""))</f>
        <v/>
      </c>
      <c r="K69" s="361"/>
      <c r="L69" s="362" t="str">
        <f>IF(calculos_quadro!$G$287="","",IFERROR(INDEX(calculos_quadro!$B$128:$U$128,MATCH(calculos_quadro!$G$287,calculos_quadro!$B$102:$U$102,0)),""))</f>
        <v/>
      </c>
      <c r="M69" s="362" t="str">
        <f>IF(calculos_quadro!$G$288="","",IFERROR(INDEX(calculos_quadro!$B$128:$U$128,MATCH(calculos_quadro!$G$288,calculos_quadro!$B$102:$U$102,0)),""))</f>
        <v/>
      </c>
      <c r="N69" s="362" t="str">
        <f>IF(calculos_quadro!$G$289="","",IFERROR(INDEX(calculos_quadro!$B$128:$U$128,MATCH(calculos_quadro!$G$289,calculos_quadro!$B$102:$U$102,0)),""))</f>
        <v/>
      </c>
      <c r="O69" s="362" t="str">
        <f>IF(calculos_quadro!$G$290="","",IFERROR(INDEX(calculos_quadro!$B$128:$U$128,MATCH(calculos_quadro!$G$290,calculos_quadro!$B$102:$U$102,0)),""))</f>
        <v/>
      </c>
      <c r="P69" s="361"/>
      <c r="Q69" s="362" t="str">
        <f>IF(calculos_quadro!$G$291="","",IFERROR(INDEX(calculos_quadro!$B$128:$U$128,MATCH(calculos_quadro!$G$291,calculos_quadro!$B$102:$U$102,0)),""))</f>
        <v/>
      </c>
      <c r="R69" s="362" t="str">
        <f>IF(calculos_quadro!$G$292="","",IFERROR(INDEX(calculos_quadro!$B$128:$U$128,MATCH(calculos_quadro!$G$292,calculos_quadro!$B$102:$U$102,0)),""))</f>
        <v/>
      </c>
      <c r="S69" s="362" t="str">
        <f>IF(calculos_quadro!$G$293="","",IFERROR(INDEX(calculos_quadro!$B$128:$U$128,MATCH(calculos_quadro!$G$293,calculos_quadro!$B$102:$U$102,0)),""))</f>
        <v/>
      </c>
      <c r="T69" s="362" t="str">
        <f>IF(calculos_quadro!$G$294="","",IFERROR(INDEX(calculos_quadro!$B$128:$U$128,MATCH(calculos_quadro!$G$294,calculos_quadro!$B$102:$U$102,0)),""))</f>
        <v/>
      </c>
      <c r="U69" s="361"/>
      <c r="V69" s="362" t="str">
        <f>IF(calculos_quadro!$G$295="","",IFERROR(INDEX(calculos_quadro!$B$128:$U$128,MATCH(calculos_quadro!$G$295,calculos_quadro!$B$102:$U$102,0)),""))</f>
        <v/>
      </c>
      <c r="W69" s="362" t="str">
        <f>IF(calculos_quadro!$G$296="","",IFERROR(INDEX(calculos_quadro!$B$128:$U$128,MATCH(calculos_quadro!$G$296,calculos_quadro!$B$102:$U$102,0)),""))</f>
        <v/>
      </c>
      <c r="X69" s="362" t="str">
        <f>IF(calculos_quadro!$G$297="","",IFERROR(INDEX(calculos_quadro!$B$128:$U$128,MATCH(calculos_quadro!$G$297,calculos_quadro!$B$102:$U$102,0)),""))</f>
        <v/>
      </c>
      <c r="Y69" s="362" t="str">
        <f>IF(calculos_quadro!$G$298="","",IFERROR(INDEX(calculos_quadro!$B$128:$U$128,MATCH(calculos_quadro!$G$298,calculos_quadro!$B$102:$U$102,0)),""))</f>
        <v/>
      </c>
      <c r="Z69" s="362" t="str">
        <f>IF(calculos_quadro!$G$299="","",IFERROR(INDEX(calculos_quadro!$B$128:$U$128,MATCH(calculos_quadro!$G$299,calculos_quadro!$B$102:$U$102,0)),""))</f>
        <v/>
      </c>
    </row>
    <row r="70" ht="15.75" customHeight="1">
      <c r="B70" s="424"/>
      <c r="C70" s="425"/>
      <c r="D70" s="371" t="inlineStr">
        <is>
          <t xml:space="preserve">Falta</t>
        </is>
      </c>
      <c r="E70" s="370"/>
      <c r="F70" s="370"/>
      <c r="G70" s="370"/>
      <c r="H70" s="379">
        <f>IF(calculos_quadro!$G$284="","",IFERROR(INDEX(calculos_quadro!$B$129:$U$129,MATCH(calculos_quadro!$G$284,calculos_quadro!$B$102:$U$102,0)),""))</f>
        <v>0</v>
      </c>
      <c r="I70" s="379">
        <f>IF(calculos_quadro!$G$285="","",IFERROR(INDEX(calculos_quadro!$B$129:$U$129,MATCH(calculos_quadro!$G$285,calculos_quadro!$B$102:$U$102,0)),""))</f>
        <v>0</v>
      </c>
      <c r="J70" s="379">
        <f>IF(calculos_quadro!$G$286="","",IFERROR(INDEX(calculos_quadro!$B$129:$U$129,MATCH(calculos_quadro!$G$286,calculos_quadro!$B$102:$U$102,0)),""))</f>
        <v>0</v>
      </c>
      <c r="K70" s="378"/>
      <c r="L70" s="379">
        <f>IF(calculos_quadro!$G$287="","",IFERROR(INDEX(calculos_quadro!$B$129:$U$129,MATCH(calculos_quadro!$G$287,calculos_quadro!$B$102:$U$102,0)),""))</f>
        <v>0</v>
      </c>
      <c r="M70" s="379">
        <f>IF(calculos_quadro!$G$288="","",IFERROR(INDEX(calculos_quadro!$B$129:$U$129,MATCH(calculos_quadro!$G$288,calculos_quadro!$B$102:$U$102,0)),""))</f>
        <v>0</v>
      </c>
      <c r="N70" s="379">
        <f>IF(calculos_quadro!$G$289="","",IFERROR(INDEX(calculos_quadro!$B$129:$U$129,MATCH(calculos_quadro!$G$289,calculos_quadro!$B$102:$U$102,0)),""))</f>
        <v>0</v>
      </c>
      <c r="O70" s="379">
        <f>IF(calculos_quadro!$G$290="","",IFERROR(INDEX(calculos_quadro!$B$129:$U$129,MATCH(calculos_quadro!$G$290,calculos_quadro!$B$102:$U$102,0)),""))</f>
        <v>0</v>
      </c>
      <c r="P70" s="378"/>
      <c r="Q70" s="379">
        <f>IF(calculos_quadro!$G$291="","",IFERROR(INDEX(calculos_quadro!$B$129:$U$129,MATCH(calculos_quadro!$G$291,calculos_quadro!$B$102:$U$102,0)),""))</f>
        <v>0</v>
      </c>
      <c r="R70" s="379">
        <f>IF(calculos_quadro!$G$292="","",IFERROR(INDEX(calculos_quadro!$B$129:$U$129,MATCH(calculos_quadro!$G$292,calculos_quadro!$B$102:$U$102,0)),""))</f>
        <v>0</v>
      </c>
      <c r="S70" s="379">
        <f>IF(calculos_quadro!$G$293="","",IFERROR(INDEX(calculos_quadro!$B$129:$U$129,MATCH(calculos_quadro!$G$293,calculos_quadro!$B$102:$U$102,0)),""))</f>
        <v>0</v>
      </c>
      <c r="T70" s="379" t="str">
        <f>IF(calculos_quadro!$G$294="","",IFERROR(INDEX(calculos_quadro!$B$129:$U$129,MATCH(calculos_quadro!$G$294,calculos_quadro!$B$102:$U$102,0)),""))</f>
        <v/>
      </c>
      <c r="U70" s="378"/>
      <c r="V70" s="379" t="str">
        <f>IF(calculos_quadro!$G$295="","",IFERROR(INDEX(calculos_quadro!$B$129:$U$129,MATCH(calculos_quadro!$G$295,calculos_quadro!$B$102:$U$102,0)),""))</f>
        <v/>
      </c>
      <c r="W70" s="379" t="str">
        <f>IF(calculos_quadro!$G$296="","",IFERROR(INDEX(calculos_quadro!$B$129:$U$129,MATCH(calculos_quadro!$G$296,calculos_quadro!$B$102:$U$102,0)),""))</f>
        <v/>
      </c>
      <c r="X70" s="379" t="str">
        <f>IF(calculos_quadro!$G$297="","",IFERROR(INDEX(calculos_quadro!$B$129:$U$129,MATCH(calculos_quadro!$G$297,calculos_quadro!$B$102:$U$102,0)),""))</f>
        <v/>
      </c>
      <c r="Y70" s="379" t="str">
        <f>IF(calculos_quadro!$G$298="","",IFERROR(INDEX(calculos_quadro!$B$129:$U$129,MATCH(calculos_quadro!$G$298,calculos_quadro!$B$102:$U$102,0)),""))</f>
        <v/>
      </c>
      <c r="Z70" s="379" t="str">
        <f>IF(calculos_quadro!$G$299="","",IFERROR(INDEX(calculos_quadro!$B$129:$U$129,MATCH(calculos_quadro!$G$299,calculos_quadro!$B$102:$U$102,0)),""))</f>
        <v/>
      </c>
    </row>
    <row r="71" ht="15.75" customHeight="1">
      <c r="B71" s="424"/>
      <c r="C71" s="425"/>
      <c r="D71" s="371" t="inlineStr">
        <is>
          <t xml:space="preserve">Folga</t>
        </is>
      </c>
      <c r="E71" s="370"/>
      <c r="F71" s="370"/>
      <c r="G71" s="370"/>
      <c r="H71" s="379">
        <f>IF(calculos_quadro!$G$284="","",IFERROR(INDEX(calculos_quadro!$B$130:$U$130,MATCH(calculos_quadro!$G$284,calculos_quadro!$B$102:$U$102,0)),""))</f>
        <v>0</v>
      </c>
      <c r="I71" s="379">
        <f>IF(calculos_quadro!$G$285="","",IFERROR(INDEX(calculos_quadro!$B$130:$U$130,MATCH(calculos_quadro!$G$285,calculos_quadro!$B$102:$U$102,0)),""))</f>
        <v>0</v>
      </c>
      <c r="J71" s="379">
        <f>IF(calculos_quadro!$G$286="","",IFERROR(INDEX(calculos_quadro!$B$130:$U$130,MATCH(calculos_quadro!$G$286,calculos_quadro!$B$102:$U$102,0)),""))</f>
        <v>0</v>
      </c>
      <c r="K71" s="378"/>
      <c r="L71" s="379">
        <f>IF(calculos_quadro!$G$287="","",IFERROR(INDEX(calculos_quadro!$B$130:$U$130,MATCH(calculos_quadro!$G$287,calculos_quadro!$B$102:$U$102,0)),""))</f>
        <v>0</v>
      </c>
      <c r="M71" s="379">
        <f>IF(calculos_quadro!$G$288="","",IFERROR(INDEX(calculos_quadro!$B$130:$U$130,MATCH(calculos_quadro!$G$288,calculos_quadro!$B$102:$U$102,0)),""))</f>
        <v>0</v>
      </c>
      <c r="N71" s="379">
        <f>IF(calculos_quadro!$G$289="","",IFERROR(INDEX(calculos_quadro!$B$130:$U$130,MATCH(calculos_quadro!$G$289,calculos_quadro!$B$102:$U$102,0)),""))</f>
        <v>0</v>
      </c>
      <c r="O71" s="379">
        <f>IF(calculos_quadro!$G$290="","",IFERROR(INDEX(calculos_quadro!$B$130:$U$130,MATCH(calculos_quadro!$G$290,calculos_quadro!$B$102:$U$102,0)),""))</f>
        <v>0</v>
      </c>
      <c r="P71" s="378"/>
      <c r="Q71" s="379">
        <f>IF(calculos_quadro!$G$291="","",IFERROR(INDEX(calculos_quadro!$B$130:$U$130,MATCH(calculos_quadro!$G$291,calculos_quadro!$B$102:$U$102,0)),""))</f>
        <v>0</v>
      </c>
      <c r="R71" s="379">
        <f>IF(calculos_quadro!$G$292="","",IFERROR(INDEX(calculos_quadro!$B$130:$U$130,MATCH(calculos_quadro!$G$292,calculos_quadro!$B$102:$U$102,0)),""))</f>
        <v>0</v>
      </c>
      <c r="S71" s="379">
        <f>IF(calculos_quadro!$G$293="","",IFERROR(INDEX(calculos_quadro!$B$130:$U$130,MATCH(calculos_quadro!$G$293,calculos_quadro!$B$102:$U$102,0)),""))</f>
        <v>0</v>
      </c>
      <c r="T71" s="379" t="str">
        <f>IF(calculos_quadro!$G$294="","",IFERROR(INDEX(calculos_quadro!$B$130:$U$130,MATCH(calculos_quadro!$G$294,calculos_quadro!$B$102:$U$102,0)),""))</f>
        <v/>
      </c>
      <c r="U71" s="378"/>
      <c r="V71" s="379" t="str">
        <f>IF(calculos_quadro!$G$295="","",IFERROR(INDEX(calculos_quadro!$B$130:$U$130,MATCH(calculos_quadro!$G$295,calculos_quadro!$B$102:$U$102,0)),""))</f>
        <v/>
      </c>
      <c r="W71" s="379" t="str">
        <f>IF(calculos_quadro!$G$296="","",IFERROR(INDEX(calculos_quadro!$B$130:$U$130,MATCH(calculos_quadro!$G$296,calculos_quadro!$B$102:$U$102,0)),""))</f>
        <v/>
      </c>
      <c r="X71" s="379" t="str">
        <f>IF(calculos_quadro!$G$297="","",IFERROR(INDEX(calculos_quadro!$B$130:$U$130,MATCH(calculos_quadro!$G$297,calculos_quadro!$B$102:$U$102,0)),""))</f>
        <v/>
      </c>
      <c r="Y71" s="379" t="str">
        <f>IF(calculos_quadro!$G$298="","",IFERROR(INDEX(calculos_quadro!$B$130:$U$130,MATCH(calculos_quadro!$G$298,calculos_quadro!$B$102:$U$102,0)),""))</f>
        <v/>
      </c>
      <c r="Z71" s="379" t="str">
        <f>IF(calculos_quadro!$G$299="","",IFERROR(INDEX(calculos_quadro!$B$130:$U$130,MATCH(calculos_quadro!$G$299,calculos_quadro!$B$102:$U$102,0)),""))</f>
        <v/>
      </c>
    </row>
    <row r="72" ht="15.75" customHeight="1">
      <c r="B72" s="424"/>
      <c r="C72" s="425"/>
      <c r="D72" s="371" t="inlineStr">
        <is>
          <t xml:space="preserve">Férias</t>
        </is>
      </c>
      <c r="E72" s="370"/>
      <c r="F72" s="370"/>
      <c r="G72" s="370"/>
      <c r="H72" s="379">
        <f>IF(calculos_quadro!$G$284="","",IFERROR(INDEX(calculos_quadro!$B$131:$U$131,MATCH(calculos_quadro!$G$284,calculos_quadro!$B$102:$U$102,0)),""))</f>
        <v>0</v>
      </c>
      <c r="I72" s="379">
        <f>IF(calculos_quadro!$G$285="","",IFERROR(INDEX(calculos_quadro!$B$131:$U$131,MATCH(calculos_quadro!$G$285,calculos_quadro!$B$102:$U$102,0)),""))</f>
        <v>0</v>
      </c>
      <c r="J72" s="379">
        <f>IF(calculos_quadro!$G$286="","",IFERROR(INDEX(calculos_quadro!$B$131:$U$131,MATCH(calculos_quadro!$G$286,calculos_quadro!$B$102:$U$102,0)),""))</f>
        <v>0</v>
      </c>
      <c r="K72" s="378"/>
      <c r="L72" s="379">
        <f>IF(calculos_quadro!$G$287="","",IFERROR(INDEX(calculos_quadro!$B$131:$U$131,MATCH(calculos_quadro!$G$287,calculos_quadro!$B$102:$U$102,0)),""))</f>
        <v>0</v>
      </c>
      <c r="M72" s="379">
        <f>IF(calculos_quadro!$G$288="","",IFERROR(INDEX(calculos_quadro!$B$131:$U$131,MATCH(calculos_quadro!$G$288,calculos_quadro!$B$102:$U$102,0)),""))</f>
        <v>0</v>
      </c>
      <c r="N72" s="379">
        <f>IF(calculos_quadro!$G$289="","",IFERROR(INDEX(calculos_quadro!$B$131:$U$131,MATCH(calculos_quadro!$G$289,calculos_quadro!$B$102:$U$102,0)),""))</f>
        <v>0</v>
      </c>
      <c r="O72" s="379">
        <f>IF(calculos_quadro!$G$290="","",IFERROR(INDEX(calculos_quadro!$B$131:$U$131,MATCH(calculos_quadro!$G$290,calculos_quadro!$B$102:$U$102,0)),""))</f>
        <v>0</v>
      </c>
      <c r="P72" s="378"/>
      <c r="Q72" s="379">
        <f>IF(calculos_quadro!$G$291="","",IFERROR(INDEX(calculos_quadro!$B$131:$U$131,MATCH(calculos_quadro!$G$291,calculos_quadro!$B$102:$U$102,0)),""))</f>
        <v>0</v>
      </c>
      <c r="R72" s="379">
        <f>IF(calculos_quadro!$G$292="","",IFERROR(INDEX(calculos_quadro!$B$131:$U$131,MATCH(calculos_quadro!$G$292,calculos_quadro!$B$102:$U$102,0)),""))</f>
        <v>0</v>
      </c>
      <c r="S72" s="379">
        <f>IF(calculos_quadro!$G$293="","",IFERROR(INDEX(calculos_quadro!$B$131:$U$131,MATCH(calculos_quadro!$G$293,calculos_quadro!$B$102:$U$102,0)),""))</f>
        <v>0</v>
      </c>
      <c r="T72" s="379" t="str">
        <f>IF(calculos_quadro!$G$294="","",IFERROR(INDEX(calculos_quadro!$B$131:$U$131,MATCH(calculos_quadro!$G$294,calculos_quadro!$B$102:$U$102,0)),""))</f>
        <v/>
      </c>
      <c r="U72" s="378"/>
      <c r="V72" s="379" t="str">
        <f>IF(calculos_quadro!$G$295="","",IFERROR(INDEX(calculos_quadro!$B$131:$U$131,MATCH(calculos_quadro!$G$295,calculos_quadro!$B$102:$U$102,0)),""))</f>
        <v/>
      </c>
      <c r="W72" s="379" t="str">
        <f>IF(calculos_quadro!$G$296="","",IFERROR(INDEX(calculos_quadro!$B$131:$U$131,MATCH(calculos_quadro!$G$296,calculos_quadro!$B$102:$U$102,0)),""))</f>
        <v/>
      </c>
      <c r="X72" s="379" t="str">
        <f>IF(calculos_quadro!$G$297="","",IFERROR(INDEX(calculos_quadro!$B$131:$U$131,MATCH(calculos_quadro!$G$297,calculos_quadro!$B$102:$U$102,0)),""))</f>
        <v/>
      </c>
      <c r="Y72" s="379" t="str">
        <f>IF(calculos_quadro!$G$298="","",IFERROR(INDEX(calculos_quadro!$B$131:$U$131,MATCH(calculos_quadro!$G$298,calculos_quadro!$B$102:$U$102,0)),""))</f>
        <v/>
      </c>
      <c r="Z72" s="379" t="str">
        <f>IF(calculos_quadro!$G$299="","",IFERROR(INDEX(calculos_quadro!$B$131:$U$131,MATCH(calculos_quadro!$G$299,calculos_quadro!$B$102:$U$102,0)),""))</f>
        <v/>
      </c>
    </row>
    <row r="73" ht="15.75" customHeight="1">
      <c r="B73" s="424"/>
      <c r="C73" s="425"/>
      <c r="D73" s="371" t="inlineStr">
        <is>
          <t xml:space="preserve">Desligamento</t>
        </is>
      </c>
      <c r="E73" s="370"/>
      <c r="F73" s="370"/>
      <c r="G73" s="370"/>
      <c r="H73" s="379">
        <f>IF(calculos_quadro!$G$284="","",IFERROR(INDEX(calculos_quadro!$B$132:$U$132,MATCH(calculos_quadro!$G$284,calculos_quadro!$B$102:$U$102,0)),""))</f>
        <v>0</v>
      </c>
      <c r="I73" s="379">
        <f>IF(calculos_quadro!$G$285="","",IFERROR(INDEX(calculos_quadro!$B$132:$U$132,MATCH(calculos_quadro!$G$285,calculos_quadro!$B$102:$U$102,0)),""))</f>
        <v>0</v>
      </c>
      <c r="J73" s="379">
        <f>IF(calculos_quadro!$G$286="","",IFERROR(INDEX(calculos_quadro!$B$132:$U$132,MATCH(calculos_quadro!$G$286,calculos_quadro!$B$102:$U$102,0)),""))</f>
        <v>0</v>
      </c>
      <c r="K73" s="378"/>
      <c r="L73" s="379">
        <f>IF(calculos_quadro!$G$287="","",IFERROR(INDEX(calculos_quadro!$B$132:$U$132,MATCH(calculos_quadro!$G$287,calculos_quadro!$B$102:$U$102,0)),""))</f>
        <v>0</v>
      </c>
      <c r="M73" s="379">
        <f>IF(calculos_quadro!$G$288="","",IFERROR(INDEX(calculos_quadro!$B$132:$U$132,MATCH(calculos_quadro!$G$288,calculos_quadro!$B$102:$U$102,0)),""))</f>
        <v>0</v>
      </c>
      <c r="N73" s="379">
        <f>IF(calculos_quadro!$G$289="","",IFERROR(INDEX(calculos_quadro!$B$132:$U$132,MATCH(calculos_quadro!$G$289,calculos_quadro!$B$102:$U$102,0)),""))</f>
        <v>0</v>
      </c>
      <c r="O73" s="379">
        <f>IF(calculos_quadro!$G$290="","",IFERROR(INDEX(calculos_quadro!$B$132:$U$132,MATCH(calculos_quadro!$G$290,calculos_quadro!$B$102:$U$102,0)),""))</f>
        <v>0</v>
      </c>
      <c r="P73" s="378"/>
      <c r="Q73" s="379">
        <f>IF(calculos_quadro!$G$291="","",IFERROR(INDEX(calculos_quadro!$B$132:$U$132,MATCH(calculos_quadro!$G$291,calculos_quadro!$B$102:$U$102,0)),""))</f>
        <v>0</v>
      </c>
      <c r="R73" s="379">
        <f>IF(calculos_quadro!$G$292="","",IFERROR(INDEX(calculos_quadro!$B$132:$U$132,MATCH(calculos_quadro!$G$292,calculos_quadro!$B$102:$U$102,0)),""))</f>
        <v>0</v>
      </c>
      <c r="S73" s="379">
        <f>IF(calculos_quadro!$G$293="","",IFERROR(INDEX(calculos_quadro!$B$132:$U$132,MATCH(calculos_quadro!$G$293,calculos_quadro!$B$102:$U$102,0)),""))</f>
        <v>0</v>
      </c>
      <c r="T73" s="379" t="str">
        <f>IF(calculos_quadro!$G$294="","",IFERROR(INDEX(calculos_quadro!$B$132:$U$132,MATCH(calculos_quadro!$G$294,calculos_quadro!$B$102:$U$102,0)),""))</f>
        <v/>
      </c>
      <c r="U73" s="378"/>
      <c r="V73" s="379" t="str">
        <f>IF(calculos_quadro!$G$295="","",IFERROR(INDEX(calculos_quadro!$B$132:$U$132,MATCH(calculos_quadro!$G$295,calculos_quadro!$B$102:$U$102,0)),""))</f>
        <v/>
      </c>
      <c r="W73" s="379" t="str">
        <f>IF(calculos_quadro!$G$296="","",IFERROR(INDEX(calculos_quadro!$B$132:$U$132,MATCH(calculos_quadro!$G$296,calculos_quadro!$B$102:$U$102,0)),""))</f>
        <v/>
      </c>
      <c r="X73" s="379" t="str">
        <f>IF(calculos_quadro!$G$297="","",IFERROR(INDEX(calculos_quadro!$B$132:$U$132,MATCH(calculos_quadro!$G$297,calculos_quadro!$B$102:$U$102,0)),""))</f>
        <v/>
      </c>
      <c r="Y73" s="379" t="str">
        <f>IF(calculos_quadro!$G$298="","",IFERROR(INDEX(calculos_quadro!$B$132:$U$132,MATCH(calculos_quadro!$G$298,calculos_quadro!$B$102:$U$102,0)),""))</f>
        <v/>
      </c>
      <c r="Z73" s="379" t="str">
        <f>IF(calculos_quadro!$G$299="","",IFERROR(INDEX(calculos_quadro!$B$132:$U$132,MATCH(calculos_quadro!$G$299,calculos_quadro!$B$102:$U$102,0)),""))</f>
        <v/>
      </c>
    </row>
    <row r="74" ht="15.75" customHeight="1">
      <c r="B74" s="424"/>
      <c r="C74" s="425"/>
      <c r="D74" s="371" t="inlineStr">
        <is>
          <t xml:space="preserve">Desvios Comportamentais</t>
        </is>
      </c>
      <c r="E74" s="370"/>
      <c r="F74" s="370"/>
      <c r="G74" s="370"/>
      <c r="H74" s="379">
        <f>IF(calculos_quadro!$G$284="","",IFERROR(INDEX(calculos_quadro!$B$133:$U$133,MATCH(calculos_quadro!$G$284,calculos_quadro!$B$102:$U$102,0)),""))</f>
        <v>0</v>
      </c>
      <c r="I74" s="379">
        <f>IF(calculos_quadro!$G$285="","",IFERROR(INDEX(calculos_quadro!$B$133:$U$133,MATCH(calculos_quadro!$G$285,calculos_quadro!$B$102:$U$102,0)),""))</f>
        <v>0</v>
      </c>
      <c r="J74" s="379">
        <f>IF(calculos_quadro!$G$286="","",IFERROR(INDEX(calculos_quadro!$B$133:$U$133,MATCH(calculos_quadro!$G$286,calculos_quadro!$B$102:$U$102,0)),""))</f>
        <v>0</v>
      </c>
      <c r="K74" s="378"/>
      <c r="L74" s="379">
        <f>IF(calculos_quadro!$G$287="","",IFERROR(INDEX(calculos_quadro!$B$133:$U$133,MATCH(calculos_quadro!$G$287,calculos_quadro!$B$102:$U$102,0)),""))</f>
        <v>0</v>
      </c>
      <c r="M74" s="379">
        <f>IF(calculos_quadro!$G$288="","",IFERROR(INDEX(calculos_quadro!$B$133:$U$133,MATCH(calculos_quadro!$G$288,calculos_quadro!$B$102:$U$102,0)),""))</f>
        <v>0</v>
      </c>
      <c r="N74" s="379">
        <f>IF(calculos_quadro!$G$289="","",IFERROR(INDEX(calculos_quadro!$B$133:$U$133,MATCH(calculos_quadro!$G$289,calculos_quadro!$B$102:$U$102,0)),""))</f>
        <v>0</v>
      </c>
      <c r="O74" s="379">
        <f>IF(calculos_quadro!$G$290="","",IFERROR(INDEX(calculos_quadro!$B$133:$U$133,MATCH(calculos_quadro!$G$290,calculos_quadro!$B$102:$U$102,0)),""))</f>
        <v>0</v>
      </c>
      <c r="P74" s="378"/>
      <c r="Q74" s="379">
        <f>IF(calculos_quadro!$G$291="","",IFERROR(INDEX(calculos_quadro!$B$133:$U$133,MATCH(calculos_quadro!$G$291,calculos_quadro!$B$102:$U$102,0)),""))</f>
        <v>0</v>
      </c>
      <c r="R74" s="379">
        <f>IF(calculos_quadro!$G$292="","",IFERROR(INDEX(calculos_quadro!$B$133:$U$133,MATCH(calculos_quadro!$G$292,calculos_quadro!$B$102:$U$102,0)),""))</f>
        <v>0</v>
      </c>
      <c r="S74" s="379">
        <f>IF(calculos_quadro!$G$293="","",IFERROR(INDEX(calculos_quadro!$B$133:$U$133,MATCH(calculos_quadro!$G$293,calculos_quadro!$B$102:$U$102,0)),""))</f>
        <v>0</v>
      </c>
      <c r="T74" s="379" t="str">
        <f>IF(calculos_quadro!$G$294="","",IFERROR(INDEX(calculos_quadro!$B$133:$U$133,MATCH(calculos_quadro!$G$294,calculos_quadro!$B$102:$U$102,0)),""))</f>
        <v/>
      </c>
      <c r="U74" s="378"/>
      <c r="V74" s="379" t="str">
        <f>IF(calculos_quadro!$G$295="","",IFERROR(INDEX(calculos_quadro!$B$133:$U$133,MATCH(calculos_quadro!$G$295,calculos_quadro!$B$102:$U$102,0)),""))</f>
        <v/>
      </c>
      <c r="W74" s="379" t="str">
        <f>IF(calculos_quadro!$G$296="","",IFERROR(INDEX(calculos_quadro!$B$133:$U$133,MATCH(calculos_quadro!$G$296,calculos_quadro!$B$102:$U$102,0)),""))</f>
        <v/>
      </c>
      <c r="X74" s="379" t="str">
        <f>IF(calculos_quadro!$G$297="","",IFERROR(INDEX(calculos_quadro!$B$133:$U$133,MATCH(calculos_quadro!$G$297,calculos_quadro!$B$102:$U$102,0)),""))</f>
        <v/>
      </c>
      <c r="Y74" s="379" t="str">
        <f>IF(calculos_quadro!$G$298="","",IFERROR(INDEX(calculos_quadro!$B$133:$U$133,MATCH(calculos_quadro!$G$298,calculos_quadro!$B$102:$U$102,0)),""))</f>
        <v/>
      </c>
      <c r="Z74" s="379" t="str">
        <f>IF(calculos_quadro!$G$299="","",IFERROR(INDEX(calculos_quadro!$B$133:$U$133,MATCH(calculos_quadro!$G$299,calculos_quadro!$B$102:$U$102,0)),""))</f>
        <v/>
      </c>
    </row>
    <row r="75" ht="15.75" customHeight="1">
      <c r="B75" s="424"/>
      <c r="C75" s="425"/>
      <c r="D75" s="371" t="inlineStr">
        <is>
          <t xml:space="preserve">Acidentes CAF</t>
        </is>
      </c>
      <c r="E75" s="370"/>
      <c r="F75" s="370"/>
      <c r="G75" s="370"/>
      <c r="H75" s="379">
        <f>IF(calculos_quadro!$G$284="","",IFERROR(INDEX(calculos_quadro!$B$134:$U$134,MATCH(calculos_quadro!$G$284,calculos_quadro!$B$102:$U$102,0)),""))</f>
        <v>0</v>
      </c>
      <c r="I75" s="379">
        <f>IF(calculos_quadro!$G$285="","",IFERROR(INDEX(calculos_quadro!$B$134:$U$134,MATCH(calculos_quadro!$G$285,calculos_quadro!$B$102:$U$102,0)),""))</f>
        <v>0</v>
      </c>
      <c r="J75" s="379">
        <f>IF(calculos_quadro!$G$286="","",IFERROR(INDEX(calculos_quadro!$B$134:$U$134,MATCH(calculos_quadro!$G$286,calculos_quadro!$B$102:$U$102,0)),""))</f>
        <v>0</v>
      </c>
      <c r="K75" s="378"/>
      <c r="L75" s="379">
        <f>IF(calculos_quadro!$G$287="","",IFERROR(INDEX(calculos_quadro!$B$134:$U$134,MATCH(calculos_quadro!$G$287,calculos_quadro!$B$102:$U$102,0)),""))</f>
        <v>0</v>
      </c>
      <c r="M75" s="379">
        <f>IF(calculos_quadro!$G$288="","",IFERROR(INDEX(calculos_quadro!$B$134:$U$134,MATCH(calculos_quadro!$G$288,calculos_quadro!$B$102:$U$102,0)),""))</f>
        <v>0</v>
      </c>
      <c r="N75" s="379">
        <f>IF(calculos_quadro!$G$289="","",IFERROR(INDEX(calculos_quadro!$B$134:$U$134,MATCH(calculos_quadro!$G$289,calculos_quadro!$B$102:$U$102,0)),""))</f>
        <v>0</v>
      </c>
      <c r="O75" s="379">
        <f>IF(calculos_quadro!$G$290="","",IFERROR(INDEX(calculos_quadro!$B$134:$U$134,MATCH(calculos_quadro!$G$290,calculos_quadro!$B$102:$U$102,0)),""))</f>
        <v>0</v>
      </c>
      <c r="P75" s="378"/>
      <c r="Q75" s="379">
        <f>IF(calculos_quadro!$G$291="","",IFERROR(INDEX(calculos_quadro!$B$134:$U$134,MATCH(calculos_quadro!$G$291,calculos_quadro!$B$102:$U$102,0)),""))</f>
        <v>0</v>
      </c>
      <c r="R75" s="379">
        <f>IF(calculos_quadro!$G$292="","",IFERROR(INDEX(calculos_quadro!$B$134:$U$134,MATCH(calculos_quadro!$G$292,calculos_quadro!$B$102:$U$102,0)),""))</f>
        <v>0</v>
      </c>
      <c r="S75" s="379">
        <f>IF(calculos_quadro!$G$293="","",IFERROR(INDEX(calculos_quadro!$B$134:$U$134,MATCH(calculos_quadro!$G$293,calculos_quadro!$B$102:$U$102,0)),""))</f>
        <v>0</v>
      </c>
      <c r="T75" s="379" t="str">
        <f>IF(calculos_quadro!$G$294="","",IFERROR(INDEX(calculos_quadro!$B$134:$U$134,MATCH(calculos_quadro!$G$294,calculos_quadro!$B$102:$U$102,0)),""))</f>
        <v/>
      </c>
      <c r="U75" s="378"/>
      <c r="V75" s="379" t="str">
        <f>IF(calculos_quadro!$G$295="","",IFERROR(INDEX(calculos_quadro!$B$134:$U$134,MATCH(calculos_quadro!$G$295,calculos_quadro!$B$102:$U$102,0)),""))</f>
        <v/>
      </c>
      <c r="W75" s="379" t="str">
        <f>IF(calculos_quadro!$G$296="","",IFERROR(INDEX(calculos_quadro!$B$134:$U$134,MATCH(calculos_quadro!$G$296,calculos_quadro!$B$102:$U$102,0)),""))</f>
        <v/>
      </c>
      <c r="X75" s="379" t="str">
        <f>IF(calculos_quadro!$G$297="","",IFERROR(INDEX(calculos_quadro!$B$134:$U$134,MATCH(calculos_quadro!$G$297,calculos_quadro!$B$102:$U$102,0)),""))</f>
        <v/>
      </c>
      <c r="Y75" s="379" t="str">
        <f>IF(calculos_quadro!$G$298="","",IFERROR(INDEX(calculos_quadro!$B$134:$U$134,MATCH(calculos_quadro!$G$298,calculos_quadro!$B$102:$U$102,0)),""))</f>
        <v/>
      </c>
      <c r="Z75" s="379" t="str">
        <f>IF(calculos_quadro!$G$299="","",IFERROR(INDEX(calculos_quadro!$B$134:$U$134,MATCH(calculos_quadro!$G$299,calculos_quadro!$B$102:$U$102,0)),""))</f>
        <v/>
      </c>
    </row>
    <row r="76" ht="15.75" customHeight="1">
      <c r="B76" s="426"/>
      <c r="C76" s="427"/>
      <c r="D76" s="388" t="inlineStr">
        <is>
          <t xml:space="preserve">Acidentes SAF</t>
        </is>
      </c>
      <c r="E76" s="387"/>
      <c r="F76" s="387"/>
      <c r="G76" s="387"/>
      <c r="H76" s="396">
        <f>IF(calculos_quadro!$G$284="","",IFERROR(INDEX(calculos_quadro!$B$135:$U$135,MATCH(calculos_quadro!$G$284,calculos_quadro!$B$102:$U$102,0)),""))</f>
        <v>0</v>
      </c>
      <c r="I76" s="396">
        <f>IF(calculos_quadro!$G$285="","",IFERROR(INDEX(calculos_quadro!$B$135:$U$135,MATCH(calculos_quadro!$G$285,calculos_quadro!$B$102:$U$102,0)),""))</f>
        <v>0</v>
      </c>
      <c r="J76" s="396">
        <f>IF(calculos_quadro!$G$286="","",IFERROR(INDEX(calculos_quadro!$B$135:$U$135,MATCH(calculos_quadro!$G$286,calculos_quadro!$B$102:$U$102,0)),""))</f>
        <v>0</v>
      </c>
      <c r="K76" s="395"/>
      <c r="L76" s="396">
        <f>IF(calculos_quadro!$G$287="","",IFERROR(INDEX(calculos_quadro!$B$135:$U$135,MATCH(calculos_quadro!$G$287,calculos_quadro!$B$102:$U$102,0)),""))</f>
        <v>0</v>
      </c>
      <c r="M76" s="396">
        <f>IF(calculos_quadro!$G$288="","",IFERROR(INDEX(calculos_quadro!$B$135:$U$135,MATCH(calculos_quadro!$G$288,calculos_quadro!$B$102:$U$102,0)),""))</f>
        <v>0</v>
      </c>
      <c r="N76" s="396">
        <f>IF(calculos_quadro!$G$289="","",IFERROR(INDEX(calculos_quadro!$B$135:$U$135,MATCH(calculos_quadro!$G$289,calculos_quadro!$B$102:$U$102,0)),""))</f>
        <v>0</v>
      </c>
      <c r="O76" s="396">
        <f>IF(calculos_quadro!$G$290="","",IFERROR(INDEX(calculos_quadro!$B$135:$U$135,MATCH(calculos_quadro!$G$290,calculos_quadro!$B$102:$U$102,0)),""))</f>
        <v>0</v>
      </c>
      <c r="P76" s="395"/>
      <c r="Q76" s="396">
        <f>IF(calculos_quadro!$G$291="","",IFERROR(INDEX(calculos_quadro!$B$135:$U$135,MATCH(calculos_quadro!$G$291,calculos_quadro!$B$102:$U$102,0)),""))</f>
        <v>0</v>
      </c>
      <c r="R76" s="396">
        <f>IF(calculos_quadro!$G$292="","",IFERROR(INDEX(calculos_quadro!$B$135:$U$135,MATCH(calculos_quadro!$G$292,calculos_quadro!$B$102:$U$102,0)),""))</f>
        <v>0</v>
      </c>
      <c r="S76" s="396">
        <f>IF(calculos_quadro!$G$293="","",IFERROR(INDEX(calculos_quadro!$B$135:$U$135,MATCH(calculos_quadro!$G$293,calculos_quadro!$B$102:$U$102,0)),""))</f>
        <v>0</v>
      </c>
      <c r="T76" s="396" t="str">
        <f>IF(calculos_quadro!$G$294="","",IFERROR(INDEX(calculos_quadro!$B$135:$U$135,MATCH(calculos_quadro!$G$294,calculos_quadro!$B$102:$U$102,0)),""))</f>
        <v/>
      </c>
      <c r="U76" s="395"/>
      <c r="V76" s="396" t="str">
        <f>IF(calculos_quadro!$G$295="","",IFERROR(INDEX(calculos_quadro!$B$135:$U$135,MATCH(calculos_quadro!$G$295,calculos_quadro!$B$102:$U$102,0)),""))</f>
        <v/>
      </c>
      <c r="W76" s="396" t="str">
        <f>IF(calculos_quadro!$G$296="","",IFERROR(INDEX(calculos_quadro!$B$135:$U$135,MATCH(calculos_quadro!$G$296,calculos_quadro!$B$102:$U$102,0)),""))</f>
        <v/>
      </c>
      <c r="X76" s="396" t="str">
        <f>IF(calculos_quadro!$G$297="","",IFERROR(INDEX(calculos_quadro!$B$135:$U$135,MATCH(calculos_quadro!$G$297,calculos_quadro!$B$102:$U$102,0)),""))</f>
        <v/>
      </c>
      <c r="Y76" s="396" t="str">
        <f>IF(calculos_quadro!$G$298="","",IFERROR(INDEX(calculos_quadro!$B$135:$U$135,MATCH(calculos_quadro!$G$298,calculos_quadro!$B$102:$U$102,0)),""))</f>
        <v/>
      </c>
      <c r="Z76" s="396" t="str">
        <f>IF(calculos_quadro!$G$299="","",IFERROR(INDEX(calculos_quadro!$B$135:$U$135,MATCH(calculos_quadro!$G$299,calculos_quadro!$B$102:$U$102,0)),""))</f>
        <v/>
      </c>
    </row>
    <row r="77">
      <c r="B77" s="31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78" sheet="1" objects="1" scenarios="1"/>
  <mergeCells count="461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D34:G34"/>
    <mergeCell ref="H34:I34"/>
    <mergeCell ref="J34:L34"/>
    <mergeCell ref="M34:N34"/>
    <mergeCell ref="O34:Q34"/>
    <mergeCell ref="R34:S34"/>
    <mergeCell ref="T34:V34"/>
    <mergeCell ref="W34:X34"/>
    <mergeCell ref="Y34:Z34"/>
    <mergeCell ref="D35:G35"/>
    <mergeCell ref="H35:I35"/>
    <mergeCell ref="J35:L35"/>
    <mergeCell ref="M35:N35"/>
    <mergeCell ref="O35:Q35"/>
    <mergeCell ref="R35:S35"/>
    <mergeCell ref="T35:V35"/>
    <mergeCell ref="W35:X35"/>
    <mergeCell ref="Y35:Z35"/>
    <mergeCell ref="D36:G36"/>
    <mergeCell ref="H36:I36"/>
    <mergeCell ref="J36:L36"/>
    <mergeCell ref="M36:N36"/>
    <mergeCell ref="O36:Q36"/>
    <mergeCell ref="R36:S36"/>
    <mergeCell ref="T36:V36"/>
    <mergeCell ref="W36:X36"/>
    <mergeCell ref="Y36:Z36"/>
    <mergeCell ref="D37:G37"/>
    <mergeCell ref="H37:I37"/>
    <mergeCell ref="J37:L37"/>
    <mergeCell ref="M37:N37"/>
    <mergeCell ref="O37:Q37"/>
    <mergeCell ref="R37:S37"/>
    <mergeCell ref="T37:V37"/>
    <mergeCell ref="W37:X37"/>
    <mergeCell ref="Y37:Z37"/>
    <mergeCell ref="D38:G38"/>
    <mergeCell ref="H38:I38"/>
    <mergeCell ref="J38:L38"/>
    <mergeCell ref="M38:N38"/>
    <mergeCell ref="O38:Q38"/>
    <mergeCell ref="R38:S38"/>
    <mergeCell ref="T38:V38"/>
    <mergeCell ref="W38:X38"/>
    <mergeCell ref="Y38:Z38"/>
    <mergeCell ref="D39:G39"/>
    <mergeCell ref="H39:I39"/>
    <mergeCell ref="J39:L39"/>
    <mergeCell ref="M39:N39"/>
    <mergeCell ref="O39:Q39"/>
    <mergeCell ref="R39:S39"/>
    <mergeCell ref="T39:V39"/>
    <mergeCell ref="W39:X39"/>
    <mergeCell ref="Y39:Z39"/>
    <mergeCell ref="B7:C16"/>
    <mergeCell ref="B17:C25"/>
    <mergeCell ref="B26:C28"/>
    <mergeCell ref="B29:C31"/>
    <mergeCell ref="B32:C39"/>
    <mergeCell ref="B42:Z42"/>
    <mergeCell ref="B43:C43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D65:G65"/>
    <mergeCell ref="J65:K65"/>
    <mergeCell ref="O65:P65"/>
    <mergeCell ref="T65:U65"/>
    <mergeCell ref="D66:G66"/>
    <mergeCell ref="J66:K66"/>
    <mergeCell ref="O66:P66"/>
    <mergeCell ref="T66:U66"/>
    <mergeCell ref="D67:G67"/>
    <mergeCell ref="J67:K67"/>
    <mergeCell ref="O67:P67"/>
    <mergeCell ref="T67:U67"/>
    <mergeCell ref="D68:G68"/>
    <mergeCell ref="J68:K68"/>
    <mergeCell ref="O68:P68"/>
    <mergeCell ref="T68:U68"/>
    <mergeCell ref="D69:G69"/>
    <mergeCell ref="J69:K69"/>
    <mergeCell ref="O69:P69"/>
    <mergeCell ref="T69:U69"/>
    <mergeCell ref="D70:G70"/>
    <mergeCell ref="J70:K70"/>
    <mergeCell ref="O70:P70"/>
    <mergeCell ref="T70:U70"/>
    <mergeCell ref="D71:G71"/>
    <mergeCell ref="J71:K71"/>
    <mergeCell ref="O71:P71"/>
    <mergeCell ref="T71:U71"/>
    <mergeCell ref="D72:G72"/>
    <mergeCell ref="J72:K72"/>
    <mergeCell ref="O72:P72"/>
    <mergeCell ref="T72:U72"/>
    <mergeCell ref="D73:G73"/>
    <mergeCell ref="J73:K73"/>
    <mergeCell ref="O73:P73"/>
    <mergeCell ref="T73:U73"/>
    <mergeCell ref="D74:G74"/>
    <mergeCell ref="J74:K74"/>
    <mergeCell ref="O74:P74"/>
    <mergeCell ref="T74:U74"/>
    <mergeCell ref="D75:G75"/>
    <mergeCell ref="J75:K75"/>
    <mergeCell ref="O75:P75"/>
    <mergeCell ref="T75:U75"/>
    <mergeCell ref="D76:G76"/>
    <mergeCell ref="J76:K76"/>
    <mergeCell ref="O76:P76"/>
    <mergeCell ref="T76:U76"/>
    <mergeCell ref="B44:C53"/>
    <mergeCell ref="B54:C62"/>
    <mergeCell ref="B63:C65"/>
    <mergeCell ref="B66:C68"/>
    <mergeCell ref="B69:C76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AND(ISNUMBER(T18),T18&gt;0)</formula>
    </cfRule>
  </conditionalFormatting>
  <conditionalFormatting sqref="T18">
    <cfRule type="expression" dxfId="11" priority="57">
      <formula>AND(ISNUMBER(T18),T18&lt;0)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AND(ISNUMBER(T19),T19&gt;0)</formula>
    </cfRule>
  </conditionalFormatting>
  <conditionalFormatting sqref="T19">
    <cfRule type="expression" dxfId="11" priority="62">
      <formula>AND(ISNUMBER(T19),T19&lt;0)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AND(ISNUMBER(T20),T20&gt;0)</formula>
    </cfRule>
  </conditionalFormatting>
  <conditionalFormatting sqref="T20">
    <cfRule type="expression" dxfId="11" priority="67">
      <formula>AND(ISNUMBER(T20),T20&lt;0)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T21">
    <cfRule type="expression" dxfId="10" priority="71">
      <formula>AND(ISNUMBER(T21),T21&gt;0)</formula>
    </cfRule>
  </conditionalFormatting>
  <conditionalFormatting sqref="T21">
    <cfRule type="expression" dxfId="11" priority="72">
      <formula>AND(ISNUMBER(T21),T21&lt;0)</formula>
    </cfRule>
  </conditionalFormatting>
  <conditionalFormatting sqref="Y21">
    <cfRule type="expression" dxfId="10" priority="73">
      <formula>OR(Y21="meta atingida",Y21="dentro do limite",Y21="ocupação alta",Y21="excede o contratado")</formula>
    </cfRule>
  </conditionalFormatting>
  <conditionalFormatting sqref="Y21">
    <cfRule type="expression" dxfId="12" priority="74">
      <formula>OR(Y21="ocupação média",Y21="abaixo da meta")</formula>
    </cfRule>
  </conditionalFormatting>
  <conditionalFormatting sqref="Y21">
    <cfRule type="expression" dxfId="11" priority="75">
      <formula>OR(Y21="ociosidade alta",Y21="acima do limite")</formula>
    </cfRule>
  </conditionalFormatting>
  <conditionalFormatting sqref="T22">
    <cfRule type="expression" dxfId="10" priority="76">
      <formula>AND(ISNUMBER(T22),T22&gt;0)</formula>
    </cfRule>
  </conditionalFormatting>
  <conditionalFormatting sqref="T22">
    <cfRule type="expression" dxfId="11" priority="77">
      <formula>AND(ISNUMBER(T22),T22&lt;0)</formula>
    </cfRule>
  </conditionalFormatting>
  <conditionalFormatting sqref="Y22">
    <cfRule type="expression" dxfId="10" priority="78">
      <formula>OR(Y22="meta atingida",Y22="dentro do limite",Y22="ocupação alta",Y22="excede o contratado")</formula>
    </cfRule>
  </conditionalFormatting>
  <conditionalFormatting sqref="Y22">
    <cfRule type="expression" dxfId="12" priority="79">
      <formula>OR(Y22="ocupação média",Y22="abaixo da meta")</formula>
    </cfRule>
  </conditionalFormatting>
  <conditionalFormatting sqref="Y22">
    <cfRule type="expression" dxfId="11" priority="80">
      <formula>OR(Y22="ociosidade alta",Y22="acima do limite")</formula>
    </cfRule>
  </conditionalFormatting>
  <conditionalFormatting sqref="T23">
    <cfRule type="expression" dxfId="10" priority="81">
      <formula>AND(ISNUMBER(T23),T23&gt;0)</formula>
    </cfRule>
  </conditionalFormatting>
  <conditionalFormatting sqref="T23">
    <cfRule type="expression" dxfId="11" priority="82">
      <formula>AND(ISNUMBER(T23),T23&lt;0)</formula>
    </cfRule>
  </conditionalFormatting>
  <conditionalFormatting sqref="Y23">
    <cfRule type="expression" dxfId="10" priority="83">
      <formula>OR(Y23="meta atingida",Y23="dentro do limite",Y23="ocupação alta",Y23="excede o contratado")</formula>
    </cfRule>
  </conditionalFormatting>
  <conditionalFormatting sqref="Y23">
    <cfRule type="expression" dxfId="12" priority="84">
      <formula>OR(Y23="ocupação média",Y23="abaixo da meta")</formula>
    </cfRule>
  </conditionalFormatting>
  <conditionalFormatting sqref="Y23">
    <cfRule type="expression" dxfId="11" priority="85">
      <formula>OR(Y23="ociosidade alta",Y23="acima do limite")</formula>
    </cfRule>
  </conditionalFormatting>
  <conditionalFormatting sqref="T24">
    <cfRule type="expression" dxfId="10" priority="86">
      <formula>AND(ISNUMBER(T24),T24&gt;0)</formula>
    </cfRule>
  </conditionalFormatting>
  <conditionalFormatting sqref="T24">
    <cfRule type="expression" dxfId="11" priority="87">
      <formula>AND(ISNUMBER(T24),T24&lt;0)</formula>
    </cfRule>
  </conditionalFormatting>
  <conditionalFormatting sqref="Y24">
    <cfRule type="expression" dxfId="10" priority="88">
      <formula>OR(Y24="meta atingida",Y24="dentro do limite",Y24="ocupação alta",Y24="excede o contratado")</formula>
    </cfRule>
  </conditionalFormatting>
  <conditionalFormatting sqref="Y24">
    <cfRule type="expression" dxfId="12" priority="89">
      <formula>OR(Y24="ocupação média",Y24="abaixo da meta")</formula>
    </cfRule>
  </conditionalFormatting>
  <conditionalFormatting sqref="Y24">
    <cfRule type="expression" dxfId="11" priority="90">
      <formula>OR(Y24="ociosidade alta",Y24="acima do limite")</formula>
    </cfRule>
  </conditionalFormatting>
  <conditionalFormatting sqref="T25">
    <cfRule type="expression" dxfId="10" priority="91">
      <formula>AND(ISNUMBER(T25),T25&gt;0)</formula>
    </cfRule>
  </conditionalFormatting>
  <conditionalFormatting sqref="T25">
    <cfRule type="expression" dxfId="11" priority="92">
      <formula>AND(ISNUMBER(T25),T25&lt;0)</formula>
    </cfRule>
  </conditionalFormatting>
  <conditionalFormatting sqref="Y25">
    <cfRule type="expression" dxfId="10" priority="93">
      <formula>OR(Y25="meta atingida",Y25="dentro do limite",Y25="ocupação alta",Y25="excede o contratado")</formula>
    </cfRule>
  </conditionalFormatting>
  <conditionalFormatting sqref="Y25">
    <cfRule type="expression" dxfId="12" priority="94">
      <formula>OR(Y25="ocupação média",Y25="abaixo da meta")</formula>
    </cfRule>
  </conditionalFormatting>
  <conditionalFormatting sqref="Y25">
    <cfRule type="expression" dxfId="11" priority="95">
      <formula>OR(Y25="ociosidade alta",Y25="acima do limite")</formula>
    </cfRule>
  </conditionalFormatting>
  <conditionalFormatting sqref="T26">
    <cfRule type="expression" dxfId="10" priority="96">
      <formula>AND(ISNUMBER(T26),T26&lt;0)</formula>
    </cfRule>
  </conditionalFormatting>
  <conditionalFormatting sqref="T26">
    <cfRule type="expression" dxfId="11" priority="97">
      <formula>AND(ISNUMBER(T26),T26&gt;0)</formula>
    </cfRule>
  </conditionalFormatting>
  <conditionalFormatting sqref="Y26">
    <cfRule type="expression" dxfId="10" priority="98">
      <formula>OR(Y26="meta atingida",Y26="dentro do limite",Y26="ocupação alta",Y26="excede o contratado")</formula>
    </cfRule>
  </conditionalFormatting>
  <conditionalFormatting sqref="Y26">
    <cfRule type="expression" dxfId="12" priority="99">
      <formula>OR(Y26="ocupação média",Y26="abaixo da meta")</formula>
    </cfRule>
  </conditionalFormatting>
  <conditionalFormatting sqref="Y26">
    <cfRule type="expression" dxfId="11" priority="100">
      <formula>OR(Y26="ociosidade alta",Y26="acima do limite")</formula>
    </cfRule>
  </conditionalFormatting>
  <conditionalFormatting sqref="T27">
    <cfRule type="expression" dxfId="10" priority="101">
      <formula>AND(ISNUMBER(T27),T27&lt;0)</formula>
    </cfRule>
  </conditionalFormatting>
  <conditionalFormatting sqref="T27">
    <cfRule type="expression" dxfId="11" priority="102">
      <formula>AND(ISNUMBER(T27),T27&gt;0)</formula>
    </cfRule>
  </conditionalFormatting>
  <conditionalFormatting sqref="Y27">
    <cfRule type="expression" dxfId="10" priority="103">
      <formula>OR(Y27="meta atingida",Y27="dentro do limite",Y27="ocupação alta",Y27="excede o contratado")</formula>
    </cfRule>
  </conditionalFormatting>
  <conditionalFormatting sqref="Y27">
    <cfRule type="expression" dxfId="12" priority="104">
      <formula>OR(Y27="ocupação média",Y27="abaixo da meta")</formula>
    </cfRule>
  </conditionalFormatting>
  <conditionalFormatting sqref="Y27">
    <cfRule type="expression" dxfId="11" priority="105">
      <formula>OR(Y27="ociosidade alta",Y27="acima do limite")</formula>
    </cfRule>
  </conditionalFormatting>
  <conditionalFormatting sqref="T28">
    <cfRule type="expression" dxfId="10" priority="106">
      <formula>AND(ISNUMBER(T28),T28&lt;0)</formula>
    </cfRule>
  </conditionalFormatting>
  <conditionalFormatting sqref="T28">
    <cfRule type="expression" dxfId="11" priority="107">
      <formula>AND(ISNUMBER(T28),T28&gt;0)</formula>
    </cfRule>
  </conditionalFormatting>
  <conditionalFormatting sqref="Y28">
    <cfRule type="expression" dxfId="10" priority="108">
      <formula>OR(Y28="meta atingida",Y28="dentro do limite",Y28="ocupação alta",Y28="excede o contratado")</formula>
    </cfRule>
  </conditionalFormatting>
  <conditionalFormatting sqref="Y28">
    <cfRule type="expression" dxfId="12" priority="109">
      <formula>OR(Y28="ocupação média",Y28="abaixo da meta")</formula>
    </cfRule>
  </conditionalFormatting>
  <conditionalFormatting sqref="Y28">
    <cfRule type="expression" dxfId="11" priority="110">
      <formula>OR(Y28="ociosidade alta",Y28="acima do limite")</formula>
    </cfRule>
  </conditionalFormatting>
  <conditionalFormatting sqref="Y29">
    <cfRule type="expression" dxfId="10" priority="111">
      <formula>OR(Y29="meta atingida",Y29="dentro do limite",Y29="ocupação alta",Y29="excede o contratado")</formula>
    </cfRule>
  </conditionalFormatting>
  <conditionalFormatting sqref="Y29">
    <cfRule type="expression" dxfId="12" priority="112">
      <formula>OR(Y29="ocupação média",Y29="abaixo da meta")</formula>
    </cfRule>
  </conditionalFormatting>
  <conditionalFormatting sqref="Y29">
    <cfRule type="expression" dxfId="11" priority="113">
      <formula>OR(Y29="ociosidade alta",Y29="acima do limite")</formula>
    </cfRule>
  </conditionalFormatting>
  <conditionalFormatting sqref="Y30">
    <cfRule type="expression" dxfId="10" priority="114">
      <formula>OR(Y30="meta atingida",Y30="dentro do limite",Y30="ocupação alta",Y30="excede o contratado")</formula>
    </cfRule>
  </conditionalFormatting>
  <conditionalFormatting sqref="Y30">
    <cfRule type="expression" dxfId="12" priority="115">
      <formula>OR(Y30="ocupação média",Y30="abaixo da meta")</formula>
    </cfRule>
  </conditionalFormatting>
  <conditionalFormatting sqref="Y30">
    <cfRule type="expression" dxfId="11" priority="116">
      <formula>OR(Y30="ociosidade alta",Y30="acima do limite")</formula>
    </cfRule>
  </conditionalFormatting>
  <conditionalFormatting sqref="Y31">
    <cfRule type="expression" dxfId="10" priority="117">
      <formula>OR(Y31="meta atingida",Y31="dentro do limite",Y31="ocupação alta",Y31="excede o contratado")</formula>
    </cfRule>
  </conditionalFormatting>
  <conditionalFormatting sqref="Y31">
    <cfRule type="expression" dxfId="12" priority="118">
      <formula>OR(Y31="ocupação média",Y31="abaixo da meta")</formula>
    </cfRule>
  </conditionalFormatting>
  <conditionalFormatting sqref="Y31">
    <cfRule type="expression" dxfId="11" priority="119">
      <formula>OR(Y31="ociosidade alta",Y31="acima do limite")</formula>
    </cfRule>
  </conditionalFormatting>
  <conditionalFormatting sqref="T32">
    <cfRule type="expression" dxfId="10" priority="120">
      <formula>AND(ISNUMBER(T32),T32&gt;0)</formula>
    </cfRule>
  </conditionalFormatting>
  <conditionalFormatting sqref="T32">
    <cfRule type="expression" dxfId="11" priority="121">
      <formula>AND(ISNUMBER(T32),T32&lt;0)</formula>
    </cfRule>
  </conditionalFormatting>
  <conditionalFormatting sqref="Y32">
    <cfRule type="expression" dxfId="10" priority="122">
      <formula>OR(Y32="meta atingida",Y32="dentro do limite",Y32="ocupação alta",Y32="excede o contratado")</formula>
    </cfRule>
  </conditionalFormatting>
  <conditionalFormatting sqref="Y32">
    <cfRule type="expression" dxfId="12" priority="123">
      <formula>OR(Y32="ocupação média",Y32="abaixo da meta")</formula>
    </cfRule>
  </conditionalFormatting>
  <conditionalFormatting sqref="Y32">
    <cfRule type="expression" dxfId="11" priority="124">
      <formula>OR(Y32="ociosidade alta",Y32="acima do limite")</formula>
    </cfRule>
  </conditionalFormatting>
  <conditionalFormatting sqref="T33">
    <cfRule type="expression" dxfId="10" priority="125">
      <formula>AND(ISNUMBER(T33),T33&lt;0)</formula>
    </cfRule>
  </conditionalFormatting>
  <conditionalFormatting sqref="T33">
    <cfRule type="expression" dxfId="11" priority="126">
      <formula>AND(ISNUMBER(T33),T33&gt;0)</formula>
    </cfRule>
  </conditionalFormatting>
  <conditionalFormatting sqref="Y33">
    <cfRule type="expression" dxfId="10" priority="127">
      <formula>OR(Y33="meta atingida",Y33="dentro do limite",Y33="ocupação alta",Y33="excede o contratado")</formula>
    </cfRule>
  </conditionalFormatting>
  <conditionalFormatting sqref="Y33">
    <cfRule type="expression" dxfId="12" priority="128">
      <formula>OR(Y33="ocupação média",Y33="abaixo da meta")</formula>
    </cfRule>
  </conditionalFormatting>
  <conditionalFormatting sqref="Y33">
    <cfRule type="expression" dxfId="11" priority="129">
      <formula>OR(Y33="ociosidade alta",Y33="acima do limite")</formula>
    </cfRule>
  </conditionalFormatting>
  <conditionalFormatting sqref="Y34">
    <cfRule type="expression" dxfId="10" priority="130">
      <formula>OR(Y34="meta atingida",Y34="dentro do limite",Y34="ocupação alta",Y34="excede o contratado")</formula>
    </cfRule>
  </conditionalFormatting>
  <conditionalFormatting sqref="Y34">
    <cfRule type="expression" dxfId="12" priority="131">
      <formula>OR(Y34="ocupação média",Y34="abaixo da meta")</formula>
    </cfRule>
  </conditionalFormatting>
  <conditionalFormatting sqref="Y34">
    <cfRule type="expression" dxfId="11" priority="132">
      <formula>OR(Y34="ociosidade alta",Y34="acima do limite")</formula>
    </cfRule>
  </conditionalFormatting>
  <conditionalFormatting sqref="Y35">
    <cfRule type="expression" dxfId="10" priority="133">
      <formula>OR(Y35="meta atingida",Y35="dentro do limite",Y35="ocupação alta",Y35="excede o contratado")</formula>
    </cfRule>
  </conditionalFormatting>
  <conditionalFormatting sqref="Y35">
    <cfRule type="expression" dxfId="12" priority="134">
      <formula>OR(Y35="ocupação média",Y35="abaixo da meta")</formula>
    </cfRule>
  </conditionalFormatting>
  <conditionalFormatting sqref="Y35">
    <cfRule type="expression" dxfId="11" priority="135">
      <formula>OR(Y35="ociosidade alta",Y35="acima do limite")</formula>
    </cfRule>
  </conditionalFormatting>
  <conditionalFormatting sqref="T36">
    <cfRule type="expression" dxfId="10" priority="136">
      <formula>AND(ISNUMBER(T36),T36&lt;0)</formula>
    </cfRule>
  </conditionalFormatting>
  <conditionalFormatting sqref="T36">
    <cfRule type="expression" dxfId="11" priority="137">
      <formula>AND(ISNUMBER(T36),T36&gt;0)</formula>
    </cfRule>
  </conditionalFormatting>
  <conditionalFormatting sqref="Y36">
    <cfRule type="expression" dxfId="10" priority="138">
      <formula>OR(Y36="meta atingida",Y36="dentro do limite",Y36="ocupação alta",Y36="excede o contratado")</formula>
    </cfRule>
  </conditionalFormatting>
  <conditionalFormatting sqref="Y36">
    <cfRule type="expression" dxfId="12" priority="139">
      <formula>OR(Y36="ocupação média",Y36="abaixo da meta")</formula>
    </cfRule>
  </conditionalFormatting>
  <conditionalFormatting sqref="Y36">
    <cfRule type="expression" dxfId="11" priority="140">
      <formula>OR(Y36="ociosidade alta",Y36="acima do limite")</formula>
    </cfRule>
  </conditionalFormatting>
  <conditionalFormatting sqref="T37">
    <cfRule type="expression" dxfId="10" priority="141">
      <formula>AND(ISNUMBER(T37),T37&lt;0)</formula>
    </cfRule>
  </conditionalFormatting>
  <conditionalFormatting sqref="T37">
    <cfRule type="expression" dxfId="11" priority="142">
      <formula>AND(ISNUMBER(T37),T37&gt;0)</formula>
    </cfRule>
  </conditionalFormatting>
  <conditionalFormatting sqref="Y37">
    <cfRule type="expression" dxfId="10" priority="143">
      <formula>OR(Y37="meta atingida",Y37="dentro do limite",Y37="ocupação alta",Y37="excede o contratado")</formula>
    </cfRule>
  </conditionalFormatting>
  <conditionalFormatting sqref="Y37">
    <cfRule type="expression" dxfId="12" priority="144">
      <formula>OR(Y37="ocupação média",Y37="abaixo da meta")</formula>
    </cfRule>
  </conditionalFormatting>
  <conditionalFormatting sqref="Y37">
    <cfRule type="expression" dxfId="11" priority="145">
      <formula>OR(Y37="ociosidade alta",Y37="acima do limite")</formula>
    </cfRule>
  </conditionalFormatting>
  <conditionalFormatting sqref="T38">
    <cfRule type="expression" dxfId="10" priority="146">
      <formula>AND(ISNUMBER(T38),T38&lt;0)</formula>
    </cfRule>
  </conditionalFormatting>
  <conditionalFormatting sqref="T38">
    <cfRule type="expression" dxfId="11" priority="147">
      <formula>AND(ISNUMBER(T38),T38&gt;0)</formula>
    </cfRule>
  </conditionalFormatting>
  <conditionalFormatting sqref="Y38">
    <cfRule type="expression" dxfId="10" priority="148">
      <formula>OR(Y38="meta atingida",Y38="dentro do limite",Y38="ocupação alta",Y38="excede o contratado")</formula>
    </cfRule>
  </conditionalFormatting>
  <conditionalFormatting sqref="Y38">
    <cfRule type="expression" dxfId="12" priority="149">
      <formula>OR(Y38="ocupação média",Y38="abaixo da meta")</formula>
    </cfRule>
  </conditionalFormatting>
  <conditionalFormatting sqref="Y38">
    <cfRule type="expression" dxfId="11" priority="150">
      <formula>OR(Y38="ociosidade alta",Y38="acima do limite")</formula>
    </cfRule>
  </conditionalFormatting>
  <conditionalFormatting sqref="T39">
    <cfRule type="expression" dxfId="10" priority="151">
      <formula>AND(ISNUMBER(T39),T39&lt;0)</formula>
    </cfRule>
  </conditionalFormatting>
  <conditionalFormatting sqref="T39">
    <cfRule type="expression" dxfId="11" priority="152">
      <formula>AND(ISNUMBER(T39),T39&gt;0)</formula>
    </cfRule>
  </conditionalFormatting>
  <conditionalFormatting sqref="Y39">
    <cfRule type="expression" dxfId="10" priority="153">
      <formula>OR(Y39="meta atingida",Y39="dentro do limite",Y39="ocupação alta",Y39="excede o contratado")</formula>
    </cfRule>
  </conditionalFormatting>
  <conditionalFormatting sqref="Y39">
    <cfRule type="expression" dxfId="12" priority="154">
      <formula>OR(Y39="ocupação média",Y39="abaixo da meta")</formula>
    </cfRule>
  </conditionalFormatting>
  <conditionalFormatting sqref="Y39">
    <cfRule type="expression" dxfId="11" priority="155">
      <formula>OR(Y39="ociosidade alta",Y39="acima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calculos!$AN$12:$AN$23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OFFSET(calculos!$AP$12,0,0,1+calculos!$AP$10,1)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E349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40" max="40" width="20" customWidth="1"/>
    <col min="42" max="42" width="22" customWidth="1"/>
    <col min="43" max="43" width="12" customWidth="1"/>
    <col min="45" max="45" width="52" customWidth="1"/>
    <col min="48" max="48" width="14" customWidth="1"/>
    <col min="50" max="50" width="20" customWidth="1"/>
    <col min="52" max="52" width="11" customWidth="1"/>
    <col min="53" max="53" width="11" customWidth="1"/>
    <col min="54" max="54" width="11" customWidth="1"/>
    <col min="55" max="55" width="11" customWidth="1"/>
    <col min="57" max="57" width="11" customWidth="1"/>
  </cols>
  <sheetData>
    <row r="1">
      <c r="A1" s="26" t="inlineStr">
        <is>
          <t xml:space="preserve">CÁLCULOS — base da aba Dashboard (período digitado; gráficos no mês do dia inicial) · gerado automaticamente</t>
        </is>
      </c>
    </row>
    <row r="2">
      <c r="A2" s="27" t="inlineStr">
        <is>
          <t xml:space="preserve">Cliente selecionado</t>
        </is>
      </c>
      <c r="B2" s="27" t="str">
        <f>IF(OR(Dashboard!$D$3="",Dashboard!$D$3="Todos"),"Todos",Dashboard!$D$3)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IFERROR(INDEX($AQ$12:$AQ$32,MATCH($B$2,$AP$12:$AP$32,0)),"")</f>
        <v>TPC</v>
      </c>
    </row>
    <row r="3">
      <c r="A3" s="27" t="inlineStr">
        <is>
          <t xml:space="preserve">Capacidade (posições)</t>
        </is>
      </c>
      <c r="B3" s="30">
        <f>SUM($AW$13:$AW$13)</f>
        <v>23040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23040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  <c r="E7" s="27" t="inlineStr">
        <is>
          <t xml:space="preserve">Período (cards)</t>
        </is>
      </c>
      <c r="F7" s="34">
        <f>IF(ISNUMBER(Dashboard!$Q$3),Dashboard!$Q$3,$C$7)</f>
        <v>46296</v>
      </c>
      <c r="G7" s="34">
        <f>IF(ISNUMBER(Dashboard!$V$3),MAX(Dashboard!$V$3,$F$7),$D$7)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  <c r="E8" s="27" t="inlineStr">
        <is>
          <t xml:space="preserve">Período anterior</t>
        </is>
      </c>
      <c r="F8" s="34">
        <f>$F$7-($G$7-$F$7+1)</f>
        <v>46265</v>
      </c>
      <c r="G8" s="34">
        <f>$F$7-1</f>
        <v>46295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O10" s="38" t="inlineStr">
        <is>
          <t xml:space="preserve">clientes</t>
        </is>
      </c>
      <c r="AP10" s="39">
        <f>MAX(1,$AR$32)</f>
        <v>10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Linhas NF</t>
        </is>
      </c>
      <c r="G11" s="37" t="inlineStr">
        <is>
          <t xml:space="preserve">IN Caixas Movimentadas</t>
        </is>
      </c>
      <c r="H11" s="37" t="inlineStr">
        <is>
          <t xml:space="preserve">IN Peças Movimentadas</t>
        </is>
      </c>
      <c r="I11" s="37" t="inlineStr">
        <is>
          <t xml:space="preserve">IN Itens Recebidos</t>
        </is>
      </c>
      <c r="J11" s="37" t="inlineStr">
        <is>
          <t xml:space="preserve">IN Itens Recebidos CX Mista</t>
        </is>
      </c>
      <c r="K11" s="37" t="inlineStr">
        <is>
          <t xml:space="preserve">IN Caixas Fechadas</t>
        </is>
      </c>
      <c r="L11" s="37" t="inlineStr">
        <is>
          <t xml:space="preserve">IN Caixas Mistas Recebidas</t>
        </is>
      </c>
      <c r="M11" s="37" t="inlineStr">
        <is>
          <t xml:space="preserve">OUT Veículos Expedidos</t>
        </is>
      </c>
      <c r="N11" s="37" t="inlineStr">
        <is>
          <t xml:space="preserve">OUT Pedidos Expedidos</t>
        </is>
      </c>
      <c r="O11" s="37" t="inlineStr">
        <is>
          <t xml:space="preserve">OUT Pedidos Faturados</t>
        </is>
      </c>
      <c r="P11" s="37" t="inlineStr">
        <is>
          <t xml:space="preserve">OUT Itens Expedidos</t>
        </is>
      </c>
      <c r="Q11" s="37" t="inlineStr">
        <is>
          <t xml:space="preserve">OUT Peças Movimentadas</t>
        </is>
      </c>
      <c r="R11" s="37" t="inlineStr">
        <is>
          <t xml:space="preserve">OUT Linhas NF</t>
        </is>
      </c>
      <c r="S11" s="37" t="inlineStr">
        <is>
          <t xml:space="preserve">OUT Caixas Expedidas</t>
        </is>
      </c>
      <c r="T11" s="37" t="inlineStr">
        <is>
          <t xml:space="preserve">OUT Pallets Movimentados</t>
        </is>
      </c>
      <c r="U11" s="37" t="inlineStr">
        <is>
          <t xml:space="preserve">OUT Toneladas Movimentadas</t>
        </is>
      </c>
      <c r="V11" s="37" t="inlineStr">
        <is>
          <t xml:space="preserve">NC Incidentes</t>
        </is>
      </c>
      <c r="W11" s="37" t="inlineStr">
        <is>
          <t xml:space="preserve">NC No show</t>
        </is>
      </c>
      <c r="X11" s="37" t="inlineStr">
        <is>
          <t xml:space="preserve">NC Backlog</t>
        </is>
      </c>
      <c r="Y11" s="37" t="inlineStr">
        <is>
          <t xml:space="preserve">OCUPAÇÃO (P.P) Posições Disponíveis</t>
        </is>
      </c>
      <c r="Z11" s="37" t="inlineStr">
        <is>
          <t xml:space="preserve">OCUPAÇÃO (P.P) Posições Ocupadas</t>
        </is>
      </c>
      <c r="AA11" s="37" t="inlineStr">
        <is>
          <t xml:space="preserve">OCUPAÇÃO (P.P) Taxa de Ocupação</t>
        </is>
      </c>
      <c r="AB11" s="37" t="inlineStr">
        <is>
          <t xml:space="preserve">GENTE Efetivo Op.</t>
        </is>
      </c>
      <c r="AC11" s="37" t="inlineStr">
        <is>
          <t xml:space="preserve">GENTE Falta</t>
        </is>
      </c>
      <c r="AD11" s="37" t="inlineStr">
        <is>
          <t xml:space="preserve">GENTE Folga</t>
        </is>
      </c>
      <c r="AE11" s="37" t="inlineStr">
        <is>
          <t xml:space="preserve">GENTE Férias</t>
        </is>
      </c>
      <c r="AF11" s="37" t="inlineStr">
        <is>
          <t xml:space="preserve">GENTE Desligamento</t>
        </is>
      </c>
      <c r="AG11" s="37" t="inlineStr">
        <is>
          <t xml:space="preserve">GENTE Desvios Comportamentais</t>
        </is>
      </c>
      <c r="AH11" s="37" t="inlineStr">
        <is>
          <t xml:space="preserve">GENTE Acidentes CAF</t>
        </is>
      </c>
      <c r="AI11" s="37" t="inlineStr">
        <is>
          <t xml:space="preserve">GENTE Acidentes SAF</t>
        </is>
      </c>
      <c r="AJ11" s="37" t="inlineStr">
        <is>
          <t xml:space="preserve">Faixa atenção</t>
        </is>
      </c>
      <c r="AK11" s="37" t="inlineStr">
        <is>
          <t xml:space="preserve">Faixa crítica</t>
        </is>
      </c>
      <c r="AN11" s="37" t="inlineStr">
        <is>
          <t xml:space="preserve">Meses (filtros das abas)</t>
        </is>
      </c>
      <c r="AP11" s="37" t="inlineStr">
        <is>
          <t xml:space="preserve">Filtro: depósito / cliente</t>
        </is>
      </c>
      <c r="AQ11" s="37" t="inlineStr">
        <is>
          <t xml:space="preserve">Depósito</t>
        </is>
      </c>
      <c r="AR11" s="37" t="inlineStr">
        <is>
          <t xml:space="preserve">Nº (vagas)</t>
        </is>
      </c>
      <c r="AS11" s="37" t="inlineStr">
        <is>
          <t xml:space="preserve">Títulos dos gráficos (seguem os filtros)</t>
        </is>
      </c>
      <c r="AZ11" s="37" t="inlineStr">
        <is>
          <t xml:space="preserve">Gráf A IN (diário)</t>
        </is>
      </c>
      <c r="BA11" s="37" t="inlineStr">
        <is>
          <t xml:space="preserve">Gráf A OUT (diário)</t>
        </is>
      </c>
      <c r="BB11" s="37" t="inlineStr">
        <is>
          <t xml:space="preserve">Gráf B IN (diário)</t>
        </is>
      </c>
      <c r="BC11" s="37" t="inlineStr">
        <is>
          <t xml:space="preserve">Gráf B OUT (diário)</t>
        </is>
      </c>
      <c r="BE11" s="37" t="inlineStr">
        <is>
          <t xml:space="preserve">Rótulo contrato (último dia)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>
        <f>IF($B12="","",IF($B$2="Todos",SUMIFS(BD!$P$3:$P$5001,BD!$A$3:$A$5001,$B12),SUMIFS(BD!$P$3:$P$5001,BD!$A$3:$A$5001,$B12,BD!$B$3:$B$5001,$D$2)))</f>
        <v>0</v>
      </c>
      <c r="Q12" s="32">
        <f>IF($B12="","",IF($B$2="Todos",SUMIFS(BD!$Q$3:$Q$5001,BD!$A$3:$A$5001,$B12),SUMIFS(BD!$Q$3:$Q$5001,BD!$A$3:$A$5001,$B12,BD!$B$3:$B$5001,$D$2)))</f>
        <v>0</v>
      </c>
      <c r="R12" s="32">
        <f>IF($B12="","",IF($B$2="Todos",SUMIFS(BD!$R$3:$R$5001,BD!$A$3:$A$5001,$B12),SUMIFS(BD!$R$3:$R$5001,BD!$A$3:$A$5001,$B12,BD!$B$3:$B$5001,$D$2)))</f>
        <v>0</v>
      </c>
      <c r="S12" s="32">
        <f>IF($B12="","",IF($B$2="Todos",SUMIFS(BD!$S$3:$S$5001,BD!$A$3:$A$5001,$B12),SUMIFS(BD!$S$3:$S$5001,BD!$A$3:$A$5001,$B12,BD!$B$3:$B$5001,$D$2)))</f>
        <v>0</v>
      </c>
      <c r="T12" s="32">
        <f>IF($B12="","",IF($B$2="Todos",SUMIFS(BD!$T$3:$T$5001,BD!$A$3:$A$5001,$B12),SUMIFS(BD!$T$3:$T$5001,BD!$A$3:$A$5001,$B12,BD!$B$3:$B$5001,$D$2)))</f>
        <v>0</v>
      </c>
      <c r="U12" s="47">
        <f>IF($B12="","",IF($B$2="Todos",SUMIFS(BD!$U$3:$U$5001,BD!$A$3:$A$5001,$B12),SUMIFS(BD!$U$3:$U$5001,BD!$A$3:$A$5001,$B12,BD!$B$3:$B$5001,$D$2)))</f>
        <v>0</v>
      </c>
      <c r="V12" s="32">
        <f>IF($B12="","",IF($B$2="Todos",SUMIFS(BD!$V$3:$V$5001,BD!$A$3:$A$5001,$B12),SUMIFS(BD!$V$3:$V$5001,BD!$A$3:$A$5001,$B12,BD!$B$3:$B$5001,$D$2)))</f>
        <v>0</v>
      </c>
      <c r="W12" s="32">
        <f>IF($B12="","",IF($B$2="Todos",SUMIFS(BD!$W$3:$W$5001,BD!$A$3:$A$5001,$B12),SUMIFS(BD!$W$3:$W$5001,BD!$A$3:$A$5001,$B12,BD!$B$3:$B$5001,$D$2)))</f>
        <v>0</v>
      </c>
      <c r="X12" s="32" t="str">
        <f>IF($B$2="Todos",IF(COUNT($C$141:$V$141)=0,"",SUM($C$141:$V$141)),IFERROR(INDEX($C$141:$V$141,MATCH($D$2,$C$140:$V$140,0)),""))</f>
        <v/>
      </c>
      <c r="Y12" s="48" t="str">
        <f>IF(Z12="","",IF($B$2="Todos",IF($B$4&gt;0,$B$4,IF($B$2="Todos",IF(COUNT($C$211:$V$211)=0,"",SUM($C$211:$V$211)),IFERROR(INDEX($C$211:$V$211,MATCH($D$2,$C$210:$V$210,0)),""))),IFERROR(INDEX($C$211:$V$211,MATCH($D$2,$C$210:$V$210,0)),"")))</f>
        <v/>
      </c>
      <c r="Z12" s="32" t="str">
        <f>IF($B$2="Todos",IF(COUNT($C$176:$V$176)=0,"",SUM($C$176:$V$176)),IFERROR(INDEX($C$176:$V$176,MATCH($D$2,$C$175:$V$175,0)),""))</f>
        <v/>
      </c>
      <c r="AA12" s="49" t="str">
        <f>IF(AND(ISNUMBER(Z12),ISNUMBER(Y12)),IF(Y12&gt;0,Z12/Y12,""),"")</f>
        <v/>
      </c>
      <c r="AB12" s="32" t="str">
        <f>IF($B$2="Todos",IF(COUNT($C$246:$V$246)=0,"",SUM($C$246:$V$246)),IFERROR(INDEX($C$246:$V$246,MATCH($D$2,$C$245:$V$245,0)),""))</f>
        <v/>
      </c>
      <c r="AC12" s="32">
        <f>IF($B12="","",IF($B$2="Todos",SUMIFS(BD!$AB$3:$AB$5001,BD!$A$3:$A$5001,$B12),SUMIFS(BD!$AB$3:$AB$5001,BD!$A$3:$A$5001,$B12,BD!$B$3:$B$5001,$D$2)))</f>
        <v>0</v>
      </c>
      <c r="AD12" s="32">
        <f>IF($B12="","",IF($B$2="Todos",SUMIFS(BD!$AC$3:$AC$5001,BD!$A$3:$A$5001,$B12),SUMIFS(BD!$AC$3:$AC$5001,BD!$A$3:$A$5001,$B12,BD!$B$3:$B$5001,$D$2)))</f>
        <v>0</v>
      </c>
      <c r="AE12" s="32">
        <f>IF($B12="","",IF($B$2="Todos",SUMIFS(BD!$AD$3:$AD$5001,BD!$A$3:$A$5001,$B12),SUMIFS(BD!$AD$3:$AD$5001,BD!$A$3:$A$5001,$B12,BD!$B$3:$B$5001,$D$2)))</f>
        <v>0</v>
      </c>
      <c r="AF12" s="32">
        <f>IF($B12="","",IF($B$2="Todos",SUMIFS(BD!$AE$3:$AE$5001,BD!$A$3:$A$5001,$B12),SUMIFS(BD!$AE$3:$AE$5001,BD!$A$3:$A$5001,$B12,BD!$B$3:$B$5001,$D$2)))</f>
        <v>0</v>
      </c>
      <c r="AG12" s="32">
        <f>IF($B12="","",IF($B$2="Todos",SUMIFS(BD!$AF$3:$AF$5001,BD!$A$3:$A$5001,$B12),SUMIFS(BD!$AF$3:$AF$5001,BD!$A$3:$A$5001,$B12,BD!$B$3:$B$5001,$D$2)))</f>
        <v>0</v>
      </c>
      <c r="AH12" s="32">
        <f>IF($B12="","",IF($B$2="Todos",SUMIFS(BD!$AG$3:$AG$5001,BD!$A$3:$A$5001,$B12),SUMIFS(BD!$AG$3:$AG$5001,BD!$A$3:$A$5001,$B12,BD!$B$3:$B$5001,$D$2)))</f>
        <v>0</v>
      </c>
      <c r="AI12" s="32">
        <f>IF($B12="","",IF($B$2="Todos",SUMIFS(BD!$AH$3:$AH$5001,BD!$A$3:$A$5001,$B12),SUMIFS(BD!$AH$3:$AH$5001,BD!$A$3:$A$5001,$B12,BD!$B$3:$B$5001,$D$2)))</f>
        <v>0</v>
      </c>
      <c r="AJ12" s="50">
        <f>$B$5</f>
        <v>0.7</v>
      </c>
      <c r="AK12" s="50">
        <f>$B$6</f>
        <v>0.9</v>
      </c>
      <c r="AN12" s="29" t="inlineStr">
        <is>
          <t xml:space="preserve">JANEIRO · 2026</t>
        </is>
      </c>
      <c r="AP12" s="29" t="inlineStr">
        <is>
          <t xml:space="preserve">Todos</t>
        </is>
      </c>
      <c r="AQ12" s="28" t="inlineStr">
        <is>
          <t xml:space="preserve">TPC</t>
        </is>
      </c>
      <c r="AS12" s="29" t="str">
        <f>Config!$D$81&amp;" — "&amp;IF($B$2="Todos","TODOS OS CLIENTES",UPPER($B$2))</f>
        <v>MOVIMENTAÇÃO VEÍCULO/DIA — TODOS OS CLIENTES</v>
      </c>
      <c r="AV12" s="37" t="inlineStr">
        <is>
          <t xml:space="preserve">Capacidade por depósito</t>
        </is>
      </c>
      <c r="AW12" s="37" t="inlineStr">
        <is>
          <t xml:space="preserve">Posições</t>
        </is>
      </c>
      <c r="AZ12" s="61">
        <f>IF(OR($B12="",N(VALUE($AH$349))=0),"",IF(INDEX($C12:$AI12,VALUE($AH$349))="","",IF(N(VALUE($AJ$349))=0,INDEX($C12:$AI12,VALUE($AH$349)),IF(N(INDEX($C12:$AI12,N(VALUE($AJ$349))))&gt;0,INDEX($C12:$AI12,VALUE($AH$349))/INDEX($C12:$AI12,N(VALUE($AJ$349))),""))))</f>
        <v>0</v>
      </c>
      <c r="BA12" s="61">
        <f>IF(OR($B12="",N(VALUE($AI$349))=0),"",IF(INDEX($C12:$AI12,VALUE($AI$349))="","",IF(N(VALUE($AK$349))=0,INDEX($C12:$AI12,VALUE($AI$349)),IF(N(INDEX($C12:$AI12,N(VALUE($AK$349))))&gt;0,INDEX($C12:$AI12,VALUE($AI$349))/INDEX($C12:$AI12,N(VALUE($AK$349))),""))))</f>
        <v>0</v>
      </c>
      <c r="BB12" s="61">
        <f>IF(OR($B12="",N(VALUE($AP$349))=0),"",IF(INDEX($C12:$AI12,VALUE($AP$349))="","",IF(N(VALUE($AR$349))=0,INDEX($C12:$AI12,VALUE($AP$349)),IF(N(INDEX($C12:$AI12,N(VALUE($AR$349))))&gt;0,INDEX($C12:$AI12,VALUE($AP$349))/INDEX($C12:$AI12,N(VALUE($AR$349))),""))))</f>
        <v>0</v>
      </c>
      <c r="BC12" s="61">
        <f>IF(OR($B12="",N(VALUE($AQ$349))=0),"",IF(INDEX($C12:$AI12,VALUE($AQ$349))="","",IF(N(VALUE($AS$349))=0,INDEX($C12:$AI12,VALUE($AQ$349)),IF(N(INDEX($C12:$AI12,N(VALUE($AS$349))))&gt;0,INDEX($C12:$AI12,VALUE($AQ$349))/INDEX($C12:$AI12,N(VALUE($AS$349))),""))))</f>
        <v>0</v>
      </c>
      <c r="BE12" s="32" t="str">
        <f>IF(AND($A12=$B$9,ISNUMBER(Y12)),Y12,NA())</f>
        <v/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>
        <f>IF($B13="","",IF($B$2="Todos",SUMIFS(BD!$P$3:$P$5001,BD!$A$3:$A$5001,$B13),SUMIFS(BD!$P$3:$P$5001,BD!$A$3:$A$5001,$B13,BD!$B$3:$B$5001,$D$2)))</f>
        <v>0</v>
      </c>
      <c r="Q13" s="32">
        <f>IF($B13="","",IF($B$2="Todos",SUMIFS(BD!$Q$3:$Q$5001,BD!$A$3:$A$5001,$B13),SUMIFS(BD!$Q$3:$Q$5001,BD!$A$3:$A$5001,$B13,BD!$B$3:$B$5001,$D$2)))</f>
        <v>0</v>
      </c>
      <c r="R13" s="32">
        <f>IF($B13="","",IF($B$2="Todos",SUMIFS(BD!$R$3:$R$5001,BD!$A$3:$A$5001,$B13),SUMIFS(BD!$R$3:$R$5001,BD!$A$3:$A$5001,$B13,BD!$B$3:$B$5001,$D$2)))</f>
        <v>0</v>
      </c>
      <c r="S13" s="32">
        <f>IF($B13="","",IF($B$2="Todos",SUMIFS(BD!$S$3:$S$5001,BD!$A$3:$A$5001,$B13),SUMIFS(BD!$S$3:$S$5001,BD!$A$3:$A$5001,$B13,BD!$B$3:$B$5001,$D$2)))</f>
        <v>0</v>
      </c>
      <c r="T13" s="32">
        <f>IF($B13="","",IF($B$2="Todos",SUMIFS(BD!$T$3:$T$5001,BD!$A$3:$A$5001,$B13),SUMIFS(BD!$T$3:$T$5001,BD!$A$3:$A$5001,$B13,BD!$B$3:$B$5001,$D$2)))</f>
        <v>0</v>
      </c>
      <c r="U13" s="47">
        <f>IF($B13="","",IF($B$2="Todos",SUMIFS(BD!$U$3:$U$5001,BD!$A$3:$A$5001,$B13),SUMIFS(BD!$U$3:$U$5001,BD!$A$3:$A$5001,$B13,BD!$B$3:$B$5001,$D$2)))</f>
        <v>0</v>
      </c>
      <c r="V13" s="32">
        <f>IF($B13="","",IF($B$2="Todos",SUMIFS(BD!$V$3:$V$5001,BD!$A$3:$A$5001,$B13),SUMIFS(BD!$V$3:$V$5001,BD!$A$3:$A$5001,$B13,BD!$B$3:$B$5001,$D$2)))</f>
        <v>0</v>
      </c>
      <c r="W13" s="32">
        <f>IF($B13="","",IF($B$2="Todos",SUMIFS(BD!$W$3:$W$5001,BD!$A$3:$A$5001,$B13),SUMIFS(BD!$W$3:$W$5001,BD!$A$3:$A$5001,$B13,BD!$B$3:$B$5001,$D$2)))</f>
        <v>0</v>
      </c>
      <c r="X13" s="32" t="str">
        <f>IF($B$2="Todos",IF(COUNT($C$142:$V$142)=0,"",SUM($C$142:$V$142)),IFERROR(INDEX($C$142:$V$142,MATCH($D$2,$C$140:$V$140,0)),""))</f>
        <v/>
      </c>
      <c r="Y13" s="48" t="str">
        <f>IF(Z13="","",IF($B$2="Todos",IF($B$4&gt;0,$B$4,IF($B$2="Todos",IF(COUNT($C$212:$V$212)=0,"",SUM($C$212:$V$212)),IFERROR(INDEX($C$212:$V$212,MATCH($D$2,$C$210:$V$210,0)),""))),IFERROR(INDEX($C$212:$V$212,MATCH($D$2,$C$210:$V$210,0)),"")))</f>
        <v/>
      </c>
      <c r="Z13" s="32" t="str">
        <f>IF($B$2="Todos",IF(COUNT($C$177:$V$177)=0,"",SUM($C$177:$V$177)),IFERROR(INDEX($C$177:$V$177,MATCH($D$2,$C$175:$V$175,0)),""))</f>
        <v/>
      </c>
      <c r="AA13" s="49" t="str">
        <f>IF(AND(ISNUMBER(Z13),ISNUMBER(Y13)),IF(Y13&gt;0,Z13/Y13,""),"")</f>
        <v/>
      </c>
      <c r="AB13" s="32" t="str">
        <f>IF($B$2="Todos",IF(COUNT($C$247:$V$247)=0,"",SUM($C$247:$V$247)),IFERROR(INDEX($C$247:$V$247,MATCH($D$2,$C$245:$V$245,0)),""))</f>
        <v/>
      </c>
      <c r="AC13" s="32">
        <f>IF($B13="","",IF($B$2="Todos",SUMIFS(BD!$AB$3:$AB$5001,BD!$A$3:$A$5001,$B13),SUMIFS(BD!$AB$3:$AB$5001,BD!$A$3:$A$5001,$B13,BD!$B$3:$B$5001,$D$2)))</f>
        <v>0</v>
      </c>
      <c r="AD13" s="32">
        <f>IF($B13="","",IF($B$2="Todos",SUMIFS(BD!$AC$3:$AC$5001,BD!$A$3:$A$5001,$B13),SUMIFS(BD!$AC$3:$AC$5001,BD!$A$3:$A$5001,$B13,BD!$B$3:$B$5001,$D$2)))</f>
        <v>0</v>
      </c>
      <c r="AE13" s="32">
        <f>IF($B13="","",IF($B$2="Todos",SUMIFS(BD!$AD$3:$AD$5001,BD!$A$3:$A$5001,$B13),SUMIFS(BD!$AD$3:$AD$5001,BD!$A$3:$A$5001,$B13,BD!$B$3:$B$5001,$D$2)))</f>
        <v>0</v>
      </c>
      <c r="AF13" s="32">
        <f>IF($B13="","",IF($B$2="Todos",SUMIFS(BD!$AE$3:$AE$5001,BD!$A$3:$A$5001,$B13),SUMIFS(BD!$AE$3:$AE$5001,BD!$A$3:$A$5001,$B13,BD!$B$3:$B$5001,$D$2)))</f>
        <v>0</v>
      </c>
      <c r="AG13" s="32">
        <f>IF($B13="","",IF($B$2="Todos",SUMIFS(BD!$AF$3:$AF$5001,BD!$A$3:$A$5001,$B13),SUMIFS(BD!$AF$3:$AF$5001,BD!$A$3:$A$5001,$B13,BD!$B$3:$B$5001,$D$2)))</f>
        <v>0</v>
      </c>
      <c r="AH13" s="32">
        <f>IF($B13="","",IF($B$2="Todos",SUMIFS(BD!$AG$3:$AG$5001,BD!$A$3:$A$5001,$B13),SUMIFS(BD!$AG$3:$AG$5001,BD!$A$3:$A$5001,$B13,BD!$B$3:$B$5001,$D$2)))</f>
        <v>0</v>
      </c>
      <c r="AI13" s="32">
        <f>IF($B13="","",IF($B$2="Todos",SUMIFS(BD!$AH$3:$AH$5001,BD!$A$3:$A$5001,$B13),SUMIFS(BD!$AH$3:$AH$5001,BD!$A$3:$A$5001,$B13,BD!$B$3:$B$5001,$D$2)))</f>
        <v>0</v>
      </c>
      <c r="AJ13" s="50">
        <f>$B$5</f>
        <v>0.7</v>
      </c>
      <c r="AK13" s="50">
        <f>$B$6</f>
        <v>0.9</v>
      </c>
      <c r="AN13" s="29" t="inlineStr">
        <is>
          <t xml:space="preserve">FEVEREIRO · 2026</t>
        </is>
      </c>
      <c r="AP13" s="29" t="str">
        <f>IFERROR(INDEX(Config!$B$10:$B$29,MATCH(1,$AR$13:$AR$32,0))&amp;"","")</f>
        <v>Alpargatas</v>
      </c>
      <c r="AQ13" s="28" t="str">
        <f>IF(AP13="","",IF(INDEX(Config!$C$10:$C$29,MATCH(1,$AR$13:$AR$32,0))&amp;""="","TPC",INDEX(Config!$C$10:$C$29,MATCH(1,$AR$13:$AR$32,0))&amp;""))</f>
        <v>TPC</v>
      </c>
      <c r="AR13" s="38">
        <f>IF(Config!$B$10&amp;""="",0,0+1)</f>
        <v>1</v>
      </c>
      <c r="AS13" s="29" t="str">
        <f>IF($AZ$349="Não se aplica",Config!$D$86,IF($AZ$349="Só ocupadas",Config!$D$85,Config!$D$84))&amp;" — "&amp;IF($B$2="Todos","TODOS OS CLIENTES",UPPER($B$2))</f>
        <v>OCUPAÇÃO DIÁRIA — TODOS OS CLIENTES</v>
      </c>
      <c r="AV13" s="40" t="inlineStr">
        <is>
          <t xml:space="preserve">TPC</t>
        </is>
      </c>
      <c r="AW13" s="41">
        <f>N(Config!$C$95)</f>
        <v>23040</v>
      </c>
      <c r="AX13" s="31" t="inlineStr">
        <is>
          <t xml:space="preserve">aba Config</t>
        </is>
      </c>
      <c r="AZ13" s="61">
        <f>IF(OR($B13="",N(VALUE($AH$349))=0),"",IF(INDEX($C13:$AI13,VALUE($AH$349))="","",IF(N(VALUE($AJ$349))=0,INDEX($C13:$AI13,VALUE($AH$349)),IF(N(INDEX($C13:$AI13,N(VALUE($AJ$349))))&gt;0,INDEX($C13:$AI13,VALUE($AH$349))/INDEX($C13:$AI13,N(VALUE($AJ$349))),""))))</f>
        <v>0</v>
      </c>
      <c r="BA13" s="61">
        <f>IF(OR($B13="",N(VALUE($AI$349))=0),"",IF(INDEX($C13:$AI13,VALUE($AI$349))="","",IF(N(VALUE($AK$349))=0,INDEX($C13:$AI13,VALUE($AI$349)),IF(N(INDEX($C13:$AI13,N(VALUE($AK$349))))&gt;0,INDEX($C13:$AI13,VALUE($AI$349))/INDEX($C13:$AI13,N(VALUE($AK$349))),""))))</f>
        <v>0</v>
      </c>
      <c r="BB13" s="61">
        <f>IF(OR($B13="",N(VALUE($AP$349))=0),"",IF(INDEX($C13:$AI13,VALUE($AP$349))="","",IF(N(VALUE($AR$349))=0,INDEX($C13:$AI13,VALUE($AP$349)),IF(N(INDEX($C13:$AI13,N(VALUE($AR$349))))&gt;0,INDEX($C13:$AI13,VALUE($AP$349))/INDEX($C13:$AI13,N(VALUE($AR$349))),""))))</f>
        <v>0</v>
      </c>
      <c r="BC13" s="61">
        <f>IF(OR($B13="",N(VALUE($AQ$349))=0),"",IF(INDEX($C13:$AI13,VALUE($AQ$349))="","",IF(N(VALUE($AS$349))=0,INDEX($C13:$AI13,VALUE($AQ$349)),IF(N(INDEX($C13:$AI13,N(VALUE($AS$349))))&gt;0,INDEX($C13:$AI13,VALUE($AQ$349))/INDEX($C13:$AI13,N(VALUE($AS$349))),""))))</f>
        <v>0</v>
      </c>
      <c r="BE13" s="32" t="str">
        <f>IF(AND($A13=$B$9,ISNUMBER(Y13)),Y13,NA())</f>
        <v/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>
        <f>IF($B14="","",IF($B$2="Todos",SUMIFS(BD!$P$3:$P$5001,BD!$A$3:$A$5001,$B14),SUMIFS(BD!$P$3:$P$5001,BD!$A$3:$A$5001,$B14,BD!$B$3:$B$5001,$D$2)))</f>
        <v>0</v>
      </c>
      <c r="Q14" s="32">
        <f>IF($B14="","",IF($B$2="Todos",SUMIFS(BD!$Q$3:$Q$5001,BD!$A$3:$A$5001,$B14),SUMIFS(BD!$Q$3:$Q$5001,BD!$A$3:$A$5001,$B14,BD!$B$3:$B$5001,$D$2)))</f>
        <v>0</v>
      </c>
      <c r="R14" s="32">
        <f>IF($B14="","",IF($B$2="Todos",SUMIFS(BD!$R$3:$R$5001,BD!$A$3:$A$5001,$B14),SUMIFS(BD!$R$3:$R$5001,BD!$A$3:$A$5001,$B14,BD!$B$3:$B$5001,$D$2)))</f>
        <v>0</v>
      </c>
      <c r="S14" s="32">
        <f>IF($B14="","",IF($B$2="Todos",SUMIFS(BD!$S$3:$S$5001,BD!$A$3:$A$5001,$B14),SUMIFS(BD!$S$3:$S$5001,BD!$A$3:$A$5001,$B14,BD!$B$3:$B$5001,$D$2)))</f>
        <v>0</v>
      </c>
      <c r="T14" s="32">
        <f>IF($B14="","",IF($B$2="Todos",SUMIFS(BD!$T$3:$T$5001,BD!$A$3:$A$5001,$B14),SUMIFS(BD!$T$3:$T$5001,BD!$A$3:$A$5001,$B14,BD!$B$3:$B$5001,$D$2)))</f>
        <v>0</v>
      </c>
      <c r="U14" s="47">
        <f>IF($B14="","",IF($B$2="Todos",SUMIFS(BD!$U$3:$U$5001,BD!$A$3:$A$5001,$B14),SUMIFS(BD!$U$3:$U$5001,BD!$A$3:$A$5001,$B14,BD!$B$3:$B$5001,$D$2)))</f>
        <v>0</v>
      </c>
      <c r="V14" s="32">
        <f>IF($B14="","",IF($B$2="Todos",SUMIFS(BD!$V$3:$V$5001,BD!$A$3:$A$5001,$B14),SUMIFS(BD!$V$3:$V$5001,BD!$A$3:$A$5001,$B14,BD!$B$3:$B$5001,$D$2)))</f>
        <v>0</v>
      </c>
      <c r="W14" s="32">
        <f>IF($B14="","",IF($B$2="Todos",SUMIFS(BD!$W$3:$W$5001,BD!$A$3:$A$5001,$B14),SUMIFS(BD!$W$3:$W$5001,BD!$A$3:$A$5001,$B14,BD!$B$3:$B$5001,$D$2)))</f>
        <v>0</v>
      </c>
      <c r="X14" s="32" t="str">
        <f>IF($B$2="Todos",IF(COUNT($C$143:$V$143)=0,"",SUM($C$143:$V$143)),IFERROR(INDEX($C$143:$V$143,MATCH($D$2,$C$140:$V$140,0)),""))</f>
        <v/>
      </c>
      <c r="Y14" s="48" t="str">
        <f>IF(Z14="","",IF($B$2="Todos",IF($B$4&gt;0,$B$4,IF($B$2="Todos",IF(COUNT($C$213:$V$213)=0,"",SUM($C$213:$V$213)),IFERROR(INDEX($C$213:$V$213,MATCH($D$2,$C$210:$V$210,0)),""))),IFERROR(INDEX($C$213:$V$213,MATCH($D$2,$C$210:$V$210,0)),"")))</f>
        <v/>
      </c>
      <c r="Z14" s="32" t="str">
        <f>IF($B$2="Todos",IF(COUNT($C$178:$V$178)=0,"",SUM($C$178:$V$178)),IFERROR(INDEX($C$178:$V$178,MATCH($D$2,$C$175:$V$175,0)),""))</f>
        <v/>
      </c>
      <c r="AA14" s="49" t="str">
        <f>IF(AND(ISNUMBER(Z14),ISNUMBER(Y14)),IF(Y14&gt;0,Z14/Y14,""),"")</f>
        <v/>
      </c>
      <c r="AB14" s="32" t="str">
        <f>IF($B$2="Todos",IF(COUNT($C$248:$V$248)=0,"",SUM($C$248:$V$248)),IFERROR(INDEX($C$248:$V$248,MATCH($D$2,$C$245:$V$245,0)),""))</f>
        <v/>
      </c>
      <c r="AC14" s="32">
        <f>IF($B14="","",IF($B$2="Todos",SUMIFS(BD!$AB$3:$AB$5001,BD!$A$3:$A$5001,$B14),SUMIFS(BD!$AB$3:$AB$5001,BD!$A$3:$A$5001,$B14,BD!$B$3:$B$5001,$D$2)))</f>
        <v>0</v>
      </c>
      <c r="AD14" s="32">
        <f>IF($B14="","",IF($B$2="Todos",SUMIFS(BD!$AC$3:$AC$5001,BD!$A$3:$A$5001,$B14),SUMIFS(BD!$AC$3:$AC$5001,BD!$A$3:$A$5001,$B14,BD!$B$3:$B$5001,$D$2)))</f>
        <v>0</v>
      </c>
      <c r="AE14" s="32">
        <f>IF($B14="","",IF($B$2="Todos",SUMIFS(BD!$AD$3:$AD$5001,BD!$A$3:$A$5001,$B14),SUMIFS(BD!$AD$3:$AD$5001,BD!$A$3:$A$5001,$B14,BD!$B$3:$B$5001,$D$2)))</f>
        <v>0</v>
      </c>
      <c r="AF14" s="32">
        <f>IF($B14="","",IF($B$2="Todos",SUMIFS(BD!$AE$3:$AE$5001,BD!$A$3:$A$5001,$B14),SUMIFS(BD!$AE$3:$AE$5001,BD!$A$3:$A$5001,$B14,BD!$B$3:$B$5001,$D$2)))</f>
        <v>0</v>
      </c>
      <c r="AG14" s="32">
        <f>IF($B14="","",IF($B$2="Todos",SUMIFS(BD!$AF$3:$AF$5001,BD!$A$3:$A$5001,$B14),SUMIFS(BD!$AF$3:$AF$5001,BD!$A$3:$A$5001,$B14,BD!$B$3:$B$5001,$D$2)))</f>
        <v>0</v>
      </c>
      <c r="AH14" s="32">
        <f>IF($B14="","",IF($B$2="Todos",SUMIFS(BD!$AG$3:$AG$5001,BD!$A$3:$A$5001,$B14),SUMIFS(BD!$AG$3:$AG$5001,BD!$A$3:$A$5001,$B14,BD!$B$3:$B$5001,$D$2)))</f>
        <v>0</v>
      </c>
      <c r="AI14" s="32">
        <f>IF($B14="","",IF($B$2="Todos",SUMIFS(BD!$AH$3:$AH$5001,BD!$A$3:$A$5001,$B14),SUMIFS(BD!$AH$3:$AH$5001,BD!$A$3:$A$5001,$B14,BD!$B$3:$B$5001,$D$2)))</f>
        <v>0</v>
      </c>
      <c r="AJ14" s="50">
        <f>$B$5</f>
        <v>0.7</v>
      </c>
      <c r="AK14" s="50">
        <f>$B$6</f>
        <v>0.9</v>
      </c>
      <c r="AN14" s="29" t="inlineStr">
        <is>
          <t xml:space="preserve">MARÇO · 2026</t>
        </is>
      </c>
      <c r="AP14" s="29" t="str">
        <f>IFERROR(INDEX(Config!$B$10:$B$29,MATCH(2,$AR$13:$AR$32,0))&amp;"","")</f>
        <v>Basf</v>
      </c>
      <c r="AQ14" s="28" t="str">
        <f>IF(AP14="","",IF(INDEX(Config!$C$10:$C$29,MATCH(2,$AR$13:$AR$32,0))&amp;""="","TPC",INDEX(Config!$C$10:$C$29,MATCH(2,$AR$13:$AR$32,0))&amp;""))</f>
        <v>TPC</v>
      </c>
      <c r="AR14" s="38">
        <f>IF(Config!$B$11&amp;""="",AR13,AR13+1)</f>
        <v>2</v>
      </c>
      <c r="AS14" s="29" t="str">
        <f>$AL$349&amp;" — "&amp;IF($B$2="Todos","TODOS OS CLIENTES",UPPER($B$2))</f>
        <v>MOVIMENTAÇÃO PALETES/DIA — TODOS OS CLIENTES</v>
      </c>
      <c r="AZ14" s="61">
        <f>IF(OR($B14="",N(VALUE($AH$349))=0),"",IF(INDEX($C14:$AI14,VALUE($AH$349))="","",IF(N(VALUE($AJ$349))=0,INDEX($C14:$AI14,VALUE($AH$349)),IF(N(INDEX($C14:$AI14,N(VALUE($AJ$349))))&gt;0,INDEX($C14:$AI14,VALUE($AH$349))/INDEX($C14:$AI14,N(VALUE($AJ$349))),""))))</f>
        <v>0</v>
      </c>
      <c r="BA14" s="61">
        <f>IF(OR($B14="",N(VALUE($AI$349))=0),"",IF(INDEX($C14:$AI14,VALUE($AI$349))="","",IF(N(VALUE($AK$349))=0,INDEX($C14:$AI14,VALUE($AI$349)),IF(N(INDEX($C14:$AI14,N(VALUE($AK$349))))&gt;0,INDEX($C14:$AI14,VALUE($AI$349))/INDEX($C14:$AI14,N(VALUE($AK$349))),""))))</f>
        <v>0</v>
      </c>
      <c r="BB14" s="61">
        <f>IF(OR($B14="",N(VALUE($AP$349))=0),"",IF(INDEX($C14:$AI14,VALUE($AP$349))="","",IF(N(VALUE($AR$349))=0,INDEX($C14:$AI14,VALUE($AP$349)),IF(N(INDEX($C14:$AI14,N(VALUE($AR$349))))&gt;0,INDEX($C14:$AI14,VALUE($AP$349))/INDEX($C14:$AI14,N(VALUE($AR$349))),""))))</f>
        <v>0</v>
      </c>
      <c r="BC14" s="61">
        <f>IF(OR($B14="",N(VALUE($AQ$349))=0),"",IF(INDEX($C14:$AI14,VALUE($AQ$349))="","",IF(N(VALUE($AS$349))=0,INDEX($C14:$AI14,VALUE($AQ$349)),IF(N(INDEX($C14:$AI14,N(VALUE($AS$349))))&gt;0,INDEX($C14:$AI14,VALUE($AQ$349))/INDEX($C14:$AI14,N(VALUE($AS$349))),""))))</f>
        <v>0</v>
      </c>
      <c r="BE14" s="32" t="str">
        <f>IF(AND($A14=$B$9,ISNUMBER(Y14)),Y14,NA())</f>
        <v/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>
        <f>IF($B15="","",IF($B$2="Todos",SUMIFS(BD!$P$3:$P$5001,BD!$A$3:$A$5001,$B15),SUMIFS(BD!$P$3:$P$5001,BD!$A$3:$A$5001,$B15,BD!$B$3:$B$5001,$D$2)))</f>
        <v>0</v>
      </c>
      <c r="Q15" s="32">
        <f>IF($B15="","",IF($B$2="Todos",SUMIFS(BD!$Q$3:$Q$5001,BD!$A$3:$A$5001,$B15),SUMIFS(BD!$Q$3:$Q$5001,BD!$A$3:$A$5001,$B15,BD!$B$3:$B$5001,$D$2)))</f>
        <v>0</v>
      </c>
      <c r="R15" s="32">
        <f>IF($B15="","",IF($B$2="Todos",SUMIFS(BD!$R$3:$R$5001,BD!$A$3:$A$5001,$B15),SUMIFS(BD!$R$3:$R$5001,BD!$A$3:$A$5001,$B15,BD!$B$3:$B$5001,$D$2)))</f>
        <v>0</v>
      </c>
      <c r="S15" s="32">
        <f>IF($B15="","",IF($B$2="Todos",SUMIFS(BD!$S$3:$S$5001,BD!$A$3:$A$5001,$B15),SUMIFS(BD!$S$3:$S$5001,BD!$A$3:$A$5001,$B15,BD!$B$3:$B$5001,$D$2)))</f>
        <v>0</v>
      </c>
      <c r="T15" s="32">
        <f>IF($B15="","",IF($B$2="Todos",SUMIFS(BD!$T$3:$T$5001,BD!$A$3:$A$5001,$B15),SUMIFS(BD!$T$3:$T$5001,BD!$A$3:$A$5001,$B15,BD!$B$3:$B$5001,$D$2)))</f>
        <v>0</v>
      </c>
      <c r="U15" s="47">
        <f>IF($B15="","",IF($B$2="Todos",SUMIFS(BD!$U$3:$U$5001,BD!$A$3:$A$5001,$B15),SUMIFS(BD!$U$3:$U$5001,BD!$A$3:$A$5001,$B15,BD!$B$3:$B$5001,$D$2)))</f>
        <v>0</v>
      </c>
      <c r="V15" s="32">
        <f>IF($B15="","",IF($B$2="Todos",SUMIFS(BD!$V$3:$V$5001,BD!$A$3:$A$5001,$B15),SUMIFS(BD!$V$3:$V$5001,BD!$A$3:$A$5001,$B15,BD!$B$3:$B$5001,$D$2)))</f>
        <v>0</v>
      </c>
      <c r="W15" s="32">
        <f>IF($B15="","",IF($B$2="Todos",SUMIFS(BD!$W$3:$W$5001,BD!$A$3:$A$5001,$B15),SUMIFS(BD!$W$3:$W$5001,BD!$A$3:$A$5001,$B15,BD!$B$3:$B$5001,$D$2)))</f>
        <v>0</v>
      </c>
      <c r="X15" s="32" t="str">
        <f>IF($B$2="Todos",IF(COUNT($C$144:$V$144)=0,"",SUM($C$144:$V$144)),IFERROR(INDEX($C$144:$V$144,MATCH($D$2,$C$140:$V$140,0)),""))</f>
        <v/>
      </c>
      <c r="Y15" s="48" t="str">
        <f>IF(Z15="","",IF($B$2="Todos",IF($B$4&gt;0,$B$4,IF($B$2="Todos",IF(COUNT($C$214:$V$214)=0,"",SUM($C$214:$V$214)),IFERROR(INDEX($C$214:$V$214,MATCH($D$2,$C$210:$V$210,0)),""))),IFERROR(INDEX($C$214:$V$214,MATCH($D$2,$C$210:$V$210,0)),"")))</f>
        <v/>
      </c>
      <c r="Z15" s="32" t="str">
        <f>IF($B$2="Todos",IF(COUNT($C$179:$V$179)=0,"",SUM($C$179:$V$179)),IFERROR(INDEX($C$179:$V$179,MATCH($D$2,$C$175:$V$175,0)),""))</f>
        <v/>
      </c>
      <c r="AA15" s="49" t="str">
        <f>IF(AND(ISNUMBER(Z15),ISNUMBER(Y15)),IF(Y15&gt;0,Z15/Y15,""),"")</f>
        <v/>
      </c>
      <c r="AB15" s="32" t="str">
        <f>IF($B$2="Todos",IF(COUNT($C$249:$V$249)=0,"",SUM($C$249:$V$249)),IFERROR(INDEX($C$249:$V$249,MATCH($D$2,$C$245:$V$245,0)),""))</f>
        <v/>
      </c>
      <c r="AC15" s="32">
        <f>IF($B15="","",IF($B$2="Todos",SUMIFS(BD!$AB$3:$AB$5001,BD!$A$3:$A$5001,$B15),SUMIFS(BD!$AB$3:$AB$5001,BD!$A$3:$A$5001,$B15,BD!$B$3:$B$5001,$D$2)))</f>
        <v>0</v>
      </c>
      <c r="AD15" s="32">
        <f>IF($B15="","",IF($B$2="Todos",SUMIFS(BD!$AC$3:$AC$5001,BD!$A$3:$A$5001,$B15),SUMIFS(BD!$AC$3:$AC$5001,BD!$A$3:$A$5001,$B15,BD!$B$3:$B$5001,$D$2)))</f>
        <v>0</v>
      </c>
      <c r="AE15" s="32">
        <f>IF($B15="","",IF($B$2="Todos",SUMIFS(BD!$AD$3:$AD$5001,BD!$A$3:$A$5001,$B15),SUMIFS(BD!$AD$3:$AD$5001,BD!$A$3:$A$5001,$B15,BD!$B$3:$B$5001,$D$2)))</f>
        <v>0</v>
      </c>
      <c r="AF15" s="32">
        <f>IF($B15="","",IF($B$2="Todos",SUMIFS(BD!$AE$3:$AE$5001,BD!$A$3:$A$5001,$B15),SUMIFS(BD!$AE$3:$AE$5001,BD!$A$3:$A$5001,$B15,BD!$B$3:$B$5001,$D$2)))</f>
        <v>0</v>
      </c>
      <c r="AG15" s="32">
        <f>IF($B15="","",IF($B$2="Todos",SUMIFS(BD!$AF$3:$AF$5001,BD!$A$3:$A$5001,$B15),SUMIFS(BD!$AF$3:$AF$5001,BD!$A$3:$A$5001,$B15,BD!$B$3:$B$5001,$D$2)))</f>
        <v>0</v>
      </c>
      <c r="AH15" s="32">
        <f>IF($B15="","",IF($B$2="Todos",SUMIFS(BD!$AG$3:$AG$5001,BD!$A$3:$A$5001,$B15),SUMIFS(BD!$AG$3:$AG$5001,BD!$A$3:$A$5001,$B15,BD!$B$3:$B$5001,$D$2)))</f>
        <v>0</v>
      </c>
      <c r="AI15" s="32">
        <f>IF($B15="","",IF($B$2="Todos",SUMIFS(BD!$AH$3:$AH$5001,BD!$A$3:$A$5001,$B15),SUMIFS(BD!$AH$3:$AH$5001,BD!$A$3:$A$5001,$B15,BD!$B$3:$B$5001,$D$2)))</f>
        <v>0</v>
      </c>
      <c r="AJ15" s="50">
        <f>$B$5</f>
        <v>0.7</v>
      </c>
      <c r="AK15" s="50">
        <f>$B$6</f>
        <v>0.9</v>
      </c>
      <c r="AN15" s="29" t="inlineStr">
        <is>
          <t xml:space="preserve">ABRIL · 2026</t>
        </is>
      </c>
      <c r="AP15" s="29" t="str">
        <f>IFERROR(INDEX(Config!$B$10:$B$29,MATCH(3,$AR$13:$AR$32,0))&amp;"","")</f>
        <v>Beautybiz</v>
      </c>
      <c r="AQ15" s="28" t="str">
        <f>IF(AP15="","",IF(INDEX(Config!$C$10:$C$29,MATCH(3,$AR$13:$AR$32,0))&amp;""="","TPC",INDEX(Config!$C$10:$C$29,MATCH(3,$AR$13:$AR$32,0))&amp;""))</f>
        <v>TPC</v>
      </c>
      <c r="AR15" s="38">
        <f>IF(Config!$B$12&amp;""="",AR14,AR14+1)</f>
        <v>3</v>
      </c>
      <c r="AS15" s="29" t="str">
        <f>$AT$349&amp;" — "&amp;IF($B$2="Todos","TODOS OS CLIENTES",UPPER($B$2))</f>
        <v>MOVIMENTAÇÃO TONS/DIA — TODOS OS CLIENTES</v>
      </c>
      <c r="AZ15" s="61">
        <f>IF(OR($B15="",N(VALUE($AH$349))=0),"",IF(INDEX($C15:$AI15,VALUE($AH$349))="","",IF(N(VALUE($AJ$349))=0,INDEX($C15:$AI15,VALUE($AH$349)),IF(N(INDEX($C15:$AI15,N(VALUE($AJ$349))))&gt;0,INDEX($C15:$AI15,VALUE($AH$349))/INDEX($C15:$AI15,N(VALUE($AJ$349))),""))))</f>
        <v>0</v>
      </c>
      <c r="BA15" s="61">
        <f>IF(OR($B15="",N(VALUE($AI$349))=0),"",IF(INDEX($C15:$AI15,VALUE($AI$349))="","",IF(N(VALUE($AK$349))=0,INDEX($C15:$AI15,VALUE($AI$349)),IF(N(INDEX($C15:$AI15,N(VALUE($AK$349))))&gt;0,INDEX($C15:$AI15,VALUE($AI$349))/INDEX($C15:$AI15,N(VALUE($AK$349))),""))))</f>
        <v>0</v>
      </c>
      <c r="BB15" s="61">
        <f>IF(OR($B15="",N(VALUE($AP$349))=0),"",IF(INDEX($C15:$AI15,VALUE($AP$349))="","",IF(N(VALUE($AR$349))=0,INDEX($C15:$AI15,VALUE($AP$349)),IF(N(INDEX($C15:$AI15,N(VALUE($AR$349))))&gt;0,INDEX($C15:$AI15,VALUE($AP$349))/INDEX($C15:$AI15,N(VALUE($AR$349))),""))))</f>
        <v>0</v>
      </c>
      <c r="BC15" s="61">
        <f>IF(OR($B15="",N(VALUE($AQ$349))=0),"",IF(INDEX($C15:$AI15,VALUE($AQ$349))="","",IF(N(VALUE($AS$349))=0,INDEX($C15:$AI15,VALUE($AQ$349)),IF(N(INDEX($C15:$AI15,N(VALUE($AS$349))))&gt;0,INDEX($C15:$AI15,VALUE($AQ$349))/INDEX($C15:$AI15,N(VALUE($AS$349))),""))))</f>
        <v>0</v>
      </c>
      <c r="BE15" s="32" t="str">
        <f>IF(AND($A15=$B$9,ISNUMBER(Y15)),Y15,NA())</f>
        <v/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>
        <f>IF($B16="","",IF($B$2="Todos",SUMIFS(BD!$P$3:$P$5001,BD!$A$3:$A$5001,$B16),SUMIFS(BD!$P$3:$P$5001,BD!$A$3:$A$5001,$B16,BD!$B$3:$B$5001,$D$2)))</f>
        <v>0</v>
      </c>
      <c r="Q16" s="32">
        <f>IF($B16="","",IF($B$2="Todos",SUMIFS(BD!$Q$3:$Q$5001,BD!$A$3:$A$5001,$B16),SUMIFS(BD!$Q$3:$Q$5001,BD!$A$3:$A$5001,$B16,BD!$B$3:$B$5001,$D$2)))</f>
        <v>0</v>
      </c>
      <c r="R16" s="32">
        <f>IF($B16="","",IF($B$2="Todos",SUMIFS(BD!$R$3:$R$5001,BD!$A$3:$A$5001,$B16),SUMIFS(BD!$R$3:$R$5001,BD!$A$3:$A$5001,$B16,BD!$B$3:$B$5001,$D$2)))</f>
        <v>0</v>
      </c>
      <c r="S16" s="32">
        <f>IF($B16="","",IF($B$2="Todos",SUMIFS(BD!$S$3:$S$5001,BD!$A$3:$A$5001,$B16),SUMIFS(BD!$S$3:$S$5001,BD!$A$3:$A$5001,$B16,BD!$B$3:$B$5001,$D$2)))</f>
        <v>0</v>
      </c>
      <c r="T16" s="32">
        <f>IF($B16="","",IF($B$2="Todos",SUMIFS(BD!$T$3:$T$5001,BD!$A$3:$A$5001,$B16),SUMIFS(BD!$T$3:$T$5001,BD!$A$3:$A$5001,$B16,BD!$B$3:$B$5001,$D$2)))</f>
        <v>0</v>
      </c>
      <c r="U16" s="47">
        <f>IF($B16="","",IF($B$2="Todos",SUMIFS(BD!$U$3:$U$5001,BD!$A$3:$A$5001,$B16),SUMIFS(BD!$U$3:$U$5001,BD!$A$3:$A$5001,$B16,BD!$B$3:$B$5001,$D$2)))</f>
        <v>0</v>
      </c>
      <c r="V16" s="32">
        <f>IF($B16="","",IF($B$2="Todos",SUMIFS(BD!$V$3:$V$5001,BD!$A$3:$A$5001,$B16),SUMIFS(BD!$V$3:$V$5001,BD!$A$3:$A$5001,$B16,BD!$B$3:$B$5001,$D$2)))</f>
        <v>0</v>
      </c>
      <c r="W16" s="32">
        <f>IF($B16="","",IF($B$2="Todos",SUMIFS(BD!$W$3:$W$5001,BD!$A$3:$A$5001,$B16),SUMIFS(BD!$W$3:$W$5001,BD!$A$3:$A$5001,$B16,BD!$B$3:$B$5001,$D$2)))</f>
        <v>0</v>
      </c>
      <c r="X16" s="32" t="str">
        <f>IF($B$2="Todos",IF(COUNT($C$145:$V$145)=0,"",SUM($C$145:$V$145)),IFERROR(INDEX($C$145:$V$145,MATCH($D$2,$C$140:$V$140,0)),""))</f>
        <v/>
      </c>
      <c r="Y16" s="48" t="str">
        <f>IF(Z16="","",IF($B$2="Todos",IF($B$4&gt;0,$B$4,IF($B$2="Todos",IF(COUNT($C$215:$V$215)=0,"",SUM($C$215:$V$215)),IFERROR(INDEX($C$215:$V$215,MATCH($D$2,$C$210:$V$210,0)),""))),IFERROR(INDEX($C$215:$V$215,MATCH($D$2,$C$210:$V$210,0)),"")))</f>
        <v/>
      </c>
      <c r="Z16" s="32" t="str">
        <f>IF($B$2="Todos",IF(COUNT($C$180:$V$180)=0,"",SUM($C$180:$V$180)),IFERROR(INDEX($C$180:$V$180,MATCH($D$2,$C$175:$V$175,0)),""))</f>
        <v/>
      </c>
      <c r="AA16" s="49" t="str">
        <f>IF(AND(ISNUMBER(Z16),ISNUMBER(Y16)),IF(Y16&gt;0,Z16/Y16,""),"")</f>
        <v/>
      </c>
      <c r="AB16" s="32" t="str">
        <f>IF($B$2="Todos",IF(COUNT($C$250:$V$250)=0,"",SUM($C$250:$V$250)),IFERROR(INDEX($C$250:$V$250,MATCH($D$2,$C$245:$V$245,0)),""))</f>
        <v/>
      </c>
      <c r="AC16" s="32">
        <f>IF($B16="","",IF($B$2="Todos",SUMIFS(BD!$AB$3:$AB$5001,BD!$A$3:$A$5001,$B16),SUMIFS(BD!$AB$3:$AB$5001,BD!$A$3:$A$5001,$B16,BD!$B$3:$B$5001,$D$2)))</f>
        <v>0</v>
      </c>
      <c r="AD16" s="32">
        <f>IF($B16="","",IF($B$2="Todos",SUMIFS(BD!$AC$3:$AC$5001,BD!$A$3:$A$5001,$B16),SUMIFS(BD!$AC$3:$AC$5001,BD!$A$3:$A$5001,$B16,BD!$B$3:$B$5001,$D$2)))</f>
        <v>0</v>
      </c>
      <c r="AE16" s="32">
        <f>IF($B16="","",IF($B$2="Todos",SUMIFS(BD!$AD$3:$AD$5001,BD!$A$3:$A$5001,$B16),SUMIFS(BD!$AD$3:$AD$5001,BD!$A$3:$A$5001,$B16,BD!$B$3:$B$5001,$D$2)))</f>
        <v>0</v>
      </c>
      <c r="AF16" s="32">
        <f>IF($B16="","",IF($B$2="Todos",SUMIFS(BD!$AE$3:$AE$5001,BD!$A$3:$A$5001,$B16),SUMIFS(BD!$AE$3:$AE$5001,BD!$A$3:$A$5001,$B16,BD!$B$3:$B$5001,$D$2)))</f>
        <v>0</v>
      </c>
      <c r="AG16" s="32">
        <f>IF($B16="","",IF($B$2="Todos",SUMIFS(BD!$AF$3:$AF$5001,BD!$A$3:$A$5001,$B16),SUMIFS(BD!$AF$3:$AF$5001,BD!$A$3:$A$5001,$B16,BD!$B$3:$B$5001,$D$2)))</f>
        <v>0</v>
      </c>
      <c r="AH16" s="32">
        <f>IF($B16="","",IF($B$2="Todos",SUMIFS(BD!$AG$3:$AG$5001,BD!$A$3:$A$5001,$B16),SUMIFS(BD!$AG$3:$AG$5001,BD!$A$3:$A$5001,$B16,BD!$B$3:$B$5001,$D$2)))</f>
        <v>0</v>
      </c>
      <c r="AI16" s="32">
        <f>IF($B16="","",IF($B$2="Todos",SUMIFS(BD!$AH$3:$AH$5001,BD!$A$3:$A$5001,$B16),SUMIFS(BD!$AH$3:$AH$5001,BD!$A$3:$A$5001,$B16,BD!$B$3:$B$5001,$D$2)))</f>
        <v>0</v>
      </c>
      <c r="AJ16" s="50">
        <f>$B$5</f>
        <v>0.7</v>
      </c>
      <c r="AK16" s="50">
        <f>$B$6</f>
        <v>0.9</v>
      </c>
      <c r="AN16" s="29" t="inlineStr">
        <is>
          <t xml:space="preserve">MAIO · 2026</t>
        </is>
      </c>
      <c r="AP16" s="29" t="str">
        <f>IFERROR(INDEX(Config!$B$10:$B$29,MATCH(4,$AR$13:$AR$32,0))&amp;"","")</f>
        <v>Boticário</v>
      </c>
      <c r="AQ16" s="28" t="str">
        <f>IF(AP16="","",IF(INDEX(Config!$C$10:$C$29,MATCH(4,$AR$13:$AR$32,0))&amp;""="","TPC",INDEX(Config!$C$10:$C$29,MATCH(4,$AR$13:$AR$32,0))&amp;""))</f>
        <v>TPC</v>
      </c>
      <c r="AR16" s="38">
        <f>IF(Config!$B$13&amp;""="",AR15,AR15+1)</f>
        <v>4</v>
      </c>
      <c r="AS16" s="29" t="str">
        <f>$AM$349&amp;" — "&amp;IF($B$2="Todos","TODOS OS CLIENTES",UPPER($B$2))</f>
        <v>ACUMULADO SEMANAL PALETES — TODOS OS CLIENTES</v>
      </c>
      <c r="AZ16" s="61">
        <f>IF(OR($B16="",N(VALUE($AH$349))=0),"",IF(INDEX($C16:$AI16,VALUE($AH$349))="","",IF(N(VALUE($AJ$349))=0,INDEX($C16:$AI16,VALUE($AH$349)),IF(N(INDEX($C16:$AI16,N(VALUE($AJ$349))))&gt;0,INDEX($C16:$AI16,VALUE($AH$349))/INDEX($C16:$AI16,N(VALUE($AJ$349))),""))))</f>
        <v>0</v>
      </c>
      <c r="BA16" s="61">
        <f>IF(OR($B16="",N(VALUE($AI$349))=0),"",IF(INDEX($C16:$AI16,VALUE($AI$349))="","",IF(N(VALUE($AK$349))=0,INDEX($C16:$AI16,VALUE($AI$349)),IF(N(INDEX($C16:$AI16,N(VALUE($AK$349))))&gt;0,INDEX($C16:$AI16,VALUE($AI$349))/INDEX($C16:$AI16,N(VALUE($AK$349))),""))))</f>
        <v>0</v>
      </c>
      <c r="BB16" s="61">
        <f>IF(OR($B16="",N(VALUE($AP$349))=0),"",IF(INDEX($C16:$AI16,VALUE($AP$349))="","",IF(N(VALUE($AR$349))=0,INDEX($C16:$AI16,VALUE($AP$349)),IF(N(INDEX($C16:$AI16,N(VALUE($AR$349))))&gt;0,INDEX($C16:$AI16,VALUE($AP$349))/INDEX($C16:$AI16,N(VALUE($AR$349))),""))))</f>
        <v>0</v>
      </c>
      <c r="BC16" s="61">
        <f>IF(OR($B16="",N(VALUE($AQ$349))=0),"",IF(INDEX($C16:$AI16,VALUE($AQ$349))="","",IF(N(VALUE($AS$349))=0,INDEX($C16:$AI16,VALUE($AQ$349)),IF(N(INDEX($C16:$AI16,N(VALUE($AS$349))))&gt;0,INDEX($C16:$AI16,VALUE($AQ$349))/INDEX($C16:$AI16,N(VALUE($AS$349))),""))))</f>
        <v>0</v>
      </c>
      <c r="BE16" s="32" t="str">
        <f>IF(AND($A16=$B$9,ISNUMBER(Y16)),Y16,NA())</f>
        <v/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>
        <f>IF($B17="","",IF($B$2="Todos",SUMIFS(BD!$P$3:$P$5001,BD!$A$3:$A$5001,$B17),SUMIFS(BD!$P$3:$P$5001,BD!$A$3:$A$5001,$B17,BD!$B$3:$B$5001,$D$2)))</f>
        <v>0</v>
      </c>
      <c r="Q17" s="32">
        <f>IF($B17="","",IF($B$2="Todos",SUMIFS(BD!$Q$3:$Q$5001,BD!$A$3:$A$5001,$B17),SUMIFS(BD!$Q$3:$Q$5001,BD!$A$3:$A$5001,$B17,BD!$B$3:$B$5001,$D$2)))</f>
        <v>0</v>
      </c>
      <c r="R17" s="32">
        <f>IF($B17="","",IF($B$2="Todos",SUMIFS(BD!$R$3:$R$5001,BD!$A$3:$A$5001,$B17),SUMIFS(BD!$R$3:$R$5001,BD!$A$3:$A$5001,$B17,BD!$B$3:$B$5001,$D$2)))</f>
        <v>0</v>
      </c>
      <c r="S17" s="32">
        <f>IF($B17="","",IF($B$2="Todos",SUMIFS(BD!$S$3:$S$5001,BD!$A$3:$A$5001,$B17),SUMIFS(BD!$S$3:$S$5001,BD!$A$3:$A$5001,$B17,BD!$B$3:$B$5001,$D$2)))</f>
        <v>0</v>
      </c>
      <c r="T17" s="32">
        <f>IF($B17="","",IF($B$2="Todos",SUMIFS(BD!$T$3:$T$5001,BD!$A$3:$A$5001,$B17),SUMIFS(BD!$T$3:$T$5001,BD!$A$3:$A$5001,$B17,BD!$B$3:$B$5001,$D$2)))</f>
        <v>0</v>
      </c>
      <c r="U17" s="47">
        <f>IF($B17="","",IF($B$2="Todos",SUMIFS(BD!$U$3:$U$5001,BD!$A$3:$A$5001,$B17),SUMIFS(BD!$U$3:$U$5001,BD!$A$3:$A$5001,$B17,BD!$B$3:$B$5001,$D$2)))</f>
        <v>0</v>
      </c>
      <c r="V17" s="32">
        <f>IF($B17="","",IF($B$2="Todos",SUMIFS(BD!$V$3:$V$5001,BD!$A$3:$A$5001,$B17),SUMIFS(BD!$V$3:$V$5001,BD!$A$3:$A$5001,$B17,BD!$B$3:$B$5001,$D$2)))</f>
        <v>0</v>
      </c>
      <c r="W17" s="32">
        <f>IF($B17="","",IF($B$2="Todos",SUMIFS(BD!$W$3:$W$5001,BD!$A$3:$A$5001,$B17),SUMIFS(BD!$W$3:$W$5001,BD!$A$3:$A$5001,$B17,BD!$B$3:$B$5001,$D$2)))</f>
        <v>0</v>
      </c>
      <c r="X17" s="32" t="str">
        <f>IF($B$2="Todos",IF(COUNT($C$146:$V$146)=0,"",SUM($C$146:$V$146)),IFERROR(INDEX($C$146:$V$146,MATCH($D$2,$C$140:$V$140,0)),""))</f>
        <v/>
      </c>
      <c r="Y17" s="48" t="str">
        <f>IF(Z17="","",IF($B$2="Todos",IF($B$4&gt;0,$B$4,IF($B$2="Todos",IF(COUNT($C$216:$V$216)=0,"",SUM($C$216:$V$216)),IFERROR(INDEX($C$216:$V$216,MATCH($D$2,$C$210:$V$210,0)),""))),IFERROR(INDEX($C$216:$V$216,MATCH($D$2,$C$210:$V$210,0)),"")))</f>
        <v/>
      </c>
      <c r="Z17" s="32" t="str">
        <f>IF($B$2="Todos",IF(COUNT($C$181:$V$181)=0,"",SUM($C$181:$V$181)),IFERROR(INDEX($C$181:$V$181,MATCH($D$2,$C$175:$V$175,0)),""))</f>
        <v/>
      </c>
      <c r="AA17" s="49" t="str">
        <f>IF(AND(ISNUMBER(Z17),ISNUMBER(Y17)),IF(Y17&gt;0,Z17/Y17,""),"")</f>
        <v/>
      </c>
      <c r="AB17" s="32" t="str">
        <f>IF($B$2="Todos",IF(COUNT($C$251:$V$251)=0,"",SUM($C$251:$V$251)),IFERROR(INDEX($C$251:$V$251,MATCH($D$2,$C$245:$V$245,0)),""))</f>
        <v/>
      </c>
      <c r="AC17" s="32">
        <f>IF($B17="","",IF($B$2="Todos",SUMIFS(BD!$AB$3:$AB$5001,BD!$A$3:$A$5001,$B17),SUMIFS(BD!$AB$3:$AB$5001,BD!$A$3:$A$5001,$B17,BD!$B$3:$B$5001,$D$2)))</f>
        <v>0</v>
      </c>
      <c r="AD17" s="32">
        <f>IF($B17="","",IF($B$2="Todos",SUMIFS(BD!$AC$3:$AC$5001,BD!$A$3:$A$5001,$B17),SUMIFS(BD!$AC$3:$AC$5001,BD!$A$3:$A$5001,$B17,BD!$B$3:$B$5001,$D$2)))</f>
        <v>0</v>
      </c>
      <c r="AE17" s="32">
        <f>IF($B17="","",IF($B$2="Todos",SUMIFS(BD!$AD$3:$AD$5001,BD!$A$3:$A$5001,$B17),SUMIFS(BD!$AD$3:$AD$5001,BD!$A$3:$A$5001,$B17,BD!$B$3:$B$5001,$D$2)))</f>
        <v>0</v>
      </c>
      <c r="AF17" s="32">
        <f>IF($B17="","",IF($B$2="Todos",SUMIFS(BD!$AE$3:$AE$5001,BD!$A$3:$A$5001,$B17),SUMIFS(BD!$AE$3:$AE$5001,BD!$A$3:$A$5001,$B17,BD!$B$3:$B$5001,$D$2)))</f>
        <v>0</v>
      </c>
      <c r="AG17" s="32">
        <f>IF($B17="","",IF($B$2="Todos",SUMIFS(BD!$AF$3:$AF$5001,BD!$A$3:$A$5001,$B17),SUMIFS(BD!$AF$3:$AF$5001,BD!$A$3:$A$5001,$B17,BD!$B$3:$B$5001,$D$2)))</f>
        <v>0</v>
      </c>
      <c r="AH17" s="32">
        <f>IF($B17="","",IF($B$2="Todos",SUMIFS(BD!$AG$3:$AG$5001,BD!$A$3:$A$5001,$B17),SUMIFS(BD!$AG$3:$AG$5001,BD!$A$3:$A$5001,$B17,BD!$B$3:$B$5001,$D$2)))</f>
        <v>0</v>
      </c>
      <c r="AI17" s="32">
        <f>IF($B17="","",IF($B$2="Todos",SUMIFS(BD!$AH$3:$AH$5001,BD!$A$3:$A$5001,$B17),SUMIFS(BD!$AH$3:$AH$5001,BD!$A$3:$A$5001,$B17,BD!$B$3:$B$5001,$D$2)))</f>
        <v>0</v>
      </c>
      <c r="AJ17" s="50">
        <f>$B$5</f>
        <v>0.7</v>
      </c>
      <c r="AK17" s="50">
        <f>$B$6</f>
        <v>0.9</v>
      </c>
      <c r="AN17" s="29" t="inlineStr">
        <is>
          <t xml:space="preserve">JUNHO · 2026</t>
        </is>
      </c>
      <c r="AP17" s="29" t="str">
        <f>IFERROR(INDEX(Config!$B$10:$B$29,MATCH(5,$AR$13:$AR$32,0))&amp;"","")</f>
        <v>Confiance</v>
      </c>
      <c r="AQ17" s="28" t="str">
        <f>IF(AP17="","",IF(INDEX(Config!$C$10:$C$29,MATCH(5,$AR$13:$AR$32,0))&amp;""="","TPC",INDEX(Config!$C$10:$C$29,MATCH(5,$AR$13:$AR$32,0))&amp;""))</f>
        <v>TPC</v>
      </c>
      <c r="AR17" s="38">
        <f>IF(Config!$B$14&amp;""="",AR16,AR16+1)</f>
        <v>5</v>
      </c>
      <c r="AS17" s="29" t="str">
        <f>$AU$349&amp;" — "&amp;IF($B$2="Todos","TODOS OS CLIENTES",UPPER($B$2))</f>
        <v>ACUMULADO SEMANAL TONS — TODOS OS CLIENTES</v>
      </c>
      <c r="AZ17" s="61">
        <f>IF(OR($B17="",N(VALUE($AH$349))=0),"",IF(INDEX($C17:$AI17,VALUE($AH$349))="","",IF(N(VALUE($AJ$349))=0,INDEX($C17:$AI17,VALUE($AH$349)),IF(N(INDEX($C17:$AI17,N(VALUE($AJ$349))))&gt;0,INDEX($C17:$AI17,VALUE($AH$349))/INDEX($C17:$AI17,N(VALUE($AJ$349))),""))))</f>
        <v>0</v>
      </c>
      <c r="BA17" s="61">
        <f>IF(OR($B17="",N(VALUE($AI$349))=0),"",IF(INDEX($C17:$AI17,VALUE($AI$349))="","",IF(N(VALUE($AK$349))=0,INDEX($C17:$AI17,VALUE($AI$349)),IF(N(INDEX($C17:$AI17,N(VALUE($AK$349))))&gt;0,INDEX($C17:$AI17,VALUE($AI$349))/INDEX($C17:$AI17,N(VALUE($AK$349))),""))))</f>
        <v>0</v>
      </c>
      <c r="BB17" s="61">
        <f>IF(OR($B17="",N(VALUE($AP$349))=0),"",IF(INDEX($C17:$AI17,VALUE($AP$349))="","",IF(N(VALUE($AR$349))=0,INDEX($C17:$AI17,VALUE($AP$349)),IF(N(INDEX($C17:$AI17,N(VALUE($AR$349))))&gt;0,INDEX($C17:$AI17,VALUE($AP$349))/INDEX($C17:$AI17,N(VALUE($AR$349))),""))))</f>
        <v>0</v>
      </c>
      <c r="BC17" s="61">
        <f>IF(OR($B17="",N(VALUE($AQ$349))=0),"",IF(INDEX($C17:$AI17,VALUE($AQ$349))="","",IF(N(VALUE($AS$349))=0,INDEX($C17:$AI17,VALUE($AQ$349)),IF(N(INDEX($C17:$AI17,N(VALUE($AS$349))))&gt;0,INDEX($C17:$AI17,VALUE($AQ$349))/INDEX($C17:$AI17,N(VALUE($AS$349))),""))))</f>
        <v>0</v>
      </c>
      <c r="BE17" s="32" t="str">
        <f>IF(AND($A17=$B$9,ISNUMBER(Y17)),Y17,NA())</f>
        <v/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>
        <f>IF($B18="","",IF($B$2="Todos",SUMIFS(BD!$P$3:$P$5001,BD!$A$3:$A$5001,$B18),SUMIFS(BD!$P$3:$P$5001,BD!$A$3:$A$5001,$B18,BD!$B$3:$B$5001,$D$2)))</f>
        <v>0</v>
      </c>
      <c r="Q18" s="32">
        <f>IF($B18="","",IF($B$2="Todos",SUMIFS(BD!$Q$3:$Q$5001,BD!$A$3:$A$5001,$B18),SUMIFS(BD!$Q$3:$Q$5001,BD!$A$3:$A$5001,$B18,BD!$B$3:$B$5001,$D$2)))</f>
        <v>0</v>
      </c>
      <c r="R18" s="32">
        <f>IF($B18="","",IF($B$2="Todos",SUMIFS(BD!$R$3:$R$5001,BD!$A$3:$A$5001,$B18),SUMIFS(BD!$R$3:$R$5001,BD!$A$3:$A$5001,$B18,BD!$B$3:$B$5001,$D$2)))</f>
        <v>0</v>
      </c>
      <c r="S18" s="32">
        <f>IF($B18="","",IF($B$2="Todos",SUMIFS(BD!$S$3:$S$5001,BD!$A$3:$A$5001,$B18),SUMIFS(BD!$S$3:$S$5001,BD!$A$3:$A$5001,$B18,BD!$B$3:$B$5001,$D$2)))</f>
        <v>0</v>
      </c>
      <c r="T18" s="32">
        <f>IF($B18="","",IF($B$2="Todos",SUMIFS(BD!$T$3:$T$5001,BD!$A$3:$A$5001,$B18),SUMIFS(BD!$T$3:$T$5001,BD!$A$3:$A$5001,$B18,BD!$B$3:$B$5001,$D$2)))</f>
        <v>0</v>
      </c>
      <c r="U18" s="47">
        <f>IF($B18="","",IF($B$2="Todos",SUMIFS(BD!$U$3:$U$5001,BD!$A$3:$A$5001,$B18),SUMIFS(BD!$U$3:$U$5001,BD!$A$3:$A$5001,$B18,BD!$B$3:$B$5001,$D$2)))</f>
        <v>0</v>
      </c>
      <c r="V18" s="32">
        <f>IF($B18="","",IF($B$2="Todos",SUMIFS(BD!$V$3:$V$5001,BD!$A$3:$A$5001,$B18),SUMIFS(BD!$V$3:$V$5001,BD!$A$3:$A$5001,$B18,BD!$B$3:$B$5001,$D$2)))</f>
        <v>0</v>
      </c>
      <c r="W18" s="32">
        <f>IF($B18="","",IF($B$2="Todos",SUMIFS(BD!$W$3:$W$5001,BD!$A$3:$A$5001,$B18),SUMIFS(BD!$W$3:$W$5001,BD!$A$3:$A$5001,$B18,BD!$B$3:$B$5001,$D$2)))</f>
        <v>0</v>
      </c>
      <c r="X18" s="32" t="str">
        <f>IF($B$2="Todos",IF(COUNT($C$147:$V$147)=0,"",SUM($C$147:$V$147)),IFERROR(INDEX($C$147:$V$147,MATCH($D$2,$C$140:$V$140,0)),""))</f>
        <v/>
      </c>
      <c r="Y18" s="48" t="str">
        <f>IF(Z18="","",IF($B$2="Todos",IF($B$4&gt;0,$B$4,IF($B$2="Todos",IF(COUNT($C$217:$V$217)=0,"",SUM($C$217:$V$217)),IFERROR(INDEX($C$217:$V$217,MATCH($D$2,$C$210:$V$210,0)),""))),IFERROR(INDEX($C$217:$V$217,MATCH($D$2,$C$210:$V$210,0)),"")))</f>
        <v/>
      </c>
      <c r="Z18" s="32" t="str">
        <f>IF($B$2="Todos",IF(COUNT($C$182:$V$182)=0,"",SUM($C$182:$V$182)),IFERROR(INDEX($C$182:$V$182,MATCH($D$2,$C$175:$V$175,0)),""))</f>
        <v/>
      </c>
      <c r="AA18" s="49" t="str">
        <f>IF(AND(ISNUMBER(Z18),ISNUMBER(Y18)),IF(Y18&gt;0,Z18/Y18,""),"")</f>
        <v/>
      </c>
      <c r="AB18" s="32" t="str">
        <f>IF($B$2="Todos",IF(COUNT($C$252:$V$252)=0,"",SUM($C$252:$V$252)),IFERROR(INDEX($C$252:$V$252,MATCH($D$2,$C$245:$V$245,0)),""))</f>
        <v/>
      </c>
      <c r="AC18" s="32">
        <f>IF($B18="","",IF($B$2="Todos",SUMIFS(BD!$AB$3:$AB$5001,BD!$A$3:$A$5001,$B18),SUMIFS(BD!$AB$3:$AB$5001,BD!$A$3:$A$5001,$B18,BD!$B$3:$B$5001,$D$2)))</f>
        <v>0</v>
      </c>
      <c r="AD18" s="32">
        <f>IF($B18="","",IF($B$2="Todos",SUMIFS(BD!$AC$3:$AC$5001,BD!$A$3:$A$5001,$B18),SUMIFS(BD!$AC$3:$AC$5001,BD!$A$3:$A$5001,$B18,BD!$B$3:$B$5001,$D$2)))</f>
        <v>0</v>
      </c>
      <c r="AE18" s="32">
        <f>IF($B18="","",IF($B$2="Todos",SUMIFS(BD!$AD$3:$AD$5001,BD!$A$3:$A$5001,$B18),SUMIFS(BD!$AD$3:$AD$5001,BD!$A$3:$A$5001,$B18,BD!$B$3:$B$5001,$D$2)))</f>
        <v>0</v>
      </c>
      <c r="AF18" s="32">
        <f>IF($B18="","",IF($B$2="Todos",SUMIFS(BD!$AE$3:$AE$5001,BD!$A$3:$A$5001,$B18),SUMIFS(BD!$AE$3:$AE$5001,BD!$A$3:$A$5001,$B18,BD!$B$3:$B$5001,$D$2)))</f>
        <v>0</v>
      </c>
      <c r="AG18" s="32">
        <f>IF($B18="","",IF($B$2="Todos",SUMIFS(BD!$AF$3:$AF$5001,BD!$A$3:$A$5001,$B18),SUMIFS(BD!$AF$3:$AF$5001,BD!$A$3:$A$5001,$B18,BD!$B$3:$B$5001,$D$2)))</f>
        <v>0</v>
      </c>
      <c r="AH18" s="32">
        <f>IF($B18="","",IF($B$2="Todos",SUMIFS(BD!$AG$3:$AG$5001,BD!$A$3:$A$5001,$B18),SUMIFS(BD!$AG$3:$AG$5001,BD!$A$3:$A$5001,$B18,BD!$B$3:$B$5001,$D$2)))</f>
        <v>0</v>
      </c>
      <c r="AI18" s="32">
        <f>IF($B18="","",IF($B$2="Todos",SUMIFS(BD!$AH$3:$AH$5001,BD!$A$3:$A$5001,$B18),SUMIFS(BD!$AH$3:$AH$5001,BD!$A$3:$A$5001,$B18,BD!$B$3:$B$5001,$D$2)))</f>
        <v>0</v>
      </c>
      <c r="AJ18" s="50">
        <f>$B$5</f>
        <v>0.7</v>
      </c>
      <c r="AK18" s="50">
        <f>$B$6</f>
        <v>0.9</v>
      </c>
      <c r="AN18" s="29" t="inlineStr">
        <is>
          <t xml:space="preserve">JULHO · 2026</t>
        </is>
      </c>
      <c r="AP18" s="29" t="str">
        <f>IFERROR(INDEX(Config!$B$10:$B$29,MATCH(6,$AR$13:$AR$32,0))&amp;"","")</f>
        <v>GE Vernova</v>
      </c>
      <c r="AQ18" s="28" t="str">
        <f>IF(AP18="","",IF(INDEX(Config!$C$10:$C$29,MATCH(6,$AR$13:$AR$32,0))&amp;""="","TPC",INDEX(Config!$C$10:$C$29,MATCH(6,$AR$13:$AR$32,0))&amp;""))</f>
        <v>TPC</v>
      </c>
      <c r="AR18" s="38">
        <f>IF(Config!$B$15&amp;""="",AR17,AR17+1)</f>
        <v>6</v>
      </c>
      <c r="AZ18" s="61">
        <f>IF(OR($B18="",N(VALUE($AH$349))=0),"",IF(INDEX($C18:$AI18,VALUE($AH$349))="","",IF(N(VALUE($AJ$349))=0,INDEX($C18:$AI18,VALUE($AH$349)),IF(N(INDEX($C18:$AI18,N(VALUE($AJ$349))))&gt;0,INDEX($C18:$AI18,VALUE($AH$349))/INDEX($C18:$AI18,N(VALUE($AJ$349))),""))))</f>
        <v>0</v>
      </c>
      <c r="BA18" s="61">
        <f>IF(OR($B18="",N(VALUE($AI$349))=0),"",IF(INDEX($C18:$AI18,VALUE($AI$349))="","",IF(N(VALUE($AK$349))=0,INDEX($C18:$AI18,VALUE($AI$349)),IF(N(INDEX($C18:$AI18,N(VALUE($AK$349))))&gt;0,INDEX($C18:$AI18,VALUE($AI$349))/INDEX($C18:$AI18,N(VALUE($AK$349))),""))))</f>
        <v>0</v>
      </c>
      <c r="BB18" s="61">
        <f>IF(OR($B18="",N(VALUE($AP$349))=0),"",IF(INDEX($C18:$AI18,VALUE($AP$349))="","",IF(N(VALUE($AR$349))=0,INDEX($C18:$AI18,VALUE($AP$349)),IF(N(INDEX($C18:$AI18,N(VALUE($AR$349))))&gt;0,INDEX($C18:$AI18,VALUE($AP$349))/INDEX($C18:$AI18,N(VALUE($AR$349))),""))))</f>
        <v>0</v>
      </c>
      <c r="BC18" s="61">
        <f>IF(OR($B18="",N(VALUE($AQ$349))=0),"",IF(INDEX($C18:$AI18,VALUE($AQ$349))="","",IF(N(VALUE($AS$349))=0,INDEX($C18:$AI18,VALUE($AQ$349)),IF(N(INDEX($C18:$AI18,N(VALUE($AS$349))))&gt;0,INDEX($C18:$AI18,VALUE($AQ$349))/INDEX($C18:$AI18,N(VALUE($AS$349))),""))))</f>
        <v>0</v>
      </c>
      <c r="BE18" s="32" t="str">
        <f>IF(AND($A18=$B$9,ISNUMBER(Y18)),Y18,NA())</f>
        <v/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>
        <f>IF($B19="","",IF($B$2="Todos",SUMIFS(BD!$P$3:$P$5001,BD!$A$3:$A$5001,$B19),SUMIFS(BD!$P$3:$P$5001,BD!$A$3:$A$5001,$B19,BD!$B$3:$B$5001,$D$2)))</f>
        <v>0</v>
      </c>
      <c r="Q19" s="32">
        <f>IF($B19="","",IF($B$2="Todos",SUMIFS(BD!$Q$3:$Q$5001,BD!$A$3:$A$5001,$B19),SUMIFS(BD!$Q$3:$Q$5001,BD!$A$3:$A$5001,$B19,BD!$B$3:$B$5001,$D$2)))</f>
        <v>0</v>
      </c>
      <c r="R19" s="32">
        <f>IF($B19="","",IF($B$2="Todos",SUMIFS(BD!$R$3:$R$5001,BD!$A$3:$A$5001,$B19),SUMIFS(BD!$R$3:$R$5001,BD!$A$3:$A$5001,$B19,BD!$B$3:$B$5001,$D$2)))</f>
        <v>0</v>
      </c>
      <c r="S19" s="32">
        <f>IF($B19="","",IF($B$2="Todos",SUMIFS(BD!$S$3:$S$5001,BD!$A$3:$A$5001,$B19),SUMIFS(BD!$S$3:$S$5001,BD!$A$3:$A$5001,$B19,BD!$B$3:$B$5001,$D$2)))</f>
        <v>0</v>
      </c>
      <c r="T19" s="32">
        <f>IF($B19="","",IF($B$2="Todos",SUMIFS(BD!$T$3:$T$5001,BD!$A$3:$A$5001,$B19),SUMIFS(BD!$T$3:$T$5001,BD!$A$3:$A$5001,$B19,BD!$B$3:$B$5001,$D$2)))</f>
        <v>0</v>
      </c>
      <c r="U19" s="47">
        <f>IF($B19="","",IF($B$2="Todos",SUMIFS(BD!$U$3:$U$5001,BD!$A$3:$A$5001,$B19),SUMIFS(BD!$U$3:$U$5001,BD!$A$3:$A$5001,$B19,BD!$B$3:$B$5001,$D$2)))</f>
        <v>0</v>
      </c>
      <c r="V19" s="32">
        <f>IF($B19="","",IF($B$2="Todos",SUMIFS(BD!$V$3:$V$5001,BD!$A$3:$A$5001,$B19),SUMIFS(BD!$V$3:$V$5001,BD!$A$3:$A$5001,$B19,BD!$B$3:$B$5001,$D$2)))</f>
        <v>0</v>
      </c>
      <c r="W19" s="32">
        <f>IF($B19="","",IF($B$2="Todos",SUMIFS(BD!$W$3:$W$5001,BD!$A$3:$A$5001,$B19),SUMIFS(BD!$W$3:$W$5001,BD!$A$3:$A$5001,$B19,BD!$B$3:$B$5001,$D$2)))</f>
        <v>0</v>
      </c>
      <c r="X19" s="32" t="str">
        <f>IF($B$2="Todos",IF(COUNT($C$148:$V$148)=0,"",SUM($C$148:$V$148)),IFERROR(INDEX($C$148:$V$148,MATCH($D$2,$C$140:$V$140,0)),""))</f>
        <v/>
      </c>
      <c r="Y19" s="48" t="str">
        <f>IF(Z19="","",IF($B$2="Todos",IF($B$4&gt;0,$B$4,IF($B$2="Todos",IF(COUNT($C$218:$V$218)=0,"",SUM($C$218:$V$218)),IFERROR(INDEX($C$218:$V$218,MATCH($D$2,$C$210:$V$210,0)),""))),IFERROR(INDEX($C$218:$V$218,MATCH($D$2,$C$210:$V$210,0)),"")))</f>
        <v/>
      </c>
      <c r="Z19" s="32" t="str">
        <f>IF($B$2="Todos",IF(COUNT($C$183:$V$183)=0,"",SUM($C$183:$V$183)),IFERROR(INDEX($C$183:$V$183,MATCH($D$2,$C$175:$V$175,0)),""))</f>
        <v/>
      </c>
      <c r="AA19" s="49" t="str">
        <f>IF(AND(ISNUMBER(Z19),ISNUMBER(Y19)),IF(Y19&gt;0,Z19/Y19,""),"")</f>
        <v/>
      </c>
      <c r="AB19" s="32" t="str">
        <f>IF($B$2="Todos",IF(COUNT($C$253:$V$253)=0,"",SUM($C$253:$V$253)),IFERROR(INDEX($C$253:$V$253,MATCH($D$2,$C$245:$V$245,0)),""))</f>
        <v/>
      </c>
      <c r="AC19" s="32">
        <f>IF($B19="","",IF($B$2="Todos",SUMIFS(BD!$AB$3:$AB$5001,BD!$A$3:$A$5001,$B19),SUMIFS(BD!$AB$3:$AB$5001,BD!$A$3:$A$5001,$B19,BD!$B$3:$B$5001,$D$2)))</f>
        <v>0</v>
      </c>
      <c r="AD19" s="32">
        <f>IF($B19="","",IF($B$2="Todos",SUMIFS(BD!$AC$3:$AC$5001,BD!$A$3:$A$5001,$B19),SUMIFS(BD!$AC$3:$AC$5001,BD!$A$3:$A$5001,$B19,BD!$B$3:$B$5001,$D$2)))</f>
        <v>0</v>
      </c>
      <c r="AE19" s="32">
        <f>IF($B19="","",IF($B$2="Todos",SUMIFS(BD!$AD$3:$AD$5001,BD!$A$3:$A$5001,$B19),SUMIFS(BD!$AD$3:$AD$5001,BD!$A$3:$A$5001,$B19,BD!$B$3:$B$5001,$D$2)))</f>
        <v>0</v>
      </c>
      <c r="AF19" s="32">
        <f>IF($B19="","",IF($B$2="Todos",SUMIFS(BD!$AE$3:$AE$5001,BD!$A$3:$A$5001,$B19),SUMIFS(BD!$AE$3:$AE$5001,BD!$A$3:$A$5001,$B19,BD!$B$3:$B$5001,$D$2)))</f>
        <v>0</v>
      </c>
      <c r="AG19" s="32">
        <f>IF($B19="","",IF($B$2="Todos",SUMIFS(BD!$AF$3:$AF$5001,BD!$A$3:$A$5001,$B19),SUMIFS(BD!$AF$3:$AF$5001,BD!$A$3:$A$5001,$B19,BD!$B$3:$B$5001,$D$2)))</f>
        <v>0</v>
      </c>
      <c r="AH19" s="32">
        <f>IF($B19="","",IF($B$2="Todos",SUMIFS(BD!$AG$3:$AG$5001,BD!$A$3:$A$5001,$B19),SUMIFS(BD!$AG$3:$AG$5001,BD!$A$3:$A$5001,$B19,BD!$B$3:$B$5001,$D$2)))</f>
        <v>0</v>
      </c>
      <c r="AI19" s="32">
        <f>IF($B19="","",IF($B$2="Todos",SUMIFS(BD!$AH$3:$AH$5001,BD!$A$3:$A$5001,$B19),SUMIFS(BD!$AH$3:$AH$5001,BD!$A$3:$A$5001,$B19,BD!$B$3:$B$5001,$D$2)))</f>
        <v>0</v>
      </c>
      <c r="AJ19" s="50">
        <f>$B$5</f>
        <v>0.7</v>
      </c>
      <c r="AK19" s="50">
        <f>$B$6</f>
        <v>0.9</v>
      </c>
      <c r="AN19" s="29" t="inlineStr">
        <is>
          <t xml:space="preserve">AGOSTO · 2026</t>
        </is>
      </c>
      <c r="AP19" s="29" t="str">
        <f>IFERROR(INDEX(Config!$B$10:$B$29,MATCH(7,$AR$13:$AR$32,0))&amp;"","")</f>
        <v>Omnilife</v>
      </c>
      <c r="AQ19" s="28" t="str">
        <f>IF(AP19="","",IF(INDEX(Config!$C$10:$C$29,MATCH(7,$AR$13:$AR$32,0))&amp;""="","TPC",INDEX(Config!$C$10:$C$29,MATCH(7,$AR$13:$AR$32,0))&amp;""))</f>
        <v>TPC</v>
      </c>
      <c r="AR19" s="38">
        <f>IF(Config!$B$16&amp;""="",AR18,AR18+1)</f>
        <v>7</v>
      </c>
      <c r="AZ19" s="61">
        <f>IF(OR($B19="",N(VALUE($AH$349))=0),"",IF(INDEX($C19:$AI19,VALUE($AH$349))="","",IF(N(VALUE($AJ$349))=0,INDEX($C19:$AI19,VALUE($AH$349)),IF(N(INDEX($C19:$AI19,N(VALUE($AJ$349))))&gt;0,INDEX($C19:$AI19,VALUE($AH$349))/INDEX($C19:$AI19,N(VALUE($AJ$349))),""))))</f>
        <v>0</v>
      </c>
      <c r="BA19" s="61">
        <f>IF(OR($B19="",N(VALUE($AI$349))=0),"",IF(INDEX($C19:$AI19,VALUE($AI$349))="","",IF(N(VALUE($AK$349))=0,INDEX($C19:$AI19,VALUE($AI$349)),IF(N(INDEX($C19:$AI19,N(VALUE($AK$349))))&gt;0,INDEX($C19:$AI19,VALUE($AI$349))/INDEX($C19:$AI19,N(VALUE($AK$349))),""))))</f>
        <v>0</v>
      </c>
      <c r="BB19" s="61">
        <f>IF(OR($B19="",N(VALUE($AP$349))=0),"",IF(INDEX($C19:$AI19,VALUE($AP$349))="","",IF(N(VALUE($AR$349))=0,INDEX($C19:$AI19,VALUE($AP$349)),IF(N(INDEX($C19:$AI19,N(VALUE($AR$349))))&gt;0,INDEX($C19:$AI19,VALUE($AP$349))/INDEX($C19:$AI19,N(VALUE($AR$349))),""))))</f>
        <v>0</v>
      </c>
      <c r="BC19" s="61">
        <f>IF(OR($B19="",N(VALUE($AQ$349))=0),"",IF(INDEX($C19:$AI19,VALUE($AQ$349))="","",IF(N(VALUE($AS$349))=0,INDEX($C19:$AI19,VALUE($AQ$349)),IF(N(INDEX($C19:$AI19,N(VALUE($AS$349))))&gt;0,INDEX($C19:$AI19,VALUE($AQ$349))/INDEX($C19:$AI19,N(VALUE($AS$349))),""))))</f>
        <v>0</v>
      </c>
      <c r="BE19" s="32" t="str">
        <f>IF(AND($A19=$B$9,ISNUMBER(Y19)),Y19,NA())</f>
        <v/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>
        <f>IF($B20="","",IF($B$2="Todos",SUMIFS(BD!$P$3:$P$5001,BD!$A$3:$A$5001,$B20),SUMIFS(BD!$P$3:$P$5001,BD!$A$3:$A$5001,$B20,BD!$B$3:$B$5001,$D$2)))</f>
        <v>0</v>
      </c>
      <c r="Q20" s="32">
        <f>IF($B20="","",IF($B$2="Todos",SUMIFS(BD!$Q$3:$Q$5001,BD!$A$3:$A$5001,$B20),SUMIFS(BD!$Q$3:$Q$5001,BD!$A$3:$A$5001,$B20,BD!$B$3:$B$5001,$D$2)))</f>
        <v>0</v>
      </c>
      <c r="R20" s="32">
        <f>IF($B20="","",IF($B$2="Todos",SUMIFS(BD!$R$3:$R$5001,BD!$A$3:$A$5001,$B20),SUMIFS(BD!$R$3:$R$5001,BD!$A$3:$A$5001,$B20,BD!$B$3:$B$5001,$D$2)))</f>
        <v>0</v>
      </c>
      <c r="S20" s="32">
        <f>IF($B20="","",IF($B$2="Todos",SUMIFS(BD!$S$3:$S$5001,BD!$A$3:$A$5001,$B20),SUMIFS(BD!$S$3:$S$5001,BD!$A$3:$A$5001,$B20,BD!$B$3:$B$5001,$D$2)))</f>
        <v>0</v>
      </c>
      <c r="T20" s="32">
        <f>IF($B20="","",IF($B$2="Todos",SUMIFS(BD!$T$3:$T$5001,BD!$A$3:$A$5001,$B20),SUMIFS(BD!$T$3:$T$5001,BD!$A$3:$A$5001,$B20,BD!$B$3:$B$5001,$D$2)))</f>
        <v>0</v>
      </c>
      <c r="U20" s="47">
        <f>IF($B20="","",IF($B$2="Todos",SUMIFS(BD!$U$3:$U$5001,BD!$A$3:$A$5001,$B20),SUMIFS(BD!$U$3:$U$5001,BD!$A$3:$A$5001,$B20,BD!$B$3:$B$5001,$D$2)))</f>
        <v>0</v>
      </c>
      <c r="V20" s="32">
        <f>IF($B20="","",IF($B$2="Todos",SUMIFS(BD!$V$3:$V$5001,BD!$A$3:$A$5001,$B20),SUMIFS(BD!$V$3:$V$5001,BD!$A$3:$A$5001,$B20,BD!$B$3:$B$5001,$D$2)))</f>
        <v>0</v>
      </c>
      <c r="W20" s="32">
        <f>IF($B20="","",IF($B$2="Todos",SUMIFS(BD!$W$3:$W$5001,BD!$A$3:$A$5001,$B20),SUMIFS(BD!$W$3:$W$5001,BD!$A$3:$A$5001,$B20,BD!$B$3:$B$5001,$D$2)))</f>
        <v>0</v>
      </c>
      <c r="X20" s="32" t="str">
        <f>IF($B$2="Todos",IF(COUNT($C$149:$V$149)=0,"",SUM($C$149:$V$149)),IFERROR(INDEX($C$149:$V$149,MATCH($D$2,$C$140:$V$140,0)),""))</f>
        <v/>
      </c>
      <c r="Y20" s="48" t="str">
        <f>IF(Z20="","",IF($B$2="Todos",IF($B$4&gt;0,$B$4,IF($B$2="Todos",IF(COUNT($C$219:$V$219)=0,"",SUM($C$219:$V$219)),IFERROR(INDEX($C$219:$V$219,MATCH($D$2,$C$210:$V$210,0)),""))),IFERROR(INDEX($C$219:$V$219,MATCH($D$2,$C$210:$V$210,0)),"")))</f>
        <v/>
      </c>
      <c r="Z20" s="32" t="str">
        <f>IF($B$2="Todos",IF(COUNT($C$184:$V$184)=0,"",SUM($C$184:$V$184)),IFERROR(INDEX($C$184:$V$184,MATCH($D$2,$C$175:$V$175,0)),""))</f>
        <v/>
      </c>
      <c r="AA20" s="49" t="str">
        <f>IF(AND(ISNUMBER(Z20),ISNUMBER(Y20)),IF(Y20&gt;0,Z20/Y20,""),"")</f>
        <v/>
      </c>
      <c r="AB20" s="32" t="str">
        <f>IF($B$2="Todos",IF(COUNT($C$254:$V$254)=0,"",SUM($C$254:$V$254)),IFERROR(INDEX($C$254:$V$254,MATCH($D$2,$C$245:$V$245,0)),""))</f>
        <v/>
      </c>
      <c r="AC20" s="32">
        <f>IF($B20="","",IF($B$2="Todos",SUMIFS(BD!$AB$3:$AB$5001,BD!$A$3:$A$5001,$B20),SUMIFS(BD!$AB$3:$AB$5001,BD!$A$3:$A$5001,$B20,BD!$B$3:$B$5001,$D$2)))</f>
        <v>0</v>
      </c>
      <c r="AD20" s="32">
        <f>IF($B20="","",IF($B$2="Todos",SUMIFS(BD!$AC$3:$AC$5001,BD!$A$3:$A$5001,$B20),SUMIFS(BD!$AC$3:$AC$5001,BD!$A$3:$A$5001,$B20,BD!$B$3:$B$5001,$D$2)))</f>
        <v>0</v>
      </c>
      <c r="AE20" s="32">
        <f>IF($B20="","",IF($B$2="Todos",SUMIFS(BD!$AD$3:$AD$5001,BD!$A$3:$A$5001,$B20),SUMIFS(BD!$AD$3:$AD$5001,BD!$A$3:$A$5001,$B20,BD!$B$3:$B$5001,$D$2)))</f>
        <v>0</v>
      </c>
      <c r="AF20" s="32">
        <f>IF($B20="","",IF($B$2="Todos",SUMIFS(BD!$AE$3:$AE$5001,BD!$A$3:$A$5001,$B20),SUMIFS(BD!$AE$3:$AE$5001,BD!$A$3:$A$5001,$B20,BD!$B$3:$B$5001,$D$2)))</f>
        <v>0</v>
      </c>
      <c r="AG20" s="32">
        <f>IF($B20="","",IF($B$2="Todos",SUMIFS(BD!$AF$3:$AF$5001,BD!$A$3:$A$5001,$B20),SUMIFS(BD!$AF$3:$AF$5001,BD!$A$3:$A$5001,$B20,BD!$B$3:$B$5001,$D$2)))</f>
        <v>0</v>
      </c>
      <c r="AH20" s="32">
        <f>IF($B20="","",IF($B$2="Todos",SUMIFS(BD!$AG$3:$AG$5001,BD!$A$3:$A$5001,$B20),SUMIFS(BD!$AG$3:$AG$5001,BD!$A$3:$A$5001,$B20,BD!$B$3:$B$5001,$D$2)))</f>
        <v>0</v>
      </c>
      <c r="AI20" s="32">
        <f>IF($B20="","",IF($B$2="Todos",SUMIFS(BD!$AH$3:$AH$5001,BD!$A$3:$A$5001,$B20),SUMIFS(BD!$AH$3:$AH$5001,BD!$A$3:$A$5001,$B20,BD!$B$3:$B$5001,$D$2)))</f>
        <v>0</v>
      </c>
      <c r="AJ20" s="50">
        <f>$B$5</f>
        <v>0.7</v>
      </c>
      <c r="AK20" s="50">
        <f>$B$6</f>
        <v>0.9</v>
      </c>
      <c r="AN20" s="29" t="inlineStr">
        <is>
          <t xml:space="preserve">SETEMBRO · 2026</t>
        </is>
      </c>
      <c r="AP20" s="29" t="str">
        <f>IFERROR(INDEX(Config!$B$10:$B$29,MATCH(8,$AR$13:$AR$32,0))&amp;"","")</f>
        <v>Supply</v>
      </c>
      <c r="AQ20" s="28" t="str">
        <f>IF(AP20="","",IF(INDEX(Config!$C$10:$C$29,MATCH(8,$AR$13:$AR$32,0))&amp;""="","TPC",INDEX(Config!$C$10:$C$29,MATCH(8,$AR$13:$AR$32,0))&amp;""))</f>
        <v>TPC</v>
      </c>
      <c r="AR20" s="38">
        <f>IF(Config!$B$17&amp;""="",AR19,AR19+1)</f>
        <v>8</v>
      </c>
      <c r="AZ20" s="61">
        <f>IF(OR($B20="",N(VALUE($AH$349))=0),"",IF(INDEX($C20:$AI20,VALUE($AH$349))="","",IF(N(VALUE($AJ$349))=0,INDEX($C20:$AI20,VALUE($AH$349)),IF(N(INDEX($C20:$AI20,N(VALUE($AJ$349))))&gt;0,INDEX($C20:$AI20,VALUE($AH$349))/INDEX($C20:$AI20,N(VALUE($AJ$349))),""))))</f>
        <v>0</v>
      </c>
      <c r="BA20" s="61">
        <f>IF(OR($B20="",N(VALUE($AI$349))=0),"",IF(INDEX($C20:$AI20,VALUE($AI$349))="","",IF(N(VALUE($AK$349))=0,INDEX($C20:$AI20,VALUE($AI$349)),IF(N(INDEX($C20:$AI20,N(VALUE($AK$349))))&gt;0,INDEX($C20:$AI20,VALUE($AI$349))/INDEX($C20:$AI20,N(VALUE($AK$349))),""))))</f>
        <v>0</v>
      </c>
      <c r="BB20" s="61">
        <f>IF(OR($B20="",N(VALUE($AP$349))=0),"",IF(INDEX($C20:$AI20,VALUE($AP$349))="","",IF(N(VALUE($AR$349))=0,INDEX($C20:$AI20,VALUE($AP$349)),IF(N(INDEX($C20:$AI20,N(VALUE($AR$349))))&gt;0,INDEX($C20:$AI20,VALUE($AP$349))/INDEX($C20:$AI20,N(VALUE($AR$349))),""))))</f>
        <v>0</v>
      </c>
      <c r="BC20" s="61">
        <f>IF(OR($B20="",N(VALUE($AQ$349))=0),"",IF(INDEX($C20:$AI20,VALUE($AQ$349))="","",IF(N(VALUE($AS$349))=0,INDEX($C20:$AI20,VALUE($AQ$349)),IF(N(INDEX($C20:$AI20,N(VALUE($AS$349))))&gt;0,INDEX($C20:$AI20,VALUE($AQ$349))/INDEX($C20:$AI20,N(VALUE($AS$349))),""))))</f>
        <v>0</v>
      </c>
      <c r="BE20" s="32" t="str">
        <f>IF(AND($A20=$B$9,ISNUMBER(Y20)),Y20,NA())</f>
        <v/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>
        <f>IF($B21="","",IF($B$2="Todos",SUMIFS(BD!$P$3:$P$5001,BD!$A$3:$A$5001,$B21),SUMIFS(BD!$P$3:$P$5001,BD!$A$3:$A$5001,$B21,BD!$B$3:$B$5001,$D$2)))</f>
        <v>0</v>
      </c>
      <c r="Q21" s="32">
        <f>IF($B21="","",IF($B$2="Todos",SUMIFS(BD!$Q$3:$Q$5001,BD!$A$3:$A$5001,$B21),SUMIFS(BD!$Q$3:$Q$5001,BD!$A$3:$A$5001,$B21,BD!$B$3:$B$5001,$D$2)))</f>
        <v>0</v>
      </c>
      <c r="R21" s="32">
        <f>IF($B21="","",IF($B$2="Todos",SUMIFS(BD!$R$3:$R$5001,BD!$A$3:$A$5001,$B21),SUMIFS(BD!$R$3:$R$5001,BD!$A$3:$A$5001,$B21,BD!$B$3:$B$5001,$D$2)))</f>
        <v>0</v>
      </c>
      <c r="S21" s="32">
        <f>IF($B21="","",IF($B$2="Todos",SUMIFS(BD!$S$3:$S$5001,BD!$A$3:$A$5001,$B21),SUMIFS(BD!$S$3:$S$5001,BD!$A$3:$A$5001,$B21,BD!$B$3:$B$5001,$D$2)))</f>
        <v>0</v>
      </c>
      <c r="T21" s="32">
        <f>IF($B21="","",IF($B$2="Todos",SUMIFS(BD!$T$3:$T$5001,BD!$A$3:$A$5001,$B21),SUMIFS(BD!$T$3:$T$5001,BD!$A$3:$A$5001,$B21,BD!$B$3:$B$5001,$D$2)))</f>
        <v>0</v>
      </c>
      <c r="U21" s="47">
        <f>IF($B21="","",IF($B$2="Todos",SUMIFS(BD!$U$3:$U$5001,BD!$A$3:$A$5001,$B21),SUMIFS(BD!$U$3:$U$5001,BD!$A$3:$A$5001,$B21,BD!$B$3:$B$5001,$D$2)))</f>
        <v>0</v>
      </c>
      <c r="V21" s="32">
        <f>IF($B21="","",IF($B$2="Todos",SUMIFS(BD!$V$3:$V$5001,BD!$A$3:$A$5001,$B21),SUMIFS(BD!$V$3:$V$5001,BD!$A$3:$A$5001,$B21,BD!$B$3:$B$5001,$D$2)))</f>
        <v>0</v>
      </c>
      <c r="W21" s="32">
        <f>IF($B21="","",IF($B$2="Todos",SUMIFS(BD!$W$3:$W$5001,BD!$A$3:$A$5001,$B21),SUMIFS(BD!$W$3:$W$5001,BD!$A$3:$A$5001,$B21,BD!$B$3:$B$5001,$D$2)))</f>
        <v>0</v>
      </c>
      <c r="X21" s="32" t="str">
        <f>IF($B$2="Todos",IF(COUNT($C$150:$V$150)=0,"",SUM($C$150:$V$150)),IFERROR(INDEX($C$150:$V$150,MATCH($D$2,$C$140:$V$140,0)),""))</f>
        <v/>
      </c>
      <c r="Y21" s="48" t="str">
        <f>IF(Z21="","",IF($B$2="Todos",IF($B$4&gt;0,$B$4,IF($B$2="Todos",IF(COUNT($C$220:$V$220)=0,"",SUM($C$220:$V$220)),IFERROR(INDEX($C$220:$V$220,MATCH($D$2,$C$210:$V$210,0)),""))),IFERROR(INDEX($C$220:$V$220,MATCH($D$2,$C$210:$V$210,0)),"")))</f>
        <v/>
      </c>
      <c r="Z21" s="32" t="str">
        <f>IF($B$2="Todos",IF(COUNT($C$185:$V$185)=0,"",SUM($C$185:$V$185)),IFERROR(INDEX($C$185:$V$185,MATCH($D$2,$C$175:$V$175,0)),""))</f>
        <v/>
      </c>
      <c r="AA21" s="49" t="str">
        <f>IF(AND(ISNUMBER(Z21),ISNUMBER(Y21)),IF(Y21&gt;0,Z21/Y21,""),"")</f>
        <v/>
      </c>
      <c r="AB21" s="32" t="str">
        <f>IF($B$2="Todos",IF(COUNT($C$255:$V$255)=0,"",SUM($C$255:$V$255)),IFERROR(INDEX($C$255:$V$255,MATCH($D$2,$C$245:$V$245,0)),""))</f>
        <v/>
      </c>
      <c r="AC21" s="32">
        <f>IF($B21="","",IF($B$2="Todos",SUMIFS(BD!$AB$3:$AB$5001,BD!$A$3:$A$5001,$B21),SUMIFS(BD!$AB$3:$AB$5001,BD!$A$3:$A$5001,$B21,BD!$B$3:$B$5001,$D$2)))</f>
        <v>0</v>
      </c>
      <c r="AD21" s="32">
        <f>IF($B21="","",IF($B$2="Todos",SUMIFS(BD!$AC$3:$AC$5001,BD!$A$3:$A$5001,$B21),SUMIFS(BD!$AC$3:$AC$5001,BD!$A$3:$A$5001,$B21,BD!$B$3:$B$5001,$D$2)))</f>
        <v>0</v>
      </c>
      <c r="AE21" s="32">
        <f>IF($B21="","",IF($B$2="Todos",SUMIFS(BD!$AD$3:$AD$5001,BD!$A$3:$A$5001,$B21),SUMIFS(BD!$AD$3:$AD$5001,BD!$A$3:$A$5001,$B21,BD!$B$3:$B$5001,$D$2)))</f>
        <v>0</v>
      </c>
      <c r="AF21" s="32">
        <f>IF($B21="","",IF($B$2="Todos",SUMIFS(BD!$AE$3:$AE$5001,BD!$A$3:$A$5001,$B21),SUMIFS(BD!$AE$3:$AE$5001,BD!$A$3:$A$5001,$B21,BD!$B$3:$B$5001,$D$2)))</f>
        <v>0</v>
      </c>
      <c r="AG21" s="32">
        <f>IF($B21="","",IF($B$2="Todos",SUMIFS(BD!$AF$3:$AF$5001,BD!$A$3:$A$5001,$B21),SUMIFS(BD!$AF$3:$AF$5001,BD!$A$3:$A$5001,$B21,BD!$B$3:$B$5001,$D$2)))</f>
        <v>0</v>
      </c>
      <c r="AH21" s="32">
        <f>IF($B21="","",IF($B$2="Todos",SUMIFS(BD!$AG$3:$AG$5001,BD!$A$3:$A$5001,$B21),SUMIFS(BD!$AG$3:$AG$5001,BD!$A$3:$A$5001,$B21,BD!$B$3:$B$5001,$D$2)))</f>
        <v>0</v>
      </c>
      <c r="AI21" s="32">
        <f>IF($B21="","",IF($B$2="Todos",SUMIFS(BD!$AH$3:$AH$5001,BD!$A$3:$A$5001,$B21),SUMIFS(BD!$AH$3:$AH$5001,BD!$A$3:$A$5001,$B21,BD!$B$3:$B$5001,$D$2)))</f>
        <v>0</v>
      </c>
      <c r="AJ21" s="50">
        <f>$B$5</f>
        <v>0.7</v>
      </c>
      <c r="AK21" s="50">
        <f>$B$6</f>
        <v>0.9</v>
      </c>
      <c r="AN21" s="29" t="inlineStr">
        <is>
          <t xml:space="preserve">OUTUBRO · 2026</t>
        </is>
      </c>
      <c r="AP21" s="29" t="str">
        <f>IFERROR(INDEX(Config!$B$10:$B$29,MATCH(9,$AR$13:$AR$32,0))&amp;"","")</f>
        <v>Vedacit</v>
      </c>
      <c r="AQ21" s="28" t="str">
        <f>IF(AP21="","",IF(INDEX(Config!$C$10:$C$29,MATCH(9,$AR$13:$AR$32,0))&amp;""="","TPC",INDEX(Config!$C$10:$C$29,MATCH(9,$AR$13:$AR$32,0))&amp;""))</f>
        <v>TPC</v>
      </c>
      <c r="AR21" s="38">
        <f>IF(Config!$B$18&amp;""="",AR20,AR20+1)</f>
        <v>9</v>
      </c>
      <c r="AZ21" s="61">
        <f>IF(OR($B21="",N(VALUE($AH$349))=0),"",IF(INDEX($C21:$AI21,VALUE($AH$349))="","",IF(N(VALUE($AJ$349))=0,INDEX($C21:$AI21,VALUE($AH$349)),IF(N(INDEX($C21:$AI21,N(VALUE($AJ$349))))&gt;0,INDEX($C21:$AI21,VALUE($AH$349))/INDEX($C21:$AI21,N(VALUE($AJ$349))),""))))</f>
        <v>0</v>
      </c>
      <c r="BA21" s="61">
        <f>IF(OR($B21="",N(VALUE($AI$349))=0),"",IF(INDEX($C21:$AI21,VALUE($AI$349))="","",IF(N(VALUE($AK$349))=0,INDEX($C21:$AI21,VALUE($AI$349)),IF(N(INDEX($C21:$AI21,N(VALUE($AK$349))))&gt;0,INDEX($C21:$AI21,VALUE($AI$349))/INDEX($C21:$AI21,N(VALUE($AK$349))),""))))</f>
        <v>0</v>
      </c>
      <c r="BB21" s="61">
        <f>IF(OR($B21="",N(VALUE($AP$349))=0),"",IF(INDEX($C21:$AI21,VALUE($AP$349))="","",IF(N(VALUE($AR$349))=0,INDEX($C21:$AI21,VALUE($AP$349)),IF(N(INDEX($C21:$AI21,N(VALUE($AR$349))))&gt;0,INDEX($C21:$AI21,VALUE($AP$349))/INDEX($C21:$AI21,N(VALUE($AR$349))),""))))</f>
        <v>0</v>
      </c>
      <c r="BC21" s="61">
        <f>IF(OR($B21="",N(VALUE($AQ$349))=0),"",IF(INDEX($C21:$AI21,VALUE($AQ$349))="","",IF(N(VALUE($AS$349))=0,INDEX($C21:$AI21,VALUE($AQ$349)),IF(N(INDEX($C21:$AI21,N(VALUE($AS$349))))&gt;0,INDEX($C21:$AI21,VALUE($AQ$349))/INDEX($C21:$AI21,N(VALUE($AS$349))),""))))</f>
        <v>0</v>
      </c>
      <c r="BE21" s="32" t="str">
        <f>IF(AND($A21=$B$9,ISNUMBER(Y21)),Y21,NA())</f>
        <v/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>
        <f>IF($B22="","",IF($B$2="Todos",SUMIFS(BD!$P$3:$P$5001,BD!$A$3:$A$5001,$B22),SUMIFS(BD!$P$3:$P$5001,BD!$A$3:$A$5001,$B22,BD!$B$3:$B$5001,$D$2)))</f>
        <v>0</v>
      </c>
      <c r="Q22" s="32">
        <f>IF($B22="","",IF($B$2="Todos",SUMIFS(BD!$Q$3:$Q$5001,BD!$A$3:$A$5001,$B22),SUMIFS(BD!$Q$3:$Q$5001,BD!$A$3:$A$5001,$B22,BD!$B$3:$B$5001,$D$2)))</f>
        <v>0</v>
      </c>
      <c r="R22" s="32">
        <f>IF($B22="","",IF($B$2="Todos",SUMIFS(BD!$R$3:$R$5001,BD!$A$3:$A$5001,$B22),SUMIFS(BD!$R$3:$R$5001,BD!$A$3:$A$5001,$B22,BD!$B$3:$B$5001,$D$2)))</f>
        <v>0</v>
      </c>
      <c r="S22" s="32">
        <f>IF($B22="","",IF($B$2="Todos",SUMIFS(BD!$S$3:$S$5001,BD!$A$3:$A$5001,$B22),SUMIFS(BD!$S$3:$S$5001,BD!$A$3:$A$5001,$B22,BD!$B$3:$B$5001,$D$2)))</f>
        <v>0</v>
      </c>
      <c r="T22" s="32">
        <f>IF($B22="","",IF($B$2="Todos",SUMIFS(BD!$T$3:$T$5001,BD!$A$3:$A$5001,$B22),SUMIFS(BD!$T$3:$T$5001,BD!$A$3:$A$5001,$B22,BD!$B$3:$B$5001,$D$2)))</f>
        <v>0</v>
      </c>
      <c r="U22" s="47">
        <f>IF($B22="","",IF($B$2="Todos",SUMIFS(BD!$U$3:$U$5001,BD!$A$3:$A$5001,$B22),SUMIFS(BD!$U$3:$U$5001,BD!$A$3:$A$5001,$B22,BD!$B$3:$B$5001,$D$2)))</f>
        <v>0</v>
      </c>
      <c r="V22" s="32">
        <f>IF($B22="","",IF($B$2="Todos",SUMIFS(BD!$V$3:$V$5001,BD!$A$3:$A$5001,$B22),SUMIFS(BD!$V$3:$V$5001,BD!$A$3:$A$5001,$B22,BD!$B$3:$B$5001,$D$2)))</f>
        <v>0</v>
      </c>
      <c r="W22" s="32">
        <f>IF($B22="","",IF($B$2="Todos",SUMIFS(BD!$W$3:$W$5001,BD!$A$3:$A$5001,$B22),SUMIFS(BD!$W$3:$W$5001,BD!$A$3:$A$5001,$B22,BD!$B$3:$B$5001,$D$2)))</f>
        <v>0</v>
      </c>
      <c r="X22" s="32" t="str">
        <f>IF($B$2="Todos",IF(COUNT($C$151:$V$151)=0,"",SUM($C$151:$V$151)),IFERROR(INDEX($C$151:$V$151,MATCH($D$2,$C$140:$V$140,0)),""))</f>
        <v/>
      </c>
      <c r="Y22" s="48" t="str">
        <f>IF(Z22="","",IF($B$2="Todos",IF($B$4&gt;0,$B$4,IF($B$2="Todos",IF(COUNT($C$221:$V$221)=0,"",SUM($C$221:$V$221)),IFERROR(INDEX($C$221:$V$221,MATCH($D$2,$C$210:$V$210,0)),""))),IFERROR(INDEX($C$221:$V$221,MATCH($D$2,$C$210:$V$210,0)),"")))</f>
        <v/>
      </c>
      <c r="Z22" s="32" t="str">
        <f>IF($B$2="Todos",IF(COUNT($C$186:$V$186)=0,"",SUM($C$186:$V$186)),IFERROR(INDEX($C$186:$V$186,MATCH($D$2,$C$175:$V$175,0)),""))</f>
        <v/>
      </c>
      <c r="AA22" s="49" t="str">
        <f>IF(AND(ISNUMBER(Z22),ISNUMBER(Y22)),IF(Y22&gt;0,Z22/Y22,""),"")</f>
        <v/>
      </c>
      <c r="AB22" s="32" t="str">
        <f>IF($B$2="Todos",IF(COUNT($C$256:$V$256)=0,"",SUM($C$256:$V$256)),IFERROR(INDEX($C$256:$V$256,MATCH($D$2,$C$245:$V$245,0)),""))</f>
        <v/>
      </c>
      <c r="AC22" s="32">
        <f>IF($B22="","",IF($B$2="Todos",SUMIFS(BD!$AB$3:$AB$5001,BD!$A$3:$A$5001,$B22),SUMIFS(BD!$AB$3:$AB$5001,BD!$A$3:$A$5001,$B22,BD!$B$3:$B$5001,$D$2)))</f>
        <v>0</v>
      </c>
      <c r="AD22" s="32">
        <f>IF($B22="","",IF($B$2="Todos",SUMIFS(BD!$AC$3:$AC$5001,BD!$A$3:$A$5001,$B22),SUMIFS(BD!$AC$3:$AC$5001,BD!$A$3:$A$5001,$B22,BD!$B$3:$B$5001,$D$2)))</f>
        <v>0</v>
      </c>
      <c r="AE22" s="32">
        <f>IF($B22="","",IF($B$2="Todos",SUMIFS(BD!$AD$3:$AD$5001,BD!$A$3:$A$5001,$B22),SUMIFS(BD!$AD$3:$AD$5001,BD!$A$3:$A$5001,$B22,BD!$B$3:$B$5001,$D$2)))</f>
        <v>0</v>
      </c>
      <c r="AF22" s="32">
        <f>IF($B22="","",IF($B$2="Todos",SUMIFS(BD!$AE$3:$AE$5001,BD!$A$3:$A$5001,$B22),SUMIFS(BD!$AE$3:$AE$5001,BD!$A$3:$A$5001,$B22,BD!$B$3:$B$5001,$D$2)))</f>
        <v>0</v>
      </c>
      <c r="AG22" s="32">
        <f>IF($B22="","",IF($B$2="Todos",SUMIFS(BD!$AF$3:$AF$5001,BD!$A$3:$A$5001,$B22),SUMIFS(BD!$AF$3:$AF$5001,BD!$A$3:$A$5001,$B22,BD!$B$3:$B$5001,$D$2)))</f>
        <v>0</v>
      </c>
      <c r="AH22" s="32">
        <f>IF($B22="","",IF($B$2="Todos",SUMIFS(BD!$AG$3:$AG$5001,BD!$A$3:$A$5001,$B22),SUMIFS(BD!$AG$3:$AG$5001,BD!$A$3:$A$5001,$B22,BD!$B$3:$B$5001,$D$2)))</f>
        <v>0</v>
      </c>
      <c r="AI22" s="32">
        <f>IF($B22="","",IF($B$2="Todos",SUMIFS(BD!$AH$3:$AH$5001,BD!$A$3:$A$5001,$B22),SUMIFS(BD!$AH$3:$AH$5001,BD!$A$3:$A$5001,$B22,BD!$B$3:$B$5001,$D$2)))</f>
        <v>0</v>
      </c>
      <c r="AJ22" s="50">
        <f>$B$5</f>
        <v>0.7</v>
      </c>
      <c r="AK22" s="50">
        <f>$B$6</f>
        <v>0.9</v>
      </c>
      <c r="AN22" s="29" t="inlineStr">
        <is>
          <t xml:space="preserve">NOVEMBRO · 2026</t>
        </is>
      </c>
      <c r="AP22" s="29" t="str">
        <f>IFERROR(INDEX(Config!$B$10:$B$29,MATCH(10,$AR$13:$AR$32,0))&amp;"","")</f>
        <v>Vestas</v>
      </c>
      <c r="AQ22" s="28" t="str">
        <f>IF(AP22="","",IF(INDEX(Config!$C$10:$C$29,MATCH(10,$AR$13:$AR$32,0))&amp;""="","TPC",INDEX(Config!$C$10:$C$29,MATCH(10,$AR$13:$AR$32,0))&amp;""))</f>
        <v>TPC</v>
      </c>
      <c r="AR22" s="38">
        <f>IF(Config!$B$19&amp;""="",AR21,AR21+1)</f>
        <v>10</v>
      </c>
      <c r="AZ22" s="61">
        <f>IF(OR($B22="",N(VALUE($AH$349))=0),"",IF(INDEX($C22:$AI22,VALUE($AH$349))="","",IF(N(VALUE($AJ$349))=0,INDEX($C22:$AI22,VALUE($AH$349)),IF(N(INDEX($C22:$AI22,N(VALUE($AJ$349))))&gt;0,INDEX($C22:$AI22,VALUE($AH$349))/INDEX($C22:$AI22,N(VALUE($AJ$349))),""))))</f>
        <v>0</v>
      </c>
      <c r="BA22" s="61">
        <f>IF(OR($B22="",N(VALUE($AI$349))=0),"",IF(INDEX($C22:$AI22,VALUE($AI$349))="","",IF(N(VALUE($AK$349))=0,INDEX($C22:$AI22,VALUE($AI$349)),IF(N(INDEX($C22:$AI22,N(VALUE($AK$349))))&gt;0,INDEX($C22:$AI22,VALUE($AI$349))/INDEX($C22:$AI22,N(VALUE($AK$349))),""))))</f>
        <v>0</v>
      </c>
      <c r="BB22" s="61">
        <f>IF(OR($B22="",N(VALUE($AP$349))=0),"",IF(INDEX($C22:$AI22,VALUE($AP$349))="","",IF(N(VALUE($AR$349))=0,INDEX($C22:$AI22,VALUE($AP$349)),IF(N(INDEX($C22:$AI22,N(VALUE($AR$349))))&gt;0,INDEX($C22:$AI22,VALUE($AP$349))/INDEX($C22:$AI22,N(VALUE($AR$349))),""))))</f>
        <v>0</v>
      </c>
      <c r="BC22" s="61">
        <f>IF(OR($B22="",N(VALUE($AQ$349))=0),"",IF(INDEX($C22:$AI22,VALUE($AQ$349))="","",IF(N(VALUE($AS$349))=0,INDEX($C22:$AI22,VALUE($AQ$349)),IF(N(INDEX($C22:$AI22,N(VALUE($AS$349))))&gt;0,INDEX($C22:$AI22,VALUE($AQ$349))/INDEX($C22:$AI22,N(VALUE($AS$349))),""))))</f>
        <v>0</v>
      </c>
      <c r="BE22" s="32" t="str">
        <f>IF(AND($A22=$B$9,ISNUMBER(Y22)),Y22,NA())</f>
        <v/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>
        <f>IF($B23="","",IF($B$2="Todos",SUMIFS(BD!$P$3:$P$5001,BD!$A$3:$A$5001,$B23),SUMIFS(BD!$P$3:$P$5001,BD!$A$3:$A$5001,$B23,BD!$B$3:$B$5001,$D$2)))</f>
        <v>0</v>
      </c>
      <c r="Q23" s="32">
        <f>IF($B23="","",IF($B$2="Todos",SUMIFS(BD!$Q$3:$Q$5001,BD!$A$3:$A$5001,$B23),SUMIFS(BD!$Q$3:$Q$5001,BD!$A$3:$A$5001,$B23,BD!$B$3:$B$5001,$D$2)))</f>
        <v>0</v>
      </c>
      <c r="R23" s="32">
        <f>IF($B23="","",IF($B$2="Todos",SUMIFS(BD!$R$3:$R$5001,BD!$A$3:$A$5001,$B23),SUMIFS(BD!$R$3:$R$5001,BD!$A$3:$A$5001,$B23,BD!$B$3:$B$5001,$D$2)))</f>
        <v>0</v>
      </c>
      <c r="S23" s="32">
        <f>IF($B23="","",IF($B$2="Todos",SUMIFS(BD!$S$3:$S$5001,BD!$A$3:$A$5001,$B23),SUMIFS(BD!$S$3:$S$5001,BD!$A$3:$A$5001,$B23,BD!$B$3:$B$5001,$D$2)))</f>
        <v>0</v>
      </c>
      <c r="T23" s="32">
        <f>IF($B23="","",IF($B$2="Todos",SUMIFS(BD!$T$3:$T$5001,BD!$A$3:$A$5001,$B23),SUMIFS(BD!$T$3:$T$5001,BD!$A$3:$A$5001,$B23,BD!$B$3:$B$5001,$D$2)))</f>
        <v>0</v>
      </c>
      <c r="U23" s="47">
        <f>IF($B23="","",IF($B$2="Todos",SUMIFS(BD!$U$3:$U$5001,BD!$A$3:$A$5001,$B23),SUMIFS(BD!$U$3:$U$5001,BD!$A$3:$A$5001,$B23,BD!$B$3:$B$5001,$D$2)))</f>
        <v>0</v>
      </c>
      <c r="V23" s="32">
        <f>IF($B23="","",IF($B$2="Todos",SUMIFS(BD!$V$3:$V$5001,BD!$A$3:$A$5001,$B23),SUMIFS(BD!$V$3:$V$5001,BD!$A$3:$A$5001,$B23,BD!$B$3:$B$5001,$D$2)))</f>
        <v>0</v>
      </c>
      <c r="W23" s="32">
        <f>IF($B23="","",IF($B$2="Todos",SUMIFS(BD!$W$3:$W$5001,BD!$A$3:$A$5001,$B23),SUMIFS(BD!$W$3:$W$5001,BD!$A$3:$A$5001,$B23,BD!$B$3:$B$5001,$D$2)))</f>
        <v>0</v>
      </c>
      <c r="X23" s="32" t="str">
        <f>IF($B$2="Todos",IF(COUNT($C$152:$V$152)=0,"",SUM($C$152:$V$152)),IFERROR(INDEX($C$152:$V$152,MATCH($D$2,$C$140:$V$140,0)),""))</f>
        <v/>
      </c>
      <c r="Y23" s="48" t="str">
        <f>IF(Z23="","",IF($B$2="Todos",IF($B$4&gt;0,$B$4,IF($B$2="Todos",IF(COUNT($C$222:$V$222)=0,"",SUM($C$222:$V$222)),IFERROR(INDEX($C$222:$V$222,MATCH($D$2,$C$210:$V$210,0)),""))),IFERROR(INDEX($C$222:$V$222,MATCH($D$2,$C$210:$V$210,0)),"")))</f>
        <v/>
      </c>
      <c r="Z23" s="32" t="str">
        <f>IF($B$2="Todos",IF(COUNT($C$187:$V$187)=0,"",SUM($C$187:$V$187)),IFERROR(INDEX($C$187:$V$187,MATCH($D$2,$C$175:$V$175,0)),""))</f>
        <v/>
      </c>
      <c r="AA23" s="49" t="str">
        <f>IF(AND(ISNUMBER(Z23),ISNUMBER(Y23)),IF(Y23&gt;0,Z23/Y23,""),"")</f>
        <v/>
      </c>
      <c r="AB23" s="32" t="str">
        <f>IF($B$2="Todos",IF(COUNT($C$257:$V$257)=0,"",SUM($C$257:$V$257)),IFERROR(INDEX($C$257:$V$257,MATCH($D$2,$C$245:$V$245,0)),""))</f>
        <v/>
      </c>
      <c r="AC23" s="32">
        <f>IF($B23="","",IF($B$2="Todos",SUMIFS(BD!$AB$3:$AB$5001,BD!$A$3:$A$5001,$B23),SUMIFS(BD!$AB$3:$AB$5001,BD!$A$3:$A$5001,$B23,BD!$B$3:$B$5001,$D$2)))</f>
        <v>0</v>
      </c>
      <c r="AD23" s="32">
        <f>IF($B23="","",IF($B$2="Todos",SUMIFS(BD!$AC$3:$AC$5001,BD!$A$3:$A$5001,$B23),SUMIFS(BD!$AC$3:$AC$5001,BD!$A$3:$A$5001,$B23,BD!$B$3:$B$5001,$D$2)))</f>
        <v>0</v>
      </c>
      <c r="AE23" s="32">
        <f>IF($B23="","",IF($B$2="Todos",SUMIFS(BD!$AD$3:$AD$5001,BD!$A$3:$A$5001,$B23),SUMIFS(BD!$AD$3:$AD$5001,BD!$A$3:$A$5001,$B23,BD!$B$3:$B$5001,$D$2)))</f>
        <v>0</v>
      </c>
      <c r="AF23" s="32">
        <f>IF($B23="","",IF($B$2="Todos",SUMIFS(BD!$AE$3:$AE$5001,BD!$A$3:$A$5001,$B23),SUMIFS(BD!$AE$3:$AE$5001,BD!$A$3:$A$5001,$B23,BD!$B$3:$B$5001,$D$2)))</f>
        <v>0</v>
      </c>
      <c r="AG23" s="32">
        <f>IF($B23="","",IF($B$2="Todos",SUMIFS(BD!$AF$3:$AF$5001,BD!$A$3:$A$5001,$B23),SUMIFS(BD!$AF$3:$AF$5001,BD!$A$3:$A$5001,$B23,BD!$B$3:$B$5001,$D$2)))</f>
        <v>0</v>
      </c>
      <c r="AH23" s="32">
        <f>IF($B23="","",IF($B$2="Todos",SUMIFS(BD!$AG$3:$AG$5001,BD!$A$3:$A$5001,$B23),SUMIFS(BD!$AG$3:$AG$5001,BD!$A$3:$A$5001,$B23,BD!$B$3:$B$5001,$D$2)))</f>
        <v>0</v>
      </c>
      <c r="AI23" s="32">
        <f>IF($B23="","",IF($B$2="Todos",SUMIFS(BD!$AH$3:$AH$5001,BD!$A$3:$A$5001,$B23),SUMIFS(BD!$AH$3:$AH$5001,BD!$A$3:$A$5001,$B23,BD!$B$3:$B$5001,$D$2)))</f>
        <v>0</v>
      </c>
      <c r="AJ23" s="50">
        <f>$B$5</f>
        <v>0.7</v>
      </c>
      <c r="AK23" s="50">
        <f>$B$6</f>
        <v>0.9</v>
      </c>
      <c r="AN23" s="29" t="inlineStr">
        <is>
          <t xml:space="preserve">DEZEMBRO · 2026</t>
        </is>
      </c>
      <c r="AP23" s="29" t="str">
        <f>IFERROR(INDEX(Config!$B$10:$B$29,MATCH(11,$AR$13:$AR$32,0))&amp;"","")</f>
        <v/>
      </c>
      <c r="AQ23" s="28" t="str">
        <f>IF(AP23="","",IF(INDEX(Config!$C$10:$C$29,MATCH(11,$AR$13:$AR$32,0))&amp;""="","TPC",INDEX(Config!$C$10:$C$29,MATCH(11,$AR$13:$AR$32,0))&amp;""))</f>
        <v/>
      </c>
      <c r="AR23" s="38">
        <f>IF(Config!$B$20&amp;""="",AR22,AR22+1)</f>
        <v>10</v>
      </c>
      <c r="AZ23" s="61">
        <f>IF(OR($B23="",N(VALUE($AH$349))=0),"",IF(INDEX($C23:$AI23,VALUE($AH$349))="","",IF(N(VALUE($AJ$349))=0,INDEX($C23:$AI23,VALUE($AH$349)),IF(N(INDEX($C23:$AI23,N(VALUE($AJ$349))))&gt;0,INDEX($C23:$AI23,VALUE($AH$349))/INDEX($C23:$AI23,N(VALUE($AJ$349))),""))))</f>
        <v>0</v>
      </c>
      <c r="BA23" s="61">
        <f>IF(OR($B23="",N(VALUE($AI$349))=0),"",IF(INDEX($C23:$AI23,VALUE($AI$349))="","",IF(N(VALUE($AK$349))=0,INDEX($C23:$AI23,VALUE($AI$349)),IF(N(INDEX($C23:$AI23,N(VALUE($AK$349))))&gt;0,INDEX($C23:$AI23,VALUE($AI$349))/INDEX($C23:$AI23,N(VALUE($AK$349))),""))))</f>
        <v>0</v>
      </c>
      <c r="BB23" s="61">
        <f>IF(OR($B23="",N(VALUE($AP$349))=0),"",IF(INDEX($C23:$AI23,VALUE($AP$349))="","",IF(N(VALUE($AR$349))=0,INDEX($C23:$AI23,VALUE($AP$349)),IF(N(INDEX($C23:$AI23,N(VALUE($AR$349))))&gt;0,INDEX($C23:$AI23,VALUE($AP$349))/INDEX($C23:$AI23,N(VALUE($AR$349))),""))))</f>
        <v>0</v>
      </c>
      <c r="BC23" s="61">
        <f>IF(OR($B23="",N(VALUE($AQ$349))=0),"",IF(INDEX($C23:$AI23,VALUE($AQ$349))="","",IF(N(VALUE($AS$349))=0,INDEX($C23:$AI23,VALUE($AQ$349)),IF(N(INDEX($C23:$AI23,N(VALUE($AS$349))))&gt;0,INDEX($C23:$AI23,VALUE($AQ$349))/INDEX($C23:$AI23,N(VALUE($AS$349))),""))))</f>
        <v>0</v>
      </c>
      <c r="BE23" s="32" t="str">
        <f>IF(AND($A23=$B$9,ISNUMBER(Y23)),Y23,NA())</f>
        <v/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>
        <f>IF($B24="","",IF($B$2="Todos",SUMIFS(BD!$P$3:$P$5001,BD!$A$3:$A$5001,$B24),SUMIFS(BD!$P$3:$P$5001,BD!$A$3:$A$5001,$B24,BD!$B$3:$B$5001,$D$2)))</f>
        <v>0</v>
      </c>
      <c r="Q24" s="32">
        <f>IF($B24="","",IF($B$2="Todos",SUMIFS(BD!$Q$3:$Q$5001,BD!$A$3:$A$5001,$B24),SUMIFS(BD!$Q$3:$Q$5001,BD!$A$3:$A$5001,$B24,BD!$B$3:$B$5001,$D$2)))</f>
        <v>0</v>
      </c>
      <c r="R24" s="32">
        <f>IF($B24="","",IF($B$2="Todos",SUMIFS(BD!$R$3:$R$5001,BD!$A$3:$A$5001,$B24),SUMIFS(BD!$R$3:$R$5001,BD!$A$3:$A$5001,$B24,BD!$B$3:$B$5001,$D$2)))</f>
        <v>0</v>
      </c>
      <c r="S24" s="32">
        <f>IF($B24="","",IF($B$2="Todos",SUMIFS(BD!$S$3:$S$5001,BD!$A$3:$A$5001,$B24),SUMIFS(BD!$S$3:$S$5001,BD!$A$3:$A$5001,$B24,BD!$B$3:$B$5001,$D$2)))</f>
        <v>0</v>
      </c>
      <c r="T24" s="32">
        <f>IF($B24="","",IF($B$2="Todos",SUMIFS(BD!$T$3:$T$5001,BD!$A$3:$A$5001,$B24),SUMIFS(BD!$T$3:$T$5001,BD!$A$3:$A$5001,$B24,BD!$B$3:$B$5001,$D$2)))</f>
        <v>0</v>
      </c>
      <c r="U24" s="47">
        <f>IF($B24="","",IF($B$2="Todos",SUMIFS(BD!$U$3:$U$5001,BD!$A$3:$A$5001,$B24),SUMIFS(BD!$U$3:$U$5001,BD!$A$3:$A$5001,$B24,BD!$B$3:$B$5001,$D$2)))</f>
        <v>0</v>
      </c>
      <c r="V24" s="32">
        <f>IF($B24="","",IF($B$2="Todos",SUMIFS(BD!$V$3:$V$5001,BD!$A$3:$A$5001,$B24),SUMIFS(BD!$V$3:$V$5001,BD!$A$3:$A$5001,$B24,BD!$B$3:$B$5001,$D$2)))</f>
        <v>0</v>
      </c>
      <c r="W24" s="32">
        <f>IF($B24="","",IF($B$2="Todos",SUMIFS(BD!$W$3:$W$5001,BD!$A$3:$A$5001,$B24),SUMIFS(BD!$W$3:$W$5001,BD!$A$3:$A$5001,$B24,BD!$B$3:$B$5001,$D$2)))</f>
        <v>0</v>
      </c>
      <c r="X24" s="32" t="str">
        <f>IF($B$2="Todos",IF(COUNT($C$153:$V$153)=0,"",SUM($C$153:$V$153)),IFERROR(INDEX($C$153:$V$153,MATCH($D$2,$C$140:$V$140,0)),""))</f>
        <v/>
      </c>
      <c r="Y24" s="48" t="str">
        <f>IF(Z24="","",IF($B$2="Todos",IF($B$4&gt;0,$B$4,IF($B$2="Todos",IF(COUNT($C$223:$V$223)=0,"",SUM($C$223:$V$223)),IFERROR(INDEX($C$223:$V$223,MATCH($D$2,$C$210:$V$210,0)),""))),IFERROR(INDEX($C$223:$V$223,MATCH($D$2,$C$210:$V$210,0)),"")))</f>
        <v/>
      </c>
      <c r="Z24" s="32" t="str">
        <f>IF($B$2="Todos",IF(COUNT($C$188:$V$188)=0,"",SUM($C$188:$V$188)),IFERROR(INDEX($C$188:$V$188,MATCH($D$2,$C$175:$V$175,0)),""))</f>
        <v/>
      </c>
      <c r="AA24" s="49" t="str">
        <f>IF(AND(ISNUMBER(Z24),ISNUMBER(Y24)),IF(Y24&gt;0,Z24/Y24,""),"")</f>
        <v/>
      </c>
      <c r="AB24" s="32" t="str">
        <f>IF($B$2="Todos",IF(COUNT($C$258:$V$258)=0,"",SUM($C$258:$V$258)),IFERROR(INDEX($C$258:$V$258,MATCH($D$2,$C$245:$V$245,0)),""))</f>
        <v/>
      </c>
      <c r="AC24" s="32">
        <f>IF($B24="","",IF($B$2="Todos",SUMIFS(BD!$AB$3:$AB$5001,BD!$A$3:$A$5001,$B24),SUMIFS(BD!$AB$3:$AB$5001,BD!$A$3:$A$5001,$B24,BD!$B$3:$B$5001,$D$2)))</f>
        <v>0</v>
      </c>
      <c r="AD24" s="32">
        <f>IF($B24="","",IF($B$2="Todos",SUMIFS(BD!$AC$3:$AC$5001,BD!$A$3:$A$5001,$B24),SUMIFS(BD!$AC$3:$AC$5001,BD!$A$3:$A$5001,$B24,BD!$B$3:$B$5001,$D$2)))</f>
        <v>0</v>
      </c>
      <c r="AE24" s="32">
        <f>IF($B24="","",IF($B$2="Todos",SUMIFS(BD!$AD$3:$AD$5001,BD!$A$3:$A$5001,$B24),SUMIFS(BD!$AD$3:$AD$5001,BD!$A$3:$A$5001,$B24,BD!$B$3:$B$5001,$D$2)))</f>
        <v>0</v>
      </c>
      <c r="AF24" s="32">
        <f>IF($B24="","",IF($B$2="Todos",SUMIFS(BD!$AE$3:$AE$5001,BD!$A$3:$A$5001,$B24),SUMIFS(BD!$AE$3:$AE$5001,BD!$A$3:$A$5001,$B24,BD!$B$3:$B$5001,$D$2)))</f>
        <v>0</v>
      </c>
      <c r="AG24" s="32">
        <f>IF($B24="","",IF($B$2="Todos",SUMIFS(BD!$AF$3:$AF$5001,BD!$A$3:$A$5001,$B24),SUMIFS(BD!$AF$3:$AF$5001,BD!$A$3:$A$5001,$B24,BD!$B$3:$B$5001,$D$2)))</f>
        <v>0</v>
      </c>
      <c r="AH24" s="32">
        <f>IF($B24="","",IF($B$2="Todos",SUMIFS(BD!$AG$3:$AG$5001,BD!$A$3:$A$5001,$B24),SUMIFS(BD!$AG$3:$AG$5001,BD!$A$3:$A$5001,$B24,BD!$B$3:$B$5001,$D$2)))</f>
        <v>0</v>
      </c>
      <c r="AI24" s="32">
        <f>IF($B24="","",IF($B$2="Todos",SUMIFS(BD!$AH$3:$AH$5001,BD!$A$3:$A$5001,$B24),SUMIFS(BD!$AH$3:$AH$5001,BD!$A$3:$A$5001,$B24,BD!$B$3:$B$5001,$D$2)))</f>
        <v>0</v>
      </c>
      <c r="AJ24" s="50">
        <f>$B$5</f>
        <v>0.7</v>
      </c>
      <c r="AK24" s="50">
        <f>$B$6</f>
        <v>0.9</v>
      </c>
      <c r="AP24" s="29" t="str">
        <f>IFERROR(INDEX(Config!$B$10:$B$29,MATCH(12,$AR$13:$AR$32,0))&amp;"","")</f>
        <v/>
      </c>
      <c r="AQ24" s="28" t="str">
        <f>IF(AP24="","",IF(INDEX(Config!$C$10:$C$29,MATCH(12,$AR$13:$AR$32,0))&amp;""="","TPC",INDEX(Config!$C$10:$C$29,MATCH(12,$AR$13:$AR$32,0))&amp;""))</f>
        <v/>
      </c>
      <c r="AR24" s="38">
        <f>IF(Config!$B$21&amp;""="",AR23,AR23+1)</f>
        <v>10</v>
      </c>
      <c r="AZ24" s="61">
        <f>IF(OR($B24="",N(VALUE($AH$349))=0),"",IF(INDEX($C24:$AI24,VALUE($AH$349))="","",IF(N(VALUE($AJ$349))=0,INDEX($C24:$AI24,VALUE($AH$349)),IF(N(INDEX($C24:$AI24,N(VALUE($AJ$349))))&gt;0,INDEX($C24:$AI24,VALUE($AH$349))/INDEX($C24:$AI24,N(VALUE($AJ$349))),""))))</f>
        <v>0</v>
      </c>
      <c r="BA24" s="61">
        <f>IF(OR($B24="",N(VALUE($AI$349))=0),"",IF(INDEX($C24:$AI24,VALUE($AI$349))="","",IF(N(VALUE($AK$349))=0,INDEX($C24:$AI24,VALUE($AI$349)),IF(N(INDEX($C24:$AI24,N(VALUE($AK$349))))&gt;0,INDEX($C24:$AI24,VALUE($AI$349))/INDEX($C24:$AI24,N(VALUE($AK$349))),""))))</f>
        <v>0</v>
      </c>
      <c r="BB24" s="61">
        <f>IF(OR($B24="",N(VALUE($AP$349))=0),"",IF(INDEX($C24:$AI24,VALUE($AP$349))="","",IF(N(VALUE($AR$349))=0,INDEX($C24:$AI24,VALUE($AP$349)),IF(N(INDEX($C24:$AI24,N(VALUE($AR$349))))&gt;0,INDEX($C24:$AI24,VALUE($AP$349))/INDEX($C24:$AI24,N(VALUE($AR$349))),""))))</f>
        <v>0</v>
      </c>
      <c r="BC24" s="61">
        <f>IF(OR($B24="",N(VALUE($AQ$349))=0),"",IF(INDEX($C24:$AI24,VALUE($AQ$349))="","",IF(N(VALUE($AS$349))=0,INDEX($C24:$AI24,VALUE($AQ$349)),IF(N(INDEX($C24:$AI24,N(VALUE($AS$349))))&gt;0,INDEX($C24:$AI24,VALUE($AQ$349))/INDEX($C24:$AI24,N(VALUE($AS$349))),""))))</f>
        <v>0</v>
      </c>
      <c r="BE24" s="32" t="str">
        <f>IF(AND($A24=$B$9,ISNUMBER(Y24)),Y24,NA())</f>
        <v/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>
        <f>IF($B25="","",IF($B$2="Todos",SUMIFS(BD!$P$3:$P$5001,BD!$A$3:$A$5001,$B25),SUMIFS(BD!$P$3:$P$5001,BD!$A$3:$A$5001,$B25,BD!$B$3:$B$5001,$D$2)))</f>
        <v>0</v>
      </c>
      <c r="Q25" s="32">
        <f>IF($B25="","",IF($B$2="Todos",SUMIFS(BD!$Q$3:$Q$5001,BD!$A$3:$A$5001,$B25),SUMIFS(BD!$Q$3:$Q$5001,BD!$A$3:$A$5001,$B25,BD!$B$3:$B$5001,$D$2)))</f>
        <v>0</v>
      </c>
      <c r="R25" s="32">
        <f>IF($B25="","",IF($B$2="Todos",SUMIFS(BD!$R$3:$R$5001,BD!$A$3:$A$5001,$B25),SUMIFS(BD!$R$3:$R$5001,BD!$A$3:$A$5001,$B25,BD!$B$3:$B$5001,$D$2)))</f>
        <v>0</v>
      </c>
      <c r="S25" s="32">
        <f>IF($B25="","",IF($B$2="Todos",SUMIFS(BD!$S$3:$S$5001,BD!$A$3:$A$5001,$B25),SUMIFS(BD!$S$3:$S$5001,BD!$A$3:$A$5001,$B25,BD!$B$3:$B$5001,$D$2)))</f>
        <v>0</v>
      </c>
      <c r="T25" s="32">
        <f>IF($B25="","",IF($B$2="Todos",SUMIFS(BD!$T$3:$T$5001,BD!$A$3:$A$5001,$B25),SUMIFS(BD!$T$3:$T$5001,BD!$A$3:$A$5001,$B25,BD!$B$3:$B$5001,$D$2)))</f>
        <v>0</v>
      </c>
      <c r="U25" s="47">
        <f>IF($B25="","",IF($B$2="Todos",SUMIFS(BD!$U$3:$U$5001,BD!$A$3:$A$5001,$B25),SUMIFS(BD!$U$3:$U$5001,BD!$A$3:$A$5001,$B25,BD!$B$3:$B$5001,$D$2)))</f>
        <v>0</v>
      </c>
      <c r="V25" s="32">
        <f>IF($B25="","",IF($B$2="Todos",SUMIFS(BD!$V$3:$V$5001,BD!$A$3:$A$5001,$B25),SUMIFS(BD!$V$3:$V$5001,BD!$A$3:$A$5001,$B25,BD!$B$3:$B$5001,$D$2)))</f>
        <v>0</v>
      </c>
      <c r="W25" s="32">
        <f>IF($B25="","",IF($B$2="Todos",SUMIFS(BD!$W$3:$W$5001,BD!$A$3:$A$5001,$B25),SUMIFS(BD!$W$3:$W$5001,BD!$A$3:$A$5001,$B25,BD!$B$3:$B$5001,$D$2)))</f>
        <v>0</v>
      </c>
      <c r="X25" s="32" t="str">
        <f>IF($B$2="Todos",IF(COUNT($C$154:$V$154)=0,"",SUM($C$154:$V$154)),IFERROR(INDEX($C$154:$V$154,MATCH($D$2,$C$140:$V$140,0)),""))</f>
        <v/>
      </c>
      <c r="Y25" s="48" t="str">
        <f>IF(Z25="","",IF($B$2="Todos",IF($B$4&gt;0,$B$4,IF($B$2="Todos",IF(COUNT($C$224:$V$224)=0,"",SUM($C$224:$V$224)),IFERROR(INDEX($C$224:$V$224,MATCH($D$2,$C$210:$V$210,0)),""))),IFERROR(INDEX($C$224:$V$224,MATCH($D$2,$C$210:$V$210,0)),"")))</f>
        <v/>
      </c>
      <c r="Z25" s="32" t="str">
        <f>IF($B$2="Todos",IF(COUNT($C$189:$V$189)=0,"",SUM($C$189:$V$189)),IFERROR(INDEX($C$189:$V$189,MATCH($D$2,$C$175:$V$175,0)),""))</f>
        <v/>
      </c>
      <c r="AA25" s="49" t="str">
        <f>IF(AND(ISNUMBER(Z25),ISNUMBER(Y25)),IF(Y25&gt;0,Z25/Y25,""),"")</f>
        <v/>
      </c>
      <c r="AB25" s="32" t="str">
        <f>IF($B$2="Todos",IF(COUNT($C$259:$V$259)=0,"",SUM($C$259:$V$259)),IFERROR(INDEX($C$259:$V$259,MATCH($D$2,$C$245:$V$245,0)),""))</f>
        <v/>
      </c>
      <c r="AC25" s="32">
        <f>IF($B25="","",IF($B$2="Todos",SUMIFS(BD!$AB$3:$AB$5001,BD!$A$3:$A$5001,$B25),SUMIFS(BD!$AB$3:$AB$5001,BD!$A$3:$A$5001,$B25,BD!$B$3:$B$5001,$D$2)))</f>
        <v>0</v>
      </c>
      <c r="AD25" s="32">
        <f>IF($B25="","",IF($B$2="Todos",SUMIFS(BD!$AC$3:$AC$5001,BD!$A$3:$A$5001,$B25),SUMIFS(BD!$AC$3:$AC$5001,BD!$A$3:$A$5001,$B25,BD!$B$3:$B$5001,$D$2)))</f>
        <v>0</v>
      </c>
      <c r="AE25" s="32">
        <f>IF($B25="","",IF($B$2="Todos",SUMIFS(BD!$AD$3:$AD$5001,BD!$A$3:$A$5001,$B25),SUMIFS(BD!$AD$3:$AD$5001,BD!$A$3:$A$5001,$B25,BD!$B$3:$B$5001,$D$2)))</f>
        <v>0</v>
      </c>
      <c r="AF25" s="32">
        <f>IF($B25="","",IF($B$2="Todos",SUMIFS(BD!$AE$3:$AE$5001,BD!$A$3:$A$5001,$B25),SUMIFS(BD!$AE$3:$AE$5001,BD!$A$3:$A$5001,$B25,BD!$B$3:$B$5001,$D$2)))</f>
        <v>0</v>
      </c>
      <c r="AG25" s="32">
        <f>IF($B25="","",IF($B$2="Todos",SUMIFS(BD!$AF$3:$AF$5001,BD!$A$3:$A$5001,$B25),SUMIFS(BD!$AF$3:$AF$5001,BD!$A$3:$A$5001,$B25,BD!$B$3:$B$5001,$D$2)))</f>
        <v>0</v>
      </c>
      <c r="AH25" s="32">
        <f>IF($B25="","",IF($B$2="Todos",SUMIFS(BD!$AG$3:$AG$5001,BD!$A$3:$A$5001,$B25),SUMIFS(BD!$AG$3:$AG$5001,BD!$A$3:$A$5001,$B25,BD!$B$3:$B$5001,$D$2)))</f>
        <v>0</v>
      </c>
      <c r="AI25" s="32">
        <f>IF($B25="","",IF($B$2="Todos",SUMIFS(BD!$AH$3:$AH$5001,BD!$A$3:$A$5001,$B25),SUMIFS(BD!$AH$3:$AH$5001,BD!$A$3:$A$5001,$B25,BD!$B$3:$B$5001,$D$2)))</f>
        <v>0</v>
      </c>
      <c r="AJ25" s="50">
        <f>$B$5</f>
        <v>0.7</v>
      </c>
      <c r="AK25" s="50">
        <f>$B$6</f>
        <v>0.9</v>
      </c>
      <c r="AP25" s="29" t="str">
        <f>IFERROR(INDEX(Config!$B$10:$B$29,MATCH(13,$AR$13:$AR$32,0))&amp;"","")</f>
        <v/>
      </c>
      <c r="AQ25" s="28" t="str">
        <f>IF(AP25="","",IF(INDEX(Config!$C$10:$C$29,MATCH(13,$AR$13:$AR$32,0))&amp;""="","TPC",INDEX(Config!$C$10:$C$29,MATCH(13,$AR$13:$AR$32,0))&amp;""))</f>
        <v/>
      </c>
      <c r="AR25" s="38">
        <f>IF(Config!$B$22&amp;""="",AR24,AR24+1)</f>
        <v>10</v>
      </c>
      <c r="AZ25" s="61">
        <f>IF(OR($B25="",N(VALUE($AH$349))=0),"",IF(INDEX($C25:$AI25,VALUE($AH$349))="","",IF(N(VALUE($AJ$349))=0,INDEX($C25:$AI25,VALUE($AH$349)),IF(N(INDEX($C25:$AI25,N(VALUE($AJ$349))))&gt;0,INDEX($C25:$AI25,VALUE($AH$349))/INDEX($C25:$AI25,N(VALUE($AJ$349))),""))))</f>
        <v>0</v>
      </c>
      <c r="BA25" s="61">
        <f>IF(OR($B25="",N(VALUE($AI$349))=0),"",IF(INDEX($C25:$AI25,VALUE($AI$349))="","",IF(N(VALUE($AK$349))=0,INDEX($C25:$AI25,VALUE($AI$349)),IF(N(INDEX($C25:$AI25,N(VALUE($AK$349))))&gt;0,INDEX($C25:$AI25,VALUE($AI$349))/INDEX($C25:$AI25,N(VALUE($AK$349))),""))))</f>
        <v>0</v>
      </c>
      <c r="BB25" s="61">
        <f>IF(OR($B25="",N(VALUE($AP$349))=0),"",IF(INDEX($C25:$AI25,VALUE($AP$349))="","",IF(N(VALUE($AR$349))=0,INDEX($C25:$AI25,VALUE($AP$349)),IF(N(INDEX($C25:$AI25,N(VALUE($AR$349))))&gt;0,INDEX($C25:$AI25,VALUE($AP$349))/INDEX($C25:$AI25,N(VALUE($AR$349))),""))))</f>
        <v>0</v>
      </c>
      <c r="BC25" s="61">
        <f>IF(OR($B25="",N(VALUE($AQ$349))=0),"",IF(INDEX($C25:$AI25,VALUE($AQ$349))="","",IF(N(VALUE($AS$349))=0,INDEX($C25:$AI25,VALUE($AQ$349)),IF(N(INDEX($C25:$AI25,N(VALUE($AS$349))))&gt;0,INDEX($C25:$AI25,VALUE($AQ$349))/INDEX($C25:$AI25,N(VALUE($AS$349))),""))))</f>
        <v>0</v>
      </c>
      <c r="BE25" s="32" t="str">
        <f>IF(AND($A25=$B$9,ISNUMBER(Y25)),Y25,NA())</f>
        <v/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>
        <f>IF($B26="","",IF($B$2="Todos",SUMIFS(BD!$P$3:$P$5001,BD!$A$3:$A$5001,$B26),SUMIFS(BD!$P$3:$P$5001,BD!$A$3:$A$5001,$B26,BD!$B$3:$B$5001,$D$2)))</f>
        <v>0</v>
      </c>
      <c r="Q26" s="32">
        <f>IF($B26="","",IF($B$2="Todos",SUMIFS(BD!$Q$3:$Q$5001,BD!$A$3:$A$5001,$B26),SUMIFS(BD!$Q$3:$Q$5001,BD!$A$3:$A$5001,$B26,BD!$B$3:$B$5001,$D$2)))</f>
        <v>0</v>
      </c>
      <c r="R26" s="32">
        <f>IF($B26="","",IF($B$2="Todos",SUMIFS(BD!$R$3:$R$5001,BD!$A$3:$A$5001,$B26),SUMIFS(BD!$R$3:$R$5001,BD!$A$3:$A$5001,$B26,BD!$B$3:$B$5001,$D$2)))</f>
        <v>0</v>
      </c>
      <c r="S26" s="32">
        <f>IF($B26="","",IF($B$2="Todos",SUMIFS(BD!$S$3:$S$5001,BD!$A$3:$A$5001,$B26),SUMIFS(BD!$S$3:$S$5001,BD!$A$3:$A$5001,$B26,BD!$B$3:$B$5001,$D$2)))</f>
        <v>0</v>
      </c>
      <c r="T26" s="32">
        <f>IF($B26="","",IF($B$2="Todos",SUMIFS(BD!$T$3:$T$5001,BD!$A$3:$A$5001,$B26),SUMIFS(BD!$T$3:$T$5001,BD!$A$3:$A$5001,$B26,BD!$B$3:$B$5001,$D$2)))</f>
        <v>0</v>
      </c>
      <c r="U26" s="47">
        <f>IF($B26="","",IF($B$2="Todos",SUMIFS(BD!$U$3:$U$5001,BD!$A$3:$A$5001,$B26),SUMIFS(BD!$U$3:$U$5001,BD!$A$3:$A$5001,$B26,BD!$B$3:$B$5001,$D$2)))</f>
        <v>0</v>
      </c>
      <c r="V26" s="32">
        <f>IF($B26="","",IF($B$2="Todos",SUMIFS(BD!$V$3:$V$5001,BD!$A$3:$A$5001,$B26),SUMIFS(BD!$V$3:$V$5001,BD!$A$3:$A$5001,$B26,BD!$B$3:$B$5001,$D$2)))</f>
        <v>0</v>
      </c>
      <c r="W26" s="32">
        <f>IF($B26="","",IF($B$2="Todos",SUMIFS(BD!$W$3:$W$5001,BD!$A$3:$A$5001,$B26),SUMIFS(BD!$W$3:$W$5001,BD!$A$3:$A$5001,$B26,BD!$B$3:$B$5001,$D$2)))</f>
        <v>0</v>
      </c>
      <c r="X26" s="32" t="str">
        <f>IF($B$2="Todos",IF(COUNT($C$155:$V$155)=0,"",SUM($C$155:$V$155)),IFERROR(INDEX($C$155:$V$155,MATCH($D$2,$C$140:$V$140,0)),""))</f>
        <v/>
      </c>
      <c r="Y26" s="48" t="str">
        <f>IF(Z26="","",IF($B$2="Todos",IF($B$4&gt;0,$B$4,IF($B$2="Todos",IF(COUNT($C$225:$V$225)=0,"",SUM($C$225:$V$225)),IFERROR(INDEX($C$225:$V$225,MATCH($D$2,$C$210:$V$210,0)),""))),IFERROR(INDEX($C$225:$V$225,MATCH($D$2,$C$210:$V$210,0)),"")))</f>
        <v/>
      </c>
      <c r="Z26" s="32" t="str">
        <f>IF($B$2="Todos",IF(COUNT($C$190:$V$190)=0,"",SUM($C$190:$V$190)),IFERROR(INDEX($C$190:$V$190,MATCH($D$2,$C$175:$V$175,0)),""))</f>
        <v/>
      </c>
      <c r="AA26" s="49" t="str">
        <f>IF(AND(ISNUMBER(Z26),ISNUMBER(Y26)),IF(Y26&gt;0,Z26/Y26,""),"")</f>
        <v/>
      </c>
      <c r="AB26" s="32" t="str">
        <f>IF($B$2="Todos",IF(COUNT($C$260:$V$260)=0,"",SUM($C$260:$V$260)),IFERROR(INDEX($C$260:$V$260,MATCH($D$2,$C$245:$V$245,0)),""))</f>
        <v/>
      </c>
      <c r="AC26" s="32">
        <f>IF($B26="","",IF($B$2="Todos",SUMIFS(BD!$AB$3:$AB$5001,BD!$A$3:$A$5001,$B26),SUMIFS(BD!$AB$3:$AB$5001,BD!$A$3:$A$5001,$B26,BD!$B$3:$B$5001,$D$2)))</f>
        <v>0</v>
      </c>
      <c r="AD26" s="32">
        <f>IF($B26="","",IF($B$2="Todos",SUMIFS(BD!$AC$3:$AC$5001,BD!$A$3:$A$5001,$B26),SUMIFS(BD!$AC$3:$AC$5001,BD!$A$3:$A$5001,$B26,BD!$B$3:$B$5001,$D$2)))</f>
        <v>0</v>
      </c>
      <c r="AE26" s="32">
        <f>IF($B26="","",IF($B$2="Todos",SUMIFS(BD!$AD$3:$AD$5001,BD!$A$3:$A$5001,$B26),SUMIFS(BD!$AD$3:$AD$5001,BD!$A$3:$A$5001,$B26,BD!$B$3:$B$5001,$D$2)))</f>
        <v>0</v>
      </c>
      <c r="AF26" s="32">
        <f>IF($B26="","",IF($B$2="Todos",SUMIFS(BD!$AE$3:$AE$5001,BD!$A$3:$A$5001,$B26),SUMIFS(BD!$AE$3:$AE$5001,BD!$A$3:$A$5001,$B26,BD!$B$3:$B$5001,$D$2)))</f>
        <v>0</v>
      </c>
      <c r="AG26" s="32">
        <f>IF($B26="","",IF($B$2="Todos",SUMIFS(BD!$AF$3:$AF$5001,BD!$A$3:$A$5001,$B26),SUMIFS(BD!$AF$3:$AF$5001,BD!$A$3:$A$5001,$B26,BD!$B$3:$B$5001,$D$2)))</f>
        <v>0</v>
      </c>
      <c r="AH26" s="32">
        <f>IF($B26="","",IF($B$2="Todos",SUMIFS(BD!$AG$3:$AG$5001,BD!$A$3:$A$5001,$B26),SUMIFS(BD!$AG$3:$AG$5001,BD!$A$3:$A$5001,$B26,BD!$B$3:$B$5001,$D$2)))</f>
        <v>0</v>
      </c>
      <c r="AI26" s="32">
        <f>IF($B26="","",IF($B$2="Todos",SUMIFS(BD!$AH$3:$AH$5001,BD!$A$3:$A$5001,$B26),SUMIFS(BD!$AH$3:$AH$5001,BD!$A$3:$A$5001,$B26,BD!$B$3:$B$5001,$D$2)))</f>
        <v>0</v>
      </c>
      <c r="AJ26" s="50">
        <f>$B$5</f>
        <v>0.7</v>
      </c>
      <c r="AK26" s="50">
        <f>$B$6</f>
        <v>0.9</v>
      </c>
      <c r="AP26" s="29" t="str">
        <f>IFERROR(INDEX(Config!$B$10:$B$29,MATCH(14,$AR$13:$AR$32,0))&amp;"","")</f>
        <v/>
      </c>
      <c r="AQ26" s="28" t="str">
        <f>IF(AP26="","",IF(INDEX(Config!$C$10:$C$29,MATCH(14,$AR$13:$AR$32,0))&amp;""="","TPC",INDEX(Config!$C$10:$C$29,MATCH(14,$AR$13:$AR$32,0))&amp;""))</f>
        <v/>
      </c>
      <c r="AR26" s="38">
        <f>IF(Config!$B$23&amp;""="",AR25,AR25+1)</f>
        <v>10</v>
      </c>
      <c r="AZ26" s="61">
        <f>IF(OR($B26="",N(VALUE($AH$349))=0),"",IF(INDEX($C26:$AI26,VALUE($AH$349))="","",IF(N(VALUE($AJ$349))=0,INDEX($C26:$AI26,VALUE($AH$349)),IF(N(INDEX($C26:$AI26,N(VALUE($AJ$349))))&gt;0,INDEX($C26:$AI26,VALUE($AH$349))/INDEX($C26:$AI26,N(VALUE($AJ$349))),""))))</f>
        <v>0</v>
      </c>
      <c r="BA26" s="61">
        <f>IF(OR($B26="",N(VALUE($AI$349))=0),"",IF(INDEX($C26:$AI26,VALUE($AI$349))="","",IF(N(VALUE($AK$349))=0,INDEX($C26:$AI26,VALUE($AI$349)),IF(N(INDEX($C26:$AI26,N(VALUE($AK$349))))&gt;0,INDEX($C26:$AI26,VALUE($AI$349))/INDEX($C26:$AI26,N(VALUE($AK$349))),""))))</f>
        <v>0</v>
      </c>
      <c r="BB26" s="61">
        <f>IF(OR($B26="",N(VALUE($AP$349))=0),"",IF(INDEX($C26:$AI26,VALUE($AP$349))="","",IF(N(VALUE($AR$349))=0,INDEX($C26:$AI26,VALUE($AP$349)),IF(N(INDEX($C26:$AI26,N(VALUE($AR$349))))&gt;0,INDEX($C26:$AI26,VALUE($AP$349))/INDEX($C26:$AI26,N(VALUE($AR$349))),""))))</f>
        <v>0</v>
      </c>
      <c r="BC26" s="61">
        <f>IF(OR($B26="",N(VALUE($AQ$349))=0),"",IF(INDEX($C26:$AI26,VALUE($AQ$349))="","",IF(N(VALUE($AS$349))=0,INDEX($C26:$AI26,VALUE($AQ$349)),IF(N(INDEX($C26:$AI26,N(VALUE($AS$349))))&gt;0,INDEX($C26:$AI26,VALUE($AQ$349))/INDEX($C26:$AI26,N(VALUE($AS$349))),""))))</f>
        <v>0</v>
      </c>
      <c r="BE26" s="32" t="str">
        <f>IF(AND($A26=$B$9,ISNUMBER(Y26)),Y26,NA())</f>
        <v/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>
        <f>IF($B27="","",IF($B$2="Todos",SUMIFS(BD!$P$3:$P$5001,BD!$A$3:$A$5001,$B27),SUMIFS(BD!$P$3:$P$5001,BD!$A$3:$A$5001,$B27,BD!$B$3:$B$5001,$D$2)))</f>
        <v>0</v>
      </c>
      <c r="Q27" s="32">
        <f>IF($B27="","",IF($B$2="Todos",SUMIFS(BD!$Q$3:$Q$5001,BD!$A$3:$A$5001,$B27),SUMIFS(BD!$Q$3:$Q$5001,BD!$A$3:$A$5001,$B27,BD!$B$3:$B$5001,$D$2)))</f>
        <v>0</v>
      </c>
      <c r="R27" s="32">
        <f>IF($B27="","",IF($B$2="Todos",SUMIFS(BD!$R$3:$R$5001,BD!$A$3:$A$5001,$B27),SUMIFS(BD!$R$3:$R$5001,BD!$A$3:$A$5001,$B27,BD!$B$3:$B$5001,$D$2)))</f>
        <v>0</v>
      </c>
      <c r="S27" s="32">
        <f>IF($B27="","",IF($B$2="Todos",SUMIFS(BD!$S$3:$S$5001,BD!$A$3:$A$5001,$B27),SUMIFS(BD!$S$3:$S$5001,BD!$A$3:$A$5001,$B27,BD!$B$3:$B$5001,$D$2)))</f>
        <v>0</v>
      </c>
      <c r="T27" s="32">
        <f>IF($B27="","",IF($B$2="Todos",SUMIFS(BD!$T$3:$T$5001,BD!$A$3:$A$5001,$B27),SUMIFS(BD!$T$3:$T$5001,BD!$A$3:$A$5001,$B27,BD!$B$3:$B$5001,$D$2)))</f>
        <v>0</v>
      </c>
      <c r="U27" s="47">
        <f>IF($B27="","",IF($B$2="Todos",SUMIFS(BD!$U$3:$U$5001,BD!$A$3:$A$5001,$B27),SUMIFS(BD!$U$3:$U$5001,BD!$A$3:$A$5001,$B27,BD!$B$3:$B$5001,$D$2)))</f>
        <v>0</v>
      </c>
      <c r="V27" s="32">
        <f>IF($B27="","",IF($B$2="Todos",SUMIFS(BD!$V$3:$V$5001,BD!$A$3:$A$5001,$B27),SUMIFS(BD!$V$3:$V$5001,BD!$A$3:$A$5001,$B27,BD!$B$3:$B$5001,$D$2)))</f>
        <v>0</v>
      </c>
      <c r="W27" s="32">
        <f>IF($B27="","",IF($B$2="Todos",SUMIFS(BD!$W$3:$W$5001,BD!$A$3:$A$5001,$B27),SUMIFS(BD!$W$3:$W$5001,BD!$A$3:$A$5001,$B27,BD!$B$3:$B$5001,$D$2)))</f>
        <v>0</v>
      </c>
      <c r="X27" s="32" t="str">
        <f>IF($B$2="Todos",IF(COUNT($C$156:$V$156)=0,"",SUM($C$156:$V$156)),IFERROR(INDEX($C$156:$V$156,MATCH($D$2,$C$140:$V$140,0)),""))</f>
        <v/>
      </c>
      <c r="Y27" s="48" t="str">
        <f>IF(Z27="","",IF($B$2="Todos",IF($B$4&gt;0,$B$4,IF($B$2="Todos",IF(COUNT($C$226:$V$226)=0,"",SUM($C$226:$V$226)),IFERROR(INDEX($C$226:$V$226,MATCH($D$2,$C$210:$V$210,0)),""))),IFERROR(INDEX($C$226:$V$226,MATCH($D$2,$C$210:$V$210,0)),"")))</f>
        <v/>
      </c>
      <c r="Z27" s="32" t="str">
        <f>IF($B$2="Todos",IF(COUNT($C$191:$V$191)=0,"",SUM($C$191:$V$191)),IFERROR(INDEX($C$191:$V$191,MATCH($D$2,$C$175:$V$175,0)),""))</f>
        <v/>
      </c>
      <c r="AA27" s="49" t="str">
        <f>IF(AND(ISNUMBER(Z27),ISNUMBER(Y27)),IF(Y27&gt;0,Z27/Y27,""),"")</f>
        <v/>
      </c>
      <c r="AB27" s="32" t="str">
        <f>IF($B$2="Todos",IF(COUNT($C$261:$V$261)=0,"",SUM($C$261:$V$261)),IFERROR(INDEX($C$261:$V$261,MATCH($D$2,$C$245:$V$245,0)),""))</f>
        <v/>
      </c>
      <c r="AC27" s="32">
        <f>IF($B27="","",IF($B$2="Todos",SUMIFS(BD!$AB$3:$AB$5001,BD!$A$3:$A$5001,$B27),SUMIFS(BD!$AB$3:$AB$5001,BD!$A$3:$A$5001,$B27,BD!$B$3:$B$5001,$D$2)))</f>
        <v>0</v>
      </c>
      <c r="AD27" s="32">
        <f>IF($B27="","",IF($B$2="Todos",SUMIFS(BD!$AC$3:$AC$5001,BD!$A$3:$A$5001,$B27),SUMIFS(BD!$AC$3:$AC$5001,BD!$A$3:$A$5001,$B27,BD!$B$3:$B$5001,$D$2)))</f>
        <v>0</v>
      </c>
      <c r="AE27" s="32">
        <f>IF($B27="","",IF($B$2="Todos",SUMIFS(BD!$AD$3:$AD$5001,BD!$A$3:$A$5001,$B27),SUMIFS(BD!$AD$3:$AD$5001,BD!$A$3:$A$5001,$B27,BD!$B$3:$B$5001,$D$2)))</f>
        <v>0</v>
      </c>
      <c r="AF27" s="32">
        <f>IF($B27="","",IF($B$2="Todos",SUMIFS(BD!$AE$3:$AE$5001,BD!$A$3:$A$5001,$B27),SUMIFS(BD!$AE$3:$AE$5001,BD!$A$3:$A$5001,$B27,BD!$B$3:$B$5001,$D$2)))</f>
        <v>0</v>
      </c>
      <c r="AG27" s="32">
        <f>IF($B27="","",IF($B$2="Todos",SUMIFS(BD!$AF$3:$AF$5001,BD!$A$3:$A$5001,$B27),SUMIFS(BD!$AF$3:$AF$5001,BD!$A$3:$A$5001,$B27,BD!$B$3:$B$5001,$D$2)))</f>
        <v>0</v>
      </c>
      <c r="AH27" s="32">
        <f>IF($B27="","",IF($B$2="Todos",SUMIFS(BD!$AG$3:$AG$5001,BD!$A$3:$A$5001,$B27),SUMIFS(BD!$AG$3:$AG$5001,BD!$A$3:$A$5001,$B27,BD!$B$3:$B$5001,$D$2)))</f>
        <v>0</v>
      </c>
      <c r="AI27" s="32">
        <f>IF($B27="","",IF($B$2="Todos",SUMIFS(BD!$AH$3:$AH$5001,BD!$A$3:$A$5001,$B27),SUMIFS(BD!$AH$3:$AH$5001,BD!$A$3:$A$5001,$B27,BD!$B$3:$B$5001,$D$2)))</f>
        <v>0</v>
      </c>
      <c r="AJ27" s="50">
        <f>$B$5</f>
        <v>0.7</v>
      </c>
      <c r="AK27" s="50">
        <f>$B$6</f>
        <v>0.9</v>
      </c>
      <c r="AP27" s="29" t="str">
        <f>IFERROR(INDEX(Config!$B$10:$B$29,MATCH(15,$AR$13:$AR$32,0))&amp;"","")</f>
        <v/>
      </c>
      <c r="AQ27" s="28" t="str">
        <f>IF(AP27="","",IF(INDEX(Config!$C$10:$C$29,MATCH(15,$AR$13:$AR$32,0))&amp;""="","TPC",INDEX(Config!$C$10:$C$29,MATCH(15,$AR$13:$AR$32,0))&amp;""))</f>
        <v/>
      </c>
      <c r="AR27" s="38">
        <f>IF(Config!$B$24&amp;""="",AR26,AR26+1)</f>
        <v>10</v>
      </c>
      <c r="AZ27" s="61">
        <f>IF(OR($B27="",N(VALUE($AH$349))=0),"",IF(INDEX($C27:$AI27,VALUE($AH$349))="","",IF(N(VALUE($AJ$349))=0,INDEX($C27:$AI27,VALUE($AH$349)),IF(N(INDEX($C27:$AI27,N(VALUE($AJ$349))))&gt;0,INDEX($C27:$AI27,VALUE($AH$349))/INDEX($C27:$AI27,N(VALUE($AJ$349))),""))))</f>
        <v>0</v>
      </c>
      <c r="BA27" s="61">
        <f>IF(OR($B27="",N(VALUE($AI$349))=0),"",IF(INDEX($C27:$AI27,VALUE($AI$349))="","",IF(N(VALUE($AK$349))=0,INDEX($C27:$AI27,VALUE($AI$349)),IF(N(INDEX($C27:$AI27,N(VALUE($AK$349))))&gt;0,INDEX($C27:$AI27,VALUE($AI$349))/INDEX($C27:$AI27,N(VALUE($AK$349))),""))))</f>
        <v>0</v>
      </c>
      <c r="BB27" s="61">
        <f>IF(OR($B27="",N(VALUE($AP$349))=0),"",IF(INDEX($C27:$AI27,VALUE($AP$349))="","",IF(N(VALUE($AR$349))=0,INDEX($C27:$AI27,VALUE($AP$349)),IF(N(INDEX($C27:$AI27,N(VALUE($AR$349))))&gt;0,INDEX($C27:$AI27,VALUE($AP$349))/INDEX($C27:$AI27,N(VALUE($AR$349))),""))))</f>
        <v>0</v>
      </c>
      <c r="BC27" s="61">
        <f>IF(OR($B27="",N(VALUE($AQ$349))=0),"",IF(INDEX($C27:$AI27,VALUE($AQ$349))="","",IF(N(VALUE($AS$349))=0,INDEX($C27:$AI27,VALUE($AQ$349)),IF(N(INDEX($C27:$AI27,N(VALUE($AS$349))))&gt;0,INDEX($C27:$AI27,VALUE($AQ$349))/INDEX($C27:$AI27,N(VALUE($AS$349))),""))))</f>
        <v>0</v>
      </c>
      <c r="BE27" s="32" t="str">
        <f>IF(AND($A27=$B$9,ISNUMBER(Y27)),Y27,NA())</f>
        <v/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>
        <f>IF($B28="","",IF($B$2="Todos",SUMIFS(BD!$P$3:$P$5001,BD!$A$3:$A$5001,$B28),SUMIFS(BD!$P$3:$P$5001,BD!$A$3:$A$5001,$B28,BD!$B$3:$B$5001,$D$2)))</f>
        <v>0</v>
      </c>
      <c r="Q28" s="32">
        <f>IF($B28="","",IF($B$2="Todos",SUMIFS(BD!$Q$3:$Q$5001,BD!$A$3:$A$5001,$B28),SUMIFS(BD!$Q$3:$Q$5001,BD!$A$3:$A$5001,$B28,BD!$B$3:$B$5001,$D$2)))</f>
        <v>0</v>
      </c>
      <c r="R28" s="32">
        <f>IF($B28="","",IF($B$2="Todos",SUMIFS(BD!$R$3:$R$5001,BD!$A$3:$A$5001,$B28),SUMIFS(BD!$R$3:$R$5001,BD!$A$3:$A$5001,$B28,BD!$B$3:$B$5001,$D$2)))</f>
        <v>0</v>
      </c>
      <c r="S28" s="32">
        <f>IF($B28="","",IF($B$2="Todos",SUMIFS(BD!$S$3:$S$5001,BD!$A$3:$A$5001,$B28),SUMIFS(BD!$S$3:$S$5001,BD!$A$3:$A$5001,$B28,BD!$B$3:$B$5001,$D$2)))</f>
        <v>0</v>
      </c>
      <c r="T28" s="32">
        <f>IF($B28="","",IF($B$2="Todos",SUMIFS(BD!$T$3:$T$5001,BD!$A$3:$A$5001,$B28),SUMIFS(BD!$T$3:$T$5001,BD!$A$3:$A$5001,$B28,BD!$B$3:$B$5001,$D$2)))</f>
        <v>0</v>
      </c>
      <c r="U28" s="47">
        <f>IF($B28="","",IF($B$2="Todos",SUMIFS(BD!$U$3:$U$5001,BD!$A$3:$A$5001,$B28),SUMIFS(BD!$U$3:$U$5001,BD!$A$3:$A$5001,$B28,BD!$B$3:$B$5001,$D$2)))</f>
        <v>0</v>
      </c>
      <c r="V28" s="32">
        <f>IF($B28="","",IF($B$2="Todos",SUMIFS(BD!$V$3:$V$5001,BD!$A$3:$A$5001,$B28),SUMIFS(BD!$V$3:$V$5001,BD!$A$3:$A$5001,$B28,BD!$B$3:$B$5001,$D$2)))</f>
        <v>0</v>
      </c>
      <c r="W28" s="32">
        <f>IF($B28="","",IF($B$2="Todos",SUMIFS(BD!$W$3:$W$5001,BD!$A$3:$A$5001,$B28),SUMIFS(BD!$W$3:$W$5001,BD!$A$3:$A$5001,$B28,BD!$B$3:$B$5001,$D$2)))</f>
        <v>0</v>
      </c>
      <c r="X28" s="32" t="str">
        <f>IF($B$2="Todos",IF(COUNT($C$157:$V$157)=0,"",SUM($C$157:$V$157)),IFERROR(INDEX($C$157:$V$157,MATCH($D$2,$C$140:$V$140,0)),""))</f>
        <v/>
      </c>
      <c r="Y28" s="48" t="str">
        <f>IF(Z28="","",IF($B$2="Todos",IF($B$4&gt;0,$B$4,IF($B$2="Todos",IF(COUNT($C$227:$V$227)=0,"",SUM($C$227:$V$227)),IFERROR(INDEX($C$227:$V$227,MATCH($D$2,$C$210:$V$210,0)),""))),IFERROR(INDEX($C$227:$V$227,MATCH($D$2,$C$210:$V$210,0)),"")))</f>
        <v/>
      </c>
      <c r="Z28" s="32" t="str">
        <f>IF($B$2="Todos",IF(COUNT($C$192:$V$192)=0,"",SUM($C$192:$V$192)),IFERROR(INDEX($C$192:$V$192,MATCH($D$2,$C$175:$V$175,0)),""))</f>
        <v/>
      </c>
      <c r="AA28" s="49" t="str">
        <f>IF(AND(ISNUMBER(Z28),ISNUMBER(Y28)),IF(Y28&gt;0,Z28/Y28,""),"")</f>
        <v/>
      </c>
      <c r="AB28" s="32" t="str">
        <f>IF($B$2="Todos",IF(COUNT($C$262:$V$262)=0,"",SUM($C$262:$V$262)),IFERROR(INDEX($C$262:$V$262,MATCH($D$2,$C$245:$V$245,0)),""))</f>
        <v/>
      </c>
      <c r="AC28" s="32">
        <f>IF($B28="","",IF($B$2="Todos",SUMIFS(BD!$AB$3:$AB$5001,BD!$A$3:$A$5001,$B28),SUMIFS(BD!$AB$3:$AB$5001,BD!$A$3:$A$5001,$B28,BD!$B$3:$B$5001,$D$2)))</f>
        <v>0</v>
      </c>
      <c r="AD28" s="32">
        <f>IF($B28="","",IF($B$2="Todos",SUMIFS(BD!$AC$3:$AC$5001,BD!$A$3:$A$5001,$B28),SUMIFS(BD!$AC$3:$AC$5001,BD!$A$3:$A$5001,$B28,BD!$B$3:$B$5001,$D$2)))</f>
        <v>0</v>
      </c>
      <c r="AE28" s="32">
        <f>IF($B28="","",IF($B$2="Todos",SUMIFS(BD!$AD$3:$AD$5001,BD!$A$3:$A$5001,$B28),SUMIFS(BD!$AD$3:$AD$5001,BD!$A$3:$A$5001,$B28,BD!$B$3:$B$5001,$D$2)))</f>
        <v>0</v>
      </c>
      <c r="AF28" s="32">
        <f>IF($B28="","",IF($B$2="Todos",SUMIFS(BD!$AE$3:$AE$5001,BD!$A$3:$A$5001,$B28),SUMIFS(BD!$AE$3:$AE$5001,BD!$A$3:$A$5001,$B28,BD!$B$3:$B$5001,$D$2)))</f>
        <v>0</v>
      </c>
      <c r="AG28" s="32">
        <f>IF($B28="","",IF($B$2="Todos",SUMIFS(BD!$AF$3:$AF$5001,BD!$A$3:$A$5001,$B28),SUMIFS(BD!$AF$3:$AF$5001,BD!$A$3:$A$5001,$B28,BD!$B$3:$B$5001,$D$2)))</f>
        <v>0</v>
      </c>
      <c r="AH28" s="32">
        <f>IF($B28="","",IF($B$2="Todos",SUMIFS(BD!$AG$3:$AG$5001,BD!$A$3:$A$5001,$B28),SUMIFS(BD!$AG$3:$AG$5001,BD!$A$3:$A$5001,$B28,BD!$B$3:$B$5001,$D$2)))</f>
        <v>0</v>
      </c>
      <c r="AI28" s="32">
        <f>IF($B28="","",IF($B$2="Todos",SUMIFS(BD!$AH$3:$AH$5001,BD!$A$3:$A$5001,$B28),SUMIFS(BD!$AH$3:$AH$5001,BD!$A$3:$A$5001,$B28,BD!$B$3:$B$5001,$D$2)))</f>
        <v>0</v>
      </c>
      <c r="AJ28" s="50">
        <f>$B$5</f>
        <v>0.7</v>
      </c>
      <c r="AK28" s="50">
        <f>$B$6</f>
        <v>0.9</v>
      </c>
      <c r="AP28" s="29" t="str">
        <f>IFERROR(INDEX(Config!$B$10:$B$29,MATCH(16,$AR$13:$AR$32,0))&amp;"","")</f>
        <v/>
      </c>
      <c r="AQ28" s="28" t="str">
        <f>IF(AP28="","",IF(INDEX(Config!$C$10:$C$29,MATCH(16,$AR$13:$AR$32,0))&amp;""="","TPC",INDEX(Config!$C$10:$C$29,MATCH(16,$AR$13:$AR$32,0))&amp;""))</f>
        <v/>
      </c>
      <c r="AR28" s="38">
        <f>IF(Config!$B$25&amp;""="",AR27,AR27+1)</f>
        <v>10</v>
      </c>
      <c r="AZ28" s="61">
        <f>IF(OR($B28="",N(VALUE($AH$349))=0),"",IF(INDEX($C28:$AI28,VALUE($AH$349))="","",IF(N(VALUE($AJ$349))=0,INDEX($C28:$AI28,VALUE($AH$349)),IF(N(INDEX($C28:$AI28,N(VALUE($AJ$349))))&gt;0,INDEX($C28:$AI28,VALUE($AH$349))/INDEX($C28:$AI28,N(VALUE($AJ$349))),""))))</f>
        <v>0</v>
      </c>
      <c r="BA28" s="61">
        <f>IF(OR($B28="",N(VALUE($AI$349))=0),"",IF(INDEX($C28:$AI28,VALUE($AI$349))="","",IF(N(VALUE($AK$349))=0,INDEX($C28:$AI28,VALUE($AI$349)),IF(N(INDEX($C28:$AI28,N(VALUE($AK$349))))&gt;0,INDEX($C28:$AI28,VALUE($AI$349))/INDEX($C28:$AI28,N(VALUE($AK$349))),""))))</f>
        <v>0</v>
      </c>
      <c r="BB28" s="61">
        <f>IF(OR($B28="",N(VALUE($AP$349))=0),"",IF(INDEX($C28:$AI28,VALUE($AP$349))="","",IF(N(VALUE($AR$349))=0,INDEX($C28:$AI28,VALUE($AP$349)),IF(N(INDEX($C28:$AI28,N(VALUE($AR$349))))&gt;0,INDEX($C28:$AI28,VALUE($AP$349))/INDEX($C28:$AI28,N(VALUE($AR$349))),""))))</f>
        <v>0</v>
      </c>
      <c r="BC28" s="61">
        <f>IF(OR($B28="",N(VALUE($AQ$349))=0),"",IF(INDEX($C28:$AI28,VALUE($AQ$349))="","",IF(N(VALUE($AS$349))=0,INDEX($C28:$AI28,VALUE($AQ$349)),IF(N(INDEX($C28:$AI28,N(VALUE($AS$349))))&gt;0,INDEX($C28:$AI28,VALUE($AQ$349))/INDEX($C28:$AI28,N(VALUE($AS$349))),""))))</f>
        <v>0</v>
      </c>
      <c r="BE28" s="32" t="str">
        <f>IF(AND($A28=$B$9,ISNUMBER(Y28)),Y28,NA())</f>
        <v/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>
        <f>IF($B29="","",IF($B$2="Todos",SUMIFS(BD!$P$3:$P$5001,BD!$A$3:$A$5001,$B29),SUMIFS(BD!$P$3:$P$5001,BD!$A$3:$A$5001,$B29,BD!$B$3:$B$5001,$D$2)))</f>
        <v>0</v>
      </c>
      <c r="Q29" s="32">
        <f>IF($B29="","",IF($B$2="Todos",SUMIFS(BD!$Q$3:$Q$5001,BD!$A$3:$A$5001,$B29),SUMIFS(BD!$Q$3:$Q$5001,BD!$A$3:$A$5001,$B29,BD!$B$3:$B$5001,$D$2)))</f>
        <v>0</v>
      </c>
      <c r="R29" s="32">
        <f>IF($B29="","",IF($B$2="Todos",SUMIFS(BD!$R$3:$R$5001,BD!$A$3:$A$5001,$B29),SUMIFS(BD!$R$3:$R$5001,BD!$A$3:$A$5001,$B29,BD!$B$3:$B$5001,$D$2)))</f>
        <v>0</v>
      </c>
      <c r="S29" s="32">
        <f>IF($B29="","",IF($B$2="Todos",SUMIFS(BD!$S$3:$S$5001,BD!$A$3:$A$5001,$B29),SUMIFS(BD!$S$3:$S$5001,BD!$A$3:$A$5001,$B29,BD!$B$3:$B$5001,$D$2)))</f>
        <v>0</v>
      </c>
      <c r="T29" s="32">
        <f>IF($B29="","",IF($B$2="Todos",SUMIFS(BD!$T$3:$T$5001,BD!$A$3:$A$5001,$B29),SUMIFS(BD!$T$3:$T$5001,BD!$A$3:$A$5001,$B29,BD!$B$3:$B$5001,$D$2)))</f>
        <v>0</v>
      </c>
      <c r="U29" s="47">
        <f>IF($B29="","",IF($B$2="Todos",SUMIFS(BD!$U$3:$U$5001,BD!$A$3:$A$5001,$B29),SUMIFS(BD!$U$3:$U$5001,BD!$A$3:$A$5001,$B29,BD!$B$3:$B$5001,$D$2)))</f>
        <v>0</v>
      </c>
      <c r="V29" s="32">
        <f>IF($B29="","",IF($B$2="Todos",SUMIFS(BD!$V$3:$V$5001,BD!$A$3:$A$5001,$B29),SUMIFS(BD!$V$3:$V$5001,BD!$A$3:$A$5001,$B29,BD!$B$3:$B$5001,$D$2)))</f>
        <v>0</v>
      </c>
      <c r="W29" s="32">
        <f>IF($B29="","",IF($B$2="Todos",SUMIFS(BD!$W$3:$W$5001,BD!$A$3:$A$5001,$B29),SUMIFS(BD!$W$3:$W$5001,BD!$A$3:$A$5001,$B29,BD!$B$3:$B$5001,$D$2)))</f>
        <v>0</v>
      </c>
      <c r="X29" s="32" t="str">
        <f>IF($B$2="Todos",IF(COUNT($C$158:$V$158)=0,"",SUM($C$158:$V$158)),IFERROR(INDEX($C$158:$V$158,MATCH($D$2,$C$140:$V$140,0)),""))</f>
        <v/>
      </c>
      <c r="Y29" s="48" t="str">
        <f>IF(Z29="","",IF($B$2="Todos",IF($B$4&gt;0,$B$4,IF($B$2="Todos",IF(COUNT($C$228:$V$228)=0,"",SUM($C$228:$V$228)),IFERROR(INDEX($C$228:$V$228,MATCH($D$2,$C$210:$V$210,0)),""))),IFERROR(INDEX($C$228:$V$228,MATCH($D$2,$C$210:$V$210,0)),"")))</f>
        <v/>
      </c>
      <c r="Z29" s="32" t="str">
        <f>IF($B$2="Todos",IF(COUNT($C$193:$V$193)=0,"",SUM($C$193:$V$193)),IFERROR(INDEX($C$193:$V$193,MATCH($D$2,$C$175:$V$175,0)),""))</f>
        <v/>
      </c>
      <c r="AA29" s="49" t="str">
        <f>IF(AND(ISNUMBER(Z29),ISNUMBER(Y29)),IF(Y29&gt;0,Z29/Y29,""),"")</f>
        <v/>
      </c>
      <c r="AB29" s="32" t="str">
        <f>IF($B$2="Todos",IF(COUNT($C$263:$V$263)=0,"",SUM($C$263:$V$263)),IFERROR(INDEX($C$263:$V$263,MATCH($D$2,$C$245:$V$245,0)),""))</f>
        <v/>
      </c>
      <c r="AC29" s="32">
        <f>IF($B29="","",IF($B$2="Todos",SUMIFS(BD!$AB$3:$AB$5001,BD!$A$3:$A$5001,$B29),SUMIFS(BD!$AB$3:$AB$5001,BD!$A$3:$A$5001,$B29,BD!$B$3:$B$5001,$D$2)))</f>
        <v>0</v>
      </c>
      <c r="AD29" s="32">
        <f>IF($B29="","",IF($B$2="Todos",SUMIFS(BD!$AC$3:$AC$5001,BD!$A$3:$A$5001,$B29),SUMIFS(BD!$AC$3:$AC$5001,BD!$A$3:$A$5001,$B29,BD!$B$3:$B$5001,$D$2)))</f>
        <v>0</v>
      </c>
      <c r="AE29" s="32">
        <f>IF($B29="","",IF($B$2="Todos",SUMIFS(BD!$AD$3:$AD$5001,BD!$A$3:$A$5001,$B29),SUMIFS(BD!$AD$3:$AD$5001,BD!$A$3:$A$5001,$B29,BD!$B$3:$B$5001,$D$2)))</f>
        <v>0</v>
      </c>
      <c r="AF29" s="32">
        <f>IF($B29="","",IF($B$2="Todos",SUMIFS(BD!$AE$3:$AE$5001,BD!$A$3:$A$5001,$B29),SUMIFS(BD!$AE$3:$AE$5001,BD!$A$3:$A$5001,$B29,BD!$B$3:$B$5001,$D$2)))</f>
        <v>0</v>
      </c>
      <c r="AG29" s="32">
        <f>IF($B29="","",IF($B$2="Todos",SUMIFS(BD!$AF$3:$AF$5001,BD!$A$3:$A$5001,$B29),SUMIFS(BD!$AF$3:$AF$5001,BD!$A$3:$A$5001,$B29,BD!$B$3:$B$5001,$D$2)))</f>
        <v>0</v>
      </c>
      <c r="AH29" s="32">
        <f>IF($B29="","",IF($B$2="Todos",SUMIFS(BD!$AG$3:$AG$5001,BD!$A$3:$A$5001,$B29),SUMIFS(BD!$AG$3:$AG$5001,BD!$A$3:$A$5001,$B29,BD!$B$3:$B$5001,$D$2)))</f>
        <v>0</v>
      </c>
      <c r="AI29" s="32">
        <f>IF($B29="","",IF($B$2="Todos",SUMIFS(BD!$AH$3:$AH$5001,BD!$A$3:$A$5001,$B29),SUMIFS(BD!$AH$3:$AH$5001,BD!$A$3:$A$5001,$B29,BD!$B$3:$B$5001,$D$2)))</f>
        <v>0</v>
      </c>
      <c r="AJ29" s="50">
        <f>$B$5</f>
        <v>0.7</v>
      </c>
      <c r="AK29" s="50">
        <f>$B$6</f>
        <v>0.9</v>
      </c>
      <c r="AP29" s="29" t="str">
        <f>IFERROR(INDEX(Config!$B$10:$B$29,MATCH(17,$AR$13:$AR$32,0))&amp;"","")</f>
        <v/>
      </c>
      <c r="AQ29" s="28" t="str">
        <f>IF(AP29="","",IF(INDEX(Config!$C$10:$C$29,MATCH(17,$AR$13:$AR$32,0))&amp;""="","TPC",INDEX(Config!$C$10:$C$29,MATCH(17,$AR$13:$AR$32,0))&amp;""))</f>
        <v/>
      </c>
      <c r="AR29" s="38">
        <f>IF(Config!$B$26&amp;""="",AR28,AR28+1)</f>
        <v>10</v>
      </c>
      <c r="AZ29" s="61">
        <f>IF(OR($B29="",N(VALUE($AH$349))=0),"",IF(INDEX($C29:$AI29,VALUE($AH$349))="","",IF(N(VALUE($AJ$349))=0,INDEX($C29:$AI29,VALUE($AH$349)),IF(N(INDEX($C29:$AI29,N(VALUE($AJ$349))))&gt;0,INDEX($C29:$AI29,VALUE($AH$349))/INDEX($C29:$AI29,N(VALUE($AJ$349))),""))))</f>
        <v>0</v>
      </c>
      <c r="BA29" s="61">
        <f>IF(OR($B29="",N(VALUE($AI$349))=0),"",IF(INDEX($C29:$AI29,VALUE($AI$349))="","",IF(N(VALUE($AK$349))=0,INDEX($C29:$AI29,VALUE($AI$349)),IF(N(INDEX($C29:$AI29,N(VALUE($AK$349))))&gt;0,INDEX($C29:$AI29,VALUE($AI$349))/INDEX($C29:$AI29,N(VALUE($AK$349))),""))))</f>
        <v>0</v>
      </c>
      <c r="BB29" s="61">
        <f>IF(OR($B29="",N(VALUE($AP$349))=0),"",IF(INDEX($C29:$AI29,VALUE($AP$349))="","",IF(N(VALUE($AR$349))=0,INDEX($C29:$AI29,VALUE($AP$349)),IF(N(INDEX($C29:$AI29,N(VALUE($AR$349))))&gt;0,INDEX($C29:$AI29,VALUE($AP$349))/INDEX($C29:$AI29,N(VALUE($AR$349))),""))))</f>
        <v>0</v>
      </c>
      <c r="BC29" s="61">
        <f>IF(OR($B29="",N(VALUE($AQ$349))=0),"",IF(INDEX($C29:$AI29,VALUE($AQ$349))="","",IF(N(VALUE($AS$349))=0,INDEX($C29:$AI29,VALUE($AQ$349)),IF(N(INDEX($C29:$AI29,N(VALUE($AS$349))))&gt;0,INDEX($C29:$AI29,VALUE($AQ$349))/INDEX($C29:$AI29,N(VALUE($AS$349))),""))))</f>
        <v>0</v>
      </c>
      <c r="BE29" s="32" t="str">
        <f>IF(AND($A29=$B$9,ISNUMBER(Y29)),Y29,NA())</f>
        <v/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>
        <f>IF($B30="","",IF($B$2="Todos",SUMIFS(BD!$P$3:$P$5001,BD!$A$3:$A$5001,$B30),SUMIFS(BD!$P$3:$P$5001,BD!$A$3:$A$5001,$B30,BD!$B$3:$B$5001,$D$2)))</f>
        <v>0</v>
      </c>
      <c r="Q30" s="32">
        <f>IF($B30="","",IF($B$2="Todos",SUMIFS(BD!$Q$3:$Q$5001,BD!$A$3:$A$5001,$B30),SUMIFS(BD!$Q$3:$Q$5001,BD!$A$3:$A$5001,$B30,BD!$B$3:$B$5001,$D$2)))</f>
        <v>0</v>
      </c>
      <c r="R30" s="32">
        <f>IF($B30="","",IF($B$2="Todos",SUMIFS(BD!$R$3:$R$5001,BD!$A$3:$A$5001,$B30),SUMIFS(BD!$R$3:$R$5001,BD!$A$3:$A$5001,$B30,BD!$B$3:$B$5001,$D$2)))</f>
        <v>0</v>
      </c>
      <c r="S30" s="32">
        <f>IF($B30="","",IF($B$2="Todos",SUMIFS(BD!$S$3:$S$5001,BD!$A$3:$A$5001,$B30),SUMIFS(BD!$S$3:$S$5001,BD!$A$3:$A$5001,$B30,BD!$B$3:$B$5001,$D$2)))</f>
        <v>0</v>
      </c>
      <c r="T30" s="32">
        <f>IF($B30="","",IF($B$2="Todos",SUMIFS(BD!$T$3:$T$5001,BD!$A$3:$A$5001,$B30),SUMIFS(BD!$T$3:$T$5001,BD!$A$3:$A$5001,$B30,BD!$B$3:$B$5001,$D$2)))</f>
        <v>0</v>
      </c>
      <c r="U30" s="47">
        <f>IF($B30="","",IF($B$2="Todos",SUMIFS(BD!$U$3:$U$5001,BD!$A$3:$A$5001,$B30),SUMIFS(BD!$U$3:$U$5001,BD!$A$3:$A$5001,$B30,BD!$B$3:$B$5001,$D$2)))</f>
        <v>0</v>
      </c>
      <c r="V30" s="32">
        <f>IF($B30="","",IF($B$2="Todos",SUMIFS(BD!$V$3:$V$5001,BD!$A$3:$A$5001,$B30),SUMIFS(BD!$V$3:$V$5001,BD!$A$3:$A$5001,$B30,BD!$B$3:$B$5001,$D$2)))</f>
        <v>0</v>
      </c>
      <c r="W30" s="32">
        <f>IF($B30="","",IF($B$2="Todos",SUMIFS(BD!$W$3:$W$5001,BD!$A$3:$A$5001,$B30),SUMIFS(BD!$W$3:$W$5001,BD!$A$3:$A$5001,$B30,BD!$B$3:$B$5001,$D$2)))</f>
        <v>0</v>
      </c>
      <c r="X30" s="32" t="str">
        <f>IF($B$2="Todos",IF(COUNT($C$159:$V$159)=0,"",SUM($C$159:$V$159)),IFERROR(INDEX($C$159:$V$159,MATCH($D$2,$C$140:$V$140,0)),""))</f>
        <v/>
      </c>
      <c r="Y30" s="48" t="str">
        <f>IF(Z30="","",IF($B$2="Todos",IF($B$4&gt;0,$B$4,IF($B$2="Todos",IF(COUNT($C$229:$V$229)=0,"",SUM($C$229:$V$229)),IFERROR(INDEX($C$229:$V$229,MATCH($D$2,$C$210:$V$210,0)),""))),IFERROR(INDEX($C$229:$V$229,MATCH($D$2,$C$210:$V$210,0)),"")))</f>
        <v/>
      </c>
      <c r="Z30" s="32" t="str">
        <f>IF($B$2="Todos",IF(COUNT($C$194:$V$194)=0,"",SUM($C$194:$V$194)),IFERROR(INDEX($C$194:$V$194,MATCH($D$2,$C$175:$V$175,0)),""))</f>
        <v/>
      </c>
      <c r="AA30" s="49" t="str">
        <f>IF(AND(ISNUMBER(Z30),ISNUMBER(Y30)),IF(Y30&gt;0,Z30/Y30,""),"")</f>
        <v/>
      </c>
      <c r="AB30" s="32" t="str">
        <f>IF($B$2="Todos",IF(COUNT($C$264:$V$264)=0,"",SUM($C$264:$V$264)),IFERROR(INDEX($C$264:$V$264,MATCH($D$2,$C$245:$V$245,0)),""))</f>
        <v/>
      </c>
      <c r="AC30" s="32">
        <f>IF($B30="","",IF($B$2="Todos",SUMIFS(BD!$AB$3:$AB$5001,BD!$A$3:$A$5001,$B30),SUMIFS(BD!$AB$3:$AB$5001,BD!$A$3:$A$5001,$B30,BD!$B$3:$B$5001,$D$2)))</f>
        <v>0</v>
      </c>
      <c r="AD30" s="32">
        <f>IF($B30="","",IF($B$2="Todos",SUMIFS(BD!$AC$3:$AC$5001,BD!$A$3:$A$5001,$B30),SUMIFS(BD!$AC$3:$AC$5001,BD!$A$3:$A$5001,$B30,BD!$B$3:$B$5001,$D$2)))</f>
        <v>0</v>
      </c>
      <c r="AE30" s="32">
        <f>IF($B30="","",IF($B$2="Todos",SUMIFS(BD!$AD$3:$AD$5001,BD!$A$3:$A$5001,$B30),SUMIFS(BD!$AD$3:$AD$5001,BD!$A$3:$A$5001,$B30,BD!$B$3:$B$5001,$D$2)))</f>
        <v>0</v>
      </c>
      <c r="AF30" s="32">
        <f>IF($B30="","",IF($B$2="Todos",SUMIFS(BD!$AE$3:$AE$5001,BD!$A$3:$A$5001,$B30),SUMIFS(BD!$AE$3:$AE$5001,BD!$A$3:$A$5001,$B30,BD!$B$3:$B$5001,$D$2)))</f>
        <v>0</v>
      </c>
      <c r="AG30" s="32">
        <f>IF($B30="","",IF($B$2="Todos",SUMIFS(BD!$AF$3:$AF$5001,BD!$A$3:$A$5001,$B30),SUMIFS(BD!$AF$3:$AF$5001,BD!$A$3:$A$5001,$B30,BD!$B$3:$B$5001,$D$2)))</f>
        <v>0</v>
      </c>
      <c r="AH30" s="32">
        <f>IF($B30="","",IF($B$2="Todos",SUMIFS(BD!$AG$3:$AG$5001,BD!$A$3:$A$5001,$B30),SUMIFS(BD!$AG$3:$AG$5001,BD!$A$3:$A$5001,$B30,BD!$B$3:$B$5001,$D$2)))</f>
        <v>0</v>
      </c>
      <c r="AI30" s="32">
        <f>IF($B30="","",IF($B$2="Todos",SUMIFS(BD!$AH$3:$AH$5001,BD!$A$3:$A$5001,$B30),SUMIFS(BD!$AH$3:$AH$5001,BD!$A$3:$A$5001,$B30,BD!$B$3:$B$5001,$D$2)))</f>
        <v>0</v>
      </c>
      <c r="AJ30" s="50">
        <f>$B$5</f>
        <v>0.7</v>
      </c>
      <c r="AK30" s="50">
        <f>$B$6</f>
        <v>0.9</v>
      </c>
      <c r="AP30" s="29" t="str">
        <f>IFERROR(INDEX(Config!$B$10:$B$29,MATCH(18,$AR$13:$AR$32,0))&amp;"","")</f>
        <v/>
      </c>
      <c r="AQ30" s="28" t="str">
        <f>IF(AP30="","",IF(INDEX(Config!$C$10:$C$29,MATCH(18,$AR$13:$AR$32,0))&amp;""="","TPC",INDEX(Config!$C$10:$C$29,MATCH(18,$AR$13:$AR$32,0))&amp;""))</f>
        <v/>
      </c>
      <c r="AR30" s="38">
        <f>IF(Config!$B$27&amp;""="",AR29,AR29+1)</f>
        <v>10</v>
      </c>
      <c r="AZ30" s="61">
        <f>IF(OR($B30="",N(VALUE($AH$349))=0),"",IF(INDEX($C30:$AI30,VALUE($AH$349))="","",IF(N(VALUE($AJ$349))=0,INDEX($C30:$AI30,VALUE($AH$349)),IF(N(INDEX($C30:$AI30,N(VALUE($AJ$349))))&gt;0,INDEX($C30:$AI30,VALUE($AH$349))/INDEX($C30:$AI30,N(VALUE($AJ$349))),""))))</f>
        <v>0</v>
      </c>
      <c r="BA30" s="61">
        <f>IF(OR($B30="",N(VALUE($AI$349))=0),"",IF(INDEX($C30:$AI30,VALUE($AI$349))="","",IF(N(VALUE($AK$349))=0,INDEX($C30:$AI30,VALUE($AI$349)),IF(N(INDEX($C30:$AI30,N(VALUE($AK$349))))&gt;0,INDEX($C30:$AI30,VALUE($AI$349))/INDEX($C30:$AI30,N(VALUE($AK$349))),""))))</f>
        <v>0</v>
      </c>
      <c r="BB30" s="61">
        <f>IF(OR($B30="",N(VALUE($AP$349))=0),"",IF(INDEX($C30:$AI30,VALUE($AP$349))="","",IF(N(VALUE($AR$349))=0,INDEX($C30:$AI30,VALUE($AP$349)),IF(N(INDEX($C30:$AI30,N(VALUE($AR$349))))&gt;0,INDEX($C30:$AI30,VALUE($AP$349))/INDEX($C30:$AI30,N(VALUE($AR$349))),""))))</f>
        <v>0</v>
      </c>
      <c r="BC30" s="61">
        <f>IF(OR($B30="",N(VALUE($AQ$349))=0),"",IF(INDEX($C30:$AI30,VALUE($AQ$349))="","",IF(N(VALUE($AS$349))=0,INDEX($C30:$AI30,VALUE($AQ$349)),IF(N(INDEX($C30:$AI30,N(VALUE($AS$349))))&gt;0,INDEX($C30:$AI30,VALUE($AQ$349))/INDEX($C30:$AI30,N(VALUE($AS$349))),""))))</f>
        <v>0</v>
      </c>
      <c r="BE30" s="32" t="str">
        <f>IF(AND($A30=$B$9,ISNUMBER(Y30)),Y30,NA())</f>
        <v/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>
        <f>IF($B31="","",IF($B$2="Todos",SUMIFS(BD!$P$3:$P$5001,BD!$A$3:$A$5001,$B31),SUMIFS(BD!$P$3:$P$5001,BD!$A$3:$A$5001,$B31,BD!$B$3:$B$5001,$D$2)))</f>
        <v>0</v>
      </c>
      <c r="Q31" s="32">
        <f>IF($B31="","",IF($B$2="Todos",SUMIFS(BD!$Q$3:$Q$5001,BD!$A$3:$A$5001,$B31),SUMIFS(BD!$Q$3:$Q$5001,BD!$A$3:$A$5001,$B31,BD!$B$3:$B$5001,$D$2)))</f>
        <v>0</v>
      </c>
      <c r="R31" s="32">
        <f>IF($B31="","",IF($B$2="Todos",SUMIFS(BD!$R$3:$R$5001,BD!$A$3:$A$5001,$B31),SUMIFS(BD!$R$3:$R$5001,BD!$A$3:$A$5001,$B31,BD!$B$3:$B$5001,$D$2)))</f>
        <v>0</v>
      </c>
      <c r="S31" s="32">
        <f>IF($B31="","",IF($B$2="Todos",SUMIFS(BD!$S$3:$S$5001,BD!$A$3:$A$5001,$B31),SUMIFS(BD!$S$3:$S$5001,BD!$A$3:$A$5001,$B31,BD!$B$3:$B$5001,$D$2)))</f>
        <v>0</v>
      </c>
      <c r="T31" s="32">
        <f>IF($B31="","",IF($B$2="Todos",SUMIFS(BD!$T$3:$T$5001,BD!$A$3:$A$5001,$B31),SUMIFS(BD!$T$3:$T$5001,BD!$A$3:$A$5001,$B31,BD!$B$3:$B$5001,$D$2)))</f>
        <v>0</v>
      </c>
      <c r="U31" s="47">
        <f>IF($B31="","",IF($B$2="Todos",SUMIFS(BD!$U$3:$U$5001,BD!$A$3:$A$5001,$B31),SUMIFS(BD!$U$3:$U$5001,BD!$A$3:$A$5001,$B31,BD!$B$3:$B$5001,$D$2)))</f>
        <v>0</v>
      </c>
      <c r="V31" s="32">
        <f>IF($B31="","",IF($B$2="Todos",SUMIFS(BD!$V$3:$V$5001,BD!$A$3:$A$5001,$B31),SUMIFS(BD!$V$3:$V$5001,BD!$A$3:$A$5001,$B31,BD!$B$3:$B$5001,$D$2)))</f>
        <v>0</v>
      </c>
      <c r="W31" s="32">
        <f>IF($B31="","",IF($B$2="Todos",SUMIFS(BD!$W$3:$W$5001,BD!$A$3:$A$5001,$B31),SUMIFS(BD!$W$3:$W$5001,BD!$A$3:$A$5001,$B31,BD!$B$3:$B$5001,$D$2)))</f>
        <v>0</v>
      </c>
      <c r="X31" s="32" t="str">
        <f>IF($B$2="Todos",IF(COUNT($C$160:$V$160)=0,"",SUM($C$160:$V$160)),IFERROR(INDEX($C$160:$V$160,MATCH($D$2,$C$140:$V$140,0)),""))</f>
        <v/>
      </c>
      <c r="Y31" s="48" t="str">
        <f>IF(Z31="","",IF($B$2="Todos",IF($B$4&gt;0,$B$4,IF($B$2="Todos",IF(COUNT($C$230:$V$230)=0,"",SUM($C$230:$V$230)),IFERROR(INDEX($C$230:$V$230,MATCH($D$2,$C$210:$V$210,0)),""))),IFERROR(INDEX($C$230:$V$230,MATCH($D$2,$C$210:$V$210,0)),"")))</f>
        <v/>
      </c>
      <c r="Z31" s="32" t="str">
        <f>IF($B$2="Todos",IF(COUNT($C$195:$V$195)=0,"",SUM($C$195:$V$195)),IFERROR(INDEX($C$195:$V$195,MATCH($D$2,$C$175:$V$175,0)),""))</f>
        <v/>
      </c>
      <c r="AA31" s="49" t="str">
        <f>IF(AND(ISNUMBER(Z31),ISNUMBER(Y31)),IF(Y31&gt;0,Z31/Y31,""),"")</f>
        <v/>
      </c>
      <c r="AB31" s="32" t="str">
        <f>IF($B$2="Todos",IF(COUNT($C$265:$V$265)=0,"",SUM($C$265:$V$265)),IFERROR(INDEX($C$265:$V$265,MATCH($D$2,$C$245:$V$245,0)),""))</f>
        <v/>
      </c>
      <c r="AC31" s="32">
        <f>IF($B31="","",IF($B$2="Todos",SUMIFS(BD!$AB$3:$AB$5001,BD!$A$3:$A$5001,$B31),SUMIFS(BD!$AB$3:$AB$5001,BD!$A$3:$A$5001,$B31,BD!$B$3:$B$5001,$D$2)))</f>
        <v>0</v>
      </c>
      <c r="AD31" s="32">
        <f>IF($B31="","",IF($B$2="Todos",SUMIFS(BD!$AC$3:$AC$5001,BD!$A$3:$A$5001,$B31),SUMIFS(BD!$AC$3:$AC$5001,BD!$A$3:$A$5001,$B31,BD!$B$3:$B$5001,$D$2)))</f>
        <v>0</v>
      </c>
      <c r="AE31" s="32">
        <f>IF($B31="","",IF($B$2="Todos",SUMIFS(BD!$AD$3:$AD$5001,BD!$A$3:$A$5001,$B31),SUMIFS(BD!$AD$3:$AD$5001,BD!$A$3:$A$5001,$B31,BD!$B$3:$B$5001,$D$2)))</f>
        <v>0</v>
      </c>
      <c r="AF31" s="32">
        <f>IF($B31="","",IF($B$2="Todos",SUMIFS(BD!$AE$3:$AE$5001,BD!$A$3:$A$5001,$B31),SUMIFS(BD!$AE$3:$AE$5001,BD!$A$3:$A$5001,$B31,BD!$B$3:$B$5001,$D$2)))</f>
        <v>0</v>
      </c>
      <c r="AG31" s="32">
        <f>IF($B31="","",IF($B$2="Todos",SUMIFS(BD!$AF$3:$AF$5001,BD!$A$3:$A$5001,$B31),SUMIFS(BD!$AF$3:$AF$5001,BD!$A$3:$A$5001,$B31,BD!$B$3:$B$5001,$D$2)))</f>
        <v>0</v>
      </c>
      <c r="AH31" s="32">
        <f>IF($B31="","",IF($B$2="Todos",SUMIFS(BD!$AG$3:$AG$5001,BD!$A$3:$A$5001,$B31),SUMIFS(BD!$AG$3:$AG$5001,BD!$A$3:$A$5001,$B31,BD!$B$3:$B$5001,$D$2)))</f>
        <v>0</v>
      </c>
      <c r="AI31" s="32">
        <f>IF($B31="","",IF($B$2="Todos",SUMIFS(BD!$AH$3:$AH$5001,BD!$A$3:$A$5001,$B31),SUMIFS(BD!$AH$3:$AH$5001,BD!$A$3:$A$5001,$B31,BD!$B$3:$B$5001,$D$2)))</f>
        <v>0</v>
      </c>
      <c r="AJ31" s="50">
        <f>$B$5</f>
        <v>0.7</v>
      </c>
      <c r="AK31" s="50">
        <f>$B$6</f>
        <v>0.9</v>
      </c>
      <c r="AP31" s="29" t="str">
        <f>IFERROR(INDEX(Config!$B$10:$B$29,MATCH(19,$AR$13:$AR$32,0))&amp;"","")</f>
        <v/>
      </c>
      <c r="AQ31" s="28" t="str">
        <f>IF(AP31="","",IF(INDEX(Config!$C$10:$C$29,MATCH(19,$AR$13:$AR$32,0))&amp;""="","TPC",INDEX(Config!$C$10:$C$29,MATCH(19,$AR$13:$AR$32,0))&amp;""))</f>
        <v/>
      </c>
      <c r="AR31" s="38">
        <f>IF(Config!$B$28&amp;""="",AR30,AR30+1)</f>
        <v>10</v>
      </c>
      <c r="AZ31" s="61">
        <f>IF(OR($B31="",N(VALUE($AH$349))=0),"",IF(INDEX($C31:$AI31,VALUE($AH$349))="","",IF(N(VALUE($AJ$349))=0,INDEX($C31:$AI31,VALUE($AH$349)),IF(N(INDEX($C31:$AI31,N(VALUE($AJ$349))))&gt;0,INDEX($C31:$AI31,VALUE($AH$349))/INDEX($C31:$AI31,N(VALUE($AJ$349))),""))))</f>
        <v>0</v>
      </c>
      <c r="BA31" s="61">
        <f>IF(OR($B31="",N(VALUE($AI$349))=0),"",IF(INDEX($C31:$AI31,VALUE($AI$349))="","",IF(N(VALUE($AK$349))=0,INDEX($C31:$AI31,VALUE($AI$349)),IF(N(INDEX($C31:$AI31,N(VALUE($AK$349))))&gt;0,INDEX($C31:$AI31,VALUE($AI$349))/INDEX($C31:$AI31,N(VALUE($AK$349))),""))))</f>
        <v>0</v>
      </c>
      <c r="BB31" s="61">
        <f>IF(OR($B31="",N(VALUE($AP$349))=0),"",IF(INDEX($C31:$AI31,VALUE($AP$349))="","",IF(N(VALUE($AR$349))=0,INDEX($C31:$AI31,VALUE($AP$349)),IF(N(INDEX($C31:$AI31,N(VALUE($AR$349))))&gt;0,INDEX($C31:$AI31,VALUE($AP$349))/INDEX($C31:$AI31,N(VALUE($AR$349))),""))))</f>
        <v>0</v>
      </c>
      <c r="BC31" s="61">
        <f>IF(OR($B31="",N(VALUE($AQ$349))=0),"",IF(INDEX($C31:$AI31,VALUE($AQ$349))="","",IF(N(VALUE($AS$349))=0,INDEX($C31:$AI31,VALUE($AQ$349)),IF(N(INDEX($C31:$AI31,N(VALUE($AS$349))))&gt;0,INDEX($C31:$AI31,VALUE($AQ$349))/INDEX($C31:$AI31,N(VALUE($AS$349))),""))))</f>
        <v>0</v>
      </c>
      <c r="BE31" s="32" t="str">
        <f>IF(AND($A31=$B$9,ISNUMBER(Y31)),Y31,NA())</f>
        <v/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>
        <f>IF($B32="","",IF($B$2="Todos",SUMIFS(BD!$P$3:$P$5001,BD!$A$3:$A$5001,$B32),SUMIFS(BD!$P$3:$P$5001,BD!$A$3:$A$5001,$B32,BD!$B$3:$B$5001,$D$2)))</f>
        <v>0</v>
      </c>
      <c r="Q32" s="32">
        <f>IF($B32="","",IF($B$2="Todos",SUMIFS(BD!$Q$3:$Q$5001,BD!$A$3:$A$5001,$B32),SUMIFS(BD!$Q$3:$Q$5001,BD!$A$3:$A$5001,$B32,BD!$B$3:$B$5001,$D$2)))</f>
        <v>0</v>
      </c>
      <c r="R32" s="32">
        <f>IF($B32="","",IF($B$2="Todos",SUMIFS(BD!$R$3:$R$5001,BD!$A$3:$A$5001,$B32),SUMIFS(BD!$R$3:$R$5001,BD!$A$3:$A$5001,$B32,BD!$B$3:$B$5001,$D$2)))</f>
        <v>0</v>
      </c>
      <c r="S32" s="32">
        <f>IF($B32="","",IF($B$2="Todos",SUMIFS(BD!$S$3:$S$5001,BD!$A$3:$A$5001,$B32),SUMIFS(BD!$S$3:$S$5001,BD!$A$3:$A$5001,$B32,BD!$B$3:$B$5001,$D$2)))</f>
        <v>0</v>
      </c>
      <c r="T32" s="32">
        <f>IF($B32="","",IF($B$2="Todos",SUMIFS(BD!$T$3:$T$5001,BD!$A$3:$A$5001,$B32),SUMIFS(BD!$T$3:$T$5001,BD!$A$3:$A$5001,$B32,BD!$B$3:$B$5001,$D$2)))</f>
        <v>0</v>
      </c>
      <c r="U32" s="47">
        <f>IF($B32="","",IF($B$2="Todos",SUMIFS(BD!$U$3:$U$5001,BD!$A$3:$A$5001,$B32),SUMIFS(BD!$U$3:$U$5001,BD!$A$3:$A$5001,$B32,BD!$B$3:$B$5001,$D$2)))</f>
        <v>0</v>
      </c>
      <c r="V32" s="32">
        <f>IF($B32="","",IF($B$2="Todos",SUMIFS(BD!$V$3:$V$5001,BD!$A$3:$A$5001,$B32),SUMIFS(BD!$V$3:$V$5001,BD!$A$3:$A$5001,$B32,BD!$B$3:$B$5001,$D$2)))</f>
        <v>0</v>
      </c>
      <c r="W32" s="32">
        <f>IF($B32="","",IF($B$2="Todos",SUMIFS(BD!$W$3:$W$5001,BD!$A$3:$A$5001,$B32),SUMIFS(BD!$W$3:$W$5001,BD!$A$3:$A$5001,$B32,BD!$B$3:$B$5001,$D$2)))</f>
        <v>0</v>
      </c>
      <c r="X32" s="32" t="str">
        <f>IF($B$2="Todos",IF(COUNT($C$161:$V$161)=0,"",SUM($C$161:$V$161)),IFERROR(INDEX($C$161:$V$161,MATCH($D$2,$C$140:$V$140,0)),""))</f>
        <v/>
      </c>
      <c r="Y32" s="48" t="str">
        <f>IF(Z32="","",IF($B$2="Todos",IF($B$4&gt;0,$B$4,IF($B$2="Todos",IF(COUNT($C$231:$V$231)=0,"",SUM($C$231:$V$231)),IFERROR(INDEX($C$231:$V$231,MATCH($D$2,$C$210:$V$210,0)),""))),IFERROR(INDEX($C$231:$V$231,MATCH($D$2,$C$210:$V$210,0)),"")))</f>
        <v/>
      </c>
      <c r="Z32" s="32" t="str">
        <f>IF($B$2="Todos",IF(COUNT($C$196:$V$196)=0,"",SUM($C$196:$V$196)),IFERROR(INDEX($C$196:$V$196,MATCH($D$2,$C$175:$V$175,0)),""))</f>
        <v/>
      </c>
      <c r="AA32" s="49" t="str">
        <f>IF(AND(ISNUMBER(Z32),ISNUMBER(Y32)),IF(Y32&gt;0,Z32/Y32,""),"")</f>
        <v/>
      </c>
      <c r="AB32" s="32" t="str">
        <f>IF($B$2="Todos",IF(COUNT($C$266:$V$266)=0,"",SUM($C$266:$V$266)),IFERROR(INDEX($C$266:$V$266,MATCH($D$2,$C$245:$V$245,0)),""))</f>
        <v/>
      </c>
      <c r="AC32" s="32">
        <f>IF($B32="","",IF($B$2="Todos",SUMIFS(BD!$AB$3:$AB$5001,BD!$A$3:$A$5001,$B32),SUMIFS(BD!$AB$3:$AB$5001,BD!$A$3:$A$5001,$B32,BD!$B$3:$B$5001,$D$2)))</f>
        <v>0</v>
      </c>
      <c r="AD32" s="32">
        <f>IF($B32="","",IF($B$2="Todos",SUMIFS(BD!$AC$3:$AC$5001,BD!$A$3:$A$5001,$B32),SUMIFS(BD!$AC$3:$AC$5001,BD!$A$3:$A$5001,$B32,BD!$B$3:$B$5001,$D$2)))</f>
        <v>0</v>
      </c>
      <c r="AE32" s="32">
        <f>IF($B32="","",IF($B$2="Todos",SUMIFS(BD!$AD$3:$AD$5001,BD!$A$3:$A$5001,$B32),SUMIFS(BD!$AD$3:$AD$5001,BD!$A$3:$A$5001,$B32,BD!$B$3:$B$5001,$D$2)))</f>
        <v>0</v>
      </c>
      <c r="AF32" s="32">
        <f>IF($B32="","",IF($B$2="Todos",SUMIFS(BD!$AE$3:$AE$5001,BD!$A$3:$A$5001,$B32),SUMIFS(BD!$AE$3:$AE$5001,BD!$A$3:$A$5001,$B32,BD!$B$3:$B$5001,$D$2)))</f>
        <v>0</v>
      </c>
      <c r="AG32" s="32">
        <f>IF($B32="","",IF($B$2="Todos",SUMIFS(BD!$AF$3:$AF$5001,BD!$A$3:$A$5001,$B32),SUMIFS(BD!$AF$3:$AF$5001,BD!$A$3:$A$5001,$B32,BD!$B$3:$B$5001,$D$2)))</f>
        <v>0</v>
      </c>
      <c r="AH32" s="32">
        <f>IF($B32="","",IF($B$2="Todos",SUMIFS(BD!$AG$3:$AG$5001,BD!$A$3:$A$5001,$B32),SUMIFS(BD!$AG$3:$AG$5001,BD!$A$3:$A$5001,$B32,BD!$B$3:$B$5001,$D$2)))</f>
        <v>0</v>
      </c>
      <c r="AI32" s="32">
        <f>IF($B32="","",IF($B$2="Todos",SUMIFS(BD!$AH$3:$AH$5001,BD!$A$3:$A$5001,$B32),SUMIFS(BD!$AH$3:$AH$5001,BD!$A$3:$A$5001,$B32,BD!$B$3:$B$5001,$D$2)))</f>
        <v>0</v>
      </c>
      <c r="AJ32" s="50">
        <f>$B$5</f>
        <v>0.7</v>
      </c>
      <c r="AK32" s="50">
        <f>$B$6</f>
        <v>0.9</v>
      </c>
      <c r="AP32" s="29" t="str">
        <f>IFERROR(INDEX(Config!$B$10:$B$29,MATCH(20,$AR$13:$AR$32,0))&amp;"","")</f>
        <v/>
      </c>
      <c r="AQ32" s="28" t="str">
        <f>IF(AP32="","",IF(INDEX(Config!$C$10:$C$29,MATCH(20,$AR$13:$AR$32,0))&amp;""="","TPC",INDEX(Config!$C$10:$C$29,MATCH(20,$AR$13:$AR$32,0))&amp;""))</f>
        <v/>
      </c>
      <c r="AR32" s="38">
        <f>IF(Config!$B$29&amp;""="",AR31,AR31+1)</f>
        <v>10</v>
      </c>
      <c r="AZ32" s="61">
        <f>IF(OR($B32="",N(VALUE($AH$349))=0),"",IF(INDEX($C32:$AI32,VALUE($AH$349))="","",IF(N(VALUE($AJ$349))=0,INDEX($C32:$AI32,VALUE($AH$349)),IF(N(INDEX($C32:$AI32,N(VALUE($AJ$349))))&gt;0,INDEX($C32:$AI32,VALUE($AH$349))/INDEX($C32:$AI32,N(VALUE($AJ$349))),""))))</f>
        <v>0</v>
      </c>
      <c r="BA32" s="61">
        <f>IF(OR($B32="",N(VALUE($AI$349))=0),"",IF(INDEX($C32:$AI32,VALUE($AI$349))="","",IF(N(VALUE($AK$349))=0,INDEX($C32:$AI32,VALUE($AI$349)),IF(N(INDEX($C32:$AI32,N(VALUE($AK$349))))&gt;0,INDEX($C32:$AI32,VALUE($AI$349))/INDEX($C32:$AI32,N(VALUE($AK$349))),""))))</f>
        <v>0</v>
      </c>
      <c r="BB32" s="61">
        <f>IF(OR($B32="",N(VALUE($AP$349))=0),"",IF(INDEX($C32:$AI32,VALUE($AP$349))="","",IF(N(VALUE($AR$349))=0,INDEX($C32:$AI32,VALUE($AP$349)),IF(N(INDEX($C32:$AI32,N(VALUE($AR$349))))&gt;0,INDEX($C32:$AI32,VALUE($AP$349))/INDEX($C32:$AI32,N(VALUE($AR$349))),""))))</f>
        <v>0</v>
      </c>
      <c r="BC32" s="61">
        <f>IF(OR($B32="",N(VALUE($AQ$349))=0),"",IF(INDEX($C32:$AI32,VALUE($AQ$349))="","",IF(N(VALUE($AS$349))=0,INDEX($C32:$AI32,VALUE($AQ$349)),IF(N(INDEX($C32:$AI32,N(VALUE($AS$349))))&gt;0,INDEX($C32:$AI32,VALUE($AQ$349))/INDEX($C32:$AI32,N(VALUE($AS$349))),""))))</f>
        <v>0</v>
      </c>
      <c r="BE32" s="32" t="str">
        <f>IF(AND($A32=$B$9,ISNUMBER(Y32)),Y32,NA())</f>
        <v/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>
        <f>IF($B33="","",IF($B$2="Todos",SUMIFS(BD!$P$3:$P$5001,BD!$A$3:$A$5001,$B33),SUMIFS(BD!$P$3:$P$5001,BD!$A$3:$A$5001,$B33,BD!$B$3:$B$5001,$D$2)))</f>
        <v>0</v>
      </c>
      <c r="Q33" s="32">
        <f>IF($B33="","",IF($B$2="Todos",SUMIFS(BD!$Q$3:$Q$5001,BD!$A$3:$A$5001,$B33),SUMIFS(BD!$Q$3:$Q$5001,BD!$A$3:$A$5001,$B33,BD!$B$3:$B$5001,$D$2)))</f>
        <v>0</v>
      </c>
      <c r="R33" s="32">
        <f>IF($B33="","",IF($B$2="Todos",SUMIFS(BD!$R$3:$R$5001,BD!$A$3:$A$5001,$B33),SUMIFS(BD!$R$3:$R$5001,BD!$A$3:$A$5001,$B33,BD!$B$3:$B$5001,$D$2)))</f>
        <v>0</v>
      </c>
      <c r="S33" s="32">
        <f>IF($B33="","",IF($B$2="Todos",SUMIFS(BD!$S$3:$S$5001,BD!$A$3:$A$5001,$B33),SUMIFS(BD!$S$3:$S$5001,BD!$A$3:$A$5001,$B33,BD!$B$3:$B$5001,$D$2)))</f>
        <v>0</v>
      </c>
      <c r="T33" s="32">
        <f>IF($B33="","",IF($B$2="Todos",SUMIFS(BD!$T$3:$T$5001,BD!$A$3:$A$5001,$B33),SUMIFS(BD!$T$3:$T$5001,BD!$A$3:$A$5001,$B33,BD!$B$3:$B$5001,$D$2)))</f>
        <v>0</v>
      </c>
      <c r="U33" s="47">
        <f>IF($B33="","",IF($B$2="Todos",SUMIFS(BD!$U$3:$U$5001,BD!$A$3:$A$5001,$B33),SUMIFS(BD!$U$3:$U$5001,BD!$A$3:$A$5001,$B33,BD!$B$3:$B$5001,$D$2)))</f>
        <v>0</v>
      </c>
      <c r="V33" s="32">
        <f>IF($B33="","",IF($B$2="Todos",SUMIFS(BD!$V$3:$V$5001,BD!$A$3:$A$5001,$B33),SUMIFS(BD!$V$3:$V$5001,BD!$A$3:$A$5001,$B33,BD!$B$3:$B$5001,$D$2)))</f>
        <v>0</v>
      </c>
      <c r="W33" s="32">
        <f>IF($B33="","",IF($B$2="Todos",SUMIFS(BD!$W$3:$W$5001,BD!$A$3:$A$5001,$B33),SUMIFS(BD!$W$3:$W$5001,BD!$A$3:$A$5001,$B33,BD!$B$3:$B$5001,$D$2)))</f>
        <v>0</v>
      </c>
      <c r="X33" s="32" t="str">
        <f>IF($B$2="Todos",IF(COUNT($C$162:$V$162)=0,"",SUM($C$162:$V$162)),IFERROR(INDEX($C$162:$V$162,MATCH($D$2,$C$140:$V$140,0)),""))</f>
        <v/>
      </c>
      <c r="Y33" s="48" t="str">
        <f>IF(Z33="","",IF($B$2="Todos",IF($B$4&gt;0,$B$4,IF($B$2="Todos",IF(COUNT($C$232:$V$232)=0,"",SUM($C$232:$V$232)),IFERROR(INDEX($C$232:$V$232,MATCH($D$2,$C$210:$V$210,0)),""))),IFERROR(INDEX($C$232:$V$232,MATCH($D$2,$C$210:$V$210,0)),"")))</f>
        <v/>
      </c>
      <c r="Z33" s="32" t="str">
        <f>IF($B$2="Todos",IF(COUNT($C$197:$V$197)=0,"",SUM($C$197:$V$197)),IFERROR(INDEX($C$197:$V$197,MATCH($D$2,$C$175:$V$175,0)),""))</f>
        <v/>
      </c>
      <c r="AA33" s="49" t="str">
        <f>IF(AND(ISNUMBER(Z33),ISNUMBER(Y33)),IF(Y33&gt;0,Z33/Y33,""),"")</f>
        <v/>
      </c>
      <c r="AB33" s="32" t="str">
        <f>IF($B$2="Todos",IF(COUNT($C$267:$V$267)=0,"",SUM($C$267:$V$267)),IFERROR(INDEX($C$267:$V$267,MATCH($D$2,$C$245:$V$245,0)),""))</f>
        <v/>
      </c>
      <c r="AC33" s="32">
        <f>IF($B33="","",IF($B$2="Todos",SUMIFS(BD!$AB$3:$AB$5001,BD!$A$3:$A$5001,$B33),SUMIFS(BD!$AB$3:$AB$5001,BD!$A$3:$A$5001,$B33,BD!$B$3:$B$5001,$D$2)))</f>
        <v>0</v>
      </c>
      <c r="AD33" s="32">
        <f>IF($B33="","",IF($B$2="Todos",SUMIFS(BD!$AC$3:$AC$5001,BD!$A$3:$A$5001,$B33),SUMIFS(BD!$AC$3:$AC$5001,BD!$A$3:$A$5001,$B33,BD!$B$3:$B$5001,$D$2)))</f>
        <v>0</v>
      </c>
      <c r="AE33" s="32">
        <f>IF($B33="","",IF($B$2="Todos",SUMIFS(BD!$AD$3:$AD$5001,BD!$A$3:$A$5001,$B33),SUMIFS(BD!$AD$3:$AD$5001,BD!$A$3:$A$5001,$B33,BD!$B$3:$B$5001,$D$2)))</f>
        <v>0</v>
      </c>
      <c r="AF33" s="32">
        <f>IF($B33="","",IF($B$2="Todos",SUMIFS(BD!$AE$3:$AE$5001,BD!$A$3:$A$5001,$B33),SUMIFS(BD!$AE$3:$AE$5001,BD!$A$3:$A$5001,$B33,BD!$B$3:$B$5001,$D$2)))</f>
        <v>0</v>
      </c>
      <c r="AG33" s="32">
        <f>IF($B33="","",IF($B$2="Todos",SUMIFS(BD!$AF$3:$AF$5001,BD!$A$3:$A$5001,$B33),SUMIFS(BD!$AF$3:$AF$5001,BD!$A$3:$A$5001,$B33,BD!$B$3:$B$5001,$D$2)))</f>
        <v>0</v>
      </c>
      <c r="AH33" s="32">
        <f>IF($B33="","",IF($B$2="Todos",SUMIFS(BD!$AG$3:$AG$5001,BD!$A$3:$A$5001,$B33),SUMIFS(BD!$AG$3:$AG$5001,BD!$A$3:$A$5001,$B33,BD!$B$3:$B$5001,$D$2)))</f>
        <v>0</v>
      </c>
      <c r="AI33" s="32">
        <f>IF($B33="","",IF($B$2="Todos",SUMIFS(BD!$AH$3:$AH$5001,BD!$A$3:$A$5001,$B33),SUMIFS(BD!$AH$3:$AH$5001,BD!$A$3:$A$5001,$B33,BD!$B$3:$B$5001,$D$2)))</f>
        <v>0</v>
      </c>
      <c r="AJ33" s="50">
        <f>$B$5</f>
        <v>0.7</v>
      </c>
      <c r="AK33" s="50">
        <f>$B$6</f>
        <v>0.9</v>
      </c>
      <c r="AZ33" s="61">
        <f>IF(OR($B33="",N(VALUE($AH$349))=0),"",IF(INDEX($C33:$AI33,VALUE($AH$349))="","",IF(N(VALUE($AJ$349))=0,INDEX($C33:$AI33,VALUE($AH$349)),IF(N(INDEX($C33:$AI33,N(VALUE($AJ$349))))&gt;0,INDEX($C33:$AI33,VALUE($AH$349))/INDEX($C33:$AI33,N(VALUE($AJ$349))),""))))</f>
        <v>0</v>
      </c>
      <c r="BA33" s="61">
        <f>IF(OR($B33="",N(VALUE($AI$349))=0),"",IF(INDEX($C33:$AI33,VALUE($AI$349))="","",IF(N(VALUE($AK$349))=0,INDEX($C33:$AI33,VALUE($AI$349)),IF(N(INDEX($C33:$AI33,N(VALUE($AK$349))))&gt;0,INDEX($C33:$AI33,VALUE($AI$349))/INDEX($C33:$AI33,N(VALUE($AK$349))),""))))</f>
        <v>0</v>
      </c>
      <c r="BB33" s="61">
        <f>IF(OR($B33="",N(VALUE($AP$349))=0),"",IF(INDEX($C33:$AI33,VALUE($AP$349))="","",IF(N(VALUE($AR$349))=0,INDEX($C33:$AI33,VALUE($AP$349)),IF(N(INDEX($C33:$AI33,N(VALUE($AR$349))))&gt;0,INDEX($C33:$AI33,VALUE($AP$349))/INDEX($C33:$AI33,N(VALUE($AR$349))),""))))</f>
        <v>0</v>
      </c>
      <c r="BC33" s="61">
        <f>IF(OR($B33="",N(VALUE($AQ$349))=0),"",IF(INDEX($C33:$AI33,VALUE($AQ$349))="","",IF(N(VALUE($AS$349))=0,INDEX($C33:$AI33,VALUE($AQ$349)),IF(N(INDEX($C33:$AI33,N(VALUE($AS$349))))&gt;0,INDEX($C33:$AI33,VALUE($AQ$349))/INDEX($C33:$AI33,N(VALUE($AS$349))),""))))</f>
        <v>0</v>
      </c>
      <c r="BE33" s="32" t="str">
        <f>IF(AND($A33=$B$9,ISNUMBER(Y33)),Y33,NA())</f>
        <v/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>
        <f>IF($B34="","",IF($B$2="Todos",SUMIFS(BD!$P$3:$P$5001,BD!$A$3:$A$5001,$B34),SUMIFS(BD!$P$3:$P$5001,BD!$A$3:$A$5001,$B34,BD!$B$3:$B$5001,$D$2)))</f>
        <v>0</v>
      </c>
      <c r="Q34" s="32">
        <f>IF($B34="","",IF($B$2="Todos",SUMIFS(BD!$Q$3:$Q$5001,BD!$A$3:$A$5001,$B34),SUMIFS(BD!$Q$3:$Q$5001,BD!$A$3:$A$5001,$B34,BD!$B$3:$B$5001,$D$2)))</f>
        <v>0</v>
      </c>
      <c r="R34" s="32">
        <f>IF($B34="","",IF($B$2="Todos",SUMIFS(BD!$R$3:$R$5001,BD!$A$3:$A$5001,$B34),SUMIFS(BD!$R$3:$R$5001,BD!$A$3:$A$5001,$B34,BD!$B$3:$B$5001,$D$2)))</f>
        <v>0</v>
      </c>
      <c r="S34" s="32">
        <f>IF($B34="","",IF($B$2="Todos",SUMIFS(BD!$S$3:$S$5001,BD!$A$3:$A$5001,$B34),SUMIFS(BD!$S$3:$S$5001,BD!$A$3:$A$5001,$B34,BD!$B$3:$B$5001,$D$2)))</f>
        <v>0</v>
      </c>
      <c r="T34" s="32">
        <f>IF($B34="","",IF($B$2="Todos",SUMIFS(BD!$T$3:$T$5001,BD!$A$3:$A$5001,$B34),SUMIFS(BD!$T$3:$T$5001,BD!$A$3:$A$5001,$B34,BD!$B$3:$B$5001,$D$2)))</f>
        <v>0</v>
      </c>
      <c r="U34" s="47">
        <f>IF($B34="","",IF($B$2="Todos",SUMIFS(BD!$U$3:$U$5001,BD!$A$3:$A$5001,$B34),SUMIFS(BD!$U$3:$U$5001,BD!$A$3:$A$5001,$B34,BD!$B$3:$B$5001,$D$2)))</f>
        <v>0</v>
      </c>
      <c r="V34" s="32">
        <f>IF($B34="","",IF($B$2="Todos",SUMIFS(BD!$V$3:$V$5001,BD!$A$3:$A$5001,$B34),SUMIFS(BD!$V$3:$V$5001,BD!$A$3:$A$5001,$B34,BD!$B$3:$B$5001,$D$2)))</f>
        <v>0</v>
      </c>
      <c r="W34" s="32">
        <f>IF($B34="","",IF($B$2="Todos",SUMIFS(BD!$W$3:$W$5001,BD!$A$3:$A$5001,$B34),SUMIFS(BD!$W$3:$W$5001,BD!$A$3:$A$5001,$B34,BD!$B$3:$B$5001,$D$2)))</f>
        <v>0</v>
      </c>
      <c r="X34" s="32" t="str">
        <f>IF($B$2="Todos",IF(COUNT($C$163:$V$163)=0,"",SUM($C$163:$V$163)),IFERROR(INDEX($C$163:$V$163,MATCH($D$2,$C$140:$V$140,0)),""))</f>
        <v/>
      </c>
      <c r="Y34" s="48" t="str">
        <f>IF(Z34="","",IF($B$2="Todos",IF($B$4&gt;0,$B$4,IF($B$2="Todos",IF(COUNT($C$233:$V$233)=0,"",SUM($C$233:$V$233)),IFERROR(INDEX($C$233:$V$233,MATCH($D$2,$C$210:$V$210,0)),""))),IFERROR(INDEX($C$233:$V$233,MATCH($D$2,$C$210:$V$210,0)),"")))</f>
        <v/>
      </c>
      <c r="Z34" s="32" t="str">
        <f>IF($B$2="Todos",IF(COUNT($C$198:$V$198)=0,"",SUM($C$198:$V$198)),IFERROR(INDEX($C$198:$V$198,MATCH($D$2,$C$175:$V$175,0)),""))</f>
        <v/>
      </c>
      <c r="AA34" s="49" t="str">
        <f>IF(AND(ISNUMBER(Z34),ISNUMBER(Y34)),IF(Y34&gt;0,Z34/Y34,""),"")</f>
        <v/>
      </c>
      <c r="AB34" s="32" t="str">
        <f>IF($B$2="Todos",IF(COUNT($C$268:$V$268)=0,"",SUM($C$268:$V$268)),IFERROR(INDEX($C$268:$V$268,MATCH($D$2,$C$245:$V$245,0)),""))</f>
        <v/>
      </c>
      <c r="AC34" s="32">
        <f>IF($B34="","",IF($B$2="Todos",SUMIFS(BD!$AB$3:$AB$5001,BD!$A$3:$A$5001,$B34),SUMIFS(BD!$AB$3:$AB$5001,BD!$A$3:$A$5001,$B34,BD!$B$3:$B$5001,$D$2)))</f>
        <v>0</v>
      </c>
      <c r="AD34" s="32">
        <f>IF($B34="","",IF($B$2="Todos",SUMIFS(BD!$AC$3:$AC$5001,BD!$A$3:$A$5001,$B34),SUMIFS(BD!$AC$3:$AC$5001,BD!$A$3:$A$5001,$B34,BD!$B$3:$B$5001,$D$2)))</f>
        <v>0</v>
      </c>
      <c r="AE34" s="32">
        <f>IF($B34="","",IF($B$2="Todos",SUMIFS(BD!$AD$3:$AD$5001,BD!$A$3:$A$5001,$B34),SUMIFS(BD!$AD$3:$AD$5001,BD!$A$3:$A$5001,$B34,BD!$B$3:$B$5001,$D$2)))</f>
        <v>0</v>
      </c>
      <c r="AF34" s="32">
        <f>IF($B34="","",IF($B$2="Todos",SUMIFS(BD!$AE$3:$AE$5001,BD!$A$3:$A$5001,$B34),SUMIFS(BD!$AE$3:$AE$5001,BD!$A$3:$A$5001,$B34,BD!$B$3:$B$5001,$D$2)))</f>
        <v>0</v>
      </c>
      <c r="AG34" s="32">
        <f>IF($B34="","",IF($B$2="Todos",SUMIFS(BD!$AF$3:$AF$5001,BD!$A$3:$A$5001,$B34),SUMIFS(BD!$AF$3:$AF$5001,BD!$A$3:$A$5001,$B34,BD!$B$3:$B$5001,$D$2)))</f>
        <v>0</v>
      </c>
      <c r="AH34" s="32">
        <f>IF($B34="","",IF($B$2="Todos",SUMIFS(BD!$AG$3:$AG$5001,BD!$A$3:$A$5001,$B34),SUMIFS(BD!$AG$3:$AG$5001,BD!$A$3:$A$5001,$B34,BD!$B$3:$B$5001,$D$2)))</f>
        <v>0</v>
      </c>
      <c r="AI34" s="32">
        <f>IF($B34="","",IF($B$2="Todos",SUMIFS(BD!$AH$3:$AH$5001,BD!$A$3:$A$5001,$B34),SUMIFS(BD!$AH$3:$AH$5001,BD!$A$3:$A$5001,$B34,BD!$B$3:$B$5001,$D$2)))</f>
        <v>0</v>
      </c>
      <c r="AJ34" s="50">
        <f>$B$5</f>
        <v>0.7</v>
      </c>
      <c r="AK34" s="50">
        <f>$B$6</f>
        <v>0.9</v>
      </c>
      <c r="AZ34" s="61">
        <f>IF(OR($B34="",N(VALUE($AH$349))=0),"",IF(INDEX($C34:$AI34,VALUE($AH$349))="","",IF(N(VALUE($AJ$349))=0,INDEX($C34:$AI34,VALUE($AH$349)),IF(N(INDEX($C34:$AI34,N(VALUE($AJ$349))))&gt;0,INDEX($C34:$AI34,VALUE($AH$349))/INDEX($C34:$AI34,N(VALUE($AJ$349))),""))))</f>
        <v>0</v>
      </c>
      <c r="BA34" s="61">
        <f>IF(OR($B34="",N(VALUE($AI$349))=0),"",IF(INDEX($C34:$AI34,VALUE($AI$349))="","",IF(N(VALUE($AK$349))=0,INDEX($C34:$AI34,VALUE($AI$349)),IF(N(INDEX($C34:$AI34,N(VALUE($AK$349))))&gt;0,INDEX($C34:$AI34,VALUE($AI$349))/INDEX($C34:$AI34,N(VALUE($AK$349))),""))))</f>
        <v>0</v>
      </c>
      <c r="BB34" s="61">
        <f>IF(OR($B34="",N(VALUE($AP$349))=0),"",IF(INDEX($C34:$AI34,VALUE($AP$349))="","",IF(N(VALUE($AR$349))=0,INDEX($C34:$AI34,VALUE($AP$349)),IF(N(INDEX($C34:$AI34,N(VALUE($AR$349))))&gt;0,INDEX($C34:$AI34,VALUE($AP$349))/INDEX($C34:$AI34,N(VALUE($AR$349))),""))))</f>
        <v>0</v>
      </c>
      <c r="BC34" s="61">
        <f>IF(OR($B34="",N(VALUE($AQ$349))=0),"",IF(INDEX($C34:$AI34,VALUE($AQ$349))="","",IF(N(VALUE($AS$349))=0,INDEX($C34:$AI34,VALUE($AQ$349)),IF(N(INDEX($C34:$AI34,N(VALUE($AS$349))))&gt;0,INDEX($C34:$AI34,VALUE($AQ$349))/INDEX($C34:$AI34,N(VALUE($AS$349))),""))))</f>
        <v>0</v>
      </c>
      <c r="BE34" s="32" t="str">
        <f>IF(AND($A34=$B$9,ISNUMBER(Y34)),Y34,NA())</f>
        <v/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>
        <f>IF($B35="","",IF($B$2="Todos",SUMIFS(BD!$P$3:$P$5001,BD!$A$3:$A$5001,$B35),SUMIFS(BD!$P$3:$P$5001,BD!$A$3:$A$5001,$B35,BD!$B$3:$B$5001,$D$2)))</f>
        <v>0</v>
      </c>
      <c r="Q35" s="32">
        <f>IF($B35="","",IF($B$2="Todos",SUMIFS(BD!$Q$3:$Q$5001,BD!$A$3:$A$5001,$B35),SUMIFS(BD!$Q$3:$Q$5001,BD!$A$3:$A$5001,$B35,BD!$B$3:$B$5001,$D$2)))</f>
        <v>0</v>
      </c>
      <c r="R35" s="32">
        <f>IF($B35="","",IF($B$2="Todos",SUMIFS(BD!$R$3:$R$5001,BD!$A$3:$A$5001,$B35),SUMIFS(BD!$R$3:$R$5001,BD!$A$3:$A$5001,$B35,BD!$B$3:$B$5001,$D$2)))</f>
        <v>0</v>
      </c>
      <c r="S35" s="32">
        <f>IF($B35="","",IF($B$2="Todos",SUMIFS(BD!$S$3:$S$5001,BD!$A$3:$A$5001,$B35),SUMIFS(BD!$S$3:$S$5001,BD!$A$3:$A$5001,$B35,BD!$B$3:$B$5001,$D$2)))</f>
        <v>0</v>
      </c>
      <c r="T35" s="32">
        <f>IF($B35="","",IF($B$2="Todos",SUMIFS(BD!$T$3:$T$5001,BD!$A$3:$A$5001,$B35),SUMIFS(BD!$T$3:$T$5001,BD!$A$3:$A$5001,$B35,BD!$B$3:$B$5001,$D$2)))</f>
        <v>0</v>
      </c>
      <c r="U35" s="47">
        <f>IF($B35="","",IF($B$2="Todos",SUMIFS(BD!$U$3:$U$5001,BD!$A$3:$A$5001,$B35),SUMIFS(BD!$U$3:$U$5001,BD!$A$3:$A$5001,$B35,BD!$B$3:$B$5001,$D$2)))</f>
        <v>0</v>
      </c>
      <c r="V35" s="32">
        <f>IF($B35="","",IF($B$2="Todos",SUMIFS(BD!$V$3:$V$5001,BD!$A$3:$A$5001,$B35),SUMIFS(BD!$V$3:$V$5001,BD!$A$3:$A$5001,$B35,BD!$B$3:$B$5001,$D$2)))</f>
        <v>0</v>
      </c>
      <c r="W35" s="32">
        <f>IF($B35="","",IF($B$2="Todos",SUMIFS(BD!$W$3:$W$5001,BD!$A$3:$A$5001,$B35),SUMIFS(BD!$W$3:$W$5001,BD!$A$3:$A$5001,$B35,BD!$B$3:$B$5001,$D$2)))</f>
        <v>0</v>
      </c>
      <c r="X35" s="32" t="str">
        <f>IF($B$2="Todos",IF(COUNT($C$164:$V$164)=0,"",SUM($C$164:$V$164)),IFERROR(INDEX($C$164:$V$164,MATCH($D$2,$C$140:$V$140,0)),""))</f>
        <v/>
      </c>
      <c r="Y35" s="48" t="str">
        <f>IF(Z35="","",IF($B$2="Todos",IF($B$4&gt;0,$B$4,IF($B$2="Todos",IF(COUNT($C$234:$V$234)=0,"",SUM($C$234:$V$234)),IFERROR(INDEX($C$234:$V$234,MATCH($D$2,$C$210:$V$210,0)),""))),IFERROR(INDEX($C$234:$V$234,MATCH($D$2,$C$210:$V$210,0)),"")))</f>
        <v/>
      </c>
      <c r="Z35" s="32" t="str">
        <f>IF($B$2="Todos",IF(COUNT($C$199:$V$199)=0,"",SUM($C$199:$V$199)),IFERROR(INDEX($C$199:$V$199,MATCH($D$2,$C$175:$V$175,0)),""))</f>
        <v/>
      </c>
      <c r="AA35" s="49" t="str">
        <f>IF(AND(ISNUMBER(Z35),ISNUMBER(Y35)),IF(Y35&gt;0,Z35/Y35,""),"")</f>
        <v/>
      </c>
      <c r="AB35" s="32" t="str">
        <f>IF($B$2="Todos",IF(COUNT($C$269:$V$269)=0,"",SUM($C$269:$V$269)),IFERROR(INDEX($C$269:$V$269,MATCH($D$2,$C$245:$V$245,0)),""))</f>
        <v/>
      </c>
      <c r="AC35" s="32">
        <f>IF($B35="","",IF($B$2="Todos",SUMIFS(BD!$AB$3:$AB$5001,BD!$A$3:$A$5001,$B35),SUMIFS(BD!$AB$3:$AB$5001,BD!$A$3:$A$5001,$B35,BD!$B$3:$B$5001,$D$2)))</f>
        <v>0</v>
      </c>
      <c r="AD35" s="32">
        <f>IF($B35="","",IF($B$2="Todos",SUMIFS(BD!$AC$3:$AC$5001,BD!$A$3:$A$5001,$B35),SUMIFS(BD!$AC$3:$AC$5001,BD!$A$3:$A$5001,$B35,BD!$B$3:$B$5001,$D$2)))</f>
        <v>0</v>
      </c>
      <c r="AE35" s="32">
        <f>IF($B35="","",IF($B$2="Todos",SUMIFS(BD!$AD$3:$AD$5001,BD!$A$3:$A$5001,$B35),SUMIFS(BD!$AD$3:$AD$5001,BD!$A$3:$A$5001,$B35,BD!$B$3:$B$5001,$D$2)))</f>
        <v>0</v>
      </c>
      <c r="AF35" s="32">
        <f>IF($B35="","",IF($B$2="Todos",SUMIFS(BD!$AE$3:$AE$5001,BD!$A$3:$A$5001,$B35),SUMIFS(BD!$AE$3:$AE$5001,BD!$A$3:$A$5001,$B35,BD!$B$3:$B$5001,$D$2)))</f>
        <v>0</v>
      </c>
      <c r="AG35" s="32">
        <f>IF($B35="","",IF($B$2="Todos",SUMIFS(BD!$AF$3:$AF$5001,BD!$A$3:$A$5001,$B35),SUMIFS(BD!$AF$3:$AF$5001,BD!$A$3:$A$5001,$B35,BD!$B$3:$B$5001,$D$2)))</f>
        <v>0</v>
      </c>
      <c r="AH35" s="32">
        <f>IF($B35="","",IF($B$2="Todos",SUMIFS(BD!$AG$3:$AG$5001,BD!$A$3:$A$5001,$B35),SUMIFS(BD!$AG$3:$AG$5001,BD!$A$3:$A$5001,$B35,BD!$B$3:$B$5001,$D$2)))</f>
        <v>0</v>
      </c>
      <c r="AI35" s="32">
        <f>IF($B35="","",IF($B$2="Todos",SUMIFS(BD!$AH$3:$AH$5001,BD!$A$3:$A$5001,$B35),SUMIFS(BD!$AH$3:$AH$5001,BD!$A$3:$A$5001,$B35,BD!$B$3:$B$5001,$D$2)))</f>
        <v>0</v>
      </c>
      <c r="AJ35" s="50">
        <f>$B$5</f>
        <v>0.7</v>
      </c>
      <c r="AK35" s="50">
        <f>$B$6</f>
        <v>0.9</v>
      </c>
      <c r="AZ35" s="61">
        <f>IF(OR($B35="",N(VALUE($AH$349))=0),"",IF(INDEX($C35:$AI35,VALUE($AH$349))="","",IF(N(VALUE($AJ$349))=0,INDEX($C35:$AI35,VALUE($AH$349)),IF(N(INDEX($C35:$AI35,N(VALUE($AJ$349))))&gt;0,INDEX($C35:$AI35,VALUE($AH$349))/INDEX($C35:$AI35,N(VALUE($AJ$349))),""))))</f>
        <v>0</v>
      </c>
      <c r="BA35" s="61">
        <f>IF(OR($B35="",N(VALUE($AI$349))=0),"",IF(INDEX($C35:$AI35,VALUE($AI$349))="","",IF(N(VALUE($AK$349))=0,INDEX($C35:$AI35,VALUE($AI$349)),IF(N(INDEX($C35:$AI35,N(VALUE($AK$349))))&gt;0,INDEX($C35:$AI35,VALUE($AI$349))/INDEX($C35:$AI35,N(VALUE($AK$349))),""))))</f>
        <v>0</v>
      </c>
      <c r="BB35" s="61">
        <f>IF(OR($B35="",N(VALUE($AP$349))=0),"",IF(INDEX($C35:$AI35,VALUE($AP$349))="","",IF(N(VALUE($AR$349))=0,INDEX($C35:$AI35,VALUE($AP$349)),IF(N(INDEX($C35:$AI35,N(VALUE($AR$349))))&gt;0,INDEX($C35:$AI35,VALUE($AP$349))/INDEX($C35:$AI35,N(VALUE($AR$349))),""))))</f>
        <v>0</v>
      </c>
      <c r="BC35" s="61">
        <f>IF(OR($B35="",N(VALUE($AQ$349))=0),"",IF(INDEX($C35:$AI35,VALUE($AQ$349))="","",IF(N(VALUE($AS$349))=0,INDEX($C35:$AI35,VALUE($AQ$349)),IF(N(INDEX($C35:$AI35,N(VALUE($AS$349))))&gt;0,INDEX($C35:$AI35,VALUE($AQ$349))/INDEX($C35:$AI35,N(VALUE($AS$349))),""))))</f>
        <v>0</v>
      </c>
      <c r="BE35" s="32" t="str">
        <f>IF(AND($A35=$B$9,ISNUMBER(Y35)),Y35,NA())</f>
        <v/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>
        <f>IF($B36="","",IF($B$2="Todos",SUMIFS(BD!$P$3:$P$5001,BD!$A$3:$A$5001,$B36),SUMIFS(BD!$P$3:$P$5001,BD!$A$3:$A$5001,$B36,BD!$B$3:$B$5001,$D$2)))</f>
        <v>0</v>
      </c>
      <c r="Q36" s="32">
        <f>IF($B36="","",IF($B$2="Todos",SUMIFS(BD!$Q$3:$Q$5001,BD!$A$3:$A$5001,$B36),SUMIFS(BD!$Q$3:$Q$5001,BD!$A$3:$A$5001,$B36,BD!$B$3:$B$5001,$D$2)))</f>
        <v>0</v>
      </c>
      <c r="R36" s="32">
        <f>IF($B36="","",IF($B$2="Todos",SUMIFS(BD!$R$3:$R$5001,BD!$A$3:$A$5001,$B36),SUMIFS(BD!$R$3:$R$5001,BD!$A$3:$A$5001,$B36,BD!$B$3:$B$5001,$D$2)))</f>
        <v>0</v>
      </c>
      <c r="S36" s="32">
        <f>IF($B36="","",IF($B$2="Todos",SUMIFS(BD!$S$3:$S$5001,BD!$A$3:$A$5001,$B36),SUMIFS(BD!$S$3:$S$5001,BD!$A$3:$A$5001,$B36,BD!$B$3:$B$5001,$D$2)))</f>
        <v>0</v>
      </c>
      <c r="T36" s="32">
        <f>IF($B36="","",IF($B$2="Todos",SUMIFS(BD!$T$3:$T$5001,BD!$A$3:$A$5001,$B36),SUMIFS(BD!$T$3:$T$5001,BD!$A$3:$A$5001,$B36,BD!$B$3:$B$5001,$D$2)))</f>
        <v>0</v>
      </c>
      <c r="U36" s="47">
        <f>IF($B36="","",IF($B$2="Todos",SUMIFS(BD!$U$3:$U$5001,BD!$A$3:$A$5001,$B36),SUMIFS(BD!$U$3:$U$5001,BD!$A$3:$A$5001,$B36,BD!$B$3:$B$5001,$D$2)))</f>
        <v>0</v>
      </c>
      <c r="V36" s="32">
        <f>IF($B36="","",IF($B$2="Todos",SUMIFS(BD!$V$3:$V$5001,BD!$A$3:$A$5001,$B36),SUMIFS(BD!$V$3:$V$5001,BD!$A$3:$A$5001,$B36,BD!$B$3:$B$5001,$D$2)))</f>
        <v>0</v>
      </c>
      <c r="W36" s="32">
        <f>IF($B36="","",IF($B$2="Todos",SUMIFS(BD!$W$3:$W$5001,BD!$A$3:$A$5001,$B36),SUMIFS(BD!$W$3:$W$5001,BD!$A$3:$A$5001,$B36,BD!$B$3:$B$5001,$D$2)))</f>
        <v>0</v>
      </c>
      <c r="X36" s="32" t="str">
        <f>IF($B$2="Todos",IF(COUNT($C$165:$V$165)=0,"",SUM($C$165:$V$165)),IFERROR(INDEX($C$165:$V$165,MATCH($D$2,$C$140:$V$140,0)),""))</f>
        <v/>
      </c>
      <c r="Y36" s="48" t="str">
        <f>IF(Z36="","",IF($B$2="Todos",IF($B$4&gt;0,$B$4,IF($B$2="Todos",IF(COUNT($C$235:$V$235)=0,"",SUM($C$235:$V$235)),IFERROR(INDEX($C$235:$V$235,MATCH($D$2,$C$210:$V$210,0)),""))),IFERROR(INDEX($C$235:$V$235,MATCH($D$2,$C$210:$V$210,0)),"")))</f>
        <v/>
      </c>
      <c r="Z36" s="32" t="str">
        <f>IF($B$2="Todos",IF(COUNT($C$200:$V$200)=0,"",SUM($C$200:$V$200)),IFERROR(INDEX($C$200:$V$200,MATCH($D$2,$C$175:$V$175,0)),""))</f>
        <v/>
      </c>
      <c r="AA36" s="49" t="str">
        <f>IF(AND(ISNUMBER(Z36),ISNUMBER(Y36)),IF(Y36&gt;0,Z36/Y36,""),"")</f>
        <v/>
      </c>
      <c r="AB36" s="32" t="str">
        <f>IF($B$2="Todos",IF(COUNT($C$270:$V$270)=0,"",SUM($C$270:$V$270)),IFERROR(INDEX($C$270:$V$270,MATCH($D$2,$C$245:$V$245,0)),""))</f>
        <v/>
      </c>
      <c r="AC36" s="32">
        <f>IF($B36="","",IF($B$2="Todos",SUMIFS(BD!$AB$3:$AB$5001,BD!$A$3:$A$5001,$B36),SUMIFS(BD!$AB$3:$AB$5001,BD!$A$3:$A$5001,$B36,BD!$B$3:$B$5001,$D$2)))</f>
        <v>0</v>
      </c>
      <c r="AD36" s="32">
        <f>IF($B36="","",IF($B$2="Todos",SUMIFS(BD!$AC$3:$AC$5001,BD!$A$3:$A$5001,$B36),SUMIFS(BD!$AC$3:$AC$5001,BD!$A$3:$A$5001,$B36,BD!$B$3:$B$5001,$D$2)))</f>
        <v>0</v>
      </c>
      <c r="AE36" s="32">
        <f>IF($B36="","",IF($B$2="Todos",SUMIFS(BD!$AD$3:$AD$5001,BD!$A$3:$A$5001,$B36),SUMIFS(BD!$AD$3:$AD$5001,BD!$A$3:$A$5001,$B36,BD!$B$3:$B$5001,$D$2)))</f>
        <v>0</v>
      </c>
      <c r="AF36" s="32">
        <f>IF($B36="","",IF($B$2="Todos",SUMIFS(BD!$AE$3:$AE$5001,BD!$A$3:$A$5001,$B36),SUMIFS(BD!$AE$3:$AE$5001,BD!$A$3:$A$5001,$B36,BD!$B$3:$B$5001,$D$2)))</f>
        <v>0</v>
      </c>
      <c r="AG36" s="32">
        <f>IF($B36="","",IF($B$2="Todos",SUMIFS(BD!$AF$3:$AF$5001,BD!$A$3:$A$5001,$B36),SUMIFS(BD!$AF$3:$AF$5001,BD!$A$3:$A$5001,$B36,BD!$B$3:$B$5001,$D$2)))</f>
        <v>0</v>
      </c>
      <c r="AH36" s="32">
        <f>IF($B36="","",IF($B$2="Todos",SUMIFS(BD!$AG$3:$AG$5001,BD!$A$3:$A$5001,$B36),SUMIFS(BD!$AG$3:$AG$5001,BD!$A$3:$A$5001,$B36,BD!$B$3:$B$5001,$D$2)))</f>
        <v>0</v>
      </c>
      <c r="AI36" s="32">
        <f>IF($B36="","",IF($B$2="Todos",SUMIFS(BD!$AH$3:$AH$5001,BD!$A$3:$A$5001,$B36),SUMIFS(BD!$AH$3:$AH$5001,BD!$A$3:$A$5001,$B36,BD!$B$3:$B$5001,$D$2)))</f>
        <v>0</v>
      </c>
      <c r="AJ36" s="50">
        <f>$B$5</f>
        <v>0.7</v>
      </c>
      <c r="AK36" s="50">
        <f>$B$6</f>
        <v>0.9</v>
      </c>
      <c r="AZ36" s="61">
        <f>IF(OR($B36="",N(VALUE($AH$349))=0),"",IF(INDEX($C36:$AI36,VALUE($AH$349))="","",IF(N(VALUE($AJ$349))=0,INDEX($C36:$AI36,VALUE($AH$349)),IF(N(INDEX($C36:$AI36,N(VALUE($AJ$349))))&gt;0,INDEX($C36:$AI36,VALUE($AH$349))/INDEX($C36:$AI36,N(VALUE($AJ$349))),""))))</f>
        <v>0</v>
      </c>
      <c r="BA36" s="61">
        <f>IF(OR($B36="",N(VALUE($AI$349))=0),"",IF(INDEX($C36:$AI36,VALUE($AI$349))="","",IF(N(VALUE($AK$349))=0,INDEX($C36:$AI36,VALUE($AI$349)),IF(N(INDEX($C36:$AI36,N(VALUE($AK$349))))&gt;0,INDEX($C36:$AI36,VALUE($AI$349))/INDEX($C36:$AI36,N(VALUE($AK$349))),""))))</f>
        <v>0</v>
      </c>
      <c r="BB36" s="61">
        <f>IF(OR($B36="",N(VALUE($AP$349))=0),"",IF(INDEX($C36:$AI36,VALUE($AP$349))="","",IF(N(VALUE($AR$349))=0,INDEX($C36:$AI36,VALUE($AP$349)),IF(N(INDEX($C36:$AI36,N(VALUE($AR$349))))&gt;0,INDEX($C36:$AI36,VALUE($AP$349))/INDEX($C36:$AI36,N(VALUE($AR$349))),""))))</f>
        <v>0</v>
      </c>
      <c r="BC36" s="61">
        <f>IF(OR($B36="",N(VALUE($AQ$349))=0),"",IF(INDEX($C36:$AI36,VALUE($AQ$349))="","",IF(N(VALUE($AS$349))=0,INDEX($C36:$AI36,VALUE($AQ$349)),IF(N(INDEX($C36:$AI36,N(VALUE($AS$349))))&gt;0,INDEX($C36:$AI36,VALUE($AQ$349))/INDEX($C36:$AI36,N(VALUE($AS$349))),""))))</f>
        <v>0</v>
      </c>
      <c r="BE36" s="32" t="str">
        <f>IF(AND($A36=$B$9,ISNUMBER(Y36)),Y36,NA())</f>
        <v/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>
        <f>IF($B37="","",IF($B$2="Todos",SUMIFS(BD!$P$3:$P$5001,BD!$A$3:$A$5001,$B37),SUMIFS(BD!$P$3:$P$5001,BD!$A$3:$A$5001,$B37,BD!$B$3:$B$5001,$D$2)))</f>
        <v>0</v>
      </c>
      <c r="Q37" s="32">
        <f>IF($B37="","",IF($B$2="Todos",SUMIFS(BD!$Q$3:$Q$5001,BD!$A$3:$A$5001,$B37),SUMIFS(BD!$Q$3:$Q$5001,BD!$A$3:$A$5001,$B37,BD!$B$3:$B$5001,$D$2)))</f>
        <v>0</v>
      </c>
      <c r="R37" s="32">
        <f>IF($B37="","",IF($B$2="Todos",SUMIFS(BD!$R$3:$R$5001,BD!$A$3:$A$5001,$B37),SUMIFS(BD!$R$3:$R$5001,BD!$A$3:$A$5001,$B37,BD!$B$3:$B$5001,$D$2)))</f>
        <v>0</v>
      </c>
      <c r="S37" s="32">
        <f>IF($B37="","",IF($B$2="Todos",SUMIFS(BD!$S$3:$S$5001,BD!$A$3:$A$5001,$B37),SUMIFS(BD!$S$3:$S$5001,BD!$A$3:$A$5001,$B37,BD!$B$3:$B$5001,$D$2)))</f>
        <v>0</v>
      </c>
      <c r="T37" s="32">
        <f>IF($B37="","",IF($B$2="Todos",SUMIFS(BD!$T$3:$T$5001,BD!$A$3:$A$5001,$B37),SUMIFS(BD!$T$3:$T$5001,BD!$A$3:$A$5001,$B37,BD!$B$3:$B$5001,$D$2)))</f>
        <v>0</v>
      </c>
      <c r="U37" s="47">
        <f>IF($B37="","",IF($B$2="Todos",SUMIFS(BD!$U$3:$U$5001,BD!$A$3:$A$5001,$B37),SUMIFS(BD!$U$3:$U$5001,BD!$A$3:$A$5001,$B37,BD!$B$3:$B$5001,$D$2)))</f>
        <v>0</v>
      </c>
      <c r="V37" s="32">
        <f>IF($B37="","",IF($B$2="Todos",SUMIFS(BD!$V$3:$V$5001,BD!$A$3:$A$5001,$B37),SUMIFS(BD!$V$3:$V$5001,BD!$A$3:$A$5001,$B37,BD!$B$3:$B$5001,$D$2)))</f>
        <v>0</v>
      </c>
      <c r="W37" s="32">
        <f>IF($B37="","",IF($B$2="Todos",SUMIFS(BD!$W$3:$W$5001,BD!$A$3:$A$5001,$B37),SUMIFS(BD!$W$3:$W$5001,BD!$A$3:$A$5001,$B37,BD!$B$3:$B$5001,$D$2)))</f>
        <v>0</v>
      </c>
      <c r="X37" s="32" t="str">
        <f>IF($B$2="Todos",IF(COUNT($C$166:$V$166)=0,"",SUM($C$166:$V$166)),IFERROR(INDEX($C$166:$V$166,MATCH($D$2,$C$140:$V$140,0)),""))</f>
        <v/>
      </c>
      <c r="Y37" s="48" t="str">
        <f>IF(Z37="","",IF($B$2="Todos",IF($B$4&gt;0,$B$4,IF($B$2="Todos",IF(COUNT($C$236:$V$236)=0,"",SUM($C$236:$V$236)),IFERROR(INDEX($C$236:$V$236,MATCH($D$2,$C$210:$V$210,0)),""))),IFERROR(INDEX($C$236:$V$236,MATCH($D$2,$C$210:$V$210,0)),"")))</f>
        <v/>
      </c>
      <c r="Z37" s="32" t="str">
        <f>IF($B$2="Todos",IF(COUNT($C$201:$V$201)=0,"",SUM($C$201:$V$201)),IFERROR(INDEX($C$201:$V$201,MATCH($D$2,$C$175:$V$175,0)),""))</f>
        <v/>
      </c>
      <c r="AA37" s="49" t="str">
        <f>IF(AND(ISNUMBER(Z37),ISNUMBER(Y37)),IF(Y37&gt;0,Z37/Y37,""),"")</f>
        <v/>
      </c>
      <c r="AB37" s="32" t="str">
        <f>IF($B$2="Todos",IF(COUNT($C$271:$V$271)=0,"",SUM($C$271:$V$271)),IFERROR(INDEX($C$271:$V$271,MATCH($D$2,$C$245:$V$245,0)),""))</f>
        <v/>
      </c>
      <c r="AC37" s="32">
        <f>IF($B37="","",IF($B$2="Todos",SUMIFS(BD!$AB$3:$AB$5001,BD!$A$3:$A$5001,$B37),SUMIFS(BD!$AB$3:$AB$5001,BD!$A$3:$A$5001,$B37,BD!$B$3:$B$5001,$D$2)))</f>
        <v>0</v>
      </c>
      <c r="AD37" s="32">
        <f>IF($B37="","",IF($B$2="Todos",SUMIFS(BD!$AC$3:$AC$5001,BD!$A$3:$A$5001,$B37),SUMIFS(BD!$AC$3:$AC$5001,BD!$A$3:$A$5001,$B37,BD!$B$3:$B$5001,$D$2)))</f>
        <v>0</v>
      </c>
      <c r="AE37" s="32">
        <f>IF($B37="","",IF($B$2="Todos",SUMIFS(BD!$AD$3:$AD$5001,BD!$A$3:$A$5001,$B37),SUMIFS(BD!$AD$3:$AD$5001,BD!$A$3:$A$5001,$B37,BD!$B$3:$B$5001,$D$2)))</f>
        <v>0</v>
      </c>
      <c r="AF37" s="32">
        <f>IF($B37="","",IF($B$2="Todos",SUMIFS(BD!$AE$3:$AE$5001,BD!$A$3:$A$5001,$B37),SUMIFS(BD!$AE$3:$AE$5001,BD!$A$3:$A$5001,$B37,BD!$B$3:$B$5001,$D$2)))</f>
        <v>0</v>
      </c>
      <c r="AG37" s="32">
        <f>IF($B37="","",IF($B$2="Todos",SUMIFS(BD!$AF$3:$AF$5001,BD!$A$3:$A$5001,$B37),SUMIFS(BD!$AF$3:$AF$5001,BD!$A$3:$A$5001,$B37,BD!$B$3:$B$5001,$D$2)))</f>
        <v>0</v>
      </c>
      <c r="AH37" s="32">
        <f>IF($B37="","",IF($B$2="Todos",SUMIFS(BD!$AG$3:$AG$5001,BD!$A$3:$A$5001,$B37),SUMIFS(BD!$AG$3:$AG$5001,BD!$A$3:$A$5001,$B37,BD!$B$3:$B$5001,$D$2)))</f>
        <v>0</v>
      </c>
      <c r="AI37" s="32">
        <f>IF($B37="","",IF($B$2="Todos",SUMIFS(BD!$AH$3:$AH$5001,BD!$A$3:$A$5001,$B37),SUMIFS(BD!$AH$3:$AH$5001,BD!$A$3:$A$5001,$B37,BD!$B$3:$B$5001,$D$2)))</f>
        <v>0</v>
      </c>
      <c r="AJ37" s="50">
        <f>$B$5</f>
        <v>0.7</v>
      </c>
      <c r="AK37" s="50">
        <f>$B$6</f>
        <v>0.9</v>
      </c>
      <c r="AZ37" s="61">
        <f>IF(OR($B37="",N(VALUE($AH$349))=0),"",IF(INDEX($C37:$AI37,VALUE($AH$349))="","",IF(N(VALUE($AJ$349))=0,INDEX($C37:$AI37,VALUE($AH$349)),IF(N(INDEX($C37:$AI37,N(VALUE($AJ$349))))&gt;0,INDEX($C37:$AI37,VALUE($AH$349))/INDEX($C37:$AI37,N(VALUE($AJ$349))),""))))</f>
        <v>0</v>
      </c>
      <c r="BA37" s="61">
        <f>IF(OR($B37="",N(VALUE($AI$349))=0),"",IF(INDEX($C37:$AI37,VALUE($AI$349))="","",IF(N(VALUE($AK$349))=0,INDEX($C37:$AI37,VALUE($AI$349)),IF(N(INDEX($C37:$AI37,N(VALUE($AK$349))))&gt;0,INDEX($C37:$AI37,VALUE($AI$349))/INDEX($C37:$AI37,N(VALUE($AK$349))),""))))</f>
        <v>0</v>
      </c>
      <c r="BB37" s="61">
        <f>IF(OR($B37="",N(VALUE($AP$349))=0),"",IF(INDEX($C37:$AI37,VALUE($AP$349))="","",IF(N(VALUE($AR$349))=0,INDEX($C37:$AI37,VALUE($AP$349)),IF(N(INDEX($C37:$AI37,N(VALUE($AR$349))))&gt;0,INDEX($C37:$AI37,VALUE($AP$349))/INDEX($C37:$AI37,N(VALUE($AR$349))),""))))</f>
        <v>0</v>
      </c>
      <c r="BC37" s="61">
        <f>IF(OR($B37="",N(VALUE($AQ$349))=0),"",IF(INDEX($C37:$AI37,VALUE($AQ$349))="","",IF(N(VALUE($AS$349))=0,INDEX($C37:$AI37,VALUE($AQ$349)),IF(N(INDEX($C37:$AI37,N(VALUE($AS$349))))&gt;0,INDEX($C37:$AI37,VALUE($AQ$349))/INDEX($C37:$AI37,N(VALUE($AS$349))),""))))</f>
        <v>0</v>
      </c>
      <c r="BE37" s="32" t="str">
        <f>IF(AND($A37=$B$9,ISNUMBER(Y37)),Y37,NA())</f>
        <v/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>
        <f>IF($B38="","",IF($B$2="Todos",SUMIFS(BD!$P$3:$P$5001,BD!$A$3:$A$5001,$B38),SUMIFS(BD!$P$3:$P$5001,BD!$A$3:$A$5001,$B38,BD!$B$3:$B$5001,$D$2)))</f>
        <v>0</v>
      </c>
      <c r="Q38" s="32">
        <f>IF($B38="","",IF($B$2="Todos",SUMIFS(BD!$Q$3:$Q$5001,BD!$A$3:$A$5001,$B38),SUMIFS(BD!$Q$3:$Q$5001,BD!$A$3:$A$5001,$B38,BD!$B$3:$B$5001,$D$2)))</f>
        <v>0</v>
      </c>
      <c r="R38" s="32">
        <f>IF($B38="","",IF($B$2="Todos",SUMIFS(BD!$R$3:$R$5001,BD!$A$3:$A$5001,$B38),SUMIFS(BD!$R$3:$R$5001,BD!$A$3:$A$5001,$B38,BD!$B$3:$B$5001,$D$2)))</f>
        <v>0</v>
      </c>
      <c r="S38" s="32">
        <f>IF($B38="","",IF($B$2="Todos",SUMIFS(BD!$S$3:$S$5001,BD!$A$3:$A$5001,$B38),SUMIFS(BD!$S$3:$S$5001,BD!$A$3:$A$5001,$B38,BD!$B$3:$B$5001,$D$2)))</f>
        <v>0</v>
      </c>
      <c r="T38" s="32">
        <f>IF($B38="","",IF($B$2="Todos",SUMIFS(BD!$T$3:$T$5001,BD!$A$3:$A$5001,$B38),SUMIFS(BD!$T$3:$T$5001,BD!$A$3:$A$5001,$B38,BD!$B$3:$B$5001,$D$2)))</f>
        <v>0</v>
      </c>
      <c r="U38" s="47">
        <f>IF($B38="","",IF($B$2="Todos",SUMIFS(BD!$U$3:$U$5001,BD!$A$3:$A$5001,$B38),SUMIFS(BD!$U$3:$U$5001,BD!$A$3:$A$5001,$B38,BD!$B$3:$B$5001,$D$2)))</f>
        <v>0</v>
      </c>
      <c r="V38" s="32">
        <f>IF($B38="","",IF($B$2="Todos",SUMIFS(BD!$V$3:$V$5001,BD!$A$3:$A$5001,$B38),SUMIFS(BD!$V$3:$V$5001,BD!$A$3:$A$5001,$B38,BD!$B$3:$B$5001,$D$2)))</f>
        <v>0</v>
      </c>
      <c r="W38" s="32">
        <f>IF($B38="","",IF($B$2="Todos",SUMIFS(BD!$W$3:$W$5001,BD!$A$3:$A$5001,$B38),SUMIFS(BD!$W$3:$W$5001,BD!$A$3:$A$5001,$B38,BD!$B$3:$B$5001,$D$2)))</f>
        <v>0</v>
      </c>
      <c r="X38" s="32" t="str">
        <f>IF($B$2="Todos",IF(COUNT($C$167:$V$167)=0,"",SUM($C$167:$V$167)),IFERROR(INDEX($C$167:$V$167,MATCH($D$2,$C$140:$V$140,0)),""))</f>
        <v/>
      </c>
      <c r="Y38" s="48" t="str">
        <f>IF(Z38="","",IF($B$2="Todos",IF($B$4&gt;0,$B$4,IF($B$2="Todos",IF(COUNT($C$237:$V$237)=0,"",SUM($C$237:$V$237)),IFERROR(INDEX($C$237:$V$237,MATCH($D$2,$C$210:$V$210,0)),""))),IFERROR(INDEX($C$237:$V$237,MATCH($D$2,$C$210:$V$210,0)),"")))</f>
        <v/>
      </c>
      <c r="Z38" s="32" t="str">
        <f>IF($B$2="Todos",IF(COUNT($C$202:$V$202)=0,"",SUM($C$202:$V$202)),IFERROR(INDEX($C$202:$V$202,MATCH($D$2,$C$175:$V$175,0)),""))</f>
        <v/>
      </c>
      <c r="AA38" s="49" t="str">
        <f>IF(AND(ISNUMBER(Z38),ISNUMBER(Y38)),IF(Y38&gt;0,Z38/Y38,""),"")</f>
        <v/>
      </c>
      <c r="AB38" s="32" t="str">
        <f>IF($B$2="Todos",IF(COUNT($C$272:$V$272)=0,"",SUM($C$272:$V$272)),IFERROR(INDEX($C$272:$V$272,MATCH($D$2,$C$245:$V$245,0)),""))</f>
        <v/>
      </c>
      <c r="AC38" s="32">
        <f>IF($B38="","",IF($B$2="Todos",SUMIFS(BD!$AB$3:$AB$5001,BD!$A$3:$A$5001,$B38),SUMIFS(BD!$AB$3:$AB$5001,BD!$A$3:$A$5001,$B38,BD!$B$3:$B$5001,$D$2)))</f>
        <v>0</v>
      </c>
      <c r="AD38" s="32">
        <f>IF($B38="","",IF($B$2="Todos",SUMIFS(BD!$AC$3:$AC$5001,BD!$A$3:$A$5001,$B38),SUMIFS(BD!$AC$3:$AC$5001,BD!$A$3:$A$5001,$B38,BD!$B$3:$B$5001,$D$2)))</f>
        <v>0</v>
      </c>
      <c r="AE38" s="32">
        <f>IF($B38="","",IF($B$2="Todos",SUMIFS(BD!$AD$3:$AD$5001,BD!$A$3:$A$5001,$B38),SUMIFS(BD!$AD$3:$AD$5001,BD!$A$3:$A$5001,$B38,BD!$B$3:$B$5001,$D$2)))</f>
        <v>0</v>
      </c>
      <c r="AF38" s="32">
        <f>IF($B38="","",IF($B$2="Todos",SUMIFS(BD!$AE$3:$AE$5001,BD!$A$3:$A$5001,$B38),SUMIFS(BD!$AE$3:$AE$5001,BD!$A$3:$A$5001,$B38,BD!$B$3:$B$5001,$D$2)))</f>
        <v>0</v>
      </c>
      <c r="AG38" s="32">
        <f>IF($B38="","",IF($B$2="Todos",SUMIFS(BD!$AF$3:$AF$5001,BD!$A$3:$A$5001,$B38),SUMIFS(BD!$AF$3:$AF$5001,BD!$A$3:$A$5001,$B38,BD!$B$3:$B$5001,$D$2)))</f>
        <v>0</v>
      </c>
      <c r="AH38" s="32">
        <f>IF($B38="","",IF($B$2="Todos",SUMIFS(BD!$AG$3:$AG$5001,BD!$A$3:$A$5001,$B38),SUMIFS(BD!$AG$3:$AG$5001,BD!$A$3:$A$5001,$B38,BD!$B$3:$B$5001,$D$2)))</f>
        <v>0</v>
      </c>
      <c r="AI38" s="32">
        <f>IF($B38="","",IF($B$2="Todos",SUMIFS(BD!$AH$3:$AH$5001,BD!$A$3:$A$5001,$B38),SUMIFS(BD!$AH$3:$AH$5001,BD!$A$3:$A$5001,$B38,BD!$B$3:$B$5001,$D$2)))</f>
        <v>0</v>
      </c>
      <c r="AJ38" s="50">
        <f>$B$5</f>
        <v>0.7</v>
      </c>
      <c r="AK38" s="50">
        <f>$B$6</f>
        <v>0.9</v>
      </c>
      <c r="AZ38" s="61">
        <f>IF(OR($B38="",N(VALUE($AH$349))=0),"",IF(INDEX($C38:$AI38,VALUE($AH$349))="","",IF(N(VALUE($AJ$349))=0,INDEX($C38:$AI38,VALUE($AH$349)),IF(N(INDEX($C38:$AI38,N(VALUE($AJ$349))))&gt;0,INDEX($C38:$AI38,VALUE($AH$349))/INDEX($C38:$AI38,N(VALUE($AJ$349))),""))))</f>
        <v>0</v>
      </c>
      <c r="BA38" s="61">
        <f>IF(OR($B38="",N(VALUE($AI$349))=0),"",IF(INDEX($C38:$AI38,VALUE($AI$349))="","",IF(N(VALUE($AK$349))=0,INDEX($C38:$AI38,VALUE($AI$349)),IF(N(INDEX($C38:$AI38,N(VALUE($AK$349))))&gt;0,INDEX($C38:$AI38,VALUE($AI$349))/INDEX($C38:$AI38,N(VALUE($AK$349))),""))))</f>
        <v>0</v>
      </c>
      <c r="BB38" s="61">
        <f>IF(OR($B38="",N(VALUE($AP$349))=0),"",IF(INDEX($C38:$AI38,VALUE($AP$349))="","",IF(N(VALUE($AR$349))=0,INDEX($C38:$AI38,VALUE($AP$349)),IF(N(INDEX($C38:$AI38,N(VALUE($AR$349))))&gt;0,INDEX($C38:$AI38,VALUE($AP$349))/INDEX($C38:$AI38,N(VALUE($AR$349))),""))))</f>
        <v>0</v>
      </c>
      <c r="BC38" s="61">
        <f>IF(OR($B38="",N(VALUE($AQ$349))=0),"",IF(INDEX($C38:$AI38,VALUE($AQ$349))="","",IF(N(VALUE($AS$349))=0,INDEX($C38:$AI38,VALUE($AQ$349)),IF(N(INDEX($C38:$AI38,N(VALUE($AS$349))))&gt;0,INDEX($C38:$AI38,VALUE($AQ$349))/INDEX($C38:$AI38,N(VALUE($AS$349))),""))))</f>
        <v>0</v>
      </c>
      <c r="BE38" s="32" t="str">
        <f>IF(AND($A38=$B$9,ISNUMBER(Y38)),Y38,NA())</f>
        <v/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>
        <f>IF($B39="","",IF($B$2="Todos",SUMIFS(BD!$P$3:$P$5001,BD!$A$3:$A$5001,$B39),SUMIFS(BD!$P$3:$P$5001,BD!$A$3:$A$5001,$B39,BD!$B$3:$B$5001,$D$2)))</f>
        <v>0</v>
      </c>
      <c r="Q39" s="32">
        <f>IF($B39="","",IF($B$2="Todos",SUMIFS(BD!$Q$3:$Q$5001,BD!$A$3:$A$5001,$B39),SUMIFS(BD!$Q$3:$Q$5001,BD!$A$3:$A$5001,$B39,BD!$B$3:$B$5001,$D$2)))</f>
        <v>0</v>
      </c>
      <c r="R39" s="32">
        <f>IF($B39="","",IF($B$2="Todos",SUMIFS(BD!$R$3:$R$5001,BD!$A$3:$A$5001,$B39),SUMIFS(BD!$R$3:$R$5001,BD!$A$3:$A$5001,$B39,BD!$B$3:$B$5001,$D$2)))</f>
        <v>0</v>
      </c>
      <c r="S39" s="32">
        <f>IF($B39="","",IF($B$2="Todos",SUMIFS(BD!$S$3:$S$5001,BD!$A$3:$A$5001,$B39),SUMIFS(BD!$S$3:$S$5001,BD!$A$3:$A$5001,$B39,BD!$B$3:$B$5001,$D$2)))</f>
        <v>0</v>
      </c>
      <c r="T39" s="32">
        <f>IF($B39="","",IF($B$2="Todos",SUMIFS(BD!$T$3:$T$5001,BD!$A$3:$A$5001,$B39),SUMIFS(BD!$T$3:$T$5001,BD!$A$3:$A$5001,$B39,BD!$B$3:$B$5001,$D$2)))</f>
        <v>0</v>
      </c>
      <c r="U39" s="47">
        <f>IF($B39="","",IF($B$2="Todos",SUMIFS(BD!$U$3:$U$5001,BD!$A$3:$A$5001,$B39),SUMIFS(BD!$U$3:$U$5001,BD!$A$3:$A$5001,$B39,BD!$B$3:$B$5001,$D$2)))</f>
        <v>0</v>
      </c>
      <c r="V39" s="32">
        <f>IF($B39="","",IF($B$2="Todos",SUMIFS(BD!$V$3:$V$5001,BD!$A$3:$A$5001,$B39),SUMIFS(BD!$V$3:$V$5001,BD!$A$3:$A$5001,$B39,BD!$B$3:$B$5001,$D$2)))</f>
        <v>0</v>
      </c>
      <c r="W39" s="32">
        <f>IF($B39="","",IF($B$2="Todos",SUMIFS(BD!$W$3:$W$5001,BD!$A$3:$A$5001,$B39),SUMIFS(BD!$W$3:$W$5001,BD!$A$3:$A$5001,$B39,BD!$B$3:$B$5001,$D$2)))</f>
        <v>0</v>
      </c>
      <c r="X39" s="32" t="str">
        <f>IF($B$2="Todos",IF(COUNT($C$168:$V$168)=0,"",SUM($C$168:$V$168)),IFERROR(INDEX($C$168:$V$168,MATCH($D$2,$C$140:$V$140,0)),""))</f>
        <v/>
      </c>
      <c r="Y39" s="48" t="str">
        <f>IF(Z39="","",IF($B$2="Todos",IF($B$4&gt;0,$B$4,IF($B$2="Todos",IF(COUNT($C$238:$V$238)=0,"",SUM($C$238:$V$238)),IFERROR(INDEX($C$238:$V$238,MATCH($D$2,$C$210:$V$210,0)),""))),IFERROR(INDEX($C$238:$V$238,MATCH($D$2,$C$210:$V$210,0)),"")))</f>
        <v/>
      </c>
      <c r="Z39" s="32" t="str">
        <f>IF($B$2="Todos",IF(COUNT($C$203:$V$203)=0,"",SUM($C$203:$V$203)),IFERROR(INDEX($C$203:$V$203,MATCH($D$2,$C$175:$V$175,0)),""))</f>
        <v/>
      </c>
      <c r="AA39" s="49" t="str">
        <f>IF(AND(ISNUMBER(Z39),ISNUMBER(Y39)),IF(Y39&gt;0,Z39/Y39,""),"")</f>
        <v/>
      </c>
      <c r="AB39" s="32" t="str">
        <f>IF($B$2="Todos",IF(COUNT($C$273:$V$273)=0,"",SUM($C$273:$V$273)),IFERROR(INDEX($C$273:$V$273,MATCH($D$2,$C$245:$V$245,0)),""))</f>
        <v/>
      </c>
      <c r="AC39" s="32">
        <f>IF($B39="","",IF($B$2="Todos",SUMIFS(BD!$AB$3:$AB$5001,BD!$A$3:$A$5001,$B39),SUMIFS(BD!$AB$3:$AB$5001,BD!$A$3:$A$5001,$B39,BD!$B$3:$B$5001,$D$2)))</f>
        <v>0</v>
      </c>
      <c r="AD39" s="32">
        <f>IF($B39="","",IF($B$2="Todos",SUMIFS(BD!$AC$3:$AC$5001,BD!$A$3:$A$5001,$B39),SUMIFS(BD!$AC$3:$AC$5001,BD!$A$3:$A$5001,$B39,BD!$B$3:$B$5001,$D$2)))</f>
        <v>0</v>
      </c>
      <c r="AE39" s="32">
        <f>IF($B39="","",IF($B$2="Todos",SUMIFS(BD!$AD$3:$AD$5001,BD!$A$3:$A$5001,$B39),SUMIFS(BD!$AD$3:$AD$5001,BD!$A$3:$A$5001,$B39,BD!$B$3:$B$5001,$D$2)))</f>
        <v>0</v>
      </c>
      <c r="AF39" s="32">
        <f>IF($B39="","",IF($B$2="Todos",SUMIFS(BD!$AE$3:$AE$5001,BD!$A$3:$A$5001,$B39),SUMIFS(BD!$AE$3:$AE$5001,BD!$A$3:$A$5001,$B39,BD!$B$3:$B$5001,$D$2)))</f>
        <v>0</v>
      </c>
      <c r="AG39" s="32">
        <f>IF($B39="","",IF($B$2="Todos",SUMIFS(BD!$AF$3:$AF$5001,BD!$A$3:$A$5001,$B39),SUMIFS(BD!$AF$3:$AF$5001,BD!$A$3:$A$5001,$B39,BD!$B$3:$B$5001,$D$2)))</f>
        <v>0</v>
      </c>
      <c r="AH39" s="32">
        <f>IF($B39="","",IF($B$2="Todos",SUMIFS(BD!$AG$3:$AG$5001,BD!$A$3:$A$5001,$B39),SUMIFS(BD!$AG$3:$AG$5001,BD!$A$3:$A$5001,$B39,BD!$B$3:$B$5001,$D$2)))</f>
        <v>0</v>
      </c>
      <c r="AI39" s="32">
        <f>IF($B39="","",IF($B$2="Todos",SUMIFS(BD!$AH$3:$AH$5001,BD!$A$3:$A$5001,$B39),SUMIFS(BD!$AH$3:$AH$5001,BD!$A$3:$A$5001,$B39,BD!$B$3:$B$5001,$D$2)))</f>
        <v>0</v>
      </c>
      <c r="AJ39" s="50">
        <f>$B$5</f>
        <v>0.7</v>
      </c>
      <c r="AK39" s="50">
        <f>$B$6</f>
        <v>0.9</v>
      </c>
      <c r="AZ39" s="61">
        <f>IF(OR($B39="",N(VALUE($AH$349))=0),"",IF(INDEX($C39:$AI39,VALUE($AH$349))="","",IF(N(VALUE($AJ$349))=0,INDEX($C39:$AI39,VALUE($AH$349)),IF(N(INDEX($C39:$AI39,N(VALUE($AJ$349))))&gt;0,INDEX($C39:$AI39,VALUE($AH$349))/INDEX($C39:$AI39,N(VALUE($AJ$349))),""))))</f>
        <v>0</v>
      </c>
      <c r="BA39" s="61">
        <f>IF(OR($B39="",N(VALUE($AI$349))=0),"",IF(INDEX($C39:$AI39,VALUE($AI$349))="","",IF(N(VALUE($AK$349))=0,INDEX($C39:$AI39,VALUE($AI$349)),IF(N(INDEX($C39:$AI39,N(VALUE($AK$349))))&gt;0,INDEX($C39:$AI39,VALUE($AI$349))/INDEX($C39:$AI39,N(VALUE($AK$349))),""))))</f>
        <v>0</v>
      </c>
      <c r="BB39" s="61">
        <f>IF(OR($B39="",N(VALUE($AP$349))=0),"",IF(INDEX($C39:$AI39,VALUE($AP$349))="","",IF(N(VALUE($AR$349))=0,INDEX($C39:$AI39,VALUE($AP$349)),IF(N(INDEX($C39:$AI39,N(VALUE($AR$349))))&gt;0,INDEX($C39:$AI39,VALUE($AP$349))/INDEX($C39:$AI39,N(VALUE($AR$349))),""))))</f>
        <v>0</v>
      </c>
      <c r="BC39" s="61">
        <f>IF(OR($B39="",N(VALUE($AQ$349))=0),"",IF(INDEX($C39:$AI39,VALUE($AQ$349))="","",IF(N(VALUE($AS$349))=0,INDEX($C39:$AI39,VALUE($AQ$349)),IF(N(INDEX($C39:$AI39,N(VALUE($AS$349))))&gt;0,INDEX($C39:$AI39,VALUE($AQ$349))/INDEX($C39:$AI39,N(VALUE($AS$349))),""))))</f>
        <v>0</v>
      </c>
      <c r="BE39" s="32" t="str">
        <f>IF(AND($A39=$B$9,ISNUMBER(Y39)),Y39,NA())</f>
        <v/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>
        <f>IF($B40="","",IF($B$2="Todos",SUMIFS(BD!$P$3:$P$5001,BD!$A$3:$A$5001,$B40),SUMIFS(BD!$P$3:$P$5001,BD!$A$3:$A$5001,$B40,BD!$B$3:$B$5001,$D$2)))</f>
        <v>0</v>
      </c>
      <c r="Q40" s="32">
        <f>IF($B40="","",IF($B$2="Todos",SUMIFS(BD!$Q$3:$Q$5001,BD!$A$3:$A$5001,$B40),SUMIFS(BD!$Q$3:$Q$5001,BD!$A$3:$A$5001,$B40,BD!$B$3:$B$5001,$D$2)))</f>
        <v>0</v>
      </c>
      <c r="R40" s="32">
        <f>IF($B40="","",IF($B$2="Todos",SUMIFS(BD!$R$3:$R$5001,BD!$A$3:$A$5001,$B40),SUMIFS(BD!$R$3:$R$5001,BD!$A$3:$A$5001,$B40,BD!$B$3:$B$5001,$D$2)))</f>
        <v>0</v>
      </c>
      <c r="S40" s="32">
        <f>IF($B40="","",IF($B$2="Todos",SUMIFS(BD!$S$3:$S$5001,BD!$A$3:$A$5001,$B40),SUMIFS(BD!$S$3:$S$5001,BD!$A$3:$A$5001,$B40,BD!$B$3:$B$5001,$D$2)))</f>
        <v>0</v>
      </c>
      <c r="T40" s="32">
        <f>IF($B40="","",IF($B$2="Todos",SUMIFS(BD!$T$3:$T$5001,BD!$A$3:$A$5001,$B40),SUMIFS(BD!$T$3:$T$5001,BD!$A$3:$A$5001,$B40,BD!$B$3:$B$5001,$D$2)))</f>
        <v>0</v>
      </c>
      <c r="U40" s="47">
        <f>IF($B40="","",IF($B$2="Todos",SUMIFS(BD!$U$3:$U$5001,BD!$A$3:$A$5001,$B40),SUMIFS(BD!$U$3:$U$5001,BD!$A$3:$A$5001,$B40,BD!$B$3:$B$5001,$D$2)))</f>
        <v>0</v>
      </c>
      <c r="V40" s="32">
        <f>IF($B40="","",IF($B$2="Todos",SUMIFS(BD!$V$3:$V$5001,BD!$A$3:$A$5001,$B40),SUMIFS(BD!$V$3:$V$5001,BD!$A$3:$A$5001,$B40,BD!$B$3:$B$5001,$D$2)))</f>
        <v>0</v>
      </c>
      <c r="W40" s="32">
        <f>IF($B40="","",IF($B$2="Todos",SUMIFS(BD!$W$3:$W$5001,BD!$A$3:$A$5001,$B40),SUMIFS(BD!$W$3:$W$5001,BD!$A$3:$A$5001,$B40,BD!$B$3:$B$5001,$D$2)))</f>
        <v>0</v>
      </c>
      <c r="X40" s="32" t="str">
        <f>IF($B$2="Todos",IF(COUNT($C$169:$V$169)=0,"",SUM($C$169:$V$169)),IFERROR(INDEX($C$169:$V$169,MATCH($D$2,$C$140:$V$140,0)),""))</f>
        <v/>
      </c>
      <c r="Y40" s="48" t="str">
        <f>IF(Z40="","",IF($B$2="Todos",IF($B$4&gt;0,$B$4,IF($B$2="Todos",IF(COUNT($C$239:$V$239)=0,"",SUM($C$239:$V$239)),IFERROR(INDEX($C$239:$V$239,MATCH($D$2,$C$210:$V$210,0)),""))),IFERROR(INDEX($C$239:$V$239,MATCH($D$2,$C$210:$V$210,0)),"")))</f>
        <v/>
      </c>
      <c r="Z40" s="32" t="str">
        <f>IF($B$2="Todos",IF(COUNT($C$204:$V$204)=0,"",SUM($C$204:$V$204)),IFERROR(INDEX($C$204:$V$204,MATCH($D$2,$C$175:$V$175,0)),""))</f>
        <v/>
      </c>
      <c r="AA40" s="49" t="str">
        <f>IF(AND(ISNUMBER(Z40),ISNUMBER(Y40)),IF(Y40&gt;0,Z40/Y40,""),"")</f>
        <v/>
      </c>
      <c r="AB40" s="32" t="str">
        <f>IF($B$2="Todos",IF(COUNT($C$274:$V$274)=0,"",SUM($C$274:$V$274)),IFERROR(INDEX($C$274:$V$274,MATCH($D$2,$C$245:$V$245,0)),""))</f>
        <v/>
      </c>
      <c r="AC40" s="32">
        <f>IF($B40="","",IF($B$2="Todos",SUMIFS(BD!$AB$3:$AB$5001,BD!$A$3:$A$5001,$B40),SUMIFS(BD!$AB$3:$AB$5001,BD!$A$3:$A$5001,$B40,BD!$B$3:$B$5001,$D$2)))</f>
        <v>0</v>
      </c>
      <c r="AD40" s="32">
        <f>IF($B40="","",IF($B$2="Todos",SUMIFS(BD!$AC$3:$AC$5001,BD!$A$3:$A$5001,$B40),SUMIFS(BD!$AC$3:$AC$5001,BD!$A$3:$A$5001,$B40,BD!$B$3:$B$5001,$D$2)))</f>
        <v>0</v>
      </c>
      <c r="AE40" s="32">
        <f>IF($B40="","",IF($B$2="Todos",SUMIFS(BD!$AD$3:$AD$5001,BD!$A$3:$A$5001,$B40),SUMIFS(BD!$AD$3:$AD$5001,BD!$A$3:$A$5001,$B40,BD!$B$3:$B$5001,$D$2)))</f>
        <v>0</v>
      </c>
      <c r="AF40" s="32">
        <f>IF($B40="","",IF($B$2="Todos",SUMIFS(BD!$AE$3:$AE$5001,BD!$A$3:$A$5001,$B40),SUMIFS(BD!$AE$3:$AE$5001,BD!$A$3:$A$5001,$B40,BD!$B$3:$B$5001,$D$2)))</f>
        <v>0</v>
      </c>
      <c r="AG40" s="32">
        <f>IF($B40="","",IF($B$2="Todos",SUMIFS(BD!$AF$3:$AF$5001,BD!$A$3:$A$5001,$B40),SUMIFS(BD!$AF$3:$AF$5001,BD!$A$3:$A$5001,$B40,BD!$B$3:$B$5001,$D$2)))</f>
        <v>0</v>
      </c>
      <c r="AH40" s="32">
        <f>IF($B40="","",IF($B$2="Todos",SUMIFS(BD!$AG$3:$AG$5001,BD!$A$3:$A$5001,$B40),SUMIFS(BD!$AG$3:$AG$5001,BD!$A$3:$A$5001,$B40,BD!$B$3:$B$5001,$D$2)))</f>
        <v>0</v>
      </c>
      <c r="AI40" s="32">
        <f>IF($B40="","",IF($B$2="Todos",SUMIFS(BD!$AH$3:$AH$5001,BD!$A$3:$A$5001,$B40),SUMIFS(BD!$AH$3:$AH$5001,BD!$A$3:$A$5001,$B40,BD!$B$3:$B$5001,$D$2)))</f>
        <v>0</v>
      </c>
      <c r="AJ40" s="50">
        <f>$B$5</f>
        <v>0.7</v>
      </c>
      <c r="AK40" s="50">
        <f>$B$6</f>
        <v>0.9</v>
      </c>
      <c r="AZ40" s="61">
        <f>IF(OR($B40="",N(VALUE($AH$349))=0),"",IF(INDEX($C40:$AI40,VALUE($AH$349))="","",IF(N(VALUE($AJ$349))=0,INDEX($C40:$AI40,VALUE($AH$349)),IF(N(INDEX($C40:$AI40,N(VALUE($AJ$349))))&gt;0,INDEX($C40:$AI40,VALUE($AH$349))/INDEX($C40:$AI40,N(VALUE($AJ$349))),""))))</f>
        <v>0</v>
      </c>
      <c r="BA40" s="61">
        <f>IF(OR($B40="",N(VALUE($AI$349))=0),"",IF(INDEX($C40:$AI40,VALUE($AI$349))="","",IF(N(VALUE($AK$349))=0,INDEX($C40:$AI40,VALUE($AI$349)),IF(N(INDEX($C40:$AI40,N(VALUE($AK$349))))&gt;0,INDEX($C40:$AI40,VALUE($AI$349))/INDEX($C40:$AI40,N(VALUE($AK$349))),""))))</f>
        <v>0</v>
      </c>
      <c r="BB40" s="61">
        <f>IF(OR($B40="",N(VALUE($AP$349))=0),"",IF(INDEX($C40:$AI40,VALUE($AP$349))="","",IF(N(VALUE($AR$349))=0,INDEX($C40:$AI40,VALUE($AP$349)),IF(N(INDEX($C40:$AI40,N(VALUE($AR$349))))&gt;0,INDEX($C40:$AI40,VALUE($AP$349))/INDEX($C40:$AI40,N(VALUE($AR$349))),""))))</f>
        <v>0</v>
      </c>
      <c r="BC40" s="61">
        <f>IF(OR($B40="",N(VALUE($AQ$349))=0),"",IF(INDEX($C40:$AI40,VALUE($AQ$349))="","",IF(N(VALUE($AS$349))=0,INDEX($C40:$AI40,VALUE($AQ$349)),IF(N(INDEX($C40:$AI40,N(VALUE($AS$349))))&gt;0,INDEX($C40:$AI40,VALUE($AQ$349))/INDEX($C40:$AI40,N(VALUE($AS$349))),""))))</f>
        <v>0</v>
      </c>
      <c r="BE40" s="32" t="str">
        <f>IF(AND($A40=$B$9,ISNUMBER(Y40)),Y40,NA())</f>
        <v/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>
        <f>IF($B41="","",IF($B$2="Todos",SUMIFS(BD!$P$3:$P$5001,BD!$A$3:$A$5001,$B41),SUMIFS(BD!$P$3:$P$5001,BD!$A$3:$A$5001,$B41,BD!$B$3:$B$5001,$D$2)))</f>
        <v>0</v>
      </c>
      <c r="Q41" s="32">
        <f>IF($B41="","",IF($B$2="Todos",SUMIFS(BD!$Q$3:$Q$5001,BD!$A$3:$A$5001,$B41),SUMIFS(BD!$Q$3:$Q$5001,BD!$A$3:$A$5001,$B41,BD!$B$3:$B$5001,$D$2)))</f>
        <v>0</v>
      </c>
      <c r="R41" s="32">
        <f>IF($B41="","",IF($B$2="Todos",SUMIFS(BD!$R$3:$R$5001,BD!$A$3:$A$5001,$B41),SUMIFS(BD!$R$3:$R$5001,BD!$A$3:$A$5001,$B41,BD!$B$3:$B$5001,$D$2)))</f>
        <v>0</v>
      </c>
      <c r="S41" s="32">
        <f>IF($B41="","",IF($B$2="Todos",SUMIFS(BD!$S$3:$S$5001,BD!$A$3:$A$5001,$B41),SUMIFS(BD!$S$3:$S$5001,BD!$A$3:$A$5001,$B41,BD!$B$3:$B$5001,$D$2)))</f>
        <v>0</v>
      </c>
      <c r="T41" s="32">
        <f>IF($B41="","",IF($B$2="Todos",SUMIFS(BD!$T$3:$T$5001,BD!$A$3:$A$5001,$B41),SUMIFS(BD!$T$3:$T$5001,BD!$A$3:$A$5001,$B41,BD!$B$3:$B$5001,$D$2)))</f>
        <v>0</v>
      </c>
      <c r="U41" s="47">
        <f>IF($B41="","",IF($B$2="Todos",SUMIFS(BD!$U$3:$U$5001,BD!$A$3:$A$5001,$B41),SUMIFS(BD!$U$3:$U$5001,BD!$A$3:$A$5001,$B41,BD!$B$3:$B$5001,$D$2)))</f>
        <v>0</v>
      </c>
      <c r="V41" s="32">
        <f>IF($B41="","",IF($B$2="Todos",SUMIFS(BD!$V$3:$V$5001,BD!$A$3:$A$5001,$B41),SUMIFS(BD!$V$3:$V$5001,BD!$A$3:$A$5001,$B41,BD!$B$3:$B$5001,$D$2)))</f>
        <v>0</v>
      </c>
      <c r="W41" s="32">
        <f>IF($B41="","",IF($B$2="Todos",SUMIFS(BD!$W$3:$W$5001,BD!$A$3:$A$5001,$B41),SUMIFS(BD!$W$3:$W$5001,BD!$A$3:$A$5001,$B41,BD!$B$3:$B$5001,$D$2)))</f>
        <v>0</v>
      </c>
      <c r="X41" s="32" t="str">
        <f>IF($B$2="Todos",IF(COUNT($C$170:$V$170)=0,"",SUM($C$170:$V$170)),IFERROR(INDEX($C$170:$V$170,MATCH($D$2,$C$140:$V$140,0)),""))</f>
        <v/>
      </c>
      <c r="Y41" s="48" t="str">
        <f>IF(Z41="","",IF($B$2="Todos",IF($B$4&gt;0,$B$4,IF($B$2="Todos",IF(COUNT($C$240:$V$240)=0,"",SUM($C$240:$V$240)),IFERROR(INDEX($C$240:$V$240,MATCH($D$2,$C$210:$V$210,0)),""))),IFERROR(INDEX($C$240:$V$240,MATCH($D$2,$C$210:$V$210,0)),"")))</f>
        <v/>
      </c>
      <c r="Z41" s="32" t="str">
        <f>IF($B$2="Todos",IF(COUNT($C$205:$V$205)=0,"",SUM($C$205:$V$205)),IFERROR(INDEX($C$205:$V$205,MATCH($D$2,$C$175:$V$175,0)),""))</f>
        <v/>
      </c>
      <c r="AA41" s="49" t="str">
        <f>IF(AND(ISNUMBER(Z41),ISNUMBER(Y41)),IF(Y41&gt;0,Z41/Y41,""),"")</f>
        <v/>
      </c>
      <c r="AB41" s="32" t="str">
        <f>IF($B$2="Todos",IF(COUNT($C$275:$V$275)=0,"",SUM($C$275:$V$275)),IFERROR(INDEX($C$275:$V$275,MATCH($D$2,$C$245:$V$245,0)),""))</f>
        <v/>
      </c>
      <c r="AC41" s="32">
        <f>IF($B41="","",IF($B$2="Todos",SUMIFS(BD!$AB$3:$AB$5001,BD!$A$3:$A$5001,$B41),SUMIFS(BD!$AB$3:$AB$5001,BD!$A$3:$A$5001,$B41,BD!$B$3:$B$5001,$D$2)))</f>
        <v>0</v>
      </c>
      <c r="AD41" s="32">
        <f>IF($B41="","",IF($B$2="Todos",SUMIFS(BD!$AC$3:$AC$5001,BD!$A$3:$A$5001,$B41),SUMIFS(BD!$AC$3:$AC$5001,BD!$A$3:$A$5001,$B41,BD!$B$3:$B$5001,$D$2)))</f>
        <v>0</v>
      </c>
      <c r="AE41" s="32">
        <f>IF($B41="","",IF($B$2="Todos",SUMIFS(BD!$AD$3:$AD$5001,BD!$A$3:$A$5001,$B41),SUMIFS(BD!$AD$3:$AD$5001,BD!$A$3:$A$5001,$B41,BD!$B$3:$B$5001,$D$2)))</f>
        <v>0</v>
      </c>
      <c r="AF41" s="32">
        <f>IF($B41="","",IF($B$2="Todos",SUMIFS(BD!$AE$3:$AE$5001,BD!$A$3:$A$5001,$B41),SUMIFS(BD!$AE$3:$AE$5001,BD!$A$3:$A$5001,$B41,BD!$B$3:$B$5001,$D$2)))</f>
        <v>0</v>
      </c>
      <c r="AG41" s="32">
        <f>IF($B41="","",IF($B$2="Todos",SUMIFS(BD!$AF$3:$AF$5001,BD!$A$3:$A$5001,$B41),SUMIFS(BD!$AF$3:$AF$5001,BD!$A$3:$A$5001,$B41,BD!$B$3:$B$5001,$D$2)))</f>
        <v>0</v>
      </c>
      <c r="AH41" s="32">
        <f>IF($B41="","",IF($B$2="Todos",SUMIFS(BD!$AG$3:$AG$5001,BD!$A$3:$A$5001,$B41),SUMIFS(BD!$AG$3:$AG$5001,BD!$A$3:$A$5001,$B41,BD!$B$3:$B$5001,$D$2)))</f>
        <v>0</v>
      </c>
      <c r="AI41" s="32">
        <f>IF($B41="","",IF($B$2="Todos",SUMIFS(BD!$AH$3:$AH$5001,BD!$A$3:$A$5001,$B41),SUMIFS(BD!$AH$3:$AH$5001,BD!$A$3:$A$5001,$B41,BD!$B$3:$B$5001,$D$2)))</f>
        <v>0</v>
      </c>
      <c r="AJ41" s="50">
        <f>$B$5</f>
        <v>0.7</v>
      </c>
      <c r="AK41" s="50">
        <f>$B$6</f>
        <v>0.9</v>
      </c>
      <c r="AZ41" s="61">
        <f>IF(OR($B41="",N(VALUE($AH$349))=0),"",IF(INDEX($C41:$AI41,VALUE($AH$349))="","",IF(N(VALUE($AJ$349))=0,INDEX($C41:$AI41,VALUE($AH$349)),IF(N(INDEX($C41:$AI41,N(VALUE($AJ$349))))&gt;0,INDEX($C41:$AI41,VALUE($AH$349))/INDEX($C41:$AI41,N(VALUE($AJ$349))),""))))</f>
        <v>0</v>
      </c>
      <c r="BA41" s="61">
        <f>IF(OR($B41="",N(VALUE($AI$349))=0),"",IF(INDEX($C41:$AI41,VALUE($AI$349))="","",IF(N(VALUE($AK$349))=0,INDEX($C41:$AI41,VALUE($AI$349)),IF(N(INDEX($C41:$AI41,N(VALUE($AK$349))))&gt;0,INDEX($C41:$AI41,VALUE($AI$349))/INDEX($C41:$AI41,N(VALUE($AK$349))),""))))</f>
        <v>0</v>
      </c>
      <c r="BB41" s="61">
        <f>IF(OR($B41="",N(VALUE($AP$349))=0),"",IF(INDEX($C41:$AI41,VALUE($AP$349))="","",IF(N(VALUE($AR$349))=0,INDEX($C41:$AI41,VALUE($AP$349)),IF(N(INDEX($C41:$AI41,N(VALUE($AR$349))))&gt;0,INDEX($C41:$AI41,VALUE($AP$349))/INDEX($C41:$AI41,N(VALUE($AR$349))),""))))</f>
        <v>0</v>
      </c>
      <c r="BC41" s="61">
        <f>IF(OR($B41="",N(VALUE($AQ$349))=0),"",IF(INDEX($C41:$AI41,VALUE($AQ$349))="","",IF(N(VALUE($AS$349))=0,INDEX($C41:$AI41,VALUE($AQ$349)),IF(N(INDEX($C41:$AI41,N(VALUE($AS$349))))&gt;0,INDEX($C41:$AI41,VALUE($AQ$349))/INDEX($C41:$AI41,N(VALUE($AS$349))),""))))</f>
        <v>0</v>
      </c>
      <c r="BE41" s="32" t="str">
        <f>IF(AND($A41=$B$9,ISNUMBER(Y41)),Y41,NA())</f>
        <v/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>
        <f>IF($B42="","",IF($B$2="Todos",SUMIFS(BD!$P$3:$P$5001,BD!$A$3:$A$5001,$B42),SUMIFS(BD!$P$3:$P$5001,BD!$A$3:$A$5001,$B42,BD!$B$3:$B$5001,$D$2)))</f>
        <v>0</v>
      </c>
      <c r="Q42" s="32">
        <f>IF($B42="","",IF($B$2="Todos",SUMIFS(BD!$Q$3:$Q$5001,BD!$A$3:$A$5001,$B42),SUMIFS(BD!$Q$3:$Q$5001,BD!$A$3:$A$5001,$B42,BD!$B$3:$B$5001,$D$2)))</f>
        <v>0</v>
      </c>
      <c r="R42" s="32">
        <f>IF($B42="","",IF($B$2="Todos",SUMIFS(BD!$R$3:$R$5001,BD!$A$3:$A$5001,$B42),SUMIFS(BD!$R$3:$R$5001,BD!$A$3:$A$5001,$B42,BD!$B$3:$B$5001,$D$2)))</f>
        <v>0</v>
      </c>
      <c r="S42" s="32">
        <f>IF($B42="","",IF($B$2="Todos",SUMIFS(BD!$S$3:$S$5001,BD!$A$3:$A$5001,$B42),SUMIFS(BD!$S$3:$S$5001,BD!$A$3:$A$5001,$B42,BD!$B$3:$B$5001,$D$2)))</f>
        <v>0</v>
      </c>
      <c r="T42" s="32">
        <f>IF($B42="","",IF($B$2="Todos",SUMIFS(BD!$T$3:$T$5001,BD!$A$3:$A$5001,$B42),SUMIFS(BD!$T$3:$T$5001,BD!$A$3:$A$5001,$B42,BD!$B$3:$B$5001,$D$2)))</f>
        <v>0</v>
      </c>
      <c r="U42" s="47">
        <f>IF($B42="","",IF($B$2="Todos",SUMIFS(BD!$U$3:$U$5001,BD!$A$3:$A$5001,$B42),SUMIFS(BD!$U$3:$U$5001,BD!$A$3:$A$5001,$B42,BD!$B$3:$B$5001,$D$2)))</f>
        <v>0</v>
      </c>
      <c r="V42" s="32">
        <f>IF($B42="","",IF($B$2="Todos",SUMIFS(BD!$V$3:$V$5001,BD!$A$3:$A$5001,$B42),SUMIFS(BD!$V$3:$V$5001,BD!$A$3:$A$5001,$B42,BD!$B$3:$B$5001,$D$2)))</f>
        <v>0</v>
      </c>
      <c r="W42" s="32">
        <f>IF($B42="","",IF($B$2="Todos",SUMIFS(BD!$W$3:$W$5001,BD!$A$3:$A$5001,$B42),SUMIFS(BD!$W$3:$W$5001,BD!$A$3:$A$5001,$B42,BD!$B$3:$B$5001,$D$2)))</f>
        <v>0</v>
      </c>
      <c r="X42" s="32" t="str">
        <f>IF($B$2="Todos",IF(COUNT($C$171:$V$171)=0,"",SUM($C$171:$V$171)),IFERROR(INDEX($C$171:$V$171,MATCH($D$2,$C$140:$V$140,0)),""))</f>
        <v/>
      </c>
      <c r="Y42" s="48" t="str">
        <f>IF(Z42="","",IF($B$2="Todos",IF($B$4&gt;0,$B$4,IF($B$2="Todos",IF(COUNT($C$241:$V$241)=0,"",SUM($C$241:$V$241)),IFERROR(INDEX($C$241:$V$241,MATCH($D$2,$C$210:$V$210,0)),""))),IFERROR(INDEX($C$241:$V$241,MATCH($D$2,$C$210:$V$210,0)),"")))</f>
        <v/>
      </c>
      <c r="Z42" s="32" t="str">
        <f>IF($B$2="Todos",IF(COUNT($C$206:$V$206)=0,"",SUM($C$206:$V$206)),IFERROR(INDEX($C$206:$V$206,MATCH($D$2,$C$175:$V$175,0)),""))</f>
        <v/>
      </c>
      <c r="AA42" s="49" t="str">
        <f>IF(AND(ISNUMBER(Z42),ISNUMBER(Y42)),IF(Y42&gt;0,Z42/Y42,""),"")</f>
        <v/>
      </c>
      <c r="AB42" s="32" t="str">
        <f>IF($B$2="Todos",IF(COUNT($C$276:$V$276)=0,"",SUM($C$276:$V$276)),IFERROR(INDEX($C$276:$V$276,MATCH($D$2,$C$245:$V$245,0)),""))</f>
        <v/>
      </c>
      <c r="AC42" s="32">
        <f>IF($B42="","",IF($B$2="Todos",SUMIFS(BD!$AB$3:$AB$5001,BD!$A$3:$A$5001,$B42),SUMIFS(BD!$AB$3:$AB$5001,BD!$A$3:$A$5001,$B42,BD!$B$3:$B$5001,$D$2)))</f>
        <v>0</v>
      </c>
      <c r="AD42" s="32">
        <f>IF($B42="","",IF($B$2="Todos",SUMIFS(BD!$AC$3:$AC$5001,BD!$A$3:$A$5001,$B42),SUMIFS(BD!$AC$3:$AC$5001,BD!$A$3:$A$5001,$B42,BD!$B$3:$B$5001,$D$2)))</f>
        <v>0</v>
      </c>
      <c r="AE42" s="32">
        <f>IF($B42="","",IF($B$2="Todos",SUMIFS(BD!$AD$3:$AD$5001,BD!$A$3:$A$5001,$B42),SUMIFS(BD!$AD$3:$AD$5001,BD!$A$3:$A$5001,$B42,BD!$B$3:$B$5001,$D$2)))</f>
        <v>0</v>
      </c>
      <c r="AF42" s="32">
        <f>IF($B42="","",IF($B$2="Todos",SUMIFS(BD!$AE$3:$AE$5001,BD!$A$3:$A$5001,$B42),SUMIFS(BD!$AE$3:$AE$5001,BD!$A$3:$A$5001,$B42,BD!$B$3:$B$5001,$D$2)))</f>
        <v>0</v>
      </c>
      <c r="AG42" s="32">
        <f>IF($B42="","",IF($B$2="Todos",SUMIFS(BD!$AF$3:$AF$5001,BD!$A$3:$A$5001,$B42),SUMIFS(BD!$AF$3:$AF$5001,BD!$A$3:$A$5001,$B42,BD!$B$3:$B$5001,$D$2)))</f>
        <v>0</v>
      </c>
      <c r="AH42" s="32">
        <f>IF($B42="","",IF($B$2="Todos",SUMIFS(BD!$AG$3:$AG$5001,BD!$A$3:$A$5001,$B42),SUMIFS(BD!$AG$3:$AG$5001,BD!$A$3:$A$5001,$B42,BD!$B$3:$B$5001,$D$2)))</f>
        <v>0</v>
      </c>
      <c r="AI42" s="32">
        <f>IF($B42="","",IF($B$2="Todos",SUMIFS(BD!$AH$3:$AH$5001,BD!$A$3:$A$5001,$B42),SUMIFS(BD!$AH$3:$AH$5001,BD!$A$3:$A$5001,$B42,BD!$B$3:$B$5001,$D$2)))</f>
        <v>0</v>
      </c>
      <c r="AJ42" s="50">
        <f>$B$5</f>
        <v>0.7</v>
      </c>
      <c r="AK42" s="50">
        <f>$B$6</f>
        <v>0.9</v>
      </c>
      <c r="AZ42" s="61">
        <f>IF(OR($B42="",N(VALUE($AH$349))=0),"",IF(INDEX($C42:$AI42,VALUE($AH$349))="","",IF(N(VALUE($AJ$349))=0,INDEX($C42:$AI42,VALUE($AH$349)),IF(N(INDEX($C42:$AI42,N(VALUE($AJ$349))))&gt;0,INDEX($C42:$AI42,VALUE($AH$349))/INDEX($C42:$AI42,N(VALUE($AJ$349))),""))))</f>
        <v>0</v>
      </c>
      <c r="BA42" s="61">
        <f>IF(OR($B42="",N(VALUE($AI$349))=0),"",IF(INDEX($C42:$AI42,VALUE($AI$349))="","",IF(N(VALUE($AK$349))=0,INDEX($C42:$AI42,VALUE($AI$349)),IF(N(INDEX($C42:$AI42,N(VALUE($AK$349))))&gt;0,INDEX($C42:$AI42,VALUE($AI$349))/INDEX($C42:$AI42,N(VALUE($AK$349))),""))))</f>
        <v>0</v>
      </c>
      <c r="BB42" s="61">
        <f>IF(OR($B42="",N(VALUE($AP$349))=0),"",IF(INDEX($C42:$AI42,VALUE($AP$349))="","",IF(N(VALUE($AR$349))=0,INDEX($C42:$AI42,VALUE($AP$349)),IF(N(INDEX($C42:$AI42,N(VALUE($AR$349))))&gt;0,INDEX($C42:$AI42,VALUE($AP$349))/INDEX($C42:$AI42,N(VALUE($AR$349))),""))))</f>
        <v>0</v>
      </c>
      <c r="BC42" s="61">
        <f>IF(OR($B42="",N(VALUE($AQ$349))=0),"",IF(INDEX($C42:$AI42,VALUE($AQ$349))="","",IF(N(VALUE($AS$349))=0,INDEX($C42:$AI42,VALUE($AQ$349)),IF(N(INDEX($C42:$AI42,N(VALUE($AS$349))))&gt;0,INDEX($C42:$AI42,VALUE($AQ$349))/INDEX($C42:$AI42,N(VALUE($AS$349))),""))))</f>
        <v>0</v>
      </c>
      <c r="BE42" s="32" t="str">
        <f>IF(AND($A42=$B$9,ISNUMBER(Y42)),Y42,NA())</f>
        <v/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3">
        <f>SUM(H12:H42)</f>
        <v>0</v>
      </c>
      <c r="I43" s="53">
        <f>SUM(I12:I42)</f>
        <v>0</v>
      </c>
      <c r="J43" s="53">
        <f>SUM(J12:J42)</f>
        <v>0</v>
      </c>
      <c r="K43" s="53">
        <f>SUM(K12:K42)</f>
        <v>0</v>
      </c>
      <c r="L43" s="53">
        <f>SUM(L12:L42)</f>
        <v>0</v>
      </c>
      <c r="M43" s="53">
        <f>SUM(M12:M42)</f>
        <v>0</v>
      </c>
      <c r="N43" s="53">
        <f>SUM(N12:N42)</f>
        <v>0</v>
      </c>
      <c r="O43" s="53">
        <f>SUM(O12:O42)</f>
        <v>0</v>
      </c>
      <c r="P43" s="53">
        <f>SUM(P12:P42)</f>
        <v>0</v>
      </c>
      <c r="Q43" s="53">
        <f>SUM(Q12:Q42)</f>
        <v>0</v>
      </c>
      <c r="R43" s="53">
        <f>SUM(R12:R42)</f>
        <v>0</v>
      </c>
      <c r="S43" s="53">
        <f>SUM(S12:S42)</f>
        <v>0</v>
      </c>
      <c r="T43" s="53">
        <f>SUM(T12:T42)</f>
        <v>0</v>
      </c>
      <c r="U43" s="59">
        <f>SUM(U12:U42)</f>
        <v>0</v>
      </c>
      <c r="V43" s="53">
        <f>SUM(V12:V42)</f>
        <v>0</v>
      </c>
      <c r="W43" s="53">
        <f>SUM(W12:W42)</f>
        <v>0</v>
      </c>
      <c r="X43" s="53" t="str">
        <f>IFERROR(LOOKUP(9.99E+307,X12:X42),"")</f>
        <v/>
      </c>
      <c r="Y43" s="53" t="str">
        <f>IFERROR(LOOKUP(9.99E+307,Y12:Y42),"")</f>
        <v/>
      </c>
      <c r="Z43" s="53" t="str">
        <f>IFERROR(LOOKUP(9.99E+307,Z12:Z42),"")</f>
        <v/>
      </c>
      <c r="AA43" s="60" t="str">
        <f>IFERROR(LOOKUP(9.99E+307,AA12:AA42),"")</f>
        <v/>
      </c>
      <c r="AB43" s="53" t="str">
        <f>IFERROR(LOOKUP(9.99E+307,AB12:AB42),"")</f>
        <v/>
      </c>
      <c r="AC43" s="53">
        <f>SUM(AC12:AC42)</f>
        <v>0</v>
      </c>
      <c r="AD43" s="53">
        <f>SUM(AD12:AD42)</f>
        <v>0</v>
      </c>
      <c r="AE43" s="53">
        <f>SUM(AE12:AE42)</f>
        <v>0</v>
      </c>
      <c r="AF43" s="53">
        <f>SUM(AF12:AF42)</f>
        <v>0</v>
      </c>
      <c r="AG43" s="53">
        <f>SUM(AG12:AG42)</f>
        <v>0</v>
      </c>
      <c r="AH43" s="53">
        <f>SUM(AH12:AH42)</f>
        <v>0</v>
      </c>
      <c r="AI43" s="53">
        <f>SUM(AI12:AI42)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IFERROR(AVERAGEIF(K12:K42,"&gt;0"),"")</f>
        <v/>
      </c>
      <c r="L44" s="54" t="str">
        <f>IFERROR(AVERAGEIF(L12:L42,"&gt;0"),"")</f>
        <v/>
      </c>
      <c r="M44" s="54" t="str">
        <f>IFERROR(AVERAGEIF(M12:M42,"&gt;0"),"")</f>
        <v/>
      </c>
      <c r="N44" s="54" t="str">
        <f>IFERROR(AVERAGEIF(N12:N42,"&gt;0"),"")</f>
        <v/>
      </c>
      <c r="O44" s="54" t="str">
        <f>IFERROR(AVERAGEIF(O12:O42,"&gt;0"),"")</f>
        <v/>
      </c>
      <c r="P44" s="54" t="str">
        <f>IFERROR(AVERAGEIF(P12:P42,"&gt;0"),"")</f>
        <v/>
      </c>
      <c r="Q44" s="54" t="str">
        <f>IFERROR(AVERAGEIF(Q12:Q42,"&gt;0"),"")</f>
        <v/>
      </c>
      <c r="R44" s="54" t="str">
        <f>IFERROR(AVERAGEIF(R12:R42,"&gt;0"),"")</f>
        <v/>
      </c>
      <c r="S44" s="54" t="str">
        <f>IFERROR(AVERAGEIF(S12:S42,"&gt;0"),"")</f>
        <v/>
      </c>
      <c r="T44" s="54" t="str">
        <f>IFERROR(AVERAGEIF(T12:T42,"&gt;0"),"")</f>
        <v/>
      </c>
      <c r="U44" s="54" t="str">
        <f>IFERROR(AVERAGEIF(U12:U42,"&gt;0"),"")</f>
        <v/>
      </c>
      <c r="V44" s="54" t="str">
        <f>IFERROR(AVERAGEIF(V12:V42,"&gt;0"),"")</f>
        <v/>
      </c>
      <c r="W44" s="54" t="str">
        <f>IFERROR(AVERAGEIF(W12:W42,"&gt;0"),"")</f>
        <v/>
      </c>
      <c r="X44" s="54" t="str">
        <f>IFERROR(AVERAGE(X12:X42),"")</f>
        <v/>
      </c>
      <c r="Y44" s="54" t="str">
        <f>IFERROR(AVERAGE(Y12:Y42),"")</f>
        <v/>
      </c>
      <c r="Z44" s="54" t="str">
        <f>IFERROR(AVERAGE(Z12:Z42),"")</f>
        <v/>
      </c>
      <c r="AA44" s="56" t="str">
        <f>IFERROR(AVERAGE(AA12:AA42),"")</f>
        <v/>
      </c>
      <c r="AB44" s="54" t="str">
        <f>IFERROR(AVERAGE(AB12:AB42),"")</f>
        <v/>
      </c>
      <c r="AC44" s="54" t="str">
        <f>IFERROR(AVERAGEIF(AC12:AC42,"&gt;0"),"")</f>
        <v/>
      </c>
      <c r="AD44" s="54" t="str">
        <f>IFERROR(AVERAGEIF(AD12:AD42,"&gt;0"),"")</f>
        <v/>
      </c>
      <c r="AE44" s="54" t="str">
        <f>IFERROR(AVERAGEIF(AE12:AE42,"&gt;0"),"")</f>
        <v/>
      </c>
      <c r="AF44" s="54" t="str">
        <f>IFERROR(AVERAGEIF(AF12:AF42,"&gt;0"),"")</f>
        <v/>
      </c>
      <c r="AG44" s="54" t="str">
        <f>IFERROR(AVERAGEIF(AG12:AG42,"&gt;0"),"")</f>
        <v/>
      </c>
      <c r="AH44" s="54" t="str">
        <f>IFERROR(AVERAGEIF(AH12:AH42,"&gt;0"),"")</f>
        <v/>
      </c>
      <c r="AI44" s="54" t="str">
        <f>IFERROR(AVERAGEIF(AI12:AI42,"&gt;0"),"")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5">
        <f>IF(COUNT(H12:H42)=0,"",MAX(H12:H42))</f>
        <v>0</v>
      </c>
      <c r="I45" s="55">
        <f>IF(COUNT(I12:I42)=0,"",MAX(I12:I42))</f>
        <v>0</v>
      </c>
      <c r="J45" s="55">
        <f>IF(COUNT(J12:J42)=0,"",MAX(J12:J42))</f>
        <v>0</v>
      </c>
      <c r="K45" s="55">
        <f>IF(COUNT(K12:K42)=0,"",MAX(K12:K42))</f>
        <v>0</v>
      </c>
      <c r="L45" s="55">
        <f>IF(COUNT(L12:L42)=0,"",MAX(L12:L42))</f>
        <v>0</v>
      </c>
      <c r="M45" s="55">
        <f>IF(COUNT(M12:M42)=0,"",MAX(M12:M42))</f>
        <v>0</v>
      </c>
      <c r="N45" s="55">
        <f>IF(COUNT(N12:N42)=0,"",MAX(N12:N42))</f>
        <v>0</v>
      </c>
      <c r="O45" s="55">
        <f>IF(COUNT(O12:O42)=0,"",MAX(O12:O42))</f>
        <v>0</v>
      </c>
      <c r="P45" s="55">
        <f>IF(COUNT(P12:P42)=0,"",MAX(P12:P42))</f>
        <v>0</v>
      </c>
      <c r="Q45" s="55">
        <f>IF(COUNT(Q12:Q42)=0,"",MAX(Q12:Q42))</f>
        <v>0</v>
      </c>
      <c r="R45" s="55">
        <f>IF(COUNT(R12:R42)=0,"",MAX(R12:R42))</f>
        <v>0</v>
      </c>
      <c r="S45" s="55">
        <f>IF(COUNT(S12:S42)=0,"",MAX(S12:S42))</f>
        <v>0</v>
      </c>
      <c r="T45" s="55">
        <f>IF(COUNT(T12:T42)=0,"",MAX(T12:T42))</f>
        <v>0</v>
      </c>
      <c r="U45" s="54">
        <f>IF(COUNT(U12:U42)=0,"",MAX(U12:U42))</f>
        <v>0</v>
      </c>
      <c r="V45" s="55">
        <f>IF(COUNT(V12:V42)=0,"",MAX(V12:V42))</f>
        <v>0</v>
      </c>
      <c r="W45" s="55">
        <f>IF(COUNT(W12:W42)=0,"",MAX(W12:W42))</f>
        <v>0</v>
      </c>
      <c r="X45" s="55" t="str">
        <f>IF(COUNT(X12:X42)=0,"",MAX(X12:X42))</f>
        <v/>
      </c>
      <c r="Y45" s="55" t="str">
        <f>IF(COUNT(Y12:Y42)=0,"",MAX(Y12:Y42))</f>
        <v/>
      </c>
      <c r="Z45" s="55" t="str">
        <f>IF(COUNT(Z12:Z42)=0,"",MAX(Z12:Z42))</f>
        <v/>
      </c>
      <c r="AA45" s="56" t="str">
        <f>IF(COUNT(AA12:AA42)=0,"",MAX(AA12:AA42))</f>
        <v/>
      </c>
      <c r="AB45" s="55" t="str">
        <f>IF(COUNT(AB12:AB42)=0,"",MAX(AB12:AB42))</f>
        <v/>
      </c>
      <c r="AC45" s="55">
        <f>IF(COUNT(AC12:AC42)=0,"",MAX(AC12:AC42))</f>
        <v>0</v>
      </c>
      <c r="AD45" s="55">
        <f>IF(COUNT(AD12:AD42)=0,"",MAX(AD12:AD42))</f>
        <v>0</v>
      </c>
      <c r="AE45" s="55">
        <f>IF(COUNT(AE12:AE42)=0,"",MAX(AE12:AE42))</f>
        <v>0</v>
      </c>
      <c r="AF45" s="55">
        <f>IF(COUNT(AF12:AF42)=0,"",MAX(AF12:AF42))</f>
        <v>0</v>
      </c>
      <c r="AG45" s="55">
        <f>IF(COUNT(AG12:AG42)=0,"",MAX(AG12:AG42))</f>
        <v>0</v>
      </c>
      <c r="AH45" s="55">
        <f>IF(COUNT(AH12:AH42)=0,"",MAX(AH12:AH42))</f>
        <v>0</v>
      </c>
      <c r="AI45" s="55">
        <f>IF(COUNT(AI12:AI42)=0,"",MAX(AI12:AI42))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5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5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5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5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5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55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55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55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54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55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W46" s="55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X46" s="55" t="str">
        <f>IF($B$9=0,"",IF($B$2="Todos",IF(COUNT($C$172:$V$172)=0,"",SUM($C$172:$V$172)),IFERROR(INDEX($C$172:$V$172,MATCH($D$2,$C$140:$V$140,0)),"")))</f>
        <v/>
      </c>
      <c r="Y46" s="55" t="str">
        <f>IF(Z46="","",IF($B$2="Todos",IF($B$4&gt;0,$B$4,IF($B$2="Todos",IF(COUNT($C$242:$V$242)=0,"",SUM($C$242:$V$242)),IFERROR(INDEX($C$242:$V$242,MATCH($D$2,$C$210:$V$210,0)),""))),IFERROR(INDEX($C$242:$V$242,MATCH($D$2,$C$210:$V$210,0)),"")))</f>
        <v/>
      </c>
      <c r="Z46" s="55" t="str">
        <f>IF($B$9=0,"",IF($B$2="Todos",IF(COUNT($C$207:$V$207)=0,"",SUM($C$207:$V$207)),IFERROR(INDEX($C$207:$V$207,MATCH($D$2,$C$175:$V$175,0)),"")))</f>
        <v/>
      </c>
      <c r="AA46" s="56" t="str">
        <f>IF(AND(ISNUMBER(Z46),ISNUMBER(Y46)),IF(Y46&gt;0,Z46/Y46,""),"")</f>
        <v/>
      </c>
      <c r="AB46" s="55" t="str">
        <f>IF($B$9=0,"",IF($B$2="Todos",IF(COUNT($C$277:$V$277)=0,"",SUM($C$277:$V$277)),IFERROR(INDEX($C$277:$V$277,MATCH($D$2,$C$245:$V$245,0)),"")))</f>
        <v/>
      </c>
      <c r="AC46" s="55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55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55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55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55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  <c r="AH46" s="55" t="str">
        <f>IF($B$9=0,"",IF($B$2="Todos",SUMIFS(BD!$AG$3:$AG$5001,BD!$A$3:$A$5001,"&gt;="&amp;$C$8,BD!$A$3:$A$5001,"&lt;="&amp;$D$8),SUMIFS(BD!$AG$3:$AG$5001,BD!$A$3:$A$5001,"&gt;="&amp;$C$8,BD!$A$3:$A$5001,"&lt;="&amp;$D$8,BD!$B$3:$B$5001,$D$2)))</f>
        <v/>
      </c>
      <c r="AI46" s="55" t="str">
        <f>IF($B$9=0,"",IF($B$2="Todos",SUMIFS(BD!$AH$3:$AH$5001,BD!$A$3:$A$5001,"&gt;="&amp;$C$8,BD!$A$3:$A$5001,"&lt;="&amp;$D$8),SUMIFS(BD!$AH$3:$AH$5001,BD!$A$3:$A$5001,"&gt;="&amp;$C$8,BD!$A$3:$A$5001,"&lt;="&amp;$D$8,BD!$B$3:$B$5001,$D$2)))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  <c r="W47" s="56" t="str">
        <f>IF(AND(ISNUMBER(W43),ISNUMBER(W46)),IF(W46&lt;&gt;0,W43/W46-1,""),"")</f>
        <v/>
      </c>
      <c r="X47" s="56" t="str">
        <f>IF(AND(ISNUMBER(X43),ISNUMBER(X46)),IF(X46&lt;&gt;0,X43/X46-1,""),"")</f>
        <v/>
      </c>
      <c r="Y47" s="56" t="str">
        <f>IF(AND(ISNUMBER(Y43),ISNUMBER(Y46)),IF(Y46&lt;&gt;0,Y43/Y46-1,""),"")</f>
        <v/>
      </c>
      <c r="Z47" s="56" t="str">
        <f>IF(AND(ISNUMBER(Z43),ISNUMBER(Z46)),IF(Z46&lt;&gt;0,Z43/Z46-1,""),"")</f>
        <v/>
      </c>
      <c r="AA47" s="56" t="str">
        <f>IF(AND(ISNUMBER(AA43),ISNUMBER(AA46)),IF(AA46&lt;&gt;0,AA43/AA46-1,""),"")</f>
        <v/>
      </c>
      <c r="AB47" s="56" t="str">
        <f>IF(AND(ISNUMBER(AB43),ISNUMBER(AB46)),IF(AB46&lt;&gt;0,AB43/AB46-1,""),"")</f>
        <v/>
      </c>
      <c r="AC47" s="56" t="str">
        <f>IF(AND(ISNUMBER(AC43),ISNUMBER(AC46)),IF(AC46&lt;&gt;0,AC43/AC46-1,""),"")</f>
        <v/>
      </c>
      <c r="AD47" s="56" t="str">
        <f>IF(AND(ISNUMBER(AD43),ISNUMBER(AD46)),IF(AD46&lt;&gt;0,AD43/AD46-1,""),"")</f>
        <v/>
      </c>
      <c r="AE47" s="56" t="str">
        <f>IF(AND(ISNUMBER(AE43),ISNUMBER(AE46)),IF(AE46&lt;&gt;0,AE43/AE46-1,""),"")</f>
        <v/>
      </c>
      <c r="AF47" s="56" t="str">
        <f>IF(AND(ISNUMBER(AF43),ISNUMBER(AF46)),IF(AF46&lt;&gt;0,AF43/AF46-1,""),"")</f>
        <v/>
      </c>
      <c r="AG47" s="56" t="str">
        <f>IF(AND(ISNUMBER(AG43),ISNUMBER(AG46)),IF(AG46&lt;&gt;0,AG43/AG46-1,""),"")</f>
        <v/>
      </c>
      <c r="AH47" s="56" t="str">
        <f>IF(AND(ISNUMBER(AH43),ISNUMBER(AH46)),IF(AH46&lt;&gt;0,AH43/AH46-1,""),"")</f>
        <v/>
      </c>
      <c r="AI47" s="56" t="str">
        <f>IF(AND(ISNUMBER(AI43),ISNUMBER(AI46)),IF(AI46&lt;&gt;0,AI43/AI46-1,""),"")</f>
        <v/>
      </c>
    </row>
    <row r="48">
      <c r="A48" s="52" t="inlineStr">
        <is>
          <t xml:space="preserve">Meta (seleção)</t>
        </is>
      </c>
      <c r="C48" s="55" t="str">
        <f>IFERROR(1/(1/INDEX(BD!$AL$23:$BF$23,MATCH($B$2,BD!$AL$22:$BF$22,0))),"")</f>
        <v/>
      </c>
      <c r="D48" s="55" t="str">
        <f>IFERROR(1/(1/INDEX(BD!$AL$24:$BF$24,MATCH($B$2,BD!$AL$22:$BF$22,0))),"")</f>
        <v/>
      </c>
      <c r="E48" s="55" t="str">
        <f>IFERROR(1/(1/INDEX(BD!$AL$25:$BF$25,MATCH($B$2,BD!$AL$22:$BF$22,0))),"")</f>
        <v/>
      </c>
      <c r="F48" s="55" t="str">
        <f>IFERROR(1/(1/INDEX(BD!$AL$26:$BF$26,MATCH($B$2,BD!$AL$22:$BF$22,0))),"")</f>
        <v/>
      </c>
      <c r="G48" s="55" t="str">
        <f>IFERROR(1/(1/INDEX(BD!$AL$27:$BF$27,MATCH($B$2,BD!$AL$22:$BF$22,0))),"")</f>
        <v/>
      </c>
      <c r="H48" s="55" t="str">
        <f>IFERROR(1/(1/INDEX(BD!$AL$28:$BF$28,MATCH($B$2,BD!$AL$22:$BF$22,0))),"")</f>
        <v/>
      </c>
      <c r="I48" s="55" t="str">
        <f>IFERROR(1/(1/INDEX(BD!$AL$29:$BF$29,MATCH($B$2,BD!$AL$22:$BF$22,0))),"")</f>
        <v/>
      </c>
      <c r="J48" s="55" t="str">
        <f>IFERROR(1/(1/INDEX(BD!$AL$30:$BF$30,MATCH($B$2,BD!$AL$22:$BF$22,0))),"")</f>
        <v/>
      </c>
      <c r="K48" s="55" t="str">
        <f>IFERROR(1/(1/INDEX(BD!$AL$31:$BF$31,MATCH($B$2,BD!$AL$22:$BF$22,0))),"")</f>
        <v/>
      </c>
      <c r="L48" s="55" t="str">
        <f>IFERROR(1/(1/INDEX(BD!$AL$32:$BF$32,MATCH($B$2,BD!$AL$22:$BF$22,0))),"")</f>
        <v/>
      </c>
      <c r="M48" s="55" t="str">
        <f>IFERROR(1/(1/INDEX(BD!$AL$33:$BF$33,MATCH($B$2,BD!$AL$22:$BF$22,0))),"")</f>
        <v/>
      </c>
      <c r="N48" s="55" t="str">
        <f>IFERROR(1/(1/INDEX(BD!$AL$34:$BF$34,MATCH($B$2,BD!$AL$22:$BF$22,0))),"")</f>
        <v/>
      </c>
      <c r="O48" s="55" t="str">
        <f>IFERROR(1/(1/INDEX(BD!$AL$35:$BF$35,MATCH($B$2,BD!$AL$22:$BF$22,0))),"")</f>
        <v/>
      </c>
      <c r="P48" s="55" t="str">
        <f>IFERROR(1/(1/INDEX(BD!$AL$36:$BF$36,MATCH($B$2,BD!$AL$22:$BF$22,0))),"")</f>
        <v/>
      </c>
      <c r="Q48" s="55" t="str">
        <f>IFERROR(1/(1/INDEX(BD!$AL$37:$BF$37,MATCH($B$2,BD!$AL$22:$BF$22,0))),"")</f>
        <v/>
      </c>
      <c r="R48" s="55" t="str">
        <f>IFERROR(1/(1/INDEX(BD!$AL$38:$BF$38,MATCH($B$2,BD!$AL$22:$BF$22,0))),"")</f>
        <v/>
      </c>
      <c r="S48" s="55" t="str">
        <f>IFERROR(1/(1/INDEX(BD!$AL$39:$BF$39,MATCH($B$2,BD!$AL$22:$BF$22,0))),"")</f>
        <v/>
      </c>
      <c r="T48" s="55" t="str">
        <f>IFERROR(1/(1/INDEX(BD!$AL$40:$BF$40,MATCH($B$2,BD!$AL$22:$BF$22,0))),"")</f>
        <v/>
      </c>
      <c r="U48" s="55" t="str">
        <f>IFERROR(1/(1/INDEX(BD!$AL$41:$BF$41,MATCH($B$2,BD!$AL$22:$BF$22,0))),"")</f>
        <v/>
      </c>
      <c r="V48" s="55" t="str">
        <f>IFERROR(1/(1/INDEX(BD!$AL$42:$BF$42,MATCH($B$2,BD!$AL$22:$BF$22,0))),"")</f>
        <v/>
      </c>
      <c r="W48" s="55" t="str">
        <f>IFERROR(1/(1/INDEX(BD!$AL$43:$BF$43,MATCH($B$2,BD!$AL$22:$BF$22,0))),"")</f>
        <v/>
      </c>
      <c r="X48" s="55" t="str">
        <f>IFERROR(1/(1/INDEX(BD!$AL$44:$BF$44,MATCH($B$2,BD!$AL$22:$BF$22,0))),"")</f>
        <v/>
      </c>
      <c r="Y48" s="55" t="str">
        <f>IFERROR(1/(1/INDEX(BD!$AL$45:$BF$45,MATCH($B$2,BD!$AL$22:$BF$22,0))),"")</f>
        <v/>
      </c>
      <c r="Z48" s="55" t="str">
        <f>IFERROR(1/(1/INDEX(BD!$AL$46:$BF$46,MATCH($B$2,BD!$AL$22:$BF$22,0))),"")</f>
        <v/>
      </c>
      <c r="AA48" s="57" t="str">
        <f>IFERROR(1/(1/INDEX(BD!$AL$47:$BF$47,MATCH($B$2,BD!$AL$22:$BF$22,0))),"")</f>
        <v/>
      </c>
      <c r="AB48" s="55" t="str">
        <f>IFERROR(1/(1/INDEX(BD!$AL$48:$BF$48,MATCH($B$2,BD!$AL$22:$BF$22,0))),"")</f>
        <v/>
      </c>
      <c r="AC48" s="55" t="str">
        <f>IFERROR(1/(1/INDEX(BD!$AL$49:$BF$49,MATCH($B$2,BD!$AL$22:$BF$22,0))),"")</f>
        <v/>
      </c>
      <c r="AD48" s="55" t="str">
        <f>IFERROR(1/(1/INDEX(BD!$AL$50:$BF$50,MATCH($B$2,BD!$AL$22:$BF$22,0))),"")</f>
        <v/>
      </c>
      <c r="AE48" s="55" t="str">
        <f>IFERROR(1/(1/INDEX(BD!$AL$51:$BF$51,MATCH($B$2,BD!$AL$22:$BF$22,0))),"")</f>
        <v/>
      </c>
      <c r="AF48" s="55" t="str">
        <f>IFERROR(1/(1/INDEX(BD!$AL$52:$BF$52,MATCH($B$2,BD!$AL$22:$BF$22,0))),"")</f>
        <v/>
      </c>
      <c r="AG48" s="55" t="str">
        <f>IFERROR(1/(1/INDEX(BD!$AL$53:$BF$53,MATCH($B$2,BD!$AL$22:$BF$22,0))),"")</f>
        <v/>
      </c>
      <c r="AH48" s="55" t="str">
        <f>IFERROR(1/(1/INDEX(BD!$AL$54:$BF$54,MATCH($B$2,BD!$AL$22:$BF$22,0))),"")</f>
        <v/>
      </c>
      <c r="AI48" s="55" t="str">
        <f>IFERROR(1/(1/INDEX(BD!$AL$55:$BF$55,MATCH($B$2,BD!$AL$22:$BF$22,0))),"")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  <c r="W49" s="57" t="str">
        <f>IF(AND(ISNUMBER(W48),ISNUMBER(W43)),IF(W48&gt;0,W43/W48,""),"")</f>
        <v/>
      </c>
      <c r="X49" s="57" t="str">
        <f>IF(AND(ISNUMBER(X48),ISNUMBER(X43)),IF(X48&gt;0,X43/X48,""),"")</f>
        <v/>
      </c>
      <c r="Y49" s="57" t="str">
        <f>IF(AND(ISNUMBER(Y48),ISNUMBER(Y43)),IF(Y48&gt;0,Y43/Y48,""),"")</f>
        <v/>
      </c>
      <c r="Z49" s="57" t="str">
        <f>IF(AND(ISNUMBER(Z48),ISNUMBER(Z43)),IF(Z48&gt;0,Z43/Z48,""),"")</f>
        <v/>
      </c>
      <c r="AA49" s="57" t="str">
        <f>IF(AND(ISNUMBER(AA48),ISNUMBER(AA43)),IF(AA48&gt;0,AA43/AA48,""),"")</f>
        <v/>
      </c>
      <c r="AB49" s="57" t="str">
        <f>IF(AND(ISNUMBER(AB48),ISNUMBER(AB43)),IF(AB48&gt;0,AB43/AB48,""),"")</f>
        <v/>
      </c>
      <c r="AC49" s="57" t="str">
        <f>IF(AND(ISNUMBER(AC48),ISNUMBER(AC43)),IF(AC48&gt;0,AC43/AC48,""),"")</f>
        <v/>
      </c>
      <c r="AD49" s="57" t="str">
        <f>IF(AND(ISNUMBER(AD48),ISNUMBER(AD43)),IF(AD48&gt;0,AD43/AD48,""),"")</f>
        <v/>
      </c>
      <c r="AE49" s="57" t="str">
        <f>IF(AND(ISNUMBER(AE48),ISNUMBER(AE43)),IF(AE48&gt;0,AE43/AE48,""),"")</f>
        <v/>
      </c>
      <c r="AF49" s="57" t="str">
        <f>IF(AND(ISNUMBER(AF48),ISNUMBER(AF43)),IF(AF48&gt;0,AF43/AF48,""),"")</f>
        <v/>
      </c>
      <c r="AG49" s="57" t="str">
        <f>IF(AND(ISNUMBER(AG48),ISNUMBER(AG43)),IF(AG48&gt;0,AG43/AG48,""),"")</f>
        <v/>
      </c>
      <c r="AH49" s="57" t="str">
        <f>IF(AND(ISNUMBER(AH48),ISNUMBER(AH43)),IF(AH48&gt;0,AH43/AH48,""),"")</f>
        <v/>
      </c>
      <c r="AI49" s="57" t="str">
        <f>IF(AND(ISNUMBER(AI48),ISNUMBER(AI43)),IF(AI48&gt;0,AI43/AI48,""),"")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IF(ISNUMBER(I49),IF(I49&gt;=1,"meta atingida","abaixo da meta"),"")</f>
        <v/>
      </c>
      <c r="J50" s="58" t="str">
        <f>IF(ISNUMBER(J49),IF(J49&gt;=1,"meta atingida","abaixo da meta"),"")</f>
        <v/>
      </c>
      <c r="K50" s="58" t="str">
        <f>IF(ISNUMBER(K49),IF(K49&gt;=1,"meta atingida","abaixo da meta"),"")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IF(ISNUMBER(N49),IF(N49&gt;=1,"meta atingida","abaixo da meta"),"")</f>
        <v/>
      </c>
      <c r="O50" s="58" t="str">
        <f>IF(ISNUMBER(O49),IF(O49&gt;=1,"meta atingida","abaixo da meta"),"")</f>
        <v/>
      </c>
      <c r="P50" s="58" t="str">
        <f>IF(ISNUMBER(P49),IF(P49&gt;=1,"meta atingida","abaixo da meta"),"")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IF(ISNUMBER(S49),IF(S49&gt;=1,"meta atingida","abaixo da meta"),"")</f>
        <v/>
      </c>
      <c r="T50" s="58" t="str">
        <f>IF(ISNUMBER(T49),IF(T49&gt;=1,"meta atingida","abaixo da meta"),"")</f>
        <v/>
      </c>
      <c r="U50" s="58" t="str">
        <f>IF(ISNUMBER(U49),IF(U49&gt;=1,"meta atingida","abaixo da meta"),"")</f>
        <v/>
      </c>
      <c r="V50" s="58" t="str">
        <f>IF(AND(ISNUMBER(V48),ISNUMBER(V43)),IF(V43&lt;=V48,"dentro do limite","acima do limite"),"")</f>
        <v/>
      </c>
      <c r="W50" s="58" t="str">
        <f>IF(AND(ISNUMBER(W48),ISNUMBER(W43)),IF(W43&lt;=W48,"dentro do limite","acima do limite"),"")</f>
        <v/>
      </c>
      <c r="X50" s="58" t="str">
        <f>IF(AND(ISNUMBER(X48),ISNUMBER(X43)),IF(X43&lt;=X48,"dentro do limite","acima do limite"),"")</f>
        <v/>
      </c>
      <c r="Y50" s="58" t="str">
        <f>IF(ISNUMBER(Y49),IF(Y49&gt;=1,"meta atingida","abaixo da meta"),"")</f>
        <v/>
      </c>
      <c r="Z50" s="58" t="str">
        <f>IF(ISNUMBER(Z49),IF(Z49&gt;=1,"meta atingida","abaixo da meta"),"")</f>
        <v/>
      </c>
      <c r="AA50" s="58" t="str">
        <f>IF(ISNUMBER(AA43),IF(AA43&gt;1,"excede o contratado",IF(AA43&gt;=$B$6,"ocupação alta",IF(AA43&gt;=$B$5,"ocupação média","ociosidade alta"))),"")</f>
        <v/>
      </c>
      <c r="AB50" s="58" t="str">
        <f>IF(ISNUMBER(AB49),IF(AB49&gt;=1,"meta atingida","abaixo da meta"),"")</f>
        <v/>
      </c>
      <c r="AC50" s="58" t="str">
        <f>IF(AND(ISNUMBER(AC48),ISNUMBER(AC43)),IF(AC43&lt;=AC48,"dentro do limite","acima do limite"),"")</f>
        <v/>
      </c>
      <c r="AD50" s="58" t="str">
        <f>IF(ISNUMBER(AD49),IF(AD49&gt;=1,"meta atingida","abaixo da meta"),"")</f>
        <v/>
      </c>
      <c r="AE50" s="58" t="str">
        <f>IF(ISNUMBER(AE49),IF(AE49&gt;=1,"meta atingida","abaixo da meta"),"")</f>
        <v/>
      </c>
      <c r="AF50" s="58" t="str">
        <f>IF(AND(ISNUMBER(AF48),ISNUMBER(AF43)),IF(AF43&lt;=AF48,"dentro do limite","acima do limite"),"")</f>
        <v/>
      </c>
      <c r="AG50" s="58" t="str">
        <f>IF(AND(ISNUMBER(AG48),ISNUMBER(AG43)),IF(AG43&lt;=AG48,"dentro do limite","acima do limite"),"")</f>
        <v/>
      </c>
      <c r="AH50" s="58" t="str">
        <f>IF(AND(ISNUMBER(AH48),ISNUMBER(AH43)),IF(AH43&lt;=AH48,"dentro do limite","acima do limite"),"")</f>
        <v/>
      </c>
      <c r="AI50" s="58" t="str">
        <f>IF(AND(ISNUMBER(AI48),ISNUMBER(AI43)),IF(AI43&lt;=AI48,"dentro do limite","acima do limite"),"")</f>
        <v/>
      </c>
    </row>
    <row r="91">
      <c r="A91" s="19" t="inlineStr">
        <is>
          <t xml:space="preserve">ACUMULADO SEMANAL — toneladas e pallets (seguem o filtro; mês do gráfico)</t>
        </is>
      </c>
    </row>
    <row r="92">
      <c r="A92" s="37" t="inlineStr">
        <is>
          <t xml:space="preserve">Semana</t>
        </is>
      </c>
      <c r="B92" s="37" t="inlineStr">
        <is>
          <t xml:space="preserve">Do dia</t>
        </is>
      </c>
      <c r="C92" s="37" t="inlineStr">
        <is>
          <t xml:space="preserve">Ao dia</t>
        </is>
      </c>
      <c r="D92" s="37" t="inlineStr">
        <is>
          <t xml:space="preserve">IN tons</t>
        </is>
      </c>
      <c r="E92" s="37" t="inlineStr">
        <is>
          <t xml:space="preserve">OUT tons</t>
        </is>
      </c>
      <c r="F92" s="37" t="inlineStr">
        <is>
          <t xml:space="preserve">IN pallets</t>
        </is>
      </c>
      <c r="G92" s="37" t="inlineStr">
        <is>
          <t xml:space="preserve">OUT pallets</t>
        </is>
      </c>
      <c r="AZ92" s="37" t="inlineStr">
        <is>
          <t xml:space="preserve">Gráf A IN (semanal)</t>
        </is>
      </c>
      <c r="BA92" s="37" t="inlineStr">
        <is>
          <t xml:space="preserve">Gráf A OUT (semanal)</t>
        </is>
      </c>
      <c r="BB92" s="37" t="inlineStr">
        <is>
          <t xml:space="preserve">Gráf B IN (semanal)</t>
        </is>
      </c>
      <c r="BC92" s="37" t="inlineStr">
        <is>
          <t xml:space="preserve">Gráf B OUT (semanal)</t>
        </is>
      </c>
    </row>
    <row r="93">
      <c r="A93" s="29" t="inlineStr">
        <is>
          <t xml:space="preserve">Sem 1 (01–07)</t>
        </is>
      </c>
      <c r="B93" s="28">
        <v>1</v>
      </c>
      <c r="C93" s="28">
        <v>7</v>
      </c>
      <c r="D93" s="61">
        <f>SUMIFS(E12:E42,A12:A42,"&gt;="&amp;$B93,A12:A42,"&lt;="&amp;$C93)</f>
        <v>0</v>
      </c>
      <c r="E93" s="61">
        <f>SUMIFS(U12:U42,A12:A42,"&gt;="&amp;$B93,A12:A42,"&lt;="&amp;$C93)</f>
        <v>0</v>
      </c>
      <c r="F93" s="32">
        <f>SUMIFS(D12:D42,A12:A42,"&gt;="&amp;$B93,A12:A42,"&lt;="&amp;$C93)</f>
        <v>0</v>
      </c>
      <c r="G93" s="32">
        <f>SUMIFS(T12:T42,A12:A42,"&gt;="&amp;$B93,A12:A42,"&lt;="&amp;$C93)</f>
        <v>0</v>
      </c>
      <c r="AZ93" s="61">
        <f>IF(N(VALUE($AH$349))=0,"",IF(N(VALUE($AJ$349))=0,SUMIFS(AZ$12:AZ$42,$A$12:$A$42,"&gt;="&amp;$B93,$A$12:$A$42,"&lt;="&amp;$C93),IF(SUMIFS(INDEX($C$12:$AI$42,0,N(VALUE($AJ$349))),$A$12:$A$42,"&gt;="&amp;$B93,$A$12:$A$42,"&lt;="&amp;$C93)&gt;0,SUMIFS(INDEX($C$12:$AI$42,0,VALUE($AH$349)),$A$12:$A$42,"&gt;="&amp;$B93,$A$12:$A$42,"&lt;="&amp;$C93)/SUMIFS(INDEX($C$12:$AI$42,0,N(VALUE($AJ$349))),$A$12:$A$42,"&gt;="&amp;$B93,$A$12:$A$42,"&lt;="&amp;$C93),"")))</f>
        <v>0</v>
      </c>
      <c r="BA93" s="61">
        <f>IF(N(VALUE($AI$349))=0,"",IF(N(VALUE($AK$349))=0,SUMIFS(BA$12:BA$42,$A$12:$A$42,"&gt;="&amp;$B93,$A$12:$A$42,"&lt;="&amp;$C93),IF(SUMIFS(INDEX($C$12:$AI$42,0,N(VALUE($AK$349))),$A$12:$A$42,"&gt;="&amp;$B93,$A$12:$A$42,"&lt;="&amp;$C93)&gt;0,SUMIFS(INDEX($C$12:$AI$42,0,VALUE($AI$349)),$A$12:$A$42,"&gt;="&amp;$B93,$A$12:$A$42,"&lt;="&amp;$C93)/SUMIFS(INDEX($C$12:$AI$42,0,N(VALUE($AK$349))),$A$12:$A$42,"&gt;="&amp;$B93,$A$12:$A$42,"&lt;="&amp;$C93),"")))</f>
        <v>0</v>
      </c>
      <c r="BB93" s="61">
        <f>IF(N(VALUE($AP$349))=0,"",IF(N(VALUE($AR$349))=0,SUMIFS(BB$12:BB$42,$A$12:$A$42,"&gt;="&amp;$B93,$A$12:$A$42,"&lt;="&amp;$C93),IF(SUMIFS(INDEX($C$12:$AI$42,0,N(VALUE($AR$349))),$A$12:$A$42,"&gt;="&amp;$B93,$A$12:$A$42,"&lt;="&amp;$C93)&gt;0,SUMIFS(INDEX($C$12:$AI$42,0,VALUE($AP$349)),$A$12:$A$42,"&gt;="&amp;$B93,$A$12:$A$42,"&lt;="&amp;$C93)/SUMIFS(INDEX($C$12:$AI$42,0,N(VALUE($AR$349))),$A$12:$A$42,"&gt;="&amp;$B93,$A$12:$A$42,"&lt;="&amp;$C93),"")))</f>
        <v>0</v>
      </c>
      <c r="BC93" s="61">
        <f>IF(N(VALUE($AQ$349))=0,"",IF(N(VALUE($AS$349))=0,SUMIFS(BC$12:BC$42,$A$12:$A$42,"&gt;="&amp;$B93,$A$12:$A$42,"&lt;="&amp;$C93),IF(SUMIFS(INDEX($C$12:$AI$42,0,N(VALUE($AS$349))),$A$12:$A$42,"&gt;="&amp;$B93,$A$12:$A$42,"&lt;="&amp;$C93)&gt;0,SUMIFS(INDEX($C$12:$AI$42,0,VALUE($AQ$349)),$A$12:$A$42,"&gt;="&amp;$B93,$A$12:$A$42,"&lt;="&amp;$C93)/SUMIFS(INDEX($C$12:$AI$42,0,N(VALUE($AS$349))),$A$12:$A$42,"&gt;="&amp;$B93,$A$12:$A$42,"&lt;="&amp;$C93),"")))</f>
        <v>0</v>
      </c>
    </row>
    <row r="94">
      <c r="A94" s="29" t="inlineStr">
        <is>
          <t xml:space="preserve">Sem 2 (08–14)</t>
        </is>
      </c>
      <c r="B94" s="28">
        <v>8</v>
      </c>
      <c r="C94" s="28">
        <v>14</v>
      </c>
      <c r="D94" s="61">
        <f>SUMIFS(E12:E42,A12:A42,"&gt;="&amp;$B94,A12:A42,"&lt;="&amp;$C94)</f>
        <v>0</v>
      </c>
      <c r="E94" s="61">
        <f>SUMIFS(U12:U42,A12:A42,"&gt;="&amp;$B94,A12:A42,"&lt;="&amp;$C94)</f>
        <v>0</v>
      </c>
      <c r="F94" s="32">
        <f>SUMIFS(D12:D42,A12:A42,"&gt;="&amp;$B94,A12:A42,"&lt;="&amp;$C94)</f>
        <v>0</v>
      </c>
      <c r="G94" s="32">
        <f>SUMIFS(T12:T42,A12:A42,"&gt;="&amp;$B94,A12:A42,"&lt;="&amp;$C94)</f>
        <v>0</v>
      </c>
      <c r="AZ94" s="61">
        <f>IF(N(VALUE($AH$349))=0,"",IF(N(VALUE($AJ$349))=0,SUMIFS(AZ$12:AZ$42,$A$12:$A$42,"&gt;="&amp;$B94,$A$12:$A$42,"&lt;="&amp;$C94),IF(SUMIFS(INDEX($C$12:$AI$42,0,N(VALUE($AJ$349))),$A$12:$A$42,"&gt;="&amp;$B94,$A$12:$A$42,"&lt;="&amp;$C94)&gt;0,SUMIFS(INDEX($C$12:$AI$42,0,VALUE($AH$349)),$A$12:$A$42,"&gt;="&amp;$B94,$A$12:$A$42,"&lt;="&amp;$C94)/SUMIFS(INDEX($C$12:$AI$42,0,N(VALUE($AJ$349))),$A$12:$A$42,"&gt;="&amp;$B94,$A$12:$A$42,"&lt;="&amp;$C94),"")))</f>
        <v>0</v>
      </c>
      <c r="BA94" s="61">
        <f>IF(N(VALUE($AI$349))=0,"",IF(N(VALUE($AK$349))=0,SUMIFS(BA$12:BA$42,$A$12:$A$42,"&gt;="&amp;$B94,$A$12:$A$42,"&lt;="&amp;$C94),IF(SUMIFS(INDEX($C$12:$AI$42,0,N(VALUE($AK$349))),$A$12:$A$42,"&gt;="&amp;$B94,$A$12:$A$42,"&lt;="&amp;$C94)&gt;0,SUMIFS(INDEX($C$12:$AI$42,0,VALUE($AI$349)),$A$12:$A$42,"&gt;="&amp;$B94,$A$12:$A$42,"&lt;="&amp;$C94)/SUMIFS(INDEX($C$12:$AI$42,0,N(VALUE($AK$349))),$A$12:$A$42,"&gt;="&amp;$B94,$A$12:$A$42,"&lt;="&amp;$C94),"")))</f>
        <v>0</v>
      </c>
      <c r="BB94" s="61">
        <f>IF(N(VALUE($AP$349))=0,"",IF(N(VALUE($AR$349))=0,SUMIFS(BB$12:BB$42,$A$12:$A$42,"&gt;="&amp;$B94,$A$12:$A$42,"&lt;="&amp;$C94),IF(SUMIFS(INDEX($C$12:$AI$42,0,N(VALUE($AR$349))),$A$12:$A$42,"&gt;="&amp;$B94,$A$12:$A$42,"&lt;="&amp;$C94)&gt;0,SUMIFS(INDEX($C$12:$AI$42,0,VALUE($AP$349)),$A$12:$A$42,"&gt;="&amp;$B94,$A$12:$A$42,"&lt;="&amp;$C94)/SUMIFS(INDEX($C$12:$AI$42,0,N(VALUE($AR$349))),$A$12:$A$42,"&gt;="&amp;$B94,$A$12:$A$42,"&lt;="&amp;$C94),"")))</f>
        <v>0</v>
      </c>
      <c r="BC94" s="61">
        <f>IF(N(VALUE($AQ$349))=0,"",IF(N(VALUE($AS$349))=0,SUMIFS(BC$12:BC$42,$A$12:$A$42,"&gt;="&amp;$B94,$A$12:$A$42,"&lt;="&amp;$C94),IF(SUMIFS(INDEX($C$12:$AI$42,0,N(VALUE($AS$349))),$A$12:$A$42,"&gt;="&amp;$B94,$A$12:$A$42,"&lt;="&amp;$C94)&gt;0,SUMIFS(INDEX($C$12:$AI$42,0,VALUE($AQ$349)),$A$12:$A$42,"&gt;="&amp;$B94,$A$12:$A$42,"&lt;="&amp;$C94)/SUMIFS(INDEX($C$12:$AI$42,0,N(VALUE($AS$349))),$A$12:$A$42,"&gt;="&amp;$B94,$A$12:$A$42,"&lt;="&amp;$C94),"")))</f>
        <v>0</v>
      </c>
    </row>
    <row r="95">
      <c r="A95" s="29" t="inlineStr">
        <is>
          <t xml:space="preserve">Sem 3 (15–21)</t>
        </is>
      </c>
      <c r="B95" s="28">
        <v>15</v>
      </c>
      <c r="C95" s="28">
        <v>21</v>
      </c>
      <c r="D95" s="61">
        <f>SUMIFS(E12:E42,A12:A42,"&gt;="&amp;$B95,A12:A42,"&lt;="&amp;$C95)</f>
        <v>0</v>
      </c>
      <c r="E95" s="61">
        <f>SUMIFS(U12:U42,A12:A42,"&gt;="&amp;$B95,A12:A42,"&lt;="&amp;$C95)</f>
        <v>0</v>
      </c>
      <c r="F95" s="32">
        <f>SUMIFS(D12:D42,A12:A42,"&gt;="&amp;$B95,A12:A42,"&lt;="&amp;$C95)</f>
        <v>0</v>
      </c>
      <c r="G95" s="32">
        <f>SUMIFS(T12:T42,A12:A42,"&gt;="&amp;$B95,A12:A42,"&lt;="&amp;$C95)</f>
        <v>0</v>
      </c>
      <c r="AZ95" s="61">
        <f>IF(N(VALUE($AH$349))=0,"",IF(N(VALUE($AJ$349))=0,SUMIFS(AZ$12:AZ$42,$A$12:$A$42,"&gt;="&amp;$B95,$A$12:$A$42,"&lt;="&amp;$C95),IF(SUMIFS(INDEX($C$12:$AI$42,0,N(VALUE($AJ$349))),$A$12:$A$42,"&gt;="&amp;$B95,$A$12:$A$42,"&lt;="&amp;$C95)&gt;0,SUMIFS(INDEX($C$12:$AI$42,0,VALUE($AH$349)),$A$12:$A$42,"&gt;="&amp;$B95,$A$12:$A$42,"&lt;="&amp;$C95)/SUMIFS(INDEX($C$12:$AI$42,0,N(VALUE($AJ$349))),$A$12:$A$42,"&gt;="&amp;$B95,$A$12:$A$42,"&lt;="&amp;$C95),"")))</f>
        <v>0</v>
      </c>
      <c r="BA95" s="61">
        <f>IF(N(VALUE($AI$349))=0,"",IF(N(VALUE($AK$349))=0,SUMIFS(BA$12:BA$42,$A$12:$A$42,"&gt;="&amp;$B95,$A$12:$A$42,"&lt;="&amp;$C95),IF(SUMIFS(INDEX($C$12:$AI$42,0,N(VALUE($AK$349))),$A$12:$A$42,"&gt;="&amp;$B95,$A$12:$A$42,"&lt;="&amp;$C95)&gt;0,SUMIFS(INDEX($C$12:$AI$42,0,VALUE($AI$349)),$A$12:$A$42,"&gt;="&amp;$B95,$A$12:$A$42,"&lt;="&amp;$C95)/SUMIFS(INDEX($C$12:$AI$42,0,N(VALUE($AK$349))),$A$12:$A$42,"&gt;="&amp;$B95,$A$12:$A$42,"&lt;="&amp;$C95),"")))</f>
        <v>0</v>
      </c>
      <c r="BB95" s="61">
        <f>IF(N(VALUE($AP$349))=0,"",IF(N(VALUE($AR$349))=0,SUMIFS(BB$12:BB$42,$A$12:$A$42,"&gt;="&amp;$B95,$A$12:$A$42,"&lt;="&amp;$C95),IF(SUMIFS(INDEX($C$12:$AI$42,0,N(VALUE($AR$349))),$A$12:$A$42,"&gt;="&amp;$B95,$A$12:$A$42,"&lt;="&amp;$C95)&gt;0,SUMIFS(INDEX($C$12:$AI$42,0,VALUE($AP$349)),$A$12:$A$42,"&gt;="&amp;$B95,$A$12:$A$42,"&lt;="&amp;$C95)/SUMIFS(INDEX($C$12:$AI$42,0,N(VALUE($AR$349))),$A$12:$A$42,"&gt;="&amp;$B95,$A$12:$A$42,"&lt;="&amp;$C95),"")))</f>
        <v>0</v>
      </c>
      <c r="BC95" s="61">
        <f>IF(N(VALUE($AQ$349))=0,"",IF(N(VALUE($AS$349))=0,SUMIFS(BC$12:BC$42,$A$12:$A$42,"&gt;="&amp;$B95,$A$12:$A$42,"&lt;="&amp;$C95),IF(SUMIFS(INDEX($C$12:$AI$42,0,N(VALUE($AS$349))),$A$12:$A$42,"&gt;="&amp;$B95,$A$12:$A$42,"&lt;="&amp;$C95)&gt;0,SUMIFS(INDEX($C$12:$AI$42,0,VALUE($AQ$349)),$A$12:$A$42,"&gt;="&amp;$B95,$A$12:$A$42,"&lt;="&amp;$C95)/SUMIFS(INDEX($C$12:$AI$42,0,N(VALUE($AS$349))),$A$12:$A$42,"&gt;="&amp;$B95,$A$12:$A$42,"&lt;="&amp;$C95),"")))</f>
        <v>0</v>
      </c>
    </row>
    <row r="96">
      <c r="A96" s="29" t="inlineStr">
        <is>
          <t xml:space="preserve">Sem 4 (22–28)</t>
        </is>
      </c>
      <c r="B96" s="28">
        <v>22</v>
      </c>
      <c r="C96" s="28">
        <v>28</v>
      </c>
      <c r="D96" s="61">
        <f>SUMIFS(E12:E42,A12:A42,"&gt;="&amp;$B96,A12:A42,"&lt;="&amp;$C96)</f>
        <v>0</v>
      </c>
      <c r="E96" s="61">
        <f>SUMIFS(U12:U42,A12:A42,"&gt;="&amp;$B96,A12:A42,"&lt;="&amp;$C96)</f>
        <v>0</v>
      </c>
      <c r="F96" s="32">
        <f>SUMIFS(D12:D42,A12:A42,"&gt;="&amp;$B96,A12:A42,"&lt;="&amp;$C96)</f>
        <v>0</v>
      </c>
      <c r="G96" s="32">
        <f>SUMIFS(T12:T42,A12:A42,"&gt;="&amp;$B96,A12:A42,"&lt;="&amp;$C96)</f>
        <v>0</v>
      </c>
      <c r="AZ96" s="61">
        <f>IF(N(VALUE($AH$349))=0,"",IF(N(VALUE($AJ$349))=0,SUMIFS(AZ$12:AZ$42,$A$12:$A$42,"&gt;="&amp;$B96,$A$12:$A$42,"&lt;="&amp;$C96),IF(SUMIFS(INDEX($C$12:$AI$42,0,N(VALUE($AJ$349))),$A$12:$A$42,"&gt;="&amp;$B96,$A$12:$A$42,"&lt;="&amp;$C96)&gt;0,SUMIFS(INDEX($C$12:$AI$42,0,VALUE($AH$349)),$A$12:$A$42,"&gt;="&amp;$B96,$A$12:$A$42,"&lt;="&amp;$C96)/SUMIFS(INDEX($C$12:$AI$42,0,N(VALUE($AJ$349))),$A$12:$A$42,"&gt;="&amp;$B96,$A$12:$A$42,"&lt;="&amp;$C96),"")))</f>
        <v>0</v>
      </c>
      <c r="BA96" s="61">
        <f>IF(N(VALUE($AI$349))=0,"",IF(N(VALUE($AK$349))=0,SUMIFS(BA$12:BA$42,$A$12:$A$42,"&gt;="&amp;$B96,$A$12:$A$42,"&lt;="&amp;$C96),IF(SUMIFS(INDEX($C$12:$AI$42,0,N(VALUE($AK$349))),$A$12:$A$42,"&gt;="&amp;$B96,$A$12:$A$42,"&lt;="&amp;$C96)&gt;0,SUMIFS(INDEX($C$12:$AI$42,0,VALUE($AI$349)),$A$12:$A$42,"&gt;="&amp;$B96,$A$12:$A$42,"&lt;="&amp;$C96)/SUMIFS(INDEX($C$12:$AI$42,0,N(VALUE($AK$349))),$A$12:$A$42,"&gt;="&amp;$B96,$A$12:$A$42,"&lt;="&amp;$C96),"")))</f>
        <v>0</v>
      </c>
      <c r="BB96" s="61">
        <f>IF(N(VALUE($AP$349))=0,"",IF(N(VALUE($AR$349))=0,SUMIFS(BB$12:BB$42,$A$12:$A$42,"&gt;="&amp;$B96,$A$12:$A$42,"&lt;="&amp;$C96),IF(SUMIFS(INDEX($C$12:$AI$42,0,N(VALUE($AR$349))),$A$12:$A$42,"&gt;="&amp;$B96,$A$12:$A$42,"&lt;="&amp;$C96)&gt;0,SUMIFS(INDEX($C$12:$AI$42,0,VALUE($AP$349)),$A$12:$A$42,"&gt;="&amp;$B96,$A$12:$A$42,"&lt;="&amp;$C96)/SUMIFS(INDEX($C$12:$AI$42,0,N(VALUE($AR$349))),$A$12:$A$42,"&gt;="&amp;$B96,$A$12:$A$42,"&lt;="&amp;$C96),"")))</f>
        <v>0</v>
      </c>
      <c r="BC96" s="61">
        <f>IF(N(VALUE($AQ$349))=0,"",IF(N(VALUE($AS$349))=0,SUMIFS(BC$12:BC$42,$A$12:$A$42,"&gt;="&amp;$B96,$A$12:$A$42,"&lt;="&amp;$C96),IF(SUMIFS(INDEX($C$12:$AI$42,0,N(VALUE($AS$349))),$A$12:$A$42,"&gt;="&amp;$B96,$A$12:$A$42,"&lt;="&amp;$C96)&gt;0,SUMIFS(INDEX($C$12:$AI$42,0,VALUE($AQ$349)),$A$12:$A$42,"&gt;="&amp;$B96,$A$12:$A$42,"&lt;="&amp;$C96)/SUMIFS(INDEX($C$12:$AI$42,0,N(VALUE($AS$349))),$A$12:$A$42,"&gt;="&amp;$B96,$A$12:$A$42,"&lt;="&amp;$C96),"")))</f>
        <v>0</v>
      </c>
    </row>
    <row r="97">
      <c r="A97" s="29" t="inlineStr">
        <is>
          <t xml:space="preserve">Sem 5 (29–fim)</t>
        </is>
      </c>
      <c r="B97" s="28">
        <v>29</v>
      </c>
      <c r="C97" s="28">
        <v>31</v>
      </c>
      <c r="D97" s="61">
        <f>SUMIFS(E12:E42,A12:A42,"&gt;="&amp;$B97,A12:A42,"&lt;="&amp;$C97)</f>
        <v>0</v>
      </c>
      <c r="E97" s="61">
        <f>SUMIFS(U12:U42,A12:A42,"&gt;="&amp;$B97,A12:A42,"&lt;="&amp;$C97)</f>
        <v>0</v>
      </c>
      <c r="F97" s="32">
        <f>SUMIFS(D12:D42,A12:A42,"&gt;="&amp;$B97,A12:A42,"&lt;="&amp;$C97)</f>
        <v>0</v>
      </c>
      <c r="G97" s="32">
        <f>SUMIFS(T12:T42,A12:A42,"&gt;="&amp;$B97,A12:A42,"&lt;="&amp;$C97)</f>
        <v>0</v>
      </c>
      <c r="AZ97" s="61">
        <f>IF(N(VALUE($AH$349))=0,"",IF(N(VALUE($AJ$349))=0,SUMIFS(AZ$12:AZ$42,$A$12:$A$42,"&gt;="&amp;$B97,$A$12:$A$42,"&lt;="&amp;$C97),IF(SUMIFS(INDEX($C$12:$AI$42,0,N(VALUE($AJ$349))),$A$12:$A$42,"&gt;="&amp;$B97,$A$12:$A$42,"&lt;="&amp;$C97)&gt;0,SUMIFS(INDEX($C$12:$AI$42,0,VALUE($AH$349)),$A$12:$A$42,"&gt;="&amp;$B97,$A$12:$A$42,"&lt;="&amp;$C97)/SUMIFS(INDEX($C$12:$AI$42,0,N(VALUE($AJ$349))),$A$12:$A$42,"&gt;="&amp;$B97,$A$12:$A$42,"&lt;="&amp;$C97),"")))</f>
        <v>0</v>
      </c>
      <c r="BA97" s="61">
        <f>IF(N(VALUE($AI$349))=0,"",IF(N(VALUE($AK$349))=0,SUMIFS(BA$12:BA$42,$A$12:$A$42,"&gt;="&amp;$B97,$A$12:$A$42,"&lt;="&amp;$C97),IF(SUMIFS(INDEX($C$12:$AI$42,0,N(VALUE($AK$349))),$A$12:$A$42,"&gt;="&amp;$B97,$A$12:$A$42,"&lt;="&amp;$C97)&gt;0,SUMIFS(INDEX($C$12:$AI$42,0,VALUE($AI$349)),$A$12:$A$42,"&gt;="&amp;$B97,$A$12:$A$42,"&lt;="&amp;$C97)/SUMIFS(INDEX($C$12:$AI$42,0,N(VALUE($AK$349))),$A$12:$A$42,"&gt;="&amp;$B97,$A$12:$A$42,"&lt;="&amp;$C97),"")))</f>
        <v>0</v>
      </c>
      <c r="BB97" s="61">
        <f>IF(N(VALUE($AP$349))=0,"",IF(N(VALUE($AR$349))=0,SUMIFS(BB$12:BB$42,$A$12:$A$42,"&gt;="&amp;$B97,$A$12:$A$42,"&lt;="&amp;$C97),IF(SUMIFS(INDEX($C$12:$AI$42,0,N(VALUE($AR$349))),$A$12:$A$42,"&gt;="&amp;$B97,$A$12:$A$42,"&lt;="&amp;$C97)&gt;0,SUMIFS(INDEX($C$12:$AI$42,0,VALUE($AP$349)),$A$12:$A$42,"&gt;="&amp;$B97,$A$12:$A$42,"&lt;="&amp;$C97)/SUMIFS(INDEX($C$12:$AI$42,0,N(VALUE($AR$349))),$A$12:$A$42,"&gt;="&amp;$B97,$A$12:$A$42,"&lt;="&amp;$C97),"")))</f>
        <v>0</v>
      </c>
      <c r="BC97" s="61">
        <f>IF(N(VALUE($AQ$349))=0,"",IF(N(VALUE($AS$349))=0,SUMIFS(BC$12:BC$42,$A$12:$A$42,"&gt;="&amp;$B97,$A$12:$A$42,"&lt;="&amp;$C97),IF(SUMIFS(INDEX($C$12:$AI$42,0,N(VALUE($AS$349))),$A$12:$A$42,"&gt;="&amp;$B97,$A$12:$A$42,"&lt;="&amp;$C97)&gt;0,SUMIFS(INDEX($C$12:$AI$42,0,VALUE($AQ$349)),$A$12:$A$42,"&gt;="&amp;$B97,$A$12:$A$42,"&lt;="&amp;$C97)/SUMIFS(INDEX($C$12:$AI$42,0,N(VALUE($AS$349))),$A$12:$A$42,"&gt;="&amp;$B97,$A$12:$A$42,"&lt;="&amp;$C97),"")))</f>
        <v>0</v>
      </c>
    </row>
    <row r="101">
      <c r="A101" s="19" t="inlineStr">
        <is>
          <t xml:space="preserve">POR CLIENTE — mês inteiro (todos os clientes). Estoque = último valor do mês.</t>
        </is>
      </c>
    </row>
    <row r="102" ht="30" customHeight="1">
      <c r="A102" s="37" t="inlineStr">
        <is>
          <t xml:space="preserve">Indicador</t>
        </is>
      </c>
      <c r="B102" s="37" t="str">
        <f>Config!$B$10&amp;""</f>
        <v>Alpargatas</v>
      </c>
      <c r="C102" s="37" t="str">
        <f>Config!$B$11&amp;""</f>
        <v>Basf</v>
      </c>
      <c r="D102" s="37" t="str">
        <f>Config!$B$12&amp;""</f>
        <v>Beautybiz</v>
      </c>
      <c r="E102" s="37" t="str">
        <f>Config!$B$13&amp;""</f>
        <v>Boticário</v>
      </c>
      <c r="F102" s="37" t="str">
        <f>Config!$B$14&amp;""</f>
        <v>Confiance</v>
      </c>
      <c r="G102" s="37" t="str">
        <f>Config!$B$15&amp;""</f>
        <v>GE Vernova</v>
      </c>
      <c r="H102" s="37" t="str">
        <f>Config!$B$16&amp;""</f>
        <v>Omnilife</v>
      </c>
      <c r="I102" s="37" t="str">
        <f>Config!$B$17&amp;""</f>
        <v>Supply</v>
      </c>
      <c r="J102" s="37" t="str">
        <f>Config!$B$18&amp;""</f>
        <v>Vedacit</v>
      </c>
      <c r="K102" s="37" t="str">
        <f>Config!$B$19&amp;""</f>
        <v>Vestas</v>
      </c>
      <c r="L102" s="37" t="str">
        <f>Config!$B$20&amp;""</f>
        <v/>
      </c>
      <c r="M102" s="37" t="str">
        <f>Config!$B$21&amp;""</f>
        <v/>
      </c>
      <c r="N102" s="37" t="str">
        <f>Config!$B$22&amp;""</f>
        <v/>
      </c>
      <c r="O102" s="37" t="str">
        <f>Config!$B$23&amp;""</f>
        <v/>
      </c>
      <c r="P102" s="37" t="str">
        <f>Config!$B$24&amp;""</f>
        <v/>
      </c>
      <c r="Q102" s="37" t="str">
        <f>Config!$B$25&amp;""</f>
        <v/>
      </c>
      <c r="R102" s="37" t="str">
        <f>Config!$B$26&amp;""</f>
        <v/>
      </c>
      <c r="S102" s="37" t="str">
        <f>Config!$B$27&amp;""</f>
        <v/>
      </c>
      <c r="T102" s="37" t="str">
        <f>Config!$B$28&amp;""</f>
        <v/>
      </c>
      <c r="U102" s="37" t="str">
        <f>Config!$B$29&amp;""</f>
        <v/>
      </c>
      <c r="V102" s="37" t="inlineStr">
        <is>
          <t xml:space="preserve">TOTAL</t>
        </is>
      </c>
    </row>
    <row r="103">
      <c r="A103" s="29" t="inlineStr">
        <is>
          <t xml:space="preserve">IN · Veículos Recebidos</t>
        </is>
      </c>
      <c r="B103" s="32">
        <f>IF(B$102="","",IF(Config!$D$35&lt;&gt;"Não",SUMIFS(BD!$C$3:$C$5001,BD!$B$3:$B$5001,B$102,BD!$A$3:$A$5001,"&gt;="&amp;$C$7,BD!$A$3:$A$5001,"&lt;="&amp;$D$7),"—"))</f>
        <v>0</v>
      </c>
      <c r="C103" s="32">
        <f>IF(C$102="","",IF(Config!$D$36&lt;&gt;"Não",SUMIFS(BD!$C$3:$C$5001,BD!$B$3:$B$5001,C$102,BD!$A$3:$A$5001,"&gt;="&amp;$C$7,BD!$A$3:$A$5001,"&lt;="&amp;$D$7),"—"))</f>
        <v>0</v>
      </c>
      <c r="D103" s="32">
        <f>IF(D$102="","",IF(Config!$D$37&lt;&gt;"Não",SUMIFS(BD!$C$3:$C$5001,BD!$B$3:$B$5001,D$102,BD!$A$3:$A$5001,"&gt;="&amp;$C$7,BD!$A$3:$A$5001,"&lt;="&amp;$D$7),"—"))</f>
        <v>0</v>
      </c>
      <c r="E103" s="32">
        <f>IF(E$102="","",IF(Config!$D$38&lt;&gt;"Não",SUMIFS(BD!$C$3:$C$5001,BD!$B$3:$B$5001,E$102,BD!$A$3:$A$5001,"&gt;="&amp;$C$7,BD!$A$3:$A$5001,"&lt;="&amp;$D$7),"—"))</f>
        <v>0</v>
      </c>
      <c r="F103" s="32">
        <f>IF(F$102="","",IF(Config!$D$39&lt;&gt;"Não",SUMIFS(BD!$C$3:$C$5001,BD!$B$3:$B$5001,F$102,BD!$A$3:$A$5001,"&gt;="&amp;$C$7,BD!$A$3:$A$5001,"&lt;="&amp;$D$7),"—"))</f>
        <v>0</v>
      </c>
      <c r="G103" s="32">
        <f>IF(G$102="","",IF(Config!$D$40&lt;&gt;"Não",SUMIFS(BD!$C$3:$C$5001,BD!$B$3:$B$5001,G$102,BD!$A$3:$A$5001,"&gt;="&amp;$C$7,BD!$A$3:$A$5001,"&lt;="&amp;$D$7),"—"))</f>
        <v>0</v>
      </c>
      <c r="H103" s="32">
        <f>IF(H$102="","",IF(Config!$D$41&lt;&gt;"Não",SUMIFS(BD!$C$3:$C$5001,BD!$B$3:$B$5001,H$102,BD!$A$3:$A$5001,"&gt;="&amp;$C$7,BD!$A$3:$A$5001,"&lt;="&amp;$D$7),"—"))</f>
        <v>0</v>
      </c>
      <c r="I103" s="32">
        <f>IF(I$102="","",IF(Config!$D$42&lt;&gt;"Não",SUMIFS(BD!$C$3:$C$5001,BD!$B$3:$B$5001,I$102,BD!$A$3:$A$5001,"&gt;="&amp;$C$7,BD!$A$3:$A$5001,"&lt;="&amp;$D$7),"—"))</f>
        <v>0</v>
      </c>
      <c r="J103" s="32">
        <f>IF(J$102="","",IF(Config!$D$43&lt;&gt;"Não",SUMIFS(BD!$C$3:$C$5001,BD!$B$3:$B$5001,J$102,BD!$A$3:$A$5001,"&gt;="&amp;$C$7,BD!$A$3:$A$5001,"&lt;="&amp;$D$7),"—"))</f>
        <v>0</v>
      </c>
      <c r="K103" s="32">
        <f>IF(K$102="","",IF(Config!$D$44&lt;&gt;"Não",SUMIFS(BD!$C$3:$C$5001,BD!$B$3:$B$5001,K$102,BD!$A$3:$A$5001,"&gt;="&amp;$C$7,BD!$A$3:$A$5001,"&lt;="&amp;$D$7),"—"))</f>
        <v>0</v>
      </c>
      <c r="L103" s="32" t="str">
        <f>IF(L$102="","",IF(Config!$D$45&lt;&gt;"Não",SUMIFS(BD!$C$3:$C$5001,BD!$B$3:$B$5001,L$102,BD!$A$3:$A$5001,"&gt;="&amp;$C$7,BD!$A$3:$A$5001,"&lt;="&amp;$D$7),"—"))</f>
        <v/>
      </c>
      <c r="M103" s="32" t="str">
        <f>IF(M$102="","",IF(Config!$D$46&lt;&gt;"Não",SUMIFS(BD!$C$3:$C$5001,BD!$B$3:$B$5001,M$102,BD!$A$3:$A$5001,"&gt;="&amp;$C$7,BD!$A$3:$A$5001,"&lt;="&amp;$D$7),"—"))</f>
        <v/>
      </c>
      <c r="N103" s="32" t="str">
        <f>IF(N$102="","",IF(Config!$D$47&lt;&gt;"Não",SUMIFS(BD!$C$3:$C$5001,BD!$B$3:$B$5001,N$102,BD!$A$3:$A$5001,"&gt;="&amp;$C$7,BD!$A$3:$A$5001,"&lt;="&amp;$D$7),"—"))</f>
        <v/>
      </c>
      <c r="O103" s="32" t="str">
        <f>IF(O$102="","",IF(Config!$D$48&lt;&gt;"Não",SUMIFS(BD!$C$3:$C$5001,BD!$B$3:$B$5001,O$102,BD!$A$3:$A$5001,"&gt;="&amp;$C$7,BD!$A$3:$A$5001,"&lt;="&amp;$D$7),"—"))</f>
        <v/>
      </c>
      <c r="P103" s="32" t="str">
        <f>IF(P$102="","",IF(Config!$D$49&lt;&gt;"Não",SUMIFS(BD!$C$3:$C$5001,BD!$B$3:$B$5001,P$102,BD!$A$3:$A$5001,"&gt;="&amp;$C$7,BD!$A$3:$A$5001,"&lt;="&amp;$D$7),"—"))</f>
        <v/>
      </c>
      <c r="Q103" s="32" t="str">
        <f>IF(Q$102="","",IF(Config!$D$50&lt;&gt;"Não",SUMIFS(BD!$C$3:$C$5001,BD!$B$3:$B$5001,Q$102,BD!$A$3:$A$5001,"&gt;="&amp;$C$7,BD!$A$3:$A$5001,"&lt;="&amp;$D$7),"—"))</f>
        <v/>
      </c>
      <c r="R103" s="32" t="str">
        <f>IF(R$102="","",IF(Config!$D$51&lt;&gt;"Não",SUMIFS(BD!$C$3:$C$5001,BD!$B$3:$B$5001,R$102,BD!$A$3:$A$5001,"&gt;="&amp;$C$7,BD!$A$3:$A$5001,"&lt;="&amp;$D$7),"—"))</f>
        <v/>
      </c>
      <c r="S103" s="32" t="str">
        <f>IF(S$102="","",IF(Config!$D$52&lt;&gt;"Não",SUMIFS(BD!$C$3:$C$5001,BD!$B$3:$B$5001,S$102,BD!$A$3:$A$5001,"&gt;="&amp;$C$7,BD!$A$3:$A$5001,"&lt;="&amp;$D$7),"—"))</f>
        <v/>
      </c>
      <c r="T103" s="32" t="str">
        <f>IF(T$102="","",IF(Config!$D$53&lt;&gt;"Não",SUMIFS(BD!$C$3:$C$5001,BD!$B$3:$B$5001,T$102,BD!$A$3:$A$5001,"&gt;="&amp;$C$7,BD!$A$3:$A$5001,"&lt;="&amp;$D$7),"—"))</f>
        <v/>
      </c>
      <c r="U103" s="32" t="str">
        <f>IF(U$102="","",IF(Config!$D$54&lt;&gt;"Não",SUMIFS(BD!$C$3:$C$5001,BD!$B$3:$B$5001,U$102,BD!$A$3:$A$5001,"&gt;="&amp;$C$7,BD!$A$3:$A$5001,"&lt;="&amp;$D$7),"—"))</f>
        <v/>
      </c>
      <c r="V103" s="62">
        <f>SUM(B103:U103)</f>
        <v>0</v>
      </c>
    </row>
    <row r="104">
      <c r="A104" s="29" t="inlineStr">
        <is>
          <t xml:space="preserve">IN · Pallets Movimentados</t>
        </is>
      </c>
      <c r="B104" s="32" t="str">
        <f>IF(B$102="","",IF(Config!$E$35&lt;&gt;"Não",SUMIFS(BD!$D$3:$D$5001,BD!$B$3:$B$5001,B$102,BD!$A$3:$A$5001,"&gt;="&amp;$C$7,BD!$A$3:$A$5001,"&lt;="&amp;$D$7),"—"))</f>
        <v>—</v>
      </c>
      <c r="C104" s="32">
        <f>IF(C$102="","",IF(Config!$E$36&lt;&gt;"Não",SUMIFS(BD!$D$3:$D$5001,BD!$B$3:$B$5001,C$102,BD!$A$3:$A$5001,"&gt;="&amp;$C$7,BD!$A$3:$A$5001,"&lt;="&amp;$D$7),"—"))</f>
        <v>0</v>
      </c>
      <c r="D104" s="32">
        <f>IF(D$102="","",IF(Config!$E$37&lt;&gt;"Não",SUMIFS(BD!$D$3:$D$5001,BD!$B$3:$B$5001,D$102,BD!$A$3:$A$5001,"&gt;="&amp;$C$7,BD!$A$3:$A$5001,"&lt;="&amp;$D$7),"—"))</f>
        <v>0</v>
      </c>
      <c r="E104" s="32" t="str">
        <f>IF(E$102="","",IF(Config!$E$38&lt;&gt;"Não",SUMIFS(BD!$D$3:$D$5001,BD!$B$3:$B$5001,E$102,BD!$A$3:$A$5001,"&gt;="&amp;$C$7,BD!$A$3:$A$5001,"&lt;="&amp;$D$7),"—"))</f>
        <v>—</v>
      </c>
      <c r="F104" s="32">
        <f>IF(F$102="","",IF(Config!$E$39&lt;&gt;"Não",SUMIFS(BD!$D$3:$D$5001,BD!$B$3:$B$5001,F$102,BD!$A$3:$A$5001,"&gt;="&amp;$C$7,BD!$A$3:$A$5001,"&lt;="&amp;$D$7),"—"))</f>
        <v>0</v>
      </c>
      <c r="G104" s="32">
        <f>IF(G$102="","",IF(Config!$E$40&lt;&gt;"Não",SUMIFS(BD!$D$3:$D$5001,BD!$B$3:$B$5001,G$102,BD!$A$3:$A$5001,"&gt;="&amp;$C$7,BD!$A$3:$A$5001,"&lt;="&amp;$D$7),"—"))</f>
        <v>0</v>
      </c>
      <c r="H104" s="32">
        <f>IF(H$102="","",IF(Config!$E$41&lt;&gt;"Não",SUMIFS(BD!$D$3:$D$5001,BD!$B$3:$B$5001,H$102,BD!$A$3:$A$5001,"&gt;="&amp;$C$7,BD!$A$3:$A$5001,"&lt;="&amp;$D$7),"—"))</f>
        <v>0</v>
      </c>
      <c r="I104" s="32">
        <f>IF(I$102="","",IF(Config!$E$42&lt;&gt;"Não",SUMIFS(BD!$D$3:$D$5001,BD!$B$3:$B$5001,I$102,BD!$A$3:$A$5001,"&gt;="&amp;$C$7,BD!$A$3:$A$5001,"&lt;="&amp;$D$7),"—"))</f>
        <v>0</v>
      </c>
      <c r="J104" s="32">
        <f>IF(J$102="","",IF(Config!$E$43&lt;&gt;"Não",SUMIFS(BD!$D$3:$D$5001,BD!$B$3:$B$5001,J$102,BD!$A$3:$A$5001,"&gt;="&amp;$C$7,BD!$A$3:$A$5001,"&lt;="&amp;$D$7),"—"))</f>
        <v>0</v>
      </c>
      <c r="K104" s="32" t="str">
        <f>IF(K$102="","",IF(Config!$E$44&lt;&gt;"Não",SUMIFS(BD!$D$3:$D$5001,BD!$B$3:$B$5001,K$102,BD!$A$3:$A$5001,"&gt;="&amp;$C$7,BD!$A$3:$A$5001,"&lt;="&amp;$D$7),"—"))</f>
        <v>—</v>
      </c>
      <c r="L104" s="32" t="str">
        <f>IF(L$102="","",IF(Config!$E$45&lt;&gt;"Não",SUMIFS(BD!$D$3:$D$5001,BD!$B$3:$B$5001,L$102,BD!$A$3:$A$5001,"&gt;="&amp;$C$7,BD!$A$3:$A$5001,"&lt;="&amp;$D$7),"—"))</f>
        <v/>
      </c>
      <c r="M104" s="32" t="str">
        <f>IF(M$102="","",IF(Config!$E$46&lt;&gt;"Não",SUMIFS(BD!$D$3:$D$5001,BD!$B$3:$B$5001,M$102,BD!$A$3:$A$5001,"&gt;="&amp;$C$7,BD!$A$3:$A$5001,"&lt;="&amp;$D$7),"—"))</f>
        <v/>
      </c>
      <c r="N104" s="32" t="str">
        <f>IF(N$102="","",IF(Config!$E$47&lt;&gt;"Não",SUMIFS(BD!$D$3:$D$5001,BD!$B$3:$B$5001,N$102,BD!$A$3:$A$5001,"&gt;="&amp;$C$7,BD!$A$3:$A$5001,"&lt;="&amp;$D$7),"—"))</f>
        <v/>
      </c>
      <c r="O104" s="32" t="str">
        <f>IF(O$102="","",IF(Config!$E$48&lt;&gt;"Não",SUMIFS(BD!$D$3:$D$5001,BD!$B$3:$B$5001,O$102,BD!$A$3:$A$5001,"&gt;="&amp;$C$7,BD!$A$3:$A$5001,"&lt;="&amp;$D$7),"—"))</f>
        <v/>
      </c>
      <c r="P104" s="32" t="str">
        <f>IF(P$102="","",IF(Config!$E$49&lt;&gt;"Não",SUMIFS(BD!$D$3:$D$5001,BD!$B$3:$B$5001,P$102,BD!$A$3:$A$5001,"&gt;="&amp;$C$7,BD!$A$3:$A$5001,"&lt;="&amp;$D$7),"—"))</f>
        <v/>
      </c>
      <c r="Q104" s="32" t="str">
        <f>IF(Q$102="","",IF(Config!$E$50&lt;&gt;"Não",SUMIFS(BD!$D$3:$D$5001,BD!$B$3:$B$5001,Q$102,BD!$A$3:$A$5001,"&gt;="&amp;$C$7,BD!$A$3:$A$5001,"&lt;="&amp;$D$7),"—"))</f>
        <v/>
      </c>
      <c r="R104" s="32" t="str">
        <f>IF(R$102="","",IF(Config!$E$51&lt;&gt;"Não",SUMIFS(BD!$D$3:$D$5001,BD!$B$3:$B$5001,R$102,BD!$A$3:$A$5001,"&gt;="&amp;$C$7,BD!$A$3:$A$5001,"&lt;="&amp;$D$7),"—"))</f>
        <v/>
      </c>
      <c r="S104" s="32" t="str">
        <f>IF(S$102="","",IF(Config!$E$52&lt;&gt;"Não",SUMIFS(BD!$D$3:$D$5001,BD!$B$3:$B$5001,S$102,BD!$A$3:$A$5001,"&gt;="&amp;$C$7,BD!$A$3:$A$5001,"&lt;="&amp;$D$7),"—"))</f>
        <v/>
      </c>
      <c r="T104" s="32" t="str">
        <f>IF(T$102="","",IF(Config!$E$53&lt;&gt;"Não",SUMIFS(BD!$D$3:$D$5001,BD!$B$3:$B$5001,T$102,BD!$A$3:$A$5001,"&gt;="&amp;$C$7,BD!$A$3:$A$5001,"&lt;="&amp;$D$7),"—"))</f>
        <v/>
      </c>
      <c r="U104" s="32" t="str">
        <f>IF(U$102="","",IF(Config!$E$54&lt;&gt;"Não",SUMIFS(BD!$D$3:$D$5001,BD!$B$3:$B$5001,U$102,BD!$A$3:$A$5001,"&gt;="&amp;$C$7,BD!$A$3:$A$5001,"&lt;="&amp;$D$7),"—"))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IN · Toneladas Movimentadas</t>
        </is>
      </c>
      <c r="B105" s="61" t="str">
        <f>IF(B$102="","",IF(Config!$F$35&lt;&gt;"Não",SUMIFS(BD!$E$3:$E$5001,BD!$B$3:$B$5001,B$102,BD!$A$3:$A$5001,"&gt;="&amp;$C$7,BD!$A$3:$A$5001,"&lt;="&amp;$D$7),"—"))</f>
        <v>—</v>
      </c>
      <c r="C105" s="61">
        <f>IF(C$102="","",IF(Config!$F$36&lt;&gt;"Não",SUMIFS(BD!$E$3:$E$5001,BD!$B$3:$B$5001,C$102,BD!$A$3:$A$5001,"&gt;="&amp;$C$7,BD!$A$3:$A$5001,"&lt;="&amp;$D$7),"—"))</f>
        <v>0</v>
      </c>
      <c r="D105" s="61" t="str">
        <f>IF(D$102="","",IF(Config!$F$37&lt;&gt;"Não",SUMIFS(BD!$E$3:$E$5001,BD!$B$3:$B$5001,D$102,BD!$A$3:$A$5001,"&gt;="&amp;$C$7,BD!$A$3:$A$5001,"&lt;="&amp;$D$7),"—"))</f>
        <v>—</v>
      </c>
      <c r="E105" s="61" t="str">
        <f>IF(E$102="","",IF(Config!$F$38&lt;&gt;"Não",SUMIFS(BD!$E$3:$E$5001,BD!$B$3:$B$5001,E$102,BD!$A$3:$A$5001,"&gt;="&amp;$C$7,BD!$A$3:$A$5001,"&lt;="&amp;$D$7),"—"))</f>
        <v>—</v>
      </c>
      <c r="F105" s="61">
        <f>IF(F$102="","",IF(Config!$F$39&lt;&gt;"Não",SUMIFS(BD!$E$3:$E$5001,BD!$B$3:$B$5001,F$102,BD!$A$3:$A$5001,"&gt;="&amp;$C$7,BD!$A$3:$A$5001,"&lt;="&amp;$D$7),"—"))</f>
        <v>0</v>
      </c>
      <c r="G105" s="61" t="str">
        <f>IF(G$102="","",IF(Config!$F$40&lt;&gt;"Não",SUMIFS(BD!$E$3:$E$5001,BD!$B$3:$B$5001,G$102,BD!$A$3:$A$5001,"&gt;="&amp;$C$7,BD!$A$3:$A$5001,"&lt;="&amp;$D$7),"—"))</f>
        <v>—</v>
      </c>
      <c r="H105" s="61" t="str">
        <f>IF(H$102="","",IF(Config!$F$41&lt;&gt;"Não",SUMIFS(BD!$E$3:$E$5001,BD!$B$3:$B$5001,H$102,BD!$A$3:$A$5001,"&gt;="&amp;$C$7,BD!$A$3:$A$5001,"&lt;="&amp;$D$7),"—"))</f>
        <v>—</v>
      </c>
      <c r="I105" s="61">
        <f>IF(I$102="","",IF(Config!$F$42&lt;&gt;"Não",SUMIFS(BD!$E$3:$E$5001,BD!$B$3:$B$5001,I$102,BD!$A$3:$A$5001,"&gt;="&amp;$C$7,BD!$A$3:$A$5001,"&lt;="&amp;$D$7),"—"))</f>
        <v>0</v>
      </c>
      <c r="J105" s="61" t="str">
        <f>IF(J$102="","",IF(Config!$F$43&lt;&gt;"Não",SUMIFS(BD!$E$3:$E$5001,BD!$B$3:$B$5001,J$102,BD!$A$3:$A$5001,"&gt;="&amp;$C$7,BD!$A$3:$A$5001,"&lt;="&amp;$D$7),"—"))</f>
        <v>—</v>
      </c>
      <c r="K105" s="61" t="str">
        <f>IF(K$102="","",IF(Config!$F$44&lt;&gt;"Não",SUMIFS(BD!$E$3:$E$5001,BD!$B$3:$B$5001,K$102,BD!$A$3:$A$5001,"&gt;="&amp;$C$7,BD!$A$3:$A$5001,"&lt;="&amp;$D$7),"—"))</f>
        <v>—</v>
      </c>
      <c r="L105" s="61" t="str">
        <f>IF(L$102="","",IF(Config!$F$45&lt;&gt;"Não",SUMIFS(BD!$E$3:$E$5001,BD!$B$3:$B$5001,L$102,BD!$A$3:$A$5001,"&gt;="&amp;$C$7,BD!$A$3:$A$5001,"&lt;="&amp;$D$7),"—"))</f>
        <v/>
      </c>
      <c r="M105" s="61" t="str">
        <f>IF(M$102="","",IF(Config!$F$46&lt;&gt;"Não",SUMIFS(BD!$E$3:$E$5001,BD!$B$3:$B$5001,M$102,BD!$A$3:$A$5001,"&gt;="&amp;$C$7,BD!$A$3:$A$5001,"&lt;="&amp;$D$7),"—"))</f>
        <v/>
      </c>
      <c r="N105" s="61" t="str">
        <f>IF(N$102="","",IF(Config!$F$47&lt;&gt;"Não",SUMIFS(BD!$E$3:$E$5001,BD!$B$3:$B$5001,N$102,BD!$A$3:$A$5001,"&gt;="&amp;$C$7,BD!$A$3:$A$5001,"&lt;="&amp;$D$7),"—"))</f>
        <v/>
      </c>
      <c r="O105" s="61" t="str">
        <f>IF(O$102="","",IF(Config!$F$48&lt;&gt;"Não",SUMIFS(BD!$E$3:$E$5001,BD!$B$3:$B$5001,O$102,BD!$A$3:$A$5001,"&gt;="&amp;$C$7,BD!$A$3:$A$5001,"&lt;="&amp;$D$7),"—"))</f>
        <v/>
      </c>
      <c r="P105" s="61" t="str">
        <f>IF(P$102="","",IF(Config!$F$49&lt;&gt;"Não",SUMIFS(BD!$E$3:$E$5001,BD!$B$3:$B$5001,P$102,BD!$A$3:$A$5001,"&gt;="&amp;$C$7,BD!$A$3:$A$5001,"&lt;="&amp;$D$7),"—"))</f>
        <v/>
      </c>
      <c r="Q105" s="61" t="str">
        <f>IF(Q$102="","",IF(Config!$F$50&lt;&gt;"Não",SUMIFS(BD!$E$3:$E$5001,BD!$B$3:$B$5001,Q$102,BD!$A$3:$A$5001,"&gt;="&amp;$C$7,BD!$A$3:$A$5001,"&lt;="&amp;$D$7),"—"))</f>
        <v/>
      </c>
      <c r="R105" s="61" t="str">
        <f>IF(R$102="","",IF(Config!$F$51&lt;&gt;"Não",SUMIFS(BD!$E$3:$E$5001,BD!$B$3:$B$5001,R$102,BD!$A$3:$A$5001,"&gt;="&amp;$C$7,BD!$A$3:$A$5001,"&lt;="&amp;$D$7),"—"))</f>
        <v/>
      </c>
      <c r="S105" s="61" t="str">
        <f>IF(S$102="","",IF(Config!$F$52&lt;&gt;"Não",SUMIFS(BD!$E$3:$E$5001,BD!$B$3:$B$5001,S$102,BD!$A$3:$A$5001,"&gt;="&amp;$C$7,BD!$A$3:$A$5001,"&lt;="&amp;$D$7),"—"))</f>
        <v/>
      </c>
      <c r="T105" s="61" t="str">
        <f>IF(T$102="","",IF(Config!$F$53&lt;&gt;"Não",SUMIFS(BD!$E$3:$E$5001,BD!$B$3:$B$5001,T$102,BD!$A$3:$A$5001,"&gt;="&amp;$C$7,BD!$A$3:$A$5001,"&lt;="&amp;$D$7),"—"))</f>
        <v/>
      </c>
      <c r="U105" s="61" t="str">
        <f>IF(U$102="","",IF(Config!$F$54&lt;&gt;"Não",SUMIFS(BD!$E$3:$E$5001,BD!$B$3:$B$5001,U$102,BD!$A$3:$A$5001,"&gt;="&amp;$C$7,BD!$A$3:$A$5001,"&lt;="&amp;$D$7),"—"))</f>
        <v/>
      </c>
      <c r="V105" s="63">
        <f>SUM(B105:U105)</f>
        <v>0</v>
      </c>
    </row>
    <row r="106">
      <c r="A106" s="29" t="inlineStr">
        <is>
          <t xml:space="preserve">IN · Linhas NF</t>
        </is>
      </c>
      <c r="B106" s="32" t="str">
        <f>IF(B$102="","",IF(Config!$G$35&lt;&gt;"Não",SUMIFS(BD!$F$3:$F$5001,BD!$B$3:$B$5001,B$102,BD!$A$3:$A$5001,"&gt;="&amp;$C$7,BD!$A$3:$A$5001,"&lt;="&amp;$D$7),"—"))</f>
        <v>—</v>
      </c>
      <c r="C106" s="32" t="str">
        <f>IF(C$102="","",IF(Config!$G$36&lt;&gt;"Não",SUMIFS(BD!$F$3:$F$5001,BD!$B$3:$B$5001,C$102,BD!$A$3:$A$5001,"&gt;="&amp;$C$7,BD!$A$3:$A$5001,"&lt;="&amp;$D$7),"—"))</f>
        <v>—</v>
      </c>
      <c r="D106" s="32" t="str">
        <f>IF(D$102="","",IF(Config!$G$37&lt;&gt;"Não",SUMIFS(BD!$F$3:$F$5001,BD!$B$3:$B$5001,D$102,BD!$A$3:$A$5001,"&gt;="&amp;$C$7,BD!$A$3:$A$5001,"&lt;="&amp;$D$7),"—"))</f>
        <v>—</v>
      </c>
      <c r="E106" s="32" t="str">
        <f>IF(E$102="","",IF(Config!$G$38&lt;&gt;"Não",SUMIFS(BD!$F$3:$F$5001,BD!$B$3:$B$5001,E$102,BD!$A$3:$A$5001,"&gt;="&amp;$C$7,BD!$A$3:$A$5001,"&lt;="&amp;$D$7),"—"))</f>
        <v>—</v>
      </c>
      <c r="F106" s="32" t="str">
        <f>IF(F$102="","",IF(Config!$G$39&lt;&gt;"Não",SUMIFS(BD!$F$3:$F$5001,BD!$B$3:$B$5001,F$102,BD!$A$3:$A$5001,"&gt;="&amp;$C$7,BD!$A$3:$A$5001,"&lt;="&amp;$D$7),"—"))</f>
        <v>—</v>
      </c>
      <c r="G106" s="32">
        <f>IF(G$102="","",IF(Config!$G$40&lt;&gt;"Não",SUMIFS(BD!$F$3:$F$5001,BD!$B$3:$B$5001,G$102,BD!$A$3:$A$5001,"&gt;="&amp;$C$7,BD!$A$3:$A$5001,"&lt;="&amp;$D$7),"—"))</f>
        <v>0</v>
      </c>
      <c r="H106" s="32" t="str">
        <f>IF(H$102="","",IF(Config!$G$41&lt;&gt;"Não",SUMIFS(BD!$F$3:$F$5001,BD!$B$3:$B$5001,H$102,BD!$A$3:$A$5001,"&gt;="&amp;$C$7,BD!$A$3:$A$5001,"&lt;="&amp;$D$7),"—"))</f>
        <v>—</v>
      </c>
      <c r="I106" s="32" t="str">
        <f>IF(I$102="","",IF(Config!$G$42&lt;&gt;"Não",SUMIFS(BD!$F$3:$F$5001,BD!$B$3:$B$5001,I$102,BD!$A$3:$A$5001,"&gt;="&amp;$C$7,BD!$A$3:$A$5001,"&lt;="&amp;$D$7),"—"))</f>
        <v>—</v>
      </c>
      <c r="J106" s="32" t="str">
        <f>IF(J$102="","",IF(Config!$G$43&lt;&gt;"Não",SUMIFS(BD!$F$3:$F$5001,BD!$B$3:$B$5001,J$102,BD!$A$3:$A$5001,"&gt;="&amp;$C$7,BD!$A$3:$A$5001,"&lt;="&amp;$D$7),"—"))</f>
        <v>—</v>
      </c>
      <c r="K106" s="32">
        <f>IF(K$102="","",IF(Config!$G$44&lt;&gt;"Não",SUMIFS(BD!$F$3:$F$5001,BD!$B$3:$B$5001,K$102,BD!$A$3:$A$5001,"&gt;="&amp;$C$7,BD!$A$3:$A$5001,"&lt;="&amp;$D$7),"—"))</f>
        <v>0</v>
      </c>
      <c r="L106" s="32" t="str">
        <f>IF(L$102="","",IF(Config!$G$45&lt;&gt;"Não",SUMIFS(BD!$F$3:$F$5001,BD!$B$3:$B$5001,L$102,BD!$A$3:$A$5001,"&gt;="&amp;$C$7,BD!$A$3:$A$5001,"&lt;="&amp;$D$7),"—"))</f>
        <v/>
      </c>
      <c r="M106" s="32" t="str">
        <f>IF(M$102="","",IF(Config!$G$46&lt;&gt;"Não",SUMIFS(BD!$F$3:$F$5001,BD!$B$3:$B$5001,M$102,BD!$A$3:$A$5001,"&gt;="&amp;$C$7,BD!$A$3:$A$5001,"&lt;="&amp;$D$7),"—"))</f>
        <v/>
      </c>
      <c r="N106" s="32" t="str">
        <f>IF(N$102="","",IF(Config!$G$47&lt;&gt;"Não",SUMIFS(BD!$F$3:$F$5001,BD!$B$3:$B$5001,N$102,BD!$A$3:$A$5001,"&gt;="&amp;$C$7,BD!$A$3:$A$5001,"&lt;="&amp;$D$7),"—"))</f>
        <v/>
      </c>
      <c r="O106" s="32" t="str">
        <f>IF(O$102="","",IF(Config!$G$48&lt;&gt;"Não",SUMIFS(BD!$F$3:$F$5001,BD!$B$3:$B$5001,O$102,BD!$A$3:$A$5001,"&gt;="&amp;$C$7,BD!$A$3:$A$5001,"&lt;="&amp;$D$7),"—"))</f>
        <v/>
      </c>
      <c r="P106" s="32" t="str">
        <f>IF(P$102="","",IF(Config!$G$49&lt;&gt;"Não",SUMIFS(BD!$F$3:$F$5001,BD!$B$3:$B$5001,P$102,BD!$A$3:$A$5001,"&gt;="&amp;$C$7,BD!$A$3:$A$5001,"&lt;="&amp;$D$7),"—"))</f>
        <v/>
      </c>
      <c r="Q106" s="32" t="str">
        <f>IF(Q$102="","",IF(Config!$G$50&lt;&gt;"Não",SUMIFS(BD!$F$3:$F$5001,BD!$B$3:$B$5001,Q$102,BD!$A$3:$A$5001,"&gt;="&amp;$C$7,BD!$A$3:$A$5001,"&lt;="&amp;$D$7),"—"))</f>
        <v/>
      </c>
      <c r="R106" s="32" t="str">
        <f>IF(R$102="","",IF(Config!$G$51&lt;&gt;"Não",SUMIFS(BD!$F$3:$F$5001,BD!$B$3:$B$5001,R$102,BD!$A$3:$A$5001,"&gt;="&amp;$C$7,BD!$A$3:$A$5001,"&lt;="&amp;$D$7),"—"))</f>
        <v/>
      </c>
      <c r="S106" s="32" t="str">
        <f>IF(S$102="","",IF(Config!$G$52&lt;&gt;"Não",SUMIFS(BD!$F$3:$F$5001,BD!$B$3:$B$5001,S$102,BD!$A$3:$A$5001,"&gt;="&amp;$C$7,BD!$A$3:$A$5001,"&lt;="&amp;$D$7),"—"))</f>
        <v/>
      </c>
      <c r="T106" s="32" t="str">
        <f>IF(T$102="","",IF(Config!$G$53&lt;&gt;"Não",SUMIFS(BD!$F$3:$F$5001,BD!$B$3:$B$5001,T$102,BD!$A$3:$A$5001,"&gt;="&amp;$C$7,BD!$A$3:$A$5001,"&lt;="&amp;$D$7),"—"))</f>
        <v/>
      </c>
      <c r="U106" s="32" t="str">
        <f>IF(U$102="","",IF(Config!$G$54&lt;&gt;"Não",SUMIFS(BD!$F$3:$F$5001,BD!$B$3:$B$5001,U$102,BD!$A$3:$A$5001,"&gt;="&amp;$C$7,BD!$A$3:$A$5001,"&lt;="&amp;$D$7),"—"))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IN · Caixas Movimentadas</t>
        </is>
      </c>
      <c r="B107" s="32">
        <f>IF(B$102="","",IF(Config!$H$35&lt;&gt;"Não",SUMIFS(BD!$G$3:$G$5001,BD!$B$3:$B$5001,B$102,BD!$A$3:$A$5001,"&gt;="&amp;$C$7,BD!$A$3:$A$5001,"&lt;="&amp;$D$7),"—"))</f>
        <v>0</v>
      </c>
      <c r="C107" s="32" t="str">
        <f>IF(C$102="","",IF(Config!$H$36&lt;&gt;"Não",SUMIFS(BD!$G$3:$G$5001,BD!$B$3:$B$5001,C$102,BD!$A$3:$A$5001,"&gt;="&amp;$C$7,BD!$A$3:$A$5001,"&lt;="&amp;$D$7),"—"))</f>
        <v>—</v>
      </c>
      <c r="D107" s="32">
        <f>IF(D$102="","",IF(Config!$H$37&lt;&gt;"Não",SUMIFS(BD!$G$3:$G$5001,BD!$B$3:$B$5001,D$102,BD!$A$3:$A$5001,"&gt;="&amp;$C$7,BD!$A$3:$A$5001,"&lt;="&amp;$D$7),"—"))</f>
        <v>0</v>
      </c>
      <c r="E107" s="32" t="str">
        <f>IF(E$102="","",IF(Config!$H$38&lt;&gt;"Não",SUMIFS(BD!$G$3:$G$5001,BD!$B$3:$B$5001,E$102,BD!$A$3:$A$5001,"&gt;="&amp;$C$7,BD!$A$3:$A$5001,"&lt;="&amp;$D$7),"—"))</f>
        <v>—</v>
      </c>
      <c r="F107" s="32" t="str">
        <f>IF(F$102="","",IF(Config!$H$39&lt;&gt;"Não",SUMIFS(BD!$G$3:$G$5001,BD!$B$3:$B$5001,F$102,BD!$A$3:$A$5001,"&gt;="&amp;$C$7,BD!$A$3:$A$5001,"&lt;="&amp;$D$7),"—"))</f>
        <v>—</v>
      </c>
      <c r="G107" s="32" t="str">
        <f>IF(G$102="","",IF(Config!$H$40&lt;&gt;"Não",SUMIFS(BD!$G$3:$G$5001,BD!$B$3:$B$5001,G$102,BD!$A$3:$A$5001,"&gt;="&amp;$C$7,BD!$A$3:$A$5001,"&lt;="&amp;$D$7),"—"))</f>
        <v>—</v>
      </c>
      <c r="H107" s="32" t="str">
        <f>IF(H$102="","",IF(Config!$H$41&lt;&gt;"Não",SUMIFS(BD!$G$3:$G$5001,BD!$B$3:$B$5001,H$102,BD!$A$3:$A$5001,"&gt;="&amp;$C$7,BD!$A$3:$A$5001,"&lt;="&amp;$D$7),"—"))</f>
        <v>—</v>
      </c>
      <c r="I107" s="32" t="str">
        <f>IF(I$102="","",IF(Config!$H$42&lt;&gt;"Não",SUMIFS(BD!$G$3:$G$5001,BD!$B$3:$B$5001,I$102,BD!$A$3:$A$5001,"&gt;="&amp;$C$7,BD!$A$3:$A$5001,"&lt;="&amp;$D$7),"—"))</f>
        <v>—</v>
      </c>
      <c r="J107" s="32" t="str">
        <f>IF(J$102="","",IF(Config!$H$43&lt;&gt;"Não",SUMIFS(BD!$G$3:$G$5001,BD!$B$3:$B$5001,J$102,BD!$A$3:$A$5001,"&gt;="&amp;$C$7,BD!$A$3:$A$5001,"&lt;="&amp;$D$7),"—"))</f>
        <v>—</v>
      </c>
      <c r="K107" s="32" t="str">
        <f>IF(K$102="","",IF(Config!$H$44&lt;&gt;"Não",SUMIFS(BD!$G$3:$G$5001,BD!$B$3:$B$5001,K$102,BD!$A$3:$A$5001,"&gt;="&amp;$C$7,BD!$A$3:$A$5001,"&lt;="&amp;$D$7),"—"))</f>
        <v>—</v>
      </c>
      <c r="L107" s="32" t="str">
        <f>IF(L$102="","",IF(Config!$H$45&lt;&gt;"Não",SUMIFS(BD!$G$3:$G$5001,BD!$B$3:$B$5001,L$102,BD!$A$3:$A$5001,"&gt;="&amp;$C$7,BD!$A$3:$A$5001,"&lt;="&amp;$D$7),"—"))</f>
        <v/>
      </c>
      <c r="M107" s="32" t="str">
        <f>IF(M$102="","",IF(Config!$H$46&lt;&gt;"Não",SUMIFS(BD!$G$3:$G$5001,BD!$B$3:$B$5001,M$102,BD!$A$3:$A$5001,"&gt;="&amp;$C$7,BD!$A$3:$A$5001,"&lt;="&amp;$D$7),"—"))</f>
        <v/>
      </c>
      <c r="N107" s="32" t="str">
        <f>IF(N$102="","",IF(Config!$H$47&lt;&gt;"Não",SUMIFS(BD!$G$3:$G$5001,BD!$B$3:$B$5001,N$102,BD!$A$3:$A$5001,"&gt;="&amp;$C$7,BD!$A$3:$A$5001,"&lt;="&amp;$D$7),"—"))</f>
        <v/>
      </c>
      <c r="O107" s="32" t="str">
        <f>IF(O$102="","",IF(Config!$H$48&lt;&gt;"Não",SUMIFS(BD!$G$3:$G$5001,BD!$B$3:$B$5001,O$102,BD!$A$3:$A$5001,"&gt;="&amp;$C$7,BD!$A$3:$A$5001,"&lt;="&amp;$D$7),"—"))</f>
        <v/>
      </c>
      <c r="P107" s="32" t="str">
        <f>IF(P$102="","",IF(Config!$H$49&lt;&gt;"Não",SUMIFS(BD!$G$3:$G$5001,BD!$B$3:$B$5001,P$102,BD!$A$3:$A$5001,"&gt;="&amp;$C$7,BD!$A$3:$A$5001,"&lt;="&amp;$D$7),"—"))</f>
        <v/>
      </c>
      <c r="Q107" s="32" t="str">
        <f>IF(Q$102="","",IF(Config!$H$50&lt;&gt;"Não",SUMIFS(BD!$G$3:$G$5001,BD!$B$3:$B$5001,Q$102,BD!$A$3:$A$5001,"&gt;="&amp;$C$7,BD!$A$3:$A$5001,"&lt;="&amp;$D$7),"—"))</f>
        <v/>
      </c>
      <c r="R107" s="32" t="str">
        <f>IF(R$102="","",IF(Config!$H$51&lt;&gt;"Não",SUMIFS(BD!$G$3:$G$5001,BD!$B$3:$B$5001,R$102,BD!$A$3:$A$5001,"&gt;="&amp;$C$7,BD!$A$3:$A$5001,"&lt;="&amp;$D$7),"—"))</f>
        <v/>
      </c>
      <c r="S107" s="32" t="str">
        <f>IF(S$102="","",IF(Config!$H$52&lt;&gt;"Não",SUMIFS(BD!$G$3:$G$5001,BD!$B$3:$B$5001,S$102,BD!$A$3:$A$5001,"&gt;="&amp;$C$7,BD!$A$3:$A$5001,"&lt;="&amp;$D$7),"—"))</f>
        <v/>
      </c>
      <c r="T107" s="32" t="str">
        <f>IF(T$102="","",IF(Config!$H$53&lt;&gt;"Não",SUMIFS(BD!$G$3:$G$5001,BD!$B$3:$B$5001,T$102,BD!$A$3:$A$5001,"&gt;="&amp;$C$7,BD!$A$3:$A$5001,"&lt;="&amp;$D$7),"—"))</f>
        <v/>
      </c>
      <c r="U107" s="32" t="str">
        <f>IF(U$102="","",IF(Config!$H$54&lt;&gt;"Não",SUMIFS(BD!$G$3:$G$5001,BD!$B$3:$B$5001,U$102,BD!$A$3:$A$5001,"&gt;="&amp;$C$7,BD!$A$3:$A$5001,"&lt;="&amp;$D$7),"—"))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IN · Peças Movimentadas</t>
        </is>
      </c>
      <c r="B108" s="32" t="str">
        <f>IF(B$102="","",IF(Config!$I$35&lt;&gt;"Não",SUMIFS(BD!$H$3:$H$5001,BD!$B$3:$B$5001,B$102,BD!$A$3:$A$5001,"&gt;="&amp;$C$7,BD!$A$3:$A$5001,"&lt;="&amp;$D$7),"—"))</f>
        <v>—</v>
      </c>
      <c r="C108" s="32" t="str">
        <f>IF(C$102="","",IF(Config!$I$36&lt;&gt;"Não",SUMIFS(BD!$H$3:$H$5001,BD!$B$3:$B$5001,C$102,BD!$A$3:$A$5001,"&gt;="&amp;$C$7,BD!$A$3:$A$5001,"&lt;="&amp;$D$7),"—"))</f>
        <v>—</v>
      </c>
      <c r="D108" s="32" t="str">
        <f>IF(D$102="","",IF(Config!$I$37&lt;&gt;"Não",SUMIFS(BD!$H$3:$H$5001,BD!$B$3:$B$5001,D$102,BD!$A$3:$A$5001,"&gt;="&amp;$C$7,BD!$A$3:$A$5001,"&lt;="&amp;$D$7),"—"))</f>
        <v>—</v>
      </c>
      <c r="E108" s="32" t="str">
        <f>IF(E$102="","",IF(Config!$I$38&lt;&gt;"Não",SUMIFS(BD!$H$3:$H$5001,BD!$B$3:$B$5001,E$102,BD!$A$3:$A$5001,"&gt;="&amp;$C$7,BD!$A$3:$A$5001,"&lt;="&amp;$D$7),"—"))</f>
        <v>—</v>
      </c>
      <c r="F108" s="32" t="str">
        <f>IF(F$102="","",IF(Config!$I$39&lt;&gt;"Não",SUMIFS(BD!$H$3:$H$5001,BD!$B$3:$B$5001,F$102,BD!$A$3:$A$5001,"&gt;="&amp;$C$7,BD!$A$3:$A$5001,"&lt;="&amp;$D$7),"—"))</f>
        <v>—</v>
      </c>
      <c r="G108" s="32">
        <f>IF(G$102="","",IF(Config!$I$40&lt;&gt;"Não",SUMIFS(BD!$H$3:$H$5001,BD!$B$3:$B$5001,G$102,BD!$A$3:$A$5001,"&gt;="&amp;$C$7,BD!$A$3:$A$5001,"&lt;="&amp;$D$7),"—"))</f>
        <v>0</v>
      </c>
      <c r="H108" s="32" t="str">
        <f>IF(H$102="","",IF(Config!$I$41&lt;&gt;"Não",SUMIFS(BD!$H$3:$H$5001,BD!$B$3:$B$5001,H$102,BD!$A$3:$A$5001,"&gt;="&amp;$C$7,BD!$A$3:$A$5001,"&lt;="&amp;$D$7),"—"))</f>
        <v>—</v>
      </c>
      <c r="I108" s="32" t="str">
        <f>IF(I$102="","",IF(Config!$I$42&lt;&gt;"Não",SUMIFS(BD!$H$3:$H$5001,BD!$B$3:$B$5001,I$102,BD!$A$3:$A$5001,"&gt;="&amp;$C$7,BD!$A$3:$A$5001,"&lt;="&amp;$D$7),"—"))</f>
        <v>—</v>
      </c>
      <c r="J108" s="32" t="str">
        <f>IF(J$102="","",IF(Config!$I$43&lt;&gt;"Não",SUMIFS(BD!$H$3:$H$5001,BD!$B$3:$B$5001,J$102,BD!$A$3:$A$5001,"&gt;="&amp;$C$7,BD!$A$3:$A$5001,"&lt;="&amp;$D$7),"—"))</f>
        <v>—</v>
      </c>
      <c r="K108" s="32" t="str">
        <f>IF(K$102="","",IF(Config!$I$44&lt;&gt;"Não",SUMIFS(BD!$H$3:$H$5001,BD!$B$3:$B$5001,K$102,BD!$A$3:$A$5001,"&gt;="&amp;$C$7,BD!$A$3:$A$5001,"&lt;="&amp;$D$7),"—"))</f>
        <v>—</v>
      </c>
      <c r="L108" s="32" t="str">
        <f>IF(L$102="","",IF(Config!$I$45&lt;&gt;"Não",SUMIFS(BD!$H$3:$H$5001,BD!$B$3:$B$5001,L$102,BD!$A$3:$A$5001,"&gt;="&amp;$C$7,BD!$A$3:$A$5001,"&lt;="&amp;$D$7),"—"))</f>
        <v/>
      </c>
      <c r="M108" s="32" t="str">
        <f>IF(M$102="","",IF(Config!$I$46&lt;&gt;"Não",SUMIFS(BD!$H$3:$H$5001,BD!$B$3:$B$5001,M$102,BD!$A$3:$A$5001,"&gt;="&amp;$C$7,BD!$A$3:$A$5001,"&lt;="&amp;$D$7),"—"))</f>
        <v/>
      </c>
      <c r="N108" s="32" t="str">
        <f>IF(N$102="","",IF(Config!$I$47&lt;&gt;"Não",SUMIFS(BD!$H$3:$H$5001,BD!$B$3:$B$5001,N$102,BD!$A$3:$A$5001,"&gt;="&amp;$C$7,BD!$A$3:$A$5001,"&lt;="&amp;$D$7),"—"))</f>
        <v/>
      </c>
      <c r="O108" s="32" t="str">
        <f>IF(O$102="","",IF(Config!$I$48&lt;&gt;"Não",SUMIFS(BD!$H$3:$H$5001,BD!$B$3:$B$5001,O$102,BD!$A$3:$A$5001,"&gt;="&amp;$C$7,BD!$A$3:$A$5001,"&lt;="&amp;$D$7),"—"))</f>
        <v/>
      </c>
      <c r="P108" s="32" t="str">
        <f>IF(P$102="","",IF(Config!$I$49&lt;&gt;"Não",SUMIFS(BD!$H$3:$H$5001,BD!$B$3:$B$5001,P$102,BD!$A$3:$A$5001,"&gt;="&amp;$C$7,BD!$A$3:$A$5001,"&lt;="&amp;$D$7),"—"))</f>
        <v/>
      </c>
      <c r="Q108" s="32" t="str">
        <f>IF(Q$102="","",IF(Config!$I$50&lt;&gt;"Não",SUMIFS(BD!$H$3:$H$5001,BD!$B$3:$B$5001,Q$102,BD!$A$3:$A$5001,"&gt;="&amp;$C$7,BD!$A$3:$A$5001,"&lt;="&amp;$D$7),"—"))</f>
        <v/>
      </c>
      <c r="R108" s="32" t="str">
        <f>IF(R$102="","",IF(Config!$I$51&lt;&gt;"Não",SUMIFS(BD!$H$3:$H$5001,BD!$B$3:$B$5001,R$102,BD!$A$3:$A$5001,"&gt;="&amp;$C$7,BD!$A$3:$A$5001,"&lt;="&amp;$D$7),"—"))</f>
        <v/>
      </c>
      <c r="S108" s="32" t="str">
        <f>IF(S$102="","",IF(Config!$I$52&lt;&gt;"Não",SUMIFS(BD!$H$3:$H$5001,BD!$B$3:$B$5001,S$102,BD!$A$3:$A$5001,"&gt;="&amp;$C$7,BD!$A$3:$A$5001,"&lt;="&amp;$D$7),"—"))</f>
        <v/>
      </c>
      <c r="T108" s="32" t="str">
        <f>IF(T$102="","",IF(Config!$I$53&lt;&gt;"Não",SUMIFS(BD!$H$3:$H$5001,BD!$B$3:$B$5001,T$102,BD!$A$3:$A$5001,"&gt;="&amp;$C$7,BD!$A$3:$A$5001,"&lt;="&amp;$D$7),"—"))</f>
        <v/>
      </c>
      <c r="U108" s="32" t="str">
        <f>IF(U$102="","",IF(Config!$I$54&lt;&gt;"Não",SUMIFS(BD!$H$3:$H$5001,BD!$B$3:$B$5001,U$102,BD!$A$3:$A$5001,"&gt;="&amp;$C$7,BD!$A$3:$A$5001,"&lt;="&amp;$D$7),"—"))</f>
        <v/>
      </c>
      <c r="V108" s="62">
        <f>SUM(B108:U108)</f>
        <v>0</v>
      </c>
    </row>
    <row r="109">
      <c r="A109" s="29" t="inlineStr">
        <is>
          <t xml:space="preserve">IN · Itens Recebidos</t>
        </is>
      </c>
      <c r="B109" s="32" t="str">
        <f>IF(B$102="","",IF(Config!$J$35&lt;&gt;"Não",SUMIFS(BD!$I$3:$I$5001,BD!$B$3:$B$5001,B$102,BD!$A$3:$A$5001,"&gt;="&amp;$C$7,BD!$A$3:$A$5001,"&lt;="&amp;$D$7),"—"))</f>
        <v>—</v>
      </c>
      <c r="C109" s="32" t="str">
        <f>IF(C$102="","",IF(Config!$J$36&lt;&gt;"Não",SUMIFS(BD!$I$3:$I$5001,BD!$B$3:$B$5001,C$102,BD!$A$3:$A$5001,"&gt;="&amp;$C$7,BD!$A$3:$A$5001,"&lt;="&amp;$D$7),"—"))</f>
        <v>—</v>
      </c>
      <c r="D109" s="32" t="str">
        <f>IF(D$102="","",IF(Config!$J$37&lt;&gt;"Não",SUMIFS(BD!$I$3:$I$5001,BD!$B$3:$B$5001,D$102,BD!$A$3:$A$5001,"&gt;="&amp;$C$7,BD!$A$3:$A$5001,"&lt;="&amp;$D$7),"—"))</f>
        <v>—</v>
      </c>
      <c r="E109" s="32" t="str">
        <f>IF(E$102="","",IF(Config!$J$38&lt;&gt;"Não",SUMIFS(BD!$I$3:$I$5001,BD!$B$3:$B$5001,E$102,BD!$A$3:$A$5001,"&gt;="&amp;$C$7,BD!$A$3:$A$5001,"&lt;="&amp;$D$7),"—"))</f>
        <v>—</v>
      </c>
      <c r="F109" s="32" t="str">
        <f>IF(F$102="","",IF(Config!$J$39&lt;&gt;"Não",SUMIFS(BD!$I$3:$I$5001,BD!$B$3:$B$5001,F$102,BD!$A$3:$A$5001,"&gt;="&amp;$C$7,BD!$A$3:$A$5001,"&lt;="&amp;$D$7),"—"))</f>
        <v>—</v>
      </c>
      <c r="G109" s="32" t="str">
        <f>IF(G$102="","",IF(Config!$J$40&lt;&gt;"Não",SUMIFS(BD!$I$3:$I$5001,BD!$B$3:$B$5001,G$102,BD!$A$3:$A$5001,"&gt;="&amp;$C$7,BD!$A$3:$A$5001,"&lt;="&amp;$D$7),"—"))</f>
        <v>—</v>
      </c>
      <c r="H109" s="32" t="str">
        <f>IF(H$102="","",IF(Config!$J$41&lt;&gt;"Não",SUMIFS(BD!$I$3:$I$5001,BD!$B$3:$B$5001,H$102,BD!$A$3:$A$5001,"&gt;="&amp;$C$7,BD!$A$3:$A$5001,"&lt;="&amp;$D$7),"—"))</f>
        <v>—</v>
      </c>
      <c r="I109" s="32" t="str">
        <f>IF(I$102="","",IF(Config!$J$42&lt;&gt;"Não",SUMIFS(BD!$I$3:$I$5001,BD!$B$3:$B$5001,I$102,BD!$A$3:$A$5001,"&gt;="&amp;$C$7,BD!$A$3:$A$5001,"&lt;="&amp;$D$7),"—"))</f>
        <v>—</v>
      </c>
      <c r="J109" s="32" t="str">
        <f>IF(J$102="","",IF(Config!$J$43&lt;&gt;"Não",SUMIFS(BD!$I$3:$I$5001,BD!$B$3:$B$5001,J$102,BD!$A$3:$A$5001,"&gt;="&amp;$C$7,BD!$A$3:$A$5001,"&lt;="&amp;$D$7),"—"))</f>
        <v>—</v>
      </c>
      <c r="K109" s="32" t="str">
        <f>IF(K$102="","",IF(Config!$J$44&lt;&gt;"Não",SUMIFS(BD!$I$3:$I$5001,BD!$B$3:$B$5001,K$102,BD!$A$3:$A$5001,"&gt;="&amp;$C$7,BD!$A$3:$A$5001,"&lt;="&amp;$D$7),"—"))</f>
        <v>—</v>
      </c>
      <c r="L109" s="32" t="str">
        <f>IF(L$102="","",IF(Config!$J$45&lt;&gt;"Não",SUMIFS(BD!$I$3:$I$5001,BD!$B$3:$B$5001,L$102,BD!$A$3:$A$5001,"&gt;="&amp;$C$7,BD!$A$3:$A$5001,"&lt;="&amp;$D$7),"—"))</f>
        <v/>
      </c>
      <c r="M109" s="32" t="str">
        <f>IF(M$102="","",IF(Config!$J$46&lt;&gt;"Não",SUMIFS(BD!$I$3:$I$5001,BD!$B$3:$B$5001,M$102,BD!$A$3:$A$5001,"&gt;="&amp;$C$7,BD!$A$3:$A$5001,"&lt;="&amp;$D$7),"—"))</f>
        <v/>
      </c>
      <c r="N109" s="32" t="str">
        <f>IF(N$102="","",IF(Config!$J$47&lt;&gt;"Não",SUMIFS(BD!$I$3:$I$5001,BD!$B$3:$B$5001,N$102,BD!$A$3:$A$5001,"&gt;="&amp;$C$7,BD!$A$3:$A$5001,"&lt;="&amp;$D$7),"—"))</f>
        <v/>
      </c>
      <c r="O109" s="32" t="str">
        <f>IF(O$102="","",IF(Config!$J$48&lt;&gt;"Não",SUMIFS(BD!$I$3:$I$5001,BD!$B$3:$B$5001,O$102,BD!$A$3:$A$5001,"&gt;="&amp;$C$7,BD!$A$3:$A$5001,"&lt;="&amp;$D$7),"—"))</f>
        <v/>
      </c>
      <c r="P109" s="32" t="str">
        <f>IF(P$102="","",IF(Config!$J$49&lt;&gt;"Não",SUMIFS(BD!$I$3:$I$5001,BD!$B$3:$B$5001,P$102,BD!$A$3:$A$5001,"&gt;="&amp;$C$7,BD!$A$3:$A$5001,"&lt;="&amp;$D$7),"—"))</f>
        <v/>
      </c>
      <c r="Q109" s="32" t="str">
        <f>IF(Q$102="","",IF(Config!$J$50&lt;&gt;"Não",SUMIFS(BD!$I$3:$I$5001,BD!$B$3:$B$5001,Q$102,BD!$A$3:$A$5001,"&gt;="&amp;$C$7,BD!$A$3:$A$5001,"&lt;="&amp;$D$7),"—"))</f>
        <v/>
      </c>
      <c r="R109" s="32" t="str">
        <f>IF(R$102="","",IF(Config!$J$51&lt;&gt;"Não",SUMIFS(BD!$I$3:$I$5001,BD!$B$3:$B$5001,R$102,BD!$A$3:$A$5001,"&gt;="&amp;$C$7,BD!$A$3:$A$5001,"&lt;="&amp;$D$7),"—"))</f>
        <v/>
      </c>
      <c r="S109" s="32" t="str">
        <f>IF(S$102="","",IF(Config!$J$52&lt;&gt;"Não",SUMIFS(BD!$I$3:$I$5001,BD!$B$3:$B$5001,S$102,BD!$A$3:$A$5001,"&gt;="&amp;$C$7,BD!$A$3:$A$5001,"&lt;="&amp;$D$7),"—"))</f>
        <v/>
      </c>
      <c r="T109" s="32" t="str">
        <f>IF(T$102="","",IF(Config!$J$53&lt;&gt;"Não",SUMIFS(BD!$I$3:$I$5001,BD!$B$3:$B$5001,T$102,BD!$A$3:$A$5001,"&gt;="&amp;$C$7,BD!$A$3:$A$5001,"&lt;="&amp;$D$7),"—"))</f>
        <v/>
      </c>
      <c r="U109" s="32" t="str">
        <f>IF(U$102="","",IF(Config!$J$54&lt;&gt;"Não",SUMIFS(BD!$I$3:$I$5001,BD!$B$3:$B$5001,U$102,BD!$A$3:$A$5001,"&gt;="&amp;$C$7,BD!$A$3:$A$5001,"&lt;="&amp;$D$7),"—"))</f>
        <v/>
      </c>
      <c r="V109" s="62">
        <f>SUM(B109:U109)</f>
        <v>0</v>
      </c>
    </row>
    <row r="110">
      <c r="A110" s="29" t="inlineStr">
        <is>
          <t xml:space="preserve">IN · Itens Recebidos CX Mista</t>
        </is>
      </c>
      <c r="B110" s="32" t="str">
        <f>IF(B$102="","",IF(Config!$K$35&lt;&gt;"Não",SUMIFS(BD!$J$3:$J$5001,BD!$B$3:$B$5001,B$102,BD!$A$3:$A$5001,"&gt;="&amp;$C$7,BD!$A$3:$A$5001,"&lt;="&amp;$D$7),"—"))</f>
        <v>—</v>
      </c>
      <c r="C110" s="32" t="str">
        <f>IF(C$102="","",IF(Config!$K$36&lt;&gt;"Não",SUMIFS(BD!$J$3:$J$5001,BD!$B$3:$B$5001,C$102,BD!$A$3:$A$5001,"&gt;="&amp;$C$7,BD!$A$3:$A$5001,"&lt;="&amp;$D$7),"—"))</f>
        <v>—</v>
      </c>
      <c r="D110" s="32" t="str">
        <f>IF(D$102="","",IF(Config!$K$37&lt;&gt;"Não",SUMIFS(BD!$J$3:$J$5001,BD!$B$3:$B$5001,D$102,BD!$A$3:$A$5001,"&gt;="&amp;$C$7,BD!$A$3:$A$5001,"&lt;="&amp;$D$7),"—"))</f>
        <v>—</v>
      </c>
      <c r="E110" s="32">
        <f>IF(E$102="","",IF(Config!$K$38&lt;&gt;"Não",SUMIFS(BD!$J$3:$J$5001,BD!$B$3:$B$5001,E$102,BD!$A$3:$A$5001,"&gt;="&amp;$C$7,BD!$A$3:$A$5001,"&lt;="&amp;$D$7),"—"))</f>
        <v>0</v>
      </c>
      <c r="F110" s="32" t="str">
        <f>IF(F$102="","",IF(Config!$K$39&lt;&gt;"Não",SUMIFS(BD!$J$3:$J$5001,BD!$B$3:$B$5001,F$102,BD!$A$3:$A$5001,"&gt;="&amp;$C$7,BD!$A$3:$A$5001,"&lt;="&amp;$D$7),"—"))</f>
        <v>—</v>
      </c>
      <c r="G110" s="32" t="str">
        <f>IF(G$102="","",IF(Config!$K$40&lt;&gt;"Não",SUMIFS(BD!$J$3:$J$5001,BD!$B$3:$B$5001,G$102,BD!$A$3:$A$5001,"&gt;="&amp;$C$7,BD!$A$3:$A$5001,"&lt;="&amp;$D$7),"—"))</f>
        <v>—</v>
      </c>
      <c r="H110" s="32" t="str">
        <f>IF(H$102="","",IF(Config!$K$41&lt;&gt;"Não",SUMIFS(BD!$J$3:$J$5001,BD!$B$3:$B$5001,H$102,BD!$A$3:$A$5001,"&gt;="&amp;$C$7,BD!$A$3:$A$5001,"&lt;="&amp;$D$7),"—"))</f>
        <v>—</v>
      </c>
      <c r="I110" s="32" t="str">
        <f>IF(I$102="","",IF(Config!$K$42&lt;&gt;"Não",SUMIFS(BD!$J$3:$J$5001,BD!$B$3:$B$5001,I$102,BD!$A$3:$A$5001,"&gt;="&amp;$C$7,BD!$A$3:$A$5001,"&lt;="&amp;$D$7),"—"))</f>
        <v>—</v>
      </c>
      <c r="J110" s="32" t="str">
        <f>IF(J$102="","",IF(Config!$K$43&lt;&gt;"Não",SUMIFS(BD!$J$3:$J$5001,BD!$B$3:$B$5001,J$102,BD!$A$3:$A$5001,"&gt;="&amp;$C$7,BD!$A$3:$A$5001,"&lt;="&amp;$D$7),"—"))</f>
        <v>—</v>
      </c>
      <c r="K110" s="32" t="str">
        <f>IF(K$102="","",IF(Config!$K$44&lt;&gt;"Não",SUMIFS(BD!$J$3:$J$5001,BD!$B$3:$B$5001,K$102,BD!$A$3:$A$5001,"&gt;="&amp;$C$7,BD!$A$3:$A$5001,"&lt;="&amp;$D$7),"—"))</f>
        <v>—</v>
      </c>
      <c r="L110" s="32" t="str">
        <f>IF(L$102="","",IF(Config!$K$45&lt;&gt;"Não",SUMIFS(BD!$J$3:$J$5001,BD!$B$3:$B$5001,L$102,BD!$A$3:$A$5001,"&gt;="&amp;$C$7,BD!$A$3:$A$5001,"&lt;="&amp;$D$7),"—"))</f>
        <v/>
      </c>
      <c r="M110" s="32" t="str">
        <f>IF(M$102="","",IF(Config!$K$46&lt;&gt;"Não",SUMIFS(BD!$J$3:$J$5001,BD!$B$3:$B$5001,M$102,BD!$A$3:$A$5001,"&gt;="&amp;$C$7,BD!$A$3:$A$5001,"&lt;="&amp;$D$7),"—"))</f>
        <v/>
      </c>
      <c r="N110" s="32" t="str">
        <f>IF(N$102="","",IF(Config!$K$47&lt;&gt;"Não",SUMIFS(BD!$J$3:$J$5001,BD!$B$3:$B$5001,N$102,BD!$A$3:$A$5001,"&gt;="&amp;$C$7,BD!$A$3:$A$5001,"&lt;="&amp;$D$7),"—"))</f>
        <v/>
      </c>
      <c r="O110" s="32" t="str">
        <f>IF(O$102="","",IF(Config!$K$48&lt;&gt;"Não",SUMIFS(BD!$J$3:$J$5001,BD!$B$3:$B$5001,O$102,BD!$A$3:$A$5001,"&gt;="&amp;$C$7,BD!$A$3:$A$5001,"&lt;="&amp;$D$7),"—"))</f>
        <v/>
      </c>
      <c r="P110" s="32" t="str">
        <f>IF(P$102="","",IF(Config!$K$49&lt;&gt;"Não",SUMIFS(BD!$J$3:$J$5001,BD!$B$3:$B$5001,P$102,BD!$A$3:$A$5001,"&gt;="&amp;$C$7,BD!$A$3:$A$5001,"&lt;="&amp;$D$7),"—"))</f>
        <v/>
      </c>
      <c r="Q110" s="32" t="str">
        <f>IF(Q$102="","",IF(Config!$K$50&lt;&gt;"Não",SUMIFS(BD!$J$3:$J$5001,BD!$B$3:$B$5001,Q$102,BD!$A$3:$A$5001,"&gt;="&amp;$C$7,BD!$A$3:$A$5001,"&lt;="&amp;$D$7),"—"))</f>
        <v/>
      </c>
      <c r="R110" s="32" t="str">
        <f>IF(R$102="","",IF(Config!$K$51&lt;&gt;"Não",SUMIFS(BD!$J$3:$J$5001,BD!$B$3:$B$5001,R$102,BD!$A$3:$A$5001,"&gt;="&amp;$C$7,BD!$A$3:$A$5001,"&lt;="&amp;$D$7),"—"))</f>
        <v/>
      </c>
      <c r="S110" s="32" t="str">
        <f>IF(S$102="","",IF(Config!$K$52&lt;&gt;"Não",SUMIFS(BD!$J$3:$J$5001,BD!$B$3:$B$5001,S$102,BD!$A$3:$A$5001,"&gt;="&amp;$C$7,BD!$A$3:$A$5001,"&lt;="&amp;$D$7),"—"))</f>
        <v/>
      </c>
      <c r="T110" s="32" t="str">
        <f>IF(T$102="","",IF(Config!$K$53&lt;&gt;"Não",SUMIFS(BD!$J$3:$J$5001,BD!$B$3:$B$5001,T$102,BD!$A$3:$A$5001,"&gt;="&amp;$C$7,BD!$A$3:$A$5001,"&lt;="&amp;$D$7),"—"))</f>
        <v/>
      </c>
      <c r="U110" s="32" t="str">
        <f>IF(U$102="","",IF(Config!$K$54&lt;&gt;"Não",SUMIFS(BD!$J$3:$J$5001,BD!$B$3:$B$5001,U$102,BD!$A$3:$A$5001,"&gt;="&amp;$C$7,BD!$A$3:$A$5001,"&lt;="&amp;$D$7),"—"))</f>
        <v/>
      </c>
      <c r="V110" s="62">
        <f>SUM(B110:U110)</f>
        <v>0</v>
      </c>
    </row>
    <row r="111">
      <c r="A111" s="29" t="inlineStr">
        <is>
          <t xml:space="preserve">IN · Caixas Fechadas</t>
        </is>
      </c>
      <c r="B111" s="32" t="str">
        <f>IF(B$102="","",IF(Config!$L$35&lt;&gt;"Não",SUMIFS(BD!$K$3:$K$5001,BD!$B$3:$B$5001,B$102,BD!$A$3:$A$5001,"&gt;="&amp;$C$7,BD!$A$3:$A$5001,"&lt;="&amp;$D$7),"—"))</f>
        <v>—</v>
      </c>
      <c r="C111" s="32" t="str">
        <f>IF(C$102="","",IF(Config!$L$36&lt;&gt;"Não",SUMIFS(BD!$K$3:$K$5001,BD!$B$3:$B$5001,C$102,BD!$A$3:$A$5001,"&gt;="&amp;$C$7,BD!$A$3:$A$5001,"&lt;="&amp;$D$7),"—"))</f>
        <v>—</v>
      </c>
      <c r="D111" s="32" t="str">
        <f>IF(D$102="","",IF(Config!$L$37&lt;&gt;"Não",SUMIFS(BD!$K$3:$K$5001,BD!$B$3:$B$5001,D$102,BD!$A$3:$A$5001,"&gt;="&amp;$C$7,BD!$A$3:$A$5001,"&lt;="&amp;$D$7),"—"))</f>
        <v>—</v>
      </c>
      <c r="E111" s="32">
        <f>IF(E$102="","",IF(Config!$L$38&lt;&gt;"Não",SUMIFS(BD!$K$3:$K$5001,BD!$B$3:$B$5001,E$102,BD!$A$3:$A$5001,"&gt;="&amp;$C$7,BD!$A$3:$A$5001,"&lt;="&amp;$D$7),"—"))</f>
        <v>0</v>
      </c>
      <c r="F111" s="32" t="str">
        <f>IF(F$102="","",IF(Config!$L$39&lt;&gt;"Não",SUMIFS(BD!$K$3:$K$5001,BD!$B$3:$B$5001,F$102,BD!$A$3:$A$5001,"&gt;="&amp;$C$7,BD!$A$3:$A$5001,"&lt;="&amp;$D$7),"—"))</f>
        <v>—</v>
      </c>
      <c r="G111" s="32" t="str">
        <f>IF(G$102="","",IF(Config!$L$40&lt;&gt;"Não",SUMIFS(BD!$K$3:$K$5001,BD!$B$3:$B$5001,G$102,BD!$A$3:$A$5001,"&gt;="&amp;$C$7,BD!$A$3:$A$5001,"&lt;="&amp;$D$7),"—"))</f>
        <v>—</v>
      </c>
      <c r="H111" s="32" t="str">
        <f>IF(H$102="","",IF(Config!$L$41&lt;&gt;"Não",SUMIFS(BD!$K$3:$K$5001,BD!$B$3:$B$5001,H$102,BD!$A$3:$A$5001,"&gt;="&amp;$C$7,BD!$A$3:$A$5001,"&lt;="&amp;$D$7),"—"))</f>
        <v>—</v>
      </c>
      <c r="I111" s="32" t="str">
        <f>IF(I$102="","",IF(Config!$L$42&lt;&gt;"Não",SUMIFS(BD!$K$3:$K$5001,BD!$B$3:$B$5001,I$102,BD!$A$3:$A$5001,"&gt;="&amp;$C$7,BD!$A$3:$A$5001,"&lt;="&amp;$D$7),"—"))</f>
        <v>—</v>
      </c>
      <c r="J111" s="32" t="str">
        <f>IF(J$102="","",IF(Config!$L$43&lt;&gt;"Não",SUMIFS(BD!$K$3:$K$5001,BD!$B$3:$B$5001,J$102,BD!$A$3:$A$5001,"&gt;="&amp;$C$7,BD!$A$3:$A$5001,"&lt;="&amp;$D$7),"—"))</f>
        <v>—</v>
      </c>
      <c r="K111" s="32" t="str">
        <f>IF(K$102="","",IF(Config!$L$44&lt;&gt;"Não",SUMIFS(BD!$K$3:$K$5001,BD!$B$3:$B$5001,K$102,BD!$A$3:$A$5001,"&gt;="&amp;$C$7,BD!$A$3:$A$5001,"&lt;="&amp;$D$7),"—"))</f>
        <v>—</v>
      </c>
      <c r="L111" s="32" t="str">
        <f>IF(L$102="","",IF(Config!$L$45&lt;&gt;"Não",SUMIFS(BD!$K$3:$K$5001,BD!$B$3:$B$5001,L$102,BD!$A$3:$A$5001,"&gt;="&amp;$C$7,BD!$A$3:$A$5001,"&lt;="&amp;$D$7),"—"))</f>
        <v/>
      </c>
      <c r="M111" s="32" t="str">
        <f>IF(M$102="","",IF(Config!$L$46&lt;&gt;"Não",SUMIFS(BD!$K$3:$K$5001,BD!$B$3:$B$5001,M$102,BD!$A$3:$A$5001,"&gt;="&amp;$C$7,BD!$A$3:$A$5001,"&lt;="&amp;$D$7),"—"))</f>
        <v/>
      </c>
      <c r="N111" s="32" t="str">
        <f>IF(N$102="","",IF(Config!$L$47&lt;&gt;"Não",SUMIFS(BD!$K$3:$K$5001,BD!$B$3:$B$5001,N$102,BD!$A$3:$A$5001,"&gt;="&amp;$C$7,BD!$A$3:$A$5001,"&lt;="&amp;$D$7),"—"))</f>
        <v/>
      </c>
      <c r="O111" s="32" t="str">
        <f>IF(O$102="","",IF(Config!$L$48&lt;&gt;"Não",SUMIFS(BD!$K$3:$K$5001,BD!$B$3:$B$5001,O$102,BD!$A$3:$A$5001,"&gt;="&amp;$C$7,BD!$A$3:$A$5001,"&lt;="&amp;$D$7),"—"))</f>
        <v/>
      </c>
      <c r="P111" s="32" t="str">
        <f>IF(P$102="","",IF(Config!$L$49&lt;&gt;"Não",SUMIFS(BD!$K$3:$K$5001,BD!$B$3:$B$5001,P$102,BD!$A$3:$A$5001,"&gt;="&amp;$C$7,BD!$A$3:$A$5001,"&lt;="&amp;$D$7),"—"))</f>
        <v/>
      </c>
      <c r="Q111" s="32" t="str">
        <f>IF(Q$102="","",IF(Config!$L$50&lt;&gt;"Não",SUMIFS(BD!$K$3:$K$5001,BD!$B$3:$B$5001,Q$102,BD!$A$3:$A$5001,"&gt;="&amp;$C$7,BD!$A$3:$A$5001,"&lt;="&amp;$D$7),"—"))</f>
        <v/>
      </c>
      <c r="R111" s="32" t="str">
        <f>IF(R$102="","",IF(Config!$L$51&lt;&gt;"Não",SUMIFS(BD!$K$3:$K$5001,BD!$B$3:$B$5001,R$102,BD!$A$3:$A$5001,"&gt;="&amp;$C$7,BD!$A$3:$A$5001,"&lt;="&amp;$D$7),"—"))</f>
        <v/>
      </c>
      <c r="S111" s="32" t="str">
        <f>IF(S$102="","",IF(Config!$L$52&lt;&gt;"Não",SUMIFS(BD!$K$3:$K$5001,BD!$B$3:$B$5001,S$102,BD!$A$3:$A$5001,"&gt;="&amp;$C$7,BD!$A$3:$A$5001,"&lt;="&amp;$D$7),"—"))</f>
        <v/>
      </c>
      <c r="T111" s="32" t="str">
        <f>IF(T$102="","",IF(Config!$L$53&lt;&gt;"Não",SUMIFS(BD!$K$3:$K$5001,BD!$B$3:$B$5001,T$102,BD!$A$3:$A$5001,"&gt;="&amp;$C$7,BD!$A$3:$A$5001,"&lt;="&amp;$D$7),"—"))</f>
        <v/>
      </c>
      <c r="U111" s="32" t="str">
        <f>IF(U$102="","",IF(Config!$L$54&lt;&gt;"Não",SUMIFS(BD!$K$3:$K$5001,BD!$B$3:$B$5001,U$102,BD!$A$3:$A$5001,"&gt;="&amp;$C$7,BD!$A$3:$A$5001,"&lt;="&amp;$D$7),"—"))</f>
        <v/>
      </c>
      <c r="V111" s="62">
        <f>SUM(B111:U111)</f>
        <v>0</v>
      </c>
    </row>
    <row r="112">
      <c r="A112" s="29" t="inlineStr">
        <is>
          <t xml:space="preserve">IN · Caixas Mistas Recebidas</t>
        </is>
      </c>
      <c r="B112" s="32" t="str">
        <f>IF(B$102="","",IF(Config!$M$35&lt;&gt;"Não",SUMIFS(BD!$L$3:$L$5001,BD!$B$3:$B$5001,B$102,BD!$A$3:$A$5001,"&gt;="&amp;$C$7,BD!$A$3:$A$5001,"&lt;="&amp;$D$7),"—"))</f>
        <v>—</v>
      </c>
      <c r="C112" s="32" t="str">
        <f>IF(C$102="","",IF(Config!$M$36&lt;&gt;"Não",SUMIFS(BD!$L$3:$L$5001,BD!$B$3:$B$5001,C$102,BD!$A$3:$A$5001,"&gt;="&amp;$C$7,BD!$A$3:$A$5001,"&lt;="&amp;$D$7),"—"))</f>
        <v>—</v>
      </c>
      <c r="D112" s="32" t="str">
        <f>IF(D$102="","",IF(Config!$M$37&lt;&gt;"Não",SUMIFS(BD!$L$3:$L$5001,BD!$B$3:$B$5001,D$102,BD!$A$3:$A$5001,"&gt;="&amp;$C$7,BD!$A$3:$A$5001,"&lt;="&amp;$D$7),"—"))</f>
        <v>—</v>
      </c>
      <c r="E112" s="32">
        <f>IF(E$102="","",IF(Config!$M$38&lt;&gt;"Não",SUMIFS(BD!$L$3:$L$5001,BD!$B$3:$B$5001,E$102,BD!$A$3:$A$5001,"&gt;="&amp;$C$7,BD!$A$3:$A$5001,"&lt;="&amp;$D$7),"—"))</f>
        <v>0</v>
      </c>
      <c r="F112" s="32" t="str">
        <f>IF(F$102="","",IF(Config!$M$39&lt;&gt;"Não",SUMIFS(BD!$L$3:$L$5001,BD!$B$3:$B$5001,F$102,BD!$A$3:$A$5001,"&gt;="&amp;$C$7,BD!$A$3:$A$5001,"&lt;="&amp;$D$7),"—"))</f>
        <v>—</v>
      </c>
      <c r="G112" s="32" t="str">
        <f>IF(G$102="","",IF(Config!$M$40&lt;&gt;"Não",SUMIFS(BD!$L$3:$L$5001,BD!$B$3:$B$5001,G$102,BD!$A$3:$A$5001,"&gt;="&amp;$C$7,BD!$A$3:$A$5001,"&lt;="&amp;$D$7),"—"))</f>
        <v>—</v>
      </c>
      <c r="H112" s="32" t="str">
        <f>IF(H$102="","",IF(Config!$M$41&lt;&gt;"Não",SUMIFS(BD!$L$3:$L$5001,BD!$B$3:$B$5001,H$102,BD!$A$3:$A$5001,"&gt;="&amp;$C$7,BD!$A$3:$A$5001,"&lt;="&amp;$D$7),"—"))</f>
        <v>—</v>
      </c>
      <c r="I112" s="32" t="str">
        <f>IF(I$102="","",IF(Config!$M$42&lt;&gt;"Não",SUMIFS(BD!$L$3:$L$5001,BD!$B$3:$B$5001,I$102,BD!$A$3:$A$5001,"&gt;="&amp;$C$7,BD!$A$3:$A$5001,"&lt;="&amp;$D$7),"—"))</f>
        <v>—</v>
      </c>
      <c r="J112" s="32" t="str">
        <f>IF(J$102="","",IF(Config!$M$43&lt;&gt;"Não",SUMIFS(BD!$L$3:$L$5001,BD!$B$3:$B$5001,J$102,BD!$A$3:$A$5001,"&gt;="&amp;$C$7,BD!$A$3:$A$5001,"&lt;="&amp;$D$7),"—"))</f>
        <v>—</v>
      </c>
      <c r="K112" s="32" t="str">
        <f>IF(K$102="","",IF(Config!$M$44&lt;&gt;"Não",SUMIFS(BD!$L$3:$L$5001,BD!$B$3:$B$5001,K$102,BD!$A$3:$A$5001,"&gt;="&amp;$C$7,BD!$A$3:$A$5001,"&lt;="&amp;$D$7),"—"))</f>
        <v>—</v>
      </c>
      <c r="L112" s="32" t="str">
        <f>IF(L$102="","",IF(Config!$M$45&lt;&gt;"Não",SUMIFS(BD!$L$3:$L$5001,BD!$B$3:$B$5001,L$102,BD!$A$3:$A$5001,"&gt;="&amp;$C$7,BD!$A$3:$A$5001,"&lt;="&amp;$D$7),"—"))</f>
        <v/>
      </c>
      <c r="M112" s="32" t="str">
        <f>IF(M$102="","",IF(Config!$M$46&lt;&gt;"Não",SUMIFS(BD!$L$3:$L$5001,BD!$B$3:$B$5001,M$102,BD!$A$3:$A$5001,"&gt;="&amp;$C$7,BD!$A$3:$A$5001,"&lt;="&amp;$D$7),"—"))</f>
        <v/>
      </c>
      <c r="N112" s="32" t="str">
        <f>IF(N$102="","",IF(Config!$M$47&lt;&gt;"Não",SUMIFS(BD!$L$3:$L$5001,BD!$B$3:$B$5001,N$102,BD!$A$3:$A$5001,"&gt;="&amp;$C$7,BD!$A$3:$A$5001,"&lt;="&amp;$D$7),"—"))</f>
        <v/>
      </c>
      <c r="O112" s="32" t="str">
        <f>IF(O$102="","",IF(Config!$M$48&lt;&gt;"Não",SUMIFS(BD!$L$3:$L$5001,BD!$B$3:$B$5001,O$102,BD!$A$3:$A$5001,"&gt;="&amp;$C$7,BD!$A$3:$A$5001,"&lt;="&amp;$D$7),"—"))</f>
        <v/>
      </c>
      <c r="P112" s="32" t="str">
        <f>IF(P$102="","",IF(Config!$M$49&lt;&gt;"Não",SUMIFS(BD!$L$3:$L$5001,BD!$B$3:$B$5001,P$102,BD!$A$3:$A$5001,"&gt;="&amp;$C$7,BD!$A$3:$A$5001,"&lt;="&amp;$D$7),"—"))</f>
        <v/>
      </c>
      <c r="Q112" s="32" t="str">
        <f>IF(Q$102="","",IF(Config!$M$50&lt;&gt;"Não",SUMIFS(BD!$L$3:$L$5001,BD!$B$3:$B$5001,Q$102,BD!$A$3:$A$5001,"&gt;="&amp;$C$7,BD!$A$3:$A$5001,"&lt;="&amp;$D$7),"—"))</f>
        <v/>
      </c>
      <c r="R112" s="32" t="str">
        <f>IF(R$102="","",IF(Config!$M$51&lt;&gt;"Não",SUMIFS(BD!$L$3:$L$5001,BD!$B$3:$B$5001,R$102,BD!$A$3:$A$5001,"&gt;="&amp;$C$7,BD!$A$3:$A$5001,"&lt;="&amp;$D$7),"—"))</f>
        <v/>
      </c>
      <c r="S112" s="32" t="str">
        <f>IF(S$102="","",IF(Config!$M$52&lt;&gt;"Não",SUMIFS(BD!$L$3:$L$5001,BD!$B$3:$B$5001,S$102,BD!$A$3:$A$5001,"&gt;="&amp;$C$7,BD!$A$3:$A$5001,"&lt;="&amp;$D$7),"—"))</f>
        <v/>
      </c>
      <c r="T112" s="32" t="str">
        <f>IF(T$102="","",IF(Config!$M$53&lt;&gt;"Não",SUMIFS(BD!$L$3:$L$5001,BD!$B$3:$B$5001,T$102,BD!$A$3:$A$5001,"&gt;="&amp;$C$7,BD!$A$3:$A$5001,"&lt;="&amp;$D$7),"—"))</f>
        <v/>
      </c>
      <c r="U112" s="32" t="str">
        <f>IF(U$102="","",IF(Config!$M$54&lt;&gt;"Não",SUMIFS(BD!$L$3:$L$5001,BD!$B$3:$B$5001,U$102,BD!$A$3:$A$5001,"&gt;="&amp;$C$7,BD!$A$3:$A$5001,"&lt;="&amp;$D$7),"—"))</f>
        <v/>
      </c>
      <c r="V112" s="62">
        <f>SUM(B112:U112)</f>
        <v>0</v>
      </c>
    </row>
    <row r="113">
      <c r="A113" s="29" t="inlineStr">
        <is>
          <t xml:space="preserve">OUT · Veículos Expedidos</t>
        </is>
      </c>
      <c r="B113" s="32">
        <f>IF(B$102="","",IF(Config!$N$35&lt;&gt;"Não",SUMIFS(BD!$M$3:$M$5001,BD!$B$3:$B$5001,B$102,BD!$A$3:$A$5001,"&gt;="&amp;$C$7,BD!$A$3:$A$5001,"&lt;="&amp;$D$7),"—"))</f>
        <v>0</v>
      </c>
      <c r="C113" s="32">
        <f>IF(C$102="","",IF(Config!$N$36&lt;&gt;"Não",SUMIFS(BD!$M$3:$M$5001,BD!$B$3:$B$5001,C$102,BD!$A$3:$A$5001,"&gt;="&amp;$C$7,BD!$A$3:$A$5001,"&lt;="&amp;$D$7),"—"))</f>
        <v>0</v>
      </c>
      <c r="D113" s="32">
        <f>IF(D$102="","",IF(Config!$N$37&lt;&gt;"Não",SUMIFS(BD!$M$3:$M$5001,BD!$B$3:$B$5001,D$102,BD!$A$3:$A$5001,"&gt;="&amp;$C$7,BD!$A$3:$A$5001,"&lt;="&amp;$D$7),"—"))</f>
        <v>0</v>
      </c>
      <c r="E113" s="32">
        <f>IF(E$102="","",IF(Config!$N$38&lt;&gt;"Não",SUMIFS(BD!$M$3:$M$5001,BD!$B$3:$B$5001,E$102,BD!$A$3:$A$5001,"&gt;="&amp;$C$7,BD!$A$3:$A$5001,"&lt;="&amp;$D$7),"—"))</f>
        <v>0</v>
      </c>
      <c r="F113" s="32">
        <f>IF(F$102="","",IF(Config!$N$39&lt;&gt;"Não",SUMIFS(BD!$M$3:$M$5001,BD!$B$3:$B$5001,F$102,BD!$A$3:$A$5001,"&gt;="&amp;$C$7,BD!$A$3:$A$5001,"&lt;="&amp;$D$7),"—"))</f>
        <v>0</v>
      </c>
      <c r="G113" s="32">
        <f>IF(G$102="","",IF(Config!$N$40&lt;&gt;"Não",SUMIFS(BD!$M$3:$M$5001,BD!$B$3:$B$5001,G$102,BD!$A$3:$A$5001,"&gt;="&amp;$C$7,BD!$A$3:$A$5001,"&lt;="&amp;$D$7),"—"))</f>
        <v>0</v>
      </c>
      <c r="H113" s="32">
        <f>IF(H$102="","",IF(Config!$N$41&lt;&gt;"Não",SUMIFS(BD!$M$3:$M$5001,BD!$B$3:$B$5001,H$102,BD!$A$3:$A$5001,"&gt;="&amp;$C$7,BD!$A$3:$A$5001,"&lt;="&amp;$D$7),"—"))</f>
        <v>0</v>
      </c>
      <c r="I113" s="32">
        <f>IF(I$102="","",IF(Config!$N$42&lt;&gt;"Não",SUMIFS(BD!$M$3:$M$5001,BD!$B$3:$B$5001,I$102,BD!$A$3:$A$5001,"&gt;="&amp;$C$7,BD!$A$3:$A$5001,"&lt;="&amp;$D$7),"—"))</f>
        <v>0</v>
      </c>
      <c r="J113" s="32">
        <f>IF(J$102="","",IF(Config!$N$43&lt;&gt;"Não",SUMIFS(BD!$M$3:$M$5001,BD!$B$3:$B$5001,J$102,BD!$A$3:$A$5001,"&gt;="&amp;$C$7,BD!$A$3:$A$5001,"&lt;="&amp;$D$7),"—"))</f>
        <v>0</v>
      </c>
      <c r="K113" s="32">
        <f>IF(K$102="","",IF(Config!$N$44&lt;&gt;"Não",SUMIFS(BD!$M$3:$M$5001,BD!$B$3:$B$5001,K$102,BD!$A$3:$A$5001,"&gt;="&amp;$C$7,BD!$A$3:$A$5001,"&lt;="&amp;$D$7),"—"))</f>
        <v>0</v>
      </c>
      <c r="L113" s="32" t="str">
        <f>IF(L$102="","",IF(Config!$N$45&lt;&gt;"Não",SUMIFS(BD!$M$3:$M$5001,BD!$B$3:$B$5001,L$102,BD!$A$3:$A$5001,"&gt;="&amp;$C$7,BD!$A$3:$A$5001,"&lt;="&amp;$D$7),"—"))</f>
        <v/>
      </c>
      <c r="M113" s="32" t="str">
        <f>IF(M$102="","",IF(Config!$N$46&lt;&gt;"Não",SUMIFS(BD!$M$3:$M$5001,BD!$B$3:$B$5001,M$102,BD!$A$3:$A$5001,"&gt;="&amp;$C$7,BD!$A$3:$A$5001,"&lt;="&amp;$D$7),"—"))</f>
        <v/>
      </c>
      <c r="N113" s="32" t="str">
        <f>IF(N$102="","",IF(Config!$N$47&lt;&gt;"Não",SUMIFS(BD!$M$3:$M$5001,BD!$B$3:$B$5001,N$102,BD!$A$3:$A$5001,"&gt;="&amp;$C$7,BD!$A$3:$A$5001,"&lt;="&amp;$D$7),"—"))</f>
        <v/>
      </c>
      <c r="O113" s="32" t="str">
        <f>IF(O$102="","",IF(Config!$N$48&lt;&gt;"Não",SUMIFS(BD!$M$3:$M$5001,BD!$B$3:$B$5001,O$102,BD!$A$3:$A$5001,"&gt;="&amp;$C$7,BD!$A$3:$A$5001,"&lt;="&amp;$D$7),"—"))</f>
        <v/>
      </c>
      <c r="P113" s="32" t="str">
        <f>IF(P$102="","",IF(Config!$N$49&lt;&gt;"Não",SUMIFS(BD!$M$3:$M$5001,BD!$B$3:$B$5001,P$102,BD!$A$3:$A$5001,"&gt;="&amp;$C$7,BD!$A$3:$A$5001,"&lt;="&amp;$D$7),"—"))</f>
        <v/>
      </c>
      <c r="Q113" s="32" t="str">
        <f>IF(Q$102="","",IF(Config!$N$50&lt;&gt;"Não",SUMIFS(BD!$M$3:$M$5001,BD!$B$3:$B$5001,Q$102,BD!$A$3:$A$5001,"&gt;="&amp;$C$7,BD!$A$3:$A$5001,"&lt;="&amp;$D$7),"—"))</f>
        <v/>
      </c>
      <c r="R113" s="32" t="str">
        <f>IF(R$102="","",IF(Config!$N$51&lt;&gt;"Não",SUMIFS(BD!$M$3:$M$5001,BD!$B$3:$B$5001,R$102,BD!$A$3:$A$5001,"&gt;="&amp;$C$7,BD!$A$3:$A$5001,"&lt;="&amp;$D$7),"—"))</f>
        <v/>
      </c>
      <c r="S113" s="32" t="str">
        <f>IF(S$102="","",IF(Config!$N$52&lt;&gt;"Não",SUMIFS(BD!$M$3:$M$5001,BD!$B$3:$B$5001,S$102,BD!$A$3:$A$5001,"&gt;="&amp;$C$7,BD!$A$3:$A$5001,"&lt;="&amp;$D$7),"—"))</f>
        <v/>
      </c>
      <c r="T113" s="32" t="str">
        <f>IF(T$102="","",IF(Config!$N$53&lt;&gt;"Não",SUMIFS(BD!$M$3:$M$5001,BD!$B$3:$B$5001,T$102,BD!$A$3:$A$5001,"&gt;="&amp;$C$7,BD!$A$3:$A$5001,"&lt;="&amp;$D$7),"—"))</f>
        <v/>
      </c>
      <c r="U113" s="32" t="str">
        <f>IF(U$102="","",IF(Config!$N$54&lt;&gt;"Não",SUMIFS(BD!$M$3:$M$5001,BD!$B$3:$B$5001,U$102,BD!$A$3:$A$5001,"&gt;="&amp;$C$7,BD!$A$3:$A$5001,"&lt;="&amp;$D$7),"—"))</f>
        <v/>
      </c>
      <c r="V113" s="62">
        <f>SUM(B113:U113)</f>
        <v>0</v>
      </c>
    </row>
    <row r="114">
      <c r="A114" s="29" t="inlineStr">
        <is>
          <t xml:space="preserve">OUT · Pedidos Expedidos</t>
        </is>
      </c>
      <c r="B114" s="32" t="str">
        <f>IF(B$102="","",IF(Config!$O$35&lt;&gt;"Não",SUMIFS(BD!$N$3:$N$5001,BD!$B$3:$B$5001,B$102,BD!$A$3:$A$5001,"&gt;="&amp;$C$7,BD!$A$3:$A$5001,"&lt;="&amp;$D$7),"—"))</f>
        <v>—</v>
      </c>
      <c r="C114" s="32" t="str">
        <f>IF(C$102="","",IF(Config!$O$36&lt;&gt;"Não",SUMIFS(BD!$N$3:$N$5001,BD!$B$3:$B$5001,C$102,BD!$A$3:$A$5001,"&gt;="&amp;$C$7,BD!$A$3:$A$5001,"&lt;="&amp;$D$7),"—"))</f>
        <v>—</v>
      </c>
      <c r="D114" s="32">
        <f>IF(D$102="","",IF(Config!$O$37&lt;&gt;"Não",SUMIFS(BD!$N$3:$N$5001,BD!$B$3:$B$5001,D$102,BD!$A$3:$A$5001,"&gt;="&amp;$C$7,BD!$A$3:$A$5001,"&lt;="&amp;$D$7),"—"))</f>
        <v>0</v>
      </c>
      <c r="E114" s="32" t="str">
        <f>IF(E$102="","",IF(Config!$O$38&lt;&gt;"Não",SUMIFS(BD!$N$3:$N$5001,BD!$B$3:$B$5001,E$102,BD!$A$3:$A$5001,"&gt;="&amp;$C$7,BD!$A$3:$A$5001,"&lt;="&amp;$D$7),"—"))</f>
        <v>—</v>
      </c>
      <c r="F114" s="32" t="str">
        <f>IF(F$102="","",IF(Config!$O$39&lt;&gt;"Não",SUMIFS(BD!$N$3:$N$5001,BD!$B$3:$B$5001,F$102,BD!$A$3:$A$5001,"&gt;="&amp;$C$7,BD!$A$3:$A$5001,"&lt;="&amp;$D$7),"—"))</f>
        <v>—</v>
      </c>
      <c r="G114" s="32" t="str">
        <f>IF(G$102="","",IF(Config!$O$40&lt;&gt;"Não",SUMIFS(BD!$N$3:$N$5001,BD!$B$3:$B$5001,G$102,BD!$A$3:$A$5001,"&gt;="&amp;$C$7,BD!$A$3:$A$5001,"&lt;="&amp;$D$7),"—"))</f>
        <v>—</v>
      </c>
      <c r="H114" s="32" t="str">
        <f>IF(H$102="","",IF(Config!$O$41&lt;&gt;"Não",SUMIFS(BD!$N$3:$N$5001,BD!$B$3:$B$5001,H$102,BD!$A$3:$A$5001,"&gt;="&amp;$C$7,BD!$A$3:$A$5001,"&lt;="&amp;$D$7),"—"))</f>
        <v>—</v>
      </c>
      <c r="I114" s="32" t="str">
        <f>IF(I$102="","",IF(Config!$O$42&lt;&gt;"Não",SUMIFS(BD!$N$3:$N$5001,BD!$B$3:$B$5001,I$102,BD!$A$3:$A$5001,"&gt;="&amp;$C$7,BD!$A$3:$A$5001,"&lt;="&amp;$D$7),"—"))</f>
        <v>—</v>
      </c>
      <c r="J114" s="32" t="str">
        <f>IF(J$102="","",IF(Config!$O$43&lt;&gt;"Não",SUMIFS(BD!$N$3:$N$5001,BD!$B$3:$B$5001,J$102,BD!$A$3:$A$5001,"&gt;="&amp;$C$7,BD!$A$3:$A$5001,"&lt;="&amp;$D$7),"—"))</f>
        <v>—</v>
      </c>
      <c r="K114" s="32" t="str">
        <f>IF(K$102="","",IF(Config!$O$44&lt;&gt;"Não",SUMIFS(BD!$N$3:$N$5001,BD!$B$3:$B$5001,K$102,BD!$A$3:$A$5001,"&gt;="&amp;$C$7,BD!$A$3:$A$5001,"&lt;="&amp;$D$7),"—"))</f>
        <v>—</v>
      </c>
      <c r="L114" s="32" t="str">
        <f>IF(L$102="","",IF(Config!$O$45&lt;&gt;"Não",SUMIFS(BD!$N$3:$N$5001,BD!$B$3:$B$5001,L$102,BD!$A$3:$A$5001,"&gt;="&amp;$C$7,BD!$A$3:$A$5001,"&lt;="&amp;$D$7),"—"))</f>
        <v/>
      </c>
      <c r="M114" s="32" t="str">
        <f>IF(M$102="","",IF(Config!$O$46&lt;&gt;"Não",SUMIFS(BD!$N$3:$N$5001,BD!$B$3:$B$5001,M$102,BD!$A$3:$A$5001,"&gt;="&amp;$C$7,BD!$A$3:$A$5001,"&lt;="&amp;$D$7),"—"))</f>
        <v/>
      </c>
      <c r="N114" s="32" t="str">
        <f>IF(N$102="","",IF(Config!$O$47&lt;&gt;"Não",SUMIFS(BD!$N$3:$N$5001,BD!$B$3:$B$5001,N$102,BD!$A$3:$A$5001,"&gt;="&amp;$C$7,BD!$A$3:$A$5001,"&lt;="&amp;$D$7),"—"))</f>
        <v/>
      </c>
      <c r="O114" s="32" t="str">
        <f>IF(O$102="","",IF(Config!$O$48&lt;&gt;"Não",SUMIFS(BD!$N$3:$N$5001,BD!$B$3:$B$5001,O$102,BD!$A$3:$A$5001,"&gt;="&amp;$C$7,BD!$A$3:$A$5001,"&lt;="&amp;$D$7),"—"))</f>
        <v/>
      </c>
      <c r="P114" s="32" t="str">
        <f>IF(P$102="","",IF(Config!$O$49&lt;&gt;"Não",SUMIFS(BD!$N$3:$N$5001,BD!$B$3:$B$5001,P$102,BD!$A$3:$A$5001,"&gt;="&amp;$C$7,BD!$A$3:$A$5001,"&lt;="&amp;$D$7),"—"))</f>
        <v/>
      </c>
      <c r="Q114" s="32" t="str">
        <f>IF(Q$102="","",IF(Config!$O$50&lt;&gt;"Não",SUMIFS(BD!$N$3:$N$5001,BD!$B$3:$B$5001,Q$102,BD!$A$3:$A$5001,"&gt;="&amp;$C$7,BD!$A$3:$A$5001,"&lt;="&amp;$D$7),"—"))</f>
        <v/>
      </c>
      <c r="R114" s="32" t="str">
        <f>IF(R$102="","",IF(Config!$O$51&lt;&gt;"Não",SUMIFS(BD!$N$3:$N$5001,BD!$B$3:$B$5001,R$102,BD!$A$3:$A$5001,"&gt;="&amp;$C$7,BD!$A$3:$A$5001,"&lt;="&amp;$D$7),"—"))</f>
        <v/>
      </c>
      <c r="S114" s="32" t="str">
        <f>IF(S$102="","",IF(Config!$O$52&lt;&gt;"Não",SUMIFS(BD!$N$3:$N$5001,BD!$B$3:$B$5001,S$102,BD!$A$3:$A$5001,"&gt;="&amp;$C$7,BD!$A$3:$A$5001,"&lt;="&amp;$D$7),"—"))</f>
        <v/>
      </c>
      <c r="T114" s="32" t="str">
        <f>IF(T$102="","",IF(Config!$O$53&lt;&gt;"Não",SUMIFS(BD!$N$3:$N$5001,BD!$B$3:$B$5001,T$102,BD!$A$3:$A$5001,"&gt;="&amp;$C$7,BD!$A$3:$A$5001,"&lt;="&amp;$D$7),"—"))</f>
        <v/>
      </c>
      <c r="U114" s="32" t="str">
        <f>IF(U$102="","",IF(Config!$O$54&lt;&gt;"Não",SUMIFS(BD!$N$3:$N$5001,BD!$B$3:$B$5001,U$102,BD!$A$3:$A$5001,"&gt;="&amp;$C$7,BD!$A$3:$A$5001,"&lt;="&amp;$D$7),"—"))</f>
        <v/>
      </c>
      <c r="V114" s="62">
        <f>SUM(B114:U114)</f>
        <v>0</v>
      </c>
    </row>
    <row r="115">
      <c r="A115" s="29" t="inlineStr">
        <is>
          <t xml:space="preserve">OUT · Pedidos Faturados</t>
        </is>
      </c>
      <c r="B115" s="32" t="str">
        <f>IF(B$102="","",IF(Config!$P$35&lt;&gt;"Não",SUMIFS(BD!$O$3:$O$5001,BD!$B$3:$B$5001,B$102,BD!$A$3:$A$5001,"&gt;="&amp;$C$7,BD!$A$3:$A$5001,"&lt;="&amp;$D$7),"—"))</f>
        <v>—</v>
      </c>
      <c r="C115" s="32" t="str">
        <f>IF(C$102="","",IF(Config!$P$36&lt;&gt;"Não",SUMIFS(BD!$O$3:$O$5001,BD!$B$3:$B$5001,C$102,BD!$A$3:$A$5001,"&gt;="&amp;$C$7,BD!$A$3:$A$5001,"&lt;="&amp;$D$7),"—"))</f>
        <v>—</v>
      </c>
      <c r="D115" s="32" t="str">
        <f>IF(D$102="","",IF(Config!$P$37&lt;&gt;"Não",SUMIFS(BD!$O$3:$O$5001,BD!$B$3:$B$5001,D$102,BD!$A$3:$A$5001,"&gt;="&amp;$C$7,BD!$A$3:$A$5001,"&lt;="&amp;$D$7),"—"))</f>
        <v>—</v>
      </c>
      <c r="E115" s="32">
        <f>IF(E$102="","",IF(Config!$P$38&lt;&gt;"Não",SUMIFS(BD!$O$3:$O$5001,BD!$B$3:$B$5001,E$102,BD!$A$3:$A$5001,"&gt;="&amp;$C$7,BD!$A$3:$A$5001,"&lt;="&amp;$D$7),"—"))</f>
        <v>0</v>
      </c>
      <c r="F115" s="32" t="str">
        <f>IF(F$102="","",IF(Config!$P$39&lt;&gt;"Não",SUMIFS(BD!$O$3:$O$5001,BD!$B$3:$B$5001,F$102,BD!$A$3:$A$5001,"&gt;="&amp;$C$7,BD!$A$3:$A$5001,"&lt;="&amp;$D$7),"—"))</f>
        <v>—</v>
      </c>
      <c r="G115" s="32" t="str">
        <f>IF(G$102="","",IF(Config!$P$40&lt;&gt;"Não",SUMIFS(BD!$O$3:$O$5001,BD!$B$3:$B$5001,G$102,BD!$A$3:$A$5001,"&gt;="&amp;$C$7,BD!$A$3:$A$5001,"&lt;="&amp;$D$7),"—"))</f>
        <v>—</v>
      </c>
      <c r="H115" s="32" t="str">
        <f>IF(H$102="","",IF(Config!$P$41&lt;&gt;"Não",SUMIFS(BD!$O$3:$O$5001,BD!$B$3:$B$5001,H$102,BD!$A$3:$A$5001,"&gt;="&amp;$C$7,BD!$A$3:$A$5001,"&lt;="&amp;$D$7),"—"))</f>
        <v>—</v>
      </c>
      <c r="I115" s="32" t="str">
        <f>IF(I$102="","",IF(Config!$P$42&lt;&gt;"Não",SUMIFS(BD!$O$3:$O$5001,BD!$B$3:$B$5001,I$102,BD!$A$3:$A$5001,"&gt;="&amp;$C$7,BD!$A$3:$A$5001,"&lt;="&amp;$D$7),"—"))</f>
        <v>—</v>
      </c>
      <c r="J115" s="32" t="str">
        <f>IF(J$102="","",IF(Config!$P$43&lt;&gt;"Não",SUMIFS(BD!$O$3:$O$5001,BD!$B$3:$B$5001,J$102,BD!$A$3:$A$5001,"&gt;="&amp;$C$7,BD!$A$3:$A$5001,"&lt;="&amp;$D$7),"—"))</f>
        <v>—</v>
      </c>
      <c r="K115" s="32" t="str">
        <f>IF(K$102="","",IF(Config!$P$44&lt;&gt;"Não",SUMIFS(BD!$O$3:$O$5001,BD!$B$3:$B$5001,K$102,BD!$A$3:$A$5001,"&gt;="&amp;$C$7,BD!$A$3:$A$5001,"&lt;="&amp;$D$7),"—"))</f>
        <v>—</v>
      </c>
      <c r="L115" s="32" t="str">
        <f>IF(L$102="","",IF(Config!$P$45&lt;&gt;"Não",SUMIFS(BD!$O$3:$O$5001,BD!$B$3:$B$5001,L$102,BD!$A$3:$A$5001,"&gt;="&amp;$C$7,BD!$A$3:$A$5001,"&lt;="&amp;$D$7),"—"))</f>
        <v/>
      </c>
      <c r="M115" s="32" t="str">
        <f>IF(M$102="","",IF(Config!$P$46&lt;&gt;"Não",SUMIFS(BD!$O$3:$O$5001,BD!$B$3:$B$5001,M$102,BD!$A$3:$A$5001,"&gt;="&amp;$C$7,BD!$A$3:$A$5001,"&lt;="&amp;$D$7),"—"))</f>
        <v/>
      </c>
      <c r="N115" s="32" t="str">
        <f>IF(N$102="","",IF(Config!$P$47&lt;&gt;"Não",SUMIFS(BD!$O$3:$O$5001,BD!$B$3:$B$5001,N$102,BD!$A$3:$A$5001,"&gt;="&amp;$C$7,BD!$A$3:$A$5001,"&lt;="&amp;$D$7),"—"))</f>
        <v/>
      </c>
      <c r="O115" s="32" t="str">
        <f>IF(O$102="","",IF(Config!$P$48&lt;&gt;"Não",SUMIFS(BD!$O$3:$O$5001,BD!$B$3:$B$5001,O$102,BD!$A$3:$A$5001,"&gt;="&amp;$C$7,BD!$A$3:$A$5001,"&lt;="&amp;$D$7),"—"))</f>
        <v/>
      </c>
      <c r="P115" s="32" t="str">
        <f>IF(P$102="","",IF(Config!$P$49&lt;&gt;"Não",SUMIFS(BD!$O$3:$O$5001,BD!$B$3:$B$5001,P$102,BD!$A$3:$A$5001,"&gt;="&amp;$C$7,BD!$A$3:$A$5001,"&lt;="&amp;$D$7),"—"))</f>
        <v/>
      </c>
      <c r="Q115" s="32" t="str">
        <f>IF(Q$102="","",IF(Config!$P$50&lt;&gt;"Não",SUMIFS(BD!$O$3:$O$5001,BD!$B$3:$B$5001,Q$102,BD!$A$3:$A$5001,"&gt;="&amp;$C$7,BD!$A$3:$A$5001,"&lt;="&amp;$D$7),"—"))</f>
        <v/>
      </c>
      <c r="R115" s="32" t="str">
        <f>IF(R$102="","",IF(Config!$P$51&lt;&gt;"Não",SUMIFS(BD!$O$3:$O$5001,BD!$B$3:$B$5001,R$102,BD!$A$3:$A$5001,"&gt;="&amp;$C$7,BD!$A$3:$A$5001,"&lt;="&amp;$D$7),"—"))</f>
        <v/>
      </c>
      <c r="S115" s="32" t="str">
        <f>IF(S$102="","",IF(Config!$P$52&lt;&gt;"Não",SUMIFS(BD!$O$3:$O$5001,BD!$B$3:$B$5001,S$102,BD!$A$3:$A$5001,"&gt;="&amp;$C$7,BD!$A$3:$A$5001,"&lt;="&amp;$D$7),"—"))</f>
        <v/>
      </c>
      <c r="T115" s="32" t="str">
        <f>IF(T$102="","",IF(Config!$P$53&lt;&gt;"Não",SUMIFS(BD!$O$3:$O$5001,BD!$B$3:$B$5001,T$102,BD!$A$3:$A$5001,"&gt;="&amp;$C$7,BD!$A$3:$A$5001,"&lt;="&amp;$D$7),"—"))</f>
        <v/>
      </c>
      <c r="U115" s="32" t="str">
        <f>IF(U$102="","",IF(Config!$P$54&lt;&gt;"Não",SUMIFS(BD!$O$3:$O$5001,BD!$B$3:$B$5001,U$102,BD!$A$3:$A$5001,"&gt;="&amp;$C$7,BD!$A$3:$A$5001,"&lt;="&amp;$D$7),"—"))</f>
        <v/>
      </c>
      <c r="V115" s="62">
        <f>SUM(B115:U115)</f>
        <v>0</v>
      </c>
    </row>
    <row r="116">
      <c r="A116" s="29" t="inlineStr">
        <is>
          <t xml:space="preserve">OUT · Itens Expedidos</t>
        </is>
      </c>
      <c r="B116" s="32" t="str">
        <f>IF(B$102="","",IF(Config!$Q$35&lt;&gt;"Não",SUMIFS(BD!$P$3:$P$5001,BD!$B$3:$B$5001,B$102,BD!$A$3:$A$5001,"&gt;="&amp;$C$7,BD!$A$3:$A$5001,"&lt;="&amp;$D$7),"—"))</f>
        <v>—</v>
      </c>
      <c r="C116" s="32" t="str">
        <f>IF(C$102="","",IF(Config!$Q$36&lt;&gt;"Não",SUMIFS(BD!$P$3:$P$5001,BD!$B$3:$B$5001,C$102,BD!$A$3:$A$5001,"&gt;="&amp;$C$7,BD!$A$3:$A$5001,"&lt;="&amp;$D$7),"—"))</f>
        <v>—</v>
      </c>
      <c r="D116" s="32" t="str">
        <f>IF(D$102="","",IF(Config!$Q$37&lt;&gt;"Não",SUMIFS(BD!$P$3:$P$5001,BD!$B$3:$B$5001,D$102,BD!$A$3:$A$5001,"&gt;="&amp;$C$7,BD!$A$3:$A$5001,"&lt;="&amp;$D$7),"—"))</f>
        <v>—</v>
      </c>
      <c r="E116" s="32">
        <f>IF(E$102="","",IF(Config!$Q$38&lt;&gt;"Não",SUMIFS(BD!$P$3:$P$5001,BD!$B$3:$B$5001,E$102,BD!$A$3:$A$5001,"&gt;="&amp;$C$7,BD!$A$3:$A$5001,"&lt;="&amp;$D$7),"—"))</f>
        <v>0</v>
      </c>
      <c r="F116" s="32" t="str">
        <f>IF(F$102="","",IF(Config!$Q$39&lt;&gt;"Não",SUMIFS(BD!$P$3:$P$5001,BD!$B$3:$B$5001,F$102,BD!$A$3:$A$5001,"&gt;="&amp;$C$7,BD!$A$3:$A$5001,"&lt;="&amp;$D$7),"—"))</f>
        <v>—</v>
      </c>
      <c r="G116" s="32" t="str">
        <f>IF(G$102="","",IF(Config!$Q$40&lt;&gt;"Não",SUMIFS(BD!$P$3:$P$5001,BD!$B$3:$B$5001,G$102,BD!$A$3:$A$5001,"&gt;="&amp;$C$7,BD!$A$3:$A$5001,"&lt;="&amp;$D$7),"—"))</f>
        <v>—</v>
      </c>
      <c r="H116" s="32" t="str">
        <f>IF(H$102="","",IF(Config!$Q$41&lt;&gt;"Não",SUMIFS(BD!$P$3:$P$5001,BD!$B$3:$B$5001,H$102,BD!$A$3:$A$5001,"&gt;="&amp;$C$7,BD!$A$3:$A$5001,"&lt;="&amp;$D$7),"—"))</f>
        <v>—</v>
      </c>
      <c r="I116" s="32" t="str">
        <f>IF(I$102="","",IF(Config!$Q$42&lt;&gt;"Não",SUMIFS(BD!$P$3:$P$5001,BD!$B$3:$B$5001,I$102,BD!$A$3:$A$5001,"&gt;="&amp;$C$7,BD!$A$3:$A$5001,"&lt;="&amp;$D$7),"—"))</f>
        <v>—</v>
      </c>
      <c r="J116" s="32" t="str">
        <f>IF(J$102="","",IF(Config!$Q$43&lt;&gt;"Não",SUMIFS(BD!$P$3:$P$5001,BD!$B$3:$B$5001,J$102,BD!$A$3:$A$5001,"&gt;="&amp;$C$7,BD!$A$3:$A$5001,"&lt;="&amp;$D$7),"—"))</f>
        <v>—</v>
      </c>
      <c r="K116" s="32" t="str">
        <f>IF(K$102="","",IF(Config!$Q$44&lt;&gt;"Não",SUMIFS(BD!$P$3:$P$5001,BD!$B$3:$B$5001,K$102,BD!$A$3:$A$5001,"&gt;="&amp;$C$7,BD!$A$3:$A$5001,"&lt;="&amp;$D$7),"—"))</f>
        <v>—</v>
      </c>
      <c r="L116" s="32" t="str">
        <f>IF(L$102="","",IF(Config!$Q$45&lt;&gt;"Não",SUMIFS(BD!$P$3:$P$5001,BD!$B$3:$B$5001,L$102,BD!$A$3:$A$5001,"&gt;="&amp;$C$7,BD!$A$3:$A$5001,"&lt;="&amp;$D$7),"—"))</f>
        <v/>
      </c>
      <c r="M116" s="32" t="str">
        <f>IF(M$102="","",IF(Config!$Q$46&lt;&gt;"Não",SUMIFS(BD!$P$3:$P$5001,BD!$B$3:$B$5001,M$102,BD!$A$3:$A$5001,"&gt;="&amp;$C$7,BD!$A$3:$A$5001,"&lt;="&amp;$D$7),"—"))</f>
        <v/>
      </c>
      <c r="N116" s="32" t="str">
        <f>IF(N$102="","",IF(Config!$Q$47&lt;&gt;"Não",SUMIFS(BD!$P$3:$P$5001,BD!$B$3:$B$5001,N$102,BD!$A$3:$A$5001,"&gt;="&amp;$C$7,BD!$A$3:$A$5001,"&lt;="&amp;$D$7),"—"))</f>
        <v/>
      </c>
      <c r="O116" s="32" t="str">
        <f>IF(O$102="","",IF(Config!$Q$48&lt;&gt;"Não",SUMIFS(BD!$P$3:$P$5001,BD!$B$3:$B$5001,O$102,BD!$A$3:$A$5001,"&gt;="&amp;$C$7,BD!$A$3:$A$5001,"&lt;="&amp;$D$7),"—"))</f>
        <v/>
      </c>
      <c r="P116" s="32" t="str">
        <f>IF(P$102="","",IF(Config!$Q$49&lt;&gt;"Não",SUMIFS(BD!$P$3:$P$5001,BD!$B$3:$B$5001,P$102,BD!$A$3:$A$5001,"&gt;="&amp;$C$7,BD!$A$3:$A$5001,"&lt;="&amp;$D$7),"—"))</f>
        <v/>
      </c>
      <c r="Q116" s="32" t="str">
        <f>IF(Q$102="","",IF(Config!$Q$50&lt;&gt;"Não",SUMIFS(BD!$P$3:$P$5001,BD!$B$3:$B$5001,Q$102,BD!$A$3:$A$5001,"&gt;="&amp;$C$7,BD!$A$3:$A$5001,"&lt;="&amp;$D$7),"—"))</f>
        <v/>
      </c>
      <c r="R116" s="32" t="str">
        <f>IF(R$102="","",IF(Config!$Q$51&lt;&gt;"Não",SUMIFS(BD!$P$3:$P$5001,BD!$B$3:$B$5001,R$102,BD!$A$3:$A$5001,"&gt;="&amp;$C$7,BD!$A$3:$A$5001,"&lt;="&amp;$D$7),"—"))</f>
        <v/>
      </c>
      <c r="S116" s="32" t="str">
        <f>IF(S$102="","",IF(Config!$Q$52&lt;&gt;"Não",SUMIFS(BD!$P$3:$P$5001,BD!$B$3:$B$5001,S$102,BD!$A$3:$A$5001,"&gt;="&amp;$C$7,BD!$A$3:$A$5001,"&lt;="&amp;$D$7),"—"))</f>
        <v/>
      </c>
      <c r="T116" s="32" t="str">
        <f>IF(T$102="","",IF(Config!$Q$53&lt;&gt;"Não",SUMIFS(BD!$P$3:$P$5001,BD!$B$3:$B$5001,T$102,BD!$A$3:$A$5001,"&gt;="&amp;$C$7,BD!$A$3:$A$5001,"&lt;="&amp;$D$7),"—"))</f>
        <v/>
      </c>
      <c r="U116" s="32" t="str">
        <f>IF(U$102="","",IF(Config!$Q$54&lt;&gt;"Não",SUMIFS(BD!$P$3:$P$5001,BD!$B$3:$B$5001,U$102,BD!$A$3:$A$5001,"&gt;="&amp;$C$7,BD!$A$3:$A$5001,"&lt;="&amp;$D$7),"—"))</f>
        <v/>
      </c>
      <c r="V116" s="62">
        <f>SUM(B116:U116)</f>
        <v>0</v>
      </c>
    </row>
    <row r="117">
      <c r="A117" s="29" t="inlineStr">
        <is>
          <t xml:space="preserve">OUT · Peças Movimentadas</t>
        </is>
      </c>
      <c r="B117" s="32" t="str">
        <f>IF(B$102="","",IF(Config!$R$35&lt;&gt;"Não",SUMIFS(BD!$Q$3:$Q$5001,BD!$B$3:$B$5001,B$102,BD!$A$3:$A$5001,"&gt;="&amp;$C$7,BD!$A$3:$A$5001,"&lt;="&amp;$D$7),"—"))</f>
        <v>—</v>
      </c>
      <c r="C117" s="32" t="str">
        <f>IF(C$102="","",IF(Config!$R$36&lt;&gt;"Não",SUMIFS(BD!$Q$3:$Q$5001,BD!$B$3:$B$5001,C$102,BD!$A$3:$A$5001,"&gt;="&amp;$C$7,BD!$A$3:$A$5001,"&lt;="&amp;$D$7),"—"))</f>
        <v>—</v>
      </c>
      <c r="D117" s="32" t="str">
        <f>IF(D$102="","",IF(Config!$R$37&lt;&gt;"Não",SUMIFS(BD!$Q$3:$Q$5001,BD!$B$3:$B$5001,D$102,BD!$A$3:$A$5001,"&gt;="&amp;$C$7,BD!$A$3:$A$5001,"&lt;="&amp;$D$7),"—"))</f>
        <v>—</v>
      </c>
      <c r="E117" s="32" t="str">
        <f>IF(E$102="","",IF(Config!$R$38&lt;&gt;"Não",SUMIFS(BD!$Q$3:$Q$5001,BD!$B$3:$B$5001,E$102,BD!$A$3:$A$5001,"&gt;="&amp;$C$7,BD!$A$3:$A$5001,"&lt;="&amp;$D$7),"—"))</f>
        <v>—</v>
      </c>
      <c r="F117" s="32" t="str">
        <f>IF(F$102="","",IF(Config!$R$39&lt;&gt;"Não",SUMIFS(BD!$Q$3:$Q$5001,BD!$B$3:$B$5001,F$102,BD!$A$3:$A$5001,"&gt;="&amp;$C$7,BD!$A$3:$A$5001,"&lt;="&amp;$D$7),"—"))</f>
        <v>—</v>
      </c>
      <c r="G117" s="32">
        <f>IF(G$102="","",IF(Config!$R$40&lt;&gt;"Não",SUMIFS(BD!$Q$3:$Q$5001,BD!$B$3:$B$5001,G$102,BD!$A$3:$A$5001,"&gt;="&amp;$C$7,BD!$A$3:$A$5001,"&lt;="&amp;$D$7),"—"))</f>
        <v>0</v>
      </c>
      <c r="H117" s="32" t="str">
        <f>IF(H$102="","",IF(Config!$R$41&lt;&gt;"Não",SUMIFS(BD!$Q$3:$Q$5001,BD!$B$3:$B$5001,H$102,BD!$A$3:$A$5001,"&gt;="&amp;$C$7,BD!$A$3:$A$5001,"&lt;="&amp;$D$7),"—"))</f>
        <v>—</v>
      </c>
      <c r="I117" s="32" t="str">
        <f>IF(I$102="","",IF(Config!$R$42&lt;&gt;"Não",SUMIFS(BD!$Q$3:$Q$5001,BD!$B$3:$B$5001,I$102,BD!$A$3:$A$5001,"&gt;="&amp;$C$7,BD!$A$3:$A$5001,"&lt;="&amp;$D$7),"—"))</f>
        <v>—</v>
      </c>
      <c r="J117" s="32" t="str">
        <f>IF(J$102="","",IF(Config!$R$43&lt;&gt;"Não",SUMIFS(BD!$Q$3:$Q$5001,BD!$B$3:$B$5001,J$102,BD!$A$3:$A$5001,"&gt;="&amp;$C$7,BD!$A$3:$A$5001,"&lt;="&amp;$D$7),"—"))</f>
        <v>—</v>
      </c>
      <c r="K117" s="32" t="str">
        <f>IF(K$102="","",IF(Config!$R$44&lt;&gt;"Não",SUMIFS(BD!$Q$3:$Q$5001,BD!$B$3:$B$5001,K$102,BD!$A$3:$A$5001,"&gt;="&amp;$C$7,BD!$A$3:$A$5001,"&lt;="&amp;$D$7),"—"))</f>
        <v>—</v>
      </c>
      <c r="L117" s="32" t="str">
        <f>IF(L$102="","",IF(Config!$R$45&lt;&gt;"Não",SUMIFS(BD!$Q$3:$Q$5001,BD!$B$3:$B$5001,L$102,BD!$A$3:$A$5001,"&gt;="&amp;$C$7,BD!$A$3:$A$5001,"&lt;="&amp;$D$7),"—"))</f>
        <v/>
      </c>
      <c r="M117" s="32" t="str">
        <f>IF(M$102="","",IF(Config!$R$46&lt;&gt;"Não",SUMIFS(BD!$Q$3:$Q$5001,BD!$B$3:$B$5001,M$102,BD!$A$3:$A$5001,"&gt;="&amp;$C$7,BD!$A$3:$A$5001,"&lt;="&amp;$D$7),"—"))</f>
        <v/>
      </c>
      <c r="N117" s="32" t="str">
        <f>IF(N$102="","",IF(Config!$R$47&lt;&gt;"Não",SUMIFS(BD!$Q$3:$Q$5001,BD!$B$3:$B$5001,N$102,BD!$A$3:$A$5001,"&gt;="&amp;$C$7,BD!$A$3:$A$5001,"&lt;="&amp;$D$7),"—"))</f>
        <v/>
      </c>
      <c r="O117" s="32" t="str">
        <f>IF(O$102="","",IF(Config!$R$48&lt;&gt;"Não",SUMIFS(BD!$Q$3:$Q$5001,BD!$B$3:$B$5001,O$102,BD!$A$3:$A$5001,"&gt;="&amp;$C$7,BD!$A$3:$A$5001,"&lt;="&amp;$D$7),"—"))</f>
        <v/>
      </c>
      <c r="P117" s="32" t="str">
        <f>IF(P$102="","",IF(Config!$R$49&lt;&gt;"Não",SUMIFS(BD!$Q$3:$Q$5001,BD!$B$3:$B$5001,P$102,BD!$A$3:$A$5001,"&gt;="&amp;$C$7,BD!$A$3:$A$5001,"&lt;="&amp;$D$7),"—"))</f>
        <v/>
      </c>
      <c r="Q117" s="32" t="str">
        <f>IF(Q$102="","",IF(Config!$R$50&lt;&gt;"Não",SUMIFS(BD!$Q$3:$Q$5001,BD!$B$3:$B$5001,Q$102,BD!$A$3:$A$5001,"&gt;="&amp;$C$7,BD!$A$3:$A$5001,"&lt;="&amp;$D$7),"—"))</f>
        <v/>
      </c>
      <c r="R117" s="32" t="str">
        <f>IF(R$102="","",IF(Config!$R$51&lt;&gt;"Não",SUMIFS(BD!$Q$3:$Q$5001,BD!$B$3:$B$5001,R$102,BD!$A$3:$A$5001,"&gt;="&amp;$C$7,BD!$A$3:$A$5001,"&lt;="&amp;$D$7),"—"))</f>
        <v/>
      </c>
      <c r="S117" s="32" t="str">
        <f>IF(S$102="","",IF(Config!$R$52&lt;&gt;"Não",SUMIFS(BD!$Q$3:$Q$5001,BD!$B$3:$B$5001,S$102,BD!$A$3:$A$5001,"&gt;="&amp;$C$7,BD!$A$3:$A$5001,"&lt;="&amp;$D$7),"—"))</f>
        <v/>
      </c>
      <c r="T117" s="32" t="str">
        <f>IF(T$102="","",IF(Config!$R$53&lt;&gt;"Não",SUMIFS(BD!$Q$3:$Q$5001,BD!$B$3:$B$5001,T$102,BD!$A$3:$A$5001,"&gt;="&amp;$C$7,BD!$A$3:$A$5001,"&lt;="&amp;$D$7),"—"))</f>
        <v/>
      </c>
      <c r="U117" s="32" t="str">
        <f>IF(U$102="","",IF(Config!$R$54&lt;&gt;"Não",SUMIFS(BD!$Q$3:$Q$5001,BD!$B$3:$B$5001,U$102,BD!$A$3:$A$5001,"&gt;="&amp;$C$7,BD!$A$3:$A$5001,"&lt;="&amp;$D$7),"—"))</f>
        <v/>
      </c>
      <c r="V117" s="62">
        <f>SUM(B117:U117)</f>
        <v>0</v>
      </c>
    </row>
    <row r="118">
      <c r="A118" s="29" t="inlineStr">
        <is>
          <t xml:space="preserve">OUT · Linhas NF</t>
        </is>
      </c>
      <c r="B118" s="32" t="str">
        <f>IF(B$102="","",IF(Config!$S$35&lt;&gt;"Não",SUMIFS(BD!$R$3:$R$5001,BD!$B$3:$B$5001,B$102,BD!$A$3:$A$5001,"&gt;="&amp;$C$7,BD!$A$3:$A$5001,"&lt;="&amp;$D$7),"—"))</f>
        <v>—</v>
      </c>
      <c r="C118" s="32" t="str">
        <f>IF(C$102="","",IF(Config!$S$36&lt;&gt;"Não",SUMIFS(BD!$R$3:$R$5001,BD!$B$3:$B$5001,C$102,BD!$A$3:$A$5001,"&gt;="&amp;$C$7,BD!$A$3:$A$5001,"&lt;="&amp;$D$7),"—"))</f>
        <v>—</v>
      </c>
      <c r="D118" s="32" t="str">
        <f>IF(D$102="","",IF(Config!$S$37&lt;&gt;"Não",SUMIFS(BD!$R$3:$R$5001,BD!$B$3:$B$5001,D$102,BD!$A$3:$A$5001,"&gt;="&amp;$C$7,BD!$A$3:$A$5001,"&lt;="&amp;$D$7),"—"))</f>
        <v>—</v>
      </c>
      <c r="E118" s="32" t="str">
        <f>IF(E$102="","",IF(Config!$S$38&lt;&gt;"Não",SUMIFS(BD!$R$3:$R$5001,BD!$B$3:$B$5001,E$102,BD!$A$3:$A$5001,"&gt;="&amp;$C$7,BD!$A$3:$A$5001,"&lt;="&amp;$D$7),"—"))</f>
        <v>—</v>
      </c>
      <c r="F118" s="32" t="str">
        <f>IF(F$102="","",IF(Config!$S$39&lt;&gt;"Não",SUMIFS(BD!$R$3:$R$5001,BD!$B$3:$B$5001,F$102,BD!$A$3:$A$5001,"&gt;="&amp;$C$7,BD!$A$3:$A$5001,"&lt;="&amp;$D$7),"—"))</f>
        <v>—</v>
      </c>
      <c r="G118" s="32">
        <f>IF(G$102="","",IF(Config!$S$40&lt;&gt;"Não",SUMIFS(BD!$R$3:$R$5001,BD!$B$3:$B$5001,G$102,BD!$A$3:$A$5001,"&gt;="&amp;$C$7,BD!$A$3:$A$5001,"&lt;="&amp;$D$7),"—"))</f>
        <v>0</v>
      </c>
      <c r="H118" s="32" t="str">
        <f>IF(H$102="","",IF(Config!$S$41&lt;&gt;"Não",SUMIFS(BD!$R$3:$R$5001,BD!$B$3:$B$5001,H$102,BD!$A$3:$A$5001,"&gt;="&amp;$C$7,BD!$A$3:$A$5001,"&lt;="&amp;$D$7),"—"))</f>
        <v>—</v>
      </c>
      <c r="I118" s="32" t="str">
        <f>IF(I$102="","",IF(Config!$S$42&lt;&gt;"Não",SUMIFS(BD!$R$3:$R$5001,BD!$B$3:$B$5001,I$102,BD!$A$3:$A$5001,"&gt;="&amp;$C$7,BD!$A$3:$A$5001,"&lt;="&amp;$D$7),"—"))</f>
        <v>—</v>
      </c>
      <c r="J118" s="32" t="str">
        <f>IF(J$102="","",IF(Config!$S$43&lt;&gt;"Não",SUMIFS(BD!$R$3:$R$5001,BD!$B$3:$B$5001,J$102,BD!$A$3:$A$5001,"&gt;="&amp;$C$7,BD!$A$3:$A$5001,"&lt;="&amp;$D$7),"—"))</f>
        <v>—</v>
      </c>
      <c r="K118" s="32">
        <f>IF(K$102="","",IF(Config!$S$44&lt;&gt;"Não",SUMIFS(BD!$R$3:$R$5001,BD!$B$3:$B$5001,K$102,BD!$A$3:$A$5001,"&gt;="&amp;$C$7,BD!$A$3:$A$5001,"&lt;="&amp;$D$7),"—"))</f>
        <v>0</v>
      </c>
      <c r="L118" s="32" t="str">
        <f>IF(L$102="","",IF(Config!$S$45&lt;&gt;"Não",SUMIFS(BD!$R$3:$R$5001,BD!$B$3:$B$5001,L$102,BD!$A$3:$A$5001,"&gt;="&amp;$C$7,BD!$A$3:$A$5001,"&lt;="&amp;$D$7),"—"))</f>
        <v/>
      </c>
      <c r="M118" s="32" t="str">
        <f>IF(M$102="","",IF(Config!$S$46&lt;&gt;"Não",SUMIFS(BD!$R$3:$R$5001,BD!$B$3:$B$5001,M$102,BD!$A$3:$A$5001,"&gt;="&amp;$C$7,BD!$A$3:$A$5001,"&lt;="&amp;$D$7),"—"))</f>
        <v/>
      </c>
      <c r="N118" s="32" t="str">
        <f>IF(N$102="","",IF(Config!$S$47&lt;&gt;"Não",SUMIFS(BD!$R$3:$R$5001,BD!$B$3:$B$5001,N$102,BD!$A$3:$A$5001,"&gt;="&amp;$C$7,BD!$A$3:$A$5001,"&lt;="&amp;$D$7),"—"))</f>
        <v/>
      </c>
      <c r="O118" s="32" t="str">
        <f>IF(O$102="","",IF(Config!$S$48&lt;&gt;"Não",SUMIFS(BD!$R$3:$R$5001,BD!$B$3:$B$5001,O$102,BD!$A$3:$A$5001,"&gt;="&amp;$C$7,BD!$A$3:$A$5001,"&lt;="&amp;$D$7),"—"))</f>
        <v/>
      </c>
      <c r="P118" s="32" t="str">
        <f>IF(P$102="","",IF(Config!$S$49&lt;&gt;"Não",SUMIFS(BD!$R$3:$R$5001,BD!$B$3:$B$5001,P$102,BD!$A$3:$A$5001,"&gt;="&amp;$C$7,BD!$A$3:$A$5001,"&lt;="&amp;$D$7),"—"))</f>
        <v/>
      </c>
      <c r="Q118" s="32" t="str">
        <f>IF(Q$102="","",IF(Config!$S$50&lt;&gt;"Não",SUMIFS(BD!$R$3:$R$5001,BD!$B$3:$B$5001,Q$102,BD!$A$3:$A$5001,"&gt;="&amp;$C$7,BD!$A$3:$A$5001,"&lt;="&amp;$D$7),"—"))</f>
        <v/>
      </c>
      <c r="R118" s="32" t="str">
        <f>IF(R$102="","",IF(Config!$S$51&lt;&gt;"Não",SUMIFS(BD!$R$3:$R$5001,BD!$B$3:$B$5001,R$102,BD!$A$3:$A$5001,"&gt;="&amp;$C$7,BD!$A$3:$A$5001,"&lt;="&amp;$D$7),"—"))</f>
        <v/>
      </c>
      <c r="S118" s="32" t="str">
        <f>IF(S$102="","",IF(Config!$S$52&lt;&gt;"Não",SUMIFS(BD!$R$3:$R$5001,BD!$B$3:$B$5001,S$102,BD!$A$3:$A$5001,"&gt;="&amp;$C$7,BD!$A$3:$A$5001,"&lt;="&amp;$D$7),"—"))</f>
        <v/>
      </c>
      <c r="T118" s="32" t="str">
        <f>IF(T$102="","",IF(Config!$S$53&lt;&gt;"Não",SUMIFS(BD!$R$3:$R$5001,BD!$B$3:$B$5001,T$102,BD!$A$3:$A$5001,"&gt;="&amp;$C$7,BD!$A$3:$A$5001,"&lt;="&amp;$D$7),"—"))</f>
        <v/>
      </c>
      <c r="U118" s="32" t="str">
        <f>IF(U$102="","",IF(Config!$S$54&lt;&gt;"Não",SUMIFS(BD!$R$3:$R$5001,BD!$B$3:$B$5001,U$102,BD!$A$3:$A$5001,"&gt;="&amp;$C$7,BD!$A$3:$A$5001,"&lt;="&amp;$D$7),"—"))</f>
        <v/>
      </c>
      <c r="V118" s="62">
        <f>SUM(B118:U118)</f>
        <v>0</v>
      </c>
    </row>
    <row r="119">
      <c r="A119" s="29" t="inlineStr">
        <is>
          <t xml:space="preserve">OUT · Caixas Expedidas</t>
        </is>
      </c>
      <c r="B119" s="32">
        <f>IF(B$102="","",IF(Config!$T$35&lt;&gt;"Não",SUMIFS(BD!$S$3:$S$5001,BD!$B$3:$B$5001,B$102,BD!$A$3:$A$5001,"&gt;="&amp;$C$7,BD!$A$3:$A$5001,"&lt;="&amp;$D$7),"—"))</f>
        <v>0</v>
      </c>
      <c r="C119" s="32" t="str">
        <f>IF(C$102="","",IF(Config!$T$36&lt;&gt;"Não",SUMIFS(BD!$S$3:$S$5001,BD!$B$3:$B$5001,C$102,BD!$A$3:$A$5001,"&gt;="&amp;$C$7,BD!$A$3:$A$5001,"&lt;="&amp;$D$7),"—"))</f>
        <v>—</v>
      </c>
      <c r="D119" s="32" t="str">
        <f>IF(D$102="","",IF(Config!$T$37&lt;&gt;"Não",SUMIFS(BD!$S$3:$S$5001,BD!$B$3:$B$5001,D$102,BD!$A$3:$A$5001,"&gt;="&amp;$C$7,BD!$A$3:$A$5001,"&lt;="&amp;$D$7),"—"))</f>
        <v>—</v>
      </c>
      <c r="E119" s="32" t="str">
        <f>IF(E$102="","",IF(Config!$T$38&lt;&gt;"Não",SUMIFS(BD!$S$3:$S$5001,BD!$B$3:$B$5001,E$102,BD!$A$3:$A$5001,"&gt;="&amp;$C$7,BD!$A$3:$A$5001,"&lt;="&amp;$D$7),"—"))</f>
        <v>—</v>
      </c>
      <c r="F119" s="32" t="str">
        <f>IF(F$102="","",IF(Config!$T$39&lt;&gt;"Não",SUMIFS(BD!$S$3:$S$5001,BD!$B$3:$B$5001,F$102,BD!$A$3:$A$5001,"&gt;="&amp;$C$7,BD!$A$3:$A$5001,"&lt;="&amp;$D$7),"—"))</f>
        <v>—</v>
      </c>
      <c r="G119" s="32" t="str">
        <f>IF(G$102="","",IF(Config!$T$40&lt;&gt;"Não",SUMIFS(BD!$S$3:$S$5001,BD!$B$3:$B$5001,G$102,BD!$A$3:$A$5001,"&gt;="&amp;$C$7,BD!$A$3:$A$5001,"&lt;="&amp;$D$7),"—"))</f>
        <v>—</v>
      </c>
      <c r="H119" s="32" t="str">
        <f>IF(H$102="","",IF(Config!$T$41&lt;&gt;"Não",SUMIFS(BD!$S$3:$S$5001,BD!$B$3:$B$5001,H$102,BD!$A$3:$A$5001,"&gt;="&amp;$C$7,BD!$A$3:$A$5001,"&lt;="&amp;$D$7),"—"))</f>
        <v>—</v>
      </c>
      <c r="I119" s="32" t="str">
        <f>IF(I$102="","",IF(Config!$T$42&lt;&gt;"Não",SUMIFS(BD!$S$3:$S$5001,BD!$B$3:$B$5001,I$102,BD!$A$3:$A$5001,"&gt;="&amp;$C$7,BD!$A$3:$A$5001,"&lt;="&amp;$D$7),"—"))</f>
        <v>—</v>
      </c>
      <c r="J119" s="32" t="str">
        <f>IF(J$102="","",IF(Config!$T$43&lt;&gt;"Não",SUMIFS(BD!$S$3:$S$5001,BD!$B$3:$B$5001,J$102,BD!$A$3:$A$5001,"&gt;="&amp;$C$7,BD!$A$3:$A$5001,"&lt;="&amp;$D$7),"—"))</f>
        <v>—</v>
      </c>
      <c r="K119" s="32" t="str">
        <f>IF(K$102="","",IF(Config!$T$44&lt;&gt;"Não",SUMIFS(BD!$S$3:$S$5001,BD!$B$3:$B$5001,K$102,BD!$A$3:$A$5001,"&gt;="&amp;$C$7,BD!$A$3:$A$5001,"&lt;="&amp;$D$7),"—"))</f>
        <v>—</v>
      </c>
      <c r="L119" s="32" t="str">
        <f>IF(L$102="","",IF(Config!$T$45&lt;&gt;"Não",SUMIFS(BD!$S$3:$S$5001,BD!$B$3:$B$5001,L$102,BD!$A$3:$A$5001,"&gt;="&amp;$C$7,BD!$A$3:$A$5001,"&lt;="&amp;$D$7),"—"))</f>
        <v/>
      </c>
      <c r="M119" s="32" t="str">
        <f>IF(M$102="","",IF(Config!$T$46&lt;&gt;"Não",SUMIFS(BD!$S$3:$S$5001,BD!$B$3:$B$5001,M$102,BD!$A$3:$A$5001,"&gt;="&amp;$C$7,BD!$A$3:$A$5001,"&lt;="&amp;$D$7),"—"))</f>
        <v/>
      </c>
      <c r="N119" s="32" t="str">
        <f>IF(N$102="","",IF(Config!$T$47&lt;&gt;"Não",SUMIFS(BD!$S$3:$S$5001,BD!$B$3:$B$5001,N$102,BD!$A$3:$A$5001,"&gt;="&amp;$C$7,BD!$A$3:$A$5001,"&lt;="&amp;$D$7),"—"))</f>
        <v/>
      </c>
      <c r="O119" s="32" t="str">
        <f>IF(O$102="","",IF(Config!$T$48&lt;&gt;"Não",SUMIFS(BD!$S$3:$S$5001,BD!$B$3:$B$5001,O$102,BD!$A$3:$A$5001,"&gt;="&amp;$C$7,BD!$A$3:$A$5001,"&lt;="&amp;$D$7),"—"))</f>
        <v/>
      </c>
      <c r="P119" s="32" t="str">
        <f>IF(P$102="","",IF(Config!$T$49&lt;&gt;"Não",SUMIFS(BD!$S$3:$S$5001,BD!$B$3:$B$5001,P$102,BD!$A$3:$A$5001,"&gt;="&amp;$C$7,BD!$A$3:$A$5001,"&lt;="&amp;$D$7),"—"))</f>
        <v/>
      </c>
      <c r="Q119" s="32" t="str">
        <f>IF(Q$102="","",IF(Config!$T$50&lt;&gt;"Não",SUMIFS(BD!$S$3:$S$5001,BD!$B$3:$B$5001,Q$102,BD!$A$3:$A$5001,"&gt;="&amp;$C$7,BD!$A$3:$A$5001,"&lt;="&amp;$D$7),"—"))</f>
        <v/>
      </c>
      <c r="R119" s="32" t="str">
        <f>IF(R$102="","",IF(Config!$T$51&lt;&gt;"Não",SUMIFS(BD!$S$3:$S$5001,BD!$B$3:$B$5001,R$102,BD!$A$3:$A$5001,"&gt;="&amp;$C$7,BD!$A$3:$A$5001,"&lt;="&amp;$D$7),"—"))</f>
        <v/>
      </c>
      <c r="S119" s="32" t="str">
        <f>IF(S$102="","",IF(Config!$T$52&lt;&gt;"Não",SUMIFS(BD!$S$3:$S$5001,BD!$B$3:$B$5001,S$102,BD!$A$3:$A$5001,"&gt;="&amp;$C$7,BD!$A$3:$A$5001,"&lt;="&amp;$D$7),"—"))</f>
        <v/>
      </c>
      <c r="T119" s="32" t="str">
        <f>IF(T$102="","",IF(Config!$T$53&lt;&gt;"Não",SUMIFS(BD!$S$3:$S$5001,BD!$B$3:$B$5001,T$102,BD!$A$3:$A$5001,"&gt;="&amp;$C$7,BD!$A$3:$A$5001,"&lt;="&amp;$D$7),"—"))</f>
        <v/>
      </c>
      <c r="U119" s="32" t="str">
        <f>IF(U$102="","",IF(Config!$T$54&lt;&gt;"Não",SUMIFS(BD!$S$3:$S$5001,BD!$B$3:$B$5001,U$102,BD!$A$3:$A$5001,"&gt;="&amp;$C$7,BD!$A$3:$A$5001,"&lt;="&amp;$D$7),"—"))</f>
        <v/>
      </c>
      <c r="V119" s="62">
        <f>SUM(B119:U119)</f>
        <v>0</v>
      </c>
    </row>
    <row r="120">
      <c r="A120" s="29" t="inlineStr">
        <is>
          <t xml:space="preserve">OUT · Pallets Movimentados</t>
        </is>
      </c>
      <c r="B120" s="32" t="str">
        <f>IF(B$102="","",IF(Config!$U$35&lt;&gt;"Não",SUMIFS(BD!$T$3:$T$5001,BD!$B$3:$B$5001,B$102,BD!$A$3:$A$5001,"&gt;="&amp;$C$7,BD!$A$3:$A$5001,"&lt;="&amp;$D$7),"—"))</f>
        <v>—</v>
      </c>
      <c r="C120" s="32">
        <f>IF(C$102="","",IF(Config!$U$36&lt;&gt;"Não",SUMIFS(BD!$T$3:$T$5001,BD!$B$3:$B$5001,C$102,BD!$A$3:$A$5001,"&gt;="&amp;$C$7,BD!$A$3:$A$5001,"&lt;="&amp;$D$7),"—"))</f>
        <v>0</v>
      </c>
      <c r="D120" s="32">
        <f>IF(D$102="","",IF(Config!$U$37&lt;&gt;"Não",SUMIFS(BD!$T$3:$T$5001,BD!$B$3:$B$5001,D$102,BD!$A$3:$A$5001,"&gt;="&amp;$C$7,BD!$A$3:$A$5001,"&lt;="&amp;$D$7),"—"))</f>
        <v>0</v>
      </c>
      <c r="E120" s="32">
        <f>IF(E$102="","",IF(Config!$U$38&lt;&gt;"Não",SUMIFS(BD!$T$3:$T$5001,BD!$B$3:$B$5001,E$102,BD!$A$3:$A$5001,"&gt;="&amp;$C$7,BD!$A$3:$A$5001,"&lt;="&amp;$D$7),"—"))</f>
        <v>0</v>
      </c>
      <c r="F120" s="32">
        <f>IF(F$102="","",IF(Config!$U$39&lt;&gt;"Não",SUMIFS(BD!$T$3:$T$5001,BD!$B$3:$B$5001,F$102,BD!$A$3:$A$5001,"&gt;="&amp;$C$7,BD!$A$3:$A$5001,"&lt;="&amp;$D$7),"—"))</f>
        <v>0</v>
      </c>
      <c r="G120" s="32">
        <f>IF(G$102="","",IF(Config!$U$40&lt;&gt;"Não",SUMIFS(BD!$T$3:$T$5001,BD!$B$3:$B$5001,G$102,BD!$A$3:$A$5001,"&gt;="&amp;$C$7,BD!$A$3:$A$5001,"&lt;="&amp;$D$7),"—"))</f>
        <v>0</v>
      </c>
      <c r="H120" s="32">
        <f>IF(H$102="","",IF(Config!$U$41&lt;&gt;"Não",SUMIFS(BD!$T$3:$T$5001,BD!$B$3:$B$5001,H$102,BD!$A$3:$A$5001,"&gt;="&amp;$C$7,BD!$A$3:$A$5001,"&lt;="&amp;$D$7),"—"))</f>
        <v>0</v>
      </c>
      <c r="I120" s="32">
        <f>IF(I$102="","",IF(Config!$U$42&lt;&gt;"Não",SUMIFS(BD!$T$3:$T$5001,BD!$B$3:$B$5001,I$102,BD!$A$3:$A$5001,"&gt;="&amp;$C$7,BD!$A$3:$A$5001,"&lt;="&amp;$D$7),"—"))</f>
        <v>0</v>
      </c>
      <c r="J120" s="32">
        <f>IF(J$102="","",IF(Config!$U$43&lt;&gt;"Não",SUMIFS(BD!$T$3:$T$5001,BD!$B$3:$B$5001,J$102,BD!$A$3:$A$5001,"&gt;="&amp;$C$7,BD!$A$3:$A$5001,"&lt;="&amp;$D$7),"—"))</f>
        <v>0</v>
      </c>
      <c r="K120" s="32" t="str">
        <f>IF(K$102="","",IF(Config!$U$44&lt;&gt;"Não",SUMIFS(BD!$T$3:$T$5001,BD!$B$3:$B$5001,K$102,BD!$A$3:$A$5001,"&gt;="&amp;$C$7,BD!$A$3:$A$5001,"&lt;="&amp;$D$7),"—"))</f>
        <v>—</v>
      </c>
      <c r="L120" s="32" t="str">
        <f>IF(L$102="","",IF(Config!$U$45&lt;&gt;"Não",SUMIFS(BD!$T$3:$T$5001,BD!$B$3:$B$5001,L$102,BD!$A$3:$A$5001,"&gt;="&amp;$C$7,BD!$A$3:$A$5001,"&lt;="&amp;$D$7),"—"))</f>
        <v/>
      </c>
      <c r="M120" s="32" t="str">
        <f>IF(M$102="","",IF(Config!$U$46&lt;&gt;"Não",SUMIFS(BD!$T$3:$T$5001,BD!$B$3:$B$5001,M$102,BD!$A$3:$A$5001,"&gt;="&amp;$C$7,BD!$A$3:$A$5001,"&lt;="&amp;$D$7),"—"))</f>
        <v/>
      </c>
      <c r="N120" s="32" t="str">
        <f>IF(N$102="","",IF(Config!$U$47&lt;&gt;"Não",SUMIFS(BD!$T$3:$T$5001,BD!$B$3:$B$5001,N$102,BD!$A$3:$A$5001,"&gt;="&amp;$C$7,BD!$A$3:$A$5001,"&lt;="&amp;$D$7),"—"))</f>
        <v/>
      </c>
      <c r="O120" s="32" t="str">
        <f>IF(O$102="","",IF(Config!$U$48&lt;&gt;"Não",SUMIFS(BD!$T$3:$T$5001,BD!$B$3:$B$5001,O$102,BD!$A$3:$A$5001,"&gt;="&amp;$C$7,BD!$A$3:$A$5001,"&lt;="&amp;$D$7),"—"))</f>
        <v/>
      </c>
      <c r="P120" s="32" t="str">
        <f>IF(P$102="","",IF(Config!$U$49&lt;&gt;"Não",SUMIFS(BD!$T$3:$T$5001,BD!$B$3:$B$5001,P$102,BD!$A$3:$A$5001,"&gt;="&amp;$C$7,BD!$A$3:$A$5001,"&lt;="&amp;$D$7),"—"))</f>
        <v/>
      </c>
      <c r="Q120" s="32" t="str">
        <f>IF(Q$102="","",IF(Config!$U$50&lt;&gt;"Não",SUMIFS(BD!$T$3:$T$5001,BD!$B$3:$B$5001,Q$102,BD!$A$3:$A$5001,"&gt;="&amp;$C$7,BD!$A$3:$A$5001,"&lt;="&amp;$D$7),"—"))</f>
        <v/>
      </c>
      <c r="R120" s="32" t="str">
        <f>IF(R$102="","",IF(Config!$U$51&lt;&gt;"Não",SUMIFS(BD!$T$3:$T$5001,BD!$B$3:$B$5001,R$102,BD!$A$3:$A$5001,"&gt;="&amp;$C$7,BD!$A$3:$A$5001,"&lt;="&amp;$D$7),"—"))</f>
        <v/>
      </c>
      <c r="S120" s="32" t="str">
        <f>IF(S$102="","",IF(Config!$U$52&lt;&gt;"Não",SUMIFS(BD!$T$3:$T$5001,BD!$B$3:$B$5001,S$102,BD!$A$3:$A$5001,"&gt;="&amp;$C$7,BD!$A$3:$A$5001,"&lt;="&amp;$D$7),"—"))</f>
        <v/>
      </c>
      <c r="T120" s="32" t="str">
        <f>IF(T$102="","",IF(Config!$U$53&lt;&gt;"Não",SUMIFS(BD!$T$3:$T$5001,BD!$B$3:$B$5001,T$102,BD!$A$3:$A$5001,"&gt;="&amp;$C$7,BD!$A$3:$A$5001,"&lt;="&amp;$D$7),"—"))</f>
        <v/>
      </c>
      <c r="U120" s="32" t="str">
        <f>IF(U$102="","",IF(Config!$U$54&lt;&gt;"Não",SUMIFS(BD!$T$3:$T$5001,BD!$B$3:$B$5001,U$102,BD!$A$3:$A$5001,"&gt;="&amp;$C$7,BD!$A$3:$A$5001,"&lt;="&amp;$D$7),"—"))</f>
        <v/>
      </c>
      <c r="V120" s="62">
        <f>SUM(B120:U120)</f>
        <v>0</v>
      </c>
    </row>
    <row r="121">
      <c r="A121" s="29" t="inlineStr">
        <is>
          <t xml:space="preserve">OUT · Toneladas Movimentadas</t>
        </is>
      </c>
      <c r="B121" s="61" t="str">
        <f>IF(B$102="","",IF(Config!$V$35&lt;&gt;"Não",SUMIFS(BD!$U$3:$U$5001,BD!$B$3:$B$5001,B$102,BD!$A$3:$A$5001,"&gt;="&amp;$C$7,BD!$A$3:$A$5001,"&lt;="&amp;$D$7),"—"))</f>
        <v>—</v>
      </c>
      <c r="C121" s="61">
        <f>IF(C$102="","",IF(Config!$V$36&lt;&gt;"Não",SUMIFS(BD!$U$3:$U$5001,BD!$B$3:$B$5001,C$102,BD!$A$3:$A$5001,"&gt;="&amp;$C$7,BD!$A$3:$A$5001,"&lt;="&amp;$D$7),"—"))</f>
        <v>0</v>
      </c>
      <c r="D121" s="61" t="str">
        <f>IF(D$102="","",IF(Config!$V$37&lt;&gt;"Não",SUMIFS(BD!$U$3:$U$5001,BD!$B$3:$B$5001,D$102,BD!$A$3:$A$5001,"&gt;="&amp;$C$7,BD!$A$3:$A$5001,"&lt;="&amp;$D$7),"—"))</f>
        <v>—</v>
      </c>
      <c r="E121" s="61" t="str">
        <f>IF(E$102="","",IF(Config!$V$38&lt;&gt;"Não",SUMIFS(BD!$U$3:$U$5001,BD!$B$3:$B$5001,E$102,BD!$A$3:$A$5001,"&gt;="&amp;$C$7,BD!$A$3:$A$5001,"&lt;="&amp;$D$7),"—"))</f>
        <v>—</v>
      </c>
      <c r="F121" s="61">
        <f>IF(F$102="","",IF(Config!$V$39&lt;&gt;"Não",SUMIFS(BD!$U$3:$U$5001,BD!$B$3:$B$5001,F$102,BD!$A$3:$A$5001,"&gt;="&amp;$C$7,BD!$A$3:$A$5001,"&lt;="&amp;$D$7),"—"))</f>
        <v>0</v>
      </c>
      <c r="G121" s="61" t="str">
        <f>IF(G$102="","",IF(Config!$V$40&lt;&gt;"Não",SUMIFS(BD!$U$3:$U$5001,BD!$B$3:$B$5001,G$102,BD!$A$3:$A$5001,"&gt;="&amp;$C$7,BD!$A$3:$A$5001,"&lt;="&amp;$D$7),"—"))</f>
        <v>—</v>
      </c>
      <c r="H121" s="61" t="str">
        <f>IF(H$102="","",IF(Config!$V$41&lt;&gt;"Não",SUMIFS(BD!$U$3:$U$5001,BD!$B$3:$B$5001,H$102,BD!$A$3:$A$5001,"&gt;="&amp;$C$7,BD!$A$3:$A$5001,"&lt;="&amp;$D$7),"—"))</f>
        <v>—</v>
      </c>
      <c r="I121" s="61">
        <f>IF(I$102="","",IF(Config!$V$42&lt;&gt;"Não",SUMIFS(BD!$U$3:$U$5001,BD!$B$3:$B$5001,I$102,BD!$A$3:$A$5001,"&gt;="&amp;$C$7,BD!$A$3:$A$5001,"&lt;="&amp;$D$7),"—"))</f>
        <v>0</v>
      </c>
      <c r="J121" s="61" t="str">
        <f>IF(J$102="","",IF(Config!$V$43&lt;&gt;"Não",SUMIFS(BD!$U$3:$U$5001,BD!$B$3:$B$5001,J$102,BD!$A$3:$A$5001,"&gt;="&amp;$C$7,BD!$A$3:$A$5001,"&lt;="&amp;$D$7),"—"))</f>
        <v>—</v>
      </c>
      <c r="K121" s="61" t="str">
        <f>IF(K$102="","",IF(Config!$V$44&lt;&gt;"Não",SUMIFS(BD!$U$3:$U$5001,BD!$B$3:$B$5001,K$102,BD!$A$3:$A$5001,"&gt;="&amp;$C$7,BD!$A$3:$A$5001,"&lt;="&amp;$D$7),"—"))</f>
        <v>—</v>
      </c>
      <c r="L121" s="61" t="str">
        <f>IF(L$102="","",IF(Config!$V$45&lt;&gt;"Não",SUMIFS(BD!$U$3:$U$5001,BD!$B$3:$B$5001,L$102,BD!$A$3:$A$5001,"&gt;="&amp;$C$7,BD!$A$3:$A$5001,"&lt;="&amp;$D$7),"—"))</f>
        <v/>
      </c>
      <c r="M121" s="61" t="str">
        <f>IF(M$102="","",IF(Config!$V$46&lt;&gt;"Não",SUMIFS(BD!$U$3:$U$5001,BD!$B$3:$B$5001,M$102,BD!$A$3:$A$5001,"&gt;="&amp;$C$7,BD!$A$3:$A$5001,"&lt;="&amp;$D$7),"—"))</f>
        <v/>
      </c>
      <c r="N121" s="61" t="str">
        <f>IF(N$102="","",IF(Config!$V$47&lt;&gt;"Não",SUMIFS(BD!$U$3:$U$5001,BD!$B$3:$B$5001,N$102,BD!$A$3:$A$5001,"&gt;="&amp;$C$7,BD!$A$3:$A$5001,"&lt;="&amp;$D$7),"—"))</f>
        <v/>
      </c>
      <c r="O121" s="61" t="str">
        <f>IF(O$102="","",IF(Config!$V$48&lt;&gt;"Não",SUMIFS(BD!$U$3:$U$5001,BD!$B$3:$B$5001,O$102,BD!$A$3:$A$5001,"&gt;="&amp;$C$7,BD!$A$3:$A$5001,"&lt;="&amp;$D$7),"—"))</f>
        <v/>
      </c>
      <c r="P121" s="61" t="str">
        <f>IF(P$102="","",IF(Config!$V$49&lt;&gt;"Não",SUMIFS(BD!$U$3:$U$5001,BD!$B$3:$B$5001,P$102,BD!$A$3:$A$5001,"&gt;="&amp;$C$7,BD!$A$3:$A$5001,"&lt;="&amp;$D$7),"—"))</f>
        <v/>
      </c>
      <c r="Q121" s="61" t="str">
        <f>IF(Q$102="","",IF(Config!$V$50&lt;&gt;"Não",SUMIFS(BD!$U$3:$U$5001,BD!$B$3:$B$5001,Q$102,BD!$A$3:$A$5001,"&gt;="&amp;$C$7,BD!$A$3:$A$5001,"&lt;="&amp;$D$7),"—"))</f>
        <v/>
      </c>
      <c r="R121" s="61" t="str">
        <f>IF(R$102="","",IF(Config!$V$51&lt;&gt;"Não",SUMIFS(BD!$U$3:$U$5001,BD!$B$3:$B$5001,R$102,BD!$A$3:$A$5001,"&gt;="&amp;$C$7,BD!$A$3:$A$5001,"&lt;="&amp;$D$7),"—"))</f>
        <v/>
      </c>
      <c r="S121" s="61" t="str">
        <f>IF(S$102="","",IF(Config!$V$52&lt;&gt;"Não",SUMIFS(BD!$U$3:$U$5001,BD!$B$3:$B$5001,S$102,BD!$A$3:$A$5001,"&gt;="&amp;$C$7,BD!$A$3:$A$5001,"&lt;="&amp;$D$7),"—"))</f>
        <v/>
      </c>
      <c r="T121" s="61" t="str">
        <f>IF(T$102="","",IF(Config!$V$53&lt;&gt;"Não",SUMIFS(BD!$U$3:$U$5001,BD!$B$3:$B$5001,T$102,BD!$A$3:$A$5001,"&gt;="&amp;$C$7,BD!$A$3:$A$5001,"&lt;="&amp;$D$7),"—"))</f>
        <v/>
      </c>
      <c r="U121" s="61" t="str">
        <f>IF(U$102="","",IF(Config!$V$54&lt;&gt;"Não",SUMIFS(BD!$U$3:$U$5001,BD!$B$3:$B$5001,U$102,BD!$A$3:$A$5001,"&gt;="&amp;$C$7,BD!$A$3:$A$5001,"&lt;="&amp;$D$7),"—"))</f>
        <v/>
      </c>
      <c r="V121" s="63">
        <f>SUM(B121:U121)</f>
        <v>0</v>
      </c>
    </row>
    <row r="122">
      <c r="A122" s="29" t="inlineStr">
        <is>
          <t xml:space="preserve">NC · Incidentes</t>
        </is>
      </c>
      <c r="B122" s="32">
        <f>IF(B$102="","",IF(Config!$W$35&lt;&gt;"Não",SUMIFS(BD!$V$3:$V$5001,BD!$B$3:$B$5001,B$102,BD!$A$3:$A$5001,"&gt;="&amp;$C$7,BD!$A$3:$A$5001,"&lt;="&amp;$D$7),"—"))</f>
        <v>0</v>
      </c>
      <c r="C122" s="32">
        <f>IF(C$102="","",IF(Config!$W$36&lt;&gt;"Não",SUMIFS(BD!$V$3:$V$5001,BD!$B$3:$B$5001,C$102,BD!$A$3:$A$5001,"&gt;="&amp;$C$7,BD!$A$3:$A$5001,"&lt;="&amp;$D$7),"—"))</f>
        <v>0</v>
      </c>
      <c r="D122" s="32">
        <f>IF(D$102="","",IF(Config!$W$37&lt;&gt;"Não",SUMIFS(BD!$V$3:$V$5001,BD!$B$3:$B$5001,D$102,BD!$A$3:$A$5001,"&gt;="&amp;$C$7,BD!$A$3:$A$5001,"&lt;="&amp;$D$7),"—"))</f>
        <v>0</v>
      </c>
      <c r="E122" s="32">
        <f>IF(E$102="","",IF(Config!$W$38&lt;&gt;"Não",SUMIFS(BD!$V$3:$V$5001,BD!$B$3:$B$5001,E$102,BD!$A$3:$A$5001,"&gt;="&amp;$C$7,BD!$A$3:$A$5001,"&lt;="&amp;$D$7),"—"))</f>
        <v>0</v>
      </c>
      <c r="F122" s="32">
        <f>IF(F$102="","",IF(Config!$W$39&lt;&gt;"Não",SUMIFS(BD!$V$3:$V$5001,BD!$B$3:$B$5001,F$102,BD!$A$3:$A$5001,"&gt;="&amp;$C$7,BD!$A$3:$A$5001,"&lt;="&amp;$D$7),"—"))</f>
        <v>0</v>
      </c>
      <c r="G122" s="32">
        <f>IF(G$102="","",IF(Config!$W$40&lt;&gt;"Não",SUMIFS(BD!$V$3:$V$5001,BD!$B$3:$B$5001,G$102,BD!$A$3:$A$5001,"&gt;="&amp;$C$7,BD!$A$3:$A$5001,"&lt;="&amp;$D$7),"—"))</f>
        <v>0</v>
      </c>
      <c r="H122" s="32">
        <f>IF(H$102="","",IF(Config!$W$41&lt;&gt;"Não",SUMIFS(BD!$V$3:$V$5001,BD!$B$3:$B$5001,H$102,BD!$A$3:$A$5001,"&gt;="&amp;$C$7,BD!$A$3:$A$5001,"&lt;="&amp;$D$7),"—"))</f>
        <v>0</v>
      </c>
      <c r="I122" s="32">
        <f>IF(I$102="","",IF(Config!$W$42&lt;&gt;"Não",SUMIFS(BD!$V$3:$V$5001,BD!$B$3:$B$5001,I$102,BD!$A$3:$A$5001,"&gt;="&amp;$C$7,BD!$A$3:$A$5001,"&lt;="&amp;$D$7),"—"))</f>
        <v>0</v>
      </c>
      <c r="J122" s="32">
        <f>IF(J$102="","",IF(Config!$W$43&lt;&gt;"Não",SUMIFS(BD!$V$3:$V$5001,BD!$B$3:$B$5001,J$102,BD!$A$3:$A$5001,"&gt;="&amp;$C$7,BD!$A$3:$A$5001,"&lt;="&amp;$D$7),"—"))</f>
        <v>0</v>
      </c>
      <c r="K122" s="32">
        <f>IF(K$102="","",IF(Config!$W$44&lt;&gt;"Não",SUMIFS(BD!$V$3:$V$5001,BD!$B$3:$B$5001,K$102,BD!$A$3:$A$5001,"&gt;="&amp;$C$7,BD!$A$3:$A$5001,"&lt;="&amp;$D$7),"—"))</f>
        <v>0</v>
      </c>
      <c r="L122" s="32" t="str">
        <f>IF(L$102="","",IF(Config!$W$45&lt;&gt;"Não",SUMIFS(BD!$V$3:$V$5001,BD!$B$3:$B$5001,L$102,BD!$A$3:$A$5001,"&gt;="&amp;$C$7,BD!$A$3:$A$5001,"&lt;="&amp;$D$7),"—"))</f>
        <v/>
      </c>
      <c r="M122" s="32" t="str">
        <f>IF(M$102="","",IF(Config!$W$46&lt;&gt;"Não",SUMIFS(BD!$V$3:$V$5001,BD!$B$3:$B$5001,M$102,BD!$A$3:$A$5001,"&gt;="&amp;$C$7,BD!$A$3:$A$5001,"&lt;="&amp;$D$7),"—"))</f>
        <v/>
      </c>
      <c r="N122" s="32" t="str">
        <f>IF(N$102="","",IF(Config!$W$47&lt;&gt;"Não",SUMIFS(BD!$V$3:$V$5001,BD!$B$3:$B$5001,N$102,BD!$A$3:$A$5001,"&gt;="&amp;$C$7,BD!$A$3:$A$5001,"&lt;="&amp;$D$7),"—"))</f>
        <v/>
      </c>
      <c r="O122" s="32" t="str">
        <f>IF(O$102="","",IF(Config!$W$48&lt;&gt;"Não",SUMIFS(BD!$V$3:$V$5001,BD!$B$3:$B$5001,O$102,BD!$A$3:$A$5001,"&gt;="&amp;$C$7,BD!$A$3:$A$5001,"&lt;="&amp;$D$7),"—"))</f>
        <v/>
      </c>
      <c r="P122" s="32" t="str">
        <f>IF(P$102="","",IF(Config!$W$49&lt;&gt;"Não",SUMIFS(BD!$V$3:$V$5001,BD!$B$3:$B$5001,P$102,BD!$A$3:$A$5001,"&gt;="&amp;$C$7,BD!$A$3:$A$5001,"&lt;="&amp;$D$7),"—"))</f>
        <v/>
      </c>
      <c r="Q122" s="32" t="str">
        <f>IF(Q$102="","",IF(Config!$W$50&lt;&gt;"Não",SUMIFS(BD!$V$3:$V$5001,BD!$B$3:$B$5001,Q$102,BD!$A$3:$A$5001,"&gt;="&amp;$C$7,BD!$A$3:$A$5001,"&lt;="&amp;$D$7),"—"))</f>
        <v/>
      </c>
      <c r="R122" s="32" t="str">
        <f>IF(R$102="","",IF(Config!$W$51&lt;&gt;"Não",SUMIFS(BD!$V$3:$V$5001,BD!$B$3:$B$5001,R$102,BD!$A$3:$A$5001,"&gt;="&amp;$C$7,BD!$A$3:$A$5001,"&lt;="&amp;$D$7),"—"))</f>
        <v/>
      </c>
      <c r="S122" s="32" t="str">
        <f>IF(S$102="","",IF(Config!$W$52&lt;&gt;"Não",SUMIFS(BD!$V$3:$V$5001,BD!$B$3:$B$5001,S$102,BD!$A$3:$A$5001,"&gt;="&amp;$C$7,BD!$A$3:$A$5001,"&lt;="&amp;$D$7),"—"))</f>
        <v/>
      </c>
      <c r="T122" s="32" t="str">
        <f>IF(T$102="","",IF(Config!$W$53&lt;&gt;"Não",SUMIFS(BD!$V$3:$V$5001,BD!$B$3:$B$5001,T$102,BD!$A$3:$A$5001,"&gt;="&amp;$C$7,BD!$A$3:$A$5001,"&lt;="&amp;$D$7),"—"))</f>
        <v/>
      </c>
      <c r="U122" s="32" t="str">
        <f>IF(U$102="","",IF(Config!$W$54&lt;&gt;"Não",SUMIFS(BD!$V$3:$V$5001,BD!$B$3:$B$5001,U$102,BD!$A$3:$A$5001,"&gt;="&amp;$C$7,BD!$A$3:$A$5001,"&lt;="&amp;$D$7),"—"))</f>
        <v/>
      </c>
      <c r="V122" s="62">
        <f>SUM(B122:U122)</f>
        <v>0</v>
      </c>
    </row>
    <row r="123">
      <c r="A123" s="29" t="inlineStr">
        <is>
          <t xml:space="preserve">NC · No show</t>
        </is>
      </c>
      <c r="B123" s="32">
        <f>IF(B$102="","",IF(Config!$X$35&lt;&gt;"Não",SUMIFS(BD!$W$3:$W$5001,BD!$B$3:$B$5001,B$102,BD!$A$3:$A$5001,"&gt;="&amp;$C$7,BD!$A$3:$A$5001,"&lt;="&amp;$D$7),"—"))</f>
        <v>0</v>
      </c>
      <c r="C123" s="32">
        <f>IF(C$102="","",IF(Config!$X$36&lt;&gt;"Não",SUMIFS(BD!$W$3:$W$5001,BD!$B$3:$B$5001,C$102,BD!$A$3:$A$5001,"&gt;="&amp;$C$7,BD!$A$3:$A$5001,"&lt;="&amp;$D$7),"—"))</f>
        <v>0</v>
      </c>
      <c r="D123" s="32">
        <f>IF(D$102="","",IF(Config!$X$37&lt;&gt;"Não",SUMIFS(BD!$W$3:$W$5001,BD!$B$3:$B$5001,D$102,BD!$A$3:$A$5001,"&gt;="&amp;$C$7,BD!$A$3:$A$5001,"&lt;="&amp;$D$7),"—"))</f>
        <v>0</v>
      </c>
      <c r="E123" s="32">
        <f>IF(E$102="","",IF(Config!$X$38&lt;&gt;"Não",SUMIFS(BD!$W$3:$W$5001,BD!$B$3:$B$5001,E$102,BD!$A$3:$A$5001,"&gt;="&amp;$C$7,BD!$A$3:$A$5001,"&lt;="&amp;$D$7),"—"))</f>
        <v>0</v>
      </c>
      <c r="F123" s="32">
        <f>IF(F$102="","",IF(Config!$X$39&lt;&gt;"Não",SUMIFS(BD!$W$3:$W$5001,BD!$B$3:$B$5001,F$102,BD!$A$3:$A$5001,"&gt;="&amp;$C$7,BD!$A$3:$A$5001,"&lt;="&amp;$D$7),"—"))</f>
        <v>0</v>
      </c>
      <c r="G123" s="32">
        <f>IF(G$102="","",IF(Config!$X$40&lt;&gt;"Não",SUMIFS(BD!$W$3:$W$5001,BD!$B$3:$B$5001,G$102,BD!$A$3:$A$5001,"&gt;="&amp;$C$7,BD!$A$3:$A$5001,"&lt;="&amp;$D$7),"—"))</f>
        <v>0</v>
      </c>
      <c r="H123" s="32">
        <f>IF(H$102="","",IF(Config!$X$41&lt;&gt;"Não",SUMIFS(BD!$W$3:$W$5001,BD!$B$3:$B$5001,H$102,BD!$A$3:$A$5001,"&gt;="&amp;$C$7,BD!$A$3:$A$5001,"&lt;="&amp;$D$7),"—"))</f>
        <v>0</v>
      </c>
      <c r="I123" s="32">
        <f>IF(I$102="","",IF(Config!$X$42&lt;&gt;"Não",SUMIFS(BD!$W$3:$W$5001,BD!$B$3:$B$5001,I$102,BD!$A$3:$A$5001,"&gt;="&amp;$C$7,BD!$A$3:$A$5001,"&lt;="&amp;$D$7),"—"))</f>
        <v>0</v>
      </c>
      <c r="J123" s="32">
        <f>IF(J$102="","",IF(Config!$X$43&lt;&gt;"Não",SUMIFS(BD!$W$3:$W$5001,BD!$B$3:$B$5001,J$102,BD!$A$3:$A$5001,"&gt;="&amp;$C$7,BD!$A$3:$A$5001,"&lt;="&amp;$D$7),"—"))</f>
        <v>0</v>
      </c>
      <c r="K123" s="32">
        <f>IF(K$102="","",IF(Config!$X$44&lt;&gt;"Não",SUMIFS(BD!$W$3:$W$5001,BD!$B$3:$B$5001,K$102,BD!$A$3:$A$5001,"&gt;="&amp;$C$7,BD!$A$3:$A$5001,"&lt;="&amp;$D$7),"—"))</f>
        <v>0</v>
      </c>
      <c r="L123" s="32" t="str">
        <f>IF(L$102="","",IF(Config!$X$45&lt;&gt;"Não",SUMIFS(BD!$W$3:$W$5001,BD!$B$3:$B$5001,L$102,BD!$A$3:$A$5001,"&gt;="&amp;$C$7,BD!$A$3:$A$5001,"&lt;="&amp;$D$7),"—"))</f>
        <v/>
      </c>
      <c r="M123" s="32" t="str">
        <f>IF(M$102="","",IF(Config!$X$46&lt;&gt;"Não",SUMIFS(BD!$W$3:$W$5001,BD!$B$3:$B$5001,M$102,BD!$A$3:$A$5001,"&gt;="&amp;$C$7,BD!$A$3:$A$5001,"&lt;="&amp;$D$7),"—"))</f>
        <v/>
      </c>
      <c r="N123" s="32" t="str">
        <f>IF(N$102="","",IF(Config!$X$47&lt;&gt;"Não",SUMIFS(BD!$W$3:$W$5001,BD!$B$3:$B$5001,N$102,BD!$A$3:$A$5001,"&gt;="&amp;$C$7,BD!$A$3:$A$5001,"&lt;="&amp;$D$7),"—"))</f>
        <v/>
      </c>
      <c r="O123" s="32" t="str">
        <f>IF(O$102="","",IF(Config!$X$48&lt;&gt;"Não",SUMIFS(BD!$W$3:$W$5001,BD!$B$3:$B$5001,O$102,BD!$A$3:$A$5001,"&gt;="&amp;$C$7,BD!$A$3:$A$5001,"&lt;="&amp;$D$7),"—"))</f>
        <v/>
      </c>
      <c r="P123" s="32" t="str">
        <f>IF(P$102="","",IF(Config!$X$49&lt;&gt;"Não",SUMIFS(BD!$W$3:$W$5001,BD!$B$3:$B$5001,P$102,BD!$A$3:$A$5001,"&gt;="&amp;$C$7,BD!$A$3:$A$5001,"&lt;="&amp;$D$7),"—"))</f>
        <v/>
      </c>
      <c r="Q123" s="32" t="str">
        <f>IF(Q$102="","",IF(Config!$X$50&lt;&gt;"Não",SUMIFS(BD!$W$3:$W$5001,BD!$B$3:$B$5001,Q$102,BD!$A$3:$A$5001,"&gt;="&amp;$C$7,BD!$A$3:$A$5001,"&lt;="&amp;$D$7),"—"))</f>
        <v/>
      </c>
      <c r="R123" s="32" t="str">
        <f>IF(R$102="","",IF(Config!$X$51&lt;&gt;"Não",SUMIFS(BD!$W$3:$W$5001,BD!$B$3:$B$5001,R$102,BD!$A$3:$A$5001,"&gt;="&amp;$C$7,BD!$A$3:$A$5001,"&lt;="&amp;$D$7),"—"))</f>
        <v/>
      </c>
      <c r="S123" s="32" t="str">
        <f>IF(S$102="","",IF(Config!$X$52&lt;&gt;"Não",SUMIFS(BD!$W$3:$W$5001,BD!$B$3:$B$5001,S$102,BD!$A$3:$A$5001,"&gt;="&amp;$C$7,BD!$A$3:$A$5001,"&lt;="&amp;$D$7),"—"))</f>
        <v/>
      </c>
      <c r="T123" s="32" t="str">
        <f>IF(T$102="","",IF(Config!$X$53&lt;&gt;"Não",SUMIFS(BD!$W$3:$W$5001,BD!$B$3:$B$5001,T$102,BD!$A$3:$A$5001,"&gt;="&amp;$C$7,BD!$A$3:$A$5001,"&lt;="&amp;$D$7),"—"))</f>
        <v/>
      </c>
      <c r="U123" s="32" t="str">
        <f>IF(U$102="","",IF(Config!$X$54&lt;&gt;"Não",SUMIFS(BD!$W$3:$W$5001,BD!$B$3:$B$5001,U$102,BD!$A$3:$A$5001,"&gt;="&amp;$C$7,BD!$A$3:$A$5001,"&lt;="&amp;$D$7),"—"))</f>
        <v/>
      </c>
      <c r="V123" s="62">
        <f>SUM(B123:U123)</f>
        <v>0</v>
      </c>
    </row>
    <row r="124">
      <c r="A124" s="29" t="inlineStr">
        <is>
          <t xml:space="preserve">NC · Backlog</t>
        </is>
      </c>
      <c r="B124" s="32" t="str">
        <f>IF(B$102="","",IF(Config!$Y$35&lt;&gt;"Não",IF(COUNTIFS(BD!$B$3:$B$5001,B$102,BD!$A$3:$A$5001,"&gt;="&amp;$C$7,BD!$A$3:$A$5001,"&lt;="&amp;$D$7,BD!$X$3:$X$5001,"&lt;&gt;")=0,"",SUMIFS(BD!$X$3:$X$5001,BD!$B$3:$B$5001,B$102,BD!$A$3:$A$5001,_xlfn.MAXIFS(BD!$A$3:$A$5001,BD!$B$3:$B$5001,B$102,BD!$A$3:$A$5001,"&gt;="&amp;$C$7,BD!$A$3:$A$5001,"&lt;="&amp;$D$7,BD!$X$3:$X$5001,"&lt;&gt;"))),"—"))</f>
        <v/>
      </c>
      <c r="C124" s="32" t="str">
        <f>IF(C$102="","",IF(Config!$Y$36&lt;&gt;"Não",IF(COUNTIFS(BD!$B$3:$B$5001,C$102,BD!$A$3:$A$5001,"&gt;="&amp;$C$7,BD!$A$3:$A$5001,"&lt;="&amp;$D$7,BD!$X$3:$X$5001,"&lt;&gt;")=0,"",SUMIFS(BD!$X$3:$X$5001,BD!$B$3:$B$5001,C$102,BD!$A$3:$A$5001,_xlfn.MAXIFS(BD!$A$3:$A$5001,BD!$B$3:$B$5001,C$102,BD!$A$3:$A$5001,"&gt;="&amp;$C$7,BD!$A$3:$A$5001,"&lt;="&amp;$D$7,BD!$X$3:$X$5001,"&lt;&gt;"))),"—"))</f>
        <v/>
      </c>
      <c r="D124" s="32" t="str">
        <f>IF(D$102="","",IF(Config!$Y$37&lt;&gt;"Não",IF(COUNTIFS(BD!$B$3:$B$5001,D$102,BD!$A$3:$A$5001,"&gt;="&amp;$C$7,BD!$A$3:$A$5001,"&lt;="&amp;$D$7,BD!$X$3:$X$5001,"&lt;&gt;")=0,"",SUMIFS(BD!$X$3:$X$5001,BD!$B$3:$B$5001,D$102,BD!$A$3:$A$5001,_xlfn.MAXIFS(BD!$A$3:$A$5001,BD!$B$3:$B$5001,D$102,BD!$A$3:$A$5001,"&gt;="&amp;$C$7,BD!$A$3:$A$5001,"&lt;="&amp;$D$7,BD!$X$3:$X$5001,"&lt;&gt;"))),"—"))</f>
        <v/>
      </c>
      <c r="E124" s="32" t="str">
        <f>IF(E$102="","",IF(Config!$Y$38&lt;&gt;"Não",IF(COUNTIFS(BD!$B$3:$B$5001,E$102,BD!$A$3:$A$5001,"&gt;="&amp;$C$7,BD!$A$3:$A$5001,"&lt;="&amp;$D$7,BD!$X$3:$X$5001,"&lt;&gt;")=0,"",SUMIFS(BD!$X$3:$X$5001,BD!$B$3:$B$5001,E$102,BD!$A$3:$A$5001,_xlfn.MAXIFS(BD!$A$3:$A$5001,BD!$B$3:$B$5001,E$102,BD!$A$3:$A$5001,"&gt;="&amp;$C$7,BD!$A$3:$A$5001,"&lt;="&amp;$D$7,BD!$X$3:$X$5001,"&lt;&gt;"))),"—"))</f>
        <v/>
      </c>
      <c r="F124" s="32" t="str">
        <f>IF(F$102="","",IF(Config!$Y$39&lt;&gt;"Não",IF(COUNTIFS(BD!$B$3:$B$5001,F$102,BD!$A$3:$A$5001,"&gt;="&amp;$C$7,BD!$A$3:$A$5001,"&lt;="&amp;$D$7,BD!$X$3:$X$5001,"&lt;&gt;")=0,"",SUMIFS(BD!$X$3:$X$5001,BD!$B$3:$B$5001,F$102,BD!$A$3:$A$5001,_xlfn.MAXIFS(BD!$A$3:$A$5001,BD!$B$3:$B$5001,F$102,BD!$A$3:$A$5001,"&gt;="&amp;$C$7,BD!$A$3:$A$5001,"&lt;="&amp;$D$7,BD!$X$3:$X$5001,"&lt;&gt;"))),"—"))</f>
        <v/>
      </c>
      <c r="G124" s="32" t="str">
        <f>IF(G$102="","",IF(Config!$Y$40&lt;&gt;"Não",IF(COUNTIFS(BD!$B$3:$B$5001,G$102,BD!$A$3:$A$5001,"&gt;="&amp;$C$7,BD!$A$3:$A$5001,"&lt;="&amp;$D$7,BD!$X$3:$X$5001,"&lt;&gt;")=0,"",SUMIFS(BD!$X$3:$X$5001,BD!$B$3:$B$5001,G$102,BD!$A$3:$A$5001,_xlfn.MAXIFS(BD!$A$3:$A$5001,BD!$B$3:$B$5001,G$102,BD!$A$3:$A$5001,"&gt;="&amp;$C$7,BD!$A$3:$A$5001,"&lt;="&amp;$D$7,BD!$X$3:$X$5001,"&lt;&gt;"))),"—"))</f>
        <v/>
      </c>
      <c r="H124" s="32" t="str">
        <f>IF(H$102="","",IF(Config!$Y$41&lt;&gt;"Não",IF(COUNTIFS(BD!$B$3:$B$5001,H$102,BD!$A$3:$A$5001,"&gt;="&amp;$C$7,BD!$A$3:$A$5001,"&lt;="&amp;$D$7,BD!$X$3:$X$5001,"&lt;&gt;")=0,"",SUMIFS(BD!$X$3:$X$5001,BD!$B$3:$B$5001,H$102,BD!$A$3:$A$5001,_xlfn.MAXIFS(BD!$A$3:$A$5001,BD!$B$3:$B$5001,H$102,BD!$A$3:$A$5001,"&gt;="&amp;$C$7,BD!$A$3:$A$5001,"&lt;="&amp;$D$7,BD!$X$3:$X$5001,"&lt;&gt;"))),"—"))</f>
        <v/>
      </c>
      <c r="I124" s="32" t="str">
        <f>IF(I$102="","",IF(Config!$Y$42&lt;&gt;"Não",IF(COUNTIFS(BD!$B$3:$B$5001,I$102,BD!$A$3:$A$5001,"&gt;="&amp;$C$7,BD!$A$3:$A$5001,"&lt;="&amp;$D$7,BD!$X$3:$X$5001,"&lt;&gt;")=0,"",SUMIFS(BD!$X$3:$X$5001,BD!$B$3:$B$5001,I$102,BD!$A$3:$A$5001,_xlfn.MAXIFS(BD!$A$3:$A$5001,BD!$B$3:$B$5001,I$102,BD!$A$3:$A$5001,"&gt;="&amp;$C$7,BD!$A$3:$A$5001,"&lt;="&amp;$D$7,BD!$X$3:$X$5001,"&lt;&gt;"))),"—"))</f>
        <v/>
      </c>
      <c r="J124" s="32" t="str">
        <f>IF(J$102="","",IF(Config!$Y$43&lt;&gt;"Não",IF(COUNTIFS(BD!$B$3:$B$5001,J$102,BD!$A$3:$A$5001,"&gt;="&amp;$C$7,BD!$A$3:$A$5001,"&lt;="&amp;$D$7,BD!$X$3:$X$5001,"&lt;&gt;")=0,"",SUMIFS(BD!$X$3:$X$5001,BD!$B$3:$B$5001,J$102,BD!$A$3:$A$5001,_xlfn.MAXIFS(BD!$A$3:$A$5001,BD!$B$3:$B$5001,J$102,BD!$A$3:$A$5001,"&gt;="&amp;$C$7,BD!$A$3:$A$5001,"&lt;="&amp;$D$7,BD!$X$3:$X$5001,"&lt;&gt;"))),"—"))</f>
        <v/>
      </c>
      <c r="K124" s="32" t="str">
        <f>IF(K$102="","",IF(Config!$Y$44&lt;&gt;"Não",IF(COUNTIFS(BD!$B$3:$B$5001,K$102,BD!$A$3:$A$5001,"&gt;="&amp;$C$7,BD!$A$3:$A$5001,"&lt;="&amp;$D$7,BD!$X$3:$X$5001,"&lt;&gt;")=0,"",SUMIFS(BD!$X$3:$X$5001,BD!$B$3:$B$5001,K$102,BD!$A$3:$A$5001,_xlfn.MAXIFS(BD!$A$3:$A$5001,BD!$B$3:$B$5001,K$102,BD!$A$3:$A$5001,"&gt;="&amp;$C$7,BD!$A$3:$A$5001,"&lt;="&amp;$D$7,BD!$X$3:$X$5001,"&lt;&gt;"))),"—"))</f>
        <v/>
      </c>
      <c r="L124" s="32" t="str">
        <f>IF(L$102="","",IF(Config!$Y$45&lt;&gt;"Não",IF(COUNTIFS(BD!$B$3:$B$5001,L$102,BD!$A$3:$A$5001,"&gt;="&amp;$C$7,BD!$A$3:$A$5001,"&lt;="&amp;$D$7,BD!$X$3:$X$5001,"&lt;&gt;")=0,"",SUMIFS(BD!$X$3:$X$5001,BD!$B$3:$B$5001,L$102,BD!$A$3:$A$5001,_xlfn.MAXIFS(BD!$A$3:$A$5001,BD!$B$3:$B$5001,L$102,BD!$A$3:$A$5001,"&gt;="&amp;$C$7,BD!$A$3:$A$5001,"&lt;="&amp;$D$7,BD!$X$3:$X$5001,"&lt;&gt;"))),"—"))</f>
        <v/>
      </c>
      <c r="M124" s="32" t="str">
        <f>IF(M$102="","",IF(Config!$Y$46&lt;&gt;"Não",IF(COUNTIFS(BD!$B$3:$B$5001,M$102,BD!$A$3:$A$5001,"&gt;="&amp;$C$7,BD!$A$3:$A$5001,"&lt;="&amp;$D$7,BD!$X$3:$X$5001,"&lt;&gt;")=0,"",SUMIFS(BD!$X$3:$X$5001,BD!$B$3:$B$5001,M$102,BD!$A$3:$A$5001,_xlfn.MAXIFS(BD!$A$3:$A$5001,BD!$B$3:$B$5001,M$102,BD!$A$3:$A$5001,"&gt;="&amp;$C$7,BD!$A$3:$A$5001,"&lt;="&amp;$D$7,BD!$X$3:$X$5001,"&lt;&gt;"))),"—"))</f>
        <v/>
      </c>
      <c r="N124" s="32" t="str">
        <f>IF(N$102="","",IF(Config!$Y$47&lt;&gt;"Não",IF(COUNTIFS(BD!$B$3:$B$5001,N$102,BD!$A$3:$A$5001,"&gt;="&amp;$C$7,BD!$A$3:$A$5001,"&lt;="&amp;$D$7,BD!$X$3:$X$5001,"&lt;&gt;")=0,"",SUMIFS(BD!$X$3:$X$5001,BD!$B$3:$B$5001,N$102,BD!$A$3:$A$5001,_xlfn.MAXIFS(BD!$A$3:$A$5001,BD!$B$3:$B$5001,N$102,BD!$A$3:$A$5001,"&gt;="&amp;$C$7,BD!$A$3:$A$5001,"&lt;="&amp;$D$7,BD!$X$3:$X$5001,"&lt;&gt;"))),"—"))</f>
        <v/>
      </c>
      <c r="O124" s="32" t="str">
        <f>IF(O$102="","",IF(Config!$Y$48&lt;&gt;"Não",IF(COUNTIFS(BD!$B$3:$B$5001,O$102,BD!$A$3:$A$5001,"&gt;="&amp;$C$7,BD!$A$3:$A$5001,"&lt;="&amp;$D$7,BD!$X$3:$X$5001,"&lt;&gt;")=0,"",SUMIFS(BD!$X$3:$X$5001,BD!$B$3:$B$5001,O$102,BD!$A$3:$A$5001,_xlfn.MAXIFS(BD!$A$3:$A$5001,BD!$B$3:$B$5001,O$102,BD!$A$3:$A$5001,"&gt;="&amp;$C$7,BD!$A$3:$A$5001,"&lt;="&amp;$D$7,BD!$X$3:$X$5001,"&lt;&gt;"))),"—"))</f>
        <v/>
      </c>
      <c r="P124" s="32" t="str">
        <f>IF(P$102="","",IF(Config!$Y$49&lt;&gt;"Não",IF(COUNTIFS(BD!$B$3:$B$5001,P$102,BD!$A$3:$A$5001,"&gt;="&amp;$C$7,BD!$A$3:$A$5001,"&lt;="&amp;$D$7,BD!$X$3:$X$5001,"&lt;&gt;")=0,"",SUMIFS(BD!$X$3:$X$5001,BD!$B$3:$B$5001,P$102,BD!$A$3:$A$5001,_xlfn.MAXIFS(BD!$A$3:$A$5001,BD!$B$3:$B$5001,P$102,BD!$A$3:$A$5001,"&gt;="&amp;$C$7,BD!$A$3:$A$5001,"&lt;="&amp;$D$7,BD!$X$3:$X$5001,"&lt;&gt;"))),"—"))</f>
        <v/>
      </c>
      <c r="Q124" s="32" t="str">
        <f>IF(Q$102="","",IF(Config!$Y$50&lt;&gt;"Não",IF(COUNTIFS(BD!$B$3:$B$5001,Q$102,BD!$A$3:$A$5001,"&gt;="&amp;$C$7,BD!$A$3:$A$5001,"&lt;="&amp;$D$7,BD!$X$3:$X$5001,"&lt;&gt;")=0,"",SUMIFS(BD!$X$3:$X$5001,BD!$B$3:$B$5001,Q$102,BD!$A$3:$A$5001,_xlfn.MAXIFS(BD!$A$3:$A$5001,BD!$B$3:$B$5001,Q$102,BD!$A$3:$A$5001,"&gt;="&amp;$C$7,BD!$A$3:$A$5001,"&lt;="&amp;$D$7,BD!$X$3:$X$5001,"&lt;&gt;"))),"—"))</f>
        <v/>
      </c>
      <c r="R124" s="32" t="str">
        <f>IF(R$102="","",IF(Config!$Y$51&lt;&gt;"Não",IF(COUNTIFS(BD!$B$3:$B$5001,R$102,BD!$A$3:$A$5001,"&gt;="&amp;$C$7,BD!$A$3:$A$5001,"&lt;="&amp;$D$7,BD!$X$3:$X$5001,"&lt;&gt;")=0,"",SUMIFS(BD!$X$3:$X$5001,BD!$B$3:$B$5001,R$102,BD!$A$3:$A$5001,_xlfn.MAXIFS(BD!$A$3:$A$5001,BD!$B$3:$B$5001,R$102,BD!$A$3:$A$5001,"&gt;="&amp;$C$7,BD!$A$3:$A$5001,"&lt;="&amp;$D$7,BD!$X$3:$X$5001,"&lt;&gt;"))),"—"))</f>
        <v/>
      </c>
      <c r="S124" s="32" t="str">
        <f>IF(S$102="","",IF(Config!$Y$52&lt;&gt;"Não",IF(COUNTIFS(BD!$B$3:$B$5001,S$102,BD!$A$3:$A$5001,"&gt;="&amp;$C$7,BD!$A$3:$A$5001,"&lt;="&amp;$D$7,BD!$X$3:$X$5001,"&lt;&gt;")=0,"",SUMIFS(BD!$X$3:$X$5001,BD!$B$3:$B$5001,S$102,BD!$A$3:$A$5001,_xlfn.MAXIFS(BD!$A$3:$A$5001,BD!$B$3:$B$5001,S$102,BD!$A$3:$A$5001,"&gt;="&amp;$C$7,BD!$A$3:$A$5001,"&lt;="&amp;$D$7,BD!$X$3:$X$5001,"&lt;&gt;"))),"—"))</f>
        <v/>
      </c>
      <c r="T124" s="32" t="str">
        <f>IF(T$102="","",IF(Config!$Y$53&lt;&gt;"Não",IF(COUNTIFS(BD!$B$3:$B$5001,T$102,BD!$A$3:$A$5001,"&gt;="&amp;$C$7,BD!$A$3:$A$5001,"&lt;="&amp;$D$7,BD!$X$3:$X$5001,"&lt;&gt;")=0,"",SUMIFS(BD!$X$3:$X$5001,BD!$B$3:$B$5001,T$102,BD!$A$3:$A$5001,_xlfn.MAXIFS(BD!$A$3:$A$5001,BD!$B$3:$B$5001,T$102,BD!$A$3:$A$5001,"&gt;="&amp;$C$7,BD!$A$3:$A$5001,"&lt;="&amp;$D$7,BD!$X$3:$X$5001,"&lt;&gt;"))),"—"))</f>
        <v/>
      </c>
      <c r="U124" s="32" t="str">
        <f>IF(U$102="","",IF(Config!$Y$54&lt;&gt;"Não",IF(COUNTIFS(BD!$B$3:$B$5001,U$102,BD!$A$3:$A$5001,"&gt;="&amp;$C$7,BD!$A$3:$A$5001,"&lt;="&amp;$D$7,BD!$X$3:$X$5001,"&lt;&gt;")=0,"",SUMIFS(BD!$X$3:$X$5001,BD!$B$3:$B$5001,U$102,BD!$A$3:$A$5001,_xlfn.MAXIFS(BD!$A$3:$A$5001,BD!$B$3:$B$5001,U$102,BD!$A$3:$A$5001,"&gt;="&amp;$C$7,BD!$A$3:$A$5001,"&lt;="&amp;$D$7,BD!$X$3:$X$5001,"&lt;&gt;"))),"—"))</f>
        <v/>
      </c>
      <c r="V124" s="62">
        <f>SUM(B124:U124)</f>
        <v>0</v>
      </c>
    </row>
    <row r="125">
      <c r="A125" s="29" t="inlineStr">
        <is>
          <t xml:space="preserve">OCUPAÇÃO (P.P) · Posições Disponíveis</t>
        </is>
      </c>
      <c r="B125" s="32" t="str">
        <f>IF(B$102="","",IF(Config!$Z$35&lt;&gt;"Não",IF(N(IF(COUNTIFS(BD!$B$3:$B$5001,B$102,BD!$A$3:$A$5001,"&gt;="&amp;$C$7,BD!$A$3:$A$5001,"&lt;="&amp;$D$7,BD!$Z$3:$Z$5001,"&lt;&gt;")=0,"",SUMIFS(BD!$Y$3:$Y$5001,BD!$B$3:$B$5001,B$102,BD!$A$3:$A$5001,_xlfn.MAXIFS(BD!$A$3:$A$5001,BD!$B$3:$B$5001,B$102,BD!$A$3:$A$5001,"&gt;="&amp;$C$7,BD!$A$3:$A$5001,"&lt;="&amp;$D$7,BD!$Z$3:$Z$5001,"&lt;&gt;"))))=0,"",IF(COUNTIFS(BD!$B$3:$B$5001,B$102,BD!$A$3:$A$5001,"&gt;="&amp;$C$7,BD!$A$3:$A$5001,"&lt;="&amp;$D$7,BD!$Z$3:$Z$5001,"&lt;&gt;")=0,"",SUMIFS(BD!$Y$3:$Y$5001,BD!$B$3:$B$5001,B$102,BD!$A$3:$A$5001,_xlfn.MAXIFS(BD!$A$3:$A$5001,BD!$B$3:$B$5001,B$102,BD!$A$3:$A$5001,"&gt;="&amp;$C$7,BD!$A$3:$A$5001,"&lt;="&amp;$D$7,BD!$Z$3:$Z$5001,"&lt;&gt;")))),"—"))</f>
        <v/>
      </c>
      <c r="C125" s="32" t="str">
        <f>IF(C$102="","",IF(Config!$Z$36&lt;&gt;"Não",IF(N(IF(COUNTIFS(BD!$B$3:$B$5001,C$102,BD!$A$3:$A$5001,"&gt;="&amp;$C$7,BD!$A$3:$A$5001,"&lt;="&amp;$D$7,BD!$Z$3:$Z$5001,"&lt;&gt;")=0,"",SUMIFS(BD!$Y$3:$Y$5001,BD!$B$3:$B$5001,C$102,BD!$A$3:$A$5001,_xlfn.MAXIFS(BD!$A$3:$A$5001,BD!$B$3:$B$5001,C$102,BD!$A$3:$A$5001,"&gt;="&amp;$C$7,BD!$A$3:$A$5001,"&lt;="&amp;$D$7,BD!$Z$3:$Z$5001,"&lt;&gt;"))))=0,"",IF(COUNTIFS(BD!$B$3:$B$5001,C$102,BD!$A$3:$A$5001,"&gt;="&amp;$C$7,BD!$A$3:$A$5001,"&lt;="&amp;$D$7,BD!$Z$3:$Z$5001,"&lt;&gt;")=0,"",SUMIFS(BD!$Y$3:$Y$5001,BD!$B$3:$B$5001,C$102,BD!$A$3:$A$5001,_xlfn.MAXIFS(BD!$A$3:$A$5001,BD!$B$3:$B$5001,C$102,BD!$A$3:$A$5001,"&gt;="&amp;$C$7,BD!$A$3:$A$5001,"&lt;="&amp;$D$7,BD!$Z$3:$Z$5001,"&lt;&gt;")))),"—"))</f>
        <v/>
      </c>
      <c r="D125" s="32" t="str">
        <f>IF(D$102="","",IF(Config!$Z$37&lt;&gt;"Não",IF(N(IF(COUNTIFS(BD!$B$3:$B$5001,D$102,BD!$A$3:$A$5001,"&gt;="&amp;$C$7,BD!$A$3:$A$5001,"&lt;="&amp;$D$7,BD!$Z$3:$Z$5001,"&lt;&gt;")=0,"",SUMIFS(BD!$Y$3:$Y$5001,BD!$B$3:$B$5001,D$102,BD!$A$3:$A$5001,_xlfn.MAXIFS(BD!$A$3:$A$5001,BD!$B$3:$B$5001,D$102,BD!$A$3:$A$5001,"&gt;="&amp;$C$7,BD!$A$3:$A$5001,"&lt;="&amp;$D$7,BD!$Z$3:$Z$5001,"&lt;&gt;"))))=0,"",IF(COUNTIFS(BD!$B$3:$B$5001,D$102,BD!$A$3:$A$5001,"&gt;="&amp;$C$7,BD!$A$3:$A$5001,"&lt;="&amp;$D$7,BD!$Z$3:$Z$5001,"&lt;&gt;")=0,"",SUMIFS(BD!$Y$3:$Y$5001,BD!$B$3:$B$5001,D$102,BD!$A$3:$A$5001,_xlfn.MAXIFS(BD!$A$3:$A$5001,BD!$B$3:$B$5001,D$102,BD!$A$3:$A$5001,"&gt;="&amp;$C$7,BD!$A$3:$A$5001,"&lt;="&amp;$D$7,BD!$Z$3:$Z$5001,"&lt;&gt;")))),"—"))</f>
        <v/>
      </c>
      <c r="E125" s="32" t="str">
        <f>IF(E$102="","",IF(Config!$Z$38&lt;&gt;"Não",IF(N(IF(COUNTIFS(BD!$B$3:$B$5001,E$102,BD!$A$3:$A$5001,"&gt;="&amp;$C$7,BD!$A$3:$A$5001,"&lt;="&amp;$D$7,BD!$Z$3:$Z$5001,"&lt;&gt;")=0,"",SUMIFS(BD!$Y$3:$Y$5001,BD!$B$3:$B$5001,E$102,BD!$A$3:$A$5001,_xlfn.MAXIFS(BD!$A$3:$A$5001,BD!$B$3:$B$5001,E$102,BD!$A$3:$A$5001,"&gt;="&amp;$C$7,BD!$A$3:$A$5001,"&lt;="&amp;$D$7,BD!$Z$3:$Z$5001,"&lt;&gt;"))))=0,"",IF(COUNTIFS(BD!$B$3:$B$5001,E$102,BD!$A$3:$A$5001,"&gt;="&amp;$C$7,BD!$A$3:$A$5001,"&lt;="&amp;$D$7,BD!$Z$3:$Z$5001,"&lt;&gt;")=0,"",SUMIFS(BD!$Y$3:$Y$5001,BD!$B$3:$B$5001,E$102,BD!$A$3:$A$5001,_xlfn.MAXIFS(BD!$A$3:$A$5001,BD!$B$3:$B$5001,E$102,BD!$A$3:$A$5001,"&gt;="&amp;$C$7,BD!$A$3:$A$5001,"&lt;="&amp;$D$7,BD!$Z$3:$Z$5001,"&lt;&gt;")))),"—"))</f>
        <v/>
      </c>
      <c r="F125" s="32" t="str">
        <f>IF(F$102="","",IF(Config!$Z$39&lt;&gt;"Não",IF(N(IF(COUNTIFS(BD!$B$3:$B$5001,F$102,BD!$A$3:$A$5001,"&gt;="&amp;$C$7,BD!$A$3:$A$5001,"&lt;="&amp;$D$7,BD!$Z$3:$Z$5001,"&lt;&gt;")=0,"",SUMIFS(BD!$Y$3:$Y$5001,BD!$B$3:$B$5001,F$102,BD!$A$3:$A$5001,_xlfn.MAXIFS(BD!$A$3:$A$5001,BD!$B$3:$B$5001,F$102,BD!$A$3:$A$5001,"&gt;="&amp;$C$7,BD!$A$3:$A$5001,"&lt;="&amp;$D$7,BD!$Z$3:$Z$5001,"&lt;&gt;"))))=0,"",IF(COUNTIFS(BD!$B$3:$B$5001,F$102,BD!$A$3:$A$5001,"&gt;="&amp;$C$7,BD!$A$3:$A$5001,"&lt;="&amp;$D$7,BD!$Z$3:$Z$5001,"&lt;&gt;")=0,"",SUMIFS(BD!$Y$3:$Y$5001,BD!$B$3:$B$5001,F$102,BD!$A$3:$A$5001,_xlfn.MAXIFS(BD!$A$3:$A$5001,BD!$B$3:$B$5001,F$102,BD!$A$3:$A$5001,"&gt;="&amp;$C$7,BD!$A$3:$A$5001,"&lt;="&amp;$D$7,BD!$Z$3:$Z$5001,"&lt;&gt;")))),"—"))</f>
        <v/>
      </c>
      <c r="G125" s="32" t="str">
        <f>IF(G$102="","",IF(Config!$Z$40&lt;&gt;"Não",IF(N(IF(COUNTIFS(BD!$B$3:$B$5001,G$102,BD!$A$3:$A$5001,"&gt;="&amp;$C$7,BD!$A$3:$A$5001,"&lt;="&amp;$D$7,BD!$Z$3:$Z$5001,"&lt;&gt;")=0,"",SUMIFS(BD!$Y$3:$Y$5001,BD!$B$3:$B$5001,G$102,BD!$A$3:$A$5001,_xlfn.MAXIFS(BD!$A$3:$A$5001,BD!$B$3:$B$5001,G$102,BD!$A$3:$A$5001,"&gt;="&amp;$C$7,BD!$A$3:$A$5001,"&lt;="&amp;$D$7,BD!$Z$3:$Z$5001,"&lt;&gt;"))))=0,"",IF(COUNTIFS(BD!$B$3:$B$5001,G$102,BD!$A$3:$A$5001,"&gt;="&amp;$C$7,BD!$A$3:$A$5001,"&lt;="&amp;$D$7,BD!$Z$3:$Z$5001,"&lt;&gt;")=0,"",SUMIFS(BD!$Y$3:$Y$5001,BD!$B$3:$B$5001,G$102,BD!$A$3:$A$5001,_xlfn.MAXIFS(BD!$A$3:$A$5001,BD!$B$3:$B$5001,G$102,BD!$A$3:$A$5001,"&gt;="&amp;$C$7,BD!$A$3:$A$5001,"&lt;="&amp;$D$7,BD!$Z$3:$Z$5001,"&lt;&gt;")))),"—"))</f>
        <v/>
      </c>
      <c r="H125" s="32" t="str">
        <f>IF(H$102="","",IF(Config!$Z$41&lt;&gt;"Não",IF(N(IF(COUNTIFS(BD!$B$3:$B$5001,H$102,BD!$A$3:$A$5001,"&gt;="&amp;$C$7,BD!$A$3:$A$5001,"&lt;="&amp;$D$7,BD!$Z$3:$Z$5001,"&lt;&gt;")=0,"",SUMIFS(BD!$Y$3:$Y$5001,BD!$B$3:$B$5001,H$102,BD!$A$3:$A$5001,_xlfn.MAXIFS(BD!$A$3:$A$5001,BD!$B$3:$B$5001,H$102,BD!$A$3:$A$5001,"&gt;="&amp;$C$7,BD!$A$3:$A$5001,"&lt;="&amp;$D$7,BD!$Z$3:$Z$5001,"&lt;&gt;"))))=0,"",IF(COUNTIFS(BD!$B$3:$B$5001,H$102,BD!$A$3:$A$5001,"&gt;="&amp;$C$7,BD!$A$3:$A$5001,"&lt;="&amp;$D$7,BD!$Z$3:$Z$5001,"&lt;&gt;")=0,"",SUMIFS(BD!$Y$3:$Y$5001,BD!$B$3:$B$5001,H$102,BD!$A$3:$A$5001,_xlfn.MAXIFS(BD!$A$3:$A$5001,BD!$B$3:$B$5001,H$102,BD!$A$3:$A$5001,"&gt;="&amp;$C$7,BD!$A$3:$A$5001,"&lt;="&amp;$D$7,BD!$Z$3:$Z$5001,"&lt;&gt;")))),"—"))</f>
        <v/>
      </c>
      <c r="I125" s="32" t="str">
        <f>IF(I$102="","",IF(Config!$Z$42&lt;&gt;"Não",IF(N(IF(COUNTIFS(BD!$B$3:$B$5001,I$102,BD!$A$3:$A$5001,"&gt;="&amp;$C$7,BD!$A$3:$A$5001,"&lt;="&amp;$D$7,BD!$Z$3:$Z$5001,"&lt;&gt;")=0,"",SUMIFS(BD!$Y$3:$Y$5001,BD!$B$3:$B$5001,I$102,BD!$A$3:$A$5001,_xlfn.MAXIFS(BD!$A$3:$A$5001,BD!$B$3:$B$5001,I$102,BD!$A$3:$A$5001,"&gt;="&amp;$C$7,BD!$A$3:$A$5001,"&lt;="&amp;$D$7,BD!$Z$3:$Z$5001,"&lt;&gt;"))))=0,"",IF(COUNTIFS(BD!$B$3:$B$5001,I$102,BD!$A$3:$A$5001,"&gt;="&amp;$C$7,BD!$A$3:$A$5001,"&lt;="&amp;$D$7,BD!$Z$3:$Z$5001,"&lt;&gt;")=0,"",SUMIFS(BD!$Y$3:$Y$5001,BD!$B$3:$B$5001,I$102,BD!$A$3:$A$5001,_xlfn.MAXIFS(BD!$A$3:$A$5001,BD!$B$3:$B$5001,I$102,BD!$A$3:$A$5001,"&gt;="&amp;$C$7,BD!$A$3:$A$5001,"&lt;="&amp;$D$7,BD!$Z$3:$Z$5001,"&lt;&gt;")))),"—"))</f>
        <v/>
      </c>
      <c r="J125" s="32" t="str">
        <f>IF(J$102="","",IF(Config!$Z$43&lt;&gt;"Não",IF(N(IF(COUNTIFS(BD!$B$3:$B$5001,J$102,BD!$A$3:$A$5001,"&gt;="&amp;$C$7,BD!$A$3:$A$5001,"&lt;="&amp;$D$7,BD!$Z$3:$Z$5001,"&lt;&gt;")=0,"",SUMIFS(BD!$Y$3:$Y$5001,BD!$B$3:$B$5001,J$102,BD!$A$3:$A$5001,_xlfn.MAXIFS(BD!$A$3:$A$5001,BD!$B$3:$B$5001,J$102,BD!$A$3:$A$5001,"&gt;="&amp;$C$7,BD!$A$3:$A$5001,"&lt;="&amp;$D$7,BD!$Z$3:$Z$5001,"&lt;&gt;"))))=0,"",IF(COUNTIFS(BD!$B$3:$B$5001,J$102,BD!$A$3:$A$5001,"&gt;="&amp;$C$7,BD!$A$3:$A$5001,"&lt;="&amp;$D$7,BD!$Z$3:$Z$5001,"&lt;&gt;")=0,"",SUMIFS(BD!$Y$3:$Y$5001,BD!$B$3:$B$5001,J$102,BD!$A$3:$A$5001,_xlfn.MAXIFS(BD!$A$3:$A$5001,BD!$B$3:$B$5001,J$102,BD!$A$3:$A$5001,"&gt;="&amp;$C$7,BD!$A$3:$A$5001,"&lt;="&amp;$D$7,BD!$Z$3:$Z$5001,"&lt;&gt;")))),"—"))</f>
        <v/>
      </c>
      <c r="K125" s="32" t="str">
        <f>IF(K$102="","",IF(Config!$Z$44&lt;&gt;"Não",IF(N(IF(COUNTIFS(BD!$B$3:$B$5001,K$102,BD!$A$3:$A$5001,"&gt;="&amp;$C$7,BD!$A$3:$A$5001,"&lt;="&amp;$D$7,BD!$Z$3:$Z$5001,"&lt;&gt;")=0,"",SUMIFS(BD!$Y$3:$Y$5001,BD!$B$3:$B$5001,K$102,BD!$A$3:$A$5001,_xlfn.MAXIFS(BD!$A$3:$A$5001,BD!$B$3:$B$5001,K$102,BD!$A$3:$A$5001,"&gt;="&amp;$C$7,BD!$A$3:$A$5001,"&lt;="&amp;$D$7,BD!$Z$3:$Z$5001,"&lt;&gt;"))))=0,"",IF(COUNTIFS(BD!$B$3:$B$5001,K$102,BD!$A$3:$A$5001,"&gt;="&amp;$C$7,BD!$A$3:$A$5001,"&lt;="&amp;$D$7,BD!$Z$3:$Z$5001,"&lt;&gt;")=0,"",SUMIFS(BD!$Y$3:$Y$5001,BD!$B$3:$B$5001,K$102,BD!$A$3:$A$5001,_xlfn.MAXIFS(BD!$A$3:$A$5001,BD!$B$3:$B$5001,K$102,BD!$A$3:$A$5001,"&gt;="&amp;$C$7,BD!$A$3:$A$5001,"&lt;="&amp;$D$7,BD!$Z$3:$Z$5001,"&lt;&gt;")))),"—"))</f>
        <v/>
      </c>
      <c r="L125" s="32" t="str">
        <f>IF(L$102="","",IF(Config!$Z$45&lt;&gt;"Não",IF(N(IF(COUNTIFS(BD!$B$3:$B$5001,L$102,BD!$A$3:$A$5001,"&gt;="&amp;$C$7,BD!$A$3:$A$5001,"&lt;="&amp;$D$7,BD!$Z$3:$Z$5001,"&lt;&gt;")=0,"",SUMIFS(BD!$Y$3:$Y$5001,BD!$B$3:$B$5001,L$102,BD!$A$3:$A$5001,_xlfn.MAXIFS(BD!$A$3:$A$5001,BD!$B$3:$B$5001,L$102,BD!$A$3:$A$5001,"&gt;="&amp;$C$7,BD!$A$3:$A$5001,"&lt;="&amp;$D$7,BD!$Z$3:$Z$5001,"&lt;&gt;"))))=0,"",IF(COUNTIFS(BD!$B$3:$B$5001,L$102,BD!$A$3:$A$5001,"&gt;="&amp;$C$7,BD!$A$3:$A$5001,"&lt;="&amp;$D$7,BD!$Z$3:$Z$5001,"&lt;&gt;")=0,"",SUMIFS(BD!$Y$3:$Y$5001,BD!$B$3:$B$5001,L$102,BD!$A$3:$A$5001,_xlfn.MAXIFS(BD!$A$3:$A$5001,BD!$B$3:$B$5001,L$102,BD!$A$3:$A$5001,"&gt;="&amp;$C$7,BD!$A$3:$A$5001,"&lt;="&amp;$D$7,BD!$Z$3:$Z$5001,"&lt;&gt;")))),"—"))</f>
        <v/>
      </c>
      <c r="M125" s="32" t="str">
        <f>IF(M$102="","",IF(Config!$Z$46&lt;&gt;"Não",IF(N(IF(COUNTIFS(BD!$B$3:$B$5001,M$102,BD!$A$3:$A$5001,"&gt;="&amp;$C$7,BD!$A$3:$A$5001,"&lt;="&amp;$D$7,BD!$Z$3:$Z$5001,"&lt;&gt;")=0,"",SUMIFS(BD!$Y$3:$Y$5001,BD!$B$3:$B$5001,M$102,BD!$A$3:$A$5001,_xlfn.MAXIFS(BD!$A$3:$A$5001,BD!$B$3:$B$5001,M$102,BD!$A$3:$A$5001,"&gt;="&amp;$C$7,BD!$A$3:$A$5001,"&lt;="&amp;$D$7,BD!$Z$3:$Z$5001,"&lt;&gt;"))))=0,"",IF(COUNTIFS(BD!$B$3:$B$5001,M$102,BD!$A$3:$A$5001,"&gt;="&amp;$C$7,BD!$A$3:$A$5001,"&lt;="&amp;$D$7,BD!$Z$3:$Z$5001,"&lt;&gt;")=0,"",SUMIFS(BD!$Y$3:$Y$5001,BD!$B$3:$B$5001,M$102,BD!$A$3:$A$5001,_xlfn.MAXIFS(BD!$A$3:$A$5001,BD!$B$3:$B$5001,M$102,BD!$A$3:$A$5001,"&gt;="&amp;$C$7,BD!$A$3:$A$5001,"&lt;="&amp;$D$7,BD!$Z$3:$Z$5001,"&lt;&gt;")))),"—"))</f>
        <v/>
      </c>
      <c r="N125" s="32" t="str">
        <f>IF(N$102="","",IF(Config!$Z$47&lt;&gt;"Não",IF(N(IF(COUNTIFS(BD!$B$3:$B$5001,N$102,BD!$A$3:$A$5001,"&gt;="&amp;$C$7,BD!$A$3:$A$5001,"&lt;="&amp;$D$7,BD!$Z$3:$Z$5001,"&lt;&gt;")=0,"",SUMIFS(BD!$Y$3:$Y$5001,BD!$B$3:$B$5001,N$102,BD!$A$3:$A$5001,_xlfn.MAXIFS(BD!$A$3:$A$5001,BD!$B$3:$B$5001,N$102,BD!$A$3:$A$5001,"&gt;="&amp;$C$7,BD!$A$3:$A$5001,"&lt;="&amp;$D$7,BD!$Z$3:$Z$5001,"&lt;&gt;"))))=0,"",IF(COUNTIFS(BD!$B$3:$B$5001,N$102,BD!$A$3:$A$5001,"&gt;="&amp;$C$7,BD!$A$3:$A$5001,"&lt;="&amp;$D$7,BD!$Z$3:$Z$5001,"&lt;&gt;")=0,"",SUMIFS(BD!$Y$3:$Y$5001,BD!$B$3:$B$5001,N$102,BD!$A$3:$A$5001,_xlfn.MAXIFS(BD!$A$3:$A$5001,BD!$B$3:$B$5001,N$102,BD!$A$3:$A$5001,"&gt;="&amp;$C$7,BD!$A$3:$A$5001,"&lt;="&amp;$D$7,BD!$Z$3:$Z$5001,"&lt;&gt;")))),"—"))</f>
        <v/>
      </c>
      <c r="O125" s="32" t="str">
        <f>IF(O$102="","",IF(Config!$Z$48&lt;&gt;"Não",IF(N(IF(COUNTIFS(BD!$B$3:$B$5001,O$102,BD!$A$3:$A$5001,"&gt;="&amp;$C$7,BD!$A$3:$A$5001,"&lt;="&amp;$D$7,BD!$Z$3:$Z$5001,"&lt;&gt;")=0,"",SUMIFS(BD!$Y$3:$Y$5001,BD!$B$3:$B$5001,O$102,BD!$A$3:$A$5001,_xlfn.MAXIFS(BD!$A$3:$A$5001,BD!$B$3:$B$5001,O$102,BD!$A$3:$A$5001,"&gt;="&amp;$C$7,BD!$A$3:$A$5001,"&lt;="&amp;$D$7,BD!$Z$3:$Z$5001,"&lt;&gt;"))))=0,"",IF(COUNTIFS(BD!$B$3:$B$5001,O$102,BD!$A$3:$A$5001,"&gt;="&amp;$C$7,BD!$A$3:$A$5001,"&lt;="&amp;$D$7,BD!$Z$3:$Z$5001,"&lt;&gt;")=0,"",SUMIFS(BD!$Y$3:$Y$5001,BD!$B$3:$B$5001,O$102,BD!$A$3:$A$5001,_xlfn.MAXIFS(BD!$A$3:$A$5001,BD!$B$3:$B$5001,O$102,BD!$A$3:$A$5001,"&gt;="&amp;$C$7,BD!$A$3:$A$5001,"&lt;="&amp;$D$7,BD!$Z$3:$Z$5001,"&lt;&gt;")))),"—"))</f>
        <v/>
      </c>
      <c r="P125" s="32" t="str">
        <f>IF(P$102="","",IF(Config!$Z$49&lt;&gt;"Não",IF(N(IF(COUNTIFS(BD!$B$3:$B$5001,P$102,BD!$A$3:$A$5001,"&gt;="&amp;$C$7,BD!$A$3:$A$5001,"&lt;="&amp;$D$7,BD!$Z$3:$Z$5001,"&lt;&gt;")=0,"",SUMIFS(BD!$Y$3:$Y$5001,BD!$B$3:$B$5001,P$102,BD!$A$3:$A$5001,_xlfn.MAXIFS(BD!$A$3:$A$5001,BD!$B$3:$B$5001,P$102,BD!$A$3:$A$5001,"&gt;="&amp;$C$7,BD!$A$3:$A$5001,"&lt;="&amp;$D$7,BD!$Z$3:$Z$5001,"&lt;&gt;"))))=0,"",IF(COUNTIFS(BD!$B$3:$B$5001,P$102,BD!$A$3:$A$5001,"&gt;="&amp;$C$7,BD!$A$3:$A$5001,"&lt;="&amp;$D$7,BD!$Z$3:$Z$5001,"&lt;&gt;")=0,"",SUMIFS(BD!$Y$3:$Y$5001,BD!$B$3:$B$5001,P$102,BD!$A$3:$A$5001,_xlfn.MAXIFS(BD!$A$3:$A$5001,BD!$B$3:$B$5001,P$102,BD!$A$3:$A$5001,"&gt;="&amp;$C$7,BD!$A$3:$A$5001,"&lt;="&amp;$D$7,BD!$Z$3:$Z$5001,"&lt;&gt;")))),"—"))</f>
        <v/>
      </c>
      <c r="Q125" s="32" t="str">
        <f>IF(Q$102="","",IF(Config!$Z$50&lt;&gt;"Não",IF(N(IF(COUNTIFS(BD!$B$3:$B$5001,Q$102,BD!$A$3:$A$5001,"&gt;="&amp;$C$7,BD!$A$3:$A$5001,"&lt;="&amp;$D$7,BD!$Z$3:$Z$5001,"&lt;&gt;")=0,"",SUMIFS(BD!$Y$3:$Y$5001,BD!$B$3:$B$5001,Q$102,BD!$A$3:$A$5001,_xlfn.MAXIFS(BD!$A$3:$A$5001,BD!$B$3:$B$5001,Q$102,BD!$A$3:$A$5001,"&gt;="&amp;$C$7,BD!$A$3:$A$5001,"&lt;="&amp;$D$7,BD!$Z$3:$Z$5001,"&lt;&gt;"))))=0,"",IF(COUNTIFS(BD!$B$3:$B$5001,Q$102,BD!$A$3:$A$5001,"&gt;="&amp;$C$7,BD!$A$3:$A$5001,"&lt;="&amp;$D$7,BD!$Z$3:$Z$5001,"&lt;&gt;")=0,"",SUMIFS(BD!$Y$3:$Y$5001,BD!$B$3:$B$5001,Q$102,BD!$A$3:$A$5001,_xlfn.MAXIFS(BD!$A$3:$A$5001,BD!$B$3:$B$5001,Q$102,BD!$A$3:$A$5001,"&gt;="&amp;$C$7,BD!$A$3:$A$5001,"&lt;="&amp;$D$7,BD!$Z$3:$Z$5001,"&lt;&gt;")))),"—"))</f>
        <v/>
      </c>
      <c r="R125" s="32" t="str">
        <f>IF(R$102="","",IF(Config!$Z$51&lt;&gt;"Não",IF(N(IF(COUNTIFS(BD!$B$3:$B$5001,R$102,BD!$A$3:$A$5001,"&gt;="&amp;$C$7,BD!$A$3:$A$5001,"&lt;="&amp;$D$7,BD!$Z$3:$Z$5001,"&lt;&gt;")=0,"",SUMIFS(BD!$Y$3:$Y$5001,BD!$B$3:$B$5001,R$102,BD!$A$3:$A$5001,_xlfn.MAXIFS(BD!$A$3:$A$5001,BD!$B$3:$B$5001,R$102,BD!$A$3:$A$5001,"&gt;="&amp;$C$7,BD!$A$3:$A$5001,"&lt;="&amp;$D$7,BD!$Z$3:$Z$5001,"&lt;&gt;"))))=0,"",IF(COUNTIFS(BD!$B$3:$B$5001,R$102,BD!$A$3:$A$5001,"&gt;="&amp;$C$7,BD!$A$3:$A$5001,"&lt;="&amp;$D$7,BD!$Z$3:$Z$5001,"&lt;&gt;")=0,"",SUMIFS(BD!$Y$3:$Y$5001,BD!$B$3:$B$5001,R$102,BD!$A$3:$A$5001,_xlfn.MAXIFS(BD!$A$3:$A$5001,BD!$B$3:$B$5001,R$102,BD!$A$3:$A$5001,"&gt;="&amp;$C$7,BD!$A$3:$A$5001,"&lt;="&amp;$D$7,BD!$Z$3:$Z$5001,"&lt;&gt;")))),"—"))</f>
        <v/>
      </c>
      <c r="S125" s="32" t="str">
        <f>IF(S$102="","",IF(Config!$Z$52&lt;&gt;"Não",IF(N(IF(COUNTIFS(BD!$B$3:$B$5001,S$102,BD!$A$3:$A$5001,"&gt;="&amp;$C$7,BD!$A$3:$A$5001,"&lt;="&amp;$D$7,BD!$Z$3:$Z$5001,"&lt;&gt;")=0,"",SUMIFS(BD!$Y$3:$Y$5001,BD!$B$3:$B$5001,S$102,BD!$A$3:$A$5001,_xlfn.MAXIFS(BD!$A$3:$A$5001,BD!$B$3:$B$5001,S$102,BD!$A$3:$A$5001,"&gt;="&amp;$C$7,BD!$A$3:$A$5001,"&lt;="&amp;$D$7,BD!$Z$3:$Z$5001,"&lt;&gt;"))))=0,"",IF(COUNTIFS(BD!$B$3:$B$5001,S$102,BD!$A$3:$A$5001,"&gt;="&amp;$C$7,BD!$A$3:$A$5001,"&lt;="&amp;$D$7,BD!$Z$3:$Z$5001,"&lt;&gt;")=0,"",SUMIFS(BD!$Y$3:$Y$5001,BD!$B$3:$B$5001,S$102,BD!$A$3:$A$5001,_xlfn.MAXIFS(BD!$A$3:$A$5001,BD!$B$3:$B$5001,S$102,BD!$A$3:$A$5001,"&gt;="&amp;$C$7,BD!$A$3:$A$5001,"&lt;="&amp;$D$7,BD!$Z$3:$Z$5001,"&lt;&gt;")))),"—"))</f>
        <v/>
      </c>
      <c r="T125" s="32" t="str">
        <f>IF(T$102="","",IF(Config!$Z$53&lt;&gt;"Não",IF(N(IF(COUNTIFS(BD!$B$3:$B$5001,T$102,BD!$A$3:$A$5001,"&gt;="&amp;$C$7,BD!$A$3:$A$5001,"&lt;="&amp;$D$7,BD!$Z$3:$Z$5001,"&lt;&gt;")=0,"",SUMIFS(BD!$Y$3:$Y$5001,BD!$B$3:$B$5001,T$102,BD!$A$3:$A$5001,_xlfn.MAXIFS(BD!$A$3:$A$5001,BD!$B$3:$B$5001,T$102,BD!$A$3:$A$5001,"&gt;="&amp;$C$7,BD!$A$3:$A$5001,"&lt;="&amp;$D$7,BD!$Z$3:$Z$5001,"&lt;&gt;"))))=0,"",IF(COUNTIFS(BD!$B$3:$B$5001,T$102,BD!$A$3:$A$5001,"&gt;="&amp;$C$7,BD!$A$3:$A$5001,"&lt;="&amp;$D$7,BD!$Z$3:$Z$5001,"&lt;&gt;")=0,"",SUMIFS(BD!$Y$3:$Y$5001,BD!$B$3:$B$5001,T$102,BD!$A$3:$A$5001,_xlfn.MAXIFS(BD!$A$3:$A$5001,BD!$B$3:$B$5001,T$102,BD!$A$3:$A$5001,"&gt;="&amp;$C$7,BD!$A$3:$A$5001,"&lt;="&amp;$D$7,BD!$Z$3:$Z$5001,"&lt;&gt;")))),"—"))</f>
        <v/>
      </c>
      <c r="U125" s="32" t="str">
        <f>IF(U$102="","",IF(Config!$Z$54&lt;&gt;"Não",IF(N(IF(COUNTIFS(BD!$B$3:$B$5001,U$102,BD!$A$3:$A$5001,"&gt;="&amp;$C$7,BD!$A$3:$A$5001,"&lt;="&amp;$D$7,BD!$Z$3:$Z$5001,"&lt;&gt;")=0,"",SUMIFS(BD!$Y$3:$Y$5001,BD!$B$3:$B$5001,U$102,BD!$A$3:$A$5001,_xlfn.MAXIFS(BD!$A$3:$A$5001,BD!$B$3:$B$5001,U$102,BD!$A$3:$A$5001,"&gt;="&amp;$C$7,BD!$A$3:$A$5001,"&lt;="&amp;$D$7,BD!$Z$3:$Z$5001,"&lt;&gt;"))))=0,"",IF(COUNTIFS(BD!$B$3:$B$5001,U$102,BD!$A$3:$A$5001,"&gt;="&amp;$C$7,BD!$A$3:$A$5001,"&lt;="&amp;$D$7,BD!$Z$3:$Z$5001,"&lt;&gt;")=0,"",SUMIFS(BD!$Y$3:$Y$5001,BD!$B$3:$B$5001,U$102,BD!$A$3:$A$5001,_xlfn.MAXIFS(BD!$A$3:$A$5001,BD!$B$3:$B$5001,U$102,BD!$A$3:$A$5001,"&gt;="&amp;$C$7,BD!$A$3:$A$5001,"&lt;="&amp;$D$7,BD!$Z$3:$Z$5001,"&lt;&gt;")))),"—"))</f>
        <v/>
      </c>
      <c r="V125" s="62">
        <f>IF($B$4&gt;0,$B$4,SUM(B125:U125))</f>
        <v>23040</v>
      </c>
    </row>
    <row r="126">
      <c r="A126" s="29" t="inlineStr">
        <is>
          <t xml:space="preserve">OCUPAÇÃO (P.P) · Posições Ocupadas</t>
        </is>
      </c>
      <c r="B126" s="32" t="str">
        <f>IF(B$102="","",IF(Config!$AA$35&lt;&gt;"Não",IF(COUNTIFS(BD!$B$3:$B$5001,B$102,BD!$A$3:$A$5001,"&gt;="&amp;$C$7,BD!$A$3:$A$5001,"&lt;="&amp;$D$7,BD!$Z$3:$Z$5001,"&lt;&gt;")=0,"",SUMIFS(BD!$Z$3:$Z$5001,BD!$B$3:$B$5001,B$102,BD!$A$3:$A$5001,_xlfn.MAXIFS(BD!$A$3:$A$5001,BD!$B$3:$B$5001,B$102,BD!$A$3:$A$5001,"&gt;="&amp;$C$7,BD!$A$3:$A$5001,"&lt;="&amp;$D$7,BD!$Z$3:$Z$5001,"&lt;&gt;"))),"—"))</f>
        <v/>
      </c>
      <c r="C126" s="32" t="str">
        <f>IF(C$102="","",IF(Config!$AA$36&lt;&gt;"Não",IF(COUNTIFS(BD!$B$3:$B$5001,C$102,BD!$A$3:$A$5001,"&gt;="&amp;$C$7,BD!$A$3:$A$5001,"&lt;="&amp;$D$7,BD!$Z$3:$Z$5001,"&lt;&gt;")=0,"",SUMIFS(BD!$Z$3:$Z$5001,BD!$B$3:$B$5001,C$102,BD!$A$3:$A$5001,_xlfn.MAXIFS(BD!$A$3:$A$5001,BD!$B$3:$B$5001,C$102,BD!$A$3:$A$5001,"&gt;="&amp;$C$7,BD!$A$3:$A$5001,"&lt;="&amp;$D$7,BD!$Z$3:$Z$5001,"&lt;&gt;"))),"—"))</f>
        <v/>
      </c>
      <c r="D126" s="32" t="str">
        <f>IF(D$102="","",IF(Config!$AA$37&lt;&gt;"Não",IF(COUNTIFS(BD!$B$3:$B$5001,D$102,BD!$A$3:$A$5001,"&gt;="&amp;$C$7,BD!$A$3:$A$5001,"&lt;="&amp;$D$7,BD!$Z$3:$Z$5001,"&lt;&gt;")=0,"",SUMIFS(BD!$Z$3:$Z$5001,BD!$B$3:$B$5001,D$102,BD!$A$3:$A$5001,_xlfn.MAXIFS(BD!$A$3:$A$5001,BD!$B$3:$B$5001,D$102,BD!$A$3:$A$5001,"&gt;="&amp;$C$7,BD!$A$3:$A$5001,"&lt;="&amp;$D$7,BD!$Z$3:$Z$5001,"&lt;&gt;"))),"—"))</f>
        <v/>
      </c>
      <c r="E126" s="32" t="str">
        <f>IF(E$102="","",IF(Config!$AA$38&lt;&gt;"Não",IF(COUNTIFS(BD!$B$3:$B$5001,E$102,BD!$A$3:$A$5001,"&gt;="&amp;$C$7,BD!$A$3:$A$5001,"&lt;="&amp;$D$7,BD!$Z$3:$Z$5001,"&lt;&gt;")=0,"",SUMIFS(BD!$Z$3:$Z$5001,BD!$B$3:$B$5001,E$102,BD!$A$3:$A$5001,_xlfn.MAXIFS(BD!$A$3:$A$5001,BD!$B$3:$B$5001,E$102,BD!$A$3:$A$5001,"&gt;="&amp;$C$7,BD!$A$3:$A$5001,"&lt;="&amp;$D$7,BD!$Z$3:$Z$5001,"&lt;&gt;"))),"—"))</f>
        <v/>
      </c>
      <c r="F126" s="32" t="str">
        <f>IF(F$102="","",IF(Config!$AA$39&lt;&gt;"Não",IF(COUNTIFS(BD!$B$3:$B$5001,F$102,BD!$A$3:$A$5001,"&gt;="&amp;$C$7,BD!$A$3:$A$5001,"&lt;="&amp;$D$7,BD!$Z$3:$Z$5001,"&lt;&gt;")=0,"",SUMIFS(BD!$Z$3:$Z$5001,BD!$B$3:$B$5001,F$102,BD!$A$3:$A$5001,_xlfn.MAXIFS(BD!$A$3:$A$5001,BD!$B$3:$B$5001,F$102,BD!$A$3:$A$5001,"&gt;="&amp;$C$7,BD!$A$3:$A$5001,"&lt;="&amp;$D$7,BD!$Z$3:$Z$5001,"&lt;&gt;"))),"—"))</f>
        <v/>
      </c>
      <c r="G126" s="32" t="str">
        <f>IF(G$102="","",IF(Config!$AA$40&lt;&gt;"Não",IF(COUNTIFS(BD!$B$3:$B$5001,G$102,BD!$A$3:$A$5001,"&gt;="&amp;$C$7,BD!$A$3:$A$5001,"&lt;="&amp;$D$7,BD!$Z$3:$Z$5001,"&lt;&gt;")=0,"",SUMIFS(BD!$Z$3:$Z$5001,BD!$B$3:$B$5001,G$102,BD!$A$3:$A$5001,_xlfn.MAXIFS(BD!$A$3:$A$5001,BD!$B$3:$B$5001,G$102,BD!$A$3:$A$5001,"&gt;="&amp;$C$7,BD!$A$3:$A$5001,"&lt;="&amp;$D$7,BD!$Z$3:$Z$5001,"&lt;&gt;"))),"—"))</f>
        <v/>
      </c>
      <c r="H126" s="32" t="str">
        <f>IF(H$102="","",IF(Config!$AA$41&lt;&gt;"Não",IF(COUNTIFS(BD!$B$3:$B$5001,H$102,BD!$A$3:$A$5001,"&gt;="&amp;$C$7,BD!$A$3:$A$5001,"&lt;="&amp;$D$7,BD!$Z$3:$Z$5001,"&lt;&gt;")=0,"",SUMIFS(BD!$Z$3:$Z$5001,BD!$B$3:$B$5001,H$102,BD!$A$3:$A$5001,_xlfn.MAXIFS(BD!$A$3:$A$5001,BD!$B$3:$B$5001,H$102,BD!$A$3:$A$5001,"&gt;="&amp;$C$7,BD!$A$3:$A$5001,"&lt;="&amp;$D$7,BD!$Z$3:$Z$5001,"&lt;&gt;"))),"—"))</f>
        <v/>
      </c>
      <c r="I126" s="32" t="str">
        <f>IF(I$102="","",IF(Config!$AA$42&lt;&gt;"Não",IF(COUNTIFS(BD!$B$3:$B$5001,I$102,BD!$A$3:$A$5001,"&gt;="&amp;$C$7,BD!$A$3:$A$5001,"&lt;="&amp;$D$7,BD!$Z$3:$Z$5001,"&lt;&gt;")=0,"",SUMIFS(BD!$Z$3:$Z$5001,BD!$B$3:$B$5001,I$102,BD!$A$3:$A$5001,_xlfn.MAXIFS(BD!$A$3:$A$5001,BD!$B$3:$B$5001,I$102,BD!$A$3:$A$5001,"&gt;="&amp;$C$7,BD!$A$3:$A$5001,"&lt;="&amp;$D$7,BD!$Z$3:$Z$5001,"&lt;&gt;"))),"—"))</f>
        <v/>
      </c>
      <c r="J126" s="32" t="str">
        <f>IF(J$102="","",IF(Config!$AA$43&lt;&gt;"Não",IF(COUNTIFS(BD!$B$3:$B$5001,J$102,BD!$A$3:$A$5001,"&gt;="&amp;$C$7,BD!$A$3:$A$5001,"&lt;="&amp;$D$7,BD!$Z$3:$Z$5001,"&lt;&gt;")=0,"",SUMIFS(BD!$Z$3:$Z$5001,BD!$B$3:$B$5001,J$102,BD!$A$3:$A$5001,_xlfn.MAXIFS(BD!$A$3:$A$5001,BD!$B$3:$B$5001,J$102,BD!$A$3:$A$5001,"&gt;="&amp;$C$7,BD!$A$3:$A$5001,"&lt;="&amp;$D$7,BD!$Z$3:$Z$5001,"&lt;&gt;"))),"—"))</f>
        <v/>
      </c>
      <c r="K126" s="32" t="str">
        <f>IF(K$102="","",IF(Config!$AA$44&lt;&gt;"Não",IF(COUNTIFS(BD!$B$3:$B$5001,K$102,BD!$A$3:$A$5001,"&gt;="&amp;$C$7,BD!$A$3:$A$5001,"&lt;="&amp;$D$7,BD!$Z$3:$Z$5001,"&lt;&gt;")=0,"",SUMIFS(BD!$Z$3:$Z$5001,BD!$B$3:$B$5001,K$102,BD!$A$3:$A$5001,_xlfn.MAXIFS(BD!$A$3:$A$5001,BD!$B$3:$B$5001,K$102,BD!$A$3:$A$5001,"&gt;="&amp;$C$7,BD!$A$3:$A$5001,"&lt;="&amp;$D$7,BD!$Z$3:$Z$5001,"&lt;&gt;"))),"—"))</f>
        <v/>
      </c>
      <c r="L126" s="32" t="str">
        <f>IF(L$102="","",IF(Config!$AA$45&lt;&gt;"Não",IF(COUNTIFS(BD!$B$3:$B$5001,L$102,BD!$A$3:$A$5001,"&gt;="&amp;$C$7,BD!$A$3:$A$5001,"&lt;="&amp;$D$7,BD!$Z$3:$Z$5001,"&lt;&gt;")=0,"",SUMIFS(BD!$Z$3:$Z$5001,BD!$B$3:$B$5001,L$102,BD!$A$3:$A$5001,_xlfn.MAXIFS(BD!$A$3:$A$5001,BD!$B$3:$B$5001,L$102,BD!$A$3:$A$5001,"&gt;="&amp;$C$7,BD!$A$3:$A$5001,"&lt;="&amp;$D$7,BD!$Z$3:$Z$5001,"&lt;&gt;"))),"—"))</f>
        <v/>
      </c>
      <c r="M126" s="32" t="str">
        <f>IF(M$102="","",IF(Config!$AA$46&lt;&gt;"Não",IF(COUNTIFS(BD!$B$3:$B$5001,M$102,BD!$A$3:$A$5001,"&gt;="&amp;$C$7,BD!$A$3:$A$5001,"&lt;="&amp;$D$7,BD!$Z$3:$Z$5001,"&lt;&gt;")=0,"",SUMIFS(BD!$Z$3:$Z$5001,BD!$B$3:$B$5001,M$102,BD!$A$3:$A$5001,_xlfn.MAXIFS(BD!$A$3:$A$5001,BD!$B$3:$B$5001,M$102,BD!$A$3:$A$5001,"&gt;="&amp;$C$7,BD!$A$3:$A$5001,"&lt;="&amp;$D$7,BD!$Z$3:$Z$5001,"&lt;&gt;"))),"—"))</f>
        <v/>
      </c>
      <c r="N126" s="32" t="str">
        <f>IF(N$102="","",IF(Config!$AA$47&lt;&gt;"Não",IF(COUNTIFS(BD!$B$3:$B$5001,N$102,BD!$A$3:$A$5001,"&gt;="&amp;$C$7,BD!$A$3:$A$5001,"&lt;="&amp;$D$7,BD!$Z$3:$Z$5001,"&lt;&gt;")=0,"",SUMIFS(BD!$Z$3:$Z$5001,BD!$B$3:$B$5001,N$102,BD!$A$3:$A$5001,_xlfn.MAXIFS(BD!$A$3:$A$5001,BD!$B$3:$B$5001,N$102,BD!$A$3:$A$5001,"&gt;="&amp;$C$7,BD!$A$3:$A$5001,"&lt;="&amp;$D$7,BD!$Z$3:$Z$5001,"&lt;&gt;"))),"—"))</f>
        <v/>
      </c>
      <c r="O126" s="32" t="str">
        <f>IF(O$102="","",IF(Config!$AA$48&lt;&gt;"Não",IF(COUNTIFS(BD!$B$3:$B$5001,O$102,BD!$A$3:$A$5001,"&gt;="&amp;$C$7,BD!$A$3:$A$5001,"&lt;="&amp;$D$7,BD!$Z$3:$Z$5001,"&lt;&gt;")=0,"",SUMIFS(BD!$Z$3:$Z$5001,BD!$B$3:$B$5001,O$102,BD!$A$3:$A$5001,_xlfn.MAXIFS(BD!$A$3:$A$5001,BD!$B$3:$B$5001,O$102,BD!$A$3:$A$5001,"&gt;="&amp;$C$7,BD!$A$3:$A$5001,"&lt;="&amp;$D$7,BD!$Z$3:$Z$5001,"&lt;&gt;"))),"—"))</f>
        <v/>
      </c>
      <c r="P126" s="32" t="str">
        <f>IF(P$102="","",IF(Config!$AA$49&lt;&gt;"Não",IF(COUNTIFS(BD!$B$3:$B$5001,P$102,BD!$A$3:$A$5001,"&gt;="&amp;$C$7,BD!$A$3:$A$5001,"&lt;="&amp;$D$7,BD!$Z$3:$Z$5001,"&lt;&gt;")=0,"",SUMIFS(BD!$Z$3:$Z$5001,BD!$B$3:$B$5001,P$102,BD!$A$3:$A$5001,_xlfn.MAXIFS(BD!$A$3:$A$5001,BD!$B$3:$B$5001,P$102,BD!$A$3:$A$5001,"&gt;="&amp;$C$7,BD!$A$3:$A$5001,"&lt;="&amp;$D$7,BD!$Z$3:$Z$5001,"&lt;&gt;"))),"—"))</f>
        <v/>
      </c>
      <c r="Q126" s="32" t="str">
        <f>IF(Q$102="","",IF(Config!$AA$50&lt;&gt;"Não",IF(COUNTIFS(BD!$B$3:$B$5001,Q$102,BD!$A$3:$A$5001,"&gt;="&amp;$C$7,BD!$A$3:$A$5001,"&lt;="&amp;$D$7,BD!$Z$3:$Z$5001,"&lt;&gt;")=0,"",SUMIFS(BD!$Z$3:$Z$5001,BD!$B$3:$B$5001,Q$102,BD!$A$3:$A$5001,_xlfn.MAXIFS(BD!$A$3:$A$5001,BD!$B$3:$B$5001,Q$102,BD!$A$3:$A$5001,"&gt;="&amp;$C$7,BD!$A$3:$A$5001,"&lt;="&amp;$D$7,BD!$Z$3:$Z$5001,"&lt;&gt;"))),"—"))</f>
        <v/>
      </c>
      <c r="R126" s="32" t="str">
        <f>IF(R$102="","",IF(Config!$AA$51&lt;&gt;"Não",IF(COUNTIFS(BD!$B$3:$B$5001,R$102,BD!$A$3:$A$5001,"&gt;="&amp;$C$7,BD!$A$3:$A$5001,"&lt;="&amp;$D$7,BD!$Z$3:$Z$5001,"&lt;&gt;")=0,"",SUMIFS(BD!$Z$3:$Z$5001,BD!$B$3:$B$5001,R$102,BD!$A$3:$A$5001,_xlfn.MAXIFS(BD!$A$3:$A$5001,BD!$B$3:$B$5001,R$102,BD!$A$3:$A$5001,"&gt;="&amp;$C$7,BD!$A$3:$A$5001,"&lt;="&amp;$D$7,BD!$Z$3:$Z$5001,"&lt;&gt;"))),"—"))</f>
        <v/>
      </c>
      <c r="S126" s="32" t="str">
        <f>IF(S$102="","",IF(Config!$AA$52&lt;&gt;"Não",IF(COUNTIFS(BD!$B$3:$B$5001,S$102,BD!$A$3:$A$5001,"&gt;="&amp;$C$7,BD!$A$3:$A$5001,"&lt;="&amp;$D$7,BD!$Z$3:$Z$5001,"&lt;&gt;")=0,"",SUMIFS(BD!$Z$3:$Z$5001,BD!$B$3:$B$5001,S$102,BD!$A$3:$A$5001,_xlfn.MAXIFS(BD!$A$3:$A$5001,BD!$B$3:$B$5001,S$102,BD!$A$3:$A$5001,"&gt;="&amp;$C$7,BD!$A$3:$A$5001,"&lt;="&amp;$D$7,BD!$Z$3:$Z$5001,"&lt;&gt;"))),"—"))</f>
        <v/>
      </c>
      <c r="T126" s="32" t="str">
        <f>IF(T$102="","",IF(Config!$AA$53&lt;&gt;"Não",IF(COUNTIFS(BD!$B$3:$B$5001,T$102,BD!$A$3:$A$5001,"&gt;="&amp;$C$7,BD!$A$3:$A$5001,"&lt;="&amp;$D$7,BD!$Z$3:$Z$5001,"&lt;&gt;")=0,"",SUMIFS(BD!$Z$3:$Z$5001,BD!$B$3:$B$5001,T$102,BD!$A$3:$A$5001,_xlfn.MAXIFS(BD!$A$3:$A$5001,BD!$B$3:$B$5001,T$102,BD!$A$3:$A$5001,"&gt;="&amp;$C$7,BD!$A$3:$A$5001,"&lt;="&amp;$D$7,BD!$Z$3:$Z$5001,"&lt;&gt;"))),"—"))</f>
        <v/>
      </c>
      <c r="U126" s="32" t="str">
        <f>IF(U$102="","",IF(Config!$AA$54&lt;&gt;"Não",IF(COUNTIFS(BD!$B$3:$B$5001,U$102,BD!$A$3:$A$5001,"&gt;="&amp;$C$7,BD!$A$3:$A$5001,"&lt;="&amp;$D$7,BD!$Z$3:$Z$5001,"&lt;&gt;")=0,"",SUMIFS(BD!$Z$3:$Z$5001,BD!$B$3:$B$5001,U$102,BD!$A$3:$A$5001,_xlfn.MAXIFS(BD!$A$3:$A$5001,BD!$B$3:$B$5001,U$102,BD!$A$3:$A$5001,"&gt;="&amp;$C$7,BD!$A$3:$A$5001,"&lt;="&amp;$D$7,BD!$Z$3:$Z$5001,"&lt;&gt;"))),"—"))</f>
        <v/>
      </c>
      <c r="V126" s="62">
        <f>SUM(B126:U126)</f>
        <v>0</v>
      </c>
    </row>
    <row r="127">
      <c r="A127" s="29" t="inlineStr">
        <is>
          <t xml:space="preserve">OCUPAÇÃO (P.P) · Taxa de Ocupação</t>
        </is>
      </c>
      <c r="B127" s="50" t="str">
        <f>IF(B$102="","",IF(AND(Config!$Z$35&lt;&gt;"Não",Config!$AA$35&lt;&gt;"Não"),IF(AND(ISNUMBER(B126),ISNUMBER(B125)),IF(B125&gt;0,B126/B125,""),""),"—"))</f>
        <v/>
      </c>
      <c r="C127" s="50" t="str">
        <f>IF(C$102="","",IF(AND(Config!$Z$36&lt;&gt;"Não",Config!$AA$36&lt;&gt;"Não"),IF(AND(ISNUMBER(C126),ISNUMBER(C125)),IF(C125&gt;0,C126/C125,""),""),"—"))</f>
        <v/>
      </c>
      <c r="D127" s="50" t="str">
        <f>IF(D$102="","",IF(AND(Config!$Z$37&lt;&gt;"Não",Config!$AA$37&lt;&gt;"Não"),IF(AND(ISNUMBER(D126),ISNUMBER(D125)),IF(D125&gt;0,D126/D125,""),""),"—"))</f>
        <v/>
      </c>
      <c r="E127" s="50" t="str">
        <f>IF(E$102="","",IF(AND(Config!$Z$38&lt;&gt;"Não",Config!$AA$38&lt;&gt;"Não"),IF(AND(ISNUMBER(E126),ISNUMBER(E125)),IF(E125&gt;0,E126/E125,""),""),"—"))</f>
        <v/>
      </c>
      <c r="F127" s="50" t="str">
        <f>IF(F$102="","",IF(AND(Config!$Z$39&lt;&gt;"Não",Config!$AA$39&lt;&gt;"Não"),IF(AND(ISNUMBER(F126),ISNUMBER(F125)),IF(F125&gt;0,F126/F125,""),""),"—"))</f>
        <v/>
      </c>
      <c r="G127" s="50" t="str">
        <f>IF(G$102="","",IF(AND(Config!$Z$40&lt;&gt;"Não",Config!$AA$40&lt;&gt;"Não"),IF(AND(ISNUMBER(G126),ISNUMBER(G125)),IF(G125&gt;0,G126/G125,""),""),"—"))</f>
        <v/>
      </c>
      <c r="H127" s="50" t="str">
        <f>IF(H$102="","",IF(AND(Config!$Z$41&lt;&gt;"Não",Config!$AA$41&lt;&gt;"Não"),IF(AND(ISNUMBER(H126),ISNUMBER(H125)),IF(H125&gt;0,H126/H125,""),""),"—"))</f>
        <v/>
      </c>
      <c r="I127" s="50" t="str">
        <f>IF(I$102="","",IF(AND(Config!$Z$42&lt;&gt;"Não",Config!$AA$42&lt;&gt;"Não"),IF(AND(ISNUMBER(I126),ISNUMBER(I125)),IF(I125&gt;0,I126/I125,""),""),"—"))</f>
        <v/>
      </c>
      <c r="J127" s="50" t="str">
        <f>IF(J$102="","",IF(AND(Config!$Z$43&lt;&gt;"Não",Config!$AA$43&lt;&gt;"Não"),IF(AND(ISNUMBER(J126),ISNUMBER(J125)),IF(J125&gt;0,J126/J125,""),""),"—"))</f>
        <v/>
      </c>
      <c r="K127" s="50" t="str">
        <f>IF(K$102="","",IF(AND(Config!$Z$44&lt;&gt;"Não",Config!$AA$44&lt;&gt;"Não"),IF(AND(ISNUMBER(K126),ISNUMBER(K125)),IF(K125&gt;0,K126/K125,""),""),"—"))</f>
        <v/>
      </c>
      <c r="L127" s="50" t="str">
        <f>IF(L$102="","",IF(AND(Config!$Z$45&lt;&gt;"Não",Config!$AA$45&lt;&gt;"Não"),IF(AND(ISNUMBER(L126),ISNUMBER(L125)),IF(L125&gt;0,L126/L125,""),""),"—"))</f>
        <v/>
      </c>
      <c r="M127" s="50" t="str">
        <f>IF(M$102="","",IF(AND(Config!$Z$46&lt;&gt;"Não",Config!$AA$46&lt;&gt;"Não"),IF(AND(ISNUMBER(M126),ISNUMBER(M125)),IF(M125&gt;0,M126/M125,""),""),"—"))</f>
        <v/>
      </c>
      <c r="N127" s="50" t="str">
        <f>IF(N$102="","",IF(AND(Config!$Z$47&lt;&gt;"Não",Config!$AA$47&lt;&gt;"Não"),IF(AND(ISNUMBER(N126),ISNUMBER(N125)),IF(N125&gt;0,N126/N125,""),""),"—"))</f>
        <v/>
      </c>
      <c r="O127" s="50" t="str">
        <f>IF(O$102="","",IF(AND(Config!$Z$48&lt;&gt;"Não",Config!$AA$48&lt;&gt;"Não"),IF(AND(ISNUMBER(O126),ISNUMBER(O125)),IF(O125&gt;0,O126/O125,""),""),"—"))</f>
        <v/>
      </c>
      <c r="P127" s="50" t="str">
        <f>IF(P$102="","",IF(AND(Config!$Z$49&lt;&gt;"Não",Config!$AA$49&lt;&gt;"Não"),IF(AND(ISNUMBER(P126),ISNUMBER(P125)),IF(P125&gt;0,P126/P125,""),""),"—"))</f>
        <v/>
      </c>
      <c r="Q127" s="50" t="str">
        <f>IF(Q$102="","",IF(AND(Config!$Z$50&lt;&gt;"Não",Config!$AA$50&lt;&gt;"Não"),IF(AND(ISNUMBER(Q126),ISNUMBER(Q125)),IF(Q125&gt;0,Q126/Q125,""),""),"—"))</f>
        <v/>
      </c>
      <c r="R127" s="50" t="str">
        <f>IF(R$102="","",IF(AND(Config!$Z$51&lt;&gt;"Não",Config!$AA$51&lt;&gt;"Não"),IF(AND(ISNUMBER(R126),ISNUMBER(R125)),IF(R125&gt;0,R126/R125,""),""),"—"))</f>
        <v/>
      </c>
      <c r="S127" s="50" t="str">
        <f>IF(S$102="","",IF(AND(Config!$Z$52&lt;&gt;"Não",Config!$AA$52&lt;&gt;"Não"),IF(AND(ISNUMBER(S126),ISNUMBER(S125)),IF(S125&gt;0,S126/S125,""),""),"—"))</f>
        <v/>
      </c>
      <c r="T127" s="50" t="str">
        <f>IF(T$102="","",IF(AND(Config!$Z$53&lt;&gt;"Não",Config!$AA$53&lt;&gt;"Não"),IF(AND(ISNUMBER(T126),ISNUMBER(T125)),IF(T125&gt;0,T126/T125,""),""),"—"))</f>
        <v/>
      </c>
      <c r="U127" s="50" t="str">
        <f>IF(U$102="","",IF(AND(Config!$Z$54&lt;&gt;"Não",Config!$AA$54&lt;&gt;"Não"),IF(AND(ISNUMBER(U126),ISNUMBER(U125)),IF(U125&gt;0,U126/U125,""),""),"—"))</f>
        <v/>
      </c>
      <c r="V127" s="64">
        <f>IFERROR(V126/V125,"")</f>
        <v>0</v>
      </c>
    </row>
    <row r="128">
      <c r="A128" s="29" t="inlineStr">
        <is>
          <t xml:space="preserve">GENTE · Efetivo Op.</t>
        </is>
      </c>
      <c r="B128" s="32" t="str">
        <f>IF(B$102="","",IF(Config!$AB$35&lt;&gt;"Não",IF(COUNTIFS(BD!$B$3:$B$5001,B$102,BD!$A$3:$A$5001,"&gt;="&amp;$C$7,BD!$A$3:$A$5001,"&lt;="&amp;$D$7,BD!$AA$3:$AA$5001,"&lt;&gt;")=0,"",SUMIFS(BD!$AA$3:$AA$5001,BD!$B$3:$B$5001,B$102,BD!$A$3:$A$5001,_xlfn.MAXIFS(BD!$A$3:$A$5001,BD!$B$3:$B$5001,B$102,BD!$A$3:$A$5001,"&gt;="&amp;$C$7,BD!$A$3:$A$5001,"&lt;="&amp;$D$7,BD!$AA$3:$AA$5001,"&lt;&gt;"))),"—"))</f>
        <v/>
      </c>
      <c r="C128" s="32" t="str">
        <f>IF(C$102="","",IF(Config!$AB$36&lt;&gt;"Não",IF(COUNTIFS(BD!$B$3:$B$5001,C$102,BD!$A$3:$A$5001,"&gt;="&amp;$C$7,BD!$A$3:$A$5001,"&lt;="&amp;$D$7,BD!$AA$3:$AA$5001,"&lt;&gt;")=0,"",SUMIFS(BD!$AA$3:$AA$5001,BD!$B$3:$B$5001,C$102,BD!$A$3:$A$5001,_xlfn.MAXIFS(BD!$A$3:$A$5001,BD!$B$3:$B$5001,C$102,BD!$A$3:$A$5001,"&gt;="&amp;$C$7,BD!$A$3:$A$5001,"&lt;="&amp;$D$7,BD!$AA$3:$AA$5001,"&lt;&gt;"))),"—"))</f>
        <v/>
      </c>
      <c r="D128" s="32" t="str">
        <f>IF(D$102="","",IF(Config!$AB$37&lt;&gt;"Não",IF(COUNTIFS(BD!$B$3:$B$5001,D$102,BD!$A$3:$A$5001,"&gt;="&amp;$C$7,BD!$A$3:$A$5001,"&lt;="&amp;$D$7,BD!$AA$3:$AA$5001,"&lt;&gt;")=0,"",SUMIFS(BD!$AA$3:$AA$5001,BD!$B$3:$B$5001,D$102,BD!$A$3:$A$5001,_xlfn.MAXIFS(BD!$A$3:$A$5001,BD!$B$3:$B$5001,D$102,BD!$A$3:$A$5001,"&gt;="&amp;$C$7,BD!$A$3:$A$5001,"&lt;="&amp;$D$7,BD!$AA$3:$AA$5001,"&lt;&gt;"))),"—"))</f>
        <v/>
      </c>
      <c r="E128" s="32" t="str">
        <f>IF(E$102="","",IF(Config!$AB$38&lt;&gt;"Não",IF(COUNTIFS(BD!$B$3:$B$5001,E$102,BD!$A$3:$A$5001,"&gt;="&amp;$C$7,BD!$A$3:$A$5001,"&lt;="&amp;$D$7,BD!$AA$3:$AA$5001,"&lt;&gt;")=0,"",SUMIFS(BD!$AA$3:$AA$5001,BD!$B$3:$B$5001,E$102,BD!$A$3:$A$5001,_xlfn.MAXIFS(BD!$A$3:$A$5001,BD!$B$3:$B$5001,E$102,BD!$A$3:$A$5001,"&gt;="&amp;$C$7,BD!$A$3:$A$5001,"&lt;="&amp;$D$7,BD!$AA$3:$AA$5001,"&lt;&gt;"))),"—"))</f>
        <v/>
      </c>
      <c r="F128" s="32" t="str">
        <f>IF(F$102="","",IF(Config!$AB$39&lt;&gt;"Não",IF(COUNTIFS(BD!$B$3:$B$5001,F$102,BD!$A$3:$A$5001,"&gt;="&amp;$C$7,BD!$A$3:$A$5001,"&lt;="&amp;$D$7,BD!$AA$3:$AA$5001,"&lt;&gt;")=0,"",SUMIFS(BD!$AA$3:$AA$5001,BD!$B$3:$B$5001,F$102,BD!$A$3:$A$5001,_xlfn.MAXIFS(BD!$A$3:$A$5001,BD!$B$3:$B$5001,F$102,BD!$A$3:$A$5001,"&gt;="&amp;$C$7,BD!$A$3:$A$5001,"&lt;="&amp;$D$7,BD!$AA$3:$AA$5001,"&lt;&gt;"))),"—"))</f>
        <v/>
      </c>
      <c r="G128" s="32" t="str">
        <f>IF(G$102="","",IF(Config!$AB$40&lt;&gt;"Não",IF(COUNTIFS(BD!$B$3:$B$5001,G$102,BD!$A$3:$A$5001,"&gt;="&amp;$C$7,BD!$A$3:$A$5001,"&lt;="&amp;$D$7,BD!$AA$3:$AA$5001,"&lt;&gt;")=0,"",SUMIFS(BD!$AA$3:$AA$5001,BD!$B$3:$B$5001,G$102,BD!$A$3:$A$5001,_xlfn.MAXIFS(BD!$A$3:$A$5001,BD!$B$3:$B$5001,G$102,BD!$A$3:$A$5001,"&gt;="&amp;$C$7,BD!$A$3:$A$5001,"&lt;="&amp;$D$7,BD!$AA$3:$AA$5001,"&lt;&gt;"))),"—"))</f>
        <v/>
      </c>
      <c r="H128" s="32" t="str">
        <f>IF(H$102="","",IF(Config!$AB$41&lt;&gt;"Não",IF(COUNTIFS(BD!$B$3:$B$5001,H$102,BD!$A$3:$A$5001,"&gt;="&amp;$C$7,BD!$A$3:$A$5001,"&lt;="&amp;$D$7,BD!$AA$3:$AA$5001,"&lt;&gt;")=0,"",SUMIFS(BD!$AA$3:$AA$5001,BD!$B$3:$B$5001,H$102,BD!$A$3:$A$5001,_xlfn.MAXIFS(BD!$A$3:$A$5001,BD!$B$3:$B$5001,H$102,BD!$A$3:$A$5001,"&gt;="&amp;$C$7,BD!$A$3:$A$5001,"&lt;="&amp;$D$7,BD!$AA$3:$AA$5001,"&lt;&gt;"))),"—"))</f>
        <v/>
      </c>
      <c r="I128" s="32" t="str">
        <f>IF(I$102="","",IF(Config!$AB$42&lt;&gt;"Não",IF(COUNTIFS(BD!$B$3:$B$5001,I$102,BD!$A$3:$A$5001,"&gt;="&amp;$C$7,BD!$A$3:$A$5001,"&lt;="&amp;$D$7,BD!$AA$3:$AA$5001,"&lt;&gt;")=0,"",SUMIFS(BD!$AA$3:$AA$5001,BD!$B$3:$B$5001,I$102,BD!$A$3:$A$5001,_xlfn.MAXIFS(BD!$A$3:$A$5001,BD!$B$3:$B$5001,I$102,BD!$A$3:$A$5001,"&gt;="&amp;$C$7,BD!$A$3:$A$5001,"&lt;="&amp;$D$7,BD!$AA$3:$AA$5001,"&lt;&gt;"))),"—"))</f>
        <v/>
      </c>
      <c r="J128" s="32" t="str">
        <f>IF(J$102="","",IF(Config!$AB$43&lt;&gt;"Não",IF(COUNTIFS(BD!$B$3:$B$5001,J$102,BD!$A$3:$A$5001,"&gt;="&amp;$C$7,BD!$A$3:$A$5001,"&lt;="&amp;$D$7,BD!$AA$3:$AA$5001,"&lt;&gt;")=0,"",SUMIFS(BD!$AA$3:$AA$5001,BD!$B$3:$B$5001,J$102,BD!$A$3:$A$5001,_xlfn.MAXIFS(BD!$A$3:$A$5001,BD!$B$3:$B$5001,J$102,BD!$A$3:$A$5001,"&gt;="&amp;$C$7,BD!$A$3:$A$5001,"&lt;="&amp;$D$7,BD!$AA$3:$AA$5001,"&lt;&gt;"))),"—"))</f>
        <v/>
      </c>
      <c r="K128" s="32" t="str">
        <f>IF(K$102="","",IF(Config!$AB$44&lt;&gt;"Não",IF(COUNTIFS(BD!$B$3:$B$5001,K$102,BD!$A$3:$A$5001,"&gt;="&amp;$C$7,BD!$A$3:$A$5001,"&lt;="&amp;$D$7,BD!$AA$3:$AA$5001,"&lt;&gt;")=0,"",SUMIFS(BD!$AA$3:$AA$5001,BD!$B$3:$B$5001,K$102,BD!$A$3:$A$5001,_xlfn.MAXIFS(BD!$A$3:$A$5001,BD!$B$3:$B$5001,K$102,BD!$A$3:$A$5001,"&gt;="&amp;$C$7,BD!$A$3:$A$5001,"&lt;="&amp;$D$7,BD!$AA$3:$AA$5001,"&lt;&gt;"))),"—"))</f>
        <v/>
      </c>
      <c r="L128" s="32" t="str">
        <f>IF(L$102="","",IF(Config!$AB$45&lt;&gt;"Não",IF(COUNTIFS(BD!$B$3:$B$5001,L$102,BD!$A$3:$A$5001,"&gt;="&amp;$C$7,BD!$A$3:$A$5001,"&lt;="&amp;$D$7,BD!$AA$3:$AA$5001,"&lt;&gt;")=0,"",SUMIFS(BD!$AA$3:$AA$5001,BD!$B$3:$B$5001,L$102,BD!$A$3:$A$5001,_xlfn.MAXIFS(BD!$A$3:$A$5001,BD!$B$3:$B$5001,L$102,BD!$A$3:$A$5001,"&gt;="&amp;$C$7,BD!$A$3:$A$5001,"&lt;="&amp;$D$7,BD!$AA$3:$AA$5001,"&lt;&gt;"))),"—"))</f>
        <v/>
      </c>
      <c r="M128" s="32" t="str">
        <f>IF(M$102="","",IF(Config!$AB$46&lt;&gt;"Não",IF(COUNTIFS(BD!$B$3:$B$5001,M$102,BD!$A$3:$A$5001,"&gt;="&amp;$C$7,BD!$A$3:$A$5001,"&lt;="&amp;$D$7,BD!$AA$3:$AA$5001,"&lt;&gt;")=0,"",SUMIFS(BD!$AA$3:$AA$5001,BD!$B$3:$B$5001,M$102,BD!$A$3:$A$5001,_xlfn.MAXIFS(BD!$A$3:$A$5001,BD!$B$3:$B$5001,M$102,BD!$A$3:$A$5001,"&gt;="&amp;$C$7,BD!$A$3:$A$5001,"&lt;="&amp;$D$7,BD!$AA$3:$AA$5001,"&lt;&gt;"))),"—"))</f>
        <v/>
      </c>
      <c r="N128" s="32" t="str">
        <f>IF(N$102="","",IF(Config!$AB$47&lt;&gt;"Não",IF(COUNTIFS(BD!$B$3:$B$5001,N$102,BD!$A$3:$A$5001,"&gt;="&amp;$C$7,BD!$A$3:$A$5001,"&lt;="&amp;$D$7,BD!$AA$3:$AA$5001,"&lt;&gt;")=0,"",SUMIFS(BD!$AA$3:$AA$5001,BD!$B$3:$B$5001,N$102,BD!$A$3:$A$5001,_xlfn.MAXIFS(BD!$A$3:$A$5001,BD!$B$3:$B$5001,N$102,BD!$A$3:$A$5001,"&gt;="&amp;$C$7,BD!$A$3:$A$5001,"&lt;="&amp;$D$7,BD!$AA$3:$AA$5001,"&lt;&gt;"))),"—"))</f>
        <v/>
      </c>
      <c r="O128" s="32" t="str">
        <f>IF(O$102="","",IF(Config!$AB$48&lt;&gt;"Não",IF(COUNTIFS(BD!$B$3:$B$5001,O$102,BD!$A$3:$A$5001,"&gt;="&amp;$C$7,BD!$A$3:$A$5001,"&lt;="&amp;$D$7,BD!$AA$3:$AA$5001,"&lt;&gt;")=0,"",SUMIFS(BD!$AA$3:$AA$5001,BD!$B$3:$B$5001,O$102,BD!$A$3:$A$5001,_xlfn.MAXIFS(BD!$A$3:$A$5001,BD!$B$3:$B$5001,O$102,BD!$A$3:$A$5001,"&gt;="&amp;$C$7,BD!$A$3:$A$5001,"&lt;="&amp;$D$7,BD!$AA$3:$AA$5001,"&lt;&gt;"))),"—"))</f>
        <v/>
      </c>
      <c r="P128" s="32" t="str">
        <f>IF(P$102="","",IF(Config!$AB$49&lt;&gt;"Não",IF(COUNTIFS(BD!$B$3:$B$5001,P$102,BD!$A$3:$A$5001,"&gt;="&amp;$C$7,BD!$A$3:$A$5001,"&lt;="&amp;$D$7,BD!$AA$3:$AA$5001,"&lt;&gt;")=0,"",SUMIFS(BD!$AA$3:$AA$5001,BD!$B$3:$B$5001,P$102,BD!$A$3:$A$5001,_xlfn.MAXIFS(BD!$A$3:$A$5001,BD!$B$3:$B$5001,P$102,BD!$A$3:$A$5001,"&gt;="&amp;$C$7,BD!$A$3:$A$5001,"&lt;="&amp;$D$7,BD!$AA$3:$AA$5001,"&lt;&gt;"))),"—"))</f>
        <v/>
      </c>
      <c r="Q128" s="32" t="str">
        <f>IF(Q$102="","",IF(Config!$AB$50&lt;&gt;"Não",IF(COUNTIFS(BD!$B$3:$B$5001,Q$102,BD!$A$3:$A$5001,"&gt;="&amp;$C$7,BD!$A$3:$A$5001,"&lt;="&amp;$D$7,BD!$AA$3:$AA$5001,"&lt;&gt;")=0,"",SUMIFS(BD!$AA$3:$AA$5001,BD!$B$3:$B$5001,Q$102,BD!$A$3:$A$5001,_xlfn.MAXIFS(BD!$A$3:$A$5001,BD!$B$3:$B$5001,Q$102,BD!$A$3:$A$5001,"&gt;="&amp;$C$7,BD!$A$3:$A$5001,"&lt;="&amp;$D$7,BD!$AA$3:$AA$5001,"&lt;&gt;"))),"—"))</f>
        <v/>
      </c>
      <c r="R128" s="32" t="str">
        <f>IF(R$102="","",IF(Config!$AB$51&lt;&gt;"Não",IF(COUNTIFS(BD!$B$3:$B$5001,R$102,BD!$A$3:$A$5001,"&gt;="&amp;$C$7,BD!$A$3:$A$5001,"&lt;="&amp;$D$7,BD!$AA$3:$AA$5001,"&lt;&gt;")=0,"",SUMIFS(BD!$AA$3:$AA$5001,BD!$B$3:$B$5001,R$102,BD!$A$3:$A$5001,_xlfn.MAXIFS(BD!$A$3:$A$5001,BD!$B$3:$B$5001,R$102,BD!$A$3:$A$5001,"&gt;="&amp;$C$7,BD!$A$3:$A$5001,"&lt;="&amp;$D$7,BD!$AA$3:$AA$5001,"&lt;&gt;"))),"—"))</f>
        <v/>
      </c>
      <c r="S128" s="32" t="str">
        <f>IF(S$102="","",IF(Config!$AB$52&lt;&gt;"Não",IF(COUNTIFS(BD!$B$3:$B$5001,S$102,BD!$A$3:$A$5001,"&gt;="&amp;$C$7,BD!$A$3:$A$5001,"&lt;="&amp;$D$7,BD!$AA$3:$AA$5001,"&lt;&gt;")=0,"",SUMIFS(BD!$AA$3:$AA$5001,BD!$B$3:$B$5001,S$102,BD!$A$3:$A$5001,_xlfn.MAXIFS(BD!$A$3:$A$5001,BD!$B$3:$B$5001,S$102,BD!$A$3:$A$5001,"&gt;="&amp;$C$7,BD!$A$3:$A$5001,"&lt;="&amp;$D$7,BD!$AA$3:$AA$5001,"&lt;&gt;"))),"—"))</f>
        <v/>
      </c>
      <c r="T128" s="32" t="str">
        <f>IF(T$102="","",IF(Config!$AB$53&lt;&gt;"Não",IF(COUNTIFS(BD!$B$3:$B$5001,T$102,BD!$A$3:$A$5001,"&gt;="&amp;$C$7,BD!$A$3:$A$5001,"&lt;="&amp;$D$7,BD!$AA$3:$AA$5001,"&lt;&gt;")=0,"",SUMIFS(BD!$AA$3:$AA$5001,BD!$B$3:$B$5001,T$102,BD!$A$3:$A$5001,_xlfn.MAXIFS(BD!$A$3:$A$5001,BD!$B$3:$B$5001,T$102,BD!$A$3:$A$5001,"&gt;="&amp;$C$7,BD!$A$3:$A$5001,"&lt;="&amp;$D$7,BD!$AA$3:$AA$5001,"&lt;&gt;"))),"—"))</f>
        <v/>
      </c>
      <c r="U128" s="32" t="str">
        <f>IF(U$102="","",IF(Config!$AB$54&lt;&gt;"Não",IF(COUNTIFS(BD!$B$3:$B$5001,U$102,BD!$A$3:$A$5001,"&gt;="&amp;$C$7,BD!$A$3:$A$5001,"&lt;="&amp;$D$7,BD!$AA$3:$AA$5001,"&lt;&gt;")=0,"",SUMIFS(BD!$AA$3:$AA$5001,BD!$B$3:$B$5001,U$102,BD!$A$3:$A$5001,_xlfn.MAXIFS(BD!$A$3:$A$5001,BD!$B$3:$B$5001,U$102,BD!$A$3:$A$5001,"&gt;="&amp;$C$7,BD!$A$3:$A$5001,"&lt;="&amp;$D$7,BD!$AA$3:$AA$5001,"&lt;&gt;"))),"—"))</f>
        <v/>
      </c>
      <c r="V128" s="62">
        <f>SUM(B128:U128)</f>
        <v>0</v>
      </c>
    </row>
    <row r="129">
      <c r="A129" s="29" t="inlineStr">
        <is>
          <t xml:space="preserve">GENTE · Falta</t>
        </is>
      </c>
      <c r="B129" s="32">
        <f>IF(B$102="","",IF(Config!$AC$35&lt;&gt;"Não",SUMIFS(BD!$AB$3:$AB$5001,BD!$B$3:$B$5001,B$102,BD!$A$3:$A$5001,"&gt;="&amp;$C$7,BD!$A$3:$A$5001,"&lt;="&amp;$D$7),"—"))</f>
        <v>0</v>
      </c>
      <c r="C129" s="32">
        <f>IF(C$102="","",IF(Config!$AC$36&lt;&gt;"Não",SUMIFS(BD!$AB$3:$AB$5001,BD!$B$3:$B$5001,C$102,BD!$A$3:$A$5001,"&gt;="&amp;$C$7,BD!$A$3:$A$5001,"&lt;="&amp;$D$7),"—"))</f>
        <v>0</v>
      </c>
      <c r="D129" s="32">
        <f>IF(D$102="","",IF(Config!$AC$37&lt;&gt;"Não",SUMIFS(BD!$AB$3:$AB$5001,BD!$B$3:$B$5001,D$102,BD!$A$3:$A$5001,"&gt;="&amp;$C$7,BD!$A$3:$A$5001,"&lt;="&amp;$D$7),"—"))</f>
        <v>0</v>
      </c>
      <c r="E129" s="32">
        <f>IF(E$102="","",IF(Config!$AC$38&lt;&gt;"Não",SUMIFS(BD!$AB$3:$AB$5001,BD!$B$3:$B$5001,E$102,BD!$A$3:$A$5001,"&gt;="&amp;$C$7,BD!$A$3:$A$5001,"&lt;="&amp;$D$7),"—"))</f>
        <v>0</v>
      </c>
      <c r="F129" s="32">
        <f>IF(F$102="","",IF(Config!$AC$39&lt;&gt;"Não",SUMIFS(BD!$AB$3:$AB$5001,BD!$B$3:$B$5001,F$102,BD!$A$3:$A$5001,"&gt;="&amp;$C$7,BD!$A$3:$A$5001,"&lt;="&amp;$D$7),"—"))</f>
        <v>0</v>
      </c>
      <c r="G129" s="32">
        <f>IF(G$102="","",IF(Config!$AC$40&lt;&gt;"Não",SUMIFS(BD!$AB$3:$AB$5001,BD!$B$3:$B$5001,G$102,BD!$A$3:$A$5001,"&gt;="&amp;$C$7,BD!$A$3:$A$5001,"&lt;="&amp;$D$7),"—"))</f>
        <v>0</v>
      </c>
      <c r="H129" s="32">
        <f>IF(H$102="","",IF(Config!$AC$41&lt;&gt;"Não",SUMIFS(BD!$AB$3:$AB$5001,BD!$B$3:$B$5001,H$102,BD!$A$3:$A$5001,"&gt;="&amp;$C$7,BD!$A$3:$A$5001,"&lt;="&amp;$D$7),"—"))</f>
        <v>0</v>
      </c>
      <c r="I129" s="32">
        <f>IF(I$102="","",IF(Config!$AC$42&lt;&gt;"Não",SUMIFS(BD!$AB$3:$AB$5001,BD!$B$3:$B$5001,I$102,BD!$A$3:$A$5001,"&gt;="&amp;$C$7,BD!$A$3:$A$5001,"&lt;="&amp;$D$7),"—"))</f>
        <v>0</v>
      </c>
      <c r="J129" s="32">
        <f>IF(J$102="","",IF(Config!$AC$43&lt;&gt;"Não",SUMIFS(BD!$AB$3:$AB$5001,BD!$B$3:$B$5001,J$102,BD!$A$3:$A$5001,"&gt;="&amp;$C$7,BD!$A$3:$A$5001,"&lt;="&amp;$D$7),"—"))</f>
        <v>0</v>
      </c>
      <c r="K129" s="32">
        <f>IF(K$102="","",IF(Config!$AC$44&lt;&gt;"Não",SUMIFS(BD!$AB$3:$AB$5001,BD!$B$3:$B$5001,K$102,BD!$A$3:$A$5001,"&gt;="&amp;$C$7,BD!$A$3:$A$5001,"&lt;="&amp;$D$7),"—"))</f>
        <v>0</v>
      </c>
      <c r="L129" s="32" t="str">
        <f>IF(L$102="","",IF(Config!$AC$45&lt;&gt;"Não",SUMIFS(BD!$AB$3:$AB$5001,BD!$B$3:$B$5001,L$102,BD!$A$3:$A$5001,"&gt;="&amp;$C$7,BD!$A$3:$A$5001,"&lt;="&amp;$D$7),"—"))</f>
        <v/>
      </c>
      <c r="M129" s="32" t="str">
        <f>IF(M$102="","",IF(Config!$AC$46&lt;&gt;"Não",SUMIFS(BD!$AB$3:$AB$5001,BD!$B$3:$B$5001,M$102,BD!$A$3:$A$5001,"&gt;="&amp;$C$7,BD!$A$3:$A$5001,"&lt;="&amp;$D$7),"—"))</f>
        <v/>
      </c>
      <c r="N129" s="32" t="str">
        <f>IF(N$102="","",IF(Config!$AC$47&lt;&gt;"Não",SUMIFS(BD!$AB$3:$AB$5001,BD!$B$3:$B$5001,N$102,BD!$A$3:$A$5001,"&gt;="&amp;$C$7,BD!$A$3:$A$5001,"&lt;="&amp;$D$7),"—"))</f>
        <v/>
      </c>
      <c r="O129" s="32" t="str">
        <f>IF(O$102="","",IF(Config!$AC$48&lt;&gt;"Não",SUMIFS(BD!$AB$3:$AB$5001,BD!$B$3:$B$5001,O$102,BD!$A$3:$A$5001,"&gt;="&amp;$C$7,BD!$A$3:$A$5001,"&lt;="&amp;$D$7),"—"))</f>
        <v/>
      </c>
      <c r="P129" s="32" t="str">
        <f>IF(P$102="","",IF(Config!$AC$49&lt;&gt;"Não",SUMIFS(BD!$AB$3:$AB$5001,BD!$B$3:$B$5001,P$102,BD!$A$3:$A$5001,"&gt;="&amp;$C$7,BD!$A$3:$A$5001,"&lt;="&amp;$D$7),"—"))</f>
        <v/>
      </c>
      <c r="Q129" s="32" t="str">
        <f>IF(Q$102="","",IF(Config!$AC$50&lt;&gt;"Não",SUMIFS(BD!$AB$3:$AB$5001,BD!$B$3:$B$5001,Q$102,BD!$A$3:$A$5001,"&gt;="&amp;$C$7,BD!$A$3:$A$5001,"&lt;="&amp;$D$7),"—"))</f>
        <v/>
      </c>
      <c r="R129" s="32" t="str">
        <f>IF(R$102="","",IF(Config!$AC$51&lt;&gt;"Não",SUMIFS(BD!$AB$3:$AB$5001,BD!$B$3:$B$5001,R$102,BD!$A$3:$A$5001,"&gt;="&amp;$C$7,BD!$A$3:$A$5001,"&lt;="&amp;$D$7),"—"))</f>
        <v/>
      </c>
      <c r="S129" s="32" t="str">
        <f>IF(S$102="","",IF(Config!$AC$52&lt;&gt;"Não",SUMIFS(BD!$AB$3:$AB$5001,BD!$B$3:$B$5001,S$102,BD!$A$3:$A$5001,"&gt;="&amp;$C$7,BD!$A$3:$A$5001,"&lt;="&amp;$D$7),"—"))</f>
        <v/>
      </c>
      <c r="T129" s="32" t="str">
        <f>IF(T$102="","",IF(Config!$AC$53&lt;&gt;"Não",SUMIFS(BD!$AB$3:$AB$5001,BD!$B$3:$B$5001,T$102,BD!$A$3:$A$5001,"&gt;="&amp;$C$7,BD!$A$3:$A$5001,"&lt;="&amp;$D$7),"—"))</f>
        <v/>
      </c>
      <c r="U129" s="32" t="str">
        <f>IF(U$102="","",IF(Config!$AC$54&lt;&gt;"Não",SUMIFS(BD!$AB$3:$AB$5001,BD!$B$3:$B$5001,U$102,BD!$A$3:$A$5001,"&gt;="&amp;$C$7,BD!$A$3:$A$5001,"&lt;="&amp;$D$7),"—"))</f>
        <v/>
      </c>
      <c r="V129" s="62">
        <f>SUM(B129:U129)</f>
        <v>0</v>
      </c>
    </row>
    <row r="130">
      <c r="A130" s="29" t="inlineStr">
        <is>
          <t xml:space="preserve">GENTE · Folga</t>
        </is>
      </c>
      <c r="B130" s="32">
        <f>IF(B$102="","",IF(Config!$AD$35&lt;&gt;"Não",SUMIFS(BD!$AC$3:$AC$5001,BD!$B$3:$B$5001,B$102,BD!$A$3:$A$5001,"&gt;="&amp;$C$7,BD!$A$3:$A$5001,"&lt;="&amp;$D$7),"—"))</f>
        <v>0</v>
      </c>
      <c r="C130" s="32">
        <f>IF(C$102="","",IF(Config!$AD$36&lt;&gt;"Não",SUMIFS(BD!$AC$3:$AC$5001,BD!$B$3:$B$5001,C$102,BD!$A$3:$A$5001,"&gt;="&amp;$C$7,BD!$A$3:$A$5001,"&lt;="&amp;$D$7),"—"))</f>
        <v>0</v>
      </c>
      <c r="D130" s="32">
        <f>IF(D$102="","",IF(Config!$AD$37&lt;&gt;"Não",SUMIFS(BD!$AC$3:$AC$5001,BD!$B$3:$B$5001,D$102,BD!$A$3:$A$5001,"&gt;="&amp;$C$7,BD!$A$3:$A$5001,"&lt;="&amp;$D$7),"—"))</f>
        <v>0</v>
      </c>
      <c r="E130" s="32">
        <f>IF(E$102="","",IF(Config!$AD$38&lt;&gt;"Não",SUMIFS(BD!$AC$3:$AC$5001,BD!$B$3:$B$5001,E$102,BD!$A$3:$A$5001,"&gt;="&amp;$C$7,BD!$A$3:$A$5001,"&lt;="&amp;$D$7),"—"))</f>
        <v>0</v>
      </c>
      <c r="F130" s="32">
        <f>IF(F$102="","",IF(Config!$AD$39&lt;&gt;"Não",SUMIFS(BD!$AC$3:$AC$5001,BD!$B$3:$B$5001,F$102,BD!$A$3:$A$5001,"&gt;="&amp;$C$7,BD!$A$3:$A$5001,"&lt;="&amp;$D$7),"—"))</f>
        <v>0</v>
      </c>
      <c r="G130" s="32">
        <f>IF(G$102="","",IF(Config!$AD$40&lt;&gt;"Não",SUMIFS(BD!$AC$3:$AC$5001,BD!$B$3:$B$5001,G$102,BD!$A$3:$A$5001,"&gt;="&amp;$C$7,BD!$A$3:$A$5001,"&lt;="&amp;$D$7),"—"))</f>
        <v>0</v>
      </c>
      <c r="H130" s="32">
        <f>IF(H$102="","",IF(Config!$AD$41&lt;&gt;"Não",SUMIFS(BD!$AC$3:$AC$5001,BD!$B$3:$B$5001,H$102,BD!$A$3:$A$5001,"&gt;="&amp;$C$7,BD!$A$3:$A$5001,"&lt;="&amp;$D$7),"—"))</f>
        <v>0</v>
      </c>
      <c r="I130" s="32">
        <f>IF(I$102="","",IF(Config!$AD$42&lt;&gt;"Não",SUMIFS(BD!$AC$3:$AC$5001,BD!$B$3:$B$5001,I$102,BD!$A$3:$A$5001,"&gt;="&amp;$C$7,BD!$A$3:$A$5001,"&lt;="&amp;$D$7),"—"))</f>
        <v>0</v>
      </c>
      <c r="J130" s="32">
        <f>IF(J$102="","",IF(Config!$AD$43&lt;&gt;"Não",SUMIFS(BD!$AC$3:$AC$5001,BD!$B$3:$B$5001,J$102,BD!$A$3:$A$5001,"&gt;="&amp;$C$7,BD!$A$3:$A$5001,"&lt;="&amp;$D$7),"—"))</f>
        <v>0</v>
      </c>
      <c r="K130" s="32">
        <f>IF(K$102="","",IF(Config!$AD$44&lt;&gt;"Não",SUMIFS(BD!$AC$3:$AC$5001,BD!$B$3:$B$5001,K$102,BD!$A$3:$A$5001,"&gt;="&amp;$C$7,BD!$A$3:$A$5001,"&lt;="&amp;$D$7),"—"))</f>
        <v>0</v>
      </c>
      <c r="L130" s="32" t="str">
        <f>IF(L$102="","",IF(Config!$AD$45&lt;&gt;"Não",SUMIFS(BD!$AC$3:$AC$5001,BD!$B$3:$B$5001,L$102,BD!$A$3:$A$5001,"&gt;="&amp;$C$7,BD!$A$3:$A$5001,"&lt;="&amp;$D$7),"—"))</f>
        <v/>
      </c>
      <c r="M130" s="32" t="str">
        <f>IF(M$102="","",IF(Config!$AD$46&lt;&gt;"Não",SUMIFS(BD!$AC$3:$AC$5001,BD!$B$3:$B$5001,M$102,BD!$A$3:$A$5001,"&gt;="&amp;$C$7,BD!$A$3:$A$5001,"&lt;="&amp;$D$7),"—"))</f>
        <v/>
      </c>
      <c r="N130" s="32" t="str">
        <f>IF(N$102="","",IF(Config!$AD$47&lt;&gt;"Não",SUMIFS(BD!$AC$3:$AC$5001,BD!$B$3:$B$5001,N$102,BD!$A$3:$A$5001,"&gt;="&amp;$C$7,BD!$A$3:$A$5001,"&lt;="&amp;$D$7),"—"))</f>
        <v/>
      </c>
      <c r="O130" s="32" t="str">
        <f>IF(O$102="","",IF(Config!$AD$48&lt;&gt;"Não",SUMIFS(BD!$AC$3:$AC$5001,BD!$B$3:$B$5001,O$102,BD!$A$3:$A$5001,"&gt;="&amp;$C$7,BD!$A$3:$A$5001,"&lt;="&amp;$D$7),"—"))</f>
        <v/>
      </c>
      <c r="P130" s="32" t="str">
        <f>IF(P$102="","",IF(Config!$AD$49&lt;&gt;"Não",SUMIFS(BD!$AC$3:$AC$5001,BD!$B$3:$B$5001,P$102,BD!$A$3:$A$5001,"&gt;="&amp;$C$7,BD!$A$3:$A$5001,"&lt;="&amp;$D$7),"—"))</f>
        <v/>
      </c>
      <c r="Q130" s="32" t="str">
        <f>IF(Q$102="","",IF(Config!$AD$50&lt;&gt;"Não",SUMIFS(BD!$AC$3:$AC$5001,BD!$B$3:$B$5001,Q$102,BD!$A$3:$A$5001,"&gt;="&amp;$C$7,BD!$A$3:$A$5001,"&lt;="&amp;$D$7),"—"))</f>
        <v/>
      </c>
      <c r="R130" s="32" t="str">
        <f>IF(R$102="","",IF(Config!$AD$51&lt;&gt;"Não",SUMIFS(BD!$AC$3:$AC$5001,BD!$B$3:$B$5001,R$102,BD!$A$3:$A$5001,"&gt;="&amp;$C$7,BD!$A$3:$A$5001,"&lt;="&amp;$D$7),"—"))</f>
        <v/>
      </c>
      <c r="S130" s="32" t="str">
        <f>IF(S$102="","",IF(Config!$AD$52&lt;&gt;"Não",SUMIFS(BD!$AC$3:$AC$5001,BD!$B$3:$B$5001,S$102,BD!$A$3:$A$5001,"&gt;="&amp;$C$7,BD!$A$3:$A$5001,"&lt;="&amp;$D$7),"—"))</f>
        <v/>
      </c>
      <c r="T130" s="32" t="str">
        <f>IF(T$102="","",IF(Config!$AD$53&lt;&gt;"Não",SUMIFS(BD!$AC$3:$AC$5001,BD!$B$3:$B$5001,T$102,BD!$A$3:$A$5001,"&gt;="&amp;$C$7,BD!$A$3:$A$5001,"&lt;="&amp;$D$7),"—"))</f>
        <v/>
      </c>
      <c r="U130" s="32" t="str">
        <f>IF(U$102="","",IF(Config!$AD$54&lt;&gt;"Não",SUMIFS(BD!$AC$3:$AC$5001,BD!$B$3:$B$5001,U$102,BD!$A$3:$A$5001,"&gt;="&amp;$C$7,BD!$A$3:$A$5001,"&lt;="&amp;$D$7),"—"))</f>
        <v/>
      </c>
      <c r="V130" s="62">
        <f>SUM(B130:U130)</f>
        <v>0</v>
      </c>
    </row>
    <row r="131">
      <c r="A131" s="29" t="inlineStr">
        <is>
          <t xml:space="preserve">GENTE · Férias</t>
        </is>
      </c>
      <c r="B131" s="32">
        <f>IF(B$102="","",IF(Config!$AE$35&lt;&gt;"Não",SUMIFS(BD!$AD$3:$AD$5001,BD!$B$3:$B$5001,B$102,BD!$A$3:$A$5001,"&gt;="&amp;$C$7,BD!$A$3:$A$5001,"&lt;="&amp;$D$7),"—"))</f>
        <v>0</v>
      </c>
      <c r="C131" s="32">
        <f>IF(C$102="","",IF(Config!$AE$36&lt;&gt;"Não",SUMIFS(BD!$AD$3:$AD$5001,BD!$B$3:$B$5001,C$102,BD!$A$3:$A$5001,"&gt;="&amp;$C$7,BD!$A$3:$A$5001,"&lt;="&amp;$D$7),"—"))</f>
        <v>0</v>
      </c>
      <c r="D131" s="32">
        <f>IF(D$102="","",IF(Config!$AE$37&lt;&gt;"Não",SUMIFS(BD!$AD$3:$AD$5001,BD!$B$3:$B$5001,D$102,BD!$A$3:$A$5001,"&gt;="&amp;$C$7,BD!$A$3:$A$5001,"&lt;="&amp;$D$7),"—"))</f>
        <v>0</v>
      </c>
      <c r="E131" s="32">
        <f>IF(E$102="","",IF(Config!$AE$38&lt;&gt;"Não",SUMIFS(BD!$AD$3:$AD$5001,BD!$B$3:$B$5001,E$102,BD!$A$3:$A$5001,"&gt;="&amp;$C$7,BD!$A$3:$A$5001,"&lt;="&amp;$D$7),"—"))</f>
        <v>0</v>
      </c>
      <c r="F131" s="32">
        <f>IF(F$102="","",IF(Config!$AE$39&lt;&gt;"Não",SUMIFS(BD!$AD$3:$AD$5001,BD!$B$3:$B$5001,F$102,BD!$A$3:$A$5001,"&gt;="&amp;$C$7,BD!$A$3:$A$5001,"&lt;="&amp;$D$7),"—"))</f>
        <v>0</v>
      </c>
      <c r="G131" s="32">
        <f>IF(G$102="","",IF(Config!$AE$40&lt;&gt;"Não",SUMIFS(BD!$AD$3:$AD$5001,BD!$B$3:$B$5001,G$102,BD!$A$3:$A$5001,"&gt;="&amp;$C$7,BD!$A$3:$A$5001,"&lt;="&amp;$D$7),"—"))</f>
        <v>0</v>
      </c>
      <c r="H131" s="32">
        <f>IF(H$102="","",IF(Config!$AE$41&lt;&gt;"Não",SUMIFS(BD!$AD$3:$AD$5001,BD!$B$3:$B$5001,H$102,BD!$A$3:$A$5001,"&gt;="&amp;$C$7,BD!$A$3:$A$5001,"&lt;="&amp;$D$7),"—"))</f>
        <v>0</v>
      </c>
      <c r="I131" s="32">
        <f>IF(I$102="","",IF(Config!$AE$42&lt;&gt;"Não",SUMIFS(BD!$AD$3:$AD$5001,BD!$B$3:$B$5001,I$102,BD!$A$3:$A$5001,"&gt;="&amp;$C$7,BD!$A$3:$A$5001,"&lt;="&amp;$D$7),"—"))</f>
        <v>0</v>
      </c>
      <c r="J131" s="32">
        <f>IF(J$102="","",IF(Config!$AE$43&lt;&gt;"Não",SUMIFS(BD!$AD$3:$AD$5001,BD!$B$3:$B$5001,J$102,BD!$A$3:$A$5001,"&gt;="&amp;$C$7,BD!$A$3:$A$5001,"&lt;="&amp;$D$7),"—"))</f>
        <v>0</v>
      </c>
      <c r="K131" s="32">
        <f>IF(K$102="","",IF(Config!$AE$44&lt;&gt;"Não",SUMIFS(BD!$AD$3:$AD$5001,BD!$B$3:$B$5001,K$102,BD!$A$3:$A$5001,"&gt;="&amp;$C$7,BD!$A$3:$A$5001,"&lt;="&amp;$D$7),"—"))</f>
        <v>0</v>
      </c>
      <c r="L131" s="32" t="str">
        <f>IF(L$102="","",IF(Config!$AE$45&lt;&gt;"Não",SUMIFS(BD!$AD$3:$AD$5001,BD!$B$3:$B$5001,L$102,BD!$A$3:$A$5001,"&gt;="&amp;$C$7,BD!$A$3:$A$5001,"&lt;="&amp;$D$7),"—"))</f>
        <v/>
      </c>
      <c r="M131" s="32" t="str">
        <f>IF(M$102="","",IF(Config!$AE$46&lt;&gt;"Não",SUMIFS(BD!$AD$3:$AD$5001,BD!$B$3:$B$5001,M$102,BD!$A$3:$A$5001,"&gt;="&amp;$C$7,BD!$A$3:$A$5001,"&lt;="&amp;$D$7),"—"))</f>
        <v/>
      </c>
      <c r="N131" s="32" t="str">
        <f>IF(N$102="","",IF(Config!$AE$47&lt;&gt;"Não",SUMIFS(BD!$AD$3:$AD$5001,BD!$B$3:$B$5001,N$102,BD!$A$3:$A$5001,"&gt;="&amp;$C$7,BD!$A$3:$A$5001,"&lt;="&amp;$D$7),"—"))</f>
        <v/>
      </c>
      <c r="O131" s="32" t="str">
        <f>IF(O$102="","",IF(Config!$AE$48&lt;&gt;"Não",SUMIFS(BD!$AD$3:$AD$5001,BD!$B$3:$B$5001,O$102,BD!$A$3:$A$5001,"&gt;="&amp;$C$7,BD!$A$3:$A$5001,"&lt;="&amp;$D$7),"—"))</f>
        <v/>
      </c>
      <c r="P131" s="32" t="str">
        <f>IF(P$102="","",IF(Config!$AE$49&lt;&gt;"Não",SUMIFS(BD!$AD$3:$AD$5001,BD!$B$3:$B$5001,P$102,BD!$A$3:$A$5001,"&gt;="&amp;$C$7,BD!$A$3:$A$5001,"&lt;="&amp;$D$7),"—"))</f>
        <v/>
      </c>
      <c r="Q131" s="32" t="str">
        <f>IF(Q$102="","",IF(Config!$AE$50&lt;&gt;"Não",SUMIFS(BD!$AD$3:$AD$5001,BD!$B$3:$B$5001,Q$102,BD!$A$3:$A$5001,"&gt;="&amp;$C$7,BD!$A$3:$A$5001,"&lt;="&amp;$D$7),"—"))</f>
        <v/>
      </c>
      <c r="R131" s="32" t="str">
        <f>IF(R$102="","",IF(Config!$AE$51&lt;&gt;"Não",SUMIFS(BD!$AD$3:$AD$5001,BD!$B$3:$B$5001,R$102,BD!$A$3:$A$5001,"&gt;="&amp;$C$7,BD!$A$3:$A$5001,"&lt;="&amp;$D$7),"—"))</f>
        <v/>
      </c>
      <c r="S131" s="32" t="str">
        <f>IF(S$102="","",IF(Config!$AE$52&lt;&gt;"Não",SUMIFS(BD!$AD$3:$AD$5001,BD!$B$3:$B$5001,S$102,BD!$A$3:$A$5001,"&gt;="&amp;$C$7,BD!$A$3:$A$5001,"&lt;="&amp;$D$7),"—"))</f>
        <v/>
      </c>
      <c r="T131" s="32" t="str">
        <f>IF(T$102="","",IF(Config!$AE$53&lt;&gt;"Não",SUMIFS(BD!$AD$3:$AD$5001,BD!$B$3:$B$5001,T$102,BD!$A$3:$A$5001,"&gt;="&amp;$C$7,BD!$A$3:$A$5001,"&lt;="&amp;$D$7),"—"))</f>
        <v/>
      </c>
      <c r="U131" s="32" t="str">
        <f>IF(U$102="","",IF(Config!$AE$54&lt;&gt;"Não",SUMIFS(BD!$AD$3:$AD$5001,BD!$B$3:$B$5001,U$102,BD!$A$3:$A$5001,"&gt;="&amp;$C$7,BD!$A$3:$A$5001,"&lt;="&amp;$D$7),"—"))</f>
        <v/>
      </c>
      <c r="V131" s="62">
        <f>SUM(B131:U131)</f>
        <v>0</v>
      </c>
    </row>
    <row r="132">
      <c r="A132" s="29" t="inlineStr">
        <is>
          <t xml:space="preserve">GENTE · Desligamento</t>
        </is>
      </c>
      <c r="B132" s="32">
        <f>IF(B$102="","",IF(Config!$AF$35&lt;&gt;"Não",SUMIFS(BD!$AE$3:$AE$5001,BD!$B$3:$B$5001,B$102,BD!$A$3:$A$5001,"&gt;="&amp;$C$7,BD!$A$3:$A$5001,"&lt;="&amp;$D$7),"—"))</f>
        <v>0</v>
      </c>
      <c r="C132" s="32">
        <f>IF(C$102="","",IF(Config!$AF$36&lt;&gt;"Não",SUMIFS(BD!$AE$3:$AE$5001,BD!$B$3:$B$5001,C$102,BD!$A$3:$A$5001,"&gt;="&amp;$C$7,BD!$A$3:$A$5001,"&lt;="&amp;$D$7),"—"))</f>
        <v>0</v>
      </c>
      <c r="D132" s="32">
        <f>IF(D$102="","",IF(Config!$AF$37&lt;&gt;"Não",SUMIFS(BD!$AE$3:$AE$5001,BD!$B$3:$B$5001,D$102,BD!$A$3:$A$5001,"&gt;="&amp;$C$7,BD!$A$3:$A$5001,"&lt;="&amp;$D$7),"—"))</f>
        <v>0</v>
      </c>
      <c r="E132" s="32">
        <f>IF(E$102="","",IF(Config!$AF$38&lt;&gt;"Não",SUMIFS(BD!$AE$3:$AE$5001,BD!$B$3:$B$5001,E$102,BD!$A$3:$A$5001,"&gt;="&amp;$C$7,BD!$A$3:$A$5001,"&lt;="&amp;$D$7),"—"))</f>
        <v>0</v>
      </c>
      <c r="F132" s="32">
        <f>IF(F$102="","",IF(Config!$AF$39&lt;&gt;"Não",SUMIFS(BD!$AE$3:$AE$5001,BD!$B$3:$B$5001,F$102,BD!$A$3:$A$5001,"&gt;="&amp;$C$7,BD!$A$3:$A$5001,"&lt;="&amp;$D$7),"—"))</f>
        <v>0</v>
      </c>
      <c r="G132" s="32">
        <f>IF(G$102="","",IF(Config!$AF$40&lt;&gt;"Não",SUMIFS(BD!$AE$3:$AE$5001,BD!$B$3:$B$5001,G$102,BD!$A$3:$A$5001,"&gt;="&amp;$C$7,BD!$A$3:$A$5001,"&lt;="&amp;$D$7),"—"))</f>
        <v>0</v>
      </c>
      <c r="H132" s="32">
        <f>IF(H$102="","",IF(Config!$AF$41&lt;&gt;"Não",SUMIFS(BD!$AE$3:$AE$5001,BD!$B$3:$B$5001,H$102,BD!$A$3:$A$5001,"&gt;="&amp;$C$7,BD!$A$3:$A$5001,"&lt;="&amp;$D$7),"—"))</f>
        <v>0</v>
      </c>
      <c r="I132" s="32">
        <f>IF(I$102="","",IF(Config!$AF$42&lt;&gt;"Não",SUMIFS(BD!$AE$3:$AE$5001,BD!$B$3:$B$5001,I$102,BD!$A$3:$A$5001,"&gt;="&amp;$C$7,BD!$A$3:$A$5001,"&lt;="&amp;$D$7),"—"))</f>
        <v>0</v>
      </c>
      <c r="J132" s="32">
        <f>IF(J$102="","",IF(Config!$AF$43&lt;&gt;"Não",SUMIFS(BD!$AE$3:$AE$5001,BD!$B$3:$B$5001,J$102,BD!$A$3:$A$5001,"&gt;="&amp;$C$7,BD!$A$3:$A$5001,"&lt;="&amp;$D$7),"—"))</f>
        <v>0</v>
      </c>
      <c r="K132" s="32">
        <f>IF(K$102="","",IF(Config!$AF$44&lt;&gt;"Não",SUMIFS(BD!$AE$3:$AE$5001,BD!$B$3:$B$5001,K$102,BD!$A$3:$A$5001,"&gt;="&amp;$C$7,BD!$A$3:$A$5001,"&lt;="&amp;$D$7),"—"))</f>
        <v>0</v>
      </c>
      <c r="L132" s="32" t="str">
        <f>IF(L$102="","",IF(Config!$AF$45&lt;&gt;"Não",SUMIFS(BD!$AE$3:$AE$5001,BD!$B$3:$B$5001,L$102,BD!$A$3:$A$5001,"&gt;="&amp;$C$7,BD!$A$3:$A$5001,"&lt;="&amp;$D$7),"—"))</f>
        <v/>
      </c>
      <c r="M132" s="32" t="str">
        <f>IF(M$102="","",IF(Config!$AF$46&lt;&gt;"Não",SUMIFS(BD!$AE$3:$AE$5001,BD!$B$3:$B$5001,M$102,BD!$A$3:$A$5001,"&gt;="&amp;$C$7,BD!$A$3:$A$5001,"&lt;="&amp;$D$7),"—"))</f>
        <v/>
      </c>
      <c r="N132" s="32" t="str">
        <f>IF(N$102="","",IF(Config!$AF$47&lt;&gt;"Não",SUMIFS(BD!$AE$3:$AE$5001,BD!$B$3:$B$5001,N$102,BD!$A$3:$A$5001,"&gt;="&amp;$C$7,BD!$A$3:$A$5001,"&lt;="&amp;$D$7),"—"))</f>
        <v/>
      </c>
      <c r="O132" s="32" t="str">
        <f>IF(O$102="","",IF(Config!$AF$48&lt;&gt;"Não",SUMIFS(BD!$AE$3:$AE$5001,BD!$B$3:$B$5001,O$102,BD!$A$3:$A$5001,"&gt;="&amp;$C$7,BD!$A$3:$A$5001,"&lt;="&amp;$D$7),"—"))</f>
        <v/>
      </c>
      <c r="P132" s="32" t="str">
        <f>IF(P$102="","",IF(Config!$AF$49&lt;&gt;"Não",SUMIFS(BD!$AE$3:$AE$5001,BD!$B$3:$B$5001,P$102,BD!$A$3:$A$5001,"&gt;="&amp;$C$7,BD!$A$3:$A$5001,"&lt;="&amp;$D$7),"—"))</f>
        <v/>
      </c>
      <c r="Q132" s="32" t="str">
        <f>IF(Q$102="","",IF(Config!$AF$50&lt;&gt;"Não",SUMIFS(BD!$AE$3:$AE$5001,BD!$B$3:$B$5001,Q$102,BD!$A$3:$A$5001,"&gt;="&amp;$C$7,BD!$A$3:$A$5001,"&lt;="&amp;$D$7),"—"))</f>
        <v/>
      </c>
      <c r="R132" s="32" t="str">
        <f>IF(R$102="","",IF(Config!$AF$51&lt;&gt;"Não",SUMIFS(BD!$AE$3:$AE$5001,BD!$B$3:$B$5001,R$102,BD!$A$3:$A$5001,"&gt;="&amp;$C$7,BD!$A$3:$A$5001,"&lt;="&amp;$D$7),"—"))</f>
        <v/>
      </c>
      <c r="S132" s="32" t="str">
        <f>IF(S$102="","",IF(Config!$AF$52&lt;&gt;"Não",SUMIFS(BD!$AE$3:$AE$5001,BD!$B$3:$B$5001,S$102,BD!$A$3:$A$5001,"&gt;="&amp;$C$7,BD!$A$3:$A$5001,"&lt;="&amp;$D$7),"—"))</f>
        <v/>
      </c>
      <c r="T132" s="32" t="str">
        <f>IF(T$102="","",IF(Config!$AF$53&lt;&gt;"Não",SUMIFS(BD!$AE$3:$AE$5001,BD!$B$3:$B$5001,T$102,BD!$A$3:$A$5001,"&gt;="&amp;$C$7,BD!$A$3:$A$5001,"&lt;="&amp;$D$7),"—"))</f>
        <v/>
      </c>
      <c r="U132" s="32" t="str">
        <f>IF(U$102="","",IF(Config!$AF$54&lt;&gt;"Não",SUMIFS(BD!$AE$3:$AE$5001,BD!$B$3:$B$5001,U$102,BD!$A$3:$A$5001,"&gt;="&amp;$C$7,BD!$A$3:$A$5001,"&lt;="&amp;$D$7),"—"))</f>
        <v/>
      </c>
      <c r="V132" s="62">
        <f>SUM(B132:U132)</f>
        <v>0</v>
      </c>
    </row>
    <row r="133">
      <c r="A133" s="29" t="inlineStr">
        <is>
          <t xml:space="preserve">GENTE · Desvios Comportamentais</t>
        </is>
      </c>
      <c r="B133" s="32">
        <f>IF(B$102="","",IF(Config!$AG$35&lt;&gt;"Não",SUMIFS(BD!$AF$3:$AF$5001,BD!$B$3:$B$5001,B$102,BD!$A$3:$A$5001,"&gt;="&amp;$C$7,BD!$A$3:$A$5001,"&lt;="&amp;$D$7),"—"))</f>
        <v>0</v>
      </c>
      <c r="C133" s="32">
        <f>IF(C$102="","",IF(Config!$AG$36&lt;&gt;"Não",SUMIFS(BD!$AF$3:$AF$5001,BD!$B$3:$B$5001,C$102,BD!$A$3:$A$5001,"&gt;="&amp;$C$7,BD!$A$3:$A$5001,"&lt;="&amp;$D$7),"—"))</f>
        <v>0</v>
      </c>
      <c r="D133" s="32">
        <f>IF(D$102="","",IF(Config!$AG$37&lt;&gt;"Não",SUMIFS(BD!$AF$3:$AF$5001,BD!$B$3:$B$5001,D$102,BD!$A$3:$A$5001,"&gt;="&amp;$C$7,BD!$A$3:$A$5001,"&lt;="&amp;$D$7),"—"))</f>
        <v>0</v>
      </c>
      <c r="E133" s="32">
        <f>IF(E$102="","",IF(Config!$AG$38&lt;&gt;"Não",SUMIFS(BD!$AF$3:$AF$5001,BD!$B$3:$B$5001,E$102,BD!$A$3:$A$5001,"&gt;="&amp;$C$7,BD!$A$3:$A$5001,"&lt;="&amp;$D$7),"—"))</f>
        <v>0</v>
      </c>
      <c r="F133" s="32">
        <f>IF(F$102="","",IF(Config!$AG$39&lt;&gt;"Não",SUMIFS(BD!$AF$3:$AF$5001,BD!$B$3:$B$5001,F$102,BD!$A$3:$A$5001,"&gt;="&amp;$C$7,BD!$A$3:$A$5001,"&lt;="&amp;$D$7),"—"))</f>
        <v>0</v>
      </c>
      <c r="G133" s="32">
        <f>IF(G$102="","",IF(Config!$AG$40&lt;&gt;"Não",SUMIFS(BD!$AF$3:$AF$5001,BD!$B$3:$B$5001,G$102,BD!$A$3:$A$5001,"&gt;="&amp;$C$7,BD!$A$3:$A$5001,"&lt;="&amp;$D$7),"—"))</f>
        <v>0</v>
      </c>
      <c r="H133" s="32">
        <f>IF(H$102="","",IF(Config!$AG$41&lt;&gt;"Não",SUMIFS(BD!$AF$3:$AF$5001,BD!$B$3:$B$5001,H$102,BD!$A$3:$A$5001,"&gt;="&amp;$C$7,BD!$A$3:$A$5001,"&lt;="&amp;$D$7),"—"))</f>
        <v>0</v>
      </c>
      <c r="I133" s="32">
        <f>IF(I$102="","",IF(Config!$AG$42&lt;&gt;"Não",SUMIFS(BD!$AF$3:$AF$5001,BD!$B$3:$B$5001,I$102,BD!$A$3:$A$5001,"&gt;="&amp;$C$7,BD!$A$3:$A$5001,"&lt;="&amp;$D$7),"—"))</f>
        <v>0</v>
      </c>
      <c r="J133" s="32">
        <f>IF(J$102="","",IF(Config!$AG$43&lt;&gt;"Não",SUMIFS(BD!$AF$3:$AF$5001,BD!$B$3:$B$5001,J$102,BD!$A$3:$A$5001,"&gt;="&amp;$C$7,BD!$A$3:$A$5001,"&lt;="&amp;$D$7),"—"))</f>
        <v>0</v>
      </c>
      <c r="K133" s="32">
        <f>IF(K$102="","",IF(Config!$AG$44&lt;&gt;"Não",SUMIFS(BD!$AF$3:$AF$5001,BD!$B$3:$B$5001,K$102,BD!$A$3:$A$5001,"&gt;="&amp;$C$7,BD!$A$3:$A$5001,"&lt;="&amp;$D$7),"—"))</f>
        <v>0</v>
      </c>
      <c r="L133" s="32" t="str">
        <f>IF(L$102="","",IF(Config!$AG$45&lt;&gt;"Não",SUMIFS(BD!$AF$3:$AF$5001,BD!$B$3:$B$5001,L$102,BD!$A$3:$A$5001,"&gt;="&amp;$C$7,BD!$A$3:$A$5001,"&lt;="&amp;$D$7),"—"))</f>
        <v/>
      </c>
      <c r="M133" s="32" t="str">
        <f>IF(M$102="","",IF(Config!$AG$46&lt;&gt;"Não",SUMIFS(BD!$AF$3:$AF$5001,BD!$B$3:$B$5001,M$102,BD!$A$3:$A$5001,"&gt;="&amp;$C$7,BD!$A$3:$A$5001,"&lt;="&amp;$D$7),"—"))</f>
        <v/>
      </c>
      <c r="N133" s="32" t="str">
        <f>IF(N$102="","",IF(Config!$AG$47&lt;&gt;"Não",SUMIFS(BD!$AF$3:$AF$5001,BD!$B$3:$B$5001,N$102,BD!$A$3:$A$5001,"&gt;="&amp;$C$7,BD!$A$3:$A$5001,"&lt;="&amp;$D$7),"—"))</f>
        <v/>
      </c>
      <c r="O133" s="32" t="str">
        <f>IF(O$102="","",IF(Config!$AG$48&lt;&gt;"Não",SUMIFS(BD!$AF$3:$AF$5001,BD!$B$3:$B$5001,O$102,BD!$A$3:$A$5001,"&gt;="&amp;$C$7,BD!$A$3:$A$5001,"&lt;="&amp;$D$7),"—"))</f>
        <v/>
      </c>
      <c r="P133" s="32" t="str">
        <f>IF(P$102="","",IF(Config!$AG$49&lt;&gt;"Não",SUMIFS(BD!$AF$3:$AF$5001,BD!$B$3:$B$5001,P$102,BD!$A$3:$A$5001,"&gt;="&amp;$C$7,BD!$A$3:$A$5001,"&lt;="&amp;$D$7),"—"))</f>
        <v/>
      </c>
      <c r="Q133" s="32" t="str">
        <f>IF(Q$102="","",IF(Config!$AG$50&lt;&gt;"Não",SUMIFS(BD!$AF$3:$AF$5001,BD!$B$3:$B$5001,Q$102,BD!$A$3:$A$5001,"&gt;="&amp;$C$7,BD!$A$3:$A$5001,"&lt;="&amp;$D$7),"—"))</f>
        <v/>
      </c>
      <c r="R133" s="32" t="str">
        <f>IF(R$102="","",IF(Config!$AG$51&lt;&gt;"Não",SUMIFS(BD!$AF$3:$AF$5001,BD!$B$3:$B$5001,R$102,BD!$A$3:$A$5001,"&gt;="&amp;$C$7,BD!$A$3:$A$5001,"&lt;="&amp;$D$7),"—"))</f>
        <v/>
      </c>
      <c r="S133" s="32" t="str">
        <f>IF(S$102="","",IF(Config!$AG$52&lt;&gt;"Não",SUMIFS(BD!$AF$3:$AF$5001,BD!$B$3:$B$5001,S$102,BD!$A$3:$A$5001,"&gt;="&amp;$C$7,BD!$A$3:$A$5001,"&lt;="&amp;$D$7),"—"))</f>
        <v/>
      </c>
      <c r="T133" s="32" t="str">
        <f>IF(T$102="","",IF(Config!$AG$53&lt;&gt;"Não",SUMIFS(BD!$AF$3:$AF$5001,BD!$B$3:$B$5001,T$102,BD!$A$3:$A$5001,"&gt;="&amp;$C$7,BD!$A$3:$A$5001,"&lt;="&amp;$D$7),"—"))</f>
        <v/>
      </c>
      <c r="U133" s="32" t="str">
        <f>IF(U$102="","",IF(Config!$AG$54&lt;&gt;"Não",SUMIFS(BD!$AF$3:$AF$5001,BD!$B$3:$B$5001,U$102,BD!$A$3:$A$5001,"&gt;="&amp;$C$7,BD!$A$3:$A$5001,"&lt;="&amp;$D$7),"—"))</f>
        <v/>
      </c>
      <c r="V133" s="62">
        <f>SUM(B133:U133)</f>
        <v>0</v>
      </c>
    </row>
    <row r="134">
      <c r="A134" s="29" t="inlineStr">
        <is>
          <t xml:space="preserve">GENTE · Acidentes CAF</t>
        </is>
      </c>
      <c r="B134" s="32">
        <f>IF(B$102="","",IF(Config!$AH$35&lt;&gt;"Não",SUMIFS(BD!$AG$3:$AG$5001,BD!$B$3:$B$5001,B$102,BD!$A$3:$A$5001,"&gt;="&amp;$C$7,BD!$A$3:$A$5001,"&lt;="&amp;$D$7),"—"))</f>
        <v>0</v>
      </c>
      <c r="C134" s="32">
        <f>IF(C$102="","",IF(Config!$AH$36&lt;&gt;"Não",SUMIFS(BD!$AG$3:$AG$5001,BD!$B$3:$B$5001,C$102,BD!$A$3:$A$5001,"&gt;="&amp;$C$7,BD!$A$3:$A$5001,"&lt;="&amp;$D$7),"—"))</f>
        <v>0</v>
      </c>
      <c r="D134" s="32">
        <f>IF(D$102="","",IF(Config!$AH$37&lt;&gt;"Não",SUMIFS(BD!$AG$3:$AG$5001,BD!$B$3:$B$5001,D$102,BD!$A$3:$A$5001,"&gt;="&amp;$C$7,BD!$A$3:$A$5001,"&lt;="&amp;$D$7),"—"))</f>
        <v>0</v>
      </c>
      <c r="E134" s="32">
        <f>IF(E$102="","",IF(Config!$AH$38&lt;&gt;"Não",SUMIFS(BD!$AG$3:$AG$5001,BD!$B$3:$B$5001,E$102,BD!$A$3:$A$5001,"&gt;="&amp;$C$7,BD!$A$3:$A$5001,"&lt;="&amp;$D$7),"—"))</f>
        <v>0</v>
      </c>
      <c r="F134" s="32">
        <f>IF(F$102="","",IF(Config!$AH$39&lt;&gt;"Não",SUMIFS(BD!$AG$3:$AG$5001,BD!$B$3:$B$5001,F$102,BD!$A$3:$A$5001,"&gt;="&amp;$C$7,BD!$A$3:$A$5001,"&lt;="&amp;$D$7),"—"))</f>
        <v>0</v>
      </c>
      <c r="G134" s="32">
        <f>IF(G$102="","",IF(Config!$AH$40&lt;&gt;"Não",SUMIFS(BD!$AG$3:$AG$5001,BD!$B$3:$B$5001,G$102,BD!$A$3:$A$5001,"&gt;="&amp;$C$7,BD!$A$3:$A$5001,"&lt;="&amp;$D$7),"—"))</f>
        <v>0</v>
      </c>
      <c r="H134" s="32">
        <f>IF(H$102="","",IF(Config!$AH$41&lt;&gt;"Não",SUMIFS(BD!$AG$3:$AG$5001,BD!$B$3:$B$5001,H$102,BD!$A$3:$A$5001,"&gt;="&amp;$C$7,BD!$A$3:$A$5001,"&lt;="&amp;$D$7),"—"))</f>
        <v>0</v>
      </c>
      <c r="I134" s="32">
        <f>IF(I$102="","",IF(Config!$AH$42&lt;&gt;"Não",SUMIFS(BD!$AG$3:$AG$5001,BD!$B$3:$B$5001,I$102,BD!$A$3:$A$5001,"&gt;="&amp;$C$7,BD!$A$3:$A$5001,"&lt;="&amp;$D$7),"—"))</f>
        <v>0</v>
      </c>
      <c r="J134" s="32">
        <f>IF(J$102="","",IF(Config!$AH$43&lt;&gt;"Não",SUMIFS(BD!$AG$3:$AG$5001,BD!$B$3:$B$5001,J$102,BD!$A$3:$A$5001,"&gt;="&amp;$C$7,BD!$A$3:$A$5001,"&lt;="&amp;$D$7),"—"))</f>
        <v>0</v>
      </c>
      <c r="K134" s="32">
        <f>IF(K$102="","",IF(Config!$AH$44&lt;&gt;"Não",SUMIFS(BD!$AG$3:$AG$5001,BD!$B$3:$B$5001,K$102,BD!$A$3:$A$5001,"&gt;="&amp;$C$7,BD!$A$3:$A$5001,"&lt;="&amp;$D$7),"—"))</f>
        <v>0</v>
      </c>
      <c r="L134" s="32" t="str">
        <f>IF(L$102="","",IF(Config!$AH$45&lt;&gt;"Não",SUMIFS(BD!$AG$3:$AG$5001,BD!$B$3:$B$5001,L$102,BD!$A$3:$A$5001,"&gt;="&amp;$C$7,BD!$A$3:$A$5001,"&lt;="&amp;$D$7),"—"))</f>
        <v/>
      </c>
      <c r="M134" s="32" t="str">
        <f>IF(M$102="","",IF(Config!$AH$46&lt;&gt;"Não",SUMIFS(BD!$AG$3:$AG$5001,BD!$B$3:$B$5001,M$102,BD!$A$3:$A$5001,"&gt;="&amp;$C$7,BD!$A$3:$A$5001,"&lt;="&amp;$D$7),"—"))</f>
        <v/>
      </c>
      <c r="N134" s="32" t="str">
        <f>IF(N$102="","",IF(Config!$AH$47&lt;&gt;"Não",SUMIFS(BD!$AG$3:$AG$5001,BD!$B$3:$B$5001,N$102,BD!$A$3:$A$5001,"&gt;="&amp;$C$7,BD!$A$3:$A$5001,"&lt;="&amp;$D$7),"—"))</f>
        <v/>
      </c>
      <c r="O134" s="32" t="str">
        <f>IF(O$102="","",IF(Config!$AH$48&lt;&gt;"Não",SUMIFS(BD!$AG$3:$AG$5001,BD!$B$3:$B$5001,O$102,BD!$A$3:$A$5001,"&gt;="&amp;$C$7,BD!$A$3:$A$5001,"&lt;="&amp;$D$7),"—"))</f>
        <v/>
      </c>
      <c r="P134" s="32" t="str">
        <f>IF(P$102="","",IF(Config!$AH$49&lt;&gt;"Não",SUMIFS(BD!$AG$3:$AG$5001,BD!$B$3:$B$5001,P$102,BD!$A$3:$A$5001,"&gt;="&amp;$C$7,BD!$A$3:$A$5001,"&lt;="&amp;$D$7),"—"))</f>
        <v/>
      </c>
      <c r="Q134" s="32" t="str">
        <f>IF(Q$102="","",IF(Config!$AH$50&lt;&gt;"Não",SUMIFS(BD!$AG$3:$AG$5001,BD!$B$3:$B$5001,Q$102,BD!$A$3:$A$5001,"&gt;="&amp;$C$7,BD!$A$3:$A$5001,"&lt;="&amp;$D$7),"—"))</f>
        <v/>
      </c>
      <c r="R134" s="32" t="str">
        <f>IF(R$102="","",IF(Config!$AH$51&lt;&gt;"Não",SUMIFS(BD!$AG$3:$AG$5001,BD!$B$3:$B$5001,R$102,BD!$A$3:$A$5001,"&gt;="&amp;$C$7,BD!$A$3:$A$5001,"&lt;="&amp;$D$7),"—"))</f>
        <v/>
      </c>
      <c r="S134" s="32" t="str">
        <f>IF(S$102="","",IF(Config!$AH$52&lt;&gt;"Não",SUMIFS(BD!$AG$3:$AG$5001,BD!$B$3:$B$5001,S$102,BD!$A$3:$A$5001,"&gt;="&amp;$C$7,BD!$A$3:$A$5001,"&lt;="&amp;$D$7),"—"))</f>
        <v/>
      </c>
      <c r="T134" s="32" t="str">
        <f>IF(T$102="","",IF(Config!$AH$53&lt;&gt;"Não",SUMIFS(BD!$AG$3:$AG$5001,BD!$B$3:$B$5001,T$102,BD!$A$3:$A$5001,"&gt;="&amp;$C$7,BD!$A$3:$A$5001,"&lt;="&amp;$D$7),"—"))</f>
        <v/>
      </c>
      <c r="U134" s="32" t="str">
        <f>IF(U$102="","",IF(Config!$AH$54&lt;&gt;"Não",SUMIFS(BD!$AG$3:$AG$5001,BD!$B$3:$B$5001,U$102,BD!$A$3:$A$5001,"&gt;="&amp;$C$7,BD!$A$3:$A$5001,"&lt;="&amp;$D$7),"—"))</f>
        <v/>
      </c>
      <c r="V134" s="62">
        <f>SUM(B134:U134)</f>
        <v>0</v>
      </c>
    </row>
    <row r="135">
      <c r="A135" s="29" t="inlineStr">
        <is>
          <t xml:space="preserve">GENTE · Acidentes SAF</t>
        </is>
      </c>
      <c r="B135" s="32">
        <f>IF(B$102="","",IF(Config!$AI$35&lt;&gt;"Não",SUMIFS(BD!$AH$3:$AH$5001,BD!$B$3:$B$5001,B$102,BD!$A$3:$A$5001,"&gt;="&amp;$C$7,BD!$A$3:$A$5001,"&lt;="&amp;$D$7),"—"))</f>
        <v>0</v>
      </c>
      <c r="C135" s="32">
        <f>IF(C$102="","",IF(Config!$AI$36&lt;&gt;"Não",SUMIFS(BD!$AH$3:$AH$5001,BD!$B$3:$B$5001,C$102,BD!$A$3:$A$5001,"&gt;="&amp;$C$7,BD!$A$3:$A$5001,"&lt;="&amp;$D$7),"—"))</f>
        <v>0</v>
      </c>
      <c r="D135" s="32">
        <f>IF(D$102="","",IF(Config!$AI$37&lt;&gt;"Não",SUMIFS(BD!$AH$3:$AH$5001,BD!$B$3:$B$5001,D$102,BD!$A$3:$A$5001,"&gt;="&amp;$C$7,BD!$A$3:$A$5001,"&lt;="&amp;$D$7),"—"))</f>
        <v>0</v>
      </c>
      <c r="E135" s="32">
        <f>IF(E$102="","",IF(Config!$AI$38&lt;&gt;"Não",SUMIFS(BD!$AH$3:$AH$5001,BD!$B$3:$B$5001,E$102,BD!$A$3:$A$5001,"&gt;="&amp;$C$7,BD!$A$3:$A$5001,"&lt;="&amp;$D$7),"—"))</f>
        <v>0</v>
      </c>
      <c r="F135" s="32">
        <f>IF(F$102="","",IF(Config!$AI$39&lt;&gt;"Não",SUMIFS(BD!$AH$3:$AH$5001,BD!$B$3:$B$5001,F$102,BD!$A$3:$A$5001,"&gt;="&amp;$C$7,BD!$A$3:$A$5001,"&lt;="&amp;$D$7),"—"))</f>
        <v>0</v>
      </c>
      <c r="G135" s="32">
        <f>IF(G$102="","",IF(Config!$AI$40&lt;&gt;"Não",SUMIFS(BD!$AH$3:$AH$5001,BD!$B$3:$B$5001,G$102,BD!$A$3:$A$5001,"&gt;="&amp;$C$7,BD!$A$3:$A$5001,"&lt;="&amp;$D$7),"—"))</f>
        <v>0</v>
      </c>
      <c r="H135" s="32">
        <f>IF(H$102="","",IF(Config!$AI$41&lt;&gt;"Não",SUMIFS(BD!$AH$3:$AH$5001,BD!$B$3:$B$5001,H$102,BD!$A$3:$A$5001,"&gt;="&amp;$C$7,BD!$A$3:$A$5001,"&lt;="&amp;$D$7),"—"))</f>
        <v>0</v>
      </c>
      <c r="I135" s="32">
        <f>IF(I$102="","",IF(Config!$AI$42&lt;&gt;"Não",SUMIFS(BD!$AH$3:$AH$5001,BD!$B$3:$B$5001,I$102,BD!$A$3:$A$5001,"&gt;="&amp;$C$7,BD!$A$3:$A$5001,"&lt;="&amp;$D$7),"—"))</f>
        <v>0</v>
      </c>
      <c r="J135" s="32">
        <f>IF(J$102="","",IF(Config!$AI$43&lt;&gt;"Não",SUMIFS(BD!$AH$3:$AH$5001,BD!$B$3:$B$5001,J$102,BD!$A$3:$A$5001,"&gt;="&amp;$C$7,BD!$A$3:$A$5001,"&lt;="&amp;$D$7),"—"))</f>
        <v>0</v>
      </c>
      <c r="K135" s="32">
        <f>IF(K$102="","",IF(Config!$AI$44&lt;&gt;"Não",SUMIFS(BD!$AH$3:$AH$5001,BD!$B$3:$B$5001,K$102,BD!$A$3:$A$5001,"&gt;="&amp;$C$7,BD!$A$3:$A$5001,"&lt;="&amp;$D$7),"—"))</f>
        <v>0</v>
      </c>
      <c r="L135" s="32" t="str">
        <f>IF(L$102="","",IF(Config!$AI$45&lt;&gt;"Não",SUMIFS(BD!$AH$3:$AH$5001,BD!$B$3:$B$5001,L$102,BD!$A$3:$A$5001,"&gt;="&amp;$C$7,BD!$A$3:$A$5001,"&lt;="&amp;$D$7),"—"))</f>
        <v/>
      </c>
      <c r="M135" s="32" t="str">
        <f>IF(M$102="","",IF(Config!$AI$46&lt;&gt;"Não",SUMIFS(BD!$AH$3:$AH$5001,BD!$B$3:$B$5001,M$102,BD!$A$3:$A$5001,"&gt;="&amp;$C$7,BD!$A$3:$A$5001,"&lt;="&amp;$D$7),"—"))</f>
        <v/>
      </c>
      <c r="N135" s="32" t="str">
        <f>IF(N$102="","",IF(Config!$AI$47&lt;&gt;"Não",SUMIFS(BD!$AH$3:$AH$5001,BD!$B$3:$B$5001,N$102,BD!$A$3:$A$5001,"&gt;="&amp;$C$7,BD!$A$3:$A$5001,"&lt;="&amp;$D$7),"—"))</f>
        <v/>
      </c>
      <c r="O135" s="32" t="str">
        <f>IF(O$102="","",IF(Config!$AI$48&lt;&gt;"Não",SUMIFS(BD!$AH$3:$AH$5001,BD!$B$3:$B$5001,O$102,BD!$A$3:$A$5001,"&gt;="&amp;$C$7,BD!$A$3:$A$5001,"&lt;="&amp;$D$7),"—"))</f>
        <v/>
      </c>
      <c r="P135" s="32" t="str">
        <f>IF(P$102="","",IF(Config!$AI$49&lt;&gt;"Não",SUMIFS(BD!$AH$3:$AH$5001,BD!$B$3:$B$5001,P$102,BD!$A$3:$A$5001,"&gt;="&amp;$C$7,BD!$A$3:$A$5001,"&lt;="&amp;$D$7),"—"))</f>
        <v/>
      </c>
      <c r="Q135" s="32" t="str">
        <f>IF(Q$102="","",IF(Config!$AI$50&lt;&gt;"Não",SUMIFS(BD!$AH$3:$AH$5001,BD!$B$3:$B$5001,Q$102,BD!$A$3:$A$5001,"&gt;="&amp;$C$7,BD!$A$3:$A$5001,"&lt;="&amp;$D$7),"—"))</f>
        <v/>
      </c>
      <c r="R135" s="32" t="str">
        <f>IF(R$102="","",IF(Config!$AI$51&lt;&gt;"Não",SUMIFS(BD!$AH$3:$AH$5001,BD!$B$3:$B$5001,R$102,BD!$A$3:$A$5001,"&gt;="&amp;$C$7,BD!$A$3:$A$5001,"&lt;="&amp;$D$7),"—"))</f>
        <v/>
      </c>
      <c r="S135" s="32" t="str">
        <f>IF(S$102="","",IF(Config!$AI$52&lt;&gt;"Não",SUMIFS(BD!$AH$3:$AH$5001,BD!$B$3:$B$5001,S$102,BD!$A$3:$A$5001,"&gt;="&amp;$C$7,BD!$A$3:$A$5001,"&lt;="&amp;$D$7),"—"))</f>
        <v/>
      </c>
      <c r="T135" s="32" t="str">
        <f>IF(T$102="","",IF(Config!$AI$53&lt;&gt;"Não",SUMIFS(BD!$AH$3:$AH$5001,BD!$B$3:$B$5001,T$102,BD!$A$3:$A$5001,"&gt;="&amp;$C$7,BD!$A$3:$A$5001,"&lt;="&amp;$D$7),"—"))</f>
        <v/>
      </c>
      <c r="U135" s="32" t="str">
        <f>IF(U$102="","",IF(Config!$AI$54&lt;&gt;"Não",SUMIFS(BD!$AH$3:$AH$5001,BD!$B$3:$B$5001,U$102,BD!$A$3:$A$5001,"&gt;="&amp;$C$7,BD!$A$3:$A$5001,"&lt;="&amp;$D$7),"—"))</f>
        <v/>
      </c>
      <c r="V135" s="62">
        <f>SUM(B135:U135)</f>
        <v>0</v>
      </c>
    </row>
    <row r="139">
      <c r="A139" s="19" t="inlineStr">
        <is>
          <t xml:space="preserve">ESTOQUES POR CLIENTE — último valor informado até cada dia (Backlog, Posições e Efetivo)</t>
        </is>
      </c>
    </row>
    <row r="140">
      <c r="A140" s="37" t="inlineStr">
        <is>
          <t xml:space="preserve">Backlog</t>
        </is>
      </c>
      <c r="B140" s="37" t="inlineStr">
        <is>
          <t xml:space="preserve">Data</t>
        </is>
      </c>
      <c r="C140" s="37" t="str">
        <f>Config!$B$10&amp;""</f>
        <v>Alpargatas</v>
      </c>
      <c r="D140" s="37" t="str">
        <f>Config!$B$11&amp;""</f>
        <v>Basf</v>
      </c>
      <c r="E140" s="37" t="str">
        <f>Config!$B$12&amp;""</f>
        <v>Beautybiz</v>
      </c>
      <c r="F140" s="37" t="str">
        <f>Config!$B$13&amp;""</f>
        <v>Boticário</v>
      </c>
      <c r="G140" s="37" t="str">
        <f>Config!$B$14&amp;""</f>
        <v>Confiance</v>
      </c>
      <c r="H140" s="37" t="str">
        <f>Config!$B$15&amp;""</f>
        <v>GE Vernova</v>
      </c>
      <c r="I140" s="37" t="str">
        <f>Config!$B$16&amp;""</f>
        <v>Omnilife</v>
      </c>
      <c r="J140" s="37" t="str">
        <f>Config!$B$17&amp;""</f>
        <v>Supply</v>
      </c>
      <c r="K140" s="37" t="str">
        <f>Config!$B$18&amp;""</f>
        <v>Vedacit</v>
      </c>
      <c r="L140" s="37" t="str">
        <f>Config!$B$19&amp;""</f>
        <v>Vestas</v>
      </c>
      <c r="M140" s="37" t="str">
        <f>Config!$B$20&amp;""</f>
        <v/>
      </c>
      <c r="N140" s="37" t="str">
        <f>Config!$B$21&amp;""</f>
        <v/>
      </c>
      <c r="O140" s="37" t="str">
        <f>Config!$B$22&amp;""</f>
        <v/>
      </c>
      <c r="P140" s="37" t="str">
        <f>Config!$B$23&amp;""</f>
        <v/>
      </c>
      <c r="Q140" s="37" t="str">
        <f>Config!$B$24&amp;""</f>
        <v/>
      </c>
      <c r="R140" s="37" t="str">
        <f>Config!$B$25&amp;""</f>
        <v/>
      </c>
      <c r="S140" s="37" t="str">
        <f>Config!$B$26&amp;""</f>
        <v/>
      </c>
      <c r="T140" s="37" t="str">
        <f>Config!$B$27&amp;""</f>
        <v/>
      </c>
      <c r="U140" s="37" t="str">
        <f>Config!$B$28&amp;""</f>
        <v/>
      </c>
      <c r="V140" s="37" t="str">
        <f>Config!$B$29&amp;""</f>
        <v/>
      </c>
    </row>
    <row r="141">
      <c r="A141" s="38">
        <v>1</v>
      </c>
      <c r="B141" s="42">
        <f>$B$12</f>
        <v>46296</v>
      </c>
      <c r="C141" s="43" t="str">
        <f>IF(OR($B141="",$A141&gt;$B$9,C$140=""),"",IF(COUNTIFS(BD!$B$3:$B$5001,C$140,BD!$A$3:$A$5001,"&gt;="&amp;$C$7,BD!$A$3:$A$5001,"&lt;="&amp;$B141,BD!$X$3:$X$5001,"&lt;&gt;")=0,"",SUMIFS(BD!$X$3:$X$5001,BD!$B$3:$B$5001,C$140,BD!$A$3:$A$5001,_xlfn.MAXIFS(BD!$A$3:$A$5001,BD!$B$3:$B$5001,C$140,BD!$A$3:$A$5001,"&gt;="&amp;$C$7,BD!$A$3:$A$5001,"&lt;="&amp;$B141,BD!$X$3:$X$5001,"&lt;&gt;"))))</f>
        <v/>
      </c>
      <c r="D141" s="43" t="str">
        <f>IF(OR($B141="",$A141&gt;$B$9,D$140=""),"",IF(COUNTIFS(BD!$B$3:$B$5001,D$140,BD!$A$3:$A$5001,"&gt;="&amp;$C$7,BD!$A$3:$A$5001,"&lt;="&amp;$B141,BD!$X$3:$X$5001,"&lt;&gt;")=0,"",SUMIFS(BD!$X$3:$X$5001,BD!$B$3:$B$5001,D$140,BD!$A$3:$A$5001,_xlfn.MAXIFS(BD!$A$3:$A$5001,BD!$B$3:$B$5001,D$140,BD!$A$3:$A$5001,"&gt;="&amp;$C$7,BD!$A$3:$A$5001,"&lt;="&amp;$B141,BD!$X$3:$X$5001,"&lt;&gt;"))))</f>
        <v/>
      </c>
      <c r="E141" s="43" t="str">
        <f>IF(OR($B141="",$A141&gt;$B$9,E$140=""),"",IF(COUNTIFS(BD!$B$3:$B$5001,E$140,BD!$A$3:$A$5001,"&gt;="&amp;$C$7,BD!$A$3:$A$5001,"&lt;="&amp;$B141,BD!$X$3:$X$5001,"&lt;&gt;")=0,"",SUMIFS(BD!$X$3:$X$5001,BD!$B$3:$B$5001,E$140,BD!$A$3:$A$5001,_xlfn.MAXIFS(BD!$A$3:$A$5001,BD!$B$3:$B$5001,E$140,BD!$A$3:$A$5001,"&gt;="&amp;$C$7,BD!$A$3:$A$5001,"&lt;="&amp;$B141,BD!$X$3:$X$5001,"&lt;&gt;"))))</f>
        <v/>
      </c>
      <c r="F141" s="43" t="str">
        <f>IF(OR($B141="",$A141&gt;$B$9,F$140=""),"",IF(COUNTIFS(BD!$B$3:$B$5001,F$140,BD!$A$3:$A$5001,"&gt;="&amp;$C$7,BD!$A$3:$A$5001,"&lt;="&amp;$B141,BD!$X$3:$X$5001,"&lt;&gt;")=0,"",SUMIFS(BD!$X$3:$X$5001,BD!$B$3:$B$5001,F$140,BD!$A$3:$A$5001,_xlfn.MAXIFS(BD!$A$3:$A$5001,BD!$B$3:$B$5001,F$140,BD!$A$3:$A$5001,"&gt;="&amp;$C$7,BD!$A$3:$A$5001,"&lt;="&amp;$B141,BD!$X$3:$X$5001,"&lt;&gt;"))))</f>
        <v/>
      </c>
      <c r="G141" s="43" t="str">
        <f>IF(OR($B141="",$A141&gt;$B$9,G$140=""),"",IF(COUNTIFS(BD!$B$3:$B$5001,G$140,BD!$A$3:$A$5001,"&gt;="&amp;$C$7,BD!$A$3:$A$5001,"&lt;="&amp;$B141,BD!$X$3:$X$5001,"&lt;&gt;")=0,"",SUMIFS(BD!$X$3:$X$5001,BD!$B$3:$B$5001,G$140,BD!$A$3:$A$5001,_xlfn.MAXIFS(BD!$A$3:$A$5001,BD!$B$3:$B$5001,G$140,BD!$A$3:$A$5001,"&gt;="&amp;$C$7,BD!$A$3:$A$5001,"&lt;="&amp;$B141,BD!$X$3:$X$5001,"&lt;&gt;"))))</f>
        <v/>
      </c>
      <c r="H141" s="43" t="str">
        <f>IF(OR($B141="",$A141&gt;$B$9,H$140=""),"",IF(COUNTIFS(BD!$B$3:$B$5001,H$140,BD!$A$3:$A$5001,"&gt;="&amp;$C$7,BD!$A$3:$A$5001,"&lt;="&amp;$B141,BD!$X$3:$X$5001,"&lt;&gt;")=0,"",SUMIFS(BD!$X$3:$X$5001,BD!$B$3:$B$5001,H$140,BD!$A$3:$A$5001,_xlfn.MAXIFS(BD!$A$3:$A$5001,BD!$B$3:$B$5001,H$140,BD!$A$3:$A$5001,"&gt;="&amp;$C$7,BD!$A$3:$A$5001,"&lt;="&amp;$B141,BD!$X$3:$X$5001,"&lt;&gt;"))))</f>
        <v/>
      </c>
      <c r="I141" s="43" t="str">
        <f>IF(OR($B141="",$A141&gt;$B$9,I$140=""),"",IF(COUNTIFS(BD!$B$3:$B$5001,I$140,BD!$A$3:$A$5001,"&gt;="&amp;$C$7,BD!$A$3:$A$5001,"&lt;="&amp;$B141,BD!$X$3:$X$5001,"&lt;&gt;")=0,"",SUMIFS(BD!$X$3:$X$5001,BD!$B$3:$B$5001,I$140,BD!$A$3:$A$5001,_xlfn.MAXIFS(BD!$A$3:$A$5001,BD!$B$3:$B$5001,I$140,BD!$A$3:$A$5001,"&gt;="&amp;$C$7,BD!$A$3:$A$5001,"&lt;="&amp;$B141,BD!$X$3:$X$5001,"&lt;&gt;"))))</f>
        <v/>
      </c>
      <c r="J141" s="43" t="str">
        <f>IF(OR($B141="",$A141&gt;$B$9,J$140=""),"",IF(COUNTIFS(BD!$B$3:$B$5001,J$140,BD!$A$3:$A$5001,"&gt;="&amp;$C$7,BD!$A$3:$A$5001,"&lt;="&amp;$B141,BD!$X$3:$X$5001,"&lt;&gt;")=0,"",SUMIFS(BD!$X$3:$X$5001,BD!$B$3:$B$5001,J$140,BD!$A$3:$A$5001,_xlfn.MAXIFS(BD!$A$3:$A$5001,BD!$B$3:$B$5001,J$140,BD!$A$3:$A$5001,"&gt;="&amp;$C$7,BD!$A$3:$A$5001,"&lt;="&amp;$B141,BD!$X$3:$X$5001,"&lt;&gt;"))))</f>
        <v/>
      </c>
      <c r="K141" s="43" t="str">
        <f>IF(OR($B141="",$A141&gt;$B$9,K$140=""),"",IF(COUNTIFS(BD!$B$3:$B$5001,K$140,BD!$A$3:$A$5001,"&gt;="&amp;$C$7,BD!$A$3:$A$5001,"&lt;="&amp;$B141,BD!$X$3:$X$5001,"&lt;&gt;")=0,"",SUMIFS(BD!$X$3:$X$5001,BD!$B$3:$B$5001,K$140,BD!$A$3:$A$5001,_xlfn.MAXIFS(BD!$A$3:$A$5001,BD!$B$3:$B$5001,K$140,BD!$A$3:$A$5001,"&gt;="&amp;$C$7,BD!$A$3:$A$5001,"&lt;="&amp;$B141,BD!$X$3:$X$5001,"&lt;&gt;"))))</f>
        <v/>
      </c>
      <c r="L141" s="43" t="str">
        <f>IF(OR($B141="",$A141&gt;$B$9,L$140=""),"",IF(COUNTIFS(BD!$B$3:$B$5001,L$140,BD!$A$3:$A$5001,"&gt;="&amp;$C$7,BD!$A$3:$A$5001,"&lt;="&amp;$B141,BD!$X$3:$X$5001,"&lt;&gt;")=0,"",SUMIFS(BD!$X$3:$X$5001,BD!$B$3:$B$5001,L$140,BD!$A$3:$A$5001,_xlfn.MAXIFS(BD!$A$3:$A$5001,BD!$B$3:$B$5001,L$140,BD!$A$3:$A$5001,"&gt;="&amp;$C$7,BD!$A$3:$A$5001,"&lt;="&amp;$B141,BD!$X$3:$X$5001,"&lt;&gt;"))))</f>
        <v/>
      </c>
      <c r="M141" s="43" t="str">
        <f>IF(OR($B141="",$A141&gt;$B$9,M$140=""),"",IF(COUNTIFS(BD!$B$3:$B$5001,M$140,BD!$A$3:$A$5001,"&gt;="&amp;$C$7,BD!$A$3:$A$5001,"&lt;="&amp;$B141,BD!$X$3:$X$5001,"&lt;&gt;")=0,"",SUMIFS(BD!$X$3:$X$5001,BD!$B$3:$B$5001,M$140,BD!$A$3:$A$5001,_xlfn.MAXIFS(BD!$A$3:$A$5001,BD!$B$3:$B$5001,M$140,BD!$A$3:$A$5001,"&gt;="&amp;$C$7,BD!$A$3:$A$5001,"&lt;="&amp;$B141,BD!$X$3:$X$5001,"&lt;&gt;"))))</f>
        <v/>
      </c>
      <c r="N141" s="43" t="str">
        <f>IF(OR($B141="",$A141&gt;$B$9,N$140=""),"",IF(COUNTIFS(BD!$B$3:$B$5001,N$140,BD!$A$3:$A$5001,"&gt;="&amp;$C$7,BD!$A$3:$A$5001,"&lt;="&amp;$B141,BD!$X$3:$X$5001,"&lt;&gt;")=0,"",SUMIFS(BD!$X$3:$X$5001,BD!$B$3:$B$5001,N$140,BD!$A$3:$A$5001,_xlfn.MAXIFS(BD!$A$3:$A$5001,BD!$B$3:$B$5001,N$140,BD!$A$3:$A$5001,"&gt;="&amp;$C$7,BD!$A$3:$A$5001,"&lt;="&amp;$B141,BD!$X$3:$X$5001,"&lt;&gt;"))))</f>
        <v/>
      </c>
      <c r="O141" s="43" t="str">
        <f>IF(OR($B141="",$A141&gt;$B$9,O$140=""),"",IF(COUNTIFS(BD!$B$3:$B$5001,O$140,BD!$A$3:$A$5001,"&gt;="&amp;$C$7,BD!$A$3:$A$5001,"&lt;="&amp;$B141,BD!$X$3:$X$5001,"&lt;&gt;")=0,"",SUMIFS(BD!$X$3:$X$5001,BD!$B$3:$B$5001,O$140,BD!$A$3:$A$5001,_xlfn.MAXIFS(BD!$A$3:$A$5001,BD!$B$3:$B$5001,O$140,BD!$A$3:$A$5001,"&gt;="&amp;$C$7,BD!$A$3:$A$5001,"&lt;="&amp;$B141,BD!$X$3:$X$5001,"&lt;&gt;"))))</f>
        <v/>
      </c>
      <c r="P141" s="43" t="str">
        <f>IF(OR($B141="",$A141&gt;$B$9,P$140=""),"",IF(COUNTIFS(BD!$B$3:$B$5001,P$140,BD!$A$3:$A$5001,"&gt;="&amp;$C$7,BD!$A$3:$A$5001,"&lt;="&amp;$B141,BD!$X$3:$X$5001,"&lt;&gt;")=0,"",SUMIFS(BD!$X$3:$X$5001,BD!$B$3:$B$5001,P$140,BD!$A$3:$A$5001,_xlfn.MAXIFS(BD!$A$3:$A$5001,BD!$B$3:$B$5001,P$140,BD!$A$3:$A$5001,"&gt;="&amp;$C$7,BD!$A$3:$A$5001,"&lt;="&amp;$B141,BD!$X$3:$X$5001,"&lt;&gt;"))))</f>
        <v/>
      </c>
      <c r="Q141" s="43" t="str">
        <f>IF(OR($B141="",$A141&gt;$B$9,Q$140=""),"",IF(COUNTIFS(BD!$B$3:$B$5001,Q$140,BD!$A$3:$A$5001,"&gt;="&amp;$C$7,BD!$A$3:$A$5001,"&lt;="&amp;$B141,BD!$X$3:$X$5001,"&lt;&gt;")=0,"",SUMIFS(BD!$X$3:$X$5001,BD!$B$3:$B$5001,Q$140,BD!$A$3:$A$5001,_xlfn.MAXIFS(BD!$A$3:$A$5001,BD!$B$3:$B$5001,Q$140,BD!$A$3:$A$5001,"&gt;="&amp;$C$7,BD!$A$3:$A$5001,"&lt;="&amp;$B141,BD!$X$3:$X$5001,"&lt;&gt;"))))</f>
        <v/>
      </c>
      <c r="R141" s="43" t="str">
        <f>IF(OR($B141="",$A141&gt;$B$9,R$140=""),"",IF(COUNTIFS(BD!$B$3:$B$5001,R$140,BD!$A$3:$A$5001,"&gt;="&amp;$C$7,BD!$A$3:$A$5001,"&lt;="&amp;$B141,BD!$X$3:$X$5001,"&lt;&gt;")=0,"",SUMIFS(BD!$X$3:$X$5001,BD!$B$3:$B$5001,R$140,BD!$A$3:$A$5001,_xlfn.MAXIFS(BD!$A$3:$A$5001,BD!$B$3:$B$5001,R$140,BD!$A$3:$A$5001,"&gt;="&amp;$C$7,BD!$A$3:$A$5001,"&lt;="&amp;$B141,BD!$X$3:$X$5001,"&lt;&gt;"))))</f>
        <v/>
      </c>
      <c r="S141" s="43" t="str">
        <f>IF(OR($B141="",$A141&gt;$B$9,S$140=""),"",IF(COUNTIFS(BD!$B$3:$B$5001,S$140,BD!$A$3:$A$5001,"&gt;="&amp;$C$7,BD!$A$3:$A$5001,"&lt;="&amp;$B141,BD!$X$3:$X$5001,"&lt;&gt;")=0,"",SUMIFS(BD!$X$3:$X$5001,BD!$B$3:$B$5001,S$140,BD!$A$3:$A$5001,_xlfn.MAXIFS(BD!$A$3:$A$5001,BD!$B$3:$B$5001,S$140,BD!$A$3:$A$5001,"&gt;="&amp;$C$7,BD!$A$3:$A$5001,"&lt;="&amp;$B141,BD!$X$3:$X$5001,"&lt;&gt;"))))</f>
        <v/>
      </c>
      <c r="T141" s="43" t="str">
        <f>IF(OR($B141="",$A141&gt;$B$9,T$140=""),"",IF(COUNTIFS(BD!$B$3:$B$5001,T$140,BD!$A$3:$A$5001,"&gt;="&amp;$C$7,BD!$A$3:$A$5001,"&lt;="&amp;$B141,BD!$X$3:$X$5001,"&lt;&gt;")=0,"",SUMIFS(BD!$X$3:$X$5001,BD!$B$3:$B$5001,T$140,BD!$A$3:$A$5001,_xlfn.MAXIFS(BD!$A$3:$A$5001,BD!$B$3:$B$5001,T$140,BD!$A$3:$A$5001,"&gt;="&amp;$C$7,BD!$A$3:$A$5001,"&lt;="&amp;$B141,BD!$X$3:$X$5001,"&lt;&gt;"))))</f>
        <v/>
      </c>
      <c r="U141" s="43" t="str">
        <f>IF(OR($B141="",$A141&gt;$B$9,U$140=""),"",IF(COUNTIFS(BD!$B$3:$B$5001,U$140,BD!$A$3:$A$5001,"&gt;="&amp;$C$7,BD!$A$3:$A$5001,"&lt;="&amp;$B141,BD!$X$3:$X$5001,"&lt;&gt;")=0,"",SUMIFS(BD!$X$3:$X$5001,BD!$B$3:$B$5001,U$140,BD!$A$3:$A$5001,_xlfn.MAXIFS(BD!$A$3:$A$5001,BD!$B$3:$B$5001,U$140,BD!$A$3:$A$5001,"&gt;="&amp;$C$7,BD!$A$3:$A$5001,"&lt;="&amp;$B141,BD!$X$3:$X$5001,"&lt;&gt;"))))</f>
        <v/>
      </c>
      <c r="V141" s="43" t="str">
        <f>IF(OR($B141="",$A141&gt;$B$9,V$140=""),"",IF(COUNTIFS(BD!$B$3:$B$5001,V$140,BD!$A$3:$A$5001,"&gt;="&amp;$C$7,BD!$A$3:$A$5001,"&lt;="&amp;$B141,BD!$X$3:$X$5001,"&lt;&gt;")=0,"",SUMIFS(BD!$X$3:$X$5001,BD!$B$3:$B$5001,V$140,BD!$A$3:$A$5001,_xlfn.MAXIFS(BD!$A$3:$A$5001,BD!$B$3:$B$5001,V$140,BD!$A$3:$A$5001,"&gt;="&amp;$C$7,BD!$A$3:$A$5001,"&lt;="&amp;$B141,BD!$X$3:$X$5001,"&lt;&gt;"))))</f>
        <v/>
      </c>
    </row>
    <row r="142">
      <c r="A142" s="38">
        <v>2</v>
      </c>
      <c r="B142" s="42">
        <f>$B$13</f>
        <v>46297</v>
      </c>
      <c r="C142" s="43" t="str">
        <f>IF(OR($B142="",$A142&gt;$B$9,C$140=""),"",IF(COUNTIFS(BD!$B$3:$B$5001,C$140,BD!$A$3:$A$5001,"&gt;="&amp;$C$7,BD!$A$3:$A$5001,"&lt;="&amp;$B142,BD!$X$3:$X$5001,"&lt;&gt;")=0,"",SUMIFS(BD!$X$3:$X$5001,BD!$B$3:$B$5001,C$140,BD!$A$3:$A$5001,_xlfn.MAXIFS(BD!$A$3:$A$5001,BD!$B$3:$B$5001,C$140,BD!$A$3:$A$5001,"&gt;="&amp;$C$7,BD!$A$3:$A$5001,"&lt;="&amp;$B142,BD!$X$3:$X$5001,"&lt;&gt;"))))</f>
        <v/>
      </c>
      <c r="D142" s="43" t="str">
        <f>IF(OR($B142="",$A142&gt;$B$9,D$140=""),"",IF(COUNTIFS(BD!$B$3:$B$5001,D$140,BD!$A$3:$A$5001,"&gt;="&amp;$C$7,BD!$A$3:$A$5001,"&lt;="&amp;$B142,BD!$X$3:$X$5001,"&lt;&gt;")=0,"",SUMIFS(BD!$X$3:$X$5001,BD!$B$3:$B$5001,D$140,BD!$A$3:$A$5001,_xlfn.MAXIFS(BD!$A$3:$A$5001,BD!$B$3:$B$5001,D$140,BD!$A$3:$A$5001,"&gt;="&amp;$C$7,BD!$A$3:$A$5001,"&lt;="&amp;$B142,BD!$X$3:$X$5001,"&lt;&gt;"))))</f>
        <v/>
      </c>
      <c r="E142" s="43" t="str">
        <f>IF(OR($B142="",$A142&gt;$B$9,E$140=""),"",IF(COUNTIFS(BD!$B$3:$B$5001,E$140,BD!$A$3:$A$5001,"&gt;="&amp;$C$7,BD!$A$3:$A$5001,"&lt;="&amp;$B142,BD!$X$3:$X$5001,"&lt;&gt;")=0,"",SUMIFS(BD!$X$3:$X$5001,BD!$B$3:$B$5001,E$140,BD!$A$3:$A$5001,_xlfn.MAXIFS(BD!$A$3:$A$5001,BD!$B$3:$B$5001,E$140,BD!$A$3:$A$5001,"&gt;="&amp;$C$7,BD!$A$3:$A$5001,"&lt;="&amp;$B142,BD!$X$3:$X$5001,"&lt;&gt;"))))</f>
        <v/>
      </c>
      <c r="F142" s="43" t="str">
        <f>IF(OR($B142="",$A142&gt;$B$9,F$140=""),"",IF(COUNTIFS(BD!$B$3:$B$5001,F$140,BD!$A$3:$A$5001,"&gt;="&amp;$C$7,BD!$A$3:$A$5001,"&lt;="&amp;$B142,BD!$X$3:$X$5001,"&lt;&gt;")=0,"",SUMIFS(BD!$X$3:$X$5001,BD!$B$3:$B$5001,F$140,BD!$A$3:$A$5001,_xlfn.MAXIFS(BD!$A$3:$A$5001,BD!$B$3:$B$5001,F$140,BD!$A$3:$A$5001,"&gt;="&amp;$C$7,BD!$A$3:$A$5001,"&lt;="&amp;$B142,BD!$X$3:$X$5001,"&lt;&gt;"))))</f>
        <v/>
      </c>
      <c r="G142" s="43" t="str">
        <f>IF(OR($B142="",$A142&gt;$B$9,G$140=""),"",IF(COUNTIFS(BD!$B$3:$B$5001,G$140,BD!$A$3:$A$5001,"&gt;="&amp;$C$7,BD!$A$3:$A$5001,"&lt;="&amp;$B142,BD!$X$3:$X$5001,"&lt;&gt;")=0,"",SUMIFS(BD!$X$3:$X$5001,BD!$B$3:$B$5001,G$140,BD!$A$3:$A$5001,_xlfn.MAXIFS(BD!$A$3:$A$5001,BD!$B$3:$B$5001,G$140,BD!$A$3:$A$5001,"&gt;="&amp;$C$7,BD!$A$3:$A$5001,"&lt;="&amp;$B142,BD!$X$3:$X$5001,"&lt;&gt;"))))</f>
        <v/>
      </c>
      <c r="H142" s="43" t="str">
        <f>IF(OR($B142="",$A142&gt;$B$9,H$140=""),"",IF(COUNTIFS(BD!$B$3:$B$5001,H$140,BD!$A$3:$A$5001,"&gt;="&amp;$C$7,BD!$A$3:$A$5001,"&lt;="&amp;$B142,BD!$X$3:$X$5001,"&lt;&gt;")=0,"",SUMIFS(BD!$X$3:$X$5001,BD!$B$3:$B$5001,H$140,BD!$A$3:$A$5001,_xlfn.MAXIFS(BD!$A$3:$A$5001,BD!$B$3:$B$5001,H$140,BD!$A$3:$A$5001,"&gt;="&amp;$C$7,BD!$A$3:$A$5001,"&lt;="&amp;$B142,BD!$X$3:$X$5001,"&lt;&gt;"))))</f>
        <v/>
      </c>
      <c r="I142" s="43" t="str">
        <f>IF(OR($B142="",$A142&gt;$B$9,I$140=""),"",IF(COUNTIFS(BD!$B$3:$B$5001,I$140,BD!$A$3:$A$5001,"&gt;="&amp;$C$7,BD!$A$3:$A$5001,"&lt;="&amp;$B142,BD!$X$3:$X$5001,"&lt;&gt;")=0,"",SUMIFS(BD!$X$3:$X$5001,BD!$B$3:$B$5001,I$140,BD!$A$3:$A$5001,_xlfn.MAXIFS(BD!$A$3:$A$5001,BD!$B$3:$B$5001,I$140,BD!$A$3:$A$5001,"&gt;="&amp;$C$7,BD!$A$3:$A$5001,"&lt;="&amp;$B142,BD!$X$3:$X$5001,"&lt;&gt;"))))</f>
        <v/>
      </c>
      <c r="J142" s="43" t="str">
        <f>IF(OR($B142="",$A142&gt;$B$9,J$140=""),"",IF(COUNTIFS(BD!$B$3:$B$5001,J$140,BD!$A$3:$A$5001,"&gt;="&amp;$C$7,BD!$A$3:$A$5001,"&lt;="&amp;$B142,BD!$X$3:$X$5001,"&lt;&gt;")=0,"",SUMIFS(BD!$X$3:$X$5001,BD!$B$3:$B$5001,J$140,BD!$A$3:$A$5001,_xlfn.MAXIFS(BD!$A$3:$A$5001,BD!$B$3:$B$5001,J$140,BD!$A$3:$A$5001,"&gt;="&amp;$C$7,BD!$A$3:$A$5001,"&lt;="&amp;$B142,BD!$X$3:$X$5001,"&lt;&gt;"))))</f>
        <v/>
      </c>
      <c r="K142" s="43" t="str">
        <f>IF(OR($B142="",$A142&gt;$B$9,K$140=""),"",IF(COUNTIFS(BD!$B$3:$B$5001,K$140,BD!$A$3:$A$5001,"&gt;="&amp;$C$7,BD!$A$3:$A$5001,"&lt;="&amp;$B142,BD!$X$3:$X$5001,"&lt;&gt;")=0,"",SUMIFS(BD!$X$3:$X$5001,BD!$B$3:$B$5001,K$140,BD!$A$3:$A$5001,_xlfn.MAXIFS(BD!$A$3:$A$5001,BD!$B$3:$B$5001,K$140,BD!$A$3:$A$5001,"&gt;="&amp;$C$7,BD!$A$3:$A$5001,"&lt;="&amp;$B142,BD!$X$3:$X$5001,"&lt;&gt;"))))</f>
        <v/>
      </c>
      <c r="L142" s="43" t="str">
        <f>IF(OR($B142="",$A142&gt;$B$9,L$140=""),"",IF(COUNTIFS(BD!$B$3:$B$5001,L$140,BD!$A$3:$A$5001,"&gt;="&amp;$C$7,BD!$A$3:$A$5001,"&lt;="&amp;$B142,BD!$X$3:$X$5001,"&lt;&gt;")=0,"",SUMIFS(BD!$X$3:$X$5001,BD!$B$3:$B$5001,L$140,BD!$A$3:$A$5001,_xlfn.MAXIFS(BD!$A$3:$A$5001,BD!$B$3:$B$5001,L$140,BD!$A$3:$A$5001,"&gt;="&amp;$C$7,BD!$A$3:$A$5001,"&lt;="&amp;$B142,BD!$X$3:$X$5001,"&lt;&gt;"))))</f>
        <v/>
      </c>
      <c r="M142" s="43" t="str">
        <f>IF(OR($B142="",$A142&gt;$B$9,M$140=""),"",IF(COUNTIFS(BD!$B$3:$B$5001,M$140,BD!$A$3:$A$5001,"&gt;="&amp;$C$7,BD!$A$3:$A$5001,"&lt;="&amp;$B142,BD!$X$3:$X$5001,"&lt;&gt;")=0,"",SUMIFS(BD!$X$3:$X$5001,BD!$B$3:$B$5001,M$140,BD!$A$3:$A$5001,_xlfn.MAXIFS(BD!$A$3:$A$5001,BD!$B$3:$B$5001,M$140,BD!$A$3:$A$5001,"&gt;="&amp;$C$7,BD!$A$3:$A$5001,"&lt;="&amp;$B142,BD!$X$3:$X$5001,"&lt;&gt;"))))</f>
        <v/>
      </c>
      <c r="N142" s="43" t="str">
        <f>IF(OR($B142="",$A142&gt;$B$9,N$140=""),"",IF(COUNTIFS(BD!$B$3:$B$5001,N$140,BD!$A$3:$A$5001,"&gt;="&amp;$C$7,BD!$A$3:$A$5001,"&lt;="&amp;$B142,BD!$X$3:$X$5001,"&lt;&gt;")=0,"",SUMIFS(BD!$X$3:$X$5001,BD!$B$3:$B$5001,N$140,BD!$A$3:$A$5001,_xlfn.MAXIFS(BD!$A$3:$A$5001,BD!$B$3:$B$5001,N$140,BD!$A$3:$A$5001,"&gt;="&amp;$C$7,BD!$A$3:$A$5001,"&lt;="&amp;$B142,BD!$X$3:$X$5001,"&lt;&gt;"))))</f>
        <v/>
      </c>
      <c r="O142" s="43" t="str">
        <f>IF(OR($B142="",$A142&gt;$B$9,O$140=""),"",IF(COUNTIFS(BD!$B$3:$B$5001,O$140,BD!$A$3:$A$5001,"&gt;="&amp;$C$7,BD!$A$3:$A$5001,"&lt;="&amp;$B142,BD!$X$3:$X$5001,"&lt;&gt;")=0,"",SUMIFS(BD!$X$3:$X$5001,BD!$B$3:$B$5001,O$140,BD!$A$3:$A$5001,_xlfn.MAXIFS(BD!$A$3:$A$5001,BD!$B$3:$B$5001,O$140,BD!$A$3:$A$5001,"&gt;="&amp;$C$7,BD!$A$3:$A$5001,"&lt;="&amp;$B142,BD!$X$3:$X$5001,"&lt;&gt;"))))</f>
        <v/>
      </c>
      <c r="P142" s="43" t="str">
        <f>IF(OR($B142="",$A142&gt;$B$9,P$140=""),"",IF(COUNTIFS(BD!$B$3:$B$5001,P$140,BD!$A$3:$A$5001,"&gt;="&amp;$C$7,BD!$A$3:$A$5001,"&lt;="&amp;$B142,BD!$X$3:$X$5001,"&lt;&gt;")=0,"",SUMIFS(BD!$X$3:$X$5001,BD!$B$3:$B$5001,P$140,BD!$A$3:$A$5001,_xlfn.MAXIFS(BD!$A$3:$A$5001,BD!$B$3:$B$5001,P$140,BD!$A$3:$A$5001,"&gt;="&amp;$C$7,BD!$A$3:$A$5001,"&lt;="&amp;$B142,BD!$X$3:$X$5001,"&lt;&gt;"))))</f>
        <v/>
      </c>
      <c r="Q142" s="43" t="str">
        <f>IF(OR($B142="",$A142&gt;$B$9,Q$140=""),"",IF(COUNTIFS(BD!$B$3:$B$5001,Q$140,BD!$A$3:$A$5001,"&gt;="&amp;$C$7,BD!$A$3:$A$5001,"&lt;="&amp;$B142,BD!$X$3:$X$5001,"&lt;&gt;")=0,"",SUMIFS(BD!$X$3:$X$5001,BD!$B$3:$B$5001,Q$140,BD!$A$3:$A$5001,_xlfn.MAXIFS(BD!$A$3:$A$5001,BD!$B$3:$B$5001,Q$140,BD!$A$3:$A$5001,"&gt;="&amp;$C$7,BD!$A$3:$A$5001,"&lt;="&amp;$B142,BD!$X$3:$X$5001,"&lt;&gt;"))))</f>
        <v/>
      </c>
      <c r="R142" s="43" t="str">
        <f>IF(OR($B142="",$A142&gt;$B$9,R$140=""),"",IF(COUNTIFS(BD!$B$3:$B$5001,R$140,BD!$A$3:$A$5001,"&gt;="&amp;$C$7,BD!$A$3:$A$5001,"&lt;="&amp;$B142,BD!$X$3:$X$5001,"&lt;&gt;")=0,"",SUMIFS(BD!$X$3:$X$5001,BD!$B$3:$B$5001,R$140,BD!$A$3:$A$5001,_xlfn.MAXIFS(BD!$A$3:$A$5001,BD!$B$3:$B$5001,R$140,BD!$A$3:$A$5001,"&gt;="&amp;$C$7,BD!$A$3:$A$5001,"&lt;="&amp;$B142,BD!$X$3:$X$5001,"&lt;&gt;"))))</f>
        <v/>
      </c>
      <c r="S142" s="43" t="str">
        <f>IF(OR($B142="",$A142&gt;$B$9,S$140=""),"",IF(COUNTIFS(BD!$B$3:$B$5001,S$140,BD!$A$3:$A$5001,"&gt;="&amp;$C$7,BD!$A$3:$A$5001,"&lt;="&amp;$B142,BD!$X$3:$X$5001,"&lt;&gt;")=0,"",SUMIFS(BD!$X$3:$X$5001,BD!$B$3:$B$5001,S$140,BD!$A$3:$A$5001,_xlfn.MAXIFS(BD!$A$3:$A$5001,BD!$B$3:$B$5001,S$140,BD!$A$3:$A$5001,"&gt;="&amp;$C$7,BD!$A$3:$A$5001,"&lt;="&amp;$B142,BD!$X$3:$X$5001,"&lt;&gt;"))))</f>
        <v/>
      </c>
      <c r="T142" s="43" t="str">
        <f>IF(OR($B142="",$A142&gt;$B$9,T$140=""),"",IF(COUNTIFS(BD!$B$3:$B$5001,T$140,BD!$A$3:$A$5001,"&gt;="&amp;$C$7,BD!$A$3:$A$5001,"&lt;="&amp;$B142,BD!$X$3:$X$5001,"&lt;&gt;")=0,"",SUMIFS(BD!$X$3:$X$5001,BD!$B$3:$B$5001,T$140,BD!$A$3:$A$5001,_xlfn.MAXIFS(BD!$A$3:$A$5001,BD!$B$3:$B$5001,T$140,BD!$A$3:$A$5001,"&gt;="&amp;$C$7,BD!$A$3:$A$5001,"&lt;="&amp;$B142,BD!$X$3:$X$5001,"&lt;&gt;"))))</f>
        <v/>
      </c>
      <c r="U142" s="43" t="str">
        <f>IF(OR($B142="",$A142&gt;$B$9,U$140=""),"",IF(COUNTIFS(BD!$B$3:$B$5001,U$140,BD!$A$3:$A$5001,"&gt;="&amp;$C$7,BD!$A$3:$A$5001,"&lt;="&amp;$B142,BD!$X$3:$X$5001,"&lt;&gt;")=0,"",SUMIFS(BD!$X$3:$X$5001,BD!$B$3:$B$5001,U$140,BD!$A$3:$A$5001,_xlfn.MAXIFS(BD!$A$3:$A$5001,BD!$B$3:$B$5001,U$140,BD!$A$3:$A$5001,"&gt;="&amp;$C$7,BD!$A$3:$A$5001,"&lt;="&amp;$B142,BD!$X$3:$X$5001,"&lt;&gt;"))))</f>
        <v/>
      </c>
      <c r="V142" s="43" t="str">
        <f>IF(OR($B142="",$A142&gt;$B$9,V$140=""),"",IF(COUNTIFS(BD!$B$3:$B$5001,V$140,BD!$A$3:$A$5001,"&gt;="&amp;$C$7,BD!$A$3:$A$5001,"&lt;="&amp;$B142,BD!$X$3:$X$5001,"&lt;&gt;")=0,"",SUMIFS(BD!$X$3:$X$5001,BD!$B$3:$B$5001,V$140,BD!$A$3:$A$5001,_xlfn.MAXIFS(BD!$A$3:$A$5001,BD!$B$3:$B$5001,V$140,BD!$A$3:$A$5001,"&gt;="&amp;$C$7,BD!$A$3:$A$5001,"&lt;="&amp;$B142,BD!$X$3:$X$5001,"&lt;&gt;"))))</f>
        <v/>
      </c>
    </row>
    <row r="143">
      <c r="A143" s="38">
        <v>3</v>
      </c>
      <c r="B143" s="42">
        <f>$B$14</f>
        <v>46298</v>
      </c>
      <c r="C143" s="43" t="str">
        <f>IF(OR($B143="",$A143&gt;$B$9,C$140=""),"",IF(COUNTIFS(BD!$B$3:$B$5001,C$140,BD!$A$3:$A$5001,"&gt;="&amp;$C$7,BD!$A$3:$A$5001,"&lt;="&amp;$B143,BD!$X$3:$X$5001,"&lt;&gt;")=0,"",SUMIFS(BD!$X$3:$X$5001,BD!$B$3:$B$5001,C$140,BD!$A$3:$A$5001,_xlfn.MAXIFS(BD!$A$3:$A$5001,BD!$B$3:$B$5001,C$140,BD!$A$3:$A$5001,"&gt;="&amp;$C$7,BD!$A$3:$A$5001,"&lt;="&amp;$B143,BD!$X$3:$X$5001,"&lt;&gt;"))))</f>
        <v/>
      </c>
      <c r="D143" s="43" t="str">
        <f>IF(OR($B143="",$A143&gt;$B$9,D$140=""),"",IF(COUNTIFS(BD!$B$3:$B$5001,D$140,BD!$A$3:$A$5001,"&gt;="&amp;$C$7,BD!$A$3:$A$5001,"&lt;="&amp;$B143,BD!$X$3:$X$5001,"&lt;&gt;")=0,"",SUMIFS(BD!$X$3:$X$5001,BD!$B$3:$B$5001,D$140,BD!$A$3:$A$5001,_xlfn.MAXIFS(BD!$A$3:$A$5001,BD!$B$3:$B$5001,D$140,BD!$A$3:$A$5001,"&gt;="&amp;$C$7,BD!$A$3:$A$5001,"&lt;="&amp;$B143,BD!$X$3:$X$5001,"&lt;&gt;"))))</f>
        <v/>
      </c>
      <c r="E143" s="43" t="str">
        <f>IF(OR($B143="",$A143&gt;$B$9,E$140=""),"",IF(COUNTIFS(BD!$B$3:$B$5001,E$140,BD!$A$3:$A$5001,"&gt;="&amp;$C$7,BD!$A$3:$A$5001,"&lt;="&amp;$B143,BD!$X$3:$X$5001,"&lt;&gt;")=0,"",SUMIFS(BD!$X$3:$X$5001,BD!$B$3:$B$5001,E$140,BD!$A$3:$A$5001,_xlfn.MAXIFS(BD!$A$3:$A$5001,BD!$B$3:$B$5001,E$140,BD!$A$3:$A$5001,"&gt;="&amp;$C$7,BD!$A$3:$A$5001,"&lt;="&amp;$B143,BD!$X$3:$X$5001,"&lt;&gt;"))))</f>
        <v/>
      </c>
      <c r="F143" s="43" t="str">
        <f>IF(OR($B143="",$A143&gt;$B$9,F$140=""),"",IF(COUNTIFS(BD!$B$3:$B$5001,F$140,BD!$A$3:$A$5001,"&gt;="&amp;$C$7,BD!$A$3:$A$5001,"&lt;="&amp;$B143,BD!$X$3:$X$5001,"&lt;&gt;")=0,"",SUMIFS(BD!$X$3:$X$5001,BD!$B$3:$B$5001,F$140,BD!$A$3:$A$5001,_xlfn.MAXIFS(BD!$A$3:$A$5001,BD!$B$3:$B$5001,F$140,BD!$A$3:$A$5001,"&gt;="&amp;$C$7,BD!$A$3:$A$5001,"&lt;="&amp;$B143,BD!$X$3:$X$5001,"&lt;&gt;"))))</f>
        <v/>
      </c>
      <c r="G143" s="43" t="str">
        <f>IF(OR($B143="",$A143&gt;$B$9,G$140=""),"",IF(COUNTIFS(BD!$B$3:$B$5001,G$140,BD!$A$3:$A$5001,"&gt;="&amp;$C$7,BD!$A$3:$A$5001,"&lt;="&amp;$B143,BD!$X$3:$X$5001,"&lt;&gt;")=0,"",SUMIFS(BD!$X$3:$X$5001,BD!$B$3:$B$5001,G$140,BD!$A$3:$A$5001,_xlfn.MAXIFS(BD!$A$3:$A$5001,BD!$B$3:$B$5001,G$140,BD!$A$3:$A$5001,"&gt;="&amp;$C$7,BD!$A$3:$A$5001,"&lt;="&amp;$B143,BD!$X$3:$X$5001,"&lt;&gt;"))))</f>
        <v/>
      </c>
      <c r="H143" s="43" t="str">
        <f>IF(OR($B143="",$A143&gt;$B$9,H$140=""),"",IF(COUNTIFS(BD!$B$3:$B$5001,H$140,BD!$A$3:$A$5001,"&gt;="&amp;$C$7,BD!$A$3:$A$5001,"&lt;="&amp;$B143,BD!$X$3:$X$5001,"&lt;&gt;")=0,"",SUMIFS(BD!$X$3:$X$5001,BD!$B$3:$B$5001,H$140,BD!$A$3:$A$5001,_xlfn.MAXIFS(BD!$A$3:$A$5001,BD!$B$3:$B$5001,H$140,BD!$A$3:$A$5001,"&gt;="&amp;$C$7,BD!$A$3:$A$5001,"&lt;="&amp;$B143,BD!$X$3:$X$5001,"&lt;&gt;"))))</f>
        <v/>
      </c>
      <c r="I143" s="43" t="str">
        <f>IF(OR($B143="",$A143&gt;$B$9,I$140=""),"",IF(COUNTIFS(BD!$B$3:$B$5001,I$140,BD!$A$3:$A$5001,"&gt;="&amp;$C$7,BD!$A$3:$A$5001,"&lt;="&amp;$B143,BD!$X$3:$X$5001,"&lt;&gt;")=0,"",SUMIFS(BD!$X$3:$X$5001,BD!$B$3:$B$5001,I$140,BD!$A$3:$A$5001,_xlfn.MAXIFS(BD!$A$3:$A$5001,BD!$B$3:$B$5001,I$140,BD!$A$3:$A$5001,"&gt;="&amp;$C$7,BD!$A$3:$A$5001,"&lt;="&amp;$B143,BD!$X$3:$X$5001,"&lt;&gt;"))))</f>
        <v/>
      </c>
      <c r="J143" s="43" t="str">
        <f>IF(OR($B143="",$A143&gt;$B$9,J$140=""),"",IF(COUNTIFS(BD!$B$3:$B$5001,J$140,BD!$A$3:$A$5001,"&gt;="&amp;$C$7,BD!$A$3:$A$5001,"&lt;="&amp;$B143,BD!$X$3:$X$5001,"&lt;&gt;")=0,"",SUMIFS(BD!$X$3:$X$5001,BD!$B$3:$B$5001,J$140,BD!$A$3:$A$5001,_xlfn.MAXIFS(BD!$A$3:$A$5001,BD!$B$3:$B$5001,J$140,BD!$A$3:$A$5001,"&gt;="&amp;$C$7,BD!$A$3:$A$5001,"&lt;="&amp;$B143,BD!$X$3:$X$5001,"&lt;&gt;"))))</f>
        <v/>
      </c>
      <c r="K143" s="43" t="str">
        <f>IF(OR($B143="",$A143&gt;$B$9,K$140=""),"",IF(COUNTIFS(BD!$B$3:$B$5001,K$140,BD!$A$3:$A$5001,"&gt;="&amp;$C$7,BD!$A$3:$A$5001,"&lt;="&amp;$B143,BD!$X$3:$X$5001,"&lt;&gt;")=0,"",SUMIFS(BD!$X$3:$X$5001,BD!$B$3:$B$5001,K$140,BD!$A$3:$A$5001,_xlfn.MAXIFS(BD!$A$3:$A$5001,BD!$B$3:$B$5001,K$140,BD!$A$3:$A$5001,"&gt;="&amp;$C$7,BD!$A$3:$A$5001,"&lt;="&amp;$B143,BD!$X$3:$X$5001,"&lt;&gt;"))))</f>
        <v/>
      </c>
      <c r="L143" s="43" t="str">
        <f>IF(OR($B143="",$A143&gt;$B$9,L$140=""),"",IF(COUNTIFS(BD!$B$3:$B$5001,L$140,BD!$A$3:$A$5001,"&gt;="&amp;$C$7,BD!$A$3:$A$5001,"&lt;="&amp;$B143,BD!$X$3:$X$5001,"&lt;&gt;")=0,"",SUMIFS(BD!$X$3:$X$5001,BD!$B$3:$B$5001,L$140,BD!$A$3:$A$5001,_xlfn.MAXIFS(BD!$A$3:$A$5001,BD!$B$3:$B$5001,L$140,BD!$A$3:$A$5001,"&gt;="&amp;$C$7,BD!$A$3:$A$5001,"&lt;="&amp;$B143,BD!$X$3:$X$5001,"&lt;&gt;"))))</f>
        <v/>
      </c>
      <c r="M143" s="43" t="str">
        <f>IF(OR($B143="",$A143&gt;$B$9,M$140=""),"",IF(COUNTIFS(BD!$B$3:$B$5001,M$140,BD!$A$3:$A$5001,"&gt;="&amp;$C$7,BD!$A$3:$A$5001,"&lt;="&amp;$B143,BD!$X$3:$X$5001,"&lt;&gt;")=0,"",SUMIFS(BD!$X$3:$X$5001,BD!$B$3:$B$5001,M$140,BD!$A$3:$A$5001,_xlfn.MAXIFS(BD!$A$3:$A$5001,BD!$B$3:$B$5001,M$140,BD!$A$3:$A$5001,"&gt;="&amp;$C$7,BD!$A$3:$A$5001,"&lt;="&amp;$B143,BD!$X$3:$X$5001,"&lt;&gt;"))))</f>
        <v/>
      </c>
      <c r="N143" s="43" t="str">
        <f>IF(OR($B143="",$A143&gt;$B$9,N$140=""),"",IF(COUNTIFS(BD!$B$3:$B$5001,N$140,BD!$A$3:$A$5001,"&gt;="&amp;$C$7,BD!$A$3:$A$5001,"&lt;="&amp;$B143,BD!$X$3:$X$5001,"&lt;&gt;")=0,"",SUMIFS(BD!$X$3:$X$5001,BD!$B$3:$B$5001,N$140,BD!$A$3:$A$5001,_xlfn.MAXIFS(BD!$A$3:$A$5001,BD!$B$3:$B$5001,N$140,BD!$A$3:$A$5001,"&gt;="&amp;$C$7,BD!$A$3:$A$5001,"&lt;="&amp;$B143,BD!$X$3:$X$5001,"&lt;&gt;"))))</f>
        <v/>
      </c>
      <c r="O143" s="43" t="str">
        <f>IF(OR($B143="",$A143&gt;$B$9,O$140=""),"",IF(COUNTIFS(BD!$B$3:$B$5001,O$140,BD!$A$3:$A$5001,"&gt;="&amp;$C$7,BD!$A$3:$A$5001,"&lt;="&amp;$B143,BD!$X$3:$X$5001,"&lt;&gt;")=0,"",SUMIFS(BD!$X$3:$X$5001,BD!$B$3:$B$5001,O$140,BD!$A$3:$A$5001,_xlfn.MAXIFS(BD!$A$3:$A$5001,BD!$B$3:$B$5001,O$140,BD!$A$3:$A$5001,"&gt;="&amp;$C$7,BD!$A$3:$A$5001,"&lt;="&amp;$B143,BD!$X$3:$X$5001,"&lt;&gt;"))))</f>
        <v/>
      </c>
      <c r="P143" s="43" t="str">
        <f>IF(OR($B143="",$A143&gt;$B$9,P$140=""),"",IF(COUNTIFS(BD!$B$3:$B$5001,P$140,BD!$A$3:$A$5001,"&gt;="&amp;$C$7,BD!$A$3:$A$5001,"&lt;="&amp;$B143,BD!$X$3:$X$5001,"&lt;&gt;")=0,"",SUMIFS(BD!$X$3:$X$5001,BD!$B$3:$B$5001,P$140,BD!$A$3:$A$5001,_xlfn.MAXIFS(BD!$A$3:$A$5001,BD!$B$3:$B$5001,P$140,BD!$A$3:$A$5001,"&gt;="&amp;$C$7,BD!$A$3:$A$5001,"&lt;="&amp;$B143,BD!$X$3:$X$5001,"&lt;&gt;"))))</f>
        <v/>
      </c>
      <c r="Q143" s="43" t="str">
        <f>IF(OR($B143="",$A143&gt;$B$9,Q$140=""),"",IF(COUNTIFS(BD!$B$3:$B$5001,Q$140,BD!$A$3:$A$5001,"&gt;="&amp;$C$7,BD!$A$3:$A$5001,"&lt;="&amp;$B143,BD!$X$3:$X$5001,"&lt;&gt;")=0,"",SUMIFS(BD!$X$3:$X$5001,BD!$B$3:$B$5001,Q$140,BD!$A$3:$A$5001,_xlfn.MAXIFS(BD!$A$3:$A$5001,BD!$B$3:$B$5001,Q$140,BD!$A$3:$A$5001,"&gt;="&amp;$C$7,BD!$A$3:$A$5001,"&lt;="&amp;$B143,BD!$X$3:$X$5001,"&lt;&gt;"))))</f>
        <v/>
      </c>
      <c r="R143" s="43" t="str">
        <f>IF(OR($B143="",$A143&gt;$B$9,R$140=""),"",IF(COUNTIFS(BD!$B$3:$B$5001,R$140,BD!$A$3:$A$5001,"&gt;="&amp;$C$7,BD!$A$3:$A$5001,"&lt;="&amp;$B143,BD!$X$3:$X$5001,"&lt;&gt;")=0,"",SUMIFS(BD!$X$3:$X$5001,BD!$B$3:$B$5001,R$140,BD!$A$3:$A$5001,_xlfn.MAXIFS(BD!$A$3:$A$5001,BD!$B$3:$B$5001,R$140,BD!$A$3:$A$5001,"&gt;="&amp;$C$7,BD!$A$3:$A$5001,"&lt;="&amp;$B143,BD!$X$3:$X$5001,"&lt;&gt;"))))</f>
        <v/>
      </c>
      <c r="S143" s="43" t="str">
        <f>IF(OR($B143="",$A143&gt;$B$9,S$140=""),"",IF(COUNTIFS(BD!$B$3:$B$5001,S$140,BD!$A$3:$A$5001,"&gt;="&amp;$C$7,BD!$A$3:$A$5001,"&lt;="&amp;$B143,BD!$X$3:$X$5001,"&lt;&gt;")=0,"",SUMIFS(BD!$X$3:$X$5001,BD!$B$3:$B$5001,S$140,BD!$A$3:$A$5001,_xlfn.MAXIFS(BD!$A$3:$A$5001,BD!$B$3:$B$5001,S$140,BD!$A$3:$A$5001,"&gt;="&amp;$C$7,BD!$A$3:$A$5001,"&lt;="&amp;$B143,BD!$X$3:$X$5001,"&lt;&gt;"))))</f>
        <v/>
      </c>
      <c r="T143" s="43" t="str">
        <f>IF(OR($B143="",$A143&gt;$B$9,T$140=""),"",IF(COUNTIFS(BD!$B$3:$B$5001,T$140,BD!$A$3:$A$5001,"&gt;="&amp;$C$7,BD!$A$3:$A$5001,"&lt;="&amp;$B143,BD!$X$3:$X$5001,"&lt;&gt;")=0,"",SUMIFS(BD!$X$3:$X$5001,BD!$B$3:$B$5001,T$140,BD!$A$3:$A$5001,_xlfn.MAXIFS(BD!$A$3:$A$5001,BD!$B$3:$B$5001,T$140,BD!$A$3:$A$5001,"&gt;="&amp;$C$7,BD!$A$3:$A$5001,"&lt;="&amp;$B143,BD!$X$3:$X$5001,"&lt;&gt;"))))</f>
        <v/>
      </c>
      <c r="U143" s="43" t="str">
        <f>IF(OR($B143="",$A143&gt;$B$9,U$140=""),"",IF(COUNTIFS(BD!$B$3:$B$5001,U$140,BD!$A$3:$A$5001,"&gt;="&amp;$C$7,BD!$A$3:$A$5001,"&lt;="&amp;$B143,BD!$X$3:$X$5001,"&lt;&gt;")=0,"",SUMIFS(BD!$X$3:$X$5001,BD!$B$3:$B$5001,U$140,BD!$A$3:$A$5001,_xlfn.MAXIFS(BD!$A$3:$A$5001,BD!$B$3:$B$5001,U$140,BD!$A$3:$A$5001,"&gt;="&amp;$C$7,BD!$A$3:$A$5001,"&lt;="&amp;$B143,BD!$X$3:$X$5001,"&lt;&gt;"))))</f>
        <v/>
      </c>
      <c r="V143" s="43" t="str">
        <f>IF(OR($B143="",$A143&gt;$B$9,V$140=""),"",IF(COUNTIFS(BD!$B$3:$B$5001,V$140,BD!$A$3:$A$5001,"&gt;="&amp;$C$7,BD!$A$3:$A$5001,"&lt;="&amp;$B143,BD!$X$3:$X$5001,"&lt;&gt;")=0,"",SUMIFS(BD!$X$3:$X$5001,BD!$B$3:$B$5001,V$140,BD!$A$3:$A$5001,_xlfn.MAXIFS(BD!$A$3:$A$5001,BD!$B$3:$B$5001,V$140,BD!$A$3:$A$5001,"&gt;="&amp;$C$7,BD!$A$3:$A$5001,"&lt;="&amp;$B143,BD!$X$3:$X$5001,"&lt;&gt;"))))</f>
        <v/>
      </c>
    </row>
    <row r="144">
      <c r="A144" s="38">
        <v>4</v>
      </c>
      <c r="B144" s="42">
        <f>$B$15</f>
        <v>46299</v>
      </c>
      <c r="C144" s="43" t="str">
        <f>IF(OR($B144="",$A144&gt;$B$9,C$140=""),"",IF(COUNTIFS(BD!$B$3:$B$5001,C$140,BD!$A$3:$A$5001,"&gt;="&amp;$C$7,BD!$A$3:$A$5001,"&lt;="&amp;$B144,BD!$X$3:$X$5001,"&lt;&gt;")=0,"",SUMIFS(BD!$X$3:$X$5001,BD!$B$3:$B$5001,C$140,BD!$A$3:$A$5001,_xlfn.MAXIFS(BD!$A$3:$A$5001,BD!$B$3:$B$5001,C$140,BD!$A$3:$A$5001,"&gt;="&amp;$C$7,BD!$A$3:$A$5001,"&lt;="&amp;$B144,BD!$X$3:$X$5001,"&lt;&gt;"))))</f>
        <v/>
      </c>
      <c r="D144" s="43" t="str">
        <f>IF(OR($B144="",$A144&gt;$B$9,D$140=""),"",IF(COUNTIFS(BD!$B$3:$B$5001,D$140,BD!$A$3:$A$5001,"&gt;="&amp;$C$7,BD!$A$3:$A$5001,"&lt;="&amp;$B144,BD!$X$3:$X$5001,"&lt;&gt;")=0,"",SUMIFS(BD!$X$3:$X$5001,BD!$B$3:$B$5001,D$140,BD!$A$3:$A$5001,_xlfn.MAXIFS(BD!$A$3:$A$5001,BD!$B$3:$B$5001,D$140,BD!$A$3:$A$5001,"&gt;="&amp;$C$7,BD!$A$3:$A$5001,"&lt;="&amp;$B144,BD!$X$3:$X$5001,"&lt;&gt;"))))</f>
        <v/>
      </c>
      <c r="E144" s="43" t="str">
        <f>IF(OR($B144="",$A144&gt;$B$9,E$140=""),"",IF(COUNTIFS(BD!$B$3:$B$5001,E$140,BD!$A$3:$A$5001,"&gt;="&amp;$C$7,BD!$A$3:$A$5001,"&lt;="&amp;$B144,BD!$X$3:$X$5001,"&lt;&gt;")=0,"",SUMIFS(BD!$X$3:$X$5001,BD!$B$3:$B$5001,E$140,BD!$A$3:$A$5001,_xlfn.MAXIFS(BD!$A$3:$A$5001,BD!$B$3:$B$5001,E$140,BD!$A$3:$A$5001,"&gt;="&amp;$C$7,BD!$A$3:$A$5001,"&lt;="&amp;$B144,BD!$X$3:$X$5001,"&lt;&gt;"))))</f>
        <v/>
      </c>
      <c r="F144" s="43" t="str">
        <f>IF(OR($B144="",$A144&gt;$B$9,F$140=""),"",IF(COUNTIFS(BD!$B$3:$B$5001,F$140,BD!$A$3:$A$5001,"&gt;="&amp;$C$7,BD!$A$3:$A$5001,"&lt;="&amp;$B144,BD!$X$3:$X$5001,"&lt;&gt;")=0,"",SUMIFS(BD!$X$3:$X$5001,BD!$B$3:$B$5001,F$140,BD!$A$3:$A$5001,_xlfn.MAXIFS(BD!$A$3:$A$5001,BD!$B$3:$B$5001,F$140,BD!$A$3:$A$5001,"&gt;="&amp;$C$7,BD!$A$3:$A$5001,"&lt;="&amp;$B144,BD!$X$3:$X$5001,"&lt;&gt;"))))</f>
        <v/>
      </c>
      <c r="G144" s="43" t="str">
        <f>IF(OR($B144="",$A144&gt;$B$9,G$140=""),"",IF(COUNTIFS(BD!$B$3:$B$5001,G$140,BD!$A$3:$A$5001,"&gt;="&amp;$C$7,BD!$A$3:$A$5001,"&lt;="&amp;$B144,BD!$X$3:$X$5001,"&lt;&gt;")=0,"",SUMIFS(BD!$X$3:$X$5001,BD!$B$3:$B$5001,G$140,BD!$A$3:$A$5001,_xlfn.MAXIFS(BD!$A$3:$A$5001,BD!$B$3:$B$5001,G$140,BD!$A$3:$A$5001,"&gt;="&amp;$C$7,BD!$A$3:$A$5001,"&lt;="&amp;$B144,BD!$X$3:$X$5001,"&lt;&gt;"))))</f>
        <v/>
      </c>
      <c r="H144" s="43" t="str">
        <f>IF(OR($B144="",$A144&gt;$B$9,H$140=""),"",IF(COUNTIFS(BD!$B$3:$B$5001,H$140,BD!$A$3:$A$5001,"&gt;="&amp;$C$7,BD!$A$3:$A$5001,"&lt;="&amp;$B144,BD!$X$3:$X$5001,"&lt;&gt;")=0,"",SUMIFS(BD!$X$3:$X$5001,BD!$B$3:$B$5001,H$140,BD!$A$3:$A$5001,_xlfn.MAXIFS(BD!$A$3:$A$5001,BD!$B$3:$B$5001,H$140,BD!$A$3:$A$5001,"&gt;="&amp;$C$7,BD!$A$3:$A$5001,"&lt;="&amp;$B144,BD!$X$3:$X$5001,"&lt;&gt;"))))</f>
        <v/>
      </c>
      <c r="I144" s="43" t="str">
        <f>IF(OR($B144="",$A144&gt;$B$9,I$140=""),"",IF(COUNTIFS(BD!$B$3:$B$5001,I$140,BD!$A$3:$A$5001,"&gt;="&amp;$C$7,BD!$A$3:$A$5001,"&lt;="&amp;$B144,BD!$X$3:$X$5001,"&lt;&gt;")=0,"",SUMIFS(BD!$X$3:$X$5001,BD!$B$3:$B$5001,I$140,BD!$A$3:$A$5001,_xlfn.MAXIFS(BD!$A$3:$A$5001,BD!$B$3:$B$5001,I$140,BD!$A$3:$A$5001,"&gt;="&amp;$C$7,BD!$A$3:$A$5001,"&lt;="&amp;$B144,BD!$X$3:$X$5001,"&lt;&gt;"))))</f>
        <v/>
      </c>
      <c r="J144" s="43" t="str">
        <f>IF(OR($B144="",$A144&gt;$B$9,J$140=""),"",IF(COUNTIFS(BD!$B$3:$B$5001,J$140,BD!$A$3:$A$5001,"&gt;="&amp;$C$7,BD!$A$3:$A$5001,"&lt;="&amp;$B144,BD!$X$3:$X$5001,"&lt;&gt;")=0,"",SUMIFS(BD!$X$3:$X$5001,BD!$B$3:$B$5001,J$140,BD!$A$3:$A$5001,_xlfn.MAXIFS(BD!$A$3:$A$5001,BD!$B$3:$B$5001,J$140,BD!$A$3:$A$5001,"&gt;="&amp;$C$7,BD!$A$3:$A$5001,"&lt;="&amp;$B144,BD!$X$3:$X$5001,"&lt;&gt;"))))</f>
        <v/>
      </c>
      <c r="K144" s="43" t="str">
        <f>IF(OR($B144="",$A144&gt;$B$9,K$140=""),"",IF(COUNTIFS(BD!$B$3:$B$5001,K$140,BD!$A$3:$A$5001,"&gt;="&amp;$C$7,BD!$A$3:$A$5001,"&lt;="&amp;$B144,BD!$X$3:$X$5001,"&lt;&gt;")=0,"",SUMIFS(BD!$X$3:$X$5001,BD!$B$3:$B$5001,K$140,BD!$A$3:$A$5001,_xlfn.MAXIFS(BD!$A$3:$A$5001,BD!$B$3:$B$5001,K$140,BD!$A$3:$A$5001,"&gt;="&amp;$C$7,BD!$A$3:$A$5001,"&lt;="&amp;$B144,BD!$X$3:$X$5001,"&lt;&gt;"))))</f>
        <v/>
      </c>
      <c r="L144" s="43" t="str">
        <f>IF(OR($B144="",$A144&gt;$B$9,L$140=""),"",IF(COUNTIFS(BD!$B$3:$B$5001,L$140,BD!$A$3:$A$5001,"&gt;="&amp;$C$7,BD!$A$3:$A$5001,"&lt;="&amp;$B144,BD!$X$3:$X$5001,"&lt;&gt;")=0,"",SUMIFS(BD!$X$3:$X$5001,BD!$B$3:$B$5001,L$140,BD!$A$3:$A$5001,_xlfn.MAXIFS(BD!$A$3:$A$5001,BD!$B$3:$B$5001,L$140,BD!$A$3:$A$5001,"&gt;="&amp;$C$7,BD!$A$3:$A$5001,"&lt;="&amp;$B144,BD!$X$3:$X$5001,"&lt;&gt;"))))</f>
        <v/>
      </c>
      <c r="M144" s="43" t="str">
        <f>IF(OR($B144="",$A144&gt;$B$9,M$140=""),"",IF(COUNTIFS(BD!$B$3:$B$5001,M$140,BD!$A$3:$A$5001,"&gt;="&amp;$C$7,BD!$A$3:$A$5001,"&lt;="&amp;$B144,BD!$X$3:$X$5001,"&lt;&gt;")=0,"",SUMIFS(BD!$X$3:$X$5001,BD!$B$3:$B$5001,M$140,BD!$A$3:$A$5001,_xlfn.MAXIFS(BD!$A$3:$A$5001,BD!$B$3:$B$5001,M$140,BD!$A$3:$A$5001,"&gt;="&amp;$C$7,BD!$A$3:$A$5001,"&lt;="&amp;$B144,BD!$X$3:$X$5001,"&lt;&gt;"))))</f>
        <v/>
      </c>
      <c r="N144" s="43" t="str">
        <f>IF(OR($B144="",$A144&gt;$B$9,N$140=""),"",IF(COUNTIFS(BD!$B$3:$B$5001,N$140,BD!$A$3:$A$5001,"&gt;="&amp;$C$7,BD!$A$3:$A$5001,"&lt;="&amp;$B144,BD!$X$3:$X$5001,"&lt;&gt;")=0,"",SUMIFS(BD!$X$3:$X$5001,BD!$B$3:$B$5001,N$140,BD!$A$3:$A$5001,_xlfn.MAXIFS(BD!$A$3:$A$5001,BD!$B$3:$B$5001,N$140,BD!$A$3:$A$5001,"&gt;="&amp;$C$7,BD!$A$3:$A$5001,"&lt;="&amp;$B144,BD!$X$3:$X$5001,"&lt;&gt;"))))</f>
        <v/>
      </c>
      <c r="O144" s="43" t="str">
        <f>IF(OR($B144="",$A144&gt;$B$9,O$140=""),"",IF(COUNTIFS(BD!$B$3:$B$5001,O$140,BD!$A$3:$A$5001,"&gt;="&amp;$C$7,BD!$A$3:$A$5001,"&lt;="&amp;$B144,BD!$X$3:$X$5001,"&lt;&gt;")=0,"",SUMIFS(BD!$X$3:$X$5001,BD!$B$3:$B$5001,O$140,BD!$A$3:$A$5001,_xlfn.MAXIFS(BD!$A$3:$A$5001,BD!$B$3:$B$5001,O$140,BD!$A$3:$A$5001,"&gt;="&amp;$C$7,BD!$A$3:$A$5001,"&lt;="&amp;$B144,BD!$X$3:$X$5001,"&lt;&gt;"))))</f>
        <v/>
      </c>
      <c r="P144" s="43" t="str">
        <f>IF(OR($B144="",$A144&gt;$B$9,P$140=""),"",IF(COUNTIFS(BD!$B$3:$B$5001,P$140,BD!$A$3:$A$5001,"&gt;="&amp;$C$7,BD!$A$3:$A$5001,"&lt;="&amp;$B144,BD!$X$3:$X$5001,"&lt;&gt;")=0,"",SUMIFS(BD!$X$3:$X$5001,BD!$B$3:$B$5001,P$140,BD!$A$3:$A$5001,_xlfn.MAXIFS(BD!$A$3:$A$5001,BD!$B$3:$B$5001,P$140,BD!$A$3:$A$5001,"&gt;="&amp;$C$7,BD!$A$3:$A$5001,"&lt;="&amp;$B144,BD!$X$3:$X$5001,"&lt;&gt;"))))</f>
        <v/>
      </c>
      <c r="Q144" s="43" t="str">
        <f>IF(OR($B144="",$A144&gt;$B$9,Q$140=""),"",IF(COUNTIFS(BD!$B$3:$B$5001,Q$140,BD!$A$3:$A$5001,"&gt;="&amp;$C$7,BD!$A$3:$A$5001,"&lt;="&amp;$B144,BD!$X$3:$X$5001,"&lt;&gt;")=0,"",SUMIFS(BD!$X$3:$X$5001,BD!$B$3:$B$5001,Q$140,BD!$A$3:$A$5001,_xlfn.MAXIFS(BD!$A$3:$A$5001,BD!$B$3:$B$5001,Q$140,BD!$A$3:$A$5001,"&gt;="&amp;$C$7,BD!$A$3:$A$5001,"&lt;="&amp;$B144,BD!$X$3:$X$5001,"&lt;&gt;"))))</f>
        <v/>
      </c>
      <c r="R144" s="43" t="str">
        <f>IF(OR($B144="",$A144&gt;$B$9,R$140=""),"",IF(COUNTIFS(BD!$B$3:$B$5001,R$140,BD!$A$3:$A$5001,"&gt;="&amp;$C$7,BD!$A$3:$A$5001,"&lt;="&amp;$B144,BD!$X$3:$X$5001,"&lt;&gt;")=0,"",SUMIFS(BD!$X$3:$X$5001,BD!$B$3:$B$5001,R$140,BD!$A$3:$A$5001,_xlfn.MAXIFS(BD!$A$3:$A$5001,BD!$B$3:$B$5001,R$140,BD!$A$3:$A$5001,"&gt;="&amp;$C$7,BD!$A$3:$A$5001,"&lt;="&amp;$B144,BD!$X$3:$X$5001,"&lt;&gt;"))))</f>
        <v/>
      </c>
      <c r="S144" s="43" t="str">
        <f>IF(OR($B144="",$A144&gt;$B$9,S$140=""),"",IF(COUNTIFS(BD!$B$3:$B$5001,S$140,BD!$A$3:$A$5001,"&gt;="&amp;$C$7,BD!$A$3:$A$5001,"&lt;="&amp;$B144,BD!$X$3:$X$5001,"&lt;&gt;")=0,"",SUMIFS(BD!$X$3:$X$5001,BD!$B$3:$B$5001,S$140,BD!$A$3:$A$5001,_xlfn.MAXIFS(BD!$A$3:$A$5001,BD!$B$3:$B$5001,S$140,BD!$A$3:$A$5001,"&gt;="&amp;$C$7,BD!$A$3:$A$5001,"&lt;="&amp;$B144,BD!$X$3:$X$5001,"&lt;&gt;"))))</f>
        <v/>
      </c>
      <c r="T144" s="43" t="str">
        <f>IF(OR($B144="",$A144&gt;$B$9,T$140=""),"",IF(COUNTIFS(BD!$B$3:$B$5001,T$140,BD!$A$3:$A$5001,"&gt;="&amp;$C$7,BD!$A$3:$A$5001,"&lt;="&amp;$B144,BD!$X$3:$X$5001,"&lt;&gt;")=0,"",SUMIFS(BD!$X$3:$X$5001,BD!$B$3:$B$5001,T$140,BD!$A$3:$A$5001,_xlfn.MAXIFS(BD!$A$3:$A$5001,BD!$B$3:$B$5001,T$140,BD!$A$3:$A$5001,"&gt;="&amp;$C$7,BD!$A$3:$A$5001,"&lt;="&amp;$B144,BD!$X$3:$X$5001,"&lt;&gt;"))))</f>
        <v/>
      </c>
      <c r="U144" s="43" t="str">
        <f>IF(OR($B144="",$A144&gt;$B$9,U$140=""),"",IF(COUNTIFS(BD!$B$3:$B$5001,U$140,BD!$A$3:$A$5001,"&gt;="&amp;$C$7,BD!$A$3:$A$5001,"&lt;="&amp;$B144,BD!$X$3:$X$5001,"&lt;&gt;")=0,"",SUMIFS(BD!$X$3:$X$5001,BD!$B$3:$B$5001,U$140,BD!$A$3:$A$5001,_xlfn.MAXIFS(BD!$A$3:$A$5001,BD!$B$3:$B$5001,U$140,BD!$A$3:$A$5001,"&gt;="&amp;$C$7,BD!$A$3:$A$5001,"&lt;="&amp;$B144,BD!$X$3:$X$5001,"&lt;&gt;"))))</f>
        <v/>
      </c>
      <c r="V144" s="43" t="str">
        <f>IF(OR($B144="",$A144&gt;$B$9,V$140=""),"",IF(COUNTIFS(BD!$B$3:$B$5001,V$140,BD!$A$3:$A$5001,"&gt;="&amp;$C$7,BD!$A$3:$A$5001,"&lt;="&amp;$B144,BD!$X$3:$X$5001,"&lt;&gt;")=0,"",SUMIFS(BD!$X$3:$X$5001,BD!$B$3:$B$5001,V$140,BD!$A$3:$A$5001,_xlfn.MAXIFS(BD!$A$3:$A$5001,BD!$B$3:$B$5001,V$140,BD!$A$3:$A$5001,"&gt;="&amp;$C$7,BD!$A$3:$A$5001,"&lt;="&amp;$B144,BD!$X$3:$X$5001,"&lt;&gt;"))))</f>
        <v/>
      </c>
    </row>
    <row r="145">
      <c r="A145" s="38">
        <v>5</v>
      </c>
      <c r="B145" s="42">
        <f>$B$16</f>
        <v>46300</v>
      </c>
      <c r="C145" s="43" t="str">
        <f>IF(OR($B145="",$A145&gt;$B$9,C$140=""),"",IF(COUNTIFS(BD!$B$3:$B$5001,C$140,BD!$A$3:$A$5001,"&gt;="&amp;$C$7,BD!$A$3:$A$5001,"&lt;="&amp;$B145,BD!$X$3:$X$5001,"&lt;&gt;")=0,"",SUMIFS(BD!$X$3:$X$5001,BD!$B$3:$B$5001,C$140,BD!$A$3:$A$5001,_xlfn.MAXIFS(BD!$A$3:$A$5001,BD!$B$3:$B$5001,C$140,BD!$A$3:$A$5001,"&gt;="&amp;$C$7,BD!$A$3:$A$5001,"&lt;="&amp;$B145,BD!$X$3:$X$5001,"&lt;&gt;"))))</f>
        <v/>
      </c>
      <c r="D145" s="43" t="str">
        <f>IF(OR($B145="",$A145&gt;$B$9,D$140=""),"",IF(COUNTIFS(BD!$B$3:$B$5001,D$140,BD!$A$3:$A$5001,"&gt;="&amp;$C$7,BD!$A$3:$A$5001,"&lt;="&amp;$B145,BD!$X$3:$X$5001,"&lt;&gt;")=0,"",SUMIFS(BD!$X$3:$X$5001,BD!$B$3:$B$5001,D$140,BD!$A$3:$A$5001,_xlfn.MAXIFS(BD!$A$3:$A$5001,BD!$B$3:$B$5001,D$140,BD!$A$3:$A$5001,"&gt;="&amp;$C$7,BD!$A$3:$A$5001,"&lt;="&amp;$B145,BD!$X$3:$X$5001,"&lt;&gt;"))))</f>
        <v/>
      </c>
      <c r="E145" s="43" t="str">
        <f>IF(OR($B145="",$A145&gt;$B$9,E$140=""),"",IF(COUNTIFS(BD!$B$3:$B$5001,E$140,BD!$A$3:$A$5001,"&gt;="&amp;$C$7,BD!$A$3:$A$5001,"&lt;="&amp;$B145,BD!$X$3:$X$5001,"&lt;&gt;")=0,"",SUMIFS(BD!$X$3:$X$5001,BD!$B$3:$B$5001,E$140,BD!$A$3:$A$5001,_xlfn.MAXIFS(BD!$A$3:$A$5001,BD!$B$3:$B$5001,E$140,BD!$A$3:$A$5001,"&gt;="&amp;$C$7,BD!$A$3:$A$5001,"&lt;="&amp;$B145,BD!$X$3:$X$5001,"&lt;&gt;"))))</f>
        <v/>
      </c>
      <c r="F145" s="43" t="str">
        <f>IF(OR($B145="",$A145&gt;$B$9,F$140=""),"",IF(COUNTIFS(BD!$B$3:$B$5001,F$140,BD!$A$3:$A$5001,"&gt;="&amp;$C$7,BD!$A$3:$A$5001,"&lt;="&amp;$B145,BD!$X$3:$X$5001,"&lt;&gt;")=0,"",SUMIFS(BD!$X$3:$X$5001,BD!$B$3:$B$5001,F$140,BD!$A$3:$A$5001,_xlfn.MAXIFS(BD!$A$3:$A$5001,BD!$B$3:$B$5001,F$140,BD!$A$3:$A$5001,"&gt;="&amp;$C$7,BD!$A$3:$A$5001,"&lt;="&amp;$B145,BD!$X$3:$X$5001,"&lt;&gt;"))))</f>
        <v/>
      </c>
      <c r="G145" s="43" t="str">
        <f>IF(OR($B145="",$A145&gt;$B$9,G$140=""),"",IF(COUNTIFS(BD!$B$3:$B$5001,G$140,BD!$A$3:$A$5001,"&gt;="&amp;$C$7,BD!$A$3:$A$5001,"&lt;="&amp;$B145,BD!$X$3:$X$5001,"&lt;&gt;")=0,"",SUMIFS(BD!$X$3:$X$5001,BD!$B$3:$B$5001,G$140,BD!$A$3:$A$5001,_xlfn.MAXIFS(BD!$A$3:$A$5001,BD!$B$3:$B$5001,G$140,BD!$A$3:$A$5001,"&gt;="&amp;$C$7,BD!$A$3:$A$5001,"&lt;="&amp;$B145,BD!$X$3:$X$5001,"&lt;&gt;"))))</f>
        <v/>
      </c>
      <c r="H145" s="43" t="str">
        <f>IF(OR($B145="",$A145&gt;$B$9,H$140=""),"",IF(COUNTIFS(BD!$B$3:$B$5001,H$140,BD!$A$3:$A$5001,"&gt;="&amp;$C$7,BD!$A$3:$A$5001,"&lt;="&amp;$B145,BD!$X$3:$X$5001,"&lt;&gt;")=0,"",SUMIFS(BD!$X$3:$X$5001,BD!$B$3:$B$5001,H$140,BD!$A$3:$A$5001,_xlfn.MAXIFS(BD!$A$3:$A$5001,BD!$B$3:$B$5001,H$140,BD!$A$3:$A$5001,"&gt;="&amp;$C$7,BD!$A$3:$A$5001,"&lt;="&amp;$B145,BD!$X$3:$X$5001,"&lt;&gt;"))))</f>
        <v/>
      </c>
      <c r="I145" s="43" t="str">
        <f>IF(OR($B145="",$A145&gt;$B$9,I$140=""),"",IF(COUNTIFS(BD!$B$3:$B$5001,I$140,BD!$A$3:$A$5001,"&gt;="&amp;$C$7,BD!$A$3:$A$5001,"&lt;="&amp;$B145,BD!$X$3:$X$5001,"&lt;&gt;")=0,"",SUMIFS(BD!$X$3:$X$5001,BD!$B$3:$B$5001,I$140,BD!$A$3:$A$5001,_xlfn.MAXIFS(BD!$A$3:$A$5001,BD!$B$3:$B$5001,I$140,BD!$A$3:$A$5001,"&gt;="&amp;$C$7,BD!$A$3:$A$5001,"&lt;="&amp;$B145,BD!$X$3:$X$5001,"&lt;&gt;"))))</f>
        <v/>
      </c>
      <c r="J145" s="43" t="str">
        <f>IF(OR($B145="",$A145&gt;$B$9,J$140=""),"",IF(COUNTIFS(BD!$B$3:$B$5001,J$140,BD!$A$3:$A$5001,"&gt;="&amp;$C$7,BD!$A$3:$A$5001,"&lt;="&amp;$B145,BD!$X$3:$X$5001,"&lt;&gt;")=0,"",SUMIFS(BD!$X$3:$X$5001,BD!$B$3:$B$5001,J$140,BD!$A$3:$A$5001,_xlfn.MAXIFS(BD!$A$3:$A$5001,BD!$B$3:$B$5001,J$140,BD!$A$3:$A$5001,"&gt;="&amp;$C$7,BD!$A$3:$A$5001,"&lt;="&amp;$B145,BD!$X$3:$X$5001,"&lt;&gt;"))))</f>
        <v/>
      </c>
      <c r="K145" s="43" t="str">
        <f>IF(OR($B145="",$A145&gt;$B$9,K$140=""),"",IF(COUNTIFS(BD!$B$3:$B$5001,K$140,BD!$A$3:$A$5001,"&gt;="&amp;$C$7,BD!$A$3:$A$5001,"&lt;="&amp;$B145,BD!$X$3:$X$5001,"&lt;&gt;")=0,"",SUMIFS(BD!$X$3:$X$5001,BD!$B$3:$B$5001,K$140,BD!$A$3:$A$5001,_xlfn.MAXIFS(BD!$A$3:$A$5001,BD!$B$3:$B$5001,K$140,BD!$A$3:$A$5001,"&gt;="&amp;$C$7,BD!$A$3:$A$5001,"&lt;="&amp;$B145,BD!$X$3:$X$5001,"&lt;&gt;"))))</f>
        <v/>
      </c>
      <c r="L145" s="43" t="str">
        <f>IF(OR($B145="",$A145&gt;$B$9,L$140=""),"",IF(COUNTIFS(BD!$B$3:$B$5001,L$140,BD!$A$3:$A$5001,"&gt;="&amp;$C$7,BD!$A$3:$A$5001,"&lt;="&amp;$B145,BD!$X$3:$X$5001,"&lt;&gt;")=0,"",SUMIFS(BD!$X$3:$X$5001,BD!$B$3:$B$5001,L$140,BD!$A$3:$A$5001,_xlfn.MAXIFS(BD!$A$3:$A$5001,BD!$B$3:$B$5001,L$140,BD!$A$3:$A$5001,"&gt;="&amp;$C$7,BD!$A$3:$A$5001,"&lt;="&amp;$B145,BD!$X$3:$X$5001,"&lt;&gt;"))))</f>
        <v/>
      </c>
      <c r="M145" s="43" t="str">
        <f>IF(OR($B145="",$A145&gt;$B$9,M$140=""),"",IF(COUNTIFS(BD!$B$3:$B$5001,M$140,BD!$A$3:$A$5001,"&gt;="&amp;$C$7,BD!$A$3:$A$5001,"&lt;="&amp;$B145,BD!$X$3:$X$5001,"&lt;&gt;")=0,"",SUMIFS(BD!$X$3:$X$5001,BD!$B$3:$B$5001,M$140,BD!$A$3:$A$5001,_xlfn.MAXIFS(BD!$A$3:$A$5001,BD!$B$3:$B$5001,M$140,BD!$A$3:$A$5001,"&gt;="&amp;$C$7,BD!$A$3:$A$5001,"&lt;="&amp;$B145,BD!$X$3:$X$5001,"&lt;&gt;"))))</f>
        <v/>
      </c>
      <c r="N145" s="43" t="str">
        <f>IF(OR($B145="",$A145&gt;$B$9,N$140=""),"",IF(COUNTIFS(BD!$B$3:$B$5001,N$140,BD!$A$3:$A$5001,"&gt;="&amp;$C$7,BD!$A$3:$A$5001,"&lt;="&amp;$B145,BD!$X$3:$X$5001,"&lt;&gt;")=0,"",SUMIFS(BD!$X$3:$X$5001,BD!$B$3:$B$5001,N$140,BD!$A$3:$A$5001,_xlfn.MAXIFS(BD!$A$3:$A$5001,BD!$B$3:$B$5001,N$140,BD!$A$3:$A$5001,"&gt;="&amp;$C$7,BD!$A$3:$A$5001,"&lt;="&amp;$B145,BD!$X$3:$X$5001,"&lt;&gt;"))))</f>
        <v/>
      </c>
      <c r="O145" s="43" t="str">
        <f>IF(OR($B145="",$A145&gt;$B$9,O$140=""),"",IF(COUNTIFS(BD!$B$3:$B$5001,O$140,BD!$A$3:$A$5001,"&gt;="&amp;$C$7,BD!$A$3:$A$5001,"&lt;="&amp;$B145,BD!$X$3:$X$5001,"&lt;&gt;")=0,"",SUMIFS(BD!$X$3:$X$5001,BD!$B$3:$B$5001,O$140,BD!$A$3:$A$5001,_xlfn.MAXIFS(BD!$A$3:$A$5001,BD!$B$3:$B$5001,O$140,BD!$A$3:$A$5001,"&gt;="&amp;$C$7,BD!$A$3:$A$5001,"&lt;="&amp;$B145,BD!$X$3:$X$5001,"&lt;&gt;"))))</f>
        <v/>
      </c>
      <c r="P145" s="43" t="str">
        <f>IF(OR($B145="",$A145&gt;$B$9,P$140=""),"",IF(COUNTIFS(BD!$B$3:$B$5001,P$140,BD!$A$3:$A$5001,"&gt;="&amp;$C$7,BD!$A$3:$A$5001,"&lt;="&amp;$B145,BD!$X$3:$X$5001,"&lt;&gt;")=0,"",SUMIFS(BD!$X$3:$X$5001,BD!$B$3:$B$5001,P$140,BD!$A$3:$A$5001,_xlfn.MAXIFS(BD!$A$3:$A$5001,BD!$B$3:$B$5001,P$140,BD!$A$3:$A$5001,"&gt;="&amp;$C$7,BD!$A$3:$A$5001,"&lt;="&amp;$B145,BD!$X$3:$X$5001,"&lt;&gt;"))))</f>
        <v/>
      </c>
      <c r="Q145" s="43" t="str">
        <f>IF(OR($B145="",$A145&gt;$B$9,Q$140=""),"",IF(COUNTIFS(BD!$B$3:$B$5001,Q$140,BD!$A$3:$A$5001,"&gt;="&amp;$C$7,BD!$A$3:$A$5001,"&lt;="&amp;$B145,BD!$X$3:$X$5001,"&lt;&gt;")=0,"",SUMIFS(BD!$X$3:$X$5001,BD!$B$3:$B$5001,Q$140,BD!$A$3:$A$5001,_xlfn.MAXIFS(BD!$A$3:$A$5001,BD!$B$3:$B$5001,Q$140,BD!$A$3:$A$5001,"&gt;="&amp;$C$7,BD!$A$3:$A$5001,"&lt;="&amp;$B145,BD!$X$3:$X$5001,"&lt;&gt;"))))</f>
        <v/>
      </c>
      <c r="R145" s="43" t="str">
        <f>IF(OR($B145="",$A145&gt;$B$9,R$140=""),"",IF(COUNTIFS(BD!$B$3:$B$5001,R$140,BD!$A$3:$A$5001,"&gt;="&amp;$C$7,BD!$A$3:$A$5001,"&lt;="&amp;$B145,BD!$X$3:$X$5001,"&lt;&gt;")=0,"",SUMIFS(BD!$X$3:$X$5001,BD!$B$3:$B$5001,R$140,BD!$A$3:$A$5001,_xlfn.MAXIFS(BD!$A$3:$A$5001,BD!$B$3:$B$5001,R$140,BD!$A$3:$A$5001,"&gt;="&amp;$C$7,BD!$A$3:$A$5001,"&lt;="&amp;$B145,BD!$X$3:$X$5001,"&lt;&gt;"))))</f>
        <v/>
      </c>
      <c r="S145" s="43" t="str">
        <f>IF(OR($B145="",$A145&gt;$B$9,S$140=""),"",IF(COUNTIFS(BD!$B$3:$B$5001,S$140,BD!$A$3:$A$5001,"&gt;="&amp;$C$7,BD!$A$3:$A$5001,"&lt;="&amp;$B145,BD!$X$3:$X$5001,"&lt;&gt;")=0,"",SUMIFS(BD!$X$3:$X$5001,BD!$B$3:$B$5001,S$140,BD!$A$3:$A$5001,_xlfn.MAXIFS(BD!$A$3:$A$5001,BD!$B$3:$B$5001,S$140,BD!$A$3:$A$5001,"&gt;="&amp;$C$7,BD!$A$3:$A$5001,"&lt;="&amp;$B145,BD!$X$3:$X$5001,"&lt;&gt;"))))</f>
        <v/>
      </c>
      <c r="T145" s="43" t="str">
        <f>IF(OR($B145="",$A145&gt;$B$9,T$140=""),"",IF(COUNTIFS(BD!$B$3:$B$5001,T$140,BD!$A$3:$A$5001,"&gt;="&amp;$C$7,BD!$A$3:$A$5001,"&lt;="&amp;$B145,BD!$X$3:$X$5001,"&lt;&gt;")=0,"",SUMIFS(BD!$X$3:$X$5001,BD!$B$3:$B$5001,T$140,BD!$A$3:$A$5001,_xlfn.MAXIFS(BD!$A$3:$A$5001,BD!$B$3:$B$5001,T$140,BD!$A$3:$A$5001,"&gt;="&amp;$C$7,BD!$A$3:$A$5001,"&lt;="&amp;$B145,BD!$X$3:$X$5001,"&lt;&gt;"))))</f>
        <v/>
      </c>
      <c r="U145" s="43" t="str">
        <f>IF(OR($B145="",$A145&gt;$B$9,U$140=""),"",IF(COUNTIFS(BD!$B$3:$B$5001,U$140,BD!$A$3:$A$5001,"&gt;="&amp;$C$7,BD!$A$3:$A$5001,"&lt;="&amp;$B145,BD!$X$3:$X$5001,"&lt;&gt;")=0,"",SUMIFS(BD!$X$3:$X$5001,BD!$B$3:$B$5001,U$140,BD!$A$3:$A$5001,_xlfn.MAXIFS(BD!$A$3:$A$5001,BD!$B$3:$B$5001,U$140,BD!$A$3:$A$5001,"&gt;="&amp;$C$7,BD!$A$3:$A$5001,"&lt;="&amp;$B145,BD!$X$3:$X$5001,"&lt;&gt;"))))</f>
        <v/>
      </c>
      <c r="V145" s="43" t="str">
        <f>IF(OR($B145="",$A145&gt;$B$9,V$140=""),"",IF(COUNTIFS(BD!$B$3:$B$5001,V$140,BD!$A$3:$A$5001,"&gt;="&amp;$C$7,BD!$A$3:$A$5001,"&lt;="&amp;$B145,BD!$X$3:$X$5001,"&lt;&gt;")=0,"",SUMIFS(BD!$X$3:$X$5001,BD!$B$3:$B$5001,V$140,BD!$A$3:$A$5001,_xlfn.MAXIFS(BD!$A$3:$A$5001,BD!$B$3:$B$5001,V$140,BD!$A$3:$A$5001,"&gt;="&amp;$C$7,BD!$A$3:$A$5001,"&lt;="&amp;$B145,BD!$X$3:$X$5001,"&lt;&gt;"))))</f>
        <v/>
      </c>
    </row>
    <row r="146">
      <c r="A146" s="38">
        <v>6</v>
      </c>
      <c r="B146" s="42">
        <f>$B$17</f>
        <v>46301</v>
      </c>
      <c r="C146" s="43" t="str">
        <f>IF(OR($B146="",$A146&gt;$B$9,C$140=""),"",IF(COUNTIFS(BD!$B$3:$B$5001,C$140,BD!$A$3:$A$5001,"&gt;="&amp;$C$7,BD!$A$3:$A$5001,"&lt;="&amp;$B146,BD!$X$3:$X$5001,"&lt;&gt;")=0,"",SUMIFS(BD!$X$3:$X$5001,BD!$B$3:$B$5001,C$140,BD!$A$3:$A$5001,_xlfn.MAXIFS(BD!$A$3:$A$5001,BD!$B$3:$B$5001,C$140,BD!$A$3:$A$5001,"&gt;="&amp;$C$7,BD!$A$3:$A$5001,"&lt;="&amp;$B146,BD!$X$3:$X$5001,"&lt;&gt;"))))</f>
        <v/>
      </c>
      <c r="D146" s="43" t="str">
        <f>IF(OR($B146="",$A146&gt;$B$9,D$140=""),"",IF(COUNTIFS(BD!$B$3:$B$5001,D$140,BD!$A$3:$A$5001,"&gt;="&amp;$C$7,BD!$A$3:$A$5001,"&lt;="&amp;$B146,BD!$X$3:$X$5001,"&lt;&gt;")=0,"",SUMIFS(BD!$X$3:$X$5001,BD!$B$3:$B$5001,D$140,BD!$A$3:$A$5001,_xlfn.MAXIFS(BD!$A$3:$A$5001,BD!$B$3:$B$5001,D$140,BD!$A$3:$A$5001,"&gt;="&amp;$C$7,BD!$A$3:$A$5001,"&lt;="&amp;$B146,BD!$X$3:$X$5001,"&lt;&gt;"))))</f>
        <v/>
      </c>
      <c r="E146" s="43" t="str">
        <f>IF(OR($B146="",$A146&gt;$B$9,E$140=""),"",IF(COUNTIFS(BD!$B$3:$B$5001,E$140,BD!$A$3:$A$5001,"&gt;="&amp;$C$7,BD!$A$3:$A$5001,"&lt;="&amp;$B146,BD!$X$3:$X$5001,"&lt;&gt;")=0,"",SUMIFS(BD!$X$3:$X$5001,BD!$B$3:$B$5001,E$140,BD!$A$3:$A$5001,_xlfn.MAXIFS(BD!$A$3:$A$5001,BD!$B$3:$B$5001,E$140,BD!$A$3:$A$5001,"&gt;="&amp;$C$7,BD!$A$3:$A$5001,"&lt;="&amp;$B146,BD!$X$3:$X$5001,"&lt;&gt;"))))</f>
        <v/>
      </c>
      <c r="F146" s="43" t="str">
        <f>IF(OR($B146="",$A146&gt;$B$9,F$140=""),"",IF(COUNTIFS(BD!$B$3:$B$5001,F$140,BD!$A$3:$A$5001,"&gt;="&amp;$C$7,BD!$A$3:$A$5001,"&lt;="&amp;$B146,BD!$X$3:$X$5001,"&lt;&gt;")=0,"",SUMIFS(BD!$X$3:$X$5001,BD!$B$3:$B$5001,F$140,BD!$A$3:$A$5001,_xlfn.MAXIFS(BD!$A$3:$A$5001,BD!$B$3:$B$5001,F$140,BD!$A$3:$A$5001,"&gt;="&amp;$C$7,BD!$A$3:$A$5001,"&lt;="&amp;$B146,BD!$X$3:$X$5001,"&lt;&gt;"))))</f>
        <v/>
      </c>
      <c r="G146" s="43" t="str">
        <f>IF(OR($B146="",$A146&gt;$B$9,G$140=""),"",IF(COUNTIFS(BD!$B$3:$B$5001,G$140,BD!$A$3:$A$5001,"&gt;="&amp;$C$7,BD!$A$3:$A$5001,"&lt;="&amp;$B146,BD!$X$3:$X$5001,"&lt;&gt;")=0,"",SUMIFS(BD!$X$3:$X$5001,BD!$B$3:$B$5001,G$140,BD!$A$3:$A$5001,_xlfn.MAXIFS(BD!$A$3:$A$5001,BD!$B$3:$B$5001,G$140,BD!$A$3:$A$5001,"&gt;="&amp;$C$7,BD!$A$3:$A$5001,"&lt;="&amp;$B146,BD!$X$3:$X$5001,"&lt;&gt;"))))</f>
        <v/>
      </c>
      <c r="H146" s="43" t="str">
        <f>IF(OR($B146="",$A146&gt;$B$9,H$140=""),"",IF(COUNTIFS(BD!$B$3:$B$5001,H$140,BD!$A$3:$A$5001,"&gt;="&amp;$C$7,BD!$A$3:$A$5001,"&lt;="&amp;$B146,BD!$X$3:$X$5001,"&lt;&gt;")=0,"",SUMIFS(BD!$X$3:$X$5001,BD!$B$3:$B$5001,H$140,BD!$A$3:$A$5001,_xlfn.MAXIFS(BD!$A$3:$A$5001,BD!$B$3:$B$5001,H$140,BD!$A$3:$A$5001,"&gt;="&amp;$C$7,BD!$A$3:$A$5001,"&lt;="&amp;$B146,BD!$X$3:$X$5001,"&lt;&gt;"))))</f>
        <v/>
      </c>
      <c r="I146" s="43" t="str">
        <f>IF(OR($B146="",$A146&gt;$B$9,I$140=""),"",IF(COUNTIFS(BD!$B$3:$B$5001,I$140,BD!$A$3:$A$5001,"&gt;="&amp;$C$7,BD!$A$3:$A$5001,"&lt;="&amp;$B146,BD!$X$3:$X$5001,"&lt;&gt;")=0,"",SUMIFS(BD!$X$3:$X$5001,BD!$B$3:$B$5001,I$140,BD!$A$3:$A$5001,_xlfn.MAXIFS(BD!$A$3:$A$5001,BD!$B$3:$B$5001,I$140,BD!$A$3:$A$5001,"&gt;="&amp;$C$7,BD!$A$3:$A$5001,"&lt;="&amp;$B146,BD!$X$3:$X$5001,"&lt;&gt;"))))</f>
        <v/>
      </c>
      <c r="J146" s="43" t="str">
        <f>IF(OR($B146="",$A146&gt;$B$9,J$140=""),"",IF(COUNTIFS(BD!$B$3:$B$5001,J$140,BD!$A$3:$A$5001,"&gt;="&amp;$C$7,BD!$A$3:$A$5001,"&lt;="&amp;$B146,BD!$X$3:$X$5001,"&lt;&gt;")=0,"",SUMIFS(BD!$X$3:$X$5001,BD!$B$3:$B$5001,J$140,BD!$A$3:$A$5001,_xlfn.MAXIFS(BD!$A$3:$A$5001,BD!$B$3:$B$5001,J$140,BD!$A$3:$A$5001,"&gt;="&amp;$C$7,BD!$A$3:$A$5001,"&lt;="&amp;$B146,BD!$X$3:$X$5001,"&lt;&gt;"))))</f>
        <v/>
      </c>
      <c r="K146" s="43" t="str">
        <f>IF(OR($B146="",$A146&gt;$B$9,K$140=""),"",IF(COUNTIFS(BD!$B$3:$B$5001,K$140,BD!$A$3:$A$5001,"&gt;="&amp;$C$7,BD!$A$3:$A$5001,"&lt;="&amp;$B146,BD!$X$3:$X$5001,"&lt;&gt;")=0,"",SUMIFS(BD!$X$3:$X$5001,BD!$B$3:$B$5001,K$140,BD!$A$3:$A$5001,_xlfn.MAXIFS(BD!$A$3:$A$5001,BD!$B$3:$B$5001,K$140,BD!$A$3:$A$5001,"&gt;="&amp;$C$7,BD!$A$3:$A$5001,"&lt;="&amp;$B146,BD!$X$3:$X$5001,"&lt;&gt;"))))</f>
        <v/>
      </c>
      <c r="L146" s="43" t="str">
        <f>IF(OR($B146="",$A146&gt;$B$9,L$140=""),"",IF(COUNTIFS(BD!$B$3:$B$5001,L$140,BD!$A$3:$A$5001,"&gt;="&amp;$C$7,BD!$A$3:$A$5001,"&lt;="&amp;$B146,BD!$X$3:$X$5001,"&lt;&gt;")=0,"",SUMIFS(BD!$X$3:$X$5001,BD!$B$3:$B$5001,L$140,BD!$A$3:$A$5001,_xlfn.MAXIFS(BD!$A$3:$A$5001,BD!$B$3:$B$5001,L$140,BD!$A$3:$A$5001,"&gt;="&amp;$C$7,BD!$A$3:$A$5001,"&lt;="&amp;$B146,BD!$X$3:$X$5001,"&lt;&gt;"))))</f>
        <v/>
      </c>
      <c r="M146" s="43" t="str">
        <f>IF(OR($B146="",$A146&gt;$B$9,M$140=""),"",IF(COUNTIFS(BD!$B$3:$B$5001,M$140,BD!$A$3:$A$5001,"&gt;="&amp;$C$7,BD!$A$3:$A$5001,"&lt;="&amp;$B146,BD!$X$3:$X$5001,"&lt;&gt;")=0,"",SUMIFS(BD!$X$3:$X$5001,BD!$B$3:$B$5001,M$140,BD!$A$3:$A$5001,_xlfn.MAXIFS(BD!$A$3:$A$5001,BD!$B$3:$B$5001,M$140,BD!$A$3:$A$5001,"&gt;="&amp;$C$7,BD!$A$3:$A$5001,"&lt;="&amp;$B146,BD!$X$3:$X$5001,"&lt;&gt;"))))</f>
        <v/>
      </c>
      <c r="N146" s="43" t="str">
        <f>IF(OR($B146="",$A146&gt;$B$9,N$140=""),"",IF(COUNTIFS(BD!$B$3:$B$5001,N$140,BD!$A$3:$A$5001,"&gt;="&amp;$C$7,BD!$A$3:$A$5001,"&lt;="&amp;$B146,BD!$X$3:$X$5001,"&lt;&gt;")=0,"",SUMIFS(BD!$X$3:$X$5001,BD!$B$3:$B$5001,N$140,BD!$A$3:$A$5001,_xlfn.MAXIFS(BD!$A$3:$A$5001,BD!$B$3:$B$5001,N$140,BD!$A$3:$A$5001,"&gt;="&amp;$C$7,BD!$A$3:$A$5001,"&lt;="&amp;$B146,BD!$X$3:$X$5001,"&lt;&gt;"))))</f>
        <v/>
      </c>
      <c r="O146" s="43" t="str">
        <f>IF(OR($B146="",$A146&gt;$B$9,O$140=""),"",IF(COUNTIFS(BD!$B$3:$B$5001,O$140,BD!$A$3:$A$5001,"&gt;="&amp;$C$7,BD!$A$3:$A$5001,"&lt;="&amp;$B146,BD!$X$3:$X$5001,"&lt;&gt;")=0,"",SUMIFS(BD!$X$3:$X$5001,BD!$B$3:$B$5001,O$140,BD!$A$3:$A$5001,_xlfn.MAXIFS(BD!$A$3:$A$5001,BD!$B$3:$B$5001,O$140,BD!$A$3:$A$5001,"&gt;="&amp;$C$7,BD!$A$3:$A$5001,"&lt;="&amp;$B146,BD!$X$3:$X$5001,"&lt;&gt;"))))</f>
        <v/>
      </c>
      <c r="P146" s="43" t="str">
        <f>IF(OR($B146="",$A146&gt;$B$9,P$140=""),"",IF(COUNTIFS(BD!$B$3:$B$5001,P$140,BD!$A$3:$A$5001,"&gt;="&amp;$C$7,BD!$A$3:$A$5001,"&lt;="&amp;$B146,BD!$X$3:$X$5001,"&lt;&gt;")=0,"",SUMIFS(BD!$X$3:$X$5001,BD!$B$3:$B$5001,P$140,BD!$A$3:$A$5001,_xlfn.MAXIFS(BD!$A$3:$A$5001,BD!$B$3:$B$5001,P$140,BD!$A$3:$A$5001,"&gt;="&amp;$C$7,BD!$A$3:$A$5001,"&lt;="&amp;$B146,BD!$X$3:$X$5001,"&lt;&gt;"))))</f>
        <v/>
      </c>
      <c r="Q146" s="43" t="str">
        <f>IF(OR($B146="",$A146&gt;$B$9,Q$140=""),"",IF(COUNTIFS(BD!$B$3:$B$5001,Q$140,BD!$A$3:$A$5001,"&gt;="&amp;$C$7,BD!$A$3:$A$5001,"&lt;="&amp;$B146,BD!$X$3:$X$5001,"&lt;&gt;")=0,"",SUMIFS(BD!$X$3:$X$5001,BD!$B$3:$B$5001,Q$140,BD!$A$3:$A$5001,_xlfn.MAXIFS(BD!$A$3:$A$5001,BD!$B$3:$B$5001,Q$140,BD!$A$3:$A$5001,"&gt;="&amp;$C$7,BD!$A$3:$A$5001,"&lt;="&amp;$B146,BD!$X$3:$X$5001,"&lt;&gt;"))))</f>
        <v/>
      </c>
      <c r="R146" s="43" t="str">
        <f>IF(OR($B146="",$A146&gt;$B$9,R$140=""),"",IF(COUNTIFS(BD!$B$3:$B$5001,R$140,BD!$A$3:$A$5001,"&gt;="&amp;$C$7,BD!$A$3:$A$5001,"&lt;="&amp;$B146,BD!$X$3:$X$5001,"&lt;&gt;")=0,"",SUMIFS(BD!$X$3:$X$5001,BD!$B$3:$B$5001,R$140,BD!$A$3:$A$5001,_xlfn.MAXIFS(BD!$A$3:$A$5001,BD!$B$3:$B$5001,R$140,BD!$A$3:$A$5001,"&gt;="&amp;$C$7,BD!$A$3:$A$5001,"&lt;="&amp;$B146,BD!$X$3:$X$5001,"&lt;&gt;"))))</f>
        <v/>
      </c>
      <c r="S146" s="43" t="str">
        <f>IF(OR($B146="",$A146&gt;$B$9,S$140=""),"",IF(COUNTIFS(BD!$B$3:$B$5001,S$140,BD!$A$3:$A$5001,"&gt;="&amp;$C$7,BD!$A$3:$A$5001,"&lt;="&amp;$B146,BD!$X$3:$X$5001,"&lt;&gt;")=0,"",SUMIFS(BD!$X$3:$X$5001,BD!$B$3:$B$5001,S$140,BD!$A$3:$A$5001,_xlfn.MAXIFS(BD!$A$3:$A$5001,BD!$B$3:$B$5001,S$140,BD!$A$3:$A$5001,"&gt;="&amp;$C$7,BD!$A$3:$A$5001,"&lt;="&amp;$B146,BD!$X$3:$X$5001,"&lt;&gt;"))))</f>
        <v/>
      </c>
      <c r="T146" s="43" t="str">
        <f>IF(OR($B146="",$A146&gt;$B$9,T$140=""),"",IF(COUNTIFS(BD!$B$3:$B$5001,T$140,BD!$A$3:$A$5001,"&gt;="&amp;$C$7,BD!$A$3:$A$5001,"&lt;="&amp;$B146,BD!$X$3:$X$5001,"&lt;&gt;")=0,"",SUMIFS(BD!$X$3:$X$5001,BD!$B$3:$B$5001,T$140,BD!$A$3:$A$5001,_xlfn.MAXIFS(BD!$A$3:$A$5001,BD!$B$3:$B$5001,T$140,BD!$A$3:$A$5001,"&gt;="&amp;$C$7,BD!$A$3:$A$5001,"&lt;="&amp;$B146,BD!$X$3:$X$5001,"&lt;&gt;"))))</f>
        <v/>
      </c>
      <c r="U146" s="43" t="str">
        <f>IF(OR($B146="",$A146&gt;$B$9,U$140=""),"",IF(COUNTIFS(BD!$B$3:$B$5001,U$140,BD!$A$3:$A$5001,"&gt;="&amp;$C$7,BD!$A$3:$A$5001,"&lt;="&amp;$B146,BD!$X$3:$X$5001,"&lt;&gt;")=0,"",SUMIFS(BD!$X$3:$X$5001,BD!$B$3:$B$5001,U$140,BD!$A$3:$A$5001,_xlfn.MAXIFS(BD!$A$3:$A$5001,BD!$B$3:$B$5001,U$140,BD!$A$3:$A$5001,"&gt;="&amp;$C$7,BD!$A$3:$A$5001,"&lt;="&amp;$B146,BD!$X$3:$X$5001,"&lt;&gt;"))))</f>
        <v/>
      </c>
      <c r="V146" s="43" t="str">
        <f>IF(OR($B146="",$A146&gt;$B$9,V$140=""),"",IF(COUNTIFS(BD!$B$3:$B$5001,V$140,BD!$A$3:$A$5001,"&gt;="&amp;$C$7,BD!$A$3:$A$5001,"&lt;="&amp;$B146,BD!$X$3:$X$5001,"&lt;&gt;")=0,"",SUMIFS(BD!$X$3:$X$5001,BD!$B$3:$B$5001,V$140,BD!$A$3:$A$5001,_xlfn.MAXIFS(BD!$A$3:$A$5001,BD!$B$3:$B$5001,V$140,BD!$A$3:$A$5001,"&gt;="&amp;$C$7,BD!$A$3:$A$5001,"&lt;="&amp;$B146,BD!$X$3:$X$5001,"&lt;&gt;"))))</f>
        <v/>
      </c>
    </row>
    <row r="147">
      <c r="A147" s="38">
        <v>7</v>
      </c>
      <c r="B147" s="42">
        <f>$B$18</f>
        <v>46302</v>
      </c>
      <c r="C147" s="43" t="str">
        <f>IF(OR($B147="",$A147&gt;$B$9,C$140=""),"",IF(COUNTIFS(BD!$B$3:$B$5001,C$140,BD!$A$3:$A$5001,"&gt;="&amp;$C$7,BD!$A$3:$A$5001,"&lt;="&amp;$B147,BD!$X$3:$X$5001,"&lt;&gt;")=0,"",SUMIFS(BD!$X$3:$X$5001,BD!$B$3:$B$5001,C$140,BD!$A$3:$A$5001,_xlfn.MAXIFS(BD!$A$3:$A$5001,BD!$B$3:$B$5001,C$140,BD!$A$3:$A$5001,"&gt;="&amp;$C$7,BD!$A$3:$A$5001,"&lt;="&amp;$B147,BD!$X$3:$X$5001,"&lt;&gt;"))))</f>
        <v/>
      </c>
      <c r="D147" s="43" t="str">
        <f>IF(OR($B147="",$A147&gt;$B$9,D$140=""),"",IF(COUNTIFS(BD!$B$3:$B$5001,D$140,BD!$A$3:$A$5001,"&gt;="&amp;$C$7,BD!$A$3:$A$5001,"&lt;="&amp;$B147,BD!$X$3:$X$5001,"&lt;&gt;")=0,"",SUMIFS(BD!$X$3:$X$5001,BD!$B$3:$B$5001,D$140,BD!$A$3:$A$5001,_xlfn.MAXIFS(BD!$A$3:$A$5001,BD!$B$3:$B$5001,D$140,BD!$A$3:$A$5001,"&gt;="&amp;$C$7,BD!$A$3:$A$5001,"&lt;="&amp;$B147,BD!$X$3:$X$5001,"&lt;&gt;"))))</f>
        <v/>
      </c>
      <c r="E147" s="43" t="str">
        <f>IF(OR($B147="",$A147&gt;$B$9,E$140=""),"",IF(COUNTIFS(BD!$B$3:$B$5001,E$140,BD!$A$3:$A$5001,"&gt;="&amp;$C$7,BD!$A$3:$A$5001,"&lt;="&amp;$B147,BD!$X$3:$X$5001,"&lt;&gt;")=0,"",SUMIFS(BD!$X$3:$X$5001,BD!$B$3:$B$5001,E$140,BD!$A$3:$A$5001,_xlfn.MAXIFS(BD!$A$3:$A$5001,BD!$B$3:$B$5001,E$140,BD!$A$3:$A$5001,"&gt;="&amp;$C$7,BD!$A$3:$A$5001,"&lt;="&amp;$B147,BD!$X$3:$X$5001,"&lt;&gt;"))))</f>
        <v/>
      </c>
      <c r="F147" s="43" t="str">
        <f>IF(OR($B147="",$A147&gt;$B$9,F$140=""),"",IF(COUNTIFS(BD!$B$3:$B$5001,F$140,BD!$A$3:$A$5001,"&gt;="&amp;$C$7,BD!$A$3:$A$5001,"&lt;="&amp;$B147,BD!$X$3:$X$5001,"&lt;&gt;")=0,"",SUMIFS(BD!$X$3:$X$5001,BD!$B$3:$B$5001,F$140,BD!$A$3:$A$5001,_xlfn.MAXIFS(BD!$A$3:$A$5001,BD!$B$3:$B$5001,F$140,BD!$A$3:$A$5001,"&gt;="&amp;$C$7,BD!$A$3:$A$5001,"&lt;="&amp;$B147,BD!$X$3:$X$5001,"&lt;&gt;"))))</f>
        <v/>
      </c>
      <c r="G147" s="43" t="str">
        <f>IF(OR($B147="",$A147&gt;$B$9,G$140=""),"",IF(COUNTIFS(BD!$B$3:$B$5001,G$140,BD!$A$3:$A$5001,"&gt;="&amp;$C$7,BD!$A$3:$A$5001,"&lt;="&amp;$B147,BD!$X$3:$X$5001,"&lt;&gt;")=0,"",SUMIFS(BD!$X$3:$X$5001,BD!$B$3:$B$5001,G$140,BD!$A$3:$A$5001,_xlfn.MAXIFS(BD!$A$3:$A$5001,BD!$B$3:$B$5001,G$140,BD!$A$3:$A$5001,"&gt;="&amp;$C$7,BD!$A$3:$A$5001,"&lt;="&amp;$B147,BD!$X$3:$X$5001,"&lt;&gt;"))))</f>
        <v/>
      </c>
      <c r="H147" s="43" t="str">
        <f>IF(OR($B147="",$A147&gt;$B$9,H$140=""),"",IF(COUNTIFS(BD!$B$3:$B$5001,H$140,BD!$A$3:$A$5001,"&gt;="&amp;$C$7,BD!$A$3:$A$5001,"&lt;="&amp;$B147,BD!$X$3:$X$5001,"&lt;&gt;")=0,"",SUMIFS(BD!$X$3:$X$5001,BD!$B$3:$B$5001,H$140,BD!$A$3:$A$5001,_xlfn.MAXIFS(BD!$A$3:$A$5001,BD!$B$3:$B$5001,H$140,BD!$A$3:$A$5001,"&gt;="&amp;$C$7,BD!$A$3:$A$5001,"&lt;="&amp;$B147,BD!$X$3:$X$5001,"&lt;&gt;"))))</f>
        <v/>
      </c>
      <c r="I147" s="43" t="str">
        <f>IF(OR($B147="",$A147&gt;$B$9,I$140=""),"",IF(COUNTIFS(BD!$B$3:$B$5001,I$140,BD!$A$3:$A$5001,"&gt;="&amp;$C$7,BD!$A$3:$A$5001,"&lt;="&amp;$B147,BD!$X$3:$X$5001,"&lt;&gt;")=0,"",SUMIFS(BD!$X$3:$X$5001,BD!$B$3:$B$5001,I$140,BD!$A$3:$A$5001,_xlfn.MAXIFS(BD!$A$3:$A$5001,BD!$B$3:$B$5001,I$140,BD!$A$3:$A$5001,"&gt;="&amp;$C$7,BD!$A$3:$A$5001,"&lt;="&amp;$B147,BD!$X$3:$X$5001,"&lt;&gt;"))))</f>
        <v/>
      </c>
      <c r="J147" s="43" t="str">
        <f>IF(OR($B147="",$A147&gt;$B$9,J$140=""),"",IF(COUNTIFS(BD!$B$3:$B$5001,J$140,BD!$A$3:$A$5001,"&gt;="&amp;$C$7,BD!$A$3:$A$5001,"&lt;="&amp;$B147,BD!$X$3:$X$5001,"&lt;&gt;")=0,"",SUMIFS(BD!$X$3:$X$5001,BD!$B$3:$B$5001,J$140,BD!$A$3:$A$5001,_xlfn.MAXIFS(BD!$A$3:$A$5001,BD!$B$3:$B$5001,J$140,BD!$A$3:$A$5001,"&gt;="&amp;$C$7,BD!$A$3:$A$5001,"&lt;="&amp;$B147,BD!$X$3:$X$5001,"&lt;&gt;"))))</f>
        <v/>
      </c>
      <c r="K147" s="43" t="str">
        <f>IF(OR($B147="",$A147&gt;$B$9,K$140=""),"",IF(COUNTIFS(BD!$B$3:$B$5001,K$140,BD!$A$3:$A$5001,"&gt;="&amp;$C$7,BD!$A$3:$A$5001,"&lt;="&amp;$B147,BD!$X$3:$X$5001,"&lt;&gt;")=0,"",SUMIFS(BD!$X$3:$X$5001,BD!$B$3:$B$5001,K$140,BD!$A$3:$A$5001,_xlfn.MAXIFS(BD!$A$3:$A$5001,BD!$B$3:$B$5001,K$140,BD!$A$3:$A$5001,"&gt;="&amp;$C$7,BD!$A$3:$A$5001,"&lt;="&amp;$B147,BD!$X$3:$X$5001,"&lt;&gt;"))))</f>
        <v/>
      </c>
      <c r="L147" s="43" t="str">
        <f>IF(OR($B147="",$A147&gt;$B$9,L$140=""),"",IF(COUNTIFS(BD!$B$3:$B$5001,L$140,BD!$A$3:$A$5001,"&gt;="&amp;$C$7,BD!$A$3:$A$5001,"&lt;="&amp;$B147,BD!$X$3:$X$5001,"&lt;&gt;")=0,"",SUMIFS(BD!$X$3:$X$5001,BD!$B$3:$B$5001,L$140,BD!$A$3:$A$5001,_xlfn.MAXIFS(BD!$A$3:$A$5001,BD!$B$3:$B$5001,L$140,BD!$A$3:$A$5001,"&gt;="&amp;$C$7,BD!$A$3:$A$5001,"&lt;="&amp;$B147,BD!$X$3:$X$5001,"&lt;&gt;"))))</f>
        <v/>
      </c>
      <c r="M147" s="43" t="str">
        <f>IF(OR($B147="",$A147&gt;$B$9,M$140=""),"",IF(COUNTIFS(BD!$B$3:$B$5001,M$140,BD!$A$3:$A$5001,"&gt;="&amp;$C$7,BD!$A$3:$A$5001,"&lt;="&amp;$B147,BD!$X$3:$X$5001,"&lt;&gt;")=0,"",SUMIFS(BD!$X$3:$X$5001,BD!$B$3:$B$5001,M$140,BD!$A$3:$A$5001,_xlfn.MAXIFS(BD!$A$3:$A$5001,BD!$B$3:$B$5001,M$140,BD!$A$3:$A$5001,"&gt;="&amp;$C$7,BD!$A$3:$A$5001,"&lt;="&amp;$B147,BD!$X$3:$X$5001,"&lt;&gt;"))))</f>
        <v/>
      </c>
      <c r="N147" s="43" t="str">
        <f>IF(OR($B147="",$A147&gt;$B$9,N$140=""),"",IF(COUNTIFS(BD!$B$3:$B$5001,N$140,BD!$A$3:$A$5001,"&gt;="&amp;$C$7,BD!$A$3:$A$5001,"&lt;="&amp;$B147,BD!$X$3:$X$5001,"&lt;&gt;")=0,"",SUMIFS(BD!$X$3:$X$5001,BD!$B$3:$B$5001,N$140,BD!$A$3:$A$5001,_xlfn.MAXIFS(BD!$A$3:$A$5001,BD!$B$3:$B$5001,N$140,BD!$A$3:$A$5001,"&gt;="&amp;$C$7,BD!$A$3:$A$5001,"&lt;="&amp;$B147,BD!$X$3:$X$5001,"&lt;&gt;"))))</f>
        <v/>
      </c>
      <c r="O147" s="43" t="str">
        <f>IF(OR($B147="",$A147&gt;$B$9,O$140=""),"",IF(COUNTIFS(BD!$B$3:$B$5001,O$140,BD!$A$3:$A$5001,"&gt;="&amp;$C$7,BD!$A$3:$A$5001,"&lt;="&amp;$B147,BD!$X$3:$X$5001,"&lt;&gt;")=0,"",SUMIFS(BD!$X$3:$X$5001,BD!$B$3:$B$5001,O$140,BD!$A$3:$A$5001,_xlfn.MAXIFS(BD!$A$3:$A$5001,BD!$B$3:$B$5001,O$140,BD!$A$3:$A$5001,"&gt;="&amp;$C$7,BD!$A$3:$A$5001,"&lt;="&amp;$B147,BD!$X$3:$X$5001,"&lt;&gt;"))))</f>
        <v/>
      </c>
      <c r="P147" s="43" t="str">
        <f>IF(OR($B147="",$A147&gt;$B$9,P$140=""),"",IF(COUNTIFS(BD!$B$3:$B$5001,P$140,BD!$A$3:$A$5001,"&gt;="&amp;$C$7,BD!$A$3:$A$5001,"&lt;="&amp;$B147,BD!$X$3:$X$5001,"&lt;&gt;")=0,"",SUMIFS(BD!$X$3:$X$5001,BD!$B$3:$B$5001,P$140,BD!$A$3:$A$5001,_xlfn.MAXIFS(BD!$A$3:$A$5001,BD!$B$3:$B$5001,P$140,BD!$A$3:$A$5001,"&gt;="&amp;$C$7,BD!$A$3:$A$5001,"&lt;="&amp;$B147,BD!$X$3:$X$5001,"&lt;&gt;"))))</f>
        <v/>
      </c>
      <c r="Q147" s="43" t="str">
        <f>IF(OR($B147="",$A147&gt;$B$9,Q$140=""),"",IF(COUNTIFS(BD!$B$3:$B$5001,Q$140,BD!$A$3:$A$5001,"&gt;="&amp;$C$7,BD!$A$3:$A$5001,"&lt;="&amp;$B147,BD!$X$3:$X$5001,"&lt;&gt;")=0,"",SUMIFS(BD!$X$3:$X$5001,BD!$B$3:$B$5001,Q$140,BD!$A$3:$A$5001,_xlfn.MAXIFS(BD!$A$3:$A$5001,BD!$B$3:$B$5001,Q$140,BD!$A$3:$A$5001,"&gt;="&amp;$C$7,BD!$A$3:$A$5001,"&lt;="&amp;$B147,BD!$X$3:$X$5001,"&lt;&gt;"))))</f>
        <v/>
      </c>
      <c r="R147" s="43" t="str">
        <f>IF(OR($B147="",$A147&gt;$B$9,R$140=""),"",IF(COUNTIFS(BD!$B$3:$B$5001,R$140,BD!$A$3:$A$5001,"&gt;="&amp;$C$7,BD!$A$3:$A$5001,"&lt;="&amp;$B147,BD!$X$3:$X$5001,"&lt;&gt;")=0,"",SUMIFS(BD!$X$3:$X$5001,BD!$B$3:$B$5001,R$140,BD!$A$3:$A$5001,_xlfn.MAXIFS(BD!$A$3:$A$5001,BD!$B$3:$B$5001,R$140,BD!$A$3:$A$5001,"&gt;="&amp;$C$7,BD!$A$3:$A$5001,"&lt;="&amp;$B147,BD!$X$3:$X$5001,"&lt;&gt;"))))</f>
        <v/>
      </c>
      <c r="S147" s="43" t="str">
        <f>IF(OR($B147="",$A147&gt;$B$9,S$140=""),"",IF(COUNTIFS(BD!$B$3:$B$5001,S$140,BD!$A$3:$A$5001,"&gt;="&amp;$C$7,BD!$A$3:$A$5001,"&lt;="&amp;$B147,BD!$X$3:$X$5001,"&lt;&gt;")=0,"",SUMIFS(BD!$X$3:$X$5001,BD!$B$3:$B$5001,S$140,BD!$A$3:$A$5001,_xlfn.MAXIFS(BD!$A$3:$A$5001,BD!$B$3:$B$5001,S$140,BD!$A$3:$A$5001,"&gt;="&amp;$C$7,BD!$A$3:$A$5001,"&lt;="&amp;$B147,BD!$X$3:$X$5001,"&lt;&gt;"))))</f>
        <v/>
      </c>
      <c r="T147" s="43" t="str">
        <f>IF(OR($B147="",$A147&gt;$B$9,T$140=""),"",IF(COUNTIFS(BD!$B$3:$B$5001,T$140,BD!$A$3:$A$5001,"&gt;="&amp;$C$7,BD!$A$3:$A$5001,"&lt;="&amp;$B147,BD!$X$3:$X$5001,"&lt;&gt;")=0,"",SUMIFS(BD!$X$3:$X$5001,BD!$B$3:$B$5001,T$140,BD!$A$3:$A$5001,_xlfn.MAXIFS(BD!$A$3:$A$5001,BD!$B$3:$B$5001,T$140,BD!$A$3:$A$5001,"&gt;="&amp;$C$7,BD!$A$3:$A$5001,"&lt;="&amp;$B147,BD!$X$3:$X$5001,"&lt;&gt;"))))</f>
        <v/>
      </c>
      <c r="U147" s="43" t="str">
        <f>IF(OR($B147="",$A147&gt;$B$9,U$140=""),"",IF(COUNTIFS(BD!$B$3:$B$5001,U$140,BD!$A$3:$A$5001,"&gt;="&amp;$C$7,BD!$A$3:$A$5001,"&lt;="&amp;$B147,BD!$X$3:$X$5001,"&lt;&gt;")=0,"",SUMIFS(BD!$X$3:$X$5001,BD!$B$3:$B$5001,U$140,BD!$A$3:$A$5001,_xlfn.MAXIFS(BD!$A$3:$A$5001,BD!$B$3:$B$5001,U$140,BD!$A$3:$A$5001,"&gt;="&amp;$C$7,BD!$A$3:$A$5001,"&lt;="&amp;$B147,BD!$X$3:$X$5001,"&lt;&gt;"))))</f>
        <v/>
      </c>
      <c r="V147" s="43" t="str">
        <f>IF(OR($B147="",$A147&gt;$B$9,V$140=""),"",IF(COUNTIFS(BD!$B$3:$B$5001,V$140,BD!$A$3:$A$5001,"&gt;="&amp;$C$7,BD!$A$3:$A$5001,"&lt;="&amp;$B147,BD!$X$3:$X$5001,"&lt;&gt;")=0,"",SUMIFS(BD!$X$3:$X$5001,BD!$B$3:$B$5001,V$140,BD!$A$3:$A$5001,_xlfn.MAXIFS(BD!$A$3:$A$5001,BD!$B$3:$B$5001,V$140,BD!$A$3:$A$5001,"&gt;="&amp;$C$7,BD!$A$3:$A$5001,"&lt;="&amp;$B147,BD!$X$3:$X$5001,"&lt;&gt;"))))</f>
        <v/>
      </c>
    </row>
    <row r="148">
      <c r="A148" s="38">
        <v>8</v>
      </c>
      <c r="B148" s="42">
        <f>$B$19</f>
        <v>46303</v>
      </c>
      <c r="C148" s="43" t="str">
        <f>IF(OR($B148="",$A148&gt;$B$9,C$140=""),"",IF(COUNTIFS(BD!$B$3:$B$5001,C$140,BD!$A$3:$A$5001,"&gt;="&amp;$C$7,BD!$A$3:$A$5001,"&lt;="&amp;$B148,BD!$X$3:$X$5001,"&lt;&gt;")=0,"",SUMIFS(BD!$X$3:$X$5001,BD!$B$3:$B$5001,C$140,BD!$A$3:$A$5001,_xlfn.MAXIFS(BD!$A$3:$A$5001,BD!$B$3:$B$5001,C$140,BD!$A$3:$A$5001,"&gt;="&amp;$C$7,BD!$A$3:$A$5001,"&lt;="&amp;$B148,BD!$X$3:$X$5001,"&lt;&gt;"))))</f>
        <v/>
      </c>
      <c r="D148" s="43" t="str">
        <f>IF(OR($B148="",$A148&gt;$B$9,D$140=""),"",IF(COUNTIFS(BD!$B$3:$B$5001,D$140,BD!$A$3:$A$5001,"&gt;="&amp;$C$7,BD!$A$3:$A$5001,"&lt;="&amp;$B148,BD!$X$3:$X$5001,"&lt;&gt;")=0,"",SUMIFS(BD!$X$3:$X$5001,BD!$B$3:$B$5001,D$140,BD!$A$3:$A$5001,_xlfn.MAXIFS(BD!$A$3:$A$5001,BD!$B$3:$B$5001,D$140,BD!$A$3:$A$5001,"&gt;="&amp;$C$7,BD!$A$3:$A$5001,"&lt;="&amp;$B148,BD!$X$3:$X$5001,"&lt;&gt;"))))</f>
        <v/>
      </c>
      <c r="E148" s="43" t="str">
        <f>IF(OR($B148="",$A148&gt;$B$9,E$140=""),"",IF(COUNTIFS(BD!$B$3:$B$5001,E$140,BD!$A$3:$A$5001,"&gt;="&amp;$C$7,BD!$A$3:$A$5001,"&lt;="&amp;$B148,BD!$X$3:$X$5001,"&lt;&gt;")=0,"",SUMIFS(BD!$X$3:$X$5001,BD!$B$3:$B$5001,E$140,BD!$A$3:$A$5001,_xlfn.MAXIFS(BD!$A$3:$A$5001,BD!$B$3:$B$5001,E$140,BD!$A$3:$A$5001,"&gt;="&amp;$C$7,BD!$A$3:$A$5001,"&lt;="&amp;$B148,BD!$X$3:$X$5001,"&lt;&gt;"))))</f>
        <v/>
      </c>
      <c r="F148" s="43" t="str">
        <f>IF(OR($B148="",$A148&gt;$B$9,F$140=""),"",IF(COUNTIFS(BD!$B$3:$B$5001,F$140,BD!$A$3:$A$5001,"&gt;="&amp;$C$7,BD!$A$3:$A$5001,"&lt;="&amp;$B148,BD!$X$3:$X$5001,"&lt;&gt;")=0,"",SUMIFS(BD!$X$3:$X$5001,BD!$B$3:$B$5001,F$140,BD!$A$3:$A$5001,_xlfn.MAXIFS(BD!$A$3:$A$5001,BD!$B$3:$B$5001,F$140,BD!$A$3:$A$5001,"&gt;="&amp;$C$7,BD!$A$3:$A$5001,"&lt;="&amp;$B148,BD!$X$3:$X$5001,"&lt;&gt;"))))</f>
        <v/>
      </c>
      <c r="G148" s="43" t="str">
        <f>IF(OR($B148="",$A148&gt;$B$9,G$140=""),"",IF(COUNTIFS(BD!$B$3:$B$5001,G$140,BD!$A$3:$A$5001,"&gt;="&amp;$C$7,BD!$A$3:$A$5001,"&lt;="&amp;$B148,BD!$X$3:$X$5001,"&lt;&gt;")=0,"",SUMIFS(BD!$X$3:$X$5001,BD!$B$3:$B$5001,G$140,BD!$A$3:$A$5001,_xlfn.MAXIFS(BD!$A$3:$A$5001,BD!$B$3:$B$5001,G$140,BD!$A$3:$A$5001,"&gt;="&amp;$C$7,BD!$A$3:$A$5001,"&lt;="&amp;$B148,BD!$X$3:$X$5001,"&lt;&gt;"))))</f>
        <v/>
      </c>
      <c r="H148" s="43" t="str">
        <f>IF(OR($B148="",$A148&gt;$B$9,H$140=""),"",IF(COUNTIFS(BD!$B$3:$B$5001,H$140,BD!$A$3:$A$5001,"&gt;="&amp;$C$7,BD!$A$3:$A$5001,"&lt;="&amp;$B148,BD!$X$3:$X$5001,"&lt;&gt;")=0,"",SUMIFS(BD!$X$3:$X$5001,BD!$B$3:$B$5001,H$140,BD!$A$3:$A$5001,_xlfn.MAXIFS(BD!$A$3:$A$5001,BD!$B$3:$B$5001,H$140,BD!$A$3:$A$5001,"&gt;="&amp;$C$7,BD!$A$3:$A$5001,"&lt;="&amp;$B148,BD!$X$3:$X$5001,"&lt;&gt;"))))</f>
        <v/>
      </c>
      <c r="I148" s="43" t="str">
        <f>IF(OR($B148="",$A148&gt;$B$9,I$140=""),"",IF(COUNTIFS(BD!$B$3:$B$5001,I$140,BD!$A$3:$A$5001,"&gt;="&amp;$C$7,BD!$A$3:$A$5001,"&lt;="&amp;$B148,BD!$X$3:$X$5001,"&lt;&gt;")=0,"",SUMIFS(BD!$X$3:$X$5001,BD!$B$3:$B$5001,I$140,BD!$A$3:$A$5001,_xlfn.MAXIFS(BD!$A$3:$A$5001,BD!$B$3:$B$5001,I$140,BD!$A$3:$A$5001,"&gt;="&amp;$C$7,BD!$A$3:$A$5001,"&lt;="&amp;$B148,BD!$X$3:$X$5001,"&lt;&gt;"))))</f>
        <v/>
      </c>
      <c r="J148" s="43" t="str">
        <f>IF(OR($B148="",$A148&gt;$B$9,J$140=""),"",IF(COUNTIFS(BD!$B$3:$B$5001,J$140,BD!$A$3:$A$5001,"&gt;="&amp;$C$7,BD!$A$3:$A$5001,"&lt;="&amp;$B148,BD!$X$3:$X$5001,"&lt;&gt;")=0,"",SUMIFS(BD!$X$3:$X$5001,BD!$B$3:$B$5001,J$140,BD!$A$3:$A$5001,_xlfn.MAXIFS(BD!$A$3:$A$5001,BD!$B$3:$B$5001,J$140,BD!$A$3:$A$5001,"&gt;="&amp;$C$7,BD!$A$3:$A$5001,"&lt;="&amp;$B148,BD!$X$3:$X$5001,"&lt;&gt;"))))</f>
        <v/>
      </c>
      <c r="K148" s="43" t="str">
        <f>IF(OR($B148="",$A148&gt;$B$9,K$140=""),"",IF(COUNTIFS(BD!$B$3:$B$5001,K$140,BD!$A$3:$A$5001,"&gt;="&amp;$C$7,BD!$A$3:$A$5001,"&lt;="&amp;$B148,BD!$X$3:$X$5001,"&lt;&gt;")=0,"",SUMIFS(BD!$X$3:$X$5001,BD!$B$3:$B$5001,K$140,BD!$A$3:$A$5001,_xlfn.MAXIFS(BD!$A$3:$A$5001,BD!$B$3:$B$5001,K$140,BD!$A$3:$A$5001,"&gt;="&amp;$C$7,BD!$A$3:$A$5001,"&lt;="&amp;$B148,BD!$X$3:$X$5001,"&lt;&gt;"))))</f>
        <v/>
      </c>
      <c r="L148" s="43" t="str">
        <f>IF(OR($B148="",$A148&gt;$B$9,L$140=""),"",IF(COUNTIFS(BD!$B$3:$B$5001,L$140,BD!$A$3:$A$5001,"&gt;="&amp;$C$7,BD!$A$3:$A$5001,"&lt;="&amp;$B148,BD!$X$3:$X$5001,"&lt;&gt;")=0,"",SUMIFS(BD!$X$3:$X$5001,BD!$B$3:$B$5001,L$140,BD!$A$3:$A$5001,_xlfn.MAXIFS(BD!$A$3:$A$5001,BD!$B$3:$B$5001,L$140,BD!$A$3:$A$5001,"&gt;="&amp;$C$7,BD!$A$3:$A$5001,"&lt;="&amp;$B148,BD!$X$3:$X$5001,"&lt;&gt;"))))</f>
        <v/>
      </c>
      <c r="M148" s="43" t="str">
        <f>IF(OR($B148="",$A148&gt;$B$9,M$140=""),"",IF(COUNTIFS(BD!$B$3:$B$5001,M$140,BD!$A$3:$A$5001,"&gt;="&amp;$C$7,BD!$A$3:$A$5001,"&lt;="&amp;$B148,BD!$X$3:$X$5001,"&lt;&gt;")=0,"",SUMIFS(BD!$X$3:$X$5001,BD!$B$3:$B$5001,M$140,BD!$A$3:$A$5001,_xlfn.MAXIFS(BD!$A$3:$A$5001,BD!$B$3:$B$5001,M$140,BD!$A$3:$A$5001,"&gt;="&amp;$C$7,BD!$A$3:$A$5001,"&lt;="&amp;$B148,BD!$X$3:$X$5001,"&lt;&gt;"))))</f>
        <v/>
      </c>
      <c r="N148" s="43" t="str">
        <f>IF(OR($B148="",$A148&gt;$B$9,N$140=""),"",IF(COUNTIFS(BD!$B$3:$B$5001,N$140,BD!$A$3:$A$5001,"&gt;="&amp;$C$7,BD!$A$3:$A$5001,"&lt;="&amp;$B148,BD!$X$3:$X$5001,"&lt;&gt;")=0,"",SUMIFS(BD!$X$3:$X$5001,BD!$B$3:$B$5001,N$140,BD!$A$3:$A$5001,_xlfn.MAXIFS(BD!$A$3:$A$5001,BD!$B$3:$B$5001,N$140,BD!$A$3:$A$5001,"&gt;="&amp;$C$7,BD!$A$3:$A$5001,"&lt;="&amp;$B148,BD!$X$3:$X$5001,"&lt;&gt;"))))</f>
        <v/>
      </c>
      <c r="O148" s="43" t="str">
        <f>IF(OR($B148="",$A148&gt;$B$9,O$140=""),"",IF(COUNTIFS(BD!$B$3:$B$5001,O$140,BD!$A$3:$A$5001,"&gt;="&amp;$C$7,BD!$A$3:$A$5001,"&lt;="&amp;$B148,BD!$X$3:$X$5001,"&lt;&gt;")=0,"",SUMIFS(BD!$X$3:$X$5001,BD!$B$3:$B$5001,O$140,BD!$A$3:$A$5001,_xlfn.MAXIFS(BD!$A$3:$A$5001,BD!$B$3:$B$5001,O$140,BD!$A$3:$A$5001,"&gt;="&amp;$C$7,BD!$A$3:$A$5001,"&lt;="&amp;$B148,BD!$X$3:$X$5001,"&lt;&gt;"))))</f>
        <v/>
      </c>
      <c r="P148" s="43" t="str">
        <f>IF(OR($B148="",$A148&gt;$B$9,P$140=""),"",IF(COUNTIFS(BD!$B$3:$B$5001,P$140,BD!$A$3:$A$5001,"&gt;="&amp;$C$7,BD!$A$3:$A$5001,"&lt;="&amp;$B148,BD!$X$3:$X$5001,"&lt;&gt;")=0,"",SUMIFS(BD!$X$3:$X$5001,BD!$B$3:$B$5001,P$140,BD!$A$3:$A$5001,_xlfn.MAXIFS(BD!$A$3:$A$5001,BD!$B$3:$B$5001,P$140,BD!$A$3:$A$5001,"&gt;="&amp;$C$7,BD!$A$3:$A$5001,"&lt;="&amp;$B148,BD!$X$3:$X$5001,"&lt;&gt;"))))</f>
        <v/>
      </c>
      <c r="Q148" s="43" t="str">
        <f>IF(OR($B148="",$A148&gt;$B$9,Q$140=""),"",IF(COUNTIFS(BD!$B$3:$B$5001,Q$140,BD!$A$3:$A$5001,"&gt;="&amp;$C$7,BD!$A$3:$A$5001,"&lt;="&amp;$B148,BD!$X$3:$X$5001,"&lt;&gt;")=0,"",SUMIFS(BD!$X$3:$X$5001,BD!$B$3:$B$5001,Q$140,BD!$A$3:$A$5001,_xlfn.MAXIFS(BD!$A$3:$A$5001,BD!$B$3:$B$5001,Q$140,BD!$A$3:$A$5001,"&gt;="&amp;$C$7,BD!$A$3:$A$5001,"&lt;="&amp;$B148,BD!$X$3:$X$5001,"&lt;&gt;"))))</f>
        <v/>
      </c>
      <c r="R148" s="43" t="str">
        <f>IF(OR($B148="",$A148&gt;$B$9,R$140=""),"",IF(COUNTIFS(BD!$B$3:$B$5001,R$140,BD!$A$3:$A$5001,"&gt;="&amp;$C$7,BD!$A$3:$A$5001,"&lt;="&amp;$B148,BD!$X$3:$X$5001,"&lt;&gt;")=0,"",SUMIFS(BD!$X$3:$X$5001,BD!$B$3:$B$5001,R$140,BD!$A$3:$A$5001,_xlfn.MAXIFS(BD!$A$3:$A$5001,BD!$B$3:$B$5001,R$140,BD!$A$3:$A$5001,"&gt;="&amp;$C$7,BD!$A$3:$A$5001,"&lt;="&amp;$B148,BD!$X$3:$X$5001,"&lt;&gt;"))))</f>
        <v/>
      </c>
      <c r="S148" s="43" t="str">
        <f>IF(OR($B148="",$A148&gt;$B$9,S$140=""),"",IF(COUNTIFS(BD!$B$3:$B$5001,S$140,BD!$A$3:$A$5001,"&gt;="&amp;$C$7,BD!$A$3:$A$5001,"&lt;="&amp;$B148,BD!$X$3:$X$5001,"&lt;&gt;")=0,"",SUMIFS(BD!$X$3:$X$5001,BD!$B$3:$B$5001,S$140,BD!$A$3:$A$5001,_xlfn.MAXIFS(BD!$A$3:$A$5001,BD!$B$3:$B$5001,S$140,BD!$A$3:$A$5001,"&gt;="&amp;$C$7,BD!$A$3:$A$5001,"&lt;="&amp;$B148,BD!$X$3:$X$5001,"&lt;&gt;"))))</f>
        <v/>
      </c>
      <c r="T148" s="43" t="str">
        <f>IF(OR($B148="",$A148&gt;$B$9,T$140=""),"",IF(COUNTIFS(BD!$B$3:$B$5001,T$140,BD!$A$3:$A$5001,"&gt;="&amp;$C$7,BD!$A$3:$A$5001,"&lt;="&amp;$B148,BD!$X$3:$X$5001,"&lt;&gt;")=0,"",SUMIFS(BD!$X$3:$X$5001,BD!$B$3:$B$5001,T$140,BD!$A$3:$A$5001,_xlfn.MAXIFS(BD!$A$3:$A$5001,BD!$B$3:$B$5001,T$140,BD!$A$3:$A$5001,"&gt;="&amp;$C$7,BD!$A$3:$A$5001,"&lt;="&amp;$B148,BD!$X$3:$X$5001,"&lt;&gt;"))))</f>
        <v/>
      </c>
      <c r="U148" s="43" t="str">
        <f>IF(OR($B148="",$A148&gt;$B$9,U$140=""),"",IF(COUNTIFS(BD!$B$3:$B$5001,U$140,BD!$A$3:$A$5001,"&gt;="&amp;$C$7,BD!$A$3:$A$5001,"&lt;="&amp;$B148,BD!$X$3:$X$5001,"&lt;&gt;")=0,"",SUMIFS(BD!$X$3:$X$5001,BD!$B$3:$B$5001,U$140,BD!$A$3:$A$5001,_xlfn.MAXIFS(BD!$A$3:$A$5001,BD!$B$3:$B$5001,U$140,BD!$A$3:$A$5001,"&gt;="&amp;$C$7,BD!$A$3:$A$5001,"&lt;="&amp;$B148,BD!$X$3:$X$5001,"&lt;&gt;"))))</f>
        <v/>
      </c>
      <c r="V148" s="43" t="str">
        <f>IF(OR($B148="",$A148&gt;$B$9,V$140=""),"",IF(COUNTIFS(BD!$B$3:$B$5001,V$140,BD!$A$3:$A$5001,"&gt;="&amp;$C$7,BD!$A$3:$A$5001,"&lt;="&amp;$B148,BD!$X$3:$X$5001,"&lt;&gt;")=0,"",SUMIFS(BD!$X$3:$X$5001,BD!$B$3:$B$5001,V$140,BD!$A$3:$A$5001,_xlfn.MAXIFS(BD!$A$3:$A$5001,BD!$B$3:$B$5001,V$140,BD!$A$3:$A$5001,"&gt;="&amp;$C$7,BD!$A$3:$A$5001,"&lt;="&amp;$B148,BD!$X$3:$X$5001,"&lt;&gt;"))))</f>
        <v/>
      </c>
    </row>
    <row r="149">
      <c r="A149" s="38">
        <v>9</v>
      </c>
      <c r="B149" s="42">
        <f>$B$20</f>
        <v>46304</v>
      </c>
      <c r="C149" s="43" t="str">
        <f>IF(OR($B149="",$A149&gt;$B$9,C$140=""),"",IF(COUNTIFS(BD!$B$3:$B$5001,C$140,BD!$A$3:$A$5001,"&gt;="&amp;$C$7,BD!$A$3:$A$5001,"&lt;="&amp;$B149,BD!$X$3:$X$5001,"&lt;&gt;")=0,"",SUMIFS(BD!$X$3:$X$5001,BD!$B$3:$B$5001,C$140,BD!$A$3:$A$5001,_xlfn.MAXIFS(BD!$A$3:$A$5001,BD!$B$3:$B$5001,C$140,BD!$A$3:$A$5001,"&gt;="&amp;$C$7,BD!$A$3:$A$5001,"&lt;="&amp;$B149,BD!$X$3:$X$5001,"&lt;&gt;"))))</f>
        <v/>
      </c>
      <c r="D149" s="43" t="str">
        <f>IF(OR($B149="",$A149&gt;$B$9,D$140=""),"",IF(COUNTIFS(BD!$B$3:$B$5001,D$140,BD!$A$3:$A$5001,"&gt;="&amp;$C$7,BD!$A$3:$A$5001,"&lt;="&amp;$B149,BD!$X$3:$X$5001,"&lt;&gt;")=0,"",SUMIFS(BD!$X$3:$X$5001,BD!$B$3:$B$5001,D$140,BD!$A$3:$A$5001,_xlfn.MAXIFS(BD!$A$3:$A$5001,BD!$B$3:$B$5001,D$140,BD!$A$3:$A$5001,"&gt;="&amp;$C$7,BD!$A$3:$A$5001,"&lt;="&amp;$B149,BD!$X$3:$X$5001,"&lt;&gt;"))))</f>
        <v/>
      </c>
      <c r="E149" s="43" t="str">
        <f>IF(OR($B149="",$A149&gt;$B$9,E$140=""),"",IF(COUNTIFS(BD!$B$3:$B$5001,E$140,BD!$A$3:$A$5001,"&gt;="&amp;$C$7,BD!$A$3:$A$5001,"&lt;="&amp;$B149,BD!$X$3:$X$5001,"&lt;&gt;")=0,"",SUMIFS(BD!$X$3:$X$5001,BD!$B$3:$B$5001,E$140,BD!$A$3:$A$5001,_xlfn.MAXIFS(BD!$A$3:$A$5001,BD!$B$3:$B$5001,E$140,BD!$A$3:$A$5001,"&gt;="&amp;$C$7,BD!$A$3:$A$5001,"&lt;="&amp;$B149,BD!$X$3:$X$5001,"&lt;&gt;"))))</f>
        <v/>
      </c>
      <c r="F149" s="43" t="str">
        <f>IF(OR($B149="",$A149&gt;$B$9,F$140=""),"",IF(COUNTIFS(BD!$B$3:$B$5001,F$140,BD!$A$3:$A$5001,"&gt;="&amp;$C$7,BD!$A$3:$A$5001,"&lt;="&amp;$B149,BD!$X$3:$X$5001,"&lt;&gt;")=0,"",SUMIFS(BD!$X$3:$X$5001,BD!$B$3:$B$5001,F$140,BD!$A$3:$A$5001,_xlfn.MAXIFS(BD!$A$3:$A$5001,BD!$B$3:$B$5001,F$140,BD!$A$3:$A$5001,"&gt;="&amp;$C$7,BD!$A$3:$A$5001,"&lt;="&amp;$B149,BD!$X$3:$X$5001,"&lt;&gt;"))))</f>
        <v/>
      </c>
      <c r="G149" s="43" t="str">
        <f>IF(OR($B149="",$A149&gt;$B$9,G$140=""),"",IF(COUNTIFS(BD!$B$3:$B$5001,G$140,BD!$A$3:$A$5001,"&gt;="&amp;$C$7,BD!$A$3:$A$5001,"&lt;="&amp;$B149,BD!$X$3:$X$5001,"&lt;&gt;")=0,"",SUMIFS(BD!$X$3:$X$5001,BD!$B$3:$B$5001,G$140,BD!$A$3:$A$5001,_xlfn.MAXIFS(BD!$A$3:$A$5001,BD!$B$3:$B$5001,G$140,BD!$A$3:$A$5001,"&gt;="&amp;$C$7,BD!$A$3:$A$5001,"&lt;="&amp;$B149,BD!$X$3:$X$5001,"&lt;&gt;"))))</f>
        <v/>
      </c>
      <c r="H149" s="43" t="str">
        <f>IF(OR($B149="",$A149&gt;$B$9,H$140=""),"",IF(COUNTIFS(BD!$B$3:$B$5001,H$140,BD!$A$3:$A$5001,"&gt;="&amp;$C$7,BD!$A$3:$A$5001,"&lt;="&amp;$B149,BD!$X$3:$X$5001,"&lt;&gt;")=0,"",SUMIFS(BD!$X$3:$X$5001,BD!$B$3:$B$5001,H$140,BD!$A$3:$A$5001,_xlfn.MAXIFS(BD!$A$3:$A$5001,BD!$B$3:$B$5001,H$140,BD!$A$3:$A$5001,"&gt;="&amp;$C$7,BD!$A$3:$A$5001,"&lt;="&amp;$B149,BD!$X$3:$X$5001,"&lt;&gt;"))))</f>
        <v/>
      </c>
      <c r="I149" s="43" t="str">
        <f>IF(OR($B149="",$A149&gt;$B$9,I$140=""),"",IF(COUNTIFS(BD!$B$3:$B$5001,I$140,BD!$A$3:$A$5001,"&gt;="&amp;$C$7,BD!$A$3:$A$5001,"&lt;="&amp;$B149,BD!$X$3:$X$5001,"&lt;&gt;")=0,"",SUMIFS(BD!$X$3:$X$5001,BD!$B$3:$B$5001,I$140,BD!$A$3:$A$5001,_xlfn.MAXIFS(BD!$A$3:$A$5001,BD!$B$3:$B$5001,I$140,BD!$A$3:$A$5001,"&gt;="&amp;$C$7,BD!$A$3:$A$5001,"&lt;="&amp;$B149,BD!$X$3:$X$5001,"&lt;&gt;"))))</f>
        <v/>
      </c>
      <c r="J149" s="43" t="str">
        <f>IF(OR($B149="",$A149&gt;$B$9,J$140=""),"",IF(COUNTIFS(BD!$B$3:$B$5001,J$140,BD!$A$3:$A$5001,"&gt;="&amp;$C$7,BD!$A$3:$A$5001,"&lt;="&amp;$B149,BD!$X$3:$X$5001,"&lt;&gt;")=0,"",SUMIFS(BD!$X$3:$X$5001,BD!$B$3:$B$5001,J$140,BD!$A$3:$A$5001,_xlfn.MAXIFS(BD!$A$3:$A$5001,BD!$B$3:$B$5001,J$140,BD!$A$3:$A$5001,"&gt;="&amp;$C$7,BD!$A$3:$A$5001,"&lt;="&amp;$B149,BD!$X$3:$X$5001,"&lt;&gt;"))))</f>
        <v/>
      </c>
      <c r="K149" s="43" t="str">
        <f>IF(OR($B149="",$A149&gt;$B$9,K$140=""),"",IF(COUNTIFS(BD!$B$3:$B$5001,K$140,BD!$A$3:$A$5001,"&gt;="&amp;$C$7,BD!$A$3:$A$5001,"&lt;="&amp;$B149,BD!$X$3:$X$5001,"&lt;&gt;")=0,"",SUMIFS(BD!$X$3:$X$5001,BD!$B$3:$B$5001,K$140,BD!$A$3:$A$5001,_xlfn.MAXIFS(BD!$A$3:$A$5001,BD!$B$3:$B$5001,K$140,BD!$A$3:$A$5001,"&gt;="&amp;$C$7,BD!$A$3:$A$5001,"&lt;="&amp;$B149,BD!$X$3:$X$5001,"&lt;&gt;"))))</f>
        <v/>
      </c>
      <c r="L149" s="43" t="str">
        <f>IF(OR($B149="",$A149&gt;$B$9,L$140=""),"",IF(COUNTIFS(BD!$B$3:$B$5001,L$140,BD!$A$3:$A$5001,"&gt;="&amp;$C$7,BD!$A$3:$A$5001,"&lt;="&amp;$B149,BD!$X$3:$X$5001,"&lt;&gt;")=0,"",SUMIFS(BD!$X$3:$X$5001,BD!$B$3:$B$5001,L$140,BD!$A$3:$A$5001,_xlfn.MAXIFS(BD!$A$3:$A$5001,BD!$B$3:$B$5001,L$140,BD!$A$3:$A$5001,"&gt;="&amp;$C$7,BD!$A$3:$A$5001,"&lt;="&amp;$B149,BD!$X$3:$X$5001,"&lt;&gt;"))))</f>
        <v/>
      </c>
      <c r="M149" s="43" t="str">
        <f>IF(OR($B149="",$A149&gt;$B$9,M$140=""),"",IF(COUNTIFS(BD!$B$3:$B$5001,M$140,BD!$A$3:$A$5001,"&gt;="&amp;$C$7,BD!$A$3:$A$5001,"&lt;="&amp;$B149,BD!$X$3:$X$5001,"&lt;&gt;")=0,"",SUMIFS(BD!$X$3:$X$5001,BD!$B$3:$B$5001,M$140,BD!$A$3:$A$5001,_xlfn.MAXIFS(BD!$A$3:$A$5001,BD!$B$3:$B$5001,M$140,BD!$A$3:$A$5001,"&gt;="&amp;$C$7,BD!$A$3:$A$5001,"&lt;="&amp;$B149,BD!$X$3:$X$5001,"&lt;&gt;"))))</f>
        <v/>
      </c>
      <c r="N149" s="43" t="str">
        <f>IF(OR($B149="",$A149&gt;$B$9,N$140=""),"",IF(COUNTIFS(BD!$B$3:$B$5001,N$140,BD!$A$3:$A$5001,"&gt;="&amp;$C$7,BD!$A$3:$A$5001,"&lt;="&amp;$B149,BD!$X$3:$X$5001,"&lt;&gt;")=0,"",SUMIFS(BD!$X$3:$X$5001,BD!$B$3:$B$5001,N$140,BD!$A$3:$A$5001,_xlfn.MAXIFS(BD!$A$3:$A$5001,BD!$B$3:$B$5001,N$140,BD!$A$3:$A$5001,"&gt;="&amp;$C$7,BD!$A$3:$A$5001,"&lt;="&amp;$B149,BD!$X$3:$X$5001,"&lt;&gt;"))))</f>
        <v/>
      </c>
      <c r="O149" s="43" t="str">
        <f>IF(OR($B149="",$A149&gt;$B$9,O$140=""),"",IF(COUNTIFS(BD!$B$3:$B$5001,O$140,BD!$A$3:$A$5001,"&gt;="&amp;$C$7,BD!$A$3:$A$5001,"&lt;="&amp;$B149,BD!$X$3:$X$5001,"&lt;&gt;")=0,"",SUMIFS(BD!$X$3:$X$5001,BD!$B$3:$B$5001,O$140,BD!$A$3:$A$5001,_xlfn.MAXIFS(BD!$A$3:$A$5001,BD!$B$3:$B$5001,O$140,BD!$A$3:$A$5001,"&gt;="&amp;$C$7,BD!$A$3:$A$5001,"&lt;="&amp;$B149,BD!$X$3:$X$5001,"&lt;&gt;"))))</f>
        <v/>
      </c>
      <c r="P149" s="43" t="str">
        <f>IF(OR($B149="",$A149&gt;$B$9,P$140=""),"",IF(COUNTIFS(BD!$B$3:$B$5001,P$140,BD!$A$3:$A$5001,"&gt;="&amp;$C$7,BD!$A$3:$A$5001,"&lt;="&amp;$B149,BD!$X$3:$X$5001,"&lt;&gt;")=0,"",SUMIFS(BD!$X$3:$X$5001,BD!$B$3:$B$5001,P$140,BD!$A$3:$A$5001,_xlfn.MAXIFS(BD!$A$3:$A$5001,BD!$B$3:$B$5001,P$140,BD!$A$3:$A$5001,"&gt;="&amp;$C$7,BD!$A$3:$A$5001,"&lt;="&amp;$B149,BD!$X$3:$X$5001,"&lt;&gt;"))))</f>
        <v/>
      </c>
      <c r="Q149" s="43" t="str">
        <f>IF(OR($B149="",$A149&gt;$B$9,Q$140=""),"",IF(COUNTIFS(BD!$B$3:$B$5001,Q$140,BD!$A$3:$A$5001,"&gt;="&amp;$C$7,BD!$A$3:$A$5001,"&lt;="&amp;$B149,BD!$X$3:$X$5001,"&lt;&gt;")=0,"",SUMIFS(BD!$X$3:$X$5001,BD!$B$3:$B$5001,Q$140,BD!$A$3:$A$5001,_xlfn.MAXIFS(BD!$A$3:$A$5001,BD!$B$3:$B$5001,Q$140,BD!$A$3:$A$5001,"&gt;="&amp;$C$7,BD!$A$3:$A$5001,"&lt;="&amp;$B149,BD!$X$3:$X$5001,"&lt;&gt;"))))</f>
        <v/>
      </c>
      <c r="R149" s="43" t="str">
        <f>IF(OR($B149="",$A149&gt;$B$9,R$140=""),"",IF(COUNTIFS(BD!$B$3:$B$5001,R$140,BD!$A$3:$A$5001,"&gt;="&amp;$C$7,BD!$A$3:$A$5001,"&lt;="&amp;$B149,BD!$X$3:$X$5001,"&lt;&gt;")=0,"",SUMIFS(BD!$X$3:$X$5001,BD!$B$3:$B$5001,R$140,BD!$A$3:$A$5001,_xlfn.MAXIFS(BD!$A$3:$A$5001,BD!$B$3:$B$5001,R$140,BD!$A$3:$A$5001,"&gt;="&amp;$C$7,BD!$A$3:$A$5001,"&lt;="&amp;$B149,BD!$X$3:$X$5001,"&lt;&gt;"))))</f>
        <v/>
      </c>
      <c r="S149" s="43" t="str">
        <f>IF(OR($B149="",$A149&gt;$B$9,S$140=""),"",IF(COUNTIFS(BD!$B$3:$B$5001,S$140,BD!$A$3:$A$5001,"&gt;="&amp;$C$7,BD!$A$3:$A$5001,"&lt;="&amp;$B149,BD!$X$3:$X$5001,"&lt;&gt;")=0,"",SUMIFS(BD!$X$3:$X$5001,BD!$B$3:$B$5001,S$140,BD!$A$3:$A$5001,_xlfn.MAXIFS(BD!$A$3:$A$5001,BD!$B$3:$B$5001,S$140,BD!$A$3:$A$5001,"&gt;="&amp;$C$7,BD!$A$3:$A$5001,"&lt;="&amp;$B149,BD!$X$3:$X$5001,"&lt;&gt;"))))</f>
        <v/>
      </c>
      <c r="T149" s="43" t="str">
        <f>IF(OR($B149="",$A149&gt;$B$9,T$140=""),"",IF(COUNTIFS(BD!$B$3:$B$5001,T$140,BD!$A$3:$A$5001,"&gt;="&amp;$C$7,BD!$A$3:$A$5001,"&lt;="&amp;$B149,BD!$X$3:$X$5001,"&lt;&gt;")=0,"",SUMIFS(BD!$X$3:$X$5001,BD!$B$3:$B$5001,T$140,BD!$A$3:$A$5001,_xlfn.MAXIFS(BD!$A$3:$A$5001,BD!$B$3:$B$5001,T$140,BD!$A$3:$A$5001,"&gt;="&amp;$C$7,BD!$A$3:$A$5001,"&lt;="&amp;$B149,BD!$X$3:$X$5001,"&lt;&gt;"))))</f>
        <v/>
      </c>
      <c r="U149" s="43" t="str">
        <f>IF(OR($B149="",$A149&gt;$B$9,U$140=""),"",IF(COUNTIFS(BD!$B$3:$B$5001,U$140,BD!$A$3:$A$5001,"&gt;="&amp;$C$7,BD!$A$3:$A$5001,"&lt;="&amp;$B149,BD!$X$3:$X$5001,"&lt;&gt;")=0,"",SUMIFS(BD!$X$3:$X$5001,BD!$B$3:$B$5001,U$140,BD!$A$3:$A$5001,_xlfn.MAXIFS(BD!$A$3:$A$5001,BD!$B$3:$B$5001,U$140,BD!$A$3:$A$5001,"&gt;="&amp;$C$7,BD!$A$3:$A$5001,"&lt;="&amp;$B149,BD!$X$3:$X$5001,"&lt;&gt;"))))</f>
        <v/>
      </c>
      <c r="V149" s="43" t="str">
        <f>IF(OR($B149="",$A149&gt;$B$9,V$140=""),"",IF(COUNTIFS(BD!$B$3:$B$5001,V$140,BD!$A$3:$A$5001,"&gt;="&amp;$C$7,BD!$A$3:$A$5001,"&lt;="&amp;$B149,BD!$X$3:$X$5001,"&lt;&gt;")=0,"",SUMIFS(BD!$X$3:$X$5001,BD!$B$3:$B$5001,V$140,BD!$A$3:$A$5001,_xlfn.MAXIFS(BD!$A$3:$A$5001,BD!$B$3:$B$5001,V$140,BD!$A$3:$A$5001,"&gt;="&amp;$C$7,BD!$A$3:$A$5001,"&lt;="&amp;$B149,BD!$X$3:$X$5001,"&lt;&gt;"))))</f>
        <v/>
      </c>
    </row>
    <row r="150">
      <c r="A150" s="38">
        <v>10</v>
      </c>
      <c r="B150" s="42">
        <f>$B$21</f>
        <v>46305</v>
      </c>
      <c r="C150" s="43" t="str">
        <f>IF(OR($B150="",$A150&gt;$B$9,C$140=""),"",IF(COUNTIFS(BD!$B$3:$B$5001,C$140,BD!$A$3:$A$5001,"&gt;="&amp;$C$7,BD!$A$3:$A$5001,"&lt;="&amp;$B150,BD!$X$3:$X$5001,"&lt;&gt;")=0,"",SUMIFS(BD!$X$3:$X$5001,BD!$B$3:$B$5001,C$140,BD!$A$3:$A$5001,_xlfn.MAXIFS(BD!$A$3:$A$5001,BD!$B$3:$B$5001,C$140,BD!$A$3:$A$5001,"&gt;="&amp;$C$7,BD!$A$3:$A$5001,"&lt;="&amp;$B150,BD!$X$3:$X$5001,"&lt;&gt;"))))</f>
        <v/>
      </c>
      <c r="D150" s="43" t="str">
        <f>IF(OR($B150="",$A150&gt;$B$9,D$140=""),"",IF(COUNTIFS(BD!$B$3:$B$5001,D$140,BD!$A$3:$A$5001,"&gt;="&amp;$C$7,BD!$A$3:$A$5001,"&lt;="&amp;$B150,BD!$X$3:$X$5001,"&lt;&gt;")=0,"",SUMIFS(BD!$X$3:$X$5001,BD!$B$3:$B$5001,D$140,BD!$A$3:$A$5001,_xlfn.MAXIFS(BD!$A$3:$A$5001,BD!$B$3:$B$5001,D$140,BD!$A$3:$A$5001,"&gt;="&amp;$C$7,BD!$A$3:$A$5001,"&lt;="&amp;$B150,BD!$X$3:$X$5001,"&lt;&gt;"))))</f>
        <v/>
      </c>
      <c r="E150" s="43" t="str">
        <f>IF(OR($B150="",$A150&gt;$B$9,E$140=""),"",IF(COUNTIFS(BD!$B$3:$B$5001,E$140,BD!$A$3:$A$5001,"&gt;="&amp;$C$7,BD!$A$3:$A$5001,"&lt;="&amp;$B150,BD!$X$3:$X$5001,"&lt;&gt;")=0,"",SUMIFS(BD!$X$3:$X$5001,BD!$B$3:$B$5001,E$140,BD!$A$3:$A$5001,_xlfn.MAXIFS(BD!$A$3:$A$5001,BD!$B$3:$B$5001,E$140,BD!$A$3:$A$5001,"&gt;="&amp;$C$7,BD!$A$3:$A$5001,"&lt;="&amp;$B150,BD!$X$3:$X$5001,"&lt;&gt;"))))</f>
        <v/>
      </c>
      <c r="F150" s="43" t="str">
        <f>IF(OR($B150="",$A150&gt;$B$9,F$140=""),"",IF(COUNTIFS(BD!$B$3:$B$5001,F$140,BD!$A$3:$A$5001,"&gt;="&amp;$C$7,BD!$A$3:$A$5001,"&lt;="&amp;$B150,BD!$X$3:$X$5001,"&lt;&gt;")=0,"",SUMIFS(BD!$X$3:$X$5001,BD!$B$3:$B$5001,F$140,BD!$A$3:$A$5001,_xlfn.MAXIFS(BD!$A$3:$A$5001,BD!$B$3:$B$5001,F$140,BD!$A$3:$A$5001,"&gt;="&amp;$C$7,BD!$A$3:$A$5001,"&lt;="&amp;$B150,BD!$X$3:$X$5001,"&lt;&gt;"))))</f>
        <v/>
      </c>
      <c r="G150" s="43" t="str">
        <f>IF(OR($B150="",$A150&gt;$B$9,G$140=""),"",IF(COUNTIFS(BD!$B$3:$B$5001,G$140,BD!$A$3:$A$5001,"&gt;="&amp;$C$7,BD!$A$3:$A$5001,"&lt;="&amp;$B150,BD!$X$3:$X$5001,"&lt;&gt;")=0,"",SUMIFS(BD!$X$3:$X$5001,BD!$B$3:$B$5001,G$140,BD!$A$3:$A$5001,_xlfn.MAXIFS(BD!$A$3:$A$5001,BD!$B$3:$B$5001,G$140,BD!$A$3:$A$5001,"&gt;="&amp;$C$7,BD!$A$3:$A$5001,"&lt;="&amp;$B150,BD!$X$3:$X$5001,"&lt;&gt;"))))</f>
        <v/>
      </c>
      <c r="H150" s="43" t="str">
        <f>IF(OR($B150="",$A150&gt;$B$9,H$140=""),"",IF(COUNTIFS(BD!$B$3:$B$5001,H$140,BD!$A$3:$A$5001,"&gt;="&amp;$C$7,BD!$A$3:$A$5001,"&lt;="&amp;$B150,BD!$X$3:$X$5001,"&lt;&gt;")=0,"",SUMIFS(BD!$X$3:$X$5001,BD!$B$3:$B$5001,H$140,BD!$A$3:$A$5001,_xlfn.MAXIFS(BD!$A$3:$A$5001,BD!$B$3:$B$5001,H$140,BD!$A$3:$A$5001,"&gt;="&amp;$C$7,BD!$A$3:$A$5001,"&lt;="&amp;$B150,BD!$X$3:$X$5001,"&lt;&gt;"))))</f>
        <v/>
      </c>
      <c r="I150" s="43" t="str">
        <f>IF(OR($B150="",$A150&gt;$B$9,I$140=""),"",IF(COUNTIFS(BD!$B$3:$B$5001,I$140,BD!$A$3:$A$5001,"&gt;="&amp;$C$7,BD!$A$3:$A$5001,"&lt;="&amp;$B150,BD!$X$3:$X$5001,"&lt;&gt;")=0,"",SUMIFS(BD!$X$3:$X$5001,BD!$B$3:$B$5001,I$140,BD!$A$3:$A$5001,_xlfn.MAXIFS(BD!$A$3:$A$5001,BD!$B$3:$B$5001,I$140,BD!$A$3:$A$5001,"&gt;="&amp;$C$7,BD!$A$3:$A$5001,"&lt;="&amp;$B150,BD!$X$3:$X$5001,"&lt;&gt;"))))</f>
        <v/>
      </c>
      <c r="J150" s="43" t="str">
        <f>IF(OR($B150="",$A150&gt;$B$9,J$140=""),"",IF(COUNTIFS(BD!$B$3:$B$5001,J$140,BD!$A$3:$A$5001,"&gt;="&amp;$C$7,BD!$A$3:$A$5001,"&lt;="&amp;$B150,BD!$X$3:$X$5001,"&lt;&gt;")=0,"",SUMIFS(BD!$X$3:$X$5001,BD!$B$3:$B$5001,J$140,BD!$A$3:$A$5001,_xlfn.MAXIFS(BD!$A$3:$A$5001,BD!$B$3:$B$5001,J$140,BD!$A$3:$A$5001,"&gt;="&amp;$C$7,BD!$A$3:$A$5001,"&lt;="&amp;$B150,BD!$X$3:$X$5001,"&lt;&gt;"))))</f>
        <v/>
      </c>
      <c r="K150" s="43" t="str">
        <f>IF(OR($B150="",$A150&gt;$B$9,K$140=""),"",IF(COUNTIFS(BD!$B$3:$B$5001,K$140,BD!$A$3:$A$5001,"&gt;="&amp;$C$7,BD!$A$3:$A$5001,"&lt;="&amp;$B150,BD!$X$3:$X$5001,"&lt;&gt;")=0,"",SUMIFS(BD!$X$3:$X$5001,BD!$B$3:$B$5001,K$140,BD!$A$3:$A$5001,_xlfn.MAXIFS(BD!$A$3:$A$5001,BD!$B$3:$B$5001,K$140,BD!$A$3:$A$5001,"&gt;="&amp;$C$7,BD!$A$3:$A$5001,"&lt;="&amp;$B150,BD!$X$3:$X$5001,"&lt;&gt;"))))</f>
        <v/>
      </c>
      <c r="L150" s="43" t="str">
        <f>IF(OR($B150="",$A150&gt;$B$9,L$140=""),"",IF(COUNTIFS(BD!$B$3:$B$5001,L$140,BD!$A$3:$A$5001,"&gt;="&amp;$C$7,BD!$A$3:$A$5001,"&lt;="&amp;$B150,BD!$X$3:$X$5001,"&lt;&gt;")=0,"",SUMIFS(BD!$X$3:$X$5001,BD!$B$3:$B$5001,L$140,BD!$A$3:$A$5001,_xlfn.MAXIFS(BD!$A$3:$A$5001,BD!$B$3:$B$5001,L$140,BD!$A$3:$A$5001,"&gt;="&amp;$C$7,BD!$A$3:$A$5001,"&lt;="&amp;$B150,BD!$X$3:$X$5001,"&lt;&gt;"))))</f>
        <v/>
      </c>
      <c r="M150" s="43" t="str">
        <f>IF(OR($B150="",$A150&gt;$B$9,M$140=""),"",IF(COUNTIFS(BD!$B$3:$B$5001,M$140,BD!$A$3:$A$5001,"&gt;="&amp;$C$7,BD!$A$3:$A$5001,"&lt;="&amp;$B150,BD!$X$3:$X$5001,"&lt;&gt;")=0,"",SUMIFS(BD!$X$3:$X$5001,BD!$B$3:$B$5001,M$140,BD!$A$3:$A$5001,_xlfn.MAXIFS(BD!$A$3:$A$5001,BD!$B$3:$B$5001,M$140,BD!$A$3:$A$5001,"&gt;="&amp;$C$7,BD!$A$3:$A$5001,"&lt;="&amp;$B150,BD!$X$3:$X$5001,"&lt;&gt;"))))</f>
        <v/>
      </c>
      <c r="N150" s="43" t="str">
        <f>IF(OR($B150="",$A150&gt;$B$9,N$140=""),"",IF(COUNTIFS(BD!$B$3:$B$5001,N$140,BD!$A$3:$A$5001,"&gt;="&amp;$C$7,BD!$A$3:$A$5001,"&lt;="&amp;$B150,BD!$X$3:$X$5001,"&lt;&gt;")=0,"",SUMIFS(BD!$X$3:$X$5001,BD!$B$3:$B$5001,N$140,BD!$A$3:$A$5001,_xlfn.MAXIFS(BD!$A$3:$A$5001,BD!$B$3:$B$5001,N$140,BD!$A$3:$A$5001,"&gt;="&amp;$C$7,BD!$A$3:$A$5001,"&lt;="&amp;$B150,BD!$X$3:$X$5001,"&lt;&gt;"))))</f>
        <v/>
      </c>
      <c r="O150" s="43" t="str">
        <f>IF(OR($B150="",$A150&gt;$B$9,O$140=""),"",IF(COUNTIFS(BD!$B$3:$B$5001,O$140,BD!$A$3:$A$5001,"&gt;="&amp;$C$7,BD!$A$3:$A$5001,"&lt;="&amp;$B150,BD!$X$3:$X$5001,"&lt;&gt;")=0,"",SUMIFS(BD!$X$3:$X$5001,BD!$B$3:$B$5001,O$140,BD!$A$3:$A$5001,_xlfn.MAXIFS(BD!$A$3:$A$5001,BD!$B$3:$B$5001,O$140,BD!$A$3:$A$5001,"&gt;="&amp;$C$7,BD!$A$3:$A$5001,"&lt;="&amp;$B150,BD!$X$3:$X$5001,"&lt;&gt;"))))</f>
        <v/>
      </c>
      <c r="P150" s="43" t="str">
        <f>IF(OR($B150="",$A150&gt;$B$9,P$140=""),"",IF(COUNTIFS(BD!$B$3:$B$5001,P$140,BD!$A$3:$A$5001,"&gt;="&amp;$C$7,BD!$A$3:$A$5001,"&lt;="&amp;$B150,BD!$X$3:$X$5001,"&lt;&gt;")=0,"",SUMIFS(BD!$X$3:$X$5001,BD!$B$3:$B$5001,P$140,BD!$A$3:$A$5001,_xlfn.MAXIFS(BD!$A$3:$A$5001,BD!$B$3:$B$5001,P$140,BD!$A$3:$A$5001,"&gt;="&amp;$C$7,BD!$A$3:$A$5001,"&lt;="&amp;$B150,BD!$X$3:$X$5001,"&lt;&gt;"))))</f>
        <v/>
      </c>
      <c r="Q150" s="43" t="str">
        <f>IF(OR($B150="",$A150&gt;$B$9,Q$140=""),"",IF(COUNTIFS(BD!$B$3:$B$5001,Q$140,BD!$A$3:$A$5001,"&gt;="&amp;$C$7,BD!$A$3:$A$5001,"&lt;="&amp;$B150,BD!$X$3:$X$5001,"&lt;&gt;")=0,"",SUMIFS(BD!$X$3:$X$5001,BD!$B$3:$B$5001,Q$140,BD!$A$3:$A$5001,_xlfn.MAXIFS(BD!$A$3:$A$5001,BD!$B$3:$B$5001,Q$140,BD!$A$3:$A$5001,"&gt;="&amp;$C$7,BD!$A$3:$A$5001,"&lt;="&amp;$B150,BD!$X$3:$X$5001,"&lt;&gt;"))))</f>
        <v/>
      </c>
      <c r="R150" s="43" t="str">
        <f>IF(OR($B150="",$A150&gt;$B$9,R$140=""),"",IF(COUNTIFS(BD!$B$3:$B$5001,R$140,BD!$A$3:$A$5001,"&gt;="&amp;$C$7,BD!$A$3:$A$5001,"&lt;="&amp;$B150,BD!$X$3:$X$5001,"&lt;&gt;")=0,"",SUMIFS(BD!$X$3:$X$5001,BD!$B$3:$B$5001,R$140,BD!$A$3:$A$5001,_xlfn.MAXIFS(BD!$A$3:$A$5001,BD!$B$3:$B$5001,R$140,BD!$A$3:$A$5001,"&gt;="&amp;$C$7,BD!$A$3:$A$5001,"&lt;="&amp;$B150,BD!$X$3:$X$5001,"&lt;&gt;"))))</f>
        <v/>
      </c>
      <c r="S150" s="43" t="str">
        <f>IF(OR($B150="",$A150&gt;$B$9,S$140=""),"",IF(COUNTIFS(BD!$B$3:$B$5001,S$140,BD!$A$3:$A$5001,"&gt;="&amp;$C$7,BD!$A$3:$A$5001,"&lt;="&amp;$B150,BD!$X$3:$X$5001,"&lt;&gt;")=0,"",SUMIFS(BD!$X$3:$X$5001,BD!$B$3:$B$5001,S$140,BD!$A$3:$A$5001,_xlfn.MAXIFS(BD!$A$3:$A$5001,BD!$B$3:$B$5001,S$140,BD!$A$3:$A$5001,"&gt;="&amp;$C$7,BD!$A$3:$A$5001,"&lt;="&amp;$B150,BD!$X$3:$X$5001,"&lt;&gt;"))))</f>
        <v/>
      </c>
      <c r="T150" s="43" t="str">
        <f>IF(OR($B150="",$A150&gt;$B$9,T$140=""),"",IF(COUNTIFS(BD!$B$3:$B$5001,T$140,BD!$A$3:$A$5001,"&gt;="&amp;$C$7,BD!$A$3:$A$5001,"&lt;="&amp;$B150,BD!$X$3:$X$5001,"&lt;&gt;")=0,"",SUMIFS(BD!$X$3:$X$5001,BD!$B$3:$B$5001,T$140,BD!$A$3:$A$5001,_xlfn.MAXIFS(BD!$A$3:$A$5001,BD!$B$3:$B$5001,T$140,BD!$A$3:$A$5001,"&gt;="&amp;$C$7,BD!$A$3:$A$5001,"&lt;="&amp;$B150,BD!$X$3:$X$5001,"&lt;&gt;"))))</f>
        <v/>
      </c>
      <c r="U150" s="43" t="str">
        <f>IF(OR($B150="",$A150&gt;$B$9,U$140=""),"",IF(COUNTIFS(BD!$B$3:$B$5001,U$140,BD!$A$3:$A$5001,"&gt;="&amp;$C$7,BD!$A$3:$A$5001,"&lt;="&amp;$B150,BD!$X$3:$X$5001,"&lt;&gt;")=0,"",SUMIFS(BD!$X$3:$X$5001,BD!$B$3:$B$5001,U$140,BD!$A$3:$A$5001,_xlfn.MAXIFS(BD!$A$3:$A$5001,BD!$B$3:$B$5001,U$140,BD!$A$3:$A$5001,"&gt;="&amp;$C$7,BD!$A$3:$A$5001,"&lt;="&amp;$B150,BD!$X$3:$X$5001,"&lt;&gt;"))))</f>
        <v/>
      </c>
      <c r="V150" s="43" t="str">
        <f>IF(OR($B150="",$A150&gt;$B$9,V$140=""),"",IF(COUNTIFS(BD!$B$3:$B$5001,V$140,BD!$A$3:$A$5001,"&gt;="&amp;$C$7,BD!$A$3:$A$5001,"&lt;="&amp;$B150,BD!$X$3:$X$5001,"&lt;&gt;")=0,"",SUMIFS(BD!$X$3:$X$5001,BD!$B$3:$B$5001,V$140,BD!$A$3:$A$5001,_xlfn.MAXIFS(BD!$A$3:$A$5001,BD!$B$3:$B$5001,V$140,BD!$A$3:$A$5001,"&gt;="&amp;$C$7,BD!$A$3:$A$5001,"&lt;="&amp;$B150,BD!$X$3:$X$5001,"&lt;&gt;"))))</f>
        <v/>
      </c>
    </row>
    <row r="151">
      <c r="A151" s="38">
        <v>11</v>
      </c>
      <c r="B151" s="42">
        <f>$B$22</f>
        <v>46306</v>
      </c>
      <c r="C151" s="43" t="str">
        <f>IF(OR($B151="",$A151&gt;$B$9,C$140=""),"",IF(COUNTIFS(BD!$B$3:$B$5001,C$140,BD!$A$3:$A$5001,"&gt;="&amp;$C$7,BD!$A$3:$A$5001,"&lt;="&amp;$B151,BD!$X$3:$X$5001,"&lt;&gt;")=0,"",SUMIFS(BD!$X$3:$X$5001,BD!$B$3:$B$5001,C$140,BD!$A$3:$A$5001,_xlfn.MAXIFS(BD!$A$3:$A$5001,BD!$B$3:$B$5001,C$140,BD!$A$3:$A$5001,"&gt;="&amp;$C$7,BD!$A$3:$A$5001,"&lt;="&amp;$B151,BD!$X$3:$X$5001,"&lt;&gt;"))))</f>
        <v/>
      </c>
      <c r="D151" s="43" t="str">
        <f>IF(OR($B151="",$A151&gt;$B$9,D$140=""),"",IF(COUNTIFS(BD!$B$3:$B$5001,D$140,BD!$A$3:$A$5001,"&gt;="&amp;$C$7,BD!$A$3:$A$5001,"&lt;="&amp;$B151,BD!$X$3:$X$5001,"&lt;&gt;")=0,"",SUMIFS(BD!$X$3:$X$5001,BD!$B$3:$B$5001,D$140,BD!$A$3:$A$5001,_xlfn.MAXIFS(BD!$A$3:$A$5001,BD!$B$3:$B$5001,D$140,BD!$A$3:$A$5001,"&gt;="&amp;$C$7,BD!$A$3:$A$5001,"&lt;="&amp;$B151,BD!$X$3:$X$5001,"&lt;&gt;"))))</f>
        <v/>
      </c>
      <c r="E151" s="43" t="str">
        <f>IF(OR($B151="",$A151&gt;$B$9,E$140=""),"",IF(COUNTIFS(BD!$B$3:$B$5001,E$140,BD!$A$3:$A$5001,"&gt;="&amp;$C$7,BD!$A$3:$A$5001,"&lt;="&amp;$B151,BD!$X$3:$X$5001,"&lt;&gt;")=0,"",SUMIFS(BD!$X$3:$X$5001,BD!$B$3:$B$5001,E$140,BD!$A$3:$A$5001,_xlfn.MAXIFS(BD!$A$3:$A$5001,BD!$B$3:$B$5001,E$140,BD!$A$3:$A$5001,"&gt;="&amp;$C$7,BD!$A$3:$A$5001,"&lt;="&amp;$B151,BD!$X$3:$X$5001,"&lt;&gt;"))))</f>
        <v/>
      </c>
      <c r="F151" s="43" t="str">
        <f>IF(OR($B151="",$A151&gt;$B$9,F$140=""),"",IF(COUNTIFS(BD!$B$3:$B$5001,F$140,BD!$A$3:$A$5001,"&gt;="&amp;$C$7,BD!$A$3:$A$5001,"&lt;="&amp;$B151,BD!$X$3:$X$5001,"&lt;&gt;")=0,"",SUMIFS(BD!$X$3:$X$5001,BD!$B$3:$B$5001,F$140,BD!$A$3:$A$5001,_xlfn.MAXIFS(BD!$A$3:$A$5001,BD!$B$3:$B$5001,F$140,BD!$A$3:$A$5001,"&gt;="&amp;$C$7,BD!$A$3:$A$5001,"&lt;="&amp;$B151,BD!$X$3:$X$5001,"&lt;&gt;"))))</f>
        <v/>
      </c>
      <c r="G151" s="43" t="str">
        <f>IF(OR($B151="",$A151&gt;$B$9,G$140=""),"",IF(COUNTIFS(BD!$B$3:$B$5001,G$140,BD!$A$3:$A$5001,"&gt;="&amp;$C$7,BD!$A$3:$A$5001,"&lt;="&amp;$B151,BD!$X$3:$X$5001,"&lt;&gt;")=0,"",SUMIFS(BD!$X$3:$X$5001,BD!$B$3:$B$5001,G$140,BD!$A$3:$A$5001,_xlfn.MAXIFS(BD!$A$3:$A$5001,BD!$B$3:$B$5001,G$140,BD!$A$3:$A$5001,"&gt;="&amp;$C$7,BD!$A$3:$A$5001,"&lt;="&amp;$B151,BD!$X$3:$X$5001,"&lt;&gt;"))))</f>
        <v/>
      </c>
      <c r="H151" s="43" t="str">
        <f>IF(OR($B151="",$A151&gt;$B$9,H$140=""),"",IF(COUNTIFS(BD!$B$3:$B$5001,H$140,BD!$A$3:$A$5001,"&gt;="&amp;$C$7,BD!$A$3:$A$5001,"&lt;="&amp;$B151,BD!$X$3:$X$5001,"&lt;&gt;")=0,"",SUMIFS(BD!$X$3:$X$5001,BD!$B$3:$B$5001,H$140,BD!$A$3:$A$5001,_xlfn.MAXIFS(BD!$A$3:$A$5001,BD!$B$3:$B$5001,H$140,BD!$A$3:$A$5001,"&gt;="&amp;$C$7,BD!$A$3:$A$5001,"&lt;="&amp;$B151,BD!$X$3:$X$5001,"&lt;&gt;"))))</f>
        <v/>
      </c>
      <c r="I151" s="43" t="str">
        <f>IF(OR($B151="",$A151&gt;$B$9,I$140=""),"",IF(COUNTIFS(BD!$B$3:$B$5001,I$140,BD!$A$3:$A$5001,"&gt;="&amp;$C$7,BD!$A$3:$A$5001,"&lt;="&amp;$B151,BD!$X$3:$X$5001,"&lt;&gt;")=0,"",SUMIFS(BD!$X$3:$X$5001,BD!$B$3:$B$5001,I$140,BD!$A$3:$A$5001,_xlfn.MAXIFS(BD!$A$3:$A$5001,BD!$B$3:$B$5001,I$140,BD!$A$3:$A$5001,"&gt;="&amp;$C$7,BD!$A$3:$A$5001,"&lt;="&amp;$B151,BD!$X$3:$X$5001,"&lt;&gt;"))))</f>
        <v/>
      </c>
      <c r="J151" s="43" t="str">
        <f>IF(OR($B151="",$A151&gt;$B$9,J$140=""),"",IF(COUNTIFS(BD!$B$3:$B$5001,J$140,BD!$A$3:$A$5001,"&gt;="&amp;$C$7,BD!$A$3:$A$5001,"&lt;="&amp;$B151,BD!$X$3:$X$5001,"&lt;&gt;")=0,"",SUMIFS(BD!$X$3:$X$5001,BD!$B$3:$B$5001,J$140,BD!$A$3:$A$5001,_xlfn.MAXIFS(BD!$A$3:$A$5001,BD!$B$3:$B$5001,J$140,BD!$A$3:$A$5001,"&gt;="&amp;$C$7,BD!$A$3:$A$5001,"&lt;="&amp;$B151,BD!$X$3:$X$5001,"&lt;&gt;"))))</f>
        <v/>
      </c>
      <c r="K151" s="43" t="str">
        <f>IF(OR($B151="",$A151&gt;$B$9,K$140=""),"",IF(COUNTIFS(BD!$B$3:$B$5001,K$140,BD!$A$3:$A$5001,"&gt;="&amp;$C$7,BD!$A$3:$A$5001,"&lt;="&amp;$B151,BD!$X$3:$X$5001,"&lt;&gt;")=0,"",SUMIFS(BD!$X$3:$X$5001,BD!$B$3:$B$5001,K$140,BD!$A$3:$A$5001,_xlfn.MAXIFS(BD!$A$3:$A$5001,BD!$B$3:$B$5001,K$140,BD!$A$3:$A$5001,"&gt;="&amp;$C$7,BD!$A$3:$A$5001,"&lt;="&amp;$B151,BD!$X$3:$X$5001,"&lt;&gt;"))))</f>
        <v/>
      </c>
      <c r="L151" s="43" t="str">
        <f>IF(OR($B151="",$A151&gt;$B$9,L$140=""),"",IF(COUNTIFS(BD!$B$3:$B$5001,L$140,BD!$A$3:$A$5001,"&gt;="&amp;$C$7,BD!$A$3:$A$5001,"&lt;="&amp;$B151,BD!$X$3:$X$5001,"&lt;&gt;")=0,"",SUMIFS(BD!$X$3:$X$5001,BD!$B$3:$B$5001,L$140,BD!$A$3:$A$5001,_xlfn.MAXIFS(BD!$A$3:$A$5001,BD!$B$3:$B$5001,L$140,BD!$A$3:$A$5001,"&gt;="&amp;$C$7,BD!$A$3:$A$5001,"&lt;="&amp;$B151,BD!$X$3:$X$5001,"&lt;&gt;"))))</f>
        <v/>
      </c>
      <c r="M151" s="43" t="str">
        <f>IF(OR($B151="",$A151&gt;$B$9,M$140=""),"",IF(COUNTIFS(BD!$B$3:$B$5001,M$140,BD!$A$3:$A$5001,"&gt;="&amp;$C$7,BD!$A$3:$A$5001,"&lt;="&amp;$B151,BD!$X$3:$X$5001,"&lt;&gt;")=0,"",SUMIFS(BD!$X$3:$X$5001,BD!$B$3:$B$5001,M$140,BD!$A$3:$A$5001,_xlfn.MAXIFS(BD!$A$3:$A$5001,BD!$B$3:$B$5001,M$140,BD!$A$3:$A$5001,"&gt;="&amp;$C$7,BD!$A$3:$A$5001,"&lt;="&amp;$B151,BD!$X$3:$X$5001,"&lt;&gt;"))))</f>
        <v/>
      </c>
      <c r="N151" s="43" t="str">
        <f>IF(OR($B151="",$A151&gt;$B$9,N$140=""),"",IF(COUNTIFS(BD!$B$3:$B$5001,N$140,BD!$A$3:$A$5001,"&gt;="&amp;$C$7,BD!$A$3:$A$5001,"&lt;="&amp;$B151,BD!$X$3:$X$5001,"&lt;&gt;")=0,"",SUMIFS(BD!$X$3:$X$5001,BD!$B$3:$B$5001,N$140,BD!$A$3:$A$5001,_xlfn.MAXIFS(BD!$A$3:$A$5001,BD!$B$3:$B$5001,N$140,BD!$A$3:$A$5001,"&gt;="&amp;$C$7,BD!$A$3:$A$5001,"&lt;="&amp;$B151,BD!$X$3:$X$5001,"&lt;&gt;"))))</f>
        <v/>
      </c>
      <c r="O151" s="43" t="str">
        <f>IF(OR($B151="",$A151&gt;$B$9,O$140=""),"",IF(COUNTIFS(BD!$B$3:$B$5001,O$140,BD!$A$3:$A$5001,"&gt;="&amp;$C$7,BD!$A$3:$A$5001,"&lt;="&amp;$B151,BD!$X$3:$X$5001,"&lt;&gt;")=0,"",SUMIFS(BD!$X$3:$X$5001,BD!$B$3:$B$5001,O$140,BD!$A$3:$A$5001,_xlfn.MAXIFS(BD!$A$3:$A$5001,BD!$B$3:$B$5001,O$140,BD!$A$3:$A$5001,"&gt;="&amp;$C$7,BD!$A$3:$A$5001,"&lt;="&amp;$B151,BD!$X$3:$X$5001,"&lt;&gt;"))))</f>
        <v/>
      </c>
      <c r="P151" s="43" t="str">
        <f>IF(OR($B151="",$A151&gt;$B$9,P$140=""),"",IF(COUNTIFS(BD!$B$3:$B$5001,P$140,BD!$A$3:$A$5001,"&gt;="&amp;$C$7,BD!$A$3:$A$5001,"&lt;="&amp;$B151,BD!$X$3:$X$5001,"&lt;&gt;")=0,"",SUMIFS(BD!$X$3:$X$5001,BD!$B$3:$B$5001,P$140,BD!$A$3:$A$5001,_xlfn.MAXIFS(BD!$A$3:$A$5001,BD!$B$3:$B$5001,P$140,BD!$A$3:$A$5001,"&gt;="&amp;$C$7,BD!$A$3:$A$5001,"&lt;="&amp;$B151,BD!$X$3:$X$5001,"&lt;&gt;"))))</f>
        <v/>
      </c>
      <c r="Q151" s="43" t="str">
        <f>IF(OR($B151="",$A151&gt;$B$9,Q$140=""),"",IF(COUNTIFS(BD!$B$3:$B$5001,Q$140,BD!$A$3:$A$5001,"&gt;="&amp;$C$7,BD!$A$3:$A$5001,"&lt;="&amp;$B151,BD!$X$3:$X$5001,"&lt;&gt;")=0,"",SUMIFS(BD!$X$3:$X$5001,BD!$B$3:$B$5001,Q$140,BD!$A$3:$A$5001,_xlfn.MAXIFS(BD!$A$3:$A$5001,BD!$B$3:$B$5001,Q$140,BD!$A$3:$A$5001,"&gt;="&amp;$C$7,BD!$A$3:$A$5001,"&lt;="&amp;$B151,BD!$X$3:$X$5001,"&lt;&gt;"))))</f>
        <v/>
      </c>
      <c r="R151" s="43" t="str">
        <f>IF(OR($B151="",$A151&gt;$B$9,R$140=""),"",IF(COUNTIFS(BD!$B$3:$B$5001,R$140,BD!$A$3:$A$5001,"&gt;="&amp;$C$7,BD!$A$3:$A$5001,"&lt;="&amp;$B151,BD!$X$3:$X$5001,"&lt;&gt;")=0,"",SUMIFS(BD!$X$3:$X$5001,BD!$B$3:$B$5001,R$140,BD!$A$3:$A$5001,_xlfn.MAXIFS(BD!$A$3:$A$5001,BD!$B$3:$B$5001,R$140,BD!$A$3:$A$5001,"&gt;="&amp;$C$7,BD!$A$3:$A$5001,"&lt;="&amp;$B151,BD!$X$3:$X$5001,"&lt;&gt;"))))</f>
        <v/>
      </c>
      <c r="S151" s="43" t="str">
        <f>IF(OR($B151="",$A151&gt;$B$9,S$140=""),"",IF(COUNTIFS(BD!$B$3:$B$5001,S$140,BD!$A$3:$A$5001,"&gt;="&amp;$C$7,BD!$A$3:$A$5001,"&lt;="&amp;$B151,BD!$X$3:$X$5001,"&lt;&gt;")=0,"",SUMIFS(BD!$X$3:$X$5001,BD!$B$3:$B$5001,S$140,BD!$A$3:$A$5001,_xlfn.MAXIFS(BD!$A$3:$A$5001,BD!$B$3:$B$5001,S$140,BD!$A$3:$A$5001,"&gt;="&amp;$C$7,BD!$A$3:$A$5001,"&lt;="&amp;$B151,BD!$X$3:$X$5001,"&lt;&gt;"))))</f>
        <v/>
      </c>
      <c r="T151" s="43" t="str">
        <f>IF(OR($B151="",$A151&gt;$B$9,T$140=""),"",IF(COUNTIFS(BD!$B$3:$B$5001,T$140,BD!$A$3:$A$5001,"&gt;="&amp;$C$7,BD!$A$3:$A$5001,"&lt;="&amp;$B151,BD!$X$3:$X$5001,"&lt;&gt;")=0,"",SUMIFS(BD!$X$3:$X$5001,BD!$B$3:$B$5001,T$140,BD!$A$3:$A$5001,_xlfn.MAXIFS(BD!$A$3:$A$5001,BD!$B$3:$B$5001,T$140,BD!$A$3:$A$5001,"&gt;="&amp;$C$7,BD!$A$3:$A$5001,"&lt;="&amp;$B151,BD!$X$3:$X$5001,"&lt;&gt;"))))</f>
        <v/>
      </c>
      <c r="U151" s="43" t="str">
        <f>IF(OR($B151="",$A151&gt;$B$9,U$140=""),"",IF(COUNTIFS(BD!$B$3:$B$5001,U$140,BD!$A$3:$A$5001,"&gt;="&amp;$C$7,BD!$A$3:$A$5001,"&lt;="&amp;$B151,BD!$X$3:$X$5001,"&lt;&gt;")=0,"",SUMIFS(BD!$X$3:$X$5001,BD!$B$3:$B$5001,U$140,BD!$A$3:$A$5001,_xlfn.MAXIFS(BD!$A$3:$A$5001,BD!$B$3:$B$5001,U$140,BD!$A$3:$A$5001,"&gt;="&amp;$C$7,BD!$A$3:$A$5001,"&lt;="&amp;$B151,BD!$X$3:$X$5001,"&lt;&gt;"))))</f>
        <v/>
      </c>
      <c r="V151" s="43" t="str">
        <f>IF(OR($B151="",$A151&gt;$B$9,V$140=""),"",IF(COUNTIFS(BD!$B$3:$B$5001,V$140,BD!$A$3:$A$5001,"&gt;="&amp;$C$7,BD!$A$3:$A$5001,"&lt;="&amp;$B151,BD!$X$3:$X$5001,"&lt;&gt;")=0,"",SUMIFS(BD!$X$3:$X$5001,BD!$B$3:$B$5001,V$140,BD!$A$3:$A$5001,_xlfn.MAXIFS(BD!$A$3:$A$5001,BD!$B$3:$B$5001,V$140,BD!$A$3:$A$5001,"&gt;="&amp;$C$7,BD!$A$3:$A$5001,"&lt;="&amp;$B151,BD!$X$3:$X$5001,"&lt;&gt;"))))</f>
        <v/>
      </c>
    </row>
    <row r="152">
      <c r="A152" s="38">
        <v>12</v>
      </c>
      <c r="B152" s="42">
        <f>$B$23</f>
        <v>46307</v>
      </c>
      <c r="C152" s="43" t="str">
        <f>IF(OR($B152="",$A152&gt;$B$9,C$140=""),"",IF(COUNTIFS(BD!$B$3:$B$5001,C$140,BD!$A$3:$A$5001,"&gt;="&amp;$C$7,BD!$A$3:$A$5001,"&lt;="&amp;$B152,BD!$X$3:$X$5001,"&lt;&gt;")=0,"",SUMIFS(BD!$X$3:$X$5001,BD!$B$3:$B$5001,C$140,BD!$A$3:$A$5001,_xlfn.MAXIFS(BD!$A$3:$A$5001,BD!$B$3:$B$5001,C$140,BD!$A$3:$A$5001,"&gt;="&amp;$C$7,BD!$A$3:$A$5001,"&lt;="&amp;$B152,BD!$X$3:$X$5001,"&lt;&gt;"))))</f>
        <v/>
      </c>
      <c r="D152" s="43" t="str">
        <f>IF(OR($B152="",$A152&gt;$B$9,D$140=""),"",IF(COUNTIFS(BD!$B$3:$B$5001,D$140,BD!$A$3:$A$5001,"&gt;="&amp;$C$7,BD!$A$3:$A$5001,"&lt;="&amp;$B152,BD!$X$3:$X$5001,"&lt;&gt;")=0,"",SUMIFS(BD!$X$3:$X$5001,BD!$B$3:$B$5001,D$140,BD!$A$3:$A$5001,_xlfn.MAXIFS(BD!$A$3:$A$5001,BD!$B$3:$B$5001,D$140,BD!$A$3:$A$5001,"&gt;="&amp;$C$7,BD!$A$3:$A$5001,"&lt;="&amp;$B152,BD!$X$3:$X$5001,"&lt;&gt;"))))</f>
        <v/>
      </c>
      <c r="E152" s="43" t="str">
        <f>IF(OR($B152="",$A152&gt;$B$9,E$140=""),"",IF(COUNTIFS(BD!$B$3:$B$5001,E$140,BD!$A$3:$A$5001,"&gt;="&amp;$C$7,BD!$A$3:$A$5001,"&lt;="&amp;$B152,BD!$X$3:$X$5001,"&lt;&gt;")=0,"",SUMIFS(BD!$X$3:$X$5001,BD!$B$3:$B$5001,E$140,BD!$A$3:$A$5001,_xlfn.MAXIFS(BD!$A$3:$A$5001,BD!$B$3:$B$5001,E$140,BD!$A$3:$A$5001,"&gt;="&amp;$C$7,BD!$A$3:$A$5001,"&lt;="&amp;$B152,BD!$X$3:$X$5001,"&lt;&gt;"))))</f>
        <v/>
      </c>
      <c r="F152" s="43" t="str">
        <f>IF(OR($B152="",$A152&gt;$B$9,F$140=""),"",IF(COUNTIFS(BD!$B$3:$B$5001,F$140,BD!$A$3:$A$5001,"&gt;="&amp;$C$7,BD!$A$3:$A$5001,"&lt;="&amp;$B152,BD!$X$3:$X$5001,"&lt;&gt;")=0,"",SUMIFS(BD!$X$3:$X$5001,BD!$B$3:$B$5001,F$140,BD!$A$3:$A$5001,_xlfn.MAXIFS(BD!$A$3:$A$5001,BD!$B$3:$B$5001,F$140,BD!$A$3:$A$5001,"&gt;="&amp;$C$7,BD!$A$3:$A$5001,"&lt;="&amp;$B152,BD!$X$3:$X$5001,"&lt;&gt;"))))</f>
        <v/>
      </c>
      <c r="G152" s="43" t="str">
        <f>IF(OR($B152="",$A152&gt;$B$9,G$140=""),"",IF(COUNTIFS(BD!$B$3:$B$5001,G$140,BD!$A$3:$A$5001,"&gt;="&amp;$C$7,BD!$A$3:$A$5001,"&lt;="&amp;$B152,BD!$X$3:$X$5001,"&lt;&gt;")=0,"",SUMIFS(BD!$X$3:$X$5001,BD!$B$3:$B$5001,G$140,BD!$A$3:$A$5001,_xlfn.MAXIFS(BD!$A$3:$A$5001,BD!$B$3:$B$5001,G$140,BD!$A$3:$A$5001,"&gt;="&amp;$C$7,BD!$A$3:$A$5001,"&lt;="&amp;$B152,BD!$X$3:$X$5001,"&lt;&gt;"))))</f>
        <v/>
      </c>
      <c r="H152" s="43" t="str">
        <f>IF(OR($B152="",$A152&gt;$B$9,H$140=""),"",IF(COUNTIFS(BD!$B$3:$B$5001,H$140,BD!$A$3:$A$5001,"&gt;="&amp;$C$7,BD!$A$3:$A$5001,"&lt;="&amp;$B152,BD!$X$3:$X$5001,"&lt;&gt;")=0,"",SUMIFS(BD!$X$3:$X$5001,BD!$B$3:$B$5001,H$140,BD!$A$3:$A$5001,_xlfn.MAXIFS(BD!$A$3:$A$5001,BD!$B$3:$B$5001,H$140,BD!$A$3:$A$5001,"&gt;="&amp;$C$7,BD!$A$3:$A$5001,"&lt;="&amp;$B152,BD!$X$3:$X$5001,"&lt;&gt;"))))</f>
        <v/>
      </c>
      <c r="I152" s="43" t="str">
        <f>IF(OR($B152="",$A152&gt;$B$9,I$140=""),"",IF(COUNTIFS(BD!$B$3:$B$5001,I$140,BD!$A$3:$A$5001,"&gt;="&amp;$C$7,BD!$A$3:$A$5001,"&lt;="&amp;$B152,BD!$X$3:$X$5001,"&lt;&gt;")=0,"",SUMIFS(BD!$X$3:$X$5001,BD!$B$3:$B$5001,I$140,BD!$A$3:$A$5001,_xlfn.MAXIFS(BD!$A$3:$A$5001,BD!$B$3:$B$5001,I$140,BD!$A$3:$A$5001,"&gt;="&amp;$C$7,BD!$A$3:$A$5001,"&lt;="&amp;$B152,BD!$X$3:$X$5001,"&lt;&gt;"))))</f>
        <v/>
      </c>
      <c r="J152" s="43" t="str">
        <f>IF(OR($B152="",$A152&gt;$B$9,J$140=""),"",IF(COUNTIFS(BD!$B$3:$B$5001,J$140,BD!$A$3:$A$5001,"&gt;="&amp;$C$7,BD!$A$3:$A$5001,"&lt;="&amp;$B152,BD!$X$3:$X$5001,"&lt;&gt;")=0,"",SUMIFS(BD!$X$3:$X$5001,BD!$B$3:$B$5001,J$140,BD!$A$3:$A$5001,_xlfn.MAXIFS(BD!$A$3:$A$5001,BD!$B$3:$B$5001,J$140,BD!$A$3:$A$5001,"&gt;="&amp;$C$7,BD!$A$3:$A$5001,"&lt;="&amp;$B152,BD!$X$3:$X$5001,"&lt;&gt;"))))</f>
        <v/>
      </c>
      <c r="K152" s="43" t="str">
        <f>IF(OR($B152="",$A152&gt;$B$9,K$140=""),"",IF(COUNTIFS(BD!$B$3:$B$5001,K$140,BD!$A$3:$A$5001,"&gt;="&amp;$C$7,BD!$A$3:$A$5001,"&lt;="&amp;$B152,BD!$X$3:$X$5001,"&lt;&gt;")=0,"",SUMIFS(BD!$X$3:$X$5001,BD!$B$3:$B$5001,K$140,BD!$A$3:$A$5001,_xlfn.MAXIFS(BD!$A$3:$A$5001,BD!$B$3:$B$5001,K$140,BD!$A$3:$A$5001,"&gt;="&amp;$C$7,BD!$A$3:$A$5001,"&lt;="&amp;$B152,BD!$X$3:$X$5001,"&lt;&gt;"))))</f>
        <v/>
      </c>
      <c r="L152" s="43" t="str">
        <f>IF(OR($B152="",$A152&gt;$B$9,L$140=""),"",IF(COUNTIFS(BD!$B$3:$B$5001,L$140,BD!$A$3:$A$5001,"&gt;="&amp;$C$7,BD!$A$3:$A$5001,"&lt;="&amp;$B152,BD!$X$3:$X$5001,"&lt;&gt;")=0,"",SUMIFS(BD!$X$3:$X$5001,BD!$B$3:$B$5001,L$140,BD!$A$3:$A$5001,_xlfn.MAXIFS(BD!$A$3:$A$5001,BD!$B$3:$B$5001,L$140,BD!$A$3:$A$5001,"&gt;="&amp;$C$7,BD!$A$3:$A$5001,"&lt;="&amp;$B152,BD!$X$3:$X$5001,"&lt;&gt;"))))</f>
        <v/>
      </c>
      <c r="M152" s="43" t="str">
        <f>IF(OR($B152="",$A152&gt;$B$9,M$140=""),"",IF(COUNTIFS(BD!$B$3:$B$5001,M$140,BD!$A$3:$A$5001,"&gt;="&amp;$C$7,BD!$A$3:$A$5001,"&lt;="&amp;$B152,BD!$X$3:$X$5001,"&lt;&gt;")=0,"",SUMIFS(BD!$X$3:$X$5001,BD!$B$3:$B$5001,M$140,BD!$A$3:$A$5001,_xlfn.MAXIFS(BD!$A$3:$A$5001,BD!$B$3:$B$5001,M$140,BD!$A$3:$A$5001,"&gt;="&amp;$C$7,BD!$A$3:$A$5001,"&lt;="&amp;$B152,BD!$X$3:$X$5001,"&lt;&gt;"))))</f>
        <v/>
      </c>
      <c r="N152" s="43" t="str">
        <f>IF(OR($B152="",$A152&gt;$B$9,N$140=""),"",IF(COUNTIFS(BD!$B$3:$B$5001,N$140,BD!$A$3:$A$5001,"&gt;="&amp;$C$7,BD!$A$3:$A$5001,"&lt;="&amp;$B152,BD!$X$3:$X$5001,"&lt;&gt;")=0,"",SUMIFS(BD!$X$3:$X$5001,BD!$B$3:$B$5001,N$140,BD!$A$3:$A$5001,_xlfn.MAXIFS(BD!$A$3:$A$5001,BD!$B$3:$B$5001,N$140,BD!$A$3:$A$5001,"&gt;="&amp;$C$7,BD!$A$3:$A$5001,"&lt;="&amp;$B152,BD!$X$3:$X$5001,"&lt;&gt;"))))</f>
        <v/>
      </c>
      <c r="O152" s="43" t="str">
        <f>IF(OR($B152="",$A152&gt;$B$9,O$140=""),"",IF(COUNTIFS(BD!$B$3:$B$5001,O$140,BD!$A$3:$A$5001,"&gt;="&amp;$C$7,BD!$A$3:$A$5001,"&lt;="&amp;$B152,BD!$X$3:$X$5001,"&lt;&gt;")=0,"",SUMIFS(BD!$X$3:$X$5001,BD!$B$3:$B$5001,O$140,BD!$A$3:$A$5001,_xlfn.MAXIFS(BD!$A$3:$A$5001,BD!$B$3:$B$5001,O$140,BD!$A$3:$A$5001,"&gt;="&amp;$C$7,BD!$A$3:$A$5001,"&lt;="&amp;$B152,BD!$X$3:$X$5001,"&lt;&gt;"))))</f>
        <v/>
      </c>
      <c r="P152" s="43" t="str">
        <f>IF(OR($B152="",$A152&gt;$B$9,P$140=""),"",IF(COUNTIFS(BD!$B$3:$B$5001,P$140,BD!$A$3:$A$5001,"&gt;="&amp;$C$7,BD!$A$3:$A$5001,"&lt;="&amp;$B152,BD!$X$3:$X$5001,"&lt;&gt;")=0,"",SUMIFS(BD!$X$3:$X$5001,BD!$B$3:$B$5001,P$140,BD!$A$3:$A$5001,_xlfn.MAXIFS(BD!$A$3:$A$5001,BD!$B$3:$B$5001,P$140,BD!$A$3:$A$5001,"&gt;="&amp;$C$7,BD!$A$3:$A$5001,"&lt;="&amp;$B152,BD!$X$3:$X$5001,"&lt;&gt;"))))</f>
        <v/>
      </c>
      <c r="Q152" s="43" t="str">
        <f>IF(OR($B152="",$A152&gt;$B$9,Q$140=""),"",IF(COUNTIFS(BD!$B$3:$B$5001,Q$140,BD!$A$3:$A$5001,"&gt;="&amp;$C$7,BD!$A$3:$A$5001,"&lt;="&amp;$B152,BD!$X$3:$X$5001,"&lt;&gt;")=0,"",SUMIFS(BD!$X$3:$X$5001,BD!$B$3:$B$5001,Q$140,BD!$A$3:$A$5001,_xlfn.MAXIFS(BD!$A$3:$A$5001,BD!$B$3:$B$5001,Q$140,BD!$A$3:$A$5001,"&gt;="&amp;$C$7,BD!$A$3:$A$5001,"&lt;="&amp;$B152,BD!$X$3:$X$5001,"&lt;&gt;"))))</f>
        <v/>
      </c>
      <c r="R152" s="43" t="str">
        <f>IF(OR($B152="",$A152&gt;$B$9,R$140=""),"",IF(COUNTIFS(BD!$B$3:$B$5001,R$140,BD!$A$3:$A$5001,"&gt;="&amp;$C$7,BD!$A$3:$A$5001,"&lt;="&amp;$B152,BD!$X$3:$X$5001,"&lt;&gt;")=0,"",SUMIFS(BD!$X$3:$X$5001,BD!$B$3:$B$5001,R$140,BD!$A$3:$A$5001,_xlfn.MAXIFS(BD!$A$3:$A$5001,BD!$B$3:$B$5001,R$140,BD!$A$3:$A$5001,"&gt;="&amp;$C$7,BD!$A$3:$A$5001,"&lt;="&amp;$B152,BD!$X$3:$X$5001,"&lt;&gt;"))))</f>
        <v/>
      </c>
      <c r="S152" s="43" t="str">
        <f>IF(OR($B152="",$A152&gt;$B$9,S$140=""),"",IF(COUNTIFS(BD!$B$3:$B$5001,S$140,BD!$A$3:$A$5001,"&gt;="&amp;$C$7,BD!$A$3:$A$5001,"&lt;="&amp;$B152,BD!$X$3:$X$5001,"&lt;&gt;")=0,"",SUMIFS(BD!$X$3:$X$5001,BD!$B$3:$B$5001,S$140,BD!$A$3:$A$5001,_xlfn.MAXIFS(BD!$A$3:$A$5001,BD!$B$3:$B$5001,S$140,BD!$A$3:$A$5001,"&gt;="&amp;$C$7,BD!$A$3:$A$5001,"&lt;="&amp;$B152,BD!$X$3:$X$5001,"&lt;&gt;"))))</f>
        <v/>
      </c>
      <c r="T152" s="43" t="str">
        <f>IF(OR($B152="",$A152&gt;$B$9,T$140=""),"",IF(COUNTIFS(BD!$B$3:$B$5001,T$140,BD!$A$3:$A$5001,"&gt;="&amp;$C$7,BD!$A$3:$A$5001,"&lt;="&amp;$B152,BD!$X$3:$X$5001,"&lt;&gt;")=0,"",SUMIFS(BD!$X$3:$X$5001,BD!$B$3:$B$5001,T$140,BD!$A$3:$A$5001,_xlfn.MAXIFS(BD!$A$3:$A$5001,BD!$B$3:$B$5001,T$140,BD!$A$3:$A$5001,"&gt;="&amp;$C$7,BD!$A$3:$A$5001,"&lt;="&amp;$B152,BD!$X$3:$X$5001,"&lt;&gt;"))))</f>
        <v/>
      </c>
      <c r="U152" s="43" t="str">
        <f>IF(OR($B152="",$A152&gt;$B$9,U$140=""),"",IF(COUNTIFS(BD!$B$3:$B$5001,U$140,BD!$A$3:$A$5001,"&gt;="&amp;$C$7,BD!$A$3:$A$5001,"&lt;="&amp;$B152,BD!$X$3:$X$5001,"&lt;&gt;")=0,"",SUMIFS(BD!$X$3:$X$5001,BD!$B$3:$B$5001,U$140,BD!$A$3:$A$5001,_xlfn.MAXIFS(BD!$A$3:$A$5001,BD!$B$3:$B$5001,U$140,BD!$A$3:$A$5001,"&gt;="&amp;$C$7,BD!$A$3:$A$5001,"&lt;="&amp;$B152,BD!$X$3:$X$5001,"&lt;&gt;"))))</f>
        <v/>
      </c>
      <c r="V152" s="43" t="str">
        <f>IF(OR($B152="",$A152&gt;$B$9,V$140=""),"",IF(COUNTIFS(BD!$B$3:$B$5001,V$140,BD!$A$3:$A$5001,"&gt;="&amp;$C$7,BD!$A$3:$A$5001,"&lt;="&amp;$B152,BD!$X$3:$X$5001,"&lt;&gt;")=0,"",SUMIFS(BD!$X$3:$X$5001,BD!$B$3:$B$5001,V$140,BD!$A$3:$A$5001,_xlfn.MAXIFS(BD!$A$3:$A$5001,BD!$B$3:$B$5001,V$140,BD!$A$3:$A$5001,"&gt;="&amp;$C$7,BD!$A$3:$A$5001,"&lt;="&amp;$B152,BD!$X$3:$X$5001,"&lt;&gt;"))))</f>
        <v/>
      </c>
    </row>
    <row r="153">
      <c r="A153" s="38">
        <v>13</v>
      </c>
      <c r="B153" s="42">
        <f>$B$24</f>
        <v>46308</v>
      </c>
      <c r="C153" s="43" t="str">
        <f>IF(OR($B153="",$A153&gt;$B$9,C$140=""),"",IF(COUNTIFS(BD!$B$3:$B$5001,C$140,BD!$A$3:$A$5001,"&gt;="&amp;$C$7,BD!$A$3:$A$5001,"&lt;="&amp;$B153,BD!$X$3:$X$5001,"&lt;&gt;")=0,"",SUMIFS(BD!$X$3:$X$5001,BD!$B$3:$B$5001,C$140,BD!$A$3:$A$5001,_xlfn.MAXIFS(BD!$A$3:$A$5001,BD!$B$3:$B$5001,C$140,BD!$A$3:$A$5001,"&gt;="&amp;$C$7,BD!$A$3:$A$5001,"&lt;="&amp;$B153,BD!$X$3:$X$5001,"&lt;&gt;"))))</f>
        <v/>
      </c>
      <c r="D153" s="43" t="str">
        <f>IF(OR($B153="",$A153&gt;$B$9,D$140=""),"",IF(COUNTIFS(BD!$B$3:$B$5001,D$140,BD!$A$3:$A$5001,"&gt;="&amp;$C$7,BD!$A$3:$A$5001,"&lt;="&amp;$B153,BD!$X$3:$X$5001,"&lt;&gt;")=0,"",SUMIFS(BD!$X$3:$X$5001,BD!$B$3:$B$5001,D$140,BD!$A$3:$A$5001,_xlfn.MAXIFS(BD!$A$3:$A$5001,BD!$B$3:$B$5001,D$140,BD!$A$3:$A$5001,"&gt;="&amp;$C$7,BD!$A$3:$A$5001,"&lt;="&amp;$B153,BD!$X$3:$X$5001,"&lt;&gt;"))))</f>
        <v/>
      </c>
      <c r="E153" s="43" t="str">
        <f>IF(OR($B153="",$A153&gt;$B$9,E$140=""),"",IF(COUNTIFS(BD!$B$3:$B$5001,E$140,BD!$A$3:$A$5001,"&gt;="&amp;$C$7,BD!$A$3:$A$5001,"&lt;="&amp;$B153,BD!$X$3:$X$5001,"&lt;&gt;")=0,"",SUMIFS(BD!$X$3:$X$5001,BD!$B$3:$B$5001,E$140,BD!$A$3:$A$5001,_xlfn.MAXIFS(BD!$A$3:$A$5001,BD!$B$3:$B$5001,E$140,BD!$A$3:$A$5001,"&gt;="&amp;$C$7,BD!$A$3:$A$5001,"&lt;="&amp;$B153,BD!$X$3:$X$5001,"&lt;&gt;"))))</f>
        <v/>
      </c>
      <c r="F153" s="43" t="str">
        <f>IF(OR($B153="",$A153&gt;$B$9,F$140=""),"",IF(COUNTIFS(BD!$B$3:$B$5001,F$140,BD!$A$3:$A$5001,"&gt;="&amp;$C$7,BD!$A$3:$A$5001,"&lt;="&amp;$B153,BD!$X$3:$X$5001,"&lt;&gt;")=0,"",SUMIFS(BD!$X$3:$X$5001,BD!$B$3:$B$5001,F$140,BD!$A$3:$A$5001,_xlfn.MAXIFS(BD!$A$3:$A$5001,BD!$B$3:$B$5001,F$140,BD!$A$3:$A$5001,"&gt;="&amp;$C$7,BD!$A$3:$A$5001,"&lt;="&amp;$B153,BD!$X$3:$X$5001,"&lt;&gt;"))))</f>
        <v/>
      </c>
      <c r="G153" s="43" t="str">
        <f>IF(OR($B153="",$A153&gt;$B$9,G$140=""),"",IF(COUNTIFS(BD!$B$3:$B$5001,G$140,BD!$A$3:$A$5001,"&gt;="&amp;$C$7,BD!$A$3:$A$5001,"&lt;="&amp;$B153,BD!$X$3:$X$5001,"&lt;&gt;")=0,"",SUMIFS(BD!$X$3:$X$5001,BD!$B$3:$B$5001,G$140,BD!$A$3:$A$5001,_xlfn.MAXIFS(BD!$A$3:$A$5001,BD!$B$3:$B$5001,G$140,BD!$A$3:$A$5001,"&gt;="&amp;$C$7,BD!$A$3:$A$5001,"&lt;="&amp;$B153,BD!$X$3:$X$5001,"&lt;&gt;"))))</f>
        <v/>
      </c>
      <c r="H153" s="43" t="str">
        <f>IF(OR($B153="",$A153&gt;$B$9,H$140=""),"",IF(COUNTIFS(BD!$B$3:$B$5001,H$140,BD!$A$3:$A$5001,"&gt;="&amp;$C$7,BD!$A$3:$A$5001,"&lt;="&amp;$B153,BD!$X$3:$X$5001,"&lt;&gt;")=0,"",SUMIFS(BD!$X$3:$X$5001,BD!$B$3:$B$5001,H$140,BD!$A$3:$A$5001,_xlfn.MAXIFS(BD!$A$3:$A$5001,BD!$B$3:$B$5001,H$140,BD!$A$3:$A$5001,"&gt;="&amp;$C$7,BD!$A$3:$A$5001,"&lt;="&amp;$B153,BD!$X$3:$X$5001,"&lt;&gt;"))))</f>
        <v/>
      </c>
      <c r="I153" s="43" t="str">
        <f>IF(OR($B153="",$A153&gt;$B$9,I$140=""),"",IF(COUNTIFS(BD!$B$3:$B$5001,I$140,BD!$A$3:$A$5001,"&gt;="&amp;$C$7,BD!$A$3:$A$5001,"&lt;="&amp;$B153,BD!$X$3:$X$5001,"&lt;&gt;")=0,"",SUMIFS(BD!$X$3:$X$5001,BD!$B$3:$B$5001,I$140,BD!$A$3:$A$5001,_xlfn.MAXIFS(BD!$A$3:$A$5001,BD!$B$3:$B$5001,I$140,BD!$A$3:$A$5001,"&gt;="&amp;$C$7,BD!$A$3:$A$5001,"&lt;="&amp;$B153,BD!$X$3:$X$5001,"&lt;&gt;"))))</f>
        <v/>
      </c>
      <c r="J153" s="43" t="str">
        <f>IF(OR($B153="",$A153&gt;$B$9,J$140=""),"",IF(COUNTIFS(BD!$B$3:$B$5001,J$140,BD!$A$3:$A$5001,"&gt;="&amp;$C$7,BD!$A$3:$A$5001,"&lt;="&amp;$B153,BD!$X$3:$X$5001,"&lt;&gt;")=0,"",SUMIFS(BD!$X$3:$X$5001,BD!$B$3:$B$5001,J$140,BD!$A$3:$A$5001,_xlfn.MAXIFS(BD!$A$3:$A$5001,BD!$B$3:$B$5001,J$140,BD!$A$3:$A$5001,"&gt;="&amp;$C$7,BD!$A$3:$A$5001,"&lt;="&amp;$B153,BD!$X$3:$X$5001,"&lt;&gt;"))))</f>
        <v/>
      </c>
      <c r="K153" s="43" t="str">
        <f>IF(OR($B153="",$A153&gt;$B$9,K$140=""),"",IF(COUNTIFS(BD!$B$3:$B$5001,K$140,BD!$A$3:$A$5001,"&gt;="&amp;$C$7,BD!$A$3:$A$5001,"&lt;="&amp;$B153,BD!$X$3:$X$5001,"&lt;&gt;")=0,"",SUMIFS(BD!$X$3:$X$5001,BD!$B$3:$B$5001,K$140,BD!$A$3:$A$5001,_xlfn.MAXIFS(BD!$A$3:$A$5001,BD!$B$3:$B$5001,K$140,BD!$A$3:$A$5001,"&gt;="&amp;$C$7,BD!$A$3:$A$5001,"&lt;="&amp;$B153,BD!$X$3:$X$5001,"&lt;&gt;"))))</f>
        <v/>
      </c>
      <c r="L153" s="43" t="str">
        <f>IF(OR($B153="",$A153&gt;$B$9,L$140=""),"",IF(COUNTIFS(BD!$B$3:$B$5001,L$140,BD!$A$3:$A$5001,"&gt;="&amp;$C$7,BD!$A$3:$A$5001,"&lt;="&amp;$B153,BD!$X$3:$X$5001,"&lt;&gt;")=0,"",SUMIFS(BD!$X$3:$X$5001,BD!$B$3:$B$5001,L$140,BD!$A$3:$A$5001,_xlfn.MAXIFS(BD!$A$3:$A$5001,BD!$B$3:$B$5001,L$140,BD!$A$3:$A$5001,"&gt;="&amp;$C$7,BD!$A$3:$A$5001,"&lt;="&amp;$B153,BD!$X$3:$X$5001,"&lt;&gt;"))))</f>
        <v/>
      </c>
      <c r="M153" s="43" t="str">
        <f>IF(OR($B153="",$A153&gt;$B$9,M$140=""),"",IF(COUNTIFS(BD!$B$3:$B$5001,M$140,BD!$A$3:$A$5001,"&gt;="&amp;$C$7,BD!$A$3:$A$5001,"&lt;="&amp;$B153,BD!$X$3:$X$5001,"&lt;&gt;")=0,"",SUMIFS(BD!$X$3:$X$5001,BD!$B$3:$B$5001,M$140,BD!$A$3:$A$5001,_xlfn.MAXIFS(BD!$A$3:$A$5001,BD!$B$3:$B$5001,M$140,BD!$A$3:$A$5001,"&gt;="&amp;$C$7,BD!$A$3:$A$5001,"&lt;="&amp;$B153,BD!$X$3:$X$5001,"&lt;&gt;"))))</f>
        <v/>
      </c>
      <c r="N153" s="43" t="str">
        <f>IF(OR($B153="",$A153&gt;$B$9,N$140=""),"",IF(COUNTIFS(BD!$B$3:$B$5001,N$140,BD!$A$3:$A$5001,"&gt;="&amp;$C$7,BD!$A$3:$A$5001,"&lt;="&amp;$B153,BD!$X$3:$X$5001,"&lt;&gt;")=0,"",SUMIFS(BD!$X$3:$X$5001,BD!$B$3:$B$5001,N$140,BD!$A$3:$A$5001,_xlfn.MAXIFS(BD!$A$3:$A$5001,BD!$B$3:$B$5001,N$140,BD!$A$3:$A$5001,"&gt;="&amp;$C$7,BD!$A$3:$A$5001,"&lt;="&amp;$B153,BD!$X$3:$X$5001,"&lt;&gt;"))))</f>
        <v/>
      </c>
      <c r="O153" s="43" t="str">
        <f>IF(OR($B153="",$A153&gt;$B$9,O$140=""),"",IF(COUNTIFS(BD!$B$3:$B$5001,O$140,BD!$A$3:$A$5001,"&gt;="&amp;$C$7,BD!$A$3:$A$5001,"&lt;="&amp;$B153,BD!$X$3:$X$5001,"&lt;&gt;")=0,"",SUMIFS(BD!$X$3:$X$5001,BD!$B$3:$B$5001,O$140,BD!$A$3:$A$5001,_xlfn.MAXIFS(BD!$A$3:$A$5001,BD!$B$3:$B$5001,O$140,BD!$A$3:$A$5001,"&gt;="&amp;$C$7,BD!$A$3:$A$5001,"&lt;="&amp;$B153,BD!$X$3:$X$5001,"&lt;&gt;"))))</f>
        <v/>
      </c>
      <c r="P153" s="43" t="str">
        <f>IF(OR($B153="",$A153&gt;$B$9,P$140=""),"",IF(COUNTIFS(BD!$B$3:$B$5001,P$140,BD!$A$3:$A$5001,"&gt;="&amp;$C$7,BD!$A$3:$A$5001,"&lt;="&amp;$B153,BD!$X$3:$X$5001,"&lt;&gt;")=0,"",SUMIFS(BD!$X$3:$X$5001,BD!$B$3:$B$5001,P$140,BD!$A$3:$A$5001,_xlfn.MAXIFS(BD!$A$3:$A$5001,BD!$B$3:$B$5001,P$140,BD!$A$3:$A$5001,"&gt;="&amp;$C$7,BD!$A$3:$A$5001,"&lt;="&amp;$B153,BD!$X$3:$X$5001,"&lt;&gt;"))))</f>
        <v/>
      </c>
      <c r="Q153" s="43" t="str">
        <f>IF(OR($B153="",$A153&gt;$B$9,Q$140=""),"",IF(COUNTIFS(BD!$B$3:$B$5001,Q$140,BD!$A$3:$A$5001,"&gt;="&amp;$C$7,BD!$A$3:$A$5001,"&lt;="&amp;$B153,BD!$X$3:$X$5001,"&lt;&gt;")=0,"",SUMIFS(BD!$X$3:$X$5001,BD!$B$3:$B$5001,Q$140,BD!$A$3:$A$5001,_xlfn.MAXIFS(BD!$A$3:$A$5001,BD!$B$3:$B$5001,Q$140,BD!$A$3:$A$5001,"&gt;="&amp;$C$7,BD!$A$3:$A$5001,"&lt;="&amp;$B153,BD!$X$3:$X$5001,"&lt;&gt;"))))</f>
        <v/>
      </c>
      <c r="R153" s="43" t="str">
        <f>IF(OR($B153="",$A153&gt;$B$9,R$140=""),"",IF(COUNTIFS(BD!$B$3:$B$5001,R$140,BD!$A$3:$A$5001,"&gt;="&amp;$C$7,BD!$A$3:$A$5001,"&lt;="&amp;$B153,BD!$X$3:$X$5001,"&lt;&gt;")=0,"",SUMIFS(BD!$X$3:$X$5001,BD!$B$3:$B$5001,R$140,BD!$A$3:$A$5001,_xlfn.MAXIFS(BD!$A$3:$A$5001,BD!$B$3:$B$5001,R$140,BD!$A$3:$A$5001,"&gt;="&amp;$C$7,BD!$A$3:$A$5001,"&lt;="&amp;$B153,BD!$X$3:$X$5001,"&lt;&gt;"))))</f>
        <v/>
      </c>
      <c r="S153" s="43" t="str">
        <f>IF(OR($B153="",$A153&gt;$B$9,S$140=""),"",IF(COUNTIFS(BD!$B$3:$B$5001,S$140,BD!$A$3:$A$5001,"&gt;="&amp;$C$7,BD!$A$3:$A$5001,"&lt;="&amp;$B153,BD!$X$3:$X$5001,"&lt;&gt;")=0,"",SUMIFS(BD!$X$3:$X$5001,BD!$B$3:$B$5001,S$140,BD!$A$3:$A$5001,_xlfn.MAXIFS(BD!$A$3:$A$5001,BD!$B$3:$B$5001,S$140,BD!$A$3:$A$5001,"&gt;="&amp;$C$7,BD!$A$3:$A$5001,"&lt;="&amp;$B153,BD!$X$3:$X$5001,"&lt;&gt;"))))</f>
        <v/>
      </c>
      <c r="T153" s="43" t="str">
        <f>IF(OR($B153="",$A153&gt;$B$9,T$140=""),"",IF(COUNTIFS(BD!$B$3:$B$5001,T$140,BD!$A$3:$A$5001,"&gt;="&amp;$C$7,BD!$A$3:$A$5001,"&lt;="&amp;$B153,BD!$X$3:$X$5001,"&lt;&gt;")=0,"",SUMIFS(BD!$X$3:$X$5001,BD!$B$3:$B$5001,T$140,BD!$A$3:$A$5001,_xlfn.MAXIFS(BD!$A$3:$A$5001,BD!$B$3:$B$5001,T$140,BD!$A$3:$A$5001,"&gt;="&amp;$C$7,BD!$A$3:$A$5001,"&lt;="&amp;$B153,BD!$X$3:$X$5001,"&lt;&gt;"))))</f>
        <v/>
      </c>
      <c r="U153" s="43" t="str">
        <f>IF(OR($B153="",$A153&gt;$B$9,U$140=""),"",IF(COUNTIFS(BD!$B$3:$B$5001,U$140,BD!$A$3:$A$5001,"&gt;="&amp;$C$7,BD!$A$3:$A$5001,"&lt;="&amp;$B153,BD!$X$3:$X$5001,"&lt;&gt;")=0,"",SUMIFS(BD!$X$3:$X$5001,BD!$B$3:$B$5001,U$140,BD!$A$3:$A$5001,_xlfn.MAXIFS(BD!$A$3:$A$5001,BD!$B$3:$B$5001,U$140,BD!$A$3:$A$5001,"&gt;="&amp;$C$7,BD!$A$3:$A$5001,"&lt;="&amp;$B153,BD!$X$3:$X$5001,"&lt;&gt;"))))</f>
        <v/>
      </c>
      <c r="V153" s="43" t="str">
        <f>IF(OR($B153="",$A153&gt;$B$9,V$140=""),"",IF(COUNTIFS(BD!$B$3:$B$5001,V$140,BD!$A$3:$A$5001,"&gt;="&amp;$C$7,BD!$A$3:$A$5001,"&lt;="&amp;$B153,BD!$X$3:$X$5001,"&lt;&gt;")=0,"",SUMIFS(BD!$X$3:$X$5001,BD!$B$3:$B$5001,V$140,BD!$A$3:$A$5001,_xlfn.MAXIFS(BD!$A$3:$A$5001,BD!$B$3:$B$5001,V$140,BD!$A$3:$A$5001,"&gt;="&amp;$C$7,BD!$A$3:$A$5001,"&lt;="&amp;$B153,BD!$X$3:$X$5001,"&lt;&gt;"))))</f>
        <v/>
      </c>
    </row>
    <row r="154">
      <c r="A154" s="38">
        <v>14</v>
      </c>
      <c r="B154" s="42">
        <f>$B$25</f>
        <v>46309</v>
      </c>
      <c r="C154" s="43" t="str">
        <f>IF(OR($B154="",$A154&gt;$B$9,C$140=""),"",IF(COUNTIFS(BD!$B$3:$B$5001,C$140,BD!$A$3:$A$5001,"&gt;="&amp;$C$7,BD!$A$3:$A$5001,"&lt;="&amp;$B154,BD!$X$3:$X$5001,"&lt;&gt;")=0,"",SUMIFS(BD!$X$3:$X$5001,BD!$B$3:$B$5001,C$140,BD!$A$3:$A$5001,_xlfn.MAXIFS(BD!$A$3:$A$5001,BD!$B$3:$B$5001,C$140,BD!$A$3:$A$5001,"&gt;="&amp;$C$7,BD!$A$3:$A$5001,"&lt;="&amp;$B154,BD!$X$3:$X$5001,"&lt;&gt;"))))</f>
        <v/>
      </c>
      <c r="D154" s="43" t="str">
        <f>IF(OR($B154="",$A154&gt;$B$9,D$140=""),"",IF(COUNTIFS(BD!$B$3:$B$5001,D$140,BD!$A$3:$A$5001,"&gt;="&amp;$C$7,BD!$A$3:$A$5001,"&lt;="&amp;$B154,BD!$X$3:$X$5001,"&lt;&gt;")=0,"",SUMIFS(BD!$X$3:$X$5001,BD!$B$3:$B$5001,D$140,BD!$A$3:$A$5001,_xlfn.MAXIFS(BD!$A$3:$A$5001,BD!$B$3:$B$5001,D$140,BD!$A$3:$A$5001,"&gt;="&amp;$C$7,BD!$A$3:$A$5001,"&lt;="&amp;$B154,BD!$X$3:$X$5001,"&lt;&gt;"))))</f>
        <v/>
      </c>
      <c r="E154" s="43" t="str">
        <f>IF(OR($B154="",$A154&gt;$B$9,E$140=""),"",IF(COUNTIFS(BD!$B$3:$B$5001,E$140,BD!$A$3:$A$5001,"&gt;="&amp;$C$7,BD!$A$3:$A$5001,"&lt;="&amp;$B154,BD!$X$3:$X$5001,"&lt;&gt;")=0,"",SUMIFS(BD!$X$3:$X$5001,BD!$B$3:$B$5001,E$140,BD!$A$3:$A$5001,_xlfn.MAXIFS(BD!$A$3:$A$5001,BD!$B$3:$B$5001,E$140,BD!$A$3:$A$5001,"&gt;="&amp;$C$7,BD!$A$3:$A$5001,"&lt;="&amp;$B154,BD!$X$3:$X$5001,"&lt;&gt;"))))</f>
        <v/>
      </c>
      <c r="F154" s="43" t="str">
        <f>IF(OR($B154="",$A154&gt;$B$9,F$140=""),"",IF(COUNTIFS(BD!$B$3:$B$5001,F$140,BD!$A$3:$A$5001,"&gt;="&amp;$C$7,BD!$A$3:$A$5001,"&lt;="&amp;$B154,BD!$X$3:$X$5001,"&lt;&gt;")=0,"",SUMIFS(BD!$X$3:$X$5001,BD!$B$3:$B$5001,F$140,BD!$A$3:$A$5001,_xlfn.MAXIFS(BD!$A$3:$A$5001,BD!$B$3:$B$5001,F$140,BD!$A$3:$A$5001,"&gt;="&amp;$C$7,BD!$A$3:$A$5001,"&lt;="&amp;$B154,BD!$X$3:$X$5001,"&lt;&gt;"))))</f>
        <v/>
      </c>
      <c r="G154" s="43" t="str">
        <f>IF(OR($B154="",$A154&gt;$B$9,G$140=""),"",IF(COUNTIFS(BD!$B$3:$B$5001,G$140,BD!$A$3:$A$5001,"&gt;="&amp;$C$7,BD!$A$3:$A$5001,"&lt;="&amp;$B154,BD!$X$3:$X$5001,"&lt;&gt;")=0,"",SUMIFS(BD!$X$3:$X$5001,BD!$B$3:$B$5001,G$140,BD!$A$3:$A$5001,_xlfn.MAXIFS(BD!$A$3:$A$5001,BD!$B$3:$B$5001,G$140,BD!$A$3:$A$5001,"&gt;="&amp;$C$7,BD!$A$3:$A$5001,"&lt;="&amp;$B154,BD!$X$3:$X$5001,"&lt;&gt;"))))</f>
        <v/>
      </c>
      <c r="H154" s="43" t="str">
        <f>IF(OR($B154="",$A154&gt;$B$9,H$140=""),"",IF(COUNTIFS(BD!$B$3:$B$5001,H$140,BD!$A$3:$A$5001,"&gt;="&amp;$C$7,BD!$A$3:$A$5001,"&lt;="&amp;$B154,BD!$X$3:$X$5001,"&lt;&gt;")=0,"",SUMIFS(BD!$X$3:$X$5001,BD!$B$3:$B$5001,H$140,BD!$A$3:$A$5001,_xlfn.MAXIFS(BD!$A$3:$A$5001,BD!$B$3:$B$5001,H$140,BD!$A$3:$A$5001,"&gt;="&amp;$C$7,BD!$A$3:$A$5001,"&lt;="&amp;$B154,BD!$X$3:$X$5001,"&lt;&gt;"))))</f>
        <v/>
      </c>
      <c r="I154" s="43" t="str">
        <f>IF(OR($B154="",$A154&gt;$B$9,I$140=""),"",IF(COUNTIFS(BD!$B$3:$B$5001,I$140,BD!$A$3:$A$5001,"&gt;="&amp;$C$7,BD!$A$3:$A$5001,"&lt;="&amp;$B154,BD!$X$3:$X$5001,"&lt;&gt;")=0,"",SUMIFS(BD!$X$3:$X$5001,BD!$B$3:$B$5001,I$140,BD!$A$3:$A$5001,_xlfn.MAXIFS(BD!$A$3:$A$5001,BD!$B$3:$B$5001,I$140,BD!$A$3:$A$5001,"&gt;="&amp;$C$7,BD!$A$3:$A$5001,"&lt;="&amp;$B154,BD!$X$3:$X$5001,"&lt;&gt;"))))</f>
        <v/>
      </c>
      <c r="J154" s="43" t="str">
        <f>IF(OR($B154="",$A154&gt;$B$9,J$140=""),"",IF(COUNTIFS(BD!$B$3:$B$5001,J$140,BD!$A$3:$A$5001,"&gt;="&amp;$C$7,BD!$A$3:$A$5001,"&lt;="&amp;$B154,BD!$X$3:$X$5001,"&lt;&gt;")=0,"",SUMIFS(BD!$X$3:$X$5001,BD!$B$3:$B$5001,J$140,BD!$A$3:$A$5001,_xlfn.MAXIFS(BD!$A$3:$A$5001,BD!$B$3:$B$5001,J$140,BD!$A$3:$A$5001,"&gt;="&amp;$C$7,BD!$A$3:$A$5001,"&lt;="&amp;$B154,BD!$X$3:$X$5001,"&lt;&gt;"))))</f>
        <v/>
      </c>
      <c r="K154" s="43" t="str">
        <f>IF(OR($B154="",$A154&gt;$B$9,K$140=""),"",IF(COUNTIFS(BD!$B$3:$B$5001,K$140,BD!$A$3:$A$5001,"&gt;="&amp;$C$7,BD!$A$3:$A$5001,"&lt;="&amp;$B154,BD!$X$3:$X$5001,"&lt;&gt;")=0,"",SUMIFS(BD!$X$3:$X$5001,BD!$B$3:$B$5001,K$140,BD!$A$3:$A$5001,_xlfn.MAXIFS(BD!$A$3:$A$5001,BD!$B$3:$B$5001,K$140,BD!$A$3:$A$5001,"&gt;="&amp;$C$7,BD!$A$3:$A$5001,"&lt;="&amp;$B154,BD!$X$3:$X$5001,"&lt;&gt;"))))</f>
        <v/>
      </c>
      <c r="L154" s="43" t="str">
        <f>IF(OR($B154="",$A154&gt;$B$9,L$140=""),"",IF(COUNTIFS(BD!$B$3:$B$5001,L$140,BD!$A$3:$A$5001,"&gt;="&amp;$C$7,BD!$A$3:$A$5001,"&lt;="&amp;$B154,BD!$X$3:$X$5001,"&lt;&gt;")=0,"",SUMIFS(BD!$X$3:$X$5001,BD!$B$3:$B$5001,L$140,BD!$A$3:$A$5001,_xlfn.MAXIFS(BD!$A$3:$A$5001,BD!$B$3:$B$5001,L$140,BD!$A$3:$A$5001,"&gt;="&amp;$C$7,BD!$A$3:$A$5001,"&lt;="&amp;$B154,BD!$X$3:$X$5001,"&lt;&gt;"))))</f>
        <v/>
      </c>
      <c r="M154" s="43" t="str">
        <f>IF(OR($B154="",$A154&gt;$B$9,M$140=""),"",IF(COUNTIFS(BD!$B$3:$B$5001,M$140,BD!$A$3:$A$5001,"&gt;="&amp;$C$7,BD!$A$3:$A$5001,"&lt;="&amp;$B154,BD!$X$3:$X$5001,"&lt;&gt;")=0,"",SUMIFS(BD!$X$3:$X$5001,BD!$B$3:$B$5001,M$140,BD!$A$3:$A$5001,_xlfn.MAXIFS(BD!$A$3:$A$5001,BD!$B$3:$B$5001,M$140,BD!$A$3:$A$5001,"&gt;="&amp;$C$7,BD!$A$3:$A$5001,"&lt;="&amp;$B154,BD!$X$3:$X$5001,"&lt;&gt;"))))</f>
        <v/>
      </c>
      <c r="N154" s="43" t="str">
        <f>IF(OR($B154="",$A154&gt;$B$9,N$140=""),"",IF(COUNTIFS(BD!$B$3:$B$5001,N$140,BD!$A$3:$A$5001,"&gt;="&amp;$C$7,BD!$A$3:$A$5001,"&lt;="&amp;$B154,BD!$X$3:$X$5001,"&lt;&gt;")=0,"",SUMIFS(BD!$X$3:$X$5001,BD!$B$3:$B$5001,N$140,BD!$A$3:$A$5001,_xlfn.MAXIFS(BD!$A$3:$A$5001,BD!$B$3:$B$5001,N$140,BD!$A$3:$A$5001,"&gt;="&amp;$C$7,BD!$A$3:$A$5001,"&lt;="&amp;$B154,BD!$X$3:$X$5001,"&lt;&gt;"))))</f>
        <v/>
      </c>
      <c r="O154" s="43" t="str">
        <f>IF(OR($B154="",$A154&gt;$B$9,O$140=""),"",IF(COUNTIFS(BD!$B$3:$B$5001,O$140,BD!$A$3:$A$5001,"&gt;="&amp;$C$7,BD!$A$3:$A$5001,"&lt;="&amp;$B154,BD!$X$3:$X$5001,"&lt;&gt;")=0,"",SUMIFS(BD!$X$3:$X$5001,BD!$B$3:$B$5001,O$140,BD!$A$3:$A$5001,_xlfn.MAXIFS(BD!$A$3:$A$5001,BD!$B$3:$B$5001,O$140,BD!$A$3:$A$5001,"&gt;="&amp;$C$7,BD!$A$3:$A$5001,"&lt;="&amp;$B154,BD!$X$3:$X$5001,"&lt;&gt;"))))</f>
        <v/>
      </c>
      <c r="P154" s="43" t="str">
        <f>IF(OR($B154="",$A154&gt;$B$9,P$140=""),"",IF(COUNTIFS(BD!$B$3:$B$5001,P$140,BD!$A$3:$A$5001,"&gt;="&amp;$C$7,BD!$A$3:$A$5001,"&lt;="&amp;$B154,BD!$X$3:$X$5001,"&lt;&gt;")=0,"",SUMIFS(BD!$X$3:$X$5001,BD!$B$3:$B$5001,P$140,BD!$A$3:$A$5001,_xlfn.MAXIFS(BD!$A$3:$A$5001,BD!$B$3:$B$5001,P$140,BD!$A$3:$A$5001,"&gt;="&amp;$C$7,BD!$A$3:$A$5001,"&lt;="&amp;$B154,BD!$X$3:$X$5001,"&lt;&gt;"))))</f>
        <v/>
      </c>
      <c r="Q154" s="43" t="str">
        <f>IF(OR($B154="",$A154&gt;$B$9,Q$140=""),"",IF(COUNTIFS(BD!$B$3:$B$5001,Q$140,BD!$A$3:$A$5001,"&gt;="&amp;$C$7,BD!$A$3:$A$5001,"&lt;="&amp;$B154,BD!$X$3:$X$5001,"&lt;&gt;")=0,"",SUMIFS(BD!$X$3:$X$5001,BD!$B$3:$B$5001,Q$140,BD!$A$3:$A$5001,_xlfn.MAXIFS(BD!$A$3:$A$5001,BD!$B$3:$B$5001,Q$140,BD!$A$3:$A$5001,"&gt;="&amp;$C$7,BD!$A$3:$A$5001,"&lt;="&amp;$B154,BD!$X$3:$X$5001,"&lt;&gt;"))))</f>
        <v/>
      </c>
      <c r="R154" s="43" t="str">
        <f>IF(OR($B154="",$A154&gt;$B$9,R$140=""),"",IF(COUNTIFS(BD!$B$3:$B$5001,R$140,BD!$A$3:$A$5001,"&gt;="&amp;$C$7,BD!$A$3:$A$5001,"&lt;="&amp;$B154,BD!$X$3:$X$5001,"&lt;&gt;")=0,"",SUMIFS(BD!$X$3:$X$5001,BD!$B$3:$B$5001,R$140,BD!$A$3:$A$5001,_xlfn.MAXIFS(BD!$A$3:$A$5001,BD!$B$3:$B$5001,R$140,BD!$A$3:$A$5001,"&gt;="&amp;$C$7,BD!$A$3:$A$5001,"&lt;="&amp;$B154,BD!$X$3:$X$5001,"&lt;&gt;"))))</f>
        <v/>
      </c>
      <c r="S154" s="43" t="str">
        <f>IF(OR($B154="",$A154&gt;$B$9,S$140=""),"",IF(COUNTIFS(BD!$B$3:$B$5001,S$140,BD!$A$3:$A$5001,"&gt;="&amp;$C$7,BD!$A$3:$A$5001,"&lt;="&amp;$B154,BD!$X$3:$X$5001,"&lt;&gt;")=0,"",SUMIFS(BD!$X$3:$X$5001,BD!$B$3:$B$5001,S$140,BD!$A$3:$A$5001,_xlfn.MAXIFS(BD!$A$3:$A$5001,BD!$B$3:$B$5001,S$140,BD!$A$3:$A$5001,"&gt;="&amp;$C$7,BD!$A$3:$A$5001,"&lt;="&amp;$B154,BD!$X$3:$X$5001,"&lt;&gt;"))))</f>
        <v/>
      </c>
      <c r="T154" s="43" t="str">
        <f>IF(OR($B154="",$A154&gt;$B$9,T$140=""),"",IF(COUNTIFS(BD!$B$3:$B$5001,T$140,BD!$A$3:$A$5001,"&gt;="&amp;$C$7,BD!$A$3:$A$5001,"&lt;="&amp;$B154,BD!$X$3:$X$5001,"&lt;&gt;")=0,"",SUMIFS(BD!$X$3:$X$5001,BD!$B$3:$B$5001,T$140,BD!$A$3:$A$5001,_xlfn.MAXIFS(BD!$A$3:$A$5001,BD!$B$3:$B$5001,T$140,BD!$A$3:$A$5001,"&gt;="&amp;$C$7,BD!$A$3:$A$5001,"&lt;="&amp;$B154,BD!$X$3:$X$5001,"&lt;&gt;"))))</f>
        <v/>
      </c>
      <c r="U154" s="43" t="str">
        <f>IF(OR($B154="",$A154&gt;$B$9,U$140=""),"",IF(COUNTIFS(BD!$B$3:$B$5001,U$140,BD!$A$3:$A$5001,"&gt;="&amp;$C$7,BD!$A$3:$A$5001,"&lt;="&amp;$B154,BD!$X$3:$X$5001,"&lt;&gt;")=0,"",SUMIFS(BD!$X$3:$X$5001,BD!$B$3:$B$5001,U$140,BD!$A$3:$A$5001,_xlfn.MAXIFS(BD!$A$3:$A$5001,BD!$B$3:$B$5001,U$140,BD!$A$3:$A$5001,"&gt;="&amp;$C$7,BD!$A$3:$A$5001,"&lt;="&amp;$B154,BD!$X$3:$X$5001,"&lt;&gt;"))))</f>
        <v/>
      </c>
      <c r="V154" s="43" t="str">
        <f>IF(OR($B154="",$A154&gt;$B$9,V$140=""),"",IF(COUNTIFS(BD!$B$3:$B$5001,V$140,BD!$A$3:$A$5001,"&gt;="&amp;$C$7,BD!$A$3:$A$5001,"&lt;="&amp;$B154,BD!$X$3:$X$5001,"&lt;&gt;")=0,"",SUMIFS(BD!$X$3:$X$5001,BD!$B$3:$B$5001,V$140,BD!$A$3:$A$5001,_xlfn.MAXIFS(BD!$A$3:$A$5001,BD!$B$3:$B$5001,V$140,BD!$A$3:$A$5001,"&gt;="&amp;$C$7,BD!$A$3:$A$5001,"&lt;="&amp;$B154,BD!$X$3:$X$5001,"&lt;&gt;"))))</f>
        <v/>
      </c>
    </row>
    <row r="155">
      <c r="A155" s="38">
        <v>15</v>
      </c>
      <c r="B155" s="42">
        <f>$B$26</f>
        <v>46310</v>
      </c>
      <c r="C155" s="43" t="str">
        <f>IF(OR($B155="",$A155&gt;$B$9,C$140=""),"",IF(COUNTIFS(BD!$B$3:$B$5001,C$140,BD!$A$3:$A$5001,"&gt;="&amp;$C$7,BD!$A$3:$A$5001,"&lt;="&amp;$B155,BD!$X$3:$X$5001,"&lt;&gt;")=0,"",SUMIFS(BD!$X$3:$X$5001,BD!$B$3:$B$5001,C$140,BD!$A$3:$A$5001,_xlfn.MAXIFS(BD!$A$3:$A$5001,BD!$B$3:$B$5001,C$140,BD!$A$3:$A$5001,"&gt;="&amp;$C$7,BD!$A$3:$A$5001,"&lt;="&amp;$B155,BD!$X$3:$X$5001,"&lt;&gt;"))))</f>
        <v/>
      </c>
      <c r="D155" s="43" t="str">
        <f>IF(OR($B155="",$A155&gt;$B$9,D$140=""),"",IF(COUNTIFS(BD!$B$3:$B$5001,D$140,BD!$A$3:$A$5001,"&gt;="&amp;$C$7,BD!$A$3:$A$5001,"&lt;="&amp;$B155,BD!$X$3:$X$5001,"&lt;&gt;")=0,"",SUMIFS(BD!$X$3:$X$5001,BD!$B$3:$B$5001,D$140,BD!$A$3:$A$5001,_xlfn.MAXIFS(BD!$A$3:$A$5001,BD!$B$3:$B$5001,D$140,BD!$A$3:$A$5001,"&gt;="&amp;$C$7,BD!$A$3:$A$5001,"&lt;="&amp;$B155,BD!$X$3:$X$5001,"&lt;&gt;"))))</f>
        <v/>
      </c>
      <c r="E155" s="43" t="str">
        <f>IF(OR($B155="",$A155&gt;$B$9,E$140=""),"",IF(COUNTIFS(BD!$B$3:$B$5001,E$140,BD!$A$3:$A$5001,"&gt;="&amp;$C$7,BD!$A$3:$A$5001,"&lt;="&amp;$B155,BD!$X$3:$X$5001,"&lt;&gt;")=0,"",SUMIFS(BD!$X$3:$X$5001,BD!$B$3:$B$5001,E$140,BD!$A$3:$A$5001,_xlfn.MAXIFS(BD!$A$3:$A$5001,BD!$B$3:$B$5001,E$140,BD!$A$3:$A$5001,"&gt;="&amp;$C$7,BD!$A$3:$A$5001,"&lt;="&amp;$B155,BD!$X$3:$X$5001,"&lt;&gt;"))))</f>
        <v/>
      </c>
      <c r="F155" s="43" t="str">
        <f>IF(OR($B155="",$A155&gt;$B$9,F$140=""),"",IF(COUNTIFS(BD!$B$3:$B$5001,F$140,BD!$A$3:$A$5001,"&gt;="&amp;$C$7,BD!$A$3:$A$5001,"&lt;="&amp;$B155,BD!$X$3:$X$5001,"&lt;&gt;")=0,"",SUMIFS(BD!$X$3:$X$5001,BD!$B$3:$B$5001,F$140,BD!$A$3:$A$5001,_xlfn.MAXIFS(BD!$A$3:$A$5001,BD!$B$3:$B$5001,F$140,BD!$A$3:$A$5001,"&gt;="&amp;$C$7,BD!$A$3:$A$5001,"&lt;="&amp;$B155,BD!$X$3:$X$5001,"&lt;&gt;"))))</f>
        <v/>
      </c>
      <c r="G155" s="43" t="str">
        <f>IF(OR($B155="",$A155&gt;$B$9,G$140=""),"",IF(COUNTIFS(BD!$B$3:$B$5001,G$140,BD!$A$3:$A$5001,"&gt;="&amp;$C$7,BD!$A$3:$A$5001,"&lt;="&amp;$B155,BD!$X$3:$X$5001,"&lt;&gt;")=0,"",SUMIFS(BD!$X$3:$X$5001,BD!$B$3:$B$5001,G$140,BD!$A$3:$A$5001,_xlfn.MAXIFS(BD!$A$3:$A$5001,BD!$B$3:$B$5001,G$140,BD!$A$3:$A$5001,"&gt;="&amp;$C$7,BD!$A$3:$A$5001,"&lt;="&amp;$B155,BD!$X$3:$X$5001,"&lt;&gt;"))))</f>
        <v/>
      </c>
      <c r="H155" s="43" t="str">
        <f>IF(OR($B155="",$A155&gt;$B$9,H$140=""),"",IF(COUNTIFS(BD!$B$3:$B$5001,H$140,BD!$A$3:$A$5001,"&gt;="&amp;$C$7,BD!$A$3:$A$5001,"&lt;="&amp;$B155,BD!$X$3:$X$5001,"&lt;&gt;")=0,"",SUMIFS(BD!$X$3:$X$5001,BD!$B$3:$B$5001,H$140,BD!$A$3:$A$5001,_xlfn.MAXIFS(BD!$A$3:$A$5001,BD!$B$3:$B$5001,H$140,BD!$A$3:$A$5001,"&gt;="&amp;$C$7,BD!$A$3:$A$5001,"&lt;="&amp;$B155,BD!$X$3:$X$5001,"&lt;&gt;"))))</f>
        <v/>
      </c>
      <c r="I155" s="43" t="str">
        <f>IF(OR($B155="",$A155&gt;$B$9,I$140=""),"",IF(COUNTIFS(BD!$B$3:$B$5001,I$140,BD!$A$3:$A$5001,"&gt;="&amp;$C$7,BD!$A$3:$A$5001,"&lt;="&amp;$B155,BD!$X$3:$X$5001,"&lt;&gt;")=0,"",SUMIFS(BD!$X$3:$X$5001,BD!$B$3:$B$5001,I$140,BD!$A$3:$A$5001,_xlfn.MAXIFS(BD!$A$3:$A$5001,BD!$B$3:$B$5001,I$140,BD!$A$3:$A$5001,"&gt;="&amp;$C$7,BD!$A$3:$A$5001,"&lt;="&amp;$B155,BD!$X$3:$X$5001,"&lt;&gt;"))))</f>
        <v/>
      </c>
      <c r="J155" s="43" t="str">
        <f>IF(OR($B155="",$A155&gt;$B$9,J$140=""),"",IF(COUNTIFS(BD!$B$3:$B$5001,J$140,BD!$A$3:$A$5001,"&gt;="&amp;$C$7,BD!$A$3:$A$5001,"&lt;="&amp;$B155,BD!$X$3:$X$5001,"&lt;&gt;")=0,"",SUMIFS(BD!$X$3:$X$5001,BD!$B$3:$B$5001,J$140,BD!$A$3:$A$5001,_xlfn.MAXIFS(BD!$A$3:$A$5001,BD!$B$3:$B$5001,J$140,BD!$A$3:$A$5001,"&gt;="&amp;$C$7,BD!$A$3:$A$5001,"&lt;="&amp;$B155,BD!$X$3:$X$5001,"&lt;&gt;"))))</f>
        <v/>
      </c>
      <c r="K155" s="43" t="str">
        <f>IF(OR($B155="",$A155&gt;$B$9,K$140=""),"",IF(COUNTIFS(BD!$B$3:$B$5001,K$140,BD!$A$3:$A$5001,"&gt;="&amp;$C$7,BD!$A$3:$A$5001,"&lt;="&amp;$B155,BD!$X$3:$X$5001,"&lt;&gt;")=0,"",SUMIFS(BD!$X$3:$X$5001,BD!$B$3:$B$5001,K$140,BD!$A$3:$A$5001,_xlfn.MAXIFS(BD!$A$3:$A$5001,BD!$B$3:$B$5001,K$140,BD!$A$3:$A$5001,"&gt;="&amp;$C$7,BD!$A$3:$A$5001,"&lt;="&amp;$B155,BD!$X$3:$X$5001,"&lt;&gt;"))))</f>
        <v/>
      </c>
      <c r="L155" s="43" t="str">
        <f>IF(OR($B155="",$A155&gt;$B$9,L$140=""),"",IF(COUNTIFS(BD!$B$3:$B$5001,L$140,BD!$A$3:$A$5001,"&gt;="&amp;$C$7,BD!$A$3:$A$5001,"&lt;="&amp;$B155,BD!$X$3:$X$5001,"&lt;&gt;")=0,"",SUMIFS(BD!$X$3:$X$5001,BD!$B$3:$B$5001,L$140,BD!$A$3:$A$5001,_xlfn.MAXIFS(BD!$A$3:$A$5001,BD!$B$3:$B$5001,L$140,BD!$A$3:$A$5001,"&gt;="&amp;$C$7,BD!$A$3:$A$5001,"&lt;="&amp;$B155,BD!$X$3:$X$5001,"&lt;&gt;"))))</f>
        <v/>
      </c>
      <c r="M155" s="43" t="str">
        <f>IF(OR($B155="",$A155&gt;$B$9,M$140=""),"",IF(COUNTIFS(BD!$B$3:$B$5001,M$140,BD!$A$3:$A$5001,"&gt;="&amp;$C$7,BD!$A$3:$A$5001,"&lt;="&amp;$B155,BD!$X$3:$X$5001,"&lt;&gt;")=0,"",SUMIFS(BD!$X$3:$X$5001,BD!$B$3:$B$5001,M$140,BD!$A$3:$A$5001,_xlfn.MAXIFS(BD!$A$3:$A$5001,BD!$B$3:$B$5001,M$140,BD!$A$3:$A$5001,"&gt;="&amp;$C$7,BD!$A$3:$A$5001,"&lt;="&amp;$B155,BD!$X$3:$X$5001,"&lt;&gt;"))))</f>
        <v/>
      </c>
      <c r="N155" s="43" t="str">
        <f>IF(OR($B155="",$A155&gt;$B$9,N$140=""),"",IF(COUNTIFS(BD!$B$3:$B$5001,N$140,BD!$A$3:$A$5001,"&gt;="&amp;$C$7,BD!$A$3:$A$5001,"&lt;="&amp;$B155,BD!$X$3:$X$5001,"&lt;&gt;")=0,"",SUMIFS(BD!$X$3:$X$5001,BD!$B$3:$B$5001,N$140,BD!$A$3:$A$5001,_xlfn.MAXIFS(BD!$A$3:$A$5001,BD!$B$3:$B$5001,N$140,BD!$A$3:$A$5001,"&gt;="&amp;$C$7,BD!$A$3:$A$5001,"&lt;="&amp;$B155,BD!$X$3:$X$5001,"&lt;&gt;"))))</f>
        <v/>
      </c>
      <c r="O155" s="43" t="str">
        <f>IF(OR($B155="",$A155&gt;$B$9,O$140=""),"",IF(COUNTIFS(BD!$B$3:$B$5001,O$140,BD!$A$3:$A$5001,"&gt;="&amp;$C$7,BD!$A$3:$A$5001,"&lt;="&amp;$B155,BD!$X$3:$X$5001,"&lt;&gt;")=0,"",SUMIFS(BD!$X$3:$X$5001,BD!$B$3:$B$5001,O$140,BD!$A$3:$A$5001,_xlfn.MAXIFS(BD!$A$3:$A$5001,BD!$B$3:$B$5001,O$140,BD!$A$3:$A$5001,"&gt;="&amp;$C$7,BD!$A$3:$A$5001,"&lt;="&amp;$B155,BD!$X$3:$X$5001,"&lt;&gt;"))))</f>
        <v/>
      </c>
      <c r="P155" s="43" t="str">
        <f>IF(OR($B155="",$A155&gt;$B$9,P$140=""),"",IF(COUNTIFS(BD!$B$3:$B$5001,P$140,BD!$A$3:$A$5001,"&gt;="&amp;$C$7,BD!$A$3:$A$5001,"&lt;="&amp;$B155,BD!$X$3:$X$5001,"&lt;&gt;")=0,"",SUMIFS(BD!$X$3:$X$5001,BD!$B$3:$B$5001,P$140,BD!$A$3:$A$5001,_xlfn.MAXIFS(BD!$A$3:$A$5001,BD!$B$3:$B$5001,P$140,BD!$A$3:$A$5001,"&gt;="&amp;$C$7,BD!$A$3:$A$5001,"&lt;="&amp;$B155,BD!$X$3:$X$5001,"&lt;&gt;"))))</f>
        <v/>
      </c>
      <c r="Q155" s="43" t="str">
        <f>IF(OR($B155="",$A155&gt;$B$9,Q$140=""),"",IF(COUNTIFS(BD!$B$3:$B$5001,Q$140,BD!$A$3:$A$5001,"&gt;="&amp;$C$7,BD!$A$3:$A$5001,"&lt;="&amp;$B155,BD!$X$3:$X$5001,"&lt;&gt;")=0,"",SUMIFS(BD!$X$3:$X$5001,BD!$B$3:$B$5001,Q$140,BD!$A$3:$A$5001,_xlfn.MAXIFS(BD!$A$3:$A$5001,BD!$B$3:$B$5001,Q$140,BD!$A$3:$A$5001,"&gt;="&amp;$C$7,BD!$A$3:$A$5001,"&lt;="&amp;$B155,BD!$X$3:$X$5001,"&lt;&gt;"))))</f>
        <v/>
      </c>
      <c r="R155" s="43" t="str">
        <f>IF(OR($B155="",$A155&gt;$B$9,R$140=""),"",IF(COUNTIFS(BD!$B$3:$B$5001,R$140,BD!$A$3:$A$5001,"&gt;="&amp;$C$7,BD!$A$3:$A$5001,"&lt;="&amp;$B155,BD!$X$3:$X$5001,"&lt;&gt;")=0,"",SUMIFS(BD!$X$3:$X$5001,BD!$B$3:$B$5001,R$140,BD!$A$3:$A$5001,_xlfn.MAXIFS(BD!$A$3:$A$5001,BD!$B$3:$B$5001,R$140,BD!$A$3:$A$5001,"&gt;="&amp;$C$7,BD!$A$3:$A$5001,"&lt;="&amp;$B155,BD!$X$3:$X$5001,"&lt;&gt;"))))</f>
        <v/>
      </c>
      <c r="S155" s="43" t="str">
        <f>IF(OR($B155="",$A155&gt;$B$9,S$140=""),"",IF(COUNTIFS(BD!$B$3:$B$5001,S$140,BD!$A$3:$A$5001,"&gt;="&amp;$C$7,BD!$A$3:$A$5001,"&lt;="&amp;$B155,BD!$X$3:$X$5001,"&lt;&gt;")=0,"",SUMIFS(BD!$X$3:$X$5001,BD!$B$3:$B$5001,S$140,BD!$A$3:$A$5001,_xlfn.MAXIFS(BD!$A$3:$A$5001,BD!$B$3:$B$5001,S$140,BD!$A$3:$A$5001,"&gt;="&amp;$C$7,BD!$A$3:$A$5001,"&lt;="&amp;$B155,BD!$X$3:$X$5001,"&lt;&gt;"))))</f>
        <v/>
      </c>
      <c r="T155" s="43" t="str">
        <f>IF(OR($B155="",$A155&gt;$B$9,T$140=""),"",IF(COUNTIFS(BD!$B$3:$B$5001,T$140,BD!$A$3:$A$5001,"&gt;="&amp;$C$7,BD!$A$3:$A$5001,"&lt;="&amp;$B155,BD!$X$3:$X$5001,"&lt;&gt;")=0,"",SUMIFS(BD!$X$3:$X$5001,BD!$B$3:$B$5001,T$140,BD!$A$3:$A$5001,_xlfn.MAXIFS(BD!$A$3:$A$5001,BD!$B$3:$B$5001,T$140,BD!$A$3:$A$5001,"&gt;="&amp;$C$7,BD!$A$3:$A$5001,"&lt;="&amp;$B155,BD!$X$3:$X$5001,"&lt;&gt;"))))</f>
        <v/>
      </c>
      <c r="U155" s="43" t="str">
        <f>IF(OR($B155="",$A155&gt;$B$9,U$140=""),"",IF(COUNTIFS(BD!$B$3:$B$5001,U$140,BD!$A$3:$A$5001,"&gt;="&amp;$C$7,BD!$A$3:$A$5001,"&lt;="&amp;$B155,BD!$X$3:$X$5001,"&lt;&gt;")=0,"",SUMIFS(BD!$X$3:$X$5001,BD!$B$3:$B$5001,U$140,BD!$A$3:$A$5001,_xlfn.MAXIFS(BD!$A$3:$A$5001,BD!$B$3:$B$5001,U$140,BD!$A$3:$A$5001,"&gt;="&amp;$C$7,BD!$A$3:$A$5001,"&lt;="&amp;$B155,BD!$X$3:$X$5001,"&lt;&gt;"))))</f>
        <v/>
      </c>
      <c r="V155" s="43" t="str">
        <f>IF(OR($B155="",$A155&gt;$B$9,V$140=""),"",IF(COUNTIFS(BD!$B$3:$B$5001,V$140,BD!$A$3:$A$5001,"&gt;="&amp;$C$7,BD!$A$3:$A$5001,"&lt;="&amp;$B155,BD!$X$3:$X$5001,"&lt;&gt;")=0,"",SUMIFS(BD!$X$3:$X$5001,BD!$B$3:$B$5001,V$140,BD!$A$3:$A$5001,_xlfn.MAXIFS(BD!$A$3:$A$5001,BD!$B$3:$B$5001,V$140,BD!$A$3:$A$5001,"&gt;="&amp;$C$7,BD!$A$3:$A$5001,"&lt;="&amp;$B155,BD!$X$3:$X$5001,"&lt;&gt;"))))</f>
        <v/>
      </c>
    </row>
    <row r="156">
      <c r="A156" s="38">
        <v>16</v>
      </c>
      <c r="B156" s="42">
        <f>$B$27</f>
        <v>46311</v>
      </c>
      <c r="C156" s="43" t="str">
        <f>IF(OR($B156="",$A156&gt;$B$9,C$140=""),"",IF(COUNTIFS(BD!$B$3:$B$5001,C$140,BD!$A$3:$A$5001,"&gt;="&amp;$C$7,BD!$A$3:$A$5001,"&lt;="&amp;$B156,BD!$X$3:$X$5001,"&lt;&gt;")=0,"",SUMIFS(BD!$X$3:$X$5001,BD!$B$3:$B$5001,C$140,BD!$A$3:$A$5001,_xlfn.MAXIFS(BD!$A$3:$A$5001,BD!$B$3:$B$5001,C$140,BD!$A$3:$A$5001,"&gt;="&amp;$C$7,BD!$A$3:$A$5001,"&lt;="&amp;$B156,BD!$X$3:$X$5001,"&lt;&gt;"))))</f>
        <v/>
      </c>
      <c r="D156" s="43" t="str">
        <f>IF(OR($B156="",$A156&gt;$B$9,D$140=""),"",IF(COUNTIFS(BD!$B$3:$B$5001,D$140,BD!$A$3:$A$5001,"&gt;="&amp;$C$7,BD!$A$3:$A$5001,"&lt;="&amp;$B156,BD!$X$3:$X$5001,"&lt;&gt;")=0,"",SUMIFS(BD!$X$3:$X$5001,BD!$B$3:$B$5001,D$140,BD!$A$3:$A$5001,_xlfn.MAXIFS(BD!$A$3:$A$5001,BD!$B$3:$B$5001,D$140,BD!$A$3:$A$5001,"&gt;="&amp;$C$7,BD!$A$3:$A$5001,"&lt;="&amp;$B156,BD!$X$3:$X$5001,"&lt;&gt;"))))</f>
        <v/>
      </c>
      <c r="E156" s="43" t="str">
        <f>IF(OR($B156="",$A156&gt;$B$9,E$140=""),"",IF(COUNTIFS(BD!$B$3:$B$5001,E$140,BD!$A$3:$A$5001,"&gt;="&amp;$C$7,BD!$A$3:$A$5001,"&lt;="&amp;$B156,BD!$X$3:$X$5001,"&lt;&gt;")=0,"",SUMIFS(BD!$X$3:$X$5001,BD!$B$3:$B$5001,E$140,BD!$A$3:$A$5001,_xlfn.MAXIFS(BD!$A$3:$A$5001,BD!$B$3:$B$5001,E$140,BD!$A$3:$A$5001,"&gt;="&amp;$C$7,BD!$A$3:$A$5001,"&lt;="&amp;$B156,BD!$X$3:$X$5001,"&lt;&gt;"))))</f>
        <v/>
      </c>
      <c r="F156" s="43" t="str">
        <f>IF(OR($B156="",$A156&gt;$B$9,F$140=""),"",IF(COUNTIFS(BD!$B$3:$B$5001,F$140,BD!$A$3:$A$5001,"&gt;="&amp;$C$7,BD!$A$3:$A$5001,"&lt;="&amp;$B156,BD!$X$3:$X$5001,"&lt;&gt;")=0,"",SUMIFS(BD!$X$3:$X$5001,BD!$B$3:$B$5001,F$140,BD!$A$3:$A$5001,_xlfn.MAXIFS(BD!$A$3:$A$5001,BD!$B$3:$B$5001,F$140,BD!$A$3:$A$5001,"&gt;="&amp;$C$7,BD!$A$3:$A$5001,"&lt;="&amp;$B156,BD!$X$3:$X$5001,"&lt;&gt;"))))</f>
        <v/>
      </c>
      <c r="G156" s="43" t="str">
        <f>IF(OR($B156="",$A156&gt;$B$9,G$140=""),"",IF(COUNTIFS(BD!$B$3:$B$5001,G$140,BD!$A$3:$A$5001,"&gt;="&amp;$C$7,BD!$A$3:$A$5001,"&lt;="&amp;$B156,BD!$X$3:$X$5001,"&lt;&gt;")=0,"",SUMIFS(BD!$X$3:$X$5001,BD!$B$3:$B$5001,G$140,BD!$A$3:$A$5001,_xlfn.MAXIFS(BD!$A$3:$A$5001,BD!$B$3:$B$5001,G$140,BD!$A$3:$A$5001,"&gt;="&amp;$C$7,BD!$A$3:$A$5001,"&lt;="&amp;$B156,BD!$X$3:$X$5001,"&lt;&gt;"))))</f>
        <v/>
      </c>
      <c r="H156" s="43" t="str">
        <f>IF(OR($B156="",$A156&gt;$B$9,H$140=""),"",IF(COUNTIFS(BD!$B$3:$B$5001,H$140,BD!$A$3:$A$5001,"&gt;="&amp;$C$7,BD!$A$3:$A$5001,"&lt;="&amp;$B156,BD!$X$3:$X$5001,"&lt;&gt;")=0,"",SUMIFS(BD!$X$3:$X$5001,BD!$B$3:$B$5001,H$140,BD!$A$3:$A$5001,_xlfn.MAXIFS(BD!$A$3:$A$5001,BD!$B$3:$B$5001,H$140,BD!$A$3:$A$5001,"&gt;="&amp;$C$7,BD!$A$3:$A$5001,"&lt;="&amp;$B156,BD!$X$3:$X$5001,"&lt;&gt;"))))</f>
        <v/>
      </c>
      <c r="I156" s="43" t="str">
        <f>IF(OR($B156="",$A156&gt;$B$9,I$140=""),"",IF(COUNTIFS(BD!$B$3:$B$5001,I$140,BD!$A$3:$A$5001,"&gt;="&amp;$C$7,BD!$A$3:$A$5001,"&lt;="&amp;$B156,BD!$X$3:$X$5001,"&lt;&gt;")=0,"",SUMIFS(BD!$X$3:$X$5001,BD!$B$3:$B$5001,I$140,BD!$A$3:$A$5001,_xlfn.MAXIFS(BD!$A$3:$A$5001,BD!$B$3:$B$5001,I$140,BD!$A$3:$A$5001,"&gt;="&amp;$C$7,BD!$A$3:$A$5001,"&lt;="&amp;$B156,BD!$X$3:$X$5001,"&lt;&gt;"))))</f>
        <v/>
      </c>
      <c r="J156" s="43" t="str">
        <f>IF(OR($B156="",$A156&gt;$B$9,J$140=""),"",IF(COUNTIFS(BD!$B$3:$B$5001,J$140,BD!$A$3:$A$5001,"&gt;="&amp;$C$7,BD!$A$3:$A$5001,"&lt;="&amp;$B156,BD!$X$3:$X$5001,"&lt;&gt;")=0,"",SUMIFS(BD!$X$3:$X$5001,BD!$B$3:$B$5001,J$140,BD!$A$3:$A$5001,_xlfn.MAXIFS(BD!$A$3:$A$5001,BD!$B$3:$B$5001,J$140,BD!$A$3:$A$5001,"&gt;="&amp;$C$7,BD!$A$3:$A$5001,"&lt;="&amp;$B156,BD!$X$3:$X$5001,"&lt;&gt;"))))</f>
        <v/>
      </c>
      <c r="K156" s="43" t="str">
        <f>IF(OR($B156="",$A156&gt;$B$9,K$140=""),"",IF(COUNTIFS(BD!$B$3:$B$5001,K$140,BD!$A$3:$A$5001,"&gt;="&amp;$C$7,BD!$A$3:$A$5001,"&lt;="&amp;$B156,BD!$X$3:$X$5001,"&lt;&gt;")=0,"",SUMIFS(BD!$X$3:$X$5001,BD!$B$3:$B$5001,K$140,BD!$A$3:$A$5001,_xlfn.MAXIFS(BD!$A$3:$A$5001,BD!$B$3:$B$5001,K$140,BD!$A$3:$A$5001,"&gt;="&amp;$C$7,BD!$A$3:$A$5001,"&lt;="&amp;$B156,BD!$X$3:$X$5001,"&lt;&gt;"))))</f>
        <v/>
      </c>
      <c r="L156" s="43" t="str">
        <f>IF(OR($B156="",$A156&gt;$B$9,L$140=""),"",IF(COUNTIFS(BD!$B$3:$B$5001,L$140,BD!$A$3:$A$5001,"&gt;="&amp;$C$7,BD!$A$3:$A$5001,"&lt;="&amp;$B156,BD!$X$3:$X$5001,"&lt;&gt;")=0,"",SUMIFS(BD!$X$3:$X$5001,BD!$B$3:$B$5001,L$140,BD!$A$3:$A$5001,_xlfn.MAXIFS(BD!$A$3:$A$5001,BD!$B$3:$B$5001,L$140,BD!$A$3:$A$5001,"&gt;="&amp;$C$7,BD!$A$3:$A$5001,"&lt;="&amp;$B156,BD!$X$3:$X$5001,"&lt;&gt;"))))</f>
        <v/>
      </c>
      <c r="M156" s="43" t="str">
        <f>IF(OR($B156="",$A156&gt;$B$9,M$140=""),"",IF(COUNTIFS(BD!$B$3:$B$5001,M$140,BD!$A$3:$A$5001,"&gt;="&amp;$C$7,BD!$A$3:$A$5001,"&lt;="&amp;$B156,BD!$X$3:$X$5001,"&lt;&gt;")=0,"",SUMIFS(BD!$X$3:$X$5001,BD!$B$3:$B$5001,M$140,BD!$A$3:$A$5001,_xlfn.MAXIFS(BD!$A$3:$A$5001,BD!$B$3:$B$5001,M$140,BD!$A$3:$A$5001,"&gt;="&amp;$C$7,BD!$A$3:$A$5001,"&lt;="&amp;$B156,BD!$X$3:$X$5001,"&lt;&gt;"))))</f>
        <v/>
      </c>
      <c r="N156" s="43" t="str">
        <f>IF(OR($B156="",$A156&gt;$B$9,N$140=""),"",IF(COUNTIFS(BD!$B$3:$B$5001,N$140,BD!$A$3:$A$5001,"&gt;="&amp;$C$7,BD!$A$3:$A$5001,"&lt;="&amp;$B156,BD!$X$3:$X$5001,"&lt;&gt;")=0,"",SUMIFS(BD!$X$3:$X$5001,BD!$B$3:$B$5001,N$140,BD!$A$3:$A$5001,_xlfn.MAXIFS(BD!$A$3:$A$5001,BD!$B$3:$B$5001,N$140,BD!$A$3:$A$5001,"&gt;="&amp;$C$7,BD!$A$3:$A$5001,"&lt;="&amp;$B156,BD!$X$3:$X$5001,"&lt;&gt;"))))</f>
        <v/>
      </c>
      <c r="O156" s="43" t="str">
        <f>IF(OR($B156="",$A156&gt;$B$9,O$140=""),"",IF(COUNTIFS(BD!$B$3:$B$5001,O$140,BD!$A$3:$A$5001,"&gt;="&amp;$C$7,BD!$A$3:$A$5001,"&lt;="&amp;$B156,BD!$X$3:$X$5001,"&lt;&gt;")=0,"",SUMIFS(BD!$X$3:$X$5001,BD!$B$3:$B$5001,O$140,BD!$A$3:$A$5001,_xlfn.MAXIFS(BD!$A$3:$A$5001,BD!$B$3:$B$5001,O$140,BD!$A$3:$A$5001,"&gt;="&amp;$C$7,BD!$A$3:$A$5001,"&lt;="&amp;$B156,BD!$X$3:$X$5001,"&lt;&gt;"))))</f>
        <v/>
      </c>
      <c r="P156" s="43" t="str">
        <f>IF(OR($B156="",$A156&gt;$B$9,P$140=""),"",IF(COUNTIFS(BD!$B$3:$B$5001,P$140,BD!$A$3:$A$5001,"&gt;="&amp;$C$7,BD!$A$3:$A$5001,"&lt;="&amp;$B156,BD!$X$3:$X$5001,"&lt;&gt;")=0,"",SUMIFS(BD!$X$3:$X$5001,BD!$B$3:$B$5001,P$140,BD!$A$3:$A$5001,_xlfn.MAXIFS(BD!$A$3:$A$5001,BD!$B$3:$B$5001,P$140,BD!$A$3:$A$5001,"&gt;="&amp;$C$7,BD!$A$3:$A$5001,"&lt;="&amp;$B156,BD!$X$3:$X$5001,"&lt;&gt;"))))</f>
        <v/>
      </c>
      <c r="Q156" s="43" t="str">
        <f>IF(OR($B156="",$A156&gt;$B$9,Q$140=""),"",IF(COUNTIFS(BD!$B$3:$B$5001,Q$140,BD!$A$3:$A$5001,"&gt;="&amp;$C$7,BD!$A$3:$A$5001,"&lt;="&amp;$B156,BD!$X$3:$X$5001,"&lt;&gt;")=0,"",SUMIFS(BD!$X$3:$X$5001,BD!$B$3:$B$5001,Q$140,BD!$A$3:$A$5001,_xlfn.MAXIFS(BD!$A$3:$A$5001,BD!$B$3:$B$5001,Q$140,BD!$A$3:$A$5001,"&gt;="&amp;$C$7,BD!$A$3:$A$5001,"&lt;="&amp;$B156,BD!$X$3:$X$5001,"&lt;&gt;"))))</f>
        <v/>
      </c>
      <c r="R156" s="43" t="str">
        <f>IF(OR($B156="",$A156&gt;$B$9,R$140=""),"",IF(COUNTIFS(BD!$B$3:$B$5001,R$140,BD!$A$3:$A$5001,"&gt;="&amp;$C$7,BD!$A$3:$A$5001,"&lt;="&amp;$B156,BD!$X$3:$X$5001,"&lt;&gt;")=0,"",SUMIFS(BD!$X$3:$X$5001,BD!$B$3:$B$5001,R$140,BD!$A$3:$A$5001,_xlfn.MAXIFS(BD!$A$3:$A$5001,BD!$B$3:$B$5001,R$140,BD!$A$3:$A$5001,"&gt;="&amp;$C$7,BD!$A$3:$A$5001,"&lt;="&amp;$B156,BD!$X$3:$X$5001,"&lt;&gt;"))))</f>
        <v/>
      </c>
      <c r="S156" s="43" t="str">
        <f>IF(OR($B156="",$A156&gt;$B$9,S$140=""),"",IF(COUNTIFS(BD!$B$3:$B$5001,S$140,BD!$A$3:$A$5001,"&gt;="&amp;$C$7,BD!$A$3:$A$5001,"&lt;="&amp;$B156,BD!$X$3:$X$5001,"&lt;&gt;")=0,"",SUMIFS(BD!$X$3:$X$5001,BD!$B$3:$B$5001,S$140,BD!$A$3:$A$5001,_xlfn.MAXIFS(BD!$A$3:$A$5001,BD!$B$3:$B$5001,S$140,BD!$A$3:$A$5001,"&gt;="&amp;$C$7,BD!$A$3:$A$5001,"&lt;="&amp;$B156,BD!$X$3:$X$5001,"&lt;&gt;"))))</f>
        <v/>
      </c>
      <c r="T156" s="43" t="str">
        <f>IF(OR($B156="",$A156&gt;$B$9,T$140=""),"",IF(COUNTIFS(BD!$B$3:$B$5001,T$140,BD!$A$3:$A$5001,"&gt;="&amp;$C$7,BD!$A$3:$A$5001,"&lt;="&amp;$B156,BD!$X$3:$X$5001,"&lt;&gt;")=0,"",SUMIFS(BD!$X$3:$X$5001,BD!$B$3:$B$5001,T$140,BD!$A$3:$A$5001,_xlfn.MAXIFS(BD!$A$3:$A$5001,BD!$B$3:$B$5001,T$140,BD!$A$3:$A$5001,"&gt;="&amp;$C$7,BD!$A$3:$A$5001,"&lt;="&amp;$B156,BD!$X$3:$X$5001,"&lt;&gt;"))))</f>
        <v/>
      </c>
      <c r="U156" s="43" t="str">
        <f>IF(OR($B156="",$A156&gt;$B$9,U$140=""),"",IF(COUNTIFS(BD!$B$3:$B$5001,U$140,BD!$A$3:$A$5001,"&gt;="&amp;$C$7,BD!$A$3:$A$5001,"&lt;="&amp;$B156,BD!$X$3:$X$5001,"&lt;&gt;")=0,"",SUMIFS(BD!$X$3:$X$5001,BD!$B$3:$B$5001,U$140,BD!$A$3:$A$5001,_xlfn.MAXIFS(BD!$A$3:$A$5001,BD!$B$3:$B$5001,U$140,BD!$A$3:$A$5001,"&gt;="&amp;$C$7,BD!$A$3:$A$5001,"&lt;="&amp;$B156,BD!$X$3:$X$5001,"&lt;&gt;"))))</f>
        <v/>
      </c>
      <c r="V156" s="43" t="str">
        <f>IF(OR($B156="",$A156&gt;$B$9,V$140=""),"",IF(COUNTIFS(BD!$B$3:$B$5001,V$140,BD!$A$3:$A$5001,"&gt;="&amp;$C$7,BD!$A$3:$A$5001,"&lt;="&amp;$B156,BD!$X$3:$X$5001,"&lt;&gt;")=0,"",SUMIFS(BD!$X$3:$X$5001,BD!$B$3:$B$5001,V$140,BD!$A$3:$A$5001,_xlfn.MAXIFS(BD!$A$3:$A$5001,BD!$B$3:$B$5001,V$140,BD!$A$3:$A$5001,"&gt;="&amp;$C$7,BD!$A$3:$A$5001,"&lt;="&amp;$B156,BD!$X$3:$X$5001,"&lt;&gt;"))))</f>
        <v/>
      </c>
    </row>
    <row r="157">
      <c r="A157" s="38">
        <v>17</v>
      </c>
      <c r="B157" s="42">
        <f>$B$28</f>
        <v>46312</v>
      </c>
      <c r="C157" s="43" t="str">
        <f>IF(OR($B157="",$A157&gt;$B$9,C$140=""),"",IF(COUNTIFS(BD!$B$3:$B$5001,C$140,BD!$A$3:$A$5001,"&gt;="&amp;$C$7,BD!$A$3:$A$5001,"&lt;="&amp;$B157,BD!$X$3:$X$5001,"&lt;&gt;")=0,"",SUMIFS(BD!$X$3:$X$5001,BD!$B$3:$B$5001,C$140,BD!$A$3:$A$5001,_xlfn.MAXIFS(BD!$A$3:$A$5001,BD!$B$3:$B$5001,C$140,BD!$A$3:$A$5001,"&gt;="&amp;$C$7,BD!$A$3:$A$5001,"&lt;="&amp;$B157,BD!$X$3:$X$5001,"&lt;&gt;"))))</f>
        <v/>
      </c>
      <c r="D157" s="43" t="str">
        <f>IF(OR($B157="",$A157&gt;$B$9,D$140=""),"",IF(COUNTIFS(BD!$B$3:$B$5001,D$140,BD!$A$3:$A$5001,"&gt;="&amp;$C$7,BD!$A$3:$A$5001,"&lt;="&amp;$B157,BD!$X$3:$X$5001,"&lt;&gt;")=0,"",SUMIFS(BD!$X$3:$X$5001,BD!$B$3:$B$5001,D$140,BD!$A$3:$A$5001,_xlfn.MAXIFS(BD!$A$3:$A$5001,BD!$B$3:$B$5001,D$140,BD!$A$3:$A$5001,"&gt;="&amp;$C$7,BD!$A$3:$A$5001,"&lt;="&amp;$B157,BD!$X$3:$X$5001,"&lt;&gt;"))))</f>
        <v/>
      </c>
      <c r="E157" s="43" t="str">
        <f>IF(OR($B157="",$A157&gt;$B$9,E$140=""),"",IF(COUNTIFS(BD!$B$3:$B$5001,E$140,BD!$A$3:$A$5001,"&gt;="&amp;$C$7,BD!$A$3:$A$5001,"&lt;="&amp;$B157,BD!$X$3:$X$5001,"&lt;&gt;")=0,"",SUMIFS(BD!$X$3:$X$5001,BD!$B$3:$B$5001,E$140,BD!$A$3:$A$5001,_xlfn.MAXIFS(BD!$A$3:$A$5001,BD!$B$3:$B$5001,E$140,BD!$A$3:$A$5001,"&gt;="&amp;$C$7,BD!$A$3:$A$5001,"&lt;="&amp;$B157,BD!$X$3:$X$5001,"&lt;&gt;"))))</f>
        <v/>
      </c>
      <c r="F157" s="43" t="str">
        <f>IF(OR($B157="",$A157&gt;$B$9,F$140=""),"",IF(COUNTIFS(BD!$B$3:$B$5001,F$140,BD!$A$3:$A$5001,"&gt;="&amp;$C$7,BD!$A$3:$A$5001,"&lt;="&amp;$B157,BD!$X$3:$X$5001,"&lt;&gt;")=0,"",SUMIFS(BD!$X$3:$X$5001,BD!$B$3:$B$5001,F$140,BD!$A$3:$A$5001,_xlfn.MAXIFS(BD!$A$3:$A$5001,BD!$B$3:$B$5001,F$140,BD!$A$3:$A$5001,"&gt;="&amp;$C$7,BD!$A$3:$A$5001,"&lt;="&amp;$B157,BD!$X$3:$X$5001,"&lt;&gt;"))))</f>
        <v/>
      </c>
      <c r="G157" s="43" t="str">
        <f>IF(OR($B157="",$A157&gt;$B$9,G$140=""),"",IF(COUNTIFS(BD!$B$3:$B$5001,G$140,BD!$A$3:$A$5001,"&gt;="&amp;$C$7,BD!$A$3:$A$5001,"&lt;="&amp;$B157,BD!$X$3:$X$5001,"&lt;&gt;")=0,"",SUMIFS(BD!$X$3:$X$5001,BD!$B$3:$B$5001,G$140,BD!$A$3:$A$5001,_xlfn.MAXIFS(BD!$A$3:$A$5001,BD!$B$3:$B$5001,G$140,BD!$A$3:$A$5001,"&gt;="&amp;$C$7,BD!$A$3:$A$5001,"&lt;="&amp;$B157,BD!$X$3:$X$5001,"&lt;&gt;"))))</f>
        <v/>
      </c>
      <c r="H157" s="43" t="str">
        <f>IF(OR($B157="",$A157&gt;$B$9,H$140=""),"",IF(COUNTIFS(BD!$B$3:$B$5001,H$140,BD!$A$3:$A$5001,"&gt;="&amp;$C$7,BD!$A$3:$A$5001,"&lt;="&amp;$B157,BD!$X$3:$X$5001,"&lt;&gt;")=0,"",SUMIFS(BD!$X$3:$X$5001,BD!$B$3:$B$5001,H$140,BD!$A$3:$A$5001,_xlfn.MAXIFS(BD!$A$3:$A$5001,BD!$B$3:$B$5001,H$140,BD!$A$3:$A$5001,"&gt;="&amp;$C$7,BD!$A$3:$A$5001,"&lt;="&amp;$B157,BD!$X$3:$X$5001,"&lt;&gt;"))))</f>
        <v/>
      </c>
      <c r="I157" s="43" t="str">
        <f>IF(OR($B157="",$A157&gt;$B$9,I$140=""),"",IF(COUNTIFS(BD!$B$3:$B$5001,I$140,BD!$A$3:$A$5001,"&gt;="&amp;$C$7,BD!$A$3:$A$5001,"&lt;="&amp;$B157,BD!$X$3:$X$5001,"&lt;&gt;")=0,"",SUMIFS(BD!$X$3:$X$5001,BD!$B$3:$B$5001,I$140,BD!$A$3:$A$5001,_xlfn.MAXIFS(BD!$A$3:$A$5001,BD!$B$3:$B$5001,I$140,BD!$A$3:$A$5001,"&gt;="&amp;$C$7,BD!$A$3:$A$5001,"&lt;="&amp;$B157,BD!$X$3:$X$5001,"&lt;&gt;"))))</f>
        <v/>
      </c>
      <c r="J157" s="43" t="str">
        <f>IF(OR($B157="",$A157&gt;$B$9,J$140=""),"",IF(COUNTIFS(BD!$B$3:$B$5001,J$140,BD!$A$3:$A$5001,"&gt;="&amp;$C$7,BD!$A$3:$A$5001,"&lt;="&amp;$B157,BD!$X$3:$X$5001,"&lt;&gt;")=0,"",SUMIFS(BD!$X$3:$X$5001,BD!$B$3:$B$5001,J$140,BD!$A$3:$A$5001,_xlfn.MAXIFS(BD!$A$3:$A$5001,BD!$B$3:$B$5001,J$140,BD!$A$3:$A$5001,"&gt;="&amp;$C$7,BD!$A$3:$A$5001,"&lt;="&amp;$B157,BD!$X$3:$X$5001,"&lt;&gt;"))))</f>
        <v/>
      </c>
      <c r="K157" s="43" t="str">
        <f>IF(OR($B157="",$A157&gt;$B$9,K$140=""),"",IF(COUNTIFS(BD!$B$3:$B$5001,K$140,BD!$A$3:$A$5001,"&gt;="&amp;$C$7,BD!$A$3:$A$5001,"&lt;="&amp;$B157,BD!$X$3:$X$5001,"&lt;&gt;")=0,"",SUMIFS(BD!$X$3:$X$5001,BD!$B$3:$B$5001,K$140,BD!$A$3:$A$5001,_xlfn.MAXIFS(BD!$A$3:$A$5001,BD!$B$3:$B$5001,K$140,BD!$A$3:$A$5001,"&gt;="&amp;$C$7,BD!$A$3:$A$5001,"&lt;="&amp;$B157,BD!$X$3:$X$5001,"&lt;&gt;"))))</f>
        <v/>
      </c>
      <c r="L157" s="43" t="str">
        <f>IF(OR($B157="",$A157&gt;$B$9,L$140=""),"",IF(COUNTIFS(BD!$B$3:$B$5001,L$140,BD!$A$3:$A$5001,"&gt;="&amp;$C$7,BD!$A$3:$A$5001,"&lt;="&amp;$B157,BD!$X$3:$X$5001,"&lt;&gt;")=0,"",SUMIFS(BD!$X$3:$X$5001,BD!$B$3:$B$5001,L$140,BD!$A$3:$A$5001,_xlfn.MAXIFS(BD!$A$3:$A$5001,BD!$B$3:$B$5001,L$140,BD!$A$3:$A$5001,"&gt;="&amp;$C$7,BD!$A$3:$A$5001,"&lt;="&amp;$B157,BD!$X$3:$X$5001,"&lt;&gt;"))))</f>
        <v/>
      </c>
      <c r="M157" s="43" t="str">
        <f>IF(OR($B157="",$A157&gt;$B$9,M$140=""),"",IF(COUNTIFS(BD!$B$3:$B$5001,M$140,BD!$A$3:$A$5001,"&gt;="&amp;$C$7,BD!$A$3:$A$5001,"&lt;="&amp;$B157,BD!$X$3:$X$5001,"&lt;&gt;")=0,"",SUMIFS(BD!$X$3:$X$5001,BD!$B$3:$B$5001,M$140,BD!$A$3:$A$5001,_xlfn.MAXIFS(BD!$A$3:$A$5001,BD!$B$3:$B$5001,M$140,BD!$A$3:$A$5001,"&gt;="&amp;$C$7,BD!$A$3:$A$5001,"&lt;="&amp;$B157,BD!$X$3:$X$5001,"&lt;&gt;"))))</f>
        <v/>
      </c>
      <c r="N157" s="43" t="str">
        <f>IF(OR($B157="",$A157&gt;$B$9,N$140=""),"",IF(COUNTIFS(BD!$B$3:$B$5001,N$140,BD!$A$3:$A$5001,"&gt;="&amp;$C$7,BD!$A$3:$A$5001,"&lt;="&amp;$B157,BD!$X$3:$X$5001,"&lt;&gt;")=0,"",SUMIFS(BD!$X$3:$X$5001,BD!$B$3:$B$5001,N$140,BD!$A$3:$A$5001,_xlfn.MAXIFS(BD!$A$3:$A$5001,BD!$B$3:$B$5001,N$140,BD!$A$3:$A$5001,"&gt;="&amp;$C$7,BD!$A$3:$A$5001,"&lt;="&amp;$B157,BD!$X$3:$X$5001,"&lt;&gt;"))))</f>
        <v/>
      </c>
      <c r="O157" s="43" t="str">
        <f>IF(OR($B157="",$A157&gt;$B$9,O$140=""),"",IF(COUNTIFS(BD!$B$3:$B$5001,O$140,BD!$A$3:$A$5001,"&gt;="&amp;$C$7,BD!$A$3:$A$5001,"&lt;="&amp;$B157,BD!$X$3:$X$5001,"&lt;&gt;")=0,"",SUMIFS(BD!$X$3:$X$5001,BD!$B$3:$B$5001,O$140,BD!$A$3:$A$5001,_xlfn.MAXIFS(BD!$A$3:$A$5001,BD!$B$3:$B$5001,O$140,BD!$A$3:$A$5001,"&gt;="&amp;$C$7,BD!$A$3:$A$5001,"&lt;="&amp;$B157,BD!$X$3:$X$5001,"&lt;&gt;"))))</f>
        <v/>
      </c>
      <c r="P157" s="43" t="str">
        <f>IF(OR($B157="",$A157&gt;$B$9,P$140=""),"",IF(COUNTIFS(BD!$B$3:$B$5001,P$140,BD!$A$3:$A$5001,"&gt;="&amp;$C$7,BD!$A$3:$A$5001,"&lt;="&amp;$B157,BD!$X$3:$X$5001,"&lt;&gt;")=0,"",SUMIFS(BD!$X$3:$X$5001,BD!$B$3:$B$5001,P$140,BD!$A$3:$A$5001,_xlfn.MAXIFS(BD!$A$3:$A$5001,BD!$B$3:$B$5001,P$140,BD!$A$3:$A$5001,"&gt;="&amp;$C$7,BD!$A$3:$A$5001,"&lt;="&amp;$B157,BD!$X$3:$X$5001,"&lt;&gt;"))))</f>
        <v/>
      </c>
      <c r="Q157" s="43" t="str">
        <f>IF(OR($B157="",$A157&gt;$B$9,Q$140=""),"",IF(COUNTIFS(BD!$B$3:$B$5001,Q$140,BD!$A$3:$A$5001,"&gt;="&amp;$C$7,BD!$A$3:$A$5001,"&lt;="&amp;$B157,BD!$X$3:$X$5001,"&lt;&gt;")=0,"",SUMIFS(BD!$X$3:$X$5001,BD!$B$3:$B$5001,Q$140,BD!$A$3:$A$5001,_xlfn.MAXIFS(BD!$A$3:$A$5001,BD!$B$3:$B$5001,Q$140,BD!$A$3:$A$5001,"&gt;="&amp;$C$7,BD!$A$3:$A$5001,"&lt;="&amp;$B157,BD!$X$3:$X$5001,"&lt;&gt;"))))</f>
        <v/>
      </c>
      <c r="R157" s="43" t="str">
        <f>IF(OR($B157="",$A157&gt;$B$9,R$140=""),"",IF(COUNTIFS(BD!$B$3:$B$5001,R$140,BD!$A$3:$A$5001,"&gt;="&amp;$C$7,BD!$A$3:$A$5001,"&lt;="&amp;$B157,BD!$X$3:$X$5001,"&lt;&gt;")=0,"",SUMIFS(BD!$X$3:$X$5001,BD!$B$3:$B$5001,R$140,BD!$A$3:$A$5001,_xlfn.MAXIFS(BD!$A$3:$A$5001,BD!$B$3:$B$5001,R$140,BD!$A$3:$A$5001,"&gt;="&amp;$C$7,BD!$A$3:$A$5001,"&lt;="&amp;$B157,BD!$X$3:$X$5001,"&lt;&gt;"))))</f>
        <v/>
      </c>
      <c r="S157" s="43" t="str">
        <f>IF(OR($B157="",$A157&gt;$B$9,S$140=""),"",IF(COUNTIFS(BD!$B$3:$B$5001,S$140,BD!$A$3:$A$5001,"&gt;="&amp;$C$7,BD!$A$3:$A$5001,"&lt;="&amp;$B157,BD!$X$3:$X$5001,"&lt;&gt;")=0,"",SUMIFS(BD!$X$3:$X$5001,BD!$B$3:$B$5001,S$140,BD!$A$3:$A$5001,_xlfn.MAXIFS(BD!$A$3:$A$5001,BD!$B$3:$B$5001,S$140,BD!$A$3:$A$5001,"&gt;="&amp;$C$7,BD!$A$3:$A$5001,"&lt;="&amp;$B157,BD!$X$3:$X$5001,"&lt;&gt;"))))</f>
        <v/>
      </c>
      <c r="T157" s="43" t="str">
        <f>IF(OR($B157="",$A157&gt;$B$9,T$140=""),"",IF(COUNTIFS(BD!$B$3:$B$5001,T$140,BD!$A$3:$A$5001,"&gt;="&amp;$C$7,BD!$A$3:$A$5001,"&lt;="&amp;$B157,BD!$X$3:$X$5001,"&lt;&gt;")=0,"",SUMIFS(BD!$X$3:$X$5001,BD!$B$3:$B$5001,T$140,BD!$A$3:$A$5001,_xlfn.MAXIFS(BD!$A$3:$A$5001,BD!$B$3:$B$5001,T$140,BD!$A$3:$A$5001,"&gt;="&amp;$C$7,BD!$A$3:$A$5001,"&lt;="&amp;$B157,BD!$X$3:$X$5001,"&lt;&gt;"))))</f>
        <v/>
      </c>
      <c r="U157" s="43" t="str">
        <f>IF(OR($B157="",$A157&gt;$B$9,U$140=""),"",IF(COUNTIFS(BD!$B$3:$B$5001,U$140,BD!$A$3:$A$5001,"&gt;="&amp;$C$7,BD!$A$3:$A$5001,"&lt;="&amp;$B157,BD!$X$3:$X$5001,"&lt;&gt;")=0,"",SUMIFS(BD!$X$3:$X$5001,BD!$B$3:$B$5001,U$140,BD!$A$3:$A$5001,_xlfn.MAXIFS(BD!$A$3:$A$5001,BD!$B$3:$B$5001,U$140,BD!$A$3:$A$5001,"&gt;="&amp;$C$7,BD!$A$3:$A$5001,"&lt;="&amp;$B157,BD!$X$3:$X$5001,"&lt;&gt;"))))</f>
        <v/>
      </c>
      <c r="V157" s="43" t="str">
        <f>IF(OR($B157="",$A157&gt;$B$9,V$140=""),"",IF(COUNTIFS(BD!$B$3:$B$5001,V$140,BD!$A$3:$A$5001,"&gt;="&amp;$C$7,BD!$A$3:$A$5001,"&lt;="&amp;$B157,BD!$X$3:$X$5001,"&lt;&gt;")=0,"",SUMIFS(BD!$X$3:$X$5001,BD!$B$3:$B$5001,V$140,BD!$A$3:$A$5001,_xlfn.MAXIFS(BD!$A$3:$A$5001,BD!$B$3:$B$5001,V$140,BD!$A$3:$A$5001,"&gt;="&amp;$C$7,BD!$A$3:$A$5001,"&lt;="&amp;$B157,BD!$X$3:$X$5001,"&lt;&gt;"))))</f>
        <v/>
      </c>
    </row>
    <row r="158">
      <c r="A158" s="38">
        <v>18</v>
      </c>
      <c r="B158" s="42">
        <f>$B$29</f>
        <v>46313</v>
      </c>
      <c r="C158" s="43" t="str">
        <f>IF(OR($B158="",$A158&gt;$B$9,C$140=""),"",IF(COUNTIFS(BD!$B$3:$B$5001,C$140,BD!$A$3:$A$5001,"&gt;="&amp;$C$7,BD!$A$3:$A$5001,"&lt;="&amp;$B158,BD!$X$3:$X$5001,"&lt;&gt;")=0,"",SUMIFS(BD!$X$3:$X$5001,BD!$B$3:$B$5001,C$140,BD!$A$3:$A$5001,_xlfn.MAXIFS(BD!$A$3:$A$5001,BD!$B$3:$B$5001,C$140,BD!$A$3:$A$5001,"&gt;="&amp;$C$7,BD!$A$3:$A$5001,"&lt;="&amp;$B158,BD!$X$3:$X$5001,"&lt;&gt;"))))</f>
        <v/>
      </c>
      <c r="D158" s="43" t="str">
        <f>IF(OR($B158="",$A158&gt;$B$9,D$140=""),"",IF(COUNTIFS(BD!$B$3:$B$5001,D$140,BD!$A$3:$A$5001,"&gt;="&amp;$C$7,BD!$A$3:$A$5001,"&lt;="&amp;$B158,BD!$X$3:$X$5001,"&lt;&gt;")=0,"",SUMIFS(BD!$X$3:$X$5001,BD!$B$3:$B$5001,D$140,BD!$A$3:$A$5001,_xlfn.MAXIFS(BD!$A$3:$A$5001,BD!$B$3:$B$5001,D$140,BD!$A$3:$A$5001,"&gt;="&amp;$C$7,BD!$A$3:$A$5001,"&lt;="&amp;$B158,BD!$X$3:$X$5001,"&lt;&gt;"))))</f>
        <v/>
      </c>
      <c r="E158" s="43" t="str">
        <f>IF(OR($B158="",$A158&gt;$B$9,E$140=""),"",IF(COUNTIFS(BD!$B$3:$B$5001,E$140,BD!$A$3:$A$5001,"&gt;="&amp;$C$7,BD!$A$3:$A$5001,"&lt;="&amp;$B158,BD!$X$3:$X$5001,"&lt;&gt;")=0,"",SUMIFS(BD!$X$3:$X$5001,BD!$B$3:$B$5001,E$140,BD!$A$3:$A$5001,_xlfn.MAXIFS(BD!$A$3:$A$5001,BD!$B$3:$B$5001,E$140,BD!$A$3:$A$5001,"&gt;="&amp;$C$7,BD!$A$3:$A$5001,"&lt;="&amp;$B158,BD!$X$3:$X$5001,"&lt;&gt;"))))</f>
        <v/>
      </c>
      <c r="F158" s="43" t="str">
        <f>IF(OR($B158="",$A158&gt;$B$9,F$140=""),"",IF(COUNTIFS(BD!$B$3:$B$5001,F$140,BD!$A$3:$A$5001,"&gt;="&amp;$C$7,BD!$A$3:$A$5001,"&lt;="&amp;$B158,BD!$X$3:$X$5001,"&lt;&gt;")=0,"",SUMIFS(BD!$X$3:$X$5001,BD!$B$3:$B$5001,F$140,BD!$A$3:$A$5001,_xlfn.MAXIFS(BD!$A$3:$A$5001,BD!$B$3:$B$5001,F$140,BD!$A$3:$A$5001,"&gt;="&amp;$C$7,BD!$A$3:$A$5001,"&lt;="&amp;$B158,BD!$X$3:$X$5001,"&lt;&gt;"))))</f>
        <v/>
      </c>
      <c r="G158" s="43" t="str">
        <f>IF(OR($B158="",$A158&gt;$B$9,G$140=""),"",IF(COUNTIFS(BD!$B$3:$B$5001,G$140,BD!$A$3:$A$5001,"&gt;="&amp;$C$7,BD!$A$3:$A$5001,"&lt;="&amp;$B158,BD!$X$3:$X$5001,"&lt;&gt;")=0,"",SUMIFS(BD!$X$3:$X$5001,BD!$B$3:$B$5001,G$140,BD!$A$3:$A$5001,_xlfn.MAXIFS(BD!$A$3:$A$5001,BD!$B$3:$B$5001,G$140,BD!$A$3:$A$5001,"&gt;="&amp;$C$7,BD!$A$3:$A$5001,"&lt;="&amp;$B158,BD!$X$3:$X$5001,"&lt;&gt;"))))</f>
        <v/>
      </c>
      <c r="H158" s="43" t="str">
        <f>IF(OR($B158="",$A158&gt;$B$9,H$140=""),"",IF(COUNTIFS(BD!$B$3:$B$5001,H$140,BD!$A$3:$A$5001,"&gt;="&amp;$C$7,BD!$A$3:$A$5001,"&lt;="&amp;$B158,BD!$X$3:$X$5001,"&lt;&gt;")=0,"",SUMIFS(BD!$X$3:$X$5001,BD!$B$3:$B$5001,H$140,BD!$A$3:$A$5001,_xlfn.MAXIFS(BD!$A$3:$A$5001,BD!$B$3:$B$5001,H$140,BD!$A$3:$A$5001,"&gt;="&amp;$C$7,BD!$A$3:$A$5001,"&lt;="&amp;$B158,BD!$X$3:$X$5001,"&lt;&gt;"))))</f>
        <v/>
      </c>
      <c r="I158" s="43" t="str">
        <f>IF(OR($B158="",$A158&gt;$B$9,I$140=""),"",IF(COUNTIFS(BD!$B$3:$B$5001,I$140,BD!$A$3:$A$5001,"&gt;="&amp;$C$7,BD!$A$3:$A$5001,"&lt;="&amp;$B158,BD!$X$3:$X$5001,"&lt;&gt;")=0,"",SUMIFS(BD!$X$3:$X$5001,BD!$B$3:$B$5001,I$140,BD!$A$3:$A$5001,_xlfn.MAXIFS(BD!$A$3:$A$5001,BD!$B$3:$B$5001,I$140,BD!$A$3:$A$5001,"&gt;="&amp;$C$7,BD!$A$3:$A$5001,"&lt;="&amp;$B158,BD!$X$3:$X$5001,"&lt;&gt;"))))</f>
        <v/>
      </c>
      <c r="J158" s="43" t="str">
        <f>IF(OR($B158="",$A158&gt;$B$9,J$140=""),"",IF(COUNTIFS(BD!$B$3:$B$5001,J$140,BD!$A$3:$A$5001,"&gt;="&amp;$C$7,BD!$A$3:$A$5001,"&lt;="&amp;$B158,BD!$X$3:$X$5001,"&lt;&gt;")=0,"",SUMIFS(BD!$X$3:$X$5001,BD!$B$3:$B$5001,J$140,BD!$A$3:$A$5001,_xlfn.MAXIFS(BD!$A$3:$A$5001,BD!$B$3:$B$5001,J$140,BD!$A$3:$A$5001,"&gt;="&amp;$C$7,BD!$A$3:$A$5001,"&lt;="&amp;$B158,BD!$X$3:$X$5001,"&lt;&gt;"))))</f>
        <v/>
      </c>
      <c r="K158" s="43" t="str">
        <f>IF(OR($B158="",$A158&gt;$B$9,K$140=""),"",IF(COUNTIFS(BD!$B$3:$B$5001,K$140,BD!$A$3:$A$5001,"&gt;="&amp;$C$7,BD!$A$3:$A$5001,"&lt;="&amp;$B158,BD!$X$3:$X$5001,"&lt;&gt;")=0,"",SUMIFS(BD!$X$3:$X$5001,BD!$B$3:$B$5001,K$140,BD!$A$3:$A$5001,_xlfn.MAXIFS(BD!$A$3:$A$5001,BD!$B$3:$B$5001,K$140,BD!$A$3:$A$5001,"&gt;="&amp;$C$7,BD!$A$3:$A$5001,"&lt;="&amp;$B158,BD!$X$3:$X$5001,"&lt;&gt;"))))</f>
        <v/>
      </c>
      <c r="L158" s="43" t="str">
        <f>IF(OR($B158="",$A158&gt;$B$9,L$140=""),"",IF(COUNTIFS(BD!$B$3:$B$5001,L$140,BD!$A$3:$A$5001,"&gt;="&amp;$C$7,BD!$A$3:$A$5001,"&lt;="&amp;$B158,BD!$X$3:$X$5001,"&lt;&gt;")=0,"",SUMIFS(BD!$X$3:$X$5001,BD!$B$3:$B$5001,L$140,BD!$A$3:$A$5001,_xlfn.MAXIFS(BD!$A$3:$A$5001,BD!$B$3:$B$5001,L$140,BD!$A$3:$A$5001,"&gt;="&amp;$C$7,BD!$A$3:$A$5001,"&lt;="&amp;$B158,BD!$X$3:$X$5001,"&lt;&gt;"))))</f>
        <v/>
      </c>
      <c r="M158" s="43" t="str">
        <f>IF(OR($B158="",$A158&gt;$B$9,M$140=""),"",IF(COUNTIFS(BD!$B$3:$B$5001,M$140,BD!$A$3:$A$5001,"&gt;="&amp;$C$7,BD!$A$3:$A$5001,"&lt;="&amp;$B158,BD!$X$3:$X$5001,"&lt;&gt;")=0,"",SUMIFS(BD!$X$3:$X$5001,BD!$B$3:$B$5001,M$140,BD!$A$3:$A$5001,_xlfn.MAXIFS(BD!$A$3:$A$5001,BD!$B$3:$B$5001,M$140,BD!$A$3:$A$5001,"&gt;="&amp;$C$7,BD!$A$3:$A$5001,"&lt;="&amp;$B158,BD!$X$3:$X$5001,"&lt;&gt;"))))</f>
        <v/>
      </c>
      <c r="N158" s="43" t="str">
        <f>IF(OR($B158="",$A158&gt;$B$9,N$140=""),"",IF(COUNTIFS(BD!$B$3:$B$5001,N$140,BD!$A$3:$A$5001,"&gt;="&amp;$C$7,BD!$A$3:$A$5001,"&lt;="&amp;$B158,BD!$X$3:$X$5001,"&lt;&gt;")=0,"",SUMIFS(BD!$X$3:$X$5001,BD!$B$3:$B$5001,N$140,BD!$A$3:$A$5001,_xlfn.MAXIFS(BD!$A$3:$A$5001,BD!$B$3:$B$5001,N$140,BD!$A$3:$A$5001,"&gt;="&amp;$C$7,BD!$A$3:$A$5001,"&lt;="&amp;$B158,BD!$X$3:$X$5001,"&lt;&gt;"))))</f>
        <v/>
      </c>
      <c r="O158" s="43" t="str">
        <f>IF(OR($B158="",$A158&gt;$B$9,O$140=""),"",IF(COUNTIFS(BD!$B$3:$B$5001,O$140,BD!$A$3:$A$5001,"&gt;="&amp;$C$7,BD!$A$3:$A$5001,"&lt;="&amp;$B158,BD!$X$3:$X$5001,"&lt;&gt;")=0,"",SUMIFS(BD!$X$3:$X$5001,BD!$B$3:$B$5001,O$140,BD!$A$3:$A$5001,_xlfn.MAXIFS(BD!$A$3:$A$5001,BD!$B$3:$B$5001,O$140,BD!$A$3:$A$5001,"&gt;="&amp;$C$7,BD!$A$3:$A$5001,"&lt;="&amp;$B158,BD!$X$3:$X$5001,"&lt;&gt;"))))</f>
        <v/>
      </c>
      <c r="P158" s="43" t="str">
        <f>IF(OR($B158="",$A158&gt;$B$9,P$140=""),"",IF(COUNTIFS(BD!$B$3:$B$5001,P$140,BD!$A$3:$A$5001,"&gt;="&amp;$C$7,BD!$A$3:$A$5001,"&lt;="&amp;$B158,BD!$X$3:$X$5001,"&lt;&gt;")=0,"",SUMIFS(BD!$X$3:$X$5001,BD!$B$3:$B$5001,P$140,BD!$A$3:$A$5001,_xlfn.MAXIFS(BD!$A$3:$A$5001,BD!$B$3:$B$5001,P$140,BD!$A$3:$A$5001,"&gt;="&amp;$C$7,BD!$A$3:$A$5001,"&lt;="&amp;$B158,BD!$X$3:$X$5001,"&lt;&gt;"))))</f>
        <v/>
      </c>
      <c r="Q158" s="43" t="str">
        <f>IF(OR($B158="",$A158&gt;$B$9,Q$140=""),"",IF(COUNTIFS(BD!$B$3:$B$5001,Q$140,BD!$A$3:$A$5001,"&gt;="&amp;$C$7,BD!$A$3:$A$5001,"&lt;="&amp;$B158,BD!$X$3:$X$5001,"&lt;&gt;")=0,"",SUMIFS(BD!$X$3:$X$5001,BD!$B$3:$B$5001,Q$140,BD!$A$3:$A$5001,_xlfn.MAXIFS(BD!$A$3:$A$5001,BD!$B$3:$B$5001,Q$140,BD!$A$3:$A$5001,"&gt;="&amp;$C$7,BD!$A$3:$A$5001,"&lt;="&amp;$B158,BD!$X$3:$X$5001,"&lt;&gt;"))))</f>
        <v/>
      </c>
      <c r="R158" s="43" t="str">
        <f>IF(OR($B158="",$A158&gt;$B$9,R$140=""),"",IF(COUNTIFS(BD!$B$3:$B$5001,R$140,BD!$A$3:$A$5001,"&gt;="&amp;$C$7,BD!$A$3:$A$5001,"&lt;="&amp;$B158,BD!$X$3:$X$5001,"&lt;&gt;")=0,"",SUMIFS(BD!$X$3:$X$5001,BD!$B$3:$B$5001,R$140,BD!$A$3:$A$5001,_xlfn.MAXIFS(BD!$A$3:$A$5001,BD!$B$3:$B$5001,R$140,BD!$A$3:$A$5001,"&gt;="&amp;$C$7,BD!$A$3:$A$5001,"&lt;="&amp;$B158,BD!$X$3:$X$5001,"&lt;&gt;"))))</f>
        <v/>
      </c>
      <c r="S158" s="43" t="str">
        <f>IF(OR($B158="",$A158&gt;$B$9,S$140=""),"",IF(COUNTIFS(BD!$B$3:$B$5001,S$140,BD!$A$3:$A$5001,"&gt;="&amp;$C$7,BD!$A$3:$A$5001,"&lt;="&amp;$B158,BD!$X$3:$X$5001,"&lt;&gt;")=0,"",SUMIFS(BD!$X$3:$X$5001,BD!$B$3:$B$5001,S$140,BD!$A$3:$A$5001,_xlfn.MAXIFS(BD!$A$3:$A$5001,BD!$B$3:$B$5001,S$140,BD!$A$3:$A$5001,"&gt;="&amp;$C$7,BD!$A$3:$A$5001,"&lt;="&amp;$B158,BD!$X$3:$X$5001,"&lt;&gt;"))))</f>
        <v/>
      </c>
      <c r="T158" s="43" t="str">
        <f>IF(OR($B158="",$A158&gt;$B$9,T$140=""),"",IF(COUNTIFS(BD!$B$3:$B$5001,T$140,BD!$A$3:$A$5001,"&gt;="&amp;$C$7,BD!$A$3:$A$5001,"&lt;="&amp;$B158,BD!$X$3:$X$5001,"&lt;&gt;")=0,"",SUMIFS(BD!$X$3:$X$5001,BD!$B$3:$B$5001,T$140,BD!$A$3:$A$5001,_xlfn.MAXIFS(BD!$A$3:$A$5001,BD!$B$3:$B$5001,T$140,BD!$A$3:$A$5001,"&gt;="&amp;$C$7,BD!$A$3:$A$5001,"&lt;="&amp;$B158,BD!$X$3:$X$5001,"&lt;&gt;"))))</f>
        <v/>
      </c>
      <c r="U158" s="43" t="str">
        <f>IF(OR($B158="",$A158&gt;$B$9,U$140=""),"",IF(COUNTIFS(BD!$B$3:$B$5001,U$140,BD!$A$3:$A$5001,"&gt;="&amp;$C$7,BD!$A$3:$A$5001,"&lt;="&amp;$B158,BD!$X$3:$X$5001,"&lt;&gt;")=0,"",SUMIFS(BD!$X$3:$X$5001,BD!$B$3:$B$5001,U$140,BD!$A$3:$A$5001,_xlfn.MAXIFS(BD!$A$3:$A$5001,BD!$B$3:$B$5001,U$140,BD!$A$3:$A$5001,"&gt;="&amp;$C$7,BD!$A$3:$A$5001,"&lt;="&amp;$B158,BD!$X$3:$X$5001,"&lt;&gt;"))))</f>
        <v/>
      </c>
      <c r="V158" s="43" t="str">
        <f>IF(OR($B158="",$A158&gt;$B$9,V$140=""),"",IF(COUNTIFS(BD!$B$3:$B$5001,V$140,BD!$A$3:$A$5001,"&gt;="&amp;$C$7,BD!$A$3:$A$5001,"&lt;="&amp;$B158,BD!$X$3:$X$5001,"&lt;&gt;")=0,"",SUMIFS(BD!$X$3:$X$5001,BD!$B$3:$B$5001,V$140,BD!$A$3:$A$5001,_xlfn.MAXIFS(BD!$A$3:$A$5001,BD!$B$3:$B$5001,V$140,BD!$A$3:$A$5001,"&gt;="&amp;$C$7,BD!$A$3:$A$5001,"&lt;="&amp;$B158,BD!$X$3:$X$5001,"&lt;&gt;"))))</f>
        <v/>
      </c>
    </row>
    <row r="159">
      <c r="A159" s="38">
        <v>19</v>
      </c>
      <c r="B159" s="42">
        <f>$B$30</f>
        <v>46314</v>
      </c>
      <c r="C159" s="43" t="str">
        <f>IF(OR($B159="",$A159&gt;$B$9,C$140=""),"",IF(COUNTIFS(BD!$B$3:$B$5001,C$140,BD!$A$3:$A$5001,"&gt;="&amp;$C$7,BD!$A$3:$A$5001,"&lt;="&amp;$B159,BD!$X$3:$X$5001,"&lt;&gt;")=0,"",SUMIFS(BD!$X$3:$X$5001,BD!$B$3:$B$5001,C$140,BD!$A$3:$A$5001,_xlfn.MAXIFS(BD!$A$3:$A$5001,BD!$B$3:$B$5001,C$140,BD!$A$3:$A$5001,"&gt;="&amp;$C$7,BD!$A$3:$A$5001,"&lt;="&amp;$B159,BD!$X$3:$X$5001,"&lt;&gt;"))))</f>
        <v/>
      </c>
      <c r="D159" s="43" t="str">
        <f>IF(OR($B159="",$A159&gt;$B$9,D$140=""),"",IF(COUNTIFS(BD!$B$3:$B$5001,D$140,BD!$A$3:$A$5001,"&gt;="&amp;$C$7,BD!$A$3:$A$5001,"&lt;="&amp;$B159,BD!$X$3:$X$5001,"&lt;&gt;")=0,"",SUMIFS(BD!$X$3:$X$5001,BD!$B$3:$B$5001,D$140,BD!$A$3:$A$5001,_xlfn.MAXIFS(BD!$A$3:$A$5001,BD!$B$3:$B$5001,D$140,BD!$A$3:$A$5001,"&gt;="&amp;$C$7,BD!$A$3:$A$5001,"&lt;="&amp;$B159,BD!$X$3:$X$5001,"&lt;&gt;"))))</f>
        <v/>
      </c>
      <c r="E159" s="43" t="str">
        <f>IF(OR($B159="",$A159&gt;$B$9,E$140=""),"",IF(COUNTIFS(BD!$B$3:$B$5001,E$140,BD!$A$3:$A$5001,"&gt;="&amp;$C$7,BD!$A$3:$A$5001,"&lt;="&amp;$B159,BD!$X$3:$X$5001,"&lt;&gt;")=0,"",SUMIFS(BD!$X$3:$X$5001,BD!$B$3:$B$5001,E$140,BD!$A$3:$A$5001,_xlfn.MAXIFS(BD!$A$3:$A$5001,BD!$B$3:$B$5001,E$140,BD!$A$3:$A$5001,"&gt;="&amp;$C$7,BD!$A$3:$A$5001,"&lt;="&amp;$B159,BD!$X$3:$X$5001,"&lt;&gt;"))))</f>
        <v/>
      </c>
      <c r="F159" s="43" t="str">
        <f>IF(OR($B159="",$A159&gt;$B$9,F$140=""),"",IF(COUNTIFS(BD!$B$3:$B$5001,F$140,BD!$A$3:$A$5001,"&gt;="&amp;$C$7,BD!$A$3:$A$5001,"&lt;="&amp;$B159,BD!$X$3:$X$5001,"&lt;&gt;")=0,"",SUMIFS(BD!$X$3:$X$5001,BD!$B$3:$B$5001,F$140,BD!$A$3:$A$5001,_xlfn.MAXIFS(BD!$A$3:$A$5001,BD!$B$3:$B$5001,F$140,BD!$A$3:$A$5001,"&gt;="&amp;$C$7,BD!$A$3:$A$5001,"&lt;="&amp;$B159,BD!$X$3:$X$5001,"&lt;&gt;"))))</f>
        <v/>
      </c>
      <c r="G159" s="43" t="str">
        <f>IF(OR($B159="",$A159&gt;$B$9,G$140=""),"",IF(COUNTIFS(BD!$B$3:$B$5001,G$140,BD!$A$3:$A$5001,"&gt;="&amp;$C$7,BD!$A$3:$A$5001,"&lt;="&amp;$B159,BD!$X$3:$X$5001,"&lt;&gt;")=0,"",SUMIFS(BD!$X$3:$X$5001,BD!$B$3:$B$5001,G$140,BD!$A$3:$A$5001,_xlfn.MAXIFS(BD!$A$3:$A$5001,BD!$B$3:$B$5001,G$140,BD!$A$3:$A$5001,"&gt;="&amp;$C$7,BD!$A$3:$A$5001,"&lt;="&amp;$B159,BD!$X$3:$X$5001,"&lt;&gt;"))))</f>
        <v/>
      </c>
      <c r="H159" s="43" t="str">
        <f>IF(OR($B159="",$A159&gt;$B$9,H$140=""),"",IF(COUNTIFS(BD!$B$3:$B$5001,H$140,BD!$A$3:$A$5001,"&gt;="&amp;$C$7,BD!$A$3:$A$5001,"&lt;="&amp;$B159,BD!$X$3:$X$5001,"&lt;&gt;")=0,"",SUMIFS(BD!$X$3:$X$5001,BD!$B$3:$B$5001,H$140,BD!$A$3:$A$5001,_xlfn.MAXIFS(BD!$A$3:$A$5001,BD!$B$3:$B$5001,H$140,BD!$A$3:$A$5001,"&gt;="&amp;$C$7,BD!$A$3:$A$5001,"&lt;="&amp;$B159,BD!$X$3:$X$5001,"&lt;&gt;"))))</f>
        <v/>
      </c>
      <c r="I159" s="43" t="str">
        <f>IF(OR($B159="",$A159&gt;$B$9,I$140=""),"",IF(COUNTIFS(BD!$B$3:$B$5001,I$140,BD!$A$3:$A$5001,"&gt;="&amp;$C$7,BD!$A$3:$A$5001,"&lt;="&amp;$B159,BD!$X$3:$X$5001,"&lt;&gt;")=0,"",SUMIFS(BD!$X$3:$X$5001,BD!$B$3:$B$5001,I$140,BD!$A$3:$A$5001,_xlfn.MAXIFS(BD!$A$3:$A$5001,BD!$B$3:$B$5001,I$140,BD!$A$3:$A$5001,"&gt;="&amp;$C$7,BD!$A$3:$A$5001,"&lt;="&amp;$B159,BD!$X$3:$X$5001,"&lt;&gt;"))))</f>
        <v/>
      </c>
      <c r="J159" s="43" t="str">
        <f>IF(OR($B159="",$A159&gt;$B$9,J$140=""),"",IF(COUNTIFS(BD!$B$3:$B$5001,J$140,BD!$A$3:$A$5001,"&gt;="&amp;$C$7,BD!$A$3:$A$5001,"&lt;="&amp;$B159,BD!$X$3:$X$5001,"&lt;&gt;")=0,"",SUMIFS(BD!$X$3:$X$5001,BD!$B$3:$B$5001,J$140,BD!$A$3:$A$5001,_xlfn.MAXIFS(BD!$A$3:$A$5001,BD!$B$3:$B$5001,J$140,BD!$A$3:$A$5001,"&gt;="&amp;$C$7,BD!$A$3:$A$5001,"&lt;="&amp;$B159,BD!$X$3:$X$5001,"&lt;&gt;"))))</f>
        <v/>
      </c>
      <c r="K159" s="43" t="str">
        <f>IF(OR($B159="",$A159&gt;$B$9,K$140=""),"",IF(COUNTIFS(BD!$B$3:$B$5001,K$140,BD!$A$3:$A$5001,"&gt;="&amp;$C$7,BD!$A$3:$A$5001,"&lt;="&amp;$B159,BD!$X$3:$X$5001,"&lt;&gt;")=0,"",SUMIFS(BD!$X$3:$X$5001,BD!$B$3:$B$5001,K$140,BD!$A$3:$A$5001,_xlfn.MAXIFS(BD!$A$3:$A$5001,BD!$B$3:$B$5001,K$140,BD!$A$3:$A$5001,"&gt;="&amp;$C$7,BD!$A$3:$A$5001,"&lt;="&amp;$B159,BD!$X$3:$X$5001,"&lt;&gt;"))))</f>
        <v/>
      </c>
      <c r="L159" s="43" t="str">
        <f>IF(OR($B159="",$A159&gt;$B$9,L$140=""),"",IF(COUNTIFS(BD!$B$3:$B$5001,L$140,BD!$A$3:$A$5001,"&gt;="&amp;$C$7,BD!$A$3:$A$5001,"&lt;="&amp;$B159,BD!$X$3:$X$5001,"&lt;&gt;")=0,"",SUMIFS(BD!$X$3:$X$5001,BD!$B$3:$B$5001,L$140,BD!$A$3:$A$5001,_xlfn.MAXIFS(BD!$A$3:$A$5001,BD!$B$3:$B$5001,L$140,BD!$A$3:$A$5001,"&gt;="&amp;$C$7,BD!$A$3:$A$5001,"&lt;="&amp;$B159,BD!$X$3:$X$5001,"&lt;&gt;"))))</f>
        <v/>
      </c>
      <c r="M159" s="43" t="str">
        <f>IF(OR($B159="",$A159&gt;$B$9,M$140=""),"",IF(COUNTIFS(BD!$B$3:$B$5001,M$140,BD!$A$3:$A$5001,"&gt;="&amp;$C$7,BD!$A$3:$A$5001,"&lt;="&amp;$B159,BD!$X$3:$X$5001,"&lt;&gt;")=0,"",SUMIFS(BD!$X$3:$X$5001,BD!$B$3:$B$5001,M$140,BD!$A$3:$A$5001,_xlfn.MAXIFS(BD!$A$3:$A$5001,BD!$B$3:$B$5001,M$140,BD!$A$3:$A$5001,"&gt;="&amp;$C$7,BD!$A$3:$A$5001,"&lt;="&amp;$B159,BD!$X$3:$X$5001,"&lt;&gt;"))))</f>
        <v/>
      </c>
      <c r="N159" s="43" t="str">
        <f>IF(OR($B159="",$A159&gt;$B$9,N$140=""),"",IF(COUNTIFS(BD!$B$3:$B$5001,N$140,BD!$A$3:$A$5001,"&gt;="&amp;$C$7,BD!$A$3:$A$5001,"&lt;="&amp;$B159,BD!$X$3:$X$5001,"&lt;&gt;")=0,"",SUMIFS(BD!$X$3:$X$5001,BD!$B$3:$B$5001,N$140,BD!$A$3:$A$5001,_xlfn.MAXIFS(BD!$A$3:$A$5001,BD!$B$3:$B$5001,N$140,BD!$A$3:$A$5001,"&gt;="&amp;$C$7,BD!$A$3:$A$5001,"&lt;="&amp;$B159,BD!$X$3:$X$5001,"&lt;&gt;"))))</f>
        <v/>
      </c>
      <c r="O159" s="43" t="str">
        <f>IF(OR($B159="",$A159&gt;$B$9,O$140=""),"",IF(COUNTIFS(BD!$B$3:$B$5001,O$140,BD!$A$3:$A$5001,"&gt;="&amp;$C$7,BD!$A$3:$A$5001,"&lt;="&amp;$B159,BD!$X$3:$X$5001,"&lt;&gt;")=0,"",SUMIFS(BD!$X$3:$X$5001,BD!$B$3:$B$5001,O$140,BD!$A$3:$A$5001,_xlfn.MAXIFS(BD!$A$3:$A$5001,BD!$B$3:$B$5001,O$140,BD!$A$3:$A$5001,"&gt;="&amp;$C$7,BD!$A$3:$A$5001,"&lt;="&amp;$B159,BD!$X$3:$X$5001,"&lt;&gt;"))))</f>
        <v/>
      </c>
      <c r="P159" s="43" t="str">
        <f>IF(OR($B159="",$A159&gt;$B$9,P$140=""),"",IF(COUNTIFS(BD!$B$3:$B$5001,P$140,BD!$A$3:$A$5001,"&gt;="&amp;$C$7,BD!$A$3:$A$5001,"&lt;="&amp;$B159,BD!$X$3:$X$5001,"&lt;&gt;")=0,"",SUMIFS(BD!$X$3:$X$5001,BD!$B$3:$B$5001,P$140,BD!$A$3:$A$5001,_xlfn.MAXIFS(BD!$A$3:$A$5001,BD!$B$3:$B$5001,P$140,BD!$A$3:$A$5001,"&gt;="&amp;$C$7,BD!$A$3:$A$5001,"&lt;="&amp;$B159,BD!$X$3:$X$5001,"&lt;&gt;"))))</f>
        <v/>
      </c>
      <c r="Q159" s="43" t="str">
        <f>IF(OR($B159="",$A159&gt;$B$9,Q$140=""),"",IF(COUNTIFS(BD!$B$3:$B$5001,Q$140,BD!$A$3:$A$5001,"&gt;="&amp;$C$7,BD!$A$3:$A$5001,"&lt;="&amp;$B159,BD!$X$3:$X$5001,"&lt;&gt;")=0,"",SUMIFS(BD!$X$3:$X$5001,BD!$B$3:$B$5001,Q$140,BD!$A$3:$A$5001,_xlfn.MAXIFS(BD!$A$3:$A$5001,BD!$B$3:$B$5001,Q$140,BD!$A$3:$A$5001,"&gt;="&amp;$C$7,BD!$A$3:$A$5001,"&lt;="&amp;$B159,BD!$X$3:$X$5001,"&lt;&gt;"))))</f>
        <v/>
      </c>
      <c r="R159" s="43" t="str">
        <f>IF(OR($B159="",$A159&gt;$B$9,R$140=""),"",IF(COUNTIFS(BD!$B$3:$B$5001,R$140,BD!$A$3:$A$5001,"&gt;="&amp;$C$7,BD!$A$3:$A$5001,"&lt;="&amp;$B159,BD!$X$3:$X$5001,"&lt;&gt;")=0,"",SUMIFS(BD!$X$3:$X$5001,BD!$B$3:$B$5001,R$140,BD!$A$3:$A$5001,_xlfn.MAXIFS(BD!$A$3:$A$5001,BD!$B$3:$B$5001,R$140,BD!$A$3:$A$5001,"&gt;="&amp;$C$7,BD!$A$3:$A$5001,"&lt;="&amp;$B159,BD!$X$3:$X$5001,"&lt;&gt;"))))</f>
        <v/>
      </c>
      <c r="S159" s="43" t="str">
        <f>IF(OR($B159="",$A159&gt;$B$9,S$140=""),"",IF(COUNTIFS(BD!$B$3:$B$5001,S$140,BD!$A$3:$A$5001,"&gt;="&amp;$C$7,BD!$A$3:$A$5001,"&lt;="&amp;$B159,BD!$X$3:$X$5001,"&lt;&gt;")=0,"",SUMIFS(BD!$X$3:$X$5001,BD!$B$3:$B$5001,S$140,BD!$A$3:$A$5001,_xlfn.MAXIFS(BD!$A$3:$A$5001,BD!$B$3:$B$5001,S$140,BD!$A$3:$A$5001,"&gt;="&amp;$C$7,BD!$A$3:$A$5001,"&lt;="&amp;$B159,BD!$X$3:$X$5001,"&lt;&gt;"))))</f>
        <v/>
      </c>
      <c r="T159" s="43" t="str">
        <f>IF(OR($B159="",$A159&gt;$B$9,T$140=""),"",IF(COUNTIFS(BD!$B$3:$B$5001,T$140,BD!$A$3:$A$5001,"&gt;="&amp;$C$7,BD!$A$3:$A$5001,"&lt;="&amp;$B159,BD!$X$3:$X$5001,"&lt;&gt;")=0,"",SUMIFS(BD!$X$3:$X$5001,BD!$B$3:$B$5001,T$140,BD!$A$3:$A$5001,_xlfn.MAXIFS(BD!$A$3:$A$5001,BD!$B$3:$B$5001,T$140,BD!$A$3:$A$5001,"&gt;="&amp;$C$7,BD!$A$3:$A$5001,"&lt;="&amp;$B159,BD!$X$3:$X$5001,"&lt;&gt;"))))</f>
        <v/>
      </c>
      <c r="U159" s="43" t="str">
        <f>IF(OR($B159="",$A159&gt;$B$9,U$140=""),"",IF(COUNTIFS(BD!$B$3:$B$5001,U$140,BD!$A$3:$A$5001,"&gt;="&amp;$C$7,BD!$A$3:$A$5001,"&lt;="&amp;$B159,BD!$X$3:$X$5001,"&lt;&gt;")=0,"",SUMIFS(BD!$X$3:$X$5001,BD!$B$3:$B$5001,U$140,BD!$A$3:$A$5001,_xlfn.MAXIFS(BD!$A$3:$A$5001,BD!$B$3:$B$5001,U$140,BD!$A$3:$A$5001,"&gt;="&amp;$C$7,BD!$A$3:$A$5001,"&lt;="&amp;$B159,BD!$X$3:$X$5001,"&lt;&gt;"))))</f>
        <v/>
      </c>
      <c r="V159" s="43" t="str">
        <f>IF(OR($B159="",$A159&gt;$B$9,V$140=""),"",IF(COUNTIFS(BD!$B$3:$B$5001,V$140,BD!$A$3:$A$5001,"&gt;="&amp;$C$7,BD!$A$3:$A$5001,"&lt;="&amp;$B159,BD!$X$3:$X$5001,"&lt;&gt;")=0,"",SUMIFS(BD!$X$3:$X$5001,BD!$B$3:$B$5001,V$140,BD!$A$3:$A$5001,_xlfn.MAXIFS(BD!$A$3:$A$5001,BD!$B$3:$B$5001,V$140,BD!$A$3:$A$5001,"&gt;="&amp;$C$7,BD!$A$3:$A$5001,"&lt;="&amp;$B159,BD!$X$3:$X$5001,"&lt;&gt;"))))</f>
        <v/>
      </c>
    </row>
    <row r="160">
      <c r="A160" s="38">
        <v>20</v>
      </c>
      <c r="B160" s="42">
        <f>$B$31</f>
        <v>46315</v>
      </c>
      <c r="C160" s="43" t="str">
        <f>IF(OR($B160="",$A160&gt;$B$9,C$140=""),"",IF(COUNTIFS(BD!$B$3:$B$5001,C$140,BD!$A$3:$A$5001,"&gt;="&amp;$C$7,BD!$A$3:$A$5001,"&lt;="&amp;$B160,BD!$X$3:$X$5001,"&lt;&gt;")=0,"",SUMIFS(BD!$X$3:$X$5001,BD!$B$3:$B$5001,C$140,BD!$A$3:$A$5001,_xlfn.MAXIFS(BD!$A$3:$A$5001,BD!$B$3:$B$5001,C$140,BD!$A$3:$A$5001,"&gt;="&amp;$C$7,BD!$A$3:$A$5001,"&lt;="&amp;$B160,BD!$X$3:$X$5001,"&lt;&gt;"))))</f>
        <v/>
      </c>
      <c r="D160" s="43" t="str">
        <f>IF(OR($B160="",$A160&gt;$B$9,D$140=""),"",IF(COUNTIFS(BD!$B$3:$B$5001,D$140,BD!$A$3:$A$5001,"&gt;="&amp;$C$7,BD!$A$3:$A$5001,"&lt;="&amp;$B160,BD!$X$3:$X$5001,"&lt;&gt;")=0,"",SUMIFS(BD!$X$3:$X$5001,BD!$B$3:$B$5001,D$140,BD!$A$3:$A$5001,_xlfn.MAXIFS(BD!$A$3:$A$5001,BD!$B$3:$B$5001,D$140,BD!$A$3:$A$5001,"&gt;="&amp;$C$7,BD!$A$3:$A$5001,"&lt;="&amp;$B160,BD!$X$3:$X$5001,"&lt;&gt;"))))</f>
        <v/>
      </c>
      <c r="E160" s="43" t="str">
        <f>IF(OR($B160="",$A160&gt;$B$9,E$140=""),"",IF(COUNTIFS(BD!$B$3:$B$5001,E$140,BD!$A$3:$A$5001,"&gt;="&amp;$C$7,BD!$A$3:$A$5001,"&lt;="&amp;$B160,BD!$X$3:$X$5001,"&lt;&gt;")=0,"",SUMIFS(BD!$X$3:$X$5001,BD!$B$3:$B$5001,E$140,BD!$A$3:$A$5001,_xlfn.MAXIFS(BD!$A$3:$A$5001,BD!$B$3:$B$5001,E$140,BD!$A$3:$A$5001,"&gt;="&amp;$C$7,BD!$A$3:$A$5001,"&lt;="&amp;$B160,BD!$X$3:$X$5001,"&lt;&gt;"))))</f>
        <v/>
      </c>
      <c r="F160" s="43" t="str">
        <f>IF(OR($B160="",$A160&gt;$B$9,F$140=""),"",IF(COUNTIFS(BD!$B$3:$B$5001,F$140,BD!$A$3:$A$5001,"&gt;="&amp;$C$7,BD!$A$3:$A$5001,"&lt;="&amp;$B160,BD!$X$3:$X$5001,"&lt;&gt;")=0,"",SUMIFS(BD!$X$3:$X$5001,BD!$B$3:$B$5001,F$140,BD!$A$3:$A$5001,_xlfn.MAXIFS(BD!$A$3:$A$5001,BD!$B$3:$B$5001,F$140,BD!$A$3:$A$5001,"&gt;="&amp;$C$7,BD!$A$3:$A$5001,"&lt;="&amp;$B160,BD!$X$3:$X$5001,"&lt;&gt;"))))</f>
        <v/>
      </c>
      <c r="G160" s="43" t="str">
        <f>IF(OR($B160="",$A160&gt;$B$9,G$140=""),"",IF(COUNTIFS(BD!$B$3:$B$5001,G$140,BD!$A$3:$A$5001,"&gt;="&amp;$C$7,BD!$A$3:$A$5001,"&lt;="&amp;$B160,BD!$X$3:$X$5001,"&lt;&gt;")=0,"",SUMIFS(BD!$X$3:$X$5001,BD!$B$3:$B$5001,G$140,BD!$A$3:$A$5001,_xlfn.MAXIFS(BD!$A$3:$A$5001,BD!$B$3:$B$5001,G$140,BD!$A$3:$A$5001,"&gt;="&amp;$C$7,BD!$A$3:$A$5001,"&lt;="&amp;$B160,BD!$X$3:$X$5001,"&lt;&gt;"))))</f>
        <v/>
      </c>
      <c r="H160" s="43" t="str">
        <f>IF(OR($B160="",$A160&gt;$B$9,H$140=""),"",IF(COUNTIFS(BD!$B$3:$B$5001,H$140,BD!$A$3:$A$5001,"&gt;="&amp;$C$7,BD!$A$3:$A$5001,"&lt;="&amp;$B160,BD!$X$3:$X$5001,"&lt;&gt;")=0,"",SUMIFS(BD!$X$3:$X$5001,BD!$B$3:$B$5001,H$140,BD!$A$3:$A$5001,_xlfn.MAXIFS(BD!$A$3:$A$5001,BD!$B$3:$B$5001,H$140,BD!$A$3:$A$5001,"&gt;="&amp;$C$7,BD!$A$3:$A$5001,"&lt;="&amp;$B160,BD!$X$3:$X$5001,"&lt;&gt;"))))</f>
        <v/>
      </c>
      <c r="I160" s="43" t="str">
        <f>IF(OR($B160="",$A160&gt;$B$9,I$140=""),"",IF(COUNTIFS(BD!$B$3:$B$5001,I$140,BD!$A$3:$A$5001,"&gt;="&amp;$C$7,BD!$A$3:$A$5001,"&lt;="&amp;$B160,BD!$X$3:$X$5001,"&lt;&gt;")=0,"",SUMIFS(BD!$X$3:$X$5001,BD!$B$3:$B$5001,I$140,BD!$A$3:$A$5001,_xlfn.MAXIFS(BD!$A$3:$A$5001,BD!$B$3:$B$5001,I$140,BD!$A$3:$A$5001,"&gt;="&amp;$C$7,BD!$A$3:$A$5001,"&lt;="&amp;$B160,BD!$X$3:$X$5001,"&lt;&gt;"))))</f>
        <v/>
      </c>
      <c r="J160" s="43" t="str">
        <f>IF(OR($B160="",$A160&gt;$B$9,J$140=""),"",IF(COUNTIFS(BD!$B$3:$B$5001,J$140,BD!$A$3:$A$5001,"&gt;="&amp;$C$7,BD!$A$3:$A$5001,"&lt;="&amp;$B160,BD!$X$3:$X$5001,"&lt;&gt;")=0,"",SUMIFS(BD!$X$3:$X$5001,BD!$B$3:$B$5001,J$140,BD!$A$3:$A$5001,_xlfn.MAXIFS(BD!$A$3:$A$5001,BD!$B$3:$B$5001,J$140,BD!$A$3:$A$5001,"&gt;="&amp;$C$7,BD!$A$3:$A$5001,"&lt;="&amp;$B160,BD!$X$3:$X$5001,"&lt;&gt;"))))</f>
        <v/>
      </c>
      <c r="K160" s="43" t="str">
        <f>IF(OR($B160="",$A160&gt;$B$9,K$140=""),"",IF(COUNTIFS(BD!$B$3:$B$5001,K$140,BD!$A$3:$A$5001,"&gt;="&amp;$C$7,BD!$A$3:$A$5001,"&lt;="&amp;$B160,BD!$X$3:$X$5001,"&lt;&gt;")=0,"",SUMIFS(BD!$X$3:$X$5001,BD!$B$3:$B$5001,K$140,BD!$A$3:$A$5001,_xlfn.MAXIFS(BD!$A$3:$A$5001,BD!$B$3:$B$5001,K$140,BD!$A$3:$A$5001,"&gt;="&amp;$C$7,BD!$A$3:$A$5001,"&lt;="&amp;$B160,BD!$X$3:$X$5001,"&lt;&gt;"))))</f>
        <v/>
      </c>
      <c r="L160" s="43" t="str">
        <f>IF(OR($B160="",$A160&gt;$B$9,L$140=""),"",IF(COUNTIFS(BD!$B$3:$B$5001,L$140,BD!$A$3:$A$5001,"&gt;="&amp;$C$7,BD!$A$3:$A$5001,"&lt;="&amp;$B160,BD!$X$3:$X$5001,"&lt;&gt;")=0,"",SUMIFS(BD!$X$3:$X$5001,BD!$B$3:$B$5001,L$140,BD!$A$3:$A$5001,_xlfn.MAXIFS(BD!$A$3:$A$5001,BD!$B$3:$B$5001,L$140,BD!$A$3:$A$5001,"&gt;="&amp;$C$7,BD!$A$3:$A$5001,"&lt;="&amp;$B160,BD!$X$3:$X$5001,"&lt;&gt;"))))</f>
        <v/>
      </c>
      <c r="M160" s="43" t="str">
        <f>IF(OR($B160="",$A160&gt;$B$9,M$140=""),"",IF(COUNTIFS(BD!$B$3:$B$5001,M$140,BD!$A$3:$A$5001,"&gt;="&amp;$C$7,BD!$A$3:$A$5001,"&lt;="&amp;$B160,BD!$X$3:$X$5001,"&lt;&gt;")=0,"",SUMIFS(BD!$X$3:$X$5001,BD!$B$3:$B$5001,M$140,BD!$A$3:$A$5001,_xlfn.MAXIFS(BD!$A$3:$A$5001,BD!$B$3:$B$5001,M$140,BD!$A$3:$A$5001,"&gt;="&amp;$C$7,BD!$A$3:$A$5001,"&lt;="&amp;$B160,BD!$X$3:$X$5001,"&lt;&gt;"))))</f>
        <v/>
      </c>
      <c r="N160" s="43" t="str">
        <f>IF(OR($B160="",$A160&gt;$B$9,N$140=""),"",IF(COUNTIFS(BD!$B$3:$B$5001,N$140,BD!$A$3:$A$5001,"&gt;="&amp;$C$7,BD!$A$3:$A$5001,"&lt;="&amp;$B160,BD!$X$3:$X$5001,"&lt;&gt;")=0,"",SUMIFS(BD!$X$3:$X$5001,BD!$B$3:$B$5001,N$140,BD!$A$3:$A$5001,_xlfn.MAXIFS(BD!$A$3:$A$5001,BD!$B$3:$B$5001,N$140,BD!$A$3:$A$5001,"&gt;="&amp;$C$7,BD!$A$3:$A$5001,"&lt;="&amp;$B160,BD!$X$3:$X$5001,"&lt;&gt;"))))</f>
        <v/>
      </c>
      <c r="O160" s="43" t="str">
        <f>IF(OR($B160="",$A160&gt;$B$9,O$140=""),"",IF(COUNTIFS(BD!$B$3:$B$5001,O$140,BD!$A$3:$A$5001,"&gt;="&amp;$C$7,BD!$A$3:$A$5001,"&lt;="&amp;$B160,BD!$X$3:$X$5001,"&lt;&gt;")=0,"",SUMIFS(BD!$X$3:$X$5001,BD!$B$3:$B$5001,O$140,BD!$A$3:$A$5001,_xlfn.MAXIFS(BD!$A$3:$A$5001,BD!$B$3:$B$5001,O$140,BD!$A$3:$A$5001,"&gt;="&amp;$C$7,BD!$A$3:$A$5001,"&lt;="&amp;$B160,BD!$X$3:$X$5001,"&lt;&gt;"))))</f>
        <v/>
      </c>
      <c r="P160" s="43" t="str">
        <f>IF(OR($B160="",$A160&gt;$B$9,P$140=""),"",IF(COUNTIFS(BD!$B$3:$B$5001,P$140,BD!$A$3:$A$5001,"&gt;="&amp;$C$7,BD!$A$3:$A$5001,"&lt;="&amp;$B160,BD!$X$3:$X$5001,"&lt;&gt;")=0,"",SUMIFS(BD!$X$3:$X$5001,BD!$B$3:$B$5001,P$140,BD!$A$3:$A$5001,_xlfn.MAXIFS(BD!$A$3:$A$5001,BD!$B$3:$B$5001,P$140,BD!$A$3:$A$5001,"&gt;="&amp;$C$7,BD!$A$3:$A$5001,"&lt;="&amp;$B160,BD!$X$3:$X$5001,"&lt;&gt;"))))</f>
        <v/>
      </c>
      <c r="Q160" s="43" t="str">
        <f>IF(OR($B160="",$A160&gt;$B$9,Q$140=""),"",IF(COUNTIFS(BD!$B$3:$B$5001,Q$140,BD!$A$3:$A$5001,"&gt;="&amp;$C$7,BD!$A$3:$A$5001,"&lt;="&amp;$B160,BD!$X$3:$X$5001,"&lt;&gt;")=0,"",SUMIFS(BD!$X$3:$X$5001,BD!$B$3:$B$5001,Q$140,BD!$A$3:$A$5001,_xlfn.MAXIFS(BD!$A$3:$A$5001,BD!$B$3:$B$5001,Q$140,BD!$A$3:$A$5001,"&gt;="&amp;$C$7,BD!$A$3:$A$5001,"&lt;="&amp;$B160,BD!$X$3:$X$5001,"&lt;&gt;"))))</f>
        <v/>
      </c>
      <c r="R160" s="43" t="str">
        <f>IF(OR($B160="",$A160&gt;$B$9,R$140=""),"",IF(COUNTIFS(BD!$B$3:$B$5001,R$140,BD!$A$3:$A$5001,"&gt;="&amp;$C$7,BD!$A$3:$A$5001,"&lt;="&amp;$B160,BD!$X$3:$X$5001,"&lt;&gt;")=0,"",SUMIFS(BD!$X$3:$X$5001,BD!$B$3:$B$5001,R$140,BD!$A$3:$A$5001,_xlfn.MAXIFS(BD!$A$3:$A$5001,BD!$B$3:$B$5001,R$140,BD!$A$3:$A$5001,"&gt;="&amp;$C$7,BD!$A$3:$A$5001,"&lt;="&amp;$B160,BD!$X$3:$X$5001,"&lt;&gt;"))))</f>
        <v/>
      </c>
      <c r="S160" s="43" t="str">
        <f>IF(OR($B160="",$A160&gt;$B$9,S$140=""),"",IF(COUNTIFS(BD!$B$3:$B$5001,S$140,BD!$A$3:$A$5001,"&gt;="&amp;$C$7,BD!$A$3:$A$5001,"&lt;="&amp;$B160,BD!$X$3:$X$5001,"&lt;&gt;")=0,"",SUMIFS(BD!$X$3:$X$5001,BD!$B$3:$B$5001,S$140,BD!$A$3:$A$5001,_xlfn.MAXIFS(BD!$A$3:$A$5001,BD!$B$3:$B$5001,S$140,BD!$A$3:$A$5001,"&gt;="&amp;$C$7,BD!$A$3:$A$5001,"&lt;="&amp;$B160,BD!$X$3:$X$5001,"&lt;&gt;"))))</f>
        <v/>
      </c>
      <c r="T160" s="43" t="str">
        <f>IF(OR($B160="",$A160&gt;$B$9,T$140=""),"",IF(COUNTIFS(BD!$B$3:$B$5001,T$140,BD!$A$3:$A$5001,"&gt;="&amp;$C$7,BD!$A$3:$A$5001,"&lt;="&amp;$B160,BD!$X$3:$X$5001,"&lt;&gt;")=0,"",SUMIFS(BD!$X$3:$X$5001,BD!$B$3:$B$5001,T$140,BD!$A$3:$A$5001,_xlfn.MAXIFS(BD!$A$3:$A$5001,BD!$B$3:$B$5001,T$140,BD!$A$3:$A$5001,"&gt;="&amp;$C$7,BD!$A$3:$A$5001,"&lt;="&amp;$B160,BD!$X$3:$X$5001,"&lt;&gt;"))))</f>
        <v/>
      </c>
      <c r="U160" s="43" t="str">
        <f>IF(OR($B160="",$A160&gt;$B$9,U$140=""),"",IF(COUNTIFS(BD!$B$3:$B$5001,U$140,BD!$A$3:$A$5001,"&gt;="&amp;$C$7,BD!$A$3:$A$5001,"&lt;="&amp;$B160,BD!$X$3:$X$5001,"&lt;&gt;")=0,"",SUMIFS(BD!$X$3:$X$5001,BD!$B$3:$B$5001,U$140,BD!$A$3:$A$5001,_xlfn.MAXIFS(BD!$A$3:$A$5001,BD!$B$3:$B$5001,U$140,BD!$A$3:$A$5001,"&gt;="&amp;$C$7,BD!$A$3:$A$5001,"&lt;="&amp;$B160,BD!$X$3:$X$5001,"&lt;&gt;"))))</f>
        <v/>
      </c>
      <c r="V160" s="43" t="str">
        <f>IF(OR($B160="",$A160&gt;$B$9,V$140=""),"",IF(COUNTIFS(BD!$B$3:$B$5001,V$140,BD!$A$3:$A$5001,"&gt;="&amp;$C$7,BD!$A$3:$A$5001,"&lt;="&amp;$B160,BD!$X$3:$X$5001,"&lt;&gt;")=0,"",SUMIFS(BD!$X$3:$X$5001,BD!$B$3:$B$5001,V$140,BD!$A$3:$A$5001,_xlfn.MAXIFS(BD!$A$3:$A$5001,BD!$B$3:$B$5001,V$140,BD!$A$3:$A$5001,"&gt;="&amp;$C$7,BD!$A$3:$A$5001,"&lt;="&amp;$B160,BD!$X$3:$X$5001,"&lt;&gt;"))))</f>
        <v/>
      </c>
    </row>
    <row r="161">
      <c r="A161" s="38">
        <v>21</v>
      </c>
      <c r="B161" s="42">
        <f>$B$32</f>
        <v>46316</v>
      </c>
      <c r="C161" s="43" t="str">
        <f>IF(OR($B161="",$A161&gt;$B$9,C$140=""),"",IF(COUNTIFS(BD!$B$3:$B$5001,C$140,BD!$A$3:$A$5001,"&gt;="&amp;$C$7,BD!$A$3:$A$5001,"&lt;="&amp;$B161,BD!$X$3:$X$5001,"&lt;&gt;")=0,"",SUMIFS(BD!$X$3:$X$5001,BD!$B$3:$B$5001,C$140,BD!$A$3:$A$5001,_xlfn.MAXIFS(BD!$A$3:$A$5001,BD!$B$3:$B$5001,C$140,BD!$A$3:$A$5001,"&gt;="&amp;$C$7,BD!$A$3:$A$5001,"&lt;="&amp;$B161,BD!$X$3:$X$5001,"&lt;&gt;"))))</f>
        <v/>
      </c>
      <c r="D161" s="43" t="str">
        <f>IF(OR($B161="",$A161&gt;$B$9,D$140=""),"",IF(COUNTIFS(BD!$B$3:$B$5001,D$140,BD!$A$3:$A$5001,"&gt;="&amp;$C$7,BD!$A$3:$A$5001,"&lt;="&amp;$B161,BD!$X$3:$X$5001,"&lt;&gt;")=0,"",SUMIFS(BD!$X$3:$X$5001,BD!$B$3:$B$5001,D$140,BD!$A$3:$A$5001,_xlfn.MAXIFS(BD!$A$3:$A$5001,BD!$B$3:$B$5001,D$140,BD!$A$3:$A$5001,"&gt;="&amp;$C$7,BD!$A$3:$A$5001,"&lt;="&amp;$B161,BD!$X$3:$X$5001,"&lt;&gt;"))))</f>
        <v/>
      </c>
      <c r="E161" s="43" t="str">
        <f>IF(OR($B161="",$A161&gt;$B$9,E$140=""),"",IF(COUNTIFS(BD!$B$3:$B$5001,E$140,BD!$A$3:$A$5001,"&gt;="&amp;$C$7,BD!$A$3:$A$5001,"&lt;="&amp;$B161,BD!$X$3:$X$5001,"&lt;&gt;")=0,"",SUMIFS(BD!$X$3:$X$5001,BD!$B$3:$B$5001,E$140,BD!$A$3:$A$5001,_xlfn.MAXIFS(BD!$A$3:$A$5001,BD!$B$3:$B$5001,E$140,BD!$A$3:$A$5001,"&gt;="&amp;$C$7,BD!$A$3:$A$5001,"&lt;="&amp;$B161,BD!$X$3:$X$5001,"&lt;&gt;"))))</f>
        <v/>
      </c>
      <c r="F161" s="43" t="str">
        <f>IF(OR($B161="",$A161&gt;$B$9,F$140=""),"",IF(COUNTIFS(BD!$B$3:$B$5001,F$140,BD!$A$3:$A$5001,"&gt;="&amp;$C$7,BD!$A$3:$A$5001,"&lt;="&amp;$B161,BD!$X$3:$X$5001,"&lt;&gt;")=0,"",SUMIFS(BD!$X$3:$X$5001,BD!$B$3:$B$5001,F$140,BD!$A$3:$A$5001,_xlfn.MAXIFS(BD!$A$3:$A$5001,BD!$B$3:$B$5001,F$140,BD!$A$3:$A$5001,"&gt;="&amp;$C$7,BD!$A$3:$A$5001,"&lt;="&amp;$B161,BD!$X$3:$X$5001,"&lt;&gt;"))))</f>
        <v/>
      </c>
      <c r="G161" s="43" t="str">
        <f>IF(OR($B161="",$A161&gt;$B$9,G$140=""),"",IF(COUNTIFS(BD!$B$3:$B$5001,G$140,BD!$A$3:$A$5001,"&gt;="&amp;$C$7,BD!$A$3:$A$5001,"&lt;="&amp;$B161,BD!$X$3:$X$5001,"&lt;&gt;")=0,"",SUMIFS(BD!$X$3:$X$5001,BD!$B$3:$B$5001,G$140,BD!$A$3:$A$5001,_xlfn.MAXIFS(BD!$A$3:$A$5001,BD!$B$3:$B$5001,G$140,BD!$A$3:$A$5001,"&gt;="&amp;$C$7,BD!$A$3:$A$5001,"&lt;="&amp;$B161,BD!$X$3:$X$5001,"&lt;&gt;"))))</f>
        <v/>
      </c>
      <c r="H161" s="43" t="str">
        <f>IF(OR($B161="",$A161&gt;$B$9,H$140=""),"",IF(COUNTIFS(BD!$B$3:$B$5001,H$140,BD!$A$3:$A$5001,"&gt;="&amp;$C$7,BD!$A$3:$A$5001,"&lt;="&amp;$B161,BD!$X$3:$X$5001,"&lt;&gt;")=0,"",SUMIFS(BD!$X$3:$X$5001,BD!$B$3:$B$5001,H$140,BD!$A$3:$A$5001,_xlfn.MAXIFS(BD!$A$3:$A$5001,BD!$B$3:$B$5001,H$140,BD!$A$3:$A$5001,"&gt;="&amp;$C$7,BD!$A$3:$A$5001,"&lt;="&amp;$B161,BD!$X$3:$X$5001,"&lt;&gt;"))))</f>
        <v/>
      </c>
      <c r="I161" s="43" t="str">
        <f>IF(OR($B161="",$A161&gt;$B$9,I$140=""),"",IF(COUNTIFS(BD!$B$3:$B$5001,I$140,BD!$A$3:$A$5001,"&gt;="&amp;$C$7,BD!$A$3:$A$5001,"&lt;="&amp;$B161,BD!$X$3:$X$5001,"&lt;&gt;")=0,"",SUMIFS(BD!$X$3:$X$5001,BD!$B$3:$B$5001,I$140,BD!$A$3:$A$5001,_xlfn.MAXIFS(BD!$A$3:$A$5001,BD!$B$3:$B$5001,I$140,BD!$A$3:$A$5001,"&gt;="&amp;$C$7,BD!$A$3:$A$5001,"&lt;="&amp;$B161,BD!$X$3:$X$5001,"&lt;&gt;"))))</f>
        <v/>
      </c>
      <c r="J161" s="43" t="str">
        <f>IF(OR($B161="",$A161&gt;$B$9,J$140=""),"",IF(COUNTIFS(BD!$B$3:$B$5001,J$140,BD!$A$3:$A$5001,"&gt;="&amp;$C$7,BD!$A$3:$A$5001,"&lt;="&amp;$B161,BD!$X$3:$X$5001,"&lt;&gt;")=0,"",SUMIFS(BD!$X$3:$X$5001,BD!$B$3:$B$5001,J$140,BD!$A$3:$A$5001,_xlfn.MAXIFS(BD!$A$3:$A$5001,BD!$B$3:$B$5001,J$140,BD!$A$3:$A$5001,"&gt;="&amp;$C$7,BD!$A$3:$A$5001,"&lt;="&amp;$B161,BD!$X$3:$X$5001,"&lt;&gt;"))))</f>
        <v/>
      </c>
      <c r="K161" s="43" t="str">
        <f>IF(OR($B161="",$A161&gt;$B$9,K$140=""),"",IF(COUNTIFS(BD!$B$3:$B$5001,K$140,BD!$A$3:$A$5001,"&gt;="&amp;$C$7,BD!$A$3:$A$5001,"&lt;="&amp;$B161,BD!$X$3:$X$5001,"&lt;&gt;")=0,"",SUMIFS(BD!$X$3:$X$5001,BD!$B$3:$B$5001,K$140,BD!$A$3:$A$5001,_xlfn.MAXIFS(BD!$A$3:$A$5001,BD!$B$3:$B$5001,K$140,BD!$A$3:$A$5001,"&gt;="&amp;$C$7,BD!$A$3:$A$5001,"&lt;="&amp;$B161,BD!$X$3:$X$5001,"&lt;&gt;"))))</f>
        <v/>
      </c>
      <c r="L161" s="43" t="str">
        <f>IF(OR($B161="",$A161&gt;$B$9,L$140=""),"",IF(COUNTIFS(BD!$B$3:$B$5001,L$140,BD!$A$3:$A$5001,"&gt;="&amp;$C$7,BD!$A$3:$A$5001,"&lt;="&amp;$B161,BD!$X$3:$X$5001,"&lt;&gt;")=0,"",SUMIFS(BD!$X$3:$X$5001,BD!$B$3:$B$5001,L$140,BD!$A$3:$A$5001,_xlfn.MAXIFS(BD!$A$3:$A$5001,BD!$B$3:$B$5001,L$140,BD!$A$3:$A$5001,"&gt;="&amp;$C$7,BD!$A$3:$A$5001,"&lt;="&amp;$B161,BD!$X$3:$X$5001,"&lt;&gt;"))))</f>
        <v/>
      </c>
      <c r="M161" s="43" t="str">
        <f>IF(OR($B161="",$A161&gt;$B$9,M$140=""),"",IF(COUNTIFS(BD!$B$3:$B$5001,M$140,BD!$A$3:$A$5001,"&gt;="&amp;$C$7,BD!$A$3:$A$5001,"&lt;="&amp;$B161,BD!$X$3:$X$5001,"&lt;&gt;")=0,"",SUMIFS(BD!$X$3:$X$5001,BD!$B$3:$B$5001,M$140,BD!$A$3:$A$5001,_xlfn.MAXIFS(BD!$A$3:$A$5001,BD!$B$3:$B$5001,M$140,BD!$A$3:$A$5001,"&gt;="&amp;$C$7,BD!$A$3:$A$5001,"&lt;="&amp;$B161,BD!$X$3:$X$5001,"&lt;&gt;"))))</f>
        <v/>
      </c>
      <c r="N161" s="43" t="str">
        <f>IF(OR($B161="",$A161&gt;$B$9,N$140=""),"",IF(COUNTIFS(BD!$B$3:$B$5001,N$140,BD!$A$3:$A$5001,"&gt;="&amp;$C$7,BD!$A$3:$A$5001,"&lt;="&amp;$B161,BD!$X$3:$X$5001,"&lt;&gt;")=0,"",SUMIFS(BD!$X$3:$X$5001,BD!$B$3:$B$5001,N$140,BD!$A$3:$A$5001,_xlfn.MAXIFS(BD!$A$3:$A$5001,BD!$B$3:$B$5001,N$140,BD!$A$3:$A$5001,"&gt;="&amp;$C$7,BD!$A$3:$A$5001,"&lt;="&amp;$B161,BD!$X$3:$X$5001,"&lt;&gt;"))))</f>
        <v/>
      </c>
      <c r="O161" s="43" t="str">
        <f>IF(OR($B161="",$A161&gt;$B$9,O$140=""),"",IF(COUNTIFS(BD!$B$3:$B$5001,O$140,BD!$A$3:$A$5001,"&gt;="&amp;$C$7,BD!$A$3:$A$5001,"&lt;="&amp;$B161,BD!$X$3:$X$5001,"&lt;&gt;")=0,"",SUMIFS(BD!$X$3:$X$5001,BD!$B$3:$B$5001,O$140,BD!$A$3:$A$5001,_xlfn.MAXIFS(BD!$A$3:$A$5001,BD!$B$3:$B$5001,O$140,BD!$A$3:$A$5001,"&gt;="&amp;$C$7,BD!$A$3:$A$5001,"&lt;="&amp;$B161,BD!$X$3:$X$5001,"&lt;&gt;"))))</f>
        <v/>
      </c>
      <c r="P161" s="43" t="str">
        <f>IF(OR($B161="",$A161&gt;$B$9,P$140=""),"",IF(COUNTIFS(BD!$B$3:$B$5001,P$140,BD!$A$3:$A$5001,"&gt;="&amp;$C$7,BD!$A$3:$A$5001,"&lt;="&amp;$B161,BD!$X$3:$X$5001,"&lt;&gt;")=0,"",SUMIFS(BD!$X$3:$X$5001,BD!$B$3:$B$5001,P$140,BD!$A$3:$A$5001,_xlfn.MAXIFS(BD!$A$3:$A$5001,BD!$B$3:$B$5001,P$140,BD!$A$3:$A$5001,"&gt;="&amp;$C$7,BD!$A$3:$A$5001,"&lt;="&amp;$B161,BD!$X$3:$X$5001,"&lt;&gt;"))))</f>
        <v/>
      </c>
      <c r="Q161" s="43" t="str">
        <f>IF(OR($B161="",$A161&gt;$B$9,Q$140=""),"",IF(COUNTIFS(BD!$B$3:$B$5001,Q$140,BD!$A$3:$A$5001,"&gt;="&amp;$C$7,BD!$A$3:$A$5001,"&lt;="&amp;$B161,BD!$X$3:$X$5001,"&lt;&gt;")=0,"",SUMIFS(BD!$X$3:$X$5001,BD!$B$3:$B$5001,Q$140,BD!$A$3:$A$5001,_xlfn.MAXIFS(BD!$A$3:$A$5001,BD!$B$3:$B$5001,Q$140,BD!$A$3:$A$5001,"&gt;="&amp;$C$7,BD!$A$3:$A$5001,"&lt;="&amp;$B161,BD!$X$3:$X$5001,"&lt;&gt;"))))</f>
        <v/>
      </c>
      <c r="R161" s="43" t="str">
        <f>IF(OR($B161="",$A161&gt;$B$9,R$140=""),"",IF(COUNTIFS(BD!$B$3:$B$5001,R$140,BD!$A$3:$A$5001,"&gt;="&amp;$C$7,BD!$A$3:$A$5001,"&lt;="&amp;$B161,BD!$X$3:$X$5001,"&lt;&gt;")=0,"",SUMIFS(BD!$X$3:$X$5001,BD!$B$3:$B$5001,R$140,BD!$A$3:$A$5001,_xlfn.MAXIFS(BD!$A$3:$A$5001,BD!$B$3:$B$5001,R$140,BD!$A$3:$A$5001,"&gt;="&amp;$C$7,BD!$A$3:$A$5001,"&lt;="&amp;$B161,BD!$X$3:$X$5001,"&lt;&gt;"))))</f>
        <v/>
      </c>
      <c r="S161" s="43" t="str">
        <f>IF(OR($B161="",$A161&gt;$B$9,S$140=""),"",IF(COUNTIFS(BD!$B$3:$B$5001,S$140,BD!$A$3:$A$5001,"&gt;="&amp;$C$7,BD!$A$3:$A$5001,"&lt;="&amp;$B161,BD!$X$3:$X$5001,"&lt;&gt;")=0,"",SUMIFS(BD!$X$3:$X$5001,BD!$B$3:$B$5001,S$140,BD!$A$3:$A$5001,_xlfn.MAXIFS(BD!$A$3:$A$5001,BD!$B$3:$B$5001,S$140,BD!$A$3:$A$5001,"&gt;="&amp;$C$7,BD!$A$3:$A$5001,"&lt;="&amp;$B161,BD!$X$3:$X$5001,"&lt;&gt;"))))</f>
        <v/>
      </c>
      <c r="T161" s="43" t="str">
        <f>IF(OR($B161="",$A161&gt;$B$9,T$140=""),"",IF(COUNTIFS(BD!$B$3:$B$5001,T$140,BD!$A$3:$A$5001,"&gt;="&amp;$C$7,BD!$A$3:$A$5001,"&lt;="&amp;$B161,BD!$X$3:$X$5001,"&lt;&gt;")=0,"",SUMIFS(BD!$X$3:$X$5001,BD!$B$3:$B$5001,T$140,BD!$A$3:$A$5001,_xlfn.MAXIFS(BD!$A$3:$A$5001,BD!$B$3:$B$5001,T$140,BD!$A$3:$A$5001,"&gt;="&amp;$C$7,BD!$A$3:$A$5001,"&lt;="&amp;$B161,BD!$X$3:$X$5001,"&lt;&gt;"))))</f>
        <v/>
      </c>
      <c r="U161" s="43" t="str">
        <f>IF(OR($B161="",$A161&gt;$B$9,U$140=""),"",IF(COUNTIFS(BD!$B$3:$B$5001,U$140,BD!$A$3:$A$5001,"&gt;="&amp;$C$7,BD!$A$3:$A$5001,"&lt;="&amp;$B161,BD!$X$3:$X$5001,"&lt;&gt;")=0,"",SUMIFS(BD!$X$3:$X$5001,BD!$B$3:$B$5001,U$140,BD!$A$3:$A$5001,_xlfn.MAXIFS(BD!$A$3:$A$5001,BD!$B$3:$B$5001,U$140,BD!$A$3:$A$5001,"&gt;="&amp;$C$7,BD!$A$3:$A$5001,"&lt;="&amp;$B161,BD!$X$3:$X$5001,"&lt;&gt;"))))</f>
        <v/>
      </c>
      <c r="V161" s="43" t="str">
        <f>IF(OR($B161="",$A161&gt;$B$9,V$140=""),"",IF(COUNTIFS(BD!$B$3:$B$5001,V$140,BD!$A$3:$A$5001,"&gt;="&amp;$C$7,BD!$A$3:$A$5001,"&lt;="&amp;$B161,BD!$X$3:$X$5001,"&lt;&gt;")=0,"",SUMIFS(BD!$X$3:$X$5001,BD!$B$3:$B$5001,V$140,BD!$A$3:$A$5001,_xlfn.MAXIFS(BD!$A$3:$A$5001,BD!$B$3:$B$5001,V$140,BD!$A$3:$A$5001,"&gt;="&amp;$C$7,BD!$A$3:$A$5001,"&lt;="&amp;$B161,BD!$X$3:$X$5001,"&lt;&gt;"))))</f>
        <v/>
      </c>
    </row>
    <row r="162">
      <c r="A162" s="38">
        <v>22</v>
      </c>
      <c r="B162" s="42">
        <f>$B$33</f>
        <v>46317</v>
      </c>
      <c r="C162" s="43" t="str">
        <f>IF(OR($B162="",$A162&gt;$B$9,C$140=""),"",IF(COUNTIFS(BD!$B$3:$B$5001,C$140,BD!$A$3:$A$5001,"&gt;="&amp;$C$7,BD!$A$3:$A$5001,"&lt;="&amp;$B162,BD!$X$3:$X$5001,"&lt;&gt;")=0,"",SUMIFS(BD!$X$3:$X$5001,BD!$B$3:$B$5001,C$140,BD!$A$3:$A$5001,_xlfn.MAXIFS(BD!$A$3:$A$5001,BD!$B$3:$B$5001,C$140,BD!$A$3:$A$5001,"&gt;="&amp;$C$7,BD!$A$3:$A$5001,"&lt;="&amp;$B162,BD!$X$3:$X$5001,"&lt;&gt;"))))</f>
        <v/>
      </c>
      <c r="D162" s="43" t="str">
        <f>IF(OR($B162="",$A162&gt;$B$9,D$140=""),"",IF(COUNTIFS(BD!$B$3:$B$5001,D$140,BD!$A$3:$A$5001,"&gt;="&amp;$C$7,BD!$A$3:$A$5001,"&lt;="&amp;$B162,BD!$X$3:$X$5001,"&lt;&gt;")=0,"",SUMIFS(BD!$X$3:$X$5001,BD!$B$3:$B$5001,D$140,BD!$A$3:$A$5001,_xlfn.MAXIFS(BD!$A$3:$A$5001,BD!$B$3:$B$5001,D$140,BD!$A$3:$A$5001,"&gt;="&amp;$C$7,BD!$A$3:$A$5001,"&lt;="&amp;$B162,BD!$X$3:$X$5001,"&lt;&gt;"))))</f>
        <v/>
      </c>
      <c r="E162" s="43" t="str">
        <f>IF(OR($B162="",$A162&gt;$B$9,E$140=""),"",IF(COUNTIFS(BD!$B$3:$B$5001,E$140,BD!$A$3:$A$5001,"&gt;="&amp;$C$7,BD!$A$3:$A$5001,"&lt;="&amp;$B162,BD!$X$3:$X$5001,"&lt;&gt;")=0,"",SUMIFS(BD!$X$3:$X$5001,BD!$B$3:$B$5001,E$140,BD!$A$3:$A$5001,_xlfn.MAXIFS(BD!$A$3:$A$5001,BD!$B$3:$B$5001,E$140,BD!$A$3:$A$5001,"&gt;="&amp;$C$7,BD!$A$3:$A$5001,"&lt;="&amp;$B162,BD!$X$3:$X$5001,"&lt;&gt;"))))</f>
        <v/>
      </c>
      <c r="F162" s="43" t="str">
        <f>IF(OR($B162="",$A162&gt;$B$9,F$140=""),"",IF(COUNTIFS(BD!$B$3:$B$5001,F$140,BD!$A$3:$A$5001,"&gt;="&amp;$C$7,BD!$A$3:$A$5001,"&lt;="&amp;$B162,BD!$X$3:$X$5001,"&lt;&gt;")=0,"",SUMIFS(BD!$X$3:$X$5001,BD!$B$3:$B$5001,F$140,BD!$A$3:$A$5001,_xlfn.MAXIFS(BD!$A$3:$A$5001,BD!$B$3:$B$5001,F$140,BD!$A$3:$A$5001,"&gt;="&amp;$C$7,BD!$A$3:$A$5001,"&lt;="&amp;$B162,BD!$X$3:$X$5001,"&lt;&gt;"))))</f>
        <v/>
      </c>
      <c r="G162" s="43" t="str">
        <f>IF(OR($B162="",$A162&gt;$B$9,G$140=""),"",IF(COUNTIFS(BD!$B$3:$B$5001,G$140,BD!$A$3:$A$5001,"&gt;="&amp;$C$7,BD!$A$3:$A$5001,"&lt;="&amp;$B162,BD!$X$3:$X$5001,"&lt;&gt;")=0,"",SUMIFS(BD!$X$3:$X$5001,BD!$B$3:$B$5001,G$140,BD!$A$3:$A$5001,_xlfn.MAXIFS(BD!$A$3:$A$5001,BD!$B$3:$B$5001,G$140,BD!$A$3:$A$5001,"&gt;="&amp;$C$7,BD!$A$3:$A$5001,"&lt;="&amp;$B162,BD!$X$3:$X$5001,"&lt;&gt;"))))</f>
        <v/>
      </c>
      <c r="H162" s="43" t="str">
        <f>IF(OR($B162="",$A162&gt;$B$9,H$140=""),"",IF(COUNTIFS(BD!$B$3:$B$5001,H$140,BD!$A$3:$A$5001,"&gt;="&amp;$C$7,BD!$A$3:$A$5001,"&lt;="&amp;$B162,BD!$X$3:$X$5001,"&lt;&gt;")=0,"",SUMIFS(BD!$X$3:$X$5001,BD!$B$3:$B$5001,H$140,BD!$A$3:$A$5001,_xlfn.MAXIFS(BD!$A$3:$A$5001,BD!$B$3:$B$5001,H$140,BD!$A$3:$A$5001,"&gt;="&amp;$C$7,BD!$A$3:$A$5001,"&lt;="&amp;$B162,BD!$X$3:$X$5001,"&lt;&gt;"))))</f>
        <v/>
      </c>
      <c r="I162" s="43" t="str">
        <f>IF(OR($B162="",$A162&gt;$B$9,I$140=""),"",IF(COUNTIFS(BD!$B$3:$B$5001,I$140,BD!$A$3:$A$5001,"&gt;="&amp;$C$7,BD!$A$3:$A$5001,"&lt;="&amp;$B162,BD!$X$3:$X$5001,"&lt;&gt;")=0,"",SUMIFS(BD!$X$3:$X$5001,BD!$B$3:$B$5001,I$140,BD!$A$3:$A$5001,_xlfn.MAXIFS(BD!$A$3:$A$5001,BD!$B$3:$B$5001,I$140,BD!$A$3:$A$5001,"&gt;="&amp;$C$7,BD!$A$3:$A$5001,"&lt;="&amp;$B162,BD!$X$3:$X$5001,"&lt;&gt;"))))</f>
        <v/>
      </c>
      <c r="J162" s="43" t="str">
        <f>IF(OR($B162="",$A162&gt;$B$9,J$140=""),"",IF(COUNTIFS(BD!$B$3:$B$5001,J$140,BD!$A$3:$A$5001,"&gt;="&amp;$C$7,BD!$A$3:$A$5001,"&lt;="&amp;$B162,BD!$X$3:$X$5001,"&lt;&gt;")=0,"",SUMIFS(BD!$X$3:$X$5001,BD!$B$3:$B$5001,J$140,BD!$A$3:$A$5001,_xlfn.MAXIFS(BD!$A$3:$A$5001,BD!$B$3:$B$5001,J$140,BD!$A$3:$A$5001,"&gt;="&amp;$C$7,BD!$A$3:$A$5001,"&lt;="&amp;$B162,BD!$X$3:$X$5001,"&lt;&gt;"))))</f>
        <v/>
      </c>
      <c r="K162" s="43" t="str">
        <f>IF(OR($B162="",$A162&gt;$B$9,K$140=""),"",IF(COUNTIFS(BD!$B$3:$B$5001,K$140,BD!$A$3:$A$5001,"&gt;="&amp;$C$7,BD!$A$3:$A$5001,"&lt;="&amp;$B162,BD!$X$3:$X$5001,"&lt;&gt;")=0,"",SUMIFS(BD!$X$3:$X$5001,BD!$B$3:$B$5001,K$140,BD!$A$3:$A$5001,_xlfn.MAXIFS(BD!$A$3:$A$5001,BD!$B$3:$B$5001,K$140,BD!$A$3:$A$5001,"&gt;="&amp;$C$7,BD!$A$3:$A$5001,"&lt;="&amp;$B162,BD!$X$3:$X$5001,"&lt;&gt;"))))</f>
        <v/>
      </c>
      <c r="L162" s="43" t="str">
        <f>IF(OR($B162="",$A162&gt;$B$9,L$140=""),"",IF(COUNTIFS(BD!$B$3:$B$5001,L$140,BD!$A$3:$A$5001,"&gt;="&amp;$C$7,BD!$A$3:$A$5001,"&lt;="&amp;$B162,BD!$X$3:$X$5001,"&lt;&gt;")=0,"",SUMIFS(BD!$X$3:$X$5001,BD!$B$3:$B$5001,L$140,BD!$A$3:$A$5001,_xlfn.MAXIFS(BD!$A$3:$A$5001,BD!$B$3:$B$5001,L$140,BD!$A$3:$A$5001,"&gt;="&amp;$C$7,BD!$A$3:$A$5001,"&lt;="&amp;$B162,BD!$X$3:$X$5001,"&lt;&gt;"))))</f>
        <v/>
      </c>
      <c r="M162" s="43" t="str">
        <f>IF(OR($B162="",$A162&gt;$B$9,M$140=""),"",IF(COUNTIFS(BD!$B$3:$B$5001,M$140,BD!$A$3:$A$5001,"&gt;="&amp;$C$7,BD!$A$3:$A$5001,"&lt;="&amp;$B162,BD!$X$3:$X$5001,"&lt;&gt;")=0,"",SUMIFS(BD!$X$3:$X$5001,BD!$B$3:$B$5001,M$140,BD!$A$3:$A$5001,_xlfn.MAXIFS(BD!$A$3:$A$5001,BD!$B$3:$B$5001,M$140,BD!$A$3:$A$5001,"&gt;="&amp;$C$7,BD!$A$3:$A$5001,"&lt;="&amp;$B162,BD!$X$3:$X$5001,"&lt;&gt;"))))</f>
        <v/>
      </c>
      <c r="N162" s="43" t="str">
        <f>IF(OR($B162="",$A162&gt;$B$9,N$140=""),"",IF(COUNTIFS(BD!$B$3:$B$5001,N$140,BD!$A$3:$A$5001,"&gt;="&amp;$C$7,BD!$A$3:$A$5001,"&lt;="&amp;$B162,BD!$X$3:$X$5001,"&lt;&gt;")=0,"",SUMIFS(BD!$X$3:$X$5001,BD!$B$3:$B$5001,N$140,BD!$A$3:$A$5001,_xlfn.MAXIFS(BD!$A$3:$A$5001,BD!$B$3:$B$5001,N$140,BD!$A$3:$A$5001,"&gt;="&amp;$C$7,BD!$A$3:$A$5001,"&lt;="&amp;$B162,BD!$X$3:$X$5001,"&lt;&gt;"))))</f>
        <v/>
      </c>
      <c r="O162" s="43" t="str">
        <f>IF(OR($B162="",$A162&gt;$B$9,O$140=""),"",IF(COUNTIFS(BD!$B$3:$B$5001,O$140,BD!$A$3:$A$5001,"&gt;="&amp;$C$7,BD!$A$3:$A$5001,"&lt;="&amp;$B162,BD!$X$3:$X$5001,"&lt;&gt;")=0,"",SUMIFS(BD!$X$3:$X$5001,BD!$B$3:$B$5001,O$140,BD!$A$3:$A$5001,_xlfn.MAXIFS(BD!$A$3:$A$5001,BD!$B$3:$B$5001,O$140,BD!$A$3:$A$5001,"&gt;="&amp;$C$7,BD!$A$3:$A$5001,"&lt;="&amp;$B162,BD!$X$3:$X$5001,"&lt;&gt;"))))</f>
        <v/>
      </c>
      <c r="P162" s="43" t="str">
        <f>IF(OR($B162="",$A162&gt;$B$9,P$140=""),"",IF(COUNTIFS(BD!$B$3:$B$5001,P$140,BD!$A$3:$A$5001,"&gt;="&amp;$C$7,BD!$A$3:$A$5001,"&lt;="&amp;$B162,BD!$X$3:$X$5001,"&lt;&gt;")=0,"",SUMIFS(BD!$X$3:$X$5001,BD!$B$3:$B$5001,P$140,BD!$A$3:$A$5001,_xlfn.MAXIFS(BD!$A$3:$A$5001,BD!$B$3:$B$5001,P$140,BD!$A$3:$A$5001,"&gt;="&amp;$C$7,BD!$A$3:$A$5001,"&lt;="&amp;$B162,BD!$X$3:$X$5001,"&lt;&gt;"))))</f>
        <v/>
      </c>
      <c r="Q162" s="43" t="str">
        <f>IF(OR($B162="",$A162&gt;$B$9,Q$140=""),"",IF(COUNTIFS(BD!$B$3:$B$5001,Q$140,BD!$A$3:$A$5001,"&gt;="&amp;$C$7,BD!$A$3:$A$5001,"&lt;="&amp;$B162,BD!$X$3:$X$5001,"&lt;&gt;")=0,"",SUMIFS(BD!$X$3:$X$5001,BD!$B$3:$B$5001,Q$140,BD!$A$3:$A$5001,_xlfn.MAXIFS(BD!$A$3:$A$5001,BD!$B$3:$B$5001,Q$140,BD!$A$3:$A$5001,"&gt;="&amp;$C$7,BD!$A$3:$A$5001,"&lt;="&amp;$B162,BD!$X$3:$X$5001,"&lt;&gt;"))))</f>
        <v/>
      </c>
      <c r="R162" s="43" t="str">
        <f>IF(OR($B162="",$A162&gt;$B$9,R$140=""),"",IF(COUNTIFS(BD!$B$3:$B$5001,R$140,BD!$A$3:$A$5001,"&gt;="&amp;$C$7,BD!$A$3:$A$5001,"&lt;="&amp;$B162,BD!$X$3:$X$5001,"&lt;&gt;")=0,"",SUMIFS(BD!$X$3:$X$5001,BD!$B$3:$B$5001,R$140,BD!$A$3:$A$5001,_xlfn.MAXIFS(BD!$A$3:$A$5001,BD!$B$3:$B$5001,R$140,BD!$A$3:$A$5001,"&gt;="&amp;$C$7,BD!$A$3:$A$5001,"&lt;="&amp;$B162,BD!$X$3:$X$5001,"&lt;&gt;"))))</f>
        <v/>
      </c>
      <c r="S162" s="43" t="str">
        <f>IF(OR($B162="",$A162&gt;$B$9,S$140=""),"",IF(COUNTIFS(BD!$B$3:$B$5001,S$140,BD!$A$3:$A$5001,"&gt;="&amp;$C$7,BD!$A$3:$A$5001,"&lt;="&amp;$B162,BD!$X$3:$X$5001,"&lt;&gt;")=0,"",SUMIFS(BD!$X$3:$X$5001,BD!$B$3:$B$5001,S$140,BD!$A$3:$A$5001,_xlfn.MAXIFS(BD!$A$3:$A$5001,BD!$B$3:$B$5001,S$140,BD!$A$3:$A$5001,"&gt;="&amp;$C$7,BD!$A$3:$A$5001,"&lt;="&amp;$B162,BD!$X$3:$X$5001,"&lt;&gt;"))))</f>
        <v/>
      </c>
      <c r="T162" s="43" t="str">
        <f>IF(OR($B162="",$A162&gt;$B$9,T$140=""),"",IF(COUNTIFS(BD!$B$3:$B$5001,T$140,BD!$A$3:$A$5001,"&gt;="&amp;$C$7,BD!$A$3:$A$5001,"&lt;="&amp;$B162,BD!$X$3:$X$5001,"&lt;&gt;")=0,"",SUMIFS(BD!$X$3:$X$5001,BD!$B$3:$B$5001,T$140,BD!$A$3:$A$5001,_xlfn.MAXIFS(BD!$A$3:$A$5001,BD!$B$3:$B$5001,T$140,BD!$A$3:$A$5001,"&gt;="&amp;$C$7,BD!$A$3:$A$5001,"&lt;="&amp;$B162,BD!$X$3:$X$5001,"&lt;&gt;"))))</f>
        <v/>
      </c>
      <c r="U162" s="43" t="str">
        <f>IF(OR($B162="",$A162&gt;$B$9,U$140=""),"",IF(COUNTIFS(BD!$B$3:$B$5001,U$140,BD!$A$3:$A$5001,"&gt;="&amp;$C$7,BD!$A$3:$A$5001,"&lt;="&amp;$B162,BD!$X$3:$X$5001,"&lt;&gt;")=0,"",SUMIFS(BD!$X$3:$X$5001,BD!$B$3:$B$5001,U$140,BD!$A$3:$A$5001,_xlfn.MAXIFS(BD!$A$3:$A$5001,BD!$B$3:$B$5001,U$140,BD!$A$3:$A$5001,"&gt;="&amp;$C$7,BD!$A$3:$A$5001,"&lt;="&amp;$B162,BD!$X$3:$X$5001,"&lt;&gt;"))))</f>
        <v/>
      </c>
      <c r="V162" s="43" t="str">
        <f>IF(OR($B162="",$A162&gt;$B$9,V$140=""),"",IF(COUNTIFS(BD!$B$3:$B$5001,V$140,BD!$A$3:$A$5001,"&gt;="&amp;$C$7,BD!$A$3:$A$5001,"&lt;="&amp;$B162,BD!$X$3:$X$5001,"&lt;&gt;")=0,"",SUMIFS(BD!$X$3:$X$5001,BD!$B$3:$B$5001,V$140,BD!$A$3:$A$5001,_xlfn.MAXIFS(BD!$A$3:$A$5001,BD!$B$3:$B$5001,V$140,BD!$A$3:$A$5001,"&gt;="&amp;$C$7,BD!$A$3:$A$5001,"&lt;="&amp;$B162,BD!$X$3:$X$5001,"&lt;&gt;"))))</f>
        <v/>
      </c>
    </row>
    <row r="163">
      <c r="A163" s="38">
        <v>23</v>
      </c>
      <c r="B163" s="42">
        <f>$B$34</f>
        <v>46318</v>
      </c>
      <c r="C163" s="43" t="str">
        <f>IF(OR($B163="",$A163&gt;$B$9,C$140=""),"",IF(COUNTIFS(BD!$B$3:$B$5001,C$140,BD!$A$3:$A$5001,"&gt;="&amp;$C$7,BD!$A$3:$A$5001,"&lt;="&amp;$B163,BD!$X$3:$X$5001,"&lt;&gt;")=0,"",SUMIFS(BD!$X$3:$X$5001,BD!$B$3:$B$5001,C$140,BD!$A$3:$A$5001,_xlfn.MAXIFS(BD!$A$3:$A$5001,BD!$B$3:$B$5001,C$140,BD!$A$3:$A$5001,"&gt;="&amp;$C$7,BD!$A$3:$A$5001,"&lt;="&amp;$B163,BD!$X$3:$X$5001,"&lt;&gt;"))))</f>
        <v/>
      </c>
      <c r="D163" s="43" t="str">
        <f>IF(OR($B163="",$A163&gt;$B$9,D$140=""),"",IF(COUNTIFS(BD!$B$3:$B$5001,D$140,BD!$A$3:$A$5001,"&gt;="&amp;$C$7,BD!$A$3:$A$5001,"&lt;="&amp;$B163,BD!$X$3:$X$5001,"&lt;&gt;")=0,"",SUMIFS(BD!$X$3:$X$5001,BD!$B$3:$B$5001,D$140,BD!$A$3:$A$5001,_xlfn.MAXIFS(BD!$A$3:$A$5001,BD!$B$3:$B$5001,D$140,BD!$A$3:$A$5001,"&gt;="&amp;$C$7,BD!$A$3:$A$5001,"&lt;="&amp;$B163,BD!$X$3:$X$5001,"&lt;&gt;"))))</f>
        <v/>
      </c>
      <c r="E163" s="43" t="str">
        <f>IF(OR($B163="",$A163&gt;$B$9,E$140=""),"",IF(COUNTIFS(BD!$B$3:$B$5001,E$140,BD!$A$3:$A$5001,"&gt;="&amp;$C$7,BD!$A$3:$A$5001,"&lt;="&amp;$B163,BD!$X$3:$X$5001,"&lt;&gt;")=0,"",SUMIFS(BD!$X$3:$X$5001,BD!$B$3:$B$5001,E$140,BD!$A$3:$A$5001,_xlfn.MAXIFS(BD!$A$3:$A$5001,BD!$B$3:$B$5001,E$140,BD!$A$3:$A$5001,"&gt;="&amp;$C$7,BD!$A$3:$A$5001,"&lt;="&amp;$B163,BD!$X$3:$X$5001,"&lt;&gt;"))))</f>
        <v/>
      </c>
      <c r="F163" s="43" t="str">
        <f>IF(OR($B163="",$A163&gt;$B$9,F$140=""),"",IF(COUNTIFS(BD!$B$3:$B$5001,F$140,BD!$A$3:$A$5001,"&gt;="&amp;$C$7,BD!$A$3:$A$5001,"&lt;="&amp;$B163,BD!$X$3:$X$5001,"&lt;&gt;")=0,"",SUMIFS(BD!$X$3:$X$5001,BD!$B$3:$B$5001,F$140,BD!$A$3:$A$5001,_xlfn.MAXIFS(BD!$A$3:$A$5001,BD!$B$3:$B$5001,F$140,BD!$A$3:$A$5001,"&gt;="&amp;$C$7,BD!$A$3:$A$5001,"&lt;="&amp;$B163,BD!$X$3:$X$5001,"&lt;&gt;"))))</f>
        <v/>
      </c>
      <c r="G163" s="43" t="str">
        <f>IF(OR($B163="",$A163&gt;$B$9,G$140=""),"",IF(COUNTIFS(BD!$B$3:$B$5001,G$140,BD!$A$3:$A$5001,"&gt;="&amp;$C$7,BD!$A$3:$A$5001,"&lt;="&amp;$B163,BD!$X$3:$X$5001,"&lt;&gt;")=0,"",SUMIFS(BD!$X$3:$X$5001,BD!$B$3:$B$5001,G$140,BD!$A$3:$A$5001,_xlfn.MAXIFS(BD!$A$3:$A$5001,BD!$B$3:$B$5001,G$140,BD!$A$3:$A$5001,"&gt;="&amp;$C$7,BD!$A$3:$A$5001,"&lt;="&amp;$B163,BD!$X$3:$X$5001,"&lt;&gt;"))))</f>
        <v/>
      </c>
      <c r="H163" s="43" t="str">
        <f>IF(OR($B163="",$A163&gt;$B$9,H$140=""),"",IF(COUNTIFS(BD!$B$3:$B$5001,H$140,BD!$A$3:$A$5001,"&gt;="&amp;$C$7,BD!$A$3:$A$5001,"&lt;="&amp;$B163,BD!$X$3:$X$5001,"&lt;&gt;")=0,"",SUMIFS(BD!$X$3:$X$5001,BD!$B$3:$B$5001,H$140,BD!$A$3:$A$5001,_xlfn.MAXIFS(BD!$A$3:$A$5001,BD!$B$3:$B$5001,H$140,BD!$A$3:$A$5001,"&gt;="&amp;$C$7,BD!$A$3:$A$5001,"&lt;="&amp;$B163,BD!$X$3:$X$5001,"&lt;&gt;"))))</f>
        <v/>
      </c>
      <c r="I163" s="43" t="str">
        <f>IF(OR($B163="",$A163&gt;$B$9,I$140=""),"",IF(COUNTIFS(BD!$B$3:$B$5001,I$140,BD!$A$3:$A$5001,"&gt;="&amp;$C$7,BD!$A$3:$A$5001,"&lt;="&amp;$B163,BD!$X$3:$X$5001,"&lt;&gt;")=0,"",SUMIFS(BD!$X$3:$X$5001,BD!$B$3:$B$5001,I$140,BD!$A$3:$A$5001,_xlfn.MAXIFS(BD!$A$3:$A$5001,BD!$B$3:$B$5001,I$140,BD!$A$3:$A$5001,"&gt;="&amp;$C$7,BD!$A$3:$A$5001,"&lt;="&amp;$B163,BD!$X$3:$X$5001,"&lt;&gt;"))))</f>
        <v/>
      </c>
      <c r="J163" s="43" t="str">
        <f>IF(OR($B163="",$A163&gt;$B$9,J$140=""),"",IF(COUNTIFS(BD!$B$3:$B$5001,J$140,BD!$A$3:$A$5001,"&gt;="&amp;$C$7,BD!$A$3:$A$5001,"&lt;="&amp;$B163,BD!$X$3:$X$5001,"&lt;&gt;")=0,"",SUMIFS(BD!$X$3:$X$5001,BD!$B$3:$B$5001,J$140,BD!$A$3:$A$5001,_xlfn.MAXIFS(BD!$A$3:$A$5001,BD!$B$3:$B$5001,J$140,BD!$A$3:$A$5001,"&gt;="&amp;$C$7,BD!$A$3:$A$5001,"&lt;="&amp;$B163,BD!$X$3:$X$5001,"&lt;&gt;"))))</f>
        <v/>
      </c>
      <c r="K163" s="43" t="str">
        <f>IF(OR($B163="",$A163&gt;$B$9,K$140=""),"",IF(COUNTIFS(BD!$B$3:$B$5001,K$140,BD!$A$3:$A$5001,"&gt;="&amp;$C$7,BD!$A$3:$A$5001,"&lt;="&amp;$B163,BD!$X$3:$X$5001,"&lt;&gt;")=0,"",SUMIFS(BD!$X$3:$X$5001,BD!$B$3:$B$5001,K$140,BD!$A$3:$A$5001,_xlfn.MAXIFS(BD!$A$3:$A$5001,BD!$B$3:$B$5001,K$140,BD!$A$3:$A$5001,"&gt;="&amp;$C$7,BD!$A$3:$A$5001,"&lt;="&amp;$B163,BD!$X$3:$X$5001,"&lt;&gt;"))))</f>
        <v/>
      </c>
      <c r="L163" s="43" t="str">
        <f>IF(OR($B163="",$A163&gt;$B$9,L$140=""),"",IF(COUNTIFS(BD!$B$3:$B$5001,L$140,BD!$A$3:$A$5001,"&gt;="&amp;$C$7,BD!$A$3:$A$5001,"&lt;="&amp;$B163,BD!$X$3:$X$5001,"&lt;&gt;")=0,"",SUMIFS(BD!$X$3:$X$5001,BD!$B$3:$B$5001,L$140,BD!$A$3:$A$5001,_xlfn.MAXIFS(BD!$A$3:$A$5001,BD!$B$3:$B$5001,L$140,BD!$A$3:$A$5001,"&gt;="&amp;$C$7,BD!$A$3:$A$5001,"&lt;="&amp;$B163,BD!$X$3:$X$5001,"&lt;&gt;"))))</f>
        <v/>
      </c>
      <c r="M163" s="43" t="str">
        <f>IF(OR($B163="",$A163&gt;$B$9,M$140=""),"",IF(COUNTIFS(BD!$B$3:$B$5001,M$140,BD!$A$3:$A$5001,"&gt;="&amp;$C$7,BD!$A$3:$A$5001,"&lt;="&amp;$B163,BD!$X$3:$X$5001,"&lt;&gt;")=0,"",SUMIFS(BD!$X$3:$X$5001,BD!$B$3:$B$5001,M$140,BD!$A$3:$A$5001,_xlfn.MAXIFS(BD!$A$3:$A$5001,BD!$B$3:$B$5001,M$140,BD!$A$3:$A$5001,"&gt;="&amp;$C$7,BD!$A$3:$A$5001,"&lt;="&amp;$B163,BD!$X$3:$X$5001,"&lt;&gt;"))))</f>
        <v/>
      </c>
      <c r="N163" s="43" t="str">
        <f>IF(OR($B163="",$A163&gt;$B$9,N$140=""),"",IF(COUNTIFS(BD!$B$3:$B$5001,N$140,BD!$A$3:$A$5001,"&gt;="&amp;$C$7,BD!$A$3:$A$5001,"&lt;="&amp;$B163,BD!$X$3:$X$5001,"&lt;&gt;")=0,"",SUMIFS(BD!$X$3:$X$5001,BD!$B$3:$B$5001,N$140,BD!$A$3:$A$5001,_xlfn.MAXIFS(BD!$A$3:$A$5001,BD!$B$3:$B$5001,N$140,BD!$A$3:$A$5001,"&gt;="&amp;$C$7,BD!$A$3:$A$5001,"&lt;="&amp;$B163,BD!$X$3:$X$5001,"&lt;&gt;"))))</f>
        <v/>
      </c>
      <c r="O163" s="43" t="str">
        <f>IF(OR($B163="",$A163&gt;$B$9,O$140=""),"",IF(COUNTIFS(BD!$B$3:$B$5001,O$140,BD!$A$3:$A$5001,"&gt;="&amp;$C$7,BD!$A$3:$A$5001,"&lt;="&amp;$B163,BD!$X$3:$X$5001,"&lt;&gt;")=0,"",SUMIFS(BD!$X$3:$X$5001,BD!$B$3:$B$5001,O$140,BD!$A$3:$A$5001,_xlfn.MAXIFS(BD!$A$3:$A$5001,BD!$B$3:$B$5001,O$140,BD!$A$3:$A$5001,"&gt;="&amp;$C$7,BD!$A$3:$A$5001,"&lt;="&amp;$B163,BD!$X$3:$X$5001,"&lt;&gt;"))))</f>
        <v/>
      </c>
      <c r="P163" s="43" t="str">
        <f>IF(OR($B163="",$A163&gt;$B$9,P$140=""),"",IF(COUNTIFS(BD!$B$3:$B$5001,P$140,BD!$A$3:$A$5001,"&gt;="&amp;$C$7,BD!$A$3:$A$5001,"&lt;="&amp;$B163,BD!$X$3:$X$5001,"&lt;&gt;")=0,"",SUMIFS(BD!$X$3:$X$5001,BD!$B$3:$B$5001,P$140,BD!$A$3:$A$5001,_xlfn.MAXIFS(BD!$A$3:$A$5001,BD!$B$3:$B$5001,P$140,BD!$A$3:$A$5001,"&gt;="&amp;$C$7,BD!$A$3:$A$5001,"&lt;="&amp;$B163,BD!$X$3:$X$5001,"&lt;&gt;"))))</f>
        <v/>
      </c>
      <c r="Q163" s="43" t="str">
        <f>IF(OR($B163="",$A163&gt;$B$9,Q$140=""),"",IF(COUNTIFS(BD!$B$3:$B$5001,Q$140,BD!$A$3:$A$5001,"&gt;="&amp;$C$7,BD!$A$3:$A$5001,"&lt;="&amp;$B163,BD!$X$3:$X$5001,"&lt;&gt;")=0,"",SUMIFS(BD!$X$3:$X$5001,BD!$B$3:$B$5001,Q$140,BD!$A$3:$A$5001,_xlfn.MAXIFS(BD!$A$3:$A$5001,BD!$B$3:$B$5001,Q$140,BD!$A$3:$A$5001,"&gt;="&amp;$C$7,BD!$A$3:$A$5001,"&lt;="&amp;$B163,BD!$X$3:$X$5001,"&lt;&gt;"))))</f>
        <v/>
      </c>
      <c r="R163" s="43" t="str">
        <f>IF(OR($B163="",$A163&gt;$B$9,R$140=""),"",IF(COUNTIFS(BD!$B$3:$B$5001,R$140,BD!$A$3:$A$5001,"&gt;="&amp;$C$7,BD!$A$3:$A$5001,"&lt;="&amp;$B163,BD!$X$3:$X$5001,"&lt;&gt;")=0,"",SUMIFS(BD!$X$3:$X$5001,BD!$B$3:$B$5001,R$140,BD!$A$3:$A$5001,_xlfn.MAXIFS(BD!$A$3:$A$5001,BD!$B$3:$B$5001,R$140,BD!$A$3:$A$5001,"&gt;="&amp;$C$7,BD!$A$3:$A$5001,"&lt;="&amp;$B163,BD!$X$3:$X$5001,"&lt;&gt;"))))</f>
        <v/>
      </c>
      <c r="S163" s="43" t="str">
        <f>IF(OR($B163="",$A163&gt;$B$9,S$140=""),"",IF(COUNTIFS(BD!$B$3:$B$5001,S$140,BD!$A$3:$A$5001,"&gt;="&amp;$C$7,BD!$A$3:$A$5001,"&lt;="&amp;$B163,BD!$X$3:$X$5001,"&lt;&gt;")=0,"",SUMIFS(BD!$X$3:$X$5001,BD!$B$3:$B$5001,S$140,BD!$A$3:$A$5001,_xlfn.MAXIFS(BD!$A$3:$A$5001,BD!$B$3:$B$5001,S$140,BD!$A$3:$A$5001,"&gt;="&amp;$C$7,BD!$A$3:$A$5001,"&lt;="&amp;$B163,BD!$X$3:$X$5001,"&lt;&gt;"))))</f>
        <v/>
      </c>
      <c r="T163" s="43" t="str">
        <f>IF(OR($B163="",$A163&gt;$B$9,T$140=""),"",IF(COUNTIFS(BD!$B$3:$B$5001,T$140,BD!$A$3:$A$5001,"&gt;="&amp;$C$7,BD!$A$3:$A$5001,"&lt;="&amp;$B163,BD!$X$3:$X$5001,"&lt;&gt;")=0,"",SUMIFS(BD!$X$3:$X$5001,BD!$B$3:$B$5001,T$140,BD!$A$3:$A$5001,_xlfn.MAXIFS(BD!$A$3:$A$5001,BD!$B$3:$B$5001,T$140,BD!$A$3:$A$5001,"&gt;="&amp;$C$7,BD!$A$3:$A$5001,"&lt;="&amp;$B163,BD!$X$3:$X$5001,"&lt;&gt;"))))</f>
        <v/>
      </c>
      <c r="U163" s="43" t="str">
        <f>IF(OR($B163="",$A163&gt;$B$9,U$140=""),"",IF(COUNTIFS(BD!$B$3:$B$5001,U$140,BD!$A$3:$A$5001,"&gt;="&amp;$C$7,BD!$A$3:$A$5001,"&lt;="&amp;$B163,BD!$X$3:$X$5001,"&lt;&gt;")=0,"",SUMIFS(BD!$X$3:$X$5001,BD!$B$3:$B$5001,U$140,BD!$A$3:$A$5001,_xlfn.MAXIFS(BD!$A$3:$A$5001,BD!$B$3:$B$5001,U$140,BD!$A$3:$A$5001,"&gt;="&amp;$C$7,BD!$A$3:$A$5001,"&lt;="&amp;$B163,BD!$X$3:$X$5001,"&lt;&gt;"))))</f>
        <v/>
      </c>
      <c r="V163" s="43" t="str">
        <f>IF(OR($B163="",$A163&gt;$B$9,V$140=""),"",IF(COUNTIFS(BD!$B$3:$B$5001,V$140,BD!$A$3:$A$5001,"&gt;="&amp;$C$7,BD!$A$3:$A$5001,"&lt;="&amp;$B163,BD!$X$3:$X$5001,"&lt;&gt;")=0,"",SUMIFS(BD!$X$3:$X$5001,BD!$B$3:$B$5001,V$140,BD!$A$3:$A$5001,_xlfn.MAXIFS(BD!$A$3:$A$5001,BD!$B$3:$B$5001,V$140,BD!$A$3:$A$5001,"&gt;="&amp;$C$7,BD!$A$3:$A$5001,"&lt;="&amp;$B163,BD!$X$3:$X$5001,"&lt;&gt;"))))</f>
        <v/>
      </c>
    </row>
    <row r="164">
      <c r="A164" s="38">
        <v>24</v>
      </c>
      <c r="B164" s="42">
        <f>$B$35</f>
        <v>46319</v>
      </c>
      <c r="C164" s="43" t="str">
        <f>IF(OR($B164="",$A164&gt;$B$9,C$140=""),"",IF(COUNTIFS(BD!$B$3:$B$5001,C$140,BD!$A$3:$A$5001,"&gt;="&amp;$C$7,BD!$A$3:$A$5001,"&lt;="&amp;$B164,BD!$X$3:$X$5001,"&lt;&gt;")=0,"",SUMIFS(BD!$X$3:$X$5001,BD!$B$3:$B$5001,C$140,BD!$A$3:$A$5001,_xlfn.MAXIFS(BD!$A$3:$A$5001,BD!$B$3:$B$5001,C$140,BD!$A$3:$A$5001,"&gt;="&amp;$C$7,BD!$A$3:$A$5001,"&lt;="&amp;$B164,BD!$X$3:$X$5001,"&lt;&gt;"))))</f>
        <v/>
      </c>
      <c r="D164" s="43" t="str">
        <f>IF(OR($B164="",$A164&gt;$B$9,D$140=""),"",IF(COUNTIFS(BD!$B$3:$B$5001,D$140,BD!$A$3:$A$5001,"&gt;="&amp;$C$7,BD!$A$3:$A$5001,"&lt;="&amp;$B164,BD!$X$3:$X$5001,"&lt;&gt;")=0,"",SUMIFS(BD!$X$3:$X$5001,BD!$B$3:$B$5001,D$140,BD!$A$3:$A$5001,_xlfn.MAXIFS(BD!$A$3:$A$5001,BD!$B$3:$B$5001,D$140,BD!$A$3:$A$5001,"&gt;="&amp;$C$7,BD!$A$3:$A$5001,"&lt;="&amp;$B164,BD!$X$3:$X$5001,"&lt;&gt;"))))</f>
        <v/>
      </c>
      <c r="E164" s="43" t="str">
        <f>IF(OR($B164="",$A164&gt;$B$9,E$140=""),"",IF(COUNTIFS(BD!$B$3:$B$5001,E$140,BD!$A$3:$A$5001,"&gt;="&amp;$C$7,BD!$A$3:$A$5001,"&lt;="&amp;$B164,BD!$X$3:$X$5001,"&lt;&gt;")=0,"",SUMIFS(BD!$X$3:$X$5001,BD!$B$3:$B$5001,E$140,BD!$A$3:$A$5001,_xlfn.MAXIFS(BD!$A$3:$A$5001,BD!$B$3:$B$5001,E$140,BD!$A$3:$A$5001,"&gt;="&amp;$C$7,BD!$A$3:$A$5001,"&lt;="&amp;$B164,BD!$X$3:$X$5001,"&lt;&gt;"))))</f>
        <v/>
      </c>
      <c r="F164" s="43" t="str">
        <f>IF(OR($B164="",$A164&gt;$B$9,F$140=""),"",IF(COUNTIFS(BD!$B$3:$B$5001,F$140,BD!$A$3:$A$5001,"&gt;="&amp;$C$7,BD!$A$3:$A$5001,"&lt;="&amp;$B164,BD!$X$3:$X$5001,"&lt;&gt;")=0,"",SUMIFS(BD!$X$3:$X$5001,BD!$B$3:$B$5001,F$140,BD!$A$3:$A$5001,_xlfn.MAXIFS(BD!$A$3:$A$5001,BD!$B$3:$B$5001,F$140,BD!$A$3:$A$5001,"&gt;="&amp;$C$7,BD!$A$3:$A$5001,"&lt;="&amp;$B164,BD!$X$3:$X$5001,"&lt;&gt;"))))</f>
        <v/>
      </c>
      <c r="G164" s="43" t="str">
        <f>IF(OR($B164="",$A164&gt;$B$9,G$140=""),"",IF(COUNTIFS(BD!$B$3:$B$5001,G$140,BD!$A$3:$A$5001,"&gt;="&amp;$C$7,BD!$A$3:$A$5001,"&lt;="&amp;$B164,BD!$X$3:$X$5001,"&lt;&gt;")=0,"",SUMIFS(BD!$X$3:$X$5001,BD!$B$3:$B$5001,G$140,BD!$A$3:$A$5001,_xlfn.MAXIFS(BD!$A$3:$A$5001,BD!$B$3:$B$5001,G$140,BD!$A$3:$A$5001,"&gt;="&amp;$C$7,BD!$A$3:$A$5001,"&lt;="&amp;$B164,BD!$X$3:$X$5001,"&lt;&gt;"))))</f>
        <v/>
      </c>
      <c r="H164" s="43" t="str">
        <f>IF(OR($B164="",$A164&gt;$B$9,H$140=""),"",IF(COUNTIFS(BD!$B$3:$B$5001,H$140,BD!$A$3:$A$5001,"&gt;="&amp;$C$7,BD!$A$3:$A$5001,"&lt;="&amp;$B164,BD!$X$3:$X$5001,"&lt;&gt;")=0,"",SUMIFS(BD!$X$3:$X$5001,BD!$B$3:$B$5001,H$140,BD!$A$3:$A$5001,_xlfn.MAXIFS(BD!$A$3:$A$5001,BD!$B$3:$B$5001,H$140,BD!$A$3:$A$5001,"&gt;="&amp;$C$7,BD!$A$3:$A$5001,"&lt;="&amp;$B164,BD!$X$3:$X$5001,"&lt;&gt;"))))</f>
        <v/>
      </c>
      <c r="I164" s="43" t="str">
        <f>IF(OR($B164="",$A164&gt;$B$9,I$140=""),"",IF(COUNTIFS(BD!$B$3:$B$5001,I$140,BD!$A$3:$A$5001,"&gt;="&amp;$C$7,BD!$A$3:$A$5001,"&lt;="&amp;$B164,BD!$X$3:$X$5001,"&lt;&gt;")=0,"",SUMIFS(BD!$X$3:$X$5001,BD!$B$3:$B$5001,I$140,BD!$A$3:$A$5001,_xlfn.MAXIFS(BD!$A$3:$A$5001,BD!$B$3:$B$5001,I$140,BD!$A$3:$A$5001,"&gt;="&amp;$C$7,BD!$A$3:$A$5001,"&lt;="&amp;$B164,BD!$X$3:$X$5001,"&lt;&gt;"))))</f>
        <v/>
      </c>
      <c r="J164" s="43" t="str">
        <f>IF(OR($B164="",$A164&gt;$B$9,J$140=""),"",IF(COUNTIFS(BD!$B$3:$B$5001,J$140,BD!$A$3:$A$5001,"&gt;="&amp;$C$7,BD!$A$3:$A$5001,"&lt;="&amp;$B164,BD!$X$3:$X$5001,"&lt;&gt;")=0,"",SUMIFS(BD!$X$3:$X$5001,BD!$B$3:$B$5001,J$140,BD!$A$3:$A$5001,_xlfn.MAXIFS(BD!$A$3:$A$5001,BD!$B$3:$B$5001,J$140,BD!$A$3:$A$5001,"&gt;="&amp;$C$7,BD!$A$3:$A$5001,"&lt;="&amp;$B164,BD!$X$3:$X$5001,"&lt;&gt;"))))</f>
        <v/>
      </c>
      <c r="K164" s="43" t="str">
        <f>IF(OR($B164="",$A164&gt;$B$9,K$140=""),"",IF(COUNTIFS(BD!$B$3:$B$5001,K$140,BD!$A$3:$A$5001,"&gt;="&amp;$C$7,BD!$A$3:$A$5001,"&lt;="&amp;$B164,BD!$X$3:$X$5001,"&lt;&gt;")=0,"",SUMIFS(BD!$X$3:$X$5001,BD!$B$3:$B$5001,K$140,BD!$A$3:$A$5001,_xlfn.MAXIFS(BD!$A$3:$A$5001,BD!$B$3:$B$5001,K$140,BD!$A$3:$A$5001,"&gt;="&amp;$C$7,BD!$A$3:$A$5001,"&lt;="&amp;$B164,BD!$X$3:$X$5001,"&lt;&gt;"))))</f>
        <v/>
      </c>
      <c r="L164" s="43" t="str">
        <f>IF(OR($B164="",$A164&gt;$B$9,L$140=""),"",IF(COUNTIFS(BD!$B$3:$B$5001,L$140,BD!$A$3:$A$5001,"&gt;="&amp;$C$7,BD!$A$3:$A$5001,"&lt;="&amp;$B164,BD!$X$3:$X$5001,"&lt;&gt;")=0,"",SUMIFS(BD!$X$3:$X$5001,BD!$B$3:$B$5001,L$140,BD!$A$3:$A$5001,_xlfn.MAXIFS(BD!$A$3:$A$5001,BD!$B$3:$B$5001,L$140,BD!$A$3:$A$5001,"&gt;="&amp;$C$7,BD!$A$3:$A$5001,"&lt;="&amp;$B164,BD!$X$3:$X$5001,"&lt;&gt;"))))</f>
        <v/>
      </c>
      <c r="M164" s="43" t="str">
        <f>IF(OR($B164="",$A164&gt;$B$9,M$140=""),"",IF(COUNTIFS(BD!$B$3:$B$5001,M$140,BD!$A$3:$A$5001,"&gt;="&amp;$C$7,BD!$A$3:$A$5001,"&lt;="&amp;$B164,BD!$X$3:$X$5001,"&lt;&gt;")=0,"",SUMIFS(BD!$X$3:$X$5001,BD!$B$3:$B$5001,M$140,BD!$A$3:$A$5001,_xlfn.MAXIFS(BD!$A$3:$A$5001,BD!$B$3:$B$5001,M$140,BD!$A$3:$A$5001,"&gt;="&amp;$C$7,BD!$A$3:$A$5001,"&lt;="&amp;$B164,BD!$X$3:$X$5001,"&lt;&gt;"))))</f>
        <v/>
      </c>
      <c r="N164" s="43" t="str">
        <f>IF(OR($B164="",$A164&gt;$B$9,N$140=""),"",IF(COUNTIFS(BD!$B$3:$B$5001,N$140,BD!$A$3:$A$5001,"&gt;="&amp;$C$7,BD!$A$3:$A$5001,"&lt;="&amp;$B164,BD!$X$3:$X$5001,"&lt;&gt;")=0,"",SUMIFS(BD!$X$3:$X$5001,BD!$B$3:$B$5001,N$140,BD!$A$3:$A$5001,_xlfn.MAXIFS(BD!$A$3:$A$5001,BD!$B$3:$B$5001,N$140,BD!$A$3:$A$5001,"&gt;="&amp;$C$7,BD!$A$3:$A$5001,"&lt;="&amp;$B164,BD!$X$3:$X$5001,"&lt;&gt;"))))</f>
        <v/>
      </c>
      <c r="O164" s="43" t="str">
        <f>IF(OR($B164="",$A164&gt;$B$9,O$140=""),"",IF(COUNTIFS(BD!$B$3:$B$5001,O$140,BD!$A$3:$A$5001,"&gt;="&amp;$C$7,BD!$A$3:$A$5001,"&lt;="&amp;$B164,BD!$X$3:$X$5001,"&lt;&gt;")=0,"",SUMIFS(BD!$X$3:$X$5001,BD!$B$3:$B$5001,O$140,BD!$A$3:$A$5001,_xlfn.MAXIFS(BD!$A$3:$A$5001,BD!$B$3:$B$5001,O$140,BD!$A$3:$A$5001,"&gt;="&amp;$C$7,BD!$A$3:$A$5001,"&lt;="&amp;$B164,BD!$X$3:$X$5001,"&lt;&gt;"))))</f>
        <v/>
      </c>
      <c r="P164" s="43" t="str">
        <f>IF(OR($B164="",$A164&gt;$B$9,P$140=""),"",IF(COUNTIFS(BD!$B$3:$B$5001,P$140,BD!$A$3:$A$5001,"&gt;="&amp;$C$7,BD!$A$3:$A$5001,"&lt;="&amp;$B164,BD!$X$3:$X$5001,"&lt;&gt;")=0,"",SUMIFS(BD!$X$3:$X$5001,BD!$B$3:$B$5001,P$140,BD!$A$3:$A$5001,_xlfn.MAXIFS(BD!$A$3:$A$5001,BD!$B$3:$B$5001,P$140,BD!$A$3:$A$5001,"&gt;="&amp;$C$7,BD!$A$3:$A$5001,"&lt;="&amp;$B164,BD!$X$3:$X$5001,"&lt;&gt;"))))</f>
        <v/>
      </c>
      <c r="Q164" s="43" t="str">
        <f>IF(OR($B164="",$A164&gt;$B$9,Q$140=""),"",IF(COUNTIFS(BD!$B$3:$B$5001,Q$140,BD!$A$3:$A$5001,"&gt;="&amp;$C$7,BD!$A$3:$A$5001,"&lt;="&amp;$B164,BD!$X$3:$X$5001,"&lt;&gt;")=0,"",SUMIFS(BD!$X$3:$X$5001,BD!$B$3:$B$5001,Q$140,BD!$A$3:$A$5001,_xlfn.MAXIFS(BD!$A$3:$A$5001,BD!$B$3:$B$5001,Q$140,BD!$A$3:$A$5001,"&gt;="&amp;$C$7,BD!$A$3:$A$5001,"&lt;="&amp;$B164,BD!$X$3:$X$5001,"&lt;&gt;"))))</f>
        <v/>
      </c>
      <c r="R164" s="43" t="str">
        <f>IF(OR($B164="",$A164&gt;$B$9,R$140=""),"",IF(COUNTIFS(BD!$B$3:$B$5001,R$140,BD!$A$3:$A$5001,"&gt;="&amp;$C$7,BD!$A$3:$A$5001,"&lt;="&amp;$B164,BD!$X$3:$X$5001,"&lt;&gt;")=0,"",SUMIFS(BD!$X$3:$X$5001,BD!$B$3:$B$5001,R$140,BD!$A$3:$A$5001,_xlfn.MAXIFS(BD!$A$3:$A$5001,BD!$B$3:$B$5001,R$140,BD!$A$3:$A$5001,"&gt;="&amp;$C$7,BD!$A$3:$A$5001,"&lt;="&amp;$B164,BD!$X$3:$X$5001,"&lt;&gt;"))))</f>
        <v/>
      </c>
      <c r="S164" s="43" t="str">
        <f>IF(OR($B164="",$A164&gt;$B$9,S$140=""),"",IF(COUNTIFS(BD!$B$3:$B$5001,S$140,BD!$A$3:$A$5001,"&gt;="&amp;$C$7,BD!$A$3:$A$5001,"&lt;="&amp;$B164,BD!$X$3:$X$5001,"&lt;&gt;")=0,"",SUMIFS(BD!$X$3:$X$5001,BD!$B$3:$B$5001,S$140,BD!$A$3:$A$5001,_xlfn.MAXIFS(BD!$A$3:$A$5001,BD!$B$3:$B$5001,S$140,BD!$A$3:$A$5001,"&gt;="&amp;$C$7,BD!$A$3:$A$5001,"&lt;="&amp;$B164,BD!$X$3:$X$5001,"&lt;&gt;"))))</f>
        <v/>
      </c>
      <c r="T164" s="43" t="str">
        <f>IF(OR($B164="",$A164&gt;$B$9,T$140=""),"",IF(COUNTIFS(BD!$B$3:$B$5001,T$140,BD!$A$3:$A$5001,"&gt;="&amp;$C$7,BD!$A$3:$A$5001,"&lt;="&amp;$B164,BD!$X$3:$X$5001,"&lt;&gt;")=0,"",SUMIFS(BD!$X$3:$X$5001,BD!$B$3:$B$5001,T$140,BD!$A$3:$A$5001,_xlfn.MAXIFS(BD!$A$3:$A$5001,BD!$B$3:$B$5001,T$140,BD!$A$3:$A$5001,"&gt;="&amp;$C$7,BD!$A$3:$A$5001,"&lt;="&amp;$B164,BD!$X$3:$X$5001,"&lt;&gt;"))))</f>
        <v/>
      </c>
      <c r="U164" s="43" t="str">
        <f>IF(OR($B164="",$A164&gt;$B$9,U$140=""),"",IF(COUNTIFS(BD!$B$3:$B$5001,U$140,BD!$A$3:$A$5001,"&gt;="&amp;$C$7,BD!$A$3:$A$5001,"&lt;="&amp;$B164,BD!$X$3:$X$5001,"&lt;&gt;")=0,"",SUMIFS(BD!$X$3:$X$5001,BD!$B$3:$B$5001,U$140,BD!$A$3:$A$5001,_xlfn.MAXIFS(BD!$A$3:$A$5001,BD!$B$3:$B$5001,U$140,BD!$A$3:$A$5001,"&gt;="&amp;$C$7,BD!$A$3:$A$5001,"&lt;="&amp;$B164,BD!$X$3:$X$5001,"&lt;&gt;"))))</f>
        <v/>
      </c>
      <c r="V164" s="43" t="str">
        <f>IF(OR($B164="",$A164&gt;$B$9,V$140=""),"",IF(COUNTIFS(BD!$B$3:$B$5001,V$140,BD!$A$3:$A$5001,"&gt;="&amp;$C$7,BD!$A$3:$A$5001,"&lt;="&amp;$B164,BD!$X$3:$X$5001,"&lt;&gt;")=0,"",SUMIFS(BD!$X$3:$X$5001,BD!$B$3:$B$5001,V$140,BD!$A$3:$A$5001,_xlfn.MAXIFS(BD!$A$3:$A$5001,BD!$B$3:$B$5001,V$140,BD!$A$3:$A$5001,"&gt;="&amp;$C$7,BD!$A$3:$A$5001,"&lt;="&amp;$B164,BD!$X$3:$X$5001,"&lt;&gt;"))))</f>
        <v/>
      </c>
    </row>
    <row r="165">
      <c r="A165" s="38">
        <v>25</v>
      </c>
      <c r="B165" s="42">
        <f>$B$36</f>
        <v>46320</v>
      </c>
      <c r="C165" s="43" t="str">
        <f>IF(OR($B165="",$A165&gt;$B$9,C$140=""),"",IF(COUNTIFS(BD!$B$3:$B$5001,C$140,BD!$A$3:$A$5001,"&gt;="&amp;$C$7,BD!$A$3:$A$5001,"&lt;="&amp;$B165,BD!$X$3:$X$5001,"&lt;&gt;")=0,"",SUMIFS(BD!$X$3:$X$5001,BD!$B$3:$B$5001,C$140,BD!$A$3:$A$5001,_xlfn.MAXIFS(BD!$A$3:$A$5001,BD!$B$3:$B$5001,C$140,BD!$A$3:$A$5001,"&gt;="&amp;$C$7,BD!$A$3:$A$5001,"&lt;="&amp;$B165,BD!$X$3:$X$5001,"&lt;&gt;"))))</f>
        <v/>
      </c>
      <c r="D165" s="43" t="str">
        <f>IF(OR($B165="",$A165&gt;$B$9,D$140=""),"",IF(COUNTIFS(BD!$B$3:$B$5001,D$140,BD!$A$3:$A$5001,"&gt;="&amp;$C$7,BD!$A$3:$A$5001,"&lt;="&amp;$B165,BD!$X$3:$X$5001,"&lt;&gt;")=0,"",SUMIFS(BD!$X$3:$X$5001,BD!$B$3:$B$5001,D$140,BD!$A$3:$A$5001,_xlfn.MAXIFS(BD!$A$3:$A$5001,BD!$B$3:$B$5001,D$140,BD!$A$3:$A$5001,"&gt;="&amp;$C$7,BD!$A$3:$A$5001,"&lt;="&amp;$B165,BD!$X$3:$X$5001,"&lt;&gt;"))))</f>
        <v/>
      </c>
      <c r="E165" s="43" t="str">
        <f>IF(OR($B165="",$A165&gt;$B$9,E$140=""),"",IF(COUNTIFS(BD!$B$3:$B$5001,E$140,BD!$A$3:$A$5001,"&gt;="&amp;$C$7,BD!$A$3:$A$5001,"&lt;="&amp;$B165,BD!$X$3:$X$5001,"&lt;&gt;")=0,"",SUMIFS(BD!$X$3:$X$5001,BD!$B$3:$B$5001,E$140,BD!$A$3:$A$5001,_xlfn.MAXIFS(BD!$A$3:$A$5001,BD!$B$3:$B$5001,E$140,BD!$A$3:$A$5001,"&gt;="&amp;$C$7,BD!$A$3:$A$5001,"&lt;="&amp;$B165,BD!$X$3:$X$5001,"&lt;&gt;"))))</f>
        <v/>
      </c>
      <c r="F165" s="43" t="str">
        <f>IF(OR($B165="",$A165&gt;$B$9,F$140=""),"",IF(COUNTIFS(BD!$B$3:$B$5001,F$140,BD!$A$3:$A$5001,"&gt;="&amp;$C$7,BD!$A$3:$A$5001,"&lt;="&amp;$B165,BD!$X$3:$X$5001,"&lt;&gt;")=0,"",SUMIFS(BD!$X$3:$X$5001,BD!$B$3:$B$5001,F$140,BD!$A$3:$A$5001,_xlfn.MAXIFS(BD!$A$3:$A$5001,BD!$B$3:$B$5001,F$140,BD!$A$3:$A$5001,"&gt;="&amp;$C$7,BD!$A$3:$A$5001,"&lt;="&amp;$B165,BD!$X$3:$X$5001,"&lt;&gt;"))))</f>
        <v/>
      </c>
      <c r="G165" s="43" t="str">
        <f>IF(OR($B165="",$A165&gt;$B$9,G$140=""),"",IF(COUNTIFS(BD!$B$3:$B$5001,G$140,BD!$A$3:$A$5001,"&gt;="&amp;$C$7,BD!$A$3:$A$5001,"&lt;="&amp;$B165,BD!$X$3:$X$5001,"&lt;&gt;")=0,"",SUMIFS(BD!$X$3:$X$5001,BD!$B$3:$B$5001,G$140,BD!$A$3:$A$5001,_xlfn.MAXIFS(BD!$A$3:$A$5001,BD!$B$3:$B$5001,G$140,BD!$A$3:$A$5001,"&gt;="&amp;$C$7,BD!$A$3:$A$5001,"&lt;="&amp;$B165,BD!$X$3:$X$5001,"&lt;&gt;"))))</f>
        <v/>
      </c>
      <c r="H165" s="43" t="str">
        <f>IF(OR($B165="",$A165&gt;$B$9,H$140=""),"",IF(COUNTIFS(BD!$B$3:$B$5001,H$140,BD!$A$3:$A$5001,"&gt;="&amp;$C$7,BD!$A$3:$A$5001,"&lt;="&amp;$B165,BD!$X$3:$X$5001,"&lt;&gt;")=0,"",SUMIFS(BD!$X$3:$X$5001,BD!$B$3:$B$5001,H$140,BD!$A$3:$A$5001,_xlfn.MAXIFS(BD!$A$3:$A$5001,BD!$B$3:$B$5001,H$140,BD!$A$3:$A$5001,"&gt;="&amp;$C$7,BD!$A$3:$A$5001,"&lt;="&amp;$B165,BD!$X$3:$X$5001,"&lt;&gt;"))))</f>
        <v/>
      </c>
      <c r="I165" s="43" t="str">
        <f>IF(OR($B165="",$A165&gt;$B$9,I$140=""),"",IF(COUNTIFS(BD!$B$3:$B$5001,I$140,BD!$A$3:$A$5001,"&gt;="&amp;$C$7,BD!$A$3:$A$5001,"&lt;="&amp;$B165,BD!$X$3:$X$5001,"&lt;&gt;")=0,"",SUMIFS(BD!$X$3:$X$5001,BD!$B$3:$B$5001,I$140,BD!$A$3:$A$5001,_xlfn.MAXIFS(BD!$A$3:$A$5001,BD!$B$3:$B$5001,I$140,BD!$A$3:$A$5001,"&gt;="&amp;$C$7,BD!$A$3:$A$5001,"&lt;="&amp;$B165,BD!$X$3:$X$5001,"&lt;&gt;"))))</f>
        <v/>
      </c>
      <c r="J165" s="43" t="str">
        <f>IF(OR($B165="",$A165&gt;$B$9,J$140=""),"",IF(COUNTIFS(BD!$B$3:$B$5001,J$140,BD!$A$3:$A$5001,"&gt;="&amp;$C$7,BD!$A$3:$A$5001,"&lt;="&amp;$B165,BD!$X$3:$X$5001,"&lt;&gt;")=0,"",SUMIFS(BD!$X$3:$X$5001,BD!$B$3:$B$5001,J$140,BD!$A$3:$A$5001,_xlfn.MAXIFS(BD!$A$3:$A$5001,BD!$B$3:$B$5001,J$140,BD!$A$3:$A$5001,"&gt;="&amp;$C$7,BD!$A$3:$A$5001,"&lt;="&amp;$B165,BD!$X$3:$X$5001,"&lt;&gt;"))))</f>
        <v/>
      </c>
      <c r="K165" s="43" t="str">
        <f>IF(OR($B165="",$A165&gt;$B$9,K$140=""),"",IF(COUNTIFS(BD!$B$3:$B$5001,K$140,BD!$A$3:$A$5001,"&gt;="&amp;$C$7,BD!$A$3:$A$5001,"&lt;="&amp;$B165,BD!$X$3:$X$5001,"&lt;&gt;")=0,"",SUMIFS(BD!$X$3:$X$5001,BD!$B$3:$B$5001,K$140,BD!$A$3:$A$5001,_xlfn.MAXIFS(BD!$A$3:$A$5001,BD!$B$3:$B$5001,K$140,BD!$A$3:$A$5001,"&gt;="&amp;$C$7,BD!$A$3:$A$5001,"&lt;="&amp;$B165,BD!$X$3:$X$5001,"&lt;&gt;"))))</f>
        <v/>
      </c>
      <c r="L165" s="43" t="str">
        <f>IF(OR($B165="",$A165&gt;$B$9,L$140=""),"",IF(COUNTIFS(BD!$B$3:$B$5001,L$140,BD!$A$3:$A$5001,"&gt;="&amp;$C$7,BD!$A$3:$A$5001,"&lt;="&amp;$B165,BD!$X$3:$X$5001,"&lt;&gt;")=0,"",SUMIFS(BD!$X$3:$X$5001,BD!$B$3:$B$5001,L$140,BD!$A$3:$A$5001,_xlfn.MAXIFS(BD!$A$3:$A$5001,BD!$B$3:$B$5001,L$140,BD!$A$3:$A$5001,"&gt;="&amp;$C$7,BD!$A$3:$A$5001,"&lt;="&amp;$B165,BD!$X$3:$X$5001,"&lt;&gt;"))))</f>
        <v/>
      </c>
      <c r="M165" s="43" t="str">
        <f>IF(OR($B165="",$A165&gt;$B$9,M$140=""),"",IF(COUNTIFS(BD!$B$3:$B$5001,M$140,BD!$A$3:$A$5001,"&gt;="&amp;$C$7,BD!$A$3:$A$5001,"&lt;="&amp;$B165,BD!$X$3:$X$5001,"&lt;&gt;")=0,"",SUMIFS(BD!$X$3:$X$5001,BD!$B$3:$B$5001,M$140,BD!$A$3:$A$5001,_xlfn.MAXIFS(BD!$A$3:$A$5001,BD!$B$3:$B$5001,M$140,BD!$A$3:$A$5001,"&gt;="&amp;$C$7,BD!$A$3:$A$5001,"&lt;="&amp;$B165,BD!$X$3:$X$5001,"&lt;&gt;"))))</f>
        <v/>
      </c>
      <c r="N165" s="43" t="str">
        <f>IF(OR($B165="",$A165&gt;$B$9,N$140=""),"",IF(COUNTIFS(BD!$B$3:$B$5001,N$140,BD!$A$3:$A$5001,"&gt;="&amp;$C$7,BD!$A$3:$A$5001,"&lt;="&amp;$B165,BD!$X$3:$X$5001,"&lt;&gt;")=0,"",SUMIFS(BD!$X$3:$X$5001,BD!$B$3:$B$5001,N$140,BD!$A$3:$A$5001,_xlfn.MAXIFS(BD!$A$3:$A$5001,BD!$B$3:$B$5001,N$140,BD!$A$3:$A$5001,"&gt;="&amp;$C$7,BD!$A$3:$A$5001,"&lt;="&amp;$B165,BD!$X$3:$X$5001,"&lt;&gt;"))))</f>
        <v/>
      </c>
      <c r="O165" s="43" t="str">
        <f>IF(OR($B165="",$A165&gt;$B$9,O$140=""),"",IF(COUNTIFS(BD!$B$3:$B$5001,O$140,BD!$A$3:$A$5001,"&gt;="&amp;$C$7,BD!$A$3:$A$5001,"&lt;="&amp;$B165,BD!$X$3:$X$5001,"&lt;&gt;")=0,"",SUMIFS(BD!$X$3:$X$5001,BD!$B$3:$B$5001,O$140,BD!$A$3:$A$5001,_xlfn.MAXIFS(BD!$A$3:$A$5001,BD!$B$3:$B$5001,O$140,BD!$A$3:$A$5001,"&gt;="&amp;$C$7,BD!$A$3:$A$5001,"&lt;="&amp;$B165,BD!$X$3:$X$5001,"&lt;&gt;"))))</f>
        <v/>
      </c>
      <c r="P165" s="43" t="str">
        <f>IF(OR($B165="",$A165&gt;$B$9,P$140=""),"",IF(COUNTIFS(BD!$B$3:$B$5001,P$140,BD!$A$3:$A$5001,"&gt;="&amp;$C$7,BD!$A$3:$A$5001,"&lt;="&amp;$B165,BD!$X$3:$X$5001,"&lt;&gt;")=0,"",SUMIFS(BD!$X$3:$X$5001,BD!$B$3:$B$5001,P$140,BD!$A$3:$A$5001,_xlfn.MAXIFS(BD!$A$3:$A$5001,BD!$B$3:$B$5001,P$140,BD!$A$3:$A$5001,"&gt;="&amp;$C$7,BD!$A$3:$A$5001,"&lt;="&amp;$B165,BD!$X$3:$X$5001,"&lt;&gt;"))))</f>
        <v/>
      </c>
      <c r="Q165" s="43" t="str">
        <f>IF(OR($B165="",$A165&gt;$B$9,Q$140=""),"",IF(COUNTIFS(BD!$B$3:$B$5001,Q$140,BD!$A$3:$A$5001,"&gt;="&amp;$C$7,BD!$A$3:$A$5001,"&lt;="&amp;$B165,BD!$X$3:$X$5001,"&lt;&gt;")=0,"",SUMIFS(BD!$X$3:$X$5001,BD!$B$3:$B$5001,Q$140,BD!$A$3:$A$5001,_xlfn.MAXIFS(BD!$A$3:$A$5001,BD!$B$3:$B$5001,Q$140,BD!$A$3:$A$5001,"&gt;="&amp;$C$7,BD!$A$3:$A$5001,"&lt;="&amp;$B165,BD!$X$3:$X$5001,"&lt;&gt;"))))</f>
        <v/>
      </c>
      <c r="R165" s="43" t="str">
        <f>IF(OR($B165="",$A165&gt;$B$9,R$140=""),"",IF(COUNTIFS(BD!$B$3:$B$5001,R$140,BD!$A$3:$A$5001,"&gt;="&amp;$C$7,BD!$A$3:$A$5001,"&lt;="&amp;$B165,BD!$X$3:$X$5001,"&lt;&gt;")=0,"",SUMIFS(BD!$X$3:$X$5001,BD!$B$3:$B$5001,R$140,BD!$A$3:$A$5001,_xlfn.MAXIFS(BD!$A$3:$A$5001,BD!$B$3:$B$5001,R$140,BD!$A$3:$A$5001,"&gt;="&amp;$C$7,BD!$A$3:$A$5001,"&lt;="&amp;$B165,BD!$X$3:$X$5001,"&lt;&gt;"))))</f>
        <v/>
      </c>
      <c r="S165" s="43" t="str">
        <f>IF(OR($B165="",$A165&gt;$B$9,S$140=""),"",IF(COUNTIFS(BD!$B$3:$B$5001,S$140,BD!$A$3:$A$5001,"&gt;="&amp;$C$7,BD!$A$3:$A$5001,"&lt;="&amp;$B165,BD!$X$3:$X$5001,"&lt;&gt;")=0,"",SUMIFS(BD!$X$3:$X$5001,BD!$B$3:$B$5001,S$140,BD!$A$3:$A$5001,_xlfn.MAXIFS(BD!$A$3:$A$5001,BD!$B$3:$B$5001,S$140,BD!$A$3:$A$5001,"&gt;="&amp;$C$7,BD!$A$3:$A$5001,"&lt;="&amp;$B165,BD!$X$3:$X$5001,"&lt;&gt;"))))</f>
        <v/>
      </c>
      <c r="T165" s="43" t="str">
        <f>IF(OR($B165="",$A165&gt;$B$9,T$140=""),"",IF(COUNTIFS(BD!$B$3:$B$5001,T$140,BD!$A$3:$A$5001,"&gt;="&amp;$C$7,BD!$A$3:$A$5001,"&lt;="&amp;$B165,BD!$X$3:$X$5001,"&lt;&gt;")=0,"",SUMIFS(BD!$X$3:$X$5001,BD!$B$3:$B$5001,T$140,BD!$A$3:$A$5001,_xlfn.MAXIFS(BD!$A$3:$A$5001,BD!$B$3:$B$5001,T$140,BD!$A$3:$A$5001,"&gt;="&amp;$C$7,BD!$A$3:$A$5001,"&lt;="&amp;$B165,BD!$X$3:$X$5001,"&lt;&gt;"))))</f>
        <v/>
      </c>
      <c r="U165" s="43" t="str">
        <f>IF(OR($B165="",$A165&gt;$B$9,U$140=""),"",IF(COUNTIFS(BD!$B$3:$B$5001,U$140,BD!$A$3:$A$5001,"&gt;="&amp;$C$7,BD!$A$3:$A$5001,"&lt;="&amp;$B165,BD!$X$3:$X$5001,"&lt;&gt;")=0,"",SUMIFS(BD!$X$3:$X$5001,BD!$B$3:$B$5001,U$140,BD!$A$3:$A$5001,_xlfn.MAXIFS(BD!$A$3:$A$5001,BD!$B$3:$B$5001,U$140,BD!$A$3:$A$5001,"&gt;="&amp;$C$7,BD!$A$3:$A$5001,"&lt;="&amp;$B165,BD!$X$3:$X$5001,"&lt;&gt;"))))</f>
        <v/>
      </c>
      <c r="V165" s="43" t="str">
        <f>IF(OR($B165="",$A165&gt;$B$9,V$140=""),"",IF(COUNTIFS(BD!$B$3:$B$5001,V$140,BD!$A$3:$A$5001,"&gt;="&amp;$C$7,BD!$A$3:$A$5001,"&lt;="&amp;$B165,BD!$X$3:$X$5001,"&lt;&gt;")=0,"",SUMIFS(BD!$X$3:$X$5001,BD!$B$3:$B$5001,V$140,BD!$A$3:$A$5001,_xlfn.MAXIFS(BD!$A$3:$A$5001,BD!$B$3:$B$5001,V$140,BD!$A$3:$A$5001,"&gt;="&amp;$C$7,BD!$A$3:$A$5001,"&lt;="&amp;$B165,BD!$X$3:$X$5001,"&lt;&gt;"))))</f>
        <v/>
      </c>
    </row>
    <row r="166">
      <c r="A166" s="38">
        <v>26</v>
      </c>
      <c r="B166" s="42">
        <f>$B$37</f>
        <v>46321</v>
      </c>
      <c r="C166" s="43" t="str">
        <f>IF(OR($B166="",$A166&gt;$B$9,C$140=""),"",IF(COUNTIFS(BD!$B$3:$B$5001,C$140,BD!$A$3:$A$5001,"&gt;="&amp;$C$7,BD!$A$3:$A$5001,"&lt;="&amp;$B166,BD!$X$3:$X$5001,"&lt;&gt;")=0,"",SUMIFS(BD!$X$3:$X$5001,BD!$B$3:$B$5001,C$140,BD!$A$3:$A$5001,_xlfn.MAXIFS(BD!$A$3:$A$5001,BD!$B$3:$B$5001,C$140,BD!$A$3:$A$5001,"&gt;="&amp;$C$7,BD!$A$3:$A$5001,"&lt;="&amp;$B166,BD!$X$3:$X$5001,"&lt;&gt;"))))</f>
        <v/>
      </c>
      <c r="D166" s="43" t="str">
        <f>IF(OR($B166="",$A166&gt;$B$9,D$140=""),"",IF(COUNTIFS(BD!$B$3:$B$5001,D$140,BD!$A$3:$A$5001,"&gt;="&amp;$C$7,BD!$A$3:$A$5001,"&lt;="&amp;$B166,BD!$X$3:$X$5001,"&lt;&gt;")=0,"",SUMIFS(BD!$X$3:$X$5001,BD!$B$3:$B$5001,D$140,BD!$A$3:$A$5001,_xlfn.MAXIFS(BD!$A$3:$A$5001,BD!$B$3:$B$5001,D$140,BD!$A$3:$A$5001,"&gt;="&amp;$C$7,BD!$A$3:$A$5001,"&lt;="&amp;$B166,BD!$X$3:$X$5001,"&lt;&gt;"))))</f>
        <v/>
      </c>
      <c r="E166" s="43" t="str">
        <f>IF(OR($B166="",$A166&gt;$B$9,E$140=""),"",IF(COUNTIFS(BD!$B$3:$B$5001,E$140,BD!$A$3:$A$5001,"&gt;="&amp;$C$7,BD!$A$3:$A$5001,"&lt;="&amp;$B166,BD!$X$3:$X$5001,"&lt;&gt;")=0,"",SUMIFS(BD!$X$3:$X$5001,BD!$B$3:$B$5001,E$140,BD!$A$3:$A$5001,_xlfn.MAXIFS(BD!$A$3:$A$5001,BD!$B$3:$B$5001,E$140,BD!$A$3:$A$5001,"&gt;="&amp;$C$7,BD!$A$3:$A$5001,"&lt;="&amp;$B166,BD!$X$3:$X$5001,"&lt;&gt;"))))</f>
        <v/>
      </c>
      <c r="F166" s="43" t="str">
        <f>IF(OR($B166="",$A166&gt;$B$9,F$140=""),"",IF(COUNTIFS(BD!$B$3:$B$5001,F$140,BD!$A$3:$A$5001,"&gt;="&amp;$C$7,BD!$A$3:$A$5001,"&lt;="&amp;$B166,BD!$X$3:$X$5001,"&lt;&gt;")=0,"",SUMIFS(BD!$X$3:$X$5001,BD!$B$3:$B$5001,F$140,BD!$A$3:$A$5001,_xlfn.MAXIFS(BD!$A$3:$A$5001,BD!$B$3:$B$5001,F$140,BD!$A$3:$A$5001,"&gt;="&amp;$C$7,BD!$A$3:$A$5001,"&lt;="&amp;$B166,BD!$X$3:$X$5001,"&lt;&gt;"))))</f>
        <v/>
      </c>
      <c r="G166" s="43" t="str">
        <f>IF(OR($B166="",$A166&gt;$B$9,G$140=""),"",IF(COUNTIFS(BD!$B$3:$B$5001,G$140,BD!$A$3:$A$5001,"&gt;="&amp;$C$7,BD!$A$3:$A$5001,"&lt;="&amp;$B166,BD!$X$3:$X$5001,"&lt;&gt;")=0,"",SUMIFS(BD!$X$3:$X$5001,BD!$B$3:$B$5001,G$140,BD!$A$3:$A$5001,_xlfn.MAXIFS(BD!$A$3:$A$5001,BD!$B$3:$B$5001,G$140,BD!$A$3:$A$5001,"&gt;="&amp;$C$7,BD!$A$3:$A$5001,"&lt;="&amp;$B166,BD!$X$3:$X$5001,"&lt;&gt;"))))</f>
        <v/>
      </c>
      <c r="H166" s="43" t="str">
        <f>IF(OR($B166="",$A166&gt;$B$9,H$140=""),"",IF(COUNTIFS(BD!$B$3:$B$5001,H$140,BD!$A$3:$A$5001,"&gt;="&amp;$C$7,BD!$A$3:$A$5001,"&lt;="&amp;$B166,BD!$X$3:$X$5001,"&lt;&gt;")=0,"",SUMIFS(BD!$X$3:$X$5001,BD!$B$3:$B$5001,H$140,BD!$A$3:$A$5001,_xlfn.MAXIFS(BD!$A$3:$A$5001,BD!$B$3:$B$5001,H$140,BD!$A$3:$A$5001,"&gt;="&amp;$C$7,BD!$A$3:$A$5001,"&lt;="&amp;$B166,BD!$X$3:$X$5001,"&lt;&gt;"))))</f>
        <v/>
      </c>
      <c r="I166" s="43" t="str">
        <f>IF(OR($B166="",$A166&gt;$B$9,I$140=""),"",IF(COUNTIFS(BD!$B$3:$B$5001,I$140,BD!$A$3:$A$5001,"&gt;="&amp;$C$7,BD!$A$3:$A$5001,"&lt;="&amp;$B166,BD!$X$3:$X$5001,"&lt;&gt;")=0,"",SUMIFS(BD!$X$3:$X$5001,BD!$B$3:$B$5001,I$140,BD!$A$3:$A$5001,_xlfn.MAXIFS(BD!$A$3:$A$5001,BD!$B$3:$B$5001,I$140,BD!$A$3:$A$5001,"&gt;="&amp;$C$7,BD!$A$3:$A$5001,"&lt;="&amp;$B166,BD!$X$3:$X$5001,"&lt;&gt;"))))</f>
        <v/>
      </c>
      <c r="J166" s="43" t="str">
        <f>IF(OR($B166="",$A166&gt;$B$9,J$140=""),"",IF(COUNTIFS(BD!$B$3:$B$5001,J$140,BD!$A$3:$A$5001,"&gt;="&amp;$C$7,BD!$A$3:$A$5001,"&lt;="&amp;$B166,BD!$X$3:$X$5001,"&lt;&gt;")=0,"",SUMIFS(BD!$X$3:$X$5001,BD!$B$3:$B$5001,J$140,BD!$A$3:$A$5001,_xlfn.MAXIFS(BD!$A$3:$A$5001,BD!$B$3:$B$5001,J$140,BD!$A$3:$A$5001,"&gt;="&amp;$C$7,BD!$A$3:$A$5001,"&lt;="&amp;$B166,BD!$X$3:$X$5001,"&lt;&gt;"))))</f>
        <v/>
      </c>
      <c r="K166" s="43" t="str">
        <f>IF(OR($B166="",$A166&gt;$B$9,K$140=""),"",IF(COUNTIFS(BD!$B$3:$B$5001,K$140,BD!$A$3:$A$5001,"&gt;="&amp;$C$7,BD!$A$3:$A$5001,"&lt;="&amp;$B166,BD!$X$3:$X$5001,"&lt;&gt;")=0,"",SUMIFS(BD!$X$3:$X$5001,BD!$B$3:$B$5001,K$140,BD!$A$3:$A$5001,_xlfn.MAXIFS(BD!$A$3:$A$5001,BD!$B$3:$B$5001,K$140,BD!$A$3:$A$5001,"&gt;="&amp;$C$7,BD!$A$3:$A$5001,"&lt;="&amp;$B166,BD!$X$3:$X$5001,"&lt;&gt;"))))</f>
        <v/>
      </c>
      <c r="L166" s="43" t="str">
        <f>IF(OR($B166="",$A166&gt;$B$9,L$140=""),"",IF(COUNTIFS(BD!$B$3:$B$5001,L$140,BD!$A$3:$A$5001,"&gt;="&amp;$C$7,BD!$A$3:$A$5001,"&lt;="&amp;$B166,BD!$X$3:$X$5001,"&lt;&gt;")=0,"",SUMIFS(BD!$X$3:$X$5001,BD!$B$3:$B$5001,L$140,BD!$A$3:$A$5001,_xlfn.MAXIFS(BD!$A$3:$A$5001,BD!$B$3:$B$5001,L$140,BD!$A$3:$A$5001,"&gt;="&amp;$C$7,BD!$A$3:$A$5001,"&lt;="&amp;$B166,BD!$X$3:$X$5001,"&lt;&gt;"))))</f>
        <v/>
      </c>
      <c r="M166" s="43" t="str">
        <f>IF(OR($B166="",$A166&gt;$B$9,M$140=""),"",IF(COUNTIFS(BD!$B$3:$B$5001,M$140,BD!$A$3:$A$5001,"&gt;="&amp;$C$7,BD!$A$3:$A$5001,"&lt;="&amp;$B166,BD!$X$3:$X$5001,"&lt;&gt;")=0,"",SUMIFS(BD!$X$3:$X$5001,BD!$B$3:$B$5001,M$140,BD!$A$3:$A$5001,_xlfn.MAXIFS(BD!$A$3:$A$5001,BD!$B$3:$B$5001,M$140,BD!$A$3:$A$5001,"&gt;="&amp;$C$7,BD!$A$3:$A$5001,"&lt;="&amp;$B166,BD!$X$3:$X$5001,"&lt;&gt;"))))</f>
        <v/>
      </c>
      <c r="N166" s="43" t="str">
        <f>IF(OR($B166="",$A166&gt;$B$9,N$140=""),"",IF(COUNTIFS(BD!$B$3:$B$5001,N$140,BD!$A$3:$A$5001,"&gt;="&amp;$C$7,BD!$A$3:$A$5001,"&lt;="&amp;$B166,BD!$X$3:$X$5001,"&lt;&gt;")=0,"",SUMIFS(BD!$X$3:$X$5001,BD!$B$3:$B$5001,N$140,BD!$A$3:$A$5001,_xlfn.MAXIFS(BD!$A$3:$A$5001,BD!$B$3:$B$5001,N$140,BD!$A$3:$A$5001,"&gt;="&amp;$C$7,BD!$A$3:$A$5001,"&lt;="&amp;$B166,BD!$X$3:$X$5001,"&lt;&gt;"))))</f>
        <v/>
      </c>
      <c r="O166" s="43" t="str">
        <f>IF(OR($B166="",$A166&gt;$B$9,O$140=""),"",IF(COUNTIFS(BD!$B$3:$B$5001,O$140,BD!$A$3:$A$5001,"&gt;="&amp;$C$7,BD!$A$3:$A$5001,"&lt;="&amp;$B166,BD!$X$3:$X$5001,"&lt;&gt;")=0,"",SUMIFS(BD!$X$3:$X$5001,BD!$B$3:$B$5001,O$140,BD!$A$3:$A$5001,_xlfn.MAXIFS(BD!$A$3:$A$5001,BD!$B$3:$B$5001,O$140,BD!$A$3:$A$5001,"&gt;="&amp;$C$7,BD!$A$3:$A$5001,"&lt;="&amp;$B166,BD!$X$3:$X$5001,"&lt;&gt;"))))</f>
        <v/>
      </c>
      <c r="P166" s="43" t="str">
        <f>IF(OR($B166="",$A166&gt;$B$9,P$140=""),"",IF(COUNTIFS(BD!$B$3:$B$5001,P$140,BD!$A$3:$A$5001,"&gt;="&amp;$C$7,BD!$A$3:$A$5001,"&lt;="&amp;$B166,BD!$X$3:$X$5001,"&lt;&gt;")=0,"",SUMIFS(BD!$X$3:$X$5001,BD!$B$3:$B$5001,P$140,BD!$A$3:$A$5001,_xlfn.MAXIFS(BD!$A$3:$A$5001,BD!$B$3:$B$5001,P$140,BD!$A$3:$A$5001,"&gt;="&amp;$C$7,BD!$A$3:$A$5001,"&lt;="&amp;$B166,BD!$X$3:$X$5001,"&lt;&gt;"))))</f>
        <v/>
      </c>
      <c r="Q166" s="43" t="str">
        <f>IF(OR($B166="",$A166&gt;$B$9,Q$140=""),"",IF(COUNTIFS(BD!$B$3:$B$5001,Q$140,BD!$A$3:$A$5001,"&gt;="&amp;$C$7,BD!$A$3:$A$5001,"&lt;="&amp;$B166,BD!$X$3:$X$5001,"&lt;&gt;")=0,"",SUMIFS(BD!$X$3:$X$5001,BD!$B$3:$B$5001,Q$140,BD!$A$3:$A$5001,_xlfn.MAXIFS(BD!$A$3:$A$5001,BD!$B$3:$B$5001,Q$140,BD!$A$3:$A$5001,"&gt;="&amp;$C$7,BD!$A$3:$A$5001,"&lt;="&amp;$B166,BD!$X$3:$X$5001,"&lt;&gt;"))))</f>
        <v/>
      </c>
      <c r="R166" s="43" t="str">
        <f>IF(OR($B166="",$A166&gt;$B$9,R$140=""),"",IF(COUNTIFS(BD!$B$3:$B$5001,R$140,BD!$A$3:$A$5001,"&gt;="&amp;$C$7,BD!$A$3:$A$5001,"&lt;="&amp;$B166,BD!$X$3:$X$5001,"&lt;&gt;")=0,"",SUMIFS(BD!$X$3:$X$5001,BD!$B$3:$B$5001,R$140,BD!$A$3:$A$5001,_xlfn.MAXIFS(BD!$A$3:$A$5001,BD!$B$3:$B$5001,R$140,BD!$A$3:$A$5001,"&gt;="&amp;$C$7,BD!$A$3:$A$5001,"&lt;="&amp;$B166,BD!$X$3:$X$5001,"&lt;&gt;"))))</f>
        <v/>
      </c>
      <c r="S166" s="43" t="str">
        <f>IF(OR($B166="",$A166&gt;$B$9,S$140=""),"",IF(COUNTIFS(BD!$B$3:$B$5001,S$140,BD!$A$3:$A$5001,"&gt;="&amp;$C$7,BD!$A$3:$A$5001,"&lt;="&amp;$B166,BD!$X$3:$X$5001,"&lt;&gt;")=0,"",SUMIFS(BD!$X$3:$X$5001,BD!$B$3:$B$5001,S$140,BD!$A$3:$A$5001,_xlfn.MAXIFS(BD!$A$3:$A$5001,BD!$B$3:$B$5001,S$140,BD!$A$3:$A$5001,"&gt;="&amp;$C$7,BD!$A$3:$A$5001,"&lt;="&amp;$B166,BD!$X$3:$X$5001,"&lt;&gt;"))))</f>
        <v/>
      </c>
      <c r="T166" s="43" t="str">
        <f>IF(OR($B166="",$A166&gt;$B$9,T$140=""),"",IF(COUNTIFS(BD!$B$3:$B$5001,T$140,BD!$A$3:$A$5001,"&gt;="&amp;$C$7,BD!$A$3:$A$5001,"&lt;="&amp;$B166,BD!$X$3:$X$5001,"&lt;&gt;")=0,"",SUMIFS(BD!$X$3:$X$5001,BD!$B$3:$B$5001,T$140,BD!$A$3:$A$5001,_xlfn.MAXIFS(BD!$A$3:$A$5001,BD!$B$3:$B$5001,T$140,BD!$A$3:$A$5001,"&gt;="&amp;$C$7,BD!$A$3:$A$5001,"&lt;="&amp;$B166,BD!$X$3:$X$5001,"&lt;&gt;"))))</f>
        <v/>
      </c>
      <c r="U166" s="43" t="str">
        <f>IF(OR($B166="",$A166&gt;$B$9,U$140=""),"",IF(COUNTIFS(BD!$B$3:$B$5001,U$140,BD!$A$3:$A$5001,"&gt;="&amp;$C$7,BD!$A$3:$A$5001,"&lt;="&amp;$B166,BD!$X$3:$X$5001,"&lt;&gt;")=0,"",SUMIFS(BD!$X$3:$X$5001,BD!$B$3:$B$5001,U$140,BD!$A$3:$A$5001,_xlfn.MAXIFS(BD!$A$3:$A$5001,BD!$B$3:$B$5001,U$140,BD!$A$3:$A$5001,"&gt;="&amp;$C$7,BD!$A$3:$A$5001,"&lt;="&amp;$B166,BD!$X$3:$X$5001,"&lt;&gt;"))))</f>
        <v/>
      </c>
      <c r="V166" s="43" t="str">
        <f>IF(OR($B166="",$A166&gt;$B$9,V$140=""),"",IF(COUNTIFS(BD!$B$3:$B$5001,V$140,BD!$A$3:$A$5001,"&gt;="&amp;$C$7,BD!$A$3:$A$5001,"&lt;="&amp;$B166,BD!$X$3:$X$5001,"&lt;&gt;")=0,"",SUMIFS(BD!$X$3:$X$5001,BD!$B$3:$B$5001,V$140,BD!$A$3:$A$5001,_xlfn.MAXIFS(BD!$A$3:$A$5001,BD!$B$3:$B$5001,V$140,BD!$A$3:$A$5001,"&gt;="&amp;$C$7,BD!$A$3:$A$5001,"&lt;="&amp;$B166,BD!$X$3:$X$5001,"&lt;&gt;"))))</f>
        <v/>
      </c>
    </row>
    <row r="167">
      <c r="A167" s="38">
        <v>27</v>
      </c>
      <c r="B167" s="42">
        <f>$B$38</f>
        <v>46322</v>
      </c>
      <c r="C167" s="43" t="str">
        <f>IF(OR($B167="",$A167&gt;$B$9,C$140=""),"",IF(COUNTIFS(BD!$B$3:$B$5001,C$140,BD!$A$3:$A$5001,"&gt;="&amp;$C$7,BD!$A$3:$A$5001,"&lt;="&amp;$B167,BD!$X$3:$X$5001,"&lt;&gt;")=0,"",SUMIFS(BD!$X$3:$X$5001,BD!$B$3:$B$5001,C$140,BD!$A$3:$A$5001,_xlfn.MAXIFS(BD!$A$3:$A$5001,BD!$B$3:$B$5001,C$140,BD!$A$3:$A$5001,"&gt;="&amp;$C$7,BD!$A$3:$A$5001,"&lt;="&amp;$B167,BD!$X$3:$X$5001,"&lt;&gt;"))))</f>
        <v/>
      </c>
      <c r="D167" s="43" t="str">
        <f>IF(OR($B167="",$A167&gt;$B$9,D$140=""),"",IF(COUNTIFS(BD!$B$3:$B$5001,D$140,BD!$A$3:$A$5001,"&gt;="&amp;$C$7,BD!$A$3:$A$5001,"&lt;="&amp;$B167,BD!$X$3:$X$5001,"&lt;&gt;")=0,"",SUMIFS(BD!$X$3:$X$5001,BD!$B$3:$B$5001,D$140,BD!$A$3:$A$5001,_xlfn.MAXIFS(BD!$A$3:$A$5001,BD!$B$3:$B$5001,D$140,BD!$A$3:$A$5001,"&gt;="&amp;$C$7,BD!$A$3:$A$5001,"&lt;="&amp;$B167,BD!$X$3:$X$5001,"&lt;&gt;"))))</f>
        <v/>
      </c>
      <c r="E167" s="43" t="str">
        <f>IF(OR($B167="",$A167&gt;$B$9,E$140=""),"",IF(COUNTIFS(BD!$B$3:$B$5001,E$140,BD!$A$3:$A$5001,"&gt;="&amp;$C$7,BD!$A$3:$A$5001,"&lt;="&amp;$B167,BD!$X$3:$X$5001,"&lt;&gt;")=0,"",SUMIFS(BD!$X$3:$X$5001,BD!$B$3:$B$5001,E$140,BD!$A$3:$A$5001,_xlfn.MAXIFS(BD!$A$3:$A$5001,BD!$B$3:$B$5001,E$140,BD!$A$3:$A$5001,"&gt;="&amp;$C$7,BD!$A$3:$A$5001,"&lt;="&amp;$B167,BD!$X$3:$X$5001,"&lt;&gt;"))))</f>
        <v/>
      </c>
      <c r="F167" s="43" t="str">
        <f>IF(OR($B167="",$A167&gt;$B$9,F$140=""),"",IF(COUNTIFS(BD!$B$3:$B$5001,F$140,BD!$A$3:$A$5001,"&gt;="&amp;$C$7,BD!$A$3:$A$5001,"&lt;="&amp;$B167,BD!$X$3:$X$5001,"&lt;&gt;")=0,"",SUMIFS(BD!$X$3:$X$5001,BD!$B$3:$B$5001,F$140,BD!$A$3:$A$5001,_xlfn.MAXIFS(BD!$A$3:$A$5001,BD!$B$3:$B$5001,F$140,BD!$A$3:$A$5001,"&gt;="&amp;$C$7,BD!$A$3:$A$5001,"&lt;="&amp;$B167,BD!$X$3:$X$5001,"&lt;&gt;"))))</f>
        <v/>
      </c>
      <c r="G167" s="43" t="str">
        <f>IF(OR($B167="",$A167&gt;$B$9,G$140=""),"",IF(COUNTIFS(BD!$B$3:$B$5001,G$140,BD!$A$3:$A$5001,"&gt;="&amp;$C$7,BD!$A$3:$A$5001,"&lt;="&amp;$B167,BD!$X$3:$X$5001,"&lt;&gt;")=0,"",SUMIFS(BD!$X$3:$X$5001,BD!$B$3:$B$5001,G$140,BD!$A$3:$A$5001,_xlfn.MAXIFS(BD!$A$3:$A$5001,BD!$B$3:$B$5001,G$140,BD!$A$3:$A$5001,"&gt;="&amp;$C$7,BD!$A$3:$A$5001,"&lt;="&amp;$B167,BD!$X$3:$X$5001,"&lt;&gt;"))))</f>
        <v/>
      </c>
      <c r="H167" s="43" t="str">
        <f>IF(OR($B167="",$A167&gt;$B$9,H$140=""),"",IF(COUNTIFS(BD!$B$3:$B$5001,H$140,BD!$A$3:$A$5001,"&gt;="&amp;$C$7,BD!$A$3:$A$5001,"&lt;="&amp;$B167,BD!$X$3:$X$5001,"&lt;&gt;")=0,"",SUMIFS(BD!$X$3:$X$5001,BD!$B$3:$B$5001,H$140,BD!$A$3:$A$5001,_xlfn.MAXIFS(BD!$A$3:$A$5001,BD!$B$3:$B$5001,H$140,BD!$A$3:$A$5001,"&gt;="&amp;$C$7,BD!$A$3:$A$5001,"&lt;="&amp;$B167,BD!$X$3:$X$5001,"&lt;&gt;"))))</f>
        <v/>
      </c>
      <c r="I167" s="43" t="str">
        <f>IF(OR($B167="",$A167&gt;$B$9,I$140=""),"",IF(COUNTIFS(BD!$B$3:$B$5001,I$140,BD!$A$3:$A$5001,"&gt;="&amp;$C$7,BD!$A$3:$A$5001,"&lt;="&amp;$B167,BD!$X$3:$X$5001,"&lt;&gt;")=0,"",SUMIFS(BD!$X$3:$X$5001,BD!$B$3:$B$5001,I$140,BD!$A$3:$A$5001,_xlfn.MAXIFS(BD!$A$3:$A$5001,BD!$B$3:$B$5001,I$140,BD!$A$3:$A$5001,"&gt;="&amp;$C$7,BD!$A$3:$A$5001,"&lt;="&amp;$B167,BD!$X$3:$X$5001,"&lt;&gt;"))))</f>
        <v/>
      </c>
      <c r="J167" s="43" t="str">
        <f>IF(OR($B167="",$A167&gt;$B$9,J$140=""),"",IF(COUNTIFS(BD!$B$3:$B$5001,J$140,BD!$A$3:$A$5001,"&gt;="&amp;$C$7,BD!$A$3:$A$5001,"&lt;="&amp;$B167,BD!$X$3:$X$5001,"&lt;&gt;")=0,"",SUMIFS(BD!$X$3:$X$5001,BD!$B$3:$B$5001,J$140,BD!$A$3:$A$5001,_xlfn.MAXIFS(BD!$A$3:$A$5001,BD!$B$3:$B$5001,J$140,BD!$A$3:$A$5001,"&gt;="&amp;$C$7,BD!$A$3:$A$5001,"&lt;="&amp;$B167,BD!$X$3:$X$5001,"&lt;&gt;"))))</f>
        <v/>
      </c>
      <c r="K167" s="43" t="str">
        <f>IF(OR($B167="",$A167&gt;$B$9,K$140=""),"",IF(COUNTIFS(BD!$B$3:$B$5001,K$140,BD!$A$3:$A$5001,"&gt;="&amp;$C$7,BD!$A$3:$A$5001,"&lt;="&amp;$B167,BD!$X$3:$X$5001,"&lt;&gt;")=0,"",SUMIFS(BD!$X$3:$X$5001,BD!$B$3:$B$5001,K$140,BD!$A$3:$A$5001,_xlfn.MAXIFS(BD!$A$3:$A$5001,BD!$B$3:$B$5001,K$140,BD!$A$3:$A$5001,"&gt;="&amp;$C$7,BD!$A$3:$A$5001,"&lt;="&amp;$B167,BD!$X$3:$X$5001,"&lt;&gt;"))))</f>
        <v/>
      </c>
      <c r="L167" s="43" t="str">
        <f>IF(OR($B167="",$A167&gt;$B$9,L$140=""),"",IF(COUNTIFS(BD!$B$3:$B$5001,L$140,BD!$A$3:$A$5001,"&gt;="&amp;$C$7,BD!$A$3:$A$5001,"&lt;="&amp;$B167,BD!$X$3:$X$5001,"&lt;&gt;")=0,"",SUMIFS(BD!$X$3:$X$5001,BD!$B$3:$B$5001,L$140,BD!$A$3:$A$5001,_xlfn.MAXIFS(BD!$A$3:$A$5001,BD!$B$3:$B$5001,L$140,BD!$A$3:$A$5001,"&gt;="&amp;$C$7,BD!$A$3:$A$5001,"&lt;="&amp;$B167,BD!$X$3:$X$5001,"&lt;&gt;"))))</f>
        <v/>
      </c>
      <c r="M167" s="43" t="str">
        <f>IF(OR($B167="",$A167&gt;$B$9,M$140=""),"",IF(COUNTIFS(BD!$B$3:$B$5001,M$140,BD!$A$3:$A$5001,"&gt;="&amp;$C$7,BD!$A$3:$A$5001,"&lt;="&amp;$B167,BD!$X$3:$X$5001,"&lt;&gt;")=0,"",SUMIFS(BD!$X$3:$X$5001,BD!$B$3:$B$5001,M$140,BD!$A$3:$A$5001,_xlfn.MAXIFS(BD!$A$3:$A$5001,BD!$B$3:$B$5001,M$140,BD!$A$3:$A$5001,"&gt;="&amp;$C$7,BD!$A$3:$A$5001,"&lt;="&amp;$B167,BD!$X$3:$X$5001,"&lt;&gt;"))))</f>
        <v/>
      </c>
      <c r="N167" s="43" t="str">
        <f>IF(OR($B167="",$A167&gt;$B$9,N$140=""),"",IF(COUNTIFS(BD!$B$3:$B$5001,N$140,BD!$A$3:$A$5001,"&gt;="&amp;$C$7,BD!$A$3:$A$5001,"&lt;="&amp;$B167,BD!$X$3:$X$5001,"&lt;&gt;")=0,"",SUMIFS(BD!$X$3:$X$5001,BD!$B$3:$B$5001,N$140,BD!$A$3:$A$5001,_xlfn.MAXIFS(BD!$A$3:$A$5001,BD!$B$3:$B$5001,N$140,BD!$A$3:$A$5001,"&gt;="&amp;$C$7,BD!$A$3:$A$5001,"&lt;="&amp;$B167,BD!$X$3:$X$5001,"&lt;&gt;"))))</f>
        <v/>
      </c>
      <c r="O167" s="43" t="str">
        <f>IF(OR($B167="",$A167&gt;$B$9,O$140=""),"",IF(COUNTIFS(BD!$B$3:$B$5001,O$140,BD!$A$3:$A$5001,"&gt;="&amp;$C$7,BD!$A$3:$A$5001,"&lt;="&amp;$B167,BD!$X$3:$X$5001,"&lt;&gt;")=0,"",SUMIFS(BD!$X$3:$X$5001,BD!$B$3:$B$5001,O$140,BD!$A$3:$A$5001,_xlfn.MAXIFS(BD!$A$3:$A$5001,BD!$B$3:$B$5001,O$140,BD!$A$3:$A$5001,"&gt;="&amp;$C$7,BD!$A$3:$A$5001,"&lt;="&amp;$B167,BD!$X$3:$X$5001,"&lt;&gt;"))))</f>
        <v/>
      </c>
      <c r="P167" s="43" t="str">
        <f>IF(OR($B167="",$A167&gt;$B$9,P$140=""),"",IF(COUNTIFS(BD!$B$3:$B$5001,P$140,BD!$A$3:$A$5001,"&gt;="&amp;$C$7,BD!$A$3:$A$5001,"&lt;="&amp;$B167,BD!$X$3:$X$5001,"&lt;&gt;")=0,"",SUMIFS(BD!$X$3:$X$5001,BD!$B$3:$B$5001,P$140,BD!$A$3:$A$5001,_xlfn.MAXIFS(BD!$A$3:$A$5001,BD!$B$3:$B$5001,P$140,BD!$A$3:$A$5001,"&gt;="&amp;$C$7,BD!$A$3:$A$5001,"&lt;="&amp;$B167,BD!$X$3:$X$5001,"&lt;&gt;"))))</f>
        <v/>
      </c>
      <c r="Q167" s="43" t="str">
        <f>IF(OR($B167="",$A167&gt;$B$9,Q$140=""),"",IF(COUNTIFS(BD!$B$3:$B$5001,Q$140,BD!$A$3:$A$5001,"&gt;="&amp;$C$7,BD!$A$3:$A$5001,"&lt;="&amp;$B167,BD!$X$3:$X$5001,"&lt;&gt;")=0,"",SUMIFS(BD!$X$3:$X$5001,BD!$B$3:$B$5001,Q$140,BD!$A$3:$A$5001,_xlfn.MAXIFS(BD!$A$3:$A$5001,BD!$B$3:$B$5001,Q$140,BD!$A$3:$A$5001,"&gt;="&amp;$C$7,BD!$A$3:$A$5001,"&lt;="&amp;$B167,BD!$X$3:$X$5001,"&lt;&gt;"))))</f>
        <v/>
      </c>
      <c r="R167" s="43" t="str">
        <f>IF(OR($B167="",$A167&gt;$B$9,R$140=""),"",IF(COUNTIFS(BD!$B$3:$B$5001,R$140,BD!$A$3:$A$5001,"&gt;="&amp;$C$7,BD!$A$3:$A$5001,"&lt;="&amp;$B167,BD!$X$3:$X$5001,"&lt;&gt;")=0,"",SUMIFS(BD!$X$3:$X$5001,BD!$B$3:$B$5001,R$140,BD!$A$3:$A$5001,_xlfn.MAXIFS(BD!$A$3:$A$5001,BD!$B$3:$B$5001,R$140,BD!$A$3:$A$5001,"&gt;="&amp;$C$7,BD!$A$3:$A$5001,"&lt;="&amp;$B167,BD!$X$3:$X$5001,"&lt;&gt;"))))</f>
        <v/>
      </c>
      <c r="S167" s="43" t="str">
        <f>IF(OR($B167="",$A167&gt;$B$9,S$140=""),"",IF(COUNTIFS(BD!$B$3:$B$5001,S$140,BD!$A$3:$A$5001,"&gt;="&amp;$C$7,BD!$A$3:$A$5001,"&lt;="&amp;$B167,BD!$X$3:$X$5001,"&lt;&gt;")=0,"",SUMIFS(BD!$X$3:$X$5001,BD!$B$3:$B$5001,S$140,BD!$A$3:$A$5001,_xlfn.MAXIFS(BD!$A$3:$A$5001,BD!$B$3:$B$5001,S$140,BD!$A$3:$A$5001,"&gt;="&amp;$C$7,BD!$A$3:$A$5001,"&lt;="&amp;$B167,BD!$X$3:$X$5001,"&lt;&gt;"))))</f>
        <v/>
      </c>
      <c r="T167" s="43" t="str">
        <f>IF(OR($B167="",$A167&gt;$B$9,T$140=""),"",IF(COUNTIFS(BD!$B$3:$B$5001,T$140,BD!$A$3:$A$5001,"&gt;="&amp;$C$7,BD!$A$3:$A$5001,"&lt;="&amp;$B167,BD!$X$3:$X$5001,"&lt;&gt;")=0,"",SUMIFS(BD!$X$3:$X$5001,BD!$B$3:$B$5001,T$140,BD!$A$3:$A$5001,_xlfn.MAXIFS(BD!$A$3:$A$5001,BD!$B$3:$B$5001,T$140,BD!$A$3:$A$5001,"&gt;="&amp;$C$7,BD!$A$3:$A$5001,"&lt;="&amp;$B167,BD!$X$3:$X$5001,"&lt;&gt;"))))</f>
        <v/>
      </c>
      <c r="U167" s="43" t="str">
        <f>IF(OR($B167="",$A167&gt;$B$9,U$140=""),"",IF(COUNTIFS(BD!$B$3:$B$5001,U$140,BD!$A$3:$A$5001,"&gt;="&amp;$C$7,BD!$A$3:$A$5001,"&lt;="&amp;$B167,BD!$X$3:$X$5001,"&lt;&gt;")=0,"",SUMIFS(BD!$X$3:$X$5001,BD!$B$3:$B$5001,U$140,BD!$A$3:$A$5001,_xlfn.MAXIFS(BD!$A$3:$A$5001,BD!$B$3:$B$5001,U$140,BD!$A$3:$A$5001,"&gt;="&amp;$C$7,BD!$A$3:$A$5001,"&lt;="&amp;$B167,BD!$X$3:$X$5001,"&lt;&gt;"))))</f>
        <v/>
      </c>
      <c r="V167" s="43" t="str">
        <f>IF(OR($B167="",$A167&gt;$B$9,V$140=""),"",IF(COUNTIFS(BD!$B$3:$B$5001,V$140,BD!$A$3:$A$5001,"&gt;="&amp;$C$7,BD!$A$3:$A$5001,"&lt;="&amp;$B167,BD!$X$3:$X$5001,"&lt;&gt;")=0,"",SUMIFS(BD!$X$3:$X$5001,BD!$B$3:$B$5001,V$140,BD!$A$3:$A$5001,_xlfn.MAXIFS(BD!$A$3:$A$5001,BD!$B$3:$B$5001,V$140,BD!$A$3:$A$5001,"&gt;="&amp;$C$7,BD!$A$3:$A$5001,"&lt;="&amp;$B167,BD!$X$3:$X$5001,"&lt;&gt;"))))</f>
        <v/>
      </c>
    </row>
    <row r="168">
      <c r="A168" s="38">
        <v>28</v>
      </c>
      <c r="B168" s="42">
        <f>$B$39</f>
        <v>46323</v>
      </c>
      <c r="C168" s="43" t="str">
        <f>IF(OR($B168="",$A168&gt;$B$9,C$140=""),"",IF(COUNTIFS(BD!$B$3:$B$5001,C$140,BD!$A$3:$A$5001,"&gt;="&amp;$C$7,BD!$A$3:$A$5001,"&lt;="&amp;$B168,BD!$X$3:$X$5001,"&lt;&gt;")=0,"",SUMIFS(BD!$X$3:$X$5001,BD!$B$3:$B$5001,C$140,BD!$A$3:$A$5001,_xlfn.MAXIFS(BD!$A$3:$A$5001,BD!$B$3:$B$5001,C$140,BD!$A$3:$A$5001,"&gt;="&amp;$C$7,BD!$A$3:$A$5001,"&lt;="&amp;$B168,BD!$X$3:$X$5001,"&lt;&gt;"))))</f>
        <v/>
      </c>
      <c r="D168" s="43" t="str">
        <f>IF(OR($B168="",$A168&gt;$B$9,D$140=""),"",IF(COUNTIFS(BD!$B$3:$B$5001,D$140,BD!$A$3:$A$5001,"&gt;="&amp;$C$7,BD!$A$3:$A$5001,"&lt;="&amp;$B168,BD!$X$3:$X$5001,"&lt;&gt;")=0,"",SUMIFS(BD!$X$3:$X$5001,BD!$B$3:$B$5001,D$140,BD!$A$3:$A$5001,_xlfn.MAXIFS(BD!$A$3:$A$5001,BD!$B$3:$B$5001,D$140,BD!$A$3:$A$5001,"&gt;="&amp;$C$7,BD!$A$3:$A$5001,"&lt;="&amp;$B168,BD!$X$3:$X$5001,"&lt;&gt;"))))</f>
        <v/>
      </c>
      <c r="E168" s="43" t="str">
        <f>IF(OR($B168="",$A168&gt;$B$9,E$140=""),"",IF(COUNTIFS(BD!$B$3:$B$5001,E$140,BD!$A$3:$A$5001,"&gt;="&amp;$C$7,BD!$A$3:$A$5001,"&lt;="&amp;$B168,BD!$X$3:$X$5001,"&lt;&gt;")=0,"",SUMIFS(BD!$X$3:$X$5001,BD!$B$3:$B$5001,E$140,BD!$A$3:$A$5001,_xlfn.MAXIFS(BD!$A$3:$A$5001,BD!$B$3:$B$5001,E$140,BD!$A$3:$A$5001,"&gt;="&amp;$C$7,BD!$A$3:$A$5001,"&lt;="&amp;$B168,BD!$X$3:$X$5001,"&lt;&gt;"))))</f>
        <v/>
      </c>
      <c r="F168" s="43" t="str">
        <f>IF(OR($B168="",$A168&gt;$B$9,F$140=""),"",IF(COUNTIFS(BD!$B$3:$B$5001,F$140,BD!$A$3:$A$5001,"&gt;="&amp;$C$7,BD!$A$3:$A$5001,"&lt;="&amp;$B168,BD!$X$3:$X$5001,"&lt;&gt;")=0,"",SUMIFS(BD!$X$3:$X$5001,BD!$B$3:$B$5001,F$140,BD!$A$3:$A$5001,_xlfn.MAXIFS(BD!$A$3:$A$5001,BD!$B$3:$B$5001,F$140,BD!$A$3:$A$5001,"&gt;="&amp;$C$7,BD!$A$3:$A$5001,"&lt;="&amp;$B168,BD!$X$3:$X$5001,"&lt;&gt;"))))</f>
        <v/>
      </c>
      <c r="G168" s="43" t="str">
        <f>IF(OR($B168="",$A168&gt;$B$9,G$140=""),"",IF(COUNTIFS(BD!$B$3:$B$5001,G$140,BD!$A$3:$A$5001,"&gt;="&amp;$C$7,BD!$A$3:$A$5001,"&lt;="&amp;$B168,BD!$X$3:$X$5001,"&lt;&gt;")=0,"",SUMIFS(BD!$X$3:$X$5001,BD!$B$3:$B$5001,G$140,BD!$A$3:$A$5001,_xlfn.MAXIFS(BD!$A$3:$A$5001,BD!$B$3:$B$5001,G$140,BD!$A$3:$A$5001,"&gt;="&amp;$C$7,BD!$A$3:$A$5001,"&lt;="&amp;$B168,BD!$X$3:$X$5001,"&lt;&gt;"))))</f>
        <v/>
      </c>
      <c r="H168" s="43" t="str">
        <f>IF(OR($B168="",$A168&gt;$B$9,H$140=""),"",IF(COUNTIFS(BD!$B$3:$B$5001,H$140,BD!$A$3:$A$5001,"&gt;="&amp;$C$7,BD!$A$3:$A$5001,"&lt;="&amp;$B168,BD!$X$3:$X$5001,"&lt;&gt;")=0,"",SUMIFS(BD!$X$3:$X$5001,BD!$B$3:$B$5001,H$140,BD!$A$3:$A$5001,_xlfn.MAXIFS(BD!$A$3:$A$5001,BD!$B$3:$B$5001,H$140,BD!$A$3:$A$5001,"&gt;="&amp;$C$7,BD!$A$3:$A$5001,"&lt;="&amp;$B168,BD!$X$3:$X$5001,"&lt;&gt;"))))</f>
        <v/>
      </c>
      <c r="I168" s="43" t="str">
        <f>IF(OR($B168="",$A168&gt;$B$9,I$140=""),"",IF(COUNTIFS(BD!$B$3:$B$5001,I$140,BD!$A$3:$A$5001,"&gt;="&amp;$C$7,BD!$A$3:$A$5001,"&lt;="&amp;$B168,BD!$X$3:$X$5001,"&lt;&gt;")=0,"",SUMIFS(BD!$X$3:$X$5001,BD!$B$3:$B$5001,I$140,BD!$A$3:$A$5001,_xlfn.MAXIFS(BD!$A$3:$A$5001,BD!$B$3:$B$5001,I$140,BD!$A$3:$A$5001,"&gt;="&amp;$C$7,BD!$A$3:$A$5001,"&lt;="&amp;$B168,BD!$X$3:$X$5001,"&lt;&gt;"))))</f>
        <v/>
      </c>
      <c r="J168" s="43" t="str">
        <f>IF(OR($B168="",$A168&gt;$B$9,J$140=""),"",IF(COUNTIFS(BD!$B$3:$B$5001,J$140,BD!$A$3:$A$5001,"&gt;="&amp;$C$7,BD!$A$3:$A$5001,"&lt;="&amp;$B168,BD!$X$3:$X$5001,"&lt;&gt;")=0,"",SUMIFS(BD!$X$3:$X$5001,BD!$B$3:$B$5001,J$140,BD!$A$3:$A$5001,_xlfn.MAXIFS(BD!$A$3:$A$5001,BD!$B$3:$B$5001,J$140,BD!$A$3:$A$5001,"&gt;="&amp;$C$7,BD!$A$3:$A$5001,"&lt;="&amp;$B168,BD!$X$3:$X$5001,"&lt;&gt;"))))</f>
        <v/>
      </c>
      <c r="K168" s="43" t="str">
        <f>IF(OR($B168="",$A168&gt;$B$9,K$140=""),"",IF(COUNTIFS(BD!$B$3:$B$5001,K$140,BD!$A$3:$A$5001,"&gt;="&amp;$C$7,BD!$A$3:$A$5001,"&lt;="&amp;$B168,BD!$X$3:$X$5001,"&lt;&gt;")=0,"",SUMIFS(BD!$X$3:$X$5001,BD!$B$3:$B$5001,K$140,BD!$A$3:$A$5001,_xlfn.MAXIFS(BD!$A$3:$A$5001,BD!$B$3:$B$5001,K$140,BD!$A$3:$A$5001,"&gt;="&amp;$C$7,BD!$A$3:$A$5001,"&lt;="&amp;$B168,BD!$X$3:$X$5001,"&lt;&gt;"))))</f>
        <v/>
      </c>
      <c r="L168" s="43" t="str">
        <f>IF(OR($B168="",$A168&gt;$B$9,L$140=""),"",IF(COUNTIFS(BD!$B$3:$B$5001,L$140,BD!$A$3:$A$5001,"&gt;="&amp;$C$7,BD!$A$3:$A$5001,"&lt;="&amp;$B168,BD!$X$3:$X$5001,"&lt;&gt;")=0,"",SUMIFS(BD!$X$3:$X$5001,BD!$B$3:$B$5001,L$140,BD!$A$3:$A$5001,_xlfn.MAXIFS(BD!$A$3:$A$5001,BD!$B$3:$B$5001,L$140,BD!$A$3:$A$5001,"&gt;="&amp;$C$7,BD!$A$3:$A$5001,"&lt;="&amp;$B168,BD!$X$3:$X$5001,"&lt;&gt;"))))</f>
        <v/>
      </c>
      <c r="M168" s="43" t="str">
        <f>IF(OR($B168="",$A168&gt;$B$9,M$140=""),"",IF(COUNTIFS(BD!$B$3:$B$5001,M$140,BD!$A$3:$A$5001,"&gt;="&amp;$C$7,BD!$A$3:$A$5001,"&lt;="&amp;$B168,BD!$X$3:$X$5001,"&lt;&gt;")=0,"",SUMIFS(BD!$X$3:$X$5001,BD!$B$3:$B$5001,M$140,BD!$A$3:$A$5001,_xlfn.MAXIFS(BD!$A$3:$A$5001,BD!$B$3:$B$5001,M$140,BD!$A$3:$A$5001,"&gt;="&amp;$C$7,BD!$A$3:$A$5001,"&lt;="&amp;$B168,BD!$X$3:$X$5001,"&lt;&gt;"))))</f>
        <v/>
      </c>
      <c r="N168" s="43" t="str">
        <f>IF(OR($B168="",$A168&gt;$B$9,N$140=""),"",IF(COUNTIFS(BD!$B$3:$B$5001,N$140,BD!$A$3:$A$5001,"&gt;="&amp;$C$7,BD!$A$3:$A$5001,"&lt;="&amp;$B168,BD!$X$3:$X$5001,"&lt;&gt;")=0,"",SUMIFS(BD!$X$3:$X$5001,BD!$B$3:$B$5001,N$140,BD!$A$3:$A$5001,_xlfn.MAXIFS(BD!$A$3:$A$5001,BD!$B$3:$B$5001,N$140,BD!$A$3:$A$5001,"&gt;="&amp;$C$7,BD!$A$3:$A$5001,"&lt;="&amp;$B168,BD!$X$3:$X$5001,"&lt;&gt;"))))</f>
        <v/>
      </c>
      <c r="O168" s="43" t="str">
        <f>IF(OR($B168="",$A168&gt;$B$9,O$140=""),"",IF(COUNTIFS(BD!$B$3:$B$5001,O$140,BD!$A$3:$A$5001,"&gt;="&amp;$C$7,BD!$A$3:$A$5001,"&lt;="&amp;$B168,BD!$X$3:$X$5001,"&lt;&gt;")=0,"",SUMIFS(BD!$X$3:$X$5001,BD!$B$3:$B$5001,O$140,BD!$A$3:$A$5001,_xlfn.MAXIFS(BD!$A$3:$A$5001,BD!$B$3:$B$5001,O$140,BD!$A$3:$A$5001,"&gt;="&amp;$C$7,BD!$A$3:$A$5001,"&lt;="&amp;$B168,BD!$X$3:$X$5001,"&lt;&gt;"))))</f>
        <v/>
      </c>
      <c r="P168" s="43" t="str">
        <f>IF(OR($B168="",$A168&gt;$B$9,P$140=""),"",IF(COUNTIFS(BD!$B$3:$B$5001,P$140,BD!$A$3:$A$5001,"&gt;="&amp;$C$7,BD!$A$3:$A$5001,"&lt;="&amp;$B168,BD!$X$3:$X$5001,"&lt;&gt;")=0,"",SUMIFS(BD!$X$3:$X$5001,BD!$B$3:$B$5001,P$140,BD!$A$3:$A$5001,_xlfn.MAXIFS(BD!$A$3:$A$5001,BD!$B$3:$B$5001,P$140,BD!$A$3:$A$5001,"&gt;="&amp;$C$7,BD!$A$3:$A$5001,"&lt;="&amp;$B168,BD!$X$3:$X$5001,"&lt;&gt;"))))</f>
        <v/>
      </c>
      <c r="Q168" s="43" t="str">
        <f>IF(OR($B168="",$A168&gt;$B$9,Q$140=""),"",IF(COUNTIFS(BD!$B$3:$B$5001,Q$140,BD!$A$3:$A$5001,"&gt;="&amp;$C$7,BD!$A$3:$A$5001,"&lt;="&amp;$B168,BD!$X$3:$X$5001,"&lt;&gt;")=0,"",SUMIFS(BD!$X$3:$X$5001,BD!$B$3:$B$5001,Q$140,BD!$A$3:$A$5001,_xlfn.MAXIFS(BD!$A$3:$A$5001,BD!$B$3:$B$5001,Q$140,BD!$A$3:$A$5001,"&gt;="&amp;$C$7,BD!$A$3:$A$5001,"&lt;="&amp;$B168,BD!$X$3:$X$5001,"&lt;&gt;"))))</f>
        <v/>
      </c>
      <c r="R168" s="43" t="str">
        <f>IF(OR($B168="",$A168&gt;$B$9,R$140=""),"",IF(COUNTIFS(BD!$B$3:$B$5001,R$140,BD!$A$3:$A$5001,"&gt;="&amp;$C$7,BD!$A$3:$A$5001,"&lt;="&amp;$B168,BD!$X$3:$X$5001,"&lt;&gt;")=0,"",SUMIFS(BD!$X$3:$X$5001,BD!$B$3:$B$5001,R$140,BD!$A$3:$A$5001,_xlfn.MAXIFS(BD!$A$3:$A$5001,BD!$B$3:$B$5001,R$140,BD!$A$3:$A$5001,"&gt;="&amp;$C$7,BD!$A$3:$A$5001,"&lt;="&amp;$B168,BD!$X$3:$X$5001,"&lt;&gt;"))))</f>
        <v/>
      </c>
      <c r="S168" s="43" t="str">
        <f>IF(OR($B168="",$A168&gt;$B$9,S$140=""),"",IF(COUNTIFS(BD!$B$3:$B$5001,S$140,BD!$A$3:$A$5001,"&gt;="&amp;$C$7,BD!$A$3:$A$5001,"&lt;="&amp;$B168,BD!$X$3:$X$5001,"&lt;&gt;")=0,"",SUMIFS(BD!$X$3:$X$5001,BD!$B$3:$B$5001,S$140,BD!$A$3:$A$5001,_xlfn.MAXIFS(BD!$A$3:$A$5001,BD!$B$3:$B$5001,S$140,BD!$A$3:$A$5001,"&gt;="&amp;$C$7,BD!$A$3:$A$5001,"&lt;="&amp;$B168,BD!$X$3:$X$5001,"&lt;&gt;"))))</f>
        <v/>
      </c>
      <c r="T168" s="43" t="str">
        <f>IF(OR($B168="",$A168&gt;$B$9,T$140=""),"",IF(COUNTIFS(BD!$B$3:$B$5001,T$140,BD!$A$3:$A$5001,"&gt;="&amp;$C$7,BD!$A$3:$A$5001,"&lt;="&amp;$B168,BD!$X$3:$X$5001,"&lt;&gt;")=0,"",SUMIFS(BD!$X$3:$X$5001,BD!$B$3:$B$5001,T$140,BD!$A$3:$A$5001,_xlfn.MAXIFS(BD!$A$3:$A$5001,BD!$B$3:$B$5001,T$140,BD!$A$3:$A$5001,"&gt;="&amp;$C$7,BD!$A$3:$A$5001,"&lt;="&amp;$B168,BD!$X$3:$X$5001,"&lt;&gt;"))))</f>
        <v/>
      </c>
      <c r="U168" s="43" t="str">
        <f>IF(OR($B168="",$A168&gt;$B$9,U$140=""),"",IF(COUNTIFS(BD!$B$3:$B$5001,U$140,BD!$A$3:$A$5001,"&gt;="&amp;$C$7,BD!$A$3:$A$5001,"&lt;="&amp;$B168,BD!$X$3:$X$5001,"&lt;&gt;")=0,"",SUMIFS(BD!$X$3:$X$5001,BD!$B$3:$B$5001,U$140,BD!$A$3:$A$5001,_xlfn.MAXIFS(BD!$A$3:$A$5001,BD!$B$3:$B$5001,U$140,BD!$A$3:$A$5001,"&gt;="&amp;$C$7,BD!$A$3:$A$5001,"&lt;="&amp;$B168,BD!$X$3:$X$5001,"&lt;&gt;"))))</f>
        <v/>
      </c>
      <c r="V168" s="43" t="str">
        <f>IF(OR($B168="",$A168&gt;$B$9,V$140=""),"",IF(COUNTIFS(BD!$B$3:$B$5001,V$140,BD!$A$3:$A$5001,"&gt;="&amp;$C$7,BD!$A$3:$A$5001,"&lt;="&amp;$B168,BD!$X$3:$X$5001,"&lt;&gt;")=0,"",SUMIFS(BD!$X$3:$X$5001,BD!$B$3:$B$5001,V$140,BD!$A$3:$A$5001,_xlfn.MAXIFS(BD!$A$3:$A$5001,BD!$B$3:$B$5001,V$140,BD!$A$3:$A$5001,"&gt;="&amp;$C$7,BD!$A$3:$A$5001,"&lt;="&amp;$B168,BD!$X$3:$X$5001,"&lt;&gt;"))))</f>
        <v/>
      </c>
    </row>
    <row r="169">
      <c r="A169" s="38">
        <v>29</v>
      </c>
      <c r="B169" s="42">
        <f>$B$40</f>
        <v>46324</v>
      </c>
      <c r="C169" s="43" t="str">
        <f>IF(OR($B169="",$A169&gt;$B$9,C$140=""),"",IF(COUNTIFS(BD!$B$3:$B$5001,C$140,BD!$A$3:$A$5001,"&gt;="&amp;$C$7,BD!$A$3:$A$5001,"&lt;="&amp;$B169,BD!$X$3:$X$5001,"&lt;&gt;")=0,"",SUMIFS(BD!$X$3:$X$5001,BD!$B$3:$B$5001,C$140,BD!$A$3:$A$5001,_xlfn.MAXIFS(BD!$A$3:$A$5001,BD!$B$3:$B$5001,C$140,BD!$A$3:$A$5001,"&gt;="&amp;$C$7,BD!$A$3:$A$5001,"&lt;="&amp;$B169,BD!$X$3:$X$5001,"&lt;&gt;"))))</f>
        <v/>
      </c>
      <c r="D169" s="43" t="str">
        <f>IF(OR($B169="",$A169&gt;$B$9,D$140=""),"",IF(COUNTIFS(BD!$B$3:$B$5001,D$140,BD!$A$3:$A$5001,"&gt;="&amp;$C$7,BD!$A$3:$A$5001,"&lt;="&amp;$B169,BD!$X$3:$X$5001,"&lt;&gt;")=0,"",SUMIFS(BD!$X$3:$X$5001,BD!$B$3:$B$5001,D$140,BD!$A$3:$A$5001,_xlfn.MAXIFS(BD!$A$3:$A$5001,BD!$B$3:$B$5001,D$140,BD!$A$3:$A$5001,"&gt;="&amp;$C$7,BD!$A$3:$A$5001,"&lt;="&amp;$B169,BD!$X$3:$X$5001,"&lt;&gt;"))))</f>
        <v/>
      </c>
      <c r="E169" s="43" t="str">
        <f>IF(OR($B169="",$A169&gt;$B$9,E$140=""),"",IF(COUNTIFS(BD!$B$3:$B$5001,E$140,BD!$A$3:$A$5001,"&gt;="&amp;$C$7,BD!$A$3:$A$5001,"&lt;="&amp;$B169,BD!$X$3:$X$5001,"&lt;&gt;")=0,"",SUMIFS(BD!$X$3:$X$5001,BD!$B$3:$B$5001,E$140,BD!$A$3:$A$5001,_xlfn.MAXIFS(BD!$A$3:$A$5001,BD!$B$3:$B$5001,E$140,BD!$A$3:$A$5001,"&gt;="&amp;$C$7,BD!$A$3:$A$5001,"&lt;="&amp;$B169,BD!$X$3:$X$5001,"&lt;&gt;"))))</f>
        <v/>
      </c>
      <c r="F169" s="43" t="str">
        <f>IF(OR($B169="",$A169&gt;$B$9,F$140=""),"",IF(COUNTIFS(BD!$B$3:$B$5001,F$140,BD!$A$3:$A$5001,"&gt;="&amp;$C$7,BD!$A$3:$A$5001,"&lt;="&amp;$B169,BD!$X$3:$X$5001,"&lt;&gt;")=0,"",SUMIFS(BD!$X$3:$X$5001,BD!$B$3:$B$5001,F$140,BD!$A$3:$A$5001,_xlfn.MAXIFS(BD!$A$3:$A$5001,BD!$B$3:$B$5001,F$140,BD!$A$3:$A$5001,"&gt;="&amp;$C$7,BD!$A$3:$A$5001,"&lt;="&amp;$B169,BD!$X$3:$X$5001,"&lt;&gt;"))))</f>
        <v/>
      </c>
      <c r="G169" s="43" t="str">
        <f>IF(OR($B169="",$A169&gt;$B$9,G$140=""),"",IF(COUNTIFS(BD!$B$3:$B$5001,G$140,BD!$A$3:$A$5001,"&gt;="&amp;$C$7,BD!$A$3:$A$5001,"&lt;="&amp;$B169,BD!$X$3:$X$5001,"&lt;&gt;")=0,"",SUMIFS(BD!$X$3:$X$5001,BD!$B$3:$B$5001,G$140,BD!$A$3:$A$5001,_xlfn.MAXIFS(BD!$A$3:$A$5001,BD!$B$3:$B$5001,G$140,BD!$A$3:$A$5001,"&gt;="&amp;$C$7,BD!$A$3:$A$5001,"&lt;="&amp;$B169,BD!$X$3:$X$5001,"&lt;&gt;"))))</f>
        <v/>
      </c>
      <c r="H169" s="43" t="str">
        <f>IF(OR($B169="",$A169&gt;$B$9,H$140=""),"",IF(COUNTIFS(BD!$B$3:$B$5001,H$140,BD!$A$3:$A$5001,"&gt;="&amp;$C$7,BD!$A$3:$A$5001,"&lt;="&amp;$B169,BD!$X$3:$X$5001,"&lt;&gt;")=0,"",SUMIFS(BD!$X$3:$X$5001,BD!$B$3:$B$5001,H$140,BD!$A$3:$A$5001,_xlfn.MAXIFS(BD!$A$3:$A$5001,BD!$B$3:$B$5001,H$140,BD!$A$3:$A$5001,"&gt;="&amp;$C$7,BD!$A$3:$A$5001,"&lt;="&amp;$B169,BD!$X$3:$X$5001,"&lt;&gt;"))))</f>
        <v/>
      </c>
      <c r="I169" s="43" t="str">
        <f>IF(OR($B169="",$A169&gt;$B$9,I$140=""),"",IF(COUNTIFS(BD!$B$3:$B$5001,I$140,BD!$A$3:$A$5001,"&gt;="&amp;$C$7,BD!$A$3:$A$5001,"&lt;="&amp;$B169,BD!$X$3:$X$5001,"&lt;&gt;")=0,"",SUMIFS(BD!$X$3:$X$5001,BD!$B$3:$B$5001,I$140,BD!$A$3:$A$5001,_xlfn.MAXIFS(BD!$A$3:$A$5001,BD!$B$3:$B$5001,I$140,BD!$A$3:$A$5001,"&gt;="&amp;$C$7,BD!$A$3:$A$5001,"&lt;="&amp;$B169,BD!$X$3:$X$5001,"&lt;&gt;"))))</f>
        <v/>
      </c>
      <c r="J169" s="43" t="str">
        <f>IF(OR($B169="",$A169&gt;$B$9,J$140=""),"",IF(COUNTIFS(BD!$B$3:$B$5001,J$140,BD!$A$3:$A$5001,"&gt;="&amp;$C$7,BD!$A$3:$A$5001,"&lt;="&amp;$B169,BD!$X$3:$X$5001,"&lt;&gt;")=0,"",SUMIFS(BD!$X$3:$X$5001,BD!$B$3:$B$5001,J$140,BD!$A$3:$A$5001,_xlfn.MAXIFS(BD!$A$3:$A$5001,BD!$B$3:$B$5001,J$140,BD!$A$3:$A$5001,"&gt;="&amp;$C$7,BD!$A$3:$A$5001,"&lt;="&amp;$B169,BD!$X$3:$X$5001,"&lt;&gt;"))))</f>
        <v/>
      </c>
      <c r="K169" s="43" t="str">
        <f>IF(OR($B169="",$A169&gt;$B$9,K$140=""),"",IF(COUNTIFS(BD!$B$3:$B$5001,K$140,BD!$A$3:$A$5001,"&gt;="&amp;$C$7,BD!$A$3:$A$5001,"&lt;="&amp;$B169,BD!$X$3:$X$5001,"&lt;&gt;")=0,"",SUMIFS(BD!$X$3:$X$5001,BD!$B$3:$B$5001,K$140,BD!$A$3:$A$5001,_xlfn.MAXIFS(BD!$A$3:$A$5001,BD!$B$3:$B$5001,K$140,BD!$A$3:$A$5001,"&gt;="&amp;$C$7,BD!$A$3:$A$5001,"&lt;="&amp;$B169,BD!$X$3:$X$5001,"&lt;&gt;"))))</f>
        <v/>
      </c>
      <c r="L169" s="43" t="str">
        <f>IF(OR($B169="",$A169&gt;$B$9,L$140=""),"",IF(COUNTIFS(BD!$B$3:$B$5001,L$140,BD!$A$3:$A$5001,"&gt;="&amp;$C$7,BD!$A$3:$A$5001,"&lt;="&amp;$B169,BD!$X$3:$X$5001,"&lt;&gt;")=0,"",SUMIFS(BD!$X$3:$X$5001,BD!$B$3:$B$5001,L$140,BD!$A$3:$A$5001,_xlfn.MAXIFS(BD!$A$3:$A$5001,BD!$B$3:$B$5001,L$140,BD!$A$3:$A$5001,"&gt;="&amp;$C$7,BD!$A$3:$A$5001,"&lt;="&amp;$B169,BD!$X$3:$X$5001,"&lt;&gt;"))))</f>
        <v/>
      </c>
      <c r="M169" s="43" t="str">
        <f>IF(OR($B169="",$A169&gt;$B$9,M$140=""),"",IF(COUNTIFS(BD!$B$3:$B$5001,M$140,BD!$A$3:$A$5001,"&gt;="&amp;$C$7,BD!$A$3:$A$5001,"&lt;="&amp;$B169,BD!$X$3:$X$5001,"&lt;&gt;")=0,"",SUMIFS(BD!$X$3:$X$5001,BD!$B$3:$B$5001,M$140,BD!$A$3:$A$5001,_xlfn.MAXIFS(BD!$A$3:$A$5001,BD!$B$3:$B$5001,M$140,BD!$A$3:$A$5001,"&gt;="&amp;$C$7,BD!$A$3:$A$5001,"&lt;="&amp;$B169,BD!$X$3:$X$5001,"&lt;&gt;"))))</f>
        <v/>
      </c>
      <c r="N169" s="43" t="str">
        <f>IF(OR($B169="",$A169&gt;$B$9,N$140=""),"",IF(COUNTIFS(BD!$B$3:$B$5001,N$140,BD!$A$3:$A$5001,"&gt;="&amp;$C$7,BD!$A$3:$A$5001,"&lt;="&amp;$B169,BD!$X$3:$X$5001,"&lt;&gt;")=0,"",SUMIFS(BD!$X$3:$X$5001,BD!$B$3:$B$5001,N$140,BD!$A$3:$A$5001,_xlfn.MAXIFS(BD!$A$3:$A$5001,BD!$B$3:$B$5001,N$140,BD!$A$3:$A$5001,"&gt;="&amp;$C$7,BD!$A$3:$A$5001,"&lt;="&amp;$B169,BD!$X$3:$X$5001,"&lt;&gt;"))))</f>
        <v/>
      </c>
      <c r="O169" s="43" t="str">
        <f>IF(OR($B169="",$A169&gt;$B$9,O$140=""),"",IF(COUNTIFS(BD!$B$3:$B$5001,O$140,BD!$A$3:$A$5001,"&gt;="&amp;$C$7,BD!$A$3:$A$5001,"&lt;="&amp;$B169,BD!$X$3:$X$5001,"&lt;&gt;")=0,"",SUMIFS(BD!$X$3:$X$5001,BD!$B$3:$B$5001,O$140,BD!$A$3:$A$5001,_xlfn.MAXIFS(BD!$A$3:$A$5001,BD!$B$3:$B$5001,O$140,BD!$A$3:$A$5001,"&gt;="&amp;$C$7,BD!$A$3:$A$5001,"&lt;="&amp;$B169,BD!$X$3:$X$5001,"&lt;&gt;"))))</f>
        <v/>
      </c>
      <c r="P169" s="43" t="str">
        <f>IF(OR($B169="",$A169&gt;$B$9,P$140=""),"",IF(COUNTIFS(BD!$B$3:$B$5001,P$140,BD!$A$3:$A$5001,"&gt;="&amp;$C$7,BD!$A$3:$A$5001,"&lt;="&amp;$B169,BD!$X$3:$X$5001,"&lt;&gt;")=0,"",SUMIFS(BD!$X$3:$X$5001,BD!$B$3:$B$5001,P$140,BD!$A$3:$A$5001,_xlfn.MAXIFS(BD!$A$3:$A$5001,BD!$B$3:$B$5001,P$140,BD!$A$3:$A$5001,"&gt;="&amp;$C$7,BD!$A$3:$A$5001,"&lt;="&amp;$B169,BD!$X$3:$X$5001,"&lt;&gt;"))))</f>
        <v/>
      </c>
      <c r="Q169" s="43" t="str">
        <f>IF(OR($B169="",$A169&gt;$B$9,Q$140=""),"",IF(COUNTIFS(BD!$B$3:$B$5001,Q$140,BD!$A$3:$A$5001,"&gt;="&amp;$C$7,BD!$A$3:$A$5001,"&lt;="&amp;$B169,BD!$X$3:$X$5001,"&lt;&gt;")=0,"",SUMIFS(BD!$X$3:$X$5001,BD!$B$3:$B$5001,Q$140,BD!$A$3:$A$5001,_xlfn.MAXIFS(BD!$A$3:$A$5001,BD!$B$3:$B$5001,Q$140,BD!$A$3:$A$5001,"&gt;="&amp;$C$7,BD!$A$3:$A$5001,"&lt;="&amp;$B169,BD!$X$3:$X$5001,"&lt;&gt;"))))</f>
        <v/>
      </c>
      <c r="R169" s="43" t="str">
        <f>IF(OR($B169="",$A169&gt;$B$9,R$140=""),"",IF(COUNTIFS(BD!$B$3:$B$5001,R$140,BD!$A$3:$A$5001,"&gt;="&amp;$C$7,BD!$A$3:$A$5001,"&lt;="&amp;$B169,BD!$X$3:$X$5001,"&lt;&gt;")=0,"",SUMIFS(BD!$X$3:$X$5001,BD!$B$3:$B$5001,R$140,BD!$A$3:$A$5001,_xlfn.MAXIFS(BD!$A$3:$A$5001,BD!$B$3:$B$5001,R$140,BD!$A$3:$A$5001,"&gt;="&amp;$C$7,BD!$A$3:$A$5001,"&lt;="&amp;$B169,BD!$X$3:$X$5001,"&lt;&gt;"))))</f>
        <v/>
      </c>
      <c r="S169" s="43" t="str">
        <f>IF(OR($B169="",$A169&gt;$B$9,S$140=""),"",IF(COUNTIFS(BD!$B$3:$B$5001,S$140,BD!$A$3:$A$5001,"&gt;="&amp;$C$7,BD!$A$3:$A$5001,"&lt;="&amp;$B169,BD!$X$3:$X$5001,"&lt;&gt;")=0,"",SUMIFS(BD!$X$3:$X$5001,BD!$B$3:$B$5001,S$140,BD!$A$3:$A$5001,_xlfn.MAXIFS(BD!$A$3:$A$5001,BD!$B$3:$B$5001,S$140,BD!$A$3:$A$5001,"&gt;="&amp;$C$7,BD!$A$3:$A$5001,"&lt;="&amp;$B169,BD!$X$3:$X$5001,"&lt;&gt;"))))</f>
        <v/>
      </c>
      <c r="T169" s="43" t="str">
        <f>IF(OR($B169="",$A169&gt;$B$9,T$140=""),"",IF(COUNTIFS(BD!$B$3:$B$5001,T$140,BD!$A$3:$A$5001,"&gt;="&amp;$C$7,BD!$A$3:$A$5001,"&lt;="&amp;$B169,BD!$X$3:$X$5001,"&lt;&gt;")=0,"",SUMIFS(BD!$X$3:$X$5001,BD!$B$3:$B$5001,T$140,BD!$A$3:$A$5001,_xlfn.MAXIFS(BD!$A$3:$A$5001,BD!$B$3:$B$5001,T$140,BD!$A$3:$A$5001,"&gt;="&amp;$C$7,BD!$A$3:$A$5001,"&lt;="&amp;$B169,BD!$X$3:$X$5001,"&lt;&gt;"))))</f>
        <v/>
      </c>
      <c r="U169" s="43" t="str">
        <f>IF(OR($B169="",$A169&gt;$B$9,U$140=""),"",IF(COUNTIFS(BD!$B$3:$B$5001,U$140,BD!$A$3:$A$5001,"&gt;="&amp;$C$7,BD!$A$3:$A$5001,"&lt;="&amp;$B169,BD!$X$3:$X$5001,"&lt;&gt;")=0,"",SUMIFS(BD!$X$3:$X$5001,BD!$B$3:$B$5001,U$140,BD!$A$3:$A$5001,_xlfn.MAXIFS(BD!$A$3:$A$5001,BD!$B$3:$B$5001,U$140,BD!$A$3:$A$5001,"&gt;="&amp;$C$7,BD!$A$3:$A$5001,"&lt;="&amp;$B169,BD!$X$3:$X$5001,"&lt;&gt;"))))</f>
        <v/>
      </c>
      <c r="V169" s="43" t="str">
        <f>IF(OR($B169="",$A169&gt;$B$9,V$140=""),"",IF(COUNTIFS(BD!$B$3:$B$5001,V$140,BD!$A$3:$A$5001,"&gt;="&amp;$C$7,BD!$A$3:$A$5001,"&lt;="&amp;$B169,BD!$X$3:$X$5001,"&lt;&gt;")=0,"",SUMIFS(BD!$X$3:$X$5001,BD!$B$3:$B$5001,V$140,BD!$A$3:$A$5001,_xlfn.MAXIFS(BD!$A$3:$A$5001,BD!$B$3:$B$5001,V$140,BD!$A$3:$A$5001,"&gt;="&amp;$C$7,BD!$A$3:$A$5001,"&lt;="&amp;$B169,BD!$X$3:$X$5001,"&lt;&gt;"))))</f>
        <v/>
      </c>
    </row>
    <row r="170">
      <c r="A170" s="38">
        <v>30</v>
      </c>
      <c r="B170" s="42">
        <f>$B$41</f>
        <v>46325</v>
      </c>
      <c r="C170" s="43" t="str">
        <f>IF(OR($B170="",$A170&gt;$B$9,C$140=""),"",IF(COUNTIFS(BD!$B$3:$B$5001,C$140,BD!$A$3:$A$5001,"&gt;="&amp;$C$7,BD!$A$3:$A$5001,"&lt;="&amp;$B170,BD!$X$3:$X$5001,"&lt;&gt;")=0,"",SUMIFS(BD!$X$3:$X$5001,BD!$B$3:$B$5001,C$140,BD!$A$3:$A$5001,_xlfn.MAXIFS(BD!$A$3:$A$5001,BD!$B$3:$B$5001,C$140,BD!$A$3:$A$5001,"&gt;="&amp;$C$7,BD!$A$3:$A$5001,"&lt;="&amp;$B170,BD!$X$3:$X$5001,"&lt;&gt;"))))</f>
        <v/>
      </c>
      <c r="D170" s="43" t="str">
        <f>IF(OR($B170="",$A170&gt;$B$9,D$140=""),"",IF(COUNTIFS(BD!$B$3:$B$5001,D$140,BD!$A$3:$A$5001,"&gt;="&amp;$C$7,BD!$A$3:$A$5001,"&lt;="&amp;$B170,BD!$X$3:$X$5001,"&lt;&gt;")=0,"",SUMIFS(BD!$X$3:$X$5001,BD!$B$3:$B$5001,D$140,BD!$A$3:$A$5001,_xlfn.MAXIFS(BD!$A$3:$A$5001,BD!$B$3:$B$5001,D$140,BD!$A$3:$A$5001,"&gt;="&amp;$C$7,BD!$A$3:$A$5001,"&lt;="&amp;$B170,BD!$X$3:$X$5001,"&lt;&gt;"))))</f>
        <v/>
      </c>
      <c r="E170" s="43" t="str">
        <f>IF(OR($B170="",$A170&gt;$B$9,E$140=""),"",IF(COUNTIFS(BD!$B$3:$B$5001,E$140,BD!$A$3:$A$5001,"&gt;="&amp;$C$7,BD!$A$3:$A$5001,"&lt;="&amp;$B170,BD!$X$3:$X$5001,"&lt;&gt;")=0,"",SUMIFS(BD!$X$3:$X$5001,BD!$B$3:$B$5001,E$140,BD!$A$3:$A$5001,_xlfn.MAXIFS(BD!$A$3:$A$5001,BD!$B$3:$B$5001,E$140,BD!$A$3:$A$5001,"&gt;="&amp;$C$7,BD!$A$3:$A$5001,"&lt;="&amp;$B170,BD!$X$3:$X$5001,"&lt;&gt;"))))</f>
        <v/>
      </c>
      <c r="F170" s="43" t="str">
        <f>IF(OR($B170="",$A170&gt;$B$9,F$140=""),"",IF(COUNTIFS(BD!$B$3:$B$5001,F$140,BD!$A$3:$A$5001,"&gt;="&amp;$C$7,BD!$A$3:$A$5001,"&lt;="&amp;$B170,BD!$X$3:$X$5001,"&lt;&gt;")=0,"",SUMIFS(BD!$X$3:$X$5001,BD!$B$3:$B$5001,F$140,BD!$A$3:$A$5001,_xlfn.MAXIFS(BD!$A$3:$A$5001,BD!$B$3:$B$5001,F$140,BD!$A$3:$A$5001,"&gt;="&amp;$C$7,BD!$A$3:$A$5001,"&lt;="&amp;$B170,BD!$X$3:$X$5001,"&lt;&gt;"))))</f>
        <v/>
      </c>
      <c r="G170" s="43" t="str">
        <f>IF(OR($B170="",$A170&gt;$B$9,G$140=""),"",IF(COUNTIFS(BD!$B$3:$B$5001,G$140,BD!$A$3:$A$5001,"&gt;="&amp;$C$7,BD!$A$3:$A$5001,"&lt;="&amp;$B170,BD!$X$3:$X$5001,"&lt;&gt;")=0,"",SUMIFS(BD!$X$3:$X$5001,BD!$B$3:$B$5001,G$140,BD!$A$3:$A$5001,_xlfn.MAXIFS(BD!$A$3:$A$5001,BD!$B$3:$B$5001,G$140,BD!$A$3:$A$5001,"&gt;="&amp;$C$7,BD!$A$3:$A$5001,"&lt;="&amp;$B170,BD!$X$3:$X$5001,"&lt;&gt;"))))</f>
        <v/>
      </c>
      <c r="H170" s="43" t="str">
        <f>IF(OR($B170="",$A170&gt;$B$9,H$140=""),"",IF(COUNTIFS(BD!$B$3:$B$5001,H$140,BD!$A$3:$A$5001,"&gt;="&amp;$C$7,BD!$A$3:$A$5001,"&lt;="&amp;$B170,BD!$X$3:$X$5001,"&lt;&gt;")=0,"",SUMIFS(BD!$X$3:$X$5001,BD!$B$3:$B$5001,H$140,BD!$A$3:$A$5001,_xlfn.MAXIFS(BD!$A$3:$A$5001,BD!$B$3:$B$5001,H$140,BD!$A$3:$A$5001,"&gt;="&amp;$C$7,BD!$A$3:$A$5001,"&lt;="&amp;$B170,BD!$X$3:$X$5001,"&lt;&gt;"))))</f>
        <v/>
      </c>
      <c r="I170" s="43" t="str">
        <f>IF(OR($B170="",$A170&gt;$B$9,I$140=""),"",IF(COUNTIFS(BD!$B$3:$B$5001,I$140,BD!$A$3:$A$5001,"&gt;="&amp;$C$7,BD!$A$3:$A$5001,"&lt;="&amp;$B170,BD!$X$3:$X$5001,"&lt;&gt;")=0,"",SUMIFS(BD!$X$3:$X$5001,BD!$B$3:$B$5001,I$140,BD!$A$3:$A$5001,_xlfn.MAXIFS(BD!$A$3:$A$5001,BD!$B$3:$B$5001,I$140,BD!$A$3:$A$5001,"&gt;="&amp;$C$7,BD!$A$3:$A$5001,"&lt;="&amp;$B170,BD!$X$3:$X$5001,"&lt;&gt;"))))</f>
        <v/>
      </c>
      <c r="J170" s="43" t="str">
        <f>IF(OR($B170="",$A170&gt;$B$9,J$140=""),"",IF(COUNTIFS(BD!$B$3:$B$5001,J$140,BD!$A$3:$A$5001,"&gt;="&amp;$C$7,BD!$A$3:$A$5001,"&lt;="&amp;$B170,BD!$X$3:$X$5001,"&lt;&gt;")=0,"",SUMIFS(BD!$X$3:$X$5001,BD!$B$3:$B$5001,J$140,BD!$A$3:$A$5001,_xlfn.MAXIFS(BD!$A$3:$A$5001,BD!$B$3:$B$5001,J$140,BD!$A$3:$A$5001,"&gt;="&amp;$C$7,BD!$A$3:$A$5001,"&lt;="&amp;$B170,BD!$X$3:$X$5001,"&lt;&gt;"))))</f>
        <v/>
      </c>
      <c r="K170" s="43" t="str">
        <f>IF(OR($B170="",$A170&gt;$B$9,K$140=""),"",IF(COUNTIFS(BD!$B$3:$B$5001,K$140,BD!$A$3:$A$5001,"&gt;="&amp;$C$7,BD!$A$3:$A$5001,"&lt;="&amp;$B170,BD!$X$3:$X$5001,"&lt;&gt;")=0,"",SUMIFS(BD!$X$3:$X$5001,BD!$B$3:$B$5001,K$140,BD!$A$3:$A$5001,_xlfn.MAXIFS(BD!$A$3:$A$5001,BD!$B$3:$B$5001,K$140,BD!$A$3:$A$5001,"&gt;="&amp;$C$7,BD!$A$3:$A$5001,"&lt;="&amp;$B170,BD!$X$3:$X$5001,"&lt;&gt;"))))</f>
        <v/>
      </c>
      <c r="L170" s="43" t="str">
        <f>IF(OR($B170="",$A170&gt;$B$9,L$140=""),"",IF(COUNTIFS(BD!$B$3:$B$5001,L$140,BD!$A$3:$A$5001,"&gt;="&amp;$C$7,BD!$A$3:$A$5001,"&lt;="&amp;$B170,BD!$X$3:$X$5001,"&lt;&gt;")=0,"",SUMIFS(BD!$X$3:$X$5001,BD!$B$3:$B$5001,L$140,BD!$A$3:$A$5001,_xlfn.MAXIFS(BD!$A$3:$A$5001,BD!$B$3:$B$5001,L$140,BD!$A$3:$A$5001,"&gt;="&amp;$C$7,BD!$A$3:$A$5001,"&lt;="&amp;$B170,BD!$X$3:$X$5001,"&lt;&gt;"))))</f>
        <v/>
      </c>
      <c r="M170" s="43" t="str">
        <f>IF(OR($B170="",$A170&gt;$B$9,M$140=""),"",IF(COUNTIFS(BD!$B$3:$B$5001,M$140,BD!$A$3:$A$5001,"&gt;="&amp;$C$7,BD!$A$3:$A$5001,"&lt;="&amp;$B170,BD!$X$3:$X$5001,"&lt;&gt;")=0,"",SUMIFS(BD!$X$3:$X$5001,BD!$B$3:$B$5001,M$140,BD!$A$3:$A$5001,_xlfn.MAXIFS(BD!$A$3:$A$5001,BD!$B$3:$B$5001,M$140,BD!$A$3:$A$5001,"&gt;="&amp;$C$7,BD!$A$3:$A$5001,"&lt;="&amp;$B170,BD!$X$3:$X$5001,"&lt;&gt;"))))</f>
        <v/>
      </c>
      <c r="N170" s="43" t="str">
        <f>IF(OR($B170="",$A170&gt;$B$9,N$140=""),"",IF(COUNTIFS(BD!$B$3:$B$5001,N$140,BD!$A$3:$A$5001,"&gt;="&amp;$C$7,BD!$A$3:$A$5001,"&lt;="&amp;$B170,BD!$X$3:$X$5001,"&lt;&gt;")=0,"",SUMIFS(BD!$X$3:$X$5001,BD!$B$3:$B$5001,N$140,BD!$A$3:$A$5001,_xlfn.MAXIFS(BD!$A$3:$A$5001,BD!$B$3:$B$5001,N$140,BD!$A$3:$A$5001,"&gt;="&amp;$C$7,BD!$A$3:$A$5001,"&lt;="&amp;$B170,BD!$X$3:$X$5001,"&lt;&gt;"))))</f>
        <v/>
      </c>
      <c r="O170" s="43" t="str">
        <f>IF(OR($B170="",$A170&gt;$B$9,O$140=""),"",IF(COUNTIFS(BD!$B$3:$B$5001,O$140,BD!$A$3:$A$5001,"&gt;="&amp;$C$7,BD!$A$3:$A$5001,"&lt;="&amp;$B170,BD!$X$3:$X$5001,"&lt;&gt;")=0,"",SUMIFS(BD!$X$3:$X$5001,BD!$B$3:$B$5001,O$140,BD!$A$3:$A$5001,_xlfn.MAXIFS(BD!$A$3:$A$5001,BD!$B$3:$B$5001,O$140,BD!$A$3:$A$5001,"&gt;="&amp;$C$7,BD!$A$3:$A$5001,"&lt;="&amp;$B170,BD!$X$3:$X$5001,"&lt;&gt;"))))</f>
        <v/>
      </c>
      <c r="P170" s="43" t="str">
        <f>IF(OR($B170="",$A170&gt;$B$9,P$140=""),"",IF(COUNTIFS(BD!$B$3:$B$5001,P$140,BD!$A$3:$A$5001,"&gt;="&amp;$C$7,BD!$A$3:$A$5001,"&lt;="&amp;$B170,BD!$X$3:$X$5001,"&lt;&gt;")=0,"",SUMIFS(BD!$X$3:$X$5001,BD!$B$3:$B$5001,P$140,BD!$A$3:$A$5001,_xlfn.MAXIFS(BD!$A$3:$A$5001,BD!$B$3:$B$5001,P$140,BD!$A$3:$A$5001,"&gt;="&amp;$C$7,BD!$A$3:$A$5001,"&lt;="&amp;$B170,BD!$X$3:$X$5001,"&lt;&gt;"))))</f>
        <v/>
      </c>
      <c r="Q170" s="43" t="str">
        <f>IF(OR($B170="",$A170&gt;$B$9,Q$140=""),"",IF(COUNTIFS(BD!$B$3:$B$5001,Q$140,BD!$A$3:$A$5001,"&gt;="&amp;$C$7,BD!$A$3:$A$5001,"&lt;="&amp;$B170,BD!$X$3:$X$5001,"&lt;&gt;")=0,"",SUMIFS(BD!$X$3:$X$5001,BD!$B$3:$B$5001,Q$140,BD!$A$3:$A$5001,_xlfn.MAXIFS(BD!$A$3:$A$5001,BD!$B$3:$B$5001,Q$140,BD!$A$3:$A$5001,"&gt;="&amp;$C$7,BD!$A$3:$A$5001,"&lt;="&amp;$B170,BD!$X$3:$X$5001,"&lt;&gt;"))))</f>
        <v/>
      </c>
      <c r="R170" s="43" t="str">
        <f>IF(OR($B170="",$A170&gt;$B$9,R$140=""),"",IF(COUNTIFS(BD!$B$3:$B$5001,R$140,BD!$A$3:$A$5001,"&gt;="&amp;$C$7,BD!$A$3:$A$5001,"&lt;="&amp;$B170,BD!$X$3:$X$5001,"&lt;&gt;")=0,"",SUMIFS(BD!$X$3:$X$5001,BD!$B$3:$B$5001,R$140,BD!$A$3:$A$5001,_xlfn.MAXIFS(BD!$A$3:$A$5001,BD!$B$3:$B$5001,R$140,BD!$A$3:$A$5001,"&gt;="&amp;$C$7,BD!$A$3:$A$5001,"&lt;="&amp;$B170,BD!$X$3:$X$5001,"&lt;&gt;"))))</f>
        <v/>
      </c>
      <c r="S170" s="43" t="str">
        <f>IF(OR($B170="",$A170&gt;$B$9,S$140=""),"",IF(COUNTIFS(BD!$B$3:$B$5001,S$140,BD!$A$3:$A$5001,"&gt;="&amp;$C$7,BD!$A$3:$A$5001,"&lt;="&amp;$B170,BD!$X$3:$X$5001,"&lt;&gt;")=0,"",SUMIFS(BD!$X$3:$X$5001,BD!$B$3:$B$5001,S$140,BD!$A$3:$A$5001,_xlfn.MAXIFS(BD!$A$3:$A$5001,BD!$B$3:$B$5001,S$140,BD!$A$3:$A$5001,"&gt;="&amp;$C$7,BD!$A$3:$A$5001,"&lt;="&amp;$B170,BD!$X$3:$X$5001,"&lt;&gt;"))))</f>
        <v/>
      </c>
      <c r="T170" s="43" t="str">
        <f>IF(OR($B170="",$A170&gt;$B$9,T$140=""),"",IF(COUNTIFS(BD!$B$3:$B$5001,T$140,BD!$A$3:$A$5001,"&gt;="&amp;$C$7,BD!$A$3:$A$5001,"&lt;="&amp;$B170,BD!$X$3:$X$5001,"&lt;&gt;")=0,"",SUMIFS(BD!$X$3:$X$5001,BD!$B$3:$B$5001,T$140,BD!$A$3:$A$5001,_xlfn.MAXIFS(BD!$A$3:$A$5001,BD!$B$3:$B$5001,T$140,BD!$A$3:$A$5001,"&gt;="&amp;$C$7,BD!$A$3:$A$5001,"&lt;="&amp;$B170,BD!$X$3:$X$5001,"&lt;&gt;"))))</f>
        <v/>
      </c>
      <c r="U170" s="43" t="str">
        <f>IF(OR($B170="",$A170&gt;$B$9,U$140=""),"",IF(COUNTIFS(BD!$B$3:$B$5001,U$140,BD!$A$3:$A$5001,"&gt;="&amp;$C$7,BD!$A$3:$A$5001,"&lt;="&amp;$B170,BD!$X$3:$X$5001,"&lt;&gt;")=0,"",SUMIFS(BD!$X$3:$X$5001,BD!$B$3:$B$5001,U$140,BD!$A$3:$A$5001,_xlfn.MAXIFS(BD!$A$3:$A$5001,BD!$B$3:$B$5001,U$140,BD!$A$3:$A$5001,"&gt;="&amp;$C$7,BD!$A$3:$A$5001,"&lt;="&amp;$B170,BD!$X$3:$X$5001,"&lt;&gt;"))))</f>
        <v/>
      </c>
      <c r="V170" s="43" t="str">
        <f>IF(OR($B170="",$A170&gt;$B$9,V$140=""),"",IF(COUNTIFS(BD!$B$3:$B$5001,V$140,BD!$A$3:$A$5001,"&gt;="&amp;$C$7,BD!$A$3:$A$5001,"&lt;="&amp;$B170,BD!$X$3:$X$5001,"&lt;&gt;")=0,"",SUMIFS(BD!$X$3:$X$5001,BD!$B$3:$B$5001,V$140,BD!$A$3:$A$5001,_xlfn.MAXIFS(BD!$A$3:$A$5001,BD!$B$3:$B$5001,V$140,BD!$A$3:$A$5001,"&gt;="&amp;$C$7,BD!$A$3:$A$5001,"&lt;="&amp;$B170,BD!$X$3:$X$5001,"&lt;&gt;"))))</f>
        <v/>
      </c>
    </row>
    <row r="171">
      <c r="A171" s="38">
        <v>31</v>
      </c>
      <c r="B171" s="42">
        <f>$B$42</f>
        <v>46326</v>
      </c>
      <c r="C171" s="43" t="str">
        <f>IF(OR($B171="",$A171&gt;$B$9,C$140=""),"",IF(COUNTIFS(BD!$B$3:$B$5001,C$140,BD!$A$3:$A$5001,"&gt;="&amp;$C$7,BD!$A$3:$A$5001,"&lt;="&amp;$B171,BD!$X$3:$X$5001,"&lt;&gt;")=0,"",SUMIFS(BD!$X$3:$X$5001,BD!$B$3:$B$5001,C$140,BD!$A$3:$A$5001,_xlfn.MAXIFS(BD!$A$3:$A$5001,BD!$B$3:$B$5001,C$140,BD!$A$3:$A$5001,"&gt;="&amp;$C$7,BD!$A$3:$A$5001,"&lt;="&amp;$B171,BD!$X$3:$X$5001,"&lt;&gt;"))))</f>
        <v/>
      </c>
      <c r="D171" s="43" t="str">
        <f>IF(OR($B171="",$A171&gt;$B$9,D$140=""),"",IF(COUNTIFS(BD!$B$3:$B$5001,D$140,BD!$A$3:$A$5001,"&gt;="&amp;$C$7,BD!$A$3:$A$5001,"&lt;="&amp;$B171,BD!$X$3:$X$5001,"&lt;&gt;")=0,"",SUMIFS(BD!$X$3:$X$5001,BD!$B$3:$B$5001,D$140,BD!$A$3:$A$5001,_xlfn.MAXIFS(BD!$A$3:$A$5001,BD!$B$3:$B$5001,D$140,BD!$A$3:$A$5001,"&gt;="&amp;$C$7,BD!$A$3:$A$5001,"&lt;="&amp;$B171,BD!$X$3:$X$5001,"&lt;&gt;"))))</f>
        <v/>
      </c>
      <c r="E171" s="43" t="str">
        <f>IF(OR($B171="",$A171&gt;$B$9,E$140=""),"",IF(COUNTIFS(BD!$B$3:$B$5001,E$140,BD!$A$3:$A$5001,"&gt;="&amp;$C$7,BD!$A$3:$A$5001,"&lt;="&amp;$B171,BD!$X$3:$X$5001,"&lt;&gt;")=0,"",SUMIFS(BD!$X$3:$X$5001,BD!$B$3:$B$5001,E$140,BD!$A$3:$A$5001,_xlfn.MAXIFS(BD!$A$3:$A$5001,BD!$B$3:$B$5001,E$140,BD!$A$3:$A$5001,"&gt;="&amp;$C$7,BD!$A$3:$A$5001,"&lt;="&amp;$B171,BD!$X$3:$X$5001,"&lt;&gt;"))))</f>
        <v/>
      </c>
      <c r="F171" s="43" t="str">
        <f>IF(OR($B171="",$A171&gt;$B$9,F$140=""),"",IF(COUNTIFS(BD!$B$3:$B$5001,F$140,BD!$A$3:$A$5001,"&gt;="&amp;$C$7,BD!$A$3:$A$5001,"&lt;="&amp;$B171,BD!$X$3:$X$5001,"&lt;&gt;")=0,"",SUMIFS(BD!$X$3:$X$5001,BD!$B$3:$B$5001,F$140,BD!$A$3:$A$5001,_xlfn.MAXIFS(BD!$A$3:$A$5001,BD!$B$3:$B$5001,F$140,BD!$A$3:$A$5001,"&gt;="&amp;$C$7,BD!$A$3:$A$5001,"&lt;="&amp;$B171,BD!$X$3:$X$5001,"&lt;&gt;"))))</f>
        <v/>
      </c>
      <c r="G171" s="43" t="str">
        <f>IF(OR($B171="",$A171&gt;$B$9,G$140=""),"",IF(COUNTIFS(BD!$B$3:$B$5001,G$140,BD!$A$3:$A$5001,"&gt;="&amp;$C$7,BD!$A$3:$A$5001,"&lt;="&amp;$B171,BD!$X$3:$X$5001,"&lt;&gt;")=0,"",SUMIFS(BD!$X$3:$X$5001,BD!$B$3:$B$5001,G$140,BD!$A$3:$A$5001,_xlfn.MAXIFS(BD!$A$3:$A$5001,BD!$B$3:$B$5001,G$140,BD!$A$3:$A$5001,"&gt;="&amp;$C$7,BD!$A$3:$A$5001,"&lt;="&amp;$B171,BD!$X$3:$X$5001,"&lt;&gt;"))))</f>
        <v/>
      </c>
      <c r="H171" s="43" t="str">
        <f>IF(OR($B171="",$A171&gt;$B$9,H$140=""),"",IF(COUNTIFS(BD!$B$3:$B$5001,H$140,BD!$A$3:$A$5001,"&gt;="&amp;$C$7,BD!$A$3:$A$5001,"&lt;="&amp;$B171,BD!$X$3:$X$5001,"&lt;&gt;")=0,"",SUMIFS(BD!$X$3:$X$5001,BD!$B$3:$B$5001,H$140,BD!$A$3:$A$5001,_xlfn.MAXIFS(BD!$A$3:$A$5001,BD!$B$3:$B$5001,H$140,BD!$A$3:$A$5001,"&gt;="&amp;$C$7,BD!$A$3:$A$5001,"&lt;="&amp;$B171,BD!$X$3:$X$5001,"&lt;&gt;"))))</f>
        <v/>
      </c>
      <c r="I171" s="43" t="str">
        <f>IF(OR($B171="",$A171&gt;$B$9,I$140=""),"",IF(COUNTIFS(BD!$B$3:$B$5001,I$140,BD!$A$3:$A$5001,"&gt;="&amp;$C$7,BD!$A$3:$A$5001,"&lt;="&amp;$B171,BD!$X$3:$X$5001,"&lt;&gt;")=0,"",SUMIFS(BD!$X$3:$X$5001,BD!$B$3:$B$5001,I$140,BD!$A$3:$A$5001,_xlfn.MAXIFS(BD!$A$3:$A$5001,BD!$B$3:$B$5001,I$140,BD!$A$3:$A$5001,"&gt;="&amp;$C$7,BD!$A$3:$A$5001,"&lt;="&amp;$B171,BD!$X$3:$X$5001,"&lt;&gt;"))))</f>
        <v/>
      </c>
      <c r="J171" s="43" t="str">
        <f>IF(OR($B171="",$A171&gt;$B$9,J$140=""),"",IF(COUNTIFS(BD!$B$3:$B$5001,J$140,BD!$A$3:$A$5001,"&gt;="&amp;$C$7,BD!$A$3:$A$5001,"&lt;="&amp;$B171,BD!$X$3:$X$5001,"&lt;&gt;")=0,"",SUMIFS(BD!$X$3:$X$5001,BD!$B$3:$B$5001,J$140,BD!$A$3:$A$5001,_xlfn.MAXIFS(BD!$A$3:$A$5001,BD!$B$3:$B$5001,J$140,BD!$A$3:$A$5001,"&gt;="&amp;$C$7,BD!$A$3:$A$5001,"&lt;="&amp;$B171,BD!$X$3:$X$5001,"&lt;&gt;"))))</f>
        <v/>
      </c>
      <c r="K171" s="43" t="str">
        <f>IF(OR($B171="",$A171&gt;$B$9,K$140=""),"",IF(COUNTIFS(BD!$B$3:$B$5001,K$140,BD!$A$3:$A$5001,"&gt;="&amp;$C$7,BD!$A$3:$A$5001,"&lt;="&amp;$B171,BD!$X$3:$X$5001,"&lt;&gt;")=0,"",SUMIFS(BD!$X$3:$X$5001,BD!$B$3:$B$5001,K$140,BD!$A$3:$A$5001,_xlfn.MAXIFS(BD!$A$3:$A$5001,BD!$B$3:$B$5001,K$140,BD!$A$3:$A$5001,"&gt;="&amp;$C$7,BD!$A$3:$A$5001,"&lt;="&amp;$B171,BD!$X$3:$X$5001,"&lt;&gt;"))))</f>
        <v/>
      </c>
      <c r="L171" s="43" t="str">
        <f>IF(OR($B171="",$A171&gt;$B$9,L$140=""),"",IF(COUNTIFS(BD!$B$3:$B$5001,L$140,BD!$A$3:$A$5001,"&gt;="&amp;$C$7,BD!$A$3:$A$5001,"&lt;="&amp;$B171,BD!$X$3:$X$5001,"&lt;&gt;")=0,"",SUMIFS(BD!$X$3:$X$5001,BD!$B$3:$B$5001,L$140,BD!$A$3:$A$5001,_xlfn.MAXIFS(BD!$A$3:$A$5001,BD!$B$3:$B$5001,L$140,BD!$A$3:$A$5001,"&gt;="&amp;$C$7,BD!$A$3:$A$5001,"&lt;="&amp;$B171,BD!$X$3:$X$5001,"&lt;&gt;"))))</f>
        <v/>
      </c>
      <c r="M171" s="43" t="str">
        <f>IF(OR($B171="",$A171&gt;$B$9,M$140=""),"",IF(COUNTIFS(BD!$B$3:$B$5001,M$140,BD!$A$3:$A$5001,"&gt;="&amp;$C$7,BD!$A$3:$A$5001,"&lt;="&amp;$B171,BD!$X$3:$X$5001,"&lt;&gt;")=0,"",SUMIFS(BD!$X$3:$X$5001,BD!$B$3:$B$5001,M$140,BD!$A$3:$A$5001,_xlfn.MAXIFS(BD!$A$3:$A$5001,BD!$B$3:$B$5001,M$140,BD!$A$3:$A$5001,"&gt;="&amp;$C$7,BD!$A$3:$A$5001,"&lt;="&amp;$B171,BD!$X$3:$X$5001,"&lt;&gt;"))))</f>
        <v/>
      </c>
      <c r="N171" s="43" t="str">
        <f>IF(OR($B171="",$A171&gt;$B$9,N$140=""),"",IF(COUNTIFS(BD!$B$3:$B$5001,N$140,BD!$A$3:$A$5001,"&gt;="&amp;$C$7,BD!$A$3:$A$5001,"&lt;="&amp;$B171,BD!$X$3:$X$5001,"&lt;&gt;")=0,"",SUMIFS(BD!$X$3:$X$5001,BD!$B$3:$B$5001,N$140,BD!$A$3:$A$5001,_xlfn.MAXIFS(BD!$A$3:$A$5001,BD!$B$3:$B$5001,N$140,BD!$A$3:$A$5001,"&gt;="&amp;$C$7,BD!$A$3:$A$5001,"&lt;="&amp;$B171,BD!$X$3:$X$5001,"&lt;&gt;"))))</f>
        <v/>
      </c>
      <c r="O171" s="43" t="str">
        <f>IF(OR($B171="",$A171&gt;$B$9,O$140=""),"",IF(COUNTIFS(BD!$B$3:$B$5001,O$140,BD!$A$3:$A$5001,"&gt;="&amp;$C$7,BD!$A$3:$A$5001,"&lt;="&amp;$B171,BD!$X$3:$X$5001,"&lt;&gt;")=0,"",SUMIFS(BD!$X$3:$X$5001,BD!$B$3:$B$5001,O$140,BD!$A$3:$A$5001,_xlfn.MAXIFS(BD!$A$3:$A$5001,BD!$B$3:$B$5001,O$140,BD!$A$3:$A$5001,"&gt;="&amp;$C$7,BD!$A$3:$A$5001,"&lt;="&amp;$B171,BD!$X$3:$X$5001,"&lt;&gt;"))))</f>
        <v/>
      </c>
      <c r="P171" s="43" t="str">
        <f>IF(OR($B171="",$A171&gt;$B$9,P$140=""),"",IF(COUNTIFS(BD!$B$3:$B$5001,P$140,BD!$A$3:$A$5001,"&gt;="&amp;$C$7,BD!$A$3:$A$5001,"&lt;="&amp;$B171,BD!$X$3:$X$5001,"&lt;&gt;")=0,"",SUMIFS(BD!$X$3:$X$5001,BD!$B$3:$B$5001,P$140,BD!$A$3:$A$5001,_xlfn.MAXIFS(BD!$A$3:$A$5001,BD!$B$3:$B$5001,P$140,BD!$A$3:$A$5001,"&gt;="&amp;$C$7,BD!$A$3:$A$5001,"&lt;="&amp;$B171,BD!$X$3:$X$5001,"&lt;&gt;"))))</f>
        <v/>
      </c>
      <c r="Q171" s="43" t="str">
        <f>IF(OR($B171="",$A171&gt;$B$9,Q$140=""),"",IF(COUNTIFS(BD!$B$3:$B$5001,Q$140,BD!$A$3:$A$5001,"&gt;="&amp;$C$7,BD!$A$3:$A$5001,"&lt;="&amp;$B171,BD!$X$3:$X$5001,"&lt;&gt;")=0,"",SUMIFS(BD!$X$3:$X$5001,BD!$B$3:$B$5001,Q$140,BD!$A$3:$A$5001,_xlfn.MAXIFS(BD!$A$3:$A$5001,BD!$B$3:$B$5001,Q$140,BD!$A$3:$A$5001,"&gt;="&amp;$C$7,BD!$A$3:$A$5001,"&lt;="&amp;$B171,BD!$X$3:$X$5001,"&lt;&gt;"))))</f>
        <v/>
      </c>
      <c r="R171" s="43" t="str">
        <f>IF(OR($B171="",$A171&gt;$B$9,R$140=""),"",IF(COUNTIFS(BD!$B$3:$B$5001,R$140,BD!$A$3:$A$5001,"&gt;="&amp;$C$7,BD!$A$3:$A$5001,"&lt;="&amp;$B171,BD!$X$3:$X$5001,"&lt;&gt;")=0,"",SUMIFS(BD!$X$3:$X$5001,BD!$B$3:$B$5001,R$140,BD!$A$3:$A$5001,_xlfn.MAXIFS(BD!$A$3:$A$5001,BD!$B$3:$B$5001,R$140,BD!$A$3:$A$5001,"&gt;="&amp;$C$7,BD!$A$3:$A$5001,"&lt;="&amp;$B171,BD!$X$3:$X$5001,"&lt;&gt;"))))</f>
        <v/>
      </c>
      <c r="S171" s="43" t="str">
        <f>IF(OR($B171="",$A171&gt;$B$9,S$140=""),"",IF(COUNTIFS(BD!$B$3:$B$5001,S$140,BD!$A$3:$A$5001,"&gt;="&amp;$C$7,BD!$A$3:$A$5001,"&lt;="&amp;$B171,BD!$X$3:$X$5001,"&lt;&gt;")=0,"",SUMIFS(BD!$X$3:$X$5001,BD!$B$3:$B$5001,S$140,BD!$A$3:$A$5001,_xlfn.MAXIFS(BD!$A$3:$A$5001,BD!$B$3:$B$5001,S$140,BD!$A$3:$A$5001,"&gt;="&amp;$C$7,BD!$A$3:$A$5001,"&lt;="&amp;$B171,BD!$X$3:$X$5001,"&lt;&gt;"))))</f>
        <v/>
      </c>
      <c r="T171" s="43" t="str">
        <f>IF(OR($B171="",$A171&gt;$B$9,T$140=""),"",IF(COUNTIFS(BD!$B$3:$B$5001,T$140,BD!$A$3:$A$5001,"&gt;="&amp;$C$7,BD!$A$3:$A$5001,"&lt;="&amp;$B171,BD!$X$3:$X$5001,"&lt;&gt;")=0,"",SUMIFS(BD!$X$3:$X$5001,BD!$B$3:$B$5001,T$140,BD!$A$3:$A$5001,_xlfn.MAXIFS(BD!$A$3:$A$5001,BD!$B$3:$B$5001,T$140,BD!$A$3:$A$5001,"&gt;="&amp;$C$7,BD!$A$3:$A$5001,"&lt;="&amp;$B171,BD!$X$3:$X$5001,"&lt;&gt;"))))</f>
        <v/>
      </c>
      <c r="U171" s="43" t="str">
        <f>IF(OR($B171="",$A171&gt;$B$9,U$140=""),"",IF(COUNTIFS(BD!$B$3:$B$5001,U$140,BD!$A$3:$A$5001,"&gt;="&amp;$C$7,BD!$A$3:$A$5001,"&lt;="&amp;$B171,BD!$X$3:$X$5001,"&lt;&gt;")=0,"",SUMIFS(BD!$X$3:$X$5001,BD!$B$3:$B$5001,U$140,BD!$A$3:$A$5001,_xlfn.MAXIFS(BD!$A$3:$A$5001,BD!$B$3:$B$5001,U$140,BD!$A$3:$A$5001,"&gt;="&amp;$C$7,BD!$A$3:$A$5001,"&lt;="&amp;$B171,BD!$X$3:$X$5001,"&lt;&gt;"))))</f>
        <v/>
      </c>
      <c r="V171" s="43" t="str">
        <f>IF(OR($B171="",$A171&gt;$B$9,V$140=""),"",IF(COUNTIFS(BD!$B$3:$B$5001,V$140,BD!$A$3:$A$5001,"&gt;="&amp;$C$7,BD!$A$3:$A$5001,"&lt;="&amp;$B171,BD!$X$3:$X$5001,"&lt;&gt;")=0,"",SUMIFS(BD!$X$3:$X$5001,BD!$B$3:$B$5001,V$140,BD!$A$3:$A$5001,_xlfn.MAXIFS(BD!$A$3:$A$5001,BD!$B$3:$B$5001,V$140,BD!$A$3:$A$5001,"&gt;="&amp;$C$7,BD!$A$3:$A$5001,"&lt;="&amp;$B171,BD!$X$3:$X$5001,"&lt;&gt;"))))</f>
        <v/>
      </c>
    </row>
    <row r="172">
      <c r="A172" s="44" t="inlineStr">
        <is>
          <t xml:space="preserve">Mês anterior (último)</t>
        </is>
      </c>
      <c r="C172" s="45" t="str">
        <f>IF(C$140="","",IF(COUNTIFS(BD!$B$3:$B$5001,C$140,BD!$A$3:$A$5001,"&gt;="&amp;$C$8,BD!$A$3:$A$5001,"&lt;="&amp;$D$8,BD!$X$3:$X$5001,"&lt;&gt;")=0,"",SUMIFS(BD!$X$3:$X$5001,BD!$B$3:$B$5001,C$140,BD!$A$3:$A$5001,_xlfn.MAXIFS(BD!$A$3:$A$5001,BD!$B$3:$B$5001,C$140,BD!$A$3:$A$5001,"&gt;="&amp;$C$8,BD!$A$3:$A$5001,"&lt;="&amp;$D$8,BD!$X$3:$X$5001,"&lt;&gt;"))))</f>
        <v/>
      </c>
      <c r="D172" s="45" t="str">
        <f>IF(D$140="","",IF(COUNTIFS(BD!$B$3:$B$5001,D$140,BD!$A$3:$A$5001,"&gt;="&amp;$C$8,BD!$A$3:$A$5001,"&lt;="&amp;$D$8,BD!$X$3:$X$5001,"&lt;&gt;")=0,"",SUMIFS(BD!$X$3:$X$5001,BD!$B$3:$B$5001,D$140,BD!$A$3:$A$5001,_xlfn.MAXIFS(BD!$A$3:$A$5001,BD!$B$3:$B$5001,D$140,BD!$A$3:$A$5001,"&gt;="&amp;$C$8,BD!$A$3:$A$5001,"&lt;="&amp;$D$8,BD!$X$3:$X$5001,"&lt;&gt;"))))</f>
        <v/>
      </c>
      <c r="E172" s="45" t="str">
        <f>IF(E$140="","",IF(COUNTIFS(BD!$B$3:$B$5001,E$140,BD!$A$3:$A$5001,"&gt;="&amp;$C$8,BD!$A$3:$A$5001,"&lt;="&amp;$D$8,BD!$X$3:$X$5001,"&lt;&gt;")=0,"",SUMIFS(BD!$X$3:$X$5001,BD!$B$3:$B$5001,E$140,BD!$A$3:$A$5001,_xlfn.MAXIFS(BD!$A$3:$A$5001,BD!$B$3:$B$5001,E$140,BD!$A$3:$A$5001,"&gt;="&amp;$C$8,BD!$A$3:$A$5001,"&lt;="&amp;$D$8,BD!$X$3:$X$5001,"&lt;&gt;"))))</f>
        <v/>
      </c>
      <c r="F172" s="45" t="str">
        <f>IF(F$140="","",IF(COUNTIFS(BD!$B$3:$B$5001,F$140,BD!$A$3:$A$5001,"&gt;="&amp;$C$8,BD!$A$3:$A$5001,"&lt;="&amp;$D$8,BD!$X$3:$X$5001,"&lt;&gt;")=0,"",SUMIFS(BD!$X$3:$X$5001,BD!$B$3:$B$5001,F$140,BD!$A$3:$A$5001,_xlfn.MAXIFS(BD!$A$3:$A$5001,BD!$B$3:$B$5001,F$140,BD!$A$3:$A$5001,"&gt;="&amp;$C$8,BD!$A$3:$A$5001,"&lt;="&amp;$D$8,BD!$X$3:$X$5001,"&lt;&gt;"))))</f>
        <v/>
      </c>
      <c r="G172" s="45" t="str">
        <f>IF(G$140="","",IF(COUNTIFS(BD!$B$3:$B$5001,G$140,BD!$A$3:$A$5001,"&gt;="&amp;$C$8,BD!$A$3:$A$5001,"&lt;="&amp;$D$8,BD!$X$3:$X$5001,"&lt;&gt;")=0,"",SUMIFS(BD!$X$3:$X$5001,BD!$B$3:$B$5001,G$140,BD!$A$3:$A$5001,_xlfn.MAXIFS(BD!$A$3:$A$5001,BD!$B$3:$B$5001,G$140,BD!$A$3:$A$5001,"&gt;="&amp;$C$8,BD!$A$3:$A$5001,"&lt;="&amp;$D$8,BD!$X$3:$X$5001,"&lt;&gt;"))))</f>
        <v/>
      </c>
      <c r="H172" s="45" t="str">
        <f>IF(H$140="","",IF(COUNTIFS(BD!$B$3:$B$5001,H$140,BD!$A$3:$A$5001,"&gt;="&amp;$C$8,BD!$A$3:$A$5001,"&lt;="&amp;$D$8,BD!$X$3:$X$5001,"&lt;&gt;")=0,"",SUMIFS(BD!$X$3:$X$5001,BD!$B$3:$B$5001,H$140,BD!$A$3:$A$5001,_xlfn.MAXIFS(BD!$A$3:$A$5001,BD!$B$3:$B$5001,H$140,BD!$A$3:$A$5001,"&gt;="&amp;$C$8,BD!$A$3:$A$5001,"&lt;="&amp;$D$8,BD!$X$3:$X$5001,"&lt;&gt;"))))</f>
        <v/>
      </c>
      <c r="I172" s="45" t="str">
        <f>IF(I$140="","",IF(COUNTIFS(BD!$B$3:$B$5001,I$140,BD!$A$3:$A$5001,"&gt;="&amp;$C$8,BD!$A$3:$A$5001,"&lt;="&amp;$D$8,BD!$X$3:$X$5001,"&lt;&gt;")=0,"",SUMIFS(BD!$X$3:$X$5001,BD!$B$3:$B$5001,I$140,BD!$A$3:$A$5001,_xlfn.MAXIFS(BD!$A$3:$A$5001,BD!$B$3:$B$5001,I$140,BD!$A$3:$A$5001,"&gt;="&amp;$C$8,BD!$A$3:$A$5001,"&lt;="&amp;$D$8,BD!$X$3:$X$5001,"&lt;&gt;"))))</f>
        <v/>
      </c>
      <c r="J172" s="45" t="str">
        <f>IF(J$140="","",IF(COUNTIFS(BD!$B$3:$B$5001,J$140,BD!$A$3:$A$5001,"&gt;="&amp;$C$8,BD!$A$3:$A$5001,"&lt;="&amp;$D$8,BD!$X$3:$X$5001,"&lt;&gt;")=0,"",SUMIFS(BD!$X$3:$X$5001,BD!$B$3:$B$5001,J$140,BD!$A$3:$A$5001,_xlfn.MAXIFS(BD!$A$3:$A$5001,BD!$B$3:$B$5001,J$140,BD!$A$3:$A$5001,"&gt;="&amp;$C$8,BD!$A$3:$A$5001,"&lt;="&amp;$D$8,BD!$X$3:$X$5001,"&lt;&gt;"))))</f>
        <v/>
      </c>
      <c r="K172" s="45" t="str">
        <f>IF(K$140="","",IF(COUNTIFS(BD!$B$3:$B$5001,K$140,BD!$A$3:$A$5001,"&gt;="&amp;$C$8,BD!$A$3:$A$5001,"&lt;="&amp;$D$8,BD!$X$3:$X$5001,"&lt;&gt;")=0,"",SUMIFS(BD!$X$3:$X$5001,BD!$B$3:$B$5001,K$140,BD!$A$3:$A$5001,_xlfn.MAXIFS(BD!$A$3:$A$5001,BD!$B$3:$B$5001,K$140,BD!$A$3:$A$5001,"&gt;="&amp;$C$8,BD!$A$3:$A$5001,"&lt;="&amp;$D$8,BD!$X$3:$X$5001,"&lt;&gt;"))))</f>
        <v/>
      </c>
      <c r="L172" s="45" t="str">
        <f>IF(L$140="","",IF(COUNTIFS(BD!$B$3:$B$5001,L$140,BD!$A$3:$A$5001,"&gt;="&amp;$C$8,BD!$A$3:$A$5001,"&lt;="&amp;$D$8,BD!$X$3:$X$5001,"&lt;&gt;")=0,"",SUMIFS(BD!$X$3:$X$5001,BD!$B$3:$B$5001,L$140,BD!$A$3:$A$5001,_xlfn.MAXIFS(BD!$A$3:$A$5001,BD!$B$3:$B$5001,L$140,BD!$A$3:$A$5001,"&gt;="&amp;$C$8,BD!$A$3:$A$5001,"&lt;="&amp;$D$8,BD!$X$3:$X$5001,"&lt;&gt;"))))</f>
        <v/>
      </c>
      <c r="M172" s="45" t="str">
        <f>IF(M$140="","",IF(COUNTIFS(BD!$B$3:$B$5001,M$140,BD!$A$3:$A$5001,"&gt;="&amp;$C$8,BD!$A$3:$A$5001,"&lt;="&amp;$D$8,BD!$X$3:$X$5001,"&lt;&gt;")=0,"",SUMIFS(BD!$X$3:$X$5001,BD!$B$3:$B$5001,M$140,BD!$A$3:$A$5001,_xlfn.MAXIFS(BD!$A$3:$A$5001,BD!$B$3:$B$5001,M$140,BD!$A$3:$A$5001,"&gt;="&amp;$C$8,BD!$A$3:$A$5001,"&lt;="&amp;$D$8,BD!$X$3:$X$5001,"&lt;&gt;"))))</f>
        <v/>
      </c>
      <c r="N172" s="45" t="str">
        <f>IF(N$140="","",IF(COUNTIFS(BD!$B$3:$B$5001,N$140,BD!$A$3:$A$5001,"&gt;="&amp;$C$8,BD!$A$3:$A$5001,"&lt;="&amp;$D$8,BD!$X$3:$X$5001,"&lt;&gt;")=0,"",SUMIFS(BD!$X$3:$X$5001,BD!$B$3:$B$5001,N$140,BD!$A$3:$A$5001,_xlfn.MAXIFS(BD!$A$3:$A$5001,BD!$B$3:$B$5001,N$140,BD!$A$3:$A$5001,"&gt;="&amp;$C$8,BD!$A$3:$A$5001,"&lt;="&amp;$D$8,BD!$X$3:$X$5001,"&lt;&gt;"))))</f>
        <v/>
      </c>
      <c r="O172" s="45" t="str">
        <f>IF(O$140="","",IF(COUNTIFS(BD!$B$3:$B$5001,O$140,BD!$A$3:$A$5001,"&gt;="&amp;$C$8,BD!$A$3:$A$5001,"&lt;="&amp;$D$8,BD!$X$3:$X$5001,"&lt;&gt;")=0,"",SUMIFS(BD!$X$3:$X$5001,BD!$B$3:$B$5001,O$140,BD!$A$3:$A$5001,_xlfn.MAXIFS(BD!$A$3:$A$5001,BD!$B$3:$B$5001,O$140,BD!$A$3:$A$5001,"&gt;="&amp;$C$8,BD!$A$3:$A$5001,"&lt;="&amp;$D$8,BD!$X$3:$X$5001,"&lt;&gt;"))))</f>
        <v/>
      </c>
      <c r="P172" s="45" t="str">
        <f>IF(P$140="","",IF(COUNTIFS(BD!$B$3:$B$5001,P$140,BD!$A$3:$A$5001,"&gt;="&amp;$C$8,BD!$A$3:$A$5001,"&lt;="&amp;$D$8,BD!$X$3:$X$5001,"&lt;&gt;")=0,"",SUMIFS(BD!$X$3:$X$5001,BD!$B$3:$B$5001,P$140,BD!$A$3:$A$5001,_xlfn.MAXIFS(BD!$A$3:$A$5001,BD!$B$3:$B$5001,P$140,BD!$A$3:$A$5001,"&gt;="&amp;$C$8,BD!$A$3:$A$5001,"&lt;="&amp;$D$8,BD!$X$3:$X$5001,"&lt;&gt;"))))</f>
        <v/>
      </c>
      <c r="Q172" s="45" t="str">
        <f>IF(Q$140="","",IF(COUNTIFS(BD!$B$3:$B$5001,Q$140,BD!$A$3:$A$5001,"&gt;="&amp;$C$8,BD!$A$3:$A$5001,"&lt;="&amp;$D$8,BD!$X$3:$X$5001,"&lt;&gt;")=0,"",SUMIFS(BD!$X$3:$X$5001,BD!$B$3:$B$5001,Q$140,BD!$A$3:$A$5001,_xlfn.MAXIFS(BD!$A$3:$A$5001,BD!$B$3:$B$5001,Q$140,BD!$A$3:$A$5001,"&gt;="&amp;$C$8,BD!$A$3:$A$5001,"&lt;="&amp;$D$8,BD!$X$3:$X$5001,"&lt;&gt;"))))</f>
        <v/>
      </c>
      <c r="R172" s="45" t="str">
        <f>IF(R$140="","",IF(COUNTIFS(BD!$B$3:$B$5001,R$140,BD!$A$3:$A$5001,"&gt;="&amp;$C$8,BD!$A$3:$A$5001,"&lt;="&amp;$D$8,BD!$X$3:$X$5001,"&lt;&gt;")=0,"",SUMIFS(BD!$X$3:$X$5001,BD!$B$3:$B$5001,R$140,BD!$A$3:$A$5001,_xlfn.MAXIFS(BD!$A$3:$A$5001,BD!$B$3:$B$5001,R$140,BD!$A$3:$A$5001,"&gt;="&amp;$C$8,BD!$A$3:$A$5001,"&lt;="&amp;$D$8,BD!$X$3:$X$5001,"&lt;&gt;"))))</f>
        <v/>
      </c>
      <c r="S172" s="45" t="str">
        <f>IF(S$140="","",IF(COUNTIFS(BD!$B$3:$B$5001,S$140,BD!$A$3:$A$5001,"&gt;="&amp;$C$8,BD!$A$3:$A$5001,"&lt;="&amp;$D$8,BD!$X$3:$X$5001,"&lt;&gt;")=0,"",SUMIFS(BD!$X$3:$X$5001,BD!$B$3:$B$5001,S$140,BD!$A$3:$A$5001,_xlfn.MAXIFS(BD!$A$3:$A$5001,BD!$B$3:$B$5001,S$140,BD!$A$3:$A$5001,"&gt;="&amp;$C$8,BD!$A$3:$A$5001,"&lt;="&amp;$D$8,BD!$X$3:$X$5001,"&lt;&gt;"))))</f>
        <v/>
      </c>
      <c r="T172" s="45" t="str">
        <f>IF(T$140="","",IF(COUNTIFS(BD!$B$3:$B$5001,T$140,BD!$A$3:$A$5001,"&gt;="&amp;$C$8,BD!$A$3:$A$5001,"&lt;="&amp;$D$8,BD!$X$3:$X$5001,"&lt;&gt;")=0,"",SUMIFS(BD!$X$3:$X$5001,BD!$B$3:$B$5001,T$140,BD!$A$3:$A$5001,_xlfn.MAXIFS(BD!$A$3:$A$5001,BD!$B$3:$B$5001,T$140,BD!$A$3:$A$5001,"&gt;="&amp;$C$8,BD!$A$3:$A$5001,"&lt;="&amp;$D$8,BD!$X$3:$X$5001,"&lt;&gt;"))))</f>
        <v/>
      </c>
      <c r="U172" s="45" t="str">
        <f>IF(U$140="","",IF(COUNTIFS(BD!$B$3:$B$5001,U$140,BD!$A$3:$A$5001,"&gt;="&amp;$C$8,BD!$A$3:$A$5001,"&lt;="&amp;$D$8,BD!$X$3:$X$5001,"&lt;&gt;")=0,"",SUMIFS(BD!$X$3:$X$5001,BD!$B$3:$B$5001,U$140,BD!$A$3:$A$5001,_xlfn.MAXIFS(BD!$A$3:$A$5001,BD!$B$3:$B$5001,U$140,BD!$A$3:$A$5001,"&gt;="&amp;$C$8,BD!$A$3:$A$5001,"&lt;="&amp;$D$8,BD!$X$3:$X$5001,"&lt;&gt;"))))</f>
        <v/>
      </c>
      <c r="V172" s="45" t="str">
        <f>IF(V$140="","",IF(COUNTIFS(BD!$B$3:$B$5001,V$140,BD!$A$3:$A$5001,"&gt;="&amp;$C$8,BD!$A$3:$A$5001,"&lt;="&amp;$D$8,BD!$X$3:$X$5001,"&lt;&gt;")=0,"",SUMIFS(BD!$X$3:$X$5001,BD!$B$3:$B$5001,V$140,BD!$A$3:$A$5001,_xlfn.MAXIFS(BD!$A$3:$A$5001,BD!$B$3:$B$5001,V$140,BD!$A$3:$A$5001,"&gt;="&amp;$C$8,BD!$A$3:$A$5001,"&lt;="&amp;$D$8,BD!$X$3:$X$5001,"&lt;&gt;"))))</f>
        <v/>
      </c>
    </row>
    <row r="173">
      <c r="A173" s="44" t="inlineStr">
        <is>
          <t xml:space="preserve">Depósito</t>
        </is>
      </c>
      <c r="C173" s="38" t="str">
        <f>IF(Config!$C$10="","TPC",Config!$C$10)</f>
        <v>TPC</v>
      </c>
      <c r="D173" s="38" t="str">
        <f>IF(Config!$C$11="","TPC",Config!$C$11)</f>
        <v>TPC</v>
      </c>
      <c r="E173" s="38" t="str">
        <f>IF(Config!$C$12="","TPC",Config!$C$12)</f>
        <v>TPC</v>
      </c>
      <c r="F173" s="38" t="str">
        <f>IF(Config!$C$13="","TPC",Config!$C$13)</f>
        <v>TPC</v>
      </c>
      <c r="G173" s="38" t="str">
        <f>IF(Config!$C$14="","TPC",Config!$C$14)</f>
        <v>TPC</v>
      </c>
      <c r="H173" s="38" t="str">
        <f>IF(Config!$C$15="","TPC",Config!$C$15)</f>
        <v>TPC</v>
      </c>
      <c r="I173" s="38" t="str">
        <f>IF(Config!$C$16="","TPC",Config!$C$16)</f>
        <v>TPC</v>
      </c>
      <c r="J173" s="38" t="str">
        <f>IF(Config!$C$17="","TPC",Config!$C$17)</f>
        <v>TPC</v>
      </c>
      <c r="K173" s="38" t="str">
        <f>IF(Config!$C$18="","TPC",Config!$C$18)</f>
        <v>TPC</v>
      </c>
      <c r="L173" s="38" t="str">
        <f>IF(Config!$C$19="","TPC",Config!$C$19)</f>
        <v>TPC</v>
      </c>
      <c r="M173" s="38" t="str">
        <f>IF(Config!$C$20="","TPC",Config!$C$20)</f>
        <v>TPC</v>
      </c>
      <c r="N173" s="38" t="str">
        <f>IF(Config!$C$21="","TPC",Config!$C$21)</f>
        <v>TPC</v>
      </c>
      <c r="O173" s="38" t="str">
        <f>IF(Config!$C$22="","TPC",Config!$C$22)</f>
        <v>TPC</v>
      </c>
      <c r="P173" s="38" t="str">
        <f>IF(Config!$C$23="","TPC",Config!$C$23)</f>
        <v>TPC</v>
      </c>
      <c r="Q173" s="38" t="str">
        <f>IF(Config!$C$24="","TPC",Config!$C$24)</f>
        <v>TPC</v>
      </c>
      <c r="R173" s="38" t="str">
        <f>IF(Config!$C$25="","TPC",Config!$C$25)</f>
        <v>TPC</v>
      </c>
      <c r="S173" s="38" t="str">
        <f>IF(Config!$C$26="","TPC",Config!$C$26)</f>
        <v>TPC</v>
      </c>
      <c r="T173" s="38" t="str">
        <f>IF(Config!$C$27="","TPC",Config!$C$27)</f>
        <v>TPC</v>
      </c>
      <c r="U173" s="38" t="str">
        <f>IF(Config!$C$28="","TPC",Config!$C$28)</f>
        <v>TPC</v>
      </c>
      <c r="V173" s="38" t="str">
        <f>IF(Config!$C$29="","TPC",Config!$C$29)</f>
        <v>TPC</v>
      </c>
    </row>
    <row r="175">
      <c r="A175" s="37" t="inlineStr">
        <is>
          <t xml:space="preserve">Posições Ocupadas</t>
        </is>
      </c>
      <c r="B175" s="37" t="inlineStr">
        <is>
          <t xml:space="preserve">Data</t>
        </is>
      </c>
      <c r="C175" s="37" t="str">
        <f>Config!$B$10&amp;""</f>
        <v>Alpargatas</v>
      </c>
      <c r="D175" s="37" t="str">
        <f>Config!$B$11&amp;""</f>
        <v>Basf</v>
      </c>
      <c r="E175" s="37" t="str">
        <f>Config!$B$12&amp;""</f>
        <v>Beautybiz</v>
      </c>
      <c r="F175" s="37" t="str">
        <f>Config!$B$13&amp;""</f>
        <v>Boticário</v>
      </c>
      <c r="G175" s="37" t="str">
        <f>Config!$B$14&amp;""</f>
        <v>Confiance</v>
      </c>
      <c r="H175" s="37" t="str">
        <f>Config!$B$15&amp;""</f>
        <v>GE Vernova</v>
      </c>
      <c r="I175" s="37" t="str">
        <f>Config!$B$16&amp;""</f>
        <v>Omnilife</v>
      </c>
      <c r="J175" s="37" t="str">
        <f>Config!$B$17&amp;""</f>
        <v>Supply</v>
      </c>
      <c r="K175" s="37" t="str">
        <f>Config!$B$18&amp;""</f>
        <v>Vedacit</v>
      </c>
      <c r="L175" s="37" t="str">
        <f>Config!$B$19&amp;""</f>
        <v>Vestas</v>
      </c>
      <c r="M175" s="37" t="str">
        <f>Config!$B$20&amp;""</f>
        <v/>
      </c>
      <c r="N175" s="37" t="str">
        <f>Config!$B$21&amp;""</f>
        <v/>
      </c>
      <c r="O175" s="37" t="str">
        <f>Config!$B$22&amp;""</f>
        <v/>
      </c>
      <c r="P175" s="37" t="str">
        <f>Config!$B$23&amp;""</f>
        <v/>
      </c>
      <c r="Q175" s="37" t="str">
        <f>Config!$B$24&amp;""</f>
        <v/>
      </c>
      <c r="R175" s="37" t="str">
        <f>Config!$B$25&amp;""</f>
        <v/>
      </c>
      <c r="S175" s="37" t="str">
        <f>Config!$B$26&amp;""</f>
        <v/>
      </c>
      <c r="T175" s="37" t="str">
        <f>Config!$B$27&amp;""</f>
        <v/>
      </c>
      <c r="U175" s="37" t="str">
        <f>Config!$B$28&amp;""</f>
        <v/>
      </c>
      <c r="V175" s="37" t="str">
        <f>Config!$B$29&amp;""</f>
        <v/>
      </c>
    </row>
    <row r="176">
      <c r="A176" s="38">
        <v>1</v>
      </c>
      <c r="B176" s="42">
        <f>$B$12</f>
        <v>46296</v>
      </c>
      <c r="C176" s="43" t="str">
        <f>IF(OR($B176="",$A176&gt;$B$9,C$175=""),"",IF(COUNTIFS(BD!$B$3:$B$5001,C$175,BD!$A$3:$A$5001,"&gt;="&amp;$C$7,BD!$A$3:$A$5001,"&lt;="&amp;$B176,BD!$Z$3:$Z$5001,"&lt;&gt;")=0,"",SUMIFS(BD!$Z$3:$Z$5001,BD!$B$3:$B$5001,C$175,BD!$A$3:$A$5001,_xlfn.MAXIFS(BD!$A$3:$A$5001,BD!$B$3:$B$5001,C$175,BD!$A$3:$A$5001,"&gt;="&amp;$C$7,BD!$A$3:$A$5001,"&lt;="&amp;$B176,BD!$Z$3:$Z$5001,"&lt;&gt;"))))</f>
        <v/>
      </c>
      <c r="D176" s="43" t="str">
        <f>IF(OR($B176="",$A176&gt;$B$9,D$175=""),"",IF(COUNTIFS(BD!$B$3:$B$5001,D$175,BD!$A$3:$A$5001,"&gt;="&amp;$C$7,BD!$A$3:$A$5001,"&lt;="&amp;$B176,BD!$Z$3:$Z$5001,"&lt;&gt;")=0,"",SUMIFS(BD!$Z$3:$Z$5001,BD!$B$3:$B$5001,D$175,BD!$A$3:$A$5001,_xlfn.MAXIFS(BD!$A$3:$A$5001,BD!$B$3:$B$5001,D$175,BD!$A$3:$A$5001,"&gt;="&amp;$C$7,BD!$A$3:$A$5001,"&lt;="&amp;$B176,BD!$Z$3:$Z$5001,"&lt;&gt;"))))</f>
        <v/>
      </c>
      <c r="E176" s="43" t="str">
        <f>IF(OR($B176="",$A176&gt;$B$9,E$175=""),"",IF(COUNTIFS(BD!$B$3:$B$5001,E$175,BD!$A$3:$A$5001,"&gt;="&amp;$C$7,BD!$A$3:$A$5001,"&lt;="&amp;$B176,BD!$Z$3:$Z$5001,"&lt;&gt;")=0,"",SUMIFS(BD!$Z$3:$Z$5001,BD!$B$3:$B$5001,E$175,BD!$A$3:$A$5001,_xlfn.MAXIFS(BD!$A$3:$A$5001,BD!$B$3:$B$5001,E$175,BD!$A$3:$A$5001,"&gt;="&amp;$C$7,BD!$A$3:$A$5001,"&lt;="&amp;$B176,BD!$Z$3:$Z$5001,"&lt;&gt;"))))</f>
        <v/>
      </c>
      <c r="F176" s="43" t="str">
        <f>IF(OR($B176="",$A176&gt;$B$9,F$175=""),"",IF(COUNTIFS(BD!$B$3:$B$5001,F$175,BD!$A$3:$A$5001,"&gt;="&amp;$C$7,BD!$A$3:$A$5001,"&lt;="&amp;$B176,BD!$Z$3:$Z$5001,"&lt;&gt;")=0,"",SUMIFS(BD!$Z$3:$Z$5001,BD!$B$3:$B$5001,F$175,BD!$A$3:$A$5001,_xlfn.MAXIFS(BD!$A$3:$A$5001,BD!$B$3:$B$5001,F$175,BD!$A$3:$A$5001,"&gt;="&amp;$C$7,BD!$A$3:$A$5001,"&lt;="&amp;$B176,BD!$Z$3:$Z$5001,"&lt;&gt;"))))</f>
        <v/>
      </c>
      <c r="G176" s="43" t="str">
        <f>IF(OR($B176="",$A176&gt;$B$9,G$175=""),"",IF(COUNTIFS(BD!$B$3:$B$5001,G$175,BD!$A$3:$A$5001,"&gt;="&amp;$C$7,BD!$A$3:$A$5001,"&lt;="&amp;$B176,BD!$Z$3:$Z$5001,"&lt;&gt;")=0,"",SUMIFS(BD!$Z$3:$Z$5001,BD!$B$3:$B$5001,G$175,BD!$A$3:$A$5001,_xlfn.MAXIFS(BD!$A$3:$A$5001,BD!$B$3:$B$5001,G$175,BD!$A$3:$A$5001,"&gt;="&amp;$C$7,BD!$A$3:$A$5001,"&lt;="&amp;$B176,BD!$Z$3:$Z$5001,"&lt;&gt;"))))</f>
        <v/>
      </c>
      <c r="H176" s="43" t="str">
        <f>IF(OR($B176="",$A176&gt;$B$9,H$175=""),"",IF(COUNTIFS(BD!$B$3:$B$5001,H$175,BD!$A$3:$A$5001,"&gt;="&amp;$C$7,BD!$A$3:$A$5001,"&lt;="&amp;$B176,BD!$Z$3:$Z$5001,"&lt;&gt;")=0,"",SUMIFS(BD!$Z$3:$Z$5001,BD!$B$3:$B$5001,H$175,BD!$A$3:$A$5001,_xlfn.MAXIFS(BD!$A$3:$A$5001,BD!$B$3:$B$5001,H$175,BD!$A$3:$A$5001,"&gt;="&amp;$C$7,BD!$A$3:$A$5001,"&lt;="&amp;$B176,BD!$Z$3:$Z$5001,"&lt;&gt;"))))</f>
        <v/>
      </c>
      <c r="I176" s="43" t="str">
        <f>IF(OR($B176="",$A176&gt;$B$9,I$175=""),"",IF(COUNTIFS(BD!$B$3:$B$5001,I$175,BD!$A$3:$A$5001,"&gt;="&amp;$C$7,BD!$A$3:$A$5001,"&lt;="&amp;$B176,BD!$Z$3:$Z$5001,"&lt;&gt;")=0,"",SUMIFS(BD!$Z$3:$Z$5001,BD!$B$3:$B$5001,I$175,BD!$A$3:$A$5001,_xlfn.MAXIFS(BD!$A$3:$A$5001,BD!$B$3:$B$5001,I$175,BD!$A$3:$A$5001,"&gt;="&amp;$C$7,BD!$A$3:$A$5001,"&lt;="&amp;$B176,BD!$Z$3:$Z$5001,"&lt;&gt;"))))</f>
        <v/>
      </c>
      <c r="J176" s="43" t="str">
        <f>IF(OR($B176="",$A176&gt;$B$9,J$175=""),"",IF(COUNTIFS(BD!$B$3:$B$5001,J$175,BD!$A$3:$A$5001,"&gt;="&amp;$C$7,BD!$A$3:$A$5001,"&lt;="&amp;$B176,BD!$Z$3:$Z$5001,"&lt;&gt;")=0,"",SUMIFS(BD!$Z$3:$Z$5001,BD!$B$3:$B$5001,J$175,BD!$A$3:$A$5001,_xlfn.MAXIFS(BD!$A$3:$A$5001,BD!$B$3:$B$5001,J$175,BD!$A$3:$A$5001,"&gt;="&amp;$C$7,BD!$A$3:$A$5001,"&lt;="&amp;$B176,BD!$Z$3:$Z$5001,"&lt;&gt;"))))</f>
        <v/>
      </c>
      <c r="K176" s="43" t="str">
        <f>IF(OR($B176="",$A176&gt;$B$9,K$175=""),"",IF(COUNTIFS(BD!$B$3:$B$5001,K$175,BD!$A$3:$A$5001,"&gt;="&amp;$C$7,BD!$A$3:$A$5001,"&lt;="&amp;$B176,BD!$Z$3:$Z$5001,"&lt;&gt;")=0,"",SUMIFS(BD!$Z$3:$Z$5001,BD!$B$3:$B$5001,K$175,BD!$A$3:$A$5001,_xlfn.MAXIFS(BD!$A$3:$A$5001,BD!$B$3:$B$5001,K$175,BD!$A$3:$A$5001,"&gt;="&amp;$C$7,BD!$A$3:$A$5001,"&lt;="&amp;$B176,BD!$Z$3:$Z$5001,"&lt;&gt;"))))</f>
        <v/>
      </c>
      <c r="L176" s="43" t="str">
        <f>IF(OR($B176="",$A176&gt;$B$9,L$175=""),"",IF(COUNTIFS(BD!$B$3:$B$5001,L$175,BD!$A$3:$A$5001,"&gt;="&amp;$C$7,BD!$A$3:$A$5001,"&lt;="&amp;$B176,BD!$Z$3:$Z$5001,"&lt;&gt;")=0,"",SUMIFS(BD!$Z$3:$Z$5001,BD!$B$3:$B$5001,L$175,BD!$A$3:$A$5001,_xlfn.MAXIFS(BD!$A$3:$A$5001,BD!$B$3:$B$5001,L$175,BD!$A$3:$A$5001,"&gt;="&amp;$C$7,BD!$A$3:$A$5001,"&lt;="&amp;$B176,BD!$Z$3:$Z$5001,"&lt;&gt;"))))</f>
        <v/>
      </c>
      <c r="M176" s="43" t="str">
        <f>IF(OR($B176="",$A176&gt;$B$9,M$175=""),"",IF(COUNTIFS(BD!$B$3:$B$5001,M$175,BD!$A$3:$A$5001,"&gt;="&amp;$C$7,BD!$A$3:$A$5001,"&lt;="&amp;$B176,BD!$Z$3:$Z$5001,"&lt;&gt;")=0,"",SUMIFS(BD!$Z$3:$Z$5001,BD!$B$3:$B$5001,M$175,BD!$A$3:$A$5001,_xlfn.MAXIFS(BD!$A$3:$A$5001,BD!$B$3:$B$5001,M$175,BD!$A$3:$A$5001,"&gt;="&amp;$C$7,BD!$A$3:$A$5001,"&lt;="&amp;$B176,BD!$Z$3:$Z$5001,"&lt;&gt;"))))</f>
        <v/>
      </c>
      <c r="N176" s="43" t="str">
        <f>IF(OR($B176="",$A176&gt;$B$9,N$175=""),"",IF(COUNTIFS(BD!$B$3:$B$5001,N$175,BD!$A$3:$A$5001,"&gt;="&amp;$C$7,BD!$A$3:$A$5001,"&lt;="&amp;$B176,BD!$Z$3:$Z$5001,"&lt;&gt;")=0,"",SUMIFS(BD!$Z$3:$Z$5001,BD!$B$3:$B$5001,N$175,BD!$A$3:$A$5001,_xlfn.MAXIFS(BD!$A$3:$A$5001,BD!$B$3:$B$5001,N$175,BD!$A$3:$A$5001,"&gt;="&amp;$C$7,BD!$A$3:$A$5001,"&lt;="&amp;$B176,BD!$Z$3:$Z$5001,"&lt;&gt;"))))</f>
        <v/>
      </c>
      <c r="O176" s="43" t="str">
        <f>IF(OR($B176="",$A176&gt;$B$9,O$175=""),"",IF(COUNTIFS(BD!$B$3:$B$5001,O$175,BD!$A$3:$A$5001,"&gt;="&amp;$C$7,BD!$A$3:$A$5001,"&lt;="&amp;$B176,BD!$Z$3:$Z$5001,"&lt;&gt;")=0,"",SUMIFS(BD!$Z$3:$Z$5001,BD!$B$3:$B$5001,O$175,BD!$A$3:$A$5001,_xlfn.MAXIFS(BD!$A$3:$A$5001,BD!$B$3:$B$5001,O$175,BD!$A$3:$A$5001,"&gt;="&amp;$C$7,BD!$A$3:$A$5001,"&lt;="&amp;$B176,BD!$Z$3:$Z$5001,"&lt;&gt;"))))</f>
        <v/>
      </c>
      <c r="P176" s="43" t="str">
        <f>IF(OR($B176="",$A176&gt;$B$9,P$175=""),"",IF(COUNTIFS(BD!$B$3:$B$5001,P$175,BD!$A$3:$A$5001,"&gt;="&amp;$C$7,BD!$A$3:$A$5001,"&lt;="&amp;$B176,BD!$Z$3:$Z$5001,"&lt;&gt;")=0,"",SUMIFS(BD!$Z$3:$Z$5001,BD!$B$3:$B$5001,P$175,BD!$A$3:$A$5001,_xlfn.MAXIFS(BD!$A$3:$A$5001,BD!$B$3:$B$5001,P$175,BD!$A$3:$A$5001,"&gt;="&amp;$C$7,BD!$A$3:$A$5001,"&lt;="&amp;$B176,BD!$Z$3:$Z$5001,"&lt;&gt;"))))</f>
        <v/>
      </c>
      <c r="Q176" s="43" t="str">
        <f>IF(OR($B176="",$A176&gt;$B$9,Q$175=""),"",IF(COUNTIFS(BD!$B$3:$B$5001,Q$175,BD!$A$3:$A$5001,"&gt;="&amp;$C$7,BD!$A$3:$A$5001,"&lt;="&amp;$B176,BD!$Z$3:$Z$5001,"&lt;&gt;")=0,"",SUMIFS(BD!$Z$3:$Z$5001,BD!$B$3:$B$5001,Q$175,BD!$A$3:$A$5001,_xlfn.MAXIFS(BD!$A$3:$A$5001,BD!$B$3:$B$5001,Q$175,BD!$A$3:$A$5001,"&gt;="&amp;$C$7,BD!$A$3:$A$5001,"&lt;="&amp;$B176,BD!$Z$3:$Z$5001,"&lt;&gt;"))))</f>
        <v/>
      </c>
      <c r="R176" s="43" t="str">
        <f>IF(OR($B176="",$A176&gt;$B$9,R$175=""),"",IF(COUNTIFS(BD!$B$3:$B$5001,R$175,BD!$A$3:$A$5001,"&gt;="&amp;$C$7,BD!$A$3:$A$5001,"&lt;="&amp;$B176,BD!$Z$3:$Z$5001,"&lt;&gt;")=0,"",SUMIFS(BD!$Z$3:$Z$5001,BD!$B$3:$B$5001,R$175,BD!$A$3:$A$5001,_xlfn.MAXIFS(BD!$A$3:$A$5001,BD!$B$3:$B$5001,R$175,BD!$A$3:$A$5001,"&gt;="&amp;$C$7,BD!$A$3:$A$5001,"&lt;="&amp;$B176,BD!$Z$3:$Z$5001,"&lt;&gt;"))))</f>
        <v/>
      </c>
      <c r="S176" s="43" t="str">
        <f>IF(OR($B176="",$A176&gt;$B$9,S$175=""),"",IF(COUNTIFS(BD!$B$3:$B$5001,S$175,BD!$A$3:$A$5001,"&gt;="&amp;$C$7,BD!$A$3:$A$5001,"&lt;="&amp;$B176,BD!$Z$3:$Z$5001,"&lt;&gt;")=0,"",SUMIFS(BD!$Z$3:$Z$5001,BD!$B$3:$B$5001,S$175,BD!$A$3:$A$5001,_xlfn.MAXIFS(BD!$A$3:$A$5001,BD!$B$3:$B$5001,S$175,BD!$A$3:$A$5001,"&gt;="&amp;$C$7,BD!$A$3:$A$5001,"&lt;="&amp;$B176,BD!$Z$3:$Z$5001,"&lt;&gt;"))))</f>
        <v/>
      </c>
      <c r="T176" s="43" t="str">
        <f>IF(OR($B176="",$A176&gt;$B$9,T$175=""),"",IF(COUNTIFS(BD!$B$3:$B$5001,T$175,BD!$A$3:$A$5001,"&gt;="&amp;$C$7,BD!$A$3:$A$5001,"&lt;="&amp;$B176,BD!$Z$3:$Z$5001,"&lt;&gt;")=0,"",SUMIFS(BD!$Z$3:$Z$5001,BD!$B$3:$B$5001,T$175,BD!$A$3:$A$5001,_xlfn.MAXIFS(BD!$A$3:$A$5001,BD!$B$3:$B$5001,T$175,BD!$A$3:$A$5001,"&gt;="&amp;$C$7,BD!$A$3:$A$5001,"&lt;="&amp;$B176,BD!$Z$3:$Z$5001,"&lt;&gt;"))))</f>
        <v/>
      </c>
      <c r="U176" s="43" t="str">
        <f>IF(OR($B176="",$A176&gt;$B$9,U$175=""),"",IF(COUNTIFS(BD!$B$3:$B$5001,U$175,BD!$A$3:$A$5001,"&gt;="&amp;$C$7,BD!$A$3:$A$5001,"&lt;="&amp;$B176,BD!$Z$3:$Z$5001,"&lt;&gt;")=0,"",SUMIFS(BD!$Z$3:$Z$5001,BD!$B$3:$B$5001,U$175,BD!$A$3:$A$5001,_xlfn.MAXIFS(BD!$A$3:$A$5001,BD!$B$3:$B$5001,U$175,BD!$A$3:$A$5001,"&gt;="&amp;$C$7,BD!$A$3:$A$5001,"&lt;="&amp;$B176,BD!$Z$3:$Z$5001,"&lt;&gt;"))))</f>
        <v/>
      </c>
      <c r="V176" s="43" t="str">
        <f>IF(OR($B176="",$A176&gt;$B$9,V$175=""),"",IF(COUNTIFS(BD!$B$3:$B$5001,V$175,BD!$A$3:$A$5001,"&gt;="&amp;$C$7,BD!$A$3:$A$5001,"&lt;="&amp;$B176,BD!$Z$3:$Z$5001,"&lt;&gt;")=0,"",SUMIFS(BD!$Z$3:$Z$5001,BD!$B$3:$B$5001,V$175,BD!$A$3:$A$5001,_xlfn.MAXIFS(BD!$A$3:$A$5001,BD!$B$3:$B$5001,V$175,BD!$A$3:$A$5001,"&gt;="&amp;$C$7,BD!$A$3:$A$5001,"&lt;="&amp;$B176,BD!$Z$3:$Z$5001,"&lt;&gt;"))))</f>
        <v/>
      </c>
    </row>
    <row r="177">
      <c r="A177" s="38">
        <v>2</v>
      </c>
      <c r="B177" s="42">
        <f>$B$13</f>
        <v>46297</v>
      </c>
      <c r="C177" s="43" t="str">
        <f>IF(OR($B177="",$A177&gt;$B$9,C$175=""),"",IF(COUNTIFS(BD!$B$3:$B$5001,C$175,BD!$A$3:$A$5001,"&gt;="&amp;$C$7,BD!$A$3:$A$5001,"&lt;="&amp;$B177,BD!$Z$3:$Z$5001,"&lt;&gt;")=0,"",SUMIFS(BD!$Z$3:$Z$5001,BD!$B$3:$B$5001,C$175,BD!$A$3:$A$5001,_xlfn.MAXIFS(BD!$A$3:$A$5001,BD!$B$3:$B$5001,C$175,BD!$A$3:$A$5001,"&gt;="&amp;$C$7,BD!$A$3:$A$5001,"&lt;="&amp;$B177,BD!$Z$3:$Z$5001,"&lt;&gt;"))))</f>
        <v/>
      </c>
      <c r="D177" s="43" t="str">
        <f>IF(OR($B177="",$A177&gt;$B$9,D$175=""),"",IF(COUNTIFS(BD!$B$3:$B$5001,D$175,BD!$A$3:$A$5001,"&gt;="&amp;$C$7,BD!$A$3:$A$5001,"&lt;="&amp;$B177,BD!$Z$3:$Z$5001,"&lt;&gt;")=0,"",SUMIFS(BD!$Z$3:$Z$5001,BD!$B$3:$B$5001,D$175,BD!$A$3:$A$5001,_xlfn.MAXIFS(BD!$A$3:$A$5001,BD!$B$3:$B$5001,D$175,BD!$A$3:$A$5001,"&gt;="&amp;$C$7,BD!$A$3:$A$5001,"&lt;="&amp;$B177,BD!$Z$3:$Z$5001,"&lt;&gt;"))))</f>
        <v/>
      </c>
      <c r="E177" s="43" t="str">
        <f>IF(OR($B177="",$A177&gt;$B$9,E$175=""),"",IF(COUNTIFS(BD!$B$3:$B$5001,E$175,BD!$A$3:$A$5001,"&gt;="&amp;$C$7,BD!$A$3:$A$5001,"&lt;="&amp;$B177,BD!$Z$3:$Z$5001,"&lt;&gt;")=0,"",SUMIFS(BD!$Z$3:$Z$5001,BD!$B$3:$B$5001,E$175,BD!$A$3:$A$5001,_xlfn.MAXIFS(BD!$A$3:$A$5001,BD!$B$3:$B$5001,E$175,BD!$A$3:$A$5001,"&gt;="&amp;$C$7,BD!$A$3:$A$5001,"&lt;="&amp;$B177,BD!$Z$3:$Z$5001,"&lt;&gt;"))))</f>
        <v/>
      </c>
      <c r="F177" s="43" t="str">
        <f>IF(OR($B177="",$A177&gt;$B$9,F$175=""),"",IF(COUNTIFS(BD!$B$3:$B$5001,F$175,BD!$A$3:$A$5001,"&gt;="&amp;$C$7,BD!$A$3:$A$5001,"&lt;="&amp;$B177,BD!$Z$3:$Z$5001,"&lt;&gt;")=0,"",SUMIFS(BD!$Z$3:$Z$5001,BD!$B$3:$B$5001,F$175,BD!$A$3:$A$5001,_xlfn.MAXIFS(BD!$A$3:$A$5001,BD!$B$3:$B$5001,F$175,BD!$A$3:$A$5001,"&gt;="&amp;$C$7,BD!$A$3:$A$5001,"&lt;="&amp;$B177,BD!$Z$3:$Z$5001,"&lt;&gt;"))))</f>
        <v/>
      </c>
      <c r="G177" s="43" t="str">
        <f>IF(OR($B177="",$A177&gt;$B$9,G$175=""),"",IF(COUNTIFS(BD!$B$3:$B$5001,G$175,BD!$A$3:$A$5001,"&gt;="&amp;$C$7,BD!$A$3:$A$5001,"&lt;="&amp;$B177,BD!$Z$3:$Z$5001,"&lt;&gt;")=0,"",SUMIFS(BD!$Z$3:$Z$5001,BD!$B$3:$B$5001,G$175,BD!$A$3:$A$5001,_xlfn.MAXIFS(BD!$A$3:$A$5001,BD!$B$3:$B$5001,G$175,BD!$A$3:$A$5001,"&gt;="&amp;$C$7,BD!$A$3:$A$5001,"&lt;="&amp;$B177,BD!$Z$3:$Z$5001,"&lt;&gt;"))))</f>
        <v/>
      </c>
      <c r="H177" s="43" t="str">
        <f>IF(OR($B177="",$A177&gt;$B$9,H$175=""),"",IF(COUNTIFS(BD!$B$3:$B$5001,H$175,BD!$A$3:$A$5001,"&gt;="&amp;$C$7,BD!$A$3:$A$5001,"&lt;="&amp;$B177,BD!$Z$3:$Z$5001,"&lt;&gt;")=0,"",SUMIFS(BD!$Z$3:$Z$5001,BD!$B$3:$B$5001,H$175,BD!$A$3:$A$5001,_xlfn.MAXIFS(BD!$A$3:$A$5001,BD!$B$3:$B$5001,H$175,BD!$A$3:$A$5001,"&gt;="&amp;$C$7,BD!$A$3:$A$5001,"&lt;="&amp;$B177,BD!$Z$3:$Z$5001,"&lt;&gt;"))))</f>
        <v/>
      </c>
      <c r="I177" s="43" t="str">
        <f>IF(OR($B177="",$A177&gt;$B$9,I$175=""),"",IF(COUNTIFS(BD!$B$3:$B$5001,I$175,BD!$A$3:$A$5001,"&gt;="&amp;$C$7,BD!$A$3:$A$5001,"&lt;="&amp;$B177,BD!$Z$3:$Z$5001,"&lt;&gt;")=0,"",SUMIFS(BD!$Z$3:$Z$5001,BD!$B$3:$B$5001,I$175,BD!$A$3:$A$5001,_xlfn.MAXIFS(BD!$A$3:$A$5001,BD!$B$3:$B$5001,I$175,BD!$A$3:$A$5001,"&gt;="&amp;$C$7,BD!$A$3:$A$5001,"&lt;="&amp;$B177,BD!$Z$3:$Z$5001,"&lt;&gt;"))))</f>
        <v/>
      </c>
      <c r="J177" s="43" t="str">
        <f>IF(OR($B177="",$A177&gt;$B$9,J$175=""),"",IF(COUNTIFS(BD!$B$3:$B$5001,J$175,BD!$A$3:$A$5001,"&gt;="&amp;$C$7,BD!$A$3:$A$5001,"&lt;="&amp;$B177,BD!$Z$3:$Z$5001,"&lt;&gt;")=0,"",SUMIFS(BD!$Z$3:$Z$5001,BD!$B$3:$B$5001,J$175,BD!$A$3:$A$5001,_xlfn.MAXIFS(BD!$A$3:$A$5001,BD!$B$3:$B$5001,J$175,BD!$A$3:$A$5001,"&gt;="&amp;$C$7,BD!$A$3:$A$5001,"&lt;="&amp;$B177,BD!$Z$3:$Z$5001,"&lt;&gt;"))))</f>
        <v/>
      </c>
      <c r="K177" s="43" t="str">
        <f>IF(OR($B177="",$A177&gt;$B$9,K$175=""),"",IF(COUNTIFS(BD!$B$3:$B$5001,K$175,BD!$A$3:$A$5001,"&gt;="&amp;$C$7,BD!$A$3:$A$5001,"&lt;="&amp;$B177,BD!$Z$3:$Z$5001,"&lt;&gt;")=0,"",SUMIFS(BD!$Z$3:$Z$5001,BD!$B$3:$B$5001,K$175,BD!$A$3:$A$5001,_xlfn.MAXIFS(BD!$A$3:$A$5001,BD!$B$3:$B$5001,K$175,BD!$A$3:$A$5001,"&gt;="&amp;$C$7,BD!$A$3:$A$5001,"&lt;="&amp;$B177,BD!$Z$3:$Z$5001,"&lt;&gt;"))))</f>
        <v/>
      </c>
      <c r="L177" s="43" t="str">
        <f>IF(OR($B177="",$A177&gt;$B$9,L$175=""),"",IF(COUNTIFS(BD!$B$3:$B$5001,L$175,BD!$A$3:$A$5001,"&gt;="&amp;$C$7,BD!$A$3:$A$5001,"&lt;="&amp;$B177,BD!$Z$3:$Z$5001,"&lt;&gt;")=0,"",SUMIFS(BD!$Z$3:$Z$5001,BD!$B$3:$B$5001,L$175,BD!$A$3:$A$5001,_xlfn.MAXIFS(BD!$A$3:$A$5001,BD!$B$3:$B$5001,L$175,BD!$A$3:$A$5001,"&gt;="&amp;$C$7,BD!$A$3:$A$5001,"&lt;="&amp;$B177,BD!$Z$3:$Z$5001,"&lt;&gt;"))))</f>
        <v/>
      </c>
      <c r="M177" s="43" t="str">
        <f>IF(OR($B177="",$A177&gt;$B$9,M$175=""),"",IF(COUNTIFS(BD!$B$3:$B$5001,M$175,BD!$A$3:$A$5001,"&gt;="&amp;$C$7,BD!$A$3:$A$5001,"&lt;="&amp;$B177,BD!$Z$3:$Z$5001,"&lt;&gt;")=0,"",SUMIFS(BD!$Z$3:$Z$5001,BD!$B$3:$B$5001,M$175,BD!$A$3:$A$5001,_xlfn.MAXIFS(BD!$A$3:$A$5001,BD!$B$3:$B$5001,M$175,BD!$A$3:$A$5001,"&gt;="&amp;$C$7,BD!$A$3:$A$5001,"&lt;="&amp;$B177,BD!$Z$3:$Z$5001,"&lt;&gt;"))))</f>
        <v/>
      </c>
      <c r="N177" s="43" t="str">
        <f>IF(OR($B177="",$A177&gt;$B$9,N$175=""),"",IF(COUNTIFS(BD!$B$3:$B$5001,N$175,BD!$A$3:$A$5001,"&gt;="&amp;$C$7,BD!$A$3:$A$5001,"&lt;="&amp;$B177,BD!$Z$3:$Z$5001,"&lt;&gt;")=0,"",SUMIFS(BD!$Z$3:$Z$5001,BD!$B$3:$B$5001,N$175,BD!$A$3:$A$5001,_xlfn.MAXIFS(BD!$A$3:$A$5001,BD!$B$3:$B$5001,N$175,BD!$A$3:$A$5001,"&gt;="&amp;$C$7,BD!$A$3:$A$5001,"&lt;="&amp;$B177,BD!$Z$3:$Z$5001,"&lt;&gt;"))))</f>
        <v/>
      </c>
      <c r="O177" s="43" t="str">
        <f>IF(OR($B177="",$A177&gt;$B$9,O$175=""),"",IF(COUNTIFS(BD!$B$3:$B$5001,O$175,BD!$A$3:$A$5001,"&gt;="&amp;$C$7,BD!$A$3:$A$5001,"&lt;="&amp;$B177,BD!$Z$3:$Z$5001,"&lt;&gt;")=0,"",SUMIFS(BD!$Z$3:$Z$5001,BD!$B$3:$B$5001,O$175,BD!$A$3:$A$5001,_xlfn.MAXIFS(BD!$A$3:$A$5001,BD!$B$3:$B$5001,O$175,BD!$A$3:$A$5001,"&gt;="&amp;$C$7,BD!$A$3:$A$5001,"&lt;="&amp;$B177,BD!$Z$3:$Z$5001,"&lt;&gt;"))))</f>
        <v/>
      </c>
      <c r="P177" s="43" t="str">
        <f>IF(OR($B177="",$A177&gt;$B$9,P$175=""),"",IF(COUNTIFS(BD!$B$3:$B$5001,P$175,BD!$A$3:$A$5001,"&gt;="&amp;$C$7,BD!$A$3:$A$5001,"&lt;="&amp;$B177,BD!$Z$3:$Z$5001,"&lt;&gt;")=0,"",SUMIFS(BD!$Z$3:$Z$5001,BD!$B$3:$B$5001,P$175,BD!$A$3:$A$5001,_xlfn.MAXIFS(BD!$A$3:$A$5001,BD!$B$3:$B$5001,P$175,BD!$A$3:$A$5001,"&gt;="&amp;$C$7,BD!$A$3:$A$5001,"&lt;="&amp;$B177,BD!$Z$3:$Z$5001,"&lt;&gt;"))))</f>
        <v/>
      </c>
      <c r="Q177" s="43" t="str">
        <f>IF(OR($B177="",$A177&gt;$B$9,Q$175=""),"",IF(COUNTIFS(BD!$B$3:$B$5001,Q$175,BD!$A$3:$A$5001,"&gt;="&amp;$C$7,BD!$A$3:$A$5001,"&lt;="&amp;$B177,BD!$Z$3:$Z$5001,"&lt;&gt;")=0,"",SUMIFS(BD!$Z$3:$Z$5001,BD!$B$3:$B$5001,Q$175,BD!$A$3:$A$5001,_xlfn.MAXIFS(BD!$A$3:$A$5001,BD!$B$3:$B$5001,Q$175,BD!$A$3:$A$5001,"&gt;="&amp;$C$7,BD!$A$3:$A$5001,"&lt;="&amp;$B177,BD!$Z$3:$Z$5001,"&lt;&gt;"))))</f>
        <v/>
      </c>
      <c r="R177" s="43" t="str">
        <f>IF(OR($B177="",$A177&gt;$B$9,R$175=""),"",IF(COUNTIFS(BD!$B$3:$B$5001,R$175,BD!$A$3:$A$5001,"&gt;="&amp;$C$7,BD!$A$3:$A$5001,"&lt;="&amp;$B177,BD!$Z$3:$Z$5001,"&lt;&gt;")=0,"",SUMIFS(BD!$Z$3:$Z$5001,BD!$B$3:$B$5001,R$175,BD!$A$3:$A$5001,_xlfn.MAXIFS(BD!$A$3:$A$5001,BD!$B$3:$B$5001,R$175,BD!$A$3:$A$5001,"&gt;="&amp;$C$7,BD!$A$3:$A$5001,"&lt;="&amp;$B177,BD!$Z$3:$Z$5001,"&lt;&gt;"))))</f>
        <v/>
      </c>
      <c r="S177" s="43" t="str">
        <f>IF(OR($B177="",$A177&gt;$B$9,S$175=""),"",IF(COUNTIFS(BD!$B$3:$B$5001,S$175,BD!$A$3:$A$5001,"&gt;="&amp;$C$7,BD!$A$3:$A$5001,"&lt;="&amp;$B177,BD!$Z$3:$Z$5001,"&lt;&gt;")=0,"",SUMIFS(BD!$Z$3:$Z$5001,BD!$B$3:$B$5001,S$175,BD!$A$3:$A$5001,_xlfn.MAXIFS(BD!$A$3:$A$5001,BD!$B$3:$B$5001,S$175,BD!$A$3:$A$5001,"&gt;="&amp;$C$7,BD!$A$3:$A$5001,"&lt;="&amp;$B177,BD!$Z$3:$Z$5001,"&lt;&gt;"))))</f>
        <v/>
      </c>
      <c r="T177" s="43" t="str">
        <f>IF(OR($B177="",$A177&gt;$B$9,T$175=""),"",IF(COUNTIFS(BD!$B$3:$B$5001,T$175,BD!$A$3:$A$5001,"&gt;="&amp;$C$7,BD!$A$3:$A$5001,"&lt;="&amp;$B177,BD!$Z$3:$Z$5001,"&lt;&gt;")=0,"",SUMIFS(BD!$Z$3:$Z$5001,BD!$B$3:$B$5001,T$175,BD!$A$3:$A$5001,_xlfn.MAXIFS(BD!$A$3:$A$5001,BD!$B$3:$B$5001,T$175,BD!$A$3:$A$5001,"&gt;="&amp;$C$7,BD!$A$3:$A$5001,"&lt;="&amp;$B177,BD!$Z$3:$Z$5001,"&lt;&gt;"))))</f>
        <v/>
      </c>
      <c r="U177" s="43" t="str">
        <f>IF(OR($B177="",$A177&gt;$B$9,U$175=""),"",IF(COUNTIFS(BD!$B$3:$B$5001,U$175,BD!$A$3:$A$5001,"&gt;="&amp;$C$7,BD!$A$3:$A$5001,"&lt;="&amp;$B177,BD!$Z$3:$Z$5001,"&lt;&gt;")=0,"",SUMIFS(BD!$Z$3:$Z$5001,BD!$B$3:$B$5001,U$175,BD!$A$3:$A$5001,_xlfn.MAXIFS(BD!$A$3:$A$5001,BD!$B$3:$B$5001,U$175,BD!$A$3:$A$5001,"&gt;="&amp;$C$7,BD!$A$3:$A$5001,"&lt;="&amp;$B177,BD!$Z$3:$Z$5001,"&lt;&gt;"))))</f>
        <v/>
      </c>
      <c r="V177" s="43" t="str">
        <f>IF(OR($B177="",$A177&gt;$B$9,V$175=""),"",IF(COUNTIFS(BD!$B$3:$B$5001,V$175,BD!$A$3:$A$5001,"&gt;="&amp;$C$7,BD!$A$3:$A$5001,"&lt;="&amp;$B177,BD!$Z$3:$Z$5001,"&lt;&gt;")=0,"",SUMIFS(BD!$Z$3:$Z$5001,BD!$B$3:$B$5001,V$175,BD!$A$3:$A$5001,_xlfn.MAXIFS(BD!$A$3:$A$5001,BD!$B$3:$B$5001,V$175,BD!$A$3:$A$5001,"&gt;="&amp;$C$7,BD!$A$3:$A$5001,"&lt;="&amp;$B177,BD!$Z$3:$Z$5001,"&lt;&gt;"))))</f>
        <v/>
      </c>
    </row>
    <row r="178">
      <c r="A178" s="38">
        <v>3</v>
      </c>
      <c r="B178" s="42">
        <f>$B$14</f>
        <v>46298</v>
      </c>
      <c r="C178" s="43" t="str">
        <f>IF(OR($B178="",$A178&gt;$B$9,C$175=""),"",IF(COUNTIFS(BD!$B$3:$B$5001,C$175,BD!$A$3:$A$5001,"&gt;="&amp;$C$7,BD!$A$3:$A$5001,"&lt;="&amp;$B178,BD!$Z$3:$Z$5001,"&lt;&gt;")=0,"",SUMIFS(BD!$Z$3:$Z$5001,BD!$B$3:$B$5001,C$175,BD!$A$3:$A$5001,_xlfn.MAXIFS(BD!$A$3:$A$5001,BD!$B$3:$B$5001,C$175,BD!$A$3:$A$5001,"&gt;="&amp;$C$7,BD!$A$3:$A$5001,"&lt;="&amp;$B178,BD!$Z$3:$Z$5001,"&lt;&gt;"))))</f>
        <v/>
      </c>
      <c r="D178" s="43" t="str">
        <f>IF(OR($B178="",$A178&gt;$B$9,D$175=""),"",IF(COUNTIFS(BD!$B$3:$B$5001,D$175,BD!$A$3:$A$5001,"&gt;="&amp;$C$7,BD!$A$3:$A$5001,"&lt;="&amp;$B178,BD!$Z$3:$Z$5001,"&lt;&gt;")=0,"",SUMIFS(BD!$Z$3:$Z$5001,BD!$B$3:$B$5001,D$175,BD!$A$3:$A$5001,_xlfn.MAXIFS(BD!$A$3:$A$5001,BD!$B$3:$B$5001,D$175,BD!$A$3:$A$5001,"&gt;="&amp;$C$7,BD!$A$3:$A$5001,"&lt;="&amp;$B178,BD!$Z$3:$Z$5001,"&lt;&gt;"))))</f>
        <v/>
      </c>
      <c r="E178" s="43" t="str">
        <f>IF(OR($B178="",$A178&gt;$B$9,E$175=""),"",IF(COUNTIFS(BD!$B$3:$B$5001,E$175,BD!$A$3:$A$5001,"&gt;="&amp;$C$7,BD!$A$3:$A$5001,"&lt;="&amp;$B178,BD!$Z$3:$Z$5001,"&lt;&gt;")=0,"",SUMIFS(BD!$Z$3:$Z$5001,BD!$B$3:$B$5001,E$175,BD!$A$3:$A$5001,_xlfn.MAXIFS(BD!$A$3:$A$5001,BD!$B$3:$B$5001,E$175,BD!$A$3:$A$5001,"&gt;="&amp;$C$7,BD!$A$3:$A$5001,"&lt;="&amp;$B178,BD!$Z$3:$Z$5001,"&lt;&gt;"))))</f>
        <v/>
      </c>
      <c r="F178" s="43" t="str">
        <f>IF(OR($B178="",$A178&gt;$B$9,F$175=""),"",IF(COUNTIFS(BD!$B$3:$B$5001,F$175,BD!$A$3:$A$5001,"&gt;="&amp;$C$7,BD!$A$3:$A$5001,"&lt;="&amp;$B178,BD!$Z$3:$Z$5001,"&lt;&gt;")=0,"",SUMIFS(BD!$Z$3:$Z$5001,BD!$B$3:$B$5001,F$175,BD!$A$3:$A$5001,_xlfn.MAXIFS(BD!$A$3:$A$5001,BD!$B$3:$B$5001,F$175,BD!$A$3:$A$5001,"&gt;="&amp;$C$7,BD!$A$3:$A$5001,"&lt;="&amp;$B178,BD!$Z$3:$Z$5001,"&lt;&gt;"))))</f>
        <v/>
      </c>
      <c r="G178" s="43" t="str">
        <f>IF(OR($B178="",$A178&gt;$B$9,G$175=""),"",IF(COUNTIFS(BD!$B$3:$B$5001,G$175,BD!$A$3:$A$5001,"&gt;="&amp;$C$7,BD!$A$3:$A$5001,"&lt;="&amp;$B178,BD!$Z$3:$Z$5001,"&lt;&gt;")=0,"",SUMIFS(BD!$Z$3:$Z$5001,BD!$B$3:$B$5001,G$175,BD!$A$3:$A$5001,_xlfn.MAXIFS(BD!$A$3:$A$5001,BD!$B$3:$B$5001,G$175,BD!$A$3:$A$5001,"&gt;="&amp;$C$7,BD!$A$3:$A$5001,"&lt;="&amp;$B178,BD!$Z$3:$Z$5001,"&lt;&gt;"))))</f>
        <v/>
      </c>
      <c r="H178" s="43" t="str">
        <f>IF(OR($B178="",$A178&gt;$B$9,H$175=""),"",IF(COUNTIFS(BD!$B$3:$B$5001,H$175,BD!$A$3:$A$5001,"&gt;="&amp;$C$7,BD!$A$3:$A$5001,"&lt;="&amp;$B178,BD!$Z$3:$Z$5001,"&lt;&gt;")=0,"",SUMIFS(BD!$Z$3:$Z$5001,BD!$B$3:$B$5001,H$175,BD!$A$3:$A$5001,_xlfn.MAXIFS(BD!$A$3:$A$5001,BD!$B$3:$B$5001,H$175,BD!$A$3:$A$5001,"&gt;="&amp;$C$7,BD!$A$3:$A$5001,"&lt;="&amp;$B178,BD!$Z$3:$Z$5001,"&lt;&gt;"))))</f>
        <v/>
      </c>
      <c r="I178" s="43" t="str">
        <f>IF(OR($B178="",$A178&gt;$B$9,I$175=""),"",IF(COUNTIFS(BD!$B$3:$B$5001,I$175,BD!$A$3:$A$5001,"&gt;="&amp;$C$7,BD!$A$3:$A$5001,"&lt;="&amp;$B178,BD!$Z$3:$Z$5001,"&lt;&gt;")=0,"",SUMIFS(BD!$Z$3:$Z$5001,BD!$B$3:$B$5001,I$175,BD!$A$3:$A$5001,_xlfn.MAXIFS(BD!$A$3:$A$5001,BD!$B$3:$B$5001,I$175,BD!$A$3:$A$5001,"&gt;="&amp;$C$7,BD!$A$3:$A$5001,"&lt;="&amp;$B178,BD!$Z$3:$Z$5001,"&lt;&gt;"))))</f>
        <v/>
      </c>
      <c r="J178" s="43" t="str">
        <f>IF(OR($B178="",$A178&gt;$B$9,J$175=""),"",IF(COUNTIFS(BD!$B$3:$B$5001,J$175,BD!$A$3:$A$5001,"&gt;="&amp;$C$7,BD!$A$3:$A$5001,"&lt;="&amp;$B178,BD!$Z$3:$Z$5001,"&lt;&gt;")=0,"",SUMIFS(BD!$Z$3:$Z$5001,BD!$B$3:$B$5001,J$175,BD!$A$3:$A$5001,_xlfn.MAXIFS(BD!$A$3:$A$5001,BD!$B$3:$B$5001,J$175,BD!$A$3:$A$5001,"&gt;="&amp;$C$7,BD!$A$3:$A$5001,"&lt;="&amp;$B178,BD!$Z$3:$Z$5001,"&lt;&gt;"))))</f>
        <v/>
      </c>
      <c r="K178" s="43" t="str">
        <f>IF(OR($B178="",$A178&gt;$B$9,K$175=""),"",IF(COUNTIFS(BD!$B$3:$B$5001,K$175,BD!$A$3:$A$5001,"&gt;="&amp;$C$7,BD!$A$3:$A$5001,"&lt;="&amp;$B178,BD!$Z$3:$Z$5001,"&lt;&gt;")=0,"",SUMIFS(BD!$Z$3:$Z$5001,BD!$B$3:$B$5001,K$175,BD!$A$3:$A$5001,_xlfn.MAXIFS(BD!$A$3:$A$5001,BD!$B$3:$B$5001,K$175,BD!$A$3:$A$5001,"&gt;="&amp;$C$7,BD!$A$3:$A$5001,"&lt;="&amp;$B178,BD!$Z$3:$Z$5001,"&lt;&gt;"))))</f>
        <v/>
      </c>
      <c r="L178" s="43" t="str">
        <f>IF(OR($B178="",$A178&gt;$B$9,L$175=""),"",IF(COUNTIFS(BD!$B$3:$B$5001,L$175,BD!$A$3:$A$5001,"&gt;="&amp;$C$7,BD!$A$3:$A$5001,"&lt;="&amp;$B178,BD!$Z$3:$Z$5001,"&lt;&gt;")=0,"",SUMIFS(BD!$Z$3:$Z$5001,BD!$B$3:$B$5001,L$175,BD!$A$3:$A$5001,_xlfn.MAXIFS(BD!$A$3:$A$5001,BD!$B$3:$B$5001,L$175,BD!$A$3:$A$5001,"&gt;="&amp;$C$7,BD!$A$3:$A$5001,"&lt;="&amp;$B178,BD!$Z$3:$Z$5001,"&lt;&gt;"))))</f>
        <v/>
      </c>
      <c r="M178" s="43" t="str">
        <f>IF(OR($B178="",$A178&gt;$B$9,M$175=""),"",IF(COUNTIFS(BD!$B$3:$B$5001,M$175,BD!$A$3:$A$5001,"&gt;="&amp;$C$7,BD!$A$3:$A$5001,"&lt;="&amp;$B178,BD!$Z$3:$Z$5001,"&lt;&gt;")=0,"",SUMIFS(BD!$Z$3:$Z$5001,BD!$B$3:$B$5001,M$175,BD!$A$3:$A$5001,_xlfn.MAXIFS(BD!$A$3:$A$5001,BD!$B$3:$B$5001,M$175,BD!$A$3:$A$5001,"&gt;="&amp;$C$7,BD!$A$3:$A$5001,"&lt;="&amp;$B178,BD!$Z$3:$Z$5001,"&lt;&gt;"))))</f>
        <v/>
      </c>
      <c r="N178" s="43" t="str">
        <f>IF(OR($B178="",$A178&gt;$B$9,N$175=""),"",IF(COUNTIFS(BD!$B$3:$B$5001,N$175,BD!$A$3:$A$5001,"&gt;="&amp;$C$7,BD!$A$3:$A$5001,"&lt;="&amp;$B178,BD!$Z$3:$Z$5001,"&lt;&gt;")=0,"",SUMIFS(BD!$Z$3:$Z$5001,BD!$B$3:$B$5001,N$175,BD!$A$3:$A$5001,_xlfn.MAXIFS(BD!$A$3:$A$5001,BD!$B$3:$B$5001,N$175,BD!$A$3:$A$5001,"&gt;="&amp;$C$7,BD!$A$3:$A$5001,"&lt;="&amp;$B178,BD!$Z$3:$Z$5001,"&lt;&gt;"))))</f>
        <v/>
      </c>
      <c r="O178" s="43" t="str">
        <f>IF(OR($B178="",$A178&gt;$B$9,O$175=""),"",IF(COUNTIFS(BD!$B$3:$B$5001,O$175,BD!$A$3:$A$5001,"&gt;="&amp;$C$7,BD!$A$3:$A$5001,"&lt;="&amp;$B178,BD!$Z$3:$Z$5001,"&lt;&gt;")=0,"",SUMIFS(BD!$Z$3:$Z$5001,BD!$B$3:$B$5001,O$175,BD!$A$3:$A$5001,_xlfn.MAXIFS(BD!$A$3:$A$5001,BD!$B$3:$B$5001,O$175,BD!$A$3:$A$5001,"&gt;="&amp;$C$7,BD!$A$3:$A$5001,"&lt;="&amp;$B178,BD!$Z$3:$Z$5001,"&lt;&gt;"))))</f>
        <v/>
      </c>
      <c r="P178" s="43" t="str">
        <f>IF(OR($B178="",$A178&gt;$B$9,P$175=""),"",IF(COUNTIFS(BD!$B$3:$B$5001,P$175,BD!$A$3:$A$5001,"&gt;="&amp;$C$7,BD!$A$3:$A$5001,"&lt;="&amp;$B178,BD!$Z$3:$Z$5001,"&lt;&gt;")=0,"",SUMIFS(BD!$Z$3:$Z$5001,BD!$B$3:$B$5001,P$175,BD!$A$3:$A$5001,_xlfn.MAXIFS(BD!$A$3:$A$5001,BD!$B$3:$B$5001,P$175,BD!$A$3:$A$5001,"&gt;="&amp;$C$7,BD!$A$3:$A$5001,"&lt;="&amp;$B178,BD!$Z$3:$Z$5001,"&lt;&gt;"))))</f>
        <v/>
      </c>
      <c r="Q178" s="43" t="str">
        <f>IF(OR($B178="",$A178&gt;$B$9,Q$175=""),"",IF(COUNTIFS(BD!$B$3:$B$5001,Q$175,BD!$A$3:$A$5001,"&gt;="&amp;$C$7,BD!$A$3:$A$5001,"&lt;="&amp;$B178,BD!$Z$3:$Z$5001,"&lt;&gt;")=0,"",SUMIFS(BD!$Z$3:$Z$5001,BD!$B$3:$B$5001,Q$175,BD!$A$3:$A$5001,_xlfn.MAXIFS(BD!$A$3:$A$5001,BD!$B$3:$B$5001,Q$175,BD!$A$3:$A$5001,"&gt;="&amp;$C$7,BD!$A$3:$A$5001,"&lt;="&amp;$B178,BD!$Z$3:$Z$5001,"&lt;&gt;"))))</f>
        <v/>
      </c>
      <c r="R178" s="43" t="str">
        <f>IF(OR($B178="",$A178&gt;$B$9,R$175=""),"",IF(COUNTIFS(BD!$B$3:$B$5001,R$175,BD!$A$3:$A$5001,"&gt;="&amp;$C$7,BD!$A$3:$A$5001,"&lt;="&amp;$B178,BD!$Z$3:$Z$5001,"&lt;&gt;")=0,"",SUMIFS(BD!$Z$3:$Z$5001,BD!$B$3:$B$5001,R$175,BD!$A$3:$A$5001,_xlfn.MAXIFS(BD!$A$3:$A$5001,BD!$B$3:$B$5001,R$175,BD!$A$3:$A$5001,"&gt;="&amp;$C$7,BD!$A$3:$A$5001,"&lt;="&amp;$B178,BD!$Z$3:$Z$5001,"&lt;&gt;"))))</f>
        <v/>
      </c>
      <c r="S178" s="43" t="str">
        <f>IF(OR($B178="",$A178&gt;$B$9,S$175=""),"",IF(COUNTIFS(BD!$B$3:$B$5001,S$175,BD!$A$3:$A$5001,"&gt;="&amp;$C$7,BD!$A$3:$A$5001,"&lt;="&amp;$B178,BD!$Z$3:$Z$5001,"&lt;&gt;")=0,"",SUMIFS(BD!$Z$3:$Z$5001,BD!$B$3:$B$5001,S$175,BD!$A$3:$A$5001,_xlfn.MAXIFS(BD!$A$3:$A$5001,BD!$B$3:$B$5001,S$175,BD!$A$3:$A$5001,"&gt;="&amp;$C$7,BD!$A$3:$A$5001,"&lt;="&amp;$B178,BD!$Z$3:$Z$5001,"&lt;&gt;"))))</f>
        <v/>
      </c>
      <c r="T178" s="43" t="str">
        <f>IF(OR($B178="",$A178&gt;$B$9,T$175=""),"",IF(COUNTIFS(BD!$B$3:$B$5001,T$175,BD!$A$3:$A$5001,"&gt;="&amp;$C$7,BD!$A$3:$A$5001,"&lt;="&amp;$B178,BD!$Z$3:$Z$5001,"&lt;&gt;")=0,"",SUMIFS(BD!$Z$3:$Z$5001,BD!$B$3:$B$5001,T$175,BD!$A$3:$A$5001,_xlfn.MAXIFS(BD!$A$3:$A$5001,BD!$B$3:$B$5001,T$175,BD!$A$3:$A$5001,"&gt;="&amp;$C$7,BD!$A$3:$A$5001,"&lt;="&amp;$B178,BD!$Z$3:$Z$5001,"&lt;&gt;"))))</f>
        <v/>
      </c>
      <c r="U178" s="43" t="str">
        <f>IF(OR($B178="",$A178&gt;$B$9,U$175=""),"",IF(COUNTIFS(BD!$B$3:$B$5001,U$175,BD!$A$3:$A$5001,"&gt;="&amp;$C$7,BD!$A$3:$A$5001,"&lt;="&amp;$B178,BD!$Z$3:$Z$5001,"&lt;&gt;")=0,"",SUMIFS(BD!$Z$3:$Z$5001,BD!$B$3:$B$5001,U$175,BD!$A$3:$A$5001,_xlfn.MAXIFS(BD!$A$3:$A$5001,BD!$B$3:$B$5001,U$175,BD!$A$3:$A$5001,"&gt;="&amp;$C$7,BD!$A$3:$A$5001,"&lt;="&amp;$B178,BD!$Z$3:$Z$5001,"&lt;&gt;"))))</f>
        <v/>
      </c>
      <c r="V178" s="43" t="str">
        <f>IF(OR($B178="",$A178&gt;$B$9,V$175=""),"",IF(COUNTIFS(BD!$B$3:$B$5001,V$175,BD!$A$3:$A$5001,"&gt;="&amp;$C$7,BD!$A$3:$A$5001,"&lt;="&amp;$B178,BD!$Z$3:$Z$5001,"&lt;&gt;")=0,"",SUMIFS(BD!$Z$3:$Z$5001,BD!$B$3:$B$5001,V$175,BD!$A$3:$A$5001,_xlfn.MAXIFS(BD!$A$3:$A$5001,BD!$B$3:$B$5001,V$175,BD!$A$3:$A$5001,"&gt;="&amp;$C$7,BD!$A$3:$A$5001,"&lt;="&amp;$B178,BD!$Z$3:$Z$5001,"&lt;&gt;"))))</f>
        <v/>
      </c>
    </row>
    <row r="179">
      <c r="A179" s="38">
        <v>4</v>
      </c>
      <c r="B179" s="42">
        <f>$B$15</f>
        <v>46299</v>
      </c>
      <c r="C179" s="43" t="str">
        <f>IF(OR($B179="",$A179&gt;$B$9,C$175=""),"",IF(COUNTIFS(BD!$B$3:$B$5001,C$175,BD!$A$3:$A$5001,"&gt;="&amp;$C$7,BD!$A$3:$A$5001,"&lt;="&amp;$B179,BD!$Z$3:$Z$5001,"&lt;&gt;")=0,"",SUMIFS(BD!$Z$3:$Z$5001,BD!$B$3:$B$5001,C$175,BD!$A$3:$A$5001,_xlfn.MAXIFS(BD!$A$3:$A$5001,BD!$B$3:$B$5001,C$175,BD!$A$3:$A$5001,"&gt;="&amp;$C$7,BD!$A$3:$A$5001,"&lt;="&amp;$B179,BD!$Z$3:$Z$5001,"&lt;&gt;"))))</f>
        <v/>
      </c>
      <c r="D179" s="43" t="str">
        <f>IF(OR($B179="",$A179&gt;$B$9,D$175=""),"",IF(COUNTIFS(BD!$B$3:$B$5001,D$175,BD!$A$3:$A$5001,"&gt;="&amp;$C$7,BD!$A$3:$A$5001,"&lt;="&amp;$B179,BD!$Z$3:$Z$5001,"&lt;&gt;")=0,"",SUMIFS(BD!$Z$3:$Z$5001,BD!$B$3:$B$5001,D$175,BD!$A$3:$A$5001,_xlfn.MAXIFS(BD!$A$3:$A$5001,BD!$B$3:$B$5001,D$175,BD!$A$3:$A$5001,"&gt;="&amp;$C$7,BD!$A$3:$A$5001,"&lt;="&amp;$B179,BD!$Z$3:$Z$5001,"&lt;&gt;"))))</f>
        <v/>
      </c>
      <c r="E179" s="43" t="str">
        <f>IF(OR($B179="",$A179&gt;$B$9,E$175=""),"",IF(COUNTIFS(BD!$B$3:$B$5001,E$175,BD!$A$3:$A$5001,"&gt;="&amp;$C$7,BD!$A$3:$A$5001,"&lt;="&amp;$B179,BD!$Z$3:$Z$5001,"&lt;&gt;")=0,"",SUMIFS(BD!$Z$3:$Z$5001,BD!$B$3:$B$5001,E$175,BD!$A$3:$A$5001,_xlfn.MAXIFS(BD!$A$3:$A$5001,BD!$B$3:$B$5001,E$175,BD!$A$3:$A$5001,"&gt;="&amp;$C$7,BD!$A$3:$A$5001,"&lt;="&amp;$B179,BD!$Z$3:$Z$5001,"&lt;&gt;"))))</f>
        <v/>
      </c>
      <c r="F179" s="43" t="str">
        <f>IF(OR($B179="",$A179&gt;$B$9,F$175=""),"",IF(COUNTIFS(BD!$B$3:$B$5001,F$175,BD!$A$3:$A$5001,"&gt;="&amp;$C$7,BD!$A$3:$A$5001,"&lt;="&amp;$B179,BD!$Z$3:$Z$5001,"&lt;&gt;")=0,"",SUMIFS(BD!$Z$3:$Z$5001,BD!$B$3:$B$5001,F$175,BD!$A$3:$A$5001,_xlfn.MAXIFS(BD!$A$3:$A$5001,BD!$B$3:$B$5001,F$175,BD!$A$3:$A$5001,"&gt;="&amp;$C$7,BD!$A$3:$A$5001,"&lt;="&amp;$B179,BD!$Z$3:$Z$5001,"&lt;&gt;"))))</f>
        <v/>
      </c>
      <c r="G179" s="43" t="str">
        <f>IF(OR($B179="",$A179&gt;$B$9,G$175=""),"",IF(COUNTIFS(BD!$B$3:$B$5001,G$175,BD!$A$3:$A$5001,"&gt;="&amp;$C$7,BD!$A$3:$A$5001,"&lt;="&amp;$B179,BD!$Z$3:$Z$5001,"&lt;&gt;")=0,"",SUMIFS(BD!$Z$3:$Z$5001,BD!$B$3:$B$5001,G$175,BD!$A$3:$A$5001,_xlfn.MAXIFS(BD!$A$3:$A$5001,BD!$B$3:$B$5001,G$175,BD!$A$3:$A$5001,"&gt;="&amp;$C$7,BD!$A$3:$A$5001,"&lt;="&amp;$B179,BD!$Z$3:$Z$5001,"&lt;&gt;"))))</f>
        <v/>
      </c>
      <c r="H179" s="43" t="str">
        <f>IF(OR($B179="",$A179&gt;$B$9,H$175=""),"",IF(COUNTIFS(BD!$B$3:$B$5001,H$175,BD!$A$3:$A$5001,"&gt;="&amp;$C$7,BD!$A$3:$A$5001,"&lt;="&amp;$B179,BD!$Z$3:$Z$5001,"&lt;&gt;")=0,"",SUMIFS(BD!$Z$3:$Z$5001,BD!$B$3:$B$5001,H$175,BD!$A$3:$A$5001,_xlfn.MAXIFS(BD!$A$3:$A$5001,BD!$B$3:$B$5001,H$175,BD!$A$3:$A$5001,"&gt;="&amp;$C$7,BD!$A$3:$A$5001,"&lt;="&amp;$B179,BD!$Z$3:$Z$5001,"&lt;&gt;"))))</f>
        <v/>
      </c>
      <c r="I179" s="43" t="str">
        <f>IF(OR($B179="",$A179&gt;$B$9,I$175=""),"",IF(COUNTIFS(BD!$B$3:$B$5001,I$175,BD!$A$3:$A$5001,"&gt;="&amp;$C$7,BD!$A$3:$A$5001,"&lt;="&amp;$B179,BD!$Z$3:$Z$5001,"&lt;&gt;")=0,"",SUMIFS(BD!$Z$3:$Z$5001,BD!$B$3:$B$5001,I$175,BD!$A$3:$A$5001,_xlfn.MAXIFS(BD!$A$3:$A$5001,BD!$B$3:$B$5001,I$175,BD!$A$3:$A$5001,"&gt;="&amp;$C$7,BD!$A$3:$A$5001,"&lt;="&amp;$B179,BD!$Z$3:$Z$5001,"&lt;&gt;"))))</f>
        <v/>
      </c>
      <c r="J179" s="43" t="str">
        <f>IF(OR($B179="",$A179&gt;$B$9,J$175=""),"",IF(COUNTIFS(BD!$B$3:$B$5001,J$175,BD!$A$3:$A$5001,"&gt;="&amp;$C$7,BD!$A$3:$A$5001,"&lt;="&amp;$B179,BD!$Z$3:$Z$5001,"&lt;&gt;")=0,"",SUMIFS(BD!$Z$3:$Z$5001,BD!$B$3:$B$5001,J$175,BD!$A$3:$A$5001,_xlfn.MAXIFS(BD!$A$3:$A$5001,BD!$B$3:$B$5001,J$175,BD!$A$3:$A$5001,"&gt;="&amp;$C$7,BD!$A$3:$A$5001,"&lt;="&amp;$B179,BD!$Z$3:$Z$5001,"&lt;&gt;"))))</f>
        <v/>
      </c>
      <c r="K179" s="43" t="str">
        <f>IF(OR($B179="",$A179&gt;$B$9,K$175=""),"",IF(COUNTIFS(BD!$B$3:$B$5001,K$175,BD!$A$3:$A$5001,"&gt;="&amp;$C$7,BD!$A$3:$A$5001,"&lt;="&amp;$B179,BD!$Z$3:$Z$5001,"&lt;&gt;")=0,"",SUMIFS(BD!$Z$3:$Z$5001,BD!$B$3:$B$5001,K$175,BD!$A$3:$A$5001,_xlfn.MAXIFS(BD!$A$3:$A$5001,BD!$B$3:$B$5001,K$175,BD!$A$3:$A$5001,"&gt;="&amp;$C$7,BD!$A$3:$A$5001,"&lt;="&amp;$B179,BD!$Z$3:$Z$5001,"&lt;&gt;"))))</f>
        <v/>
      </c>
      <c r="L179" s="43" t="str">
        <f>IF(OR($B179="",$A179&gt;$B$9,L$175=""),"",IF(COUNTIFS(BD!$B$3:$B$5001,L$175,BD!$A$3:$A$5001,"&gt;="&amp;$C$7,BD!$A$3:$A$5001,"&lt;="&amp;$B179,BD!$Z$3:$Z$5001,"&lt;&gt;")=0,"",SUMIFS(BD!$Z$3:$Z$5001,BD!$B$3:$B$5001,L$175,BD!$A$3:$A$5001,_xlfn.MAXIFS(BD!$A$3:$A$5001,BD!$B$3:$B$5001,L$175,BD!$A$3:$A$5001,"&gt;="&amp;$C$7,BD!$A$3:$A$5001,"&lt;="&amp;$B179,BD!$Z$3:$Z$5001,"&lt;&gt;"))))</f>
        <v/>
      </c>
      <c r="M179" s="43" t="str">
        <f>IF(OR($B179="",$A179&gt;$B$9,M$175=""),"",IF(COUNTIFS(BD!$B$3:$B$5001,M$175,BD!$A$3:$A$5001,"&gt;="&amp;$C$7,BD!$A$3:$A$5001,"&lt;="&amp;$B179,BD!$Z$3:$Z$5001,"&lt;&gt;")=0,"",SUMIFS(BD!$Z$3:$Z$5001,BD!$B$3:$B$5001,M$175,BD!$A$3:$A$5001,_xlfn.MAXIFS(BD!$A$3:$A$5001,BD!$B$3:$B$5001,M$175,BD!$A$3:$A$5001,"&gt;="&amp;$C$7,BD!$A$3:$A$5001,"&lt;="&amp;$B179,BD!$Z$3:$Z$5001,"&lt;&gt;"))))</f>
        <v/>
      </c>
      <c r="N179" s="43" t="str">
        <f>IF(OR($B179="",$A179&gt;$B$9,N$175=""),"",IF(COUNTIFS(BD!$B$3:$B$5001,N$175,BD!$A$3:$A$5001,"&gt;="&amp;$C$7,BD!$A$3:$A$5001,"&lt;="&amp;$B179,BD!$Z$3:$Z$5001,"&lt;&gt;")=0,"",SUMIFS(BD!$Z$3:$Z$5001,BD!$B$3:$B$5001,N$175,BD!$A$3:$A$5001,_xlfn.MAXIFS(BD!$A$3:$A$5001,BD!$B$3:$B$5001,N$175,BD!$A$3:$A$5001,"&gt;="&amp;$C$7,BD!$A$3:$A$5001,"&lt;="&amp;$B179,BD!$Z$3:$Z$5001,"&lt;&gt;"))))</f>
        <v/>
      </c>
      <c r="O179" s="43" t="str">
        <f>IF(OR($B179="",$A179&gt;$B$9,O$175=""),"",IF(COUNTIFS(BD!$B$3:$B$5001,O$175,BD!$A$3:$A$5001,"&gt;="&amp;$C$7,BD!$A$3:$A$5001,"&lt;="&amp;$B179,BD!$Z$3:$Z$5001,"&lt;&gt;")=0,"",SUMIFS(BD!$Z$3:$Z$5001,BD!$B$3:$B$5001,O$175,BD!$A$3:$A$5001,_xlfn.MAXIFS(BD!$A$3:$A$5001,BD!$B$3:$B$5001,O$175,BD!$A$3:$A$5001,"&gt;="&amp;$C$7,BD!$A$3:$A$5001,"&lt;="&amp;$B179,BD!$Z$3:$Z$5001,"&lt;&gt;"))))</f>
        <v/>
      </c>
      <c r="P179" s="43" t="str">
        <f>IF(OR($B179="",$A179&gt;$B$9,P$175=""),"",IF(COUNTIFS(BD!$B$3:$B$5001,P$175,BD!$A$3:$A$5001,"&gt;="&amp;$C$7,BD!$A$3:$A$5001,"&lt;="&amp;$B179,BD!$Z$3:$Z$5001,"&lt;&gt;")=0,"",SUMIFS(BD!$Z$3:$Z$5001,BD!$B$3:$B$5001,P$175,BD!$A$3:$A$5001,_xlfn.MAXIFS(BD!$A$3:$A$5001,BD!$B$3:$B$5001,P$175,BD!$A$3:$A$5001,"&gt;="&amp;$C$7,BD!$A$3:$A$5001,"&lt;="&amp;$B179,BD!$Z$3:$Z$5001,"&lt;&gt;"))))</f>
        <v/>
      </c>
      <c r="Q179" s="43" t="str">
        <f>IF(OR($B179="",$A179&gt;$B$9,Q$175=""),"",IF(COUNTIFS(BD!$B$3:$B$5001,Q$175,BD!$A$3:$A$5001,"&gt;="&amp;$C$7,BD!$A$3:$A$5001,"&lt;="&amp;$B179,BD!$Z$3:$Z$5001,"&lt;&gt;")=0,"",SUMIFS(BD!$Z$3:$Z$5001,BD!$B$3:$B$5001,Q$175,BD!$A$3:$A$5001,_xlfn.MAXIFS(BD!$A$3:$A$5001,BD!$B$3:$B$5001,Q$175,BD!$A$3:$A$5001,"&gt;="&amp;$C$7,BD!$A$3:$A$5001,"&lt;="&amp;$B179,BD!$Z$3:$Z$5001,"&lt;&gt;"))))</f>
        <v/>
      </c>
      <c r="R179" s="43" t="str">
        <f>IF(OR($B179="",$A179&gt;$B$9,R$175=""),"",IF(COUNTIFS(BD!$B$3:$B$5001,R$175,BD!$A$3:$A$5001,"&gt;="&amp;$C$7,BD!$A$3:$A$5001,"&lt;="&amp;$B179,BD!$Z$3:$Z$5001,"&lt;&gt;")=0,"",SUMIFS(BD!$Z$3:$Z$5001,BD!$B$3:$B$5001,R$175,BD!$A$3:$A$5001,_xlfn.MAXIFS(BD!$A$3:$A$5001,BD!$B$3:$B$5001,R$175,BD!$A$3:$A$5001,"&gt;="&amp;$C$7,BD!$A$3:$A$5001,"&lt;="&amp;$B179,BD!$Z$3:$Z$5001,"&lt;&gt;"))))</f>
        <v/>
      </c>
      <c r="S179" s="43" t="str">
        <f>IF(OR($B179="",$A179&gt;$B$9,S$175=""),"",IF(COUNTIFS(BD!$B$3:$B$5001,S$175,BD!$A$3:$A$5001,"&gt;="&amp;$C$7,BD!$A$3:$A$5001,"&lt;="&amp;$B179,BD!$Z$3:$Z$5001,"&lt;&gt;")=0,"",SUMIFS(BD!$Z$3:$Z$5001,BD!$B$3:$B$5001,S$175,BD!$A$3:$A$5001,_xlfn.MAXIFS(BD!$A$3:$A$5001,BD!$B$3:$B$5001,S$175,BD!$A$3:$A$5001,"&gt;="&amp;$C$7,BD!$A$3:$A$5001,"&lt;="&amp;$B179,BD!$Z$3:$Z$5001,"&lt;&gt;"))))</f>
        <v/>
      </c>
      <c r="T179" s="43" t="str">
        <f>IF(OR($B179="",$A179&gt;$B$9,T$175=""),"",IF(COUNTIFS(BD!$B$3:$B$5001,T$175,BD!$A$3:$A$5001,"&gt;="&amp;$C$7,BD!$A$3:$A$5001,"&lt;="&amp;$B179,BD!$Z$3:$Z$5001,"&lt;&gt;")=0,"",SUMIFS(BD!$Z$3:$Z$5001,BD!$B$3:$B$5001,T$175,BD!$A$3:$A$5001,_xlfn.MAXIFS(BD!$A$3:$A$5001,BD!$B$3:$B$5001,T$175,BD!$A$3:$A$5001,"&gt;="&amp;$C$7,BD!$A$3:$A$5001,"&lt;="&amp;$B179,BD!$Z$3:$Z$5001,"&lt;&gt;"))))</f>
        <v/>
      </c>
      <c r="U179" s="43" t="str">
        <f>IF(OR($B179="",$A179&gt;$B$9,U$175=""),"",IF(COUNTIFS(BD!$B$3:$B$5001,U$175,BD!$A$3:$A$5001,"&gt;="&amp;$C$7,BD!$A$3:$A$5001,"&lt;="&amp;$B179,BD!$Z$3:$Z$5001,"&lt;&gt;")=0,"",SUMIFS(BD!$Z$3:$Z$5001,BD!$B$3:$B$5001,U$175,BD!$A$3:$A$5001,_xlfn.MAXIFS(BD!$A$3:$A$5001,BD!$B$3:$B$5001,U$175,BD!$A$3:$A$5001,"&gt;="&amp;$C$7,BD!$A$3:$A$5001,"&lt;="&amp;$B179,BD!$Z$3:$Z$5001,"&lt;&gt;"))))</f>
        <v/>
      </c>
      <c r="V179" s="43" t="str">
        <f>IF(OR($B179="",$A179&gt;$B$9,V$175=""),"",IF(COUNTIFS(BD!$B$3:$B$5001,V$175,BD!$A$3:$A$5001,"&gt;="&amp;$C$7,BD!$A$3:$A$5001,"&lt;="&amp;$B179,BD!$Z$3:$Z$5001,"&lt;&gt;")=0,"",SUMIFS(BD!$Z$3:$Z$5001,BD!$B$3:$B$5001,V$175,BD!$A$3:$A$5001,_xlfn.MAXIFS(BD!$A$3:$A$5001,BD!$B$3:$B$5001,V$175,BD!$A$3:$A$5001,"&gt;="&amp;$C$7,BD!$A$3:$A$5001,"&lt;="&amp;$B179,BD!$Z$3:$Z$5001,"&lt;&gt;"))))</f>
        <v/>
      </c>
    </row>
    <row r="180">
      <c r="A180" s="38">
        <v>5</v>
      </c>
      <c r="B180" s="42">
        <f>$B$16</f>
        <v>46300</v>
      </c>
      <c r="C180" s="43" t="str">
        <f>IF(OR($B180="",$A180&gt;$B$9,C$175=""),"",IF(COUNTIFS(BD!$B$3:$B$5001,C$175,BD!$A$3:$A$5001,"&gt;="&amp;$C$7,BD!$A$3:$A$5001,"&lt;="&amp;$B180,BD!$Z$3:$Z$5001,"&lt;&gt;")=0,"",SUMIFS(BD!$Z$3:$Z$5001,BD!$B$3:$B$5001,C$175,BD!$A$3:$A$5001,_xlfn.MAXIFS(BD!$A$3:$A$5001,BD!$B$3:$B$5001,C$175,BD!$A$3:$A$5001,"&gt;="&amp;$C$7,BD!$A$3:$A$5001,"&lt;="&amp;$B180,BD!$Z$3:$Z$5001,"&lt;&gt;"))))</f>
        <v/>
      </c>
      <c r="D180" s="43" t="str">
        <f>IF(OR($B180="",$A180&gt;$B$9,D$175=""),"",IF(COUNTIFS(BD!$B$3:$B$5001,D$175,BD!$A$3:$A$5001,"&gt;="&amp;$C$7,BD!$A$3:$A$5001,"&lt;="&amp;$B180,BD!$Z$3:$Z$5001,"&lt;&gt;")=0,"",SUMIFS(BD!$Z$3:$Z$5001,BD!$B$3:$B$5001,D$175,BD!$A$3:$A$5001,_xlfn.MAXIFS(BD!$A$3:$A$5001,BD!$B$3:$B$5001,D$175,BD!$A$3:$A$5001,"&gt;="&amp;$C$7,BD!$A$3:$A$5001,"&lt;="&amp;$B180,BD!$Z$3:$Z$5001,"&lt;&gt;"))))</f>
        <v/>
      </c>
      <c r="E180" s="43" t="str">
        <f>IF(OR($B180="",$A180&gt;$B$9,E$175=""),"",IF(COUNTIFS(BD!$B$3:$B$5001,E$175,BD!$A$3:$A$5001,"&gt;="&amp;$C$7,BD!$A$3:$A$5001,"&lt;="&amp;$B180,BD!$Z$3:$Z$5001,"&lt;&gt;")=0,"",SUMIFS(BD!$Z$3:$Z$5001,BD!$B$3:$B$5001,E$175,BD!$A$3:$A$5001,_xlfn.MAXIFS(BD!$A$3:$A$5001,BD!$B$3:$B$5001,E$175,BD!$A$3:$A$5001,"&gt;="&amp;$C$7,BD!$A$3:$A$5001,"&lt;="&amp;$B180,BD!$Z$3:$Z$5001,"&lt;&gt;"))))</f>
        <v/>
      </c>
      <c r="F180" s="43" t="str">
        <f>IF(OR($B180="",$A180&gt;$B$9,F$175=""),"",IF(COUNTIFS(BD!$B$3:$B$5001,F$175,BD!$A$3:$A$5001,"&gt;="&amp;$C$7,BD!$A$3:$A$5001,"&lt;="&amp;$B180,BD!$Z$3:$Z$5001,"&lt;&gt;")=0,"",SUMIFS(BD!$Z$3:$Z$5001,BD!$B$3:$B$5001,F$175,BD!$A$3:$A$5001,_xlfn.MAXIFS(BD!$A$3:$A$5001,BD!$B$3:$B$5001,F$175,BD!$A$3:$A$5001,"&gt;="&amp;$C$7,BD!$A$3:$A$5001,"&lt;="&amp;$B180,BD!$Z$3:$Z$5001,"&lt;&gt;"))))</f>
        <v/>
      </c>
      <c r="G180" s="43" t="str">
        <f>IF(OR($B180="",$A180&gt;$B$9,G$175=""),"",IF(COUNTIFS(BD!$B$3:$B$5001,G$175,BD!$A$3:$A$5001,"&gt;="&amp;$C$7,BD!$A$3:$A$5001,"&lt;="&amp;$B180,BD!$Z$3:$Z$5001,"&lt;&gt;")=0,"",SUMIFS(BD!$Z$3:$Z$5001,BD!$B$3:$B$5001,G$175,BD!$A$3:$A$5001,_xlfn.MAXIFS(BD!$A$3:$A$5001,BD!$B$3:$B$5001,G$175,BD!$A$3:$A$5001,"&gt;="&amp;$C$7,BD!$A$3:$A$5001,"&lt;="&amp;$B180,BD!$Z$3:$Z$5001,"&lt;&gt;"))))</f>
        <v/>
      </c>
      <c r="H180" s="43" t="str">
        <f>IF(OR($B180="",$A180&gt;$B$9,H$175=""),"",IF(COUNTIFS(BD!$B$3:$B$5001,H$175,BD!$A$3:$A$5001,"&gt;="&amp;$C$7,BD!$A$3:$A$5001,"&lt;="&amp;$B180,BD!$Z$3:$Z$5001,"&lt;&gt;")=0,"",SUMIFS(BD!$Z$3:$Z$5001,BD!$B$3:$B$5001,H$175,BD!$A$3:$A$5001,_xlfn.MAXIFS(BD!$A$3:$A$5001,BD!$B$3:$B$5001,H$175,BD!$A$3:$A$5001,"&gt;="&amp;$C$7,BD!$A$3:$A$5001,"&lt;="&amp;$B180,BD!$Z$3:$Z$5001,"&lt;&gt;"))))</f>
        <v/>
      </c>
      <c r="I180" s="43" t="str">
        <f>IF(OR($B180="",$A180&gt;$B$9,I$175=""),"",IF(COUNTIFS(BD!$B$3:$B$5001,I$175,BD!$A$3:$A$5001,"&gt;="&amp;$C$7,BD!$A$3:$A$5001,"&lt;="&amp;$B180,BD!$Z$3:$Z$5001,"&lt;&gt;")=0,"",SUMIFS(BD!$Z$3:$Z$5001,BD!$B$3:$B$5001,I$175,BD!$A$3:$A$5001,_xlfn.MAXIFS(BD!$A$3:$A$5001,BD!$B$3:$B$5001,I$175,BD!$A$3:$A$5001,"&gt;="&amp;$C$7,BD!$A$3:$A$5001,"&lt;="&amp;$B180,BD!$Z$3:$Z$5001,"&lt;&gt;"))))</f>
        <v/>
      </c>
      <c r="J180" s="43" t="str">
        <f>IF(OR($B180="",$A180&gt;$B$9,J$175=""),"",IF(COUNTIFS(BD!$B$3:$B$5001,J$175,BD!$A$3:$A$5001,"&gt;="&amp;$C$7,BD!$A$3:$A$5001,"&lt;="&amp;$B180,BD!$Z$3:$Z$5001,"&lt;&gt;")=0,"",SUMIFS(BD!$Z$3:$Z$5001,BD!$B$3:$B$5001,J$175,BD!$A$3:$A$5001,_xlfn.MAXIFS(BD!$A$3:$A$5001,BD!$B$3:$B$5001,J$175,BD!$A$3:$A$5001,"&gt;="&amp;$C$7,BD!$A$3:$A$5001,"&lt;="&amp;$B180,BD!$Z$3:$Z$5001,"&lt;&gt;"))))</f>
        <v/>
      </c>
      <c r="K180" s="43" t="str">
        <f>IF(OR($B180="",$A180&gt;$B$9,K$175=""),"",IF(COUNTIFS(BD!$B$3:$B$5001,K$175,BD!$A$3:$A$5001,"&gt;="&amp;$C$7,BD!$A$3:$A$5001,"&lt;="&amp;$B180,BD!$Z$3:$Z$5001,"&lt;&gt;")=0,"",SUMIFS(BD!$Z$3:$Z$5001,BD!$B$3:$B$5001,K$175,BD!$A$3:$A$5001,_xlfn.MAXIFS(BD!$A$3:$A$5001,BD!$B$3:$B$5001,K$175,BD!$A$3:$A$5001,"&gt;="&amp;$C$7,BD!$A$3:$A$5001,"&lt;="&amp;$B180,BD!$Z$3:$Z$5001,"&lt;&gt;"))))</f>
        <v/>
      </c>
      <c r="L180" s="43" t="str">
        <f>IF(OR($B180="",$A180&gt;$B$9,L$175=""),"",IF(COUNTIFS(BD!$B$3:$B$5001,L$175,BD!$A$3:$A$5001,"&gt;="&amp;$C$7,BD!$A$3:$A$5001,"&lt;="&amp;$B180,BD!$Z$3:$Z$5001,"&lt;&gt;")=0,"",SUMIFS(BD!$Z$3:$Z$5001,BD!$B$3:$B$5001,L$175,BD!$A$3:$A$5001,_xlfn.MAXIFS(BD!$A$3:$A$5001,BD!$B$3:$B$5001,L$175,BD!$A$3:$A$5001,"&gt;="&amp;$C$7,BD!$A$3:$A$5001,"&lt;="&amp;$B180,BD!$Z$3:$Z$5001,"&lt;&gt;"))))</f>
        <v/>
      </c>
      <c r="M180" s="43" t="str">
        <f>IF(OR($B180="",$A180&gt;$B$9,M$175=""),"",IF(COUNTIFS(BD!$B$3:$B$5001,M$175,BD!$A$3:$A$5001,"&gt;="&amp;$C$7,BD!$A$3:$A$5001,"&lt;="&amp;$B180,BD!$Z$3:$Z$5001,"&lt;&gt;")=0,"",SUMIFS(BD!$Z$3:$Z$5001,BD!$B$3:$B$5001,M$175,BD!$A$3:$A$5001,_xlfn.MAXIFS(BD!$A$3:$A$5001,BD!$B$3:$B$5001,M$175,BD!$A$3:$A$5001,"&gt;="&amp;$C$7,BD!$A$3:$A$5001,"&lt;="&amp;$B180,BD!$Z$3:$Z$5001,"&lt;&gt;"))))</f>
        <v/>
      </c>
      <c r="N180" s="43" t="str">
        <f>IF(OR($B180="",$A180&gt;$B$9,N$175=""),"",IF(COUNTIFS(BD!$B$3:$B$5001,N$175,BD!$A$3:$A$5001,"&gt;="&amp;$C$7,BD!$A$3:$A$5001,"&lt;="&amp;$B180,BD!$Z$3:$Z$5001,"&lt;&gt;")=0,"",SUMIFS(BD!$Z$3:$Z$5001,BD!$B$3:$B$5001,N$175,BD!$A$3:$A$5001,_xlfn.MAXIFS(BD!$A$3:$A$5001,BD!$B$3:$B$5001,N$175,BD!$A$3:$A$5001,"&gt;="&amp;$C$7,BD!$A$3:$A$5001,"&lt;="&amp;$B180,BD!$Z$3:$Z$5001,"&lt;&gt;"))))</f>
        <v/>
      </c>
      <c r="O180" s="43" t="str">
        <f>IF(OR($B180="",$A180&gt;$B$9,O$175=""),"",IF(COUNTIFS(BD!$B$3:$B$5001,O$175,BD!$A$3:$A$5001,"&gt;="&amp;$C$7,BD!$A$3:$A$5001,"&lt;="&amp;$B180,BD!$Z$3:$Z$5001,"&lt;&gt;")=0,"",SUMIFS(BD!$Z$3:$Z$5001,BD!$B$3:$B$5001,O$175,BD!$A$3:$A$5001,_xlfn.MAXIFS(BD!$A$3:$A$5001,BD!$B$3:$B$5001,O$175,BD!$A$3:$A$5001,"&gt;="&amp;$C$7,BD!$A$3:$A$5001,"&lt;="&amp;$B180,BD!$Z$3:$Z$5001,"&lt;&gt;"))))</f>
        <v/>
      </c>
      <c r="P180" s="43" t="str">
        <f>IF(OR($B180="",$A180&gt;$B$9,P$175=""),"",IF(COUNTIFS(BD!$B$3:$B$5001,P$175,BD!$A$3:$A$5001,"&gt;="&amp;$C$7,BD!$A$3:$A$5001,"&lt;="&amp;$B180,BD!$Z$3:$Z$5001,"&lt;&gt;")=0,"",SUMIFS(BD!$Z$3:$Z$5001,BD!$B$3:$B$5001,P$175,BD!$A$3:$A$5001,_xlfn.MAXIFS(BD!$A$3:$A$5001,BD!$B$3:$B$5001,P$175,BD!$A$3:$A$5001,"&gt;="&amp;$C$7,BD!$A$3:$A$5001,"&lt;="&amp;$B180,BD!$Z$3:$Z$5001,"&lt;&gt;"))))</f>
        <v/>
      </c>
      <c r="Q180" s="43" t="str">
        <f>IF(OR($B180="",$A180&gt;$B$9,Q$175=""),"",IF(COUNTIFS(BD!$B$3:$B$5001,Q$175,BD!$A$3:$A$5001,"&gt;="&amp;$C$7,BD!$A$3:$A$5001,"&lt;="&amp;$B180,BD!$Z$3:$Z$5001,"&lt;&gt;")=0,"",SUMIFS(BD!$Z$3:$Z$5001,BD!$B$3:$B$5001,Q$175,BD!$A$3:$A$5001,_xlfn.MAXIFS(BD!$A$3:$A$5001,BD!$B$3:$B$5001,Q$175,BD!$A$3:$A$5001,"&gt;="&amp;$C$7,BD!$A$3:$A$5001,"&lt;="&amp;$B180,BD!$Z$3:$Z$5001,"&lt;&gt;"))))</f>
        <v/>
      </c>
      <c r="R180" s="43" t="str">
        <f>IF(OR($B180="",$A180&gt;$B$9,R$175=""),"",IF(COUNTIFS(BD!$B$3:$B$5001,R$175,BD!$A$3:$A$5001,"&gt;="&amp;$C$7,BD!$A$3:$A$5001,"&lt;="&amp;$B180,BD!$Z$3:$Z$5001,"&lt;&gt;")=0,"",SUMIFS(BD!$Z$3:$Z$5001,BD!$B$3:$B$5001,R$175,BD!$A$3:$A$5001,_xlfn.MAXIFS(BD!$A$3:$A$5001,BD!$B$3:$B$5001,R$175,BD!$A$3:$A$5001,"&gt;="&amp;$C$7,BD!$A$3:$A$5001,"&lt;="&amp;$B180,BD!$Z$3:$Z$5001,"&lt;&gt;"))))</f>
        <v/>
      </c>
      <c r="S180" s="43" t="str">
        <f>IF(OR($B180="",$A180&gt;$B$9,S$175=""),"",IF(COUNTIFS(BD!$B$3:$B$5001,S$175,BD!$A$3:$A$5001,"&gt;="&amp;$C$7,BD!$A$3:$A$5001,"&lt;="&amp;$B180,BD!$Z$3:$Z$5001,"&lt;&gt;")=0,"",SUMIFS(BD!$Z$3:$Z$5001,BD!$B$3:$B$5001,S$175,BD!$A$3:$A$5001,_xlfn.MAXIFS(BD!$A$3:$A$5001,BD!$B$3:$B$5001,S$175,BD!$A$3:$A$5001,"&gt;="&amp;$C$7,BD!$A$3:$A$5001,"&lt;="&amp;$B180,BD!$Z$3:$Z$5001,"&lt;&gt;"))))</f>
        <v/>
      </c>
      <c r="T180" s="43" t="str">
        <f>IF(OR($B180="",$A180&gt;$B$9,T$175=""),"",IF(COUNTIFS(BD!$B$3:$B$5001,T$175,BD!$A$3:$A$5001,"&gt;="&amp;$C$7,BD!$A$3:$A$5001,"&lt;="&amp;$B180,BD!$Z$3:$Z$5001,"&lt;&gt;")=0,"",SUMIFS(BD!$Z$3:$Z$5001,BD!$B$3:$B$5001,T$175,BD!$A$3:$A$5001,_xlfn.MAXIFS(BD!$A$3:$A$5001,BD!$B$3:$B$5001,T$175,BD!$A$3:$A$5001,"&gt;="&amp;$C$7,BD!$A$3:$A$5001,"&lt;="&amp;$B180,BD!$Z$3:$Z$5001,"&lt;&gt;"))))</f>
        <v/>
      </c>
      <c r="U180" s="43" t="str">
        <f>IF(OR($B180="",$A180&gt;$B$9,U$175=""),"",IF(COUNTIFS(BD!$B$3:$B$5001,U$175,BD!$A$3:$A$5001,"&gt;="&amp;$C$7,BD!$A$3:$A$5001,"&lt;="&amp;$B180,BD!$Z$3:$Z$5001,"&lt;&gt;")=0,"",SUMIFS(BD!$Z$3:$Z$5001,BD!$B$3:$B$5001,U$175,BD!$A$3:$A$5001,_xlfn.MAXIFS(BD!$A$3:$A$5001,BD!$B$3:$B$5001,U$175,BD!$A$3:$A$5001,"&gt;="&amp;$C$7,BD!$A$3:$A$5001,"&lt;="&amp;$B180,BD!$Z$3:$Z$5001,"&lt;&gt;"))))</f>
        <v/>
      </c>
      <c r="V180" s="43" t="str">
        <f>IF(OR($B180="",$A180&gt;$B$9,V$175=""),"",IF(COUNTIFS(BD!$B$3:$B$5001,V$175,BD!$A$3:$A$5001,"&gt;="&amp;$C$7,BD!$A$3:$A$5001,"&lt;="&amp;$B180,BD!$Z$3:$Z$5001,"&lt;&gt;")=0,"",SUMIFS(BD!$Z$3:$Z$5001,BD!$B$3:$B$5001,V$175,BD!$A$3:$A$5001,_xlfn.MAXIFS(BD!$A$3:$A$5001,BD!$B$3:$B$5001,V$175,BD!$A$3:$A$5001,"&gt;="&amp;$C$7,BD!$A$3:$A$5001,"&lt;="&amp;$B180,BD!$Z$3:$Z$5001,"&lt;&gt;"))))</f>
        <v/>
      </c>
    </row>
    <row r="181">
      <c r="A181" s="38">
        <v>6</v>
      </c>
      <c r="B181" s="42">
        <f>$B$17</f>
        <v>46301</v>
      </c>
      <c r="C181" s="43" t="str">
        <f>IF(OR($B181="",$A181&gt;$B$9,C$175=""),"",IF(COUNTIFS(BD!$B$3:$B$5001,C$175,BD!$A$3:$A$5001,"&gt;="&amp;$C$7,BD!$A$3:$A$5001,"&lt;="&amp;$B181,BD!$Z$3:$Z$5001,"&lt;&gt;")=0,"",SUMIFS(BD!$Z$3:$Z$5001,BD!$B$3:$B$5001,C$175,BD!$A$3:$A$5001,_xlfn.MAXIFS(BD!$A$3:$A$5001,BD!$B$3:$B$5001,C$175,BD!$A$3:$A$5001,"&gt;="&amp;$C$7,BD!$A$3:$A$5001,"&lt;="&amp;$B181,BD!$Z$3:$Z$5001,"&lt;&gt;"))))</f>
        <v/>
      </c>
      <c r="D181" s="43" t="str">
        <f>IF(OR($B181="",$A181&gt;$B$9,D$175=""),"",IF(COUNTIFS(BD!$B$3:$B$5001,D$175,BD!$A$3:$A$5001,"&gt;="&amp;$C$7,BD!$A$3:$A$5001,"&lt;="&amp;$B181,BD!$Z$3:$Z$5001,"&lt;&gt;")=0,"",SUMIFS(BD!$Z$3:$Z$5001,BD!$B$3:$B$5001,D$175,BD!$A$3:$A$5001,_xlfn.MAXIFS(BD!$A$3:$A$5001,BD!$B$3:$B$5001,D$175,BD!$A$3:$A$5001,"&gt;="&amp;$C$7,BD!$A$3:$A$5001,"&lt;="&amp;$B181,BD!$Z$3:$Z$5001,"&lt;&gt;"))))</f>
        <v/>
      </c>
      <c r="E181" s="43" t="str">
        <f>IF(OR($B181="",$A181&gt;$B$9,E$175=""),"",IF(COUNTIFS(BD!$B$3:$B$5001,E$175,BD!$A$3:$A$5001,"&gt;="&amp;$C$7,BD!$A$3:$A$5001,"&lt;="&amp;$B181,BD!$Z$3:$Z$5001,"&lt;&gt;")=0,"",SUMIFS(BD!$Z$3:$Z$5001,BD!$B$3:$B$5001,E$175,BD!$A$3:$A$5001,_xlfn.MAXIFS(BD!$A$3:$A$5001,BD!$B$3:$B$5001,E$175,BD!$A$3:$A$5001,"&gt;="&amp;$C$7,BD!$A$3:$A$5001,"&lt;="&amp;$B181,BD!$Z$3:$Z$5001,"&lt;&gt;"))))</f>
        <v/>
      </c>
      <c r="F181" s="43" t="str">
        <f>IF(OR($B181="",$A181&gt;$B$9,F$175=""),"",IF(COUNTIFS(BD!$B$3:$B$5001,F$175,BD!$A$3:$A$5001,"&gt;="&amp;$C$7,BD!$A$3:$A$5001,"&lt;="&amp;$B181,BD!$Z$3:$Z$5001,"&lt;&gt;")=0,"",SUMIFS(BD!$Z$3:$Z$5001,BD!$B$3:$B$5001,F$175,BD!$A$3:$A$5001,_xlfn.MAXIFS(BD!$A$3:$A$5001,BD!$B$3:$B$5001,F$175,BD!$A$3:$A$5001,"&gt;="&amp;$C$7,BD!$A$3:$A$5001,"&lt;="&amp;$B181,BD!$Z$3:$Z$5001,"&lt;&gt;"))))</f>
        <v/>
      </c>
      <c r="G181" s="43" t="str">
        <f>IF(OR($B181="",$A181&gt;$B$9,G$175=""),"",IF(COUNTIFS(BD!$B$3:$B$5001,G$175,BD!$A$3:$A$5001,"&gt;="&amp;$C$7,BD!$A$3:$A$5001,"&lt;="&amp;$B181,BD!$Z$3:$Z$5001,"&lt;&gt;")=0,"",SUMIFS(BD!$Z$3:$Z$5001,BD!$B$3:$B$5001,G$175,BD!$A$3:$A$5001,_xlfn.MAXIFS(BD!$A$3:$A$5001,BD!$B$3:$B$5001,G$175,BD!$A$3:$A$5001,"&gt;="&amp;$C$7,BD!$A$3:$A$5001,"&lt;="&amp;$B181,BD!$Z$3:$Z$5001,"&lt;&gt;"))))</f>
        <v/>
      </c>
      <c r="H181" s="43" t="str">
        <f>IF(OR($B181="",$A181&gt;$B$9,H$175=""),"",IF(COUNTIFS(BD!$B$3:$B$5001,H$175,BD!$A$3:$A$5001,"&gt;="&amp;$C$7,BD!$A$3:$A$5001,"&lt;="&amp;$B181,BD!$Z$3:$Z$5001,"&lt;&gt;")=0,"",SUMIFS(BD!$Z$3:$Z$5001,BD!$B$3:$B$5001,H$175,BD!$A$3:$A$5001,_xlfn.MAXIFS(BD!$A$3:$A$5001,BD!$B$3:$B$5001,H$175,BD!$A$3:$A$5001,"&gt;="&amp;$C$7,BD!$A$3:$A$5001,"&lt;="&amp;$B181,BD!$Z$3:$Z$5001,"&lt;&gt;"))))</f>
        <v/>
      </c>
      <c r="I181" s="43" t="str">
        <f>IF(OR($B181="",$A181&gt;$B$9,I$175=""),"",IF(COUNTIFS(BD!$B$3:$B$5001,I$175,BD!$A$3:$A$5001,"&gt;="&amp;$C$7,BD!$A$3:$A$5001,"&lt;="&amp;$B181,BD!$Z$3:$Z$5001,"&lt;&gt;")=0,"",SUMIFS(BD!$Z$3:$Z$5001,BD!$B$3:$B$5001,I$175,BD!$A$3:$A$5001,_xlfn.MAXIFS(BD!$A$3:$A$5001,BD!$B$3:$B$5001,I$175,BD!$A$3:$A$5001,"&gt;="&amp;$C$7,BD!$A$3:$A$5001,"&lt;="&amp;$B181,BD!$Z$3:$Z$5001,"&lt;&gt;"))))</f>
        <v/>
      </c>
      <c r="J181" s="43" t="str">
        <f>IF(OR($B181="",$A181&gt;$B$9,J$175=""),"",IF(COUNTIFS(BD!$B$3:$B$5001,J$175,BD!$A$3:$A$5001,"&gt;="&amp;$C$7,BD!$A$3:$A$5001,"&lt;="&amp;$B181,BD!$Z$3:$Z$5001,"&lt;&gt;")=0,"",SUMIFS(BD!$Z$3:$Z$5001,BD!$B$3:$B$5001,J$175,BD!$A$3:$A$5001,_xlfn.MAXIFS(BD!$A$3:$A$5001,BD!$B$3:$B$5001,J$175,BD!$A$3:$A$5001,"&gt;="&amp;$C$7,BD!$A$3:$A$5001,"&lt;="&amp;$B181,BD!$Z$3:$Z$5001,"&lt;&gt;"))))</f>
        <v/>
      </c>
      <c r="K181" s="43" t="str">
        <f>IF(OR($B181="",$A181&gt;$B$9,K$175=""),"",IF(COUNTIFS(BD!$B$3:$B$5001,K$175,BD!$A$3:$A$5001,"&gt;="&amp;$C$7,BD!$A$3:$A$5001,"&lt;="&amp;$B181,BD!$Z$3:$Z$5001,"&lt;&gt;")=0,"",SUMIFS(BD!$Z$3:$Z$5001,BD!$B$3:$B$5001,K$175,BD!$A$3:$A$5001,_xlfn.MAXIFS(BD!$A$3:$A$5001,BD!$B$3:$B$5001,K$175,BD!$A$3:$A$5001,"&gt;="&amp;$C$7,BD!$A$3:$A$5001,"&lt;="&amp;$B181,BD!$Z$3:$Z$5001,"&lt;&gt;"))))</f>
        <v/>
      </c>
      <c r="L181" s="43" t="str">
        <f>IF(OR($B181="",$A181&gt;$B$9,L$175=""),"",IF(COUNTIFS(BD!$B$3:$B$5001,L$175,BD!$A$3:$A$5001,"&gt;="&amp;$C$7,BD!$A$3:$A$5001,"&lt;="&amp;$B181,BD!$Z$3:$Z$5001,"&lt;&gt;")=0,"",SUMIFS(BD!$Z$3:$Z$5001,BD!$B$3:$B$5001,L$175,BD!$A$3:$A$5001,_xlfn.MAXIFS(BD!$A$3:$A$5001,BD!$B$3:$B$5001,L$175,BD!$A$3:$A$5001,"&gt;="&amp;$C$7,BD!$A$3:$A$5001,"&lt;="&amp;$B181,BD!$Z$3:$Z$5001,"&lt;&gt;"))))</f>
        <v/>
      </c>
      <c r="M181" s="43" t="str">
        <f>IF(OR($B181="",$A181&gt;$B$9,M$175=""),"",IF(COUNTIFS(BD!$B$3:$B$5001,M$175,BD!$A$3:$A$5001,"&gt;="&amp;$C$7,BD!$A$3:$A$5001,"&lt;="&amp;$B181,BD!$Z$3:$Z$5001,"&lt;&gt;")=0,"",SUMIFS(BD!$Z$3:$Z$5001,BD!$B$3:$B$5001,M$175,BD!$A$3:$A$5001,_xlfn.MAXIFS(BD!$A$3:$A$5001,BD!$B$3:$B$5001,M$175,BD!$A$3:$A$5001,"&gt;="&amp;$C$7,BD!$A$3:$A$5001,"&lt;="&amp;$B181,BD!$Z$3:$Z$5001,"&lt;&gt;"))))</f>
        <v/>
      </c>
      <c r="N181" s="43" t="str">
        <f>IF(OR($B181="",$A181&gt;$B$9,N$175=""),"",IF(COUNTIFS(BD!$B$3:$B$5001,N$175,BD!$A$3:$A$5001,"&gt;="&amp;$C$7,BD!$A$3:$A$5001,"&lt;="&amp;$B181,BD!$Z$3:$Z$5001,"&lt;&gt;")=0,"",SUMIFS(BD!$Z$3:$Z$5001,BD!$B$3:$B$5001,N$175,BD!$A$3:$A$5001,_xlfn.MAXIFS(BD!$A$3:$A$5001,BD!$B$3:$B$5001,N$175,BD!$A$3:$A$5001,"&gt;="&amp;$C$7,BD!$A$3:$A$5001,"&lt;="&amp;$B181,BD!$Z$3:$Z$5001,"&lt;&gt;"))))</f>
        <v/>
      </c>
      <c r="O181" s="43" t="str">
        <f>IF(OR($B181="",$A181&gt;$B$9,O$175=""),"",IF(COUNTIFS(BD!$B$3:$B$5001,O$175,BD!$A$3:$A$5001,"&gt;="&amp;$C$7,BD!$A$3:$A$5001,"&lt;="&amp;$B181,BD!$Z$3:$Z$5001,"&lt;&gt;")=0,"",SUMIFS(BD!$Z$3:$Z$5001,BD!$B$3:$B$5001,O$175,BD!$A$3:$A$5001,_xlfn.MAXIFS(BD!$A$3:$A$5001,BD!$B$3:$B$5001,O$175,BD!$A$3:$A$5001,"&gt;="&amp;$C$7,BD!$A$3:$A$5001,"&lt;="&amp;$B181,BD!$Z$3:$Z$5001,"&lt;&gt;"))))</f>
        <v/>
      </c>
      <c r="P181" s="43" t="str">
        <f>IF(OR($B181="",$A181&gt;$B$9,P$175=""),"",IF(COUNTIFS(BD!$B$3:$B$5001,P$175,BD!$A$3:$A$5001,"&gt;="&amp;$C$7,BD!$A$3:$A$5001,"&lt;="&amp;$B181,BD!$Z$3:$Z$5001,"&lt;&gt;")=0,"",SUMIFS(BD!$Z$3:$Z$5001,BD!$B$3:$B$5001,P$175,BD!$A$3:$A$5001,_xlfn.MAXIFS(BD!$A$3:$A$5001,BD!$B$3:$B$5001,P$175,BD!$A$3:$A$5001,"&gt;="&amp;$C$7,BD!$A$3:$A$5001,"&lt;="&amp;$B181,BD!$Z$3:$Z$5001,"&lt;&gt;"))))</f>
        <v/>
      </c>
      <c r="Q181" s="43" t="str">
        <f>IF(OR($B181="",$A181&gt;$B$9,Q$175=""),"",IF(COUNTIFS(BD!$B$3:$B$5001,Q$175,BD!$A$3:$A$5001,"&gt;="&amp;$C$7,BD!$A$3:$A$5001,"&lt;="&amp;$B181,BD!$Z$3:$Z$5001,"&lt;&gt;")=0,"",SUMIFS(BD!$Z$3:$Z$5001,BD!$B$3:$B$5001,Q$175,BD!$A$3:$A$5001,_xlfn.MAXIFS(BD!$A$3:$A$5001,BD!$B$3:$B$5001,Q$175,BD!$A$3:$A$5001,"&gt;="&amp;$C$7,BD!$A$3:$A$5001,"&lt;="&amp;$B181,BD!$Z$3:$Z$5001,"&lt;&gt;"))))</f>
        <v/>
      </c>
      <c r="R181" s="43" t="str">
        <f>IF(OR($B181="",$A181&gt;$B$9,R$175=""),"",IF(COUNTIFS(BD!$B$3:$B$5001,R$175,BD!$A$3:$A$5001,"&gt;="&amp;$C$7,BD!$A$3:$A$5001,"&lt;="&amp;$B181,BD!$Z$3:$Z$5001,"&lt;&gt;")=0,"",SUMIFS(BD!$Z$3:$Z$5001,BD!$B$3:$B$5001,R$175,BD!$A$3:$A$5001,_xlfn.MAXIFS(BD!$A$3:$A$5001,BD!$B$3:$B$5001,R$175,BD!$A$3:$A$5001,"&gt;="&amp;$C$7,BD!$A$3:$A$5001,"&lt;="&amp;$B181,BD!$Z$3:$Z$5001,"&lt;&gt;"))))</f>
        <v/>
      </c>
      <c r="S181" s="43" t="str">
        <f>IF(OR($B181="",$A181&gt;$B$9,S$175=""),"",IF(COUNTIFS(BD!$B$3:$B$5001,S$175,BD!$A$3:$A$5001,"&gt;="&amp;$C$7,BD!$A$3:$A$5001,"&lt;="&amp;$B181,BD!$Z$3:$Z$5001,"&lt;&gt;")=0,"",SUMIFS(BD!$Z$3:$Z$5001,BD!$B$3:$B$5001,S$175,BD!$A$3:$A$5001,_xlfn.MAXIFS(BD!$A$3:$A$5001,BD!$B$3:$B$5001,S$175,BD!$A$3:$A$5001,"&gt;="&amp;$C$7,BD!$A$3:$A$5001,"&lt;="&amp;$B181,BD!$Z$3:$Z$5001,"&lt;&gt;"))))</f>
        <v/>
      </c>
      <c r="T181" s="43" t="str">
        <f>IF(OR($B181="",$A181&gt;$B$9,T$175=""),"",IF(COUNTIFS(BD!$B$3:$B$5001,T$175,BD!$A$3:$A$5001,"&gt;="&amp;$C$7,BD!$A$3:$A$5001,"&lt;="&amp;$B181,BD!$Z$3:$Z$5001,"&lt;&gt;")=0,"",SUMIFS(BD!$Z$3:$Z$5001,BD!$B$3:$B$5001,T$175,BD!$A$3:$A$5001,_xlfn.MAXIFS(BD!$A$3:$A$5001,BD!$B$3:$B$5001,T$175,BD!$A$3:$A$5001,"&gt;="&amp;$C$7,BD!$A$3:$A$5001,"&lt;="&amp;$B181,BD!$Z$3:$Z$5001,"&lt;&gt;"))))</f>
        <v/>
      </c>
      <c r="U181" s="43" t="str">
        <f>IF(OR($B181="",$A181&gt;$B$9,U$175=""),"",IF(COUNTIFS(BD!$B$3:$B$5001,U$175,BD!$A$3:$A$5001,"&gt;="&amp;$C$7,BD!$A$3:$A$5001,"&lt;="&amp;$B181,BD!$Z$3:$Z$5001,"&lt;&gt;")=0,"",SUMIFS(BD!$Z$3:$Z$5001,BD!$B$3:$B$5001,U$175,BD!$A$3:$A$5001,_xlfn.MAXIFS(BD!$A$3:$A$5001,BD!$B$3:$B$5001,U$175,BD!$A$3:$A$5001,"&gt;="&amp;$C$7,BD!$A$3:$A$5001,"&lt;="&amp;$B181,BD!$Z$3:$Z$5001,"&lt;&gt;"))))</f>
        <v/>
      </c>
      <c r="V181" s="43" t="str">
        <f>IF(OR($B181="",$A181&gt;$B$9,V$175=""),"",IF(COUNTIFS(BD!$B$3:$B$5001,V$175,BD!$A$3:$A$5001,"&gt;="&amp;$C$7,BD!$A$3:$A$5001,"&lt;="&amp;$B181,BD!$Z$3:$Z$5001,"&lt;&gt;")=0,"",SUMIFS(BD!$Z$3:$Z$5001,BD!$B$3:$B$5001,V$175,BD!$A$3:$A$5001,_xlfn.MAXIFS(BD!$A$3:$A$5001,BD!$B$3:$B$5001,V$175,BD!$A$3:$A$5001,"&gt;="&amp;$C$7,BD!$A$3:$A$5001,"&lt;="&amp;$B181,BD!$Z$3:$Z$5001,"&lt;&gt;"))))</f>
        <v/>
      </c>
    </row>
    <row r="182">
      <c r="A182" s="38">
        <v>7</v>
      </c>
      <c r="B182" s="42">
        <f>$B$18</f>
        <v>46302</v>
      </c>
      <c r="C182" s="43" t="str">
        <f>IF(OR($B182="",$A182&gt;$B$9,C$175=""),"",IF(COUNTIFS(BD!$B$3:$B$5001,C$175,BD!$A$3:$A$5001,"&gt;="&amp;$C$7,BD!$A$3:$A$5001,"&lt;="&amp;$B182,BD!$Z$3:$Z$5001,"&lt;&gt;")=0,"",SUMIFS(BD!$Z$3:$Z$5001,BD!$B$3:$B$5001,C$175,BD!$A$3:$A$5001,_xlfn.MAXIFS(BD!$A$3:$A$5001,BD!$B$3:$B$5001,C$175,BD!$A$3:$A$5001,"&gt;="&amp;$C$7,BD!$A$3:$A$5001,"&lt;="&amp;$B182,BD!$Z$3:$Z$5001,"&lt;&gt;"))))</f>
        <v/>
      </c>
      <c r="D182" s="43" t="str">
        <f>IF(OR($B182="",$A182&gt;$B$9,D$175=""),"",IF(COUNTIFS(BD!$B$3:$B$5001,D$175,BD!$A$3:$A$5001,"&gt;="&amp;$C$7,BD!$A$3:$A$5001,"&lt;="&amp;$B182,BD!$Z$3:$Z$5001,"&lt;&gt;")=0,"",SUMIFS(BD!$Z$3:$Z$5001,BD!$B$3:$B$5001,D$175,BD!$A$3:$A$5001,_xlfn.MAXIFS(BD!$A$3:$A$5001,BD!$B$3:$B$5001,D$175,BD!$A$3:$A$5001,"&gt;="&amp;$C$7,BD!$A$3:$A$5001,"&lt;="&amp;$B182,BD!$Z$3:$Z$5001,"&lt;&gt;"))))</f>
        <v/>
      </c>
      <c r="E182" s="43" t="str">
        <f>IF(OR($B182="",$A182&gt;$B$9,E$175=""),"",IF(COUNTIFS(BD!$B$3:$B$5001,E$175,BD!$A$3:$A$5001,"&gt;="&amp;$C$7,BD!$A$3:$A$5001,"&lt;="&amp;$B182,BD!$Z$3:$Z$5001,"&lt;&gt;")=0,"",SUMIFS(BD!$Z$3:$Z$5001,BD!$B$3:$B$5001,E$175,BD!$A$3:$A$5001,_xlfn.MAXIFS(BD!$A$3:$A$5001,BD!$B$3:$B$5001,E$175,BD!$A$3:$A$5001,"&gt;="&amp;$C$7,BD!$A$3:$A$5001,"&lt;="&amp;$B182,BD!$Z$3:$Z$5001,"&lt;&gt;"))))</f>
        <v/>
      </c>
      <c r="F182" s="43" t="str">
        <f>IF(OR($B182="",$A182&gt;$B$9,F$175=""),"",IF(COUNTIFS(BD!$B$3:$B$5001,F$175,BD!$A$3:$A$5001,"&gt;="&amp;$C$7,BD!$A$3:$A$5001,"&lt;="&amp;$B182,BD!$Z$3:$Z$5001,"&lt;&gt;")=0,"",SUMIFS(BD!$Z$3:$Z$5001,BD!$B$3:$B$5001,F$175,BD!$A$3:$A$5001,_xlfn.MAXIFS(BD!$A$3:$A$5001,BD!$B$3:$B$5001,F$175,BD!$A$3:$A$5001,"&gt;="&amp;$C$7,BD!$A$3:$A$5001,"&lt;="&amp;$B182,BD!$Z$3:$Z$5001,"&lt;&gt;"))))</f>
        <v/>
      </c>
      <c r="G182" s="43" t="str">
        <f>IF(OR($B182="",$A182&gt;$B$9,G$175=""),"",IF(COUNTIFS(BD!$B$3:$B$5001,G$175,BD!$A$3:$A$5001,"&gt;="&amp;$C$7,BD!$A$3:$A$5001,"&lt;="&amp;$B182,BD!$Z$3:$Z$5001,"&lt;&gt;")=0,"",SUMIFS(BD!$Z$3:$Z$5001,BD!$B$3:$B$5001,G$175,BD!$A$3:$A$5001,_xlfn.MAXIFS(BD!$A$3:$A$5001,BD!$B$3:$B$5001,G$175,BD!$A$3:$A$5001,"&gt;="&amp;$C$7,BD!$A$3:$A$5001,"&lt;="&amp;$B182,BD!$Z$3:$Z$5001,"&lt;&gt;"))))</f>
        <v/>
      </c>
      <c r="H182" s="43" t="str">
        <f>IF(OR($B182="",$A182&gt;$B$9,H$175=""),"",IF(COUNTIFS(BD!$B$3:$B$5001,H$175,BD!$A$3:$A$5001,"&gt;="&amp;$C$7,BD!$A$3:$A$5001,"&lt;="&amp;$B182,BD!$Z$3:$Z$5001,"&lt;&gt;")=0,"",SUMIFS(BD!$Z$3:$Z$5001,BD!$B$3:$B$5001,H$175,BD!$A$3:$A$5001,_xlfn.MAXIFS(BD!$A$3:$A$5001,BD!$B$3:$B$5001,H$175,BD!$A$3:$A$5001,"&gt;="&amp;$C$7,BD!$A$3:$A$5001,"&lt;="&amp;$B182,BD!$Z$3:$Z$5001,"&lt;&gt;"))))</f>
        <v/>
      </c>
      <c r="I182" s="43" t="str">
        <f>IF(OR($B182="",$A182&gt;$B$9,I$175=""),"",IF(COUNTIFS(BD!$B$3:$B$5001,I$175,BD!$A$3:$A$5001,"&gt;="&amp;$C$7,BD!$A$3:$A$5001,"&lt;="&amp;$B182,BD!$Z$3:$Z$5001,"&lt;&gt;")=0,"",SUMIFS(BD!$Z$3:$Z$5001,BD!$B$3:$B$5001,I$175,BD!$A$3:$A$5001,_xlfn.MAXIFS(BD!$A$3:$A$5001,BD!$B$3:$B$5001,I$175,BD!$A$3:$A$5001,"&gt;="&amp;$C$7,BD!$A$3:$A$5001,"&lt;="&amp;$B182,BD!$Z$3:$Z$5001,"&lt;&gt;"))))</f>
        <v/>
      </c>
      <c r="J182" s="43" t="str">
        <f>IF(OR($B182="",$A182&gt;$B$9,J$175=""),"",IF(COUNTIFS(BD!$B$3:$B$5001,J$175,BD!$A$3:$A$5001,"&gt;="&amp;$C$7,BD!$A$3:$A$5001,"&lt;="&amp;$B182,BD!$Z$3:$Z$5001,"&lt;&gt;")=0,"",SUMIFS(BD!$Z$3:$Z$5001,BD!$B$3:$B$5001,J$175,BD!$A$3:$A$5001,_xlfn.MAXIFS(BD!$A$3:$A$5001,BD!$B$3:$B$5001,J$175,BD!$A$3:$A$5001,"&gt;="&amp;$C$7,BD!$A$3:$A$5001,"&lt;="&amp;$B182,BD!$Z$3:$Z$5001,"&lt;&gt;"))))</f>
        <v/>
      </c>
      <c r="K182" s="43" t="str">
        <f>IF(OR($B182="",$A182&gt;$B$9,K$175=""),"",IF(COUNTIFS(BD!$B$3:$B$5001,K$175,BD!$A$3:$A$5001,"&gt;="&amp;$C$7,BD!$A$3:$A$5001,"&lt;="&amp;$B182,BD!$Z$3:$Z$5001,"&lt;&gt;")=0,"",SUMIFS(BD!$Z$3:$Z$5001,BD!$B$3:$B$5001,K$175,BD!$A$3:$A$5001,_xlfn.MAXIFS(BD!$A$3:$A$5001,BD!$B$3:$B$5001,K$175,BD!$A$3:$A$5001,"&gt;="&amp;$C$7,BD!$A$3:$A$5001,"&lt;="&amp;$B182,BD!$Z$3:$Z$5001,"&lt;&gt;"))))</f>
        <v/>
      </c>
      <c r="L182" s="43" t="str">
        <f>IF(OR($B182="",$A182&gt;$B$9,L$175=""),"",IF(COUNTIFS(BD!$B$3:$B$5001,L$175,BD!$A$3:$A$5001,"&gt;="&amp;$C$7,BD!$A$3:$A$5001,"&lt;="&amp;$B182,BD!$Z$3:$Z$5001,"&lt;&gt;")=0,"",SUMIFS(BD!$Z$3:$Z$5001,BD!$B$3:$B$5001,L$175,BD!$A$3:$A$5001,_xlfn.MAXIFS(BD!$A$3:$A$5001,BD!$B$3:$B$5001,L$175,BD!$A$3:$A$5001,"&gt;="&amp;$C$7,BD!$A$3:$A$5001,"&lt;="&amp;$B182,BD!$Z$3:$Z$5001,"&lt;&gt;"))))</f>
        <v/>
      </c>
      <c r="M182" s="43" t="str">
        <f>IF(OR($B182="",$A182&gt;$B$9,M$175=""),"",IF(COUNTIFS(BD!$B$3:$B$5001,M$175,BD!$A$3:$A$5001,"&gt;="&amp;$C$7,BD!$A$3:$A$5001,"&lt;="&amp;$B182,BD!$Z$3:$Z$5001,"&lt;&gt;")=0,"",SUMIFS(BD!$Z$3:$Z$5001,BD!$B$3:$B$5001,M$175,BD!$A$3:$A$5001,_xlfn.MAXIFS(BD!$A$3:$A$5001,BD!$B$3:$B$5001,M$175,BD!$A$3:$A$5001,"&gt;="&amp;$C$7,BD!$A$3:$A$5001,"&lt;="&amp;$B182,BD!$Z$3:$Z$5001,"&lt;&gt;"))))</f>
        <v/>
      </c>
      <c r="N182" s="43" t="str">
        <f>IF(OR($B182="",$A182&gt;$B$9,N$175=""),"",IF(COUNTIFS(BD!$B$3:$B$5001,N$175,BD!$A$3:$A$5001,"&gt;="&amp;$C$7,BD!$A$3:$A$5001,"&lt;="&amp;$B182,BD!$Z$3:$Z$5001,"&lt;&gt;")=0,"",SUMIFS(BD!$Z$3:$Z$5001,BD!$B$3:$B$5001,N$175,BD!$A$3:$A$5001,_xlfn.MAXIFS(BD!$A$3:$A$5001,BD!$B$3:$B$5001,N$175,BD!$A$3:$A$5001,"&gt;="&amp;$C$7,BD!$A$3:$A$5001,"&lt;="&amp;$B182,BD!$Z$3:$Z$5001,"&lt;&gt;"))))</f>
        <v/>
      </c>
      <c r="O182" s="43" t="str">
        <f>IF(OR($B182="",$A182&gt;$B$9,O$175=""),"",IF(COUNTIFS(BD!$B$3:$B$5001,O$175,BD!$A$3:$A$5001,"&gt;="&amp;$C$7,BD!$A$3:$A$5001,"&lt;="&amp;$B182,BD!$Z$3:$Z$5001,"&lt;&gt;")=0,"",SUMIFS(BD!$Z$3:$Z$5001,BD!$B$3:$B$5001,O$175,BD!$A$3:$A$5001,_xlfn.MAXIFS(BD!$A$3:$A$5001,BD!$B$3:$B$5001,O$175,BD!$A$3:$A$5001,"&gt;="&amp;$C$7,BD!$A$3:$A$5001,"&lt;="&amp;$B182,BD!$Z$3:$Z$5001,"&lt;&gt;"))))</f>
        <v/>
      </c>
      <c r="P182" s="43" t="str">
        <f>IF(OR($B182="",$A182&gt;$B$9,P$175=""),"",IF(COUNTIFS(BD!$B$3:$B$5001,P$175,BD!$A$3:$A$5001,"&gt;="&amp;$C$7,BD!$A$3:$A$5001,"&lt;="&amp;$B182,BD!$Z$3:$Z$5001,"&lt;&gt;")=0,"",SUMIFS(BD!$Z$3:$Z$5001,BD!$B$3:$B$5001,P$175,BD!$A$3:$A$5001,_xlfn.MAXIFS(BD!$A$3:$A$5001,BD!$B$3:$B$5001,P$175,BD!$A$3:$A$5001,"&gt;="&amp;$C$7,BD!$A$3:$A$5001,"&lt;="&amp;$B182,BD!$Z$3:$Z$5001,"&lt;&gt;"))))</f>
        <v/>
      </c>
      <c r="Q182" s="43" t="str">
        <f>IF(OR($B182="",$A182&gt;$B$9,Q$175=""),"",IF(COUNTIFS(BD!$B$3:$B$5001,Q$175,BD!$A$3:$A$5001,"&gt;="&amp;$C$7,BD!$A$3:$A$5001,"&lt;="&amp;$B182,BD!$Z$3:$Z$5001,"&lt;&gt;")=0,"",SUMIFS(BD!$Z$3:$Z$5001,BD!$B$3:$B$5001,Q$175,BD!$A$3:$A$5001,_xlfn.MAXIFS(BD!$A$3:$A$5001,BD!$B$3:$B$5001,Q$175,BD!$A$3:$A$5001,"&gt;="&amp;$C$7,BD!$A$3:$A$5001,"&lt;="&amp;$B182,BD!$Z$3:$Z$5001,"&lt;&gt;"))))</f>
        <v/>
      </c>
      <c r="R182" s="43" t="str">
        <f>IF(OR($B182="",$A182&gt;$B$9,R$175=""),"",IF(COUNTIFS(BD!$B$3:$B$5001,R$175,BD!$A$3:$A$5001,"&gt;="&amp;$C$7,BD!$A$3:$A$5001,"&lt;="&amp;$B182,BD!$Z$3:$Z$5001,"&lt;&gt;")=0,"",SUMIFS(BD!$Z$3:$Z$5001,BD!$B$3:$B$5001,R$175,BD!$A$3:$A$5001,_xlfn.MAXIFS(BD!$A$3:$A$5001,BD!$B$3:$B$5001,R$175,BD!$A$3:$A$5001,"&gt;="&amp;$C$7,BD!$A$3:$A$5001,"&lt;="&amp;$B182,BD!$Z$3:$Z$5001,"&lt;&gt;"))))</f>
        <v/>
      </c>
      <c r="S182" s="43" t="str">
        <f>IF(OR($B182="",$A182&gt;$B$9,S$175=""),"",IF(COUNTIFS(BD!$B$3:$B$5001,S$175,BD!$A$3:$A$5001,"&gt;="&amp;$C$7,BD!$A$3:$A$5001,"&lt;="&amp;$B182,BD!$Z$3:$Z$5001,"&lt;&gt;")=0,"",SUMIFS(BD!$Z$3:$Z$5001,BD!$B$3:$B$5001,S$175,BD!$A$3:$A$5001,_xlfn.MAXIFS(BD!$A$3:$A$5001,BD!$B$3:$B$5001,S$175,BD!$A$3:$A$5001,"&gt;="&amp;$C$7,BD!$A$3:$A$5001,"&lt;="&amp;$B182,BD!$Z$3:$Z$5001,"&lt;&gt;"))))</f>
        <v/>
      </c>
      <c r="T182" s="43" t="str">
        <f>IF(OR($B182="",$A182&gt;$B$9,T$175=""),"",IF(COUNTIFS(BD!$B$3:$B$5001,T$175,BD!$A$3:$A$5001,"&gt;="&amp;$C$7,BD!$A$3:$A$5001,"&lt;="&amp;$B182,BD!$Z$3:$Z$5001,"&lt;&gt;")=0,"",SUMIFS(BD!$Z$3:$Z$5001,BD!$B$3:$B$5001,T$175,BD!$A$3:$A$5001,_xlfn.MAXIFS(BD!$A$3:$A$5001,BD!$B$3:$B$5001,T$175,BD!$A$3:$A$5001,"&gt;="&amp;$C$7,BD!$A$3:$A$5001,"&lt;="&amp;$B182,BD!$Z$3:$Z$5001,"&lt;&gt;"))))</f>
        <v/>
      </c>
      <c r="U182" s="43" t="str">
        <f>IF(OR($B182="",$A182&gt;$B$9,U$175=""),"",IF(COUNTIFS(BD!$B$3:$B$5001,U$175,BD!$A$3:$A$5001,"&gt;="&amp;$C$7,BD!$A$3:$A$5001,"&lt;="&amp;$B182,BD!$Z$3:$Z$5001,"&lt;&gt;")=0,"",SUMIFS(BD!$Z$3:$Z$5001,BD!$B$3:$B$5001,U$175,BD!$A$3:$A$5001,_xlfn.MAXIFS(BD!$A$3:$A$5001,BD!$B$3:$B$5001,U$175,BD!$A$3:$A$5001,"&gt;="&amp;$C$7,BD!$A$3:$A$5001,"&lt;="&amp;$B182,BD!$Z$3:$Z$5001,"&lt;&gt;"))))</f>
        <v/>
      </c>
      <c r="V182" s="43" t="str">
        <f>IF(OR($B182="",$A182&gt;$B$9,V$175=""),"",IF(COUNTIFS(BD!$B$3:$B$5001,V$175,BD!$A$3:$A$5001,"&gt;="&amp;$C$7,BD!$A$3:$A$5001,"&lt;="&amp;$B182,BD!$Z$3:$Z$5001,"&lt;&gt;")=0,"",SUMIFS(BD!$Z$3:$Z$5001,BD!$B$3:$B$5001,V$175,BD!$A$3:$A$5001,_xlfn.MAXIFS(BD!$A$3:$A$5001,BD!$B$3:$B$5001,V$175,BD!$A$3:$A$5001,"&gt;="&amp;$C$7,BD!$A$3:$A$5001,"&lt;="&amp;$B182,BD!$Z$3:$Z$5001,"&lt;&gt;"))))</f>
        <v/>
      </c>
    </row>
    <row r="183">
      <c r="A183" s="38">
        <v>8</v>
      </c>
      <c r="B183" s="42">
        <f>$B$19</f>
        <v>46303</v>
      </c>
      <c r="C183" s="43" t="str">
        <f>IF(OR($B183="",$A183&gt;$B$9,C$175=""),"",IF(COUNTIFS(BD!$B$3:$B$5001,C$175,BD!$A$3:$A$5001,"&gt;="&amp;$C$7,BD!$A$3:$A$5001,"&lt;="&amp;$B183,BD!$Z$3:$Z$5001,"&lt;&gt;")=0,"",SUMIFS(BD!$Z$3:$Z$5001,BD!$B$3:$B$5001,C$175,BD!$A$3:$A$5001,_xlfn.MAXIFS(BD!$A$3:$A$5001,BD!$B$3:$B$5001,C$175,BD!$A$3:$A$5001,"&gt;="&amp;$C$7,BD!$A$3:$A$5001,"&lt;="&amp;$B183,BD!$Z$3:$Z$5001,"&lt;&gt;"))))</f>
        <v/>
      </c>
      <c r="D183" s="43" t="str">
        <f>IF(OR($B183="",$A183&gt;$B$9,D$175=""),"",IF(COUNTIFS(BD!$B$3:$B$5001,D$175,BD!$A$3:$A$5001,"&gt;="&amp;$C$7,BD!$A$3:$A$5001,"&lt;="&amp;$B183,BD!$Z$3:$Z$5001,"&lt;&gt;")=0,"",SUMIFS(BD!$Z$3:$Z$5001,BD!$B$3:$B$5001,D$175,BD!$A$3:$A$5001,_xlfn.MAXIFS(BD!$A$3:$A$5001,BD!$B$3:$B$5001,D$175,BD!$A$3:$A$5001,"&gt;="&amp;$C$7,BD!$A$3:$A$5001,"&lt;="&amp;$B183,BD!$Z$3:$Z$5001,"&lt;&gt;"))))</f>
        <v/>
      </c>
      <c r="E183" s="43" t="str">
        <f>IF(OR($B183="",$A183&gt;$B$9,E$175=""),"",IF(COUNTIFS(BD!$B$3:$B$5001,E$175,BD!$A$3:$A$5001,"&gt;="&amp;$C$7,BD!$A$3:$A$5001,"&lt;="&amp;$B183,BD!$Z$3:$Z$5001,"&lt;&gt;")=0,"",SUMIFS(BD!$Z$3:$Z$5001,BD!$B$3:$B$5001,E$175,BD!$A$3:$A$5001,_xlfn.MAXIFS(BD!$A$3:$A$5001,BD!$B$3:$B$5001,E$175,BD!$A$3:$A$5001,"&gt;="&amp;$C$7,BD!$A$3:$A$5001,"&lt;="&amp;$B183,BD!$Z$3:$Z$5001,"&lt;&gt;"))))</f>
        <v/>
      </c>
      <c r="F183" s="43" t="str">
        <f>IF(OR($B183="",$A183&gt;$B$9,F$175=""),"",IF(COUNTIFS(BD!$B$3:$B$5001,F$175,BD!$A$3:$A$5001,"&gt;="&amp;$C$7,BD!$A$3:$A$5001,"&lt;="&amp;$B183,BD!$Z$3:$Z$5001,"&lt;&gt;")=0,"",SUMIFS(BD!$Z$3:$Z$5001,BD!$B$3:$B$5001,F$175,BD!$A$3:$A$5001,_xlfn.MAXIFS(BD!$A$3:$A$5001,BD!$B$3:$B$5001,F$175,BD!$A$3:$A$5001,"&gt;="&amp;$C$7,BD!$A$3:$A$5001,"&lt;="&amp;$B183,BD!$Z$3:$Z$5001,"&lt;&gt;"))))</f>
        <v/>
      </c>
      <c r="G183" s="43" t="str">
        <f>IF(OR($B183="",$A183&gt;$B$9,G$175=""),"",IF(COUNTIFS(BD!$B$3:$B$5001,G$175,BD!$A$3:$A$5001,"&gt;="&amp;$C$7,BD!$A$3:$A$5001,"&lt;="&amp;$B183,BD!$Z$3:$Z$5001,"&lt;&gt;")=0,"",SUMIFS(BD!$Z$3:$Z$5001,BD!$B$3:$B$5001,G$175,BD!$A$3:$A$5001,_xlfn.MAXIFS(BD!$A$3:$A$5001,BD!$B$3:$B$5001,G$175,BD!$A$3:$A$5001,"&gt;="&amp;$C$7,BD!$A$3:$A$5001,"&lt;="&amp;$B183,BD!$Z$3:$Z$5001,"&lt;&gt;"))))</f>
        <v/>
      </c>
      <c r="H183" s="43" t="str">
        <f>IF(OR($B183="",$A183&gt;$B$9,H$175=""),"",IF(COUNTIFS(BD!$B$3:$B$5001,H$175,BD!$A$3:$A$5001,"&gt;="&amp;$C$7,BD!$A$3:$A$5001,"&lt;="&amp;$B183,BD!$Z$3:$Z$5001,"&lt;&gt;")=0,"",SUMIFS(BD!$Z$3:$Z$5001,BD!$B$3:$B$5001,H$175,BD!$A$3:$A$5001,_xlfn.MAXIFS(BD!$A$3:$A$5001,BD!$B$3:$B$5001,H$175,BD!$A$3:$A$5001,"&gt;="&amp;$C$7,BD!$A$3:$A$5001,"&lt;="&amp;$B183,BD!$Z$3:$Z$5001,"&lt;&gt;"))))</f>
        <v/>
      </c>
      <c r="I183" s="43" t="str">
        <f>IF(OR($B183="",$A183&gt;$B$9,I$175=""),"",IF(COUNTIFS(BD!$B$3:$B$5001,I$175,BD!$A$3:$A$5001,"&gt;="&amp;$C$7,BD!$A$3:$A$5001,"&lt;="&amp;$B183,BD!$Z$3:$Z$5001,"&lt;&gt;")=0,"",SUMIFS(BD!$Z$3:$Z$5001,BD!$B$3:$B$5001,I$175,BD!$A$3:$A$5001,_xlfn.MAXIFS(BD!$A$3:$A$5001,BD!$B$3:$B$5001,I$175,BD!$A$3:$A$5001,"&gt;="&amp;$C$7,BD!$A$3:$A$5001,"&lt;="&amp;$B183,BD!$Z$3:$Z$5001,"&lt;&gt;"))))</f>
        <v/>
      </c>
      <c r="J183" s="43" t="str">
        <f>IF(OR($B183="",$A183&gt;$B$9,J$175=""),"",IF(COUNTIFS(BD!$B$3:$B$5001,J$175,BD!$A$3:$A$5001,"&gt;="&amp;$C$7,BD!$A$3:$A$5001,"&lt;="&amp;$B183,BD!$Z$3:$Z$5001,"&lt;&gt;")=0,"",SUMIFS(BD!$Z$3:$Z$5001,BD!$B$3:$B$5001,J$175,BD!$A$3:$A$5001,_xlfn.MAXIFS(BD!$A$3:$A$5001,BD!$B$3:$B$5001,J$175,BD!$A$3:$A$5001,"&gt;="&amp;$C$7,BD!$A$3:$A$5001,"&lt;="&amp;$B183,BD!$Z$3:$Z$5001,"&lt;&gt;"))))</f>
        <v/>
      </c>
      <c r="K183" s="43" t="str">
        <f>IF(OR($B183="",$A183&gt;$B$9,K$175=""),"",IF(COUNTIFS(BD!$B$3:$B$5001,K$175,BD!$A$3:$A$5001,"&gt;="&amp;$C$7,BD!$A$3:$A$5001,"&lt;="&amp;$B183,BD!$Z$3:$Z$5001,"&lt;&gt;")=0,"",SUMIFS(BD!$Z$3:$Z$5001,BD!$B$3:$B$5001,K$175,BD!$A$3:$A$5001,_xlfn.MAXIFS(BD!$A$3:$A$5001,BD!$B$3:$B$5001,K$175,BD!$A$3:$A$5001,"&gt;="&amp;$C$7,BD!$A$3:$A$5001,"&lt;="&amp;$B183,BD!$Z$3:$Z$5001,"&lt;&gt;"))))</f>
        <v/>
      </c>
      <c r="L183" s="43" t="str">
        <f>IF(OR($B183="",$A183&gt;$B$9,L$175=""),"",IF(COUNTIFS(BD!$B$3:$B$5001,L$175,BD!$A$3:$A$5001,"&gt;="&amp;$C$7,BD!$A$3:$A$5001,"&lt;="&amp;$B183,BD!$Z$3:$Z$5001,"&lt;&gt;")=0,"",SUMIFS(BD!$Z$3:$Z$5001,BD!$B$3:$B$5001,L$175,BD!$A$3:$A$5001,_xlfn.MAXIFS(BD!$A$3:$A$5001,BD!$B$3:$B$5001,L$175,BD!$A$3:$A$5001,"&gt;="&amp;$C$7,BD!$A$3:$A$5001,"&lt;="&amp;$B183,BD!$Z$3:$Z$5001,"&lt;&gt;"))))</f>
        <v/>
      </c>
      <c r="M183" s="43" t="str">
        <f>IF(OR($B183="",$A183&gt;$B$9,M$175=""),"",IF(COUNTIFS(BD!$B$3:$B$5001,M$175,BD!$A$3:$A$5001,"&gt;="&amp;$C$7,BD!$A$3:$A$5001,"&lt;="&amp;$B183,BD!$Z$3:$Z$5001,"&lt;&gt;")=0,"",SUMIFS(BD!$Z$3:$Z$5001,BD!$B$3:$B$5001,M$175,BD!$A$3:$A$5001,_xlfn.MAXIFS(BD!$A$3:$A$5001,BD!$B$3:$B$5001,M$175,BD!$A$3:$A$5001,"&gt;="&amp;$C$7,BD!$A$3:$A$5001,"&lt;="&amp;$B183,BD!$Z$3:$Z$5001,"&lt;&gt;"))))</f>
        <v/>
      </c>
      <c r="N183" s="43" t="str">
        <f>IF(OR($B183="",$A183&gt;$B$9,N$175=""),"",IF(COUNTIFS(BD!$B$3:$B$5001,N$175,BD!$A$3:$A$5001,"&gt;="&amp;$C$7,BD!$A$3:$A$5001,"&lt;="&amp;$B183,BD!$Z$3:$Z$5001,"&lt;&gt;")=0,"",SUMIFS(BD!$Z$3:$Z$5001,BD!$B$3:$B$5001,N$175,BD!$A$3:$A$5001,_xlfn.MAXIFS(BD!$A$3:$A$5001,BD!$B$3:$B$5001,N$175,BD!$A$3:$A$5001,"&gt;="&amp;$C$7,BD!$A$3:$A$5001,"&lt;="&amp;$B183,BD!$Z$3:$Z$5001,"&lt;&gt;"))))</f>
        <v/>
      </c>
      <c r="O183" s="43" t="str">
        <f>IF(OR($B183="",$A183&gt;$B$9,O$175=""),"",IF(COUNTIFS(BD!$B$3:$B$5001,O$175,BD!$A$3:$A$5001,"&gt;="&amp;$C$7,BD!$A$3:$A$5001,"&lt;="&amp;$B183,BD!$Z$3:$Z$5001,"&lt;&gt;")=0,"",SUMIFS(BD!$Z$3:$Z$5001,BD!$B$3:$B$5001,O$175,BD!$A$3:$A$5001,_xlfn.MAXIFS(BD!$A$3:$A$5001,BD!$B$3:$B$5001,O$175,BD!$A$3:$A$5001,"&gt;="&amp;$C$7,BD!$A$3:$A$5001,"&lt;="&amp;$B183,BD!$Z$3:$Z$5001,"&lt;&gt;"))))</f>
        <v/>
      </c>
      <c r="P183" s="43" t="str">
        <f>IF(OR($B183="",$A183&gt;$B$9,P$175=""),"",IF(COUNTIFS(BD!$B$3:$B$5001,P$175,BD!$A$3:$A$5001,"&gt;="&amp;$C$7,BD!$A$3:$A$5001,"&lt;="&amp;$B183,BD!$Z$3:$Z$5001,"&lt;&gt;")=0,"",SUMIFS(BD!$Z$3:$Z$5001,BD!$B$3:$B$5001,P$175,BD!$A$3:$A$5001,_xlfn.MAXIFS(BD!$A$3:$A$5001,BD!$B$3:$B$5001,P$175,BD!$A$3:$A$5001,"&gt;="&amp;$C$7,BD!$A$3:$A$5001,"&lt;="&amp;$B183,BD!$Z$3:$Z$5001,"&lt;&gt;"))))</f>
        <v/>
      </c>
      <c r="Q183" s="43" t="str">
        <f>IF(OR($B183="",$A183&gt;$B$9,Q$175=""),"",IF(COUNTIFS(BD!$B$3:$B$5001,Q$175,BD!$A$3:$A$5001,"&gt;="&amp;$C$7,BD!$A$3:$A$5001,"&lt;="&amp;$B183,BD!$Z$3:$Z$5001,"&lt;&gt;")=0,"",SUMIFS(BD!$Z$3:$Z$5001,BD!$B$3:$B$5001,Q$175,BD!$A$3:$A$5001,_xlfn.MAXIFS(BD!$A$3:$A$5001,BD!$B$3:$B$5001,Q$175,BD!$A$3:$A$5001,"&gt;="&amp;$C$7,BD!$A$3:$A$5001,"&lt;="&amp;$B183,BD!$Z$3:$Z$5001,"&lt;&gt;"))))</f>
        <v/>
      </c>
      <c r="R183" s="43" t="str">
        <f>IF(OR($B183="",$A183&gt;$B$9,R$175=""),"",IF(COUNTIFS(BD!$B$3:$B$5001,R$175,BD!$A$3:$A$5001,"&gt;="&amp;$C$7,BD!$A$3:$A$5001,"&lt;="&amp;$B183,BD!$Z$3:$Z$5001,"&lt;&gt;")=0,"",SUMIFS(BD!$Z$3:$Z$5001,BD!$B$3:$B$5001,R$175,BD!$A$3:$A$5001,_xlfn.MAXIFS(BD!$A$3:$A$5001,BD!$B$3:$B$5001,R$175,BD!$A$3:$A$5001,"&gt;="&amp;$C$7,BD!$A$3:$A$5001,"&lt;="&amp;$B183,BD!$Z$3:$Z$5001,"&lt;&gt;"))))</f>
        <v/>
      </c>
      <c r="S183" s="43" t="str">
        <f>IF(OR($B183="",$A183&gt;$B$9,S$175=""),"",IF(COUNTIFS(BD!$B$3:$B$5001,S$175,BD!$A$3:$A$5001,"&gt;="&amp;$C$7,BD!$A$3:$A$5001,"&lt;="&amp;$B183,BD!$Z$3:$Z$5001,"&lt;&gt;")=0,"",SUMIFS(BD!$Z$3:$Z$5001,BD!$B$3:$B$5001,S$175,BD!$A$3:$A$5001,_xlfn.MAXIFS(BD!$A$3:$A$5001,BD!$B$3:$B$5001,S$175,BD!$A$3:$A$5001,"&gt;="&amp;$C$7,BD!$A$3:$A$5001,"&lt;="&amp;$B183,BD!$Z$3:$Z$5001,"&lt;&gt;"))))</f>
        <v/>
      </c>
      <c r="T183" s="43" t="str">
        <f>IF(OR($B183="",$A183&gt;$B$9,T$175=""),"",IF(COUNTIFS(BD!$B$3:$B$5001,T$175,BD!$A$3:$A$5001,"&gt;="&amp;$C$7,BD!$A$3:$A$5001,"&lt;="&amp;$B183,BD!$Z$3:$Z$5001,"&lt;&gt;")=0,"",SUMIFS(BD!$Z$3:$Z$5001,BD!$B$3:$B$5001,T$175,BD!$A$3:$A$5001,_xlfn.MAXIFS(BD!$A$3:$A$5001,BD!$B$3:$B$5001,T$175,BD!$A$3:$A$5001,"&gt;="&amp;$C$7,BD!$A$3:$A$5001,"&lt;="&amp;$B183,BD!$Z$3:$Z$5001,"&lt;&gt;"))))</f>
        <v/>
      </c>
      <c r="U183" s="43" t="str">
        <f>IF(OR($B183="",$A183&gt;$B$9,U$175=""),"",IF(COUNTIFS(BD!$B$3:$B$5001,U$175,BD!$A$3:$A$5001,"&gt;="&amp;$C$7,BD!$A$3:$A$5001,"&lt;="&amp;$B183,BD!$Z$3:$Z$5001,"&lt;&gt;")=0,"",SUMIFS(BD!$Z$3:$Z$5001,BD!$B$3:$B$5001,U$175,BD!$A$3:$A$5001,_xlfn.MAXIFS(BD!$A$3:$A$5001,BD!$B$3:$B$5001,U$175,BD!$A$3:$A$5001,"&gt;="&amp;$C$7,BD!$A$3:$A$5001,"&lt;="&amp;$B183,BD!$Z$3:$Z$5001,"&lt;&gt;"))))</f>
        <v/>
      </c>
      <c r="V183" s="43" t="str">
        <f>IF(OR($B183="",$A183&gt;$B$9,V$175=""),"",IF(COUNTIFS(BD!$B$3:$B$5001,V$175,BD!$A$3:$A$5001,"&gt;="&amp;$C$7,BD!$A$3:$A$5001,"&lt;="&amp;$B183,BD!$Z$3:$Z$5001,"&lt;&gt;")=0,"",SUMIFS(BD!$Z$3:$Z$5001,BD!$B$3:$B$5001,V$175,BD!$A$3:$A$5001,_xlfn.MAXIFS(BD!$A$3:$A$5001,BD!$B$3:$B$5001,V$175,BD!$A$3:$A$5001,"&gt;="&amp;$C$7,BD!$A$3:$A$5001,"&lt;="&amp;$B183,BD!$Z$3:$Z$5001,"&lt;&gt;"))))</f>
        <v/>
      </c>
    </row>
    <row r="184">
      <c r="A184" s="38">
        <v>9</v>
      </c>
      <c r="B184" s="42">
        <f>$B$20</f>
        <v>46304</v>
      </c>
      <c r="C184" s="43" t="str">
        <f>IF(OR($B184="",$A184&gt;$B$9,C$175=""),"",IF(COUNTIFS(BD!$B$3:$B$5001,C$175,BD!$A$3:$A$5001,"&gt;="&amp;$C$7,BD!$A$3:$A$5001,"&lt;="&amp;$B184,BD!$Z$3:$Z$5001,"&lt;&gt;")=0,"",SUMIFS(BD!$Z$3:$Z$5001,BD!$B$3:$B$5001,C$175,BD!$A$3:$A$5001,_xlfn.MAXIFS(BD!$A$3:$A$5001,BD!$B$3:$B$5001,C$175,BD!$A$3:$A$5001,"&gt;="&amp;$C$7,BD!$A$3:$A$5001,"&lt;="&amp;$B184,BD!$Z$3:$Z$5001,"&lt;&gt;"))))</f>
        <v/>
      </c>
      <c r="D184" s="43" t="str">
        <f>IF(OR($B184="",$A184&gt;$B$9,D$175=""),"",IF(COUNTIFS(BD!$B$3:$B$5001,D$175,BD!$A$3:$A$5001,"&gt;="&amp;$C$7,BD!$A$3:$A$5001,"&lt;="&amp;$B184,BD!$Z$3:$Z$5001,"&lt;&gt;")=0,"",SUMIFS(BD!$Z$3:$Z$5001,BD!$B$3:$B$5001,D$175,BD!$A$3:$A$5001,_xlfn.MAXIFS(BD!$A$3:$A$5001,BD!$B$3:$B$5001,D$175,BD!$A$3:$A$5001,"&gt;="&amp;$C$7,BD!$A$3:$A$5001,"&lt;="&amp;$B184,BD!$Z$3:$Z$5001,"&lt;&gt;"))))</f>
        <v/>
      </c>
      <c r="E184" s="43" t="str">
        <f>IF(OR($B184="",$A184&gt;$B$9,E$175=""),"",IF(COUNTIFS(BD!$B$3:$B$5001,E$175,BD!$A$3:$A$5001,"&gt;="&amp;$C$7,BD!$A$3:$A$5001,"&lt;="&amp;$B184,BD!$Z$3:$Z$5001,"&lt;&gt;")=0,"",SUMIFS(BD!$Z$3:$Z$5001,BD!$B$3:$B$5001,E$175,BD!$A$3:$A$5001,_xlfn.MAXIFS(BD!$A$3:$A$5001,BD!$B$3:$B$5001,E$175,BD!$A$3:$A$5001,"&gt;="&amp;$C$7,BD!$A$3:$A$5001,"&lt;="&amp;$B184,BD!$Z$3:$Z$5001,"&lt;&gt;"))))</f>
        <v/>
      </c>
      <c r="F184" s="43" t="str">
        <f>IF(OR($B184="",$A184&gt;$B$9,F$175=""),"",IF(COUNTIFS(BD!$B$3:$B$5001,F$175,BD!$A$3:$A$5001,"&gt;="&amp;$C$7,BD!$A$3:$A$5001,"&lt;="&amp;$B184,BD!$Z$3:$Z$5001,"&lt;&gt;")=0,"",SUMIFS(BD!$Z$3:$Z$5001,BD!$B$3:$B$5001,F$175,BD!$A$3:$A$5001,_xlfn.MAXIFS(BD!$A$3:$A$5001,BD!$B$3:$B$5001,F$175,BD!$A$3:$A$5001,"&gt;="&amp;$C$7,BD!$A$3:$A$5001,"&lt;="&amp;$B184,BD!$Z$3:$Z$5001,"&lt;&gt;"))))</f>
        <v/>
      </c>
      <c r="G184" s="43" t="str">
        <f>IF(OR($B184="",$A184&gt;$B$9,G$175=""),"",IF(COUNTIFS(BD!$B$3:$B$5001,G$175,BD!$A$3:$A$5001,"&gt;="&amp;$C$7,BD!$A$3:$A$5001,"&lt;="&amp;$B184,BD!$Z$3:$Z$5001,"&lt;&gt;")=0,"",SUMIFS(BD!$Z$3:$Z$5001,BD!$B$3:$B$5001,G$175,BD!$A$3:$A$5001,_xlfn.MAXIFS(BD!$A$3:$A$5001,BD!$B$3:$B$5001,G$175,BD!$A$3:$A$5001,"&gt;="&amp;$C$7,BD!$A$3:$A$5001,"&lt;="&amp;$B184,BD!$Z$3:$Z$5001,"&lt;&gt;"))))</f>
        <v/>
      </c>
      <c r="H184" s="43" t="str">
        <f>IF(OR($B184="",$A184&gt;$B$9,H$175=""),"",IF(COUNTIFS(BD!$B$3:$B$5001,H$175,BD!$A$3:$A$5001,"&gt;="&amp;$C$7,BD!$A$3:$A$5001,"&lt;="&amp;$B184,BD!$Z$3:$Z$5001,"&lt;&gt;")=0,"",SUMIFS(BD!$Z$3:$Z$5001,BD!$B$3:$B$5001,H$175,BD!$A$3:$A$5001,_xlfn.MAXIFS(BD!$A$3:$A$5001,BD!$B$3:$B$5001,H$175,BD!$A$3:$A$5001,"&gt;="&amp;$C$7,BD!$A$3:$A$5001,"&lt;="&amp;$B184,BD!$Z$3:$Z$5001,"&lt;&gt;"))))</f>
        <v/>
      </c>
      <c r="I184" s="43" t="str">
        <f>IF(OR($B184="",$A184&gt;$B$9,I$175=""),"",IF(COUNTIFS(BD!$B$3:$B$5001,I$175,BD!$A$3:$A$5001,"&gt;="&amp;$C$7,BD!$A$3:$A$5001,"&lt;="&amp;$B184,BD!$Z$3:$Z$5001,"&lt;&gt;")=0,"",SUMIFS(BD!$Z$3:$Z$5001,BD!$B$3:$B$5001,I$175,BD!$A$3:$A$5001,_xlfn.MAXIFS(BD!$A$3:$A$5001,BD!$B$3:$B$5001,I$175,BD!$A$3:$A$5001,"&gt;="&amp;$C$7,BD!$A$3:$A$5001,"&lt;="&amp;$B184,BD!$Z$3:$Z$5001,"&lt;&gt;"))))</f>
        <v/>
      </c>
      <c r="J184" s="43" t="str">
        <f>IF(OR($B184="",$A184&gt;$B$9,J$175=""),"",IF(COUNTIFS(BD!$B$3:$B$5001,J$175,BD!$A$3:$A$5001,"&gt;="&amp;$C$7,BD!$A$3:$A$5001,"&lt;="&amp;$B184,BD!$Z$3:$Z$5001,"&lt;&gt;")=0,"",SUMIFS(BD!$Z$3:$Z$5001,BD!$B$3:$B$5001,J$175,BD!$A$3:$A$5001,_xlfn.MAXIFS(BD!$A$3:$A$5001,BD!$B$3:$B$5001,J$175,BD!$A$3:$A$5001,"&gt;="&amp;$C$7,BD!$A$3:$A$5001,"&lt;="&amp;$B184,BD!$Z$3:$Z$5001,"&lt;&gt;"))))</f>
        <v/>
      </c>
      <c r="K184" s="43" t="str">
        <f>IF(OR($B184="",$A184&gt;$B$9,K$175=""),"",IF(COUNTIFS(BD!$B$3:$B$5001,K$175,BD!$A$3:$A$5001,"&gt;="&amp;$C$7,BD!$A$3:$A$5001,"&lt;="&amp;$B184,BD!$Z$3:$Z$5001,"&lt;&gt;")=0,"",SUMIFS(BD!$Z$3:$Z$5001,BD!$B$3:$B$5001,K$175,BD!$A$3:$A$5001,_xlfn.MAXIFS(BD!$A$3:$A$5001,BD!$B$3:$B$5001,K$175,BD!$A$3:$A$5001,"&gt;="&amp;$C$7,BD!$A$3:$A$5001,"&lt;="&amp;$B184,BD!$Z$3:$Z$5001,"&lt;&gt;"))))</f>
        <v/>
      </c>
      <c r="L184" s="43" t="str">
        <f>IF(OR($B184="",$A184&gt;$B$9,L$175=""),"",IF(COUNTIFS(BD!$B$3:$B$5001,L$175,BD!$A$3:$A$5001,"&gt;="&amp;$C$7,BD!$A$3:$A$5001,"&lt;="&amp;$B184,BD!$Z$3:$Z$5001,"&lt;&gt;")=0,"",SUMIFS(BD!$Z$3:$Z$5001,BD!$B$3:$B$5001,L$175,BD!$A$3:$A$5001,_xlfn.MAXIFS(BD!$A$3:$A$5001,BD!$B$3:$B$5001,L$175,BD!$A$3:$A$5001,"&gt;="&amp;$C$7,BD!$A$3:$A$5001,"&lt;="&amp;$B184,BD!$Z$3:$Z$5001,"&lt;&gt;"))))</f>
        <v/>
      </c>
      <c r="M184" s="43" t="str">
        <f>IF(OR($B184="",$A184&gt;$B$9,M$175=""),"",IF(COUNTIFS(BD!$B$3:$B$5001,M$175,BD!$A$3:$A$5001,"&gt;="&amp;$C$7,BD!$A$3:$A$5001,"&lt;="&amp;$B184,BD!$Z$3:$Z$5001,"&lt;&gt;")=0,"",SUMIFS(BD!$Z$3:$Z$5001,BD!$B$3:$B$5001,M$175,BD!$A$3:$A$5001,_xlfn.MAXIFS(BD!$A$3:$A$5001,BD!$B$3:$B$5001,M$175,BD!$A$3:$A$5001,"&gt;="&amp;$C$7,BD!$A$3:$A$5001,"&lt;="&amp;$B184,BD!$Z$3:$Z$5001,"&lt;&gt;"))))</f>
        <v/>
      </c>
      <c r="N184" s="43" t="str">
        <f>IF(OR($B184="",$A184&gt;$B$9,N$175=""),"",IF(COUNTIFS(BD!$B$3:$B$5001,N$175,BD!$A$3:$A$5001,"&gt;="&amp;$C$7,BD!$A$3:$A$5001,"&lt;="&amp;$B184,BD!$Z$3:$Z$5001,"&lt;&gt;")=0,"",SUMIFS(BD!$Z$3:$Z$5001,BD!$B$3:$B$5001,N$175,BD!$A$3:$A$5001,_xlfn.MAXIFS(BD!$A$3:$A$5001,BD!$B$3:$B$5001,N$175,BD!$A$3:$A$5001,"&gt;="&amp;$C$7,BD!$A$3:$A$5001,"&lt;="&amp;$B184,BD!$Z$3:$Z$5001,"&lt;&gt;"))))</f>
        <v/>
      </c>
      <c r="O184" s="43" t="str">
        <f>IF(OR($B184="",$A184&gt;$B$9,O$175=""),"",IF(COUNTIFS(BD!$B$3:$B$5001,O$175,BD!$A$3:$A$5001,"&gt;="&amp;$C$7,BD!$A$3:$A$5001,"&lt;="&amp;$B184,BD!$Z$3:$Z$5001,"&lt;&gt;")=0,"",SUMIFS(BD!$Z$3:$Z$5001,BD!$B$3:$B$5001,O$175,BD!$A$3:$A$5001,_xlfn.MAXIFS(BD!$A$3:$A$5001,BD!$B$3:$B$5001,O$175,BD!$A$3:$A$5001,"&gt;="&amp;$C$7,BD!$A$3:$A$5001,"&lt;="&amp;$B184,BD!$Z$3:$Z$5001,"&lt;&gt;"))))</f>
        <v/>
      </c>
      <c r="P184" s="43" t="str">
        <f>IF(OR($B184="",$A184&gt;$B$9,P$175=""),"",IF(COUNTIFS(BD!$B$3:$B$5001,P$175,BD!$A$3:$A$5001,"&gt;="&amp;$C$7,BD!$A$3:$A$5001,"&lt;="&amp;$B184,BD!$Z$3:$Z$5001,"&lt;&gt;")=0,"",SUMIFS(BD!$Z$3:$Z$5001,BD!$B$3:$B$5001,P$175,BD!$A$3:$A$5001,_xlfn.MAXIFS(BD!$A$3:$A$5001,BD!$B$3:$B$5001,P$175,BD!$A$3:$A$5001,"&gt;="&amp;$C$7,BD!$A$3:$A$5001,"&lt;="&amp;$B184,BD!$Z$3:$Z$5001,"&lt;&gt;"))))</f>
        <v/>
      </c>
      <c r="Q184" s="43" t="str">
        <f>IF(OR($B184="",$A184&gt;$B$9,Q$175=""),"",IF(COUNTIFS(BD!$B$3:$B$5001,Q$175,BD!$A$3:$A$5001,"&gt;="&amp;$C$7,BD!$A$3:$A$5001,"&lt;="&amp;$B184,BD!$Z$3:$Z$5001,"&lt;&gt;")=0,"",SUMIFS(BD!$Z$3:$Z$5001,BD!$B$3:$B$5001,Q$175,BD!$A$3:$A$5001,_xlfn.MAXIFS(BD!$A$3:$A$5001,BD!$B$3:$B$5001,Q$175,BD!$A$3:$A$5001,"&gt;="&amp;$C$7,BD!$A$3:$A$5001,"&lt;="&amp;$B184,BD!$Z$3:$Z$5001,"&lt;&gt;"))))</f>
        <v/>
      </c>
      <c r="R184" s="43" t="str">
        <f>IF(OR($B184="",$A184&gt;$B$9,R$175=""),"",IF(COUNTIFS(BD!$B$3:$B$5001,R$175,BD!$A$3:$A$5001,"&gt;="&amp;$C$7,BD!$A$3:$A$5001,"&lt;="&amp;$B184,BD!$Z$3:$Z$5001,"&lt;&gt;")=0,"",SUMIFS(BD!$Z$3:$Z$5001,BD!$B$3:$B$5001,R$175,BD!$A$3:$A$5001,_xlfn.MAXIFS(BD!$A$3:$A$5001,BD!$B$3:$B$5001,R$175,BD!$A$3:$A$5001,"&gt;="&amp;$C$7,BD!$A$3:$A$5001,"&lt;="&amp;$B184,BD!$Z$3:$Z$5001,"&lt;&gt;"))))</f>
        <v/>
      </c>
      <c r="S184" s="43" t="str">
        <f>IF(OR($B184="",$A184&gt;$B$9,S$175=""),"",IF(COUNTIFS(BD!$B$3:$B$5001,S$175,BD!$A$3:$A$5001,"&gt;="&amp;$C$7,BD!$A$3:$A$5001,"&lt;="&amp;$B184,BD!$Z$3:$Z$5001,"&lt;&gt;")=0,"",SUMIFS(BD!$Z$3:$Z$5001,BD!$B$3:$B$5001,S$175,BD!$A$3:$A$5001,_xlfn.MAXIFS(BD!$A$3:$A$5001,BD!$B$3:$B$5001,S$175,BD!$A$3:$A$5001,"&gt;="&amp;$C$7,BD!$A$3:$A$5001,"&lt;="&amp;$B184,BD!$Z$3:$Z$5001,"&lt;&gt;"))))</f>
        <v/>
      </c>
      <c r="T184" s="43" t="str">
        <f>IF(OR($B184="",$A184&gt;$B$9,T$175=""),"",IF(COUNTIFS(BD!$B$3:$B$5001,T$175,BD!$A$3:$A$5001,"&gt;="&amp;$C$7,BD!$A$3:$A$5001,"&lt;="&amp;$B184,BD!$Z$3:$Z$5001,"&lt;&gt;")=0,"",SUMIFS(BD!$Z$3:$Z$5001,BD!$B$3:$B$5001,T$175,BD!$A$3:$A$5001,_xlfn.MAXIFS(BD!$A$3:$A$5001,BD!$B$3:$B$5001,T$175,BD!$A$3:$A$5001,"&gt;="&amp;$C$7,BD!$A$3:$A$5001,"&lt;="&amp;$B184,BD!$Z$3:$Z$5001,"&lt;&gt;"))))</f>
        <v/>
      </c>
      <c r="U184" s="43" t="str">
        <f>IF(OR($B184="",$A184&gt;$B$9,U$175=""),"",IF(COUNTIFS(BD!$B$3:$B$5001,U$175,BD!$A$3:$A$5001,"&gt;="&amp;$C$7,BD!$A$3:$A$5001,"&lt;="&amp;$B184,BD!$Z$3:$Z$5001,"&lt;&gt;")=0,"",SUMIFS(BD!$Z$3:$Z$5001,BD!$B$3:$B$5001,U$175,BD!$A$3:$A$5001,_xlfn.MAXIFS(BD!$A$3:$A$5001,BD!$B$3:$B$5001,U$175,BD!$A$3:$A$5001,"&gt;="&amp;$C$7,BD!$A$3:$A$5001,"&lt;="&amp;$B184,BD!$Z$3:$Z$5001,"&lt;&gt;"))))</f>
        <v/>
      </c>
      <c r="V184" s="43" t="str">
        <f>IF(OR($B184="",$A184&gt;$B$9,V$175=""),"",IF(COUNTIFS(BD!$B$3:$B$5001,V$175,BD!$A$3:$A$5001,"&gt;="&amp;$C$7,BD!$A$3:$A$5001,"&lt;="&amp;$B184,BD!$Z$3:$Z$5001,"&lt;&gt;")=0,"",SUMIFS(BD!$Z$3:$Z$5001,BD!$B$3:$B$5001,V$175,BD!$A$3:$A$5001,_xlfn.MAXIFS(BD!$A$3:$A$5001,BD!$B$3:$B$5001,V$175,BD!$A$3:$A$5001,"&gt;="&amp;$C$7,BD!$A$3:$A$5001,"&lt;="&amp;$B184,BD!$Z$3:$Z$5001,"&lt;&gt;"))))</f>
        <v/>
      </c>
    </row>
    <row r="185">
      <c r="A185" s="38">
        <v>10</v>
      </c>
      <c r="B185" s="42">
        <f>$B$21</f>
        <v>46305</v>
      </c>
      <c r="C185" s="43" t="str">
        <f>IF(OR($B185="",$A185&gt;$B$9,C$175=""),"",IF(COUNTIFS(BD!$B$3:$B$5001,C$175,BD!$A$3:$A$5001,"&gt;="&amp;$C$7,BD!$A$3:$A$5001,"&lt;="&amp;$B185,BD!$Z$3:$Z$5001,"&lt;&gt;")=0,"",SUMIFS(BD!$Z$3:$Z$5001,BD!$B$3:$B$5001,C$175,BD!$A$3:$A$5001,_xlfn.MAXIFS(BD!$A$3:$A$5001,BD!$B$3:$B$5001,C$175,BD!$A$3:$A$5001,"&gt;="&amp;$C$7,BD!$A$3:$A$5001,"&lt;="&amp;$B185,BD!$Z$3:$Z$5001,"&lt;&gt;"))))</f>
        <v/>
      </c>
      <c r="D185" s="43" t="str">
        <f>IF(OR($B185="",$A185&gt;$B$9,D$175=""),"",IF(COUNTIFS(BD!$B$3:$B$5001,D$175,BD!$A$3:$A$5001,"&gt;="&amp;$C$7,BD!$A$3:$A$5001,"&lt;="&amp;$B185,BD!$Z$3:$Z$5001,"&lt;&gt;")=0,"",SUMIFS(BD!$Z$3:$Z$5001,BD!$B$3:$B$5001,D$175,BD!$A$3:$A$5001,_xlfn.MAXIFS(BD!$A$3:$A$5001,BD!$B$3:$B$5001,D$175,BD!$A$3:$A$5001,"&gt;="&amp;$C$7,BD!$A$3:$A$5001,"&lt;="&amp;$B185,BD!$Z$3:$Z$5001,"&lt;&gt;"))))</f>
        <v/>
      </c>
      <c r="E185" s="43" t="str">
        <f>IF(OR($B185="",$A185&gt;$B$9,E$175=""),"",IF(COUNTIFS(BD!$B$3:$B$5001,E$175,BD!$A$3:$A$5001,"&gt;="&amp;$C$7,BD!$A$3:$A$5001,"&lt;="&amp;$B185,BD!$Z$3:$Z$5001,"&lt;&gt;")=0,"",SUMIFS(BD!$Z$3:$Z$5001,BD!$B$3:$B$5001,E$175,BD!$A$3:$A$5001,_xlfn.MAXIFS(BD!$A$3:$A$5001,BD!$B$3:$B$5001,E$175,BD!$A$3:$A$5001,"&gt;="&amp;$C$7,BD!$A$3:$A$5001,"&lt;="&amp;$B185,BD!$Z$3:$Z$5001,"&lt;&gt;"))))</f>
        <v/>
      </c>
      <c r="F185" s="43" t="str">
        <f>IF(OR($B185="",$A185&gt;$B$9,F$175=""),"",IF(COUNTIFS(BD!$B$3:$B$5001,F$175,BD!$A$3:$A$5001,"&gt;="&amp;$C$7,BD!$A$3:$A$5001,"&lt;="&amp;$B185,BD!$Z$3:$Z$5001,"&lt;&gt;")=0,"",SUMIFS(BD!$Z$3:$Z$5001,BD!$B$3:$B$5001,F$175,BD!$A$3:$A$5001,_xlfn.MAXIFS(BD!$A$3:$A$5001,BD!$B$3:$B$5001,F$175,BD!$A$3:$A$5001,"&gt;="&amp;$C$7,BD!$A$3:$A$5001,"&lt;="&amp;$B185,BD!$Z$3:$Z$5001,"&lt;&gt;"))))</f>
        <v/>
      </c>
      <c r="G185" s="43" t="str">
        <f>IF(OR($B185="",$A185&gt;$B$9,G$175=""),"",IF(COUNTIFS(BD!$B$3:$B$5001,G$175,BD!$A$3:$A$5001,"&gt;="&amp;$C$7,BD!$A$3:$A$5001,"&lt;="&amp;$B185,BD!$Z$3:$Z$5001,"&lt;&gt;")=0,"",SUMIFS(BD!$Z$3:$Z$5001,BD!$B$3:$B$5001,G$175,BD!$A$3:$A$5001,_xlfn.MAXIFS(BD!$A$3:$A$5001,BD!$B$3:$B$5001,G$175,BD!$A$3:$A$5001,"&gt;="&amp;$C$7,BD!$A$3:$A$5001,"&lt;="&amp;$B185,BD!$Z$3:$Z$5001,"&lt;&gt;"))))</f>
        <v/>
      </c>
      <c r="H185" s="43" t="str">
        <f>IF(OR($B185="",$A185&gt;$B$9,H$175=""),"",IF(COUNTIFS(BD!$B$3:$B$5001,H$175,BD!$A$3:$A$5001,"&gt;="&amp;$C$7,BD!$A$3:$A$5001,"&lt;="&amp;$B185,BD!$Z$3:$Z$5001,"&lt;&gt;")=0,"",SUMIFS(BD!$Z$3:$Z$5001,BD!$B$3:$B$5001,H$175,BD!$A$3:$A$5001,_xlfn.MAXIFS(BD!$A$3:$A$5001,BD!$B$3:$B$5001,H$175,BD!$A$3:$A$5001,"&gt;="&amp;$C$7,BD!$A$3:$A$5001,"&lt;="&amp;$B185,BD!$Z$3:$Z$5001,"&lt;&gt;"))))</f>
        <v/>
      </c>
      <c r="I185" s="43" t="str">
        <f>IF(OR($B185="",$A185&gt;$B$9,I$175=""),"",IF(COUNTIFS(BD!$B$3:$B$5001,I$175,BD!$A$3:$A$5001,"&gt;="&amp;$C$7,BD!$A$3:$A$5001,"&lt;="&amp;$B185,BD!$Z$3:$Z$5001,"&lt;&gt;")=0,"",SUMIFS(BD!$Z$3:$Z$5001,BD!$B$3:$B$5001,I$175,BD!$A$3:$A$5001,_xlfn.MAXIFS(BD!$A$3:$A$5001,BD!$B$3:$B$5001,I$175,BD!$A$3:$A$5001,"&gt;="&amp;$C$7,BD!$A$3:$A$5001,"&lt;="&amp;$B185,BD!$Z$3:$Z$5001,"&lt;&gt;"))))</f>
        <v/>
      </c>
      <c r="J185" s="43" t="str">
        <f>IF(OR($B185="",$A185&gt;$B$9,J$175=""),"",IF(COUNTIFS(BD!$B$3:$B$5001,J$175,BD!$A$3:$A$5001,"&gt;="&amp;$C$7,BD!$A$3:$A$5001,"&lt;="&amp;$B185,BD!$Z$3:$Z$5001,"&lt;&gt;")=0,"",SUMIFS(BD!$Z$3:$Z$5001,BD!$B$3:$B$5001,J$175,BD!$A$3:$A$5001,_xlfn.MAXIFS(BD!$A$3:$A$5001,BD!$B$3:$B$5001,J$175,BD!$A$3:$A$5001,"&gt;="&amp;$C$7,BD!$A$3:$A$5001,"&lt;="&amp;$B185,BD!$Z$3:$Z$5001,"&lt;&gt;"))))</f>
        <v/>
      </c>
      <c r="K185" s="43" t="str">
        <f>IF(OR($B185="",$A185&gt;$B$9,K$175=""),"",IF(COUNTIFS(BD!$B$3:$B$5001,K$175,BD!$A$3:$A$5001,"&gt;="&amp;$C$7,BD!$A$3:$A$5001,"&lt;="&amp;$B185,BD!$Z$3:$Z$5001,"&lt;&gt;")=0,"",SUMIFS(BD!$Z$3:$Z$5001,BD!$B$3:$B$5001,K$175,BD!$A$3:$A$5001,_xlfn.MAXIFS(BD!$A$3:$A$5001,BD!$B$3:$B$5001,K$175,BD!$A$3:$A$5001,"&gt;="&amp;$C$7,BD!$A$3:$A$5001,"&lt;="&amp;$B185,BD!$Z$3:$Z$5001,"&lt;&gt;"))))</f>
        <v/>
      </c>
      <c r="L185" s="43" t="str">
        <f>IF(OR($B185="",$A185&gt;$B$9,L$175=""),"",IF(COUNTIFS(BD!$B$3:$B$5001,L$175,BD!$A$3:$A$5001,"&gt;="&amp;$C$7,BD!$A$3:$A$5001,"&lt;="&amp;$B185,BD!$Z$3:$Z$5001,"&lt;&gt;")=0,"",SUMIFS(BD!$Z$3:$Z$5001,BD!$B$3:$B$5001,L$175,BD!$A$3:$A$5001,_xlfn.MAXIFS(BD!$A$3:$A$5001,BD!$B$3:$B$5001,L$175,BD!$A$3:$A$5001,"&gt;="&amp;$C$7,BD!$A$3:$A$5001,"&lt;="&amp;$B185,BD!$Z$3:$Z$5001,"&lt;&gt;"))))</f>
        <v/>
      </c>
      <c r="M185" s="43" t="str">
        <f>IF(OR($B185="",$A185&gt;$B$9,M$175=""),"",IF(COUNTIFS(BD!$B$3:$B$5001,M$175,BD!$A$3:$A$5001,"&gt;="&amp;$C$7,BD!$A$3:$A$5001,"&lt;="&amp;$B185,BD!$Z$3:$Z$5001,"&lt;&gt;")=0,"",SUMIFS(BD!$Z$3:$Z$5001,BD!$B$3:$B$5001,M$175,BD!$A$3:$A$5001,_xlfn.MAXIFS(BD!$A$3:$A$5001,BD!$B$3:$B$5001,M$175,BD!$A$3:$A$5001,"&gt;="&amp;$C$7,BD!$A$3:$A$5001,"&lt;="&amp;$B185,BD!$Z$3:$Z$5001,"&lt;&gt;"))))</f>
        <v/>
      </c>
      <c r="N185" s="43" t="str">
        <f>IF(OR($B185="",$A185&gt;$B$9,N$175=""),"",IF(COUNTIFS(BD!$B$3:$B$5001,N$175,BD!$A$3:$A$5001,"&gt;="&amp;$C$7,BD!$A$3:$A$5001,"&lt;="&amp;$B185,BD!$Z$3:$Z$5001,"&lt;&gt;")=0,"",SUMIFS(BD!$Z$3:$Z$5001,BD!$B$3:$B$5001,N$175,BD!$A$3:$A$5001,_xlfn.MAXIFS(BD!$A$3:$A$5001,BD!$B$3:$B$5001,N$175,BD!$A$3:$A$5001,"&gt;="&amp;$C$7,BD!$A$3:$A$5001,"&lt;="&amp;$B185,BD!$Z$3:$Z$5001,"&lt;&gt;"))))</f>
        <v/>
      </c>
      <c r="O185" s="43" t="str">
        <f>IF(OR($B185="",$A185&gt;$B$9,O$175=""),"",IF(COUNTIFS(BD!$B$3:$B$5001,O$175,BD!$A$3:$A$5001,"&gt;="&amp;$C$7,BD!$A$3:$A$5001,"&lt;="&amp;$B185,BD!$Z$3:$Z$5001,"&lt;&gt;")=0,"",SUMIFS(BD!$Z$3:$Z$5001,BD!$B$3:$B$5001,O$175,BD!$A$3:$A$5001,_xlfn.MAXIFS(BD!$A$3:$A$5001,BD!$B$3:$B$5001,O$175,BD!$A$3:$A$5001,"&gt;="&amp;$C$7,BD!$A$3:$A$5001,"&lt;="&amp;$B185,BD!$Z$3:$Z$5001,"&lt;&gt;"))))</f>
        <v/>
      </c>
      <c r="P185" s="43" t="str">
        <f>IF(OR($B185="",$A185&gt;$B$9,P$175=""),"",IF(COUNTIFS(BD!$B$3:$B$5001,P$175,BD!$A$3:$A$5001,"&gt;="&amp;$C$7,BD!$A$3:$A$5001,"&lt;="&amp;$B185,BD!$Z$3:$Z$5001,"&lt;&gt;")=0,"",SUMIFS(BD!$Z$3:$Z$5001,BD!$B$3:$B$5001,P$175,BD!$A$3:$A$5001,_xlfn.MAXIFS(BD!$A$3:$A$5001,BD!$B$3:$B$5001,P$175,BD!$A$3:$A$5001,"&gt;="&amp;$C$7,BD!$A$3:$A$5001,"&lt;="&amp;$B185,BD!$Z$3:$Z$5001,"&lt;&gt;"))))</f>
        <v/>
      </c>
      <c r="Q185" s="43" t="str">
        <f>IF(OR($B185="",$A185&gt;$B$9,Q$175=""),"",IF(COUNTIFS(BD!$B$3:$B$5001,Q$175,BD!$A$3:$A$5001,"&gt;="&amp;$C$7,BD!$A$3:$A$5001,"&lt;="&amp;$B185,BD!$Z$3:$Z$5001,"&lt;&gt;")=0,"",SUMIFS(BD!$Z$3:$Z$5001,BD!$B$3:$B$5001,Q$175,BD!$A$3:$A$5001,_xlfn.MAXIFS(BD!$A$3:$A$5001,BD!$B$3:$B$5001,Q$175,BD!$A$3:$A$5001,"&gt;="&amp;$C$7,BD!$A$3:$A$5001,"&lt;="&amp;$B185,BD!$Z$3:$Z$5001,"&lt;&gt;"))))</f>
        <v/>
      </c>
      <c r="R185" s="43" t="str">
        <f>IF(OR($B185="",$A185&gt;$B$9,R$175=""),"",IF(COUNTIFS(BD!$B$3:$B$5001,R$175,BD!$A$3:$A$5001,"&gt;="&amp;$C$7,BD!$A$3:$A$5001,"&lt;="&amp;$B185,BD!$Z$3:$Z$5001,"&lt;&gt;")=0,"",SUMIFS(BD!$Z$3:$Z$5001,BD!$B$3:$B$5001,R$175,BD!$A$3:$A$5001,_xlfn.MAXIFS(BD!$A$3:$A$5001,BD!$B$3:$B$5001,R$175,BD!$A$3:$A$5001,"&gt;="&amp;$C$7,BD!$A$3:$A$5001,"&lt;="&amp;$B185,BD!$Z$3:$Z$5001,"&lt;&gt;"))))</f>
        <v/>
      </c>
      <c r="S185" s="43" t="str">
        <f>IF(OR($B185="",$A185&gt;$B$9,S$175=""),"",IF(COUNTIFS(BD!$B$3:$B$5001,S$175,BD!$A$3:$A$5001,"&gt;="&amp;$C$7,BD!$A$3:$A$5001,"&lt;="&amp;$B185,BD!$Z$3:$Z$5001,"&lt;&gt;")=0,"",SUMIFS(BD!$Z$3:$Z$5001,BD!$B$3:$B$5001,S$175,BD!$A$3:$A$5001,_xlfn.MAXIFS(BD!$A$3:$A$5001,BD!$B$3:$B$5001,S$175,BD!$A$3:$A$5001,"&gt;="&amp;$C$7,BD!$A$3:$A$5001,"&lt;="&amp;$B185,BD!$Z$3:$Z$5001,"&lt;&gt;"))))</f>
        <v/>
      </c>
      <c r="T185" s="43" t="str">
        <f>IF(OR($B185="",$A185&gt;$B$9,T$175=""),"",IF(COUNTIFS(BD!$B$3:$B$5001,T$175,BD!$A$3:$A$5001,"&gt;="&amp;$C$7,BD!$A$3:$A$5001,"&lt;="&amp;$B185,BD!$Z$3:$Z$5001,"&lt;&gt;")=0,"",SUMIFS(BD!$Z$3:$Z$5001,BD!$B$3:$B$5001,T$175,BD!$A$3:$A$5001,_xlfn.MAXIFS(BD!$A$3:$A$5001,BD!$B$3:$B$5001,T$175,BD!$A$3:$A$5001,"&gt;="&amp;$C$7,BD!$A$3:$A$5001,"&lt;="&amp;$B185,BD!$Z$3:$Z$5001,"&lt;&gt;"))))</f>
        <v/>
      </c>
      <c r="U185" s="43" t="str">
        <f>IF(OR($B185="",$A185&gt;$B$9,U$175=""),"",IF(COUNTIFS(BD!$B$3:$B$5001,U$175,BD!$A$3:$A$5001,"&gt;="&amp;$C$7,BD!$A$3:$A$5001,"&lt;="&amp;$B185,BD!$Z$3:$Z$5001,"&lt;&gt;")=0,"",SUMIFS(BD!$Z$3:$Z$5001,BD!$B$3:$B$5001,U$175,BD!$A$3:$A$5001,_xlfn.MAXIFS(BD!$A$3:$A$5001,BD!$B$3:$B$5001,U$175,BD!$A$3:$A$5001,"&gt;="&amp;$C$7,BD!$A$3:$A$5001,"&lt;="&amp;$B185,BD!$Z$3:$Z$5001,"&lt;&gt;"))))</f>
        <v/>
      </c>
      <c r="V185" s="43" t="str">
        <f>IF(OR($B185="",$A185&gt;$B$9,V$175=""),"",IF(COUNTIFS(BD!$B$3:$B$5001,V$175,BD!$A$3:$A$5001,"&gt;="&amp;$C$7,BD!$A$3:$A$5001,"&lt;="&amp;$B185,BD!$Z$3:$Z$5001,"&lt;&gt;")=0,"",SUMIFS(BD!$Z$3:$Z$5001,BD!$B$3:$B$5001,V$175,BD!$A$3:$A$5001,_xlfn.MAXIFS(BD!$A$3:$A$5001,BD!$B$3:$B$5001,V$175,BD!$A$3:$A$5001,"&gt;="&amp;$C$7,BD!$A$3:$A$5001,"&lt;="&amp;$B185,BD!$Z$3:$Z$5001,"&lt;&gt;"))))</f>
        <v/>
      </c>
    </row>
    <row r="186">
      <c r="A186" s="38">
        <v>11</v>
      </c>
      <c r="B186" s="42">
        <f>$B$22</f>
        <v>46306</v>
      </c>
      <c r="C186" s="43" t="str">
        <f>IF(OR($B186="",$A186&gt;$B$9,C$175=""),"",IF(COUNTIFS(BD!$B$3:$B$5001,C$175,BD!$A$3:$A$5001,"&gt;="&amp;$C$7,BD!$A$3:$A$5001,"&lt;="&amp;$B186,BD!$Z$3:$Z$5001,"&lt;&gt;")=0,"",SUMIFS(BD!$Z$3:$Z$5001,BD!$B$3:$B$5001,C$175,BD!$A$3:$A$5001,_xlfn.MAXIFS(BD!$A$3:$A$5001,BD!$B$3:$B$5001,C$175,BD!$A$3:$A$5001,"&gt;="&amp;$C$7,BD!$A$3:$A$5001,"&lt;="&amp;$B186,BD!$Z$3:$Z$5001,"&lt;&gt;"))))</f>
        <v/>
      </c>
      <c r="D186" s="43" t="str">
        <f>IF(OR($B186="",$A186&gt;$B$9,D$175=""),"",IF(COUNTIFS(BD!$B$3:$B$5001,D$175,BD!$A$3:$A$5001,"&gt;="&amp;$C$7,BD!$A$3:$A$5001,"&lt;="&amp;$B186,BD!$Z$3:$Z$5001,"&lt;&gt;")=0,"",SUMIFS(BD!$Z$3:$Z$5001,BD!$B$3:$B$5001,D$175,BD!$A$3:$A$5001,_xlfn.MAXIFS(BD!$A$3:$A$5001,BD!$B$3:$B$5001,D$175,BD!$A$3:$A$5001,"&gt;="&amp;$C$7,BD!$A$3:$A$5001,"&lt;="&amp;$B186,BD!$Z$3:$Z$5001,"&lt;&gt;"))))</f>
        <v/>
      </c>
      <c r="E186" s="43" t="str">
        <f>IF(OR($B186="",$A186&gt;$B$9,E$175=""),"",IF(COUNTIFS(BD!$B$3:$B$5001,E$175,BD!$A$3:$A$5001,"&gt;="&amp;$C$7,BD!$A$3:$A$5001,"&lt;="&amp;$B186,BD!$Z$3:$Z$5001,"&lt;&gt;")=0,"",SUMIFS(BD!$Z$3:$Z$5001,BD!$B$3:$B$5001,E$175,BD!$A$3:$A$5001,_xlfn.MAXIFS(BD!$A$3:$A$5001,BD!$B$3:$B$5001,E$175,BD!$A$3:$A$5001,"&gt;="&amp;$C$7,BD!$A$3:$A$5001,"&lt;="&amp;$B186,BD!$Z$3:$Z$5001,"&lt;&gt;"))))</f>
        <v/>
      </c>
      <c r="F186" s="43" t="str">
        <f>IF(OR($B186="",$A186&gt;$B$9,F$175=""),"",IF(COUNTIFS(BD!$B$3:$B$5001,F$175,BD!$A$3:$A$5001,"&gt;="&amp;$C$7,BD!$A$3:$A$5001,"&lt;="&amp;$B186,BD!$Z$3:$Z$5001,"&lt;&gt;")=0,"",SUMIFS(BD!$Z$3:$Z$5001,BD!$B$3:$B$5001,F$175,BD!$A$3:$A$5001,_xlfn.MAXIFS(BD!$A$3:$A$5001,BD!$B$3:$B$5001,F$175,BD!$A$3:$A$5001,"&gt;="&amp;$C$7,BD!$A$3:$A$5001,"&lt;="&amp;$B186,BD!$Z$3:$Z$5001,"&lt;&gt;"))))</f>
        <v/>
      </c>
      <c r="G186" s="43" t="str">
        <f>IF(OR($B186="",$A186&gt;$B$9,G$175=""),"",IF(COUNTIFS(BD!$B$3:$B$5001,G$175,BD!$A$3:$A$5001,"&gt;="&amp;$C$7,BD!$A$3:$A$5001,"&lt;="&amp;$B186,BD!$Z$3:$Z$5001,"&lt;&gt;")=0,"",SUMIFS(BD!$Z$3:$Z$5001,BD!$B$3:$B$5001,G$175,BD!$A$3:$A$5001,_xlfn.MAXIFS(BD!$A$3:$A$5001,BD!$B$3:$B$5001,G$175,BD!$A$3:$A$5001,"&gt;="&amp;$C$7,BD!$A$3:$A$5001,"&lt;="&amp;$B186,BD!$Z$3:$Z$5001,"&lt;&gt;"))))</f>
        <v/>
      </c>
      <c r="H186" s="43" t="str">
        <f>IF(OR($B186="",$A186&gt;$B$9,H$175=""),"",IF(COUNTIFS(BD!$B$3:$B$5001,H$175,BD!$A$3:$A$5001,"&gt;="&amp;$C$7,BD!$A$3:$A$5001,"&lt;="&amp;$B186,BD!$Z$3:$Z$5001,"&lt;&gt;")=0,"",SUMIFS(BD!$Z$3:$Z$5001,BD!$B$3:$B$5001,H$175,BD!$A$3:$A$5001,_xlfn.MAXIFS(BD!$A$3:$A$5001,BD!$B$3:$B$5001,H$175,BD!$A$3:$A$5001,"&gt;="&amp;$C$7,BD!$A$3:$A$5001,"&lt;="&amp;$B186,BD!$Z$3:$Z$5001,"&lt;&gt;"))))</f>
        <v/>
      </c>
      <c r="I186" s="43" t="str">
        <f>IF(OR($B186="",$A186&gt;$B$9,I$175=""),"",IF(COUNTIFS(BD!$B$3:$B$5001,I$175,BD!$A$3:$A$5001,"&gt;="&amp;$C$7,BD!$A$3:$A$5001,"&lt;="&amp;$B186,BD!$Z$3:$Z$5001,"&lt;&gt;")=0,"",SUMIFS(BD!$Z$3:$Z$5001,BD!$B$3:$B$5001,I$175,BD!$A$3:$A$5001,_xlfn.MAXIFS(BD!$A$3:$A$5001,BD!$B$3:$B$5001,I$175,BD!$A$3:$A$5001,"&gt;="&amp;$C$7,BD!$A$3:$A$5001,"&lt;="&amp;$B186,BD!$Z$3:$Z$5001,"&lt;&gt;"))))</f>
        <v/>
      </c>
      <c r="J186" s="43" t="str">
        <f>IF(OR($B186="",$A186&gt;$B$9,J$175=""),"",IF(COUNTIFS(BD!$B$3:$B$5001,J$175,BD!$A$3:$A$5001,"&gt;="&amp;$C$7,BD!$A$3:$A$5001,"&lt;="&amp;$B186,BD!$Z$3:$Z$5001,"&lt;&gt;")=0,"",SUMIFS(BD!$Z$3:$Z$5001,BD!$B$3:$B$5001,J$175,BD!$A$3:$A$5001,_xlfn.MAXIFS(BD!$A$3:$A$5001,BD!$B$3:$B$5001,J$175,BD!$A$3:$A$5001,"&gt;="&amp;$C$7,BD!$A$3:$A$5001,"&lt;="&amp;$B186,BD!$Z$3:$Z$5001,"&lt;&gt;"))))</f>
        <v/>
      </c>
      <c r="K186" s="43" t="str">
        <f>IF(OR($B186="",$A186&gt;$B$9,K$175=""),"",IF(COUNTIFS(BD!$B$3:$B$5001,K$175,BD!$A$3:$A$5001,"&gt;="&amp;$C$7,BD!$A$3:$A$5001,"&lt;="&amp;$B186,BD!$Z$3:$Z$5001,"&lt;&gt;")=0,"",SUMIFS(BD!$Z$3:$Z$5001,BD!$B$3:$B$5001,K$175,BD!$A$3:$A$5001,_xlfn.MAXIFS(BD!$A$3:$A$5001,BD!$B$3:$B$5001,K$175,BD!$A$3:$A$5001,"&gt;="&amp;$C$7,BD!$A$3:$A$5001,"&lt;="&amp;$B186,BD!$Z$3:$Z$5001,"&lt;&gt;"))))</f>
        <v/>
      </c>
      <c r="L186" s="43" t="str">
        <f>IF(OR($B186="",$A186&gt;$B$9,L$175=""),"",IF(COUNTIFS(BD!$B$3:$B$5001,L$175,BD!$A$3:$A$5001,"&gt;="&amp;$C$7,BD!$A$3:$A$5001,"&lt;="&amp;$B186,BD!$Z$3:$Z$5001,"&lt;&gt;")=0,"",SUMIFS(BD!$Z$3:$Z$5001,BD!$B$3:$B$5001,L$175,BD!$A$3:$A$5001,_xlfn.MAXIFS(BD!$A$3:$A$5001,BD!$B$3:$B$5001,L$175,BD!$A$3:$A$5001,"&gt;="&amp;$C$7,BD!$A$3:$A$5001,"&lt;="&amp;$B186,BD!$Z$3:$Z$5001,"&lt;&gt;"))))</f>
        <v/>
      </c>
      <c r="M186" s="43" t="str">
        <f>IF(OR($B186="",$A186&gt;$B$9,M$175=""),"",IF(COUNTIFS(BD!$B$3:$B$5001,M$175,BD!$A$3:$A$5001,"&gt;="&amp;$C$7,BD!$A$3:$A$5001,"&lt;="&amp;$B186,BD!$Z$3:$Z$5001,"&lt;&gt;")=0,"",SUMIFS(BD!$Z$3:$Z$5001,BD!$B$3:$B$5001,M$175,BD!$A$3:$A$5001,_xlfn.MAXIFS(BD!$A$3:$A$5001,BD!$B$3:$B$5001,M$175,BD!$A$3:$A$5001,"&gt;="&amp;$C$7,BD!$A$3:$A$5001,"&lt;="&amp;$B186,BD!$Z$3:$Z$5001,"&lt;&gt;"))))</f>
        <v/>
      </c>
      <c r="N186" s="43" t="str">
        <f>IF(OR($B186="",$A186&gt;$B$9,N$175=""),"",IF(COUNTIFS(BD!$B$3:$B$5001,N$175,BD!$A$3:$A$5001,"&gt;="&amp;$C$7,BD!$A$3:$A$5001,"&lt;="&amp;$B186,BD!$Z$3:$Z$5001,"&lt;&gt;")=0,"",SUMIFS(BD!$Z$3:$Z$5001,BD!$B$3:$B$5001,N$175,BD!$A$3:$A$5001,_xlfn.MAXIFS(BD!$A$3:$A$5001,BD!$B$3:$B$5001,N$175,BD!$A$3:$A$5001,"&gt;="&amp;$C$7,BD!$A$3:$A$5001,"&lt;="&amp;$B186,BD!$Z$3:$Z$5001,"&lt;&gt;"))))</f>
        <v/>
      </c>
      <c r="O186" s="43" t="str">
        <f>IF(OR($B186="",$A186&gt;$B$9,O$175=""),"",IF(COUNTIFS(BD!$B$3:$B$5001,O$175,BD!$A$3:$A$5001,"&gt;="&amp;$C$7,BD!$A$3:$A$5001,"&lt;="&amp;$B186,BD!$Z$3:$Z$5001,"&lt;&gt;")=0,"",SUMIFS(BD!$Z$3:$Z$5001,BD!$B$3:$B$5001,O$175,BD!$A$3:$A$5001,_xlfn.MAXIFS(BD!$A$3:$A$5001,BD!$B$3:$B$5001,O$175,BD!$A$3:$A$5001,"&gt;="&amp;$C$7,BD!$A$3:$A$5001,"&lt;="&amp;$B186,BD!$Z$3:$Z$5001,"&lt;&gt;"))))</f>
        <v/>
      </c>
      <c r="P186" s="43" t="str">
        <f>IF(OR($B186="",$A186&gt;$B$9,P$175=""),"",IF(COUNTIFS(BD!$B$3:$B$5001,P$175,BD!$A$3:$A$5001,"&gt;="&amp;$C$7,BD!$A$3:$A$5001,"&lt;="&amp;$B186,BD!$Z$3:$Z$5001,"&lt;&gt;")=0,"",SUMIFS(BD!$Z$3:$Z$5001,BD!$B$3:$B$5001,P$175,BD!$A$3:$A$5001,_xlfn.MAXIFS(BD!$A$3:$A$5001,BD!$B$3:$B$5001,P$175,BD!$A$3:$A$5001,"&gt;="&amp;$C$7,BD!$A$3:$A$5001,"&lt;="&amp;$B186,BD!$Z$3:$Z$5001,"&lt;&gt;"))))</f>
        <v/>
      </c>
      <c r="Q186" s="43" t="str">
        <f>IF(OR($B186="",$A186&gt;$B$9,Q$175=""),"",IF(COUNTIFS(BD!$B$3:$B$5001,Q$175,BD!$A$3:$A$5001,"&gt;="&amp;$C$7,BD!$A$3:$A$5001,"&lt;="&amp;$B186,BD!$Z$3:$Z$5001,"&lt;&gt;")=0,"",SUMIFS(BD!$Z$3:$Z$5001,BD!$B$3:$B$5001,Q$175,BD!$A$3:$A$5001,_xlfn.MAXIFS(BD!$A$3:$A$5001,BD!$B$3:$B$5001,Q$175,BD!$A$3:$A$5001,"&gt;="&amp;$C$7,BD!$A$3:$A$5001,"&lt;="&amp;$B186,BD!$Z$3:$Z$5001,"&lt;&gt;"))))</f>
        <v/>
      </c>
      <c r="R186" s="43" t="str">
        <f>IF(OR($B186="",$A186&gt;$B$9,R$175=""),"",IF(COUNTIFS(BD!$B$3:$B$5001,R$175,BD!$A$3:$A$5001,"&gt;="&amp;$C$7,BD!$A$3:$A$5001,"&lt;="&amp;$B186,BD!$Z$3:$Z$5001,"&lt;&gt;")=0,"",SUMIFS(BD!$Z$3:$Z$5001,BD!$B$3:$B$5001,R$175,BD!$A$3:$A$5001,_xlfn.MAXIFS(BD!$A$3:$A$5001,BD!$B$3:$B$5001,R$175,BD!$A$3:$A$5001,"&gt;="&amp;$C$7,BD!$A$3:$A$5001,"&lt;="&amp;$B186,BD!$Z$3:$Z$5001,"&lt;&gt;"))))</f>
        <v/>
      </c>
      <c r="S186" s="43" t="str">
        <f>IF(OR($B186="",$A186&gt;$B$9,S$175=""),"",IF(COUNTIFS(BD!$B$3:$B$5001,S$175,BD!$A$3:$A$5001,"&gt;="&amp;$C$7,BD!$A$3:$A$5001,"&lt;="&amp;$B186,BD!$Z$3:$Z$5001,"&lt;&gt;")=0,"",SUMIFS(BD!$Z$3:$Z$5001,BD!$B$3:$B$5001,S$175,BD!$A$3:$A$5001,_xlfn.MAXIFS(BD!$A$3:$A$5001,BD!$B$3:$B$5001,S$175,BD!$A$3:$A$5001,"&gt;="&amp;$C$7,BD!$A$3:$A$5001,"&lt;="&amp;$B186,BD!$Z$3:$Z$5001,"&lt;&gt;"))))</f>
        <v/>
      </c>
      <c r="T186" s="43" t="str">
        <f>IF(OR($B186="",$A186&gt;$B$9,T$175=""),"",IF(COUNTIFS(BD!$B$3:$B$5001,T$175,BD!$A$3:$A$5001,"&gt;="&amp;$C$7,BD!$A$3:$A$5001,"&lt;="&amp;$B186,BD!$Z$3:$Z$5001,"&lt;&gt;")=0,"",SUMIFS(BD!$Z$3:$Z$5001,BD!$B$3:$B$5001,T$175,BD!$A$3:$A$5001,_xlfn.MAXIFS(BD!$A$3:$A$5001,BD!$B$3:$B$5001,T$175,BD!$A$3:$A$5001,"&gt;="&amp;$C$7,BD!$A$3:$A$5001,"&lt;="&amp;$B186,BD!$Z$3:$Z$5001,"&lt;&gt;"))))</f>
        <v/>
      </c>
      <c r="U186" s="43" t="str">
        <f>IF(OR($B186="",$A186&gt;$B$9,U$175=""),"",IF(COUNTIFS(BD!$B$3:$B$5001,U$175,BD!$A$3:$A$5001,"&gt;="&amp;$C$7,BD!$A$3:$A$5001,"&lt;="&amp;$B186,BD!$Z$3:$Z$5001,"&lt;&gt;")=0,"",SUMIFS(BD!$Z$3:$Z$5001,BD!$B$3:$B$5001,U$175,BD!$A$3:$A$5001,_xlfn.MAXIFS(BD!$A$3:$A$5001,BD!$B$3:$B$5001,U$175,BD!$A$3:$A$5001,"&gt;="&amp;$C$7,BD!$A$3:$A$5001,"&lt;="&amp;$B186,BD!$Z$3:$Z$5001,"&lt;&gt;"))))</f>
        <v/>
      </c>
      <c r="V186" s="43" t="str">
        <f>IF(OR($B186="",$A186&gt;$B$9,V$175=""),"",IF(COUNTIFS(BD!$B$3:$B$5001,V$175,BD!$A$3:$A$5001,"&gt;="&amp;$C$7,BD!$A$3:$A$5001,"&lt;="&amp;$B186,BD!$Z$3:$Z$5001,"&lt;&gt;")=0,"",SUMIFS(BD!$Z$3:$Z$5001,BD!$B$3:$B$5001,V$175,BD!$A$3:$A$5001,_xlfn.MAXIFS(BD!$A$3:$A$5001,BD!$B$3:$B$5001,V$175,BD!$A$3:$A$5001,"&gt;="&amp;$C$7,BD!$A$3:$A$5001,"&lt;="&amp;$B186,BD!$Z$3:$Z$5001,"&lt;&gt;"))))</f>
        <v/>
      </c>
    </row>
    <row r="187">
      <c r="A187" s="38">
        <v>12</v>
      </c>
      <c r="B187" s="42">
        <f>$B$23</f>
        <v>46307</v>
      </c>
      <c r="C187" s="43" t="str">
        <f>IF(OR($B187="",$A187&gt;$B$9,C$175=""),"",IF(COUNTIFS(BD!$B$3:$B$5001,C$175,BD!$A$3:$A$5001,"&gt;="&amp;$C$7,BD!$A$3:$A$5001,"&lt;="&amp;$B187,BD!$Z$3:$Z$5001,"&lt;&gt;")=0,"",SUMIFS(BD!$Z$3:$Z$5001,BD!$B$3:$B$5001,C$175,BD!$A$3:$A$5001,_xlfn.MAXIFS(BD!$A$3:$A$5001,BD!$B$3:$B$5001,C$175,BD!$A$3:$A$5001,"&gt;="&amp;$C$7,BD!$A$3:$A$5001,"&lt;="&amp;$B187,BD!$Z$3:$Z$5001,"&lt;&gt;"))))</f>
        <v/>
      </c>
      <c r="D187" s="43" t="str">
        <f>IF(OR($B187="",$A187&gt;$B$9,D$175=""),"",IF(COUNTIFS(BD!$B$3:$B$5001,D$175,BD!$A$3:$A$5001,"&gt;="&amp;$C$7,BD!$A$3:$A$5001,"&lt;="&amp;$B187,BD!$Z$3:$Z$5001,"&lt;&gt;")=0,"",SUMIFS(BD!$Z$3:$Z$5001,BD!$B$3:$B$5001,D$175,BD!$A$3:$A$5001,_xlfn.MAXIFS(BD!$A$3:$A$5001,BD!$B$3:$B$5001,D$175,BD!$A$3:$A$5001,"&gt;="&amp;$C$7,BD!$A$3:$A$5001,"&lt;="&amp;$B187,BD!$Z$3:$Z$5001,"&lt;&gt;"))))</f>
        <v/>
      </c>
      <c r="E187" s="43" t="str">
        <f>IF(OR($B187="",$A187&gt;$B$9,E$175=""),"",IF(COUNTIFS(BD!$B$3:$B$5001,E$175,BD!$A$3:$A$5001,"&gt;="&amp;$C$7,BD!$A$3:$A$5001,"&lt;="&amp;$B187,BD!$Z$3:$Z$5001,"&lt;&gt;")=0,"",SUMIFS(BD!$Z$3:$Z$5001,BD!$B$3:$B$5001,E$175,BD!$A$3:$A$5001,_xlfn.MAXIFS(BD!$A$3:$A$5001,BD!$B$3:$B$5001,E$175,BD!$A$3:$A$5001,"&gt;="&amp;$C$7,BD!$A$3:$A$5001,"&lt;="&amp;$B187,BD!$Z$3:$Z$5001,"&lt;&gt;"))))</f>
        <v/>
      </c>
      <c r="F187" s="43" t="str">
        <f>IF(OR($B187="",$A187&gt;$B$9,F$175=""),"",IF(COUNTIFS(BD!$B$3:$B$5001,F$175,BD!$A$3:$A$5001,"&gt;="&amp;$C$7,BD!$A$3:$A$5001,"&lt;="&amp;$B187,BD!$Z$3:$Z$5001,"&lt;&gt;")=0,"",SUMIFS(BD!$Z$3:$Z$5001,BD!$B$3:$B$5001,F$175,BD!$A$3:$A$5001,_xlfn.MAXIFS(BD!$A$3:$A$5001,BD!$B$3:$B$5001,F$175,BD!$A$3:$A$5001,"&gt;="&amp;$C$7,BD!$A$3:$A$5001,"&lt;="&amp;$B187,BD!$Z$3:$Z$5001,"&lt;&gt;"))))</f>
        <v/>
      </c>
      <c r="G187" s="43" t="str">
        <f>IF(OR($B187="",$A187&gt;$B$9,G$175=""),"",IF(COUNTIFS(BD!$B$3:$B$5001,G$175,BD!$A$3:$A$5001,"&gt;="&amp;$C$7,BD!$A$3:$A$5001,"&lt;="&amp;$B187,BD!$Z$3:$Z$5001,"&lt;&gt;")=0,"",SUMIFS(BD!$Z$3:$Z$5001,BD!$B$3:$B$5001,G$175,BD!$A$3:$A$5001,_xlfn.MAXIFS(BD!$A$3:$A$5001,BD!$B$3:$B$5001,G$175,BD!$A$3:$A$5001,"&gt;="&amp;$C$7,BD!$A$3:$A$5001,"&lt;="&amp;$B187,BD!$Z$3:$Z$5001,"&lt;&gt;"))))</f>
        <v/>
      </c>
      <c r="H187" s="43" t="str">
        <f>IF(OR($B187="",$A187&gt;$B$9,H$175=""),"",IF(COUNTIFS(BD!$B$3:$B$5001,H$175,BD!$A$3:$A$5001,"&gt;="&amp;$C$7,BD!$A$3:$A$5001,"&lt;="&amp;$B187,BD!$Z$3:$Z$5001,"&lt;&gt;")=0,"",SUMIFS(BD!$Z$3:$Z$5001,BD!$B$3:$B$5001,H$175,BD!$A$3:$A$5001,_xlfn.MAXIFS(BD!$A$3:$A$5001,BD!$B$3:$B$5001,H$175,BD!$A$3:$A$5001,"&gt;="&amp;$C$7,BD!$A$3:$A$5001,"&lt;="&amp;$B187,BD!$Z$3:$Z$5001,"&lt;&gt;"))))</f>
        <v/>
      </c>
      <c r="I187" s="43" t="str">
        <f>IF(OR($B187="",$A187&gt;$B$9,I$175=""),"",IF(COUNTIFS(BD!$B$3:$B$5001,I$175,BD!$A$3:$A$5001,"&gt;="&amp;$C$7,BD!$A$3:$A$5001,"&lt;="&amp;$B187,BD!$Z$3:$Z$5001,"&lt;&gt;")=0,"",SUMIFS(BD!$Z$3:$Z$5001,BD!$B$3:$B$5001,I$175,BD!$A$3:$A$5001,_xlfn.MAXIFS(BD!$A$3:$A$5001,BD!$B$3:$B$5001,I$175,BD!$A$3:$A$5001,"&gt;="&amp;$C$7,BD!$A$3:$A$5001,"&lt;="&amp;$B187,BD!$Z$3:$Z$5001,"&lt;&gt;"))))</f>
        <v/>
      </c>
      <c r="J187" s="43" t="str">
        <f>IF(OR($B187="",$A187&gt;$B$9,J$175=""),"",IF(COUNTIFS(BD!$B$3:$B$5001,J$175,BD!$A$3:$A$5001,"&gt;="&amp;$C$7,BD!$A$3:$A$5001,"&lt;="&amp;$B187,BD!$Z$3:$Z$5001,"&lt;&gt;")=0,"",SUMIFS(BD!$Z$3:$Z$5001,BD!$B$3:$B$5001,J$175,BD!$A$3:$A$5001,_xlfn.MAXIFS(BD!$A$3:$A$5001,BD!$B$3:$B$5001,J$175,BD!$A$3:$A$5001,"&gt;="&amp;$C$7,BD!$A$3:$A$5001,"&lt;="&amp;$B187,BD!$Z$3:$Z$5001,"&lt;&gt;"))))</f>
        <v/>
      </c>
      <c r="K187" s="43" t="str">
        <f>IF(OR($B187="",$A187&gt;$B$9,K$175=""),"",IF(COUNTIFS(BD!$B$3:$B$5001,K$175,BD!$A$3:$A$5001,"&gt;="&amp;$C$7,BD!$A$3:$A$5001,"&lt;="&amp;$B187,BD!$Z$3:$Z$5001,"&lt;&gt;")=0,"",SUMIFS(BD!$Z$3:$Z$5001,BD!$B$3:$B$5001,K$175,BD!$A$3:$A$5001,_xlfn.MAXIFS(BD!$A$3:$A$5001,BD!$B$3:$B$5001,K$175,BD!$A$3:$A$5001,"&gt;="&amp;$C$7,BD!$A$3:$A$5001,"&lt;="&amp;$B187,BD!$Z$3:$Z$5001,"&lt;&gt;"))))</f>
        <v/>
      </c>
      <c r="L187" s="43" t="str">
        <f>IF(OR($B187="",$A187&gt;$B$9,L$175=""),"",IF(COUNTIFS(BD!$B$3:$B$5001,L$175,BD!$A$3:$A$5001,"&gt;="&amp;$C$7,BD!$A$3:$A$5001,"&lt;="&amp;$B187,BD!$Z$3:$Z$5001,"&lt;&gt;")=0,"",SUMIFS(BD!$Z$3:$Z$5001,BD!$B$3:$B$5001,L$175,BD!$A$3:$A$5001,_xlfn.MAXIFS(BD!$A$3:$A$5001,BD!$B$3:$B$5001,L$175,BD!$A$3:$A$5001,"&gt;="&amp;$C$7,BD!$A$3:$A$5001,"&lt;="&amp;$B187,BD!$Z$3:$Z$5001,"&lt;&gt;"))))</f>
        <v/>
      </c>
      <c r="M187" s="43" t="str">
        <f>IF(OR($B187="",$A187&gt;$B$9,M$175=""),"",IF(COUNTIFS(BD!$B$3:$B$5001,M$175,BD!$A$3:$A$5001,"&gt;="&amp;$C$7,BD!$A$3:$A$5001,"&lt;="&amp;$B187,BD!$Z$3:$Z$5001,"&lt;&gt;")=0,"",SUMIFS(BD!$Z$3:$Z$5001,BD!$B$3:$B$5001,M$175,BD!$A$3:$A$5001,_xlfn.MAXIFS(BD!$A$3:$A$5001,BD!$B$3:$B$5001,M$175,BD!$A$3:$A$5001,"&gt;="&amp;$C$7,BD!$A$3:$A$5001,"&lt;="&amp;$B187,BD!$Z$3:$Z$5001,"&lt;&gt;"))))</f>
        <v/>
      </c>
      <c r="N187" s="43" t="str">
        <f>IF(OR($B187="",$A187&gt;$B$9,N$175=""),"",IF(COUNTIFS(BD!$B$3:$B$5001,N$175,BD!$A$3:$A$5001,"&gt;="&amp;$C$7,BD!$A$3:$A$5001,"&lt;="&amp;$B187,BD!$Z$3:$Z$5001,"&lt;&gt;")=0,"",SUMIFS(BD!$Z$3:$Z$5001,BD!$B$3:$B$5001,N$175,BD!$A$3:$A$5001,_xlfn.MAXIFS(BD!$A$3:$A$5001,BD!$B$3:$B$5001,N$175,BD!$A$3:$A$5001,"&gt;="&amp;$C$7,BD!$A$3:$A$5001,"&lt;="&amp;$B187,BD!$Z$3:$Z$5001,"&lt;&gt;"))))</f>
        <v/>
      </c>
      <c r="O187" s="43" t="str">
        <f>IF(OR($B187="",$A187&gt;$B$9,O$175=""),"",IF(COUNTIFS(BD!$B$3:$B$5001,O$175,BD!$A$3:$A$5001,"&gt;="&amp;$C$7,BD!$A$3:$A$5001,"&lt;="&amp;$B187,BD!$Z$3:$Z$5001,"&lt;&gt;")=0,"",SUMIFS(BD!$Z$3:$Z$5001,BD!$B$3:$B$5001,O$175,BD!$A$3:$A$5001,_xlfn.MAXIFS(BD!$A$3:$A$5001,BD!$B$3:$B$5001,O$175,BD!$A$3:$A$5001,"&gt;="&amp;$C$7,BD!$A$3:$A$5001,"&lt;="&amp;$B187,BD!$Z$3:$Z$5001,"&lt;&gt;"))))</f>
        <v/>
      </c>
      <c r="P187" s="43" t="str">
        <f>IF(OR($B187="",$A187&gt;$B$9,P$175=""),"",IF(COUNTIFS(BD!$B$3:$B$5001,P$175,BD!$A$3:$A$5001,"&gt;="&amp;$C$7,BD!$A$3:$A$5001,"&lt;="&amp;$B187,BD!$Z$3:$Z$5001,"&lt;&gt;")=0,"",SUMIFS(BD!$Z$3:$Z$5001,BD!$B$3:$B$5001,P$175,BD!$A$3:$A$5001,_xlfn.MAXIFS(BD!$A$3:$A$5001,BD!$B$3:$B$5001,P$175,BD!$A$3:$A$5001,"&gt;="&amp;$C$7,BD!$A$3:$A$5001,"&lt;="&amp;$B187,BD!$Z$3:$Z$5001,"&lt;&gt;"))))</f>
        <v/>
      </c>
      <c r="Q187" s="43" t="str">
        <f>IF(OR($B187="",$A187&gt;$B$9,Q$175=""),"",IF(COUNTIFS(BD!$B$3:$B$5001,Q$175,BD!$A$3:$A$5001,"&gt;="&amp;$C$7,BD!$A$3:$A$5001,"&lt;="&amp;$B187,BD!$Z$3:$Z$5001,"&lt;&gt;")=0,"",SUMIFS(BD!$Z$3:$Z$5001,BD!$B$3:$B$5001,Q$175,BD!$A$3:$A$5001,_xlfn.MAXIFS(BD!$A$3:$A$5001,BD!$B$3:$B$5001,Q$175,BD!$A$3:$A$5001,"&gt;="&amp;$C$7,BD!$A$3:$A$5001,"&lt;="&amp;$B187,BD!$Z$3:$Z$5001,"&lt;&gt;"))))</f>
        <v/>
      </c>
      <c r="R187" s="43" t="str">
        <f>IF(OR($B187="",$A187&gt;$B$9,R$175=""),"",IF(COUNTIFS(BD!$B$3:$B$5001,R$175,BD!$A$3:$A$5001,"&gt;="&amp;$C$7,BD!$A$3:$A$5001,"&lt;="&amp;$B187,BD!$Z$3:$Z$5001,"&lt;&gt;")=0,"",SUMIFS(BD!$Z$3:$Z$5001,BD!$B$3:$B$5001,R$175,BD!$A$3:$A$5001,_xlfn.MAXIFS(BD!$A$3:$A$5001,BD!$B$3:$B$5001,R$175,BD!$A$3:$A$5001,"&gt;="&amp;$C$7,BD!$A$3:$A$5001,"&lt;="&amp;$B187,BD!$Z$3:$Z$5001,"&lt;&gt;"))))</f>
        <v/>
      </c>
      <c r="S187" s="43" t="str">
        <f>IF(OR($B187="",$A187&gt;$B$9,S$175=""),"",IF(COUNTIFS(BD!$B$3:$B$5001,S$175,BD!$A$3:$A$5001,"&gt;="&amp;$C$7,BD!$A$3:$A$5001,"&lt;="&amp;$B187,BD!$Z$3:$Z$5001,"&lt;&gt;")=0,"",SUMIFS(BD!$Z$3:$Z$5001,BD!$B$3:$B$5001,S$175,BD!$A$3:$A$5001,_xlfn.MAXIFS(BD!$A$3:$A$5001,BD!$B$3:$B$5001,S$175,BD!$A$3:$A$5001,"&gt;="&amp;$C$7,BD!$A$3:$A$5001,"&lt;="&amp;$B187,BD!$Z$3:$Z$5001,"&lt;&gt;"))))</f>
        <v/>
      </c>
      <c r="T187" s="43" t="str">
        <f>IF(OR($B187="",$A187&gt;$B$9,T$175=""),"",IF(COUNTIFS(BD!$B$3:$B$5001,T$175,BD!$A$3:$A$5001,"&gt;="&amp;$C$7,BD!$A$3:$A$5001,"&lt;="&amp;$B187,BD!$Z$3:$Z$5001,"&lt;&gt;")=0,"",SUMIFS(BD!$Z$3:$Z$5001,BD!$B$3:$B$5001,T$175,BD!$A$3:$A$5001,_xlfn.MAXIFS(BD!$A$3:$A$5001,BD!$B$3:$B$5001,T$175,BD!$A$3:$A$5001,"&gt;="&amp;$C$7,BD!$A$3:$A$5001,"&lt;="&amp;$B187,BD!$Z$3:$Z$5001,"&lt;&gt;"))))</f>
        <v/>
      </c>
      <c r="U187" s="43" t="str">
        <f>IF(OR($B187="",$A187&gt;$B$9,U$175=""),"",IF(COUNTIFS(BD!$B$3:$B$5001,U$175,BD!$A$3:$A$5001,"&gt;="&amp;$C$7,BD!$A$3:$A$5001,"&lt;="&amp;$B187,BD!$Z$3:$Z$5001,"&lt;&gt;")=0,"",SUMIFS(BD!$Z$3:$Z$5001,BD!$B$3:$B$5001,U$175,BD!$A$3:$A$5001,_xlfn.MAXIFS(BD!$A$3:$A$5001,BD!$B$3:$B$5001,U$175,BD!$A$3:$A$5001,"&gt;="&amp;$C$7,BD!$A$3:$A$5001,"&lt;="&amp;$B187,BD!$Z$3:$Z$5001,"&lt;&gt;"))))</f>
        <v/>
      </c>
      <c r="V187" s="43" t="str">
        <f>IF(OR($B187="",$A187&gt;$B$9,V$175=""),"",IF(COUNTIFS(BD!$B$3:$B$5001,V$175,BD!$A$3:$A$5001,"&gt;="&amp;$C$7,BD!$A$3:$A$5001,"&lt;="&amp;$B187,BD!$Z$3:$Z$5001,"&lt;&gt;")=0,"",SUMIFS(BD!$Z$3:$Z$5001,BD!$B$3:$B$5001,V$175,BD!$A$3:$A$5001,_xlfn.MAXIFS(BD!$A$3:$A$5001,BD!$B$3:$B$5001,V$175,BD!$A$3:$A$5001,"&gt;="&amp;$C$7,BD!$A$3:$A$5001,"&lt;="&amp;$B187,BD!$Z$3:$Z$5001,"&lt;&gt;"))))</f>
        <v/>
      </c>
    </row>
    <row r="188">
      <c r="A188" s="38">
        <v>13</v>
      </c>
      <c r="B188" s="42">
        <f>$B$24</f>
        <v>46308</v>
      </c>
      <c r="C188" s="43" t="str">
        <f>IF(OR($B188="",$A188&gt;$B$9,C$175=""),"",IF(COUNTIFS(BD!$B$3:$B$5001,C$175,BD!$A$3:$A$5001,"&gt;="&amp;$C$7,BD!$A$3:$A$5001,"&lt;="&amp;$B188,BD!$Z$3:$Z$5001,"&lt;&gt;")=0,"",SUMIFS(BD!$Z$3:$Z$5001,BD!$B$3:$B$5001,C$175,BD!$A$3:$A$5001,_xlfn.MAXIFS(BD!$A$3:$A$5001,BD!$B$3:$B$5001,C$175,BD!$A$3:$A$5001,"&gt;="&amp;$C$7,BD!$A$3:$A$5001,"&lt;="&amp;$B188,BD!$Z$3:$Z$5001,"&lt;&gt;"))))</f>
        <v/>
      </c>
      <c r="D188" s="43" t="str">
        <f>IF(OR($B188="",$A188&gt;$B$9,D$175=""),"",IF(COUNTIFS(BD!$B$3:$B$5001,D$175,BD!$A$3:$A$5001,"&gt;="&amp;$C$7,BD!$A$3:$A$5001,"&lt;="&amp;$B188,BD!$Z$3:$Z$5001,"&lt;&gt;")=0,"",SUMIFS(BD!$Z$3:$Z$5001,BD!$B$3:$B$5001,D$175,BD!$A$3:$A$5001,_xlfn.MAXIFS(BD!$A$3:$A$5001,BD!$B$3:$B$5001,D$175,BD!$A$3:$A$5001,"&gt;="&amp;$C$7,BD!$A$3:$A$5001,"&lt;="&amp;$B188,BD!$Z$3:$Z$5001,"&lt;&gt;"))))</f>
        <v/>
      </c>
      <c r="E188" s="43" t="str">
        <f>IF(OR($B188="",$A188&gt;$B$9,E$175=""),"",IF(COUNTIFS(BD!$B$3:$B$5001,E$175,BD!$A$3:$A$5001,"&gt;="&amp;$C$7,BD!$A$3:$A$5001,"&lt;="&amp;$B188,BD!$Z$3:$Z$5001,"&lt;&gt;")=0,"",SUMIFS(BD!$Z$3:$Z$5001,BD!$B$3:$B$5001,E$175,BD!$A$3:$A$5001,_xlfn.MAXIFS(BD!$A$3:$A$5001,BD!$B$3:$B$5001,E$175,BD!$A$3:$A$5001,"&gt;="&amp;$C$7,BD!$A$3:$A$5001,"&lt;="&amp;$B188,BD!$Z$3:$Z$5001,"&lt;&gt;"))))</f>
        <v/>
      </c>
      <c r="F188" s="43" t="str">
        <f>IF(OR($B188="",$A188&gt;$B$9,F$175=""),"",IF(COUNTIFS(BD!$B$3:$B$5001,F$175,BD!$A$3:$A$5001,"&gt;="&amp;$C$7,BD!$A$3:$A$5001,"&lt;="&amp;$B188,BD!$Z$3:$Z$5001,"&lt;&gt;")=0,"",SUMIFS(BD!$Z$3:$Z$5001,BD!$B$3:$B$5001,F$175,BD!$A$3:$A$5001,_xlfn.MAXIFS(BD!$A$3:$A$5001,BD!$B$3:$B$5001,F$175,BD!$A$3:$A$5001,"&gt;="&amp;$C$7,BD!$A$3:$A$5001,"&lt;="&amp;$B188,BD!$Z$3:$Z$5001,"&lt;&gt;"))))</f>
        <v/>
      </c>
      <c r="G188" s="43" t="str">
        <f>IF(OR($B188="",$A188&gt;$B$9,G$175=""),"",IF(COUNTIFS(BD!$B$3:$B$5001,G$175,BD!$A$3:$A$5001,"&gt;="&amp;$C$7,BD!$A$3:$A$5001,"&lt;="&amp;$B188,BD!$Z$3:$Z$5001,"&lt;&gt;")=0,"",SUMIFS(BD!$Z$3:$Z$5001,BD!$B$3:$B$5001,G$175,BD!$A$3:$A$5001,_xlfn.MAXIFS(BD!$A$3:$A$5001,BD!$B$3:$B$5001,G$175,BD!$A$3:$A$5001,"&gt;="&amp;$C$7,BD!$A$3:$A$5001,"&lt;="&amp;$B188,BD!$Z$3:$Z$5001,"&lt;&gt;"))))</f>
        <v/>
      </c>
      <c r="H188" s="43" t="str">
        <f>IF(OR($B188="",$A188&gt;$B$9,H$175=""),"",IF(COUNTIFS(BD!$B$3:$B$5001,H$175,BD!$A$3:$A$5001,"&gt;="&amp;$C$7,BD!$A$3:$A$5001,"&lt;="&amp;$B188,BD!$Z$3:$Z$5001,"&lt;&gt;")=0,"",SUMIFS(BD!$Z$3:$Z$5001,BD!$B$3:$B$5001,H$175,BD!$A$3:$A$5001,_xlfn.MAXIFS(BD!$A$3:$A$5001,BD!$B$3:$B$5001,H$175,BD!$A$3:$A$5001,"&gt;="&amp;$C$7,BD!$A$3:$A$5001,"&lt;="&amp;$B188,BD!$Z$3:$Z$5001,"&lt;&gt;"))))</f>
        <v/>
      </c>
      <c r="I188" s="43" t="str">
        <f>IF(OR($B188="",$A188&gt;$B$9,I$175=""),"",IF(COUNTIFS(BD!$B$3:$B$5001,I$175,BD!$A$3:$A$5001,"&gt;="&amp;$C$7,BD!$A$3:$A$5001,"&lt;="&amp;$B188,BD!$Z$3:$Z$5001,"&lt;&gt;")=0,"",SUMIFS(BD!$Z$3:$Z$5001,BD!$B$3:$B$5001,I$175,BD!$A$3:$A$5001,_xlfn.MAXIFS(BD!$A$3:$A$5001,BD!$B$3:$B$5001,I$175,BD!$A$3:$A$5001,"&gt;="&amp;$C$7,BD!$A$3:$A$5001,"&lt;="&amp;$B188,BD!$Z$3:$Z$5001,"&lt;&gt;"))))</f>
        <v/>
      </c>
      <c r="J188" s="43" t="str">
        <f>IF(OR($B188="",$A188&gt;$B$9,J$175=""),"",IF(COUNTIFS(BD!$B$3:$B$5001,J$175,BD!$A$3:$A$5001,"&gt;="&amp;$C$7,BD!$A$3:$A$5001,"&lt;="&amp;$B188,BD!$Z$3:$Z$5001,"&lt;&gt;")=0,"",SUMIFS(BD!$Z$3:$Z$5001,BD!$B$3:$B$5001,J$175,BD!$A$3:$A$5001,_xlfn.MAXIFS(BD!$A$3:$A$5001,BD!$B$3:$B$5001,J$175,BD!$A$3:$A$5001,"&gt;="&amp;$C$7,BD!$A$3:$A$5001,"&lt;="&amp;$B188,BD!$Z$3:$Z$5001,"&lt;&gt;"))))</f>
        <v/>
      </c>
      <c r="K188" s="43" t="str">
        <f>IF(OR($B188="",$A188&gt;$B$9,K$175=""),"",IF(COUNTIFS(BD!$B$3:$B$5001,K$175,BD!$A$3:$A$5001,"&gt;="&amp;$C$7,BD!$A$3:$A$5001,"&lt;="&amp;$B188,BD!$Z$3:$Z$5001,"&lt;&gt;")=0,"",SUMIFS(BD!$Z$3:$Z$5001,BD!$B$3:$B$5001,K$175,BD!$A$3:$A$5001,_xlfn.MAXIFS(BD!$A$3:$A$5001,BD!$B$3:$B$5001,K$175,BD!$A$3:$A$5001,"&gt;="&amp;$C$7,BD!$A$3:$A$5001,"&lt;="&amp;$B188,BD!$Z$3:$Z$5001,"&lt;&gt;"))))</f>
        <v/>
      </c>
      <c r="L188" s="43" t="str">
        <f>IF(OR($B188="",$A188&gt;$B$9,L$175=""),"",IF(COUNTIFS(BD!$B$3:$B$5001,L$175,BD!$A$3:$A$5001,"&gt;="&amp;$C$7,BD!$A$3:$A$5001,"&lt;="&amp;$B188,BD!$Z$3:$Z$5001,"&lt;&gt;")=0,"",SUMIFS(BD!$Z$3:$Z$5001,BD!$B$3:$B$5001,L$175,BD!$A$3:$A$5001,_xlfn.MAXIFS(BD!$A$3:$A$5001,BD!$B$3:$B$5001,L$175,BD!$A$3:$A$5001,"&gt;="&amp;$C$7,BD!$A$3:$A$5001,"&lt;="&amp;$B188,BD!$Z$3:$Z$5001,"&lt;&gt;"))))</f>
        <v/>
      </c>
      <c r="M188" s="43" t="str">
        <f>IF(OR($B188="",$A188&gt;$B$9,M$175=""),"",IF(COUNTIFS(BD!$B$3:$B$5001,M$175,BD!$A$3:$A$5001,"&gt;="&amp;$C$7,BD!$A$3:$A$5001,"&lt;="&amp;$B188,BD!$Z$3:$Z$5001,"&lt;&gt;")=0,"",SUMIFS(BD!$Z$3:$Z$5001,BD!$B$3:$B$5001,M$175,BD!$A$3:$A$5001,_xlfn.MAXIFS(BD!$A$3:$A$5001,BD!$B$3:$B$5001,M$175,BD!$A$3:$A$5001,"&gt;="&amp;$C$7,BD!$A$3:$A$5001,"&lt;="&amp;$B188,BD!$Z$3:$Z$5001,"&lt;&gt;"))))</f>
        <v/>
      </c>
      <c r="N188" s="43" t="str">
        <f>IF(OR($B188="",$A188&gt;$B$9,N$175=""),"",IF(COUNTIFS(BD!$B$3:$B$5001,N$175,BD!$A$3:$A$5001,"&gt;="&amp;$C$7,BD!$A$3:$A$5001,"&lt;="&amp;$B188,BD!$Z$3:$Z$5001,"&lt;&gt;")=0,"",SUMIFS(BD!$Z$3:$Z$5001,BD!$B$3:$B$5001,N$175,BD!$A$3:$A$5001,_xlfn.MAXIFS(BD!$A$3:$A$5001,BD!$B$3:$B$5001,N$175,BD!$A$3:$A$5001,"&gt;="&amp;$C$7,BD!$A$3:$A$5001,"&lt;="&amp;$B188,BD!$Z$3:$Z$5001,"&lt;&gt;"))))</f>
        <v/>
      </c>
      <c r="O188" s="43" t="str">
        <f>IF(OR($B188="",$A188&gt;$B$9,O$175=""),"",IF(COUNTIFS(BD!$B$3:$B$5001,O$175,BD!$A$3:$A$5001,"&gt;="&amp;$C$7,BD!$A$3:$A$5001,"&lt;="&amp;$B188,BD!$Z$3:$Z$5001,"&lt;&gt;")=0,"",SUMIFS(BD!$Z$3:$Z$5001,BD!$B$3:$B$5001,O$175,BD!$A$3:$A$5001,_xlfn.MAXIFS(BD!$A$3:$A$5001,BD!$B$3:$B$5001,O$175,BD!$A$3:$A$5001,"&gt;="&amp;$C$7,BD!$A$3:$A$5001,"&lt;="&amp;$B188,BD!$Z$3:$Z$5001,"&lt;&gt;"))))</f>
        <v/>
      </c>
      <c r="P188" s="43" t="str">
        <f>IF(OR($B188="",$A188&gt;$B$9,P$175=""),"",IF(COUNTIFS(BD!$B$3:$B$5001,P$175,BD!$A$3:$A$5001,"&gt;="&amp;$C$7,BD!$A$3:$A$5001,"&lt;="&amp;$B188,BD!$Z$3:$Z$5001,"&lt;&gt;")=0,"",SUMIFS(BD!$Z$3:$Z$5001,BD!$B$3:$B$5001,P$175,BD!$A$3:$A$5001,_xlfn.MAXIFS(BD!$A$3:$A$5001,BD!$B$3:$B$5001,P$175,BD!$A$3:$A$5001,"&gt;="&amp;$C$7,BD!$A$3:$A$5001,"&lt;="&amp;$B188,BD!$Z$3:$Z$5001,"&lt;&gt;"))))</f>
        <v/>
      </c>
      <c r="Q188" s="43" t="str">
        <f>IF(OR($B188="",$A188&gt;$B$9,Q$175=""),"",IF(COUNTIFS(BD!$B$3:$B$5001,Q$175,BD!$A$3:$A$5001,"&gt;="&amp;$C$7,BD!$A$3:$A$5001,"&lt;="&amp;$B188,BD!$Z$3:$Z$5001,"&lt;&gt;")=0,"",SUMIFS(BD!$Z$3:$Z$5001,BD!$B$3:$B$5001,Q$175,BD!$A$3:$A$5001,_xlfn.MAXIFS(BD!$A$3:$A$5001,BD!$B$3:$B$5001,Q$175,BD!$A$3:$A$5001,"&gt;="&amp;$C$7,BD!$A$3:$A$5001,"&lt;="&amp;$B188,BD!$Z$3:$Z$5001,"&lt;&gt;"))))</f>
        <v/>
      </c>
      <c r="R188" s="43" t="str">
        <f>IF(OR($B188="",$A188&gt;$B$9,R$175=""),"",IF(COUNTIFS(BD!$B$3:$B$5001,R$175,BD!$A$3:$A$5001,"&gt;="&amp;$C$7,BD!$A$3:$A$5001,"&lt;="&amp;$B188,BD!$Z$3:$Z$5001,"&lt;&gt;")=0,"",SUMIFS(BD!$Z$3:$Z$5001,BD!$B$3:$B$5001,R$175,BD!$A$3:$A$5001,_xlfn.MAXIFS(BD!$A$3:$A$5001,BD!$B$3:$B$5001,R$175,BD!$A$3:$A$5001,"&gt;="&amp;$C$7,BD!$A$3:$A$5001,"&lt;="&amp;$B188,BD!$Z$3:$Z$5001,"&lt;&gt;"))))</f>
        <v/>
      </c>
      <c r="S188" s="43" t="str">
        <f>IF(OR($B188="",$A188&gt;$B$9,S$175=""),"",IF(COUNTIFS(BD!$B$3:$B$5001,S$175,BD!$A$3:$A$5001,"&gt;="&amp;$C$7,BD!$A$3:$A$5001,"&lt;="&amp;$B188,BD!$Z$3:$Z$5001,"&lt;&gt;")=0,"",SUMIFS(BD!$Z$3:$Z$5001,BD!$B$3:$B$5001,S$175,BD!$A$3:$A$5001,_xlfn.MAXIFS(BD!$A$3:$A$5001,BD!$B$3:$B$5001,S$175,BD!$A$3:$A$5001,"&gt;="&amp;$C$7,BD!$A$3:$A$5001,"&lt;="&amp;$B188,BD!$Z$3:$Z$5001,"&lt;&gt;"))))</f>
        <v/>
      </c>
      <c r="T188" s="43" t="str">
        <f>IF(OR($B188="",$A188&gt;$B$9,T$175=""),"",IF(COUNTIFS(BD!$B$3:$B$5001,T$175,BD!$A$3:$A$5001,"&gt;="&amp;$C$7,BD!$A$3:$A$5001,"&lt;="&amp;$B188,BD!$Z$3:$Z$5001,"&lt;&gt;")=0,"",SUMIFS(BD!$Z$3:$Z$5001,BD!$B$3:$B$5001,T$175,BD!$A$3:$A$5001,_xlfn.MAXIFS(BD!$A$3:$A$5001,BD!$B$3:$B$5001,T$175,BD!$A$3:$A$5001,"&gt;="&amp;$C$7,BD!$A$3:$A$5001,"&lt;="&amp;$B188,BD!$Z$3:$Z$5001,"&lt;&gt;"))))</f>
        <v/>
      </c>
      <c r="U188" s="43" t="str">
        <f>IF(OR($B188="",$A188&gt;$B$9,U$175=""),"",IF(COUNTIFS(BD!$B$3:$B$5001,U$175,BD!$A$3:$A$5001,"&gt;="&amp;$C$7,BD!$A$3:$A$5001,"&lt;="&amp;$B188,BD!$Z$3:$Z$5001,"&lt;&gt;")=0,"",SUMIFS(BD!$Z$3:$Z$5001,BD!$B$3:$B$5001,U$175,BD!$A$3:$A$5001,_xlfn.MAXIFS(BD!$A$3:$A$5001,BD!$B$3:$B$5001,U$175,BD!$A$3:$A$5001,"&gt;="&amp;$C$7,BD!$A$3:$A$5001,"&lt;="&amp;$B188,BD!$Z$3:$Z$5001,"&lt;&gt;"))))</f>
        <v/>
      </c>
      <c r="V188" s="43" t="str">
        <f>IF(OR($B188="",$A188&gt;$B$9,V$175=""),"",IF(COUNTIFS(BD!$B$3:$B$5001,V$175,BD!$A$3:$A$5001,"&gt;="&amp;$C$7,BD!$A$3:$A$5001,"&lt;="&amp;$B188,BD!$Z$3:$Z$5001,"&lt;&gt;")=0,"",SUMIFS(BD!$Z$3:$Z$5001,BD!$B$3:$B$5001,V$175,BD!$A$3:$A$5001,_xlfn.MAXIFS(BD!$A$3:$A$5001,BD!$B$3:$B$5001,V$175,BD!$A$3:$A$5001,"&gt;="&amp;$C$7,BD!$A$3:$A$5001,"&lt;="&amp;$B188,BD!$Z$3:$Z$5001,"&lt;&gt;"))))</f>
        <v/>
      </c>
    </row>
    <row r="189">
      <c r="A189" s="38">
        <v>14</v>
      </c>
      <c r="B189" s="42">
        <f>$B$25</f>
        <v>46309</v>
      </c>
      <c r="C189" s="43" t="str">
        <f>IF(OR($B189="",$A189&gt;$B$9,C$175=""),"",IF(COUNTIFS(BD!$B$3:$B$5001,C$175,BD!$A$3:$A$5001,"&gt;="&amp;$C$7,BD!$A$3:$A$5001,"&lt;="&amp;$B189,BD!$Z$3:$Z$5001,"&lt;&gt;")=0,"",SUMIFS(BD!$Z$3:$Z$5001,BD!$B$3:$B$5001,C$175,BD!$A$3:$A$5001,_xlfn.MAXIFS(BD!$A$3:$A$5001,BD!$B$3:$B$5001,C$175,BD!$A$3:$A$5001,"&gt;="&amp;$C$7,BD!$A$3:$A$5001,"&lt;="&amp;$B189,BD!$Z$3:$Z$5001,"&lt;&gt;"))))</f>
        <v/>
      </c>
      <c r="D189" s="43" t="str">
        <f>IF(OR($B189="",$A189&gt;$B$9,D$175=""),"",IF(COUNTIFS(BD!$B$3:$B$5001,D$175,BD!$A$3:$A$5001,"&gt;="&amp;$C$7,BD!$A$3:$A$5001,"&lt;="&amp;$B189,BD!$Z$3:$Z$5001,"&lt;&gt;")=0,"",SUMIFS(BD!$Z$3:$Z$5001,BD!$B$3:$B$5001,D$175,BD!$A$3:$A$5001,_xlfn.MAXIFS(BD!$A$3:$A$5001,BD!$B$3:$B$5001,D$175,BD!$A$3:$A$5001,"&gt;="&amp;$C$7,BD!$A$3:$A$5001,"&lt;="&amp;$B189,BD!$Z$3:$Z$5001,"&lt;&gt;"))))</f>
        <v/>
      </c>
      <c r="E189" s="43" t="str">
        <f>IF(OR($B189="",$A189&gt;$B$9,E$175=""),"",IF(COUNTIFS(BD!$B$3:$B$5001,E$175,BD!$A$3:$A$5001,"&gt;="&amp;$C$7,BD!$A$3:$A$5001,"&lt;="&amp;$B189,BD!$Z$3:$Z$5001,"&lt;&gt;")=0,"",SUMIFS(BD!$Z$3:$Z$5001,BD!$B$3:$B$5001,E$175,BD!$A$3:$A$5001,_xlfn.MAXIFS(BD!$A$3:$A$5001,BD!$B$3:$B$5001,E$175,BD!$A$3:$A$5001,"&gt;="&amp;$C$7,BD!$A$3:$A$5001,"&lt;="&amp;$B189,BD!$Z$3:$Z$5001,"&lt;&gt;"))))</f>
        <v/>
      </c>
      <c r="F189" s="43" t="str">
        <f>IF(OR($B189="",$A189&gt;$B$9,F$175=""),"",IF(COUNTIFS(BD!$B$3:$B$5001,F$175,BD!$A$3:$A$5001,"&gt;="&amp;$C$7,BD!$A$3:$A$5001,"&lt;="&amp;$B189,BD!$Z$3:$Z$5001,"&lt;&gt;")=0,"",SUMIFS(BD!$Z$3:$Z$5001,BD!$B$3:$B$5001,F$175,BD!$A$3:$A$5001,_xlfn.MAXIFS(BD!$A$3:$A$5001,BD!$B$3:$B$5001,F$175,BD!$A$3:$A$5001,"&gt;="&amp;$C$7,BD!$A$3:$A$5001,"&lt;="&amp;$B189,BD!$Z$3:$Z$5001,"&lt;&gt;"))))</f>
        <v/>
      </c>
      <c r="G189" s="43" t="str">
        <f>IF(OR($B189="",$A189&gt;$B$9,G$175=""),"",IF(COUNTIFS(BD!$B$3:$B$5001,G$175,BD!$A$3:$A$5001,"&gt;="&amp;$C$7,BD!$A$3:$A$5001,"&lt;="&amp;$B189,BD!$Z$3:$Z$5001,"&lt;&gt;")=0,"",SUMIFS(BD!$Z$3:$Z$5001,BD!$B$3:$B$5001,G$175,BD!$A$3:$A$5001,_xlfn.MAXIFS(BD!$A$3:$A$5001,BD!$B$3:$B$5001,G$175,BD!$A$3:$A$5001,"&gt;="&amp;$C$7,BD!$A$3:$A$5001,"&lt;="&amp;$B189,BD!$Z$3:$Z$5001,"&lt;&gt;"))))</f>
        <v/>
      </c>
      <c r="H189" s="43" t="str">
        <f>IF(OR($B189="",$A189&gt;$B$9,H$175=""),"",IF(COUNTIFS(BD!$B$3:$B$5001,H$175,BD!$A$3:$A$5001,"&gt;="&amp;$C$7,BD!$A$3:$A$5001,"&lt;="&amp;$B189,BD!$Z$3:$Z$5001,"&lt;&gt;")=0,"",SUMIFS(BD!$Z$3:$Z$5001,BD!$B$3:$B$5001,H$175,BD!$A$3:$A$5001,_xlfn.MAXIFS(BD!$A$3:$A$5001,BD!$B$3:$B$5001,H$175,BD!$A$3:$A$5001,"&gt;="&amp;$C$7,BD!$A$3:$A$5001,"&lt;="&amp;$B189,BD!$Z$3:$Z$5001,"&lt;&gt;"))))</f>
        <v/>
      </c>
      <c r="I189" s="43" t="str">
        <f>IF(OR($B189="",$A189&gt;$B$9,I$175=""),"",IF(COUNTIFS(BD!$B$3:$B$5001,I$175,BD!$A$3:$A$5001,"&gt;="&amp;$C$7,BD!$A$3:$A$5001,"&lt;="&amp;$B189,BD!$Z$3:$Z$5001,"&lt;&gt;")=0,"",SUMIFS(BD!$Z$3:$Z$5001,BD!$B$3:$B$5001,I$175,BD!$A$3:$A$5001,_xlfn.MAXIFS(BD!$A$3:$A$5001,BD!$B$3:$B$5001,I$175,BD!$A$3:$A$5001,"&gt;="&amp;$C$7,BD!$A$3:$A$5001,"&lt;="&amp;$B189,BD!$Z$3:$Z$5001,"&lt;&gt;"))))</f>
        <v/>
      </c>
      <c r="J189" s="43" t="str">
        <f>IF(OR($B189="",$A189&gt;$B$9,J$175=""),"",IF(COUNTIFS(BD!$B$3:$B$5001,J$175,BD!$A$3:$A$5001,"&gt;="&amp;$C$7,BD!$A$3:$A$5001,"&lt;="&amp;$B189,BD!$Z$3:$Z$5001,"&lt;&gt;")=0,"",SUMIFS(BD!$Z$3:$Z$5001,BD!$B$3:$B$5001,J$175,BD!$A$3:$A$5001,_xlfn.MAXIFS(BD!$A$3:$A$5001,BD!$B$3:$B$5001,J$175,BD!$A$3:$A$5001,"&gt;="&amp;$C$7,BD!$A$3:$A$5001,"&lt;="&amp;$B189,BD!$Z$3:$Z$5001,"&lt;&gt;"))))</f>
        <v/>
      </c>
      <c r="K189" s="43" t="str">
        <f>IF(OR($B189="",$A189&gt;$B$9,K$175=""),"",IF(COUNTIFS(BD!$B$3:$B$5001,K$175,BD!$A$3:$A$5001,"&gt;="&amp;$C$7,BD!$A$3:$A$5001,"&lt;="&amp;$B189,BD!$Z$3:$Z$5001,"&lt;&gt;")=0,"",SUMIFS(BD!$Z$3:$Z$5001,BD!$B$3:$B$5001,K$175,BD!$A$3:$A$5001,_xlfn.MAXIFS(BD!$A$3:$A$5001,BD!$B$3:$B$5001,K$175,BD!$A$3:$A$5001,"&gt;="&amp;$C$7,BD!$A$3:$A$5001,"&lt;="&amp;$B189,BD!$Z$3:$Z$5001,"&lt;&gt;"))))</f>
        <v/>
      </c>
      <c r="L189" s="43" t="str">
        <f>IF(OR($B189="",$A189&gt;$B$9,L$175=""),"",IF(COUNTIFS(BD!$B$3:$B$5001,L$175,BD!$A$3:$A$5001,"&gt;="&amp;$C$7,BD!$A$3:$A$5001,"&lt;="&amp;$B189,BD!$Z$3:$Z$5001,"&lt;&gt;")=0,"",SUMIFS(BD!$Z$3:$Z$5001,BD!$B$3:$B$5001,L$175,BD!$A$3:$A$5001,_xlfn.MAXIFS(BD!$A$3:$A$5001,BD!$B$3:$B$5001,L$175,BD!$A$3:$A$5001,"&gt;="&amp;$C$7,BD!$A$3:$A$5001,"&lt;="&amp;$B189,BD!$Z$3:$Z$5001,"&lt;&gt;"))))</f>
        <v/>
      </c>
      <c r="M189" s="43" t="str">
        <f>IF(OR($B189="",$A189&gt;$B$9,M$175=""),"",IF(COUNTIFS(BD!$B$3:$B$5001,M$175,BD!$A$3:$A$5001,"&gt;="&amp;$C$7,BD!$A$3:$A$5001,"&lt;="&amp;$B189,BD!$Z$3:$Z$5001,"&lt;&gt;")=0,"",SUMIFS(BD!$Z$3:$Z$5001,BD!$B$3:$B$5001,M$175,BD!$A$3:$A$5001,_xlfn.MAXIFS(BD!$A$3:$A$5001,BD!$B$3:$B$5001,M$175,BD!$A$3:$A$5001,"&gt;="&amp;$C$7,BD!$A$3:$A$5001,"&lt;="&amp;$B189,BD!$Z$3:$Z$5001,"&lt;&gt;"))))</f>
        <v/>
      </c>
      <c r="N189" s="43" t="str">
        <f>IF(OR($B189="",$A189&gt;$B$9,N$175=""),"",IF(COUNTIFS(BD!$B$3:$B$5001,N$175,BD!$A$3:$A$5001,"&gt;="&amp;$C$7,BD!$A$3:$A$5001,"&lt;="&amp;$B189,BD!$Z$3:$Z$5001,"&lt;&gt;")=0,"",SUMIFS(BD!$Z$3:$Z$5001,BD!$B$3:$B$5001,N$175,BD!$A$3:$A$5001,_xlfn.MAXIFS(BD!$A$3:$A$5001,BD!$B$3:$B$5001,N$175,BD!$A$3:$A$5001,"&gt;="&amp;$C$7,BD!$A$3:$A$5001,"&lt;="&amp;$B189,BD!$Z$3:$Z$5001,"&lt;&gt;"))))</f>
        <v/>
      </c>
      <c r="O189" s="43" t="str">
        <f>IF(OR($B189="",$A189&gt;$B$9,O$175=""),"",IF(COUNTIFS(BD!$B$3:$B$5001,O$175,BD!$A$3:$A$5001,"&gt;="&amp;$C$7,BD!$A$3:$A$5001,"&lt;="&amp;$B189,BD!$Z$3:$Z$5001,"&lt;&gt;")=0,"",SUMIFS(BD!$Z$3:$Z$5001,BD!$B$3:$B$5001,O$175,BD!$A$3:$A$5001,_xlfn.MAXIFS(BD!$A$3:$A$5001,BD!$B$3:$B$5001,O$175,BD!$A$3:$A$5001,"&gt;="&amp;$C$7,BD!$A$3:$A$5001,"&lt;="&amp;$B189,BD!$Z$3:$Z$5001,"&lt;&gt;"))))</f>
        <v/>
      </c>
      <c r="P189" s="43" t="str">
        <f>IF(OR($B189="",$A189&gt;$B$9,P$175=""),"",IF(COUNTIFS(BD!$B$3:$B$5001,P$175,BD!$A$3:$A$5001,"&gt;="&amp;$C$7,BD!$A$3:$A$5001,"&lt;="&amp;$B189,BD!$Z$3:$Z$5001,"&lt;&gt;")=0,"",SUMIFS(BD!$Z$3:$Z$5001,BD!$B$3:$B$5001,P$175,BD!$A$3:$A$5001,_xlfn.MAXIFS(BD!$A$3:$A$5001,BD!$B$3:$B$5001,P$175,BD!$A$3:$A$5001,"&gt;="&amp;$C$7,BD!$A$3:$A$5001,"&lt;="&amp;$B189,BD!$Z$3:$Z$5001,"&lt;&gt;"))))</f>
        <v/>
      </c>
      <c r="Q189" s="43" t="str">
        <f>IF(OR($B189="",$A189&gt;$B$9,Q$175=""),"",IF(COUNTIFS(BD!$B$3:$B$5001,Q$175,BD!$A$3:$A$5001,"&gt;="&amp;$C$7,BD!$A$3:$A$5001,"&lt;="&amp;$B189,BD!$Z$3:$Z$5001,"&lt;&gt;")=0,"",SUMIFS(BD!$Z$3:$Z$5001,BD!$B$3:$B$5001,Q$175,BD!$A$3:$A$5001,_xlfn.MAXIFS(BD!$A$3:$A$5001,BD!$B$3:$B$5001,Q$175,BD!$A$3:$A$5001,"&gt;="&amp;$C$7,BD!$A$3:$A$5001,"&lt;="&amp;$B189,BD!$Z$3:$Z$5001,"&lt;&gt;"))))</f>
        <v/>
      </c>
      <c r="R189" s="43" t="str">
        <f>IF(OR($B189="",$A189&gt;$B$9,R$175=""),"",IF(COUNTIFS(BD!$B$3:$B$5001,R$175,BD!$A$3:$A$5001,"&gt;="&amp;$C$7,BD!$A$3:$A$5001,"&lt;="&amp;$B189,BD!$Z$3:$Z$5001,"&lt;&gt;")=0,"",SUMIFS(BD!$Z$3:$Z$5001,BD!$B$3:$B$5001,R$175,BD!$A$3:$A$5001,_xlfn.MAXIFS(BD!$A$3:$A$5001,BD!$B$3:$B$5001,R$175,BD!$A$3:$A$5001,"&gt;="&amp;$C$7,BD!$A$3:$A$5001,"&lt;="&amp;$B189,BD!$Z$3:$Z$5001,"&lt;&gt;"))))</f>
        <v/>
      </c>
      <c r="S189" s="43" t="str">
        <f>IF(OR($B189="",$A189&gt;$B$9,S$175=""),"",IF(COUNTIFS(BD!$B$3:$B$5001,S$175,BD!$A$3:$A$5001,"&gt;="&amp;$C$7,BD!$A$3:$A$5001,"&lt;="&amp;$B189,BD!$Z$3:$Z$5001,"&lt;&gt;")=0,"",SUMIFS(BD!$Z$3:$Z$5001,BD!$B$3:$B$5001,S$175,BD!$A$3:$A$5001,_xlfn.MAXIFS(BD!$A$3:$A$5001,BD!$B$3:$B$5001,S$175,BD!$A$3:$A$5001,"&gt;="&amp;$C$7,BD!$A$3:$A$5001,"&lt;="&amp;$B189,BD!$Z$3:$Z$5001,"&lt;&gt;"))))</f>
        <v/>
      </c>
      <c r="T189" s="43" t="str">
        <f>IF(OR($B189="",$A189&gt;$B$9,T$175=""),"",IF(COUNTIFS(BD!$B$3:$B$5001,T$175,BD!$A$3:$A$5001,"&gt;="&amp;$C$7,BD!$A$3:$A$5001,"&lt;="&amp;$B189,BD!$Z$3:$Z$5001,"&lt;&gt;")=0,"",SUMIFS(BD!$Z$3:$Z$5001,BD!$B$3:$B$5001,T$175,BD!$A$3:$A$5001,_xlfn.MAXIFS(BD!$A$3:$A$5001,BD!$B$3:$B$5001,T$175,BD!$A$3:$A$5001,"&gt;="&amp;$C$7,BD!$A$3:$A$5001,"&lt;="&amp;$B189,BD!$Z$3:$Z$5001,"&lt;&gt;"))))</f>
        <v/>
      </c>
      <c r="U189" s="43" t="str">
        <f>IF(OR($B189="",$A189&gt;$B$9,U$175=""),"",IF(COUNTIFS(BD!$B$3:$B$5001,U$175,BD!$A$3:$A$5001,"&gt;="&amp;$C$7,BD!$A$3:$A$5001,"&lt;="&amp;$B189,BD!$Z$3:$Z$5001,"&lt;&gt;")=0,"",SUMIFS(BD!$Z$3:$Z$5001,BD!$B$3:$B$5001,U$175,BD!$A$3:$A$5001,_xlfn.MAXIFS(BD!$A$3:$A$5001,BD!$B$3:$B$5001,U$175,BD!$A$3:$A$5001,"&gt;="&amp;$C$7,BD!$A$3:$A$5001,"&lt;="&amp;$B189,BD!$Z$3:$Z$5001,"&lt;&gt;"))))</f>
        <v/>
      </c>
      <c r="V189" s="43" t="str">
        <f>IF(OR($B189="",$A189&gt;$B$9,V$175=""),"",IF(COUNTIFS(BD!$B$3:$B$5001,V$175,BD!$A$3:$A$5001,"&gt;="&amp;$C$7,BD!$A$3:$A$5001,"&lt;="&amp;$B189,BD!$Z$3:$Z$5001,"&lt;&gt;")=0,"",SUMIFS(BD!$Z$3:$Z$5001,BD!$B$3:$B$5001,V$175,BD!$A$3:$A$5001,_xlfn.MAXIFS(BD!$A$3:$A$5001,BD!$B$3:$B$5001,V$175,BD!$A$3:$A$5001,"&gt;="&amp;$C$7,BD!$A$3:$A$5001,"&lt;="&amp;$B189,BD!$Z$3:$Z$5001,"&lt;&gt;"))))</f>
        <v/>
      </c>
    </row>
    <row r="190">
      <c r="A190" s="38">
        <v>15</v>
      </c>
      <c r="B190" s="42">
        <f>$B$26</f>
        <v>46310</v>
      </c>
      <c r="C190" s="43" t="str">
        <f>IF(OR($B190="",$A190&gt;$B$9,C$175=""),"",IF(COUNTIFS(BD!$B$3:$B$5001,C$175,BD!$A$3:$A$5001,"&gt;="&amp;$C$7,BD!$A$3:$A$5001,"&lt;="&amp;$B190,BD!$Z$3:$Z$5001,"&lt;&gt;")=0,"",SUMIFS(BD!$Z$3:$Z$5001,BD!$B$3:$B$5001,C$175,BD!$A$3:$A$5001,_xlfn.MAXIFS(BD!$A$3:$A$5001,BD!$B$3:$B$5001,C$175,BD!$A$3:$A$5001,"&gt;="&amp;$C$7,BD!$A$3:$A$5001,"&lt;="&amp;$B190,BD!$Z$3:$Z$5001,"&lt;&gt;"))))</f>
        <v/>
      </c>
      <c r="D190" s="43" t="str">
        <f>IF(OR($B190="",$A190&gt;$B$9,D$175=""),"",IF(COUNTIFS(BD!$B$3:$B$5001,D$175,BD!$A$3:$A$5001,"&gt;="&amp;$C$7,BD!$A$3:$A$5001,"&lt;="&amp;$B190,BD!$Z$3:$Z$5001,"&lt;&gt;")=0,"",SUMIFS(BD!$Z$3:$Z$5001,BD!$B$3:$B$5001,D$175,BD!$A$3:$A$5001,_xlfn.MAXIFS(BD!$A$3:$A$5001,BD!$B$3:$B$5001,D$175,BD!$A$3:$A$5001,"&gt;="&amp;$C$7,BD!$A$3:$A$5001,"&lt;="&amp;$B190,BD!$Z$3:$Z$5001,"&lt;&gt;"))))</f>
        <v/>
      </c>
      <c r="E190" s="43" t="str">
        <f>IF(OR($B190="",$A190&gt;$B$9,E$175=""),"",IF(COUNTIFS(BD!$B$3:$B$5001,E$175,BD!$A$3:$A$5001,"&gt;="&amp;$C$7,BD!$A$3:$A$5001,"&lt;="&amp;$B190,BD!$Z$3:$Z$5001,"&lt;&gt;")=0,"",SUMIFS(BD!$Z$3:$Z$5001,BD!$B$3:$B$5001,E$175,BD!$A$3:$A$5001,_xlfn.MAXIFS(BD!$A$3:$A$5001,BD!$B$3:$B$5001,E$175,BD!$A$3:$A$5001,"&gt;="&amp;$C$7,BD!$A$3:$A$5001,"&lt;="&amp;$B190,BD!$Z$3:$Z$5001,"&lt;&gt;"))))</f>
        <v/>
      </c>
      <c r="F190" s="43" t="str">
        <f>IF(OR($B190="",$A190&gt;$B$9,F$175=""),"",IF(COUNTIFS(BD!$B$3:$B$5001,F$175,BD!$A$3:$A$5001,"&gt;="&amp;$C$7,BD!$A$3:$A$5001,"&lt;="&amp;$B190,BD!$Z$3:$Z$5001,"&lt;&gt;")=0,"",SUMIFS(BD!$Z$3:$Z$5001,BD!$B$3:$B$5001,F$175,BD!$A$3:$A$5001,_xlfn.MAXIFS(BD!$A$3:$A$5001,BD!$B$3:$B$5001,F$175,BD!$A$3:$A$5001,"&gt;="&amp;$C$7,BD!$A$3:$A$5001,"&lt;="&amp;$B190,BD!$Z$3:$Z$5001,"&lt;&gt;"))))</f>
        <v/>
      </c>
      <c r="G190" s="43" t="str">
        <f>IF(OR($B190="",$A190&gt;$B$9,G$175=""),"",IF(COUNTIFS(BD!$B$3:$B$5001,G$175,BD!$A$3:$A$5001,"&gt;="&amp;$C$7,BD!$A$3:$A$5001,"&lt;="&amp;$B190,BD!$Z$3:$Z$5001,"&lt;&gt;")=0,"",SUMIFS(BD!$Z$3:$Z$5001,BD!$B$3:$B$5001,G$175,BD!$A$3:$A$5001,_xlfn.MAXIFS(BD!$A$3:$A$5001,BD!$B$3:$B$5001,G$175,BD!$A$3:$A$5001,"&gt;="&amp;$C$7,BD!$A$3:$A$5001,"&lt;="&amp;$B190,BD!$Z$3:$Z$5001,"&lt;&gt;"))))</f>
        <v/>
      </c>
      <c r="H190" s="43" t="str">
        <f>IF(OR($B190="",$A190&gt;$B$9,H$175=""),"",IF(COUNTIFS(BD!$B$3:$B$5001,H$175,BD!$A$3:$A$5001,"&gt;="&amp;$C$7,BD!$A$3:$A$5001,"&lt;="&amp;$B190,BD!$Z$3:$Z$5001,"&lt;&gt;")=0,"",SUMIFS(BD!$Z$3:$Z$5001,BD!$B$3:$B$5001,H$175,BD!$A$3:$A$5001,_xlfn.MAXIFS(BD!$A$3:$A$5001,BD!$B$3:$B$5001,H$175,BD!$A$3:$A$5001,"&gt;="&amp;$C$7,BD!$A$3:$A$5001,"&lt;="&amp;$B190,BD!$Z$3:$Z$5001,"&lt;&gt;"))))</f>
        <v/>
      </c>
      <c r="I190" s="43" t="str">
        <f>IF(OR($B190="",$A190&gt;$B$9,I$175=""),"",IF(COUNTIFS(BD!$B$3:$B$5001,I$175,BD!$A$3:$A$5001,"&gt;="&amp;$C$7,BD!$A$3:$A$5001,"&lt;="&amp;$B190,BD!$Z$3:$Z$5001,"&lt;&gt;")=0,"",SUMIFS(BD!$Z$3:$Z$5001,BD!$B$3:$B$5001,I$175,BD!$A$3:$A$5001,_xlfn.MAXIFS(BD!$A$3:$A$5001,BD!$B$3:$B$5001,I$175,BD!$A$3:$A$5001,"&gt;="&amp;$C$7,BD!$A$3:$A$5001,"&lt;="&amp;$B190,BD!$Z$3:$Z$5001,"&lt;&gt;"))))</f>
        <v/>
      </c>
      <c r="J190" s="43" t="str">
        <f>IF(OR($B190="",$A190&gt;$B$9,J$175=""),"",IF(COUNTIFS(BD!$B$3:$B$5001,J$175,BD!$A$3:$A$5001,"&gt;="&amp;$C$7,BD!$A$3:$A$5001,"&lt;="&amp;$B190,BD!$Z$3:$Z$5001,"&lt;&gt;")=0,"",SUMIFS(BD!$Z$3:$Z$5001,BD!$B$3:$B$5001,J$175,BD!$A$3:$A$5001,_xlfn.MAXIFS(BD!$A$3:$A$5001,BD!$B$3:$B$5001,J$175,BD!$A$3:$A$5001,"&gt;="&amp;$C$7,BD!$A$3:$A$5001,"&lt;="&amp;$B190,BD!$Z$3:$Z$5001,"&lt;&gt;"))))</f>
        <v/>
      </c>
      <c r="K190" s="43" t="str">
        <f>IF(OR($B190="",$A190&gt;$B$9,K$175=""),"",IF(COUNTIFS(BD!$B$3:$B$5001,K$175,BD!$A$3:$A$5001,"&gt;="&amp;$C$7,BD!$A$3:$A$5001,"&lt;="&amp;$B190,BD!$Z$3:$Z$5001,"&lt;&gt;")=0,"",SUMIFS(BD!$Z$3:$Z$5001,BD!$B$3:$B$5001,K$175,BD!$A$3:$A$5001,_xlfn.MAXIFS(BD!$A$3:$A$5001,BD!$B$3:$B$5001,K$175,BD!$A$3:$A$5001,"&gt;="&amp;$C$7,BD!$A$3:$A$5001,"&lt;="&amp;$B190,BD!$Z$3:$Z$5001,"&lt;&gt;"))))</f>
        <v/>
      </c>
      <c r="L190" s="43" t="str">
        <f>IF(OR($B190="",$A190&gt;$B$9,L$175=""),"",IF(COUNTIFS(BD!$B$3:$B$5001,L$175,BD!$A$3:$A$5001,"&gt;="&amp;$C$7,BD!$A$3:$A$5001,"&lt;="&amp;$B190,BD!$Z$3:$Z$5001,"&lt;&gt;")=0,"",SUMIFS(BD!$Z$3:$Z$5001,BD!$B$3:$B$5001,L$175,BD!$A$3:$A$5001,_xlfn.MAXIFS(BD!$A$3:$A$5001,BD!$B$3:$B$5001,L$175,BD!$A$3:$A$5001,"&gt;="&amp;$C$7,BD!$A$3:$A$5001,"&lt;="&amp;$B190,BD!$Z$3:$Z$5001,"&lt;&gt;"))))</f>
        <v/>
      </c>
      <c r="M190" s="43" t="str">
        <f>IF(OR($B190="",$A190&gt;$B$9,M$175=""),"",IF(COUNTIFS(BD!$B$3:$B$5001,M$175,BD!$A$3:$A$5001,"&gt;="&amp;$C$7,BD!$A$3:$A$5001,"&lt;="&amp;$B190,BD!$Z$3:$Z$5001,"&lt;&gt;")=0,"",SUMIFS(BD!$Z$3:$Z$5001,BD!$B$3:$B$5001,M$175,BD!$A$3:$A$5001,_xlfn.MAXIFS(BD!$A$3:$A$5001,BD!$B$3:$B$5001,M$175,BD!$A$3:$A$5001,"&gt;="&amp;$C$7,BD!$A$3:$A$5001,"&lt;="&amp;$B190,BD!$Z$3:$Z$5001,"&lt;&gt;"))))</f>
        <v/>
      </c>
      <c r="N190" s="43" t="str">
        <f>IF(OR($B190="",$A190&gt;$B$9,N$175=""),"",IF(COUNTIFS(BD!$B$3:$B$5001,N$175,BD!$A$3:$A$5001,"&gt;="&amp;$C$7,BD!$A$3:$A$5001,"&lt;="&amp;$B190,BD!$Z$3:$Z$5001,"&lt;&gt;")=0,"",SUMIFS(BD!$Z$3:$Z$5001,BD!$B$3:$B$5001,N$175,BD!$A$3:$A$5001,_xlfn.MAXIFS(BD!$A$3:$A$5001,BD!$B$3:$B$5001,N$175,BD!$A$3:$A$5001,"&gt;="&amp;$C$7,BD!$A$3:$A$5001,"&lt;="&amp;$B190,BD!$Z$3:$Z$5001,"&lt;&gt;"))))</f>
        <v/>
      </c>
      <c r="O190" s="43" t="str">
        <f>IF(OR($B190="",$A190&gt;$B$9,O$175=""),"",IF(COUNTIFS(BD!$B$3:$B$5001,O$175,BD!$A$3:$A$5001,"&gt;="&amp;$C$7,BD!$A$3:$A$5001,"&lt;="&amp;$B190,BD!$Z$3:$Z$5001,"&lt;&gt;")=0,"",SUMIFS(BD!$Z$3:$Z$5001,BD!$B$3:$B$5001,O$175,BD!$A$3:$A$5001,_xlfn.MAXIFS(BD!$A$3:$A$5001,BD!$B$3:$B$5001,O$175,BD!$A$3:$A$5001,"&gt;="&amp;$C$7,BD!$A$3:$A$5001,"&lt;="&amp;$B190,BD!$Z$3:$Z$5001,"&lt;&gt;"))))</f>
        <v/>
      </c>
      <c r="P190" s="43" t="str">
        <f>IF(OR($B190="",$A190&gt;$B$9,P$175=""),"",IF(COUNTIFS(BD!$B$3:$B$5001,P$175,BD!$A$3:$A$5001,"&gt;="&amp;$C$7,BD!$A$3:$A$5001,"&lt;="&amp;$B190,BD!$Z$3:$Z$5001,"&lt;&gt;")=0,"",SUMIFS(BD!$Z$3:$Z$5001,BD!$B$3:$B$5001,P$175,BD!$A$3:$A$5001,_xlfn.MAXIFS(BD!$A$3:$A$5001,BD!$B$3:$B$5001,P$175,BD!$A$3:$A$5001,"&gt;="&amp;$C$7,BD!$A$3:$A$5001,"&lt;="&amp;$B190,BD!$Z$3:$Z$5001,"&lt;&gt;"))))</f>
        <v/>
      </c>
      <c r="Q190" s="43" t="str">
        <f>IF(OR($B190="",$A190&gt;$B$9,Q$175=""),"",IF(COUNTIFS(BD!$B$3:$B$5001,Q$175,BD!$A$3:$A$5001,"&gt;="&amp;$C$7,BD!$A$3:$A$5001,"&lt;="&amp;$B190,BD!$Z$3:$Z$5001,"&lt;&gt;")=0,"",SUMIFS(BD!$Z$3:$Z$5001,BD!$B$3:$B$5001,Q$175,BD!$A$3:$A$5001,_xlfn.MAXIFS(BD!$A$3:$A$5001,BD!$B$3:$B$5001,Q$175,BD!$A$3:$A$5001,"&gt;="&amp;$C$7,BD!$A$3:$A$5001,"&lt;="&amp;$B190,BD!$Z$3:$Z$5001,"&lt;&gt;"))))</f>
        <v/>
      </c>
      <c r="R190" s="43" t="str">
        <f>IF(OR($B190="",$A190&gt;$B$9,R$175=""),"",IF(COUNTIFS(BD!$B$3:$B$5001,R$175,BD!$A$3:$A$5001,"&gt;="&amp;$C$7,BD!$A$3:$A$5001,"&lt;="&amp;$B190,BD!$Z$3:$Z$5001,"&lt;&gt;")=0,"",SUMIFS(BD!$Z$3:$Z$5001,BD!$B$3:$B$5001,R$175,BD!$A$3:$A$5001,_xlfn.MAXIFS(BD!$A$3:$A$5001,BD!$B$3:$B$5001,R$175,BD!$A$3:$A$5001,"&gt;="&amp;$C$7,BD!$A$3:$A$5001,"&lt;="&amp;$B190,BD!$Z$3:$Z$5001,"&lt;&gt;"))))</f>
        <v/>
      </c>
      <c r="S190" s="43" t="str">
        <f>IF(OR($B190="",$A190&gt;$B$9,S$175=""),"",IF(COUNTIFS(BD!$B$3:$B$5001,S$175,BD!$A$3:$A$5001,"&gt;="&amp;$C$7,BD!$A$3:$A$5001,"&lt;="&amp;$B190,BD!$Z$3:$Z$5001,"&lt;&gt;")=0,"",SUMIFS(BD!$Z$3:$Z$5001,BD!$B$3:$B$5001,S$175,BD!$A$3:$A$5001,_xlfn.MAXIFS(BD!$A$3:$A$5001,BD!$B$3:$B$5001,S$175,BD!$A$3:$A$5001,"&gt;="&amp;$C$7,BD!$A$3:$A$5001,"&lt;="&amp;$B190,BD!$Z$3:$Z$5001,"&lt;&gt;"))))</f>
        <v/>
      </c>
      <c r="T190" s="43" t="str">
        <f>IF(OR($B190="",$A190&gt;$B$9,T$175=""),"",IF(COUNTIFS(BD!$B$3:$B$5001,T$175,BD!$A$3:$A$5001,"&gt;="&amp;$C$7,BD!$A$3:$A$5001,"&lt;="&amp;$B190,BD!$Z$3:$Z$5001,"&lt;&gt;")=0,"",SUMIFS(BD!$Z$3:$Z$5001,BD!$B$3:$B$5001,T$175,BD!$A$3:$A$5001,_xlfn.MAXIFS(BD!$A$3:$A$5001,BD!$B$3:$B$5001,T$175,BD!$A$3:$A$5001,"&gt;="&amp;$C$7,BD!$A$3:$A$5001,"&lt;="&amp;$B190,BD!$Z$3:$Z$5001,"&lt;&gt;"))))</f>
        <v/>
      </c>
      <c r="U190" s="43" t="str">
        <f>IF(OR($B190="",$A190&gt;$B$9,U$175=""),"",IF(COUNTIFS(BD!$B$3:$B$5001,U$175,BD!$A$3:$A$5001,"&gt;="&amp;$C$7,BD!$A$3:$A$5001,"&lt;="&amp;$B190,BD!$Z$3:$Z$5001,"&lt;&gt;")=0,"",SUMIFS(BD!$Z$3:$Z$5001,BD!$B$3:$B$5001,U$175,BD!$A$3:$A$5001,_xlfn.MAXIFS(BD!$A$3:$A$5001,BD!$B$3:$B$5001,U$175,BD!$A$3:$A$5001,"&gt;="&amp;$C$7,BD!$A$3:$A$5001,"&lt;="&amp;$B190,BD!$Z$3:$Z$5001,"&lt;&gt;"))))</f>
        <v/>
      </c>
      <c r="V190" s="43" t="str">
        <f>IF(OR($B190="",$A190&gt;$B$9,V$175=""),"",IF(COUNTIFS(BD!$B$3:$B$5001,V$175,BD!$A$3:$A$5001,"&gt;="&amp;$C$7,BD!$A$3:$A$5001,"&lt;="&amp;$B190,BD!$Z$3:$Z$5001,"&lt;&gt;")=0,"",SUMIFS(BD!$Z$3:$Z$5001,BD!$B$3:$B$5001,V$175,BD!$A$3:$A$5001,_xlfn.MAXIFS(BD!$A$3:$A$5001,BD!$B$3:$B$5001,V$175,BD!$A$3:$A$5001,"&gt;="&amp;$C$7,BD!$A$3:$A$5001,"&lt;="&amp;$B190,BD!$Z$3:$Z$5001,"&lt;&gt;"))))</f>
        <v/>
      </c>
    </row>
    <row r="191">
      <c r="A191" s="38">
        <v>16</v>
      </c>
      <c r="B191" s="42">
        <f>$B$27</f>
        <v>46311</v>
      </c>
      <c r="C191" s="43" t="str">
        <f>IF(OR($B191="",$A191&gt;$B$9,C$175=""),"",IF(COUNTIFS(BD!$B$3:$B$5001,C$175,BD!$A$3:$A$5001,"&gt;="&amp;$C$7,BD!$A$3:$A$5001,"&lt;="&amp;$B191,BD!$Z$3:$Z$5001,"&lt;&gt;")=0,"",SUMIFS(BD!$Z$3:$Z$5001,BD!$B$3:$B$5001,C$175,BD!$A$3:$A$5001,_xlfn.MAXIFS(BD!$A$3:$A$5001,BD!$B$3:$B$5001,C$175,BD!$A$3:$A$5001,"&gt;="&amp;$C$7,BD!$A$3:$A$5001,"&lt;="&amp;$B191,BD!$Z$3:$Z$5001,"&lt;&gt;"))))</f>
        <v/>
      </c>
      <c r="D191" s="43" t="str">
        <f>IF(OR($B191="",$A191&gt;$B$9,D$175=""),"",IF(COUNTIFS(BD!$B$3:$B$5001,D$175,BD!$A$3:$A$5001,"&gt;="&amp;$C$7,BD!$A$3:$A$5001,"&lt;="&amp;$B191,BD!$Z$3:$Z$5001,"&lt;&gt;")=0,"",SUMIFS(BD!$Z$3:$Z$5001,BD!$B$3:$B$5001,D$175,BD!$A$3:$A$5001,_xlfn.MAXIFS(BD!$A$3:$A$5001,BD!$B$3:$B$5001,D$175,BD!$A$3:$A$5001,"&gt;="&amp;$C$7,BD!$A$3:$A$5001,"&lt;="&amp;$B191,BD!$Z$3:$Z$5001,"&lt;&gt;"))))</f>
        <v/>
      </c>
      <c r="E191" s="43" t="str">
        <f>IF(OR($B191="",$A191&gt;$B$9,E$175=""),"",IF(COUNTIFS(BD!$B$3:$B$5001,E$175,BD!$A$3:$A$5001,"&gt;="&amp;$C$7,BD!$A$3:$A$5001,"&lt;="&amp;$B191,BD!$Z$3:$Z$5001,"&lt;&gt;")=0,"",SUMIFS(BD!$Z$3:$Z$5001,BD!$B$3:$B$5001,E$175,BD!$A$3:$A$5001,_xlfn.MAXIFS(BD!$A$3:$A$5001,BD!$B$3:$B$5001,E$175,BD!$A$3:$A$5001,"&gt;="&amp;$C$7,BD!$A$3:$A$5001,"&lt;="&amp;$B191,BD!$Z$3:$Z$5001,"&lt;&gt;"))))</f>
        <v/>
      </c>
      <c r="F191" s="43" t="str">
        <f>IF(OR($B191="",$A191&gt;$B$9,F$175=""),"",IF(COUNTIFS(BD!$B$3:$B$5001,F$175,BD!$A$3:$A$5001,"&gt;="&amp;$C$7,BD!$A$3:$A$5001,"&lt;="&amp;$B191,BD!$Z$3:$Z$5001,"&lt;&gt;")=0,"",SUMIFS(BD!$Z$3:$Z$5001,BD!$B$3:$B$5001,F$175,BD!$A$3:$A$5001,_xlfn.MAXIFS(BD!$A$3:$A$5001,BD!$B$3:$B$5001,F$175,BD!$A$3:$A$5001,"&gt;="&amp;$C$7,BD!$A$3:$A$5001,"&lt;="&amp;$B191,BD!$Z$3:$Z$5001,"&lt;&gt;"))))</f>
        <v/>
      </c>
      <c r="G191" s="43" t="str">
        <f>IF(OR($B191="",$A191&gt;$B$9,G$175=""),"",IF(COUNTIFS(BD!$B$3:$B$5001,G$175,BD!$A$3:$A$5001,"&gt;="&amp;$C$7,BD!$A$3:$A$5001,"&lt;="&amp;$B191,BD!$Z$3:$Z$5001,"&lt;&gt;")=0,"",SUMIFS(BD!$Z$3:$Z$5001,BD!$B$3:$B$5001,G$175,BD!$A$3:$A$5001,_xlfn.MAXIFS(BD!$A$3:$A$5001,BD!$B$3:$B$5001,G$175,BD!$A$3:$A$5001,"&gt;="&amp;$C$7,BD!$A$3:$A$5001,"&lt;="&amp;$B191,BD!$Z$3:$Z$5001,"&lt;&gt;"))))</f>
        <v/>
      </c>
      <c r="H191" s="43" t="str">
        <f>IF(OR($B191="",$A191&gt;$B$9,H$175=""),"",IF(COUNTIFS(BD!$B$3:$B$5001,H$175,BD!$A$3:$A$5001,"&gt;="&amp;$C$7,BD!$A$3:$A$5001,"&lt;="&amp;$B191,BD!$Z$3:$Z$5001,"&lt;&gt;")=0,"",SUMIFS(BD!$Z$3:$Z$5001,BD!$B$3:$B$5001,H$175,BD!$A$3:$A$5001,_xlfn.MAXIFS(BD!$A$3:$A$5001,BD!$B$3:$B$5001,H$175,BD!$A$3:$A$5001,"&gt;="&amp;$C$7,BD!$A$3:$A$5001,"&lt;="&amp;$B191,BD!$Z$3:$Z$5001,"&lt;&gt;"))))</f>
        <v/>
      </c>
      <c r="I191" s="43" t="str">
        <f>IF(OR($B191="",$A191&gt;$B$9,I$175=""),"",IF(COUNTIFS(BD!$B$3:$B$5001,I$175,BD!$A$3:$A$5001,"&gt;="&amp;$C$7,BD!$A$3:$A$5001,"&lt;="&amp;$B191,BD!$Z$3:$Z$5001,"&lt;&gt;")=0,"",SUMIFS(BD!$Z$3:$Z$5001,BD!$B$3:$B$5001,I$175,BD!$A$3:$A$5001,_xlfn.MAXIFS(BD!$A$3:$A$5001,BD!$B$3:$B$5001,I$175,BD!$A$3:$A$5001,"&gt;="&amp;$C$7,BD!$A$3:$A$5001,"&lt;="&amp;$B191,BD!$Z$3:$Z$5001,"&lt;&gt;"))))</f>
        <v/>
      </c>
      <c r="J191" s="43" t="str">
        <f>IF(OR($B191="",$A191&gt;$B$9,J$175=""),"",IF(COUNTIFS(BD!$B$3:$B$5001,J$175,BD!$A$3:$A$5001,"&gt;="&amp;$C$7,BD!$A$3:$A$5001,"&lt;="&amp;$B191,BD!$Z$3:$Z$5001,"&lt;&gt;")=0,"",SUMIFS(BD!$Z$3:$Z$5001,BD!$B$3:$B$5001,J$175,BD!$A$3:$A$5001,_xlfn.MAXIFS(BD!$A$3:$A$5001,BD!$B$3:$B$5001,J$175,BD!$A$3:$A$5001,"&gt;="&amp;$C$7,BD!$A$3:$A$5001,"&lt;="&amp;$B191,BD!$Z$3:$Z$5001,"&lt;&gt;"))))</f>
        <v/>
      </c>
      <c r="K191" s="43" t="str">
        <f>IF(OR($B191="",$A191&gt;$B$9,K$175=""),"",IF(COUNTIFS(BD!$B$3:$B$5001,K$175,BD!$A$3:$A$5001,"&gt;="&amp;$C$7,BD!$A$3:$A$5001,"&lt;="&amp;$B191,BD!$Z$3:$Z$5001,"&lt;&gt;")=0,"",SUMIFS(BD!$Z$3:$Z$5001,BD!$B$3:$B$5001,K$175,BD!$A$3:$A$5001,_xlfn.MAXIFS(BD!$A$3:$A$5001,BD!$B$3:$B$5001,K$175,BD!$A$3:$A$5001,"&gt;="&amp;$C$7,BD!$A$3:$A$5001,"&lt;="&amp;$B191,BD!$Z$3:$Z$5001,"&lt;&gt;"))))</f>
        <v/>
      </c>
      <c r="L191" s="43" t="str">
        <f>IF(OR($B191="",$A191&gt;$B$9,L$175=""),"",IF(COUNTIFS(BD!$B$3:$B$5001,L$175,BD!$A$3:$A$5001,"&gt;="&amp;$C$7,BD!$A$3:$A$5001,"&lt;="&amp;$B191,BD!$Z$3:$Z$5001,"&lt;&gt;")=0,"",SUMIFS(BD!$Z$3:$Z$5001,BD!$B$3:$B$5001,L$175,BD!$A$3:$A$5001,_xlfn.MAXIFS(BD!$A$3:$A$5001,BD!$B$3:$B$5001,L$175,BD!$A$3:$A$5001,"&gt;="&amp;$C$7,BD!$A$3:$A$5001,"&lt;="&amp;$B191,BD!$Z$3:$Z$5001,"&lt;&gt;"))))</f>
        <v/>
      </c>
      <c r="M191" s="43" t="str">
        <f>IF(OR($B191="",$A191&gt;$B$9,M$175=""),"",IF(COUNTIFS(BD!$B$3:$B$5001,M$175,BD!$A$3:$A$5001,"&gt;="&amp;$C$7,BD!$A$3:$A$5001,"&lt;="&amp;$B191,BD!$Z$3:$Z$5001,"&lt;&gt;")=0,"",SUMIFS(BD!$Z$3:$Z$5001,BD!$B$3:$B$5001,M$175,BD!$A$3:$A$5001,_xlfn.MAXIFS(BD!$A$3:$A$5001,BD!$B$3:$B$5001,M$175,BD!$A$3:$A$5001,"&gt;="&amp;$C$7,BD!$A$3:$A$5001,"&lt;="&amp;$B191,BD!$Z$3:$Z$5001,"&lt;&gt;"))))</f>
        <v/>
      </c>
      <c r="N191" s="43" t="str">
        <f>IF(OR($B191="",$A191&gt;$B$9,N$175=""),"",IF(COUNTIFS(BD!$B$3:$B$5001,N$175,BD!$A$3:$A$5001,"&gt;="&amp;$C$7,BD!$A$3:$A$5001,"&lt;="&amp;$B191,BD!$Z$3:$Z$5001,"&lt;&gt;")=0,"",SUMIFS(BD!$Z$3:$Z$5001,BD!$B$3:$B$5001,N$175,BD!$A$3:$A$5001,_xlfn.MAXIFS(BD!$A$3:$A$5001,BD!$B$3:$B$5001,N$175,BD!$A$3:$A$5001,"&gt;="&amp;$C$7,BD!$A$3:$A$5001,"&lt;="&amp;$B191,BD!$Z$3:$Z$5001,"&lt;&gt;"))))</f>
        <v/>
      </c>
      <c r="O191" s="43" t="str">
        <f>IF(OR($B191="",$A191&gt;$B$9,O$175=""),"",IF(COUNTIFS(BD!$B$3:$B$5001,O$175,BD!$A$3:$A$5001,"&gt;="&amp;$C$7,BD!$A$3:$A$5001,"&lt;="&amp;$B191,BD!$Z$3:$Z$5001,"&lt;&gt;")=0,"",SUMIFS(BD!$Z$3:$Z$5001,BD!$B$3:$B$5001,O$175,BD!$A$3:$A$5001,_xlfn.MAXIFS(BD!$A$3:$A$5001,BD!$B$3:$B$5001,O$175,BD!$A$3:$A$5001,"&gt;="&amp;$C$7,BD!$A$3:$A$5001,"&lt;="&amp;$B191,BD!$Z$3:$Z$5001,"&lt;&gt;"))))</f>
        <v/>
      </c>
      <c r="P191" s="43" t="str">
        <f>IF(OR($B191="",$A191&gt;$B$9,P$175=""),"",IF(COUNTIFS(BD!$B$3:$B$5001,P$175,BD!$A$3:$A$5001,"&gt;="&amp;$C$7,BD!$A$3:$A$5001,"&lt;="&amp;$B191,BD!$Z$3:$Z$5001,"&lt;&gt;")=0,"",SUMIFS(BD!$Z$3:$Z$5001,BD!$B$3:$B$5001,P$175,BD!$A$3:$A$5001,_xlfn.MAXIFS(BD!$A$3:$A$5001,BD!$B$3:$B$5001,P$175,BD!$A$3:$A$5001,"&gt;="&amp;$C$7,BD!$A$3:$A$5001,"&lt;="&amp;$B191,BD!$Z$3:$Z$5001,"&lt;&gt;"))))</f>
        <v/>
      </c>
      <c r="Q191" s="43" t="str">
        <f>IF(OR($B191="",$A191&gt;$B$9,Q$175=""),"",IF(COUNTIFS(BD!$B$3:$B$5001,Q$175,BD!$A$3:$A$5001,"&gt;="&amp;$C$7,BD!$A$3:$A$5001,"&lt;="&amp;$B191,BD!$Z$3:$Z$5001,"&lt;&gt;")=0,"",SUMIFS(BD!$Z$3:$Z$5001,BD!$B$3:$B$5001,Q$175,BD!$A$3:$A$5001,_xlfn.MAXIFS(BD!$A$3:$A$5001,BD!$B$3:$B$5001,Q$175,BD!$A$3:$A$5001,"&gt;="&amp;$C$7,BD!$A$3:$A$5001,"&lt;="&amp;$B191,BD!$Z$3:$Z$5001,"&lt;&gt;"))))</f>
        <v/>
      </c>
      <c r="R191" s="43" t="str">
        <f>IF(OR($B191="",$A191&gt;$B$9,R$175=""),"",IF(COUNTIFS(BD!$B$3:$B$5001,R$175,BD!$A$3:$A$5001,"&gt;="&amp;$C$7,BD!$A$3:$A$5001,"&lt;="&amp;$B191,BD!$Z$3:$Z$5001,"&lt;&gt;")=0,"",SUMIFS(BD!$Z$3:$Z$5001,BD!$B$3:$B$5001,R$175,BD!$A$3:$A$5001,_xlfn.MAXIFS(BD!$A$3:$A$5001,BD!$B$3:$B$5001,R$175,BD!$A$3:$A$5001,"&gt;="&amp;$C$7,BD!$A$3:$A$5001,"&lt;="&amp;$B191,BD!$Z$3:$Z$5001,"&lt;&gt;"))))</f>
        <v/>
      </c>
      <c r="S191" s="43" t="str">
        <f>IF(OR($B191="",$A191&gt;$B$9,S$175=""),"",IF(COUNTIFS(BD!$B$3:$B$5001,S$175,BD!$A$3:$A$5001,"&gt;="&amp;$C$7,BD!$A$3:$A$5001,"&lt;="&amp;$B191,BD!$Z$3:$Z$5001,"&lt;&gt;")=0,"",SUMIFS(BD!$Z$3:$Z$5001,BD!$B$3:$B$5001,S$175,BD!$A$3:$A$5001,_xlfn.MAXIFS(BD!$A$3:$A$5001,BD!$B$3:$B$5001,S$175,BD!$A$3:$A$5001,"&gt;="&amp;$C$7,BD!$A$3:$A$5001,"&lt;="&amp;$B191,BD!$Z$3:$Z$5001,"&lt;&gt;"))))</f>
        <v/>
      </c>
      <c r="T191" s="43" t="str">
        <f>IF(OR($B191="",$A191&gt;$B$9,T$175=""),"",IF(COUNTIFS(BD!$B$3:$B$5001,T$175,BD!$A$3:$A$5001,"&gt;="&amp;$C$7,BD!$A$3:$A$5001,"&lt;="&amp;$B191,BD!$Z$3:$Z$5001,"&lt;&gt;")=0,"",SUMIFS(BD!$Z$3:$Z$5001,BD!$B$3:$B$5001,T$175,BD!$A$3:$A$5001,_xlfn.MAXIFS(BD!$A$3:$A$5001,BD!$B$3:$B$5001,T$175,BD!$A$3:$A$5001,"&gt;="&amp;$C$7,BD!$A$3:$A$5001,"&lt;="&amp;$B191,BD!$Z$3:$Z$5001,"&lt;&gt;"))))</f>
        <v/>
      </c>
      <c r="U191" s="43" t="str">
        <f>IF(OR($B191="",$A191&gt;$B$9,U$175=""),"",IF(COUNTIFS(BD!$B$3:$B$5001,U$175,BD!$A$3:$A$5001,"&gt;="&amp;$C$7,BD!$A$3:$A$5001,"&lt;="&amp;$B191,BD!$Z$3:$Z$5001,"&lt;&gt;")=0,"",SUMIFS(BD!$Z$3:$Z$5001,BD!$B$3:$B$5001,U$175,BD!$A$3:$A$5001,_xlfn.MAXIFS(BD!$A$3:$A$5001,BD!$B$3:$B$5001,U$175,BD!$A$3:$A$5001,"&gt;="&amp;$C$7,BD!$A$3:$A$5001,"&lt;="&amp;$B191,BD!$Z$3:$Z$5001,"&lt;&gt;"))))</f>
        <v/>
      </c>
      <c r="V191" s="43" t="str">
        <f>IF(OR($B191="",$A191&gt;$B$9,V$175=""),"",IF(COUNTIFS(BD!$B$3:$B$5001,V$175,BD!$A$3:$A$5001,"&gt;="&amp;$C$7,BD!$A$3:$A$5001,"&lt;="&amp;$B191,BD!$Z$3:$Z$5001,"&lt;&gt;")=0,"",SUMIFS(BD!$Z$3:$Z$5001,BD!$B$3:$B$5001,V$175,BD!$A$3:$A$5001,_xlfn.MAXIFS(BD!$A$3:$A$5001,BD!$B$3:$B$5001,V$175,BD!$A$3:$A$5001,"&gt;="&amp;$C$7,BD!$A$3:$A$5001,"&lt;="&amp;$B191,BD!$Z$3:$Z$5001,"&lt;&gt;"))))</f>
        <v/>
      </c>
    </row>
    <row r="192">
      <c r="A192" s="38">
        <v>17</v>
      </c>
      <c r="B192" s="42">
        <f>$B$28</f>
        <v>46312</v>
      </c>
      <c r="C192" s="43" t="str">
        <f>IF(OR($B192="",$A192&gt;$B$9,C$175=""),"",IF(COUNTIFS(BD!$B$3:$B$5001,C$175,BD!$A$3:$A$5001,"&gt;="&amp;$C$7,BD!$A$3:$A$5001,"&lt;="&amp;$B192,BD!$Z$3:$Z$5001,"&lt;&gt;")=0,"",SUMIFS(BD!$Z$3:$Z$5001,BD!$B$3:$B$5001,C$175,BD!$A$3:$A$5001,_xlfn.MAXIFS(BD!$A$3:$A$5001,BD!$B$3:$B$5001,C$175,BD!$A$3:$A$5001,"&gt;="&amp;$C$7,BD!$A$3:$A$5001,"&lt;="&amp;$B192,BD!$Z$3:$Z$5001,"&lt;&gt;"))))</f>
        <v/>
      </c>
      <c r="D192" s="43" t="str">
        <f>IF(OR($B192="",$A192&gt;$B$9,D$175=""),"",IF(COUNTIFS(BD!$B$3:$B$5001,D$175,BD!$A$3:$A$5001,"&gt;="&amp;$C$7,BD!$A$3:$A$5001,"&lt;="&amp;$B192,BD!$Z$3:$Z$5001,"&lt;&gt;")=0,"",SUMIFS(BD!$Z$3:$Z$5001,BD!$B$3:$B$5001,D$175,BD!$A$3:$A$5001,_xlfn.MAXIFS(BD!$A$3:$A$5001,BD!$B$3:$B$5001,D$175,BD!$A$3:$A$5001,"&gt;="&amp;$C$7,BD!$A$3:$A$5001,"&lt;="&amp;$B192,BD!$Z$3:$Z$5001,"&lt;&gt;"))))</f>
        <v/>
      </c>
      <c r="E192" s="43" t="str">
        <f>IF(OR($B192="",$A192&gt;$B$9,E$175=""),"",IF(COUNTIFS(BD!$B$3:$B$5001,E$175,BD!$A$3:$A$5001,"&gt;="&amp;$C$7,BD!$A$3:$A$5001,"&lt;="&amp;$B192,BD!$Z$3:$Z$5001,"&lt;&gt;")=0,"",SUMIFS(BD!$Z$3:$Z$5001,BD!$B$3:$B$5001,E$175,BD!$A$3:$A$5001,_xlfn.MAXIFS(BD!$A$3:$A$5001,BD!$B$3:$B$5001,E$175,BD!$A$3:$A$5001,"&gt;="&amp;$C$7,BD!$A$3:$A$5001,"&lt;="&amp;$B192,BD!$Z$3:$Z$5001,"&lt;&gt;"))))</f>
        <v/>
      </c>
      <c r="F192" s="43" t="str">
        <f>IF(OR($B192="",$A192&gt;$B$9,F$175=""),"",IF(COUNTIFS(BD!$B$3:$B$5001,F$175,BD!$A$3:$A$5001,"&gt;="&amp;$C$7,BD!$A$3:$A$5001,"&lt;="&amp;$B192,BD!$Z$3:$Z$5001,"&lt;&gt;")=0,"",SUMIFS(BD!$Z$3:$Z$5001,BD!$B$3:$B$5001,F$175,BD!$A$3:$A$5001,_xlfn.MAXIFS(BD!$A$3:$A$5001,BD!$B$3:$B$5001,F$175,BD!$A$3:$A$5001,"&gt;="&amp;$C$7,BD!$A$3:$A$5001,"&lt;="&amp;$B192,BD!$Z$3:$Z$5001,"&lt;&gt;"))))</f>
        <v/>
      </c>
      <c r="G192" s="43" t="str">
        <f>IF(OR($B192="",$A192&gt;$B$9,G$175=""),"",IF(COUNTIFS(BD!$B$3:$B$5001,G$175,BD!$A$3:$A$5001,"&gt;="&amp;$C$7,BD!$A$3:$A$5001,"&lt;="&amp;$B192,BD!$Z$3:$Z$5001,"&lt;&gt;")=0,"",SUMIFS(BD!$Z$3:$Z$5001,BD!$B$3:$B$5001,G$175,BD!$A$3:$A$5001,_xlfn.MAXIFS(BD!$A$3:$A$5001,BD!$B$3:$B$5001,G$175,BD!$A$3:$A$5001,"&gt;="&amp;$C$7,BD!$A$3:$A$5001,"&lt;="&amp;$B192,BD!$Z$3:$Z$5001,"&lt;&gt;"))))</f>
        <v/>
      </c>
      <c r="H192" s="43" t="str">
        <f>IF(OR($B192="",$A192&gt;$B$9,H$175=""),"",IF(COUNTIFS(BD!$B$3:$B$5001,H$175,BD!$A$3:$A$5001,"&gt;="&amp;$C$7,BD!$A$3:$A$5001,"&lt;="&amp;$B192,BD!$Z$3:$Z$5001,"&lt;&gt;")=0,"",SUMIFS(BD!$Z$3:$Z$5001,BD!$B$3:$B$5001,H$175,BD!$A$3:$A$5001,_xlfn.MAXIFS(BD!$A$3:$A$5001,BD!$B$3:$B$5001,H$175,BD!$A$3:$A$5001,"&gt;="&amp;$C$7,BD!$A$3:$A$5001,"&lt;="&amp;$B192,BD!$Z$3:$Z$5001,"&lt;&gt;"))))</f>
        <v/>
      </c>
      <c r="I192" s="43" t="str">
        <f>IF(OR($B192="",$A192&gt;$B$9,I$175=""),"",IF(COUNTIFS(BD!$B$3:$B$5001,I$175,BD!$A$3:$A$5001,"&gt;="&amp;$C$7,BD!$A$3:$A$5001,"&lt;="&amp;$B192,BD!$Z$3:$Z$5001,"&lt;&gt;")=0,"",SUMIFS(BD!$Z$3:$Z$5001,BD!$B$3:$B$5001,I$175,BD!$A$3:$A$5001,_xlfn.MAXIFS(BD!$A$3:$A$5001,BD!$B$3:$B$5001,I$175,BD!$A$3:$A$5001,"&gt;="&amp;$C$7,BD!$A$3:$A$5001,"&lt;="&amp;$B192,BD!$Z$3:$Z$5001,"&lt;&gt;"))))</f>
        <v/>
      </c>
      <c r="J192" s="43" t="str">
        <f>IF(OR($B192="",$A192&gt;$B$9,J$175=""),"",IF(COUNTIFS(BD!$B$3:$B$5001,J$175,BD!$A$3:$A$5001,"&gt;="&amp;$C$7,BD!$A$3:$A$5001,"&lt;="&amp;$B192,BD!$Z$3:$Z$5001,"&lt;&gt;")=0,"",SUMIFS(BD!$Z$3:$Z$5001,BD!$B$3:$B$5001,J$175,BD!$A$3:$A$5001,_xlfn.MAXIFS(BD!$A$3:$A$5001,BD!$B$3:$B$5001,J$175,BD!$A$3:$A$5001,"&gt;="&amp;$C$7,BD!$A$3:$A$5001,"&lt;="&amp;$B192,BD!$Z$3:$Z$5001,"&lt;&gt;"))))</f>
        <v/>
      </c>
      <c r="K192" s="43" t="str">
        <f>IF(OR($B192="",$A192&gt;$B$9,K$175=""),"",IF(COUNTIFS(BD!$B$3:$B$5001,K$175,BD!$A$3:$A$5001,"&gt;="&amp;$C$7,BD!$A$3:$A$5001,"&lt;="&amp;$B192,BD!$Z$3:$Z$5001,"&lt;&gt;")=0,"",SUMIFS(BD!$Z$3:$Z$5001,BD!$B$3:$B$5001,K$175,BD!$A$3:$A$5001,_xlfn.MAXIFS(BD!$A$3:$A$5001,BD!$B$3:$B$5001,K$175,BD!$A$3:$A$5001,"&gt;="&amp;$C$7,BD!$A$3:$A$5001,"&lt;="&amp;$B192,BD!$Z$3:$Z$5001,"&lt;&gt;"))))</f>
        <v/>
      </c>
      <c r="L192" s="43" t="str">
        <f>IF(OR($B192="",$A192&gt;$B$9,L$175=""),"",IF(COUNTIFS(BD!$B$3:$B$5001,L$175,BD!$A$3:$A$5001,"&gt;="&amp;$C$7,BD!$A$3:$A$5001,"&lt;="&amp;$B192,BD!$Z$3:$Z$5001,"&lt;&gt;")=0,"",SUMIFS(BD!$Z$3:$Z$5001,BD!$B$3:$B$5001,L$175,BD!$A$3:$A$5001,_xlfn.MAXIFS(BD!$A$3:$A$5001,BD!$B$3:$B$5001,L$175,BD!$A$3:$A$5001,"&gt;="&amp;$C$7,BD!$A$3:$A$5001,"&lt;="&amp;$B192,BD!$Z$3:$Z$5001,"&lt;&gt;"))))</f>
        <v/>
      </c>
      <c r="M192" s="43" t="str">
        <f>IF(OR($B192="",$A192&gt;$B$9,M$175=""),"",IF(COUNTIFS(BD!$B$3:$B$5001,M$175,BD!$A$3:$A$5001,"&gt;="&amp;$C$7,BD!$A$3:$A$5001,"&lt;="&amp;$B192,BD!$Z$3:$Z$5001,"&lt;&gt;")=0,"",SUMIFS(BD!$Z$3:$Z$5001,BD!$B$3:$B$5001,M$175,BD!$A$3:$A$5001,_xlfn.MAXIFS(BD!$A$3:$A$5001,BD!$B$3:$B$5001,M$175,BD!$A$3:$A$5001,"&gt;="&amp;$C$7,BD!$A$3:$A$5001,"&lt;="&amp;$B192,BD!$Z$3:$Z$5001,"&lt;&gt;"))))</f>
        <v/>
      </c>
      <c r="N192" s="43" t="str">
        <f>IF(OR($B192="",$A192&gt;$B$9,N$175=""),"",IF(COUNTIFS(BD!$B$3:$B$5001,N$175,BD!$A$3:$A$5001,"&gt;="&amp;$C$7,BD!$A$3:$A$5001,"&lt;="&amp;$B192,BD!$Z$3:$Z$5001,"&lt;&gt;")=0,"",SUMIFS(BD!$Z$3:$Z$5001,BD!$B$3:$B$5001,N$175,BD!$A$3:$A$5001,_xlfn.MAXIFS(BD!$A$3:$A$5001,BD!$B$3:$B$5001,N$175,BD!$A$3:$A$5001,"&gt;="&amp;$C$7,BD!$A$3:$A$5001,"&lt;="&amp;$B192,BD!$Z$3:$Z$5001,"&lt;&gt;"))))</f>
        <v/>
      </c>
      <c r="O192" s="43" t="str">
        <f>IF(OR($B192="",$A192&gt;$B$9,O$175=""),"",IF(COUNTIFS(BD!$B$3:$B$5001,O$175,BD!$A$3:$A$5001,"&gt;="&amp;$C$7,BD!$A$3:$A$5001,"&lt;="&amp;$B192,BD!$Z$3:$Z$5001,"&lt;&gt;")=0,"",SUMIFS(BD!$Z$3:$Z$5001,BD!$B$3:$B$5001,O$175,BD!$A$3:$A$5001,_xlfn.MAXIFS(BD!$A$3:$A$5001,BD!$B$3:$B$5001,O$175,BD!$A$3:$A$5001,"&gt;="&amp;$C$7,BD!$A$3:$A$5001,"&lt;="&amp;$B192,BD!$Z$3:$Z$5001,"&lt;&gt;"))))</f>
        <v/>
      </c>
      <c r="P192" s="43" t="str">
        <f>IF(OR($B192="",$A192&gt;$B$9,P$175=""),"",IF(COUNTIFS(BD!$B$3:$B$5001,P$175,BD!$A$3:$A$5001,"&gt;="&amp;$C$7,BD!$A$3:$A$5001,"&lt;="&amp;$B192,BD!$Z$3:$Z$5001,"&lt;&gt;")=0,"",SUMIFS(BD!$Z$3:$Z$5001,BD!$B$3:$B$5001,P$175,BD!$A$3:$A$5001,_xlfn.MAXIFS(BD!$A$3:$A$5001,BD!$B$3:$B$5001,P$175,BD!$A$3:$A$5001,"&gt;="&amp;$C$7,BD!$A$3:$A$5001,"&lt;="&amp;$B192,BD!$Z$3:$Z$5001,"&lt;&gt;"))))</f>
        <v/>
      </c>
      <c r="Q192" s="43" t="str">
        <f>IF(OR($B192="",$A192&gt;$B$9,Q$175=""),"",IF(COUNTIFS(BD!$B$3:$B$5001,Q$175,BD!$A$3:$A$5001,"&gt;="&amp;$C$7,BD!$A$3:$A$5001,"&lt;="&amp;$B192,BD!$Z$3:$Z$5001,"&lt;&gt;")=0,"",SUMIFS(BD!$Z$3:$Z$5001,BD!$B$3:$B$5001,Q$175,BD!$A$3:$A$5001,_xlfn.MAXIFS(BD!$A$3:$A$5001,BD!$B$3:$B$5001,Q$175,BD!$A$3:$A$5001,"&gt;="&amp;$C$7,BD!$A$3:$A$5001,"&lt;="&amp;$B192,BD!$Z$3:$Z$5001,"&lt;&gt;"))))</f>
        <v/>
      </c>
      <c r="R192" s="43" t="str">
        <f>IF(OR($B192="",$A192&gt;$B$9,R$175=""),"",IF(COUNTIFS(BD!$B$3:$B$5001,R$175,BD!$A$3:$A$5001,"&gt;="&amp;$C$7,BD!$A$3:$A$5001,"&lt;="&amp;$B192,BD!$Z$3:$Z$5001,"&lt;&gt;")=0,"",SUMIFS(BD!$Z$3:$Z$5001,BD!$B$3:$B$5001,R$175,BD!$A$3:$A$5001,_xlfn.MAXIFS(BD!$A$3:$A$5001,BD!$B$3:$B$5001,R$175,BD!$A$3:$A$5001,"&gt;="&amp;$C$7,BD!$A$3:$A$5001,"&lt;="&amp;$B192,BD!$Z$3:$Z$5001,"&lt;&gt;"))))</f>
        <v/>
      </c>
      <c r="S192" s="43" t="str">
        <f>IF(OR($B192="",$A192&gt;$B$9,S$175=""),"",IF(COUNTIFS(BD!$B$3:$B$5001,S$175,BD!$A$3:$A$5001,"&gt;="&amp;$C$7,BD!$A$3:$A$5001,"&lt;="&amp;$B192,BD!$Z$3:$Z$5001,"&lt;&gt;")=0,"",SUMIFS(BD!$Z$3:$Z$5001,BD!$B$3:$B$5001,S$175,BD!$A$3:$A$5001,_xlfn.MAXIFS(BD!$A$3:$A$5001,BD!$B$3:$B$5001,S$175,BD!$A$3:$A$5001,"&gt;="&amp;$C$7,BD!$A$3:$A$5001,"&lt;="&amp;$B192,BD!$Z$3:$Z$5001,"&lt;&gt;"))))</f>
        <v/>
      </c>
      <c r="T192" s="43" t="str">
        <f>IF(OR($B192="",$A192&gt;$B$9,T$175=""),"",IF(COUNTIFS(BD!$B$3:$B$5001,T$175,BD!$A$3:$A$5001,"&gt;="&amp;$C$7,BD!$A$3:$A$5001,"&lt;="&amp;$B192,BD!$Z$3:$Z$5001,"&lt;&gt;")=0,"",SUMIFS(BD!$Z$3:$Z$5001,BD!$B$3:$B$5001,T$175,BD!$A$3:$A$5001,_xlfn.MAXIFS(BD!$A$3:$A$5001,BD!$B$3:$B$5001,T$175,BD!$A$3:$A$5001,"&gt;="&amp;$C$7,BD!$A$3:$A$5001,"&lt;="&amp;$B192,BD!$Z$3:$Z$5001,"&lt;&gt;"))))</f>
        <v/>
      </c>
      <c r="U192" s="43" t="str">
        <f>IF(OR($B192="",$A192&gt;$B$9,U$175=""),"",IF(COUNTIFS(BD!$B$3:$B$5001,U$175,BD!$A$3:$A$5001,"&gt;="&amp;$C$7,BD!$A$3:$A$5001,"&lt;="&amp;$B192,BD!$Z$3:$Z$5001,"&lt;&gt;")=0,"",SUMIFS(BD!$Z$3:$Z$5001,BD!$B$3:$B$5001,U$175,BD!$A$3:$A$5001,_xlfn.MAXIFS(BD!$A$3:$A$5001,BD!$B$3:$B$5001,U$175,BD!$A$3:$A$5001,"&gt;="&amp;$C$7,BD!$A$3:$A$5001,"&lt;="&amp;$B192,BD!$Z$3:$Z$5001,"&lt;&gt;"))))</f>
        <v/>
      </c>
      <c r="V192" s="43" t="str">
        <f>IF(OR($B192="",$A192&gt;$B$9,V$175=""),"",IF(COUNTIFS(BD!$B$3:$B$5001,V$175,BD!$A$3:$A$5001,"&gt;="&amp;$C$7,BD!$A$3:$A$5001,"&lt;="&amp;$B192,BD!$Z$3:$Z$5001,"&lt;&gt;")=0,"",SUMIFS(BD!$Z$3:$Z$5001,BD!$B$3:$B$5001,V$175,BD!$A$3:$A$5001,_xlfn.MAXIFS(BD!$A$3:$A$5001,BD!$B$3:$B$5001,V$175,BD!$A$3:$A$5001,"&gt;="&amp;$C$7,BD!$A$3:$A$5001,"&lt;="&amp;$B192,BD!$Z$3:$Z$5001,"&lt;&gt;"))))</f>
        <v/>
      </c>
    </row>
    <row r="193">
      <c r="A193" s="38">
        <v>18</v>
      </c>
      <c r="B193" s="42">
        <f>$B$29</f>
        <v>46313</v>
      </c>
      <c r="C193" s="43" t="str">
        <f>IF(OR($B193="",$A193&gt;$B$9,C$175=""),"",IF(COUNTIFS(BD!$B$3:$B$5001,C$175,BD!$A$3:$A$5001,"&gt;="&amp;$C$7,BD!$A$3:$A$5001,"&lt;="&amp;$B193,BD!$Z$3:$Z$5001,"&lt;&gt;")=0,"",SUMIFS(BD!$Z$3:$Z$5001,BD!$B$3:$B$5001,C$175,BD!$A$3:$A$5001,_xlfn.MAXIFS(BD!$A$3:$A$5001,BD!$B$3:$B$5001,C$175,BD!$A$3:$A$5001,"&gt;="&amp;$C$7,BD!$A$3:$A$5001,"&lt;="&amp;$B193,BD!$Z$3:$Z$5001,"&lt;&gt;"))))</f>
        <v/>
      </c>
      <c r="D193" s="43" t="str">
        <f>IF(OR($B193="",$A193&gt;$B$9,D$175=""),"",IF(COUNTIFS(BD!$B$3:$B$5001,D$175,BD!$A$3:$A$5001,"&gt;="&amp;$C$7,BD!$A$3:$A$5001,"&lt;="&amp;$B193,BD!$Z$3:$Z$5001,"&lt;&gt;")=0,"",SUMIFS(BD!$Z$3:$Z$5001,BD!$B$3:$B$5001,D$175,BD!$A$3:$A$5001,_xlfn.MAXIFS(BD!$A$3:$A$5001,BD!$B$3:$B$5001,D$175,BD!$A$3:$A$5001,"&gt;="&amp;$C$7,BD!$A$3:$A$5001,"&lt;="&amp;$B193,BD!$Z$3:$Z$5001,"&lt;&gt;"))))</f>
        <v/>
      </c>
      <c r="E193" s="43" t="str">
        <f>IF(OR($B193="",$A193&gt;$B$9,E$175=""),"",IF(COUNTIFS(BD!$B$3:$B$5001,E$175,BD!$A$3:$A$5001,"&gt;="&amp;$C$7,BD!$A$3:$A$5001,"&lt;="&amp;$B193,BD!$Z$3:$Z$5001,"&lt;&gt;")=0,"",SUMIFS(BD!$Z$3:$Z$5001,BD!$B$3:$B$5001,E$175,BD!$A$3:$A$5001,_xlfn.MAXIFS(BD!$A$3:$A$5001,BD!$B$3:$B$5001,E$175,BD!$A$3:$A$5001,"&gt;="&amp;$C$7,BD!$A$3:$A$5001,"&lt;="&amp;$B193,BD!$Z$3:$Z$5001,"&lt;&gt;"))))</f>
        <v/>
      </c>
      <c r="F193" s="43" t="str">
        <f>IF(OR($B193="",$A193&gt;$B$9,F$175=""),"",IF(COUNTIFS(BD!$B$3:$B$5001,F$175,BD!$A$3:$A$5001,"&gt;="&amp;$C$7,BD!$A$3:$A$5001,"&lt;="&amp;$B193,BD!$Z$3:$Z$5001,"&lt;&gt;")=0,"",SUMIFS(BD!$Z$3:$Z$5001,BD!$B$3:$B$5001,F$175,BD!$A$3:$A$5001,_xlfn.MAXIFS(BD!$A$3:$A$5001,BD!$B$3:$B$5001,F$175,BD!$A$3:$A$5001,"&gt;="&amp;$C$7,BD!$A$3:$A$5001,"&lt;="&amp;$B193,BD!$Z$3:$Z$5001,"&lt;&gt;"))))</f>
        <v/>
      </c>
      <c r="G193" s="43" t="str">
        <f>IF(OR($B193="",$A193&gt;$B$9,G$175=""),"",IF(COUNTIFS(BD!$B$3:$B$5001,G$175,BD!$A$3:$A$5001,"&gt;="&amp;$C$7,BD!$A$3:$A$5001,"&lt;="&amp;$B193,BD!$Z$3:$Z$5001,"&lt;&gt;")=0,"",SUMIFS(BD!$Z$3:$Z$5001,BD!$B$3:$B$5001,G$175,BD!$A$3:$A$5001,_xlfn.MAXIFS(BD!$A$3:$A$5001,BD!$B$3:$B$5001,G$175,BD!$A$3:$A$5001,"&gt;="&amp;$C$7,BD!$A$3:$A$5001,"&lt;="&amp;$B193,BD!$Z$3:$Z$5001,"&lt;&gt;"))))</f>
        <v/>
      </c>
      <c r="H193" s="43" t="str">
        <f>IF(OR($B193="",$A193&gt;$B$9,H$175=""),"",IF(COUNTIFS(BD!$B$3:$B$5001,H$175,BD!$A$3:$A$5001,"&gt;="&amp;$C$7,BD!$A$3:$A$5001,"&lt;="&amp;$B193,BD!$Z$3:$Z$5001,"&lt;&gt;")=0,"",SUMIFS(BD!$Z$3:$Z$5001,BD!$B$3:$B$5001,H$175,BD!$A$3:$A$5001,_xlfn.MAXIFS(BD!$A$3:$A$5001,BD!$B$3:$B$5001,H$175,BD!$A$3:$A$5001,"&gt;="&amp;$C$7,BD!$A$3:$A$5001,"&lt;="&amp;$B193,BD!$Z$3:$Z$5001,"&lt;&gt;"))))</f>
        <v/>
      </c>
      <c r="I193" s="43" t="str">
        <f>IF(OR($B193="",$A193&gt;$B$9,I$175=""),"",IF(COUNTIFS(BD!$B$3:$B$5001,I$175,BD!$A$3:$A$5001,"&gt;="&amp;$C$7,BD!$A$3:$A$5001,"&lt;="&amp;$B193,BD!$Z$3:$Z$5001,"&lt;&gt;")=0,"",SUMIFS(BD!$Z$3:$Z$5001,BD!$B$3:$B$5001,I$175,BD!$A$3:$A$5001,_xlfn.MAXIFS(BD!$A$3:$A$5001,BD!$B$3:$B$5001,I$175,BD!$A$3:$A$5001,"&gt;="&amp;$C$7,BD!$A$3:$A$5001,"&lt;="&amp;$B193,BD!$Z$3:$Z$5001,"&lt;&gt;"))))</f>
        <v/>
      </c>
      <c r="J193" s="43" t="str">
        <f>IF(OR($B193="",$A193&gt;$B$9,J$175=""),"",IF(COUNTIFS(BD!$B$3:$B$5001,J$175,BD!$A$3:$A$5001,"&gt;="&amp;$C$7,BD!$A$3:$A$5001,"&lt;="&amp;$B193,BD!$Z$3:$Z$5001,"&lt;&gt;")=0,"",SUMIFS(BD!$Z$3:$Z$5001,BD!$B$3:$B$5001,J$175,BD!$A$3:$A$5001,_xlfn.MAXIFS(BD!$A$3:$A$5001,BD!$B$3:$B$5001,J$175,BD!$A$3:$A$5001,"&gt;="&amp;$C$7,BD!$A$3:$A$5001,"&lt;="&amp;$B193,BD!$Z$3:$Z$5001,"&lt;&gt;"))))</f>
        <v/>
      </c>
      <c r="K193" s="43" t="str">
        <f>IF(OR($B193="",$A193&gt;$B$9,K$175=""),"",IF(COUNTIFS(BD!$B$3:$B$5001,K$175,BD!$A$3:$A$5001,"&gt;="&amp;$C$7,BD!$A$3:$A$5001,"&lt;="&amp;$B193,BD!$Z$3:$Z$5001,"&lt;&gt;")=0,"",SUMIFS(BD!$Z$3:$Z$5001,BD!$B$3:$B$5001,K$175,BD!$A$3:$A$5001,_xlfn.MAXIFS(BD!$A$3:$A$5001,BD!$B$3:$B$5001,K$175,BD!$A$3:$A$5001,"&gt;="&amp;$C$7,BD!$A$3:$A$5001,"&lt;="&amp;$B193,BD!$Z$3:$Z$5001,"&lt;&gt;"))))</f>
        <v/>
      </c>
      <c r="L193" s="43" t="str">
        <f>IF(OR($B193="",$A193&gt;$B$9,L$175=""),"",IF(COUNTIFS(BD!$B$3:$B$5001,L$175,BD!$A$3:$A$5001,"&gt;="&amp;$C$7,BD!$A$3:$A$5001,"&lt;="&amp;$B193,BD!$Z$3:$Z$5001,"&lt;&gt;")=0,"",SUMIFS(BD!$Z$3:$Z$5001,BD!$B$3:$B$5001,L$175,BD!$A$3:$A$5001,_xlfn.MAXIFS(BD!$A$3:$A$5001,BD!$B$3:$B$5001,L$175,BD!$A$3:$A$5001,"&gt;="&amp;$C$7,BD!$A$3:$A$5001,"&lt;="&amp;$B193,BD!$Z$3:$Z$5001,"&lt;&gt;"))))</f>
        <v/>
      </c>
      <c r="M193" s="43" t="str">
        <f>IF(OR($B193="",$A193&gt;$B$9,M$175=""),"",IF(COUNTIFS(BD!$B$3:$B$5001,M$175,BD!$A$3:$A$5001,"&gt;="&amp;$C$7,BD!$A$3:$A$5001,"&lt;="&amp;$B193,BD!$Z$3:$Z$5001,"&lt;&gt;")=0,"",SUMIFS(BD!$Z$3:$Z$5001,BD!$B$3:$B$5001,M$175,BD!$A$3:$A$5001,_xlfn.MAXIFS(BD!$A$3:$A$5001,BD!$B$3:$B$5001,M$175,BD!$A$3:$A$5001,"&gt;="&amp;$C$7,BD!$A$3:$A$5001,"&lt;="&amp;$B193,BD!$Z$3:$Z$5001,"&lt;&gt;"))))</f>
        <v/>
      </c>
      <c r="N193" s="43" t="str">
        <f>IF(OR($B193="",$A193&gt;$B$9,N$175=""),"",IF(COUNTIFS(BD!$B$3:$B$5001,N$175,BD!$A$3:$A$5001,"&gt;="&amp;$C$7,BD!$A$3:$A$5001,"&lt;="&amp;$B193,BD!$Z$3:$Z$5001,"&lt;&gt;")=0,"",SUMIFS(BD!$Z$3:$Z$5001,BD!$B$3:$B$5001,N$175,BD!$A$3:$A$5001,_xlfn.MAXIFS(BD!$A$3:$A$5001,BD!$B$3:$B$5001,N$175,BD!$A$3:$A$5001,"&gt;="&amp;$C$7,BD!$A$3:$A$5001,"&lt;="&amp;$B193,BD!$Z$3:$Z$5001,"&lt;&gt;"))))</f>
        <v/>
      </c>
      <c r="O193" s="43" t="str">
        <f>IF(OR($B193="",$A193&gt;$B$9,O$175=""),"",IF(COUNTIFS(BD!$B$3:$B$5001,O$175,BD!$A$3:$A$5001,"&gt;="&amp;$C$7,BD!$A$3:$A$5001,"&lt;="&amp;$B193,BD!$Z$3:$Z$5001,"&lt;&gt;")=0,"",SUMIFS(BD!$Z$3:$Z$5001,BD!$B$3:$B$5001,O$175,BD!$A$3:$A$5001,_xlfn.MAXIFS(BD!$A$3:$A$5001,BD!$B$3:$B$5001,O$175,BD!$A$3:$A$5001,"&gt;="&amp;$C$7,BD!$A$3:$A$5001,"&lt;="&amp;$B193,BD!$Z$3:$Z$5001,"&lt;&gt;"))))</f>
        <v/>
      </c>
      <c r="P193" s="43" t="str">
        <f>IF(OR($B193="",$A193&gt;$B$9,P$175=""),"",IF(COUNTIFS(BD!$B$3:$B$5001,P$175,BD!$A$3:$A$5001,"&gt;="&amp;$C$7,BD!$A$3:$A$5001,"&lt;="&amp;$B193,BD!$Z$3:$Z$5001,"&lt;&gt;")=0,"",SUMIFS(BD!$Z$3:$Z$5001,BD!$B$3:$B$5001,P$175,BD!$A$3:$A$5001,_xlfn.MAXIFS(BD!$A$3:$A$5001,BD!$B$3:$B$5001,P$175,BD!$A$3:$A$5001,"&gt;="&amp;$C$7,BD!$A$3:$A$5001,"&lt;="&amp;$B193,BD!$Z$3:$Z$5001,"&lt;&gt;"))))</f>
        <v/>
      </c>
      <c r="Q193" s="43" t="str">
        <f>IF(OR($B193="",$A193&gt;$B$9,Q$175=""),"",IF(COUNTIFS(BD!$B$3:$B$5001,Q$175,BD!$A$3:$A$5001,"&gt;="&amp;$C$7,BD!$A$3:$A$5001,"&lt;="&amp;$B193,BD!$Z$3:$Z$5001,"&lt;&gt;")=0,"",SUMIFS(BD!$Z$3:$Z$5001,BD!$B$3:$B$5001,Q$175,BD!$A$3:$A$5001,_xlfn.MAXIFS(BD!$A$3:$A$5001,BD!$B$3:$B$5001,Q$175,BD!$A$3:$A$5001,"&gt;="&amp;$C$7,BD!$A$3:$A$5001,"&lt;="&amp;$B193,BD!$Z$3:$Z$5001,"&lt;&gt;"))))</f>
        <v/>
      </c>
      <c r="R193" s="43" t="str">
        <f>IF(OR($B193="",$A193&gt;$B$9,R$175=""),"",IF(COUNTIFS(BD!$B$3:$B$5001,R$175,BD!$A$3:$A$5001,"&gt;="&amp;$C$7,BD!$A$3:$A$5001,"&lt;="&amp;$B193,BD!$Z$3:$Z$5001,"&lt;&gt;")=0,"",SUMIFS(BD!$Z$3:$Z$5001,BD!$B$3:$B$5001,R$175,BD!$A$3:$A$5001,_xlfn.MAXIFS(BD!$A$3:$A$5001,BD!$B$3:$B$5001,R$175,BD!$A$3:$A$5001,"&gt;="&amp;$C$7,BD!$A$3:$A$5001,"&lt;="&amp;$B193,BD!$Z$3:$Z$5001,"&lt;&gt;"))))</f>
        <v/>
      </c>
      <c r="S193" s="43" t="str">
        <f>IF(OR($B193="",$A193&gt;$B$9,S$175=""),"",IF(COUNTIFS(BD!$B$3:$B$5001,S$175,BD!$A$3:$A$5001,"&gt;="&amp;$C$7,BD!$A$3:$A$5001,"&lt;="&amp;$B193,BD!$Z$3:$Z$5001,"&lt;&gt;")=0,"",SUMIFS(BD!$Z$3:$Z$5001,BD!$B$3:$B$5001,S$175,BD!$A$3:$A$5001,_xlfn.MAXIFS(BD!$A$3:$A$5001,BD!$B$3:$B$5001,S$175,BD!$A$3:$A$5001,"&gt;="&amp;$C$7,BD!$A$3:$A$5001,"&lt;="&amp;$B193,BD!$Z$3:$Z$5001,"&lt;&gt;"))))</f>
        <v/>
      </c>
      <c r="T193" s="43" t="str">
        <f>IF(OR($B193="",$A193&gt;$B$9,T$175=""),"",IF(COUNTIFS(BD!$B$3:$B$5001,T$175,BD!$A$3:$A$5001,"&gt;="&amp;$C$7,BD!$A$3:$A$5001,"&lt;="&amp;$B193,BD!$Z$3:$Z$5001,"&lt;&gt;")=0,"",SUMIFS(BD!$Z$3:$Z$5001,BD!$B$3:$B$5001,T$175,BD!$A$3:$A$5001,_xlfn.MAXIFS(BD!$A$3:$A$5001,BD!$B$3:$B$5001,T$175,BD!$A$3:$A$5001,"&gt;="&amp;$C$7,BD!$A$3:$A$5001,"&lt;="&amp;$B193,BD!$Z$3:$Z$5001,"&lt;&gt;"))))</f>
        <v/>
      </c>
      <c r="U193" s="43" t="str">
        <f>IF(OR($B193="",$A193&gt;$B$9,U$175=""),"",IF(COUNTIFS(BD!$B$3:$B$5001,U$175,BD!$A$3:$A$5001,"&gt;="&amp;$C$7,BD!$A$3:$A$5001,"&lt;="&amp;$B193,BD!$Z$3:$Z$5001,"&lt;&gt;")=0,"",SUMIFS(BD!$Z$3:$Z$5001,BD!$B$3:$B$5001,U$175,BD!$A$3:$A$5001,_xlfn.MAXIFS(BD!$A$3:$A$5001,BD!$B$3:$B$5001,U$175,BD!$A$3:$A$5001,"&gt;="&amp;$C$7,BD!$A$3:$A$5001,"&lt;="&amp;$B193,BD!$Z$3:$Z$5001,"&lt;&gt;"))))</f>
        <v/>
      </c>
      <c r="V193" s="43" t="str">
        <f>IF(OR($B193="",$A193&gt;$B$9,V$175=""),"",IF(COUNTIFS(BD!$B$3:$B$5001,V$175,BD!$A$3:$A$5001,"&gt;="&amp;$C$7,BD!$A$3:$A$5001,"&lt;="&amp;$B193,BD!$Z$3:$Z$5001,"&lt;&gt;")=0,"",SUMIFS(BD!$Z$3:$Z$5001,BD!$B$3:$B$5001,V$175,BD!$A$3:$A$5001,_xlfn.MAXIFS(BD!$A$3:$A$5001,BD!$B$3:$B$5001,V$175,BD!$A$3:$A$5001,"&gt;="&amp;$C$7,BD!$A$3:$A$5001,"&lt;="&amp;$B193,BD!$Z$3:$Z$5001,"&lt;&gt;"))))</f>
        <v/>
      </c>
    </row>
    <row r="194">
      <c r="A194" s="38">
        <v>19</v>
      </c>
      <c r="B194" s="42">
        <f>$B$30</f>
        <v>46314</v>
      </c>
      <c r="C194" s="43" t="str">
        <f>IF(OR($B194="",$A194&gt;$B$9,C$175=""),"",IF(COUNTIFS(BD!$B$3:$B$5001,C$175,BD!$A$3:$A$5001,"&gt;="&amp;$C$7,BD!$A$3:$A$5001,"&lt;="&amp;$B194,BD!$Z$3:$Z$5001,"&lt;&gt;")=0,"",SUMIFS(BD!$Z$3:$Z$5001,BD!$B$3:$B$5001,C$175,BD!$A$3:$A$5001,_xlfn.MAXIFS(BD!$A$3:$A$5001,BD!$B$3:$B$5001,C$175,BD!$A$3:$A$5001,"&gt;="&amp;$C$7,BD!$A$3:$A$5001,"&lt;="&amp;$B194,BD!$Z$3:$Z$5001,"&lt;&gt;"))))</f>
        <v/>
      </c>
      <c r="D194" s="43" t="str">
        <f>IF(OR($B194="",$A194&gt;$B$9,D$175=""),"",IF(COUNTIFS(BD!$B$3:$B$5001,D$175,BD!$A$3:$A$5001,"&gt;="&amp;$C$7,BD!$A$3:$A$5001,"&lt;="&amp;$B194,BD!$Z$3:$Z$5001,"&lt;&gt;")=0,"",SUMIFS(BD!$Z$3:$Z$5001,BD!$B$3:$B$5001,D$175,BD!$A$3:$A$5001,_xlfn.MAXIFS(BD!$A$3:$A$5001,BD!$B$3:$B$5001,D$175,BD!$A$3:$A$5001,"&gt;="&amp;$C$7,BD!$A$3:$A$5001,"&lt;="&amp;$B194,BD!$Z$3:$Z$5001,"&lt;&gt;"))))</f>
        <v/>
      </c>
      <c r="E194" s="43" t="str">
        <f>IF(OR($B194="",$A194&gt;$B$9,E$175=""),"",IF(COUNTIFS(BD!$B$3:$B$5001,E$175,BD!$A$3:$A$5001,"&gt;="&amp;$C$7,BD!$A$3:$A$5001,"&lt;="&amp;$B194,BD!$Z$3:$Z$5001,"&lt;&gt;")=0,"",SUMIFS(BD!$Z$3:$Z$5001,BD!$B$3:$B$5001,E$175,BD!$A$3:$A$5001,_xlfn.MAXIFS(BD!$A$3:$A$5001,BD!$B$3:$B$5001,E$175,BD!$A$3:$A$5001,"&gt;="&amp;$C$7,BD!$A$3:$A$5001,"&lt;="&amp;$B194,BD!$Z$3:$Z$5001,"&lt;&gt;"))))</f>
        <v/>
      </c>
      <c r="F194" s="43" t="str">
        <f>IF(OR($B194="",$A194&gt;$B$9,F$175=""),"",IF(COUNTIFS(BD!$B$3:$B$5001,F$175,BD!$A$3:$A$5001,"&gt;="&amp;$C$7,BD!$A$3:$A$5001,"&lt;="&amp;$B194,BD!$Z$3:$Z$5001,"&lt;&gt;")=0,"",SUMIFS(BD!$Z$3:$Z$5001,BD!$B$3:$B$5001,F$175,BD!$A$3:$A$5001,_xlfn.MAXIFS(BD!$A$3:$A$5001,BD!$B$3:$B$5001,F$175,BD!$A$3:$A$5001,"&gt;="&amp;$C$7,BD!$A$3:$A$5001,"&lt;="&amp;$B194,BD!$Z$3:$Z$5001,"&lt;&gt;"))))</f>
        <v/>
      </c>
      <c r="G194" s="43" t="str">
        <f>IF(OR($B194="",$A194&gt;$B$9,G$175=""),"",IF(COUNTIFS(BD!$B$3:$B$5001,G$175,BD!$A$3:$A$5001,"&gt;="&amp;$C$7,BD!$A$3:$A$5001,"&lt;="&amp;$B194,BD!$Z$3:$Z$5001,"&lt;&gt;")=0,"",SUMIFS(BD!$Z$3:$Z$5001,BD!$B$3:$B$5001,G$175,BD!$A$3:$A$5001,_xlfn.MAXIFS(BD!$A$3:$A$5001,BD!$B$3:$B$5001,G$175,BD!$A$3:$A$5001,"&gt;="&amp;$C$7,BD!$A$3:$A$5001,"&lt;="&amp;$B194,BD!$Z$3:$Z$5001,"&lt;&gt;"))))</f>
        <v/>
      </c>
      <c r="H194" s="43" t="str">
        <f>IF(OR($B194="",$A194&gt;$B$9,H$175=""),"",IF(COUNTIFS(BD!$B$3:$B$5001,H$175,BD!$A$3:$A$5001,"&gt;="&amp;$C$7,BD!$A$3:$A$5001,"&lt;="&amp;$B194,BD!$Z$3:$Z$5001,"&lt;&gt;")=0,"",SUMIFS(BD!$Z$3:$Z$5001,BD!$B$3:$B$5001,H$175,BD!$A$3:$A$5001,_xlfn.MAXIFS(BD!$A$3:$A$5001,BD!$B$3:$B$5001,H$175,BD!$A$3:$A$5001,"&gt;="&amp;$C$7,BD!$A$3:$A$5001,"&lt;="&amp;$B194,BD!$Z$3:$Z$5001,"&lt;&gt;"))))</f>
        <v/>
      </c>
      <c r="I194" s="43" t="str">
        <f>IF(OR($B194="",$A194&gt;$B$9,I$175=""),"",IF(COUNTIFS(BD!$B$3:$B$5001,I$175,BD!$A$3:$A$5001,"&gt;="&amp;$C$7,BD!$A$3:$A$5001,"&lt;="&amp;$B194,BD!$Z$3:$Z$5001,"&lt;&gt;")=0,"",SUMIFS(BD!$Z$3:$Z$5001,BD!$B$3:$B$5001,I$175,BD!$A$3:$A$5001,_xlfn.MAXIFS(BD!$A$3:$A$5001,BD!$B$3:$B$5001,I$175,BD!$A$3:$A$5001,"&gt;="&amp;$C$7,BD!$A$3:$A$5001,"&lt;="&amp;$B194,BD!$Z$3:$Z$5001,"&lt;&gt;"))))</f>
        <v/>
      </c>
      <c r="J194" s="43" t="str">
        <f>IF(OR($B194="",$A194&gt;$B$9,J$175=""),"",IF(COUNTIFS(BD!$B$3:$B$5001,J$175,BD!$A$3:$A$5001,"&gt;="&amp;$C$7,BD!$A$3:$A$5001,"&lt;="&amp;$B194,BD!$Z$3:$Z$5001,"&lt;&gt;")=0,"",SUMIFS(BD!$Z$3:$Z$5001,BD!$B$3:$B$5001,J$175,BD!$A$3:$A$5001,_xlfn.MAXIFS(BD!$A$3:$A$5001,BD!$B$3:$B$5001,J$175,BD!$A$3:$A$5001,"&gt;="&amp;$C$7,BD!$A$3:$A$5001,"&lt;="&amp;$B194,BD!$Z$3:$Z$5001,"&lt;&gt;"))))</f>
        <v/>
      </c>
      <c r="K194" s="43" t="str">
        <f>IF(OR($B194="",$A194&gt;$B$9,K$175=""),"",IF(COUNTIFS(BD!$B$3:$B$5001,K$175,BD!$A$3:$A$5001,"&gt;="&amp;$C$7,BD!$A$3:$A$5001,"&lt;="&amp;$B194,BD!$Z$3:$Z$5001,"&lt;&gt;")=0,"",SUMIFS(BD!$Z$3:$Z$5001,BD!$B$3:$B$5001,K$175,BD!$A$3:$A$5001,_xlfn.MAXIFS(BD!$A$3:$A$5001,BD!$B$3:$B$5001,K$175,BD!$A$3:$A$5001,"&gt;="&amp;$C$7,BD!$A$3:$A$5001,"&lt;="&amp;$B194,BD!$Z$3:$Z$5001,"&lt;&gt;"))))</f>
        <v/>
      </c>
      <c r="L194" s="43" t="str">
        <f>IF(OR($B194="",$A194&gt;$B$9,L$175=""),"",IF(COUNTIFS(BD!$B$3:$B$5001,L$175,BD!$A$3:$A$5001,"&gt;="&amp;$C$7,BD!$A$3:$A$5001,"&lt;="&amp;$B194,BD!$Z$3:$Z$5001,"&lt;&gt;")=0,"",SUMIFS(BD!$Z$3:$Z$5001,BD!$B$3:$B$5001,L$175,BD!$A$3:$A$5001,_xlfn.MAXIFS(BD!$A$3:$A$5001,BD!$B$3:$B$5001,L$175,BD!$A$3:$A$5001,"&gt;="&amp;$C$7,BD!$A$3:$A$5001,"&lt;="&amp;$B194,BD!$Z$3:$Z$5001,"&lt;&gt;"))))</f>
        <v/>
      </c>
      <c r="M194" s="43" t="str">
        <f>IF(OR($B194="",$A194&gt;$B$9,M$175=""),"",IF(COUNTIFS(BD!$B$3:$B$5001,M$175,BD!$A$3:$A$5001,"&gt;="&amp;$C$7,BD!$A$3:$A$5001,"&lt;="&amp;$B194,BD!$Z$3:$Z$5001,"&lt;&gt;")=0,"",SUMIFS(BD!$Z$3:$Z$5001,BD!$B$3:$B$5001,M$175,BD!$A$3:$A$5001,_xlfn.MAXIFS(BD!$A$3:$A$5001,BD!$B$3:$B$5001,M$175,BD!$A$3:$A$5001,"&gt;="&amp;$C$7,BD!$A$3:$A$5001,"&lt;="&amp;$B194,BD!$Z$3:$Z$5001,"&lt;&gt;"))))</f>
        <v/>
      </c>
      <c r="N194" s="43" t="str">
        <f>IF(OR($B194="",$A194&gt;$B$9,N$175=""),"",IF(COUNTIFS(BD!$B$3:$B$5001,N$175,BD!$A$3:$A$5001,"&gt;="&amp;$C$7,BD!$A$3:$A$5001,"&lt;="&amp;$B194,BD!$Z$3:$Z$5001,"&lt;&gt;")=0,"",SUMIFS(BD!$Z$3:$Z$5001,BD!$B$3:$B$5001,N$175,BD!$A$3:$A$5001,_xlfn.MAXIFS(BD!$A$3:$A$5001,BD!$B$3:$B$5001,N$175,BD!$A$3:$A$5001,"&gt;="&amp;$C$7,BD!$A$3:$A$5001,"&lt;="&amp;$B194,BD!$Z$3:$Z$5001,"&lt;&gt;"))))</f>
        <v/>
      </c>
      <c r="O194" s="43" t="str">
        <f>IF(OR($B194="",$A194&gt;$B$9,O$175=""),"",IF(COUNTIFS(BD!$B$3:$B$5001,O$175,BD!$A$3:$A$5001,"&gt;="&amp;$C$7,BD!$A$3:$A$5001,"&lt;="&amp;$B194,BD!$Z$3:$Z$5001,"&lt;&gt;")=0,"",SUMIFS(BD!$Z$3:$Z$5001,BD!$B$3:$B$5001,O$175,BD!$A$3:$A$5001,_xlfn.MAXIFS(BD!$A$3:$A$5001,BD!$B$3:$B$5001,O$175,BD!$A$3:$A$5001,"&gt;="&amp;$C$7,BD!$A$3:$A$5001,"&lt;="&amp;$B194,BD!$Z$3:$Z$5001,"&lt;&gt;"))))</f>
        <v/>
      </c>
      <c r="P194" s="43" t="str">
        <f>IF(OR($B194="",$A194&gt;$B$9,P$175=""),"",IF(COUNTIFS(BD!$B$3:$B$5001,P$175,BD!$A$3:$A$5001,"&gt;="&amp;$C$7,BD!$A$3:$A$5001,"&lt;="&amp;$B194,BD!$Z$3:$Z$5001,"&lt;&gt;")=0,"",SUMIFS(BD!$Z$3:$Z$5001,BD!$B$3:$B$5001,P$175,BD!$A$3:$A$5001,_xlfn.MAXIFS(BD!$A$3:$A$5001,BD!$B$3:$B$5001,P$175,BD!$A$3:$A$5001,"&gt;="&amp;$C$7,BD!$A$3:$A$5001,"&lt;="&amp;$B194,BD!$Z$3:$Z$5001,"&lt;&gt;"))))</f>
        <v/>
      </c>
      <c r="Q194" s="43" t="str">
        <f>IF(OR($B194="",$A194&gt;$B$9,Q$175=""),"",IF(COUNTIFS(BD!$B$3:$B$5001,Q$175,BD!$A$3:$A$5001,"&gt;="&amp;$C$7,BD!$A$3:$A$5001,"&lt;="&amp;$B194,BD!$Z$3:$Z$5001,"&lt;&gt;")=0,"",SUMIFS(BD!$Z$3:$Z$5001,BD!$B$3:$B$5001,Q$175,BD!$A$3:$A$5001,_xlfn.MAXIFS(BD!$A$3:$A$5001,BD!$B$3:$B$5001,Q$175,BD!$A$3:$A$5001,"&gt;="&amp;$C$7,BD!$A$3:$A$5001,"&lt;="&amp;$B194,BD!$Z$3:$Z$5001,"&lt;&gt;"))))</f>
        <v/>
      </c>
      <c r="R194" s="43" t="str">
        <f>IF(OR($B194="",$A194&gt;$B$9,R$175=""),"",IF(COUNTIFS(BD!$B$3:$B$5001,R$175,BD!$A$3:$A$5001,"&gt;="&amp;$C$7,BD!$A$3:$A$5001,"&lt;="&amp;$B194,BD!$Z$3:$Z$5001,"&lt;&gt;")=0,"",SUMIFS(BD!$Z$3:$Z$5001,BD!$B$3:$B$5001,R$175,BD!$A$3:$A$5001,_xlfn.MAXIFS(BD!$A$3:$A$5001,BD!$B$3:$B$5001,R$175,BD!$A$3:$A$5001,"&gt;="&amp;$C$7,BD!$A$3:$A$5001,"&lt;="&amp;$B194,BD!$Z$3:$Z$5001,"&lt;&gt;"))))</f>
        <v/>
      </c>
      <c r="S194" s="43" t="str">
        <f>IF(OR($B194="",$A194&gt;$B$9,S$175=""),"",IF(COUNTIFS(BD!$B$3:$B$5001,S$175,BD!$A$3:$A$5001,"&gt;="&amp;$C$7,BD!$A$3:$A$5001,"&lt;="&amp;$B194,BD!$Z$3:$Z$5001,"&lt;&gt;")=0,"",SUMIFS(BD!$Z$3:$Z$5001,BD!$B$3:$B$5001,S$175,BD!$A$3:$A$5001,_xlfn.MAXIFS(BD!$A$3:$A$5001,BD!$B$3:$B$5001,S$175,BD!$A$3:$A$5001,"&gt;="&amp;$C$7,BD!$A$3:$A$5001,"&lt;="&amp;$B194,BD!$Z$3:$Z$5001,"&lt;&gt;"))))</f>
        <v/>
      </c>
      <c r="T194" s="43" t="str">
        <f>IF(OR($B194="",$A194&gt;$B$9,T$175=""),"",IF(COUNTIFS(BD!$B$3:$B$5001,T$175,BD!$A$3:$A$5001,"&gt;="&amp;$C$7,BD!$A$3:$A$5001,"&lt;="&amp;$B194,BD!$Z$3:$Z$5001,"&lt;&gt;")=0,"",SUMIFS(BD!$Z$3:$Z$5001,BD!$B$3:$B$5001,T$175,BD!$A$3:$A$5001,_xlfn.MAXIFS(BD!$A$3:$A$5001,BD!$B$3:$B$5001,T$175,BD!$A$3:$A$5001,"&gt;="&amp;$C$7,BD!$A$3:$A$5001,"&lt;="&amp;$B194,BD!$Z$3:$Z$5001,"&lt;&gt;"))))</f>
        <v/>
      </c>
      <c r="U194" s="43" t="str">
        <f>IF(OR($B194="",$A194&gt;$B$9,U$175=""),"",IF(COUNTIFS(BD!$B$3:$B$5001,U$175,BD!$A$3:$A$5001,"&gt;="&amp;$C$7,BD!$A$3:$A$5001,"&lt;="&amp;$B194,BD!$Z$3:$Z$5001,"&lt;&gt;")=0,"",SUMIFS(BD!$Z$3:$Z$5001,BD!$B$3:$B$5001,U$175,BD!$A$3:$A$5001,_xlfn.MAXIFS(BD!$A$3:$A$5001,BD!$B$3:$B$5001,U$175,BD!$A$3:$A$5001,"&gt;="&amp;$C$7,BD!$A$3:$A$5001,"&lt;="&amp;$B194,BD!$Z$3:$Z$5001,"&lt;&gt;"))))</f>
        <v/>
      </c>
      <c r="V194" s="43" t="str">
        <f>IF(OR($B194="",$A194&gt;$B$9,V$175=""),"",IF(COUNTIFS(BD!$B$3:$B$5001,V$175,BD!$A$3:$A$5001,"&gt;="&amp;$C$7,BD!$A$3:$A$5001,"&lt;="&amp;$B194,BD!$Z$3:$Z$5001,"&lt;&gt;")=0,"",SUMIFS(BD!$Z$3:$Z$5001,BD!$B$3:$B$5001,V$175,BD!$A$3:$A$5001,_xlfn.MAXIFS(BD!$A$3:$A$5001,BD!$B$3:$B$5001,V$175,BD!$A$3:$A$5001,"&gt;="&amp;$C$7,BD!$A$3:$A$5001,"&lt;="&amp;$B194,BD!$Z$3:$Z$5001,"&lt;&gt;"))))</f>
        <v/>
      </c>
    </row>
    <row r="195">
      <c r="A195" s="38">
        <v>20</v>
      </c>
      <c r="B195" s="42">
        <f>$B$31</f>
        <v>46315</v>
      </c>
      <c r="C195" s="43" t="str">
        <f>IF(OR($B195="",$A195&gt;$B$9,C$175=""),"",IF(COUNTIFS(BD!$B$3:$B$5001,C$175,BD!$A$3:$A$5001,"&gt;="&amp;$C$7,BD!$A$3:$A$5001,"&lt;="&amp;$B195,BD!$Z$3:$Z$5001,"&lt;&gt;")=0,"",SUMIFS(BD!$Z$3:$Z$5001,BD!$B$3:$B$5001,C$175,BD!$A$3:$A$5001,_xlfn.MAXIFS(BD!$A$3:$A$5001,BD!$B$3:$B$5001,C$175,BD!$A$3:$A$5001,"&gt;="&amp;$C$7,BD!$A$3:$A$5001,"&lt;="&amp;$B195,BD!$Z$3:$Z$5001,"&lt;&gt;"))))</f>
        <v/>
      </c>
      <c r="D195" s="43" t="str">
        <f>IF(OR($B195="",$A195&gt;$B$9,D$175=""),"",IF(COUNTIFS(BD!$B$3:$B$5001,D$175,BD!$A$3:$A$5001,"&gt;="&amp;$C$7,BD!$A$3:$A$5001,"&lt;="&amp;$B195,BD!$Z$3:$Z$5001,"&lt;&gt;")=0,"",SUMIFS(BD!$Z$3:$Z$5001,BD!$B$3:$B$5001,D$175,BD!$A$3:$A$5001,_xlfn.MAXIFS(BD!$A$3:$A$5001,BD!$B$3:$B$5001,D$175,BD!$A$3:$A$5001,"&gt;="&amp;$C$7,BD!$A$3:$A$5001,"&lt;="&amp;$B195,BD!$Z$3:$Z$5001,"&lt;&gt;"))))</f>
        <v/>
      </c>
      <c r="E195" s="43" t="str">
        <f>IF(OR($B195="",$A195&gt;$B$9,E$175=""),"",IF(COUNTIFS(BD!$B$3:$B$5001,E$175,BD!$A$3:$A$5001,"&gt;="&amp;$C$7,BD!$A$3:$A$5001,"&lt;="&amp;$B195,BD!$Z$3:$Z$5001,"&lt;&gt;")=0,"",SUMIFS(BD!$Z$3:$Z$5001,BD!$B$3:$B$5001,E$175,BD!$A$3:$A$5001,_xlfn.MAXIFS(BD!$A$3:$A$5001,BD!$B$3:$B$5001,E$175,BD!$A$3:$A$5001,"&gt;="&amp;$C$7,BD!$A$3:$A$5001,"&lt;="&amp;$B195,BD!$Z$3:$Z$5001,"&lt;&gt;"))))</f>
        <v/>
      </c>
      <c r="F195" s="43" t="str">
        <f>IF(OR($B195="",$A195&gt;$B$9,F$175=""),"",IF(COUNTIFS(BD!$B$3:$B$5001,F$175,BD!$A$3:$A$5001,"&gt;="&amp;$C$7,BD!$A$3:$A$5001,"&lt;="&amp;$B195,BD!$Z$3:$Z$5001,"&lt;&gt;")=0,"",SUMIFS(BD!$Z$3:$Z$5001,BD!$B$3:$B$5001,F$175,BD!$A$3:$A$5001,_xlfn.MAXIFS(BD!$A$3:$A$5001,BD!$B$3:$B$5001,F$175,BD!$A$3:$A$5001,"&gt;="&amp;$C$7,BD!$A$3:$A$5001,"&lt;="&amp;$B195,BD!$Z$3:$Z$5001,"&lt;&gt;"))))</f>
        <v/>
      </c>
      <c r="G195" s="43" t="str">
        <f>IF(OR($B195="",$A195&gt;$B$9,G$175=""),"",IF(COUNTIFS(BD!$B$3:$B$5001,G$175,BD!$A$3:$A$5001,"&gt;="&amp;$C$7,BD!$A$3:$A$5001,"&lt;="&amp;$B195,BD!$Z$3:$Z$5001,"&lt;&gt;")=0,"",SUMIFS(BD!$Z$3:$Z$5001,BD!$B$3:$B$5001,G$175,BD!$A$3:$A$5001,_xlfn.MAXIFS(BD!$A$3:$A$5001,BD!$B$3:$B$5001,G$175,BD!$A$3:$A$5001,"&gt;="&amp;$C$7,BD!$A$3:$A$5001,"&lt;="&amp;$B195,BD!$Z$3:$Z$5001,"&lt;&gt;"))))</f>
        <v/>
      </c>
      <c r="H195" s="43" t="str">
        <f>IF(OR($B195="",$A195&gt;$B$9,H$175=""),"",IF(COUNTIFS(BD!$B$3:$B$5001,H$175,BD!$A$3:$A$5001,"&gt;="&amp;$C$7,BD!$A$3:$A$5001,"&lt;="&amp;$B195,BD!$Z$3:$Z$5001,"&lt;&gt;")=0,"",SUMIFS(BD!$Z$3:$Z$5001,BD!$B$3:$B$5001,H$175,BD!$A$3:$A$5001,_xlfn.MAXIFS(BD!$A$3:$A$5001,BD!$B$3:$B$5001,H$175,BD!$A$3:$A$5001,"&gt;="&amp;$C$7,BD!$A$3:$A$5001,"&lt;="&amp;$B195,BD!$Z$3:$Z$5001,"&lt;&gt;"))))</f>
        <v/>
      </c>
      <c r="I195" s="43" t="str">
        <f>IF(OR($B195="",$A195&gt;$B$9,I$175=""),"",IF(COUNTIFS(BD!$B$3:$B$5001,I$175,BD!$A$3:$A$5001,"&gt;="&amp;$C$7,BD!$A$3:$A$5001,"&lt;="&amp;$B195,BD!$Z$3:$Z$5001,"&lt;&gt;")=0,"",SUMIFS(BD!$Z$3:$Z$5001,BD!$B$3:$B$5001,I$175,BD!$A$3:$A$5001,_xlfn.MAXIFS(BD!$A$3:$A$5001,BD!$B$3:$B$5001,I$175,BD!$A$3:$A$5001,"&gt;="&amp;$C$7,BD!$A$3:$A$5001,"&lt;="&amp;$B195,BD!$Z$3:$Z$5001,"&lt;&gt;"))))</f>
        <v/>
      </c>
      <c r="J195" s="43" t="str">
        <f>IF(OR($B195="",$A195&gt;$B$9,J$175=""),"",IF(COUNTIFS(BD!$B$3:$B$5001,J$175,BD!$A$3:$A$5001,"&gt;="&amp;$C$7,BD!$A$3:$A$5001,"&lt;="&amp;$B195,BD!$Z$3:$Z$5001,"&lt;&gt;")=0,"",SUMIFS(BD!$Z$3:$Z$5001,BD!$B$3:$B$5001,J$175,BD!$A$3:$A$5001,_xlfn.MAXIFS(BD!$A$3:$A$5001,BD!$B$3:$B$5001,J$175,BD!$A$3:$A$5001,"&gt;="&amp;$C$7,BD!$A$3:$A$5001,"&lt;="&amp;$B195,BD!$Z$3:$Z$5001,"&lt;&gt;"))))</f>
        <v/>
      </c>
      <c r="K195" s="43" t="str">
        <f>IF(OR($B195="",$A195&gt;$B$9,K$175=""),"",IF(COUNTIFS(BD!$B$3:$B$5001,K$175,BD!$A$3:$A$5001,"&gt;="&amp;$C$7,BD!$A$3:$A$5001,"&lt;="&amp;$B195,BD!$Z$3:$Z$5001,"&lt;&gt;")=0,"",SUMIFS(BD!$Z$3:$Z$5001,BD!$B$3:$B$5001,K$175,BD!$A$3:$A$5001,_xlfn.MAXIFS(BD!$A$3:$A$5001,BD!$B$3:$B$5001,K$175,BD!$A$3:$A$5001,"&gt;="&amp;$C$7,BD!$A$3:$A$5001,"&lt;="&amp;$B195,BD!$Z$3:$Z$5001,"&lt;&gt;"))))</f>
        <v/>
      </c>
      <c r="L195" s="43" t="str">
        <f>IF(OR($B195="",$A195&gt;$B$9,L$175=""),"",IF(COUNTIFS(BD!$B$3:$B$5001,L$175,BD!$A$3:$A$5001,"&gt;="&amp;$C$7,BD!$A$3:$A$5001,"&lt;="&amp;$B195,BD!$Z$3:$Z$5001,"&lt;&gt;")=0,"",SUMIFS(BD!$Z$3:$Z$5001,BD!$B$3:$B$5001,L$175,BD!$A$3:$A$5001,_xlfn.MAXIFS(BD!$A$3:$A$5001,BD!$B$3:$B$5001,L$175,BD!$A$3:$A$5001,"&gt;="&amp;$C$7,BD!$A$3:$A$5001,"&lt;="&amp;$B195,BD!$Z$3:$Z$5001,"&lt;&gt;"))))</f>
        <v/>
      </c>
      <c r="M195" s="43" t="str">
        <f>IF(OR($B195="",$A195&gt;$B$9,M$175=""),"",IF(COUNTIFS(BD!$B$3:$B$5001,M$175,BD!$A$3:$A$5001,"&gt;="&amp;$C$7,BD!$A$3:$A$5001,"&lt;="&amp;$B195,BD!$Z$3:$Z$5001,"&lt;&gt;")=0,"",SUMIFS(BD!$Z$3:$Z$5001,BD!$B$3:$B$5001,M$175,BD!$A$3:$A$5001,_xlfn.MAXIFS(BD!$A$3:$A$5001,BD!$B$3:$B$5001,M$175,BD!$A$3:$A$5001,"&gt;="&amp;$C$7,BD!$A$3:$A$5001,"&lt;="&amp;$B195,BD!$Z$3:$Z$5001,"&lt;&gt;"))))</f>
        <v/>
      </c>
      <c r="N195" s="43" t="str">
        <f>IF(OR($B195="",$A195&gt;$B$9,N$175=""),"",IF(COUNTIFS(BD!$B$3:$B$5001,N$175,BD!$A$3:$A$5001,"&gt;="&amp;$C$7,BD!$A$3:$A$5001,"&lt;="&amp;$B195,BD!$Z$3:$Z$5001,"&lt;&gt;")=0,"",SUMIFS(BD!$Z$3:$Z$5001,BD!$B$3:$B$5001,N$175,BD!$A$3:$A$5001,_xlfn.MAXIFS(BD!$A$3:$A$5001,BD!$B$3:$B$5001,N$175,BD!$A$3:$A$5001,"&gt;="&amp;$C$7,BD!$A$3:$A$5001,"&lt;="&amp;$B195,BD!$Z$3:$Z$5001,"&lt;&gt;"))))</f>
        <v/>
      </c>
      <c r="O195" s="43" t="str">
        <f>IF(OR($B195="",$A195&gt;$B$9,O$175=""),"",IF(COUNTIFS(BD!$B$3:$B$5001,O$175,BD!$A$3:$A$5001,"&gt;="&amp;$C$7,BD!$A$3:$A$5001,"&lt;="&amp;$B195,BD!$Z$3:$Z$5001,"&lt;&gt;")=0,"",SUMIFS(BD!$Z$3:$Z$5001,BD!$B$3:$B$5001,O$175,BD!$A$3:$A$5001,_xlfn.MAXIFS(BD!$A$3:$A$5001,BD!$B$3:$B$5001,O$175,BD!$A$3:$A$5001,"&gt;="&amp;$C$7,BD!$A$3:$A$5001,"&lt;="&amp;$B195,BD!$Z$3:$Z$5001,"&lt;&gt;"))))</f>
        <v/>
      </c>
      <c r="P195" s="43" t="str">
        <f>IF(OR($B195="",$A195&gt;$B$9,P$175=""),"",IF(COUNTIFS(BD!$B$3:$B$5001,P$175,BD!$A$3:$A$5001,"&gt;="&amp;$C$7,BD!$A$3:$A$5001,"&lt;="&amp;$B195,BD!$Z$3:$Z$5001,"&lt;&gt;")=0,"",SUMIFS(BD!$Z$3:$Z$5001,BD!$B$3:$B$5001,P$175,BD!$A$3:$A$5001,_xlfn.MAXIFS(BD!$A$3:$A$5001,BD!$B$3:$B$5001,P$175,BD!$A$3:$A$5001,"&gt;="&amp;$C$7,BD!$A$3:$A$5001,"&lt;="&amp;$B195,BD!$Z$3:$Z$5001,"&lt;&gt;"))))</f>
        <v/>
      </c>
      <c r="Q195" s="43" t="str">
        <f>IF(OR($B195="",$A195&gt;$B$9,Q$175=""),"",IF(COUNTIFS(BD!$B$3:$B$5001,Q$175,BD!$A$3:$A$5001,"&gt;="&amp;$C$7,BD!$A$3:$A$5001,"&lt;="&amp;$B195,BD!$Z$3:$Z$5001,"&lt;&gt;")=0,"",SUMIFS(BD!$Z$3:$Z$5001,BD!$B$3:$B$5001,Q$175,BD!$A$3:$A$5001,_xlfn.MAXIFS(BD!$A$3:$A$5001,BD!$B$3:$B$5001,Q$175,BD!$A$3:$A$5001,"&gt;="&amp;$C$7,BD!$A$3:$A$5001,"&lt;="&amp;$B195,BD!$Z$3:$Z$5001,"&lt;&gt;"))))</f>
        <v/>
      </c>
      <c r="R195" s="43" t="str">
        <f>IF(OR($B195="",$A195&gt;$B$9,R$175=""),"",IF(COUNTIFS(BD!$B$3:$B$5001,R$175,BD!$A$3:$A$5001,"&gt;="&amp;$C$7,BD!$A$3:$A$5001,"&lt;="&amp;$B195,BD!$Z$3:$Z$5001,"&lt;&gt;")=0,"",SUMIFS(BD!$Z$3:$Z$5001,BD!$B$3:$B$5001,R$175,BD!$A$3:$A$5001,_xlfn.MAXIFS(BD!$A$3:$A$5001,BD!$B$3:$B$5001,R$175,BD!$A$3:$A$5001,"&gt;="&amp;$C$7,BD!$A$3:$A$5001,"&lt;="&amp;$B195,BD!$Z$3:$Z$5001,"&lt;&gt;"))))</f>
        <v/>
      </c>
      <c r="S195" s="43" t="str">
        <f>IF(OR($B195="",$A195&gt;$B$9,S$175=""),"",IF(COUNTIFS(BD!$B$3:$B$5001,S$175,BD!$A$3:$A$5001,"&gt;="&amp;$C$7,BD!$A$3:$A$5001,"&lt;="&amp;$B195,BD!$Z$3:$Z$5001,"&lt;&gt;")=0,"",SUMIFS(BD!$Z$3:$Z$5001,BD!$B$3:$B$5001,S$175,BD!$A$3:$A$5001,_xlfn.MAXIFS(BD!$A$3:$A$5001,BD!$B$3:$B$5001,S$175,BD!$A$3:$A$5001,"&gt;="&amp;$C$7,BD!$A$3:$A$5001,"&lt;="&amp;$B195,BD!$Z$3:$Z$5001,"&lt;&gt;"))))</f>
        <v/>
      </c>
      <c r="T195" s="43" t="str">
        <f>IF(OR($B195="",$A195&gt;$B$9,T$175=""),"",IF(COUNTIFS(BD!$B$3:$B$5001,T$175,BD!$A$3:$A$5001,"&gt;="&amp;$C$7,BD!$A$3:$A$5001,"&lt;="&amp;$B195,BD!$Z$3:$Z$5001,"&lt;&gt;")=0,"",SUMIFS(BD!$Z$3:$Z$5001,BD!$B$3:$B$5001,T$175,BD!$A$3:$A$5001,_xlfn.MAXIFS(BD!$A$3:$A$5001,BD!$B$3:$B$5001,T$175,BD!$A$3:$A$5001,"&gt;="&amp;$C$7,BD!$A$3:$A$5001,"&lt;="&amp;$B195,BD!$Z$3:$Z$5001,"&lt;&gt;"))))</f>
        <v/>
      </c>
      <c r="U195" s="43" t="str">
        <f>IF(OR($B195="",$A195&gt;$B$9,U$175=""),"",IF(COUNTIFS(BD!$B$3:$B$5001,U$175,BD!$A$3:$A$5001,"&gt;="&amp;$C$7,BD!$A$3:$A$5001,"&lt;="&amp;$B195,BD!$Z$3:$Z$5001,"&lt;&gt;")=0,"",SUMIFS(BD!$Z$3:$Z$5001,BD!$B$3:$B$5001,U$175,BD!$A$3:$A$5001,_xlfn.MAXIFS(BD!$A$3:$A$5001,BD!$B$3:$B$5001,U$175,BD!$A$3:$A$5001,"&gt;="&amp;$C$7,BD!$A$3:$A$5001,"&lt;="&amp;$B195,BD!$Z$3:$Z$5001,"&lt;&gt;"))))</f>
        <v/>
      </c>
      <c r="V195" s="43" t="str">
        <f>IF(OR($B195="",$A195&gt;$B$9,V$175=""),"",IF(COUNTIFS(BD!$B$3:$B$5001,V$175,BD!$A$3:$A$5001,"&gt;="&amp;$C$7,BD!$A$3:$A$5001,"&lt;="&amp;$B195,BD!$Z$3:$Z$5001,"&lt;&gt;")=0,"",SUMIFS(BD!$Z$3:$Z$5001,BD!$B$3:$B$5001,V$175,BD!$A$3:$A$5001,_xlfn.MAXIFS(BD!$A$3:$A$5001,BD!$B$3:$B$5001,V$175,BD!$A$3:$A$5001,"&gt;="&amp;$C$7,BD!$A$3:$A$5001,"&lt;="&amp;$B195,BD!$Z$3:$Z$5001,"&lt;&gt;"))))</f>
        <v/>
      </c>
    </row>
    <row r="196">
      <c r="A196" s="38">
        <v>21</v>
      </c>
      <c r="B196" s="42">
        <f>$B$32</f>
        <v>46316</v>
      </c>
      <c r="C196" s="43" t="str">
        <f>IF(OR($B196="",$A196&gt;$B$9,C$175=""),"",IF(COUNTIFS(BD!$B$3:$B$5001,C$175,BD!$A$3:$A$5001,"&gt;="&amp;$C$7,BD!$A$3:$A$5001,"&lt;="&amp;$B196,BD!$Z$3:$Z$5001,"&lt;&gt;")=0,"",SUMIFS(BD!$Z$3:$Z$5001,BD!$B$3:$B$5001,C$175,BD!$A$3:$A$5001,_xlfn.MAXIFS(BD!$A$3:$A$5001,BD!$B$3:$B$5001,C$175,BD!$A$3:$A$5001,"&gt;="&amp;$C$7,BD!$A$3:$A$5001,"&lt;="&amp;$B196,BD!$Z$3:$Z$5001,"&lt;&gt;"))))</f>
        <v/>
      </c>
      <c r="D196" s="43" t="str">
        <f>IF(OR($B196="",$A196&gt;$B$9,D$175=""),"",IF(COUNTIFS(BD!$B$3:$B$5001,D$175,BD!$A$3:$A$5001,"&gt;="&amp;$C$7,BD!$A$3:$A$5001,"&lt;="&amp;$B196,BD!$Z$3:$Z$5001,"&lt;&gt;")=0,"",SUMIFS(BD!$Z$3:$Z$5001,BD!$B$3:$B$5001,D$175,BD!$A$3:$A$5001,_xlfn.MAXIFS(BD!$A$3:$A$5001,BD!$B$3:$B$5001,D$175,BD!$A$3:$A$5001,"&gt;="&amp;$C$7,BD!$A$3:$A$5001,"&lt;="&amp;$B196,BD!$Z$3:$Z$5001,"&lt;&gt;"))))</f>
        <v/>
      </c>
      <c r="E196" s="43" t="str">
        <f>IF(OR($B196="",$A196&gt;$B$9,E$175=""),"",IF(COUNTIFS(BD!$B$3:$B$5001,E$175,BD!$A$3:$A$5001,"&gt;="&amp;$C$7,BD!$A$3:$A$5001,"&lt;="&amp;$B196,BD!$Z$3:$Z$5001,"&lt;&gt;")=0,"",SUMIFS(BD!$Z$3:$Z$5001,BD!$B$3:$B$5001,E$175,BD!$A$3:$A$5001,_xlfn.MAXIFS(BD!$A$3:$A$5001,BD!$B$3:$B$5001,E$175,BD!$A$3:$A$5001,"&gt;="&amp;$C$7,BD!$A$3:$A$5001,"&lt;="&amp;$B196,BD!$Z$3:$Z$5001,"&lt;&gt;"))))</f>
        <v/>
      </c>
      <c r="F196" s="43" t="str">
        <f>IF(OR($B196="",$A196&gt;$B$9,F$175=""),"",IF(COUNTIFS(BD!$B$3:$B$5001,F$175,BD!$A$3:$A$5001,"&gt;="&amp;$C$7,BD!$A$3:$A$5001,"&lt;="&amp;$B196,BD!$Z$3:$Z$5001,"&lt;&gt;")=0,"",SUMIFS(BD!$Z$3:$Z$5001,BD!$B$3:$B$5001,F$175,BD!$A$3:$A$5001,_xlfn.MAXIFS(BD!$A$3:$A$5001,BD!$B$3:$B$5001,F$175,BD!$A$3:$A$5001,"&gt;="&amp;$C$7,BD!$A$3:$A$5001,"&lt;="&amp;$B196,BD!$Z$3:$Z$5001,"&lt;&gt;"))))</f>
        <v/>
      </c>
      <c r="G196" s="43" t="str">
        <f>IF(OR($B196="",$A196&gt;$B$9,G$175=""),"",IF(COUNTIFS(BD!$B$3:$B$5001,G$175,BD!$A$3:$A$5001,"&gt;="&amp;$C$7,BD!$A$3:$A$5001,"&lt;="&amp;$B196,BD!$Z$3:$Z$5001,"&lt;&gt;")=0,"",SUMIFS(BD!$Z$3:$Z$5001,BD!$B$3:$B$5001,G$175,BD!$A$3:$A$5001,_xlfn.MAXIFS(BD!$A$3:$A$5001,BD!$B$3:$B$5001,G$175,BD!$A$3:$A$5001,"&gt;="&amp;$C$7,BD!$A$3:$A$5001,"&lt;="&amp;$B196,BD!$Z$3:$Z$5001,"&lt;&gt;"))))</f>
        <v/>
      </c>
      <c r="H196" s="43" t="str">
        <f>IF(OR($B196="",$A196&gt;$B$9,H$175=""),"",IF(COUNTIFS(BD!$B$3:$B$5001,H$175,BD!$A$3:$A$5001,"&gt;="&amp;$C$7,BD!$A$3:$A$5001,"&lt;="&amp;$B196,BD!$Z$3:$Z$5001,"&lt;&gt;")=0,"",SUMIFS(BD!$Z$3:$Z$5001,BD!$B$3:$B$5001,H$175,BD!$A$3:$A$5001,_xlfn.MAXIFS(BD!$A$3:$A$5001,BD!$B$3:$B$5001,H$175,BD!$A$3:$A$5001,"&gt;="&amp;$C$7,BD!$A$3:$A$5001,"&lt;="&amp;$B196,BD!$Z$3:$Z$5001,"&lt;&gt;"))))</f>
        <v/>
      </c>
      <c r="I196" s="43" t="str">
        <f>IF(OR($B196="",$A196&gt;$B$9,I$175=""),"",IF(COUNTIFS(BD!$B$3:$B$5001,I$175,BD!$A$3:$A$5001,"&gt;="&amp;$C$7,BD!$A$3:$A$5001,"&lt;="&amp;$B196,BD!$Z$3:$Z$5001,"&lt;&gt;")=0,"",SUMIFS(BD!$Z$3:$Z$5001,BD!$B$3:$B$5001,I$175,BD!$A$3:$A$5001,_xlfn.MAXIFS(BD!$A$3:$A$5001,BD!$B$3:$B$5001,I$175,BD!$A$3:$A$5001,"&gt;="&amp;$C$7,BD!$A$3:$A$5001,"&lt;="&amp;$B196,BD!$Z$3:$Z$5001,"&lt;&gt;"))))</f>
        <v/>
      </c>
      <c r="J196" s="43" t="str">
        <f>IF(OR($B196="",$A196&gt;$B$9,J$175=""),"",IF(COUNTIFS(BD!$B$3:$B$5001,J$175,BD!$A$3:$A$5001,"&gt;="&amp;$C$7,BD!$A$3:$A$5001,"&lt;="&amp;$B196,BD!$Z$3:$Z$5001,"&lt;&gt;")=0,"",SUMIFS(BD!$Z$3:$Z$5001,BD!$B$3:$B$5001,J$175,BD!$A$3:$A$5001,_xlfn.MAXIFS(BD!$A$3:$A$5001,BD!$B$3:$B$5001,J$175,BD!$A$3:$A$5001,"&gt;="&amp;$C$7,BD!$A$3:$A$5001,"&lt;="&amp;$B196,BD!$Z$3:$Z$5001,"&lt;&gt;"))))</f>
        <v/>
      </c>
      <c r="K196" s="43" t="str">
        <f>IF(OR($B196="",$A196&gt;$B$9,K$175=""),"",IF(COUNTIFS(BD!$B$3:$B$5001,K$175,BD!$A$3:$A$5001,"&gt;="&amp;$C$7,BD!$A$3:$A$5001,"&lt;="&amp;$B196,BD!$Z$3:$Z$5001,"&lt;&gt;")=0,"",SUMIFS(BD!$Z$3:$Z$5001,BD!$B$3:$B$5001,K$175,BD!$A$3:$A$5001,_xlfn.MAXIFS(BD!$A$3:$A$5001,BD!$B$3:$B$5001,K$175,BD!$A$3:$A$5001,"&gt;="&amp;$C$7,BD!$A$3:$A$5001,"&lt;="&amp;$B196,BD!$Z$3:$Z$5001,"&lt;&gt;"))))</f>
        <v/>
      </c>
      <c r="L196" s="43" t="str">
        <f>IF(OR($B196="",$A196&gt;$B$9,L$175=""),"",IF(COUNTIFS(BD!$B$3:$B$5001,L$175,BD!$A$3:$A$5001,"&gt;="&amp;$C$7,BD!$A$3:$A$5001,"&lt;="&amp;$B196,BD!$Z$3:$Z$5001,"&lt;&gt;")=0,"",SUMIFS(BD!$Z$3:$Z$5001,BD!$B$3:$B$5001,L$175,BD!$A$3:$A$5001,_xlfn.MAXIFS(BD!$A$3:$A$5001,BD!$B$3:$B$5001,L$175,BD!$A$3:$A$5001,"&gt;="&amp;$C$7,BD!$A$3:$A$5001,"&lt;="&amp;$B196,BD!$Z$3:$Z$5001,"&lt;&gt;"))))</f>
        <v/>
      </c>
      <c r="M196" s="43" t="str">
        <f>IF(OR($B196="",$A196&gt;$B$9,M$175=""),"",IF(COUNTIFS(BD!$B$3:$B$5001,M$175,BD!$A$3:$A$5001,"&gt;="&amp;$C$7,BD!$A$3:$A$5001,"&lt;="&amp;$B196,BD!$Z$3:$Z$5001,"&lt;&gt;")=0,"",SUMIFS(BD!$Z$3:$Z$5001,BD!$B$3:$B$5001,M$175,BD!$A$3:$A$5001,_xlfn.MAXIFS(BD!$A$3:$A$5001,BD!$B$3:$B$5001,M$175,BD!$A$3:$A$5001,"&gt;="&amp;$C$7,BD!$A$3:$A$5001,"&lt;="&amp;$B196,BD!$Z$3:$Z$5001,"&lt;&gt;"))))</f>
        <v/>
      </c>
      <c r="N196" s="43" t="str">
        <f>IF(OR($B196="",$A196&gt;$B$9,N$175=""),"",IF(COUNTIFS(BD!$B$3:$B$5001,N$175,BD!$A$3:$A$5001,"&gt;="&amp;$C$7,BD!$A$3:$A$5001,"&lt;="&amp;$B196,BD!$Z$3:$Z$5001,"&lt;&gt;")=0,"",SUMIFS(BD!$Z$3:$Z$5001,BD!$B$3:$B$5001,N$175,BD!$A$3:$A$5001,_xlfn.MAXIFS(BD!$A$3:$A$5001,BD!$B$3:$B$5001,N$175,BD!$A$3:$A$5001,"&gt;="&amp;$C$7,BD!$A$3:$A$5001,"&lt;="&amp;$B196,BD!$Z$3:$Z$5001,"&lt;&gt;"))))</f>
        <v/>
      </c>
      <c r="O196" s="43" t="str">
        <f>IF(OR($B196="",$A196&gt;$B$9,O$175=""),"",IF(COUNTIFS(BD!$B$3:$B$5001,O$175,BD!$A$3:$A$5001,"&gt;="&amp;$C$7,BD!$A$3:$A$5001,"&lt;="&amp;$B196,BD!$Z$3:$Z$5001,"&lt;&gt;")=0,"",SUMIFS(BD!$Z$3:$Z$5001,BD!$B$3:$B$5001,O$175,BD!$A$3:$A$5001,_xlfn.MAXIFS(BD!$A$3:$A$5001,BD!$B$3:$B$5001,O$175,BD!$A$3:$A$5001,"&gt;="&amp;$C$7,BD!$A$3:$A$5001,"&lt;="&amp;$B196,BD!$Z$3:$Z$5001,"&lt;&gt;"))))</f>
        <v/>
      </c>
      <c r="P196" s="43" t="str">
        <f>IF(OR($B196="",$A196&gt;$B$9,P$175=""),"",IF(COUNTIFS(BD!$B$3:$B$5001,P$175,BD!$A$3:$A$5001,"&gt;="&amp;$C$7,BD!$A$3:$A$5001,"&lt;="&amp;$B196,BD!$Z$3:$Z$5001,"&lt;&gt;")=0,"",SUMIFS(BD!$Z$3:$Z$5001,BD!$B$3:$B$5001,P$175,BD!$A$3:$A$5001,_xlfn.MAXIFS(BD!$A$3:$A$5001,BD!$B$3:$B$5001,P$175,BD!$A$3:$A$5001,"&gt;="&amp;$C$7,BD!$A$3:$A$5001,"&lt;="&amp;$B196,BD!$Z$3:$Z$5001,"&lt;&gt;"))))</f>
        <v/>
      </c>
      <c r="Q196" s="43" t="str">
        <f>IF(OR($B196="",$A196&gt;$B$9,Q$175=""),"",IF(COUNTIFS(BD!$B$3:$B$5001,Q$175,BD!$A$3:$A$5001,"&gt;="&amp;$C$7,BD!$A$3:$A$5001,"&lt;="&amp;$B196,BD!$Z$3:$Z$5001,"&lt;&gt;")=0,"",SUMIFS(BD!$Z$3:$Z$5001,BD!$B$3:$B$5001,Q$175,BD!$A$3:$A$5001,_xlfn.MAXIFS(BD!$A$3:$A$5001,BD!$B$3:$B$5001,Q$175,BD!$A$3:$A$5001,"&gt;="&amp;$C$7,BD!$A$3:$A$5001,"&lt;="&amp;$B196,BD!$Z$3:$Z$5001,"&lt;&gt;"))))</f>
        <v/>
      </c>
      <c r="R196" s="43" t="str">
        <f>IF(OR($B196="",$A196&gt;$B$9,R$175=""),"",IF(COUNTIFS(BD!$B$3:$B$5001,R$175,BD!$A$3:$A$5001,"&gt;="&amp;$C$7,BD!$A$3:$A$5001,"&lt;="&amp;$B196,BD!$Z$3:$Z$5001,"&lt;&gt;")=0,"",SUMIFS(BD!$Z$3:$Z$5001,BD!$B$3:$B$5001,R$175,BD!$A$3:$A$5001,_xlfn.MAXIFS(BD!$A$3:$A$5001,BD!$B$3:$B$5001,R$175,BD!$A$3:$A$5001,"&gt;="&amp;$C$7,BD!$A$3:$A$5001,"&lt;="&amp;$B196,BD!$Z$3:$Z$5001,"&lt;&gt;"))))</f>
        <v/>
      </c>
      <c r="S196" s="43" t="str">
        <f>IF(OR($B196="",$A196&gt;$B$9,S$175=""),"",IF(COUNTIFS(BD!$B$3:$B$5001,S$175,BD!$A$3:$A$5001,"&gt;="&amp;$C$7,BD!$A$3:$A$5001,"&lt;="&amp;$B196,BD!$Z$3:$Z$5001,"&lt;&gt;")=0,"",SUMIFS(BD!$Z$3:$Z$5001,BD!$B$3:$B$5001,S$175,BD!$A$3:$A$5001,_xlfn.MAXIFS(BD!$A$3:$A$5001,BD!$B$3:$B$5001,S$175,BD!$A$3:$A$5001,"&gt;="&amp;$C$7,BD!$A$3:$A$5001,"&lt;="&amp;$B196,BD!$Z$3:$Z$5001,"&lt;&gt;"))))</f>
        <v/>
      </c>
      <c r="T196" s="43" t="str">
        <f>IF(OR($B196="",$A196&gt;$B$9,T$175=""),"",IF(COUNTIFS(BD!$B$3:$B$5001,T$175,BD!$A$3:$A$5001,"&gt;="&amp;$C$7,BD!$A$3:$A$5001,"&lt;="&amp;$B196,BD!$Z$3:$Z$5001,"&lt;&gt;")=0,"",SUMIFS(BD!$Z$3:$Z$5001,BD!$B$3:$B$5001,T$175,BD!$A$3:$A$5001,_xlfn.MAXIFS(BD!$A$3:$A$5001,BD!$B$3:$B$5001,T$175,BD!$A$3:$A$5001,"&gt;="&amp;$C$7,BD!$A$3:$A$5001,"&lt;="&amp;$B196,BD!$Z$3:$Z$5001,"&lt;&gt;"))))</f>
        <v/>
      </c>
      <c r="U196" s="43" t="str">
        <f>IF(OR($B196="",$A196&gt;$B$9,U$175=""),"",IF(COUNTIFS(BD!$B$3:$B$5001,U$175,BD!$A$3:$A$5001,"&gt;="&amp;$C$7,BD!$A$3:$A$5001,"&lt;="&amp;$B196,BD!$Z$3:$Z$5001,"&lt;&gt;")=0,"",SUMIFS(BD!$Z$3:$Z$5001,BD!$B$3:$B$5001,U$175,BD!$A$3:$A$5001,_xlfn.MAXIFS(BD!$A$3:$A$5001,BD!$B$3:$B$5001,U$175,BD!$A$3:$A$5001,"&gt;="&amp;$C$7,BD!$A$3:$A$5001,"&lt;="&amp;$B196,BD!$Z$3:$Z$5001,"&lt;&gt;"))))</f>
        <v/>
      </c>
      <c r="V196" s="43" t="str">
        <f>IF(OR($B196="",$A196&gt;$B$9,V$175=""),"",IF(COUNTIFS(BD!$B$3:$B$5001,V$175,BD!$A$3:$A$5001,"&gt;="&amp;$C$7,BD!$A$3:$A$5001,"&lt;="&amp;$B196,BD!$Z$3:$Z$5001,"&lt;&gt;")=0,"",SUMIFS(BD!$Z$3:$Z$5001,BD!$B$3:$B$5001,V$175,BD!$A$3:$A$5001,_xlfn.MAXIFS(BD!$A$3:$A$5001,BD!$B$3:$B$5001,V$175,BD!$A$3:$A$5001,"&gt;="&amp;$C$7,BD!$A$3:$A$5001,"&lt;="&amp;$B196,BD!$Z$3:$Z$5001,"&lt;&gt;"))))</f>
        <v/>
      </c>
    </row>
    <row r="197">
      <c r="A197" s="38">
        <v>22</v>
      </c>
      <c r="B197" s="42">
        <f>$B$33</f>
        <v>46317</v>
      </c>
      <c r="C197" s="43" t="str">
        <f>IF(OR($B197="",$A197&gt;$B$9,C$175=""),"",IF(COUNTIFS(BD!$B$3:$B$5001,C$175,BD!$A$3:$A$5001,"&gt;="&amp;$C$7,BD!$A$3:$A$5001,"&lt;="&amp;$B197,BD!$Z$3:$Z$5001,"&lt;&gt;")=0,"",SUMIFS(BD!$Z$3:$Z$5001,BD!$B$3:$B$5001,C$175,BD!$A$3:$A$5001,_xlfn.MAXIFS(BD!$A$3:$A$5001,BD!$B$3:$B$5001,C$175,BD!$A$3:$A$5001,"&gt;="&amp;$C$7,BD!$A$3:$A$5001,"&lt;="&amp;$B197,BD!$Z$3:$Z$5001,"&lt;&gt;"))))</f>
        <v/>
      </c>
      <c r="D197" s="43" t="str">
        <f>IF(OR($B197="",$A197&gt;$B$9,D$175=""),"",IF(COUNTIFS(BD!$B$3:$B$5001,D$175,BD!$A$3:$A$5001,"&gt;="&amp;$C$7,BD!$A$3:$A$5001,"&lt;="&amp;$B197,BD!$Z$3:$Z$5001,"&lt;&gt;")=0,"",SUMIFS(BD!$Z$3:$Z$5001,BD!$B$3:$B$5001,D$175,BD!$A$3:$A$5001,_xlfn.MAXIFS(BD!$A$3:$A$5001,BD!$B$3:$B$5001,D$175,BD!$A$3:$A$5001,"&gt;="&amp;$C$7,BD!$A$3:$A$5001,"&lt;="&amp;$B197,BD!$Z$3:$Z$5001,"&lt;&gt;"))))</f>
        <v/>
      </c>
      <c r="E197" s="43" t="str">
        <f>IF(OR($B197="",$A197&gt;$B$9,E$175=""),"",IF(COUNTIFS(BD!$B$3:$B$5001,E$175,BD!$A$3:$A$5001,"&gt;="&amp;$C$7,BD!$A$3:$A$5001,"&lt;="&amp;$B197,BD!$Z$3:$Z$5001,"&lt;&gt;")=0,"",SUMIFS(BD!$Z$3:$Z$5001,BD!$B$3:$B$5001,E$175,BD!$A$3:$A$5001,_xlfn.MAXIFS(BD!$A$3:$A$5001,BD!$B$3:$B$5001,E$175,BD!$A$3:$A$5001,"&gt;="&amp;$C$7,BD!$A$3:$A$5001,"&lt;="&amp;$B197,BD!$Z$3:$Z$5001,"&lt;&gt;"))))</f>
        <v/>
      </c>
      <c r="F197" s="43" t="str">
        <f>IF(OR($B197="",$A197&gt;$B$9,F$175=""),"",IF(COUNTIFS(BD!$B$3:$B$5001,F$175,BD!$A$3:$A$5001,"&gt;="&amp;$C$7,BD!$A$3:$A$5001,"&lt;="&amp;$B197,BD!$Z$3:$Z$5001,"&lt;&gt;")=0,"",SUMIFS(BD!$Z$3:$Z$5001,BD!$B$3:$B$5001,F$175,BD!$A$3:$A$5001,_xlfn.MAXIFS(BD!$A$3:$A$5001,BD!$B$3:$B$5001,F$175,BD!$A$3:$A$5001,"&gt;="&amp;$C$7,BD!$A$3:$A$5001,"&lt;="&amp;$B197,BD!$Z$3:$Z$5001,"&lt;&gt;"))))</f>
        <v/>
      </c>
      <c r="G197" s="43" t="str">
        <f>IF(OR($B197="",$A197&gt;$B$9,G$175=""),"",IF(COUNTIFS(BD!$B$3:$B$5001,G$175,BD!$A$3:$A$5001,"&gt;="&amp;$C$7,BD!$A$3:$A$5001,"&lt;="&amp;$B197,BD!$Z$3:$Z$5001,"&lt;&gt;")=0,"",SUMIFS(BD!$Z$3:$Z$5001,BD!$B$3:$B$5001,G$175,BD!$A$3:$A$5001,_xlfn.MAXIFS(BD!$A$3:$A$5001,BD!$B$3:$B$5001,G$175,BD!$A$3:$A$5001,"&gt;="&amp;$C$7,BD!$A$3:$A$5001,"&lt;="&amp;$B197,BD!$Z$3:$Z$5001,"&lt;&gt;"))))</f>
        <v/>
      </c>
      <c r="H197" s="43" t="str">
        <f>IF(OR($B197="",$A197&gt;$B$9,H$175=""),"",IF(COUNTIFS(BD!$B$3:$B$5001,H$175,BD!$A$3:$A$5001,"&gt;="&amp;$C$7,BD!$A$3:$A$5001,"&lt;="&amp;$B197,BD!$Z$3:$Z$5001,"&lt;&gt;")=0,"",SUMIFS(BD!$Z$3:$Z$5001,BD!$B$3:$B$5001,H$175,BD!$A$3:$A$5001,_xlfn.MAXIFS(BD!$A$3:$A$5001,BD!$B$3:$B$5001,H$175,BD!$A$3:$A$5001,"&gt;="&amp;$C$7,BD!$A$3:$A$5001,"&lt;="&amp;$B197,BD!$Z$3:$Z$5001,"&lt;&gt;"))))</f>
        <v/>
      </c>
      <c r="I197" s="43" t="str">
        <f>IF(OR($B197="",$A197&gt;$B$9,I$175=""),"",IF(COUNTIFS(BD!$B$3:$B$5001,I$175,BD!$A$3:$A$5001,"&gt;="&amp;$C$7,BD!$A$3:$A$5001,"&lt;="&amp;$B197,BD!$Z$3:$Z$5001,"&lt;&gt;")=0,"",SUMIFS(BD!$Z$3:$Z$5001,BD!$B$3:$B$5001,I$175,BD!$A$3:$A$5001,_xlfn.MAXIFS(BD!$A$3:$A$5001,BD!$B$3:$B$5001,I$175,BD!$A$3:$A$5001,"&gt;="&amp;$C$7,BD!$A$3:$A$5001,"&lt;="&amp;$B197,BD!$Z$3:$Z$5001,"&lt;&gt;"))))</f>
        <v/>
      </c>
      <c r="J197" s="43" t="str">
        <f>IF(OR($B197="",$A197&gt;$B$9,J$175=""),"",IF(COUNTIFS(BD!$B$3:$B$5001,J$175,BD!$A$3:$A$5001,"&gt;="&amp;$C$7,BD!$A$3:$A$5001,"&lt;="&amp;$B197,BD!$Z$3:$Z$5001,"&lt;&gt;")=0,"",SUMIFS(BD!$Z$3:$Z$5001,BD!$B$3:$B$5001,J$175,BD!$A$3:$A$5001,_xlfn.MAXIFS(BD!$A$3:$A$5001,BD!$B$3:$B$5001,J$175,BD!$A$3:$A$5001,"&gt;="&amp;$C$7,BD!$A$3:$A$5001,"&lt;="&amp;$B197,BD!$Z$3:$Z$5001,"&lt;&gt;"))))</f>
        <v/>
      </c>
      <c r="K197" s="43" t="str">
        <f>IF(OR($B197="",$A197&gt;$B$9,K$175=""),"",IF(COUNTIFS(BD!$B$3:$B$5001,K$175,BD!$A$3:$A$5001,"&gt;="&amp;$C$7,BD!$A$3:$A$5001,"&lt;="&amp;$B197,BD!$Z$3:$Z$5001,"&lt;&gt;")=0,"",SUMIFS(BD!$Z$3:$Z$5001,BD!$B$3:$B$5001,K$175,BD!$A$3:$A$5001,_xlfn.MAXIFS(BD!$A$3:$A$5001,BD!$B$3:$B$5001,K$175,BD!$A$3:$A$5001,"&gt;="&amp;$C$7,BD!$A$3:$A$5001,"&lt;="&amp;$B197,BD!$Z$3:$Z$5001,"&lt;&gt;"))))</f>
        <v/>
      </c>
      <c r="L197" s="43" t="str">
        <f>IF(OR($B197="",$A197&gt;$B$9,L$175=""),"",IF(COUNTIFS(BD!$B$3:$B$5001,L$175,BD!$A$3:$A$5001,"&gt;="&amp;$C$7,BD!$A$3:$A$5001,"&lt;="&amp;$B197,BD!$Z$3:$Z$5001,"&lt;&gt;")=0,"",SUMIFS(BD!$Z$3:$Z$5001,BD!$B$3:$B$5001,L$175,BD!$A$3:$A$5001,_xlfn.MAXIFS(BD!$A$3:$A$5001,BD!$B$3:$B$5001,L$175,BD!$A$3:$A$5001,"&gt;="&amp;$C$7,BD!$A$3:$A$5001,"&lt;="&amp;$B197,BD!$Z$3:$Z$5001,"&lt;&gt;"))))</f>
        <v/>
      </c>
      <c r="M197" s="43" t="str">
        <f>IF(OR($B197="",$A197&gt;$B$9,M$175=""),"",IF(COUNTIFS(BD!$B$3:$B$5001,M$175,BD!$A$3:$A$5001,"&gt;="&amp;$C$7,BD!$A$3:$A$5001,"&lt;="&amp;$B197,BD!$Z$3:$Z$5001,"&lt;&gt;")=0,"",SUMIFS(BD!$Z$3:$Z$5001,BD!$B$3:$B$5001,M$175,BD!$A$3:$A$5001,_xlfn.MAXIFS(BD!$A$3:$A$5001,BD!$B$3:$B$5001,M$175,BD!$A$3:$A$5001,"&gt;="&amp;$C$7,BD!$A$3:$A$5001,"&lt;="&amp;$B197,BD!$Z$3:$Z$5001,"&lt;&gt;"))))</f>
        <v/>
      </c>
      <c r="N197" s="43" t="str">
        <f>IF(OR($B197="",$A197&gt;$B$9,N$175=""),"",IF(COUNTIFS(BD!$B$3:$B$5001,N$175,BD!$A$3:$A$5001,"&gt;="&amp;$C$7,BD!$A$3:$A$5001,"&lt;="&amp;$B197,BD!$Z$3:$Z$5001,"&lt;&gt;")=0,"",SUMIFS(BD!$Z$3:$Z$5001,BD!$B$3:$B$5001,N$175,BD!$A$3:$A$5001,_xlfn.MAXIFS(BD!$A$3:$A$5001,BD!$B$3:$B$5001,N$175,BD!$A$3:$A$5001,"&gt;="&amp;$C$7,BD!$A$3:$A$5001,"&lt;="&amp;$B197,BD!$Z$3:$Z$5001,"&lt;&gt;"))))</f>
        <v/>
      </c>
      <c r="O197" s="43" t="str">
        <f>IF(OR($B197="",$A197&gt;$B$9,O$175=""),"",IF(COUNTIFS(BD!$B$3:$B$5001,O$175,BD!$A$3:$A$5001,"&gt;="&amp;$C$7,BD!$A$3:$A$5001,"&lt;="&amp;$B197,BD!$Z$3:$Z$5001,"&lt;&gt;")=0,"",SUMIFS(BD!$Z$3:$Z$5001,BD!$B$3:$B$5001,O$175,BD!$A$3:$A$5001,_xlfn.MAXIFS(BD!$A$3:$A$5001,BD!$B$3:$B$5001,O$175,BD!$A$3:$A$5001,"&gt;="&amp;$C$7,BD!$A$3:$A$5001,"&lt;="&amp;$B197,BD!$Z$3:$Z$5001,"&lt;&gt;"))))</f>
        <v/>
      </c>
      <c r="P197" s="43" t="str">
        <f>IF(OR($B197="",$A197&gt;$B$9,P$175=""),"",IF(COUNTIFS(BD!$B$3:$B$5001,P$175,BD!$A$3:$A$5001,"&gt;="&amp;$C$7,BD!$A$3:$A$5001,"&lt;="&amp;$B197,BD!$Z$3:$Z$5001,"&lt;&gt;")=0,"",SUMIFS(BD!$Z$3:$Z$5001,BD!$B$3:$B$5001,P$175,BD!$A$3:$A$5001,_xlfn.MAXIFS(BD!$A$3:$A$5001,BD!$B$3:$B$5001,P$175,BD!$A$3:$A$5001,"&gt;="&amp;$C$7,BD!$A$3:$A$5001,"&lt;="&amp;$B197,BD!$Z$3:$Z$5001,"&lt;&gt;"))))</f>
        <v/>
      </c>
      <c r="Q197" s="43" t="str">
        <f>IF(OR($B197="",$A197&gt;$B$9,Q$175=""),"",IF(COUNTIFS(BD!$B$3:$B$5001,Q$175,BD!$A$3:$A$5001,"&gt;="&amp;$C$7,BD!$A$3:$A$5001,"&lt;="&amp;$B197,BD!$Z$3:$Z$5001,"&lt;&gt;")=0,"",SUMIFS(BD!$Z$3:$Z$5001,BD!$B$3:$B$5001,Q$175,BD!$A$3:$A$5001,_xlfn.MAXIFS(BD!$A$3:$A$5001,BD!$B$3:$B$5001,Q$175,BD!$A$3:$A$5001,"&gt;="&amp;$C$7,BD!$A$3:$A$5001,"&lt;="&amp;$B197,BD!$Z$3:$Z$5001,"&lt;&gt;"))))</f>
        <v/>
      </c>
      <c r="R197" s="43" t="str">
        <f>IF(OR($B197="",$A197&gt;$B$9,R$175=""),"",IF(COUNTIFS(BD!$B$3:$B$5001,R$175,BD!$A$3:$A$5001,"&gt;="&amp;$C$7,BD!$A$3:$A$5001,"&lt;="&amp;$B197,BD!$Z$3:$Z$5001,"&lt;&gt;")=0,"",SUMIFS(BD!$Z$3:$Z$5001,BD!$B$3:$B$5001,R$175,BD!$A$3:$A$5001,_xlfn.MAXIFS(BD!$A$3:$A$5001,BD!$B$3:$B$5001,R$175,BD!$A$3:$A$5001,"&gt;="&amp;$C$7,BD!$A$3:$A$5001,"&lt;="&amp;$B197,BD!$Z$3:$Z$5001,"&lt;&gt;"))))</f>
        <v/>
      </c>
      <c r="S197" s="43" t="str">
        <f>IF(OR($B197="",$A197&gt;$B$9,S$175=""),"",IF(COUNTIFS(BD!$B$3:$B$5001,S$175,BD!$A$3:$A$5001,"&gt;="&amp;$C$7,BD!$A$3:$A$5001,"&lt;="&amp;$B197,BD!$Z$3:$Z$5001,"&lt;&gt;")=0,"",SUMIFS(BD!$Z$3:$Z$5001,BD!$B$3:$B$5001,S$175,BD!$A$3:$A$5001,_xlfn.MAXIFS(BD!$A$3:$A$5001,BD!$B$3:$B$5001,S$175,BD!$A$3:$A$5001,"&gt;="&amp;$C$7,BD!$A$3:$A$5001,"&lt;="&amp;$B197,BD!$Z$3:$Z$5001,"&lt;&gt;"))))</f>
        <v/>
      </c>
      <c r="T197" s="43" t="str">
        <f>IF(OR($B197="",$A197&gt;$B$9,T$175=""),"",IF(COUNTIFS(BD!$B$3:$B$5001,T$175,BD!$A$3:$A$5001,"&gt;="&amp;$C$7,BD!$A$3:$A$5001,"&lt;="&amp;$B197,BD!$Z$3:$Z$5001,"&lt;&gt;")=0,"",SUMIFS(BD!$Z$3:$Z$5001,BD!$B$3:$B$5001,T$175,BD!$A$3:$A$5001,_xlfn.MAXIFS(BD!$A$3:$A$5001,BD!$B$3:$B$5001,T$175,BD!$A$3:$A$5001,"&gt;="&amp;$C$7,BD!$A$3:$A$5001,"&lt;="&amp;$B197,BD!$Z$3:$Z$5001,"&lt;&gt;"))))</f>
        <v/>
      </c>
      <c r="U197" s="43" t="str">
        <f>IF(OR($B197="",$A197&gt;$B$9,U$175=""),"",IF(COUNTIFS(BD!$B$3:$B$5001,U$175,BD!$A$3:$A$5001,"&gt;="&amp;$C$7,BD!$A$3:$A$5001,"&lt;="&amp;$B197,BD!$Z$3:$Z$5001,"&lt;&gt;")=0,"",SUMIFS(BD!$Z$3:$Z$5001,BD!$B$3:$B$5001,U$175,BD!$A$3:$A$5001,_xlfn.MAXIFS(BD!$A$3:$A$5001,BD!$B$3:$B$5001,U$175,BD!$A$3:$A$5001,"&gt;="&amp;$C$7,BD!$A$3:$A$5001,"&lt;="&amp;$B197,BD!$Z$3:$Z$5001,"&lt;&gt;"))))</f>
        <v/>
      </c>
      <c r="V197" s="43" t="str">
        <f>IF(OR($B197="",$A197&gt;$B$9,V$175=""),"",IF(COUNTIFS(BD!$B$3:$B$5001,V$175,BD!$A$3:$A$5001,"&gt;="&amp;$C$7,BD!$A$3:$A$5001,"&lt;="&amp;$B197,BD!$Z$3:$Z$5001,"&lt;&gt;")=0,"",SUMIFS(BD!$Z$3:$Z$5001,BD!$B$3:$B$5001,V$175,BD!$A$3:$A$5001,_xlfn.MAXIFS(BD!$A$3:$A$5001,BD!$B$3:$B$5001,V$175,BD!$A$3:$A$5001,"&gt;="&amp;$C$7,BD!$A$3:$A$5001,"&lt;="&amp;$B197,BD!$Z$3:$Z$5001,"&lt;&gt;"))))</f>
        <v/>
      </c>
    </row>
    <row r="198">
      <c r="A198" s="38">
        <v>23</v>
      </c>
      <c r="B198" s="42">
        <f>$B$34</f>
        <v>46318</v>
      </c>
      <c r="C198" s="43" t="str">
        <f>IF(OR($B198="",$A198&gt;$B$9,C$175=""),"",IF(COUNTIFS(BD!$B$3:$B$5001,C$175,BD!$A$3:$A$5001,"&gt;="&amp;$C$7,BD!$A$3:$A$5001,"&lt;="&amp;$B198,BD!$Z$3:$Z$5001,"&lt;&gt;")=0,"",SUMIFS(BD!$Z$3:$Z$5001,BD!$B$3:$B$5001,C$175,BD!$A$3:$A$5001,_xlfn.MAXIFS(BD!$A$3:$A$5001,BD!$B$3:$B$5001,C$175,BD!$A$3:$A$5001,"&gt;="&amp;$C$7,BD!$A$3:$A$5001,"&lt;="&amp;$B198,BD!$Z$3:$Z$5001,"&lt;&gt;"))))</f>
        <v/>
      </c>
      <c r="D198" s="43" t="str">
        <f>IF(OR($B198="",$A198&gt;$B$9,D$175=""),"",IF(COUNTIFS(BD!$B$3:$B$5001,D$175,BD!$A$3:$A$5001,"&gt;="&amp;$C$7,BD!$A$3:$A$5001,"&lt;="&amp;$B198,BD!$Z$3:$Z$5001,"&lt;&gt;")=0,"",SUMIFS(BD!$Z$3:$Z$5001,BD!$B$3:$B$5001,D$175,BD!$A$3:$A$5001,_xlfn.MAXIFS(BD!$A$3:$A$5001,BD!$B$3:$B$5001,D$175,BD!$A$3:$A$5001,"&gt;="&amp;$C$7,BD!$A$3:$A$5001,"&lt;="&amp;$B198,BD!$Z$3:$Z$5001,"&lt;&gt;"))))</f>
        <v/>
      </c>
      <c r="E198" s="43" t="str">
        <f>IF(OR($B198="",$A198&gt;$B$9,E$175=""),"",IF(COUNTIFS(BD!$B$3:$B$5001,E$175,BD!$A$3:$A$5001,"&gt;="&amp;$C$7,BD!$A$3:$A$5001,"&lt;="&amp;$B198,BD!$Z$3:$Z$5001,"&lt;&gt;")=0,"",SUMIFS(BD!$Z$3:$Z$5001,BD!$B$3:$B$5001,E$175,BD!$A$3:$A$5001,_xlfn.MAXIFS(BD!$A$3:$A$5001,BD!$B$3:$B$5001,E$175,BD!$A$3:$A$5001,"&gt;="&amp;$C$7,BD!$A$3:$A$5001,"&lt;="&amp;$B198,BD!$Z$3:$Z$5001,"&lt;&gt;"))))</f>
        <v/>
      </c>
      <c r="F198" s="43" t="str">
        <f>IF(OR($B198="",$A198&gt;$B$9,F$175=""),"",IF(COUNTIFS(BD!$B$3:$B$5001,F$175,BD!$A$3:$A$5001,"&gt;="&amp;$C$7,BD!$A$3:$A$5001,"&lt;="&amp;$B198,BD!$Z$3:$Z$5001,"&lt;&gt;")=0,"",SUMIFS(BD!$Z$3:$Z$5001,BD!$B$3:$B$5001,F$175,BD!$A$3:$A$5001,_xlfn.MAXIFS(BD!$A$3:$A$5001,BD!$B$3:$B$5001,F$175,BD!$A$3:$A$5001,"&gt;="&amp;$C$7,BD!$A$3:$A$5001,"&lt;="&amp;$B198,BD!$Z$3:$Z$5001,"&lt;&gt;"))))</f>
        <v/>
      </c>
      <c r="G198" s="43" t="str">
        <f>IF(OR($B198="",$A198&gt;$B$9,G$175=""),"",IF(COUNTIFS(BD!$B$3:$B$5001,G$175,BD!$A$3:$A$5001,"&gt;="&amp;$C$7,BD!$A$3:$A$5001,"&lt;="&amp;$B198,BD!$Z$3:$Z$5001,"&lt;&gt;")=0,"",SUMIFS(BD!$Z$3:$Z$5001,BD!$B$3:$B$5001,G$175,BD!$A$3:$A$5001,_xlfn.MAXIFS(BD!$A$3:$A$5001,BD!$B$3:$B$5001,G$175,BD!$A$3:$A$5001,"&gt;="&amp;$C$7,BD!$A$3:$A$5001,"&lt;="&amp;$B198,BD!$Z$3:$Z$5001,"&lt;&gt;"))))</f>
        <v/>
      </c>
      <c r="H198" s="43" t="str">
        <f>IF(OR($B198="",$A198&gt;$B$9,H$175=""),"",IF(COUNTIFS(BD!$B$3:$B$5001,H$175,BD!$A$3:$A$5001,"&gt;="&amp;$C$7,BD!$A$3:$A$5001,"&lt;="&amp;$B198,BD!$Z$3:$Z$5001,"&lt;&gt;")=0,"",SUMIFS(BD!$Z$3:$Z$5001,BD!$B$3:$B$5001,H$175,BD!$A$3:$A$5001,_xlfn.MAXIFS(BD!$A$3:$A$5001,BD!$B$3:$B$5001,H$175,BD!$A$3:$A$5001,"&gt;="&amp;$C$7,BD!$A$3:$A$5001,"&lt;="&amp;$B198,BD!$Z$3:$Z$5001,"&lt;&gt;"))))</f>
        <v/>
      </c>
      <c r="I198" s="43" t="str">
        <f>IF(OR($B198="",$A198&gt;$B$9,I$175=""),"",IF(COUNTIFS(BD!$B$3:$B$5001,I$175,BD!$A$3:$A$5001,"&gt;="&amp;$C$7,BD!$A$3:$A$5001,"&lt;="&amp;$B198,BD!$Z$3:$Z$5001,"&lt;&gt;")=0,"",SUMIFS(BD!$Z$3:$Z$5001,BD!$B$3:$B$5001,I$175,BD!$A$3:$A$5001,_xlfn.MAXIFS(BD!$A$3:$A$5001,BD!$B$3:$B$5001,I$175,BD!$A$3:$A$5001,"&gt;="&amp;$C$7,BD!$A$3:$A$5001,"&lt;="&amp;$B198,BD!$Z$3:$Z$5001,"&lt;&gt;"))))</f>
        <v/>
      </c>
      <c r="J198" s="43" t="str">
        <f>IF(OR($B198="",$A198&gt;$B$9,J$175=""),"",IF(COUNTIFS(BD!$B$3:$B$5001,J$175,BD!$A$3:$A$5001,"&gt;="&amp;$C$7,BD!$A$3:$A$5001,"&lt;="&amp;$B198,BD!$Z$3:$Z$5001,"&lt;&gt;")=0,"",SUMIFS(BD!$Z$3:$Z$5001,BD!$B$3:$B$5001,J$175,BD!$A$3:$A$5001,_xlfn.MAXIFS(BD!$A$3:$A$5001,BD!$B$3:$B$5001,J$175,BD!$A$3:$A$5001,"&gt;="&amp;$C$7,BD!$A$3:$A$5001,"&lt;="&amp;$B198,BD!$Z$3:$Z$5001,"&lt;&gt;"))))</f>
        <v/>
      </c>
      <c r="K198" s="43" t="str">
        <f>IF(OR($B198="",$A198&gt;$B$9,K$175=""),"",IF(COUNTIFS(BD!$B$3:$B$5001,K$175,BD!$A$3:$A$5001,"&gt;="&amp;$C$7,BD!$A$3:$A$5001,"&lt;="&amp;$B198,BD!$Z$3:$Z$5001,"&lt;&gt;")=0,"",SUMIFS(BD!$Z$3:$Z$5001,BD!$B$3:$B$5001,K$175,BD!$A$3:$A$5001,_xlfn.MAXIFS(BD!$A$3:$A$5001,BD!$B$3:$B$5001,K$175,BD!$A$3:$A$5001,"&gt;="&amp;$C$7,BD!$A$3:$A$5001,"&lt;="&amp;$B198,BD!$Z$3:$Z$5001,"&lt;&gt;"))))</f>
        <v/>
      </c>
      <c r="L198" s="43" t="str">
        <f>IF(OR($B198="",$A198&gt;$B$9,L$175=""),"",IF(COUNTIFS(BD!$B$3:$B$5001,L$175,BD!$A$3:$A$5001,"&gt;="&amp;$C$7,BD!$A$3:$A$5001,"&lt;="&amp;$B198,BD!$Z$3:$Z$5001,"&lt;&gt;")=0,"",SUMIFS(BD!$Z$3:$Z$5001,BD!$B$3:$B$5001,L$175,BD!$A$3:$A$5001,_xlfn.MAXIFS(BD!$A$3:$A$5001,BD!$B$3:$B$5001,L$175,BD!$A$3:$A$5001,"&gt;="&amp;$C$7,BD!$A$3:$A$5001,"&lt;="&amp;$B198,BD!$Z$3:$Z$5001,"&lt;&gt;"))))</f>
        <v/>
      </c>
      <c r="M198" s="43" t="str">
        <f>IF(OR($B198="",$A198&gt;$B$9,M$175=""),"",IF(COUNTIFS(BD!$B$3:$B$5001,M$175,BD!$A$3:$A$5001,"&gt;="&amp;$C$7,BD!$A$3:$A$5001,"&lt;="&amp;$B198,BD!$Z$3:$Z$5001,"&lt;&gt;")=0,"",SUMIFS(BD!$Z$3:$Z$5001,BD!$B$3:$B$5001,M$175,BD!$A$3:$A$5001,_xlfn.MAXIFS(BD!$A$3:$A$5001,BD!$B$3:$B$5001,M$175,BD!$A$3:$A$5001,"&gt;="&amp;$C$7,BD!$A$3:$A$5001,"&lt;="&amp;$B198,BD!$Z$3:$Z$5001,"&lt;&gt;"))))</f>
        <v/>
      </c>
      <c r="N198" s="43" t="str">
        <f>IF(OR($B198="",$A198&gt;$B$9,N$175=""),"",IF(COUNTIFS(BD!$B$3:$B$5001,N$175,BD!$A$3:$A$5001,"&gt;="&amp;$C$7,BD!$A$3:$A$5001,"&lt;="&amp;$B198,BD!$Z$3:$Z$5001,"&lt;&gt;")=0,"",SUMIFS(BD!$Z$3:$Z$5001,BD!$B$3:$B$5001,N$175,BD!$A$3:$A$5001,_xlfn.MAXIFS(BD!$A$3:$A$5001,BD!$B$3:$B$5001,N$175,BD!$A$3:$A$5001,"&gt;="&amp;$C$7,BD!$A$3:$A$5001,"&lt;="&amp;$B198,BD!$Z$3:$Z$5001,"&lt;&gt;"))))</f>
        <v/>
      </c>
      <c r="O198" s="43" t="str">
        <f>IF(OR($B198="",$A198&gt;$B$9,O$175=""),"",IF(COUNTIFS(BD!$B$3:$B$5001,O$175,BD!$A$3:$A$5001,"&gt;="&amp;$C$7,BD!$A$3:$A$5001,"&lt;="&amp;$B198,BD!$Z$3:$Z$5001,"&lt;&gt;")=0,"",SUMIFS(BD!$Z$3:$Z$5001,BD!$B$3:$B$5001,O$175,BD!$A$3:$A$5001,_xlfn.MAXIFS(BD!$A$3:$A$5001,BD!$B$3:$B$5001,O$175,BD!$A$3:$A$5001,"&gt;="&amp;$C$7,BD!$A$3:$A$5001,"&lt;="&amp;$B198,BD!$Z$3:$Z$5001,"&lt;&gt;"))))</f>
        <v/>
      </c>
      <c r="P198" s="43" t="str">
        <f>IF(OR($B198="",$A198&gt;$B$9,P$175=""),"",IF(COUNTIFS(BD!$B$3:$B$5001,P$175,BD!$A$3:$A$5001,"&gt;="&amp;$C$7,BD!$A$3:$A$5001,"&lt;="&amp;$B198,BD!$Z$3:$Z$5001,"&lt;&gt;")=0,"",SUMIFS(BD!$Z$3:$Z$5001,BD!$B$3:$B$5001,P$175,BD!$A$3:$A$5001,_xlfn.MAXIFS(BD!$A$3:$A$5001,BD!$B$3:$B$5001,P$175,BD!$A$3:$A$5001,"&gt;="&amp;$C$7,BD!$A$3:$A$5001,"&lt;="&amp;$B198,BD!$Z$3:$Z$5001,"&lt;&gt;"))))</f>
        <v/>
      </c>
      <c r="Q198" s="43" t="str">
        <f>IF(OR($B198="",$A198&gt;$B$9,Q$175=""),"",IF(COUNTIFS(BD!$B$3:$B$5001,Q$175,BD!$A$3:$A$5001,"&gt;="&amp;$C$7,BD!$A$3:$A$5001,"&lt;="&amp;$B198,BD!$Z$3:$Z$5001,"&lt;&gt;")=0,"",SUMIFS(BD!$Z$3:$Z$5001,BD!$B$3:$B$5001,Q$175,BD!$A$3:$A$5001,_xlfn.MAXIFS(BD!$A$3:$A$5001,BD!$B$3:$B$5001,Q$175,BD!$A$3:$A$5001,"&gt;="&amp;$C$7,BD!$A$3:$A$5001,"&lt;="&amp;$B198,BD!$Z$3:$Z$5001,"&lt;&gt;"))))</f>
        <v/>
      </c>
      <c r="R198" s="43" t="str">
        <f>IF(OR($B198="",$A198&gt;$B$9,R$175=""),"",IF(COUNTIFS(BD!$B$3:$B$5001,R$175,BD!$A$3:$A$5001,"&gt;="&amp;$C$7,BD!$A$3:$A$5001,"&lt;="&amp;$B198,BD!$Z$3:$Z$5001,"&lt;&gt;")=0,"",SUMIFS(BD!$Z$3:$Z$5001,BD!$B$3:$B$5001,R$175,BD!$A$3:$A$5001,_xlfn.MAXIFS(BD!$A$3:$A$5001,BD!$B$3:$B$5001,R$175,BD!$A$3:$A$5001,"&gt;="&amp;$C$7,BD!$A$3:$A$5001,"&lt;="&amp;$B198,BD!$Z$3:$Z$5001,"&lt;&gt;"))))</f>
        <v/>
      </c>
      <c r="S198" s="43" t="str">
        <f>IF(OR($B198="",$A198&gt;$B$9,S$175=""),"",IF(COUNTIFS(BD!$B$3:$B$5001,S$175,BD!$A$3:$A$5001,"&gt;="&amp;$C$7,BD!$A$3:$A$5001,"&lt;="&amp;$B198,BD!$Z$3:$Z$5001,"&lt;&gt;")=0,"",SUMIFS(BD!$Z$3:$Z$5001,BD!$B$3:$B$5001,S$175,BD!$A$3:$A$5001,_xlfn.MAXIFS(BD!$A$3:$A$5001,BD!$B$3:$B$5001,S$175,BD!$A$3:$A$5001,"&gt;="&amp;$C$7,BD!$A$3:$A$5001,"&lt;="&amp;$B198,BD!$Z$3:$Z$5001,"&lt;&gt;"))))</f>
        <v/>
      </c>
      <c r="T198" s="43" t="str">
        <f>IF(OR($B198="",$A198&gt;$B$9,T$175=""),"",IF(COUNTIFS(BD!$B$3:$B$5001,T$175,BD!$A$3:$A$5001,"&gt;="&amp;$C$7,BD!$A$3:$A$5001,"&lt;="&amp;$B198,BD!$Z$3:$Z$5001,"&lt;&gt;")=0,"",SUMIFS(BD!$Z$3:$Z$5001,BD!$B$3:$B$5001,T$175,BD!$A$3:$A$5001,_xlfn.MAXIFS(BD!$A$3:$A$5001,BD!$B$3:$B$5001,T$175,BD!$A$3:$A$5001,"&gt;="&amp;$C$7,BD!$A$3:$A$5001,"&lt;="&amp;$B198,BD!$Z$3:$Z$5001,"&lt;&gt;"))))</f>
        <v/>
      </c>
      <c r="U198" s="43" t="str">
        <f>IF(OR($B198="",$A198&gt;$B$9,U$175=""),"",IF(COUNTIFS(BD!$B$3:$B$5001,U$175,BD!$A$3:$A$5001,"&gt;="&amp;$C$7,BD!$A$3:$A$5001,"&lt;="&amp;$B198,BD!$Z$3:$Z$5001,"&lt;&gt;")=0,"",SUMIFS(BD!$Z$3:$Z$5001,BD!$B$3:$B$5001,U$175,BD!$A$3:$A$5001,_xlfn.MAXIFS(BD!$A$3:$A$5001,BD!$B$3:$B$5001,U$175,BD!$A$3:$A$5001,"&gt;="&amp;$C$7,BD!$A$3:$A$5001,"&lt;="&amp;$B198,BD!$Z$3:$Z$5001,"&lt;&gt;"))))</f>
        <v/>
      </c>
      <c r="V198" s="43" t="str">
        <f>IF(OR($B198="",$A198&gt;$B$9,V$175=""),"",IF(COUNTIFS(BD!$B$3:$B$5001,V$175,BD!$A$3:$A$5001,"&gt;="&amp;$C$7,BD!$A$3:$A$5001,"&lt;="&amp;$B198,BD!$Z$3:$Z$5001,"&lt;&gt;")=0,"",SUMIFS(BD!$Z$3:$Z$5001,BD!$B$3:$B$5001,V$175,BD!$A$3:$A$5001,_xlfn.MAXIFS(BD!$A$3:$A$5001,BD!$B$3:$B$5001,V$175,BD!$A$3:$A$5001,"&gt;="&amp;$C$7,BD!$A$3:$A$5001,"&lt;="&amp;$B198,BD!$Z$3:$Z$5001,"&lt;&gt;"))))</f>
        <v/>
      </c>
    </row>
    <row r="199">
      <c r="A199" s="38">
        <v>24</v>
      </c>
      <c r="B199" s="42">
        <f>$B$35</f>
        <v>46319</v>
      </c>
      <c r="C199" s="43" t="str">
        <f>IF(OR($B199="",$A199&gt;$B$9,C$175=""),"",IF(COUNTIFS(BD!$B$3:$B$5001,C$175,BD!$A$3:$A$5001,"&gt;="&amp;$C$7,BD!$A$3:$A$5001,"&lt;="&amp;$B199,BD!$Z$3:$Z$5001,"&lt;&gt;")=0,"",SUMIFS(BD!$Z$3:$Z$5001,BD!$B$3:$B$5001,C$175,BD!$A$3:$A$5001,_xlfn.MAXIFS(BD!$A$3:$A$5001,BD!$B$3:$B$5001,C$175,BD!$A$3:$A$5001,"&gt;="&amp;$C$7,BD!$A$3:$A$5001,"&lt;="&amp;$B199,BD!$Z$3:$Z$5001,"&lt;&gt;"))))</f>
        <v/>
      </c>
      <c r="D199" s="43" t="str">
        <f>IF(OR($B199="",$A199&gt;$B$9,D$175=""),"",IF(COUNTIFS(BD!$B$3:$B$5001,D$175,BD!$A$3:$A$5001,"&gt;="&amp;$C$7,BD!$A$3:$A$5001,"&lt;="&amp;$B199,BD!$Z$3:$Z$5001,"&lt;&gt;")=0,"",SUMIFS(BD!$Z$3:$Z$5001,BD!$B$3:$B$5001,D$175,BD!$A$3:$A$5001,_xlfn.MAXIFS(BD!$A$3:$A$5001,BD!$B$3:$B$5001,D$175,BD!$A$3:$A$5001,"&gt;="&amp;$C$7,BD!$A$3:$A$5001,"&lt;="&amp;$B199,BD!$Z$3:$Z$5001,"&lt;&gt;"))))</f>
        <v/>
      </c>
      <c r="E199" s="43" t="str">
        <f>IF(OR($B199="",$A199&gt;$B$9,E$175=""),"",IF(COUNTIFS(BD!$B$3:$B$5001,E$175,BD!$A$3:$A$5001,"&gt;="&amp;$C$7,BD!$A$3:$A$5001,"&lt;="&amp;$B199,BD!$Z$3:$Z$5001,"&lt;&gt;")=0,"",SUMIFS(BD!$Z$3:$Z$5001,BD!$B$3:$B$5001,E$175,BD!$A$3:$A$5001,_xlfn.MAXIFS(BD!$A$3:$A$5001,BD!$B$3:$B$5001,E$175,BD!$A$3:$A$5001,"&gt;="&amp;$C$7,BD!$A$3:$A$5001,"&lt;="&amp;$B199,BD!$Z$3:$Z$5001,"&lt;&gt;"))))</f>
        <v/>
      </c>
      <c r="F199" s="43" t="str">
        <f>IF(OR($B199="",$A199&gt;$B$9,F$175=""),"",IF(COUNTIFS(BD!$B$3:$B$5001,F$175,BD!$A$3:$A$5001,"&gt;="&amp;$C$7,BD!$A$3:$A$5001,"&lt;="&amp;$B199,BD!$Z$3:$Z$5001,"&lt;&gt;")=0,"",SUMIFS(BD!$Z$3:$Z$5001,BD!$B$3:$B$5001,F$175,BD!$A$3:$A$5001,_xlfn.MAXIFS(BD!$A$3:$A$5001,BD!$B$3:$B$5001,F$175,BD!$A$3:$A$5001,"&gt;="&amp;$C$7,BD!$A$3:$A$5001,"&lt;="&amp;$B199,BD!$Z$3:$Z$5001,"&lt;&gt;"))))</f>
        <v/>
      </c>
      <c r="G199" s="43" t="str">
        <f>IF(OR($B199="",$A199&gt;$B$9,G$175=""),"",IF(COUNTIFS(BD!$B$3:$B$5001,G$175,BD!$A$3:$A$5001,"&gt;="&amp;$C$7,BD!$A$3:$A$5001,"&lt;="&amp;$B199,BD!$Z$3:$Z$5001,"&lt;&gt;")=0,"",SUMIFS(BD!$Z$3:$Z$5001,BD!$B$3:$B$5001,G$175,BD!$A$3:$A$5001,_xlfn.MAXIFS(BD!$A$3:$A$5001,BD!$B$3:$B$5001,G$175,BD!$A$3:$A$5001,"&gt;="&amp;$C$7,BD!$A$3:$A$5001,"&lt;="&amp;$B199,BD!$Z$3:$Z$5001,"&lt;&gt;"))))</f>
        <v/>
      </c>
      <c r="H199" s="43" t="str">
        <f>IF(OR($B199="",$A199&gt;$B$9,H$175=""),"",IF(COUNTIFS(BD!$B$3:$B$5001,H$175,BD!$A$3:$A$5001,"&gt;="&amp;$C$7,BD!$A$3:$A$5001,"&lt;="&amp;$B199,BD!$Z$3:$Z$5001,"&lt;&gt;")=0,"",SUMIFS(BD!$Z$3:$Z$5001,BD!$B$3:$B$5001,H$175,BD!$A$3:$A$5001,_xlfn.MAXIFS(BD!$A$3:$A$5001,BD!$B$3:$B$5001,H$175,BD!$A$3:$A$5001,"&gt;="&amp;$C$7,BD!$A$3:$A$5001,"&lt;="&amp;$B199,BD!$Z$3:$Z$5001,"&lt;&gt;"))))</f>
        <v/>
      </c>
      <c r="I199" s="43" t="str">
        <f>IF(OR($B199="",$A199&gt;$B$9,I$175=""),"",IF(COUNTIFS(BD!$B$3:$B$5001,I$175,BD!$A$3:$A$5001,"&gt;="&amp;$C$7,BD!$A$3:$A$5001,"&lt;="&amp;$B199,BD!$Z$3:$Z$5001,"&lt;&gt;")=0,"",SUMIFS(BD!$Z$3:$Z$5001,BD!$B$3:$B$5001,I$175,BD!$A$3:$A$5001,_xlfn.MAXIFS(BD!$A$3:$A$5001,BD!$B$3:$B$5001,I$175,BD!$A$3:$A$5001,"&gt;="&amp;$C$7,BD!$A$3:$A$5001,"&lt;="&amp;$B199,BD!$Z$3:$Z$5001,"&lt;&gt;"))))</f>
        <v/>
      </c>
      <c r="J199" s="43" t="str">
        <f>IF(OR($B199="",$A199&gt;$B$9,J$175=""),"",IF(COUNTIFS(BD!$B$3:$B$5001,J$175,BD!$A$3:$A$5001,"&gt;="&amp;$C$7,BD!$A$3:$A$5001,"&lt;="&amp;$B199,BD!$Z$3:$Z$5001,"&lt;&gt;")=0,"",SUMIFS(BD!$Z$3:$Z$5001,BD!$B$3:$B$5001,J$175,BD!$A$3:$A$5001,_xlfn.MAXIFS(BD!$A$3:$A$5001,BD!$B$3:$B$5001,J$175,BD!$A$3:$A$5001,"&gt;="&amp;$C$7,BD!$A$3:$A$5001,"&lt;="&amp;$B199,BD!$Z$3:$Z$5001,"&lt;&gt;"))))</f>
        <v/>
      </c>
      <c r="K199" s="43" t="str">
        <f>IF(OR($B199="",$A199&gt;$B$9,K$175=""),"",IF(COUNTIFS(BD!$B$3:$B$5001,K$175,BD!$A$3:$A$5001,"&gt;="&amp;$C$7,BD!$A$3:$A$5001,"&lt;="&amp;$B199,BD!$Z$3:$Z$5001,"&lt;&gt;")=0,"",SUMIFS(BD!$Z$3:$Z$5001,BD!$B$3:$B$5001,K$175,BD!$A$3:$A$5001,_xlfn.MAXIFS(BD!$A$3:$A$5001,BD!$B$3:$B$5001,K$175,BD!$A$3:$A$5001,"&gt;="&amp;$C$7,BD!$A$3:$A$5001,"&lt;="&amp;$B199,BD!$Z$3:$Z$5001,"&lt;&gt;"))))</f>
        <v/>
      </c>
      <c r="L199" s="43" t="str">
        <f>IF(OR($B199="",$A199&gt;$B$9,L$175=""),"",IF(COUNTIFS(BD!$B$3:$B$5001,L$175,BD!$A$3:$A$5001,"&gt;="&amp;$C$7,BD!$A$3:$A$5001,"&lt;="&amp;$B199,BD!$Z$3:$Z$5001,"&lt;&gt;")=0,"",SUMIFS(BD!$Z$3:$Z$5001,BD!$B$3:$B$5001,L$175,BD!$A$3:$A$5001,_xlfn.MAXIFS(BD!$A$3:$A$5001,BD!$B$3:$B$5001,L$175,BD!$A$3:$A$5001,"&gt;="&amp;$C$7,BD!$A$3:$A$5001,"&lt;="&amp;$B199,BD!$Z$3:$Z$5001,"&lt;&gt;"))))</f>
        <v/>
      </c>
      <c r="M199" s="43" t="str">
        <f>IF(OR($B199="",$A199&gt;$B$9,M$175=""),"",IF(COUNTIFS(BD!$B$3:$B$5001,M$175,BD!$A$3:$A$5001,"&gt;="&amp;$C$7,BD!$A$3:$A$5001,"&lt;="&amp;$B199,BD!$Z$3:$Z$5001,"&lt;&gt;")=0,"",SUMIFS(BD!$Z$3:$Z$5001,BD!$B$3:$B$5001,M$175,BD!$A$3:$A$5001,_xlfn.MAXIFS(BD!$A$3:$A$5001,BD!$B$3:$B$5001,M$175,BD!$A$3:$A$5001,"&gt;="&amp;$C$7,BD!$A$3:$A$5001,"&lt;="&amp;$B199,BD!$Z$3:$Z$5001,"&lt;&gt;"))))</f>
        <v/>
      </c>
      <c r="N199" s="43" t="str">
        <f>IF(OR($B199="",$A199&gt;$B$9,N$175=""),"",IF(COUNTIFS(BD!$B$3:$B$5001,N$175,BD!$A$3:$A$5001,"&gt;="&amp;$C$7,BD!$A$3:$A$5001,"&lt;="&amp;$B199,BD!$Z$3:$Z$5001,"&lt;&gt;")=0,"",SUMIFS(BD!$Z$3:$Z$5001,BD!$B$3:$B$5001,N$175,BD!$A$3:$A$5001,_xlfn.MAXIFS(BD!$A$3:$A$5001,BD!$B$3:$B$5001,N$175,BD!$A$3:$A$5001,"&gt;="&amp;$C$7,BD!$A$3:$A$5001,"&lt;="&amp;$B199,BD!$Z$3:$Z$5001,"&lt;&gt;"))))</f>
        <v/>
      </c>
      <c r="O199" s="43" t="str">
        <f>IF(OR($B199="",$A199&gt;$B$9,O$175=""),"",IF(COUNTIFS(BD!$B$3:$B$5001,O$175,BD!$A$3:$A$5001,"&gt;="&amp;$C$7,BD!$A$3:$A$5001,"&lt;="&amp;$B199,BD!$Z$3:$Z$5001,"&lt;&gt;")=0,"",SUMIFS(BD!$Z$3:$Z$5001,BD!$B$3:$B$5001,O$175,BD!$A$3:$A$5001,_xlfn.MAXIFS(BD!$A$3:$A$5001,BD!$B$3:$B$5001,O$175,BD!$A$3:$A$5001,"&gt;="&amp;$C$7,BD!$A$3:$A$5001,"&lt;="&amp;$B199,BD!$Z$3:$Z$5001,"&lt;&gt;"))))</f>
        <v/>
      </c>
      <c r="P199" s="43" t="str">
        <f>IF(OR($B199="",$A199&gt;$B$9,P$175=""),"",IF(COUNTIFS(BD!$B$3:$B$5001,P$175,BD!$A$3:$A$5001,"&gt;="&amp;$C$7,BD!$A$3:$A$5001,"&lt;="&amp;$B199,BD!$Z$3:$Z$5001,"&lt;&gt;")=0,"",SUMIFS(BD!$Z$3:$Z$5001,BD!$B$3:$B$5001,P$175,BD!$A$3:$A$5001,_xlfn.MAXIFS(BD!$A$3:$A$5001,BD!$B$3:$B$5001,P$175,BD!$A$3:$A$5001,"&gt;="&amp;$C$7,BD!$A$3:$A$5001,"&lt;="&amp;$B199,BD!$Z$3:$Z$5001,"&lt;&gt;"))))</f>
        <v/>
      </c>
      <c r="Q199" s="43" t="str">
        <f>IF(OR($B199="",$A199&gt;$B$9,Q$175=""),"",IF(COUNTIFS(BD!$B$3:$B$5001,Q$175,BD!$A$3:$A$5001,"&gt;="&amp;$C$7,BD!$A$3:$A$5001,"&lt;="&amp;$B199,BD!$Z$3:$Z$5001,"&lt;&gt;")=0,"",SUMIFS(BD!$Z$3:$Z$5001,BD!$B$3:$B$5001,Q$175,BD!$A$3:$A$5001,_xlfn.MAXIFS(BD!$A$3:$A$5001,BD!$B$3:$B$5001,Q$175,BD!$A$3:$A$5001,"&gt;="&amp;$C$7,BD!$A$3:$A$5001,"&lt;="&amp;$B199,BD!$Z$3:$Z$5001,"&lt;&gt;"))))</f>
        <v/>
      </c>
      <c r="R199" s="43" t="str">
        <f>IF(OR($B199="",$A199&gt;$B$9,R$175=""),"",IF(COUNTIFS(BD!$B$3:$B$5001,R$175,BD!$A$3:$A$5001,"&gt;="&amp;$C$7,BD!$A$3:$A$5001,"&lt;="&amp;$B199,BD!$Z$3:$Z$5001,"&lt;&gt;")=0,"",SUMIFS(BD!$Z$3:$Z$5001,BD!$B$3:$B$5001,R$175,BD!$A$3:$A$5001,_xlfn.MAXIFS(BD!$A$3:$A$5001,BD!$B$3:$B$5001,R$175,BD!$A$3:$A$5001,"&gt;="&amp;$C$7,BD!$A$3:$A$5001,"&lt;="&amp;$B199,BD!$Z$3:$Z$5001,"&lt;&gt;"))))</f>
        <v/>
      </c>
      <c r="S199" s="43" t="str">
        <f>IF(OR($B199="",$A199&gt;$B$9,S$175=""),"",IF(COUNTIFS(BD!$B$3:$B$5001,S$175,BD!$A$3:$A$5001,"&gt;="&amp;$C$7,BD!$A$3:$A$5001,"&lt;="&amp;$B199,BD!$Z$3:$Z$5001,"&lt;&gt;")=0,"",SUMIFS(BD!$Z$3:$Z$5001,BD!$B$3:$B$5001,S$175,BD!$A$3:$A$5001,_xlfn.MAXIFS(BD!$A$3:$A$5001,BD!$B$3:$B$5001,S$175,BD!$A$3:$A$5001,"&gt;="&amp;$C$7,BD!$A$3:$A$5001,"&lt;="&amp;$B199,BD!$Z$3:$Z$5001,"&lt;&gt;"))))</f>
        <v/>
      </c>
      <c r="T199" s="43" t="str">
        <f>IF(OR($B199="",$A199&gt;$B$9,T$175=""),"",IF(COUNTIFS(BD!$B$3:$B$5001,T$175,BD!$A$3:$A$5001,"&gt;="&amp;$C$7,BD!$A$3:$A$5001,"&lt;="&amp;$B199,BD!$Z$3:$Z$5001,"&lt;&gt;")=0,"",SUMIFS(BD!$Z$3:$Z$5001,BD!$B$3:$B$5001,T$175,BD!$A$3:$A$5001,_xlfn.MAXIFS(BD!$A$3:$A$5001,BD!$B$3:$B$5001,T$175,BD!$A$3:$A$5001,"&gt;="&amp;$C$7,BD!$A$3:$A$5001,"&lt;="&amp;$B199,BD!$Z$3:$Z$5001,"&lt;&gt;"))))</f>
        <v/>
      </c>
      <c r="U199" s="43" t="str">
        <f>IF(OR($B199="",$A199&gt;$B$9,U$175=""),"",IF(COUNTIFS(BD!$B$3:$B$5001,U$175,BD!$A$3:$A$5001,"&gt;="&amp;$C$7,BD!$A$3:$A$5001,"&lt;="&amp;$B199,BD!$Z$3:$Z$5001,"&lt;&gt;")=0,"",SUMIFS(BD!$Z$3:$Z$5001,BD!$B$3:$B$5001,U$175,BD!$A$3:$A$5001,_xlfn.MAXIFS(BD!$A$3:$A$5001,BD!$B$3:$B$5001,U$175,BD!$A$3:$A$5001,"&gt;="&amp;$C$7,BD!$A$3:$A$5001,"&lt;="&amp;$B199,BD!$Z$3:$Z$5001,"&lt;&gt;"))))</f>
        <v/>
      </c>
      <c r="V199" s="43" t="str">
        <f>IF(OR($B199="",$A199&gt;$B$9,V$175=""),"",IF(COUNTIFS(BD!$B$3:$B$5001,V$175,BD!$A$3:$A$5001,"&gt;="&amp;$C$7,BD!$A$3:$A$5001,"&lt;="&amp;$B199,BD!$Z$3:$Z$5001,"&lt;&gt;")=0,"",SUMIFS(BD!$Z$3:$Z$5001,BD!$B$3:$B$5001,V$175,BD!$A$3:$A$5001,_xlfn.MAXIFS(BD!$A$3:$A$5001,BD!$B$3:$B$5001,V$175,BD!$A$3:$A$5001,"&gt;="&amp;$C$7,BD!$A$3:$A$5001,"&lt;="&amp;$B199,BD!$Z$3:$Z$5001,"&lt;&gt;"))))</f>
        <v/>
      </c>
    </row>
    <row r="200">
      <c r="A200" s="38">
        <v>25</v>
      </c>
      <c r="B200" s="42">
        <f>$B$36</f>
        <v>46320</v>
      </c>
      <c r="C200" s="43" t="str">
        <f>IF(OR($B200="",$A200&gt;$B$9,C$175=""),"",IF(COUNTIFS(BD!$B$3:$B$5001,C$175,BD!$A$3:$A$5001,"&gt;="&amp;$C$7,BD!$A$3:$A$5001,"&lt;="&amp;$B200,BD!$Z$3:$Z$5001,"&lt;&gt;")=0,"",SUMIFS(BD!$Z$3:$Z$5001,BD!$B$3:$B$5001,C$175,BD!$A$3:$A$5001,_xlfn.MAXIFS(BD!$A$3:$A$5001,BD!$B$3:$B$5001,C$175,BD!$A$3:$A$5001,"&gt;="&amp;$C$7,BD!$A$3:$A$5001,"&lt;="&amp;$B200,BD!$Z$3:$Z$5001,"&lt;&gt;"))))</f>
        <v/>
      </c>
      <c r="D200" s="43" t="str">
        <f>IF(OR($B200="",$A200&gt;$B$9,D$175=""),"",IF(COUNTIFS(BD!$B$3:$B$5001,D$175,BD!$A$3:$A$5001,"&gt;="&amp;$C$7,BD!$A$3:$A$5001,"&lt;="&amp;$B200,BD!$Z$3:$Z$5001,"&lt;&gt;")=0,"",SUMIFS(BD!$Z$3:$Z$5001,BD!$B$3:$B$5001,D$175,BD!$A$3:$A$5001,_xlfn.MAXIFS(BD!$A$3:$A$5001,BD!$B$3:$B$5001,D$175,BD!$A$3:$A$5001,"&gt;="&amp;$C$7,BD!$A$3:$A$5001,"&lt;="&amp;$B200,BD!$Z$3:$Z$5001,"&lt;&gt;"))))</f>
        <v/>
      </c>
      <c r="E200" s="43" t="str">
        <f>IF(OR($B200="",$A200&gt;$B$9,E$175=""),"",IF(COUNTIFS(BD!$B$3:$B$5001,E$175,BD!$A$3:$A$5001,"&gt;="&amp;$C$7,BD!$A$3:$A$5001,"&lt;="&amp;$B200,BD!$Z$3:$Z$5001,"&lt;&gt;")=0,"",SUMIFS(BD!$Z$3:$Z$5001,BD!$B$3:$B$5001,E$175,BD!$A$3:$A$5001,_xlfn.MAXIFS(BD!$A$3:$A$5001,BD!$B$3:$B$5001,E$175,BD!$A$3:$A$5001,"&gt;="&amp;$C$7,BD!$A$3:$A$5001,"&lt;="&amp;$B200,BD!$Z$3:$Z$5001,"&lt;&gt;"))))</f>
        <v/>
      </c>
      <c r="F200" s="43" t="str">
        <f>IF(OR($B200="",$A200&gt;$B$9,F$175=""),"",IF(COUNTIFS(BD!$B$3:$B$5001,F$175,BD!$A$3:$A$5001,"&gt;="&amp;$C$7,BD!$A$3:$A$5001,"&lt;="&amp;$B200,BD!$Z$3:$Z$5001,"&lt;&gt;")=0,"",SUMIFS(BD!$Z$3:$Z$5001,BD!$B$3:$B$5001,F$175,BD!$A$3:$A$5001,_xlfn.MAXIFS(BD!$A$3:$A$5001,BD!$B$3:$B$5001,F$175,BD!$A$3:$A$5001,"&gt;="&amp;$C$7,BD!$A$3:$A$5001,"&lt;="&amp;$B200,BD!$Z$3:$Z$5001,"&lt;&gt;"))))</f>
        <v/>
      </c>
      <c r="G200" s="43" t="str">
        <f>IF(OR($B200="",$A200&gt;$B$9,G$175=""),"",IF(COUNTIFS(BD!$B$3:$B$5001,G$175,BD!$A$3:$A$5001,"&gt;="&amp;$C$7,BD!$A$3:$A$5001,"&lt;="&amp;$B200,BD!$Z$3:$Z$5001,"&lt;&gt;")=0,"",SUMIFS(BD!$Z$3:$Z$5001,BD!$B$3:$B$5001,G$175,BD!$A$3:$A$5001,_xlfn.MAXIFS(BD!$A$3:$A$5001,BD!$B$3:$B$5001,G$175,BD!$A$3:$A$5001,"&gt;="&amp;$C$7,BD!$A$3:$A$5001,"&lt;="&amp;$B200,BD!$Z$3:$Z$5001,"&lt;&gt;"))))</f>
        <v/>
      </c>
      <c r="H200" s="43" t="str">
        <f>IF(OR($B200="",$A200&gt;$B$9,H$175=""),"",IF(COUNTIFS(BD!$B$3:$B$5001,H$175,BD!$A$3:$A$5001,"&gt;="&amp;$C$7,BD!$A$3:$A$5001,"&lt;="&amp;$B200,BD!$Z$3:$Z$5001,"&lt;&gt;")=0,"",SUMIFS(BD!$Z$3:$Z$5001,BD!$B$3:$B$5001,H$175,BD!$A$3:$A$5001,_xlfn.MAXIFS(BD!$A$3:$A$5001,BD!$B$3:$B$5001,H$175,BD!$A$3:$A$5001,"&gt;="&amp;$C$7,BD!$A$3:$A$5001,"&lt;="&amp;$B200,BD!$Z$3:$Z$5001,"&lt;&gt;"))))</f>
        <v/>
      </c>
      <c r="I200" s="43" t="str">
        <f>IF(OR($B200="",$A200&gt;$B$9,I$175=""),"",IF(COUNTIFS(BD!$B$3:$B$5001,I$175,BD!$A$3:$A$5001,"&gt;="&amp;$C$7,BD!$A$3:$A$5001,"&lt;="&amp;$B200,BD!$Z$3:$Z$5001,"&lt;&gt;")=0,"",SUMIFS(BD!$Z$3:$Z$5001,BD!$B$3:$B$5001,I$175,BD!$A$3:$A$5001,_xlfn.MAXIFS(BD!$A$3:$A$5001,BD!$B$3:$B$5001,I$175,BD!$A$3:$A$5001,"&gt;="&amp;$C$7,BD!$A$3:$A$5001,"&lt;="&amp;$B200,BD!$Z$3:$Z$5001,"&lt;&gt;"))))</f>
        <v/>
      </c>
      <c r="J200" s="43" t="str">
        <f>IF(OR($B200="",$A200&gt;$B$9,J$175=""),"",IF(COUNTIFS(BD!$B$3:$B$5001,J$175,BD!$A$3:$A$5001,"&gt;="&amp;$C$7,BD!$A$3:$A$5001,"&lt;="&amp;$B200,BD!$Z$3:$Z$5001,"&lt;&gt;")=0,"",SUMIFS(BD!$Z$3:$Z$5001,BD!$B$3:$B$5001,J$175,BD!$A$3:$A$5001,_xlfn.MAXIFS(BD!$A$3:$A$5001,BD!$B$3:$B$5001,J$175,BD!$A$3:$A$5001,"&gt;="&amp;$C$7,BD!$A$3:$A$5001,"&lt;="&amp;$B200,BD!$Z$3:$Z$5001,"&lt;&gt;"))))</f>
        <v/>
      </c>
      <c r="K200" s="43" t="str">
        <f>IF(OR($B200="",$A200&gt;$B$9,K$175=""),"",IF(COUNTIFS(BD!$B$3:$B$5001,K$175,BD!$A$3:$A$5001,"&gt;="&amp;$C$7,BD!$A$3:$A$5001,"&lt;="&amp;$B200,BD!$Z$3:$Z$5001,"&lt;&gt;")=0,"",SUMIFS(BD!$Z$3:$Z$5001,BD!$B$3:$B$5001,K$175,BD!$A$3:$A$5001,_xlfn.MAXIFS(BD!$A$3:$A$5001,BD!$B$3:$B$5001,K$175,BD!$A$3:$A$5001,"&gt;="&amp;$C$7,BD!$A$3:$A$5001,"&lt;="&amp;$B200,BD!$Z$3:$Z$5001,"&lt;&gt;"))))</f>
        <v/>
      </c>
      <c r="L200" s="43" t="str">
        <f>IF(OR($B200="",$A200&gt;$B$9,L$175=""),"",IF(COUNTIFS(BD!$B$3:$B$5001,L$175,BD!$A$3:$A$5001,"&gt;="&amp;$C$7,BD!$A$3:$A$5001,"&lt;="&amp;$B200,BD!$Z$3:$Z$5001,"&lt;&gt;")=0,"",SUMIFS(BD!$Z$3:$Z$5001,BD!$B$3:$B$5001,L$175,BD!$A$3:$A$5001,_xlfn.MAXIFS(BD!$A$3:$A$5001,BD!$B$3:$B$5001,L$175,BD!$A$3:$A$5001,"&gt;="&amp;$C$7,BD!$A$3:$A$5001,"&lt;="&amp;$B200,BD!$Z$3:$Z$5001,"&lt;&gt;"))))</f>
        <v/>
      </c>
      <c r="M200" s="43" t="str">
        <f>IF(OR($B200="",$A200&gt;$B$9,M$175=""),"",IF(COUNTIFS(BD!$B$3:$B$5001,M$175,BD!$A$3:$A$5001,"&gt;="&amp;$C$7,BD!$A$3:$A$5001,"&lt;="&amp;$B200,BD!$Z$3:$Z$5001,"&lt;&gt;")=0,"",SUMIFS(BD!$Z$3:$Z$5001,BD!$B$3:$B$5001,M$175,BD!$A$3:$A$5001,_xlfn.MAXIFS(BD!$A$3:$A$5001,BD!$B$3:$B$5001,M$175,BD!$A$3:$A$5001,"&gt;="&amp;$C$7,BD!$A$3:$A$5001,"&lt;="&amp;$B200,BD!$Z$3:$Z$5001,"&lt;&gt;"))))</f>
        <v/>
      </c>
      <c r="N200" s="43" t="str">
        <f>IF(OR($B200="",$A200&gt;$B$9,N$175=""),"",IF(COUNTIFS(BD!$B$3:$B$5001,N$175,BD!$A$3:$A$5001,"&gt;="&amp;$C$7,BD!$A$3:$A$5001,"&lt;="&amp;$B200,BD!$Z$3:$Z$5001,"&lt;&gt;")=0,"",SUMIFS(BD!$Z$3:$Z$5001,BD!$B$3:$B$5001,N$175,BD!$A$3:$A$5001,_xlfn.MAXIFS(BD!$A$3:$A$5001,BD!$B$3:$B$5001,N$175,BD!$A$3:$A$5001,"&gt;="&amp;$C$7,BD!$A$3:$A$5001,"&lt;="&amp;$B200,BD!$Z$3:$Z$5001,"&lt;&gt;"))))</f>
        <v/>
      </c>
      <c r="O200" s="43" t="str">
        <f>IF(OR($B200="",$A200&gt;$B$9,O$175=""),"",IF(COUNTIFS(BD!$B$3:$B$5001,O$175,BD!$A$3:$A$5001,"&gt;="&amp;$C$7,BD!$A$3:$A$5001,"&lt;="&amp;$B200,BD!$Z$3:$Z$5001,"&lt;&gt;")=0,"",SUMIFS(BD!$Z$3:$Z$5001,BD!$B$3:$B$5001,O$175,BD!$A$3:$A$5001,_xlfn.MAXIFS(BD!$A$3:$A$5001,BD!$B$3:$B$5001,O$175,BD!$A$3:$A$5001,"&gt;="&amp;$C$7,BD!$A$3:$A$5001,"&lt;="&amp;$B200,BD!$Z$3:$Z$5001,"&lt;&gt;"))))</f>
        <v/>
      </c>
      <c r="P200" s="43" t="str">
        <f>IF(OR($B200="",$A200&gt;$B$9,P$175=""),"",IF(COUNTIFS(BD!$B$3:$B$5001,P$175,BD!$A$3:$A$5001,"&gt;="&amp;$C$7,BD!$A$3:$A$5001,"&lt;="&amp;$B200,BD!$Z$3:$Z$5001,"&lt;&gt;")=0,"",SUMIFS(BD!$Z$3:$Z$5001,BD!$B$3:$B$5001,P$175,BD!$A$3:$A$5001,_xlfn.MAXIFS(BD!$A$3:$A$5001,BD!$B$3:$B$5001,P$175,BD!$A$3:$A$5001,"&gt;="&amp;$C$7,BD!$A$3:$A$5001,"&lt;="&amp;$B200,BD!$Z$3:$Z$5001,"&lt;&gt;"))))</f>
        <v/>
      </c>
      <c r="Q200" s="43" t="str">
        <f>IF(OR($B200="",$A200&gt;$B$9,Q$175=""),"",IF(COUNTIFS(BD!$B$3:$B$5001,Q$175,BD!$A$3:$A$5001,"&gt;="&amp;$C$7,BD!$A$3:$A$5001,"&lt;="&amp;$B200,BD!$Z$3:$Z$5001,"&lt;&gt;")=0,"",SUMIFS(BD!$Z$3:$Z$5001,BD!$B$3:$B$5001,Q$175,BD!$A$3:$A$5001,_xlfn.MAXIFS(BD!$A$3:$A$5001,BD!$B$3:$B$5001,Q$175,BD!$A$3:$A$5001,"&gt;="&amp;$C$7,BD!$A$3:$A$5001,"&lt;="&amp;$B200,BD!$Z$3:$Z$5001,"&lt;&gt;"))))</f>
        <v/>
      </c>
      <c r="R200" s="43" t="str">
        <f>IF(OR($B200="",$A200&gt;$B$9,R$175=""),"",IF(COUNTIFS(BD!$B$3:$B$5001,R$175,BD!$A$3:$A$5001,"&gt;="&amp;$C$7,BD!$A$3:$A$5001,"&lt;="&amp;$B200,BD!$Z$3:$Z$5001,"&lt;&gt;")=0,"",SUMIFS(BD!$Z$3:$Z$5001,BD!$B$3:$B$5001,R$175,BD!$A$3:$A$5001,_xlfn.MAXIFS(BD!$A$3:$A$5001,BD!$B$3:$B$5001,R$175,BD!$A$3:$A$5001,"&gt;="&amp;$C$7,BD!$A$3:$A$5001,"&lt;="&amp;$B200,BD!$Z$3:$Z$5001,"&lt;&gt;"))))</f>
        <v/>
      </c>
      <c r="S200" s="43" t="str">
        <f>IF(OR($B200="",$A200&gt;$B$9,S$175=""),"",IF(COUNTIFS(BD!$B$3:$B$5001,S$175,BD!$A$3:$A$5001,"&gt;="&amp;$C$7,BD!$A$3:$A$5001,"&lt;="&amp;$B200,BD!$Z$3:$Z$5001,"&lt;&gt;")=0,"",SUMIFS(BD!$Z$3:$Z$5001,BD!$B$3:$B$5001,S$175,BD!$A$3:$A$5001,_xlfn.MAXIFS(BD!$A$3:$A$5001,BD!$B$3:$B$5001,S$175,BD!$A$3:$A$5001,"&gt;="&amp;$C$7,BD!$A$3:$A$5001,"&lt;="&amp;$B200,BD!$Z$3:$Z$5001,"&lt;&gt;"))))</f>
        <v/>
      </c>
      <c r="T200" s="43" t="str">
        <f>IF(OR($B200="",$A200&gt;$B$9,T$175=""),"",IF(COUNTIFS(BD!$B$3:$B$5001,T$175,BD!$A$3:$A$5001,"&gt;="&amp;$C$7,BD!$A$3:$A$5001,"&lt;="&amp;$B200,BD!$Z$3:$Z$5001,"&lt;&gt;")=0,"",SUMIFS(BD!$Z$3:$Z$5001,BD!$B$3:$B$5001,T$175,BD!$A$3:$A$5001,_xlfn.MAXIFS(BD!$A$3:$A$5001,BD!$B$3:$B$5001,T$175,BD!$A$3:$A$5001,"&gt;="&amp;$C$7,BD!$A$3:$A$5001,"&lt;="&amp;$B200,BD!$Z$3:$Z$5001,"&lt;&gt;"))))</f>
        <v/>
      </c>
      <c r="U200" s="43" t="str">
        <f>IF(OR($B200="",$A200&gt;$B$9,U$175=""),"",IF(COUNTIFS(BD!$B$3:$B$5001,U$175,BD!$A$3:$A$5001,"&gt;="&amp;$C$7,BD!$A$3:$A$5001,"&lt;="&amp;$B200,BD!$Z$3:$Z$5001,"&lt;&gt;")=0,"",SUMIFS(BD!$Z$3:$Z$5001,BD!$B$3:$B$5001,U$175,BD!$A$3:$A$5001,_xlfn.MAXIFS(BD!$A$3:$A$5001,BD!$B$3:$B$5001,U$175,BD!$A$3:$A$5001,"&gt;="&amp;$C$7,BD!$A$3:$A$5001,"&lt;="&amp;$B200,BD!$Z$3:$Z$5001,"&lt;&gt;"))))</f>
        <v/>
      </c>
      <c r="V200" s="43" t="str">
        <f>IF(OR($B200="",$A200&gt;$B$9,V$175=""),"",IF(COUNTIFS(BD!$B$3:$B$5001,V$175,BD!$A$3:$A$5001,"&gt;="&amp;$C$7,BD!$A$3:$A$5001,"&lt;="&amp;$B200,BD!$Z$3:$Z$5001,"&lt;&gt;")=0,"",SUMIFS(BD!$Z$3:$Z$5001,BD!$B$3:$B$5001,V$175,BD!$A$3:$A$5001,_xlfn.MAXIFS(BD!$A$3:$A$5001,BD!$B$3:$B$5001,V$175,BD!$A$3:$A$5001,"&gt;="&amp;$C$7,BD!$A$3:$A$5001,"&lt;="&amp;$B200,BD!$Z$3:$Z$5001,"&lt;&gt;"))))</f>
        <v/>
      </c>
    </row>
    <row r="201">
      <c r="A201" s="38">
        <v>26</v>
      </c>
      <c r="B201" s="42">
        <f>$B$37</f>
        <v>46321</v>
      </c>
      <c r="C201" s="43" t="str">
        <f>IF(OR($B201="",$A201&gt;$B$9,C$175=""),"",IF(COUNTIFS(BD!$B$3:$B$5001,C$175,BD!$A$3:$A$5001,"&gt;="&amp;$C$7,BD!$A$3:$A$5001,"&lt;="&amp;$B201,BD!$Z$3:$Z$5001,"&lt;&gt;")=0,"",SUMIFS(BD!$Z$3:$Z$5001,BD!$B$3:$B$5001,C$175,BD!$A$3:$A$5001,_xlfn.MAXIFS(BD!$A$3:$A$5001,BD!$B$3:$B$5001,C$175,BD!$A$3:$A$5001,"&gt;="&amp;$C$7,BD!$A$3:$A$5001,"&lt;="&amp;$B201,BD!$Z$3:$Z$5001,"&lt;&gt;"))))</f>
        <v/>
      </c>
      <c r="D201" s="43" t="str">
        <f>IF(OR($B201="",$A201&gt;$B$9,D$175=""),"",IF(COUNTIFS(BD!$B$3:$B$5001,D$175,BD!$A$3:$A$5001,"&gt;="&amp;$C$7,BD!$A$3:$A$5001,"&lt;="&amp;$B201,BD!$Z$3:$Z$5001,"&lt;&gt;")=0,"",SUMIFS(BD!$Z$3:$Z$5001,BD!$B$3:$B$5001,D$175,BD!$A$3:$A$5001,_xlfn.MAXIFS(BD!$A$3:$A$5001,BD!$B$3:$B$5001,D$175,BD!$A$3:$A$5001,"&gt;="&amp;$C$7,BD!$A$3:$A$5001,"&lt;="&amp;$B201,BD!$Z$3:$Z$5001,"&lt;&gt;"))))</f>
        <v/>
      </c>
      <c r="E201" s="43" t="str">
        <f>IF(OR($B201="",$A201&gt;$B$9,E$175=""),"",IF(COUNTIFS(BD!$B$3:$B$5001,E$175,BD!$A$3:$A$5001,"&gt;="&amp;$C$7,BD!$A$3:$A$5001,"&lt;="&amp;$B201,BD!$Z$3:$Z$5001,"&lt;&gt;")=0,"",SUMIFS(BD!$Z$3:$Z$5001,BD!$B$3:$B$5001,E$175,BD!$A$3:$A$5001,_xlfn.MAXIFS(BD!$A$3:$A$5001,BD!$B$3:$B$5001,E$175,BD!$A$3:$A$5001,"&gt;="&amp;$C$7,BD!$A$3:$A$5001,"&lt;="&amp;$B201,BD!$Z$3:$Z$5001,"&lt;&gt;"))))</f>
        <v/>
      </c>
      <c r="F201" s="43" t="str">
        <f>IF(OR($B201="",$A201&gt;$B$9,F$175=""),"",IF(COUNTIFS(BD!$B$3:$B$5001,F$175,BD!$A$3:$A$5001,"&gt;="&amp;$C$7,BD!$A$3:$A$5001,"&lt;="&amp;$B201,BD!$Z$3:$Z$5001,"&lt;&gt;")=0,"",SUMIFS(BD!$Z$3:$Z$5001,BD!$B$3:$B$5001,F$175,BD!$A$3:$A$5001,_xlfn.MAXIFS(BD!$A$3:$A$5001,BD!$B$3:$B$5001,F$175,BD!$A$3:$A$5001,"&gt;="&amp;$C$7,BD!$A$3:$A$5001,"&lt;="&amp;$B201,BD!$Z$3:$Z$5001,"&lt;&gt;"))))</f>
        <v/>
      </c>
      <c r="G201" s="43" t="str">
        <f>IF(OR($B201="",$A201&gt;$B$9,G$175=""),"",IF(COUNTIFS(BD!$B$3:$B$5001,G$175,BD!$A$3:$A$5001,"&gt;="&amp;$C$7,BD!$A$3:$A$5001,"&lt;="&amp;$B201,BD!$Z$3:$Z$5001,"&lt;&gt;")=0,"",SUMIFS(BD!$Z$3:$Z$5001,BD!$B$3:$B$5001,G$175,BD!$A$3:$A$5001,_xlfn.MAXIFS(BD!$A$3:$A$5001,BD!$B$3:$B$5001,G$175,BD!$A$3:$A$5001,"&gt;="&amp;$C$7,BD!$A$3:$A$5001,"&lt;="&amp;$B201,BD!$Z$3:$Z$5001,"&lt;&gt;"))))</f>
        <v/>
      </c>
      <c r="H201" s="43" t="str">
        <f>IF(OR($B201="",$A201&gt;$B$9,H$175=""),"",IF(COUNTIFS(BD!$B$3:$B$5001,H$175,BD!$A$3:$A$5001,"&gt;="&amp;$C$7,BD!$A$3:$A$5001,"&lt;="&amp;$B201,BD!$Z$3:$Z$5001,"&lt;&gt;")=0,"",SUMIFS(BD!$Z$3:$Z$5001,BD!$B$3:$B$5001,H$175,BD!$A$3:$A$5001,_xlfn.MAXIFS(BD!$A$3:$A$5001,BD!$B$3:$B$5001,H$175,BD!$A$3:$A$5001,"&gt;="&amp;$C$7,BD!$A$3:$A$5001,"&lt;="&amp;$B201,BD!$Z$3:$Z$5001,"&lt;&gt;"))))</f>
        <v/>
      </c>
      <c r="I201" s="43" t="str">
        <f>IF(OR($B201="",$A201&gt;$B$9,I$175=""),"",IF(COUNTIFS(BD!$B$3:$B$5001,I$175,BD!$A$3:$A$5001,"&gt;="&amp;$C$7,BD!$A$3:$A$5001,"&lt;="&amp;$B201,BD!$Z$3:$Z$5001,"&lt;&gt;")=0,"",SUMIFS(BD!$Z$3:$Z$5001,BD!$B$3:$B$5001,I$175,BD!$A$3:$A$5001,_xlfn.MAXIFS(BD!$A$3:$A$5001,BD!$B$3:$B$5001,I$175,BD!$A$3:$A$5001,"&gt;="&amp;$C$7,BD!$A$3:$A$5001,"&lt;="&amp;$B201,BD!$Z$3:$Z$5001,"&lt;&gt;"))))</f>
        <v/>
      </c>
      <c r="J201" s="43" t="str">
        <f>IF(OR($B201="",$A201&gt;$B$9,J$175=""),"",IF(COUNTIFS(BD!$B$3:$B$5001,J$175,BD!$A$3:$A$5001,"&gt;="&amp;$C$7,BD!$A$3:$A$5001,"&lt;="&amp;$B201,BD!$Z$3:$Z$5001,"&lt;&gt;")=0,"",SUMIFS(BD!$Z$3:$Z$5001,BD!$B$3:$B$5001,J$175,BD!$A$3:$A$5001,_xlfn.MAXIFS(BD!$A$3:$A$5001,BD!$B$3:$B$5001,J$175,BD!$A$3:$A$5001,"&gt;="&amp;$C$7,BD!$A$3:$A$5001,"&lt;="&amp;$B201,BD!$Z$3:$Z$5001,"&lt;&gt;"))))</f>
        <v/>
      </c>
      <c r="K201" s="43" t="str">
        <f>IF(OR($B201="",$A201&gt;$B$9,K$175=""),"",IF(COUNTIFS(BD!$B$3:$B$5001,K$175,BD!$A$3:$A$5001,"&gt;="&amp;$C$7,BD!$A$3:$A$5001,"&lt;="&amp;$B201,BD!$Z$3:$Z$5001,"&lt;&gt;")=0,"",SUMIFS(BD!$Z$3:$Z$5001,BD!$B$3:$B$5001,K$175,BD!$A$3:$A$5001,_xlfn.MAXIFS(BD!$A$3:$A$5001,BD!$B$3:$B$5001,K$175,BD!$A$3:$A$5001,"&gt;="&amp;$C$7,BD!$A$3:$A$5001,"&lt;="&amp;$B201,BD!$Z$3:$Z$5001,"&lt;&gt;"))))</f>
        <v/>
      </c>
      <c r="L201" s="43" t="str">
        <f>IF(OR($B201="",$A201&gt;$B$9,L$175=""),"",IF(COUNTIFS(BD!$B$3:$B$5001,L$175,BD!$A$3:$A$5001,"&gt;="&amp;$C$7,BD!$A$3:$A$5001,"&lt;="&amp;$B201,BD!$Z$3:$Z$5001,"&lt;&gt;")=0,"",SUMIFS(BD!$Z$3:$Z$5001,BD!$B$3:$B$5001,L$175,BD!$A$3:$A$5001,_xlfn.MAXIFS(BD!$A$3:$A$5001,BD!$B$3:$B$5001,L$175,BD!$A$3:$A$5001,"&gt;="&amp;$C$7,BD!$A$3:$A$5001,"&lt;="&amp;$B201,BD!$Z$3:$Z$5001,"&lt;&gt;"))))</f>
        <v/>
      </c>
      <c r="M201" s="43" t="str">
        <f>IF(OR($B201="",$A201&gt;$B$9,M$175=""),"",IF(COUNTIFS(BD!$B$3:$B$5001,M$175,BD!$A$3:$A$5001,"&gt;="&amp;$C$7,BD!$A$3:$A$5001,"&lt;="&amp;$B201,BD!$Z$3:$Z$5001,"&lt;&gt;")=0,"",SUMIFS(BD!$Z$3:$Z$5001,BD!$B$3:$B$5001,M$175,BD!$A$3:$A$5001,_xlfn.MAXIFS(BD!$A$3:$A$5001,BD!$B$3:$B$5001,M$175,BD!$A$3:$A$5001,"&gt;="&amp;$C$7,BD!$A$3:$A$5001,"&lt;="&amp;$B201,BD!$Z$3:$Z$5001,"&lt;&gt;"))))</f>
        <v/>
      </c>
      <c r="N201" s="43" t="str">
        <f>IF(OR($B201="",$A201&gt;$B$9,N$175=""),"",IF(COUNTIFS(BD!$B$3:$B$5001,N$175,BD!$A$3:$A$5001,"&gt;="&amp;$C$7,BD!$A$3:$A$5001,"&lt;="&amp;$B201,BD!$Z$3:$Z$5001,"&lt;&gt;")=0,"",SUMIFS(BD!$Z$3:$Z$5001,BD!$B$3:$B$5001,N$175,BD!$A$3:$A$5001,_xlfn.MAXIFS(BD!$A$3:$A$5001,BD!$B$3:$B$5001,N$175,BD!$A$3:$A$5001,"&gt;="&amp;$C$7,BD!$A$3:$A$5001,"&lt;="&amp;$B201,BD!$Z$3:$Z$5001,"&lt;&gt;"))))</f>
        <v/>
      </c>
      <c r="O201" s="43" t="str">
        <f>IF(OR($B201="",$A201&gt;$B$9,O$175=""),"",IF(COUNTIFS(BD!$B$3:$B$5001,O$175,BD!$A$3:$A$5001,"&gt;="&amp;$C$7,BD!$A$3:$A$5001,"&lt;="&amp;$B201,BD!$Z$3:$Z$5001,"&lt;&gt;")=0,"",SUMIFS(BD!$Z$3:$Z$5001,BD!$B$3:$B$5001,O$175,BD!$A$3:$A$5001,_xlfn.MAXIFS(BD!$A$3:$A$5001,BD!$B$3:$B$5001,O$175,BD!$A$3:$A$5001,"&gt;="&amp;$C$7,BD!$A$3:$A$5001,"&lt;="&amp;$B201,BD!$Z$3:$Z$5001,"&lt;&gt;"))))</f>
        <v/>
      </c>
      <c r="P201" s="43" t="str">
        <f>IF(OR($B201="",$A201&gt;$B$9,P$175=""),"",IF(COUNTIFS(BD!$B$3:$B$5001,P$175,BD!$A$3:$A$5001,"&gt;="&amp;$C$7,BD!$A$3:$A$5001,"&lt;="&amp;$B201,BD!$Z$3:$Z$5001,"&lt;&gt;")=0,"",SUMIFS(BD!$Z$3:$Z$5001,BD!$B$3:$B$5001,P$175,BD!$A$3:$A$5001,_xlfn.MAXIFS(BD!$A$3:$A$5001,BD!$B$3:$B$5001,P$175,BD!$A$3:$A$5001,"&gt;="&amp;$C$7,BD!$A$3:$A$5001,"&lt;="&amp;$B201,BD!$Z$3:$Z$5001,"&lt;&gt;"))))</f>
        <v/>
      </c>
      <c r="Q201" s="43" t="str">
        <f>IF(OR($B201="",$A201&gt;$B$9,Q$175=""),"",IF(COUNTIFS(BD!$B$3:$B$5001,Q$175,BD!$A$3:$A$5001,"&gt;="&amp;$C$7,BD!$A$3:$A$5001,"&lt;="&amp;$B201,BD!$Z$3:$Z$5001,"&lt;&gt;")=0,"",SUMIFS(BD!$Z$3:$Z$5001,BD!$B$3:$B$5001,Q$175,BD!$A$3:$A$5001,_xlfn.MAXIFS(BD!$A$3:$A$5001,BD!$B$3:$B$5001,Q$175,BD!$A$3:$A$5001,"&gt;="&amp;$C$7,BD!$A$3:$A$5001,"&lt;="&amp;$B201,BD!$Z$3:$Z$5001,"&lt;&gt;"))))</f>
        <v/>
      </c>
      <c r="R201" s="43" t="str">
        <f>IF(OR($B201="",$A201&gt;$B$9,R$175=""),"",IF(COUNTIFS(BD!$B$3:$B$5001,R$175,BD!$A$3:$A$5001,"&gt;="&amp;$C$7,BD!$A$3:$A$5001,"&lt;="&amp;$B201,BD!$Z$3:$Z$5001,"&lt;&gt;")=0,"",SUMIFS(BD!$Z$3:$Z$5001,BD!$B$3:$B$5001,R$175,BD!$A$3:$A$5001,_xlfn.MAXIFS(BD!$A$3:$A$5001,BD!$B$3:$B$5001,R$175,BD!$A$3:$A$5001,"&gt;="&amp;$C$7,BD!$A$3:$A$5001,"&lt;="&amp;$B201,BD!$Z$3:$Z$5001,"&lt;&gt;"))))</f>
        <v/>
      </c>
      <c r="S201" s="43" t="str">
        <f>IF(OR($B201="",$A201&gt;$B$9,S$175=""),"",IF(COUNTIFS(BD!$B$3:$B$5001,S$175,BD!$A$3:$A$5001,"&gt;="&amp;$C$7,BD!$A$3:$A$5001,"&lt;="&amp;$B201,BD!$Z$3:$Z$5001,"&lt;&gt;")=0,"",SUMIFS(BD!$Z$3:$Z$5001,BD!$B$3:$B$5001,S$175,BD!$A$3:$A$5001,_xlfn.MAXIFS(BD!$A$3:$A$5001,BD!$B$3:$B$5001,S$175,BD!$A$3:$A$5001,"&gt;="&amp;$C$7,BD!$A$3:$A$5001,"&lt;="&amp;$B201,BD!$Z$3:$Z$5001,"&lt;&gt;"))))</f>
        <v/>
      </c>
      <c r="T201" s="43" t="str">
        <f>IF(OR($B201="",$A201&gt;$B$9,T$175=""),"",IF(COUNTIFS(BD!$B$3:$B$5001,T$175,BD!$A$3:$A$5001,"&gt;="&amp;$C$7,BD!$A$3:$A$5001,"&lt;="&amp;$B201,BD!$Z$3:$Z$5001,"&lt;&gt;")=0,"",SUMIFS(BD!$Z$3:$Z$5001,BD!$B$3:$B$5001,T$175,BD!$A$3:$A$5001,_xlfn.MAXIFS(BD!$A$3:$A$5001,BD!$B$3:$B$5001,T$175,BD!$A$3:$A$5001,"&gt;="&amp;$C$7,BD!$A$3:$A$5001,"&lt;="&amp;$B201,BD!$Z$3:$Z$5001,"&lt;&gt;"))))</f>
        <v/>
      </c>
      <c r="U201" s="43" t="str">
        <f>IF(OR($B201="",$A201&gt;$B$9,U$175=""),"",IF(COUNTIFS(BD!$B$3:$B$5001,U$175,BD!$A$3:$A$5001,"&gt;="&amp;$C$7,BD!$A$3:$A$5001,"&lt;="&amp;$B201,BD!$Z$3:$Z$5001,"&lt;&gt;")=0,"",SUMIFS(BD!$Z$3:$Z$5001,BD!$B$3:$B$5001,U$175,BD!$A$3:$A$5001,_xlfn.MAXIFS(BD!$A$3:$A$5001,BD!$B$3:$B$5001,U$175,BD!$A$3:$A$5001,"&gt;="&amp;$C$7,BD!$A$3:$A$5001,"&lt;="&amp;$B201,BD!$Z$3:$Z$5001,"&lt;&gt;"))))</f>
        <v/>
      </c>
      <c r="V201" s="43" t="str">
        <f>IF(OR($B201="",$A201&gt;$B$9,V$175=""),"",IF(COUNTIFS(BD!$B$3:$B$5001,V$175,BD!$A$3:$A$5001,"&gt;="&amp;$C$7,BD!$A$3:$A$5001,"&lt;="&amp;$B201,BD!$Z$3:$Z$5001,"&lt;&gt;")=0,"",SUMIFS(BD!$Z$3:$Z$5001,BD!$B$3:$B$5001,V$175,BD!$A$3:$A$5001,_xlfn.MAXIFS(BD!$A$3:$A$5001,BD!$B$3:$B$5001,V$175,BD!$A$3:$A$5001,"&gt;="&amp;$C$7,BD!$A$3:$A$5001,"&lt;="&amp;$B201,BD!$Z$3:$Z$5001,"&lt;&gt;"))))</f>
        <v/>
      </c>
    </row>
    <row r="202">
      <c r="A202" s="38">
        <v>27</v>
      </c>
      <c r="B202" s="42">
        <f>$B$38</f>
        <v>46322</v>
      </c>
      <c r="C202" s="43" t="str">
        <f>IF(OR($B202="",$A202&gt;$B$9,C$175=""),"",IF(COUNTIFS(BD!$B$3:$B$5001,C$175,BD!$A$3:$A$5001,"&gt;="&amp;$C$7,BD!$A$3:$A$5001,"&lt;="&amp;$B202,BD!$Z$3:$Z$5001,"&lt;&gt;")=0,"",SUMIFS(BD!$Z$3:$Z$5001,BD!$B$3:$B$5001,C$175,BD!$A$3:$A$5001,_xlfn.MAXIFS(BD!$A$3:$A$5001,BD!$B$3:$B$5001,C$175,BD!$A$3:$A$5001,"&gt;="&amp;$C$7,BD!$A$3:$A$5001,"&lt;="&amp;$B202,BD!$Z$3:$Z$5001,"&lt;&gt;"))))</f>
        <v/>
      </c>
      <c r="D202" s="43" t="str">
        <f>IF(OR($B202="",$A202&gt;$B$9,D$175=""),"",IF(COUNTIFS(BD!$B$3:$B$5001,D$175,BD!$A$3:$A$5001,"&gt;="&amp;$C$7,BD!$A$3:$A$5001,"&lt;="&amp;$B202,BD!$Z$3:$Z$5001,"&lt;&gt;")=0,"",SUMIFS(BD!$Z$3:$Z$5001,BD!$B$3:$B$5001,D$175,BD!$A$3:$A$5001,_xlfn.MAXIFS(BD!$A$3:$A$5001,BD!$B$3:$B$5001,D$175,BD!$A$3:$A$5001,"&gt;="&amp;$C$7,BD!$A$3:$A$5001,"&lt;="&amp;$B202,BD!$Z$3:$Z$5001,"&lt;&gt;"))))</f>
        <v/>
      </c>
      <c r="E202" s="43" t="str">
        <f>IF(OR($B202="",$A202&gt;$B$9,E$175=""),"",IF(COUNTIFS(BD!$B$3:$B$5001,E$175,BD!$A$3:$A$5001,"&gt;="&amp;$C$7,BD!$A$3:$A$5001,"&lt;="&amp;$B202,BD!$Z$3:$Z$5001,"&lt;&gt;")=0,"",SUMIFS(BD!$Z$3:$Z$5001,BD!$B$3:$B$5001,E$175,BD!$A$3:$A$5001,_xlfn.MAXIFS(BD!$A$3:$A$5001,BD!$B$3:$B$5001,E$175,BD!$A$3:$A$5001,"&gt;="&amp;$C$7,BD!$A$3:$A$5001,"&lt;="&amp;$B202,BD!$Z$3:$Z$5001,"&lt;&gt;"))))</f>
        <v/>
      </c>
      <c r="F202" s="43" t="str">
        <f>IF(OR($B202="",$A202&gt;$B$9,F$175=""),"",IF(COUNTIFS(BD!$B$3:$B$5001,F$175,BD!$A$3:$A$5001,"&gt;="&amp;$C$7,BD!$A$3:$A$5001,"&lt;="&amp;$B202,BD!$Z$3:$Z$5001,"&lt;&gt;")=0,"",SUMIFS(BD!$Z$3:$Z$5001,BD!$B$3:$B$5001,F$175,BD!$A$3:$A$5001,_xlfn.MAXIFS(BD!$A$3:$A$5001,BD!$B$3:$B$5001,F$175,BD!$A$3:$A$5001,"&gt;="&amp;$C$7,BD!$A$3:$A$5001,"&lt;="&amp;$B202,BD!$Z$3:$Z$5001,"&lt;&gt;"))))</f>
        <v/>
      </c>
      <c r="G202" s="43" t="str">
        <f>IF(OR($B202="",$A202&gt;$B$9,G$175=""),"",IF(COUNTIFS(BD!$B$3:$B$5001,G$175,BD!$A$3:$A$5001,"&gt;="&amp;$C$7,BD!$A$3:$A$5001,"&lt;="&amp;$B202,BD!$Z$3:$Z$5001,"&lt;&gt;")=0,"",SUMIFS(BD!$Z$3:$Z$5001,BD!$B$3:$B$5001,G$175,BD!$A$3:$A$5001,_xlfn.MAXIFS(BD!$A$3:$A$5001,BD!$B$3:$B$5001,G$175,BD!$A$3:$A$5001,"&gt;="&amp;$C$7,BD!$A$3:$A$5001,"&lt;="&amp;$B202,BD!$Z$3:$Z$5001,"&lt;&gt;"))))</f>
        <v/>
      </c>
      <c r="H202" s="43" t="str">
        <f>IF(OR($B202="",$A202&gt;$B$9,H$175=""),"",IF(COUNTIFS(BD!$B$3:$B$5001,H$175,BD!$A$3:$A$5001,"&gt;="&amp;$C$7,BD!$A$3:$A$5001,"&lt;="&amp;$B202,BD!$Z$3:$Z$5001,"&lt;&gt;")=0,"",SUMIFS(BD!$Z$3:$Z$5001,BD!$B$3:$B$5001,H$175,BD!$A$3:$A$5001,_xlfn.MAXIFS(BD!$A$3:$A$5001,BD!$B$3:$B$5001,H$175,BD!$A$3:$A$5001,"&gt;="&amp;$C$7,BD!$A$3:$A$5001,"&lt;="&amp;$B202,BD!$Z$3:$Z$5001,"&lt;&gt;"))))</f>
        <v/>
      </c>
      <c r="I202" s="43" t="str">
        <f>IF(OR($B202="",$A202&gt;$B$9,I$175=""),"",IF(COUNTIFS(BD!$B$3:$B$5001,I$175,BD!$A$3:$A$5001,"&gt;="&amp;$C$7,BD!$A$3:$A$5001,"&lt;="&amp;$B202,BD!$Z$3:$Z$5001,"&lt;&gt;")=0,"",SUMIFS(BD!$Z$3:$Z$5001,BD!$B$3:$B$5001,I$175,BD!$A$3:$A$5001,_xlfn.MAXIFS(BD!$A$3:$A$5001,BD!$B$3:$B$5001,I$175,BD!$A$3:$A$5001,"&gt;="&amp;$C$7,BD!$A$3:$A$5001,"&lt;="&amp;$B202,BD!$Z$3:$Z$5001,"&lt;&gt;"))))</f>
        <v/>
      </c>
      <c r="J202" s="43" t="str">
        <f>IF(OR($B202="",$A202&gt;$B$9,J$175=""),"",IF(COUNTIFS(BD!$B$3:$B$5001,J$175,BD!$A$3:$A$5001,"&gt;="&amp;$C$7,BD!$A$3:$A$5001,"&lt;="&amp;$B202,BD!$Z$3:$Z$5001,"&lt;&gt;")=0,"",SUMIFS(BD!$Z$3:$Z$5001,BD!$B$3:$B$5001,J$175,BD!$A$3:$A$5001,_xlfn.MAXIFS(BD!$A$3:$A$5001,BD!$B$3:$B$5001,J$175,BD!$A$3:$A$5001,"&gt;="&amp;$C$7,BD!$A$3:$A$5001,"&lt;="&amp;$B202,BD!$Z$3:$Z$5001,"&lt;&gt;"))))</f>
        <v/>
      </c>
      <c r="K202" s="43" t="str">
        <f>IF(OR($B202="",$A202&gt;$B$9,K$175=""),"",IF(COUNTIFS(BD!$B$3:$B$5001,K$175,BD!$A$3:$A$5001,"&gt;="&amp;$C$7,BD!$A$3:$A$5001,"&lt;="&amp;$B202,BD!$Z$3:$Z$5001,"&lt;&gt;")=0,"",SUMIFS(BD!$Z$3:$Z$5001,BD!$B$3:$B$5001,K$175,BD!$A$3:$A$5001,_xlfn.MAXIFS(BD!$A$3:$A$5001,BD!$B$3:$B$5001,K$175,BD!$A$3:$A$5001,"&gt;="&amp;$C$7,BD!$A$3:$A$5001,"&lt;="&amp;$B202,BD!$Z$3:$Z$5001,"&lt;&gt;"))))</f>
        <v/>
      </c>
      <c r="L202" s="43" t="str">
        <f>IF(OR($B202="",$A202&gt;$B$9,L$175=""),"",IF(COUNTIFS(BD!$B$3:$B$5001,L$175,BD!$A$3:$A$5001,"&gt;="&amp;$C$7,BD!$A$3:$A$5001,"&lt;="&amp;$B202,BD!$Z$3:$Z$5001,"&lt;&gt;")=0,"",SUMIFS(BD!$Z$3:$Z$5001,BD!$B$3:$B$5001,L$175,BD!$A$3:$A$5001,_xlfn.MAXIFS(BD!$A$3:$A$5001,BD!$B$3:$B$5001,L$175,BD!$A$3:$A$5001,"&gt;="&amp;$C$7,BD!$A$3:$A$5001,"&lt;="&amp;$B202,BD!$Z$3:$Z$5001,"&lt;&gt;"))))</f>
        <v/>
      </c>
      <c r="M202" s="43" t="str">
        <f>IF(OR($B202="",$A202&gt;$B$9,M$175=""),"",IF(COUNTIFS(BD!$B$3:$B$5001,M$175,BD!$A$3:$A$5001,"&gt;="&amp;$C$7,BD!$A$3:$A$5001,"&lt;="&amp;$B202,BD!$Z$3:$Z$5001,"&lt;&gt;")=0,"",SUMIFS(BD!$Z$3:$Z$5001,BD!$B$3:$B$5001,M$175,BD!$A$3:$A$5001,_xlfn.MAXIFS(BD!$A$3:$A$5001,BD!$B$3:$B$5001,M$175,BD!$A$3:$A$5001,"&gt;="&amp;$C$7,BD!$A$3:$A$5001,"&lt;="&amp;$B202,BD!$Z$3:$Z$5001,"&lt;&gt;"))))</f>
        <v/>
      </c>
      <c r="N202" s="43" t="str">
        <f>IF(OR($B202="",$A202&gt;$B$9,N$175=""),"",IF(COUNTIFS(BD!$B$3:$B$5001,N$175,BD!$A$3:$A$5001,"&gt;="&amp;$C$7,BD!$A$3:$A$5001,"&lt;="&amp;$B202,BD!$Z$3:$Z$5001,"&lt;&gt;")=0,"",SUMIFS(BD!$Z$3:$Z$5001,BD!$B$3:$B$5001,N$175,BD!$A$3:$A$5001,_xlfn.MAXIFS(BD!$A$3:$A$5001,BD!$B$3:$B$5001,N$175,BD!$A$3:$A$5001,"&gt;="&amp;$C$7,BD!$A$3:$A$5001,"&lt;="&amp;$B202,BD!$Z$3:$Z$5001,"&lt;&gt;"))))</f>
        <v/>
      </c>
      <c r="O202" s="43" t="str">
        <f>IF(OR($B202="",$A202&gt;$B$9,O$175=""),"",IF(COUNTIFS(BD!$B$3:$B$5001,O$175,BD!$A$3:$A$5001,"&gt;="&amp;$C$7,BD!$A$3:$A$5001,"&lt;="&amp;$B202,BD!$Z$3:$Z$5001,"&lt;&gt;")=0,"",SUMIFS(BD!$Z$3:$Z$5001,BD!$B$3:$B$5001,O$175,BD!$A$3:$A$5001,_xlfn.MAXIFS(BD!$A$3:$A$5001,BD!$B$3:$B$5001,O$175,BD!$A$3:$A$5001,"&gt;="&amp;$C$7,BD!$A$3:$A$5001,"&lt;="&amp;$B202,BD!$Z$3:$Z$5001,"&lt;&gt;"))))</f>
        <v/>
      </c>
      <c r="P202" s="43" t="str">
        <f>IF(OR($B202="",$A202&gt;$B$9,P$175=""),"",IF(COUNTIFS(BD!$B$3:$B$5001,P$175,BD!$A$3:$A$5001,"&gt;="&amp;$C$7,BD!$A$3:$A$5001,"&lt;="&amp;$B202,BD!$Z$3:$Z$5001,"&lt;&gt;")=0,"",SUMIFS(BD!$Z$3:$Z$5001,BD!$B$3:$B$5001,P$175,BD!$A$3:$A$5001,_xlfn.MAXIFS(BD!$A$3:$A$5001,BD!$B$3:$B$5001,P$175,BD!$A$3:$A$5001,"&gt;="&amp;$C$7,BD!$A$3:$A$5001,"&lt;="&amp;$B202,BD!$Z$3:$Z$5001,"&lt;&gt;"))))</f>
        <v/>
      </c>
      <c r="Q202" s="43" t="str">
        <f>IF(OR($B202="",$A202&gt;$B$9,Q$175=""),"",IF(COUNTIFS(BD!$B$3:$B$5001,Q$175,BD!$A$3:$A$5001,"&gt;="&amp;$C$7,BD!$A$3:$A$5001,"&lt;="&amp;$B202,BD!$Z$3:$Z$5001,"&lt;&gt;")=0,"",SUMIFS(BD!$Z$3:$Z$5001,BD!$B$3:$B$5001,Q$175,BD!$A$3:$A$5001,_xlfn.MAXIFS(BD!$A$3:$A$5001,BD!$B$3:$B$5001,Q$175,BD!$A$3:$A$5001,"&gt;="&amp;$C$7,BD!$A$3:$A$5001,"&lt;="&amp;$B202,BD!$Z$3:$Z$5001,"&lt;&gt;"))))</f>
        <v/>
      </c>
      <c r="R202" s="43" t="str">
        <f>IF(OR($B202="",$A202&gt;$B$9,R$175=""),"",IF(COUNTIFS(BD!$B$3:$B$5001,R$175,BD!$A$3:$A$5001,"&gt;="&amp;$C$7,BD!$A$3:$A$5001,"&lt;="&amp;$B202,BD!$Z$3:$Z$5001,"&lt;&gt;")=0,"",SUMIFS(BD!$Z$3:$Z$5001,BD!$B$3:$B$5001,R$175,BD!$A$3:$A$5001,_xlfn.MAXIFS(BD!$A$3:$A$5001,BD!$B$3:$B$5001,R$175,BD!$A$3:$A$5001,"&gt;="&amp;$C$7,BD!$A$3:$A$5001,"&lt;="&amp;$B202,BD!$Z$3:$Z$5001,"&lt;&gt;"))))</f>
        <v/>
      </c>
      <c r="S202" s="43" t="str">
        <f>IF(OR($B202="",$A202&gt;$B$9,S$175=""),"",IF(COUNTIFS(BD!$B$3:$B$5001,S$175,BD!$A$3:$A$5001,"&gt;="&amp;$C$7,BD!$A$3:$A$5001,"&lt;="&amp;$B202,BD!$Z$3:$Z$5001,"&lt;&gt;")=0,"",SUMIFS(BD!$Z$3:$Z$5001,BD!$B$3:$B$5001,S$175,BD!$A$3:$A$5001,_xlfn.MAXIFS(BD!$A$3:$A$5001,BD!$B$3:$B$5001,S$175,BD!$A$3:$A$5001,"&gt;="&amp;$C$7,BD!$A$3:$A$5001,"&lt;="&amp;$B202,BD!$Z$3:$Z$5001,"&lt;&gt;"))))</f>
        <v/>
      </c>
      <c r="T202" s="43" t="str">
        <f>IF(OR($B202="",$A202&gt;$B$9,T$175=""),"",IF(COUNTIFS(BD!$B$3:$B$5001,T$175,BD!$A$3:$A$5001,"&gt;="&amp;$C$7,BD!$A$3:$A$5001,"&lt;="&amp;$B202,BD!$Z$3:$Z$5001,"&lt;&gt;")=0,"",SUMIFS(BD!$Z$3:$Z$5001,BD!$B$3:$B$5001,T$175,BD!$A$3:$A$5001,_xlfn.MAXIFS(BD!$A$3:$A$5001,BD!$B$3:$B$5001,T$175,BD!$A$3:$A$5001,"&gt;="&amp;$C$7,BD!$A$3:$A$5001,"&lt;="&amp;$B202,BD!$Z$3:$Z$5001,"&lt;&gt;"))))</f>
        <v/>
      </c>
      <c r="U202" s="43" t="str">
        <f>IF(OR($B202="",$A202&gt;$B$9,U$175=""),"",IF(COUNTIFS(BD!$B$3:$B$5001,U$175,BD!$A$3:$A$5001,"&gt;="&amp;$C$7,BD!$A$3:$A$5001,"&lt;="&amp;$B202,BD!$Z$3:$Z$5001,"&lt;&gt;")=0,"",SUMIFS(BD!$Z$3:$Z$5001,BD!$B$3:$B$5001,U$175,BD!$A$3:$A$5001,_xlfn.MAXIFS(BD!$A$3:$A$5001,BD!$B$3:$B$5001,U$175,BD!$A$3:$A$5001,"&gt;="&amp;$C$7,BD!$A$3:$A$5001,"&lt;="&amp;$B202,BD!$Z$3:$Z$5001,"&lt;&gt;"))))</f>
        <v/>
      </c>
      <c r="V202" s="43" t="str">
        <f>IF(OR($B202="",$A202&gt;$B$9,V$175=""),"",IF(COUNTIFS(BD!$B$3:$B$5001,V$175,BD!$A$3:$A$5001,"&gt;="&amp;$C$7,BD!$A$3:$A$5001,"&lt;="&amp;$B202,BD!$Z$3:$Z$5001,"&lt;&gt;")=0,"",SUMIFS(BD!$Z$3:$Z$5001,BD!$B$3:$B$5001,V$175,BD!$A$3:$A$5001,_xlfn.MAXIFS(BD!$A$3:$A$5001,BD!$B$3:$B$5001,V$175,BD!$A$3:$A$5001,"&gt;="&amp;$C$7,BD!$A$3:$A$5001,"&lt;="&amp;$B202,BD!$Z$3:$Z$5001,"&lt;&gt;"))))</f>
        <v/>
      </c>
    </row>
    <row r="203">
      <c r="A203" s="38">
        <v>28</v>
      </c>
      <c r="B203" s="42">
        <f>$B$39</f>
        <v>46323</v>
      </c>
      <c r="C203" s="43" t="str">
        <f>IF(OR($B203="",$A203&gt;$B$9,C$175=""),"",IF(COUNTIFS(BD!$B$3:$B$5001,C$175,BD!$A$3:$A$5001,"&gt;="&amp;$C$7,BD!$A$3:$A$5001,"&lt;="&amp;$B203,BD!$Z$3:$Z$5001,"&lt;&gt;")=0,"",SUMIFS(BD!$Z$3:$Z$5001,BD!$B$3:$B$5001,C$175,BD!$A$3:$A$5001,_xlfn.MAXIFS(BD!$A$3:$A$5001,BD!$B$3:$B$5001,C$175,BD!$A$3:$A$5001,"&gt;="&amp;$C$7,BD!$A$3:$A$5001,"&lt;="&amp;$B203,BD!$Z$3:$Z$5001,"&lt;&gt;"))))</f>
        <v/>
      </c>
      <c r="D203" s="43" t="str">
        <f>IF(OR($B203="",$A203&gt;$B$9,D$175=""),"",IF(COUNTIFS(BD!$B$3:$B$5001,D$175,BD!$A$3:$A$5001,"&gt;="&amp;$C$7,BD!$A$3:$A$5001,"&lt;="&amp;$B203,BD!$Z$3:$Z$5001,"&lt;&gt;")=0,"",SUMIFS(BD!$Z$3:$Z$5001,BD!$B$3:$B$5001,D$175,BD!$A$3:$A$5001,_xlfn.MAXIFS(BD!$A$3:$A$5001,BD!$B$3:$B$5001,D$175,BD!$A$3:$A$5001,"&gt;="&amp;$C$7,BD!$A$3:$A$5001,"&lt;="&amp;$B203,BD!$Z$3:$Z$5001,"&lt;&gt;"))))</f>
        <v/>
      </c>
      <c r="E203" s="43" t="str">
        <f>IF(OR($B203="",$A203&gt;$B$9,E$175=""),"",IF(COUNTIFS(BD!$B$3:$B$5001,E$175,BD!$A$3:$A$5001,"&gt;="&amp;$C$7,BD!$A$3:$A$5001,"&lt;="&amp;$B203,BD!$Z$3:$Z$5001,"&lt;&gt;")=0,"",SUMIFS(BD!$Z$3:$Z$5001,BD!$B$3:$B$5001,E$175,BD!$A$3:$A$5001,_xlfn.MAXIFS(BD!$A$3:$A$5001,BD!$B$3:$B$5001,E$175,BD!$A$3:$A$5001,"&gt;="&amp;$C$7,BD!$A$3:$A$5001,"&lt;="&amp;$B203,BD!$Z$3:$Z$5001,"&lt;&gt;"))))</f>
        <v/>
      </c>
      <c r="F203" s="43" t="str">
        <f>IF(OR($B203="",$A203&gt;$B$9,F$175=""),"",IF(COUNTIFS(BD!$B$3:$B$5001,F$175,BD!$A$3:$A$5001,"&gt;="&amp;$C$7,BD!$A$3:$A$5001,"&lt;="&amp;$B203,BD!$Z$3:$Z$5001,"&lt;&gt;")=0,"",SUMIFS(BD!$Z$3:$Z$5001,BD!$B$3:$B$5001,F$175,BD!$A$3:$A$5001,_xlfn.MAXIFS(BD!$A$3:$A$5001,BD!$B$3:$B$5001,F$175,BD!$A$3:$A$5001,"&gt;="&amp;$C$7,BD!$A$3:$A$5001,"&lt;="&amp;$B203,BD!$Z$3:$Z$5001,"&lt;&gt;"))))</f>
        <v/>
      </c>
      <c r="G203" s="43" t="str">
        <f>IF(OR($B203="",$A203&gt;$B$9,G$175=""),"",IF(COUNTIFS(BD!$B$3:$B$5001,G$175,BD!$A$3:$A$5001,"&gt;="&amp;$C$7,BD!$A$3:$A$5001,"&lt;="&amp;$B203,BD!$Z$3:$Z$5001,"&lt;&gt;")=0,"",SUMIFS(BD!$Z$3:$Z$5001,BD!$B$3:$B$5001,G$175,BD!$A$3:$A$5001,_xlfn.MAXIFS(BD!$A$3:$A$5001,BD!$B$3:$B$5001,G$175,BD!$A$3:$A$5001,"&gt;="&amp;$C$7,BD!$A$3:$A$5001,"&lt;="&amp;$B203,BD!$Z$3:$Z$5001,"&lt;&gt;"))))</f>
        <v/>
      </c>
      <c r="H203" s="43" t="str">
        <f>IF(OR($B203="",$A203&gt;$B$9,H$175=""),"",IF(COUNTIFS(BD!$B$3:$B$5001,H$175,BD!$A$3:$A$5001,"&gt;="&amp;$C$7,BD!$A$3:$A$5001,"&lt;="&amp;$B203,BD!$Z$3:$Z$5001,"&lt;&gt;")=0,"",SUMIFS(BD!$Z$3:$Z$5001,BD!$B$3:$B$5001,H$175,BD!$A$3:$A$5001,_xlfn.MAXIFS(BD!$A$3:$A$5001,BD!$B$3:$B$5001,H$175,BD!$A$3:$A$5001,"&gt;="&amp;$C$7,BD!$A$3:$A$5001,"&lt;="&amp;$B203,BD!$Z$3:$Z$5001,"&lt;&gt;"))))</f>
        <v/>
      </c>
      <c r="I203" s="43" t="str">
        <f>IF(OR($B203="",$A203&gt;$B$9,I$175=""),"",IF(COUNTIFS(BD!$B$3:$B$5001,I$175,BD!$A$3:$A$5001,"&gt;="&amp;$C$7,BD!$A$3:$A$5001,"&lt;="&amp;$B203,BD!$Z$3:$Z$5001,"&lt;&gt;")=0,"",SUMIFS(BD!$Z$3:$Z$5001,BD!$B$3:$B$5001,I$175,BD!$A$3:$A$5001,_xlfn.MAXIFS(BD!$A$3:$A$5001,BD!$B$3:$B$5001,I$175,BD!$A$3:$A$5001,"&gt;="&amp;$C$7,BD!$A$3:$A$5001,"&lt;="&amp;$B203,BD!$Z$3:$Z$5001,"&lt;&gt;"))))</f>
        <v/>
      </c>
      <c r="J203" s="43" t="str">
        <f>IF(OR($B203="",$A203&gt;$B$9,J$175=""),"",IF(COUNTIFS(BD!$B$3:$B$5001,J$175,BD!$A$3:$A$5001,"&gt;="&amp;$C$7,BD!$A$3:$A$5001,"&lt;="&amp;$B203,BD!$Z$3:$Z$5001,"&lt;&gt;")=0,"",SUMIFS(BD!$Z$3:$Z$5001,BD!$B$3:$B$5001,J$175,BD!$A$3:$A$5001,_xlfn.MAXIFS(BD!$A$3:$A$5001,BD!$B$3:$B$5001,J$175,BD!$A$3:$A$5001,"&gt;="&amp;$C$7,BD!$A$3:$A$5001,"&lt;="&amp;$B203,BD!$Z$3:$Z$5001,"&lt;&gt;"))))</f>
        <v/>
      </c>
      <c r="K203" s="43" t="str">
        <f>IF(OR($B203="",$A203&gt;$B$9,K$175=""),"",IF(COUNTIFS(BD!$B$3:$B$5001,K$175,BD!$A$3:$A$5001,"&gt;="&amp;$C$7,BD!$A$3:$A$5001,"&lt;="&amp;$B203,BD!$Z$3:$Z$5001,"&lt;&gt;")=0,"",SUMIFS(BD!$Z$3:$Z$5001,BD!$B$3:$B$5001,K$175,BD!$A$3:$A$5001,_xlfn.MAXIFS(BD!$A$3:$A$5001,BD!$B$3:$B$5001,K$175,BD!$A$3:$A$5001,"&gt;="&amp;$C$7,BD!$A$3:$A$5001,"&lt;="&amp;$B203,BD!$Z$3:$Z$5001,"&lt;&gt;"))))</f>
        <v/>
      </c>
      <c r="L203" s="43" t="str">
        <f>IF(OR($B203="",$A203&gt;$B$9,L$175=""),"",IF(COUNTIFS(BD!$B$3:$B$5001,L$175,BD!$A$3:$A$5001,"&gt;="&amp;$C$7,BD!$A$3:$A$5001,"&lt;="&amp;$B203,BD!$Z$3:$Z$5001,"&lt;&gt;")=0,"",SUMIFS(BD!$Z$3:$Z$5001,BD!$B$3:$B$5001,L$175,BD!$A$3:$A$5001,_xlfn.MAXIFS(BD!$A$3:$A$5001,BD!$B$3:$B$5001,L$175,BD!$A$3:$A$5001,"&gt;="&amp;$C$7,BD!$A$3:$A$5001,"&lt;="&amp;$B203,BD!$Z$3:$Z$5001,"&lt;&gt;"))))</f>
        <v/>
      </c>
      <c r="M203" s="43" t="str">
        <f>IF(OR($B203="",$A203&gt;$B$9,M$175=""),"",IF(COUNTIFS(BD!$B$3:$B$5001,M$175,BD!$A$3:$A$5001,"&gt;="&amp;$C$7,BD!$A$3:$A$5001,"&lt;="&amp;$B203,BD!$Z$3:$Z$5001,"&lt;&gt;")=0,"",SUMIFS(BD!$Z$3:$Z$5001,BD!$B$3:$B$5001,M$175,BD!$A$3:$A$5001,_xlfn.MAXIFS(BD!$A$3:$A$5001,BD!$B$3:$B$5001,M$175,BD!$A$3:$A$5001,"&gt;="&amp;$C$7,BD!$A$3:$A$5001,"&lt;="&amp;$B203,BD!$Z$3:$Z$5001,"&lt;&gt;"))))</f>
        <v/>
      </c>
      <c r="N203" s="43" t="str">
        <f>IF(OR($B203="",$A203&gt;$B$9,N$175=""),"",IF(COUNTIFS(BD!$B$3:$B$5001,N$175,BD!$A$3:$A$5001,"&gt;="&amp;$C$7,BD!$A$3:$A$5001,"&lt;="&amp;$B203,BD!$Z$3:$Z$5001,"&lt;&gt;")=0,"",SUMIFS(BD!$Z$3:$Z$5001,BD!$B$3:$B$5001,N$175,BD!$A$3:$A$5001,_xlfn.MAXIFS(BD!$A$3:$A$5001,BD!$B$3:$B$5001,N$175,BD!$A$3:$A$5001,"&gt;="&amp;$C$7,BD!$A$3:$A$5001,"&lt;="&amp;$B203,BD!$Z$3:$Z$5001,"&lt;&gt;"))))</f>
        <v/>
      </c>
      <c r="O203" s="43" t="str">
        <f>IF(OR($B203="",$A203&gt;$B$9,O$175=""),"",IF(COUNTIFS(BD!$B$3:$B$5001,O$175,BD!$A$3:$A$5001,"&gt;="&amp;$C$7,BD!$A$3:$A$5001,"&lt;="&amp;$B203,BD!$Z$3:$Z$5001,"&lt;&gt;")=0,"",SUMIFS(BD!$Z$3:$Z$5001,BD!$B$3:$B$5001,O$175,BD!$A$3:$A$5001,_xlfn.MAXIFS(BD!$A$3:$A$5001,BD!$B$3:$B$5001,O$175,BD!$A$3:$A$5001,"&gt;="&amp;$C$7,BD!$A$3:$A$5001,"&lt;="&amp;$B203,BD!$Z$3:$Z$5001,"&lt;&gt;"))))</f>
        <v/>
      </c>
      <c r="P203" s="43" t="str">
        <f>IF(OR($B203="",$A203&gt;$B$9,P$175=""),"",IF(COUNTIFS(BD!$B$3:$B$5001,P$175,BD!$A$3:$A$5001,"&gt;="&amp;$C$7,BD!$A$3:$A$5001,"&lt;="&amp;$B203,BD!$Z$3:$Z$5001,"&lt;&gt;")=0,"",SUMIFS(BD!$Z$3:$Z$5001,BD!$B$3:$B$5001,P$175,BD!$A$3:$A$5001,_xlfn.MAXIFS(BD!$A$3:$A$5001,BD!$B$3:$B$5001,P$175,BD!$A$3:$A$5001,"&gt;="&amp;$C$7,BD!$A$3:$A$5001,"&lt;="&amp;$B203,BD!$Z$3:$Z$5001,"&lt;&gt;"))))</f>
        <v/>
      </c>
      <c r="Q203" s="43" t="str">
        <f>IF(OR($B203="",$A203&gt;$B$9,Q$175=""),"",IF(COUNTIFS(BD!$B$3:$B$5001,Q$175,BD!$A$3:$A$5001,"&gt;="&amp;$C$7,BD!$A$3:$A$5001,"&lt;="&amp;$B203,BD!$Z$3:$Z$5001,"&lt;&gt;")=0,"",SUMIFS(BD!$Z$3:$Z$5001,BD!$B$3:$B$5001,Q$175,BD!$A$3:$A$5001,_xlfn.MAXIFS(BD!$A$3:$A$5001,BD!$B$3:$B$5001,Q$175,BD!$A$3:$A$5001,"&gt;="&amp;$C$7,BD!$A$3:$A$5001,"&lt;="&amp;$B203,BD!$Z$3:$Z$5001,"&lt;&gt;"))))</f>
        <v/>
      </c>
      <c r="R203" s="43" t="str">
        <f>IF(OR($B203="",$A203&gt;$B$9,R$175=""),"",IF(COUNTIFS(BD!$B$3:$B$5001,R$175,BD!$A$3:$A$5001,"&gt;="&amp;$C$7,BD!$A$3:$A$5001,"&lt;="&amp;$B203,BD!$Z$3:$Z$5001,"&lt;&gt;")=0,"",SUMIFS(BD!$Z$3:$Z$5001,BD!$B$3:$B$5001,R$175,BD!$A$3:$A$5001,_xlfn.MAXIFS(BD!$A$3:$A$5001,BD!$B$3:$B$5001,R$175,BD!$A$3:$A$5001,"&gt;="&amp;$C$7,BD!$A$3:$A$5001,"&lt;="&amp;$B203,BD!$Z$3:$Z$5001,"&lt;&gt;"))))</f>
        <v/>
      </c>
      <c r="S203" s="43" t="str">
        <f>IF(OR($B203="",$A203&gt;$B$9,S$175=""),"",IF(COUNTIFS(BD!$B$3:$B$5001,S$175,BD!$A$3:$A$5001,"&gt;="&amp;$C$7,BD!$A$3:$A$5001,"&lt;="&amp;$B203,BD!$Z$3:$Z$5001,"&lt;&gt;")=0,"",SUMIFS(BD!$Z$3:$Z$5001,BD!$B$3:$B$5001,S$175,BD!$A$3:$A$5001,_xlfn.MAXIFS(BD!$A$3:$A$5001,BD!$B$3:$B$5001,S$175,BD!$A$3:$A$5001,"&gt;="&amp;$C$7,BD!$A$3:$A$5001,"&lt;="&amp;$B203,BD!$Z$3:$Z$5001,"&lt;&gt;"))))</f>
        <v/>
      </c>
      <c r="T203" s="43" t="str">
        <f>IF(OR($B203="",$A203&gt;$B$9,T$175=""),"",IF(COUNTIFS(BD!$B$3:$B$5001,T$175,BD!$A$3:$A$5001,"&gt;="&amp;$C$7,BD!$A$3:$A$5001,"&lt;="&amp;$B203,BD!$Z$3:$Z$5001,"&lt;&gt;")=0,"",SUMIFS(BD!$Z$3:$Z$5001,BD!$B$3:$B$5001,T$175,BD!$A$3:$A$5001,_xlfn.MAXIFS(BD!$A$3:$A$5001,BD!$B$3:$B$5001,T$175,BD!$A$3:$A$5001,"&gt;="&amp;$C$7,BD!$A$3:$A$5001,"&lt;="&amp;$B203,BD!$Z$3:$Z$5001,"&lt;&gt;"))))</f>
        <v/>
      </c>
      <c r="U203" s="43" t="str">
        <f>IF(OR($B203="",$A203&gt;$B$9,U$175=""),"",IF(COUNTIFS(BD!$B$3:$B$5001,U$175,BD!$A$3:$A$5001,"&gt;="&amp;$C$7,BD!$A$3:$A$5001,"&lt;="&amp;$B203,BD!$Z$3:$Z$5001,"&lt;&gt;")=0,"",SUMIFS(BD!$Z$3:$Z$5001,BD!$B$3:$B$5001,U$175,BD!$A$3:$A$5001,_xlfn.MAXIFS(BD!$A$3:$A$5001,BD!$B$3:$B$5001,U$175,BD!$A$3:$A$5001,"&gt;="&amp;$C$7,BD!$A$3:$A$5001,"&lt;="&amp;$B203,BD!$Z$3:$Z$5001,"&lt;&gt;"))))</f>
        <v/>
      </c>
      <c r="V203" s="43" t="str">
        <f>IF(OR($B203="",$A203&gt;$B$9,V$175=""),"",IF(COUNTIFS(BD!$B$3:$B$5001,V$175,BD!$A$3:$A$5001,"&gt;="&amp;$C$7,BD!$A$3:$A$5001,"&lt;="&amp;$B203,BD!$Z$3:$Z$5001,"&lt;&gt;")=0,"",SUMIFS(BD!$Z$3:$Z$5001,BD!$B$3:$B$5001,V$175,BD!$A$3:$A$5001,_xlfn.MAXIFS(BD!$A$3:$A$5001,BD!$B$3:$B$5001,V$175,BD!$A$3:$A$5001,"&gt;="&amp;$C$7,BD!$A$3:$A$5001,"&lt;="&amp;$B203,BD!$Z$3:$Z$5001,"&lt;&gt;"))))</f>
        <v/>
      </c>
    </row>
    <row r="204">
      <c r="A204" s="38">
        <v>29</v>
      </c>
      <c r="B204" s="42">
        <f>$B$40</f>
        <v>46324</v>
      </c>
      <c r="C204" s="43" t="str">
        <f>IF(OR($B204="",$A204&gt;$B$9,C$175=""),"",IF(COUNTIFS(BD!$B$3:$B$5001,C$175,BD!$A$3:$A$5001,"&gt;="&amp;$C$7,BD!$A$3:$A$5001,"&lt;="&amp;$B204,BD!$Z$3:$Z$5001,"&lt;&gt;")=0,"",SUMIFS(BD!$Z$3:$Z$5001,BD!$B$3:$B$5001,C$175,BD!$A$3:$A$5001,_xlfn.MAXIFS(BD!$A$3:$A$5001,BD!$B$3:$B$5001,C$175,BD!$A$3:$A$5001,"&gt;="&amp;$C$7,BD!$A$3:$A$5001,"&lt;="&amp;$B204,BD!$Z$3:$Z$5001,"&lt;&gt;"))))</f>
        <v/>
      </c>
      <c r="D204" s="43" t="str">
        <f>IF(OR($B204="",$A204&gt;$B$9,D$175=""),"",IF(COUNTIFS(BD!$B$3:$B$5001,D$175,BD!$A$3:$A$5001,"&gt;="&amp;$C$7,BD!$A$3:$A$5001,"&lt;="&amp;$B204,BD!$Z$3:$Z$5001,"&lt;&gt;")=0,"",SUMIFS(BD!$Z$3:$Z$5001,BD!$B$3:$B$5001,D$175,BD!$A$3:$A$5001,_xlfn.MAXIFS(BD!$A$3:$A$5001,BD!$B$3:$B$5001,D$175,BD!$A$3:$A$5001,"&gt;="&amp;$C$7,BD!$A$3:$A$5001,"&lt;="&amp;$B204,BD!$Z$3:$Z$5001,"&lt;&gt;"))))</f>
        <v/>
      </c>
      <c r="E204" s="43" t="str">
        <f>IF(OR($B204="",$A204&gt;$B$9,E$175=""),"",IF(COUNTIFS(BD!$B$3:$B$5001,E$175,BD!$A$3:$A$5001,"&gt;="&amp;$C$7,BD!$A$3:$A$5001,"&lt;="&amp;$B204,BD!$Z$3:$Z$5001,"&lt;&gt;")=0,"",SUMIFS(BD!$Z$3:$Z$5001,BD!$B$3:$B$5001,E$175,BD!$A$3:$A$5001,_xlfn.MAXIFS(BD!$A$3:$A$5001,BD!$B$3:$B$5001,E$175,BD!$A$3:$A$5001,"&gt;="&amp;$C$7,BD!$A$3:$A$5001,"&lt;="&amp;$B204,BD!$Z$3:$Z$5001,"&lt;&gt;"))))</f>
        <v/>
      </c>
      <c r="F204" s="43" t="str">
        <f>IF(OR($B204="",$A204&gt;$B$9,F$175=""),"",IF(COUNTIFS(BD!$B$3:$B$5001,F$175,BD!$A$3:$A$5001,"&gt;="&amp;$C$7,BD!$A$3:$A$5001,"&lt;="&amp;$B204,BD!$Z$3:$Z$5001,"&lt;&gt;")=0,"",SUMIFS(BD!$Z$3:$Z$5001,BD!$B$3:$B$5001,F$175,BD!$A$3:$A$5001,_xlfn.MAXIFS(BD!$A$3:$A$5001,BD!$B$3:$B$5001,F$175,BD!$A$3:$A$5001,"&gt;="&amp;$C$7,BD!$A$3:$A$5001,"&lt;="&amp;$B204,BD!$Z$3:$Z$5001,"&lt;&gt;"))))</f>
        <v/>
      </c>
      <c r="G204" s="43" t="str">
        <f>IF(OR($B204="",$A204&gt;$B$9,G$175=""),"",IF(COUNTIFS(BD!$B$3:$B$5001,G$175,BD!$A$3:$A$5001,"&gt;="&amp;$C$7,BD!$A$3:$A$5001,"&lt;="&amp;$B204,BD!$Z$3:$Z$5001,"&lt;&gt;")=0,"",SUMIFS(BD!$Z$3:$Z$5001,BD!$B$3:$B$5001,G$175,BD!$A$3:$A$5001,_xlfn.MAXIFS(BD!$A$3:$A$5001,BD!$B$3:$B$5001,G$175,BD!$A$3:$A$5001,"&gt;="&amp;$C$7,BD!$A$3:$A$5001,"&lt;="&amp;$B204,BD!$Z$3:$Z$5001,"&lt;&gt;"))))</f>
        <v/>
      </c>
      <c r="H204" s="43" t="str">
        <f>IF(OR($B204="",$A204&gt;$B$9,H$175=""),"",IF(COUNTIFS(BD!$B$3:$B$5001,H$175,BD!$A$3:$A$5001,"&gt;="&amp;$C$7,BD!$A$3:$A$5001,"&lt;="&amp;$B204,BD!$Z$3:$Z$5001,"&lt;&gt;")=0,"",SUMIFS(BD!$Z$3:$Z$5001,BD!$B$3:$B$5001,H$175,BD!$A$3:$A$5001,_xlfn.MAXIFS(BD!$A$3:$A$5001,BD!$B$3:$B$5001,H$175,BD!$A$3:$A$5001,"&gt;="&amp;$C$7,BD!$A$3:$A$5001,"&lt;="&amp;$B204,BD!$Z$3:$Z$5001,"&lt;&gt;"))))</f>
        <v/>
      </c>
      <c r="I204" s="43" t="str">
        <f>IF(OR($B204="",$A204&gt;$B$9,I$175=""),"",IF(COUNTIFS(BD!$B$3:$B$5001,I$175,BD!$A$3:$A$5001,"&gt;="&amp;$C$7,BD!$A$3:$A$5001,"&lt;="&amp;$B204,BD!$Z$3:$Z$5001,"&lt;&gt;")=0,"",SUMIFS(BD!$Z$3:$Z$5001,BD!$B$3:$B$5001,I$175,BD!$A$3:$A$5001,_xlfn.MAXIFS(BD!$A$3:$A$5001,BD!$B$3:$B$5001,I$175,BD!$A$3:$A$5001,"&gt;="&amp;$C$7,BD!$A$3:$A$5001,"&lt;="&amp;$B204,BD!$Z$3:$Z$5001,"&lt;&gt;"))))</f>
        <v/>
      </c>
      <c r="J204" s="43" t="str">
        <f>IF(OR($B204="",$A204&gt;$B$9,J$175=""),"",IF(COUNTIFS(BD!$B$3:$B$5001,J$175,BD!$A$3:$A$5001,"&gt;="&amp;$C$7,BD!$A$3:$A$5001,"&lt;="&amp;$B204,BD!$Z$3:$Z$5001,"&lt;&gt;")=0,"",SUMIFS(BD!$Z$3:$Z$5001,BD!$B$3:$B$5001,J$175,BD!$A$3:$A$5001,_xlfn.MAXIFS(BD!$A$3:$A$5001,BD!$B$3:$B$5001,J$175,BD!$A$3:$A$5001,"&gt;="&amp;$C$7,BD!$A$3:$A$5001,"&lt;="&amp;$B204,BD!$Z$3:$Z$5001,"&lt;&gt;"))))</f>
        <v/>
      </c>
      <c r="K204" s="43" t="str">
        <f>IF(OR($B204="",$A204&gt;$B$9,K$175=""),"",IF(COUNTIFS(BD!$B$3:$B$5001,K$175,BD!$A$3:$A$5001,"&gt;="&amp;$C$7,BD!$A$3:$A$5001,"&lt;="&amp;$B204,BD!$Z$3:$Z$5001,"&lt;&gt;")=0,"",SUMIFS(BD!$Z$3:$Z$5001,BD!$B$3:$B$5001,K$175,BD!$A$3:$A$5001,_xlfn.MAXIFS(BD!$A$3:$A$5001,BD!$B$3:$B$5001,K$175,BD!$A$3:$A$5001,"&gt;="&amp;$C$7,BD!$A$3:$A$5001,"&lt;="&amp;$B204,BD!$Z$3:$Z$5001,"&lt;&gt;"))))</f>
        <v/>
      </c>
      <c r="L204" s="43" t="str">
        <f>IF(OR($B204="",$A204&gt;$B$9,L$175=""),"",IF(COUNTIFS(BD!$B$3:$B$5001,L$175,BD!$A$3:$A$5001,"&gt;="&amp;$C$7,BD!$A$3:$A$5001,"&lt;="&amp;$B204,BD!$Z$3:$Z$5001,"&lt;&gt;")=0,"",SUMIFS(BD!$Z$3:$Z$5001,BD!$B$3:$B$5001,L$175,BD!$A$3:$A$5001,_xlfn.MAXIFS(BD!$A$3:$A$5001,BD!$B$3:$B$5001,L$175,BD!$A$3:$A$5001,"&gt;="&amp;$C$7,BD!$A$3:$A$5001,"&lt;="&amp;$B204,BD!$Z$3:$Z$5001,"&lt;&gt;"))))</f>
        <v/>
      </c>
      <c r="M204" s="43" t="str">
        <f>IF(OR($B204="",$A204&gt;$B$9,M$175=""),"",IF(COUNTIFS(BD!$B$3:$B$5001,M$175,BD!$A$3:$A$5001,"&gt;="&amp;$C$7,BD!$A$3:$A$5001,"&lt;="&amp;$B204,BD!$Z$3:$Z$5001,"&lt;&gt;")=0,"",SUMIFS(BD!$Z$3:$Z$5001,BD!$B$3:$B$5001,M$175,BD!$A$3:$A$5001,_xlfn.MAXIFS(BD!$A$3:$A$5001,BD!$B$3:$B$5001,M$175,BD!$A$3:$A$5001,"&gt;="&amp;$C$7,BD!$A$3:$A$5001,"&lt;="&amp;$B204,BD!$Z$3:$Z$5001,"&lt;&gt;"))))</f>
        <v/>
      </c>
      <c r="N204" s="43" t="str">
        <f>IF(OR($B204="",$A204&gt;$B$9,N$175=""),"",IF(COUNTIFS(BD!$B$3:$B$5001,N$175,BD!$A$3:$A$5001,"&gt;="&amp;$C$7,BD!$A$3:$A$5001,"&lt;="&amp;$B204,BD!$Z$3:$Z$5001,"&lt;&gt;")=0,"",SUMIFS(BD!$Z$3:$Z$5001,BD!$B$3:$B$5001,N$175,BD!$A$3:$A$5001,_xlfn.MAXIFS(BD!$A$3:$A$5001,BD!$B$3:$B$5001,N$175,BD!$A$3:$A$5001,"&gt;="&amp;$C$7,BD!$A$3:$A$5001,"&lt;="&amp;$B204,BD!$Z$3:$Z$5001,"&lt;&gt;"))))</f>
        <v/>
      </c>
      <c r="O204" s="43" t="str">
        <f>IF(OR($B204="",$A204&gt;$B$9,O$175=""),"",IF(COUNTIFS(BD!$B$3:$B$5001,O$175,BD!$A$3:$A$5001,"&gt;="&amp;$C$7,BD!$A$3:$A$5001,"&lt;="&amp;$B204,BD!$Z$3:$Z$5001,"&lt;&gt;")=0,"",SUMIFS(BD!$Z$3:$Z$5001,BD!$B$3:$B$5001,O$175,BD!$A$3:$A$5001,_xlfn.MAXIFS(BD!$A$3:$A$5001,BD!$B$3:$B$5001,O$175,BD!$A$3:$A$5001,"&gt;="&amp;$C$7,BD!$A$3:$A$5001,"&lt;="&amp;$B204,BD!$Z$3:$Z$5001,"&lt;&gt;"))))</f>
        <v/>
      </c>
      <c r="P204" s="43" t="str">
        <f>IF(OR($B204="",$A204&gt;$B$9,P$175=""),"",IF(COUNTIFS(BD!$B$3:$B$5001,P$175,BD!$A$3:$A$5001,"&gt;="&amp;$C$7,BD!$A$3:$A$5001,"&lt;="&amp;$B204,BD!$Z$3:$Z$5001,"&lt;&gt;")=0,"",SUMIFS(BD!$Z$3:$Z$5001,BD!$B$3:$B$5001,P$175,BD!$A$3:$A$5001,_xlfn.MAXIFS(BD!$A$3:$A$5001,BD!$B$3:$B$5001,P$175,BD!$A$3:$A$5001,"&gt;="&amp;$C$7,BD!$A$3:$A$5001,"&lt;="&amp;$B204,BD!$Z$3:$Z$5001,"&lt;&gt;"))))</f>
        <v/>
      </c>
      <c r="Q204" s="43" t="str">
        <f>IF(OR($B204="",$A204&gt;$B$9,Q$175=""),"",IF(COUNTIFS(BD!$B$3:$B$5001,Q$175,BD!$A$3:$A$5001,"&gt;="&amp;$C$7,BD!$A$3:$A$5001,"&lt;="&amp;$B204,BD!$Z$3:$Z$5001,"&lt;&gt;")=0,"",SUMIFS(BD!$Z$3:$Z$5001,BD!$B$3:$B$5001,Q$175,BD!$A$3:$A$5001,_xlfn.MAXIFS(BD!$A$3:$A$5001,BD!$B$3:$B$5001,Q$175,BD!$A$3:$A$5001,"&gt;="&amp;$C$7,BD!$A$3:$A$5001,"&lt;="&amp;$B204,BD!$Z$3:$Z$5001,"&lt;&gt;"))))</f>
        <v/>
      </c>
      <c r="R204" s="43" t="str">
        <f>IF(OR($B204="",$A204&gt;$B$9,R$175=""),"",IF(COUNTIFS(BD!$B$3:$B$5001,R$175,BD!$A$3:$A$5001,"&gt;="&amp;$C$7,BD!$A$3:$A$5001,"&lt;="&amp;$B204,BD!$Z$3:$Z$5001,"&lt;&gt;")=0,"",SUMIFS(BD!$Z$3:$Z$5001,BD!$B$3:$B$5001,R$175,BD!$A$3:$A$5001,_xlfn.MAXIFS(BD!$A$3:$A$5001,BD!$B$3:$B$5001,R$175,BD!$A$3:$A$5001,"&gt;="&amp;$C$7,BD!$A$3:$A$5001,"&lt;="&amp;$B204,BD!$Z$3:$Z$5001,"&lt;&gt;"))))</f>
        <v/>
      </c>
      <c r="S204" s="43" t="str">
        <f>IF(OR($B204="",$A204&gt;$B$9,S$175=""),"",IF(COUNTIFS(BD!$B$3:$B$5001,S$175,BD!$A$3:$A$5001,"&gt;="&amp;$C$7,BD!$A$3:$A$5001,"&lt;="&amp;$B204,BD!$Z$3:$Z$5001,"&lt;&gt;")=0,"",SUMIFS(BD!$Z$3:$Z$5001,BD!$B$3:$B$5001,S$175,BD!$A$3:$A$5001,_xlfn.MAXIFS(BD!$A$3:$A$5001,BD!$B$3:$B$5001,S$175,BD!$A$3:$A$5001,"&gt;="&amp;$C$7,BD!$A$3:$A$5001,"&lt;="&amp;$B204,BD!$Z$3:$Z$5001,"&lt;&gt;"))))</f>
        <v/>
      </c>
      <c r="T204" s="43" t="str">
        <f>IF(OR($B204="",$A204&gt;$B$9,T$175=""),"",IF(COUNTIFS(BD!$B$3:$B$5001,T$175,BD!$A$3:$A$5001,"&gt;="&amp;$C$7,BD!$A$3:$A$5001,"&lt;="&amp;$B204,BD!$Z$3:$Z$5001,"&lt;&gt;")=0,"",SUMIFS(BD!$Z$3:$Z$5001,BD!$B$3:$B$5001,T$175,BD!$A$3:$A$5001,_xlfn.MAXIFS(BD!$A$3:$A$5001,BD!$B$3:$B$5001,T$175,BD!$A$3:$A$5001,"&gt;="&amp;$C$7,BD!$A$3:$A$5001,"&lt;="&amp;$B204,BD!$Z$3:$Z$5001,"&lt;&gt;"))))</f>
        <v/>
      </c>
      <c r="U204" s="43" t="str">
        <f>IF(OR($B204="",$A204&gt;$B$9,U$175=""),"",IF(COUNTIFS(BD!$B$3:$B$5001,U$175,BD!$A$3:$A$5001,"&gt;="&amp;$C$7,BD!$A$3:$A$5001,"&lt;="&amp;$B204,BD!$Z$3:$Z$5001,"&lt;&gt;")=0,"",SUMIFS(BD!$Z$3:$Z$5001,BD!$B$3:$B$5001,U$175,BD!$A$3:$A$5001,_xlfn.MAXIFS(BD!$A$3:$A$5001,BD!$B$3:$B$5001,U$175,BD!$A$3:$A$5001,"&gt;="&amp;$C$7,BD!$A$3:$A$5001,"&lt;="&amp;$B204,BD!$Z$3:$Z$5001,"&lt;&gt;"))))</f>
        <v/>
      </c>
      <c r="V204" s="43" t="str">
        <f>IF(OR($B204="",$A204&gt;$B$9,V$175=""),"",IF(COUNTIFS(BD!$B$3:$B$5001,V$175,BD!$A$3:$A$5001,"&gt;="&amp;$C$7,BD!$A$3:$A$5001,"&lt;="&amp;$B204,BD!$Z$3:$Z$5001,"&lt;&gt;")=0,"",SUMIFS(BD!$Z$3:$Z$5001,BD!$B$3:$B$5001,V$175,BD!$A$3:$A$5001,_xlfn.MAXIFS(BD!$A$3:$A$5001,BD!$B$3:$B$5001,V$175,BD!$A$3:$A$5001,"&gt;="&amp;$C$7,BD!$A$3:$A$5001,"&lt;="&amp;$B204,BD!$Z$3:$Z$5001,"&lt;&gt;"))))</f>
        <v/>
      </c>
    </row>
    <row r="205">
      <c r="A205" s="38">
        <v>30</v>
      </c>
      <c r="B205" s="42">
        <f>$B$41</f>
        <v>46325</v>
      </c>
      <c r="C205" s="43" t="str">
        <f>IF(OR($B205="",$A205&gt;$B$9,C$175=""),"",IF(COUNTIFS(BD!$B$3:$B$5001,C$175,BD!$A$3:$A$5001,"&gt;="&amp;$C$7,BD!$A$3:$A$5001,"&lt;="&amp;$B205,BD!$Z$3:$Z$5001,"&lt;&gt;")=0,"",SUMIFS(BD!$Z$3:$Z$5001,BD!$B$3:$B$5001,C$175,BD!$A$3:$A$5001,_xlfn.MAXIFS(BD!$A$3:$A$5001,BD!$B$3:$B$5001,C$175,BD!$A$3:$A$5001,"&gt;="&amp;$C$7,BD!$A$3:$A$5001,"&lt;="&amp;$B205,BD!$Z$3:$Z$5001,"&lt;&gt;"))))</f>
        <v/>
      </c>
      <c r="D205" s="43" t="str">
        <f>IF(OR($B205="",$A205&gt;$B$9,D$175=""),"",IF(COUNTIFS(BD!$B$3:$B$5001,D$175,BD!$A$3:$A$5001,"&gt;="&amp;$C$7,BD!$A$3:$A$5001,"&lt;="&amp;$B205,BD!$Z$3:$Z$5001,"&lt;&gt;")=0,"",SUMIFS(BD!$Z$3:$Z$5001,BD!$B$3:$B$5001,D$175,BD!$A$3:$A$5001,_xlfn.MAXIFS(BD!$A$3:$A$5001,BD!$B$3:$B$5001,D$175,BD!$A$3:$A$5001,"&gt;="&amp;$C$7,BD!$A$3:$A$5001,"&lt;="&amp;$B205,BD!$Z$3:$Z$5001,"&lt;&gt;"))))</f>
        <v/>
      </c>
      <c r="E205" s="43" t="str">
        <f>IF(OR($B205="",$A205&gt;$B$9,E$175=""),"",IF(COUNTIFS(BD!$B$3:$B$5001,E$175,BD!$A$3:$A$5001,"&gt;="&amp;$C$7,BD!$A$3:$A$5001,"&lt;="&amp;$B205,BD!$Z$3:$Z$5001,"&lt;&gt;")=0,"",SUMIFS(BD!$Z$3:$Z$5001,BD!$B$3:$B$5001,E$175,BD!$A$3:$A$5001,_xlfn.MAXIFS(BD!$A$3:$A$5001,BD!$B$3:$B$5001,E$175,BD!$A$3:$A$5001,"&gt;="&amp;$C$7,BD!$A$3:$A$5001,"&lt;="&amp;$B205,BD!$Z$3:$Z$5001,"&lt;&gt;"))))</f>
        <v/>
      </c>
      <c r="F205" s="43" t="str">
        <f>IF(OR($B205="",$A205&gt;$B$9,F$175=""),"",IF(COUNTIFS(BD!$B$3:$B$5001,F$175,BD!$A$3:$A$5001,"&gt;="&amp;$C$7,BD!$A$3:$A$5001,"&lt;="&amp;$B205,BD!$Z$3:$Z$5001,"&lt;&gt;")=0,"",SUMIFS(BD!$Z$3:$Z$5001,BD!$B$3:$B$5001,F$175,BD!$A$3:$A$5001,_xlfn.MAXIFS(BD!$A$3:$A$5001,BD!$B$3:$B$5001,F$175,BD!$A$3:$A$5001,"&gt;="&amp;$C$7,BD!$A$3:$A$5001,"&lt;="&amp;$B205,BD!$Z$3:$Z$5001,"&lt;&gt;"))))</f>
        <v/>
      </c>
      <c r="G205" s="43" t="str">
        <f>IF(OR($B205="",$A205&gt;$B$9,G$175=""),"",IF(COUNTIFS(BD!$B$3:$B$5001,G$175,BD!$A$3:$A$5001,"&gt;="&amp;$C$7,BD!$A$3:$A$5001,"&lt;="&amp;$B205,BD!$Z$3:$Z$5001,"&lt;&gt;")=0,"",SUMIFS(BD!$Z$3:$Z$5001,BD!$B$3:$B$5001,G$175,BD!$A$3:$A$5001,_xlfn.MAXIFS(BD!$A$3:$A$5001,BD!$B$3:$B$5001,G$175,BD!$A$3:$A$5001,"&gt;="&amp;$C$7,BD!$A$3:$A$5001,"&lt;="&amp;$B205,BD!$Z$3:$Z$5001,"&lt;&gt;"))))</f>
        <v/>
      </c>
      <c r="H205" s="43" t="str">
        <f>IF(OR($B205="",$A205&gt;$B$9,H$175=""),"",IF(COUNTIFS(BD!$B$3:$B$5001,H$175,BD!$A$3:$A$5001,"&gt;="&amp;$C$7,BD!$A$3:$A$5001,"&lt;="&amp;$B205,BD!$Z$3:$Z$5001,"&lt;&gt;")=0,"",SUMIFS(BD!$Z$3:$Z$5001,BD!$B$3:$B$5001,H$175,BD!$A$3:$A$5001,_xlfn.MAXIFS(BD!$A$3:$A$5001,BD!$B$3:$B$5001,H$175,BD!$A$3:$A$5001,"&gt;="&amp;$C$7,BD!$A$3:$A$5001,"&lt;="&amp;$B205,BD!$Z$3:$Z$5001,"&lt;&gt;"))))</f>
        <v/>
      </c>
      <c r="I205" s="43" t="str">
        <f>IF(OR($B205="",$A205&gt;$B$9,I$175=""),"",IF(COUNTIFS(BD!$B$3:$B$5001,I$175,BD!$A$3:$A$5001,"&gt;="&amp;$C$7,BD!$A$3:$A$5001,"&lt;="&amp;$B205,BD!$Z$3:$Z$5001,"&lt;&gt;")=0,"",SUMIFS(BD!$Z$3:$Z$5001,BD!$B$3:$B$5001,I$175,BD!$A$3:$A$5001,_xlfn.MAXIFS(BD!$A$3:$A$5001,BD!$B$3:$B$5001,I$175,BD!$A$3:$A$5001,"&gt;="&amp;$C$7,BD!$A$3:$A$5001,"&lt;="&amp;$B205,BD!$Z$3:$Z$5001,"&lt;&gt;"))))</f>
        <v/>
      </c>
      <c r="J205" s="43" t="str">
        <f>IF(OR($B205="",$A205&gt;$B$9,J$175=""),"",IF(COUNTIFS(BD!$B$3:$B$5001,J$175,BD!$A$3:$A$5001,"&gt;="&amp;$C$7,BD!$A$3:$A$5001,"&lt;="&amp;$B205,BD!$Z$3:$Z$5001,"&lt;&gt;")=0,"",SUMIFS(BD!$Z$3:$Z$5001,BD!$B$3:$B$5001,J$175,BD!$A$3:$A$5001,_xlfn.MAXIFS(BD!$A$3:$A$5001,BD!$B$3:$B$5001,J$175,BD!$A$3:$A$5001,"&gt;="&amp;$C$7,BD!$A$3:$A$5001,"&lt;="&amp;$B205,BD!$Z$3:$Z$5001,"&lt;&gt;"))))</f>
        <v/>
      </c>
      <c r="K205" s="43" t="str">
        <f>IF(OR($B205="",$A205&gt;$B$9,K$175=""),"",IF(COUNTIFS(BD!$B$3:$B$5001,K$175,BD!$A$3:$A$5001,"&gt;="&amp;$C$7,BD!$A$3:$A$5001,"&lt;="&amp;$B205,BD!$Z$3:$Z$5001,"&lt;&gt;")=0,"",SUMIFS(BD!$Z$3:$Z$5001,BD!$B$3:$B$5001,K$175,BD!$A$3:$A$5001,_xlfn.MAXIFS(BD!$A$3:$A$5001,BD!$B$3:$B$5001,K$175,BD!$A$3:$A$5001,"&gt;="&amp;$C$7,BD!$A$3:$A$5001,"&lt;="&amp;$B205,BD!$Z$3:$Z$5001,"&lt;&gt;"))))</f>
        <v/>
      </c>
      <c r="L205" s="43" t="str">
        <f>IF(OR($B205="",$A205&gt;$B$9,L$175=""),"",IF(COUNTIFS(BD!$B$3:$B$5001,L$175,BD!$A$3:$A$5001,"&gt;="&amp;$C$7,BD!$A$3:$A$5001,"&lt;="&amp;$B205,BD!$Z$3:$Z$5001,"&lt;&gt;")=0,"",SUMIFS(BD!$Z$3:$Z$5001,BD!$B$3:$B$5001,L$175,BD!$A$3:$A$5001,_xlfn.MAXIFS(BD!$A$3:$A$5001,BD!$B$3:$B$5001,L$175,BD!$A$3:$A$5001,"&gt;="&amp;$C$7,BD!$A$3:$A$5001,"&lt;="&amp;$B205,BD!$Z$3:$Z$5001,"&lt;&gt;"))))</f>
        <v/>
      </c>
      <c r="M205" s="43" t="str">
        <f>IF(OR($B205="",$A205&gt;$B$9,M$175=""),"",IF(COUNTIFS(BD!$B$3:$B$5001,M$175,BD!$A$3:$A$5001,"&gt;="&amp;$C$7,BD!$A$3:$A$5001,"&lt;="&amp;$B205,BD!$Z$3:$Z$5001,"&lt;&gt;")=0,"",SUMIFS(BD!$Z$3:$Z$5001,BD!$B$3:$B$5001,M$175,BD!$A$3:$A$5001,_xlfn.MAXIFS(BD!$A$3:$A$5001,BD!$B$3:$B$5001,M$175,BD!$A$3:$A$5001,"&gt;="&amp;$C$7,BD!$A$3:$A$5001,"&lt;="&amp;$B205,BD!$Z$3:$Z$5001,"&lt;&gt;"))))</f>
        <v/>
      </c>
      <c r="N205" s="43" t="str">
        <f>IF(OR($B205="",$A205&gt;$B$9,N$175=""),"",IF(COUNTIFS(BD!$B$3:$B$5001,N$175,BD!$A$3:$A$5001,"&gt;="&amp;$C$7,BD!$A$3:$A$5001,"&lt;="&amp;$B205,BD!$Z$3:$Z$5001,"&lt;&gt;")=0,"",SUMIFS(BD!$Z$3:$Z$5001,BD!$B$3:$B$5001,N$175,BD!$A$3:$A$5001,_xlfn.MAXIFS(BD!$A$3:$A$5001,BD!$B$3:$B$5001,N$175,BD!$A$3:$A$5001,"&gt;="&amp;$C$7,BD!$A$3:$A$5001,"&lt;="&amp;$B205,BD!$Z$3:$Z$5001,"&lt;&gt;"))))</f>
        <v/>
      </c>
      <c r="O205" s="43" t="str">
        <f>IF(OR($B205="",$A205&gt;$B$9,O$175=""),"",IF(COUNTIFS(BD!$B$3:$B$5001,O$175,BD!$A$3:$A$5001,"&gt;="&amp;$C$7,BD!$A$3:$A$5001,"&lt;="&amp;$B205,BD!$Z$3:$Z$5001,"&lt;&gt;")=0,"",SUMIFS(BD!$Z$3:$Z$5001,BD!$B$3:$B$5001,O$175,BD!$A$3:$A$5001,_xlfn.MAXIFS(BD!$A$3:$A$5001,BD!$B$3:$B$5001,O$175,BD!$A$3:$A$5001,"&gt;="&amp;$C$7,BD!$A$3:$A$5001,"&lt;="&amp;$B205,BD!$Z$3:$Z$5001,"&lt;&gt;"))))</f>
        <v/>
      </c>
      <c r="P205" s="43" t="str">
        <f>IF(OR($B205="",$A205&gt;$B$9,P$175=""),"",IF(COUNTIFS(BD!$B$3:$B$5001,P$175,BD!$A$3:$A$5001,"&gt;="&amp;$C$7,BD!$A$3:$A$5001,"&lt;="&amp;$B205,BD!$Z$3:$Z$5001,"&lt;&gt;")=0,"",SUMIFS(BD!$Z$3:$Z$5001,BD!$B$3:$B$5001,P$175,BD!$A$3:$A$5001,_xlfn.MAXIFS(BD!$A$3:$A$5001,BD!$B$3:$B$5001,P$175,BD!$A$3:$A$5001,"&gt;="&amp;$C$7,BD!$A$3:$A$5001,"&lt;="&amp;$B205,BD!$Z$3:$Z$5001,"&lt;&gt;"))))</f>
        <v/>
      </c>
      <c r="Q205" s="43" t="str">
        <f>IF(OR($B205="",$A205&gt;$B$9,Q$175=""),"",IF(COUNTIFS(BD!$B$3:$B$5001,Q$175,BD!$A$3:$A$5001,"&gt;="&amp;$C$7,BD!$A$3:$A$5001,"&lt;="&amp;$B205,BD!$Z$3:$Z$5001,"&lt;&gt;")=0,"",SUMIFS(BD!$Z$3:$Z$5001,BD!$B$3:$B$5001,Q$175,BD!$A$3:$A$5001,_xlfn.MAXIFS(BD!$A$3:$A$5001,BD!$B$3:$B$5001,Q$175,BD!$A$3:$A$5001,"&gt;="&amp;$C$7,BD!$A$3:$A$5001,"&lt;="&amp;$B205,BD!$Z$3:$Z$5001,"&lt;&gt;"))))</f>
        <v/>
      </c>
      <c r="R205" s="43" t="str">
        <f>IF(OR($B205="",$A205&gt;$B$9,R$175=""),"",IF(COUNTIFS(BD!$B$3:$B$5001,R$175,BD!$A$3:$A$5001,"&gt;="&amp;$C$7,BD!$A$3:$A$5001,"&lt;="&amp;$B205,BD!$Z$3:$Z$5001,"&lt;&gt;")=0,"",SUMIFS(BD!$Z$3:$Z$5001,BD!$B$3:$B$5001,R$175,BD!$A$3:$A$5001,_xlfn.MAXIFS(BD!$A$3:$A$5001,BD!$B$3:$B$5001,R$175,BD!$A$3:$A$5001,"&gt;="&amp;$C$7,BD!$A$3:$A$5001,"&lt;="&amp;$B205,BD!$Z$3:$Z$5001,"&lt;&gt;"))))</f>
        <v/>
      </c>
      <c r="S205" s="43" t="str">
        <f>IF(OR($B205="",$A205&gt;$B$9,S$175=""),"",IF(COUNTIFS(BD!$B$3:$B$5001,S$175,BD!$A$3:$A$5001,"&gt;="&amp;$C$7,BD!$A$3:$A$5001,"&lt;="&amp;$B205,BD!$Z$3:$Z$5001,"&lt;&gt;")=0,"",SUMIFS(BD!$Z$3:$Z$5001,BD!$B$3:$B$5001,S$175,BD!$A$3:$A$5001,_xlfn.MAXIFS(BD!$A$3:$A$5001,BD!$B$3:$B$5001,S$175,BD!$A$3:$A$5001,"&gt;="&amp;$C$7,BD!$A$3:$A$5001,"&lt;="&amp;$B205,BD!$Z$3:$Z$5001,"&lt;&gt;"))))</f>
        <v/>
      </c>
      <c r="T205" s="43" t="str">
        <f>IF(OR($B205="",$A205&gt;$B$9,T$175=""),"",IF(COUNTIFS(BD!$B$3:$B$5001,T$175,BD!$A$3:$A$5001,"&gt;="&amp;$C$7,BD!$A$3:$A$5001,"&lt;="&amp;$B205,BD!$Z$3:$Z$5001,"&lt;&gt;")=0,"",SUMIFS(BD!$Z$3:$Z$5001,BD!$B$3:$B$5001,T$175,BD!$A$3:$A$5001,_xlfn.MAXIFS(BD!$A$3:$A$5001,BD!$B$3:$B$5001,T$175,BD!$A$3:$A$5001,"&gt;="&amp;$C$7,BD!$A$3:$A$5001,"&lt;="&amp;$B205,BD!$Z$3:$Z$5001,"&lt;&gt;"))))</f>
        <v/>
      </c>
      <c r="U205" s="43" t="str">
        <f>IF(OR($B205="",$A205&gt;$B$9,U$175=""),"",IF(COUNTIFS(BD!$B$3:$B$5001,U$175,BD!$A$3:$A$5001,"&gt;="&amp;$C$7,BD!$A$3:$A$5001,"&lt;="&amp;$B205,BD!$Z$3:$Z$5001,"&lt;&gt;")=0,"",SUMIFS(BD!$Z$3:$Z$5001,BD!$B$3:$B$5001,U$175,BD!$A$3:$A$5001,_xlfn.MAXIFS(BD!$A$3:$A$5001,BD!$B$3:$B$5001,U$175,BD!$A$3:$A$5001,"&gt;="&amp;$C$7,BD!$A$3:$A$5001,"&lt;="&amp;$B205,BD!$Z$3:$Z$5001,"&lt;&gt;"))))</f>
        <v/>
      </c>
      <c r="V205" s="43" t="str">
        <f>IF(OR($B205="",$A205&gt;$B$9,V$175=""),"",IF(COUNTIFS(BD!$B$3:$B$5001,V$175,BD!$A$3:$A$5001,"&gt;="&amp;$C$7,BD!$A$3:$A$5001,"&lt;="&amp;$B205,BD!$Z$3:$Z$5001,"&lt;&gt;")=0,"",SUMIFS(BD!$Z$3:$Z$5001,BD!$B$3:$B$5001,V$175,BD!$A$3:$A$5001,_xlfn.MAXIFS(BD!$A$3:$A$5001,BD!$B$3:$B$5001,V$175,BD!$A$3:$A$5001,"&gt;="&amp;$C$7,BD!$A$3:$A$5001,"&lt;="&amp;$B205,BD!$Z$3:$Z$5001,"&lt;&gt;"))))</f>
        <v/>
      </c>
    </row>
    <row r="206">
      <c r="A206" s="38">
        <v>31</v>
      </c>
      <c r="B206" s="42">
        <f>$B$42</f>
        <v>46326</v>
      </c>
      <c r="C206" s="43" t="str">
        <f>IF(OR($B206="",$A206&gt;$B$9,C$175=""),"",IF(COUNTIFS(BD!$B$3:$B$5001,C$175,BD!$A$3:$A$5001,"&gt;="&amp;$C$7,BD!$A$3:$A$5001,"&lt;="&amp;$B206,BD!$Z$3:$Z$5001,"&lt;&gt;")=0,"",SUMIFS(BD!$Z$3:$Z$5001,BD!$B$3:$B$5001,C$175,BD!$A$3:$A$5001,_xlfn.MAXIFS(BD!$A$3:$A$5001,BD!$B$3:$B$5001,C$175,BD!$A$3:$A$5001,"&gt;="&amp;$C$7,BD!$A$3:$A$5001,"&lt;="&amp;$B206,BD!$Z$3:$Z$5001,"&lt;&gt;"))))</f>
        <v/>
      </c>
      <c r="D206" s="43" t="str">
        <f>IF(OR($B206="",$A206&gt;$B$9,D$175=""),"",IF(COUNTIFS(BD!$B$3:$B$5001,D$175,BD!$A$3:$A$5001,"&gt;="&amp;$C$7,BD!$A$3:$A$5001,"&lt;="&amp;$B206,BD!$Z$3:$Z$5001,"&lt;&gt;")=0,"",SUMIFS(BD!$Z$3:$Z$5001,BD!$B$3:$B$5001,D$175,BD!$A$3:$A$5001,_xlfn.MAXIFS(BD!$A$3:$A$5001,BD!$B$3:$B$5001,D$175,BD!$A$3:$A$5001,"&gt;="&amp;$C$7,BD!$A$3:$A$5001,"&lt;="&amp;$B206,BD!$Z$3:$Z$5001,"&lt;&gt;"))))</f>
        <v/>
      </c>
      <c r="E206" s="43" t="str">
        <f>IF(OR($B206="",$A206&gt;$B$9,E$175=""),"",IF(COUNTIFS(BD!$B$3:$B$5001,E$175,BD!$A$3:$A$5001,"&gt;="&amp;$C$7,BD!$A$3:$A$5001,"&lt;="&amp;$B206,BD!$Z$3:$Z$5001,"&lt;&gt;")=0,"",SUMIFS(BD!$Z$3:$Z$5001,BD!$B$3:$B$5001,E$175,BD!$A$3:$A$5001,_xlfn.MAXIFS(BD!$A$3:$A$5001,BD!$B$3:$B$5001,E$175,BD!$A$3:$A$5001,"&gt;="&amp;$C$7,BD!$A$3:$A$5001,"&lt;="&amp;$B206,BD!$Z$3:$Z$5001,"&lt;&gt;"))))</f>
        <v/>
      </c>
      <c r="F206" s="43" t="str">
        <f>IF(OR($B206="",$A206&gt;$B$9,F$175=""),"",IF(COUNTIFS(BD!$B$3:$B$5001,F$175,BD!$A$3:$A$5001,"&gt;="&amp;$C$7,BD!$A$3:$A$5001,"&lt;="&amp;$B206,BD!$Z$3:$Z$5001,"&lt;&gt;")=0,"",SUMIFS(BD!$Z$3:$Z$5001,BD!$B$3:$B$5001,F$175,BD!$A$3:$A$5001,_xlfn.MAXIFS(BD!$A$3:$A$5001,BD!$B$3:$B$5001,F$175,BD!$A$3:$A$5001,"&gt;="&amp;$C$7,BD!$A$3:$A$5001,"&lt;="&amp;$B206,BD!$Z$3:$Z$5001,"&lt;&gt;"))))</f>
        <v/>
      </c>
      <c r="G206" s="43" t="str">
        <f>IF(OR($B206="",$A206&gt;$B$9,G$175=""),"",IF(COUNTIFS(BD!$B$3:$B$5001,G$175,BD!$A$3:$A$5001,"&gt;="&amp;$C$7,BD!$A$3:$A$5001,"&lt;="&amp;$B206,BD!$Z$3:$Z$5001,"&lt;&gt;")=0,"",SUMIFS(BD!$Z$3:$Z$5001,BD!$B$3:$B$5001,G$175,BD!$A$3:$A$5001,_xlfn.MAXIFS(BD!$A$3:$A$5001,BD!$B$3:$B$5001,G$175,BD!$A$3:$A$5001,"&gt;="&amp;$C$7,BD!$A$3:$A$5001,"&lt;="&amp;$B206,BD!$Z$3:$Z$5001,"&lt;&gt;"))))</f>
        <v/>
      </c>
      <c r="H206" s="43" t="str">
        <f>IF(OR($B206="",$A206&gt;$B$9,H$175=""),"",IF(COUNTIFS(BD!$B$3:$B$5001,H$175,BD!$A$3:$A$5001,"&gt;="&amp;$C$7,BD!$A$3:$A$5001,"&lt;="&amp;$B206,BD!$Z$3:$Z$5001,"&lt;&gt;")=0,"",SUMIFS(BD!$Z$3:$Z$5001,BD!$B$3:$B$5001,H$175,BD!$A$3:$A$5001,_xlfn.MAXIFS(BD!$A$3:$A$5001,BD!$B$3:$B$5001,H$175,BD!$A$3:$A$5001,"&gt;="&amp;$C$7,BD!$A$3:$A$5001,"&lt;="&amp;$B206,BD!$Z$3:$Z$5001,"&lt;&gt;"))))</f>
        <v/>
      </c>
      <c r="I206" s="43" t="str">
        <f>IF(OR($B206="",$A206&gt;$B$9,I$175=""),"",IF(COUNTIFS(BD!$B$3:$B$5001,I$175,BD!$A$3:$A$5001,"&gt;="&amp;$C$7,BD!$A$3:$A$5001,"&lt;="&amp;$B206,BD!$Z$3:$Z$5001,"&lt;&gt;")=0,"",SUMIFS(BD!$Z$3:$Z$5001,BD!$B$3:$B$5001,I$175,BD!$A$3:$A$5001,_xlfn.MAXIFS(BD!$A$3:$A$5001,BD!$B$3:$B$5001,I$175,BD!$A$3:$A$5001,"&gt;="&amp;$C$7,BD!$A$3:$A$5001,"&lt;="&amp;$B206,BD!$Z$3:$Z$5001,"&lt;&gt;"))))</f>
        <v/>
      </c>
      <c r="J206" s="43" t="str">
        <f>IF(OR($B206="",$A206&gt;$B$9,J$175=""),"",IF(COUNTIFS(BD!$B$3:$B$5001,J$175,BD!$A$3:$A$5001,"&gt;="&amp;$C$7,BD!$A$3:$A$5001,"&lt;="&amp;$B206,BD!$Z$3:$Z$5001,"&lt;&gt;")=0,"",SUMIFS(BD!$Z$3:$Z$5001,BD!$B$3:$B$5001,J$175,BD!$A$3:$A$5001,_xlfn.MAXIFS(BD!$A$3:$A$5001,BD!$B$3:$B$5001,J$175,BD!$A$3:$A$5001,"&gt;="&amp;$C$7,BD!$A$3:$A$5001,"&lt;="&amp;$B206,BD!$Z$3:$Z$5001,"&lt;&gt;"))))</f>
        <v/>
      </c>
      <c r="K206" s="43" t="str">
        <f>IF(OR($B206="",$A206&gt;$B$9,K$175=""),"",IF(COUNTIFS(BD!$B$3:$B$5001,K$175,BD!$A$3:$A$5001,"&gt;="&amp;$C$7,BD!$A$3:$A$5001,"&lt;="&amp;$B206,BD!$Z$3:$Z$5001,"&lt;&gt;")=0,"",SUMIFS(BD!$Z$3:$Z$5001,BD!$B$3:$B$5001,K$175,BD!$A$3:$A$5001,_xlfn.MAXIFS(BD!$A$3:$A$5001,BD!$B$3:$B$5001,K$175,BD!$A$3:$A$5001,"&gt;="&amp;$C$7,BD!$A$3:$A$5001,"&lt;="&amp;$B206,BD!$Z$3:$Z$5001,"&lt;&gt;"))))</f>
        <v/>
      </c>
      <c r="L206" s="43" t="str">
        <f>IF(OR($B206="",$A206&gt;$B$9,L$175=""),"",IF(COUNTIFS(BD!$B$3:$B$5001,L$175,BD!$A$3:$A$5001,"&gt;="&amp;$C$7,BD!$A$3:$A$5001,"&lt;="&amp;$B206,BD!$Z$3:$Z$5001,"&lt;&gt;")=0,"",SUMIFS(BD!$Z$3:$Z$5001,BD!$B$3:$B$5001,L$175,BD!$A$3:$A$5001,_xlfn.MAXIFS(BD!$A$3:$A$5001,BD!$B$3:$B$5001,L$175,BD!$A$3:$A$5001,"&gt;="&amp;$C$7,BD!$A$3:$A$5001,"&lt;="&amp;$B206,BD!$Z$3:$Z$5001,"&lt;&gt;"))))</f>
        <v/>
      </c>
      <c r="M206" s="43" t="str">
        <f>IF(OR($B206="",$A206&gt;$B$9,M$175=""),"",IF(COUNTIFS(BD!$B$3:$B$5001,M$175,BD!$A$3:$A$5001,"&gt;="&amp;$C$7,BD!$A$3:$A$5001,"&lt;="&amp;$B206,BD!$Z$3:$Z$5001,"&lt;&gt;")=0,"",SUMIFS(BD!$Z$3:$Z$5001,BD!$B$3:$B$5001,M$175,BD!$A$3:$A$5001,_xlfn.MAXIFS(BD!$A$3:$A$5001,BD!$B$3:$B$5001,M$175,BD!$A$3:$A$5001,"&gt;="&amp;$C$7,BD!$A$3:$A$5001,"&lt;="&amp;$B206,BD!$Z$3:$Z$5001,"&lt;&gt;"))))</f>
        <v/>
      </c>
      <c r="N206" s="43" t="str">
        <f>IF(OR($B206="",$A206&gt;$B$9,N$175=""),"",IF(COUNTIFS(BD!$B$3:$B$5001,N$175,BD!$A$3:$A$5001,"&gt;="&amp;$C$7,BD!$A$3:$A$5001,"&lt;="&amp;$B206,BD!$Z$3:$Z$5001,"&lt;&gt;")=0,"",SUMIFS(BD!$Z$3:$Z$5001,BD!$B$3:$B$5001,N$175,BD!$A$3:$A$5001,_xlfn.MAXIFS(BD!$A$3:$A$5001,BD!$B$3:$B$5001,N$175,BD!$A$3:$A$5001,"&gt;="&amp;$C$7,BD!$A$3:$A$5001,"&lt;="&amp;$B206,BD!$Z$3:$Z$5001,"&lt;&gt;"))))</f>
        <v/>
      </c>
      <c r="O206" s="43" t="str">
        <f>IF(OR($B206="",$A206&gt;$B$9,O$175=""),"",IF(COUNTIFS(BD!$B$3:$B$5001,O$175,BD!$A$3:$A$5001,"&gt;="&amp;$C$7,BD!$A$3:$A$5001,"&lt;="&amp;$B206,BD!$Z$3:$Z$5001,"&lt;&gt;")=0,"",SUMIFS(BD!$Z$3:$Z$5001,BD!$B$3:$B$5001,O$175,BD!$A$3:$A$5001,_xlfn.MAXIFS(BD!$A$3:$A$5001,BD!$B$3:$B$5001,O$175,BD!$A$3:$A$5001,"&gt;="&amp;$C$7,BD!$A$3:$A$5001,"&lt;="&amp;$B206,BD!$Z$3:$Z$5001,"&lt;&gt;"))))</f>
        <v/>
      </c>
      <c r="P206" s="43" t="str">
        <f>IF(OR($B206="",$A206&gt;$B$9,P$175=""),"",IF(COUNTIFS(BD!$B$3:$B$5001,P$175,BD!$A$3:$A$5001,"&gt;="&amp;$C$7,BD!$A$3:$A$5001,"&lt;="&amp;$B206,BD!$Z$3:$Z$5001,"&lt;&gt;")=0,"",SUMIFS(BD!$Z$3:$Z$5001,BD!$B$3:$B$5001,P$175,BD!$A$3:$A$5001,_xlfn.MAXIFS(BD!$A$3:$A$5001,BD!$B$3:$B$5001,P$175,BD!$A$3:$A$5001,"&gt;="&amp;$C$7,BD!$A$3:$A$5001,"&lt;="&amp;$B206,BD!$Z$3:$Z$5001,"&lt;&gt;"))))</f>
        <v/>
      </c>
      <c r="Q206" s="43" t="str">
        <f>IF(OR($B206="",$A206&gt;$B$9,Q$175=""),"",IF(COUNTIFS(BD!$B$3:$B$5001,Q$175,BD!$A$3:$A$5001,"&gt;="&amp;$C$7,BD!$A$3:$A$5001,"&lt;="&amp;$B206,BD!$Z$3:$Z$5001,"&lt;&gt;")=0,"",SUMIFS(BD!$Z$3:$Z$5001,BD!$B$3:$B$5001,Q$175,BD!$A$3:$A$5001,_xlfn.MAXIFS(BD!$A$3:$A$5001,BD!$B$3:$B$5001,Q$175,BD!$A$3:$A$5001,"&gt;="&amp;$C$7,BD!$A$3:$A$5001,"&lt;="&amp;$B206,BD!$Z$3:$Z$5001,"&lt;&gt;"))))</f>
        <v/>
      </c>
      <c r="R206" s="43" t="str">
        <f>IF(OR($B206="",$A206&gt;$B$9,R$175=""),"",IF(COUNTIFS(BD!$B$3:$B$5001,R$175,BD!$A$3:$A$5001,"&gt;="&amp;$C$7,BD!$A$3:$A$5001,"&lt;="&amp;$B206,BD!$Z$3:$Z$5001,"&lt;&gt;")=0,"",SUMIFS(BD!$Z$3:$Z$5001,BD!$B$3:$B$5001,R$175,BD!$A$3:$A$5001,_xlfn.MAXIFS(BD!$A$3:$A$5001,BD!$B$3:$B$5001,R$175,BD!$A$3:$A$5001,"&gt;="&amp;$C$7,BD!$A$3:$A$5001,"&lt;="&amp;$B206,BD!$Z$3:$Z$5001,"&lt;&gt;"))))</f>
        <v/>
      </c>
      <c r="S206" s="43" t="str">
        <f>IF(OR($B206="",$A206&gt;$B$9,S$175=""),"",IF(COUNTIFS(BD!$B$3:$B$5001,S$175,BD!$A$3:$A$5001,"&gt;="&amp;$C$7,BD!$A$3:$A$5001,"&lt;="&amp;$B206,BD!$Z$3:$Z$5001,"&lt;&gt;")=0,"",SUMIFS(BD!$Z$3:$Z$5001,BD!$B$3:$B$5001,S$175,BD!$A$3:$A$5001,_xlfn.MAXIFS(BD!$A$3:$A$5001,BD!$B$3:$B$5001,S$175,BD!$A$3:$A$5001,"&gt;="&amp;$C$7,BD!$A$3:$A$5001,"&lt;="&amp;$B206,BD!$Z$3:$Z$5001,"&lt;&gt;"))))</f>
        <v/>
      </c>
      <c r="T206" s="43" t="str">
        <f>IF(OR($B206="",$A206&gt;$B$9,T$175=""),"",IF(COUNTIFS(BD!$B$3:$B$5001,T$175,BD!$A$3:$A$5001,"&gt;="&amp;$C$7,BD!$A$3:$A$5001,"&lt;="&amp;$B206,BD!$Z$3:$Z$5001,"&lt;&gt;")=0,"",SUMIFS(BD!$Z$3:$Z$5001,BD!$B$3:$B$5001,T$175,BD!$A$3:$A$5001,_xlfn.MAXIFS(BD!$A$3:$A$5001,BD!$B$3:$B$5001,T$175,BD!$A$3:$A$5001,"&gt;="&amp;$C$7,BD!$A$3:$A$5001,"&lt;="&amp;$B206,BD!$Z$3:$Z$5001,"&lt;&gt;"))))</f>
        <v/>
      </c>
      <c r="U206" s="43" t="str">
        <f>IF(OR($B206="",$A206&gt;$B$9,U$175=""),"",IF(COUNTIFS(BD!$B$3:$B$5001,U$175,BD!$A$3:$A$5001,"&gt;="&amp;$C$7,BD!$A$3:$A$5001,"&lt;="&amp;$B206,BD!$Z$3:$Z$5001,"&lt;&gt;")=0,"",SUMIFS(BD!$Z$3:$Z$5001,BD!$B$3:$B$5001,U$175,BD!$A$3:$A$5001,_xlfn.MAXIFS(BD!$A$3:$A$5001,BD!$B$3:$B$5001,U$175,BD!$A$3:$A$5001,"&gt;="&amp;$C$7,BD!$A$3:$A$5001,"&lt;="&amp;$B206,BD!$Z$3:$Z$5001,"&lt;&gt;"))))</f>
        <v/>
      </c>
      <c r="V206" s="43" t="str">
        <f>IF(OR($B206="",$A206&gt;$B$9,V$175=""),"",IF(COUNTIFS(BD!$B$3:$B$5001,V$175,BD!$A$3:$A$5001,"&gt;="&amp;$C$7,BD!$A$3:$A$5001,"&lt;="&amp;$B206,BD!$Z$3:$Z$5001,"&lt;&gt;")=0,"",SUMIFS(BD!$Z$3:$Z$5001,BD!$B$3:$B$5001,V$175,BD!$A$3:$A$5001,_xlfn.MAXIFS(BD!$A$3:$A$5001,BD!$B$3:$B$5001,V$175,BD!$A$3:$A$5001,"&gt;="&amp;$C$7,BD!$A$3:$A$5001,"&lt;="&amp;$B206,BD!$Z$3:$Z$5001,"&lt;&gt;"))))</f>
        <v/>
      </c>
    </row>
    <row r="207">
      <c r="A207" s="44" t="inlineStr">
        <is>
          <t xml:space="preserve">Mês anterior (último)</t>
        </is>
      </c>
      <c r="C207" s="45" t="str">
        <f>IF(C$175="","",IF(COUNTIFS(BD!$B$3:$B$5001,C$175,BD!$A$3:$A$5001,"&gt;="&amp;$C$8,BD!$A$3:$A$5001,"&lt;="&amp;$D$8,BD!$Z$3:$Z$5001,"&lt;&gt;")=0,"",SUMIFS(BD!$Z$3:$Z$5001,BD!$B$3:$B$5001,C$175,BD!$A$3:$A$5001,_xlfn.MAXIFS(BD!$A$3:$A$5001,BD!$B$3:$B$5001,C$175,BD!$A$3:$A$5001,"&gt;="&amp;$C$8,BD!$A$3:$A$5001,"&lt;="&amp;$D$8,BD!$Z$3:$Z$5001,"&lt;&gt;"))))</f>
        <v/>
      </c>
      <c r="D207" s="45" t="str">
        <f>IF(D$175="","",IF(COUNTIFS(BD!$B$3:$B$5001,D$175,BD!$A$3:$A$5001,"&gt;="&amp;$C$8,BD!$A$3:$A$5001,"&lt;="&amp;$D$8,BD!$Z$3:$Z$5001,"&lt;&gt;")=0,"",SUMIFS(BD!$Z$3:$Z$5001,BD!$B$3:$B$5001,D$175,BD!$A$3:$A$5001,_xlfn.MAXIFS(BD!$A$3:$A$5001,BD!$B$3:$B$5001,D$175,BD!$A$3:$A$5001,"&gt;="&amp;$C$8,BD!$A$3:$A$5001,"&lt;="&amp;$D$8,BD!$Z$3:$Z$5001,"&lt;&gt;"))))</f>
        <v/>
      </c>
      <c r="E207" s="45" t="str">
        <f>IF(E$175="","",IF(COUNTIFS(BD!$B$3:$B$5001,E$175,BD!$A$3:$A$5001,"&gt;="&amp;$C$8,BD!$A$3:$A$5001,"&lt;="&amp;$D$8,BD!$Z$3:$Z$5001,"&lt;&gt;")=0,"",SUMIFS(BD!$Z$3:$Z$5001,BD!$B$3:$B$5001,E$175,BD!$A$3:$A$5001,_xlfn.MAXIFS(BD!$A$3:$A$5001,BD!$B$3:$B$5001,E$175,BD!$A$3:$A$5001,"&gt;="&amp;$C$8,BD!$A$3:$A$5001,"&lt;="&amp;$D$8,BD!$Z$3:$Z$5001,"&lt;&gt;"))))</f>
        <v/>
      </c>
      <c r="F207" s="45" t="str">
        <f>IF(F$175="","",IF(COUNTIFS(BD!$B$3:$B$5001,F$175,BD!$A$3:$A$5001,"&gt;="&amp;$C$8,BD!$A$3:$A$5001,"&lt;="&amp;$D$8,BD!$Z$3:$Z$5001,"&lt;&gt;")=0,"",SUMIFS(BD!$Z$3:$Z$5001,BD!$B$3:$B$5001,F$175,BD!$A$3:$A$5001,_xlfn.MAXIFS(BD!$A$3:$A$5001,BD!$B$3:$B$5001,F$175,BD!$A$3:$A$5001,"&gt;="&amp;$C$8,BD!$A$3:$A$5001,"&lt;="&amp;$D$8,BD!$Z$3:$Z$5001,"&lt;&gt;"))))</f>
        <v/>
      </c>
      <c r="G207" s="45" t="str">
        <f>IF(G$175="","",IF(COUNTIFS(BD!$B$3:$B$5001,G$175,BD!$A$3:$A$5001,"&gt;="&amp;$C$8,BD!$A$3:$A$5001,"&lt;="&amp;$D$8,BD!$Z$3:$Z$5001,"&lt;&gt;")=0,"",SUMIFS(BD!$Z$3:$Z$5001,BD!$B$3:$B$5001,G$175,BD!$A$3:$A$5001,_xlfn.MAXIFS(BD!$A$3:$A$5001,BD!$B$3:$B$5001,G$175,BD!$A$3:$A$5001,"&gt;="&amp;$C$8,BD!$A$3:$A$5001,"&lt;="&amp;$D$8,BD!$Z$3:$Z$5001,"&lt;&gt;"))))</f>
        <v/>
      </c>
      <c r="H207" s="45" t="str">
        <f>IF(H$175="","",IF(COUNTIFS(BD!$B$3:$B$5001,H$175,BD!$A$3:$A$5001,"&gt;="&amp;$C$8,BD!$A$3:$A$5001,"&lt;="&amp;$D$8,BD!$Z$3:$Z$5001,"&lt;&gt;")=0,"",SUMIFS(BD!$Z$3:$Z$5001,BD!$B$3:$B$5001,H$175,BD!$A$3:$A$5001,_xlfn.MAXIFS(BD!$A$3:$A$5001,BD!$B$3:$B$5001,H$175,BD!$A$3:$A$5001,"&gt;="&amp;$C$8,BD!$A$3:$A$5001,"&lt;="&amp;$D$8,BD!$Z$3:$Z$5001,"&lt;&gt;"))))</f>
        <v/>
      </c>
      <c r="I207" s="45" t="str">
        <f>IF(I$175="","",IF(COUNTIFS(BD!$B$3:$B$5001,I$175,BD!$A$3:$A$5001,"&gt;="&amp;$C$8,BD!$A$3:$A$5001,"&lt;="&amp;$D$8,BD!$Z$3:$Z$5001,"&lt;&gt;")=0,"",SUMIFS(BD!$Z$3:$Z$5001,BD!$B$3:$B$5001,I$175,BD!$A$3:$A$5001,_xlfn.MAXIFS(BD!$A$3:$A$5001,BD!$B$3:$B$5001,I$175,BD!$A$3:$A$5001,"&gt;="&amp;$C$8,BD!$A$3:$A$5001,"&lt;="&amp;$D$8,BD!$Z$3:$Z$5001,"&lt;&gt;"))))</f>
        <v/>
      </c>
      <c r="J207" s="45" t="str">
        <f>IF(J$175="","",IF(COUNTIFS(BD!$B$3:$B$5001,J$175,BD!$A$3:$A$5001,"&gt;="&amp;$C$8,BD!$A$3:$A$5001,"&lt;="&amp;$D$8,BD!$Z$3:$Z$5001,"&lt;&gt;")=0,"",SUMIFS(BD!$Z$3:$Z$5001,BD!$B$3:$B$5001,J$175,BD!$A$3:$A$5001,_xlfn.MAXIFS(BD!$A$3:$A$5001,BD!$B$3:$B$5001,J$175,BD!$A$3:$A$5001,"&gt;="&amp;$C$8,BD!$A$3:$A$5001,"&lt;="&amp;$D$8,BD!$Z$3:$Z$5001,"&lt;&gt;"))))</f>
        <v/>
      </c>
      <c r="K207" s="45" t="str">
        <f>IF(K$175="","",IF(COUNTIFS(BD!$B$3:$B$5001,K$175,BD!$A$3:$A$5001,"&gt;="&amp;$C$8,BD!$A$3:$A$5001,"&lt;="&amp;$D$8,BD!$Z$3:$Z$5001,"&lt;&gt;")=0,"",SUMIFS(BD!$Z$3:$Z$5001,BD!$B$3:$B$5001,K$175,BD!$A$3:$A$5001,_xlfn.MAXIFS(BD!$A$3:$A$5001,BD!$B$3:$B$5001,K$175,BD!$A$3:$A$5001,"&gt;="&amp;$C$8,BD!$A$3:$A$5001,"&lt;="&amp;$D$8,BD!$Z$3:$Z$5001,"&lt;&gt;"))))</f>
        <v/>
      </c>
      <c r="L207" s="45" t="str">
        <f>IF(L$175="","",IF(COUNTIFS(BD!$B$3:$B$5001,L$175,BD!$A$3:$A$5001,"&gt;="&amp;$C$8,BD!$A$3:$A$5001,"&lt;="&amp;$D$8,BD!$Z$3:$Z$5001,"&lt;&gt;")=0,"",SUMIFS(BD!$Z$3:$Z$5001,BD!$B$3:$B$5001,L$175,BD!$A$3:$A$5001,_xlfn.MAXIFS(BD!$A$3:$A$5001,BD!$B$3:$B$5001,L$175,BD!$A$3:$A$5001,"&gt;="&amp;$C$8,BD!$A$3:$A$5001,"&lt;="&amp;$D$8,BD!$Z$3:$Z$5001,"&lt;&gt;"))))</f>
        <v/>
      </c>
      <c r="M207" s="45" t="str">
        <f>IF(M$175="","",IF(COUNTIFS(BD!$B$3:$B$5001,M$175,BD!$A$3:$A$5001,"&gt;="&amp;$C$8,BD!$A$3:$A$5001,"&lt;="&amp;$D$8,BD!$Z$3:$Z$5001,"&lt;&gt;")=0,"",SUMIFS(BD!$Z$3:$Z$5001,BD!$B$3:$B$5001,M$175,BD!$A$3:$A$5001,_xlfn.MAXIFS(BD!$A$3:$A$5001,BD!$B$3:$B$5001,M$175,BD!$A$3:$A$5001,"&gt;="&amp;$C$8,BD!$A$3:$A$5001,"&lt;="&amp;$D$8,BD!$Z$3:$Z$5001,"&lt;&gt;"))))</f>
        <v/>
      </c>
      <c r="N207" s="45" t="str">
        <f>IF(N$175="","",IF(COUNTIFS(BD!$B$3:$B$5001,N$175,BD!$A$3:$A$5001,"&gt;="&amp;$C$8,BD!$A$3:$A$5001,"&lt;="&amp;$D$8,BD!$Z$3:$Z$5001,"&lt;&gt;")=0,"",SUMIFS(BD!$Z$3:$Z$5001,BD!$B$3:$B$5001,N$175,BD!$A$3:$A$5001,_xlfn.MAXIFS(BD!$A$3:$A$5001,BD!$B$3:$B$5001,N$175,BD!$A$3:$A$5001,"&gt;="&amp;$C$8,BD!$A$3:$A$5001,"&lt;="&amp;$D$8,BD!$Z$3:$Z$5001,"&lt;&gt;"))))</f>
        <v/>
      </c>
      <c r="O207" s="45" t="str">
        <f>IF(O$175="","",IF(COUNTIFS(BD!$B$3:$B$5001,O$175,BD!$A$3:$A$5001,"&gt;="&amp;$C$8,BD!$A$3:$A$5001,"&lt;="&amp;$D$8,BD!$Z$3:$Z$5001,"&lt;&gt;")=0,"",SUMIFS(BD!$Z$3:$Z$5001,BD!$B$3:$B$5001,O$175,BD!$A$3:$A$5001,_xlfn.MAXIFS(BD!$A$3:$A$5001,BD!$B$3:$B$5001,O$175,BD!$A$3:$A$5001,"&gt;="&amp;$C$8,BD!$A$3:$A$5001,"&lt;="&amp;$D$8,BD!$Z$3:$Z$5001,"&lt;&gt;"))))</f>
        <v/>
      </c>
      <c r="P207" s="45" t="str">
        <f>IF(P$175="","",IF(COUNTIFS(BD!$B$3:$B$5001,P$175,BD!$A$3:$A$5001,"&gt;="&amp;$C$8,BD!$A$3:$A$5001,"&lt;="&amp;$D$8,BD!$Z$3:$Z$5001,"&lt;&gt;")=0,"",SUMIFS(BD!$Z$3:$Z$5001,BD!$B$3:$B$5001,P$175,BD!$A$3:$A$5001,_xlfn.MAXIFS(BD!$A$3:$A$5001,BD!$B$3:$B$5001,P$175,BD!$A$3:$A$5001,"&gt;="&amp;$C$8,BD!$A$3:$A$5001,"&lt;="&amp;$D$8,BD!$Z$3:$Z$5001,"&lt;&gt;"))))</f>
        <v/>
      </c>
      <c r="Q207" s="45" t="str">
        <f>IF(Q$175="","",IF(COUNTIFS(BD!$B$3:$B$5001,Q$175,BD!$A$3:$A$5001,"&gt;="&amp;$C$8,BD!$A$3:$A$5001,"&lt;="&amp;$D$8,BD!$Z$3:$Z$5001,"&lt;&gt;")=0,"",SUMIFS(BD!$Z$3:$Z$5001,BD!$B$3:$B$5001,Q$175,BD!$A$3:$A$5001,_xlfn.MAXIFS(BD!$A$3:$A$5001,BD!$B$3:$B$5001,Q$175,BD!$A$3:$A$5001,"&gt;="&amp;$C$8,BD!$A$3:$A$5001,"&lt;="&amp;$D$8,BD!$Z$3:$Z$5001,"&lt;&gt;"))))</f>
        <v/>
      </c>
      <c r="R207" s="45" t="str">
        <f>IF(R$175="","",IF(COUNTIFS(BD!$B$3:$B$5001,R$175,BD!$A$3:$A$5001,"&gt;="&amp;$C$8,BD!$A$3:$A$5001,"&lt;="&amp;$D$8,BD!$Z$3:$Z$5001,"&lt;&gt;")=0,"",SUMIFS(BD!$Z$3:$Z$5001,BD!$B$3:$B$5001,R$175,BD!$A$3:$A$5001,_xlfn.MAXIFS(BD!$A$3:$A$5001,BD!$B$3:$B$5001,R$175,BD!$A$3:$A$5001,"&gt;="&amp;$C$8,BD!$A$3:$A$5001,"&lt;="&amp;$D$8,BD!$Z$3:$Z$5001,"&lt;&gt;"))))</f>
        <v/>
      </c>
      <c r="S207" s="45" t="str">
        <f>IF(S$175="","",IF(COUNTIFS(BD!$B$3:$B$5001,S$175,BD!$A$3:$A$5001,"&gt;="&amp;$C$8,BD!$A$3:$A$5001,"&lt;="&amp;$D$8,BD!$Z$3:$Z$5001,"&lt;&gt;")=0,"",SUMIFS(BD!$Z$3:$Z$5001,BD!$B$3:$B$5001,S$175,BD!$A$3:$A$5001,_xlfn.MAXIFS(BD!$A$3:$A$5001,BD!$B$3:$B$5001,S$175,BD!$A$3:$A$5001,"&gt;="&amp;$C$8,BD!$A$3:$A$5001,"&lt;="&amp;$D$8,BD!$Z$3:$Z$5001,"&lt;&gt;"))))</f>
        <v/>
      </c>
      <c r="T207" s="45" t="str">
        <f>IF(T$175="","",IF(COUNTIFS(BD!$B$3:$B$5001,T$175,BD!$A$3:$A$5001,"&gt;="&amp;$C$8,BD!$A$3:$A$5001,"&lt;="&amp;$D$8,BD!$Z$3:$Z$5001,"&lt;&gt;")=0,"",SUMIFS(BD!$Z$3:$Z$5001,BD!$B$3:$B$5001,T$175,BD!$A$3:$A$5001,_xlfn.MAXIFS(BD!$A$3:$A$5001,BD!$B$3:$B$5001,T$175,BD!$A$3:$A$5001,"&gt;="&amp;$C$8,BD!$A$3:$A$5001,"&lt;="&amp;$D$8,BD!$Z$3:$Z$5001,"&lt;&gt;"))))</f>
        <v/>
      </c>
      <c r="U207" s="45" t="str">
        <f>IF(U$175="","",IF(COUNTIFS(BD!$B$3:$B$5001,U$175,BD!$A$3:$A$5001,"&gt;="&amp;$C$8,BD!$A$3:$A$5001,"&lt;="&amp;$D$8,BD!$Z$3:$Z$5001,"&lt;&gt;")=0,"",SUMIFS(BD!$Z$3:$Z$5001,BD!$B$3:$B$5001,U$175,BD!$A$3:$A$5001,_xlfn.MAXIFS(BD!$A$3:$A$5001,BD!$B$3:$B$5001,U$175,BD!$A$3:$A$5001,"&gt;="&amp;$C$8,BD!$A$3:$A$5001,"&lt;="&amp;$D$8,BD!$Z$3:$Z$5001,"&lt;&gt;"))))</f>
        <v/>
      </c>
      <c r="V207" s="45" t="str">
        <f>IF(V$175="","",IF(COUNTIFS(BD!$B$3:$B$5001,V$175,BD!$A$3:$A$5001,"&gt;="&amp;$C$8,BD!$A$3:$A$5001,"&lt;="&amp;$D$8,BD!$Z$3:$Z$5001,"&lt;&gt;")=0,"",SUMIFS(BD!$Z$3:$Z$5001,BD!$B$3:$B$5001,V$175,BD!$A$3:$A$5001,_xlfn.MAXIFS(BD!$A$3:$A$5001,BD!$B$3:$B$5001,V$175,BD!$A$3:$A$5001,"&gt;="&amp;$C$8,BD!$A$3:$A$5001,"&lt;="&amp;$D$8,BD!$Z$3:$Z$5001,"&lt;&gt;"))))</f>
        <v/>
      </c>
    </row>
    <row r="208">
      <c r="A208" s="44" t="inlineStr">
        <is>
          <t xml:space="preserve">Depósito</t>
        </is>
      </c>
      <c r="C208" s="38" t="str">
        <f>IF(Config!$C$10="","TPC",Config!$C$10)</f>
        <v>TPC</v>
      </c>
      <c r="D208" s="38" t="str">
        <f>IF(Config!$C$11="","TPC",Config!$C$11)</f>
        <v>TPC</v>
      </c>
      <c r="E208" s="38" t="str">
        <f>IF(Config!$C$12="","TPC",Config!$C$12)</f>
        <v>TPC</v>
      </c>
      <c r="F208" s="38" t="str">
        <f>IF(Config!$C$13="","TPC",Config!$C$13)</f>
        <v>TPC</v>
      </c>
      <c r="G208" s="38" t="str">
        <f>IF(Config!$C$14="","TPC",Config!$C$14)</f>
        <v>TPC</v>
      </c>
      <c r="H208" s="38" t="str">
        <f>IF(Config!$C$15="","TPC",Config!$C$15)</f>
        <v>TPC</v>
      </c>
      <c r="I208" s="38" t="str">
        <f>IF(Config!$C$16="","TPC",Config!$C$16)</f>
        <v>TPC</v>
      </c>
      <c r="J208" s="38" t="str">
        <f>IF(Config!$C$17="","TPC",Config!$C$17)</f>
        <v>TPC</v>
      </c>
      <c r="K208" s="38" t="str">
        <f>IF(Config!$C$18="","TPC",Config!$C$18)</f>
        <v>TPC</v>
      </c>
      <c r="L208" s="38" t="str">
        <f>IF(Config!$C$19="","TPC",Config!$C$19)</f>
        <v>TPC</v>
      </c>
      <c r="M208" s="38" t="str">
        <f>IF(Config!$C$20="","TPC",Config!$C$20)</f>
        <v>TPC</v>
      </c>
      <c r="N208" s="38" t="str">
        <f>IF(Config!$C$21="","TPC",Config!$C$21)</f>
        <v>TPC</v>
      </c>
      <c r="O208" s="38" t="str">
        <f>IF(Config!$C$22="","TPC",Config!$C$22)</f>
        <v>TPC</v>
      </c>
      <c r="P208" s="38" t="str">
        <f>IF(Config!$C$23="","TPC",Config!$C$23)</f>
        <v>TPC</v>
      </c>
      <c r="Q208" s="38" t="str">
        <f>IF(Config!$C$24="","TPC",Config!$C$24)</f>
        <v>TPC</v>
      </c>
      <c r="R208" s="38" t="str">
        <f>IF(Config!$C$25="","TPC",Config!$C$25)</f>
        <v>TPC</v>
      </c>
      <c r="S208" s="38" t="str">
        <f>IF(Config!$C$26="","TPC",Config!$C$26)</f>
        <v>TPC</v>
      </c>
      <c r="T208" s="38" t="str">
        <f>IF(Config!$C$27="","TPC",Config!$C$27)</f>
        <v>TPC</v>
      </c>
      <c r="U208" s="38" t="str">
        <f>IF(Config!$C$28="","TPC",Config!$C$28)</f>
        <v>TPC</v>
      </c>
      <c r="V208" s="38" t="str">
        <f>IF(Config!$C$29="","TPC",Config!$C$29)</f>
        <v>TPC</v>
      </c>
    </row>
    <row r="210">
      <c r="A210" s="37" t="inlineStr">
        <is>
          <t xml:space="preserve">Posições Disponíveis</t>
        </is>
      </c>
      <c r="B210" s="37" t="inlineStr">
        <is>
          <t xml:space="preserve">Data</t>
        </is>
      </c>
      <c r="C210" s="37" t="str">
        <f>Config!$B$10&amp;""</f>
        <v>Alpargatas</v>
      </c>
      <c r="D210" s="37" t="str">
        <f>Config!$B$11&amp;""</f>
        <v>Basf</v>
      </c>
      <c r="E210" s="37" t="str">
        <f>Config!$B$12&amp;""</f>
        <v>Beautybiz</v>
      </c>
      <c r="F210" s="37" t="str">
        <f>Config!$B$13&amp;""</f>
        <v>Boticário</v>
      </c>
      <c r="G210" s="37" t="str">
        <f>Config!$B$14&amp;""</f>
        <v>Confiance</v>
      </c>
      <c r="H210" s="37" t="str">
        <f>Config!$B$15&amp;""</f>
        <v>GE Vernova</v>
      </c>
      <c r="I210" s="37" t="str">
        <f>Config!$B$16&amp;""</f>
        <v>Omnilife</v>
      </c>
      <c r="J210" s="37" t="str">
        <f>Config!$B$17&amp;""</f>
        <v>Supply</v>
      </c>
      <c r="K210" s="37" t="str">
        <f>Config!$B$18&amp;""</f>
        <v>Vedacit</v>
      </c>
      <c r="L210" s="37" t="str">
        <f>Config!$B$19&amp;""</f>
        <v>Vestas</v>
      </c>
      <c r="M210" s="37" t="str">
        <f>Config!$B$20&amp;""</f>
        <v/>
      </c>
      <c r="N210" s="37" t="str">
        <f>Config!$B$21&amp;""</f>
        <v/>
      </c>
      <c r="O210" s="37" t="str">
        <f>Config!$B$22&amp;""</f>
        <v/>
      </c>
      <c r="P210" s="37" t="str">
        <f>Config!$B$23&amp;""</f>
        <v/>
      </c>
      <c r="Q210" s="37" t="str">
        <f>Config!$B$24&amp;""</f>
        <v/>
      </c>
      <c r="R210" s="37" t="str">
        <f>Config!$B$25&amp;""</f>
        <v/>
      </c>
      <c r="S210" s="37" t="str">
        <f>Config!$B$26&amp;""</f>
        <v/>
      </c>
      <c r="T210" s="37" t="str">
        <f>Config!$B$27&amp;""</f>
        <v/>
      </c>
      <c r="U210" s="37" t="str">
        <f>Config!$B$28&amp;""</f>
        <v/>
      </c>
      <c r="V210" s="37" t="str">
        <f>Config!$B$29&amp;""</f>
        <v/>
      </c>
    </row>
    <row r="211">
      <c r="A211" s="38">
        <v>1</v>
      </c>
      <c r="B211" s="42">
        <f>$B$12</f>
        <v>46296</v>
      </c>
      <c r="C211" s="43" t="str">
        <f>IF(OR($B211="",$A211&gt;$B$9,C$210=""),"",IF(COUNTIFS(BD!$B$3:$B$5001,C$210,BD!$A$3:$A$5001,"&gt;="&amp;$C$7,BD!$A$3:$A$5001,"&lt;="&amp;$B211,BD!$Y$3:$Y$5001,"&lt;&gt;")=0,"",SUMIFS(BD!$Y$3:$Y$5001,BD!$B$3:$B$5001,C$210,BD!$A$3:$A$5001,_xlfn.MAXIFS(BD!$A$3:$A$5001,BD!$B$3:$B$5001,C$210,BD!$A$3:$A$5001,"&gt;="&amp;$C$7,BD!$A$3:$A$5001,"&lt;="&amp;$B211,BD!$Y$3:$Y$5001,"&lt;&gt;"))))</f>
        <v/>
      </c>
      <c r="D211" s="43" t="str">
        <f>IF(OR($B211="",$A211&gt;$B$9,D$210=""),"",IF(COUNTIFS(BD!$B$3:$B$5001,D$210,BD!$A$3:$A$5001,"&gt;="&amp;$C$7,BD!$A$3:$A$5001,"&lt;="&amp;$B211,BD!$Y$3:$Y$5001,"&lt;&gt;")=0,"",SUMIFS(BD!$Y$3:$Y$5001,BD!$B$3:$B$5001,D$210,BD!$A$3:$A$5001,_xlfn.MAXIFS(BD!$A$3:$A$5001,BD!$B$3:$B$5001,D$210,BD!$A$3:$A$5001,"&gt;="&amp;$C$7,BD!$A$3:$A$5001,"&lt;="&amp;$B211,BD!$Y$3:$Y$5001,"&lt;&gt;"))))</f>
        <v/>
      </c>
      <c r="E211" s="43" t="str">
        <f>IF(OR($B211="",$A211&gt;$B$9,E$210=""),"",IF(COUNTIFS(BD!$B$3:$B$5001,E$210,BD!$A$3:$A$5001,"&gt;="&amp;$C$7,BD!$A$3:$A$5001,"&lt;="&amp;$B211,BD!$Y$3:$Y$5001,"&lt;&gt;")=0,"",SUMIFS(BD!$Y$3:$Y$5001,BD!$B$3:$B$5001,E$210,BD!$A$3:$A$5001,_xlfn.MAXIFS(BD!$A$3:$A$5001,BD!$B$3:$B$5001,E$210,BD!$A$3:$A$5001,"&gt;="&amp;$C$7,BD!$A$3:$A$5001,"&lt;="&amp;$B211,BD!$Y$3:$Y$5001,"&lt;&gt;"))))</f>
        <v/>
      </c>
      <c r="F211" s="43" t="str">
        <f>IF(OR($B211="",$A211&gt;$B$9,F$210=""),"",IF(COUNTIFS(BD!$B$3:$B$5001,F$210,BD!$A$3:$A$5001,"&gt;="&amp;$C$7,BD!$A$3:$A$5001,"&lt;="&amp;$B211,BD!$Y$3:$Y$5001,"&lt;&gt;")=0,"",SUMIFS(BD!$Y$3:$Y$5001,BD!$B$3:$B$5001,F$210,BD!$A$3:$A$5001,_xlfn.MAXIFS(BD!$A$3:$A$5001,BD!$B$3:$B$5001,F$210,BD!$A$3:$A$5001,"&gt;="&amp;$C$7,BD!$A$3:$A$5001,"&lt;="&amp;$B211,BD!$Y$3:$Y$5001,"&lt;&gt;"))))</f>
        <v/>
      </c>
      <c r="G211" s="43" t="str">
        <f>IF(OR($B211="",$A211&gt;$B$9,G$210=""),"",IF(COUNTIFS(BD!$B$3:$B$5001,G$210,BD!$A$3:$A$5001,"&gt;="&amp;$C$7,BD!$A$3:$A$5001,"&lt;="&amp;$B211,BD!$Y$3:$Y$5001,"&lt;&gt;")=0,"",SUMIFS(BD!$Y$3:$Y$5001,BD!$B$3:$B$5001,G$210,BD!$A$3:$A$5001,_xlfn.MAXIFS(BD!$A$3:$A$5001,BD!$B$3:$B$5001,G$210,BD!$A$3:$A$5001,"&gt;="&amp;$C$7,BD!$A$3:$A$5001,"&lt;="&amp;$B211,BD!$Y$3:$Y$5001,"&lt;&gt;"))))</f>
        <v/>
      </c>
      <c r="H211" s="43" t="str">
        <f>IF(OR($B211="",$A211&gt;$B$9,H$210=""),"",IF(COUNTIFS(BD!$B$3:$B$5001,H$210,BD!$A$3:$A$5001,"&gt;="&amp;$C$7,BD!$A$3:$A$5001,"&lt;="&amp;$B211,BD!$Y$3:$Y$5001,"&lt;&gt;")=0,"",SUMIFS(BD!$Y$3:$Y$5001,BD!$B$3:$B$5001,H$210,BD!$A$3:$A$5001,_xlfn.MAXIFS(BD!$A$3:$A$5001,BD!$B$3:$B$5001,H$210,BD!$A$3:$A$5001,"&gt;="&amp;$C$7,BD!$A$3:$A$5001,"&lt;="&amp;$B211,BD!$Y$3:$Y$5001,"&lt;&gt;"))))</f>
        <v/>
      </c>
      <c r="I211" s="43" t="str">
        <f>IF(OR($B211="",$A211&gt;$B$9,I$210=""),"",IF(COUNTIFS(BD!$B$3:$B$5001,I$210,BD!$A$3:$A$5001,"&gt;="&amp;$C$7,BD!$A$3:$A$5001,"&lt;="&amp;$B211,BD!$Y$3:$Y$5001,"&lt;&gt;")=0,"",SUMIFS(BD!$Y$3:$Y$5001,BD!$B$3:$B$5001,I$210,BD!$A$3:$A$5001,_xlfn.MAXIFS(BD!$A$3:$A$5001,BD!$B$3:$B$5001,I$210,BD!$A$3:$A$5001,"&gt;="&amp;$C$7,BD!$A$3:$A$5001,"&lt;="&amp;$B211,BD!$Y$3:$Y$5001,"&lt;&gt;"))))</f>
        <v/>
      </c>
      <c r="J211" s="43" t="str">
        <f>IF(OR($B211="",$A211&gt;$B$9,J$210=""),"",IF(COUNTIFS(BD!$B$3:$B$5001,J$210,BD!$A$3:$A$5001,"&gt;="&amp;$C$7,BD!$A$3:$A$5001,"&lt;="&amp;$B211,BD!$Y$3:$Y$5001,"&lt;&gt;")=0,"",SUMIFS(BD!$Y$3:$Y$5001,BD!$B$3:$B$5001,J$210,BD!$A$3:$A$5001,_xlfn.MAXIFS(BD!$A$3:$A$5001,BD!$B$3:$B$5001,J$210,BD!$A$3:$A$5001,"&gt;="&amp;$C$7,BD!$A$3:$A$5001,"&lt;="&amp;$B211,BD!$Y$3:$Y$5001,"&lt;&gt;"))))</f>
        <v/>
      </c>
      <c r="K211" s="43" t="str">
        <f>IF(OR($B211="",$A211&gt;$B$9,K$210=""),"",IF(COUNTIFS(BD!$B$3:$B$5001,K$210,BD!$A$3:$A$5001,"&gt;="&amp;$C$7,BD!$A$3:$A$5001,"&lt;="&amp;$B211,BD!$Y$3:$Y$5001,"&lt;&gt;")=0,"",SUMIFS(BD!$Y$3:$Y$5001,BD!$B$3:$B$5001,K$210,BD!$A$3:$A$5001,_xlfn.MAXIFS(BD!$A$3:$A$5001,BD!$B$3:$B$5001,K$210,BD!$A$3:$A$5001,"&gt;="&amp;$C$7,BD!$A$3:$A$5001,"&lt;="&amp;$B211,BD!$Y$3:$Y$5001,"&lt;&gt;"))))</f>
        <v/>
      </c>
      <c r="L211" s="43" t="str">
        <f>IF(OR($B211="",$A211&gt;$B$9,L$210=""),"",IF(COUNTIFS(BD!$B$3:$B$5001,L$210,BD!$A$3:$A$5001,"&gt;="&amp;$C$7,BD!$A$3:$A$5001,"&lt;="&amp;$B211,BD!$Y$3:$Y$5001,"&lt;&gt;")=0,"",SUMIFS(BD!$Y$3:$Y$5001,BD!$B$3:$B$5001,L$210,BD!$A$3:$A$5001,_xlfn.MAXIFS(BD!$A$3:$A$5001,BD!$B$3:$B$5001,L$210,BD!$A$3:$A$5001,"&gt;="&amp;$C$7,BD!$A$3:$A$5001,"&lt;="&amp;$B211,BD!$Y$3:$Y$5001,"&lt;&gt;"))))</f>
        <v/>
      </c>
      <c r="M211" s="43" t="str">
        <f>IF(OR($B211="",$A211&gt;$B$9,M$210=""),"",IF(COUNTIFS(BD!$B$3:$B$5001,M$210,BD!$A$3:$A$5001,"&gt;="&amp;$C$7,BD!$A$3:$A$5001,"&lt;="&amp;$B211,BD!$Y$3:$Y$5001,"&lt;&gt;")=0,"",SUMIFS(BD!$Y$3:$Y$5001,BD!$B$3:$B$5001,M$210,BD!$A$3:$A$5001,_xlfn.MAXIFS(BD!$A$3:$A$5001,BD!$B$3:$B$5001,M$210,BD!$A$3:$A$5001,"&gt;="&amp;$C$7,BD!$A$3:$A$5001,"&lt;="&amp;$B211,BD!$Y$3:$Y$5001,"&lt;&gt;"))))</f>
        <v/>
      </c>
      <c r="N211" s="43" t="str">
        <f>IF(OR($B211="",$A211&gt;$B$9,N$210=""),"",IF(COUNTIFS(BD!$B$3:$B$5001,N$210,BD!$A$3:$A$5001,"&gt;="&amp;$C$7,BD!$A$3:$A$5001,"&lt;="&amp;$B211,BD!$Y$3:$Y$5001,"&lt;&gt;")=0,"",SUMIFS(BD!$Y$3:$Y$5001,BD!$B$3:$B$5001,N$210,BD!$A$3:$A$5001,_xlfn.MAXIFS(BD!$A$3:$A$5001,BD!$B$3:$B$5001,N$210,BD!$A$3:$A$5001,"&gt;="&amp;$C$7,BD!$A$3:$A$5001,"&lt;="&amp;$B211,BD!$Y$3:$Y$5001,"&lt;&gt;"))))</f>
        <v/>
      </c>
      <c r="O211" s="43" t="str">
        <f>IF(OR($B211="",$A211&gt;$B$9,O$210=""),"",IF(COUNTIFS(BD!$B$3:$B$5001,O$210,BD!$A$3:$A$5001,"&gt;="&amp;$C$7,BD!$A$3:$A$5001,"&lt;="&amp;$B211,BD!$Y$3:$Y$5001,"&lt;&gt;")=0,"",SUMIFS(BD!$Y$3:$Y$5001,BD!$B$3:$B$5001,O$210,BD!$A$3:$A$5001,_xlfn.MAXIFS(BD!$A$3:$A$5001,BD!$B$3:$B$5001,O$210,BD!$A$3:$A$5001,"&gt;="&amp;$C$7,BD!$A$3:$A$5001,"&lt;="&amp;$B211,BD!$Y$3:$Y$5001,"&lt;&gt;"))))</f>
        <v/>
      </c>
      <c r="P211" s="43" t="str">
        <f>IF(OR($B211="",$A211&gt;$B$9,P$210=""),"",IF(COUNTIFS(BD!$B$3:$B$5001,P$210,BD!$A$3:$A$5001,"&gt;="&amp;$C$7,BD!$A$3:$A$5001,"&lt;="&amp;$B211,BD!$Y$3:$Y$5001,"&lt;&gt;")=0,"",SUMIFS(BD!$Y$3:$Y$5001,BD!$B$3:$B$5001,P$210,BD!$A$3:$A$5001,_xlfn.MAXIFS(BD!$A$3:$A$5001,BD!$B$3:$B$5001,P$210,BD!$A$3:$A$5001,"&gt;="&amp;$C$7,BD!$A$3:$A$5001,"&lt;="&amp;$B211,BD!$Y$3:$Y$5001,"&lt;&gt;"))))</f>
        <v/>
      </c>
      <c r="Q211" s="43" t="str">
        <f>IF(OR($B211="",$A211&gt;$B$9,Q$210=""),"",IF(COUNTIFS(BD!$B$3:$B$5001,Q$210,BD!$A$3:$A$5001,"&gt;="&amp;$C$7,BD!$A$3:$A$5001,"&lt;="&amp;$B211,BD!$Y$3:$Y$5001,"&lt;&gt;")=0,"",SUMIFS(BD!$Y$3:$Y$5001,BD!$B$3:$B$5001,Q$210,BD!$A$3:$A$5001,_xlfn.MAXIFS(BD!$A$3:$A$5001,BD!$B$3:$B$5001,Q$210,BD!$A$3:$A$5001,"&gt;="&amp;$C$7,BD!$A$3:$A$5001,"&lt;="&amp;$B211,BD!$Y$3:$Y$5001,"&lt;&gt;"))))</f>
        <v/>
      </c>
      <c r="R211" s="43" t="str">
        <f>IF(OR($B211="",$A211&gt;$B$9,R$210=""),"",IF(COUNTIFS(BD!$B$3:$B$5001,R$210,BD!$A$3:$A$5001,"&gt;="&amp;$C$7,BD!$A$3:$A$5001,"&lt;="&amp;$B211,BD!$Y$3:$Y$5001,"&lt;&gt;")=0,"",SUMIFS(BD!$Y$3:$Y$5001,BD!$B$3:$B$5001,R$210,BD!$A$3:$A$5001,_xlfn.MAXIFS(BD!$A$3:$A$5001,BD!$B$3:$B$5001,R$210,BD!$A$3:$A$5001,"&gt;="&amp;$C$7,BD!$A$3:$A$5001,"&lt;="&amp;$B211,BD!$Y$3:$Y$5001,"&lt;&gt;"))))</f>
        <v/>
      </c>
      <c r="S211" s="43" t="str">
        <f>IF(OR($B211="",$A211&gt;$B$9,S$210=""),"",IF(COUNTIFS(BD!$B$3:$B$5001,S$210,BD!$A$3:$A$5001,"&gt;="&amp;$C$7,BD!$A$3:$A$5001,"&lt;="&amp;$B211,BD!$Y$3:$Y$5001,"&lt;&gt;")=0,"",SUMIFS(BD!$Y$3:$Y$5001,BD!$B$3:$B$5001,S$210,BD!$A$3:$A$5001,_xlfn.MAXIFS(BD!$A$3:$A$5001,BD!$B$3:$B$5001,S$210,BD!$A$3:$A$5001,"&gt;="&amp;$C$7,BD!$A$3:$A$5001,"&lt;="&amp;$B211,BD!$Y$3:$Y$5001,"&lt;&gt;"))))</f>
        <v/>
      </c>
      <c r="T211" s="43" t="str">
        <f>IF(OR($B211="",$A211&gt;$B$9,T$210=""),"",IF(COUNTIFS(BD!$B$3:$B$5001,T$210,BD!$A$3:$A$5001,"&gt;="&amp;$C$7,BD!$A$3:$A$5001,"&lt;="&amp;$B211,BD!$Y$3:$Y$5001,"&lt;&gt;")=0,"",SUMIFS(BD!$Y$3:$Y$5001,BD!$B$3:$B$5001,T$210,BD!$A$3:$A$5001,_xlfn.MAXIFS(BD!$A$3:$A$5001,BD!$B$3:$B$5001,T$210,BD!$A$3:$A$5001,"&gt;="&amp;$C$7,BD!$A$3:$A$5001,"&lt;="&amp;$B211,BD!$Y$3:$Y$5001,"&lt;&gt;"))))</f>
        <v/>
      </c>
      <c r="U211" s="43" t="str">
        <f>IF(OR($B211="",$A211&gt;$B$9,U$210=""),"",IF(COUNTIFS(BD!$B$3:$B$5001,U$210,BD!$A$3:$A$5001,"&gt;="&amp;$C$7,BD!$A$3:$A$5001,"&lt;="&amp;$B211,BD!$Y$3:$Y$5001,"&lt;&gt;")=0,"",SUMIFS(BD!$Y$3:$Y$5001,BD!$B$3:$B$5001,U$210,BD!$A$3:$A$5001,_xlfn.MAXIFS(BD!$A$3:$A$5001,BD!$B$3:$B$5001,U$210,BD!$A$3:$A$5001,"&gt;="&amp;$C$7,BD!$A$3:$A$5001,"&lt;="&amp;$B211,BD!$Y$3:$Y$5001,"&lt;&gt;"))))</f>
        <v/>
      </c>
      <c r="V211" s="43" t="str">
        <f>IF(OR($B211="",$A211&gt;$B$9,V$210=""),"",IF(COUNTIFS(BD!$B$3:$B$5001,V$210,BD!$A$3:$A$5001,"&gt;="&amp;$C$7,BD!$A$3:$A$5001,"&lt;="&amp;$B211,BD!$Y$3:$Y$5001,"&lt;&gt;")=0,"",SUMIFS(BD!$Y$3:$Y$5001,BD!$B$3:$B$5001,V$210,BD!$A$3:$A$5001,_xlfn.MAXIFS(BD!$A$3:$A$5001,BD!$B$3:$B$5001,V$210,BD!$A$3:$A$5001,"&gt;="&amp;$C$7,BD!$A$3:$A$5001,"&lt;="&amp;$B211,BD!$Y$3:$Y$5001,"&lt;&gt;"))))</f>
        <v/>
      </c>
    </row>
    <row r="212">
      <c r="A212" s="38">
        <v>2</v>
      </c>
      <c r="B212" s="42">
        <f>$B$13</f>
        <v>46297</v>
      </c>
      <c r="C212" s="43" t="str">
        <f>IF(OR($B212="",$A212&gt;$B$9,C$210=""),"",IF(COUNTIFS(BD!$B$3:$B$5001,C$210,BD!$A$3:$A$5001,"&gt;="&amp;$C$7,BD!$A$3:$A$5001,"&lt;="&amp;$B212,BD!$Y$3:$Y$5001,"&lt;&gt;")=0,"",SUMIFS(BD!$Y$3:$Y$5001,BD!$B$3:$B$5001,C$210,BD!$A$3:$A$5001,_xlfn.MAXIFS(BD!$A$3:$A$5001,BD!$B$3:$B$5001,C$210,BD!$A$3:$A$5001,"&gt;="&amp;$C$7,BD!$A$3:$A$5001,"&lt;="&amp;$B212,BD!$Y$3:$Y$5001,"&lt;&gt;"))))</f>
        <v/>
      </c>
      <c r="D212" s="43" t="str">
        <f>IF(OR($B212="",$A212&gt;$B$9,D$210=""),"",IF(COUNTIFS(BD!$B$3:$B$5001,D$210,BD!$A$3:$A$5001,"&gt;="&amp;$C$7,BD!$A$3:$A$5001,"&lt;="&amp;$B212,BD!$Y$3:$Y$5001,"&lt;&gt;")=0,"",SUMIFS(BD!$Y$3:$Y$5001,BD!$B$3:$B$5001,D$210,BD!$A$3:$A$5001,_xlfn.MAXIFS(BD!$A$3:$A$5001,BD!$B$3:$B$5001,D$210,BD!$A$3:$A$5001,"&gt;="&amp;$C$7,BD!$A$3:$A$5001,"&lt;="&amp;$B212,BD!$Y$3:$Y$5001,"&lt;&gt;"))))</f>
        <v/>
      </c>
      <c r="E212" s="43" t="str">
        <f>IF(OR($B212="",$A212&gt;$B$9,E$210=""),"",IF(COUNTIFS(BD!$B$3:$B$5001,E$210,BD!$A$3:$A$5001,"&gt;="&amp;$C$7,BD!$A$3:$A$5001,"&lt;="&amp;$B212,BD!$Y$3:$Y$5001,"&lt;&gt;")=0,"",SUMIFS(BD!$Y$3:$Y$5001,BD!$B$3:$B$5001,E$210,BD!$A$3:$A$5001,_xlfn.MAXIFS(BD!$A$3:$A$5001,BD!$B$3:$B$5001,E$210,BD!$A$3:$A$5001,"&gt;="&amp;$C$7,BD!$A$3:$A$5001,"&lt;="&amp;$B212,BD!$Y$3:$Y$5001,"&lt;&gt;"))))</f>
        <v/>
      </c>
      <c r="F212" s="43" t="str">
        <f>IF(OR($B212="",$A212&gt;$B$9,F$210=""),"",IF(COUNTIFS(BD!$B$3:$B$5001,F$210,BD!$A$3:$A$5001,"&gt;="&amp;$C$7,BD!$A$3:$A$5001,"&lt;="&amp;$B212,BD!$Y$3:$Y$5001,"&lt;&gt;")=0,"",SUMIFS(BD!$Y$3:$Y$5001,BD!$B$3:$B$5001,F$210,BD!$A$3:$A$5001,_xlfn.MAXIFS(BD!$A$3:$A$5001,BD!$B$3:$B$5001,F$210,BD!$A$3:$A$5001,"&gt;="&amp;$C$7,BD!$A$3:$A$5001,"&lt;="&amp;$B212,BD!$Y$3:$Y$5001,"&lt;&gt;"))))</f>
        <v/>
      </c>
      <c r="G212" s="43" t="str">
        <f>IF(OR($B212="",$A212&gt;$B$9,G$210=""),"",IF(COUNTIFS(BD!$B$3:$B$5001,G$210,BD!$A$3:$A$5001,"&gt;="&amp;$C$7,BD!$A$3:$A$5001,"&lt;="&amp;$B212,BD!$Y$3:$Y$5001,"&lt;&gt;")=0,"",SUMIFS(BD!$Y$3:$Y$5001,BD!$B$3:$B$5001,G$210,BD!$A$3:$A$5001,_xlfn.MAXIFS(BD!$A$3:$A$5001,BD!$B$3:$B$5001,G$210,BD!$A$3:$A$5001,"&gt;="&amp;$C$7,BD!$A$3:$A$5001,"&lt;="&amp;$B212,BD!$Y$3:$Y$5001,"&lt;&gt;"))))</f>
        <v/>
      </c>
      <c r="H212" s="43" t="str">
        <f>IF(OR($B212="",$A212&gt;$B$9,H$210=""),"",IF(COUNTIFS(BD!$B$3:$B$5001,H$210,BD!$A$3:$A$5001,"&gt;="&amp;$C$7,BD!$A$3:$A$5001,"&lt;="&amp;$B212,BD!$Y$3:$Y$5001,"&lt;&gt;")=0,"",SUMIFS(BD!$Y$3:$Y$5001,BD!$B$3:$B$5001,H$210,BD!$A$3:$A$5001,_xlfn.MAXIFS(BD!$A$3:$A$5001,BD!$B$3:$B$5001,H$210,BD!$A$3:$A$5001,"&gt;="&amp;$C$7,BD!$A$3:$A$5001,"&lt;="&amp;$B212,BD!$Y$3:$Y$5001,"&lt;&gt;"))))</f>
        <v/>
      </c>
      <c r="I212" s="43" t="str">
        <f>IF(OR($B212="",$A212&gt;$B$9,I$210=""),"",IF(COUNTIFS(BD!$B$3:$B$5001,I$210,BD!$A$3:$A$5001,"&gt;="&amp;$C$7,BD!$A$3:$A$5001,"&lt;="&amp;$B212,BD!$Y$3:$Y$5001,"&lt;&gt;")=0,"",SUMIFS(BD!$Y$3:$Y$5001,BD!$B$3:$B$5001,I$210,BD!$A$3:$A$5001,_xlfn.MAXIFS(BD!$A$3:$A$5001,BD!$B$3:$B$5001,I$210,BD!$A$3:$A$5001,"&gt;="&amp;$C$7,BD!$A$3:$A$5001,"&lt;="&amp;$B212,BD!$Y$3:$Y$5001,"&lt;&gt;"))))</f>
        <v/>
      </c>
      <c r="J212" s="43" t="str">
        <f>IF(OR($B212="",$A212&gt;$B$9,J$210=""),"",IF(COUNTIFS(BD!$B$3:$B$5001,J$210,BD!$A$3:$A$5001,"&gt;="&amp;$C$7,BD!$A$3:$A$5001,"&lt;="&amp;$B212,BD!$Y$3:$Y$5001,"&lt;&gt;")=0,"",SUMIFS(BD!$Y$3:$Y$5001,BD!$B$3:$B$5001,J$210,BD!$A$3:$A$5001,_xlfn.MAXIFS(BD!$A$3:$A$5001,BD!$B$3:$B$5001,J$210,BD!$A$3:$A$5001,"&gt;="&amp;$C$7,BD!$A$3:$A$5001,"&lt;="&amp;$B212,BD!$Y$3:$Y$5001,"&lt;&gt;"))))</f>
        <v/>
      </c>
      <c r="K212" s="43" t="str">
        <f>IF(OR($B212="",$A212&gt;$B$9,K$210=""),"",IF(COUNTIFS(BD!$B$3:$B$5001,K$210,BD!$A$3:$A$5001,"&gt;="&amp;$C$7,BD!$A$3:$A$5001,"&lt;="&amp;$B212,BD!$Y$3:$Y$5001,"&lt;&gt;")=0,"",SUMIFS(BD!$Y$3:$Y$5001,BD!$B$3:$B$5001,K$210,BD!$A$3:$A$5001,_xlfn.MAXIFS(BD!$A$3:$A$5001,BD!$B$3:$B$5001,K$210,BD!$A$3:$A$5001,"&gt;="&amp;$C$7,BD!$A$3:$A$5001,"&lt;="&amp;$B212,BD!$Y$3:$Y$5001,"&lt;&gt;"))))</f>
        <v/>
      </c>
      <c r="L212" s="43" t="str">
        <f>IF(OR($B212="",$A212&gt;$B$9,L$210=""),"",IF(COUNTIFS(BD!$B$3:$B$5001,L$210,BD!$A$3:$A$5001,"&gt;="&amp;$C$7,BD!$A$3:$A$5001,"&lt;="&amp;$B212,BD!$Y$3:$Y$5001,"&lt;&gt;")=0,"",SUMIFS(BD!$Y$3:$Y$5001,BD!$B$3:$B$5001,L$210,BD!$A$3:$A$5001,_xlfn.MAXIFS(BD!$A$3:$A$5001,BD!$B$3:$B$5001,L$210,BD!$A$3:$A$5001,"&gt;="&amp;$C$7,BD!$A$3:$A$5001,"&lt;="&amp;$B212,BD!$Y$3:$Y$5001,"&lt;&gt;"))))</f>
        <v/>
      </c>
      <c r="M212" s="43" t="str">
        <f>IF(OR($B212="",$A212&gt;$B$9,M$210=""),"",IF(COUNTIFS(BD!$B$3:$B$5001,M$210,BD!$A$3:$A$5001,"&gt;="&amp;$C$7,BD!$A$3:$A$5001,"&lt;="&amp;$B212,BD!$Y$3:$Y$5001,"&lt;&gt;")=0,"",SUMIFS(BD!$Y$3:$Y$5001,BD!$B$3:$B$5001,M$210,BD!$A$3:$A$5001,_xlfn.MAXIFS(BD!$A$3:$A$5001,BD!$B$3:$B$5001,M$210,BD!$A$3:$A$5001,"&gt;="&amp;$C$7,BD!$A$3:$A$5001,"&lt;="&amp;$B212,BD!$Y$3:$Y$5001,"&lt;&gt;"))))</f>
        <v/>
      </c>
      <c r="N212" s="43" t="str">
        <f>IF(OR($B212="",$A212&gt;$B$9,N$210=""),"",IF(COUNTIFS(BD!$B$3:$B$5001,N$210,BD!$A$3:$A$5001,"&gt;="&amp;$C$7,BD!$A$3:$A$5001,"&lt;="&amp;$B212,BD!$Y$3:$Y$5001,"&lt;&gt;")=0,"",SUMIFS(BD!$Y$3:$Y$5001,BD!$B$3:$B$5001,N$210,BD!$A$3:$A$5001,_xlfn.MAXIFS(BD!$A$3:$A$5001,BD!$B$3:$B$5001,N$210,BD!$A$3:$A$5001,"&gt;="&amp;$C$7,BD!$A$3:$A$5001,"&lt;="&amp;$B212,BD!$Y$3:$Y$5001,"&lt;&gt;"))))</f>
        <v/>
      </c>
      <c r="O212" s="43" t="str">
        <f>IF(OR($B212="",$A212&gt;$B$9,O$210=""),"",IF(COUNTIFS(BD!$B$3:$B$5001,O$210,BD!$A$3:$A$5001,"&gt;="&amp;$C$7,BD!$A$3:$A$5001,"&lt;="&amp;$B212,BD!$Y$3:$Y$5001,"&lt;&gt;")=0,"",SUMIFS(BD!$Y$3:$Y$5001,BD!$B$3:$B$5001,O$210,BD!$A$3:$A$5001,_xlfn.MAXIFS(BD!$A$3:$A$5001,BD!$B$3:$B$5001,O$210,BD!$A$3:$A$5001,"&gt;="&amp;$C$7,BD!$A$3:$A$5001,"&lt;="&amp;$B212,BD!$Y$3:$Y$5001,"&lt;&gt;"))))</f>
        <v/>
      </c>
      <c r="P212" s="43" t="str">
        <f>IF(OR($B212="",$A212&gt;$B$9,P$210=""),"",IF(COUNTIFS(BD!$B$3:$B$5001,P$210,BD!$A$3:$A$5001,"&gt;="&amp;$C$7,BD!$A$3:$A$5001,"&lt;="&amp;$B212,BD!$Y$3:$Y$5001,"&lt;&gt;")=0,"",SUMIFS(BD!$Y$3:$Y$5001,BD!$B$3:$B$5001,P$210,BD!$A$3:$A$5001,_xlfn.MAXIFS(BD!$A$3:$A$5001,BD!$B$3:$B$5001,P$210,BD!$A$3:$A$5001,"&gt;="&amp;$C$7,BD!$A$3:$A$5001,"&lt;="&amp;$B212,BD!$Y$3:$Y$5001,"&lt;&gt;"))))</f>
        <v/>
      </c>
      <c r="Q212" s="43" t="str">
        <f>IF(OR($B212="",$A212&gt;$B$9,Q$210=""),"",IF(COUNTIFS(BD!$B$3:$B$5001,Q$210,BD!$A$3:$A$5001,"&gt;="&amp;$C$7,BD!$A$3:$A$5001,"&lt;="&amp;$B212,BD!$Y$3:$Y$5001,"&lt;&gt;")=0,"",SUMIFS(BD!$Y$3:$Y$5001,BD!$B$3:$B$5001,Q$210,BD!$A$3:$A$5001,_xlfn.MAXIFS(BD!$A$3:$A$5001,BD!$B$3:$B$5001,Q$210,BD!$A$3:$A$5001,"&gt;="&amp;$C$7,BD!$A$3:$A$5001,"&lt;="&amp;$B212,BD!$Y$3:$Y$5001,"&lt;&gt;"))))</f>
        <v/>
      </c>
      <c r="R212" s="43" t="str">
        <f>IF(OR($B212="",$A212&gt;$B$9,R$210=""),"",IF(COUNTIFS(BD!$B$3:$B$5001,R$210,BD!$A$3:$A$5001,"&gt;="&amp;$C$7,BD!$A$3:$A$5001,"&lt;="&amp;$B212,BD!$Y$3:$Y$5001,"&lt;&gt;")=0,"",SUMIFS(BD!$Y$3:$Y$5001,BD!$B$3:$B$5001,R$210,BD!$A$3:$A$5001,_xlfn.MAXIFS(BD!$A$3:$A$5001,BD!$B$3:$B$5001,R$210,BD!$A$3:$A$5001,"&gt;="&amp;$C$7,BD!$A$3:$A$5001,"&lt;="&amp;$B212,BD!$Y$3:$Y$5001,"&lt;&gt;"))))</f>
        <v/>
      </c>
      <c r="S212" s="43" t="str">
        <f>IF(OR($B212="",$A212&gt;$B$9,S$210=""),"",IF(COUNTIFS(BD!$B$3:$B$5001,S$210,BD!$A$3:$A$5001,"&gt;="&amp;$C$7,BD!$A$3:$A$5001,"&lt;="&amp;$B212,BD!$Y$3:$Y$5001,"&lt;&gt;")=0,"",SUMIFS(BD!$Y$3:$Y$5001,BD!$B$3:$B$5001,S$210,BD!$A$3:$A$5001,_xlfn.MAXIFS(BD!$A$3:$A$5001,BD!$B$3:$B$5001,S$210,BD!$A$3:$A$5001,"&gt;="&amp;$C$7,BD!$A$3:$A$5001,"&lt;="&amp;$B212,BD!$Y$3:$Y$5001,"&lt;&gt;"))))</f>
        <v/>
      </c>
      <c r="T212" s="43" t="str">
        <f>IF(OR($B212="",$A212&gt;$B$9,T$210=""),"",IF(COUNTIFS(BD!$B$3:$B$5001,T$210,BD!$A$3:$A$5001,"&gt;="&amp;$C$7,BD!$A$3:$A$5001,"&lt;="&amp;$B212,BD!$Y$3:$Y$5001,"&lt;&gt;")=0,"",SUMIFS(BD!$Y$3:$Y$5001,BD!$B$3:$B$5001,T$210,BD!$A$3:$A$5001,_xlfn.MAXIFS(BD!$A$3:$A$5001,BD!$B$3:$B$5001,T$210,BD!$A$3:$A$5001,"&gt;="&amp;$C$7,BD!$A$3:$A$5001,"&lt;="&amp;$B212,BD!$Y$3:$Y$5001,"&lt;&gt;"))))</f>
        <v/>
      </c>
      <c r="U212" s="43" t="str">
        <f>IF(OR($B212="",$A212&gt;$B$9,U$210=""),"",IF(COUNTIFS(BD!$B$3:$B$5001,U$210,BD!$A$3:$A$5001,"&gt;="&amp;$C$7,BD!$A$3:$A$5001,"&lt;="&amp;$B212,BD!$Y$3:$Y$5001,"&lt;&gt;")=0,"",SUMIFS(BD!$Y$3:$Y$5001,BD!$B$3:$B$5001,U$210,BD!$A$3:$A$5001,_xlfn.MAXIFS(BD!$A$3:$A$5001,BD!$B$3:$B$5001,U$210,BD!$A$3:$A$5001,"&gt;="&amp;$C$7,BD!$A$3:$A$5001,"&lt;="&amp;$B212,BD!$Y$3:$Y$5001,"&lt;&gt;"))))</f>
        <v/>
      </c>
      <c r="V212" s="43" t="str">
        <f>IF(OR($B212="",$A212&gt;$B$9,V$210=""),"",IF(COUNTIFS(BD!$B$3:$B$5001,V$210,BD!$A$3:$A$5001,"&gt;="&amp;$C$7,BD!$A$3:$A$5001,"&lt;="&amp;$B212,BD!$Y$3:$Y$5001,"&lt;&gt;")=0,"",SUMIFS(BD!$Y$3:$Y$5001,BD!$B$3:$B$5001,V$210,BD!$A$3:$A$5001,_xlfn.MAXIFS(BD!$A$3:$A$5001,BD!$B$3:$B$5001,V$210,BD!$A$3:$A$5001,"&gt;="&amp;$C$7,BD!$A$3:$A$5001,"&lt;="&amp;$B212,BD!$Y$3:$Y$5001,"&lt;&gt;"))))</f>
        <v/>
      </c>
    </row>
    <row r="213">
      <c r="A213" s="38">
        <v>3</v>
      </c>
      <c r="B213" s="42">
        <f>$B$14</f>
        <v>46298</v>
      </c>
      <c r="C213" s="43" t="str">
        <f>IF(OR($B213="",$A213&gt;$B$9,C$210=""),"",IF(COUNTIFS(BD!$B$3:$B$5001,C$210,BD!$A$3:$A$5001,"&gt;="&amp;$C$7,BD!$A$3:$A$5001,"&lt;="&amp;$B213,BD!$Y$3:$Y$5001,"&lt;&gt;")=0,"",SUMIFS(BD!$Y$3:$Y$5001,BD!$B$3:$B$5001,C$210,BD!$A$3:$A$5001,_xlfn.MAXIFS(BD!$A$3:$A$5001,BD!$B$3:$B$5001,C$210,BD!$A$3:$A$5001,"&gt;="&amp;$C$7,BD!$A$3:$A$5001,"&lt;="&amp;$B213,BD!$Y$3:$Y$5001,"&lt;&gt;"))))</f>
        <v/>
      </c>
      <c r="D213" s="43" t="str">
        <f>IF(OR($B213="",$A213&gt;$B$9,D$210=""),"",IF(COUNTIFS(BD!$B$3:$B$5001,D$210,BD!$A$3:$A$5001,"&gt;="&amp;$C$7,BD!$A$3:$A$5001,"&lt;="&amp;$B213,BD!$Y$3:$Y$5001,"&lt;&gt;")=0,"",SUMIFS(BD!$Y$3:$Y$5001,BD!$B$3:$B$5001,D$210,BD!$A$3:$A$5001,_xlfn.MAXIFS(BD!$A$3:$A$5001,BD!$B$3:$B$5001,D$210,BD!$A$3:$A$5001,"&gt;="&amp;$C$7,BD!$A$3:$A$5001,"&lt;="&amp;$B213,BD!$Y$3:$Y$5001,"&lt;&gt;"))))</f>
        <v/>
      </c>
      <c r="E213" s="43" t="str">
        <f>IF(OR($B213="",$A213&gt;$B$9,E$210=""),"",IF(COUNTIFS(BD!$B$3:$B$5001,E$210,BD!$A$3:$A$5001,"&gt;="&amp;$C$7,BD!$A$3:$A$5001,"&lt;="&amp;$B213,BD!$Y$3:$Y$5001,"&lt;&gt;")=0,"",SUMIFS(BD!$Y$3:$Y$5001,BD!$B$3:$B$5001,E$210,BD!$A$3:$A$5001,_xlfn.MAXIFS(BD!$A$3:$A$5001,BD!$B$3:$B$5001,E$210,BD!$A$3:$A$5001,"&gt;="&amp;$C$7,BD!$A$3:$A$5001,"&lt;="&amp;$B213,BD!$Y$3:$Y$5001,"&lt;&gt;"))))</f>
        <v/>
      </c>
      <c r="F213" s="43" t="str">
        <f>IF(OR($B213="",$A213&gt;$B$9,F$210=""),"",IF(COUNTIFS(BD!$B$3:$B$5001,F$210,BD!$A$3:$A$5001,"&gt;="&amp;$C$7,BD!$A$3:$A$5001,"&lt;="&amp;$B213,BD!$Y$3:$Y$5001,"&lt;&gt;")=0,"",SUMIFS(BD!$Y$3:$Y$5001,BD!$B$3:$B$5001,F$210,BD!$A$3:$A$5001,_xlfn.MAXIFS(BD!$A$3:$A$5001,BD!$B$3:$B$5001,F$210,BD!$A$3:$A$5001,"&gt;="&amp;$C$7,BD!$A$3:$A$5001,"&lt;="&amp;$B213,BD!$Y$3:$Y$5001,"&lt;&gt;"))))</f>
        <v/>
      </c>
      <c r="G213" s="43" t="str">
        <f>IF(OR($B213="",$A213&gt;$B$9,G$210=""),"",IF(COUNTIFS(BD!$B$3:$B$5001,G$210,BD!$A$3:$A$5001,"&gt;="&amp;$C$7,BD!$A$3:$A$5001,"&lt;="&amp;$B213,BD!$Y$3:$Y$5001,"&lt;&gt;")=0,"",SUMIFS(BD!$Y$3:$Y$5001,BD!$B$3:$B$5001,G$210,BD!$A$3:$A$5001,_xlfn.MAXIFS(BD!$A$3:$A$5001,BD!$B$3:$B$5001,G$210,BD!$A$3:$A$5001,"&gt;="&amp;$C$7,BD!$A$3:$A$5001,"&lt;="&amp;$B213,BD!$Y$3:$Y$5001,"&lt;&gt;"))))</f>
        <v/>
      </c>
      <c r="H213" s="43" t="str">
        <f>IF(OR($B213="",$A213&gt;$B$9,H$210=""),"",IF(COUNTIFS(BD!$B$3:$B$5001,H$210,BD!$A$3:$A$5001,"&gt;="&amp;$C$7,BD!$A$3:$A$5001,"&lt;="&amp;$B213,BD!$Y$3:$Y$5001,"&lt;&gt;")=0,"",SUMIFS(BD!$Y$3:$Y$5001,BD!$B$3:$B$5001,H$210,BD!$A$3:$A$5001,_xlfn.MAXIFS(BD!$A$3:$A$5001,BD!$B$3:$B$5001,H$210,BD!$A$3:$A$5001,"&gt;="&amp;$C$7,BD!$A$3:$A$5001,"&lt;="&amp;$B213,BD!$Y$3:$Y$5001,"&lt;&gt;"))))</f>
        <v/>
      </c>
      <c r="I213" s="43" t="str">
        <f>IF(OR($B213="",$A213&gt;$B$9,I$210=""),"",IF(COUNTIFS(BD!$B$3:$B$5001,I$210,BD!$A$3:$A$5001,"&gt;="&amp;$C$7,BD!$A$3:$A$5001,"&lt;="&amp;$B213,BD!$Y$3:$Y$5001,"&lt;&gt;")=0,"",SUMIFS(BD!$Y$3:$Y$5001,BD!$B$3:$B$5001,I$210,BD!$A$3:$A$5001,_xlfn.MAXIFS(BD!$A$3:$A$5001,BD!$B$3:$B$5001,I$210,BD!$A$3:$A$5001,"&gt;="&amp;$C$7,BD!$A$3:$A$5001,"&lt;="&amp;$B213,BD!$Y$3:$Y$5001,"&lt;&gt;"))))</f>
        <v/>
      </c>
      <c r="J213" s="43" t="str">
        <f>IF(OR($B213="",$A213&gt;$B$9,J$210=""),"",IF(COUNTIFS(BD!$B$3:$B$5001,J$210,BD!$A$3:$A$5001,"&gt;="&amp;$C$7,BD!$A$3:$A$5001,"&lt;="&amp;$B213,BD!$Y$3:$Y$5001,"&lt;&gt;")=0,"",SUMIFS(BD!$Y$3:$Y$5001,BD!$B$3:$B$5001,J$210,BD!$A$3:$A$5001,_xlfn.MAXIFS(BD!$A$3:$A$5001,BD!$B$3:$B$5001,J$210,BD!$A$3:$A$5001,"&gt;="&amp;$C$7,BD!$A$3:$A$5001,"&lt;="&amp;$B213,BD!$Y$3:$Y$5001,"&lt;&gt;"))))</f>
        <v/>
      </c>
      <c r="K213" s="43" t="str">
        <f>IF(OR($B213="",$A213&gt;$B$9,K$210=""),"",IF(COUNTIFS(BD!$B$3:$B$5001,K$210,BD!$A$3:$A$5001,"&gt;="&amp;$C$7,BD!$A$3:$A$5001,"&lt;="&amp;$B213,BD!$Y$3:$Y$5001,"&lt;&gt;")=0,"",SUMIFS(BD!$Y$3:$Y$5001,BD!$B$3:$B$5001,K$210,BD!$A$3:$A$5001,_xlfn.MAXIFS(BD!$A$3:$A$5001,BD!$B$3:$B$5001,K$210,BD!$A$3:$A$5001,"&gt;="&amp;$C$7,BD!$A$3:$A$5001,"&lt;="&amp;$B213,BD!$Y$3:$Y$5001,"&lt;&gt;"))))</f>
        <v/>
      </c>
      <c r="L213" s="43" t="str">
        <f>IF(OR($B213="",$A213&gt;$B$9,L$210=""),"",IF(COUNTIFS(BD!$B$3:$B$5001,L$210,BD!$A$3:$A$5001,"&gt;="&amp;$C$7,BD!$A$3:$A$5001,"&lt;="&amp;$B213,BD!$Y$3:$Y$5001,"&lt;&gt;")=0,"",SUMIFS(BD!$Y$3:$Y$5001,BD!$B$3:$B$5001,L$210,BD!$A$3:$A$5001,_xlfn.MAXIFS(BD!$A$3:$A$5001,BD!$B$3:$B$5001,L$210,BD!$A$3:$A$5001,"&gt;="&amp;$C$7,BD!$A$3:$A$5001,"&lt;="&amp;$B213,BD!$Y$3:$Y$5001,"&lt;&gt;"))))</f>
        <v/>
      </c>
      <c r="M213" s="43" t="str">
        <f>IF(OR($B213="",$A213&gt;$B$9,M$210=""),"",IF(COUNTIFS(BD!$B$3:$B$5001,M$210,BD!$A$3:$A$5001,"&gt;="&amp;$C$7,BD!$A$3:$A$5001,"&lt;="&amp;$B213,BD!$Y$3:$Y$5001,"&lt;&gt;")=0,"",SUMIFS(BD!$Y$3:$Y$5001,BD!$B$3:$B$5001,M$210,BD!$A$3:$A$5001,_xlfn.MAXIFS(BD!$A$3:$A$5001,BD!$B$3:$B$5001,M$210,BD!$A$3:$A$5001,"&gt;="&amp;$C$7,BD!$A$3:$A$5001,"&lt;="&amp;$B213,BD!$Y$3:$Y$5001,"&lt;&gt;"))))</f>
        <v/>
      </c>
      <c r="N213" s="43" t="str">
        <f>IF(OR($B213="",$A213&gt;$B$9,N$210=""),"",IF(COUNTIFS(BD!$B$3:$B$5001,N$210,BD!$A$3:$A$5001,"&gt;="&amp;$C$7,BD!$A$3:$A$5001,"&lt;="&amp;$B213,BD!$Y$3:$Y$5001,"&lt;&gt;")=0,"",SUMIFS(BD!$Y$3:$Y$5001,BD!$B$3:$B$5001,N$210,BD!$A$3:$A$5001,_xlfn.MAXIFS(BD!$A$3:$A$5001,BD!$B$3:$B$5001,N$210,BD!$A$3:$A$5001,"&gt;="&amp;$C$7,BD!$A$3:$A$5001,"&lt;="&amp;$B213,BD!$Y$3:$Y$5001,"&lt;&gt;"))))</f>
        <v/>
      </c>
      <c r="O213" s="43" t="str">
        <f>IF(OR($B213="",$A213&gt;$B$9,O$210=""),"",IF(COUNTIFS(BD!$B$3:$B$5001,O$210,BD!$A$3:$A$5001,"&gt;="&amp;$C$7,BD!$A$3:$A$5001,"&lt;="&amp;$B213,BD!$Y$3:$Y$5001,"&lt;&gt;")=0,"",SUMIFS(BD!$Y$3:$Y$5001,BD!$B$3:$B$5001,O$210,BD!$A$3:$A$5001,_xlfn.MAXIFS(BD!$A$3:$A$5001,BD!$B$3:$B$5001,O$210,BD!$A$3:$A$5001,"&gt;="&amp;$C$7,BD!$A$3:$A$5001,"&lt;="&amp;$B213,BD!$Y$3:$Y$5001,"&lt;&gt;"))))</f>
        <v/>
      </c>
      <c r="P213" s="43" t="str">
        <f>IF(OR($B213="",$A213&gt;$B$9,P$210=""),"",IF(COUNTIFS(BD!$B$3:$B$5001,P$210,BD!$A$3:$A$5001,"&gt;="&amp;$C$7,BD!$A$3:$A$5001,"&lt;="&amp;$B213,BD!$Y$3:$Y$5001,"&lt;&gt;")=0,"",SUMIFS(BD!$Y$3:$Y$5001,BD!$B$3:$B$5001,P$210,BD!$A$3:$A$5001,_xlfn.MAXIFS(BD!$A$3:$A$5001,BD!$B$3:$B$5001,P$210,BD!$A$3:$A$5001,"&gt;="&amp;$C$7,BD!$A$3:$A$5001,"&lt;="&amp;$B213,BD!$Y$3:$Y$5001,"&lt;&gt;"))))</f>
        <v/>
      </c>
      <c r="Q213" s="43" t="str">
        <f>IF(OR($B213="",$A213&gt;$B$9,Q$210=""),"",IF(COUNTIFS(BD!$B$3:$B$5001,Q$210,BD!$A$3:$A$5001,"&gt;="&amp;$C$7,BD!$A$3:$A$5001,"&lt;="&amp;$B213,BD!$Y$3:$Y$5001,"&lt;&gt;")=0,"",SUMIFS(BD!$Y$3:$Y$5001,BD!$B$3:$B$5001,Q$210,BD!$A$3:$A$5001,_xlfn.MAXIFS(BD!$A$3:$A$5001,BD!$B$3:$B$5001,Q$210,BD!$A$3:$A$5001,"&gt;="&amp;$C$7,BD!$A$3:$A$5001,"&lt;="&amp;$B213,BD!$Y$3:$Y$5001,"&lt;&gt;"))))</f>
        <v/>
      </c>
      <c r="R213" s="43" t="str">
        <f>IF(OR($B213="",$A213&gt;$B$9,R$210=""),"",IF(COUNTIFS(BD!$B$3:$B$5001,R$210,BD!$A$3:$A$5001,"&gt;="&amp;$C$7,BD!$A$3:$A$5001,"&lt;="&amp;$B213,BD!$Y$3:$Y$5001,"&lt;&gt;")=0,"",SUMIFS(BD!$Y$3:$Y$5001,BD!$B$3:$B$5001,R$210,BD!$A$3:$A$5001,_xlfn.MAXIFS(BD!$A$3:$A$5001,BD!$B$3:$B$5001,R$210,BD!$A$3:$A$5001,"&gt;="&amp;$C$7,BD!$A$3:$A$5001,"&lt;="&amp;$B213,BD!$Y$3:$Y$5001,"&lt;&gt;"))))</f>
        <v/>
      </c>
      <c r="S213" s="43" t="str">
        <f>IF(OR($B213="",$A213&gt;$B$9,S$210=""),"",IF(COUNTIFS(BD!$B$3:$B$5001,S$210,BD!$A$3:$A$5001,"&gt;="&amp;$C$7,BD!$A$3:$A$5001,"&lt;="&amp;$B213,BD!$Y$3:$Y$5001,"&lt;&gt;")=0,"",SUMIFS(BD!$Y$3:$Y$5001,BD!$B$3:$B$5001,S$210,BD!$A$3:$A$5001,_xlfn.MAXIFS(BD!$A$3:$A$5001,BD!$B$3:$B$5001,S$210,BD!$A$3:$A$5001,"&gt;="&amp;$C$7,BD!$A$3:$A$5001,"&lt;="&amp;$B213,BD!$Y$3:$Y$5001,"&lt;&gt;"))))</f>
        <v/>
      </c>
      <c r="T213" s="43" t="str">
        <f>IF(OR($B213="",$A213&gt;$B$9,T$210=""),"",IF(COUNTIFS(BD!$B$3:$B$5001,T$210,BD!$A$3:$A$5001,"&gt;="&amp;$C$7,BD!$A$3:$A$5001,"&lt;="&amp;$B213,BD!$Y$3:$Y$5001,"&lt;&gt;")=0,"",SUMIFS(BD!$Y$3:$Y$5001,BD!$B$3:$B$5001,T$210,BD!$A$3:$A$5001,_xlfn.MAXIFS(BD!$A$3:$A$5001,BD!$B$3:$B$5001,T$210,BD!$A$3:$A$5001,"&gt;="&amp;$C$7,BD!$A$3:$A$5001,"&lt;="&amp;$B213,BD!$Y$3:$Y$5001,"&lt;&gt;"))))</f>
        <v/>
      </c>
      <c r="U213" s="43" t="str">
        <f>IF(OR($B213="",$A213&gt;$B$9,U$210=""),"",IF(COUNTIFS(BD!$B$3:$B$5001,U$210,BD!$A$3:$A$5001,"&gt;="&amp;$C$7,BD!$A$3:$A$5001,"&lt;="&amp;$B213,BD!$Y$3:$Y$5001,"&lt;&gt;")=0,"",SUMIFS(BD!$Y$3:$Y$5001,BD!$B$3:$B$5001,U$210,BD!$A$3:$A$5001,_xlfn.MAXIFS(BD!$A$3:$A$5001,BD!$B$3:$B$5001,U$210,BD!$A$3:$A$5001,"&gt;="&amp;$C$7,BD!$A$3:$A$5001,"&lt;="&amp;$B213,BD!$Y$3:$Y$5001,"&lt;&gt;"))))</f>
        <v/>
      </c>
      <c r="V213" s="43" t="str">
        <f>IF(OR($B213="",$A213&gt;$B$9,V$210=""),"",IF(COUNTIFS(BD!$B$3:$B$5001,V$210,BD!$A$3:$A$5001,"&gt;="&amp;$C$7,BD!$A$3:$A$5001,"&lt;="&amp;$B213,BD!$Y$3:$Y$5001,"&lt;&gt;")=0,"",SUMIFS(BD!$Y$3:$Y$5001,BD!$B$3:$B$5001,V$210,BD!$A$3:$A$5001,_xlfn.MAXIFS(BD!$A$3:$A$5001,BD!$B$3:$B$5001,V$210,BD!$A$3:$A$5001,"&gt;="&amp;$C$7,BD!$A$3:$A$5001,"&lt;="&amp;$B213,BD!$Y$3:$Y$5001,"&lt;&gt;"))))</f>
        <v/>
      </c>
    </row>
    <row r="214">
      <c r="A214" s="38">
        <v>4</v>
      </c>
      <c r="B214" s="42">
        <f>$B$15</f>
        <v>46299</v>
      </c>
      <c r="C214" s="43" t="str">
        <f>IF(OR($B214="",$A214&gt;$B$9,C$210=""),"",IF(COUNTIFS(BD!$B$3:$B$5001,C$210,BD!$A$3:$A$5001,"&gt;="&amp;$C$7,BD!$A$3:$A$5001,"&lt;="&amp;$B214,BD!$Y$3:$Y$5001,"&lt;&gt;")=0,"",SUMIFS(BD!$Y$3:$Y$5001,BD!$B$3:$B$5001,C$210,BD!$A$3:$A$5001,_xlfn.MAXIFS(BD!$A$3:$A$5001,BD!$B$3:$B$5001,C$210,BD!$A$3:$A$5001,"&gt;="&amp;$C$7,BD!$A$3:$A$5001,"&lt;="&amp;$B214,BD!$Y$3:$Y$5001,"&lt;&gt;"))))</f>
        <v/>
      </c>
      <c r="D214" s="43" t="str">
        <f>IF(OR($B214="",$A214&gt;$B$9,D$210=""),"",IF(COUNTIFS(BD!$B$3:$B$5001,D$210,BD!$A$3:$A$5001,"&gt;="&amp;$C$7,BD!$A$3:$A$5001,"&lt;="&amp;$B214,BD!$Y$3:$Y$5001,"&lt;&gt;")=0,"",SUMIFS(BD!$Y$3:$Y$5001,BD!$B$3:$B$5001,D$210,BD!$A$3:$A$5001,_xlfn.MAXIFS(BD!$A$3:$A$5001,BD!$B$3:$B$5001,D$210,BD!$A$3:$A$5001,"&gt;="&amp;$C$7,BD!$A$3:$A$5001,"&lt;="&amp;$B214,BD!$Y$3:$Y$5001,"&lt;&gt;"))))</f>
        <v/>
      </c>
      <c r="E214" s="43" t="str">
        <f>IF(OR($B214="",$A214&gt;$B$9,E$210=""),"",IF(COUNTIFS(BD!$B$3:$B$5001,E$210,BD!$A$3:$A$5001,"&gt;="&amp;$C$7,BD!$A$3:$A$5001,"&lt;="&amp;$B214,BD!$Y$3:$Y$5001,"&lt;&gt;")=0,"",SUMIFS(BD!$Y$3:$Y$5001,BD!$B$3:$B$5001,E$210,BD!$A$3:$A$5001,_xlfn.MAXIFS(BD!$A$3:$A$5001,BD!$B$3:$B$5001,E$210,BD!$A$3:$A$5001,"&gt;="&amp;$C$7,BD!$A$3:$A$5001,"&lt;="&amp;$B214,BD!$Y$3:$Y$5001,"&lt;&gt;"))))</f>
        <v/>
      </c>
      <c r="F214" s="43" t="str">
        <f>IF(OR($B214="",$A214&gt;$B$9,F$210=""),"",IF(COUNTIFS(BD!$B$3:$B$5001,F$210,BD!$A$3:$A$5001,"&gt;="&amp;$C$7,BD!$A$3:$A$5001,"&lt;="&amp;$B214,BD!$Y$3:$Y$5001,"&lt;&gt;")=0,"",SUMIFS(BD!$Y$3:$Y$5001,BD!$B$3:$B$5001,F$210,BD!$A$3:$A$5001,_xlfn.MAXIFS(BD!$A$3:$A$5001,BD!$B$3:$B$5001,F$210,BD!$A$3:$A$5001,"&gt;="&amp;$C$7,BD!$A$3:$A$5001,"&lt;="&amp;$B214,BD!$Y$3:$Y$5001,"&lt;&gt;"))))</f>
        <v/>
      </c>
      <c r="G214" s="43" t="str">
        <f>IF(OR($B214="",$A214&gt;$B$9,G$210=""),"",IF(COUNTIFS(BD!$B$3:$B$5001,G$210,BD!$A$3:$A$5001,"&gt;="&amp;$C$7,BD!$A$3:$A$5001,"&lt;="&amp;$B214,BD!$Y$3:$Y$5001,"&lt;&gt;")=0,"",SUMIFS(BD!$Y$3:$Y$5001,BD!$B$3:$B$5001,G$210,BD!$A$3:$A$5001,_xlfn.MAXIFS(BD!$A$3:$A$5001,BD!$B$3:$B$5001,G$210,BD!$A$3:$A$5001,"&gt;="&amp;$C$7,BD!$A$3:$A$5001,"&lt;="&amp;$B214,BD!$Y$3:$Y$5001,"&lt;&gt;"))))</f>
        <v/>
      </c>
      <c r="H214" s="43" t="str">
        <f>IF(OR($B214="",$A214&gt;$B$9,H$210=""),"",IF(COUNTIFS(BD!$B$3:$B$5001,H$210,BD!$A$3:$A$5001,"&gt;="&amp;$C$7,BD!$A$3:$A$5001,"&lt;="&amp;$B214,BD!$Y$3:$Y$5001,"&lt;&gt;")=0,"",SUMIFS(BD!$Y$3:$Y$5001,BD!$B$3:$B$5001,H$210,BD!$A$3:$A$5001,_xlfn.MAXIFS(BD!$A$3:$A$5001,BD!$B$3:$B$5001,H$210,BD!$A$3:$A$5001,"&gt;="&amp;$C$7,BD!$A$3:$A$5001,"&lt;="&amp;$B214,BD!$Y$3:$Y$5001,"&lt;&gt;"))))</f>
        <v/>
      </c>
      <c r="I214" s="43" t="str">
        <f>IF(OR($B214="",$A214&gt;$B$9,I$210=""),"",IF(COUNTIFS(BD!$B$3:$B$5001,I$210,BD!$A$3:$A$5001,"&gt;="&amp;$C$7,BD!$A$3:$A$5001,"&lt;="&amp;$B214,BD!$Y$3:$Y$5001,"&lt;&gt;")=0,"",SUMIFS(BD!$Y$3:$Y$5001,BD!$B$3:$B$5001,I$210,BD!$A$3:$A$5001,_xlfn.MAXIFS(BD!$A$3:$A$5001,BD!$B$3:$B$5001,I$210,BD!$A$3:$A$5001,"&gt;="&amp;$C$7,BD!$A$3:$A$5001,"&lt;="&amp;$B214,BD!$Y$3:$Y$5001,"&lt;&gt;"))))</f>
        <v/>
      </c>
      <c r="J214" s="43" t="str">
        <f>IF(OR($B214="",$A214&gt;$B$9,J$210=""),"",IF(COUNTIFS(BD!$B$3:$B$5001,J$210,BD!$A$3:$A$5001,"&gt;="&amp;$C$7,BD!$A$3:$A$5001,"&lt;="&amp;$B214,BD!$Y$3:$Y$5001,"&lt;&gt;")=0,"",SUMIFS(BD!$Y$3:$Y$5001,BD!$B$3:$B$5001,J$210,BD!$A$3:$A$5001,_xlfn.MAXIFS(BD!$A$3:$A$5001,BD!$B$3:$B$5001,J$210,BD!$A$3:$A$5001,"&gt;="&amp;$C$7,BD!$A$3:$A$5001,"&lt;="&amp;$B214,BD!$Y$3:$Y$5001,"&lt;&gt;"))))</f>
        <v/>
      </c>
      <c r="K214" s="43" t="str">
        <f>IF(OR($B214="",$A214&gt;$B$9,K$210=""),"",IF(COUNTIFS(BD!$B$3:$B$5001,K$210,BD!$A$3:$A$5001,"&gt;="&amp;$C$7,BD!$A$3:$A$5001,"&lt;="&amp;$B214,BD!$Y$3:$Y$5001,"&lt;&gt;")=0,"",SUMIFS(BD!$Y$3:$Y$5001,BD!$B$3:$B$5001,K$210,BD!$A$3:$A$5001,_xlfn.MAXIFS(BD!$A$3:$A$5001,BD!$B$3:$B$5001,K$210,BD!$A$3:$A$5001,"&gt;="&amp;$C$7,BD!$A$3:$A$5001,"&lt;="&amp;$B214,BD!$Y$3:$Y$5001,"&lt;&gt;"))))</f>
        <v/>
      </c>
      <c r="L214" s="43" t="str">
        <f>IF(OR($B214="",$A214&gt;$B$9,L$210=""),"",IF(COUNTIFS(BD!$B$3:$B$5001,L$210,BD!$A$3:$A$5001,"&gt;="&amp;$C$7,BD!$A$3:$A$5001,"&lt;="&amp;$B214,BD!$Y$3:$Y$5001,"&lt;&gt;")=0,"",SUMIFS(BD!$Y$3:$Y$5001,BD!$B$3:$B$5001,L$210,BD!$A$3:$A$5001,_xlfn.MAXIFS(BD!$A$3:$A$5001,BD!$B$3:$B$5001,L$210,BD!$A$3:$A$5001,"&gt;="&amp;$C$7,BD!$A$3:$A$5001,"&lt;="&amp;$B214,BD!$Y$3:$Y$5001,"&lt;&gt;"))))</f>
        <v/>
      </c>
      <c r="M214" s="43" t="str">
        <f>IF(OR($B214="",$A214&gt;$B$9,M$210=""),"",IF(COUNTIFS(BD!$B$3:$B$5001,M$210,BD!$A$3:$A$5001,"&gt;="&amp;$C$7,BD!$A$3:$A$5001,"&lt;="&amp;$B214,BD!$Y$3:$Y$5001,"&lt;&gt;")=0,"",SUMIFS(BD!$Y$3:$Y$5001,BD!$B$3:$B$5001,M$210,BD!$A$3:$A$5001,_xlfn.MAXIFS(BD!$A$3:$A$5001,BD!$B$3:$B$5001,M$210,BD!$A$3:$A$5001,"&gt;="&amp;$C$7,BD!$A$3:$A$5001,"&lt;="&amp;$B214,BD!$Y$3:$Y$5001,"&lt;&gt;"))))</f>
        <v/>
      </c>
      <c r="N214" s="43" t="str">
        <f>IF(OR($B214="",$A214&gt;$B$9,N$210=""),"",IF(COUNTIFS(BD!$B$3:$B$5001,N$210,BD!$A$3:$A$5001,"&gt;="&amp;$C$7,BD!$A$3:$A$5001,"&lt;="&amp;$B214,BD!$Y$3:$Y$5001,"&lt;&gt;")=0,"",SUMIFS(BD!$Y$3:$Y$5001,BD!$B$3:$B$5001,N$210,BD!$A$3:$A$5001,_xlfn.MAXIFS(BD!$A$3:$A$5001,BD!$B$3:$B$5001,N$210,BD!$A$3:$A$5001,"&gt;="&amp;$C$7,BD!$A$3:$A$5001,"&lt;="&amp;$B214,BD!$Y$3:$Y$5001,"&lt;&gt;"))))</f>
        <v/>
      </c>
      <c r="O214" s="43" t="str">
        <f>IF(OR($B214="",$A214&gt;$B$9,O$210=""),"",IF(COUNTIFS(BD!$B$3:$B$5001,O$210,BD!$A$3:$A$5001,"&gt;="&amp;$C$7,BD!$A$3:$A$5001,"&lt;="&amp;$B214,BD!$Y$3:$Y$5001,"&lt;&gt;")=0,"",SUMIFS(BD!$Y$3:$Y$5001,BD!$B$3:$B$5001,O$210,BD!$A$3:$A$5001,_xlfn.MAXIFS(BD!$A$3:$A$5001,BD!$B$3:$B$5001,O$210,BD!$A$3:$A$5001,"&gt;="&amp;$C$7,BD!$A$3:$A$5001,"&lt;="&amp;$B214,BD!$Y$3:$Y$5001,"&lt;&gt;"))))</f>
        <v/>
      </c>
      <c r="P214" s="43" t="str">
        <f>IF(OR($B214="",$A214&gt;$B$9,P$210=""),"",IF(COUNTIFS(BD!$B$3:$B$5001,P$210,BD!$A$3:$A$5001,"&gt;="&amp;$C$7,BD!$A$3:$A$5001,"&lt;="&amp;$B214,BD!$Y$3:$Y$5001,"&lt;&gt;")=0,"",SUMIFS(BD!$Y$3:$Y$5001,BD!$B$3:$B$5001,P$210,BD!$A$3:$A$5001,_xlfn.MAXIFS(BD!$A$3:$A$5001,BD!$B$3:$B$5001,P$210,BD!$A$3:$A$5001,"&gt;="&amp;$C$7,BD!$A$3:$A$5001,"&lt;="&amp;$B214,BD!$Y$3:$Y$5001,"&lt;&gt;"))))</f>
        <v/>
      </c>
      <c r="Q214" s="43" t="str">
        <f>IF(OR($B214="",$A214&gt;$B$9,Q$210=""),"",IF(COUNTIFS(BD!$B$3:$B$5001,Q$210,BD!$A$3:$A$5001,"&gt;="&amp;$C$7,BD!$A$3:$A$5001,"&lt;="&amp;$B214,BD!$Y$3:$Y$5001,"&lt;&gt;")=0,"",SUMIFS(BD!$Y$3:$Y$5001,BD!$B$3:$B$5001,Q$210,BD!$A$3:$A$5001,_xlfn.MAXIFS(BD!$A$3:$A$5001,BD!$B$3:$B$5001,Q$210,BD!$A$3:$A$5001,"&gt;="&amp;$C$7,BD!$A$3:$A$5001,"&lt;="&amp;$B214,BD!$Y$3:$Y$5001,"&lt;&gt;"))))</f>
        <v/>
      </c>
      <c r="R214" s="43" t="str">
        <f>IF(OR($B214="",$A214&gt;$B$9,R$210=""),"",IF(COUNTIFS(BD!$B$3:$B$5001,R$210,BD!$A$3:$A$5001,"&gt;="&amp;$C$7,BD!$A$3:$A$5001,"&lt;="&amp;$B214,BD!$Y$3:$Y$5001,"&lt;&gt;")=0,"",SUMIFS(BD!$Y$3:$Y$5001,BD!$B$3:$B$5001,R$210,BD!$A$3:$A$5001,_xlfn.MAXIFS(BD!$A$3:$A$5001,BD!$B$3:$B$5001,R$210,BD!$A$3:$A$5001,"&gt;="&amp;$C$7,BD!$A$3:$A$5001,"&lt;="&amp;$B214,BD!$Y$3:$Y$5001,"&lt;&gt;"))))</f>
        <v/>
      </c>
      <c r="S214" s="43" t="str">
        <f>IF(OR($B214="",$A214&gt;$B$9,S$210=""),"",IF(COUNTIFS(BD!$B$3:$B$5001,S$210,BD!$A$3:$A$5001,"&gt;="&amp;$C$7,BD!$A$3:$A$5001,"&lt;="&amp;$B214,BD!$Y$3:$Y$5001,"&lt;&gt;")=0,"",SUMIFS(BD!$Y$3:$Y$5001,BD!$B$3:$B$5001,S$210,BD!$A$3:$A$5001,_xlfn.MAXIFS(BD!$A$3:$A$5001,BD!$B$3:$B$5001,S$210,BD!$A$3:$A$5001,"&gt;="&amp;$C$7,BD!$A$3:$A$5001,"&lt;="&amp;$B214,BD!$Y$3:$Y$5001,"&lt;&gt;"))))</f>
        <v/>
      </c>
      <c r="T214" s="43" t="str">
        <f>IF(OR($B214="",$A214&gt;$B$9,T$210=""),"",IF(COUNTIFS(BD!$B$3:$B$5001,T$210,BD!$A$3:$A$5001,"&gt;="&amp;$C$7,BD!$A$3:$A$5001,"&lt;="&amp;$B214,BD!$Y$3:$Y$5001,"&lt;&gt;")=0,"",SUMIFS(BD!$Y$3:$Y$5001,BD!$B$3:$B$5001,T$210,BD!$A$3:$A$5001,_xlfn.MAXIFS(BD!$A$3:$A$5001,BD!$B$3:$B$5001,T$210,BD!$A$3:$A$5001,"&gt;="&amp;$C$7,BD!$A$3:$A$5001,"&lt;="&amp;$B214,BD!$Y$3:$Y$5001,"&lt;&gt;"))))</f>
        <v/>
      </c>
      <c r="U214" s="43" t="str">
        <f>IF(OR($B214="",$A214&gt;$B$9,U$210=""),"",IF(COUNTIFS(BD!$B$3:$B$5001,U$210,BD!$A$3:$A$5001,"&gt;="&amp;$C$7,BD!$A$3:$A$5001,"&lt;="&amp;$B214,BD!$Y$3:$Y$5001,"&lt;&gt;")=0,"",SUMIFS(BD!$Y$3:$Y$5001,BD!$B$3:$B$5001,U$210,BD!$A$3:$A$5001,_xlfn.MAXIFS(BD!$A$3:$A$5001,BD!$B$3:$B$5001,U$210,BD!$A$3:$A$5001,"&gt;="&amp;$C$7,BD!$A$3:$A$5001,"&lt;="&amp;$B214,BD!$Y$3:$Y$5001,"&lt;&gt;"))))</f>
        <v/>
      </c>
      <c r="V214" s="43" t="str">
        <f>IF(OR($B214="",$A214&gt;$B$9,V$210=""),"",IF(COUNTIFS(BD!$B$3:$B$5001,V$210,BD!$A$3:$A$5001,"&gt;="&amp;$C$7,BD!$A$3:$A$5001,"&lt;="&amp;$B214,BD!$Y$3:$Y$5001,"&lt;&gt;")=0,"",SUMIFS(BD!$Y$3:$Y$5001,BD!$B$3:$B$5001,V$210,BD!$A$3:$A$5001,_xlfn.MAXIFS(BD!$A$3:$A$5001,BD!$B$3:$B$5001,V$210,BD!$A$3:$A$5001,"&gt;="&amp;$C$7,BD!$A$3:$A$5001,"&lt;="&amp;$B214,BD!$Y$3:$Y$5001,"&lt;&gt;"))))</f>
        <v/>
      </c>
    </row>
    <row r="215">
      <c r="A215" s="38">
        <v>5</v>
      </c>
      <c r="B215" s="42">
        <f>$B$16</f>
        <v>46300</v>
      </c>
      <c r="C215" s="43" t="str">
        <f>IF(OR($B215="",$A215&gt;$B$9,C$210=""),"",IF(COUNTIFS(BD!$B$3:$B$5001,C$210,BD!$A$3:$A$5001,"&gt;="&amp;$C$7,BD!$A$3:$A$5001,"&lt;="&amp;$B215,BD!$Y$3:$Y$5001,"&lt;&gt;")=0,"",SUMIFS(BD!$Y$3:$Y$5001,BD!$B$3:$B$5001,C$210,BD!$A$3:$A$5001,_xlfn.MAXIFS(BD!$A$3:$A$5001,BD!$B$3:$B$5001,C$210,BD!$A$3:$A$5001,"&gt;="&amp;$C$7,BD!$A$3:$A$5001,"&lt;="&amp;$B215,BD!$Y$3:$Y$5001,"&lt;&gt;"))))</f>
        <v/>
      </c>
      <c r="D215" s="43" t="str">
        <f>IF(OR($B215="",$A215&gt;$B$9,D$210=""),"",IF(COUNTIFS(BD!$B$3:$B$5001,D$210,BD!$A$3:$A$5001,"&gt;="&amp;$C$7,BD!$A$3:$A$5001,"&lt;="&amp;$B215,BD!$Y$3:$Y$5001,"&lt;&gt;")=0,"",SUMIFS(BD!$Y$3:$Y$5001,BD!$B$3:$B$5001,D$210,BD!$A$3:$A$5001,_xlfn.MAXIFS(BD!$A$3:$A$5001,BD!$B$3:$B$5001,D$210,BD!$A$3:$A$5001,"&gt;="&amp;$C$7,BD!$A$3:$A$5001,"&lt;="&amp;$B215,BD!$Y$3:$Y$5001,"&lt;&gt;"))))</f>
        <v/>
      </c>
      <c r="E215" s="43" t="str">
        <f>IF(OR($B215="",$A215&gt;$B$9,E$210=""),"",IF(COUNTIFS(BD!$B$3:$B$5001,E$210,BD!$A$3:$A$5001,"&gt;="&amp;$C$7,BD!$A$3:$A$5001,"&lt;="&amp;$B215,BD!$Y$3:$Y$5001,"&lt;&gt;")=0,"",SUMIFS(BD!$Y$3:$Y$5001,BD!$B$3:$B$5001,E$210,BD!$A$3:$A$5001,_xlfn.MAXIFS(BD!$A$3:$A$5001,BD!$B$3:$B$5001,E$210,BD!$A$3:$A$5001,"&gt;="&amp;$C$7,BD!$A$3:$A$5001,"&lt;="&amp;$B215,BD!$Y$3:$Y$5001,"&lt;&gt;"))))</f>
        <v/>
      </c>
      <c r="F215" s="43" t="str">
        <f>IF(OR($B215="",$A215&gt;$B$9,F$210=""),"",IF(COUNTIFS(BD!$B$3:$B$5001,F$210,BD!$A$3:$A$5001,"&gt;="&amp;$C$7,BD!$A$3:$A$5001,"&lt;="&amp;$B215,BD!$Y$3:$Y$5001,"&lt;&gt;")=0,"",SUMIFS(BD!$Y$3:$Y$5001,BD!$B$3:$B$5001,F$210,BD!$A$3:$A$5001,_xlfn.MAXIFS(BD!$A$3:$A$5001,BD!$B$3:$B$5001,F$210,BD!$A$3:$A$5001,"&gt;="&amp;$C$7,BD!$A$3:$A$5001,"&lt;="&amp;$B215,BD!$Y$3:$Y$5001,"&lt;&gt;"))))</f>
        <v/>
      </c>
      <c r="G215" s="43" t="str">
        <f>IF(OR($B215="",$A215&gt;$B$9,G$210=""),"",IF(COUNTIFS(BD!$B$3:$B$5001,G$210,BD!$A$3:$A$5001,"&gt;="&amp;$C$7,BD!$A$3:$A$5001,"&lt;="&amp;$B215,BD!$Y$3:$Y$5001,"&lt;&gt;")=0,"",SUMIFS(BD!$Y$3:$Y$5001,BD!$B$3:$B$5001,G$210,BD!$A$3:$A$5001,_xlfn.MAXIFS(BD!$A$3:$A$5001,BD!$B$3:$B$5001,G$210,BD!$A$3:$A$5001,"&gt;="&amp;$C$7,BD!$A$3:$A$5001,"&lt;="&amp;$B215,BD!$Y$3:$Y$5001,"&lt;&gt;"))))</f>
        <v/>
      </c>
      <c r="H215" s="43" t="str">
        <f>IF(OR($B215="",$A215&gt;$B$9,H$210=""),"",IF(COUNTIFS(BD!$B$3:$B$5001,H$210,BD!$A$3:$A$5001,"&gt;="&amp;$C$7,BD!$A$3:$A$5001,"&lt;="&amp;$B215,BD!$Y$3:$Y$5001,"&lt;&gt;")=0,"",SUMIFS(BD!$Y$3:$Y$5001,BD!$B$3:$B$5001,H$210,BD!$A$3:$A$5001,_xlfn.MAXIFS(BD!$A$3:$A$5001,BD!$B$3:$B$5001,H$210,BD!$A$3:$A$5001,"&gt;="&amp;$C$7,BD!$A$3:$A$5001,"&lt;="&amp;$B215,BD!$Y$3:$Y$5001,"&lt;&gt;"))))</f>
        <v/>
      </c>
      <c r="I215" s="43" t="str">
        <f>IF(OR($B215="",$A215&gt;$B$9,I$210=""),"",IF(COUNTIFS(BD!$B$3:$B$5001,I$210,BD!$A$3:$A$5001,"&gt;="&amp;$C$7,BD!$A$3:$A$5001,"&lt;="&amp;$B215,BD!$Y$3:$Y$5001,"&lt;&gt;")=0,"",SUMIFS(BD!$Y$3:$Y$5001,BD!$B$3:$B$5001,I$210,BD!$A$3:$A$5001,_xlfn.MAXIFS(BD!$A$3:$A$5001,BD!$B$3:$B$5001,I$210,BD!$A$3:$A$5001,"&gt;="&amp;$C$7,BD!$A$3:$A$5001,"&lt;="&amp;$B215,BD!$Y$3:$Y$5001,"&lt;&gt;"))))</f>
        <v/>
      </c>
      <c r="J215" s="43" t="str">
        <f>IF(OR($B215="",$A215&gt;$B$9,J$210=""),"",IF(COUNTIFS(BD!$B$3:$B$5001,J$210,BD!$A$3:$A$5001,"&gt;="&amp;$C$7,BD!$A$3:$A$5001,"&lt;="&amp;$B215,BD!$Y$3:$Y$5001,"&lt;&gt;")=0,"",SUMIFS(BD!$Y$3:$Y$5001,BD!$B$3:$B$5001,J$210,BD!$A$3:$A$5001,_xlfn.MAXIFS(BD!$A$3:$A$5001,BD!$B$3:$B$5001,J$210,BD!$A$3:$A$5001,"&gt;="&amp;$C$7,BD!$A$3:$A$5001,"&lt;="&amp;$B215,BD!$Y$3:$Y$5001,"&lt;&gt;"))))</f>
        <v/>
      </c>
      <c r="K215" s="43" t="str">
        <f>IF(OR($B215="",$A215&gt;$B$9,K$210=""),"",IF(COUNTIFS(BD!$B$3:$B$5001,K$210,BD!$A$3:$A$5001,"&gt;="&amp;$C$7,BD!$A$3:$A$5001,"&lt;="&amp;$B215,BD!$Y$3:$Y$5001,"&lt;&gt;")=0,"",SUMIFS(BD!$Y$3:$Y$5001,BD!$B$3:$B$5001,K$210,BD!$A$3:$A$5001,_xlfn.MAXIFS(BD!$A$3:$A$5001,BD!$B$3:$B$5001,K$210,BD!$A$3:$A$5001,"&gt;="&amp;$C$7,BD!$A$3:$A$5001,"&lt;="&amp;$B215,BD!$Y$3:$Y$5001,"&lt;&gt;"))))</f>
        <v/>
      </c>
      <c r="L215" s="43" t="str">
        <f>IF(OR($B215="",$A215&gt;$B$9,L$210=""),"",IF(COUNTIFS(BD!$B$3:$B$5001,L$210,BD!$A$3:$A$5001,"&gt;="&amp;$C$7,BD!$A$3:$A$5001,"&lt;="&amp;$B215,BD!$Y$3:$Y$5001,"&lt;&gt;")=0,"",SUMIFS(BD!$Y$3:$Y$5001,BD!$B$3:$B$5001,L$210,BD!$A$3:$A$5001,_xlfn.MAXIFS(BD!$A$3:$A$5001,BD!$B$3:$B$5001,L$210,BD!$A$3:$A$5001,"&gt;="&amp;$C$7,BD!$A$3:$A$5001,"&lt;="&amp;$B215,BD!$Y$3:$Y$5001,"&lt;&gt;"))))</f>
        <v/>
      </c>
      <c r="M215" s="43" t="str">
        <f>IF(OR($B215="",$A215&gt;$B$9,M$210=""),"",IF(COUNTIFS(BD!$B$3:$B$5001,M$210,BD!$A$3:$A$5001,"&gt;="&amp;$C$7,BD!$A$3:$A$5001,"&lt;="&amp;$B215,BD!$Y$3:$Y$5001,"&lt;&gt;")=0,"",SUMIFS(BD!$Y$3:$Y$5001,BD!$B$3:$B$5001,M$210,BD!$A$3:$A$5001,_xlfn.MAXIFS(BD!$A$3:$A$5001,BD!$B$3:$B$5001,M$210,BD!$A$3:$A$5001,"&gt;="&amp;$C$7,BD!$A$3:$A$5001,"&lt;="&amp;$B215,BD!$Y$3:$Y$5001,"&lt;&gt;"))))</f>
        <v/>
      </c>
      <c r="N215" s="43" t="str">
        <f>IF(OR($B215="",$A215&gt;$B$9,N$210=""),"",IF(COUNTIFS(BD!$B$3:$B$5001,N$210,BD!$A$3:$A$5001,"&gt;="&amp;$C$7,BD!$A$3:$A$5001,"&lt;="&amp;$B215,BD!$Y$3:$Y$5001,"&lt;&gt;")=0,"",SUMIFS(BD!$Y$3:$Y$5001,BD!$B$3:$B$5001,N$210,BD!$A$3:$A$5001,_xlfn.MAXIFS(BD!$A$3:$A$5001,BD!$B$3:$B$5001,N$210,BD!$A$3:$A$5001,"&gt;="&amp;$C$7,BD!$A$3:$A$5001,"&lt;="&amp;$B215,BD!$Y$3:$Y$5001,"&lt;&gt;"))))</f>
        <v/>
      </c>
      <c r="O215" s="43" t="str">
        <f>IF(OR($B215="",$A215&gt;$B$9,O$210=""),"",IF(COUNTIFS(BD!$B$3:$B$5001,O$210,BD!$A$3:$A$5001,"&gt;="&amp;$C$7,BD!$A$3:$A$5001,"&lt;="&amp;$B215,BD!$Y$3:$Y$5001,"&lt;&gt;")=0,"",SUMIFS(BD!$Y$3:$Y$5001,BD!$B$3:$B$5001,O$210,BD!$A$3:$A$5001,_xlfn.MAXIFS(BD!$A$3:$A$5001,BD!$B$3:$B$5001,O$210,BD!$A$3:$A$5001,"&gt;="&amp;$C$7,BD!$A$3:$A$5001,"&lt;="&amp;$B215,BD!$Y$3:$Y$5001,"&lt;&gt;"))))</f>
        <v/>
      </c>
      <c r="P215" s="43" t="str">
        <f>IF(OR($B215="",$A215&gt;$B$9,P$210=""),"",IF(COUNTIFS(BD!$B$3:$B$5001,P$210,BD!$A$3:$A$5001,"&gt;="&amp;$C$7,BD!$A$3:$A$5001,"&lt;="&amp;$B215,BD!$Y$3:$Y$5001,"&lt;&gt;")=0,"",SUMIFS(BD!$Y$3:$Y$5001,BD!$B$3:$B$5001,P$210,BD!$A$3:$A$5001,_xlfn.MAXIFS(BD!$A$3:$A$5001,BD!$B$3:$B$5001,P$210,BD!$A$3:$A$5001,"&gt;="&amp;$C$7,BD!$A$3:$A$5001,"&lt;="&amp;$B215,BD!$Y$3:$Y$5001,"&lt;&gt;"))))</f>
        <v/>
      </c>
      <c r="Q215" s="43" t="str">
        <f>IF(OR($B215="",$A215&gt;$B$9,Q$210=""),"",IF(COUNTIFS(BD!$B$3:$B$5001,Q$210,BD!$A$3:$A$5001,"&gt;="&amp;$C$7,BD!$A$3:$A$5001,"&lt;="&amp;$B215,BD!$Y$3:$Y$5001,"&lt;&gt;")=0,"",SUMIFS(BD!$Y$3:$Y$5001,BD!$B$3:$B$5001,Q$210,BD!$A$3:$A$5001,_xlfn.MAXIFS(BD!$A$3:$A$5001,BD!$B$3:$B$5001,Q$210,BD!$A$3:$A$5001,"&gt;="&amp;$C$7,BD!$A$3:$A$5001,"&lt;="&amp;$B215,BD!$Y$3:$Y$5001,"&lt;&gt;"))))</f>
        <v/>
      </c>
      <c r="R215" s="43" t="str">
        <f>IF(OR($B215="",$A215&gt;$B$9,R$210=""),"",IF(COUNTIFS(BD!$B$3:$B$5001,R$210,BD!$A$3:$A$5001,"&gt;="&amp;$C$7,BD!$A$3:$A$5001,"&lt;="&amp;$B215,BD!$Y$3:$Y$5001,"&lt;&gt;")=0,"",SUMIFS(BD!$Y$3:$Y$5001,BD!$B$3:$B$5001,R$210,BD!$A$3:$A$5001,_xlfn.MAXIFS(BD!$A$3:$A$5001,BD!$B$3:$B$5001,R$210,BD!$A$3:$A$5001,"&gt;="&amp;$C$7,BD!$A$3:$A$5001,"&lt;="&amp;$B215,BD!$Y$3:$Y$5001,"&lt;&gt;"))))</f>
        <v/>
      </c>
      <c r="S215" s="43" t="str">
        <f>IF(OR($B215="",$A215&gt;$B$9,S$210=""),"",IF(COUNTIFS(BD!$B$3:$B$5001,S$210,BD!$A$3:$A$5001,"&gt;="&amp;$C$7,BD!$A$3:$A$5001,"&lt;="&amp;$B215,BD!$Y$3:$Y$5001,"&lt;&gt;")=0,"",SUMIFS(BD!$Y$3:$Y$5001,BD!$B$3:$B$5001,S$210,BD!$A$3:$A$5001,_xlfn.MAXIFS(BD!$A$3:$A$5001,BD!$B$3:$B$5001,S$210,BD!$A$3:$A$5001,"&gt;="&amp;$C$7,BD!$A$3:$A$5001,"&lt;="&amp;$B215,BD!$Y$3:$Y$5001,"&lt;&gt;"))))</f>
        <v/>
      </c>
      <c r="T215" s="43" t="str">
        <f>IF(OR($B215="",$A215&gt;$B$9,T$210=""),"",IF(COUNTIFS(BD!$B$3:$B$5001,T$210,BD!$A$3:$A$5001,"&gt;="&amp;$C$7,BD!$A$3:$A$5001,"&lt;="&amp;$B215,BD!$Y$3:$Y$5001,"&lt;&gt;")=0,"",SUMIFS(BD!$Y$3:$Y$5001,BD!$B$3:$B$5001,T$210,BD!$A$3:$A$5001,_xlfn.MAXIFS(BD!$A$3:$A$5001,BD!$B$3:$B$5001,T$210,BD!$A$3:$A$5001,"&gt;="&amp;$C$7,BD!$A$3:$A$5001,"&lt;="&amp;$B215,BD!$Y$3:$Y$5001,"&lt;&gt;"))))</f>
        <v/>
      </c>
      <c r="U215" s="43" t="str">
        <f>IF(OR($B215="",$A215&gt;$B$9,U$210=""),"",IF(COUNTIFS(BD!$B$3:$B$5001,U$210,BD!$A$3:$A$5001,"&gt;="&amp;$C$7,BD!$A$3:$A$5001,"&lt;="&amp;$B215,BD!$Y$3:$Y$5001,"&lt;&gt;")=0,"",SUMIFS(BD!$Y$3:$Y$5001,BD!$B$3:$B$5001,U$210,BD!$A$3:$A$5001,_xlfn.MAXIFS(BD!$A$3:$A$5001,BD!$B$3:$B$5001,U$210,BD!$A$3:$A$5001,"&gt;="&amp;$C$7,BD!$A$3:$A$5001,"&lt;="&amp;$B215,BD!$Y$3:$Y$5001,"&lt;&gt;"))))</f>
        <v/>
      </c>
      <c r="V215" s="43" t="str">
        <f>IF(OR($B215="",$A215&gt;$B$9,V$210=""),"",IF(COUNTIFS(BD!$B$3:$B$5001,V$210,BD!$A$3:$A$5001,"&gt;="&amp;$C$7,BD!$A$3:$A$5001,"&lt;="&amp;$B215,BD!$Y$3:$Y$5001,"&lt;&gt;")=0,"",SUMIFS(BD!$Y$3:$Y$5001,BD!$B$3:$B$5001,V$210,BD!$A$3:$A$5001,_xlfn.MAXIFS(BD!$A$3:$A$5001,BD!$B$3:$B$5001,V$210,BD!$A$3:$A$5001,"&gt;="&amp;$C$7,BD!$A$3:$A$5001,"&lt;="&amp;$B215,BD!$Y$3:$Y$5001,"&lt;&gt;"))))</f>
        <v/>
      </c>
    </row>
    <row r="216">
      <c r="A216" s="38">
        <v>6</v>
      </c>
      <c r="B216" s="42">
        <f>$B$17</f>
        <v>46301</v>
      </c>
      <c r="C216" s="43" t="str">
        <f>IF(OR($B216="",$A216&gt;$B$9,C$210=""),"",IF(COUNTIFS(BD!$B$3:$B$5001,C$210,BD!$A$3:$A$5001,"&gt;="&amp;$C$7,BD!$A$3:$A$5001,"&lt;="&amp;$B216,BD!$Y$3:$Y$5001,"&lt;&gt;")=0,"",SUMIFS(BD!$Y$3:$Y$5001,BD!$B$3:$B$5001,C$210,BD!$A$3:$A$5001,_xlfn.MAXIFS(BD!$A$3:$A$5001,BD!$B$3:$B$5001,C$210,BD!$A$3:$A$5001,"&gt;="&amp;$C$7,BD!$A$3:$A$5001,"&lt;="&amp;$B216,BD!$Y$3:$Y$5001,"&lt;&gt;"))))</f>
        <v/>
      </c>
      <c r="D216" s="43" t="str">
        <f>IF(OR($B216="",$A216&gt;$B$9,D$210=""),"",IF(COUNTIFS(BD!$B$3:$B$5001,D$210,BD!$A$3:$A$5001,"&gt;="&amp;$C$7,BD!$A$3:$A$5001,"&lt;="&amp;$B216,BD!$Y$3:$Y$5001,"&lt;&gt;")=0,"",SUMIFS(BD!$Y$3:$Y$5001,BD!$B$3:$B$5001,D$210,BD!$A$3:$A$5001,_xlfn.MAXIFS(BD!$A$3:$A$5001,BD!$B$3:$B$5001,D$210,BD!$A$3:$A$5001,"&gt;="&amp;$C$7,BD!$A$3:$A$5001,"&lt;="&amp;$B216,BD!$Y$3:$Y$5001,"&lt;&gt;"))))</f>
        <v/>
      </c>
      <c r="E216" s="43" t="str">
        <f>IF(OR($B216="",$A216&gt;$B$9,E$210=""),"",IF(COUNTIFS(BD!$B$3:$B$5001,E$210,BD!$A$3:$A$5001,"&gt;="&amp;$C$7,BD!$A$3:$A$5001,"&lt;="&amp;$B216,BD!$Y$3:$Y$5001,"&lt;&gt;")=0,"",SUMIFS(BD!$Y$3:$Y$5001,BD!$B$3:$B$5001,E$210,BD!$A$3:$A$5001,_xlfn.MAXIFS(BD!$A$3:$A$5001,BD!$B$3:$B$5001,E$210,BD!$A$3:$A$5001,"&gt;="&amp;$C$7,BD!$A$3:$A$5001,"&lt;="&amp;$B216,BD!$Y$3:$Y$5001,"&lt;&gt;"))))</f>
        <v/>
      </c>
      <c r="F216" s="43" t="str">
        <f>IF(OR($B216="",$A216&gt;$B$9,F$210=""),"",IF(COUNTIFS(BD!$B$3:$B$5001,F$210,BD!$A$3:$A$5001,"&gt;="&amp;$C$7,BD!$A$3:$A$5001,"&lt;="&amp;$B216,BD!$Y$3:$Y$5001,"&lt;&gt;")=0,"",SUMIFS(BD!$Y$3:$Y$5001,BD!$B$3:$B$5001,F$210,BD!$A$3:$A$5001,_xlfn.MAXIFS(BD!$A$3:$A$5001,BD!$B$3:$B$5001,F$210,BD!$A$3:$A$5001,"&gt;="&amp;$C$7,BD!$A$3:$A$5001,"&lt;="&amp;$B216,BD!$Y$3:$Y$5001,"&lt;&gt;"))))</f>
        <v/>
      </c>
      <c r="G216" s="43" t="str">
        <f>IF(OR($B216="",$A216&gt;$B$9,G$210=""),"",IF(COUNTIFS(BD!$B$3:$B$5001,G$210,BD!$A$3:$A$5001,"&gt;="&amp;$C$7,BD!$A$3:$A$5001,"&lt;="&amp;$B216,BD!$Y$3:$Y$5001,"&lt;&gt;")=0,"",SUMIFS(BD!$Y$3:$Y$5001,BD!$B$3:$B$5001,G$210,BD!$A$3:$A$5001,_xlfn.MAXIFS(BD!$A$3:$A$5001,BD!$B$3:$B$5001,G$210,BD!$A$3:$A$5001,"&gt;="&amp;$C$7,BD!$A$3:$A$5001,"&lt;="&amp;$B216,BD!$Y$3:$Y$5001,"&lt;&gt;"))))</f>
        <v/>
      </c>
      <c r="H216" s="43" t="str">
        <f>IF(OR($B216="",$A216&gt;$B$9,H$210=""),"",IF(COUNTIFS(BD!$B$3:$B$5001,H$210,BD!$A$3:$A$5001,"&gt;="&amp;$C$7,BD!$A$3:$A$5001,"&lt;="&amp;$B216,BD!$Y$3:$Y$5001,"&lt;&gt;")=0,"",SUMIFS(BD!$Y$3:$Y$5001,BD!$B$3:$B$5001,H$210,BD!$A$3:$A$5001,_xlfn.MAXIFS(BD!$A$3:$A$5001,BD!$B$3:$B$5001,H$210,BD!$A$3:$A$5001,"&gt;="&amp;$C$7,BD!$A$3:$A$5001,"&lt;="&amp;$B216,BD!$Y$3:$Y$5001,"&lt;&gt;"))))</f>
        <v/>
      </c>
      <c r="I216" s="43" t="str">
        <f>IF(OR($B216="",$A216&gt;$B$9,I$210=""),"",IF(COUNTIFS(BD!$B$3:$B$5001,I$210,BD!$A$3:$A$5001,"&gt;="&amp;$C$7,BD!$A$3:$A$5001,"&lt;="&amp;$B216,BD!$Y$3:$Y$5001,"&lt;&gt;")=0,"",SUMIFS(BD!$Y$3:$Y$5001,BD!$B$3:$B$5001,I$210,BD!$A$3:$A$5001,_xlfn.MAXIFS(BD!$A$3:$A$5001,BD!$B$3:$B$5001,I$210,BD!$A$3:$A$5001,"&gt;="&amp;$C$7,BD!$A$3:$A$5001,"&lt;="&amp;$B216,BD!$Y$3:$Y$5001,"&lt;&gt;"))))</f>
        <v/>
      </c>
      <c r="J216" s="43" t="str">
        <f>IF(OR($B216="",$A216&gt;$B$9,J$210=""),"",IF(COUNTIFS(BD!$B$3:$B$5001,J$210,BD!$A$3:$A$5001,"&gt;="&amp;$C$7,BD!$A$3:$A$5001,"&lt;="&amp;$B216,BD!$Y$3:$Y$5001,"&lt;&gt;")=0,"",SUMIFS(BD!$Y$3:$Y$5001,BD!$B$3:$B$5001,J$210,BD!$A$3:$A$5001,_xlfn.MAXIFS(BD!$A$3:$A$5001,BD!$B$3:$B$5001,J$210,BD!$A$3:$A$5001,"&gt;="&amp;$C$7,BD!$A$3:$A$5001,"&lt;="&amp;$B216,BD!$Y$3:$Y$5001,"&lt;&gt;"))))</f>
        <v/>
      </c>
      <c r="K216" s="43" t="str">
        <f>IF(OR($B216="",$A216&gt;$B$9,K$210=""),"",IF(COUNTIFS(BD!$B$3:$B$5001,K$210,BD!$A$3:$A$5001,"&gt;="&amp;$C$7,BD!$A$3:$A$5001,"&lt;="&amp;$B216,BD!$Y$3:$Y$5001,"&lt;&gt;")=0,"",SUMIFS(BD!$Y$3:$Y$5001,BD!$B$3:$B$5001,K$210,BD!$A$3:$A$5001,_xlfn.MAXIFS(BD!$A$3:$A$5001,BD!$B$3:$B$5001,K$210,BD!$A$3:$A$5001,"&gt;="&amp;$C$7,BD!$A$3:$A$5001,"&lt;="&amp;$B216,BD!$Y$3:$Y$5001,"&lt;&gt;"))))</f>
        <v/>
      </c>
      <c r="L216" s="43" t="str">
        <f>IF(OR($B216="",$A216&gt;$B$9,L$210=""),"",IF(COUNTIFS(BD!$B$3:$B$5001,L$210,BD!$A$3:$A$5001,"&gt;="&amp;$C$7,BD!$A$3:$A$5001,"&lt;="&amp;$B216,BD!$Y$3:$Y$5001,"&lt;&gt;")=0,"",SUMIFS(BD!$Y$3:$Y$5001,BD!$B$3:$B$5001,L$210,BD!$A$3:$A$5001,_xlfn.MAXIFS(BD!$A$3:$A$5001,BD!$B$3:$B$5001,L$210,BD!$A$3:$A$5001,"&gt;="&amp;$C$7,BD!$A$3:$A$5001,"&lt;="&amp;$B216,BD!$Y$3:$Y$5001,"&lt;&gt;"))))</f>
        <v/>
      </c>
      <c r="M216" s="43" t="str">
        <f>IF(OR($B216="",$A216&gt;$B$9,M$210=""),"",IF(COUNTIFS(BD!$B$3:$B$5001,M$210,BD!$A$3:$A$5001,"&gt;="&amp;$C$7,BD!$A$3:$A$5001,"&lt;="&amp;$B216,BD!$Y$3:$Y$5001,"&lt;&gt;")=0,"",SUMIFS(BD!$Y$3:$Y$5001,BD!$B$3:$B$5001,M$210,BD!$A$3:$A$5001,_xlfn.MAXIFS(BD!$A$3:$A$5001,BD!$B$3:$B$5001,M$210,BD!$A$3:$A$5001,"&gt;="&amp;$C$7,BD!$A$3:$A$5001,"&lt;="&amp;$B216,BD!$Y$3:$Y$5001,"&lt;&gt;"))))</f>
        <v/>
      </c>
      <c r="N216" s="43" t="str">
        <f>IF(OR($B216="",$A216&gt;$B$9,N$210=""),"",IF(COUNTIFS(BD!$B$3:$B$5001,N$210,BD!$A$3:$A$5001,"&gt;="&amp;$C$7,BD!$A$3:$A$5001,"&lt;="&amp;$B216,BD!$Y$3:$Y$5001,"&lt;&gt;")=0,"",SUMIFS(BD!$Y$3:$Y$5001,BD!$B$3:$B$5001,N$210,BD!$A$3:$A$5001,_xlfn.MAXIFS(BD!$A$3:$A$5001,BD!$B$3:$B$5001,N$210,BD!$A$3:$A$5001,"&gt;="&amp;$C$7,BD!$A$3:$A$5001,"&lt;="&amp;$B216,BD!$Y$3:$Y$5001,"&lt;&gt;"))))</f>
        <v/>
      </c>
      <c r="O216" s="43" t="str">
        <f>IF(OR($B216="",$A216&gt;$B$9,O$210=""),"",IF(COUNTIFS(BD!$B$3:$B$5001,O$210,BD!$A$3:$A$5001,"&gt;="&amp;$C$7,BD!$A$3:$A$5001,"&lt;="&amp;$B216,BD!$Y$3:$Y$5001,"&lt;&gt;")=0,"",SUMIFS(BD!$Y$3:$Y$5001,BD!$B$3:$B$5001,O$210,BD!$A$3:$A$5001,_xlfn.MAXIFS(BD!$A$3:$A$5001,BD!$B$3:$B$5001,O$210,BD!$A$3:$A$5001,"&gt;="&amp;$C$7,BD!$A$3:$A$5001,"&lt;="&amp;$B216,BD!$Y$3:$Y$5001,"&lt;&gt;"))))</f>
        <v/>
      </c>
      <c r="P216" s="43" t="str">
        <f>IF(OR($B216="",$A216&gt;$B$9,P$210=""),"",IF(COUNTIFS(BD!$B$3:$B$5001,P$210,BD!$A$3:$A$5001,"&gt;="&amp;$C$7,BD!$A$3:$A$5001,"&lt;="&amp;$B216,BD!$Y$3:$Y$5001,"&lt;&gt;")=0,"",SUMIFS(BD!$Y$3:$Y$5001,BD!$B$3:$B$5001,P$210,BD!$A$3:$A$5001,_xlfn.MAXIFS(BD!$A$3:$A$5001,BD!$B$3:$B$5001,P$210,BD!$A$3:$A$5001,"&gt;="&amp;$C$7,BD!$A$3:$A$5001,"&lt;="&amp;$B216,BD!$Y$3:$Y$5001,"&lt;&gt;"))))</f>
        <v/>
      </c>
      <c r="Q216" s="43" t="str">
        <f>IF(OR($B216="",$A216&gt;$B$9,Q$210=""),"",IF(COUNTIFS(BD!$B$3:$B$5001,Q$210,BD!$A$3:$A$5001,"&gt;="&amp;$C$7,BD!$A$3:$A$5001,"&lt;="&amp;$B216,BD!$Y$3:$Y$5001,"&lt;&gt;")=0,"",SUMIFS(BD!$Y$3:$Y$5001,BD!$B$3:$B$5001,Q$210,BD!$A$3:$A$5001,_xlfn.MAXIFS(BD!$A$3:$A$5001,BD!$B$3:$B$5001,Q$210,BD!$A$3:$A$5001,"&gt;="&amp;$C$7,BD!$A$3:$A$5001,"&lt;="&amp;$B216,BD!$Y$3:$Y$5001,"&lt;&gt;"))))</f>
        <v/>
      </c>
      <c r="R216" s="43" t="str">
        <f>IF(OR($B216="",$A216&gt;$B$9,R$210=""),"",IF(COUNTIFS(BD!$B$3:$B$5001,R$210,BD!$A$3:$A$5001,"&gt;="&amp;$C$7,BD!$A$3:$A$5001,"&lt;="&amp;$B216,BD!$Y$3:$Y$5001,"&lt;&gt;")=0,"",SUMIFS(BD!$Y$3:$Y$5001,BD!$B$3:$B$5001,R$210,BD!$A$3:$A$5001,_xlfn.MAXIFS(BD!$A$3:$A$5001,BD!$B$3:$B$5001,R$210,BD!$A$3:$A$5001,"&gt;="&amp;$C$7,BD!$A$3:$A$5001,"&lt;="&amp;$B216,BD!$Y$3:$Y$5001,"&lt;&gt;"))))</f>
        <v/>
      </c>
      <c r="S216" s="43" t="str">
        <f>IF(OR($B216="",$A216&gt;$B$9,S$210=""),"",IF(COUNTIFS(BD!$B$3:$B$5001,S$210,BD!$A$3:$A$5001,"&gt;="&amp;$C$7,BD!$A$3:$A$5001,"&lt;="&amp;$B216,BD!$Y$3:$Y$5001,"&lt;&gt;")=0,"",SUMIFS(BD!$Y$3:$Y$5001,BD!$B$3:$B$5001,S$210,BD!$A$3:$A$5001,_xlfn.MAXIFS(BD!$A$3:$A$5001,BD!$B$3:$B$5001,S$210,BD!$A$3:$A$5001,"&gt;="&amp;$C$7,BD!$A$3:$A$5001,"&lt;="&amp;$B216,BD!$Y$3:$Y$5001,"&lt;&gt;"))))</f>
        <v/>
      </c>
      <c r="T216" s="43" t="str">
        <f>IF(OR($B216="",$A216&gt;$B$9,T$210=""),"",IF(COUNTIFS(BD!$B$3:$B$5001,T$210,BD!$A$3:$A$5001,"&gt;="&amp;$C$7,BD!$A$3:$A$5001,"&lt;="&amp;$B216,BD!$Y$3:$Y$5001,"&lt;&gt;")=0,"",SUMIFS(BD!$Y$3:$Y$5001,BD!$B$3:$B$5001,T$210,BD!$A$3:$A$5001,_xlfn.MAXIFS(BD!$A$3:$A$5001,BD!$B$3:$B$5001,T$210,BD!$A$3:$A$5001,"&gt;="&amp;$C$7,BD!$A$3:$A$5001,"&lt;="&amp;$B216,BD!$Y$3:$Y$5001,"&lt;&gt;"))))</f>
        <v/>
      </c>
      <c r="U216" s="43" t="str">
        <f>IF(OR($B216="",$A216&gt;$B$9,U$210=""),"",IF(COUNTIFS(BD!$B$3:$B$5001,U$210,BD!$A$3:$A$5001,"&gt;="&amp;$C$7,BD!$A$3:$A$5001,"&lt;="&amp;$B216,BD!$Y$3:$Y$5001,"&lt;&gt;")=0,"",SUMIFS(BD!$Y$3:$Y$5001,BD!$B$3:$B$5001,U$210,BD!$A$3:$A$5001,_xlfn.MAXIFS(BD!$A$3:$A$5001,BD!$B$3:$B$5001,U$210,BD!$A$3:$A$5001,"&gt;="&amp;$C$7,BD!$A$3:$A$5001,"&lt;="&amp;$B216,BD!$Y$3:$Y$5001,"&lt;&gt;"))))</f>
        <v/>
      </c>
      <c r="V216" s="43" t="str">
        <f>IF(OR($B216="",$A216&gt;$B$9,V$210=""),"",IF(COUNTIFS(BD!$B$3:$B$5001,V$210,BD!$A$3:$A$5001,"&gt;="&amp;$C$7,BD!$A$3:$A$5001,"&lt;="&amp;$B216,BD!$Y$3:$Y$5001,"&lt;&gt;")=0,"",SUMIFS(BD!$Y$3:$Y$5001,BD!$B$3:$B$5001,V$210,BD!$A$3:$A$5001,_xlfn.MAXIFS(BD!$A$3:$A$5001,BD!$B$3:$B$5001,V$210,BD!$A$3:$A$5001,"&gt;="&amp;$C$7,BD!$A$3:$A$5001,"&lt;="&amp;$B216,BD!$Y$3:$Y$5001,"&lt;&gt;"))))</f>
        <v/>
      </c>
    </row>
    <row r="217">
      <c r="A217" s="38">
        <v>7</v>
      </c>
      <c r="B217" s="42">
        <f>$B$18</f>
        <v>46302</v>
      </c>
      <c r="C217" s="43" t="str">
        <f>IF(OR($B217="",$A217&gt;$B$9,C$210=""),"",IF(COUNTIFS(BD!$B$3:$B$5001,C$210,BD!$A$3:$A$5001,"&gt;="&amp;$C$7,BD!$A$3:$A$5001,"&lt;="&amp;$B217,BD!$Y$3:$Y$5001,"&lt;&gt;")=0,"",SUMIFS(BD!$Y$3:$Y$5001,BD!$B$3:$B$5001,C$210,BD!$A$3:$A$5001,_xlfn.MAXIFS(BD!$A$3:$A$5001,BD!$B$3:$B$5001,C$210,BD!$A$3:$A$5001,"&gt;="&amp;$C$7,BD!$A$3:$A$5001,"&lt;="&amp;$B217,BD!$Y$3:$Y$5001,"&lt;&gt;"))))</f>
        <v/>
      </c>
      <c r="D217" s="43" t="str">
        <f>IF(OR($B217="",$A217&gt;$B$9,D$210=""),"",IF(COUNTIFS(BD!$B$3:$B$5001,D$210,BD!$A$3:$A$5001,"&gt;="&amp;$C$7,BD!$A$3:$A$5001,"&lt;="&amp;$B217,BD!$Y$3:$Y$5001,"&lt;&gt;")=0,"",SUMIFS(BD!$Y$3:$Y$5001,BD!$B$3:$B$5001,D$210,BD!$A$3:$A$5001,_xlfn.MAXIFS(BD!$A$3:$A$5001,BD!$B$3:$B$5001,D$210,BD!$A$3:$A$5001,"&gt;="&amp;$C$7,BD!$A$3:$A$5001,"&lt;="&amp;$B217,BD!$Y$3:$Y$5001,"&lt;&gt;"))))</f>
        <v/>
      </c>
      <c r="E217" s="43" t="str">
        <f>IF(OR($B217="",$A217&gt;$B$9,E$210=""),"",IF(COUNTIFS(BD!$B$3:$B$5001,E$210,BD!$A$3:$A$5001,"&gt;="&amp;$C$7,BD!$A$3:$A$5001,"&lt;="&amp;$B217,BD!$Y$3:$Y$5001,"&lt;&gt;")=0,"",SUMIFS(BD!$Y$3:$Y$5001,BD!$B$3:$B$5001,E$210,BD!$A$3:$A$5001,_xlfn.MAXIFS(BD!$A$3:$A$5001,BD!$B$3:$B$5001,E$210,BD!$A$3:$A$5001,"&gt;="&amp;$C$7,BD!$A$3:$A$5001,"&lt;="&amp;$B217,BD!$Y$3:$Y$5001,"&lt;&gt;"))))</f>
        <v/>
      </c>
      <c r="F217" s="43" t="str">
        <f>IF(OR($B217="",$A217&gt;$B$9,F$210=""),"",IF(COUNTIFS(BD!$B$3:$B$5001,F$210,BD!$A$3:$A$5001,"&gt;="&amp;$C$7,BD!$A$3:$A$5001,"&lt;="&amp;$B217,BD!$Y$3:$Y$5001,"&lt;&gt;")=0,"",SUMIFS(BD!$Y$3:$Y$5001,BD!$B$3:$B$5001,F$210,BD!$A$3:$A$5001,_xlfn.MAXIFS(BD!$A$3:$A$5001,BD!$B$3:$B$5001,F$210,BD!$A$3:$A$5001,"&gt;="&amp;$C$7,BD!$A$3:$A$5001,"&lt;="&amp;$B217,BD!$Y$3:$Y$5001,"&lt;&gt;"))))</f>
        <v/>
      </c>
      <c r="G217" s="43" t="str">
        <f>IF(OR($B217="",$A217&gt;$B$9,G$210=""),"",IF(COUNTIFS(BD!$B$3:$B$5001,G$210,BD!$A$3:$A$5001,"&gt;="&amp;$C$7,BD!$A$3:$A$5001,"&lt;="&amp;$B217,BD!$Y$3:$Y$5001,"&lt;&gt;")=0,"",SUMIFS(BD!$Y$3:$Y$5001,BD!$B$3:$B$5001,G$210,BD!$A$3:$A$5001,_xlfn.MAXIFS(BD!$A$3:$A$5001,BD!$B$3:$B$5001,G$210,BD!$A$3:$A$5001,"&gt;="&amp;$C$7,BD!$A$3:$A$5001,"&lt;="&amp;$B217,BD!$Y$3:$Y$5001,"&lt;&gt;"))))</f>
        <v/>
      </c>
      <c r="H217" s="43" t="str">
        <f>IF(OR($B217="",$A217&gt;$B$9,H$210=""),"",IF(COUNTIFS(BD!$B$3:$B$5001,H$210,BD!$A$3:$A$5001,"&gt;="&amp;$C$7,BD!$A$3:$A$5001,"&lt;="&amp;$B217,BD!$Y$3:$Y$5001,"&lt;&gt;")=0,"",SUMIFS(BD!$Y$3:$Y$5001,BD!$B$3:$B$5001,H$210,BD!$A$3:$A$5001,_xlfn.MAXIFS(BD!$A$3:$A$5001,BD!$B$3:$B$5001,H$210,BD!$A$3:$A$5001,"&gt;="&amp;$C$7,BD!$A$3:$A$5001,"&lt;="&amp;$B217,BD!$Y$3:$Y$5001,"&lt;&gt;"))))</f>
        <v/>
      </c>
      <c r="I217" s="43" t="str">
        <f>IF(OR($B217="",$A217&gt;$B$9,I$210=""),"",IF(COUNTIFS(BD!$B$3:$B$5001,I$210,BD!$A$3:$A$5001,"&gt;="&amp;$C$7,BD!$A$3:$A$5001,"&lt;="&amp;$B217,BD!$Y$3:$Y$5001,"&lt;&gt;")=0,"",SUMIFS(BD!$Y$3:$Y$5001,BD!$B$3:$B$5001,I$210,BD!$A$3:$A$5001,_xlfn.MAXIFS(BD!$A$3:$A$5001,BD!$B$3:$B$5001,I$210,BD!$A$3:$A$5001,"&gt;="&amp;$C$7,BD!$A$3:$A$5001,"&lt;="&amp;$B217,BD!$Y$3:$Y$5001,"&lt;&gt;"))))</f>
        <v/>
      </c>
      <c r="J217" s="43" t="str">
        <f>IF(OR($B217="",$A217&gt;$B$9,J$210=""),"",IF(COUNTIFS(BD!$B$3:$B$5001,J$210,BD!$A$3:$A$5001,"&gt;="&amp;$C$7,BD!$A$3:$A$5001,"&lt;="&amp;$B217,BD!$Y$3:$Y$5001,"&lt;&gt;")=0,"",SUMIFS(BD!$Y$3:$Y$5001,BD!$B$3:$B$5001,J$210,BD!$A$3:$A$5001,_xlfn.MAXIFS(BD!$A$3:$A$5001,BD!$B$3:$B$5001,J$210,BD!$A$3:$A$5001,"&gt;="&amp;$C$7,BD!$A$3:$A$5001,"&lt;="&amp;$B217,BD!$Y$3:$Y$5001,"&lt;&gt;"))))</f>
        <v/>
      </c>
      <c r="K217" s="43" t="str">
        <f>IF(OR($B217="",$A217&gt;$B$9,K$210=""),"",IF(COUNTIFS(BD!$B$3:$B$5001,K$210,BD!$A$3:$A$5001,"&gt;="&amp;$C$7,BD!$A$3:$A$5001,"&lt;="&amp;$B217,BD!$Y$3:$Y$5001,"&lt;&gt;")=0,"",SUMIFS(BD!$Y$3:$Y$5001,BD!$B$3:$B$5001,K$210,BD!$A$3:$A$5001,_xlfn.MAXIFS(BD!$A$3:$A$5001,BD!$B$3:$B$5001,K$210,BD!$A$3:$A$5001,"&gt;="&amp;$C$7,BD!$A$3:$A$5001,"&lt;="&amp;$B217,BD!$Y$3:$Y$5001,"&lt;&gt;"))))</f>
        <v/>
      </c>
      <c r="L217" s="43" t="str">
        <f>IF(OR($B217="",$A217&gt;$B$9,L$210=""),"",IF(COUNTIFS(BD!$B$3:$B$5001,L$210,BD!$A$3:$A$5001,"&gt;="&amp;$C$7,BD!$A$3:$A$5001,"&lt;="&amp;$B217,BD!$Y$3:$Y$5001,"&lt;&gt;")=0,"",SUMIFS(BD!$Y$3:$Y$5001,BD!$B$3:$B$5001,L$210,BD!$A$3:$A$5001,_xlfn.MAXIFS(BD!$A$3:$A$5001,BD!$B$3:$B$5001,L$210,BD!$A$3:$A$5001,"&gt;="&amp;$C$7,BD!$A$3:$A$5001,"&lt;="&amp;$B217,BD!$Y$3:$Y$5001,"&lt;&gt;"))))</f>
        <v/>
      </c>
      <c r="M217" s="43" t="str">
        <f>IF(OR($B217="",$A217&gt;$B$9,M$210=""),"",IF(COUNTIFS(BD!$B$3:$B$5001,M$210,BD!$A$3:$A$5001,"&gt;="&amp;$C$7,BD!$A$3:$A$5001,"&lt;="&amp;$B217,BD!$Y$3:$Y$5001,"&lt;&gt;")=0,"",SUMIFS(BD!$Y$3:$Y$5001,BD!$B$3:$B$5001,M$210,BD!$A$3:$A$5001,_xlfn.MAXIFS(BD!$A$3:$A$5001,BD!$B$3:$B$5001,M$210,BD!$A$3:$A$5001,"&gt;="&amp;$C$7,BD!$A$3:$A$5001,"&lt;="&amp;$B217,BD!$Y$3:$Y$5001,"&lt;&gt;"))))</f>
        <v/>
      </c>
      <c r="N217" s="43" t="str">
        <f>IF(OR($B217="",$A217&gt;$B$9,N$210=""),"",IF(COUNTIFS(BD!$B$3:$B$5001,N$210,BD!$A$3:$A$5001,"&gt;="&amp;$C$7,BD!$A$3:$A$5001,"&lt;="&amp;$B217,BD!$Y$3:$Y$5001,"&lt;&gt;")=0,"",SUMIFS(BD!$Y$3:$Y$5001,BD!$B$3:$B$5001,N$210,BD!$A$3:$A$5001,_xlfn.MAXIFS(BD!$A$3:$A$5001,BD!$B$3:$B$5001,N$210,BD!$A$3:$A$5001,"&gt;="&amp;$C$7,BD!$A$3:$A$5001,"&lt;="&amp;$B217,BD!$Y$3:$Y$5001,"&lt;&gt;"))))</f>
        <v/>
      </c>
      <c r="O217" s="43" t="str">
        <f>IF(OR($B217="",$A217&gt;$B$9,O$210=""),"",IF(COUNTIFS(BD!$B$3:$B$5001,O$210,BD!$A$3:$A$5001,"&gt;="&amp;$C$7,BD!$A$3:$A$5001,"&lt;="&amp;$B217,BD!$Y$3:$Y$5001,"&lt;&gt;")=0,"",SUMIFS(BD!$Y$3:$Y$5001,BD!$B$3:$B$5001,O$210,BD!$A$3:$A$5001,_xlfn.MAXIFS(BD!$A$3:$A$5001,BD!$B$3:$B$5001,O$210,BD!$A$3:$A$5001,"&gt;="&amp;$C$7,BD!$A$3:$A$5001,"&lt;="&amp;$B217,BD!$Y$3:$Y$5001,"&lt;&gt;"))))</f>
        <v/>
      </c>
      <c r="P217" s="43" t="str">
        <f>IF(OR($B217="",$A217&gt;$B$9,P$210=""),"",IF(COUNTIFS(BD!$B$3:$B$5001,P$210,BD!$A$3:$A$5001,"&gt;="&amp;$C$7,BD!$A$3:$A$5001,"&lt;="&amp;$B217,BD!$Y$3:$Y$5001,"&lt;&gt;")=0,"",SUMIFS(BD!$Y$3:$Y$5001,BD!$B$3:$B$5001,P$210,BD!$A$3:$A$5001,_xlfn.MAXIFS(BD!$A$3:$A$5001,BD!$B$3:$B$5001,P$210,BD!$A$3:$A$5001,"&gt;="&amp;$C$7,BD!$A$3:$A$5001,"&lt;="&amp;$B217,BD!$Y$3:$Y$5001,"&lt;&gt;"))))</f>
        <v/>
      </c>
      <c r="Q217" s="43" t="str">
        <f>IF(OR($B217="",$A217&gt;$B$9,Q$210=""),"",IF(COUNTIFS(BD!$B$3:$B$5001,Q$210,BD!$A$3:$A$5001,"&gt;="&amp;$C$7,BD!$A$3:$A$5001,"&lt;="&amp;$B217,BD!$Y$3:$Y$5001,"&lt;&gt;")=0,"",SUMIFS(BD!$Y$3:$Y$5001,BD!$B$3:$B$5001,Q$210,BD!$A$3:$A$5001,_xlfn.MAXIFS(BD!$A$3:$A$5001,BD!$B$3:$B$5001,Q$210,BD!$A$3:$A$5001,"&gt;="&amp;$C$7,BD!$A$3:$A$5001,"&lt;="&amp;$B217,BD!$Y$3:$Y$5001,"&lt;&gt;"))))</f>
        <v/>
      </c>
      <c r="R217" s="43" t="str">
        <f>IF(OR($B217="",$A217&gt;$B$9,R$210=""),"",IF(COUNTIFS(BD!$B$3:$B$5001,R$210,BD!$A$3:$A$5001,"&gt;="&amp;$C$7,BD!$A$3:$A$5001,"&lt;="&amp;$B217,BD!$Y$3:$Y$5001,"&lt;&gt;")=0,"",SUMIFS(BD!$Y$3:$Y$5001,BD!$B$3:$B$5001,R$210,BD!$A$3:$A$5001,_xlfn.MAXIFS(BD!$A$3:$A$5001,BD!$B$3:$B$5001,R$210,BD!$A$3:$A$5001,"&gt;="&amp;$C$7,BD!$A$3:$A$5001,"&lt;="&amp;$B217,BD!$Y$3:$Y$5001,"&lt;&gt;"))))</f>
        <v/>
      </c>
      <c r="S217" s="43" t="str">
        <f>IF(OR($B217="",$A217&gt;$B$9,S$210=""),"",IF(COUNTIFS(BD!$B$3:$B$5001,S$210,BD!$A$3:$A$5001,"&gt;="&amp;$C$7,BD!$A$3:$A$5001,"&lt;="&amp;$B217,BD!$Y$3:$Y$5001,"&lt;&gt;")=0,"",SUMIFS(BD!$Y$3:$Y$5001,BD!$B$3:$B$5001,S$210,BD!$A$3:$A$5001,_xlfn.MAXIFS(BD!$A$3:$A$5001,BD!$B$3:$B$5001,S$210,BD!$A$3:$A$5001,"&gt;="&amp;$C$7,BD!$A$3:$A$5001,"&lt;="&amp;$B217,BD!$Y$3:$Y$5001,"&lt;&gt;"))))</f>
        <v/>
      </c>
      <c r="T217" s="43" t="str">
        <f>IF(OR($B217="",$A217&gt;$B$9,T$210=""),"",IF(COUNTIFS(BD!$B$3:$B$5001,T$210,BD!$A$3:$A$5001,"&gt;="&amp;$C$7,BD!$A$3:$A$5001,"&lt;="&amp;$B217,BD!$Y$3:$Y$5001,"&lt;&gt;")=0,"",SUMIFS(BD!$Y$3:$Y$5001,BD!$B$3:$B$5001,T$210,BD!$A$3:$A$5001,_xlfn.MAXIFS(BD!$A$3:$A$5001,BD!$B$3:$B$5001,T$210,BD!$A$3:$A$5001,"&gt;="&amp;$C$7,BD!$A$3:$A$5001,"&lt;="&amp;$B217,BD!$Y$3:$Y$5001,"&lt;&gt;"))))</f>
        <v/>
      </c>
      <c r="U217" s="43" t="str">
        <f>IF(OR($B217="",$A217&gt;$B$9,U$210=""),"",IF(COUNTIFS(BD!$B$3:$B$5001,U$210,BD!$A$3:$A$5001,"&gt;="&amp;$C$7,BD!$A$3:$A$5001,"&lt;="&amp;$B217,BD!$Y$3:$Y$5001,"&lt;&gt;")=0,"",SUMIFS(BD!$Y$3:$Y$5001,BD!$B$3:$B$5001,U$210,BD!$A$3:$A$5001,_xlfn.MAXIFS(BD!$A$3:$A$5001,BD!$B$3:$B$5001,U$210,BD!$A$3:$A$5001,"&gt;="&amp;$C$7,BD!$A$3:$A$5001,"&lt;="&amp;$B217,BD!$Y$3:$Y$5001,"&lt;&gt;"))))</f>
        <v/>
      </c>
      <c r="V217" s="43" t="str">
        <f>IF(OR($B217="",$A217&gt;$B$9,V$210=""),"",IF(COUNTIFS(BD!$B$3:$B$5001,V$210,BD!$A$3:$A$5001,"&gt;="&amp;$C$7,BD!$A$3:$A$5001,"&lt;="&amp;$B217,BD!$Y$3:$Y$5001,"&lt;&gt;")=0,"",SUMIFS(BD!$Y$3:$Y$5001,BD!$B$3:$B$5001,V$210,BD!$A$3:$A$5001,_xlfn.MAXIFS(BD!$A$3:$A$5001,BD!$B$3:$B$5001,V$210,BD!$A$3:$A$5001,"&gt;="&amp;$C$7,BD!$A$3:$A$5001,"&lt;="&amp;$B217,BD!$Y$3:$Y$5001,"&lt;&gt;"))))</f>
        <v/>
      </c>
    </row>
    <row r="218">
      <c r="A218" s="38">
        <v>8</v>
      </c>
      <c r="B218" s="42">
        <f>$B$19</f>
        <v>46303</v>
      </c>
      <c r="C218" s="43" t="str">
        <f>IF(OR($B218="",$A218&gt;$B$9,C$210=""),"",IF(COUNTIFS(BD!$B$3:$B$5001,C$210,BD!$A$3:$A$5001,"&gt;="&amp;$C$7,BD!$A$3:$A$5001,"&lt;="&amp;$B218,BD!$Y$3:$Y$5001,"&lt;&gt;")=0,"",SUMIFS(BD!$Y$3:$Y$5001,BD!$B$3:$B$5001,C$210,BD!$A$3:$A$5001,_xlfn.MAXIFS(BD!$A$3:$A$5001,BD!$B$3:$B$5001,C$210,BD!$A$3:$A$5001,"&gt;="&amp;$C$7,BD!$A$3:$A$5001,"&lt;="&amp;$B218,BD!$Y$3:$Y$5001,"&lt;&gt;"))))</f>
        <v/>
      </c>
      <c r="D218" s="43" t="str">
        <f>IF(OR($B218="",$A218&gt;$B$9,D$210=""),"",IF(COUNTIFS(BD!$B$3:$B$5001,D$210,BD!$A$3:$A$5001,"&gt;="&amp;$C$7,BD!$A$3:$A$5001,"&lt;="&amp;$B218,BD!$Y$3:$Y$5001,"&lt;&gt;")=0,"",SUMIFS(BD!$Y$3:$Y$5001,BD!$B$3:$B$5001,D$210,BD!$A$3:$A$5001,_xlfn.MAXIFS(BD!$A$3:$A$5001,BD!$B$3:$B$5001,D$210,BD!$A$3:$A$5001,"&gt;="&amp;$C$7,BD!$A$3:$A$5001,"&lt;="&amp;$B218,BD!$Y$3:$Y$5001,"&lt;&gt;"))))</f>
        <v/>
      </c>
      <c r="E218" s="43" t="str">
        <f>IF(OR($B218="",$A218&gt;$B$9,E$210=""),"",IF(COUNTIFS(BD!$B$3:$B$5001,E$210,BD!$A$3:$A$5001,"&gt;="&amp;$C$7,BD!$A$3:$A$5001,"&lt;="&amp;$B218,BD!$Y$3:$Y$5001,"&lt;&gt;")=0,"",SUMIFS(BD!$Y$3:$Y$5001,BD!$B$3:$B$5001,E$210,BD!$A$3:$A$5001,_xlfn.MAXIFS(BD!$A$3:$A$5001,BD!$B$3:$B$5001,E$210,BD!$A$3:$A$5001,"&gt;="&amp;$C$7,BD!$A$3:$A$5001,"&lt;="&amp;$B218,BD!$Y$3:$Y$5001,"&lt;&gt;"))))</f>
        <v/>
      </c>
      <c r="F218" s="43" t="str">
        <f>IF(OR($B218="",$A218&gt;$B$9,F$210=""),"",IF(COUNTIFS(BD!$B$3:$B$5001,F$210,BD!$A$3:$A$5001,"&gt;="&amp;$C$7,BD!$A$3:$A$5001,"&lt;="&amp;$B218,BD!$Y$3:$Y$5001,"&lt;&gt;")=0,"",SUMIFS(BD!$Y$3:$Y$5001,BD!$B$3:$B$5001,F$210,BD!$A$3:$A$5001,_xlfn.MAXIFS(BD!$A$3:$A$5001,BD!$B$3:$B$5001,F$210,BD!$A$3:$A$5001,"&gt;="&amp;$C$7,BD!$A$3:$A$5001,"&lt;="&amp;$B218,BD!$Y$3:$Y$5001,"&lt;&gt;"))))</f>
        <v/>
      </c>
      <c r="G218" s="43" t="str">
        <f>IF(OR($B218="",$A218&gt;$B$9,G$210=""),"",IF(COUNTIFS(BD!$B$3:$B$5001,G$210,BD!$A$3:$A$5001,"&gt;="&amp;$C$7,BD!$A$3:$A$5001,"&lt;="&amp;$B218,BD!$Y$3:$Y$5001,"&lt;&gt;")=0,"",SUMIFS(BD!$Y$3:$Y$5001,BD!$B$3:$B$5001,G$210,BD!$A$3:$A$5001,_xlfn.MAXIFS(BD!$A$3:$A$5001,BD!$B$3:$B$5001,G$210,BD!$A$3:$A$5001,"&gt;="&amp;$C$7,BD!$A$3:$A$5001,"&lt;="&amp;$B218,BD!$Y$3:$Y$5001,"&lt;&gt;"))))</f>
        <v/>
      </c>
      <c r="H218" s="43" t="str">
        <f>IF(OR($B218="",$A218&gt;$B$9,H$210=""),"",IF(COUNTIFS(BD!$B$3:$B$5001,H$210,BD!$A$3:$A$5001,"&gt;="&amp;$C$7,BD!$A$3:$A$5001,"&lt;="&amp;$B218,BD!$Y$3:$Y$5001,"&lt;&gt;")=0,"",SUMIFS(BD!$Y$3:$Y$5001,BD!$B$3:$B$5001,H$210,BD!$A$3:$A$5001,_xlfn.MAXIFS(BD!$A$3:$A$5001,BD!$B$3:$B$5001,H$210,BD!$A$3:$A$5001,"&gt;="&amp;$C$7,BD!$A$3:$A$5001,"&lt;="&amp;$B218,BD!$Y$3:$Y$5001,"&lt;&gt;"))))</f>
        <v/>
      </c>
      <c r="I218" s="43" t="str">
        <f>IF(OR($B218="",$A218&gt;$B$9,I$210=""),"",IF(COUNTIFS(BD!$B$3:$B$5001,I$210,BD!$A$3:$A$5001,"&gt;="&amp;$C$7,BD!$A$3:$A$5001,"&lt;="&amp;$B218,BD!$Y$3:$Y$5001,"&lt;&gt;")=0,"",SUMIFS(BD!$Y$3:$Y$5001,BD!$B$3:$B$5001,I$210,BD!$A$3:$A$5001,_xlfn.MAXIFS(BD!$A$3:$A$5001,BD!$B$3:$B$5001,I$210,BD!$A$3:$A$5001,"&gt;="&amp;$C$7,BD!$A$3:$A$5001,"&lt;="&amp;$B218,BD!$Y$3:$Y$5001,"&lt;&gt;"))))</f>
        <v/>
      </c>
      <c r="J218" s="43" t="str">
        <f>IF(OR($B218="",$A218&gt;$B$9,J$210=""),"",IF(COUNTIFS(BD!$B$3:$B$5001,J$210,BD!$A$3:$A$5001,"&gt;="&amp;$C$7,BD!$A$3:$A$5001,"&lt;="&amp;$B218,BD!$Y$3:$Y$5001,"&lt;&gt;")=0,"",SUMIFS(BD!$Y$3:$Y$5001,BD!$B$3:$B$5001,J$210,BD!$A$3:$A$5001,_xlfn.MAXIFS(BD!$A$3:$A$5001,BD!$B$3:$B$5001,J$210,BD!$A$3:$A$5001,"&gt;="&amp;$C$7,BD!$A$3:$A$5001,"&lt;="&amp;$B218,BD!$Y$3:$Y$5001,"&lt;&gt;"))))</f>
        <v/>
      </c>
      <c r="K218" s="43" t="str">
        <f>IF(OR($B218="",$A218&gt;$B$9,K$210=""),"",IF(COUNTIFS(BD!$B$3:$B$5001,K$210,BD!$A$3:$A$5001,"&gt;="&amp;$C$7,BD!$A$3:$A$5001,"&lt;="&amp;$B218,BD!$Y$3:$Y$5001,"&lt;&gt;")=0,"",SUMIFS(BD!$Y$3:$Y$5001,BD!$B$3:$B$5001,K$210,BD!$A$3:$A$5001,_xlfn.MAXIFS(BD!$A$3:$A$5001,BD!$B$3:$B$5001,K$210,BD!$A$3:$A$5001,"&gt;="&amp;$C$7,BD!$A$3:$A$5001,"&lt;="&amp;$B218,BD!$Y$3:$Y$5001,"&lt;&gt;"))))</f>
        <v/>
      </c>
      <c r="L218" s="43" t="str">
        <f>IF(OR($B218="",$A218&gt;$B$9,L$210=""),"",IF(COUNTIFS(BD!$B$3:$B$5001,L$210,BD!$A$3:$A$5001,"&gt;="&amp;$C$7,BD!$A$3:$A$5001,"&lt;="&amp;$B218,BD!$Y$3:$Y$5001,"&lt;&gt;")=0,"",SUMIFS(BD!$Y$3:$Y$5001,BD!$B$3:$B$5001,L$210,BD!$A$3:$A$5001,_xlfn.MAXIFS(BD!$A$3:$A$5001,BD!$B$3:$B$5001,L$210,BD!$A$3:$A$5001,"&gt;="&amp;$C$7,BD!$A$3:$A$5001,"&lt;="&amp;$B218,BD!$Y$3:$Y$5001,"&lt;&gt;"))))</f>
        <v/>
      </c>
      <c r="M218" s="43" t="str">
        <f>IF(OR($B218="",$A218&gt;$B$9,M$210=""),"",IF(COUNTIFS(BD!$B$3:$B$5001,M$210,BD!$A$3:$A$5001,"&gt;="&amp;$C$7,BD!$A$3:$A$5001,"&lt;="&amp;$B218,BD!$Y$3:$Y$5001,"&lt;&gt;")=0,"",SUMIFS(BD!$Y$3:$Y$5001,BD!$B$3:$B$5001,M$210,BD!$A$3:$A$5001,_xlfn.MAXIFS(BD!$A$3:$A$5001,BD!$B$3:$B$5001,M$210,BD!$A$3:$A$5001,"&gt;="&amp;$C$7,BD!$A$3:$A$5001,"&lt;="&amp;$B218,BD!$Y$3:$Y$5001,"&lt;&gt;"))))</f>
        <v/>
      </c>
      <c r="N218" s="43" t="str">
        <f>IF(OR($B218="",$A218&gt;$B$9,N$210=""),"",IF(COUNTIFS(BD!$B$3:$B$5001,N$210,BD!$A$3:$A$5001,"&gt;="&amp;$C$7,BD!$A$3:$A$5001,"&lt;="&amp;$B218,BD!$Y$3:$Y$5001,"&lt;&gt;")=0,"",SUMIFS(BD!$Y$3:$Y$5001,BD!$B$3:$B$5001,N$210,BD!$A$3:$A$5001,_xlfn.MAXIFS(BD!$A$3:$A$5001,BD!$B$3:$B$5001,N$210,BD!$A$3:$A$5001,"&gt;="&amp;$C$7,BD!$A$3:$A$5001,"&lt;="&amp;$B218,BD!$Y$3:$Y$5001,"&lt;&gt;"))))</f>
        <v/>
      </c>
      <c r="O218" s="43" t="str">
        <f>IF(OR($B218="",$A218&gt;$B$9,O$210=""),"",IF(COUNTIFS(BD!$B$3:$B$5001,O$210,BD!$A$3:$A$5001,"&gt;="&amp;$C$7,BD!$A$3:$A$5001,"&lt;="&amp;$B218,BD!$Y$3:$Y$5001,"&lt;&gt;")=0,"",SUMIFS(BD!$Y$3:$Y$5001,BD!$B$3:$B$5001,O$210,BD!$A$3:$A$5001,_xlfn.MAXIFS(BD!$A$3:$A$5001,BD!$B$3:$B$5001,O$210,BD!$A$3:$A$5001,"&gt;="&amp;$C$7,BD!$A$3:$A$5001,"&lt;="&amp;$B218,BD!$Y$3:$Y$5001,"&lt;&gt;"))))</f>
        <v/>
      </c>
      <c r="P218" s="43" t="str">
        <f>IF(OR($B218="",$A218&gt;$B$9,P$210=""),"",IF(COUNTIFS(BD!$B$3:$B$5001,P$210,BD!$A$3:$A$5001,"&gt;="&amp;$C$7,BD!$A$3:$A$5001,"&lt;="&amp;$B218,BD!$Y$3:$Y$5001,"&lt;&gt;")=0,"",SUMIFS(BD!$Y$3:$Y$5001,BD!$B$3:$B$5001,P$210,BD!$A$3:$A$5001,_xlfn.MAXIFS(BD!$A$3:$A$5001,BD!$B$3:$B$5001,P$210,BD!$A$3:$A$5001,"&gt;="&amp;$C$7,BD!$A$3:$A$5001,"&lt;="&amp;$B218,BD!$Y$3:$Y$5001,"&lt;&gt;"))))</f>
        <v/>
      </c>
      <c r="Q218" s="43" t="str">
        <f>IF(OR($B218="",$A218&gt;$B$9,Q$210=""),"",IF(COUNTIFS(BD!$B$3:$B$5001,Q$210,BD!$A$3:$A$5001,"&gt;="&amp;$C$7,BD!$A$3:$A$5001,"&lt;="&amp;$B218,BD!$Y$3:$Y$5001,"&lt;&gt;")=0,"",SUMIFS(BD!$Y$3:$Y$5001,BD!$B$3:$B$5001,Q$210,BD!$A$3:$A$5001,_xlfn.MAXIFS(BD!$A$3:$A$5001,BD!$B$3:$B$5001,Q$210,BD!$A$3:$A$5001,"&gt;="&amp;$C$7,BD!$A$3:$A$5001,"&lt;="&amp;$B218,BD!$Y$3:$Y$5001,"&lt;&gt;"))))</f>
        <v/>
      </c>
      <c r="R218" s="43" t="str">
        <f>IF(OR($B218="",$A218&gt;$B$9,R$210=""),"",IF(COUNTIFS(BD!$B$3:$B$5001,R$210,BD!$A$3:$A$5001,"&gt;="&amp;$C$7,BD!$A$3:$A$5001,"&lt;="&amp;$B218,BD!$Y$3:$Y$5001,"&lt;&gt;")=0,"",SUMIFS(BD!$Y$3:$Y$5001,BD!$B$3:$B$5001,R$210,BD!$A$3:$A$5001,_xlfn.MAXIFS(BD!$A$3:$A$5001,BD!$B$3:$B$5001,R$210,BD!$A$3:$A$5001,"&gt;="&amp;$C$7,BD!$A$3:$A$5001,"&lt;="&amp;$B218,BD!$Y$3:$Y$5001,"&lt;&gt;"))))</f>
        <v/>
      </c>
      <c r="S218" s="43" t="str">
        <f>IF(OR($B218="",$A218&gt;$B$9,S$210=""),"",IF(COUNTIFS(BD!$B$3:$B$5001,S$210,BD!$A$3:$A$5001,"&gt;="&amp;$C$7,BD!$A$3:$A$5001,"&lt;="&amp;$B218,BD!$Y$3:$Y$5001,"&lt;&gt;")=0,"",SUMIFS(BD!$Y$3:$Y$5001,BD!$B$3:$B$5001,S$210,BD!$A$3:$A$5001,_xlfn.MAXIFS(BD!$A$3:$A$5001,BD!$B$3:$B$5001,S$210,BD!$A$3:$A$5001,"&gt;="&amp;$C$7,BD!$A$3:$A$5001,"&lt;="&amp;$B218,BD!$Y$3:$Y$5001,"&lt;&gt;"))))</f>
        <v/>
      </c>
      <c r="T218" s="43" t="str">
        <f>IF(OR($B218="",$A218&gt;$B$9,T$210=""),"",IF(COUNTIFS(BD!$B$3:$B$5001,T$210,BD!$A$3:$A$5001,"&gt;="&amp;$C$7,BD!$A$3:$A$5001,"&lt;="&amp;$B218,BD!$Y$3:$Y$5001,"&lt;&gt;")=0,"",SUMIFS(BD!$Y$3:$Y$5001,BD!$B$3:$B$5001,T$210,BD!$A$3:$A$5001,_xlfn.MAXIFS(BD!$A$3:$A$5001,BD!$B$3:$B$5001,T$210,BD!$A$3:$A$5001,"&gt;="&amp;$C$7,BD!$A$3:$A$5001,"&lt;="&amp;$B218,BD!$Y$3:$Y$5001,"&lt;&gt;"))))</f>
        <v/>
      </c>
      <c r="U218" s="43" t="str">
        <f>IF(OR($B218="",$A218&gt;$B$9,U$210=""),"",IF(COUNTIFS(BD!$B$3:$B$5001,U$210,BD!$A$3:$A$5001,"&gt;="&amp;$C$7,BD!$A$3:$A$5001,"&lt;="&amp;$B218,BD!$Y$3:$Y$5001,"&lt;&gt;")=0,"",SUMIFS(BD!$Y$3:$Y$5001,BD!$B$3:$B$5001,U$210,BD!$A$3:$A$5001,_xlfn.MAXIFS(BD!$A$3:$A$5001,BD!$B$3:$B$5001,U$210,BD!$A$3:$A$5001,"&gt;="&amp;$C$7,BD!$A$3:$A$5001,"&lt;="&amp;$B218,BD!$Y$3:$Y$5001,"&lt;&gt;"))))</f>
        <v/>
      </c>
      <c r="V218" s="43" t="str">
        <f>IF(OR($B218="",$A218&gt;$B$9,V$210=""),"",IF(COUNTIFS(BD!$B$3:$B$5001,V$210,BD!$A$3:$A$5001,"&gt;="&amp;$C$7,BD!$A$3:$A$5001,"&lt;="&amp;$B218,BD!$Y$3:$Y$5001,"&lt;&gt;")=0,"",SUMIFS(BD!$Y$3:$Y$5001,BD!$B$3:$B$5001,V$210,BD!$A$3:$A$5001,_xlfn.MAXIFS(BD!$A$3:$A$5001,BD!$B$3:$B$5001,V$210,BD!$A$3:$A$5001,"&gt;="&amp;$C$7,BD!$A$3:$A$5001,"&lt;="&amp;$B218,BD!$Y$3:$Y$5001,"&lt;&gt;"))))</f>
        <v/>
      </c>
    </row>
    <row r="219">
      <c r="A219" s="38">
        <v>9</v>
      </c>
      <c r="B219" s="42">
        <f>$B$20</f>
        <v>46304</v>
      </c>
      <c r="C219" s="43" t="str">
        <f>IF(OR($B219="",$A219&gt;$B$9,C$210=""),"",IF(COUNTIFS(BD!$B$3:$B$5001,C$210,BD!$A$3:$A$5001,"&gt;="&amp;$C$7,BD!$A$3:$A$5001,"&lt;="&amp;$B219,BD!$Y$3:$Y$5001,"&lt;&gt;")=0,"",SUMIFS(BD!$Y$3:$Y$5001,BD!$B$3:$B$5001,C$210,BD!$A$3:$A$5001,_xlfn.MAXIFS(BD!$A$3:$A$5001,BD!$B$3:$B$5001,C$210,BD!$A$3:$A$5001,"&gt;="&amp;$C$7,BD!$A$3:$A$5001,"&lt;="&amp;$B219,BD!$Y$3:$Y$5001,"&lt;&gt;"))))</f>
        <v/>
      </c>
      <c r="D219" s="43" t="str">
        <f>IF(OR($B219="",$A219&gt;$B$9,D$210=""),"",IF(COUNTIFS(BD!$B$3:$B$5001,D$210,BD!$A$3:$A$5001,"&gt;="&amp;$C$7,BD!$A$3:$A$5001,"&lt;="&amp;$B219,BD!$Y$3:$Y$5001,"&lt;&gt;")=0,"",SUMIFS(BD!$Y$3:$Y$5001,BD!$B$3:$B$5001,D$210,BD!$A$3:$A$5001,_xlfn.MAXIFS(BD!$A$3:$A$5001,BD!$B$3:$B$5001,D$210,BD!$A$3:$A$5001,"&gt;="&amp;$C$7,BD!$A$3:$A$5001,"&lt;="&amp;$B219,BD!$Y$3:$Y$5001,"&lt;&gt;"))))</f>
        <v/>
      </c>
      <c r="E219" s="43" t="str">
        <f>IF(OR($B219="",$A219&gt;$B$9,E$210=""),"",IF(COUNTIFS(BD!$B$3:$B$5001,E$210,BD!$A$3:$A$5001,"&gt;="&amp;$C$7,BD!$A$3:$A$5001,"&lt;="&amp;$B219,BD!$Y$3:$Y$5001,"&lt;&gt;")=0,"",SUMIFS(BD!$Y$3:$Y$5001,BD!$B$3:$B$5001,E$210,BD!$A$3:$A$5001,_xlfn.MAXIFS(BD!$A$3:$A$5001,BD!$B$3:$B$5001,E$210,BD!$A$3:$A$5001,"&gt;="&amp;$C$7,BD!$A$3:$A$5001,"&lt;="&amp;$B219,BD!$Y$3:$Y$5001,"&lt;&gt;"))))</f>
        <v/>
      </c>
      <c r="F219" s="43" t="str">
        <f>IF(OR($B219="",$A219&gt;$B$9,F$210=""),"",IF(COUNTIFS(BD!$B$3:$B$5001,F$210,BD!$A$3:$A$5001,"&gt;="&amp;$C$7,BD!$A$3:$A$5001,"&lt;="&amp;$B219,BD!$Y$3:$Y$5001,"&lt;&gt;")=0,"",SUMIFS(BD!$Y$3:$Y$5001,BD!$B$3:$B$5001,F$210,BD!$A$3:$A$5001,_xlfn.MAXIFS(BD!$A$3:$A$5001,BD!$B$3:$B$5001,F$210,BD!$A$3:$A$5001,"&gt;="&amp;$C$7,BD!$A$3:$A$5001,"&lt;="&amp;$B219,BD!$Y$3:$Y$5001,"&lt;&gt;"))))</f>
        <v/>
      </c>
      <c r="G219" s="43" t="str">
        <f>IF(OR($B219="",$A219&gt;$B$9,G$210=""),"",IF(COUNTIFS(BD!$B$3:$B$5001,G$210,BD!$A$3:$A$5001,"&gt;="&amp;$C$7,BD!$A$3:$A$5001,"&lt;="&amp;$B219,BD!$Y$3:$Y$5001,"&lt;&gt;")=0,"",SUMIFS(BD!$Y$3:$Y$5001,BD!$B$3:$B$5001,G$210,BD!$A$3:$A$5001,_xlfn.MAXIFS(BD!$A$3:$A$5001,BD!$B$3:$B$5001,G$210,BD!$A$3:$A$5001,"&gt;="&amp;$C$7,BD!$A$3:$A$5001,"&lt;="&amp;$B219,BD!$Y$3:$Y$5001,"&lt;&gt;"))))</f>
        <v/>
      </c>
      <c r="H219" s="43" t="str">
        <f>IF(OR($B219="",$A219&gt;$B$9,H$210=""),"",IF(COUNTIFS(BD!$B$3:$B$5001,H$210,BD!$A$3:$A$5001,"&gt;="&amp;$C$7,BD!$A$3:$A$5001,"&lt;="&amp;$B219,BD!$Y$3:$Y$5001,"&lt;&gt;")=0,"",SUMIFS(BD!$Y$3:$Y$5001,BD!$B$3:$B$5001,H$210,BD!$A$3:$A$5001,_xlfn.MAXIFS(BD!$A$3:$A$5001,BD!$B$3:$B$5001,H$210,BD!$A$3:$A$5001,"&gt;="&amp;$C$7,BD!$A$3:$A$5001,"&lt;="&amp;$B219,BD!$Y$3:$Y$5001,"&lt;&gt;"))))</f>
        <v/>
      </c>
      <c r="I219" s="43" t="str">
        <f>IF(OR($B219="",$A219&gt;$B$9,I$210=""),"",IF(COUNTIFS(BD!$B$3:$B$5001,I$210,BD!$A$3:$A$5001,"&gt;="&amp;$C$7,BD!$A$3:$A$5001,"&lt;="&amp;$B219,BD!$Y$3:$Y$5001,"&lt;&gt;")=0,"",SUMIFS(BD!$Y$3:$Y$5001,BD!$B$3:$B$5001,I$210,BD!$A$3:$A$5001,_xlfn.MAXIFS(BD!$A$3:$A$5001,BD!$B$3:$B$5001,I$210,BD!$A$3:$A$5001,"&gt;="&amp;$C$7,BD!$A$3:$A$5001,"&lt;="&amp;$B219,BD!$Y$3:$Y$5001,"&lt;&gt;"))))</f>
        <v/>
      </c>
      <c r="J219" s="43" t="str">
        <f>IF(OR($B219="",$A219&gt;$B$9,J$210=""),"",IF(COUNTIFS(BD!$B$3:$B$5001,J$210,BD!$A$3:$A$5001,"&gt;="&amp;$C$7,BD!$A$3:$A$5001,"&lt;="&amp;$B219,BD!$Y$3:$Y$5001,"&lt;&gt;")=0,"",SUMIFS(BD!$Y$3:$Y$5001,BD!$B$3:$B$5001,J$210,BD!$A$3:$A$5001,_xlfn.MAXIFS(BD!$A$3:$A$5001,BD!$B$3:$B$5001,J$210,BD!$A$3:$A$5001,"&gt;="&amp;$C$7,BD!$A$3:$A$5001,"&lt;="&amp;$B219,BD!$Y$3:$Y$5001,"&lt;&gt;"))))</f>
        <v/>
      </c>
      <c r="K219" s="43" t="str">
        <f>IF(OR($B219="",$A219&gt;$B$9,K$210=""),"",IF(COUNTIFS(BD!$B$3:$B$5001,K$210,BD!$A$3:$A$5001,"&gt;="&amp;$C$7,BD!$A$3:$A$5001,"&lt;="&amp;$B219,BD!$Y$3:$Y$5001,"&lt;&gt;")=0,"",SUMIFS(BD!$Y$3:$Y$5001,BD!$B$3:$B$5001,K$210,BD!$A$3:$A$5001,_xlfn.MAXIFS(BD!$A$3:$A$5001,BD!$B$3:$B$5001,K$210,BD!$A$3:$A$5001,"&gt;="&amp;$C$7,BD!$A$3:$A$5001,"&lt;="&amp;$B219,BD!$Y$3:$Y$5001,"&lt;&gt;"))))</f>
        <v/>
      </c>
      <c r="L219" s="43" t="str">
        <f>IF(OR($B219="",$A219&gt;$B$9,L$210=""),"",IF(COUNTIFS(BD!$B$3:$B$5001,L$210,BD!$A$3:$A$5001,"&gt;="&amp;$C$7,BD!$A$3:$A$5001,"&lt;="&amp;$B219,BD!$Y$3:$Y$5001,"&lt;&gt;")=0,"",SUMIFS(BD!$Y$3:$Y$5001,BD!$B$3:$B$5001,L$210,BD!$A$3:$A$5001,_xlfn.MAXIFS(BD!$A$3:$A$5001,BD!$B$3:$B$5001,L$210,BD!$A$3:$A$5001,"&gt;="&amp;$C$7,BD!$A$3:$A$5001,"&lt;="&amp;$B219,BD!$Y$3:$Y$5001,"&lt;&gt;"))))</f>
        <v/>
      </c>
      <c r="M219" s="43" t="str">
        <f>IF(OR($B219="",$A219&gt;$B$9,M$210=""),"",IF(COUNTIFS(BD!$B$3:$B$5001,M$210,BD!$A$3:$A$5001,"&gt;="&amp;$C$7,BD!$A$3:$A$5001,"&lt;="&amp;$B219,BD!$Y$3:$Y$5001,"&lt;&gt;")=0,"",SUMIFS(BD!$Y$3:$Y$5001,BD!$B$3:$B$5001,M$210,BD!$A$3:$A$5001,_xlfn.MAXIFS(BD!$A$3:$A$5001,BD!$B$3:$B$5001,M$210,BD!$A$3:$A$5001,"&gt;="&amp;$C$7,BD!$A$3:$A$5001,"&lt;="&amp;$B219,BD!$Y$3:$Y$5001,"&lt;&gt;"))))</f>
        <v/>
      </c>
      <c r="N219" s="43" t="str">
        <f>IF(OR($B219="",$A219&gt;$B$9,N$210=""),"",IF(COUNTIFS(BD!$B$3:$B$5001,N$210,BD!$A$3:$A$5001,"&gt;="&amp;$C$7,BD!$A$3:$A$5001,"&lt;="&amp;$B219,BD!$Y$3:$Y$5001,"&lt;&gt;")=0,"",SUMIFS(BD!$Y$3:$Y$5001,BD!$B$3:$B$5001,N$210,BD!$A$3:$A$5001,_xlfn.MAXIFS(BD!$A$3:$A$5001,BD!$B$3:$B$5001,N$210,BD!$A$3:$A$5001,"&gt;="&amp;$C$7,BD!$A$3:$A$5001,"&lt;="&amp;$B219,BD!$Y$3:$Y$5001,"&lt;&gt;"))))</f>
        <v/>
      </c>
      <c r="O219" s="43" t="str">
        <f>IF(OR($B219="",$A219&gt;$B$9,O$210=""),"",IF(COUNTIFS(BD!$B$3:$B$5001,O$210,BD!$A$3:$A$5001,"&gt;="&amp;$C$7,BD!$A$3:$A$5001,"&lt;="&amp;$B219,BD!$Y$3:$Y$5001,"&lt;&gt;")=0,"",SUMIFS(BD!$Y$3:$Y$5001,BD!$B$3:$B$5001,O$210,BD!$A$3:$A$5001,_xlfn.MAXIFS(BD!$A$3:$A$5001,BD!$B$3:$B$5001,O$210,BD!$A$3:$A$5001,"&gt;="&amp;$C$7,BD!$A$3:$A$5001,"&lt;="&amp;$B219,BD!$Y$3:$Y$5001,"&lt;&gt;"))))</f>
        <v/>
      </c>
      <c r="P219" s="43" t="str">
        <f>IF(OR($B219="",$A219&gt;$B$9,P$210=""),"",IF(COUNTIFS(BD!$B$3:$B$5001,P$210,BD!$A$3:$A$5001,"&gt;="&amp;$C$7,BD!$A$3:$A$5001,"&lt;="&amp;$B219,BD!$Y$3:$Y$5001,"&lt;&gt;")=0,"",SUMIFS(BD!$Y$3:$Y$5001,BD!$B$3:$B$5001,P$210,BD!$A$3:$A$5001,_xlfn.MAXIFS(BD!$A$3:$A$5001,BD!$B$3:$B$5001,P$210,BD!$A$3:$A$5001,"&gt;="&amp;$C$7,BD!$A$3:$A$5001,"&lt;="&amp;$B219,BD!$Y$3:$Y$5001,"&lt;&gt;"))))</f>
        <v/>
      </c>
      <c r="Q219" s="43" t="str">
        <f>IF(OR($B219="",$A219&gt;$B$9,Q$210=""),"",IF(COUNTIFS(BD!$B$3:$B$5001,Q$210,BD!$A$3:$A$5001,"&gt;="&amp;$C$7,BD!$A$3:$A$5001,"&lt;="&amp;$B219,BD!$Y$3:$Y$5001,"&lt;&gt;")=0,"",SUMIFS(BD!$Y$3:$Y$5001,BD!$B$3:$B$5001,Q$210,BD!$A$3:$A$5001,_xlfn.MAXIFS(BD!$A$3:$A$5001,BD!$B$3:$B$5001,Q$210,BD!$A$3:$A$5001,"&gt;="&amp;$C$7,BD!$A$3:$A$5001,"&lt;="&amp;$B219,BD!$Y$3:$Y$5001,"&lt;&gt;"))))</f>
        <v/>
      </c>
      <c r="R219" s="43" t="str">
        <f>IF(OR($B219="",$A219&gt;$B$9,R$210=""),"",IF(COUNTIFS(BD!$B$3:$B$5001,R$210,BD!$A$3:$A$5001,"&gt;="&amp;$C$7,BD!$A$3:$A$5001,"&lt;="&amp;$B219,BD!$Y$3:$Y$5001,"&lt;&gt;")=0,"",SUMIFS(BD!$Y$3:$Y$5001,BD!$B$3:$B$5001,R$210,BD!$A$3:$A$5001,_xlfn.MAXIFS(BD!$A$3:$A$5001,BD!$B$3:$B$5001,R$210,BD!$A$3:$A$5001,"&gt;="&amp;$C$7,BD!$A$3:$A$5001,"&lt;="&amp;$B219,BD!$Y$3:$Y$5001,"&lt;&gt;"))))</f>
        <v/>
      </c>
      <c r="S219" s="43" t="str">
        <f>IF(OR($B219="",$A219&gt;$B$9,S$210=""),"",IF(COUNTIFS(BD!$B$3:$B$5001,S$210,BD!$A$3:$A$5001,"&gt;="&amp;$C$7,BD!$A$3:$A$5001,"&lt;="&amp;$B219,BD!$Y$3:$Y$5001,"&lt;&gt;")=0,"",SUMIFS(BD!$Y$3:$Y$5001,BD!$B$3:$B$5001,S$210,BD!$A$3:$A$5001,_xlfn.MAXIFS(BD!$A$3:$A$5001,BD!$B$3:$B$5001,S$210,BD!$A$3:$A$5001,"&gt;="&amp;$C$7,BD!$A$3:$A$5001,"&lt;="&amp;$B219,BD!$Y$3:$Y$5001,"&lt;&gt;"))))</f>
        <v/>
      </c>
      <c r="T219" s="43" t="str">
        <f>IF(OR($B219="",$A219&gt;$B$9,T$210=""),"",IF(COUNTIFS(BD!$B$3:$B$5001,T$210,BD!$A$3:$A$5001,"&gt;="&amp;$C$7,BD!$A$3:$A$5001,"&lt;="&amp;$B219,BD!$Y$3:$Y$5001,"&lt;&gt;")=0,"",SUMIFS(BD!$Y$3:$Y$5001,BD!$B$3:$B$5001,T$210,BD!$A$3:$A$5001,_xlfn.MAXIFS(BD!$A$3:$A$5001,BD!$B$3:$B$5001,T$210,BD!$A$3:$A$5001,"&gt;="&amp;$C$7,BD!$A$3:$A$5001,"&lt;="&amp;$B219,BD!$Y$3:$Y$5001,"&lt;&gt;"))))</f>
        <v/>
      </c>
      <c r="U219" s="43" t="str">
        <f>IF(OR($B219="",$A219&gt;$B$9,U$210=""),"",IF(COUNTIFS(BD!$B$3:$B$5001,U$210,BD!$A$3:$A$5001,"&gt;="&amp;$C$7,BD!$A$3:$A$5001,"&lt;="&amp;$B219,BD!$Y$3:$Y$5001,"&lt;&gt;")=0,"",SUMIFS(BD!$Y$3:$Y$5001,BD!$B$3:$B$5001,U$210,BD!$A$3:$A$5001,_xlfn.MAXIFS(BD!$A$3:$A$5001,BD!$B$3:$B$5001,U$210,BD!$A$3:$A$5001,"&gt;="&amp;$C$7,BD!$A$3:$A$5001,"&lt;="&amp;$B219,BD!$Y$3:$Y$5001,"&lt;&gt;"))))</f>
        <v/>
      </c>
      <c r="V219" s="43" t="str">
        <f>IF(OR($B219="",$A219&gt;$B$9,V$210=""),"",IF(COUNTIFS(BD!$B$3:$B$5001,V$210,BD!$A$3:$A$5001,"&gt;="&amp;$C$7,BD!$A$3:$A$5001,"&lt;="&amp;$B219,BD!$Y$3:$Y$5001,"&lt;&gt;")=0,"",SUMIFS(BD!$Y$3:$Y$5001,BD!$B$3:$B$5001,V$210,BD!$A$3:$A$5001,_xlfn.MAXIFS(BD!$A$3:$A$5001,BD!$B$3:$B$5001,V$210,BD!$A$3:$A$5001,"&gt;="&amp;$C$7,BD!$A$3:$A$5001,"&lt;="&amp;$B219,BD!$Y$3:$Y$5001,"&lt;&gt;"))))</f>
        <v/>
      </c>
    </row>
    <row r="220">
      <c r="A220" s="38">
        <v>10</v>
      </c>
      <c r="B220" s="42">
        <f>$B$21</f>
        <v>46305</v>
      </c>
      <c r="C220" s="43" t="str">
        <f>IF(OR($B220="",$A220&gt;$B$9,C$210=""),"",IF(COUNTIFS(BD!$B$3:$B$5001,C$210,BD!$A$3:$A$5001,"&gt;="&amp;$C$7,BD!$A$3:$A$5001,"&lt;="&amp;$B220,BD!$Y$3:$Y$5001,"&lt;&gt;")=0,"",SUMIFS(BD!$Y$3:$Y$5001,BD!$B$3:$B$5001,C$210,BD!$A$3:$A$5001,_xlfn.MAXIFS(BD!$A$3:$A$5001,BD!$B$3:$B$5001,C$210,BD!$A$3:$A$5001,"&gt;="&amp;$C$7,BD!$A$3:$A$5001,"&lt;="&amp;$B220,BD!$Y$3:$Y$5001,"&lt;&gt;"))))</f>
        <v/>
      </c>
      <c r="D220" s="43" t="str">
        <f>IF(OR($B220="",$A220&gt;$B$9,D$210=""),"",IF(COUNTIFS(BD!$B$3:$B$5001,D$210,BD!$A$3:$A$5001,"&gt;="&amp;$C$7,BD!$A$3:$A$5001,"&lt;="&amp;$B220,BD!$Y$3:$Y$5001,"&lt;&gt;")=0,"",SUMIFS(BD!$Y$3:$Y$5001,BD!$B$3:$B$5001,D$210,BD!$A$3:$A$5001,_xlfn.MAXIFS(BD!$A$3:$A$5001,BD!$B$3:$B$5001,D$210,BD!$A$3:$A$5001,"&gt;="&amp;$C$7,BD!$A$3:$A$5001,"&lt;="&amp;$B220,BD!$Y$3:$Y$5001,"&lt;&gt;"))))</f>
        <v/>
      </c>
      <c r="E220" s="43" t="str">
        <f>IF(OR($B220="",$A220&gt;$B$9,E$210=""),"",IF(COUNTIFS(BD!$B$3:$B$5001,E$210,BD!$A$3:$A$5001,"&gt;="&amp;$C$7,BD!$A$3:$A$5001,"&lt;="&amp;$B220,BD!$Y$3:$Y$5001,"&lt;&gt;")=0,"",SUMIFS(BD!$Y$3:$Y$5001,BD!$B$3:$B$5001,E$210,BD!$A$3:$A$5001,_xlfn.MAXIFS(BD!$A$3:$A$5001,BD!$B$3:$B$5001,E$210,BD!$A$3:$A$5001,"&gt;="&amp;$C$7,BD!$A$3:$A$5001,"&lt;="&amp;$B220,BD!$Y$3:$Y$5001,"&lt;&gt;"))))</f>
        <v/>
      </c>
      <c r="F220" s="43" t="str">
        <f>IF(OR($B220="",$A220&gt;$B$9,F$210=""),"",IF(COUNTIFS(BD!$B$3:$B$5001,F$210,BD!$A$3:$A$5001,"&gt;="&amp;$C$7,BD!$A$3:$A$5001,"&lt;="&amp;$B220,BD!$Y$3:$Y$5001,"&lt;&gt;")=0,"",SUMIFS(BD!$Y$3:$Y$5001,BD!$B$3:$B$5001,F$210,BD!$A$3:$A$5001,_xlfn.MAXIFS(BD!$A$3:$A$5001,BD!$B$3:$B$5001,F$210,BD!$A$3:$A$5001,"&gt;="&amp;$C$7,BD!$A$3:$A$5001,"&lt;="&amp;$B220,BD!$Y$3:$Y$5001,"&lt;&gt;"))))</f>
        <v/>
      </c>
      <c r="G220" s="43" t="str">
        <f>IF(OR($B220="",$A220&gt;$B$9,G$210=""),"",IF(COUNTIFS(BD!$B$3:$B$5001,G$210,BD!$A$3:$A$5001,"&gt;="&amp;$C$7,BD!$A$3:$A$5001,"&lt;="&amp;$B220,BD!$Y$3:$Y$5001,"&lt;&gt;")=0,"",SUMIFS(BD!$Y$3:$Y$5001,BD!$B$3:$B$5001,G$210,BD!$A$3:$A$5001,_xlfn.MAXIFS(BD!$A$3:$A$5001,BD!$B$3:$B$5001,G$210,BD!$A$3:$A$5001,"&gt;="&amp;$C$7,BD!$A$3:$A$5001,"&lt;="&amp;$B220,BD!$Y$3:$Y$5001,"&lt;&gt;"))))</f>
        <v/>
      </c>
      <c r="H220" s="43" t="str">
        <f>IF(OR($B220="",$A220&gt;$B$9,H$210=""),"",IF(COUNTIFS(BD!$B$3:$B$5001,H$210,BD!$A$3:$A$5001,"&gt;="&amp;$C$7,BD!$A$3:$A$5001,"&lt;="&amp;$B220,BD!$Y$3:$Y$5001,"&lt;&gt;")=0,"",SUMIFS(BD!$Y$3:$Y$5001,BD!$B$3:$B$5001,H$210,BD!$A$3:$A$5001,_xlfn.MAXIFS(BD!$A$3:$A$5001,BD!$B$3:$B$5001,H$210,BD!$A$3:$A$5001,"&gt;="&amp;$C$7,BD!$A$3:$A$5001,"&lt;="&amp;$B220,BD!$Y$3:$Y$5001,"&lt;&gt;"))))</f>
        <v/>
      </c>
      <c r="I220" s="43" t="str">
        <f>IF(OR($B220="",$A220&gt;$B$9,I$210=""),"",IF(COUNTIFS(BD!$B$3:$B$5001,I$210,BD!$A$3:$A$5001,"&gt;="&amp;$C$7,BD!$A$3:$A$5001,"&lt;="&amp;$B220,BD!$Y$3:$Y$5001,"&lt;&gt;")=0,"",SUMIFS(BD!$Y$3:$Y$5001,BD!$B$3:$B$5001,I$210,BD!$A$3:$A$5001,_xlfn.MAXIFS(BD!$A$3:$A$5001,BD!$B$3:$B$5001,I$210,BD!$A$3:$A$5001,"&gt;="&amp;$C$7,BD!$A$3:$A$5001,"&lt;="&amp;$B220,BD!$Y$3:$Y$5001,"&lt;&gt;"))))</f>
        <v/>
      </c>
      <c r="J220" s="43" t="str">
        <f>IF(OR($B220="",$A220&gt;$B$9,J$210=""),"",IF(COUNTIFS(BD!$B$3:$B$5001,J$210,BD!$A$3:$A$5001,"&gt;="&amp;$C$7,BD!$A$3:$A$5001,"&lt;="&amp;$B220,BD!$Y$3:$Y$5001,"&lt;&gt;")=0,"",SUMIFS(BD!$Y$3:$Y$5001,BD!$B$3:$B$5001,J$210,BD!$A$3:$A$5001,_xlfn.MAXIFS(BD!$A$3:$A$5001,BD!$B$3:$B$5001,J$210,BD!$A$3:$A$5001,"&gt;="&amp;$C$7,BD!$A$3:$A$5001,"&lt;="&amp;$B220,BD!$Y$3:$Y$5001,"&lt;&gt;"))))</f>
        <v/>
      </c>
      <c r="K220" s="43" t="str">
        <f>IF(OR($B220="",$A220&gt;$B$9,K$210=""),"",IF(COUNTIFS(BD!$B$3:$B$5001,K$210,BD!$A$3:$A$5001,"&gt;="&amp;$C$7,BD!$A$3:$A$5001,"&lt;="&amp;$B220,BD!$Y$3:$Y$5001,"&lt;&gt;")=0,"",SUMIFS(BD!$Y$3:$Y$5001,BD!$B$3:$B$5001,K$210,BD!$A$3:$A$5001,_xlfn.MAXIFS(BD!$A$3:$A$5001,BD!$B$3:$B$5001,K$210,BD!$A$3:$A$5001,"&gt;="&amp;$C$7,BD!$A$3:$A$5001,"&lt;="&amp;$B220,BD!$Y$3:$Y$5001,"&lt;&gt;"))))</f>
        <v/>
      </c>
      <c r="L220" s="43" t="str">
        <f>IF(OR($B220="",$A220&gt;$B$9,L$210=""),"",IF(COUNTIFS(BD!$B$3:$B$5001,L$210,BD!$A$3:$A$5001,"&gt;="&amp;$C$7,BD!$A$3:$A$5001,"&lt;="&amp;$B220,BD!$Y$3:$Y$5001,"&lt;&gt;")=0,"",SUMIFS(BD!$Y$3:$Y$5001,BD!$B$3:$B$5001,L$210,BD!$A$3:$A$5001,_xlfn.MAXIFS(BD!$A$3:$A$5001,BD!$B$3:$B$5001,L$210,BD!$A$3:$A$5001,"&gt;="&amp;$C$7,BD!$A$3:$A$5001,"&lt;="&amp;$B220,BD!$Y$3:$Y$5001,"&lt;&gt;"))))</f>
        <v/>
      </c>
      <c r="M220" s="43" t="str">
        <f>IF(OR($B220="",$A220&gt;$B$9,M$210=""),"",IF(COUNTIFS(BD!$B$3:$B$5001,M$210,BD!$A$3:$A$5001,"&gt;="&amp;$C$7,BD!$A$3:$A$5001,"&lt;="&amp;$B220,BD!$Y$3:$Y$5001,"&lt;&gt;")=0,"",SUMIFS(BD!$Y$3:$Y$5001,BD!$B$3:$B$5001,M$210,BD!$A$3:$A$5001,_xlfn.MAXIFS(BD!$A$3:$A$5001,BD!$B$3:$B$5001,M$210,BD!$A$3:$A$5001,"&gt;="&amp;$C$7,BD!$A$3:$A$5001,"&lt;="&amp;$B220,BD!$Y$3:$Y$5001,"&lt;&gt;"))))</f>
        <v/>
      </c>
      <c r="N220" s="43" t="str">
        <f>IF(OR($B220="",$A220&gt;$B$9,N$210=""),"",IF(COUNTIFS(BD!$B$3:$B$5001,N$210,BD!$A$3:$A$5001,"&gt;="&amp;$C$7,BD!$A$3:$A$5001,"&lt;="&amp;$B220,BD!$Y$3:$Y$5001,"&lt;&gt;")=0,"",SUMIFS(BD!$Y$3:$Y$5001,BD!$B$3:$B$5001,N$210,BD!$A$3:$A$5001,_xlfn.MAXIFS(BD!$A$3:$A$5001,BD!$B$3:$B$5001,N$210,BD!$A$3:$A$5001,"&gt;="&amp;$C$7,BD!$A$3:$A$5001,"&lt;="&amp;$B220,BD!$Y$3:$Y$5001,"&lt;&gt;"))))</f>
        <v/>
      </c>
      <c r="O220" s="43" t="str">
        <f>IF(OR($B220="",$A220&gt;$B$9,O$210=""),"",IF(COUNTIFS(BD!$B$3:$B$5001,O$210,BD!$A$3:$A$5001,"&gt;="&amp;$C$7,BD!$A$3:$A$5001,"&lt;="&amp;$B220,BD!$Y$3:$Y$5001,"&lt;&gt;")=0,"",SUMIFS(BD!$Y$3:$Y$5001,BD!$B$3:$B$5001,O$210,BD!$A$3:$A$5001,_xlfn.MAXIFS(BD!$A$3:$A$5001,BD!$B$3:$B$5001,O$210,BD!$A$3:$A$5001,"&gt;="&amp;$C$7,BD!$A$3:$A$5001,"&lt;="&amp;$B220,BD!$Y$3:$Y$5001,"&lt;&gt;"))))</f>
        <v/>
      </c>
      <c r="P220" s="43" t="str">
        <f>IF(OR($B220="",$A220&gt;$B$9,P$210=""),"",IF(COUNTIFS(BD!$B$3:$B$5001,P$210,BD!$A$3:$A$5001,"&gt;="&amp;$C$7,BD!$A$3:$A$5001,"&lt;="&amp;$B220,BD!$Y$3:$Y$5001,"&lt;&gt;")=0,"",SUMIFS(BD!$Y$3:$Y$5001,BD!$B$3:$B$5001,P$210,BD!$A$3:$A$5001,_xlfn.MAXIFS(BD!$A$3:$A$5001,BD!$B$3:$B$5001,P$210,BD!$A$3:$A$5001,"&gt;="&amp;$C$7,BD!$A$3:$A$5001,"&lt;="&amp;$B220,BD!$Y$3:$Y$5001,"&lt;&gt;"))))</f>
        <v/>
      </c>
      <c r="Q220" s="43" t="str">
        <f>IF(OR($B220="",$A220&gt;$B$9,Q$210=""),"",IF(COUNTIFS(BD!$B$3:$B$5001,Q$210,BD!$A$3:$A$5001,"&gt;="&amp;$C$7,BD!$A$3:$A$5001,"&lt;="&amp;$B220,BD!$Y$3:$Y$5001,"&lt;&gt;")=0,"",SUMIFS(BD!$Y$3:$Y$5001,BD!$B$3:$B$5001,Q$210,BD!$A$3:$A$5001,_xlfn.MAXIFS(BD!$A$3:$A$5001,BD!$B$3:$B$5001,Q$210,BD!$A$3:$A$5001,"&gt;="&amp;$C$7,BD!$A$3:$A$5001,"&lt;="&amp;$B220,BD!$Y$3:$Y$5001,"&lt;&gt;"))))</f>
        <v/>
      </c>
      <c r="R220" s="43" t="str">
        <f>IF(OR($B220="",$A220&gt;$B$9,R$210=""),"",IF(COUNTIFS(BD!$B$3:$B$5001,R$210,BD!$A$3:$A$5001,"&gt;="&amp;$C$7,BD!$A$3:$A$5001,"&lt;="&amp;$B220,BD!$Y$3:$Y$5001,"&lt;&gt;")=0,"",SUMIFS(BD!$Y$3:$Y$5001,BD!$B$3:$B$5001,R$210,BD!$A$3:$A$5001,_xlfn.MAXIFS(BD!$A$3:$A$5001,BD!$B$3:$B$5001,R$210,BD!$A$3:$A$5001,"&gt;="&amp;$C$7,BD!$A$3:$A$5001,"&lt;="&amp;$B220,BD!$Y$3:$Y$5001,"&lt;&gt;"))))</f>
        <v/>
      </c>
      <c r="S220" s="43" t="str">
        <f>IF(OR($B220="",$A220&gt;$B$9,S$210=""),"",IF(COUNTIFS(BD!$B$3:$B$5001,S$210,BD!$A$3:$A$5001,"&gt;="&amp;$C$7,BD!$A$3:$A$5001,"&lt;="&amp;$B220,BD!$Y$3:$Y$5001,"&lt;&gt;")=0,"",SUMIFS(BD!$Y$3:$Y$5001,BD!$B$3:$B$5001,S$210,BD!$A$3:$A$5001,_xlfn.MAXIFS(BD!$A$3:$A$5001,BD!$B$3:$B$5001,S$210,BD!$A$3:$A$5001,"&gt;="&amp;$C$7,BD!$A$3:$A$5001,"&lt;="&amp;$B220,BD!$Y$3:$Y$5001,"&lt;&gt;"))))</f>
        <v/>
      </c>
      <c r="T220" s="43" t="str">
        <f>IF(OR($B220="",$A220&gt;$B$9,T$210=""),"",IF(COUNTIFS(BD!$B$3:$B$5001,T$210,BD!$A$3:$A$5001,"&gt;="&amp;$C$7,BD!$A$3:$A$5001,"&lt;="&amp;$B220,BD!$Y$3:$Y$5001,"&lt;&gt;")=0,"",SUMIFS(BD!$Y$3:$Y$5001,BD!$B$3:$B$5001,T$210,BD!$A$3:$A$5001,_xlfn.MAXIFS(BD!$A$3:$A$5001,BD!$B$3:$B$5001,T$210,BD!$A$3:$A$5001,"&gt;="&amp;$C$7,BD!$A$3:$A$5001,"&lt;="&amp;$B220,BD!$Y$3:$Y$5001,"&lt;&gt;"))))</f>
        <v/>
      </c>
      <c r="U220" s="43" t="str">
        <f>IF(OR($B220="",$A220&gt;$B$9,U$210=""),"",IF(COUNTIFS(BD!$B$3:$B$5001,U$210,BD!$A$3:$A$5001,"&gt;="&amp;$C$7,BD!$A$3:$A$5001,"&lt;="&amp;$B220,BD!$Y$3:$Y$5001,"&lt;&gt;")=0,"",SUMIFS(BD!$Y$3:$Y$5001,BD!$B$3:$B$5001,U$210,BD!$A$3:$A$5001,_xlfn.MAXIFS(BD!$A$3:$A$5001,BD!$B$3:$B$5001,U$210,BD!$A$3:$A$5001,"&gt;="&amp;$C$7,BD!$A$3:$A$5001,"&lt;="&amp;$B220,BD!$Y$3:$Y$5001,"&lt;&gt;"))))</f>
        <v/>
      </c>
      <c r="V220" s="43" t="str">
        <f>IF(OR($B220="",$A220&gt;$B$9,V$210=""),"",IF(COUNTIFS(BD!$B$3:$B$5001,V$210,BD!$A$3:$A$5001,"&gt;="&amp;$C$7,BD!$A$3:$A$5001,"&lt;="&amp;$B220,BD!$Y$3:$Y$5001,"&lt;&gt;")=0,"",SUMIFS(BD!$Y$3:$Y$5001,BD!$B$3:$B$5001,V$210,BD!$A$3:$A$5001,_xlfn.MAXIFS(BD!$A$3:$A$5001,BD!$B$3:$B$5001,V$210,BD!$A$3:$A$5001,"&gt;="&amp;$C$7,BD!$A$3:$A$5001,"&lt;="&amp;$B220,BD!$Y$3:$Y$5001,"&lt;&gt;"))))</f>
        <v/>
      </c>
    </row>
    <row r="221">
      <c r="A221" s="38">
        <v>11</v>
      </c>
      <c r="B221" s="42">
        <f>$B$22</f>
        <v>46306</v>
      </c>
      <c r="C221" s="43" t="str">
        <f>IF(OR($B221="",$A221&gt;$B$9,C$210=""),"",IF(COUNTIFS(BD!$B$3:$B$5001,C$210,BD!$A$3:$A$5001,"&gt;="&amp;$C$7,BD!$A$3:$A$5001,"&lt;="&amp;$B221,BD!$Y$3:$Y$5001,"&lt;&gt;")=0,"",SUMIFS(BD!$Y$3:$Y$5001,BD!$B$3:$B$5001,C$210,BD!$A$3:$A$5001,_xlfn.MAXIFS(BD!$A$3:$A$5001,BD!$B$3:$B$5001,C$210,BD!$A$3:$A$5001,"&gt;="&amp;$C$7,BD!$A$3:$A$5001,"&lt;="&amp;$B221,BD!$Y$3:$Y$5001,"&lt;&gt;"))))</f>
        <v/>
      </c>
      <c r="D221" s="43" t="str">
        <f>IF(OR($B221="",$A221&gt;$B$9,D$210=""),"",IF(COUNTIFS(BD!$B$3:$B$5001,D$210,BD!$A$3:$A$5001,"&gt;="&amp;$C$7,BD!$A$3:$A$5001,"&lt;="&amp;$B221,BD!$Y$3:$Y$5001,"&lt;&gt;")=0,"",SUMIFS(BD!$Y$3:$Y$5001,BD!$B$3:$B$5001,D$210,BD!$A$3:$A$5001,_xlfn.MAXIFS(BD!$A$3:$A$5001,BD!$B$3:$B$5001,D$210,BD!$A$3:$A$5001,"&gt;="&amp;$C$7,BD!$A$3:$A$5001,"&lt;="&amp;$B221,BD!$Y$3:$Y$5001,"&lt;&gt;"))))</f>
        <v/>
      </c>
      <c r="E221" s="43" t="str">
        <f>IF(OR($B221="",$A221&gt;$B$9,E$210=""),"",IF(COUNTIFS(BD!$B$3:$B$5001,E$210,BD!$A$3:$A$5001,"&gt;="&amp;$C$7,BD!$A$3:$A$5001,"&lt;="&amp;$B221,BD!$Y$3:$Y$5001,"&lt;&gt;")=0,"",SUMIFS(BD!$Y$3:$Y$5001,BD!$B$3:$B$5001,E$210,BD!$A$3:$A$5001,_xlfn.MAXIFS(BD!$A$3:$A$5001,BD!$B$3:$B$5001,E$210,BD!$A$3:$A$5001,"&gt;="&amp;$C$7,BD!$A$3:$A$5001,"&lt;="&amp;$B221,BD!$Y$3:$Y$5001,"&lt;&gt;"))))</f>
        <v/>
      </c>
      <c r="F221" s="43" t="str">
        <f>IF(OR($B221="",$A221&gt;$B$9,F$210=""),"",IF(COUNTIFS(BD!$B$3:$B$5001,F$210,BD!$A$3:$A$5001,"&gt;="&amp;$C$7,BD!$A$3:$A$5001,"&lt;="&amp;$B221,BD!$Y$3:$Y$5001,"&lt;&gt;")=0,"",SUMIFS(BD!$Y$3:$Y$5001,BD!$B$3:$B$5001,F$210,BD!$A$3:$A$5001,_xlfn.MAXIFS(BD!$A$3:$A$5001,BD!$B$3:$B$5001,F$210,BD!$A$3:$A$5001,"&gt;="&amp;$C$7,BD!$A$3:$A$5001,"&lt;="&amp;$B221,BD!$Y$3:$Y$5001,"&lt;&gt;"))))</f>
        <v/>
      </c>
      <c r="G221" s="43" t="str">
        <f>IF(OR($B221="",$A221&gt;$B$9,G$210=""),"",IF(COUNTIFS(BD!$B$3:$B$5001,G$210,BD!$A$3:$A$5001,"&gt;="&amp;$C$7,BD!$A$3:$A$5001,"&lt;="&amp;$B221,BD!$Y$3:$Y$5001,"&lt;&gt;")=0,"",SUMIFS(BD!$Y$3:$Y$5001,BD!$B$3:$B$5001,G$210,BD!$A$3:$A$5001,_xlfn.MAXIFS(BD!$A$3:$A$5001,BD!$B$3:$B$5001,G$210,BD!$A$3:$A$5001,"&gt;="&amp;$C$7,BD!$A$3:$A$5001,"&lt;="&amp;$B221,BD!$Y$3:$Y$5001,"&lt;&gt;"))))</f>
        <v/>
      </c>
      <c r="H221" s="43" t="str">
        <f>IF(OR($B221="",$A221&gt;$B$9,H$210=""),"",IF(COUNTIFS(BD!$B$3:$B$5001,H$210,BD!$A$3:$A$5001,"&gt;="&amp;$C$7,BD!$A$3:$A$5001,"&lt;="&amp;$B221,BD!$Y$3:$Y$5001,"&lt;&gt;")=0,"",SUMIFS(BD!$Y$3:$Y$5001,BD!$B$3:$B$5001,H$210,BD!$A$3:$A$5001,_xlfn.MAXIFS(BD!$A$3:$A$5001,BD!$B$3:$B$5001,H$210,BD!$A$3:$A$5001,"&gt;="&amp;$C$7,BD!$A$3:$A$5001,"&lt;="&amp;$B221,BD!$Y$3:$Y$5001,"&lt;&gt;"))))</f>
        <v/>
      </c>
      <c r="I221" s="43" t="str">
        <f>IF(OR($B221="",$A221&gt;$B$9,I$210=""),"",IF(COUNTIFS(BD!$B$3:$B$5001,I$210,BD!$A$3:$A$5001,"&gt;="&amp;$C$7,BD!$A$3:$A$5001,"&lt;="&amp;$B221,BD!$Y$3:$Y$5001,"&lt;&gt;")=0,"",SUMIFS(BD!$Y$3:$Y$5001,BD!$B$3:$B$5001,I$210,BD!$A$3:$A$5001,_xlfn.MAXIFS(BD!$A$3:$A$5001,BD!$B$3:$B$5001,I$210,BD!$A$3:$A$5001,"&gt;="&amp;$C$7,BD!$A$3:$A$5001,"&lt;="&amp;$B221,BD!$Y$3:$Y$5001,"&lt;&gt;"))))</f>
        <v/>
      </c>
      <c r="J221" s="43" t="str">
        <f>IF(OR($B221="",$A221&gt;$B$9,J$210=""),"",IF(COUNTIFS(BD!$B$3:$B$5001,J$210,BD!$A$3:$A$5001,"&gt;="&amp;$C$7,BD!$A$3:$A$5001,"&lt;="&amp;$B221,BD!$Y$3:$Y$5001,"&lt;&gt;")=0,"",SUMIFS(BD!$Y$3:$Y$5001,BD!$B$3:$B$5001,J$210,BD!$A$3:$A$5001,_xlfn.MAXIFS(BD!$A$3:$A$5001,BD!$B$3:$B$5001,J$210,BD!$A$3:$A$5001,"&gt;="&amp;$C$7,BD!$A$3:$A$5001,"&lt;="&amp;$B221,BD!$Y$3:$Y$5001,"&lt;&gt;"))))</f>
        <v/>
      </c>
      <c r="K221" s="43" t="str">
        <f>IF(OR($B221="",$A221&gt;$B$9,K$210=""),"",IF(COUNTIFS(BD!$B$3:$B$5001,K$210,BD!$A$3:$A$5001,"&gt;="&amp;$C$7,BD!$A$3:$A$5001,"&lt;="&amp;$B221,BD!$Y$3:$Y$5001,"&lt;&gt;")=0,"",SUMIFS(BD!$Y$3:$Y$5001,BD!$B$3:$B$5001,K$210,BD!$A$3:$A$5001,_xlfn.MAXIFS(BD!$A$3:$A$5001,BD!$B$3:$B$5001,K$210,BD!$A$3:$A$5001,"&gt;="&amp;$C$7,BD!$A$3:$A$5001,"&lt;="&amp;$B221,BD!$Y$3:$Y$5001,"&lt;&gt;"))))</f>
        <v/>
      </c>
      <c r="L221" s="43" t="str">
        <f>IF(OR($B221="",$A221&gt;$B$9,L$210=""),"",IF(COUNTIFS(BD!$B$3:$B$5001,L$210,BD!$A$3:$A$5001,"&gt;="&amp;$C$7,BD!$A$3:$A$5001,"&lt;="&amp;$B221,BD!$Y$3:$Y$5001,"&lt;&gt;")=0,"",SUMIFS(BD!$Y$3:$Y$5001,BD!$B$3:$B$5001,L$210,BD!$A$3:$A$5001,_xlfn.MAXIFS(BD!$A$3:$A$5001,BD!$B$3:$B$5001,L$210,BD!$A$3:$A$5001,"&gt;="&amp;$C$7,BD!$A$3:$A$5001,"&lt;="&amp;$B221,BD!$Y$3:$Y$5001,"&lt;&gt;"))))</f>
        <v/>
      </c>
      <c r="M221" s="43" t="str">
        <f>IF(OR($B221="",$A221&gt;$B$9,M$210=""),"",IF(COUNTIFS(BD!$B$3:$B$5001,M$210,BD!$A$3:$A$5001,"&gt;="&amp;$C$7,BD!$A$3:$A$5001,"&lt;="&amp;$B221,BD!$Y$3:$Y$5001,"&lt;&gt;")=0,"",SUMIFS(BD!$Y$3:$Y$5001,BD!$B$3:$B$5001,M$210,BD!$A$3:$A$5001,_xlfn.MAXIFS(BD!$A$3:$A$5001,BD!$B$3:$B$5001,M$210,BD!$A$3:$A$5001,"&gt;="&amp;$C$7,BD!$A$3:$A$5001,"&lt;="&amp;$B221,BD!$Y$3:$Y$5001,"&lt;&gt;"))))</f>
        <v/>
      </c>
      <c r="N221" s="43" t="str">
        <f>IF(OR($B221="",$A221&gt;$B$9,N$210=""),"",IF(COUNTIFS(BD!$B$3:$B$5001,N$210,BD!$A$3:$A$5001,"&gt;="&amp;$C$7,BD!$A$3:$A$5001,"&lt;="&amp;$B221,BD!$Y$3:$Y$5001,"&lt;&gt;")=0,"",SUMIFS(BD!$Y$3:$Y$5001,BD!$B$3:$B$5001,N$210,BD!$A$3:$A$5001,_xlfn.MAXIFS(BD!$A$3:$A$5001,BD!$B$3:$B$5001,N$210,BD!$A$3:$A$5001,"&gt;="&amp;$C$7,BD!$A$3:$A$5001,"&lt;="&amp;$B221,BD!$Y$3:$Y$5001,"&lt;&gt;"))))</f>
        <v/>
      </c>
      <c r="O221" s="43" t="str">
        <f>IF(OR($B221="",$A221&gt;$B$9,O$210=""),"",IF(COUNTIFS(BD!$B$3:$B$5001,O$210,BD!$A$3:$A$5001,"&gt;="&amp;$C$7,BD!$A$3:$A$5001,"&lt;="&amp;$B221,BD!$Y$3:$Y$5001,"&lt;&gt;")=0,"",SUMIFS(BD!$Y$3:$Y$5001,BD!$B$3:$B$5001,O$210,BD!$A$3:$A$5001,_xlfn.MAXIFS(BD!$A$3:$A$5001,BD!$B$3:$B$5001,O$210,BD!$A$3:$A$5001,"&gt;="&amp;$C$7,BD!$A$3:$A$5001,"&lt;="&amp;$B221,BD!$Y$3:$Y$5001,"&lt;&gt;"))))</f>
        <v/>
      </c>
      <c r="P221" s="43" t="str">
        <f>IF(OR($B221="",$A221&gt;$B$9,P$210=""),"",IF(COUNTIFS(BD!$B$3:$B$5001,P$210,BD!$A$3:$A$5001,"&gt;="&amp;$C$7,BD!$A$3:$A$5001,"&lt;="&amp;$B221,BD!$Y$3:$Y$5001,"&lt;&gt;")=0,"",SUMIFS(BD!$Y$3:$Y$5001,BD!$B$3:$B$5001,P$210,BD!$A$3:$A$5001,_xlfn.MAXIFS(BD!$A$3:$A$5001,BD!$B$3:$B$5001,P$210,BD!$A$3:$A$5001,"&gt;="&amp;$C$7,BD!$A$3:$A$5001,"&lt;="&amp;$B221,BD!$Y$3:$Y$5001,"&lt;&gt;"))))</f>
        <v/>
      </c>
      <c r="Q221" s="43" t="str">
        <f>IF(OR($B221="",$A221&gt;$B$9,Q$210=""),"",IF(COUNTIFS(BD!$B$3:$B$5001,Q$210,BD!$A$3:$A$5001,"&gt;="&amp;$C$7,BD!$A$3:$A$5001,"&lt;="&amp;$B221,BD!$Y$3:$Y$5001,"&lt;&gt;")=0,"",SUMIFS(BD!$Y$3:$Y$5001,BD!$B$3:$B$5001,Q$210,BD!$A$3:$A$5001,_xlfn.MAXIFS(BD!$A$3:$A$5001,BD!$B$3:$B$5001,Q$210,BD!$A$3:$A$5001,"&gt;="&amp;$C$7,BD!$A$3:$A$5001,"&lt;="&amp;$B221,BD!$Y$3:$Y$5001,"&lt;&gt;"))))</f>
        <v/>
      </c>
      <c r="R221" s="43" t="str">
        <f>IF(OR($B221="",$A221&gt;$B$9,R$210=""),"",IF(COUNTIFS(BD!$B$3:$B$5001,R$210,BD!$A$3:$A$5001,"&gt;="&amp;$C$7,BD!$A$3:$A$5001,"&lt;="&amp;$B221,BD!$Y$3:$Y$5001,"&lt;&gt;")=0,"",SUMIFS(BD!$Y$3:$Y$5001,BD!$B$3:$B$5001,R$210,BD!$A$3:$A$5001,_xlfn.MAXIFS(BD!$A$3:$A$5001,BD!$B$3:$B$5001,R$210,BD!$A$3:$A$5001,"&gt;="&amp;$C$7,BD!$A$3:$A$5001,"&lt;="&amp;$B221,BD!$Y$3:$Y$5001,"&lt;&gt;"))))</f>
        <v/>
      </c>
      <c r="S221" s="43" t="str">
        <f>IF(OR($B221="",$A221&gt;$B$9,S$210=""),"",IF(COUNTIFS(BD!$B$3:$B$5001,S$210,BD!$A$3:$A$5001,"&gt;="&amp;$C$7,BD!$A$3:$A$5001,"&lt;="&amp;$B221,BD!$Y$3:$Y$5001,"&lt;&gt;")=0,"",SUMIFS(BD!$Y$3:$Y$5001,BD!$B$3:$B$5001,S$210,BD!$A$3:$A$5001,_xlfn.MAXIFS(BD!$A$3:$A$5001,BD!$B$3:$B$5001,S$210,BD!$A$3:$A$5001,"&gt;="&amp;$C$7,BD!$A$3:$A$5001,"&lt;="&amp;$B221,BD!$Y$3:$Y$5001,"&lt;&gt;"))))</f>
        <v/>
      </c>
      <c r="T221" s="43" t="str">
        <f>IF(OR($B221="",$A221&gt;$B$9,T$210=""),"",IF(COUNTIFS(BD!$B$3:$B$5001,T$210,BD!$A$3:$A$5001,"&gt;="&amp;$C$7,BD!$A$3:$A$5001,"&lt;="&amp;$B221,BD!$Y$3:$Y$5001,"&lt;&gt;")=0,"",SUMIFS(BD!$Y$3:$Y$5001,BD!$B$3:$B$5001,T$210,BD!$A$3:$A$5001,_xlfn.MAXIFS(BD!$A$3:$A$5001,BD!$B$3:$B$5001,T$210,BD!$A$3:$A$5001,"&gt;="&amp;$C$7,BD!$A$3:$A$5001,"&lt;="&amp;$B221,BD!$Y$3:$Y$5001,"&lt;&gt;"))))</f>
        <v/>
      </c>
      <c r="U221" s="43" t="str">
        <f>IF(OR($B221="",$A221&gt;$B$9,U$210=""),"",IF(COUNTIFS(BD!$B$3:$B$5001,U$210,BD!$A$3:$A$5001,"&gt;="&amp;$C$7,BD!$A$3:$A$5001,"&lt;="&amp;$B221,BD!$Y$3:$Y$5001,"&lt;&gt;")=0,"",SUMIFS(BD!$Y$3:$Y$5001,BD!$B$3:$B$5001,U$210,BD!$A$3:$A$5001,_xlfn.MAXIFS(BD!$A$3:$A$5001,BD!$B$3:$B$5001,U$210,BD!$A$3:$A$5001,"&gt;="&amp;$C$7,BD!$A$3:$A$5001,"&lt;="&amp;$B221,BD!$Y$3:$Y$5001,"&lt;&gt;"))))</f>
        <v/>
      </c>
      <c r="V221" s="43" t="str">
        <f>IF(OR($B221="",$A221&gt;$B$9,V$210=""),"",IF(COUNTIFS(BD!$B$3:$B$5001,V$210,BD!$A$3:$A$5001,"&gt;="&amp;$C$7,BD!$A$3:$A$5001,"&lt;="&amp;$B221,BD!$Y$3:$Y$5001,"&lt;&gt;")=0,"",SUMIFS(BD!$Y$3:$Y$5001,BD!$B$3:$B$5001,V$210,BD!$A$3:$A$5001,_xlfn.MAXIFS(BD!$A$3:$A$5001,BD!$B$3:$B$5001,V$210,BD!$A$3:$A$5001,"&gt;="&amp;$C$7,BD!$A$3:$A$5001,"&lt;="&amp;$B221,BD!$Y$3:$Y$5001,"&lt;&gt;"))))</f>
        <v/>
      </c>
    </row>
    <row r="222">
      <c r="A222" s="38">
        <v>12</v>
      </c>
      <c r="B222" s="42">
        <f>$B$23</f>
        <v>46307</v>
      </c>
      <c r="C222" s="43" t="str">
        <f>IF(OR($B222="",$A222&gt;$B$9,C$210=""),"",IF(COUNTIFS(BD!$B$3:$B$5001,C$210,BD!$A$3:$A$5001,"&gt;="&amp;$C$7,BD!$A$3:$A$5001,"&lt;="&amp;$B222,BD!$Y$3:$Y$5001,"&lt;&gt;")=0,"",SUMIFS(BD!$Y$3:$Y$5001,BD!$B$3:$B$5001,C$210,BD!$A$3:$A$5001,_xlfn.MAXIFS(BD!$A$3:$A$5001,BD!$B$3:$B$5001,C$210,BD!$A$3:$A$5001,"&gt;="&amp;$C$7,BD!$A$3:$A$5001,"&lt;="&amp;$B222,BD!$Y$3:$Y$5001,"&lt;&gt;"))))</f>
        <v/>
      </c>
      <c r="D222" s="43" t="str">
        <f>IF(OR($B222="",$A222&gt;$B$9,D$210=""),"",IF(COUNTIFS(BD!$B$3:$B$5001,D$210,BD!$A$3:$A$5001,"&gt;="&amp;$C$7,BD!$A$3:$A$5001,"&lt;="&amp;$B222,BD!$Y$3:$Y$5001,"&lt;&gt;")=0,"",SUMIFS(BD!$Y$3:$Y$5001,BD!$B$3:$B$5001,D$210,BD!$A$3:$A$5001,_xlfn.MAXIFS(BD!$A$3:$A$5001,BD!$B$3:$B$5001,D$210,BD!$A$3:$A$5001,"&gt;="&amp;$C$7,BD!$A$3:$A$5001,"&lt;="&amp;$B222,BD!$Y$3:$Y$5001,"&lt;&gt;"))))</f>
        <v/>
      </c>
      <c r="E222" s="43" t="str">
        <f>IF(OR($B222="",$A222&gt;$B$9,E$210=""),"",IF(COUNTIFS(BD!$B$3:$B$5001,E$210,BD!$A$3:$A$5001,"&gt;="&amp;$C$7,BD!$A$3:$A$5001,"&lt;="&amp;$B222,BD!$Y$3:$Y$5001,"&lt;&gt;")=0,"",SUMIFS(BD!$Y$3:$Y$5001,BD!$B$3:$B$5001,E$210,BD!$A$3:$A$5001,_xlfn.MAXIFS(BD!$A$3:$A$5001,BD!$B$3:$B$5001,E$210,BD!$A$3:$A$5001,"&gt;="&amp;$C$7,BD!$A$3:$A$5001,"&lt;="&amp;$B222,BD!$Y$3:$Y$5001,"&lt;&gt;"))))</f>
        <v/>
      </c>
      <c r="F222" s="43" t="str">
        <f>IF(OR($B222="",$A222&gt;$B$9,F$210=""),"",IF(COUNTIFS(BD!$B$3:$B$5001,F$210,BD!$A$3:$A$5001,"&gt;="&amp;$C$7,BD!$A$3:$A$5001,"&lt;="&amp;$B222,BD!$Y$3:$Y$5001,"&lt;&gt;")=0,"",SUMIFS(BD!$Y$3:$Y$5001,BD!$B$3:$B$5001,F$210,BD!$A$3:$A$5001,_xlfn.MAXIFS(BD!$A$3:$A$5001,BD!$B$3:$B$5001,F$210,BD!$A$3:$A$5001,"&gt;="&amp;$C$7,BD!$A$3:$A$5001,"&lt;="&amp;$B222,BD!$Y$3:$Y$5001,"&lt;&gt;"))))</f>
        <v/>
      </c>
      <c r="G222" s="43" t="str">
        <f>IF(OR($B222="",$A222&gt;$B$9,G$210=""),"",IF(COUNTIFS(BD!$B$3:$B$5001,G$210,BD!$A$3:$A$5001,"&gt;="&amp;$C$7,BD!$A$3:$A$5001,"&lt;="&amp;$B222,BD!$Y$3:$Y$5001,"&lt;&gt;")=0,"",SUMIFS(BD!$Y$3:$Y$5001,BD!$B$3:$B$5001,G$210,BD!$A$3:$A$5001,_xlfn.MAXIFS(BD!$A$3:$A$5001,BD!$B$3:$B$5001,G$210,BD!$A$3:$A$5001,"&gt;="&amp;$C$7,BD!$A$3:$A$5001,"&lt;="&amp;$B222,BD!$Y$3:$Y$5001,"&lt;&gt;"))))</f>
        <v/>
      </c>
      <c r="H222" s="43" t="str">
        <f>IF(OR($B222="",$A222&gt;$B$9,H$210=""),"",IF(COUNTIFS(BD!$B$3:$B$5001,H$210,BD!$A$3:$A$5001,"&gt;="&amp;$C$7,BD!$A$3:$A$5001,"&lt;="&amp;$B222,BD!$Y$3:$Y$5001,"&lt;&gt;")=0,"",SUMIFS(BD!$Y$3:$Y$5001,BD!$B$3:$B$5001,H$210,BD!$A$3:$A$5001,_xlfn.MAXIFS(BD!$A$3:$A$5001,BD!$B$3:$B$5001,H$210,BD!$A$3:$A$5001,"&gt;="&amp;$C$7,BD!$A$3:$A$5001,"&lt;="&amp;$B222,BD!$Y$3:$Y$5001,"&lt;&gt;"))))</f>
        <v/>
      </c>
      <c r="I222" s="43" t="str">
        <f>IF(OR($B222="",$A222&gt;$B$9,I$210=""),"",IF(COUNTIFS(BD!$B$3:$B$5001,I$210,BD!$A$3:$A$5001,"&gt;="&amp;$C$7,BD!$A$3:$A$5001,"&lt;="&amp;$B222,BD!$Y$3:$Y$5001,"&lt;&gt;")=0,"",SUMIFS(BD!$Y$3:$Y$5001,BD!$B$3:$B$5001,I$210,BD!$A$3:$A$5001,_xlfn.MAXIFS(BD!$A$3:$A$5001,BD!$B$3:$B$5001,I$210,BD!$A$3:$A$5001,"&gt;="&amp;$C$7,BD!$A$3:$A$5001,"&lt;="&amp;$B222,BD!$Y$3:$Y$5001,"&lt;&gt;"))))</f>
        <v/>
      </c>
      <c r="J222" s="43" t="str">
        <f>IF(OR($B222="",$A222&gt;$B$9,J$210=""),"",IF(COUNTIFS(BD!$B$3:$B$5001,J$210,BD!$A$3:$A$5001,"&gt;="&amp;$C$7,BD!$A$3:$A$5001,"&lt;="&amp;$B222,BD!$Y$3:$Y$5001,"&lt;&gt;")=0,"",SUMIFS(BD!$Y$3:$Y$5001,BD!$B$3:$B$5001,J$210,BD!$A$3:$A$5001,_xlfn.MAXIFS(BD!$A$3:$A$5001,BD!$B$3:$B$5001,J$210,BD!$A$3:$A$5001,"&gt;="&amp;$C$7,BD!$A$3:$A$5001,"&lt;="&amp;$B222,BD!$Y$3:$Y$5001,"&lt;&gt;"))))</f>
        <v/>
      </c>
      <c r="K222" s="43" t="str">
        <f>IF(OR($B222="",$A222&gt;$B$9,K$210=""),"",IF(COUNTIFS(BD!$B$3:$B$5001,K$210,BD!$A$3:$A$5001,"&gt;="&amp;$C$7,BD!$A$3:$A$5001,"&lt;="&amp;$B222,BD!$Y$3:$Y$5001,"&lt;&gt;")=0,"",SUMIFS(BD!$Y$3:$Y$5001,BD!$B$3:$B$5001,K$210,BD!$A$3:$A$5001,_xlfn.MAXIFS(BD!$A$3:$A$5001,BD!$B$3:$B$5001,K$210,BD!$A$3:$A$5001,"&gt;="&amp;$C$7,BD!$A$3:$A$5001,"&lt;="&amp;$B222,BD!$Y$3:$Y$5001,"&lt;&gt;"))))</f>
        <v/>
      </c>
      <c r="L222" s="43" t="str">
        <f>IF(OR($B222="",$A222&gt;$B$9,L$210=""),"",IF(COUNTIFS(BD!$B$3:$B$5001,L$210,BD!$A$3:$A$5001,"&gt;="&amp;$C$7,BD!$A$3:$A$5001,"&lt;="&amp;$B222,BD!$Y$3:$Y$5001,"&lt;&gt;")=0,"",SUMIFS(BD!$Y$3:$Y$5001,BD!$B$3:$B$5001,L$210,BD!$A$3:$A$5001,_xlfn.MAXIFS(BD!$A$3:$A$5001,BD!$B$3:$B$5001,L$210,BD!$A$3:$A$5001,"&gt;="&amp;$C$7,BD!$A$3:$A$5001,"&lt;="&amp;$B222,BD!$Y$3:$Y$5001,"&lt;&gt;"))))</f>
        <v/>
      </c>
      <c r="M222" s="43" t="str">
        <f>IF(OR($B222="",$A222&gt;$B$9,M$210=""),"",IF(COUNTIFS(BD!$B$3:$B$5001,M$210,BD!$A$3:$A$5001,"&gt;="&amp;$C$7,BD!$A$3:$A$5001,"&lt;="&amp;$B222,BD!$Y$3:$Y$5001,"&lt;&gt;")=0,"",SUMIFS(BD!$Y$3:$Y$5001,BD!$B$3:$B$5001,M$210,BD!$A$3:$A$5001,_xlfn.MAXIFS(BD!$A$3:$A$5001,BD!$B$3:$B$5001,M$210,BD!$A$3:$A$5001,"&gt;="&amp;$C$7,BD!$A$3:$A$5001,"&lt;="&amp;$B222,BD!$Y$3:$Y$5001,"&lt;&gt;"))))</f>
        <v/>
      </c>
      <c r="N222" s="43" t="str">
        <f>IF(OR($B222="",$A222&gt;$B$9,N$210=""),"",IF(COUNTIFS(BD!$B$3:$B$5001,N$210,BD!$A$3:$A$5001,"&gt;="&amp;$C$7,BD!$A$3:$A$5001,"&lt;="&amp;$B222,BD!$Y$3:$Y$5001,"&lt;&gt;")=0,"",SUMIFS(BD!$Y$3:$Y$5001,BD!$B$3:$B$5001,N$210,BD!$A$3:$A$5001,_xlfn.MAXIFS(BD!$A$3:$A$5001,BD!$B$3:$B$5001,N$210,BD!$A$3:$A$5001,"&gt;="&amp;$C$7,BD!$A$3:$A$5001,"&lt;="&amp;$B222,BD!$Y$3:$Y$5001,"&lt;&gt;"))))</f>
        <v/>
      </c>
      <c r="O222" s="43" t="str">
        <f>IF(OR($B222="",$A222&gt;$B$9,O$210=""),"",IF(COUNTIFS(BD!$B$3:$B$5001,O$210,BD!$A$3:$A$5001,"&gt;="&amp;$C$7,BD!$A$3:$A$5001,"&lt;="&amp;$B222,BD!$Y$3:$Y$5001,"&lt;&gt;")=0,"",SUMIFS(BD!$Y$3:$Y$5001,BD!$B$3:$B$5001,O$210,BD!$A$3:$A$5001,_xlfn.MAXIFS(BD!$A$3:$A$5001,BD!$B$3:$B$5001,O$210,BD!$A$3:$A$5001,"&gt;="&amp;$C$7,BD!$A$3:$A$5001,"&lt;="&amp;$B222,BD!$Y$3:$Y$5001,"&lt;&gt;"))))</f>
        <v/>
      </c>
      <c r="P222" s="43" t="str">
        <f>IF(OR($B222="",$A222&gt;$B$9,P$210=""),"",IF(COUNTIFS(BD!$B$3:$B$5001,P$210,BD!$A$3:$A$5001,"&gt;="&amp;$C$7,BD!$A$3:$A$5001,"&lt;="&amp;$B222,BD!$Y$3:$Y$5001,"&lt;&gt;")=0,"",SUMIFS(BD!$Y$3:$Y$5001,BD!$B$3:$B$5001,P$210,BD!$A$3:$A$5001,_xlfn.MAXIFS(BD!$A$3:$A$5001,BD!$B$3:$B$5001,P$210,BD!$A$3:$A$5001,"&gt;="&amp;$C$7,BD!$A$3:$A$5001,"&lt;="&amp;$B222,BD!$Y$3:$Y$5001,"&lt;&gt;"))))</f>
        <v/>
      </c>
      <c r="Q222" s="43" t="str">
        <f>IF(OR($B222="",$A222&gt;$B$9,Q$210=""),"",IF(COUNTIFS(BD!$B$3:$B$5001,Q$210,BD!$A$3:$A$5001,"&gt;="&amp;$C$7,BD!$A$3:$A$5001,"&lt;="&amp;$B222,BD!$Y$3:$Y$5001,"&lt;&gt;")=0,"",SUMIFS(BD!$Y$3:$Y$5001,BD!$B$3:$B$5001,Q$210,BD!$A$3:$A$5001,_xlfn.MAXIFS(BD!$A$3:$A$5001,BD!$B$3:$B$5001,Q$210,BD!$A$3:$A$5001,"&gt;="&amp;$C$7,BD!$A$3:$A$5001,"&lt;="&amp;$B222,BD!$Y$3:$Y$5001,"&lt;&gt;"))))</f>
        <v/>
      </c>
      <c r="R222" s="43" t="str">
        <f>IF(OR($B222="",$A222&gt;$B$9,R$210=""),"",IF(COUNTIFS(BD!$B$3:$B$5001,R$210,BD!$A$3:$A$5001,"&gt;="&amp;$C$7,BD!$A$3:$A$5001,"&lt;="&amp;$B222,BD!$Y$3:$Y$5001,"&lt;&gt;")=0,"",SUMIFS(BD!$Y$3:$Y$5001,BD!$B$3:$B$5001,R$210,BD!$A$3:$A$5001,_xlfn.MAXIFS(BD!$A$3:$A$5001,BD!$B$3:$B$5001,R$210,BD!$A$3:$A$5001,"&gt;="&amp;$C$7,BD!$A$3:$A$5001,"&lt;="&amp;$B222,BD!$Y$3:$Y$5001,"&lt;&gt;"))))</f>
        <v/>
      </c>
      <c r="S222" s="43" t="str">
        <f>IF(OR($B222="",$A222&gt;$B$9,S$210=""),"",IF(COUNTIFS(BD!$B$3:$B$5001,S$210,BD!$A$3:$A$5001,"&gt;="&amp;$C$7,BD!$A$3:$A$5001,"&lt;="&amp;$B222,BD!$Y$3:$Y$5001,"&lt;&gt;")=0,"",SUMIFS(BD!$Y$3:$Y$5001,BD!$B$3:$B$5001,S$210,BD!$A$3:$A$5001,_xlfn.MAXIFS(BD!$A$3:$A$5001,BD!$B$3:$B$5001,S$210,BD!$A$3:$A$5001,"&gt;="&amp;$C$7,BD!$A$3:$A$5001,"&lt;="&amp;$B222,BD!$Y$3:$Y$5001,"&lt;&gt;"))))</f>
        <v/>
      </c>
      <c r="T222" s="43" t="str">
        <f>IF(OR($B222="",$A222&gt;$B$9,T$210=""),"",IF(COUNTIFS(BD!$B$3:$B$5001,T$210,BD!$A$3:$A$5001,"&gt;="&amp;$C$7,BD!$A$3:$A$5001,"&lt;="&amp;$B222,BD!$Y$3:$Y$5001,"&lt;&gt;")=0,"",SUMIFS(BD!$Y$3:$Y$5001,BD!$B$3:$B$5001,T$210,BD!$A$3:$A$5001,_xlfn.MAXIFS(BD!$A$3:$A$5001,BD!$B$3:$B$5001,T$210,BD!$A$3:$A$5001,"&gt;="&amp;$C$7,BD!$A$3:$A$5001,"&lt;="&amp;$B222,BD!$Y$3:$Y$5001,"&lt;&gt;"))))</f>
        <v/>
      </c>
      <c r="U222" s="43" t="str">
        <f>IF(OR($B222="",$A222&gt;$B$9,U$210=""),"",IF(COUNTIFS(BD!$B$3:$B$5001,U$210,BD!$A$3:$A$5001,"&gt;="&amp;$C$7,BD!$A$3:$A$5001,"&lt;="&amp;$B222,BD!$Y$3:$Y$5001,"&lt;&gt;")=0,"",SUMIFS(BD!$Y$3:$Y$5001,BD!$B$3:$B$5001,U$210,BD!$A$3:$A$5001,_xlfn.MAXIFS(BD!$A$3:$A$5001,BD!$B$3:$B$5001,U$210,BD!$A$3:$A$5001,"&gt;="&amp;$C$7,BD!$A$3:$A$5001,"&lt;="&amp;$B222,BD!$Y$3:$Y$5001,"&lt;&gt;"))))</f>
        <v/>
      </c>
      <c r="V222" s="43" t="str">
        <f>IF(OR($B222="",$A222&gt;$B$9,V$210=""),"",IF(COUNTIFS(BD!$B$3:$B$5001,V$210,BD!$A$3:$A$5001,"&gt;="&amp;$C$7,BD!$A$3:$A$5001,"&lt;="&amp;$B222,BD!$Y$3:$Y$5001,"&lt;&gt;")=0,"",SUMIFS(BD!$Y$3:$Y$5001,BD!$B$3:$B$5001,V$210,BD!$A$3:$A$5001,_xlfn.MAXIFS(BD!$A$3:$A$5001,BD!$B$3:$B$5001,V$210,BD!$A$3:$A$5001,"&gt;="&amp;$C$7,BD!$A$3:$A$5001,"&lt;="&amp;$B222,BD!$Y$3:$Y$5001,"&lt;&gt;"))))</f>
        <v/>
      </c>
    </row>
    <row r="223">
      <c r="A223" s="38">
        <v>13</v>
      </c>
      <c r="B223" s="42">
        <f>$B$24</f>
        <v>46308</v>
      </c>
      <c r="C223" s="43" t="str">
        <f>IF(OR($B223="",$A223&gt;$B$9,C$210=""),"",IF(COUNTIFS(BD!$B$3:$B$5001,C$210,BD!$A$3:$A$5001,"&gt;="&amp;$C$7,BD!$A$3:$A$5001,"&lt;="&amp;$B223,BD!$Y$3:$Y$5001,"&lt;&gt;")=0,"",SUMIFS(BD!$Y$3:$Y$5001,BD!$B$3:$B$5001,C$210,BD!$A$3:$A$5001,_xlfn.MAXIFS(BD!$A$3:$A$5001,BD!$B$3:$B$5001,C$210,BD!$A$3:$A$5001,"&gt;="&amp;$C$7,BD!$A$3:$A$5001,"&lt;="&amp;$B223,BD!$Y$3:$Y$5001,"&lt;&gt;"))))</f>
        <v/>
      </c>
      <c r="D223" s="43" t="str">
        <f>IF(OR($B223="",$A223&gt;$B$9,D$210=""),"",IF(COUNTIFS(BD!$B$3:$B$5001,D$210,BD!$A$3:$A$5001,"&gt;="&amp;$C$7,BD!$A$3:$A$5001,"&lt;="&amp;$B223,BD!$Y$3:$Y$5001,"&lt;&gt;")=0,"",SUMIFS(BD!$Y$3:$Y$5001,BD!$B$3:$B$5001,D$210,BD!$A$3:$A$5001,_xlfn.MAXIFS(BD!$A$3:$A$5001,BD!$B$3:$B$5001,D$210,BD!$A$3:$A$5001,"&gt;="&amp;$C$7,BD!$A$3:$A$5001,"&lt;="&amp;$B223,BD!$Y$3:$Y$5001,"&lt;&gt;"))))</f>
        <v/>
      </c>
      <c r="E223" s="43" t="str">
        <f>IF(OR($B223="",$A223&gt;$B$9,E$210=""),"",IF(COUNTIFS(BD!$B$3:$B$5001,E$210,BD!$A$3:$A$5001,"&gt;="&amp;$C$7,BD!$A$3:$A$5001,"&lt;="&amp;$B223,BD!$Y$3:$Y$5001,"&lt;&gt;")=0,"",SUMIFS(BD!$Y$3:$Y$5001,BD!$B$3:$B$5001,E$210,BD!$A$3:$A$5001,_xlfn.MAXIFS(BD!$A$3:$A$5001,BD!$B$3:$B$5001,E$210,BD!$A$3:$A$5001,"&gt;="&amp;$C$7,BD!$A$3:$A$5001,"&lt;="&amp;$B223,BD!$Y$3:$Y$5001,"&lt;&gt;"))))</f>
        <v/>
      </c>
      <c r="F223" s="43" t="str">
        <f>IF(OR($B223="",$A223&gt;$B$9,F$210=""),"",IF(COUNTIFS(BD!$B$3:$B$5001,F$210,BD!$A$3:$A$5001,"&gt;="&amp;$C$7,BD!$A$3:$A$5001,"&lt;="&amp;$B223,BD!$Y$3:$Y$5001,"&lt;&gt;")=0,"",SUMIFS(BD!$Y$3:$Y$5001,BD!$B$3:$B$5001,F$210,BD!$A$3:$A$5001,_xlfn.MAXIFS(BD!$A$3:$A$5001,BD!$B$3:$B$5001,F$210,BD!$A$3:$A$5001,"&gt;="&amp;$C$7,BD!$A$3:$A$5001,"&lt;="&amp;$B223,BD!$Y$3:$Y$5001,"&lt;&gt;"))))</f>
        <v/>
      </c>
      <c r="G223" s="43" t="str">
        <f>IF(OR($B223="",$A223&gt;$B$9,G$210=""),"",IF(COUNTIFS(BD!$B$3:$B$5001,G$210,BD!$A$3:$A$5001,"&gt;="&amp;$C$7,BD!$A$3:$A$5001,"&lt;="&amp;$B223,BD!$Y$3:$Y$5001,"&lt;&gt;")=0,"",SUMIFS(BD!$Y$3:$Y$5001,BD!$B$3:$B$5001,G$210,BD!$A$3:$A$5001,_xlfn.MAXIFS(BD!$A$3:$A$5001,BD!$B$3:$B$5001,G$210,BD!$A$3:$A$5001,"&gt;="&amp;$C$7,BD!$A$3:$A$5001,"&lt;="&amp;$B223,BD!$Y$3:$Y$5001,"&lt;&gt;"))))</f>
        <v/>
      </c>
      <c r="H223" s="43" t="str">
        <f>IF(OR($B223="",$A223&gt;$B$9,H$210=""),"",IF(COUNTIFS(BD!$B$3:$B$5001,H$210,BD!$A$3:$A$5001,"&gt;="&amp;$C$7,BD!$A$3:$A$5001,"&lt;="&amp;$B223,BD!$Y$3:$Y$5001,"&lt;&gt;")=0,"",SUMIFS(BD!$Y$3:$Y$5001,BD!$B$3:$B$5001,H$210,BD!$A$3:$A$5001,_xlfn.MAXIFS(BD!$A$3:$A$5001,BD!$B$3:$B$5001,H$210,BD!$A$3:$A$5001,"&gt;="&amp;$C$7,BD!$A$3:$A$5001,"&lt;="&amp;$B223,BD!$Y$3:$Y$5001,"&lt;&gt;"))))</f>
        <v/>
      </c>
      <c r="I223" s="43" t="str">
        <f>IF(OR($B223="",$A223&gt;$B$9,I$210=""),"",IF(COUNTIFS(BD!$B$3:$B$5001,I$210,BD!$A$3:$A$5001,"&gt;="&amp;$C$7,BD!$A$3:$A$5001,"&lt;="&amp;$B223,BD!$Y$3:$Y$5001,"&lt;&gt;")=0,"",SUMIFS(BD!$Y$3:$Y$5001,BD!$B$3:$B$5001,I$210,BD!$A$3:$A$5001,_xlfn.MAXIFS(BD!$A$3:$A$5001,BD!$B$3:$B$5001,I$210,BD!$A$3:$A$5001,"&gt;="&amp;$C$7,BD!$A$3:$A$5001,"&lt;="&amp;$B223,BD!$Y$3:$Y$5001,"&lt;&gt;"))))</f>
        <v/>
      </c>
      <c r="J223" s="43" t="str">
        <f>IF(OR($B223="",$A223&gt;$B$9,J$210=""),"",IF(COUNTIFS(BD!$B$3:$B$5001,J$210,BD!$A$3:$A$5001,"&gt;="&amp;$C$7,BD!$A$3:$A$5001,"&lt;="&amp;$B223,BD!$Y$3:$Y$5001,"&lt;&gt;")=0,"",SUMIFS(BD!$Y$3:$Y$5001,BD!$B$3:$B$5001,J$210,BD!$A$3:$A$5001,_xlfn.MAXIFS(BD!$A$3:$A$5001,BD!$B$3:$B$5001,J$210,BD!$A$3:$A$5001,"&gt;="&amp;$C$7,BD!$A$3:$A$5001,"&lt;="&amp;$B223,BD!$Y$3:$Y$5001,"&lt;&gt;"))))</f>
        <v/>
      </c>
      <c r="K223" s="43" t="str">
        <f>IF(OR($B223="",$A223&gt;$B$9,K$210=""),"",IF(COUNTIFS(BD!$B$3:$B$5001,K$210,BD!$A$3:$A$5001,"&gt;="&amp;$C$7,BD!$A$3:$A$5001,"&lt;="&amp;$B223,BD!$Y$3:$Y$5001,"&lt;&gt;")=0,"",SUMIFS(BD!$Y$3:$Y$5001,BD!$B$3:$B$5001,K$210,BD!$A$3:$A$5001,_xlfn.MAXIFS(BD!$A$3:$A$5001,BD!$B$3:$B$5001,K$210,BD!$A$3:$A$5001,"&gt;="&amp;$C$7,BD!$A$3:$A$5001,"&lt;="&amp;$B223,BD!$Y$3:$Y$5001,"&lt;&gt;"))))</f>
        <v/>
      </c>
      <c r="L223" s="43" t="str">
        <f>IF(OR($B223="",$A223&gt;$B$9,L$210=""),"",IF(COUNTIFS(BD!$B$3:$B$5001,L$210,BD!$A$3:$A$5001,"&gt;="&amp;$C$7,BD!$A$3:$A$5001,"&lt;="&amp;$B223,BD!$Y$3:$Y$5001,"&lt;&gt;")=0,"",SUMIFS(BD!$Y$3:$Y$5001,BD!$B$3:$B$5001,L$210,BD!$A$3:$A$5001,_xlfn.MAXIFS(BD!$A$3:$A$5001,BD!$B$3:$B$5001,L$210,BD!$A$3:$A$5001,"&gt;="&amp;$C$7,BD!$A$3:$A$5001,"&lt;="&amp;$B223,BD!$Y$3:$Y$5001,"&lt;&gt;"))))</f>
        <v/>
      </c>
      <c r="M223" s="43" t="str">
        <f>IF(OR($B223="",$A223&gt;$B$9,M$210=""),"",IF(COUNTIFS(BD!$B$3:$B$5001,M$210,BD!$A$3:$A$5001,"&gt;="&amp;$C$7,BD!$A$3:$A$5001,"&lt;="&amp;$B223,BD!$Y$3:$Y$5001,"&lt;&gt;")=0,"",SUMIFS(BD!$Y$3:$Y$5001,BD!$B$3:$B$5001,M$210,BD!$A$3:$A$5001,_xlfn.MAXIFS(BD!$A$3:$A$5001,BD!$B$3:$B$5001,M$210,BD!$A$3:$A$5001,"&gt;="&amp;$C$7,BD!$A$3:$A$5001,"&lt;="&amp;$B223,BD!$Y$3:$Y$5001,"&lt;&gt;"))))</f>
        <v/>
      </c>
      <c r="N223" s="43" t="str">
        <f>IF(OR($B223="",$A223&gt;$B$9,N$210=""),"",IF(COUNTIFS(BD!$B$3:$B$5001,N$210,BD!$A$3:$A$5001,"&gt;="&amp;$C$7,BD!$A$3:$A$5001,"&lt;="&amp;$B223,BD!$Y$3:$Y$5001,"&lt;&gt;")=0,"",SUMIFS(BD!$Y$3:$Y$5001,BD!$B$3:$B$5001,N$210,BD!$A$3:$A$5001,_xlfn.MAXIFS(BD!$A$3:$A$5001,BD!$B$3:$B$5001,N$210,BD!$A$3:$A$5001,"&gt;="&amp;$C$7,BD!$A$3:$A$5001,"&lt;="&amp;$B223,BD!$Y$3:$Y$5001,"&lt;&gt;"))))</f>
        <v/>
      </c>
      <c r="O223" s="43" t="str">
        <f>IF(OR($B223="",$A223&gt;$B$9,O$210=""),"",IF(COUNTIFS(BD!$B$3:$B$5001,O$210,BD!$A$3:$A$5001,"&gt;="&amp;$C$7,BD!$A$3:$A$5001,"&lt;="&amp;$B223,BD!$Y$3:$Y$5001,"&lt;&gt;")=0,"",SUMIFS(BD!$Y$3:$Y$5001,BD!$B$3:$B$5001,O$210,BD!$A$3:$A$5001,_xlfn.MAXIFS(BD!$A$3:$A$5001,BD!$B$3:$B$5001,O$210,BD!$A$3:$A$5001,"&gt;="&amp;$C$7,BD!$A$3:$A$5001,"&lt;="&amp;$B223,BD!$Y$3:$Y$5001,"&lt;&gt;"))))</f>
        <v/>
      </c>
      <c r="P223" s="43" t="str">
        <f>IF(OR($B223="",$A223&gt;$B$9,P$210=""),"",IF(COUNTIFS(BD!$B$3:$B$5001,P$210,BD!$A$3:$A$5001,"&gt;="&amp;$C$7,BD!$A$3:$A$5001,"&lt;="&amp;$B223,BD!$Y$3:$Y$5001,"&lt;&gt;")=0,"",SUMIFS(BD!$Y$3:$Y$5001,BD!$B$3:$B$5001,P$210,BD!$A$3:$A$5001,_xlfn.MAXIFS(BD!$A$3:$A$5001,BD!$B$3:$B$5001,P$210,BD!$A$3:$A$5001,"&gt;="&amp;$C$7,BD!$A$3:$A$5001,"&lt;="&amp;$B223,BD!$Y$3:$Y$5001,"&lt;&gt;"))))</f>
        <v/>
      </c>
      <c r="Q223" s="43" t="str">
        <f>IF(OR($B223="",$A223&gt;$B$9,Q$210=""),"",IF(COUNTIFS(BD!$B$3:$B$5001,Q$210,BD!$A$3:$A$5001,"&gt;="&amp;$C$7,BD!$A$3:$A$5001,"&lt;="&amp;$B223,BD!$Y$3:$Y$5001,"&lt;&gt;")=0,"",SUMIFS(BD!$Y$3:$Y$5001,BD!$B$3:$B$5001,Q$210,BD!$A$3:$A$5001,_xlfn.MAXIFS(BD!$A$3:$A$5001,BD!$B$3:$B$5001,Q$210,BD!$A$3:$A$5001,"&gt;="&amp;$C$7,BD!$A$3:$A$5001,"&lt;="&amp;$B223,BD!$Y$3:$Y$5001,"&lt;&gt;"))))</f>
        <v/>
      </c>
      <c r="R223" s="43" t="str">
        <f>IF(OR($B223="",$A223&gt;$B$9,R$210=""),"",IF(COUNTIFS(BD!$B$3:$B$5001,R$210,BD!$A$3:$A$5001,"&gt;="&amp;$C$7,BD!$A$3:$A$5001,"&lt;="&amp;$B223,BD!$Y$3:$Y$5001,"&lt;&gt;")=0,"",SUMIFS(BD!$Y$3:$Y$5001,BD!$B$3:$B$5001,R$210,BD!$A$3:$A$5001,_xlfn.MAXIFS(BD!$A$3:$A$5001,BD!$B$3:$B$5001,R$210,BD!$A$3:$A$5001,"&gt;="&amp;$C$7,BD!$A$3:$A$5001,"&lt;="&amp;$B223,BD!$Y$3:$Y$5001,"&lt;&gt;"))))</f>
        <v/>
      </c>
      <c r="S223" s="43" t="str">
        <f>IF(OR($B223="",$A223&gt;$B$9,S$210=""),"",IF(COUNTIFS(BD!$B$3:$B$5001,S$210,BD!$A$3:$A$5001,"&gt;="&amp;$C$7,BD!$A$3:$A$5001,"&lt;="&amp;$B223,BD!$Y$3:$Y$5001,"&lt;&gt;")=0,"",SUMIFS(BD!$Y$3:$Y$5001,BD!$B$3:$B$5001,S$210,BD!$A$3:$A$5001,_xlfn.MAXIFS(BD!$A$3:$A$5001,BD!$B$3:$B$5001,S$210,BD!$A$3:$A$5001,"&gt;="&amp;$C$7,BD!$A$3:$A$5001,"&lt;="&amp;$B223,BD!$Y$3:$Y$5001,"&lt;&gt;"))))</f>
        <v/>
      </c>
      <c r="T223" s="43" t="str">
        <f>IF(OR($B223="",$A223&gt;$B$9,T$210=""),"",IF(COUNTIFS(BD!$B$3:$B$5001,T$210,BD!$A$3:$A$5001,"&gt;="&amp;$C$7,BD!$A$3:$A$5001,"&lt;="&amp;$B223,BD!$Y$3:$Y$5001,"&lt;&gt;")=0,"",SUMIFS(BD!$Y$3:$Y$5001,BD!$B$3:$B$5001,T$210,BD!$A$3:$A$5001,_xlfn.MAXIFS(BD!$A$3:$A$5001,BD!$B$3:$B$5001,T$210,BD!$A$3:$A$5001,"&gt;="&amp;$C$7,BD!$A$3:$A$5001,"&lt;="&amp;$B223,BD!$Y$3:$Y$5001,"&lt;&gt;"))))</f>
        <v/>
      </c>
      <c r="U223" s="43" t="str">
        <f>IF(OR($B223="",$A223&gt;$B$9,U$210=""),"",IF(COUNTIFS(BD!$B$3:$B$5001,U$210,BD!$A$3:$A$5001,"&gt;="&amp;$C$7,BD!$A$3:$A$5001,"&lt;="&amp;$B223,BD!$Y$3:$Y$5001,"&lt;&gt;")=0,"",SUMIFS(BD!$Y$3:$Y$5001,BD!$B$3:$B$5001,U$210,BD!$A$3:$A$5001,_xlfn.MAXIFS(BD!$A$3:$A$5001,BD!$B$3:$B$5001,U$210,BD!$A$3:$A$5001,"&gt;="&amp;$C$7,BD!$A$3:$A$5001,"&lt;="&amp;$B223,BD!$Y$3:$Y$5001,"&lt;&gt;"))))</f>
        <v/>
      </c>
      <c r="V223" s="43" t="str">
        <f>IF(OR($B223="",$A223&gt;$B$9,V$210=""),"",IF(COUNTIFS(BD!$B$3:$B$5001,V$210,BD!$A$3:$A$5001,"&gt;="&amp;$C$7,BD!$A$3:$A$5001,"&lt;="&amp;$B223,BD!$Y$3:$Y$5001,"&lt;&gt;")=0,"",SUMIFS(BD!$Y$3:$Y$5001,BD!$B$3:$B$5001,V$210,BD!$A$3:$A$5001,_xlfn.MAXIFS(BD!$A$3:$A$5001,BD!$B$3:$B$5001,V$210,BD!$A$3:$A$5001,"&gt;="&amp;$C$7,BD!$A$3:$A$5001,"&lt;="&amp;$B223,BD!$Y$3:$Y$5001,"&lt;&gt;"))))</f>
        <v/>
      </c>
    </row>
    <row r="224">
      <c r="A224" s="38">
        <v>14</v>
      </c>
      <c r="B224" s="42">
        <f>$B$25</f>
        <v>46309</v>
      </c>
      <c r="C224" s="43" t="str">
        <f>IF(OR($B224="",$A224&gt;$B$9,C$210=""),"",IF(COUNTIFS(BD!$B$3:$B$5001,C$210,BD!$A$3:$A$5001,"&gt;="&amp;$C$7,BD!$A$3:$A$5001,"&lt;="&amp;$B224,BD!$Y$3:$Y$5001,"&lt;&gt;")=0,"",SUMIFS(BD!$Y$3:$Y$5001,BD!$B$3:$B$5001,C$210,BD!$A$3:$A$5001,_xlfn.MAXIFS(BD!$A$3:$A$5001,BD!$B$3:$B$5001,C$210,BD!$A$3:$A$5001,"&gt;="&amp;$C$7,BD!$A$3:$A$5001,"&lt;="&amp;$B224,BD!$Y$3:$Y$5001,"&lt;&gt;"))))</f>
        <v/>
      </c>
      <c r="D224" s="43" t="str">
        <f>IF(OR($B224="",$A224&gt;$B$9,D$210=""),"",IF(COUNTIFS(BD!$B$3:$B$5001,D$210,BD!$A$3:$A$5001,"&gt;="&amp;$C$7,BD!$A$3:$A$5001,"&lt;="&amp;$B224,BD!$Y$3:$Y$5001,"&lt;&gt;")=0,"",SUMIFS(BD!$Y$3:$Y$5001,BD!$B$3:$B$5001,D$210,BD!$A$3:$A$5001,_xlfn.MAXIFS(BD!$A$3:$A$5001,BD!$B$3:$B$5001,D$210,BD!$A$3:$A$5001,"&gt;="&amp;$C$7,BD!$A$3:$A$5001,"&lt;="&amp;$B224,BD!$Y$3:$Y$5001,"&lt;&gt;"))))</f>
        <v/>
      </c>
      <c r="E224" s="43" t="str">
        <f>IF(OR($B224="",$A224&gt;$B$9,E$210=""),"",IF(COUNTIFS(BD!$B$3:$B$5001,E$210,BD!$A$3:$A$5001,"&gt;="&amp;$C$7,BD!$A$3:$A$5001,"&lt;="&amp;$B224,BD!$Y$3:$Y$5001,"&lt;&gt;")=0,"",SUMIFS(BD!$Y$3:$Y$5001,BD!$B$3:$B$5001,E$210,BD!$A$3:$A$5001,_xlfn.MAXIFS(BD!$A$3:$A$5001,BD!$B$3:$B$5001,E$210,BD!$A$3:$A$5001,"&gt;="&amp;$C$7,BD!$A$3:$A$5001,"&lt;="&amp;$B224,BD!$Y$3:$Y$5001,"&lt;&gt;"))))</f>
        <v/>
      </c>
      <c r="F224" s="43" t="str">
        <f>IF(OR($B224="",$A224&gt;$B$9,F$210=""),"",IF(COUNTIFS(BD!$B$3:$B$5001,F$210,BD!$A$3:$A$5001,"&gt;="&amp;$C$7,BD!$A$3:$A$5001,"&lt;="&amp;$B224,BD!$Y$3:$Y$5001,"&lt;&gt;")=0,"",SUMIFS(BD!$Y$3:$Y$5001,BD!$B$3:$B$5001,F$210,BD!$A$3:$A$5001,_xlfn.MAXIFS(BD!$A$3:$A$5001,BD!$B$3:$B$5001,F$210,BD!$A$3:$A$5001,"&gt;="&amp;$C$7,BD!$A$3:$A$5001,"&lt;="&amp;$B224,BD!$Y$3:$Y$5001,"&lt;&gt;"))))</f>
        <v/>
      </c>
      <c r="G224" s="43" t="str">
        <f>IF(OR($B224="",$A224&gt;$B$9,G$210=""),"",IF(COUNTIFS(BD!$B$3:$B$5001,G$210,BD!$A$3:$A$5001,"&gt;="&amp;$C$7,BD!$A$3:$A$5001,"&lt;="&amp;$B224,BD!$Y$3:$Y$5001,"&lt;&gt;")=0,"",SUMIFS(BD!$Y$3:$Y$5001,BD!$B$3:$B$5001,G$210,BD!$A$3:$A$5001,_xlfn.MAXIFS(BD!$A$3:$A$5001,BD!$B$3:$B$5001,G$210,BD!$A$3:$A$5001,"&gt;="&amp;$C$7,BD!$A$3:$A$5001,"&lt;="&amp;$B224,BD!$Y$3:$Y$5001,"&lt;&gt;"))))</f>
        <v/>
      </c>
      <c r="H224" s="43" t="str">
        <f>IF(OR($B224="",$A224&gt;$B$9,H$210=""),"",IF(COUNTIFS(BD!$B$3:$B$5001,H$210,BD!$A$3:$A$5001,"&gt;="&amp;$C$7,BD!$A$3:$A$5001,"&lt;="&amp;$B224,BD!$Y$3:$Y$5001,"&lt;&gt;")=0,"",SUMIFS(BD!$Y$3:$Y$5001,BD!$B$3:$B$5001,H$210,BD!$A$3:$A$5001,_xlfn.MAXIFS(BD!$A$3:$A$5001,BD!$B$3:$B$5001,H$210,BD!$A$3:$A$5001,"&gt;="&amp;$C$7,BD!$A$3:$A$5001,"&lt;="&amp;$B224,BD!$Y$3:$Y$5001,"&lt;&gt;"))))</f>
        <v/>
      </c>
      <c r="I224" s="43" t="str">
        <f>IF(OR($B224="",$A224&gt;$B$9,I$210=""),"",IF(COUNTIFS(BD!$B$3:$B$5001,I$210,BD!$A$3:$A$5001,"&gt;="&amp;$C$7,BD!$A$3:$A$5001,"&lt;="&amp;$B224,BD!$Y$3:$Y$5001,"&lt;&gt;")=0,"",SUMIFS(BD!$Y$3:$Y$5001,BD!$B$3:$B$5001,I$210,BD!$A$3:$A$5001,_xlfn.MAXIFS(BD!$A$3:$A$5001,BD!$B$3:$B$5001,I$210,BD!$A$3:$A$5001,"&gt;="&amp;$C$7,BD!$A$3:$A$5001,"&lt;="&amp;$B224,BD!$Y$3:$Y$5001,"&lt;&gt;"))))</f>
        <v/>
      </c>
      <c r="J224" s="43" t="str">
        <f>IF(OR($B224="",$A224&gt;$B$9,J$210=""),"",IF(COUNTIFS(BD!$B$3:$B$5001,J$210,BD!$A$3:$A$5001,"&gt;="&amp;$C$7,BD!$A$3:$A$5001,"&lt;="&amp;$B224,BD!$Y$3:$Y$5001,"&lt;&gt;")=0,"",SUMIFS(BD!$Y$3:$Y$5001,BD!$B$3:$B$5001,J$210,BD!$A$3:$A$5001,_xlfn.MAXIFS(BD!$A$3:$A$5001,BD!$B$3:$B$5001,J$210,BD!$A$3:$A$5001,"&gt;="&amp;$C$7,BD!$A$3:$A$5001,"&lt;="&amp;$B224,BD!$Y$3:$Y$5001,"&lt;&gt;"))))</f>
        <v/>
      </c>
      <c r="K224" s="43" t="str">
        <f>IF(OR($B224="",$A224&gt;$B$9,K$210=""),"",IF(COUNTIFS(BD!$B$3:$B$5001,K$210,BD!$A$3:$A$5001,"&gt;="&amp;$C$7,BD!$A$3:$A$5001,"&lt;="&amp;$B224,BD!$Y$3:$Y$5001,"&lt;&gt;")=0,"",SUMIFS(BD!$Y$3:$Y$5001,BD!$B$3:$B$5001,K$210,BD!$A$3:$A$5001,_xlfn.MAXIFS(BD!$A$3:$A$5001,BD!$B$3:$B$5001,K$210,BD!$A$3:$A$5001,"&gt;="&amp;$C$7,BD!$A$3:$A$5001,"&lt;="&amp;$B224,BD!$Y$3:$Y$5001,"&lt;&gt;"))))</f>
        <v/>
      </c>
      <c r="L224" s="43" t="str">
        <f>IF(OR($B224="",$A224&gt;$B$9,L$210=""),"",IF(COUNTIFS(BD!$B$3:$B$5001,L$210,BD!$A$3:$A$5001,"&gt;="&amp;$C$7,BD!$A$3:$A$5001,"&lt;="&amp;$B224,BD!$Y$3:$Y$5001,"&lt;&gt;")=0,"",SUMIFS(BD!$Y$3:$Y$5001,BD!$B$3:$B$5001,L$210,BD!$A$3:$A$5001,_xlfn.MAXIFS(BD!$A$3:$A$5001,BD!$B$3:$B$5001,L$210,BD!$A$3:$A$5001,"&gt;="&amp;$C$7,BD!$A$3:$A$5001,"&lt;="&amp;$B224,BD!$Y$3:$Y$5001,"&lt;&gt;"))))</f>
        <v/>
      </c>
      <c r="M224" s="43" t="str">
        <f>IF(OR($B224="",$A224&gt;$B$9,M$210=""),"",IF(COUNTIFS(BD!$B$3:$B$5001,M$210,BD!$A$3:$A$5001,"&gt;="&amp;$C$7,BD!$A$3:$A$5001,"&lt;="&amp;$B224,BD!$Y$3:$Y$5001,"&lt;&gt;")=0,"",SUMIFS(BD!$Y$3:$Y$5001,BD!$B$3:$B$5001,M$210,BD!$A$3:$A$5001,_xlfn.MAXIFS(BD!$A$3:$A$5001,BD!$B$3:$B$5001,M$210,BD!$A$3:$A$5001,"&gt;="&amp;$C$7,BD!$A$3:$A$5001,"&lt;="&amp;$B224,BD!$Y$3:$Y$5001,"&lt;&gt;"))))</f>
        <v/>
      </c>
      <c r="N224" s="43" t="str">
        <f>IF(OR($B224="",$A224&gt;$B$9,N$210=""),"",IF(COUNTIFS(BD!$B$3:$B$5001,N$210,BD!$A$3:$A$5001,"&gt;="&amp;$C$7,BD!$A$3:$A$5001,"&lt;="&amp;$B224,BD!$Y$3:$Y$5001,"&lt;&gt;")=0,"",SUMIFS(BD!$Y$3:$Y$5001,BD!$B$3:$B$5001,N$210,BD!$A$3:$A$5001,_xlfn.MAXIFS(BD!$A$3:$A$5001,BD!$B$3:$B$5001,N$210,BD!$A$3:$A$5001,"&gt;="&amp;$C$7,BD!$A$3:$A$5001,"&lt;="&amp;$B224,BD!$Y$3:$Y$5001,"&lt;&gt;"))))</f>
        <v/>
      </c>
      <c r="O224" s="43" t="str">
        <f>IF(OR($B224="",$A224&gt;$B$9,O$210=""),"",IF(COUNTIFS(BD!$B$3:$B$5001,O$210,BD!$A$3:$A$5001,"&gt;="&amp;$C$7,BD!$A$3:$A$5001,"&lt;="&amp;$B224,BD!$Y$3:$Y$5001,"&lt;&gt;")=0,"",SUMIFS(BD!$Y$3:$Y$5001,BD!$B$3:$B$5001,O$210,BD!$A$3:$A$5001,_xlfn.MAXIFS(BD!$A$3:$A$5001,BD!$B$3:$B$5001,O$210,BD!$A$3:$A$5001,"&gt;="&amp;$C$7,BD!$A$3:$A$5001,"&lt;="&amp;$B224,BD!$Y$3:$Y$5001,"&lt;&gt;"))))</f>
        <v/>
      </c>
      <c r="P224" s="43" t="str">
        <f>IF(OR($B224="",$A224&gt;$B$9,P$210=""),"",IF(COUNTIFS(BD!$B$3:$B$5001,P$210,BD!$A$3:$A$5001,"&gt;="&amp;$C$7,BD!$A$3:$A$5001,"&lt;="&amp;$B224,BD!$Y$3:$Y$5001,"&lt;&gt;")=0,"",SUMIFS(BD!$Y$3:$Y$5001,BD!$B$3:$B$5001,P$210,BD!$A$3:$A$5001,_xlfn.MAXIFS(BD!$A$3:$A$5001,BD!$B$3:$B$5001,P$210,BD!$A$3:$A$5001,"&gt;="&amp;$C$7,BD!$A$3:$A$5001,"&lt;="&amp;$B224,BD!$Y$3:$Y$5001,"&lt;&gt;"))))</f>
        <v/>
      </c>
      <c r="Q224" s="43" t="str">
        <f>IF(OR($B224="",$A224&gt;$B$9,Q$210=""),"",IF(COUNTIFS(BD!$B$3:$B$5001,Q$210,BD!$A$3:$A$5001,"&gt;="&amp;$C$7,BD!$A$3:$A$5001,"&lt;="&amp;$B224,BD!$Y$3:$Y$5001,"&lt;&gt;")=0,"",SUMIFS(BD!$Y$3:$Y$5001,BD!$B$3:$B$5001,Q$210,BD!$A$3:$A$5001,_xlfn.MAXIFS(BD!$A$3:$A$5001,BD!$B$3:$B$5001,Q$210,BD!$A$3:$A$5001,"&gt;="&amp;$C$7,BD!$A$3:$A$5001,"&lt;="&amp;$B224,BD!$Y$3:$Y$5001,"&lt;&gt;"))))</f>
        <v/>
      </c>
      <c r="R224" s="43" t="str">
        <f>IF(OR($B224="",$A224&gt;$B$9,R$210=""),"",IF(COUNTIFS(BD!$B$3:$B$5001,R$210,BD!$A$3:$A$5001,"&gt;="&amp;$C$7,BD!$A$3:$A$5001,"&lt;="&amp;$B224,BD!$Y$3:$Y$5001,"&lt;&gt;")=0,"",SUMIFS(BD!$Y$3:$Y$5001,BD!$B$3:$B$5001,R$210,BD!$A$3:$A$5001,_xlfn.MAXIFS(BD!$A$3:$A$5001,BD!$B$3:$B$5001,R$210,BD!$A$3:$A$5001,"&gt;="&amp;$C$7,BD!$A$3:$A$5001,"&lt;="&amp;$B224,BD!$Y$3:$Y$5001,"&lt;&gt;"))))</f>
        <v/>
      </c>
      <c r="S224" s="43" t="str">
        <f>IF(OR($B224="",$A224&gt;$B$9,S$210=""),"",IF(COUNTIFS(BD!$B$3:$B$5001,S$210,BD!$A$3:$A$5001,"&gt;="&amp;$C$7,BD!$A$3:$A$5001,"&lt;="&amp;$B224,BD!$Y$3:$Y$5001,"&lt;&gt;")=0,"",SUMIFS(BD!$Y$3:$Y$5001,BD!$B$3:$B$5001,S$210,BD!$A$3:$A$5001,_xlfn.MAXIFS(BD!$A$3:$A$5001,BD!$B$3:$B$5001,S$210,BD!$A$3:$A$5001,"&gt;="&amp;$C$7,BD!$A$3:$A$5001,"&lt;="&amp;$B224,BD!$Y$3:$Y$5001,"&lt;&gt;"))))</f>
        <v/>
      </c>
      <c r="T224" s="43" t="str">
        <f>IF(OR($B224="",$A224&gt;$B$9,T$210=""),"",IF(COUNTIFS(BD!$B$3:$B$5001,T$210,BD!$A$3:$A$5001,"&gt;="&amp;$C$7,BD!$A$3:$A$5001,"&lt;="&amp;$B224,BD!$Y$3:$Y$5001,"&lt;&gt;")=0,"",SUMIFS(BD!$Y$3:$Y$5001,BD!$B$3:$B$5001,T$210,BD!$A$3:$A$5001,_xlfn.MAXIFS(BD!$A$3:$A$5001,BD!$B$3:$B$5001,T$210,BD!$A$3:$A$5001,"&gt;="&amp;$C$7,BD!$A$3:$A$5001,"&lt;="&amp;$B224,BD!$Y$3:$Y$5001,"&lt;&gt;"))))</f>
        <v/>
      </c>
      <c r="U224" s="43" t="str">
        <f>IF(OR($B224="",$A224&gt;$B$9,U$210=""),"",IF(COUNTIFS(BD!$B$3:$B$5001,U$210,BD!$A$3:$A$5001,"&gt;="&amp;$C$7,BD!$A$3:$A$5001,"&lt;="&amp;$B224,BD!$Y$3:$Y$5001,"&lt;&gt;")=0,"",SUMIFS(BD!$Y$3:$Y$5001,BD!$B$3:$B$5001,U$210,BD!$A$3:$A$5001,_xlfn.MAXIFS(BD!$A$3:$A$5001,BD!$B$3:$B$5001,U$210,BD!$A$3:$A$5001,"&gt;="&amp;$C$7,BD!$A$3:$A$5001,"&lt;="&amp;$B224,BD!$Y$3:$Y$5001,"&lt;&gt;"))))</f>
        <v/>
      </c>
      <c r="V224" s="43" t="str">
        <f>IF(OR($B224="",$A224&gt;$B$9,V$210=""),"",IF(COUNTIFS(BD!$B$3:$B$5001,V$210,BD!$A$3:$A$5001,"&gt;="&amp;$C$7,BD!$A$3:$A$5001,"&lt;="&amp;$B224,BD!$Y$3:$Y$5001,"&lt;&gt;")=0,"",SUMIFS(BD!$Y$3:$Y$5001,BD!$B$3:$B$5001,V$210,BD!$A$3:$A$5001,_xlfn.MAXIFS(BD!$A$3:$A$5001,BD!$B$3:$B$5001,V$210,BD!$A$3:$A$5001,"&gt;="&amp;$C$7,BD!$A$3:$A$5001,"&lt;="&amp;$B224,BD!$Y$3:$Y$5001,"&lt;&gt;"))))</f>
        <v/>
      </c>
    </row>
    <row r="225">
      <c r="A225" s="38">
        <v>15</v>
      </c>
      <c r="B225" s="42">
        <f>$B$26</f>
        <v>46310</v>
      </c>
      <c r="C225" s="43" t="str">
        <f>IF(OR($B225="",$A225&gt;$B$9,C$210=""),"",IF(COUNTIFS(BD!$B$3:$B$5001,C$210,BD!$A$3:$A$5001,"&gt;="&amp;$C$7,BD!$A$3:$A$5001,"&lt;="&amp;$B225,BD!$Y$3:$Y$5001,"&lt;&gt;")=0,"",SUMIFS(BD!$Y$3:$Y$5001,BD!$B$3:$B$5001,C$210,BD!$A$3:$A$5001,_xlfn.MAXIFS(BD!$A$3:$A$5001,BD!$B$3:$B$5001,C$210,BD!$A$3:$A$5001,"&gt;="&amp;$C$7,BD!$A$3:$A$5001,"&lt;="&amp;$B225,BD!$Y$3:$Y$5001,"&lt;&gt;"))))</f>
        <v/>
      </c>
      <c r="D225" s="43" t="str">
        <f>IF(OR($B225="",$A225&gt;$B$9,D$210=""),"",IF(COUNTIFS(BD!$B$3:$B$5001,D$210,BD!$A$3:$A$5001,"&gt;="&amp;$C$7,BD!$A$3:$A$5001,"&lt;="&amp;$B225,BD!$Y$3:$Y$5001,"&lt;&gt;")=0,"",SUMIFS(BD!$Y$3:$Y$5001,BD!$B$3:$B$5001,D$210,BD!$A$3:$A$5001,_xlfn.MAXIFS(BD!$A$3:$A$5001,BD!$B$3:$B$5001,D$210,BD!$A$3:$A$5001,"&gt;="&amp;$C$7,BD!$A$3:$A$5001,"&lt;="&amp;$B225,BD!$Y$3:$Y$5001,"&lt;&gt;"))))</f>
        <v/>
      </c>
      <c r="E225" s="43" t="str">
        <f>IF(OR($B225="",$A225&gt;$B$9,E$210=""),"",IF(COUNTIFS(BD!$B$3:$B$5001,E$210,BD!$A$3:$A$5001,"&gt;="&amp;$C$7,BD!$A$3:$A$5001,"&lt;="&amp;$B225,BD!$Y$3:$Y$5001,"&lt;&gt;")=0,"",SUMIFS(BD!$Y$3:$Y$5001,BD!$B$3:$B$5001,E$210,BD!$A$3:$A$5001,_xlfn.MAXIFS(BD!$A$3:$A$5001,BD!$B$3:$B$5001,E$210,BD!$A$3:$A$5001,"&gt;="&amp;$C$7,BD!$A$3:$A$5001,"&lt;="&amp;$B225,BD!$Y$3:$Y$5001,"&lt;&gt;"))))</f>
        <v/>
      </c>
      <c r="F225" s="43" t="str">
        <f>IF(OR($B225="",$A225&gt;$B$9,F$210=""),"",IF(COUNTIFS(BD!$B$3:$B$5001,F$210,BD!$A$3:$A$5001,"&gt;="&amp;$C$7,BD!$A$3:$A$5001,"&lt;="&amp;$B225,BD!$Y$3:$Y$5001,"&lt;&gt;")=0,"",SUMIFS(BD!$Y$3:$Y$5001,BD!$B$3:$B$5001,F$210,BD!$A$3:$A$5001,_xlfn.MAXIFS(BD!$A$3:$A$5001,BD!$B$3:$B$5001,F$210,BD!$A$3:$A$5001,"&gt;="&amp;$C$7,BD!$A$3:$A$5001,"&lt;="&amp;$B225,BD!$Y$3:$Y$5001,"&lt;&gt;"))))</f>
        <v/>
      </c>
      <c r="G225" s="43" t="str">
        <f>IF(OR($B225="",$A225&gt;$B$9,G$210=""),"",IF(COUNTIFS(BD!$B$3:$B$5001,G$210,BD!$A$3:$A$5001,"&gt;="&amp;$C$7,BD!$A$3:$A$5001,"&lt;="&amp;$B225,BD!$Y$3:$Y$5001,"&lt;&gt;")=0,"",SUMIFS(BD!$Y$3:$Y$5001,BD!$B$3:$B$5001,G$210,BD!$A$3:$A$5001,_xlfn.MAXIFS(BD!$A$3:$A$5001,BD!$B$3:$B$5001,G$210,BD!$A$3:$A$5001,"&gt;="&amp;$C$7,BD!$A$3:$A$5001,"&lt;="&amp;$B225,BD!$Y$3:$Y$5001,"&lt;&gt;"))))</f>
        <v/>
      </c>
      <c r="H225" s="43" t="str">
        <f>IF(OR($B225="",$A225&gt;$B$9,H$210=""),"",IF(COUNTIFS(BD!$B$3:$B$5001,H$210,BD!$A$3:$A$5001,"&gt;="&amp;$C$7,BD!$A$3:$A$5001,"&lt;="&amp;$B225,BD!$Y$3:$Y$5001,"&lt;&gt;")=0,"",SUMIFS(BD!$Y$3:$Y$5001,BD!$B$3:$B$5001,H$210,BD!$A$3:$A$5001,_xlfn.MAXIFS(BD!$A$3:$A$5001,BD!$B$3:$B$5001,H$210,BD!$A$3:$A$5001,"&gt;="&amp;$C$7,BD!$A$3:$A$5001,"&lt;="&amp;$B225,BD!$Y$3:$Y$5001,"&lt;&gt;"))))</f>
        <v/>
      </c>
      <c r="I225" s="43" t="str">
        <f>IF(OR($B225="",$A225&gt;$B$9,I$210=""),"",IF(COUNTIFS(BD!$B$3:$B$5001,I$210,BD!$A$3:$A$5001,"&gt;="&amp;$C$7,BD!$A$3:$A$5001,"&lt;="&amp;$B225,BD!$Y$3:$Y$5001,"&lt;&gt;")=0,"",SUMIFS(BD!$Y$3:$Y$5001,BD!$B$3:$B$5001,I$210,BD!$A$3:$A$5001,_xlfn.MAXIFS(BD!$A$3:$A$5001,BD!$B$3:$B$5001,I$210,BD!$A$3:$A$5001,"&gt;="&amp;$C$7,BD!$A$3:$A$5001,"&lt;="&amp;$B225,BD!$Y$3:$Y$5001,"&lt;&gt;"))))</f>
        <v/>
      </c>
      <c r="J225" s="43" t="str">
        <f>IF(OR($B225="",$A225&gt;$B$9,J$210=""),"",IF(COUNTIFS(BD!$B$3:$B$5001,J$210,BD!$A$3:$A$5001,"&gt;="&amp;$C$7,BD!$A$3:$A$5001,"&lt;="&amp;$B225,BD!$Y$3:$Y$5001,"&lt;&gt;")=0,"",SUMIFS(BD!$Y$3:$Y$5001,BD!$B$3:$B$5001,J$210,BD!$A$3:$A$5001,_xlfn.MAXIFS(BD!$A$3:$A$5001,BD!$B$3:$B$5001,J$210,BD!$A$3:$A$5001,"&gt;="&amp;$C$7,BD!$A$3:$A$5001,"&lt;="&amp;$B225,BD!$Y$3:$Y$5001,"&lt;&gt;"))))</f>
        <v/>
      </c>
      <c r="K225" s="43" t="str">
        <f>IF(OR($B225="",$A225&gt;$B$9,K$210=""),"",IF(COUNTIFS(BD!$B$3:$B$5001,K$210,BD!$A$3:$A$5001,"&gt;="&amp;$C$7,BD!$A$3:$A$5001,"&lt;="&amp;$B225,BD!$Y$3:$Y$5001,"&lt;&gt;")=0,"",SUMIFS(BD!$Y$3:$Y$5001,BD!$B$3:$B$5001,K$210,BD!$A$3:$A$5001,_xlfn.MAXIFS(BD!$A$3:$A$5001,BD!$B$3:$B$5001,K$210,BD!$A$3:$A$5001,"&gt;="&amp;$C$7,BD!$A$3:$A$5001,"&lt;="&amp;$B225,BD!$Y$3:$Y$5001,"&lt;&gt;"))))</f>
        <v/>
      </c>
      <c r="L225" s="43" t="str">
        <f>IF(OR($B225="",$A225&gt;$B$9,L$210=""),"",IF(COUNTIFS(BD!$B$3:$B$5001,L$210,BD!$A$3:$A$5001,"&gt;="&amp;$C$7,BD!$A$3:$A$5001,"&lt;="&amp;$B225,BD!$Y$3:$Y$5001,"&lt;&gt;")=0,"",SUMIFS(BD!$Y$3:$Y$5001,BD!$B$3:$B$5001,L$210,BD!$A$3:$A$5001,_xlfn.MAXIFS(BD!$A$3:$A$5001,BD!$B$3:$B$5001,L$210,BD!$A$3:$A$5001,"&gt;="&amp;$C$7,BD!$A$3:$A$5001,"&lt;="&amp;$B225,BD!$Y$3:$Y$5001,"&lt;&gt;"))))</f>
        <v/>
      </c>
      <c r="M225" s="43" t="str">
        <f>IF(OR($B225="",$A225&gt;$B$9,M$210=""),"",IF(COUNTIFS(BD!$B$3:$B$5001,M$210,BD!$A$3:$A$5001,"&gt;="&amp;$C$7,BD!$A$3:$A$5001,"&lt;="&amp;$B225,BD!$Y$3:$Y$5001,"&lt;&gt;")=0,"",SUMIFS(BD!$Y$3:$Y$5001,BD!$B$3:$B$5001,M$210,BD!$A$3:$A$5001,_xlfn.MAXIFS(BD!$A$3:$A$5001,BD!$B$3:$B$5001,M$210,BD!$A$3:$A$5001,"&gt;="&amp;$C$7,BD!$A$3:$A$5001,"&lt;="&amp;$B225,BD!$Y$3:$Y$5001,"&lt;&gt;"))))</f>
        <v/>
      </c>
      <c r="N225" s="43" t="str">
        <f>IF(OR($B225="",$A225&gt;$B$9,N$210=""),"",IF(COUNTIFS(BD!$B$3:$B$5001,N$210,BD!$A$3:$A$5001,"&gt;="&amp;$C$7,BD!$A$3:$A$5001,"&lt;="&amp;$B225,BD!$Y$3:$Y$5001,"&lt;&gt;")=0,"",SUMIFS(BD!$Y$3:$Y$5001,BD!$B$3:$B$5001,N$210,BD!$A$3:$A$5001,_xlfn.MAXIFS(BD!$A$3:$A$5001,BD!$B$3:$B$5001,N$210,BD!$A$3:$A$5001,"&gt;="&amp;$C$7,BD!$A$3:$A$5001,"&lt;="&amp;$B225,BD!$Y$3:$Y$5001,"&lt;&gt;"))))</f>
        <v/>
      </c>
      <c r="O225" s="43" t="str">
        <f>IF(OR($B225="",$A225&gt;$B$9,O$210=""),"",IF(COUNTIFS(BD!$B$3:$B$5001,O$210,BD!$A$3:$A$5001,"&gt;="&amp;$C$7,BD!$A$3:$A$5001,"&lt;="&amp;$B225,BD!$Y$3:$Y$5001,"&lt;&gt;")=0,"",SUMIFS(BD!$Y$3:$Y$5001,BD!$B$3:$B$5001,O$210,BD!$A$3:$A$5001,_xlfn.MAXIFS(BD!$A$3:$A$5001,BD!$B$3:$B$5001,O$210,BD!$A$3:$A$5001,"&gt;="&amp;$C$7,BD!$A$3:$A$5001,"&lt;="&amp;$B225,BD!$Y$3:$Y$5001,"&lt;&gt;"))))</f>
        <v/>
      </c>
      <c r="P225" s="43" t="str">
        <f>IF(OR($B225="",$A225&gt;$B$9,P$210=""),"",IF(COUNTIFS(BD!$B$3:$B$5001,P$210,BD!$A$3:$A$5001,"&gt;="&amp;$C$7,BD!$A$3:$A$5001,"&lt;="&amp;$B225,BD!$Y$3:$Y$5001,"&lt;&gt;")=0,"",SUMIFS(BD!$Y$3:$Y$5001,BD!$B$3:$B$5001,P$210,BD!$A$3:$A$5001,_xlfn.MAXIFS(BD!$A$3:$A$5001,BD!$B$3:$B$5001,P$210,BD!$A$3:$A$5001,"&gt;="&amp;$C$7,BD!$A$3:$A$5001,"&lt;="&amp;$B225,BD!$Y$3:$Y$5001,"&lt;&gt;"))))</f>
        <v/>
      </c>
      <c r="Q225" s="43" t="str">
        <f>IF(OR($B225="",$A225&gt;$B$9,Q$210=""),"",IF(COUNTIFS(BD!$B$3:$B$5001,Q$210,BD!$A$3:$A$5001,"&gt;="&amp;$C$7,BD!$A$3:$A$5001,"&lt;="&amp;$B225,BD!$Y$3:$Y$5001,"&lt;&gt;")=0,"",SUMIFS(BD!$Y$3:$Y$5001,BD!$B$3:$B$5001,Q$210,BD!$A$3:$A$5001,_xlfn.MAXIFS(BD!$A$3:$A$5001,BD!$B$3:$B$5001,Q$210,BD!$A$3:$A$5001,"&gt;="&amp;$C$7,BD!$A$3:$A$5001,"&lt;="&amp;$B225,BD!$Y$3:$Y$5001,"&lt;&gt;"))))</f>
        <v/>
      </c>
      <c r="R225" s="43" t="str">
        <f>IF(OR($B225="",$A225&gt;$B$9,R$210=""),"",IF(COUNTIFS(BD!$B$3:$B$5001,R$210,BD!$A$3:$A$5001,"&gt;="&amp;$C$7,BD!$A$3:$A$5001,"&lt;="&amp;$B225,BD!$Y$3:$Y$5001,"&lt;&gt;")=0,"",SUMIFS(BD!$Y$3:$Y$5001,BD!$B$3:$B$5001,R$210,BD!$A$3:$A$5001,_xlfn.MAXIFS(BD!$A$3:$A$5001,BD!$B$3:$B$5001,R$210,BD!$A$3:$A$5001,"&gt;="&amp;$C$7,BD!$A$3:$A$5001,"&lt;="&amp;$B225,BD!$Y$3:$Y$5001,"&lt;&gt;"))))</f>
        <v/>
      </c>
      <c r="S225" s="43" t="str">
        <f>IF(OR($B225="",$A225&gt;$B$9,S$210=""),"",IF(COUNTIFS(BD!$B$3:$B$5001,S$210,BD!$A$3:$A$5001,"&gt;="&amp;$C$7,BD!$A$3:$A$5001,"&lt;="&amp;$B225,BD!$Y$3:$Y$5001,"&lt;&gt;")=0,"",SUMIFS(BD!$Y$3:$Y$5001,BD!$B$3:$B$5001,S$210,BD!$A$3:$A$5001,_xlfn.MAXIFS(BD!$A$3:$A$5001,BD!$B$3:$B$5001,S$210,BD!$A$3:$A$5001,"&gt;="&amp;$C$7,BD!$A$3:$A$5001,"&lt;="&amp;$B225,BD!$Y$3:$Y$5001,"&lt;&gt;"))))</f>
        <v/>
      </c>
      <c r="T225" s="43" t="str">
        <f>IF(OR($B225="",$A225&gt;$B$9,T$210=""),"",IF(COUNTIFS(BD!$B$3:$B$5001,T$210,BD!$A$3:$A$5001,"&gt;="&amp;$C$7,BD!$A$3:$A$5001,"&lt;="&amp;$B225,BD!$Y$3:$Y$5001,"&lt;&gt;")=0,"",SUMIFS(BD!$Y$3:$Y$5001,BD!$B$3:$B$5001,T$210,BD!$A$3:$A$5001,_xlfn.MAXIFS(BD!$A$3:$A$5001,BD!$B$3:$B$5001,T$210,BD!$A$3:$A$5001,"&gt;="&amp;$C$7,BD!$A$3:$A$5001,"&lt;="&amp;$B225,BD!$Y$3:$Y$5001,"&lt;&gt;"))))</f>
        <v/>
      </c>
      <c r="U225" s="43" t="str">
        <f>IF(OR($B225="",$A225&gt;$B$9,U$210=""),"",IF(COUNTIFS(BD!$B$3:$B$5001,U$210,BD!$A$3:$A$5001,"&gt;="&amp;$C$7,BD!$A$3:$A$5001,"&lt;="&amp;$B225,BD!$Y$3:$Y$5001,"&lt;&gt;")=0,"",SUMIFS(BD!$Y$3:$Y$5001,BD!$B$3:$B$5001,U$210,BD!$A$3:$A$5001,_xlfn.MAXIFS(BD!$A$3:$A$5001,BD!$B$3:$B$5001,U$210,BD!$A$3:$A$5001,"&gt;="&amp;$C$7,BD!$A$3:$A$5001,"&lt;="&amp;$B225,BD!$Y$3:$Y$5001,"&lt;&gt;"))))</f>
        <v/>
      </c>
      <c r="V225" s="43" t="str">
        <f>IF(OR($B225="",$A225&gt;$B$9,V$210=""),"",IF(COUNTIFS(BD!$B$3:$B$5001,V$210,BD!$A$3:$A$5001,"&gt;="&amp;$C$7,BD!$A$3:$A$5001,"&lt;="&amp;$B225,BD!$Y$3:$Y$5001,"&lt;&gt;")=0,"",SUMIFS(BD!$Y$3:$Y$5001,BD!$B$3:$B$5001,V$210,BD!$A$3:$A$5001,_xlfn.MAXIFS(BD!$A$3:$A$5001,BD!$B$3:$B$5001,V$210,BD!$A$3:$A$5001,"&gt;="&amp;$C$7,BD!$A$3:$A$5001,"&lt;="&amp;$B225,BD!$Y$3:$Y$5001,"&lt;&gt;"))))</f>
        <v/>
      </c>
    </row>
    <row r="226">
      <c r="A226" s="38">
        <v>16</v>
      </c>
      <c r="B226" s="42">
        <f>$B$27</f>
        <v>46311</v>
      </c>
      <c r="C226" s="43" t="str">
        <f>IF(OR($B226="",$A226&gt;$B$9,C$210=""),"",IF(COUNTIFS(BD!$B$3:$B$5001,C$210,BD!$A$3:$A$5001,"&gt;="&amp;$C$7,BD!$A$3:$A$5001,"&lt;="&amp;$B226,BD!$Y$3:$Y$5001,"&lt;&gt;")=0,"",SUMIFS(BD!$Y$3:$Y$5001,BD!$B$3:$B$5001,C$210,BD!$A$3:$A$5001,_xlfn.MAXIFS(BD!$A$3:$A$5001,BD!$B$3:$B$5001,C$210,BD!$A$3:$A$5001,"&gt;="&amp;$C$7,BD!$A$3:$A$5001,"&lt;="&amp;$B226,BD!$Y$3:$Y$5001,"&lt;&gt;"))))</f>
        <v/>
      </c>
      <c r="D226" s="43" t="str">
        <f>IF(OR($B226="",$A226&gt;$B$9,D$210=""),"",IF(COUNTIFS(BD!$B$3:$B$5001,D$210,BD!$A$3:$A$5001,"&gt;="&amp;$C$7,BD!$A$3:$A$5001,"&lt;="&amp;$B226,BD!$Y$3:$Y$5001,"&lt;&gt;")=0,"",SUMIFS(BD!$Y$3:$Y$5001,BD!$B$3:$B$5001,D$210,BD!$A$3:$A$5001,_xlfn.MAXIFS(BD!$A$3:$A$5001,BD!$B$3:$B$5001,D$210,BD!$A$3:$A$5001,"&gt;="&amp;$C$7,BD!$A$3:$A$5001,"&lt;="&amp;$B226,BD!$Y$3:$Y$5001,"&lt;&gt;"))))</f>
        <v/>
      </c>
      <c r="E226" s="43" t="str">
        <f>IF(OR($B226="",$A226&gt;$B$9,E$210=""),"",IF(COUNTIFS(BD!$B$3:$B$5001,E$210,BD!$A$3:$A$5001,"&gt;="&amp;$C$7,BD!$A$3:$A$5001,"&lt;="&amp;$B226,BD!$Y$3:$Y$5001,"&lt;&gt;")=0,"",SUMIFS(BD!$Y$3:$Y$5001,BD!$B$3:$B$5001,E$210,BD!$A$3:$A$5001,_xlfn.MAXIFS(BD!$A$3:$A$5001,BD!$B$3:$B$5001,E$210,BD!$A$3:$A$5001,"&gt;="&amp;$C$7,BD!$A$3:$A$5001,"&lt;="&amp;$B226,BD!$Y$3:$Y$5001,"&lt;&gt;"))))</f>
        <v/>
      </c>
      <c r="F226" s="43" t="str">
        <f>IF(OR($B226="",$A226&gt;$B$9,F$210=""),"",IF(COUNTIFS(BD!$B$3:$B$5001,F$210,BD!$A$3:$A$5001,"&gt;="&amp;$C$7,BD!$A$3:$A$5001,"&lt;="&amp;$B226,BD!$Y$3:$Y$5001,"&lt;&gt;")=0,"",SUMIFS(BD!$Y$3:$Y$5001,BD!$B$3:$B$5001,F$210,BD!$A$3:$A$5001,_xlfn.MAXIFS(BD!$A$3:$A$5001,BD!$B$3:$B$5001,F$210,BD!$A$3:$A$5001,"&gt;="&amp;$C$7,BD!$A$3:$A$5001,"&lt;="&amp;$B226,BD!$Y$3:$Y$5001,"&lt;&gt;"))))</f>
        <v/>
      </c>
      <c r="G226" s="43" t="str">
        <f>IF(OR($B226="",$A226&gt;$B$9,G$210=""),"",IF(COUNTIFS(BD!$B$3:$B$5001,G$210,BD!$A$3:$A$5001,"&gt;="&amp;$C$7,BD!$A$3:$A$5001,"&lt;="&amp;$B226,BD!$Y$3:$Y$5001,"&lt;&gt;")=0,"",SUMIFS(BD!$Y$3:$Y$5001,BD!$B$3:$B$5001,G$210,BD!$A$3:$A$5001,_xlfn.MAXIFS(BD!$A$3:$A$5001,BD!$B$3:$B$5001,G$210,BD!$A$3:$A$5001,"&gt;="&amp;$C$7,BD!$A$3:$A$5001,"&lt;="&amp;$B226,BD!$Y$3:$Y$5001,"&lt;&gt;"))))</f>
        <v/>
      </c>
      <c r="H226" s="43" t="str">
        <f>IF(OR($B226="",$A226&gt;$B$9,H$210=""),"",IF(COUNTIFS(BD!$B$3:$B$5001,H$210,BD!$A$3:$A$5001,"&gt;="&amp;$C$7,BD!$A$3:$A$5001,"&lt;="&amp;$B226,BD!$Y$3:$Y$5001,"&lt;&gt;")=0,"",SUMIFS(BD!$Y$3:$Y$5001,BD!$B$3:$B$5001,H$210,BD!$A$3:$A$5001,_xlfn.MAXIFS(BD!$A$3:$A$5001,BD!$B$3:$B$5001,H$210,BD!$A$3:$A$5001,"&gt;="&amp;$C$7,BD!$A$3:$A$5001,"&lt;="&amp;$B226,BD!$Y$3:$Y$5001,"&lt;&gt;"))))</f>
        <v/>
      </c>
      <c r="I226" s="43" t="str">
        <f>IF(OR($B226="",$A226&gt;$B$9,I$210=""),"",IF(COUNTIFS(BD!$B$3:$B$5001,I$210,BD!$A$3:$A$5001,"&gt;="&amp;$C$7,BD!$A$3:$A$5001,"&lt;="&amp;$B226,BD!$Y$3:$Y$5001,"&lt;&gt;")=0,"",SUMIFS(BD!$Y$3:$Y$5001,BD!$B$3:$B$5001,I$210,BD!$A$3:$A$5001,_xlfn.MAXIFS(BD!$A$3:$A$5001,BD!$B$3:$B$5001,I$210,BD!$A$3:$A$5001,"&gt;="&amp;$C$7,BD!$A$3:$A$5001,"&lt;="&amp;$B226,BD!$Y$3:$Y$5001,"&lt;&gt;"))))</f>
        <v/>
      </c>
      <c r="J226" s="43" t="str">
        <f>IF(OR($B226="",$A226&gt;$B$9,J$210=""),"",IF(COUNTIFS(BD!$B$3:$B$5001,J$210,BD!$A$3:$A$5001,"&gt;="&amp;$C$7,BD!$A$3:$A$5001,"&lt;="&amp;$B226,BD!$Y$3:$Y$5001,"&lt;&gt;")=0,"",SUMIFS(BD!$Y$3:$Y$5001,BD!$B$3:$B$5001,J$210,BD!$A$3:$A$5001,_xlfn.MAXIFS(BD!$A$3:$A$5001,BD!$B$3:$B$5001,J$210,BD!$A$3:$A$5001,"&gt;="&amp;$C$7,BD!$A$3:$A$5001,"&lt;="&amp;$B226,BD!$Y$3:$Y$5001,"&lt;&gt;"))))</f>
        <v/>
      </c>
      <c r="K226" s="43" t="str">
        <f>IF(OR($B226="",$A226&gt;$B$9,K$210=""),"",IF(COUNTIFS(BD!$B$3:$B$5001,K$210,BD!$A$3:$A$5001,"&gt;="&amp;$C$7,BD!$A$3:$A$5001,"&lt;="&amp;$B226,BD!$Y$3:$Y$5001,"&lt;&gt;")=0,"",SUMIFS(BD!$Y$3:$Y$5001,BD!$B$3:$B$5001,K$210,BD!$A$3:$A$5001,_xlfn.MAXIFS(BD!$A$3:$A$5001,BD!$B$3:$B$5001,K$210,BD!$A$3:$A$5001,"&gt;="&amp;$C$7,BD!$A$3:$A$5001,"&lt;="&amp;$B226,BD!$Y$3:$Y$5001,"&lt;&gt;"))))</f>
        <v/>
      </c>
      <c r="L226" s="43" t="str">
        <f>IF(OR($B226="",$A226&gt;$B$9,L$210=""),"",IF(COUNTIFS(BD!$B$3:$B$5001,L$210,BD!$A$3:$A$5001,"&gt;="&amp;$C$7,BD!$A$3:$A$5001,"&lt;="&amp;$B226,BD!$Y$3:$Y$5001,"&lt;&gt;")=0,"",SUMIFS(BD!$Y$3:$Y$5001,BD!$B$3:$B$5001,L$210,BD!$A$3:$A$5001,_xlfn.MAXIFS(BD!$A$3:$A$5001,BD!$B$3:$B$5001,L$210,BD!$A$3:$A$5001,"&gt;="&amp;$C$7,BD!$A$3:$A$5001,"&lt;="&amp;$B226,BD!$Y$3:$Y$5001,"&lt;&gt;"))))</f>
        <v/>
      </c>
      <c r="M226" s="43" t="str">
        <f>IF(OR($B226="",$A226&gt;$B$9,M$210=""),"",IF(COUNTIFS(BD!$B$3:$B$5001,M$210,BD!$A$3:$A$5001,"&gt;="&amp;$C$7,BD!$A$3:$A$5001,"&lt;="&amp;$B226,BD!$Y$3:$Y$5001,"&lt;&gt;")=0,"",SUMIFS(BD!$Y$3:$Y$5001,BD!$B$3:$B$5001,M$210,BD!$A$3:$A$5001,_xlfn.MAXIFS(BD!$A$3:$A$5001,BD!$B$3:$B$5001,M$210,BD!$A$3:$A$5001,"&gt;="&amp;$C$7,BD!$A$3:$A$5001,"&lt;="&amp;$B226,BD!$Y$3:$Y$5001,"&lt;&gt;"))))</f>
        <v/>
      </c>
      <c r="N226" s="43" t="str">
        <f>IF(OR($B226="",$A226&gt;$B$9,N$210=""),"",IF(COUNTIFS(BD!$B$3:$B$5001,N$210,BD!$A$3:$A$5001,"&gt;="&amp;$C$7,BD!$A$3:$A$5001,"&lt;="&amp;$B226,BD!$Y$3:$Y$5001,"&lt;&gt;")=0,"",SUMIFS(BD!$Y$3:$Y$5001,BD!$B$3:$B$5001,N$210,BD!$A$3:$A$5001,_xlfn.MAXIFS(BD!$A$3:$A$5001,BD!$B$3:$B$5001,N$210,BD!$A$3:$A$5001,"&gt;="&amp;$C$7,BD!$A$3:$A$5001,"&lt;="&amp;$B226,BD!$Y$3:$Y$5001,"&lt;&gt;"))))</f>
        <v/>
      </c>
      <c r="O226" s="43" t="str">
        <f>IF(OR($B226="",$A226&gt;$B$9,O$210=""),"",IF(COUNTIFS(BD!$B$3:$B$5001,O$210,BD!$A$3:$A$5001,"&gt;="&amp;$C$7,BD!$A$3:$A$5001,"&lt;="&amp;$B226,BD!$Y$3:$Y$5001,"&lt;&gt;")=0,"",SUMIFS(BD!$Y$3:$Y$5001,BD!$B$3:$B$5001,O$210,BD!$A$3:$A$5001,_xlfn.MAXIFS(BD!$A$3:$A$5001,BD!$B$3:$B$5001,O$210,BD!$A$3:$A$5001,"&gt;="&amp;$C$7,BD!$A$3:$A$5001,"&lt;="&amp;$B226,BD!$Y$3:$Y$5001,"&lt;&gt;"))))</f>
        <v/>
      </c>
      <c r="P226" s="43" t="str">
        <f>IF(OR($B226="",$A226&gt;$B$9,P$210=""),"",IF(COUNTIFS(BD!$B$3:$B$5001,P$210,BD!$A$3:$A$5001,"&gt;="&amp;$C$7,BD!$A$3:$A$5001,"&lt;="&amp;$B226,BD!$Y$3:$Y$5001,"&lt;&gt;")=0,"",SUMIFS(BD!$Y$3:$Y$5001,BD!$B$3:$B$5001,P$210,BD!$A$3:$A$5001,_xlfn.MAXIFS(BD!$A$3:$A$5001,BD!$B$3:$B$5001,P$210,BD!$A$3:$A$5001,"&gt;="&amp;$C$7,BD!$A$3:$A$5001,"&lt;="&amp;$B226,BD!$Y$3:$Y$5001,"&lt;&gt;"))))</f>
        <v/>
      </c>
      <c r="Q226" s="43" t="str">
        <f>IF(OR($B226="",$A226&gt;$B$9,Q$210=""),"",IF(COUNTIFS(BD!$B$3:$B$5001,Q$210,BD!$A$3:$A$5001,"&gt;="&amp;$C$7,BD!$A$3:$A$5001,"&lt;="&amp;$B226,BD!$Y$3:$Y$5001,"&lt;&gt;")=0,"",SUMIFS(BD!$Y$3:$Y$5001,BD!$B$3:$B$5001,Q$210,BD!$A$3:$A$5001,_xlfn.MAXIFS(BD!$A$3:$A$5001,BD!$B$3:$B$5001,Q$210,BD!$A$3:$A$5001,"&gt;="&amp;$C$7,BD!$A$3:$A$5001,"&lt;="&amp;$B226,BD!$Y$3:$Y$5001,"&lt;&gt;"))))</f>
        <v/>
      </c>
      <c r="R226" s="43" t="str">
        <f>IF(OR($B226="",$A226&gt;$B$9,R$210=""),"",IF(COUNTIFS(BD!$B$3:$B$5001,R$210,BD!$A$3:$A$5001,"&gt;="&amp;$C$7,BD!$A$3:$A$5001,"&lt;="&amp;$B226,BD!$Y$3:$Y$5001,"&lt;&gt;")=0,"",SUMIFS(BD!$Y$3:$Y$5001,BD!$B$3:$B$5001,R$210,BD!$A$3:$A$5001,_xlfn.MAXIFS(BD!$A$3:$A$5001,BD!$B$3:$B$5001,R$210,BD!$A$3:$A$5001,"&gt;="&amp;$C$7,BD!$A$3:$A$5001,"&lt;="&amp;$B226,BD!$Y$3:$Y$5001,"&lt;&gt;"))))</f>
        <v/>
      </c>
      <c r="S226" s="43" t="str">
        <f>IF(OR($B226="",$A226&gt;$B$9,S$210=""),"",IF(COUNTIFS(BD!$B$3:$B$5001,S$210,BD!$A$3:$A$5001,"&gt;="&amp;$C$7,BD!$A$3:$A$5001,"&lt;="&amp;$B226,BD!$Y$3:$Y$5001,"&lt;&gt;")=0,"",SUMIFS(BD!$Y$3:$Y$5001,BD!$B$3:$B$5001,S$210,BD!$A$3:$A$5001,_xlfn.MAXIFS(BD!$A$3:$A$5001,BD!$B$3:$B$5001,S$210,BD!$A$3:$A$5001,"&gt;="&amp;$C$7,BD!$A$3:$A$5001,"&lt;="&amp;$B226,BD!$Y$3:$Y$5001,"&lt;&gt;"))))</f>
        <v/>
      </c>
      <c r="T226" s="43" t="str">
        <f>IF(OR($B226="",$A226&gt;$B$9,T$210=""),"",IF(COUNTIFS(BD!$B$3:$B$5001,T$210,BD!$A$3:$A$5001,"&gt;="&amp;$C$7,BD!$A$3:$A$5001,"&lt;="&amp;$B226,BD!$Y$3:$Y$5001,"&lt;&gt;")=0,"",SUMIFS(BD!$Y$3:$Y$5001,BD!$B$3:$B$5001,T$210,BD!$A$3:$A$5001,_xlfn.MAXIFS(BD!$A$3:$A$5001,BD!$B$3:$B$5001,T$210,BD!$A$3:$A$5001,"&gt;="&amp;$C$7,BD!$A$3:$A$5001,"&lt;="&amp;$B226,BD!$Y$3:$Y$5001,"&lt;&gt;"))))</f>
        <v/>
      </c>
      <c r="U226" s="43" t="str">
        <f>IF(OR($B226="",$A226&gt;$B$9,U$210=""),"",IF(COUNTIFS(BD!$B$3:$B$5001,U$210,BD!$A$3:$A$5001,"&gt;="&amp;$C$7,BD!$A$3:$A$5001,"&lt;="&amp;$B226,BD!$Y$3:$Y$5001,"&lt;&gt;")=0,"",SUMIFS(BD!$Y$3:$Y$5001,BD!$B$3:$B$5001,U$210,BD!$A$3:$A$5001,_xlfn.MAXIFS(BD!$A$3:$A$5001,BD!$B$3:$B$5001,U$210,BD!$A$3:$A$5001,"&gt;="&amp;$C$7,BD!$A$3:$A$5001,"&lt;="&amp;$B226,BD!$Y$3:$Y$5001,"&lt;&gt;"))))</f>
        <v/>
      </c>
      <c r="V226" s="43" t="str">
        <f>IF(OR($B226="",$A226&gt;$B$9,V$210=""),"",IF(COUNTIFS(BD!$B$3:$B$5001,V$210,BD!$A$3:$A$5001,"&gt;="&amp;$C$7,BD!$A$3:$A$5001,"&lt;="&amp;$B226,BD!$Y$3:$Y$5001,"&lt;&gt;")=0,"",SUMIFS(BD!$Y$3:$Y$5001,BD!$B$3:$B$5001,V$210,BD!$A$3:$A$5001,_xlfn.MAXIFS(BD!$A$3:$A$5001,BD!$B$3:$B$5001,V$210,BD!$A$3:$A$5001,"&gt;="&amp;$C$7,BD!$A$3:$A$5001,"&lt;="&amp;$B226,BD!$Y$3:$Y$5001,"&lt;&gt;"))))</f>
        <v/>
      </c>
    </row>
    <row r="227">
      <c r="A227" s="38">
        <v>17</v>
      </c>
      <c r="B227" s="42">
        <f>$B$28</f>
        <v>46312</v>
      </c>
      <c r="C227" s="43" t="str">
        <f>IF(OR($B227="",$A227&gt;$B$9,C$210=""),"",IF(COUNTIFS(BD!$B$3:$B$5001,C$210,BD!$A$3:$A$5001,"&gt;="&amp;$C$7,BD!$A$3:$A$5001,"&lt;="&amp;$B227,BD!$Y$3:$Y$5001,"&lt;&gt;")=0,"",SUMIFS(BD!$Y$3:$Y$5001,BD!$B$3:$B$5001,C$210,BD!$A$3:$A$5001,_xlfn.MAXIFS(BD!$A$3:$A$5001,BD!$B$3:$B$5001,C$210,BD!$A$3:$A$5001,"&gt;="&amp;$C$7,BD!$A$3:$A$5001,"&lt;="&amp;$B227,BD!$Y$3:$Y$5001,"&lt;&gt;"))))</f>
        <v/>
      </c>
      <c r="D227" s="43" t="str">
        <f>IF(OR($B227="",$A227&gt;$B$9,D$210=""),"",IF(COUNTIFS(BD!$B$3:$B$5001,D$210,BD!$A$3:$A$5001,"&gt;="&amp;$C$7,BD!$A$3:$A$5001,"&lt;="&amp;$B227,BD!$Y$3:$Y$5001,"&lt;&gt;")=0,"",SUMIFS(BD!$Y$3:$Y$5001,BD!$B$3:$B$5001,D$210,BD!$A$3:$A$5001,_xlfn.MAXIFS(BD!$A$3:$A$5001,BD!$B$3:$B$5001,D$210,BD!$A$3:$A$5001,"&gt;="&amp;$C$7,BD!$A$3:$A$5001,"&lt;="&amp;$B227,BD!$Y$3:$Y$5001,"&lt;&gt;"))))</f>
        <v/>
      </c>
      <c r="E227" s="43" t="str">
        <f>IF(OR($B227="",$A227&gt;$B$9,E$210=""),"",IF(COUNTIFS(BD!$B$3:$B$5001,E$210,BD!$A$3:$A$5001,"&gt;="&amp;$C$7,BD!$A$3:$A$5001,"&lt;="&amp;$B227,BD!$Y$3:$Y$5001,"&lt;&gt;")=0,"",SUMIFS(BD!$Y$3:$Y$5001,BD!$B$3:$B$5001,E$210,BD!$A$3:$A$5001,_xlfn.MAXIFS(BD!$A$3:$A$5001,BD!$B$3:$B$5001,E$210,BD!$A$3:$A$5001,"&gt;="&amp;$C$7,BD!$A$3:$A$5001,"&lt;="&amp;$B227,BD!$Y$3:$Y$5001,"&lt;&gt;"))))</f>
        <v/>
      </c>
      <c r="F227" s="43" t="str">
        <f>IF(OR($B227="",$A227&gt;$B$9,F$210=""),"",IF(COUNTIFS(BD!$B$3:$B$5001,F$210,BD!$A$3:$A$5001,"&gt;="&amp;$C$7,BD!$A$3:$A$5001,"&lt;="&amp;$B227,BD!$Y$3:$Y$5001,"&lt;&gt;")=0,"",SUMIFS(BD!$Y$3:$Y$5001,BD!$B$3:$B$5001,F$210,BD!$A$3:$A$5001,_xlfn.MAXIFS(BD!$A$3:$A$5001,BD!$B$3:$B$5001,F$210,BD!$A$3:$A$5001,"&gt;="&amp;$C$7,BD!$A$3:$A$5001,"&lt;="&amp;$B227,BD!$Y$3:$Y$5001,"&lt;&gt;"))))</f>
        <v/>
      </c>
      <c r="G227" s="43" t="str">
        <f>IF(OR($B227="",$A227&gt;$B$9,G$210=""),"",IF(COUNTIFS(BD!$B$3:$B$5001,G$210,BD!$A$3:$A$5001,"&gt;="&amp;$C$7,BD!$A$3:$A$5001,"&lt;="&amp;$B227,BD!$Y$3:$Y$5001,"&lt;&gt;")=0,"",SUMIFS(BD!$Y$3:$Y$5001,BD!$B$3:$B$5001,G$210,BD!$A$3:$A$5001,_xlfn.MAXIFS(BD!$A$3:$A$5001,BD!$B$3:$B$5001,G$210,BD!$A$3:$A$5001,"&gt;="&amp;$C$7,BD!$A$3:$A$5001,"&lt;="&amp;$B227,BD!$Y$3:$Y$5001,"&lt;&gt;"))))</f>
        <v/>
      </c>
      <c r="H227" s="43" t="str">
        <f>IF(OR($B227="",$A227&gt;$B$9,H$210=""),"",IF(COUNTIFS(BD!$B$3:$B$5001,H$210,BD!$A$3:$A$5001,"&gt;="&amp;$C$7,BD!$A$3:$A$5001,"&lt;="&amp;$B227,BD!$Y$3:$Y$5001,"&lt;&gt;")=0,"",SUMIFS(BD!$Y$3:$Y$5001,BD!$B$3:$B$5001,H$210,BD!$A$3:$A$5001,_xlfn.MAXIFS(BD!$A$3:$A$5001,BD!$B$3:$B$5001,H$210,BD!$A$3:$A$5001,"&gt;="&amp;$C$7,BD!$A$3:$A$5001,"&lt;="&amp;$B227,BD!$Y$3:$Y$5001,"&lt;&gt;"))))</f>
        <v/>
      </c>
      <c r="I227" s="43" t="str">
        <f>IF(OR($B227="",$A227&gt;$B$9,I$210=""),"",IF(COUNTIFS(BD!$B$3:$B$5001,I$210,BD!$A$3:$A$5001,"&gt;="&amp;$C$7,BD!$A$3:$A$5001,"&lt;="&amp;$B227,BD!$Y$3:$Y$5001,"&lt;&gt;")=0,"",SUMIFS(BD!$Y$3:$Y$5001,BD!$B$3:$B$5001,I$210,BD!$A$3:$A$5001,_xlfn.MAXIFS(BD!$A$3:$A$5001,BD!$B$3:$B$5001,I$210,BD!$A$3:$A$5001,"&gt;="&amp;$C$7,BD!$A$3:$A$5001,"&lt;="&amp;$B227,BD!$Y$3:$Y$5001,"&lt;&gt;"))))</f>
        <v/>
      </c>
      <c r="J227" s="43" t="str">
        <f>IF(OR($B227="",$A227&gt;$B$9,J$210=""),"",IF(COUNTIFS(BD!$B$3:$B$5001,J$210,BD!$A$3:$A$5001,"&gt;="&amp;$C$7,BD!$A$3:$A$5001,"&lt;="&amp;$B227,BD!$Y$3:$Y$5001,"&lt;&gt;")=0,"",SUMIFS(BD!$Y$3:$Y$5001,BD!$B$3:$B$5001,J$210,BD!$A$3:$A$5001,_xlfn.MAXIFS(BD!$A$3:$A$5001,BD!$B$3:$B$5001,J$210,BD!$A$3:$A$5001,"&gt;="&amp;$C$7,BD!$A$3:$A$5001,"&lt;="&amp;$B227,BD!$Y$3:$Y$5001,"&lt;&gt;"))))</f>
        <v/>
      </c>
      <c r="K227" s="43" t="str">
        <f>IF(OR($B227="",$A227&gt;$B$9,K$210=""),"",IF(COUNTIFS(BD!$B$3:$B$5001,K$210,BD!$A$3:$A$5001,"&gt;="&amp;$C$7,BD!$A$3:$A$5001,"&lt;="&amp;$B227,BD!$Y$3:$Y$5001,"&lt;&gt;")=0,"",SUMIFS(BD!$Y$3:$Y$5001,BD!$B$3:$B$5001,K$210,BD!$A$3:$A$5001,_xlfn.MAXIFS(BD!$A$3:$A$5001,BD!$B$3:$B$5001,K$210,BD!$A$3:$A$5001,"&gt;="&amp;$C$7,BD!$A$3:$A$5001,"&lt;="&amp;$B227,BD!$Y$3:$Y$5001,"&lt;&gt;"))))</f>
        <v/>
      </c>
      <c r="L227" s="43" t="str">
        <f>IF(OR($B227="",$A227&gt;$B$9,L$210=""),"",IF(COUNTIFS(BD!$B$3:$B$5001,L$210,BD!$A$3:$A$5001,"&gt;="&amp;$C$7,BD!$A$3:$A$5001,"&lt;="&amp;$B227,BD!$Y$3:$Y$5001,"&lt;&gt;")=0,"",SUMIFS(BD!$Y$3:$Y$5001,BD!$B$3:$B$5001,L$210,BD!$A$3:$A$5001,_xlfn.MAXIFS(BD!$A$3:$A$5001,BD!$B$3:$B$5001,L$210,BD!$A$3:$A$5001,"&gt;="&amp;$C$7,BD!$A$3:$A$5001,"&lt;="&amp;$B227,BD!$Y$3:$Y$5001,"&lt;&gt;"))))</f>
        <v/>
      </c>
      <c r="M227" s="43" t="str">
        <f>IF(OR($B227="",$A227&gt;$B$9,M$210=""),"",IF(COUNTIFS(BD!$B$3:$B$5001,M$210,BD!$A$3:$A$5001,"&gt;="&amp;$C$7,BD!$A$3:$A$5001,"&lt;="&amp;$B227,BD!$Y$3:$Y$5001,"&lt;&gt;")=0,"",SUMIFS(BD!$Y$3:$Y$5001,BD!$B$3:$B$5001,M$210,BD!$A$3:$A$5001,_xlfn.MAXIFS(BD!$A$3:$A$5001,BD!$B$3:$B$5001,M$210,BD!$A$3:$A$5001,"&gt;="&amp;$C$7,BD!$A$3:$A$5001,"&lt;="&amp;$B227,BD!$Y$3:$Y$5001,"&lt;&gt;"))))</f>
        <v/>
      </c>
      <c r="N227" s="43" t="str">
        <f>IF(OR($B227="",$A227&gt;$B$9,N$210=""),"",IF(COUNTIFS(BD!$B$3:$B$5001,N$210,BD!$A$3:$A$5001,"&gt;="&amp;$C$7,BD!$A$3:$A$5001,"&lt;="&amp;$B227,BD!$Y$3:$Y$5001,"&lt;&gt;")=0,"",SUMIFS(BD!$Y$3:$Y$5001,BD!$B$3:$B$5001,N$210,BD!$A$3:$A$5001,_xlfn.MAXIFS(BD!$A$3:$A$5001,BD!$B$3:$B$5001,N$210,BD!$A$3:$A$5001,"&gt;="&amp;$C$7,BD!$A$3:$A$5001,"&lt;="&amp;$B227,BD!$Y$3:$Y$5001,"&lt;&gt;"))))</f>
        <v/>
      </c>
      <c r="O227" s="43" t="str">
        <f>IF(OR($B227="",$A227&gt;$B$9,O$210=""),"",IF(COUNTIFS(BD!$B$3:$B$5001,O$210,BD!$A$3:$A$5001,"&gt;="&amp;$C$7,BD!$A$3:$A$5001,"&lt;="&amp;$B227,BD!$Y$3:$Y$5001,"&lt;&gt;")=0,"",SUMIFS(BD!$Y$3:$Y$5001,BD!$B$3:$B$5001,O$210,BD!$A$3:$A$5001,_xlfn.MAXIFS(BD!$A$3:$A$5001,BD!$B$3:$B$5001,O$210,BD!$A$3:$A$5001,"&gt;="&amp;$C$7,BD!$A$3:$A$5001,"&lt;="&amp;$B227,BD!$Y$3:$Y$5001,"&lt;&gt;"))))</f>
        <v/>
      </c>
      <c r="P227" s="43" t="str">
        <f>IF(OR($B227="",$A227&gt;$B$9,P$210=""),"",IF(COUNTIFS(BD!$B$3:$B$5001,P$210,BD!$A$3:$A$5001,"&gt;="&amp;$C$7,BD!$A$3:$A$5001,"&lt;="&amp;$B227,BD!$Y$3:$Y$5001,"&lt;&gt;")=0,"",SUMIFS(BD!$Y$3:$Y$5001,BD!$B$3:$B$5001,P$210,BD!$A$3:$A$5001,_xlfn.MAXIFS(BD!$A$3:$A$5001,BD!$B$3:$B$5001,P$210,BD!$A$3:$A$5001,"&gt;="&amp;$C$7,BD!$A$3:$A$5001,"&lt;="&amp;$B227,BD!$Y$3:$Y$5001,"&lt;&gt;"))))</f>
        <v/>
      </c>
      <c r="Q227" s="43" t="str">
        <f>IF(OR($B227="",$A227&gt;$B$9,Q$210=""),"",IF(COUNTIFS(BD!$B$3:$B$5001,Q$210,BD!$A$3:$A$5001,"&gt;="&amp;$C$7,BD!$A$3:$A$5001,"&lt;="&amp;$B227,BD!$Y$3:$Y$5001,"&lt;&gt;")=0,"",SUMIFS(BD!$Y$3:$Y$5001,BD!$B$3:$B$5001,Q$210,BD!$A$3:$A$5001,_xlfn.MAXIFS(BD!$A$3:$A$5001,BD!$B$3:$B$5001,Q$210,BD!$A$3:$A$5001,"&gt;="&amp;$C$7,BD!$A$3:$A$5001,"&lt;="&amp;$B227,BD!$Y$3:$Y$5001,"&lt;&gt;"))))</f>
        <v/>
      </c>
      <c r="R227" s="43" t="str">
        <f>IF(OR($B227="",$A227&gt;$B$9,R$210=""),"",IF(COUNTIFS(BD!$B$3:$B$5001,R$210,BD!$A$3:$A$5001,"&gt;="&amp;$C$7,BD!$A$3:$A$5001,"&lt;="&amp;$B227,BD!$Y$3:$Y$5001,"&lt;&gt;")=0,"",SUMIFS(BD!$Y$3:$Y$5001,BD!$B$3:$B$5001,R$210,BD!$A$3:$A$5001,_xlfn.MAXIFS(BD!$A$3:$A$5001,BD!$B$3:$B$5001,R$210,BD!$A$3:$A$5001,"&gt;="&amp;$C$7,BD!$A$3:$A$5001,"&lt;="&amp;$B227,BD!$Y$3:$Y$5001,"&lt;&gt;"))))</f>
        <v/>
      </c>
      <c r="S227" s="43" t="str">
        <f>IF(OR($B227="",$A227&gt;$B$9,S$210=""),"",IF(COUNTIFS(BD!$B$3:$B$5001,S$210,BD!$A$3:$A$5001,"&gt;="&amp;$C$7,BD!$A$3:$A$5001,"&lt;="&amp;$B227,BD!$Y$3:$Y$5001,"&lt;&gt;")=0,"",SUMIFS(BD!$Y$3:$Y$5001,BD!$B$3:$B$5001,S$210,BD!$A$3:$A$5001,_xlfn.MAXIFS(BD!$A$3:$A$5001,BD!$B$3:$B$5001,S$210,BD!$A$3:$A$5001,"&gt;="&amp;$C$7,BD!$A$3:$A$5001,"&lt;="&amp;$B227,BD!$Y$3:$Y$5001,"&lt;&gt;"))))</f>
        <v/>
      </c>
      <c r="T227" s="43" t="str">
        <f>IF(OR($B227="",$A227&gt;$B$9,T$210=""),"",IF(COUNTIFS(BD!$B$3:$B$5001,T$210,BD!$A$3:$A$5001,"&gt;="&amp;$C$7,BD!$A$3:$A$5001,"&lt;="&amp;$B227,BD!$Y$3:$Y$5001,"&lt;&gt;")=0,"",SUMIFS(BD!$Y$3:$Y$5001,BD!$B$3:$B$5001,T$210,BD!$A$3:$A$5001,_xlfn.MAXIFS(BD!$A$3:$A$5001,BD!$B$3:$B$5001,T$210,BD!$A$3:$A$5001,"&gt;="&amp;$C$7,BD!$A$3:$A$5001,"&lt;="&amp;$B227,BD!$Y$3:$Y$5001,"&lt;&gt;"))))</f>
        <v/>
      </c>
      <c r="U227" s="43" t="str">
        <f>IF(OR($B227="",$A227&gt;$B$9,U$210=""),"",IF(COUNTIFS(BD!$B$3:$B$5001,U$210,BD!$A$3:$A$5001,"&gt;="&amp;$C$7,BD!$A$3:$A$5001,"&lt;="&amp;$B227,BD!$Y$3:$Y$5001,"&lt;&gt;")=0,"",SUMIFS(BD!$Y$3:$Y$5001,BD!$B$3:$B$5001,U$210,BD!$A$3:$A$5001,_xlfn.MAXIFS(BD!$A$3:$A$5001,BD!$B$3:$B$5001,U$210,BD!$A$3:$A$5001,"&gt;="&amp;$C$7,BD!$A$3:$A$5001,"&lt;="&amp;$B227,BD!$Y$3:$Y$5001,"&lt;&gt;"))))</f>
        <v/>
      </c>
      <c r="V227" s="43" t="str">
        <f>IF(OR($B227="",$A227&gt;$B$9,V$210=""),"",IF(COUNTIFS(BD!$B$3:$B$5001,V$210,BD!$A$3:$A$5001,"&gt;="&amp;$C$7,BD!$A$3:$A$5001,"&lt;="&amp;$B227,BD!$Y$3:$Y$5001,"&lt;&gt;")=0,"",SUMIFS(BD!$Y$3:$Y$5001,BD!$B$3:$B$5001,V$210,BD!$A$3:$A$5001,_xlfn.MAXIFS(BD!$A$3:$A$5001,BD!$B$3:$B$5001,V$210,BD!$A$3:$A$5001,"&gt;="&amp;$C$7,BD!$A$3:$A$5001,"&lt;="&amp;$B227,BD!$Y$3:$Y$5001,"&lt;&gt;"))))</f>
        <v/>
      </c>
    </row>
    <row r="228">
      <c r="A228" s="38">
        <v>18</v>
      </c>
      <c r="B228" s="42">
        <f>$B$29</f>
        <v>46313</v>
      </c>
      <c r="C228" s="43" t="str">
        <f>IF(OR($B228="",$A228&gt;$B$9,C$210=""),"",IF(COUNTIFS(BD!$B$3:$B$5001,C$210,BD!$A$3:$A$5001,"&gt;="&amp;$C$7,BD!$A$3:$A$5001,"&lt;="&amp;$B228,BD!$Y$3:$Y$5001,"&lt;&gt;")=0,"",SUMIFS(BD!$Y$3:$Y$5001,BD!$B$3:$B$5001,C$210,BD!$A$3:$A$5001,_xlfn.MAXIFS(BD!$A$3:$A$5001,BD!$B$3:$B$5001,C$210,BD!$A$3:$A$5001,"&gt;="&amp;$C$7,BD!$A$3:$A$5001,"&lt;="&amp;$B228,BD!$Y$3:$Y$5001,"&lt;&gt;"))))</f>
        <v/>
      </c>
      <c r="D228" s="43" t="str">
        <f>IF(OR($B228="",$A228&gt;$B$9,D$210=""),"",IF(COUNTIFS(BD!$B$3:$B$5001,D$210,BD!$A$3:$A$5001,"&gt;="&amp;$C$7,BD!$A$3:$A$5001,"&lt;="&amp;$B228,BD!$Y$3:$Y$5001,"&lt;&gt;")=0,"",SUMIFS(BD!$Y$3:$Y$5001,BD!$B$3:$B$5001,D$210,BD!$A$3:$A$5001,_xlfn.MAXIFS(BD!$A$3:$A$5001,BD!$B$3:$B$5001,D$210,BD!$A$3:$A$5001,"&gt;="&amp;$C$7,BD!$A$3:$A$5001,"&lt;="&amp;$B228,BD!$Y$3:$Y$5001,"&lt;&gt;"))))</f>
        <v/>
      </c>
      <c r="E228" s="43" t="str">
        <f>IF(OR($B228="",$A228&gt;$B$9,E$210=""),"",IF(COUNTIFS(BD!$B$3:$B$5001,E$210,BD!$A$3:$A$5001,"&gt;="&amp;$C$7,BD!$A$3:$A$5001,"&lt;="&amp;$B228,BD!$Y$3:$Y$5001,"&lt;&gt;")=0,"",SUMIFS(BD!$Y$3:$Y$5001,BD!$B$3:$B$5001,E$210,BD!$A$3:$A$5001,_xlfn.MAXIFS(BD!$A$3:$A$5001,BD!$B$3:$B$5001,E$210,BD!$A$3:$A$5001,"&gt;="&amp;$C$7,BD!$A$3:$A$5001,"&lt;="&amp;$B228,BD!$Y$3:$Y$5001,"&lt;&gt;"))))</f>
        <v/>
      </c>
      <c r="F228" s="43" t="str">
        <f>IF(OR($B228="",$A228&gt;$B$9,F$210=""),"",IF(COUNTIFS(BD!$B$3:$B$5001,F$210,BD!$A$3:$A$5001,"&gt;="&amp;$C$7,BD!$A$3:$A$5001,"&lt;="&amp;$B228,BD!$Y$3:$Y$5001,"&lt;&gt;")=0,"",SUMIFS(BD!$Y$3:$Y$5001,BD!$B$3:$B$5001,F$210,BD!$A$3:$A$5001,_xlfn.MAXIFS(BD!$A$3:$A$5001,BD!$B$3:$B$5001,F$210,BD!$A$3:$A$5001,"&gt;="&amp;$C$7,BD!$A$3:$A$5001,"&lt;="&amp;$B228,BD!$Y$3:$Y$5001,"&lt;&gt;"))))</f>
        <v/>
      </c>
      <c r="G228" s="43" t="str">
        <f>IF(OR($B228="",$A228&gt;$B$9,G$210=""),"",IF(COUNTIFS(BD!$B$3:$B$5001,G$210,BD!$A$3:$A$5001,"&gt;="&amp;$C$7,BD!$A$3:$A$5001,"&lt;="&amp;$B228,BD!$Y$3:$Y$5001,"&lt;&gt;")=0,"",SUMIFS(BD!$Y$3:$Y$5001,BD!$B$3:$B$5001,G$210,BD!$A$3:$A$5001,_xlfn.MAXIFS(BD!$A$3:$A$5001,BD!$B$3:$B$5001,G$210,BD!$A$3:$A$5001,"&gt;="&amp;$C$7,BD!$A$3:$A$5001,"&lt;="&amp;$B228,BD!$Y$3:$Y$5001,"&lt;&gt;"))))</f>
        <v/>
      </c>
      <c r="H228" s="43" t="str">
        <f>IF(OR($B228="",$A228&gt;$B$9,H$210=""),"",IF(COUNTIFS(BD!$B$3:$B$5001,H$210,BD!$A$3:$A$5001,"&gt;="&amp;$C$7,BD!$A$3:$A$5001,"&lt;="&amp;$B228,BD!$Y$3:$Y$5001,"&lt;&gt;")=0,"",SUMIFS(BD!$Y$3:$Y$5001,BD!$B$3:$B$5001,H$210,BD!$A$3:$A$5001,_xlfn.MAXIFS(BD!$A$3:$A$5001,BD!$B$3:$B$5001,H$210,BD!$A$3:$A$5001,"&gt;="&amp;$C$7,BD!$A$3:$A$5001,"&lt;="&amp;$B228,BD!$Y$3:$Y$5001,"&lt;&gt;"))))</f>
        <v/>
      </c>
      <c r="I228" s="43" t="str">
        <f>IF(OR($B228="",$A228&gt;$B$9,I$210=""),"",IF(COUNTIFS(BD!$B$3:$B$5001,I$210,BD!$A$3:$A$5001,"&gt;="&amp;$C$7,BD!$A$3:$A$5001,"&lt;="&amp;$B228,BD!$Y$3:$Y$5001,"&lt;&gt;")=0,"",SUMIFS(BD!$Y$3:$Y$5001,BD!$B$3:$B$5001,I$210,BD!$A$3:$A$5001,_xlfn.MAXIFS(BD!$A$3:$A$5001,BD!$B$3:$B$5001,I$210,BD!$A$3:$A$5001,"&gt;="&amp;$C$7,BD!$A$3:$A$5001,"&lt;="&amp;$B228,BD!$Y$3:$Y$5001,"&lt;&gt;"))))</f>
        <v/>
      </c>
      <c r="J228" s="43" t="str">
        <f>IF(OR($B228="",$A228&gt;$B$9,J$210=""),"",IF(COUNTIFS(BD!$B$3:$B$5001,J$210,BD!$A$3:$A$5001,"&gt;="&amp;$C$7,BD!$A$3:$A$5001,"&lt;="&amp;$B228,BD!$Y$3:$Y$5001,"&lt;&gt;")=0,"",SUMIFS(BD!$Y$3:$Y$5001,BD!$B$3:$B$5001,J$210,BD!$A$3:$A$5001,_xlfn.MAXIFS(BD!$A$3:$A$5001,BD!$B$3:$B$5001,J$210,BD!$A$3:$A$5001,"&gt;="&amp;$C$7,BD!$A$3:$A$5001,"&lt;="&amp;$B228,BD!$Y$3:$Y$5001,"&lt;&gt;"))))</f>
        <v/>
      </c>
      <c r="K228" s="43" t="str">
        <f>IF(OR($B228="",$A228&gt;$B$9,K$210=""),"",IF(COUNTIFS(BD!$B$3:$B$5001,K$210,BD!$A$3:$A$5001,"&gt;="&amp;$C$7,BD!$A$3:$A$5001,"&lt;="&amp;$B228,BD!$Y$3:$Y$5001,"&lt;&gt;")=0,"",SUMIFS(BD!$Y$3:$Y$5001,BD!$B$3:$B$5001,K$210,BD!$A$3:$A$5001,_xlfn.MAXIFS(BD!$A$3:$A$5001,BD!$B$3:$B$5001,K$210,BD!$A$3:$A$5001,"&gt;="&amp;$C$7,BD!$A$3:$A$5001,"&lt;="&amp;$B228,BD!$Y$3:$Y$5001,"&lt;&gt;"))))</f>
        <v/>
      </c>
      <c r="L228" s="43" t="str">
        <f>IF(OR($B228="",$A228&gt;$B$9,L$210=""),"",IF(COUNTIFS(BD!$B$3:$B$5001,L$210,BD!$A$3:$A$5001,"&gt;="&amp;$C$7,BD!$A$3:$A$5001,"&lt;="&amp;$B228,BD!$Y$3:$Y$5001,"&lt;&gt;")=0,"",SUMIFS(BD!$Y$3:$Y$5001,BD!$B$3:$B$5001,L$210,BD!$A$3:$A$5001,_xlfn.MAXIFS(BD!$A$3:$A$5001,BD!$B$3:$B$5001,L$210,BD!$A$3:$A$5001,"&gt;="&amp;$C$7,BD!$A$3:$A$5001,"&lt;="&amp;$B228,BD!$Y$3:$Y$5001,"&lt;&gt;"))))</f>
        <v/>
      </c>
      <c r="M228" s="43" t="str">
        <f>IF(OR($B228="",$A228&gt;$B$9,M$210=""),"",IF(COUNTIFS(BD!$B$3:$B$5001,M$210,BD!$A$3:$A$5001,"&gt;="&amp;$C$7,BD!$A$3:$A$5001,"&lt;="&amp;$B228,BD!$Y$3:$Y$5001,"&lt;&gt;")=0,"",SUMIFS(BD!$Y$3:$Y$5001,BD!$B$3:$B$5001,M$210,BD!$A$3:$A$5001,_xlfn.MAXIFS(BD!$A$3:$A$5001,BD!$B$3:$B$5001,M$210,BD!$A$3:$A$5001,"&gt;="&amp;$C$7,BD!$A$3:$A$5001,"&lt;="&amp;$B228,BD!$Y$3:$Y$5001,"&lt;&gt;"))))</f>
        <v/>
      </c>
      <c r="N228" s="43" t="str">
        <f>IF(OR($B228="",$A228&gt;$B$9,N$210=""),"",IF(COUNTIFS(BD!$B$3:$B$5001,N$210,BD!$A$3:$A$5001,"&gt;="&amp;$C$7,BD!$A$3:$A$5001,"&lt;="&amp;$B228,BD!$Y$3:$Y$5001,"&lt;&gt;")=0,"",SUMIFS(BD!$Y$3:$Y$5001,BD!$B$3:$B$5001,N$210,BD!$A$3:$A$5001,_xlfn.MAXIFS(BD!$A$3:$A$5001,BD!$B$3:$B$5001,N$210,BD!$A$3:$A$5001,"&gt;="&amp;$C$7,BD!$A$3:$A$5001,"&lt;="&amp;$B228,BD!$Y$3:$Y$5001,"&lt;&gt;"))))</f>
        <v/>
      </c>
      <c r="O228" s="43" t="str">
        <f>IF(OR($B228="",$A228&gt;$B$9,O$210=""),"",IF(COUNTIFS(BD!$B$3:$B$5001,O$210,BD!$A$3:$A$5001,"&gt;="&amp;$C$7,BD!$A$3:$A$5001,"&lt;="&amp;$B228,BD!$Y$3:$Y$5001,"&lt;&gt;")=0,"",SUMIFS(BD!$Y$3:$Y$5001,BD!$B$3:$B$5001,O$210,BD!$A$3:$A$5001,_xlfn.MAXIFS(BD!$A$3:$A$5001,BD!$B$3:$B$5001,O$210,BD!$A$3:$A$5001,"&gt;="&amp;$C$7,BD!$A$3:$A$5001,"&lt;="&amp;$B228,BD!$Y$3:$Y$5001,"&lt;&gt;"))))</f>
        <v/>
      </c>
      <c r="P228" s="43" t="str">
        <f>IF(OR($B228="",$A228&gt;$B$9,P$210=""),"",IF(COUNTIFS(BD!$B$3:$B$5001,P$210,BD!$A$3:$A$5001,"&gt;="&amp;$C$7,BD!$A$3:$A$5001,"&lt;="&amp;$B228,BD!$Y$3:$Y$5001,"&lt;&gt;")=0,"",SUMIFS(BD!$Y$3:$Y$5001,BD!$B$3:$B$5001,P$210,BD!$A$3:$A$5001,_xlfn.MAXIFS(BD!$A$3:$A$5001,BD!$B$3:$B$5001,P$210,BD!$A$3:$A$5001,"&gt;="&amp;$C$7,BD!$A$3:$A$5001,"&lt;="&amp;$B228,BD!$Y$3:$Y$5001,"&lt;&gt;"))))</f>
        <v/>
      </c>
      <c r="Q228" s="43" t="str">
        <f>IF(OR($B228="",$A228&gt;$B$9,Q$210=""),"",IF(COUNTIFS(BD!$B$3:$B$5001,Q$210,BD!$A$3:$A$5001,"&gt;="&amp;$C$7,BD!$A$3:$A$5001,"&lt;="&amp;$B228,BD!$Y$3:$Y$5001,"&lt;&gt;")=0,"",SUMIFS(BD!$Y$3:$Y$5001,BD!$B$3:$B$5001,Q$210,BD!$A$3:$A$5001,_xlfn.MAXIFS(BD!$A$3:$A$5001,BD!$B$3:$B$5001,Q$210,BD!$A$3:$A$5001,"&gt;="&amp;$C$7,BD!$A$3:$A$5001,"&lt;="&amp;$B228,BD!$Y$3:$Y$5001,"&lt;&gt;"))))</f>
        <v/>
      </c>
      <c r="R228" s="43" t="str">
        <f>IF(OR($B228="",$A228&gt;$B$9,R$210=""),"",IF(COUNTIFS(BD!$B$3:$B$5001,R$210,BD!$A$3:$A$5001,"&gt;="&amp;$C$7,BD!$A$3:$A$5001,"&lt;="&amp;$B228,BD!$Y$3:$Y$5001,"&lt;&gt;")=0,"",SUMIFS(BD!$Y$3:$Y$5001,BD!$B$3:$B$5001,R$210,BD!$A$3:$A$5001,_xlfn.MAXIFS(BD!$A$3:$A$5001,BD!$B$3:$B$5001,R$210,BD!$A$3:$A$5001,"&gt;="&amp;$C$7,BD!$A$3:$A$5001,"&lt;="&amp;$B228,BD!$Y$3:$Y$5001,"&lt;&gt;"))))</f>
        <v/>
      </c>
      <c r="S228" s="43" t="str">
        <f>IF(OR($B228="",$A228&gt;$B$9,S$210=""),"",IF(COUNTIFS(BD!$B$3:$B$5001,S$210,BD!$A$3:$A$5001,"&gt;="&amp;$C$7,BD!$A$3:$A$5001,"&lt;="&amp;$B228,BD!$Y$3:$Y$5001,"&lt;&gt;")=0,"",SUMIFS(BD!$Y$3:$Y$5001,BD!$B$3:$B$5001,S$210,BD!$A$3:$A$5001,_xlfn.MAXIFS(BD!$A$3:$A$5001,BD!$B$3:$B$5001,S$210,BD!$A$3:$A$5001,"&gt;="&amp;$C$7,BD!$A$3:$A$5001,"&lt;="&amp;$B228,BD!$Y$3:$Y$5001,"&lt;&gt;"))))</f>
        <v/>
      </c>
      <c r="T228" s="43" t="str">
        <f>IF(OR($B228="",$A228&gt;$B$9,T$210=""),"",IF(COUNTIFS(BD!$B$3:$B$5001,T$210,BD!$A$3:$A$5001,"&gt;="&amp;$C$7,BD!$A$3:$A$5001,"&lt;="&amp;$B228,BD!$Y$3:$Y$5001,"&lt;&gt;")=0,"",SUMIFS(BD!$Y$3:$Y$5001,BD!$B$3:$B$5001,T$210,BD!$A$3:$A$5001,_xlfn.MAXIFS(BD!$A$3:$A$5001,BD!$B$3:$B$5001,T$210,BD!$A$3:$A$5001,"&gt;="&amp;$C$7,BD!$A$3:$A$5001,"&lt;="&amp;$B228,BD!$Y$3:$Y$5001,"&lt;&gt;"))))</f>
        <v/>
      </c>
      <c r="U228" s="43" t="str">
        <f>IF(OR($B228="",$A228&gt;$B$9,U$210=""),"",IF(COUNTIFS(BD!$B$3:$B$5001,U$210,BD!$A$3:$A$5001,"&gt;="&amp;$C$7,BD!$A$3:$A$5001,"&lt;="&amp;$B228,BD!$Y$3:$Y$5001,"&lt;&gt;")=0,"",SUMIFS(BD!$Y$3:$Y$5001,BD!$B$3:$B$5001,U$210,BD!$A$3:$A$5001,_xlfn.MAXIFS(BD!$A$3:$A$5001,BD!$B$3:$B$5001,U$210,BD!$A$3:$A$5001,"&gt;="&amp;$C$7,BD!$A$3:$A$5001,"&lt;="&amp;$B228,BD!$Y$3:$Y$5001,"&lt;&gt;"))))</f>
        <v/>
      </c>
      <c r="V228" s="43" t="str">
        <f>IF(OR($B228="",$A228&gt;$B$9,V$210=""),"",IF(COUNTIFS(BD!$B$3:$B$5001,V$210,BD!$A$3:$A$5001,"&gt;="&amp;$C$7,BD!$A$3:$A$5001,"&lt;="&amp;$B228,BD!$Y$3:$Y$5001,"&lt;&gt;")=0,"",SUMIFS(BD!$Y$3:$Y$5001,BD!$B$3:$B$5001,V$210,BD!$A$3:$A$5001,_xlfn.MAXIFS(BD!$A$3:$A$5001,BD!$B$3:$B$5001,V$210,BD!$A$3:$A$5001,"&gt;="&amp;$C$7,BD!$A$3:$A$5001,"&lt;="&amp;$B228,BD!$Y$3:$Y$5001,"&lt;&gt;"))))</f>
        <v/>
      </c>
    </row>
    <row r="229">
      <c r="A229" s="38">
        <v>19</v>
      </c>
      <c r="B229" s="42">
        <f>$B$30</f>
        <v>46314</v>
      </c>
      <c r="C229" s="43" t="str">
        <f>IF(OR($B229="",$A229&gt;$B$9,C$210=""),"",IF(COUNTIFS(BD!$B$3:$B$5001,C$210,BD!$A$3:$A$5001,"&gt;="&amp;$C$7,BD!$A$3:$A$5001,"&lt;="&amp;$B229,BD!$Y$3:$Y$5001,"&lt;&gt;")=0,"",SUMIFS(BD!$Y$3:$Y$5001,BD!$B$3:$B$5001,C$210,BD!$A$3:$A$5001,_xlfn.MAXIFS(BD!$A$3:$A$5001,BD!$B$3:$B$5001,C$210,BD!$A$3:$A$5001,"&gt;="&amp;$C$7,BD!$A$3:$A$5001,"&lt;="&amp;$B229,BD!$Y$3:$Y$5001,"&lt;&gt;"))))</f>
        <v/>
      </c>
      <c r="D229" s="43" t="str">
        <f>IF(OR($B229="",$A229&gt;$B$9,D$210=""),"",IF(COUNTIFS(BD!$B$3:$B$5001,D$210,BD!$A$3:$A$5001,"&gt;="&amp;$C$7,BD!$A$3:$A$5001,"&lt;="&amp;$B229,BD!$Y$3:$Y$5001,"&lt;&gt;")=0,"",SUMIFS(BD!$Y$3:$Y$5001,BD!$B$3:$B$5001,D$210,BD!$A$3:$A$5001,_xlfn.MAXIFS(BD!$A$3:$A$5001,BD!$B$3:$B$5001,D$210,BD!$A$3:$A$5001,"&gt;="&amp;$C$7,BD!$A$3:$A$5001,"&lt;="&amp;$B229,BD!$Y$3:$Y$5001,"&lt;&gt;"))))</f>
        <v/>
      </c>
      <c r="E229" s="43" t="str">
        <f>IF(OR($B229="",$A229&gt;$B$9,E$210=""),"",IF(COUNTIFS(BD!$B$3:$B$5001,E$210,BD!$A$3:$A$5001,"&gt;="&amp;$C$7,BD!$A$3:$A$5001,"&lt;="&amp;$B229,BD!$Y$3:$Y$5001,"&lt;&gt;")=0,"",SUMIFS(BD!$Y$3:$Y$5001,BD!$B$3:$B$5001,E$210,BD!$A$3:$A$5001,_xlfn.MAXIFS(BD!$A$3:$A$5001,BD!$B$3:$B$5001,E$210,BD!$A$3:$A$5001,"&gt;="&amp;$C$7,BD!$A$3:$A$5001,"&lt;="&amp;$B229,BD!$Y$3:$Y$5001,"&lt;&gt;"))))</f>
        <v/>
      </c>
      <c r="F229" s="43" t="str">
        <f>IF(OR($B229="",$A229&gt;$B$9,F$210=""),"",IF(COUNTIFS(BD!$B$3:$B$5001,F$210,BD!$A$3:$A$5001,"&gt;="&amp;$C$7,BD!$A$3:$A$5001,"&lt;="&amp;$B229,BD!$Y$3:$Y$5001,"&lt;&gt;")=0,"",SUMIFS(BD!$Y$3:$Y$5001,BD!$B$3:$B$5001,F$210,BD!$A$3:$A$5001,_xlfn.MAXIFS(BD!$A$3:$A$5001,BD!$B$3:$B$5001,F$210,BD!$A$3:$A$5001,"&gt;="&amp;$C$7,BD!$A$3:$A$5001,"&lt;="&amp;$B229,BD!$Y$3:$Y$5001,"&lt;&gt;"))))</f>
        <v/>
      </c>
      <c r="G229" s="43" t="str">
        <f>IF(OR($B229="",$A229&gt;$B$9,G$210=""),"",IF(COUNTIFS(BD!$B$3:$B$5001,G$210,BD!$A$3:$A$5001,"&gt;="&amp;$C$7,BD!$A$3:$A$5001,"&lt;="&amp;$B229,BD!$Y$3:$Y$5001,"&lt;&gt;")=0,"",SUMIFS(BD!$Y$3:$Y$5001,BD!$B$3:$B$5001,G$210,BD!$A$3:$A$5001,_xlfn.MAXIFS(BD!$A$3:$A$5001,BD!$B$3:$B$5001,G$210,BD!$A$3:$A$5001,"&gt;="&amp;$C$7,BD!$A$3:$A$5001,"&lt;="&amp;$B229,BD!$Y$3:$Y$5001,"&lt;&gt;"))))</f>
        <v/>
      </c>
      <c r="H229" s="43" t="str">
        <f>IF(OR($B229="",$A229&gt;$B$9,H$210=""),"",IF(COUNTIFS(BD!$B$3:$B$5001,H$210,BD!$A$3:$A$5001,"&gt;="&amp;$C$7,BD!$A$3:$A$5001,"&lt;="&amp;$B229,BD!$Y$3:$Y$5001,"&lt;&gt;")=0,"",SUMIFS(BD!$Y$3:$Y$5001,BD!$B$3:$B$5001,H$210,BD!$A$3:$A$5001,_xlfn.MAXIFS(BD!$A$3:$A$5001,BD!$B$3:$B$5001,H$210,BD!$A$3:$A$5001,"&gt;="&amp;$C$7,BD!$A$3:$A$5001,"&lt;="&amp;$B229,BD!$Y$3:$Y$5001,"&lt;&gt;"))))</f>
        <v/>
      </c>
      <c r="I229" s="43" t="str">
        <f>IF(OR($B229="",$A229&gt;$B$9,I$210=""),"",IF(COUNTIFS(BD!$B$3:$B$5001,I$210,BD!$A$3:$A$5001,"&gt;="&amp;$C$7,BD!$A$3:$A$5001,"&lt;="&amp;$B229,BD!$Y$3:$Y$5001,"&lt;&gt;")=0,"",SUMIFS(BD!$Y$3:$Y$5001,BD!$B$3:$B$5001,I$210,BD!$A$3:$A$5001,_xlfn.MAXIFS(BD!$A$3:$A$5001,BD!$B$3:$B$5001,I$210,BD!$A$3:$A$5001,"&gt;="&amp;$C$7,BD!$A$3:$A$5001,"&lt;="&amp;$B229,BD!$Y$3:$Y$5001,"&lt;&gt;"))))</f>
        <v/>
      </c>
      <c r="J229" s="43" t="str">
        <f>IF(OR($B229="",$A229&gt;$B$9,J$210=""),"",IF(COUNTIFS(BD!$B$3:$B$5001,J$210,BD!$A$3:$A$5001,"&gt;="&amp;$C$7,BD!$A$3:$A$5001,"&lt;="&amp;$B229,BD!$Y$3:$Y$5001,"&lt;&gt;")=0,"",SUMIFS(BD!$Y$3:$Y$5001,BD!$B$3:$B$5001,J$210,BD!$A$3:$A$5001,_xlfn.MAXIFS(BD!$A$3:$A$5001,BD!$B$3:$B$5001,J$210,BD!$A$3:$A$5001,"&gt;="&amp;$C$7,BD!$A$3:$A$5001,"&lt;="&amp;$B229,BD!$Y$3:$Y$5001,"&lt;&gt;"))))</f>
        <v/>
      </c>
      <c r="K229" s="43" t="str">
        <f>IF(OR($B229="",$A229&gt;$B$9,K$210=""),"",IF(COUNTIFS(BD!$B$3:$B$5001,K$210,BD!$A$3:$A$5001,"&gt;="&amp;$C$7,BD!$A$3:$A$5001,"&lt;="&amp;$B229,BD!$Y$3:$Y$5001,"&lt;&gt;")=0,"",SUMIFS(BD!$Y$3:$Y$5001,BD!$B$3:$B$5001,K$210,BD!$A$3:$A$5001,_xlfn.MAXIFS(BD!$A$3:$A$5001,BD!$B$3:$B$5001,K$210,BD!$A$3:$A$5001,"&gt;="&amp;$C$7,BD!$A$3:$A$5001,"&lt;="&amp;$B229,BD!$Y$3:$Y$5001,"&lt;&gt;"))))</f>
        <v/>
      </c>
      <c r="L229" s="43" t="str">
        <f>IF(OR($B229="",$A229&gt;$B$9,L$210=""),"",IF(COUNTIFS(BD!$B$3:$B$5001,L$210,BD!$A$3:$A$5001,"&gt;="&amp;$C$7,BD!$A$3:$A$5001,"&lt;="&amp;$B229,BD!$Y$3:$Y$5001,"&lt;&gt;")=0,"",SUMIFS(BD!$Y$3:$Y$5001,BD!$B$3:$B$5001,L$210,BD!$A$3:$A$5001,_xlfn.MAXIFS(BD!$A$3:$A$5001,BD!$B$3:$B$5001,L$210,BD!$A$3:$A$5001,"&gt;="&amp;$C$7,BD!$A$3:$A$5001,"&lt;="&amp;$B229,BD!$Y$3:$Y$5001,"&lt;&gt;"))))</f>
        <v/>
      </c>
      <c r="M229" s="43" t="str">
        <f>IF(OR($B229="",$A229&gt;$B$9,M$210=""),"",IF(COUNTIFS(BD!$B$3:$B$5001,M$210,BD!$A$3:$A$5001,"&gt;="&amp;$C$7,BD!$A$3:$A$5001,"&lt;="&amp;$B229,BD!$Y$3:$Y$5001,"&lt;&gt;")=0,"",SUMIFS(BD!$Y$3:$Y$5001,BD!$B$3:$B$5001,M$210,BD!$A$3:$A$5001,_xlfn.MAXIFS(BD!$A$3:$A$5001,BD!$B$3:$B$5001,M$210,BD!$A$3:$A$5001,"&gt;="&amp;$C$7,BD!$A$3:$A$5001,"&lt;="&amp;$B229,BD!$Y$3:$Y$5001,"&lt;&gt;"))))</f>
        <v/>
      </c>
      <c r="N229" s="43" t="str">
        <f>IF(OR($B229="",$A229&gt;$B$9,N$210=""),"",IF(COUNTIFS(BD!$B$3:$B$5001,N$210,BD!$A$3:$A$5001,"&gt;="&amp;$C$7,BD!$A$3:$A$5001,"&lt;="&amp;$B229,BD!$Y$3:$Y$5001,"&lt;&gt;")=0,"",SUMIFS(BD!$Y$3:$Y$5001,BD!$B$3:$B$5001,N$210,BD!$A$3:$A$5001,_xlfn.MAXIFS(BD!$A$3:$A$5001,BD!$B$3:$B$5001,N$210,BD!$A$3:$A$5001,"&gt;="&amp;$C$7,BD!$A$3:$A$5001,"&lt;="&amp;$B229,BD!$Y$3:$Y$5001,"&lt;&gt;"))))</f>
        <v/>
      </c>
      <c r="O229" s="43" t="str">
        <f>IF(OR($B229="",$A229&gt;$B$9,O$210=""),"",IF(COUNTIFS(BD!$B$3:$B$5001,O$210,BD!$A$3:$A$5001,"&gt;="&amp;$C$7,BD!$A$3:$A$5001,"&lt;="&amp;$B229,BD!$Y$3:$Y$5001,"&lt;&gt;")=0,"",SUMIFS(BD!$Y$3:$Y$5001,BD!$B$3:$B$5001,O$210,BD!$A$3:$A$5001,_xlfn.MAXIFS(BD!$A$3:$A$5001,BD!$B$3:$B$5001,O$210,BD!$A$3:$A$5001,"&gt;="&amp;$C$7,BD!$A$3:$A$5001,"&lt;="&amp;$B229,BD!$Y$3:$Y$5001,"&lt;&gt;"))))</f>
        <v/>
      </c>
      <c r="P229" s="43" t="str">
        <f>IF(OR($B229="",$A229&gt;$B$9,P$210=""),"",IF(COUNTIFS(BD!$B$3:$B$5001,P$210,BD!$A$3:$A$5001,"&gt;="&amp;$C$7,BD!$A$3:$A$5001,"&lt;="&amp;$B229,BD!$Y$3:$Y$5001,"&lt;&gt;")=0,"",SUMIFS(BD!$Y$3:$Y$5001,BD!$B$3:$B$5001,P$210,BD!$A$3:$A$5001,_xlfn.MAXIFS(BD!$A$3:$A$5001,BD!$B$3:$B$5001,P$210,BD!$A$3:$A$5001,"&gt;="&amp;$C$7,BD!$A$3:$A$5001,"&lt;="&amp;$B229,BD!$Y$3:$Y$5001,"&lt;&gt;"))))</f>
        <v/>
      </c>
      <c r="Q229" s="43" t="str">
        <f>IF(OR($B229="",$A229&gt;$B$9,Q$210=""),"",IF(COUNTIFS(BD!$B$3:$B$5001,Q$210,BD!$A$3:$A$5001,"&gt;="&amp;$C$7,BD!$A$3:$A$5001,"&lt;="&amp;$B229,BD!$Y$3:$Y$5001,"&lt;&gt;")=0,"",SUMIFS(BD!$Y$3:$Y$5001,BD!$B$3:$B$5001,Q$210,BD!$A$3:$A$5001,_xlfn.MAXIFS(BD!$A$3:$A$5001,BD!$B$3:$B$5001,Q$210,BD!$A$3:$A$5001,"&gt;="&amp;$C$7,BD!$A$3:$A$5001,"&lt;="&amp;$B229,BD!$Y$3:$Y$5001,"&lt;&gt;"))))</f>
        <v/>
      </c>
      <c r="R229" s="43" t="str">
        <f>IF(OR($B229="",$A229&gt;$B$9,R$210=""),"",IF(COUNTIFS(BD!$B$3:$B$5001,R$210,BD!$A$3:$A$5001,"&gt;="&amp;$C$7,BD!$A$3:$A$5001,"&lt;="&amp;$B229,BD!$Y$3:$Y$5001,"&lt;&gt;")=0,"",SUMIFS(BD!$Y$3:$Y$5001,BD!$B$3:$B$5001,R$210,BD!$A$3:$A$5001,_xlfn.MAXIFS(BD!$A$3:$A$5001,BD!$B$3:$B$5001,R$210,BD!$A$3:$A$5001,"&gt;="&amp;$C$7,BD!$A$3:$A$5001,"&lt;="&amp;$B229,BD!$Y$3:$Y$5001,"&lt;&gt;"))))</f>
        <v/>
      </c>
      <c r="S229" s="43" t="str">
        <f>IF(OR($B229="",$A229&gt;$B$9,S$210=""),"",IF(COUNTIFS(BD!$B$3:$B$5001,S$210,BD!$A$3:$A$5001,"&gt;="&amp;$C$7,BD!$A$3:$A$5001,"&lt;="&amp;$B229,BD!$Y$3:$Y$5001,"&lt;&gt;")=0,"",SUMIFS(BD!$Y$3:$Y$5001,BD!$B$3:$B$5001,S$210,BD!$A$3:$A$5001,_xlfn.MAXIFS(BD!$A$3:$A$5001,BD!$B$3:$B$5001,S$210,BD!$A$3:$A$5001,"&gt;="&amp;$C$7,BD!$A$3:$A$5001,"&lt;="&amp;$B229,BD!$Y$3:$Y$5001,"&lt;&gt;"))))</f>
        <v/>
      </c>
      <c r="T229" s="43" t="str">
        <f>IF(OR($B229="",$A229&gt;$B$9,T$210=""),"",IF(COUNTIFS(BD!$B$3:$B$5001,T$210,BD!$A$3:$A$5001,"&gt;="&amp;$C$7,BD!$A$3:$A$5001,"&lt;="&amp;$B229,BD!$Y$3:$Y$5001,"&lt;&gt;")=0,"",SUMIFS(BD!$Y$3:$Y$5001,BD!$B$3:$B$5001,T$210,BD!$A$3:$A$5001,_xlfn.MAXIFS(BD!$A$3:$A$5001,BD!$B$3:$B$5001,T$210,BD!$A$3:$A$5001,"&gt;="&amp;$C$7,BD!$A$3:$A$5001,"&lt;="&amp;$B229,BD!$Y$3:$Y$5001,"&lt;&gt;"))))</f>
        <v/>
      </c>
      <c r="U229" s="43" t="str">
        <f>IF(OR($B229="",$A229&gt;$B$9,U$210=""),"",IF(COUNTIFS(BD!$B$3:$B$5001,U$210,BD!$A$3:$A$5001,"&gt;="&amp;$C$7,BD!$A$3:$A$5001,"&lt;="&amp;$B229,BD!$Y$3:$Y$5001,"&lt;&gt;")=0,"",SUMIFS(BD!$Y$3:$Y$5001,BD!$B$3:$B$5001,U$210,BD!$A$3:$A$5001,_xlfn.MAXIFS(BD!$A$3:$A$5001,BD!$B$3:$B$5001,U$210,BD!$A$3:$A$5001,"&gt;="&amp;$C$7,BD!$A$3:$A$5001,"&lt;="&amp;$B229,BD!$Y$3:$Y$5001,"&lt;&gt;"))))</f>
        <v/>
      </c>
      <c r="V229" s="43" t="str">
        <f>IF(OR($B229="",$A229&gt;$B$9,V$210=""),"",IF(COUNTIFS(BD!$B$3:$B$5001,V$210,BD!$A$3:$A$5001,"&gt;="&amp;$C$7,BD!$A$3:$A$5001,"&lt;="&amp;$B229,BD!$Y$3:$Y$5001,"&lt;&gt;")=0,"",SUMIFS(BD!$Y$3:$Y$5001,BD!$B$3:$B$5001,V$210,BD!$A$3:$A$5001,_xlfn.MAXIFS(BD!$A$3:$A$5001,BD!$B$3:$B$5001,V$210,BD!$A$3:$A$5001,"&gt;="&amp;$C$7,BD!$A$3:$A$5001,"&lt;="&amp;$B229,BD!$Y$3:$Y$5001,"&lt;&gt;"))))</f>
        <v/>
      </c>
    </row>
    <row r="230">
      <c r="A230" s="38">
        <v>20</v>
      </c>
      <c r="B230" s="42">
        <f>$B$31</f>
        <v>46315</v>
      </c>
      <c r="C230" s="43" t="str">
        <f>IF(OR($B230="",$A230&gt;$B$9,C$210=""),"",IF(COUNTIFS(BD!$B$3:$B$5001,C$210,BD!$A$3:$A$5001,"&gt;="&amp;$C$7,BD!$A$3:$A$5001,"&lt;="&amp;$B230,BD!$Y$3:$Y$5001,"&lt;&gt;")=0,"",SUMIFS(BD!$Y$3:$Y$5001,BD!$B$3:$B$5001,C$210,BD!$A$3:$A$5001,_xlfn.MAXIFS(BD!$A$3:$A$5001,BD!$B$3:$B$5001,C$210,BD!$A$3:$A$5001,"&gt;="&amp;$C$7,BD!$A$3:$A$5001,"&lt;="&amp;$B230,BD!$Y$3:$Y$5001,"&lt;&gt;"))))</f>
        <v/>
      </c>
      <c r="D230" s="43" t="str">
        <f>IF(OR($B230="",$A230&gt;$B$9,D$210=""),"",IF(COUNTIFS(BD!$B$3:$B$5001,D$210,BD!$A$3:$A$5001,"&gt;="&amp;$C$7,BD!$A$3:$A$5001,"&lt;="&amp;$B230,BD!$Y$3:$Y$5001,"&lt;&gt;")=0,"",SUMIFS(BD!$Y$3:$Y$5001,BD!$B$3:$B$5001,D$210,BD!$A$3:$A$5001,_xlfn.MAXIFS(BD!$A$3:$A$5001,BD!$B$3:$B$5001,D$210,BD!$A$3:$A$5001,"&gt;="&amp;$C$7,BD!$A$3:$A$5001,"&lt;="&amp;$B230,BD!$Y$3:$Y$5001,"&lt;&gt;"))))</f>
        <v/>
      </c>
      <c r="E230" s="43" t="str">
        <f>IF(OR($B230="",$A230&gt;$B$9,E$210=""),"",IF(COUNTIFS(BD!$B$3:$B$5001,E$210,BD!$A$3:$A$5001,"&gt;="&amp;$C$7,BD!$A$3:$A$5001,"&lt;="&amp;$B230,BD!$Y$3:$Y$5001,"&lt;&gt;")=0,"",SUMIFS(BD!$Y$3:$Y$5001,BD!$B$3:$B$5001,E$210,BD!$A$3:$A$5001,_xlfn.MAXIFS(BD!$A$3:$A$5001,BD!$B$3:$B$5001,E$210,BD!$A$3:$A$5001,"&gt;="&amp;$C$7,BD!$A$3:$A$5001,"&lt;="&amp;$B230,BD!$Y$3:$Y$5001,"&lt;&gt;"))))</f>
        <v/>
      </c>
      <c r="F230" s="43" t="str">
        <f>IF(OR($B230="",$A230&gt;$B$9,F$210=""),"",IF(COUNTIFS(BD!$B$3:$B$5001,F$210,BD!$A$3:$A$5001,"&gt;="&amp;$C$7,BD!$A$3:$A$5001,"&lt;="&amp;$B230,BD!$Y$3:$Y$5001,"&lt;&gt;")=0,"",SUMIFS(BD!$Y$3:$Y$5001,BD!$B$3:$B$5001,F$210,BD!$A$3:$A$5001,_xlfn.MAXIFS(BD!$A$3:$A$5001,BD!$B$3:$B$5001,F$210,BD!$A$3:$A$5001,"&gt;="&amp;$C$7,BD!$A$3:$A$5001,"&lt;="&amp;$B230,BD!$Y$3:$Y$5001,"&lt;&gt;"))))</f>
        <v/>
      </c>
      <c r="G230" s="43" t="str">
        <f>IF(OR($B230="",$A230&gt;$B$9,G$210=""),"",IF(COUNTIFS(BD!$B$3:$B$5001,G$210,BD!$A$3:$A$5001,"&gt;="&amp;$C$7,BD!$A$3:$A$5001,"&lt;="&amp;$B230,BD!$Y$3:$Y$5001,"&lt;&gt;")=0,"",SUMIFS(BD!$Y$3:$Y$5001,BD!$B$3:$B$5001,G$210,BD!$A$3:$A$5001,_xlfn.MAXIFS(BD!$A$3:$A$5001,BD!$B$3:$B$5001,G$210,BD!$A$3:$A$5001,"&gt;="&amp;$C$7,BD!$A$3:$A$5001,"&lt;="&amp;$B230,BD!$Y$3:$Y$5001,"&lt;&gt;"))))</f>
        <v/>
      </c>
      <c r="H230" s="43" t="str">
        <f>IF(OR($B230="",$A230&gt;$B$9,H$210=""),"",IF(COUNTIFS(BD!$B$3:$B$5001,H$210,BD!$A$3:$A$5001,"&gt;="&amp;$C$7,BD!$A$3:$A$5001,"&lt;="&amp;$B230,BD!$Y$3:$Y$5001,"&lt;&gt;")=0,"",SUMIFS(BD!$Y$3:$Y$5001,BD!$B$3:$B$5001,H$210,BD!$A$3:$A$5001,_xlfn.MAXIFS(BD!$A$3:$A$5001,BD!$B$3:$B$5001,H$210,BD!$A$3:$A$5001,"&gt;="&amp;$C$7,BD!$A$3:$A$5001,"&lt;="&amp;$B230,BD!$Y$3:$Y$5001,"&lt;&gt;"))))</f>
        <v/>
      </c>
      <c r="I230" s="43" t="str">
        <f>IF(OR($B230="",$A230&gt;$B$9,I$210=""),"",IF(COUNTIFS(BD!$B$3:$B$5001,I$210,BD!$A$3:$A$5001,"&gt;="&amp;$C$7,BD!$A$3:$A$5001,"&lt;="&amp;$B230,BD!$Y$3:$Y$5001,"&lt;&gt;")=0,"",SUMIFS(BD!$Y$3:$Y$5001,BD!$B$3:$B$5001,I$210,BD!$A$3:$A$5001,_xlfn.MAXIFS(BD!$A$3:$A$5001,BD!$B$3:$B$5001,I$210,BD!$A$3:$A$5001,"&gt;="&amp;$C$7,BD!$A$3:$A$5001,"&lt;="&amp;$B230,BD!$Y$3:$Y$5001,"&lt;&gt;"))))</f>
        <v/>
      </c>
      <c r="J230" s="43" t="str">
        <f>IF(OR($B230="",$A230&gt;$B$9,J$210=""),"",IF(COUNTIFS(BD!$B$3:$B$5001,J$210,BD!$A$3:$A$5001,"&gt;="&amp;$C$7,BD!$A$3:$A$5001,"&lt;="&amp;$B230,BD!$Y$3:$Y$5001,"&lt;&gt;")=0,"",SUMIFS(BD!$Y$3:$Y$5001,BD!$B$3:$B$5001,J$210,BD!$A$3:$A$5001,_xlfn.MAXIFS(BD!$A$3:$A$5001,BD!$B$3:$B$5001,J$210,BD!$A$3:$A$5001,"&gt;="&amp;$C$7,BD!$A$3:$A$5001,"&lt;="&amp;$B230,BD!$Y$3:$Y$5001,"&lt;&gt;"))))</f>
        <v/>
      </c>
      <c r="K230" s="43" t="str">
        <f>IF(OR($B230="",$A230&gt;$B$9,K$210=""),"",IF(COUNTIFS(BD!$B$3:$B$5001,K$210,BD!$A$3:$A$5001,"&gt;="&amp;$C$7,BD!$A$3:$A$5001,"&lt;="&amp;$B230,BD!$Y$3:$Y$5001,"&lt;&gt;")=0,"",SUMIFS(BD!$Y$3:$Y$5001,BD!$B$3:$B$5001,K$210,BD!$A$3:$A$5001,_xlfn.MAXIFS(BD!$A$3:$A$5001,BD!$B$3:$B$5001,K$210,BD!$A$3:$A$5001,"&gt;="&amp;$C$7,BD!$A$3:$A$5001,"&lt;="&amp;$B230,BD!$Y$3:$Y$5001,"&lt;&gt;"))))</f>
        <v/>
      </c>
      <c r="L230" s="43" t="str">
        <f>IF(OR($B230="",$A230&gt;$B$9,L$210=""),"",IF(COUNTIFS(BD!$B$3:$B$5001,L$210,BD!$A$3:$A$5001,"&gt;="&amp;$C$7,BD!$A$3:$A$5001,"&lt;="&amp;$B230,BD!$Y$3:$Y$5001,"&lt;&gt;")=0,"",SUMIFS(BD!$Y$3:$Y$5001,BD!$B$3:$B$5001,L$210,BD!$A$3:$A$5001,_xlfn.MAXIFS(BD!$A$3:$A$5001,BD!$B$3:$B$5001,L$210,BD!$A$3:$A$5001,"&gt;="&amp;$C$7,BD!$A$3:$A$5001,"&lt;="&amp;$B230,BD!$Y$3:$Y$5001,"&lt;&gt;"))))</f>
        <v/>
      </c>
      <c r="M230" s="43" t="str">
        <f>IF(OR($B230="",$A230&gt;$B$9,M$210=""),"",IF(COUNTIFS(BD!$B$3:$B$5001,M$210,BD!$A$3:$A$5001,"&gt;="&amp;$C$7,BD!$A$3:$A$5001,"&lt;="&amp;$B230,BD!$Y$3:$Y$5001,"&lt;&gt;")=0,"",SUMIFS(BD!$Y$3:$Y$5001,BD!$B$3:$B$5001,M$210,BD!$A$3:$A$5001,_xlfn.MAXIFS(BD!$A$3:$A$5001,BD!$B$3:$B$5001,M$210,BD!$A$3:$A$5001,"&gt;="&amp;$C$7,BD!$A$3:$A$5001,"&lt;="&amp;$B230,BD!$Y$3:$Y$5001,"&lt;&gt;"))))</f>
        <v/>
      </c>
      <c r="N230" s="43" t="str">
        <f>IF(OR($B230="",$A230&gt;$B$9,N$210=""),"",IF(COUNTIFS(BD!$B$3:$B$5001,N$210,BD!$A$3:$A$5001,"&gt;="&amp;$C$7,BD!$A$3:$A$5001,"&lt;="&amp;$B230,BD!$Y$3:$Y$5001,"&lt;&gt;")=0,"",SUMIFS(BD!$Y$3:$Y$5001,BD!$B$3:$B$5001,N$210,BD!$A$3:$A$5001,_xlfn.MAXIFS(BD!$A$3:$A$5001,BD!$B$3:$B$5001,N$210,BD!$A$3:$A$5001,"&gt;="&amp;$C$7,BD!$A$3:$A$5001,"&lt;="&amp;$B230,BD!$Y$3:$Y$5001,"&lt;&gt;"))))</f>
        <v/>
      </c>
      <c r="O230" s="43" t="str">
        <f>IF(OR($B230="",$A230&gt;$B$9,O$210=""),"",IF(COUNTIFS(BD!$B$3:$B$5001,O$210,BD!$A$3:$A$5001,"&gt;="&amp;$C$7,BD!$A$3:$A$5001,"&lt;="&amp;$B230,BD!$Y$3:$Y$5001,"&lt;&gt;")=0,"",SUMIFS(BD!$Y$3:$Y$5001,BD!$B$3:$B$5001,O$210,BD!$A$3:$A$5001,_xlfn.MAXIFS(BD!$A$3:$A$5001,BD!$B$3:$B$5001,O$210,BD!$A$3:$A$5001,"&gt;="&amp;$C$7,BD!$A$3:$A$5001,"&lt;="&amp;$B230,BD!$Y$3:$Y$5001,"&lt;&gt;"))))</f>
        <v/>
      </c>
      <c r="P230" s="43" t="str">
        <f>IF(OR($B230="",$A230&gt;$B$9,P$210=""),"",IF(COUNTIFS(BD!$B$3:$B$5001,P$210,BD!$A$3:$A$5001,"&gt;="&amp;$C$7,BD!$A$3:$A$5001,"&lt;="&amp;$B230,BD!$Y$3:$Y$5001,"&lt;&gt;")=0,"",SUMIFS(BD!$Y$3:$Y$5001,BD!$B$3:$B$5001,P$210,BD!$A$3:$A$5001,_xlfn.MAXIFS(BD!$A$3:$A$5001,BD!$B$3:$B$5001,P$210,BD!$A$3:$A$5001,"&gt;="&amp;$C$7,BD!$A$3:$A$5001,"&lt;="&amp;$B230,BD!$Y$3:$Y$5001,"&lt;&gt;"))))</f>
        <v/>
      </c>
      <c r="Q230" s="43" t="str">
        <f>IF(OR($B230="",$A230&gt;$B$9,Q$210=""),"",IF(COUNTIFS(BD!$B$3:$B$5001,Q$210,BD!$A$3:$A$5001,"&gt;="&amp;$C$7,BD!$A$3:$A$5001,"&lt;="&amp;$B230,BD!$Y$3:$Y$5001,"&lt;&gt;")=0,"",SUMIFS(BD!$Y$3:$Y$5001,BD!$B$3:$B$5001,Q$210,BD!$A$3:$A$5001,_xlfn.MAXIFS(BD!$A$3:$A$5001,BD!$B$3:$B$5001,Q$210,BD!$A$3:$A$5001,"&gt;="&amp;$C$7,BD!$A$3:$A$5001,"&lt;="&amp;$B230,BD!$Y$3:$Y$5001,"&lt;&gt;"))))</f>
        <v/>
      </c>
      <c r="R230" s="43" t="str">
        <f>IF(OR($B230="",$A230&gt;$B$9,R$210=""),"",IF(COUNTIFS(BD!$B$3:$B$5001,R$210,BD!$A$3:$A$5001,"&gt;="&amp;$C$7,BD!$A$3:$A$5001,"&lt;="&amp;$B230,BD!$Y$3:$Y$5001,"&lt;&gt;")=0,"",SUMIFS(BD!$Y$3:$Y$5001,BD!$B$3:$B$5001,R$210,BD!$A$3:$A$5001,_xlfn.MAXIFS(BD!$A$3:$A$5001,BD!$B$3:$B$5001,R$210,BD!$A$3:$A$5001,"&gt;="&amp;$C$7,BD!$A$3:$A$5001,"&lt;="&amp;$B230,BD!$Y$3:$Y$5001,"&lt;&gt;"))))</f>
        <v/>
      </c>
      <c r="S230" s="43" t="str">
        <f>IF(OR($B230="",$A230&gt;$B$9,S$210=""),"",IF(COUNTIFS(BD!$B$3:$B$5001,S$210,BD!$A$3:$A$5001,"&gt;="&amp;$C$7,BD!$A$3:$A$5001,"&lt;="&amp;$B230,BD!$Y$3:$Y$5001,"&lt;&gt;")=0,"",SUMIFS(BD!$Y$3:$Y$5001,BD!$B$3:$B$5001,S$210,BD!$A$3:$A$5001,_xlfn.MAXIFS(BD!$A$3:$A$5001,BD!$B$3:$B$5001,S$210,BD!$A$3:$A$5001,"&gt;="&amp;$C$7,BD!$A$3:$A$5001,"&lt;="&amp;$B230,BD!$Y$3:$Y$5001,"&lt;&gt;"))))</f>
        <v/>
      </c>
      <c r="T230" s="43" t="str">
        <f>IF(OR($B230="",$A230&gt;$B$9,T$210=""),"",IF(COUNTIFS(BD!$B$3:$B$5001,T$210,BD!$A$3:$A$5001,"&gt;="&amp;$C$7,BD!$A$3:$A$5001,"&lt;="&amp;$B230,BD!$Y$3:$Y$5001,"&lt;&gt;")=0,"",SUMIFS(BD!$Y$3:$Y$5001,BD!$B$3:$B$5001,T$210,BD!$A$3:$A$5001,_xlfn.MAXIFS(BD!$A$3:$A$5001,BD!$B$3:$B$5001,T$210,BD!$A$3:$A$5001,"&gt;="&amp;$C$7,BD!$A$3:$A$5001,"&lt;="&amp;$B230,BD!$Y$3:$Y$5001,"&lt;&gt;"))))</f>
        <v/>
      </c>
      <c r="U230" s="43" t="str">
        <f>IF(OR($B230="",$A230&gt;$B$9,U$210=""),"",IF(COUNTIFS(BD!$B$3:$B$5001,U$210,BD!$A$3:$A$5001,"&gt;="&amp;$C$7,BD!$A$3:$A$5001,"&lt;="&amp;$B230,BD!$Y$3:$Y$5001,"&lt;&gt;")=0,"",SUMIFS(BD!$Y$3:$Y$5001,BD!$B$3:$B$5001,U$210,BD!$A$3:$A$5001,_xlfn.MAXIFS(BD!$A$3:$A$5001,BD!$B$3:$B$5001,U$210,BD!$A$3:$A$5001,"&gt;="&amp;$C$7,BD!$A$3:$A$5001,"&lt;="&amp;$B230,BD!$Y$3:$Y$5001,"&lt;&gt;"))))</f>
        <v/>
      </c>
      <c r="V230" s="43" t="str">
        <f>IF(OR($B230="",$A230&gt;$B$9,V$210=""),"",IF(COUNTIFS(BD!$B$3:$B$5001,V$210,BD!$A$3:$A$5001,"&gt;="&amp;$C$7,BD!$A$3:$A$5001,"&lt;="&amp;$B230,BD!$Y$3:$Y$5001,"&lt;&gt;")=0,"",SUMIFS(BD!$Y$3:$Y$5001,BD!$B$3:$B$5001,V$210,BD!$A$3:$A$5001,_xlfn.MAXIFS(BD!$A$3:$A$5001,BD!$B$3:$B$5001,V$210,BD!$A$3:$A$5001,"&gt;="&amp;$C$7,BD!$A$3:$A$5001,"&lt;="&amp;$B230,BD!$Y$3:$Y$5001,"&lt;&gt;"))))</f>
        <v/>
      </c>
    </row>
    <row r="231">
      <c r="A231" s="38">
        <v>21</v>
      </c>
      <c r="B231" s="42">
        <f>$B$32</f>
        <v>46316</v>
      </c>
      <c r="C231" s="43" t="str">
        <f>IF(OR($B231="",$A231&gt;$B$9,C$210=""),"",IF(COUNTIFS(BD!$B$3:$B$5001,C$210,BD!$A$3:$A$5001,"&gt;="&amp;$C$7,BD!$A$3:$A$5001,"&lt;="&amp;$B231,BD!$Y$3:$Y$5001,"&lt;&gt;")=0,"",SUMIFS(BD!$Y$3:$Y$5001,BD!$B$3:$B$5001,C$210,BD!$A$3:$A$5001,_xlfn.MAXIFS(BD!$A$3:$A$5001,BD!$B$3:$B$5001,C$210,BD!$A$3:$A$5001,"&gt;="&amp;$C$7,BD!$A$3:$A$5001,"&lt;="&amp;$B231,BD!$Y$3:$Y$5001,"&lt;&gt;"))))</f>
        <v/>
      </c>
      <c r="D231" s="43" t="str">
        <f>IF(OR($B231="",$A231&gt;$B$9,D$210=""),"",IF(COUNTIFS(BD!$B$3:$B$5001,D$210,BD!$A$3:$A$5001,"&gt;="&amp;$C$7,BD!$A$3:$A$5001,"&lt;="&amp;$B231,BD!$Y$3:$Y$5001,"&lt;&gt;")=0,"",SUMIFS(BD!$Y$3:$Y$5001,BD!$B$3:$B$5001,D$210,BD!$A$3:$A$5001,_xlfn.MAXIFS(BD!$A$3:$A$5001,BD!$B$3:$B$5001,D$210,BD!$A$3:$A$5001,"&gt;="&amp;$C$7,BD!$A$3:$A$5001,"&lt;="&amp;$B231,BD!$Y$3:$Y$5001,"&lt;&gt;"))))</f>
        <v/>
      </c>
      <c r="E231" s="43" t="str">
        <f>IF(OR($B231="",$A231&gt;$B$9,E$210=""),"",IF(COUNTIFS(BD!$B$3:$B$5001,E$210,BD!$A$3:$A$5001,"&gt;="&amp;$C$7,BD!$A$3:$A$5001,"&lt;="&amp;$B231,BD!$Y$3:$Y$5001,"&lt;&gt;")=0,"",SUMIFS(BD!$Y$3:$Y$5001,BD!$B$3:$B$5001,E$210,BD!$A$3:$A$5001,_xlfn.MAXIFS(BD!$A$3:$A$5001,BD!$B$3:$B$5001,E$210,BD!$A$3:$A$5001,"&gt;="&amp;$C$7,BD!$A$3:$A$5001,"&lt;="&amp;$B231,BD!$Y$3:$Y$5001,"&lt;&gt;"))))</f>
        <v/>
      </c>
      <c r="F231" s="43" t="str">
        <f>IF(OR($B231="",$A231&gt;$B$9,F$210=""),"",IF(COUNTIFS(BD!$B$3:$B$5001,F$210,BD!$A$3:$A$5001,"&gt;="&amp;$C$7,BD!$A$3:$A$5001,"&lt;="&amp;$B231,BD!$Y$3:$Y$5001,"&lt;&gt;")=0,"",SUMIFS(BD!$Y$3:$Y$5001,BD!$B$3:$B$5001,F$210,BD!$A$3:$A$5001,_xlfn.MAXIFS(BD!$A$3:$A$5001,BD!$B$3:$B$5001,F$210,BD!$A$3:$A$5001,"&gt;="&amp;$C$7,BD!$A$3:$A$5001,"&lt;="&amp;$B231,BD!$Y$3:$Y$5001,"&lt;&gt;"))))</f>
        <v/>
      </c>
      <c r="G231" s="43" t="str">
        <f>IF(OR($B231="",$A231&gt;$B$9,G$210=""),"",IF(COUNTIFS(BD!$B$3:$B$5001,G$210,BD!$A$3:$A$5001,"&gt;="&amp;$C$7,BD!$A$3:$A$5001,"&lt;="&amp;$B231,BD!$Y$3:$Y$5001,"&lt;&gt;")=0,"",SUMIFS(BD!$Y$3:$Y$5001,BD!$B$3:$B$5001,G$210,BD!$A$3:$A$5001,_xlfn.MAXIFS(BD!$A$3:$A$5001,BD!$B$3:$B$5001,G$210,BD!$A$3:$A$5001,"&gt;="&amp;$C$7,BD!$A$3:$A$5001,"&lt;="&amp;$B231,BD!$Y$3:$Y$5001,"&lt;&gt;"))))</f>
        <v/>
      </c>
      <c r="H231" s="43" t="str">
        <f>IF(OR($B231="",$A231&gt;$B$9,H$210=""),"",IF(COUNTIFS(BD!$B$3:$B$5001,H$210,BD!$A$3:$A$5001,"&gt;="&amp;$C$7,BD!$A$3:$A$5001,"&lt;="&amp;$B231,BD!$Y$3:$Y$5001,"&lt;&gt;")=0,"",SUMIFS(BD!$Y$3:$Y$5001,BD!$B$3:$B$5001,H$210,BD!$A$3:$A$5001,_xlfn.MAXIFS(BD!$A$3:$A$5001,BD!$B$3:$B$5001,H$210,BD!$A$3:$A$5001,"&gt;="&amp;$C$7,BD!$A$3:$A$5001,"&lt;="&amp;$B231,BD!$Y$3:$Y$5001,"&lt;&gt;"))))</f>
        <v/>
      </c>
      <c r="I231" s="43" t="str">
        <f>IF(OR($B231="",$A231&gt;$B$9,I$210=""),"",IF(COUNTIFS(BD!$B$3:$B$5001,I$210,BD!$A$3:$A$5001,"&gt;="&amp;$C$7,BD!$A$3:$A$5001,"&lt;="&amp;$B231,BD!$Y$3:$Y$5001,"&lt;&gt;")=0,"",SUMIFS(BD!$Y$3:$Y$5001,BD!$B$3:$B$5001,I$210,BD!$A$3:$A$5001,_xlfn.MAXIFS(BD!$A$3:$A$5001,BD!$B$3:$B$5001,I$210,BD!$A$3:$A$5001,"&gt;="&amp;$C$7,BD!$A$3:$A$5001,"&lt;="&amp;$B231,BD!$Y$3:$Y$5001,"&lt;&gt;"))))</f>
        <v/>
      </c>
      <c r="J231" s="43" t="str">
        <f>IF(OR($B231="",$A231&gt;$B$9,J$210=""),"",IF(COUNTIFS(BD!$B$3:$B$5001,J$210,BD!$A$3:$A$5001,"&gt;="&amp;$C$7,BD!$A$3:$A$5001,"&lt;="&amp;$B231,BD!$Y$3:$Y$5001,"&lt;&gt;")=0,"",SUMIFS(BD!$Y$3:$Y$5001,BD!$B$3:$B$5001,J$210,BD!$A$3:$A$5001,_xlfn.MAXIFS(BD!$A$3:$A$5001,BD!$B$3:$B$5001,J$210,BD!$A$3:$A$5001,"&gt;="&amp;$C$7,BD!$A$3:$A$5001,"&lt;="&amp;$B231,BD!$Y$3:$Y$5001,"&lt;&gt;"))))</f>
        <v/>
      </c>
      <c r="K231" s="43" t="str">
        <f>IF(OR($B231="",$A231&gt;$B$9,K$210=""),"",IF(COUNTIFS(BD!$B$3:$B$5001,K$210,BD!$A$3:$A$5001,"&gt;="&amp;$C$7,BD!$A$3:$A$5001,"&lt;="&amp;$B231,BD!$Y$3:$Y$5001,"&lt;&gt;")=0,"",SUMIFS(BD!$Y$3:$Y$5001,BD!$B$3:$B$5001,K$210,BD!$A$3:$A$5001,_xlfn.MAXIFS(BD!$A$3:$A$5001,BD!$B$3:$B$5001,K$210,BD!$A$3:$A$5001,"&gt;="&amp;$C$7,BD!$A$3:$A$5001,"&lt;="&amp;$B231,BD!$Y$3:$Y$5001,"&lt;&gt;"))))</f>
        <v/>
      </c>
      <c r="L231" s="43" t="str">
        <f>IF(OR($B231="",$A231&gt;$B$9,L$210=""),"",IF(COUNTIFS(BD!$B$3:$B$5001,L$210,BD!$A$3:$A$5001,"&gt;="&amp;$C$7,BD!$A$3:$A$5001,"&lt;="&amp;$B231,BD!$Y$3:$Y$5001,"&lt;&gt;")=0,"",SUMIFS(BD!$Y$3:$Y$5001,BD!$B$3:$B$5001,L$210,BD!$A$3:$A$5001,_xlfn.MAXIFS(BD!$A$3:$A$5001,BD!$B$3:$B$5001,L$210,BD!$A$3:$A$5001,"&gt;="&amp;$C$7,BD!$A$3:$A$5001,"&lt;="&amp;$B231,BD!$Y$3:$Y$5001,"&lt;&gt;"))))</f>
        <v/>
      </c>
      <c r="M231" s="43" t="str">
        <f>IF(OR($B231="",$A231&gt;$B$9,M$210=""),"",IF(COUNTIFS(BD!$B$3:$B$5001,M$210,BD!$A$3:$A$5001,"&gt;="&amp;$C$7,BD!$A$3:$A$5001,"&lt;="&amp;$B231,BD!$Y$3:$Y$5001,"&lt;&gt;")=0,"",SUMIFS(BD!$Y$3:$Y$5001,BD!$B$3:$B$5001,M$210,BD!$A$3:$A$5001,_xlfn.MAXIFS(BD!$A$3:$A$5001,BD!$B$3:$B$5001,M$210,BD!$A$3:$A$5001,"&gt;="&amp;$C$7,BD!$A$3:$A$5001,"&lt;="&amp;$B231,BD!$Y$3:$Y$5001,"&lt;&gt;"))))</f>
        <v/>
      </c>
      <c r="N231" s="43" t="str">
        <f>IF(OR($B231="",$A231&gt;$B$9,N$210=""),"",IF(COUNTIFS(BD!$B$3:$B$5001,N$210,BD!$A$3:$A$5001,"&gt;="&amp;$C$7,BD!$A$3:$A$5001,"&lt;="&amp;$B231,BD!$Y$3:$Y$5001,"&lt;&gt;")=0,"",SUMIFS(BD!$Y$3:$Y$5001,BD!$B$3:$B$5001,N$210,BD!$A$3:$A$5001,_xlfn.MAXIFS(BD!$A$3:$A$5001,BD!$B$3:$B$5001,N$210,BD!$A$3:$A$5001,"&gt;="&amp;$C$7,BD!$A$3:$A$5001,"&lt;="&amp;$B231,BD!$Y$3:$Y$5001,"&lt;&gt;"))))</f>
        <v/>
      </c>
      <c r="O231" s="43" t="str">
        <f>IF(OR($B231="",$A231&gt;$B$9,O$210=""),"",IF(COUNTIFS(BD!$B$3:$B$5001,O$210,BD!$A$3:$A$5001,"&gt;="&amp;$C$7,BD!$A$3:$A$5001,"&lt;="&amp;$B231,BD!$Y$3:$Y$5001,"&lt;&gt;")=0,"",SUMIFS(BD!$Y$3:$Y$5001,BD!$B$3:$B$5001,O$210,BD!$A$3:$A$5001,_xlfn.MAXIFS(BD!$A$3:$A$5001,BD!$B$3:$B$5001,O$210,BD!$A$3:$A$5001,"&gt;="&amp;$C$7,BD!$A$3:$A$5001,"&lt;="&amp;$B231,BD!$Y$3:$Y$5001,"&lt;&gt;"))))</f>
        <v/>
      </c>
      <c r="P231" s="43" t="str">
        <f>IF(OR($B231="",$A231&gt;$B$9,P$210=""),"",IF(COUNTIFS(BD!$B$3:$B$5001,P$210,BD!$A$3:$A$5001,"&gt;="&amp;$C$7,BD!$A$3:$A$5001,"&lt;="&amp;$B231,BD!$Y$3:$Y$5001,"&lt;&gt;")=0,"",SUMIFS(BD!$Y$3:$Y$5001,BD!$B$3:$B$5001,P$210,BD!$A$3:$A$5001,_xlfn.MAXIFS(BD!$A$3:$A$5001,BD!$B$3:$B$5001,P$210,BD!$A$3:$A$5001,"&gt;="&amp;$C$7,BD!$A$3:$A$5001,"&lt;="&amp;$B231,BD!$Y$3:$Y$5001,"&lt;&gt;"))))</f>
        <v/>
      </c>
      <c r="Q231" s="43" t="str">
        <f>IF(OR($B231="",$A231&gt;$B$9,Q$210=""),"",IF(COUNTIFS(BD!$B$3:$B$5001,Q$210,BD!$A$3:$A$5001,"&gt;="&amp;$C$7,BD!$A$3:$A$5001,"&lt;="&amp;$B231,BD!$Y$3:$Y$5001,"&lt;&gt;")=0,"",SUMIFS(BD!$Y$3:$Y$5001,BD!$B$3:$B$5001,Q$210,BD!$A$3:$A$5001,_xlfn.MAXIFS(BD!$A$3:$A$5001,BD!$B$3:$B$5001,Q$210,BD!$A$3:$A$5001,"&gt;="&amp;$C$7,BD!$A$3:$A$5001,"&lt;="&amp;$B231,BD!$Y$3:$Y$5001,"&lt;&gt;"))))</f>
        <v/>
      </c>
      <c r="R231" s="43" t="str">
        <f>IF(OR($B231="",$A231&gt;$B$9,R$210=""),"",IF(COUNTIFS(BD!$B$3:$B$5001,R$210,BD!$A$3:$A$5001,"&gt;="&amp;$C$7,BD!$A$3:$A$5001,"&lt;="&amp;$B231,BD!$Y$3:$Y$5001,"&lt;&gt;")=0,"",SUMIFS(BD!$Y$3:$Y$5001,BD!$B$3:$B$5001,R$210,BD!$A$3:$A$5001,_xlfn.MAXIFS(BD!$A$3:$A$5001,BD!$B$3:$B$5001,R$210,BD!$A$3:$A$5001,"&gt;="&amp;$C$7,BD!$A$3:$A$5001,"&lt;="&amp;$B231,BD!$Y$3:$Y$5001,"&lt;&gt;"))))</f>
        <v/>
      </c>
      <c r="S231" s="43" t="str">
        <f>IF(OR($B231="",$A231&gt;$B$9,S$210=""),"",IF(COUNTIFS(BD!$B$3:$B$5001,S$210,BD!$A$3:$A$5001,"&gt;="&amp;$C$7,BD!$A$3:$A$5001,"&lt;="&amp;$B231,BD!$Y$3:$Y$5001,"&lt;&gt;")=0,"",SUMIFS(BD!$Y$3:$Y$5001,BD!$B$3:$B$5001,S$210,BD!$A$3:$A$5001,_xlfn.MAXIFS(BD!$A$3:$A$5001,BD!$B$3:$B$5001,S$210,BD!$A$3:$A$5001,"&gt;="&amp;$C$7,BD!$A$3:$A$5001,"&lt;="&amp;$B231,BD!$Y$3:$Y$5001,"&lt;&gt;"))))</f>
        <v/>
      </c>
      <c r="T231" s="43" t="str">
        <f>IF(OR($B231="",$A231&gt;$B$9,T$210=""),"",IF(COUNTIFS(BD!$B$3:$B$5001,T$210,BD!$A$3:$A$5001,"&gt;="&amp;$C$7,BD!$A$3:$A$5001,"&lt;="&amp;$B231,BD!$Y$3:$Y$5001,"&lt;&gt;")=0,"",SUMIFS(BD!$Y$3:$Y$5001,BD!$B$3:$B$5001,T$210,BD!$A$3:$A$5001,_xlfn.MAXIFS(BD!$A$3:$A$5001,BD!$B$3:$B$5001,T$210,BD!$A$3:$A$5001,"&gt;="&amp;$C$7,BD!$A$3:$A$5001,"&lt;="&amp;$B231,BD!$Y$3:$Y$5001,"&lt;&gt;"))))</f>
        <v/>
      </c>
      <c r="U231" s="43" t="str">
        <f>IF(OR($B231="",$A231&gt;$B$9,U$210=""),"",IF(COUNTIFS(BD!$B$3:$B$5001,U$210,BD!$A$3:$A$5001,"&gt;="&amp;$C$7,BD!$A$3:$A$5001,"&lt;="&amp;$B231,BD!$Y$3:$Y$5001,"&lt;&gt;")=0,"",SUMIFS(BD!$Y$3:$Y$5001,BD!$B$3:$B$5001,U$210,BD!$A$3:$A$5001,_xlfn.MAXIFS(BD!$A$3:$A$5001,BD!$B$3:$B$5001,U$210,BD!$A$3:$A$5001,"&gt;="&amp;$C$7,BD!$A$3:$A$5001,"&lt;="&amp;$B231,BD!$Y$3:$Y$5001,"&lt;&gt;"))))</f>
        <v/>
      </c>
      <c r="V231" s="43" t="str">
        <f>IF(OR($B231="",$A231&gt;$B$9,V$210=""),"",IF(COUNTIFS(BD!$B$3:$B$5001,V$210,BD!$A$3:$A$5001,"&gt;="&amp;$C$7,BD!$A$3:$A$5001,"&lt;="&amp;$B231,BD!$Y$3:$Y$5001,"&lt;&gt;")=0,"",SUMIFS(BD!$Y$3:$Y$5001,BD!$B$3:$B$5001,V$210,BD!$A$3:$A$5001,_xlfn.MAXIFS(BD!$A$3:$A$5001,BD!$B$3:$B$5001,V$210,BD!$A$3:$A$5001,"&gt;="&amp;$C$7,BD!$A$3:$A$5001,"&lt;="&amp;$B231,BD!$Y$3:$Y$5001,"&lt;&gt;"))))</f>
        <v/>
      </c>
    </row>
    <row r="232">
      <c r="A232" s="38">
        <v>22</v>
      </c>
      <c r="B232" s="42">
        <f>$B$33</f>
        <v>46317</v>
      </c>
      <c r="C232" s="43" t="str">
        <f>IF(OR($B232="",$A232&gt;$B$9,C$210=""),"",IF(COUNTIFS(BD!$B$3:$B$5001,C$210,BD!$A$3:$A$5001,"&gt;="&amp;$C$7,BD!$A$3:$A$5001,"&lt;="&amp;$B232,BD!$Y$3:$Y$5001,"&lt;&gt;")=0,"",SUMIFS(BD!$Y$3:$Y$5001,BD!$B$3:$B$5001,C$210,BD!$A$3:$A$5001,_xlfn.MAXIFS(BD!$A$3:$A$5001,BD!$B$3:$B$5001,C$210,BD!$A$3:$A$5001,"&gt;="&amp;$C$7,BD!$A$3:$A$5001,"&lt;="&amp;$B232,BD!$Y$3:$Y$5001,"&lt;&gt;"))))</f>
        <v/>
      </c>
      <c r="D232" s="43" t="str">
        <f>IF(OR($B232="",$A232&gt;$B$9,D$210=""),"",IF(COUNTIFS(BD!$B$3:$B$5001,D$210,BD!$A$3:$A$5001,"&gt;="&amp;$C$7,BD!$A$3:$A$5001,"&lt;="&amp;$B232,BD!$Y$3:$Y$5001,"&lt;&gt;")=0,"",SUMIFS(BD!$Y$3:$Y$5001,BD!$B$3:$B$5001,D$210,BD!$A$3:$A$5001,_xlfn.MAXIFS(BD!$A$3:$A$5001,BD!$B$3:$B$5001,D$210,BD!$A$3:$A$5001,"&gt;="&amp;$C$7,BD!$A$3:$A$5001,"&lt;="&amp;$B232,BD!$Y$3:$Y$5001,"&lt;&gt;"))))</f>
        <v/>
      </c>
      <c r="E232" s="43" t="str">
        <f>IF(OR($B232="",$A232&gt;$B$9,E$210=""),"",IF(COUNTIFS(BD!$B$3:$B$5001,E$210,BD!$A$3:$A$5001,"&gt;="&amp;$C$7,BD!$A$3:$A$5001,"&lt;="&amp;$B232,BD!$Y$3:$Y$5001,"&lt;&gt;")=0,"",SUMIFS(BD!$Y$3:$Y$5001,BD!$B$3:$B$5001,E$210,BD!$A$3:$A$5001,_xlfn.MAXIFS(BD!$A$3:$A$5001,BD!$B$3:$B$5001,E$210,BD!$A$3:$A$5001,"&gt;="&amp;$C$7,BD!$A$3:$A$5001,"&lt;="&amp;$B232,BD!$Y$3:$Y$5001,"&lt;&gt;"))))</f>
        <v/>
      </c>
      <c r="F232" s="43" t="str">
        <f>IF(OR($B232="",$A232&gt;$B$9,F$210=""),"",IF(COUNTIFS(BD!$B$3:$B$5001,F$210,BD!$A$3:$A$5001,"&gt;="&amp;$C$7,BD!$A$3:$A$5001,"&lt;="&amp;$B232,BD!$Y$3:$Y$5001,"&lt;&gt;")=0,"",SUMIFS(BD!$Y$3:$Y$5001,BD!$B$3:$B$5001,F$210,BD!$A$3:$A$5001,_xlfn.MAXIFS(BD!$A$3:$A$5001,BD!$B$3:$B$5001,F$210,BD!$A$3:$A$5001,"&gt;="&amp;$C$7,BD!$A$3:$A$5001,"&lt;="&amp;$B232,BD!$Y$3:$Y$5001,"&lt;&gt;"))))</f>
        <v/>
      </c>
      <c r="G232" s="43" t="str">
        <f>IF(OR($B232="",$A232&gt;$B$9,G$210=""),"",IF(COUNTIFS(BD!$B$3:$B$5001,G$210,BD!$A$3:$A$5001,"&gt;="&amp;$C$7,BD!$A$3:$A$5001,"&lt;="&amp;$B232,BD!$Y$3:$Y$5001,"&lt;&gt;")=0,"",SUMIFS(BD!$Y$3:$Y$5001,BD!$B$3:$B$5001,G$210,BD!$A$3:$A$5001,_xlfn.MAXIFS(BD!$A$3:$A$5001,BD!$B$3:$B$5001,G$210,BD!$A$3:$A$5001,"&gt;="&amp;$C$7,BD!$A$3:$A$5001,"&lt;="&amp;$B232,BD!$Y$3:$Y$5001,"&lt;&gt;"))))</f>
        <v/>
      </c>
      <c r="H232" s="43" t="str">
        <f>IF(OR($B232="",$A232&gt;$B$9,H$210=""),"",IF(COUNTIFS(BD!$B$3:$B$5001,H$210,BD!$A$3:$A$5001,"&gt;="&amp;$C$7,BD!$A$3:$A$5001,"&lt;="&amp;$B232,BD!$Y$3:$Y$5001,"&lt;&gt;")=0,"",SUMIFS(BD!$Y$3:$Y$5001,BD!$B$3:$B$5001,H$210,BD!$A$3:$A$5001,_xlfn.MAXIFS(BD!$A$3:$A$5001,BD!$B$3:$B$5001,H$210,BD!$A$3:$A$5001,"&gt;="&amp;$C$7,BD!$A$3:$A$5001,"&lt;="&amp;$B232,BD!$Y$3:$Y$5001,"&lt;&gt;"))))</f>
        <v/>
      </c>
      <c r="I232" s="43" t="str">
        <f>IF(OR($B232="",$A232&gt;$B$9,I$210=""),"",IF(COUNTIFS(BD!$B$3:$B$5001,I$210,BD!$A$3:$A$5001,"&gt;="&amp;$C$7,BD!$A$3:$A$5001,"&lt;="&amp;$B232,BD!$Y$3:$Y$5001,"&lt;&gt;")=0,"",SUMIFS(BD!$Y$3:$Y$5001,BD!$B$3:$B$5001,I$210,BD!$A$3:$A$5001,_xlfn.MAXIFS(BD!$A$3:$A$5001,BD!$B$3:$B$5001,I$210,BD!$A$3:$A$5001,"&gt;="&amp;$C$7,BD!$A$3:$A$5001,"&lt;="&amp;$B232,BD!$Y$3:$Y$5001,"&lt;&gt;"))))</f>
        <v/>
      </c>
      <c r="J232" s="43" t="str">
        <f>IF(OR($B232="",$A232&gt;$B$9,J$210=""),"",IF(COUNTIFS(BD!$B$3:$B$5001,J$210,BD!$A$3:$A$5001,"&gt;="&amp;$C$7,BD!$A$3:$A$5001,"&lt;="&amp;$B232,BD!$Y$3:$Y$5001,"&lt;&gt;")=0,"",SUMIFS(BD!$Y$3:$Y$5001,BD!$B$3:$B$5001,J$210,BD!$A$3:$A$5001,_xlfn.MAXIFS(BD!$A$3:$A$5001,BD!$B$3:$B$5001,J$210,BD!$A$3:$A$5001,"&gt;="&amp;$C$7,BD!$A$3:$A$5001,"&lt;="&amp;$B232,BD!$Y$3:$Y$5001,"&lt;&gt;"))))</f>
        <v/>
      </c>
      <c r="K232" s="43" t="str">
        <f>IF(OR($B232="",$A232&gt;$B$9,K$210=""),"",IF(COUNTIFS(BD!$B$3:$B$5001,K$210,BD!$A$3:$A$5001,"&gt;="&amp;$C$7,BD!$A$3:$A$5001,"&lt;="&amp;$B232,BD!$Y$3:$Y$5001,"&lt;&gt;")=0,"",SUMIFS(BD!$Y$3:$Y$5001,BD!$B$3:$B$5001,K$210,BD!$A$3:$A$5001,_xlfn.MAXIFS(BD!$A$3:$A$5001,BD!$B$3:$B$5001,K$210,BD!$A$3:$A$5001,"&gt;="&amp;$C$7,BD!$A$3:$A$5001,"&lt;="&amp;$B232,BD!$Y$3:$Y$5001,"&lt;&gt;"))))</f>
        <v/>
      </c>
      <c r="L232" s="43" t="str">
        <f>IF(OR($B232="",$A232&gt;$B$9,L$210=""),"",IF(COUNTIFS(BD!$B$3:$B$5001,L$210,BD!$A$3:$A$5001,"&gt;="&amp;$C$7,BD!$A$3:$A$5001,"&lt;="&amp;$B232,BD!$Y$3:$Y$5001,"&lt;&gt;")=0,"",SUMIFS(BD!$Y$3:$Y$5001,BD!$B$3:$B$5001,L$210,BD!$A$3:$A$5001,_xlfn.MAXIFS(BD!$A$3:$A$5001,BD!$B$3:$B$5001,L$210,BD!$A$3:$A$5001,"&gt;="&amp;$C$7,BD!$A$3:$A$5001,"&lt;="&amp;$B232,BD!$Y$3:$Y$5001,"&lt;&gt;"))))</f>
        <v/>
      </c>
      <c r="M232" s="43" t="str">
        <f>IF(OR($B232="",$A232&gt;$B$9,M$210=""),"",IF(COUNTIFS(BD!$B$3:$B$5001,M$210,BD!$A$3:$A$5001,"&gt;="&amp;$C$7,BD!$A$3:$A$5001,"&lt;="&amp;$B232,BD!$Y$3:$Y$5001,"&lt;&gt;")=0,"",SUMIFS(BD!$Y$3:$Y$5001,BD!$B$3:$B$5001,M$210,BD!$A$3:$A$5001,_xlfn.MAXIFS(BD!$A$3:$A$5001,BD!$B$3:$B$5001,M$210,BD!$A$3:$A$5001,"&gt;="&amp;$C$7,BD!$A$3:$A$5001,"&lt;="&amp;$B232,BD!$Y$3:$Y$5001,"&lt;&gt;"))))</f>
        <v/>
      </c>
      <c r="N232" s="43" t="str">
        <f>IF(OR($B232="",$A232&gt;$B$9,N$210=""),"",IF(COUNTIFS(BD!$B$3:$B$5001,N$210,BD!$A$3:$A$5001,"&gt;="&amp;$C$7,BD!$A$3:$A$5001,"&lt;="&amp;$B232,BD!$Y$3:$Y$5001,"&lt;&gt;")=0,"",SUMIFS(BD!$Y$3:$Y$5001,BD!$B$3:$B$5001,N$210,BD!$A$3:$A$5001,_xlfn.MAXIFS(BD!$A$3:$A$5001,BD!$B$3:$B$5001,N$210,BD!$A$3:$A$5001,"&gt;="&amp;$C$7,BD!$A$3:$A$5001,"&lt;="&amp;$B232,BD!$Y$3:$Y$5001,"&lt;&gt;"))))</f>
        <v/>
      </c>
      <c r="O232" s="43" t="str">
        <f>IF(OR($B232="",$A232&gt;$B$9,O$210=""),"",IF(COUNTIFS(BD!$B$3:$B$5001,O$210,BD!$A$3:$A$5001,"&gt;="&amp;$C$7,BD!$A$3:$A$5001,"&lt;="&amp;$B232,BD!$Y$3:$Y$5001,"&lt;&gt;")=0,"",SUMIFS(BD!$Y$3:$Y$5001,BD!$B$3:$B$5001,O$210,BD!$A$3:$A$5001,_xlfn.MAXIFS(BD!$A$3:$A$5001,BD!$B$3:$B$5001,O$210,BD!$A$3:$A$5001,"&gt;="&amp;$C$7,BD!$A$3:$A$5001,"&lt;="&amp;$B232,BD!$Y$3:$Y$5001,"&lt;&gt;"))))</f>
        <v/>
      </c>
      <c r="P232" s="43" t="str">
        <f>IF(OR($B232="",$A232&gt;$B$9,P$210=""),"",IF(COUNTIFS(BD!$B$3:$B$5001,P$210,BD!$A$3:$A$5001,"&gt;="&amp;$C$7,BD!$A$3:$A$5001,"&lt;="&amp;$B232,BD!$Y$3:$Y$5001,"&lt;&gt;")=0,"",SUMIFS(BD!$Y$3:$Y$5001,BD!$B$3:$B$5001,P$210,BD!$A$3:$A$5001,_xlfn.MAXIFS(BD!$A$3:$A$5001,BD!$B$3:$B$5001,P$210,BD!$A$3:$A$5001,"&gt;="&amp;$C$7,BD!$A$3:$A$5001,"&lt;="&amp;$B232,BD!$Y$3:$Y$5001,"&lt;&gt;"))))</f>
        <v/>
      </c>
      <c r="Q232" s="43" t="str">
        <f>IF(OR($B232="",$A232&gt;$B$9,Q$210=""),"",IF(COUNTIFS(BD!$B$3:$B$5001,Q$210,BD!$A$3:$A$5001,"&gt;="&amp;$C$7,BD!$A$3:$A$5001,"&lt;="&amp;$B232,BD!$Y$3:$Y$5001,"&lt;&gt;")=0,"",SUMIFS(BD!$Y$3:$Y$5001,BD!$B$3:$B$5001,Q$210,BD!$A$3:$A$5001,_xlfn.MAXIFS(BD!$A$3:$A$5001,BD!$B$3:$B$5001,Q$210,BD!$A$3:$A$5001,"&gt;="&amp;$C$7,BD!$A$3:$A$5001,"&lt;="&amp;$B232,BD!$Y$3:$Y$5001,"&lt;&gt;"))))</f>
        <v/>
      </c>
      <c r="R232" s="43" t="str">
        <f>IF(OR($B232="",$A232&gt;$B$9,R$210=""),"",IF(COUNTIFS(BD!$B$3:$B$5001,R$210,BD!$A$3:$A$5001,"&gt;="&amp;$C$7,BD!$A$3:$A$5001,"&lt;="&amp;$B232,BD!$Y$3:$Y$5001,"&lt;&gt;")=0,"",SUMIFS(BD!$Y$3:$Y$5001,BD!$B$3:$B$5001,R$210,BD!$A$3:$A$5001,_xlfn.MAXIFS(BD!$A$3:$A$5001,BD!$B$3:$B$5001,R$210,BD!$A$3:$A$5001,"&gt;="&amp;$C$7,BD!$A$3:$A$5001,"&lt;="&amp;$B232,BD!$Y$3:$Y$5001,"&lt;&gt;"))))</f>
        <v/>
      </c>
      <c r="S232" s="43" t="str">
        <f>IF(OR($B232="",$A232&gt;$B$9,S$210=""),"",IF(COUNTIFS(BD!$B$3:$B$5001,S$210,BD!$A$3:$A$5001,"&gt;="&amp;$C$7,BD!$A$3:$A$5001,"&lt;="&amp;$B232,BD!$Y$3:$Y$5001,"&lt;&gt;")=0,"",SUMIFS(BD!$Y$3:$Y$5001,BD!$B$3:$B$5001,S$210,BD!$A$3:$A$5001,_xlfn.MAXIFS(BD!$A$3:$A$5001,BD!$B$3:$B$5001,S$210,BD!$A$3:$A$5001,"&gt;="&amp;$C$7,BD!$A$3:$A$5001,"&lt;="&amp;$B232,BD!$Y$3:$Y$5001,"&lt;&gt;"))))</f>
        <v/>
      </c>
      <c r="T232" s="43" t="str">
        <f>IF(OR($B232="",$A232&gt;$B$9,T$210=""),"",IF(COUNTIFS(BD!$B$3:$B$5001,T$210,BD!$A$3:$A$5001,"&gt;="&amp;$C$7,BD!$A$3:$A$5001,"&lt;="&amp;$B232,BD!$Y$3:$Y$5001,"&lt;&gt;")=0,"",SUMIFS(BD!$Y$3:$Y$5001,BD!$B$3:$B$5001,T$210,BD!$A$3:$A$5001,_xlfn.MAXIFS(BD!$A$3:$A$5001,BD!$B$3:$B$5001,T$210,BD!$A$3:$A$5001,"&gt;="&amp;$C$7,BD!$A$3:$A$5001,"&lt;="&amp;$B232,BD!$Y$3:$Y$5001,"&lt;&gt;"))))</f>
        <v/>
      </c>
      <c r="U232" s="43" t="str">
        <f>IF(OR($B232="",$A232&gt;$B$9,U$210=""),"",IF(COUNTIFS(BD!$B$3:$B$5001,U$210,BD!$A$3:$A$5001,"&gt;="&amp;$C$7,BD!$A$3:$A$5001,"&lt;="&amp;$B232,BD!$Y$3:$Y$5001,"&lt;&gt;")=0,"",SUMIFS(BD!$Y$3:$Y$5001,BD!$B$3:$B$5001,U$210,BD!$A$3:$A$5001,_xlfn.MAXIFS(BD!$A$3:$A$5001,BD!$B$3:$B$5001,U$210,BD!$A$3:$A$5001,"&gt;="&amp;$C$7,BD!$A$3:$A$5001,"&lt;="&amp;$B232,BD!$Y$3:$Y$5001,"&lt;&gt;"))))</f>
        <v/>
      </c>
      <c r="V232" s="43" t="str">
        <f>IF(OR($B232="",$A232&gt;$B$9,V$210=""),"",IF(COUNTIFS(BD!$B$3:$B$5001,V$210,BD!$A$3:$A$5001,"&gt;="&amp;$C$7,BD!$A$3:$A$5001,"&lt;="&amp;$B232,BD!$Y$3:$Y$5001,"&lt;&gt;")=0,"",SUMIFS(BD!$Y$3:$Y$5001,BD!$B$3:$B$5001,V$210,BD!$A$3:$A$5001,_xlfn.MAXIFS(BD!$A$3:$A$5001,BD!$B$3:$B$5001,V$210,BD!$A$3:$A$5001,"&gt;="&amp;$C$7,BD!$A$3:$A$5001,"&lt;="&amp;$B232,BD!$Y$3:$Y$5001,"&lt;&gt;"))))</f>
        <v/>
      </c>
    </row>
    <row r="233">
      <c r="A233" s="38">
        <v>23</v>
      </c>
      <c r="B233" s="42">
        <f>$B$34</f>
        <v>46318</v>
      </c>
      <c r="C233" s="43" t="str">
        <f>IF(OR($B233="",$A233&gt;$B$9,C$210=""),"",IF(COUNTIFS(BD!$B$3:$B$5001,C$210,BD!$A$3:$A$5001,"&gt;="&amp;$C$7,BD!$A$3:$A$5001,"&lt;="&amp;$B233,BD!$Y$3:$Y$5001,"&lt;&gt;")=0,"",SUMIFS(BD!$Y$3:$Y$5001,BD!$B$3:$B$5001,C$210,BD!$A$3:$A$5001,_xlfn.MAXIFS(BD!$A$3:$A$5001,BD!$B$3:$B$5001,C$210,BD!$A$3:$A$5001,"&gt;="&amp;$C$7,BD!$A$3:$A$5001,"&lt;="&amp;$B233,BD!$Y$3:$Y$5001,"&lt;&gt;"))))</f>
        <v/>
      </c>
      <c r="D233" s="43" t="str">
        <f>IF(OR($B233="",$A233&gt;$B$9,D$210=""),"",IF(COUNTIFS(BD!$B$3:$B$5001,D$210,BD!$A$3:$A$5001,"&gt;="&amp;$C$7,BD!$A$3:$A$5001,"&lt;="&amp;$B233,BD!$Y$3:$Y$5001,"&lt;&gt;")=0,"",SUMIFS(BD!$Y$3:$Y$5001,BD!$B$3:$B$5001,D$210,BD!$A$3:$A$5001,_xlfn.MAXIFS(BD!$A$3:$A$5001,BD!$B$3:$B$5001,D$210,BD!$A$3:$A$5001,"&gt;="&amp;$C$7,BD!$A$3:$A$5001,"&lt;="&amp;$B233,BD!$Y$3:$Y$5001,"&lt;&gt;"))))</f>
        <v/>
      </c>
      <c r="E233" s="43" t="str">
        <f>IF(OR($B233="",$A233&gt;$B$9,E$210=""),"",IF(COUNTIFS(BD!$B$3:$B$5001,E$210,BD!$A$3:$A$5001,"&gt;="&amp;$C$7,BD!$A$3:$A$5001,"&lt;="&amp;$B233,BD!$Y$3:$Y$5001,"&lt;&gt;")=0,"",SUMIFS(BD!$Y$3:$Y$5001,BD!$B$3:$B$5001,E$210,BD!$A$3:$A$5001,_xlfn.MAXIFS(BD!$A$3:$A$5001,BD!$B$3:$B$5001,E$210,BD!$A$3:$A$5001,"&gt;="&amp;$C$7,BD!$A$3:$A$5001,"&lt;="&amp;$B233,BD!$Y$3:$Y$5001,"&lt;&gt;"))))</f>
        <v/>
      </c>
      <c r="F233" s="43" t="str">
        <f>IF(OR($B233="",$A233&gt;$B$9,F$210=""),"",IF(COUNTIFS(BD!$B$3:$B$5001,F$210,BD!$A$3:$A$5001,"&gt;="&amp;$C$7,BD!$A$3:$A$5001,"&lt;="&amp;$B233,BD!$Y$3:$Y$5001,"&lt;&gt;")=0,"",SUMIFS(BD!$Y$3:$Y$5001,BD!$B$3:$B$5001,F$210,BD!$A$3:$A$5001,_xlfn.MAXIFS(BD!$A$3:$A$5001,BD!$B$3:$B$5001,F$210,BD!$A$3:$A$5001,"&gt;="&amp;$C$7,BD!$A$3:$A$5001,"&lt;="&amp;$B233,BD!$Y$3:$Y$5001,"&lt;&gt;"))))</f>
        <v/>
      </c>
      <c r="G233" s="43" t="str">
        <f>IF(OR($B233="",$A233&gt;$B$9,G$210=""),"",IF(COUNTIFS(BD!$B$3:$B$5001,G$210,BD!$A$3:$A$5001,"&gt;="&amp;$C$7,BD!$A$3:$A$5001,"&lt;="&amp;$B233,BD!$Y$3:$Y$5001,"&lt;&gt;")=0,"",SUMIFS(BD!$Y$3:$Y$5001,BD!$B$3:$B$5001,G$210,BD!$A$3:$A$5001,_xlfn.MAXIFS(BD!$A$3:$A$5001,BD!$B$3:$B$5001,G$210,BD!$A$3:$A$5001,"&gt;="&amp;$C$7,BD!$A$3:$A$5001,"&lt;="&amp;$B233,BD!$Y$3:$Y$5001,"&lt;&gt;"))))</f>
        <v/>
      </c>
      <c r="H233" s="43" t="str">
        <f>IF(OR($B233="",$A233&gt;$B$9,H$210=""),"",IF(COUNTIFS(BD!$B$3:$B$5001,H$210,BD!$A$3:$A$5001,"&gt;="&amp;$C$7,BD!$A$3:$A$5001,"&lt;="&amp;$B233,BD!$Y$3:$Y$5001,"&lt;&gt;")=0,"",SUMIFS(BD!$Y$3:$Y$5001,BD!$B$3:$B$5001,H$210,BD!$A$3:$A$5001,_xlfn.MAXIFS(BD!$A$3:$A$5001,BD!$B$3:$B$5001,H$210,BD!$A$3:$A$5001,"&gt;="&amp;$C$7,BD!$A$3:$A$5001,"&lt;="&amp;$B233,BD!$Y$3:$Y$5001,"&lt;&gt;"))))</f>
        <v/>
      </c>
      <c r="I233" s="43" t="str">
        <f>IF(OR($B233="",$A233&gt;$B$9,I$210=""),"",IF(COUNTIFS(BD!$B$3:$B$5001,I$210,BD!$A$3:$A$5001,"&gt;="&amp;$C$7,BD!$A$3:$A$5001,"&lt;="&amp;$B233,BD!$Y$3:$Y$5001,"&lt;&gt;")=0,"",SUMIFS(BD!$Y$3:$Y$5001,BD!$B$3:$B$5001,I$210,BD!$A$3:$A$5001,_xlfn.MAXIFS(BD!$A$3:$A$5001,BD!$B$3:$B$5001,I$210,BD!$A$3:$A$5001,"&gt;="&amp;$C$7,BD!$A$3:$A$5001,"&lt;="&amp;$B233,BD!$Y$3:$Y$5001,"&lt;&gt;"))))</f>
        <v/>
      </c>
      <c r="J233" s="43" t="str">
        <f>IF(OR($B233="",$A233&gt;$B$9,J$210=""),"",IF(COUNTIFS(BD!$B$3:$B$5001,J$210,BD!$A$3:$A$5001,"&gt;="&amp;$C$7,BD!$A$3:$A$5001,"&lt;="&amp;$B233,BD!$Y$3:$Y$5001,"&lt;&gt;")=0,"",SUMIFS(BD!$Y$3:$Y$5001,BD!$B$3:$B$5001,J$210,BD!$A$3:$A$5001,_xlfn.MAXIFS(BD!$A$3:$A$5001,BD!$B$3:$B$5001,J$210,BD!$A$3:$A$5001,"&gt;="&amp;$C$7,BD!$A$3:$A$5001,"&lt;="&amp;$B233,BD!$Y$3:$Y$5001,"&lt;&gt;"))))</f>
        <v/>
      </c>
      <c r="K233" s="43" t="str">
        <f>IF(OR($B233="",$A233&gt;$B$9,K$210=""),"",IF(COUNTIFS(BD!$B$3:$B$5001,K$210,BD!$A$3:$A$5001,"&gt;="&amp;$C$7,BD!$A$3:$A$5001,"&lt;="&amp;$B233,BD!$Y$3:$Y$5001,"&lt;&gt;")=0,"",SUMIFS(BD!$Y$3:$Y$5001,BD!$B$3:$B$5001,K$210,BD!$A$3:$A$5001,_xlfn.MAXIFS(BD!$A$3:$A$5001,BD!$B$3:$B$5001,K$210,BD!$A$3:$A$5001,"&gt;="&amp;$C$7,BD!$A$3:$A$5001,"&lt;="&amp;$B233,BD!$Y$3:$Y$5001,"&lt;&gt;"))))</f>
        <v/>
      </c>
      <c r="L233" s="43" t="str">
        <f>IF(OR($B233="",$A233&gt;$B$9,L$210=""),"",IF(COUNTIFS(BD!$B$3:$B$5001,L$210,BD!$A$3:$A$5001,"&gt;="&amp;$C$7,BD!$A$3:$A$5001,"&lt;="&amp;$B233,BD!$Y$3:$Y$5001,"&lt;&gt;")=0,"",SUMIFS(BD!$Y$3:$Y$5001,BD!$B$3:$B$5001,L$210,BD!$A$3:$A$5001,_xlfn.MAXIFS(BD!$A$3:$A$5001,BD!$B$3:$B$5001,L$210,BD!$A$3:$A$5001,"&gt;="&amp;$C$7,BD!$A$3:$A$5001,"&lt;="&amp;$B233,BD!$Y$3:$Y$5001,"&lt;&gt;"))))</f>
        <v/>
      </c>
      <c r="M233" s="43" t="str">
        <f>IF(OR($B233="",$A233&gt;$B$9,M$210=""),"",IF(COUNTIFS(BD!$B$3:$B$5001,M$210,BD!$A$3:$A$5001,"&gt;="&amp;$C$7,BD!$A$3:$A$5001,"&lt;="&amp;$B233,BD!$Y$3:$Y$5001,"&lt;&gt;")=0,"",SUMIFS(BD!$Y$3:$Y$5001,BD!$B$3:$B$5001,M$210,BD!$A$3:$A$5001,_xlfn.MAXIFS(BD!$A$3:$A$5001,BD!$B$3:$B$5001,M$210,BD!$A$3:$A$5001,"&gt;="&amp;$C$7,BD!$A$3:$A$5001,"&lt;="&amp;$B233,BD!$Y$3:$Y$5001,"&lt;&gt;"))))</f>
        <v/>
      </c>
      <c r="N233" s="43" t="str">
        <f>IF(OR($B233="",$A233&gt;$B$9,N$210=""),"",IF(COUNTIFS(BD!$B$3:$B$5001,N$210,BD!$A$3:$A$5001,"&gt;="&amp;$C$7,BD!$A$3:$A$5001,"&lt;="&amp;$B233,BD!$Y$3:$Y$5001,"&lt;&gt;")=0,"",SUMIFS(BD!$Y$3:$Y$5001,BD!$B$3:$B$5001,N$210,BD!$A$3:$A$5001,_xlfn.MAXIFS(BD!$A$3:$A$5001,BD!$B$3:$B$5001,N$210,BD!$A$3:$A$5001,"&gt;="&amp;$C$7,BD!$A$3:$A$5001,"&lt;="&amp;$B233,BD!$Y$3:$Y$5001,"&lt;&gt;"))))</f>
        <v/>
      </c>
      <c r="O233" s="43" t="str">
        <f>IF(OR($B233="",$A233&gt;$B$9,O$210=""),"",IF(COUNTIFS(BD!$B$3:$B$5001,O$210,BD!$A$3:$A$5001,"&gt;="&amp;$C$7,BD!$A$3:$A$5001,"&lt;="&amp;$B233,BD!$Y$3:$Y$5001,"&lt;&gt;")=0,"",SUMIFS(BD!$Y$3:$Y$5001,BD!$B$3:$B$5001,O$210,BD!$A$3:$A$5001,_xlfn.MAXIFS(BD!$A$3:$A$5001,BD!$B$3:$B$5001,O$210,BD!$A$3:$A$5001,"&gt;="&amp;$C$7,BD!$A$3:$A$5001,"&lt;="&amp;$B233,BD!$Y$3:$Y$5001,"&lt;&gt;"))))</f>
        <v/>
      </c>
      <c r="P233" s="43" t="str">
        <f>IF(OR($B233="",$A233&gt;$B$9,P$210=""),"",IF(COUNTIFS(BD!$B$3:$B$5001,P$210,BD!$A$3:$A$5001,"&gt;="&amp;$C$7,BD!$A$3:$A$5001,"&lt;="&amp;$B233,BD!$Y$3:$Y$5001,"&lt;&gt;")=0,"",SUMIFS(BD!$Y$3:$Y$5001,BD!$B$3:$B$5001,P$210,BD!$A$3:$A$5001,_xlfn.MAXIFS(BD!$A$3:$A$5001,BD!$B$3:$B$5001,P$210,BD!$A$3:$A$5001,"&gt;="&amp;$C$7,BD!$A$3:$A$5001,"&lt;="&amp;$B233,BD!$Y$3:$Y$5001,"&lt;&gt;"))))</f>
        <v/>
      </c>
      <c r="Q233" s="43" t="str">
        <f>IF(OR($B233="",$A233&gt;$B$9,Q$210=""),"",IF(COUNTIFS(BD!$B$3:$B$5001,Q$210,BD!$A$3:$A$5001,"&gt;="&amp;$C$7,BD!$A$3:$A$5001,"&lt;="&amp;$B233,BD!$Y$3:$Y$5001,"&lt;&gt;")=0,"",SUMIFS(BD!$Y$3:$Y$5001,BD!$B$3:$B$5001,Q$210,BD!$A$3:$A$5001,_xlfn.MAXIFS(BD!$A$3:$A$5001,BD!$B$3:$B$5001,Q$210,BD!$A$3:$A$5001,"&gt;="&amp;$C$7,BD!$A$3:$A$5001,"&lt;="&amp;$B233,BD!$Y$3:$Y$5001,"&lt;&gt;"))))</f>
        <v/>
      </c>
      <c r="R233" s="43" t="str">
        <f>IF(OR($B233="",$A233&gt;$B$9,R$210=""),"",IF(COUNTIFS(BD!$B$3:$B$5001,R$210,BD!$A$3:$A$5001,"&gt;="&amp;$C$7,BD!$A$3:$A$5001,"&lt;="&amp;$B233,BD!$Y$3:$Y$5001,"&lt;&gt;")=0,"",SUMIFS(BD!$Y$3:$Y$5001,BD!$B$3:$B$5001,R$210,BD!$A$3:$A$5001,_xlfn.MAXIFS(BD!$A$3:$A$5001,BD!$B$3:$B$5001,R$210,BD!$A$3:$A$5001,"&gt;="&amp;$C$7,BD!$A$3:$A$5001,"&lt;="&amp;$B233,BD!$Y$3:$Y$5001,"&lt;&gt;"))))</f>
        <v/>
      </c>
      <c r="S233" s="43" t="str">
        <f>IF(OR($B233="",$A233&gt;$B$9,S$210=""),"",IF(COUNTIFS(BD!$B$3:$B$5001,S$210,BD!$A$3:$A$5001,"&gt;="&amp;$C$7,BD!$A$3:$A$5001,"&lt;="&amp;$B233,BD!$Y$3:$Y$5001,"&lt;&gt;")=0,"",SUMIFS(BD!$Y$3:$Y$5001,BD!$B$3:$B$5001,S$210,BD!$A$3:$A$5001,_xlfn.MAXIFS(BD!$A$3:$A$5001,BD!$B$3:$B$5001,S$210,BD!$A$3:$A$5001,"&gt;="&amp;$C$7,BD!$A$3:$A$5001,"&lt;="&amp;$B233,BD!$Y$3:$Y$5001,"&lt;&gt;"))))</f>
        <v/>
      </c>
      <c r="T233" s="43" t="str">
        <f>IF(OR($B233="",$A233&gt;$B$9,T$210=""),"",IF(COUNTIFS(BD!$B$3:$B$5001,T$210,BD!$A$3:$A$5001,"&gt;="&amp;$C$7,BD!$A$3:$A$5001,"&lt;="&amp;$B233,BD!$Y$3:$Y$5001,"&lt;&gt;")=0,"",SUMIFS(BD!$Y$3:$Y$5001,BD!$B$3:$B$5001,T$210,BD!$A$3:$A$5001,_xlfn.MAXIFS(BD!$A$3:$A$5001,BD!$B$3:$B$5001,T$210,BD!$A$3:$A$5001,"&gt;="&amp;$C$7,BD!$A$3:$A$5001,"&lt;="&amp;$B233,BD!$Y$3:$Y$5001,"&lt;&gt;"))))</f>
        <v/>
      </c>
      <c r="U233" s="43" t="str">
        <f>IF(OR($B233="",$A233&gt;$B$9,U$210=""),"",IF(COUNTIFS(BD!$B$3:$B$5001,U$210,BD!$A$3:$A$5001,"&gt;="&amp;$C$7,BD!$A$3:$A$5001,"&lt;="&amp;$B233,BD!$Y$3:$Y$5001,"&lt;&gt;")=0,"",SUMIFS(BD!$Y$3:$Y$5001,BD!$B$3:$B$5001,U$210,BD!$A$3:$A$5001,_xlfn.MAXIFS(BD!$A$3:$A$5001,BD!$B$3:$B$5001,U$210,BD!$A$3:$A$5001,"&gt;="&amp;$C$7,BD!$A$3:$A$5001,"&lt;="&amp;$B233,BD!$Y$3:$Y$5001,"&lt;&gt;"))))</f>
        <v/>
      </c>
      <c r="V233" s="43" t="str">
        <f>IF(OR($B233="",$A233&gt;$B$9,V$210=""),"",IF(COUNTIFS(BD!$B$3:$B$5001,V$210,BD!$A$3:$A$5001,"&gt;="&amp;$C$7,BD!$A$3:$A$5001,"&lt;="&amp;$B233,BD!$Y$3:$Y$5001,"&lt;&gt;")=0,"",SUMIFS(BD!$Y$3:$Y$5001,BD!$B$3:$B$5001,V$210,BD!$A$3:$A$5001,_xlfn.MAXIFS(BD!$A$3:$A$5001,BD!$B$3:$B$5001,V$210,BD!$A$3:$A$5001,"&gt;="&amp;$C$7,BD!$A$3:$A$5001,"&lt;="&amp;$B233,BD!$Y$3:$Y$5001,"&lt;&gt;"))))</f>
        <v/>
      </c>
    </row>
    <row r="234">
      <c r="A234" s="38">
        <v>24</v>
      </c>
      <c r="B234" s="42">
        <f>$B$35</f>
        <v>46319</v>
      </c>
      <c r="C234" s="43" t="str">
        <f>IF(OR($B234="",$A234&gt;$B$9,C$210=""),"",IF(COUNTIFS(BD!$B$3:$B$5001,C$210,BD!$A$3:$A$5001,"&gt;="&amp;$C$7,BD!$A$3:$A$5001,"&lt;="&amp;$B234,BD!$Y$3:$Y$5001,"&lt;&gt;")=0,"",SUMIFS(BD!$Y$3:$Y$5001,BD!$B$3:$B$5001,C$210,BD!$A$3:$A$5001,_xlfn.MAXIFS(BD!$A$3:$A$5001,BD!$B$3:$B$5001,C$210,BD!$A$3:$A$5001,"&gt;="&amp;$C$7,BD!$A$3:$A$5001,"&lt;="&amp;$B234,BD!$Y$3:$Y$5001,"&lt;&gt;"))))</f>
        <v/>
      </c>
      <c r="D234" s="43" t="str">
        <f>IF(OR($B234="",$A234&gt;$B$9,D$210=""),"",IF(COUNTIFS(BD!$B$3:$B$5001,D$210,BD!$A$3:$A$5001,"&gt;="&amp;$C$7,BD!$A$3:$A$5001,"&lt;="&amp;$B234,BD!$Y$3:$Y$5001,"&lt;&gt;")=0,"",SUMIFS(BD!$Y$3:$Y$5001,BD!$B$3:$B$5001,D$210,BD!$A$3:$A$5001,_xlfn.MAXIFS(BD!$A$3:$A$5001,BD!$B$3:$B$5001,D$210,BD!$A$3:$A$5001,"&gt;="&amp;$C$7,BD!$A$3:$A$5001,"&lt;="&amp;$B234,BD!$Y$3:$Y$5001,"&lt;&gt;"))))</f>
        <v/>
      </c>
      <c r="E234" s="43" t="str">
        <f>IF(OR($B234="",$A234&gt;$B$9,E$210=""),"",IF(COUNTIFS(BD!$B$3:$B$5001,E$210,BD!$A$3:$A$5001,"&gt;="&amp;$C$7,BD!$A$3:$A$5001,"&lt;="&amp;$B234,BD!$Y$3:$Y$5001,"&lt;&gt;")=0,"",SUMIFS(BD!$Y$3:$Y$5001,BD!$B$3:$B$5001,E$210,BD!$A$3:$A$5001,_xlfn.MAXIFS(BD!$A$3:$A$5001,BD!$B$3:$B$5001,E$210,BD!$A$3:$A$5001,"&gt;="&amp;$C$7,BD!$A$3:$A$5001,"&lt;="&amp;$B234,BD!$Y$3:$Y$5001,"&lt;&gt;"))))</f>
        <v/>
      </c>
      <c r="F234" s="43" t="str">
        <f>IF(OR($B234="",$A234&gt;$B$9,F$210=""),"",IF(COUNTIFS(BD!$B$3:$B$5001,F$210,BD!$A$3:$A$5001,"&gt;="&amp;$C$7,BD!$A$3:$A$5001,"&lt;="&amp;$B234,BD!$Y$3:$Y$5001,"&lt;&gt;")=0,"",SUMIFS(BD!$Y$3:$Y$5001,BD!$B$3:$B$5001,F$210,BD!$A$3:$A$5001,_xlfn.MAXIFS(BD!$A$3:$A$5001,BD!$B$3:$B$5001,F$210,BD!$A$3:$A$5001,"&gt;="&amp;$C$7,BD!$A$3:$A$5001,"&lt;="&amp;$B234,BD!$Y$3:$Y$5001,"&lt;&gt;"))))</f>
        <v/>
      </c>
      <c r="G234" s="43" t="str">
        <f>IF(OR($B234="",$A234&gt;$B$9,G$210=""),"",IF(COUNTIFS(BD!$B$3:$B$5001,G$210,BD!$A$3:$A$5001,"&gt;="&amp;$C$7,BD!$A$3:$A$5001,"&lt;="&amp;$B234,BD!$Y$3:$Y$5001,"&lt;&gt;")=0,"",SUMIFS(BD!$Y$3:$Y$5001,BD!$B$3:$B$5001,G$210,BD!$A$3:$A$5001,_xlfn.MAXIFS(BD!$A$3:$A$5001,BD!$B$3:$B$5001,G$210,BD!$A$3:$A$5001,"&gt;="&amp;$C$7,BD!$A$3:$A$5001,"&lt;="&amp;$B234,BD!$Y$3:$Y$5001,"&lt;&gt;"))))</f>
        <v/>
      </c>
      <c r="H234" s="43" t="str">
        <f>IF(OR($B234="",$A234&gt;$B$9,H$210=""),"",IF(COUNTIFS(BD!$B$3:$B$5001,H$210,BD!$A$3:$A$5001,"&gt;="&amp;$C$7,BD!$A$3:$A$5001,"&lt;="&amp;$B234,BD!$Y$3:$Y$5001,"&lt;&gt;")=0,"",SUMIFS(BD!$Y$3:$Y$5001,BD!$B$3:$B$5001,H$210,BD!$A$3:$A$5001,_xlfn.MAXIFS(BD!$A$3:$A$5001,BD!$B$3:$B$5001,H$210,BD!$A$3:$A$5001,"&gt;="&amp;$C$7,BD!$A$3:$A$5001,"&lt;="&amp;$B234,BD!$Y$3:$Y$5001,"&lt;&gt;"))))</f>
        <v/>
      </c>
      <c r="I234" s="43" t="str">
        <f>IF(OR($B234="",$A234&gt;$B$9,I$210=""),"",IF(COUNTIFS(BD!$B$3:$B$5001,I$210,BD!$A$3:$A$5001,"&gt;="&amp;$C$7,BD!$A$3:$A$5001,"&lt;="&amp;$B234,BD!$Y$3:$Y$5001,"&lt;&gt;")=0,"",SUMIFS(BD!$Y$3:$Y$5001,BD!$B$3:$B$5001,I$210,BD!$A$3:$A$5001,_xlfn.MAXIFS(BD!$A$3:$A$5001,BD!$B$3:$B$5001,I$210,BD!$A$3:$A$5001,"&gt;="&amp;$C$7,BD!$A$3:$A$5001,"&lt;="&amp;$B234,BD!$Y$3:$Y$5001,"&lt;&gt;"))))</f>
        <v/>
      </c>
      <c r="J234" s="43" t="str">
        <f>IF(OR($B234="",$A234&gt;$B$9,J$210=""),"",IF(COUNTIFS(BD!$B$3:$B$5001,J$210,BD!$A$3:$A$5001,"&gt;="&amp;$C$7,BD!$A$3:$A$5001,"&lt;="&amp;$B234,BD!$Y$3:$Y$5001,"&lt;&gt;")=0,"",SUMIFS(BD!$Y$3:$Y$5001,BD!$B$3:$B$5001,J$210,BD!$A$3:$A$5001,_xlfn.MAXIFS(BD!$A$3:$A$5001,BD!$B$3:$B$5001,J$210,BD!$A$3:$A$5001,"&gt;="&amp;$C$7,BD!$A$3:$A$5001,"&lt;="&amp;$B234,BD!$Y$3:$Y$5001,"&lt;&gt;"))))</f>
        <v/>
      </c>
      <c r="K234" s="43" t="str">
        <f>IF(OR($B234="",$A234&gt;$B$9,K$210=""),"",IF(COUNTIFS(BD!$B$3:$B$5001,K$210,BD!$A$3:$A$5001,"&gt;="&amp;$C$7,BD!$A$3:$A$5001,"&lt;="&amp;$B234,BD!$Y$3:$Y$5001,"&lt;&gt;")=0,"",SUMIFS(BD!$Y$3:$Y$5001,BD!$B$3:$B$5001,K$210,BD!$A$3:$A$5001,_xlfn.MAXIFS(BD!$A$3:$A$5001,BD!$B$3:$B$5001,K$210,BD!$A$3:$A$5001,"&gt;="&amp;$C$7,BD!$A$3:$A$5001,"&lt;="&amp;$B234,BD!$Y$3:$Y$5001,"&lt;&gt;"))))</f>
        <v/>
      </c>
      <c r="L234" s="43" t="str">
        <f>IF(OR($B234="",$A234&gt;$B$9,L$210=""),"",IF(COUNTIFS(BD!$B$3:$B$5001,L$210,BD!$A$3:$A$5001,"&gt;="&amp;$C$7,BD!$A$3:$A$5001,"&lt;="&amp;$B234,BD!$Y$3:$Y$5001,"&lt;&gt;")=0,"",SUMIFS(BD!$Y$3:$Y$5001,BD!$B$3:$B$5001,L$210,BD!$A$3:$A$5001,_xlfn.MAXIFS(BD!$A$3:$A$5001,BD!$B$3:$B$5001,L$210,BD!$A$3:$A$5001,"&gt;="&amp;$C$7,BD!$A$3:$A$5001,"&lt;="&amp;$B234,BD!$Y$3:$Y$5001,"&lt;&gt;"))))</f>
        <v/>
      </c>
      <c r="M234" s="43" t="str">
        <f>IF(OR($B234="",$A234&gt;$B$9,M$210=""),"",IF(COUNTIFS(BD!$B$3:$B$5001,M$210,BD!$A$3:$A$5001,"&gt;="&amp;$C$7,BD!$A$3:$A$5001,"&lt;="&amp;$B234,BD!$Y$3:$Y$5001,"&lt;&gt;")=0,"",SUMIFS(BD!$Y$3:$Y$5001,BD!$B$3:$B$5001,M$210,BD!$A$3:$A$5001,_xlfn.MAXIFS(BD!$A$3:$A$5001,BD!$B$3:$B$5001,M$210,BD!$A$3:$A$5001,"&gt;="&amp;$C$7,BD!$A$3:$A$5001,"&lt;="&amp;$B234,BD!$Y$3:$Y$5001,"&lt;&gt;"))))</f>
        <v/>
      </c>
      <c r="N234" s="43" t="str">
        <f>IF(OR($B234="",$A234&gt;$B$9,N$210=""),"",IF(COUNTIFS(BD!$B$3:$B$5001,N$210,BD!$A$3:$A$5001,"&gt;="&amp;$C$7,BD!$A$3:$A$5001,"&lt;="&amp;$B234,BD!$Y$3:$Y$5001,"&lt;&gt;")=0,"",SUMIFS(BD!$Y$3:$Y$5001,BD!$B$3:$B$5001,N$210,BD!$A$3:$A$5001,_xlfn.MAXIFS(BD!$A$3:$A$5001,BD!$B$3:$B$5001,N$210,BD!$A$3:$A$5001,"&gt;="&amp;$C$7,BD!$A$3:$A$5001,"&lt;="&amp;$B234,BD!$Y$3:$Y$5001,"&lt;&gt;"))))</f>
        <v/>
      </c>
      <c r="O234" s="43" t="str">
        <f>IF(OR($B234="",$A234&gt;$B$9,O$210=""),"",IF(COUNTIFS(BD!$B$3:$B$5001,O$210,BD!$A$3:$A$5001,"&gt;="&amp;$C$7,BD!$A$3:$A$5001,"&lt;="&amp;$B234,BD!$Y$3:$Y$5001,"&lt;&gt;")=0,"",SUMIFS(BD!$Y$3:$Y$5001,BD!$B$3:$B$5001,O$210,BD!$A$3:$A$5001,_xlfn.MAXIFS(BD!$A$3:$A$5001,BD!$B$3:$B$5001,O$210,BD!$A$3:$A$5001,"&gt;="&amp;$C$7,BD!$A$3:$A$5001,"&lt;="&amp;$B234,BD!$Y$3:$Y$5001,"&lt;&gt;"))))</f>
        <v/>
      </c>
      <c r="P234" s="43" t="str">
        <f>IF(OR($B234="",$A234&gt;$B$9,P$210=""),"",IF(COUNTIFS(BD!$B$3:$B$5001,P$210,BD!$A$3:$A$5001,"&gt;="&amp;$C$7,BD!$A$3:$A$5001,"&lt;="&amp;$B234,BD!$Y$3:$Y$5001,"&lt;&gt;")=0,"",SUMIFS(BD!$Y$3:$Y$5001,BD!$B$3:$B$5001,P$210,BD!$A$3:$A$5001,_xlfn.MAXIFS(BD!$A$3:$A$5001,BD!$B$3:$B$5001,P$210,BD!$A$3:$A$5001,"&gt;="&amp;$C$7,BD!$A$3:$A$5001,"&lt;="&amp;$B234,BD!$Y$3:$Y$5001,"&lt;&gt;"))))</f>
        <v/>
      </c>
      <c r="Q234" s="43" t="str">
        <f>IF(OR($B234="",$A234&gt;$B$9,Q$210=""),"",IF(COUNTIFS(BD!$B$3:$B$5001,Q$210,BD!$A$3:$A$5001,"&gt;="&amp;$C$7,BD!$A$3:$A$5001,"&lt;="&amp;$B234,BD!$Y$3:$Y$5001,"&lt;&gt;")=0,"",SUMIFS(BD!$Y$3:$Y$5001,BD!$B$3:$B$5001,Q$210,BD!$A$3:$A$5001,_xlfn.MAXIFS(BD!$A$3:$A$5001,BD!$B$3:$B$5001,Q$210,BD!$A$3:$A$5001,"&gt;="&amp;$C$7,BD!$A$3:$A$5001,"&lt;="&amp;$B234,BD!$Y$3:$Y$5001,"&lt;&gt;"))))</f>
        <v/>
      </c>
      <c r="R234" s="43" t="str">
        <f>IF(OR($B234="",$A234&gt;$B$9,R$210=""),"",IF(COUNTIFS(BD!$B$3:$B$5001,R$210,BD!$A$3:$A$5001,"&gt;="&amp;$C$7,BD!$A$3:$A$5001,"&lt;="&amp;$B234,BD!$Y$3:$Y$5001,"&lt;&gt;")=0,"",SUMIFS(BD!$Y$3:$Y$5001,BD!$B$3:$B$5001,R$210,BD!$A$3:$A$5001,_xlfn.MAXIFS(BD!$A$3:$A$5001,BD!$B$3:$B$5001,R$210,BD!$A$3:$A$5001,"&gt;="&amp;$C$7,BD!$A$3:$A$5001,"&lt;="&amp;$B234,BD!$Y$3:$Y$5001,"&lt;&gt;"))))</f>
        <v/>
      </c>
      <c r="S234" s="43" t="str">
        <f>IF(OR($B234="",$A234&gt;$B$9,S$210=""),"",IF(COUNTIFS(BD!$B$3:$B$5001,S$210,BD!$A$3:$A$5001,"&gt;="&amp;$C$7,BD!$A$3:$A$5001,"&lt;="&amp;$B234,BD!$Y$3:$Y$5001,"&lt;&gt;")=0,"",SUMIFS(BD!$Y$3:$Y$5001,BD!$B$3:$B$5001,S$210,BD!$A$3:$A$5001,_xlfn.MAXIFS(BD!$A$3:$A$5001,BD!$B$3:$B$5001,S$210,BD!$A$3:$A$5001,"&gt;="&amp;$C$7,BD!$A$3:$A$5001,"&lt;="&amp;$B234,BD!$Y$3:$Y$5001,"&lt;&gt;"))))</f>
        <v/>
      </c>
      <c r="T234" s="43" t="str">
        <f>IF(OR($B234="",$A234&gt;$B$9,T$210=""),"",IF(COUNTIFS(BD!$B$3:$B$5001,T$210,BD!$A$3:$A$5001,"&gt;="&amp;$C$7,BD!$A$3:$A$5001,"&lt;="&amp;$B234,BD!$Y$3:$Y$5001,"&lt;&gt;")=0,"",SUMIFS(BD!$Y$3:$Y$5001,BD!$B$3:$B$5001,T$210,BD!$A$3:$A$5001,_xlfn.MAXIFS(BD!$A$3:$A$5001,BD!$B$3:$B$5001,T$210,BD!$A$3:$A$5001,"&gt;="&amp;$C$7,BD!$A$3:$A$5001,"&lt;="&amp;$B234,BD!$Y$3:$Y$5001,"&lt;&gt;"))))</f>
        <v/>
      </c>
      <c r="U234" s="43" t="str">
        <f>IF(OR($B234="",$A234&gt;$B$9,U$210=""),"",IF(COUNTIFS(BD!$B$3:$B$5001,U$210,BD!$A$3:$A$5001,"&gt;="&amp;$C$7,BD!$A$3:$A$5001,"&lt;="&amp;$B234,BD!$Y$3:$Y$5001,"&lt;&gt;")=0,"",SUMIFS(BD!$Y$3:$Y$5001,BD!$B$3:$B$5001,U$210,BD!$A$3:$A$5001,_xlfn.MAXIFS(BD!$A$3:$A$5001,BD!$B$3:$B$5001,U$210,BD!$A$3:$A$5001,"&gt;="&amp;$C$7,BD!$A$3:$A$5001,"&lt;="&amp;$B234,BD!$Y$3:$Y$5001,"&lt;&gt;"))))</f>
        <v/>
      </c>
      <c r="V234" s="43" t="str">
        <f>IF(OR($B234="",$A234&gt;$B$9,V$210=""),"",IF(COUNTIFS(BD!$B$3:$B$5001,V$210,BD!$A$3:$A$5001,"&gt;="&amp;$C$7,BD!$A$3:$A$5001,"&lt;="&amp;$B234,BD!$Y$3:$Y$5001,"&lt;&gt;")=0,"",SUMIFS(BD!$Y$3:$Y$5001,BD!$B$3:$B$5001,V$210,BD!$A$3:$A$5001,_xlfn.MAXIFS(BD!$A$3:$A$5001,BD!$B$3:$B$5001,V$210,BD!$A$3:$A$5001,"&gt;="&amp;$C$7,BD!$A$3:$A$5001,"&lt;="&amp;$B234,BD!$Y$3:$Y$5001,"&lt;&gt;"))))</f>
        <v/>
      </c>
    </row>
    <row r="235">
      <c r="A235" s="38">
        <v>25</v>
      </c>
      <c r="B235" s="42">
        <f>$B$36</f>
        <v>46320</v>
      </c>
      <c r="C235" s="43" t="str">
        <f>IF(OR($B235="",$A235&gt;$B$9,C$210=""),"",IF(COUNTIFS(BD!$B$3:$B$5001,C$210,BD!$A$3:$A$5001,"&gt;="&amp;$C$7,BD!$A$3:$A$5001,"&lt;="&amp;$B235,BD!$Y$3:$Y$5001,"&lt;&gt;")=0,"",SUMIFS(BD!$Y$3:$Y$5001,BD!$B$3:$B$5001,C$210,BD!$A$3:$A$5001,_xlfn.MAXIFS(BD!$A$3:$A$5001,BD!$B$3:$B$5001,C$210,BD!$A$3:$A$5001,"&gt;="&amp;$C$7,BD!$A$3:$A$5001,"&lt;="&amp;$B235,BD!$Y$3:$Y$5001,"&lt;&gt;"))))</f>
        <v/>
      </c>
      <c r="D235" s="43" t="str">
        <f>IF(OR($B235="",$A235&gt;$B$9,D$210=""),"",IF(COUNTIFS(BD!$B$3:$B$5001,D$210,BD!$A$3:$A$5001,"&gt;="&amp;$C$7,BD!$A$3:$A$5001,"&lt;="&amp;$B235,BD!$Y$3:$Y$5001,"&lt;&gt;")=0,"",SUMIFS(BD!$Y$3:$Y$5001,BD!$B$3:$B$5001,D$210,BD!$A$3:$A$5001,_xlfn.MAXIFS(BD!$A$3:$A$5001,BD!$B$3:$B$5001,D$210,BD!$A$3:$A$5001,"&gt;="&amp;$C$7,BD!$A$3:$A$5001,"&lt;="&amp;$B235,BD!$Y$3:$Y$5001,"&lt;&gt;"))))</f>
        <v/>
      </c>
      <c r="E235" s="43" t="str">
        <f>IF(OR($B235="",$A235&gt;$B$9,E$210=""),"",IF(COUNTIFS(BD!$B$3:$B$5001,E$210,BD!$A$3:$A$5001,"&gt;="&amp;$C$7,BD!$A$3:$A$5001,"&lt;="&amp;$B235,BD!$Y$3:$Y$5001,"&lt;&gt;")=0,"",SUMIFS(BD!$Y$3:$Y$5001,BD!$B$3:$B$5001,E$210,BD!$A$3:$A$5001,_xlfn.MAXIFS(BD!$A$3:$A$5001,BD!$B$3:$B$5001,E$210,BD!$A$3:$A$5001,"&gt;="&amp;$C$7,BD!$A$3:$A$5001,"&lt;="&amp;$B235,BD!$Y$3:$Y$5001,"&lt;&gt;"))))</f>
        <v/>
      </c>
      <c r="F235" s="43" t="str">
        <f>IF(OR($B235="",$A235&gt;$B$9,F$210=""),"",IF(COUNTIFS(BD!$B$3:$B$5001,F$210,BD!$A$3:$A$5001,"&gt;="&amp;$C$7,BD!$A$3:$A$5001,"&lt;="&amp;$B235,BD!$Y$3:$Y$5001,"&lt;&gt;")=0,"",SUMIFS(BD!$Y$3:$Y$5001,BD!$B$3:$B$5001,F$210,BD!$A$3:$A$5001,_xlfn.MAXIFS(BD!$A$3:$A$5001,BD!$B$3:$B$5001,F$210,BD!$A$3:$A$5001,"&gt;="&amp;$C$7,BD!$A$3:$A$5001,"&lt;="&amp;$B235,BD!$Y$3:$Y$5001,"&lt;&gt;"))))</f>
        <v/>
      </c>
      <c r="G235" s="43" t="str">
        <f>IF(OR($B235="",$A235&gt;$B$9,G$210=""),"",IF(COUNTIFS(BD!$B$3:$B$5001,G$210,BD!$A$3:$A$5001,"&gt;="&amp;$C$7,BD!$A$3:$A$5001,"&lt;="&amp;$B235,BD!$Y$3:$Y$5001,"&lt;&gt;")=0,"",SUMIFS(BD!$Y$3:$Y$5001,BD!$B$3:$B$5001,G$210,BD!$A$3:$A$5001,_xlfn.MAXIFS(BD!$A$3:$A$5001,BD!$B$3:$B$5001,G$210,BD!$A$3:$A$5001,"&gt;="&amp;$C$7,BD!$A$3:$A$5001,"&lt;="&amp;$B235,BD!$Y$3:$Y$5001,"&lt;&gt;"))))</f>
        <v/>
      </c>
      <c r="H235" s="43" t="str">
        <f>IF(OR($B235="",$A235&gt;$B$9,H$210=""),"",IF(COUNTIFS(BD!$B$3:$B$5001,H$210,BD!$A$3:$A$5001,"&gt;="&amp;$C$7,BD!$A$3:$A$5001,"&lt;="&amp;$B235,BD!$Y$3:$Y$5001,"&lt;&gt;")=0,"",SUMIFS(BD!$Y$3:$Y$5001,BD!$B$3:$B$5001,H$210,BD!$A$3:$A$5001,_xlfn.MAXIFS(BD!$A$3:$A$5001,BD!$B$3:$B$5001,H$210,BD!$A$3:$A$5001,"&gt;="&amp;$C$7,BD!$A$3:$A$5001,"&lt;="&amp;$B235,BD!$Y$3:$Y$5001,"&lt;&gt;"))))</f>
        <v/>
      </c>
      <c r="I235" s="43" t="str">
        <f>IF(OR($B235="",$A235&gt;$B$9,I$210=""),"",IF(COUNTIFS(BD!$B$3:$B$5001,I$210,BD!$A$3:$A$5001,"&gt;="&amp;$C$7,BD!$A$3:$A$5001,"&lt;="&amp;$B235,BD!$Y$3:$Y$5001,"&lt;&gt;")=0,"",SUMIFS(BD!$Y$3:$Y$5001,BD!$B$3:$B$5001,I$210,BD!$A$3:$A$5001,_xlfn.MAXIFS(BD!$A$3:$A$5001,BD!$B$3:$B$5001,I$210,BD!$A$3:$A$5001,"&gt;="&amp;$C$7,BD!$A$3:$A$5001,"&lt;="&amp;$B235,BD!$Y$3:$Y$5001,"&lt;&gt;"))))</f>
        <v/>
      </c>
      <c r="J235" s="43" t="str">
        <f>IF(OR($B235="",$A235&gt;$B$9,J$210=""),"",IF(COUNTIFS(BD!$B$3:$B$5001,J$210,BD!$A$3:$A$5001,"&gt;="&amp;$C$7,BD!$A$3:$A$5001,"&lt;="&amp;$B235,BD!$Y$3:$Y$5001,"&lt;&gt;")=0,"",SUMIFS(BD!$Y$3:$Y$5001,BD!$B$3:$B$5001,J$210,BD!$A$3:$A$5001,_xlfn.MAXIFS(BD!$A$3:$A$5001,BD!$B$3:$B$5001,J$210,BD!$A$3:$A$5001,"&gt;="&amp;$C$7,BD!$A$3:$A$5001,"&lt;="&amp;$B235,BD!$Y$3:$Y$5001,"&lt;&gt;"))))</f>
        <v/>
      </c>
      <c r="K235" s="43" t="str">
        <f>IF(OR($B235="",$A235&gt;$B$9,K$210=""),"",IF(COUNTIFS(BD!$B$3:$B$5001,K$210,BD!$A$3:$A$5001,"&gt;="&amp;$C$7,BD!$A$3:$A$5001,"&lt;="&amp;$B235,BD!$Y$3:$Y$5001,"&lt;&gt;")=0,"",SUMIFS(BD!$Y$3:$Y$5001,BD!$B$3:$B$5001,K$210,BD!$A$3:$A$5001,_xlfn.MAXIFS(BD!$A$3:$A$5001,BD!$B$3:$B$5001,K$210,BD!$A$3:$A$5001,"&gt;="&amp;$C$7,BD!$A$3:$A$5001,"&lt;="&amp;$B235,BD!$Y$3:$Y$5001,"&lt;&gt;"))))</f>
        <v/>
      </c>
      <c r="L235" s="43" t="str">
        <f>IF(OR($B235="",$A235&gt;$B$9,L$210=""),"",IF(COUNTIFS(BD!$B$3:$B$5001,L$210,BD!$A$3:$A$5001,"&gt;="&amp;$C$7,BD!$A$3:$A$5001,"&lt;="&amp;$B235,BD!$Y$3:$Y$5001,"&lt;&gt;")=0,"",SUMIFS(BD!$Y$3:$Y$5001,BD!$B$3:$B$5001,L$210,BD!$A$3:$A$5001,_xlfn.MAXIFS(BD!$A$3:$A$5001,BD!$B$3:$B$5001,L$210,BD!$A$3:$A$5001,"&gt;="&amp;$C$7,BD!$A$3:$A$5001,"&lt;="&amp;$B235,BD!$Y$3:$Y$5001,"&lt;&gt;"))))</f>
        <v/>
      </c>
      <c r="M235" s="43" t="str">
        <f>IF(OR($B235="",$A235&gt;$B$9,M$210=""),"",IF(COUNTIFS(BD!$B$3:$B$5001,M$210,BD!$A$3:$A$5001,"&gt;="&amp;$C$7,BD!$A$3:$A$5001,"&lt;="&amp;$B235,BD!$Y$3:$Y$5001,"&lt;&gt;")=0,"",SUMIFS(BD!$Y$3:$Y$5001,BD!$B$3:$B$5001,M$210,BD!$A$3:$A$5001,_xlfn.MAXIFS(BD!$A$3:$A$5001,BD!$B$3:$B$5001,M$210,BD!$A$3:$A$5001,"&gt;="&amp;$C$7,BD!$A$3:$A$5001,"&lt;="&amp;$B235,BD!$Y$3:$Y$5001,"&lt;&gt;"))))</f>
        <v/>
      </c>
      <c r="N235" s="43" t="str">
        <f>IF(OR($B235="",$A235&gt;$B$9,N$210=""),"",IF(COUNTIFS(BD!$B$3:$B$5001,N$210,BD!$A$3:$A$5001,"&gt;="&amp;$C$7,BD!$A$3:$A$5001,"&lt;="&amp;$B235,BD!$Y$3:$Y$5001,"&lt;&gt;")=0,"",SUMIFS(BD!$Y$3:$Y$5001,BD!$B$3:$B$5001,N$210,BD!$A$3:$A$5001,_xlfn.MAXIFS(BD!$A$3:$A$5001,BD!$B$3:$B$5001,N$210,BD!$A$3:$A$5001,"&gt;="&amp;$C$7,BD!$A$3:$A$5001,"&lt;="&amp;$B235,BD!$Y$3:$Y$5001,"&lt;&gt;"))))</f>
        <v/>
      </c>
      <c r="O235" s="43" t="str">
        <f>IF(OR($B235="",$A235&gt;$B$9,O$210=""),"",IF(COUNTIFS(BD!$B$3:$B$5001,O$210,BD!$A$3:$A$5001,"&gt;="&amp;$C$7,BD!$A$3:$A$5001,"&lt;="&amp;$B235,BD!$Y$3:$Y$5001,"&lt;&gt;")=0,"",SUMIFS(BD!$Y$3:$Y$5001,BD!$B$3:$B$5001,O$210,BD!$A$3:$A$5001,_xlfn.MAXIFS(BD!$A$3:$A$5001,BD!$B$3:$B$5001,O$210,BD!$A$3:$A$5001,"&gt;="&amp;$C$7,BD!$A$3:$A$5001,"&lt;="&amp;$B235,BD!$Y$3:$Y$5001,"&lt;&gt;"))))</f>
        <v/>
      </c>
      <c r="P235" s="43" t="str">
        <f>IF(OR($B235="",$A235&gt;$B$9,P$210=""),"",IF(COUNTIFS(BD!$B$3:$B$5001,P$210,BD!$A$3:$A$5001,"&gt;="&amp;$C$7,BD!$A$3:$A$5001,"&lt;="&amp;$B235,BD!$Y$3:$Y$5001,"&lt;&gt;")=0,"",SUMIFS(BD!$Y$3:$Y$5001,BD!$B$3:$B$5001,P$210,BD!$A$3:$A$5001,_xlfn.MAXIFS(BD!$A$3:$A$5001,BD!$B$3:$B$5001,P$210,BD!$A$3:$A$5001,"&gt;="&amp;$C$7,BD!$A$3:$A$5001,"&lt;="&amp;$B235,BD!$Y$3:$Y$5001,"&lt;&gt;"))))</f>
        <v/>
      </c>
      <c r="Q235" s="43" t="str">
        <f>IF(OR($B235="",$A235&gt;$B$9,Q$210=""),"",IF(COUNTIFS(BD!$B$3:$B$5001,Q$210,BD!$A$3:$A$5001,"&gt;="&amp;$C$7,BD!$A$3:$A$5001,"&lt;="&amp;$B235,BD!$Y$3:$Y$5001,"&lt;&gt;")=0,"",SUMIFS(BD!$Y$3:$Y$5001,BD!$B$3:$B$5001,Q$210,BD!$A$3:$A$5001,_xlfn.MAXIFS(BD!$A$3:$A$5001,BD!$B$3:$B$5001,Q$210,BD!$A$3:$A$5001,"&gt;="&amp;$C$7,BD!$A$3:$A$5001,"&lt;="&amp;$B235,BD!$Y$3:$Y$5001,"&lt;&gt;"))))</f>
        <v/>
      </c>
      <c r="R235" s="43" t="str">
        <f>IF(OR($B235="",$A235&gt;$B$9,R$210=""),"",IF(COUNTIFS(BD!$B$3:$B$5001,R$210,BD!$A$3:$A$5001,"&gt;="&amp;$C$7,BD!$A$3:$A$5001,"&lt;="&amp;$B235,BD!$Y$3:$Y$5001,"&lt;&gt;")=0,"",SUMIFS(BD!$Y$3:$Y$5001,BD!$B$3:$B$5001,R$210,BD!$A$3:$A$5001,_xlfn.MAXIFS(BD!$A$3:$A$5001,BD!$B$3:$B$5001,R$210,BD!$A$3:$A$5001,"&gt;="&amp;$C$7,BD!$A$3:$A$5001,"&lt;="&amp;$B235,BD!$Y$3:$Y$5001,"&lt;&gt;"))))</f>
        <v/>
      </c>
      <c r="S235" s="43" t="str">
        <f>IF(OR($B235="",$A235&gt;$B$9,S$210=""),"",IF(COUNTIFS(BD!$B$3:$B$5001,S$210,BD!$A$3:$A$5001,"&gt;="&amp;$C$7,BD!$A$3:$A$5001,"&lt;="&amp;$B235,BD!$Y$3:$Y$5001,"&lt;&gt;")=0,"",SUMIFS(BD!$Y$3:$Y$5001,BD!$B$3:$B$5001,S$210,BD!$A$3:$A$5001,_xlfn.MAXIFS(BD!$A$3:$A$5001,BD!$B$3:$B$5001,S$210,BD!$A$3:$A$5001,"&gt;="&amp;$C$7,BD!$A$3:$A$5001,"&lt;="&amp;$B235,BD!$Y$3:$Y$5001,"&lt;&gt;"))))</f>
        <v/>
      </c>
      <c r="T235" s="43" t="str">
        <f>IF(OR($B235="",$A235&gt;$B$9,T$210=""),"",IF(COUNTIFS(BD!$B$3:$B$5001,T$210,BD!$A$3:$A$5001,"&gt;="&amp;$C$7,BD!$A$3:$A$5001,"&lt;="&amp;$B235,BD!$Y$3:$Y$5001,"&lt;&gt;")=0,"",SUMIFS(BD!$Y$3:$Y$5001,BD!$B$3:$B$5001,T$210,BD!$A$3:$A$5001,_xlfn.MAXIFS(BD!$A$3:$A$5001,BD!$B$3:$B$5001,T$210,BD!$A$3:$A$5001,"&gt;="&amp;$C$7,BD!$A$3:$A$5001,"&lt;="&amp;$B235,BD!$Y$3:$Y$5001,"&lt;&gt;"))))</f>
        <v/>
      </c>
      <c r="U235" s="43" t="str">
        <f>IF(OR($B235="",$A235&gt;$B$9,U$210=""),"",IF(COUNTIFS(BD!$B$3:$B$5001,U$210,BD!$A$3:$A$5001,"&gt;="&amp;$C$7,BD!$A$3:$A$5001,"&lt;="&amp;$B235,BD!$Y$3:$Y$5001,"&lt;&gt;")=0,"",SUMIFS(BD!$Y$3:$Y$5001,BD!$B$3:$B$5001,U$210,BD!$A$3:$A$5001,_xlfn.MAXIFS(BD!$A$3:$A$5001,BD!$B$3:$B$5001,U$210,BD!$A$3:$A$5001,"&gt;="&amp;$C$7,BD!$A$3:$A$5001,"&lt;="&amp;$B235,BD!$Y$3:$Y$5001,"&lt;&gt;"))))</f>
        <v/>
      </c>
      <c r="V235" s="43" t="str">
        <f>IF(OR($B235="",$A235&gt;$B$9,V$210=""),"",IF(COUNTIFS(BD!$B$3:$B$5001,V$210,BD!$A$3:$A$5001,"&gt;="&amp;$C$7,BD!$A$3:$A$5001,"&lt;="&amp;$B235,BD!$Y$3:$Y$5001,"&lt;&gt;")=0,"",SUMIFS(BD!$Y$3:$Y$5001,BD!$B$3:$B$5001,V$210,BD!$A$3:$A$5001,_xlfn.MAXIFS(BD!$A$3:$A$5001,BD!$B$3:$B$5001,V$210,BD!$A$3:$A$5001,"&gt;="&amp;$C$7,BD!$A$3:$A$5001,"&lt;="&amp;$B235,BD!$Y$3:$Y$5001,"&lt;&gt;"))))</f>
        <v/>
      </c>
    </row>
    <row r="236">
      <c r="A236" s="38">
        <v>26</v>
      </c>
      <c r="B236" s="42">
        <f>$B$37</f>
        <v>46321</v>
      </c>
      <c r="C236" s="43" t="str">
        <f>IF(OR($B236="",$A236&gt;$B$9,C$210=""),"",IF(COUNTIFS(BD!$B$3:$B$5001,C$210,BD!$A$3:$A$5001,"&gt;="&amp;$C$7,BD!$A$3:$A$5001,"&lt;="&amp;$B236,BD!$Y$3:$Y$5001,"&lt;&gt;")=0,"",SUMIFS(BD!$Y$3:$Y$5001,BD!$B$3:$B$5001,C$210,BD!$A$3:$A$5001,_xlfn.MAXIFS(BD!$A$3:$A$5001,BD!$B$3:$B$5001,C$210,BD!$A$3:$A$5001,"&gt;="&amp;$C$7,BD!$A$3:$A$5001,"&lt;="&amp;$B236,BD!$Y$3:$Y$5001,"&lt;&gt;"))))</f>
        <v/>
      </c>
      <c r="D236" s="43" t="str">
        <f>IF(OR($B236="",$A236&gt;$B$9,D$210=""),"",IF(COUNTIFS(BD!$B$3:$B$5001,D$210,BD!$A$3:$A$5001,"&gt;="&amp;$C$7,BD!$A$3:$A$5001,"&lt;="&amp;$B236,BD!$Y$3:$Y$5001,"&lt;&gt;")=0,"",SUMIFS(BD!$Y$3:$Y$5001,BD!$B$3:$B$5001,D$210,BD!$A$3:$A$5001,_xlfn.MAXIFS(BD!$A$3:$A$5001,BD!$B$3:$B$5001,D$210,BD!$A$3:$A$5001,"&gt;="&amp;$C$7,BD!$A$3:$A$5001,"&lt;="&amp;$B236,BD!$Y$3:$Y$5001,"&lt;&gt;"))))</f>
        <v/>
      </c>
      <c r="E236" s="43" t="str">
        <f>IF(OR($B236="",$A236&gt;$B$9,E$210=""),"",IF(COUNTIFS(BD!$B$3:$B$5001,E$210,BD!$A$3:$A$5001,"&gt;="&amp;$C$7,BD!$A$3:$A$5001,"&lt;="&amp;$B236,BD!$Y$3:$Y$5001,"&lt;&gt;")=0,"",SUMIFS(BD!$Y$3:$Y$5001,BD!$B$3:$B$5001,E$210,BD!$A$3:$A$5001,_xlfn.MAXIFS(BD!$A$3:$A$5001,BD!$B$3:$B$5001,E$210,BD!$A$3:$A$5001,"&gt;="&amp;$C$7,BD!$A$3:$A$5001,"&lt;="&amp;$B236,BD!$Y$3:$Y$5001,"&lt;&gt;"))))</f>
        <v/>
      </c>
      <c r="F236" s="43" t="str">
        <f>IF(OR($B236="",$A236&gt;$B$9,F$210=""),"",IF(COUNTIFS(BD!$B$3:$B$5001,F$210,BD!$A$3:$A$5001,"&gt;="&amp;$C$7,BD!$A$3:$A$5001,"&lt;="&amp;$B236,BD!$Y$3:$Y$5001,"&lt;&gt;")=0,"",SUMIFS(BD!$Y$3:$Y$5001,BD!$B$3:$B$5001,F$210,BD!$A$3:$A$5001,_xlfn.MAXIFS(BD!$A$3:$A$5001,BD!$B$3:$B$5001,F$210,BD!$A$3:$A$5001,"&gt;="&amp;$C$7,BD!$A$3:$A$5001,"&lt;="&amp;$B236,BD!$Y$3:$Y$5001,"&lt;&gt;"))))</f>
        <v/>
      </c>
      <c r="G236" s="43" t="str">
        <f>IF(OR($B236="",$A236&gt;$B$9,G$210=""),"",IF(COUNTIFS(BD!$B$3:$B$5001,G$210,BD!$A$3:$A$5001,"&gt;="&amp;$C$7,BD!$A$3:$A$5001,"&lt;="&amp;$B236,BD!$Y$3:$Y$5001,"&lt;&gt;")=0,"",SUMIFS(BD!$Y$3:$Y$5001,BD!$B$3:$B$5001,G$210,BD!$A$3:$A$5001,_xlfn.MAXIFS(BD!$A$3:$A$5001,BD!$B$3:$B$5001,G$210,BD!$A$3:$A$5001,"&gt;="&amp;$C$7,BD!$A$3:$A$5001,"&lt;="&amp;$B236,BD!$Y$3:$Y$5001,"&lt;&gt;"))))</f>
        <v/>
      </c>
      <c r="H236" s="43" t="str">
        <f>IF(OR($B236="",$A236&gt;$B$9,H$210=""),"",IF(COUNTIFS(BD!$B$3:$B$5001,H$210,BD!$A$3:$A$5001,"&gt;="&amp;$C$7,BD!$A$3:$A$5001,"&lt;="&amp;$B236,BD!$Y$3:$Y$5001,"&lt;&gt;")=0,"",SUMIFS(BD!$Y$3:$Y$5001,BD!$B$3:$B$5001,H$210,BD!$A$3:$A$5001,_xlfn.MAXIFS(BD!$A$3:$A$5001,BD!$B$3:$B$5001,H$210,BD!$A$3:$A$5001,"&gt;="&amp;$C$7,BD!$A$3:$A$5001,"&lt;="&amp;$B236,BD!$Y$3:$Y$5001,"&lt;&gt;"))))</f>
        <v/>
      </c>
      <c r="I236" s="43" t="str">
        <f>IF(OR($B236="",$A236&gt;$B$9,I$210=""),"",IF(COUNTIFS(BD!$B$3:$B$5001,I$210,BD!$A$3:$A$5001,"&gt;="&amp;$C$7,BD!$A$3:$A$5001,"&lt;="&amp;$B236,BD!$Y$3:$Y$5001,"&lt;&gt;")=0,"",SUMIFS(BD!$Y$3:$Y$5001,BD!$B$3:$B$5001,I$210,BD!$A$3:$A$5001,_xlfn.MAXIFS(BD!$A$3:$A$5001,BD!$B$3:$B$5001,I$210,BD!$A$3:$A$5001,"&gt;="&amp;$C$7,BD!$A$3:$A$5001,"&lt;="&amp;$B236,BD!$Y$3:$Y$5001,"&lt;&gt;"))))</f>
        <v/>
      </c>
      <c r="J236" s="43" t="str">
        <f>IF(OR($B236="",$A236&gt;$B$9,J$210=""),"",IF(COUNTIFS(BD!$B$3:$B$5001,J$210,BD!$A$3:$A$5001,"&gt;="&amp;$C$7,BD!$A$3:$A$5001,"&lt;="&amp;$B236,BD!$Y$3:$Y$5001,"&lt;&gt;")=0,"",SUMIFS(BD!$Y$3:$Y$5001,BD!$B$3:$B$5001,J$210,BD!$A$3:$A$5001,_xlfn.MAXIFS(BD!$A$3:$A$5001,BD!$B$3:$B$5001,J$210,BD!$A$3:$A$5001,"&gt;="&amp;$C$7,BD!$A$3:$A$5001,"&lt;="&amp;$B236,BD!$Y$3:$Y$5001,"&lt;&gt;"))))</f>
        <v/>
      </c>
      <c r="K236" s="43" t="str">
        <f>IF(OR($B236="",$A236&gt;$B$9,K$210=""),"",IF(COUNTIFS(BD!$B$3:$B$5001,K$210,BD!$A$3:$A$5001,"&gt;="&amp;$C$7,BD!$A$3:$A$5001,"&lt;="&amp;$B236,BD!$Y$3:$Y$5001,"&lt;&gt;")=0,"",SUMIFS(BD!$Y$3:$Y$5001,BD!$B$3:$B$5001,K$210,BD!$A$3:$A$5001,_xlfn.MAXIFS(BD!$A$3:$A$5001,BD!$B$3:$B$5001,K$210,BD!$A$3:$A$5001,"&gt;="&amp;$C$7,BD!$A$3:$A$5001,"&lt;="&amp;$B236,BD!$Y$3:$Y$5001,"&lt;&gt;"))))</f>
        <v/>
      </c>
      <c r="L236" s="43" t="str">
        <f>IF(OR($B236="",$A236&gt;$B$9,L$210=""),"",IF(COUNTIFS(BD!$B$3:$B$5001,L$210,BD!$A$3:$A$5001,"&gt;="&amp;$C$7,BD!$A$3:$A$5001,"&lt;="&amp;$B236,BD!$Y$3:$Y$5001,"&lt;&gt;")=0,"",SUMIFS(BD!$Y$3:$Y$5001,BD!$B$3:$B$5001,L$210,BD!$A$3:$A$5001,_xlfn.MAXIFS(BD!$A$3:$A$5001,BD!$B$3:$B$5001,L$210,BD!$A$3:$A$5001,"&gt;="&amp;$C$7,BD!$A$3:$A$5001,"&lt;="&amp;$B236,BD!$Y$3:$Y$5001,"&lt;&gt;"))))</f>
        <v/>
      </c>
      <c r="M236" s="43" t="str">
        <f>IF(OR($B236="",$A236&gt;$B$9,M$210=""),"",IF(COUNTIFS(BD!$B$3:$B$5001,M$210,BD!$A$3:$A$5001,"&gt;="&amp;$C$7,BD!$A$3:$A$5001,"&lt;="&amp;$B236,BD!$Y$3:$Y$5001,"&lt;&gt;")=0,"",SUMIFS(BD!$Y$3:$Y$5001,BD!$B$3:$B$5001,M$210,BD!$A$3:$A$5001,_xlfn.MAXIFS(BD!$A$3:$A$5001,BD!$B$3:$B$5001,M$210,BD!$A$3:$A$5001,"&gt;="&amp;$C$7,BD!$A$3:$A$5001,"&lt;="&amp;$B236,BD!$Y$3:$Y$5001,"&lt;&gt;"))))</f>
        <v/>
      </c>
      <c r="N236" s="43" t="str">
        <f>IF(OR($B236="",$A236&gt;$B$9,N$210=""),"",IF(COUNTIFS(BD!$B$3:$B$5001,N$210,BD!$A$3:$A$5001,"&gt;="&amp;$C$7,BD!$A$3:$A$5001,"&lt;="&amp;$B236,BD!$Y$3:$Y$5001,"&lt;&gt;")=0,"",SUMIFS(BD!$Y$3:$Y$5001,BD!$B$3:$B$5001,N$210,BD!$A$3:$A$5001,_xlfn.MAXIFS(BD!$A$3:$A$5001,BD!$B$3:$B$5001,N$210,BD!$A$3:$A$5001,"&gt;="&amp;$C$7,BD!$A$3:$A$5001,"&lt;="&amp;$B236,BD!$Y$3:$Y$5001,"&lt;&gt;"))))</f>
        <v/>
      </c>
      <c r="O236" s="43" t="str">
        <f>IF(OR($B236="",$A236&gt;$B$9,O$210=""),"",IF(COUNTIFS(BD!$B$3:$B$5001,O$210,BD!$A$3:$A$5001,"&gt;="&amp;$C$7,BD!$A$3:$A$5001,"&lt;="&amp;$B236,BD!$Y$3:$Y$5001,"&lt;&gt;")=0,"",SUMIFS(BD!$Y$3:$Y$5001,BD!$B$3:$B$5001,O$210,BD!$A$3:$A$5001,_xlfn.MAXIFS(BD!$A$3:$A$5001,BD!$B$3:$B$5001,O$210,BD!$A$3:$A$5001,"&gt;="&amp;$C$7,BD!$A$3:$A$5001,"&lt;="&amp;$B236,BD!$Y$3:$Y$5001,"&lt;&gt;"))))</f>
        <v/>
      </c>
      <c r="P236" s="43" t="str">
        <f>IF(OR($B236="",$A236&gt;$B$9,P$210=""),"",IF(COUNTIFS(BD!$B$3:$B$5001,P$210,BD!$A$3:$A$5001,"&gt;="&amp;$C$7,BD!$A$3:$A$5001,"&lt;="&amp;$B236,BD!$Y$3:$Y$5001,"&lt;&gt;")=0,"",SUMIFS(BD!$Y$3:$Y$5001,BD!$B$3:$B$5001,P$210,BD!$A$3:$A$5001,_xlfn.MAXIFS(BD!$A$3:$A$5001,BD!$B$3:$B$5001,P$210,BD!$A$3:$A$5001,"&gt;="&amp;$C$7,BD!$A$3:$A$5001,"&lt;="&amp;$B236,BD!$Y$3:$Y$5001,"&lt;&gt;"))))</f>
        <v/>
      </c>
      <c r="Q236" s="43" t="str">
        <f>IF(OR($B236="",$A236&gt;$B$9,Q$210=""),"",IF(COUNTIFS(BD!$B$3:$B$5001,Q$210,BD!$A$3:$A$5001,"&gt;="&amp;$C$7,BD!$A$3:$A$5001,"&lt;="&amp;$B236,BD!$Y$3:$Y$5001,"&lt;&gt;")=0,"",SUMIFS(BD!$Y$3:$Y$5001,BD!$B$3:$B$5001,Q$210,BD!$A$3:$A$5001,_xlfn.MAXIFS(BD!$A$3:$A$5001,BD!$B$3:$B$5001,Q$210,BD!$A$3:$A$5001,"&gt;="&amp;$C$7,BD!$A$3:$A$5001,"&lt;="&amp;$B236,BD!$Y$3:$Y$5001,"&lt;&gt;"))))</f>
        <v/>
      </c>
      <c r="R236" s="43" t="str">
        <f>IF(OR($B236="",$A236&gt;$B$9,R$210=""),"",IF(COUNTIFS(BD!$B$3:$B$5001,R$210,BD!$A$3:$A$5001,"&gt;="&amp;$C$7,BD!$A$3:$A$5001,"&lt;="&amp;$B236,BD!$Y$3:$Y$5001,"&lt;&gt;")=0,"",SUMIFS(BD!$Y$3:$Y$5001,BD!$B$3:$B$5001,R$210,BD!$A$3:$A$5001,_xlfn.MAXIFS(BD!$A$3:$A$5001,BD!$B$3:$B$5001,R$210,BD!$A$3:$A$5001,"&gt;="&amp;$C$7,BD!$A$3:$A$5001,"&lt;="&amp;$B236,BD!$Y$3:$Y$5001,"&lt;&gt;"))))</f>
        <v/>
      </c>
      <c r="S236" s="43" t="str">
        <f>IF(OR($B236="",$A236&gt;$B$9,S$210=""),"",IF(COUNTIFS(BD!$B$3:$B$5001,S$210,BD!$A$3:$A$5001,"&gt;="&amp;$C$7,BD!$A$3:$A$5001,"&lt;="&amp;$B236,BD!$Y$3:$Y$5001,"&lt;&gt;")=0,"",SUMIFS(BD!$Y$3:$Y$5001,BD!$B$3:$B$5001,S$210,BD!$A$3:$A$5001,_xlfn.MAXIFS(BD!$A$3:$A$5001,BD!$B$3:$B$5001,S$210,BD!$A$3:$A$5001,"&gt;="&amp;$C$7,BD!$A$3:$A$5001,"&lt;="&amp;$B236,BD!$Y$3:$Y$5001,"&lt;&gt;"))))</f>
        <v/>
      </c>
      <c r="T236" s="43" t="str">
        <f>IF(OR($B236="",$A236&gt;$B$9,T$210=""),"",IF(COUNTIFS(BD!$B$3:$B$5001,T$210,BD!$A$3:$A$5001,"&gt;="&amp;$C$7,BD!$A$3:$A$5001,"&lt;="&amp;$B236,BD!$Y$3:$Y$5001,"&lt;&gt;")=0,"",SUMIFS(BD!$Y$3:$Y$5001,BD!$B$3:$B$5001,T$210,BD!$A$3:$A$5001,_xlfn.MAXIFS(BD!$A$3:$A$5001,BD!$B$3:$B$5001,T$210,BD!$A$3:$A$5001,"&gt;="&amp;$C$7,BD!$A$3:$A$5001,"&lt;="&amp;$B236,BD!$Y$3:$Y$5001,"&lt;&gt;"))))</f>
        <v/>
      </c>
      <c r="U236" s="43" t="str">
        <f>IF(OR($B236="",$A236&gt;$B$9,U$210=""),"",IF(COUNTIFS(BD!$B$3:$B$5001,U$210,BD!$A$3:$A$5001,"&gt;="&amp;$C$7,BD!$A$3:$A$5001,"&lt;="&amp;$B236,BD!$Y$3:$Y$5001,"&lt;&gt;")=0,"",SUMIFS(BD!$Y$3:$Y$5001,BD!$B$3:$B$5001,U$210,BD!$A$3:$A$5001,_xlfn.MAXIFS(BD!$A$3:$A$5001,BD!$B$3:$B$5001,U$210,BD!$A$3:$A$5001,"&gt;="&amp;$C$7,BD!$A$3:$A$5001,"&lt;="&amp;$B236,BD!$Y$3:$Y$5001,"&lt;&gt;"))))</f>
        <v/>
      </c>
      <c r="V236" s="43" t="str">
        <f>IF(OR($B236="",$A236&gt;$B$9,V$210=""),"",IF(COUNTIFS(BD!$B$3:$B$5001,V$210,BD!$A$3:$A$5001,"&gt;="&amp;$C$7,BD!$A$3:$A$5001,"&lt;="&amp;$B236,BD!$Y$3:$Y$5001,"&lt;&gt;")=0,"",SUMIFS(BD!$Y$3:$Y$5001,BD!$B$3:$B$5001,V$210,BD!$A$3:$A$5001,_xlfn.MAXIFS(BD!$A$3:$A$5001,BD!$B$3:$B$5001,V$210,BD!$A$3:$A$5001,"&gt;="&amp;$C$7,BD!$A$3:$A$5001,"&lt;="&amp;$B236,BD!$Y$3:$Y$5001,"&lt;&gt;"))))</f>
        <v/>
      </c>
    </row>
    <row r="237">
      <c r="A237" s="38">
        <v>27</v>
      </c>
      <c r="B237" s="42">
        <f>$B$38</f>
        <v>46322</v>
      </c>
      <c r="C237" s="43" t="str">
        <f>IF(OR($B237="",$A237&gt;$B$9,C$210=""),"",IF(COUNTIFS(BD!$B$3:$B$5001,C$210,BD!$A$3:$A$5001,"&gt;="&amp;$C$7,BD!$A$3:$A$5001,"&lt;="&amp;$B237,BD!$Y$3:$Y$5001,"&lt;&gt;")=0,"",SUMIFS(BD!$Y$3:$Y$5001,BD!$B$3:$B$5001,C$210,BD!$A$3:$A$5001,_xlfn.MAXIFS(BD!$A$3:$A$5001,BD!$B$3:$B$5001,C$210,BD!$A$3:$A$5001,"&gt;="&amp;$C$7,BD!$A$3:$A$5001,"&lt;="&amp;$B237,BD!$Y$3:$Y$5001,"&lt;&gt;"))))</f>
        <v/>
      </c>
      <c r="D237" s="43" t="str">
        <f>IF(OR($B237="",$A237&gt;$B$9,D$210=""),"",IF(COUNTIFS(BD!$B$3:$B$5001,D$210,BD!$A$3:$A$5001,"&gt;="&amp;$C$7,BD!$A$3:$A$5001,"&lt;="&amp;$B237,BD!$Y$3:$Y$5001,"&lt;&gt;")=0,"",SUMIFS(BD!$Y$3:$Y$5001,BD!$B$3:$B$5001,D$210,BD!$A$3:$A$5001,_xlfn.MAXIFS(BD!$A$3:$A$5001,BD!$B$3:$B$5001,D$210,BD!$A$3:$A$5001,"&gt;="&amp;$C$7,BD!$A$3:$A$5001,"&lt;="&amp;$B237,BD!$Y$3:$Y$5001,"&lt;&gt;"))))</f>
        <v/>
      </c>
      <c r="E237" s="43" t="str">
        <f>IF(OR($B237="",$A237&gt;$B$9,E$210=""),"",IF(COUNTIFS(BD!$B$3:$B$5001,E$210,BD!$A$3:$A$5001,"&gt;="&amp;$C$7,BD!$A$3:$A$5001,"&lt;="&amp;$B237,BD!$Y$3:$Y$5001,"&lt;&gt;")=0,"",SUMIFS(BD!$Y$3:$Y$5001,BD!$B$3:$B$5001,E$210,BD!$A$3:$A$5001,_xlfn.MAXIFS(BD!$A$3:$A$5001,BD!$B$3:$B$5001,E$210,BD!$A$3:$A$5001,"&gt;="&amp;$C$7,BD!$A$3:$A$5001,"&lt;="&amp;$B237,BD!$Y$3:$Y$5001,"&lt;&gt;"))))</f>
        <v/>
      </c>
      <c r="F237" s="43" t="str">
        <f>IF(OR($B237="",$A237&gt;$B$9,F$210=""),"",IF(COUNTIFS(BD!$B$3:$B$5001,F$210,BD!$A$3:$A$5001,"&gt;="&amp;$C$7,BD!$A$3:$A$5001,"&lt;="&amp;$B237,BD!$Y$3:$Y$5001,"&lt;&gt;")=0,"",SUMIFS(BD!$Y$3:$Y$5001,BD!$B$3:$B$5001,F$210,BD!$A$3:$A$5001,_xlfn.MAXIFS(BD!$A$3:$A$5001,BD!$B$3:$B$5001,F$210,BD!$A$3:$A$5001,"&gt;="&amp;$C$7,BD!$A$3:$A$5001,"&lt;="&amp;$B237,BD!$Y$3:$Y$5001,"&lt;&gt;"))))</f>
        <v/>
      </c>
      <c r="G237" s="43" t="str">
        <f>IF(OR($B237="",$A237&gt;$B$9,G$210=""),"",IF(COUNTIFS(BD!$B$3:$B$5001,G$210,BD!$A$3:$A$5001,"&gt;="&amp;$C$7,BD!$A$3:$A$5001,"&lt;="&amp;$B237,BD!$Y$3:$Y$5001,"&lt;&gt;")=0,"",SUMIFS(BD!$Y$3:$Y$5001,BD!$B$3:$B$5001,G$210,BD!$A$3:$A$5001,_xlfn.MAXIFS(BD!$A$3:$A$5001,BD!$B$3:$B$5001,G$210,BD!$A$3:$A$5001,"&gt;="&amp;$C$7,BD!$A$3:$A$5001,"&lt;="&amp;$B237,BD!$Y$3:$Y$5001,"&lt;&gt;"))))</f>
        <v/>
      </c>
      <c r="H237" s="43" t="str">
        <f>IF(OR($B237="",$A237&gt;$B$9,H$210=""),"",IF(COUNTIFS(BD!$B$3:$B$5001,H$210,BD!$A$3:$A$5001,"&gt;="&amp;$C$7,BD!$A$3:$A$5001,"&lt;="&amp;$B237,BD!$Y$3:$Y$5001,"&lt;&gt;")=0,"",SUMIFS(BD!$Y$3:$Y$5001,BD!$B$3:$B$5001,H$210,BD!$A$3:$A$5001,_xlfn.MAXIFS(BD!$A$3:$A$5001,BD!$B$3:$B$5001,H$210,BD!$A$3:$A$5001,"&gt;="&amp;$C$7,BD!$A$3:$A$5001,"&lt;="&amp;$B237,BD!$Y$3:$Y$5001,"&lt;&gt;"))))</f>
        <v/>
      </c>
      <c r="I237" s="43" t="str">
        <f>IF(OR($B237="",$A237&gt;$B$9,I$210=""),"",IF(COUNTIFS(BD!$B$3:$B$5001,I$210,BD!$A$3:$A$5001,"&gt;="&amp;$C$7,BD!$A$3:$A$5001,"&lt;="&amp;$B237,BD!$Y$3:$Y$5001,"&lt;&gt;")=0,"",SUMIFS(BD!$Y$3:$Y$5001,BD!$B$3:$B$5001,I$210,BD!$A$3:$A$5001,_xlfn.MAXIFS(BD!$A$3:$A$5001,BD!$B$3:$B$5001,I$210,BD!$A$3:$A$5001,"&gt;="&amp;$C$7,BD!$A$3:$A$5001,"&lt;="&amp;$B237,BD!$Y$3:$Y$5001,"&lt;&gt;"))))</f>
        <v/>
      </c>
      <c r="J237" s="43" t="str">
        <f>IF(OR($B237="",$A237&gt;$B$9,J$210=""),"",IF(COUNTIFS(BD!$B$3:$B$5001,J$210,BD!$A$3:$A$5001,"&gt;="&amp;$C$7,BD!$A$3:$A$5001,"&lt;="&amp;$B237,BD!$Y$3:$Y$5001,"&lt;&gt;")=0,"",SUMIFS(BD!$Y$3:$Y$5001,BD!$B$3:$B$5001,J$210,BD!$A$3:$A$5001,_xlfn.MAXIFS(BD!$A$3:$A$5001,BD!$B$3:$B$5001,J$210,BD!$A$3:$A$5001,"&gt;="&amp;$C$7,BD!$A$3:$A$5001,"&lt;="&amp;$B237,BD!$Y$3:$Y$5001,"&lt;&gt;"))))</f>
        <v/>
      </c>
      <c r="K237" s="43" t="str">
        <f>IF(OR($B237="",$A237&gt;$B$9,K$210=""),"",IF(COUNTIFS(BD!$B$3:$B$5001,K$210,BD!$A$3:$A$5001,"&gt;="&amp;$C$7,BD!$A$3:$A$5001,"&lt;="&amp;$B237,BD!$Y$3:$Y$5001,"&lt;&gt;")=0,"",SUMIFS(BD!$Y$3:$Y$5001,BD!$B$3:$B$5001,K$210,BD!$A$3:$A$5001,_xlfn.MAXIFS(BD!$A$3:$A$5001,BD!$B$3:$B$5001,K$210,BD!$A$3:$A$5001,"&gt;="&amp;$C$7,BD!$A$3:$A$5001,"&lt;="&amp;$B237,BD!$Y$3:$Y$5001,"&lt;&gt;"))))</f>
        <v/>
      </c>
      <c r="L237" s="43" t="str">
        <f>IF(OR($B237="",$A237&gt;$B$9,L$210=""),"",IF(COUNTIFS(BD!$B$3:$B$5001,L$210,BD!$A$3:$A$5001,"&gt;="&amp;$C$7,BD!$A$3:$A$5001,"&lt;="&amp;$B237,BD!$Y$3:$Y$5001,"&lt;&gt;")=0,"",SUMIFS(BD!$Y$3:$Y$5001,BD!$B$3:$B$5001,L$210,BD!$A$3:$A$5001,_xlfn.MAXIFS(BD!$A$3:$A$5001,BD!$B$3:$B$5001,L$210,BD!$A$3:$A$5001,"&gt;="&amp;$C$7,BD!$A$3:$A$5001,"&lt;="&amp;$B237,BD!$Y$3:$Y$5001,"&lt;&gt;"))))</f>
        <v/>
      </c>
      <c r="M237" s="43" t="str">
        <f>IF(OR($B237="",$A237&gt;$B$9,M$210=""),"",IF(COUNTIFS(BD!$B$3:$B$5001,M$210,BD!$A$3:$A$5001,"&gt;="&amp;$C$7,BD!$A$3:$A$5001,"&lt;="&amp;$B237,BD!$Y$3:$Y$5001,"&lt;&gt;")=0,"",SUMIFS(BD!$Y$3:$Y$5001,BD!$B$3:$B$5001,M$210,BD!$A$3:$A$5001,_xlfn.MAXIFS(BD!$A$3:$A$5001,BD!$B$3:$B$5001,M$210,BD!$A$3:$A$5001,"&gt;="&amp;$C$7,BD!$A$3:$A$5001,"&lt;="&amp;$B237,BD!$Y$3:$Y$5001,"&lt;&gt;"))))</f>
        <v/>
      </c>
      <c r="N237" s="43" t="str">
        <f>IF(OR($B237="",$A237&gt;$B$9,N$210=""),"",IF(COUNTIFS(BD!$B$3:$B$5001,N$210,BD!$A$3:$A$5001,"&gt;="&amp;$C$7,BD!$A$3:$A$5001,"&lt;="&amp;$B237,BD!$Y$3:$Y$5001,"&lt;&gt;")=0,"",SUMIFS(BD!$Y$3:$Y$5001,BD!$B$3:$B$5001,N$210,BD!$A$3:$A$5001,_xlfn.MAXIFS(BD!$A$3:$A$5001,BD!$B$3:$B$5001,N$210,BD!$A$3:$A$5001,"&gt;="&amp;$C$7,BD!$A$3:$A$5001,"&lt;="&amp;$B237,BD!$Y$3:$Y$5001,"&lt;&gt;"))))</f>
        <v/>
      </c>
      <c r="O237" s="43" t="str">
        <f>IF(OR($B237="",$A237&gt;$B$9,O$210=""),"",IF(COUNTIFS(BD!$B$3:$B$5001,O$210,BD!$A$3:$A$5001,"&gt;="&amp;$C$7,BD!$A$3:$A$5001,"&lt;="&amp;$B237,BD!$Y$3:$Y$5001,"&lt;&gt;")=0,"",SUMIFS(BD!$Y$3:$Y$5001,BD!$B$3:$B$5001,O$210,BD!$A$3:$A$5001,_xlfn.MAXIFS(BD!$A$3:$A$5001,BD!$B$3:$B$5001,O$210,BD!$A$3:$A$5001,"&gt;="&amp;$C$7,BD!$A$3:$A$5001,"&lt;="&amp;$B237,BD!$Y$3:$Y$5001,"&lt;&gt;"))))</f>
        <v/>
      </c>
      <c r="P237" s="43" t="str">
        <f>IF(OR($B237="",$A237&gt;$B$9,P$210=""),"",IF(COUNTIFS(BD!$B$3:$B$5001,P$210,BD!$A$3:$A$5001,"&gt;="&amp;$C$7,BD!$A$3:$A$5001,"&lt;="&amp;$B237,BD!$Y$3:$Y$5001,"&lt;&gt;")=0,"",SUMIFS(BD!$Y$3:$Y$5001,BD!$B$3:$B$5001,P$210,BD!$A$3:$A$5001,_xlfn.MAXIFS(BD!$A$3:$A$5001,BD!$B$3:$B$5001,P$210,BD!$A$3:$A$5001,"&gt;="&amp;$C$7,BD!$A$3:$A$5001,"&lt;="&amp;$B237,BD!$Y$3:$Y$5001,"&lt;&gt;"))))</f>
        <v/>
      </c>
      <c r="Q237" s="43" t="str">
        <f>IF(OR($B237="",$A237&gt;$B$9,Q$210=""),"",IF(COUNTIFS(BD!$B$3:$B$5001,Q$210,BD!$A$3:$A$5001,"&gt;="&amp;$C$7,BD!$A$3:$A$5001,"&lt;="&amp;$B237,BD!$Y$3:$Y$5001,"&lt;&gt;")=0,"",SUMIFS(BD!$Y$3:$Y$5001,BD!$B$3:$B$5001,Q$210,BD!$A$3:$A$5001,_xlfn.MAXIFS(BD!$A$3:$A$5001,BD!$B$3:$B$5001,Q$210,BD!$A$3:$A$5001,"&gt;="&amp;$C$7,BD!$A$3:$A$5001,"&lt;="&amp;$B237,BD!$Y$3:$Y$5001,"&lt;&gt;"))))</f>
        <v/>
      </c>
      <c r="R237" s="43" t="str">
        <f>IF(OR($B237="",$A237&gt;$B$9,R$210=""),"",IF(COUNTIFS(BD!$B$3:$B$5001,R$210,BD!$A$3:$A$5001,"&gt;="&amp;$C$7,BD!$A$3:$A$5001,"&lt;="&amp;$B237,BD!$Y$3:$Y$5001,"&lt;&gt;")=0,"",SUMIFS(BD!$Y$3:$Y$5001,BD!$B$3:$B$5001,R$210,BD!$A$3:$A$5001,_xlfn.MAXIFS(BD!$A$3:$A$5001,BD!$B$3:$B$5001,R$210,BD!$A$3:$A$5001,"&gt;="&amp;$C$7,BD!$A$3:$A$5001,"&lt;="&amp;$B237,BD!$Y$3:$Y$5001,"&lt;&gt;"))))</f>
        <v/>
      </c>
      <c r="S237" s="43" t="str">
        <f>IF(OR($B237="",$A237&gt;$B$9,S$210=""),"",IF(COUNTIFS(BD!$B$3:$B$5001,S$210,BD!$A$3:$A$5001,"&gt;="&amp;$C$7,BD!$A$3:$A$5001,"&lt;="&amp;$B237,BD!$Y$3:$Y$5001,"&lt;&gt;")=0,"",SUMIFS(BD!$Y$3:$Y$5001,BD!$B$3:$B$5001,S$210,BD!$A$3:$A$5001,_xlfn.MAXIFS(BD!$A$3:$A$5001,BD!$B$3:$B$5001,S$210,BD!$A$3:$A$5001,"&gt;="&amp;$C$7,BD!$A$3:$A$5001,"&lt;="&amp;$B237,BD!$Y$3:$Y$5001,"&lt;&gt;"))))</f>
        <v/>
      </c>
      <c r="T237" s="43" t="str">
        <f>IF(OR($B237="",$A237&gt;$B$9,T$210=""),"",IF(COUNTIFS(BD!$B$3:$B$5001,T$210,BD!$A$3:$A$5001,"&gt;="&amp;$C$7,BD!$A$3:$A$5001,"&lt;="&amp;$B237,BD!$Y$3:$Y$5001,"&lt;&gt;")=0,"",SUMIFS(BD!$Y$3:$Y$5001,BD!$B$3:$B$5001,T$210,BD!$A$3:$A$5001,_xlfn.MAXIFS(BD!$A$3:$A$5001,BD!$B$3:$B$5001,T$210,BD!$A$3:$A$5001,"&gt;="&amp;$C$7,BD!$A$3:$A$5001,"&lt;="&amp;$B237,BD!$Y$3:$Y$5001,"&lt;&gt;"))))</f>
        <v/>
      </c>
      <c r="U237" s="43" t="str">
        <f>IF(OR($B237="",$A237&gt;$B$9,U$210=""),"",IF(COUNTIFS(BD!$B$3:$B$5001,U$210,BD!$A$3:$A$5001,"&gt;="&amp;$C$7,BD!$A$3:$A$5001,"&lt;="&amp;$B237,BD!$Y$3:$Y$5001,"&lt;&gt;")=0,"",SUMIFS(BD!$Y$3:$Y$5001,BD!$B$3:$B$5001,U$210,BD!$A$3:$A$5001,_xlfn.MAXIFS(BD!$A$3:$A$5001,BD!$B$3:$B$5001,U$210,BD!$A$3:$A$5001,"&gt;="&amp;$C$7,BD!$A$3:$A$5001,"&lt;="&amp;$B237,BD!$Y$3:$Y$5001,"&lt;&gt;"))))</f>
        <v/>
      </c>
      <c r="V237" s="43" t="str">
        <f>IF(OR($B237="",$A237&gt;$B$9,V$210=""),"",IF(COUNTIFS(BD!$B$3:$B$5001,V$210,BD!$A$3:$A$5001,"&gt;="&amp;$C$7,BD!$A$3:$A$5001,"&lt;="&amp;$B237,BD!$Y$3:$Y$5001,"&lt;&gt;")=0,"",SUMIFS(BD!$Y$3:$Y$5001,BD!$B$3:$B$5001,V$210,BD!$A$3:$A$5001,_xlfn.MAXIFS(BD!$A$3:$A$5001,BD!$B$3:$B$5001,V$210,BD!$A$3:$A$5001,"&gt;="&amp;$C$7,BD!$A$3:$A$5001,"&lt;="&amp;$B237,BD!$Y$3:$Y$5001,"&lt;&gt;"))))</f>
        <v/>
      </c>
    </row>
    <row r="238">
      <c r="A238" s="38">
        <v>28</v>
      </c>
      <c r="B238" s="42">
        <f>$B$39</f>
        <v>46323</v>
      </c>
      <c r="C238" s="43" t="str">
        <f>IF(OR($B238="",$A238&gt;$B$9,C$210=""),"",IF(COUNTIFS(BD!$B$3:$B$5001,C$210,BD!$A$3:$A$5001,"&gt;="&amp;$C$7,BD!$A$3:$A$5001,"&lt;="&amp;$B238,BD!$Y$3:$Y$5001,"&lt;&gt;")=0,"",SUMIFS(BD!$Y$3:$Y$5001,BD!$B$3:$B$5001,C$210,BD!$A$3:$A$5001,_xlfn.MAXIFS(BD!$A$3:$A$5001,BD!$B$3:$B$5001,C$210,BD!$A$3:$A$5001,"&gt;="&amp;$C$7,BD!$A$3:$A$5001,"&lt;="&amp;$B238,BD!$Y$3:$Y$5001,"&lt;&gt;"))))</f>
        <v/>
      </c>
      <c r="D238" s="43" t="str">
        <f>IF(OR($B238="",$A238&gt;$B$9,D$210=""),"",IF(COUNTIFS(BD!$B$3:$B$5001,D$210,BD!$A$3:$A$5001,"&gt;="&amp;$C$7,BD!$A$3:$A$5001,"&lt;="&amp;$B238,BD!$Y$3:$Y$5001,"&lt;&gt;")=0,"",SUMIFS(BD!$Y$3:$Y$5001,BD!$B$3:$B$5001,D$210,BD!$A$3:$A$5001,_xlfn.MAXIFS(BD!$A$3:$A$5001,BD!$B$3:$B$5001,D$210,BD!$A$3:$A$5001,"&gt;="&amp;$C$7,BD!$A$3:$A$5001,"&lt;="&amp;$B238,BD!$Y$3:$Y$5001,"&lt;&gt;"))))</f>
        <v/>
      </c>
      <c r="E238" s="43" t="str">
        <f>IF(OR($B238="",$A238&gt;$B$9,E$210=""),"",IF(COUNTIFS(BD!$B$3:$B$5001,E$210,BD!$A$3:$A$5001,"&gt;="&amp;$C$7,BD!$A$3:$A$5001,"&lt;="&amp;$B238,BD!$Y$3:$Y$5001,"&lt;&gt;")=0,"",SUMIFS(BD!$Y$3:$Y$5001,BD!$B$3:$B$5001,E$210,BD!$A$3:$A$5001,_xlfn.MAXIFS(BD!$A$3:$A$5001,BD!$B$3:$B$5001,E$210,BD!$A$3:$A$5001,"&gt;="&amp;$C$7,BD!$A$3:$A$5001,"&lt;="&amp;$B238,BD!$Y$3:$Y$5001,"&lt;&gt;"))))</f>
        <v/>
      </c>
      <c r="F238" s="43" t="str">
        <f>IF(OR($B238="",$A238&gt;$B$9,F$210=""),"",IF(COUNTIFS(BD!$B$3:$B$5001,F$210,BD!$A$3:$A$5001,"&gt;="&amp;$C$7,BD!$A$3:$A$5001,"&lt;="&amp;$B238,BD!$Y$3:$Y$5001,"&lt;&gt;")=0,"",SUMIFS(BD!$Y$3:$Y$5001,BD!$B$3:$B$5001,F$210,BD!$A$3:$A$5001,_xlfn.MAXIFS(BD!$A$3:$A$5001,BD!$B$3:$B$5001,F$210,BD!$A$3:$A$5001,"&gt;="&amp;$C$7,BD!$A$3:$A$5001,"&lt;="&amp;$B238,BD!$Y$3:$Y$5001,"&lt;&gt;"))))</f>
        <v/>
      </c>
      <c r="G238" s="43" t="str">
        <f>IF(OR($B238="",$A238&gt;$B$9,G$210=""),"",IF(COUNTIFS(BD!$B$3:$B$5001,G$210,BD!$A$3:$A$5001,"&gt;="&amp;$C$7,BD!$A$3:$A$5001,"&lt;="&amp;$B238,BD!$Y$3:$Y$5001,"&lt;&gt;")=0,"",SUMIFS(BD!$Y$3:$Y$5001,BD!$B$3:$B$5001,G$210,BD!$A$3:$A$5001,_xlfn.MAXIFS(BD!$A$3:$A$5001,BD!$B$3:$B$5001,G$210,BD!$A$3:$A$5001,"&gt;="&amp;$C$7,BD!$A$3:$A$5001,"&lt;="&amp;$B238,BD!$Y$3:$Y$5001,"&lt;&gt;"))))</f>
        <v/>
      </c>
      <c r="H238" s="43" t="str">
        <f>IF(OR($B238="",$A238&gt;$B$9,H$210=""),"",IF(COUNTIFS(BD!$B$3:$B$5001,H$210,BD!$A$3:$A$5001,"&gt;="&amp;$C$7,BD!$A$3:$A$5001,"&lt;="&amp;$B238,BD!$Y$3:$Y$5001,"&lt;&gt;")=0,"",SUMIFS(BD!$Y$3:$Y$5001,BD!$B$3:$B$5001,H$210,BD!$A$3:$A$5001,_xlfn.MAXIFS(BD!$A$3:$A$5001,BD!$B$3:$B$5001,H$210,BD!$A$3:$A$5001,"&gt;="&amp;$C$7,BD!$A$3:$A$5001,"&lt;="&amp;$B238,BD!$Y$3:$Y$5001,"&lt;&gt;"))))</f>
        <v/>
      </c>
      <c r="I238" s="43" t="str">
        <f>IF(OR($B238="",$A238&gt;$B$9,I$210=""),"",IF(COUNTIFS(BD!$B$3:$B$5001,I$210,BD!$A$3:$A$5001,"&gt;="&amp;$C$7,BD!$A$3:$A$5001,"&lt;="&amp;$B238,BD!$Y$3:$Y$5001,"&lt;&gt;")=0,"",SUMIFS(BD!$Y$3:$Y$5001,BD!$B$3:$B$5001,I$210,BD!$A$3:$A$5001,_xlfn.MAXIFS(BD!$A$3:$A$5001,BD!$B$3:$B$5001,I$210,BD!$A$3:$A$5001,"&gt;="&amp;$C$7,BD!$A$3:$A$5001,"&lt;="&amp;$B238,BD!$Y$3:$Y$5001,"&lt;&gt;"))))</f>
        <v/>
      </c>
      <c r="J238" s="43" t="str">
        <f>IF(OR($B238="",$A238&gt;$B$9,J$210=""),"",IF(COUNTIFS(BD!$B$3:$B$5001,J$210,BD!$A$3:$A$5001,"&gt;="&amp;$C$7,BD!$A$3:$A$5001,"&lt;="&amp;$B238,BD!$Y$3:$Y$5001,"&lt;&gt;")=0,"",SUMIFS(BD!$Y$3:$Y$5001,BD!$B$3:$B$5001,J$210,BD!$A$3:$A$5001,_xlfn.MAXIFS(BD!$A$3:$A$5001,BD!$B$3:$B$5001,J$210,BD!$A$3:$A$5001,"&gt;="&amp;$C$7,BD!$A$3:$A$5001,"&lt;="&amp;$B238,BD!$Y$3:$Y$5001,"&lt;&gt;"))))</f>
        <v/>
      </c>
      <c r="K238" s="43" t="str">
        <f>IF(OR($B238="",$A238&gt;$B$9,K$210=""),"",IF(COUNTIFS(BD!$B$3:$B$5001,K$210,BD!$A$3:$A$5001,"&gt;="&amp;$C$7,BD!$A$3:$A$5001,"&lt;="&amp;$B238,BD!$Y$3:$Y$5001,"&lt;&gt;")=0,"",SUMIFS(BD!$Y$3:$Y$5001,BD!$B$3:$B$5001,K$210,BD!$A$3:$A$5001,_xlfn.MAXIFS(BD!$A$3:$A$5001,BD!$B$3:$B$5001,K$210,BD!$A$3:$A$5001,"&gt;="&amp;$C$7,BD!$A$3:$A$5001,"&lt;="&amp;$B238,BD!$Y$3:$Y$5001,"&lt;&gt;"))))</f>
        <v/>
      </c>
      <c r="L238" s="43" t="str">
        <f>IF(OR($B238="",$A238&gt;$B$9,L$210=""),"",IF(COUNTIFS(BD!$B$3:$B$5001,L$210,BD!$A$3:$A$5001,"&gt;="&amp;$C$7,BD!$A$3:$A$5001,"&lt;="&amp;$B238,BD!$Y$3:$Y$5001,"&lt;&gt;")=0,"",SUMIFS(BD!$Y$3:$Y$5001,BD!$B$3:$B$5001,L$210,BD!$A$3:$A$5001,_xlfn.MAXIFS(BD!$A$3:$A$5001,BD!$B$3:$B$5001,L$210,BD!$A$3:$A$5001,"&gt;="&amp;$C$7,BD!$A$3:$A$5001,"&lt;="&amp;$B238,BD!$Y$3:$Y$5001,"&lt;&gt;"))))</f>
        <v/>
      </c>
      <c r="M238" s="43" t="str">
        <f>IF(OR($B238="",$A238&gt;$B$9,M$210=""),"",IF(COUNTIFS(BD!$B$3:$B$5001,M$210,BD!$A$3:$A$5001,"&gt;="&amp;$C$7,BD!$A$3:$A$5001,"&lt;="&amp;$B238,BD!$Y$3:$Y$5001,"&lt;&gt;")=0,"",SUMIFS(BD!$Y$3:$Y$5001,BD!$B$3:$B$5001,M$210,BD!$A$3:$A$5001,_xlfn.MAXIFS(BD!$A$3:$A$5001,BD!$B$3:$B$5001,M$210,BD!$A$3:$A$5001,"&gt;="&amp;$C$7,BD!$A$3:$A$5001,"&lt;="&amp;$B238,BD!$Y$3:$Y$5001,"&lt;&gt;"))))</f>
        <v/>
      </c>
      <c r="N238" s="43" t="str">
        <f>IF(OR($B238="",$A238&gt;$B$9,N$210=""),"",IF(COUNTIFS(BD!$B$3:$B$5001,N$210,BD!$A$3:$A$5001,"&gt;="&amp;$C$7,BD!$A$3:$A$5001,"&lt;="&amp;$B238,BD!$Y$3:$Y$5001,"&lt;&gt;")=0,"",SUMIFS(BD!$Y$3:$Y$5001,BD!$B$3:$B$5001,N$210,BD!$A$3:$A$5001,_xlfn.MAXIFS(BD!$A$3:$A$5001,BD!$B$3:$B$5001,N$210,BD!$A$3:$A$5001,"&gt;="&amp;$C$7,BD!$A$3:$A$5001,"&lt;="&amp;$B238,BD!$Y$3:$Y$5001,"&lt;&gt;"))))</f>
        <v/>
      </c>
      <c r="O238" s="43" t="str">
        <f>IF(OR($B238="",$A238&gt;$B$9,O$210=""),"",IF(COUNTIFS(BD!$B$3:$B$5001,O$210,BD!$A$3:$A$5001,"&gt;="&amp;$C$7,BD!$A$3:$A$5001,"&lt;="&amp;$B238,BD!$Y$3:$Y$5001,"&lt;&gt;")=0,"",SUMIFS(BD!$Y$3:$Y$5001,BD!$B$3:$B$5001,O$210,BD!$A$3:$A$5001,_xlfn.MAXIFS(BD!$A$3:$A$5001,BD!$B$3:$B$5001,O$210,BD!$A$3:$A$5001,"&gt;="&amp;$C$7,BD!$A$3:$A$5001,"&lt;="&amp;$B238,BD!$Y$3:$Y$5001,"&lt;&gt;"))))</f>
        <v/>
      </c>
      <c r="P238" s="43" t="str">
        <f>IF(OR($B238="",$A238&gt;$B$9,P$210=""),"",IF(COUNTIFS(BD!$B$3:$B$5001,P$210,BD!$A$3:$A$5001,"&gt;="&amp;$C$7,BD!$A$3:$A$5001,"&lt;="&amp;$B238,BD!$Y$3:$Y$5001,"&lt;&gt;")=0,"",SUMIFS(BD!$Y$3:$Y$5001,BD!$B$3:$B$5001,P$210,BD!$A$3:$A$5001,_xlfn.MAXIFS(BD!$A$3:$A$5001,BD!$B$3:$B$5001,P$210,BD!$A$3:$A$5001,"&gt;="&amp;$C$7,BD!$A$3:$A$5001,"&lt;="&amp;$B238,BD!$Y$3:$Y$5001,"&lt;&gt;"))))</f>
        <v/>
      </c>
      <c r="Q238" s="43" t="str">
        <f>IF(OR($B238="",$A238&gt;$B$9,Q$210=""),"",IF(COUNTIFS(BD!$B$3:$B$5001,Q$210,BD!$A$3:$A$5001,"&gt;="&amp;$C$7,BD!$A$3:$A$5001,"&lt;="&amp;$B238,BD!$Y$3:$Y$5001,"&lt;&gt;")=0,"",SUMIFS(BD!$Y$3:$Y$5001,BD!$B$3:$B$5001,Q$210,BD!$A$3:$A$5001,_xlfn.MAXIFS(BD!$A$3:$A$5001,BD!$B$3:$B$5001,Q$210,BD!$A$3:$A$5001,"&gt;="&amp;$C$7,BD!$A$3:$A$5001,"&lt;="&amp;$B238,BD!$Y$3:$Y$5001,"&lt;&gt;"))))</f>
        <v/>
      </c>
      <c r="R238" s="43" t="str">
        <f>IF(OR($B238="",$A238&gt;$B$9,R$210=""),"",IF(COUNTIFS(BD!$B$3:$B$5001,R$210,BD!$A$3:$A$5001,"&gt;="&amp;$C$7,BD!$A$3:$A$5001,"&lt;="&amp;$B238,BD!$Y$3:$Y$5001,"&lt;&gt;")=0,"",SUMIFS(BD!$Y$3:$Y$5001,BD!$B$3:$B$5001,R$210,BD!$A$3:$A$5001,_xlfn.MAXIFS(BD!$A$3:$A$5001,BD!$B$3:$B$5001,R$210,BD!$A$3:$A$5001,"&gt;="&amp;$C$7,BD!$A$3:$A$5001,"&lt;="&amp;$B238,BD!$Y$3:$Y$5001,"&lt;&gt;"))))</f>
        <v/>
      </c>
      <c r="S238" s="43" t="str">
        <f>IF(OR($B238="",$A238&gt;$B$9,S$210=""),"",IF(COUNTIFS(BD!$B$3:$B$5001,S$210,BD!$A$3:$A$5001,"&gt;="&amp;$C$7,BD!$A$3:$A$5001,"&lt;="&amp;$B238,BD!$Y$3:$Y$5001,"&lt;&gt;")=0,"",SUMIFS(BD!$Y$3:$Y$5001,BD!$B$3:$B$5001,S$210,BD!$A$3:$A$5001,_xlfn.MAXIFS(BD!$A$3:$A$5001,BD!$B$3:$B$5001,S$210,BD!$A$3:$A$5001,"&gt;="&amp;$C$7,BD!$A$3:$A$5001,"&lt;="&amp;$B238,BD!$Y$3:$Y$5001,"&lt;&gt;"))))</f>
        <v/>
      </c>
      <c r="T238" s="43" t="str">
        <f>IF(OR($B238="",$A238&gt;$B$9,T$210=""),"",IF(COUNTIFS(BD!$B$3:$B$5001,T$210,BD!$A$3:$A$5001,"&gt;="&amp;$C$7,BD!$A$3:$A$5001,"&lt;="&amp;$B238,BD!$Y$3:$Y$5001,"&lt;&gt;")=0,"",SUMIFS(BD!$Y$3:$Y$5001,BD!$B$3:$B$5001,T$210,BD!$A$3:$A$5001,_xlfn.MAXIFS(BD!$A$3:$A$5001,BD!$B$3:$B$5001,T$210,BD!$A$3:$A$5001,"&gt;="&amp;$C$7,BD!$A$3:$A$5001,"&lt;="&amp;$B238,BD!$Y$3:$Y$5001,"&lt;&gt;"))))</f>
        <v/>
      </c>
      <c r="U238" s="43" t="str">
        <f>IF(OR($B238="",$A238&gt;$B$9,U$210=""),"",IF(COUNTIFS(BD!$B$3:$B$5001,U$210,BD!$A$3:$A$5001,"&gt;="&amp;$C$7,BD!$A$3:$A$5001,"&lt;="&amp;$B238,BD!$Y$3:$Y$5001,"&lt;&gt;")=0,"",SUMIFS(BD!$Y$3:$Y$5001,BD!$B$3:$B$5001,U$210,BD!$A$3:$A$5001,_xlfn.MAXIFS(BD!$A$3:$A$5001,BD!$B$3:$B$5001,U$210,BD!$A$3:$A$5001,"&gt;="&amp;$C$7,BD!$A$3:$A$5001,"&lt;="&amp;$B238,BD!$Y$3:$Y$5001,"&lt;&gt;"))))</f>
        <v/>
      </c>
      <c r="V238" s="43" t="str">
        <f>IF(OR($B238="",$A238&gt;$B$9,V$210=""),"",IF(COUNTIFS(BD!$B$3:$B$5001,V$210,BD!$A$3:$A$5001,"&gt;="&amp;$C$7,BD!$A$3:$A$5001,"&lt;="&amp;$B238,BD!$Y$3:$Y$5001,"&lt;&gt;")=0,"",SUMIFS(BD!$Y$3:$Y$5001,BD!$B$3:$B$5001,V$210,BD!$A$3:$A$5001,_xlfn.MAXIFS(BD!$A$3:$A$5001,BD!$B$3:$B$5001,V$210,BD!$A$3:$A$5001,"&gt;="&amp;$C$7,BD!$A$3:$A$5001,"&lt;="&amp;$B238,BD!$Y$3:$Y$5001,"&lt;&gt;"))))</f>
        <v/>
      </c>
    </row>
    <row r="239">
      <c r="A239" s="38">
        <v>29</v>
      </c>
      <c r="B239" s="42">
        <f>$B$40</f>
        <v>46324</v>
      </c>
      <c r="C239" s="43" t="str">
        <f>IF(OR($B239="",$A239&gt;$B$9,C$210=""),"",IF(COUNTIFS(BD!$B$3:$B$5001,C$210,BD!$A$3:$A$5001,"&gt;="&amp;$C$7,BD!$A$3:$A$5001,"&lt;="&amp;$B239,BD!$Y$3:$Y$5001,"&lt;&gt;")=0,"",SUMIFS(BD!$Y$3:$Y$5001,BD!$B$3:$B$5001,C$210,BD!$A$3:$A$5001,_xlfn.MAXIFS(BD!$A$3:$A$5001,BD!$B$3:$B$5001,C$210,BD!$A$3:$A$5001,"&gt;="&amp;$C$7,BD!$A$3:$A$5001,"&lt;="&amp;$B239,BD!$Y$3:$Y$5001,"&lt;&gt;"))))</f>
        <v/>
      </c>
      <c r="D239" s="43" t="str">
        <f>IF(OR($B239="",$A239&gt;$B$9,D$210=""),"",IF(COUNTIFS(BD!$B$3:$B$5001,D$210,BD!$A$3:$A$5001,"&gt;="&amp;$C$7,BD!$A$3:$A$5001,"&lt;="&amp;$B239,BD!$Y$3:$Y$5001,"&lt;&gt;")=0,"",SUMIFS(BD!$Y$3:$Y$5001,BD!$B$3:$B$5001,D$210,BD!$A$3:$A$5001,_xlfn.MAXIFS(BD!$A$3:$A$5001,BD!$B$3:$B$5001,D$210,BD!$A$3:$A$5001,"&gt;="&amp;$C$7,BD!$A$3:$A$5001,"&lt;="&amp;$B239,BD!$Y$3:$Y$5001,"&lt;&gt;"))))</f>
        <v/>
      </c>
      <c r="E239" s="43" t="str">
        <f>IF(OR($B239="",$A239&gt;$B$9,E$210=""),"",IF(COUNTIFS(BD!$B$3:$B$5001,E$210,BD!$A$3:$A$5001,"&gt;="&amp;$C$7,BD!$A$3:$A$5001,"&lt;="&amp;$B239,BD!$Y$3:$Y$5001,"&lt;&gt;")=0,"",SUMIFS(BD!$Y$3:$Y$5001,BD!$B$3:$B$5001,E$210,BD!$A$3:$A$5001,_xlfn.MAXIFS(BD!$A$3:$A$5001,BD!$B$3:$B$5001,E$210,BD!$A$3:$A$5001,"&gt;="&amp;$C$7,BD!$A$3:$A$5001,"&lt;="&amp;$B239,BD!$Y$3:$Y$5001,"&lt;&gt;"))))</f>
        <v/>
      </c>
      <c r="F239" s="43" t="str">
        <f>IF(OR($B239="",$A239&gt;$B$9,F$210=""),"",IF(COUNTIFS(BD!$B$3:$B$5001,F$210,BD!$A$3:$A$5001,"&gt;="&amp;$C$7,BD!$A$3:$A$5001,"&lt;="&amp;$B239,BD!$Y$3:$Y$5001,"&lt;&gt;")=0,"",SUMIFS(BD!$Y$3:$Y$5001,BD!$B$3:$B$5001,F$210,BD!$A$3:$A$5001,_xlfn.MAXIFS(BD!$A$3:$A$5001,BD!$B$3:$B$5001,F$210,BD!$A$3:$A$5001,"&gt;="&amp;$C$7,BD!$A$3:$A$5001,"&lt;="&amp;$B239,BD!$Y$3:$Y$5001,"&lt;&gt;"))))</f>
        <v/>
      </c>
      <c r="G239" s="43" t="str">
        <f>IF(OR($B239="",$A239&gt;$B$9,G$210=""),"",IF(COUNTIFS(BD!$B$3:$B$5001,G$210,BD!$A$3:$A$5001,"&gt;="&amp;$C$7,BD!$A$3:$A$5001,"&lt;="&amp;$B239,BD!$Y$3:$Y$5001,"&lt;&gt;")=0,"",SUMIFS(BD!$Y$3:$Y$5001,BD!$B$3:$B$5001,G$210,BD!$A$3:$A$5001,_xlfn.MAXIFS(BD!$A$3:$A$5001,BD!$B$3:$B$5001,G$210,BD!$A$3:$A$5001,"&gt;="&amp;$C$7,BD!$A$3:$A$5001,"&lt;="&amp;$B239,BD!$Y$3:$Y$5001,"&lt;&gt;"))))</f>
        <v/>
      </c>
      <c r="H239" s="43" t="str">
        <f>IF(OR($B239="",$A239&gt;$B$9,H$210=""),"",IF(COUNTIFS(BD!$B$3:$B$5001,H$210,BD!$A$3:$A$5001,"&gt;="&amp;$C$7,BD!$A$3:$A$5001,"&lt;="&amp;$B239,BD!$Y$3:$Y$5001,"&lt;&gt;")=0,"",SUMIFS(BD!$Y$3:$Y$5001,BD!$B$3:$B$5001,H$210,BD!$A$3:$A$5001,_xlfn.MAXIFS(BD!$A$3:$A$5001,BD!$B$3:$B$5001,H$210,BD!$A$3:$A$5001,"&gt;="&amp;$C$7,BD!$A$3:$A$5001,"&lt;="&amp;$B239,BD!$Y$3:$Y$5001,"&lt;&gt;"))))</f>
        <v/>
      </c>
      <c r="I239" s="43" t="str">
        <f>IF(OR($B239="",$A239&gt;$B$9,I$210=""),"",IF(COUNTIFS(BD!$B$3:$B$5001,I$210,BD!$A$3:$A$5001,"&gt;="&amp;$C$7,BD!$A$3:$A$5001,"&lt;="&amp;$B239,BD!$Y$3:$Y$5001,"&lt;&gt;")=0,"",SUMIFS(BD!$Y$3:$Y$5001,BD!$B$3:$B$5001,I$210,BD!$A$3:$A$5001,_xlfn.MAXIFS(BD!$A$3:$A$5001,BD!$B$3:$B$5001,I$210,BD!$A$3:$A$5001,"&gt;="&amp;$C$7,BD!$A$3:$A$5001,"&lt;="&amp;$B239,BD!$Y$3:$Y$5001,"&lt;&gt;"))))</f>
        <v/>
      </c>
      <c r="J239" s="43" t="str">
        <f>IF(OR($B239="",$A239&gt;$B$9,J$210=""),"",IF(COUNTIFS(BD!$B$3:$B$5001,J$210,BD!$A$3:$A$5001,"&gt;="&amp;$C$7,BD!$A$3:$A$5001,"&lt;="&amp;$B239,BD!$Y$3:$Y$5001,"&lt;&gt;")=0,"",SUMIFS(BD!$Y$3:$Y$5001,BD!$B$3:$B$5001,J$210,BD!$A$3:$A$5001,_xlfn.MAXIFS(BD!$A$3:$A$5001,BD!$B$3:$B$5001,J$210,BD!$A$3:$A$5001,"&gt;="&amp;$C$7,BD!$A$3:$A$5001,"&lt;="&amp;$B239,BD!$Y$3:$Y$5001,"&lt;&gt;"))))</f>
        <v/>
      </c>
      <c r="K239" s="43" t="str">
        <f>IF(OR($B239="",$A239&gt;$B$9,K$210=""),"",IF(COUNTIFS(BD!$B$3:$B$5001,K$210,BD!$A$3:$A$5001,"&gt;="&amp;$C$7,BD!$A$3:$A$5001,"&lt;="&amp;$B239,BD!$Y$3:$Y$5001,"&lt;&gt;")=0,"",SUMIFS(BD!$Y$3:$Y$5001,BD!$B$3:$B$5001,K$210,BD!$A$3:$A$5001,_xlfn.MAXIFS(BD!$A$3:$A$5001,BD!$B$3:$B$5001,K$210,BD!$A$3:$A$5001,"&gt;="&amp;$C$7,BD!$A$3:$A$5001,"&lt;="&amp;$B239,BD!$Y$3:$Y$5001,"&lt;&gt;"))))</f>
        <v/>
      </c>
      <c r="L239" s="43" t="str">
        <f>IF(OR($B239="",$A239&gt;$B$9,L$210=""),"",IF(COUNTIFS(BD!$B$3:$B$5001,L$210,BD!$A$3:$A$5001,"&gt;="&amp;$C$7,BD!$A$3:$A$5001,"&lt;="&amp;$B239,BD!$Y$3:$Y$5001,"&lt;&gt;")=0,"",SUMIFS(BD!$Y$3:$Y$5001,BD!$B$3:$B$5001,L$210,BD!$A$3:$A$5001,_xlfn.MAXIFS(BD!$A$3:$A$5001,BD!$B$3:$B$5001,L$210,BD!$A$3:$A$5001,"&gt;="&amp;$C$7,BD!$A$3:$A$5001,"&lt;="&amp;$B239,BD!$Y$3:$Y$5001,"&lt;&gt;"))))</f>
        <v/>
      </c>
      <c r="M239" s="43" t="str">
        <f>IF(OR($B239="",$A239&gt;$B$9,M$210=""),"",IF(COUNTIFS(BD!$B$3:$B$5001,M$210,BD!$A$3:$A$5001,"&gt;="&amp;$C$7,BD!$A$3:$A$5001,"&lt;="&amp;$B239,BD!$Y$3:$Y$5001,"&lt;&gt;")=0,"",SUMIFS(BD!$Y$3:$Y$5001,BD!$B$3:$B$5001,M$210,BD!$A$3:$A$5001,_xlfn.MAXIFS(BD!$A$3:$A$5001,BD!$B$3:$B$5001,M$210,BD!$A$3:$A$5001,"&gt;="&amp;$C$7,BD!$A$3:$A$5001,"&lt;="&amp;$B239,BD!$Y$3:$Y$5001,"&lt;&gt;"))))</f>
        <v/>
      </c>
      <c r="N239" s="43" t="str">
        <f>IF(OR($B239="",$A239&gt;$B$9,N$210=""),"",IF(COUNTIFS(BD!$B$3:$B$5001,N$210,BD!$A$3:$A$5001,"&gt;="&amp;$C$7,BD!$A$3:$A$5001,"&lt;="&amp;$B239,BD!$Y$3:$Y$5001,"&lt;&gt;")=0,"",SUMIFS(BD!$Y$3:$Y$5001,BD!$B$3:$B$5001,N$210,BD!$A$3:$A$5001,_xlfn.MAXIFS(BD!$A$3:$A$5001,BD!$B$3:$B$5001,N$210,BD!$A$3:$A$5001,"&gt;="&amp;$C$7,BD!$A$3:$A$5001,"&lt;="&amp;$B239,BD!$Y$3:$Y$5001,"&lt;&gt;"))))</f>
        <v/>
      </c>
      <c r="O239" s="43" t="str">
        <f>IF(OR($B239="",$A239&gt;$B$9,O$210=""),"",IF(COUNTIFS(BD!$B$3:$B$5001,O$210,BD!$A$3:$A$5001,"&gt;="&amp;$C$7,BD!$A$3:$A$5001,"&lt;="&amp;$B239,BD!$Y$3:$Y$5001,"&lt;&gt;")=0,"",SUMIFS(BD!$Y$3:$Y$5001,BD!$B$3:$B$5001,O$210,BD!$A$3:$A$5001,_xlfn.MAXIFS(BD!$A$3:$A$5001,BD!$B$3:$B$5001,O$210,BD!$A$3:$A$5001,"&gt;="&amp;$C$7,BD!$A$3:$A$5001,"&lt;="&amp;$B239,BD!$Y$3:$Y$5001,"&lt;&gt;"))))</f>
        <v/>
      </c>
      <c r="P239" s="43" t="str">
        <f>IF(OR($B239="",$A239&gt;$B$9,P$210=""),"",IF(COUNTIFS(BD!$B$3:$B$5001,P$210,BD!$A$3:$A$5001,"&gt;="&amp;$C$7,BD!$A$3:$A$5001,"&lt;="&amp;$B239,BD!$Y$3:$Y$5001,"&lt;&gt;")=0,"",SUMIFS(BD!$Y$3:$Y$5001,BD!$B$3:$B$5001,P$210,BD!$A$3:$A$5001,_xlfn.MAXIFS(BD!$A$3:$A$5001,BD!$B$3:$B$5001,P$210,BD!$A$3:$A$5001,"&gt;="&amp;$C$7,BD!$A$3:$A$5001,"&lt;="&amp;$B239,BD!$Y$3:$Y$5001,"&lt;&gt;"))))</f>
        <v/>
      </c>
      <c r="Q239" s="43" t="str">
        <f>IF(OR($B239="",$A239&gt;$B$9,Q$210=""),"",IF(COUNTIFS(BD!$B$3:$B$5001,Q$210,BD!$A$3:$A$5001,"&gt;="&amp;$C$7,BD!$A$3:$A$5001,"&lt;="&amp;$B239,BD!$Y$3:$Y$5001,"&lt;&gt;")=0,"",SUMIFS(BD!$Y$3:$Y$5001,BD!$B$3:$B$5001,Q$210,BD!$A$3:$A$5001,_xlfn.MAXIFS(BD!$A$3:$A$5001,BD!$B$3:$B$5001,Q$210,BD!$A$3:$A$5001,"&gt;="&amp;$C$7,BD!$A$3:$A$5001,"&lt;="&amp;$B239,BD!$Y$3:$Y$5001,"&lt;&gt;"))))</f>
        <v/>
      </c>
      <c r="R239" s="43" t="str">
        <f>IF(OR($B239="",$A239&gt;$B$9,R$210=""),"",IF(COUNTIFS(BD!$B$3:$B$5001,R$210,BD!$A$3:$A$5001,"&gt;="&amp;$C$7,BD!$A$3:$A$5001,"&lt;="&amp;$B239,BD!$Y$3:$Y$5001,"&lt;&gt;")=0,"",SUMIFS(BD!$Y$3:$Y$5001,BD!$B$3:$B$5001,R$210,BD!$A$3:$A$5001,_xlfn.MAXIFS(BD!$A$3:$A$5001,BD!$B$3:$B$5001,R$210,BD!$A$3:$A$5001,"&gt;="&amp;$C$7,BD!$A$3:$A$5001,"&lt;="&amp;$B239,BD!$Y$3:$Y$5001,"&lt;&gt;"))))</f>
        <v/>
      </c>
      <c r="S239" s="43" t="str">
        <f>IF(OR($B239="",$A239&gt;$B$9,S$210=""),"",IF(COUNTIFS(BD!$B$3:$B$5001,S$210,BD!$A$3:$A$5001,"&gt;="&amp;$C$7,BD!$A$3:$A$5001,"&lt;="&amp;$B239,BD!$Y$3:$Y$5001,"&lt;&gt;")=0,"",SUMIFS(BD!$Y$3:$Y$5001,BD!$B$3:$B$5001,S$210,BD!$A$3:$A$5001,_xlfn.MAXIFS(BD!$A$3:$A$5001,BD!$B$3:$B$5001,S$210,BD!$A$3:$A$5001,"&gt;="&amp;$C$7,BD!$A$3:$A$5001,"&lt;="&amp;$B239,BD!$Y$3:$Y$5001,"&lt;&gt;"))))</f>
        <v/>
      </c>
      <c r="T239" s="43" t="str">
        <f>IF(OR($B239="",$A239&gt;$B$9,T$210=""),"",IF(COUNTIFS(BD!$B$3:$B$5001,T$210,BD!$A$3:$A$5001,"&gt;="&amp;$C$7,BD!$A$3:$A$5001,"&lt;="&amp;$B239,BD!$Y$3:$Y$5001,"&lt;&gt;")=0,"",SUMIFS(BD!$Y$3:$Y$5001,BD!$B$3:$B$5001,T$210,BD!$A$3:$A$5001,_xlfn.MAXIFS(BD!$A$3:$A$5001,BD!$B$3:$B$5001,T$210,BD!$A$3:$A$5001,"&gt;="&amp;$C$7,BD!$A$3:$A$5001,"&lt;="&amp;$B239,BD!$Y$3:$Y$5001,"&lt;&gt;"))))</f>
        <v/>
      </c>
      <c r="U239" s="43" t="str">
        <f>IF(OR($B239="",$A239&gt;$B$9,U$210=""),"",IF(COUNTIFS(BD!$B$3:$B$5001,U$210,BD!$A$3:$A$5001,"&gt;="&amp;$C$7,BD!$A$3:$A$5001,"&lt;="&amp;$B239,BD!$Y$3:$Y$5001,"&lt;&gt;")=0,"",SUMIFS(BD!$Y$3:$Y$5001,BD!$B$3:$B$5001,U$210,BD!$A$3:$A$5001,_xlfn.MAXIFS(BD!$A$3:$A$5001,BD!$B$3:$B$5001,U$210,BD!$A$3:$A$5001,"&gt;="&amp;$C$7,BD!$A$3:$A$5001,"&lt;="&amp;$B239,BD!$Y$3:$Y$5001,"&lt;&gt;"))))</f>
        <v/>
      </c>
      <c r="V239" s="43" t="str">
        <f>IF(OR($B239="",$A239&gt;$B$9,V$210=""),"",IF(COUNTIFS(BD!$B$3:$B$5001,V$210,BD!$A$3:$A$5001,"&gt;="&amp;$C$7,BD!$A$3:$A$5001,"&lt;="&amp;$B239,BD!$Y$3:$Y$5001,"&lt;&gt;")=0,"",SUMIFS(BD!$Y$3:$Y$5001,BD!$B$3:$B$5001,V$210,BD!$A$3:$A$5001,_xlfn.MAXIFS(BD!$A$3:$A$5001,BD!$B$3:$B$5001,V$210,BD!$A$3:$A$5001,"&gt;="&amp;$C$7,BD!$A$3:$A$5001,"&lt;="&amp;$B239,BD!$Y$3:$Y$5001,"&lt;&gt;"))))</f>
        <v/>
      </c>
    </row>
    <row r="240">
      <c r="A240" s="38">
        <v>30</v>
      </c>
      <c r="B240" s="42">
        <f>$B$41</f>
        <v>46325</v>
      </c>
      <c r="C240" s="43" t="str">
        <f>IF(OR($B240="",$A240&gt;$B$9,C$210=""),"",IF(COUNTIFS(BD!$B$3:$B$5001,C$210,BD!$A$3:$A$5001,"&gt;="&amp;$C$7,BD!$A$3:$A$5001,"&lt;="&amp;$B240,BD!$Y$3:$Y$5001,"&lt;&gt;")=0,"",SUMIFS(BD!$Y$3:$Y$5001,BD!$B$3:$B$5001,C$210,BD!$A$3:$A$5001,_xlfn.MAXIFS(BD!$A$3:$A$5001,BD!$B$3:$B$5001,C$210,BD!$A$3:$A$5001,"&gt;="&amp;$C$7,BD!$A$3:$A$5001,"&lt;="&amp;$B240,BD!$Y$3:$Y$5001,"&lt;&gt;"))))</f>
        <v/>
      </c>
      <c r="D240" s="43" t="str">
        <f>IF(OR($B240="",$A240&gt;$B$9,D$210=""),"",IF(COUNTIFS(BD!$B$3:$B$5001,D$210,BD!$A$3:$A$5001,"&gt;="&amp;$C$7,BD!$A$3:$A$5001,"&lt;="&amp;$B240,BD!$Y$3:$Y$5001,"&lt;&gt;")=0,"",SUMIFS(BD!$Y$3:$Y$5001,BD!$B$3:$B$5001,D$210,BD!$A$3:$A$5001,_xlfn.MAXIFS(BD!$A$3:$A$5001,BD!$B$3:$B$5001,D$210,BD!$A$3:$A$5001,"&gt;="&amp;$C$7,BD!$A$3:$A$5001,"&lt;="&amp;$B240,BD!$Y$3:$Y$5001,"&lt;&gt;"))))</f>
        <v/>
      </c>
      <c r="E240" s="43" t="str">
        <f>IF(OR($B240="",$A240&gt;$B$9,E$210=""),"",IF(COUNTIFS(BD!$B$3:$B$5001,E$210,BD!$A$3:$A$5001,"&gt;="&amp;$C$7,BD!$A$3:$A$5001,"&lt;="&amp;$B240,BD!$Y$3:$Y$5001,"&lt;&gt;")=0,"",SUMIFS(BD!$Y$3:$Y$5001,BD!$B$3:$B$5001,E$210,BD!$A$3:$A$5001,_xlfn.MAXIFS(BD!$A$3:$A$5001,BD!$B$3:$B$5001,E$210,BD!$A$3:$A$5001,"&gt;="&amp;$C$7,BD!$A$3:$A$5001,"&lt;="&amp;$B240,BD!$Y$3:$Y$5001,"&lt;&gt;"))))</f>
        <v/>
      </c>
      <c r="F240" s="43" t="str">
        <f>IF(OR($B240="",$A240&gt;$B$9,F$210=""),"",IF(COUNTIFS(BD!$B$3:$B$5001,F$210,BD!$A$3:$A$5001,"&gt;="&amp;$C$7,BD!$A$3:$A$5001,"&lt;="&amp;$B240,BD!$Y$3:$Y$5001,"&lt;&gt;")=0,"",SUMIFS(BD!$Y$3:$Y$5001,BD!$B$3:$B$5001,F$210,BD!$A$3:$A$5001,_xlfn.MAXIFS(BD!$A$3:$A$5001,BD!$B$3:$B$5001,F$210,BD!$A$3:$A$5001,"&gt;="&amp;$C$7,BD!$A$3:$A$5001,"&lt;="&amp;$B240,BD!$Y$3:$Y$5001,"&lt;&gt;"))))</f>
        <v/>
      </c>
      <c r="G240" s="43" t="str">
        <f>IF(OR($B240="",$A240&gt;$B$9,G$210=""),"",IF(COUNTIFS(BD!$B$3:$B$5001,G$210,BD!$A$3:$A$5001,"&gt;="&amp;$C$7,BD!$A$3:$A$5001,"&lt;="&amp;$B240,BD!$Y$3:$Y$5001,"&lt;&gt;")=0,"",SUMIFS(BD!$Y$3:$Y$5001,BD!$B$3:$B$5001,G$210,BD!$A$3:$A$5001,_xlfn.MAXIFS(BD!$A$3:$A$5001,BD!$B$3:$B$5001,G$210,BD!$A$3:$A$5001,"&gt;="&amp;$C$7,BD!$A$3:$A$5001,"&lt;="&amp;$B240,BD!$Y$3:$Y$5001,"&lt;&gt;"))))</f>
        <v/>
      </c>
      <c r="H240" s="43" t="str">
        <f>IF(OR($B240="",$A240&gt;$B$9,H$210=""),"",IF(COUNTIFS(BD!$B$3:$B$5001,H$210,BD!$A$3:$A$5001,"&gt;="&amp;$C$7,BD!$A$3:$A$5001,"&lt;="&amp;$B240,BD!$Y$3:$Y$5001,"&lt;&gt;")=0,"",SUMIFS(BD!$Y$3:$Y$5001,BD!$B$3:$B$5001,H$210,BD!$A$3:$A$5001,_xlfn.MAXIFS(BD!$A$3:$A$5001,BD!$B$3:$B$5001,H$210,BD!$A$3:$A$5001,"&gt;="&amp;$C$7,BD!$A$3:$A$5001,"&lt;="&amp;$B240,BD!$Y$3:$Y$5001,"&lt;&gt;"))))</f>
        <v/>
      </c>
      <c r="I240" s="43" t="str">
        <f>IF(OR($B240="",$A240&gt;$B$9,I$210=""),"",IF(COUNTIFS(BD!$B$3:$B$5001,I$210,BD!$A$3:$A$5001,"&gt;="&amp;$C$7,BD!$A$3:$A$5001,"&lt;="&amp;$B240,BD!$Y$3:$Y$5001,"&lt;&gt;")=0,"",SUMIFS(BD!$Y$3:$Y$5001,BD!$B$3:$B$5001,I$210,BD!$A$3:$A$5001,_xlfn.MAXIFS(BD!$A$3:$A$5001,BD!$B$3:$B$5001,I$210,BD!$A$3:$A$5001,"&gt;="&amp;$C$7,BD!$A$3:$A$5001,"&lt;="&amp;$B240,BD!$Y$3:$Y$5001,"&lt;&gt;"))))</f>
        <v/>
      </c>
      <c r="J240" s="43" t="str">
        <f>IF(OR($B240="",$A240&gt;$B$9,J$210=""),"",IF(COUNTIFS(BD!$B$3:$B$5001,J$210,BD!$A$3:$A$5001,"&gt;="&amp;$C$7,BD!$A$3:$A$5001,"&lt;="&amp;$B240,BD!$Y$3:$Y$5001,"&lt;&gt;")=0,"",SUMIFS(BD!$Y$3:$Y$5001,BD!$B$3:$B$5001,J$210,BD!$A$3:$A$5001,_xlfn.MAXIFS(BD!$A$3:$A$5001,BD!$B$3:$B$5001,J$210,BD!$A$3:$A$5001,"&gt;="&amp;$C$7,BD!$A$3:$A$5001,"&lt;="&amp;$B240,BD!$Y$3:$Y$5001,"&lt;&gt;"))))</f>
        <v/>
      </c>
      <c r="K240" s="43" t="str">
        <f>IF(OR($B240="",$A240&gt;$B$9,K$210=""),"",IF(COUNTIFS(BD!$B$3:$B$5001,K$210,BD!$A$3:$A$5001,"&gt;="&amp;$C$7,BD!$A$3:$A$5001,"&lt;="&amp;$B240,BD!$Y$3:$Y$5001,"&lt;&gt;")=0,"",SUMIFS(BD!$Y$3:$Y$5001,BD!$B$3:$B$5001,K$210,BD!$A$3:$A$5001,_xlfn.MAXIFS(BD!$A$3:$A$5001,BD!$B$3:$B$5001,K$210,BD!$A$3:$A$5001,"&gt;="&amp;$C$7,BD!$A$3:$A$5001,"&lt;="&amp;$B240,BD!$Y$3:$Y$5001,"&lt;&gt;"))))</f>
        <v/>
      </c>
      <c r="L240" s="43" t="str">
        <f>IF(OR($B240="",$A240&gt;$B$9,L$210=""),"",IF(COUNTIFS(BD!$B$3:$B$5001,L$210,BD!$A$3:$A$5001,"&gt;="&amp;$C$7,BD!$A$3:$A$5001,"&lt;="&amp;$B240,BD!$Y$3:$Y$5001,"&lt;&gt;")=0,"",SUMIFS(BD!$Y$3:$Y$5001,BD!$B$3:$B$5001,L$210,BD!$A$3:$A$5001,_xlfn.MAXIFS(BD!$A$3:$A$5001,BD!$B$3:$B$5001,L$210,BD!$A$3:$A$5001,"&gt;="&amp;$C$7,BD!$A$3:$A$5001,"&lt;="&amp;$B240,BD!$Y$3:$Y$5001,"&lt;&gt;"))))</f>
        <v/>
      </c>
      <c r="M240" s="43" t="str">
        <f>IF(OR($B240="",$A240&gt;$B$9,M$210=""),"",IF(COUNTIFS(BD!$B$3:$B$5001,M$210,BD!$A$3:$A$5001,"&gt;="&amp;$C$7,BD!$A$3:$A$5001,"&lt;="&amp;$B240,BD!$Y$3:$Y$5001,"&lt;&gt;")=0,"",SUMIFS(BD!$Y$3:$Y$5001,BD!$B$3:$B$5001,M$210,BD!$A$3:$A$5001,_xlfn.MAXIFS(BD!$A$3:$A$5001,BD!$B$3:$B$5001,M$210,BD!$A$3:$A$5001,"&gt;="&amp;$C$7,BD!$A$3:$A$5001,"&lt;="&amp;$B240,BD!$Y$3:$Y$5001,"&lt;&gt;"))))</f>
        <v/>
      </c>
      <c r="N240" s="43" t="str">
        <f>IF(OR($B240="",$A240&gt;$B$9,N$210=""),"",IF(COUNTIFS(BD!$B$3:$B$5001,N$210,BD!$A$3:$A$5001,"&gt;="&amp;$C$7,BD!$A$3:$A$5001,"&lt;="&amp;$B240,BD!$Y$3:$Y$5001,"&lt;&gt;")=0,"",SUMIFS(BD!$Y$3:$Y$5001,BD!$B$3:$B$5001,N$210,BD!$A$3:$A$5001,_xlfn.MAXIFS(BD!$A$3:$A$5001,BD!$B$3:$B$5001,N$210,BD!$A$3:$A$5001,"&gt;="&amp;$C$7,BD!$A$3:$A$5001,"&lt;="&amp;$B240,BD!$Y$3:$Y$5001,"&lt;&gt;"))))</f>
        <v/>
      </c>
      <c r="O240" s="43" t="str">
        <f>IF(OR($B240="",$A240&gt;$B$9,O$210=""),"",IF(COUNTIFS(BD!$B$3:$B$5001,O$210,BD!$A$3:$A$5001,"&gt;="&amp;$C$7,BD!$A$3:$A$5001,"&lt;="&amp;$B240,BD!$Y$3:$Y$5001,"&lt;&gt;")=0,"",SUMIFS(BD!$Y$3:$Y$5001,BD!$B$3:$B$5001,O$210,BD!$A$3:$A$5001,_xlfn.MAXIFS(BD!$A$3:$A$5001,BD!$B$3:$B$5001,O$210,BD!$A$3:$A$5001,"&gt;="&amp;$C$7,BD!$A$3:$A$5001,"&lt;="&amp;$B240,BD!$Y$3:$Y$5001,"&lt;&gt;"))))</f>
        <v/>
      </c>
      <c r="P240" s="43" t="str">
        <f>IF(OR($B240="",$A240&gt;$B$9,P$210=""),"",IF(COUNTIFS(BD!$B$3:$B$5001,P$210,BD!$A$3:$A$5001,"&gt;="&amp;$C$7,BD!$A$3:$A$5001,"&lt;="&amp;$B240,BD!$Y$3:$Y$5001,"&lt;&gt;")=0,"",SUMIFS(BD!$Y$3:$Y$5001,BD!$B$3:$B$5001,P$210,BD!$A$3:$A$5001,_xlfn.MAXIFS(BD!$A$3:$A$5001,BD!$B$3:$B$5001,P$210,BD!$A$3:$A$5001,"&gt;="&amp;$C$7,BD!$A$3:$A$5001,"&lt;="&amp;$B240,BD!$Y$3:$Y$5001,"&lt;&gt;"))))</f>
        <v/>
      </c>
      <c r="Q240" s="43" t="str">
        <f>IF(OR($B240="",$A240&gt;$B$9,Q$210=""),"",IF(COUNTIFS(BD!$B$3:$B$5001,Q$210,BD!$A$3:$A$5001,"&gt;="&amp;$C$7,BD!$A$3:$A$5001,"&lt;="&amp;$B240,BD!$Y$3:$Y$5001,"&lt;&gt;")=0,"",SUMIFS(BD!$Y$3:$Y$5001,BD!$B$3:$B$5001,Q$210,BD!$A$3:$A$5001,_xlfn.MAXIFS(BD!$A$3:$A$5001,BD!$B$3:$B$5001,Q$210,BD!$A$3:$A$5001,"&gt;="&amp;$C$7,BD!$A$3:$A$5001,"&lt;="&amp;$B240,BD!$Y$3:$Y$5001,"&lt;&gt;"))))</f>
        <v/>
      </c>
      <c r="R240" s="43" t="str">
        <f>IF(OR($B240="",$A240&gt;$B$9,R$210=""),"",IF(COUNTIFS(BD!$B$3:$B$5001,R$210,BD!$A$3:$A$5001,"&gt;="&amp;$C$7,BD!$A$3:$A$5001,"&lt;="&amp;$B240,BD!$Y$3:$Y$5001,"&lt;&gt;")=0,"",SUMIFS(BD!$Y$3:$Y$5001,BD!$B$3:$B$5001,R$210,BD!$A$3:$A$5001,_xlfn.MAXIFS(BD!$A$3:$A$5001,BD!$B$3:$B$5001,R$210,BD!$A$3:$A$5001,"&gt;="&amp;$C$7,BD!$A$3:$A$5001,"&lt;="&amp;$B240,BD!$Y$3:$Y$5001,"&lt;&gt;"))))</f>
        <v/>
      </c>
      <c r="S240" s="43" t="str">
        <f>IF(OR($B240="",$A240&gt;$B$9,S$210=""),"",IF(COUNTIFS(BD!$B$3:$B$5001,S$210,BD!$A$3:$A$5001,"&gt;="&amp;$C$7,BD!$A$3:$A$5001,"&lt;="&amp;$B240,BD!$Y$3:$Y$5001,"&lt;&gt;")=0,"",SUMIFS(BD!$Y$3:$Y$5001,BD!$B$3:$B$5001,S$210,BD!$A$3:$A$5001,_xlfn.MAXIFS(BD!$A$3:$A$5001,BD!$B$3:$B$5001,S$210,BD!$A$3:$A$5001,"&gt;="&amp;$C$7,BD!$A$3:$A$5001,"&lt;="&amp;$B240,BD!$Y$3:$Y$5001,"&lt;&gt;"))))</f>
        <v/>
      </c>
      <c r="T240" s="43" t="str">
        <f>IF(OR($B240="",$A240&gt;$B$9,T$210=""),"",IF(COUNTIFS(BD!$B$3:$B$5001,T$210,BD!$A$3:$A$5001,"&gt;="&amp;$C$7,BD!$A$3:$A$5001,"&lt;="&amp;$B240,BD!$Y$3:$Y$5001,"&lt;&gt;")=0,"",SUMIFS(BD!$Y$3:$Y$5001,BD!$B$3:$B$5001,T$210,BD!$A$3:$A$5001,_xlfn.MAXIFS(BD!$A$3:$A$5001,BD!$B$3:$B$5001,T$210,BD!$A$3:$A$5001,"&gt;="&amp;$C$7,BD!$A$3:$A$5001,"&lt;="&amp;$B240,BD!$Y$3:$Y$5001,"&lt;&gt;"))))</f>
        <v/>
      </c>
      <c r="U240" s="43" t="str">
        <f>IF(OR($B240="",$A240&gt;$B$9,U$210=""),"",IF(COUNTIFS(BD!$B$3:$B$5001,U$210,BD!$A$3:$A$5001,"&gt;="&amp;$C$7,BD!$A$3:$A$5001,"&lt;="&amp;$B240,BD!$Y$3:$Y$5001,"&lt;&gt;")=0,"",SUMIFS(BD!$Y$3:$Y$5001,BD!$B$3:$B$5001,U$210,BD!$A$3:$A$5001,_xlfn.MAXIFS(BD!$A$3:$A$5001,BD!$B$3:$B$5001,U$210,BD!$A$3:$A$5001,"&gt;="&amp;$C$7,BD!$A$3:$A$5001,"&lt;="&amp;$B240,BD!$Y$3:$Y$5001,"&lt;&gt;"))))</f>
        <v/>
      </c>
      <c r="V240" s="43" t="str">
        <f>IF(OR($B240="",$A240&gt;$B$9,V$210=""),"",IF(COUNTIFS(BD!$B$3:$B$5001,V$210,BD!$A$3:$A$5001,"&gt;="&amp;$C$7,BD!$A$3:$A$5001,"&lt;="&amp;$B240,BD!$Y$3:$Y$5001,"&lt;&gt;")=0,"",SUMIFS(BD!$Y$3:$Y$5001,BD!$B$3:$B$5001,V$210,BD!$A$3:$A$5001,_xlfn.MAXIFS(BD!$A$3:$A$5001,BD!$B$3:$B$5001,V$210,BD!$A$3:$A$5001,"&gt;="&amp;$C$7,BD!$A$3:$A$5001,"&lt;="&amp;$B240,BD!$Y$3:$Y$5001,"&lt;&gt;"))))</f>
        <v/>
      </c>
    </row>
    <row r="241">
      <c r="A241" s="38">
        <v>31</v>
      </c>
      <c r="B241" s="42">
        <f>$B$42</f>
        <v>46326</v>
      </c>
      <c r="C241" s="43" t="str">
        <f>IF(OR($B241="",$A241&gt;$B$9,C$210=""),"",IF(COUNTIFS(BD!$B$3:$B$5001,C$210,BD!$A$3:$A$5001,"&gt;="&amp;$C$7,BD!$A$3:$A$5001,"&lt;="&amp;$B241,BD!$Y$3:$Y$5001,"&lt;&gt;")=0,"",SUMIFS(BD!$Y$3:$Y$5001,BD!$B$3:$B$5001,C$210,BD!$A$3:$A$5001,_xlfn.MAXIFS(BD!$A$3:$A$5001,BD!$B$3:$B$5001,C$210,BD!$A$3:$A$5001,"&gt;="&amp;$C$7,BD!$A$3:$A$5001,"&lt;="&amp;$B241,BD!$Y$3:$Y$5001,"&lt;&gt;"))))</f>
        <v/>
      </c>
      <c r="D241" s="43" t="str">
        <f>IF(OR($B241="",$A241&gt;$B$9,D$210=""),"",IF(COUNTIFS(BD!$B$3:$B$5001,D$210,BD!$A$3:$A$5001,"&gt;="&amp;$C$7,BD!$A$3:$A$5001,"&lt;="&amp;$B241,BD!$Y$3:$Y$5001,"&lt;&gt;")=0,"",SUMIFS(BD!$Y$3:$Y$5001,BD!$B$3:$B$5001,D$210,BD!$A$3:$A$5001,_xlfn.MAXIFS(BD!$A$3:$A$5001,BD!$B$3:$B$5001,D$210,BD!$A$3:$A$5001,"&gt;="&amp;$C$7,BD!$A$3:$A$5001,"&lt;="&amp;$B241,BD!$Y$3:$Y$5001,"&lt;&gt;"))))</f>
        <v/>
      </c>
      <c r="E241" s="43" t="str">
        <f>IF(OR($B241="",$A241&gt;$B$9,E$210=""),"",IF(COUNTIFS(BD!$B$3:$B$5001,E$210,BD!$A$3:$A$5001,"&gt;="&amp;$C$7,BD!$A$3:$A$5001,"&lt;="&amp;$B241,BD!$Y$3:$Y$5001,"&lt;&gt;")=0,"",SUMIFS(BD!$Y$3:$Y$5001,BD!$B$3:$B$5001,E$210,BD!$A$3:$A$5001,_xlfn.MAXIFS(BD!$A$3:$A$5001,BD!$B$3:$B$5001,E$210,BD!$A$3:$A$5001,"&gt;="&amp;$C$7,BD!$A$3:$A$5001,"&lt;="&amp;$B241,BD!$Y$3:$Y$5001,"&lt;&gt;"))))</f>
        <v/>
      </c>
      <c r="F241" s="43" t="str">
        <f>IF(OR($B241="",$A241&gt;$B$9,F$210=""),"",IF(COUNTIFS(BD!$B$3:$B$5001,F$210,BD!$A$3:$A$5001,"&gt;="&amp;$C$7,BD!$A$3:$A$5001,"&lt;="&amp;$B241,BD!$Y$3:$Y$5001,"&lt;&gt;")=0,"",SUMIFS(BD!$Y$3:$Y$5001,BD!$B$3:$B$5001,F$210,BD!$A$3:$A$5001,_xlfn.MAXIFS(BD!$A$3:$A$5001,BD!$B$3:$B$5001,F$210,BD!$A$3:$A$5001,"&gt;="&amp;$C$7,BD!$A$3:$A$5001,"&lt;="&amp;$B241,BD!$Y$3:$Y$5001,"&lt;&gt;"))))</f>
        <v/>
      </c>
      <c r="G241" s="43" t="str">
        <f>IF(OR($B241="",$A241&gt;$B$9,G$210=""),"",IF(COUNTIFS(BD!$B$3:$B$5001,G$210,BD!$A$3:$A$5001,"&gt;="&amp;$C$7,BD!$A$3:$A$5001,"&lt;="&amp;$B241,BD!$Y$3:$Y$5001,"&lt;&gt;")=0,"",SUMIFS(BD!$Y$3:$Y$5001,BD!$B$3:$B$5001,G$210,BD!$A$3:$A$5001,_xlfn.MAXIFS(BD!$A$3:$A$5001,BD!$B$3:$B$5001,G$210,BD!$A$3:$A$5001,"&gt;="&amp;$C$7,BD!$A$3:$A$5001,"&lt;="&amp;$B241,BD!$Y$3:$Y$5001,"&lt;&gt;"))))</f>
        <v/>
      </c>
      <c r="H241" s="43" t="str">
        <f>IF(OR($B241="",$A241&gt;$B$9,H$210=""),"",IF(COUNTIFS(BD!$B$3:$B$5001,H$210,BD!$A$3:$A$5001,"&gt;="&amp;$C$7,BD!$A$3:$A$5001,"&lt;="&amp;$B241,BD!$Y$3:$Y$5001,"&lt;&gt;")=0,"",SUMIFS(BD!$Y$3:$Y$5001,BD!$B$3:$B$5001,H$210,BD!$A$3:$A$5001,_xlfn.MAXIFS(BD!$A$3:$A$5001,BD!$B$3:$B$5001,H$210,BD!$A$3:$A$5001,"&gt;="&amp;$C$7,BD!$A$3:$A$5001,"&lt;="&amp;$B241,BD!$Y$3:$Y$5001,"&lt;&gt;"))))</f>
        <v/>
      </c>
      <c r="I241" s="43" t="str">
        <f>IF(OR($B241="",$A241&gt;$B$9,I$210=""),"",IF(COUNTIFS(BD!$B$3:$B$5001,I$210,BD!$A$3:$A$5001,"&gt;="&amp;$C$7,BD!$A$3:$A$5001,"&lt;="&amp;$B241,BD!$Y$3:$Y$5001,"&lt;&gt;")=0,"",SUMIFS(BD!$Y$3:$Y$5001,BD!$B$3:$B$5001,I$210,BD!$A$3:$A$5001,_xlfn.MAXIFS(BD!$A$3:$A$5001,BD!$B$3:$B$5001,I$210,BD!$A$3:$A$5001,"&gt;="&amp;$C$7,BD!$A$3:$A$5001,"&lt;="&amp;$B241,BD!$Y$3:$Y$5001,"&lt;&gt;"))))</f>
        <v/>
      </c>
      <c r="J241" s="43" t="str">
        <f>IF(OR($B241="",$A241&gt;$B$9,J$210=""),"",IF(COUNTIFS(BD!$B$3:$B$5001,J$210,BD!$A$3:$A$5001,"&gt;="&amp;$C$7,BD!$A$3:$A$5001,"&lt;="&amp;$B241,BD!$Y$3:$Y$5001,"&lt;&gt;")=0,"",SUMIFS(BD!$Y$3:$Y$5001,BD!$B$3:$B$5001,J$210,BD!$A$3:$A$5001,_xlfn.MAXIFS(BD!$A$3:$A$5001,BD!$B$3:$B$5001,J$210,BD!$A$3:$A$5001,"&gt;="&amp;$C$7,BD!$A$3:$A$5001,"&lt;="&amp;$B241,BD!$Y$3:$Y$5001,"&lt;&gt;"))))</f>
        <v/>
      </c>
      <c r="K241" s="43" t="str">
        <f>IF(OR($B241="",$A241&gt;$B$9,K$210=""),"",IF(COUNTIFS(BD!$B$3:$B$5001,K$210,BD!$A$3:$A$5001,"&gt;="&amp;$C$7,BD!$A$3:$A$5001,"&lt;="&amp;$B241,BD!$Y$3:$Y$5001,"&lt;&gt;")=0,"",SUMIFS(BD!$Y$3:$Y$5001,BD!$B$3:$B$5001,K$210,BD!$A$3:$A$5001,_xlfn.MAXIFS(BD!$A$3:$A$5001,BD!$B$3:$B$5001,K$210,BD!$A$3:$A$5001,"&gt;="&amp;$C$7,BD!$A$3:$A$5001,"&lt;="&amp;$B241,BD!$Y$3:$Y$5001,"&lt;&gt;"))))</f>
        <v/>
      </c>
      <c r="L241" s="43" t="str">
        <f>IF(OR($B241="",$A241&gt;$B$9,L$210=""),"",IF(COUNTIFS(BD!$B$3:$B$5001,L$210,BD!$A$3:$A$5001,"&gt;="&amp;$C$7,BD!$A$3:$A$5001,"&lt;="&amp;$B241,BD!$Y$3:$Y$5001,"&lt;&gt;")=0,"",SUMIFS(BD!$Y$3:$Y$5001,BD!$B$3:$B$5001,L$210,BD!$A$3:$A$5001,_xlfn.MAXIFS(BD!$A$3:$A$5001,BD!$B$3:$B$5001,L$210,BD!$A$3:$A$5001,"&gt;="&amp;$C$7,BD!$A$3:$A$5001,"&lt;="&amp;$B241,BD!$Y$3:$Y$5001,"&lt;&gt;"))))</f>
        <v/>
      </c>
      <c r="M241" s="43" t="str">
        <f>IF(OR($B241="",$A241&gt;$B$9,M$210=""),"",IF(COUNTIFS(BD!$B$3:$B$5001,M$210,BD!$A$3:$A$5001,"&gt;="&amp;$C$7,BD!$A$3:$A$5001,"&lt;="&amp;$B241,BD!$Y$3:$Y$5001,"&lt;&gt;")=0,"",SUMIFS(BD!$Y$3:$Y$5001,BD!$B$3:$B$5001,M$210,BD!$A$3:$A$5001,_xlfn.MAXIFS(BD!$A$3:$A$5001,BD!$B$3:$B$5001,M$210,BD!$A$3:$A$5001,"&gt;="&amp;$C$7,BD!$A$3:$A$5001,"&lt;="&amp;$B241,BD!$Y$3:$Y$5001,"&lt;&gt;"))))</f>
        <v/>
      </c>
      <c r="N241" s="43" t="str">
        <f>IF(OR($B241="",$A241&gt;$B$9,N$210=""),"",IF(COUNTIFS(BD!$B$3:$B$5001,N$210,BD!$A$3:$A$5001,"&gt;="&amp;$C$7,BD!$A$3:$A$5001,"&lt;="&amp;$B241,BD!$Y$3:$Y$5001,"&lt;&gt;")=0,"",SUMIFS(BD!$Y$3:$Y$5001,BD!$B$3:$B$5001,N$210,BD!$A$3:$A$5001,_xlfn.MAXIFS(BD!$A$3:$A$5001,BD!$B$3:$B$5001,N$210,BD!$A$3:$A$5001,"&gt;="&amp;$C$7,BD!$A$3:$A$5001,"&lt;="&amp;$B241,BD!$Y$3:$Y$5001,"&lt;&gt;"))))</f>
        <v/>
      </c>
      <c r="O241" s="43" t="str">
        <f>IF(OR($B241="",$A241&gt;$B$9,O$210=""),"",IF(COUNTIFS(BD!$B$3:$B$5001,O$210,BD!$A$3:$A$5001,"&gt;="&amp;$C$7,BD!$A$3:$A$5001,"&lt;="&amp;$B241,BD!$Y$3:$Y$5001,"&lt;&gt;")=0,"",SUMIFS(BD!$Y$3:$Y$5001,BD!$B$3:$B$5001,O$210,BD!$A$3:$A$5001,_xlfn.MAXIFS(BD!$A$3:$A$5001,BD!$B$3:$B$5001,O$210,BD!$A$3:$A$5001,"&gt;="&amp;$C$7,BD!$A$3:$A$5001,"&lt;="&amp;$B241,BD!$Y$3:$Y$5001,"&lt;&gt;"))))</f>
        <v/>
      </c>
      <c r="P241" s="43" t="str">
        <f>IF(OR($B241="",$A241&gt;$B$9,P$210=""),"",IF(COUNTIFS(BD!$B$3:$B$5001,P$210,BD!$A$3:$A$5001,"&gt;="&amp;$C$7,BD!$A$3:$A$5001,"&lt;="&amp;$B241,BD!$Y$3:$Y$5001,"&lt;&gt;")=0,"",SUMIFS(BD!$Y$3:$Y$5001,BD!$B$3:$B$5001,P$210,BD!$A$3:$A$5001,_xlfn.MAXIFS(BD!$A$3:$A$5001,BD!$B$3:$B$5001,P$210,BD!$A$3:$A$5001,"&gt;="&amp;$C$7,BD!$A$3:$A$5001,"&lt;="&amp;$B241,BD!$Y$3:$Y$5001,"&lt;&gt;"))))</f>
        <v/>
      </c>
      <c r="Q241" s="43" t="str">
        <f>IF(OR($B241="",$A241&gt;$B$9,Q$210=""),"",IF(COUNTIFS(BD!$B$3:$B$5001,Q$210,BD!$A$3:$A$5001,"&gt;="&amp;$C$7,BD!$A$3:$A$5001,"&lt;="&amp;$B241,BD!$Y$3:$Y$5001,"&lt;&gt;")=0,"",SUMIFS(BD!$Y$3:$Y$5001,BD!$B$3:$B$5001,Q$210,BD!$A$3:$A$5001,_xlfn.MAXIFS(BD!$A$3:$A$5001,BD!$B$3:$B$5001,Q$210,BD!$A$3:$A$5001,"&gt;="&amp;$C$7,BD!$A$3:$A$5001,"&lt;="&amp;$B241,BD!$Y$3:$Y$5001,"&lt;&gt;"))))</f>
        <v/>
      </c>
      <c r="R241" s="43" t="str">
        <f>IF(OR($B241="",$A241&gt;$B$9,R$210=""),"",IF(COUNTIFS(BD!$B$3:$B$5001,R$210,BD!$A$3:$A$5001,"&gt;="&amp;$C$7,BD!$A$3:$A$5001,"&lt;="&amp;$B241,BD!$Y$3:$Y$5001,"&lt;&gt;")=0,"",SUMIFS(BD!$Y$3:$Y$5001,BD!$B$3:$B$5001,R$210,BD!$A$3:$A$5001,_xlfn.MAXIFS(BD!$A$3:$A$5001,BD!$B$3:$B$5001,R$210,BD!$A$3:$A$5001,"&gt;="&amp;$C$7,BD!$A$3:$A$5001,"&lt;="&amp;$B241,BD!$Y$3:$Y$5001,"&lt;&gt;"))))</f>
        <v/>
      </c>
      <c r="S241" s="43" t="str">
        <f>IF(OR($B241="",$A241&gt;$B$9,S$210=""),"",IF(COUNTIFS(BD!$B$3:$B$5001,S$210,BD!$A$3:$A$5001,"&gt;="&amp;$C$7,BD!$A$3:$A$5001,"&lt;="&amp;$B241,BD!$Y$3:$Y$5001,"&lt;&gt;")=0,"",SUMIFS(BD!$Y$3:$Y$5001,BD!$B$3:$B$5001,S$210,BD!$A$3:$A$5001,_xlfn.MAXIFS(BD!$A$3:$A$5001,BD!$B$3:$B$5001,S$210,BD!$A$3:$A$5001,"&gt;="&amp;$C$7,BD!$A$3:$A$5001,"&lt;="&amp;$B241,BD!$Y$3:$Y$5001,"&lt;&gt;"))))</f>
        <v/>
      </c>
      <c r="T241" s="43" t="str">
        <f>IF(OR($B241="",$A241&gt;$B$9,T$210=""),"",IF(COUNTIFS(BD!$B$3:$B$5001,T$210,BD!$A$3:$A$5001,"&gt;="&amp;$C$7,BD!$A$3:$A$5001,"&lt;="&amp;$B241,BD!$Y$3:$Y$5001,"&lt;&gt;")=0,"",SUMIFS(BD!$Y$3:$Y$5001,BD!$B$3:$B$5001,T$210,BD!$A$3:$A$5001,_xlfn.MAXIFS(BD!$A$3:$A$5001,BD!$B$3:$B$5001,T$210,BD!$A$3:$A$5001,"&gt;="&amp;$C$7,BD!$A$3:$A$5001,"&lt;="&amp;$B241,BD!$Y$3:$Y$5001,"&lt;&gt;"))))</f>
        <v/>
      </c>
      <c r="U241" s="43" t="str">
        <f>IF(OR($B241="",$A241&gt;$B$9,U$210=""),"",IF(COUNTIFS(BD!$B$3:$B$5001,U$210,BD!$A$3:$A$5001,"&gt;="&amp;$C$7,BD!$A$3:$A$5001,"&lt;="&amp;$B241,BD!$Y$3:$Y$5001,"&lt;&gt;")=0,"",SUMIFS(BD!$Y$3:$Y$5001,BD!$B$3:$B$5001,U$210,BD!$A$3:$A$5001,_xlfn.MAXIFS(BD!$A$3:$A$5001,BD!$B$3:$B$5001,U$210,BD!$A$3:$A$5001,"&gt;="&amp;$C$7,BD!$A$3:$A$5001,"&lt;="&amp;$B241,BD!$Y$3:$Y$5001,"&lt;&gt;"))))</f>
        <v/>
      </c>
      <c r="V241" s="43" t="str">
        <f>IF(OR($B241="",$A241&gt;$B$9,V$210=""),"",IF(COUNTIFS(BD!$B$3:$B$5001,V$210,BD!$A$3:$A$5001,"&gt;="&amp;$C$7,BD!$A$3:$A$5001,"&lt;="&amp;$B241,BD!$Y$3:$Y$5001,"&lt;&gt;")=0,"",SUMIFS(BD!$Y$3:$Y$5001,BD!$B$3:$B$5001,V$210,BD!$A$3:$A$5001,_xlfn.MAXIFS(BD!$A$3:$A$5001,BD!$B$3:$B$5001,V$210,BD!$A$3:$A$5001,"&gt;="&amp;$C$7,BD!$A$3:$A$5001,"&lt;="&amp;$B241,BD!$Y$3:$Y$5001,"&lt;&gt;"))))</f>
        <v/>
      </c>
    </row>
    <row r="242">
      <c r="A242" s="44" t="inlineStr">
        <is>
          <t xml:space="preserve">Mês anterior (último)</t>
        </is>
      </c>
      <c r="C242" s="45" t="str">
        <f>IF(C$210="","",IF(COUNTIFS(BD!$B$3:$B$5001,C$210,BD!$A$3:$A$5001,"&gt;="&amp;$C$8,BD!$A$3:$A$5001,"&lt;="&amp;$D$8,BD!$Y$3:$Y$5001,"&lt;&gt;")=0,"",SUMIFS(BD!$Y$3:$Y$5001,BD!$B$3:$B$5001,C$210,BD!$A$3:$A$5001,_xlfn.MAXIFS(BD!$A$3:$A$5001,BD!$B$3:$B$5001,C$210,BD!$A$3:$A$5001,"&gt;="&amp;$C$8,BD!$A$3:$A$5001,"&lt;="&amp;$D$8,BD!$Y$3:$Y$5001,"&lt;&gt;"))))</f>
        <v/>
      </c>
      <c r="D242" s="45" t="str">
        <f>IF(D$210="","",IF(COUNTIFS(BD!$B$3:$B$5001,D$210,BD!$A$3:$A$5001,"&gt;="&amp;$C$8,BD!$A$3:$A$5001,"&lt;="&amp;$D$8,BD!$Y$3:$Y$5001,"&lt;&gt;")=0,"",SUMIFS(BD!$Y$3:$Y$5001,BD!$B$3:$B$5001,D$210,BD!$A$3:$A$5001,_xlfn.MAXIFS(BD!$A$3:$A$5001,BD!$B$3:$B$5001,D$210,BD!$A$3:$A$5001,"&gt;="&amp;$C$8,BD!$A$3:$A$5001,"&lt;="&amp;$D$8,BD!$Y$3:$Y$5001,"&lt;&gt;"))))</f>
        <v/>
      </c>
      <c r="E242" s="45" t="str">
        <f>IF(E$210="","",IF(COUNTIFS(BD!$B$3:$B$5001,E$210,BD!$A$3:$A$5001,"&gt;="&amp;$C$8,BD!$A$3:$A$5001,"&lt;="&amp;$D$8,BD!$Y$3:$Y$5001,"&lt;&gt;")=0,"",SUMIFS(BD!$Y$3:$Y$5001,BD!$B$3:$B$5001,E$210,BD!$A$3:$A$5001,_xlfn.MAXIFS(BD!$A$3:$A$5001,BD!$B$3:$B$5001,E$210,BD!$A$3:$A$5001,"&gt;="&amp;$C$8,BD!$A$3:$A$5001,"&lt;="&amp;$D$8,BD!$Y$3:$Y$5001,"&lt;&gt;"))))</f>
        <v/>
      </c>
      <c r="F242" s="45" t="str">
        <f>IF(F$210="","",IF(COUNTIFS(BD!$B$3:$B$5001,F$210,BD!$A$3:$A$5001,"&gt;="&amp;$C$8,BD!$A$3:$A$5001,"&lt;="&amp;$D$8,BD!$Y$3:$Y$5001,"&lt;&gt;")=0,"",SUMIFS(BD!$Y$3:$Y$5001,BD!$B$3:$B$5001,F$210,BD!$A$3:$A$5001,_xlfn.MAXIFS(BD!$A$3:$A$5001,BD!$B$3:$B$5001,F$210,BD!$A$3:$A$5001,"&gt;="&amp;$C$8,BD!$A$3:$A$5001,"&lt;="&amp;$D$8,BD!$Y$3:$Y$5001,"&lt;&gt;"))))</f>
        <v/>
      </c>
      <c r="G242" s="45" t="str">
        <f>IF(G$210="","",IF(COUNTIFS(BD!$B$3:$B$5001,G$210,BD!$A$3:$A$5001,"&gt;="&amp;$C$8,BD!$A$3:$A$5001,"&lt;="&amp;$D$8,BD!$Y$3:$Y$5001,"&lt;&gt;")=0,"",SUMIFS(BD!$Y$3:$Y$5001,BD!$B$3:$B$5001,G$210,BD!$A$3:$A$5001,_xlfn.MAXIFS(BD!$A$3:$A$5001,BD!$B$3:$B$5001,G$210,BD!$A$3:$A$5001,"&gt;="&amp;$C$8,BD!$A$3:$A$5001,"&lt;="&amp;$D$8,BD!$Y$3:$Y$5001,"&lt;&gt;"))))</f>
        <v/>
      </c>
      <c r="H242" s="45" t="str">
        <f>IF(H$210="","",IF(COUNTIFS(BD!$B$3:$B$5001,H$210,BD!$A$3:$A$5001,"&gt;="&amp;$C$8,BD!$A$3:$A$5001,"&lt;="&amp;$D$8,BD!$Y$3:$Y$5001,"&lt;&gt;")=0,"",SUMIFS(BD!$Y$3:$Y$5001,BD!$B$3:$B$5001,H$210,BD!$A$3:$A$5001,_xlfn.MAXIFS(BD!$A$3:$A$5001,BD!$B$3:$B$5001,H$210,BD!$A$3:$A$5001,"&gt;="&amp;$C$8,BD!$A$3:$A$5001,"&lt;="&amp;$D$8,BD!$Y$3:$Y$5001,"&lt;&gt;"))))</f>
        <v/>
      </c>
      <c r="I242" s="45" t="str">
        <f>IF(I$210="","",IF(COUNTIFS(BD!$B$3:$B$5001,I$210,BD!$A$3:$A$5001,"&gt;="&amp;$C$8,BD!$A$3:$A$5001,"&lt;="&amp;$D$8,BD!$Y$3:$Y$5001,"&lt;&gt;")=0,"",SUMIFS(BD!$Y$3:$Y$5001,BD!$B$3:$B$5001,I$210,BD!$A$3:$A$5001,_xlfn.MAXIFS(BD!$A$3:$A$5001,BD!$B$3:$B$5001,I$210,BD!$A$3:$A$5001,"&gt;="&amp;$C$8,BD!$A$3:$A$5001,"&lt;="&amp;$D$8,BD!$Y$3:$Y$5001,"&lt;&gt;"))))</f>
        <v/>
      </c>
      <c r="J242" s="45" t="str">
        <f>IF(J$210="","",IF(COUNTIFS(BD!$B$3:$B$5001,J$210,BD!$A$3:$A$5001,"&gt;="&amp;$C$8,BD!$A$3:$A$5001,"&lt;="&amp;$D$8,BD!$Y$3:$Y$5001,"&lt;&gt;")=0,"",SUMIFS(BD!$Y$3:$Y$5001,BD!$B$3:$B$5001,J$210,BD!$A$3:$A$5001,_xlfn.MAXIFS(BD!$A$3:$A$5001,BD!$B$3:$B$5001,J$210,BD!$A$3:$A$5001,"&gt;="&amp;$C$8,BD!$A$3:$A$5001,"&lt;="&amp;$D$8,BD!$Y$3:$Y$5001,"&lt;&gt;"))))</f>
        <v/>
      </c>
      <c r="K242" s="45" t="str">
        <f>IF(K$210="","",IF(COUNTIFS(BD!$B$3:$B$5001,K$210,BD!$A$3:$A$5001,"&gt;="&amp;$C$8,BD!$A$3:$A$5001,"&lt;="&amp;$D$8,BD!$Y$3:$Y$5001,"&lt;&gt;")=0,"",SUMIFS(BD!$Y$3:$Y$5001,BD!$B$3:$B$5001,K$210,BD!$A$3:$A$5001,_xlfn.MAXIFS(BD!$A$3:$A$5001,BD!$B$3:$B$5001,K$210,BD!$A$3:$A$5001,"&gt;="&amp;$C$8,BD!$A$3:$A$5001,"&lt;="&amp;$D$8,BD!$Y$3:$Y$5001,"&lt;&gt;"))))</f>
        <v/>
      </c>
      <c r="L242" s="45" t="str">
        <f>IF(L$210="","",IF(COUNTIFS(BD!$B$3:$B$5001,L$210,BD!$A$3:$A$5001,"&gt;="&amp;$C$8,BD!$A$3:$A$5001,"&lt;="&amp;$D$8,BD!$Y$3:$Y$5001,"&lt;&gt;")=0,"",SUMIFS(BD!$Y$3:$Y$5001,BD!$B$3:$B$5001,L$210,BD!$A$3:$A$5001,_xlfn.MAXIFS(BD!$A$3:$A$5001,BD!$B$3:$B$5001,L$210,BD!$A$3:$A$5001,"&gt;="&amp;$C$8,BD!$A$3:$A$5001,"&lt;="&amp;$D$8,BD!$Y$3:$Y$5001,"&lt;&gt;"))))</f>
        <v/>
      </c>
      <c r="M242" s="45" t="str">
        <f>IF(M$210="","",IF(COUNTIFS(BD!$B$3:$B$5001,M$210,BD!$A$3:$A$5001,"&gt;="&amp;$C$8,BD!$A$3:$A$5001,"&lt;="&amp;$D$8,BD!$Y$3:$Y$5001,"&lt;&gt;")=0,"",SUMIFS(BD!$Y$3:$Y$5001,BD!$B$3:$B$5001,M$210,BD!$A$3:$A$5001,_xlfn.MAXIFS(BD!$A$3:$A$5001,BD!$B$3:$B$5001,M$210,BD!$A$3:$A$5001,"&gt;="&amp;$C$8,BD!$A$3:$A$5001,"&lt;="&amp;$D$8,BD!$Y$3:$Y$5001,"&lt;&gt;"))))</f>
        <v/>
      </c>
      <c r="N242" s="45" t="str">
        <f>IF(N$210="","",IF(COUNTIFS(BD!$B$3:$B$5001,N$210,BD!$A$3:$A$5001,"&gt;="&amp;$C$8,BD!$A$3:$A$5001,"&lt;="&amp;$D$8,BD!$Y$3:$Y$5001,"&lt;&gt;")=0,"",SUMIFS(BD!$Y$3:$Y$5001,BD!$B$3:$B$5001,N$210,BD!$A$3:$A$5001,_xlfn.MAXIFS(BD!$A$3:$A$5001,BD!$B$3:$B$5001,N$210,BD!$A$3:$A$5001,"&gt;="&amp;$C$8,BD!$A$3:$A$5001,"&lt;="&amp;$D$8,BD!$Y$3:$Y$5001,"&lt;&gt;"))))</f>
        <v/>
      </c>
      <c r="O242" s="45" t="str">
        <f>IF(O$210="","",IF(COUNTIFS(BD!$B$3:$B$5001,O$210,BD!$A$3:$A$5001,"&gt;="&amp;$C$8,BD!$A$3:$A$5001,"&lt;="&amp;$D$8,BD!$Y$3:$Y$5001,"&lt;&gt;")=0,"",SUMIFS(BD!$Y$3:$Y$5001,BD!$B$3:$B$5001,O$210,BD!$A$3:$A$5001,_xlfn.MAXIFS(BD!$A$3:$A$5001,BD!$B$3:$B$5001,O$210,BD!$A$3:$A$5001,"&gt;="&amp;$C$8,BD!$A$3:$A$5001,"&lt;="&amp;$D$8,BD!$Y$3:$Y$5001,"&lt;&gt;"))))</f>
        <v/>
      </c>
      <c r="P242" s="45" t="str">
        <f>IF(P$210="","",IF(COUNTIFS(BD!$B$3:$B$5001,P$210,BD!$A$3:$A$5001,"&gt;="&amp;$C$8,BD!$A$3:$A$5001,"&lt;="&amp;$D$8,BD!$Y$3:$Y$5001,"&lt;&gt;")=0,"",SUMIFS(BD!$Y$3:$Y$5001,BD!$B$3:$B$5001,P$210,BD!$A$3:$A$5001,_xlfn.MAXIFS(BD!$A$3:$A$5001,BD!$B$3:$B$5001,P$210,BD!$A$3:$A$5001,"&gt;="&amp;$C$8,BD!$A$3:$A$5001,"&lt;="&amp;$D$8,BD!$Y$3:$Y$5001,"&lt;&gt;"))))</f>
        <v/>
      </c>
      <c r="Q242" s="45" t="str">
        <f>IF(Q$210="","",IF(COUNTIFS(BD!$B$3:$B$5001,Q$210,BD!$A$3:$A$5001,"&gt;="&amp;$C$8,BD!$A$3:$A$5001,"&lt;="&amp;$D$8,BD!$Y$3:$Y$5001,"&lt;&gt;")=0,"",SUMIFS(BD!$Y$3:$Y$5001,BD!$B$3:$B$5001,Q$210,BD!$A$3:$A$5001,_xlfn.MAXIFS(BD!$A$3:$A$5001,BD!$B$3:$B$5001,Q$210,BD!$A$3:$A$5001,"&gt;="&amp;$C$8,BD!$A$3:$A$5001,"&lt;="&amp;$D$8,BD!$Y$3:$Y$5001,"&lt;&gt;"))))</f>
        <v/>
      </c>
      <c r="R242" s="45" t="str">
        <f>IF(R$210="","",IF(COUNTIFS(BD!$B$3:$B$5001,R$210,BD!$A$3:$A$5001,"&gt;="&amp;$C$8,BD!$A$3:$A$5001,"&lt;="&amp;$D$8,BD!$Y$3:$Y$5001,"&lt;&gt;")=0,"",SUMIFS(BD!$Y$3:$Y$5001,BD!$B$3:$B$5001,R$210,BD!$A$3:$A$5001,_xlfn.MAXIFS(BD!$A$3:$A$5001,BD!$B$3:$B$5001,R$210,BD!$A$3:$A$5001,"&gt;="&amp;$C$8,BD!$A$3:$A$5001,"&lt;="&amp;$D$8,BD!$Y$3:$Y$5001,"&lt;&gt;"))))</f>
        <v/>
      </c>
      <c r="S242" s="45" t="str">
        <f>IF(S$210="","",IF(COUNTIFS(BD!$B$3:$B$5001,S$210,BD!$A$3:$A$5001,"&gt;="&amp;$C$8,BD!$A$3:$A$5001,"&lt;="&amp;$D$8,BD!$Y$3:$Y$5001,"&lt;&gt;")=0,"",SUMIFS(BD!$Y$3:$Y$5001,BD!$B$3:$B$5001,S$210,BD!$A$3:$A$5001,_xlfn.MAXIFS(BD!$A$3:$A$5001,BD!$B$3:$B$5001,S$210,BD!$A$3:$A$5001,"&gt;="&amp;$C$8,BD!$A$3:$A$5001,"&lt;="&amp;$D$8,BD!$Y$3:$Y$5001,"&lt;&gt;"))))</f>
        <v/>
      </c>
      <c r="T242" s="45" t="str">
        <f>IF(T$210="","",IF(COUNTIFS(BD!$B$3:$B$5001,T$210,BD!$A$3:$A$5001,"&gt;="&amp;$C$8,BD!$A$3:$A$5001,"&lt;="&amp;$D$8,BD!$Y$3:$Y$5001,"&lt;&gt;")=0,"",SUMIFS(BD!$Y$3:$Y$5001,BD!$B$3:$B$5001,T$210,BD!$A$3:$A$5001,_xlfn.MAXIFS(BD!$A$3:$A$5001,BD!$B$3:$B$5001,T$210,BD!$A$3:$A$5001,"&gt;="&amp;$C$8,BD!$A$3:$A$5001,"&lt;="&amp;$D$8,BD!$Y$3:$Y$5001,"&lt;&gt;"))))</f>
        <v/>
      </c>
      <c r="U242" s="45" t="str">
        <f>IF(U$210="","",IF(COUNTIFS(BD!$B$3:$B$5001,U$210,BD!$A$3:$A$5001,"&gt;="&amp;$C$8,BD!$A$3:$A$5001,"&lt;="&amp;$D$8,BD!$Y$3:$Y$5001,"&lt;&gt;")=0,"",SUMIFS(BD!$Y$3:$Y$5001,BD!$B$3:$B$5001,U$210,BD!$A$3:$A$5001,_xlfn.MAXIFS(BD!$A$3:$A$5001,BD!$B$3:$B$5001,U$210,BD!$A$3:$A$5001,"&gt;="&amp;$C$8,BD!$A$3:$A$5001,"&lt;="&amp;$D$8,BD!$Y$3:$Y$5001,"&lt;&gt;"))))</f>
        <v/>
      </c>
      <c r="V242" s="45" t="str">
        <f>IF(V$210="","",IF(COUNTIFS(BD!$B$3:$B$5001,V$210,BD!$A$3:$A$5001,"&gt;="&amp;$C$8,BD!$A$3:$A$5001,"&lt;="&amp;$D$8,BD!$Y$3:$Y$5001,"&lt;&gt;")=0,"",SUMIFS(BD!$Y$3:$Y$5001,BD!$B$3:$B$5001,V$210,BD!$A$3:$A$5001,_xlfn.MAXIFS(BD!$A$3:$A$5001,BD!$B$3:$B$5001,V$210,BD!$A$3:$A$5001,"&gt;="&amp;$C$8,BD!$A$3:$A$5001,"&lt;="&amp;$D$8,BD!$Y$3:$Y$5001,"&lt;&gt;"))))</f>
        <v/>
      </c>
    </row>
    <row r="243">
      <c r="A243" s="44" t="inlineStr">
        <is>
          <t xml:space="preserve">Depósito</t>
        </is>
      </c>
      <c r="C243" s="38" t="str">
        <f>IF(Config!$C$10="","TPC",Config!$C$10)</f>
        <v>TPC</v>
      </c>
      <c r="D243" s="38" t="str">
        <f>IF(Config!$C$11="","TPC",Config!$C$11)</f>
        <v>TPC</v>
      </c>
      <c r="E243" s="38" t="str">
        <f>IF(Config!$C$12="","TPC",Config!$C$12)</f>
        <v>TPC</v>
      </c>
      <c r="F243" s="38" t="str">
        <f>IF(Config!$C$13="","TPC",Config!$C$13)</f>
        <v>TPC</v>
      </c>
      <c r="G243" s="38" t="str">
        <f>IF(Config!$C$14="","TPC",Config!$C$14)</f>
        <v>TPC</v>
      </c>
      <c r="H243" s="38" t="str">
        <f>IF(Config!$C$15="","TPC",Config!$C$15)</f>
        <v>TPC</v>
      </c>
      <c r="I243" s="38" t="str">
        <f>IF(Config!$C$16="","TPC",Config!$C$16)</f>
        <v>TPC</v>
      </c>
      <c r="J243" s="38" t="str">
        <f>IF(Config!$C$17="","TPC",Config!$C$17)</f>
        <v>TPC</v>
      </c>
      <c r="K243" s="38" t="str">
        <f>IF(Config!$C$18="","TPC",Config!$C$18)</f>
        <v>TPC</v>
      </c>
      <c r="L243" s="38" t="str">
        <f>IF(Config!$C$19="","TPC",Config!$C$19)</f>
        <v>TPC</v>
      </c>
      <c r="M243" s="38" t="str">
        <f>IF(Config!$C$20="","TPC",Config!$C$20)</f>
        <v>TPC</v>
      </c>
      <c r="N243" s="38" t="str">
        <f>IF(Config!$C$21="","TPC",Config!$C$21)</f>
        <v>TPC</v>
      </c>
      <c r="O243" s="38" t="str">
        <f>IF(Config!$C$22="","TPC",Config!$C$22)</f>
        <v>TPC</v>
      </c>
      <c r="P243" s="38" t="str">
        <f>IF(Config!$C$23="","TPC",Config!$C$23)</f>
        <v>TPC</v>
      </c>
      <c r="Q243" s="38" t="str">
        <f>IF(Config!$C$24="","TPC",Config!$C$24)</f>
        <v>TPC</v>
      </c>
      <c r="R243" s="38" t="str">
        <f>IF(Config!$C$25="","TPC",Config!$C$25)</f>
        <v>TPC</v>
      </c>
      <c r="S243" s="38" t="str">
        <f>IF(Config!$C$26="","TPC",Config!$C$26)</f>
        <v>TPC</v>
      </c>
      <c r="T243" s="38" t="str">
        <f>IF(Config!$C$27="","TPC",Config!$C$27)</f>
        <v>TPC</v>
      </c>
      <c r="U243" s="38" t="str">
        <f>IF(Config!$C$28="","TPC",Config!$C$28)</f>
        <v>TPC</v>
      </c>
      <c r="V243" s="38" t="str">
        <f>IF(Config!$C$29="","TPC",Config!$C$29)</f>
        <v>TPC</v>
      </c>
    </row>
    <row r="245">
      <c r="A245" s="37" t="inlineStr">
        <is>
          <t xml:space="preserve">Efetivo Op.</t>
        </is>
      </c>
      <c r="B245" s="37" t="inlineStr">
        <is>
          <t xml:space="preserve">Data</t>
        </is>
      </c>
      <c r="C245" s="37" t="str">
        <f>Config!$B$10&amp;""</f>
        <v>Alpargatas</v>
      </c>
      <c r="D245" s="37" t="str">
        <f>Config!$B$11&amp;""</f>
        <v>Basf</v>
      </c>
      <c r="E245" s="37" t="str">
        <f>Config!$B$12&amp;""</f>
        <v>Beautybiz</v>
      </c>
      <c r="F245" s="37" t="str">
        <f>Config!$B$13&amp;""</f>
        <v>Boticário</v>
      </c>
      <c r="G245" s="37" t="str">
        <f>Config!$B$14&amp;""</f>
        <v>Confiance</v>
      </c>
      <c r="H245" s="37" t="str">
        <f>Config!$B$15&amp;""</f>
        <v>GE Vernova</v>
      </c>
      <c r="I245" s="37" t="str">
        <f>Config!$B$16&amp;""</f>
        <v>Omnilife</v>
      </c>
      <c r="J245" s="37" t="str">
        <f>Config!$B$17&amp;""</f>
        <v>Supply</v>
      </c>
      <c r="K245" s="37" t="str">
        <f>Config!$B$18&amp;""</f>
        <v>Vedacit</v>
      </c>
      <c r="L245" s="37" t="str">
        <f>Config!$B$19&amp;""</f>
        <v>Vestas</v>
      </c>
      <c r="M245" s="37" t="str">
        <f>Config!$B$20&amp;""</f>
        <v/>
      </c>
      <c r="N245" s="37" t="str">
        <f>Config!$B$21&amp;""</f>
        <v/>
      </c>
      <c r="O245" s="37" t="str">
        <f>Config!$B$22&amp;""</f>
        <v/>
      </c>
      <c r="P245" s="37" t="str">
        <f>Config!$B$23&amp;""</f>
        <v/>
      </c>
      <c r="Q245" s="37" t="str">
        <f>Config!$B$24&amp;""</f>
        <v/>
      </c>
      <c r="R245" s="37" t="str">
        <f>Config!$B$25&amp;""</f>
        <v/>
      </c>
      <c r="S245" s="37" t="str">
        <f>Config!$B$26&amp;""</f>
        <v/>
      </c>
      <c r="T245" s="37" t="str">
        <f>Config!$B$27&amp;""</f>
        <v/>
      </c>
      <c r="U245" s="37" t="str">
        <f>Config!$B$28&amp;""</f>
        <v/>
      </c>
      <c r="V245" s="37" t="str">
        <f>Config!$B$29&amp;""</f>
        <v/>
      </c>
    </row>
    <row r="246">
      <c r="A246" s="38">
        <v>1</v>
      </c>
      <c r="B246" s="42">
        <f>$B$12</f>
        <v>46296</v>
      </c>
      <c r="C246" s="43" t="str">
        <f>IF(OR($B246="",$A246&gt;$B$9,C$245=""),"",IF(COUNTIFS(BD!$B$3:$B$5001,C$245,BD!$A$3:$A$5001,"&gt;="&amp;$C$7,BD!$A$3:$A$5001,"&lt;="&amp;$B246,BD!$AA$3:$AA$5001,"&lt;&gt;")=0,"",SUMIFS(BD!$AA$3:$AA$5001,BD!$B$3:$B$5001,C$245,BD!$A$3:$A$5001,_xlfn.MAXIFS(BD!$A$3:$A$5001,BD!$B$3:$B$5001,C$245,BD!$A$3:$A$5001,"&gt;="&amp;$C$7,BD!$A$3:$A$5001,"&lt;="&amp;$B246,BD!$AA$3:$AA$5001,"&lt;&gt;"))))</f>
        <v/>
      </c>
      <c r="D246" s="43" t="str">
        <f>IF(OR($B246="",$A246&gt;$B$9,D$245=""),"",IF(COUNTIFS(BD!$B$3:$B$5001,D$245,BD!$A$3:$A$5001,"&gt;="&amp;$C$7,BD!$A$3:$A$5001,"&lt;="&amp;$B246,BD!$AA$3:$AA$5001,"&lt;&gt;")=0,"",SUMIFS(BD!$AA$3:$AA$5001,BD!$B$3:$B$5001,D$245,BD!$A$3:$A$5001,_xlfn.MAXIFS(BD!$A$3:$A$5001,BD!$B$3:$B$5001,D$245,BD!$A$3:$A$5001,"&gt;="&amp;$C$7,BD!$A$3:$A$5001,"&lt;="&amp;$B246,BD!$AA$3:$AA$5001,"&lt;&gt;"))))</f>
        <v/>
      </c>
      <c r="E246" s="43" t="str">
        <f>IF(OR($B246="",$A246&gt;$B$9,E$245=""),"",IF(COUNTIFS(BD!$B$3:$B$5001,E$245,BD!$A$3:$A$5001,"&gt;="&amp;$C$7,BD!$A$3:$A$5001,"&lt;="&amp;$B246,BD!$AA$3:$AA$5001,"&lt;&gt;")=0,"",SUMIFS(BD!$AA$3:$AA$5001,BD!$B$3:$B$5001,E$245,BD!$A$3:$A$5001,_xlfn.MAXIFS(BD!$A$3:$A$5001,BD!$B$3:$B$5001,E$245,BD!$A$3:$A$5001,"&gt;="&amp;$C$7,BD!$A$3:$A$5001,"&lt;="&amp;$B246,BD!$AA$3:$AA$5001,"&lt;&gt;"))))</f>
        <v/>
      </c>
      <c r="F246" s="43" t="str">
        <f>IF(OR($B246="",$A246&gt;$B$9,F$245=""),"",IF(COUNTIFS(BD!$B$3:$B$5001,F$245,BD!$A$3:$A$5001,"&gt;="&amp;$C$7,BD!$A$3:$A$5001,"&lt;="&amp;$B246,BD!$AA$3:$AA$5001,"&lt;&gt;")=0,"",SUMIFS(BD!$AA$3:$AA$5001,BD!$B$3:$B$5001,F$245,BD!$A$3:$A$5001,_xlfn.MAXIFS(BD!$A$3:$A$5001,BD!$B$3:$B$5001,F$245,BD!$A$3:$A$5001,"&gt;="&amp;$C$7,BD!$A$3:$A$5001,"&lt;="&amp;$B246,BD!$AA$3:$AA$5001,"&lt;&gt;"))))</f>
        <v/>
      </c>
      <c r="G246" s="43" t="str">
        <f>IF(OR($B246="",$A246&gt;$B$9,G$245=""),"",IF(COUNTIFS(BD!$B$3:$B$5001,G$245,BD!$A$3:$A$5001,"&gt;="&amp;$C$7,BD!$A$3:$A$5001,"&lt;="&amp;$B246,BD!$AA$3:$AA$5001,"&lt;&gt;")=0,"",SUMIFS(BD!$AA$3:$AA$5001,BD!$B$3:$B$5001,G$245,BD!$A$3:$A$5001,_xlfn.MAXIFS(BD!$A$3:$A$5001,BD!$B$3:$B$5001,G$245,BD!$A$3:$A$5001,"&gt;="&amp;$C$7,BD!$A$3:$A$5001,"&lt;="&amp;$B246,BD!$AA$3:$AA$5001,"&lt;&gt;"))))</f>
        <v/>
      </c>
      <c r="H246" s="43" t="str">
        <f>IF(OR($B246="",$A246&gt;$B$9,H$245=""),"",IF(COUNTIFS(BD!$B$3:$B$5001,H$245,BD!$A$3:$A$5001,"&gt;="&amp;$C$7,BD!$A$3:$A$5001,"&lt;="&amp;$B246,BD!$AA$3:$AA$5001,"&lt;&gt;")=0,"",SUMIFS(BD!$AA$3:$AA$5001,BD!$B$3:$B$5001,H$245,BD!$A$3:$A$5001,_xlfn.MAXIFS(BD!$A$3:$A$5001,BD!$B$3:$B$5001,H$245,BD!$A$3:$A$5001,"&gt;="&amp;$C$7,BD!$A$3:$A$5001,"&lt;="&amp;$B246,BD!$AA$3:$AA$5001,"&lt;&gt;"))))</f>
        <v/>
      </c>
      <c r="I246" s="43" t="str">
        <f>IF(OR($B246="",$A246&gt;$B$9,I$245=""),"",IF(COUNTIFS(BD!$B$3:$B$5001,I$245,BD!$A$3:$A$5001,"&gt;="&amp;$C$7,BD!$A$3:$A$5001,"&lt;="&amp;$B246,BD!$AA$3:$AA$5001,"&lt;&gt;")=0,"",SUMIFS(BD!$AA$3:$AA$5001,BD!$B$3:$B$5001,I$245,BD!$A$3:$A$5001,_xlfn.MAXIFS(BD!$A$3:$A$5001,BD!$B$3:$B$5001,I$245,BD!$A$3:$A$5001,"&gt;="&amp;$C$7,BD!$A$3:$A$5001,"&lt;="&amp;$B246,BD!$AA$3:$AA$5001,"&lt;&gt;"))))</f>
        <v/>
      </c>
      <c r="J246" s="43" t="str">
        <f>IF(OR($B246="",$A246&gt;$B$9,J$245=""),"",IF(COUNTIFS(BD!$B$3:$B$5001,J$245,BD!$A$3:$A$5001,"&gt;="&amp;$C$7,BD!$A$3:$A$5001,"&lt;="&amp;$B246,BD!$AA$3:$AA$5001,"&lt;&gt;")=0,"",SUMIFS(BD!$AA$3:$AA$5001,BD!$B$3:$B$5001,J$245,BD!$A$3:$A$5001,_xlfn.MAXIFS(BD!$A$3:$A$5001,BD!$B$3:$B$5001,J$245,BD!$A$3:$A$5001,"&gt;="&amp;$C$7,BD!$A$3:$A$5001,"&lt;="&amp;$B246,BD!$AA$3:$AA$5001,"&lt;&gt;"))))</f>
        <v/>
      </c>
      <c r="K246" s="43" t="str">
        <f>IF(OR($B246="",$A246&gt;$B$9,K$245=""),"",IF(COUNTIFS(BD!$B$3:$B$5001,K$245,BD!$A$3:$A$5001,"&gt;="&amp;$C$7,BD!$A$3:$A$5001,"&lt;="&amp;$B246,BD!$AA$3:$AA$5001,"&lt;&gt;")=0,"",SUMIFS(BD!$AA$3:$AA$5001,BD!$B$3:$B$5001,K$245,BD!$A$3:$A$5001,_xlfn.MAXIFS(BD!$A$3:$A$5001,BD!$B$3:$B$5001,K$245,BD!$A$3:$A$5001,"&gt;="&amp;$C$7,BD!$A$3:$A$5001,"&lt;="&amp;$B246,BD!$AA$3:$AA$5001,"&lt;&gt;"))))</f>
        <v/>
      </c>
      <c r="L246" s="43" t="str">
        <f>IF(OR($B246="",$A246&gt;$B$9,L$245=""),"",IF(COUNTIFS(BD!$B$3:$B$5001,L$245,BD!$A$3:$A$5001,"&gt;="&amp;$C$7,BD!$A$3:$A$5001,"&lt;="&amp;$B246,BD!$AA$3:$AA$5001,"&lt;&gt;")=0,"",SUMIFS(BD!$AA$3:$AA$5001,BD!$B$3:$B$5001,L$245,BD!$A$3:$A$5001,_xlfn.MAXIFS(BD!$A$3:$A$5001,BD!$B$3:$B$5001,L$245,BD!$A$3:$A$5001,"&gt;="&amp;$C$7,BD!$A$3:$A$5001,"&lt;="&amp;$B246,BD!$AA$3:$AA$5001,"&lt;&gt;"))))</f>
        <v/>
      </c>
      <c r="M246" s="43" t="str">
        <f>IF(OR($B246="",$A246&gt;$B$9,M$245=""),"",IF(COUNTIFS(BD!$B$3:$B$5001,M$245,BD!$A$3:$A$5001,"&gt;="&amp;$C$7,BD!$A$3:$A$5001,"&lt;="&amp;$B246,BD!$AA$3:$AA$5001,"&lt;&gt;")=0,"",SUMIFS(BD!$AA$3:$AA$5001,BD!$B$3:$B$5001,M$245,BD!$A$3:$A$5001,_xlfn.MAXIFS(BD!$A$3:$A$5001,BD!$B$3:$B$5001,M$245,BD!$A$3:$A$5001,"&gt;="&amp;$C$7,BD!$A$3:$A$5001,"&lt;="&amp;$B246,BD!$AA$3:$AA$5001,"&lt;&gt;"))))</f>
        <v/>
      </c>
      <c r="N246" s="43" t="str">
        <f>IF(OR($B246="",$A246&gt;$B$9,N$245=""),"",IF(COUNTIFS(BD!$B$3:$B$5001,N$245,BD!$A$3:$A$5001,"&gt;="&amp;$C$7,BD!$A$3:$A$5001,"&lt;="&amp;$B246,BD!$AA$3:$AA$5001,"&lt;&gt;")=0,"",SUMIFS(BD!$AA$3:$AA$5001,BD!$B$3:$B$5001,N$245,BD!$A$3:$A$5001,_xlfn.MAXIFS(BD!$A$3:$A$5001,BD!$B$3:$B$5001,N$245,BD!$A$3:$A$5001,"&gt;="&amp;$C$7,BD!$A$3:$A$5001,"&lt;="&amp;$B246,BD!$AA$3:$AA$5001,"&lt;&gt;"))))</f>
        <v/>
      </c>
      <c r="O246" s="43" t="str">
        <f>IF(OR($B246="",$A246&gt;$B$9,O$245=""),"",IF(COUNTIFS(BD!$B$3:$B$5001,O$245,BD!$A$3:$A$5001,"&gt;="&amp;$C$7,BD!$A$3:$A$5001,"&lt;="&amp;$B246,BD!$AA$3:$AA$5001,"&lt;&gt;")=0,"",SUMIFS(BD!$AA$3:$AA$5001,BD!$B$3:$B$5001,O$245,BD!$A$3:$A$5001,_xlfn.MAXIFS(BD!$A$3:$A$5001,BD!$B$3:$B$5001,O$245,BD!$A$3:$A$5001,"&gt;="&amp;$C$7,BD!$A$3:$A$5001,"&lt;="&amp;$B246,BD!$AA$3:$AA$5001,"&lt;&gt;"))))</f>
        <v/>
      </c>
      <c r="P246" s="43" t="str">
        <f>IF(OR($B246="",$A246&gt;$B$9,P$245=""),"",IF(COUNTIFS(BD!$B$3:$B$5001,P$245,BD!$A$3:$A$5001,"&gt;="&amp;$C$7,BD!$A$3:$A$5001,"&lt;="&amp;$B246,BD!$AA$3:$AA$5001,"&lt;&gt;")=0,"",SUMIFS(BD!$AA$3:$AA$5001,BD!$B$3:$B$5001,P$245,BD!$A$3:$A$5001,_xlfn.MAXIFS(BD!$A$3:$A$5001,BD!$B$3:$B$5001,P$245,BD!$A$3:$A$5001,"&gt;="&amp;$C$7,BD!$A$3:$A$5001,"&lt;="&amp;$B246,BD!$AA$3:$AA$5001,"&lt;&gt;"))))</f>
        <v/>
      </c>
      <c r="Q246" s="43" t="str">
        <f>IF(OR($B246="",$A246&gt;$B$9,Q$245=""),"",IF(COUNTIFS(BD!$B$3:$B$5001,Q$245,BD!$A$3:$A$5001,"&gt;="&amp;$C$7,BD!$A$3:$A$5001,"&lt;="&amp;$B246,BD!$AA$3:$AA$5001,"&lt;&gt;")=0,"",SUMIFS(BD!$AA$3:$AA$5001,BD!$B$3:$B$5001,Q$245,BD!$A$3:$A$5001,_xlfn.MAXIFS(BD!$A$3:$A$5001,BD!$B$3:$B$5001,Q$245,BD!$A$3:$A$5001,"&gt;="&amp;$C$7,BD!$A$3:$A$5001,"&lt;="&amp;$B246,BD!$AA$3:$AA$5001,"&lt;&gt;"))))</f>
        <v/>
      </c>
      <c r="R246" s="43" t="str">
        <f>IF(OR($B246="",$A246&gt;$B$9,R$245=""),"",IF(COUNTIFS(BD!$B$3:$B$5001,R$245,BD!$A$3:$A$5001,"&gt;="&amp;$C$7,BD!$A$3:$A$5001,"&lt;="&amp;$B246,BD!$AA$3:$AA$5001,"&lt;&gt;")=0,"",SUMIFS(BD!$AA$3:$AA$5001,BD!$B$3:$B$5001,R$245,BD!$A$3:$A$5001,_xlfn.MAXIFS(BD!$A$3:$A$5001,BD!$B$3:$B$5001,R$245,BD!$A$3:$A$5001,"&gt;="&amp;$C$7,BD!$A$3:$A$5001,"&lt;="&amp;$B246,BD!$AA$3:$AA$5001,"&lt;&gt;"))))</f>
        <v/>
      </c>
      <c r="S246" s="43" t="str">
        <f>IF(OR($B246="",$A246&gt;$B$9,S$245=""),"",IF(COUNTIFS(BD!$B$3:$B$5001,S$245,BD!$A$3:$A$5001,"&gt;="&amp;$C$7,BD!$A$3:$A$5001,"&lt;="&amp;$B246,BD!$AA$3:$AA$5001,"&lt;&gt;")=0,"",SUMIFS(BD!$AA$3:$AA$5001,BD!$B$3:$B$5001,S$245,BD!$A$3:$A$5001,_xlfn.MAXIFS(BD!$A$3:$A$5001,BD!$B$3:$B$5001,S$245,BD!$A$3:$A$5001,"&gt;="&amp;$C$7,BD!$A$3:$A$5001,"&lt;="&amp;$B246,BD!$AA$3:$AA$5001,"&lt;&gt;"))))</f>
        <v/>
      </c>
      <c r="T246" s="43" t="str">
        <f>IF(OR($B246="",$A246&gt;$B$9,T$245=""),"",IF(COUNTIFS(BD!$B$3:$B$5001,T$245,BD!$A$3:$A$5001,"&gt;="&amp;$C$7,BD!$A$3:$A$5001,"&lt;="&amp;$B246,BD!$AA$3:$AA$5001,"&lt;&gt;")=0,"",SUMIFS(BD!$AA$3:$AA$5001,BD!$B$3:$B$5001,T$245,BD!$A$3:$A$5001,_xlfn.MAXIFS(BD!$A$3:$A$5001,BD!$B$3:$B$5001,T$245,BD!$A$3:$A$5001,"&gt;="&amp;$C$7,BD!$A$3:$A$5001,"&lt;="&amp;$B246,BD!$AA$3:$AA$5001,"&lt;&gt;"))))</f>
        <v/>
      </c>
      <c r="U246" s="43" t="str">
        <f>IF(OR($B246="",$A246&gt;$B$9,U$245=""),"",IF(COUNTIFS(BD!$B$3:$B$5001,U$245,BD!$A$3:$A$5001,"&gt;="&amp;$C$7,BD!$A$3:$A$5001,"&lt;="&amp;$B246,BD!$AA$3:$AA$5001,"&lt;&gt;")=0,"",SUMIFS(BD!$AA$3:$AA$5001,BD!$B$3:$B$5001,U$245,BD!$A$3:$A$5001,_xlfn.MAXIFS(BD!$A$3:$A$5001,BD!$B$3:$B$5001,U$245,BD!$A$3:$A$5001,"&gt;="&amp;$C$7,BD!$A$3:$A$5001,"&lt;="&amp;$B246,BD!$AA$3:$AA$5001,"&lt;&gt;"))))</f>
        <v/>
      </c>
      <c r="V246" s="43" t="str">
        <f>IF(OR($B246="",$A246&gt;$B$9,V$245=""),"",IF(COUNTIFS(BD!$B$3:$B$5001,V$245,BD!$A$3:$A$5001,"&gt;="&amp;$C$7,BD!$A$3:$A$5001,"&lt;="&amp;$B246,BD!$AA$3:$AA$5001,"&lt;&gt;")=0,"",SUMIFS(BD!$AA$3:$AA$5001,BD!$B$3:$B$5001,V$245,BD!$A$3:$A$5001,_xlfn.MAXIFS(BD!$A$3:$A$5001,BD!$B$3:$B$5001,V$245,BD!$A$3:$A$5001,"&gt;="&amp;$C$7,BD!$A$3:$A$5001,"&lt;="&amp;$B246,BD!$AA$3:$AA$5001,"&lt;&gt;"))))</f>
        <v/>
      </c>
    </row>
    <row r="247">
      <c r="A247" s="38">
        <v>2</v>
      </c>
      <c r="B247" s="42">
        <f>$B$13</f>
        <v>46297</v>
      </c>
      <c r="C247" s="43" t="str">
        <f>IF(OR($B247="",$A247&gt;$B$9,C$245=""),"",IF(COUNTIFS(BD!$B$3:$B$5001,C$245,BD!$A$3:$A$5001,"&gt;="&amp;$C$7,BD!$A$3:$A$5001,"&lt;="&amp;$B247,BD!$AA$3:$AA$5001,"&lt;&gt;")=0,"",SUMIFS(BD!$AA$3:$AA$5001,BD!$B$3:$B$5001,C$245,BD!$A$3:$A$5001,_xlfn.MAXIFS(BD!$A$3:$A$5001,BD!$B$3:$B$5001,C$245,BD!$A$3:$A$5001,"&gt;="&amp;$C$7,BD!$A$3:$A$5001,"&lt;="&amp;$B247,BD!$AA$3:$AA$5001,"&lt;&gt;"))))</f>
        <v/>
      </c>
      <c r="D247" s="43" t="str">
        <f>IF(OR($B247="",$A247&gt;$B$9,D$245=""),"",IF(COUNTIFS(BD!$B$3:$B$5001,D$245,BD!$A$3:$A$5001,"&gt;="&amp;$C$7,BD!$A$3:$A$5001,"&lt;="&amp;$B247,BD!$AA$3:$AA$5001,"&lt;&gt;")=0,"",SUMIFS(BD!$AA$3:$AA$5001,BD!$B$3:$B$5001,D$245,BD!$A$3:$A$5001,_xlfn.MAXIFS(BD!$A$3:$A$5001,BD!$B$3:$B$5001,D$245,BD!$A$3:$A$5001,"&gt;="&amp;$C$7,BD!$A$3:$A$5001,"&lt;="&amp;$B247,BD!$AA$3:$AA$5001,"&lt;&gt;"))))</f>
        <v/>
      </c>
      <c r="E247" s="43" t="str">
        <f>IF(OR($B247="",$A247&gt;$B$9,E$245=""),"",IF(COUNTIFS(BD!$B$3:$B$5001,E$245,BD!$A$3:$A$5001,"&gt;="&amp;$C$7,BD!$A$3:$A$5001,"&lt;="&amp;$B247,BD!$AA$3:$AA$5001,"&lt;&gt;")=0,"",SUMIFS(BD!$AA$3:$AA$5001,BD!$B$3:$B$5001,E$245,BD!$A$3:$A$5001,_xlfn.MAXIFS(BD!$A$3:$A$5001,BD!$B$3:$B$5001,E$245,BD!$A$3:$A$5001,"&gt;="&amp;$C$7,BD!$A$3:$A$5001,"&lt;="&amp;$B247,BD!$AA$3:$AA$5001,"&lt;&gt;"))))</f>
        <v/>
      </c>
      <c r="F247" s="43" t="str">
        <f>IF(OR($B247="",$A247&gt;$B$9,F$245=""),"",IF(COUNTIFS(BD!$B$3:$B$5001,F$245,BD!$A$3:$A$5001,"&gt;="&amp;$C$7,BD!$A$3:$A$5001,"&lt;="&amp;$B247,BD!$AA$3:$AA$5001,"&lt;&gt;")=0,"",SUMIFS(BD!$AA$3:$AA$5001,BD!$B$3:$B$5001,F$245,BD!$A$3:$A$5001,_xlfn.MAXIFS(BD!$A$3:$A$5001,BD!$B$3:$B$5001,F$245,BD!$A$3:$A$5001,"&gt;="&amp;$C$7,BD!$A$3:$A$5001,"&lt;="&amp;$B247,BD!$AA$3:$AA$5001,"&lt;&gt;"))))</f>
        <v/>
      </c>
      <c r="G247" s="43" t="str">
        <f>IF(OR($B247="",$A247&gt;$B$9,G$245=""),"",IF(COUNTIFS(BD!$B$3:$B$5001,G$245,BD!$A$3:$A$5001,"&gt;="&amp;$C$7,BD!$A$3:$A$5001,"&lt;="&amp;$B247,BD!$AA$3:$AA$5001,"&lt;&gt;")=0,"",SUMIFS(BD!$AA$3:$AA$5001,BD!$B$3:$B$5001,G$245,BD!$A$3:$A$5001,_xlfn.MAXIFS(BD!$A$3:$A$5001,BD!$B$3:$B$5001,G$245,BD!$A$3:$A$5001,"&gt;="&amp;$C$7,BD!$A$3:$A$5001,"&lt;="&amp;$B247,BD!$AA$3:$AA$5001,"&lt;&gt;"))))</f>
        <v/>
      </c>
      <c r="H247" s="43" t="str">
        <f>IF(OR($B247="",$A247&gt;$B$9,H$245=""),"",IF(COUNTIFS(BD!$B$3:$B$5001,H$245,BD!$A$3:$A$5001,"&gt;="&amp;$C$7,BD!$A$3:$A$5001,"&lt;="&amp;$B247,BD!$AA$3:$AA$5001,"&lt;&gt;")=0,"",SUMIFS(BD!$AA$3:$AA$5001,BD!$B$3:$B$5001,H$245,BD!$A$3:$A$5001,_xlfn.MAXIFS(BD!$A$3:$A$5001,BD!$B$3:$B$5001,H$245,BD!$A$3:$A$5001,"&gt;="&amp;$C$7,BD!$A$3:$A$5001,"&lt;="&amp;$B247,BD!$AA$3:$AA$5001,"&lt;&gt;"))))</f>
        <v/>
      </c>
      <c r="I247" s="43" t="str">
        <f>IF(OR($B247="",$A247&gt;$B$9,I$245=""),"",IF(COUNTIFS(BD!$B$3:$B$5001,I$245,BD!$A$3:$A$5001,"&gt;="&amp;$C$7,BD!$A$3:$A$5001,"&lt;="&amp;$B247,BD!$AA$3:$AA$5001,"&lt;&gt;")=0,"",SUMIFS(BD!$AA$3:$AA$5001,BD!$B$3:$B$5001,I$245,BD!$A$3:$A$5001,_xlfn.MAXIFS(BD!$A$3:$A$5001,BD!$B$3:$B$5001,I$245,BD!$A$3:$A$5001,"&gt;="&amp;$C$7,BD!$A$3:$A$5001,"&lt;="&amp;$B247,BD!$AA$3:$AA$5001,"&lt;&gt;"))))</f>
        <v/>
      </c>
      <c r="J247" s="43" t="str">
        <f>IF(OR($B247="",$A247&gt;$B$9,J$245=""),"",IF(COUNTIFS(BD!$B$3:$B$5001,J$245,BD!$A$3:$A$5001,"&gt;="&amp;$C$7,BD!$A$3:$A$5001,"&lt;="&amp;$B247,BD!$AA$3:$AA$5001,"&lt;&gt;")=0,"",SUMIFS(BD!$AA$3:$AA$5001,BD!$B$3:$B$5001,J$245,BD!$A$3:$A$5001,_xlfn.MAXIFS(BD!$A$3:$A$5001,BD!$B$3:$B$5001,J$245,BD!$A$3:$A$5001,"&gt;="&amp;$C$7,BD!$A$3:$A$5001,"&lt;="&amp;$B247,BD!$AA$3:$AA$5001,"&lt;&gt;"))))</f>
        <v/>
      </c>
      <c r="K247" s="43" t="str">
        <f>IF(OR($B247="",$A247&gt;$B$9,K$245=""),"",IF(COUNTIFS(BD!$B$3:$B$5001,K$245,BD!$A$3:$A$5001,"&gt;="&amp;$C$7,BD!$A$3:$A$5001,"&lt;="&amp;$B247,BD!$AA$3:$AA$5001,"&lt;&gt;")=0,"",SUMIFS(BD!$AA$3:$AA$5001,BD!$B$3:$B$5001,K$245,BD!$A$3:$A$5001,_xlfn.MAXIFS(BD!$A$3:$A$5001,BD!$B$3:$B$5001,K$245,BD!$A$3:$A$5001,"&gt;="&amp;$C$7,BD!$A$3:$A$5001,"&lt;="&amp;$B247,BD!$AA$3:$AA$5001,"&lt;&gt;"))))</f>
        <v/>
      </c>
      <c r="L247" s="43" t="str">
        <f>IF(OR($B247="",$A247&gt;$B$9,L$245=""),"",IF(COUNTIFS(BD!$B$3:$B$5001,L$245,BD!$A$3:$A$5001,"&gt;="&amp;$C$7,BD!$A$3:$A$5001,"&lt;="&amp;$B247,BD!$AA$3:$AA$5001,"&lt;&gt;")=0,"",SUMIFS(BD!$AA$3:$AA$5001,BD!$B$3:$B$5001,L$245,BD!$A$3:$A$5001,_xlfn.MAXIFS(BD!$A$3:$A$5001,BD!$B$3:$B$5001,L$245,BD!$A$3:$A$5001,"&gt;="&amp;$C$7,BD!$A$3:$A$5001,"&lt;="&amp;$B247,BD!$AA$3:$AA$5001,"&lt;&gt;"))))</f>
        <v/>
      </c>
      <c r="M247" s="43" t="str">
        <f>IF(OR($B247="",$A247&gt;$B$9,M$245=""),"",IF(COUNTIFS(BD!$B$3:$B$5001,M$245,BD!$A$3:$A$5001,"&gt;="&amp;$C$7,BD!$A$3:$A$5001,"&lt;="&amp;$B247,BD!$AA$3:$AA$5001,"&lt;&gt;")=0,"",SUMIFS(BD!$AA$3:$AA$5001,BD!$B$3:$B$5001,M$245,BD!$A$3:$A$5001,_xlfn.MAXIFS(BD!$A$3:$A$5001,BD!$B$3:$B$5001,M$245,BD!$A$3:$A$5001,"&gt;="&amp;$C$7,BD!$A$3:$A$5001,"&lt;="&amp;$B247,BD!$AA$3:$AA$5001,"&lt;&gt;"))))</f>
        <v/>
      </c>
      <c r="N247" s="43" t="str">
        <f>IF(OR($B247="",$A247&gt;$B$9,N$245=""),"",IF(COUNTIFS(BD!$B$3:$B$5001,N$245,BD!$A$3:$A$5001,"&gt;="&amp;$C$7,BD!$A$3:$A$5001,"&lt;="&amp;$B247,BD!$AA$3:$AA$5001,"&lt;&gt;")=0,"",SUMIFS(BD!$AA$3:$AA$5001,BD!$B$3:$B$5001,N$245,BD!$A$3:$A$5001,_xlfn.MAXIFS(BD!$A$3:$A$5001,BD!$B$3:$B$5001,N$245,BD!$A$3:$A$5001,"&gt;="&amp;$C$7,BD!$A$3:$A$5001,"&lt;="&amp;$B247,BD!$AA$3:$AA$5001,"&lt;&gt;"))))</f>
        <v/>
      </c>
      <c r="O247" s="43" t="str">
        <f>IF(OR($B247="",$A247&gt;$B$9,O$245=""),"",IF(COUNTIFS(BD!$B$3:$B$5001,O$245,BD!$A$3:$A$5001,"&gt;="&amp;$C$7,BD!$A$3:$A$5001,"&lt;="&amp;$B247,BD!$AA$3:$AA$5001,"&lt;&gt;")=0,"",SUMIFS(BD!$AA$3:$AA$5001,BD!$B$3:$B$5001,O$245,BD!$A$3:$A$5001,_xlfn.MAXIFS(BD!$A$3:$A$5001,BD!$B$3:$B$5001,O$245,BD!$A$3:$A$5001,"&gt;="&amp;$C$7,BD!$A$3:$A$5001,"&lt;="&amp;$B247,BD!$AA$3:$AA$5001,"&lt;&gt;"))))</f>
        <v/>
      </c>
      <c r="P247" s="43" t="str">
        <f>IF(OR($B247="",$A247&gt;$B$9,P$245=""),"",IF(COUNTIFS(BD!$B$3:$B$5001,P$245,BD!$A$3:$A$5001,"&gt;="&amp;$C$7,BD!$A$3:$A$5001,"&lt;="&amp;$B247,BD!$AA$3:$AA$5001,"&lt;&gt;")=0,"",SUMIFS(BD!$AA$3:$AA$5001,BD!$B$3:$B$5001,P$245,BD!$A$3:$A$5001,_xlfn.MAXIFS(BD!$A$3:$A$5001,BD!$B$3:$B$5001,P$245,BD!$A$3:$A$5001,"&gt;="&amp;$C$7,BD!$A$3:$A$5001,"&lt;="&amp;$B247,BD!$AA$3:$AA$5001,"&lt;&gt;"))))</f>
        <v/>
      </c>
      <c r="Q247" s="43" t="str">
        <f>IF(OR($B247="",$A247&gt;$B$9,Q$245=""),"",IF(COUNTIFS(BD!$B$3:$B$5001,Q$245,BD!$A$3:$A$5001,"&gt;="&amp;$C$7,BD!$A$3:$A$5001,"&lt;="&amp;$B247,BD!$AA$3:$AA$5001,"&lt;&gt;")=0,"",SUMIFS(BD!$AA$3:$AA$5001,BD!$B$3:$B$5001,Q$245,BD!$A$3:$A$5001,_xlfn.MAXIFS(BD!$A$3:$A$5001,BD!$B$3:$B$5001,Q$245,BD!$A$3:$A$5001,"&gt;="&amp;$C$7,BD!$A$3:$A$5001,"&lt;="&amp;$B247,BD!$AA$3:$AA$5001,"&lt;&gt;"))))</f>
        <v/>
      </c>
      <c r="R247" s="43" t="str">
        <f>IF(OR($B247="",$A247&gt;$B$9,R$245=""),"",IF(COUNTIFS(BD!$B$3:$B$5001,R$245,BD!$A$3:$A$5001,"&gt;="&amp;$C$7,BD!$A$3:$A$5001,"&lt;="&amp;$B247,BD!$AA$3:$AA$5001,"&lt;&gt;")=0,"",SUMIFS(BD!$AA$3:$AA$5001,BD!$B$3:$B$5001,R$245,BD!$A$3:$A$5001,_xlfn.MAXIFS(BD!$A$3:$A$5001,BD!$B$3:$B$5001,R$245,BD!$A$3:$A$5001,"&gt;="&amp;$C$7,BD!$A$3:$A$5001,"&lt;="&amp;$B247,BD!$AA$3:$AA$5001,"&lt;&gt;"))))</f>
        <v/>
      </c>
      <c r="S247" s="43" t="str">
        <f>IF(OR($B247="",$A247&gt;$B$9,S$245=""),"",IF(COUNTIFS(BD!$B$3:$B$5001,S$245,BD!$A$3:$A$5001,"&gt;="&amp;$C$7,BD!$A$3:$A$5001,"&lt;="&amp;$B247,BD!$AA$3:$AA$5001,"&lt;&gt;")=0,"",SUMIFS(BD!$AA$3:$AA$5001,BD!$B$3:$B$5001,S$245,BD!$A$3:$A$5001,_xlfn.MAXIFS(BD!$A$3:$A$5001,BD!$B$3:$B$5001,S$245,BD!$A$3:$A$5001,"&gt;="&amp;$C$7,BD!$A$3:$A$5001,"&lt;="&amp;$B247,BD!$AA$3:$AA$5001,"&lt;&gt;"))))</f>
        <v/>
      </c>
      <c r="T247" s="43" t="str">
        <f>IF(OR($B247="",$A247&gt;$B$9,T$245=""),"",IF(COUNTIFS(BD!$B$3:$B$5001,T$245,BD!$A$3:$A$5001,"&gt;="&amp;$C$7,BD!$A$3:$A$5001,"&lt;="&amp;$B247,BD!$AA$3:$AA$5001,"&lt;&gt;")=0,"",SUMIFS(BD!$AA$3:$AA$5001,BD!$B$3:$B$5001,T$245,BD!$A$3:$A$5001,_xlfn.MAXIFS(BD!$A$3:$A$5001,BD!$B$3:$B$5001,T$245,BD!$A$3:$A$5001,"&gt;="&amp;$C$7,BD!$A$3:$A$5001,"&lt;="&amp;$B247,BD!$AA$3:$AA$5001,"&lt;&gt;"))))</f>
        <v/>
      </c>
      <c r="U247" s="43" t="str">
        <f>IF(OR($B247="",$A247&gt;$B$9,U$245=""),"",IF(COUNTIFS(BD!$B$3:$B$5001,U$245,BD!$A$3:$A$5001,"&gt;="&amp;$C$7,BD!$A$3:$A$5001,"&lt;="&amp;$B247,BD!$AA$3:$AA$5001,"&lt;&gt;")=0,"",SUMIFS(BD!$AA$3:$AA$5001,BD!$B$3:$B$5001,U$245,BD!$A$3:$A$5001,_xlfn.MAXIFS(BD!$A$3:$A$5001,BD!$B$3:$B$5001,U$245,BD!$A$3:$A$5001,"&gt;="&amp;$C$7,BD!$A$3:$A$5001,"&lt;="&amp;$B247,BD!$AA$3:$AA$5001,"&lt;&gt;"))))</f>
        <v/>
      </c>
      <c r="V247" s="43" t="str">
        <f>IF(OR($B247="",$A247&gt;$B$9,V$245=""),"",IF(COUNTIFS(BD!$B$3:$B$5001,V$245,BD!$A$3:$A$5001,"&gt;="&amp;$C$7,BD!$A$3:$A$5001,"&lt;="&amp;$B247,BD!$AA$3:$AA$5001,"&lt;&gt;")=0,"",SUMIFS(BD!$AA$3:$AA$5001,BD!$B$3:$B$5001,V$245,BD!$A$3:$A$5001,_xlfn.MAXIFS(BD!$A$3:$A$5001,BD!$B$3:$B$5001,V$245,BD!$A$3:$A$5001,"&gt;="&amp;$C$7,BD!$A$3:$A$5001,"&lt;="&amp;$B247,BD!$AA$3:$AA$5001,"&lt;&gt;"))))</f>
        <v/>
      </c>
    </row>
    <row r="248">
      <c r="A248" s="38">
        <v>3</v>
      </c>
      <c r="B248" s="42">
        <f>$B$14</f>
        <v>46298</v>
      </c>
      <c r="C248" s="43" t="str">
        <f>IF(OR($B248="",$A248&gt;$B$9,C$245=""),"",IF(COUNTIFS(BD!$B$3:$B$5001,C$245,BD!$A$3:$A$5001,"&gt;="&amp;$C$7,BD!$A$3:$A$5001,"&lt;="&amp;$B248,BD!$AA$3:$AA$5001,"&lt;&gt;")=0,"",SUMIFS(BD!$AA$3:$AA$5001,BD!$B$3:$B$5001,C$245,BD!$A$3:$A$5001,_xlfn.MAXIFS(BD!$A$3:$A$5001,BD!$B$3:$B$5001,C$245,BD!$A$3:$A$5001,"&gt;="&amp;$C$7,BD!$A$3:$A$5001,"&lt;="&amp;$B248,BD!$AA$3:$AA$5001,"&lt;&gt;"))))</f>
        <v/>
      </c>
      <c r="D248" s="43" t="str">
        <f>IF(OR($B248="",$A248&gt;$B$9,D$245=""),"",IF(COUNTIFS(BD!$B$3:$B$5001,D$245,BD!$A$3:$A$5001,"&gt;="&amp;$C$7,BD!$A$3:$A$5001,"&lt;="&amp;$B248,BD!$AA$3:$AA$5001,"&lt;&gt;")=0,"",SUMIFS(BD!$AA$3:$AA$5001,BD!$B$3:$B$5001,D$245,BD!$A$3:$A$5001,_xlfn.MAXIFS(BD!$A$3:$A$5001,BD!$B$3:$B$5001,D$245,BD!$A$3:$A$5001,"&gt;="&amp;$C$7,BD!$A$3:$A$5001,"&lt;="&amp;$B248,BD!$AA$3:$AA$5001,"&lt;&gt;"))))</f>
        <v/>
      </c>
      <c r="E248" s="43" t="str">
        <f>IF(OR($B248="",$A248&gt;$B$9,E$245=""),"",IF(COUNTIFS(BD!$B$3:$B$5001,E$245,BD!$A$3:$A$5001,"&gt;="&amp;$C$7,BD!$A$3:$A$5001,"&lt;="&amp;$B248,BD!$AA$3:$AA$5001,"&lt;&gt;")=0,"",SUMIFS(BD!$AA$3:$AA$5001,BD!$B$3:$B$5001,E$245,BD!$A$3:$A$5001,_xlfn.MAXIFS(BD!$A$3:$A$5001,BD!$B$3:$B$5001,E$245,BD!$A$3:$A$5001,"&gt;="&amp;$C$7,BD!$A$3:$A$5001,"&lt;="&amp;$B248,BD!$AA$3:$AA$5001,"&lt;&gt;"))))</f>
        <v/>
      </c>
      <c r="F248" s="43" t="str">
        <f>IF(OR($B248="",$A248&gt;$B$9,F$245=""),"",IF(COUNTIFS(BD!$B$3:$B$5001,F$245,BD!$A$3:$A$5001,"&gt;="&amp;$C$7,BD!$A$3:$A$5001,"&lt;="&amp;$B248,BD!$AA$3:$AA$5001,"&lt;&gt;")=0,"",SUMIFS(BD!$AA$3:$AA$5001,BD!$B$3:$B$5001,F$245,BD!$A$3:$A$5001,_xlfn.MAXIFS(BD!$A$3:$A$5001,BD!$B$3:$B$5001,F$245,BD!$A$3:$A$5001,"&gt;="&amp;$C$7,BD!$A$3:$A$5001,"&lt;="&amp;$B248,BD!$AA$3:$AA$5001,"&lt;&gt;"))))</f>
        <v/>
      </c>
      <c r="G248" s="43" t="str">
        <f>IF(OR($B248="",$A248&gt;$B$9,G$245=""),"",IF(COUNTIFS(BD!$B$3:$B$5001,G$245,BD!$A$3:$A$5001,"&gt;="&amp;$C$7,BD!$A$3:$A$5001,"&lt;="&amp;$B248,BD!$AA$3:$AA$5001,"&lt;&gt;")=0,"",SUMIFS(BD!$AA$3:$AA$5001,BD!$B$3:$B$5001,G$245,BD!$A$3:$A$5001,_xlfn.MAXIFS(BD!$A$3:$A$5001,BD!$B$3:$B$5001,G$245,BD!$A$3:$A$5001,"&gt;="&amp;$C$7,BD!$A$3:$A$5001,"&lt;="&amp;$B248,BD!$AA$3:$AA$5001,"&lt;&gt;"))))</f>
        <v/>
      </c>
      <c r="H248" s="43" t="str">
        <f>IF(OR($B248="",$A248&gt;$B$9,H$245=""),"",IF(COUNTIFS(BD!$B$3:$B$5001,H$245,BD!$A$3:$A$5001,"&gt;="&amp;$C$7,BD!$A$3:$A$5001,"&lt;="&amp;$B248,BD!$AA$3:$AA$5001,"&lt;&gt;")=0,"",SUMIFS(BD!$AA$3:$AA$5001,BD!$B$3:$B$5001,H$245,BD!$A$3:$A$5001,_xlfn.MAXIFS(BD!$A$3:$A$5001,BD!$B$3:$B$5001,H$245,BD!$A$3:$A$5001,"&gt;="&amp;$C$7,BD!$A$3:$A$5001,"&lt;="&amp;$B248,BD!$AA$3:$AA$5001,"&lt;&gt;"))))</f>
        <v/>
      </c>
      <c r="I248" s="43" t="str">
        <f>IF(OR($B248="",$A248&gt;$B$9,I$245=""),"",IF(COUNTIFS(BD!$B$3:$B$5001,I$245,BD!$A$3:$A$5001,"&gt;="&amp;$C$7,BD!$A$3:$A$5001,"&lt;="&amp;$B248,BD!$AA$3:$AA$5001,"&lt;&gt;")=0,"",SUMIFS(BD!$AA$3:$AA$5001,BD!$B$3:$B$5001,I$245,BD!$A$3:$A$5001,_xlfn.MAXIFS(BD!$A$3:$A$5001,BD!$B$3:$B$5001,I$245,BD!$A$3:$A$5001,"&gt;="&amp;$C$7,BD!$A$3:$A$5001,"&lt;="&amp;$B248,BD!$AA$3:$AA$5001,"&lt;&gt;"))))</f>
        <v/>
      </c>
      <c r="J248" s="43" t="str">
        <f>IF(OR($B248="",$A248&gt;$B$9,J$245=""),"",IF(COUNTIFS(BD!$B$3:$B$5001,J$245,BD!$A$3:$A$5001,"&gt;="&amp;$C$7,BD!$A$3:$A$5001,"&lt;="&amp;$B248,BD!$AA$3:$AA$5001,"&lt;&gt;")=0,"",SUMIFS(BD!$AA$3:$AA$5001,BD!$B$3:$B$5001,J$245,BD!$A$3:$A$5001,_xlfn.MAXIFS(BD!$A$3:$A$5001,BD!$B$3:$B$5001,J$245,BD!$A$3:$A$5001,"&gt;="&amp;$C$7,BD!$A$3:$A$5001,"&lt;="&amp;$B248,BD!$AA$3:$AA$5001,"&lt;&gt;"))))</f>
        <v/>
      </c>
      <c r="K248" s="43" t="str">
        <f>IF(OR($B248="",$A248&gt;$B$9,K$245=""),"",IF(COUNTIFS(BD!$B$3:$B$5001,K$245,BD!$A$3:$A$5001,"&gt;="&amp;$C$7,BD!$A$3:$A$5001,"&lt;="&amp;$B248,BD!$AA$3:$AA$5001,"&lt;&gt;")=0,"",SUMIFS(BD!$AA$3:$AA$5001,BD!$B$3:$B$5001,K$245,BD!$A$3:$A$5001,_xlfn.MAXIFS(BD!$A$3:$A$5001,BD!$B$3:$B$5001,K$245,BD!$A$3:$A$5001,"&gt;="&amp;$C$7,BD!$A$3:$A$5001,"&lt;="&amp;$B248,BD!$AA$3:$AA$5001,"&lt;&gt;"))))</f>
        <v/>
      </c>
      <c r="L248" s="43" t="str">
        <f>IF(OR($B248="",$A248&gt;$B$9,L$245=""),"",IF(COUNTIFS(BD!$B$3:$B$5001,L$245,BD!$A$3:$A$5001,"&gt;="&amp;$C$7,BD!$A$3:$A$5001,"&lt;="&amp;$B248,BD!$AA$3:$AA$5001,"&lt;&gt;")=0,"",SUMIFS(BD!$AA$3:$AA$5001,BD!$B$3:$B$5001,L$245,BD!$A$3:$A$5001,_xlfn.MAXIFS(BD!$A$3:$A$5001,BD!$B$3:$B$5001,L$245,BD!$A$3:$A$5001,"&gt;="&amp;$C$7,BD!$A$3:$A$5001,"&lt;="&amp;$B248,BD!$AA$3:$AA$5001,"&lt;&gt;"))))</f>
        <v/>
      </c>
      <c r="M248" s="43" t="str">
        <f>IF(OR($B248="",$A248&gt;$B$9,M$245=""),"",IF(COUNTIFS(BD!$B$3:$B$5001,M$245,BD!$A$3:$A$5001,"&gt;="&amp;$C$7,BD!$A$3:$A$5001,"&lt;="&amp;$B248,BD!$AA$3:$AA$5001,"&lt;&gt;")=0,"",SUMIFS(BD!$AA$3:$AA$5001,BD!$B$3:$B$5001,M$245,BD!$A$3:$A$5001,_xlfn.MAXIFS(BD!$A$3:$A$5001,BD!$B$3:$B$5001,M$245,BD!$A$3:$A$5001,"&gt;="&amp;$C$7,BD!$A$3:$A$5001,"&lt;="&amp;$B248,BD!$AA$3:$AA$5001,"&lt;&gt;"))))</f>
        <v/>
      </c>
      <c r="N248" s="43" t="str">
        <f>IF(OR($B248="",$A248&gt;$B$9,N$245=""),"",IF(COUNTIFS(BD!$B$3:$B$5001,N$245,BD!$A$3:$A$5001,"&gt;="&amp;$C$7,BD!$A$3:$A$5001,"&lt;="&amp;$B248,BD!$AA$3:$AA$5001,"&lt;&gt;")=0,"",SUMIFS(BD!$AA$3:$AA$5001,BD!$B$3:$B$5001,N$245,BD!$A$3:$A$5001,_xlfn.MAXIFS(BD!$A$3:$A$5001,BD!$B$3:$B$5001,N$245,BD!$A$3:$A$5001,"&gt;="&amp;$C$7,BD!$A$3:$A$5001,"&lt;="&amp;$B248,BD!$AA$3:$AA$5001,"&lt;&gt;"))))</f>
        <v/>
      </c>
      <c r="O248" s="43" t="str">
        <f>IF(OR($B248="",$A248&gt;$B$9,O$245=""),"",IF(COUNTIFS(BD!$B$3:$B$5001,O$245,BD!$A$3:$A$5001,"&gt;="&amp;$C$7,BD!$A$3:$A$5001,"&lt;="&amp;$B248,BD!$AA$3:$AA$5001,"&lt;&gt;")=0,"",SUMIFS(BD!$AA$3:$AA$5001,BD!$B$3:$B$5001,O$245,BD!$A$3:$A$5001,_xlfn.MAXIFS(BD!$A$3:$A$5001,BD!$B$3:$B$5001,O$245,BD!$A$3:$A$5001,"&gt;="&amp;$C$7,BD!$A$3:$A$5001,"&lt;="&amp;$B248,BD!$AA$3:$AA$5001,"&lt;&gt;"))))</f>
        <v/>
      </c>
      <c r="P248" s="43" t="str">
        <f>IF(OR($B248="",$A248&gt;$B$9,P$245=""),"",IF(COUNTIFS(BD!$B$3:$B$5001,P$245,BD!$A$3:$A$5001,"&gt;="&amp;$C$7,BD!$A$3:$A$5001,"&lt;="&amp;$B248,BD!$AA$3:$AA$5001,"&lt;&gt;")=0,"",SUMIFS(BD!$AA$3:$AA$5001,BD!$B$3:$B$5001,P$245,BD!$A$3:$A$5001,_xlfn.MAXIFS(BD!$A$3:$A$5001,BD!$B$3:$B$5001,P$245,BD!$A$3:$A$5001,"&gt;="&amp;$C$7,BD!$A$3:$A$5001,"&lt;="&amp;$B248,BD!$AA$3:$AA$5001,"&lt;&gt;"))))</f>
        <v/>
      </c>
      <c r="Q248" s="43" t="str">
        <f>IF(OR($B248="",$A248&gt;$B$9,Q$245=""),"",IF(COUNTIFS(BD!$B$3:$B$5001,Q$245,BD!$A$3:$A$5001,"&gt;="&amp;$C$7,BD!$A$3:$A$5001,"&lt;="&amp;$B248,BD!$AA$3:$AA$5001,"&lt;&gt;")=0,"",SUMIFS(BD!$AA$3:$AA$5001,BD!$B$3:$B$5001,Q$245,BD!$A$3:$A$5001,_xlfn.MAXIFS(BD!$A$3:$A$5001,BD!$B$3:$B$5001,Q$245,BD!$A$3:$A$5001,"&gt;="&amp;$C$7,BD!$A$3:$A$5001,"&lt;="&amp;$B248,BD!$AA$3:$AA$5001,"&lt;&gt;"))))</f>
        <v/>
      </c>
      <c r="R248" s="43" t="str">
        <f>IF(OR($B248="",$A248&gt;$B$9,R$245=""),"",IF(COUNTIFS(BD!$B$3:$B$5001,R$245,BD!$A$3:$A$5001,"&gt;="&amp;$C$7,BD!$A$3:$A$5001,"&lt;="&amp;$B248,BD!$AA$3:$AA$5001,"&lt;&gt;")=0,"",SUMIFS(BD!$AA$3:$AA$5001,BD!$B$3:$B$5001,R$245,BD!$A$3:$A$5001,_xlfn.MAXIFS(BD!$A$3:$A$5001,BD!$B$3:$B$5001,R$245,BD!$A$3:$A$5001,"&gt;="&amp;$C$7,BD!$A$3:$A$5001,"&lt;="&amp;$B248,BD!$AA$3:$AA$5001,"&lt;&gt;"))))</f>
        <v/>
      </c>
      <c r="S248" s="43" t="str">
        <f>IF(OR($B248="",$A248&gt;$B$9,S$245=""),"",IF(COUNTIFS(BD!$B$3:$B$5001,S$245,BD!$A$3:$A$5001,"&gt;="&amp;$C$7,BD!$A$3:$A$5001,"&lt;="&amp;$B248,BD!$AA$3:$AA$5001,"&lt;&gt;")=0,"",SUMIFS(BD!$AA$3:$AA$5001,BD!$B$3:$B$5001,S$245,BD!$A$3:$A$5001,_xlfn.MAXIFS(BD!$A$3:$A$5001,BD!$B$3:$B$5001,S$245,BD!$A$3:$A$5001,"&gt;="&amp;$C$7,BD!$A$3:$A$5001,"&lt;="&amp;$B248,BD!$AA$3:$AA$5001,"&lt;&gt;"))))</f>
        <v/>
      </c>
      <c r="T248" s="43" t="str">
        <f>IF(OR($B248="",$A248&gt;$B$9,T$245=""),"",IF(COUNTIFS(BD!$B$3:$B$5001,T$245,BD!$A$3:$A$5001,"&gt;="&amp;$C$7,BD!$A$3:$A$5001,"&lt;="&amp;$B248,BD!$AA$3:$AA$5001,"&lt;&gt;")=0,"",SUMIFS(BD!$AA$3:$AA$5001,BD!$B$3:$B$5001,T$245,BD!$A$3:$A$5001,_xlfn.MAXIFS(BD!$A$3:$A$5001,BD!$B$3:$B$5001,T$245,BD!$A$3:$A$5001,"&gt;="&amp;$C$7,BD!$A$3:$A$5001,"&lt;="&amp;$B248,BD!$AA$3:$AA$5001,"&lt;&gt;"))))</f>
        <v/>
      </c>
      <c r="U248" s="43" t="str">
        <f>IF(OR($B248="",$A248&gt;$B$9,U$245=""),"",IF(COUNTIFS(BD!$B$3:$B$5001,U$245,BD!$A$3:$A$5001,"&gt;="&amp;$C$7,BD!$A$3:$A$5001,"&lt;="&amp;$B248,BD!$AA$3:$AA$5001,"&lt;&gt;")=0,"",SUMIFS(BD!$AA$3:$AA$5001,BD!$B$3:$B$5001,U$245,BD!$A$3:$A$5001,_xlfn.MAXIFS(BD!$A$3:$A$5001,BD!$B$3:$B$5001,U$245,BD!$A$3:$A$5001,"&gt;="&amp;$C$7,BD!$A$3:$A$5001,"&lt;="&amp;$B248,BD!$AA$3:$AA$5001,"&lt;&gt;"))))</f>
        <v/>
      </c>
      <c r="V248" s="43" t="str">
        <f>IF(OR($B248="",$A248&gt;$B$9,V$245=""),"",IF(COUNTIFS(BD!$B$3:$B$5001,V$245,BD!$A$3:$A$5001,"&gt;="&amp;$C$7,BD!$A$3:$A$5001,"&lt;="&amp;$B248,BD!$AA$3:$AA$5001,"&lt;&gt;")=0,"",SUMIFS(BD!$AA$3:$AA$5001,BD!$B$3:$B$5001,V$245,BD!$A$3:$A$5001,_xlfn.MAXIFS(BD!$A$3:$A$5001,BD!$B$3:$B$5001,V$245,BD!$A$3:$A$5001,"&gt;="&amp;$C$7,BD!$A$3:$A$5001,"&lt;="&amp;$B248,BD!$AA$3:$AA$5001,"&lt;&gt;"))))</f>
        <v/>
      </c>
    </row>
    <row r="249">
      <c r="A249" s="38">
        <v>4</v>
      </c>
      <c r="B249" s="42">
        <f>$B$15</f>
        <v>46299</v>
      </c>
      <c r="C249" s="43" t="str">
        <f>IF(OR($B249="",$A249&gt;$B$9,C$245=""),"",IF(COUNTIFS(BD!$B$3:$B$5001,C$245,BD!$A$3:$A$5001,"&gt;="&amp;$C$7,BD!$A$3:$A$5001,"&lt;="&amp;$B249,BD!$AA$3:$AA$5001,"&lt;&gt;")=0,"",SUMIFS(BD!$AA$3:$AA$5001,BD!$B$3:$B$5001,C$245,BD!$A$3:$A$5001,_xlfn.MAXIFS(BD!$A$3:$A$5001,BD!$B$3:$B$5001,C$245,BD!$A$3:$A$5001,"&gt;="&amp;$C$7,BD!$A$3:$A$5001,"&lt;="&amp;$B249,BD!$AA$3:$AA$5001,"&lt;&gt;"))))</f>
        <v/>
      </c>
      <c r="D249" s="43" t="str">
        <f>IF(OR($B249="",$A249&gt;$B$9,D$245=""),"",IF(COUNTIFS(BD!$B$3:$B$5001,D$245,BD!$A$3:$A$5001,"&gt;="&amp;$C$7,BD!$A$3:$A$5001,"&lt;="&amp;$B249,BD!$AA$3:$AA$5001,"&lt;&gt;")=0,"",SUMIFS(BD!$AA$3:$AA$5001,BD!$B$3:$B$5001,D$245,BD!$A$3:$A$5001,_xlfn.MAXIFS(BD!$A$3:$A$5001,BD!$B$3:$B$5001,D$245,BD!$A$3:$A$5001,"&gt;="&amp;$C$7,BD!$A$3:$A$5001,"&lt;="&amp;$B249,BD!$AA$3:$AA$5001,"&lt;&gt;"))))</f>
        <v/>
      </c>
      <c r="E249" s="43" t="str">
        <f>IF(OR($B249="",$A249&gt;$B$9,E$245=""),"",IF(COUNTIFS(BD!$B$3:$B$5001,E$245,BD!$A$3:$A$5001,"&gt;="&amp;$C$7,BD!$A$3:$A$5001,"&lt;="&amp;$B249,BD!$AA$3:$AA$5001,"&lt;&gt;")=0,"",SUMIFS(BD!$AA$3:$AA$5001,BD!$B$3:$B$5001,E$245,BD!$A$3:$A$5001,_xlfn.MAXIFS(BD!$A$3:$A$5001,BD!$B$3:$B$5001,E$245,BD!$A$3:$A$5001,"&gt;="&amp;$C$7,BD!$A$3:$A$5001,"&lt;="&amp;$B249,BD!$AA$3:$AA$5001,"&lt;&gt;"))))</f>
        <v/>
      </c>
      <c r="F249" s="43" t="str">
        <f>IF(OR($B249="",$A249&gt;$B$9,F$245=""),"",IF(COUNTIFS(BD!$B$3:$B$5001,F$245,BD!$A$3:$A$5001,"&gt;="&amp;$C$7,BD!$A$3:$A$5001,"&lt;="&amp;$B249,BD!$AA$3:$AA$5001,"&lt;&gt;")=0,"",SUMIFS(BD!$AA$3:$AA$5001,BD!$B$3:$B$5001,F$245,BD!$A$3:$A$5001,_xlfn.MAXIFS(BD!$A$3:$A$5001,BD!$B$3:$B$5001,F$245,BD!$A$3:$A$5001,"&gt;="&amp;$C$7,BD!$A$3:$A$5001,"&lt;="&amp;$B249,BD!$AA$3:$AA$5001,"&lt;&gt;"))))</f>
        <v/>
      </c>
      <c r="G249" s="43" t="str">
        <f>IF(OR($B249="",$A249&gt;$B$9,G$245=""),"",IF(COUNTIFS(BD!$B$3:$B$5001,G$245,BD!$A$3:$A$5001,"&gt;="&amp;$C$7,BD!$A$3:$A$5001,"&lt;="&amp;$B249,BD!$AA$3:$AA$5001,"&lt;&gt;")=0,"",SUMIFS(BD!$AA$3:$AA$5001,BD!$B$3:$B$5001,G$245,BD!$A$3:$A$5001,_xlfn.MAXIFS(BD!$A$3:$A$5001,BD!$B$3:$B$5001,G$245,BD!$A$3:$A$5001,"&gt;="&amp;$C$7,BD!$A$3:$A$5001,"&lt;="&amp;$B249,BD!$AA$3:$AA$5001,"&lt;&gt;"))))</f>
        <v/>
      </c>
      <c r="H249" s="43" t="str">
        <f>IF(OR($B249="",$A249&gt;$B$9,H$245=""),"",IF(COUNTIFS(BD!$B$3:$B$5001,H$245,BD!$A$3:$A$5001,"&gt;="&amp;$C$7,BD!$A$3:$A$5001,"&lt;="&amp;$B249,BD!$AA$3:$AA$5001,"&lt;&gt;")=0,"",SUMIFS(BD!$AA$3:$AA$5001,BD!$B$3:$B$5001,H$245,BD!$A$3:$A$5001,_xlfn.MAXIFS(BD!$A$3:$A$5001,BD!$B$3:$B$5001,H$245,BD!$A$3:$A$5001,"&gt;="&amp;$C$7,BD!$A$3:$A$5001,"&lt;="&amp;$B249,BD!$AA$3:$AA$5001,"&lt;&gt;"))))</f>
        <v/>
      </c>
      <c r="I249" s="43" t="str">
        <f>IF(OR($B249="",$A249&gt;$B$9,I$245=""),"",IF(COUNTIFS(BD!$B$3:$B$5001,I$245,BD!$A$3:$A$5001,"&gt;="&amp;$C$7,BD!$A$3:$A$5001,"&lt;="&amp;$B249,BD!$AA$3:$AA$5001,"&lt;&gt;")=0,"",SUMIFS(BD!$AA$3:$AA$5001,BD!$B$3:$B$5001,I$245,BD!$A$3:$A$5001,_xlfn.MAXIFS(BD!$A$3:$A$5001,BD!$B$3:$B$5001,I$245,BD!$A$3:$A$5001,"&gt;="&amp;$C$7,BD!$A$3:$A$5001,"&lt;="&amp;$B249,BD!$AA$3:$AA$5001,"&lt;&gt;"))))</f>
        <v/>
      </c>
      <c r="J249" s="43" t="str">
        <f>IF(OR($B249="",$A249&gt;$B$9,J$245=""),"",IF(COUNTIFS(BD!$B$3:$B$5001,J$245,BD!$A$3:$A$5001,"&gt;="&amp;$C$7,BD!$A$3:$A$5001,"&lt;="&amp;$B249,BD!$AA$3:$AA$5001,"&lt;&gt;")=0,"",SUMIFS(BD!$AA$3:$AA$5001,BD!$B$3:$B$5001,J$245,BD!$A$3:$A$5001,_xlfn.MAXIFS(BD!$A$3:$A$5001,BD!$B$3:$B$5001,J$245,BD!$A$3:$A$5001,"&gt;="&amp;$C$7,BD!$A$3:$A$5001,"&lt;="&amp;$B249,BD!$AA$3:$AA$5001,"&lt;&gt;"))))</f>
        <v/>
      </c>
      <c r="K249" s="43" t="str">
        <f>IF(OR($B249="",$A249&gt;$B$9,K$245=""),"",IF(COUNTIFS(BD!$B$3:$B$5001,K$245,BD!$A$3:$A$5001,"&gt;="&amp;$C$7,BD!$A$3:$A$5001,"&lt;="&amp;$B249,BD!$AA$3:$AA$5001,"&lt;&gt;")=0,"",SUMIFS(BD!$AA$3:$AA$5001,BD!$B$3:$B$5001,K$245,BD!$A$3:$A$5001,_xlfn.MAXIFS(BD!$A$3:$A$5001,BD!$B$3:$B$5001,K$245,BD!$A$3:$A$5001,"&gt;="&amp;$C$7,BD!$A$3:$A$5001,"&lt;="&amp;$B249,BD!$AA$3:$AA$5001,"&lt;&gt;"))))</f>
        <v/>
      </c>
      <c r="L249" s="43" t="str">
        <f>IF(OR($B249="",$A249&gt;$B$9,L$245=""),"",IF(COUNTIFS(BD!$B$3:$B$5001,L$245,BD!$A$3:$A$5001,"&gt;="&amp;$C$7,BD!$A$3:$A$5001,"&lt;="&amp;$B249,BD!$AA$3:$AA$5001,"&lt;&gt;")=0,"",SUMIFS(BD!$AA$3:$AA$5001,BD!$B$3:$B$5001,L$245,BD!$A$3:$A$5001,_xlfn.MAXIFS(BD!$A$3:$A$5001,BD!$B$3:$B$5001,L$245,BD!$A$3:$A$5001,"&gt;="&amp;$C$7,BD!$A$3:$A$5001,"&lt;="&amp;$B249,BD!$AA$3:$AA$5001,"&lt;&gt;"))))</f>
        <v/>
      </c>
      <c r="M249" s="43" t="str">
        <f>IF(OR($B249="",$A249&gt;$B$9,M$245=""),"",IF(COUNTIFS(BD!$B$3:$B$5001,M$245,BD!$A$3:$A$5001,"&gt;="&amp;$C$7,BD!$A$3:$A$5001,"&lt;="&amp;$B249,BD!$AA$3:$AA$5001,"&lt;&gt;")=0,"",SUMIFS(BD!$AA$3:$AA$5001,BD!$B$3:$B$5001,M$245,BD!$A$3:$A$5001,_xlfn.MAXIFS(BD!$A$3:$A$5001,BD!$B$3:$B$5001,M$245,BD!$A$3:$A$5001,"&gt;="&amp;$C$7,BD!$A$3:$A$5001,"&lt;="&amp;$B249,BD!$AA$3:$AA$5001,"&lt;&gt;"))))</f>
        <v/>
      </c>
      <c r="N249" s="43" t="str">
        <f>IF(OR($B249="",$A249&gt;$B$9,N$245=""),"",IF(COUNTIFS(BD!$B$3:$B$5001,N$245,BD!$A$3:$A$5001,"&gt;="&amp;$C$7,BD!$A$3:$A$5001,"&lt;="&amp;$B249,BD!$AA$3:$AA$5001,"&lt;&gt;")=0,"",SUMIFS(BD!$AA$3:$AA$5001,BD!$B$3:$B$5001,N$245,BD!$A$3:$A$5001,_xlfn.MAXIFS(BD!$A$3:$A$5001,BD!$B$3:$B$5001,N$245,BD!$A$3:$A$5001,"&gt;="&amp;$C$7,BD!$A$3:$A$5001,"&lt;="&amp;$B249,BD!$AA$3:$AA$5001,"&lt;&gt;"))))</f>
        <v/>
      </c>
      <c r="O249" s="43" t="str">
        <f>IF(OR($B249="",$A249&gt;$B$9,O$245=""),"",IF(COUNTIFS(BD!$B$3:$B$5001,O$245,BD!$A$3:$A$5001,"&gt;="&amp;$C$7,BD!$A$3:$A$5001,"&lt;="&amp;$B249,BD!$AA$3:$AA$5001,"&lt;&gt;")=0,"",SUMIFS(BD!$AA$3:$AA$5001,BD!$B$3:$B$5001,O$245,BD!$A$3:$A$5001,_xlfn.MAXIFS(BD!$A$3:$A$5001,BD!$B$3:$B$5001,O$245,BD!$A$3:$A$5001,"&gt;="&amp;$C$7,BD!$A$3:$A$5001,"&lt;="&amp;$B249,BD!$AA$3:$AA$5001,"&lt;&gt;"))))</f>
        <v/>
      </c>
      <c r="P249" s="43" t="str">
        <f>IF(OR($B249="",$A249&gt;$B$9,P$245=""),"",IF(COUNTIFS(BD!$B$3:$B$5001,P$245,BD!$A$3:$A$5001,"&gt;="&amp;$C$7,BD!$A$3:$A$5001,"&lt;="&amp;$B249,BD!$AA$3:$AA$5001,"&lt;&gt;")=0,"",SUMIFS(BD!$AA$3:$AA$5001,BD!$B$3:$B$5001,P$245,BD!$A$3:$A$5001,_xlfn.MAXIFS(BD!$A$3:$A$5001,BD!$B$3:$B$5001,P$245,BD!$A$3:$A$5001,"&gt;="&amp;$C$7,BD!$A$3:$A$5001,"&lt;="&amp;$B249,BD!$AA$3:$AA$5001,"&lt;&gt;"))))</f>
        <v/>
      </c>
      <c r="Q249" s="43" t="str">
        <f>IF(OR($B249="",$A249&gt;$B$9,Q$245=""),"",IF(COUNTIFS(BD!$B$3:$B$5001,Q$245,BD!$A$3:$A$5001,"&gt;="&amp;$C$7,BD!$A$3:$A$5001,"&lt;="&amp;$B249,BD!$AA$3:$AA$5001,"&lt;&gt;")=0,"",SUMIFS(BD!$AA$3:$AA$5001,BD!$B$3:$B$5001,Q$245,BD!$A$3:$A$5001,_xlfn.MAXIFS(BD!$A$3:$A$5001,BD!$B$3:$B$5001,Q$245,BD!$A$3:$A$5001,"&gt;="&amp;$C$7,BD!$A$3:$A$5001,"&lt;="&amp;$B249,BD!$AA$3:$AA$5001,"&lt;&gt;"))))</f>
        <v/>
      </c>
      <c r="R249" s="43" t="str">
        <f>IF(OR($B249="",$A249&gt;$B$9,R$245=""),"",IF(COUNTIFS(BD!$B$3:$B$5001,R$245,BD!$A$3:$A$5001,"&gt;="&amp;$C$7,BD!$A$3:$A$5001,"&lt;="&amp;$B249,BD!$AA$3:$AA$5001,"&lt;&gt;")=0,"",SUMIFS(BD!$AA$3:$AA$5001,BD!$B$3:$B$5001,R$245,BD!$A$3:$A$5001,_xlfn.MAXIFS(BD!$A$3:$A$5001,BD!$B$3:$B$5001,R$245,BD!$A$3:$A$5001,"&gt;="&amp;$C$7,BD!$A$3:$A$5001,"&lt;="&amp;$B249,BD!$AA$3:$AA$5001,"&lt;&gt;"))))</f>
        <v/>
      </c>
      <c r="S249" s="43" t="str">
        <f>IF(OR($B249="",$A249&gt;$B$9,S$245=""),"",IF(COUNTIFS(BD!$B$3:$B$5001,S$245,BD!$A$3:$A$5001,"&gt;="&amp;$C$7,BD!$A$3:$A$5001,"&lt;="&amp;$B249,BD!$AA$3:$AA$5001,"&lt;&gt;")=0,"",SUMIFS(BD!$AA$3:$AA$5001,BD!$B$3:$B$5001,S$245,BD!$A$3:$A$5001,_xlfn.MAXIFS(BD!$A$3:$A$5001,BD!$B$3:$B$5001,S$245,BD!$A$3:$A$5001,"&gt;="&amp;$C$7,BD!$A$3:$A$5001,"&lt;="&amp;$B249,BD!$AA$3:$AA$5001,"&lt;&gt;"))))</f>
        <v/>
      </c>
      <c r="T249" s="43" t="str">
        <f>IF(OR($B249="",$A249&gt;$B$9,T$245=""),"",IF(COUNTIFS(BD!$B$3:$B$5001,T$245,BD!$A$3:$A$5001,"&gt;="&amp;$C$7,BD!$A$3:$A$5001,"&lt;="&amp;$B249,BD!$AA$3:$AA$5001,"&lt;&gt;")=0,"",SUMIFS(BD!$AA$3:$AA$5001,BD!$B$3:$B$5001,T$245,BD!$A$3:$A$5001,_xlfn.MAXIFS(BD!$A$3:$A$5001,BD!$B$3:$B$5001,T$245,BD!$A$3:$A$5001,"&gt;="&amp;$C$7,BD!$A$3:$A$5001,"&lt;="&amp;$B249,BD!$AA$3:$AA$5001,"&lt;&gt;"))))</f>
        <v/>
      </c>
      <c r="U249" s="43" t="str">
        <f>IF(OR($B249="",$A249&gt;$B$9,U$245=""),"",IF(COUNTIFS(BD!$B$3:$B$5001,U$245,BD!$A$3:$A$5001,"&gt;="&amp;$C$7,BD!$A$3:$A$5001,"&lt;="&amp;$B249,BD!$AA$3:$AA$5001,"&lt;&gt;")=0,"",SUMIFS(BD!$AA$3:$AA$5001,BD!$B$3:$B$5001,U$245,BD!$A$3:$A$5001,_xlfn.MAXIFS(BD!$A$3:$A$5001,BD!$B$3:$B$5001,U$245,BD!$A$3:$A$5001,"&gt;="&amp;$C$7,BD!$A$3:$A$5001,"&lt;="&amp;$B249,BD!$AA$3:$AA$5001,"&lt;&gt;"))))</f>
        <v/>
      </c>
      <c r="V249" s="43" t="str">
        <f>IF(OR($B249="",$A249&gt;$B$9,V$245=""),"",IF(COUNTIFS(BD!$B$3:$B$5001,V$245,BD!$A$3:$A$5001,"&gt;="&amp;$C$7,BD!$A$3:$A$5001,"&lt;="&amp;$B249,BD!$AA$3:$AA$5001,"&lt;&gt;")=0,"",SUMIFS(BD!$AA$3:$AA$5001,BD!$B$3:$B$5001,V$245,BD!$A$3:$A$5001,_xlfn.MAXIFS(BD!$A$3:$A$5001,BD!$B$3:$B$5001,V$245,BD!$A$3:$A$5001,"&gt;="&amp;$C$7,BD!$A$3:$A$5001,"&lt;="&amp;$B249,BD!$AA$3:$AA$5001,"&lt;&gt;"))))</f>
        <v/>
      </c>
    </row>
    <row r="250">
      <c r="A250" s="38">
        <v>5</v>
      </c>
      <c r="B250" s="42">
        <f>$B$16</f>
        <v>46300</v>
      </c>
      <c r="C250" s="43" t="str">
        <f>IF(OR($B250="",$A250&gt;$B$9,C$245=""),"",IF(COUNTIFS(BD!$B$3:$B$5001,C$245,BD!$A$3:$A$5001,"&gt;="&amp;$C$7,BD!$A$3:$A$5001,"&lt;="&amp;$B250,BD!$AA$3:$AA$5001,"&lt;&gt;")=0,"",SUMIFS(BD!$AA$3:$AA$5001,BD!$B$3:$B$5001,C$245,BD!$A$3:$A$5001,_xlfn.MAXIFS(BD!$A$3:$A$5001,BD!$B$3:$B$5001,C$245,BD!$A$3:$A$5001,"&gt;="&amp;$C$7,BD!$A$3:$A$5001,"&lt;="&amp;$B250,BD!$AA$3:$AA$5001,"&lt;&gt;"))))</f>
        <v/>
      </c>
      <c r="D250" s="43" t="str">
        <f>IF(OR($B250="",$A250&gt;$B$9,D$245=""),"",IF(COUNTIFS(BD!$B$3:$B$5001,D$245,BD!$A$3:$A$5001,"&gt;="&amp;$C$7,BD!$A$3:$A$5001,"&lt;="&amp;$B250,BD!$AA$3:$AA$5001,"&lt;&gt;")=0,"",SUMIFS(BD!$AA$3:$AA$5001,BD!$B$3:$B$5001,D$245,BD!$A$3:$A$5001,_xlfn.MAXIFS(BD!$A$3:$A$5001,BD!$B$3:$B$5001,D$245,BD!$A$3:$A$5001,"&gt;="&amp;$C$7,BD!$A$3:$A$5001,"&lt;="&amp;$B250,BD!$AA$3:$AA$5001,"&lt;&gt;"))))</f>
        <v/>
      </c>
      <c r="E250" s="43" t="str">
        <f>IF(OR($B250="",$A250&gt;$B$9,E$245=""),"",IF(COUNTIFS(BD!$B$3:$B$5001,E$245,BD!$A$3:$A$5001,"&gt;="&amp;$C$7,BD!$A$3:$A$5001,"&lt;="&amp;$B250,BD!$AA$3:$AA$5001,"&lt;&gt;")=0,"",SUMIFS(BD!$AA$3:$AA$5001,BD!$B$3:$B$5001,E$245,BD!$A$3:$A$5001,_xlfn.MAXIFS(BD!$A$3:$A$5001,BD!$B$3:$B$5001,E$245,BD!$A$3:$A$5001,"&gt;="&amp;$C$7,BD!$A$3:$A$5001,"&lt;="&amp;$B250,BD!$AA$3:$AA$5001,"&lt;&gt;"))))</f>
        <v/>
      </c>
      <c r="F250" s="43" t="str">
        <f>IF(OR($B250="",$A250&gt;$B$9,F$245=""),"",IF(COUNTIFS(BD!$B$3:$B$5001,F$245,BD!$A$3:$A$5001,"&gt;="&amp;$C$7,BD!$A$3:$A$5001,"&lt;="&amp;$B250,BD!$AA$3:$AA$5001,"&lt;&gt;")=0,"",SUMIFS(BD!$AA$3:$AA$5001,BD!$B$3:$B$5001,F$245,BD!$A$3:$A$5001,_xlfn.MAXIFS(BD!$A$3:$A$5001,BD!$B$3:$B$5001,F$245,BD!$A$3:$A$5001,"&gt;="&amp;$C$7,BD!$A$3:$A$5001,"&lt;="&amp;$B250,BD!$AA$3:$AA$5001,"&lt;&gt;"))))</f>
        <v/>
      </c>
      <c r="G250" s="43" t="str">
        <f>IF(OR($B250="",$A250&gt;$B$9,G$245=""),"",IF(COUNTIFS(BD!$B$3:$B$5001,G$245,BD!$A$3:$A$5001,"&gt;="&amp;$C$7,BD!$A$3:$A$5001,"&lt;="&amp;$B250,BD!$AA$3:$AA$5001,"&lt;&gt;")=0,"",SUMIFS(BD!$AA$3:$AA$5001,BD!$B$3:$B$5001,G$245,BD!$A$3:$A$5001,_xlfn.MAXIFS(BD!$A$3:$A$5001,BD!$B$3:$B$5001,G$245,BD!$A$3:$A$5001,"&gt;="&amp;$C$7,BD!$A$3:$A$5001,"&lt;="&amp;$B250,BD!$AA$3:$AA$5001,"&lt;&gt;"))))</f>
        <v/>
      </c>
      <c r="H250" s="43" t="str">
        <f>IF(OR($B250="",$A250&gt;$B$9,H$245=""),"",IF(COUNTIFS(BD!$B$3:$B$5001,H$245,BD!$A$3:$A$5001,"&gt;="&amp;$C$7,BD!$A$3:$A$5001,"&lt;="&amp;$B250,BD!$AA$3:$AA$5001,"&lt;&gt;")=0,"",SUMIFS(BD!$AA$3:$AA$5001,BD!$B$3:$B$5001,H$245,BD!$A$3:$A$5001,_xlfn.MAXIFS(BD!$A$3:$A$5001,BD!$B$3:$B$5001,H$245,BD!$A$3:$A$5001,"&gt;="&amp;$C$7,BD!$A$3:$A$5001,"&lt;="&amp;$B250,BD!$AA$3:$AA$5001,"&lt;&gt;"))))</f>
        <v/>
      </c>
      <c r="I250" s="43" t="str">
        <f>IF(OR($B250="",$A250&gt;$B$9,I$245=""),"",IF(COUNTIFS(BD!$B$3:$B$5001,I$245,BD!$A$3:$A$5001,"&gt;="&amp;$C$7,BD!$A$3:$A$5001,"&lt;="&amp;$B250,BD!$AA$3:$AA$5001,"&lt;&gt;")=0,"",SUMIFS(BD!$AA$3:$AA$5001,BD!$B$3:$B$5001,I$245,BD!$A$3:$A$5001,_xlfn.MAXIFS(BD!$A$3:$A$5001,BD!$B$3:$B$5001,I$245,BD!$A$3:$A$5001,"&gt;="&amp;$C$7,BD!$A$3:$A$5001,"&lt;="&amp;$B250,BD!$AA$3:$AA$5001,"&lt;&gt;"))))</f>
        <v/>
      </c>
      <c r="J250" s="43" t="str">
        <f>IF(OR($B250="",$A250&gt;$B$9,J$245=""),"",IF(COUNTIFS(BD!$B$3:$B$5001,J$245,BD!$A$3:$A$5001,"&gt;="&amp;$C$7,BD!$A$3:$A$5001,"&lt;="&amp;$B250,BD!$AA$3:$AA$5001,"&lt;&gt;")=0,"",SUMIFS(BD!$AA$3:$AA$5001,BD!$B$3:$B$5001,J$245,BD!$A$3:$A$5001,_xlfn.MAXIFS(BD!$A$3:$A$5001,BD!$B$3:$B$5001,J$245,BD!$A$3:$A$5001,"&gt;="&amp;$C$7,BD!$A$3:$A$5001,"&lt;="&amp;$B250,BD!$AA$3:$AA$5001,"&lt;&gt;"))))</f>
        <v/>
      </c>
      <c r="K250" s="43" t="str">
        <f>IF(OR($B250="",$A250&gt;$B$9,K$245=""),"",IF(COUNTIFS(BD!$B$3:$B$5001,K$245,BD!$A$3:$A$5001,"&gt;="&amp;$C$7,BD!$A$3:$A$5001,"&lt;="&amp;$B250,BD!$AA$3:$AA$5001,"&lt;&gt;")=0,"",SUMIFS(BD!$AA$3:$AA$5001,BD!$B$3:$B$5001,K$245,BD!$A$3:$A$5001,_xlfn.MAXIFS(BD!$A$3:$A$5001,BD!$B$3:$B$5001,K$245,BD!$A$3:$A$5001,"&gt;="&amp;$C$7,BD!$A$3:$A$5001,"&lt;="&amp;$B250,BD!$AA$3:$AA$5001,"&lt;&gt;"))))</f>
        <v/>
      </c>
      <c r="L250" s="43" t="str">
        <f>IF(OR($B250="",$A250&gt;$B$9,L$245=""),"",IF(COUNTIFS(BD!$B$3:$B$5001,L$245,BD!$A$3:$A$5001,"&gt;="&amp;$C$7,BD!$A$3:$A$5001,"&lt;="&amp;$B250,BD!$AA$3:$AA$5001,"&lt;&gt;")=0,"",SUMIFS(BD!$AA$3:$AA$5001,BD!$B$3:$B$5001,L$245,BD!$A$3:$A$5001,_xlfn.MAXIFS(BD!$A$3:$A$5001,BD!$B$3:$B$5001,L$245,BD!$A$3:$A$5001,"&gt;="&amp;$C$7,BD!$A$3:$A$5001,"&lt;="&amp;$B250,BD!$AA$3:$AA$5001,"&lt;&gt;"))))</f>
        <v/>
      </c>
      <c r="M250" s="43" t="str">
        <f>IF(OR($B250="",$A250&gt;$B$9,M$245=""),"",IF(COUNTIFS(BD!$B$3:$B$5001,M$245,BD!$A$3:$A$5001,"&gt;="&amp;$C$7,BD!$A$3:$A$5001,"&lt;="&amp;$B250,BD!$AA$3:$AA$5001,"&lt;&gt;")=0,"",SUMIFS(BD!$AA$3:$AA$5001,BD!$B$3:$B$5001,M$245,BD!$A$3:$A$5001,_xlfn.MAXIFS(BD!$A$3:$A$5001,BD!$B$3:$B$5001,M$245,BD!$A$3:$A$5001,"&gt;="&amp;$C$7,BD!$A$3:$A$5001,"&lt;="&amp;$B250,BD!$AA$3:$AA$5001,"&lt;&gt;"))))</f>
        <v/>
      </c>
      <c r="N250" s="43" t="str">
        <f>IF(OR($B250="",$A250&gt;$B$9,N$245=""),"",IF(COUNTIFS(BD!$B$3:$B$5001,N$245,BD!$A$3:$A$5001,"&gt;="&amp;$C$7,BD!$A$3:$A$5001,"&lt;="&amp;$B250,BD!$AA$3:$AA$5001,"&lt;&gt;")=0,"",SUMIFS(BD!$AA$3:$AA$5001,BD!$B$3:$B$5001,N$245,BD!$A$3:$A$5001,_xlfn.MAXIFS(BD!$A$3:$A$5001,BD!$B$3:$B$5001,N$245,BD!$A$3:$A$5001,"&gt;="&amp;$C$7,BD!$A$3:$A$5001,"&lt;="&amp;$B250,BD!$AA$3:$AA$5001,"&lt;&gt;"))))</f>
        <v/>
      </c>
      <c r="O250" s="43" t="str">
        <f>IF(OR($B250="",$A250&gt;$B$9,O$245=""),"",IF(COUNTIFS(BD!$B$3:$B$5001,O$245,BD!$A$3:$A$5001,"&gt;="&amp;$C$7,BD!$A$3:$A$5001,"&lt;="&amp;$B250,BD!$AA$3:$AA$5001,"&lt;&gt;")=0,"",SUMIFS(BD!$AA$3:$AA$5001,BD!$B$3:$B$5001,O$245,BD!$A$3:$A$5001,_xlfn.MAXIFS(BD!$A$3:$A$5001,BD!$B$3:$B$5001,O$245,BD!$A$3:$A$5001,"&gt;="&amp;$C$7,BD!$A$3:$A$5001,"&lt;="&amp;$B250,BD!$AA$3:$AA$5001,"&lt;&gt;"))))</f>
        <v/>
      </c>
      <c r="P250" s="43" t="str">
        <f>IF(OR($B250="",$A250&gt;$B$9,P$245=""),"",IF(COUNTIFS(BD!$B$3:$B$5001,P$245,BD!$A$3:$A$5001,"&gt;="&amp;$C$7,BD!$A$3:$A$5001,"&lt;="&amp;$B250,BD!$AA$3:$AA$5001,"&lt;&gt;")=0,"",SUMIFS(BD!$AA$3:$AA$5001,BD!$B$3:$B$5001,P$245,BD!$A$3:$A$5001,_xlfn.MAXIFS(BD!$A$3:$A$5001,BD!$B$3:$B$5001,P$245,BD!$A$3:$A$5001,"&gt;="&amp;$C$7,BD!$A$3:$A$5001,"&lt;="&amp;$B250,BD!$AA$3:$AA$5001,"&lt;&gt;"))))</f>
        <v/>
      </c>
      <c r="Q250" s="43" t="str">
        <f>IF(OR($B250="",$A250&gt;$B$9,Q$245=""),"",IF(COUNTIFS(BD!$B$3:$B$5001,Q$245,BD!$A$3:$A$5001,"&gt;="&amp;$C$7,BD!$A$3:$A$5001,"&lt;="&amp;$B250,BD!$AA$3:$AA$5001,"&lt;&gt;")=0,"",SUMIFS(BD!$AA$3:$AA$5001,BD!$B$3:$B$5001,Q$245,BD!$A$3:$A$5001,_xlfn.MAXIFS(BD!$A$3:$A$5001,BD!$B$3:$B$5001,Q$245,BD!$A$3:$A$5001,"&gt;="&amp;$C$7,BD!$A$3:$A$5001,"&lt;="&amp;$B250,BD!$AA$3:$AA$5001,"&lt;&gt;"))))</f>
        <v/>
      </c>
      <c r="R250" s="43" t="str">
        <f>IF(OR($B250="",$A250&gt;$B$9,R$245=""),"",IF(COUNTIFS(BD!$B$3:$B$5001,R$245,BD!$A$3:$A$5001,"&gt;="&amp;$C$7,BD!$A$3:$A$5001,"&lt;="&amp;$B250,BD!$AA$3:$AA$5001,"&lt;&gt;")=0,"",SUMIFS(BD!$AA$3:$AA$5001,BD!$B$3:$B$5001,R$245,BD!$A$3:$A$5001,_xlfn.MAXIFS(BD!$A$3:$A$5001,BD!$B$3:$B$5001,R$245,BD!$A$3:$A$5001,"&gt;="&amp;$C$7,BD!$A$3:$A$5001,"&lt;="&amp;$B250,BD!$AA$3:$AA$5001,"&lt;&gt;"))))</f>
        <v/>
      </c>
      <c r="S250" s="43" t="str">
        <f>IF(OR($B250="",$A250&gt;$B$9,S$245=""),"",IF(COUNTIFS(BD!$B$3:$B$5001,S$245,BD!$A$3:$A$5001,"&gt;="&amp;$C$7,BD!$A$3:$A$5001,"&lt;="&amp;$B250,BD!$AA$3:$AA$5001,"&lt;&gt;")=0,"",SUMIFS(BD!$AA$3:$AA$5001,BD!$B$3:$B$5001,S$245,BD!$A$3:$A$5001,_xlfn.MAXIFS(BD!$A$3:$A$5001,BD!$B$3:$B$5001,S$245,BD!$A$3:$A$5001,"&gt;="&amp;$C$7,BD!$A$3:$A$5001,"&lt;="&amp;$B250,BD!$AA$3:$AA$5001,"&lt;&gt;"))))</f>
        <v/>
      </c>
      <c r="T250" s="43" t="str">
        <f>IF(OR($B250="",$A250&gt;$B$9,T$245=""),"",IF(COUNTIFS(BD!$B$3:$B$5001,T$245,BD!$A$3:$A$5001,"&gt;="&amp;$C$7,BD!$A$3:$A$5001,"&lt;="&amp;$B250,BD!$AA$3:$AA$5001,"&lt;&gt;")=0,"",SUMIFS(BD!$AA$3:$AA$5001,BD!$B$3:$B$5001,T$245,BD!$A$3:$A$5001,_xlfn.MAXIFS(BD!$A$3:$A$5001,BD!$B$3:$B$5001,T$245,BD!$A$3:$A$5001,"&gt;="&amp;$C$7,BD!$A$3:$A$5001,"&lt;="&amp;$B250,BD!$AA$3:$AA$5001,"&lt;&gt;"))))</f>
        <v/>
      </c>
      <c r="U250" s="43" t="str">
        <f>IF(OR($B250="",$A250&gt;$B$9,U$245=""),"",IF(COUNTIFS(BD!$B$3:$B$5001,U$245,BD!$A$3:$A$5001,"&gt;="&amp;$C$7,BD!$A$3:$A$5001,"&lt;="&amp;$B250,BD!$AA$3:$AA$5001,"&lt;&gt;")=0,"",SUMIFS(BD!$AA$3:$AA$5001,BD!$B$3:$B$5001,U$245,BD!$A$3:$A$5001,_xlfn.MAXIFS(BD!$A$3:$A$5001,BD!$B$3:$B$5001,U$245,BD!$A$3:$A$5001,"&gt;="&amp;$C$7,BD!$A$3:$A$5001,"&lt;="&amp;$B250,BD!$AA$3:$AA$5001,"&lt;&gt;"))))</f>
        <v/>
      </c>
      <c r="V250" s="43" t="str">
        <f>IF(OR($B250="",$A250&gt;$B$9,V$245=""),"",IF(COUNTIFS(BD!$B$3:$B$5001,V$245,BD!$A$3:$A$5001,"&gt;="&amp;$C$7,BD!$A$3:$A$5001,"&lt;="&amp;$B250,BD!$AA$3:$AA$5001,"&lt;&gt;")=0,"",SUMIFS(BD!$AA$3:$AA$5001,BD!$B$3:$B$5001,V$245,BD!$A$3:$A$5001,_xlfn.MAXIFS(BD!$A$3:$A$5001,BD!$B$3:$B$5001,V$245,BD!$A$3:$A$5001,"&gt;="&amp;$C$7,BD!$A$3:$A$5001,"&lt;="&amp;$B250,BD!$AA$3:$AA$5001,"&lt;&gt;"))))</f>
        <v/>
      </c>
    </row>
    <row r="251">
      <c r="A251" s="38">
        <v>6</v>
      </c>
      <c r="B251" s="42">
        <f>$B$17</f>
        <v>46301</v>
      </c>
      <c r="C251" s="43" t="str">
        <f>IF(OR($B251="",$A251&gt;$B$9,C$245=""),"",IF(COUNTIFS(BD!$B$3:$B$5001,C$245,BD!$A$3:$A$5001,"&gt;="&amp;$C$7,BD!$A$3:$A$5001,"&lt;="&amp;$B251,BD!$AA$3:$AA$5001,"&lt;&gt;")=0,"",SUMIFS(BD!$AA$3:$AA$5001,BD!$B$3:$B$5001,C$245,BD!$A$3:$A$5001,_xlfn.MAXIFS(BD!$A$3:$A$5001,BD!$B$3:$B$5001,C$245,BD!$A$3:$A$5001,"&gt;="&amp;$C$7,BD!$A$3:$A$5001,"&lt;="&amp;$B251,BD!$AA$3:$AA$5001,"&lt;&gt;"))))</f>
        <v/>
      </c>
      <c r="D251" s="43" t="str">
        <f>IF(OR($B251="",$A251&gt;$B$9,D$245=""),"",IF(COUNTIFS(BD!$B$3:$B$5001,D$245,BD!$A$3:$A$5001,"&gt;="&amp;$C$7,BD!$A$3:$A$5001,"&lt;="&amp;$B251,BD!$AA$3:$AA$5001,"&lt;&gt;")=0,"",SUMIFS(BD!$AA$3:$AA$5001,BD!$B$3:$B$5001,D$245,BD!$A$3:$A$5001,_xlfn.MAXIFS(BD!$A$3:$A$5001,BD!$B$3:$B$5001,D$245,BD!$A$3:$A$5001,"&gt;="&amp;$C$7,BD!$A$3:$A$5001,"&lt;="&amp;$B251,BD!$AA$3:$AA$5001,"&lt;&gt;"))))</f>
        <v/>
      </c>
      <c r="E251" s="43" t="str">
        <f>IF(OR($B251="",$A251&gt;$B$9,E$245=""),"",IF(COUNTIFS(BD!$B$3:$B$5001,E$245,BD!$A$3:$A$5001,"&gt;="&amp;$C$7,BD!$A$3:$A$5001,"&lt;="&amp;$B251,BD!$AA$3:$AA$5001,"&lt;&gt;")=0,"",SUMIFS(BD!$AA$3:$AA$5001,BD!$B$3:$B$5001,E$245,BD!$A$3:$A$5001,_xlfn.MAXIFS(BD!$A$3:$A$5001,BD!$B$3:$B$5001,E$245,BD!$A$3:$A$5001,"&gt;="&amp;$C$7,BD!$A$3:$A$5001,"&lt;="&amp;$B251,BD!$AA$3:$AA$5001,"&lt;&gt;"))))</f>
        <v/>
      </c>
      <c r="F251" s="43" t="str">
        <f>IF(OR($B251="",$A251&gt;$B$9,F$245=""),"",IF(COUNTIFS(BD!$B$3:$B$5001,F$245,BD!$A$3:$A$5001,"&gt;="&amp;$C$7,BD!$A$3:$A$5001,"&lt;="&amp;$B251,BD!$AA$3:$AA$5001,"&lt;&gt;")=0,"",SUMIFS(BD!$AA$3:$AA$5001,BD!$B$3:$B$5001,F$245,BD!$A$3:$A$5001,_xlfn.MAXIFS(BD!$A$3:$A$5001,BD!$B$3:$B$5001,F$245,BD!$A$3:$A$5001,"&gt;="&amp;$C$7,BD!$A$3:$A$5001,"&lt;="&amp;$B251,BD!$AA$3:$AA$5001,"&lt;&gt;"))))</f>
        <v/>
      </c>
      <c r="G251" s="43" t="str">
        <f>IF(OR($B251="",$A251&gt;$B$9,G$245=""),"",IF(COUNTIFS(BD!$B$3:$B$5001,G$245,BD!$A$3:$A$5001,"&gt;="&amp;$C$7,BD!$A$3:$A$5001,"&lt;="&amp;$B251,BD!$AA$3:$AA$5001,"&lt;&gt;")=0,"",SUMIFS(BD!$AA$3:$AA$5001,BD!$B$3:$B$5001,G$245,BD!$A$3:$A$5001,_xlfn.MAXIFS(BD!$A$3:$A$5001,BD!$B$3:$B$5001,G$245,BD!$A$3:$A$5001,"&gt;="&amp;$C$7,BD!$A$3:$A$5001,"&lt;="&amp;$B251,BD!$AA$3:$AA$5001,"&lt;&gt;"))))</f>
        <v/>
      </c>
      <c r="H251" s="43" t="str">
        <f>IF(OR($B251="",$A251&gt;$B$9,H$245=""),"",IF(COUNTIFS(BD!$B$3:$B$5001,H$245,BD!$A$3:$A$5001,"&gt;="&amp;$C$7,BD!$A$3:$A$5001,"&lt;="&amp;$B251,BD!$AA$3:$AA$5001,"&lt;&gt;")=0,"",SUMIFS(BD!$AA$3:$AA$5001,BD!$B$3:$B$5001,H$245,BD!$A$3:$A$5001,_xlfn.MAXIFS(BD!$A$3:$A$5001,BD!$B$3:$B$5001,H$245,BD!$A$3:$A$5001,"&gt;="&amp;$C$7,BD!$A$3:$A$5001,"&lt;="&amp;$B251,BD!$AA$3:$AA$5001,"&lt;&gt;"))))</f>
        <v/>
      </c>
      <c r="I251" s="43" t="str">
        <f>IF(OR($B251="",$A251&gt;$B$9,I$245=""),"",IF(COUNTIFS(BD!$B$3:$B$5001,I$245,BD!$A$3:$A$5001,"&gt;="&amp;$C$7,BD!$A$3:$A$5001,"&lt;="&amp;$B251,BD!$AA$3:$AA$5001,"&lt;&gt;")=0,"",SUMIFS(BD!$AA$3:$AA$5001,BD!$B$3:$B$5001,I$245,BD!$A$3:$A$5001,_xlfn.MAXIFS(BD!$A$3:$A$5001,BD!$B$3:$B$5001,I$245,BD!$A$3:$A$5001,"&gt;="&amp;$C$7,BD!$A$3:$A$5001,"&lt;="&amp;$B251,BD!$AA$3:$AA$5001,"&lt;&gt;"))))</f>
        <v/>
      </c>
      <c r="J251" s="43" t="str">
        <f>IF(OR($B251="",$A251&gt;$B$9,J$245=""),"",IF(COUNTIFS(BD!$B$3:$B$5001,J$245,BD!$A$3:$A$5001,"&gt;="&amp;$C$7,BD!$A$3:$A$5001,"&lt;="&amp;$B251,BD!$AA$3:$AA$5001,"&lt;&gt;")=0,"",SUMIFS(BD!$AA$3:$AA$5001,BD!$B$3:$B$5001,J$245,BD!$A$3:$A$5001,_xlfn.MAXIFS(BD!$A$3:$A$5001,BD!$B$3:$B$5001,J$245,BD!$A$3:$A$5001,"&gt;="&amp;$C$7,BD!$A$3:$A$5001,"&lt;="&amp;$B251,BD!$AA$3:$AA$5001,"&lt;&gt;"))))</f>
        <v/>
      </c>
      <c r="K251" s="43" t="str">
        <f>IF(OR($B251="",$A251&gt;$B$9,K$245=""),"",IF(COUNTIFS(BD!$B$3:$B$5001,K$245,BD!$A$3:$A$5001,"&gt;="&amp;$C$7,BD!$A$3:$A$5001,"&lt;="&amp;$B251,BD!$AA$3:$AA$5001,"&lt;&gt;")=0,"",SUMIFS(BD!$AA$3:$AA$5001,BD!$B$3:$B$5001,K$245,BD!$A$3:$A$5001,_xlfn.MAXIFS(BD!$A$3:$A$5001,BD!$B$3:$B$5001,K$245,BD!$A$3:$A$5001,"&gt;="&amp;$C$7,BD!$A$3:$A$5001,"&lt;="&amp;$B251,BD!$AA$3:$AA$5001,"&lt;&gt;"))))</f>
        <v/>
      </c>
      <c r="L251" s="43" t="str">
        <f>IF(OR($B251="",$A251&gt;$B$9,L$245=""),"",IF(COUNTIFS(BD!$B$3:$B$5001,L$245,BD!$A$3:$A$5001,"&gt;="&amp;$C$7,BD!$A$3:$A$5001,"&lt;="&amp;$B251,BD!$AA$3:$AA$5001,"&lt;&gt;")=0,"",SUMIFS(BD!$AA$3:$AA$5001,BD!$B$3:$B$5001,L$245,BD!$A$3:$A$5001,_xlfn.MAXIFS(BD!$A$3:$A$5001,BD!$B$3:$B$5001,L$245,BD!$A$3:$A$5001,"&gt;="&amp;$C$7,BD!$A$3:$A$5001,"&lt;="&amp;$B251,BD!$AA$3:$AA$5001,"&lt;&gt;"))))</f>
        <v/>
      </c>
      <c r="M251" s="43" t="str">
        <f>IF(OR($B251="",$A251&gt;$B$9,M$245=""),"",IF(COUNTIFS(BD!$B$3:$B$5001,M$245,BD!$A$3:$A$5001,"&gt;="&amp;$C$7,BD!$A$3:$A$5001,"&lt;="&amp;$B251,BD!$AA$3:$AA$5001,"&lt;&gt;")=0,"",SUMIFS(BD!$AA$3:$AA$5001,BD!$B$3:$B$5001,M$245,BD!$A$3:$A$5001,_xlfn.MAXIFS(BD!$A$3:$A$5001,BD!$B$3:$B$5001,M$245,BD!$A$3:$A$5001,"&gt;="&amp;$C$7,BD!$A$3:$A$5001,"&lt;="&amp;$B251,BD!$AA$3:$AA$5001,"&lt;&gt;"))))</f>
        <v/>
      </c>
      <c r="N251" s="43" t="str">
        <f>IF(OR($B251="",$A251&gt;$B$9,N$245=""),"",IF(COUNTIFS(BD!$B$3:$B$5001,N$245,BD!$A$3:$A$5001,"&gt;="&amp;$C$7,BD!$A$3:$A$5001,"&lt;="&amp;$B251,BD!$AA$3:$AA$5001,"&lt;&gt;")=0,"",SUMIFS(BD!$AA$3:$AA$5001,BD!$B$3:$B$5001,N$245,BD!$A$3:$A$5001,_xlfn.MAXIFS(BD!$A$3:$A$5001,BD!$B$3:$B$5001,N$245,BD!$A$3:$A$5001,"&gt;="&amp;$C$7,BD!$A$3:$A$5001,"&lt;="&amp;$B251,BD!$AA$3:$AA$5001,"&lt;&gt;"))))</f>
        <v/>
      </c>
      <c r="O251" s="43" t="str">
        <f>IF(OR($B251="",$A251&gt;$B$9,O$245=""),"",IF(COUNTIFS(BD!$B$3:$B$5001,O$245,BD!$A$3:$A$5001,"&gt;="&amp;$C$7,BD!$A$3:$A$5001,"&lt;="&amp;$B251,BD!$AA$3:$AA$5001,"&lt;&gt;")=0,"",SUMIFS(BD!$AA$3:$AA$5001,BD!$B$3:$B$5001,O$245,BD!$A$3:$A$5001,_xlfn.MAXIFS(BD!$A$3:$A$5001,BD!$B$3:$B$5001,O$245,BD!$A$3:$A$5001,"&gt;="&amp;$C$7,BD!$A$3:$A$5001,"&lt;="&amp;$B251,BD!$AA$3:$AA$5001,"&lt;&gt;"))))</f>
        <v/>
      </c>
      <c r="P251" s="43" t="str">
        <f>IF(OR($B251="",$A251&gt;$B$9,P$245=""),"",IF(COUNTIFS(BD!$B$3:$B$5001,P$245,BD!$A$3:$A$5001,"&gt;="&amp;$C$7,BD!$A$3:$A$5001,"&lt;="&amp;$B251,BD!$AA$3:$AA$5001,"&lt;&gt;")=0,"",SUMIFS(BD!$AA$3:$AA$5001,BD!$B$3:$B$5001,P$245,BD!$A$3:$A$5001,_xlfn.MAXIFS(BD!$A$3:$A$5001,BD!$B$3:$B$5001,P$245,BD!$A$3:$A$5001,"&gt;="&amp;$C$7,BD!$A$3:$A$5001,"&lt;="&amp;$B251,BD!$AA$3:$AA$5001,"&lt;&gt;"))))</f>
        <v/>
      </c>
      <c r="Q251" s="43" t="str">
        <f>IF(OR($B251="",$A251&gt;$B$9,Q$245=""),"",IF(COUNTIFS(BD!$B$3:$B$5001,Q$245,BD!$A$3:$A$5001,"&gt;="&amp;$C$7,BD!$A$3:$A$5001,"&lt;="&amp;$B251,BD!$AA$3:$AA$5001,"&lt;&gt;")=0,"",SUMIFS(BD!$AA$3:$AA$5001,BD!$B$3:$B$5001,Q$245,BD!$A$3:$A$5001,_xlfn.MAXIFS(BD!$A$3:$A$5001,BD!$B$3:$B$5001,Q$245,BD!$A$3:$A$5001,"&gt;="&amp;$C$7,BD!$A$3:$A$5001,"&lt;="&amp;$B251,BD!$AA$3:$AA$5001,"&lt;&gt;"))))</f>
        <v/>
      </c>
      <c r="R251" s="43" t="str">
        <f>IF(OR($B251="",$A251&gt;$B$9,R$245=""),"",IF(COUNTIFS(BD!$B$3:$B$5001,R$245,BD!$A$3:$A$5001,"&gt;="&amp;$C$7,BD!$A$3:$A$5001,"&lt;="&amp;$B251,BD!$AA$3:$AA$5001,"&lt;&gt;")=0,"",SUMIFS(BD!$AA$3:$AA$5001,BD!$B$3:$B$5001,R$245,BD!$A$3:$A$5001,_xlfn.MAXIFS(BD!$A$3:$A$5001,BD!$B$3:$B$5001,R$245,BD!$A$3:$A$5001,"&gt;="&amp;$C$7,BD!$A$3:$A$5001,"&lt;="&amp;$B251,BD!$AA$3:$AA$5001,"&lt;&gt;"))))</f>
        <v/>
      </c>
      <c r="S251" s="43" t="str">
        <f>IF(OR($B251="",$A251&gt;$B$9,S$245=""),"",IF(COUNTIFS(BD!$B$3:$B$5001,S$245,BD!$A$3:$A$5001,"&gt;="&amp;$C$7,BD!$A$3:$A$5001,"&lt;="&amp;$B251,BD!$AA$3:$AA$5001,"&lt;&gt;")=0,"",SUMIFS(BD!$AA$3:$AA$5001,BD!$B$3:$B$5001,S$245,BD!$A$3:$A$5001,_xlfn.MAXIFS(BD!$A$3:$A$5001,BD!$B$3:$B$5001,S$245,BD!$A$3:$A$5001,"&gt;="&amp;$C$7,BD!$A$3:$A$5001,"&lt;="&amp;$B251,BD!$AA$3:$AA$5001,"&lt;&gt;"))))</f>
        <v/>
      </c>
      <c r="T251" s="43" t="str">
        <f>IF(OR($B251="",$A251&gt;$B$9,T$245=""),"",IF(COUNTIFS(BD!$B$3:$B$5001,T$245,BD!$A$3:$A$5001,"&gt;="&amp;$C$7,BD!$A$3:$A$5001,"&lt;="&amp;$B251,BD!$AA$3:$AA$5001,"&lt;&gt;")=0,"",SUMIFS(BD!$AA$3:$AA$5001,BD!$B$3:$B$5001,T$245,BD!$A$3:$A$5001,_xlfn.MAXIFS(BD!$A$3:$A$5001,BD!$B$3:$B$5001,T$245,BD!$A$3:$A$5001,"&gt;="&amp;$C$7,BD!$A$3:$A$5001,"&lt;="&amp;$B251,BD!$AA$3:$AA$5001,"&lt;&gt;"))))</f>
        <v/>
      </c>
      <c r="U251" s="43" t="str">
        <f>IF(OR($B251="",$A251&gt;$B$9,U$245=""),"",IF(COUNTIFS(BD!$B$3:$B$5001,U$245,BD!$A$3:$A$5001,"&gt;="&amp;$C$7,BD!$A$3:$A$5001,"&lt;="&amp;$B251,BD!$AA$3:$AA$5001,"&lt;&gt;")=0,"",SUMIFS(BD!$AA$3:$AA$5001,BD!$B$3:$B$5001,U$245,BD!$A$3:$A$5001,_xlfn.MAXIFS(BD!$A$3:$A$5001,BD!$B$3:$B$5001,U$245,BD!$A$3:$A$5001,"&gt;="&amp;$C$7,BD!$A$3:$A$5001,"&lt;="&amp;$B251,BD!$AA$3:$AA$5001,"&lt;&gt;"))))</f>
        <v/>
      </c>
      <c r="V251" s="43" t="str">
        <f>IF(OR($B251="",$A251&gt;$B$9,V$245=""),"",IF(COUNTIFS(BD!$B$3:$B$5001,V$245,BD!$A$3:$A$5001,"&gt;="&amp;$C$7,BD!$A$3:$A$5001,"&lt;="&amp;$B251,BD!$AA$3:$AA$5001,"&lt;&gt;")=0,"",SUMIFS(BD!$AA$3:$AA$5001,BD!$B$3:$B$5001,V$245,BD!$A$3:$A$5001,_xlfn.MAXIFS(BD!$A$3:$A$5001,BD!$B$3:$B$5001,V$245,BD!$A$3:$A$5001,"&gt;="&amp;$C$7,BD!$A$3:$A$5001,"&lt;="&amp;$B251,BD!$AA$3:$AA$5001,"&lt;&gt;"))))</f>
        <v/>
      </c>
    </row>
    <row r="252">
      <c r="A252" s="38">
        <v>7</v>
      </c>
      <c r="B252" s="42">
        <f>$B$18</f>
        <v>46302</v>
      </c>
      <c r="C252" s="43" t="str">
        <f>IF(OR($B252="",$A252&gt;$B$9,C$245=""),"",IF(COUNTIFS(BD!$B$3:$B$5001,C$245,BD!$A$3:$A$5001,"&gt;="&amp;$C$7,BD!$A$3:$A$5001,"&lt;="&amp;$B252,BD!$AA$3:$AA$5001,"&lt;&gt;")=0,"",SUMIFS(BD!$AA$3:$AA$5001,BD!$B$3:$B$5001,C$245,BD!$A$3:$A$5001,_xlfn.MAXIFS(BD!$A$3:$A$5001,BD!$B$3:$B$5001,C$245,BD!$A$3:$A$5001,"&gt;="&amp;$C$7,BD!$A$3:$A$5001,"&lt;="&amp;$B252,BD!$AA$3:$AA$5001,"&lt;&gt;"))))</f>
        <v/>
      </c>
      <c r="D252" s="43" t="str">
        <f>IF(OR($B252="",$A252&gt;$B$9,D$245=""),"",IF(COUNTIFS(BD!$B$3:$B$5001,D$245,BD!$A$3:$A$5001,"&gt;="&amp;$C$7,BD!$A$3:$A$5001,"&lt;="&amp;$B252,BD!$AA$3:$AA$5001,"&lt;&gt;")=0,"",SUMIFS(BD!$AA$3:$AA$5001,BD!$B$3:$B$5001,D$245,BD!$A$3:$A$5001,_xlfn.MAXIFS(BD!$A$3:$A$5001,BD!$B$3:$B$5001,D$245,BD!$A$3:$A$5001,"&gt;="&amp;$C$7,BD!$A$3:$A$5001,"&lt;="&amp;$B252,BD!$AA$3:$AA$5001,"&lt;&gt;"))))</f>
        <v/>
      </c>
      <c r="E252" s="43" t="str">
        <f>IF(OR($B252="",$A252&gt;$B$9,E$245=""),"",IF(COUNTIFS(BD!$B$3:$B$5001,E$245,BD!$A$3:$A$5001,"&gt;="&amp;$C$7,BD!$A$3:$A$5001,"&lt;="&amp;$B252,BD!$AA$3:$AA$5001,"&lt;&gt;")=0,"",SUMIFS(BD!$AA$3:$AA$5001,BD!$B$3:$B$5001,E$245,BD!$A$3:$A$5001,_xlfn.MAXIFS(BD!$A$3:$A$5001,BD!$B$3:$B$5001,E$245,BD!$A$3:$A$5001,"&gt;="&amp;$C$7,BD!$A$3:$A$5001,"&lt;="&amp;$B252,BD!$AA$3:$AA$5001,"&lt;&gt;"))))</f>
        <v/>
      </c>
      <c r="F252" s="43" t="str">
        <f>IF(OR($B252="",$A252&gt;$B$9,F$245=""),"",IF(COUNTIFS(BD!$B$3:$B$5001,F$245,BD!$A$3:$A$5001,"&gt;="&amp;$C$7,BD!$A$3:$A$5001,"&lt;="&amp;$B252,BD!$AA$3:$AA$5001,"&lt;&gt;")=0,"",SUMIFS(BD!$AA$3:$AA$5001,BD!$B$3:$B$5001,F$245,BD!$A$3:$A$5001,_xlfn.MAXIFS(BD!$A$3:$A$5001,BD!$B$3:$B$5001,F$245,BD!$A$3:$A$5001,"&gt;="&amp;$C$7,BD!$A$3:$A$5001,"&lt;="&amp;$B252,BD!$AA$3:$AA$5001,"&lt;&gt;"))))</f>
        <v/>
      </c>
      <c r="G252" s="43" t="str">
        <f>IF(OR($B252="",$A252&gt;$B$9,G$245=""),"",IF(COUNTIFS(BD!$B$3:$B$5001,G$245,BD!$A$3:$A$5001,"&gt;="&amp;$C$7,BD!$A$3:$A$5001,"&lt;="&amp;$B252,BD!$AA$3:$AA$5001,"&lt;&gt;")=0,"",SUMIFS(BD!$AA$3:$AA$5001,BD!$B$3:$B$5001,G$245,BD!$A$3:$A$5001,_xlfn.MAXIFS(BD!$A$3:$A$5001,BD!$B$3:$B$5001,G$245,BD!$A$3:$A$5001,"&gt;="&amp;$C$7,BD!$A$3:$A$5001,"&lt;="&amp;$B252,BD!$AA$3:$AA$5001,"&lt;&gt;"))))</f>
        <v/>
      </c>
      <c r="H252" s="43" t="str">
        <f>IF(OR($B252="",$A252&gt;$B$9,H$245=""),"",IF(COUNTIFS(BD!$B$3:$B$5001,H$245,BD!$A$3:$A$5001,"&gt;="&amp;$C$7,BD!$A$3:$A$5001,"&lt;="&amp;$B252,BD!$AA$3:$AA$5001,"&lt;&gt;")=0,"",SUMIFS(BD!$AA$3:$AA$5001,BD!$B$3:$B$5001,H$245,BD!$A$3:$A$5001,_xlfn.MAXIFS(BD!$A$3:$A$5001,BD!$B$3:$B$5001,H$245,BD!$A$3:$A$5001,"&gt;="&amp;$C$7,BD!$A$3:$A$5001,"&lt;="&amp;$B252,BD!$AA$3:$AA$5001,"&lt;&gt;"))))</f>
        <v/>
      </c>
      <c r="I252" s="43" t="str">
        <f>IF(OR($B252="",$A252&gt;$B$9,I$245=""),"",IF(COUNTIFS(BD!$B$3:$B$5001,I$245,BD!$A$3:$A$5001,"&gt;="&amp;$C$7,BD!$A$3:$A$5001,"&lt;="&amp;$B252,BD!$AA$3:$AA$5001,"&lt;&gt;")=0,"",SUMIFS(BD!$AA$3:$AA$5001,BD!$B$3:$B$5001,I$245,BD!$A$3:$A$5001,_xlfn.MAXIFS(BD!$A$3:$A$5001,BD!$B$3:$B$5001,I$245,BD!$A$3:$A$5001,"&gt;="&amp;$C$7,BD!$A$3:$A$5001,"&lt;="&amp;$B252,BD!$AA$3:$AA$5001,"&lt;&gt;"))))</f>
        <v/>
      </c>
      <c r="J252" s="43" t="str">
        <f>IF(OR($B252="",$A252&gt;$B$9,J$245=""),"",IF(COUNTIFS(BD!$B$3:$B$5001,J$245,BD!$A$3:$A$5001,"&gt;="&amp;$C$7,BD!$A$3:$A$5001,"&lt;="&amp;$B252,BD!$AA$3:$AA$5001,"&lt;&gt;")=0,"",SUMIFS(BD!$AA$3:$AA$5001,BD!$B$3:$B$5001,J$245,BD!$A$3:$A$5001,_xlfn.MAXIFS(BD!$A$3:$A$5001,BD!$B$3:$B$5001,J$245,BD!$A$3:$A$5001,"&gt;="&amp;$C$7,BD!$A$3:$A$5001,"&lt;="&amp;$B252,BD!$AA$3:$AA$5001,"&lt;&gt;"))))</f>
        <v/>
      </c>
      <c r="K252" s="43" t="str">
        <f>IF(OR($B252="",$A252&gt;$B$9,K$245=""),"",IF(COUNTIFS(BD!$B$3:$B$5001,K$245,BD!$A$3:$A$5001,"&gt;="&amp;$C$7,BD!$A$3:$A$5001,"&lt;="&amp;$B252,BD!$AA$3:$AA$5001,"&lt;&gt;")=0,"",SUMIFS(BD!$AA$3:$AA$5001,BD!$B$3:$B$5001,K$245,BD!$A$3:$A$5001,_xlfn.MAXIFS(BD!$A$3:$A$5001,BD!$B$3:$B$5001,K$245,BD!$A$3:$A$5001,"&gt;="&amp;$C$7,BD!$A$3:$A$5001,"&lt;="&amp;$B252,BD!$AA$3:$AA$5001,"&lt;&gt;"))))</f>
        <v/>
      </c>
      <c r="L252" s="43" t="str">
        <f>IF(OR($B252="",$A252&gt;$B$9,L$245=""),"",IF(COUNTIFS(BD!$B$3:$B$5001,L$245,BD!$A$3:$A$5001,"&gt;="&amp;$C$7,BD!$A$3:$A$5001,"&lt;="&amp;$B252,BD!$AA$3:$AA$5001,"&lt;&gt;")=0,"",SUMIFS(BD!$AA$3:$AA$5001,BD!$B$3:$B$5001,L$245,BD!$A$3:$A$5001,_xlfn.MAXIFS(BD!$A$3:$A$5001,BD!$B$3:$B$5001,L$245,BD!$A$3:$A$5001,"&gt;="&amp;$C$7,BD!$A$3:$A$5001,"&lt;="&amp;$B252,BD!$AA$3:$AA$5001,"&lt;&gt;"))))</f>
        <v/>
      </c>
      <c r="M252" s="43" t="str">
        <f>IF(OR($B252="",$A252&gt;$B$9,M$245=""),"",IF(COUNTIFS(BD!$B$3:$B$5001,M$245,BD!$A$3:$A$5001,"&gt;="&amp;$C$7,BD!$A$3:$A$5001,"&lt;="&amp;$B252,BD!$AA$3:$AA$5001,"&lt;&gt;")=0,"",SUMIFS(BD!$AA$3:$AA$5001,BD!$B$3:$B$5001,M$245,BD!$A$3:$A$5001,_xlfn.MAXIFS(BD!$A$3:$A$5001,BD!$B$3:$B$5001,M$245,BD!$A$3:$A$5001,"&gt;="&amp;$C$7,BD!$A$3:$A$5001,"&lt;="&amp;$B252,BD!$AA$3:$AA$5001,"&lt;&gt;"))))</f>
        <v/>
      </c>
      <c r="N252" s="43" t="str">
        <f>IF(OR($B252="",$A252&gt;$B$9,N$245=""),"",IF(COUNTIFS(BD!$B$3:$B$5001,N$245,BD!$A$3:$A$5001,"&gt;="&amp;$C$7,BD!$A$3:$A$5001,"&lt;="&amp;$B252,BD!$AA$3:$AA$5001,"&lt;&gt;")=0,"",SUMIFS(BD!$AA$3:$AA$5001,BD!$B$3:$B$5001,N$245,BD!$A$3:$A$5001,_xlfn.MAXIFS(BD!$A$3:$A$5001,BD!$B$3:$B$5001,N$245,BD!$A$3:$A$5001,"&gt;="&amp;$C$7,BD!$A$3:$A$5001,"&lt;="&amp;$B252,BD!$AA$3:$AA$5001,"&lt;&gt;"))))</f>
        <v/>
      </c>
      <c r="O252" s="43" t="str">
        <f>IF(OR($B252="",$A252&gt;$B$9,O$245=""),"",IF(COUNTIFS(BD!$B$3:$B$5001,O$245,BD!$A$3:$A$5001,"&gt;="&amp;$C$7,BD!$A$3:$A$5001,"&lt;="&amp;$B252,BD!$AA$3:$AA$5001,"&lt;&gt;")=0,"",SUMIFS(BD!$AA$3:$AA$5001,BD!$B$3:$B$5001,O$245,BD!$A$3:$A$5001,_xlfn.MAXIFS(BD!$A$3:$A$5001,BD!$B$3:$B$5001,O$245,BD!$A$3:$A$5001,"&gt;="&amp;$C$7,BD!$A$3:$A$5001,"&lt;="&amp;$B252,BD!$AA$3:$AA$5001,"&lt;&gt;"))))</f>
        <v/>
      </c>
      <c r="P252" s="43" t="str">
        <f>IF(OR($B252="",$A252&gt;$B$9,P$245=""),"",IF(COUNTIFS(BD!$B$3:$B$5001,P$245,BD!$A$3:$A$5001,"&gt;="&amp;$C$7,BD!$A$3:$A$5001,"&lt;="&amp;$B252,BD!$AA$3:$AA$5001,"&lt;&gt;")=0,"",SUMIFS(BD!$AA$3:$AA$5001,BD!$B$3:$B$5001,P$245,BD!$A$3:$A$5001,_xlfn.MAXIFS(BD!$A$3:$A$5001,BD!$B$3:$B$5001,P$245,BD!$A$3:$A$5001,"&gt;="&amp;$C$7,BD!$A$3:$A$5001,"&lt;="&amp;$B252,BD!$AA$3:$AA$5001,"&lt;&gt;"))))</f>
        <v/>
      </c>
      <c r="Q252" s="43" t="str">
        <f>IF(OR($B252="",$A252&gt;$B$9,Q$245=""),"",IF(COUNTIFS(BD!$B$3:$B$5001,Q$245,BD!$A$3:$A$5001,"&gt;="&amp;$C$7,BD!$A$3:$A$5001,"&lt;="&amp;$B252,BD!$AA$3:$AA$5001,"&lt;&gt;")=0,"",SUMIFS(BD!$AA$3:$AA$5001,BD!$B$3:$B$5001,Q$245,BD!$A$3:$A$5001,_xlfn.MAXIFS(BD!$A$3:$A$5001,BD!$B$3:$B$5001,Q$245,BD!$A$3:$A$5001,"&gt;="&amp;$C$7,BD!$A$3:$A$5001,"&lt;="&amp;$B252,BD!$AA$3:$AA$5001,"&lt;&gt;"))))</f>
        <v/>
      </c>
      <c r="R252" s="43" t="str">
        <f>IF(OR($B252="",$A252&gt;$B$9,R$245=""),"",IF(COUNTIFS(BD!$B$3:$B$5001,R$245,BD!$A$3:$A$5001,"&gt;="&amp;$C$7,BD!$A$3:$A$5001,"&lt;="&amp;$B252,BD!$AA$3:$AA$5001,"&lt;&gt;")=0,"",SUMIFS(BD!$AA$3:$AA$5001,BD!$B$3:$B$5001,R$245,BD!$A$3:$A$5001,_xlfn.MAXIFS(BD!$A$3:$A$5001,BD!$B$3:$B$5001,R$245,BD!$A$3:$A$5001,"&gt;="&amp;$C$7,BD!$A$3:$A$5001,"&lt;="&amp;$B252,BD!$AA$3:$AA$5001,"&lt;&gt;"))))</f>
        <v/>
      </c>
      <c r="S252" s="43" t="str">
        <f>IF(OR($B252="",$A252&gt;$B$9,S$245=""),"",IF(COUNTIFS(BD!$B$3:$B$5001,S$245,BD!$A$3:$A$5001,"&gt;="&amp;$C$7,BD!$A$3:$A$5001,"&lt;="&amp;$B252,BD!$AA$3:$AA$5001,"&lt;&gt;")=0,"",SUMIFS(BD!$AA$3:$AA$5001,BD!$B$3:$B$5001,S$245,BD!$A$3:$A$5001,_xlfn.MAXIFS(BD!$A$3:$A$5001,BD!$B$3:$B$5001,S$245,BD!$A$3:$A$5001,"&gt;="&amp;$C$7,BD!$A$3:$A$5001,"&lt;="&amp;$B252,BD!$AA$3:$AA$5001,"&lt;&gt;"))))</f>
        <v/>
      </c>
      <c r="T252" s="43" t="str">
        <f>IF(OR($B252="",$A252&gt;$B$9,T$245=""),"",IF(COUNTIFS(BD!$B$3:$B$5001,T$245,BD!$A$3:$A$5001,"&gt;="&amp;$C$7,BD!$A$3:$A$5001,"&lt;="&amp;$B252,BD!$AA$3:$AA$5001,"&lt;&gt;")=0,"",SUMIFS(BD!$AA$3:$AA$5001,BD!$B$3:$B$5001,T$245,BD!$A$3:$A$5001,_xlfn.MAXIFS(BD!$A$3:$A$5001,BD!$B$3:$B$5001,T$245,BD!$A$3:$A$5001,"&gt;="&amp;$C$7,BD!$A$3:$A$5001,"&lt;="&amp;$B252,BD!$AA$3:$AA$5001,"&lt;&gt;"))))</f>
        <v/>
      </c>
      <c r="U252" s="43" t="str">
        <f>IF(OR($B252="",$A252&gt;$B$9,U$245=""),"",IF(COUNTIFS(BD!$B$3:$B$5001,U$245,BD!$A$3:$A$5001,"&gt;="&amp;$C$7,BD!$A$3:$A$5001,"&lt;="&amp;$B252,BD!$AA$3:$AA$5001,"&lt;&gt;")=0,"",SUMIFS(BD!$AA$3:$AA$5001,BD!$B$3:$B$5001,U$245,BD!$A$3:$A$5001,_xlfn.MAXIFS(BD!$A$3:$A$5001,BD!$B$3:$B$5001,U$245,BD!$A$3:$A$5001,"&gt;="&amp;$C$7,BD!$A$3:$A$5001,"&lt;="&amp;$B252,BD!$AA$3:$AA$5001,"&lt;&gt;"))))</f>
        <v/>
      </c>
      <c r="V252" s="43" t="str">
        <f>IF(OR($B252="",$A252&gt;$B$9,V$245=""),"",IF(COUNTIFS(BD!$B$3:$B$5001,V$245,BD!$A$3:$A$5001,"&gt;="&amp;$C$7,BD!$A$3:$A$5001,"&lt;="&amp;$B252,BD!$AA$3:$AA$5001,"&lt;&gt;")=0,"",SUMIFS(BD!$AA$3:$AA$5001,BD!$B$3:$B$5001,V$245,BD!$A$3:$A$5001,_xlfn.MAXIFS(BD!$A$3:$A$5001,BD!$B$3:$B$5001,V$245,BD!$A$3:$A$5001,"&gt;="&amp;$C$7,BD!$A$3:$A$5001,"&lt;="&amp;$B252,BD!$AA$3:$AA$5001,"&lt;&gt;"))))</f>
        <v/>
      </c>
    </row>
    <row r="253">
      <c r="A253" s="38">
        <v>8</v>
      </c>
      <c r="B253" s="42">
        <f>$B$19</f>
        <v>46303</v>
      </c>
      <c r="C253" s="43" t="str">
        <f>IF(OR($B253="",$A253&gt;$B$9,C$245=""),"",IF(COUNTIFS(BD!$B$3:$B$5001,C$245,BD!$A$3:$A$5001,"&gt;="&amp;$C$7,BD!$A$3:$A$5001,"&lt;="&amp;$B253,BD!$AA$3:$AA$5001,"&lt;&gt;")=0,"",SUMIFS(BD!$AA$3:$AA$5001,BD!$B$3:$B$5001,C$245,BD!$A$3:$A$5001,_xlfn.MAXIFS(BD!$A$3:$A$5001,BD!$B$3:$B$5001,C$245,BD!$A$3:$A$5001,"&gt;="&amp;$C$7,BD!$A$3:$A$5001,"&lt;="&amp;$B253,BD!$AA$3:$AA$5001,"&lt;&gt;"))))</f>
        <v/>
      </c>
      <c r="D253" s="43" t="str">
        <f>IF(OR($B253="",$A253&gt;$B$9,D$245=""),"",IF(COUNTIFS(BD!$B$3:$B$5001,D$245,BD!$A$3:$A$5001,"&gt;="&amp;$C$7,BD!$A$3:$A$5001,"&lt;="&amp;$B253,BD!$AA$3:$AA$5001,"&lt;&gt;")=0,"",SUMIFS(BD!$AA$3:$AA$5001,BD!$B$3:$B$5001,D$245,BD!$A$3:$A$5001,_xlfn.MAXIFS(BD!$A$3:$A$5001,BD!$B$3:$B$5001,D$245,BD!$A$3:$A$5001,"&gt;="&amp;$C$7,BD!$A$3:$A$5001,"&lt;="&amp;$B253,BD!$AA$3:$AA$5001,"&lt;&gt;"))))</f>
        <v/>
      </c>
      <c r="E253" s="43" t="str">
        <f>IF(OR($B253="",$A253&gt;$B$9,E$245=""),"",IF(COUNTIFS(BD!$B$3:$B$5001,E$245,BD!$A$3:$A$5001,"&gt;="&amp;$C$7,BD!$A$3:$A$5001,"&lt;="&amp;$B253,BD!$AA$3:$AA$5001,"&lt;&gt;")=0,"",SUMIFS(BD!$AA$3:$AA$5001,BD!$B$3:$B$5001,E$245,BD!$A$3:$A$5001,_xlfn.MAXIFS(BD!$A$3:$A$5001,BD!$B$3:$B$5001,E$245,BD!$A$3:$A$5001,"&gt;="&amp;$C$7,BD!$A$3:$A$5001,"&lt;="&amp;$B253,BD!$AA$3:$AA$5001,"&lt;&gt;"))))</f>
        <v/>
      </c>
      <c r="F253" s="43" t="str">
        <f>IF(OR($B253="",$A253&gt;$B$9,F$245=""),"",IF(COUNTIFS(BD!$B$3:$B$5001,F$245,BD!$A$3:$A$5001,"&gt;="&amp;$C$7,BD!$A$3:$A$5001,"&lt;="&amp;$B253,BD!$AA$3:$AA$5001,"&lt;&gt;")=0,"",SUMIFS(BD!$AA$3:$AA$5001,BD!$B$3:$B$5001,F$245,BD!$A$3:$A$5001,_xlfn.MAXIFS(BD!$A$3:$A$5001,BD!$B$3:$B$5001,F$245,BD!$A$3:$A$5001,"&gt;="&amp;$C$7,BD!$A$3:$A$5001,"&lt;="&amp;$B253,BD!$AA$3:$AA$5001,"&lt;&gt;"))))</f>
        <v/>
      </c>
      <c r="G253" s="43" t="str">
        <f>IF(OR($B253="",$A253&gt;$B$9,G$245=""),"",IF(COUNTIFS(BD!$B$3:$B$5001,G$245,BD!$A$3:$A$5001,"&gt;="&amp;$C$7,BD!$A$3:$A$5001,"&lt;="&amp;$B253,BD!$AA$3:$AA$5001,"&lt;&gt;")=0,"",SUMIFS(BD!$AA$3:$AA$5001,BD!$B$3:$B$5001,G$245,BD!$A$3:$A$5001,_xlfn.MAXIFS(BD!$A$3:$A$5001,BD!$B$3:$B$5001,G$245,BD!$A$3:$A$5001,"&gt;="&amp;$C$7,BD!$A$3:$A$5001,"&lt;="&amp;$B253,BD!$AA$3:$AA$5001,"&lt;&gt;"))))</f>
        <v/>
      </c>
      <c r="H253" s="43" t="str">
        <f>IF(OR($B253="",$A253&gt;$B$9,H$245=""),"",IF(COUNTIFS(BD!$B$3:$B$5001,H$245,BD!$A$3:$A$5001,"&gt;="&amp;$C$7,BD!$A$3:$A$5001,"&lt;="&amp;$B253,BD!$AA$3:$AA$5001,"&lt;&gt;")=0,"",SUMIFS(BD!$AA$3:$AA$5001,BD!$B$3:$B$5001,H$245,BD!$A$3:$A$5001,_xlfn.MAXIFS(BD!$A$3:$A$5001,BD!$B$3:$B$5001,H$245,BD!$A$3:$A$5001,"&gt;="&amp;$C$7,BD!$A$3:$A$5001,"&lt;="&amp;$B253,BD!$AA$3:$AA$5001,"&lt;&gt;"))))</f>
        <v/>
      </c>
      <c r="I253" s="43" t="str">
        <f>IF(OR($B253="",$A253&gt;$B$9,I$245=""),"",IF(COUNTIFS(BD!$B$3:$B$5001,I$245,BD!$A$3:$A$5001,"&gt;="&amp;$C$7,BD!$A$3:$A$5001,"&lt;="&amp;$B253,BD!$AA$3:$AA$5001,"&lt;&gt;")=0,"",SUMIFS(BD!$AA$3:$AA$5001,BD!$B$3:$B$5001,I$245,BD!$A$3:$A$5001,_xlfn.MAXIFS(BD!$A$3:$A$5001,BD!$B$3:$B$5001,I$245,BD!$A$3:$A$5001,"&gt;="&amp;$C$7,BD!$A$3:$A$5001,"&lt;="&amp;$B253,BD!$AA$3:$AA$5001,"&lt;&gt;"))))</f>
        <v/>
      </c>
      <c r="J253" s="43" t="str">
        <f>IF(OR($B253="",$A253&gt;$B$9,J$245=""),"",IF(COUNTIFS(BD!$B$3:$B$5001,J$245,BD!$A$3:$A$5001,"&gt;="&amp;$C$7,BD!$A$3:$A$5001,"&lt;="&amp;$B253,BD!$AA$3:$AA$5001,"&lt;&gt;")=0,"",SUMIFS(BD!$AA$3:$AA$5001,BD!$B$3:$B$5001,J$245,BD!$A$3:$A$5001,_xlfn.MAXIFS(BD!$A$3:$A$5001,BD!$B$3:$B$5001,J$245,BD!$A$3:$A$5001,"&gt;="&amp;$C$7,BD!$A$3:$A$5001,"&lt;="&amp;$B253,BD!$AA$3:$AA$5001,"&lt;&gt;"))))</f>
        <v/>
      </c>
      <c r="K253" s="43" t="str">
        <f>IF(OR($B253="",$A253&gt;$B$9,K$245=""),"",IF(COUNTIFS(BD!$B$3:$B$5001,K$245,BD!$A$3:$A$5001,"&gt;="&amp;$C$7,BD!$A$3:$A$5001,"&lt;="&amp;$B253,BD!$AA$3:$AA$5001,"&lt;&gt;")=0,"",SUMIFS(BD!$AA$3:$AA$5001,BD!$B$3:$B$5001,K$245,BD!$A$3:$A$5001,_xlfn.MAXIFS(BD!$A$3:$A$5001,BD!$B$3:$B$5001,K$245,BD!$A$3:$A$5001,"&gt;="&amp;$C$7,BD!$A$3:$A$5001,"&lt;="&amp;$B253,BD!$AA$3:$AA$5001,"&lt;&gt;"))))</f>
        <v/>
      </c>
      <c r="L253" s="43" t="str">
        <f>IF(OR($B253="",$A253&gt;$B$9,L$245=""),"",IF(COUNTIFS(BD!$B$3:$B$5001,L$245,BD!$A$3:$A$5001,"&gt;="&amp;$C$7,BD!$A$3:$A$5001,"&lt;="&amp;$B253,BD!$AA$3:$AA$5001,"&lt;&gt;")=0,"",SUMIFS(BD!$AA$3:$AA$5001,BD!$B$3:$B$5001,L$245,BD!$A$3:$A$5001,_xlfn.MAXIFS(BD!$A$3:$A$5001,BD!$B$3:$B$5001,L$245,BD!$A$3:$A$5001,"&gt;="&amp;$C$7,BD!$A$3:$A$5001,"&lt;="&amp;$B253,BD!$AA$3:$AA$5001,"&lt;&gt;"))))</f>
        <v/>
      </c>
      <c r="M253" s="43" t="str">
        <f>IF(OR($B253="",$A253&gt;$B$9,M$245=""),"",IF(COUNTIFS(BD!$B$3:$B$5001,M$245,BD!$A$3:$A$5001,"&gt;="&amp;$C$7,BD!$A$3:$A$5001,"&lt;="&amp;$B253,BD!$AA$3:$AA$5001,"&lt;&gt;")=0,"",SUMIFS(BD!$AA$3:$AA$5001,BD!$B$3:$B$5001,M$245,BD!$A$3:$A$5001,_xlfn.MAXIFS(BD!$A$3:$A$5001,BD!$B$3:$B$5001,M$245,BD!$A$3:$A$5001,"&gt;="&amp;$C$7,BD!$A$3:$A$5001,"&lt;="&amp;$B253,BD!$AA$3:$AA$5001,"&lt;&gt;"))))</f>
        <v/>
      </c>
      <c r="N253" s="43" t="str">
        <f>IF(OR($B253="",$A253&gt;$B$9,N$245=""),"",IF(COUNTIFS(BD!$B$3:$B$5001,N$245,BD!$A$3:$A$5001,"&gt;="&amp;$C$7,BD!$A$3:$A$5001,"&lt;="&amp;$B253,BD!$AA$3:$AA$5001,"&lt;&gt;")=0,"",SUMIFS(BD!$AA$3:$AA$5001,BD!$B$3:$B$5001,N$245,BD!$A$3:$A$5001,_xlfn.MAXIFS(BD!$A$3:$A$5001,BD!$B$3:$B$5001,N$245,BD!$A$3:$A$5001,"&gt;="&amp;$C$7,BD!$A$3:$A$5001,"&lt;="&amp;$B253,BD!$AA$3:$AA$5001,"&lt;&gt;"))))</f>
        <v/>
      </c>
      <c r="O253" s="43" t="str">
        <f>IF(OR($B253="",$A253&gt;$B$9,O$245=""),"",IF(COUNTIFS(BD!$B$3:$B$5001,O$245,BD!$A$3:$A$5001,"&gt;="&amp;$C$7,BD!$A$3:$A$5001,"&lt;="&amp;$B253,BD!$AA$3:$AA$5001,"&lt;&gt;")=0,"",SUMIFS(BD!$AA$3:$AA$5001,BD!$B$3:$B$5001,O$245,BD!$A$3:$A$5001,_xlfn.MAXIFS(BD!$A$3:$A$5001,BD!$B$3:$B$5001,O$245,BD!$A$3:$A$5001,"&gt;="&amp;$C$7,BD!$A$3:$A$5001,"&lt;="&amp;$B253,BD!$AA$3:$AA$5001,"&lt;&gt;"))))</f>
        <v/>
      </c>
      <c r="P253" s="43" t="str">
        <f>IF(OR($B253="",$A253&gt;$B$9,P$245=""),"",IF(COUNTIFS(BD!$B$3:$B$5001,P$245,BD!$A$3:$A$5001,"&gt;="&amp;$C$7,BD!$A$3:$A$5001,"&lt;="&amp;$B253,BD!$AA$3:$AA$5001,"&lt;&gt;")=0,"",SUMIFS(BD!$AA$3:$AA$5001,BD!$B$3:$B$5001,P$245,BD!$A$3:$A$5001,_xlfn.MAXIFS(BD!$A$3:$A$5001,BD!$B$3:$B$5001,P$245,BD!$A$3:$A$5001,"&gt;="&amp;$C$7,BD!$A$3:$A$5001,"&lt;="&amp;$B253,BD!$AA$3:$AA$5001,"&lt;&gt;"))))</f>
        <v/>
      </c>
      <c r="Q253" s="43" t="str">
        <f>IF(OR($B253="",$A253&gt;$B$9,Q$245=""),"",IF(COUNTIFS(BD!$B$3:$B$5001,Q$245,BD!$A$3:$A$5001,"&gt;="&amp;$C$7,BD!$A$3:$A$5001,"&lt;="&amp;$B253,BD!$AA$3:$AA$5001,"&lt;&gt;")=0,"",SUMIFS(BD!$AA$3:$AA$5001,BD!$B$3:$B$5001,Q$245,BD!$A$3:$A$5001,_xlfn.MAXIFS(BD!$A$3:$A$5001,BD!$B$3:$B$5001,Q$245,BD!$A$3:$A$5001,"&gt;="&amp;$C$7,BD!$A$3:$A$5001,"&lt;="&amp;$B253,BD!$AA$3:$AA$5001,"&lt;&gt;"))))</f>
        <v/>
      </c>
      <c r="R253" s="43" t="str">
        <f>IF(OR($B253="",$A253&gt;$B$9,R$245=""),"",IF(COUNTIFS(BD!$B$3:$B$5001,R$245,BD!$A$3:$A$5001,"&gt;="&amp;$C$7,BD!$A$3:$A$5001,"&lt;="&amp;$B253,BD!$AA$3:$AA$5001,"&lt;&gt;")=0,"",SUMIFS(BD!$AA$3:$AA$5001,BD!$B$3:$B$5001,R$245,BD!$A$3:$A$5001,_xlfn.MAXIFS(BD!$A$3:$A$5001,BD!$B$3:$B$5001,R$245,BD!$A$3:$A$5001,"&gt;="&amp;$C$7,BD!$A$3:$A$5001,"&lt;="&amp;$B253,BD!$AA$3:$AA$5001,"&lt;&gt;"))))</f>
        <v/>
      </c>
      <c r="S253" s="43" t="str">
        <f>IF(OR($B253="",$A253&gt;$B$9,S$245=""),"",IF(COUNTIFS(BD!$B$3:$B$5001,S$245,BD!$A$3:$A$5001,"&gt;="&amp;$C$7,BD!$A$3:$A$5001,"&lt;="&amp;$B253,BD!$AA$3:$AA$5001,"&lt;&gt;")=0,"",SUMIFS(BD!$AA$3:$AA$5001,BD!$B$3:$B$5001,S$245,BD!$A$3:$A$5001,_xlfn.MAXIFS(BD!$A$3:$A$5001,BD!$B$3:$B$5001,S$245,BD!$A$3:$A$5001,"&gt;="&amp;$C$7,BD!$A$3:$A$5001,"&lt;="&amp;$B253,BD!$AA$3:$AA$5001,"&lt;&gt;"))))</f>
        <v/>
      </c>
      <c r="T253" s="43" t="str">
        <f>IF(OR($B253="",$A253&gt;$B$9,T$245=""),"",IF(COUNTIFS(BD!$B$3:$B$5001,T$245,BD!$A$3:$A$5001,"&gt;="&amp;$C$7,BD!$A$3:$A$5001,"&lt;="&amp;$B253,BD!$AA$3:$AA$5001,"&lt;&gt;")=0,"",SUMIFS(BD!$AA$3:$AA$5001,BD!$B$3:$B$5001,T$245,BD!$A$3:$A$5001,_xlfn.MAXIFS(BD!$A$3:$A$5001,BD!$B$3:$B$5001,T$245,BD!$A$3:$A$5001,"&gt;="&amp;$C$7,BD!$A$3:$A$5001,"&lt;="&amp;$B253,BD!$AA$3:$AA$5001,"&lt;&gt;"))))</f>
        <v/>
      </c>
      <c r="U253" s="43" t="str">
        <f>IF(OR($B253="",$A253&gt;$B$9,U$245=""),"",IF(COUNTIFS(BD!$B$3:$B$5001,U$245,BD!$A$3:$A$5001,"&gt;="&amp;$C$7,BD!$A$3:$A$5001,"&lt;="&amp;$B253,BD!$AA$3:$AA$5001,"&lt;&gt;")=0,"",SUMIFS(BD!$AA$3:$AA$5001,BD!$B$3:$B$5001,U$245,BD!$A$3:$A$5001,_xlfn.MAXIFS(BD!$A$3:$A$5001,BD!$B$3:$B$5001,U$245,BD!$A$3:$A$5001,"&gt;="&amp;$C$7,BD!$A$3:$A$5001,"&lt;="&amp;$B253,BD!$AA$3:$AA$5001,"&lt;&gt;"))))</f>
        <v/>
      </c>
      <c r="V253" s="43" t="str">
        <f>IF(OR($B253="",$A253&gt;$B$9,V$245=""),"",IF(COUNTIFS(BD!$B$3:$B$5001,V$245,BD!$A$3:$A$5001,"&gt;="&amp;$C$7,BD!$A$3:$A$5001,"&lt;="&amp;$B253,BD!$AA$3:$AA$5001,"&lt;&gt;")=0,"",SUMIFS(BD!$AA$3:$AA$5001,BD!$B$3:$B$5001,V$245,BD!$A$3:$A$5001,_xlfn.MAXIFS(BD!$A$3:$A$5001,BD!$B$3:$B$5001,V$245,BD!$A$3:$A$5001,"&gt;="&amp;$C$7,BD!$A$3:$A$5001,"&lt;="&amp;$B253,BD!$AA$3:$AA$5001,"&lt;&gt;"))))</f>
        <v/>
      </c>
    </row>
    <row r="254">
      <c r="A254" s="38">
        <v>9</v>
      </c>
      <c r="B254" s="42">
        <f>$B$20</f>
        <v>46304</v>
      </c>
      <c r="C254" s="43" t="str">
        <f>IF(OR($B254="",$A254&gt;$B$9,C$245=""),"",IF(COUNTIFS(BD!$B$3:$B$5001,C$245,BD!$A$3:$A$5001,"&gt;="&amp;$C$7,BD!$A$3:$A$5001,"&lt;="&amp;$B254,BD!$AA$3:$AA$5001,"&lt;&gt;")=0,"",SUMIFS(BD!$AA$3:$AA$5001,BD!$B$3:$B$5001,C$245,BD!$A$3:$A$5001,_xlfn.MAXIFS(BD!$A$3:$A$5001,BD!$B$3:$B$5001,C$245,BD!$A$3:$A$5001,"&gt;="&amp;$C$7,BD!$A$3:$A$5001,"&lt;="&amp;$B254,BD!$AA$3:$AA$5001,"&lt;&gt;"))))</f>
        <v/>
      </c>
      <c r="D254" s="43" t="str">
        <f>IF(OR($B254="",$A254&gt;$B$9,D$245=""),"",IF(COUNTIFS(BD!$B$3:$B$5001,D$245,BD!$A$3:$A$5001,"&gt;="&amp;$C$7,BD!$A$3:$A$5001,"&lt;="&amp;$B254,BD!$AA$3:$AA$5001,"&lt;&gt;")=0,"",SUMIFS(BD!$AA$3:$AA$5001,BD!$B$3:$B$5001,D$245,BD!$A$3:$A$5001,_xlfn.MAXIFS(BD!$A$3:$A$5001,BD!$B$3:$B$5001,D$245,BD!$A$3:$A$5001,"&gt;="&amp;$C$7,BD!$A$3:$A$5001,"&lt;="&amp;$B254,BD!$AA$3:$AA$5001,"&lt;&gt;"))))</f>
        <v/>
      </c>
      <c r="E254" s="43" t="str">
        <f>IF(OR($B254="",$A254&gt;$B$9,E$245=""),"",IF(COUNTIFS(BD!$B$3:$B$5001,E$245,BD!$A$3:$A$5001,"&gt;="&amp;$C$7,BD!$A$3:$A$5001,"&lt;="&amp;$B254,BD!$AA$3:$AA$5001,"&lt;&gt;")=0,"",SUMIFS(BD!$AA$3:$AA$5001,BD!$B$3:$B$5001,E$245,BD!$A$3:$A$5001,_xlfn.MAXIFS(BD!$A$3:$A$5001,BD!$B$3:$B$5001,E$245,BD!$A$3:$A$5001,"&gt;="&amp;$C$7,BD!$A$3:$A$5001,"&lt;="&amp;$B254,BD!$AA$3:$AA$5001,"&lt;&gt;"))))</f>
        <v/>
      </c>
      <c r="F254" s="43" t="str">
        <f>IF(OR($B254="",$A254&gt;$B$9,F$245=""),"",IF(COUNTIFS(BD!$B$3:$B$5001,F$245,BD!$A$3:$A$5001,"&gt;="&amp;$C$7,BD!$A$3:$A$5001,"&lt;="&amp;$B254,BD!$AA$3:$AA$5001,"&lt;&gt;")=0,"",SUMIFS(BD!$AA$3:$AA$5001,BD!$B$3:$B$5001,F$245,BD!$A$3:$A$5001,_xlfn.MAXIFS(BD!$A$3:$A$5001,BD!$B$3:$B$5001,F$245,BD!$A$3:$A$5001,"&gt;="&amp;$C$7,BD!$A$3:$A$5001,"&lt;="&amp;$B254,BD!$AA$3:$AA$5001,"&lt;&gt;"))))</f>
        <v/>
      </c>
      <c r="G254" s="43" t="str">
        <f>IF(OR($B254="",$A254&gt;$B$9,G$245=""),"",IF(COUNTIFS(BD!$B$3:$B$5001,G$245,BD!$A$3:$A$5001,"&gt;="&amp;$C$7,BD!$A$3:$A$5001,"&lt;="&amp;$B254,BD!$AA$3:$AA$5001,"&lt;&gt;")=0,"",SUMIFS(BD!$AA$3:$AA$5001,BD!$B$3:$B$5001,G$245,BD!$A$3:$A$5001,_xlfn.MAXIFS(BD!$A$3:$A$5001,BD!$B$3:$B$5001,G$245,BD!$A$3:$A$5001,"&gt;="&amp;$C$7,BD!$A$3:$A$5001,"&lt;="&amp;$B254,BD!$AA$3:$AA$5001,"&lt;&gt;"))))</f>
        <v/>
      </c>
      <c r="H254" s="43" t="str">
        <f>IF(OR($B254="",$A254&gt;$B$9,H$245=""),"",IF(COUNTIFS(BD!$B$3:$B$5001,H$245,BD!$A$3:$A$5001,"&gt;="&amp;$C$7,BD!$A$3:$A$5001,"&lt;="&amp;$B254,BD!$AA$3:$AA$5001,"&lt;&gt;")=0,"",SUMIFS(BD!$AA$3:$AA$5001,BD!$B$3:$B$5001,H$245,BD!$A$3:$A$5001,_xlfn.MAXIFS(BD!$A$3:$A$5001,BD!$B$3:$B$5001,H$245,BD!$A$3:$A$5001,"&gt;="&amp;$C$7,BD!$A$3:$A$5001,"&lt;="&amp;$B254,BD!$AA$3:$AA$5001,"&lt;&gt;"))))</f>
        <v/>
      </c>
      <c r="I254" s="43" t="str">
        <f>IF(OR($B254="",$A254&gt;$B$9,I$245=""),"",IF(COUNTIFS(BD!$B$3:$B$5001,I$245,BD!$A$3:$A$5001,"&gt;="&amp;$C$7,BD!$A$3:$A$5001,"&lt;="&amp;$B254,BD!$AA$3:$AA$5001,"&lt;&gt;")=0,"",SUMIFS(BD!$AA$3:$AA$5001,BD!$B$3:$B$5001,I$245,BD!$A$3:$A$5001,_xlfn.MAXIFS(BD!$A$3:$A$5001,BD!$B$3:$B$5001,I$245,BD!$A$3:$A$5001,"&gt;="&amp;$C$7,BD!$A$3:$A$5001,"&lt;="&amp;$B254,BD!$AA$3:$AA$5001,"&lt;&gt;"))))</f>
        <v/>
      </c>
      <c r="J254" s="43" t="str">
        <f>IF(OR($B254="",$A254&gt;$B$9,J$245=""),"",IF(COUNTIFS(BD!$B$3:$B$5001,J$245,BD!$A$3:$A$5001,"&gt;="&amp;$C$7,BD!$A$3:$A$5001,"&lt;="&amp;$B254,BD!$AA$3:$AA$5001,"&lt;&gt;")=0,"",SUMIFS(BD!$AA$3:$AA$5001,BD!$B$3:$B$5001,J$245,BD!$A$3:$A$5001,_xlfn.MAXIFS(BD!$A$3:$A$5001,BD!$B$3:$B$5001,J$245,BD!$A$3:$A$5001,"&gt;="&amp;$C$7,BD!$A$3:$A$5001,"&lt;="&amp;$B254,BD!$AA$3:$AA$5001,"&lt;&gt;"))))</f>
        <v/>
      </c>
      <c r="K254" s="43" t="str">
        <f>IF(OR($B254="",$A254&gt;$B$9,K$245=""),"",IF(COUNTIFS(BD!$B$3:$B$5001,K$245,BD!$A$3:$A$5001,"&gt;="&amp;$C$7,BD!$A$3:$A$5001,"&lt;="&amp;$B254,BD!$AA$3:$AA$5001,"&lt;&gt;")=0,"",SUMIFS(BD!$AA$3:$AA$5001,BD!$B$3:$B$5001,K$245,BD!$A$3:$A$5001,_xlfn.MAXIFS(BD!$A$3:$A$5001,BD!$B$3:$B$5001,K$245,BD!$A$3:$A$5001,"&gt;="&amp;$C$7,BD!$A$3:$A$5001,"&lt;="&amp;$B254,BD!$AA$3:$AA$5001,"&lt;&gt;"))))</f>
        <v/>
      </c>
      <c r="L254" s="43" t="str">
        <f>IF(OR($B254="",$A254&gt;$B$9,L$245=""),"",IF(COUNTIFS(BD!$B$3:$B$5001,L$245,BD!$A$3:$A$5001,"&gt;="&amp;$C$7,BD!$A$3:$A$5001,"&lt;="&amp;$B254,BD!$AA$3:$AA$5001,"&lt;&gt;")=0,"",SUMIFS(BD!$AA$3:$AA$5001,BD!$B$3:$B$5001,L$245,BD!$A$3:$A$5001,_xlfn.MAXIFS(BD!$A$3:$A$5001,BD!$B$3:$B$5001,L$245,BD!$A$3:$A$5001,"&gt;="&amp;$C$7,BD!$A$3:$A$5001,"&lt;="&amp;$B254,BD!$AA$3:$AA$5001,"&lt;&gt;"))))</f>
        <v/>
      </c>
      <c r="M254" s="43" t="str">
        <f>IF(OR($B254="",$A254&gt;$B$9,M$245=""),"",IF(COUNTIFS(BD!$B$3:$B$5001,M$245,BD!$A$3:$A$5001,"&gt;="&amp;$C$7,BD!$A$3:$A$5001,"&lt;="&amp;$B254,BD!$AA$3:$AA$5001,"&lt;&gt;")=0,"",SUMIFS(BD!$AA$3:$AA$5001,BD!$B$3:$B$5001,M$245,BD!$A$3:$A$5001,_xlfn.MAXIFS(BD!$A$3:$A$5001,BD!$B$3:$B$5001,M$245,BD!$A$3:$A$5001,"&gt;="&amp;$C$7,BD!$A$3:$A$5001,"&lt;="&amp;$B254,BD!$AA$3:$AA$5001,"&lt;&gt;"))))</f>
        <v/>
      </c>
      <c r="N254" s="43" t="str">
        <f>IF(OR($B254="",$A254&gt;$B$9,N$245=""),"",IF(COUNTIFS(BD!$B$3:$B$5001,N$245,BD!$A$3:$A$5001,"&gt;="&amp;$C$7,BD!$A$3:$A$5001,"&lt;="&amp;$B254,BD!$AA$3:$AA$5001,"&lt;&gt;")=0,"",SUMIFS(BD!$AA$3:$AA$5001,BD!$B$3:$B$5001,N$245,BD!$A$3:$A$5001,_xlfn.MAXIFS(BD!$A$3:$A$5001,BD!$B$3:$B$5001,N$245,BD!$A$3:$A$5001,"&gt;="&amp;$C$7,BD!$A$3:$A$5001,"&lt;="&amp;$B254,BD!$AA$3:$AA$5001,"&lt;&gt;"))))</f>
        <v/>
      </c>
      <c r="O254" s="43" t="str">
        <f>IF(OR($B254="",$A254&gt;$B$9,O$245=""),"",IF(COUNTIFS(BD!$B$3:$B$5001,O$245,BD!$A$3:$A$5001,"&gt;="&amp;$C$7,BD!$A$3:$A$5001,"&lt;="&amp;$B254,BD!$AA$3:$AA$5001,"&lt;&gt;")=0,"",SUMIFS(BD!$AA$3:$AA$5001,BD!$B$3:$B$5001,O$245,BD!$A$3:$A$5001,_xlfn.MAXIFS(BD!$A$3:$A$5001,BD!$B$3:$B$5001,O$245,BD!$A$3:$A$5001,"&gt;="&amp;$C$7,BD!$A$3:$A$5001,"&lt;="&amp;$B254,BD!$AA$3:$AA$5001,"&lt;&gt;"))))</f>
        <v/>
      </c>
      <c r="P254" s="43" t="str">
        <f>IF(OR($B254="",$A254&gt;$B$9,P$245=""),"",IF(COUNTIFS(BD!$B$3:$B$5001,P$245,BD!$A$3:$A$5001,"&gt;="&amp;$C$7,BD!$A$3:$A$5001,"&lt;="&amp;$B254,BD!$AA$3:$AA$5001,"&lt;&gt;")=0,"",SUMIFS(BD!$AA$3:$AA$5001,BD!$B$3:$B$5001,P$245,BD!$A$3:$A$5001,_xlfn.MAXIFS(BD!$A$3:$A$5001,BD!$B$3:$B$5001,P$245,BD!$A$3:$A$5001,"&gt;="&amp;$C$7,BD!$A$3:$A$5001,"&lt;="&amp;$B254,BD!$AA$3:$AA$5001,"&lt;&gt;"))))</f>
        <v/>
      </c>
      <c r="Q254" s="43" t="str">
        <f>IF(OR($B254="",$A254&gt;$B$9,Q$245=""),"",IF(COUNTIFS(BD!$B$3:$B$5001,Q$245,BD!$A$3:$A$5001,"&gt;="&amp;$C$7,BD!$A$3:$A$5001,"&lt;="&amp;$B254,BD!$AA$3:$AA$5001,"&lt;&gt;")=0,"",SUMIFS(BD!$AA$3:$AA$5001,BD!$B$3:$B$5001,Q$245,BD!$A$3:$A$5001,_xlfn.MAXIFS(BD!$A$3:$A$5001,BD!$B$3:$B$5001,Q$245,BD!$A$3:$A$5001,"&gt;="&amp;$C$7,BD!$A$3:$A$5001,"&lt;="&amp;$B254,BD!$AA$3:$AA$5001,"&lt;&gt;"))))</f>
        <v/>
      </c>
      <c r="R254" s="43" t="str">
        <f>IF(OR($B254="",$A254&gt;$B$9,R$245=""),"",IF(COUNTIFS(BD!$B$3:$B$5001,R$245,BD!$A$3:$A$5001,"&gt;="&amp;$C$7,BD!$A$3:$A$5001,"&lt;="&amp;$B254,BD!$AA$3:$AA$5001,"&lt;&gt;")=0,"",SUMIFS(BD!$AA$3:$AA$5001,BD!$B$3:$B$5001,R$245,BD!$A$3:$A$5001,_xlfn.MAXIFS(BD!$A$3:$A$5001,BD!$B$3:$B$5001,R$245,BD!$A$3:$A$5001,"&gt;="&amp;$C$7,BD!$A$3:$A$5001,"&lt;="&amp;$B254,BD!$AA$3:$AA$5001,"&lt;&gt;"))))</f>
        <v/>
      </c>
      <c r="S254" s="43" t="str">
        <f>IF(OR($B254="",$A254&gt;$B$9,S$245=""),"",IF(COUNTIFS(BD!$B$3:$B$5001,S$245,BD!$A$3:$A$5001,"&gt;="&amp;$C$7,BD!$A$3:$A$5001,"&lt;="&amp;$B254,BD!$AA$3:$AA$5001,"&lt;&gt;")=0,"",SUMIFS(BD!$AA$3:$AA$5001,BD!$B$3:$B$5001,S$245,BD!$A$3:$A$5001,_xlfn.MAXIFS(BD!$A$3:$A$5001,BD!$B$3:$B$5001,S$245,BD!$A$3:$A$5001,"&gt;="&amp;$C$7,BD!$A$3:$A$5001,"&lt;="&amp;$B254,BD!$AA$3:$AA$5001,"&lt;&gt;"))))</f>
        <v/>
      </c>
      <c r="T254" s="43" t="str">
        <f>IF(OR($B254="",$A254&gt;$B$9,T$245=""),"",IF(COUNTIFS(BD!$B$3:$B$5001,T$245,BD!$A$3:$A$5001,"&gt;="&amp;$C$7,BD!$A$3:$A$5001,"&lt;="&amp;$B254,BD!$AA$3:$AA$5001,"&lt;&gt;")=0,"",SUMIFS(BD!$AA$3:$AA$5001,BD!$B$3:$B$5001,T$245,BD!$A$3:$A$5001,_xlfn.MAXIFS(BD!$A$3:$A$5001,BD!$B$3:$B$5001,T$245,BD!$A$3:$A$5001,"&gt;="&amp;$C$7,BD!$A$3:$A$5001,"&lt;="&amp;$B254,BD!$AA$3:$AA$5001,"&lt;&gt;"))))</f>
        <v/>
      </c>
      <c r="U254" s="43" t="str">
        <f>IF(OR($B254="",$A254&gt;$B$9,U$245=""),"",IF(COUNTIFS(BD!$B$3:$B$5001,U$245,BD!$A$3:$A$5001,"&gt;="&amp;$C$7,BD!$A$3:$A$5001,"&lt;="&amp;$B254,BD!$AA$3:$AA$5001,"&lt;&gt;")=0,"",SUMIFS(BD!$AA$3:$AA$5001,BD!$B$3:$B$5001,U$245,BD!$A$3:$A$5001,_xlfn.MAXIFS(BD!$A$3:$A$5001,BD!$B$3:$B$5001,U$245,BD!$A$3:$A$5001,"&gt;="&amp;$C$7,BD!$A$3:$A$5001,"&lt;="&amp;$B254,BD!$AA$3:$AA$5001,"&lt;&gt;"))))</f>
        <v/>
      </c>
      <c r="V254" s="43" t="str">
        <f>IF(OR($B254="",$A254&gt;$B$9,V$245=""),"",IF(COUNTIFS(BD!$B$3:$B$5001,V$245,BD!$A$3:$A$5001,"&gt;="&amp;$C$7,BD!$A$3:$A$5001,"&lt;="&amp;$B254,BD!$AA$3:$AA$5001,"&lt;&gt;")=0,"",SUMIFS(BD!$AA$3:$AA$5001,BD!$B$3:$B$5001,V$245,BD!$A$3:$A$5001,_xlfn.MAXIFS(BD!$A$3:$A$5001,BD!$B$3:$B$5001,V$245,BD!$A$3:$A$5001,"&gt;="&amp;$C$7,BD!$A$3:$A$5001,"&lt;="&amp;$B254,BD!$AA$3:$AA$5001,"&lt;&gt;"))))</f>
        <v/>
      </c>
    </row>
    <row r="255">
      <c r="A255" s="38">
        <v>10</v>
      </c>
      <c r="B255" s="42">
        <f>$B$21</f>
        <v>46305</v>
      </c>
      <c r="C255" s="43" t="str">
        <f>IF(OR($B255="",$A255&gt;$B$9,C$245=""),"",IF(COUNTIFS(BD!$B$3:$B$5001,C$245,BD!$A$3:$A$5001,"&gt;="&amp;$C$7,BD!$A$3:$A$5001,"&lt;="&amp;$B255,BD!$AA$3:$AA$5001,"&lt;&gt;")=0,"",SUMIFS(BD!$AA$3:$AA$5001,BD!$B$3:$B$5001,C$245,BD!$A$3:$A$5001,_xlfn.MAXIFS(BD!$A$3:$A$5001,BD!$B$3:$B$5001,C$245,BD!$A$3:$A$5001,"&gt;="&amp;$C$7,BD!$A$3:$A$5001,"&lt;="&amp;$B255,BD!$AA$3:$AA$5001,"&lt;&gt;"))))</f>
        <v/>
      </c>
      <c r="D255" s="43" t="str">
        <f>IF(OR($B255="",$A255&gt;$B$9,D$245=""),"",IF(COUNTIFS(BD!$B$3:$B$5001,D$245,BD!$A$3:$A$5001,"&gt;="&amp;$C$7,BD!$A$3:$A$5001,"&lt;="&amp;$B255,BD!$AA$3:$AA$5001,"&lt;&gt;")=0,"",SUMIFS(BD!$AA$3:$AA$5001,BD!$B$3:$B$5001,D$245,BD!$A$3:$A$5001,_xlfn.MAXIFS(BD!$A$3:$A$5001,BD!$B$3:$B$5001,D$245,BD!$A$3:$A$5001,"&gt;="&amp;$C$7,BD!$A$3:$A$5001,"&lt;="&amp;$B255,BD!$AA$3:$AA$5001,"&lt;&gt;"))))</f>
        <v/>
      </c>
      <c r="E255" s="43" t="str">
        <f>IF(OR($B255="",$A255&gt;$B$9,E$245=""),"",IF(COUNTIFS(BD!$B$3:$B$5001,E$245,BD!$A$3:$A$5001,"&gt;="&amp;$C$7,BD!$A$3:$A$5001,"&lt;="&amp;$B255,BD!$AA$3:$AA$5001,"&lt;&gt;")=0,"",SUMIFS(BD!$AA$3:$AA$5001,BD!$B$3:$B$5001,E$245,BD!$A$3:$A$5001,_xlfn.MAXIFS(BD!$A$3:$A$5001,BD!$B$3:$B$5001,E$245,BD!$A$3:$A$5001,"&gt;="&amp;$C$7,BD!$A$3:$A$5001,"&lt;="&amp;$B255,BD!$AA$3:$AA$5001,"&lt;&gt;"))))</f>
        <v/>
      </c>
      <c r="F255" s="43" t="str">
        <f>IF(OR($B255="",$A255&gt;$B$9,F$245=""),"",IF(COUNTIFS(BD!$B$3:$B$5001,F$245,BD!$A$3:$A$5001,"&gt;="&amp;$C$7,BD!$A$3:$A$5001,"&lt;="&amp;$B255,BD!$AA$3:$AA$5001,"&lt;&gt;")=0,"",SUMIFS(BD!$AA$3:$AA$5001,BD!$B$3:$B$5001,F$245,BD!$A$3:$A$5001,_xlfn.MAXIFS(BD!$A$3:$A$5001,BD!$B$3:$B$5001,F$245,BD!$A$3:$A$5001,"&gt;="&amp;$C$7,BD!$A$3:$A$5001,"&lt;="&amp;$B255,BD!$AA$3:$AA$5001,"&lt;&gt;"))))</f>
        <v/>
      </c>
      <c r="G255" s="43" t="str">
        <f>IF(OR($B255="",$A255&gt;$B$9,G$245=""),"",IF(COUNTIFS(BD!$B$3:$B$5001,G$245,BD!$A$3:$A$5001,"&gt;="&amp;$C$7,BD!$A$3:$A$5001,"&lt;="&amp;$B255,BD!$AA$3:$AA$5001,"&lt;&gt;")=0,"",SUMIFS(BD!$AA$3:$AA$5001,BD!$B$3:$B$5001,G$245,BD!$A$3:$A$5001,_xlfn.MAXIFS(BD!$A$3:$A$5001,BD!$B$3:$B$5001,G$245,BD!$A$3:$A$5001,"&gt;="&amp;$C$7,BD!$A$3:$A$5001,"&lt;="&amp;$B255,BD!$AA$3:$AA$5001,"&lt;&gt;"))))</f>
        <v/>
      </c>
      <c r="H255" s="43" t="str">
        <f>IF(OR($B255="",$A255&gt;$B$9,H$245=""),"",IF(COUNTIFS(BD!$B$3:$B$5001,H$245,BD!$A$3:$A$5001,"&gt;="&amp;$C$7,BD!$A$3:$A$5001,"&lt;="&amp;$B255,BD!$AA$3:$AA$5001,"&lt;&gt;")=0,"",SUMIFS(BD!$AA$3:$AA$5001,BD!$B$3:$B$5001,H$245,BD!$A$3:$A$5001,_xlfn.MAXIFS(BD!$A$3:$A$5001,BD!$B$3:$B$5001,H$245,BD!$A$3:$A$5001,"&gt;="&amp;$C$7,BD!$A$3:$A$5001,"&lt;="&amp;$B255,BD!$AA$3:$AA$5001,"&lt;&gt;"))))</f>
        <v/>
      </c>
      <c r="I255" s="43" t="str">
        <f>IF(OR($B255="",$A255&gt;$B$9,I$245=""),"",IF(COUNTIFS(BD!$B$3:$B$5001,I$245,BD!$A$3:$A$5001,"&gt;="&amp;$C$7,BD!$A$3:$A$5001,"&lt;="&amp;$B255,BD!$AA$3:$AA$5001,"&lt;&gt;")=0,"",SUMIFS(BD!$AA$3:$AA$5001,BD!$B$3:$B$5001,I$245,BD!$A$3:$A$5001,_xlfn.MAXIFS(BD!$A$3:$A$5001,BD!$B$3:$B$5001,I$245,BD!$A$3:$A$5001,"&gt;="&amp;$C$7,BD!$A$3:$A$5001,"&lt;="&amp;$B255,BD!$AA$3:$AA$5001,"&lt;&gt;"))))</f>
        <v/>
      </c>
      <c r="J255" s="43" t="str">
        <f>IF(OR($B255="",$A255&gt;$B$9,J$245=""),"",IF(COUNTIFS(BD!$B$3:$B$5001,J$245,BD!$A$3:$A$5001,"&gt;="&amp;$C$7,BD!$A$3:$A$5001,"&lt;="&amp;$B255,BD!$AA$3:$AA$5001,"&lt;&gt;")=0,"",SUMIFS(BD!$AA$3:$AA$5001,BD!$B$3:$B$5001,J$245,BD!$A$3:$A$5001,_xlfn.MAXIFS(BD!$A$3:$A$5001,BD!$B$3:$B$5001,J$245,BD!$A$3:$A$5001,"&gt;="&amp;$C$7,BD!$A$3:$A$5001,"&lt;="&amp;$B255,BD!$AA$3:$AA$5001,"&lt;&gt;"))))</f>
        <v/>
      </c>
      <c r="K255" s="43" t="str">
        <f>IF(OR($B255="",$A255&gt;$B$9,K$245=""),"",IF(COUNTIFS(BD!$B$3:$B$5001,K$245,BD!$A$3:$A$5001,"&gt;="&amp;$C$7,BD!$A$3:$A$5001,"&lt;="&amp;$B255,BD!$AA$3:$AA$5001,"&lt;&gt;")=0,"",SUMIFS(BD!$AA$3:$AA$5001,BD!$B$3:$B$5001,K$245,BD!$A$3:$A$5001,_xlfn.MAXIFS(BD!$A$3:$A$5001,BD!$B$3:$B$5001,K$245,BD!$A$3:$A$5001,"&gt;="&amp;$C$7,BD!$A$3:$A$5001,"&lt;="&amp;$B255,BD!$AA$3:$AA$5001,"&lt;&gt;"))))</f>
        <v/>
      </c>
      <c r="L255" s="43" t="str">
        <f>IF(OR($B255="",$A255&gt;$B$9,L$245=""),"",IF(COUNTIFS(BD!$B$3:$B$5001,L$245,BD!$A$3:$A$5001,"&gt;="&amp;$C$7,BD!$A$3:$A$5001,"&lt;="&amp;$B255,BD!$AA$3:$AA$5001,"&lt;&gt;")=0,"",SUMIFS(BD!$AA$3:$AA$5001,BD!$B$3:$B$5001,L$245,BD!$A$3:$A$5001,_xlfn.MAXIFS(BD!$A$3:$A$5001,BD!$B$3:$B$5001,L$245,BD!$A$3:$A$5001,"&gt;="&amp;$C$7,BD!$A$3:$A$5001,"&lt;="&amp;$B255,BD!$AA$3:$AA$5001,"&lt;&gt;"))))</f>
        <v/>
      </c>
      <c r="M255" s="43" t="str">
        <f>IF(OR($B255="",$A255&gt;$B$9,M$245=""),"",IF(COUNTIFS(BD!$B$3:$B$5001,M$245,BD!$A$3:$A$5001,"&gt;="&amp;$C$7,BD!$A$3:$A$5001,"&lt;="&amp;$B255,BD!$AA$3:$AA$5001,"&lt;&gt;")=0,"",SUMIFS(BD!$AA$3:$AA$5001,BD!$B$3:$B$5001,M$245,BD!$A$3:$A$5001,_xlfn.MAXIFS(BD!$A$3:$A$5001,BD!$B$3:$B$5001,M$245,BD!$A$3:$A$5001,"&gt;="&amp;$C$7,BD!$A$3:$A$5001,"&lt;="&amp;$B255,BD!$AA$3:$AA$5001,"&lt;&gt;"))))</f>
        <v/>
      </c>
      <c r="N255" s="43" t="str">
        <f>IF(OR($B255="",$A255&gt;$B$9,N$245=""),"",IF(COUNTIFS(BD!$B$3:$B$5001,N$245,BD!$A$3:$A$5001,"&gt;="&amp;$C$7,BD!$A$3:$A$5001,"&lt;="&amp;$B255,BD!$AA$3:$AA$5001,"&lt;&gt;")=0,"",SUMIFS(BD!$AA$3:$AA$5001,BD!$B$3:$B$5001,N$245,BD!$A$3:$A$5001,_xlfn.MAXIFS(BD!$A$3:$A$5001,BD!$B$3:$B$5001,N$245,BD!$A$3:$A$5001,"&gt;="&amp;$C$7,BD!$A$3:$A$5001,"&lt;="&amp;$B255,BD!$AA$3:$AA$5001,"&lt;&gt;"))))</f>
        <v/>
      </c>
      <c r="O255" s="43" t="str">
        <f>IF(OR($B255="",$A255&gt;$B$9,O$245=""),"",IF(COUNTIFS(BD!$B$3:$B$5001,O$245,BD!$A$3:$A$5001,"&gt;="&amp;$C$7,BD!$A$3:$A$5001,"&lt;="&amp;$B255,BD!$AA$3:$AA$5001,"&lt;&gt;")=0,"",SUMIFS(BD!$AA$3:$AA$5001,BD!$B$3:$B$5001,O$245,BD!$A$3:$A$5001,_xlfn.MAXIFS(BD!$A$3:$A$5001,BD!$B$3:$B$5001,O$245,BD!$A$3:$A$5001,"&gt;="&amp;$C$7,BD!$A$3:$A$5001,"&lt;="&amp;$B255,BD!$AA$3:$AA$5001,"&lt;&gt;"))))</f>
        <v/>
      </c>
      <c r="P255" s="43" t="str">
        <f>IF(OR($B255="",$A255&gt;$B$9,P$245=""),"",IF(COUNTIFS(BD!$B$3:$B$5001,P$245,BD!$A$3:$A$5001,"&gt;="&amp;$C$7,BD!$A$3:$A$5001,"&lt;="&amp;$B255,BD!$AA$3:$AA$5001,"&lt;&gt;")=0,"",SUMIFS(BD!$AA$3:$AA$5001,BD!$B$3:$B$5001,P$245,BD!$A$3:$A$5001,_xlfn.MAXIFS(BD!$A$3:$A$5001,BD!$B$3:$B$5001,P$245,BD!$A$3:$A$5001,"&gt;="&amp;$C$7,BD!$A$3:$A$5001,"&lt;="&amp;$B255,BD!$AA$3:$AA$5001,"&lt;&gt;"))))</f>
        <v/>
      </c>
      <c r="Q255" s="43" t="str">
        <f>IF(OR($B255="",$A255&gt;$B$9,Q$245=""),"",IF(COUNTIFS(BD!$B$3:$B$5001,Q$245,BD!$A$3:$A$5001,"&gt;="&amp;$C$7,BD!$A$3:$A$5001,"&lt;="&amp;$B255,BD!$AA$3:$AA$5001,"&lt;&gt;")=0,"",SUMIFS(BD!$AA$3:$AA$5001,BD!$B$3:$B$5001,Q$245,BD!$A$3:$A$5001,_xlfn.MAXIFS(BD!$A$3:$A$5001,BD!$B$3:$B$5001,Q$245,BD!$A$3:$A$5001,"&gt;="&amp;$C$7,BD!$A$3:$A$5001,"&lt;="&amp;$B255,BD!$AA$3:$AA$5001,"&lt;&gt;"))))</f>
        <v/>
      </c>
      <c r="R255" s="43" t="str">
        <f>IF(OR($B255="",$A255&gt;$B$9,R$245=""),"",IF(COUNTIFS(BD!$B$3:$B$5001,R$245,BD!$A$3:$A$5001,"&gt;="&amp;$C$7,BD!$A$3:$A$5001,"&lt;="&amp;$B255,BD!$AA$3:$AA$5001,"&lt;&gt;")=0,"",SUMIFS(BD!$AA$3:$AA$5001,BD!$B$3:$B$5001,R$245,BD!$A$3:$A$5001,_xlfn.MAXIFS(BD!$A$3:$A$5001,BD!$B$3:$B$5001,R$245,BD!$A$3:$A$5001,"&gt;="&amp;$C$7,BD!$A$3:$A$5001,"&lt;="&amp;$B255,BD!$AA$3:$AA$5001,"&lt;&gt;"))))</f>
        <v/>
      </c>
      <c r="S255" s="43" t="str">
        <f>IF(OR($B255="",$A255&gt;$B$9,S$245=""),"",IF(COUNTIFS(BD!$B$3:$B$5001,S$245,BD!$A$3:$A$5001,"&gt;="&amp;$C$7,BD!$A$3:$A$5001,"&lt;="&amp;$B255,BD!$AA$3:$AA$5001,"&lt;&gt;")=0,"",SUMIFS(BD!$AA$3:$AA$5001,BD!$B$3:$B$5001,S$245,BD!$A$3:$A$5001,_xlfn.MAXIFS(BD!$A$3:$A$5001,BD!$B$3:$B$5001,S$245,BD!$A$3:$A$5001,"&gt;="&amp;$C$7,BD!$A$3:$A$5001,"&lt;="&amp;$B255,BD!$AA$3:$AA$5001,"&lt;&gt;"))))</f>
        <v/>
      </c>
      <c r="T255" s="43" t="str">
        <f>IF(OR($B255="",$A255&gt;$B$9,T$245=""),"",IF(COUNTIFS(BD!$B$3:$B$5001,T$245,BD!$A$3:$A$5001,"&gt;="&amp;$C$7,BD!$A$3:$A$5001,"&lt;="&amp;$B255,BD!$AA$3:$AA$5001,"&lt;&gt;")=0,"",SUMIFS(BD!$AA$3:$AA$5001,BD!$B$3:$B$5001,T$245,BD!$A$3:$A$5001,_xlfn.MAXIFS(BD!$A$3:$A$5001,BD!$B$3:$B$5001,T$245,BD!$A$3:$A$5001,"&gt;="&amp;$C$7,BD!$A$3:$A$5001,"&lt;="&amp;$B255,BD!$AA$3:$AA$5001,"&lt;&gt;"))))</f>
        <v/>
      </c>
      <c r="U255" s="43" t="str">
        <f>IF(OR($B255="",$A255&gt;$B$9,U$245=""),"",IF(COUNTIFS(BD!$B$3:$B$5001,U$245,BD!$A$3:$A$5001,"&gt;="&amp;$C$7,BD!$A$3:$A$5001,"&lt;="&amp;$B255,BD!$AA$3:$AA$5001,"&lt;&gt;")=0,"",SUMIFS(BD!$AA$3:$AA$5001,BD!$B$3:$B$5001,U$245,BD!$A$3:$A$5001,_xlfn.MAXIFS(BD!$A$3:$A$5001,BD!$B$3:$B$5001,U$245,BD!$A$3:$A$5001,"&gt;="&amp;$C$7,BD!$A$3:$A$5001,"&lt;="&amp;$B255,BD!$AA$3:$AA$5001,"&lt;&gt;"))))</f>
        <v/>
      </c>
      <c r="V255" s="43" t="str">
        <f>IF(OR($B255="",$A255&gt;$B$9,V$245=""),"",IF(COUNTIFS(BD!$B$3:$B$5001,V$245,BD!$A$3:$A$5001,"&gt;="&amp;$C$7,BD!$A$3:$A$5001,"&lt;="&amp;$B255,BD!$AA$3:$AA$5001,"&lt;&gt;")=0,"",SUMIFS(BD!$AA$3:$AA$5001,BD!$B$3:$B$5001,V$245,BD!$A$3:$A$5001,_xlfn.MAXIFS(BD!$A$3:$A$5001,BD!$B$3:$B$5001,V$245,BD!$A$3:$A$5001,"&gt;="&amp;$C$7,BD!$A$3:$A$5001,"&lt;="&amp;$B255,BD!$AA$3:$AA$5001,"&lt;&gt;"))))</f>
        <v/>
      </c>
    </row>
    <row r="256">
      <c r="A256" s="38">
        <v>11</v>
      </c>
      <c r="B256" s="42">
        <f>$B$22</f>
        <v>46306</v>
      </c>
      <c r="C256" s="43" t="str">
        <f>IF(OR($B256="",$A256&gt;$B$9,C$245=""),"",IF(COUNTIFS(BD!$B$3:$B$5001,C$245,BD!$A$3:$A$5001,"&gt;="&amp;$C$7,BD!$A$3:$A$5001,"&lt;="&amp;$B256,BD!$AA$3:$AA$5001,"&lt;&gt;")=0,"",SUMIFS(BD!$AA$3:$AA$5001,BD!$B$3:$B$5001,C$245,BD!$A$3:$A$5001,_xlfn.MAXIFS(BD!$A$3:$A$5001,BD!$B$3:$B$5001,C$245,BD!$A$3:$A$5001,"&gt;="&amp;$C$7,BD!$A$3:$A$5001,"&lt;="&amp;$B256,BD!$AA$3:$AA$5001,"&lt;&gt;"))))</f>
        <v/>
      </c>
      <c r="D256" s="43" t="str">
        <f>IF(OR($B256="",$A256&gt;$B$9,D$245=""),"",IF(COUNTIFS(BD!$B$3:$B$5001,D$245,BD!$A$3:$A$5001,"&gt;="&amp;$C$7,BD!$A$3:$A$5001,"&lt;="&amp;$B256,BD!$AA$3:$AA$5001,"&lt;&gt;")=0,"",SUMIFS(BD!$AA$3:$AA$5001,BD!$B$3:$B$5001,D$245,BD!$A$3:$A$5001,_xlfn.MAXIFS(BD!$A$3:$A$5001,BD!$B$3:$B$5001,D$245,BD!$A$3:$A$5001,"&gt;="&amp;$C$7,BD!$A$3:$A$5001,"&lt;="&amp;$B256,BD!$AA$3:$AA$5001,"&lt;&gt;"))))</f>
        <v/>
      </c>
      <c r="E256" s="43" t="str">
        <f>IF(OR($B256="",$A256&gt;$B$9,E$245=""),"",IF(COUNTIFS(BD!$B$3:$B$5001,E$245,BD!$A$3:$A$5001,"&gt;="&amp;$C$7,BD!$A$3:$A$5001,"&lt;="&amp;$B256,BD!$AA$3:$AA$5001,"&lt;&gt;")=0,"",SUMIFS(BD!$AA$3:$AA$5001,BD!$B$3:$B$5001,E$245,BD!$A$3:$A$5001,_xlfn.MAXIFS(BD!$A$3:$A$5001,BD!$B$3:$B$5001,E$245,BD!$A$3:$A$5001,"&gt;="&amp;$C$7,BD!$A$3:$A$5001,"&lt;="&amp;$B256,BD!$AA$3:$AA$5001,"&lt;&gt;"))))</f>
        <v/>
      </c>
      <c r="F256" s="43" t="str">
        <f>IF(OR($B256="",$A256&gt;$B$9,F$245=""),"",IF(COUNTIFS(BD!$B$3:$B$5001,F$245,BD!$A$3:$A$5001,"&gt;="&amp;$C$7,BD!$A$3:$A$5001,"&lt;="&amp;$B256,BD!$AA$3:$AA$5001,"&lt;&gt;")=0,"",SUMIFS(BD!$AA$3:$AA$5001,BD!$B$3:$B$5001,F$245,BD!$A$3:$A$5001,_xlfn.MAXIFS(BD!$A$3:$A$5001,BD!$B$3:$B$5001,F$245,BD!$A$3:$A$5001,"&gt;="&amp;$C$7,BD!$A$3:$A$5001,"&lt;="&amp;$B256,BD!$AA$3:$AA$5001,"&lt;&gt;"))))</f>
        <v/>
      </c>
      <c r="G256" s="43" t="str">
        <f>IF(OR($B256="",$A256&gt;$B$9,G$245=""),"",IF(COUNTIFS(BD!$B$3:$B$5001,G$245,BD!$A$3:$A$5001,"&gt;="&amp;$C$7,BD!$A$3:$A$5001,"&lt;="&amp;$B256,BD!$AA$3:$AA$5001,"&lt;&gt;")=0,"",SUMIFS(BD!$AA$3:$AA$5001,BD!$B$3:$B$5001,G$245,BD!$A$3:$A$5001,_xlfn.MAXIFS(BD!$A$3:$A$5001,BD!$B$3:$B$5001,G$245,BD!$A$3:$A$5001,"&gt;="&amp;$C$7,BD!$A$3:$A$5001,"&lt;="&amp;$B256,BD!$AA$3:$AA$5001,"&lt;&gt;"))))</f>
        <v/>
      </c>
      <c r="H256" s="43" t="str">
        <f>IF(OR($B256="",$A256&gt;$B$9,H$245=""),"",IF(COUNTIFS(BD!$B$3:$B$5001,H$245,BD!$A$3:$A$5001,"&gt;="&amp;$C$7,BD!$A$3:$A$5001,"&lt;="&amp;$B256,BD!$AA$3:$AA$5001,"&lt;&gt;")=0,"",SUMIFS(BD!$AA$3:$AA$5001,BD!$B$3:$B$5001,H$245,BD!$A$3:$A$5001,_xlfn.MAXIFS(BD!$A$3:$A$5001,BD!$B$3:$B$5001,H$245,BD!$A$3:$A$5001,"&gt;="&amp;$C$7,BD!$A$3:$A$5001,"&lt;="&amp;$B256,BD!$AA$3:$AA$5001,"&lt;&gt;"))))</f>
        <v/>
      </c>
      <c r="I256" s="43" t="str">
        <f>IF(OR($B256="",$A256&gt;$B$9,I$245=""),"",IF(COUNTIFS(BD!$B$3:$B$5001,I$245,BD!$A$3:$A$5001,"&gt;="&amp;$C$7,BD!$A$3:$A$5001,"&lt;="&amp;$B256,BD!$AA$3:$AA$5001,"&lt;&gt;")=0,"",SUMIFS(BD!$AA$3:$AA$5001,BD!$B$3:$B$5001,I$245,BD!$A$3:$A$5001,_xlfn.MAXIFS(BD!$A$3:$A$5001,BD!$B$3:$B$5001,I$245,BD!$A$3:$A$5001,"&gt;="&amp;$C$7,BD!$A$3:$A$5001,"&lt;="&amp;$B256,BD!$AA$3:$AA$5001,"&lt;&gt;"))))</f>
        <v/>
      </c>
      <c r="J256" s="43" t="str">
        <f>IF(OR($B256="",$A256&gt;$B$9,J$245=""),"",IF(COUNTIFS(BD!$B$3:$B$5001,J$245,BD!$A$3:$A$5001,"&gt;="&amp;$C$7,BD!$A$3:$A$5001,"&lt;="&amp;$B256,BD!$AA$3:$AA$5001,"&lt;&gt;")=0,"",SUMIFS(BD!$AA$3:$AA$5001,BD!$B$3:$B$5001,J$245,BD!$A$3:$A$5001,_xlfn.MAXIFS(BD!$A$3:$A$5001,BD!$B$3:$B$5001,J$245,BD!$A$3:$A$5001,"&gt;="&amp;$C$7,BD!$A$3:$A$5001,"&lt;="&amp;$B256,BD!$AA$3:$AA$5001,"&lt;&gt;"))))</f>
        <v/>
      </c>
      <c r="K256" s="43" t="str">
        <f>IF(OR($B256="",$A256&gt;$B$9,K$245=""),"",IF(COUNTIFS(BD!$B$3:$B$5001,K$245,BD!$A$3:$A$5001,"&gt;="&amp;$C$7,BD!$A$3:$A$5001,"&lt;="&amp;$B256,BD!$AA$3:$AA$5001,"&lt;&gt;")=0,"",SUMIFS(BD!$AA$3:$AA$5001,BD!$B$3:$B$5001,K$245,BD!$A$3:$A$5001,_xlfn.MAXIFS(BD!$A$3:$A$5001,BD!$B$3:$B$5001,K$245,BD!$A$3:$A$5001,"&gt;="&amp;$C$7,BD!$A$3:$A$5001,"&lt;="&amp;$B256,BD!$AA$3:$AA$5001,"&lt;&gt;"))))</f>
        <v/>
      </c>
      <c r="L256" s="43" t="str">
        <f>IF(OR($B256="",$A256&gt;$B$9,L$245=""),"",IF(COUNTIFS(BD!$B$3:$B$5001,L$245,BD!$A$3:$A$5001,"&gt;="&amp;$C$7,BD!$A$3:$A$5001,"&lt;="&amp;$B256,BD!$AA$3:$AA$5001,"&lt;&gt;")=0,"",SUMIFS(BD!$AA$3:$AA$5001,BD!$B$3:$B$5001,L$245,BD!$A$3:$A$5001,_xlfn.MAXIFS(BD!$A$3:$A$5001,BD!$B$3:$B$5001,L$245,BD!$A$3:$A$5001,"&gt;="&amp;$C$7,BD!$A$3:$A$5001,"&lt;="&amp;$B256,BD!$AA$3:$AA$5001,"&lt;&gt;"))))</f>
        <v/>
      </c>
      <c r="M256" s="43" t="str">
        <f>IF(OR($B256="",$A256&gt;$B$9,M$245=""),"",IF(COUNTIFS(BD!$B$3:$B$5001,M$245,BD!$A$3:$A$5001,"&gt;="&amp;$C$7,BD!$A$3:$A$5001,"&lt;="&amp;$B256,BD!$AA$3:$AA$5001,"&lt;&gt;")=0,"",SUMIFS(BD!$AA$3:$AA$5001,BD!$B$3:$B$5001,M$245,BD!$A$3:$A$5001,_xlfn.MAXIFS(BD!$A$3:$A$5001,BD!$B$3:$B$5001,M$245,BD!$A$3:$A$5001,"&gt;="&amp;$C$7,BD!$A$3:$A$5001,"&lt;="&amp;$B256,BD!$AA$3:$AA$5001,"&lt;&gt;"))))</f>
        <v/>
      </c>
      <c r="N256" s="43" t="str">
        <f>IF(OR($B256="",$A256&gt;$B$9,N$245=""),"",IF(COUNTIFS(BD!$B$3:$B$5001,N$245,BD!$A$3:$A$5001,"&gt;="&amp;$C$7,BD!$A$3:$A$5001,"&lt;="&amp;$B256,BD!$AA$3:$AA$5001,"&lt;&gt;")=0,"",SUMIFS(BD!$AA$3:$AA$5001,BD!$B$3:$B$5001,N$245,BD!$A$3:$A$5001,_xlfn.MAXIFS(BD!$A$3:$A$5001,BD!$B$3:$B$5001,N$245,BD!$A$3:$A$5001,"&gt;="&amp;$C$7,BD!$A$3:$A$5001,"&lt;="&amp;$B256,BD!$AA$3:$AA$5001,"&lt;&gt;"))))</f>
        <v/>
      </c>
      <c r="O256" s="43" t="str">
        <f>IF(OR($B256="",$A256&gt;$B$9,O$245=""),"",IF(COUNTIFS(BD!$B$3:$B$5001,O$245,BD!$A$3:$A$5001,"&gt;="&amp;$C$7,BD!$A$3:$A$5001,"&lt;="&amp;$B256,BD!$AA$3:$AA$5001,"&lt;&gt;")=0,"",SUMIFS(BD!$AA$3:$AA$5001,BD!$B$3:$B$5001,O$245,BD!$A$3:$A$5001,_xlfn.MAXIFS(BD!$A$3:$A$5001,BD!$B$3:$B$5001,O$245,BD!$A$3:$A$5001,"&gt;="&amp;$C$7,BD!$A$3:$A$5001,"&lt;="&amp;$B256,BD!$AA$3:$AA$5001,"&lt;&gt;"))))</f>
        <v/>
      </c>
      <c r="P256" s="43" t="str">
        <f>IF(OR($B256="",$A256&gt;$B$9,P$245=""),"",IF(COUNTIFS(BD!$B$3:$B$5001,P$245,BD!$A$3:$A$5001,"&gt;="&amp;$C$7,BD!$A$3:$A$5001,"&lt;="&amp;$B256,BD!$AA$3:$AA$5001,"&lt;&gt;")=0,"",SUMIFS(BD!$AA$3:$AA$5001,BD!$B$3:$B$5001,P$245,BD!$A$3:$A$5001,_xlfn.MAXIFS(BD!$A$3:$A$5001,BD!$B$3:$B$5001,P$245,BD!$A$3:$A$5001,"&gt;="&amp;$C$7,BD!$A$3:$A$5001,"&lt;="&amp;$B256,BD!$AA$3:$AA$5001,"&lt;&gt;"))))</f>
        <v/>
      </c>
      <c r="Q256" s="43" t="str">
        <f>IF(OR($B256="",$A256&gt;$B$9,Q$245=""),"",IF(COUNTIFS(BD!$B$3:$B$5001,Q$245,BD!$A$3:$A$5001,"&gt;="&amp;$C$7,BD!$A$3:$A$5001,"&lt;="&amp;$B256,BD!$AA$3:$AA$5001,"&lt;&gt;")=0,"",SUMIFS(BD!$AA$3:$AA$5001,BD!$B$3:$B$5001,Q$245,BD!$A$3:$A$5001,_xlfn.MAXIFS(BD!$A$3:$A$5001,BD!$B$3:$B$5001,Q$245,BD!$A$3:$A$5001,"&gt;="&amp;$C$7,BD!$A$3:$A$5001,"&lt;="&amp;$B256,BD!$AA$3:$AA$5001,"&lt;&gt;"))))</f>
        <v/>
      </c>
      <c r="R256" s="43" t="str">
        <f>IF(OR($B256="",$A256&gt;$B$9,R$245=""),"",IF(COUNTIFS(BD!$B$3:$B$5001,R$245,BD!$A$3:$A$5001,"&gt;="&amp;$C$7,BD!$A$3:$A$5001,"&lt;="&amp;$B256,BD!$AA$3:$AA$5001,"&lt;&gt;")=0,"",SUMIFS(BD!$AA$3:$AA$5001,BD!$B$3:$B$5001,R$245,BD!$A$3:$A$5001,_xlfn.MAXIFS(BD!$A$3:$A$5001,BD!$B$3:$B$5001,R$245,BD!$A$3:$A$5001,"&gt;="&amp;$C$7,BD!$A$3:$A$5001,"&lt;="&amp;$B256,BD!$AA$3:$AA$5001,"&lt;&gt;"))))</f>
        <v/>
      </c>
      <c r="S256" s="43" t="str">
        <f>IF(OR($B256="",$A256&gt;$B$9,S$245=""),"",IF(COUNTIFS(BD!$B$3:$B$5001,S$245,BD!$A$3:$A$5001,"&gt;="&amp;$C$7,BD!$A$3:$A$5001,"&lt;="&amp;$B256,BD!$AA$3:$AA$5001,"&lt;&gt;")=0,"",SUMIFS(BD!$AA$3:$AA$5001,BD!$B$3:$B$5001,S$245,BD!$A$3:$A$5001,_xlfn.MAXIFS(BD!$A$3:$A$5001,BD!$B$3:$B$5001,S$245,BD!$A$3:$A$5001,"&gt;="&amp;$C$7,BD!$A$3:$A$5001,"&lt;="&amp;$B256,BD!$AA$3:$AA$5001,"&lt;&gt;"))))</f>
        <v/>
      </c>
      <c r="T256" s="43" t="str">
        <f>IF(OR($B256="",$A256&gt;$B$9,T$245=""),"",IF(COUNTIFS(BD!$B$3:$B$5001,T$245,BD!$A$3:$A$5001,"&gt;="&amp;$C$7,BD!$A$3:$A$5001,"&lt;="&amp;$B256,BD!$AA$3:$AA$5001,"&lt;&gt;")=0,"",SUMIFS(BD!$AA$3:$AA$5001,BD!$B$3:$B$5001,T$245,BD!$A$3:$A$5001,_xlfn.MAXIFS(BD!$A$3:$A$5001,BD!$B$3:$B$5001,T$245,BD!$A$3:$A$5001,"&gt;="&amp;$C$7,BD!$A$3:$A$5001,"&lt;="&amp;$B256,BD!$AA$3:$AA$5001,"&lt;&gt;"))))</f>
        <v/>
      </c>
      <c r="U256" s="43" t="str">
        <f>IF(OR($B256="",$A256&gt;$B$9,U$245=""),"",IF(COUNTIFS(BD!$B$3:$B$5001,U$245,BD!$A$3:$A$5001,"&gt;="&amp;$C$7,BD!$A$3:$A$5001,"&lt;="&amp;$B256,BD!$AA$3:$AA$5001,"&lt;&gt;")=0,"",SUMIFS(BD!$AA$3:$AA$5001,BD!$B$3:$B$5001,U$245,BD!$A$3:$A$5001,_xlfn.MAXIFS(BD!$A$3:$A$5001,BD!$B$3:$B$5001,U$245,BD!$A$3:$A$5001,"&gt;="&amp;$C$7,BD!$A$3:$A$5001,"&lt;="&amp;$B256,BD!$AA$3:$AA$5001,"&lt;&gt;"))))</f>
        <v/>
      </c>
      <c r="V256" s="43" t="str">
        <f>IF(OR($B256="",$A256&gt;$B$9,V$245=""),"",IF(COUNTIFS(BD!$B$3:$B$5001,V$245,BD!$A$3:$A$5001,"&gt;="&amp;$C$7,BD!$A$3:$A$5001,"&lt;="&amp;$B256,BD!$AA$3:$AA$5001,"&lt;&gt;")=0,"",SUMIFS(BD!$AA$3:$AA$5001,BD!$B$3:$B$5001,V$245,BD!$A$3:$A$5001,_xlfn.MAXIFS(BD!$A$3:$A$5001,BD!$B$3:$B$5001,V$245,BD!$A$3:$A$5001,"&gt;="&amp;$C$7,BD!$A$3:$A$5001,"&lt;="&amp;$B256,BD!$AA$3:$AA$5001,"&lt;&gt;"))))</f>
        <v/>
      </c>
    </row>
    <row r="257">
      <c r="A257" s="38">
        <v>12</v>
      </c>
      <c r="B257" s="42">
        <f>$B$23</f>
        <v>46307</v>
      </c>
      <c r="C257" s="43" t="str">
        <f>IF(OR($B257="",$A257&gt;$B$9,C$245=""),"",IF(COUNTIFS(BD!$B$3:$B$5001,C$245,BD!$A$3:$A$5001,"&gt;="&amp;$C$7,BD!$A$3:$A$5001,"&lt;="&amp;$B257,BD!$AA$3:$AA$5001,"&lt;&gt;")=0,"",SUMIFS(BD!$AA$3:$AA$5001,BD!$B$3:$B$5001,C$245,BD!$A$3:$A$5001,_xlfn.MAXIFS(BD!$A$3:$A$5001,BD!$B$3:$B$5001,C$245,BD!$A$3:$A$5001,"&gt;="&amp;$C$7,BD!$A$3:$A$5001,"&lt;="&amp;$B257,BD!$AA$3:$AA$5001,"&lt;&gt;"))))</f>
        <v/>
      </c>
      <c r="D257" s="43" t="str">
        <f>IF(OR($B257="",$A257&gt;$B$9,D$245=""),"",IF(COUNTIFS(BD!$B$3:$B$5001,D$245,BD!$A$3:$A$5001,"&gt;="&amp;$C$7,BD!$A$3:$A$5001,"&lt;="&amp;$B257,BD!$AA$3:$AA$5001,"&lt;&gt;")=0,"",SUMIFS(BD!$AA$3:$AA$5001,BD!$B$3:$B$5001,D$245,BD!$A$3:$A$5001,_xlfn.MAXIFS(BD!$A$3:$A$5001,BD!$B$3:$B$5001,D$245,BD!$A$3:$A$5001,"&gt;="&amp;$C$7,BD!$A$3:$A$5001,"&lt;="&amp;$B257,BD!$AA$3:$AA$5001,"&lt;&gt;"))))</f>
        <v/>
      </c>
      <c r="E257" s="43" t="str">
        <f>IF(OR($B257="",$A257&gt;$B$9,E$245=""),"",IF(COUNTIFS(BD!$B$3:$B$5001,E$245,BD!$A$3:$A$5001,"&gt;="&amp;$C$7,BD!$A$3:$A$5001,"&lt;="&amp;$B257,BD!$AA$3:$AA$5001,"&lt;&gt;")=0,"",SUMIFS(BD!$AA$3:$AA$5001,BD!$B$3:$B$5001,E$245,BD!$A$3:$A$5001,_xlfn.MAXIFS(BD!$A$3:$A$5001,BD!$B$3:$B$5001,E$245,BD!$A$3:$A$5001,"&gt;="&amp;$C$7,BD!$A$3:$A$5001,"&lt;="&amp;$B257,BD!$AA$3:$AA$5001,"&lt;&gt;"))))</f>
        <v/>
      </c>
      <c r="F257" s="43" t="str">
        <f>IF(OR($B257="",$A257&gt;$B$9,F$245=""),"",IF(COUNTIFS(BD!$B$3:$B$5001,F$245,BD!$A$3:$A$5001,"&gt;="&amp;$C$7,BD!$A$3:$A$5001,"&lt;="&amp;$B257,BD!$AA$3:$AA$5001,"&lt;&gt;")=0,"",SUMIFS(BD!$AA$3:$AA$5001,BD!$B$3:$B$5001,F$245,BD!$A$3:$A$5001,_xlfn.MAXIFS(BD!$A$3:$A$5001,BD!$B$3:$B$5001,F$245,BD!$A$3:$A$5001,"&gt;="&amp;$C$7,BD!$A$3:$A$5001,"&lt;="&amp;$B257,BD!$AA$3:$AA$5001,"&lt;&gt;"))))</f>
        <v/>
      </c>
      <c r="G257" s="43" t="str">
        <f>IF(OR($B257="",$A257&gt;$B$9,G$245=""),"",IF(COUNTIFS(BD!$B$3:$B$5001,G$245,BD!$A$3:$A$5001,"&gt;="&amp;$C$7,BD!$A$3:$A$5001,"&lt;="&amp;$B257,BD!$AA$3:$AA$5001,"&lt;&gt;")=0,"",SUMIFS(BD!$AA$3:$AA$5001,BD!$B$3:$B$5001,G$245,BD!$A$3:$A$5001,_xlfn.MAXIFS(BD!$A$3:$A$5001,BD!$B$3:$B$5001,G$245,BD!$A$3:$A$5001,"&gt;="&amp;$C$7,BD!$A$3:$A$5001,"&lt;="&amp;$B257,BD!$AA$3:$AA$5001,"&lt;&gt;"))))</f>
        <v/>
      </c>
      <c r="H257" s="43" t="str">
        <f>IF(OR($B257="",$A257&gt;$B$9,H$245=""),"",IF(COUNTIFS(BD!$B$3:$B$5001,H$245,BD!$A$3:$A$5001,"&gt;="&amp;$C$7,BD!$A$3:$A$5001,"&lt;="&amp;$B257,BD!$AA$3:$AA$5001,"&lt;&gt;")=0,"",SUMIFS(BD!$AA$3:$AA$5001,BD!$B$3:$B$5001,H$245,BD!$A$3:$A$5001,_xlfn.MAXIFS(BD!$A$3:$A$5001,BD!$B$3:$B$5001,H$245,BD!$A$3:$A$5001,"&gt;="&amp;$C$7,BD!$A$3:$A$5001,"&lt;="&amp;$B257,BD!$AA$3:$AA$5001,"&lt;&gt;"))))</f>
        <v/>
      </c>
      <c r="I257" s="43" t="str">
        <f>IF(OR($B257="",$A257&gt;$B$9,I$245=""),"",IF(COUNTIFS(BD!$B$3:$B$5001,I$245,BD!$A$3:$A$5001,"&gt;="&amp;$C$7,BD!$A$3:$A$5001,"&lt;="&amp;$B257,BD!$AA$3:$AA$5001,"&lt;&gt;")=0,"",SUMIFS(BD!$AA$3:$AA$5001,BD!$B$3:$B$5001,I$245,BD!$A$3:$A$5001,_xlfn.MAXIFS(BD!$A$3:$A$5001,BD!$B$3:$B$5001,I$245,BD!$A$3:$A$5001,"&gt;="&amp;$C$7,BD!$A$3:$A$5001,"&lt;="&amp;$B257,BD!$AA$3:$AA$5001,"&lt;&gt;"))))</f>
        <v/>
      </c>
      <c r="J257" s="43" t="str">
        <f>IF(OR($B257="",$A257&gt;$B$9,J$245=""),"",IF(COUNTIFS(BD!$B$3:$B$5001,J$245,BD!$A$3:$A$5001,"&gt;="&amp;$C$7,BD!$A$3:$A$5001,"&lt;="&amp;$B257,BD!$AA$3:$AA$5001,"&lt;&gt;")=0,"",SUMIFS(BD!$AA$3:$AA$5001,BD!$B$3:$B$5001,J$245,BD!$A$3:$A$5001,_xlfn.MAXIFS(BD!$A$3:$A$5001,BD!$B$3:$B$5001,J$245,BD!$A$3:$A$5001,"&gt;="&amp;$C$7,BD!$A$3:$A$5001,"&lt;="&amp;$B257,BD!$AA$3:$AA$5001,"&lt;&gt;"))))</f>
        <v/>
      </c>
      <c r="K257" s="43" t="str">
        <f>IF(OR($B257="",$A257&gt;$B$9,K$245=""),"",IF(COUNTIFS(BD!$B$3:$B$5001,K$245,BD!$A$3:$A$5001,"&gt;="&amp;$C$7,BD!$A$3:$A$5001,"&lt;="&amp;$B257,BD!$AA$3:$AA$5001,"&lt;&gt;")=0,"",SUMIFS(BD!$AA$3:$AA$5001,BD!$B$3:$B$5001,K$245,BD!$A$3:$A$5001,_xlfn.MAXIFS(BD!$A$3:$A$5001,BD!$B$3:$B$5001,K$245,BD!$A$3:$A$5001,"&gt;="&amp;$C$7,BD!$A$3:$A$5001,"&lt;="&amp;$B257,BD!$AA$3:$AA$5001,"&lt;&gt;"))))</f>
        <v/>
      </c>
      <c r="L257" s="43" t="str">
        <f>IF(OR($B257="",$A257&gt;$B$9,L$245=""),"",IF(COUNTIFS(BD!$B$3:$B$5001,L$245,BD!$A$3:$A$5001,"&gt;="&amp;$C$7,BD!$A$3:$A$5001,"&lt;="&amp;$B257,BD!$AA$3:$AA$5001,"&lt;&gt;")=0,"",SUMIFS(BD!$AA$3:$AA$5001,BD!$B$3:$B$5001,L$245,BD!$A$3:$A$5001,_xlfn.MAXIFS(BD!$A$3:$A$5001,BD!$B$3:$B$5001,L$245,BD!$A$3:$A$5001,"&gt;="&amp;$C$7,BD!$A$3:$A$5001,"&lt;="&amp;$B257,BD!$AA$3:$AA$5001,"&lt;&gt;"))))</f>
        <v/>
      </c>
      <c r="M257" s="43" t="str">
        <f>IF(OR($B257="",$A257&gt;$B$9,M$245=""),"",IF(COUNTIFS(BD!$B$3:$B$5001,M$245,BD!$A$3:$A$5001,"&gt;="&amp;$C$7,BD!$A$3:$A$5001,"&lt;="&amp;$B257,BD!$AA$3:$AA$5001,"&lt;&gt;")=0,"",SUMIFS(BD!$AA$3:$AA$5001,BD!$B$3:$B$5001,M$245,BD!$A$3:$A$5001,_xlfn.MAXIFS(BD!$A$3:$A$5001,BD!$B$3:$B$5001,M$245,BD!$A$3:$A$5001,"&gt;="&amp;$C$7,BD!$A$3:$A$5001,"&lt;="&amp;$B257,BD!$AA$3:$AA$5001,"&lt;&gt;"))))</f>
        <v/>
      </c>
      <c r="N257" s="43" t="str">
        <f>IF(OR($B257="",$A257&gt;$B$9,N$245=""),"",IF(COUNTIFS(BD!$B$3:$B$5001,N$245,BD!$A$3:$A$5001,"&gt;="&amp;$C$7,BD!$A$3:$A$5001,"&lt;="&amp;$B257,BD!$AA$3:$AA$5001,"&lt;&gt;")=0,"",SUMIFS(BD!$AA$3:$AA$5001,BD!$B$3:$B$5001,N$245,BD!$A$3:$A$5001,_xlfn.MAXIFS(BD!$A$3:$A$5001,BD!$B$3:$B$5001,N$245,BD!$A$3:$A$5001,"&gt;="&amp;$C$7,BD!$A$3:$A$5001,"&lt;="&amp;$B257,BD!$AA$3:$AA$5001,"&lt;&gt;"))))</f>
        <v/>
      </c>
      <c r="O257" s="43" t="str">
        <f>IF(OR($B257="",$A257&gt;$B$9,O$245=""),"",IF(COUNTIFS(BD!$B$3:$B$5001,O$245,BD!$A$3:$A$5001,"&gt;="&amp;$C$7,BD!$A$3:$A$5001,"&lt;="&amp;$B257,BD!$AA$3:$AA$5001,"&lt;&gt;")=0,"",SUMIFS(BD!$AA$3:$AA$5001,BD!$B$3:$B$5001,O$245,BD!$A$3:$A$5001,_xlfn.MAXIFS(BD!$A$3:$A$5001,BD!$B$3:$B$5001,O$245,BD!$A$3:$A$5001,"&gt;="&amp;$C$7,BD!$A$3:$A$5001,"&lt;="&amp;$B257,BD!$AA$3:$AA$5001,"&lt;&gt;"))))</f>
        <v/>
      </c>
      <c r="P257" s="43" t="str">
        <f>IF(OR($B257="",$A257&gt;$B$9,P$245=""),"",IF(COUNTIFS(BD!$B$3:$B$5001,P$245,BD!$A$3:$A$5001,"&gt;="&amp;$C$7,BD!$A$3:$A$5001,"&lt;="&amp;$B257,BD!$AA$3:$AA$5001,"&lt;&gt;")=0,"",SUMIFS(BD!$AA$3:$AA$5001,BD!$B$3:$B$5001,P$245,BD!$A$3:$A$5001,_xlfn.MAXIFS(BD!$A$3:$A$5001,BD!$B$3:$B$5001,P$245,BD!$A$3:$A$5001,"&gt;="&amp;$C$7,BD!$A$3:$A$5001,"&lt;="&amp;$B257,BD!$AA$3:$AA$5001,"&lt;&gt;"))))</f>
        <v/>
      </c>
      <c r="Q257" s="43" t="str">
        <f>IF(OR($B257="",$A257&gt;$B$9,Q$245=""),"",IF(COUNTIFS(BD!$B$3:$B$5001,Q$245,BD!$A$3:$A$5001,"&gt;="&amp;$C$7,BD!$A$3:$A$5001,"&lt;="&amp;$B257,BD!$AA$3:$AA$5001,"&lt;&gt;")=0,"",SUMIFS(BD!$AA$3:$AA$5001,BD!$B$3:$B$5001,Q$245,BD!$A$3:$A$5001,_xlfn.MAXIFS(BD!$A$3:$A$5001,BD!$B$3:$B$5001,Q$245,BD!$A$3:$A$5001,"&gt;="&amp;$C$7,BD!$A$3:$A$5001,"&lt;="&amp;$B257,BD!$AA$3:$AA$5001,"&lt;&gt;"))))</f>
        <v/>
      </c>
      <c r="R257" s="43" t="str">
        <f>IF(OR($B257="",$A257&gt;$B$9,R$245=""),"",IF(COUNTIFS(BD!$B$3:$B$5001,R$245,BD!$A$3:$A$5001,"&gt;="&amp;$C$7,BD!$A$3:$A$5001,"&lt;="&amp;$B257,BD!$AA$3:$AA$5001,"&lt;&gt;")=0,"",SUMIFS(BD!$AA$3:$AA$5001,BD!$B$3:$B$5001,R$245,BD!$A$3:$A$5001,_xlfn.MAXIFS(BD!$A$3:$A$5001,BD!$B$3:$B$5001,R$245,BD!$A$3:$A$5001,"&gt;="&amp;$C$7,BD!$A$3:$A$5001,"&lt;="&amp;$B257,BD!$AA$3:$AA$5001,"&lt;&gt;"))))</f>
        <v/>
      </c>
      <c r="S257" s="43" t="str">
        <f>IF(OR($B257="",$A257&gt;$B$9,S$245=""),"",IF(COUNTIFS(BD!$B$3:$B$5001,S$245,BD!$A$3:$A$5001,"&gt;="&amp;$C$7,BD!$A$3:$A$5001,"&lt;="&amp;$B257,BD!$AA$3:$AA$5001,"&lt;&gt;")=0,"",SUMIFS(BD!$AA$3:$AA$5001,BD!$B$3:$B$5001,S$245,BD!$A$3:$A$5001,_xlfn.MAXIFS(BD!$A$3:$A$5001,BD!$B$3:$B$5001,S$245,BD!$A$3:$A$5001,"&gt;="&amp;$C$7,BD!$A$3:$A$5001,"&lt;="&amp;$B257,BD!$AA$3:$AA$5001,"&lt;&gt;"))))</f>
        <v/>
      </c>
      <c r="T257" s="43" t="str">
        <f>IF(OR($B257="",$A257&gt;$B$9,T$245=""),"",IF(COUNTIFS(BD!$B$3:$B$5001,T$245,BD!$A$3:$A$5001,"&gt;="&amp;$C$7,BD!$A$3:$A$5001,"&lt;="&amp;$B257,BD!$AA$3:$AA$5001,"&lt;&gt;")=0,"",SUMIFS(BD!$AA$3:$AA$5001,BD!$B$3:$B$5001,T$245,BD!$A$3:$A$5001,_xlfn.MAXIFS(BD!$A$3:$A$5001,BD!$B$3:$B$5001,T$245,BD!$A$3:$A$5001,"&gt;="&amp;$C$7,BD!$A$3:$A$5001,"&lt;="&amp;$B257,BD!$AA$3:$AA$5001,"&lt;&gt;"))))</f>
        <v/>
      </c>
      <c r="U257" s="43" t="str">
        <f>IF(OR($B257="",$A257&gt;$B$9,U$245=""),"",IF(COUNTIFS(BD!$B$3:$B$5001,U$245,BD!$A$3:$A$5001,"&gt;="&amp;$C$7,BD!$A$3:$A$5001,"&lt;="&amp;$B257,BD!$AA$3:$AA$5001,"&lt;&gt;")=0,"",SUMIFS(BD!$AA$3:$AA$5001,BD!$B$3:$B$5001,U$245,BD!$A$3:$A$5001,_xlfn.MAXIFS(BD!$A$3:$A$5001,BD!$B$3:$B$5001,U$245,BD!$A$3:$A$5001,"&gt;="&amp;$C$7,BD!$A$3:$A$5001,"&lt;="&amp;$B257,BD!$AA$3:$AA$5001,"&lt;&gt;"))))</f>
        <v/>
      </c>
      <c r="V257" s="43" t="str">
        <f>IF(OR($B257="",$A257&gt;$B$9,V$245=""),"",IF(COUNTIFS(BD!$B$3:$B$5001,V$245,BD!$A$3:$A$5001,"&gt;="&amp;$C$7,BD!$A$3:$A$5001,"&lt;="&amp;$B257,BD!$AA$3:$AA$5001,"&lt;&gt;")=0,"",SUMIFS(BD!$AA$3:$AA$5001,BD!$B$3:$B$5001,V$245,BD!$A$3:$A$5001,_xlfn.MAXIFS(BD!$A$3:$A$5001,BD!$B$3:$B$5001,V$245,BD!$A$3:$A$5001,"&gt;="&amp;$C$7,BD!$A$3:$A$5001,"&lt;="&amp;$B257,BD!$AA$3:$AA$5001,"&lt;&gt;"))))</f>
        <v/>
      </c>
    </row>
    <row r="258">
      <c r="A258" s="38">
        <v>13</v>
      </c>
      <c r="B258" s="42">
        <f>$B$24</f>
        <v>46308</v>
      </c>
      <c r="C258" s="43" t="str">
        <f>IF(OR($B258="",$A258&gt;$B$9,C$245=""),"",IF(COUNTIFS(BD!$B$3:$B$5001,C$245,BD!$A$3:$A$5001,"&gt;="&amp;$C$7,BD!$A$3:$A$5001,"&lt;="&amp;$B258,BD!$AA$3:$AA$5001,"&lt;&gt;")=0,"",SUMIFS(BD!$AA$3:$AA$5001,BD!$B$3:$B$5001,C$245,BD!$A$3:$A$5001,_xlfn.MAXIFS(BD!$A$3:$A$5001,BD!$B$3:$B$5001,C$245,BD!$A$3:$A$5001,"&gt;="&amp;$C$7,BD!$A$3:$A$5001,"&lt;="&amp;$B258,BD!$AA$3:$AA$5001,"&lt;&gt;"))))</f>
        <v/>
      </c>
      <c r="D258" s="43" t="str">
        <f>IF(OR($B258="",$A258&gt;$B$9,D$245=""),"",IF(COUNTIFS(BD!$B$3:$B$5001,D$245,BD!$A$3:$A$5001,"&gt;="&amp;$C$7,BD!$A$3:$A$5001,"&lt;="&amp;$B258,BD!$AA$3:$AA$5001,"&lt;&gt;")=0,"",SUMIFS(BD!$AA$3:$AA$5001,BD!$B$3:$B$5001,D$245,BD!$A$3:$A$5001,_xlfn.MAXIFS(BD!$A$3:$A$5001,BD!$B$3:$B$5001,D$245,BD!$A$3:$A$5001,"&gt;="&amp;$C$7,BD!$A$3:$A$5001,"&lt;="&amp;$B258,BD!$AA$3:$AA$5001,"&lt;&gt;"))))</f>
        <v/>
      </c>
      <c r="E258" s="43" t="str">
        <f>IF(OR($B258="",$A258&gt;$B$9,E$245=""),"",IF(COUNTIFS(BD!$B$3:$B$5001,E$245,BD!$A$3:$A$5001,"&gt;="&amp;$C$7,BD!$A$3:$A$5001,"&lt;="&amp;$B258,BD!$AA$3:$AA$5001,"&lt;&gt;")=0,"",SUMIFS(BD!$AA$3:$AA$5001,BD!$B$3:$B$5001,E$245,BD!$A$3:$A$5001,_xlfn.MAXIFS(BD!$A$3:$A$5001,BD!$B$3:$B$5001,E$245,BD!$A$3:$A$5001,"&gt;="&amp;$C$7,BD!$A$3:$A$5001,"&lt;="&amp;$B258,BD!$AA$3:$AA$5001,"&lt;&gt;"))))</f>
        <v/>
      </c>
      <c r="F258" s="43" t="str">
        <f>IF(OR($B258="",$A258&gt;$B$9,F$245=""),"",IF(COUNTIFS(BD!$B$3:$B$5001,F$245,BD!$A$3:$A$5001,"&gt;="&amp;$C$7,BD!$A$3:$A$5001,"&lt;="&amp;$B258,BD!$AA$3:$AA$5001,"&lt;&gt;")=0,"",SUMIFS(BD!$AA$3:$AA$5001,BD!$B$3:$B$5001,F$245,BD!$A$3:$A$5001,_xlfn.MAXIFS(BD!$A$3:$A$5001,BD!$B$3:$B$5001,F$245,BD!$A$3:$A$5001,"&gt;="&amp;$C$7,BD!$A$3:$A$5001,"&lt;="&amp;$B258,BD!$AA$3:$AA$5001,"&lt;&gt;"))))</f>
        <v/>
      </c>
      <c r="G258" s="43" t="str">
        <f>IF(OR($B258="",$A258&gt;$B$9,G$245=""),"",IF(COUNTIFS(BD!$B$3:$B$5001,G$245,BD!$A$3:$A$5001,"&gt;="&amp;$C$7,BD!$A$3:$A$5001,"&lt;="&amp;$B258,BD!$AA$3:$AA$5001,"&lt;&gt;")=0,"",SUMIFS(BD!$AA$3:$AA$5001,BD!$B$3:$B$5001,G$245,BD!$A$3:$A$5001,_xlfn.MAXIFS(BD!$A$3:$A$5001,BD!$B$3:$B$5001,G$245,BD!$A$3:$A$5001,"&gt;="&amp;$C$7,BD!$A$3:$A$5001,"&lt;="&amp;$B258,BD!$AA$3:$AA$5001,"&lt;&gt;"))))</f>
        <v/>
      </c>
      <c r="H258" s="43" t="str">
        <f>IF(OR($B258="",$A258&gt;$B$9,H$245=""),"",IF(COUNTIFS(BD!$B$3:$B$5001,H$245,BD!$A$3:$A$5001,"&gt;="&amp;$C$7,BD!$A$3:$A$5001,"&lt;="&amp;$B258,BD!$AA$3:$AA$5001,"&lt;&gt;")=0,"",SUMIFS(BD!$AA$3:$AA$5001,BD!$B$3:$B$5001,H$245,BD!$A$3:$A$5001,_xlfn.MAXIFS(BD!$A$3:$A$5001,BD!$B$3:$B$5001,H$245,BD!$A$3:$A$5001,"&gt;="&amp;$C$7,BD!$A$3:$A$5001,"&lt;="&amp;$B258,BD!$AA$3:$AA$5001,"&lt;&gt;"))))</f>
        <v/>
      </c>
      <c r="I258" s="43" t="str">
        <f>IF(OR($B258="",$A258&gt;$B$9,I$245=""),"",IF(COUNTIFS(BD!$B$3:$B$5001,I$245,BD!$A$3:$A$5001,"&gt;="&amp;$C$7,BD!$A$3:$A$5001,"&lt;="&amp;$B258,BD!$AA$3:$AA$5001,"&lt;&gt;")=0,"",SUMIFS(BD!$AA$3:$AA$5001,BD!$B$3:$B$5001,I$245,BD!$A$3:$A$5001,_xlfn.MAXIFS(BD!$A$3:$A$5001,BD!$B$3:$B$5001,I$245,BD!$A$3:$A$5001,"&gt;="&amp;$C$7,BD!$A$3:$A$5001,"&lt;="&amp;$B258,BD!$AA$3:$AA$5001,"&lt;&gt;"))))</f>
        <v/>
      </c>
      <c r="J258" s="43" t="str">
        <f>IF(OR($B258="",$A258&gt;$B$9,J$245=""),"",IF(COUNTIFS(BD!$B$3:$B$5001,J$245,BD!$A$3:$A$5001,"&gt;="&amp;$C$7,BD!$A$3:$A$5001,"&lt;="&amp;$B258,BD!$AA$3:$AA$5001,"&lt;&gt;")=0,"",SUMIFS(BD!$AA$3:$AA$5001,BD!$B$3:$B$5001,J$245,BD!$A$3:$A$5001,_xlfn.MAXIFS(BD!$A$3:$A$5001,BD!$B$3:$B$5001,J$245,BD!$A$3:$A$5001,"&gt;="&amp;$C$7,BD!$A$3:$A$5001,"&lt;="&amp;$B258,BD!$AA$3:$AA$5001,"&lt;&gt;"))))</f>
        <v/>
      </c>
      <c r="K258" s="43" t="str">
        <f>IF(OR($B258="",$A258&gt;$B$9,K$245=""),"",IF(COUNTIFS(BD!$B$3:$B$5001,K$245,BD!$A$3:$A$5001,"&gt;="&amp;$C$7,BD!$A$3:$A$5001,"&lt;="&amp;$B258,BD!$AA$3:$AA$5001,"&lt;&gt;")=0,"",SUMIFS(BD!$AA$3:$AA$5001,BD!$B$3:$B$5001,K$245,BD!$A$3:$A$5001,_xlfn.MAXIFS(BD!$A$3:$A$5001,BD!$B$3:$B$5001,K$245,BD!$A$3:$A$5001,"&gt;="&amp;$C$7,BD!$A$3:$A$5001,"&lt;="&amp;$B258,BD!$AA$3:$AA$5001,"&lt;&gt;"))))</f>
        <v/>
      </c>
      <c r="L258" s="43" t="str">
        <f>IF(OR($B258="",$A258&gt;$B$9,L$245=""),"",IF(COUNTIFS(BD!$B$3:$B$5001,L$245,BD!$A$3:$A$5001,"&gt;="&amp;$C$7,BD!$A$3:$A$5001,"&lt;="&amp;$B258,BD!$AA$3:$AA$5001,"&lt;&gt;")=0,"",SUMIFS(BD!$AA$3:$AA$5001,BD!$B$3:$B$5001,L$245,BD!$A$3:$A$5001,_xlfn.MAXIFS(BD!$A$3:$A$5001,BD!$B$3:$B$5001,L$245,BD!$A$3:$A$5001,"&gt;="&amp;$C$7,BD!$A$3:$A$5001,"&lt;="&amp;$B258,BD!$AA$3:$AA$5001,"&lt;&gt;"))))</f>
        <v/>
      </c>
      <c r="M258" s="43" t="str">
        <f>IF(OR($B258="",$A258&gt;$B$9,M$245=""),"",IF(COUNTIFS(BD!$B$3:$B$5001,M$245,BD!$A$3:$A$5001,"&gt;="&amp;$C$7,BD!$A$3:$A$5001,"&lt;="&amp;$B258,BD!$AA$3:$AA$5001,"&lt;&gt;")=0,"",SUMIFS(BD!$AA$3:$AA$5001,BD!$B$3:$B$5001,M$245,BD!$A$3:$A$5001,_xlfn.MAXIFS(BD!$A$3:$A$5001,BD!$B$3:$B$5001,M$245,BD!$A$3:$A$5001,"&gt;="&amp;$C$7,BD!$A$3:$A$5001,"&lt;="&amp;$B258,BD!$AA$3:$AA$5001,"&lt;&gt;"))))</f>
        <v/>
      </c>
      <c r="N258" s="43" t="str">
        <f>IF(OR($B258="",$A258&gt;$B$9,N$245=""),"",IF(COUNTIFS(BD!$B$3:$B$5001,N$245,BD!$A$3:$A$5001,"&gt;="&amp;$C$7,BD!$A$3:$A$5001,"&lt;="&amp;$B258,BD!$AA$3:$AA$5001,"&lt;&gt;")=0,"",SUMIFS(BD!$AA$3:$AA$5001,BD!$B$3:$B$5001,N$245,BD!$A$3:$A$5001,_xlfn.MAXIFS(BD!$A$3:$A$5001,BD!$B$3:$B$5001,N$245,BD!$A$3:$A$5001,"&gt;="&amp;$C$7,BD!$A$3:$A$5001,"&lt;="&amp;$B258,BD!$AA$3:$AA$5001,"&lt;&gt;"))))</f>
        <v/>
      </c>
      <c r="O258" s="43" t="str">
        <f>IF(OR($B258="",$A258&gt;$B$9,O$245=""),"",IF(COUNTIFS(BD!$B$3:$B$5001,O$245,BD!$A$3:$A$5001,"&gt;="&amp;$C$7,BD!$A$3:$A$5001,"&lt;="&amp;$B258,BD!$AA$3:$AA$5001,"&lt;&gt;")=0,"",SUMIFS(BD!$AA$3:$AA$5001,BD!$B$3:$B$5001,O$245,BD!$A$3:$A$5001,_xlfn.MAXIFS(BD!$A$3:$A$5001,BD!$B$3:$B$5001,O$245,BD!$A$3:$A$5001,"&gt;="&amp;$C$7,BD!$A$3:$A$5001,"&lt;="&amp;$B258,BD!$AA$3:$AA$5001,"&lt;&gt;"))))</f>
        <v/>
      </c>
      <c r="P258" s="43" t="str">
        <f>IF(OR($B258="",$A258&gt;$B$9,P$245=""),"",IF(COUNTIFS(BD!$B$3:$B$5001,P$245,BD!$A$3:$A$5001,"&gt;="&amp;$C$7,BD!$A$3:$A$5001,"&lt;="&amp;$B258,BD!$AA$3:$AA$5001,"&lt;&gt;")=0,"",SUMIFS(BD!$AA$3:$AA$5001,BD!$B$3:$B$5001,P$245,BD!$A$3:$A$5001,_xlfn.MAXIFS(BD!$A$3:$A$5001,BD!$B$3:$B$5001,P$245,BD!$A$3:$A$5001,"&gt;="&amp;$C$7,BD!$A$3:$A$5001,"&lt;="&amp;$B258,BD!$AA$3:$AA$5001,"&lt;&gt;"))))</f>
        <v/>
      </c>
      <c r="Q258" s="43" t="str">
        <f>IF(OR($B258="",$A258&gt;$B$9,Q$245=""),"",IF(COUNTIFS(BD!$B$3:$B$5001,Q$245,BD!$A$3:$A$5001,"&gt;="&amp;$C$7,BD!$A$3:$A$5001,"&lt;="&amp;$B258,BD!$AA$3:$AA$5001,"&lt;&gt;")=0,"",SUMIFS(BD!$AA$3:$AA$5001,BD!$B$3:$B$5001,Q$245,BD!$A$3:$A$5001,_xlfn.MAXIFS(BD!$A$3:$A$5001,BD!$B$3:$B$5001,Q$245,BD!$A$3:$A$5001,"&gt;="&amp;$C$7,BD!$A$3:$A$5001,"&lt;="&amp;$B258,BD!$AA$3:$AA$5001,"&lt;&gt;"))))</f>
        <v/>
      </c>
      <c r="R258" s="43" t="str">
        <f>IF(OR($B258="",$A258&gt;$B$9,R$245=""),"",IF(COUNTIFS(BD!$B$3:$B$5001,R$245,BD!$A$3:$A$5001,"&gt;="&amp;$C$7,BD!$A$3:$A$5001,"&lt;="&amp;$B258,BD!$AA$3:$AA$5001,"&lt;&gt;")=0,"",SUMIFS(BD!$AA$3:$AA$5001,BD!$B$3:$B$5001,R$245,BD!$A$3:$A$5001,_xlfn.MAXIFS(BD!$A$3:$A$5001,BD!$B$3:$B$5001,R$245,BD!$A$3:$A$5001,"&gt;="&amp;$C$7,BD!$A$3:$A$5001,"&lt;="&amp;$B258,BD!$AA$3:$AA$5001,"&lt;&gt;"))))</f>
        <v/>
      </c>
      <c r="S258" s="43" t="str">
        <f>IF(OR($B258="",$A258&gt;$B$9,S$245=""),"",IF(COUNTIFS(BD!$B$3:$B$5001,S$245,BD!$A$3:$A$5001,"&gt;="&amp;$C$7,BD!$A$3:$A$5001,"&lt;="&amp;$B258,BD!$AA$3:$AA$5001,"&lt;&gt;")=0,"",SUMIFS(BD!$AA$3:$AA$5001,BD!$B$3:$B$5001,S$245,BD!$A$3:$A$5001,_xlfn.MAXIFS(BD!$A$3:$A$5001,BD!$B$3:$B$5001,S$245,BD!$A$3:$A$5001,"&gt;="&amp;$C$7,BD!$A$3:$A$5001,"&lt;="&amp;$B258,BD!$AA$3:$AA$5001,"&lt;&gt;"))))</f>
        <v/>
      </c>
      <c r="T258" s="43" t="str">
        <f>IF(OR($B258="",$A258&gt;$B$9,T$245=""),"",IF(COUNTIFS(BD!$B$3:$B$5001,T$245,BD!$A$3:$A$5001,"&gt;="&amp;$C$7,BD!$A$3:$A$5001,"&lt;="&amp;$B258,BD!$AA$3:$AA$5001,"&lt;&gt;")=0,"",SUMIFS(BD!$AA$3:$AA$5001,BD!$B$3:$B$5001,T$245,BD!$A$3:$A$5001,_xlfn.MAXIFS(BD!$A$3:$A$5001,BD!$B$3:$B$5001,T$245,BD!$A$3:$A$5001,"&gt;="&amp;$C$7,BD!$A$3:$A$5001,"&lt;="&amp;$B258,BD!$AA$3:$AA$5001,"&lt;&gt;"))))</f>
        <v/>
      </c>
      <c r="U258" s="43" t="str">
        <f>IF(OR($B258="",$A258&gt;$B$9,U$245=""),"",IF(COUNTIFS(BD!$B$3:$B$5001,U$245,BD!$A$3:$A$5001,"&gt;="&amp;$C$7,BD!$A$3:$A$5001,"&lt;="&amp;$B258,BD!$AA$3:$AA$5001,"&lt;&gt;")=0,"",SUMIFS(BD!$AA$3:$AA$5001,BD!$B$3:$B$5001,U$245,BD!$A$3:$A$5001,_xlfn.MAXIFS(BD!$A$3:$A$5001,BD!$B$3:$B$5001,U$245,BD!$A$3:$A$5001,"&gt;="&amp;$C$7,BD!$A$3:$A$5001,"&lt;="&amp;$B258,BD!$AA$3:$AA$5001,"&lt;&gt;"))))</f>
        <v/>
      </c>
      <c r="V258" s="43" t="str">
        <f>IF(OR($B258="",$A258&gt;$B$9,V$245=""),"",IF(COUNTIFS(BD!$B$3:$B$5001,V$245,BD!$A$3:$A$5001,"&gt;="&amp;$C$7,BD!$A$3:$A$5001,"&lt;="&amp;$B258,BD!$AA$3:$AA$5001,"&lt;&gt;")=0,"",SUMIFS(BD!$AA$3:$AA$5001,BD!$B$3:$B$5001,V$245,BD!$A$3:$A$5001,_xlfn.MAXIFS(BD!$A$3:$A$5001,BD!$B$3:$B$5001,V$245,BD!$A$3:$A$5001,"&gt;="&amp;$C$7,BD!$A$3:$A$5001,"&lt;="&amp;$B258,BD!$AA$3:$AA$5001,"&lt;&gt;"))))</f>
        <v/>
      </c>
    </row>
    <row r="259">
      <c r="A259" s="38">
        <v>14</v>
      </c>
      <c r="B259" s="42">
        <f>$B$25</f>
        <v>46309</v>
      </c>
      <c r="C259" s="43" t="str">
        <f>IF(OR($B259="",$A259&gt;$B$9,C$245=""),"",IF(COUNTIFS(BD!$B$3:$B$5001,C$245,BD!$A$3:$A$5001,"&gt;="&amp;$C$7,BD!$A$3:$A$5001,"&lt;="&amp;$B259,BD!$AA$3:$AA$5001,"&lt;&gt;")=0,"",SUMIFS(BD!$AA$3:$AA$5001,BD!$B$3:$B$5001,C$245,BD!$A$3:$A$5001,_xlfn.MAXIFS(BD!$A$3:$A$5001,BD!$B$3:$B$5001,C$245,BD!$A$3:$A$5001,"&gt;="&amp;$C$7,BD!$A$3:$A$5001,"&lt;="&amp;$B259,BD!$AA$3:$AA$5001,"&lt;&gt;"))))</f>
        <v/>
      </c>
      <c r="D259" s="43" t="str">
        <f>IF(OR($B259="",$A259&gt;$B$9,D$245=""),"",IF(COUNTIFS(BD!$B$3:$B$5001,D$245,BD!$A$3:$A$5001,"&gt;="&amp;$C$7,BD!$A$3:$A$5001,"&lt;="&amp;$B259,BD!$AA$3:$AA$5001,"&lt;&gt;")=0,"",SUMIFS(BD!$AA$3:$AA$5001,BD!$B$3:$B$5001,D$245,BD!$A$3:$A$5001,_xlfn.MAXIFS(BD!$A$3:$A$5001,BD!$B$3:$B$5001,D$245,BD!$A$3:$A$5001,"&gt;="&amp;$C$7,BD!$A$3:$A$5001,"&lt;="&amp;$B259,BD!$AA$3:$AA$5001,"&lt;&gt;"))))</f>
        <v/>
      </c>
      <c r="E259" s="43" t="str">
        <f>IF(OR($B259="",$A259&gt;$B$9,E$245=""),"",IF(COUNTIFS(BD!$B$3:$B$5001,E$245,BD!$A$3:$A$5001,"&gt;="&amp;$C$7,BD!$A$3:$A$5001,"&lt;="&amp;$B259,BD!$AA$3:$AA$5001,"&lt;&gt;")=0,"",SUMIFS(BD!$AA$3:$AA$5001,BD!$B$3:$B$5001,E$245,BD!$A$3:$A$5001,_xlfn.MAXIFS(BD!$A$3:$A$5001,BD!$B$3:$B$5001,E$245,BD!$A$3:$A$5001,"&gt;="&amp;$C$7,BD!$A$3:$A$5001,"&lt;="&amp;$B259,BD!$AA$3:$AA$5001,"&lt;&gt;"))))</f>
        <v/>
      </c>
      <c r="F259" s="43" t="str">
        <f>IF(OR($B259="",$A259&gt;$B$9,F$245=""),"",IF(COUNTIFS(BD!$B$3:$B$5001,F$245,BD!$A$3:$A$5001,"&gt;="&amp;$C$7,BD!$A$3:$A$5001,"&lt;="&amp;$B259,BD!$AA$3:$AA$5001,"&lt;&gt;")=0,"",SUMIFS(BD!$AA$3:$AA$5001,BD!$B$3:$B$5001,F$245,BD!$A$3:$A$5001,_xlfn.MAXIFS(BD!$A$3:$A$5001,BD!$B$3:$B$5001,F$245,BD!$A$3:$A$5001,"&gt;="&amp;$C$7,BD!$A$3:$A$5001,"&lt;="&amp;$B259,BD!$AA$3:$AA$5001,"&lt;&gt;"))))</f>
        <v/>
      </c>
      <c r="G259" s="43" t="str">
        <f>IF(OR($B259="",$A259&gt;$B$9,G$245=""),"",IF(COUNTIFS(BD!$B$3:$B$5001,G$245,BD!$A$3:$A$5001,"&gt;="&amp;$C$7,BD!$A$3:$A$5001,"&lt;="&amp;$B259,BD!$AA$3:$AA$5001,"&lt;&gt;")=0,"",SUMIFS(BD!$AA$3:$AA$5001,BD!$B$3:$B$5001,G$245,BD!$A$3:$A$5001,_xlfn.MAXIFS(BD!$A$3:$A$5001,BD!$B$3:$B$5001,G$245,BD!$A$3:$A$5001,"&gt;="&amp;$C$7,BD!$A$3:$A$5001,"&lt;="&amp;$B259,BD!$AA$3:$AA$5001,"&lt;&gt;"))))</f>
        <v/>
      </c>
      <c r="H259" s="43" t="str">
        <f>IF(OR($B259="",$A259&gt;$B$9,H$245=""),"",IF(COUNTIFS(BD!$B$3:$B$5001,H$245,BD!$A$3:$A$5001,"&gt;="&amp;$C$7,BD!$A$3:$A$5001,"&lt;="&amp;$B259,BD!$AA$3:$AA$5001,"&lt;&gt;")=0,"",SUMIFS(BD!$AA$3:$AA$5001,BD!$B$3:$B$5001,H$245,BD!$A$3:$A$5001,_xlfn.MAXIFS(BD!$A$3:$A$5001,BD!$B$3:$B$5001,H$245,BD!$A$3:$A$5001,"&gt;="&amp;$C$7,BD!$A$3:$A$5001,"&lt;="&amp;$B259,BD!$AA$3:$AA$5001,"&lt;&gt;"))))</f>
        <v/>
      </c>
      <c r="I259" s="43" t="str">
        <f>IF(OR($B259="",$A259&gt;$B$9,I$245=""),"",IF(COUNTIFS(BD!$B$3:$B$5001,I$245,BD!$A$3:$A$5001,"&gt;="&amp;$C$7,BD!$A$3:$A$5001,"&lt;="&amp;$B259,BD!$AA$3:$AA$5001,"&lt;&gt;")=0,"",SUMIFS(BD!$AA$3:$AA$5001,BD!$B$3:$B$5001,I$245,BD!$A$3:$A$5001,_xlfn.MAXIFS(BD!$A$3:$A$5001,BD!$B$3:$B$5001,I$245,BD!$A$3:$A$5001,"&gt;="&amp;$C$7,BD!$A$3:$A$5001,"&lt;="&amp;$B259,BD!$AA$3:$AA$5001,"&lt;&gt;"))))</f>
        <v/>
      </c>
      <c r="J259" s="43" t="str">
        <f>IF(OR($B259="",$A259&gt;$B$9,J$245=""),"",IF(COUNTIFS(BD!$B$3:$B$5001,J$245,BD!$A$3:$A$5001,"&gt;="&amp;$C$7,BD!$A$3:$A$5001,"&lt;="&amp;$B259,BD!$AA$3:$AA$5001,"&lt;&gt;")=0,"",SUMIFS(BD!$AA$3:$AA$5001,BD!$B$3:$B$5001,J$245,BD!$A$3:$A$5001,_xlfn.MAXIFS(BD!$A$3:$A$5001,BD!$B$3:$B$5001,J$245,BD!$A$3:$A$5001,"&gt;="&amp;$C$7,BD!$A$3:$A$5001,"&lt;="&amp;$B259,BD!$AA$3:$AA$5001,"&lt;&gt;"))))</f>
        <v/>
      </c>
      <c r="K259" s="43" t="str">
        <f>IF(OR($B259="",$A259&gt;$B$9,K$245=""),"",IF(COUNTIFS(BD!$B$3:$B$5001,K$245,BD!$A$3:$A$5001,"&gt;="&amp;$C$7,BD!$A$3:$A$5001,"&lt;="&amp;$B259,BD!$AA$3:$AA$5001,"&lt;&gt;")=0,"",SUMIFS(BD!$AA$3:$AA$5001,BD!$B$3:$B$5001,K$245,BD!$A$3:$A$5001,_xlfn.MAXIFS(BD!$A$3:$A$5001,BD!$B$3:$B$5001,K$245,BD!$A$3:$A$5001,"&gt;="&amp;$C$7,BD!$A$3:$A$5001,"&lt;="&amp;$B259,BD!$AA$3:$AA$5001,"&lt;&gt;"))))</f>
        <v/>
      </c>
      <c r="L259" s="43" t="str">
        <f>IF(OR($B259="",$A259&gt;$B$9,L$245=""),"",IF(COUNTIFS(BD!$B$3:$B$5001,L$245,BD!$A$3:$A$5001,"&gt;="&amp;$C$7,BD!$A$3:$A$5001,"&lt;="&amp;$B259,BD!$AA$3:$AA$5001,"&lt;&gt;")=0,"",SUMIFS(BD!$AA$3:$AA$5001,BD!$B$3:$B$5001,L$245,BD!$A$3:$A$5001,_xlfn.MAXIFS(BD!$A$3:$A$5001,BD!$B$3:$B$5001,L$245,BD!$A$3:$A$5001,"&gt;="&amp;$C$7,BD!$A$3:$A$5001,"&lt;="&amp;$B259,BD!$AA$3:$AA$5001,"&lt;&gt;"))))</f>
        <v/>
      </c>
      <c r="M259" s="43" t="str">
        <f>IF(OR($B259="",$A259&gt;$B$9,M$245=""),"",IF(COUNTIFS(BD!$B$3:$B$5001,M$245,BD!$A$3:$A$5001,"&gt;="&amp;$C$7,BD!$A$3:$A$5001,"&lt;="&amp;$B259,BD!$AA$3:$AA$5001,"&lt;&gt;")=0,"",SUMIFS(BD!$AA$3:$AA$5001,BD!$B$3:$B$5001,M$245,BD!$A$3:$A$5001,_xlfn.MAXIFS(BD!$A$3:$A$5001,BD!$B$3:$B$5001,M$245,BD!$A$3:$A$5001,"&gt;="&amp;$C$7,BD!$A$3:$A$5001,"&lt;="&amp;$B259,BD!$AA$3:$AA$5001,"&lt;&gt;"))))</f>
        <v/>
      </c>
      <c r="N259" s="43" t="str">
        <f>IF(OR($B259="",$A259&gt;$B$9,N$245=""),"",IF(COUNTIFS(BD!$B$3:$B$5001,N$245,BD!$A$3:$A$5001,"&gt;="&amp;$C$7,BD!$A$3:$A$5001,"&lt;="&amp;$B259,BD!$AA$3:$AA$5001,"&lt;&gt;")=0,"",SUMIFS(BD!$AA$3:$AA$5001,BD!$B$3:$B$5001,N$245,BD!$A$3:$A$5001,_xlfn.MAXIFS(BD!$A$3:$A$5001,BD!$B$3:$B$5001,N$245,BD!$A$3:$A$5001,"&gt;="&amp;$C$7,BD!$A$3:$A$5001,"&lt;="&amp;$B259,BD!$AA$3:$AA$5001,"&lt;&gt;"))))</f>
        <v/>
      </c>
      <c r="O259" s="43" t="str">
        <f>IF(OR($B259="",$A259&gt;$B$9,O$245=""),"",IF(COUNTIFS(BD!$B$3:$B$5001,O$245,BD!$A$3:$A$5001,"&gt;="&amp;$C$7,BD!$A$3:$A$5001,"&lt;="&amp;$B259,BD!$AA$3:$AA$5001,"&lt;&gt;")=0,"",SUMIFS(BD!$AA$3:$AA$5001,BD!$B$3:$B$5001,O$245,BD!$A$3:$A$5001,_xlfn.MAXIFS(BD!$A$3:$A$5001,BD!$B$3:$B$5001,O$245,BD!$A$3:$A$5001,"&gt;="&amp;$C$7,BD!$A$3:$A$5001,"&lt;="&amp;$B259,BD!$AA$3:$AA$5001,"&lt;&gt;"))))</f>
        <v/>
      </c>
      <c r="P259" s="43" t="str">
        <f>IF(OR($B259="",$A259&gt;$B$9,P$245=""),"",IF(COUNTIFS(BD!$B$3:$B$5001,P$245,BD!$A$3:$A$5001,"&gt;="&amp;$C$7,BD!$A$3:$A$5001,"&lt;="&amp;$B259,BD!$AA$3:$AA$5001,"&lt;&gt;")=0,"",SUMIFS(BD!$AA$3:$AA$5001,BD!$B$3:$B$5001,P$245,BD!$A$3:$A$5001,_xlfn.MAXIFS(BD!$A$3:$A$5001,BD!$B$3:$B$5001,P$245,BD!$A$3:$A$5001,"&gt;="&amp;$C$7,BD!$A$3:$A$5001,"&lt;="&amp;$B259,BD!$AA$3:$AA$5001,"&lt;&gt;"))))</f>
        <v/>
      </c>
      <c r="Q259" s="43" t="str">
        <f>IF(OR($B259="",$A259&gt;$B$9,Q$245=""),"",IF(COUNTIFS(BD!$B$3:$B$5001,Q$245,BD!$A$3:$A$5001,"&gt;="&amp;$C$7,BD!$A$3:$A$5001,"&lt;="&amp;$B259,BD!$AA$3:$AA$5001,"&lt;&gt;")=0,"",SUMIFS(BD!$AA$3:$AA$5001,BD!$B$3:$B$5001,Q$245,BD!$A$3:$A$5001,_xlfn.MAXIFS(BD!$A$3:$A$5001,BD!$B$3:$B$5001,Q$245,BD!$A$3:$A$5001,"&gt;="&amp;$C$7,BD!$A$3:$A$5001,"&lt;="&amp;$B259,BD!$AA$3:$AA$5001,"&lt;&gt;"))))</f>
        <v/>
      </c>
      <c r="R259" s="43" t="str">
        <f>IF(OR($B259="",$A259&gt;$B$9,R$245=""),"",IF(COUNTIFS(BD!$B$3:$B$5001,R$245,BD!$A$3:$A$5001,"&gt;="&amp;$C$7,BD!$A$3:$A$5001,"&lt;="&amp;$B259,BD!$AA$3:$AA$5001,"&lt;&gt;")=0,"",SUMIFS(BD!$AA$3:$AA$5001,BD!$B$3:$B$5001,R$245,BD!$A$3:$A$5001,_xlfn.MAXIFS(BD!$A$3:$A$5001,BD!$B$3:$B$5001,R$245,BD!$A$3:$A$5001,"&gt;="&amp;$C$7,BD!$A$3:$A$5001,"&lt;="&amp;$B259,BD!$AA$3:$AA$5001,"&lt;&gt;"))))</f>
        <v/>
      </c>
      <c r="S259" s="43" t="str">
        <f>IF(OR($B259="",$A259&gt;$B$9,S$245=""),"",IF(COUNTIFS(BD!$B$3:$B$5001,S$245,BD!$A$3:$A$5001,"&gt;="&amp;$C$7,BD!$A$3:$A$5001,"&lt;="&amp;$B259,BD!$AA$3:$AA$5001,"&lt;&gt;")=0,"",SUMIFS(BD!$AA$3:$AA$5001,BD!$B$3:$B$5001,S$245,BD!$A$3:$A$5001,_xlfn.MAXIFS(BD!$A$3:$A$5001,BD!$B$3:$B$5001,S$245,BD!$A$3:$A$5001,"&gt;="&amp;$C$7,BD!$A$3:$A$5001,"&lt;="&amp;$B259,BD!$AA$3:$AA$5001,"&lt;&gt;"))))</f>
        <v/>
      </c>
      <c r="T259" s="43" t="str">
        <f>IF(OR($B259="",$A259&gt;$B$9,T$245=""),"",IF(COUNTIFS(BD!$B$3:$B$5001,T$245,BD!$A$3:$A$5001,"&gt;="&amp;$C$7,BD!$A$3:$A$5001,"&lt;="&amp;$B259,BD!$AA$3:$AA$5001,"&lt;&gt;")=0,"",SUMIFS(BD!$AA$3:$AA$5001,BD!$B$3:$B$5001,T$245,BD!$A$3:$A$5001,_xlfn.MAXIFS(BD!$A$3:$A$5001,BD!$B$3:$B$5001,T$245,BD!$A$3:$A$5001,"&gt;="&amp;$C$7,BD!$A$3:$A$5001,"&lt;="&amp;$B259,BD!$AA$3:$AA$5001,"&lt;&gt;"))))</f>
        <v/>
      </c>
      <c r="U259" s="43" t="str">
        <f>IF(OR($B259="",$A259&gt;$B$9,U$245=""),"",IF(COUNTIFS(BD!$B$3:$B$5001,U$245,BD!$A$3:$A$5001,"&gt;="&amp;$C$7,BD!$A$3:$A$5001,"&lt;="&amp;$B259,BD!$AA$3:$AA$5001,"&lt;&gt;")=0,"",SUMIFS(BD!$AA$3:$AA$5001,BD!$B$3:$B$5001,U$245,BD!$A$3:$A$5001,_xlfn.MAXIFS(BD!$A$3:$A$5001,BD!$B$3:$B$5001,U$245,BD!$A$3:$A$5001,"&gt;="&amp;$C$7,BD!$A$3:$A$5001,"&lt;="&amp;$B259,BD!$AA$3:$AA$5001,"&lt;&gt;"))))</f>
        <v/>
      </c>
      <c r="V259" s="43" t="str">
        <f>IF(OR($B259="",$A259&gt;$B$9,V$245=""),"",IF(COUNTIFS(BD!$B$3:$B$5001,V$245,BD!$A$3:$A$5001,"&gt;="&amp;$C$7,BD!$A$3:$A$5001,"&lt;="&amp;$B259,BD!$AA$3:$AA$5001,"&lt;&gt;")=0,"",SUMIFS(BD!$AA$3:$AA$5001,BD!$B$3:$B$5001,V$245,BD!$A$3:$A$5001,_xlfn.MAXIFS(BD!$A$3:$A$5001,BD!$B$3:$B$5001,V$245,BD!$A$3:$A$5001,"&gt;="&amp;$C$7,BD!$A$3:$A$5001,"&lt;="&amp;$B259,BD!$AA$3:$AA$5001,"&lt;&gt;"))))</f>
        <v/>
      </c>
    </row>
    <row r="260">
      <c r="A260" s="38">
        <v>15</v>
      </c>
      <c r="B260" s="42">
        <f>$B$26</f>
        <v>46310</v>
      </c>
      <c r="C260" s="43" t="str">
        <f>IF(OR($B260="",$A260&gt;$B$9,C$245=""),"",IF(COUNTIFS(BD!$B$3:$B$5001,C$245,BD!$A$3:$A$5001,"&gt;="&amp;$C$7,BD!$A$3:$A$5001,"&lt;="&amp;$B260,BD!$AA$3:$AA$5001,"&lt;&gt;")=0,"",SUMIFS(BD!$AA$3:$AA$5001,BD!$B$3:$B$5001,C$245,BD!$A$3:$A$5001,_xlfn.MAXIFS(BD!$A$3:$A$5001,BD!$B$3:$B$5001,C$245,BD!$A$3:$A$5001,"&gt;="&amp;$C$7,BD!$A$3:$A$5001,"&lt;="&amp;$B260,BD!$AA$3:$AA$5001,"&lt;&gt;"))))</f>
        <v/>
      </c>
      <c r="D260" s="43" t="str">
        <f>IF(OR($B260="",$A260&gt;$B$9,D$245=""),"",IF(COUNTIFS(BD!$B$3:$B$5001,D$245,BD!$A$3:$A$5001,"&gt;="&amp;$C$7,BD!$A$3:$A$5001,"&lt;="&amp;$B260,BD!$AA$3:$AA$5001,"&lt;&gt;")=0,"",SUMIFS(BD!$AA$3:$AA$5001,BD!$B$3:$B$5001,D$245,BD!$A$3:$A$5001,_xlfn.MAXIFS(BD!$A$3:$A$5001,BD!$B$3:$B$5001,D$245,BD!$A$3:$A$5001,"&gt;="&amp;$C$7,BD!$A$3:$A$5001,"&lt;="&amp;$B260,BD!$AA$3:$AA$5001,"&lt;&gt;"))))</f>
        <v/>
      </c>
      <c r="E260" s="43" t="str">
        <f>IF(OR($B260="",$A260&gt;$B$9,E$245=""),"",IF(COUNTIFS(BD!$B$3:$B$5001,E$245,BD!$A$3:$A$5001,"&gt;="&amp;$C$7,BD!$A$3:$A$5001,"&lt;="&amp;$B260,BD!$AA$3:$AA$5001,"&lt;&gt;")=0,"",SUMIFS(BD!$AA$3:$AA$5001,BD!$B$3:$B$5001,E$245,BD!$A$3:$A$5001,_xlfn.MAXIFS(BD!$A$3:$A$5001,BD!$B$3:$B$5001,E$245,BD!$A$3:$A$5001,"&gt;="&amp;$C$7,BD!$A$3:$A$5001,"&lt;="&amp;$B260,BD!$AA$3:$AA$5001,"&lt;&gt;"))))</f>
        <v/>
      </c>
      <c r="F260" s="43" t="str">
        <f>IF(OR($B260="",$A260&gt;$B$9,F$245=""),"",IF(COUNTIFS(BD!$B$3:$B$5001,F$245,BD!$A$3:$A$5001,"&gt;="&amp;$C$7,BD!$A$3:$A$5001,"&lt;="&amp;$B260,BD!$AA$3:$AA$5001,"&lt;&gt;")=0,"",SUMIFS(BD!$AA$3:$AA$5001,BD!$B$3:$B$5001,F$245,BD!$A$3:$A$5001,_xlfn.MAXIFS(BD!$A$3:$A$5001,BD!$B$3:$B$5001,F$245,BD!$A$3:$A$5001,"&gt;="&amp;$C$7,BD!$A$3:$A$5001,"&lt;="&amp;$B260,BD!$AA$3:$AA$5001,"&lt;&gt;"))))</f>
        <v/>
      </c>
      <c r="G260" s="43" t="str">
        <f>IF(OR($B260="",$A260&gt;$B$9,G$245=""),"",IF(COUNTIFS(BD!$B$3:$B$5001,G$245,BD!$A$3:$A$5001,"&gt;="&amp;$C$7,BD!$A$3:$A$5001,"&lt;="&amp;$B260,BD!$AA$3:$AA$5001,"&lt;&gt;")=0,"",SUMIFS(BD!$AA$3:$AA$5001,BD!$B$3:$B$5001,G$245,BD!$A$3:$A$5001,_xlfn.MAXIFS(BD!$A$3:$A$5001,BD!$B$3:$B$5001,G$245,BD!$A$3:$A$5001,"&gt;="&amp;$C$7,BD!$A$3:$A$5001,"&lt;="&amp;$B260,BD!$AA$3:$AA$5001,"&lt;&gt;"))))</f>
        <v/>
      </c>
      <c r="H260" s="43" t="str">
        <f>IF(OR($B260="",$A260&gt;$B$9,H$245=""),"",IF(COUNTIFS(BD!$B$3:$B$5001,H$245,BD!$A$3:$A$5001,"&gt;="&amp;$C$7,BD!$A$3:$A$5001,"&lt;="&amp;$B260,BD!$AA$3:$AA$5001,"&lt;&gt;")=0,"",SUMIFS(BD!$AA$3:$AA$5001,BD!$B$3:$B$5001,H$245,BD!$A$3:$A$5001,_xlfn.MAXIFS(BD!$A$3:$A$5001,BD!$B$3:$B$5001,H$245,BD!$A$3:$A$5001,"&gt;="&amp;$C$7,BD!$A$3:$A$5001,"&lt;="&amp;$B260,BD!$AA$3:$AA$5001,"&lt;&gt;"))))</f>
        <v/>
      </c>
      <c r="I260" s="43" t="str">
        <f>IF(OR($B260="",$A260&gt;$B$9,I$245=""),"",IF(COUNTIFS(BD!$B$3:$B$5001,I$245,BD!$A$3:$A$5001,"&gt;="&amp;$C$7,BD!$A$3:$A$5001,"&lt;="&amp;$B260,BD!$AA$3:$AA$5001,"&lt;&gt;")=0,"",SUMIFS(BD!$AA$3:$AA$5001,BD!$B$3:$B$5001,I$245,BD!$A$3:$A$5001,_xlfn.MAXIFS(BD!$A$3:$A$5001,BD!$B$3:$B$5001,I$245,BD!$A$3:$A$5001,"&gt;="&amp;$C$7,BD!$A$3:$A$5001,"&lt;="&amp;$B260,BD!$AA$3:$AA$5001,"&lt;&gt;"))))</f>
        <v/>
      </c>
      <c r="J260" s="43" t="str">
        <f>IF(OR($B260="",$A260&gt;$B$9,J$245=""),"",IF(COUNTIFS(BD!$B$3:$B$5001,J$245,BD!$A$3:$A$5001,"&gt;="&amp;$C$7,BD!$A$3:$A$5001,"&lt;="&amp;$B260,BD!$AA$3:$AA$5001,"&lt;&gt;")=0,"",SUMIFS(BD!$AA$3:$AA$5001,BD!$B$3:$B$5001,J$245,BD!$A$3:$A$5001,_xlfn.MAXIFS(BD!$A$3:$A$5001,BD!$B$3:$B$5001,J$245,BD!$A$3:$A$5001,"&gt;="&amp;$C$7,BD!$A$3:$A$5001,"&lt;="&amp;$B260,BD!$AA$3:$AA$5001,"&lt;&gt;"))))</f>
        <v/>
      </c>
      <c r="K260" s="43" t="str">
        <f>IF(OR($B260="",$A260&gt;$B$9,K$245=""),"",IF(COUNTIFS(BD!$B$3:$B$5001,K$245,BD!$A$3:$A$5001,"&gt;="&amp;$C$7,BD!$A$3:$A$5001,"&lt;="&amp;$B260,BD!$AA$3:$AA$5001,"&lt;&gt;")=0,"",SUMIFS(BD!$AA$3:$AA$5001,BD!$B$3:$B$5001,K$245,BD!$A$3:$A$5001,_xlfn.MAXIFS(BD!$A$3:$A$5001,BD!$B$3:$B$5001,K$245,BD!$A$3:$A$5001,"&gt;="&amp;$C$7,BD!$A$3:$A$5001,"&lt;="&amp;$B260,BD!$AA$3:$AA$5001,"&lt;&gt;"))))</f>
        <v/>
      </c>
      <c r="L260" s="43" t="str">
        <f>IF(OR($B260="",$A260&gt;$B$9,L$245=""),"",IF(COUNTIFS(BD!$B$3:$B$5001,L$245,BD!$A$3:$A$5001,"&gt;="&amp;$C$7,BD!$A$3:$A$5001,"&lt;="&amp;$B260,BD!$AA$3:$AA$5001,"&lt;&gt;")=0,"",SUMIFS(BD!$AA$3:$AA$5001,BD!$B$3:$B$5001,L$245,BD!$A$3:$A$5001,_xlfn.MAXIFS(BD!$A$3:$A$5001,BD!$B$3:$B$5001,L$245,BD!$A$3:$A$5001,"&gt;="&amp;$C$7,BD!$A$3:$A$5001,"&lt;="&amp;$B260,BD!$AA$3:$AA$5001,"&lt;&gt;"))))</f>
        <v/>
      </c>
      <c r="M260" s="43" t="str">
        <f>IF(OR($B260="",$A260&gt;$B$9,M$245=""),"",IF(COUNTIFS(BD!$B$3:$B$5001,M$245,BD!$A$3:$A$5001,"&gt;="&amp;$C$7,BD!$A$3:$A$5001,"&lt;="&amp;$B260,BD!$AA$3:$AA$5001,"&lt;&gt;")=0,"",SUMIFS(BD!$AA$3:$AA$5001,BD!$B$3:$B$5001,M$245,BD!$A$3:$A$5001,_xlfn.MAXIFS(BD!$A$3:$A$5001,BD!$B$3:$B$5001,M$245,BD!$A$3:$A$5001,"&gt;="&amp;$C$7,BD!$A$3:$A$5001,"&lt;="&amp;$B260,BD!$AA$3:$AA$5001,"&lt;&gt;"))))</f>
        <v/>
      </c>
      <c r="N260" s="43" t="str">
        <f>IF(OR($B260="",$A260&gt;$B$9,N$245=""),"",IF(COUNTIFS(BD!$B$3:$B$5001,N$245,BD!$A$3:$A$5001,"&gt;="&amp;$C$7,BD!$A$3:$A$5001,"&lt;="&amp;$B260,BD!$AA$3:$AA$5001,"&lt;&gt;")=0,"",SUMIFS(BD!$AA$3:$AA$5001,BD!$B$3:$B$5001,N$245,BD!$A$3:$A$5001,_xlfn.MAXIFS(BD!$A$3:$A$5001,BD!$B$3:$B$5001,N$245,BD!$A$3:$A$5001,"&gt;="&amp;$C$7,BD!$A$3:$A$5001,"&lt;="&amp;$B260,BD!$AA$3:$AA$5001,"&lt;&gt;"))))</f>
        <v/>
      </c>
      <c r="O260" s="43" t="str">
        <f>IF(OR($B260="",$A260&gt;$B$9,O$245=""),"",IF(COUNTIFS(BD!$B$3:$B$5001,O$245,BD!$A$3:$A$5001,"&gt;="&amp;$C$7,BD!$A$3:$A$5001,"&lt;="&amp;$B260,BD!$AA$3:$AA$5001,"&lt;&gt;")=0,"",SUMIFS(BD!$AA$3:$AA$5001,BD!$B$3:$B$5001,O$245,BD!$A$3:$A$5001,_xlfn.MAXIFS(BD!$A$3:$A$5001,BD!$B$3:$B$5001,O$245,BD!$A$3:$A$5001,"&gt;="&amp;$C$7,BD!$A$3:$A$5001,"&lt;="&amp;$B260,BD!$AA$3:$AA$5001,"&lt;&gt;"))))</f>
        <v/>
      </c>
      <c r="P260" s="43" t="str">
        <f>IF(OR($B260="",$A260&gt;$B$9,P$245=""),"",IF(COUNTIFS(BD!$B$3:$B$5001,P$245,BD!$A$3:$A$5001,"&gt;="&amp;$C$7,BD!$A$3:$A$5001,"&lt;="&amp;$B260,BD!$AA$3:$AA$5001,"&lt;&gt;")=0,"",SUMIFS(BD!$AA$3:$AA$5001,BD!$B$3:$B$5001,P$245,BD!$A$3:$A$5001,_xlfn.MAXIFS(BD!$A$3:$A$5001,BD!$B$3:$B$5001,P$245,BD!$A$3:$A$5001,"&gt;="&amp;$C$7,BD!$A$3:$A$5001,"&lt;="&amp;$B260,BD!$AA$3:$AA$5001,"&lt;&gt;"))))</f>
        <v/>
      </c>
      <c r="Q260" s="43" t="str">
        <f>IF(OR($B260="",$A260&gt;$B$9,Q$245=""),"",IF(COUNTIFS(BD!$B$3:$B$5001,Q$245,BD!$A$3:$A$5001,"&gt;="&amp;$C$7,BD!$A$3:$A$5001,"&lt;="&amp;$B260,BD!$AA$3:$AA$5001,"&lt;&gt;")=0,"",SUMIFS(BD!$AA$3:$AA$5001,BD!$B$3:$B$5001,Q$245,BD!$A$3:$A$5001,_xlfn.MAXIFS(BD!$A$3:$A$5001,BD!$B$3:$B$5001,Q$245,BD!$A$3:$A$5001,"&gt;="&amp;$C$7,BD!$A$3:$A$5001,"&lt;="&amp;$B260,BD!$AA$3:$AA$5001,"&lt;&gt;"))))</f>
        <v/>
      </c>
      <c r="R260" s="43" t="str">
        <f>IF(OR($B260="",$A260&gt;$B$9,R$245=""),"",IF(COUNTIFS(BD!$B$3:$B$5001,R$245,BD!$A$3:$A$5001,"&gt;="&amp;$C$7,BD!$A$3:$A$5001,"&lt;="&amp;$B260,BD!$AA$3:$AA$5001,"&lt;&gt;")=0,"",SUMIFS(BD!$AA$3:$AA$5001,BD!$B$3:$B$5001,R$245,BD!$A$3:$A$5001,_xlfn.MAXIFS(BD!$A$3:$A$5001,BD!$B$3:$B$5001,R$245,BD!$A$3:$A$5001,"&gt;="&amp;$C$7,BD!$A$3:$A$5001,"&lt;="&amp;$B260,BD!$AA$3:$AA$5001,"&lt;&gt;"))))</f>
        <v/>
      </c>
      <c r="S260" s="43" t="str">
        <f>IF(OR($B260="",$A260&gt;$B$9,S$245=""),"",IF(COUNTIFS(BD!$B$3:$B$5001,S$245,BD!$A$3:$A$5001,"&gt;="&amp;$C$7,BD!$A$3:$A$5001,"&lt;="&amp;$B260,BD!$AA$3:$AA$5001,"&lt;&gt;")=0,"",SUMIFS(BD!$AA$3:$AA$5001,BD!$B$3:$B$5001,S$245,BD!$A$3:$A$5001,_xlfn.MAXIFS(BD!$A$3:$A$5001,BD!$B$3:$B$5001,S$245,BD!$A$3:$A$5001,"&gt;="&amp;$C$7,BD!$A$3:$A$5001,"&lt;="&amp;$B260,BD!$AA$3:$AA$5001,"&lt;&gt;"))))</f>
        <v/>
      </c>
      <c r="T260" s="43" t="str">
        <f>IF(OR($B260="",$A260&gt;$B$9,T$245=""),"",IF(COUNTIFS(BD!$B$3:$B$5001,T$245,BD!$A$3:$A$5001,"&gt;="&amp;$C$7,BD!$A$3:$A$5001,"&lt;="&amp;$B260,BD!$AA$3:$AA$5001,"&lt;&gt;")=0,"",SUMIFS(BD!$AA$3:$AA$5001,BD!$B$3:$B$5001,T$245,BD!$A$3:$A$5001,_xlfn.MAXIFS(BD!$A$3:$A$5001,BD!$B$3:$B$5001,T$245,BD!$A$3:$A$5001,"&gt;="&amp;$C$7,BD!$A$3:$A$5001,"&lt;="&amp;$B260,BD!$AA$3:$AA$5001,"&lt;&gt;"))))</f>
        <v/>
      </c>
      <c r="U260" s="43" t="str">
        <f>IF(OR($B260="",$A260&gt;$B$9,U$245=""),"",IF(COUNTIFS(BD!$B$3:$B$5001,U$245,BD!$A$3:$A$5001,"&gt;="&amp;$C$7,BD!$A$3:$A$5001,"&lt;="&amp;$B260,BD!$AA$3:$AA$5001,"&lt;&gt;")=0,"",SUMIFS(BD!$AA$3:$AA$5001,BD!$B$3:$B$5001,U$245,BD!$A$3:$A$5001,_xlfn.MAXIFS(BD!$A$3:$A$5001,BD!$B$3:$B$5001,U$245,BD!$A$3:$A$5001,"&gt;="&amp;$C$7,BD!$A$3:$A$5001,"&lt;="&amp;$B260,BD!$AA$3:$AA$5001,"&lt;&gt;"))))</f>
        <v/>
      </c>
      <c r="V260" s="43" t="str">
        <f>IF(OR($B260="",$A260&gt;$B$9,V$245=""),"",IF(COUNTIFS(BD!$B$3:$B$5001,V$245,BD!$A$3:$A$5001,"&gt;="&amp;$C$7,BD!$A$3:$A$5001,"&lt;="&amp;$B260,BD!$AA$3:$AA$5001,"&lt;&gt;")=0,"",SUMIFS(BD!$AA$3:$AA$5001,BD!$B$3:$B$5001,V$245,BD!$A$3:$A$5001,_xlfn.MAXIFS(BD!$A$3:$A$5001,BD!$B$3:$B$5001,V$245,BD!$A$3:$A$5001,"&gt;="&amp;$C$7,BD!$A$3:$A$5001,"&lt;="&amp;$B260,BD!$AA$3:$AA$5001,"&lt;&gt;"))))</f>
        <v/>
      </c>
    </row>
    <row r="261">
      <c r="A261" s="38">
        <v>16</v>
      </c>
      <c r="B261" s="42">
        <f>$B$27</f>
        <v>46311</v>
      </c>
      <c r="C261" s="43" t="str">
        <f>IF(OR($B261="",$A261&gt;$B$9,C$245=""),"",IF(COUNTIFS(BD!$B$3:$B$5001,C$245,BD!$A$3:$A$5001,"&gt;="&amp;$C$7,BD!$A$3:$A$5001,"&lt;="&amp;$B261,BD!$AA$3:$AA$5001,"&lt;&gt;")=0,"",SUMIFS(BD!$AA$3:$AA$5001,BD!$B$3:$B$5001,C$245,BD!$A$3:$A$5001,_xlfn.MAXIFS(BD!$A$3:$A$5001,BD!$B$3:$B$5001,C$245,BD!$A$3:$A$5001,"&gt;="&amp;$C$7,BD!$A$3:$A$5001,"&lt;="&amp;$B261,BD!$AA$3:$AA$5001,"&lt;&gt;"))))</f>
        <v/>
      </c>
      <c r="D261" s="43" t="str">
        <f>IF(OR($B261="",$A261&gt;$B$9,D$245=""),"",IF(COUNTIFS(BD!$B$3:$B$5001,D$245,BD!$A$3:$A$5001,"&gt;="&amp;$C$7,BD!$A$3:$A$5001,"&lt;="&amp;$B261,BD!$AA$3:$AA$5001,"&lt;&gt;")=0,"",SUMIFS(BD!$AA$3:$AA$5001,BD!$B$3:$B$5001,D$245,BD!$A$3:$A$5001,_xlfn.MAXIFS(BD!$A$3:$A$5001,BD!$B$3:$B$5001,D$245,BD!$A$3:$A$5001,"&gt;="&amp;$C$7,BD!$A$3:$A$5001,"&lt;="&amp;$B261,BD!$AA$3:$AA$5001,"&lt;&gt;"))))</f>
        <v/>
      </c>
      <c r="E261" s="43" t="str">
        <f>IF(OR($B261="",$A261&gt;$B$9,E$245=""),"",IF(COUNTIFS(BD!$B$3:$B$5001,E$245,BD!$A$3:$A$5001,"&gt;="&amp;$C$7,BD!$A$3:$A$5001,"&lt;="&amp;$B261,BD!$AA$3:$AA$5001,"&lt;&gt;")=0,"",SUMIFS(BD!$AA$3:$AA$5001,BD!$B$3:$B$5001,E$245,BD!$A$3:$A$5001,_xlfn.MAXIFS(BD!$A$3:$A$5001,BD!$B$3:$B$5001,E$245,BD!$A$3:$A$5001,"&gt;="&amp;$C$7,BD!$A$3:$A$5001,"&lt;="&amp;$B261,BD!$AA$3:$AA$5001,"&lt;&gt;"))))</f>
        <v/>
      </c>
      <c r="F261" s="43" t="str">
        <f>IF(OR($B261="",$A261&gt;$B$9,F$245=""),"",IF(COUNTIFS(BD!$B$3:$B$5001,F$245,BD!$A$3:$A$5001,"&gt;="&amp;$C$7,BD!$A$3:$A$5001,"&lt;="&amp;$B261,BD!$AA$3:$AA$5001,"&lt;&gt;")=0,"",SUMIFS(BD!$AA$3:$AA$5001,BD!$B$3:$B$5001,F$245,BD!$A$3:$A$5001,_xlfn.MAXIFS(BD!$A$3:$A$5001,BD!$B$3:$B$5001,F$245,BD!$A$3:$A$5001,"&gt;="&amp;$C$7,BD!$A$3:$A$5001,"&lt;="&amp;$B261,BD!$AA$3:$AA$5001,"&lt;&gt;"))))</f>
        <v/>
      </c>
      <c r="G261" s="43" t="str">
        <f>IF(OR($B261="",$A261&gt;$B$9,G$245=""),"",IF(COUNTIFS(BD!$B$3:$B$5001,G$245,BD!$A$3:$A$5001,"&gt;="&amp;$C$7,BD!$A$3:$A$5001,"&lt;="&amp;$B261,BD!$AA$3:$AA$5001,"&lt;&gt;")=0,"",SUMIFS(BD!$AA$3:$AA$5001,BD!$B$3:$B$5001,G$245,BD!$A$3:$A$5001,_xlfn.MAXIFS(BD!$A$3:$A$5001,BD!$B$3:$B$5001,G$245,BD!$A$3:$A$5001,"&gt;="&amp;$C$7,BD!$A$3:$A$5001,"&lt;="&amp;$B261,BD!$AA$3:$AA$5001,"&lt;&gt;"))))</f>
        <v/>
      </c>
      <c r="H261" s="43" t="str">
        <f>IF(OR($B261="",$A261&gt;$B$9,H$245=""),"",IF(COUNTIFS(BD!$B$3:$B$5001,H$245,BD!$A$3:$A$5001,"&gt;="&amp;$C$7,BD!$A$3:$A$5001,"&lt;="&amp;$B261,BD!$AA$3:$AA$5001,"&lt;&gt;")=0,"",SUMIFS(BD!$AA$3:$AA$5001,BD!$B$3:$B$5001,H$245,BD!$A$3:$A$5001,_xlfn.MAXIFS(BD!$A$3:$A$5001,BD!$B$3:$B$5001,H$245,BD!$A$3:$A$5001,"&gt;="&amp;$C$7,BD!$A$3:$A$5001,"&lt;="&amp;$B261,BD!$AA$3:$AA$5001,"&lt;&gt;"))))</f>
        <v/>
      </c>
      <c r="I261" s="43" t="str">
        <f>IF(OR($B261="",$A261&gt;$B$9,I$245=""),"",IF(COUNTIFS(BD!$B$3:$B$5001,I$245,BD!$A$3:$A$5001,"&gt;="&amp;$C$7,BD!$A$3:$A$5001,"&lt;="&amp;$B261,BD!$AA$3:$AA$5001,"&lt;&gt;")=0,"",SUMIFS(BD!$AA$3:$AA$5001,BD!$B$3:$B$5001,I$245,BD!$A$3:$A$5001,_xlfn.MAXIFS(BD!$A$3:$A$5001,BD!$B$3:$B$5001,I$245,BD!$A$3:$A$5001,"&gt;="&amp;$C$7,BD!$A$3:$A$5001,"&lt;="&amp;$B261,BD!$AA$3:$AA$5001,"&lt;&gt;"))))</f>
        <v/>
      </c>
      <c r="J261" s="43" t="str">
        <f>IF(OR($B261="",$A261&gt;$B$9,J$245=""),"",IF(COUNTIFS(BD!$B$3:$B$5001,J$245,BD!$A$3:$A$5001,"&gt;="&amp;$C$7,BD!$A$3:$A$5001,"&lt;="&amp;$B261,BD!$AA$3:$AA$5001,"&lt;&gt;")=0,"",SUMIFS(BD!$AA$3:$AA$5001,BD!$B$3:$B$5001,J$245,BD!$A$3:$A$5001,_xlfn.MAXIFS(BD!$A$3:$A$5001,BD!$B$3:$B$5001,J$245,BD!$A$3:$A$5001,"&gt;="&amp;$C$7,BD!$A$3:$A$5001,"&lt;="&amp;$B261,BD!$AA$3:$AA$5001,"&lt;&gt;"))))</f>
        <v/>
      </c>
      <c r="K261" s="43" t="str">
        <f>IF(OR($B261="",$A261&gt;$B$9,K$245=""),"",IF(COUNTIFS(BD!$B$3:$B$5001,K$245,BD!$A$3:$A$5001,"&gt;="&amp;$C$7,BD!$A$3:$A$5001,"&lt;="&amp;$B261,BD!$AA$3:$AA$5001,"&lt;&gt;")=0,"",SUMIFS(BD!$AA$3:$AA$5001,BD!$B$3:$B$5001,K$245,BD!$A$3:$A$5001,_xlfn.MAXIFS(BD!$A$3:$A$5001,BD!$B$3:$B$5001,K$245,BD!$A$3:$A$5001,"&gt;="&amp;$C$7,BD!$A$3:$A$5001,"&lt;="&amp;$B261,BD!$AA$3:$AA$5001,"&lt;&gt;"))))</f>
        <v/>
      </c>
      <c r="L261" s="43" t="str">
        <f>IF(OR($B261="",$A261&gt;$B$9,L$245=""),"",IF(COUNTIFS(BD!$B$3:$B$5001,L$245,BD!$A$3:$A$5001,"&gt;="&amp;$C$7,BD!$A$3:$A$5001,"&lt;="&amp;$B261,BD!$AA$3:$AA$5001,"&lt;&gt;")=0,"",SUMIFS(BD!$AA$3:$AA$5001,BD!$B$3:$B$5001,L$245,BD!$A$3:$A$5001,_xlfn.MAXIFS(BD!$A$3:$A$5001,BD!$B$3:$B$5001,L$245,BD!$A$3:$A$5001,"&gt;="&amp;$C$7,BD!$A$3:$A$5001,"&lt;="&amp;$B261,BD!$AA$3:$AA$5001,"&lt;&gt;"))))</f>
        <v/>
      </c>
      <c r="M261" s="43" t="str">
        <f>IF(OR($B261="",$A261&gt;$B$9,M$245=""),"",IF(COUNTIFS(BD!$B$3:$B$5001,M$245,BD!$A$3:$A$5001,"&gt;="&amp;$C$7,BD!$A$3:$A$5001,"&lt;="&amp;$B261,BD!$AA$3:$AA$5001,"&lt;&gt;")=0,"",SUMIFS(BD!$AA$3:$AA$5001,BD!$B$3:$B$5001,M$245,BD!$A$3:$A$5001,_xlfn.MAXIFS(BD!$A$3:$A$5001,BD!$B$3:$B$5001,M$245,BD!$A$3:$A$5001,"&gt;="&amp;$C$7,BD!$A$3:$A$5001,"&lt;="&amp;$B261,BD!$AA$3:$AA$5001,"&lt;&gt;"))))</f>
        <v/>
      </c>
      <c r="N261" s="43" t="str">
        <f>IF(OR($B261="",$A261&gt;$B$9,N$245=""),"",IF(COUNTIFS(BD!$B$3:$B$5001,N$245,BD!$A$3:$A$5001,"&gt;="&amp;$C$7,BD!$A$3:$A$5001,"&lt;="&amp;$B261,BD!$AA$3:$AA$5001,"&lt;&gt;")=0,"",SUMIFS(BD!$AA$3:$AA$5001,BD!$B$3:$B$5001,N$245,BD!$A$3:$A$5001,_xlfn.MAXIFS(BD!$A$3:$A$5001,BD!$B$3:$B$5001,N$245,BD!$A$3:$A$5001,"&gt;="&amp;$C$7,BD!$A$3:$A$5001,"&lt;="&amp;$B261,BD!$AA$3:$AA$5001,"&lt;&gt;"))))</f>
        <v/>
      </c>
      <c r="O261" s="43" t="str">
        <f>IF(OR($B261="",$A261&gt;$B$9,O$245=""),"",IF(COUNTIFS(BD!$B$3:$B$5001,O$245,BD!$A$3:$A$5001,"&gt;="&amp;$C$7,BD!$A$3:$A$5001,"&lt;="&amp;$B261,BD!$AA$3:$AA$5001,"&lt;&gt;")=0,"",SUMIFS(BD!$AA$3:$AA$5001,BD!$B$3:$B$5001,O$245,BD!$A$3:$A$5001,_xlfn.MAXIFS(BD!$A$3:$A$5001,BD!$B$3:$B$5001,O$245,BD!$A$3:$A$5001,"&gt;="&amp;$C$7,BD!$A$3:$A$5001,"&lt;="&amp;$B261,BD!$AA$3:$AA$5001,"&lt;&gt;"))))</f>
        <v/>
      </c>
      <c r="P261" s="43" t="str">
        <f>IF(OR($B261="",$A261&gt;$B$9,P$245=""),"",IF(COUNTIFS(BD!$B$3:$B$5001,P$245,BD!$A$3:$A$5001,"&gt;="&amp;$C$7,BD!$A$3:$A$5001,"&lt;="&amp;$B261,BD!$AA$3:$AA$5001,"&lt;&gt;")=0,"",SUMIFS(BD!$AA$3:$AA$5001,BD!$B$3:$B$5001,P$245,BD!$A$3:$A$5001,_xlfn.MAXIFS(BD!$A$3:$A$5001,BD!$B$3:$B$5001,P$245,BD!$A$3:$A$5001,"&gt;="&amp;$C$7,BD!$A$3:$A$5001,"&lt;="&amp;$B261,BD!$AA$3:$AA$5001,"&lt;&gt;"))))</f>
        <v/>
      </c>
      <c r="Q261" s="43" t="str">
        <f>IF(OR($B261="",$A261&gt;$B$9,Q$245=""),"",IF(COUNTIFS(BD!$B$3:$B$5001,Q$245,BD!$A$3:$A$5001,"&gt;="&amp;$C$7,BD!$A$3:$A$5001,"&lt;="&amp;$B261,BD!$AA$3:$AA$5001,"&lt;&gt;")=0,"",SUMIFS(BD!$AA$3:$AA$5001,BD!$B$3:$B$5001,Q$245,BD!$A$3:$A$5001,_xlfn.MAXIFS(BD!$A$3:$A$5001,BD!$B$3:$B$5001,Q$245,BD!$A$3:$A$5001,"&gt;="&amp;$C$7,BD!$A$3:$A$5001,"&lt;="&amp;$B261,BD!$AA$3:$AA$5001,"&lt;&gt;"))))</f>
        <v/>
      </c>
      <c r="R261" s="43" t="str">
        <f>IF(OR($B261="",$A261&gt;$B$9,R$245=""),"",IF(COUNTIFS(BD!$B$3:$B$5001,R$245,BD!$A$3:$A$5001,"&gt;="&amp;$C$7,BD!$A$3:$A$5001,"&lt;="&amp;$B261,BD!$AA$3:$AA$5001,"&lt;&gt;")=0,"",SUMIFS(BD!$AA$3:$AA$5001,BD!$B$3:$B$5001,R$245,BD!$A$3:$A$5001,_xlfn.MAXIFS(BD!$A$3:$A$5001,BD!$B$3:$B$5001,R$245,BD!$A$3:$A$5001,"&gt;="&amp;$C$7,BD!$A$3:$A$5001,"&lt;="&amp;$B261,BD!$AA$3:$AA$5001,"&lt;&gt;"))))</f>
        <v/>
      </c>
      <c r="S261" s="43" t="str">
        <f>IF(OR($B261="",$A261&gt;$B$9,S$245=""),"",IF(COUNTIFS(BD!$B$3:$B$5001,S$245,BD!$A$3:$A$5001,"&gt;="&amp;$C$7,BD!$A$3:$A$5001,"&lt;="&amp;$B261,BD!$AA$3:$AA$5001,"&lt;&gt;")=0,"",SUMIFS(BD!$AA$3:$AA$5001,BD!$B$3:$B$5001,S$245,BD!$A$3:$A$5001,_xlfn.MAXIFS(BD!$A$3:$A$5001,BD!$B$3:$B$5001,S$245,BD!$A$3:$A$5001,"&gt;="&amp;$C$7,BD!$A$3:$A$5001,"&lt;="&amp;$B261,BD!$AA$3:$AA$5001,"&lt;&gt;"))))</f>
        <v/>
      </c>
      <c r="T261" s="43" t="str">
        <f>IF(OR($B261="",$A261&gt;$B$9,T$245=""),"",IF(COUNTIFS(BD!$B$3:$B$5001,T$245,BD!$A$3:$A$5001,"&gt;="&amp;$C$7,BD!$A$3:$A$5001,"&lt;="&amp;$B261,BD!$AA$3:$AA$5001,"&lt;&gt;")=0,"",SUMIFS(BD!$AA$3:$AA$5001,BD!$B$3:$B$5001,T$245,BD!$A$3:$A$5001,_xlfn.MAXIFS(BD!$A$3:$A$5001,BD!$B$3:$B$5001,T$245,BD!$A$3:$A$5001,"&gt;="&amp;$C$7,BD!$A$3:$A$5001,"&lt;="&amp;$B261,BD!$AA$3:$AA$5001,"&lt;&gt;"))))</f>
        <v/>
      </c>
      <c r="U261" s="43" t="str">
        <f>IF(OR($B261="",$A261&gt;$B$9,U$245=""),"",IF(COUNTIFS(BD!$B$3:$B$5001,U$245,BD!$A$3:$A$5001,"&gt;="&amp;$C$7,BD!$A$3:$A$5001,"&lt;="&amp;$B261,BD!$AA$3:$AA$5001,"&lt;&gt;")=0,"",SUMIFS(BD!$AA$3:$AA$5001,BD!$B$3:$B$5001,U$245,BD!$A$3:$A$5001,_xlfn.MAXIFS(BD!$A$3:$A$5001,BD!$B$3:$B$5001,U$245,BD!$A$3:$A$5001,"&gt;="&amp;$C$7,BD!$A$3:$A$5001,"&lt;="&amp;$B261,BD!$AA$3:$AA$5001,"&lt;&gt;"))))</f>
        <v/>
      </c>
      <c r="V261" s="43" t="str">
        <f>IF(OR($B261="",$A261&gt;$B$9,V$245=""),"",IF(COUNTIFS(BD!$B$3:$B$5001,V$245,BD!$A$3:$A$5001,"&gt;="&amp;$C$7,BD!$A$3:$A$5001,"&lt;="&amp;$B261,BD!$AA$3:$AA$5001,"&lt;&gt;")=0,"",SUMIFS(BD!$AA$3:$AA$5001,BD!$B$3:$B$5001,V$245,BD!$A$3:$A$5001,_xlfn.MAXIFS(BD!$A$3:$A$5001,BD!$B$3:$B$5001,V$245,BD!$A$3:$A$5001,"&gt;="&amp;$C$7,BD!$A$3:$A$5001,"&lt;="&amp;$B261,BD!$AA$3:$AA$5001,"&lt;&gt;"))))</f>
        <v/>
      </c>
    </row>
    <row r="262">
      <c r="A262" s="38">
        <v>17</v>
      </c>
      <c r="B262" s="42">
        <f>$B$28</f>
        <v>46312</v>
      </c>
      <c r="C262" s="43" t="str">
        <f>IF(OR($B262="",$A262&gt;$B$9,C$245=""),"",IF(COUNTIFS(BD!$B$3:$B$5001,C$245,BD!$A$3:$A$5001,"&gt;="&amp;$C$7,BD!$A$3:$A$5001,"&lt;="&amp;$B262,BD!$AA$3:$AA$5001,"&lt;&gt;")=0,"",SUMIFS(BD!$AA$3:$AA$5001,BD!$B$3:$B$5001,C$245,BD!$A$3:$A$5001,_xlfn.MAXIFS(BD!$A$3:$A$5001,BD!$B$3:$B$5001,C$245,BD!$A$3:$A$5001,"&gt;="&amp;$C$7,BD!$A$3:$A$5001,"&lt;="&amp;$B262,BD!$AA$3:$AA$5001,"&lt;&gt;"))))</f>
        <v/>
      </c>
      <c r="D262" s="43" t="str">
        <f>IF(OR($B262="",$A262&gt;$B$9,D$245=""),"",IF(COUNTIFS(BD!$B$3:$B$5001,D$245,BD!$A$3:$A$5001,"&gt;="&amp;$C$7,BD!$A$3:$A$5001,"&lt;="&amp;$B262,BD!$AA$3:$AA$5001,"&lt;&gt;")=0,"",SUMIFS(BD!$AA$3:$AA$5001,BD!$B$3:$B$5001,D$245,BD!$A$3:$A$5001,_xlfn.MAXIFS(BD!$A$3:$A$5001,BD!$B$3:$B$5001,D$245,BD!$A$3:$A$5001,"&gt;="&amp;$C$7,BD!$A$3:$A$5001,"&lt;="&amp;$B262,BD!$AA$3:$AA$5001,"&lt;&gt;"))))</f>
        <v/>
      </c>
      <c r="E262" s="43" t="str">
        <f>IF(OR($B262="",$A262&gt;$B$9,E$245=""),"",IF(COUNTIFS(BD!$B$3:$B$5001,E$245,BD!$A$3:$A$5001,"&gt;="&amp;$C$7,BD!$A$3:$A$5001,"&lt;="&amp;$B262,BD!$AA$3:$AA$5001,"&lt;&gt;")=0,"",SUMIFS(BD!$AA$3:$AA$5001,BD!$B$3:$B$5001,E$245,BD!$A$3:$A$5001,_xlfn.MAXIFS(BD!$A$3:$A$5001,BD!$B$3:$B$5001,E$245,BD!$A$3:$A$5001,"&gt;="&amp;$C$7,BD!$A$3:$A$5001,"&lt;="&amp;$B262,BD!$AA$3:$AA$5001,"&lt;&gt;"))))</f>
        <v/>
      </c>
      <c r="F262" s="43" t="str">
        <f>IF(OR($B262="",$A262&gt;$B$9,F$245=""),"",IF(COUNTIFS(BD!$B$3:$B$5001,F$245,BD!$A$3:$A$5001,"&gt;="&amp;$C$7,BD!$A$3:$A$5001,"&lt;="&amp;$B262,BD!$AA$3:$AA$5001,"&lt;&gt;")=0,"",SUMIFS(BD!$AA$3:$AA$5001,BD!$B$3:$B$5001,F$245,BD!$A$3:$A$5001,_xlfn.MAXIFS(BD!$A$3:$A$5001,BD!$B$3:$B$5001,F$245,BD!$A$3:$A$5001,"&gt;="&amp;$C$7,BD!$A$3:$A$5001,"&lt;="&amp;$B262,BD!$AA$3:$AA$5001,"&lt;&gt;"))))</f>
        <v/>
      </c>
      <c r="G262" s="43" t="str">
        <f>IF(OR($B262="",$A262&gt;$B$9,G$245=""),"",IF(COUNTIFS(BD!$B$3:$B$5001,G$245,BD!$A$3:$A$5001,"&gt;="&amp;$C$7,BD!$A$3:$A$5001,"&lt;="&amp;$B262,BD!$AA$3:$AA$5001,"&lt;&gt;")=0,"",SUMIFS(BD!$AA$3:$AA$5001,BD!$B$3:$B$5001,G$245,BD!$A$3:$A$5001,_xlfn.MAXIFS(BD!$A$3:$A$5001,BD!$B$3:$B$5001,G$245,BD!$A$3:$A$5001,"&gt;="&amp;$C$7,BD!$A$3:$A$5001,"&lt;="&amp;$B262,BD!$AA$3:$AA$5001,"&lt;&gt;"))))</f>
        <v/>
      </c>
      <c r="H262" s="43" t="str">
        <f>IF(OR($B262="",$A262&gt;$B$9,H$245=""),"",IF(COUNTIFS(BD!$B$3:$B$5001,H$245,BD!$A$3:$A$5001,"&gt;="&amp;$C$7,BD!$A$3:$A$5001,"&lt;="&amp;$B262,BD!$AA$3:$AA$5001,"&lt;&gt;")=0,"",SUMIFS(BD!$AA$3:$AA$5001,BD!$B$3:$B$5001,H$245,BD!$A$3:$A$5001,_xlfn.MAXIFS(BD!$A$3:$A$5001,BD!$B$3:$B$5001,H$245,BD!$A$3:$A$5001,"&gt;="&amp;$C$7,BD!$A$3:$A$5001,"&lt;="&amp;$B262,BD!$AA$3:$AA$5001,"&lt;&gt;"))))</f>
        <v/>
      </c>
      <c r="I262" s="43" t="str">
        <f>IF(OR($B262="",$A262&gt;$B$9,I$245=""),"",IF(COUNTIFS(BD!$B$3:$B$5001,I$245,BD!$A$3:$A$5001,"&gt;="&amp;$C$7,BD!$A$3:$A$5001,"&lt;="&amp;$B262,BD!$AA$3:$AA$5001,"&lt;&gt;")=0,"",SUMIFS(BD!$AA$3:$AA$5001,BD!$B$3:$B$5001,I$245,BD!$A$3:$A$5001,_xlfn.MAXIFS(BD!$A$3:$A$5001,BD!$B$3:$B$5001,I$245,BD!$A$3:$A$5001,"&gt;="&amp;$C$7,BD!$A$3:$A$5001,"&lt;="&amp;$B262,BD!$AA$3:$AA$5001,"&lt;&gt;"))))</f>
        <v/>
      </c>
      <c r="J262" s="43" t="str">
        <f>IF(OR($B262="",$A262&gt;$B$9,J$245=""),"",IF(COUNTIFS(BD!$B$3:$B$5001,J$245,BD!$A$3:$A$5001,"&gt;="&amp;$C$7,BD!$A$3:$A$5001,"&lt;="&amp;$B262,BD!$AA$3:$AA$5001,"&lt;&gt;")=0,"",SUMIFS(BD!$AA$3:$AA$5001,BD!$B$3:$B$5001,J$245,BD!$A$3:$A$5001,_xlfn.MAXIFS(BD!$A$3:$A$5001,BD!$B$3:$B$5001,J$245,BD!$A$3:$A$5001,"&gt;="&amp;$C$7,BD!$A$3:$A$5001,"&lt;="&amp;$B262,BD!$AA$3:$AA$5001,"&lt;&gt;"))))</f>
        <v/>
      </c>
      <c r="K262" s="43" t="str">
        <f>IF(OR($B262="",$A262&gt;$B$9,K$245=""),"",IF(COUNTIFS(BD!$B$3:$B$5001,K$245,BD!$A$3:$A$5001,"&gt;="&amp;$C$7,BD!$A$3:$A$5001,"&lt;="&amp;$B262,BD!$AA$3:$AA$5001,"&lt;&gt;")=0,"",SUMIFS(BD!$AA$3:$AA$5001,BD!$B$3:$B$5001,K$245,BD!$A$3:$A$5001,_xlfn.MAXIFS(BD!$A$3:$A$5001,BD!$B$3:$B$5001,K$245,BD!$A$3:$A$5001,"&gt;="&amp;$C$7,BD!$A$3:$A$5001,"&lt;="&amp;$B262,BD!$AA$3:$AA$5001,"&lt;&gt;"))))</f>
        <v/>
      </c>
      <c r="L262" s="43" t="str">
        <f>IF(OR($B262="",$A262&gt;$B$9,L$245=""),"",IF(COUNTIFS(BD!$B$3:$B$5001,L$245,BD!$A$3:$A$5001,"&gt;="&amp;$C$7,BD!$A$3:$A$5001,"&lt;="&amp;$B262,BD!$AA$3:$AA$5001,"&lt;&gt;")=0,"",SUMIFS(BD!$AA$3:$AA$5001,BD!$B$3:$B$5001,L$245,BD!$A$3:$A$5001,_xlfn.MAXIFS(BD!$A$3:$A$5001,BD!$B$3:$B$5001,L$245,BD!$A$3:$A$5001,"&gt;="&amp;$C$7,BD!$A$3:$A$5001,"&lt;="&amp;$B262,BD!$AA$3:$AA$5001,"&lt;&gt;"))))</f>
        <v/>
      </c>
      <c r="M262" s="43" t="str">
        <f>IF(OR($B262="",$A262&gt;$B$9,M$245=""),"",IF(COUNTIFS(BD!$B$3:$B$5001,M$245,BD!$A$3:$A$5001,"&gt;="&amp;$C$7,BD!$A$3:$A$5001,"&lt;="&amp;$B262,BD!$AA$3:$AA$5001,"&lt;&gt;")=0,"",SUMIFS(BD!$AA$3:$AA$5001,BD!$B$3:$B$5001,M$245,BD!$A$3:$A$5001,_xlfn.MAXIFS(BD!$A$3:$A$5001,BD!$B$3:$B$5001,M$245,BD!$A$3:$A$5001,"&gt;="&amp;$C$7,BD!$A$3:$A$5001,"&lt;="&amp;$B262,BD!$AA$3:$AA$5001,"&lt;&gt;"))))</f>
        <v/>
      </c>
      <c r="N262" s="43" t="str">
        <f>IF(OR($B262="",$A262&gt;$B$9,N$245=""),"",IF(COUNTIFS(BD!$B$3:$B$5001,N$245,BD!$A$3:$A$5001,"&gt;="&amp;$C$7,BD!$A$3:$A$5001,"&lt;="&amp;$B262,BD!$AA$3:$AA$5001,"&lt;&gt;")=0,"",SUMIFS(BD!$AA$3:$AA$5001,BD!$B$3:$B$5001,N$245,BD!$A$3:$A$5001,_xlfn.MAXIFS(BD!$A$3:$A$5001,BD!$B$3:$B$5001,N$245,BD!$A$3:$A$5001,"&gt;="&amp;$C$7,BD!$A$3:$A$5001,"&lt;="&amp;$B262,BD!$AA$3:$AA$5001,"&lt;&gt;"))))</f>
        <v/>
      </c>
      <c r="O262" s="43" t="str">
        <f>IF(OR($B262="",$A262&gt;$B$9,O$245=""),"",IF(COUNTIFS(BD!$B$3:$B$5001,O$245,BD!$A$3:$A$5001,"&gt;="&amp;$C$7,BD!$A$3:$A$5001,"&lt;="&amp;$B262,BD!$AA$3:$AA$5001,"&lt;&gt;")=0,"",SUMIFS(BD!$AA$3:$AA$5001,BD!$B$3:$B$5001,O$245,BD!$A$3:$A$5001,_xlfn.MAXIFS(BD!$A$3:$A$5001,BD!$B$3:$B$5001,O$245,BD!$A$3:$A$5001,"&gt;="&amp;$C$7,BD!$A$3:$A$5001,"&lt;="&amp;$B262,BD!$AA$3:$AA$5001,"&lt;&gt;"))))</f>
        <v/>
      </c>
      <c r="P262" s="43" t="str">
        <f>IF(OR($B262="",$A262&gt;$B$9,P$245=""),"",IF(COUNTIFS(BD!$B$3:$B$5001,P$245,BD!$A$3:$A$5001,"&gt;="&amp;$C$7,BD!$A$3:$A$5001,"&lt;="&amp;$B262,BD!$AA$3:$AA$5001,"&lt;&gt;")=0,"",SUMIFS(BD!$AA$3:$AA$5001,BD!$B$3:$B$5001,P$245,BD!$A$3:$A$5001,_xlfn.MAXIFS(BD!$A$3:$A$5001,BD!$B$3:$B$5001,P$245,BD!$A$3:$A$5001,"&gt;="&amp;$C$7,BD!$A$3:$A$5001,"&lt;="&amp;$B262,BD!$AA$3:$AA$5001,"&lt;&gt;"))))</f>
        <v/>
      </c>
      <c r="Q262" s="43" t="str">
        <f>IF(OR($B262="",$A262&gt;$B$9,Q$245=""),"",IF(COUNTIFS(BD!$B$3:$B$5001,Q$245,BD!$A$3:$A$5001,"&gt;="&amp;$C$7,BD!$A$3:$A$5001,"&lt;="&amp;$B262,BD!$AA$3:$AA$5001,"&lt;&gt;")=0,"",SUMIFS(BD!$AA$3:$AA$5001,BD!$B$3:$B$5001,Q$245,BD!$A$3:$A$5001,_xlfn.MAXIFS(BD!$A$3:$A$5001,BD!$B$3:$B$5001,Q$245,BD!$A$3:$A$5001,"&gt;="&amp;$C$7,BD!$A$3:$A$5001,"&lt;="&amp;$B262,BD!$AA$3:$AA$5001,"&lt;&gt;"))))</f>
        <v/>
      </c>
      <c r="R262" s="43" t="str">
        <f>IF(OR($B262="",$A262&gt;$B$9,R$245=""),"",IF(COUNTIFS(BD!$B$3:$B$5001,R$245,BD!$A$3:$A$5001,"&gt;="&amp;$C$7,BD!$A$3:$A$5001,"&lt;="&amp;$B262,BD!$AA$3:$AA$5001,"&lt;&gt;")=0,"",SUMIFS(BD!$AA$3:$AA$5001,BD!$B$3:$B$5001,R$245,BD!$A$3:$A$5001,_xlfn.MAXIFS(BD!$A$3:$A$5001,BD!$B$3:$B$5001,R$245,BD!$A$3:$A$5001,"&gt;="&amp;$C$7,BD!$A$3:$A$5001,"&lt;="&amp;$B262,BD!$AA$3:$AA$5001,"&lt;&gt;"))))</f>
        <v/>
      </c>
      <c r="S262" s="43" t="str">
        <f>IF(OR($B262="",$A262&gt;$B$9,S$245=""),"",IF(COUNTIFS(BD!$B$3:$B$5001,S$245,BD!$A$3:$A$5001,"&gt;="&amp;$C$7,BD!$A$3:$A$5001,"&lt;="&amp;$B262,BD!$AA$3:$AA$5001,"&lt;&gt;")=0,"",SUMIFS(BD!$AA$3:$AA$5001,BD!$B$3:$B$5001,S$245,BD!$A$3:$A$5001,_xlfn.MAXIFS(BD!$A$3:$A$5001,BD!$B$3:$B$5001,S$245,BD!$A$3:$A$5001,"&gt;="&amp;$C$7,BD!$A$3:$A$5001,"&lt;="&amp;$B262,BD!$AA$3:$AA$5001,"&lt;&gt;"))))</f>
        <v/>
      </c>
      <c r="T262" s="43" t="str">
        <f>IF(OR($B262="",$A262&gt;$B$9,T$245=""),"",IF(COUNTIFS(BD!$B$3:$B$5001,T$245,BD!$A$3:$A$5001,"&gt;="&amp;$C$7,BD!$A$3:$A$5001,"&lt;="&amp;$B262,BD!$AA$3:$AA$5001,"&lt;&gt;")=0,"",SUMIFS(BD!$AA$3:$AA$5001,BD!$B$3:$B$5001,T$245,BD!$A$3:$A$5001,_xlfn.MAXIFS(BD!$A$3:$A$5001,BD!$B$3:$B$5001,T$245,BD!$A$3:$A$5001,"&gt;="&amp;$C$7,BD!$A$3:$A$5001,"&lt;="&amp;$B262,BD!$AA$3:$AA$5001,"&lt;&gt;"))))</f>
        <v/>
      </c>
      <c r="U262" s="43" t="str">
        <f>IF(OR($B262="",$A262&gt;$B$9,U$245=""),"",IF(COUNTIFS(BD!$B$3:$B$5001,U$245,BD!$A$3:$A$5001,"&gt;="&amp;$C$7,BD!$A$3:$A$5001,"&lt;="&amp;$B262,BD!$AA$3:$AA$5001,"&lt;&gt;")=0,"",SUMIFS(BD!$AA$3:$AA$5001,BD!$B$3:$B$5001,U$245,BD!$A$3:$A$5001,_xlfn.MAXIFS(BD!$A$3:$A$5001,BD!$B$3:$B$5001,U$245,BD!$A$3:$A$5001,"&gt;="&amp;$C$7,BD!$A$3:$A$5001,"&lt;="&amp;$B262,BD!$AA$3:$AA$5001,"&lt;&gt;"))))</f>
        <v/>
      </c>
      <c r="V262" s="43" t="str">
        <f>IF(OR($B262="",$A262&gt;$B$9,V$245=""),"",IF(COUNTIFS(BD!$B$3:$B$5001,V$245,BD!$A$3:$A$5001,"&gt;="&amp;$C$7,BD!$A$3:$A$5001,"&lt;="&amp;$B262,BD!$AA$3:$AA$5001,"&lt;&gt;")=0,"",SUMIFS(BD!$AA$3:$AA$5001,BD!$B$3:$B$5001,V$245,BD!$A$3:$A$5001,_xlfn.MAXIFS(BD!$A$3:$A$5001,BD!$B$3:$B$5001,V$245,BD!$A$3:$A$5001,"&gt;="&amp;$C$7,BD!$A$3:$A$5001,"&lt;="&amp;$B262,BD!$AA$3:$AA$5001,"&lt;&gt;"))))</f>
        <v/>
      </c>
    </row>
    <row r="263">
      <c r="A263" s="38">
        <v>18</v>
      </c>
      <c r="B263" s="42">
        <f>$B$29</f>
        <v>46313</v>
      </c>
      <c r="C263" s="43" t="str">
        <f>IF(OR($B263="",$A263&gt;$B$9,C$245=""),"",IF(COUNTIFS(BD!$B$3:$B$5001,C$245,BD!$A$3:$A$5001,"&gt;="&amp;$C$7,BD!$A$3:$A$5001,"&lt;="&amp;$B263,BD!$AA$3:$AA$5001,"&lt;&gt;")=0,"",SUMIFS(BD!$AA$3:$AA$5001,BD!$B$3:$B$5001,C$245,BD!$A$3:$A$5001,_xlfn.MAXIFS(BD!$A$3:$A$5001,BD!$B$3:$B$5001,C$245,BD!$A$3:$A$5001,"&gt;="&amp;$C$7,BD!$A$3:$A$5001,"&lt;="&amp;$B263,BD!$AA$3:$AA$5001,"&lt;&gt;"))))</f>
        <v/>
      </c>
      <c r="D263" s="43" t="str">
        <f>IF(OR($B263="",$A263&gt;$B$9,D$245=""),"",IF(COUNTIFS(BD!$B$3:$B$5001,D$245,BD!$A$3:$A$5001,"&gt;="&amp;$C$7,BD!$A$3:$A$5001,"&lt;="&amp;$B263,BD!$AA$3:$AA$5001,"&lt;&gt;")=0,"",SUMIFS(BD!$AA$3:$AA$5001,BD!$B$3:$B$5001,D$245,BD!$A$3:$A$5001,_xlfn.MAXIFS(BD!$A$3:$A$5001,BD!$B$3:$B$5001,D$245,BD!$A$3:$A$5001,"&gt;="&amp;$C$7,BD!$A$3:$A$5001,"&lt;="&amp;$B263,BD!$AA$3:$AA$5001,"&lt;&gt;"))))</f>
        <v/>
      </c>
      <c r="E263" s="43" t="str">
        <f>IF(OR($B263="",$A263&gt;$B$9,E$245=""),"",IF(COUNTIFS(BD!$B$3:$B$5001,E$245,BD!$A$3:$A$5001,"&gt;="&amp;$C$7,BD!$A$3:$A$5001,"&lt;="&amp;$B263,BD!$AA$3:$AA$5001,"&lt;&gt;")=0,"",SUMIFS(BD!$AA$3:$AA$5001,BD!$B$3:$B$5001,E$245,BD!$A$3:$A$5001,_xlfn.MAXIFS(BD!$A$3:$A$5001,BD!$B$3:$B$5001,E$245,BD!$A$3:$A$5001,"&gt;="&amp;$C$7,BD!$A$3:$A$5001,"&lt;="&amp;$B263,BD!$AA$3:$AA$5001,"&lt;&gt;"))))</f>
        <v/>
      </c>
      <c r="F263" s="43" t="str">
        <f>IF(OR($B263="",$A263&gt;$B$9,F$245=""),"",IF(COUNTIFS(BD!$B$3:$B$5001,F$245,BD!$A$3:$A$5001,"&gt;="&amp;$C$7,BD!$A$3:$A$5001,"&lt;="&amp;$B263,BD!$AA$3:$AA$5001,"&lt;&gt;")=0,"",SUMIFS(BD!$AA$3:$AA$5001,BD!$B$3:$B$5001,F$245,BD!$A$3:$A$5001,_xlfn.MAXIFS(BD!$A$3:$A$5001,BD!$B$3:$B$5001,F$245,BD!$A$3:$A$5001,"&gt;="&amp;$C$7,BD!$A$3:$A$5001,"&lt;="&amp;$B263,BD!$AA$3:$AA$5001,"&lt;&gt;"))))</f>
        <v/>
      </c>
      <c r="G263" s="43" t="str">
        <f>IF(OR($B263="",$A263&gt;$B$9,G$245=""),"",IF(COUNTIFS(BD!$B$3:$B$5001,G$245,BD!$A$3:$A$5001,"&gt;="&amp;$C$7,BD!$A$3:$A$5001,"&lt;="&amp;$B263,BD!$AA$3:$AA$5001,"&lt;&gt;")=0,"",SUMIFS(BD!$AA$3:$AA$5001,BD!$B$3:$B$5001,G$245,BD!$A$3:$A$5001,_xlfn.MAXIFS(BD!$A$3:$A$5001,BD!$B$3:$B$5001,G$245,BD!$A$3:$A$5001,"&gt;="&amp;$C$7,BD!$A$3:$A$5001,"&lt;="&amp;$B263,BD!$AA$3:$AA$5001,"&lt;&gt;"))))</f>
        <v/>
      </c>
      <c r="H263" s="43" t="str">
        <f>IF(OR($B263="",$A263&gt;$B$9,H$245=""),"",IF(COUNTIFS(BD!$B$3:$B$5001,H$245,BD!$A$3:$A$5001,"&gt;="&amp;$C$7,BD!$A$3:$A$5001,"&lt;="&amp;$B263,BD!$AA$3:$AA$5001,"&lt;&gt;")=0,"",SUMIFS(BD!$AA$3:$AA$5001,BD!$B$3:$B$5001,H$245,BD!$A$3:$A$5001,_xlfn.MAXIFS(BD!$A$3:$A$5001,BD!$B$3:$B$5001,H$245,BD!$A$3:$A$5001,"&gt;="&amp;$C$7,BD!$A$3:$A$5001,"&lt;="&amp;$B263,BD!$AA$3:$AA$5001,"&lt;&gt;"))))</f>
        <v/>
      </c>
      <c r="I263" s="43" t="str">
        <f>IF(OR($B263="",$A263&gt;$B$9,I$245=""),"",IF(COUNTIFS(BD!$B$3:$B$5001,I$245,BD!$A$3:$A$5001,"&gt;="&amp;$C$7,BD!$A$3:$A$5001,"&lt;="&amp;$B263,BD!$AA$3:$AA$5001,"&lt;&gt;")=0,"",SUMIFS(BD!$AA$3:$AA$5001,BD!$B$3:$B$5001,I$245,BD!$A$3:$A$5001,_xlfn.MAXIFS(BD!$A$3:$A$5001,BD!$B$3:$B$5001,I$245,BD!$A$3:$A$5001,"&gt;="&amp;$C$7,BD!$A$3:$A$5001,"&lt;="&amp;$B263,BD!$AA$3:$AA$5001,"&lt;&gt;"))))</f>
        <v/>
      </c>
      <c r="J263" s="43" t="str">
        <f>IF(OR($B263="",$A263&gt;$B$9,J$245=""),"",IF(COUNTIFS(BD!$B$3:$B$5001,J$245,BD!$A$3:$A$5001,"&gt;="&amp;$C$7,BD!$A$3:$A$5001,"&lt;="&amp;$B263,BD!$AA$3:$AA$5001,"&lt;&gt;")=0,"",SUMIFS(BD!$AA$3:$AA$5001,BD!$B$3:$B$5001,J$245,BD!$A$3:$A$5001,_xlfn.MAXIFS(BD!$A$3:$A$5001,BD!$B$3:$B$5001,J$245,BD!$A$3:$A$5001,"&gt;="&amp;$C$7,BD!$A$3:$A$5001,"&lt;="&amp;$B263,BD!$AA$3:$AA$5001,"&lt;&gt;"))))</f>
        <v/>
      </c>
      <c r="K263" s="43" t="str">
        <f>IF(OR($B263="",$A263&gt;$B$9,K$245=""),"",IF(COUNTIFS(BD!$B$3:$B$5001,K$245,BD!$A$3:$A$5001,"&gt;="&amp;$C$7,BD!$A$3:$A$5001,"&lt;="&amp;$B263,BD!$AA$3:$AA$5001,"&lt;&gt;")=0,"",SUMIFS(BD!$AA$3:$AA$5001,BD!$B$3:$B$5001,K$245,BD!$A$3:$A$5001,_xlfn.MAXIFS(BD!$A$3:$A$5001,BD!$B$3:$B$5001,K$245,BD!$A$3:$A$5001,"&gt;="&amp;$C$7,BD!$A$3:$A$5001,"&lt;="&amp;$B263,BD!$AA$3:$AA$5001,"&lt;&gt;"))))</f>
        <v/>
      </c>
      <c r="L263" s="43" t="str">
        <f>IF(OR($B263="",$A263&gt;$B$9,L$245=""),"",IF(COUNTIFS(BD!$B$3:$B$5001,L$245,BD!$A$3:$A$5001,"&gt;="&amp;$C$7,BD!$A$3:$A$5001,"&lt;="&amp;$B263,BD!$AA$3:$AA$5001,"&lt;&gt;")=0,"",SUMIFS(BD!$AA$3:$AA$5001,BD!$B$3:$B$5001,L$245,BD!$A$3:$A$5001,_xlfn.MAXIFS(BD!$A$3:$A$5001,BD!$B$3:$B$5001,L$245,BD!$A$3:$A$5001,"&gt;="&amp;$C$7,BD!$A$3:$A$5001,"&lt;="&amp;$B263,BD!$AA$3:$AA$5001,"&lt;&gt;"))))</f>
        <v/>
      </c>
      <c r="M263" s="43" t="str">
        <f>IF(OR($B263="",$A263&gt;$B$9,M$245=""),"",IF(COUNTIFS(BD!$B$3:$B$5001,M$245,BD!$A$3:$A$5001,"&gt;="&amp;$C$7,BD!$A$3:$A$5001,"&lt;="&amp;$B263,BD!$AA$3:$AA$5001,"&lt;&gt;")=0,"",SUMIFS(BD!$AA$3:$AA$5001,BD!$B$3:$B$5001,M$245,BD!$A$3:$A$5001,_xlfn.MAXIFS(BD!$A$3:$A$5001,BD!$B$3:$B$5001,M$245,BD!$A$3:$A$5001,"&gt;="&amp;$C$7,BD!$A$3:$A$5001,"&lt;="&amp;$B263,BD!$AA$3:$AA$5001,"&lt;&gt;"))))</f>
        <v/>
      </c>
      <c r="N263" s="43" t="str">
        <f>IF(OR($B263="",$A263&gt;$B$9,N$245=""),"",IF(COUNTIFS(BD!$B$3:$B$5001,N$245,BD!$A$3:$A$5001,"&gt;="&amp;$C$7,BD!$A$3:$A$5001,"&lt;="&amp;$B263,BD!$AA$3:$AA$5001,"&lt;&gt;")=0,"",SUMIFS(BD!$AA$3:$AA$5001,BD!$B$3:$B$5001,N$245,BD!$A$3:$A$5001,_xlfn.MAXIFS(BD!$A$3:$A$5001,BD!$B$3:$B$5001,N$245,BD!$A$3:$A$5001,"&gt;="&amp;$C$7,BD!$A$3:$A$5001,"&lt;="&amp;$B263,BD!$AA$3:$AA$5001,"&lt;&gt;"))))</f>
        <v/>
      </c>
      <c r="O263" s="43" t="str">
        <f>IF(OR($B263="",$A263&gt;$B$9,O$245=""),"",IF(COUNTIFS(BD!$B$3:$B$5001,O$245,BD!$A$3:$A$5001,"&gt;="&amp;$C$7,BD!$A$3:$A$5001,"&lt;="&amp;$B263,BD!$AA$3:$AA$5001,"&lt;&gt;")=0,"",SUMIFS(BD!$AA$3:$AA$5001,BD!$B$3:$B$5001,O$245,BD!$A$3:$A$5001,_xlfn.MAXIFS(BD!$A$3:$A$5001,BD!$B$3:$B$5001,O$245,BD!$A$3:$A$5001,"&gt;="&amp;$C$7,BD!$A$3:$A$5001,"&lt;="&amp;$B263,BD!$AA$3:$AA$5001,"&lt;&gt;"))))</f>
        <v/>
      </c>
      <c r="P263" s="43" t="str">
        <f>IF(OR($B263="",$A263&gt;$B$9,P$245=""),"",IF(COUNTIFS(BD!$B$3:$B$5001,P$245,BD!$A$3:$A$5001,"&gt;="&amp;$C$7,BD!$A$3:$A$5001,"&lt;="&amp;$B263,BD!$AA$3:$AA$5001,"&lt;&gt;")=0,"",SUMIFS(BD!$AA$3:$AA$5001,BD!$B$3:$B$5001,P$245,BD!$A$3:$A$5001,_xlfn.MAXIFS(BD!$A$3:$A$5001,BD!$B$3:$B$5001,P$245,BD!$A$3:$A$5001,"&gt;="&amp;$C$7,BD!$A$3:$A$5001,"&lt;="&amp;$B263,BD!$AA$3:$AA$5001,"&lt;&gt;"))))</f>
        <v/>
      </c>
      <c r="Q263" s="43" t="str">
        <f>IF(OR($B263="",$A263&gt;$B$9,Q$245=""),"",IF(COUNTIFS(BD!$B$3:$B$5001,Q$245,BD!$A$3:$A$5001,"&gt;="&amp;$C$7,BD!$A$3:$A$5001,"&lt;="&amp;$B263,BD!$AA$3:$AA$5001,"&lt;&gt;")=0,"",SUMIFS(BD!$AA$3:$AA$5001,BD!$B$3:$B$5001,Q$245,BD!$A$3:$A$5001,_xlfn.MAXIFS(BD!$A$3:$A$5001,BD!$B$3:$B$5001,Q$245,BD!$A$3:$A$5001,"&gt;="&amp;$C$7,BD!$A$3:$A$5001,"&lt;="&amp;$B263,BD!$AA$3:$AA$5001,"&lt;&gt;"))))</f>
        <v/>
      </c>
      <c r="R263" s="43" t="str">
        <f>IF(OR($B263="",$A263&gt;$B$9,R$245=""),"",IF(COUNTIFS(BD!$B$3:$B$5001,R$245,BD!$A$3:$A$5001,"&gt;="&amp;$C$7,BD!$A$3:$A$5001,"&lt;="&amp;$B263,BD!$AA$3:$AA$5001,"&lt;&gt;")=0,"",SUMIFS(BD!$AA$3:$AA$5001,BD!$B$3:$B$5001,R$245,BD!$A$3:$A$5001,_xlfn.MAXIFS(BD!$A$3:$A$5001,BD!$B$3:$B$5001,R$245,BD!$A$3:$A$5001,"&gt;="&amp;$C$7,BD!$A$3:$A$5001,"&lt;="&amp;$B263,BD!$AA$3:$AA$5001,"&lt;&gt;"))))</f>
        <v/>
      </c>
      <c r="S263" s="43" t="str">
        <f>IF(OR($B263="",$A263&gt;$B$9,S$245=""),"",IF(COUNTIFS(BD!$B$3:$B$5001,S$245,BD!$A$3:$A$5001,"&gt;="&amp;$C$7,BD!$A$3:$A$5001,"&lt;="&amp;$B263,BD!$AA$3:$AA$5001,"&lt;&gt;")=0,"",SUMIFS(BD!$AA$3:$AA$5001,BD!$B$3:$B$5001,S$245,BD!$A$3:$A$5001,_xlfn.MAXIFS(BD!$A$3:$A$5001,BD!$B$3:$B$5001,S$245,BD!$A$3:$A$5001,"&gt;="&amp;$C$7,BD!$A$3:$A$5001,"&lt;="&amp;$B263,BD!$AA$3:$AA$5001,"&lt;&gt;"))))</f>
        <v/>
      </c>
      <c r="T263" s="43" t="str">
        <f>IF(OR($B263="",$A263&gt;$B$9,T$245=""),"",IF(COUNTIFS(BD!$B$3:$B$5001,T$245,BD!$A$3:$A$5001,"&gt;="&amp;$C$7,BD!$A$3:$A$5001,"&lt;="&amp;$B263,BD!$AA$3:$AA$5001,"&lt;&gt;")=0,"",SUMIFS(BD!$AA$3:$AA$5001,BD!$B$3:$B$5001,T$245,BD!$A$3:$A$5001,_xlfn.MAXIFS(BD!$A$3:$A$5001,BD!$B$3:$B$5001,T$245,BD!$A$3:$A$5001,"&gt;="&amp;$C$7,BD!$A$3:$A$5001,"&lt;="&amp;$B263,BD!$AA$3:$AA$5001,"&lt;&gt;"))))</f>
        <v/>
      </c>
      <c r="U263" s="43" t="str">
        <f>IF(OR($B263="",$A263&gt;$B$9,U$245=""),"",IF(COUNTIFS(BD!$B$3:$B$5001,U$245,BD!$A$3:$A$5001,"&gt;="&amp;$C$7,BD!$A$3:$A$5001,"&lt;="&amp;$B263,BD!$AA$3:$AA$5001,"&lt;&gt;")=0,"",SUMIFS(BD!$AA$3:$AA$5001,BD!$B$3:$B$5001,U$245,BD!$A$3:$A$5001,_xlfn.MAXIFS(BD!$A$3:$A$5001,BD!$B$3:$B$5001,U$245,BD!$A$3:$A$5001,"&gt;="&amp;$C$7,BD!$A$3:$A$5001,"&lt;="&amp;$B263,BD!$AA$3:$AA$5001,"&lt;&gt;"))))</f>
        <v/>
      </c>
      <c r="V263" s="43" t="str">
        <f>IF(OR($B263="",$A263&gt;$B$9,V$245=""),"",IF(COUNTIFS(BD!$B$3:$B$5001,V$245,BD!$A$3:$A$5001,"&gt;="&amp;$C$7,BD!$A$3:$A$5001,"&lt;="&amp;$B263,BD!$AA$3:$AA$5001,"&lt;&gt;")=0,"",SUMIFS(BD!$AA$3:$AA$5001,BD!$B$3:$B$5001,V$245,BD!$A$3:$A$5001,_xlfn.MAXIFS(BD!$A$3:$A$5001,BD!$B$3:$B$5001,V$245,BD!$A$3:$A$5001,"&gt;="&amp;$C$7,BD!$A$3:$A$5001,"&lt;="&amp;$B263,BD!$AA$3:$AA$5001,"&lt;&gt;"))))</f>
        <v/>
      </c>
    </row>
    <row r="264">
      <c r="A264" s="38">
        <v>19</v>
      </c>
      <c r="B264" s="42">
        <f>$B$30</f>
        <v>46314</v>
      </c>
      <c r="C264" s="43" t="str">
        <f>IF(OR($B264="",$A264&gt;$B$9,C$245=""),"",IF(COUNTIFS(BD!$B$3:$B$5001,C$245,BD!$A$3:$A$5001,"&gt;="&amp;$C$7,BD!$A$3:$A$5001,"&lt;="&amp;$B264,BD!$AA$3:$AA$5001,"&lt;&gt;")=0,"",SUMIFS(BD!$AA$3:$AA$5001,BD!$B$3:$B$5001,C$245,BD!$A$3:$A$5001,_xlfn.MAXIFS(BD!$A$3:$A$5001,BD!$B$3:$B$5001,C$245,BD!$A$3:$A$5001,"&gt;="&amp;$C$7,BD!$A$3:$A$5001,"&lt;="&amp;$B264,BD!$AA$3:$AA$5001,"&lt;&gt;"))))</f>
        <v/>
      </c>
      <c r="D264" s="43" t="str">
        <f>IF(OR($B264="",$A264&gt;$B$9,D$245=""),"",IF(COUNTIFS(BD!$B$3:$B$5001,D$245,BD!$A$3:$A$5001,"&gt;="&amp;$C$7,BD!$A$3:$A$5001,"&lt;="&amp;$B264,BD!$AA$3:$AA$5001,"&lt;&gt;")=0,"",SUMIFS(BD!$AA$3:$AA$5001,BD!$B$3:$B$5001,D$245,BD!$A$3:$A$5001,_xlfn.MAXIFS(BD!$A$3:$A$5001,BD!$B$3:$B$5001,D$245,BD!$A$3:$A$5001,"&gt;="&amp;$C$7,BD!$A$3:$A$5001,"&lt;="&amp;$B264,BD!$AA$3:$AA$5001,"&lt;&gt;"))))</f>
        <v/>
      </c>
      <c r="E264" s="43" t="str">
        <f>IF(OR($B264="",$A264&gt;$B$9,E$245=""),"",IF(COUNTIFS(BD!$B$3:$B$5001,E$245,BD!$A$3:$A$5001,"&gt;="&amp;$C$7,BD!$A$3:$A$5001,"&lt;="&amp;$B264,BD!$AA$3:$AA$5001,"&lt;&gt;")=0,"",SUMIFS(BD!$AA$3:$AA$5001,BD!$B$3:$B$5001,E$245,BD!$A$3:$A$5001,_xlfn.MAXIFS(BD!$A$3:$A$5001,BD!$B$3:$B$5001,E$245,BD!$A$3:$A$5001,"&gt;="&amp;$C$7,BD!$A$3:$A$5001,"&lt;="&amp;$B264,BD!$AA$3:$AA$5001,"&lt;&gt;"))))</f>
        <v/>
      </c>
      <c r="F264" s="43" t="str">
        <f>IF(OR($B264="",$A264&gt;$B$9,F$245=""),"",IF(COUNTIFS(BD!$B$3:$B$5001,F$245,BD!$A$3:$A$5001,"&gt;="&amp;$C$7,BD!$A$3:$A$5001,"&lt;="&amp;$B264,BD!$AA$3:$AA$5001,"&lt;&gt;")=0,"",SUMIFS(BD!$AA$3:$AA$5001,BD!$B$3:$B$5001,F$245,BD!$A$3:$A$5001,_xlfn.MAXIFS(BD!$A$3:$A$5001,BD!$B$3:$B$5001,F$245,BD!$A$3:$A$5001,"&gt;="&amp;$C$7,BD!$A$3:$A$5001,"&lt;="&amp;$B264,BD!$AA$3:$AA$5001,"&lt;&gt;"))))</f>
        <v/>
      </c>
      <c r="G264" s="43" t="str">
        <f>IF(OR($B264="",$A264&gt;$B$9,G$245=""),"",IF(COUNTIFS(BD!$B$3:$B$5001,G$245,BD!$A$3:$A$5001,"&gt;="&amp;$C$7,BD!$A$3:$A$5001,"&lt;="&amp;$B264,BD!$AA$3:$AA$5001,"&lt;&gt;")=0,"",SUMIFS(BD!$AA$3:$AA$5001,BD!$B$3:$B$5001,G$245,BD!$A$3:$A$5001,_xlfn.MAXIFS(BD!$A$3:$A$5001,BD!$B$3:$B$5001,G$245,BD!$A$3:$A$5001,"&gt;="&amp;$C$7,BD!$A$3:$A$5001,"&lt;="&amp;$B264,BD!$AA$3:$AA$5001,"&lt;&gt;"))))</f>
        <v/>
      </c>
      <c r="H264" s="43" t="str">
        <f>IF(OR($B264="",$A264&gt;$B$9,H$245=""),"",IF(COUNTIFS(BD!$B$3:$B$5001,H$245,BD!$A$3:$A$5001,"&gt;="&amp;$C$7,BD!$A$3:$A$5001,"&lt;="&amp;$B264,BD!$AA$3:$AA$5001,"&lt;&gt;")=0,"",SUMIFS(BD!$AA$3:$AA$5001,BD!$B$3:$B$5001,H$245,BD!$A$3:$A$5001,_xlfn.MAXIFS(BD!$A$3:$A$5001,BD!$B$3:$B$5001,H$245,BD!$A$3:$A$5001,"&gt;="&amp;$C$7,BD!$A$3:$A$5001,"&lt;="&amp;$B264,BD!$AA$3:$AA$5001,"&lt;&gt;"))))</f>
        <v/>
      </c>
      <c r="I264" s="43" t="str">
        <f>IF(OR($B264="",$A264&gt;$B$9,I$245=""),"",IF(COUNTIFS(BD!$B$3:$B$5001,I$245,BD!$A$3:$A$5001,"&gt;="&amp;$C$7,BD!$A$3:$A$5001,"&lt;="&amp;$B264,BD!$AA$3:$AA$5001,"&lt;&gt;")=0,"",SUMIFS(BD!$AA$3:$AA$5001,BD!$B$3:$B$5001,I$245,BD!$A$3:$A$5001,_xlfn.MAXIFS(BD!$A$3:$A$5001,BD!$B$3:$B$5001,I$245,BD!$A$3:$A$5001,"&gt;="&amp;$C$7,BD!$A$3:$A$5001,"&lt;="&amp;$B264,BD!$AA$3:$AA$5001,"&lt;&gt;"))))</f>
        <v/>
      </c>
      <c r="J264" s="43" t="str">
        <f>IF(OR($B264="",$A264&gt;$B$9,J$245=""),"",IF(COUNTIFS(BD!$B$3:$B$5001,J$245,BD!$A$3:$A$5001,"&gt;="&amp;$C$7,BD!$A$3:$A$5001,"&lt;="&amp;$B264,BD!$AA$3:$AA$5001,"&lt;&gt;")=0,"",SUMIFS(BD!$AA$3:$AA$5001,BD!$B$3:$B$5001,J$245,BD!$A$3:$A$5001,_xlfn.MAXIFS(BD!$A$3:$A$5001,BD!$B$3:$B$5001,J$245,BD!$A$3:$A$5001,"&gt;="&amp;$C$7,BD!$A$3:$A$5001,"&lt;="&amp;$B264,BD!$AA$3:$AA$5001,"&lt;&gt;"))))</f>
        <v/>
      </c>
      <c r="K264" s="43" t="str">
        <f>IF(OR($B264="",$A264&gt;$B$9,K$245=""),"",IF(COUNTIFS(BD!$B$3:$B$5001,K$245,BD!$A$3:$A$5001,"&gt;="&amp;$C$7,BD!$A$3:$A$5001,"&lt;="&amp;$B264,BD!$AA$3:$AA$5001,"&lt;&gt;")=0,"",SUMIFS(BD!$AA$3:$AA$5001,BD!$B$3:$B$5001,K$245,BD!$A$3:$A$5001,_xlfn.MAXIFS(BD!$A$3:$A$5001,BD!$B$3:$B$5001,K$245,BD!$A$3:$A$5001,"&gt;="&amp;$C$7,BD!$A$3:$A$5001,"&lt;="&amp;$B264,BD!$AA$3:$AA$5001,"&lt;&gt;"))))</f>
        <v/>
      </c>
      <c r="L264" s="43" t="str">
        <f>IF(OR($B264="",$A264&gt;$B$9,L$245=""),"",IF(COUNTIFS(BD!$B$3:$B$5001,L$245,BD!$A$3:$A$5001,"&gt;="&amp;$C$7,BD!$A$3:$A$5001,"&lt;="&amp;$B264,BD!$AA$3:$AA$5001,"&lt;&gt;")=0,"",SUMIFS(BD!$AA$3:$AA$5001,BD!$B$3:$B$5001,L$245,BD!$A$3:$A$5001,_xlfn.MAXIFS(BD!$A$3:$A$5001,BD!$B$3:$B$5001,L$245,BD!$A$3:$A$5001,"&gt;="&amp;$C$7,BD!$A$3:$A$5001,"&lt;="&amp;$B264,BD!$AA$3:$AA$5001,"&lt;&gt;"))))</f>
        <v/>
      </c>
      <c r="M264" s="43" t="str">
        <f>IF(OR($B264="",$A264&gt;$B$9,M$245=""),"",IF(COUNTIFS(BD!$B$3:$B$5001,M$245,BD!$A$3:$A$5001,"&gt;="&amp;$C$7,BD!$A$3:$A$5001,"&lt;="&amp;$B264,BD!$AA$3:$AA$5001,"&lt;&gt;")=0,"",SUMIFS(BD!$AA$3:$AA$5001,BD!$B$3:$B$5001,M$245,BD!$A$3:$A$5001,_xlfn.MAXIFS(BD!$A$3:$A$5001,BD!$B$3:$B$5001,M$245,BD!$A$3:$A$5001,"&gt;="&amp;$C$7,BD!$A$3:$A$5001,"&lt;="&amp;$B264,BD!$AA$3:$AA$5001,"&lt;&gt;"))))</f>
        <v/>
      </c>
      <c r="N264" s="43" t="str">
        <f>IF(OR($B264="",$A264&gt;$B$9,N$245=""),"",IF(COUNTIFS(BD!$B$3:$B$5001,N$245,BD!$A$3:$A$5001,"&gt;="&amp;$C$7,BD!$A$3:$A$5001,"&lt;="&amp;$B264,BD!$AA$3:$AA$5001,"&lt;&gt;")=0,"",SUMIFS(BD!$AA$3:$AA$5001,BD!$B$3:$B$5001,N$245,BD!$A$3:$A$5001,_xlfn.MAXIFS(BD!$A$3:$A$5001,BD!$B$3:$B$5001,N$245,BD!$A$3:$A$5001,"&gt;="&amp;$C$7,BD!$A$3:$A$5001,"&lt;="&amp;$B264,BD!$AA$3:$AA$5001,"&lt;&gt;"))))</f>
        <v/>
      </c>
      <c r="O264" s="43" t="str">
        <f>IF(OR($B264="",$A264&gt;$B$9,O$245=""),"",IF(COUNTIFS(BD!$B$3:$B$5001,O$245,BD!$A$3:$A$5001,"&gt;="&amp;$C$7,BD!$A$3:$A$5001,"&lt;="&amp;$B264,BD!$AA$3:$AA$5001,"&lt;&gt;")=0,"",SUMIFS(BD!$AA$3:$AA$5001,BD!$B$3:$B$5001,O$245,BD!$A$3:$A$5001,_xlfn.MAXIFS(BD!$A$3:$A$5001,BD!$B$3:$B$5001,O$245,BD!$A$3:$A$5001,"&gt;="&amp;$C$7,BD!$A$3:$A$5001,"&lt;="&amp;$B264,BD!$AA$3:$AA$5001,"&lt;&gt;"))))</f>
        <v/>
      </c>
      <c r="P264" s="43" t="str">
        <f>IF(OR($B264="",$A264&gt;$B$9,P$245=""),"",IF(COUNTIFS(BD!$B$3:$B$5001,P$245,BD!$A$3:$A$5001,"&gt;="&amp;$C$7,BD!$A$3:$A$5001,"&lt;="&amp;$B264,BD!$AA$3:$AA$5001,"&lt;&gt;")=0,"",SUMIFS(BD!$AA$3:$AA$5001,BD!$B$3:$B$5001,P$245,BD!$A$3:$A$5001,_xlfn.MAXIFS(BD!$A$3:$A$5001,BD!$B$3:$B$5001,P$245,BD!$A$3:$A$5001,"&gt;="&amp;$C$7,BD!$A$3:$A$5001,"&lt;="&amp;$B264,BD!$AA$3:$AA$5001,"&lt;&gt;"))))</f>
        <v/>
      </c>
      <c r="Q264" s="43" t="str">
        <f>IF(OR($B264="",$A264&gt;$B$9,Q$245=""),"",IF(COUNTIFS(BD!$B$3:$B$5001,Q$245,BD!$A$3:$A$5001,"&gt;="&amp;$C$7,BD!$A$3:$A$5001,"&lt;="&amp;$B264,BD!$AA$3:$AA$5001,"&lt;&gt;")=0,"",SUMIFS(BD!$AA$3:$AA$5001,BD!$B$3:$B$5001,Q$245,BD!$A$3:$A$5001,_xlfn.MAXIFS(BD!$A$3:$A$5001,BD!$B$3:$B$5001,Q$245,BD!$A$3:$A$5001,"&gt;="&amp;$C$7,BD!$A$3:$A$5001,"&lt;="&amp;$B264,BD!$AA$3:$AA$5001,"&lt;&gt;"))))</f>
        <v/>
      </c>
      <c r="R264" s="43" t="str">
        <f>IF(OR($B264="",$A264&gt;$B$9,R$245=""),"",IF(COUNTIFS(BD!$B$3:$B$5001,R$245,BD!$A$3:$A$5001,"&gt;="&amp;$C$7,BD!$A$3:$A$5001,"&lt;="&amp;$B264,BD!$AA$3:$AA$5001,"&lt;&gt;")=0,"",SUMIFS(BD!$AA$3:$AA$5001,BD!$B$3:$B$5001,R$245,BD!$A$3:$A$5001,_xlfn.MAXIFS(BD!$A$3:$A$5001,BD!$B$3:$B$5001,R$245,BD!$A$3:$A$5001,"&gt;="&amp;$C$7,BD!$A$3:$A$5001,"&lt;="&amp;$B264,BD!$AA$3:$AA$5001,"&lt;&gt;"))))</f>
        <v/>
      </c>
      <c r="S264" s="43" t="str">
        <f>IF(OR($B264="",$A264&gt;$B$9,S$245=""),"",IF(COUNTIFS(BD!$B$3:$B$5001,S$245,BD!$A$3:$A$5001,"&gt;="&amp;$C$7,BD!$A$3:$A$5001,"&lt;="&amp;$B264,BD!$AA$3:$AA$5001,"&lt;&gt;")=0,"",SUMIFS(BD!$AA$3:$AA$5001,BD!$B$3:$B$5001,S$245,BD!$A$3:$A$5001,_xlfn.MAXIFS(BD!$A$3:$A$5001,BD!$B$3:$B$5001,S$245,BD!$A$3:$A$5001,"&gt;="&amp;$C$7,BD!$A$3:$A$5001,"&lt;="&amp;$B264,BD!$AA$3:$AA$5001,"&lt;&gt;"))))</f>
        <v/>
      </c>
      <c r="T264" s="43" t="str">
        <f>IF(OR($B264="",$A264&gt;$B$9,T$245=""),"",IF(COUNTIFS(BD!$B$3:$B$5001,T$245,BD!$A$3:$A$5001,"&gt;="&amp;$C$7,BD!$A$3:$A$5001,"&lt;="&amp;$B264,BD!$AA$3:$AA$5001,"&lt;&gt;")=0,"",SUMIFS(BD!$AA$3:$AA$5001,BD!$B$3:$B$5001,T$245,BD!$A$3:$A$5001,_xlfn.MAXIFS(BD!$A$3:$A$5001,BD!$B$3:$B$5001,T$245,BD!$A$3:$A$5001,"&gt;="&amp;$C$7,BD!$A$3:$A$5001,"&lt;="&amp;$B264,BD!$AA$3:$AA$5001,"&lt;&gt;"))))</f>
        <v/>
      </c>
      <c r="U264" s="43" t="str">
        <f>IF(OR($B264="",$A264&gt;$B$9,U$245=""),"",IF(COUNTIFS(BD!$B$3:$B$5001,U$245,BD!$A$3:$A$5001,"&gt;="&amp;$C$7,BD!$A$3:$A$5001,"&lt;="&amp;$B264,BD!$AA$3:$AA$5001,"&lt;&gt;")=0,"",SUMIFS(BD!$AA$3:$AA$5001,BD!$B$3:$B$5001,U$245,BD!$A$3:$A$5001,_xlfn.MAXIFS(BD!$A$3:$A$5001,BD!$B$3:$B$5001,U$245,BD!$A$3:$A$5001,"&gt;="&amp;$C$7,BD!$A$3:$A$5001,"&lt;="&amp;$B264,BD!$AA$3:$AA$5001,"&lt;&gt;"))))</f>
        <v/>
      </c>
      <c r="V264" s="43" t="str">
        <f>IF(OR($B264="",$A264&gt;$B$9,V$245=""),"",IF(COUNTIFS(BD!$B$3:$B$5001,V$245,BD!$A$3:$A$5001,"&gt;="&amp;$C$7,BD!$A$3:$A$5001,"&lt;="&amp;$B264,BD!$AA$3:$AA$5001,"&lt;&gt;")=0,"",SUMIFS(BD!$AA$3:$AA$5001,BD!$B$3:$B$5001,V$245,BD!$A$3:$A$5001,_xlfn.MAXIFS(BD!$A$3:$A$5001,BD!$B$3:$B$5001,V$245,BD!$A$3:$A$5001,"&gt;="&amp;$C$7,BD!$A$3:$A$5001,"&lt;="&amp;$B264,BD!$AA$3:$AA$5001,"&lt;&gt;"))))</f>
        <v/>
      </c>
    </row>
    <row r="265">
      <c r="A265" s="38">
        <v>20</v>
      </c>
      <c r="B265" s="42">
        <f>$B$31</f>
        <v>46315</v>
      </c>
      <c r="C265" s="43" t="str">
        <f>IF(OR($B265="",$A265&gt;$B$9,C$245=""),"",IF(COUNTIFS(BD!$B$3:$B$5001,C$245,BD!$A$3:$A$5001,"&gt;="&amp;$C$7,BD!$A$3:$A$5001,"&lt;="&amp;$B265,BD!$AA$3:$AA$5001,"&lt;&gt;")=0,"",SUMIFS(BD!$AA$3:$AA$5001,BD!$B$3:$B$5001,C$245,BD!$A$3:$A$5001,_xlfn.MAXIFS(BD!$A$3:$A$5001,BD!$B$3:$B$5001,C$245,BD!$A$3:$A$5001,"&gt;="&amp;$C$7,BD!$A$3:$A$5001,"&lt;="&amp;$B265,BD!$AA$3:$AA$5001,"&lt;&gt;"))))</f>
        <v/>
      </c>
      <c r="D265" s="43" t="str">
        <f>IF(OR($B265="",$A265&gt;$B$9,D$245=""),"",IF(COUNTIFS(BD!$B$3:$B$5001,D$245,BD!$A$3:$A$5001,"&gt;="&amp;$C$7,BD!$A$3:$A$5001,"&lt;="&amp;$B265,BD!$AA$3:$AA$5001,"&lt;&gt;")=0,"",SUMIFS(BD!$AA$3:$AA$5001,BD!$B$3:$B$5001,D$245,BD!$A$3:$A$5001,_xlfn.MAXIFS(BD!$A$3:$A$5001,BD!$B$3:$B$5001,D$245,BD!$A$3:$A$5001,"&gt;="&amp;$C$7,BD!$A$3:$A$5001,"&lt;="&amp;$B265,BD!$AA$3:$AA$5001,"&lt;&gt;"))))</f>
        <v/>
      </c>
      <c r="E265" s="43" t="str">
        <f>IF(OR($B265="",$A265&gt;$B$9,E$245=""),"",IF(COUNTIFS(BD!$B$3:$B$5001,E$245,BD!$A$3:$A$5001,"&gt;="&amp;$C$7,BD!$A$3:$A$5001,"&lt;="&amp;$B265,BD!$AA$3:$AA$5001,"&lt;&gt;")=0,"",SUMIFS(BD!$AA$3:$AA$5001,BD!$B$3:$B$5001,E$245,BD!$A$3:$A$5001,_xlfn.MAXIFS(BD!$A$3:$A$5001,BD!$B$3:$B$5001,E$245,BD!$A$3:$A$5001,"&gt;="&amp;$C$7,BD!$A$3:$A$5001,"&lt;="&amp;$B265,BD!$AA$3:$AA$5001,"&lt;&gt;"))))</f>
        <v/>
      </c>
      <c r="F265" s="43" t="str">
        <f>IF(OR($B265="",$A265&gt;$B$9,F$245=""),"",IF(COUNTIFS(BD!$B$3:$B$5001,F$245,BD!$A$3:$A$5001,"&gt;="&amp;$C$7,BD!$A$3:$A$5001,"&lt;="&amp;$B265,BD!$AA$3:$AA$5001,"&lt;&gt;")=0,"",SUMIFS(BD!$AA$3:$AA$5001,BD!$B$3:$B$5001,F$245,BD!$A$3:$A$5001,_xlfn.MAXIFS(BD!$A$3:$A$5001,BD!$B$3:$B$5001,F$245,BD!$A$3:$A$5001,"&gt;="&amp;$C$7,BD!$A$3:$A$5001,"&lt;="&amp;$B265,BD!$AA$3:$AA$5001,"&lt;&gt;"))))</f>
        <v/>
      </c>
      <c r="G265" s="43" t="str">
        <f>IF(OR($B265="",$A265&gt;$B$9,G$245=""),"",IF(COUNTIFS(BD!$B$3:$B$5001,G$245,BD!$A$3:$A$5001,"&gt;="&amp;$C$7,BD!$A$3:$A$5001,"&lt;="&amp;$B265,BD!$AA$3:$AA$5001,"&lt;&gt;")=0,"",SUMIFS(BD!$AA$3:$AA$5001,BD!$B$3:$B$5001,G$245,BD!$A$3:$A$5001,_xlfn.MAXIFS(BD!$A$3:$A$5001,BD!$B$3:$B$5001,G$245,BD!$A$3:$A$5001,"&gt;="&amp;$C$7,BD!$A$3:$A$5001,"&lt;="&amp;$B265,BD!$AA$3:$AA$5001,"&lt;&gt;"))))</f>
        <v/>
      </c>
      <c r="H265" s="43" t="str">
        <f>IF(OR($B265="",$A265&gt;$B$9,H$245=""),"",IF(COUNTIFS(BD!$B$3:$B$5001,H$245,BD!$A$3:$A$5001,"&gt;="&amp;$C$7,BD!$A$3:$A$5001,"&lt;="&amp;$B265,BD!$AA$3:$AA$5001,"&lt;&gt;")=0,"",SUMIFS(BD!$AA$3:$AA$5001,BD!$B$3:$B$5001,H$245,BD!$A$3:$A$5001,_xlfn.MAXIFS(BD!$A$3:$A$5001,BD!$B$3:$B$5001,H$245,BD!$A$3:$A$5001,"&gt;="&amp;$C$7,BD!$A$3:$A$5001,"&lt;="&amp;$B265,BD!$AA$3:$AA$5001,"&lt;&gt;"))))</f>
        <v/>
      </c>
      <c r="I265" s="43" t="str">
        <f>IF(OR($B265="",$A265&gt;$B$9,I$245=""),"",IF(COUNTIFS(BD!$B$3:$B$5001,I$245,BD!$A$3:$A$5001,"&gt;="&amp;$C$7,BD!$A$3:$A$5001,"&lt;="&amp;$B265,BD!$AA$3:$AA$5001,"&lt;&gt;")=0,"",SUMIFS(BD!$AA$3:$AA$5001,BD!$B$3:$B$5001,I$245,BD!$A$3:$A$5001,_xlfn.MAXIFS(BD!$A$3:$A$5001,BD!$B$3:$B$5001,I$245,BD!$A$3:$A$5001,"&gt;="&amp;$C$7,BD!$A$3:$A$5001,"&lt;="&amp;$B265,BD!$AA$3:$AA$5001,"&lt;&gt;"))))</f>
        <v/>
      </c>
      <c r="J265" s="43" t="str">
        <f>IF(OR($B265="",$A265&gt;$B$9,J$245=""),"",IF(COUNTIFS(BD!$B$3:$B$5001,J$245,BD!$A$3:$A$5001,"&gt;="&amp;$C$7,BD!$A$3:$A$5001,"&lt;="&amp;$B265,BD!$AA$3:$AA$5001,"&lt;&gt;")=0,"",SUMIFS(BD!$AA$3:$AA$5001,BD!$B$3:$B$5001,J$245,BD!$A$3:$A$5001,_xlfn.MAXIFS(BD!$A$3:$A$5001,BD!$B$3:$B$5001,J$245,BD!$A$3:$A$5001,"&gt;="&amp;$C$7,BD!$A$3:$A$5001,"&lt;="&amp;$B265,BD!$AA$3:$AA$5001,"&lt;&gt;"))))</f>
        <v/>
      </c>
      <c r="K265" s="43" t="str">
        <f>IF(OR($B265="",$A265&gt;$B$9,K$245=""),"",IF(COUNTIFS(BD!$B$3:$B$5001,K$245,BD!$A$3:$A$5001,"&gt;="&amp;$C$7,BD!$A$3:$A$5001,"&lt;="&amp;$B265,BD!$AA$3:$AA$5001,"&lt;&gt;")=0,"",SUMIFS(BD!$AA$3:$AA$5001,BD!$B$3:$B$5001,K$245,BD!$A$3:$A$5001,_xlfn.MAXIFS(BD!$A$3:$A$5001,BD!$B$3:$B$5001,K$245,BD!$A$3:$A$5001,"&gt;="&amp;$C$7,BD!$A$3:$A$5001,"&lt;="&amp;$B265,BD!$AA$3:$AA$5001,"&lt;&gt;"))))</f>
        <v/>
      </c>
      <c r="L265" s="43" t="str">
        <f>IF(OR($B265="",$A265&gt;$B$9,L$245=""),"",IF(COUNTIFS(BD!$B$3:$B$5001,L$245,BD!$A$3:$A$5001,"&gt;="&amp;$C$7,BD!$A$3:$A$5001,"&lt;="&amp;$B265,BD!$AA$3:$AA$5001,"&lt;&gt;")=0,"",SUMIFS(BD!$AA$3:$AA$5001,BD!$B$3:$B$5001,L$245,BD!$A$3:$A$5001,_xlfn.MAXIFS(BD!$A$3:$A$5001,BD!$B$3:$B$5001,L$245,BD!$A$3:$A$5001,"&gt;="&amp;$C$7,BD!$A$3:$A$5001,"&lt;="&amp;$B265,BD!$AA$3:$AA$5001,"&lt;&gt;"))))</f>
        <v/>
      </c>
      <c r="M265" s="43" t="str">
        <f>IF(OR($B265="",$A265&gt;$B$9,M$245=""),"",IF(COUNTIFS(BD!$B$3:$B$5001,M$245,BD!$A$3:$A$5001,"&gt;="&amp;$C$7,BD!$A$3:$A$5001,"&lt;="&amp;$B265,BD!$AA$3:$AA$5001,"&lt;&gt;")=0,"",SUMIFS(BD!$AA$3:$AA$5001,BD!$B$3:$B$5001,M$245,BD!$A$3:$A$5001,_xlfn.MAXIFS(BD!$A$3:$A$5001,BD!$B$3:$B$5001,M$245,BD!$A$3:$A$5001,"&gt;="&amp;$C$7,BD!$A$3:$A$5001,"&lt;="&amp;$B265,BD!$AA$3:$AA$5001,"&lt;&gt;"))))</f>
        <v/>
      </c>
      <c r="N265" s="43" t="str">
        <f>IF(OR($B265="",$A265&gt;$B$9,N$245=""),"",IF(COUNTIFS(BD!$B$3:$B$5001,N$245,BD!$A$3:$A$5001,"&gt;="&amp;$C$7,BD!$A$3:$A$5001,"&lt;="&amp;$B265,BD!$AA$3:$AA$5001,"&lt;&gt;")=0,"",SUMIFS(BD!$AA$3:$AA$5001,BD!$B$3:$B$5001,N$245,BD!$A$3:$A$5001,_xlfn.MAXIFS(BD!$A$3:$A$5001,BD!$B$3:$B$5001,N$245,BD!$A$3:$A$5001,"&gt;="&amp;$C$7,BD!$A$3:$A$5001,"&lt;="&amp;$B265,BD!$AA$3:$AA$5001,"&lt;&gt;"))))</f>
        <v/>
      </c>
      <c r="O265" s="43" t="str">
        <f>IF(OR($B265="",$A265&gt;$B$9,O$245=""),"",IF(COUNTIFS(BD!$B$3:$B$5001,O$245,BD!$A$3:$A$5001,"&gt;="&amp;$C$7,BD!$A$3:$A$5001,"&lt;="&amp;$B265,BD!$AA$3:$AA$5001,"&lt;&gt;")=0,"",SUMIFS(BD!$AA$3:$AA$5001,BD!$B$3:$B$5001,O$245,BD!$A$3:$A$5001,_xlfn.MAXIFS(BD!$A$3:$A$5001,BD!$B$3:$B$5001,O$245,BD!$A$3:$A$5001,"&gt;="&amp;$C$7,BD!$A$3:$A$5001,"&lt;="&amp;$B265,BD!$AA$3:$AA$5001,"&lt;&gt;"))))</f>
        <v/>
      </c>
      <c r="P265" s="43" t="str">
        <f>IF(OR($B265="",$A265&gt;$B$9,P$245=""),"",IF(COUNTIFS(BD!$B$3:$B$5001,P$245,BD!$A$3:$A$5001,"&gt;="&amp;$C$7,BD!$A$3:$A$5001,"&lt;="&amp;$B265,BD!$AA$3:$AA$5001,"&lt;&gt;")=0,"",SUMIFS(BD!$AA$3:$AA$5001,BD!$B$3:$B$5001,P$245,BD!$A$3:$A$5001,_xlfn.MAXIFS(BD!$A$3:$A$5001,BD!$B$3:$B$5001,P$245,BD!$A$3:$A$5001,"&gt;="&amp;$C$7,BD!$A$3:$A$5001,"&lt;="&amp;$B265,BD!$AA$3:$AA$5001,"&lt;&gt;"))))</f>
        <v/>
      </c>
      <c r="Q265" s="43" t="str">
        <f>IF(OR($B265="",$A265&gt;$B$9,Q$245=""),"",IF(COUNTIFS(BD!$B$3:$B$5001,Q$245,BD!$A$3:$A$5001,"&gt;="&amp;$C$7,BD!$A$3:$A$5001,"&lt;="&amp;$B265,BD!$AA$3:$AA$5001,"&lt;&gt;")=0,"",SUMIFS(BD!$AA$3:$AA$5001,BD!$B$3:$B$5001,Q$245,BD!$A$3:$A$5001,_xlfn.MAXIFS(BD!$A$3:$A$5001,BD!$B$3:$B$5001,Q$245,BD!$A$3:$A$5001,"&gt;="&amp;$C$7,BD!$A$3:$A$5001,"&lt;="&amp;$B265,BD!$AA$3:$AA$5001,"&lt;&gt;"))))</f>
        <v/>
      </c>
      <c r="R265" s="43" t="str">
        <f>IF(OR($B265="",$A265&gt;$B$9,R$245=""),"",IF(COUNTIFS(BD!$B$3:$B$5001,R$245,BD!$A$3:$A$5001,"&gt;="&amp;$C$7,BD!$A$3:$A$5001,"&lt;="&amp;$B265,BD!$AA$3:$AA$5001,"&lt;&gt;")=0,"",SUMIFS(BD!$AA$3:$AA$5001,BD!$B$3:$B$5001,R$245,BD!$A$3:$A$5001,_xlfn.MAXIFS(BD!$A$3:$A$5001,BD!$B$3:$B$5001,R$245,BD!$A$3:$A$5001,"&gt;="&amp;$C$7,BD!$A$3:$A$5001,"&lt;="&amp;$B265,BD!$AA$3:$AA$5001,"&lt;&gt;"))))</f>
        <v/>
      </c>
      <c r="S265" s="43" t="str">
        <f>IF(OR($B265="",$A265&gt;$B$9,S$245=""),"",IF(COUNTIFS(BD!$B$3:$B$5001,S$245,BD!$A$3:$A$5001,"&gt;="&amp;$C$7,BD!$A$3:$A$5001,"&lt;="&amp;$B265,BD!$AA$3:$AA$5001,"&lt;&gt;")=0,"",SUMIFS(BD!$AA$3:$AA$5001,BD!$B$3:$B$5001,S$245,BD!$A$3:$A$5001,_xlfn.MAXIFS(BD!$A$3:$A$5001,BD!$B$3:$B$5001,S$245,BD!$A$3:$A$5001,"&gt;="&amp;$C$7,BD!$A$3:$A$5001,"&lt;="&amp;$B265,BD!$AA$3:$AA$5001,"&lt;&gt;"))))</f>
        <v/>
      </c>
      <c r="T265" s="43" t="str">
        <f>IF(OR($B265="",$A265&gt;$B$9,T$245=""),"",IF(COUNTIFS(BD!$B$3:$B$5001,T$245,BD!$A$3:$A$5001,"&gt;="&amp;$C$7,BD!$A$3:$A$5001,"&lt;="&amp;$B265,BD!$AA$3:$AA$5001,"&lt;&gt;")=0,"",SUMIFS(BD!$AA$3:$AA$5001,BD!$B$3:$B$5001,T$245,BD!$A$3:$A$5001,_xlfn.MAXIFS(BD!$A$3:$A$5001,BD!$B$3:$B$5001,T$245,BD!$A$3:$A$5001,"&gt;="&amp;$C$7,BD!$A$3:$A$5001,"&lt;="&amp;$B265,BD!$AA$3:$AA$5001,"&lt;&gt;"))))</f>
        <v/>
      </c>
      <c r="U265" s="43" t="str">
        <f>IF(OR($B265="",$A265&gt;$B$9,U$245=""),"",IF(COUNTIFS(BD!$B$3:$B$5001,U$245,BD!$A$3:$A$5001,"&gt;="&amp;$C$7,BD!$A$3:$A$5001,"&lt;="&amp;$B265,BD!$AA$3:$AA$5001,"&lt;&gt;")=0,"",SUMIFS(BD!$AA$3:$AA$5001,BD!$B$3:$B$5001,U$245,BD!$A$3:$A$5001,_xlfn.MAXIFS(BD!$A$3:$A$5001,BD!$B$3:$B$5001,U$245,BD!$A$3:$A$5001,"&gt;="&amp;$C$7,BD!$A$3:$A$5001,"&lt;="&amp;$B265,BD!$AA$3:$AA$5001,"&lt;&gt;"))))</f>
        <v/>
      </c>
      <c r="V265" s="43" t="str">
        <f>IF(OR($B265="",$A265&gt;$B$9,V$245=""),"",IF(COUNTIFS(BD!$B$3:$B$5001,V$245,BD!$A$3:$A$5001,"&gt;="&amp;$C$7,BD!$A$3:$A$5001,"&lt;="&amp;$B265,BD!$AA$3:$AA$5001,"&lt;&gt;")=0,"",SUMIFS(BD!$AA$3:$AA$5001,BD!$B$3:$B$5001,V$245,BD!$A$3:$A$5001,_xlfn.MAXIFS(BD!$A$3:$A$5001,BD!$B$3:$B$5001,V$245,BD!$A$3:$A$5001,"&gt;="&amp;$C$7,BD!$A$3:$A$5001,"&lt;="&amp;$B265,BD!$AA$3:$AA$5001,"&lt;&gt;"))))</f>
        <v/>
      </c>
    </row>
    <row r="266">
      <c r="A266" s="38">
        <v>21</v>
      </c>
      <c r="B266" s="42">
        <f>$B$32</f>
        <v>46316</v>
      </c>
      <c r="C266" s="43" t="str">
        <f>IF(OR($B266="",$A266&gt;$B$9,C$245=""),"",IF(COUNTIFS(BD!$B$3:$B$5001,C$245,BD!$A$3:$A$5001,"&gt;="&amp;$C$7,BD!$A$3:$A$5001,"&lt;="&amp;$B266,BD!$AA$3:$AA$5001,"&lt;&gt;")=0,"",SUMIFS(BD!$AA$3:$AA$5001,BD!$B$3:$B$5001,C$245,BD!$A$3:$A$5001,_xlfn.MAXIFS(BD!$A$3:$A$5001,BD!$B$3:$B$5001,C$245,BD!$A$3:$A$5001,"&gt;="&amp;$C$7,BD!$A$3:$A$5001,"&lt;="&amp;$B266,BD!$AA$3:$AA$5001,"&lt;&gt;"))))</f>
        <v/>
      </c>
      <c r="D266" s="43" t="str">
        <f>IF(OR($B266="",$A266&gt;$B$9,D$245=""),"",IF(COUNTIFS(BD!$B$3:$B$5001,D$245,BD!$A$3:$A$5001,"&gt;="&amp;$C$7,BD!$A$3:$A$5001,"&lt;="&amp;$B266,BD!$AA$3:$AA$5001,"&lt;&gt;")=0,"",SUMIFS(BD!$AA$3:$AA$5001,BD!$B$3:$B$5001,D$245,BD!$A$3:$A$5001,_xlfn.MAXIFS(BD!$A$3:$A$5001,BD!$B$3:$B$5001,D$245,BD!$A$3:$A$5001,"&gt;="&amp;$C$7,BD!$A$3:$A$5001,"&lt;="&amp;$B266,BD!$AA$3:$AA$5001,"&lt;&gt;"))))</f>
        <v/>
      </c>
      <c r="E266" s="43" t="str">
        <f>IF(OR($B266="",$A266&gt;$B$9,E$245=""),"",IF(COUNTIFS(BD!$B$3:$B$5001,E$245,BD!$A$3:$A$5001,"&gt;="&amp;$C$7,BD!$A$3:$A$5001,"&lt;="&amp;$B266,BD!$AA$3:$AA$5001,"&lt;&gt;")=0,"",SUMIFS(BD!$AA$3:$AA$5001,BD!$B$3:$B$5001,E$245,BD!$A$3:$A$5001,_xlfn.MAXIFS(BD!$A$3:$A$5001,BD!$B$3:$B$5001,E$245,BD!$A$3:$A$5001,"&gt;="&amp;$C$7,BD!$A$3:$A$5001,"&lt;="&amp;$B266,BD!$AA$3:$AA$5001,"&lt;&gt;"))))</f>
        <v/>
      </c>
      <c r="F266" s="43" t="str">
        <f>IF(OR($B266="",$A266&gt;$B$9,F$245=""),"",IF(COUNTIFS(BD!$B$3:$B$5001,F$245,BD!$A$3:$A$5001,"&gt;="&amp;$C$7,BD!$A$3:$A$5001,"&lt;="&amp;$B266,BD!$AA$3:$AA$5001,"&lt;&gt;")=0,"",SUMIFS(BD!$AA$3:$AA$5001,BD!$B$3:$B$5001,F$245,BD!$A$3:$A$5001,_xlfn.MAXIFS(BD!$A$3:$A$5001,BD!$B$3:$B$5001,F$245,BD!$A$3:$A$5001,"&gt;="&amp;$C$7,BD!$A$3:$A$5001,"&lt;="&amp;$B266,BD!$AA$3:$AA$5001,"&lt;&gt;"))))</f>
        <v/>
      </c>
      <c r="G266" s="43" t="str">
        <f>IF(OR($B266="",$A266&gt;$B$9,G$245=""),"",IF(COUNTIFS(BD!$B$3:$B$5001,G$245,BD!$A$3:$A$5001,"&gt;="&amp;$C$7,BD!$A$3:$A$5001,"&lt;="&amp;$B266,BD!$AA$3:$AA$5001,"&lt;&gt;")=0,"",SUMIFS(BD!$AA$3:$AA$5001,BD!$B$3:$B$5001,G$245,BD!$A$3:$A$5001,_xlfn.MAXIFS(BD!$A$3:$A$5001,BD!$B$3:$B$5001,G$245,BD!$A$3:$A$5001,"&gt;="&amp;$C$7,BD!$A$3:$A$5001,"&lt;="&amp;$B266,BD!$AA$3:$AA$5001,"&lt;&gt;"))))</f>
        <v/>
      </c>
      <c r="H266" s="43" t="str">
        <f>IF(OR($B266="",$A266&gt;$B$9,H$245=""),"",IF(COUNTIFS(BD!$B$3:$B$5001,H$245,BD!$A$3:$A$5001,"&gt;="&amp;$C$7,BD!$A$3:$A$5001,"&lt;="&amp;$B266,BD!$AA$3:$AA$5001,"&lt;&gt;")=0,"",SUMIFS(BD!$AA$3:$AA$5001,BD!$B$3:$B$5001,H$245,BD!$A$3:$A$5001,_xlfn.MAXIFS(BD!$A$3:$A$5001,BD!$B$3:$B$5001,H$245,BD!$A$3:$A$5001,"&gt;="&amp;$C$7,BD!$A$3:$A$5001,"&lt;="&amp;$B266,BD!$AA$3:$AA$5001,"&lt;&gt;"))))</f>
        <v/>
      </c>
      <c r="I266" s="43" t="str">
        <f>IF(OR($B266="",$A266&gt;$B$9,I$245=""),"",IF(COUNTIFS(BD!$B$3:$B$5001,I$245,BD!$A$3:$A$5001,"&gt;="&amp;$C$7,BD!$A$3:$A$5001,"&lt;="&amp;$B266,BD!$AA$3:$AA$5001,"&lt;&gt;")=0,"",SUMIFS(BD!$AA$3:$AA$5001,BD!$B$3:$B$5001,I$245,BD!$A$3:$A$5001,_xlfn.MAXIFS(BD!$A$3:$A$5001,BD!$B$3:$B$5001,I$245,BD!$A$3:$A$5001,"&gt;="&amp;$C$7,BD!$A$3:$A$5001,"&lt;="&amp;$B266,BD!$AA$3:$AA$5001,"&lt;&gt;"))))</f>
        <v/>
      </c>
      <c r="J266" s="43" t="str">
        <f>IF(OR($B266="",$A266&gt;$B$9,J$245=""),"",IF(COUNTIFS(BD!$B$3:$B$5001,J$245,BD!$A$3:$A$5001,"&gt;="&amp;$C$7,BD!$A$3:$A$5001,"&lt;="&amp;$B266,BD!$AA$3:$AA$5001,"&lt;&gt;")=0,"",SUMIFS(BD!$AA$3:$AA$5001,BD!$B$3:$B$5001,J$245,BD!$A$3:$A$5001,_xlfn.MAXIFS(BD!$A$3:$A$5001,BD!$B$3:$B$5001,J$245,BD!$A$3:$A$5001,"&gt;="&amp;$C$7,BD!$A$3:$A$5001,"&lt;="&amp;$B266,BD!$AA$3:$AA$5001,"&lt;&gt;"))))</f>
        <v/>
      </c>
      <c r="K266" s="43" t="str">
        <f>IF(OR($B266="",$A266&gt;$B$9,K$245=""),"",IF(COUNTIFS(BD!$B$3:$B$5001,K$245,BD!$A$3:$A$5001,"&gt;="&amp;$C$7,BD!$A$3:$A$5001,"&lt;="&amp;$B266,BD!$AA$3:$AA$5001,"&lt;&gt;")=0,"",SUMIFS(BD!$AA$3:$AA$5001,BD!$B$3:$B$5001,K$245,BD!$A$3:$A$5001,_xlfn.MAXIFS(BD!$A$3:$A$5001,BD!$B$3:$B$5001,K$245,BD!$A$3:$A$5001,"&gt;="&amp;$C$7,BD!$A$3:$A$5001,"&lt;="&amp;$B266,BD!$AA$3:$AA$5001,"&lt;&gt;"))))</f>
        <v/>
      </c>
      <c r="L266" s="43" t="str">
        <f>IF(OR($B266="",$A266&gt;$B$9,L$245=""),"",IF(COUNTIFS(BD!$B$3:$B$5001,L$245,BD!$A$3:$A$5001,"&gt;="&amp;$C$7,BD!$A$3:$A$5001,"&lt;="&amp;$B266,BD!$AA$3:$AA$5001,"&lt;&gt;")=0,"",SUMIFS(BD!$AA$3:$AA$5001,BD!$B$3:$B$5001,L$245,BD!$A$3:$A$5001,_xlfn.MAXIFS(BD!$A$3:$A$5001,BD!$B$3:$B$5001,L$245,BD!$A$3:$A$5001,"&gt;="&amp;$C$7,BD!$A$3:$A$5001,"&lt;="&amp;$B266,BD!$AA$3:$AA$5001,"&lt;&gt;"))))</f>
        <v/>
      </c>
      <c r="M266" s="43" t="str">
        <f>IF(OR($B266="",$A266&gt;$B$9,M$245=""),"",IF(COUNTIFS(BD!$B$3:$B$5001,M$245,BD!$A$3:$A$5001,"&gt;="&amp;$C$7,BD!$A$3:$A$5001,"&lt;="&amp;$B266,BD!$AA$3:$AA$5001,"&lt;&gt;")=0,"",SUMIFS(BD!$AA$3:$AA$5001,BD!$B$3:$B$5001,M$245,BD!$A$3:$A$5001,_xlfn.MAXIFS(BD!$A$3:$A$5001,BD!$B$3:$B$5001,M$245,BD!$A$3:$A$5001,"&gt;="&amp;$C$7,BD!$A$3:$A$5001,"&lt;="&amp;$B266,BD!$AA$3:$AA$5001,"&lt;&gt;"))))</f>
        <v/>
      </c>
      <c r="N266" s="43" t="str">
        <f>IF(OR($B266="",$A266&gt;$B$9,N$245=""),"",IF(COUNTIFS(BD!$B$3:$B$5001,N$245,BD!$A$3:$A$5001,"&gt;="&amp;$C$7,BD!$A$3:$A$5001,"&lt;="&amp;$B266,BD!$AA$3:$AA$5001,"&lt;&gt;")=0,"",SUMIFS(BD!$AA$3:$AA$5001,BD!$B$3:$B$5001,N$245,BD!$A$3:$A$5001,_xlfn.MAXIFS(BD!$A$3:$A$5001,BD!$B$3:$B$5001,N$245,BD!$A$3:$A$5001,"&gt;="&amp;$C$7,BD!$A$3:$A$5001,"&lt;="&amp;$B266,BD!$AA$3:$AA$5001,"&lt;&gt;"))))</f>
        <v/>
      </c>
      <c r="O266" s="43" t="str">
        <f>IF(OR($B266="",$A266&gt;$B$9,O$245=""),"",IF(COUNTIFS(BD!$B$3:$B$5001,O$245,BD!$A$3:$A$5001,"&gt;="&amp;$C$7,BD!$A$3:$A$5001,"&lt;="&amp;$B266,BD!$AA$3:$AA$5001,"&lt;&gt;")=0,"",SUMIFS(BD!$AA$3:$AA$5001,BD!$B$3:$B$5001,O$245,BD!$A$3:$A$5001,_xlfn.MAXIFS(BD!$A$3:$A$5001,BD!$B$3:$B$5001,O$245,BD!$A$3:$A$5001,"&gt;="&amp;$C$7,BD!$A$3:$A$5001,"&lt;="&amp;$B266,BD!$AA$3:$AA$5001,"&lt;&gt;"))))</f>
        <v/>
      </c>
      <c r="P266" s="43" t="str">
        <f>IF(OR($B266="",$A266&gt;$B$9,P$245=""),"",IF(COUNTIFS(BD!$B$3:$B$5001,P$245,BD!$A$3:$A$5001,"&gt;="&amp;$C$7,BD!$A$3:$A$5001,"&lt;="&amp;$B266,BD!$AA$3:$AA$5001,"&lt;&gt;")=0,"",SUMIFS(BD!$AA$3:$AA$5001,BD!$B$3:$B$5001,P$245,BD!$A$3:$A$5001,_xlfn.MAXIFS(BD!$A$3:$A$5001,BD!$B$3:$B$5001,P$245,BD!$A$3:$A$5001,"&gt;="&amp;$C$7,BD!$A$3:$A$5001,"&lt;="&amp;$B266,BD!$AA$3:$AA$5001,"&lt;&gt;"))))</f>
        <v/>
      </c>
      <c r="Q266" s="43" t="str">
        <f>IF(OR($B266="",$A266&gt;$B$9,Q$245=""),"",IF(COUNTIFS(BD!$B$3:$B$5001,Q$245,BD!$A$3:$A$5001,"&gt;="&amp;$C$7,BD!$A$3:$A$5001,"&lt;="&amp;$B266,BD!$AA$3:$AA$5001,"&lt;&gt;")=0,"",SUMIFS(BD!$AA$3:$AA$5001,BD!$B$3:$B$5001,Q$245,BD!$A$3:$A$5001,_xlfn.MAXIFS(BD!$A$3:$A$5001,BD!$B$3:$B$5001,Q$245,BD!$A$3:$A$5001,"&gt;="&amp;$C$7,BD!$A$3:$A$5001,"&lt;="&amp;$B266,BD!$AA$3:$AA$5001,"&lt;&gt;"))))</f>
        <v/>
      </c>
      <c r="R266" s="43" t="str">
        <f>IF(OR($B266="",$A266&gt;$B$9,R$245=""),"",IF(COUNTIFS(BD!$B$3:$B$5001,R$245,BD!$A$3:$A$5001,"&gt;="&amp;$C$7,BD!$A$3:$A$5001,"&lt;="&amp;$B266,BD!$AA$3:$AA$5001,"&lt;&gt;")=0,"",SUMIFS(BD!$AA$3:$AA$5001,BD!$B$3:$B$5001,R$245,BD!$A$3:$A$5001,_xlfn.MAXIFS(BD!$A$3:$A$5001,BD!$B$3:$B$5001,R$245,BD!$A$3:$A$5001,"&gt;="&amp;$C$7,BD!$A$3:$A$5001,"&lt;="&amp;$B266,BD!$AA$3:$AA$5001,"&lt;&gt;"))))</f>
        <v/>
      </c>
      <c r="S266" s="43" t="str">
        <f>IF(OR($B266="",$A266&gt;$B$9,S$245=""),"",IF(COUNTIFS(BD!$B$3:$B$5001,S$245,BD!$A$3:$A$5001,"&gt;="&amp;$C$7,BD!$A$3:$A$5001,"&lt;="&amp;$B266,BD!$AA$3:$AA$5001,"&lt;&gt;")=0,"",SUMIFS(BD!$AA$3:$AA$5001,BD!$B$3:$B$5001,S$245,BD!$A$3:$A$5001,_xlfn.MAXIFS(BD!$A$3:$A$5001,BD!$B$3:$B$5001,S$245,BD!$A$3:$A$5001,"&gt;="&amp;$C$7,BD!$A$3:$A$5001,"&lt;="&amp;$B266,BD!$AA$3:$AA$5001,"&lt;&gt;"))))</f>
        <v/>
      </c>
      <c r="T266" s="43" t="str">
        <f>IF(OR($B266="",$A266&gt;$B$9,T$245=""),"",IF(COUNTIFS(BD!$B$3:$B$5001,T$245,BD!$A$3:$A$5001,"&gt;="&amp;$C$7,BD!$A$3:$A$5001,"&lt;="&amp;$B266,BD!$AA$3:$AA$5001,"&lt;&gt;")=0,"",SUMIFS(BD!$AA$3:$AA$5001,BD!$B$3:$B$5001,T$245,BD!$A$3:$A$5001,_xlfn.MAXIFS(BD!$A$3:$A$5001,BD!$B$3:$B$5001,T$245,BD!$A$3:$A$5001,"&gt;="&amp;$C$7,BD!$A$3:$A$5001,"&lt;="&amp;$B266,BD!$AA$3:$AA$5001,"&lt;&gt;"))))</f>
        <v/>
      </c>
      <c r="U266" s="43" t="str">
        <f>IF(OR($B266="",$A266&gt;$B$9,U$245=""),"",IF(COUNTIFS(BD!$B$3:$B$5001,U$245,BD!$A$3:$A$5001,"&gt;="&amp;$C$7,BD!$A$3:$A$5001,"&lt;="&amp;$B266,BD!$AA$3:$AA$5001,"&lt;&gt;")=0,"",SUMIFS(BD!$AA$3:$AA$5001,BD!$B$3:$B$5001,U$245,BD!$A$3:$A$5001,_xlfn.MAXIFS(BD!$A$3:$A$5001,BD!$B$3:$B$5001,U$245,BD!$A$3:$A$5001,"&gt;="&amp;$C$7,BD!$A$3:$A$5001,"&lt;="&amp;$B266,BD!$AA$3:$AA$5001,"&lt;&gt;"))))</f>
        <v/>
      </c>
      <c r="V266" s="43" t="str">
        <f>IF(OR($B266="",$A266&gt;$B$9,V$245=""),"",IF(COUNTIFS(BD!$B$3:$B$5001,V$245,BD!$A$3:$A$5001,"&gt;="&amp;$C$7,BD!$A$3:$A$5001,"&lt;="&amp;$B266,BD!$AA$3:$AA$5001,"&lt;&gt;")=0,"",SUMIFS(BD!$AA$3:$AA$5001,BD!$B$3:$B$5001,V$245,BD!$A$3:$A$5001,_xlfn.MAXIFS(BD!$A$3:$A$5001,BD!$B$3:$B$5001,V$245,BD!$A$3:$A$5001,"&gt;="&amp;$C$7,BD!$A$3:$A$5001,"&lt;="&amp;$B266,BD!$AA$3:$AA$5001,"&lt;&gt;"))))</f>
        <v/>
      </c>
    </row>
    <row r="267">
      <c r="A267" s="38">
        <v>22</v>
      </c>
      <c r="B267" s="42">
        <f>$B$33</f>
        <v>46317</v>
      </c>
      <c r="C267" s="43" t="str">
        <f>IF(OR($B267="",$A267&gt;$B$9,C$245=""),"",IF(COUNTIFS(BD!$B$3:$B$5001,C$245,BD!$A$3:$A$5001,"&gt;="&amp;$C$7,BD!$A$3:$A$5001,"&lt;="&amp;$B267,BD!$AA$3:$AA$5001,"&lt;&gt;")=0,"",SUMIFS(BD!$AA$3:$AA$5001,BD!$B$3:$B$5001,C$245,BD!$A$3:$A$5001,_xlfn.MAXIFS(BD!$A$3:$A$5001,BD!$B$3:$B$5001,C$245,BD!$A$3:$A$5001,"&gt;="&amp;$C$7,BD!$A$3:$A$5001,"&lt;="&amp;$B267,BD!$AA$3:$AA$5001,"&lt;&gt;"))))</f>
        <v/>
      </c>
      <c r="D267" s="43" t="str">
        <f>IF(OR($B267="",$A267&gt;$B$9,D$245=""),"",IF(COUNTIFS(BD!$B$3:$B$5001,D$245,BD!$A$3:$A$5001,"&gt;="&amp;$C$7,BD!$A$3:$A$5001,"&lt;="&amp;$B267,BD!$AA$3:$AA$5001,"&lt;&gt;")=0,"",SUMIFS(BD!$AA$3:$AA$5001,BD!$B$3:$B$5001,D$245,BD!$A$3:$A$5001,_xlfn.MAXIFS(BD!$A$3:$A$5001,BD!$B$3:$B$5001,D$245,BD!$A$3:$A$5001,"&gt;="&amp;$C$7,BD!$A$3:$A$5001,"&lt;="&amp;$B267,BD!$AA$3:$AA$5001,"&lt;&gt;"))))</f>
        <v/>
      </c>
      <c r="E267" s="43" t="str">
        <f>IF(OR($B267="",$A267&gt;$B$9,E$245=""),"",IF(COUNTIFS(BD!$B$3:$B$5001,E$245,BD!$A$3:$A$5001,"&gt;="&amp;$C$7,BD!$A$3:$A$5001,"&lt;="&amp;$B267,BD!$AA$3:$AA$5001,"&lt;&gt;")=0,"",SUMIFS(BD!$AA$3:$AA$5001,BD!$B$3:$B$5001,E$245,BD!$A$3:$A$5001,_xlfn.MAXIFS(BD!$A$3:$A$5001,BD!$B$3:$B$5001,E$245,BD!$A$3:$A$5001,"&gt;="&amp;$C$7,BD!$A$3:$A$5001,"&lt;="&amp;$B267,BD!$AA$3:$AA$5001,"&lt;&gt;"))))</f>
        <v/>
      </c>
      <c r="F267" s="43" t="str">
        <f>IF(OR($B267="",$A267&gt;$B$9,F$245=""),"",IF(COUNTIFS(BD!$B$3:$B$5001,F$245,BD!$A$3:$A$5001,"&gt;="&amp;$C$7,BD!$A$3:$A$5001,"&lt;="&amp;$B267,BD!$AA$3:$AA$5001,"&lt;&gt;")=0,"",SUMIFS(BD!$AA$3:$AA$5001,BD!$B$3:$B$5001,F$245,BD!$A$3:$A$5001,_xlfn.MAXIFS(BD!$A$3:$A$5001,BD!$B$3:$B$5001,F$245,BD!$A$3:$A$5001,"&gt;="&amp;$C$7,BD!$A$3:$A$5001,"&lt;="&amp;$B267,BD!$AA$3:$AA$5001,"&lt;&gt;"))))</f>
        <v/>
      </c>
      <c r="G267" s="43" t="str">
        <f>IF(OR($B267="",$A267&gt;$B$9,G$245=""),"",IF(COUNTIFS(BD!$B$3:$B$5001,G$245,BD!$A$3:$A$5001,"&gt;="&amp;$C$7,BD!$A$3:$A$5001,"&lt;="&amp;$B267,BD!$AA$3:$AA$5001,"&lt;&gt;")=0,"",SUMIFS(BD!$AA$3:$AA$5001,BD!$B$3:$B$5001,G$245,BD!$A$3:$A$5001,_xlfn.MAXIFS(BD!$A$3:$A$5001,BD!$B$3:$B$5001,G$245,BD!$A$3:$A$5001,"&gt;="&amp;$C$7,BD!$A$3:$A$5001,"&lt;="&amp;$B267,BD!$AA$3:$AA$5001,"&lt;&gt;"))))</f>
        <v/>
      </c>
      <c r="H267" s="43" t="str">
        <f>IF(OR($B267="",$A267&gt;$B$9,H$245=""),"",IF(COUNTIFS(BD!$B$3:$B$5001,H$245,BD!$A$3:$A$5001,"&gt;="&amp;$C$7,BD!$A$3:$A$5001,"&lt;="&amp;$B267,BD!$AA$3:$AA$5001,"&lt;&gt;")=0,"",SUMIFS(BD!$AA$3:$AA$5001,BD!$B$3:$B$5001,H$245,BD!$A$3:$A$5001,_xlfn.MAXIFS(BD!$A$3:$A$5001,BD!$B$3:$B$5001,H$245,BD!$A$3:$A$5001,"&gt;="&amp;$C$7,BD!$A$3:$A$5001,"&lt;="&amp;$B267,BD!$AA$3:$AA$5001,"&lt;&gt;"))))</f>
        <v/>
      </c>
      <c r="I267" s="43" t="str">
        <f>IF(OR($B267="",$A267&gt;$B$9,I$245=""),"",IF(COUNTIFS(BD!$B$3:$B$5001,I$245,BD!$A$3:$A$5001,"&gt;="&amp;$C$7,BD!$A$3:$A$5001,"&lt;="&amp;$B267,BD!$AA$3:$AA$5001,"&lt;&gt;")=0,"",SUMIFS(BD!$AA$3:$AA$5001,BD!$B$3:$B$5001,I$245,BD!$A$3:$A$5001,_xlfn.MAXIFS(BD!$A$3:$A$5001,BD!$B$3:$B$5001,I$245,BD!$A$3:$A$5001,"&gt;="&amp;$C$7,BD!$A$3:$A$5001,"&lt;="&amp;$B267,BD!$AA$3:$AA$5001,"&lt;&gt;"))))</f>
        <v/>
      </c>
      <c r="J267" s="43" t="str">
        <f>IF(OR($B267="",$A267&gt;$B$9,J$245=""),"",IF(COUNTIFS(BD!$B$3:$B$5001,J$245,BD!$A$3:$A$5001,"&gt;="&amp;$C$7,BD!$A$3:$A$5001,"&lt;="&amp;$B267,BD!$AA$3:$AA$5001,"&lt;&gt;")=0,"",SUMIFS(BD!$AA$3:$AA$5001,BD!$B$3:$B$5001,J$245,BD!$A$3:$A$5001,_xlfn.MAXIFS(BD!$A$3:$A$5001,BD!$B$3:$B$5001,J$245,BD!$A$3:$A$5001,"&gt;="&amp;$C$7,BD!$A$3:$A$5001,"&lt;="&amp;$B267,BD!$AA$3:$AA$5001,"&lt;&gt;"))))</f>
        <v/>
      </c>
      <c r="K267" s="43" t="str">
        <f>IF(OR($B267="",$A267&gt;$B$9,K$245=""),"",IF(COUNTIFS(BD!$B$3:$B$5001,K$245,BD!$A$3:$A$5001,"&gt;="&amp;$C$7,BD!$A$3:$A$5001,"&lt;="&amp;$B267,BD!$AA$3:$AA$5001,"&lt;&gt;")=0,"",SUMIFS(BD!$AA$3:$AA$5001,BD!$B$3:$B$5001,K$245,BD!$A$3:$A$5001,_xlfn.MAXIFS(BD!$A$3:$A$5001,BD!$B$3:$B$5001,K$245,BD!$A$3:$A$5001,"&gt;="&amp;$C$7,BD!$A$3:$A$5001,"&lt;="&amp;$B267,BD!$AA$3:$AA$5001,"&lt;&gt;"))))</f>
        <v/>
      </c>
      <c r="L267" s="43" t="str">
        <f>IF(OR($B267="",$A267&gt;$B$9,L$245=""),"",IF(COUNTIFS(BD!$B$3:$B$5001,L$245,BD!$A$3:$A$5001,"&gt;="&amp;$C$7,BD!$A$3:$A$5001,"&lt;="&amp;$B267,BD!$AA$3:$AA$5001,"&lt;&gt;")=0,"",SUMIFS(BD!$AA$3:$AA$5001,BD!$B$3:$B$5001,L$245,BD!$A$3:$A$5001,_xlfn.MAXIFS(BD!$A$3:$A$5001,BD!$B$3:$B$5001,L$245,BD!$A$3:$A$5001,"&gt;="&amp;$C$7,BD!$A$3:$A$5001,"&lt;="&amp;$B267,BD!$AA$3:$AA$5001,"&lt;&gt;"))))</f>
        <v/>
      </c>
      <c r="M267" s="43" t="str">
        <f>IF(OR($B267="",$A267&gt;$B$9,M$245=""),"",IF(COUNTIFS(BD!$B$3:$B$5001,M$245,BD!$A$3:$A$5001,"&gt;="&amp;$C$7,BD!$A$3:$A$5001,"&lt;="&amp;$B267,BD!$AA$3:$AA$5001,"&lt;&gt;")=0,"",SUMIFS(BD!$AA$3:$AA$5001,BD!$B$3:$B$5001,M$245,BD!$A$3:$A$5001,_xlfn.MAXIFS(BD!$A$3:$A$5001,BD!$B$3:$B$5001,M$245,BD!$A$3:$A$5001,"&gt;="&amp;$C$7,BD!$A$3:$A$5001,"&lt;="&amp;$B267,BD!$AA$3:$AA$5001,"&lt;&gt;"))))</f>
        <v/>
      </c>
      <c r="N267" s="43" t="str">
        <f>IF(OR($B267="",$A267&gt;$B$9,N$245=""),"",IF(COUNTIFS(BD!$B$3:$B$5001,N$245,BD!$A$3:$A$5001,"&gt;="&amp;$C$7,BD!$A$3:$A$5001,"&lt;="&amp;$B267,BD!$AA$3:$AA$5001,"&lt;&gt;")=0,"",SUMIFS(BD!$AA$3:$AA$5001,BD!$B$3:$B$5001,N$245,BD!$A$3:$A$5001,_xlfn.MAXIFS(BD!$A$3:$A$5001,BD!$B$3:$B$5001,N$245,BD!$A$3:$A$5001,"&gt;="&amp;$C$7,BD!$A$3:$A$5001,"&lt;="&amp;$B267,BD!$AA$3:$AA$5001,"&lt;&gt;"))))</f>
        <v/>
      </c>
      <c r="O267" s="43" t="str">
        <f>IF(OR($B267="",$A267&gt;$B$9,O$245=""),"",IF(COUNTIFS(BD!$B$3:$B$5001,O$245,BD!$A$3:$A$5001,"&gt;="&amp;$C$7,BD!$A$3:$A$5001,"&lt;="&amp;$B267,BD!$AA$3:$AA$5001,"&lt;&gt;")=0,"",SUMIFS(BD!$AA$3:$AA$5001,BD!$B$3:$B$5001,O$245,BD!$A$3:$A$5001,_xlfn.MAXIFS(BD!$A$3:$A$5001,BD!$B$3:$B$5001,O$245,BD!$A$3:$A$5001,"&gt;="&amp;$C$7,BD!$A$3:$A$5001,"&lt;="&amp;$B267,BD!$AA$3:$AA$5001,"&lt;&gt;"))))</f>
        <v/>
      </c>
      <c r="P267" s="43" t="str">
        <f>IF(OR($B267="",$A267&gt;$B$9,P$245=""),"",IF(COUNTIFS(BD!$B$3:$B$5001,P$245,BD!$A$3:$A$5001,"&gt;="&amp;$C$7,BD!$A$3:$A$5001,"&lt;="&amp;$B267,BD!$AA$3:$AA$5001,"&lt;&gt;")=0,"",SUMIFS(BD!$AA$3:$AA$5001,BD!$B$3:$B$5001,P$245,BD!$A$3:$A$5001,_xlfn.MAXIFS(BD!$A$3:$A$5001,BD!$B$3:$B$5001,P$245,BD!$A$3:$A$5001,"&gt;="&amp;$C$7,BD!$A$3:$A$5001,"&lt;="&amp;$B267,BD!$AA$3:$AA$5001,"&lt;&gt;"))))</f>
        <v/>
      </c>
      <c r="Q267" s="43" t="str">
        <f>IF(OR($B267="",$A267&gt;$B$9,Q$245=""),"",IF(COUNTIFS(BD!$B$3:$B$5001,Q$245,BD!$A$3:$A$5001,"&gt;="&amp;$C$7,BD!$A$3:$A$5001,"&lt;="&amp;$B267,BD!$AA$3:$AA$5001,"&lt;&gt;")=0,"",SUMIFS(BD!$AA$3:$AA$5001,BD!$B$3:$B$5001,Q$245,BD!$A$3:$A$5001,_xlfn.MAXIFS(BD!$A$3:$A$5001,BD!$B$3:$B$5001,Q$245,BD!$A$3:$A$5001,"&gt;="&amp;$C$7,BD!$A$3:$A$5001,"&lt;="&amp;$B267,BD!$AA$3:$AA$5001,"&lt;&gt;"))))</f>
        <v/>
      </c>
      <c r="R267" s="43" t="str">
        <f>IF(OR($B267="",$A267&gt;$B$9,R$245=""),"",IF(COUNTIFS(BD!$B$3:$B$5001,R$245,BD!$A$3:$A$5001,"&gt;="&amp;$C$7,BD!$A$3:$A$5001,"&lt;="&amp;$B267,BD!$AA$3:$AA$5001,"&lt;&gt;")=0,"",SUMIFS(BD!$AA$3:$AA$5001,BD!$B$3:$B$5001,R$245,BD!$A$3:$A$5001,_xlfn.MAXIFS(BD!$A$3:$A$5001,BD!$B$3:$B$5001,R$245,BD!$A$3:$A$5001,"&gt;="&amp;$C$7,BD!$A$3:$A$5001,"&lt;="&amp;$B267,BD!$AA$3:$AA$5001,"&lt;&gt;"))))</f>
        <v/>
      </c>
      <c r="S267" s="43" t="str">
        <f>IF(OR($B267="",$A267&gt;$B$9,S$245=""),"",IF(COUNTIFS(BD!$B$3:$B$5001,S$245,BD!$A$3:$A$5001,"&gt;="&amp;$C$7,BD!$A$3:$A$5001,"&lt;="&amp;$B267,BD!$AA$3:$AA$5001,"&lt;&gt;")=0,"",SUMIFS(BD!$AA$3:$AA$5001,BD!$B$3:$B$5001,S$245,BD!$A$3:$A$5001,_xlfn.MAXIFS(BD!$A$3:$A$5001,BD!$B$3:$B$5001,S$245,BD!$A$3:$A$5001,"&gt;="&amp;$C$7,BD!$A$3:$A$5001,"&lt;="&amp;$B267,BD!$AA$3:$AA$5001,"&lt;&gt;"))))</f>
        <v/>
      </c>
      <c r="T267" s="43" t="str">
        <f>IF(OR($B267="",$A267&gt;$B$9,T$245=""),"",IF(COUNTIFS(BD!$B$3:$B$5001,T$245,BD!$A$3:$A$5001,"&gt;="&amp;$C$7,BD!$A$3:$A$5001,"&lt;="&amp;$B267,BD!$AA$3:$AA$5001,"&lt;&gt;")=0,"",SUMIFS(BD!$AA$3:$AA$5001,BD!$B$3:$B$5001,T$245,BD!$A$3:$A$5001,_xlfn.MAXIFS(BD!$A$3:$A$5001,BD!$B$3:$B$5001,T$245,BD!$A$3:$A$5001,"&gt;="&amp;$C$7,BD!$A$3:$A$5001,"&lt;="&amp;$B267,BD!$AA$3:$AA$5001,"&lt;&gt;"))))</f>
        <v/>
      </c>
      <c r="U267" s="43" t="str">
        <f>IF(OR($B267="",$A267&gt;$B$9,U$245=""),"",IF(COUNTIFS(BD!$B$3:$B$5001,U$245,BD!$A$3:$A$5001,"&gt;="&amp;$C$7,BD!$A$3:$A$5001,"&lt;="&amp;$B267,BD!$AA$3:$AA$5001,"&lt;&gt;")=0,"",SUMIFS(BD!$AA$3:$AA$5001,BD!$B$3:$B$5001,U$245,BD!$A$3:$A$5001,_xlfn.MAXIFS(BD!$A$3:$A$5001,BD!$B$3:$B$5001,U$245,BD!$A$3:$A$5001,"&gt;="&amp;$C$7,BD!$A$3:$A$5001,"&lt;="&amp;$B267,BD!$AA$3:$AA$5001,"&lt;&gt;"))))</f>
        <v/>
      </c>
      <c r="V267" s="43" t="str">
        <f>IF(OR($B267="",$A267&gt;$B$9,V$245=""),"",IF(COUNTIFS(BD!$B$3:$B$5001,V$245,BD!$A$3:$A$5001,"&gt;="&amp;$C$7,BD!$A$3:$A$5001,"&lt;="&amp;$B267,BD!$AA$3:$AA$5001,"&lt;&gt;")=0,"",SUMIFS(BD!$AA$3:$AA$5001,BD!$B$3:$B$5001,V$245,BD!$A$3:$A$5001,_xlfn.MAXIFS(BD!$A$3:$A$5001,BD!$B$3:$B$5001,V$245,BD!$A$3:$A$5001,"&gt;="&amp;$C$7,BD!$A$3:$A$5001,"&lt;="&amp;$B267,BD!$AA$3:$AA$5001,"&lt;&gt;"))))</f>
        <v/>
      </c>
    </row>
    <row r="268">
      <c r="A268" s="38">
        <v>23</v>
      </c>
      <c r="B268" s="42">
        <f>$B$34</f>
        <v>46318</v>
      </c>
      <c r="C268" s="43" t="str">
        <f>IF(OR($B268="",$A268&gt;$B$9,C$245=""),"",IF(COUNTIFS(BD!$B$3:$B$5001,C$245,BD!$A$3:$A$5001,"&gt;="&amp;$C$7,BD!$A$3:$A$5001,"&lt;="&amp;$B268,BD!$AA$3:$AA$5001,"&lt;&gt;")=0,"",SUMIFS(BD!$AA$3:$AA$5001,BD!$B$3:$B$5001,C$245,BD!$A$3:$A$5001,_xlfn.MAXIFS(BD!$A$3:$A$5001,BD!$B$3:$B$5001,C$245,BD!$A$3:$A$5001,"&gt;="&amp;$C$7,BD!$A$3:$A$5001,"&lt;="&amp;$B268,BD!$AA$3:$AA$5001,"&lt;&gt;"))))</f>
        <v/>
      </c>
      <c r="D268" s="43" t="str">
        <f>IF(OR($B268="",$A268&gt;$B$9,D$245=""),"",IF(COUNTIFS(BD!$B$3:$B$5001,D$245,BD!$A$3:$A$5001,"&gt;="&amp;$C$7,BD!$A$3:$A$5001,"&lt;="&amp;$B268,BD!$AA$3:$AA$5001,"&lt;&gt;")=0,"",SUMIFS(BD!$AA$3:$AA$5001,BD!$B$3:$B$5001,D$245,BD!$A$3:$A$5001,_xlfn.MAXIFS(BD!$A$3:$A$5001,BD!$B$3:$B$5001,D$245,BD!$A$3:$A$5001,"&gt;="&amp;$C$7,BD!$A$3:$A$5001,"&lt;="&amp;$B268,BD!$AA$3:$AA$5001,"&lt;&gt;"))))</f>
        <v/>
      </c>
      <c r="E268" s="43" t="str">
        <f>IF(OR($B268="",$A268&gt;$B$9,E$245=""),"",IF(COUNTIFS(BD!$B$3:$B$5001,E$245,BD!$A$3:$A$5001,"&gt;="&amp;$C$7,BD!$A$3:$A$5001,"&lt;="&amp;$B268,BD!$AA$3:$AA$5001,"&lt;&gt;")=0,"",SUMIFS(BD!$AA$3:$AA$5001,BD!$B$3:$B$5001,E$245,BD!$A$3:$A$5001,_xlfn.MAXIFS(BD!$A$3:$A$5001,BD!$B$3:$B$5001,E$245,BD!$A$3:$A$5001,"&gt;="&amp;$C$7,BD!$A$3:$A$5001,"&lt;="&amp;$B268,BD!$AA$3:$AA$5001,"&lt;&gt;"))))</f>
        <v/>
      </c>
      <c r="F268" s="43" t="str">
        <f>IF(OR($B268="",$A268&gt;$B$9,F$245=""),"",IF(COUNTIFS(BD!$B$3:$B$5001,F$245,BD!$A$3:$A$5001,"&gt;="&amp;$C$7,BD!$A$3:$A$5001,"&lt;="&amp;$B268,BD!$AA$3:$AA$5001,"&lt;&gt;")=0,"",SUMIFS(BD!$AA$3:$AA$5001,BD!$B$3:$B$5001,F$245,BD!$A$3:$A$5001,_xlfn.MAXIFS(BD!$A$3:$A$5001,BD!$B$3:$B$5001,F$245,BD!$A$3:$A$5001,"&gt;="&amp;$C$7,BD!$A$3:$A$5001,"&lt;="&amp;$B268,BD!$AA$3:$AA$5001,"&lt;&gt;"))))</f>
        <v/>
      </c>
      <c r="G268" s="43" t="str">
        <f>IF(OR($B268="",$A268&gt;$B$9,G$245=""),"",IF(COUNTIFS(BD!$B$3:$B$5001,G$245,BD!$A$3:$A$5001,"&gt;="&amp;$C$7,BD!$A$3:$A$5001,"&lt;="&amp;$B268,BD!$AA$3:$AA$5001,"&lt;&gt;")=0,"",SUMIFS(BD!$AA$3:$AA$5001,BD!$B$3:$B$5001,G$245,BD!$A$3:$A$5001,_xlfn.MAXIFS(BD!$A$3:$A$5001,BD!$B$3:$B$5001,G$245,BD!$A$3:$A$5001,"&gt;="&amp;$C$7,BD!$A$3:$A$5001,"&lt;="&amp;$B268,BD!$AA$3:$AA$5001,"&lt;&gt;"))))</f>
        <v/>
      </c>
      <c r="H268" s="43" t="str">
        <f>IF(OR($B268="",$A268&gt;$B$9,H$245=""),"",IF(COUNTIFS(BD!$B$3:$B$5001,H$245,BD!$A$3:$A$5001,"&gt;="&amp;$C$7,BD!$A$3:$A$5001,"&lt;="&amp;$B268,BD!$AA$3:$AA$5001,"&lt;&gt;")=0,"",SUMIFS(BD!$AA$3:$AA$5001,BD!$B$3:$B$5001,H$245,BD!$A$3:$A$5001,_xlfn.MAXIFS(BD!$A$3:$A$5001,BD!$B$3:$B$5001,H$245,BD!$A$3:$A$5001,"&gt;="&amp;$C$7,BD!$A$3:$A$5001,"&lt;="&amp;$B268,BD!$AA$3:$AA$5001,"&lt;&gt;"))))</f>
        <v/>
      </c>
      <c r="I268" s="43" t="str">
        <f>IF(OR($B268="",$A268&gt;$B$9,I$245=""),"",IF(COUNTIFS(BD!$B$3:$B$5001,I$245,BD!$A$3:$A$5001,"&gt;="&amp;$C$7,BD!$A$3:$A$5001,"&lt;="&amp;$B268,BD!$AA$3:$AA$5001,"&lt;&gt;")=0,"",SUMIFS(BD!$AA$3:$AA$5001,BD!$B$3:$B$5001,I$245,BD!$A$3:$A$5001,_xlfn.MAXIFS(BD!$A$3:$A$5001,BD!$B$3:$B$5001,I$245,BD!$A$3:$A$5001,"&gt;="&amp;$C$7,BD!$A$3:$A$5001,"&lt;="&amp;$B268,BD!$AA$3:$AA$5001,"&lt;&gt;"))))</f>
        <v/>
      </c>
      <c r="J268" s="43" t="str">
        <f>IF(OR($B268="",$A268&gt;$B$9,J$245=""),"",IF(COUNTIFS(BD!$B$3:$B$5001,J$245,BD!$A$3:$A$5001,"&gt;="&amp;$C$7,BD!$A$3:$A$5001,"&lt;="&amp;$B268,BD!$AA$3:$AA$5001,"&lt;&gt;")=0,"",SUMIFS(BD!$AA$3:$AA$5001,BD!$B$3:$B$5001,J$245,BD!$A$3:$A$5001,_xlfn.MAXIFS(BD!$A$3:$A$5001,BD!$B$3:$B$5001,J$245,BD!$A$3:$A$5001,"&gt;="&amp;$C$7,BD!$A$3:$A$5001,"&lt;="&amp;$B268,BD!$AA$3:$AA$5001,"&lt;&gt;"))))</f>
        <v/>
      </c>
      <c r="K268" s="43" t="str">
        <f>IF(OR($B268="",$A268&gt;$B$9,K$245=""),"",IF(COUNTIFS(BD!$B$3:$B$5001,K$245,BD!$A$3:$A$5001,"&gt;="&amp;$C$7,BD!$A$3:$A$5001,"&lt;="&amp;$B268,BD!$AA$3:$AA$5001,"&lt;&gt;")=0,"",SUMIFS(BD!$AA$3:$AA$5001,BD!$B$3:$B$5001,K$245,BD!$A$3:$A$5001,_xlfn.MAXIFS(BD!$A$3:$A$5001,BD!$B$3:$B$5001,K$245,BD!$A$3:$A$5001,"&gt;="&amp;$C$7,BD!$A$3:$A$5001,"&lt;="&amp;$B268,BD!$AA$3:$AA$5001,"&lt;&gt;"))))</f>
        <v/>
      </c>
      <c r="L268" s="43" t="str">
        <f>IF(OR($B268="",$A268&gt;$B$9,L$245=""),"",IF(COUNTIFS(BD!$B$3:$B$5001,L$245,BD!$A$3:$A$5001,"&gt;="&amp;$C$7,BD!$A$3:$A$5001,"&lt;="&amp;$B268,BD!$AA$3:$AA$5001,"&lt;&gt;")=0,"",SUMIFS(BD!$AA$3:$AA$5001,BD!$B$3:$B$5001,L$245,BD!$A$3:$A$5001,_xlfn.MAXIFS(BD!$A$3:$A$5001,BD!$B$3:$B$5001,L$245,BD!$A$3:$A$5001,"&gt;="&amp;$C$7,BD!$A$3:$A$5001,"&lt;="&amp;$B268,BD!$AA$3:$AA$5001,"&lt;&gt;"))))</f>
        <v/>
      </c>
      <c r="M268" s="43" t="str">
        <f>IF(OR($B268="",$A268&gt;$B$9,M$245=""),"",IF(COUNTIFS(BD!$B$3:$B$5001,M$245,BD!$A$3:$A$5001,"&gt;="&amp;$C$7,BD!$A$3:$A$5001,"&lt;="&amp;$B268,BD!$AA$3:$AA$5001,"&lt;&gt;")=0,"",SUMIFS(BD!$AA$3:$AA$5001,BD!$B$3:$B$5001,M$245,BD!$A$3:$A$5001,_xlfn.MAXIFS(BD!$A$3:$A$5001,BD!$B$3:$B$5001,M$245,BD!$A$3:$A$5001,"&gt;="&amp;$C$7,BD!$A$3:$A$5001,"&lt;="&amp;$B268,BD!$AA$3:$AA$5001,"&lt;&gt;"))))</f>
        <v/>
      </c>
      <c r="N268" s="43" t="str">
        <f>IF(OR($B268="",$A268&gt;$B$9,N$245=""),"",IF(COUNTIFS(BD!$B$3:$B$5001,N$245,BD!$A$3:$A$5001,"&gt;="&amp;$C$7,BD!$A$3:$A$5001,"&lt;="&amp;$B268,BD!$AA$3:$AA$5001,"&lt;&gt;")=0,"",SUMIFS(BD!$AA$3:$AA$5001,BD!$B$3:$B$5001,N$245,BD!$A$3:$A$5001,_xlfn.MAXIFS(BD!$A$3:$A$5001,BD!$B$3:$B$5001,N$245,BD!$A$3:$A$5001,"&gt;="&amp;$C$7,BD!$A$3:$A$5001,"&lt;="&amp;$B268,BD!$AA$3:$AA$5001,"&lt;&gt;"))))</f>
        <v/>
      </c>
      <c r="O268" s="43" t="str">
        <f>IF(OR($B268="",$A268&gt;$B$9,O$245=""),"",IF(COUNTIFS(BD!$B$3:$B$5001,O$245,BD!$A$3:$A$5001,"&gt;="&amp;$C$7,BD!$A$3:$A$5001,"&lt;="&amp;$B268,BD!$AA$3:$AA$5001,"&lt;&gt;")=0,"",SUMIFS(BD!$AA$3:$AA$5001,BD!$B$3:$B$5001,O$245,BD!$A$3:$A$5001,_xlfn.MAXIFS(BD!$A$3:$A$5001,BD!$B$3:$B$5001,O$245,BD!$A$3:$A$5001,"&gt;="&amp;$C$7,BD!$A$3:$A$5001,"&lt;="&amp;$B268,BD!$AA$3:$AA$5001,"&lt;&gt;"))))</f>
        <v/>
      </c>
      <c r="P268" s="43" t="str">
        <f>IF(OR($B268="",$A268&gt;$B$9,P$245=""),"",IF(COUNTIFS(BD!$B$3:$B$5001,P$245,BD!$A$3:$A$5001,"&gt;="&amp;$C$7,BD!$A$3:$A$5001,"&lt;="&amp;$B268,BD!$AA$3:$AA$5001,"&lt;&gt;")=0,"",SUMIFS(BD!$AA$3:$AA$5001,BD!$B$3:$B$5001,P$245,BD!$A$3:$A$5001,_xlfn.MAXIFS(BD!$A$3:$A$5001,BD!$B$3:$B$5001,P$245,BD!$A$3:$A$5001,"&gt;="&amp;$C$7,BD!$A$3:$A$5001,"&lt;="&amp;$B268,BD!$AA$3:$AA$5001,"&lt;&gt;"))))</f>
        <v/>
      </c>
      <c r="Q268" s="43" t="str">
        <f>IF(OR($B268="",$A268&gt;$B$9,Q$245=""),"",IF(COUNTIFS(BD!$B$3:$B$5001,Q$245,BD!$A$3:$A$5001,"&gt;="&amp;$C$7,BD!$A$3:$A$5001,"&lt;="&amp;$B268,BD!$AA$3:$AA$5001,"&lt;&gt;")=0,"",SUMIFS(BD!$AA$3:$AA$5001,BD!$B$3:$B$5001,Q$245,BD!$A$3:$A$5001,_xlfn.MAXIFS(BD!$A$3:$A$5001,BD!$B$3:$B$5001,Q$245,BD!$A$3:$A$5001,"&gt;="&amp;$C$7,BD!$A$3:$A$5001,"&lt;="&amp;$B268,BD!$AA$3:$AA$5001,"&lt;&gt;"))))</f>
        <v/>
      </c>
      <c r="R268" s="43" t="str">
        <f>IF(OR($B268="",$A268&gt;$B$9,R$245=""),"",IF(COUNTIFS(BD!$B$3:$B$5001,R$245,BD!$A$3:$A$5001,"&gt;="&amp;$C$7,BD!$A$3:$A$5001,"&lt;="&amp;$B268,BD!$AA$3:$AA$5001,"&lt;&gt;")=0,"",SUMIFS(BD!$AA$3:$AA$5001,BD!$B$3:$B$5001,R$245,BD!$A$3:$A$5001,_xlfn.MAXIFS(BD!$A$3:$A$5001,BD!$B$3:$B$5001,R$245,BD!$A$3:$A$5001,"&gt;="&amp;$C$7,BD!$A$3:$A$5001,"&lt;="&amp;$B268,BD!$AA$3:$AA$5001,"&lt;&gt;"))))</f>
        <v/>
      </c>
      <c r="S268" s="43" t="str">
        <f>IF(OR($B268="",$A268&gt;$B$9,S$245=""),"",IF(COUNTIFS(BD!$B$3:$B$5001,S$245,BD!$A$3:$A$5001,"&gt;="&amp;$C$7,BD!$A$3:$A$5001,"&lt;="&amp;$B268,BD!$AA$3:$AA$5001,"&lt;&gt;")=0,"",SUMIFS(BD!$AA$3:$AA$5001,BD!$B$3:$B$5001,S$245,BD!$A$3:$A$5001,_xlfn.MAXIFS(BD!$A$3:$A$5001,BD!$B$3:$B$5001,S$245,BD!$A$3:$A$5001,"&gt;="&amp;$C$7,BD!$A$3:$A$5001,"&lt;="&amp;$B268,BD!$AA$3:$AA$5001,"&lt;&gt;"))))</f>
        <v/>
      </c>
      <c r="T268" s="43" t="str">
        <f>IF(OR($B268="",$A268&gt;$B$9,T$245=""),"",IF(COUNTIFS(BD!$B$3:$B$5001,T$245,BD!$A$3:$A$5001,"&gt;="&amp;$C$7,BD!$A$3:$A$5001,"&lt;="&amp;$B268,BD!$AA$3:$AA$5001,"&lt;&gt;")=0,"",SUMIFS(BD!$AA$3:$AA$5001,BD!$B$3:$B$5001,T$245,BD!$A$3:$A$5001,_xlfn.MAXIFS(BD!$A$3:$A$5001,BD!$B$3:$B$5001,T$245,BD!$A$3:$A$5001,"&gt;="&amp;$C$7,BD!$A$3:$A$5001,"&lt;="&amp;$B268,BD!$AA$3:$AA$5001,"&lt;&gt;"))))</f>
        <v/>
      </c>
      <c r="U268" s="43" t="str">
        <f>IF(OR($B268="",$A268&gt;$B$9,U$245=""),"",IF(COUNTIFS(BD!$B$3:$B$5001,U$245,BD!$A$3:$A$5001,"&gt;="&amp;$C$7,BD!$A$3:$A$5001,"&lt;="&amp;$B268,BD!$AA$3:$AA$5001,"&lt;&gt;")=0,"",SUMIFS(BD!$AA$3:$AA$5001,BD!$B$3:$B$5001,U$245,BD!$A$3:$A$5001,_xlfn.MAXIFS(BD!$A$3:$A$5001,BD!$B$3:$B$5001,U$245,BD!$A$3:$A$5001,"&gt;="&amp;$C$7,BD!$A$3:$A$5001,"&lt;="&amp;$B268,BD!$AA$3:$AA$5001,"&lt;&gt;"))))</f>
        <v/>
      </c>
      <c r="V268" s="43" t="str">
        <f>IF(OR($B268="",$A268&gt;$B$9,V$245=""),"",IF(COUNTIFS(BD!$B$3:$B$5001,V$245,BD!$A$3:$A$5001,"&gt;="&amp;$C$7,BD!$A$3:$A$5001,"&lt;="&amp;$B268,BD!$AA$3:$AA$5001,"&lt;&gt;")=0,"",SUMIFS(BD!$AA$3:$AA$5001,BD!$B$3:$B$5001,V$245,BD!$A$3:$A$5001,_xlfn.MAXIFS(BD!$A$3:$A$5001,BD!$B$3:$B$5001,V$245,BD!$A$3:$A$5001,"&gt;="&amp;$C$7,BD!$A$3:$A$5001,"&lt;="&amp;$B268,BD!$AA$3:$AA$5001,"&lt;&gt;"))))</f>
        <v/>
      </c>
    </row>
    <row r="269">
      <c r="A269" s="38">
        <v>24</v>
      </c>
      <c r="B269" s="42">
        <f>$B$35</f>
        <v>46319</v>
      </c>
      <c r="C269" s="43" t="str">
        <f>IF(OR($B269="",$A269&gt;$B$9,C$245=""),"",IF(COUNTIFS(BD!$B$3:$B$5001,C$245,BD!$A$3:$A$5001,"&gt;="&amp;$C$7,BD!$A$3:$A$5001,"&lt;="&amp;$B269,BD!$AA$3:$AA$5001,"&lt;&gt;")=0,"",SUMIFS(BD!$AA$3:$AA$5001,BD!$B$3:$B$5001,C$245,BD!$A$3:$A$5001,_xlfn.MAXIFS(BD!$A$3:$A$5001,BD!$B$3:$B$5001,C$245,BD!$A$3:$A$5001,"&gt;="&amp;$C$7,BD!$A$3:$A$5001,"&lt;="&amp;$B269,BD!$AA$3:$AA$5001,"&lt;&gt;"))))</f>
        <v/>
      </c>
      <c r="D269" s="43" t="str">
        <f>IF(OR($B269="",$A269&gt;$B$9,D$245=""),"",IF(COUNTIFS(BD!$B$3:$B$5001,D$245,BD!$A$3:$A$5001,"&gt;="&amp;$C$7,BD!$A$3:$A$5001,"&lt;="&amp;$B269,BD!$AA$3:$AA$5001,"&lt;&gt;")=0,"",SUMIFS(BD!$AA$3:$AA$5001,BD!$B$3:$B$5001,D$245,BD!$A$3:$A$5001,_xlfn.MAXIFS(BD!$A$3:$A$5001,BD!$B$3:$B$5001,D$245,BD!$A$3:$A$5001,"&gt;="&amp;$C$7,BD!$A$3:$A$5001,"&lt;="&amp;$B269,BD!$AA$3:$AA$5001,"&lt;&gt;"))))</f>
        <v/>
      </c>
      <c r="E269" s="43" t="str">
        <f>IF(OR($B269="",$A269&gt;$B$9,E$245=""),"",IF(COUNTIFS(BD!$B$3:$B$5001,E$245,BD!$A$3:$A$5001,"&gt;="&amp;$C$7,BD!$A$3:$A$5001,"&lt;="&amp;$B269,BD!$AA$3:$AA$5001,"&lt;&gt;")=0,"",SUMIFS(BD!$AA$3:$AA$5001,BD!$B$3:$B$5001,E$245,BD!$A$3:$A$5001,_xlfn.MAXIFS(BD!$A$3:$A$5001,BD!$B$3:$B$5001,E$245,BD!$A$3:$A$5001,"&gt;="&amp;$C$7,BD!$A$3:$A$5001,"&lt;="&amp;$B269,BD!$AA$3:$AA$5001,"&lt;&gt;"))))</f>
        <v/>
      </c>
      <c r="F269" s="43" t="str">
        <f>IF(OR($B269="",$A269&gt;$B$9,F$245=""),"",IF(COUNTIFS(BD!$B$3:$B$5001,F$245,BD!$A$3:$A$5001,"&gt;="&amp;$C$7,BD!$A$3:$A$5001,"&lt;="&amp;$B269,BD!$AA$3:$AA$5001,"&lt;&gt;")=0,"",SUMIFS(BD!$AA$3:$AA$5001,BD!$B$3:$B$5001,F$245,BD!$A$3:$A$5001,_xlfn.MAXIFS(BD!$A$3:$A$5001,BD!$B$3:$B$5001,F$245,BD!$A$3:$A$5001,"&gt;="&amp;$C$7,BD!$A$3:$A$5001,"&lt;="&amp;$B269,BD!$AA$3:$AA$5001,"&lt;&gt;"))))</f>
        <v/>
      </c>
      <c r="G269" s="43" t="str">
        <f>IF(OR($B269="",$A269&gt;$B$9,G$245=""),"",IF(COUNTIFS(BD!$B$3:$B$5001,G$245,BD!$A$3:$A$5001,"&gt;="&amp;$C$7,BD!$A$3:$A$5001,"&lt;="&amp;$B269,BD!$AA$3:$AA$5001,"&lt;&gt;")=0,"",SUMIFS(BD!$AA$3:$AA$5001,BD!$B$3:$B$5001,G$245,BD!$A$3:$A$5001,_xlfn.MAXIFS(BD!$A$3:$A$5001,BD!$B$3:$B$5001,G$245,BD!$A$3:$A$5001,"&gt;="&amp;$C$7,BD!$A$3:$A$5001,"&lt;="&amp;$B269,BD!$AA$3:$AA$5001,"&lt;&gt;"))))</f>
        <v/>
      </c>
      <c r="H269" s="43" t="str">
        <f>IF(OR($B269="",$A269&gt;$B$9,H$245=""),"",IF(COUNTIFS(BD!$B$3:$B$5001,H$245,BD!$A$3:$A$5001,"&gt;="&amp;$C$7,BD!$A$3:$A$5001,"&lt;="&amp;$B269,BD!$AA$3:$AA$5001,"&lt;&gt;")=0,"",SUMIFS(BD!$AA$3:$AA$5001,BD!$B$3:$B$5001,H$245,BD!$A$3:$A$5001,_xlfn.MAXIFS(BD!$A$3:$A$5001,BD!$B$3:$B$5001,H$245,BD!$A$3:$A$5001,"&gt;="&amp;$C$7,BD!$A$3:$A$5001,"&lt;="&amp;$B269,BD!$AA$3:$AA$5001,"&lt;&gt;"))))</f>
        <v/>
      </c>
      <c r="I269" s="43" t="str">
        <f>IF(OR($B269="",$A269&gt;$B$9,I$245=""),"",IF(COUNTIFS(BD!$B$3:$B$5001,I$245,BD!$A$3:$A$5001,"&gt;="&amp;$C$7,BD!$A$3:$A$5001,"&lt;="&amp;$B269,BD!$AA$3:$AA$5001,"&lt;&gt;")=0,"",SUMIFS(BD!$AA$3:$AA$5001,BD!$B$3:$B$5001,I$245,BD!$A$3:$A$5001,_xlfn.MAXIFS(BD!$A$3:$A$5001,BD!$B$3:$B$5001,I$245,BD!$A$3:$A$5001,"&gt;="&amp;$C$7,BD!$A$3:$A$5001,"&lt;="&amp;$B269,BD!$AA$3:$AA$5001,"&lt;&gt;"))))</f>
        <v/>
      </c>
      <c r="J269" s="43" t="str">
        <f>IF(OR($B269="",$A269&gt;$B$9,J$245=""),"",IF(COUNTIFS(BD!$B$3:$B$5001,J$245,BD!$A$3:$A$5001,"&gt;="&amp;$C$7,BD!$A$3:$A$5001,"&lt;="&amp;$B269,BD!$AA$3:$AA$5001,"&lt;&gt;")=0,"",SUMIFS(BD!$AA$3:$AA$5001,BD!$B$3:$B$5001,J$245,BD!$A$3:$A$5001,_xlfn.MAXIFS(BD!$A$3:$A$5001,BD!$B$3:$B$5001,J$245,BD!$A$3:$A$5001,"&gt;="&amp;$C$7,BD!$A$3:$A$5001,"&lt;="&amp;$B269,BD!$AA$3:$AA$5001,"&lt;&gt;"))))</f>
        <v/>
      </c>
      <c r="K269" s="43" t="str">
        <f>IF(OR($B269="",$A269&gt;$B$9,K$245=""),"",IF(COUNTIFS(BD!$B$3:$B$5001,K$245,BD!$A$3:$A$5001,"&gt;="&amp;$C$7,BD!$A$3:$A$5001,"&lt;="&amp;$B269,BD!$AA$3:$AA$5001,"&lt;&gt;")=0,"",SUMIFS(BD!$AA$3:$AA$5001,BD!$B$3:$B$5001,K$245,BD!$A$3:$A$5001,_xlfn.MAXIFS(BD!$A$3:$A$5001,BD!$B$3:$B$5001,K$245,BD!$A$3:$A$5001,"&gt;="&amp;$C$7,BD!$A$3:$A$5001,"&lt;="&amp;$B269,BD!$AA$3:$AA$5001,"&lt;&gt;"))))</f>
        <v/>
      </c>
      <c r="L269" s="43" t="str">
        <f>IF(OR($B269="",$A269&gt;$B$9,L$245=""),"",IF(COUNTIFS(BD!$B$3:$B$5001,L$245,BD!$A$3:$A$5001,"&gt;="&amp;$C$7,BD!$A$3:$A$5001,"&lt;="&amp;$B269,BD!$AA$3:$AA$5001,"&lt;&gt;")=0,"",SUMIFS(BD!$AA$3:$AA$5001,BD!$B$3:$B$5001,L$245,BD!$A$3:$A$5001,_xlfn.MAXIFS(BD!$A$3:$A$5001,BD!$B$3:$B$5001,L$245,BD!$A$3:$A$5001,"&gt;="&amp;$C$7,BD!$A$3:$A$5001,"&lt;="&amp;$B269,BD!$AA$3:$AA$5001,"&lt;&gt;"))))</f>
        <v/>
      </c>
      <c r="M269" s="43" t="str">
        <f>IF(OR($B269="",$A269&gt;$B$9,M$245=""),"",IF(COUNTIFS(BD!$B$3:$B$5001,M$245,BD!$A$3:$A$5001,"&gt;="&amp;$C$7,BD!$A$3:$A$5001,"&lt;="&amp;$B269,BD!$AA$3:$AA$5001,"&lt;&gt;")=0,"",SUMIFS(BD!$AA$3:$AA$5001,BD!$B$3:$B$5001,M$245,BD!$A$3:$A$5001,_xlfn.MAXIFS(BD!$A$3:$A$5001,BD!$B$3:$B$5001,M$245,BD!$A$3:$A$5001,"&gt;="&amp;$C$7,BD!$A$3:$A$5001,"&lt;="&amp;$B269,BD!$AA$3:$AA$5001,"&lt;&gt;"))))</f>
        <v/>
      </c>
      <c r="N269" s="43" t="str">
        <f>IF(OR($B269="",$A269&gt;$B$9,N$245=""),"",IF(COUNTIFS(BD!$B$3:$B$5001,N$245,BD!$A$3:$A$5001,"&gt;="&amp;$C$7,BD!$A$3:$A$5001,"&lt;="&amp;$B269,BD!$AA$3:$AA$5001,"&lt;&gt;")=0,"",SUMIFS(BD!$AA$3:$AA$5001,BD!$B$3:$B$5001,N$245,BD!$A$3:$A$5001,_xlfn.MAXIFS(BD!$A$3:$A$5001,BD!$B$3:$B$5001,N$245,BD!$A$3:$A$5001,"&gt;="&amp;$C$7,BD!$A$3:$A$5001,"&lt;="&amp;$B269,BD!$AA$3:$AA$5001,"&lt;&gt;"))))</f>
        <v/>
      </c>
      <c r="O269" s="43" t="str">
        <f>IF(OR($B269="",$A269&gt;$B$9,O$245=""),"",IF(COUNTIFS(BD!$B$3:$B$5001,O$245,BD!$A$3:$A$5001,"&gt;="&amp;$C$7,BD!$A$3:$A$5001,"&lt;="&amp;$B269,BD!$AA$3:$AA$5001,"&lt;&gt;")=0,"",SUMIFS(BD!$AA$3:$AA$5001,BD!$B$3:$B$5001,O$245,BD!$A$3:$A$5001,_xlfn.MAXIFS(BD!$A$3:$A$5001,BD!$B$3:$B$5001,O$245,BD!$A$3:$A$5001,"&gt;="&amp;$C$7,BD!$A$3:$A$5001,"&lt;="&amp;$B269,BD!$AA$3:$AA$5001,"&lt;&gt;"))))</f>
        <v/>
      </c>
      <c r="P269" s="43" t="str">
        <f>IF(OR($B269="",$A269&gt;$B$9,P$245=""),"",IF(COUNTIFS(BD!$B$3:$B$5001,P$245,BD!$A$3:$A$5001,"&gt;="&amp;$C$7,BD!$A$3:$A$5001,"&lt;="&amp;$B269,BD!$AA$3:$AA$5001,"&lt;&gt;")=0,"",SUMIFS(BD!$AA$3:$AA$5001,BD!$B$3:$B$5001,P$245,BD!$A$3:$A$5001,_xlfn.MAXIFS(BD!$A$3:$A$5001,BD!$B$3:$B$5001,P$245,BD!$A$3:$A$5001,"&gt;="&amp;$C$7,BD!$A$3:$A$5001,"&lt;="&amp;$B269,BD!$AA$3:$AA$5001,"&lt;&gt;"))))</f>
        <v/>
      </c>
      <c r="Q269" s="43" t="str">
        <f>IF(OR($B269="",$A269&gt;$B$9,Q$245=""),"",IF(COUNTIFS(BD!$B$3:$B$5001,Q$245,BD!$A$3:$A$5001,"&gt;="&amp;$C$7,BD!$A$3:$A$5001,"&lt;="&amp;$B269,BD!$AA$3:$AA$5001,"&lt;&gt;")=0,"",SUMIFS(BD!$AA$3:$AA$5001,BD!$B$3:$B$5001,Q$245,BD!$A$3:$A$5001,_xlfn.MAXIFS(BD!$A$3:$A$5001,BD!$B$3:$B$5001,Q$245,BD!$A$3:$A$5001,"&gt;="&amp;$C$7,BD!$A$3:$A$5001,"&lt;="&amp;$B269,BD!$AA$3:$AA$5001,"&lt;&gt;"))))</f>
        <v/>
      </c>
      <c r="R269" s="43" t="str">
        <f>IF(OR($B269="",$A269&gt;$B$9,R$245=""),"",IF(COUNTIFS(BD!$B$3:$B$5001,R$245,BD!$A$3:$A$5001,"&gt;="&amp;$C$7,BD!$A$3:$A$5001,"&lt;="&amp;$B269,BD!$AA$3:$AA$5001,"&lt;&gt;")=0,"",SUMIFS(BD!$AA$3:$AA$5001,BD!$B$3:$B$5001,R$245,BD!$A$3:$A$5001,_xlfn.MAXIFS(BD!$A$3:$A$5001,BD!$B$3:$B$5001,R$245,BD!$A$3:$A$5001,"&gt;="&amp;$C$7,BD!$A$3:$A$5001,"&lt;="&amp;$B269,BD!$AA$3:$AA$5001,"&lt;&gt;"))))</f>
        <v/>
      </c>
      <c r="S269" s="43" t="str">
        <f>IF(OR($B269="",$A269&gt;$B$9,S$245=""),"",IF(COUNTIFS(BD!$B$3:$B$5001,S$245,BD!$A$3:$A$5001,"&gt;="&amp;$C$7,BD!$A$3:$A$5001,"&lt;="&amp;$B269,BD!$AA$3:$AA$5001,"&lt;&gt;")=0,"",SUMIFS(BD!$AA$3:$AA$5001,BD!$B$3:$B$5001,S$245,BD!$A$3:$A$5001,_xlfn.MAXIFS(BD!$A$3:$A$5001,BD!$B$3:$B$5001,S$245,BD!$A$3:$A$5001,"&gt;="&amp;$C$7,BD!$A$3:$A$5001,"&lt;="&amp;$B269,BD!$AA$3:$AA$5001,"&lt;&gt;"))))</f>
        <v/>
      </c>
      <c r="T269" s="43" t="str">
        <f>IF(OR($B269="",$A269&gt;$B$9,T$245=""),"",IF(COUNTIFS(BD!$B$3:$B$5001,T$245,BD!$A$3:$A$5001,"&gt;="&amp;$C$7,BD!$A$3:$A$5001,"&lt;="&amp;$B269,BD!$AA$3:$AA$5001,"&lt;&gt;")=0,"",SUMIFS(BD!$AA$3:$AA$5001,BD!$B$3:$B$5001,T$245,BD!$A$3:$A$5001,_xlfn.MAXIFS(BD!$A$3:$A$5001,BD!$B$3:$B$5001,T$245,BD!$A$3:$A$5001,"&gt;="&amp;$C$7,BD!$A$3:$A$5001,"&lt;="&amp;$B269,BD!$AA$3:$AA$5001,"&lt;&gt;"))))</f>
        <v/>
      </c>
      <c r="U269" s="43" t="str">
        <f>IF(OR($B269="",$A269&gt;$B$9,U$245=""),"",IF(COUNTIFS(BD!$B$3:$B$5001,U$245,BD!$A$3:$A$5001,"&gt;="&amp;$C$7,BD!$A$3:$A$5001,"&lt;="&amp;$B269,BD!$AA$3:$AA$5001,"&lt;&gt;")=0,"",SUMIFS(BD!$AA$3:$AA$5001,BD!$B$3:$B$5001,U$245,BD!$A$3:$A$5001,_xlfn.MAXIFS(BD!$A$3:$A$5001,BD!$B$3:$B$5001,U$245,BD!$A$3:$A$5001,"&gt;="&amp;$C$7,BD!$A$3:$A$5001,"&lt;="&amp;$B269,BD!$AA$3:$AA$5001,"&lt;&gt;"))))</f>
        <v/>
      </c>
      <c r="V269" s="43" t="str">
        <f>IF(OR($B269="",$A269&gt;$B$9,V$245=""),"",IF(COUNTIFS(BD!$B$3:$B$5001,V$245,BD!$A$3:$A$5001,"&gt;="&amp;$C$7,BD!$A$3:$A$5001,"&lt;="&amp;$B269,BD!$AA$3:$AA$5001,"&lt;&gt;")=0,"",SUMIFS(BD!$AA$3:$AA$5001,BD!$B$3:$B$5001,V$245,BD!$A$3:$A$5001,_xlfn.MAXIFS(BD!$A$3:$A$5001,BD!$B$3:$B$5001,V$245,BD!$A$3:$A$5001,"&gt;="&amp;$C$7,BD!$A$3:$A$5001,"&lt;="&amp;$B269,BD!$AA$3:$AA$5001,"&lt;&gt;"))))</f>
        <v/>
      </c>
    </row>
    <row r="270">
      <c r="A270" s="38">
        <v>25</v>
      </c>
      <c r="B270" s="42">
        <f>$B$36</f>
        <v>46320</v>
      </c>
      <c r="C270" s="43" t="str">
        <f>IF(OR($B270="",$A270&gt;$B$9,C$245=""),"",IF(COUNTIFS(BD!$B$3:$B$5001,C$245,BD!$A$3:$A$5001,"&gt;="&amp;$C$7,BD!$A$3:$A$5001,"&lt;="&amp;$B270,BD!$AA$3:$AA$5001,"&lt;&gt;")=0,"",SUMIFS(BD!$AA$3:$AA$5001,BD!$B$3:$B$5001,C$245,BD!$A$3:$A$5001,_xlfn.MAXIFS(BD!$A$3:$A$5001,BD!$B$3:$B$5001,C$245,BD!$A$3:$A$5001,"&gt;="&amp;$C$7,BD!$A$3:$A$5001,"&lt;="&amp;$B270,BD!$AA$3:$AA$5001,"&lt;&gt;"))))</f>
        <v/>
      </c>
      <c r="D270" s="43" t="str">
        <f>IF(OR($B270="",$A270&gt;$B$9,D$245=""),"",IF(COUNTIFS(BD!$B$3:$B$5001,D$245,BD!$A$3:$A$5001,"&gt;="&amp;$C$7,BD!$A$3:$A$5001,"&lt;="&amp;$B270,BD!$AA$3:$AA$5001,"&lt;&gt;")=0,"",SUMIFS(BD!$AA$3:$AA$5001,BD!$B$3:$B$5001,D$245,BD!$A$3:$A$5001,_xlfn.MAXIFS(BD!$A$3:$A$5001,BD!$B$3:$B$5001,D$245,BD!$A$3:$A$5001,"&gt;="&amp;$C$7,BD!$A$3:$A$5001,"&lt;="&amp;$B270,BD!$AA$3:$AA$5001,"&lt;&gt;"))))</f>
        <v/>
      </c>
      <c r="E270" s="43" t="str">
        <f>IF(OR($B270="",$A270&gt;$B$9,E$245=""),"",IF(COUNTIFS(BD!$B$3:$B$5001,E$245,BD!$A$3:$A$5001,"&gt;="&amp;$C$7,BD!$A$3:$A$5001,"&lt;="&amp;$B270,BD!$AA$3:$AA$5001,"&lt;&gt;")=0,"",SUMIFS(BD!$AA$3:$AA$5001,BD!$B$3:$B$5001,E$245,BD!$A$3:$A$5001,_xlfn.MAXIFS(BD!$A$3:$A$5001,BD!$B$3:$B$5001,E$245,BD!$A$3:$A$5001,"&gt;="&amp;$C$7,BD!$A$3:$A$5001,"&lt;="&amp;$B270,BD!$AA$3:$AA$5001,"&lt;&gt;"))))</f>
        <v/>
      </c>
      <c r="F270" s="43" t="str">
        <f>IF(OR($B270="",$A270&gt;$B$9,F$245=""),"",IF(COUNTIFS(BD!$B$3:$B$5001,F$245,BD!$A$3:$A$5001,"&gt;="&amp;$C$7,BD!$A$3:$A$5001,"&lt;="&amp;$B270,BD!$AA$3:$AA$5001,"&lt;&gt;")=0,"",SUMIFS(BD!$AA$3:$AA$5001,BD!$B$3:$B$5001,F$245,BD!$A$3:$A$5001,_xlfn.MAXIFS(BD!$A$3:$A$5001,BD!$B$3:$B$5001,F$245,BD!$A$3:$A$5001,"&gt;="&amp;$C$7,BD!$A$3:$A$5001,"&lt;="&amp;$B270,BD!$AA$3:$AA$5001,"&lt;&gt;"))))</f>
        <v/>
      </c>
      <c r="G270" s="43" t="str">
        <f>IF(OR($B270="",$A270&gt;$B$9,G$245=""),"",IF(COUNTIFS(BD!$B$3:$B$5001,G$245,BD!$A$3:$A$5001,"&gt;="&amp;$C$7,BD!$A$3:$A$5001,"&lt;="&amp;$B270,BD!$AA$3:$AA$5001,"&lt;&gt;")=0,"",SUMIFS(BD!$AA$3:$AA$5001,BD!$B$3:$B$5001,G$245,BD!$A$3:$A$5001,_xlfn.MAXIFS(BD!$A$3:$A$5001,BD!$B$3:$B$5001,G$245,BD!$A$3:$A$5001,"&gt;="&amp;$C$7,BD!$A$3:$A$5001,"&lt;="&amp;$B270,BD!$AA$3:$AA$5001,"&lt;&gt;"))))</f>
        <v/>
      </c>
      <c r="H270" s="43" t="str">
        <f>IF(OR($B270="",$A270&gt;$B$9,H$245=""),"",IF(COUNTIFS(BD!$B$3:$B$5001,H$245,BD!$A$3:$A$5001,"&gt;="&amp;$C$7,BD!$A$3:$A$5001,"&lt;="&amp;$B270,BD!$AA$3:$AA$5001,"&lt;&gt;")=0,"",SUMIFS(BD!$AA$3:$AA$5001,BD!$B$3:$B$5001,H$245,BD!$A$3:$A$5001,_xlfn.MAXIFS(BD!$A$3:$A$5001,BD!$B$3:$B$5001,H$245,BD!$A$3:$A$5001,"&gt;="&amp;$C$7,BD!$A$3:$A$5001,"&lt;="&amp;$B270,BD!$AA$3:$AA$5001,"&lt;&gt;"))))</f>
        <v/>
      </c>
      <c r="I270" s="43" t="str">
        <f>IF(OR($B270="",$A270&gt;$B$9,I$245=""),"",IF(COUNTIFS(BD!$B$3:$B$5001,I$245,BD!$A$3:$A$5001,"&gt;="&amp;$C$7,BD!$A$3:$A$5001,"&lt;="&amp;$B270,BD!$AA$3:$AA$5001,"&lt;&gt;")=0,"",SUMIFS(BD!$AA$3:$AA$5001,BD!$B$3:$B$5001,I$245,BD!$A$3:$A$5001,_xlfn.MAXIFS(BD!$A$3:$A$5001,BD!$B$3:$B$5001,I$245,BD!$A$3:$A$5001,"&gt;="&amp;$C$7,BD!$A$3:$A$5001,"&lt;="&amp;$B270,BD!$AA$3:$AA$5001,"&lt;&gt;"))))</f>
        <v/>
      </c>
      <c r="J270" s="43" t="str">
        <f>IF(OR($B270="",$A270&gt;$B$9,J$245=""),"",IF(COUNTIFS(BD!$B$3:$B$5001,J$245,BD!$A$3:$A$5001,"&gt;="&amp;$C$7,BD!$A$3:$A$5001,"&lt;="&amp;$B270,BD!$AA$3:$AA$5001,"&lt;&gt;")=0,"",SUMIFS(BD!$AA$3:$AA$5001,BD!$B$3:$B$5001,J$245,BD!$A$3:$A$5001,_xlfn.MAXIFS(BD!$A$3:$A$5001,BD!$B$3:$B$5001,J$245,BD!$A$3:$A$5001,"&gt;="&amp;$C$7,BD!$A$3:$A$5001,"&lt;="&amp;$B270,BD!$AA$3:$AA$5001,"&lt;&gt;"))))</f>
        <v/>
      </c>
      <c r="K270" s="43" t="str">
        <f>IF(OR($B270="",$A270&gt;$B$9,K$245=""),"",IF(COUNTIFS(BD!$B$3:$B$5001,K$245,BD!$A$3:$A$5001,"&gt;="&amp;$C$7,BD!$A$3:$A$5001,"&lt;="&amp;$B270,BD!$AA$3:$AA$5001,"&lt;&gt;")=0,"",SUMIFS(BD!$AA$3:$AA$5001,BD!$B$3:$B$5001,K$245,BD!$A$3:$A$5001,_xlfn.MAXIFS(BD!$A$3:$A$5001,BD!$B$3:$B$5001,K$245,BD!$A$3:$A$5001,"&gt;="&amp;$C$7,BD!$A$3:$A$5001,"&lt;="&amp;$B270,BD!$AA$3:$AA$5001,"&lt;&gt;"))))</f>
        <v/>
      </c>
      <c r="L270" s="43" t="str">
        <f>IF(OR($B270="",$A270&gt;$B$9,L$245=""),"",IF(COUNTIFS(BD!$B$3:$B$5001,L$245,BD!$A$3:$A$5001,"&gt;="&amp;$C$7,BD!$A$3:$A$5001,"&lt;="&amp;$B270,BD!$AA$3:$AA$5001,"&lt;&gt;")=0,"",SUMIFS(BD!$AA$3:$AA$5001,BD!$B$3:$B$5001,L$245,BD!$A$3:$A$5001,_xlfn.MAXIFS(BD!$A$3:$A$5001,BD!$B$3:$B$5001,L$245,BD!$A$3:$A$5001,"&gt;="&amp;$C$7,BD!$A$3:$A$5001,"&lt;="&amp;$B270,BD!$AA$3:$AA$5001,"&lt;&gt;"))))</f>
        <v/>
      </c>
      <c r="M270" s="43" t="str">
        <f>IF(OR($B270="",$A270&gt;$B$9,M$245=""),"",IF(COUNTIFS(BD!$B$3:$B$5001,M$245,BD!$A$3:$A$5001,"&gt;="&amp;$C$7,BD!$A$3:$A$5001,"&lt;="&amp;$B270,BD!$AA$3:$AA$5001,"&lt;&gt;")=0,"",SUMIFS(BD!$AA$3:$AA$5001,BD!$B$3:$B$5001,M$245,BD!$A$3:$A$5001,_xlfn.MAXIFS(BD!$A$3:$A$5001,BD!$B$3:$B$5001,M$245,BD!$A$3:$A$5001,"&gt;="&amp;$C$7,BD!$A$3:$A$5001,"&lt;="&amp;$B270,BD!$AA$3:$AA$5001,"&lt;&gt;"))))</f>
        <v/>
      </c>
      <c r="N270" s="43" t="str">
        <f>IF(OR($B270="",$A270&gt;$B$9,N$245=""),"",IF(COUNTIFS(BD!$B$3:$B$5001,N$245,BD!$A$3:$A$5001,"&gt;="&amp;$C$7,BD!$A$3:$A$5001,"&lt;="&amp;$B270,BD!$AA$3:$AA$5001,"&lt;&gt;")=0,"",SUMIFS(BD!$AA$3:$AA$5001,BD!$B$3:$B$5001,N$245,BD!$A$3:$A$5001,_xlfn.MAXIFS(BD!$A$3:$A$5001,BD!$B$3:$B$5001,N$245,BD!$A$3:$A$5001,"&gt;="&amp;$C$7,BD!$A$3:$A$5001,"&lt;="&amp;$B270,BD!$AA$3:$AA$5001,"&lt;&gt;"))))</f>
        <v/>
      </c>
      <c r="O270" s="43" t="str">
        <f>IF(OR($B270="",$A270&gt;$B$9,O$245=""),"",IF(COUNTIFS(BD!$B$3:$B$5001,O$245,BD!$A$3:$A$5001,"&gt;="&amp;$C$7,BD!$A$3:$A$5001,"&lt;="&amp;$B270,BD!$AA$3:$AA$5001,"&lt;&gt;")=0,"",SUMIFS(BD!$AA$3:$AA$5001,BD!$B$3:$B$5001,O$245,BD!$A$3:$A$5001,_xlfn.MAXIFS(BD!$A$3:$A$5001,BD!$B$3:$B$5001,O$245,BD!$A$3:$A$5001,"&gt;="&amp;$C$7,BD!$A$3:$A$5001,"&lt;="&amp;$B270,BD!$AA$3:$AA$5001,"&lt;&gt;"))))</f>
        <v/>
      </c>
      <c r="P270" s="43" t="str">
        <f>IF(OR($B270="",$A270&gt;$B$9,P$245=""),"",IF(COUNTIFS(BD!$B$3:$B$5001,P$245,BD!$A$3:$A$5001,"&gt;="&amp;$C$7,BD!$A$3:$A$5001,"&lt;="&amp;$B270,BD!$AA$3:$AA$5001,"&lt;&gt;")=0,"",SUMIFS(BD!$AA$3:$AA$5001,BD!$B$3:$B$5001,P$245,BD!$A$3:$A$5001,_xlfn.MAXIFS(BD!$A$3:$A$5001,BD!$B$3:$B$5001,P$245,BD!$A$3:$A$5001,"&gt;="&amp;$C$7,BD!$A$3:$A$5001,"&lt;="&amp;$B270,BD!$AA$3:$AA$5001,"&lt;&gt;"))))</f>
        <v/>
      </c>
      <c r="Q270" s="43" t="str">
        <f>IF(OR($B270="",$A270&gt;$B$9,Q$245=""),"",IF(COUNTIFS(BD!$B$3:$B$5001,Q$245,BD!$A$3:$A$5001,"&gt;="&amp;$C$7,BD!$A$3:$A$5001,"&lt;="&amp;$B270,BD!$AA$3:$AA$5001,"&lt;&gt;")=0,"",SUMIFS(BD!$AA$3:$AA$5001,BD!$B$3:$B$5001,Q$245,BD!$A$3:$A$5001,_xlfn.MAXIFS(BD!$A$3:$A$5001,BD!$B$3:$B$5001,Q$245,BD!$A$3:$A$5001,"&gt;="&amp;$C$7,BD!$A$3:$A$5001,"&lt;="&amp;$B270,BD!$AA$3:$AA$5001,"&lt;&gt;"))))</f>
        <v/>
      </c>
      <c r="R270" s="43" t="str">
        <f>IF(OR($B270="",$A270&gt;$B$9,R$245=""),"",IF(COUNTIFS(BD!$B$3:$B$5001,R$245,BD!$A$3:$A$5001,"&gt;="&amp;$C$7,BD!$A$3:$A$5001,"&lt;="&amp;$B270,BD!$AA$3:$AA$5001,"&lt;&gt;")=0,"",SUMIFS(BD!$AA$3:$AA$5001,BD!$B$3:$B$5001,R$245,BD!$A$3:$A$5001,_xlfn.MAXIFS(BD!$A$3:$A$5001,BD!$B$3:$B$5001,R$245,BD!$A$3:$A$5001,"&gt;="&amp;$C$7,BD!$A$3:$A$5001,"&lt;="&amp;$B270,BD!$AA$3:$AA$5001,"&lt;&gt;"))))</f>
        <v/>
      </c>
      <c r="S270" s="43" t="str">
        <f>IF(OR($B270="",$A270&gt;$B$9,S$245=""),"",IF(COUNTIFS(BD!$B$3:$B$5001,S$245,BD!$A$3:$A$5001,"&gt;="&amp;$C$7,BD!$A$3:$A$5001,"&lt;="&amp;$B270,BD!$AA$3:$AA$5001,"&lt;&gt;")=0,"",SUMIFS(BD!$AA$3:$AA$5001,BD!$B$3:$B$5001,S$245,BD!$A$3:$A$5001,_xlfn.MAXIFS(BD!$A$3:$A$5001,BD!$B$3:$B$5001,S$245,BD!$A$3:$A$5001,"&gt;="&amp;$C$7,BD!$A$3:$A$5001,"&lt;="&amp;$B270,BD!$AA$3:$AA$5001,"&lt;&gt;"))))</f>
        <v/>
      </c>
      <c r="T270" s="43" t="str">
        <f>IF(OR($B270="",$A270&gt;$B$9,T$245=""),"",IF(COUNTIFS(BD!$B$3:$B$5001,T$245,BD!$A$3:$A$5001,"&gt;="&amp;$C$7,BD!$A$3:$A$5001,"&lt;="&amp;$B270,BD!$AA$3:$AA$5001,"&lt;&gt;")=0,"",SUMIFS(BD!$AA$3:$AA$5001,BD!$B$3:$B$5001,T$245,BD!$A$3:$A$5001,_xlfn.MAXIFS(BD!$A$3:$A$5001,BD!$B$3:$B$5001,T$245,BD!$A$3:$A$5001,"&gt;="&amp;$C$7,BD!$A$3:$A$5001,"&lt;="&amp;$B270,BD!$AA$3:$AA$5001,"&lt;&gt;"))))</f>
        <v/>
      </c>
      <c r="U270" s="43" t="str">
        <f>IF(OR($B270="",$A270&gt;$B$9,U$245=""),"",IF(COUNTIFS(BD!$B$3:$B$5001,U$245,BD!$A$3:$A$5001,"&gt;="&amp;$C$7,BD!$A$3:$A$5001,"&lt;="&amp;$B270,BD!$AA$3:$AA$5001,"&lt;&gt;")=0,"",SUMIFS(BD!$AA$3:$AA$5001,BD!$B$3:$B$5001,U$245,BD!$A$3:$A$5001,_xlfn.MAXIFS(BD!$A$3:$A$5001,BD!$B$3:$B$5001,U$245,BD!$A$3:$A$5001,"&gt;="&amp;$C$7,BD!$A$3:$A$5001,"&lt;="&amp;$B270,BD!$AA$3:$AA$5001,"&lt;&gt;"))))</f>
        <v/>
      </c>
      <c r="V270" s="43" t="str">
        <f>IF(OR($B270="",$A270&gt;$B$9,V$245=""),"",IF(COUNTIFS(BD!$B$3:$B$5001,V$245,BD!$A$3:$A$5001,"&gt;="&amp;$C$7,BD!$A$3:$A$5001,"&lt;="&amp;$B270,BD!$AA$3:$AA$5001,"&lt;&gt;")=0,"",SUMIFS(BD!$AA$3:$AA$5001,BD!$B$3:$B$5001,V$245,BD!$A$3:$A$5001,_xlfn.MAXIFS(BD!$A$3:$A$5001,BD!$B$3:$B$5001,V$245,BD!$A$3:$A$5001,"&gt;="&amp;$C$7,BD!$A$3:$A$5001,"&lt;="&amp;$B270,BD!$AA$3:$AA$5001,"&lt;&gt;"))))</f>
        <v/>
      </c>
    </row>
    <row r="271">
      <c r="A271" s="38">
        <v>26</v>
      </c>
      <c r="B271" s="42">
        <f>$B$37</f>
        <v>46321</v>
      </c>
      <c r="C271" s="43" t="str">
        <f>IF(OR($B271="",$A271&gt;$B$9,C$245=""),"",IF(COUNTIFS(BD!$B$3:$B$5001,C$245,BD!$A$3:$A$5001,"&gt;="&amp;$C$7,BD!$A$3:$A$5001,"&lt;="&amp;$B271,BD!$AA$3:$AA$5001,"&lt;&gt;")=0,"",SUMIFS(BD!$AA$3:$AA$5001,BD!$B$3:$B$5001,C$245,BD!$A$3:$A$5001,_xlfn.MAXIFS(BD!$A$3:$A$5001,BD!$B$3:$B$5001,C$245,BD!$A$3:$A$5001,"&gt;="&amp;$C$7,BD!$A$3:$A$5001,"&lt;="&amp;$B271,BD!$AA$3:$AA$5001,"&lt;&gt;"))))</f>
        <v/>
      </c>
      <c r="D271" s="43" t="str">
        <f>IF(OR($B271="",$A271&gt;$B$9,D$245=""),"",IF(COUNTIFS(BD!$B$3:$B$5001,D$245,BD!$A$3:$A$5001,"&gt;="&amp;$C$7,BD!$A$3:$A$5001,"&lt;="&amp;$B271,BD!$AA$3:$AA$5001,"&lt;&gt;")=0,"",SUMIFS(BD!$AA$3:$AA$5001,BD!$B$3:$B$5001,D$245,BD!$A$3:$A$5001,_xlfn.MAXIFS(BD!$A$3:$A$5001,BD!$B$3:$B$5001,D$245,BD!$A$3:$A$5001,"&gt;="&amp;$C$7,BD!$A$3:$A$5001,"&lt;="&amp;$B271,BD!$AA$3:$AA$5001,"&lt;&gt;"))))</f>
        <v/>
      </c>
      <c r="E271" s="43" t="str">
        <f>IF(OR($B271="",$A271&gt;$B$9,E$245=""),"",IF(COUNTIFS(BD!$B$3:$B$5001,E$245,BD!$A$3:$A$5001,"&gt;="&amp;$C$7,BD!$A$3:$A$5001,"&lt;="&amp;$B271,BD!$AA$3:$AA$5001,"&lt;&gt;")=0,"",SUMIFS(BD!$AA$3:$AA$5001,BD!$B$3:$B$5001,E$245,BD!$A$3:$A$5001,_xlfn.MAXIFS(BD!$A$3:$A$5001,BD!$B$3:$B$5001,E$245,BD!$A$3:$A$5001,"&gt;="&amp;$C$7,BD!$A$3:$A$5001,"&lt;="&amp;$B271,BD!$AA$3:$AA$5001,"&lt;&gt;"))))</f>
        <v/>
      </c>
      <c r="F271" s="43" t="str">
        <f>IF(OR($B271="",$A271&gt;$B$9,F$245=""),"",IF(COUNTIFS(BD!$B$3:$B$5001,F$245,BD!$A$3:$A$5001,"&gt;="&amp;$C$7,BD!$A$3:$A$5001,"&lt;="&amp;$B271,BD!$AA$3:$AA$5001,"&lt;&gt;")=0,"",SUMIFS(BD!$AA$3:$AA$5001,BD!$B$3:$B$5001,F$245,BD!$A$3:$A$5001,_xlfn.MAXIFS(BD!$A$3:$A$5001,BD!$B$3:$B$5001,F$245,BD!$A$3:$A$5001,"&gt;="&amp;$C$7,BD!$A$3:$A$5001,"&lt;="&amp;$B271,BD!$AA$3:$AA$5001,"&lt;&gt;"))))</f>
        <v/>
      </c>
      <c r="G271" s="43" t="str">
        <f>IF(OR($B271="",$A271&gt;$B$9,G$245=""),"",IF(COUNTIFS(BD!$B$3:$B$5001,G$245,BD!$A$3:$A$5001,"&gt;="&amp;$C$7,BD!$A$3:$A$5001,"&lt;="&amp;$B271,BD!$AA$3:$AA$5001,"&lt;&gt;")=0,"",SUMIFS(BD!$AA$3:$AA$5001,BD!$B$3:$B$5001,G$245,BD!$A$3:$A$5001,_xlfn.MAXIFS(BD!$A$3:$A$5001,BD!$B$3:$B$5001,G$245,BD!$A$3:$A$5001,"&gt;="&amp;$C$7,BD!$A$3:$A$5001,"&lt;="&amp;$B271,BD!$AA$3:$AA$5001,"&lt;&gt;"))))</f>
        <v/>
      </c>
      <c r="H271" s="43" t="str">
        <f>IF(OR($B271="",$A271&gt;$B$9,H$245=""),"",IF(COUNTIFS(BD!$B$3:$B$5001,H$245,BD!$A$3:$A$5001,"&gt;="&amp;$C$7,BD!$A$3:$A$5001,"&lt;="&amp;$B271,BD!$AA$3:$AA$5001,"&lt;&gt;")=0,"",SUMIFS(BD!$AA$3:$AA$5001,BD!$B$3:$B$5001,H$245,BD!$A$3:$A$5001,_xlfn.MAXIFS(BD!$A$3:$A$5001,BD!$B$3:$B$5001,H$245,BD!$A$3:$A$5001,"&gt;="&amp;$C$7,BD!$A$3:$A$5001,"&lt;="&amp;$B271,BD!$AA$3:$AA$5001,"&lt;&gt;"))))</f>
        <v/>
      </c>
      <c r="I271" s="43" t="str">
        <f>IF(OR($B271="",$A271&gt;$B$9,I$245=""),"",IF(COUNTIFS(BD!$B$3:$B$5001,I$245,BD!$A$3:$A$5001,"&gt;="&amp;$C$7,BD!$A$3:$A$5001,"&lt;="&amp;$B271,BD!$AA$3:$AA$5001,"&lt;&gt;")=0,"",SUMIFS(BD!$AA$3:$AA$5001,BD!$B$3:$B$5001,I$245,BD!$A$3:$A$5001,_xlfn.MAXIFS(BD!$A$3:$A$5001,BD!$B$3:$B$5001,I$245,BD!$A$3:$A$5001,"&gt;="&amp;$C$7,BD!$A$3:$A$5001,"&lt;="&amp;$B271,BD!$AA$3:$AA$5001,"&lt;&gt;"))))</f>
        <v/>
      </c>
      <c r="J271" s="43" t="str">
        <f>IF(OR($B271="",$A271&gt;$B$9,J$245=""),"",IF(COUNTIFS(BD!$B$3:$B$5001,J$245,BD!$A$3:$A$5001,"&gt;="&amp;$C$7,BD!$A$3:$A$5001,"&lt;="&amp;$B271,BD!$AA$3:$AA$5001,"&lt;&gt;")=0,"",SUMIFS(BD!$AA$3:$AA$5001,BD!$B$3:$B$5001,J$245,BD!$A$3:$A$5001,_xlfn.MAXIFS(BD!$A$3:$A$5001,BD!$B$3:$B$5001,J$245,BD!$A$3:$A$5001,"&gt;="&amp;$C$7,BD!$A$3:$A$5001,"&lt;="&amp;$B271,BD!$AA$3:$AA$5001,"&lt;&gt;"))))</f>
        <v/>
      </c>
      <c r="K271" s="43" t="str">
        <f>IF(OR($B271="",$A271&gt;$B$9,K$245=""),"",IF(COUNTIFS(BD!$B$3:$B$5001,K$245,BD!$A$3:$A$5001,"&gt;="&amp;$C$7,BD!$A$3:$A$5001,"&lt;="&amp;$B271,BD!$AA$3:$AA$5001,"&lt;&gt;")=0,"",SUMIFS(BD!$AA$3:$AA$5001,BD!$B$3:$B$5001,K$245,BD!$A$3:$A$5001,_xlfn.MAXIFS(BD!$A$3:$A$5001,BD!$B$3:$B$5001,K$245,BD!$A$3:$A$5001,"&gt;="&amp;$C$7,BD!$A$3:$A$5001,"&lt;="&amp;$B271,BD!$AA$3:$AA$5001,"&lt;&gt;"))))</f>
        <v/>
      </c>
      <c r="L271" s="43" t="str">
        <f>IF(OR($B271="",$A271&gt;$B$9,L$245=""),"",IF(COUNTIFS(BD!$B$3:$B$5001,L$245,BD!$A$3:$A$5001,"&gt;="&amp;$C$7,BD!$A$3:$A$5001,"&lt;="&amp;$B271,BD!$AA$3:$AA$5001,"&lt;&gt;")=0,"",SUMIFS(BD!$AA$3:$AA$5001,BD!$B$3:$B$5001,L$245,BD!$A$3:$A$5001,_xlfn.MAXIFS(BD!$A$3:$A$5001,BD!$B$3:$B$5001,L$245,BD!$A$3:$A$5001,"&gt;="&amp;$C$7,BD!$A$3:$A$5001,"&lt;="&amp;$B271,BD!$AA$3:$AA$5001,"&lt;&gt;"))))</f>
        <v/>
      </c>
      <c r="M271" s="43" t="str">
        <f>IF(OR($B271="",$A271&gt;$B$9,M$245=""),"",IF(COUNTIFS(BD!$B$3:$B$5001,M$245,BD!$A$3:$A$5001,"&gt;="&amp;$C$7,BD!$A$3:$A$5001,"&lt;="&amp;$B271,BD!$AA$3:$AA$5001,"&lt;&gt;")=0,"",SUMIFS(BD!$AA$3:$AA$5001,BD!$B$3:$B$5001,M$245,BD!$A$3:$A$5001,_xlfn.MAXIFS(BD!$A$3:$A$5001,BD!$B$3:$B$5001,M$245,BD!$A$3:$A$5001,"&gt;="&amp;$C$7,BD!$A$3:$A$5001,"&lt;="&amp;$B271,BD!$AA$3:$AA$5001,"&lt;&gt;"))))</f>
        <v/>
      </c>
      <c r="N271" s="43" t="str">
        <f>IF(OR($B271="",$A271&gt;$B$9,N$245=""),"",IF(COUNTIFS(BD!$B$3:$B$5001,N$245,BD!$A$3:$A$5001,"&gt;="&amp;$C$7,BD!$A$3:$A$5001,"&lt;="&amp;$B271,BD!$AA$3:$AA$5001,"&lt;&gt;")=0,"",SUMIFS(BD!$AA$3:$AA$5001,BD!$B$3:$B$5001,N$245,BD!$A$3:$A$5001,_xlfn.MAXIFS(BD!$A$3:$A$5001,BD!$B$3:$B$5001,N$245,BD!$A$3:$A$5001,"&gt;="&amp;$C$7,BD!$A$3:$A$5001,"&lt;="&amp;$B271,BD!$AA$3:$AA$5001,"&lt;&gt;"))))</f>
        <v/>
      </c>
      <c r="O271" s="43" t="str">
        <f>IF(OR($B271="",$A271&gt;$B$9,O$245=""),"",IF(COUNTIFS(BD!$B$3:$B$5001,O$245,BD!$A$3:$A$5001,"&gt;="&amp;$C$7,BD!$A$3:$A$5001,"&lt;="&amp;$B271,BD!$AA$3:$AA$5001,"&lt;&gt;")=0,"",SUMIFS(BD!$AA$3:$AA$5001,BD!$B$3:$B$5001,O$245,BD!$A$3:$A$5001,_xlfn.MAXIFS(BD!$A$3:$A$5001,BD!$B$3:$B$5001,O$245,BD!$A$3:$A$5001,"&gt;="&amp;$C$7,BD!$A$3:$A$5001,"&lt;="&amp;$B271,BD!$AA$3:$AA$5001,"&lt;&gt;"))))</f>
        <v/>
      </c>
      <c r="P271" s="43" t="str">
        <f>IF(OR($B271="",$A271&gt;$B$9,P$245=""),"",IF(COUNTIFS(BD!$B$3:$B$5001,P$245,BD!$A$3:$A$5001,"&gt;="&amp;$C$7,BD!$A$3:$A$5001,"&lt;="&amp;$B271,BD!$AA$3:$AA$5001,"&lt;&gt;")=0,"",SUMIFS(BD!$AA$3:$AA$5001,BD!$B$3:$B$5001,P$245,BD!$A$3:$A$5001,_xlfn.MAXIFS(BD!$A$3:$A$5001,BD!$B$3:$B$5001,P$245,BD!$A$3:$A$5001,"&gt;="&amp;$C$7,BD!$A$3:$A$5001,"&lt;="&amp;$B271,BD!$AA$3:$AA$5001,"&lt;&gt;"))))</f>
        <v/>
      </c>
      <c r="Q271" s="43" t="str">
        <f>IF(OR($B271="",$A271&gt;$B$9,Q$245=""),"",IF(COUNTIFS(BD!$B$3:$B$5001,Q$245,BD!$A$3:$A$5001,"&gt;="&amp;$C$7,BD!$A$3:$A$5001,"&lt;="&amp;$B271,BD!$AA$3:$AA$5001,"&lt;&gt;")=0,"",SUMIFS(BD!$AA$3:$AA$5001,BD!$B$3:$B$5001,Q$245,BD!$A$3:$A$5001,_xlfn.MAXIFS(BD!$A$3:$A$5001,BD!$B$3:$B$5001,Q$245,BD!$A$3:$A$5001,"&gt;="&amp;$C$7,BD!$A$3:$A$5001,"&lt;="&amp;$B271,BD!$AA$3:$AA$5001,"&lt;&gt;"))))</f>
        <v/>
      </c>
      <c r="R271" s="43" t="str">
        <f>IF(OR($B271="",$A271&gt;$B$9,R$245=""),"",IF(COUNTIFS(BD!$B$3:$B$5001,R$245,BD!$A$3:$A$5001,"&gt;="&amp;$C$7,BD!$A$3:$A$5001,"&lt;="&amp;$B271,BD!$AA$3:$AA$5001,"&lt;&gt;")=0,"",SUMIFS(BD!$AA$3:$AA$5001,BD!$B$3:$B$5001,R$245,BD!$A$3:$A$5001,_xlfn.MAXIFS(BD!$A$3:$A$5001,BD!$B$3:$B$5001,R$245,BD!$A$3:$A$5001,"&gt;="&amp;$C$7,BD!$A$3:$A$5001,"&lt;="&amp;$B271,BD!$AA$3:$AA$5001,"&lt;&gt;"))))</f>
        <v/>
      </c>
      <c r="S271" s="43" t="str">
        <f>IF(OR($B271="",$A271&gt;$B$9,S$245=""),"",IF(COUNTIFS(BD!$B$3:$B$5001,S$245,BD!$A$3:$A$5001,"&gt;="&amp;$C$7,BD!$A$3:$A$5001,"&lt;="&amp;$B271,BD!$AA$3:$AA$5001,"&lt;&gt;")=0,"",SUMIFS(BD!$AA$3:$AA$5001,BD!$B$3:$B$5001,S$245,BD!$A$3:$A$5001,_xlfn.MAXIFS(BD!$A$3:$A$5001,BD!$B$3:$B$5001,S$245,BD!$A$3:$A$5001,"&gt;="&amp;$C$7,BD!$A$3:$A$5001,"&lt;="&amp;$B271,BD!$AA$3:$AA$5001,"&lt;&gt;"))))</f>
        <v/>
      </c>
      <c r="T271" s="43" t="str">
        <f>IF(OR($B271="",$A271&gt;$B$9,T$245=""),"",IF(COUNTIFS(BD!$B$3:$B$5001,T$245,BD!$A$3:$A$5001,"&gt;="&amp;$C$7,BD!$A$3:$A$5001,"&lt;="&amp;$B271,BD!$AA$3:$AA$5001,"&lt;&gt;")=0,"",SUMIFS(BD!$AA$3:$AA$5001,BD!$B$3:$B$5001,T$245,BD!$A$3:$A$5001,_xlfn.MAXIFS(BD!$A$3:$A$5001,BD!$B$3:$B$5001,T$245,BD!$A$3:$A$5001,"&gt;="&amp;$C$7,BD!$A$3:$A$5001,"&lt;="&amp;$B271,BD!$AA$3:$AA$5001,"&lt;&gt;"))))</f>
        <v/>
      </c>
      <c r="U271" s="43" t="str">
        <f>IF(OR($B271="",$A271&gt;$B$9,U$245=""),"",IF(COUNTIFS(BD!$B$3:$B$5001,U$245,BD!$A$3:$A$5001,"&gt;="&amp;$C$7,BD!$A$3:$A$5001,"&lt;="&amp;$B271,BD!$AA$3:$AA$5001,"&lt;&gt;")=0,"",SUMIFS(BD!$AA$3:$AA$5001,BD!$B$3:$B$5001,U$245,BD!$A$3:$A$5001,_xlfn.MAXIFS(BD!$A$3:$A$5001,BD!$B$3:$B$5001,U$245,BD!$A$3:$A$5001,"&gt;="&amp;$C$7,BD!$A$3:$A$5001,"&lt;="&amp;$B271,BD!$AA$3:$AA$5001,"&lt;&gt;"))))</f>
        <v/>
      </c>
      <c r="V271" s="43" t="str">
        <f>IF(OR($B271="",$A271&gt;$B$9,V$245=""),"",IF(COUNTIFS(BD!$B$3:$B$5001,V$245,BD!$A$3:$A$5001,"&gt;="&amp;$C$7,BD!$A$3:$A$5001,"&lt;="&amp;$B271,BD!$AA$3:$AA$5001,"&lt;&gt;")=0,"",SUMIFS(BD!$AA$3:$AA$5001,BD!$B$3:$B$5001,V$245,BD!$A$3:$A$5001,_xlfn.MAXIFS(BD!$A$3:$A$5001,BD!$B$3:$B$5001,V$245,BD!$A$3:$A$5001,"&gt;="&amp;$C$7,BD!$A$3:$A$5001,"&lt;="&amp;$B271,BD!$AA$3:$AA$5001,"&lt;&gt;"))))</f>
        <v/>
      </c>
    </row>
    <row r="272">
      <c r="A272" s="38">
        <v>27</v>
      </c>
      <c r="B272" s="42">
        <f>$B$38</f>
        <v>46322</v>
      </c>
      <c r="C272" s="43" t="str">
        <f>IF(OR($B272="",$A272&gt;$B$9,C$245=""),"",IF(COUNTIFS(BD!$B$3:$B$5001,C$245,BD!$A$3:$A$5001,"&gt;="&amp;$C$7,BD!$A$3:$A$5001,"&lt;="&amp;$B272,BD!$AA$3:$AA$5001,"&lt;&gt;")=0,"",SUMIFS(BD!$AA$3:$AA$5001,BD!$B$3:$B$5001,C$245,BD!$A$3:$A$5001,_xlfn.MAXIFS(BD!$A$3:$A$5001,BD!$B$3:$B$5001,C$245,BD!$A$3:$A$5001,"&gt;="&amp;$C$7,BD!$A$3:$A$5001,"&lt;="&amp;$B272,BD!$AA$3:$AA$5001,"&lt;&gt;"))))</f>
        <v/>
      </c>
      <c r="D272" s="43" t="str">
        <f>IF(OR($B272="",$A272&gt;$B$9,D$245=""),"",IF(COUNTIFS(BD!$B$3:$B$5001,D$245,BD!$A$3:$A$5001,"&gt;="&amp;$C$7,BD!$A$3:$A$5001,"&lt;="&amp;$B272,BD!$AA$3:$AA$5001,"&lt;&gt;")=0,"",SUMIFS(BD!$AA$3:$AA$5001,BD!$B$3:$B$5001,D$245,BD!$A$3:$A$5001,_xlfn.MAXIFS(BD!$A$3:$A$5001,BD!$B$3:$B$5001,D$245,BD!$A$3:$A$5001,"&gt;="&amp;$C$7,BD!$A$3:$A$5001,"&lt;="&amp;$B272,BD!$AA$3:$AA$5001,"&lt;&gt;"))))</f>
        <v/>
      </c>
      <c r="E272" s="43" t="str">
        <f>IF(OR($B272="",$A272&gt;$B$9,E$245=""),"",IF(COUNTIFS(BD!$B$3:$B$5001,E$245,BD!$A$3:$A$5001,"&gt;="&amp;$C$7,BD!$A$3:$A$5001,"&lt;="&amp;$B272,BD!$AA$3:$AA$5001,"&lt;&gt;")=0,"",SUMIFS(BD!$AA$3:$AA$5001,BD!$B$3:$B$5001,E$245,BD!$A$3:$A$5001,_xlfn.MAXIFS(BD!$A$3:$A$5001,BD!$B$3:$B$5001,E$245,BD!$A$3:$A$5001,"&gt;="&amp;$C$7,BD!$A$3:$A$5001,"&lt;="&amp;$B272,BD!$AA$3:$AA$5001,"&lt;&gt;"))))</f>
        <v/>
      </c>
      <c r="F272" s="43" t="str">
        <f>IF(OR($B272="",$A272&gt;$B$9,F$245=""),"",IF(COUNTIFS(BD!$B$3:$B$5001,F$245,BD!$A$3:$A$5001,"&gt;="&amp;$C$7,BD!$A$3:$A$5001,"&lt;="&amp;$B272,BD!$AA$3:$AA$5001,"&lt;&gt;")=0,"",SUMIFS(BD!$AA$3:$AA$5001,BD!$B$3:$B$5001,F$245,BD!$A$3:$A$5001,_xlfn.MAXIFS(BD!$A$3:$A$5001,BD!$B$3:$B$5001,F$245,BD!$A$3:$A$5001,"&gt;="&amp;$C$7,BD!$A$3:$A$5001,"&lt;="&amp;$B272,BD!$AA$3:$AA$5001,"&lt;&gt;"))))</f>
        <v/>
      </c>
      <c r="G272" s="43" t="str">
        <f>IF(OR($B272="",$A272&gt;$B$9,G$245=""),"",IF(COUNTIFS(BD!$B$3:$B$5001,G$245,BD!$A$3:$A$5001,"&gt;="&amp;$C$7,BD!$A$3:$A$5001,"&lt;="&amp;$B272,BD!$AA$3:$AA$5001,"&lt;&gt;")=0,"",SUMIFS(BD!$AA$3:$AA$5001,BD!$B$3:$B$5001,G$245,BD!$A$3:$A$5001,_xlfn.MAXIFS(BD!$A$3:$A$5001,BD!$B$3:$B$5001,G$245,BD!$A$3:$A$5001,"&gt;="&amp;$C$7,BD!$A$3:$A$5001,"&lt;="&amp;$B272,BD!$AA$3:$AA$5001,"&lt;&gt;"))))</f>
        <v/>
      </c>
      <c r="H272" s="43" t="str">
        <f>IF(OR($B272="",$A272&gt;$B$9,H$245=""),"",IF(COUNTIFS(BD!$B$3:$B$5001,H$245,BD!$A$3:$A$5001,"&gt;="&amp;$C$7,BD!$A$3:$A$5001,"&lt;="&amp;$B272,BD!$AA$3:$AA$5001,"&lt;&gt;")=0,"",SUMIFS(BD!$AA$3:$AA$5001,BD!$B$3:$B$5001,H$245,BD!$A$3:$A$5001,_xlfn.MAXIFS(BD!$A$3:$A$5001,BD!$B$3:$B$5001,H$245,BD!$A$3:$A$5001,"&gt;="&amp;$C$7,BD!$A$3:$A$5001,"&lt;="&amp;$B272,BD!$AA$3:$AA$5001,"&lt;&gt;"))))</f>
        <v/>
      </c>
      <c r="I272" s="43" t="str">
        <f>IF(OR($B272="",$A272&gt;$B$9,I$245=""),"",IF(COUNTIFS(BD!$B$3:$B$5001,I$245,BD!$A$3:$A$5001,"&gt;="&amp;$C$7,BD!$A$3:$A$5001,"&lt;="&amp;$B272,BD!$AA$3:$AA$5001,"&lt;&gt;")=0,"",SUMIFS(BD!$AA$3:$AA$5001,BD!$B$3:$B$5001,I$245,BD!$A$3:$A$5001,_xlfn.MAXIFS(BD!$A$3:$A$5001,BD!$B$3:$B$5001,I$245,BD!$A$3:$A$5001,"&gt;="&amp;$C$7,BD!$A$3:$A$5001,"&lt;="&amp;$B272,BD!$AA$3:$AA$5001,"&lt;&gt;"))))</f>
        <v/>
      </c>
      <c r="J272" s="43" t="str">
        <f>IF(OR($B272="",$A272&gt;$B$9,J$245=""),"",IF(COUNTIFS(BD!$B$3:$B$5001,J$245,BD!$A$3:$A$5001,"&gt;="&amp;$C$7,BD!$A$3:$A$5001,"&lt;="&amp;$B272,BD!$AA$3:$AA$5001,"&lt;&gt;")=0,"",SUMIFS(BD!$AA$3:$AA$5001,BD!$B$3:$B$5001,J$245,BD!$A$3:$A$5001,_xlfn.MAXIFS(BD!$A$3:$A$5001,BD!$B$3:$B$5001,J$245,BD!$A$3:$A$5001,"&gt;="&amp;$C$7,BD!$A$3:$A$5001,"&lt;="&amp;$B272,BD!$AA$3:$AA$5001,"&lt;&gt;"))))</f>
        <v/>
      </c>
      <c r="K272" s="43" t="str">
        <f>IF(OR($B272="",$A272&gt;$B$9,K$245=""),"",IF(COUNTIFS(BD!$B$3:$B$5001,K$245,BD!$A$3:$A$5001,"&gt;="&amp;$C$7,BD!$A$3:$A$5001,"&lt;="&amp;$B272,BD!$AA$3:$AA$5001,"&lt;&gt;")=0,"",SUMIFS(BD!$AA$3:$AA$5001,BD!$B$3:$B$5001,K$245,BD!$A$3:$A$5001,_xlfn.MAXIFS(BD!$A$3:$A$5001,BD!$B$3:$B$5001,K$245,BD!$A$3:$A$5001,"&gt;="&amp;$C$7,BD!$A$3:$A$5001,"&lt;="&amp;$B272,BD!$AA$3:$AA$5001,"&lt;&gt;"))))</f>
        <v/>
      </c>
      <c r="L272" s="43" t="str">
        <f>IF(OR($B272="",$A272&gt;$B$9,L$245=""),"",IF(COUNTIFS(BD!$B$3:$B$5001,L$245,BD!$A$3:$A$5001,"&gt;="&amp;$C$7,BD!$A$3:$A$5001,"&lt;="&amp;$B272,BD!$AA$3:$AA$5001,"&lt;&gt;")=0,"",SUMIFS(BD!$AA$3:$AA$5001,BD!$B$3:$B$5001,L$245,BD!$A$3:$A$5001,_xlfn.MAXIFS(BD!$A$3:$A$5001,BD!$B$3:$B$5001,L$245,BD!$A$3:$A$5001,"&gt;="&amp;$C$7,BD!$A$3:$A$5001,"&lt;="&amp;$B272,BD!$AA$3:$AA$5001,"&lt;&gt;"))))</f>
        <v/>
      </c>
      <c r="M272" s="43" t="str">
        <f>IF(OR($B272="",$A272&gt;$B$9,M$245=""),"",IF(COUNTIFS(BD!$B$3:$B$5001,M$245,BD!$A$3:$A$5001,"&gt;="&amp;$C$7,BD!$A$3:$A$5001,"&lt;="&amp;$B272,BD!$AA$3:$AA$5001,"&lt;&gt;")=0,"",SUMIFS(BD!$AA$3:$AA$5001,BD!$B$3:$B$5001,M$245,BD!$A$3:$A$5001,_xlfn.MAXIFS(BD!$A$3:$A$5001,BD!$B$3:$B$5001,M$245,BD!$A$3:$A$5001,"&gt;="&amp;$C$7,BD!$A$3:$A$5001,"&lt;="&amp;$B272,BD!$AA$3:$AA$5001,"&lt;&gt;"))))</f>
        <v/>
      </c>
      <c r="N272" s="43" t="str">
        <f>IF(OR($B272="",$A272&gt;$B$9,N$245=""),"",IF(COUNTIFS(BD!$B$3:$B$5001,N$245,BD!$A$3:$A$5001,"&gt;="&amp;$C$7,BD!$A$3:$A$5001,"&lt;="&amp;$B272,BD!$AA$3:$AA$5001,"&lt;&gt;")=0,"",SUMIFS(BD!$AA$3:$AA$5001,BD!$B$3:$B$5001,N$245,BD!$A$3:$A$5001,_xlfn.MAXIFS(BD!$A$3:$A$5001,BD!$B$3:$B$5001,N$245,BD!$A$3:$A$5001,"&gt;="&amp;$C$7,BD!$A$3:$A$5001,"&lt;="&amp;$B272,BD!$AA$3:$AA$5001,"&lt;&gt;"))))</f>
        <v/>
      </c>
      <c r="O272" s="43" t="str">
        <f>IF(OR($B272="",$A272&gt;$B$9,O$245=""),"",IF(COUNTIFS(BD!$B$3:$B$5001,O$245,BD!$A$3:$A$5001,"&gt;="&amp;$C$7,BD!$A$3:$A$5001,"&lt;="&amp;$B272,BD!$AA$3:$AA$5001,"&lt;&gt;")=0,"",SUMIFS(BD!$AA$3:$AA$5001,BD!$B$3:$B$5001,O$245,BD!$A$3:$A$5001,_xlfn.MAXIFS(BD!$A$3:$A$5001,BD!$B$3:$B$5001,O$245,BD!$A$3:$A$5001,"&gt;="&amp;$C$7,BD!$A$3:$A$5001,"&lt;="&amp;$B272,BD!$AA$3:$AA$5001,"&lt;&gt;"))))</f>
        <v/>
      </c>
      <c r="P272" s="43" t="str">
        <f>IF(OR($B272="",$A272&gt;$B$9,P$245=""),"",IF(COUNTIFS(BD!$B$3:$B$5001,P$245,BD!$A$3:$A$5001,"&gt;="&amp;$C$7,BD!$A$3:$A$5001,"&lt;="&amp;$B272,BD!$AA$3:$AA$5001,"&lt;&gt;")=0,"",SUMIFS(BD!$AA$3:$AA$5001,BD!$B$3:$B$5001,P$245,BD!$A$3:$A$5001,_xlfn.MAXIFS(BD!$A$3:$A$5001,BD!$B$3:$B$5001,P$245,BD!$A$3:$A$5001,"&gt;="&amp;$C$7,BD!$A$3:$A$5001,"&lt;="&amp;$B272,BD!$AA$3:$AA$5001,"&lt;&gt;"))))</f>
        <v/>
      </c>
      <c r="Q272" s="43" t="str">
        <f>IF(OR($B272="",$A272&gt;$B$9,Q$245=""),"",IF(COUNTIFS(BD!$B$3:$B$5001,Q$245,BD!$A$3:$A$5001,"&gt;="&amp;$C$7,BD!$A$3:$A$5001,"&lt;="&amp;$B272,BD!$AA$3:$AA$5001,"&lt;&gt;")=0,"",SUMIFS(BD!$AA$3:$AA$5001,BD!$B$3:$B$5001,Q$245,BD!$A$3:$A$5001,_xlfn.MAXIFS(BD!$A$3:$A$5001,BD!$B$3:$B$5001,Q$245,BD!$A$3:$A$5001,"&gt;="&amp;$C$7,BD!$A$3:$A$5001,"&lt;="&amp;$B272,BD!$AA$3:$AA$5001,"&lt;&gt;"))))</f>
        <v/>
      </c>
      <c r="R272" s="43" t="str">
        <f>IF(OR($B272="",$A272&gt;$B$9,R$245=""),"",IF(COUNTIFS(BD!$B$3:$B$5001,R$245,BD!$A$3:$A$5001,"&gt;="&amp;$C$7,BD!$A$3:$A$5001,"&lt;="&amp;$B272,BD!$AA$3:$AA$5001,"&lt;&gt;")=0,"",SUMIFS(BD!$AA$3:$AA$5001,BD!$B$3:$B$5001,R$245,BD!$A$3:$A$5001,_xlfn.MAXIFS(BD!$A$3:$A$5001,BD!$B$3:$B$5001,R$245,BD!$A$3:$A$5001,"&gt;="&amp;$C$7,BD!$A$3:$A$5001,"&lt;="&amp;$B272,BD!$AA$3:$AA$5001,"&lt;&gt;"))))</f>
        <v/>
      </c>
      <c r="S272" s="43" t="str">
        <f>IF(OR($B272="",$A272&gt;$B$9,S$245=""),"",IF(COUNTIFS(BD!$B$3:$B$5001,S$245,BD!$A$3:$A$5001,"&gt;="&amp;$C$7,BD!$A$3:$A$5001,"&lt;="&amp;$B272,BD!$AA$3:$AA$5001,"&lt;&gt;")=0,"",SUMIFS(BD!$AA$3:$AA$5001,BD!$B$3:$B$5001,S$245,BD!$A$3:$A$5001,_xlfn.MAXIFS(BD!$A$3:$A$5001,BD!$B$3:$B$5001,S$245,BD!$A$3:$A$5001,"&gt;="&amp;$C$7,BD!$A$3:$A$5001,"&lt;="&amp;$B272,BD!$AA$3:$AA$5001,"&lt;&gt;"))))</f>
        <v/>
      </c>
      <c r="T272" s="43" t="str">
        <f>IF(OR($B272="",$A272&gt;$B$9,T$245=""),"",IF(COUNTIFS(BD!$B$3:$B$5001,T$245,BD!$A$3:$A$5001,"&gt;="&amp;$C$7,BD!$A$3:$A$5001,"&lt;="&amp;$B272,BD!$AA$3:$AA$5001,"&lt;&gt;")=0,"",SUMIFS(BD!$AA$3:$AA$5001,BD!$B$3:$B$5001,T$245,BD!$A$3:$A$5001,_xlfn.MAXIFS(BD!$A$3:$A$5001,BD!$B$3:$B$5001,T$245,BD!$A$3:$A$5001,"&gt;="&amp;$C$7,BD!$A$3:$A$5001,"&lt;="&amp;$B272,BD!$AA$3:$AA$5001,"&lt;&gt;"))))</f>
        <v/>
      </c>
      <c r="U272" s="43" t="str">
        <f>IF(OR($B272="",$A272&gt;$B$9,U$245=""),"",IF(COUNTIFS(BD!$B$3:$B$5001,U$245,BD!$A$3:$A$5001,"&gt;="&amp;$C$7,BD!$A$3:$A$5001,"&lt;="&amp;$B272,BD!$AA$3:$AA$5001,"&lt;&gt;")=0,"",SUMIFS(BD!$AA$3:$AA$5001,BD!$B$3:$B$5001,U$245,BD!$A$3:$A$5001,_xlfn.MAXIFS(BD!$A$3:$A$5001,BD!$B$3:$B$5001,U$245,BD!$A$3:$A$5001,"&gt;="&amp;$C$7,BD!$A$3:$A$5001,"&lt;="&amp;$B272,BD!$AA$3:$AA$5001,"&lt;&gt;"))))</f>
        <v/>
      </c>
      <c r="V272" s="43" t="str">
        <f>IF(OR($B272="",$A272&gt;$B$9,V$245=""),"",IF(COUNTIFS(BD!$B$3:$B$5001,V$245,BD!$A$3:$A$5001,"&gt;="&amp;$C$7,BD!$A$3:$A$5001,"&lt;="&amp;$B272,BD!$AA$3:$AA$5001,"&lt;&gt;")=0,"",SUMIFS(BD!$AA$3:$AA$5001,BD!$B$3:$B$5001,V$245,BD!$A$3:$A$5001,_xlfn.MAXIFS(BD!$A$3:$A$5001,BD!$B$3:$B$5001,V$245,BD!$A$3:$A$5001,"&gt;="&amp;$C$7,BD!$A$3:$A$5001,"&lt;="&amp;$B272,BD!$AA$3:$AA$5001,"&lt;&gt;"))))</f>
        <v/>
      </c>
    </row>
    <row r="273">
      <c r="A273" s="38">
        <v>28</v>
      </c>
      <c r="B273" s="42">
        <f>$B$39</f>
        <v>46323</v>
      </c>
      <c r="C273" s="43" t="str">
        <f>IF(OR($B273="",$A273&gt;$B$9,C$245=""),"",IF(COUNTIFS(BD!$B$3:$B$5001,C$245,BD!$A$3:$A$5001,"&gt;="&amp;$C$7,BD!$A$3:$A$5001,"&lt;="&amp;$B273,BD!$AA$3:$AA$5001,"&lt;&gt;")=0,"",SUMIFS(BD!$AA$3:$AA$5001,BD!$B$3:$B$5001,C$245,BD!$A$3:$A$5001,_xlfn.MAXIFS(BD!$A$3:$A$5001,BD!$B$3:$B$5001,C$245,BD!$A$3:$A$5001,"&gt;="&amp;$C$7,BD!$A$3:$A$5001,"&lt;="&amp;$B273,BD!$AA$3:$AA$5001,"&lt;&gt;"))))</f>
        <v/>
      </c>
      <c r="D273" s="43" t="str">
        <f>IF(OR($B273="",$A273&gt;$B$9,D$245=""),"",IF(COUNTIFS(BD!$B$3:$B$5001,D$245,BD!$A$3:$A$5001,"&gt;="&amp;$C$7,BD!$A$3:$A$5001,"&lt;="&amp;$B273,BD!$AA$3:$AA$5001,"&lt;&gt;")=0,"",SUMIFS(BD!$AA$3:$AA$5001,BD!$B$3:$B$5001,D$245,BD!$A$3:$A$5001,_xlfn.MAXIFS(BD!$A$3:$A$5001,BD!$B$3:$B$5001,D$245,BD!$A$3:$A$5001,"&gt;="&amp;$C$7,BD!$A$3:$A$5001,"&lt;="&amp;$B273,BD!$AA$3:$AA$5001,"&lt;&gt;"))))</f>
        <v/>
      </c>
      <c r="E273" s="43" t="str">
        <f>IF(OR($B273="",$A273&gt;$B$9,E$245=""),"",IF(COUNTIFS(BD!$B$3:$B$5001,E$245,BD!$A$3:$A$5001,"&gt;="&amp;$C$7,BD!$A$3:$A$5001,"&lt;="&amp;$B273,BD!$AA$3:$AA$5001,"&lt;&gt;")=0,"",SUMIFS(BD!$AA$3:$AA$5001,BD!$B$3:$B$5001,E$245,BD!$A$3:$A$5001,_xlfn.MAXIFS(BD!$A$3:$A$5001,BD!$B$3:$B$5001,E$245,BD!$A$3:$A$5001,"&gt;="&amp;$C$7,BD!$A$3:$A$5001,"&lt;="&amp;$B273,BD!$AA$3:$AA$5001,"&lt;&gt;"))))</f>
        <v/>
      </c>
      <c r="F273" s="43" t="str">
        <f>IF(OR($B273="",$A273&gt;$B$9,F$245=""),"",IF(COUNTIFS(BD!$B$3:$B$5001,F$245,BD!$A$3:$A$5001,"&gt;="&amp;$C$7,BD!$A$3:$A$5001,"&lt;="&amp;$B273,BD!$AA$3:$AA$5001,"&lt;&gt;")=0,"",SUMIFS(BD!$AA$3:$AA$5001,BD!$B$3:$B$5001,F$245,BD!$A$3:$A$5001,_xlfn.MAXIFS(BD!$A$3:$A$5001,BD!$B$3:$B$5001,F$245,BD!$A$3:$A$5001,"&gt;="&amp;$C$7,BD!$A$3:$A$5001,"&lt;="&amp;$B273,BD!$AA$3:$AA$5001,"&lt;&gt;"))))</f>
        <v/>
      </c>
      <c r="G273" s="43" t="str">
        <f>IF(OR($B273="",$A273&gt;$B$9,G$245=""),"",IF(COUNTIFS(BD!$B$3:$B$5001,G$245,BD!$A$3:$A$5001,"&gt;="&amp;$C$7,BD!$A$3:$A$5001,"&lt;="&amp;$B273,BD!$AA$3:$AA$5001,"&lt;&gt;")=0,"",SUMIFS(BD!$AA$3:$AA$5001,BD!$B$3:$B$5001,G$245,BD!$A$3:$A$5001,_xlfn.MAXIFS(BD!$A$3:$A$5001,BD!$B$3:$B$5001,G$245,BD!$A$3:$A$5001,"&gt;="&amp;$C$7,BD!$A$3:$A$5001,"&lt;="&amp;$B273,BD!$AA$3:$AA$5001,"&lt;&gt;"))))</f>
        <v/>
      </c>
      <c r="H273" s="43" t="str">
        <f>IF(OR($B273="",$A273&gt;$B$9,H$245=""),"",IF(COUNTIFS(BD!$B$3:$B$5001,H$245,BD!$A$3:$A$5001,"&gt;="&amp;$C$7,BD!$A$3:$A$5001,"&lt;="&amp;$B273,BD!$AA$3:$AA$5001,"&lt;&gt;")=0,"",SUMIFS(BD!$AA$3:$AA$5001,BD!$B$3:$B$5001,H$245,BD!$A$3:$A$5001,_xlfn.MAXIFS(BD!$A$3:$A$5001,BD!$B$3:$B$5001,H$245,BD!$A$3:$A$5001,"&gt;="&amp;$C$7,BD!$A$3:$A$5001,"&lt;="&amp;$B273,BD!$AA$3:$AA$5001,"&lt;&gt;"))))</f>
        <v/>
      </c>
      <c r="I273" s="43" t="str">
        <f>IF(OR($B273="",$A273&gt;$B$9,I$245=""),"",IF(COUNTIFS(BD!$B$3:$B$5001,I$245,BD!$A$3:$A$5001,"&gt;="&amp;$C$7,BD!$A$3:$A$5001,"&lt;="&amp;$B273,BD!$AA$3:$AA$5001,"&lt;&gt;")=0,"",SUMIFS(BD!$AA$3:$AA$5001,BD!$B$3:$B$5001,I$245,BD!$A$3:$A$5001,_xlfn.MAXIFS(BD!$A$3:$A$5001,BD!$B$3:$B$5001,I$245,BD!$A$3:$A$5001,"&gt;="&amp;$C$7,BD!$A$3:$A$5001,"&lt;="&amp;$B273,BD!$AA$3:$AA$5001,"&lt;&gt;"))))</f>
        <v/>
      </c>
      <c r="J273" s="43" t="str">
        <f>IF(OR($B273="",$A273&gt;$B$9,J$245=""),"",IF(COUNTIFS(BD!$B$3:$B$5001,J$245,BD!$A$3:$A$5001,"&gt;="&amp;$C$7,BD!$A$3:$A$5001,"&lt;="&amp;$B273,BD!$AA$3:$AA$5001,"&lt;&gt;")=0,"",SUMIFS(BD!$AA$3:$AA$5001,BD!$B$3:$B$5001,J$245,BD!$A$3:$A$5001,_xlfn.MAXIFS(BD!$A$3:$A$5001,BD!$B$3:$B$5001,J$245,BD!$A$3:$A$5001,"&gt;="&amp;$C$7,BD!$A$3:$A$5001,"&lt;="&amp;$B273,BD!$AA$3:$AA$5001,"&lt;&gt;"))))</f>
        <v/>
      </c>
      <c r="K273" s="43" t="str">
        <f>IF(OR($B273="",$A273&gt;$B$9,K$245=""),"",IF(COUNTIFS(BD!$B$3:$B$5001,K$245,BD!$A$3:$A$5001,"&gt;="&amp;$C$7,BD!$A$3:$A$5001,"&lt;="&amp;$B273,BD!$AA$3:$AA$5001,"&lt;&gt;")=0,"",SUMIFS(BD!$AA$3:$AA$5001,BD!$B$3:$B$5001,K$245,BD!$A$3:$A$5001,_xlfn.MAXIFS(BD!$A$3:$A$5001,BD!$B$3:$B$5001,K$245,BD!$A$3:$A$5001,"&gt;="&amp;$C$7,BD!$A$3:$A$5001,"&lt;="&amp;$B273,BD!$AA$3:$AA$5001,"&lt;&gt;"))))</f>
        <v/>
      </c>
      <c r="L273" s="43" t="str">
        <f>IF(OR($B273="",$A273&gt;$B$9,L$245=""),"",IF(COUNTIFS(BD!$B$3:$B$5001,L$245,BD!$A$3:$A$5001,"&gt;="&amp;$C$7,BD!$A$3:$A$5001,"&lt;="&amp;$B273,BD!$AA$3:$AA$5001,"&lt;&gt;")=0,"",SUMIFS(BD!$AA$3:$AA$5001,BD!$B$3:$B$5001,L$245,BD!$A$3:$A$5001,_xlfn.MAXIFS(BD!$A$3:$A$5001,BD!$B$3:$B$5001,L$245,BD!$A$3:$A$5001,"&gt;="&amp;$C$7,BD!$A$3:$A$5001,"&lt;="&amp;$B273,BD!$AA$3:$AA$5001,"&lt;&gt;"))))</f>
        <v/>
      </c>
      <c r="M273" s="43" t="str">
        <f>IF(OR($B273="",$A273&gt;$B$9,M$245=""),"",IF(COUNTIFS(BD!$B$3:$B$5001,M$245,BD!$A$3:$A$5001,"&gt;="&amp;$C$7,BD!$A$3:$A$5001,"&lt;="&amp;$B273,BD!$AA$3:$AA$5001,"&lt;&gt;")=0,"",SUMIFS(BD!$AA$3:$AA$5001,BD!$B$3:$B$5001,M$245,BD!$A$3:$A$5001,_xlfn.MAXIFS(BD!$A$3:$A$5001,BD!$B$3:$B$5001,M$245,BD!$A$3:$A$5001,"&gt;="&amp;$C$7,BD!$A$3:$A$5001,"&lt;="&amp;$B273,BD!$AA$3:$AA$5001,"&lt;&gt;"))))</f>
        <v/>
      </c>
      <c r="N273" s="43" t="str">
        <f>IF(OR($B273="",$A273&gt;$B$9,N$245=""),"",IF(COUNTIFS(BD!$B$3:$B$5001,N$245,BD!$A$3:$A$5001,"&gt;="&amp;$C$7,BD!$A$3:$A$5001,"&lt;="&amp;$B273,BD!$AA$3:$AA$5001,"&lt;&gt;")=0,"",SUMIFS(BD!$AA$3:$AA$5001,BD!$B$3:$B$5001,N$245,BD!$A$3:$A$5001,_xlfn.MAXIFS(BD!$A$3:$A$5001,BD!$B$3:$B$5001,N$245,BD!$A$3:$A$5001,"&gt;="&amp;$C$7,BD!$A$3:$A$5001,"&lt;="&amp;$B273,BD!$AA$3:$AA$5001,"&lt;&gt;"))))</f>
        <v/>
      </c>
      <c r="O273" s="43" t="str">
        <f>IF(OR($B273="",$A273&gt;$B$9,O$245=""),"",IF(COUNTIFS(BD!$B$3:$B$5001,O$245,BD!$A$3:$A$5001,"&gt;="&amp;$C$7,BD!$A$3:$A$5001,"&lt;="&amp;$B273,BD!$AA$3:$AA$5001,"&lt;&gt;")=0,"",SUMIFS(BD!$AA$3:$AA$5001,BD!$B$3:$B$5001,O$245,BD!$A$3:$A$5001,_xlfn.MAXIFS(BD!$A$3:$A$5001,BD!$B$3:$B$5001,O$245,BD!$A$3:$A$5001,"&gt;="&amp;$C$7,BD!$A$3:$A$5001,"&lt;="&amp;$B273,BD!$AA$3:$AA$5001,"&lt;&gt;"))))</f>
        <v/>
      </c>
      <c r="P273" s="43" t="str">
        <f>IF(OR($B273="",$A273&gt;$B$9,P$245=""),"",IF(COUNTIFS(BD!$B$3:$B$5001,P$245,BD!$A$3:$A$5001,"&gt;="&amp;$C$7,BD!$A$3:$A$5001,"&lt;="&amp;$B273,BD!$AA$3:$AA$5001,"&lt;&gt;")=0,"",SUMIFS(BD!$AA$3:$AA$5001,BD!$B$3:$B$5001,P$245,BD!$A$3:$A$5001,_xlfn.MAXIFS(BD!$A$3:$A$5001,BD!$B$3:$B$5001,P$245,BD!$A$3:$A$5001,"&gt;="&amp;$C$7,BD!$A$3:$A$5001,"&lt;="&amp;$B273,BD!$AA$3:$AA$5001,"&lt;&gt;"))))</f>
        <v/>
      </c>
      <c r="Q273" s="43" t="str">
        <f>IF(OR($B273="",$A273&gt;$B$9,Q$245=""),"",IF(COUNTIFS(BD!$B$3:$B$5001,Q$245,BD!$A$3:$A$5001,"&gt;="&amp;$C$7,BD!$A$3:$A$5001,"&lt;="&amp;$B273,BD!$AA$3:$AA$5001,"&lt;&gt;")=0,"",SUMIFS(BD!$AA$3:$AA$5001,BD!$B$3:$B$5001,Q$245,BD!$A$3:$A$5001,_xlfn.MAXIFS(BD!$A$3:$A$5001,BD!$B$3:$B$5001,Q$245,BD!$A$3:$A$5001,"&gt;="&amp;$C$7,BD!$A$3:$A$5001,"&lt;="&amp;$B273,BD!$AA$3:$AA$5001,"&lt;&gt;"))))</f>
        <v/>
      </c>
      <c r="R273" s="43" t="str">
        <f>IF(OR($B273="",$A273&gt;$B$9,R$245=""),"",IF(COUNTIFS(BD!$B$3:$B$5001,R$245,BD!$A$3:$A$5001,"&gt;="&amp;$C$7,BD!$A$3:$A$5001,"&lt;="&amp;$B273,BD!$AA$3:$AA$5001,"&lt;&gt;")=0,"",SUMIFS(BD!$AA$3:$AA$5001,BD!$B$3:$B$5001,R$245,BD!$A$3:$A$5001,_xlfn.MAXIFS(BD!$A$3:$A$5001,BD!$B$3:$B$5001,R$245,BD!$A$3:$A$5001,"&gt;="&amp;$C$7,BD!$A$3:$A$5001,"&lt;="&amp;$B273,BD!$AA$3:$AA$5001,"&lt;&gt;"))))</f>
        <v/>
      </c>
      <c r="S273" s="43" t="str">
        <f>IF(OR($B273="",$A273&gt;$B$9,S$245=""),"",IF(COUNTIFS(BD!$B$3:$B$5001,S$245,BD!$A$3:$A$5001,"&gt;="&amp;$C$7,BD!$A$3:$A$5001,"&lt;="&amp;$B273,BD!$AA$3:$AA$5001,"&lt;&gt;")=0,"",SUMIFS(BD!$AA$3:$AA$5001,BD!$B$3:$B$5001,S$245,BD!$A$3:$A$5001,_xlfn.MAXIFS(BD!$A$3:$A$5001,BD!$B$3:$B$5001,S$245,BD!$A$3:$A$5001,"&gt;="&amp;$C$7,BD!$A$3:$A$5001,"&lt;="&amp;$B273,BD!$AA$3:$AA$5001,"&lt;&gt;"))))</f>
        <v/>
      </c>
      <c r="T273" s="43" t="str">
        <f>IF(OR($B273="",$A273&gt;$B$9,T$245=""),"",IF(COUNTIFS(BD!$B$3:$B$5001,T$245,BD!$A$3:$A$5001,"&gt;="&amp;$C$7,BD!$A$3:$A$5001,"&lt;="&amp;$B273,BD!$AA$3:$AA$5001,"&lt;&gt;")=0,"",SUMIFS(BD!$AA$3:$AA$5001,BD!$B$3:$B$5001,T$245,BD!$A$3:$A$5001,_xlfn.MAXIFS(BD!$A$3:$A$5001,BD!$B$3:$B$5001,T$245,BD!$A$3:$A$5001,"&gt;="&amp;$C$7,BD!$A$3:$A$5001,"&lt;="&amp;$B273,BD!$AA$3:$AA$5001,"&lt;&gt;"))))</f>
        <v/>
      </c>
      <c r="U273" s="43" t="str">
        <f>IF(OR($B273="",$A273&gt;$B$9,U$245=""),"",IF(COUNTIFS(BD!$B$3:$B$5001,U$245,BD!$A$3:$A$5001,"&gt;="&amp;$C$7,BD!$A$3:$A$5001,"&lt;="&amp;$B273,BD!$AA$3:$AA$5001,"&lt;&gt;")=0,"",SUMIFS(BD!$AA$3:$AA$5001,BD!$B$3:$B$5001,U$245,BD!$A$3:$A$5001,_xlfn.MAXIFS(BD!$A$3:$A$5001,BD!$B$3:$B$5001,U$245,BD!$A$3:$A$5001,"&gt;="&amp;$C$7,BD!$A$3:$A$5001,"&lt;="&amp;$B273,BD!$AA$3:$AA$5001,"&lt;&gt;"))))</f>
        <v/>
      </c>
      <c r="V273" s="43" t="str">
        <f>IF(OR($B273="",$A273&gt;$B$9,V$245=""),"",IF(COUNTIFS(BD!$B$3:$B$5001,V$245,BD!$A$3:$A$5001,"&gt;="&amp;$C$7,BD!$A$3:$A$5001,"&lt;="&amp;$B273,BD!$AA$3:$AA$5001,"&lt;&gt;")=0,"",SUMIFS(BD!$AA$3:$AA$5001,BD!$B$3:$B$5001,V$245,BD!$A$3:$A$5001,_xlfn.MAXIFS(BD!$A$3:$A$5001,BD!$B$3:$B$5001,V$245,BD!$A$3:$A$5001,"&gt;="&amp;$C$7,BD!$A$3:$A$5001,"&lt;="&amp;$B273,BD!$AA$3:$AA$5001,"&lt;&gt;"))))</f>
        <v/>
      </c>
    </row>
    <row r="274">
      <c r="A274" s="38">
        <v>29</v>
      </c>
      <c r="B274" s="42">
        <f>$B$40</f>
        <v>46324</v>
      </c>
      <c r="C274" s="43" t="str">
        <f>IF(OR($B274="",$A274&gt;$B$9,C$245=""),"",IF(COUNTIFS(BD!$B$3:$B$5001,C$245,BD!$A$3:$A$5001,"&gt;="&amp;$C$7,BD!$A$3:$A$5001,"&lt;="&amp;$B274,BD!$AA$3:$AA$5001,"&lt;&gt;")=0,"",SUMIFS(BD!$AA$3:$AA$5001,BD!$B$3:$B$5001,C$245,BD!$A$3:$A$5001,_xlfn.MAXIFS(BD!$A$3:$A$5001,BD!$B$3:$B$5001,C$245,BD!$A$3:$A$5001,"&gt;="&amp;$C$7,BD!$A$3:$A$5001,"&lt;="&amp;$B274,BD!$AA$3:$AA$5001,"&lt;&gt;"))))</f>
        <v/>
      </c>
      <c r="D274" s="43" t="str">
        <f>IF(OR($B274="",$A274&gt;$B$9,D$245=""),"",IF(COUNTIFS(BD!$B$3:$B$5001,D$245,BD!$A$3:$A$5001,"&gt;="&amp;$C$7,BD!$A$3:$A$5001,"&lt;="&amp;$B274,BD!$AA$3:$AA$5001,"&lt;&gt;")=0,"",SUMIFS(BD!$AA$3:$AA$5001,BD!$B$3:$B$5001,D$245,BD!$A$3:$A$5001,_xlfn.MAXIFS(BD!$A$3:$A$5001,BD!$B$3:$B$5001,D$245,BD!$A$3:$A$5001,"&gt;="&amp;$C$7,BD!$A$3:$A$5001,"&lt;="&amp;$B274,BD!$AA$3:$AA$5001,"&lt;&gt;"))))</f>
        <v/>
      </c>
      <c r="E274" s="43" t="str">
        <f>IF(OR($B274="",$A274&gt;$B$9,E$245=""),"",IF(COUNTIFS(BD!$B$3:$B$5001,E$245,BD!$A$3:$A$5001,"&gt;="&amp;$C$7,BD!$A$3:$A$5001,"&lt;="&amp;$B274,BD!$AA$3:$AA$5001,"&lt;&gt;")=0,"",SUMIFS(BD!$AA$3:$AA$5001,BD!$B$3:$B$5001,E$245,BD!$A$3:$A$5001,_xlfn.MAXIFS(BD!$A$3:$A$5001,BD!$B$3:$B$5001,E$245,BD!$A$3:$A$5001,"&gt;="&amp;$C$7,BD!$A$3:$A$5001,"&lt;="&amp;$B274,BD!$AA$3:$AA$5001,"&lt;&gt;"))))</f>
        <v/>
      </c>
      <c r="F274" s="43" t="str">
        <f>IF(OR($B274="",$A274&gt;$B$9,F$245=""),"",IF(COUNTIFS(BD!$B$3:$B$5001,F$245,BD!$A$3:$A$5001,"&gt;="&amp;$C$7,BD!$A$3:$A$5001,"&lt;="&amp;$B274,BD!$AA$3:$AA$5001,"&lt;&gt;")=0,"",SUMIFS(BD!$AA$3:$AA$5001,BD!$B$3:$B$5001,F$245,BD!$A$3:$A$5001,_xlfn.MAXIFS(BD!$A$3:$A$5001,BD!$B$3:$B$5001,F$245,BD!$A$3:$A$5001,"&gt;="&amp;$C$7,BD!$A$3:$A$5001,"&lt;="&amp;$B274,BD!$AA$3:$AA$5001,"&lt;&gt;"))))</f>
        <v/>
      </c>
      <c r="G274" s="43" t="str">
        <f>IF(OR($B274="",$A274&gt;$B$9,G$245=""),"",IF(COUNTIFS(BD!$B$3:$B$5001,G$245,BD!$A$3:$A$5001,"&gt;="&amp;$C$7,BD!$A$3:$A$5001,"&lt;="&amp;$B274,BD!$AA$3:$AA$5001,"&lt;&gt;")=0,"",SUMIFS(BD!$AA$3:$AA$5001,BD!$B$3:$B$5001,G$245,BD!$A$3:$A$5001,_xlfn.MAXIFS(BD!$A$3:$A$5001,BD!$B$3:$B$5001,G$245,BD!$A$3:$A$5001,"&gt;="&amp;$C$7,BD!$A$3:$A$5001,"&lt;="&amp;$B274,BD!$AA$3:$AA$5001,"&lt;&gt;"))))</f>
        <v/>
      </c>
      <c r="H274" s="43" t="str">
        <f>IF(OR($B274="",$A274&gt;$B$9,H$245=""),"",IF(COUNTIFS(BD!$B$3:$B$5001,H$245,BD!$A$3:$A$5001,"&gt;="&amp;$C$7,BD!$A$3:$A$5001,"&lt;="&amp;$B274,BD!$AA$3:$AA$5001,"&lt;&gt;")=0,"",SUMIFS(BD!$AA$3:$AA$5001,BD!$B$3:$B$5001,H$245,BD!$A$3:$A$5001,_xlfn.MAXIFS(BD!$A$3:$A$5001,BD!$B$3:$B$5001,H$245,BD!$A$3:$A$5001,"&gt;="&amp;$C$7,BD!$A$3:$A$5001,"&lt;="&amp;$B274,BD!$AA$3:$AA$5001,"&lt;&gt;"))))</f>
        <v/>
      </c>
      <c r="I274" s="43" t="str">
        <f>IF(OR($B274="",$A274&gt;$B$9,I$245=""),"",IF(COUNTIFS(BD!$B$3:$B$5001,I$245,BD!$A$3:$A$5001,"&gt;="&amp;$C$7,BD!$A$3:$A$5001,"&lt;="&amp;$B274,BD!$AA$3:$AA$5001,"&lt;&gt;")=0,"",SUMIFS(BD!$AA$3:$AA$5001,BD!$B$3:$B$5001,I$245,BD!$A$3:$A$5001,_xlfn.MAXIFS(BD!$A$3:$A$5001,BD!$B$3:$B$5001,I$245,BD!$A$3:$A$5001,"&gt;="&amp;$C$7,BD!$A$3:$A$5001,"&lt;="&amp;$B274,BD!$AA$3:$AA$5001,"&lt;&gt;"))))</f>
        <v/>
      </c>
      <c r="J274" s="43" t="str">
        <f>IF(OR($B274="",$A274&gt;$B$9,J$245=""),"",IF(COUNTIFS(BD!$B$3:$B$5001,J$245,BD!$A$3:$A$5001,"&gt;="&amp;$C$7,BD!$A$3:$A$5001,"&lt;="&amp;$B274,BD!$AA$3:$AA$5001,"&lt;&gt;")=0,"",SUMIFS(BD!$AA$3:$AA$5001,BD!$B$3:$B$5001,J$245,BD!$A$3:$A$5001,_xlfn.MAXIFS(BD!$A$3:$A$5001,BD!$B$3:$B$5001,J$245,BD!$A$3:$A$5001,"&gt;="&amp;$C$7,BD!$A$3:$A$5001,"&lt;="&amp;$B274,BD!$AA$3:$AA$5001,"&lt;&gt;"))))</f>
        <v/>
      </c>
      <c r="K274" s="43" t="str">
        <f>IF(OR($B274="",$A274&gt;$B$9,K$245=""),"",IF(COUNTIFS(BD!$B$3:$B$5001,K$245,BD!$A$3:$A$5001,"&gt;="&amp;$C$7,BD!$A$3:$A$5001,"&lt;="&amp;$B274,BD!$AA$3:$AA$5001,"&lt;&gt;")=0,"",SUMIFS(BD!$AA$3:$AA$5001,BD!$B$3:$B$5001,K$245,BD!$A$3:$A$5001,_xlfn.MAXIFS(BD!$A$3:$A$5001,BD!$B$3:$B$5001,K$245,BD!$A$3:$A$5001,"&gt;="&amp;$C$7,BD!$A$3:$A$5001,"&lt;="&amp;$B274,BD!$AA$3:$AA$5001,"&lt;&gt;"))))</f>
        <v/>
      </c>
      <c r="L274" s="43" t="str">
        <f>IF(OR($B274="",$A274&gt;$B$9,L$245=""),"",IF(COUNTIFS(BD!$B$3:$B$5001,L$245,BD!$A$3:$A$5001,"&gt;="&amp;$C$7,BD!$A$3:$A$5001,"&lt;="&amp;$B274,BD!$AA$3:$AA$5001,"&lt;&gt;")=0,"",SUMIFS(BD!$AA$3:$AA$5001,BD!$B$3:$B$5001,L$245,BD!$A$3:$A$5001,_xlfn.MAXIFS(BD!$A$3:$A$5001,BD!$B$3:$B$5001,L$245,BD!$A$3:$A$5001,"&gt;="&amp;$C$7,BD!$A$3:$A$5001,"&lt;="&amp;$B274,BD!$AA$3:$AA$5001,"&lt;&gt;"))))</f>
        <v/>
      </c>
      <c r="M274" s="43" t="str">
        <f>IF(OR($B274="",$A274&gt;$B$9,M$245=""),"",IF(COUNTIFS(BD!$B$3:$B$5001,M$245,BD!$A$3:$A$5001,"&gt;="&amp;$C$7,BD!$A$3:$A$5001,"&lt;="&amp;$B274,BD!$AA$3:$AA$5001,"&lt;&gt;")=0,"",SUMIFS(BD!$AA$3:$AA$5001,BD!$B$3:$B$5001,M$245,BD!$A$3:$A$5001,_xlfn.MAXIFS(BD!$A$3:$A$5001,BD!$B$3:$B$5001,M$245,BD!$A$3:$A$5001,"&gt;="&amp;$C$7,BD!$A$3:$A$5001,"&lt;="&amp;$B274,BD!$AA$3:$AA$5001,"&lt;&gt;"))))</f>
        <v/>
      </c>
      <c r="N274" s="43" t="str">
        <f>IF(OR($B274="",$A274&gt;$B$9,N$245=""),"",IF(COUNTIFS(BD!$B$3:$B$5001,N$245,BD!$A$3:$A$5001,"&gt;="&amp;$C$7,BD!$A$3:$A$5001,"&lt;="&amp;$B274,BD!$AA$3:$AA$5001,"&lt;&gt;")=0,"",SUMIFS(BD!$AA$3:$AA$5001,BD!$B$3:$B$5001,N$245,BD!$A$3:$A$5001,_xlfn.MAXIFS(BD!$A$3:$A$5001,BD!$B$3:$B$5001,N$245,BD!$A$3:$A$5001,"&gt;="&amp;$C$7,BD!$A$3:$A$5001,"&lt;="&amp;$B274,BD!$AA$3:$AA$5001,"&lt;&gt;"))))</f>
        <v/>
      </c>
      <c r="O274" s="43" t="str">
        <f>IF(OR($B274="",$A274&gt;$B$9,O$245=""),"",IF(COUNTIFS(BD!$B$3:$B$5001,O$245,BD!$A$3:$A$5001,"&gt;="&amp;$C$7,BD!$A$3:$A$5001,"&lt;="&amp;$B274,BD!$AA$3:$AA$5001,"&lt;&gt;")=0,"",SUMIFS(BD!$AA$3:$AA$5001,BD!$B$3:$B$5001,O$245,BD!$A$3:$A$5001,_xlfn.MAXIFS(BD!$A$3:$A$5001,BD!$B$3:$B$5001,O$245,BD!$A$3:$A$5001,"&gt;="&amp;$C$7,BD!$A$3:$A$5001,"&lt;="&amp;$B274,BD!$AA$3:$AA$5001,"&lt;&gt;"))))</f>
        <v/>
      </c>
      <c r="P274" s="43" t="str">
        <f>IF(OR($B274="",$A274&gt;$B$9,P$245=""),"",IF(COUNTIFS(BD!$B$3:$B$5001,P$245,BD!$A$3:$A$5001,"&gt;="&amp;$C$7,BD!$A$3:$A$5001,"&lt;="&amp;$B274,BD!$AA$3:$AA$5001,"&lt;&gt;")=0,"",SUMIFS(BD!$AA$3:$AA$5001,BD!$B$3:$B$5001,P$245,BD!$A$3:$A$5001,_xlfn.MAXIFS(BD!$A$3:$A$5001,BD!$B$3:$B$5001,P$245,BD!$A$3:$A$5001,"&gt;="&amp;$C$7,BD!$A$3:$A$5001,"&lt;="&amp;$B274,BD!$AA$3:$AA$5001,"&lt;&gt;"))))</f>
        <v/>
      </c>
      <c r="Q274" s="43" t="str">
        <f>IF(OR($B274="",$A274&gt;$B$9,Q$245=""),"",IF(COUNTIFS(BD!$B$3:$B$5001,Q$245,BD!$A$3:$A$5001,"&gt;="&amp;$C$7,BD!$A$3:$A$5001,"&lt;="&amp;$B274,BD!$AA$3:$AA$5001,"&lt;&gt;")=0,"",SUMIFS(BD!$AA$3:$AA$5001,BD!$B$3:$B$5001,Q$245,BD!$A$3:$A$5001,_xlfn.MAXIFS(BD!$A$3:$A$5001,BD!$B$3:$B$5001,Q$245,BD!$A$3:$A$5001,"&gt;="&amp;$C$7,BD!$A$3:$A$5001,"&lt;="&amp;$B274,BD!$AA$3:$AA$5001,"&lt;&gt;"))))</f>
        <v/>
      </c>
      <c r="R274" s="43" t="str">
        <f>IF(OR($B274="",$A274&gt;$B$9,R$245=""),"",IF(COUNTIFS(BD!$B$3:$B$5001,R$245,BD!$A$3:$A$5001,"&gt;="&amp;$C$7,BD!$A$3:$A$5001,"&lt;="&amp;$B274,BD!$AA$3:$AA$5001,"&lt;&gt;")=0,"",SUMIFS(BD!$AA$3:$AA$5001,BD!$B$3:$B$5001,R$245,BD!$A$3:$A$5001,_xlfn.MAXIFS(BD!$A$3:$A$5001,BD!$B$3:$B$5001,R$245,BD!$A$3:$A$5001,"&gt;="&amp;$C$7,BD!$A$3:$A$5001,"&lt;="&amp;$B274,BD!$AA$3:$AA$5001,"&lt;&gt;"))))</f>
        <v/>
      </c>
      <c r="S274" s="43" t="str">
        <f>IF(OR($B274="",$A274&gt;$B$9,S$245=""),"",IF(COUNTIFS(BD!$B$3:$B$5001,S$245,BD!$A$3:$A$5001,"&gt;="&amp;$C$7,BD!$A$3:$A$5001,"&lt;="&amp;$B274,BD!$AA$3:$AA$5001,"&lt;&gt;")=0,"",SUMIFS(BD!$AA$3:$AA$5001,BD!$B$3:$B$5001,S$245,BD!$A$3:$A$5001,_xlfn.MAXIFS(BD!$A$3:$A$5001,BD!$B$3:$B$5001,S$245,BD!$A$3:$A$5001,"&gt;="&amp;$C$7,BD!$A$3:$A$5001,"&lt;="&amp;$B274,BD!$AA$3:$AA$5001,"&lt;&gt;"))))</f>
        <v/>
      </c>
      <c r="T274" s="43" t="str">
        <f>IF(OR($B274="",$A274&gt;$B$9,T$245=""),"",IF(COUNTIFS(BD!$B$3:$B$5001,T$245,BD!$A$3:$A$5001,"&gt;="&amp;$C$7,BD!$A$3:$A$5001,"&lt;="&amp;$B274,BD!$AA$3:$AA$5001,"&lt;&gt;")=0,"",SUMIFS(BD!$AA$3:$AA$5001,BD!$B$3:$B$5001,T$245,BD!$A$3:$A$5001,_xlfn.MAXIFS(BD!$A$3:$A$5001,BD!$B$3:$B$5001,T$245,BD!$A$3:$A$5001,"&gt;="&amp;$C$7,BD!$A$3:$A$5001,"&lt;="&amp;$B274,BD!$AA$3:$AA$5001,"&lt;&gt;"))))</f>
        <v/>
      </c>
      <c r="U274" s="43" t="str">
        <f>IF(OR($B274="",$A274&gt;$B$9,U$245=""),"",IF(COUNTIFS(BD!$B$3:$B$5001,U$245,BD!$A$3:$A$5001,"&gt;="&amp;$C$7,BD!$A$3:$A$5001,"&lt;="&amp;$B274,BD!$AA$3:$AA$5001,"&lt;&gt;")=0,"",SUMIFS(BD!$AA$3:$AA$5001,BD!$B$3:$B$5001,U$245,BD!$A$3:$A$5001,_xlfn.MAXIFS(BD!$A$3:$A$5001,BD!$B$3:$B$5001,U$245,BD!$A$3:$A$5001,"&gt;="&amp;$C$7,BD!$A$3:$A$5001,"&lt;="&amp;$B274,BD!$AA$3:$AA$5001,"&lt;&gt;"))))</f>
        <v/>
      </c>
      <c r="V274" s="43" t="str">
        <f>IF(OR($B274="",$A274&gt;$B$9,V$245=""),"",IF(COUNTIFS(BD!$B$3:$B$5001,V$245,BD!$A$3:$A$5001,"&gt;="&amp;$C$7,BD!$A$3:$A$5001,"&lt;="&amp;$B274,BD!$AA$3:$AA$5001,"&lt;&gt;")=0,"",SUMIFS(BD!$AA$3:$AA$5001,BD!$B$3:$B$5001,V$245,BD!$A$3:$A$5001,_xlfn.MAXIFS(BD!$A$3:$A$5001,BD!$B$3:$B$5001,V$245,BD!$A$3:$A$5001,"&gt;="&amp;$C$7,BD!$A$3:$A$5001,"&lt;="&amp;$B274,BD!$AA$3:$AA$5001,"&lt;&gt;"))))</f>
        <v/>
      </c>
    </row>
    <row r="275">
      <c r="A275" s="38">
        <v>30</v>
      </c>
      <c r="B275" s="42">
        <f>$B$41</f>
        <v>46325</v>
      </c>
      <c r="C275" s="43" t="str">
        <f>IF(OR($B275="",$A275&gt;$B$9,C$245=""),"",IF(COUNTIFS(BD!$B$3:$B$5001,C$245,BD!$A$3:$A$5001,"&gt;="&amp;$C$7,BD!$A$3:$A$5001,"&lt;="&amp;$B275,BD!$AA$3:$AA$5001,"&lt;&gt;")=0,"",SUMIFS(BD!$AA$3:$AA$5001,BD!$B$3:$B$5001,C$245,BD!$A$3:$A$5001,_xlfn.MAXIFS(BD!$A$3:$A$5001,BD!$B$3:$B$5001,C$245,BD!$A$3:$A$5001,"&gt;="&amp;$C$7,BD!$A$3:$A$5001,"&lt;="&amp;$B275,BD!$AA$3:$AA$5001,"&lt;&gt;"))))</f>
        <v/>
      </c>
      <c r="D275" s="43" t="str">
        <f>IF(OR($B275="",$A275&gt;$B$9,D$245=""),"",IF(COUNTIFS(BD!$B$3:$B$5001,D$245,BD!$A$3:$A$5001,"&gt;="&amp;$C$7,BD!$A$3:$A$5001,"&lt;="&amp;$B275,BD!$AA$3:$AA$5001,"&lt;&gt;")=0,"",SUMIFS(BD!$AA$3:$AA$5001,BD!$B$3:$B$5001,D$245,BD!$A$3:$A$5001,_xlfn.MAXIFS(BD!$A$3:$A$5001,BD!$B$3:$B$5001,D$245,BD!$A$3:$A$5001,"&gt;="&amp;$C$7,BD!$A$3:$A$5001,"&lt;="&amp;$B275,BD!$AA$3:$AA$5001,"&lt;&gt;"))))</f>
        <v/>
      </c>
      <c r="E275" s="43" t="str">
        <f>IF(OR($B275="",$A275&gt;$B$9,E$245=""),"",IF(COUNTIFS(BD!$B$3:$B$5001,E$245,BD!$A$3:$A$5001,"&gt;="&amp;$C$7,BD!$A$3:$A$5001,"&lt;="&amp;$B275,BD!$AA$3:$AA$5001,"&lt;&gt;")=0,"",SUMIFS(BD!$AA$3:$AA$5001,BD!$B$3:$B$5001,E$245,BD!$A$3:$A$5001,_xlfn.MAXIFS(BD!$A$3:$A$5001,BD!$B$3:$B$5001,E$245,BD!$A$3:$A$5001,"&gt;="&amp;$C$7,BD!$A$3:$A$5001,"&lt;="&amp;$B275,BD!$AA$3:$AA$5001,"&lt;&gt;"))))</f>
        <v/>
      </c>
      <c r="F275" s="43" t="str">
        <f>IF(OR($B275="",$A275&gt;$B$9,F$245=""),"",IF(COUNTIFS(BD!$B$3:$B$5001,F$245,BD!$A$3:$A$5001,"&gt;="&amp;$C$7,BD!$A$3:$A$5001,"&lt;="&amp;$B275,BD!$AA$3:$AA$5001,"&lt;&gt;")=0,"",SUMIFS(BD!$AA$3:$AA$5001,BD!$B$3:$B$5001,F$245,BD!$A$3:$A$5001,_xlfn.MAXIFS(BD!$A$3:$A$5001,BD!$B$3:$B$5001,F$245,BD!$A$3:$A$5001,"&gt;="&amp;$C$7,BD!$A$3:$A$5001,"&lt;="&amp;$B275,BD!$AA$3:$AA$5001,"&lt;&gt;"))))</f>
        <v/>
      </c>
      <c r="G275" s="43" t="str">
        <f>IF(OR($B275="",$A275&gt;$B$9,G$245=""),"",IF(COUNTIFS(BD!$B$3:$B$5001,G$245,BD!$A$3:$A$5001,"&gt;="&amp;$C$7,BD!$A$3:$A$5001,"&lt;="&amp;$B275,BD!$AA$3:$AA$5001,"&lt;&gt;")=0,"",SUMIFS(BD!$AA$3:$AA$5001,BD!$B$3:$B$5001,G$245,BD!$A$3:$A$5001,_xlfn.MAXIFS(BD!$A$3:$A$5001,BD!$B$3:$B$5001,G$245,BD!$A$3:$A$5001,"&gt;="&amp;$C$7,BD!$A$3:$A$5001,"&lt;="&amp;$B275,BD!$AA$3:$AA$5001,"&lt;&gt;"))))</f>
        <v/>
      </c>
      <c r="H275" s="43" t="str">
        <f>IF(OR($B275="",$A275&gt;$B$9,H$245=""),"",IF(COUNTIFS(BD!$B$3:$B$5001,H$245,BD!$A$3:$A$5001,"&gt;="&amp;$C$7,BD!$A$3:$A$5001,"&lt;="&amp;$B275,BD!$AA$3:$AA$5001,"&lt;&gt;")=0,"",SUMIFS(BD!$AA$3:$AA$5001,BD!$B$3:$B$5001,H$245,BD!$A$3:$A$5001,_xlfn.MAXIFS(BD!$A$3:$A$5001,BD!$B$3:$B$5001,H$245,BD!$A$3:$A$5001,"&gt;="&amp;$C$7,BD!$A$3:$A$5001,"&lt;="&amp;$B275,BD!$AA$3:$AA$5001,"&lt;&gt;"))))</f>
        <v/>
      </c>
      <c r="I275" s="43" t="str">
        <f>IF(OR($B275="",$A275&gt;$B$9,I$245=""),"",IF(COUNTIFS(BD!$B$3:$B$5001,I$245,BD!$A$3:$A$5001,"&gt;="&amp;$C$7,BD!$A$3:$A$5001,"&lt;="&amp;$B275,BD!$AA$3:$AA$5001,"&lt;&gt;")=0,"",SUMIFS(BD!$AA$3:$AA$5001,BD!$B$3:$B$5001,I$245,BD!$A$3:$A$5001,_xlfn.MAXIFS(BD!$A$3:$A$5001,BD!$B$3:$B$5001,I$245,BD!$A$3:$A$5001,"&gt;="&amp;$C$7,BD!$A$3:$A$5001,"&lt;="&amp;$B275,BD!$AA$3:$AA$5001,"&lt;&gt;"))))</f>
        <v/>
      </c>
      <c r="J275" s="43" t="str">
        <f>IF(OR($B275="",$A275&gt;$B$9,J$245=""),"",IF(COUNTIFS(BD!$B$3:$B$5001,J$245,BD!$A$3:$A$5001,"&gt;="&amp;$C$7,BD!$A$3:$A$5001,"&lt;="&amp;$B275,BD!$AA$3:$AA$5001,"&lt;&gt;")=0,"",SUMIFS(BD!$AA$3:$AA$5001,BD!$B$3:$B$5001,J$245,BD!$A$3:$A$5001,_xlfn.MAXIFS(BD!$A$3:$A$5001,BD!$B$3:$B$5001,J$245,BD!$A$3:$A$5001,"&gt;="&amp;$C$7,BD!$A$3:$A$5001,"&lt;="&amp;$B275,BD!$AA$3:$AA$5001,"&lt;&gt;"))))</f>
        <v/>
      </c>
      <c r="K275" s="43" t="str">
        <f>IF(OR($B275="",$A275&gt;$B$9,K$245=""),"",IF(COUNTIFS(BD!$B$3:$B$5001,K$245,BD!$A$3:$A$5001,"&gt;="&amp;$C$7,BD!$A$3:$A$5001,"&lt;="&amp;$B275,BD!$AA$3:$AA$5001,"&lt;&gt;")=0,"",SUMIFS(BD!$AA$3:$AA$5001,BD!$B$3:$B$5001,K$245,BD!$A$3:$A$5001,_xlfn.MAXIFS(BD!$A$3:$A$5001,BD!$B$3:$B$5001,K$245,BD!$A$3:$A$5001,"&gt;="&amp;$C$7,BD!$A$3:$A$5001,"&lt;="&amp;$B275,BD!$AA$3:$AA$5001,"&lt;&gt;"))))</f>
        <v/>
      </c>
      <c r="L275" s="43" t="str">
        <f>IF(OR($B275="",$A275&gt;$B$9,L$245=""),"",IF(COUNTIFS(BD!$B$3:$B$5001,L$245,BD!$A$3:$A$5001,"&gt;="&amp;$C$7,BD!$A$3:$A$5001,"&lt;="&amp;$B275,BD!$AA$3:$AA$5001,"&lt;&gt;")=0,"",SUMIFS(BD!$AA$3:$AA$5001,BD!$B$3:$B$5001,L$245,BD!$A$3:$A$5001,_xlfn.MAXIFS(BD!$A$3:$A$5001,BD!$B$3:$B$5001,L$245,BD!$A$3:$A$5001,"&gt;="&amp;$C$7,BD!$A$3:$A$5001,"&lt;="&amp;$B275,BD!$AA$3:$AA$5001,"&lt;&gt;"))))</f>
        <v/>
      </c>
      <c r="M275" s="43" t="str">
        <f>IF(OR($B275="",$A275&gt;$B$9,M$245=""),"",IF(COUNTIFS(BD!$B$3:$B$5001,M$245,BD!$A$3:$A$5001,"&gt;="&amp;$C$7,BD!$A$3:$A$5001,"&lt;="&amp;$B275,BD!$AA$3:$AA$5001,"&lt;&gt;")=0,"",SUMIFS(BD!$AA$3:$AA$5001,BD!$B$3:$B$5001,M$245,BD!$A$3:$A$5001,_xlfn.MAXIFS(BD!$A$3:$A$5001,BD!$B$3:$B$5001,M$245,BD!$A$3:$A$5001,"&gt;="&amp;$C$7,BD!$A$3:$A$5001,"&lt;="&amp;$B275,BD!$AA$3:$AA$5001,"&lt;&gt;"))))</f>
        <v/>
      </c>
      <c r="N275" s="43" t="str">
        <f>IF(OR($B275="",$A275&gt;$B$9,N$245=""),"",IF(COUNTIFS(BD!$B$3:$B$5001,N$245,BD!$A$3:$A$5001,"&gt;="&amp;$C$7,BD!$A$3:$A$5001,"&lt;="&amp;$B275,BD!$AA$3:$AA$5001,"&lt;&gt;")=0,"",SUMIFS(BD!$AA$3:$AA$5001,BD!$B$3:$B$5001,N$245,BD!$A$3:$A$5001,_xlfn.MAXIFS(BD!$A$3:$A$5001,BD!$B$3:$B$5001,N$245,BD!$A$3:$A$5001,"&gt;="&amp;$C$7,BD!$A$3:$A$5001,"&lt;="&amp;$B275,BD!$AA$3:$AA$5001,"&lt;&gt;"))))</f>
        <v/>
      </c>
      <c r="O275" s="43" t="str">
        <f>IF(OR($B275="",$A275&gt;$B$9,O$245=""),"",IF(COUNTIFS(BD!$B$3:$B$5001,O$245,BD!$A$3:$A$5001,"&gt;="&amp;$C$7,BD!$A$3:$A$5001,"&lt;="&amp;$B275,BD!$AA$3:$AA$5001,"&lt;&gt;")=0,"",SUMIFS(BD!$AA$3:$AA$5001,BD!$B$3:$B$5001,O$245,BD!$A$3:$A$5001,_xlfn.MAXIFS(BD!$A$3:$A$5001,BD!$B$3:$B$5001,O$245,BD!$A$3:$A$5001,"&gt;="&amp;$C$7,BD!$A$3:$A$5001,"&lt;="&amp;$B275,BD!$AA$3:$AA$5001,"&lt;&gt;"))))</f>
        <v/>
      </c>
      <c r="P275" s="43" t="str">
        <f>IF(OR($B275="",$A275&gt;$B$9,P$245=""),"",IF(COUNTIFS(BD!$B$3:$B$5001,P$245,BD!$A$3:$A$5001,"&gt;="&amp;$C$7,BD!$A$3:$A$5001,"&lt;="&amp;$B275,BD!$AA$3:$AA$5001,"&lt;&gt;")=0,"",SUMIFS(BD!$AA$3:$AA$5001,BD!$B$3:$B$5001,P$245,BD!$A$3:$A$5001,_xlfn.MAXIFS(BD!$A$3:$A$5001,BD!$B$3:$B$5001,P$245,BD!$A$3:$A$5001,"&gt;="&amp;$C$7,BD!$A$3:$A$5001,"&lt;="&amp;$B275,BD!$AA$3:$AA$5001,"&lt;&gt;"))))</f>
        <v/>
      </c>
      <c r="Q275" s="43" t="str">
        <f>IF(OR($B275="",$A275&gt;$B$9,Q$245=""),"",IF(COUNTIFS(BD!$B$3:$B$5001,Q$245,BD!$A$3:$A$5001,"&gt;="&amp;$C$7,BD!$A$3:$A$5001,"&lt;="&amp;$B275,BD!$AA$3:$AA$5001,"&lt;&gt;")=0,"",SUMIFS(BD!$AA$3:$AA$5001,BD!$B$3:$B$5001,Q$245,BD!$A$3:$A$5001,_xlfn.MAXIFS(BD!$A$3:$A$5001,BD!$B$3:$B$5001,Q$245,BD!$A$3:$A$5001,"&gt;="&amp;$C$7,BD!$A$3:$A$5001,"&lt;="&amp;$B275,BD!$AA$3:$AA$5001,"&lt;&gt;"))))</f>
        <v/>
      </c>
      <c r="R275" s="43" t="str">
        <f>IF(OR($B275="",$A275&gt;$B$9,R$245=""),"",IF(COUNTIFS(BD!$B$3:$B$5001,R$245,BD!$A$3:$A$5001,"&gt;="&amp;$C$7,BD!$A$3:$A$5001,"&lt;="&amp;$B275,BD!$AA$3:$AA$5001,"&lt;&gt;")=0,"",SUMIFS(BD!$AA$3:$AA$5001,BD!$B$3:$B$5001,R$245,BD!$A$3:$A$5001,_xlfn.MAXIFS(BD!$A$3:$A$5001,BD!$B$3:$B$5001,R$245,BD!$A$3:$A$5001,"&gt;="&amp;$C$7,BD!$A$3:$A$5001,"&lt;="&amp;$B275,BD!$AA$3:$AA$5001,"&lt;&gt;"))))</f>
        <v/>
      </c>
      <c r="S275" s="43" t="str">
        <f>IF(OR($B275="",$A275&gt;$B$9,S$245=""),"",IF(COUNTIFS(BD!$B$3:$B$5001,S$245,BD!$A$3:$A$5001,"&gt;="&amp;$C$7,BD!$A$3:$A$5001,"&lt;="&amp;$B275,BD!$AA$3:$AA$5001,"&lt;&gt;")=0,"",SUMIFS(BD!$AA$3:$AA$5001,BD!$B$3:$B$5001,S$245,BD!$A$3:$A$5001,_xlfn.MAXIFS(BD!$A$3:$A$5001,BD!$B$3:$B$5001,S$245,BD!$A$3:$A$5001,"&gt;="&amp;$C$7,BD!$A$3:$A$5001,"&lt;="&amp;$B275,BD!$AA$3:$AA$5001,"&lt;&gt;"))))</f>
        <v/>
      </c>
      <c r="T275" s="43" t="str">
        <f>IF(OR($B275="",$A275&gt;$B$9,T$245=""),"",IF(COUNTIFS(BD!$B$3:$B$5001,T$245,BD!$A$3:$A$5001,"&gt;="&amp;$C$7,BD!$A$3:$A$5001,"&lt;="&amp;$B275,BD!$AA$3:$AA$5001,"&lt;&gt;")=0,"",SUMIFS(BD!$AA$3:$AA$5001,BD!$B$3:$B$5001,T$245,BD!$A$3:$A$5001,_xlfn.MAXIFS(BD!$A$3:$A$5001,BD!$B$3:$B$5001,T$245,BD!$A$3:$A$5001,"&gt;="&amp;$C$7,BD!$A$3:$A$5001,"&lt;="&amp;$B275,BD!$AA$3:$AA$5001,"&lt;&gt;"))))</f>
        <v/>
      </c>
      <c r="U275" s="43" t="str">
        <f>IF(OR($B275="",$A275&gt;$B$9,U$245=""),"",IF(COUNTIFS(BD!$B$3:$B$5001,U$245,BD!$A$3:$A$5001,"&gt;="&amp;$C$7,BD!$A$3:$A$5001,"&lt;="&amp;$B275,BD!$AA$3:$AA$5001,"&lt;&gt;")=0,"",SUMIFS(BD!$AA$3:$AA$5001,BD!$B$3:$B$5001,U$245,BD!$A$3:$A$5001,_xlfn.MAXIFS(BD!$A$3:$A$5001,BD!$B$3:$B$5001,U$245,BD!$A$3:$A$5001,"&gt;="&amp;$C$7,BD!$A$3:$A$5001,"&lt;="&amp;$B275,BD!$AA$3:$AA$5001,"&lt;&gt;"))))</f>
        <v/>
      </c>
      <c r="V275" s="43" t="str">
        <f>IF(OR($B275="",$A275&gt;$B$9,V$245=""),"",IF(COUNTIFS(BD!$B$3:$B$5001,V$245,BD!$A$3:$A$5001,"&gt;="&amp;$C$7,BD!$A$3:$A$5001,"&lt;="&amp;$B275,BD!$AA$3:$AA$5001,"&lt;&gt;")=0,"",SUMIFS(BD!$AA$3:$AA$5001,BD!$B$3:$B$5001,V$245,BD!$A$3:$A$5001,_xlfn.MAXIFS(BD!$A$3:$A$5001,BD!$B$3:$B$5001,V$245,BD!$A$3:$A$5001,"&gt;="&amp;$C$7,BD!$A$3:$A$5001,"&lt;="&amp;$B275,BD!$AA$3:$AA$5001,"&lt;&gt;"))))</f>
        <v/>
      </c>
    </row>
    <row r="276">
      <c r="A276" s="38">
        <v>31</v>
      </c>
      <c r="B276" s="42">
        <f>$B$42</f>
        <v>46326</v>
      </c>
      <c r="C276" s="43" t="str">
        <f>IF(OR($B276="",$A276&gt;$B$9,C$245=""),"",IF(COUNTIFS(BD!$B$3:$B$5001,C$245,BD!$A$3:$A$5001,"&gt;="&amp;$C$7,BD!$A$3:$A$5001,"&lt;="&amp;$B276,BD!$AA$3:$AA$5001,"&lt;&gt;")=0,"",SUMIFS(BD!$AA$3:$AA$5001,BD!$B$3:$B$5001,C$245,BD!$A$3:$A$5001,_xlfn.MAXIFS(BD!$A$3:$A$5001,BD!$B$3:$B$5001,C$245,BD!$A$3:$A$5001,"&gt;="&amp;$C$7,BD!$A$3:$A$5001,"&lt;="&amp;$B276,BD!$AA$3:$AA$5001,"&lt;&gt;"))))</f>
        <v/>
      </c>
      <c r="D276" s="43" t="str">
        <f>IF(OR($B276="",$A276&gt;$B$9,D$245=""),"",IF(COUNTIFS(BD!$B$3:$B$5001,D$245,BD!$A$3:$A$5001,"&gt;="&amp;$C$7,BD!$A$3:$A$5001,"&lt;="&amp;$B276,BD!$AA$3:$AA$5001,"&lt;&gt;")=0,"",SUMIFS(BD!$AA$3:$AA$5001,BD!$B$3:$B$5001,D$245,BD!$A$3:$A$5001,_xlfn.MAXIFS(BD!$A$3:$A$5001,BD!$B$3:$B$5001,D$245,BD!$A$3:$A$5001,"&gt;="&amp;$C$7,BD!$A$3:$A$5001,"&lt;="&amp;$B276,BD!$AA$3:$AA$5001,"&lt;&gt;"))))</f>
        <v/>
      </c>
      <c r="E276" s="43" t="str">
        <f>IF(OR($B276="",$A276&gt;$B$9,E$245=""),"",IF(COUNTIFS(BD!$B$3:$B$5001,E$245,BD!$A$3:$A$5001,"&gt;="&amp;$C$7,BD!$A$3:$A$5001,"&lt;="&amp;$B276,BD!$AA$3:$AA$5001,"&lt;&gt;")=0,"",SUMIFS(BD!$AA$3:$AA$5001,BD!$B$3:$B$5001,E$245,BD!$A$3:$A$5001,_xlfn.MAXIFS(BD!$A$3:$A$5001,BD!$B$3:$B$5001,E$245,BD!$A$3:$A$5001,"&gt;="&amp;$C$7,BD!$A$3:$A$5001,"&lt;="&amp;$B276,BD!$AA$3:$AA$5001,"&lt;&gt;"))))</f>
        <v/>
      </c>
      <c r="F276" s="43" t="str">
        <f>IF(OR($B276="",$A276&gt;$B$9,F$245=""),"",IF(COUNTIFS(BD!$B$3:$B$5001,F$245,BD!$A$3:$A$5001,"&gt;="&amp;$C$7,BD!$A$3:$A$5001,"&lt;="&amp;$B276,BD!$AA$3:$AA$5001,"&lt;&gt;")=0,"",SUMIFS(BD!$AA$3:$AA$5001,BD!$B$3:$B$5001,F$245,BD!$A$3:$A$5001,_xlfn.MAXIFS(BD!$A$3:$A$5001,BD!$B$3:$B$5001,F$245,BD!$A$3:$A$5001,"&gt;="&amp;$C$7,BD!$A$3:$A$5001,"&lt;="&amp;$B276,BD!$AA$3:$AA$5001,"&lt;&gt;"))))</f>
        <v/>
      </c>
      <c r="G276" s="43" t="str">
        <f>IF(OR($B276="",$A276&gt;$B$9,G$245=""),"",IF(COUNTIFS(BD!$B$3:$B$5001,G$245,BD!$A$3:$A$5001,"&gt;="&amp;$C$7,BD!$A$3:$A$5001,"&lt;="&amp;$B276,BD!$AA$3:$AA$5001,"&lt;&gt;")=0,"",SUMIFS(BD!$AA$3:$AA$5001,BD!$B$3:$B$5001,G$245,BD!$A$3:$A$5001,_xlfn.MAXIFS(BD!$A$3:$A$5001,BD!$B$3:$B$5001,G$245,BD!$A$3:$A$5001,"&gt;="&amp;$C$7,BD!$A$3:$A$5001,"&lt;="&amp;$B276,BD!$AA$3:$AA$5001,"&lt;&gt;"))))</f>
        <v/>
      </c>
      <c r="H276" s="43" t="str">
        <f>IF(OR($B276="",$A276&gt;$B$9,H$245=""),"",IF(COUNTIFS(BD!$B$3:$B$5001,H$245,BD!$A$3:$A$5001,"&gt;="&amp;$C$7,BD!$A$3:$A$5001,"&lt;="&amp;$B276,BD!$AA$3:$AA$5001,"&lt;&gt;")=0,"",SUMIFS(BD!$AA$3:$AA$5001,BD!$B$3:$B$5001,H$245,BD!$A$3:$A$5001,_xlfn.MAXIFS(BD!$A$3:$A$5001,BD!$B$3:$B$5001,H$245,BD!$A$3:$A$5001,"&gt;="&amp;$C$7,BD!$A$3:$A$5001,"&lt;="&amp;$B276,BD!$AA$3:$AA$5001,"&lt;&gt;"))))</f>
        <v/>
      </c>
      <c r="I276" s="43" t="str">
        <f>IF(OR($B276="",$A276&gt;$B$9,I$245=""),"",IF(COUNTIFS(BD!$B$3:$B$5001,I$245,BD!$A$3:$A$5001,"&gt;="&amp;$C$7,BD!$A$3:$A$5001,"&lt;="&amp;$B276,BD!$AA$3:$AA$5001,"&lt;&gt;")=0,"",SUMIFS(BD!$AA$3:$AA$5001,BD!$B$3:$B$5001,I$245,BD!$A$3:$A$5001,_xlfn.MAXIFS(BD!$A$3:$A$5001,BD!$B$3:$B$5001,I$245,BD!$A$3:$A$5001,"&gt;="&amp;$C$7,BD!$A$3:$A$5001,"&lt;="&amp;$B276,BD!$AA$3:$AA$5001,"&lt;&gt;"))))</f>
        <v/>
      </c>
      <c r="J276" s="43" t="str">
        <f>IF(OR($B276="",$A276&gt;$B$9,J$245=""),"",IF(COUNTIFS(BD!$B$3:$B$5001,J$245,BD!$A$3:$A$5001,"&gt;="&amp;$C$7,BD!$A$3:$A$5001,"&lt;="&amp;$B276,BD!$AA$3:$AA$5001,"&lt;&gt;")=0,"",SUMIFS(BD!$AA$3:$AA$5001,BD!$B$3:$B$5001,J$245,BD!$A$3:$A$5001,_xlfn.MAXIFS(BD!$A$3:$A$5001,BD!$B$3:$B$5001,J$245,BD!$A$3:$A$5001,"&gt;="&amp;$C$7,BD!$A$3:$A$5001,"&lt;="&amp;$B276,BD!$AA$3:$AA$5001,"&lt;&gt;"))))</f>
        <v/>
      </c>
      <c r="K276" s="43" t="str">
        <f>IF(OR($B276="",$A276&gt;$B$9,K$245=""),"",IF(COUNTIFS(BD!$B$3:$B$5001,K$245,BD!$A$3:$A$5001,"&gt;="&amp;$C$7,BD!$A$3:$A$5001,"&lt;="&amp;$B276,BD!$AA$3:$AA$5001,"&lt;&gt;")=0,"",SUMIFS(BD!$AA$3:$AA$5001,BD!$B$3:$B$5001,K$245,BD!$A$3:$A$5001,_xlfn.MAXIFS(BD!$A$3:$A$5001,BD!$B$3:$B$5001,K$245,BD!$A$3:$A$5001,"&gt;="&amp;$C$7,BD!$A$3:$A$5001,"&lt;="&amp;$B276,BD!$AA$3:$AA$5001,"&lt;&gt;"))))</f>
        <v/>
      </c>
      <c r="L276" s="43" t="str">
        <f>IF(OR($B276="",$A276&gt;$B$9,L$245=""),"",IF(COUNTIFS(BD!$B$3:$B$5001,L$245,BD!$A$3:$A$5001,"&gt;="&amp;$C$7,BD!$A$3:$A$5001,"&lt;="&amp;$B276,BD!$AA$3:$AA$5001,"&lt;&gt;")=0,"",SUMIFS(BD!$AA$3:$AA$5001,BD!$B$3:$B$5001,L$245,BD!$A$3:$A$5001,_xlfn.MAXIFS(BD!$A$3:$A$5001,BD!$B$3:$B$5001,L$245,BD!$A$3:$A$5001,"&gt;="&amp;$C$7,BD!$A$3:$A$5001,"&lt;="&amp;$B276,BD!$AA$3:$AA$5001,"&lt;&gt;"))))</f>
        <v/>
      </c>
      <c r="M276" s="43" t="str">
        <f>IF(OR($B276="",$A276&gt;$B$9,M$245=""),"",IF(COUNTIFS(BD!$B$3:$B$5001,M$245,BD!$A$3:$A$5001,"&gt;="&amp;$C$7,BD!$A$3:$A$5001,"&lt;="&amp;$B276,BD!$AA$3:$AA$5001,"&lt;&gt;")=0,"",SUMIFS(BD!$AA$3:$AA$5001,BD!$B$3:$B$5001,M$245,BD!$A$3:$A$5001,_xlfn.MAXIFS(BD!$A$3:$A$5001,BD!$B$3:$B$5001,M$245,BD!$A$3:$A$5001,"&gt;="&amp;$C$7,BD!$A$3:$A$5001,"&lt;="&amp;$B276,BD!$AA$3:$AA$5001,"&lt;&gt;"))))</f>
        <v/>
      </c>
      <c r="N276" s="43" t="str">
        <f>IF(OR($B276="",$A276&gt;$B$9,N$245=""),"",IF(COUNTIFS(BD!$B$3:$B$5001,N$245,BD!$A$3:$A$5001,"&gt;="&amp;$C$7,BD!$A$3:$A$5001,"&lt;="&amp;$B276,BD!$AA$3:$AA$5001,"&lt;&gt;")=0,"",SUMIFS(BD!$AA$3:$AA$5001,BD!$B$3:$B$5001,N$245,BD!$A$3:$A$5001,_xlfn.MAXIFS(BD!$A$3:$A$5001,BD!$B$3:$B$5001,N$245,BD!$A$3:$A$5001,"&gt;="&amp;$C$7,BD!$A$3:$A$5001,"&lt;="&amp;$B276,BD!$AA$3:$AA$5001,"&lt;&gt;"))))</f>
        <v/>
      </c>
      <c r="O276" s="43" t="str">
        <f>IF(OR($B276="",$A276&gt;$B$9,O$245=""),"",IF(COUNTIFS(BD!$B$3:$B$5001,O$245,BD!$A$3:$A$5001,"&gt;="&amp;$C$7,BD!$A$3:$A$5001,"&lt;="&amp;$B276,BD!$AA$3:$AA$5001,"&lt;&gt;")=0,"",SUMIFS(BD!$AA$3:$AA$5001,BD!$B$3:$B$5001,O$245,BD!$A$3:$A$5001,_xlfn.MAXIFS(BD!$A$3:$A$5001,BD!$B$3:$B$5001,O$245,BD!$A$3:$A$5001,"&gt;="&amp;$C$7,BD!$A$3:$A$5001,"&lt;="&amp;$B276,BD!$AA$3:$AA$5001,"&lt;&gt;"))))</f>
        <v/>
      </c>
      <c r="P276" s="43" t="str">
        <f>IF(OR($B276="",$A276&gt;$B$9,P$245=""),"",IF(COUNTIFS(BD!$B$3:$B$5001,P$245,BD!$A$3:$A$5001,"&gt;="&amp;$C$7,BD!$A$3:$A$5001,"&lt;="&amp;$B276,BD!$AA$3:$AA$5001,"&lt;&gt;")=0,"",SUMIFS(BD!$AA$3:$AA$5001,BD!$B$3:$B$5001,P$245,BD!$A$3:$A$5001,_xlfn.MAXIFS(BD!$A$3:$A$5001,BD!$B$3:$B$5001,P$245,BD!$A$3:$A$5001,"&gt;="&amp;$C$7,BD!$A$3:$A$5001,"&lt;="&amp;$B276,BD!$AA$3:$AA$5001,"&lt;&gt;"))))</f>
        <v/>
      </c>
      <c r="Q276" s="43" t="str">
        <f>IF(OR($B276="",$A276&gt;$B$9,Q$245=""),"",IF(COUNTIFS(BD!$B$3:$B$5001,Q$245,BD!$A$3:$A$5001,"&gt;="&amp;$C$7,BD!$A$3:$A$5001,"&lt;="&amp;$B276,BD!$AA$3:$AA$5001,"&lt;&gt;")=0,"",SUMIFS(BD!$AA$3:$AA$5001,BD!$B$3:$B$5001,Q$245,BD!$A$3:$A$5001,_xlfn.MAXIFS(BD!$A$3:$A$5001,BD!$B$3:$B$5001,Q$245,BD!$A$3:$A$5001,"&gt;="&amp;$C$7,BD!$A$3:$A$5001,"&lt;="&amp;$B276,BD!$AA$3:$AA$5001,"&lt;&gt;"))))</f>
        <v/>
      </c>
      <c r="R276" s="43" t="str">
        <f>IF(OR($B276="",$A276&gt;$B$9,R$245=""),"",IF(COUNTIFS(BD!$B$3:$B$5001,R$245,BD!$A$3:$A$5001,"&gt;="&amp;$C$7,BD!$A$3:$A$5001,"&lt;="&amp;$B276,BD!$AA$3:$AA$5001,"&lt;&gt;")=0,"",SUMIFS(BD!$AA$3:$AA$5001,BD!$B$3:$B$5001,R$245,BD!$A$3:$A$5001,_xlfn.MAXIFS(BD!$A$3:$A$5001,BD!$B$3:$B$5001,R$245,BD!$A$3:$A$5001,"&gt;="&amp;$C$7,BD!$A$3:$A$5001,"&lt;="&amp;$B276,BD!$AA$3:$AA$5001,"&lt;&gt;"))))</f>
        <v/>
      </c>
      <c r="S276" s="43" t="str">
        <f>IF(OR($B276="",$A276&gt;$B$9,S$245=""),"",IF(COUNTIFS(BD!$B$3:$B$5001,S$245,BD!$A$3:$A$5001,"&gt;="&amp;$C$7,BD!$A$3:$A$5001,"&lt;="&amp;$B276,BD!$AA$3:$AA$5001,"&lt;&gt;")=0,"",SUMIFS(BD!$AA$3:$AA$5001,BD!$B$3:$B$5001,S$245,BD!$A$3:$A$5001,_xlfn.MAXIFS(BD!$A$3:$A$5001,BD!$B$3:$B$5001,S$245,BD!$A$3:$A$5001,"&gt;="&amp;$C$7,BD!$A$3:$A$5001,"&lt;="&amp;$B276,BD!$AA$3:$AA$5001,"&lt;&gt;"))))</f>
        <v/>
      </c>
      <c r="T276" s="43" t="str">
        <f>IF(OR($B276="",$A276&gt;$B$9,T$245=""),"",IF(COUNTIFS(BD!$B$3:$B$5001,T$245,BD!$A$3:$A$5001,"&gt;="&amp;$C$7,BD!$A$3:$A$5001,"&lt;="&amp;$B276,BD!$AA$3:$AA$5001,"&lt;&gt;")=0,"",SUMIFS(BD!$AA$3:$AA$5001,BD!$B$3:$B$5001,T$245,BD!$A$3:$A$5001,_xlfn.MAXIFS(BD!$A$3:$A$5001,BD!$B$3:$B$5001,T$245,BD!$A$3:$A$5001,"&gt;="&amp;$C$7,BD!$A$3:$A$5001,"&lt;="&amp;$B276,BD!$AA$3:$AA$5001,"&lt;&gt;"))))</f>
        <v/>
      </c>
      <c r="U276" s="43" t="str">
        <f>IF(OR($B276="",$A276&gt;$B$9,U$245=""),"",IF(COUNTIFS(BD!$B$3:$B$5001,U$245,BD!$A$3:$A$5001,"&gt;="&amp;$C$7,BD!$A$3:$A$5001,"&lt;="&amp;$B276,BD!$AA$3:$AA$5001,"&lt;&gt;")=0,"",SUMIFS(BD!$AA$3:$AA$5001,BD!$B$3:$B$5001,U$245,BD!$A$3:$A$5001,_xlfn.MAXIFS(BD!$A$3:$A$5001,BD!$B$3:$B$5001,U$245,BD!$A$3:$A$5001,"&gt;="&amp;$C$7,BD!$A$3:$A$5001,"&lt;="&amp;$B276,BD!$AA$3:$AA$5001,"&lt;&gt;"))))</f>
        <v/>
      </c>
      <c r="V276" s="43" t="str">
        <f>IF(OR($B276="",$A276&gt;$B$9,V$245=""),"",IF(COUNTIFS(BD!$B$3:$B$5001,V$245,BD!$A$3:$A$5001,"&gt;="&amp;$C$7,BD!$A$3:$A$5001,"&lt;="&amp;$B276,BD!$AA$3:$AA$5001,"&lt;&gt;")=0,"",SUMIFS(BD!$AA$3:$AA$5001,BD!$B$3:$B$5001,V$245,BD!$A$3:$A$5001,_xlfn.MAXIFS(BD!$A$3:$A$5001,BD!$B$3:$B$5001,V$245,BD!$A$3:$A$5001,"&gt;="&amp;$C$7,BD!$A$3:$A$5001,"&lt;="&amp;$B276,BD!$AA$3:$AA$5001,"&lt;&gt;"))))</f>
        <v/>
      </c>
    </row>
    <row r="277">
      <c r="A277" s="44" t="inlineStr">
        <is>
          <t xml:space="preserve">Mês anterior (último)</t>
        </is>
      </c>
      <c r="C277" s="45" t="str">
        <f>IF(C$245="","",IF(COUNTIFS(BD!$B$3:$B$5001,C$245,BD!$A$3:$A$5001,"&gt;="&amp;$C$8,BD!$A$3:$A$5001,"&lt;="&amp;$D$8,BD!$AA$3:$AA$5001,"&lt;&gt;")=0,"",SUMIFS(BD!$AA$3:$AA$5001,BD!$B$3:$B$5001,C$245,BD!$A$3:$A$5001,_xlfn.MAXIFS(BD!$A$3:$A$5001,BD!$B$3:$B$5001,C$245,BD!$A$3:$A$5001,"&gt;="&amp;$C$8,BD!$A$3:$A$5001,"&lt;="&amp;$D$8,BD!$AA$3:$AA$5001,"&lt;&gt;"))))</f>
        <v/>
      </c>
      <c r="D277" s="45" t="str">
        <f>IF(D$245="","",IF(COUNTIFS(BD!$B$3:$B$5001,D$245,BD!$A$3:$A$5001,"&gt;="&amp;$C$8,BD!$A$3:$A$5001,"&lt;="&amp;$D$8,BD!$AA$3:$AA$5001,"&lt;&gt;")=0,"",SUMIFS(BD!$AA$3:$AA$5001,BD!$B$3:$B$5001,D$245,BD!$A$3:$A$5001,_xlfn.MAXIFS(BD!$A$3:$A$5001,BD!$B$3:$B$5001,D$245,BD!$A$3:$A$5001,"&gt;="&amp;$C$8,BD!$A$3:$A$5001,"&lt;="&amp;$D$8,BD!$AA$3:$AA$5001,"&lt;&gt;"))))</f>
        <v/>
      </c>
      <c r="E277" s="45" t="str">
        <f>IF(E$245="","",IF(COUNTIFS(BD!$B$3:$B$5001,E$245,BD!$A$3:$A$5001,"&gt;="&amp;$C$8,BD!$A$3:$A$5001,"&lt;="&amp;$D$8,BD!$AA$3:$AA$5001,"&lt;&gt;")=0,"",SUMIFS(BD!$AA$3:$AA$5001,BD!$B$3:$B$5001,E$245,BD!$A$3:$A$5001,_xlfn.MAXIFS(BD!$A$3:$A$5001,BD!$B$3:$B$5001,E$245,BD!$A$3:$A$5001,"&gt;="&amp;$C$8,BD!$A$3:$A$5001,"&lt;="&amp;$D$8,BD!$AA$3:$AA$5001,"&lt;&gt;"))))</f>
        <v/>
      </c>
      <c r="F277" s="45" t="str">
        <f>IF(F$245="","",IF(COUNTIFS(BD!$B$3:$B$5001,F$245,BD!$A$3:$A$5001,"&gt;="&amp;$C$8,BD!$A$3:$A$5001,"&lt;="&amp;$D$8,BD!$AA$3:$AA$5001,"&lt;&gt;")=0,"",SUMIFS(BD!$AA$3:$AA$5001,BD!$B$3:$B$5001,F$245,BD!$A$3:$A$5001,_xlfn.MAXIFS(BD!$A$3:$A$5001,BD!$B$3:$B$5001,F$245,BD!$A$3:$A$5001,"&gt;="&amp;$C$8,BD!$A$3:$A$5001,"&lt;="&amp;$D$8,BD!$AA$3:$AA$5001,"&lt;&gt;"))))</f>
        <v/>
      </c>
      <c r="G277" s="45" t="str">
        <f>IF(G$245="","",IF(COUNTIFS(BD!$B$3:$B$5001,G$245,BD!$A$3:$A$5001,"&gt;="&amp;$C$8,BD!$A$3:$A$5001,"&lt;="&amp;$D$8,BD!$AA$3:$AA$5001,"&lt;&gt;")=0,"",SUMIFS(BD!$AA$3:$AA$5001,BD!$B$3:$B$5001,G$245,BD!$A$3:$A$5001,_xlfn.MAXIFS(BD!$A$3:$A$5001,BD!$B$3:$B$5001,G$245,BD!$A$3:$A$5001,"&gt;="&amp;$C$8,BD!$A$3:$A$5001,"&lt;="&amp;$D$8,BD!$AA$3:$AA$5001,"&lt;&gt;"))))</f>
        <v/>
      </c>
      <c r="H277" s="45" t="str">
        <f>IF(H$245="","",IF(COUNTIFS(BD!$B$3:$B$5001,H$245,BD!$A$3:$A$5001,"&gt;="&amp;$C$8,BD!$A$3:$A$5001,"&lt;="&amp;$D$8,BD!$AA$3:$AA$5001,"&lt;&gt;")=0,"",SUMIFS(BD!$AA$3:$AA$5001,BD!$B$3:$B$5001,H$245,BD!$A$3:$A$5001,_xlfn.MAXIFS(BD!$A$3:$A$5001,BD!$B$3:$B$5001,H$245,BD!$A$3:$A$5001,"&gt;="&amp;$C$8,BD!$A$3:$A$5001,"&lt;="&amp;$D$8,BD!$AA$3:$AA$5001,"&lt;&gt;"))))</f>
        <v/>
      </c>
      <c r="I277" s="45" t="str">
        <f>IF(I$245="","",IF(COUNTIFS(BD!$B$3:$B$5001,I$245,BD!$A$3:$A$5001,"&gt;="&amp;$C$8,BD!$A$3:$A$5001,"&lt;="&amp;$D$8,BD!$AA$3:$AA$5001,"&lt;&gt;")=0,"",SUMIFS(BD!$AA$3:$AA$5001,BD!$B$3:$B$5001,I$245,BD!$A$3:$A$5001,_xlfn.MAXIFS(BD!$A$3:$A$5001,BD!$B$3:$B$5001,I$245,BD!$A$3:$A$5001,"&gt;="&amp;$C$8,BD!$A$3:$A$5001,"&lt;="&amp;$D$8,BD!$AA$3:$AA$5001,"&lt;&gt;"))))</f>
        <v/>
      </c>
      <c r="J277" s="45" t="str">
        <f>IF(J$245="","",IF(COUNTIFS(BD!$B$3:$B$5001,J$245,BD!$A$3:$A$5001,"&gt;="&amp;$C$8,BD!$A$3:$A$5001,"&lt;="&amp;$D$8,BD!$AA$3:$AA$5001,"&lt;&gt;")=0,"",SUMIFS(BD!$AA$3:$AA$5001,BD!$B$3:$B$5001,J$245,BD!$A$3:$A$5001,_xlfn.MAXIFS(BD!$A$3:$A$5001,BD!$B$3:$B$5001,J$245,BD!$A$3:$A$5001,"&gt;="&amp;$C$8,BD!$A$3:$A$5001,"&lt;="&amp;$D$8,BD!$AA$3:$AA$5001,"&lt;&gt;"))))</f>
        <v/>
      </c>
      <c r="K277" s="45" t="str">
        <f>IF(K$245="","",IF(COUNTIFS(BD!$B$3:$B$5001,K$245,BD!$A$3:$A$5001,"&gt;="&amp;$C$8,BD!$A$3:$A$5001,"&lt;="&amp;$D$8,BD!$AA$3:$AA$5001,"&lt;&gt;")=0,"",SUMIFS(BD!$AA$3:$AA$5001,BD!$B$3:$B$5001,K$245,BD!$A$3:$A$5001,_xlfn.MAXIFS(BD!$A$3:$A$5001,BD!$B$3:$B$5001,K$245,BD!$A$3:$A$5001,"&gt;="&amp;$C$8,BD!$A$3:$A$5001,"&lt;="&amp;$D$8,BD!$AA$3:$AA$5001,"&lt;&gt;"))))</f>
        <v/>
      </c>
      <c r="L277" s="45" t="str">
        <f>IF(L$245="","",IF(COUNTIFS(BD!$B$3:$B$5001,L$245,BD!$A$3:$A$5001,"&gt;="&amp;$C$8,BD!$A$3:$A$5001,"&lt;="&amp;$D$8,BD!$AA$3:$AA$5001,"&lt;&gt;")=0,"",SUMIFS(BD!$AA$3:$AA$5001,BD!$B$3:$B$5001,L$245,BD!$A$3:$A$5001,_xlfn.MAXIFS(BD!$A$3:$A$5001,BD!$B$3:$B$5001,L$245,BD!$A$3:$A$5001,"&gt;="&amp;$C$8,BD!$A$3:$A$5001,"&lt;="&amp;$D$8,BD!$AA$3:$AA$5001,"&lt;&gt;"))))</f>
        <v/>
      </c>
      <c r="M277" s="45" t="str">
        <f>IF(M$245="","",IF(COUNTIFS(BD!$B$3:$B$5001,M$245,BD!$A$3:$A$5001,"&gt;="&amp;$C$8,BD!$A$3:$A$5001,"&lt;="&amp;$D$8,BD!$AA$3:$AA$5001,"&lt;&gt;")=0,"",SUMIFS(BD!$AA$3:$AA$5001,BD!$B$3:$B$5001,M$245,BD!$A$3:$A$5001,_xlfn.MAXIFS(BD!$A$3:$A$5001,BD!$B$3:$B$5001,M$245,BD!$A$3:$A$5001,"&gt;="&amp;$C$8,BD!$A$3:$A$5001,"&lt;="&amp;$D$8,BD!$AA$3:$AA$5001,"&lt;&gt;"))))</f>
        <v/>
      </c>
      <c r="N277" s="45" t="str">
        <f>IF(N$245="","",IF(COUNTIFS(BD!$B$3:$B$5001,N$245,BD!$A$3:$A$5001,"&gt;="&amp;$C$8,BD!$A$3:$A$5001,"&lt;="&amp;$D$8,BD!$AA$3:$AA$5001,"&lt;&gt;")=0,"",SUMIFS(BD!$AA$3:$AA$5001,BD!$B$3:$B$5001,N$245,BD!$A$3:$A$5001,_xlfn.MAXIFS(BD!$A$3:$A$5001,BD!$B$3:$B$5001,N$245,BD!$A$3:$A$5001,"&gt;="&amp;$C$8,BD!$A$3:$A$5001,"&lt;="&amp;$D$8,BD!$AA$3:$AA$5001,"&lt;&gt;"))))</f>
        <v/>
      </c>
      <c r="O277" s="45" t="str">
        <f>IF(O$245="","",IF(COUNTIFS(BD!$B$3:$B$5001,O$245,BD!$A$3:$A$5001,"&gt;="&amp;$C$8,BD!$A$3:$A$5001,"&lt;="&amp;$D$8,BD!$AA$3:$AA$5001,"&lt;&gt;")=0,"",SUMIFS(BD!$AA$3:$AA$5001,BD!$B$3:$B$5001,O$245,BD!$A$3:$A$5001,_xlfn.MAXIFS(BD!$A$3:$A$5001,BD!$B$3:$B$5001,O$245,BD!$A$3:$A$5001,"&gt;="&amp;$C$8,BD!$A$3:$A$5001,"&lt;="&amp;$D$8,BD!$AA$3:$AA$5001,"&lt;&gt;"))))</f>
        <v/>
      </c>
      <c r="P277" s="45" t="str">
        <f>IF(P$245="","",IF(COUNTIFS(BD!$B$3:$B$5001,P$245,BD!$A$3:$A$5001,"&gt;="&amp;$C$8,BD!$A$3:$A$5001,"&lt;="&amp;$D$8,BD!$AA$3:$AA$5001,"&lt;&gt;")=0,"",SUMIFS(BD!$AA$3:$AA$5001,BD!$B$3:$B$5001,P$245,BD!$A$3:$A$5001,_xlfn.MAXIFS(BD!$A$3:$A$5001,BD!$B$3:$B$5001,P$245,BD!$A$3:$A$5001,"&gt;="&amp;$C$8,BD!$A$3:$A$5001,"&lt;="&amp;$D$8,BD!$AA$3:$AA$5001,"&lt;&gt;"))))</f>
        <v/>
      </c>
      <c r="Q277" s="45" t="str">
        <f>IF(Q$245="","",IF(COUNTIFS(BD!$B$3:$B$5001,Q$245,BD!$A$3:$A$5001,"&gt;="&amp;$C$8,BD!$A$3:$A$5001,"&lt;="&amp;$D$8,BD!$AA$3:$AA$5001,"&lt;&gt;")=0,"",SUMIFS(BD!$AA$3:$AA$5001,BD!$B$3:$B$5001,Q$245,BD!$A$3:$A$5001,_xlfn.MAXIFS(BD!$A$3:$A$5001,BD!$B$3:$B$5001,Q$245,BD!$A$3:$A$5001,"&gt;="&amp;$C$8,BD!$A$3:$A$5001,"&lt;="&amp;$D$8,BD!$AA$3:$AA$5001,"&lt;&gt;"))))</f>
        <v/>
      </c>
      <c r="R277" s="45" t="str">
        <f>IF(R$245="","",IF(COUNTIFS(BD!$B$3:$B$5001,R$245,BD!$A$3:$A$5001,"&gt;="&amp;$C$8,BD!$A$3:$A$5001,"&lt;="&amp;$D$8,BD!$AA$3:$AA$5001,"&lt;&gt;")=0,"",SUMIFS(BD!$AA$3:$AA$5001,BD!$B$3:$B$5001,R$245,BD!$A$3:$A$5001,_xlfn.MAXIFS(BD!$A$3:$A$5001,BD!$B$3:$B$5001,R$245,BD!$A$3:$A$5001,"&gt;="&amp;$C$8,BD!$A$3:$A$5001,"&lt;="&amp;$D$8,BD!$AA$3:$AA$5001,"&lt;&gt;"))))</f>
        <v/>
      </c>
      <c r="S277" s="45" t="str">
        <f>IF(S$245="","",IF(COUNTIFS(BD!$B$3:$B$5001,S$245,BD!$A$3:$A$5001,"&gt;="&amp;$C$8,BD!$A$3:$A$5001,"&lt;="&amp;$D$8,BD!$AA$3:$AA$5001,"&lt;&gt;")=0,"",SUMIFS(BD!$AA$3:$AA$5001,BD!$B$3:$B$5001,S$245,BD!$A$3:$A$5001,_xlfn.MAXIFS(BD!$A$3:$A$5001,BD!$B$3:$B$5001,S$245,BD!$A$3:$A$5001,"&gt;="&amp;$C$8,BD!$A$3:$A$5001,"&lt;="&amp;$D$8,BD!$AA$3:$AA$5001,"&lt;&gt;"))))</f>
        <v/>
      </c>
      <c r="T277" s="45" t="str">
        <f>IF(T$245="","",IF(COUNTIFS(BD!$B$3:$B$5001,T$245,BD!$A$3:$A$5001,"&gt;="&amp;$C$8,BD!$A$3:$A$5001,"&lt;="&amp;$D$8,BD!$AA$3:$AA$5001,"&lt;&gt;")=0,"",SUMIFS(BD!$AA$3:$AA$5001,BD!$B$3:$B$5001,T$245,BD!$A$3:$A$5001,_xlfn.MAXIFS(BD!$A$3:$A$5001,BD!$B$3:$B$5001,T$245,BD!$A$3:$A$5001,"&gt;="&amp;$C$8,BD!$A$3:$A$5001,"&lt;="&amp;$D$8,BD!$AA$3:$AA$5001,"&lt;&gt;"))))</f>
        <v/>
      </c>
      <c r="U277" s="45" t="str">
        <f>IF(U$245="","",IF(COUNTIFS(BD!$B$3:$B$5001,U$245,BD!$A$3:$A$5001,"&gt;="&amp;$C$8,BD!$A$3:$A$5001,"&lt;="&amp;$D$8,BD!$AA$3:$AA$5001,"&lt;&gt;")=0,"",SUMIFS(BD!$AA$3:$AA$5001,BD!$B$3:$B$5001,U$245,BD!$A$3:$A$5001,_xlfn.MAXIFS(BD!$A$3:$A$5001,BD!$B$3:$B$5001,U$245,BD!$A$3:$A$5001,"&gt;="&amp;$C$8,BD!$A$3:$A$5001,"&lt;="&amp;$D$8,BD!$AA$3:$AA$5001,"&lt;&gt;"))))</f>
        <v/>
      </c>
      <c r="V277" s="45" t="str">
        <f>IF(V$245="","",IF(COUNTIFS(BD!$B$3:$B$5001,V$245,BD!$A$3:$A$5001,"&gt;="&amp;$C$8,BD!$A$3:$A$5001,"&lt;="&amp;$D$8,BD!$AA$3:$AA$5001,"&lt;&gt;")=0,"",SUMIFS(BD!$AA$3:$AA$5001,BD!$B$3:$B$5001,V$245,BD!$A$3:$A$5001,_xlfn.MAXIFS(BD!$A$3:$A$5001,BD!$B$3:$B$5001,V$245,BD!$A$3:$A$5001,"&gt;="&amp;$C$8,BD!$A$3:$A$5001,"&lt;="&amp;$D$8,BD!$AA$3:$AA$5001,"&lt;&gt;"))))</f>
        <v/>
      </c>
    </row>
    <row r="278">
      <c r="A278" s="44" t="inlineStr">
        <is>
          <t xml:space="preserve">Depósito</t>
        </is>
      </c>
      <c r="C278" s="38" t="str">
        <f>IF(Config!$C$10="","TPC",Config!$C$10)</f>
        <v>TPC</v>
      </c>
      <c r="D278" s="38" t="str">
        <f>IF(Config!$C$11="","TPC",Config!$C$11)</f>
        <v>TPC</v>
      </c>
      <c r="E278" s="38" t="str">
        <f>IF(Config!$C$12="","TPC",Config!$C$12)</f>
        <v>TPC</v>
      </c>
      <c r="F278" s="38" t="str">
        <f>IF(Config!$C$13="","TPC",Config!$C$13)</f>
        <v>TPC</v>
      </c>
      <c r="G278" s="38" t="str">
        <f>IF(Config!$C$14="","TPC",Config!$C$14)</f>
        <v>TPC</v>
      </c>
      <c r="H278" s="38" t="str">
        <f>IF(Config!$C$15="","TPC",Config!$C$15)</f>
        <v>TPC</v>
      </c>
      <c r="I278" s="38" t="str">
        <f>IF(Config!$C$16="","TPC",Config!$C$16)</f>
        <v>TPC</v>
      </c>
      <c r="J278" s="38" t="str">
        <f>IF(Config!$C$17="","TPC",Config!$C$17)</f>
        <v>TPC</v>
      </c>
      <c r="K278" s="38" t="str">
        <f>IF(Config!$C$18="","TPC",Config!$C$18)</f>
        <v>TPC</v>
      </c>
      <c r="L278" s="38" t="str">
        <f>IF(Config!$C$19="","TPC",Config!$C$19)</f>
        <v>TPC</v>
      </c>
      <c r="M278" s="38" t="str">
        <f>IF(Config!$C$20="","TPC",Config!$C$20)</f>
        <v>TPC</v>
      </c>
      <c r="N278" s="38" t="str">
        <f>IF(Config!$C$21="","TPC",Config!$C$21)</f>
        <v>TPC</v>
      </c>
      <c r="O278" s="38" t="str">
        <f>IF(Config!$C$22="","TPC",Config!$C$22)</f>
        <v>TPC</v>
      </c>
      <c r="P278" s="38" t="str">
        <f>IF(Config!$C$23="","TPC",Config!$C$23)</f>
        <v>TPC</v>
      </c>
      <c r="Q278" s="38" t="str">
        <f>IF(Config!$C$24="","TPC",Config!$C$24)</f>
        <v>TPC</v>
      </c>
      <c r="R278" s="38" t="str">
        <f>IF(Config!$C$25="","TPC",Config!$C$25)</f>
        <v>TPC</v>
      </c>
      <c r="S278" s="38" t="str">
        <f>IF(Config!$C$26="","TPC",Config!$C$26)</f>
        <v>TPC</v>
      </c>
      <c r="T278" s="38" t="str">
        <f>IF(Config!$C$27="","TPC",Config!$C$27)</f>
        <v>TPC</v>
      </c>
      <c r="U278" s="38" t="str">
        <f>IF(Config!$C$28="","TPC",Config!$C$28)</f>
        <v>TPC</v>
      </c>
      <c r="V278" s="38" t="str">
        <f>IF(Config!$C$29="","TPC",Config!$C$29)</f>
        <v>TPC</v>
      </c>
    </row>
    <row r="282">
      <c r="A282" s="19" t="inlineStr">
        <is>
          <t xml:space="preserve">PERÍODO DO DASHBOARD — último valor de cada cliente no período (backlog, posições, efetivo)</t>
        </is>
      </c>
    </row>
    <row r="283" ht="30" customHeight="1">
      <c r="A283" s="37" t="inlineStr">
        <is>
          <t xml:space="preserve">Cliente</t>
        </is>
      </c>
      <c r="B283" s="37" t="inlineStr">
        <is>
          <t xml:space="preserve">Depósito</t>
        </is>
      </c>
      <c r="C283" s="37" t="inlineStr">
        <is>
          <t xml:space="preserve">Backlog · período</t>
        </is>
      </c>
      <c r="D283" s="37" t="inlineStr">
        <is>
          <t xml:space="preserve">Backlog · anterior</t>
        </is>
      </c>
      <c r="E283" s="37" t="inlineStr">
        <is>
          <t xml:space="preserve">Posições Ocupadas · período</t>
        </is>
      </c>
      <c r="F283" s="37" t="inlineStr">
        <is>
          <t xml:space="preserve">Posições Ocupadas · anterior</t>
        </is>
      </c>
      <c r="G283" s="37" t="inlineStr">
        <is>
          <t xml:space="preserve">Posições Disponíveis · período</t>
        </is>
      </c>
      <c r="H283" s="37" t="inlineStr">
        <is>
          <t xml:space="preserve">Posições Disponíveis · anterior</t>
        </is>
      </c>
      <c r="I283" s="37" t="inlineStr">
        <is>
          <t xml:space="preserve">Efetivo Op. · período</t>
        </is>
      </c>
      <c r="J283" s="37" t="inlineStr">
        <is>
          <t xml:space="preserve">Efetivo Op. · anterior</t>
        </is>
      </c>
    </row>
    <row r="284">
      <c r="A284" s="65" t="str">
        <f>Config!$B$10&amp;""</f>
        <v>Alpargatas</v>
      </c>
      <c r="B284" s="38" t="str">
        <f>IF(Config!$C$10="","TPC",Config!$C$10)</f>
        <v>TPC</v>
      </c>
      <c r="C284" s="43" t="str">
        <f>IF($A284="","",IF(COUNTIFS(BD!$B$3:$B$5001,$A284,BD!$A$3:$A$5001,"&gt;="&amp;$F$7,BD!$A$3:$A$5001,"&lt;="&amp;$G$7,BD!$X$3:$X$5001,"&lt;&gt;")=0,"",SUMIFS(BD!$X$3:$X$5001,BD!$B$3:$B$5001,$A284,BD!$A$3:$A$5001,_xlfn.MAXIFS(BD!$A$3:$A$5001,BD!$B$3:$B$5001,$A284,BD!$A$3:$A$5001,"&gt;="&amp;$F$7,BD!$A$3:$A$5001,"&lt;="&amp;$G$7,BD!$X$3:$X$5001,"&lt;&gt;"))))</f>
        <v/>
      </c>
      <c r="D284" s="43" t="str">
        <f>IF($A284="","",IF(COUNTIFS(BD!$B$3:$B$5001,$A284,BD!$A$3:$A$5001,"&gt;="&amp;$F$8,BD!$A$3:$A$5001,"&lt;="&amp;$G$8,BD!$X$3:$X$5001,"&lt;&gt;")=0,"",SUMIFS(BD!$X$3:$X$5001,BD!$B$3:$B$5001,$A284,BD!$A$3:$A$5001,_xlfn.MAXIFS(BD!$A$3:$A$5001,BD!$B$3:$B$5001,$A284,BD!$A$3:$A$5001,"&gt;="&amp;$F$8,BD!$A$3:$A$5001,"&lt;="&amp;$G$8,BD!$X$3:$X$5001,"&lt;&gt;"))))</f>
        <v/>
      </c>
      <c r="E284" s="43" t="str">
        <f>IF($A284="","",IF(COUNTIFS(BD!$B$3:$B$5001,$A284,BD!$A$3:$A$5001,"&gt;="&amp;$F$7,BD!$A$3:$A$5001,"&lt;="&amp;$G$7,BD!$Z$3:$Z$5001,"&lt;&gt;")=0,"",SUMIFS(BD!$Z$3:$Z$5001,BD!$B$3:$B$5001,$A284,BD!$A$3:$A$5001,_xlfn.MAXIFS(BD!$A$3:$A$5001,BD!$B$3:$B$5001,$A284,BD!$A$3:$A$5001,"&gt;="&amp;$F$7,BD!$A$3:$A$5001,"&lt;="&amp;$G$7,BD!$Z$3:$Z$5001,"&lt;&gt;"))))</f>
        <v/>
      </c>
      <c r="F284" s="43" t="str">
        <f>IF($A284="","",IF(COUNTIFS(BD!$B$3:$B$5001,$A284,BD!$A$3:$A$5001,"&gt;="&amp;$F$8,BD!$A$3:$A$5001,"&lt;="&amp;$G$8,BD!$Z$3:$Z$5001,"&lt;&gt;")=0,"",SUMIFS(BD!$Z$3:$Z$5001,BD!$B$3:$B$5001,$A284,BD!$A$3:$A$5001,_xlfn.MAXIFS(BD!$A$3:$A$5001,BD!$B$3:$B$5001,$A284,BD!$A$3:$A$5001,"&gt;="&amp;$F$8,BD!$A$3:$A$5001,"&lt;="&amp;$G$8,BD!$Z$3:$Z$5001,"&lt;&gt;"))))</f>
        <v/>
      </c>
      <c r="G284" s="43" t="str">
        <f>IF($A284="","",IF(COUNTIFS(BD!$B$3:$B$5001,$A284,BD!$A$3:$A$5001,"&gt;="&amp;$F$7,BD!$A$3:$A$5001,"&lt;="&amp;$G$7,BD!$Y$3:$Y$5001,"&lt;&gt;")=0,"",SUMIFS(BD!$Y$3:$Y$5001,BD!$B$3:$B$5001,$A284,BD!$A$3:$A$5001,_xlfn.MAXIFS(BD!$A$3:$A$5001,BD!$B$3:$B$5001,$A284,BD!$A$3:$A$5001,"&gt;="&amp;$F$7,BD!$A$3:$A$5001,"&lt;="&amp;$G$7,BD!$Y$3:$Y$5001,"&lt;&gt;"))))</f>
        <v/>
      </c>
      <c r="H284" s="43" t="str">
        <f>IF($A284="","",IF(COUNTIFS(BD!$B$3:$B$5001,$A284,BD!$A$3:$A$5001,"&gt;="&amp;$F$8,BD!$A$3:$A$5001,"&lt;="&amp;$G$8,BD!$Y$3:$Y$5001,"&lt;&gt;")=0,"",SUMIFS(BD!$Y$3:$Y$5001,BD!$B$3:$B$5001,$A284,BD!$A$3:$A$5001,_xlfn.MAXIFS(BD!$A$3:$A$5001,BD!$B$3:$B$5001,$A284,BD!$A$3:$A$5001,"&gt;="&amp;$F$8,BD!$A$3:$A$5001,"&lt;="&amp;$G$8,BD!$Y$3:$Y$5001,"&lt;&gt;"))))</f>
        <v/>
      </c>
      <c r="I284" s="43" t="str">
        <f>IF($A284="","",IF(COUNTIFS(BD!$B$3:$B$5001,$A284,BD!$A$3:$A$5001,"&gt;="&amp;$F$7,BD!$A$3:$A$5001,"&lt;="&amp;$G$7,BD!$AA$3:$AA$5001,"&lt;&gt;")=0,"",SUMIFS(BD!$AA$3:$AA$5001,BD!$B$3:$B$5001,$A284,BD!$A$3:$A$5001,_xlfn.MAXIFS(BD!$A$3:$A$5001,BD!$B$3:$B$5001,$A284,BD!$A$3:$A$5001,"&gt;="&amp;$F$7,BD!$A$3:$A$5001,"&lt;="&amp;$G$7,BD!$AA$3:$AA$5001,"&lt;&gt;"))))</f>
        <v/>
      </c>
      <c r="J284" s="43" t="str">
        <f>IF($A284="","",IF(COUNTIFS(BD!$B$3:$B$5001,$A284,BD!$A$3:$A$5001,"&gt;="&amp;$F$8,BD!$A$3:$A$5001,"&lt;="&amp;$G$8,BD!$AA$3:$AA$5001,"&lt;&gt;")=0,"",SUMIFS(BD!$AA$3:$AA$5001,BD!$B$3:$B$5001,$A284,BD!$A$3:$A$5001,_xlfn.MAXIFS(BD!$A$3:$A$5001,BD!$B$3:$B$5001,$A284,BD!$A$3:$A$5001,"&gt;="&amp;$F$8,BD!$A$3:$A$5001,"&lt;="&amp;$G$8,BD!$AA$3:$AA$5001,"&lt;&gt;"))))</f>
        <v/>
      </c>
    </row>
    <row r="285">
      <c r="A285" s="65" t="str">
        <f>Config!$B$11&amp;""</f>
        <v>Basf</v>
      </c>
      <c r="B285" s="38" t="str">
        <f>IF(Config!$C$11="","TPC",Config!$C$11)</f>
        <v>TPC</v>
      </c>
      <c r="C285" s="43" t="str">
        <f>IF($A285="","",IF(COUNTIFS(BD!$B$3:$B$5001,$A285,BD!$A$3:$A$5001,"&gt;="&amp;$F$7,BD!$A$3:$A$5001,"&lt;="&amp;$G$7,BD!$X$3:$X$5001,"&lt;&gt;")=0,"",SUMIFS(BD!$X$3:$X$5001,BD!$B$3:$B$5001,$A285,BD!$A$3:$A$5001,_xlfn.MAXIFS(BD!$A$3:$A$5001,BD!$B$3:$B$5001,$A285,BD!$A$3:$A$5001,"&gt;="&amp;$F$7,BD!$A$3:$A$5001,"&lt;="&amp;$G$7,BD!$X$3:$X$5001,"&lt;&gt;"))))</f>
        <v/>
      </c>
      <c r="D285" s="43" t="str">
        <f>IF($A285="","",IF(COUNTIFS(BD!$B$3:$B$5001,$A285,BD!$A$3:$A$5001,"&gt;="&amp;$F$8,BD!$A$3:$A$5001,"&lt;="&amp;$G$8,BD!$X$3:$X$5001,"&lt;&gt;")=0,"",SUMIFS(BD!$X$3:$X$5001,BD!$B$3:$B$5001,$A285,BD!$A$3:$A$5001,_xlfn.MAXIFS(BD!$A$3:$A$5001,BD!$B$3:$B$5001,$A285,BD!$A$3:$A$5001,"&gt;="&amp;$F$8,BD!$A$3:$A$5001,"&lt;="&amp;$G$8,BD!$X$3:$X$5001,"&lt;&gt;"))))</f>
        <v/>
      </c>
      <c r="E285" s="43" t="str">
        <f>IF($A285="","",IF(COUNTIFS(BD!$B$3:$B$5001,$A285,BD!$A$3:$A$5001,"&gt;="&amp;$F$7,BD!$A$3:$A$5001,"&lt;="&amp;$G$7,BD!$Z$3:$Z$5001,"&lt;&gt;")=0,"",SUMIFS(BD!$Z$3:$Z$5001,BD!$B$3:$B$5001,$A285,BD!$A$3:$A$5001,_xlfn.MAXIFS(BD!$A$3:$A$5001,BD!$B$3:$B$5001,$A285,BD!$A$3:$A$5001,"&gt;="&amp;$F$7,BD!$A$3:$A$5001,"&lt;="&amp;$G$7,BD!$Z$3:$Z$5001,"&lt;&gt;"))))</f>
        <v/>
      </c>
      <c r="F285" s="43" t="str">
        <f>IF($A285="","",IF(COUNTIFS(BD!$B$3:$B$5001,$A285,BD!$A$3:$A$5001,"&gt;="&amp;$F$8,BD!$A$3:$A$5001,"&lt;="&amp;$G$8,BD!$Z$3:$Z$5001,"&lt;&gt;")=0,"",SUMIFS(BD!$Z$3:$Z$5001,BD!$B$3:$B$5001,$A285,BD!$A$3:$A$5001,_xlfn.MAXIFS(BD!$A$3:$A$5001,BD!$B$3:$B$5001,$A285,BD!$A$3:$A$5001,"&gt;="&amp;$F$8,BD!$A$3:$A$5001,"&lt;="&amp;$G$8,BD!$Z$3:$Z$5001,"&lt;&gt;"))))</f>
        <v/>
      </c>
      <c r="G285" s="43" t="str">
        <f>IF($A285="","",IF(COUNTIFS(BD!$B$3:$B$5001,$A285,BD!$A$3:$A$5001,"&gt;="&amp;$F$7,BD!$A$3:$A$5001,"&lt;="&amp;$G$7,BD!$Y$3:$Y$5001,"&lt;&gt;")=0,"",SUMIFS(BD!$Y$3:$Y$5001,BD!$B$3:$B$5001,$A285,BD!$A$3:$A$5001,_xlfn.MAXIFS(BD!$A$3:$A$5001,BD!$B$3:$B$5001,$A285,BD!$A$3:$A$5001,"&gt;="&amp;$F$7,BD!$A$3:$A$5001,"&lt;="&amp;$G$7,BD!$Y$3:$Y$5001,"&lt;&gt;"))))</f>
        <v/>
      </c>
      <c r="H285" s="43" t="str">
        <f>IF($A285="","",IF(COUNTIFS(BD!$B$3:$B$5001,$A285,BD!$A$3:$A$5001,"&gt;="&amp;$F$8,BD!$A$3:$A$5001,"&lt;="&amp;$G$8,BD!$Y$3:$Y$5001,"&lt;&gt;")=0,"",SUMIFS(BD!$Y$3:$Y$5001,BD!$B$3:$B$5001,$A285,BD!$A$3:$A$5001,_xlfn.MAXIFS(BD!$A$3:$A$5001,BD!$B$3:$B$5001,$A285,BD!$A$3:$A$5001,"&gt;="&amp;$F$8,BD!$A$3:$A$5001,"&lt;="&amp;$G$8,BD!$Y$3:$Y$5001,"&lt;&gt;"))))</f>
        <v/>
      </c>
      <c r="I285" s="43" t="str">
        <f>IF($A285="","",IF(COUNTIFS(BD!$B$3:$B$5001,$A285,BD!$A$3:$A$5001,"&gt;="&amp;$F$7,BD!$A$3:$A$5001,"&lt;="&amp;$G$7,BD!$AA$3:$AA$5001,"&lt;&gt;")=0,"",SUMIFS(BD!$AA$3:$AA$5001,BD!$B$3:$B$5001,$A285,BD!$A$3:$A$5001,_xlfn.MAXIFS(BD!$A$3:$A$5001,BD!$B$3:$B$5001,$A285,BD!$A$3:$A$5001,"&gt;="&amp;$F$7,BD!$A$3:$A$5001,"&lt;="&amp;$G$7,BD!$AA$3:$AA$5001,"&lt;&gt;"))))</f>
        <v/>
      </c>
      <c r="J285" s="43" t="str">
        <f>IF($A285="","",IF(COUNTIFS(BD!$B$3:$B$5001,$A285,BD!$A$3:$A$5001,"&gt;="&amp;$F$8,BD!$A$3:$A$5001,"&lt;="&amp;$G$8,BD!$AA$3:$AA$5001,"&lt;&gt;")=0,"",SUMIFS(BD!$AA$3:$AA$5001,BD!$B$3:$B$5001,$A285,BD!$A$3:$A$5001,_xlfn.MAXIFS(BD!$A$3:$A$5001,BD!$B$3:$B$5001,$A285,BD!$A$3:$A$5001,"&gt;="&amp;$F$8,BD!$A$3:$A$5001,"&lt;="&amp;$G$8,BD!$AA$3:$AA$5001,"&lt;&gt;"))))</f>
        <v/>
      </c>
    </row>
    <row r="286">
      <c r="A286" s="65" t="str">
        <f>Config!$B$12&amp;""</f>
        <v>Beautybiz</v>
      </c>
      <c r="B286" s="38" t="str">
        <f>IF(Config!$C$12="","TPC",Config!$C$12)</f>
        <v>TPC</v>
      </c>
      <c r="C286" s="43" t="str">
        <f>IF($A286="","",IF(COUNTIFS(BD!$B$3:$B$5001,$A286,BD!$A$3:$A$5001,"&gt;="&amp;$F$7,BD!$A$3:$A$5001,"&lt;="&amp;$G$7,BD!$X$3:$X$5001,"&lt;&gt;")=0,"",SUMIFS(BD!$X$3:$X$5001,BD!$B$3:$B$5001,$A286,BD!$A$3:$A$5001,_xlfn.MAXIFS(BD!$A$3:$A$5001,BD!$B$3:$B$5001,$A286,BD!$A$3:$A$5001,"&gt;="&amp;$F$7,BD!$A$3:$A$5001,"&lt;="&amp;$G$7,BD!$X$3:$X$5001,"&lt;&gt;"))))</f>
        <v/>
      </c>
      <c r="D286" s="43" t="str">
        <f>IF($A286="","",IF(COUNTIFS(BD!$B$3:$B$5001,$A286,BD!$A$3:$A$5001,"&gt;="&amp;$F$8,BD!$A$3:$A$5001,"&lt;="&amp;$G$8,BD!$X$3:$X$5001,"&lt;&gt;")=0,"",SUMIFS(BD!$X$3:$X$5001,BD!$B$3:$B$5001,$A286,BD!$A$3:$A$5001,_xlfn.MAXIFS(BD!$A$3:$A$5001,BD!$B$3:$B$5001,$A286,BD!$A$3:$A$5001,"&gt;="&amp;$F$8,BD!$A$3:$A$5001,"&lt;="&amp;$G$8,BD!$X$3:$X$5001,"&lt;&gt;"))))</f>
        <v/>
      </c>
      <c r="E286" s="43" t="str">
        <f>IF($A286="","",IF(COUNTIFS(BD!$B$3:$B$5001,$A286,BD!$A$3:$A$5001,"&gt;="&amp;$F$7,BD!$A$3:$A$5001,"&lt;="&amp;$G$7,BD!$Z$3:$Z$5001,"&lt;&gt;")=0,"",SUMIFS(BD!$Z$3:$Z$5001,BD!$B$3:$B$5001,$A286,BD!$A$3:$A$5001,_xlfn.MAXIFS(BD!$A$3:$A$5001,BD!$B$3:$B$5001,$A286,BD!$A$3:$A$5001,"&gt;="&amp;$F$7,BD!$A$3:$A$5001,"&lt;="&amp;$G$7,BD!$Z$3:$Z$5001,"&lt;&gt;"))))</f>
        <v/>
      </c>
      <c r="F286" s="43" t="str">
        <f>IF($A286="","",IF(COUNTIFS(BD!$B$3:$B$5001,$A286,BD!$A$3:$A$5001,"&gt;="&amp;$F$8,BD!$A$3:$A$5001,"&lt;="&amp;$G$8,BD!$Z$3:$Z$5001,"&lt;&gt;")=0,"",SUMIFS(BD!$Z$3:$Z$5001,BD!$B$3:$B$5001,$A286,BD!$A$3:$A$5001,_xlfn.MAXIFS(BD!$A$3:$A$5001,BD!$B$3:$B$5001,$A286,BD!$A$3:$A$5001,"&gt;="&amp;$F$8,BD!$A$3:$A$5001,"&lt;="&amp;$G$8,BD!$Z$3:$Z$5001,"&lt;&gt;"))))</f>
        <v/>
      </c>
      <c r="G286" s="43" t="str">
        <f>IF($A286="","",IF(COUNTIFS(BD!$B$3:$B$5001,$A286,BD!$A$3:$A$5001,"&gt;="&amp;$F$7,BD!$A$3:$A$5001,"&lt;="&amp;$G$7,BD!$Y$3:$Y$5001,"&lt;&gt;")=0,"",SUMIFS(BD!$Y$3:$Y$5001,BD!$B$3:$B$5001,$A286,BD!$A$3:$A$5001,_xlfn.MAXIFS(BD!$A$3:$A$5001,BD!$B$3:$B$5001,$A286,BD!$A$3:$A$5001,"&gt;="&amp;$F$7,BD!$A$3:$A$5001,"&lt;="&amp;$G$7,BD!$Y$3:$Y$5001,"&lt;&gt;"))))</f>
        <v/>
      </c>
      <c r="H286" s="43" t="str">
        <f>IF($A286="","",IF(COUNTIFS(BD!$B$3:$B$5001,$A286,BD!$A$3:$A$5001,"&gt;="&amp;$F$8,BD!$A$3:$A$5001,"&lt;="&amp;$G$8,BD!$Y$3:$Y$5001,"&lt;&gt;")=0,"",SUMIFS(BD!$Y$3:$Y$5001,BD!$B$3:$B$5001,$A286,BD!$A$3:$A$5001,_xlfn.MAXIFS(BD!$A$3:$A$5001,BD!$B$3:$B$5001,$A286,BD!$A$3:$A$5001,"&gt;="&amp;$F$8,BD!$A$3:$A$5001,"&lt;="&amp;$G$8,BD!$Y$3:$Y$5001,"&lt;&gt;"))))</f>
        <v/>
      </c>
      <c r="I286" s="43" t="str">
        <f>IF($A286="","",IF(COUNTIFS(BD!$B$3:$B$5001,$A286,BD!$A$3:$A$5001,"&gt;="&amp;$F$7,BD!$A$3:$A$5001,"&lt;="&amp;$G$7,BD!$AA$3:$AA$5001,"&lt;&gt;")=0,"",SUMIFS(BD!$AA$3:$AA$5001,BD!$B$3:$B$5001,$A286,BD!$A$3:$A$5001,_xlfn.MAXIFS(BD!$A$3:$A$5001,BD!$B$3:$B$5001,$A286,BD!$A$3:$A$5001,"&gt;="&amp;$F$7,BD!$A$3:$A$5001,"&lt;="&amp;$G$7,BD!$AA$3:$AA$5001,"&lt;&gt;"))))</f>
        <v/>
      </c>
      <c r="J286" s="43" t="str">
        <f>IF($A286="","",IF(COUNTIFS(BD!$B$3:$B$5001,$A286,BD!$A$3:$A$5001,"&gt;="&amp;$F$8,BD!$A$3:$A$5001,"&lt;="&amp;$G$8,BD!$AA$3:$AA$5001,"&lt;&gt;")=0,"",SUMIFS(BD!$AA$3:$AA$5001,BD!$B$3:$B$5001,$A286,BD!$A$3:$A$5001,_xlfn.MAXIFS(BD!$A$3:$A$5001,BD!$B$3:$B$5001,$A286,BD!$A$3:$A$5001,"&gt;="&amp;$F$8,BD!$A$3:$A$5001,"&lt;="&amp;$G$8,BD!$AA$3:$AA$5001,"&lt;&gt;"))))</f>
        <v/>
      </c>
    </row>
    <row r="287">
      <c r="A287" s="65" t="str">
        <f>Config!$B$13&amp;""</f>
        <v>Boticário</v>
      </c>
      <c r="B287" s="38" t="str">
        <f>IF(Config!$C$13="","TPC",Config!$C$13)</f>
        <v>TPC</v>
      </c>
      <c r="C287" s="43" t="str">
        <f>IF($A287="","",IF(COUNTIFS(BD!$B$3:$B$5001,$A287,BD!$A$3:$A$5001,"&gt;="&amp;$F$7,BD!$A$3:$A$5001,"&lt;="&amp;$G$7,BD!$X$3:$X$5001,"&lt;&gt;")=0,"",SUMIFS(BD!$X$3:$X$5001,BD!$B$3:$B$5001,$A287,BD!$A$3:$A$5001,_xlfn.MAXIFS(BD!$A$3:$A$5001,BD!$B$3:$B$5001,$A287,BD!$A$3:$A$5001,"&gt;="&amp;$F$7,BD!$A$3:$A$5001,"&lt;="&amp;$G$7,BD!$X$3:$X$5001,"&lt;&gt;"))))</f>
        <v/>
      </c>
      <c r="D287" s="43" t="str">
        <f>IF($A287="","",IF(COUNTIFS(BD!$B$3:$B$5001,$A287,BD!$A$3:$A$5001,"&gt;="&amp;$F$8,BD!$A$3:$A$5001,"&lt;="&amp;$G$8,BD!$X$3:$X$5001,"&lt;&gt;")=0,"",SUMIFS(BD!$X$3:$X$5001,BD!$B$3:$B$5001,$A287,BD!$A$3:$A$5001,_xlfn.MAXIFS(BD!$A$3:$A$5001,BD!$B$3:$B$5001,$A287,BD!$A$3:$A$5001,"&gt;="&amp;$F$8,BD!$A$3:$A$5001,"&lt;="&amp;$G$8,BD!$X$3:$X$5001,"&lt;&gt;"))))</f>
        <v/>
      </c>
      <c r="E287" s="43" t="str">
        <f>IF($A287="","",IF(COUNTIFS(BD!$B$3:$B$5001,$A287,BD!$A$3:$A$5001,"&gt;="&amp;$F$7,BD!$A$3:$A$5001,"&lt;="&amp;$G$7,BD!$Z$3:$Z$5001,"&lt;&gt;")=0,"",SUMIFS(BD!$Z$3:$Z$5001,BD!$B$3:$B$5001,$A287,BD!$A$3:$A$5001,_xlfn.MAXIFS(BD!$A$3:$A$5001,BD!$B$3:$B$5001,$A287,BD!$A$3:$A$5001,"&gt;="&amp;$F$7,BD!$A$3:$A$5001,"&lt;="&amp;$G$7,BD!$Z$3:$Z$5001,"&lt;&gt;"))))</f>
        <v/>
      </c>
      <c r="F287" s="43" t="str">
        <f>IF($A287="","",IF(COUNTIFS(BD!$B$3:$B$5001,$A287,BD!$A$3:$A$5001,"&gt;="&amp;$F$8,BD!$A$3:$A$5001,"&lt;="&amp;$G$8,BD!$Z$3:$Z$5001,"&lt;&gt;")=0,"",SUMIFS(BD!$Z$3:$Z$5001,BD!$B$3:$B$5001,$A287,BD!$A$3:$A$5001,_xlfn.MAXIFS(BD!$A$3:$A$5001,BD!$B$3:$B$5001,$A287,BD!$A$3:$A$5001,"&gt;="&amp;$F$8,BD!$A$3:$A$5001,"&lt;="&amp;$G$8,BD!$Z$3:$Z$5001,"&lt;&gt;"))))</f>
        <v/>
      </c>
      <c r="G287" s="43" t="str">
        <f>IF($A287="","",IF(COUNTIFS(BD!$B$3:$B$5001,$A287,BD!$A$3:$A$5001,"&gt;="&amp;$F$7,BD!$A$3:$A$5001,"&lt;="&amp;$G$7,BD!$Y$3:$Y$5001,"&lt;&gt;")=0,"",SUMIFS(BD!$Y$3:$Y$5001,BD!$B$3:$B$5001,$A287,BD!$A$3:$A$5001,_xlfn.MAXIFS(BD!$A$3:$A$5001,BD!$B$3:$B$5001,$A287,BD!$A$3:$A$5001,"&gt;="&amp;$F$7,BD!$A$3:$A$5001,"&lt;="&amp;$G$7,BD!$Y$3:$Y$5001,"&lt;&gt;"))))</f>
        <v/>
      </c>
      <c r="H287" s="43" t="str">
        <f>IF($A287="","",IF(COUNTIFS(BD!$B$3:$B$5001,$A287,BD!$A$3:$A$5001,"&gt;="&amp;$F$8,BD!$A$3:$A$5001,"&lt;="&amp;$G$8,BD!$Y$3:$Y$5001,"&lt;&gt;")=0,"",SUMIFS(BD!$Y$3:$Y$5001,BD!$B$3:$B$5001,$A287,BD!$A$3:$A$5001,_xlfn.MAXIFS(BD!$A$3:$A$5001,BD!$B$3:$B$5001,$A287,BD!$A$3:$A$5001,"&gt;="&amp;$F$8,BD!$A$3:$A$5001,"&lt;="&amp;$G$8,BD!$Y$3:$Y$5001,"&lt;&gt;"))))</f>
        <v/>
      </c>
      <c r="I287" s="43" t="str">
        <f>IF($A287="","",IF(COUNTIFS(BD!$B$3:$B$5001,$A287,BD!$A$3:$A$5001,"&gt;="&amp;$F$7,BD!$A$3:$A$5001,"&lt;="&amp;$G$7,BD!$AA$3:$AA$5001,"&lt;&gt;")=0,"",SUMIFS(BD!$AA$3:$AA$5001,BD!$B$3:$B$5001,$A287,BD!$A$3:$A$5001,_xlfn.MAXIFS(BD!$A$3:$A$5001,BD!$B$3:$B$5001,$A287,BD!$A$3:$A$5001,"&gt;="&amp;$F$7,BD!$A$3:$A$5001,"&lt;="&amp;$G$7,BD!$AA$3:$AA$5001,"&lt;&gt;"))))</f>
        <v/>
      </c>
      <c r="J287" s="43" t="str">
        <f>IF($A287="","",IF(COUNTIFS(BD!$B$3:$B$5001,$A287,BD!$A$3:$A$5001,"&gt;="&amp;$F$8,BD!$A$3:$A$5001,"&lt;="&amp;$G$8,BD!$AA$3:$AA$5001,"&lt;&gt;")=0,"",SUMIFS(BD!$AA$3:$AA$5001,BD!$B$3:$B$5001,$A287,BD!$A$3:$A$5001,_xlfn.MAXIFS(BD!$A$3:$A$5001,BD!$B$3:$B$5001,$A287,BD!$A$3:$A$5001,"&gt;="&amp;$F$8,BD!$A$3:$A$5001,"&lt;="&amp;$G$8,BD!$AA$3:$AA$5001,"&lt;&gt;"))))</f>
        <v/>
      </c>
    </row>
    <row r="288">
      <c r="A288" s="65" t="str">
        <f>Config!$B$14&amp;""</f>
        <v>Confiance</v>
      </c>
      <c r="B288" s="38" t="str">
        <f>IF(Config!$C$14="","TPC",Config!$C$14)</f>
        <v>TPC</v>
      </c>
      <c r="C288" s="43" t="str">
        <f>IF($A288="","",IF(COUNTIFS(BD!$B$3:$B$5001,$A288,BD!$A$3:$A$5001,"&gt;="&amp;$F$7,BD!$A$3:$A$5001,"&lt;="&amp;$G$7,BD!$X$3:$X$5001,"&lt;&gt;")=0,"",SUMIFS(BD!$X$3:$X$5001,BD!$B$3:$B$5001,$A288,BD!$A$3:$A$5001,_xlfn.MAXIFS(BD!$A$3:$A$5001,BD!$B$3:$B$5001,$A288,BD!$A$3:$A$5001,"&gt;="&amp;$F$7,BD!$A$3:$A$5001,"&lt;="&amp;$G$7,BD!$X$3:$X$5001,"&lt;&gt;"))))</f>
        <v/>
      </c>
      <c r="D288" s="43" t="str">
        <f>IF($A288="","",IF(COUNTIFS(BD!$B$3:$B$5001,$A288,BD!$A$3:$A$5001,"&gt;="&amp;$F$8,BD!$A$3:$A$5001,"&lt;="&amp;$G$8,BD!$X$3:$X$5001,"&lt;&gt;")=0,"",SUMIFS(BD!$X$3:$X$5001,BD!$B$3:$B$5001,$A288,BD!$A$3:$A$5001,_xlfn.MAXIFS(BD!$A$3:$A$5001,BD!$B$3:$B$5001,$A288,BD!$A$3:$A$5001,"&gt;="&amp;$F$8,BD!$A$3:$A$5001,"&lt;="&amp;$G$8,BD!$X$3:$X$5001,"&lt;&gt;"))))</f>
        <v/>
      </c>
      <c r="E288" s="43" t="str">
        <f>IF($A288="","",IF(COUNTIFS(BD!$B$3:$B$5001,$A288,BD!$A$3:$A$5001,"&gt;="&amp;$F$7,BD!$A$3:$A$5001,"&lt;="&amp;$G$7,BD!$Z$3:$Z$5001,"&lt;&gt;")=0,"",SUMIFS(BD!$Z$3:$Z$5001,BD!$B$3:$B$5001,$A288,BD!$A$3:$A$5001,_xlfn.MAXIFS(BD!$A$3:$A$5001,BD!$B$3:$B$5001,$A288,BD!$A$3:$A$5001,"&gt;="&amp;$F$7,BD!$A$3:$A$5001,"&lt;="&amp;$G$7,BD!$Z$3:$Z$5001,"&lt;&gt;"))))</f>
        <v/>
      </c>
      <c r="F288" s="43" t="str">
        <f>IF($A288="","",IF(COUNTIFS(BD!$B$3:$B$5001,$A288,BD!$A$3:$A$5001,"&gt;="&amp;$F$8,BD!$A$3:$A$5001,"&lt;="&amp;$G$8,BD!$Z$3:$Z$5001,"&lt;&gt;")=0,"",SUMIFS(BD!$Z$3:$Z$5001,BD!$B$3:$B$5001,$A288,BD!$A$3:$A$5001,_xlfn.MAXIFS(BD!$A$3:$A$5001,BD!$B$3:$B$5001,$A288,BD!$A$3:$A$5001,"&gt;="&amp;$F$8,BD!$A$3:$A$5001,"&lt;="&amp;$G$8,BD!$Z$3:$Z$5001,"&lt;&gt;"))))</f>
        <v/>
      </c>
      <c r="G288" s="43" t="str">
        <f>IF($A288="","",IF(COUNTIFS(BD!$B$3:$B$5001,$A288,BD!$A$3:$A$5001,"&gt;="&amp;$F$7,BD!$A$3:$A$5001,"&lt;="&amp;$G$7,BD!$Y$3:$Y$5001,"&lt;&gt;")=0,"",SUMIFS(BD!$Y$3:$Y$5001,BD!$B$3:$B$5001,$A288,BD!$A$3:$A$5001,_xlfn.MAXIFS(BD!$A$3:$A$5001,BD!$B$3:$B$5001,$A288,BD!$A$3:$A$5001,"&gt;="&amp;$F$7,BD!$A$3:$A$5001,"&lt;="&amp;$G$7,BD!$Y$3:$Y$5001,"&lt;&gt;"))))</f>
        <v/>
      </c>
      <c r="H288" s="43" t="str">
        <f>IF($A288="","",IF(COUNTIFS(BD!$B$3:$B$5001,$A288,BD!$A$3:$A$5001,"&gt;="&amp;$F$8,BD!$A$3:$A$5001,"&lt;="&amp;$G$8,BD!$Y$3:$Y$5001,"&lt;&gt;")=0,"",SUMIFS(BD!$Y$3:$Y$5001,BD!$B$3:$B$5001,$A288,BD!$A$3:$A$5001,_xlfn.MAXIFS(BD!$A$3:$A$5001,BD!$B$3:$B$5001,$A288,BD!$A$3:$A$5001,"&gt;="&amp;$F$8,BD!$A$3:$A$5001,"&lt;="&amp;$G$8,BD!$Y$3:$Y$5001,"&lt;&gt;"))))</f>
        <v/>
      </c>
      <c r="I288" s="43" t="str">
        <f>IF($A288="","",IF(COUNTIFS(BD!$B$3:$B$5001,$A288,BD!$A$3:$A$5001,"&gt;="&amp;$F$7,BD!$A$3:$A$5001,"&lt;="&amp;$G$7,BD!$AA$3:$AA$5001,"&lt;&gt;")=0,"",SUMIFS(BD!$AA$3:$AA$5001,BD!$B$3:$B$5001,$A288,BD!$A$3:$A$5001,_xlfn.MAXIFS(BD!$A$3:$A$5001,BD!$B$3:$B$5001,$A288,BD!$A$3:$A$5001,"&gt;="&amp;$F$7,BD!$A$3:$A$5001,"&lt;="&amp;$G$7,BD!$AA$3:$AA$5001,"&lt;&gt;"))))</f>
        <v/>
      </c>
      <c r="J288" s="43" t="str">
        <f>IF($A288="","",IF(COUNTIFS(BD!$B$3:$B$5001,$A288,BD!$A$3:$A$5001,"&gt;="&amp;$F$8,BD!$A$3:$A$5001,"&lt;="&amp;$G$8,BD!$AA$3:$AA$5001,"&lt;&gt;")=0,"",SUMIFS(BD!$AA$3:$AA$5001,BD!$B$3:$B$5001,$A288,BD!$A$3:$A$5001,_xlfn.MAXIFS(BD!$A$3:$A$5001,BD!$B$3:$B$5001,$A288,BD!$A$3:$A$5001,"&gt;="&amp;$F$8,BD!$A$3:$A$5001,"&lt;="&amp;$G$8,BD!$AA$3:$AA$5001,"&lt;&gt;"))))</f>
        <v/>
      </c>
    </row>
    <row r="289">
      <c r="A289" s="65" t="str">
        <f>Config!$B$15&amp;""</f>
        <v>GE Vernova</v>
      </c>
      <c r="B289" s="38" t="str">
        <f>IF(Config!$C$15="","TPC",Config!$C$15)</f>
        <v>TPC</v>
      </c>
      <c r="C289" s="43" t="str">
        <f>IF($A289="","",IF(COUNTIFS(BD!$B$3:$B$5001,$A289,BD!$A$3:$A$5001,"&gt;="&amp;$F$7,BD!$A$3:$A$5001,"&lt;="&amp;$G$7,BD!$X$3:$X$5001,"&lt;&gt;")=0,"",SUMIFS(BD!$X$3:$X$5001,BD!$B$3:$B$5001,$A289,BD!$A$3:$A$5001,_xlfn.MAXIFS(BD!$A$3:$A$5001,BD!$B$3:$B$5001,$A289,BD!$A$3:$A$5001,"&gt;="&amp;$F$7,BD!$A$3:$A$5001,"&lt;="&amp;$G$7,BD!$X$3:$X$5001,"&lt;&gt;"))))</f>
        <v/>
      </c>
      <c r="D289" s="43" t="str">
        <f>IF($A289="","",IF(COUNTIFS(BD!$B$3:$B$5001,$A289,BD!$A$3:$A$5001,"&gt;="&amp;$F$8,BD!$A$3:$A$5001,"&lt;="&amp;$G$8,BD!$X$3:$X$5001,"&lt;&gt;")=0,"",SUMIFS(BD!$X$3:$X$5001,BD!$B$3:$B$5001,$A289,BD!$A$3:$A$5001,_xlfn.MAXIFS(BD!$A$3:$A$5001,BD!$B$3:$B$5001,$A289,BD!$A$3:$A$5001,"&gt;="&amp;$F$8,BD!$A$3:$A$5001,"&lt;="&amp;$G$8,BD!$X$3:$X$5001,"&lt;&gt;"))))</f>
        <v/>
      </c>
      <c r="E289" s="43" t="str">
        <f>IF($A289="","",IF(COUNTIFS(BD!$B$3:$B$5001,$A289,BD!$A$3:$A$5001,"&gt;="&amp;$F$7,BD!$A$3:$A$5001,"&lt;="&amp;$G$7,BD!$Z$3:$Z$5001,"&lt;&gt;")=0,"",SUMIFS(BD!$Z$3:$Z$5001,BD!$B$3:$B$5001,$A289,BD!$A$3:$A$5001,_xlfn.MAXIFS(BD!$A$3:$A$5001,BD!$B$3:$B$5001,$A289,BD!$A$3:$A$5001,"&gt;="&amp;$F$7,BD!$A$3:$A$5001,"&lt;="&amp;$G$7,BD!$Z$3:$Z$5001,"&lt;&gt;"))))</f>
        <v/>
      </c>
      <c r="F289" s="43" t="str">
        <f>IF($A289="","",IF(COUNTIFS(BD!$B$3:$B$5001,$A289,BD!$A$3:$A$5001,"&gt;="&amp;$F$8,BD!$A$3:$A$5001,"&lt;="&amp;$G$8,BD!$Z$3:$Z$5001,"&lt;&gt;")=0,"",SUMIFS(BD!$Z$3:$Z$5001,BD!$B$3:$B$5001,$A289,BD!$A$3:$A$5001,_xlfn.MAXIFS(BD!$A$3:$A$5001,BD!$B$3:$B$5001,$A289,BD!$A$3:$A$5001,"&gt;="&amp;$F$8,BD!$A$3:$A$5001,"&lt;="&amp;$G$8,BD!$Z$3:$Z$5001,"&lt;&gt;"))))</f>
        <v/>
      </c>
      <c r="G289" s="43" t="str">
        <f>IF($A289="","",IF(COUNTIFS(BD!$B$3:$B$5001,$A289,BD!$A$3:$A$5001,"&gt;="&amp;$F$7,BD!$A$3:$A$5001,"&lt;="&amp;$G$7,BD!$Y$3:$Y$5001,"&lt;&gt;")=0,"",SUMIFS(BD!$Y$3:$Y$5001,BD!$B$3:$B$5001,$A289,BD!$A$3:$A$5001,_xlfn.MAXIFS(BD!$A$3:$A$5001,BD!$B$3:$B$5001,$A289,BD!$A$3:$A$5001,"&gt;="&amp;$F$7,BD!$A$3:$A$5001,"&lt;="&amp;$G$7,BD!$Y$3:$Y$5001,"&lt;&gt;"))))</f>
        <v/>
      </c>
      <c r="H289" s="43" t="str">
        <f>IF($A289="","",IF(COUNTIFS(BD!$B$3:$B$5001,$A289,BD!$A$3:$A$5001,"&gt;="&amp;$F$8,BD!$A$3:$A$5001,"&lt;="&amp;$G$8,BD!$Y$3:$Y$5001,"&lt;&gt;")=0,"",SUMIFS(BD!$Y$3:$Y$5001,BD!$B$3:$B$5001,$A289,BD!$A$3:$A$5001,_xlfn.MAXIFS(BD!$A$3:$A$5001,BD!$B$3:$B$5001,$A289,BD!$A$3:$A$5001,"&gt;="&amp;$F$8,BD!$A$3:$A$5001,"&lt;="&amp;$G$8,BD!$Y$3:$Y$5001,"&lt;&gt;"))))</f>
        <v/>
      </c>
      <c r="I289" s="43" t="str">
        <f>IF($A289="","",IF(COUNTIFS(BD!$B$3:$B$5001,$A289,BD!$A$3:$A$5001,"&gt;="&amp;$F$7,BD!$A$3:$A$5001,"&lt;="&amp;$G$7,BD!$AA$3:$AA$5001,"&lt;&gt;")=0,"",SUMIFS(BD!$AA$3:$AA$5001,BD!$B$3:$B$5001,$A289,BD!$A$3:$A$5001,_xlfn.MAXIFS(BD!$A$3:$A$5001,BD!$B$3:$B$5001,$A289,BD!$A$3:$A$5001,"&gt;="&amp;$F$7,BD!$A$3:$A$5001,"&lt;="&amp;$G$7,BD!$AA$3:$AA$5001,"&lt;&gt;"))))</f>
        <v/>
      </c>
      <c r="J289" s="43" t="str">
        <f>IF($A289="","",IF(COUNTIFS(BD!$B$3:$B$5001,$A289,BD!$A$3:$A$5001,"&gt;="&amp;$F$8,BD!$A$3:$A$5001,"&lt;="&amp;$G$8,BD!$AA$3:$AA$5001,"&lt;&gt;")=0,"",SUMIFS(BD!$AA$3:$AA$5001,BD!$B$3:$B$5001,$A289,BD!$A$3:$A$5001,_xlfn.MAXIFS(BD!$A$3:$A$5001,BD!$B$3:$B$5001,$A289,BD!$A$3:$A$5001,"&gt;="&amp;$F$8,BD!$A$3:$A$5001,"&lt;="&amp;$G$8,BD!$AA$3:$AA$5001,"&lt;&gt;"))))</f>
        <v/>
      </c>
    </row>
    <row r="290">
      <c r="A290" s="65" t="str">
        <f>Config!$B$16&amp;""</f>
        <v>Omnilife</v>
      </c>
      <c r="B290" s="38" t="str">
        <f>IF(Config!$C$16="","TPC",Config!$C$16)</f>
        <v>TPC</v>
      </c>
      <c r="C290" s="43" t="str">
        <f>IF($A290="","",IF(COUNTIFS(BD!$B$3:$B$5001,$A290,BD!$A$3:$A$5001,"&gt;="&amp;$F$7,BD!$A$3:$A$5001,"&lt;="&amp;$G$7,BD!$X$3:$X$5001,"&lt;&gt;")=0,"",SUMIFS(BD!$X$3:$X$5001,BD!$B$3:$B$5001,$A290,BD!$A$3:$A$5001,_xlfn.MAXIFS(BD!$A$3:$A$5001,BD!$B$3:$B$5001,$A290,BD!$A$3:$A$5001,"&gt;="&amp;$F$7,BD!$A$3:$A$5001,"&lt;="&amp;$G$7,BD!$X$3:$X$5001,"&lt;&gt;"))))</f>
        <v/>
      </c>
      <c r="D290" s="43" t="str">
        <f>IF($A290="","",IF(COUNTIFS(BD!$B$3:$B$5001,$A290,BD!$A$3:$A$5001,"&gt;="&amp;$F$8,BD!$A$3:$A$5001,"&lt;="&amp;$G$8,BD!$X$3:$X$5001,"&lt;&gt;")=0,"",SUMIFS(BD!$X$3:$X$5001,BD!$B$3:$B$5001,$A290,BD!$A$3:$A$5001,_xlfn.MAXIFS(BD!$A$3:$A$5001,BD!$B$3:$B$5001,$A290,BD!$A$3:$A$5001,"&gt;="&amp;$F$8,BD!$A$3:$A$5001,"&lt;="&amp;$G$8,BD!$X$3:$X$5001,"&lt;&gt;"))))</f>
        <v/>
      </c>
      <c r="E290" s="43" t="str">
        <f>IF($A290="","",IF(COUNTIFS(BD!$B$3:$B$5001,$A290,BD!$A$3:$A$5001,"&gt;="&amp;$F$7,BD!$A$3:$A$5001,"&lt;="&amp;$G$7,BD!$Z$3:$Z$5001,"&lt;&gt;")=0,"",SUMIFS(BD!$Z$3:$Z$5001,BD!$B$3:$B$5001,$A290,BD!$A$3:$A$5001,_xlfn.MAXIFS(BD!$A$3:$A$5001,BD!$B$3:$B$5001,$A290,BD!$A$3:$A$5001,"&gt;="&amp;$F$7,BD!$A$3:$A$5001,"&lt;="&amp;$G$7,BD!$Z$3:$Z$5001,"&lt;&gt;"))))</f>
        <v/>
      </c>
      <c r="F290" s="43" t="str">
        <f>IF($A290="","",IF(COUNTIFS(BD!$B$3:$B$5001,$A290,BD!$A$3:$A$5001,"&gt;="&amp;$F$8,BD!$A$3:$A$5001,"&lt;="&amp;$G$8,BD!$Z$3:$Z$5001,"&lt;&gt;")=0,"",SUMIFS(BD!$Z$3:$Z$5001,BD!$B$3:$B$5001,$A290,BD!$A$3:$A$5001,_xlfn.MAXIFS(BD!$A$3:$A$5001,BD!$B$3:$B$5001,$A290,BD!$A$3:$A$5001,"&gt;="&amp;$F$8,BD!$A$3:$A$5001,"&lt;="&amp;$G$8,BD!$Z$3:$Z$5001,"&lt;&gt;"))))</f>
        <v/>
      </c>
      <c r="G290" s="43" t="str">
        <f>IF($A290="","",IF(COUNTIFS(BD!$B$3:$B$5001,$A290,BD!$A$3:$A$5001,"&gt;="&amp;$F$7,BD!$A$3:$A$5001,"&lt;="&amp;$G$7,BD!$Y$3:$Y$5001,"&lt;&gt;")=0,"",SUMIFS(BD!$Y$3:$Y$5001,BD!$B$3:$B$5001,$A290,BD!$A$3:$A$5001,_xlfn.MAXIFS(BD!$A$3:$A$5001,BD!$B$3:$B$5001,$A290,BD!$A$3:$A$5001,"&gt;="&amp;$F$7,BD!$A$3:$A$5001,"&lt;="&amp;$G$7,BD!$Y$3:$Y$5001,"&lt;&gt;"))))</f>
        <v/>
      </c>
      <c r="H290" s="43" t="str">
        <f>IF($A290="","",IF(COUNTIFS(BD!$B$3:$B$5001,$A290,BD!$A$3:$A$5001,"&gt;="&amp;$F$8,BD!$A$3:$A$5001,"&lt;="&amp;$G$8,BD!$Y$3:$Y$5001,"&lt;&gt;")=0,"",SUMIFS(BD!$Y$3:$Y$5001,BD!$B$3:$B$5001,$A290,BD!$A$3:$A$5001,_xlfn.MAXIFS(BD!$A$3:$A$5001,BD!$B$3:$B$5001,$A290,BD!$A$3:$A$5001,"&gt;="&amp;$F$8,BD!$A$3:$A$5001,"&lt;="&amp;$G$8,BD!$Y$3:$Y$5001,"&lt;&gt;"))))</f>
        <v/>
      </c>
      <c r="I290" s="43" t="str">
        <f>IF($A290="","",IF(COUNTIFS(BD!$B$3:$B$5001,$A290,BD!$A$3:$A$5001,"&gt;="&amp;$F$7,BD!$A$3:$A$5001,"&lt;="&amp;$G$7,BD!$AA$3:$AA$5001,"&lt;&gt;")=0,"",SUMIFS(BD!$AA$3:$AA$5001,BD!$B$3:$B$5001,$A290,BD!$A$3:$A$5001,_xlfn.MAXIFS(BD!$A$3:$A$5001,BD!$B$3:$B$5001,$A290,BD!$A$3:$A$5001,"&gt;="&amp;$F$7,BD!$A$3:$A$5001,"&lt;="&amp;$G$7,BD!$AA$3:$AA$5001,"&lt;&gt;"))))</f>
        <v/>
      </c>
      <c r="J290" s="43" t="str">
        <f>IF($A290="","",IF(COUNTIFS(BD!$B$3:$B$5001,$A290,BD!$A$3:$A$5001,"&gt;="&amp;$F$8,BD!$A$3:$A$5001,"&lt;="&amp;$G$8,BD!$AA$3:$AA$5001,"&lt;&gt;")=0,"",SUMIFS(BD!$AA$3:$AA$5001,BD!$B$3:$B$5001,$A290,BD!$A$3:$A$5001,_xlfn.MAXIFS(BD!$A$3:$A$5001,BD!$B$3:$B$5001,$A290,BD!$A$3:$A$5001,"&gt;="&amp;$F$8,BD!$A$3:$A$5001,"&lt;="&amp;$G$8,BD!$AA$3:$AA$5001,"&lt;&gt;"))))</f>
        <v/>
      </c>
    </row>
    <row r="291">
      <c r="A291" s="65" t="str">
        <f>Config!$B$17&amp;""</f>
        <v>Supply</v>
      </c>
      <c r="B291" s="38" t="str">
        <f>IF(Config!$C$17="","TPC",Config!$C$17)</f>
        <v>TPC</v>
      </c>
      <c r="C291" s="43" t="str">
        <f>IF($A291="","",IF(COUNTIFS(BD!$B$3:$B$5001,$A291,BD!$A$3:$A$5001,"&gt;="&amp;$F$7,BD!$A$3:$A$5001,"&lt;="&amp;$G$7,BD!$X$3:$X$5001,"&lt;&gt;")=0,"",SUMIFS(BD!$X$3:$X$5001,BD!$B$3:$B$5001,$A291,BD!$A$3:$A$5001,_xlfn.MAXIFS(BD!$A$3:$A$5001,BD!$B$3:$B$5001,$A291,BD!$A$3:$A$5001,"&gt;="&amp;$F$7,BD!$A$3:$A$5001,"&lt;="&amp;$G$7,BD!$X$3:$X$5001,"&lt;&gt;"))))</f>
        <v/>
      </c>
      <c r="D291" s="43" t="str">
        <f>IF($A291="","",IF(COUNTIFS(BD!$B$3:$B$5001,$A291,BD!$A$3:$A$5001,"&gt;="&amp;$F$8,BD!$A$3:$A$5001,"&lt;="&amp;$G$8,BD!$X$3:$X$5001,"&lt;&gt;")=0,"",SUMIFS(BD!$X$3:$X$5001,BD!$B$3:$B$5001,$A291,BD!$A$3:$A$5001,_xlfn.MAXIFS(BD!$A$3:$A$5001,BD!$B$3:$B$5001,$A291,BD!$A$3:$A$5001,"&gt;="&amp;$F$8,BD!$A$3:$A$5001,"&lt;="&amp;$G$8,BD!$X$3:$X$5001,"&lt;&gt;"))))</f>
        <v/>
      </c>
      <c r="E291" s="43" t="str">
        <f>IF($A291="","",IF(COUNTIFS(BD!$B$3:$B$5001,$A291,BD!$A$3:$A$5001,"&gt;="&amp;$F$7,BD!$A$3:$A$5001,"&lt;="&amp;$G$7,BD!$Z$3:$Z$5001,"&lt;&gt;")=0,"",SUMIFS(BD!$Z$3:$Z$5001,BD!$B$3:$B$5001,$A291,BD!$A$3:$A$5001,_xlfn.MAXIFS(BD!$A$3:$A$5001,BD!$B$3:$B$5001,$A291,BD!$A$3:$A$5001,"&gt;="&amp;$F$7,BD!$A$3:$A$5001,"&lt;="&amp;$G$7,BD!$Z$3:$Z$5001,"&lt;&gt;"))))</f>
        <v/>
      </c>
      <c r="F291" s="43" t="str">
        <f>IF($A291="","",IF(COUNTIFS(BD!$B$3:$B$5001,$A291,BD!$A$3:$A$5001,"&gt;="&amp;$F$8,BD!$A$3:$A$5001,"&lt;="&amp;$G$8,BD!$Z$3:$Z$5001,"&lt;&gt;")=0,"",SUMIFS(BD!$Z$3:$Z$5001,BD!$B$3:$B$5001,$A291,BD!$A$3:$A$5001,_xlfn.MAXIFS(BD!$A$3:$A$5001,BD!$B$3:$B$5001,$A291,BD!$A$3:$A$5001,"&gt;="&amp;$F$8,BD!$A$3:$A$5001,"&lt;="&amp;$G$8,BD!$Z$3:$Z$5001,"&lt;&gt;"))))</f>
        <v/>
      </c>
      <c r="G291" s="43" t="str">
        <f>IF($A291="","",IF(COUNTIFS(BD!$B$3:$B$5001,$A291,BD!$A$3:$A$5001,"&gt;="&amp;$F$7,BD!$A$3:$A$5001,"&lt;="&amp;$G$7,BD!$Y$3:$Y$5001,"&lt;&gt;")=0,"",SUMIFS(BD!$Y$3:$Y$5001,BD!$B$3:$B$5001,$A291,BD!$A$3:$A$5001,_xlfn.MAXIFS(BD!$A$3:$A$5001,BD!$B$3:$B$5001,$A291,BD!$A$3:$A$5001,"&gt;="&amp;$F$7,BD!$A$3:$A$5001,"&lt;="&amp;$G$7,BD!$Y$3:$Y$5001,"&lt;&gt;"))))</f>
        <v/>
      </c>
      <c r="H291" s="43" t="str">
        <f>IF($A291="","",IF(COUNTIFS(BD!$B$3:$B$5001,$A291,BD!$A$3:$A$5001,"&gt;="&amp;$F$8,BD!$A$3:$A$5001,"&lt;="&amp;$G$8,BD!$Y$3:$Y$5001,"&lt;&gt;")=0,"",SUMIFS(BD!$Y$3:$Y$5001,BD!$B$3:$B$5001,$A291,BD!$A$3:$A$5001,_xlfn.MAXIFS(BD!$A$3:$A$5001,BD!$B$3:$B$5001,$A291,BD!$A$3:$A$5001,"&gt;="&amp;$F$8,BD!$A$3:$A$5001,"&lt;="&amp;$G$8,BD!$Y$3:$Y$5001,"&lt;&gt;"))))</f>
        <v/>
      </c>
      <c r="I291" s="43" t="str">
        <f>IF($A291="","",IF(COUNTIFS(BD!$B$3:$B$5001,$A291,BD!$A$3:$A$5001,"&gt;="&amp;$F$7,BD!$A$3:$A$5001,"&lt;="&amp;$G$7,BD!$AA$3:$AA$5001,"&lt;&gt;")=0,"",SUMIFS(BD!$AA$3:$AA$5001,BD!$B$3:$B$5001,$A291,BD!$A$3:$A$5001,_xlfn.MAXIFS(BD!$A$3:$A$5001,BD!$B$3:$B$5001,$A291,BD!$A$3:$A$5001,"&gt;="&amp;$F$7,BD!$A$3:$A$5001,"&lt;="&amp;$G$7,BD!$AA$3:$AA$5001,"&lt;&gt;"))))</f>
        <v/>
      </c>
      <c r="J291" s="43" t="str">
        <f>IF($A291="","",IF(COUNTIFS(BD!$B$3:$B$5001,$A291,BD!$A$3:$A$5001,"&gt;="&amp;$F$8,BD!$A$3:$A$5001,"&lt;="&amp;$G$8,BD!$AA$3:$AA$5001,"&lt;&gt;")=0,"",SUMIFS(BD!$AA$3:$AA$5001,BD!$B$3:$B$5001,$A291,BD!$A$3:$A$5001,_xlfn.MAXIFS(BD!$A$3:$A$5001,BD!$B$3:$B$5001,$A291,BD!$A$3:$A$5001,"&gt;="&amp;$F$8,BD!$A$3:$A$5001,"&lt;="&amp;$G$8,BD!$AA$3:$AA$5001,"&lt;&gt;"))))</f>
        <v/>
      </c>
    </row>
    <row r="292">
      <c r="A292" s="65" t="str">
        <f>Config!$B$18&amp;""</f>
        <v>Vedacit</v>
      </c>
      <c r="B292" s="38" t="str">
        <f>IF(Config!$C$18="","TPC",Config!$C$18)</f>
        <v>TPC</v>
      </c>
      <c r="C292" s="43" t="str">
        <f>IF($A292="","",IF(COUNTIFS(BD!$B$3:$B$5001,$A292,BD!$A$3:$A$5001,"&gt;="&amp;$F$7,BD!$A$3:$A$5001,"&lt;="&amp;$G$7,BD!$X$3:$X$5001,"&lt;&gt;")=0,"",SUMIFS(BD!$X$3:$X$5001,BD!$B$3:$B$5001,$A292,BD!$A$3:$A$5001,_xlfn.MAXIFS(BD!$A$3:$A$5001,BD!$B$3:$B$5001,$A292,BD!$A$3:$A$5001,"&gt;="&amp;$F$7,BD!$A$3:$A$5001,"&lt;="&amp;$G$7,BD!$X$3:$X$5001,"&lt;&gt;"))))</f>
        <v/>
      </c>
      <c r="D292" s="43" t="str">
        <f>IF($A292="","",IF(COUNTIFS(BD!$B$3:$B$5001,$A292,BD!$A$3:$A$5001,"&gt;="&amp;$F$8,BD!$A$3:$A$5001,"&lt;="&amp;$G$8,BD!$X$3:$X$5001,"&lt;&gt;")=0,"",SUMIFS(BD!$X$3:$X$5001,BD!$B$3:$B$5001,$A292,BD!$A$3:$A$5001,_xlfn.MAXIFS(BD!$A$3:$A$5001,BD!$B$3:$B$5001,$A292,BD!$A$3:$A$5001,"&gt;="&amp;$F$8,BD!$A$3:$A$5001,"&lt;="&amp;$G$8,BD!$X$3:$X$5001,"&lt;&gt;"))))</f>
        <v/>
      </c>
      <c r="E292" s="43" t="str">
        <f>IF($A292="","",IF(COUNTIFS(BD!$B$3:$B$5001,$A292,BD!$A$3:$A$5001,"&gt;="&amp;$F$7,BD!$A$3:$A$5001,"&lt;="&amp;$G$7,BD!$Z$3:$Z$5001,"&lt;&gt;")=0,"",SUMIFS(BD!$Z$3:$Z$5001,BD!$B$3:$B$5001,$A292,BD!$A$3:$A$5001,_xlfn.MAXIFS(BD!$A$3:$A$5001,BD!$B$3:$B$5001,$A292,BD!$A$3:$A$5001,"&gt;="&amp;$F$7,BD!$A$3:$A$5001,"&lt;="&amp;$G$7,BD!$Z$3:$Z$5001,"&lt;&gt;"))))</f>
        <v/>
      </c>
      <c r="F292" s="43" t="str">
        <f>IF($A292="","",IF(COUNTIFS(BD!$B$3:$B$5001,$A292,BD!$A$3:$A$5001,"&gt;="&amp;$F$8,BD!$A$3:$A$5001,"&lt;="&amp;$G$8,BD!$Z$3:$Z$5001,"&lt;&gt;")=0,"",SUMIFS(BD!$Z$3:$Z$5001,BD!$B$3:$B$5001,$A292,BD!$A$3:$A$5001,_xlfn.MAXIFS(BD!$A$3:$A$5001,BD!$B$3:$B$5001,$A292,BD!$A$3:$A$5001,"&gt;="&amp;$F$8,BD!$A$3:$A$5001,"&lt;="&amp;$G$8,BD!$Z$3:$Z$5001,"&lt;&gt;"))))</f>
        <v/>
      </c>
      <c r="G292" s="43" t="str">
        <f>IF($A292="","",IF(COUNTIFS(BD!$B$3:$B$5001,$A292,BD!$A$3:$A$5001,"&gt;="&amp;$F$7,BD!$A$3:$A$5001,"&lt;="&amp;$G$7,BD!$Y$3:$Y$5001,"&lt;&gt;")=0,"",SUMIFS(BD!$Y$3:$Y$5001,BD!$B$3:$B$5001,$A292,BD!$A$3:$A$5001,_xlfn.MAXIFS(BD!$A$3:$A$5001,BD!$B$3:$B$5001,$A292,BD!$A$3:$A$5001,"&gt;="&amp;$F$7,BD!$A$3:$A$5001,"&lt;="&amp;$G$7,BD!$Y$3:$Y$5001,"&lt;&gt;"))))</f>
        <v/>
      </c>
      <c r="H292" s="43" t="str">
        <f>IF($A292="","",IF(COUNTIFS(BD!$B$3:$B$5001,$A292,BD!$A$3:$A$5001,"&gt;="&amp;$F$8,BD!$A$3:$A$5001,"&lt;="&amp;$G$8,BD!$Y$3:$Y$5001,"&lt;&gt;")=0,"",SUMIFS(BD!$Y$3:$Y$5001,BD!$B$3:$B$5001,$A292,BD!$A$3:$A$5001,_xlfn.MAXIFS(BD!$A$3:$A$5001,BD!$B$3:$B$5001,$A292,BD!$A$3:$A$5001,"&gt;="&amp;$F$8,BD!$A$3:$A$5001,"&lt;="&amp;$G$8,BD!$Y$3:$Y$5001,"&lt;&gt;"))))</f>
        <v/>
      </c>
      <c r="I292" s="43" t="str">
        <f>IF($A292="","",IF(COUNTIFS(BD!$B$3:$B$5001,$A292,BD!$A$3:$A$5001,"&gt;="&amp;$F$7,BD!$A$3:$A$5001,"&lt;="&amp;$G$7,BD!$AA$3:$AA$5001,"&lt;&gt;")=0,"",SUMIFS(BD!$AA$3:$AA$5001,BD!$B$3:$B$5001,$A292,BD!$A$3:$A$5001,_xlfn.MAXIFS(BD!$A$3:$A$5001,BD!$B$3:$B$5001,$A292,BD!$A$3:$A$5001,"&gt;="&amp;$F$7,BD!$A$3:$A$5001,"&lt;="&amp;$G$7,BD!$AA$3:$AA$5001,"&lt;&gt;"))))</f>
        <v/>
      </c>
      <c r="J292" s="43" t="str">
        <f>IF($A292="","",IF(COUNTIFS(BD!$B$3:$B$5001,$A292,BD!$A$3:$A$5001,"&gt;="&amp;$F$8,BD!$A$3:$A$5001,"&lt;="&amp;$G$8,BD!$AA$3:$AA$5001,"&lt;&gt;")=0,"",SUMIFS(BD!$AA$3:$AA$5001,BD!$B$3:$B$5001,$A292,BD!$A$3:$A$5001,_xlfn.MAXIFS(BD!$A$3:$A$5001,BD!$B$3:$B$5001,$A292,BD!$A$3:$A$5001,"&gt;="&amp;$F$8,BD!$A$3:$A$5001,"&lt;="&amp;$G$8,BD!$AA$3:$AA$5001,"&lt;&gt;"))))</f>
        <v/>
      </c>
    </row>
    <row r="293">
      <c r="A293" s="65" t="str">
        <f>Config!$B$19&amp;""</f>
        <v>Vestas</v>
      </c>
      <c r="B293" s="38" t="str">
        <f>IF(Config!$C$19="","TPC",Config!$C$19)</f>
        <v>TPC</v>
      </c>
      <c r="C293" s="43" t="str">
        <f>IF($A293="","",IF(COUNTIFS(BD!$B$3:$B$5001,$A293,BD!$A$3:$A$5001,"&gt;="&amp;$F$7,BD!$A$3:$A$5001,"&lt;="&amp;$G$7,BD!$X$3:$X$5001,"&lt;&gt;")=0,"",SUMIFS(BD!$X$3:$X$5001,BD!$B$3:$B$5001,$A293,BD!$A$3:$A$5001,_xlfn.MAXIFS(BD!$A$3:$A$5001,BD!$B$3:$B$5001,$A293,BD!$A$3:$A$5001,"&gt;="&amp;$F$7,BD!$A$3:$A$5001,"&lt;="&amp;$G$7,BD!$X$3:$X$5001,"&lt;&gt;"))))</f>
        <v/>
      </c>
      <c r="D293" s="43" t="str">
        <f>IF($A293="","",IF(COUNTIFS(BD!$B$3:$B$5001,$A293,BD!$A$3:$A$5001,"&gt;="&amp;$F$8,BD!$A$3:$A$5001,"&lt;="&amp;$G$8,BD!$X$3:$X$5001,"&lt;&gt;")=0,"",SUMIFS(BD!$X$3:$X$5001,BD!$B$3:$B$5001,$A293,BD!$A$3:$A$5001,_xlfn.MAXIFS(BD!$A$3:$A$5001,BD!$B$3:$B$5001,$A293,BD!$A$3:$A$5001,"&gt;="&amp;$F$8,BD!$A$3:$A$5001,"&lt;="&amp;$G$8,BD!$X$3:$X$5001,"&lt;&gt;"))))</f>
        <v/>
      </c>
      <c r="E293" s="43" t="str">
        <f>IF($A293="","",IF(COUNTIFS(BD!$B$3:$B$5001,$A293,BD!$A$3:$A$5001,"&gt;="&amp;$F$7,BD!$A$3:$A$5001,"&lt;="&amp;$G$7,BD!$Z$3:$Z$5001,"&lt;&gt;")=0,"",SUMIFS(BD!$Z$3:$Z$5001,BD!$B$3:$B$5001,$A293,BD!$A$3:$A$5001,_xlfn.MAXIFS(BD!$A$3:$A$5001,BD!$B$3:$B$5001,$A293,BD!$A$3:$A$5001,"&gt;="&amp;$F$7,BD!$A$3:$A$5001,"&lt;="&amp;$G$7,BD!$Z$3:$Z$5001,"&lt;&gt;"))))</f>
        <v/>
      </c>
      <c r="F293" s="43" t="str">
        <f>IF($A293="","",IF(COUNTIFS(BD!$B$3:$B$5001,$A293,BD!$A$3:$A$5001,"&gt;="&amp;$F$8,BD!$A$3:$A$5001,"&lt;="&amp;$G$8,BD!$Z$3:$Z$5001,"&lt;&gt;")=0,"",SUMIFS(BD!$Z$3:$Z$5001,BD!$B$3:$B$5001,$A293,BD!$A$3:$A$5001,_xlfn.MAXIFS(BD!$A$3:$A$5001,BD!$B$3:$B$5001,$A293,BD!$A$3:$A$5001,"&gt;="&amp;$F$8,BD!$A$3:$A$5001,"&lt;="&amp;$G$8,BD!$Z$3:$Z$5001,"&lt;&gt;"))))</f>
        <v/>
      </c>
      <c r="G293" s="43" t="str">
        <f>IF($A293="","",IF(COUNTIFS(BD!$B$3:$B$5001,$A293,BD!$A$3:$A$5001,"&gt;="&amp;$F$7,BD!$A$3:$A$5001,"&lt;="&amp;$G$7,BD!$Y$3:$Y$5001,"&lt;&gt;")=0,"",SUMIFS(BD!$Y$3:$Y$5001,BD!$B$3:$B$5001,$A293,BD!$A$3:$A$5001,_xlfn.MAXIFS(BD!$A$3:$A$5001,BD!$B$3:$B$5001,$A293,BD!$A$3:$A$5001,"&gt;="&amp;$F$7,BD!$A$3:$A$5001,"&lt;="&amp;$G$7,BD!$Y$3:$Y$5001,"&lt;&gt;"))))</f>
        <v/>
      </c>
      <c r="H293" s="43" t="str">
        <f>IF($A293="","",IF(COUNTIFS(BD!$B$3:$B$5001,$A293,BD!$A$3:$A$5001,"&gt;="&amp;$F$8,BD!$A$3:$A$5001,"&lt;="&amp;$G$8,BD!$Y$3:$Y$5001,"&lt;&gt;")=0,"",SUMIFS(BD!$Y$3:$Y$5001,BD!$B$3:$B$5001,$A293,BD!$A$3:$A$5001,_xlfn.MAXIFS(BD!$A$3:$A$5001,BD!$B$3:$B$5001,$A293,BD!$A$3:$A$5001,"&gt;="&amp;$F$8,BD!$A$3:$A$5001,"&lt;="&amp;$G$8,BD!$Y$3:$Y$5001,"&lt;&gt;"))))</f>
        <v/>
      </c>
      <c r="I293" s="43" t="str">
        <f>IF($A293="","",IF(COUNTIFS(BD!$B$3:$B$5001,$A293,BD!$A$3:$A$5001,"&gt;="&amp;$F$7,BD!$A$3:$A$5001,"&lt;="&amp;$G$7,BD!$AA$3:$AA$5001,"&lt;&gt;")=0,"",SUMIFS(BD!$AA$3:$AA$5001,BD!$B$3:$B$5001,$A293,BD!$A$3:$A$5001,_xlfn.MAXIFS(BD!$A$3:$A$5001,BD!$B$3:$B$5001,$A293,BD!$A$3:$A$5001,"&gt;="&amp;$F$7,BD!$A$3:$A$5001,"&lt;="&amp;$G$7,BD!$AA$3:$AA$5001,"&lt;&gt;"))))</f>
        <v/>
      </c>
      <c r="J293" s="43" t="str">
        <f>IF($A293="","",IF(COUNTIFS(BD!$B$3:$B$5001,$A293,BD!$A$3:$A$5001,"&gt;="&amp;$F$8,BD!$A$3:$A$5001,"&lt;="&amp;$G$8,BD!$AA$3:$AA$5001,"&lt;&gt;")=0,"",SUMIFS(BD!$AA$3:$AA$5001,BD!$B$3:$B$5001,$A293,BD!$A$3:$A$5001,_xlfn.MAXIFS(BD!$A$3:$A$5001,BD!$B$3:$B$5001,$A293,BD!$A$3:$A$5001,"&gt;="&amp;$F$8,BD!$A$3:$A$5001,"&lt;="&amp;$G$8,BD!$AA$3:$AA$5001,"&lt;&gt;"))))</f>
        <v/>
      </c>
    </row>
    <row r="294">
      <c r="A294" s="65" t="str">
        <f>Config!$B$20&amp;""</f>
        <v/>
      </c>
      <c r="B294" s="38" t="str">
        <f>IF(Config!$C$20="","TPC",Config!$C$20)</f>
        <v>TPC</v>
      </c>
      <c r="C294" s="43" t="str">
        <f>IF($A294="","",IF(COUNTIFS(BD!$B$3:$B$5001,$A294,BD!$A$3:$A$5001,"&gt;="&amp;$F$7,BD!$A$3:$A$5001,"&lt;="&amp;$G$7,BD!$X$3:$X$5001,"&lt;&gt;")=0,"",SUMIFS(BD!$X$3:$X$5001,BD!$B$3:$B$5001,$A294,BD!$A$3:$A$5001,_xlfn.MAXIFS(BD!$A$3:$A$5001,BD!$B$3:$B$5001,$A294,BD!$A$3:$A$5001,"&gt;="&amp;$F$7,BD!$A$3:$A$5001,"&lt;="&amp;$G$7,BD!$X$3:$X$5001,"&lt;&gt;"))))</f>
        <v/>
      </c>
      <c r="D294" s="43" t="str">
        <f>IF($A294="","",IF(COUNTIFS(BD!$B$3:$B$5001,$A294,BD!$A$3:$A$5001,"&gt;="&amp;$F$8,BD!$A$3:$A$5001,"&lt;="&amp;$G$8,BD!$X$3:$X$5001,"&lt;&gt;")=0,"",SUMIFS(BD!$X$3:$X$5001,BD!$B$3:$B$5001,$A294,BD!$A$3:$A$5001,_xlfn.MAXIFS(BD!$A$3:$A$5001,BD!$B$3:$B$5001,$A294,BD!$A$3:$A$5001,"&gt;="&amp;$F$8,BD!$A$3:$A$5001,"&lt;="&amp;$G$8,BD!$X$3:$X$5001,"&lt;&gt;"))))</f>
        <v/>
      </c>
      <c r="E294" s="43" t="str">
        <f>IF($A294="","",IF(COUNTIFS(BD!$B$3:$B$5001,$A294,BD!$A$3:$A$5001,"&gt;="&amp;$F$7,BD!$A$3:$A$5001,"&lt;="&amp;$G$7,BD!$Z$3:$Z$5001,"&lt;&gt;")=0,"",SUMIFS(BD!$Z$3:$Z$5001,BD!$B$3:$B$5001,$A294,BD!$A$3:$A$5001,_xlfn.MAXIFS(BD!$A$3:$A$5001,BD!$B$3:$B$5001,$A294,BD!$A$3:$A$5001,"&gt;="&amp;$F$7,BD!$A$3:$A$5001,"&lt;="&amp;$G$7,BD!$Z$3:$Z$5001,"&lt;&gt;"))))</f>
        <v/>
      </c>
      <c r="F294" s="43" t="str">
        <f>IF($A294="","",IF(COUNTIFS(BD!$B$3:$B$5001,$A294,BD!$A$3:$A$5001,"&gt;="&amp;$F$8,BD!$A$3:$A$5001,"&lt;="&amp;$G$8,BD!$Z$3:$Z$5001,"&lt;&gt;")=0,"",SUMIFS(BD!$Z$3:$Z$5001,BD!$B$3:$B$5001,$A294,BD!$A$3:$A$5001,_xlfn.MAXIFS(BD!$A$3:$A$5001,BD!$B$3:$B$5001,$A294,BD!$A$3:$A$5001,"&gt;="&amp;$F$8,BD!$A$3:$A$5001,"&lt;="&amp;$G$8,BD!$Z$3:$Z$5001,"&lt;&gt;"))))</f>
        <v/>
      </c>
      <c r="G294" s="43" t="str">
        <f>IF($A294="","",IF(COUNTIFS(BD!$B$3:$B$5001,$A294,BD!$A$3:$A$5001,"&gt;="&amp;$F$7,BD!$A$3:$A$5001,"&lt;="&amp;$G$7,BD!$Y$3:$Y$5001,"&lt;&gt;")=0,"",SUMIFS(BD!$Y$3:$Y$5001,BD!$B$3:$B$5001,$A294,BD!$A$3:$A$5001,_xlfn.MAXIFS(BD!$A$3:$A$5001,BD!$B$3:$B$5001,$A294,BD!$A$3:$A$5001,"&gt;="&amp;$F$7,BD!$A$3:$A$5001,"&lt;="&amp;$G$7,BD!$Y$3:$Y$5001,"&lt;&gt;"))))</f>
        <v/>
      </c>
      <c r="H294" s="43" t="str">
        <f>IF($A294="","",IF(COUNTIFS(BD!$B$3:$B$5001,$A294,BD!$A$3:$A$5001,"&gt;="&amp;$F$8,BD!$A$3:$A$5001,"&lt;="&amp;$G$8,BD!$Y$3:$Y$5001,"&lt;&gt;")=0,"",SUMIFS(BD!$Y$3:$Y$5001,BD!$B$3:$B$5001,$A294,BD!$A$3:$A$5001,_xlfn.MAXIFS(BD!$A$3:$A$5001,BD!$B$3:$B$5001,$A294,BD!$A$3:$A$5001,"&gt;="&amp;$F$8,BD!$A$3:$A$5001,"&lt;="&amp;$G$8,BD!$Y$3:$Y$5001,"&lt;&gt;"))))</f>
        <v/>
      </c>
      <c r="I294" s="43" t="str">
        <f>IF($A294="","",IF(COUNTIFS(BD!$B$3:$B$5001,$A294,BD!$A$3:$A$5001,"&gt;="&amp;$F$7,BD!$A$3:$A$5001,"&lt;="&amp;$G$7,BD!$AA$3:$AA$5001,"&lt;&gt;")=0,"",SUMIFS(BD!$AA$3:$AA$5001,BD!$B$3:$B$5001,$A294,BD!$A$3:$A$5001,_xlfn.MAXIFS(BD!$A$3:$A$5001,BD!$B$3:$B$5001,$A294,BD!$A$3:$A$5001,"&gt;="&amp;$F$7,BD!$A$3:$A$5001,"&lt;="&amp;$G$7,BD!$AA$3:$AA$5001,"&lt;&gt;"))))</f>
        <v/>
      </c>
      <c r="J294" s="43" t="str">
        <f>IF($A294="","",IF(COUNTIFS(BD!$B$3:$B$5001,$A294,BD!$A$3:$A$5001,"&gt;="&amp;$F$8,BD!$A$3:$A$5001,"&lt;="&amp;$G$8,BD!$AA$3:$AA$5001,"&lt;&gt;")=0,"",SUMIFS(BD!$AA$3:$AA$5001,BD!$B$3:$B$5001,$A294,BD!$A$3:$A$5001,_xlfn.MAXIFS(BD!$A$3:$A$5001,BD!$B$3:$B$5001,$A294,BD!$A$3:$A$5001,"&gt;="&amp;$F$8,BD!$A$3:$A$5001,"&lt;="&amp;$G$8,BD!$AA$3:$AA$5001,"&lt;&gt;"))))</f>
        <v/>
      </c>
    </row>
    <row r="295">
      <c r="A295" s="65" t="str">
        <f>Config!$B$21&amp;""</f>
        <v/>
      </c>
      <c r="B295" s="38" t="str">
        <f>IF(Config!$C$21="","TPC",Config!$C$21)</f>
        <v>TPC</v>
      </c>
      <c r="C295" s="43" t="str">
        <f>IF($A295="","",IF(COUNTIFS(BD!$B$3:$B$5001,$A295,BD!$A$3:$A$5001,"&gt;="&amp;$F$7,BD!$A$3:$A$5001,"&lt;="&amp;$G$7,BD!$X$3:$X$5001,"&lt;&gt;")=0,"",SUMIFS(BD!$X$3:$X$5001,BD!$B$3:$B$5001,$A295,BD!$A$3:$A$5001,_xlfn.MAXIFS(BD!$A$3:$A$5001,BD!$B$3:$B$5001,$A295,BD!$A$3:$A$5001,"&gt;="&amp;$F$7,BD!$A$3:$A$5001,"&lt;="&amp;$G$7,BD!$X$3:$X$5001,"&lt;&gt;"))))</f>
        <v/>
      </c>
      <c r="D295" s="43" t="str">
        <f>IF($A295="","",IF(COUNTIFS(BD!$B$3:$B$5001,$A295,BD!$A$3:$A$5001,"&gt;="&amp;$F$8,BD!$A$3:$A$5001,"&lt;="&amp;$G$8,BD!$X$3:$X$5001,"&lt;&gt;")=0,"",SUMIFS(BD!$X$3:$X$5001,BD!$B$3:$B$5001,$A295,BD!$A$3:$A$5001,_xlfn.MAXIFS(BD!$A$3:$A$5001,BD!$B$3:$B$5001,$A295,BD!$A$3:$A$5001,"&gt;="&amp;$F$8,BD!$A$3:$A$5001,"&lt;="&amp;$G$8,BD!$X$3:$X$5001,"&lt;&gt;"))))</f>
        <v/>
      </c>
      <c r="E295" s="43" t="str">
        <f>IF($A295="","",IF(COUNTIFS(BD!$B$3:$B$5001,$A295,BD!$A$3:$A$5001,"&gt;="&amp;$F$7,BD!$A$3:$A$5001,"&lt;="&amp;$G$7,BD!$Z$3:$Z$5001,"&lt;&gt;")=0,"",SUMIFS(BD!$Z$3:$Z$5001,BD!$B$3:$B$5001,$A295,BD!$A$3:$A$5001,_xlfn.MAXIFS(BD!$A$3:$A$5001,BD!$B$3:$B$5001,$A295,BD!$A$3:$A$5001,"&gt;="&amp;$F$7,BD!$A$3:$A$5001,"&lt;="&amp;$G$7,BD!$Z$3:$Z$5001,"&lt;&gt;"))))</f>
        <v/>
      </c>
      <c r="F295" s="43" t="str">
        <f>IF($A295="","",IF(COUNTIFS(BD!$B$3:$B$5001,$A295,BD!$A$3:$A$5001,"&gt;="&amp;$F$8,BD!$A$3:$A$5001,"&lt;="&amp;$G$8,BD!$Z$3:$Z$5001,"&lt;&gt;")=0,"",SUMIFS(BD!$Z$3:$Z$5001,BD!$B$3:$B$5001,$A295,BD!$A$3:$A$5001,_xlfn.MAXIFS(BD!$A$3:$A$5001,BD!$B$3:$B$5001,$A295,BD!$A$3:$A$5001,"&gt;="&amp;$F$8,BD!$A$3:$A$5001,"&lt;="&amp;$G$8,BD!$Z$3:$Z$5001,"&lt;&gt;"))))</f>
        <v/>
      </c>
      <c r="G295" s="43" t="str">
        <f>IF($A295="","",IF(COUNTIFS(BD!$B$3:$B$5001,$A295,BD!$A$3:$A$5001,"&gt;="&amp;$F$7,BD!$A$3:$A$5001,"&lt;="&amp;$G$7,BD!$Y$3:$Y$5001,"&lt;&gt;")=0,"",SUMIFS(BD!$Y$3:$Y$5001,BD!$B$3:$B$5001,$A295,BD!$A$3:$A$5001,_xlfn.MAXIFS(BD!$A$3:$A$5001,BD!$B$3:$B$5001,$A295,BD!$A$3:$A$5001,"&gt;="&amp;$F$7,BD!$A$3:$A$5001,"&lt;="&amp;$G$7,BD!$Y$3:$Y$5001,"&lt;&gt;"))))</f>
        <v/>
      </c>
      <c r="H295" s="43" t="str">
        <f>IF($A295="","",IF(COUNTIFS(BD!$B$3:$B$5001,$A295,BD!$A$3:$A$5001,"&gt;="&amp;$F$8,BD!$A$3:$A$5001,"&lt;="&amp;$G$8,BD!$Y$3:$Y$5001,"&lt;&gt;")=0,"",SUMIFS(BD!$Y$3:$Y$5001,BD!$B$3:$B$5001,$A295,BD!$A$3:$A$5001,_xlfn.MAXIFS(BD!$A$3:$A$5001,BD!$B$3:$B$5001,$A295,BD!$A$3:$A$5001,"&gt;="&amp;$F$8,BD!$A$3:$A$5001,"&lt;="&amp;$G$8,BD!$Y$3:$Y$5001,"&lt;&gt;"))))</f>
        <v/>
      </c>
      <c r="I295" s="43" t="str">
        <f>IF($A295="","",IF(COUNTIFS(BD!$B$3:$B$5001,$A295,BD!$A$3:$A$5001,"&gt;="&amp;$F$7,BD!$A$3:$A$5001,"&lt;="&amp;$G$7,BD!$AA$3:$AA$5001,"&lt;&gt;")=0,"",SUMIFS(BD!$AA$3:$AA$5001,BD!$B$3:$B$5001,$A295,BD!$A$3:$A$5001,_xlfn.MAXIFS(BD!$A$3:$A$5001,BD!$B$3:$B$5001,$A295,BD!$A$3:$A$5001,"&gt;="&amp;$F$7,BD!$A$3:$A$5001,"&lt;="&amp;$G$7,BD!$AA$3:$AA$5001,"&lt;&gt;"))))</f>
        <v/>
      </c>
      <c r="J295" s="43" t="str">
        <f>IF($A295="","",IF(COUNTIFS(BD!$B$3:$B$5001,$A295,BD!$A$3:$A$5001,"&gt;="&amp;$F$8,BD!$A$3:$A$5001,"&lt;="&amp;$G$8,BD!$AA$3:$AA$5001,"&lt;&gt;")=0,"",SUMIFS(BD!$AA$3:$AA$5001,BD!$B$3:$B$5001,$A295,BD!$A$3:$A$5001,_xlfn.MAXIFS(BD!$A$3:$A$5001,BD!$B$3:$B$5001,$A295,BD!$A$3:$A$5001,"&gt;="&amp;$F$8,BD!$A$3:$A$5001,"&lt;="&amp;$G$8,BD!$AA$3:$AA$5001,"&lt;&gt;"))))</f>
        <v/>
      </c>
    </row>
    <row r="296">
      <c r="A296" s="65" t="str">
        <f>Config!$B$22&amp;""</f>
        <v/>
      </c>
      <c r="B296" s="38" t="str">
        <f>IF(Config!$C$22="","TPC",Config!$C$22)</f>
        <v>TPC</v>
      </c>
      <c r="C296" s="43" t="str">
        <f>IF($A296="","",IF(COUNTIFS(BD!$B$3:$B$5001,$A296,BD!$A$3:$A$5001,"&gt;="&amp;$F$7,BD!$A$3:$A$5001,"&lt;="&amp;$G$7,BD!$X$3:$X$5001,"&lt;&gt;")=0,"",SUMIFS(BD!$X$3:$X$5001,BD!$B$3:$B$5001,$A296,BD!$A$3:$A$5001,_xlfn.MAXIFS(BD!$A$3:$A$5001,BD!$B$3:$B$5001,$A296,BD!$A$3:$A$5001,"&gt;="&amp;$F$7,BD!$A$3:$A$5001,"&lt;="&amp;$G$7,BD!$X$3:$X$5001,"&lt;&gt;"))))</f>
        <v/>
      </c>
      <c r="D296" s="43" t="str">
        <f>IF($A296="","",IF(COUNTIFS(BD!$B$3:$B$5001,$A296,BD!$A$3:$A$5001,"&gt;="&amp;$F$8,BD!$A$3:$A$5001,"&lt;="&amp;$G$8,BD!$X$3:$X$5001,"&lt;&gt;")=0,"",SUMIFS(BD!$X$3:$X$5001,BD!$B$3:$B$5001,$A296,BD!$A$3:$A$5001,_xlfn.MAXIFS(BD!$A$3:$A$5001,BD!$B$3:$B$5001,$A296,BD!$A$3:$A$5001,"&gt;="&amp;$F$8,BD!$A$3:$A$5001,"&lt;="&amp;$G$8,BD!$X$3:$X$5001,"&lt;&gt;"))))</f>
        <v/>
      </c>
      <c r="E296" s="43" t="str">
        <f>IF($A296="","",IF(COUNTIFS(BD!$B$3:$B$5001,$A296,BD!$A$3:$A$5001,"&gt;="&amp;$F$7,BD!$A$3:$A$5001,"&lt;="&amp;$G$7,BD!$Z$3:$Z$5001,"&lt;&gt;")=0,"",SUMIFS(BD!$Z$3:$Z$5001,BD!$B$3:$B$5001,$A296,BD!$A$3:$A$5001,_xlfn.MAXIFS(BD!$A$3:$A$5001,BD!$B$3:$B$5001,$A296,BD!$A$3:$A$5001,"&gt;="&amp;$F$7,BD!$A$3:$A$5001,"&lt;="&amp;$G$7,BD!$Z$3:$Z$5001,"&lt;&gt;"))))</f>
        <v/>
      </c>
      <c r="F296" s="43" t="str">
        <f>IF($A296="","",IF(COUNTIFS(BD!$B$3:$B$5001,$A296,BD!$A$3:$A$5001,"&gt;="&amp;$F$8,BD!$A$3:$A$5001,"&lt;="&amp;$G$8,BD!$Z$3:$Z$5001,"&lt;&gt;")=0,"",SUMIFS(BD!$Z$3:$Z$5001,BD!$B$3:$B$5001,$A296,BD!$A$3:$A$5001,_xlfn.MAXIFS(BD!$A$3:$A$5001,BD!$B$3:$B$5001,$A296,BD!$A$3:$A$5001,"&gt;="&amp;$F$8,BD!$A$3:$A$5001,"&lt;="&amp;$G$8,BD!$Z$3:$Z$5001,"&lt;&gt;"))))</f>
        <v/>
      </c>
      <c r="G296" s="43" t="str">
        <f>IF($A296="","",IF(COUNTIFS(BD!$B$3:$B$5001,$A296,BD!$A$3:$A$5001,"&gt;="&amp;$F$7,BD!$A$3:$A$5001,"&lt;="&amp;$G$7,BD!$Y$3:$Y$5001,"&lt;&gt;")=0,"",SUMIFS(BD!$Y$3:$Y$5001,BD!$B$3:$B$5001,$A296,BD!$A$3:$A$5001,_xlfn.MAXIFS(BD!$A$3:$A$5001,BD!$B$3:$B$5001,$A296,BD!$A$3:$A$5001,"&gt;="&amp;$F$7,BD!$A$3:$A$5001,"&lt;="&amp;$G$7,BD!$Y$3:$Y$5001,"&lt;&gt;"))))</f>
        <v/>
      </c>
      <c r="H296" s="43" t="str">
        <f>IF($A296="","",IF(COUNTIFS(BD!$B$3:$B$5001,$A296,BD!$A$3:$A$5001,"&gt;="&amp;$F$8,BD!$A$3:$A$5001,"&lt;="&amp;$G$8,BD!$Y$3:$Y$5001,"&lt;&gt;")=0,"",SUMIFS(BD!$Y$3:$Y$5001,BD!$B$3:$B$5001,$A296,BD!$A$3:$A$5001,_xlfn.MAXIFS(BD!$A$3:$A$5001,BD!$B$3:$B$5001,$A296,BD!$A$3:$A$5001,"&gt;="&amp;$F$8,BD!$A$3:$A$5001,"&lt;="&amp;$G$8,BD!$Y$3:$Y$5001,"&lt;&gt;"))))</f>
        <v/>
      </c>
      <c r="I296" s="43" t="str">
        <f>IF($A296="","",IF(COUNTIFS(BD!$B$3:$B$5001,$A296,BD!$A$3:$A$5001,"&gt;="&amp;$F$7,BD!$A$3:$A$5001,"&lt;="&amp;$G$7,BD!$AA$3:$AA$5001,"&lt;&gt;")=0,"",SUMIFS(BD!$AA$3:$AA$5001,BD!$B$3:$B$5001,$A296,BD!$A$3:$A$5001,_xlfn.MAXIFS(BD!$A$3:$A$5001,BD!$B$3:$B$5001,$A296,BD!$A$3:$A$5001,"&gt;="&amp;$F$7,BD!$A$3:$A$5001,"&lt;="&amp;$G$7,BD!$AA$3:$AA$5001,"&lt;&gt;"))))</f>
        <v/>
      </c>
      <c r="J296" s="43" t="str">
        <f>IF($A296="","",IF(COUNTIFS(BD!$B$3:$B$5001,$A296,BD!$A$3:$A$5001,"&gt;="&amp;$F$8,BD!$A$3:$A$5001,"&lt;="&amp;$G$8,BD!$AA$3:$AA$5001,"&lt;&gt;")=0,"",SUMIFS(BD!$AA$3:$AA$5001,BD!$B$3:$B$5001,$A296,BD!$A$3:$A$5001,_xlfn.MAXIFS(BD!$A$3:$A$5001,BD!$B$3:$B$5001,$A296,BD!$A$3:$A$5001,"&gt;="&amp;$F$8,BD!$A$3:$A$5001,"&lt;="&amp;$G$8,BD!$AA$3:$AA$5001,"&lt;&gt;"))))</f>
        <v/>
      </c>
    </row>
    <row r="297">
      <c r="A297" s="65" t="str">
        <f>Config!$B$23&amp;""</f>
        <v/>
      </c>
      <c r="B297" s="38" t="str">
        <f>IF(Config!$C$23="","TPC",Config!$C$23)</f>
        <v>TPC</v>
      </c>
      <c r="C297" s="43" t="str">
        <f>IF($A297="","",IF(COUNTIFS(BD!$B$3:$B$5001,$A297,BD!$A$3:$A$5001,"&gt;="&amp;$F$7,BD!$A$3:$A$5001,"&lt;="&amp;$G$7,BD!$X$3:$X$5001,"&lt;&gt;")=0,"",SUMIFS(BD!$X$3:$X$5001,BD!$B$3:$B$5001,$A297,BD!$A$3:$A$5001,_xlfn.MAXIFS(BD!$A$3:$A$5001,BD!$B$3:$B$5001,$A297,BD!$A$3:$A$5001,"&gt;="&amp;$F$7,BD!$A$3:$A$5001,"&lt;="&amp;$G$7,BD!$X$3:$X$5001,"&lt;&gt;"))))</f>
        <v/>
      </c>
      <c r="D297" s="43" t="str">
        <f>IF($A297="","",IF(COUNTIFS(BD!$B$3:$B$5001,$A297,BD!$A$3:$A$5001,"&gt;="&amp;$F$8,BD!$A$3:$A$5001,"&lt;="&amp;$G$8,BD!$X$3:$X$5001,"&lt;&gt;")=0,"",SUMIFS(BD!$X$3:$X$5001,BD!$B$3:$B$5001,$A297,BD!$A$3:$A$5001,_xlfn.MAXIFS(BD!$A$3:$A$5001,BD!$B$3:$B$5001,$A297,BD!$A$3:$A$5001,"&gt;="&amp;$F$8,BD!$A$3:$A$5001,"&lt;="&amp;$G$8,BD!$X$3:$X$5001,"&lt;&gt;"))))</f>
        <v/>
      </c>
      <c r="E297" s="43" t="str">
        <f>IF($A297="","",IF(COUNTIFS(BD!$B$3:$B$5001,$A297,BD!$A$3:$A$5001,"&gt;="&amp;$F$7,BD!$A$3:$A$5001,"&lt;="&amp;$G$7,BD!$Z$3:$Z$5001,"&lt;&gt;")=0,"",SUMIFS(BD!$Z$3:$Z$5001,BD!$B$3:$B$5001,$A297,BD!$A$3:$A$5001,_xlfn.MAXIFS(BD!$A$3:$A$5001,BD!$B$3:$B$5001,$A297,BD!$A$3:$A$5001,"&gt;="&amp;$F$7,BD!$A$3:$A$5001,"&lt;="&amp;$G$7,BD!$Z$3:$Z$5001,"&lt;&gt;"))))</f>
        <v/>
      </c>
      <c r="F297" s="43" t="str">
        <f>IF($A297="","",IF(COUNTIFS(BD!$B$3:$B$5001,$A297,BD!$A$3:$A$5001,"&gt;="&amp;$F$8,BD!$A$3:$A$5001,"&lt;="&amp;$G$8,BD!$Z$3:$Z$5001,"&lt;&gt;")=0,"",SUMIFS(BD!$Z$3:$Z$5001,BD!$B$3:$B$5001,$A297,BD!$A$3:$A$5001,_xlfn.MAXIFS(BD!$A$3:$A$5001,BD!$B$3:$B$5001,$A297,BD!$A$3:$A$5001,"&gt;="&amp;$F$8,BD!$A$3:$A$5001,"&lt;="&amp;$G$8,BD!$Z$3:$Z$5001,"&lt;&gt;"))))</f>
        <v/>
      </c>
      <c r="G297" s="43" t="str">
        <f>IF($A297="","",IF(COUNTIFS(BD!$B$3:$B$5001,$A297,BD!$A$3:$A$5001,"&gt;="&amp;$F$7,BD!$A$3:$A$5001,"&lt;="&amp;$G$7,BD!$Y$3:$Y$5001,"&lt;&gt;")=0,"",SUMIFS(BD!$Y$3:$Y$5001,BD!$B$3:$B$5001,$A297,BD!$A$3:$A$5001,_xlfn.MAXIFS(BD!$A$3:$A$5001,BD!$B$3:$B$5001,$A297,BD!$A$3:$A$5001,"&gt;="&amp;$F$7,BD!$A$3:$A$5001,"&lt;="&amp;$G$7,BD!$Y$3:$Y$5001,"&lt;&gt;"))))</f>
        <v/>
      </c>
      <c r="H297" s="43" t="str">
        <f>IF($A297="","",IF(COUNTIFS(BD!$B$3:$B$5001,$A297,BD!$A$3:$A$5001,"&gt;="&amp;$F$8,BD!$A$3:$A$5001,"&lt;="&amp;$G$8,BD!$Y$3:$Y$5001,"&lt;&gt;")=0,"",SUMIFS(BD!$Y$3:$Y$5001,BD!$B$3:$B$5001,$A297,BD!$A$3:$A$5001,_xlfn.MAXIFS(BD!$A$3:$A$5001,BD!$B$3:$B$5001,$A297,BD!$A$3:$A$5001,"&gt;="&amp;$F$8,BD!$A$3:$A$5001,"&lt;="&amp;$G$8,BD!$Y$3:$Y$5001,"&lt;&gt;"))))</f>
        <v/>
      </c>
      <c r="I297" s="43" t="str">
        <f>IF($A297="","",IF(COUNTIFS(BD!$B$3:$B$5001,$A297,BD!$A$3:$A$5001,"&gt;="&amp;$F$7,BD!$A$3:$A$5001,"&lt;="&amp;$G$7,BD!$AA$3:$AA$5001,"&lt;&gt;")=0,"",SUMIFS(BD!$AA$3:$AA$5001,BD!$B$3:$B$5001,$A297,BD!$A$3:$A$5001,_xlfn.MAXIFS(BD!$A$3:$A$5001,BD!$B$3:$B$5001,$A297,BD!$A$3:$A$5001,"&gt;="&amp;$F$7,BD!$A$3:$A$5001,"&lt;="&amp;$G$7,BD!$AA$3:$AA$5001,"&lt;&gt;"))))</f>
        <v/>
      </c>
      <c r="J297" s="43" t="str">
        <f>IF($A297="","",IF(COUNTIFS(BD!$B$3:$B$5001,$A297,BD!$A$3:$A$5001,"&gt;="&amp;$F$8,BD!$A$3:$A$5001,"&lt;="&amp;$G$8,BD!$AA$3:$AA$5001,"&lt;&gt;")=0,"",SUMIFS(BD!$AA$3:$AA$5001,BD!$B$3:$B$5001,$A297,BD!$A$3:$A$5001,_xlfn.MAXIFS(BD!$A$3:$A$5001,BD!$B$3:$B$5001,$A297,BD!$A$3:$A$5001,"&gt;="&amp;$F$8,BD!$A$3:$A$5001,"&lt;="&amp;$G$8,BD!$AA$3:$AA$5001,"&lt;&gt;"))))</f>
        <v/>
      </c>
    </row>
    <row r="298">
      <c r="A298" s="65" t="str">
        <f>Config!$B$24&amp;""</f>
        <v/>
      </c>
      <c r="B298" s="38" t="str">
        <f>IF(Config!$C$24="","TPC",Config!$C$24)</f>
        <v>TPC</v>
      </c>
      <c r="C298" s="43" t="str">
        <f>IF($A298="","",IF(COUNTIFS(BD!$B$3:$B$5001,$A298,BD!$A$3:$A$5001,"&gt;="&amp;$F$7,BD!$A$3:$A$5001,"&lt;="&amp;$G$7,BD!$X$3:$X$5001,"&lt;&gt;")=0,"",SUMIFS(BD!$X$3:$X$5001,BD!$B$3:$B$5001,$A298,BD!$A$3:$A$5001,_xlfn.MAXIFS(BD!$A$3:$A$5001,BD!$B$3:$B$5001,$A298,BD!$A$3:$A$5001,"&gt;="&amp;$F$7,BD!$A$3:$A$5001,"&lt;="&amp;$G$7,BD!$X$3:$X$5001,"&lt;&gt;"))))</f>
        <v/>
      </c>
      <c r="D298" s="43" t="str">
        <f>IF($A298="","",IF(COUNTIFS(BD!$B$3:$B$5001,$A298,BD!$A$3:$A$5001,"&gt;="&amp;$F$8,BD!$A$3:$A$5001,"&lt;="&amp;$G$8,BD!$X$3:$X$5001,"&lt;&gt;")=0,"",SUMIFS(BD!$X$3:$X$5001,BD!$B$3:$B$5001,$A298,BD!$A$3:$A$5001,_xlfn.MAXIFS(BD!$A$3:$A$5001,BD!$B$3:$B$5001,$A298,BD!$A$3:$A$5001,"&gt;="&amp;$F$8,BD!$A$3:$A$5001,"&lt;="&amp;$G$8,BD!$X$3:$X$5001,"&lt;&gt;"))))</f>
        <v/>
      </c>
      <c r="E298" s="43" t="str">
        <f>IF($A298="","",IF(COUNTIFS(BD!$B$3:$B$5001,$A298,BD!$A$3:$A$5001,"&gt;="&amp;$F$7,BD!$A$3:$A$5001,"&lt;="&amp;$G$7,BD!$Z$3:$Z$5001,"&lt;&gt;")=0,"",SUMIFS(BD!$Z$3:$Z$5001,BD!$B$3:$B$5001,$A298,BD!$A$3:$A$5001,_xlfn.MAXIFS(BD!$A$3:$A$5001,BD!$B$3:$B$5001,$A298,BD!$A$3:$A$5001,"&gt;="&amp;$F$7,BD!$A$3:$A$5001,"&lt;="&amp;$G$7,BD!$Z$3:$Z$5001,"&lt;&gt;"))))</f>
        <v/>
      </c>
      <c r="F298" s="43" t="str">
        <f>IF($A298="","",IF(COUNTIFS(BD!$B$3:$B$5001,$A298,BD!$A$3:$A$5001,"&gt;="&amp;$F$8,BD!$A$3:$A$5001,"&lt;="&amp;$G$8,BD!$Z$3:$Z$5001,"&lt;&gt;")=0,"",SUMIFS(BD!$Z$3:$Z$5001,BD!$B$3:$B$5001,$A298,BD!$A$3:$A$5001,_xlfn.MAXIFS(BD!$A$3:$A$5001,BD!$B$3:$B$5001,$A298,BD!$A$3:$A$5001,"&gt;="&amp;$F$8,BD!$A$3:$A$5001,"&lt;="&amp;$G$8,BD!$Z$3:$Z$5001,"&lt;&gt;"))))</f>
        <v/>
      </c>
      <c r="G298" s="43" t="str">
        <f>IF($A298="","",IF(COUNTIFS(BD!$B$3:$B$5001,$A298,BD!$A$3:$A$5001,"&gt;="&amp;$F$7,BD!$A$3:$A$5001,"&lt;="&amp;$G$7,BD!$Y$3:$Y$5001,"&lt;&gt;")=0,"",SUMIFS(BD!$Y$3:$Y$5001,BD!$B$3:$B$5001,$A298,BD!$A$3:$A$5001,_xlfn.MAXIFS(BD!$A$3:$A$5001,BD!$B$3:$B$5001,$A298,BD!$A$3:$A$5001,"&gt;="&amp;$F$7,BD!$A$3:$A$5001,"&lt;="&amp;$G$7,BD!$Y$3:$Y$5001,"&lt;&gt;"))))</f>
        <v/>
      </c>
      <c r="H298" s="43" t="str">
        <f>IF($A298="","",IF(COUNTIFS(BD!$B$3:$B$5001,$A298,BD!$A$3:$A$5001,"&gt;="&amp;$F$8,BD!$A$3:$A$5001,"&lt;="&amp;$G$8,BD!$Y$3:$Y$5001,"&lt;&gt;")=0,"",SUMIFS(BD!$Y$3:$Y$5001,BD!$B$3:$B$5001,$A298,BD!$A$3:$A$5001,_xlfn.MAXIFS(BD!$A$3:$A$5001,BD!$B$3:$B$5001,$A298,BD!$A$3:$A$5001,"&gt;="&amp;$F$8,BD!$A$3:$A$5001,"&lt;="&amp;$G$8,BD!$Y$3:$Y$5001,"&lt;&gt;"))))</f>
        <v/>
      </c>
      <c r="I298" s="43" t="str">
        <f>IF($A298="","",IF(COUNTIFS(BD!$B$3:$B$5001,$A298,BD!$A$3:$A$5001,"&gt;="&amp;$F$7,BD!$A$3:$A$5001,"&lt;="&amp;$G$7,BD!$AA$3:$AA$5001,"&lt;&gt;")=0,"",SUMIFS(BD!$AA$3:$AA$5001,BD!$B$3:$B$5001,$A298,BD!$A$3:$A$5001,_xlfn.MAXIFS(BD!$A$3:$A$5001,BD!$B$3:$B$5001,$A298,BD!$A$3:$A$5001,"&gt;="&amp;$F$7,BD!$A$3:$A$5001,"&lt;="&amp;$G$7,BD!$AA$3:$AA$5001,"&lt;&gt;"))))</f>
        <v/>
      </c>
      <c r="J298" s="43" t="str">
        <f>IF($A298="","",IF(COUNTIFS(BD!$B$3:$B$5001,$A298,BD!$A$3:$A$5001,"&gt;="&amp;$F$8,BD!$A$3:$A$5001,"&lt;="&amp;$G$8,BD!$AA$3:$AA$5001,"&lt;&gt;")=0,"",SUMIFS(BD!$AA$3:$AA$5001,BD!$B$3:$B$5001,$A298,BD!$A$3:$A$5001,_xlfn.MAXIFS(BD!$A$3:$A$5001,BD!$B$3:$B$5001,$A298,BD!$A$3:$A$5001,"&gt;="&amp;$F$8,BD!$A$3:$A$5001,"&lt;="&amp;$G$8,BD!$AA$3:$AA$5001,"&lt;&gt;"))))</f>
        <v/>
      </c>
    </row>
    <row r="299">
      <c r="A299" s="65" t="str">
        <f>Config!$B$25&amp;""</f>
        <v/>
      </c>
      <c r="B299" s="38" t="str">
        <f>IF(Config!$C$25="","TPC",Config!$C$25)</f>
        <v>TPC</v>
      </c>
      <c r="C299" s="43" t="str">
        <f>IF($A299="","",IF(COUNTIFS(BD!$B$3:$B$5001,$A299,BD!$A$3:$A$5001,"&gt;="&amp;$F$7,BD!$A$3:$A$5001,"&lt;="&amp;$G$7,BD!$X$3:$X$5001,"&lt;&gt;")=0,"",SUMIFS(BD!$X$3:$X$5001,BD!$B$3:$B$5001,$A299,BD!$A$3:$A$5001,_xlfn.MAXIFS(BD!$A$3:$A$5001,BD!$B$3:$B$5001,$A299,BD!$A$3:$A$5001,"&gt;="&amp;$F$7,BD!$A$3:$A$5001,"&lt;="&amp;$G$7,BD!$X$3:$X$5001,"&lt;&gt;"))))</f>
        <v/>
      </c>
      <c r="D299" s="43" t="str">
        <f>IF($A299="","",IF(COUNTIFS(BD!$B$3:$B$5001,$A299,BD!$A$3:$A$5001,"&gt;="&amp;$F$8,BD!$A$3:$A$5001,"&lt;="&amp;$G$8,BD!$X$3:$X$5001,"&lt;&gt;")=0,"",SUMIFS(BD!$X$3:$X$5001,BD!$B$3:$B$5001,$A299,BD!$A$3:$A$5001,_xlfn.MAXIFS(BD!$A$3:$A$5001,BD!$B$3:$B$5001,$A299,BD!$A$3:$A$5001,"&gt;="&amp;$F$8,BD!$A$3:$A$5001,"&lt;="&amp;$G$8,BD!$X$3:$X$5001,"&lt;&gt;"))))</f>
        <v/>
      </c>
      <c r="E299" s="43" t="str">
        <f>IF($A299="","",IF(COUNTIFS(BD!$B$3:$B$5001,$A299,BD!$A$3:$A$5001,"&gt;="&amp;$F$7,BD!$A$3:$A$5001,"&lt;="&amp;$G$7,BD!$Z$3:$Z$5001,"&lt;&gt;")=0,"",SUMIFS(BD!$Z$3:$Z$5001,BD!$B$3:$B$5001,$A299,BD!$A$3:$A$5001,_xlfn.MAXIFS(BD!$A$3:$A$5001,BD!$B$3:$B$5001,$A299,BD!$A$3:$A$5001,"&gt;="&amp;$F$7,BD!$A$3:$A$5001,"&lt;="&amp;$G$7,BD!$Z$3:$Z$5001,"&lt;&gt;"))))</f>
        <v/>
      </c>
      <c r="F299" s="43" t="str">
        <f>IF($A299="","",IF(COUNTIFS(BD!$B$3:$B$5001,$A299,BD!$A$3:$A$5001,"&gt;="&amp;$F$8,BD!$A$3:$A$5001,"&lt;="&amp;$G$8,BD!$Z$3:$Z$5001,"&lt;&gt;")=0,"",SUMIFS(BD!$Z$3:$Z$5001,BD!$B$3:$B$5001,$A299,BD!$A$3:$A$5001,_xlfn.MAXIFS(BD!$A$3:$A$5001,BD!$B$3:$B$5001,$A299,BD!$A$3:$A$5001,"&gt;="&amp;$F$8,BD!$A$3:$A$5001,"&lt;="&amp;$G$8,BD!$Z$3:$Z$5001,"&lt;&gt;"))))</f>
        <v/>
      </c>
      <c r="G299" s="43" t="str">
        <f>IF($A299="","",IF(COUNTIFS(BD!$B$3:$B$5001,$A299,BD!$A$3:$A$5001,"&gt;="&amp;$F$7,BD!$A$3:$A$5001,"&lt;="&amp;$G$7,BD!$Y$3:$Y$5001,"&lt;&gt;")=0,"",SUMIFS(BD!$Y$3:$Y$5001,BD!$B$3:$B$5001,$A299,BD!$A$3:$A$5001,_xlfn.MAXIFS(BD!$A$3:$A$5001,BD!$B$3:$B$5001,$A299,BD!$A$3:$A$5001,"&gt;="&amp;$F$7,BD!$A$3:$A$5001,"&lt;="&amp;$G$7,BD!$Y$3:$Y$5001,"&lt;&gt;"))))</f>
        <v/>
      </c>
      <c r="H299" s="43" t="str">
        <f>IF($A299="","",IF(COUNTIFS(BD!$B$3:$B$5001,$A299,BD!$A$3:$A$5001,"&gt;="&amp;$F$8,BD!$A$3:$A$5001,"&lt;="&amp;$G$8,BD!$Y$3:$Y$5001,"&lt;&gt;")=0,"",SUMIFS(BD!$Y$3:$Y$5001,BD!$B$3:$B$5001,$A299,BD!$A$3:$A$5001,_xlfn.MAXIFS(BD!$A$3:$A$5001,BD!$B$3:$B$5001,$A299,BD!$A$3:$A$5001,"&gt;="&amp;$F$8,BD!$A$3:$A$5001,"&lt;="&amp;$G$8,BD!$Y$3:$Y$5001,"&lt;&gt;"))))</f>
        <v/>
      </c>
      <c r="I299" s="43" t="str">
        <f>IF($A299="","",IF(COUNTIFS(BD!$B$3:$B$5001,$A299,BD!$A$3:$A$5001,"&gt;="&amp;$F$7,BD!$A$3:$A$5001,"&lt;="&amp;$G$7,BD!$AA$3:$AA$5001,"&lt;&gt;")=0,"",SUMIFS(BD!$AA$3:$AA$5001,BD!$B$3:$B$5001,$A299,BD!$A$3:$A$5001,_xlfn.MAXIFS(BD!$A$3:$A$5001,BD!$B$3:$B$5001,$A299,BD!$A$3:$A$5001,"&gt;="&amp;$F$7,BD!$A$3:$A$5001,"&lt;="&amp;$G$7,BD!$AA$3:$AA$5001,"&lt;&gt;"))))</f>
        <v/>
      </c>
      <c r="J299" s="43" t="str">
        <f>IF($A299="","",IF(COUNTIFS(BD!$B$3:$B$5001,$A299,BD!$A$3:$A$5001,"&gt;="&amp;$F$8,BD!$A$3:$A$5001,"&lt;="&amp;$G$8,BD!$AA$3:$AA$5001,"&lt;&gt;")=0,"",SUMIFS(BD!$AA$3:$AA$5001,BD!$B$3:$B$5001,$A299,BD!$A$3:$A$5001,_xlfn.MAXIFS(BD!$A$3:$A$5001,BD!$B$3:$B$5001,$A299,BD!$A$3:$A$5001,"&gt;="&amp;$F$8,BD!$A$3:$A$5001,"&lt;="&amp;$G$8,BD!$AA$3:$AA$5001,"&lt;&gt;"))))</f>
        <v/>
      </c>
    </row>
    <row r="300">
      <c r="A300" s="65" t="str">
        <f>Config!$B$26&amp;""</f>
        <v/>
      </c>
      <c r="B300" s="38" t="str">
        <f>IF(Config!$C$26="","TPC",Config!$C$26)</f>
        <v>TPC</v>
      </c>
      <c r="C300" s="43" t="str">
        <f>IF($A300="","",IF(COUNTIFS(BD!$B$3:$B$5001,$A300,BD!$A$3:$A$5001,"&gt;="&amp;$F$7,BD!$A$3:$A$5001,"&lt;="&amp;$G$7,BD!$X$3:$X$5001,"&lt;&gt;")=0,"",SUMIFS(BD!$X$3:$X$5001,BD!$B$3:$B$5001,$A300,BD!$A$3:$A$5001,_xlfn.MAXIFS(BD!$A$3:$A$5001,BD!$B$3:$B$5001,$A300,BD!$A$3:$A$5001,"&gt;="&amp;$F$7,BD!$A$3:$A$5001,"&lt;="&amp;$G$7,BD!$X$3:$X$5001,"&lt;&gt;"))))</f>
        <v/>
      </c>
      <c r="D300" s="43" t="str">
        <f>IF($A300="","",IF(COUNTIFS(BD!$B$3:$B$5001,$A300,BD!$A$3:$A$5001,"&gt;="&amp;$F$8,BD!$A$3:$A$5001,"&lt;="&amp;$G$8,BD!$X$3:$X$5001,"&lt;&gt;")=0,"",SUMIFS(BD!$X$3:$X$5001,BD!$B$3:$B$5001,$A300,BD!$A$3:$A$5001,_xlfn.MAXIFS(BD!$A$3:$A$5001,BD!$B$3:$B$5001,$A300,BD!$A$3:$A$5001,"&gt;="&amp;$F$8,BD!$A$3:$A$5001,"&lt;="&amp;$G$8,BD!$X$3:$X$5001,"&lt;&gt;"))))</f>
        <v/>
      </c>
      <c r="E300" s="43" t="str">
        <f>IF($A300="","",IF(COUNTIFS(BD!$B$3:$B$5001,$A300,BD!$A$3:$A$5001,"&gt;="&amp;$F$7,BD!$A$3:$A$5001,"&lt;="&amp;$G$7,BD!$Z$3:$Z$5001,"&lt;&gt;")=0,"",SUMIFS(BD!$Z$3:$Z$5001,BD!$B$3:$B$5001,$A300,BD!$A$3:$A$5001,_xlfn.MAXIFS(BD!$A$3:$A$5001,BD!$B$3:$B$5001,$A300,BD!$A$3:$A$5001,"&gt;="&amp;$F$7,BD!$A$3:$A$5001,"&lt;="&amp;$G$7,BD!$Z$3:$Z$5001,"&lt;&gt;"))))</f>
        <v/>
      </c>
      <c r="F300" s="43" t="str">
        <f>IF($A300="","",IF(COUNTIFS(BD!$B$3:$B$5001,$A300,BD!$A$3:$A$5001,"&gt;="&amp;$F$8,BD!$A$3:$A$5001,"&lt;="&amp;$G$8,BD!$Z$3:$Z$5001,"&lt;&gt;")=0,"",SUMIFS(BD!$Z$3:$Z$5001,BD!$B$3:$B$5001,$A300,BD!$A$3:$A$5001,_xlfn.MAXIFS(BD!$A$3:$A$5001,BD!$B$3:$B$5001,$A300,BD!$A$3:$A$5001,"&gt;="&amp;$F$8,BD!$A$3:$A$5001,"&lt;="&amp;$G$8,BD!$Z$3:$Z$5001,"&lt;&gt;"))))</f>
        <v/>
      </c>
      <c r="G300" s="43" t="str">
        <f>IF($A300="","",IF(COUNTIFS(BD!$B$3:$B$5001,$A300,BD!$A$3:$A$5001,"&gt;="&amp;$F$7,BD!$A$3:$A$5001,"&lt;="&amp;$G$7,BD!$Y$3:$Y$5001,"&lt;&gt;")=0,"",SUMIFS(BD!$Y$3:$Y$5001,BD!$B$3:$B$5001,$A300,BD!$A$3:$A$5001,_xlfn.MAXIFS(BD!$A$3:$A$5001,BD!$B$3:$B$5001,$A300,BD!$A$3:$A$5001,"&gt;="&amp;$F$7,BD!$A$3:$A$5001,"&lt;="&amp;$G$7,BD!$Y$3:$Y$5001,"&lt;&gt;"))))</f>
        <v/>
      </c>
      <c r="H300" s="43" t="str">
        <f>IF($A300="","",IF(COUNTIFS(BD!$B$3:$B$5001,$A300,BD!$A$3:$A$5001,"&gt;="&amp;$F$8,BD!$A$3:$A$5001,"&lt;="&amp;$G$8,BD!$Y$3:$Y$5001,"&lt;&gt;")=0,"",SUMIFS(BD!$Y$3:$Y$5001,BD!$B$3:$B$5001,$A300,BD!$A$3:$A$5001,_xlfn.MAXIFS(BD!$A$3:$A$5001,BD!$B$3:$B$5001,$A300,BD!$A$3:$A$5001,"&gt;="&amp;$F$8,BD!$A$3:$A$5001,"&lt;="&amp;$G$8,BD!$Y$3:$Y$5001,"&lt;&gt;"))))</f>
        <v/>
      </c>
      <c r="I300" s="43" t="str">
        <f>IF($A300="","",IF(COUNTIFS(BD!$B$3:$B$5001,$A300,BD!$A$3:$A$5001,"&gt;="&amp;$F$7,BD!$A$3:$A$5001,"&lt;="&amp;$G$7,BD!$AA$3:$AA$5001,"&lt;&gt;")=0,"",SUMIFS(BD!$AA$3:$AA$5001,BD!$B$3:$B$5001,$A300,BD!$A$3:$A$5001,_xlfn.MAXIFS(BD!$A$3:$A$5001,BD!$B$3:$B$5001,$A300,BD!$A$3:$A$5001,"&gt;="&amp;$F$7,BD!$A$3:$A$5001,"&lt;="&amp;$G$7,BD!$AA$3:$AA$5001,"&lt;&gt;"))))</f>
        <v/>
      </c>
      <c r="J300" s="43" t="str">
        <f>IF($A300="","",IF(COUNTIFS(BD!$B$3:$B$5001,$A300,BD!$A$3:$A$5001,"&gt;="&amp;$F$8,BD!$A$3:$A$5001,"&lt;="&amp;$G$8,BD!$AA$3:$AA$5001,"&lt;&gt;")=0,"",SUMIFS(BD!$AA$3:$AA$5001,BD!$B$3:$B$5001,$A300,BD!$A$3:$A$5001,_xlfn.MAXIFS(BD!$A$3:$A$5001,BD!$B$3:$B$5001,$A300,BD!$A$3:$A$5001,"&gt;="&amp;$F$8,BD!$A$3:$A$5001,"&lt;="&amp;$G$8,BD!$AA$3:$AA$5001,"&lt;&gt;"))))</f>
        <v/>
      </c>
    </row>
    <row r="301">
      <c r="A301" s="65" t="str">
        <f>Config!$B$27&amp;""</f>
        <v/>
      </c>
      <c r="B301" s="38" t="str">
        <f>IF(Config!$C$27="","TPC",Config!$C$27)</f>
        <v>TPC</v>
      </c>
      <c r="C301" s="43" t="str">
        <f>IF($A301="","",IF(COUNTIFS(BD!$B$3:$B$5001,$A301,BD!$A$3:$A$5001,"&gt;="&amp;$F$7,BD!$A$3:$A$5001,"&lt;="&amp;$G$7,BD!$X$3:$X$5001,"&lt;&gt;")=0,"",SUMIFS(BD!$X$3:$X$5001,BD!$B$3:$B$5001,$A301,BD!$A$3:$A$5001,_xlfn.MAXIFS(BD!$A$3:$A$5001,BD!$B$3:$B$5001,$A301,BD!$A$3:$A$5001,"&gt;="&amp;$F$7,BD!$A$3:$A$5001,"&lt;="&amp;$G$7,BD!$X$3:$X$5001,"&lt;&gt;"))))</f>
        <v/>
      </c>
      <c r="D301" s="43" t="str">
        <f>IF($A301="","",IF(COUNTIFS(BD!$B$3:$B$5001,$A301,BD!$A$3:$A$5001,"&gt;="&amp;$F$8,BD!$A$3:$A$5001,"&lt;="&amp;$G$8,BD!$X$3:$X$5001,"&lt;&gt;")=0,"",SUMIFS(BD!$X$3:$X$5001,BD!$B$3:$B$5001,$A301,BD!$A$3:$A$5001,_xlfn.MAXIFS(BD!$A$3:$A$5001,BD!$B$3:$B$5001,$A301,BD!$A$3:$A$5001,"&gt;="&amp;$F$8,BD!$A$3:$A$5001,"&lt;="&amp;$G$8,BD!$X$3:$X$5001,"&lt;&gt;"))))</f>
        <v/>
      </c>
      <c r="E301" s="43" t="str">
        <f>IF($A301="","",IF(COUNTIFS(BD!$B$3:$B$5001,$A301,BD!$A$3:$A$5001,"&gt;="&amp;$F$7,BD!$A$3:$A$5001,"&lt;="&amp;$G$7,BD!$Z$3:$Z$5001,"&lt;&gt;")=0,"",SUMIFS(BD!$Z$3:$Z$5001,BD!$B$3:$B$5001,$A301,BD!$A$3:$A$5001,_xlfn.MAXIFS(BD!$A$3:$A$5001,BD!$B$3:$B$5001,$A301,BD!$A$3:$A$5001,"&gt;="&amp;$F$7,BD!$A$3:$A$5001,"&lt;="&amp;$G$7,BD!$Z$3:$Z$5001,"&lt;&gt;"))))</f>
        <v/>
      </c>
      <c r="F301" s="43" t="str">
        <f>IF($A301="","",IF(COUNTIFS(BD!$B$3:$B$5001,$A301,BD!$A$3:$A$5001,"&gt;="&amp;$F$8,BD!$A$3:$A$5001,"&lt;="&amp;$G$8,BD!$Z$3:$Z$5001,"&lt;&gt;")=0,"",SUMIFS(BD!$Z$3:$Z$5001,BD!$B$3:$B$5001,$A301,BD!$A$3:$A$5001,_xlfn.MAXIFS(BD!$A$3:$A$5001,BD!$B$3:$B$5001,$A301,BD!$A$3:$A$5001,"&gt;="&amp;$F$8,BD!$A$3:$A$5001,"&lt;="&amp;$G$8,BD!$Z$3:$Z$5001,"&lt;&gt;"))))</f>
        <v/>
      </c>
      <c r="G301" s="43" t="str">
        <f>IF($A301="","",IF(COUNTIFS(BD!$B$3:$B$5001,$A301,BD!$A$3:$A$5001,"&gt;="&amp;$F$7,BD!$A$3:$A$5001,"&lt;="&amp;$G$7,BD!$Y$3:$Y$5001,"&lt;&gt;")=0,"",SUMIFS(BD!$Y$3:$Y$5001,BD!$B$3:$B$5001,$A301,BD!$A$3:$A$5001,_xlfn.MAXIFS(BD!$A$3:$A$5001,BD!$B$3:$B$5001,$A301,BD!$A$3:$A$5001,"&gt;="&amp;$F$7,BD!$A$3:$A$5001,"&lt;="&amp;$G$7,BD!$Y$3:$Y$5001,"&lt;&gt;"))))</f>
        <v/>
      </c>
      <c r="H301" s="43" t="str">
        <f>IF($A301="","",IF(COUNTIFS(BD!$B$3:$B$5001,$A301,BD!$A$3:$A$5001,"&gt;="&amp;$F$8,BD!$A$3:$A$5001,"&lt;="&amp;$G$8,BD!$Y$3:$Y$5001,"&lt;&gt;")=0,"",SUMIFS(BD!$Y$3:$Y$5001,BD!$B$3:$B$5001,$A301,BD!$A$3:$A$5001,_xlfn.MAXIFS(BD!$A$3:$A$5001,BD!$B$3:$B$5001,$A301,BD!$A$3:$A$5001,"&gt;="&amp;$F$8,BD!$A$3:$A$5001,"&lt;="&amp;$G$8,BD!$Y$3:$Y$5001,"&lt;&gt;"))))</f>
        <v/>
      </c>
      <c r="I301" s="43" t="str">
        <f>IF($A301="","",IF(COUNTIFS(BD!$B$3:$B$5001,$A301,BD!$A$3:$A$5001,"&gt;="&amp;$F$7,BD!$A$3:$A$5001,"&lt;="&amp;$G$7,BD!$AA$3:$AA$5001,"&lt;&gt;")=0,"",SUMIFS(BD!$AA$3:$AA$5001,BD!$B$3:$B$5001,$A301,BD!$A$3:$A$5001,_xlfn.MAXIFS(BD!$A$3:$A$5001,BD!$B$3:$B$5001,$A301,BD!$A$3:$A$5001,"&gt;="&amp;$F$7,BD!$A$3:$A$5001,"&lt;="&amp;$G$7,BD!$AA$3:$AA$5001,"&lt;&gt;"))))</f>
        <v/>
      </c>
      <c r="J301" s="43" t="str">
        <f>IF($A301="","",IF(COUNTIFS(BD!$B$3:$B$5001,$A301,BD!$A$3:$A$5001,"&gt;="&amp;$F$8,BD!$A$3:$A$5001,"&lt;="&amp;$G$8,BD!$AA$3:$AA$5001,"&lt;&gt;")=0,"",SUMIFS(BD!$AA$3:$AA$5001,BD!$B$3:$B$5001,$A301,BD!$A$3:$A$5001,_xlfn.MAXIFS(BD!$A$3:$A$5001,BD!$B$3:$B$5001,$A301,BD!$A$3:$A$5001,"&gt;="&amp;$F$8,BD!$A$3:$A$5001,"&lt;="&amp;$G$8,BD!$AA$3:$AA$5001,"&lt;&gt;"))))</f>
        <v/>
      </c>
    </row>
    <row r="302">
      <c r="A302" s="65" t="str">
        <f>Config!$B$28&amp;""</f>
        <v/>
      </c>
      <c r="B302" s="38" t="str">
        <f>IF(Config!$C$28="","TPC",Config!$C$28)</f>
        <v>TPC</v>
      </c>
      <c r="C302" s="43" t="str">
        <f>IF($A302="","",IF(COUNTIFS(BD!$B$3:$B$5001,$A302,BD!$A$3:$A$5001,"&gt;="&amp;$F$7,BD!$A$3:$A$5001,"&lt;="&amp;$G$7,BD!$X$3:$X$5001,"&lt;&gt;")=0,"",SUMIFS(BD!$X$3:$X$5001,BD!$B$3:$B$5001,$A302,BD!$A$3:$A$5001,_xlfn.MAXIFS(BD!$A$3:$A$5001,BD!$B$3:$B$5001,$A302,BD!$A$3:$A$5001,"&gt;="&amp;$F$7,BD!$A$3:$A$5001,"&lt;="&amp;$G$7,BD!$X$3:$X$5001,"&lt;&gt;"))))</f>
        <v/>
      </c>
      <c r="D302" s="43" t="str">
        <f>IF($A302="","",IF(COUNTIFS(BD!$B$3:$B$5001,$A302,BD!$A$3:$A$5001,"&gt;="&amp;$F$8,BD!$A$3:$A$5001,"&lt;="&amp;$G$8,BD!$X$3:$X$5001,"&lt;&gt;")=0,"",SUMIFS(BD!$X$3:$X$5001,BD!$B$3:$B$5001,$A302,BD!$A$3:$A$5001,_xlfn.MAXIFS(BD!$A$3:$A$5001,BD!$B$3:$B$5001,$A302,BD!$A$3:$A$5001,"&gt;="&amp;$F$8,BD!$A$3:$A$5001,"&lt;="&amp;$G$8,BD!$X$3:$X$5001,"&lt;&gt;"))))</f>
        <v/>
      </c>
      <c r="E302" s="43" t="str">
        <f>IF($A302="","",IF(COUNTIFS(BD!$B$3:$B$5001,$A302,BD!$A$3:$A$5001,"&gt;="&amp;$F$7,BD!$A$3:$A$5001,"&lt;="&amp;$G$7,BD!$Z$3:$Z$5001,"&lt;&gt;")=0,"",SUMIFS(BD!$Z$3:$Z$5001,BD!$B$3:$B$5001,$A302,BD!$A$3:$A$5001,_xlfn.MAXIFS(BD!$A$3:$A$5001,BD!$B$3:$B$5001,$A302,BD!$A$3:$A$5001,"&gt;="&amp;$F$7,BD!$A$3:$A$5001,"&lt;="&amp;$G$7,BD!$Z$3:$Z$5001,"&lt;&gt;"))))</f>
        <v/>
      </c>
      <c r="F302" s="43" t="str">
        <f>IF($A302="","",IF(COUNTIFS(BD!$B$3:$B$5001,$A302,BD!$A$3:$A$5001,"&gt;="&amp;$F$8,BD!$A$3:$A$5001,"&lt;="&amp;$G$8,BD!$Z$3:$Z$5001,"&lt;&gt;")=0,"",SUMIFS(BD!$Z$3:$Z$5001,BD!$B$3:$B$5001,$A302,BD!$A$3:$A$5001,_xlfn.MAXIFS(BD!$A$3:$A$5001,BD!$B$3:$B$5001,$A302,BD!$A$3:$A$5001,"&gt;="&amp;$F$8,BD!$A$3:$A$5001,"&lt;="&amp;$G$8,BD!$Z$3:$Z$5001,"&lt;&gt;"))))</f>
        <v/>
      </c>
      <c r="G302" s="43" t="str">
        <f>IF($A302="","",IF(COUNTIFS(BD!$B$3:$B$5001,$A302,BD!$A$3:$A$5001,"&gt;="&amp;$F$7,BD!$A$3:$A$5001,"&lt;="&amp;$G$7,BD!$Y$3:$Y$5001,"&lt;&gt;")=0,"",SUMIFS(BD!$Y$3:$Y$5001,BD!$B$3:$B$5001,$A302,BD!$A$3:$A$5001,_xlfn.MAXIFS(BD!$A$3:$A$5001,BD!$B$3:$B$5001,$A302,BD!$A$3:$A$5001,"&gt;="&amp;$F$7,BD!$A$3:$A$5001,"&lt;="&amp;$G$7,BD!$Y$3:$Y$5001,"&lt;&gt;"))))</f>
        <v/>
      </c>
      <c r="H302" s="43" t="str">
        <f>IF($A302="","",IF(COUNTIFS(BD!$B$3:$B$5001,$A302,BD!$A$3:$A$5001,"&gt;="&amp;$F$8,BD!$A$3:$A$5001,"&lt;="&amp;$G$8,BD!$Y$3:$Y$5001,"&lt;&gt;")=0,"",SUMIFS(BD!$Y$3:$Y$5001,BD!$B$3:$B$5001,$A302,BD!$A$3:$A$5001,_xlfn.MAXIFS(BD!$A$3:$A$5001,BD!$B$3:$B$5001,$A302,BD!$A$3:$A$5001,"&gt;="&amp;$F$8,BD!$A$3:$A$5001,"&lt;="&amp;$G$8,BD!$Y$3:$Y$5001,"&lt;&gt;"))))</f>
        <v/>
      </c>
      <c r="I302" s="43" t="str">
        <f>IF($A302="","",IF(COUNTIFS(BD!$B$3:$B$5001,$A302,BD!$A$3:$A$5001,"&gt;="&amp;$F$7,BD!$A$3:$A$5001,"&lt;="&amp;$G$7,BD!$AA$3:$AA$5001,"&lt;&gt;")=0,"",SUMIFS(BD!$AA$3:$AA$5001,BD!$B$3:$B$5001,$A302,BD!$A$3:$A$5001,_xlfn.MAXIFS(BD!$A$3:$A$5001,BD!$B$3:$B$5001,$A302,BD!$A$3:$A$5001,"&gt;="&amp;$F$7,BD!$A$3:$A$5001,"&lt;="&amp;$G$7,BD!$AA$3:$AA$5001,"&lt;&gt;"))))</f>
        <v/>
      </c>
      <c r="J302" s="43" t="str">
        <f>IF($A302="","",IF(COUNTIFS(BD!$B$3:$B$5001,$A302,BD!$A$3:$A$5001,"&gt;="&amp;$F$8,BD!$A$3:$A$5001,"&lt;="&amp;$G$8,BD!$AA$3:$AA$5001,"&lt;&gt;")=0,"",SUMIFS(BD!$AA$3:$AA$5001,BD!$B$3:$B$5001,$A302,BD!$A$3:$A$5001,_xlfn.MAXIFS(BD!$A$3:$A$5001,BD!$B$3:$B$5001,$A302,BD!$A$3:$A$5001,"&gt;="&amp;$F$8,BD!$A$3:$A$5001,"&lt;="&amp;$G$8,BD!$AA$3:$AA$5001,"&lt;&gt;"))))</f>
        <v/>
      </c>
    </row>
    <row r="303">
      <c r="A303" s="65" t="str">
        <f>Config!$B$29&amp;""</f>
        <v/>
      </c>
      <c r="B303" s="38" t="str">
        <f>IF(Config!$C$29="","TPC",Config!$C$29)</f>
        <v>TPC</v>
      </c>
      <c r="C303" s="43" t="str">
        <f>IF($A303="","",IF(COUNTIFS(BD!$B$3:$B$5001,$A303,BD!$A$3:$A$5001,"&gt;="&amp;$F$7,BD!$A$3:$A$5001,"&lt;="&amp;$G$7,BD!$X$3:$X$5001,"&lt;&gt;")=0,"",SUMIFS(BD!$X$3:$X$5001,BD!$B$3:$B$5001,$A303,BD!$A$3:$A$5001,_xlfn.MAXIFS(BD!$A$3:$A$5001,BD!$B$3:$B$5001,$A303,BD!$A$3:$A$5001,"&gt;="&amp;$F$7,BD!$A$3:$A$5001,"&lt;="&amp;$G$7,BD!$X$3:$X$5001,"&lt;&gt;"))))</f>
        <v/>
      </c>
      <c r="D303" s="43" t="str">
        <f>IF($A303="","",IF(COUNTIFS(BD!$B$3:$B$5001,$A303,BD!$A$3:$A$5001,"&gt;="&amp;$F$8,BD!$A$3:$A$5001,"&lt;="&amp;$G$8,BD!$X$3:$X$5001,"&lt;&gt;")=0,"",SUMIFS(BD!$X$3:$X$5001,BD!$B$3:$B$5001,$A303,BD!$A$3:$A$5001,_xlfn.MAXIFS(BD!$A$3:$A$5001,BD!$B$3:$B$5001,$A303,BD!$A$3:$A$5001,"&gt;="&amp;$F$8,BD!$A$3:$A$5001,"&lt;="&amp;$G$8,BD!$X$3:$X$5001,"&lt;&gt;"))))</f>
        <v/>
      </c>
      <c r="E303" s="43" t="str">
        <f>IF($A303="","",IF(COUNTIFS(BD!$B$3:$B$5001,$A303,BD!$A$3:$A$5001,"&gt;="&amp;$F$7,BD!$A$3:$A$5001,"&lt;="&amp;$G$7,BD!$Z$3:$Z$5001,"&lt;&gt;")=0,"",SUMIFS(BD!$Z$3:$Z$5001,BD!$B$3:$B$5001,$A303,BD!$A$3:$A$5001,_xlfn.MAXIFS(BD!$A$3:$A$5001,BD!$B$3:$B$5001,$A303,BD!$A$3:$A$5001,"&gt;="&amp;$F$7,BD!$A$3:$A$5001,"&lt;="&amp;$G$7,BD!$Z$3:$Z$5001,"&lt;&gt;"))))</f>
        <v/>
      </c>
      <c r="F303" s="43" t="str">
        <f>IF($A303="","",IF(COUNTIFS(BD!$B$3:$B$5001,$A303,BD!$A$3:$A$5001,"&gt;="&amp;$F$8,BD!$A$3:$A$5001,"&lt;="&amp;$G$8,BD!$Z$3:$Z$5001,"&lt;&gt;")=0,"",SUMIFS(BD!$Z$3:$Z$5001,BD!$B$3:$B$5001,$A303,BD!$A$3:$A$5001,_xlfn.MAXIFS(BD!$A$3:$A$5001,BD!$B$3:$B$5001,$A303,BD!$A$3:$A$5001,"&gt;="&amp;$F$8,BD!$A$3:$A$5001,"&lt;="&amp;$G$8,BD!$Z$3:$Z$5001,"&lt;&gt;"))))</f>
        <v/>
      </c>
      <c r="G303" s="43" t="str">
        <f>IF($A303="","",IF(COUNTIFS(BD!$B$3:$B$5001,$A303,BD!$A$3:$A$5001,"&gt;="&amp;$F$7,BD!$A$3:$A$5001,"&lt;="&amp;$G$7,BD!$Y$3:$Y$5001,"&lt;&gt;")=0,"",SUMIFS(BD!$Y$3:$Y$5001,BD!$B$3:$B$5001,$A303,BD!$A$3:$A$5001,_xlfn.MAXIFS(BD!$A$3:$A$5001,BD!$B$3:$B$5001,$A303,BD!$A$3:$A$5001,"&gt;="&amp;$F$7,BD!$A$3:$A$5001,"&lt;="&amp;$G$7,BD!$Y$3:$Y$5001,"&lt;&gt;"))))</f>
        <v/>
      </c>
      <c r="H303" s="43" t="str">
        <f>IF($A303="","",IF(COUNTIFS(BD!$B$3:$B$5001,$A303,BD!$A$3:$A$5001,"&gt;="&amp;$F$8,BD!$A$3:$A$5001,"&lt;="&amp;$G$8,BD!$Y$3:$Y$5001,"&lt;&gt;")=0,"",SUMIFS(BD!$Y$3:$Y$5001,BD!$B$3:$B$5001,$A303,BD!$A$3:$A$5001,_xlfn.MAXIFS(BD!$A$3:$A$5001,BD!$B$3:$B$5001,$A303,BD!$A$3:$A$5001,"&gt;="&amp;$F$8,BD!$A$3:$A$5001,"&lt;="&amp;$G$8,BD!$Y$3:$Y$5001,"&lt;&gt;"))))</f>
        <v/>
      </c>
      <c r="I303" s="43" t="str">
        <f>IF($A303="","",IF(COUNTIFS(BD!$B$3:$B$5001,$A303,BD!$A$3:$A$5001,"&gt;="&amp;$F$7,BD!$A$3:$A$5001,"&lt;="&amp;$G$7,BD!$AA$3:$AA$5001,"&lt;&gt;")=0,"",SUMIFS(BD!$AA$3:$AA$5001,BD!$B$3:$B$5001,$A303,BD!$A$3:$A$5001,_xlfn.MAXIFS(BD!$A$3:$A$5001,BD!$B$3:$B$5001,$A303,BD!$A$3:$A$5001,"&gt;="&amp;$F$7,BD!$A$3:$A$5001,"&lt;="&amp;$G$7,BD!$AA$3:$AA$5001,"&lt;&gt;"))))</f>
        <v/>
      </c>
      <c r="J303" s="43" t="str">
        <f>IF($A303="","",IF(COUNTIFS(BD!$B$3:$B$5001,$A303,BD!$A$3:$A$5001,"&gt;="&amp;$F$8,BD!$A$3:$A$5001,"&lt;="&amp;$G$8,BD!$AA$3:$AA$5001,"&lt;&gt;")=0,"",SUMIFS(BD!$AA$3:$AA$5001,BD!$B$3:$B$5001,$A303,BD!$A$3:$A$5001,_xlfn.MAXIFS(BD!$A$3:$A$5001,BD!$B$3:$B$5001,$A303,BD!$A$3:$A$5001,"&gt;="&amp;$F$8,BD!$A$3:$A$5001,"&lt;="&amp;$G$8,BD!$AA$3:$AA$5001,"&lt;&gt;"))))</f>
        <v/>
      </c>
    </row>
    <row r="305">
      <c r="A305" s="19" t="inlineStr">
        <is>
          <t xml:space="preserve">INDICADORES DO PERÍODO (cards do Dashboard)</t>
        </is>
      </c>
    </row>
    <row r="306">
      <c r="A306" s="37" t="inlineStr">
        <is>
          <t xml:space="preserve">Indicador</t>
        </is>
      </c>
      <c r="B306" s="37" t="inlineStr">
        <is>
          <t xml:space="preserve">Período</t>
        </is>
      </c>
      <c r="C306" s="37" t="inlineStr">
        <is>
          <t xml:space="preserve">Período anterior</t>
        </is>
      </c>
      <c r="D306" s="37" t="inlineStr">
        <is>
          <t xml:space="preserve">Variação</t>
        </is>
      </c>
    </row>
    <row r="307">
      <c r="A307" s="29" t="inlineStr">
        <is>
          <t xml:space="preserve">IN · Veículos Recebidos</t>
        </is>
      </c>
      <c r="B307" s="32">
        <f>IF($B$2="Todos",SUMIFS(BD!$C$3:$C$5001,BD!$A$3:$A$5001,"&gt;="&amp;$F$7,BD!$A$3:$A$5001,"&lt;="&amp;$G$7),SUMIFS(BD!$C$3:$C$5001,BD!$A$3:$A$5001,"&gt;="&amp;$F$7,BD!$A$3:$A$5001,"&lt;="&amp;$G$7,BD!$B$3:$B$5001,$D$2))</f>
        <v>0</v>
      </c>
      <c r="C307" s="32">
        <f>IF($B$2="Todos",SUMIFS(BD!$C$3:$C$5001,BD!$A$3:$A$5001,"&gt;="&amp;$F$8,BD!$A$3:$A$5001,"&lt;="&amp;$G$8),SUMIFS(BD!$C$3:$C$5001,BD!$A$3:$A$5001,"&gt;="&amp;$F$8,BD!$A$3:$A$5001,"&lt;="&amp;$G$8,BD!$B$3:$B$5001,$D$2))</f>
        <v>0</v>
      </c>
      <c r="D307" s="49" t="str">
        <f>IF(AND(ISNUMBER(B307),ISNUMBER(C307)),IF(C307&lt;&gt;0,B307/C307-1,""),"")</f>
        <v/>
      </c>
    </row>
    <row r="308">
      <c r="A308" s="29" t="inlineStr">
        <is>
          <t xml:space="preserve">IN · Pallets Movimentados</t>
        </is>
      </c>
      <c r="B308" s="32">
        <f>IF($B$2="Todos",SUMIFS(BD!$D$3:$D$5001,BD!$A$3:$A$5001,"&gt;="&amp;$F$7,BD!$A$3:$A$5001,"&lt;="&amp;$G$7),SUMIFS(BD!$D$3:$D$5001,BD!$A$3:$A$5001,"&gt;="&amp;$F$7,BD!$A$3:$A$5001,"&lt;="&amp;$G$7,BD!$B$3:$B$5001,$D$2))</f>
        <v>0</v>
      </c>
      <c r="C308" s="32">
        <f>IF($B$2="Todos",SUMIFS(BD!$D$3:$D$5001,BD!$A$3:$A$5001,"&gt;="&amp;$F$8,BD!$A$3:$A$5001,"&lt;="&amp;$G$8),SUMIFS(BD!$D$3:$D$5001,BD!$A$3:$A$5001,"&gt;="&amp;$F$8,BD!$A$3:$A$5001,"&lt;="&amp;$G$8,BD!$B$3:$B$5001,$D$2))</f>
        <v>0</v>
      </c>
      <c r="D308" s="49" t="str">
        <f>IF(AND(ISNUMBER(B308),ISNUMBER(C308)),IF(C308&lt;&gt;0,B308/C308-1,""),"")</f>
        <v/>
      </c>
    </row>
    <row r="309">
      <c r="A309" s="29" t="inlineStr">
        <is>
          <t xml:space="preserve">IN · Toneladas Movimentadas</t>
        </is>
      </c>
      <c r="B309" s="61">
        <f>IF($B$2="Todos",SUMIFS(BD!$E$3:$E$5001,BD!$A$3:$A$5001,"&gt;="&amp;$F$7,BD!$A$3:$A$5001,"&lt;="&amp;$G$7),SUMIFS(BD!$E$3:$E$5001,BD!$A$3:$A$5001,"&gt;="&amp;$F$7,BD!$A$3:$A$5001,"&lt;="&amp;$G$7,BD!$B$3:$B$5001,$D$2))</f>
        <v>0</v>
      </c>
      <c r="C309" s="61">
        <f>IF($B$2="Todos",SUMIFS(BD!$E$3:$E$5001,BD!$A$3:$A$5001,"&gt;="&amp;$F$8,BD!$A$3:$A$5001,"&lt;="&amp;$G$8),SUMIFS(BD!$E$3:$E$5001,BD!$A$3:$A$5001,"&gt;="&amp;$F$8,BD!$A$3:$A$5001,"&lt;="&amp;$G$8,BD!$B$3:$B$5001,$D$2))</f>
        <v>0</v>
      </c>
      <c r="D309" s="49" t="str">
        <f>IF(AND(ISNUMBER(B309),ISNUMBER(C309)),IF(C309&lt;&gt;0,B309/C309-1,""),"")</f>
        <v/>
      </c>
    </row>
    <row r="310">
      <c r="A310" s="29" t="inlineStr">
        <is>
          <t xml:space="preserve">OUT · Veículos Expedidos</t>
        </is>
      </c>
      <c r="B310" s="32">
        <f>IF($B$2="Todos",SUMIFS(BD!$M$3:$M$5001,BD!$A$3:$A$5001,"&gt;="&amp;$F$7,BD!$A$3:$A$5001,"&lt;="&amp;$G$7),SUMIFS(BD!$M$3:$M$5001,BD!$A$3:$A$5001,"&gt;="&amp;$F$7,BD!$A$3:$A$5001,"&lt;="&amp;$G$7,BD!$B$3:$B$5001,$D$2))</f>
        <v>0</v>
      </c>
      <c r="C310" s="32">
        <f>IF($B$2="Todos",SUMIFS(BD!$M$3:$M$5001,BD!$A$3:$A$5001,"&gt;="&amp;$F$8,BD!$A$3:$A$5001,"&lt;="&amp;$G$8),SUMIFS(BD!$M$3:$M$5001,BD!$A$3:$A$5001,"&gt;="&amp;$F$8,BD!$A$3:$A$5001,"&lt;="&amp;$G$8,BD!$B$3:$B$5001,$D$2))</f>
        <v>0</v>
      </c>
      <c r="D310" s="49" t="str">
        <f>IF(AND(ISNUMBER(B310),ISNUMBER(C310)),IF(C310&lt;&gt;0,B310/C310-1,""),"")</f>
        <v/>
      </c>
    </row>
    <row r="311">
      <c r="A311" s="29" t="inlineStr">
        <is>
          <t xml:space="preserve">OUT · Pallets Movimentados</t>
        </is>
      </c>
      <c r="B311" s="32">
        <f>IF($B$2="Todos",SUMIFS(BD!$T$3:$T$5001,BD!$A$3:$A$5001,"&gt;="&amp;$F$7,BD!$A$3:$A$5001,"&lt;="&amp;$G$7),SUMIFS(BD!$T$3:$T$5001,BD!$A$3:$A$5001,"&gt;="&amp;$F$7,BD!$A$3:$A$5001,"&lt;="&amp;$G$7,BD!$B$3:$B$5001,$D$2))</f>
        <v>0</v>
      </c>
      <c r="C311" s="32">
        <f>IF($B$2="Todos",SUMIFS(BD!$T$3:$T$5001,BD!$A$3:$A$5001,"&gt;="&amp;$F$8,BD!$A$3:$A$5001,"&lt;="&amp;$G$8),SUMIFS(BD!$T$3:$T$5001,BD!$A$3:$A$5001,"&gt;="&amp;$F$8,BD!$A$3:$A$5001,"&lt;="&amp;$G$8,BD!$B$3:$B$5001,$D$2))</f>
        <v>0</v>
      </c>
      <c r="D311" s="49" t="str">
        <f>IF(AND(ISNUMBER(B311),ISNUMBER(C311)),IF(C311&lt;&gt;0,B311/C311-1,""),"")</f>
        <v/>
      </c>
    </row>
    <row r="312">
      <c r="A312" s="29" t="inlineStr">
        <is>
          <t xml:space="preserve">OUT · Toneladas Movimentadas</t>
        </is>
      </c>
      <c r="B312" s="61">
        <f>IF($B$2="Todos",SUMIFS(BD!$U$3:$U$5001,BD!$A$3:$A$5001,"&gt;="&amp;$F$7,BD!$A$3:$A$5001,"&lt;="&amp;$G$7),SUMIFS(BD!$U$3:$U$5001,BD!$A$3:$A$5001,"&gt;="&amp;$F$7,BD!$A$3:$A$5001,"&lt;="&amp;$G$7,BD!$B$3:$B$5001,$D$2))</f>
        <v>0</v>
      </c>
      <c r="C312" s="61">
        <f>IF($B$2="Todos",SUMIFS(BD!$U$3:$U$5001,BD!$A$3:$A$5001,"&gt;="&amp;$F$8,BD!$A$3:$A$5001,"&lt;="&amp;$G$8),SUMIFS(BD!$U$3:$U$5001,BD!$A$3:$A$5001,"&gt;="&amp;$F$8,BD!$A$3:$A$5001,"&lt;="&amp;$G$8,BD!$B$3:$B$5001,$D$2))</f>
        <v>0</v>
      </c>
      <c r="D312" s="49" t="str">
        <f>IF(AND(ISNUMBER(B312),ISNUMBER(C312)),IF(C312&lt;&gt;0,B312/C312-1,""),"")</f>
        <v/>
      </c>
    </row>
    <row r="313">
      <c r="A313" s="29" t="inlineStr">
        <is>
          <t xml:space="preserve">NC · Incidentes</t>
        </is>
      </c>
      <c r="B313" s="32">
        <f>IF($B$2="Todos",SUMIFS(BD!$V$3:$V$5001,BD!$A$3:$A$5001,"&gt;="&amp;$F$7,BD!$A$3:$A$5001,"&lt;="&amp;$G$7),SUMIFS(BD!$V$3:$V$5001,BD!$A$3:$A$5001,"&gt;="&amp;$F$7,BD!$A$3:$A$5001,"&lt;="&amp;$G$7,BD!$B$3:$B$5001,$D$2))</f>
        <v>0</v>
      </c>
      <c r="C313" s="32">
        <f>IF($B$2="Todos",SUMIFS(BD!$V$3:$V$5001,BD!$A$3:$A$5001,"&gt;="&amp;$F$8,BD!$A$3:$A$5001,"&lt;="&amp;$G$8),SUMIFS(BD!$V$3:$V$5001,BD!$A$3:$A$5001,"&gt;="&amp;$F$8,BD!$A$3:$A$5001,"&lt;="&amp;$G$8,BD!$B$3:$B$5001,$D$2))</f>
        <v>0</v>
      </c>
      <c r="D313" s="49" t="str">
        <f>IF(AND(ISNUMBER(B313),ISNUMBER(C313)),IF(C313&lt;&gt;0,B313/C313-1,""),"")</f>
        <v/>
      </c>
    </row>
    <row r="314">
      <c r="A314" s="29" t="inlineStr">
        <is>
          <t xml:space="preserve">NC · No show</t>
        </is>
      </c>
      <c r="B314" s="32">
        <f>IF($B$2="Todos",SUMIFS(BD!$W$3:$W$5001,BD!$A$3:$A$5001,"&gt;="&amp;$F$7,BD!$A$3:$A$5001,"&lt;="&amp;$G$7),SUMIFS(BD!$W$3:$W$5001,BD!$A$3:$A$5001,"&gt;="&amp;$F$7,BD!$A$3:$A$5001,"&lt;="&amp;$G$7,BD!$B$3:$B$5001,$D$2))</f>
        <v>0</v>
      </c>
      <c r="C314" s="32">
        <f>IF($B$2="Todos",SUMIFS(BD!$W$3:$W$5001,BD!$A$3:$A$5001,"&gt;="&amp;$F$8,BD!$A$3:$A$5001,"&lt;="&amp;$G$8),SUMIFS(BD!$W$3:$W$5001,BD!$A$3:$A$5001,"&gt;="&amp;$F$8,BD!$A$3:$A$5001,"&lt;="&amp;$G$8,BD!$B$3:$B$5001,$D$2))</f>
        <v>0</v>
      </c>
      <c r="D314" s="49" t="str">
        <f>IF(AND(ISNUMBER(B314),ISNUMBER(C314)),IF(C314&lt;&gt;0,B314/C314-1,""),"")</f>
        <v/>
      </c>
    </row>
    <row r="315">
      <c r="A315" s="29" t="inlineStr">
        <is>
          <t xml:space="preserve">NC · Backlog</t>
        </is>
      </c>
      <c r="B315" s="32" t="str">
        <f>IF($B$2="Todos",IF(COUNT($C$284:$C$303)=0,"",SUM($C$284:$C$303)),IFERROR(INDEX($C$284:$C$303,MATCH($D$2,$A$284:$A$303,0)),""))</f>
        <v/>
      </c>
      <c r="C315" s="32" t="str">
        <f>IF($B$2="Todos",IF(COUNT($D$284:$D$303)=0,"",SUM($D$284:$D$303)),IFERROR(INDEX($D$284:$D$303,MATCH($D$2,$A$284:$A$303,0)),""))</f>
        <v/>
      </c>
      <c r="D315" s="49" t="str">
        <f>IF(AND(ISNUMBER(B315),ISNUMBER(C315)),IF(C315&lt;&gt;0,B315/C315-1,""),"")</f>
        <v/>
      </c>
    </row>
    <row r="316">
      <c r="A316" s="29" t="inlineStr">
        <is>
          <t xml:space="preserve">OCUPAÇÃO (P.P) · Posições Ocupadas</t>
        </is>
      </c>
      <c r="B316" s="32" t="str">
        <f>IF($B$2="Todos",IF(COUNT($E$284:$E$303)=0,"",SUM($E$284:$E$303)),IFERROR(INDEX($E$284:$E$303,MATCH($D$2,$A$284:$A$303,0)),""))</f>
        <v/>
      </c>
      <c r="C316" s="32" t="str">
        <f>IF($B$2="Todos",IF(COUNT($F$284:$F$303)=0,"",SUM($F$284:$F$303)),IFERROR(INDEX($F$284:$F$303,MATCH($D$2,$A$284:$A$303,0)),""))</f>
        <v/>
      </c>
      <c r="D316" s="49" t="str">
        <f>IF(AND(ISNUMBER(B316),ISNUMBER(C316)),IF(C316&lt;&gt;0,B316/C316-1,""),"")</f>
        <v/>
      </c>
    </row>
    <row r="317">
      <c r="A317" s="29" t="inlineStr">
        <is>
          <t xml:space="preserve">OCUPAÇÃO (P.P) · Posições Disponíveis</t>
        </is>
      </c>
      <c r="B317" s="32" t="str">
        <f>IF(B316="","",IF($B$2="Todos",IF($B$4&gt;0,$B$4,IF($B$2="Todos",IF(COUNT($G$284:$G$303)=0,"",SUM($G$284:$G$303)),IFERROR(INDEX($G$284:$G$303,MATCH($D$2,$A$284:$A$303,0)),""))),IF($B$2="Todos",IF(COUNT($G$284:$G$303)=0,"",SUM($G$284:$G$303)),IFERROR(INDEX($G$284:$G$303,MATCH($D$2,$A$284:$A$303,0)),""))))</f>
        <v/>
      </c>
      <c r="C317" s="32" t="str">
        <f>IF(C316="","",IF($B$2="Todos",IF($B$4&gt;0,$B$4,IF($B$2="Todos",IF(COUNT($H$284:$H$303)=0,"",SUM($H$284:$H$303)),IFERROR(INDEX($H$284:$H$303,MATCH($D$2,$A$284:$A$303,0)),""))),IF($B$2="Todos",IF(COUNT($H$284:$H$303)=0,"",SUM($H$284:$H$303)),IFERROR(INDEX($H$284:$H$303,MATCH($D$2,$A$284:$A$303,0)),""))))</f>
        <v/>
      </c>
      <c r="D317" s="49" t="str">
        <f>IF(AND(ISNUMBER(B317),ISNUMBER(C317)),IF(C317&lt;&gt;0,B317/C317-1,""),"")</f>
        <v/>
      </c>
    </row>
    <row r="318">
      <c r="A318" s="29" t="inlineStr">
        <is>
          <t xml:space="preserve">OCUPAÇÃO (P.P) · Taxa de Ocupação</t>
        </is>
      </c>
      <c r="B318" s="49" t="str">
        <f>IF(AND(ISNUMBER(B316),ISNUMBER(B317)),IF(B317&gt;0,B316/B317,""),"")</f>
        <v/>
      </c>
      <c r="C318" s="49" t="str">
        <f>IF(AND(ISNUMBER(C316),ISNUMBER(C317)),IF(C317&gt;0,C316/C317,""),"")</f>
        <v/>
      </c>
      <c r="D318" s="49" t="str">
        <f>IF(AND(ISNUMBER(B318),ISNUMBER(C318)),IF(C318&lt;&gt;0,B318/C318-1,""),"")</f>
        <v/>
      </c>
    </row>
    <row r="319">
      <c r="A319" s="29" t="inlineStr">
        <is>
          <t xml:space="preserve">OCUPAÇÃO (P.P) · Ociosidade</t>
        </is>
      </c>
      <c r="B319" s="49" t="str">
        <f>IF(ISNUMBER(B318),1-B318,"")</f>
        <v/>
      </c>
      <c r="C319" s="49" t="str">
        <f>IF(ISNUMBER(C318),1-C318,"")</f>
        <v/>
      </c>
      <c r="D319" s="49" t="str">
        <f>IF(AND(ISNUMBER(B319),ISNUMBER(C319)),IF(C319&lt;&gt;0,B319/C319-1,""),"")</f>
        <v/>
      </c>
    </row>
    <row r="320">
      <c r="A320" s="29" t="inlineStr">
        <is>
          <t xml:space="preserve">GENTE · Efetivo Op.</t>
        </is>
      </c>
      <c r="B320" s="32" t="str">
        <f>IF($B$2="Todos",IF(COUNT($I$284:$I$303)=0,"",SUM($I$284:$I$303)),IFERROR(INDEX($I$284:$I$303,MATCH($D$2,$A$284:$A$303,0)),""))</f>
        <v/>
      </c>
      <c r="C320" s="32" t="str">
        <f>IF($B$2="Todos",IF(COUNT($J$284:$J$303)=0,"",SUM($J$284:$J$303)),IFERROR(INDEX($J$284:$J$303,MATCH($D$2,$A$284:$A$303,0)),""))</f>
        <v/>
      </c>
      <c r="D320" s="49" t="str">
        <f>IF(AND(ISNUMBER(B320),ISNUMBER(C320)),IF(C320&lt;&gt;0,B320/C320-1,""),"")</f>
        <v/>
      </c>
    </row>
    <row r="321">
      <c r="A321" s="29" t="inlineStr">
        <is>
          <t xml:space="preserve">GENTE · Homem-dia (soma do efetivo diário)</t>
        </is>
      </c>
      <c r="B321" s="32">
        <f>IF($B$2="Todos",SUMIFS(BD!$AA$3:$AA$5001,BD!$A$3:$A$5001,"&gt;="&amp;$F$7,BD!$A$3:$A$5001,"&lt;="&amp;$G$7),SUMIFS(BD!$AA$3:$AA$5001,BD!$A$3:$A$5001,"&gt;="&amp;$F$7,BD!$A$3:$A$5001,"&lt;="&amp;$G$7,BD!$B$3:$B$5001,$D$2))</f>
        <v>0</v>
      </c>
      <c r="C321" s="32">
        <f>IF($B$2="Todos",SUMIFS(BD!$AA$3:$AA$5001,BD!$A$3:$A$5001,"&gt;="&amp;$F$8,BD!$A$3:$A$5001,"&lt;="&amp;$G$8),SUMIFS(BD!$AA$3:$AA$5001,BD!$A$3:$A$5001,"&gt;="&amp;$F$8,BD!$A$3:$A$5001,"&lt;="&amp;$G$8,BD!$B$3:$B$5001,$D$2))</f>
        <v>0</v>
      </c>
      <c r="D321" s="49" t="str">
        <f>IF(AND(ISNUMBER(B321),ISNUMBER(C321)),IF(C321&lt;&gt;0,B321/C321-1,""),"")</f>
        <v/>
      </c>
    </row>
    <row r="322">
      <c r="A322" s="29" t="inlineStr">
        <is>
          <t xml:space="preserve">GENTE · Falta</t>
        </is>
      </c>
      <c r="B322" s="32">
        <f>IF($B$2="Todos",SUMIFS(BD!$AB$3:$AB$5001,BD!$A$3:$A$5001,"&gt;="&amp;$F$7,BD!$A$3:$A$5001,"&lt;="&amp;$G$7),SUMIFS(BD!$AB$3:$AB$5001,BD!$A$3:$A$5001,"&gt;="&amp;$F$7,BD!$A$3:$A$5001,"&lt;="&amp;$G$7,BD!$B$3:$B$5001,$D$2))</f>
        <v>0</v>
      </c>
      <c r="C322" s="32">
        <f>IF($B$2="Todos",SUMIFS(BD!$AB$3:$AB$5001,BD!$A$3:$A$5001,"&gt;="&amp;$F$8,BD!$A$3:$A$5001,"&lt;="&amp;$G$8),SUMIFS(BD!$AB$3:$AB$5001,BD!$A$3:$A$5001,"&gt;="&amp;$F$8,BD!$A$3:$A$5001,"&lt;="&amp;$G$8,BD!$B$3:$B$5001,$D$2))</f>
        <v>0</v>
      </c>
      <c r="D322" s="49" t="str">
        <f>IF(AND(ISNUMBER(B322),ISNUMBER(C322)),IF(C322&lt;&gt;0,B322/C322-1,""),"")</f>
        <v/>
      </c>
    </row>
    <row r="323">
      <c r="A323" s="29" t="inlineStr">
        <is>
          <t xml:space="preserve">GENTE · Absenteísmo (H/H) = faltas ÷ homem-dia</t>
        </is>
      </c>
      <c r="B323" s="49" t="str">
        <f>IF(N(B321)&gt;0,N(B322)/B321,"")</f>
        <v/>
      </c>
      <c r="C323" s="49" t="str">
        <f>IF(N(C321)&gt;0,N(C322)/C321,"")</f>
        <v/>
      </c>
      <c r="D323" s="49" t="str">
        <f>IF(AND(ISNUMBER(B323),ISNUMBER(C323)),IF(C323&lt;&gt;0,B323/C323-1,""),"")</f>
        <v/>
      </c>
    </row>
    <row r="324">
      <c r="A324" s="29" t="inlineStr">
        <is>
          <t xml:space="preserve">GENTE · Folga</t>
        </is>
      </c>
      <c r="B324" s="32">
        <f>IF($B$2="Todos",SUMIFS(BD!$AC$3:$AC$5001,BD!$A$3:$A$5001,"&gt;="&amp;$F$7,BD!$A$3:$A$5001,"&lt;="&amp;$G$7),SUMIFS(BD!$AC$3:$AC$5001,BD!$A$3:$A$5001,"&gt;="&amp;$F$7,BD!$A$3:$A$5001,"&lt;="&amp;$G$7,BD!$B$3:$B$5001,$D$2))</f>
        <v>0</v>
      </c>
      <c r="C324" s="32">
        <f>IF($B$2="Todos",SUMIFS(BD!$AC$3:$AC$5001,BD!$A$3:$A$5001,"&gt;="&amp;$F$8,BD!$A$3:$A$5001,"&lt;="&amp;$G$8),SUMIFS(BD!$AC$3:$AC$5001,BD!$A$3:$A$5001,"&gt;="&amp;$F$8,BD!$A$3:$A$5001,"&lt;="&amp;$G$8,BD!$B$3:$B$5001,$D$2))</f>
        <v>0</v>
      </c>
      <c r="D324" s="49" t="str">
        <f>IF(AND(ISNUMBER(B324),ISNUMBER(C324)),IF(C324&lt;&gt;0,B324/C324-1,""),"")</f>
        <v/>
      </c>
    </row>
    <row r="325">
      <c r="A325" s="29" t="inlineStr">
        <is>
          <t xml:space="preserve">GENTE · Férias</t>
        </is>
      </c>
      <c r="B325" s="32">
        <f>IF($B$2="Todos",SUMIFS(BD!$AD$3:$AD$5001,BD!$A$3:$A$5001,"&gt;="&amp;$F$7,BD!$A$3:$A$5001,"&lt;="&amp;$G$7),SUMIFS(BD!$AD$3:$AD$5001,BD!$A$3:$A$5001,"&gt;="&amp;$F$7,BD!$A$3:$A$5001,"&lt;="&amp;$G$7,BD!$B$3:$B$5001,$D$2))</f>
        <v>0</v>
      </c>
      <c r="C325" s="32">
        <f>IF($B$2="Todos",SUMIFS(BD!$AD$3:$AD$5001,BD!$A$3:$A$5001,"&gt;="&amp;$F$8,BD!$A$3:$A$5001,"&lt;="&amp;$G$8),SUMIFS(BD!$AD$3:$AD$5001,BD!$A$3:$A$5001,"&gt;="&amp;$F$8,BD!$A$3:$A$5001,"&lt;="&amp;$G$8,BD!$B$3:$B$5001,$D$2))</f>
        <v>0</v>
      </c>
      <c r="D325" s="49" t="str">
        <f>IF(AND(ISNUMBER(B325),ISNUMBER(C325)),IF(C325&lt;&gt;0,B325/C325-1,""),"")</f>
        <v/>
      </c>
    </row>
    <row r="326">
      <c r="A326" s="29" t="inlineStr">
        <is>
          <t xml:space="preserve">GENTE · Desligamento</t>
        </is>
      </c>
      <c r="B326" s="32">
        <f>IF($B$2="Todos",SUMIFS(BD!$AE$3:$AE$5001,BD!$A$3:$A$5001,"&gt;="&amp;$F$7,BD!$A$3:$A$5001,"&lt;="&amp;$G$7),SUMIFS(BD!$AE$3:$AE$5001,BD!$A$3:$A$5001,"&gt;="&amp;$F$7,BD!$A$3:$A$5001,"&lt;="&amp;$G$7,BD!$B$3:$B$5001,$D$2))</f>
        <v>0</v>
      </c>
      <c r="C326" s="32">
        <f>IF($B$2="Todos",SUMIFS(BD!$AE$3:$AE$5001,BD!$A$3:$A$5001,"&gt;="&amp;$F$8,BD!$A$3:$A$5001,"&lt;="&amp;$G$8),SUMIFS(BD!$AE$3:$AE$5001,BD!$A$3:$A$5001,"&gt;="&amp;$F$8,BD!$A$3:$A$5001,"&lt;="&amp;$G$8,BD!$B$3:$B$5001,$D$2))</f>
        <v>0</v>
      </c>
      <c r="D326" s="49" t="str">
        <f>IF(AND(ISNUMBER(B326),ISNUMBER(C326)),IF(C326&lt;&gt;0,B326/C326-1,""),"")</f>
        <v/>
      </c>
    </row>
    <row r="327">
      <c r="A327" s="29" t="inlineStr">
        <is>
          <t xml:space="preserve">GENTE · Turnover = desligamentos ÷ efetivo</t>
        </is>
      </c>
      <c r="B327" s="49" t="str">
        <f>IF(N(B320)&gt;0,N(B326)/B320,"")</f>
        <v/>
      </c>
      <c r="C327" s="49" t="str">
        <f>IF(N(C320)&gt;0,N(C326)/C320,"")</f>
        <v/>
      </c>
      <c r="D327" s="49" t="str">
        <f>IF(AND(ISNUMBER(B327),ISNUMBER(C327)),IF(C327&lt;&gt;0,B327/C327-1,""),"")</f>
        <v/>
      </c>
    </row>
    <row r="328">
      <c r="A328" s="29" t="inlineStr">
        <is>
          <t xml:space="preserve">GENTE · Desvios Comportamentais</t>
        </is>
      </c>
      <c r="B328" s="32">
        <f>IF($B$2="Todos",SUMIFS(BD!$AF$3:$AF$5001,BD!$A$3:$A$5001,"&gt;="&amp;$F$7,BD!$A$3:$A$5001,"&lt;="&amp;$G$7),SUMIFS(BD!$AF$3:$AF$5001,BD!$A$3:$A$5001,"&gt;="&amp;$F$7,BD!$A$3:$A$5001,"&lt;="&amp;$G$7,BD!$B$3:$B$5001,$D$2))</f>
        <v>0</v>
      </c>
      <c r="C328" s="32">
        <f>IF($B$2="Todos",SUMIFS(BD!$AF$3:$AF$5001,BD!$A$3:$A$5001,"&gt;="&amp;$F$8,BD!$A$3:$A$5001,"&lt;="&amp;$G$8),SUMIFS(BD!$AF$3:$AF$5001,BD!$A$3:$A$5001,"&gt;="&amp;$F$8,BD!$A$3:$A$5001,"&lt;="&amp;$G$8,BD!$B$3:$B$5001,$D$2))</f>
        <v>0</v>
      </c>
      <c r="D328" s="49" t="str">
        <f>IF(AND(ISNUMBER(B328),ISNUMBER(C328)),IF(C328&lt;&gt;0,B328/C328-1,""),"")</f>
        <v/>
      </c>
    </row>
    <row r="329">
      <c r="A329" s="29" t="inlineStr">
        <is>
          <t xml:space="preserve">GENTE · Acidentes CAF</t>
        </is>
      </c>
      <c r="B329" s="32">
        <f>IF($B$2="Todos",SUMIFS(BD!$AG$3:$AG$5001,BD!$A$3:$A$5001,"&gt;="&amp;$F$7,BD!$A$3:$A$5001,"&lt;="&amp;$G$7),SUMIFS(BD!$AG$3:$AG$5001,BD!$A$3:$A$5001,"&gt;="&amp;$F$7,BD!$A$3:$A$5001,"&lt;="&amp;$G$7,BD!$B$3:$B$5001,$D$2))</f>
        <v>0</v>
      </c>
      <c r="C329" s="32">
        <f>IF($B$2="Todos",SUMIFS(BD!$AG$3:$AG$5001,BD!$A$3:$A$5001,"&gt;="&amp;$F$8,BD!$A$3:$A$5001,"&lt;="&amp;$G$8),SUMIFS(BD!$AG$3:$AG$5001,BD!$A$3:$A$5001,"&gt;="&amp;$F$8,BD!$A$3:$A$5001,"&lt;="&amp;$G$8,BD!$B$3:$B$5001,$D$2))</f>
        <v>0</v>
      </c>
      <c r="D329" s="49" t="str">
        <f>IF(AND(ISNUMBER(B329),ISNUMBER(C329)),IF(C329&lt;&gt;0,B329/C329-1,""),"")</f>
        <v/>
      </c>
    </row>
    <row r="330">
      <c r="A330" s="29" t="inlineStr">
        <is>
          <t xml:space="preserve">GENTE · Acidentes SAF</t>
        </is>
      </c>
      <c r="B330" s="32">
        <f>IF($B$2="Todos",SUMIFS(BD!$AH$3:$AH$5001,BD!$A$3:$A$5001,"&gt;="&amp;$F$7,BD!$A$3:$A$5001,"&lt;="&amp;$G$7),SUMIFS(BD!$AH$3:$AH$5001,BD!$A$3:$A$5001,"&gt;="&amp;$F$7,BD!$A$3:$A$5001,"&lt;="&amp;$G$7,BD!$B$3:$B$5001,$D$2))</f>
        <v>0</v>
      </c>
      <c r="C330" s="32">
        <f>IF($B$2="Todos",SUMIFS(BD!$AH$3:$AH$5001,BD!$A$3:$A$5001,"&gt;="&amp;$F$8,BD!$A$3:$A$5001,"&lt;="&amp;$G$8),SUMIFS(BD!$AH$3:$AH$5001,BD!$A$3:$A$5001,"&gt;="&amp;$F$8,BD!$A$3:$A$5001,"&lt;="&amp;$G$8,BD!$B$3:$B$5001,$D$2))</f>
        <v>0</v>
      </c>
      <c r="D330" s="49" t="str">
        <f>IF(AND(ISNUMBER(B330),ISNUMBER(C330)),IF(C330&lt;&gt;0,B330/C330-1,""),"")</f>
        <v/>
      </c>
    </row>
    <row r="331">
      <c r="A331" s="29" t="inlineStr">
        <is>
          <t xml:space="preserve">IN · Linhas NF</t>
        </is>
      </c>
      <c r="B331" s="32">
        <f>IF($B$2="Todos",SUMIFS(BD!$F$3:$F$5001,BD!$A$3:$A$5001,"&gt;="&amp;$F$7,BD!$A$3:$A$5001,"&lt;="&amp;$G$7),SUMIFS(BD!$F$3:$F$5001,BD!$A$3:$A$5001,"&gt;="&amp;$F$7,BD!$A$3:$A$5001,"&lt;="&amp;$G$7,BD!$B$3:$B$5001,$D$2))</f>
        <v>0</v>
      </c>
      <c r="C331" s="32">
        <f>IF($B$2="Todos",SUMIFS(BD!$F$3:$F$5001,BD!$A$3:$A$5001,"&gt;="&amp;$F$8,BD!$A$3:$A$5001,"&lt;="&amp;$G$8),SUMIFS(BD!$F$3:$F$5001,BD!$A$3:$A$5001,"&gt;="&amp;$F$8,BD!$A$3:$A$5001,"&lt;="&amp;$G$8,BD!$B$3:$B$5001,$D$2))</f>
        <v>0</v>
      </c>
      <c r="D331" s="49" t="str">
        <f>IF(AND(ISNUMBER(B331),ISNUMBER(C331)),IF(C331&lt;&gt;0,B331/C331-1,""),"")</f>
        <v/>
      </c>
    </row>
    <row r="332">
      <c r="A332" s="29" t="inlineStr">
        <is>
          <t xml:space="preserve">IN · Caixas Movimentadas</t>
        </is>
      </c>
      <c r="B332" s="32">
        <f>IF($B$2="Todos",SUMIFS(BD!$G$3:$G$5001,BD!$A$3:$A$5001,"&gt;="&amp;$F$7,BD!$A$3:$A$5001,"&lt;="&amp;$G$7),SUMIFS(BD!$G$3:$G$5001,BD!$A$3:$A$5001,"&gt;="&amp;$F$7,BD!$A$3:$A$5001,"&lt;="&amp;$G$7,BD!$B$3:$B$5001,$D$2))</f>
        <v>0</v>
      </c>
      <c r="C332" s="32">
        <f>IF($B$2="Todos",SUMIFS(BD!$G$3:$G$5001,BD!$A$3:$A$5001,"&gt;="&amp;$F$8,BD!$A$3:$A$5001,"&lt;="&amp;$G$8),SUMIFS(BD!$G$3:$G$5001,BD!$A$3:$A$5001,"&gt;="&amp;$F$8,BD!$A$3:$A$5001,"&lt;="&amp;$G$8,BD!$B$3:$B$5001,$D$2))</f>
        <v>0</v>
      </c>
      <c r="D332" s="49" t="str">
        <f>IF(AND(ISNUMBER(B332),ISNUMBER(C332)),IF(C332&lt;&gt;0,B332/C332-1,""),"")</f>
        <v/>
      </c>
    </row>
    <row r="333">
      <c r="A333" s="29" t="inlineStr">
        <is>
          <t xml:space="preserve">IN · Peças Movimentadas</t>
        </is>
      </c>
      <c r="B333" s="32">
        <f>IF($B$2="Todos",SUMIFS(BD!$H$3:$H$5001,BD!$A$3:$A$5001,"&gt;="&amp;$F$7,BD!$A$3:$A$5001,"&lt;="&amp;$G$7),SUMIFS(BD!$H$3:$H$5001,BD!$A$3:$A$5001,"&gt;="&amp;$F$7,BD!$A$3:$A$5001,"&lt;="&amp;$G$7,BD!$B$3:$B$5001,$D$2))</f>
        <v>0</v>
      </c>
      <c r="C333" s="32">
        <f>IF($B$2="Todos",SUMIFS(BD!$H$3:$H$5001,BD!$A$3:$A$5001,"&gt;="&amp;$F$8,BD!$A$3:$A$5001,"&lt;="&amp;$G$8),SUMIFS(BD!$H$3:$H$5001,BD!$A$3:$A$5001,"&gt;="&amp;$F$8,BD!$A$3:$A$5001,"&lt;="&amp;$G$8,BD!$B$3:$B$5001,$D$2))</f>
        <v>0</v>
      </c>
      <c r="D333" s="49" t="str">
        <f>IF(AND(ISNUMBER(B333),ISNUMBER(C333)),IF(C333&lt;&gt;0,B333/C333-1,""),"")</f>
        <v/>
      </c>
    </row>
    <row r="334">
      <c r="A334" s="29" t="inlineStr">
        <is>
          <t xml:space="preserve">IN · Itens Recebidos</t>
        </is>
      </c>
      <c r="B334" s="32">
        <f>IF($B$2="Todos",SUMIFS(BD!$I$3:$I$5001,BD!$A$3:$A$5001,"&gt;="&amp;$F$7,BD!$A$3:$A$5001,"&lt;="&amp;$G$7),SUMIFS(BD!$I$3:$I$5001,BD!$A$3:$A$5001,"&gt;="&amp;$F$7,BD!$A$3:$A$5001,"&lt;="&amp;$G$7,BD!$B$3:$B$5001,$D$2))</f>
        <v>0</v>
      </c>
      <c r="C334" s="32">
        <f>IF($B$2="Todos",SUMIFS(BD!$I$3:$I$5001,BD!$A$3:$A$5001,"&gt;="&amp;$F$8,BD!$A$3:$A$5001,"&lt;="&amp;$G$8),SUMIFS(BD!$I$3:$I$5001,BD!$A$3:$A$5001,"&gt;="&amp;$F$8,BD!$A$3:$A$5001,"&lt;="&amp;$G$8,BD!$B$3:$B$5001,$D$2))</f>
        <v>0</v>
      </c>
      <c r="D334" s="49" t="str">
        <f>IF(AND(ISNUMBER(B334),ISNUMBER(C334)),IF(C334&lt;&gt;0,B334/C334-1,""),"")</f>
        <v/>
      </c>
    </row>
    <row r="335">
      <c r="A335" s="29" t="inlineStr">
        <is>
          <t xml:space="preserve">IN · Itens Recebidos CX Mista</t>
        </is>
      </c>
      <c r="B335" s="32">
        <f>IF($B$2="Todos",SUMIFS(BD!$J$3:$J$5001,BD!$A$3:$A$5001,"&gt;="&amp;$F$7,BD!$A$3:$A$5001,"&lt;="&amp;$G$7),SUMIFS(BD!$J$3:$J$5001,BD!$A$3:$A$5001,"&gt;="&amp;$F$7,BD!$A$3:$A$5001,"&lt;="&amp;$G$7,BD!$B$3:$B$5001,$D$2))</f>
        <v>0</v>
      </c>
      <c r="C335" s="32">
        <f>IF($B$2="Todos",SUMIFS(BD!$J$3:$J$5001,BD!$A$3:$A$5001,"&gt;="&amp;$F$8,BD!$A$3:$A$5001,"&lt;="&amp;$G$8),SUMIFS(BD!$J$3:$J$5001,BD!$A$3:$A$5001,"&gt;="&amp;$F$8,BD!$A$3:$A$5001,"&lt;="&amp;$G$8,BD!$B$3:$B$5001,$D$2))</f>
        <v>0</v>
      </c>
      <c r="D335" s="49" t="str">
        <f>IF(AND(ISNUMBER(B335),ISNUMBER(C335)),IF(C335&lt;&gt;0,B335/C335-1,""),"")</f>
        <v/>
      </c>
    </row>
    <row r="336">
      <c r="A336" s="29" t="inlineStr">
        <is>
          <t xml:space="preserve">IN · Caixas Fechadas</t>
        </is>
      </c>
      <c r="B336" s="32">
        <f>IF($B$2="Todos",SUMIFS(BD!$K$3:$K$5001,BD!$A$3:$A$5001,"&gt;="&amp;$F$7,BD!$A$3:$A$5001,"&lt;="&amp;$G$7),SUMIFS(BD!$K$3:$K$5001,BD!$A$3:$A$5001,"&gt;="&amp;$F$7,BD!$A$3:$A$5001,"&lt;="&amp;$G$7,BD!$B$3:$B$5001,$D$2))</f>
        <v>0</v>
      </c>
      <c r="C336" s="32">
        <f>IF($B$2="Todos",SUMIFS(BD!$K$3:$K$5001,BD!$A$3:$A$5001,"&gt;="&amp;$F$8,BD!$A$3:$A$5001,"&lt;="&amp;$G$8),SUMIFS(BD!$K$3:$K$5001,BD!$A$3:$A$5001,"&gt;="&amp;$F$8,BD!$A$3:$A$5001,"&lt;="&amp;$G$8,BD!$B$3:$B$5001,$D$2))</f>
        <v>0</v>
      </c>
      <c r="D336" s="49" t="str">
        <f>IF(AND(ISNUMBER(B336),ISNUMBER(C336)),IF(C336&lt;&gt;0,B336/C336-1,""),"")</f>
        <v/>
      </c>
    </row>
    <row r="337">
      <c r="A337" s="29" t="inlineStr">
        <is>
          <t xml:space="preserve">IN · Caixas Mistas Recebidas</t>
        </is>
      </c>
      <c r="B337" s="32">
        <f>IF($B$2="Todos",SUMIFS(BD!$L$3:$L$5001,BD!$A$3:$A$5001,"&gt;="&amp;$F$7,BD!$A$3:$A$5001,"&lt;="&amp;$G$7),SUMIFS(BD!$L$3:$L$5001,BD!$A$3:$A$5001,"&gt;="&amp;$F$7,BD!$A$3:$A$5001,"&lt;="&amp;$G$7,BD!$B$3:$B$5001,$D$2))</f>
        <v>0</v>
      </c>
      <c r="C337" s="32">
        <f>IF($B$2="Todos",SUMIFS(BD!$L$3:$L$5001,BD!$A$3:$A$5001,"&gt;="&amp;$F$8,BD!$A$3:$A$5001,"&lt;="&amp;$G$8),SUMIFS(BD!$L$3:$L$5001,BD!$A$3:$A$5001,"&gt;="&amp;$F$8,BD!$A$3:$A$5001,"&lt;="&amp;$G$8,BD!$B$3:$B$5001,$D$2))</f>
        <v>0</v>
      </c>
      <c r="D337" s="49" t="str">
        <f>IF(AND(ISNUMBER(B337),ISNUMBER(C337)),IF(C337&lt;&gt;0,B337/C337-1,""),"")</f>
        <v/>
      </c>
    </row>
    <row r="338">
      <c r="A338" s="29" t="inlineStr">
        <is>
          <t xml:space="preserve">OUT · Pedidos Expedidos</t>
        </is>
      </c>
      <c r="B338" s="32">
        <f>IF($B$2="Todos",SUMIFS(BD!$N$3:$N$5001,BD!$A$3:$A$5001,"&gt;="&amp;$F$7,BD!$A$3:$A$5001,"&lt;="&amp;$G$7),SUMIFS(BD!$N$3:$N$5001,BD!$A$3:$A$5001,"&gt;="&amp;$F$7,BD!$A$3:$A$5001,"&lt;="&amp;$G$7,BD!$B$3:$B$5001,$D$2))</f>
        <v>0</v>
      </c>
      <c r="C338" s="32">
        <f>IF($B$2="Todos",SUMIFS(BD!$N$3:$N$5001,BD!$A$3:$A$5001,"&gt;="&amp;$F$8,BD!$A$3:$A$5001,"&lt;="&amp;$G$8),SUMIFS(BD!$N$3:$N$5001,BD!$A$3:$A$5001,"&gt;="&amp;$F$8,BD!$A$3:$A$5001,"&lt;="&amp;$G$8,BD!$B$3:$B$5001,$D$2))</f>
        <v>0</v>
      </c>
      <c r="D338" s="49" t="str">
        <f>IF(AND(ISNUMBER(B338),ISNUMBER(C338)),IF(C338&lt;&gt;0,B338/C338-1,""),"")</f>
        <v/>
      </c>
    </row>
    <row r="339">
      <c r="A339" s="29" t="inlineStr">
        <is>
          <t xml:space="preserve">OUT · Pedidos Faturados</t>
        </is>
      </c>
      <c r="B339" s="32">
        <f>IF($B$2="Todos",SUMIFS(BD!$O$3:$O$5001,BD!$A$3:$A$5001,"&gt;="&amp;$F$7,BD!$A$3:$A$5001,"&lt;="&amp;$G$7),SUMIFS(BD!$O$3:$O$5001,BD!$A$3:$A$5001,"&gt;="&amp;$F$7,BD!$A$3:$A$5001,"&lt;="&amp;$G$7,BD!$B$3:$B$5001,$D$2))</f>
        <v>0</v>
      </c>
      <c r="C339" s="32">
        <f>IF($B$2="Todos",SUMIFS(BD!$O$3:$O$5001,BD!$A$3:$A$5001,"&gt;="&amp;$F$8,BD!$A$3:$A$5001,"&lt;="&amp;$G$8),SUMIFS(BD!$O$3:$O$5001,BD!$A$3:$A$5001,"&gt;="&amp;$F$8,BD!$A$3:$A$5001,"&lt;="&amp;$G$8,BD!$B$3:$B$5001,$D$2))</f>
        <v>0</v>
      </c>
      <c r="D339" s="49" t="str">
        <f>IF(AND(ISNUMBER(B339),ISNUMBER(C339)),IF(C339&lt;&gt;0,B339/C339-1,""),"")</f>
        <v/>
      </c>
    </row>
    <row r="340">
      <c r="A340" s="29" t="inlineStr">
        <is>
          <t xml:space="preserve">OUT · Itens Expedidos</t>
        </is>
      </c>
      <c r="B340" s="32">
        <f>IF($B$2="Todos",SUMIFS(BD!$P$3:$P$5001,BD!$A$3:$A$5001,"&gt;="&amp;$F$7,BD!$A$3:$A$5001,"&lt;="&amp;$G$7),SUMIFS(BD!$P$3:$P$5001,BD!$A$3:$A$5001,"&gt;="&amp;$F$7,BD!$A$3:$A$5001,"&lt;="&amp;$G$7,BD!$B$3:$B$5001,$D$2))</f>
        <v>0</v>
      </c>
      <c r="C340" s="32">
        <f>IF($B$2="Todos",SUMIFS(BD!$P$3:$P$5001,BD!$A$3:$A$5001,"&gt;="&amp;$F$8,BD!$A$3:$A$5001,"&lt;="&amp;$G$8),SUMIFS(BD!$P$3:$P$5001,BD!$A$3:$A$5001,"&gt;="&amp;$F$8,BD!$A$3:$A$5001,"&lt;="&amp;$G$8,BD!$B$3:$B$5001,$D$2))</f>
        <v>0</v>
      </c>
      <c r="D340" s="49" t="str">
        <f>IF(AND(ISNUMBER(B340),ISNUMBER(C340)),IF(C340&lt;&gt;0,B340/C340-1,""),"")</f>
        <v/>
      </c>
    </row>
    <row r="341">
      <c r="A341" s="29" t="inlineStr">
        <is>
          <t xml:space="preserve">OUT · Peças Movimentadas</t>
        </is>
      </c>
      <c r="B341" s="32">
        <f>IF($B$2="Todos",SUMIFS(BD!$Q$3:$Q$5001,BD!$A$3:$A$5001,"&gt;="&amp;$F$7,BD!$A$3:$A$5001,"&lt;="&amp;$G$7),SUMIFS(BD!$Q$3:$Q$5001,BD!$A$3:$A$5001,"&gt;="&amp;$F$7,BD!$A$3:$A$5001,"&lt;="&amp;$G$7,BD!$B$3:$B$5001,$D$2))</f>
        <v>0</v>
      </c>
      <c r="C341" s="32">
        <f>IF($B$2="Todos",SUMIFS(BD!$Q$3:$Q$5001,BD!$A$3:$A$5001,"&gt;="&amp;$F$8,BD!$A$3:$A$5001,"&lt;="&amp;$G$8),SUMIFS(BD!$Q$3:$Q$5001,BD!$A$3:$A$5001,"&gt;="&amp;$F$8,BD!$A$3:$A$5001,"&lt;="&amp;$G$8,BD!$B$3:$B$5001,$D$2))</f>
        <v>0</v>
      </c>
      <c r="D341" s="49" t="str">
        <f>IF(AND(ISNUMBER(B341),ISNUMBER(C341)),IF(C341&lt;&gt;0,B341/C341-1,""),"")</f>
        <v/>
      </c>
    </row>
    <row r="342">
      <c r="A342" s="29" t="inlineStr">
        <is>
          <t xml:space="preserve">OUT · Linhas NF</t>
        </is>
      </c>
      <c r="B342" s="32">
        <f>IF($B$2="Todos",SUMIFS(BD!$R$3:$R$5001,BD!$A$3:$A$5001,"&gt;="&amp;$F$7,BD!$A$3:$A$5001,"&lt;="&amp;$G$7),SUMIFS(BD!$R$3:$R$5001,BD!$A$3:$A$5001,"&gt;="&amp;$F$7,BD!$A$3:$A$5001,"&lt;="&amp;$G$7,BD!$B$3:$B$5001,$D$2))</f>
        <v>0</v>
      </c>
      <c r="C342" s="32">
        <f>IF($B$2="Todos",SUMIFS(BD!$R$3:$R$5001,BD!$A$3:$A$5001,"&gt;="&amp;$F$8,BD!$A$3:$A$5001,"&lt;="&amp;$G$8),SUMIFS(BD!$R$3:$R$5001,BD!$A$3:$A$5001,"&gt;="&amp;$F$8,BD!$A$3:$A$5001,"&lt;="&amp;$G$8,BD!$B$3:$B$5001,$D$2))</f>
        <v>0</v>
      </c>
      <c r="D342" s="49" t="str">
        <f>IF(AND(ISNUMBER(B342),ISNUMBER(C342)),IF(C342&lt;&gt;0,B342/C342-1,""),"")</f>
        <v/>
      </c>
    </row>
    <row r="343">
      <c r="A343" s="29" t="inlineStr">
        <is>
          <t xml:space="preserve">OUT · Caixas Expedidas</t>
        </is>
      </c>
      <c r="B343" s="32">
        <f>IF($B$2="Todos",SUMIFS(BD!$S$3:$S$5001,BD!$A$3:$A$5001,"&gt;="&amp;$F$7,BD!$A$3:$A$5001,"&lt;="&amp;$G$7),SUMIFS(BD!$S$3:$S$5001,BD!$A$3:$A$5001,"&gt;="&amp;$F$7,BD!$A$3:$A$5001,"&lt;="&amp;$G$7,BD!$B$3:$B$5001,$D$2))</f>
        <v>0</v>
      </c>
      <c r="C343" s="32">
        <f>IF($B$2="Todos",SUMIFS(BD!$S$3:$S$5001,BD!$A$3:$A$5001,"&gt;="&amp;$F$8,BD!$A$3:$A$5001,"&lt;="&amp;$G$8),SUMIFS(BD!$S$3:$S$5001,BD!$A$3:$A$5001,"&gt;="&amp;$F$8,BD!$A$3:$A$5001,"&lt;="&amp;$G$8,BD!$B$3:$B$5001,$D$2))</f>
        <v>0</v>
      </c>
      <c r="D343" s="49" t="str">
        <f>IF(AND(ISNUMBER(B343),ISNUMBER(C343)),IF(C343&lt;&gt;0,B343/C343-1,""),"")</f>
        <v/>
      </c>
    </row>
    <row r="346">
      <c r="A346" s="44" t="inlineStr">
        <is>
          <t xml:space="preserve">Textos das linhas de apoio dos cards (Dashboard)</t>
        </is>
      </c>
    </row>
    <row r="347">
      <c r="A347" s="38" t="inlineStr">
        <is>
          <t xml:space="preserve">inA</t>
        </is>
      </c>
      <c r="B347" s="65" t="str">
        <f>IF(N(VALUE($B$349))=0,"",IF(ISNUMBER(IF(N(VALUE($E$349))=0,INDEX($B$307:$B$343,VALUE($B$349)),IF(AND(ISNUMBER(INDEX($B$307:$B$343,VALUE($B$349))),N(INDEX($B$307:$B$343,N(VALUE($E$349))))&gt;0),INDEX($B$307:$B$343,VALUE($B$349))/INDEX($B$307:$B$343,N(VALUE($E$349))),""))),FIXED(IF(N(VALUE($E$349))=0,INDEX($B$307:$B$343,VALUE($B$349)),IF(AND(ISNUMBER(INDEX($B$307:$B$343,VALUE($B$349))),N(INDEX($B$307:$B$343,N(VALUE($E$349))))&gt;0),INDEX($B$307:$B$343,VALUE($B$349))/INDEX($B$307:$B$343,N(VALUE($E$349))),"")),VALUE($D$349)),"—")&amp;" "&amp;$C$349)&amp;IF(AND(N(VALUE($B$349))&gt;0,N(VALUE($F$349))&gt;0),"  ·  ","")&amp;IF(N(VALUE($F$349))=0,"",IF(ISNUMBER(IF(N(VALUE($I$349))=0,INDEX($B$307:$B$343,VALUE($F$349)),IF(AND(ISNUMBER(INDEX($B$307:$B$343,VALUE($F$349))),N(INDEX($B$307:$B$343,N(VALUE($I$349))))&gt;0),INDEX($B$307:$B$343,VALUE($F$349))/INDEX($B$307:$B$343,N(VALUE($I$349))),""))),FIXED(IF(N(VALUE($I$349))=0,INDEX($B$307:$B$343,VALUE($F$349)),IF(AND(ISNUMBER(INDEX($B$307:$B$343,VALUE($F$349))),N(INDEX($B$307:$B$343,N(VALUE($I$349))))&gt;0),INDEX($B$307:$B$343,VALUE($F$349))/INDEX($B$307:$B$343,N(VALUE($I$349))),"")),VALUE($H$349)),"—")&amp;" "&amp;$G$349)</f>
        <v>0 pallets movimentados</v>
      </c>
      <c r="C347" s="38" t="inlineStr">
        <is>
          <t xml:space="preserve">inB</t>
        </is>
      </c>
      <c r="D347" s="65" t="str">
        <f>IF(N(VALUE($J$349))=0,"",IF(ISNUMBER(IF(N(VALUE($M$349))=0,INDEX($B$307:$B$343,VALUE($J$349)),IF(AND(ISNUMBER(INDEX($B$307:$B$343,VALUE($J$349))),N(INDEX($B$307:$B$343,N(VALUE($M$349))))&gt;0),INDEX($B$307:$B$343,VALUE($J$349))/INDEX($B$307:$B$343,N(VALUE($M$349))),""))),FIXED(IF(N(VALUE($M$349))=0,INDEX($B$307:$B$343,VALUE($J$349)),IF(AND(ISNUMBER(INDEX($B$307:$B$343,VALUE($J$349))),N(INDEX($B$307:$B$343,N(VALUE($M$349))))&gt;0),INDEX($B$307:$B$343,VALUE($J$349))/INDEX($B$307:$B$343,N(VALUE($M$349))),"")),VALUE($L$349)),"—")&amp;" "&amp;$K$349)&amp;IF(AND(N(VALUE($J$349))&gt;0,N(VALUE($N$349))&gt;0),"  ·  ","")&amp;IF(N(VALUE($N$349))=0,"",IF(ISNUMBER(IF(N(VALUE($Q$349))=0,INDEX($B$307:$B$343,VALUE($N$349)),IF(AND(ISNUMBER(INDEX($B$307:$B$343,VALUE($N$349))),N(INDEX($B$307:$B$343,N(VALUE($Q$349))))&gt;0),INDEX($B$307:$B$343,VALUE($N$349))/INDEX($B$307:$B$343,N(VALUE($Q$349))),""))),FIXED(IF(N(VALUE($Q$349))=0,INDEX($B$307:$B$343,VALUE($N$349)),IF(AND(ISNUMBER(INDEX($B$307:$B$343,VALUE($N$349))),N(INDEX($B$307:$B$343,N(VALUE($Q$349))))&gt;0),INDEX($B$307:$B$343,VALUE($N$349))/INDEX($B$307:$B$343,N(VALUE($Q$349))),"")),VALUE($P$349)),"—")&amp;" "&amp;$O$349)</f>
        <v>0,0 t movimentadas</v>
      </c>
      <c r="E347" s="38" t="inlineStr">
        <is>
          <t xml:space="preserve">outA</t>
        </is>
      </c>
      <c r="F347" s="65" t="str">
        <f>IF(N(VALUE($R$349))=0,"",IF(ISNUMBER(IF(N(VALUE($U$349))=0,INDEX($B$307:$B$343,VALUE($R$349)),IF(AND(ISNUMBER(INDEX($B$307:$B$343,VALUE($R$349))),N(INDEX($B$307:$B$343,N(VALUE($U$349))))&gt;0),INDEX($B$307:$B$343,VALUE($R$349))/INDEX($B$307:$B$343,N(VALUE($U$349))),""))),FIXED(IF(N(VALUE($U$349))=0,INDEX($B$307:$B$343,VALUE($R$349)),IF(AND(ISNUMBER(INDEX($B$307:$B$343,VALUE($R$349))),N(INDEX($B$307:$B$343,N(VALUE($U$349))))&gt;0),INDEX($B$307:$B$343,VALUE($R$349))/INDEX($B$307:$B$343,N(VALUE($U$349))),"")),VALUE($T$349)),"—")&amp;" "&amp;$S$349)&amp;IF(AND(N(VALUE($R$349))&gt;0,N(VALUE($V$349))&gt;0),"  ·  ","")&amp;IF(N(VALUE($V$349))=0,"",IF(ISNUMBER(IF(N(VALUE($Y$349))=0,INDEX($B$307:$B$343,VALUE($V$349)),IF(AND(ISNUMBER(INDEX($B$307:$B$343,VALUE($V$349))),N(INDEX($B$307:$B$343,N(VALUE($Y$349))))&gt;0),INDEX($B$307:$B$343,VALUE($V$349))/INDEX($B$307:$B$343,N(VALUE($Y$349))),""))),FIXED(IF(N(VALUE($Y$349))=0,INDEX($B$307:$B$343,VALUE($V$349)),IF(AND(ISNUMBER(INDEX($B$307:$B$343,VALUE($V$349))),N(INDEX($B$307:$B$343,N(VALUE($Y$349))))&gt;0),INDEX($B$307:$B$343,VALUE($V$349))/INDEX($B$307:$B$343,N(VALUE($Y$349))),"")),VALUE($X$349)),"—")&amp;" "&amp;$W$349)</f>
        <v>0 pallets movimentados</v>
      </c>
      <c r="G347" s="38" t="inlineStr">
        <is>
          <t xml:space="preserve">outB</t>
        </is>
      </c>
      <c r="H347" s="65" t="str">
        <f>IF(N(VALUE($Z$349))=0,"",IF(ISNUMBER(IF(N(VALUE($AC$349))=0,INDEX($B$307:$B$343,VALUE($Z$349)),IF(AND(ISNUMBER(INDEX($B$307:$B$343,VALUE($Z$349))),N(INDEX($B$307:$B$343,N(VALUE($AC$349))))&gt;0),INDEX($B$307:$B$343,VALUE($Z$349))/INDEX($B$307:$B$343,N(VALUE($AC$349))),""))),FIXED(IF(N(VALUE($AC$349))=0,INDEX($B$307:$B$343,VALUE($Z$349)),IF(AND(ISNUMBER(INDEX($B$307:$B$343,VALUE($Z$349))),N(INDEX($B$307:$B$343,N(VALUE($AC$349))))&gt;0),INDEX($B$307:$B$343,VALUE($Z$349))/INDEX($B$307:$B$343,N(VALUE($AC$349))),"")),VALUE($AB$349)),"—")&amp;" "&amp;$AA$349)&amp;IF(AND(N(VALUE($Z$349))&gt;0,N(VALUE($AD$349))&gt;0),"  ·  ","")&amp;IF(N(VALUE($AD$349))=0,"",IF(ISNUMBER(IF(N(VALUE($AG$349))=0,INDEX($B$307:$B$343,VALUE($AD$349)),IF(AND(ISNUMBER(INDEX($B$307:$B$343,VALUE($AD$349))),N(INDEX($B$307:$B$343,N(VALUE($AG$349))))&gt;0),INDEX($B$307:$B$343,VALUE($AD$349))/INDEX($B$307:$B$343,N(VALUE($AG$349))),""))),FIXED(IF(N(VALUE($AG$349))=0,INDEX($B$307:$B$343,VALUE($AD$349)),IF(AND(ISNUMBER(INDEX($B$307:$B$343,VALUE($AD$349))),N(INDEX($B$307:$B$343,N(VALUE($AG$349))))&gt;0),INDEX($B$307:$B$343,VALUE($AD$349))/INDEX($B$307:$B$343,N(VALUE($AG$349))),"")),VALUE($AF$349)),"—")&amp;" "&amp;$AE$349)</f>
        <v>0,0 t movimentadas</v>
      </c>
    </row>
    <row r="348">
      <c r="A348" s="19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49">
      <c r="A349" s="95">
        <f>IFERROR(MATCH($B$2,Config!$B$9:$B$29,0),1)</f>
        <v>1</v>
      </c>
      <c r="B349" s="96">
        <f>IFERROR(VLOOKUP(INDEX(Config!$E$9:$E$29,$A$349),Config!$AL$9:$AR$42,4,0),0)</f>
        <v>2</v>
      </c>
      <c r="C349" s="96" t="str">
        <f>IFERROR(VLOOKUP(INDEX(Config!$E$9:$E$29,$A$349),Config!$AL$9:$AR$42,2,0)&amp;"","")</f>
        <v>pallets movimentados</v>
      </c>
      <c r="D349" s="96">
        <f>IFERROR(VLOOKUP(INDEX(Config!$E$9:$E$29,$A$349),Config!$AL$9:$AR$42,3,0),0)</f>
        <v>0</v>
      </c>
      <c r="E349" s="96">
        <f>IFERROR(VLOOKUP(INDEX(Config!$E$9:$E$29,$A$349),Config!$AL$9:$AR$42,6,0),0)</f>
        <v>0</v>
      </c>
      <c r="F349" s="96">
        <v>0</v>
      </c>
      <c r="G349" s="96"/>
      <c r="H349" s="96">
        <v>0</v>
      </c>
      <c r="I349" s="96">
        <v>0</v>
      </c>
      <c r="J349" s="96">
        <f>IFERROR(VLOOKUP(INDEX(Config!$F$9:$F$29,$A$349),Config!$AL$9:$AR$42,4,0),0)</f>
        <v>3</v>
      </c>
      <c r="K349" s="96" t="str">
        <f>IFERROR(VLOOKUP(INDEX(Config!$F$9:$F$29,$A$349),Config!$AL$9:$AR$42,2,0)&amp;"","")</f>
        <v>t movimentadas</v>
      </c>
      <c r="L349" s="96">
        <f>IFERROR(VLOOKUP(INDEX(Config!$F$9:$F$29,$A$349),Config!$AL$9:$AR$42,3,0),0)</f>
        <v>1</v>
      </c>
      <c r="M349" s="96">
        <f>IFERROR(VLOOKUP(INDEX(Config!$F$9:$F$29,$A$349),Config!$AL$9:$AR$42,6,0),0)</f>
        <v>0</v>
      </c>
      <c r="N349" s="96">
        <f>IFERROR(VLOOKUP(INDEX(Config!$G$9:$G$29,$A$349),Config!$AL$9:$AR$42,4,0),0)</f>
        <v>0</v>
      </c>
      <c r="O349" s="96" t="str">
        <f>IFERROR(VLOOKUP(INDEX(Config!$G$9:$G$29,$A$349),Config!$AL$9:$AR$42,2,0)&amp;"","")</f>
        <v/>
      </c>
      <c r="P349" s="96">
        <f>IFERROR(VLOOKUP(INDEX(Config!$G$9:$G$29,$A$349),Config!$AL$9:$AR$42,3,0),0)</f>
        <v>0</v>
      </c>
      <c r="Q349" s="96">
        <f>IFERROR(VLOOKUP(INDEX(Config!$G$9:$G$29,$A$349),Config!$AL$9:$AR$42,6,0),0)</f>
        <v>0</v>
      </c>
      <c r="R349" s="96">
        <f>IFERROR(VLOOKUP(INDEX(Config!$I$9:$I$29,$A$349),Config!$AL$9:$AR$42,4,0),0)</f>
        <v>5</v>
      </c>
      <c r="S349" s="96" t="str">
        <f>IFERROR(VLOOKUP(INDEX(Config!$I$9:$I$29,$A$349),Config!$AL$9:$AR$42,2,0)&amp;"","")</f>
        <v>pallets movimentados</v>
      </c>
      <c r="T349" s="96">
        <f>IFERROR(VLOOKUP(INDEX(Config!$I$9:$I$29,$A$349),Config!$AL$9:$AR$42,3,0),0)</f>
        <v>0</v>
      </c>
      <c r="U349" s="96">
        <f>IFERROR(VLOOKUP(INDEX(Config!$I$9:$I$29,$A$349),Config!$AL$9:$AR$42,6,0),0)</f>
        <v>0</v>
      </c>
      <c r="V349" s="96">
        <v>0</v>
      </c>
      <c r="W349" s="96"/>
      <c r="X349" s="96">
        <v>0</v>
      </c>
      <c r="Y349" s="96">
        <v>0</v>
      </c>
      <c r="Z349" s="96">
        <f>IFERROR(VLOOKUP(INDEX(Config!$J$9:$J$29,$A$349),Config!$AL$9:$AR$42,4,0),0)</f>
        <v>6</v>
      </c>
      <c r="AA349" s="96" t="str">
        <f>IFERROR(VLOOKUP(INDEX(Config!$J$9:$J$29,$A$349),Config!$AL$9:$AR$42,2,0)&amp;"","")</f>
        <v>t movimentadas</v>
      </c>
      <c r="AB349" s="96">
        <f>IFERROR(VLOOKUP(INDEX(Config!$J$9:$J$29,$A$349),Config!$AL$9:$AR$42,3,0),0)</f>
        <v>1</v>
      </c>
      <c r="AC349" s="96">
        <f>IFERROR(VLOOKUP(INDEX(Config!$J$9:$J$29,$A$349),Config!$AL$9:$AR$42,6,0),0)</f>
        <v>0</v>
      </c>
      <c r="AD349" s="96">
        <f>IFERROR(VLOOKUP(INDEX(Config!$K$9:$K$29,$A$349),Config!$AL$9:$AR$42,4,0),0)</f>
        <v>0</v>
      </c>
      <c r="AE349" s="96" t="str">
        <f>IFERROR(VLOOKUP(INDEX(Config!$K$9:$K$29,$A$349),Config!$AL$9:$AR$42,2,0)&amp;"","")</f>
        <v/>
      </c>
      <c r="AF349" s="96">
        <f>IFERROR(VLOOKUP(INDEX(Config!$K$9:$K$29,$A$349),Config!$AL$9:$AR$42,3,0),0)</f>
        <v>0</v>
      </c>
      <c r="AG349" s="96">
        <f>IFERROR(VLOOKUP(INDEX(Config!$K$9:$K$29,$A$349),Config!$AL$9:$AR$42,6,0),0)</f>
        <v>0</v>
      </c>
      <c r="AH349" s="96">
        <f>IFERROR(VLOOKUP(INDEX(Config!$M$9:$M$29,$A$349),Config!$AL$9:$AR$42,5,0),0)</f>
        <v>2</v>
      </c>
      <c r="AI349" s="96">
        <f>IFERROR(VLOOKUP(INDEX(Config!$N$9:$N$29,$A$349),Config!$AL$9:$AR$42,5,0),0)</f>
        <v>18</v>
      </c>
      <c r="AJ349" s="96">
        <f>IFERROR(VLOOKUP(INDEX(Config!$M$9:$M$29,$A$349),Config!$AL$9:$AR$42,7,0),0)</f>
        <v>0</v>
      </c>
      <c r="AK349" s="96">
        <f>IFERROR(VLOOKUP(INDEX(Config!$N$9:$N$29,$A$349),Config!$AL$9:$AR$42,7,0),0)</f>
        <v>0</v>
      </c>
      <c r="AL349" s="96" t="str">
        <f>INDEX(Config!$O$9:$O$29,$A$349)&amp;""</f>
        <v>MOVIMENTAÇÃO PALETES/DIA</v>
      </c>
      <c r="AM349" s="96" t="str">
        <f>INDEX(Config!$P$9:$P$29,$A$349)&amp;""</f>
        <v>ACUMULADO SEMANAL PALETES</v>
      </c>
      <c r="AN349" s="96" t="str">
        <f>IF(INDEX(Config!$M$9:$M$29,$A$349)&amp;""="","IN",INDEX(Config!$M$9:$M$29,$A$349)&amp;"")</f>
        <v>Pallets Movimentados IN</v>
      </c>
      <c r="AO349" s="96" t="str">
        <f>IF(INDEX(Config!$N$9:$N$29,$A$349)&amp;""="","OUT",INDEX(Config!$N$9:$N$29,$A$349)&amp;"")</f>
        <v>Pallets Movimentados OUT</v>
      </c>
      <c r="AP349" s="96">
        <f>IFERROR(VLOOKUP(INDEX(Config!$Q$9:$Q$29,$A$349),Config!$AL$9:$AR$42,5,0),0)</f>
        <v>3</v>
      </c>
      <c r="AQ349" s="96">
        <f>IFERROR(VLOOKUP(INDEX(Config!$R$9:$R$29,$A$349),Config!$AL$9:$AR$42,5,0),0)</f>
        <v>19</v>
      </c>
      <c r="AR349" s="96">
        <f>IFERROR(VLOOKUP(INDEX(Config!$Q$9:$Q$29,$A$349),Config!$AL$9:$AR$42,7,0),0)</f>
        <v>0</v>
      </c>
      <c r="AS349" s="96">
        <f>IFERROR(VLOOKUP(INDEX(Config!$R$9:$R$29,$A$349),Config!$AL$9:$AR$42,7,0),0)</f>
        <v>0</v>
      </c>
      <c r="AT349" s="96" t="str">
        <f>INDEX(Config!$S$9:$S$29,$A$349)&amp;""</f>
        <v>MOVIMENTAÇÃO TONS/DIA</v>
      </c>
      <c r="AU349" s="96" t="str">
        <f>INDEX(Config!$T$9:$T$29,$A$349)&amp;""</f>
        <v>ACUMULADO SEMANAL TONS</v>
      </c>
      <c r="AV349" s="96" t="str">
        <f>IF(INDEX(Config!$Q$9:$Q$29,$A$349)&amp;""="","IN",INDEX(Config!$Q$9:$Q$29,$A$349)&amp;"")</f>
        <v>Toneladas Movimentadas IN</v>
      </c>
      <c r="AW349" s="96" t="str">
        <f>IF(INDEX(Config!$R$9:$R$29,$A$349)&amp;""="","OUT",INDEX(Config!$R$9:$R$29,$A$349)&amp;"")</f>
        <v>Toneladas Movimentadas OUT</v>
      </c>
      <c r="AX349" s="96" t="str">
        <f>INDEX(Config!$D$9:$D$29,$A$349)&amp;""</f>
        <v>Sim</v>
      </c>
      <c r="AY349" s="96" t="str">
        <f>INDEX(Config!$H$9:$H$29,$A$349)&amp;""</f>
        <v>Sim</v>
      </c>
      <c r="AZ349" s="96" t="str">
        <f>INDEX(Config!$L$9:$L$29,$A$349)&amp;""</f>
        <v>Completo</v>
      </c>
      <c r="BA349" s="96" t="str">
        <f>IF(OR($B$2="Todos",$C$2=2),Config!$D$70,Config!$D$69)&amp;""</f>
        <v>ARMAZÉM</v>
      </c>
      <c r="BB349" s="96" t="str">
        <f>IF(OR($B$2="Todos",$C$2=2),Config!$D$89,Config!$D$88)&amp;""</f>
        <v>Capacidade do armazém (p.p)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F55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0" customWidth="1"/>
    <col min="7" max="7" width="12.100000000000001" customWidth="1"/>
    <col min="8" max="8" width="11.55" customWidth="1"/>
    <col min="9" max="9" width="10" customWidth="1"/>
    <col min="10" max="10" width="13" customWidth="1"/>
    <col min="11" max="11" width="10" customWidth="1"/>
    <col min="12" max="12" width="13" customWidth="1"/>
    <col min="13" max="13" width="12.100000000000001" customWidth="1"/>
    <col min="14" max="14" width="11.55" customWidth="1"/>
    <col min="15" max="15" width="11.55" customWidth="1"/>
    <col min="16" max="16" width="10.450000000000001" customWidth="1"/>
    <col min="17" max="17" width="12.100000000000001" customWidth="1"/>
    <col min="18" max="18" width="10" customWidth="1"/>
    <col min="19" max="19" width="11" customWidth="1"/>
    <col min="20" max="20" width="13" customWidth="1"/>
    <col min="21" max="21" width="13" customWidth="1"/>
    <col min="22" max="22" width="10" customWidth="1"/>
    <col min="23" max="23" width="10" customWidth="1"/>
    <col min="24" max="24" width="10" customWidth="1"/>
    <col min="25" max="25" width="11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2.65" customWidth="1"/>
    <col min="33" max="33" width="10" customWidth="1"/>
    <col min="34" max="34" width="10" customWidth="1"/>
    <col min="35" max="35" width="11" customWidth="1"/>
    <col min="36" max="36" width="3" customWidth="1"/>
    <col min="37" max="37" width="70" customWidth="1"/>
    <col min="38" max="38" width="11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12" customWidth="1"/>
    <col min="52" max="52" width="12" customWidth="1"/>
    <col min="53" max="53" width="12" customWidth="1"/>
    <col min="54" max="54" width="12" customWidth="1"/>
    <col min="55" max="55" width="12" customWidth="1"/>
    <col min="56" max="56" width="12" customWidth="1"/>
    <col min="57" max="57" width="12" customWidth="1"/>
    <col min="58" max="58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4"/>
      <c r="H1" s="4"/>
      <c r="I1" s="4"/>
      <c r="J1" s="4"/>
      <c r="K1" s="4"/>
      <c r="L1" s="5"/>
      <c r="M1" s="6" t="inlineStr">
        <is>
          <t xml:space="preserve">OUT · EXPEDIÇÃO</t>
        </is>
      </c>
      <c r="N1" s="7"/>
      <c r="O1" s="7"/>
      <c r="P1" s="7"/>
      <c r="Q1" s="7"/>
      <c r="R1" s="7"/>
      <c r="S1" s="7"/>
      <c r="T1" s="7"/>
      <c r="U1" s="8"/>
      <c r="V1" s="9" t="inlineStr">
        <is>
          <t xml:space="preserve">NC · NÃO CONFORMIDADES</t>
        </is>
      </c>
      <c r="W1" s="10"/>
      <c r="X1" s="11"/>
      <c r="Y1" s="3" t="inlineStr">
        <is>
          <t xml:space="preserve">OCUPAÇÃO (P.P)</t>
        </is>
      </c>
      <c r="Z1" s="5"/>
      <c r="AA1" s="12" t="inlineStr">
        <is>
          <t xml:space="preserve">GENTE</t>
        </is>
      </c>
      <c r="AB1" s="13"/>
      <c r="AC1" s="13"/>
      <c r="AD1" s="13"/>
      <c r="AE1" s="13"/>
      <c r="AF1" s="13"/>
      <c r="AG1" s="13"/>
      <c r="AH1" s="14"/>
      <c r="AI1" s="15" t="inlineStr">
        <is>
          <t xml:space="preserve">CONTRATO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Linhas NF</t>
        </is>
      </c>
      <c r="G2" s="16" t="inlineStr">
        <is>
          <t xml:space="preserve">IN Caixas Movimentadas</t>
        </is>
      </c>
      <c r="H2" s="16" t="inlineStr">
        <is>
          <t xml:space="preserve">IN Peças Movimentadas</t>
        </is>
      </c>
      <c r="I2" s="16" t="inlineStr">
        <is>
          <t xml:space="preserve">IN Itens Recebidos</t>
        </is>
      </c>
      <c r="J2" s="16" t="inlineStr">
        <is>
          <t xml:space="preserve">IN Itens Recebidos CX Mista</t>
        </is>
      </c>
      <c r="K2" s="16" t="inlineStr">
        <is>
          <t xml:space="preserve">IN Caixas Fechadas</t>
        </is>
      </c>
      <c r="L2" s="16" t="inlineStr">
        <is>
          <t xml:space="preserve">IN Caixas Mistas Recebidas</t>
        </is>
      </c>
      <c r="M2" s="16" t="inlineStr">
        <is>
          <t xml:space="preserve">OUT Veículos Expedidos</t>
        </is>
      </c>
      <c r="N2" s="16" t="inlineStr">
        <is>
          <t xml:space="preserve">OUT Pedidos Expedidos</t>
        </is>
      </c>
      <c r="O2" s="16" t="inlineStr">
        <is>
          <t xml:space="preserve">OUT Pedidos Faturados</t>
        </is>
      </c>
      <c r="P2" s="16" t="inlineStr">
        <is>
          <t xml:space="preserve">OUT Itens Expedidos</t>
        </is>
      </c>
      <c r="Q2" s="16" t="inlineStr">
        <is>
          <t xml:space="preserve">OUT Peças Movimentadas</t>
        </is>
      </c>
      <c r="R2" s="16" t="inlineStr">
        <is>
          <t xml:space="preserve">OUT Linhas NF</t>
        </is>
      </c>
      <c r="S2" s="16" t="inlineStr">
        <is>
          <t xml:space="preserve">OUT Caixas Expedidas</t>
        </is>
      </c>
      <c r="T2" s="16" t="inlineStr">
        <is>
          <t xml:space="preserve">OUT Pallets Movimentados</t>
        </is>
      </c>
      <c r="U2" s="16" t="inlineStr">
        <is>
          <t xml:space="preserve">OUT Toneladas Movimentadas</t>
        </is>
      </c>
      <c r="V2" s="16" t="inlineStr">
        <is>
          <t xml:space="preserve">NC Incidentes</t>
        </is>
      </c>
      <c r="W2" s="16" t="inlineStr">
        <is>
          <t xml:space="preserve">NC No show</t>
        </is>
      </c>
      <c r="X2" s="16" t="inlineStr">
        <is>
          <t xml:space="preserve">NC Backlog</t>
        </is>
      </c>
      <c r="Y2" s="16" t="inlineStr">
        <is>
          <t xml:space="preserve">Posições Disponíveis</t>
        </is>
      </c>
      <c r="Z2" s="16" t="inlineStr">
        <is>
          <t xml:space="preserve">Posições Ocupadas</t>
        </is>
      </c>
      <c r="AA2" s="16" t="inlineStr">
        <is>
          <t xml:space="preserve">Efetivo Op.</t>
        </is>
      </c>
      <c r="AB2" s="16" t="inlineStr">
        <is>
          <t xml:space="preserve">Falta</t>
        </is>
      </c>
      <c r="AC2" s="16" t="inlineStr">
        <is>
          <t xml:space="preserve">Folga</t>
        </is>
      </c>
      <c r="AD2" s="16" t="inlineStr">
        <is>
          <t xml:space="preserve">Férias</t>
        </is>
      </c>
      <c r="AE2" s="16" t="inlineStr">
        <is>
          <t xml:space="preserve">Desligamento</t>
        </is>
      </c>
      <c r="AF2" s="16" t="inlineStr">
        <is>
          <t xml:space="preserve">Desvios Comportamentais</t>
        </is>
      </c>
      <c r="AG2" s="16" t="inlineStr">
        <is>
          <t xml:space="preserve">Acidentes CAF</t>
        </is>
      </c>
      <c r="AH2" s="16" t="inlineStr">
        <is>
          <t xml:space="preserve">Acidentes SAF</t>
        </is>
      </c>
      <c r="AI2" s="16" t="inlineStr">
        <is>
          <t xml:space="preserve">Modalidade</t>
        </is>
      </c>
      <c r="AK2" s="17" t="inlineStr">
        <is>
          <t xml:space="preserve">COMO PREENCHER A BD</t>
        </is>
      </c>
    </row>
    <row r="3">
      <c r="AK3" s="18" t="inlineStr">
        <is>
          <t xml:space="preserve">• Uma linha por dia e por cliente.</t>
        </is>
      </c>
    </row>
    <row r="4">
      <c r="AK4" s="18" t="inlineStr">
        <is>
          <t xml:space="preserve">• Digite na primeira linha vazia logo abaixo da tabela: ela cresce sozinha e leva formato, listas e validações.</t>
        </is>
      </c>
    </row>
    <row r="5">
      <c r="AK5" s="18" t="inlineStr">
        <is>
          <t xml:space="preserve">• Data: dd/mm/aaaa.   Cliente e Modalidade: escolha na lista (setinha da célula).</t>
        </is>
      </c>
    </row>
    <row r="6">
      <c r="AK6" s="18" t="inlineStr">
        <is>
          <t xml:space="preserve">• Números: só 0 ou maior. Toneladas aceitam casas decimais.</t>
        </is>
      </c>
    </row>
    <row r="7">
      <c r="AK7" s="18" t="inlineStr">
        <is>
          <t xml:space="preserve">• Deixe em branco o que não foi medido (não digite 0 se não houve registro).</t>
        </is>
      </c>
    </row>
    <row r="8">
      <c r="AK8" s="17" t="inlineStr">
        <is>
          <t xml:space="preserve">SOMA NO MÊS</t>
        </is>
      </c>
    </row>
    <row r="9">
      <c r="AK9" s="18" t="inlineStr">
        <is>
          <t xml:space="preserve">• Veículos, pallets, toneladas, linhas NF, caixas, peças, itens, pedidos, incidentes, no show, falta, folga, férias e desligamento: valor do dia.</t>
        </is>
      </c>
    </row>
    <row r="10">
      <c r="AK10" s="17" t="inlineStr">
        <is>
          <t xml:space="preserve">ÚLTIMO VALOR DO MÊS</t>
        </is>
      </c>
    </row>
    <row r="11">
      <c r="AK11" s="18" t="inlineStr">
        <is>
          <t xml:space="preserve">• Backlog, posições disponíveis/ocupadas e efetivo: posição do dia (os painéis usam o último lançado).</t>
        </is>
      </c>
    </row>
    <row r="12">
      <c r="AK12" s="17" t="inlineStr">
        <is>
          <t xml:space="preserve">ALERTAS</t>
        </is>
      </c>
    </row>
    <row r="13">
      <c r="AK13" s="18" t="inlineStr">
        <is>
          <t xml:space="preserve">• Vermelho: mesma data e cliente lançados duas vezes.</t>
        </is>
      </c>
    </row>
    <row r="14">
      <c r="AK14" s="18" t="inlineStr">
        <is>
          <t xml:space="preserve">• Amarelo: linha incompleta (data sem cliente ou o contrário).</t>
        </is>
      </c>
    </row>
    <row r="15">
      <c r="AK15" s="18" t="inlineStr">
        <is>
          <t xml:space="preserve">• Verde em Posições Ocupadas: cliente excede o contratado (boa notícia: faturar excedente).</t>
        </is>
      </c>
    </row>
    <row r="16">
      <c r="AK16" s="18" t="inlineStr">
        <is>
          <t xml:space="preserve">• Desvios comportamentais e acidentes (CAF = com afastamento · SAF = sem afastamento): quantidade do dia.</t>
        </is>
      </c>
    </row>
    <row r="17">
      <c r="AK17" s="18" t="inlineStr">
        <is>
          <t xml:space="preserve">• Dashboard, Monitoramento e Consol Mensal leem esta aba automaticamente, inclusive as METAS abaixo.</t>
        </is>
      </c>
    </row>
    <row r="21">
      <c r="AK21" s="19" t="inlineStr">
        <is>
          <t xml:space="preserve">METAS DO MÊS — preencha as células amarelas (vazio = sem meta · taxa de ocupação em %).</t>
        </is>
      </c>
    </row>
    <row r="22" ht="30" customHeight="1">
      <c r="AK22" s="16" t="inlineStr">
        <is>
          <t xml:space="preserve">Indicador</t>
        </is>
      </c>
      <c r="AL22" s="16" t="inlineStr">
        <is>
          <t xml:space="preserve">Todos</t>
        </is>
      </c>
      <c r="AM22" s="16" t="str">
        <f>Config!$B$10&amp;""</f>
        <v>Alpargatas</v>
      </c>
      <c r="AN22" s="16" t="str">
        <f>Config!$B$11&amp;""</f>
        <v>Basf</v>
      </c>
      <c r="AO22" s="16" t="str">
        <f>Config!$B$12&amp;""</f>
        <v>Beautybiz</v>
      </c>
      <c r="AP22" s="16" t="str">
        <f>Config!$B$13&amp;""</f>
        <v>Boticário</v>
      </c>
      <c r="AQ22" s="16" t="str">
        <f>Config!$B$14&amp;""</f>
        <v>Confiance</v>
      </c>
      <c r="AR22" s="16" t="str">
        <f>Config!$B$15&amp;""</f>
        <v>GE Vernova</v>
      </c>
      <c r="AS22" s="16" t="str">
        <f>Config!$B$16&amp;""</f>
        <v>Omnilife</v>
      </c>
      <c r="AT22" s="16" t="str">
        <f>Config!$B$17&amp;""</f>
        <v>Supply</v>
      </c>
      <c r="AU22" s="16" t="str">
        <f>Config!$B$18&amp;""</f>
        <v>Vedacit</v>
      </c>
      <c r="AV22" s="16" t="str">
        <f>Config!$B$19&amp;""</f>
        <v>Vestas</v>
      </c>
      <c r="AW22" s="16" t="str">
        <f>Config!$B$20&amp;""</f>
        <v/>
      </c>
      <c r="AX22" s="16" t="str">
        <f>Config!$B$21&amp;""</f>
        <v/>
      </c>
      <c r="AY22" s="16" t="str">
        <f>Config!$B$22&amp;""</f>
        <v/>
      </c>
      <c r="AZ22" s="16" t="str">
        <f>Config!$B$23&amp;""</f>
        <v/>
      </c>
      <c r="BA22" s="16" t="str">
        <f>Config!$B$24&amp;""</f>
        <v/>
      </c>
      <c r="BB22" s="16" t="str">
        <f>Config!$B$25&amp;""</f>
        <v/>
      </c>
      <c r="BC22" s="16" t="str">
        <f>Config!$B$26&amp;""</f>
        <v/>
      </c>
      <c r="BD22" s="16" t="str">
        <f>Config!$B$27&amp;""</f>
        <v/>
      </c>
      <c r="BE22" s="16" t="str">
        <f>Config!$B$28&amp;""</f>
        <v/>
      </c>
      <c r="BF22" s="16" t="str">
        <f>Config!$B$29&amp;""</f>
        <v/>
      </c>
    </row>
    <row r="23">
      <c r="AK23" s="20" t="inlineStr">
        <is>
          <t xml:space="preserve">IN · Veículos Recebidos</t>
        </is>
      </c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</row>
    <row r="24">
      <c r="AK24" s="20" t="inlineStr">
        <is>
          <t xml:space="preserve">IN · Pallets Movimentados</t>
        </is>
      </c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</row>
    <row r="25">
      <c r="AK25" s="20" t="inlineStr">
        <is>
          <t xml:space="preserve">IN · Toneladas Movimentadas</t>
        </is>
      </c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</row>
    <row r="26">
      <c r="AK26" s="20" t="inlineStr">
        <is>
          <t xml:space="preserve">IN · Linhas NF</t>
        </is>
      </c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</row>
    <row r="27">
      <c r="AK27" s="20" t="inlineStr">
        <is>
          <t xml:space="preserve">IN · Caixas Movimentadas</t>
        </is>
      </c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</row>
    <row r="28">
      <c r="AK28" s="20" t="inlineStr">
        <is>
          <t xml:space="preserve">IN · Peças Movimentadas</t>
        </is>
      </c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</row>
    <row r="29">
      <c r="AK29" s="20" t="inlineStr">
        <is>
          <t xml:space="preserve">IN · Itens Recebidos</t>
        </is>
      </c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</row>
    <row r="30">
      <c r="AK30" s="20" t="inlineStr">
        <is>
          <t xml:space="preserve">IN · Itens Recebidos CX Mista</t>
        </is>
      </c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</row>
    <row r="31">
      <c r="AK31" s="20" t="inlineStr">
        <is>
          <t xml:space="preserve">IN · Caixas Fechadas</t>
        </is>
      </c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</row>
    <row r="32">
      <c r="AK32" s="20" t="inlineStr">
        <is>
          <t xml:space="preserve">IN · Caixas Mistas Recebidas</t>
        </is>
      </c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</row>
    <row r="33">
      <c r="AK33" s="22" t="inlineStr">
        <is>
          <t xml:space="preserve">OUT · Veículos Expedidos</t>
        </is>
      </c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</row>
    <row r="34">
      <c r="AK34" s="22" t="inlineStr">
        <is>
          <t xml:space="preserve">OUT · Pedidos Expedidos</t>
        </is>
      </c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</row>
    <row r="35">
      <c r="AK35" s="22" t="inlineStr">
        <is>
          <t xml:space="preserve">OUT · Pedidos Faturados</t>
        </is>
      </c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</row>
    <row r="36">
      <c r="AK36" s="22" t="inlineStr">
        <is>
          <t xml:space="preserve">OUT · Itens Expedidos</t>
        </is>
      </c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</row>
    <row r="37">
      <c r="AK37" s="22" t="inlineStr">
        <is>
          <t xml:space="preserve">OUT · Peças Movimentadas</t>
        </is>
      </c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</row>
    <row r="38">
      <c r="AK38" s="22" t="inlineStr">
        <is>
          <t xml:space="preserve">OUT · Linhas NF</t>
        </is>
      </c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</row>
    <row r="39">
      <c r="AK39" s="22" t="inlineStr">
        <is>
          <t xml:space="preserve">OUT · Caixas Expedidas</t>
        </is>
      </c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</row>
    <row r="40">
      <c r="AK40" s="22" t="inlineStr">
        <is>
          <t xml:space="preserve">OUT · Pallets Movimentados</t>
        </is>
      </c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</row>
    <row r="41">
      <c r="AK41" s="22" t="inlineStr">
        <is>
          <t xml:space="preserve">OUT · Toneladas Movimentadas</t>
        </is>
      </c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</row>
    <row r="42">
      <c r="AK42" s="23" t="inlineStr">
        <is>
          <t xml:space="preserve">NC · Incidentes</t>
        </is>
      </c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</row>
    <row r="43">
      <c r="AK43" s="23" t="inlineStr">
        <is>
          <t xml:space="preserve">NC · No show</t>
        </is>
      </c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</row>
    <row r="44">
      <c r="AK44" s="23" t="inlineStr">
        <is>
          <t xml:space="preserve">NC · Backlog</t>
        </is>
      </c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</row>
    <row r="45">
      <c r="AK45" s="20" t="inlineStr">
        <is>
          <t xml:space="preserve">OCUPAÇÃO (P.P) · Posições Disponíveis</t>
        </is>
      </c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</row>
    <row r="46">
      <c r="AK46" s="20" t="inlineStr">
        <is>
          <t xml:space="preserve">OCUPAÇÃO (P.P) · Posições Ocupadas</t>
        </is>
      </c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</row>
    <row r="47">
      <c r="AK47" s="20" t="inlineStr">
        <is>
          <t xml:space="preserve">OCUPAÇÃO (P.P) · Taxa de Ocupação</t>
        </is>
      </c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</row>
    <row r="48">
      <c r="AK48" s="25" t="inlineStr">
        <is>
          <t xml:space="preserve">GENTE · Efetivo Op.</t>
        </is>
      </c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</row>
    <row r="49">
      <c r="AK49" s="25" t="inlineStr">
        <is>
          <t xml:space="preserve">GENTE · Falta</t>
        </is>
      </c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</row>
    <row r="50">
      <c r="AK50" s="25" t="inlineStr">
        <is>
          <t xml:space="preserve">GENTE · Folga</t>
        </is>
      </c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</row>
    <row r="51">
      <c r="AK51" s="25" t="inlineStr">
        <is>
          <t xml:space="preserve">GENTE · Férias</t>
        </is>
      </c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</row>
    <row r="52">
      <c r="AK52" s="25" t="inlineStr">
        <is>
          <t xml:space="preserve">GENTE · Desligamento</t>
        </is>
      </c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</row>
    <row r="53">
      <c r="AK53" s="25" t="inlineStr">
        <is>
          <t xml:space="preserve">GENTE · Desvios Comportamentais</t>
        </is>
      </c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</row>
    <row r="54">
      <c r="AK54" s="25" t="inlineStr">
        <is>
          <t xml:space="preserve">GENTE · Acidentes CAF</t>
        </is>
      </c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</row>
    <row r="55">
      <c r="AK55" s="25" t="inlineStr">
        <is>
          <t xml:space="preserve">GENTE · Acidentes SAF</t>
        </is>
      </c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</row>
  </sheetData>
  <mergeCells count="6">
    <mergeCell ref="A1:B1"/>
    <mergeCell ref="C1:L1"/>
    <mergeCell ref="M1:U1"/>
    <mergeCell ref="V1:X1"/>
    <mergeCell ref="Y1:Z1"/>
    <mergeCell ref="AA1:AH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Z3:Z5001">
    <cfRule type="expression" dxfId="2" priority="3">
      <formula>AND(ISNUMBER($Y3),ISNUMBER($Z3),$Z3&gt;$Y3)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R3:R5001">
    <cfRule type="expression" dxfId="6" priority="19">
      <formula>IFERROR(INDEX(Config!$S$35:$S$54,MATCH($B3,Config!$B$35:$B$54,0)),"Sim")="Não"</formula>
    </cfRule>
  </conditionalFormatting>
  <conditionalFormatting sqref="S3:S5001">
    <cfRule type="expression" dxfId="6" priority="20">
      <formula>IFERROR(INDEX(Config!$T$35:$T$54,MATCH($B3,Config!$B$35:$B$54,0)),"Sim")="Não"</formula>
    </cfRule>
  </conditionalFormatting>
  <conditionalFormatting sqref="T3:T5001">
    <cfRule type="expression" dxfId="6" priority="21">
      <formula>IFERROR(INDEX(Config!$U$35:$U$54,MATCH($B3,Config!$B$35:$B$54,0)),"Sim")="Não"</formula>
    </cfRule>
  </conditionalFormatting>
  <conditionalFormatting sqref="U3:U5001">
    <cfRule type="expression" dxfId="6" priority="22">
      <formula>IFERROR(INDEX(Config!$V$35:$V$54,MATCH($B3,Config!$B$35:$B$54,0)),"Sim")="Não"</formula>
    </cfRule>
  </conditionalFormatting>
  <conditionalFormatting sqref="V3:V5001">
    <cfRule type="expression" dxfId="6" priority="23">
      <formula>IFERROR(INDEX(Config!$W$35:$W$54,MATCH($B3,Config!$B$35:$B$54,0)),"Sim")="Não"</formula>
    </cfRule>
  </conditionalFormatting>
  <conditionalFormatting sqref="W3:W5001">
    <cfRule type="expression" dxfId="6" priority="24">
      <formula>IFERROR(INDEX(Config!$X$35:$X$54,MATCH($B3,Config!$B$35:$B$54,0)),"Sim")="Não"</formula>
    </cfRule>
  </conditionalFormatting>
  <conditionalFormatting sqref="X3:X5001">
    <cfRule type="expression" dxfId="6" priority="25">
      <formula>IFERROR(INDEX(Config!$Y$35:$Y$54,MATCH($B3,Config!$B$35:$B$54,0)),"Sim")="Não"</formula>
    </cfRule>
  </conditionalFormatting>
  <conditionalFormatting sqref="Y3:Y5001">
    <cfRule type="expression" dxfId="6" priority="26">
      <formula>IFERROR(INDEX(Config!$Z$35:$Z$54,MATCH($B3,Config!$B$35:$B$54,0)),"Sim")="Não"</formula>
    </cfRule>
  </conditionalFormatting>
  <conditionalFormatting sqref="Z3:Z5001">
    <cfRule type="expression" dxfId="6" priority="27">
      <formula>IFERROR(INDEX(Config!$AA$35:$AA$54,MATCH($B3,Config!$B$35:$B$54,0)),"Sim")="Não"</formula>
    </cfRule>
  </conditionalFormatting>
  <conditionalFormatting sqref="AA3:AA5001">
    <cfRule type="expression" dxfId="6" priority="28">
      <formula>IFERROR(INDEX(Config!$AB$35:$AB$54,MATCH($B3,Config!$B$35:$B$54,0)),"Sim")="Não"</formula>
    </cfRule>
  </conditionalFormatting>
  <conditionalFormatting sqref="AB3:AB5001">
    <cfRule type="expression" dxfId="6" priority="29">
      <formula>IFERROR(INDEX(Config!$AC$35:$AC$54,MATCH($B3,Config!$B$35:$B$54,0)),"Sim")="Não"</formula>
    </cfRule>
  </conditionalFormatting>
  <conditionalFormatting sqref="AC3:AC5001">
    <cfRule type="expression" dxfId="6" priority="30">
      <formula>IFERROR(INDEX(Config!$AD$35:$AD$54,MATCH($B3,Config!$B$35:$B$54,0)),"Sim")="Não"</formula>
    </cfRule>
  </conditionalFormatting>
  <conditionalFormatting sqref="AD3:AD5001">
    <cfRule type="expression" dxfId="6" priority="31">
      <formula>IFERROR(INDEX(Config!$AE$35:$AE$54,MATCH($B3,Config!$B$35:$B$54,0)),"Sim")="Não"</formula>
    </cfRule>
  </conditionalFormatting>
  <conditionalFormatting sqref="AE3:AE5001">
    <cfRule type="expression" dxfId="6" priority="32">
      <formula>IFERROR(INDEX(Config!$AF$35:$AF$54,MATCH($B3,Config!$B$35:$B$54,0)),"Sim")="Não"</formula>
    </cfRule>
  </conditionalFormatting>
  <conditionalFormatting sqref="AF3:AF5001">
    <cfRule type="expression" dxfId="6" priority="33">
      <formula>IFERROR(INDEX(Config!$AG$35:$AG$54,MATCH($B3,Config!$B$35:$B$54,0)),"Sim")="Não"</formula>
    </cfRule>
  </conditionalFormatting>
  <conditionalFormatting sqref="AG3:AG5001">
    <cfRule type="expression" dxfId="6" priority="34">
      <formula>IFERROR(INDEX(Config!$AH$35:$AH$54,MATCH($B3,Config!$B$35:$B$54,0)),"Sim")="Não"</formula>
    </cfRule>
  </conditionalFormatting>
  <conditionalFormatting sqref="AH3:AH5001">
    <cfRule type="expression" dxfId="6" priority="35">
      <formula>IFERROR(INDEX(Config!$AI$35:$AI$54,MATCH($B3,Config!$B$35:$B$54,0)),"Sim")="Não"</formula>
    </cfRule>
  </conditionalFormatting>
  <dataValidations count="36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OFFSET(calculos!$AP$13,0,0,calculos!$AP$10,1)</formula1>
    </dataValidation>
    <dataValidation type="list" allowBlank="1" showInputMessage="1" showErrorMessage="1" promptTitle="Modalidade" prompt="Contrato, Spot ou Cross." errorTitle="Valor inválido" error="Escolha um valor da lista." sqref="AI3:AI5001">
      <formula1>"Contrato,Spot,Cross"</formula1>
    </dataValidation>
    <dataValidation type="decimal" operator="greaterThanOrEqual" allowBlank="1" showInputMessage="0" showErrorMessage="1" errorTitle="Valor inválido" error="Meta: use 0 ou um número maior." sqref="AL23:BF55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X3:X5001">
      <formula1>AND(IFERROR(INDEX(Config!$Y$35:$Y$54,MATCH($B3,Config!$B$35:$B$54,0)),"Sim")&lt;&gt;"Não",ISNUMBER(X3),X3&gt;=0)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A3:AA5001">
      <formula1>AND(IFERROR(INDEX(Config!$AB$35:$AB$54,MATCH($B3,Config!$B$35:$B$54,0)),"Sim")&lt;&gt;"Não",ISNUMBER(AA3),AA3&gt;=0)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B3:AB5001">
      <formula1>AND(IFERROR(INDEX(Config!$AC$35:$AC$54,MATCH($B3,Config!$B$35:$B$54,0)),"Sim")&lt;&gt;"Não",ISNUMBER(AB3),AB3&gt;=0)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C3:AC5001">
      <formula1>AND(IFERROR(INDEX(Config!$AD$35:$AD$54,MATCH($B3,Config!$B$35:$B$54,0)),"Sim")&lt;&gt;"Não",ISNUMBER(AC3),AC3&gt;=0)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D3:AD5001">
      <formula1>AND(IFERROR(INDEX(Config!$AE$35:$AE$54,MATCH($B3,Config!$B$35:$B$54,0)),"Sim")&lt;&gt;"Não",ISNUMBER(AD3),AD3&gt;=0)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E3:AE5001">
      <formula1>AND(IFERROR(INDEX(Config!$AF$35:$AF$54,MATCH($B3,Config!$B$35:$B$54,0)),"Sim")&lt;&gt;"Não",ISNUMBER(AE3),AE3&gt;=0)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F3:AF5001">
      <formula1>AND(IFERROR(INDEX(Config!$AG$35:$AG$54,MATCH($B3,Config!$B$35:$B$54,0)),"Sim")&lt;&gt;"Não",ISNUMBER(AF3),AF3&gt;=0)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G3:AG5001">
      <formula1>AND(IFERROR(INDEX(Config!$AH$35:$AH$54,MATCH($B3,Config!$B$35:$B$54,0)),"Sim")&lt;&gt;"Não",ISNUMBER(AG3),AG3&gt;=0)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H3:AH5001">
      <formula1>AND(IFERROR(INDEX(Config!$AI$35:$AI$54,MATCH($B3,Config!$B$35:$B$54,0)),"Sim")&lt;&gt;"Não",ISNUMBER(AH3),AH3&gt;=0)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R97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27" customWidth="1"/>
    <col min="6" max="6" width="27" customWidth="1"/>
    <col min="7" max="7" width="27" customWidth="1"/>
    <col min="8" max="8" width="12" customWidth="1"/>
    <col min="9" max="9" width="27" customWidth="1"/>
    <col min="10" max="10" width="27" customWidth="1"/>
    <col min="11" max="11" width="27" customWidth="1"/>
    <col min="12" max="12" width="14" customWidth="1"/>
    <col min="13" max="13" width="27" customWidth="1"/>
    <col min="14" max="14" width="27" customWidth="1"/>
    <col min="15" max="15" width="34" customWidth="1"/>
    <col min="16" max="16" width="34" customWidth="1"/>
    <col min="17" max="17" width="27" customWidth="1"/>
    <col min="18" max="18" width="27" customWidth="1"/>
    <col min="19" max="19" width="34" customWidth="1"/>
    <col min="20" max="20" width="34" customWidth="1"/>
    <col min="37" max="37" width="3" customWidth="1"/>
    <col min="38" max="38" width="32" customWidth="1"/>
    <col min="39" max="39" width="30" customWidth="1"/>
    <col min="40" max="40" width="9" customWidth="1"/>
    <col min="41" max="41" width="9" customWidth="1"/>
    <col min="42" max="42" width="9" customWidth="1"/>
    <col min="43" max="43" width="9" customWidth="1"/>
    <col min="44" max="44" width="9" customWidth="1"/>
  </cols>
  <sheetData>
    <row r="1" ht="30" customHeight="1">
      <c r="A1" s="66" t="inlineStr">
        <is>
          <t xml:space="preserve">CONFIG · CLIENTES E DASHBOARD (TPC)</t>
        </is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8"/>
    </row>
    <row r="2" ht="30" customHeight="1">
      <c r="A2" s="69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</row>
    <row r="3" ht="30" customHeight="1">
      <c r="A3" s="70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› preencha as metas na coluna dele.</t>
        </is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</row>
    <row r="4" ht="30" customHeight="1">
      <c r="A4" s="70" t="inlineStr">
        <is>
          <t xml:space="preserve">EXCLUIR CLIENTE: apague o nome na tabela 1 (a vaga fica livre e o cliente some dos filtros, do Monitoramento e do Consol Mensal). As linhas antigas da BD continuam no histórico (somam em "Todos" nos meses em que existiram).</t>
        </is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</row>
    <row r="5" ht="30" customHeight="1">
      <c r="A5" s="70" t="inlineStr">
        <is>
          <t xml:space="preserve">RENOMEAR: troque o nome na tabela 1 e, na BD, use Localizar e Substituir no nome antigo (Ctrl+L / Ctrl+H). O nome da BD precisa ser igual ao da tabela 1.</t>
        </is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</row>
    <row r="7" ht="22" customHeight="1">
      <c r="A7" s="76" t="inlineStr">
        <is>
          <t xml:space="preserve">1 · CLIENTES — 20 vagas · uma linha por cliente: nome, depósito, cards e gráficos do Dashboard (linhas cinza = visão geral, fixas)</t>
        </is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AL7" s="71" t="inlineStr">
        <is>
          <t xml:space="preserve">CATÁLOGO DE INDICADORES (listas da tabela 1) — rótulo e casas podem ser editados; colunas cinza são técnicas</t>
        </is>
      </c>
      <c r="AM7" s="71"/>
      <c r="AN7" s="71"/>
      <c r="AO7" s="71"/>
      <c r="AP7" s="71"/>
      <c r="AQ7" s="71"/>
      <c r="AR7" s="71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CARD IN</t>
        </is>
      </c>
      <c r="E8" s="16" t="inlineStr">
        <is>
          <t xml:space="preserve">IN · linha 1</t>
        </is>
      </c>
      <c r="F8" s="16" t="inlineStr">
        <is>
          <t xml:space="preserve">IN · linha 2 (a)</t>
        </is>
      </c>
      <c r="G8" s="16" t="inlineStr">
        <is>
          <t xml:space="preserve">IN · linha 2 (b)</t>
        </is>
      </c>
      <c r="H8" s="16" t="inlineStr">
        <is>
          <t xml:space="preserve">CARD OUT</t>
        </is>
      </c>
      <c r="I8" s="16" t="inlineStr">
        <is>
          <t xml:space="preserve">OUT · linha 1</t>
        </is>
      </c>
      <c r="J8" s="16" t="inlineStr">
        <is>
          <t xml:space="preserve">OUT · linha 2 (a)</t>
        </is>
      </c>
      <c r="K8" s="16" t="inlineStr">
        <is>
          <t xml:space="preserve">OUT · linha 2 (b)</t>
        </is>
      </c>
      <c r="L8" s="16" t="inlineStr">
        <is>
          <t xml:space="preserve">CARD OCUPAÇÃO</t>
        </is>
      </c>
      <c r="M8" s="16" t="inlineStr">
        <is>
          <t xml:space="preserve">GRÁFICO 2 · IN</t>
        </is>
      </c>
      <c r="N8" s="16" t="inlineStr">
        <is>
          <t xml:space="preserve">GRÁFICO 2 · OUT</t>
        </is>
      </c>
      <c r="O8" s="16" t="inlineStr">
        <is>
          <t xml:space="preserve">GRÁFICO 2 · título diário</t>
        </is>
      </c>
      <c r="P8" s="16" t="inlineStr">
        <is>
          <t xml:space="preserve">GRÁFICO 2 · título semanal</t>
        </is>
      </c>
      <c r="Q8" s="16" t="inlineStr">
        <is>
          <t xml:space="preserve">GRÁFICO 3 · IN</t>
        </is>
      </c>
      <c r="R8" s="16" t="inlineStr">
        <is>
          <t xml:space="preserve">GRÁFICO 3 · OUT</t>
        </is>
      </c>
      <c r="S8" s="16" t="inlineStr">
        <is>
          <t xml:space="preserve">GRÁFICO 3 · título diário</t>
        </is>
      </c>
      <c r="T8" s="16" t="inlineStr">
        <is>
          <t xml:space="preserve">GRÁFICO 3 · título semanal</t>
        </is>
      </c>
      <c r="AL8" s="16" t="inlineStr">
        <is>
          <t xml:space="preserve">INDICADOR (nome da lista)</t>
        </is>
      </c>
      <c r="AM8" s="16" t="inlineStr">
        <is>
          <t xml:space="preserve">Rótulo no card</t>
        </is>
      </c>
      <c r="AN8" s="16" t="inlineStr">
        <is>
          <t xml:space="preserve">Casas decimais</t>
        </is>
      </c>
      <c r="AO8" s="72" t="inlineStr">
        <is>
          <t xml:space="preserve">Linha no período</t>
        </is>
      </c>
      <c r="AP8" s="72" t="inlineStr">
        <is>
          <t xml:space="preserve">Coluna na série</t>
        </is>
      </c>
      <c r="AQ8" s="72" t="inlineStr">
        <is>
          <t xml:space="preserve">Linha divisor</t>
        </is>
      </c>
      <c r="AR8" s="72" t="inlineStr">
        <is>
          <t xml:space="preserve">Coluna divisor</t>
        </is>
      </c>
    </row>
    <row r="9">
      <c r="A9" s="77" t="inlineStr">
        <is>
          <t xml:space="preserve">—</t>
        </is>
      </c>
      <c r="B9" s="78" t="inlineStr">
        <is>
          <t xml:space="preserve">Todos</t>
        </is>
      </c>
      <c r="C9" s="78"/>
      <c r="D9" s="73" t="inlineStr">
        <is>
          <t xml:space="preserve">Sim</t>
        </is>
      </c>
      <c r="E9" s="73" t="inlineStr">
        <is>
          <t xml:space="preserve">Pallets Movimentados IN</t>
        </is>
      </c>
      <c r="F9" s="73" t="inlineStr">
        <is>
          <t xml:space="preserve">Toneladas Movimentadas IN</t>
        </is>
      </c>
      <c r="G9" s="73"/>
      <c r="H9" s="73" t="inlineStr">
        <is>
          <t xml:space="preserve">Sim</t>
        </is>
      </c>
      <c r="I9" s="73" t="inlineStr">
        <is>
          <t xml:space="preserve">Pallets Movimentados OUT</t>
        </is>
      </c>
      <c r="J9" s="73" t="inlineStr">
        <is>
          <t xml:space="preserve">Toneladas Movimentadas OUT</t>
        </is>
      </c>
      <c r="K9" s="73"/>
      <c r="L9" s="73" t="inlineStr">
        <is>
          <t xml:space="preserve">Completo</t>
        </is>
      </c>
      <c r="M9" s="73" t="inlineStr">
        <is>
          <t xml:space="preserve">Pallets Movimentados IN</t>
        </is>
      </c>
      <c r="N9" s="73" t="inlineStr">
        <is>
          <t xml:space="preserve">Pallets Movimentados OUT</t>
        </is>
      </c>
      <c r="O9" s="73" t="inlineStr">
        <is>
          <t xml:space="preserve">MOVIMENTAÇÃO PALETES/DIA</t>
        </is>
      </c>
      <c r="P9" s="73" t="inlineStr">
        <is>
          <t xml:space="preserve">ACUMULADO SEMANAL PALETES</t>
        </is>
      </c>
      <c r="Q9" s="73" t="inlineStr">
        <is>
          <t xml:space="preserve">Toneladas Movimentadas IN</t>
        </is>
      </c>
      <c r="R9" s="73" t="inlineStr">
        <is>
          <t xml:space="preserve">Toneladas Movimentadas OUT</t>
        </is>
      </c>
      <c r="S9" s="73" t="inlineStr">
        <is>
          <t xml:space="preserve">MOVIMENTAÇÃO TONS/DIA</t>
        </is>
      </c>
      <c r="T9" s="73" t="inlineStr">
        <is>
          <t xml:space="preserve">ACUMULADO SEMANAL TONS</t>
        </is>
      </c>
      <c r="AL9" s="40" t="inlineStr">
        <is>
          <t xml:space="preserve">Pallets Movimentados IN</t>
        </is>
      </c>
      <c r="AM9" s="73" t="inlineStr">
        <is>
          <t xml:space="preserve">pallets movimentados</t>
        </is>
      </c>
      <c r="AN9" s="74">
        <v>0</v>
      </c>
      <c r="AO9" s="75">
        <v>2</v>
      </c>
      <c r="AP9" s="75">
        <v>2</v>
      </c>
      <c r="AQ9" s="75">
        <v>0</v>
      </c>
      <c r="AR9" s="75">
        <v>0</v>
      </c>
    </row>
    <row r="10">
      <c r="A10" s="77">
        <v>1</v>
      </c>
      <c r="B10" s="79" t="inlineStr">
        <is>
          <t xml:space="preserve">Alpargatas</t>
        </is>
      </c>
      <c r="C10" s="73" t="inlineStr">
        <is>
          <t xml:space="preserve">TPC</t>
        </is>
      </c>
      <c r="D10" s="73" t="inlineStr">
        <is>
          <t xml:space="preserve">Sim</t>
        </is>
      </c>
      <c r="E10" s="73" t="inlineStr">
        <is>
          <t xml:space="preserve">Caixas Movimentadas IN</t>
        </is>
      </c>
      <c r="F10" s="73" t="inlineStr">
        <is>
          <t xml:space="preserve">Caixas Movimentadas IN por veículo</t>
        </is>
      </c>
      <c r="G10" s="73"/>
      <c r="H10" s="73" t="inlineStr">
        <is>
          <t xml:space="preserve">Sim</t>
        </is>
      </c>
      <c r="I10" s="73" t="inlineStr">
        <is>
          <t xml:space="preserve">Caixas Expedidas OUT</t>
        </is>
      </c>
      <c r="J10" s="73" t="inlineStr">
        <is>
          <t xml:space="preserve">Caixas Expedidas OUT por veículo</t>
        </is>
      </c>
      <c r="K10" s="73"/>
      <c r="L10" s="73" t="inlineStr">
        <is>
          <t xml:space="preserve">Completo</t>
        </is>
      </c>
      <c r="M10" s="73" t="inlineStr">
        <is>
          <t xml:space="preserve">Caixas Movimentadas IN</t>
        </is>
      </c>
      <c r="N10" s="73" t="inlineStr">
        <is>
          <t xml:space="preserve">Caixas Expedidas OUT</t>
        </is>
      </c>
      <c r="O10" s="73" t="inlineStr">
        <is>
          <t xml:space="preserve">MOVIMENTAÇÃO CAIXAS/DIA</t>
        </is>
      </c>
      <c r="P10" s="73" t="inlineStr">
        <is>
          <t xml:space="preserve">ACUMULADO SEMANAL CAIXAS</t>
        </is>
      </c>
      <c r="Q10" s="73" t="inlineStr">
        <is>
          <t xml:space="preserve">Caixas Movimentadas IN por veículo</t>
        </is>
      </c>
      <c r="R10" s="73" t="inlineStr">
        <is>
          <t xml:space="preserve">Caixas Expedidas OUT por veículo</t>
        </is>
      </c>
      <c r="S10" s="73" t="inlineStr">
        <is>
          <t xml:space="preserve">CAIXAS POR VEÍCULO/DIA</t>
        </is>
      </c>
      <c r="T10" s="73" t="inlineStr">
        <is>
          <t xml:space="preserve">MÉDIA SEMANAL CAIXAS POR VEÍCULO</t>
        </is>
      </c>
      <c r="AL10" s="40" t="inlineStr">
        <is>
          <t xml:space="preserve">Pallets Movimentados IN por veículo</t>
        </is>
      </c>
      <c r="AM10" s="73" t="inlineStr">
        <is>
          <t xml:space="preserve">pallets movimentados por veículo</t>
        </is>
      </c>
      <c r="AN10" s="74">
        <v>1</v>
      </c>
      <c r="AO10" s="75">
        <v>2</v>
      </c>
      <c r="AP10" s="75">
        <v>2</v>
      </c>
      <c r="AQ10" s="75">
        <v>1</v>
      </c>
      <c r="AR10" s="75">
        <v>1</v>
      </c>
    </row>
    <row r="11">
      <c r="A11" s="77">
        <v>2</v>
      </c>
      <c r="B11" s="79" t="inlineStr">
        <is>
          <t xml:space="preserve">Basf</t>
        </is>
      </c>
      <c r="C11" s="73" t="inlineStr">
        <is>
          <t xml:space="preserve">TPC</t>
        </is>
      </c>
      <c r="D11" s="73" t="inlineStr">
        <is>
          <t xml:space="preserve">Sim</t>
        </is>
      </c>
      <c r="E11" s="73" t="inlineStr">
        <is>
          <t xml:space="preserve">Pallets Movimentados IN</t>
        </is>
      </c>
      <c r="F11" s="73" t="inlineStr">
        <is>
          <t xml:space="preserve">Toneladas Movimentadas IN</t>
        </is>
      </c>
      <c r="G11" s="73"/>
      <c r="H11" s="73" t="inlineStr">
        <is>
          <t xml:space="preserve">Sim</t>
        </is>
      </c>
      <c r="I11" s="73" t="inlineStr">
        <is>
          <t xml:space="preserve">Pallets Movimentados OUT</t>
        </is>
      </c>
      <c r="J11" s="73" t="inlineStr">
        <is>
          <t xml:space="preserve">Toneladas Movimentadas OUT</t>
        </is>
      </c>
      <c r="K11" s="73"/>
      <c r="L11" s="73" t="inlineStr">
        <is>
          <t xml:space="preserve">Completo</t>
        </is>
      </c>
      <c r="M11" s="73" t="inlineStr">
        <is>
          <t xml:space="preserve">Pallets Movimentados IN</t>
        </is>
      </c>
      <c r="N11" s="73" t="inlineStr">
        <is>
          <t xml:space="preserve">Pallets Movimentados OUT</t>
        </is>
      </c>
      <c r="O11" s="73" t="inlineStr">
        <is>
          <t xml:space="preserve">MOVIMENTAÇÃO PALETES/DIA</t>
        </is>
      </c>
      <c r="P11" s="73" t="inlineStr">
        <is>
          <t xml:space="preserve">ACUMULADO SEMANAL PALETES</t>
        </is>
      </c>
      <c r="Q11" s="73" t="inlineStr">
        <is>
          <t xml:space="preserve">Toneladas Movimentadas IN</t>
        </is>
      </c>
      <c r="R11" s="73" t="inlineStr">
        <is>
          <t xml:space="preserve">Toneladas Movimentadas OUT</t>
        </is>
      </c>
      <c r="S11" s="73" t="inlineStr">
        <is>
          <t xml:space="preserve">MOVIMENTAÇÃO TONS/DIA</t>
        </is>
      </c>
      <c r="T11" s="73" t="inlineStr">
        <is>
          <t xml:space="preserve">ACUMULADO SEMANAL TONS</t>
        </is>
      </c>
      <c r="AL11" s="40" t="inlineStr">
        <is>
          <t xml:space="preserve">Toneladas Movimentadas IN</t>
        </is>
      </c>
      <c r="AM11" s="73" t="inlineStr">
        <is>
          <t xml:space="preserve">t movimentadas</t>
        </is>
      </c>
      <c r="AN11" s="74">
        <v>1</v>
      </c>
      <c r="AO11" s="75">
        <v>3</v>
      </c>
      <c r="AP11" s="75">
        <v>3</v>
      </c>
      <c r="AQ11" s="75">
        <v>0</v>
      </c>
      <c r="AR11" s="75">
        <v>0</v>
      </c>
    </row>
    <row r="12">
      <c r="A12" s="77">
        <v>3</v>
      </c>
      <c r="B12" s="79" t="inlineStr">
        <is>
          <t xml:space="preserve">Beautybiz</t>
        </is>
      </c>
      <c r="C12" s="73" t="inlineStr">
        <is>
          <t xml:space="preserve">TPC</t>
        </is>
      </c>
      <c r="D12" s="73" t="inlineStr">
        <is>
          <t xml:space="preserve">Sim</t>
        </is>
      </c>
      <c r="E12" s="73" t="inlineStr">
        <is>
          <t xml:space="preserve">Pallets Movimentados IN</t>
        </is>
      </c>
      <c r="F12" s="73" t="inlineStr">
        <is>
          <t xml:space="preserve">Caixas Movimentadas IN</t>
        </is>
      </c>
      <c r="G12" s="73"/>
      <c r="H12" s="73" t="inlineStr">
        <is>
          <t xml:space="preserve">Sim</t>
        </is>
      </c>
      <c r="I12" s="73" t="inlineStr">
        <is>
          <t xml:space="preserve">Pallets Movimentados OUT</t>
        </is>
      </c>
      <c r="J12" s="73" t="inlineStr">
        <is>
          <t xml:space="preserve">Pedidos Expedidos OUT</t>
        </is>
      </c>
      <c r="K12" s="73"/>
      <c r="L12" s="73" t="inlineStr">
        <is>
          <t xml:space="preserve">Completo</t>
        </is>
      </c>
      <c r="M12" s="73" t="inlineStr">
        <is>
          <t xml:space="preserve">Pallets Movimentados IN</t>
        </is>
      </c>
      <c r="N12" s="73" t="inlineStr">
        <is>
          <t xml:space="preserve">Pallets Movimentados OUT</t>
        </is>
      </c>
      <c r="O12" s="73" t="inlineStr">
        <is>
          <t xml:space="preserve">MOVIMENTAÇÃO PALETES/DIA</t>
        </is>
      </c>
      <c r="P12" s="73" t="inlineStr">
        <is>
          <t xml:space="preserve">ACUMULADO SEMANAL PALETES</t>
        </is>
      </c>
      <c r="Q12" s="73" t="inlineStr">
        <is>
          <t xml:space="preserve">Caixas Movimentadas IN</t>
        </is>
      </c>
      <c r="R12" s="73" t="inlineStr">
        <is>
          <t xml:space="preserve">Pedidos Expedidos OUT</t>
        </is>
      </c>
      <c r="S12" s="73" t="inlineStr">
        <is>
          <t xml:space="preserve">MOVIMENTAÇÃO CAIXAS (IN) × PEDIDOS (OUT)/DIA</t>
        </is>
      </c>
      <c r="T12" s="73" t="inlineStr">
        <is>
          <t xml:space="preserve">ACUMULADO SEMANAL CAIXAS (IN) × PEDIDOS (OUT)</t>
        </is>
      </c>
      <c r="AL12" s="40" t="inlineStr">
        <is>
          <t xml:space="preserve">Toneladas Movimentadas IN por veículo</t>
        </is>
      </c>
      <c r="AM12" s="73" t="inlineStr">
        <is>
          <t xml:space="preserve">t movimentadas por veículo</t>
        </is>
      </c>
      <c r="AN12" s="74">
        <v>1</v>
      </c>
      <c r="AO12" s="75">
        <v>3</v>
      </c>
      <c r="AP12" s="75">
        <v>3</v>
      </c>
      <c r="AQ12" s="75">
        <v>1</v>
      </c>
      <c r="AR12" s="75">
        <v>1</v>
      </c>
    </row>
    <row r="13">
      <c r="A13" s="77">
        <v>4</v>
      </c>
      <c r="B13" s="79" t="inlineStr">
        <is>
          <t xml:space="preserve">Boticário</t>
        </is>
      </c>
      <c r="C13" s="73" t="inlineStr">
        <is>
          <t xml:space="preserve">TPC</t>
        </is>
      </c>
      <c r="D13" s="73" t="inlineStr">
        <is>
          <t xml:space="preserve">Sim</t>
        </is>
      </c>
      <c r="E13" s="73" t="inlineStr">
        <is>
          <t xml:space="preserve">Itens Recebidos CX Mista IN</t>
        </is>
      </c>
      <c r="F13" s="73" t="inlineStr">
        <is>
          <t xml:space="preserve">Caixas Mistas Recebidas IN</t>
        </is>
      </c>
      <c r="G13" s="73" t="inlineStr">
        <is>
          <t xml:space="preserve">Caixas Fechadas IN</t>
        </is>
      </c>
      <c r="H13" s="73" t="inlineStr">
        <is>
          <t xml:space="preserve">Sim</t>
        </is>
      </c>
      <c r="I13" s="73" t="inlineStr">
        <is>
          <t xml:space="preserve">Pedidos Faturados OUT</t>
        </is>
      </c>
      <c r="J13" s="73" t="inlineStr">
        <is>
          <t xml:space="preserve">Itens Expedidos OUT</t>
        </is>
      </c>
      <c r="K13" s="73" t="inlineStr">
        <is>
          <t xml:space="preserve">Pallets Movimentados OUT</t>
        </is>
      </c>
      <c r="L13" s="73" t="inlineStr">
        <is>
          <t xml:space="preserve">Completo</t>
        </is>
      </c>
      <c r="M13" s="73" t="inlineStr">
        <is>
          <t xml:space="preserve">Itens Recebidos CX Mista IN</t>
        </is>
      </c>
      <c r="N13" s="73" t="inlineStr">
        <is>
          <t xml:space="preserve">Itens Expedidos OUT</t>
        </is>
      </c>
      <c r="O13" s="73" t="inlineStr">
        <is>
          <t xml:space="preserve">MOVIMENTAÇÃO ITENS/DIA</t>
        </is>
      </c>
      <c r="P13" s="73" t="inlineStr">
        <is>
          <t xml:space="preserve">ACUMULADO SEMANAL ITENS</t>
        </is>
      </c>
      <c r="Q13" s="73" t="inlineStr">
        <is>
          <t xml:space="preserve">Caixas Mistas Recebidas IN</t>
        </is>
      </c>
      <c r="R13" s="73" t="inlineStr">
        <is>
          <t xml:space="preserve">Pedidos Faturados OUT</t>
        </is>
      </c>
      <c r="S13" s="73" t="inlineStr">
        <is>
          <t xml:space="preserve">MOVIMENTAÇÃO CAIXAS MISTAS (IN) × FATURADOS (OUT)/DIA</t>
        </is>
      </c>
      <c r="T13" s="73" t="inlineStr">
        <is>
          <t xml:space="preserve">ACUMULADO SEMANAL CAIXAS MISTAS (IN) × FATURADOS (OUT)</t>
        </is>
      </c>
      <c r="AL13" s="40" t="inlineStr">
        <is>
          <t xml:space="preserve">Pallets Movimentados OUT</t>
        </is>
      </c>
      <c r="AM13" s="73" t="inlineStr">
        <is>
          <t xml:space="preserve">pallets movimentados</t>
        </is>
      </c>
      <c r="AN13" s="74">
        <v>0</v>
      </c>
      <c r="AO13" s="75">
        <v>5</v>
      </c>
      <c r="AP13" s="75">
        <v>18</v>
      </c>
      <c r="AQ13" s="75">
        <v>0</v>
      </c>
      <c r="AR13" s="75">
        <v>0</v>
      </c>
    </row>
    <row r="14">
      <c r="A14" s="77">
        <v>5</v>
      </c>
      <c r="B14" s="79" t="inlineStr">
        <is>
          <t xml:space="preserve">Confiance</t>
        </is>
      </c>
      <c r="C14" s="73" t="inlineStr">
        <is>
          <t xml:space="preserve">TPC</t>
        </is>
      </c>
      <c r="D14" s="73" t="inlineStr">
        <is>
          <t xml:space="preserve">Sim</t>
        </is>
      </c>
      <c r="E14" s="73" t="inlineStr">
        <is>
          <t xml:space="preserve">Pallets Movimentados IN</t>
        </is>
      </c>
      <c r="F14" s="73" t="inlineStr">
        <is>
          <t xml:space="preserve">Toneladas Movimentadas IN</t>
        </is>
      </c>
      <c r="G14" s="73"/>
      <c r="H14" s="73" t="inlineStr">
        <is>
          <t xml:space="preserve">Sim</t>
        </is>
      </c>
      <c r="I14" s="73" t="inlineStr">
        <is>
          <t xml:space="preserve">Pallets Movimentados OUT</t>
        </is>
      </c>
      <c r="J14" s="73" t="inlineStr">
        <is>
          <t xml:space="preserve">Toneladas Movimentadas OUT</t>
        </is>
      </c>
      <c r="K14" s="73"/>
      <c r="L14" s="73" t="inlineStr">
        <is>
          <t xml:space="preserve">Completo</t>
        </is>
      </c>
      <c r="M14" s="73" t="inlineStr">
        <is>
          <t xml:space="preserve">Pallets Movimentados IN</t>
        </is>
      </c>
      <c r="N14" s="73" t="inlineStr">
        <is>
          <t xml:space="preserve">Pallets Movimentados OUT</t>
        </is>
      </c>
      <c r="O14" s="73" t="inlineStr">
        <is>
          <t xml:space="preserve">MOVIMENTAÇÃO PALETES/DIA</t>
        </is>
      </c>
      <c r="P14" s="73" t="inlineStr">
        <is>
          <t xml:space="preserve">ACUMULADO SEMANAL PALETES</t>
        </is>
      </c>
      <c r="Q14" s="73" t="inlineStr">
        <is>
          <t xml:space="preserve">Toneladas Movimentadas IN</t>
        </is>
      </c>
      <c r="R14" s="73" t="inlineStr">
        <is>
          <t xml:space="preserve">Toneladas Movimentadas OUT</t>
        </is>
      </c>
      <c r="S14" s="73" t="inlineStr">
        <is>
          <t xml:space="preserve">MOVIMENTAÇÃO TONS/DIA</t>
        </is>
      </c>
      <c r="T14" s="73" t="inlineStr">
        <is>
          <t xml:space="preserve">ACUMULADO SEMANAL TONS</t>
        </is>
      </c>
      <c r="AL14" s="40" t="inlineStr">
        <is>
          <t xml:space="preserve">Pallets Movimentados OUT por veículo</t>
        </is>
      </c>
      <c r="AM14" s="73" t="inlineStr">
        <is>
          <t xml:space="preserve">pallets movimentados por veículo</t>
        </is>
      </c>
      <c r="AN14" s="74">
        <v>1</v>
      </c>
      <c r="AO14" s="75">
        <v>5</v>
      </c>
      <c r="AP14" s="75">
        <v>18</v>
      </c>
      <c r="AQ14" s="75">
        <v>4</v>
      </c>
      <c r="AR14" s="75">
        <v>11</v>
      </c>
    </row>
    <row r="15">
      <c r="A15" s="77">
        <v>6</v>
      </c>
      <c r="B15" s="79" t="inlineStr">
        <is>
          <t xml:space="preserve">GE Vernova</t>
        </is>
      </c>
      <c r="C15" s="73" t="inlineStr">
        <is>
          <t xml:space="preserve">TPC</t>
        </is>
      </c>
      <c r="D15" s="73" t="inlineStr">
        <is>
          <t xml:space="preserve">Sim</t>
        </is>
      </c>
      <c r="E15" s="73" t="inlineStr">
        <is>
          <t xml:space="preserve">Pallets Movimentados IN</t>
        </is>
      </c>
      <c r="F15" s="73" t="inlineStr">
        <is>
          <t xml:space="preserve">Peças Movimentadas IN</t>
        </is>
      </c>
      <c r="G15" s="73" t="inlineStr">
        <is>
          <t xml:space="preserve">Linhas NF IN</t>
        </is>
      </c>
      <c r="H15" s="73" t="inlineStr">
        <is>
          <t xml:space="preserve">Sim</t>
        </is>
      </c>
      <c r="I15" s="73" t="inlineStr">
        <is>
          <t xml:space="preserve">Pallets Movimentados OUT</t>
        </is>
      </c>
      <c r="J15" s="73" t="inlineStr">
        <is>
          <t xml:space="preserve">Peças Movimentadas OUT</t>
        </is>
      </c>
      <c r="K15" s="73" t="inlineStr">
        <is>
          <t xml:space="preserve">Linhas NF OUT</t>
        </is>
      </c>
      <c r="L15" s="73" t="inlineStr">
        <is>
          <t xml:space="preserve">Completo</t>
        </is>
      </c>
      <c r="M15" s="73" t="inlineStr">
        <is>
          <t xml:space="preserve">Pallets Movimentados IN</t>
        </is>
      </c>
      <c r="N15" s="73" t="inlineStr">
        <is>
          <t xml:space="preserve">Pallets Movimentados OUT</t>
        </is>
      </c>
      <c r="O15" s="73" t="inlineStr">
        <is>
          <t xml:space="preserve">MOVIMENTAÇÃO PALETES/DIA</t>
        </is>
      </c>
      <c r="P15" s="73" t="inlineStr">
        <is>
          <t xml:space="preserve">ACUMULADO SEMANAL PALETES</t>
        </is>
      </c>
      <c r="Q15" s="73" t="inlineStr">
        <is>
          <t xml:space="preserve">Peças Movimentadas IN</t>
        </is>
      </c>
      <c r="R15" s="73" t="inlineStr">
        <is>
          <t xml:space="preserve">Peças Movimentadas OUT</t>
        </is>
      </c>
      <c r="S15" s="73" t="inlineStr">
        <is>
          <t xml:space="preserve">MOVIMENTAÇÃO PEÇAS/DIA</t>
        </is>
      </c>
      <c r="T15" s="73" t="inlineStr">
        <is>
          <t xml:space="preserve">ACUMULADO SEMANAL PEÇAS</t>
        </is>
      </c>
      <c r="AL15" s="40" t="inlineStr">
        <is>
          <t xml:space="preserve">Toneladas Movimentadas OUT</t>
        </is>
      </c>
      <c r="AM15" s="73" t="inlineStr">
        <is>
          <t xml:space="preserve">t movimentadas</t>
        </is>
      </c>
      <c r="AN15" s="74">
        <v>1</v>
      </c>
      <c r="AO15" s="75">
        <v>6</v>
      </c>
      <c r="AP15" s="75">
        <v>19</v>
      </c>
      <c r="AQ15" s="75">
        <v>0</v>
      </c>
      <c r="AR15" s="75">
        <v>0</v>
      </c>
    </row>
    <row r="16">
      <c r="A16" s="77">
        <v>7</v>
      </c>
      <c r="B16" s="79" t="inlineStr">
        <is>
          <t xml:space="preserve">Omnilife</t>
        </is>
      </c>
      <c r="C16" s="73" t="inlineStr">
        <is>
          <t xml:space="preserve">TPC</t>
        </is>
      </c>
      <c r="D16" s="73" t="inlineStr">
        <is>
          <t xml:space="preserve">Sim</t>
        </is>
      </c>
      <c r="E16" s="73" t="inlineStr">
        <is>
          <t xml:space="preserve">Pallets Movimentados IN</t>
        </is>
      </c>
      <c r="F16" s="73" t="inlineStr">
        <is>
          <t xml:space="preserve">Pallets Movimentados IN por veículo</t>
        </is>
      </c>
      <c r="G16" s="73"/>
      <c r="H16" s="73" t="inlineStr">
        <is>
          <t xml:space="preserve">Sim</t>
        </is>
      </c>
      <c r="I16" s="73" t="inlineStr">
        <is>
          <t xml:space="preserve">Pallets Movimentados OUT</t>
        </is>
      </c>
      <c r="J16" s="73" t="inlineStr">
        <is>
          <t xml:space="preserve">Pallets Movimentados OUT por veículo</t>
        </is>
      </c>
      <c r="K16" s="73"/>
      <c r="L16" s="73" t="inlineStr">
        <is>
          <t xml:space="preserve">Completo</t>
        </is>
      </c>
      <c r="M16" s="73" t="inlineStr">
        <is>
          <t xml:space="preserve">Pallets Movimentados IN</t>
        </is>
      </c>
      <c r="N16" s="73" t="inlineStr">
        <is>
          <t xml:space="preserve">Pallets Movimentados OUT</t>
        </is>
      </c>
      <c r="O16" s="73" t="inlineStr">
        <is>
          <t xml:space="preserve">MOVIMENTAÇÃO PALETES/DIA</t>
        </is>
      </c>
      <c r="P16" s="73" t="inlineStr">
        <is>
          <t xml:space="preserve">ACUMULADO SEMANAL PALETES</t>
        </is>
      </c>
      <c r="Q16" s="73" t="inlineStr">
        <is>
          <t xml:space="preserve">Pallets Movimentados IN por veículo</t>
        </is>
      </c>
      <c r="R16" s="73" t="inlineStr">
        <is>
          <t xml:space="preserve">Pallets Movimentados OUT por veículo</t>
        </is>
      </c>
      <c r="S16" s="73" t="inlineStr">
        <is>
          <t xml:space="preserve">PALETES POR VEÍCULO/DIA</t>
        </is>
      </c>
      <c r="T16" s="73" t="inlineStr">
        <is>
          <t xml:space="preserve">MÉDIA SEMANAL PALETES POR VEÍCULO</t>
        </is>
      </c>
      <c r="AL16" s="40" t="inlineStr">
        <is>
          <t xml:space="preserve">Toneladas Movimentadas OUT por veículo</t>
        </is>
      </c>
      <c r="AM16" s="73" t="inlineStr">
        <is>
          <t xml:space="preserve">t movimentadas por veículo</t>
        </is>
      </c>
      <c r="AN16" s="74">
        <v>1</v>
      </c>
      <c r="AO16" s="75">
        <v>6</v>
      </c>
      <c r="AP16" s="75">
        <v>19</v>
      </c>
      <c r="AQ16" s="75">
        <v>4</v>
      </c>
      <c r="AR16" s="75">
        <v>11</v>
      </c>
    </row>
    <row r="17">
      <c r="A17" s="77">
        <v>8</v>
      </c>
      <c r="B17" s="79" t="inlineStr">
        <is>
          <t xml:space="preserve">Supply</t>
        </is>
      </c>
      <c r="C17" s="73" t="inlineStr">
        <is>
          <t xml:space="preserve">TPC</t>
        </is>
      </c>
      <c r="D17" s="73" t="inlineStr">
        <is>
          <t xml:space="preserve">Sim</t>
        </is>
      </c>
      <c r="E17" s="73" t="inlineStr">
        <is>
          <t xml:space="preserve">Pallets Movimentados IN</t>
        </is>
      </c>
      <c r="F17" s="73" t="inlineStr">
        <is>
          <t xml:space="preserve">Toneladas Movimentadas IN</t>
        </is>
      </c>
      <c r="G17" s="73"/>
      <c r="H17" s="73" t="inlineStr">
        <is>
          <t xml:space="preserve">Sim</t>
        </is>
      </c>
      <c r="I17" s="73" t="inlineStr">
        <is>
          <t xml:space="preserve">Pallets Movimentados OUT</t>
        </is>
      </c>
      <c r="J17" s="73" t="inlineStr">
        <is>
          <t xml:space="preserve">Toneladas Movimentadas OUT</t>
        </is>
      </c>
      <c r="K17" s="73"/>
      <c r="L17" s="73" t="inlineStr">
        <is>
          <t xml:space="preserve">Completo</t>
        </is>
      </c>
      <c r="M17" s="73" t="inlineStr">
        <is>
          <t xml:space="preserve">Pallets Movimentados IN</t>
        </is>
      </c>
      <c r="N17" s="73" t="inlineStr">
        <is>
          <t xml:space="preserve">Pallets Movimentados OUT</t>
        </is>
      </c>
      <c r="O17" s="73" t="inlineStr">
        <is>
          <t xml:space="preserve">MOVIMENTAÇÃO PALETES/DIA</t>
        </is>
      </c>
      <c r="P17" s="73" t="inlineStr">
        <is>
          <t xml:space="preserve">ACUMULADO SEMANAL PALETES</t>
        </is>
      </c>
      <c r="Q17" s="73" t="inlineStr">
        <is>
          <t xml:space="preserve">Toneladas Movimentadas IN</t>
        </is>
      </c>
      <c r="R17" s="73" t="inlineStr">
        <is>
          <t xml:space="preserve">Toneladas Movimentadas OUT</t>
        </is>
      </c>
      <c r="S17" s="73" t="inlineStr">
        <is>
          <t xml:space="preserve">MOVIMENTAÇÃO TONS/DIA</t>
        </is>
      </c>
      <c r="T17" s="73" t="inlineStr">
        <is>
          <t xml:space="preserve">ACUMULADO SEMANAL TONS</t>
        </is>
      </c>
      <c r="AL17" s="40" t="inlineStr">
        <is>
          <t xml:space="preserve">Linhas NF IN</t>
        </is>
      </c>
      <c r="AM17" s="73" t="inlineStr">
        <is>
          <t xml:space="preserve">linhas NF</t>
        </is>
      </c>
      <c r="AN17" s="74">
        <v>0</v>
      </c>
      <c r="AO17" s="75">
        <v>25</v>
      </c>
      <c r="AP17" s="75">
        <v>4</v>
      </c>
      <c r="AQ17" s="75">
        <v>0</v>
      </c>
      <c r="AR17" s="75">
        <v>0</v>
      </c>
    </row>
    <row r="18">
      <c r="A18" s="77">
        <v>9</v>
      </c>
      <c r="B18" s="79" t="inlineStr">
        <is>
          <t xml:space="preserve">Vedacit</t>
        </is>
      </c>
      <c r="C18" s="73" t="inlineStr">
        <is>
          <t xml:space="preserve">TPC</t>
        </is>
      </c>
      <c r="D18" s="73" t="inlineStr">
        <is>
          <t xml:space="preserve">Sim</t>
        </is>
      </c>
      <c r="E18" s="73" t="inlineStr">
        <is>
          <t xml:space="preserve">Pallets Movimentados IN</t>
        </is>
      </c>
      <c r="F18" s="73" t="inlineStr">
        <is>
          <t xml:space="preserve">Pallets Movimentados IN por veículo</t>
        </is>
      </c>
      <c r="G18" s="73"/>
      <c r="H18" s="73" t="inlineStr">
        <is>
          <t xml:space="preserve">Sim</t>
        </is>
      </c>
      <c r="I18" s="73" t="inlineStr">
        <is>
          <t xml:space="preserve">Pallets Movimentados OUT</t>
        </is>
      </c>
      <c r="J18" s="73" t="inlineStr">
        <is>
          <t xml:space="preserve">Pallets Movimentados OUT por veículo</t>
        </is>
      </c>
      <c r="K18" s="73"/>
      <c r="L18" s="73" t="inlineStr">
        <is>
          <t xml:space="preserve">Completo</t>
        </is>
      </c>
      <c r="M18" s="73" t="inlineStr">
        <is>
          <t xml:space="preserve">Pallets Movimentados IN</t>
        </is>
      </c>
      <c r="N18" s="73" t="inlineStr">
        <is>
          <t xml:space="preserve">Pallets Movimentados OUT</t>
        </is>
      </c>
      <c r="O18" s="73" t="inlineStr">
        <is>
          <t xml:space="preserve">MOVIMENTAÇÃO PALETES/DIA</t>
        </is>
      </c>
      <c r="P18" s="73" t="inlineStr">
        <is>
          <t xml:space="preserve">ACUMULADO SEMANAL PALETES</t>
        </is>
      </c>
      <c r="Q18" s="73" t="inlineStr">
        <is>
          <t xml:space="preserve">Pallets Movimentados IN por veículo</t>
        </is>
      </c>
      <c r="R18" s="73" t="inlineStr">
        <is>
          <t xml:space="preserve">Pallets Movimentados OUT por veículo</t>
        </is>
      </c>
      <c r="S18" s="73" t="inlineStr">
        <is>
          <t xml:space="preserve">PALETES POR VEÍCULO/DIA</t>
        </is>
      </c>
      <c r="T18" s="73" t="inlineStr">
        <is>
          <t xml:space="preserve">MÉDIA SEMANAL PALETES POR VEÍCULO</t>
        </is>
      </c>
      <c r="AL18" s="40" t="inlineStr">
        <is>
          <t xml:space="preserve">Linhas NF IN por veículo</t>
        </is>
      </c>
      <c r="AM18" s="73" t="inlineStr">
        <is>
          <t xml:space="preserve">linhas NF por veículo</t>
        </is>
      </c>
      <c r="AN18" s="74">
        <v>1</v>
      </c>
      <c r="AO18" s="75">
        <v>25</v>
      </c>
      <c r="AP18" s="75">
        <v>4</v>
      </c>
      <c r="AQ18" s="75">
        <v>1</v>
      </c>
      <c r="AR18" s="75">
        <v>1</v>
      </c>
    </row>
    <row r="19">
      <c r="A19" s="77">
        <v>10</v>
      </c>
      <c r="B19" s="79" t="inlineStr">
        <is>
          <t xml:space="preserve">Vestas</t>
        </is>
      </c>
      <c r="C19" s="73" t="inlineStr">
        <is>
          <t xml:space="preserve">TPC</t>
        </is>
      </c>
      <c r="D19" s="73" t="inlineStr">
        <is>
          <t xml:space="preserve">Sim</t>
        </is>
      </c>
      <c r="E19" s="73" t="inlineStr">
        <is>
          <t xml:space="preserve">Linhas NF IN</t>
        </is>
      </c>
      <c r="F19" s="73" t="inlineStr">
        <is>
          <t xml:space="preserve">Linhas NF IN por veículo</t>
        </is>
      </c>
      <c r="G19" s="73"/>
      <c r="H19" s="73" t="inlineStr">
        <is>
          <t xml:space="preserve">Sim</t>
        </is>
      </c>
      <c r="I19" s="73" t="inlineStr">
        <is>
          <t xml:space="preserve">Linhas NF OUT</t>
        </is>
      </c>
      <c r="J19" s="73" t="inlineStr">
        <is>
          <t xml:space="preserve">Linhas NF OUT por veículo</t>
        </is>
      </c>
      <c r="K19" s="73"/>
      <c r="L19" s="73" t="inlineStr">
        <is>
          <t xml:space="preserve">Completo</t>
        </is>
      </c>
      <c r="M19" s="73" t="inlineStr">
        <is>
          <t xml:space="preserve">Linhas NF IN</t>
        </is>
      </c>
      <c r="N19" s="73" t="inlineStr">
        <is>
          <t xml:space="preserve">Linhas NF OUT</t>
        </is>
      </c>
      <c r="O19" s="73" t="inlineStr">
        <is>
          <t xml:space="preserve">MOVIMENTAÇÃO LINHAS NF/DIA</t>
        </is>
      </c>
      <c r="P19" s="73" t="inlineStr">
        <is>
          <t xml:space="preserve">ACUMULADO SEMANAL LINHAS NF</t>
        </is>
      </c>
      <c r="Q19" s="73" t="inlineStr">
        <is>
          <t xml:space="preserve">Linhas NF IN por veículo</t>
        </is>
      </c>
      <c r="R19" s="73" t="inlineStr">
        <is>
          <t xml:space="preserve">Linhas NF OUT por veículo</t>
        </is>
      </c>
      <c r="S19" s="73" t="inlineStr">
        <is>
          <t xml:space="preserve">LINHAS NF POR VEÍCULO/DIA</t>
        </is>
      </c>
      <c r="T19" s="73" t="inlineStr">
        <is>
          <t xml:space="preserve">MÉDIA SEMANAL LINHAS NF POR VEÍCULO</t>
        </is>
      </c>
      <c r="AL19" s="40" t="inlineStr">
        <is>
          <t xml:space="preserve">Caixas Movimentadas IN</t>
        </is>
      </c>
      <c r="AM19" s="73" t="inlineStr">
        <is>
          <t xml:space="preserve">caixas movimentadas</t>
        </is>
      </c>
      <c r="AN19" s="74">
        <v>0</v>
      </c>
      <c r="AO19" s="75">
        <v>26</v>
      </c>
      <c r="AP19" s="75">
        <v>5</v>
      </c>
      <c r="AQ19" s="75">
        <v>0</v>
      </c>
      <c r="AR19" s="75">
        <v>0</v>
      </c>
    </row>
    <row r="20">
      <c r="A20" s="77">
        <v>11</v>
      </c>
      <c r="B20" s="79"/>
      <c r="C20" s="73"/>
      <c r="D20" s="73" t="inlineStr">
        <is>
          <t xml:space="preserve">Sim</t>
        </is>
      </c>
      <c r="E20" s="73" t="inlineStr">
        <is>
          <t xml:space="preserve">Pallets Movimentados IN</t>
        </is>
      </c>
      <c r="F20" s="73" t="inlineStr">
        <is>
          <t xml:space="preserve">Toneladas Movimentadas IN</t>
        </is>
      </c>
      <c r="G20" s="73"/>
      <c r="H20" s="73" t="inlineStr">
        <is>
          <t xml:space="preserve">Sim</t>
        </is>
      </c>
      <c r="I20" s="73" t="inlineStr">
        <is>
          <t xml:space="preserve">Pallets Movimentados OUT</t>
        </is>
      </c>
      <c r="J20" s="73" t="inlineStr">
        <is>
          <t xml:space="preserve">Toneladas Movimentadas OUT</t>
        </is>
      </c>
      <c r="K20" s="73"/>
      <c r="L20" s="73" t="inlineStr">
        <is>
          <t xml:space="preserve">Completo</t>
        </is>
      </c>
      <c r="M20" s="73" t="inlineStr">
        <is>
          <t xml:space="preserve">Pallets Movimentados IN</t>
        </is>
      </c>
      <c r="N20" s="73" t="inlineStr">
        <is>
          <t xml:space="preserve">Pallets Movimentados OUT</t>
        </is>
      </c>
      <c r="O20" s="73" t="inlineStr">
        <is>
          <t xml:space="preserve">MOVIMENTAÇÃO PALETES/DIA</t>
        </is>
      </c>
      <c r="P20" s="73" t="inlineStr">
        <is>
          <t xml:space="preserve">ACUMULADO SEMANAL PALETES</t>
        </is>
      </c>
      <c r="Q20" s="73" t="inlineStr">
        <is>
          <t xml:space="preserve">Toneladas Movimentadas IN</t>
        </is>
      </c>
      <c r="R20" s="73" t="inlineStr">
        <is>
          <t xml:space="preserve">Toneladas Movimentadas OUT</t>
        </is>
      </c>
      <c r="S20" s="73" t="inlineStr">
        <is>
          <t xml:space="preserve">MOVIMENTAÇÃO TONS/DIA</t>
        </is>
      </c>
      <c r="T20" s="73" t="inlineStr">
        <is>
          <t xml:space="preserve">ACUMULADO SEMANAL TONS</t>
        </is>
      </c>
      <c r="AL20" s="40" t="inlineStr">
        <is>
          <t xml:space="preserve">Caixas Movimentadas IN por veículo</t>
        </is>
      </c>
      <c r="AM20" s="73" t="inlineStr">
        <is>
          <t xml:space="preserve">caixas movimentadas por veículo</t>
        </is>
      </c>
      <c r="AN20" s="74">
        <v>1</v>
      </c>
      <c r="AO20" s="75">
        <v>26</v>
      </c>
      <c r="AP20" s="75">
        <v>5</v>
      </c>
      <c r="AQ20" s="75">
        <v>1</v>
      </c>
      <c r="AR20" s="75">
        <v>1</v>
      </c>
    </row>
    <row r="21">
      <c r="A21" s="77">
        <v>12</v>
      </c>
      <c r="B21" s="79"/>
      <c r="C21" s="73"/>
      <c r="D21" s="73" t="inlineStr">
        <is>
          <t xml:space="preserve">Sim</t>
        </is>
      </c>
      <c r="E21" s="73" t="inlineStr">
        <is>
          <t xml:space="preserve">Pallets Movimentados IN</t>
        </is>
      </c>
      <c r="F21" s="73" t="inlineStr">
        <is>
          <t xml:space="preserve">Toneladas Movimentadas IN</t>
        </is>
      </c>
      <c r="G21" s="73"/>
      <c r="H21" s="73" t="inlineStr">
        <is>
          <t xml:space="preserve">Sim</t>
        </is>
      </c>
      <c r="I21" s="73" t="inlineStr">
        <is>
          <t xml:space="preserve">Pallets Movimentados OUT</t>
        </is>
      </c>
      <c r="J21" s="73" t="inlineStr">
        <is>
          <t xml:space="preserve">Toneladas Movimentadas OUT</t>
        </is>
      </c>
      <c r="K21" s="73"/>
      <c r="L21" s="73" t="inlineStr">
        <is>
          <t xml:space="preserve">Completo</t>
        </is>
      </c>
      <c r="M21" s="73" t="inlineStr">
        <is>
          <t xml:space="preserve">Pallets Movimentados IN</t>
        </is>
      </c>
      <c r="N21" s="73" t="inlineStr">
        <is>
          <t xml:space="preserve">Pallets Movimentados OUT</t>
        </is>
      </c>
      <c r="O21" s="73" t="inlineStr">
        <is>
          <t xml:space="preserve">MOVIMENTAÇÃO PALETES/DIA</t>
        </is>
      </c>
      <c r="P21" s="73" t="inlineStr">
        <is>
          <t xml:space="preserve">ACUMULADO SEMANAL PALETES</t>
        </is>
      </c>
      <c r="Q21" s="73" t="inlineStr">
        <is>
          <t xml:space="preserve">Toneladas Movimentadas IN</t>
        </is>
      </c>
      <c r="R21" s="73" t="inlineStr">
        <is>
          <t xml:space="preserve">Toneladas Movimentadas OUT</t>
        </is>
      </c>
      <c r="S21" s="73" t="inlineStr">
        <is>
          <t xml:space="preserve">MOVIMENTAÇÃO TONS/DIA</t>
        </is>
      </c>
      <c r="T21" s="73" t="inlineStr">
        <is>
          <t xml:space="preserve">ACUMULADO SEMANAL TONS</t>
        </is>
      </c>
      <c r="AL21" s="40" t="inlineStr">
        <is>
          <t xml:space="preserve">Peças Movimentadas IN</t>
        </is>
      </c>
      <c r="AM21" s="73" t="inlineStr">
        <is>
          <t xml:space="preserve">peças movimentadas</t>
        </is>
      </c>
      <c r="AN21" s="74">
        <v>0</v>
      </c>
      <c r="AO21" s="75">
        <v>27</v>
      </c>
      <c r="AP21" s="75">
        <v>6</v>
      </c>
      <c r="AQ21" s="75">
        <v>0</v>
      </c>
      <c r="AR21" s="75">
        <v>0</v>
      </c>
    </row>
    <row r="22">
      <c r="A22" s="77">
        <v>13</v>
      </c>
      <c r="B22" s="79"/>
      <c r="C22" s="73"/>
      <c r="D22" s="73" t="inlineStr">
        <is>
          <t xml:space="preserve">Sim</t>
        </is>
      </c>
      <c r="E22" s="73" t="inlineStr">
        <is>
          <t xml:space="preserve">Pallets Movimentados IN</t>
        </is>
      </c>
      <c r="F22" s="73" t="inlineStr">
        <is>
          <t xml:space="preserve">Toneladas Movimentadas IN</t>
        </is>
      </c>
      <c r="G22" s="73"/>
      <c r="H22" s="73" t="inlineStr">
        <is>
          <t xml:space="preserve">Sim</t>
        </is>
      </c>
      <c r="I22" s="73" t="inlineStr">
        <is>
          <t xml:space="preserve">Pallets Movimentados OUT</t>
        </is>
      </c>
      <c r="J22" s="73" t="inlineStr">
        <is>
          <t xml:space="preserve">Toneladas Movimentadas OUT</t>
        </is>
      </c>
      <c r="K22" s="73"/>
      <c r="L22" s="73" t="inlineStr">
        <is>
          <t xml:space="preserve">Completo</t>
        </is>
      </c>
      <c r="M22" s="73" t="inlineStr">
        <is>
          <t xml:space="preserve">Pallets Movimentados IN</t>
        </is>
      </c>
      <c r="N22" s="73" t="inlineStr">
        <is>
          <t xml:space="preserve">Pallets Movimentados OUT</t>
        </is>
      </c>
      <c r="O22" s="73" t="inlineStr">
        <is>
          <t xml:space="preserve">MOVIMENTAÇÃO PALETES/DIA</t>
        </is>
      </c>
      <c r="P22" s="73" t="inlineStr">
        <is>
          <t xml:space="preserve">ACUMULADO SEMANAL PALETES</t>
        </is>
      </c>
      <c r="Q22" s="73" t="inlineStr">
        <is>
          <t xml:space="preserve">Toneladas Movimentadas IN</t>
        </is>
      </c>
      <c r="R22" s="73" t="inlineStr">
        <is>
          <t xml:space="preserve">Toneladas Movimentadas OUT</t>
        </is>
      </c>
      <c r="S22" s="73" t="inlineStr">
        <is>
          <t xml:space="preserve">MOVIMENTAÇÃO TONS/DIA</t>
        </is>
      </c>
      <c r="T22" s="73" t="inlineStr">
        <is>
          <t xml:space="preserve">ACUMULADO SEMANAL TONS</t>
        </is>
      </c>
      <c r="AL22" s="40" t="inlineStr">
        <is>
          <t xml:space="preserve">Peças Movimentadas IN por veículo</t>
        </is>
      </c>
      <c r="AM22" s="73" t="inlineStr">
        <is>
          <t xml:space="preserve">peças movimentadas por veículo</t>
        </is>
      </c>
      <c r="AN22" s="74">
        <v>1</v>
      </c>
      <c r="AO22" s="75">
        <v>27</v>
      </c>
      <c r="AP22" s="75">
        <v>6</v>
      </c>
      <c r="AQ22" s="75">
        <v>1</v>
      </c>
      <c r="AR22" s="75">
        <v>1</v>
      </c>
    </row>
    <row r="23">
      <c r="A23" s="77">
        <v>14</v>
      </c>
      <c r="B23" s="79"/>
      <c r="C23" s="73"/>
      <c r="D23" s="73" t="inlineStr">
        <is>
          <t xml:space="preserve">Sim</t>
        </is>
      </c>
      <c r="E23" s="73" t="inlineStr">
        <is>
          <t xml:space="preserve">Pallets Movimentados IN</t>
        </is>
      </c>
      <c r="F23" s="73" t="inlineStr">
        <is>
          <t xml:space="preserve">Toneladas Movimentadas IN</t>
        </is>
      </c>
      <c r="G23" s="73"/>
      <c r="H23" s="73" t="inlineStr">
        <is>
          <t xml:space="preserve">Sim</t>
        </is>
      </c>
      <c r="I23" s="73" t="inlineStr">
        <is>
          <t xml:space="preserve">Pallets Movimentados OUT</t>
        </is>
      </c>
      <c r="J23" s="73" t="inlineStr">
        <is>
          <t xml:space="preserve">Toneladas Movimentadas OUT</t>
        </is>
      </c>
      <c r="K23" s="73"/>
      <c r="L23" s="73" t="inlineStr">
        <is>
          <t xml:space="preserve">Completo</t>
        </is>
      </c>
      <c r="M23" s="73" t="inlineStr">
        <is>
          <t xml:space="preserve">Pallets Movimentados IN</t>
        </is>
      </c>
      <c r="N23" s="73" t="inlineStr">
        <is>
          <t xml:space="preserve">Pallets Movimentados OUT</t>
        </is>
      </c>
      <c r="O23" s="73" t="inlineStr">
        <is>
          <t xml:space="preserve">MOVIMENTAÇÃO PALETES/DIA</t>
        </is>
      </c>
      <c r="P23" s="73" t="inlineStr">
        <is>
          <t xml:space="preserve">ACUMULADO SEMANAL PALETES</t>
        </is>
      </c>
      <c r="Q23" s="73" t="inlineStr">
        <is>
          <t xml:space="preserve">Toneladas Movimentadas IN</t>
        </is>
      </c>
      <c r="R23" s="73" t="inlineStr">
        <is>
          <t xml:space="preserve">Toneladas Movimentadas OUT</t>
        </is>
      </c>
      <c r="S23" s="73" t="inlineStr">
        <is>
          <t xml:space="preserve">MOVIMENTAÇÃO TONS/DIA</t>
        </is>
      </c>
      <c r="T23" s="73" t="inlineStr">
        <is>
          <t xml:space="preserve">ACUMULADO SEMANAL TONS</t>
        </is>
      </c>
      <c r="AL23" s="40" t="inlineStr">
        <is>
          <t xml:space="preserve">Itens Recebidos IN</t>
        </is>
      </c>
      <c r="AM23" s="73" t="inlineStr">
        <is>
          <t xml:space="preserve">itens recebidos</t>
        </is>
      </c>
      <c r="AN23" s="74">
        <v>0</v>
      </c>
      <c r="AO23" s="75">
        <v>28</v>
      </c>
      <c r="AP23" s="75">
        <v>7</v>
      </c>
      <c r="AQ23" s="75">
        <v>0</v>
      </c>
      <c r="AR23" s="75">
        <v>0</v>
      </c>
    </row>
    <row r="24">
      <c r="A24" s="77">
        <v>15</v>
      </c>
      <c r="B24" s="79"/>
      <c r="C24" s="73"/>
      <c r="D24" s="73" t="inlineStr">
        <is>
          <t xml:space="preserve">Sim</t>
        </is>
      </c>
      <c r="E24" s="73" t="inlineStr">
        <is>
          <t xml:space="preserve">Pallets Movimentados IN</t>
        </is>
      </c>
      <c r="F24" s="73" t="inlineStr">
        <is>
          <t xml:space="preserve">Toneladas Movimentadas IN</t>
        </is>
      </c>
      <c r="G24" s="73"/>
      <c r="H24" s="73" t="inlineStr">
        <is>
          <t xml:space="preserve">Sim</t>
        </is>
      </c>
      <c r="I24" s="73" t="inlineStr">
        <is>
          <t xml:space="preserve">Pallets Movimentados OUT</t>
        </is>
      </c>
      <c r="J24" s="73" t="inlineStr">
        <is>
          <t xml:space="preserve">Toneladas Movimentadas OUT</t>
        </is>
      </c>
      <c r="K24" s="73"/>
      <c r="L24" s="73" t="inlineStr">
        <is>
          <t xml:space="preserve">Completo</t>
        </is>
      </c>
      <c r="M24" s="73" t="inlineStr">
        <is>
          <t xml:space="preserve">Pallets Movimentados IN</t>
        </is>
      </c>
      <c r="N24" s="73" t="inlineStr">
        <is>
          <t xml:space="preserve">Pallets Movimentados OUT</t>
        </is>
      </c>
      <c r="O24" s="73" t="inlineStr">
        <is>
          <t xml:space="preserve">MOVIMENTAÇÃO PALETES/DIA</t>
        </is>
      </c>
      <c r="P24" s="73" t="inlineStr">
        <is>
          <t xml:space="preserve">ACUMULADO SEMANAL PALETES</t>
        </is>
      </c>
      <c r="Q24" s="73" t="inlineStr">
        <is>
          <t xml:space="preserve">Toneladas Movimentadas IN</t>
        </is>
      </c>
      <c r="R24" s="73" t="inlineStr">
        <is>
          <t xml:space="preserve">Toneladas Movimentadas OUT</t>
        </is>
      </c>
      <c r="S24" s="73" t="inlineStr">
        <is>
          <t xml:space="preserve">MOVIMENTAÇÃO TONS/DIA</t>
        </is>
      </c>
      <c r="T24" s="73" t="inlineStr">
        <is>
          <t xml:space="preserve">ACUMULADO SEMANAL TONS</t>
        </is>
      </c>
      <c r="AL24" s="40" t="inlineStr">
        <is>
          <t xml:space="preserve">Itens Recebidos IN por veículo</t>
        </is>
      </c>
      <c r="AM24" s="73" t="inlineStr">
        <is>
          <t xml:space="preserve">itens recebidos por veículo</t>
        </is>
      </c>
      <c r="AN24" s="74">
        <v>1</v>
      </c>
      <c r="AO24" s="75">
        <v>28</v>
      </c>
      <c r="AP24" s="75">
        <v>7</v>
      </c>
      <c r="AQ24" s="75">
        <v>1</v>
      </c>
      <c r="AR24" s="75">
        <v>1</v>
      </c>
    </row>
    <row r="25">
      <c r="A25" s="77">
        <v>16</v>
      </c>
      <c r="B25" s="79"/>
      <c r="C25" s="73"/>
      <c r="D25" s="73" t="inlineStr">
        <is>
          <t xml:space="preserve">Sim</t>
        </is>
      </c>
      <c r="E25" s="73" t="inlineStr">
        <is>
          <t xml:space="preserve">Pallets Movimentados IN</t>
        </is>
      </c>
      <c r="F25" s="73" t="inlineStr">
        <is>
          <t xml:space="preserve">Toneladas Movimentadas IN</t>
        </is>
      </c>
      <c r="G25" s="73"/>
      <c r="H25" s="73" t="inlineStr">
        <is>
          <t xml:space="preserve">Sim</t>
        </is>
      </c>
      <c r="I25" s="73" t="inlineStr">
        <is>
          <t xml:space="preserve">Pallets Movimentados OUT</t>
        </is>
      </c>
      <c r="J25" s="73" t="inlineStr">
        <is>
          <t xml:space="preserve">Toneladas Movimentadas OUT</t>
        </is>
      </c>
      <c r="K25" s="73"/>
      <c r="L25" s="73" t="inlineStr">
        <is>
          <t xml:space="preserve">Completo</t>
        </is>
      </c>
      <c r="M25" s="73" t="inlineStr">
        <is>
          <t xml:space="preserve">Pallets Movimentados IN</t>
        </is>
      </c>
      <c r="N25" s="73" t="inlineStr">
        <is>
          <t xml:space="preserve">Pallets Movimentados OUT</t>
        </is>
      </c>
      <c r="O25" s="73" t="inlineStr">
        <is>
          <t xml:space="preserve">MOVIMENTAÇÃO PALETES/DIA</t>
        </is>
      </c>
      <c r="P25" s="73" t="inlineStr">
        <is>
          <t xml:space="preserve">ACUMULADO SEMANAL PALETES</t>
        </is>
      </c>
      <c r="Q25" s="73" t="inlineStr">
        <is>
          <t xml:space="preserve">Toneladas Movimentadas IN</t>
        </is>
      </c>
      <c r="R25" s="73" t="inlineStr">
        <is>
          <t xml:space="preserve">Toneladas Movimentadas OUT</t>
        </is>
      </c>
      <c r="S25" s="73" t="inlineStr">
        <is>
          <t xml:space="preserve">MOVIMENTAÇÃO TONS/DIA</t>
        </is>
      </c>
      <c r="T25" s="73" t="inlineStr">
        <is>
          <t xml:space="preserve">ACUMULADO SEMANAL TONS</t>
        </is>
      </c>
      <c r="AL25" s="40" t="inlineStr">
        <is>
          <t xml:space="preserve">Itens Recebidos CX Mista IN</t>
        </is>
      </c>
      <c r="AM25" s="73" t="inlineStr">
        <is>
          <t xml:space="preserve">itens cx mista</t>
        </is>
      </c>
      <c r="AN25" s="74">
        <v>0</v>
      </c>
      <c r="AO25" s="75">
        <v>29</v>
      </c>
      <c r="AP25" s="75">
        <v>8</v>
      </c>
      <c r="AQ25" s="75">
        <v>0</v>
      </c>
      <c r="AR25" s="75">
        <v>0</v>
      </c>
    </row>
    <row r="26">
      <c r="A26" s="77">
        <v>17</v>
      </c>
      <c r="B26" s="79"/>
      <c r="C26" s="73"/>
      <c r="D26" s="73" t="inlineStr">
        <is>
          <t xml:space="preserve">Sim</t>
        </is>
      </c>
      <c r="E26" s="73" t="inlineStr">
        <is>
          <t xml:space="preserve">Pallets Movimentados IN</t>
        </is>
      </c>
      <c r="F26" s="73" t="inlineStr">
        <is>
          <t xml:space="preserve">Toneladas Movimentadas IN</t>
        </is>
      </c>
      <c r="G26" s="73"/>
      <c r="H26" s="73" t="inlineStr">
        <is>
          <t xml:space="preserve">Sim</t>
        </is>
      </c>
      <c r="I26" s="73" t="inlineStr">
        <is>
          <t xml:space="preserve">Pallets Movimentados OUT</t>
        </is>
      </c>
      <c r="J26" s="73" t="inlineStr">
        <is>
          <t xml:space="preserve">Toneladas Movimentadas OUT</t>
        </is>
      </c>
      <c r="K26" s="73"/>
      <c r="L26" s="73" t="inlineStr">
        <is>
          <t xml:space="preserve">Completo</t>
        </is>
      </c>
      <c r="M26" s="73" t="inlineStr">
        <is>
          <t xml:space="preserve">Pallets Movimentados IN</t>
        </is>
      </c>
      <c r="N26" s="73" t="inlineStr">
        <is>
          <t xml:space="preserve">Pallets Movimentados OUT</t>
        </is>
      </c>
      <c r="O26" s="73" t="inlineStr">
        <is>
          <t xml:space="preserve">MOVIMENTAÇÃO PALETES/DIA</t>
        </is>
      </c>
      <c r="P26" s="73" t="inlineStr">
        <is>
          <t xml:space="preserve">ACUMULADO SEMANAL PALETES</t>
        </is>
      </c>
      <c r="Q26" s="73" t="inlineStr">
        <is>
          <t xml:space="preserve">Toneladas Movimentadas IN</t>
        </is>
      </c>
      <c r="R26" s="73" t="inlineStr">
        <is>
          <t xml:space="preserve">Toneladas Movimentadas OUT</t>
        </is>
      </c>
      <c r="S26" s="73" t="inlineStr">
        <is>
          <t xml:space="preserve">MOVIMENTAÇÃO TONS/DIA</t>
        </is>
      </c>
      <c r="T26" s="73" t="inlineStr">
        <is>
          <t xml:space="preserve">ACUMULADO SEMANAL TONS</t>
        </is>
      </c>
      <c r="AL26" s="40" t="inlineStr">
        <is>
          <t xml:space="preserve">Itens Recebidos CX Mista IN por veículo</t>
        </is>
      </c>
      <c r="AM26" s="73" t="inlineStr">
        <is>
          <t xml:space="preserve">itens cx mista por veículo</t>
        </is>
      </c>
      <c r="AN26" s="74">
        <v>1</v>
      </c>
      <c r="AO26" s="75">
        <v>29</v>
      </c>
      <c r="AP26" s="75">
        <v>8</v>
      </c>
      <c r="AQ26" s="75">
        <v>1</v>
      </c>
      <c r="AR26" s="75">
        <v>1</v>
      </c>
    </row>
    <row r="27">
      <c r="A27" s="77">
        <v>18</v>
      </c>
      <c r="B27" s="79"/>
      <c r="C27" s="73"/>
      <c r="D27" s="73" t="inlineStr">
        <is>
          <t xml:space="preserve">Sim</t>
        </is>
      </c>
      <c r="E27" s="73" t="inlineStr">
        <is>
          <t xml:space="preserve">Pallets Movimentados IN</t>
        </is>
      </c>
      <c r="F27" s="73" t="inlineStr">
        <is>
          <t xml:space="preserve">Toneladas Movimentadas IN</t>
        </is>
      </c>
      <c r="G27" s="73"/>
      <c r="H27" s="73" t="inlineStr">
        <is>
          <t xml:space="preserve">Sim</t>
        </is>
      </c>
      <c r="I27" s="73" t="inlineStr">
        <is>
          <t xml:space="preserve">Pallets Movimentados OUT</t>
        </is>
      </c>
      <c r="J27" s="73" t="inlineStr">
        <is>
          <t xml:space="preserve">Toneladas Movimentadas OUT</t>
        </is>
      </c>
      <c r="K27" s="73"/>
      <c r="L27" s="73" t="inlineStr">
        <is>
          <t xml:space="preserve">Completo</t>
        </is>
      </c>
      <c r="M27" s="73" t="inlineStr">
        <is>
          <t xml:space="preserve">Pallets Movimentados IN</t>
        </is>
      </c>
      <c r="N27" s="73" t="inlineStr">
        <is>
          <t xml:space="preserve">Pallets Movimentados OUT</t>
        </is>
      </c>
      <c r="O27" s="73" t="inlineStr">
        <is>
          <t xml:space="preserve">MOVIMENTAÇÃO PALETES/DIA</t>
        </is>
      </c>
      <c r="P27" s="73" t="inlineStr">
        <is>
          <t xml:space="preserve">ACUMULADO SEMANAL PALETES</t>
        </is>
      </c>
      <c r="Q27" s="73" t="inlineStr">
        <is>
          <t xml:space="preserve">Toneladas Movimentadas IN</t>
        </is>
      </c>
      <c r="R27" s="73" t="inlineStr">
        <is>
          <t xml:space="preserve">Toneladas Movimentadas OUT</t>
        </is>
      </c>
      <c r="S27" s="73" t="inlineStr">
        <is>
          <t xml:space="preserve">MOVIMENTAÇÃO TONS/DIA</t>
        </is>
      </c>
      <c r="T27" s="73" t="inlineStr">
        <is>
          <t xml:space="preserve">ACUMULADO SEMANAL TONS</t>
        </is>
      </c>
      <c r="AL27" s="40" t="inlineStr">
        <is>
          <t xml:space="preserve">Caixas Fechadas IN</t>
        </is>
      </c>
      <c r="AM27" s="73" t="inlineStr">
        <is>
          <t xml:space="preserve">caixas fechadas</t>
        </is>
      </c>
      <c r="AN27" s="74">
        <v>0</v>
      </c>
      <c r="AO27" s="75">
        <v>30</v>
      </c>
      <c r="AP27" s="75">
        <v>9</v>
      </c>
      <c r="AQ27" s="75">
        <v>0</v>
      </c>
      <c r="AR27" s="75">
        <v>0</v>
      </c>
    </row>
    <row r="28">
      <c r="A28" s="77">
        <v>19</v>
      </c>
      <c r="B28" s="79"/>
      <c r="C28" s="73"/>
      <c r="D28" s="73" t="inlineStr">
        <is>
          <t xml:space="preserve">Sim</t>
        </is>
      </c>
      <c r="E28" s="73" t="inlineStr">
        <is>
          <t xml:space="preserve">Pallets Movimentados IN</t>
        </is>
      </c>
      <c r="F28" s="73" t="inlineStr">
        <is>
          <t xml:space="preserve">Toneladas Movimentadas IN</t>
        </is>
      </c>
      <c r="G28" s="73"/>
      <c r="H28" s="73" t="inlineStr">
        <is>
          <t xml:space="preserve">Sim</t>
        </is>
      </c>
      <c r="I28" s="73" t="inlineStr">
        <is>
          <t xml:space="preserve">Pallets Movimentados OUT</t>
        </is>
      </c>
      <c r="J28" s="73" t="inlineStr">
        <is>
          <t xml:space="preserve">Toneladas Movimentadas OUT</t>
        </is>
      </c>
      <c r="K28" s="73"/>
      <c r="L28" s="73" t="inlineStr">
        <is>
          <t xml:space="preserve">Completo</t>
        </is>
      </c>
      <c r="M28" s="73" t="inlineStr">
        <is>
          <t xml:space="preserve">Pallets Movimentados IN</t>
        </is>
      </c>
      <c r="N28" s="73" t="inlineStr">
        <is>
          <t xml:space="preserve">Pallets Movimentados OUT</t>
        </is>
      </c>
      <c r="O28" s="73" t="inlineStr">
        <is>
          <t xml:space="preserve">MOVIMENTAÇÃO PALETES/DIA</t>
        </is>
      </c>
      <c r="P28" s="73" t="inlineStr">
        <is>
          <t xml:space="preserve">ACUMULADO SEMANAL PALETES</t>
        </is>
      </c>
      <c r="Q28" s="73" t="inlineStr">
        <is>
          <t xml:space="preserve">Toneladas Movimentadas IN</t>
        </is>
      </c>
      <c r="R28" s="73" t="inlineStr">
        <is>
          <t xml:space="preserve">Toneladas Movimentadas OUT</t>
        </is>
      </c>
      <c r="S28" s="73" t="inlineStr">
        <is>
          <t xml:space="preserve">MOVIMENTAÇÃO TONS/DIA</t>
        </is>
      </c>
      <c r="T28" s="73" t="inlineStr">
        <is>
          <t xml:space="preserve">ACUMULADO SEMANAL TONS</t>
        </is>
      </c>
      <c r="AL28" s="40" t="inlineStr">
        <is>
          <t xml:space="preserve">Caixas Fechadas IN por veículo</t>
        </is>
      </c>
      <c r="AM28" s="73" t="inlineStr">
        <is>
          <t xml:space="preserve">caixas fechadas por veículo</t>
        </is>
      </c>
      <c r="AN28" s="74">
        <v>1</v>
      </c>
      <c r="AO28" s="75">
        <v>30</v>
      </c>
      <c r="AP28" s="75">
        <v>9</v>
      </c>
      <c r="AQ28" s="75">
        <v>1</v>
      </c>
      <c r="AR28" s="75">
        <v>1</v>
      </c>
    </row>
    <row r="29">
      <c r="A29" s="77">
        <v>20</v>
      </c>
      <c r="B29" s="79"/>
      <c r="C29" s="73"/>
      <c r="D29" s="73" t="inlineStr">
        <is>
          <t xml:space="preserve">Sim</t>
        </is>
      </c>
      <c r="E29" s="73" t="inlineStr">
        <is>
          <t xml:space="preserve">Pallets Movimentados IN</t>
        </is>
      </c>
      <c r="F29" s="73" t="inlineStr">
        <is>
          <t xml:space="preserve">Toneladas Movimentadas IN</t>
        </is>
      </c>
      <c r="G29" s="73"/>
      <c r="H29" s="73" t="inlineStr">
        <is>
          <t xml:space="preserve">Sim</t>
        </is>
      </c>
      <c r="I29" s="73" t="inlineStr">
        <is>
          <t xml:space="preserve">Pallets Movimentados OUT</t>
        </is>
      </c>
      <c r="J29" s="73" t="inlineStr">
        <is>
          <t xml:space="preserve">Toneladas Movimentadas OUT</t>
        </is>
      </c>
      <c r="K29" s="73"/>
      <c r="L29" s="73" t="inlineStr">
        <is>
          <t xml:space="preserve">Completo</t>
        </is>
      </c>
      <c r="M29" s="73" t="inlineStr">
        <is>
          <t xml:space="preserve">Pallets Movimentados IN</t>
        </is>
      </c>
      <c r="N29" s="73" t="inlineStr">
        <is>
          <t xml:space="preserve">Pallets Movimentados OUT</t>
        </is>
      </c>
      <c r="O29" s="73" t="inlineStr">
        <is>
          <t xml:space="preserve">MOVIMENTAÇÃO PALETES/DIA</t>
        </is>
      </c>
      <c r="P29" s="73" t="inlineStr">
        <is>
          <t xml:space="preserve">ACUMULADO SEMANAL PALETES</t>
        </is>
      </c>
      <c r="Q29" s="73" t="inlineStr">
        <is>
          <t xml:space="preserve">Toneladas Movimentadas IN</t>
        </is>
      </c>
      <c r="R29" s="73" t="inlineStr">
        <is>
          <t xml:space="preserve">Toneladas Movimentadas OUT</t>
        </is>
      </c>
      <c r="S29" s="73" t="inlineStr">
        <is>
          <t xml:space="preserve">MOVIMENTAÇÃO TONS/DIA</t>
        </is>
      </c>
      <c r="T29" s="73" t="inlineStr">
        <is>
          <t xml:space="preserve">ACUMULADO SEMANAL TONS</t>
        </is>
      </c>
      <c r="AL29" s="40" t="inlineStr">
        <is>
          <t xml:space="preserve">Caixas Mistas Recebidas IN</t>
        </is>
      </c>
      <c r="AM29" s="73" t="inlineStr">
        <is>
          <t xml:space="preserve">caixas mistas</t>
        </is>
      </c>
      <c r="AN29" s="74">
        <v>0</v>
      </c>
      <c r="AO29" s="75">
        <v>31</v>
      </c>
      <c r="AP29" s="75">
        <v>10</v>
      </c>
      <c r="AQ29" s="75">
        <v>0</v>
      </c>
      <c r="AR29" s="75">
        <v>0</v>
      </c>
    </row>
    <row r="30">
      <c r="AL30" s="40" t="inlineStr">
        <is>
          <t xml:space="preserve">Caixas Mistas Recebidas IN por veículo</t>
        </is>
      </c>
      <c r="AM30" s="73" t="inlineStr">
        <is>
          <t xml:space="preserve">caixas mistas por veículo</t>
        </is>
      </c>
      <c r="AN30" s="74">
        <v>1</v>
      </c>
      <c r="AO30" s="75">
        <v>31</v>
      </c>
      <c r="AP30" s="75">
        <v>10</v>
      </c>
      <c r="AQ30" s="75">
        <v>1</v>
      </c>
      <c r="AR30" s="75">
        <v>1</v>
      </c>
    </row>
    <row r="31">
      <c r="AL31" s="40" t="inlineStr">
        <is>
          <t xml:space="preserve">Pedidos Expedidos OUT</t>
        </is>
      </c>
      <c r="AM31" s="73" t="inlineStr">
        <is>
          <t xml:space="preserve">pedidos expedidos</t>
        </is>
      </c>
      <c r="AN31" s="74">
        <v>0</v>
      </c>
      <c r="AO31" s="75">
        <v>32</v>
      </c>
      <c r="AP31" s="75">
        <v>12</v>
      </c>
      <c r="AQ31" s="75">
        <v>0</v>
      </c>
      <c r="AR31" s="75">
        <v>0</v>
      </c>
    </row>
    <row r="32">
      <c r="AL32" s="40" t="inlineStr">
        <is>
          <t xml:space="preserve">Pedidos Expedidos OUT por veículo</t>
        </is>
      </c>
      <c r="AM32" s="73" t="inlineStr">
        <is>
          <t xml:space="preserve">pedidos expedidos por veículo</t>
        </is>
      </c>
      <c r="AN32" s="74">
        <v>1</v>
      </c>
      <c r="AO32" s="75">
        <v>32</v>
      </c>
      <c r="AP32" s="75">
        <v>12</v>
      </c>
      <c r="AQ32" s="75">
        <v>4</v>
      </c>
      <c r="AR32" s="75">
        <v>11</v>
      </c>
    </row>
    <row r="33" ht="22" customHeight="1">
      <c r="A33" s="76" t="inlineStr">
        <is>
          <t xml:space="preserve">2 · COLUNAS DA BD — Sim = o cliente preenche · Não = coluna bloqueada na BD (cinza) e indicador fora do Monitoramento/Consol Mensal</t>
        </is>
      </c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AL33" s="40" t="inlineStr">
        <is>
          <t xml:space="preserve">Pedidos Faturados OUT</t>
        </is>
      </c>
      <c r="AM33" s="73" t="inlineStr">
        <is>
          <t xml:space="preserve">pedidos faturados</t>
        </is>
      </c>
      <c r="AN33" s="74">
        <v>0</v>
      </c>
      <c r="AO33" s="75">
        <v>33</v>
      </c>
      <c r="AP33" s="75">
        <v>13</v>
      </c>
      <c r="AQ33" s="75">
        <v>0</v>
      </c>
      <c r="AR33" s="75">
        <v>0</v>
      </c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80" t="inlineStr">
        <is>
          <t xml:space="preserve">IN Veículos Recebidos</t>
        </is>
      </c>
      <c r="E34" s="80" t="inlineStr">
        <is>
          <t xml:space="preserve">IN Pallets Movimentados</t>
        </is>
      </c>
      <c r="F34" s="80" t="inlineStr">
        <is>
          <t xml:space="preserve">IN Toneladas Movimentadas</t>
        </is>
      </c>
      <c r="G34" s="80" t="inlineStr">
        <is>
          <t xml:space="preserve">IN Linhas NF</t>
        </is>
      </c>
      <c r="H34" s="80" t="inlineStr">
        <is>
          <t xml:space="preserve">IN Caixas Movimentadas</t>
        </is>
      </c>
      <c r="I34" s="80" t="inlineStr">
        <is>
          <t xml:space="preserve">IN Peças Movimentadas</t>
        </is>
      </c>
      <c r="J34" s="80" t="inlineStr">
        <is>
          <t xml:space="preserve">IN Itens Recebidos</t>
        </is>
      </c>
      <c r="K34" s="80" t="inlineStr">
        <is>
          <t xml:space="preserve">IN Itens Recebidos CX Mista</t>
        </is>
      </c>
      <c r="L34" s="80" t="inlineStr">
        <is>
          <t xml:space="preserve">IN Caixas Fechadas</t>
        </is>
      </c>
      <c r="M34" s="80" t="inlineStr">
        <is>
          <t xml:space="preserve">IN Caixas Mistas Recebidas</t>
        </is>
      </c>
      <c r="N34" s="81" t="inlineStr">
        <is>
          <t xml:space="preserve">OUT Veículos Expedidos</t>
        </is>
      </c>
      <c r="O34" s="81" t="inlineStr">
        <is>
          <t xml:space="preserve">OUT Pedidos Expedidos</t>
        </is>
      </c>
      <c r="P34" s="81" t="inlineStr">
        <is>
          <t xml:space="preserve">OUT Pedidos Faturados</t>
        </is>
      </c>
      <c r="Q34" s="81" t="inlineStr">
        <is>
          <t xml:space="preserve">OUT Itens Expedidos</t>
        </is>
      </c>
      <c r="R34" s="81" t="inlineStr">
        <is>
          <t xml:space="preserve">OUT Peças Movimentadas</t>
        </is>
      </c>
      <c r="S34" s="81" t="inlineStr">
        <is>
          <t xml:space="preserve">OUT Linhas NF</t>
        </is>
      </c>
      <c r="T34" s="81" t="inlineStr">
        <is>
          <t xml:space="preserve">OUT Caixas Expedidas</t>
        </is>
      </c>
      <c r="U34" s="81" t="inlineStr">
        <is>
          <t xml:space="preserve">OUT Pallets Movimentados</t>
        </is>
      </c>
      <c r="V34" s="81" t="inlineStr">
        <is>
          <t xml:space="preserve">OUT Toneladas Movimentadas</t>
        </is>
      </c>
      <c r="W34" s="82" t="inlineStr">
        <is>
          <t xml:space="preserve">NC Incidentes</t>
        </is>
      </c>
      <c r="X34" s="82" t="inlineStr">
        <is>
          <t xml:space="preserve">NC No show</t>
        </is>
      </c>
      <c r="Y34" s="82" t="inlineStr">
        <is>
          <t xml:space="preserve">NC Backlog</t>
        </is>
      </c>
      <c r="Z34" s="80" t="inlineStr">
        <is>
          <t xml:space="preserve">Posições Disponíveis</t>
        </is>
      </c>
      <c r="AA34" s="80" t="inlineStr">
        <is>
          <t xml:space="preserve">Posições Ocupadas</t>
        </is>
      </c>
      <c r="AB34" s="83" t="inlineStr">
        <is>
          <t xml:space="preserve">Efetivo Op.</t>
        </is>
      </c>
      <c r="AC34" s="83" t="inlineStr">
        <is>
          <t xml:space="preserve">Falta</t>
        </is>
      </c>
      <c r="AD34" s="83" t="inlineStr">
        <is>
          <t xml:space="preserve">Folga</t>
        </is>
      </c>
      <c r="AE34" s="83" t="inlineStr">
        <is>
          <t xml:space="preserve">Férias</t>
        </is>
      </c>
      <c r="AF34" s="83" t="inlineStr">
        <is>
          <t xml:space="preserve">Desligamento</t>
        </is>
      </c>
      <c r="AG34" s="83" t="inlineStr">
        <is>
          <t xml:space="preserve">Desvios Comportamentais</t>
        </is>
      </c>
      <c r="AH34" s="83" t="inlineStr">
        <is>
          <t xml:space="preserve">Acidentes CAF</t>
        </is>
      </c>
      <c r="AI34" s="83" t="inlineStr">
        <is>
          <t xml:space="preserve">Acidentes SAF</t>
        </is>
      </c>
      <c r="AL34" s="40" t="inlineStr">
        <is>
          <t xml:space="preserve">Pedidos Faturados OUT por veículo</t>
        </is>
      </c>
      <c r="AM34" s="73" t="inlineStr">
        <is>
          <t xml:space="preserve">pedidos faturados por veículo</t>
        </is>
      </c>
      <c r="AN34" s="74">
        <v>1</v>
      </c>
      <c r="AO34" s="75">
        <v>33</v>
      </c>
      <c r="AP34" s="75">
        <v>13</v>
      </c>
      <c r="AQ34" s="75">
        <v>4</v>
      </c>
      <c r="AR34" s="75">
        <v>11</v>
      </c>
    </row>
    <row r="35">
      <c r="A35" s="77">
        <v>1</v>
      </c>
      <c r="B35" s="78" t="str">
        <f>Config!$B$10&amp;""</f>
        <v>Alpargatas</v>
      </c>
      <c r="C35" s="78" t="str">
        <f>IF(Config!$B$10&amp;""="","",IF(Config!$C$10="","TPC",Config!$C$10))</f>
        <v>TPC</v>
      </c>
      <c r="D35" s="74" t="inlineStr">
        <is>
          <t xml:space="preserve">Sim</t>
        </is>
      </c>
      <c r="E35" s="74" t="inlineStr">
        <is>
          <t xml:space="preserve">Não</t>
        </is>
      </c>
      <c r="F35" s="74" t="inlineStr">
        <is>
          <t xml:space="preserve">Não</t>
        </is>
      </c>
      <c r="G35" s="74" t="inlineStr">
        <is>
          <t xml:space="preserve">Não</t>
        </is>
      </c>
      <c r="H35" s="74" t="inlineStr">
        <is>
          <t xml:space="preserve">Sim</t>
        </is>
      </c>
      <c r="I35" s="74" t="inlineStr">
        <is>
          <t xml:space="preserve">Não</t>
        </is>
      </c>
      <c r="J35" s="74" t="inlineStr">
        <is>
          <t xml:space="preserve">Não</t>
        </is>
      </c>
      <c r="K35" s="74" t="inlineStr">
        <is>
          <t xml:space="preserve">Não</t>
        </is>
      </c>
      <c r="L35" s="74" t="inlineStr">
        <is>
          <t xml:space="preserve">Não</t>
        </is>
      </c>
      <c r="M35" s="74" t="inlineStr">
        <is>
          <t xml:space="preserve">Não</t>
        </is>
      </c>
      <c r="N35" s="74" t="inlineStr">
        <is>
          <t xml:space="preserve">Sim</t>
        </is>
      </c>
      <c r="O35" s="74" t="inlineStr">
        <is>
          <t xml:space="preserve">Não</t>
        </is>
      </c>
      <c r="P35" s="74" t="inlineStr">
        <is>
          <t xml:space="preserve">Não</t>
        </is>
      </c>
      <c r="Q35" s="74" t="inlineStr">
        <is>
          <t xml:space="preserve">Não</t>
        </is>
      </c>
      <c r="R35" s="74" t="inlineStr">
        <is>
          <t xml:space="preserve">Não</t>
        </is>
      </c>
      <c r="S35" s="74" t="inlineStr">
        <is>
          <t xml:space="preserve">Não</t>
        </is>
      </c>
      <c r="T35" s="74" t="inlineStr">
        <is>
          <t xml:space="preserve">Sim</t>
        </is>
      </c>
      <c r="U35" s="74" t="inlineStr">
        <is>
          <t xml:space="preserve">Não</t>
        </is>
      </c>
      <c r="V35" s="74" t="inlineStr">
        <is>
          <t xml:space="preserve">Não</t>
        </is>
      </c>
      <c r="W35" s="74" t="inlineStr">
        <is>
          <t xml:space="preserve">Sim</t>
        </is>
      </c>
      <c r="X35" s="74" t="inlineStr">
        <is>
          <t xml:space="preserve">Sim</t>
        </is>
      </c>
      <c r="Y35" s="74" t="inlineStr">
        <is>
          <t xml:space="preserve">Sim</t>
        </is>
      </c>
      <c r="Z35" s="74" t="inlineStr">
        <is>
          <t xml:space="preserve">Sim</t>
        </is>
      </c>
      <c r="AA35" s="74" t="inlineStr">
        <is>
          <t xml:space="preserve">Sim</t>
        </is>
      </c>
      <c r="AB35" s="74" t="inlineStr">
        <is>
          <t xml:space="preserve">Sim</t>
        </is>
      </c>
      <c r="AC35" s="74" t="inlineStr">
        <is>
          <t xml:space="preserve">Sim</t>
        </is>
      </c>
      <c r="AD35" s="74" t="inlineStr">
        <is>
          <t xml:space="preserve">Sim</t>
        </is>
      </c>
      <c r="AE35" s="74" t="inlineStr">
        <is>
          <t xml:space="preserve">Sim</t>
        </is>
      </c>
      <c r="AF35" s="74" t="inlineStr">
        <is>
          <t xml:space="preserve">Sim</t>
        </is>
      </c>
      <c r="AG35" s="74" t="inlineStr">
        <is>
          <t xml:space="preserve">Sim</t>
        </is>
      </c>
      <c r="AH35" s="74" t="inlineStr">
        <is>
          <t xml:space="preserve">Sim</t>
        </is>
      </c>
      <c r="AI35" s="74" t="inlineStr">
        <is>
          <t xml:space="preserve">Sim</t>
        </is>
      </c>
      <c r="AL35" s="40" t="inlineStr">
        <is>
          <t xml:space="preserve">Itens Expedidos OUT</t>
        </is>
      </c>
      <c r="AM35" s="73" t="inlineStr">
        <is>
          <t xml:space="preserve">itens expedidos</t>
        </is>
      </c>
      <c r="AN35" s="74">
        <v>0</v>
      </c>
      <c r="AO35" s="75">
        <v>34</v>
      </c>
      <c r="AP35" s="75">
        <v>14</v>
      </c>
      <c r="AQ35" s="75">
        <v>0</v>
      </c>
      <c r="AR35" s="75">
        <v>0</v>
      </c>
    </row>
    <row r="36">
      <c r="A36" s="77">
        <v>2</v>
      </c>
      <c r="B36" s="78" t="str">
        <f>Config!$B$11&amp;""</f>
        <v>Basf</v>
      </c>
      <c r="C36" s="78" t="str">
        <f>IF(Config!$B$11&amp;""="","",IF(Config!$C$11="","TPC",Config!$C$11))</f>
        <v>TPC</v>
      </c>
      <c r="D36" s="74" t="inlineStr">
        <is>
          <t xml:space="preserve">Sim</t>
        </is>
      </c>
      <c r="E36" s="74" t="inlineStr">
        <is>
          <t xml:space="preserve">Sim</t>
        </is>
      </c>
      <c r="F36" s="74" t="inlineStr">
        <is>
          <t xml:space="preserve">Sim</t>
        </is>
      </c>
      <c r="G36" s="74" t="inlineStr">
        <is>
          <t xml:space="preserve">Não</t>
        </is>
      </c>
      <c r="H36" s="74" t="inlineStr">
        <is>
          <t xml:space="preserve">Não</t>
        </is>
      </c>
      <c r="I36" s="74" t="inlineStr">
        <is>
          <t xml:space="preserve">Não</t>
        </is>
      </c>
      <c r="J36" s="74" t="inlineStr">
        <is>
          <t xml:space="preserve">Não</t>
        </is>
      </c>
      <c r="K36" s="74" t="inlineStr">
        <is>
          <t xml:space="preserve">Não</t>
        </is>
      </c>
      <c r="L36" s="74" t="inlineStr">
        <is>
          <t xml:space="preserve">Não</t>
        </is>
      </c>
      <c r="M36" s="74" t="inlineStr">
        <is>
          <t xml:space="preserve">Não</t>
        </is>
      </c>
      <c r="N36" s="74" t="inlineStr">
        <is>
          <t xml:space="preserve">Sim</t>
        </is>
      </c>
      <c r="O36" s="74" t="inlineStr">
        <is>
          <t xml:space="preserve">Não</t>
        </is>
      </c>
      <c r="P36" s="74" t="inlineStr">
        <is>
          <t xml:space="preserve">Não</t>
        </is>
      </c>
      <c r="Q36" s="74" t="inlineStr">
        <is>
          <t xml:space="preserve">Não</t>
        </is>
      </c>
      <c r="R36" s="74" t="inlineStr">
        <is>
          <t xml:space="preserve">Não</t>
        </is>
      </c>
      <c r="S36" s="74" t="inlineStr">
        <is>
          <t xml:space="preserve">Não</t>
        </is>
      </c>
      <c r="T36" s="74" t="inlineStr">
        <is>
          <t xml:space="preserve">Não</t>
        </is>
      </c>
      <c r="U36" s="74" t="inlineStr">
        <is>
          <t xml:space="preserve">Sim</t>
        </is>
      </c>
      <c r="V36" s="74" t="inlineStr">
        <is>
          <t xml:space="preserve">Sim</t>
        </is>
      </c>
      <c r="W36" s="74" t="inlineStr">
        <is>
          <t xml:space="preserve">Sim</t>
        </is>
      </c>
      <c r="X36" s="74" t="inlineStr">
        <is>
          <t xml:space="preserve">Sim</t>
        </is>
      </c>
      <c r="Y36" s="74" t="inlineStr">
        <is>
          <t xml:space="preserve">Sim</t>
        </is>
      </c>
      <c r="Z36" s="74" t="inlineStr">
        <is>
          <t xml:space="preserve">Sim</t>
        </is>
      </c>
      <c r="AA36" s="74" t="inlineStr">
        <is>
          <t xml:space="preserve">Sim</t>
        </is>
      </c>
      <c r="AB36" s="74" t="inlineStr">
        <is>
          <t xml:space="preserve">Sim</t>
        </is>
      </c>
      <c r="AC36" s="74" t="inlineStr">
        <is>
          <t xml:space="preserve">Sim</t>
        </is>
      </c>
      <c r="AD36" s="74" t="inlineStr">
        <is>
          <t xml:space="preserve">Sim</t>
        </is>
      </c>
      <c r="AE36" s="74" t="inlineStr">
        <is>
          <t xml:space="preserve">Sim</t>
        </is>
      </c>
      <c r="AF36" s="74" t="inlineStr">
        <is>
          <t xml:space="preserve">Sim</t>
        </is>
      </c>
      <c r="AG36" s="74" t="inlineStr">
        <is>
          <t xml:space="preserve">Sim</t>
        </is>
      </c>
      <c r="AH36" s="74" t="inlineStr">
        <is>
          <t xml:space="preserve">Sim</t>
        </is>
      </c>
      <c r="AI36" s="74" t="inlineStr">
        <is>
          <t xml:space="preserve">Sim</t>
        </is>
      </c>
      <c r="AL36" s="40" t="inlineStr">
        <is>
          <t xml:space="preserve">Itens Expedidos OUT por veículo</t>
        </is>
      </c>
      <c r="AM36" s="73" t="inlineStr">
        <is>
          <t xml:space="preserve">itens expedidos por veículo</t>
        </is>
      </c>
      <c r="AN36" s="74">
        <v>1</v>
      </c>
      <c r="AO36" s="75">
        <v>34</v>
      </c>
      <c r="AP36" s="75">
        <v>14</v>
      </c>
      <c r="AQ36" s="75">
        <v>4</v>
      </c>
      <c r="AR36" s="75">
        <v>11</v>
      </c>
    </row>
    <row r="37">
      <c r="A37" s="77">
        <v>3</v>
      </c>
      <c r="B37" s="78" t="str">
        <f>Config!$B$12&amp;""</f>
        <v>Beautybiz</v>
      </c>
      <c r="C37" s="78" t="str">
        <f>IF(Config!$B$12&amp;""="","",IF(Config!$C$12="","TPC",Config!$C$12))</f>
        <v>TPC</v>
      </c>
      <c r="D37" s="74" t="inlineStr">
        <is>
          <t xml:space="preserve">Sim</t>
        </is>
      </c>
      <c r="E37" s="74" t="inlineStr">
        <is>
          <t xml:space="preserve">Sim</t>
        </is>
      </c>
      <c r="F37" s="74" t="inlineStr">
        <is>
          <t xml:space="preserve">Não</t>
        </is>
      </c>
      <c r="G37" s="74" t="inlineStr">
        <is>
          <t xml:space="preserve">Não</t>
        </is>
      </c>
      <c r="H37" s="74" t="inlineStr">
        <is>
          <t xml:space="preserve">Sim</t>
        </is>
      </c>
      <c r="I37" s="74" t="inlineStr">
        <is>
          <t xml:space="preserve">Não</t>
        </is>
      </c>
      <c r="J37" s="74" t="inlineStr">
        <is>
          <t xml:space="preserve">Não</t>
        </is>
      </c>
      <c r="K37" s="74" t="inlineStr">
        <is>
          <t xml:space="preserve">Não</t>
        </is>
      </c>
      <c r="L37" s="74" t="inlineStr">
        <is>
          <t xml:space="preserve">Não</t>
        </is>
      </c>
      <c r="M37" s="74" t="inlineStr">
        <is>
          <t xml:space="preserve">Não</t>
        </is>
      </c>
      <c r="N37" s="74" t="inlineStr">
        <is>
          <t xml:space="preserve">Sim</t>
        </is>
      </c>
      <c r="O37" s="74" t="inlineStr">
        <is>
          <t xml:space="preserve">Sim</t>
        </is>
      </c>
      <c r="P37" s="74" t="inlineStr">
        <is>
          <t xml:space="preserve">Não</t>
        </is>
      </c>
      <c r="Q37" s="74" t="inlineStr">
        <is>
          <t xml:space="preserve">Não</t>
        </is>
      </c>
      <c r="R37" s="74" t="inlineStr">
        <is>
          <t xml:space="preserve">Não</t>
        </is>
      </c>
      <c r="S37" s="74" t="inlineStr">
        <is>
          <t xml:space="preserve">Não</t>
        </is>
      </c>
      <c r="T37" s="74" t="inlineStr">
        <is>
          <t xml:space="preserve">Não</t>
        </is>
      </c>
      <c r="U37" s="74" t="inlineStr">
        <is>
          <t xml:space="preserve">Sim</t>
        </is>
      </c>
      <c r="V37" s="74" t="inlineStr">
        <is>
          <t xml:space="preserve">Não</t>
        </is>
      </c>
      <c r="W37" s="74" t="inlineStr">
        <is>
          <t xml:space="preserve">Sim</t>
        </is>
      </c>
      <c r="X37" s="74" t="inlineStr">
        <is>
          <t xml:space="preserve">Sim</t>
        </is>
      </c>
      <c r="Y37" s="74" t="inlineStr">
        <is>
          <t xml:space="preserve">Sim</t>
        </is>
      </c>
      <c r="Z37" s="74" t="inlineStr">
        <is>
          <t xml:space="preserve">Sim</t>
        </is>
      </c>
      <c r="AA37" s="74" t="inlineStr">
        <is>
          <t xml:space="preserve">Sim</t>
        </is>
      </c>
      <c r="AB37" s="74" t="inlineStr">
        <is>
          <t xml:space="preserve">Sim</t>
        </is>
      </c>
      <c r="AC37" s="74" t="inlineStr">
        <is>
          <t xml:space="preserve">Sim</t>
        </is>
      </c>
      <c r="AD37" s="74" t="inlineStr">
        <is>
          <t xml:space="preserve">Sim</t>
        </is>
      </c>
      <c r="AE37" s="74" t="inlineStr">
        <is>
          <t xml:space="preserve">Sim</t>
        </is>
      </c>
      <c r="AF37" s="74" t="inlineStr">
        <is>
          <t xml:space="preserve">Sim</t>
        </is>
      </c>
      <c r="AG37" s="74" t="inlineStr">
        <is>
          <t xml:space="preserve">Sim</t>
        </is>
      </c>
      <c r="AH37" s="74" t="inlineStr">
        <is>
          <t xml:space="preserve">Sim</t>
        </is>
      </c>
      <c r="AI37" s="74" t="inlineStr">
        <is>
          <t xml:space="preserve">Sim</t>
        </is>
      </c>
      <c r="AL37" s="40" t="inlineStr">
        <is>
          <t xml:space="preserve">Peças Movimentadas OUT</t>
        </is>
      </c>
      <c r="AM37" s="73" t="inlineStr">
        <is>
          <t xml:space="preserve">peças movimentadas</t>
        </is>
      </c>
      <c r="AN37" s="74">
        <v>0</v>
      </c>
      <c r="AO37" s="75">
        <v>35</v>
      </c>
      <c r="AP37" s="75">
        <v>15</v>
      </c>
      <c r="AQ37" s="75">
        <v>0</v>
      </c>
      <c r="AR37" s="75">
        <v>0</v>
      </c>
    </row>
    <row r="38">
      <c r="A38" s="77">
        <v>4</v>
      </c>
      <c r="B38" s="78" t="str">
        <f>Config!$B$13&amp;""</f>
        <v>Boticário</v>
      </c>
      <c r="C38" s="78" t="str">
        <f>IF(Config!$B$13&amp;""="","",IF(Config!$C$13="","TPC",Config!$C$13))</f>
        <v>TPC</v>
      </c>
      <c r="D38" s="74" t="inlineStr">
        <is>
          <t xml:space="preserve">Sim</t>
        </is>
      </c>
      <c r="E38" s="74" t="inlineStr">
        <is>
          <t xml:space="preserve">Não</t>
        </is>
      </c>
      <c r="F38" s="74" t="inlineStr">
        <is>
          <t xml:space="preserve">Não</t>
        </is>
      </c>
      <c r="G38" s="74" t="inlineStr">
        <is>
          <t xml:space="preserve">Não</t>
        </is>
      </c>
      <c r="H38" s="74" t="inlineStr">
        <is>
          <t xml:space="preserve">Não</t>
        </is>
      </c>
      <c r="I38" s="74" t="inlineStr">
        <is>
          <t xml:space="preserve">Não</t>
        </is>
      </c>
      <c r="J38" s="74" t="inlineStr">
        <is>
          <t xml:space="preserve">Não</t>
        </is>
      </c>
      <c r="K38" s="74" t="inlineStr">
        <is>
          <t xml:space="preserve">Sim</t>
        </is>
      </c>
      <c r="L38" s="74" t="inlineStr">
        <is>
          <t xml:space="preserve">Sim</t>
        </is>
      </c>
      <c r="M38" s="74" t="inlineStr">
        <is>
          <t xml:space="preserve">Sim</t>
        </is>
      </c>
      <c r="N38" s="74" t="inlineStr">
        <is>
          <t xml:space="preserve">Sim</t>
        </is>
      </c>
      <c r="O38" s="74" t="inlineStr">
        <is>
          <t xml:space="preserve">Não</t>
        </is>
      </c>
      <c r="P38" s="74" t="inlineStr">
        <is>
          <t xml:space="preserve">Sim</t>
        </is>
      </c>
      <c r="Q38" s="74" t="inlineStr">
        <is>
          <t xml:space="preserve">Sim</t>
        </is>
      </c>
      <c r="R38" s="74" t="inlineStr">
        <is>
          <t xml:space="preserve">Não</t>
        </is>
      </c>
      <c r="S38" s="74" t="inlineStr">
        <is>
          <t xml:space="preserve">Não</t>
        </is>
      </c>
      <c r="T38" s="74" t="inlineStr">
        <is>
          <t xml:space="preserve">Não</t>
        </is>
      </c>
      <c r="U38" s="74" t="inlineStr">
        <is>
          <t xml:space="preserve">Sim</t>
        </is>
      </c>
      <c r="V38" s="74" t="inlineStr">
        <is>
          <t xml:space="preserve">Não</t>
        </is>
      </c>
      <c r="W38" s="74" t="inlineStr">
        <is>
          <t xml:space="preserve">Sim</t>
        </is>
      </c>
      <c r="X38" s="74" t="inlineStr">
        <is>
          <t xml:space="preserve">Sim</t>
        </is>
      </c>
      <c r="Y38" s="74" t="inlineStr">
        <is>
          <t xml:space="preserve">Sim</t>
        </is>
      </c>
      <c r="Z38" s="74" t="inlineStr">
        <is>
          <t xml:space="preserve">Sim</t>
        </is>
      </c>
      <c r="AA38" s="74" t="inlineStr">
        <is>
          <t xml:space="preserve">Sim</t>
        </is>
      </c>
      <c r="AB38" s="74" t="inlineStr">
        <is>
          <t xml:space="preserve">Sim</t>
        </is>
      </c>
      <c r="AC38" s="74" t="inlineStr">
        <is>
          <t xml:space="preserve">Sim</t>
        </is>
      </c>
      <c r="AD38" s="74" t="inlineStr">
        <is>
          <t xml:space="preserve">Sim</t>
        </is>
      </c>
      <c r="AE38" s="74" t="inlineStr">
        <is>
          <t xml:space="preserve">Sim</t>
        </is>
      </c>
      <c r="AF38" s="74" t="inlineStr">
        <is>
          <t xml:space="preserve">Sim</t>
        </is>
      </c>
      <c r="AG38" s="74" t="inlineStr">
        <is>
          <t xml:space="preserve">Sim</t>
        </is>
      </c>
      <c r="AH38" s="74" t="inlineStr">
        <is>
          <t xml:space="preserve">Sim</t>
        </is>
      </c>
      <c r="AI38" s="74" t="inlineStr">
        <is>
          <t xml:space="preserve">Sim</t>
        </is>
      </c>
      <c r="AL38" s="40" t="inlineStr">
        <is>
          <t xml:space="preserve">Peças Movimentadas OUT por veículo</t>
        </is>
      </c>
      <c r="AM38" s="73" t="inlineStr">
        <is>
          <t xml:space="preserve">peças movimentadas por veículo</t>
        </is>
      </c>
      <c r="AN38" s="74">
        <v>1</v>
      </c>
      <c r="AO38" s="75">
        <v>35</v>
      </c>
      <c r="AP38" s="75">
        <v>15</v>
      </c>
      <c r="AQ38" s="75">
        <v>4</v>
      </c>
      <c r="AR38" s="75">
        <v>11</v>
      </c>
    </row>
    <row r="39">
      <c r="A39" s="77">
        <v>5</v>
      </c>
      <c r="B39" s="78" t="str">
        <f>Config!$B$14&amp;""</f>
        <v>Confiance</v>
      </c>
      <c r="C39" s="78" t="str">
        <f>IF(Config!$B$14&amp;""="","",IF(Config!$C$14="","TPC",Config!$C$14))</f>
        <v>TPC</v>
      </c>
      <c r="D39" s="74" t="inlineStr">
        <is>
          <t xml:space="preserve">Sim</t>
        </is>
      </c>
      <c r="E39" s="74" t="inlineStr">
        <is>
          <t xml:space="preserve">Sim</t>
        </is>
      </c>
      <c r="F39" s="74" t="inlineStr">
        <is>
          <t xml:space="preserve">Sim</t>
        </is>
      </c>
      <c r="G39" s="74" t="inlineStr">
        <is>
          <t xml:space="preserve">Não</t>
        </is>
      </c>
      <c r="H39" s="74" t="inlineStr">
        <is>
          <t xml:space="preserve">Não</t>
        </is>
      </c>
      <c r="I39" s="74" t="inlineStr">
        <is>
          <t xml:space="preserve">Não</t>
        </is>
      </c>
      <c r="J39" s="74" t="inlineStr">
        <is>
          <t xml:space="preserve">Não</t>
        </is>
      </c>
      <c r="K39" s="74" t="inlineStr">
        <is>
          <t xml:space="preserve">Não</t>
        </is>
      </c>
      <c r="L39" s="74" t="inlineStr">
        <is>
          <t xml:space="preserve">Não</t>
        </is>
      </c>
      <c r="M39" s="74" t="inlineStr">
        <is>
          <t xml:space="preserve">Não</t>
        </is>
      </c>
      <c r="N39" s="74" t="inlineStr">
        <is>
          <t xml:space="preserve">Sim</t>
        </is>
      </c>
      <c r="O39" s="74" t="inlineStr">
        <is>
          <t xml:space="preserve">Não</t>
        </is>
      </c>
      <c r="P39" s="74" t="inlineStr">
        <is>
          <t xml:space="preserve">Não</t>
        </is>
      </c>
      <c r="Q39" s="74" t="inlineStr">
        <is>
          <t xml:space="preserve">Não</t>
        </is>
      </c>
      <c r="R39" s="74" t="inlineStr">
        <is>
          <t xml:space="preserve">Não</t>
        </is>
      </c>
      <c r="S39" s="74" t="inlineStr">
        <is>
          <t xml:space="preserve">Não</t>
        </is>
      </c>
      <c r="T39" s="74" t="inlineStr">
        <is>
          <t xml:space="preserve">Não</t>
        </is>
      </c>
      <c r="U39" s="74" t="inlineStr">
        <is>
          <t xml:space="preserve">Sim</t>
        </is>
      </c>
      <c r="V39" s="74" t="inlineStr">
        <is>
          <t xml:space="preserve">Sim</t>
        </is>
      </c>
      <c r="W39" s="74" t="inlineStr">
        <is>
          <t xml:space="preserve">Sim</t>
        </is>
      </c>
      <c r="X39" s="74" t="inlineStr">
        <is>
          <t xml:space="preserve">Sim</t>
        </is>
      </c>
      <c r="Y39" s="74" t="inlineStr">
        <is>
          <t xml:space="preserve">Sim</t>
        </is>
      </c>
      <c r="Z39" s="74" t="inlineStr">
        <is>
          <t xml:space="preserve">Sim</t>
        </is>
      </c>
      <c r="AA39" s="74" t="inlineStr">
        <is>
          <t xml:space="preserve">Sim</t>
        </is>
      </c>
      <c r="AB39" s="74" t="inlineStr">
        <is>
          <t xml:space="preserve">Sim</t>
        </is>
      </c>
      <c r="AC39" s="74" t="inlineStr">
        <is>
          <t xml:space="preserve">Sim</t>
        </is>
      </c>
      <c r="AD39" s="74" t="inlineStr">
        <is>
          <t xml:space="preserve">Sim</t>
        </is>
      </c>
      <c r="AE39" s="74" t="inlineStr">
        <is>
          <t xml:space="preserve">Sim</t>
        </is>
      </c>
      <c r="AF39" s="74" t="inlineStr">
        <is>
          <t xml:space="preserve">Sim</t>
        </is>
      </c>
      <c r="AG39" s="74" t="inlineStr">
        <is>
          <t xml:space="preserve">Sim</t>
        </is>
      </c>
      <c r="AH39" s="74" t="inlineStr">
        <is>
          <t xml:space="preserve">Sim</t>
        </is>
      </c>
      <c r="AI39" s="74" t="inlineStr">
        <is>
          <t xml:space="preserve">Sim</t>
        </is>
      </c>
      <c r="AL39" s="40" t="inlineStr">
        <is>
          <t xml:space="preserve">Linhas NF OUT</t>
        </is>
      </c>
      <c r="AM39" s="73" t="inlineStr">
        <is>
          <t xml:space="preserve">linhas NF</t>
        </is>
      </c>
      <c r="AN39" s="74">
        <v>0</v>
      </c>
      <c r="AO39" s="75">
        <v>36</v>
      </c>
      <c r="AP39" s="75">
        <v>16</v>
      </c>
      <c r="AQ39" s="75">
        <v>0</v>
      </c>
      <c r="AR39" s="75">
        <v>0</v>
      </c>
    </row>
    <row r="40">
      <c r="A40" s="77">
        <v>6</v>
      </c>
      <c r="B40" s="78" t="str">
        <f>Config!$B$15&amp;""</f>
        <v>GE Vernova</v>
      </c>
      <c r="C40" s="78" t="str">
        <f>IF(Config!$B$15&amp;""="","",IF(Config!$C$15="","TPC",Config!$C$15))</f>
        <v>TPC</v>
      </c>
      <c r="D40" s="74" t="inlineStr">
        <is>
          <t xml:space="preserve">Sim</t>
        </is>
      </c>
      <c r="E40" s="74" t="inlineStr">
        <is>
          <t xml:space="preserve">Sim</t>
        </is>
      </c>
      <c r="F40" s="74" t="inlineStr">
        <is>
          <t xml:space="preserve">Não</t>
        </is>
      </c>
      <c r="G40" s="74" t="inlineStr">
        <is>
          <t xml:space="preserve">Sim</t>
        </is>
      </c>
      <c r="H40" s="74" t="inlineStr">
        <is>
          <t xml:space="preserve">Não</t>
        </is>
      </c>
      <c r="I40" s="74" t="inlineStr">
        <is>
          <t xml:space="preserve">Sim</t>
        </is>
      </c>
      <c r="J40" s="74" t="inlineStr">
        <is>
          <t xml:space="preserve">Não</t>
        </is>
      </c>
      <c r="K40" s="74" t="inlineStr">
        <is>
          <t xml:space="preserve">Não</t>
        </is>
      </c>
      <c r="L40" s="74" t="inlineStr">
        <is>
          <t xml:space="preserve">Não</t>
        </is>
      </c>
      <c r="M40" s="74" t="inlineStr">
        <is>
          <t xml:space="preserve">Não</t>
        </is>
      </c>
      <c r="N40" s="74" t="inlineStr">
        <is>
          <t xml:space="preserve">Sim</t>
        </is>
      </c>
      <c r="O40" s="74" t="inlineStr">
        <is>
          <t xml:space="preserve">Não</t>
        </is>
      </c>
      <c r="P40" s="74" t="inlineStr">
        <is>
          <t xml:space="preserve">Não</t>
        </is>
      </c>
      <c r="Q40" s="74" t="inlineStr">
        <is>
          <t xml:space="preserve">Não</t>
        </is>
      </c>
      <c r="R40" s="74" t="inlineStr">
        <is>
          <t xml:space="preserve">Sim</t>
        </is>
      </c>
      <c r="S40" s="74" t="inlineStr">
        <is>
          <t xml:space="preserve">Sim</t>
        </is>
      </c>
      <c r="T40" s="74" t="inlineStr">
        <is>
          <t xml:space="preserve">Não</t>
        </is>
      </c>
      <c r="U40" s="74" t="inlineStr">
        <is>
          <t xml:space="preserve">Sim</t>
        </is>
      </c>
      <c r="V40" s="74" t="inlineStr">
        <is>
          <t xml:space="preserve">Não</t>
        </is>
      </c>
      <c r="W40" s="74" t="inlineStr">
        <is>
          <t xml:space="preserve">Sim</t>
        </is>
      </c>
      <c r="X40" s="74" t="inlineStr">
        <is>
          <t xml:space="preserve">Sim</t>
        </is>
      </c>
      <c r="Y40" s="74" t="inlineStr">
        <is>
          <t xml:space="preserve">Sim</t>
        </is>
      </c>
      <c r="Z40" s="74" t="inlineStr">
        <is>
          <t xml:space="preserve">Sim</t>
        </is>
      </c>
      <c r="AA40" s="74" t="inlineStr">
        <is>
          <t xml:space="preserve">Sim</t>
        </is>
      </c>
      <c r="AB40" s="74" t="inlineStr">
        <is>
          <t xml:space="preserve">Sim</t>
        </is>
      </c>
      <c r="AC40" s="74" t="inlineStr">
        <is>
          <t xml:space="preserve">Sim</t>
        </is>
      </c>
      <c r="AD40" s="74" t="inlineStr">
        <is>
          <t xml:space="preserve">Sim</t>
        </is>
      </c>
      <c r="AE40" s="74" t="inlineStr">
        <is>
          <t xml:space="preserve">Sim</t>
        </is>
      </c>
      <c r="AF40" s="74" t="inlineStr">
        <is>
          <t xml:space="preserve">Sim</t>
        </is>
      </c>
      <c r="AG40" s="74" t="inlineStr">
        <is>
          <t xml:space="preserve">Sim</t>
        </is>
      </c>
      <c r="AH40" s="74" t="inlineStr">
        <is>
          <t xml:space="preserve">Sim</t>
        </is>
      </c>
      <c r="AI40" s="74" t="inlineStr">
        <is>
          <t xml:space="preserve">Sim</t>
        </is>
      </c>
      <c r="AL40" s="40" t="inlineStr">
        <is>
          <t xml:space="preserve">Linhas NF OUT por veículo</t>
        </is>
      </c>
      <c r="AM40" s="73" t="inlineStr">
        <is>
          <t xml:space="preserve">linhas NF por veículo</t>
        </is>
      </c>
      <c r="AN40" s="74">
        <v>1</v>
      </c>
      <c r="AO40" s="75">
        <v>36</v>
      </c>
      <c r="AP40" s="75">
        <v>16</v>
      </c>
      <c r="AQ40" s="75">
        <v>4</v>
      </c>
      <c r="AR40" s="75">
        <v>11</v>
      </c>
    </row>
    <row r="41">
      <c r="A41" s="77">
        <v>7</v>
      </c>
      <c r="B41" s="78" t="str">
        <f>Config!$B$16&amp;""</f>
        <v>Omnilife</v>
      </c>
      <c r="C41" s="78" t="str">
        <f>IF(Config!$B$16&amp;""="","",IF(Config!$C$16="","TPC",Config!$C$16))</f>
        <v>TPC</v>
      </c>
      <c r="D41" s="74" t="inlineStr">
        <is>
          <t xml:space="preserve">Sim</t>
        </is>
      </c>
      <c r="E41" s="74" t="inlineStr">
        <is>
          <t xml:space="preserve">Sim</t>
        </is>
      </c>
      <c r="F41" s="74" t="inlineStr">
        <is>
          <t xml:space="preserve">Não</t>
        </is>
      </c>
      <c r="G41" s="74" t="inlineStr">
        <is>
          <t xml:space="preserve">Não</t>
        </is>
      </c>
      <c r="H41" s="74" t="inlineStr">
        <is>
          <t xml:space="preserve">Não</t>
        </is>
      </c>
      <c r="I41" s="74" t="inlineStr">
        <is>
          <t xml:space="preserve">Não</t>
        </is>
      </c>
      <c r="J41" s="74" t="inlineStr">
        <is>
          <t xml:space="preserve">Não</t>
        </is>
      </c>
      <c r="K41" s="74" t="inlineStr">
        <is>
          <t xml:space="preserve">Não</t>
        </is>
      </c>
      <c r="L41" s="74" t="inlineStr">
        <is>
          <t xml:space="preserve">Não</t>
        </is>
      </c>
      <c r="M41" s="74" t="inlineStr">
        <is>
          <t xml:space="preserve">Não</t>
        </is>
      </c>
      <c r="N41" s="74" t="inlineStr">
        <is>
          <t xml:space="preserve">Sim</t>
        </is>
      </c>
      <c r="O41" s="74" t="inlineStr">
        <is>
          <t xml:space="preserve">Não</t>
        </is>
      </c>
      <c r="P41" s="74" t="inlineStr">
        <is>
          <t xml:space="preserve">Não</t>
        </is>
      </c>
      <c r="Q41" s="74" t="inlineStr">
        <is>
          <t xml:space="preserve">Não</t>
        </is>
      </c>
      <c r="R41" s="74" t="inlineStr">
        <is>
          <t xml:space="preserve">Não</t>
        </is>
      </c>
      <c r="S41" s="74" t="inlineStr">
        <is>
          <t xml:space="preserve">Não</t>
        </is>
      </c>
      <c r="T41" s="74" t="inlineStr">
        <is>
          <t xml:space="preserve">Não</t>
        </is>
      </c>
      <c r="U41" s="74" t="inlineStr">
        <is>
          <t xml:space="preserve">Sim</t>
        </is>
      </c>
      <c r="V41" s="74" t="inlineStr">
        <is>
          <t xml:space="preserve">Não</t>
        </is>
      </c>
      <c r="W41" s="74" t="inlineStr">
        <is>
          <t xml:space="preserve">Sim</t>
        </is>
      </c>
      <c r="X41" s="74" t="inlineStr">
        <is>
          <t xml:space="preserve">Sim</t>
        </is>
      </c>
      <c r="Y41" s="74" t="inlineStr">
        <is>
          <t xml:space="preserve">Sim</t>
        </is>
      </c>
      <c r="Z41" s="74" t="inlineStr">
        <is>
          <t xml:space="preserve">Sim</t>
        </is>
      </c>
      <c r="AA41" s="74" t="inlineStr">
        <is>
          <t xml:space="preserve">Sim</t>
        </is>
      </c>
      <c r="AB41" s="74" t="inlineStr">
        <is>
          <t xml:space="preserve">Sim</t>
        </is>
      </c>
      <c r="AC41" s="74" t="inlineStr">
        <is>
          <t xml:space="preserve">Sim</t>
        </is>
      </c>
      <c r="AD41" s="74" t="inlineStr">
        <is>
          <t xml:space="preserve">Sim</t>
        </is>
      </c>
      <c r="AE41" s="74" t="inlineStr">
        <is>
          <t xml:space="preserve">Sim</t>
        </is>
      </c>
      <c r="AF41" s="74" t="inlineStr">
        <is>
          <t xml:space="preserve">Sim</t>
        </is>
      </c>
      <c r="AG41" s="74" t="inlineStr">
        <is>
          <t xml:space="preserve">Sim</t>
        </is>
      </c>
      <c r="AH41" s="74" t="inlineStr">
        <is>
          <t xml:space="preserve">Sim</t>
        </is>
      </c>
      <c r="AI41" s="74" t="inlineStr">
        <is>
          <t xml:space="preserve">Sim</t>
        </is>
      </c>
      <c r="AL41" s="40" t="inlineStr">
        <is>
          <t xml:space="preserve">Caixas Expedidas OUT</t>
        </is>
      </c>
      <c r="AM41" s="73" t="inlineStr">
        <is>
          <t xml:space="preserve">caixas expedidas</t>
        </is>
      </c>
      <c r="AN41" s="74">
        <v>0</v>
      </c>
      <c r="AO41" s="75">
        <v>37</v>
      </c>
      <c r="AP41" s="75">
        <v>17</v>
      </c>
      <c r="AQ41" s="75">
        <v>0</v>
      </c>
      <c r="AR41" s="75">
        <v>0</v>
      </c>
    </row>
    <row r="42">
      <c r="A42" s="77">
        <v>8</v>
      </c>
      <c r="B42" s="78" t="str">
        <f>Config!$B$17&amp;""</f>
        <v>Supply</v>
      </c>
      <c r="C42" s="78" t="str">
        <f>IF(Config!$B$17&amp;""="","",IF(Config!$C$17="","TPC",Config!$C$17))</f>
        <v>TPC</v>
      </c>
      <c r="D42" s="74" t="inlineStr">
        <is>
          <t xml:space="preserve">Sim</t>
        </is>
      </c>
      <c r="E42" s="74" t="inlineStr">
        <is>
          <t xml:space="preserve">Sim</t>
        </is>
      </c>
      <c r="F42" s="74" t="inlineStr">
        <is>
          <t xml:space="preserve">Sim</t>
        </is>
      </c>
      <c r="G42" s="74" t="inlineStr">
        <is>
          <t xml:space="preserve">Não</t>
        </is>
      </c>
      <c r="H42" s="74" t="inlineStr">
        <is>
          <t xml:space="preserve">Não</t>
        </is>
      </c>
      <c r="I42" s="74" t="inlineStr">
        <is>
          <t xml:space="preserve">Não</t>
        </is>
      </c>
      <c r="J42" s="74" t="inlineStr">
        <is>
          <t xml:space="preserve">Não</t>
        </is>
      </c>
      <c r="K42" s="74" t="inlineStr">
        <is>
          <t xml:space="preserve">Não</t>
        </is>
      </c>
      <c r="L42" s="74" t="inlineStr">
        <is>
          <t xml:space="preserve">Não</t>
        </is>
      </c>
      <c r="M42" s="74" t="inlineStr">
        <is>
          <t xml:space="preserve">Não</t>
        </is>
      </c>
      <c r="N42" s="74" t="inlineStr">
        <is>
          <t xml:space="preserve">Sim</t>
        </is>
      </c>
      <c r="O42" s="74" t="inlineStr">
        <is>
          <t xml:space="preserve">Não</t>
        </is>
      </c>
      <c r="P42" s="74" t="inlineStr">
        <is>
          <t xml:space="preserve">Não</t>
        </is>
      </c>
      <c r="Q42" s="74" t="inlineStr">
        <is>
          <t xml:space="preserve">Não</t>
        </is>
      </c>
      <c r="R42" s="74" t="inlineStr">
        <is>
          <t xml:space="preserve">Não</t>
        </is>
      </c>
      <c r="S42" s="74" t="inlineStr">
        <is>
          <t xml:space="preserve">Não</t>
        </is>
      </c>
      <c r="T42" s="74" t="inlineStr">
        <is>
          <t xml:space="preserve">Não</t>
        </is>
      </c>
      <c r="U42" s="74" t="inlineStr">
        <is>
          <t xml:space="preserve">Sim</t>
        </is>
      </c>
      <c r="V42" s="74" t="inlineStr">
        <is>
          <t xml:space="preserve">Sim</t>
        </is>
      </c>
      <c r="W42" s="74" t="inlineStr">
        <is>
          <t xml:space="preserve">Sim</t>
        </is>
      </c>
      <c r="X42" s="74" t="inlineStr">
        <is>
          <t xml:space="preserve">Sim</t>
        </is>
      </c>
      <c r="Y42" s="74" t="inlineStr">
        <is>
          <t xml:space="preserve">Sim</t>
        </is>
      </c>
      <c r="Z42" s="74" t="inlineStr">
        <is>
          <t xml:space="preserve">Sim</t>
        </is>
      </c>
      <c r="AA42" s="74" t="inlineStr">
        <is>
          <t xml:space="preserve">Sim</t>
        </is>
      </c>
      <c r="AB42" s="74" t="inlineStr">
        <is>
          <t xml:space="preserve">Sim</t>
        </is>
      </c>
      <c r="AC42" s="74" t="inlineStr">
        <is>
          <t xml:space="preserve">Sim</t>
        </is>
      </c>
      <c r="AD42" s="74" t="inlineStr">
        <is>
          <t xml:space="preserve">Sim</t>
        </is>
      </c>
      <c r="AE42" s="74" t="inlineStr">
        <is>
          <t xml:space="preserve">Sim</t>
        </is>
      </c>
      <c r="AF42" s="74" t="inlineStr">
        <is>
          <t xml:space="preserve">Sim</t>
        </is>
      </c>
      <c r="AG42" s="74" t="inlineStr">
        <is>
          <t xml:space="preserve">Sim</t>
        </is>
      </c>
      <c r="AH42" s="74" t="inlineStr">
        <is>
          <t xml:space="preserve">Sim</t>
        </is>
      </c>
      <c r="AI42" s="74" t="inlineStr">
        <is>
          <t xml:space="preserve">Sim</t>
        </is>
      </c>
      <c r="AL42" s="40" t="inlineStr">
        <is>
          <t xml:space="preserve">Caixas Expedidas OUT por veículo</t>
        </is>
      </c>
      <c r="AM42" s="73" t="inlineStr">
        <is>
          <t xml:space="preserve">caixas expedidas por veículo</t>
        </is>
      </c>
      <c r="AN42" s="74">
        <v>1</v>
      </c>
      <c r="AO42" s="75">
        <v>37</v>
      </c>
      <c r="AP42" s="75">
        <v>17</v>
      </c>
      <c r="AQ42" s="75">
        <v>4</v>
      </c>
      <c r="AR42" s="75">
        <v>11</v>
      </c>
    </row>
    <row r="43">
      <c r="A43" s="77">
        <v>9</v>
      </c>
      <c r="B43" s="78" t="str">
        <f>Config!$B$18&amp;""</f>
        <v>Vedacit</v>
      </c>
      <c r="C43" s="78" t="str">
        <f>IF(Config!$B$18&amp;""="","",IF(Config!$C$18="","TPC",Config!$C$18))</f>
        <v>TPC</v>
      </c>
      <c r="D43" s="74" t="inlineStr">
        <is>
          <t xml:space="preserve">Sim</t>
        </is>
      </c>
      <c r="E43" s="74" t="inlineStr">
        <is>
          <t xml:space="preserve">Sim</t>
        </is>
      </c>
      <c r="F43" s="74" t="inlineStr">
        <is>
          <t xml:space="preserve">Não</t>
        </is>
      </c>
      <c r="G43" s="74" t="inlineStr">
        <is>
          <t xml:space="preserve">Não</t>
        </is>
      </c>
      <c r="H43" s="74" t="inlineStr">
        <is>
          <t xml:space="preserve">Não</t>
        </is>
      </c>
      <c r="I43" s="74" t="inlineStr">
        <is>
          <t xml:space="preserve">Não</t>
        </is>
      </c>
      <c r="J43" s="74" t="inlineStr">
        <is>
          <t xml:space="preserve">Não</t>
        </is>
      </c>
      <c r="K43" s="74" t="inlineStr">
        <is>
          <t xml:space="preserve">Não</t>
        </is>
      </c>
      <c r="L43" s="74" t="inlineStr">
        <is>
          <t xml:space="preserve">Não</t>
        </is>
      </c>
      <c r="M43" s="74" t="inlineStr">
        <is>
          <t xml:space="preserve">Não</t>
        </is>
      </c>
      <c r="N43" s="74" t="inlineStr">
        <is>
          <t xml:space="preserve">Sim</t>
        </is>
      </c>
      <c r="O43" s="74" t="inlineStr">
        <is>
          <t xml:space="preserve">Não</t>
        </is>
      </c>
      <c r="P43" s="74" t="inlineStr">
        <is>
          <t xml:space="preserve">Não</t>
        </is>
      </c>
      <c r="Q43" s="74" t="inlineStr">
        <is>
          <t xml:space="preserve">Não</t>
        </is>
      </c>
      <c r="R43" s="74" t="inlineStr">
        <is>
          <t xml:space="preserve">Não</t>
        </is>
      </c>
      <c r="S43" s="74" t="inlineStr">
        <is>
          <t xml:space="preserve">Não</t>
        </is>
      </c>
      <c r="T43" s="74" t="inlineStr">
        <is>
          <t xml:space="preserve">Não</t>
        </is>
      </c>
      <c r="U43" s="74" t="inlineStr">
        <is>
          <t xml:space="preserve">Sim</t>
        </is>
      </c>
      <c r="V43" s="74" t="inlineStr">
        <is>
          <t xml:space="preserve">Não</t>
        </is>
      </c>
      <c r="W43" s="74" t="inlineStr">
        <is>
          <t xml:space="preserve">Sim</t>
        </is>
      </c>
      <c r="X43" s="74" t="inlineStr">
        <is>
          <t xml:space="preserve">Sim</t>
        </is>
      </c>
      <c r="Y43" s="74" t="inlineStr">
        <is>
          <t xml:space="preserve">Sim</t>
        </is>
      </c>
      <c r="Z43" s="74" t="inlineStr">
        <is>
          <t xml:space="preserve">Sim</t>
        </is>
      </c>
      <c r="AA43" s="74" t="inlineStr">
        <is>
          <t xml:space="preserve">Sim</t>
        </is>
      </c>
      <c r="AB43" s="74" t="inlineStr">
        <is>
          <t xml:space="preserve">Sim</t>
        </is>
      </c>
      <c r="AC43" s="74" t="inlineStr">
        <is>
          <t xml:space="preserve">Sim</t>
        </is>
      </c>
      <c r="AD43" s="74" t="inlineStr">
        <is>
          <t xml:space="preserve">Sim</t>
        </is>
      </c>
      <c r="AE43" s="74" t="inlineStr">
        <is>
          <t xml:space="preserve">Sim</t>
        </is>
      </c>
      <c r="AF43" s="74" t="inlineStr">
        <is>
          <t xml:space="preserve">Sim</t>
        </is>
      </c>
      <c r="AG43" s="74" t="inlineStr">
        <is>
          <t xml:space="preserve">Sim</t>
        </is>
      </c>
      <c r="AH43" s="74" t="inlineStr">
        <is>
          <t xml:space="preserve">Sim</t>
        </is>
      </c>
      <c r="AI43" s="74" t="inlineStr">
        <is>
          <t xml:space="preserve">Sim</t>
        </is>
      </c>
    </row>
    <row r="44">
      <c r="A44" s="77">
        <v>10</v>
      </c>
      <c r="B44" s="78" t="str">
        <f>Config!$B$19&amp;""</f>
        <v>Vestas</v>
      </c>
      <c r="C44" s="78" t="str">
        <f>IF(Config!$B$19&amp;""="","",IF(Config!$C$19="","TPC",Config!$C$19))</f>
        <v>TPC</v>
      </c>
      <c r="D44" s="74" t="inlineStr">
        <is>
          <t xml:space="preserve">Sim</t>
        </is>
      </c>
      <c r="E44" s="74" t="inlineStr">
        <is>
          <t xml:space="preserve">Não</t>
        </is>
      </c>
      <c r="F44" s="74" t="inlineStr">
        <is>
          <t xml:space="preserve">Não</t>
        </is>
      </c>
      <c r="G44" s="74" t="inlineStr">
        <is>
          <t xml:space="preserve">Sim</t>
        </is>
      </c>
      <c r="H44" s="74" t="inlineStr">
        <is>
          <t xml:space="preserve">Não</t>
        </is>
      </c>
      <c r="I44" s="74" t="inlineStr">
        <is>
          <t xml:space="preserve">Não</t>
        </is>
      </c>
      <c r="J44" s="74" t="inlineStr">
        <is>
          <t xml:space="preserve">Não</t>
        </is>
      </c>
      <c r="K44" s="74" t="inlineStr">
        <is>
          <t xml:space="preserve">Não</t>
        </is>
      </c>
      <c r="L44" s="74" t="inlineStr">
        <is>
          <t xml:space="preserve">Não</t>
        </is>
      </c>
      <c r="M44" s="74" t="inlineStr">
        <is>
          <t xml:space="preserve">Não</t>
        </is>
      </c>
      <c r="N44" s="74" t="inlineStr">
        <is>
          <t xml:space="preserve">Sim</t>
        </is>
      </c>
      <c r="O44" s="74" t="inlineStr">
        <is>
          <t xml:space="preserve">Não</t>
        </is>
      </c>
      <c r="P44" s="74" t="inlineStr">
        <is>
          <t xml:space="preserve">Não</t>
        </is>
      </c>
      <c r="Q44" s="74" t="inlineStr">
        <is>
          <t xml:space="preserve">Não</t>
        </is>
      </c>
      <c r="R44" s="74" t="inlineStr">
        <is>
          <t xml:space="preserve">Não</t>
        </is>
      </c>
      <c r="S44" s="74" t="inlineStr">
        <is>
          <t xml:space="preserve">Sim</t>
        </is>
      </c>
      <c r="T44" s="74" t="inlineStr">
        <is>
          <t xml:space="preserve">Não</t>
        </is>
      </c>
      <c r="U44" s="74" t="inlineStr">
        <is>
          <t xml:space="preserve">Não</t>
        </is>
      </c>
      <c r="V44" s="74" t="inlineStr">
        <is>
          <t xml:space="preserve">Não</t>
        </is>
      </c>
      <c r="W44" s="74" t="inlineStr">
        <is>
          <t xml:space="preserve">Sim</t>
        </is>
      </c>
      <c r="X44" s="74" t="inlineStr">
        <is>
          <t xml:space="preserve">Sim</t>
        </is>
      </c>
      <c r="Y44" s="74" t="inlineStr">
        <is>
          <t xml:space="preserve">Sim</t>
        </is>
      </c>
      <c r="Z44" s="74" t="inlineStr">
        <is>
          <t xml:space="preserve">Sim</t>
        </is>
      </c>
      <c r="AA44" s="74" t="inlineStr">
        <is>
          <t xml:space="preserve">Sim</t>
        </is>
      </c>
      <c r="AB44" s="74" t="inlineStr">
        <is>
          <t xml:space="preserve">Sim</t>
        </is>
      </c>
      <c r="AC44" s="74" t="inlineStr">
        <is>
          <t xml:space="preserve">Sim</t>
        </is>
      </c>
      <c r="AD44" s="74" t="inlineStr">
        <is>
          <t xml:space="preserve">Sim</t>
        </is>
      </c>
      <c r="AE44" s="74" t="inlineStr">
        <is>
          <t xml:space="preserve">Sim</t>
        </is>
      </c>
      <c r="AF44" s="74" t="inlineStr">
        <is>
          <t xml:space="preserve">Sim</t>
        </is>
      </c>
      <c r="AG44" s="74" t="inlineStr">
        <is>
          <t xml:space="preserve">Sim</t>
        </is>
      </c>
      <c r="AH44" s="74" t="inlineStr">
        <is>
          <t xml:space="preserve">Sim</t>
        </is>
      </c>
      <c r="AI44" s="74" t="inlineStr">
        <is>
          <t xml:space="preserve">Sim</t>
        </is>
      </c>
    </row>
    <row r="45">
      <c r="A45" s="77">
        <v>11</v>
      </c>
      <c r="B45" s="78" t="str">
        <f>Config!$B$20&amp;""</f>
        <v/>
      </c>
      <c r="C45" s="78" t="str">
        <f>IF(Config!$B$20&amp;""="","",IF(Config!$C$20="","TPC",Config!$C$20))</f>
        <v/>
      </c>
      <c r="D45" s="74" t="inlineStr">
        <is>
          <t xml:space="preserve">Sim</t>
        </is>
      </c>
      <c r="E45" s="74" t="inlineStr">
        <is>
          <t xml:space="preserve">Sim</t>
        </is>
      </c>
      <c r="F45" s="74" t="inlineStr">
        <is>
          <t xml:space="preserve">Sim</t>
        </is>
      </c>
      <c r="G45" s="74" t="inlineStr">
        <is>
          <t xml:space="preserve">Não</t>
        </is>
      </c>
      <c r="H45" s="74" t="inlineStr">
        <is>
          <t xml:space="preserve">Não</t>
        </is>
      </c>
      <c r="I45" s="74" t="inlineStr">
        <is>
          <t xml:space="preserve">Não</t>
        </is>
      </c>
      <c r="J45" s="74" t="inlineStr">
        <is>
          <t xml:space="preserve">Não</t>
        </is>
      </c>
      <c r="K45" s="74" t="inlineStr">
        <is>
          <t xml:space="preserve">Não</t>
        </is>
      </c>
      <c r="L45" s="74" t="inlineStr">
        <is>
          <t xml:space="preserve">Não</t>
        </is>
      </c>
      <c r="M45" s="74" t="inlineStr">
        <is>
          <t xml:space="preserve">Não</t>
        </is>
      </c>
      <c r="N45" s="74" t="inlineStr">
        <is>
          <t xml:space="preserve">Sim</t>
        </is>
      </c>
      <c r="O45" s="74" t="inlineStr">
        <is>
          <t xml:space="preserve">Não</t>
        </is>
      </c>
      <c r="P45" s="74" t="inlineStr">
        <is>
          <t xml:space="preserve">Não</t>
        </is>
      </c>
      <c r="Q45" s="74" t="inlineStr">
        <is>
          <t xml:space="preserve">Não</t>
        </is>
      </c>
      <c r="R45" s="74" t="inlineStr">
        <is>
          <t xml:space="preserve">Não</t>
        </is>
      </c>
      <c r="S45" s="74" t="inlineStr">
        <is>
          <t xml:space="preserve">Não</t>
        </is>
      </c>
      <c r="T45" s="74" t="inlineStr">
        <is>
          <t xml:space="preserve">Não</t>
        </is>
      </c>
      <c r="U45" s="74" t="inlineStr">
        <is>
          <t xml:space="preserve">Sim</t>
        </is>
      </c>
      <c r="V45" s="74" t="inlineStr">
        <is>
          <t xml:space="preserve">Sim</t>
        </is>
      </c>
      <c r="W45" s="74" t="inlineStr">
        <is>
          <t xml:space="preserve">Sim</t>
        </is>
      </c>
      <c r="X45" s="74" t="inlineStr">
        <is>
          <t xml:space="preserve">Sim</t>
        </is>
      </c>
      <c r="Y45" s="74" t="inlineStr">
        <is>
          <t xml:space="preserve">Sim</t>
        </is>
      </c>
      <c r="Z45" s="74" t="inlineStr">
        <is>
          <t xml:space="preserve">Sim</t>
        </is>
      </c>
      <c r="AA45" s="74" t="inlineStr">
        <is>
          <t xml:space="preserve">Sim</t>
        </is>
      </c>
      <c r="AB45" s="74" t="inlineStr">
        <is>
          <t xml:space="preserve">Sim</t>
        </is>
      </c>
      <c r="AC45" s="74" t="inlineStr">
        <is>
          <t xml:space="preserve">Sim</t>
        </is>
      </c>
      <c r="AD45" s="74" t="inlineStr">
        <is>
          <t xml:space="preserve">Sim</t>
        </is>
      </c>
      <c r="AE45" s="74" t="inlineStr">
        <is>
          <t xml:space="preserve">Sim</t>
        </is>
      </c>
      <c r="AF45" s="74" t="inlineStr">
        <is>
          <t xml:space="preserve">Sim</t>
        </is>
      </c>
      <c r="AG45" s="74" t="inlineStr">
        <is>
          <t xml:space="preserve">Sim</t>
        </is>
      </c>
      <c r="AH45" s="74" t="inlineStr">
        <is>
          <t xml:space="preserve">Sim</t>
        </is>
      </c>
      <c r="AI45" s="74" t="inlineStr">
        <is>
          <t xml:space="preserve">Sim</t>
        </is>
      </c>
    </row>
    <row r="46">
      <c r="A46" s="77">
        <v>12</v>
      </c>
      <c r="B46" s="78" t="str">
        <f>Config!$B$21&amp;""</f>
        <v/>
      </c>
      <c r="C46" s="78" t="str">
        <f>IF(Config!$B$21&amp;""="","",IF(Config!$C$21="","TPC",Config!$C$21))</f>
        <v/>
      </c>
      <c r="D46" s="74" t="inlineStr">
        <is>
          <t xml:space="preserve">Sim</t>
        </is>
      </c>
      <c r="E46" s="74" t="inlineStr">
        <is>
          <t xml:space="preserve">Sim</t>
        </is>
      </c>
      <c r="F46" s="74" t="inlineStr">
        <is>
          <t xml:space="preserve">Sim</t>
        </is>
      </c>
      <c r="G46" s="74" t="inlineStr">
        <is>
          <t xml:space="preserve">Não</t>
        </is>
      </c>
      <c r="H46" s="74" t="inlineStr">
        <is>
          <t xml:space="preserve">Não</t>
        </is>
      </c>
      <c r="I46" s="74" t="inlineStr">
        <is>
          <t xml:space="preserve">Não</t>
        </is>
      </c>
      <c r="J46" s="74" t="inlineStr">
        <is>
          <t xml:space="preserve">Não</t>
        </is>
      </c>
      <c r="K46" s="74" t="inlineStr">
        <is>
          <t xml:space="preserve">Não</t>
        </is>
      </c>
      <c r="L46" s="74" t="inlineStr">
        <is>
          <t xml:space="preserve">Não</t>
        </is>
      </c>
      <c r="M46" s="74" t="inlineStr">
        <is>
          <t xml:space="preserve">Não</t>
        </is>
      </c>
      <c r="N46" s="74" t="inlineStr">
        <is>
          <t xml:space="preserve">Sim</t>
        </is>
      </c>
      <c r="O46" s="74" t="inlineStr">
        <is>
          <t xml:space="preserve">Não</t>
        </is>
      </c>
      <c r="P46" s="74" t="inlineStr">
        <is>
          <t xml:space="preserve">Não</t>
        </is>
      </c>
      <c r="Q46" s="74" t="inlineStr">
        <is>
          <t xml:space="preserve">Não</t>
        </is>
      </c>
      <c r="R46" s="74" t="inlineStr">
        <is>
          <t xml:space="preserve">Não</t>
        </is>
      </c>
      <c r="S46" s="74" t="inlineStr">
        <is>
          <t xml:space="preserve">Não</t>
        </is>
      </c>
      <c r="T46" s="74" t="inlineStr">
        <is>
          <t xml:space="preserve">Não</t>
        </is>
      </c>
      <c r="U46" s="74" t="inlineStr">
        <is>
          <t xml:space="preserve">Sim</t>
        </is>
      </c>
      <c r="V46" s="74" t="inlineStr">
        <is>
          <t xml:space="preserve">Sim</t>
        </is>
      </c>
      <c r="W46" s="74" t="inlineStr">
        <is>
          <t xml:space="preserve">Sim</t>
        </is>
      </c>
      <c r="X46" s="74" t="inlineStr">
        <is>
          <t xml:space="preserve">Sim</t>
        </is>
      </c>
      <c r="Y46" s="74" t="inlineStr">
        <is>
          <t xml:space="preserve">Sim</t>
        </is>
      </c>
      <c r="Z46" s="74" t="inlineStr">
        <is>
          <t xml:space="preserve">Sim</t>
        </is>
      </c>
      <c r="AA46" s="74" t="inlineStr">
        <is>
          <t xml:space="preserve">Sim</t>
        </is>
      </c>
      <c r="AB46" s="74" t="inlineStr">
        <is>
          <t xml:space="preserve">Sim</t>
        </is>
      </c>
      <c r="AC46" s="74" t="inlineStr">
        <is>
          <t xml:space="preserve">Sim</t>
        </is>
      </c>
      <c r="AD46" s="74" t="inlineStr">
        <is>
          <t xml:space="preserve">Sim</t>
        </is>
      </c>
      <c r="AE46" s="74" t="inlineStr">
        <is>
          <t xml:space="preserve">Sim</t>
        </is>
      </c>
      <c r="AF46" s="74" t="inlineStr">
        <is>
          <t xml:space="preserve">Sim</t>
        </is>
      </c>
      <c r="AG46" s="74" t="inlineStr">
        <is>
          <t xml:space="preserve">Sim</t>
        </is>
      </c>
      <c r="AH46" s="74" t="inlineStr">
        <is>
          <t xml:space="preserve">Sim</t>
        </is>
      </c>
      <c r="AI46" s="74" t="inlineStr">
        <is>
          <t xml:space="preserve">Sim</t>
        </is>
      </c>
    </row>
    <row r="47">
      <c r="A47" s="77">
        <v>13</v>
      </c>
      <c r="B47" s="78" t="str">
        <f>Config!$B$22&amp;""</f>
        <v/>
      </c>
      <c r="C47" s="78" t="str">
        <f>IF(Config!$B$22&amp;""="","",IF(Config!$C$22="","TPC",Config!$C$22))</f>
        <v/>
      </c>
      <c r="D47" s="74" t="inlineStr">
        <is>
          <t xml:space="preserve">Sim</t>
        </is>
      </c>
      <c r="E47" s="74" t="inlineStr">
        <is>
          <t xml:space="preserve">Sim</t>
        </is>
      </c>
      <c r="F47" s="74" t="inlineStr">
        <is>
          <t xml:space="preserve">Sim</t>
        </is>
      </c>
      <c r="G47" s="74" t="inlineStr">
        <is>
          <t xml:space="preserve">Não</t>
        </is>
      </c>
      <c r="H47" s="74" t="inlineStr">
        <is>
          <t xml:space="preserve">Não</t>
        </is>
      </c>
      <c r="I47" s="74" t="inlineStr">
        <is>
          <t xml:space="preserve">Não</t>
        </is>
      </c>
      <c r="J47" s="74" t="inlineStr">
        <is>
          <t xml:space="preserve">Não</t>
        </is>
      </c>
      <c r="K47" s="74" t="inlineStr">
        <is>
          <t xml:space="preserve">Não</t>
        </is>
      </c>
      <c r="L47" s="74" t="inlineStr">
        <is>
          <t xml:space="preserve">Não</t>
        </is>
      </c>
      <c r="M47" s="74" t="inlineStr">
        <is>
          <t xml:space="preserve">Não</t>
        </is>
      </c>
      <c r="N47" s="74" t="inlineStr">
        <is>
          <t xml:space="preserve">Sim</t>
        </is>
      </c>
      <c r="O47" s="74" t="inlineStr">
        <is>
          <t xml:space="preserve">Não</t>
        </is>
      </c>
      <c r="P47" s="74" t="inlineStr">
        <is>
          <t xml:space="preserve">Não</t>
        </is>
      </c>
      <c r="Q47" s="74" t="inlineStr">
        <is>
          <t xml:space="preserve">Não</t>
        </is>
      </c>
      <c r="R47" s="74" t="inlineStr">
        <is>
          <t xml:space="preserve">Não</t>
        </is>
      </c>
      <c r="S47" s="74" t="inlineStr">
        <is>
          <t xml:space="preserve">Não</t>
        </is>
      </c>
      <c r="T47" s="74" t="inlineStr">
        <is>
          <t xml:space="preserve">Não</t>
        </is>
      </c>
      <c r="U47" s="74" t="inlineStr">
        <is>
          <t xml:space="preserve">Sim</t>
        </is>
      </c>
      <c r="V47" s="74" t="inlineStr">
        <is>
          <t xml:space="preserve">Sim</t>
        </is>
      </c>
      <c r="W47" s="74" t="inlineStr">
        <is>
          <t xml:space="preserve">Sim</t>
        </is>
      </c>
      <c r="X47" s="74" t="inlineStr">
        <is>
          <t xml:space="preserve">Sim</t>
        </is>
      </c>
      <c r="Y47" s="74" t="inlineStr">
        <is>
          <t xml:space="preserve">Sim</t>
        </is>
      </c>
      <c r="Z47" s="74" t="inlineStr">
        <is>
          <t xml:space="preserve">Sim</t>
        </is>
      </c>
      <c r="AA47" s="74" t="inlineStr">
        <is>
          <t xml:space="preserve">Sim</t>
        </is>
      </c>
      <c r="AB47" s="74" t="inlineStr">
        <is>
          <t xml:space="preserve">Sim</t>
        </is>
      </c>
      <c r="AC47" s="74" t="inlineStr">
        <is>
          <t xml:space="preserve">Sim</t>
        </is>
      </c>
      <c r="AD47" s="74" t="inlineStr">
        <is>
          <t xml:space="preserve">Sim</t>
        </is>
      </c>
      <c r="AE47" s="74" t="inlineStr">
        <is>
          <t xml:space="preserve">Sim</t>
        </is>
      </c>
      <c r="AF47" s="74" t="inlineStr">
        <is>
          <t xml:space="preserve">Sim</t>
        </is>
      </c>
      <c r="AG47" s="74" t="inlineStr">
        <is>
          <t xml:space="preserve">Sim</t>
        </is>
      </c>
      <c r="AH47" s="74" t="inlineStr">
        <is>
          <t xml:space="preserve">Sim</t>
        </is>
      </c>
      <c r="AI47" s="74" t="inlineStr">
        <is>
          <t xml:space="preserve">Sim</t>
        </is>
      </c>
    </row>
    <row r="48">
      <c r="A48" s="77">
        <v>14</v>
      </c>
      <c r="B48" s="78" t="str">
        <f>Config!$B$23&amp;""</f>
        <v/>
      </c>
      <c r="C48" s="78" t="str">
        <f>IF(Config!$B$23&amp;""="","",IF(Config!$C$23="","TPC",Config!$C$23))</f>
        <v/>
      </c>
      <c r="D48" s="74" t="inlineStr">
        <is>
          <t xml:space="preserve">Sim</t>
        </is>
      </c>
      <c r="E48" s="74" t="inlineStr">
        <is>
          <t xml:space="preserve">Sim</t>
        </is>
      </c>
      <c r="F48" s="74" t="inlineStr">
        <is>
          <t xml:space="preserve">Sim</t>
        </is>
      </c>
      <c r="G48" s="74" t="inlineStr">
        <is>
          <t xml:space="preserve">Não</t>
        </is>
      </c>
      <c r="H48" s="74" t="inlineStr">
        <is>
          <t xml:space="preserve">Não</t>
        </is>
      </c>
      <c r="I48" s="74" t="inlineStr">
        <is>
          <t xml:space="preserve">Não</t>
        </is>
      </c>
      <c r="J48" s="74" t="inlineStr">
        <is>
          <t xml:space="preserve">Não</t>
        </is>
      </c>
      <c r="K48" s="74" t="inlineStr">
        <is>
          <t xml:space="preserve">Não</t>
        </is>
      </c>
      <c r="L48" s="74" t="inlineStr">
        <is>
          <t xml:space="preserve">Não</t>
        </is>
      </c>
      <c r="M48" s="74" t="inlineStr">
        <is>
          <t xml:space="preserve">Não</t>
        </is>
      </c>
      <c r="N48" s="74" t="inlineStr">
        <is>
          <t xml:space="preserve">Sim</t>
        </is>
      </c>
      <c r="O48" s="74" t="inlineStr">
        <is>
          <t xml:space="preserve">Não</t>
        </is>
      </c>
      <c r="P48" s="74" t="inlineStr">
        <is>
          <t xml:space="preserve">Não</t>
        </is>
      </c>
      <c r="Q48" s="74" t="inlineStr">
        <is>
          <t xml:space="preserve">Não</t>
        </is>
      </c>
      <c r="R48" s="74" t="inlineStr">
        <is>
          <t xml:space="preserve">Não</t>
        </is>
      </c>
      <c r="S48" s="74" t="inlineStr">
        <is>
          <t xml:space="preserve">Não</t>
        </is>
      </c>
      <c r="T48" s="74" t="inlineStr">
        <is>
          <t xml:space="preserve">Não</t>
        </is>
      </c>
      <c r="U48" s="74" t="inlineStr">
        <is>
          <t xml:space="preserve">Sim</t>
        </is>
      </c>
      <c r="V48" s="74" t="inlineStr">
        <is>
          <t xml:space="preserve">Sim</t>
        </is>
      </c>
      <c r="W48" s="74" t="inlineStr">
        <is>
          <t xml:space="preserve">Sim</t>
        </is>
      </c>
      <c r="X48" s="74" t="inlineStr">
        <is>
          <t xml:space="preserve">Sim</t>
        </is>
      </c>
      <c r="Y48" s="74" t="inlineStr">
        <is>
          <t xml:space="preserve">Sim</t>
        </is>
      </c>
      <c r="Z48" s="74" t="inlineStr">
        <is>
          <t xml:space="preserve">Sim</t>
        </is>
      </c>
      <c r="AA48" s="74" t="inlineStr">
        <is>
          <t xml:space="preserve">Sim</t>
        </is>
      </c>
      <c r="AB48" s="74" t="inlineStr">
        <is>
          <t xml:space="preserve">Sim</t>
        </is>
      </c>
      <c r="AC48" s="74" t="inlineStr">
        <is>
          <t xml:space="preserve">Sim</t>
        </is>
      </c>
      <c r="AD48" s="74" t="inlineStr">
        <is>
          <t xml:space="preserve">Sim</t>
        </is>
      </c>
      <c r="AE48" s="74" t="inlineStr">
        <is>
          <t xml:space="preserve">Sim</t>
        </is>
      </c>
      <c r="AF48" s="74" t="inlineStr">
        <is>
          <t xml:space="preserve">Sim</t>
        </is>
      </c>
      <c r="AG48" s="74" t="inlineStr">
        <is>
          <t xml:space="preserve">Sim</t>
        </is>
      </c>
      <c r="AH48" s="74" t="inlineStr">
        <is>
          <t xml:space="preserve">Sim</t>
        </is>
      </c>
      <c r="AI48" s="74" t="inlineStr">
        <is>
          <t xml:space="preserve">Sim</t>
        </is>
      </c>
    </row>
    <row r="49">
      <c r="A49" s="77">
        <v>15</v>
      </c>
      <c r="B49" s="78" t="str">
        <f>Config!$B$24&amp;""</f>
        <v/>
      </c>
      <c r="C49" s="78" t="str">
        <f>IF(Config!$B$24&amp;""="","",IF(Config!$C$24="","TPC",Config!$C$24))</f>
        <v/>
      </c>
      <c r="D49" s="74" t="inlineStr">
        <is>
          <t xml:space="preserve">Sim</t>
        </is>
      </c>
      <c r="E49" s="74" t="inlineStr">
        <is>
          <t xml:space="preserve">Sim</t>
        </is>
      </c>
      <c r="F49" s="74" t="inlineStr">
        <is>
          <t xml:space="preserve">Sim</t>
        </is>
      </c>
      <c r="G49" s="74" t="inlineStr">
        <is>
          <t xml:space="preserve">Não</t>
        </is>
      </c>
      <c r="H49" s="74" t="inlineStr">
        <is>
          <t xml:space="preserve">Não</t>
        </is>
      </c>
      <c r="I49" s="74" t="inlineStr">
        <is>
          <t xml:space="preserve">Não</t>
        </is>
      </c>
      <c r="J49" s="74" t="inlineStr">
        <is>
          <t xml:space="preserve">Não</t>
        </is>
      </c>
      <c r="K49" s="74" t="inlineStr">
        <is>
          <t xml:space="preserve">Não</t>
        </is>
      </c>
      <c r="L49" s="74" t="inlineStr">
        <is>
          <t xml:space="preserve">Não</t>
        </is>
      </c>
      <c r="M49" s="74" t="inlineStr">
        <is>
          <t xml:space="preserve">Não</t>
        </is>
      </c>
      <c r="N49" s="74" t="inlineStr">
        <is>
          <t xml:space="preserve">Sim</t>
        </is>
      </c>
      <c r="O49" s="74" t="inlineStr">
        <is>
          <t xml:space="preserve">Não</t>
        </is>
      </c>
      <c r="P49" s="74" t="inlineStr">
        <is>
          <t xml:space="preserve">Não</t>
        </is>
      </c>
      <c r="Q49" s="74" t="inlineStr">
        <is>
          <t xml:space="preserve">Não</t>
        </is>
      </c>
      <c r="R49" s="74" t="inlineStr">
        <is>
          <t xml:space="preserve">Não</t>
        </is>
      </c>
      <c r="S49" s="74" t="inlineStr">
        <is>
          <t xml:space="preserve">Não</t>
        </is>
      </c>
      <c r="T49" s="74" t="inlineStr">
        <is>
          <t xml:space="preserve">Não</t>
        </is>
      </c>
      <c r="U49" s="74" t="inlineStr">
        <is>
          <t xml:space="preserve">Sim</t>
        </is>
      </c>
      <c r="V49" s="74" t="inlineStr">
        <is>
          <t xml:space="preserve">Sim</t>
        </is>
      </c>
      <c r="W49" s="74" t="inlineStr">
        <is>
          <t xml:space="preserve">Sim</t>
        </is>
      </c>
      <c r="X49" s="74" t="inlineStr">
        <is>
          <t xml:space="preserve">Sim</t>
        </is>
      </c>
      <c r="Y49" s="74" t="inlineStr">
        <is>
          <t xml:space="preserve">Sim</t>
        </is>
      </c>
      <c r="Z49" s="74" t="inlineStr">
        <is>
          <t xml:space="preserve">Sim</t>
        </is>
      </c>
      <c r="AA49" s="74" t="inlineStr">
        <is>
          <t xml:space="preserve">Sim</t>
        </is>
      </c>
      <c r="AB49" s="74" t="inlineStr">
        <is>
          <t xml:space="preserve">Sim</t>
        </is>
      </c>
      <c r="AC49" s="74" t="inlineStr">
        <is>
          <t xml:space="preserve">Sim</t>
        </is>
      </c>
      <c r="AD49" s="74" t="inlineStr">
        <is>
          <t xml:space="preserve">Sim</t>
        </is>
      </c>
      <c r="AE49" s="74" t="inlineStr">
        <is>
          <t xml:space="preserve">Sim</t>
        </is>
      </c>
      <c r="AF49" s="74" t="inlineStr">
        <is>
          <t xml:space="preserve">Sim</t>
        </is>
      </c>
      <c r="AG49" s="74" t="inlineStr">
        <is>
          <t xml:space="preserve">Sim</t>
        </is>
      </c>
      <c r="AH49" s="74" t="inlineStr">
        <is>
          <t xml:space="preserve">Sim</t>
        </is>
      </c>
      <c r="AI49" s="74" t="inlineStr">
        <is>
          <t xml:space="preserve">Sim</t>
        </is>
      </c>
    </row>
    <row r="50">
      <c r="A50" s="77">
        <v>16</v>
      </c>
      <c r="B50" s="78" t="str">
        <f>Config!$B$25&amp;""</f>
        <v/>
      </c>
      <c r="C50" s="78" t="str">
        <f>IF(Config!$B$25&amp;""="","",IF(Config!$C$25="","TPC",Config!$C$25))</f>
        <v/>
      </c>
      <c r="D50" s="74" t="inlineStr">
        <is>
          <t xml:space="preserve">Sim</t>
        </is>
      </c>
      <c r="E50" s="74" t="inlineStr">
        <is>
          <t xml:space="preserve">Sim</t>
        </is>
      </c>
      <c r="F50" s="74" t="inlineStr">
        <is>
          <t xml:space="preserve">Sim</t>
        </is>
      </c>
      <c r="G50" s="74" t="inlineStr">
        <is>
          <t xml:space="preserve">Não</t>
        </is>
      </c>
      <c r="H50" s="74" t="inlineStr">
        <is>
          <t xml:space="preserve">Não</t>
        </is>
      </c>
      <c r="I50" s="74" t="inlineStr">
        <is>
          <t xml:space="preserve">Não</t>
        </is>
      </c>
      <c r="J50" s="74" t="inlineStr">
        <is>
          <t xml:space="preserve">Não</t>
        </is>
      </c>
      <c r="K50" s="74" t="inlineStr">
        <is>
          <t xml:space="preserve">Não</t>
        </is>
      </c>
      <c r="L50" s="74" t="inlineStr">
        <is>
          <t xml:space="preserve">Não</t>
        </is>
      </c>
      <c r="M50" s="74" t="inlineStr">
        <is>
          <t xml:space="preserve">Não</t>
        </is>
      </c>
      <c r="N50" s="74" t="inlineStr">
        <is>
          <t xml:space="preserve">Sim</t>
        </is>
      </c>
      <c r="O50" s="74" t="inlineStr">
        <is>
          <t xml:space="preserve">Não</t>
        </is>
      </c>
      <c r="P50" s="74" t="inlineStr">
        <is>
          <t xml:space="preserve">Não</t>
        </is>
      </c>
      <c r="Q50" s="74" t="inlineStr">
        <is>
          <t xml:space="preserve">Não</t>
        </is>
      </c>
      <c r="R50" s="74" t="inlineStr">
        <is>
          <t xml:space="preserve">Não</t>
        </is>
      </c>
      <c r="S50" s="74" t="inlineStr">
        <is>
          <t xml:space="preserve">Não</t>
        </is>
      </c>
      <c r="T50" s="74" t="inlineStr">
        <is>
          <t xml:space="preserve">Não</t>
        </is>
      </c>
      <c r="U50" s="74" t="inlineStr">
        <is>
          <t xml:space="preserve">Sim</t>
        </is>
      </c>
      <c r="V50" s="74" t="inlineStr">
        <is>
          <t xml:space="preserve">Sim</t>
        </is>
      </c>
      <c r="W50" s="74" t="inlineStr">
        <is>
          <t xml:space="preserve">Sim</t>
        </is>
      </c>
      <c r="X50" s="74" t="inlineStr">
        <is>
          <t xml:space="preserve">Sim</t>
        </is>
      </c>
      <c r="Y50" s="74" t="inlineStr">
        <is>
          <t xml:space="preserve">Sim</t>
        </is>
      </c>
      <c r="Z50" s="74" t="inlineStr">
        <is>
          <t xml:space="preserve">Sim</t>
        </is>
      </c>
      <c r="AA50" s="74" t="inlineStr">
        <is>
          <t xml:space="preserve">Sim</t>
        </is>
      </c>
      <c r="AB50" s="74" t="inlineStr">
        <is>
          <t xml:space="preserve">Sim</t>
        </is>
      </c>
      <c r="AC50" s="74" t="inlineStr">
        <is>
          <t xml:space="preserve">Sim</t>
        </is>
      </c>
      <c r="AD50" s="74" t="inlineStr">
        <is>
          <t xml:space="preserve">Sim</t>
        </is>
      </c>
      <c r="AE50" s="74" t="inlineStr">
        <is>
          <t xml:space="preserve">Sim</t>
        </is>
      </c>
      <c r="AF50" s="74" t="inlineStr">
        <is>
          <t xml:space="preserve">Sim</t>
        </is>
      </c>
      <c r="AG50" s="74" t="inlineStr">
        <is>
          <t xml:space="preserve">Sim</t>
        </is>
      </c>
      <c r="AH50" s="74" t="inlineStr">
        <is>
          <t xml:space="preserve">Sim</t>
        </is>
      </c>
      <c r="AI50" s="74" t="inlineStr">
        <is>
          <t xml:space="preserve">Sim</t>
        </is>
      </c>
    </row>
    <row r="51">
      <c r="A51" s="77">
        <v>17</v>
      </c>
      <c r="B51" s="78" t="str">
        <f>Config!$B$26&amp;""</f>
        <v/>
      </c>
      <c r="C51" s="78" t="str">
        <f>IF(Config!$B$26&amp;""="","",IF(Config!$C$26="","TPC",Config!$C$26))</f>
        <v/>
      </c>
      <c r="D51" s="74" t="inlineStr">
        <is>
          <t xml:space="preserve">Sim</t>
        </is>
      </c>
      <c r="E51" s="74" t="inlineStr">
        <is>
          <t xml:space="preserve">Sim</t>
        </is>
      </c>
      <c r="F51" s="74" t="inlineStr">
        <is>
          <t xml:space="preserve">Sim</t>
        </is>
      </c>
      <c r="G51" s="74" t="inlineStr">
        <is>
          <t xml:space="preserve">Não</t>
        </is>
      </c>
      <c r="H51" s="74" t="inlineStr">
        <is>
          <t xml:space="preserve">Não</t>
        </is>
      </c>
      <c r="I51" s="74" t="inlineStr">
        <is>
          <t xml:space="preserve">Não</t>
        </is>
      </c>
      <c r="J51" s="74" t="inlineStr">
        <is>
          <t xml:space="preserve">Não</t>
        </is>
      </c>
      <c r="K51" s="74" t="inlineStr">
        <is>
          <t xml:space="preserve">Não</t>
        </is>
      </c>
      <c r="L51" s="74" t="inlineStr">
        <is>
          <t xml:space="preserve">Não</t>
        </is>
      </c>
      <c r="M51" s="74" t="inlineStr">
        <is>
          <t xml:space="preserve">Não</t>
        </is>
      </c>
      <c r="N51" s="74" t="inlineStr">
        <is>
          <t xml:space="preserve">Sim</t>
        </is>
      </c>
      <c r="O51" s="74" t="inlineStr">
        <is>
          <t xml:space="preserve">Não</t>
        </is>
      </c>
      <c r="P51" s="74" t="inlineStr">
        <is>
          <t xml:space="preserve">Não</t>
        </is>
      </c>
      <c r="Q51" s="74" t="inlineStr">
        <is>
          <t xml:space="preserve">Não</t>
        </is>
      </c>
      <c r="R51" s="74" t="inlineStr">
        <is>
          <t xml:space="preserve">Não</t>
        </is>
      </c>
      <c r="S51" s="74" t="inlineStr">
        <is>
          <t xml:space="preserve">Não</t>
        </is>
      </c>
      <c r="T51" s="74" t="inlineStr">
        <is>
          <t xml:space="preserve">Não</t>
        </is>
      </c>
      <c r="U51" s="74" t="inlineStr">
        <is>
          <t xml:space="preserve">Sim</t>
        </is>
      </c>
      <c r="V51" s="74" t="inlineStr">
        <is>
          <t xml:space="preserve">Sim</t>
        </is>
      </c>
      <c r="W51" s="74" t="inlineStr">
        <is>
          <t xml:space="preserve">Sim</t>
        </is>
      </c>
      <c r="X51" s="74" t="inlineStr">
        <is>
          <t xml:space="preserve">Sim</t>
        </is>
      </c>
      <c r="Y51" s="74" t="inlineStr">
        <is>
          <t xml:space="preserve">Sim</t>
        </is>
      </c>
      <c r="Z51" s="74" t="inlineStr">
        <is>
          <t xml:space="preserve">Sim</t>
        </is>
      </c>
      <c r="AA51" s="74" t="inlineStr">
        <is>
          <t xml:space="preserve">Sim</t>
        </is>
      </c>
      <c r="AB51" s="74" t="inlineStr">
        <is>
          <t xml:space="preserve">Sim</t>
        </is>
      </c>
      <c r="AC51" s="74" t="inlineStr">
        <is>
          <t xml:space="preserve">Sim</t>
        </is>
      </c>
      <c r="AD51" s="74" t="inlineStr">
        <is>
          <t xml:space="preserve">Sim</t>
        </is>
      </c>
      <c r="AE51" s="74" t="inlineStr">
        <is>
          <t xml:space="preserve">Sim</t>
        </is>
      </c>
      <c r="AF51" s="74" t="inlineStr">
        <is>
          <t xml:space="preserve">Sim</t>
        </is>
      </c>
      <c r="AG51" s="74" t="inlineStr">
        <is>
          <t xml:space="preserve">Sim</t>
        </is>
      </c>
      <c r="AH51" s="74" t="inlineStr">
        <is>
          <t xml:space="preserve">Sim</t>
        </is>
      </c>
      <c r="AI51" s="74" t="inlineStr">
        <is>
          <t xml:space="preserve">Sim</t>
        </is>
      </c>
    </row>
    <row r="52">
      <c r="A52" s="77">
        <v>18</v>
      </c>
      <c r="B52" s="78" t="str">
        <f>Config!$B$27&amp;""</f>
        <v/>
      </c>
      <c r="C52" s="78" t="str">
        <f>IF(Config!$B$27&amp;""="","",IF(Config!$C$27="","TPC",Config!$C$27))</f>
        <v/>
      </c>
      <c r="D52" s="74" t="inlineStr">
        <is>
          <t xml:space="preserve">Sim</t>
        </is>
      </c>
      <c r="E52" s="74" t="inlineStr">
        <is>
          <t xml:space="preserve">Sim</t>
        </is>
      </c>
      <c r="F52" s="74" t="inlineStr">
        <is>
          <t xml:space="preserve">Sim</t>
        </is>
      </c>
      <c r="G52" s="74" t="inlineStr">
        <is>
          <t xml:space="preserve">Não</t>
        </is>
      </c>
      <c r="H52" s="74" t="inlineStr">
        <is>
          <t xml:space="preserve">Não</t>
        </is>
      </c>
      <c r="I52" s="74" t="inlineStr">
        <is>
          <t xml:space="preserve">Não</t>
        </is>
      </c>
      <c r="J52" s="74" t="inlineStr">
        <is>
          <t xml:space="preserve">Não</t>
        </is>
      </c>
      <c r="K52" s="74" t="inlineStr">
        <is>
          <t xml:space="preserve">Não</t>
        </is>
      </c>
      <c r="L52" s="74" t="inlineStr">
        <is>
          <t xml:space="preserve">Não</t>
        </is>
      </c>
      <c r="M52" s="74" t="inlineStr">
        <is>
          <t xml:space="preserve">Não</t>
        </is>
      </c>
      <c r="N52" s="74" t="inlineStr">
        <is>
          <t xml:space="preserve">Sim</t>
        </is>
      </c>
      <c r="O52" s="74" t="inlineStr">
        <is>
          <t xml:space="preserve">Não</t>
        </is>
      </c>
      <c r="P52" s="74" t="inlineStr">
        <is>
          <t xml:space="preserve">Não</t>
        </is>
      </c>
      <c r="Q52" s="74" t="inlineStr">
        <is>
          <t xml:space="preserve">Não</t>
        </is>
      </c>
      <c r="R52" s="74" t="inlineStr">
        <is>
          <t xml:space="preserve">Não</t>
        </is>
      </c>
      <c r="S52" s="74" t="inlineStr">
        <is>
          <t xml:space="preserve">Não</t>
        </is>
      </c>
      <c r="T52" s="74" t="inlineStr">
        <is>
          <t xml:space="preserve">Não</t>
        </is>
      </c>
      <c r="U52" s="74" t="inlineStr">
        <is>
          <t xml:space="preserve">Sim</t>
        </is>
      </c>
      <c r="V52" s="74" t="inlineStr">
        <is>
          <t xml:space="preserve">Sim</t>
        </is>
      </c>
      <c r="W52" s="74" t="inlineStr">
        <is>
          <t xml:space="preserve">Sim</t>
        </is>
      </c>
      <c r="X52" s="74" t="inlineStr">
        <is>
          <t xml:space="preserve">Sim</t>
        </is>
      </c>
      <c r="Y52" s="74" t="inlineStr">
        <is>
          <t xml:space="preserve">Sim</t>
        </is>
      </c>
      <c r="Z52" s="74" t="inlineStr">
        <is>
          <t xml:space="preserve">Sim</t>
        </is>
      </c>
      <c r="AA52" s="74" t="inlineStr">
        <is>
          <t xml:space="preserve">Sim</t>
        </is>
      </c>
      <c r="AB52" s="74" t="inlineStr">
        <is>
          <t xml:space="preserve">Sim</t>
        </is>
      </c>
      <c r="AC52" s="74" t="inlineStr">
        <is>
          <t xml:space="preserve">Sim</t>
        </is>
      </c>
      <c r="AD52" s="74" t="inlineStr">
        <is>
          <t xml:space="preserve">Sim</t>
        </is>
      </c>
      <c r="AE52" s="74" t="inlineStr">
        <is>
          <t xml:space="preserve">Sim</t>
        </is>
      </c>
      <c r="AF52" s="74" t="inlineStr">
        <is>
          <t xml:space="preserve">Sim</t>
        </is>
      </c>
      <c r="AG52" s="74" t="inlineStr">
        <is>
          <t xml:space="preserve">Sim</t>
        </is>
      </c>
      <c r="AH52" s="74" t="inlineStr">
        <is>
          <t xml:space="preserve">Sim</t>
        </is>
      </c>
      <c r="AI52" s="74" t="inlineStr">
        <is>
          <t xml:space="preserve">Sim</t>
        </is>
      </c>
    </row>
    <row r="53">
      <c r="A53" s="77">
        <v>19</v>
      </c>
      <c r="B53" s="78" t="str">
        <f>Config!$B$28&amp;""</f>
        <v/>
      </c>
      <c r="C53" s="78" t="str">
        <f>IF(Config!$B$28&amp;""="","",IF(Config!$C$28="","TPC",Config!$C$28))</f>
        <v/>
      </c>
      <c r="D53" s="74" t="inlineStr">
        <is>
          <t xml:space="preserve">Sim</t>
        </is>
      </c>
      <c r="E53" s="74" t="inlineStr">
        <is>
          <t xml:space="preserve">Sim</t>
        </is>
      </c>
      <c r="F53" s="74" t="inlineStr">
        <is>
          <t xml:space="preserve">Sim</t>
        </is>
      </c>
      <c r="G53" s="74" t="inlineStr">
        <is>
          <t xml:space="preserve">Não</t>
        </is>
      </c>
      <c r="H53" s="74" t="inlineStr">
        <is>
          <t xml:space="preserve">Não</t>
        </is>
      </c>
      <c r="I53" s="74" t="inlineStr">
        <is>
          <t xml:space="preserve">Não</t>
        </is>
      </c>
      <c r="J53" s="74" t="inlineStr">
        <is>
          <t xml:space="preserve">Não</t>
        </is>
      </c>
      <c r="K53" s="74" t="inlineStr">
        <is>
          <t xml:space="preserve">Não</t>
        </is>
      </c>
      <c r="L53" s="74" t="inlineStr">
        <is>
          <t xml:space="preserve">Não</t>
        </is>
      </c>
      <c r="M53" s="74" t="inlineStr">
        <is>
          <t xml:space="preserve">Não</t>
        </is>
      </c>
      <c r="N53" s="74" t="inlineStr">
        <is>
          <t xml:space="preserve">Sim</t>
        </is>
      </c>
      <c r="O53" s="74" t="inlineStr">
        <is>
          <t xml:space="preserve">Não</t>
        </is>
      </c>
      <c r="P53" s="74" t="inlineStr">
        <is>
          <t xml:space="preserve">Não</t>
        </is>
      </c>
      <c r="Q53" s="74" t="inlineStr">
        <is>
          <t xml:space="preserve">Não</t>
        </is>
      </c>
      <c r="R53" s="74" t="inlineStr">
        <is>
          <t xml:space="preserve">Não</t>
        </is>
      </c>
      <c r="S53" s="74" t="inlineStr">
        <is>
          <t xml:space="preserve">Não</t>
        </is>
      </c>
      <c r="T53" s="74" t="inlineStr">
        <is>
          <t xml:space="preserve">Não</t>
        </is>
      </c>
      <c r="U53" s="74" t="inlineStr">
        <is>
          <t xml:space="preserve">Sim</t>
        </is>
      </c>
      <c r="V53" s="74" t="inlineStr">
        <is>
          <t xml:space="preserve">Sim</t>
        </is>
      </c>
      <c r="W53" s="74" t="inlineStr">
        <is>
          <t xml:space="preserve">Sim</t>
        </is>
      </c>
      <c r="X53" s="74" t="inlineStr">
        <is>
          <t xml:space="preserve">Sim</t>
        </is>
      </c>
      <c r="Y53" s="74" t="inlineStr">
        <is>
          <t xml:space="preserve">Sim</t>
        </is>
      </c>
      <c r="Z53" s="74" t="inlineStr">
        <is>
          <t xml:space="preserve">Sim</t>
        </is>
      </c>
      <c r="AA53" s="74" t="inlineStr">
        <is>
          <t xml:space="preserve">Sim</t>
        </is>
      </c>
      <c r="AB53" s="74" t="inlineStr">
        <is>
          <t xml:space="preserve">Sim</t>
        </is>
      </c>
      <c r="AC53" s="74" t="inlineStr">
        <is>
          <t xml:space="preserve">Sim</t>
        </is>
      </c>
      <c r="AD53" s="74" t="inlineStr">
        <is>
          <t xml:space="preserve">Sim</t>
        </is>
      </c>
      <c r="AE53" s="74" t="inlineStr">
        <is>
          <t xml:space="preserve">Sim</t>
        </is>
      </c>
      <c r="AF53" s="74" t="inlineStr">
        <is>
          <t xml:space="preserve">Sim</t>
        </is>
      </c>
      <c r="AG53" s="74" t="inlineStr">
        <is>
          <t xml:space="preserve">Sim</t>
        </is>
      </c>
      <c r="AH53" s="74" t="inlineStr">
        <is>
          <t xml:space="preserve">Sim</t>
        </is>
      </c>
      <c r="AI53" s="74" t="inlineStr">
        <is>
          <t xml:space="preserve">Sim</t>
        </is>
      </c>
    </row>
    <row r="54">
      <c r="A54" s="77">
        <v>20</v>
      </c>
      <c r="B54" s="78" t="str">
        <f>Config!$B$29&amp;""</f>
        <v/>
      </c>
      <c r="C54" s="78" t="str">
        <f>IF(Config!$B$29&amp;""="","",IF(Config!$C$29="","TPC",Config!$C$29))</f>
        <v/>
      </c>
      <c r="D54" s="74" t="inlineStr">
        <is>
          <t xml:space="preserve">Sim</t>
        </is>
      </c>
      <c r="E54" s="74" t="inlineStr">
        <is>
          <t xml:space="preserve">Sim</t>
        </is>
      </c>
      <c r="F54" s="74" t="inlineStr">
        <is>
          <t xml:space="preserve">Sim</t>
        </is>
      </c>
      <c r="G54" s="74" t="inlineStr">
        <is>
          <t xml:space="preserve">Não</t>
        </is>
      </c>
      <c r="H54" s="74" t="inlineStr">
        <is>
          <t xml:space="preserve">Não</t>
        </is>
      </c>
      <c r="I54" s="74" t="inlineStr">
        <is>
          <t xml:space="preserve">Não</t>
        </is>
      </c>
      <c r="J54" s="74" t="inlineStr">
        <is>
          <t xml:space="preserve">Não</t>
        </is>
      </c>
      <c r="K54" s="74" t="inlineStr">
        <is>
          <t xml:space="preserve">Não</t>
        </is>
      </c>
      <c r="L54" s="74" t="inlineStr">
        <is>
          <t xml:space="preserve">Não</t>
        </is>
      </c>
      <c r="M54" s="74" t="inlineStr">
        <is>
          <t xml:space="preserve">Não</t>
        </is>
      </c>
      <c r="N54" s="74" t="inlineStr">
        <is>
          <t xml:space="preserve">Sim</t>
        </is>
      </c>
      <c r="O54" s="74" t="inlineStr">
        <is>
          <t xml:space="preserve">Não</t>
        </is>
      </c>
      <c r="P54" s="74" t="inlineStr">
        <is>
          <t xml:space="preserve">Não</t>
        </is>
      </c>
      <c r="Q54" s="74" t="inlineStr">
        <is>
          <t xml:space="preserve">Não</t>
        </is>
      </c>
      <c r="R54" s="74" t="inlineStr">
        <is>
          <t xml:space="preserve">Não</t>
        </is>
      </c>
      <c r="S54" s="74" t="inlineStr">
        <is>
          <t xml:space="preserve">Não</t>
        </is>
      </c>
      <c r="T54" s="74" t="inlineStr">
        <is>
          <t xml:space="preserve">Não</t>
        </is>
      </c>
      <c r="U54" s="74" t="inlineStr">
        <is>
          <t xml:space="preserve">Sim</t>
        </is>
      </c>
      <c r="V54" s="74" t="inlineStr">
        <is>
          <t xml:space="preserve">Sim</t>
        </is>
      </c>
      <c r="W54" s="74" t="inlineStr">
        <is>
          <t xml:space="preserve">Sim</t>
        </is>
      </c>
      <c r="X54" s="74" t="inlineStr">
        <is>
          <t xml:space="preserve">Sim</t>
        </is>
      </c>
      <c r="Y54" s="74" t="inlineStr">
        <is>
          <t xml:space="preserve">Sim</t>
        </is>
      </c>
      <c r="Z54" s="74" t="inlineStr">
        <is>
          <t xml:space="preserve">Sim</t>
        </is>
      </c>
      <c r="AA54" s="74" t="inlineStr">
        <is>
          <t xml:space="preserve">Sim</t>
        </is>
      </c>
      <c r="AB54" s="74" t="inlineStr">
        <is>
          <t xml:space="preserve">Sim</t>
        </is>
      </c>
      <c r="AC54" s="74" t="inlineStr">
        <is>
          <t xml:space="preserve">Sim</t>
        </is>
      </c>
      <c r="AD54" s="74" t="inlineStr">
        <is>
          <t xml:space="preserve">Sim</t>
        </is>
      </c>
      <c r="AE54" s="74" t="inlineStr">
        <is>
          <t xml:space="preserve">Sim</t>
        </is>
      </c>
      <c r="AF54" s="74" t="inlineStr">
        <is>
          <t xml:space="preserve">Sim</t>
        </is>
      </c>
      <c r="AG54" s="74" t="inlineStr">
        <is>
          <t xml:space="preserve">Sim</t>
        </is>
      </c>
      <c r="AH54" s="74" t="inlineStr">
        <is>
          <t xml:space="preserve">Sim</t>
        </is>
      </c>
      <c r="AI54" s="74" t="inlineStr">
        <is>
          <t xml:space="preserve">Sim</t>
        </is>
      </c>
    </row>
    <row r="58" ht="22" customHeight="1">
      <c r="A58" s="76" t="inlineStr">
        <is>
          <t xml:space="preserve">3 · TEXTOS DO DASHBOARD — renomeie cards, linhas e gráficos (títulos dos gráficos 2 e 3 de cada cliente ficam na tabela 1)</t>
        </is>
      </c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</row>
    <row r="59">
      <c r="A59" s="84" t="inlineStr">
        <is>
          <t xml:space="preserve">Onde aparece</t>
        </is>
      </c>
      <c r="B59" s="85"/>
      <c r="C59" s="86"/>
      <c r="D59" s="84" t="inlineStr">
        <is>
          <t xml:space="preserve">Texto</t>
        </is>
      </c>
      <c r="E59" s="85"/>
      <c r="F59" s="85"/>
      <c r="G59" s="86"/>
    </row>
    <row r="60">
      <c r="A60" s="87" t="inlineStr">
        <is>
          <t xml:space="preserve">Card IN · título</t>
        </is>
      </c>
      <c r="B60" s="88"/>
      <c r="C60" s="89"/>
      <c r="D60" s="90" t="inlineStr">
        <is>
          <t xml:space="preserve">RECEBIMENTO (IN)</t>
        </is>
      </c>
      <c r="E60" s="91"/>
      <c r="F60" s="91"/>
      <c r="G60" s="92"/>
    </row>
    <row r="61">
      <c r="A61" s="87" t="inlineStr">
        <is>
          <t xml:space="preserve">Card IN · legenda do número</t>
        </is>
      </c>
      <c r="B61" s="88"/>
      <c r="C61" s="89"/>
      <c r="D61" s="90" t="inlineStr">
        <is>
          <t xml:space="preserve">veículos recebidos</t>
        </is>
      </c>
      <c r="E61" s="91"/>
      <c r="F61" s="91"/>
      <c r="G61" s="92"/>
    </row>
    <row r="62">
      <c r="A62" s="87" t="inlineStr">
        <is>
          <t xml:space="preserve">Card OUT · título</t>
        </is>
      </c>
      <c r="B62" s="88"/>
      <c r="C62" s="89"/>
      <c r="D62" s="90" t="inlineStr">
        <is>
          <t xml:space="preserve">EXPEDIÇÃO (OUT)</t>
        </is>
      </c>
      <c r="E62" s="91"/>
      <c r="F62" s="91"/>
      <c r="G62" s="92"/>
    </row>
    <row r="63">
      <c r="A63" s="87" t="inlineStr">
        <is>
          <t xml:space="preserve">Card OUT · legenda do número</t>
        </is>
      </c>
      <c r="B63" s="88"/>
      <c r="C63" s="89"/>
      <c r="D63" s="90" t="inlineStr">
        <is>
          <t xml:space="preserve">veículos expedidos</t>
        </is>
      </c>
      <c r="E63" s="91"/>
      <c r="F63" s="91"/>
      <c r="G63" s="92"/>
    </row>
    <row r="64">
      <c r="A64" s="87" t="inlineStr">
        <is>
          <t xml:space="preserve">Card NC · título</t>
        </is>
      </c>
      <c r="B64" s="88"/>
      <c r="C64" s="89"/>
      <c r="D64" s="90" t="inlineStr">
        <is>
          <t xml:space="preserve">NC OPERACIONAL</t>
        </is>
      </c>
      <c r="E64" s="91"/>
      <c r="F64" s="91"/>
      <c r="G64" s="92"/>
    </row>
    <row r="65">
      <c r="A65" s="87" t="inlineStr">
        <is>
          <t xml:space="preserve">Card NC · legenda do número</t>
        </is>
      </c>
      <c r="B65" s="88"/>
      <c r="C65" s="89"/>
      <c r="D65" s="90" t="inlineStr">
        <is>
          <t xml:space="preserve">incidentes no período</t>
        </is>
      </c>
      <c r="E65" s="91"/>
      <c r="F65" s="91"/>
      <c r="G65" s="92"/>
    </row>
    <row r="66">
      <c r="A66" s="87" t="inlineStr">
        <is>
          <t xml:space="preserve">Card NC · linha 1</t>
        </is>
      </c>
      <c r="B66" s="88"/>
      <c r="C66" s="89"/>
      <c r="D66" s="90" t="inlineStr">
        <is>
          <t xml:space="preserve">NO SHOW</t>
        </is>
      </c>
      <c r="E66" s="91"/>
      <c r="F66" s="91"/>
      <c r="G66" s="92"/>
    </row>
    <row r="67">
      <c r="A67" s="87" t="inlineStr">
        <is>
          <t xml:space="preserve">Card NC · linha 2</t>
        </is>
      </c>
      <c r="B67" s="88"/>
      <c r="C67" s="89"/>
      <c r="D67" s="90" t="inlineStr">
        <is>
          <t xml:space="preserve">BACKLOG</t>
        </is>
      </c>
      <c r="E67" s="91"/>
      <c r="F67" s="91"/>
      <c r="G67" s="92"/>
    </row>
    <row r="68">
      <c r="A68" s="87" t="inlineStr">
        <is>
          <t xml:space="preserve">Card Ocupação · título</t>
        </is>
      </c>
      <c r="B68" s="88"/>
      <c r="C68" s="89"/>
      <c r="D68" s="90" t="inlineStr">
        <is>
          <t xml:space="preserve">ÍNDICE DE OCUPAÇÃO (P.P)</t>
        </is>
      </c>
      <c r="E68" s="91"/>
      <c r="F68" s="91"/>
      <c r="G68" s="92"/>
    </row>
    <row r="69">
      <c r="A69" s="87" t="inlineStr">
        <is>
          <t xml:space="preserve">Card Ocupação · posições (cliente)</t>
        </is>
      </c>
      <c r="B69" s="88"/>
      <c r="C69" s="89"/>
      <c r="D69" s="90" t="inlineStr">
        <is>
          <t xml:space="preserve">CONTRATADA</t>
        </is>
      </c>
      <c r="E69" s="91"/>
      <c r="F69" s="91"/>
      <c r="G69" s="92"/>
    </row>
    <row r="70">
      <c r="A70" s="87" t="inlineStr">
        <is>
          <t xml:space="preserve">Card Ocupação · posições (Todos / depósito)</t>
        </is>
      </c>
      <c r="B70" s="88"/>
      <c r="C70" s="89"/>
      <c r="D70" s="90" t="inlineStr">
        <is>
          <t xml:space="preserve">ARMAZÉM</t>
        </is>
      </c>
      <c r="E70" s="91"/>
      <c r="F70" s="91"/>
      <c r="G70" s="92"/>
    </row>
    <row r="71">
      <c r="A71" s="87" t="inlineStr">
        <is>
          <t xml:space="preserve">Card Ocupação · ocupadas</t>
        </is>
      </c>
      <c r="B71" s="88"/>
      <c r="C71" s="89"/>
      <c r="D71" s="90" t="inlineStr">
        <is>
          <t xml:space="preserve">OCUPADA</t>
        </is>
      </c>
      <c r="E71" s="91"/>
      <c r="F71" s="91"/>
      <c r="G71" s="92"/>
    </row>
    <row r="72">
      <c r="A72" s="87" t="inlineStr">
        <is>
          <t xml:space="preserve">Card Ocupação · taxa</t>
        </is>
      </c>
      <c r="B72" s="88"/>
      <c r="C72" s="89"/>
      <c r="D72" s="90" t="inlineStr">
        <is>
          <t xml:space="preserve">TX OCUPAÇÃO</t>
        </is>
      </c>
      <c r="E72" s="91"/>
      <c r="F72" s="91"/>
      <c r="G72" s="92"/>
    </row>
    <row r="73">
      <c r="A73" s="87" t="inlineStr">
        <is>
          <t xml:space="preserve">Card Ocupação · ociosidade</t>
        </is>
      </c>
      <c r="B73" s="88"/>
      <c r="C73" s="89"/>
      <c r="D73" s="90" t="inlineStr">
        <is>
          <t xml:space="preserve">OCIOSIDADE</t>
        </is>
      </c>
      <c r="E73" s="91"/>
      <c r="F73" s="91"/>
      <c r="G73" s="92"/>
    </row>
    <row r="74">
      <c r="A74" s="87" t="inlineStr">
        <is>
          <t xml:space="preserve">Card Gente · título</t>
        </is>
      </c>
      <c r="B74" s="88"/>
      <c r="C74" s="89"/>
      <c r="D74" s="90" t="inlineStr">
        <is>
          <t xml:space="preserve">GENTE</t>
        </is>
      </c>
      <c r="E74" s="91"/>
      <c r="F74" s="91"/>
      <c r="G74" s="92"/>
    </row>
    <row r="75">
      <c r="A75" s="87" t="inlineStr">
        <is>
          <t xml:space="preserve">Card Gente · linha 1</t>
        </is>
      </c>
      <c r="B75" s="88"/>
      <c r="C75" s="89"/>
      <c r="D75" s="90" t="inlineStr">
        <is>
          <t xml:space="preserve">EFETIVO</t>
        </is>
      </c>
      <c r="E75" s="91"/>
      <c r="F75" s="91"/>
      <c r="G75" s="92"/>
    </row>
    <row r="76">
      <c r="A76" s="87" t="inlineStr">
        <is>
          <t xml:space="preserve">Card Gente · linha 2</t>
        </is>
      </c>
      <c r="B76" s="88"/>
      <c r="C76" s="89"/>
      <c r="D76" s="90" t="inlineStr">
        <is>
          <t xml:space="preserve">ABSENTEÍSMO (H/H)</t>
        </is>
      </c>
      <c r="E76" s="91"/>
      <c r="F76" s="91"/>
      <c r="G76" s="92"/>
    </row>
    <row r="77">
      <c r="A77" s="87" t="inlineStr">
        <is>
          <t xml:space="preserve">Card Gente · linha 3</t>
        </is>
      </c>
      <c r="B77" s="88"/>
      <c r="C77" s="89"/>
      <c r="D77" s="90" t="inlineStr">
        <is>
          <t xml:space="preserve">FÉRIAS</t>
        </is>
      </c>
      <c r="E77" s="91"/>
      <c r="F77" s="91"/>
      <c r="G77" s="92"/>
    </row>
    <row r="78">
      <c r="A78" s="87" t="inlineStr">
        <is>
          <t xml:space="preserve">Card Gente · linha 4</t>
        </is>
      </c>
      <c r="B78" s="88"/>
      <c r="C78" s="89"/>
      <c r="D78" s="90" t="inlineStr">
        <is>
          <t xml:space="preserve">TURNOVER</t>
        </is>
      </c>
      <c r="E78" s="91"/>
      <c r="F78" s="91"/>
      <c r="G78" s="92"/>
    </row>
    <row r="79">
      <c r="A79" s="87" t="inlineStr">
        <is>
          <t xml:space="preserve">Card Gente · linha 5</t>
        </is>
      </c>
      <c r="B79" s="88"/>
      <c r="C79" s="89"/>
      <c r="D79" s="90" t="inlineStr">
        <is>
          <t xml:space="preserve">DESVIOS COMPORTAM.</t>
        </is>
      </c>
      <c r="E79" s="91"/>
      <c r="F79" s="91"/>
      <c r="G79" s="92"/>
    </row>
    <row r="80">
      <c r="A80" s="87" t="inlineStr">
        <is>
          <t xml:space="preserve">Card Gente · linha 6</t>
        </is>
      </c>
      <c r="B80" s="88"/>
      <c r="C80" s="89"/>
      <c r="D80" s="90" t="inlineStr">
        <is>
          <t xml:space="preserve">ACIDENTES (CAF/SAF)</t>
        </is>
      </c>
      <c r="E80" s="91"/>
      <c r="F80" s="91"/>
      <c r="G80" s="92"/>
    </row>
    <row r="81">
      <c r="A81" s="87" t="inlineStr">
        <is>
          <t xml:space="preserve">Gráfico 1 · título</t>
        </is>
      </c>
      <c r="B81" s="88"/>
      <c r="C81" s="89"/>
      <c r="D81" s="90" t="inlineStr">
        <is>
          <t xml:space="preserve">MOVIMENTAÇÃO VEÍCULO/DIA</t>
        </is>
      </c>
      <c r="E81" s="91"/>
      <c r="F81" s="91"/>
      <c r="G81" s="92"/>
    </row>
    <row r="82">
      <c r="A82" s="87" t="inlineStr">
        <is>
          <t xml:space="preserve">Gráfico 1 · série IN</t>
        </is>
      </c>
      <c r="B82" s="88"/>
      <c r="C82" s="89"/>
      <c r="D82" s="90" t="inlineStr">
        <is>
          <t xml:space="preserve">Recebidos (IN)</t>
        </is>
      </c>
      <c r="E82" s="91"/>
      <c r="F82" s="91"/>
      <c r="G82" s="92"/>
    </row>
    <row r="83">
      <c r="A83" s="87" t="inlineStr">
        <is>
          <t xml:space="preserve">Gráfico 1 · série OUT</t>
        </is>
      </c>
      <c r="B83" s="88"/>
      <c r="C83" s="89"/>
      <c r="D83" s="90" t="inlineStr">
        <is>
          <t xml:space="preserve">Expedidos (OUT)</t>
        </is>
      </c>
      <c r="E83" s="91"/>
      <c r="F83" s="91"/>
      <c r="G83" s="92"/>
    </row>
    <row r="84">
      <c r="A84" s="87" t="inlineStr">
        <is>
          <t xml:space="preserve">Gráfico ocupação · título</t>
        </is>
      </c>
      <c r="B84" s="88"/>
      <c r="C84" s="89"/>
      <c r="D84" s="90" t="inlineStr">
        <is>
          <t xml:space="preserve">OCUPAÇÃO DIÁRIA</t>
        </is>
      </c>
      <c r="E84" s="91"/>
      <c r="F84" s="91"/>
      <c r="G84" s="92"/>
    </row>
    <row r="85">
      <c r="A85" s="87" t="inlineStr">
        <is>
          <t xml:space="preserve">Gráfico ocupação · título (só ocupadas)</t>
        </is>
      </c>
      <c r="B85" s="88"/>
      <c r="C85" s="89"/>
      <c r="D85" s="90" t="inlineStr">
        <is>
          <t xml:space="preserve">POSIÇÕES OCUPADAS/DIA</t>
        </is>
      </c>
      <c r="E85" s="91"/>
      <c r="F85" s="91"/>
      <c r="G85" s="92"/>
    </row>
    <row r="86">
      <c r="A86" s="87" t="inlineStr">
        <is>
          <t xml:space="preserve">Gráfico ocupação · título (não se aplica)</t>
        </is>
      </c>
      <c r="B86" s="88"/>
      <c r="C86" s="89"/>
      <c r="D86" s="90" t="inlineStr">
        <is>
          <t xml:space="preserve">OCUPAÇÃO — NÃO SE APLICA</t>
        </is>
      </c>
      <c r="E86" s="91"/>
      <c r="F86" s="91"/>
      <c r="G86" s="92"/>
    </row>
    <row r="87">
      <c r="A87" s="87" t="inlineStr">
        <is>
          <t xml:space="preserve">Gráfico ocupação · série ocupada</t>
        </is>
      </c>
      <c r="B87" s="88"/>
      <c r="C87" s="89"/>
      <c r="D87" s="90" t="inlineStr">
        <is>
          <t xml:space="preserve">Ocupada (p.p)</t>
        </is>
      </c>
      <c r="E87" s="91"/>
      <c r="F87" s="91"/>
      <c r="G87" s="92"/>
    </row>
    <row r="88">
      <c r="A88" s="87" t="inlineStr">
        <is>
          <t xml:space="preserve">Gráfico ocupação · linha (cliente)</t>
        </is>
      </c>
      <c r="B88" s="88"/>
      <c r="C88" s="89"/>
      <c r="D88" s="90" t="inlineStr">
        <is>
          <t xml:space="preserve">Contratada (p.p)</t>
        </is>
      </c>
      <c r="E88" s="91"/>
      <c r="F88" s="91"/>
      <c r="G88" s="92"/>
    </row>
    <row r="89">
      <c r="A89" s="87" t="inlineStr">
        <is>
          <t xml:space="preserve">Gráfico ocupação · linha (Todos / depósito)</t>
        </is>
      </c>
      <c r="B89" s="88"/>
      <c r="C89" s="89"/>
      <c r="D89" s="90" t="inlineStr">
        <is>
          <t xml:space="preserve">Capacidade do armazém (p.p)</t>
        </is>
      </c>
      <c r="E89" s="91"/>
      <c r="F89" s="91"/>
      <c r="G89" s="92"/>
    </row>
    <row r="93" ht="22" customHeight="1">
      <c r="A93" s="76" t="inlineStr">
        <is>
          <t xml:space="preserve">4 · PARÂMETROS — capacidade do armazém (posições) e faixas da taxa de ocupação</t>
        </is>
      </c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</row>
    <row r="94">
      <c r="A94" s="84" t="inlineStr">
        <is>
          <t xml:space="preserve">Parâmetro</t>
        </is>
      </c>
      <c r="B94" s="86"/>
      <c r="C94" s="16" t="inlineStr">
        <is>
          <t xml:space="preserve">Valor</t>
        </is>
      </c>
    </row>
    <row r="95">
      <c r="A95" s="87" t="inlineStr">
        <is>
          <t xml:space="preserve">Capacidade do armazém TPC (posições)</t>
        </is>
      </c>
      <c r="B95" s="89"/>
      <c r="C95" s="93">
        <v>23040</v>
      </c>
    </row>
    <row r="96">
      <c r="A96" s="87" t="inlineStr">
        <is>
          <t xml:space="preserve">Ocupação · faixa de atenção (amarelo a partir de)</t>
        </is>
      </c>
      <c r="B96" s="89"/>
      <c r="C96" s="94">
        <v>0.7</v>
      </c>
    </row>
    <row r="97">
      <c r="A97" s="87" t="inlineStr">
        <is>
          <t xml:space="preserve">Ocupação · faixa alta (verde a partir de)</t>
        </is>
      </c>
      <c r="B97" s="89"/>
      <c r="C97" s="94">
        <v>0.9</v>
      </c>
    </row>
  </sheetData>
  <sheetProtection password="CC78" sheet="1" objects="1" scenarios="1"/>
  <mergeCells count="76">
    <mergeCell ref="A1:T1"/>
    <mergeCell ref="A2:T2"/>
    <mergeCell ref="A3:T3"/>
    <mergeCell ref="A4:T4"/>
    <mergeCell ref="A5:T5"/>
    <mergeCell ref="AL7:AR7"/>
    <mergeCell ref="A7:T7"/>
    <mergeCell ref="A33:T33"/>
    <mergeCell ref="A58:T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3:T93"/>
    <mergeCell ref="A94:B94"/>
    <mergeCell ref="A95:B95"/>
    <mergeCell ref="A96:B96"/>
    <mergeCell ref="A97:B97"/>
  </mergeCells>
  <conditionalFormatting sqref="C10:T29">
    <cfRule type="expression" dxfId="5" priority="1" stopIfTrue="1">
      <formula>$B10=""</formula>
    </cfRule>
  </conditionalFormatting>
  <conditionalFormatting sqref="D9:D29">
    <cfRule type="expression" dxfId="3" priority="2">
      <formula>D9="Não se aplica"</formula>
    </cfRule>
  </conditionalFormatting>
  <conditionalFormatting sqref="H9:H29">
    <cfRule type="expression" dxfId="3" priority="3">
      <formula>H9="Não se aplica"</formula>
    </cfRule>
  </conditionalFormatting>
  <conditionalFormatting sqref="L9:L29">
    <cfRule type="expression" dxfId="3" priority="4">
      <formula>L9="Não se aplica"</formula>
    </cfRule>
  </conditionalFormatting>
  <conditionalFormatting sqref="L9:L29">
    <cfRule type="expression" dxfId="4" priority="5">
      <formula>L9="Só ocupadas"</formula>
    </cfRule>
  </conditionalFormatting>
  <conditionalFormatting sqref="D35:AI54">
    <cfRule type="expression" dxfId="5" priority="6" stopIfTrue="1">
      <formula>$B35=""</formula>
    </cfRule>
  </conditionalFormatting>
  <conditionalFormatting sqref="D35:AI54">
    <cfRule type="expression" dxfId="3" priority="7">
      <formula>D35="Não"</formula>
    </cfRule>
  </conditionalFormatting>
  <dataValidations count="17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TPC" errorTitle="Valor inválido" error="Escolha um valor da lista." sqref="C10:C29">
      <formula1>"TPC"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E9:E29">
      <formula1>Config!$AL$9:$AL$42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F9:F29">
      <formula1>Config!$AL$9:$AL$42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Config!$AL$9:$AL$42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Config!$AL$9:$AL$42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J9:J29">
      <formula1>Config!$AL$9:$AL$42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Config!$AL$9:$AL$42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Config!$AL$9:$AL$42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N9:N29">
      <formula1>Config!$AL$9:$AL$42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Q9:Q29">
      <formula1>Config!$AL$9:$AL$42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R9:R29">
      <formula1>Config!$AL$9:$AL$42</formula1>
    </dataValidation>
    <dataValidation type="list" allowBlank="1" showInputMessage="1" showErrorMessage="1" promptTitle="Card" prompt="Sim ou Não se aplica." errorTitle="Valor inválido" error="Escolha um valor da lista." sqref="D9:D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H9:H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L9:L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I54">
      <formula1>"Sim,Não"</formula1>
    </dataValidation>
    <dataValidation type="decimal" operator="greaterThanOrEqual" allowBlank="1" showInputMessage="0" showErrorMessage="1" errorTitle="Valor inválido" error="Use 0 ou um número maior." sqref="C95:C97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X339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40" max="40" width="20" customWidth="1"/>
    <col min="42" max="42" width="22" customWidth="1"/>
    <col min="43" max="43" width="12" customWidth="1"/>
    <col min="45" max="45" width="52" customWidth="1"/>
    <col min="48" max="48" width="14" customWidth="1"/>
    <col min="50" max="50" width="20" customWidth="1"/>
  </cols>
  <sheetData>
    <row r="1">
      <c r="A1" s="26" t="inlineStr">
        <is>
          <t xml:space="preserve">CÁLCULOS — base da aba Consol Mensal (mês e filtro da própria aba) · gerado automaticamente</t>
        </is>
      </c>
    </row>
    <row r="2">
      <c r="A2" s="27" t="inlineStr">
        <is>
          <t xml:space="preserve">Cliente selecionado</t>
        </is>
      </c>
      <c r="B2" s="27" t="str">
        <f>IF(OR('Consol Mensal'!$D$3="",'Consol Mensal'!$D$3="Todos"),"Todos",'Consol Mensal'!$D$3)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IFERROR(INDEX($AQ$12:$AQ$32,MATCH($B$2,$AP$12:$AP$32,0)),"")</f>
        <v>TPC</v>
      </c>
    </row>
    <row r="3">
      <c r="A3" s="27" t="inlineStr">
        <is>
          <t xml:space="preserve">Capacidade (posições)</t>
        </is>
      </c>
      <c r="B3" s="30">
        <f>SUM($AW$13:$AW$13)</f>
        <v>23040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23040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O10" s="38" t="inlineStr">
        <is>
          <t xml:space="preserve">clientes</t>
        </is>
      </c>
      <c r="AP10" s="39">
        <f>MAX(1,$AR$32)</f>
        <v>10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IN Linhas NF</t>
        </is>
      </c>
      <c r="G11" s="37" t="inlineStr">
        <is>
          <t xml:space="preserve">IN Caixas Movimentadas</t>
        </is>
      </c>
      <c r="H11" s="37" t="inlineStr">
        <is>
          <t xml:space="preserve">IN Peças Movimentadas</t>
        </is>
      </c>
      <c r="I11" s="37" t="inlineStr">
        <is>
          <t xml:space="preserve">IN Itens Recebidos</t>
        </is>
      </c>
      <c r="J11" s="37" t="inlineStr">
        <is>
          <t xml:space="preserve">IN Itens Recebidos CX Mista</t>
        </is>
      </c>
      <c r="K11" s="37" t="inlineStr">
        <is>
          <t xml:space="preserve">IN Caixas Fechadas</t>
        </is>
      </c>
      <c r="L11" s="37" t="inlineStr">
        <is>
          <t xml:space="preserve">IN Caixas Mistas Recebidas</t>
        </is>
      </c>
      <c r="M11" s="37" t="inlineStr">
        <is>
          <t xml:space="preserve">OUT Veículos Expedidos</t>
        </is>
      </c>
      <c r="N11" s="37" t="inlineStr">
        <is>
          <t xml:space="preserve">OUT Pedidos Expedidos</t>
        </is>
      </c>
      <c r="O11" s="37" t="inlineStr">
        <is>
          <t xml:space="preserve">OUT Pedidos Faturados</t>
        </is>
      </c>
      <c r="P11" s="37" t="inlineStr">
        <is>
          <t xml:space="preserve">OUT Itens Expedidos</t>
        </is>
      </c>
      <c r="Q11" s="37" t="inlineStr">
        <is>
          <t xml:space="preserve">OUT Peças Movimentadas</t>
        </is>
      </c>
      <c r="R11" s="37" t="inlineStr">
        <is>
          <t xml:space="preserve">OUT Linhas NF</t>
        </is>
      </c>
      <c r="S11" s="37" t="inlineStr">
        <is>
          <t xml:space="preserve">OUT Caixas Expedidas</t>
        </is>
      </c>
      <c r="T11" s="37" t="inlineStr">
        <is>
          <t xml:space="preserve">OUT Pallets Movimentados</t>
        </is>
      </c>
      <c r="U11" s="37" t="inlineStr">
        <is>
          <t xml:space="preserve">OUT Toneladas Movimentadas</t>
        </is>
      </c>
      <c r="V11" s="37" t="inlineStr">
        <is>
          <t xml:space="preserve">NC Incidentes</t>
        </is>
      </c>
      <c r="W11" s="37" t="inlineStr">
        <is>
          <t xml:space="preserve">NC No show</t>
        </is>
      </c>
      <c r="X11" s="37" t="inlineStr">
        <is>
          <t xml:space="preserve">NC Backlog</t>
        </is>
      </c>
      <c r="Y11" s="37" t="inlineStr">
        <is>
          <t xml:space="preserve">OCUPAÇÃO (P.P) Posições Disponíveis</t>
        </is>
      </c>
      <c r="Z11" s="37" t="inlineStr">
        <is>
          <t xml:space="preserve">OCUPAÇÃO (P.P) Posições Ocupadas</t>
        </is>
      </c>
      <c r="AA11" s="37" t="inlineStr">
        <is>
          <t xml:space="preserve">OCUPAÇÃO (P.P) Taxa de Ocupação</t>
        </is>
      </c>
      <c r="AB11" s="37" t="inlineStr">
        <is>
          <t xml:space="preserve">GENTE Efetivo Op.</t>
        </is>
      </c>
      <c r="AC11" s="37" t="inlineStr">
        <is>
          <t xml:space="preserve">GENTE Falta</t>
        </is>
      </c>
      <c r="AD11" s="37" t="inlineStr">
        <is>
          <t xml:space="preserve">GENTE Folga</t>
        </is>
      </c>
      <c r="AE11" s="37" t="inlineStr">
        <is>
          <t xml:space="preserve">GENTE Férias</t>
        </is>
      </c>
      <c r="AF11" s="37" t="inlineStr">
        <is>
          <t xml:space="preserve">GENTE Desligamento</t>
        </is>
      </c>
      <c r="AG11" s="37" t="inlineStr">
        <is>
          <t xml:space="preserve">GENTE Desvios Comportamentais</t>
        </is>
      </c>
      <c r="AH11" s="37" t="inlineStr">
        <is>
          <t xml:space="preserve">GENTE Acidentes CAF</t>
        </is>
      </c>
      <c r="AI11" s="37" t="inlineStr">
        <is>
          <t xml:space="preserve">GENTE Acidentes SAF</t>
        </is>
      </c>
      <c r="AJ11" s="37" t="inlineStr">
        <is>
          <t xml:space="preserve">Faixa atenção</t>
        </is>
      </c>
      <c r="AK11" s="37" t="inlineStr">
        <is>
          <t xml:space="preserve">Faixa crítica</t>
        </is>
      </c>
      <c r="AN11" s="37" t="inlineStr">
        <is>
          <t xml:space="preserve">Meses (filtros das abas)</t>
        </is>
      </c>
      <c r="AP11" s="37" t="inlineStr">
        <is>
          <t xml:space="preserve">Filtro: depósito / cliente</t>
        </is>
      </c>
      <c r="AQ11" s="37" t="inlineStr">
        <is>
          <t xml:space="preserve">Depósito</t>
        </is>
      </c>
      <c r="AR11" s="37" t="inlineStr">
        <is>
          <t xml:space="preserve">Nº (vagas)</t>
        </is>
      </c>
      <c r="AS11" s="37" t="inlineStr">
        <is>
          <t xml:space="preserve">Títulos dos gráficos (seguem os filtros)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32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>
        <f>IF($B12="","",IF($B$2="Todos",SUMIFS(BD!$K$3:$K$5001,BD!$A$3:$A$5001,$B12),SUMIFS(BD!$K$3:$K$5001,BD!$A$3:$A$5001,$B12,BD!$B$3:$B$5001,$D$2)))</f>
        <v>0</v>
      </c>
      <c r="L12" s="32">
        <f>IF($B12="","",IF($B$2="Todos",SUMIFS(BD!$L$3:$L$5001,BD!$A$3:$A$5001,$B12),SUMIFS(BD!$L$3:$L$5001,BD!$A$3:$A$5001,$B12,BD!$B$3:$B$5001,$D$2)))</f>
        <v>0</v>
      </c>
      <c r="M12" s="32">
        <f>IF($B12="","",IF($B$2="Todos",SUMIFS(BD!$M$3:$M$5001,BD!$A$3:$A$5001,$B12),SUMIFS(BD!$M$3:$M$5001,BD!$A$3:$A$5001,$B12,BD!$B$3:$B$5001,$D$2)))</f>
        <v>0</v>
      </c>
      <c r="N12" s="32">
        <f>IF($B12="","",IF($B$2="Todos",SUMIFS(BD!$N$3:$N$5001,BD!$A$3:$A$5001,$B12),SUMIFS(BD!$N$3:$N$5001,BD!$A$3:$A$5001,$B12,BD!$B$3:$B$5001,$D$2)))</f>
        <v>0</v>
      </c>
      <c r="O12" s="32">
        <f>IF($B12="","",IF($B$2="Todos",SUMIFS(BD!$O$3:$O$5001,BD!$A$3:$A$5001,$B12),SUMIFS(BD!$O$3:$O$5001,BD!$A$3:$A$5001,$B12,BD!$B$3:$B$5001,$D$2)))</f>
        <v>0</v>
      </c>
      <c r="P12" s="32">
        <f>IF($B12="","",IF($B$2="Todos",SUMIFS(BD!$P$3:$P$5001,BD!$A$3:$A$5001,$B12),SUMIFS(BD!$P$3:$P$5001,BD!$A$3:$A$5001,$B12,BD!$B$3:$B$5001,$D$2)))</f>
        <v>0</v>
      </c>
      <c r="Q12" s="32">
        <f>IF($B12="","",IF($B$2="Todos",SUMIFS(BD!$Q$3:$Q$5001,BD!$A$3:$A$5001,$B12),SUMIFS(BD!$Q$3:$Q$5001,BD!$A$3:$A$5001,$B12,BD!$B$3:$B$5001,$D$2)))</f>
        <v>0</v>
      </c>
      <c r="R12" s="32">
        <f>IF($B12="","",IF($B$2="Todos",SUMIFS(BD!$R$3:$R$5001,BD!$A$3:$A$5001,$B12),SUMIFS(BD!$R$3:$R$5001,BD!$A$3:$A$5001,$B12,BD!$B$3:$B$5001,$D$2)))</f>
        <v>0</v>
      </c>
      <c r="S12" s="32">
        <f>IF($B12="","",IF($B$2="Todos",SUMIFS(BD!$S$3:$S$5001,BD!$A$3:$A$5001,$B12),SUMIFS(BD!$S$3:$S$5001,BD!$A$3:$A$5001,$B12,BD!$B$3:$B$5001,$D$2)))</f>
        <v>0</v>
      </c>
      <c r="T12" s="32">
        <f>IF($B12="","",IF($B$2="Todos",SUMIFS(BD!$T$3:$T$5001,BD!$A$3:$A$5001,$B12),SUMIFS(BD!$T$3:$T$5001,BD!$A$3:$A$5001,$B12,BD!$B$3:$B$5001,$D$2)))</f>
        <v>0</v>
      </c>
      <c r="U12" s="47">
        <f>IF($B12="","",IF($B$2="Todos",SUMIFS(BD!$U$3:$U$5001,BD!$A$3:$A$5001,$B12),SUMIFS(BD!$U$3:$U$5001,BD!$A$3:$A$5001,$B12,BD!$B$3:$B$5001,$D$2)))</f>
        <v>0</v>
      </c>
      <c r="V12" s="32">
        <f>IF($B12="","",IF($B$2="Todos",SUMIFS(BD!$V$3:$V$5001,BD!$A$3:$A$5001,$B12),SUMIFS(BD!$V$3:$V$5001,BD!$A$3:$A$5001,$B12,BD!$B$3:$B$5001,$D$2)))</f>
        <v>0</v>
      </c>
      <c r="W12" s="32">
        <f>IF($B12="","",IF($B$2="Todos",SUMIFS(BD!$W$3:$W$5001,BD!$A$3:$A$5001,$B12),SUMIFS(BD!$W$3:$W$5001,BD!$A$3:$A$5001,$B12,BD!$B$3:$B$5001,$D$2)))</f>
        <v>0</v>
      </c>
      <c r="X12" s="32" t="str">
        <f>IF($B$2="Todos",IF(COUNT($C$141:$V$141)=0,"",SUM($C$141:$V$141)),IFERROR(INDEX($C$141:$V$141,MATCH($D$2,$C$140:$V$140,0)),""))</f>
        <v/>
      </c>
      <c r="Y12" s="48" t="str">
        <f>IF(Z12="","",IF($B$2="Todos",IF($B$4&gt;0,$B$4,IF($B$2="Todos",IF(COUNT($C$211:$V$211)=0,"",SUM($C$211:$V$211)),IFERROR(INDEX($C$211:$V$211,MATCH($D$2,$C$210:$V$210,0)),""))),IFERROR(INDEX($C$211:$V$211,MATCH($D$2,$C$210:$V$210,0)),"")))</f>
        <v/>
      </c>
      <c r="Z12" s="32" t="str">
        <f>IF($B$2="Todos",IF(COUNT($C$176:$V$176)=0,"",SUM($C$176:$V$176)),IFERROR(INDEX($C$176:$V$176,MATCH($D$2,$C$175:$V$175,0)),""))</f>
        <v/>
      </c>
      <c r="AA12" s="49" t="str">
        <f>IF(AND(ISNUMBER(Z12),ISNUMBER(Y12)),IF(Y12&gt;0,Z12/Y12,""),"")</f>
        <v/>
      </c>
      <c r="AB12" s="32" t="str">
        <f>IF($B$2="Todos",IF(COUNT($C$246:$V$246)=0,"",SUM($C$246:$V$246)),IFERROR(INDEX($C$246:$V$246,MATCH($D$2,$C$245:$V$245,0)),""))</f>
        <v/>
      </c>
      <c r="AC12" s="32">
        <f>IF($B12="","",IF($B$2="Todos",SUMIFS(BD!$AB$3:$AB$5001,BD!$A$3:$A$5001,$B12),SUMIFS(BD!$AB$3:$AB$5001,BD!$A$3:$A$5001,$B12,BD!$B$3:$B$5001,$D$2)))</f>
        <v>0</v>
      </c>
      <c r="AD12" s="32">
        <f>IF($B12="","",IF($B$2="Todos",SUMIFS(BD!$AC$3:$AC$5001,BD!$A$3:$A$5001,$B12),SUMIFS(BD!$AC$3:$AC$5001,BD!$A$3:$A$5001,$B12,BD!$B$3:$B$5001,$D$2)))</f>
        <v>0</v>
      </c>
      <c r="AE12" s="32">
        <f>IF($B12="","",IF($B$2="Todos",SUMIFS(BD!$AD$3:$AD$5001,BD!$A$3:$A$5001,$B12),SUMIFS(BD!$AD$3:$AD$5001,BD!$A$3:$A$5001,$B12,BD!$B$3:$B$5001,$D$2)))</f>
        <v>0</v>
      </c>
      <c r="AF12" s="32">
        <f>IF($B12="","",IF($B$2="Todos",SUMIFS(BD!$AE$3:$AE$5001,BD!$A$3:$A$5001,$B12),SUMIFS(BD!$AE$3:$AE$5001,BD!$A$3:$A$5001,$B12,BD!$B$3:$B$5001,$D$2)))</f>
        <v>0</v>
      </c>
      <c r="AG12" s="32">
        <f>IF($B12="","",IF($B$2="Todos",SUMIFS(BD!$AF$3:$AF$5001,BD!$A$3:$A$5001,$B12),SUMIFS(BD!$AF$3:$AF$5001,BD!$A$3:$A$5001,$B12,BD!$B$3:$B$5001,$D$2)))</f>
        <v>0</v>
      </c>
      <c r="AH12" s="32">
        <f>IF($B12="","",IF($B$2="Todos",SUMIFS(BD!$AG$3:$AG$5001,BD!$A$3:$A$5001,$B12),SUMIFS(BD!$AG$3:$AG$5001,BD!$A$3:$A$5001,$B12,BD!$B$3:$B$5001,$D$2)))</f>
        <v>0</v>
      </c>
      <c r="AI12" s="32">
        <f>IF($B12="","",IF($B$2="Todos",SUMIFS(BD!$AH$3:$AH$5001,BD!$A$3:$A$5001,$B12),SUMIFS(BD!$AH$3:$AH$5001,BD!$A$3:$A$5001,$B12,BD!$B$3:$B$5001,$D$2)))</f>
        <v>0</v>
      </c>
      <c r="AJ12" s="50">
        <f>$B$5</f>
        <v>0.7</v>
      </c>
      <c r="AK12" s="50">
        <f>$B$6</f>
        <v>0.9</v>
      </c>
      <c r="AN12" s="29" t="inlineStr">
        <is>
          <t xml:space="preserve">JANEIRO · 2026</t>
        </is>
      </c>
      <c r="AP12" s="29" t="inlineStr">
        <is>
          <t xml:space="preserve">Todos</t>
        </is>
      </c>
      <c r="AQ12" s="28" t="inlineStr">
        <is>
          <t xml:space="preserve">TPC</t>
        </is>
      </c>
      <c r="AS12" s="29" t="str">
        <f>"MOVIMENTAÇÃO FROTA/DIA — "&amp;IF($B$2="Todos","TODOS OS CLIENTES",UPPER($B$2))</f>
        <v>MOVIMENTAÇÃO FROTA/DIA — TODOS OS CLIENTES</v>
      </c>
      <c r="AV12" s="37" t="inlineStr">
        <is>
          <t xml:space="preserve">Capacidade por depósito</t>
        </is>
      </c>
      <c r="AW12" s="37" t="inlineStr">
        <is>
          <t xml:space="preserve">Posições</t>
        </is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32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>
        <f>IF($B13="","",IF($B$2="Todos",SUMIFS(BD!$K$3:$K$5001,BD!$A$3:$A$5001,$B13),SUMIFS(BD!$K$3:$K$5001,BD!$A$3:$A$5001,$B13,BD!$B$3:$B$5001,$D$2)))</f>
        <v>0</v>
      </c>
      <c r="L13" s="32">
        <f>IF($B13="","",IF($B$2="Todos",SUMIFS(BD!$L$3:$L$5001,BD!$A$3:$A$5001,$B13),SUMIFS(BD!$L$3:$L$5001,BD!$A$3:$A$5001,$B13,BD!$B$3:$B$5001,$D$2)))</f>
        <v>0</v>
      </c>
      <c r="M13" s="32">
        <f>IF($B13="","",IF($B$2="Todos",SUMIFS(BD!$M$3:$M$5001,BD!$A$3:$A$5001,$B13),SUMIFS(BD!$M$3:$M$5001,BD!$A$3:$A$5001,$B13,BD!$B$3:$B$5001,$D$2)))</f>
        <v>0</v>
      </c>
      <c r="N13" s="32">
        <f>IF($B13="","",IF($B$2="Todos",SUMIFS(BD!$N$3:$N$5001,BD!$A$3:$A$5001,$B13),SUMIFS(BD!$N$3:$N$5001,BD!$A$3:$A$5001,$B13,BD!$B$3:$B$5001,$D$2)))</f>
        <v>0</v>
      </c>
      <c r="O13" s="32">
        <f>IF($B13="","",IF($B$2="Todos",SUMIFS(BD!$O$3:$O$5001,BD!$A$3:$A$5001,$B13),SUMIFS(BD!$O$3:$O$5001,BD!$A$3:$A$5001,$B13,BD!$B$3:$B$5001,$D$2)))</f>
        <v>0</v>
      </c>
      <c r="P13" s="32">
        <f>IF($B13="","",IF($B$2="Todos",SUMIFS(BD!$P$3:$P$5001,BD!$A$3:$A$5001,$B13),SUMIFS(BD!$P$3:$P$5001,BD!$A$3:$A$5001,$B13,BD!$B$3:$B$5001,$D$2)))</f>
        <v>0</v>
      </c>
      <c r="Q13" s="32">
        <f>IF($B13="","",IF($B$2="Todos",SUMIFS(BD!$Q$3:$Q$5001,BD!$A$3:$A$5001,$B13),SUMIFS(BD!$Q$3:$Q$5001,BD!$A$3:$A$5001,$B13,BD!$B$3:$B$5001,$D$2)))</f>
        <v>0</v>
      </c>
      <c r="R13" s="32">
        <f>IF($B13="","",IF($B$2="Todos",SUMIFS(BD!$R$3:$R$5001,BD!$A$3:$A$5001,$B13),SUMIFS(BD!$R$3:$R$5001,BD!$A$3:$A$5001,$B13,BD!$B$3:$B$5001,$D$2)))</f>
        <v>0</v>
      </c>
      <c r="S13" s="32">
        <f>IF($B13="","",IF($B$2="Todos",SUMIFS(BD!$S$3:$S$5001,BD!$A$3:$A$5001,$B13),SUMIFS(BD!$S$3:$S$5001,BD!$A$3:$A$5001,$B13,BD!$B$3:$B$5001,$D$2)))</f>
        <v>0</v>
      </c>
      <c r="T13" s="32">
        <f>IF($B13="","",IF($B$2="Todos",SUMIFS(BD!$T$3:$T$5001,BD!$A$3:$A$5001,$B13),SUMIFS(BD!$T$3:$T$5001,BD!$A$3:$A$5001,$B13,BD!$B$3:$B$5001,$D$2)))</f>
        <v>0</v>
      </c>
      <c r="U13" s="47">
        <f>IF($B13="","",IF($B$2="Todos",SUMIFS(BD!$U$3:$U$5001,BD!$A$3:$A$5001,$B13),SUMIFS(BD!$U$3:$U$5001,BD!$A$3:$A$5001,$B13,BD!$B$3:$B$5001,$D$2)))</f>
        <v>0</v>
      </c>
      <c r="V13" s="32">
        <f>IF($B13="","",IF($B$2="Todos",SUMIFS(BD!$V$3:$V$5001,BD!$A$3:$A$5001,$B13),SUMIFS(BD!$V$3:$V$5001,BD!$A$3:$A$5001,$B13,BD!$B$3:$B$5001,$D$2)))</f>
        <v>0</v>
      </c>
      <c r="W13" s="32">
        <f>IF($B13="","",IF($B$2="Todos",SUMIFS(BD!$W$3:$W$5001,BD!$A$3:$A$5001,$B13),SUMIFS(BD!$W$3:$W$5001,BD!$A$3:$A$5001,$B13,BD!$B$3:$B$5001,$D$2)))</f>
        <v>0</v>
      </c>
      <c r="X13" s="32" t="str">
        <f>IF($B$2="Todos",IF(COUNT($C$142:$V$142)=0,"",SUM($C$142:$V$142)),IFERROR(INDEX($C$142:$V$142,MATCH($D$2,$C$140:$V$140,0)),""))</f>
        <v/>
      </c>
      <c r="Y13" s="48" t="str">
        <f>IF(Z13="","",IF($B$2="Todos",IF($B$4&gt;0,$B$4,IF($B$2="Todos",IF(COUNT($C$212:$V$212)=0,"",SUM($C$212:$V$212)),IFERROR(INDEX($C$212:$V$212,MATCH($D$2,$C$210:$V$210,0)),""))),IFERROR(INDEX($C$212:$V$212,MATCH($D$2,$C$210:$V$210,0)),"")))</f>
        <v/>
      </c>
      <c r="Z13" s="32" t="str">
        <f>IF($B$2="Todos",IF(COUNT($C$177:$V$177)=0,"",SUM($C$177:$V$177)),IFERROR(INDEX($C$177:$V$177,MATCH($D$2,$C$175:$V$175,0)),""))</f>
        <v/>
      </c>
      <c r="AA13" s="49" t="str">
        <f>IF(AND(ISNUMBER(Z13),ISNUMBER(Y13)),IF(Y13&gt;0,Z13/Y13,""),"")</f>
        <v/>
      </c>
      <c r="AB13" s="32" t="str">
        <f>IF($B$2="Todos",IF(COUNT($C$247:$V$247)=0,"",SUM($C$247:$V$247)),IFERROR(INDEX($C$247:$V$247,MATCH($D$2,$C$245:$V$245,0)),""))</f>
        <v/>
      </c>
      <c r="AC13" s="32">
        <f>IF($B13="","",IF($B$2="Todos",SUMIFS(BD!$AB$3:$AB$5001,BD!$A$3:$A$5001,$B13),SUMIFS(BD!$AB$3:$AB$5001,BD!$A$3:$A$5001,$B13,BD!$B$3:$B$5001,$D$2)))</f>
        <v>0</v>
      </c>
      <c r="AD13" s="32">
        <f>IF($B13="","",IF($B$2="Todos",SUMIFS(BD!$AC$3:$AC$5001,BD!$A$3:$A$5001,$B13),SUMIFS(BD!$AC$3:$AC$5001,BD!$A$3:$A$5001,$B13,BD!$B$3:$B$5001,$D$2)))</f>
        <v>0</v>
      </c>
      <c r="AE13" s="32">
        <f>IF($B13="","",IF($B$2="Todos",SUMIFS(BD!$AD$3:$AD$5001,BD!$A$3:$A$5001,$B13),SUMIFS(BD!$AD$3:$AD$5001,BD!$A$3:$A$5001,$B13,BD!$B$3:$B$5001,$D$2)))</f>
        <v>0</v>
      </c>
      <c r="AF13" s="32">
        <f>IF($B13="","",IF($B$2="Todos",SUMIFS(BD!$AE$3:$AE$5001,BD!$A$3:$A$5001,$B13),SUMIFS(BD!$AE$3:$AE$5001,BD!$A$3:$A$5001,$B13,BD!$B$3:$B$5001,$D$2)))</f>
        <v>0</v>
      </c>
      <c r="AG13" s="32">
        <f>IF($B13="","",IF($B$2="Todos",SUMIFS(BD!$AF$3:$AF$5001,BD!$A$3:$A$5001,$B13),SUMIFS(BD!$AF$3:$AF$5001,BD!$A$3:$A$5001,$B13,BD!$B$3:$B$5001,$D$2)))</f>
        <v>0</v>
      </c>
      <c r="AH13" s="32">
        <f>IF($B13="","",IF($B$2="Todos",SUMIFS(BD!$AG$3:$AG$5001,BD!$A$3:$A$5001,$B13),SUMIFS(BD!$AG$3:$AG$5001,BD!$A$3:$A$5001,$B13,BD!$B$3:$B$5001,$D$2)))</f>
        <v>0</v>
      </c>
      <c r="AI13" s="32">
        <f>IF($B13="","",IF($B$2="Todos",SUMIFS(BD!$AH$3:$AH$5001,BD!$A$3:$A$5001,$B13),SUMIFS(BD!$AH$3:$AH$5001,BD!$A$3:$A$5001,$B13,BD!$B$3:$B$5001,$D$2)))</f>
        <v>0</v>
      </c>
      <c r="AJ13" s="50">
        <f>$B$5</f>
        <v>0.7</v>
      </c>
      <c r="AK13" s="50">
        <f>$B$6</f>
        <v>0.9</v>
      </c>
      <c r="AN13" s="29" t="inlineStr">
        <is>
          <t xml:space="preserve">FEVEREIRO · 2026</t>
        </is>
      </c>
      <c r="AP13" s="29" t="str">
        <f>IFERROR(INDEX(Config!$B$10:$B$29,MATCH(1,$AR$13:$AR$32,0))&amp;"","")</f>
        <v>Alpargatas</v>
      </c>
      <c r="AQ13" s="28" t="str">
        <f>IF(AP13="","",IF(INDEX(Config!$C$10:$C$29,MATCH(1,$AR$13:$AR$32,0))&amp;""="","TPC",INDEX(Config!$C$10:$C$29,MATCH(1,$AR$13:$AR$32,0))&amp;""))</f>
        <v>TPC</v>
      </c>
      <c r="AR13" s="38">
        <f>IF(Config!$B$10&amp;""="",0,0+1)</f>
        <v>1</v>
      </c>
      <c r="AS13" s="29" t="str">
        <f>"OCUPAÇÃO DIÁRIA — "&amp;IF($B$2="Todos","TODOS OS CLIENTES",UPPER($B$2))</f>
        <v>OCUPAÇÃO DIÁRIA — TODOS OS CLIENTES</v>
      </c>
      <c r="AV13" s="40" t="inlineStr">
        <is>
          <t xml:space="preserve">TPC</t>
        </is>
      </c>
      <c r="AW13" s="41">
        <f>N(Config!$C$95)</f>
        <v>23040</v>
      </c>
      <c r="AX13" s="31" t="inlineStr">
        <is>
          <t xml:space="preserve">aba Config</t>
        </is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32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>
        <f>IF($B14="","",IF($B$2="Todos",SUMIFS(BD!$K$3:$K$5001,BD!$A$3:$A$5001,$B14),SUMIFS(BD!$K$3:$K$5001,BD!$A$3:$A$5001,$B14,BD!$B$3:$B$5001,$D$2)))</f>
        <v>0</v>
      </c>
      <c r="L14" s="32">
        <f>IF($B14="","",IF($B$2="Todos",SUMIFS(BD!$L$3:$L$5001,BD!$A$3:$A$5001,$B14),SUMIFS(BD!$L$3:$L$5001,BD!$A$3:$A$5001,$B14,BD!$B$3:$B$5001,$D$2)))</f>
        <v>0</v>
      </c>
      <c r="M14" s="32">
        <f>IF($B14="","",IF($B$2="Todos",SUMIFS(BD!$M$3:$M$5001,BD!$A$3:$A$5001,$B14),SUMIFS(BD!$M$3:$M$5001,BD!$A$3:$A$5001,$B14,BD!$B$3:$B$5001,$D$2)))</f>
        <v>0</v>
      </c>
      <c r="N14" s="32">
        <f>IF($B14="","",IF($B$2="Todos",SUMIFS(BD!$N$3:$N$5001,BD!$A$3:$A$5001,$B14),SUMIFS(BD!$N$3:$N$5001,BD!$A$3:$A$5001,$B14,BD!$B$3:$B$5001,$D$2)))</f>
        <v>0</v>
      </c>
      <c r="O14" s="32">
        <f>IF($B14="","",IF($B$2="Todos",SUMIFS(BD!$O$3:$O$5001,BD!$A$3:$A$5001,$B14),SUMIFS(BD!$O$3:$O$5001,BD!$A$3:$A$5001,$B14,BD!$B$3:$B$5001,$D$2)))</f>
        <v>0</v>
      </c>
      <c r="P14" s="32">
        <f>IF($B14="","",IF($B$2="Todos",SUMIFS(BD!$P$3:$P$5001,BD!$A$3:$A$5001,$B14),SUMIFS(BD!$P$3:$P$5001,BD!$A$3:$A$5001,$B14,BD!$B$3:$B$5001,$D$2)))</f>
        <v>0</v>
      </c>
      <c r="Q14" s="32">
        <f>IF($B14="","",IF($B$2="Todos",SUMIFS(BD!$Q$3:$Q$5001,BD!$A$3:$A$5001,$B14),SUMIFS(BD!$Q$3:$Q$5001,BD!$A$3:$A$5001,$B14,BD!$B$3:$B$5001,$D$2)))</f>
        <v>0</v>
      </c>
      <c r="R14" s="32">
        <f>IF($B14="","",IF($B$2="Todos",SUMIFS(BD!$R$3:$R$5001,BD!$A$3:$A$5001,$B14),SUMIFS(BD!$R$3:$R$5001,BD!$A$3:$A$5001,$B14,BD!$B$3:$B$5001,$D$2)))</f>
        <v>0</v>
      </c>
      <c r="S14" s="32">
        <f>IF($B14="","",IF($B$2="Todos",SUMIFS(BD!$S$3:$S$5001,BD!$A$3:$A$5001,$B14),SUMIFS(BD!$S$3:$S$5001,BD!$A$3:$A$5001,$B14,BD!$B$3:$B$5001,$D$2)))</f>
        <v>0</v>
      </c>
      <c r="T14" s="32">
        <f>IF($B14="","",IF($B$2="Todos",SUMIFS(BD!$T$3:$T$5001,BD!$A$3:$A$5001,$B14),SUMIFS(BD!$T$3:$T$5001,BD!$A$3:$A$5001,$B14,BD!$B$3:$B$5001,$D$2)))</f>
        <v>0</v>
      </c>
      <c r="U14" s="47">
        <f>IF($B14="","",IF($B$2="Todos",SUMIFS(BD!$U$3:$U$5001,BD!$A$3:$A$5001,$B14),SUMIFS(BD!$U$3:$U$5001,BD!$A$3:$A$5001,$B14,BD!$B$3:$B$5001,$D$2)))</f>
        <v>0</v>
      </c>
      <c r="V14" s="32">
        <f>IF($B14="","",IF($B$2="Todos",SUMIFS(BD!$V$3:$V$5001,BD!$A$3:$A$5001,$B14),SUMIFS(BD!$V$3:$V$5001,BD!$A$3:$A$5001,$B14,BD!$B$3:$B$5001,$D$2)))</f>
        <v>0</v>
      </c>
      <c r="W14" s="32">
        <f>IF($B14="","",IF($B$2="Todos",SUMIFS(BD!$W$3:$W$5001,BD!$A$3:$A$5001,$B14),SUMIFS(BD!$W$3:$W$5001,BD!$A$3:$A$5001,$B14,BD!$B$3:$B$5001,$D$2)))</f>
        <v>0</v>
      </c>
      <c r="X14" s="32" t="str">
        <f>IF($B$2="Todos",IF(COUNT($C$143:$V$143)=0,"",SUM($C$143:$V$143)),IFERROR(INDEX($C$143:$V$143,MATCH($D$2,$C$140:$V$140,0)),""))</f>
        <v/>
      </c>
      <c r="Y14" s="48" t="str">
        <f>IF(Z14="","",IF($B$2="Todos",IF($B$4&gt;0,$B$4,IF($B$2="Todos",IF(COUNT($C$213:$V$213)=0,"",SUM($C$213:$V$213)),IFERROR(INDEX($C$213:$V$213,MATCH($D$2,$C$210:$V$210,0)),""))),IFERROR(INDEX($C$213:$V$213,MATCH($D$2,$C$210:$V$210,0)),"")))</f>
        <v/>
      </c>
      <c r="Z14" s="32" t="str">
        <f>IF($B$2="Todos",IF(COUNT($C$178:$V$178)=0,"",SUM($C$178:$V$178)),IFERROR(INDEX($C$178:$V$178,MATCH($D$2,$C$175:$V$175,0)),""))</f>
        <v/>
      </c>
      <c r="AA14" s="49" t="str">
        <f>IF(AND(ISNUMBER(Z14),ISNUMBER(Y14)),IF(Y14&gt;0,Z14/Y14,""),"")</f>
        <v/>
      </c>
      <c r="AB14" s="32" t="str">
        <f>IF($B$2="Todos",IF(COUNT($C$248:$V$248)=0,"",SUM($C$248:$V$248)),IFERROR(INDEX($C$248:$V$248,MATCH($D$2,$C$245:$V$245,0)),""))</f>
        <v/>
      </c>
      <c r="AC14" s="32">
        <f>IF($B14="","",IF($B$2="Todos",SUMIFS(BD!$AB$3:$AB$5001,BD!$A$3:$A$5001,$B14),SUMIFS(BD!$AB$3:$AB$5001,BD!$A$3:$A$5001,$B14,BD!$B$3:$B$5001,$D$2)))</f>
        <v>0</v>
      </c>
      <c r="AD14" s="32">
        <f>IF($B14="","",IF($B$2="Todos",SUMIFS(BD!$AC$3:$AC$5001,BD!$A$3:$A$5001,$B14),SUMIFS(BD!$AC$3:$AC$5001,BD!$A$3:$A$5001,$B14,BD!$B$3:$B$5001,$D$2)))</f>
        <v>0</v>
      </c>
      <c r="AE14" s="32">
        <f>IF($B14="","",IF($B$2="Todos",SUMIFS(BD!$AD$3:$AD$5001,BD!$A$3:$A$5001,$B14),SUMIFS(BD!$AD$3:$AD$5001,BD!$A$3:$A$5001,$B14,BD!$B$3:$B$5001,$D$2)))</f>
        <v>0</v>
      </c>
      <c r="AF14" s="32">
        <f>IF($B14="","",IF($B$2="Todos",SUMIFS(BD!$AE$3:$AE$5001,BD!$A$3:$A$5001,$B14),SUMIFS(BD!$AE$3:$AE$5001,BD!$A$3:$A$5001,$B14,BD!$B$3:$B$5001,$D$2)))</f>
        <v>0</v>
      </c>
      <c r="AG14" s="32">
        <f>IF($B14="","",IF($B$2="Todos",SUMIFS(BD!$AF$3:$AF$5001,BD!$A$3:$A$5001,$B14),SUMIFS(BD!$AF$3:$AF$5001,BD!$A$3:$A$5001,$B14,BD!$B$3:$B$5001,$D$2)))</f>
        <v>0</v>
      </c>
      <c r="AH14" s="32">
        <f>IF($B14="","",IF($B$2="Todos",SUMIFS(BD!$AG$3:$AG$5001,BD!$A$3:$A$5001,$B14),SUMIFS(BD!$AG$3:$AG$5001,BD!$A$3:$A$5001,$B14,BD!$B$3:$B$5001,$D$2)))</f>
        <v>0</v>
      </c>
      <c r="AI14" s="32">
        <f>IF($B14="","",IF($B$2="Todos",SUMIFS(BD!$AH$3:$AH$5001,BD!$A$3:$A$5001,$B14),SUMIFS(BD!$AH$3:$AH$5001,BD!$A$3:$A$5001,$B14,BD!$B$3:$B$5001,$D$2)))</f>
        <v>0</v>
      </c>
      <c r="AJ14" s="50">
        <f>$B$5</f>
        <v>0.7</v>
      </c>
      <c r="AK14" s="50">
        <f>$B$6</f>
        <v>0.9</v>
      </c>
      <c r="AN14" s="29" t="inlineStr">
        <is>
          <t xml:space="preserve">MARÇO · 2026</t>
        </is>
      </c>
      <c r="AP14" s="29" t="str">
        <f>IFERROR(INDEX(Config!$B$10:$B$29,MATCH(2,$AR$13:$AR$32,0))&amp;"","")</f>
        <v>Basf</v>
      </c>
      <c r="AQ14" s="28" t="str">
        <f>IF(AP14="","",IF(INDEX(Config!$C$10:$C$29,MATCH(2,$AR$13:$AR$32,0))&amp;""="","TPC",INDEX(Config!$C$10:$C$29,MATCH(2,$AR$13:$AR$32,0))&amp;""))</f>
        <v>TPC</v>
      </c>
      <c r="AR14" s="38">
        <f>IF(Config!$B$11&amp;""="",AR13,AR13+1)</f>
        <v>2</v>
      </c>
      <c r="AS14" s="29" t="str">
        <f>"MOVIMENTAÇÃO PALETES/DIA — "&amp;IF($B$2="Todos","TODOS OS CLIENTES",UPPER($B$2))</f>
        <v>MOVIMENTAÇÃO PALETES/DIA — TODOS OS CLIENTES</v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32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>
        <f>IF($B15="","",IF($B$2="Todos",SUMIFS(BD!$K$3:$K$5001,BD!$A$3:$A$5001,$B15),SUMIFS(BD!$K$3:$K$5001,BD!$A$3:$A$5001,$B15,BD!$B$3:$B$5001,$D$2)))</f>
        <v>0</v>
      </c>
      <c r="L15" s="32">
        <f>IF($B15="","",IF($B$2="Todos",SUMIFS(BD!$L$3:$L$5001,BD!$A$3:$A$5001,$B15),SUMIFS(BD!$L$3:$L$5001,BD!$A$3:$A$5001,$B15,BD!$B$3:$B$5001,$D$2)))</f>
        <v>0</v>
      </c>
      <c r="M15" s="32">
        <f>IF($B15="","",IF($B$2="Todos",SUMIFS(BD!$M$3:$M$5001,BD!$A$3:$A$5001,$B15),SUMIFS(BD!$M$3:$M$5001,BD!$A$3:$A$5001,$B15,BD!$B$3:$B$5001,$D$2)))</f>
        <v>0</v>
      </c>
      <c r="N15" s="32">
        <f>IF($B15="","",IF($B$2="Todos",SUMIFS(BD!$N$3:$N$5001,BD!$A$3:$A$5001,$B15),SUMIFS(BD!$N$3:$N$5001,BD!$A$3:$A$5001,$B15,BD!$B$3:$B$5001,$D$2)))</f>
        <v>0</v>
      </c>
      <c r="O15" s="32">
        <f>IF($B15="","",IF($B$2="Todos",SUMIFS(BD!$O$3:$O$5001,BD!$A$3:$A$5001,$B15),SUMIFS(BD!$O$3:$O$5001,BD!$A$3:$A$5001,$B15,BD!$B$3:$B$5001,$D$2)))</f>
        <v>0</v>
      </c>
      <c r="P15" s="32">
        <f>IF($B15="","",IF($B$2="Todos",SUMIFS(BD!$P$3:$P$5001,BD!$A$3:$A$5001,$B15),SUMIFS(BD!$P$3:$P$5001,BD!$A$3:$A$5001,$B15,BD!$B$3:$B$5001,$D$2)))</f>
        <v>0</v>
      </c>
      <c r="Q15" s="32">
        <f>IF($B15="","",IF($B$2="Todos",SUMIFS(BD!$Q$3:$Q$5001,BD!$A$3:$A$5001,$B15),SUMIFS(BD!$Q$3:$Q$5001,BD!$A$3:$A$5001,$B15,BD!$B$3:$B$5001,$D$2)))</f>
        <v>0</v>
      </c>
      <c r="R15" s="32">
        <f>IF($B15="","",IF($B$2="Todos",SUMIFS(BD!$R$3:$R$5001,BD!$A$3:$A$5001,$B15),SUMIFS(BD!$R$3:$R$5001,BD!$A$3:$A$5001,$B15,BD!$B$3:$B$5001,$D$2)))</f>
        <v>0</v>
      </c>
      <c r="S15" s="32">
        <f>IF($B15="","",IF($B$2="Todos",SUMIFS(BD!$S$3:$S$5001,BD!$A$3:$A$5001,$B15),SUMIFS(BD!$S$3:$S$5001,BD!$A$3:$A$5001,$B15,BD!$B$3:$B$5001,$D$2)))</f>
        <v>0</v>
      </c>
      <c r="T15" s="32">
        <f>IF($B15="","",IF($B$2="Todos",SUMIFS(BD!$T$3:$T$5001,BD!$A$3:$A$5001,$B15),SUMIFS(BD!$T$3:$T$5001,BD!$A$3:$A$5001,$B15,BD!$B$3:$B$5001,$D$2)))</f>
        <v>0</v>
      </c>
      <c r="U15" s="47">
        <f>IF($B15="","",IF($B$2="Todos",SUMIFS(BD!$U$3:$U$5001,BD!$A$3:$A$5001,$B15),SUMIFS(BD!$U$3:$U$5001,BD!$A$3:$A$5001,$B15,BD!$B$3:$B$5001,$D$2)))</f>
        <v>0</v>
      </c>
      <c r="V15" s="32">
        <f>IF($B15="","",IF($B$2="Todos",SUMIFS(BD!$V$3:$V$5001,BD!$A$3:$A$5001,$B15),SUMIFS(BD!$V$3:$V$5001,BD!$A$3:$A$5001,$B15,BD!$B$3:$B$5001,$D$2)))</f>
        <v>0</v>
      </c>
      <c r="W15" s="32">
        <f>IF($B15="","",IF($B$2="Todos",SUMIFS(BD!$W$3:$W$5001,BD!$A$3:$A$5001,$B15),SUMIFS(BD!$W$3:$W$5001,BD!$A$3:$A$5001,$B15,BD!$B$3:$B$5001,$D$2)))</f>
        <v>0</v>
      </c>
      <c r="X15" s="32" t="str">
        <f>IF($B$2="Todos",IF(COUNT($C$144:$V$144)=0,"",SUM($C$144:$V$144)),IFERROR(INDEX($C$144:$V$144,MATCH($D$2,$C$140:$V$140,0)),""))</f>
        <v/>
      </c>
      <c r="Y15" s="48" t="str">
        <f>IF(Z15="","",IF($B$2="Todos",IF($B$4&gt;0,$B$4,IF($B$2="Todos",IF(COUNT($C$214:$V$214)=0,"",SUM($C$214:$V$214)),IFERROR(INDEX($C$214:$V$214,MATCH($D$2,$C$210:$V$210,0)),""))),IFERROR(INDEX($C$214:$V$214,MATCH($D$2,$C$210:$V$210,0)),"")))</f>
        <v/>
      </c>
      <c r="Z15" s="32" t="str">
        <f>IF($B$2="Todos",IF(COUNT($C$179:$V$179)=0,"",SUM($C$179:$V$179)),IFERROR(INDEX($C$179:$V$179,MATCH($D$2,$C$175:$V$175,0)),""))</f>
        <v/>
      </c>
      <c r="AA15" s="49" t="str">
        <f>IF(AND(ISNUMBER(Z15),ISNUMBER(Y15)),IF(Y15&gt;0,Z15/Y15,""),"")</f>
        <v/>
      </c>
      <c r="AB15" s="32" t="str">
        <f>IF($B$2="Todos",IF(COUNT($C$249:$V$249)=0,"",SUM($C$249:$V$249)),IFERROR(INDEX($C$249:$V$249,MATCH($D$2,$C$245:$V$245,0)),""))</f>
        <v/>
      </c>
      <c r="AC15" s="32">
        <f>IF($B15="","",IF($B$2="Todos",SUMIFS(BD!$AB$3:$AB$5001,BD!$A$3:$A$5001,$B15),SUMIFS(BD!$AB$3:$AB$5001,BD!$A$3:$A$5001,$B15,BD!$B$3:$B$5001,$D$2)))</f>
        <v>0</v>
      </c>
      <c r="AD15" s="32">
        <f>IF($B15="","",IF($B$2="Todos",SUMIFS(BD!$AC$3:$AC$5001,BD!$A$3:$A$5001,$B15),SUMIFS(BD!$AC$3:$AC$5001,BD!$A$3:$A$5001,$B15,BD!$B$3:$B$5001,$D$2)))</f>
        <v>0</v>
      </c>
      <c r="AE15" s="32">
        <f>IF($B15="","",IF($B$2="Todos",SUMIFS(BD!$AD$3:$AD$5001,BD!$A$3:$A$5001,$B15),SUMIFS(BD!$AD$3:$AD$5001,BD!$A$3:$A$5001,$B15,BD!$B$3:$B$5001,$D$2)))</f>
        <v>0</v>
      </c>
      <c r="AF15" s="32">
        <f>IF($B15="","",IF($B$2="Todos",SUMIFS(BD!$AE$3:$AE$5001,BD!$A$3:$A$5001,$B15),SUMIFS(BD!$AE$3:$AE$5001,BD!$A$3:$A$5001,$B15,BD!$B$3:$B$5001,$D$2)))</f>
        <v>0</v>
      </c>
      <c r="AG15" s="32">
        <f>IF($B15="","",IF($B$2="Todos",SUMIFS(BD!$AF$3:$AF$5001,BD!$A$3:$A$5001,$B15),SUMIFS(BD!$AF$3:$AF$5001,BD!$A$3:$A$5001,$B15,BD!$B$3:$B$5001,$D$2)))</f>
        <v>0</v>
      </c>
      <c r="AH15" s="32">
        <f>IF($B15="","",IF($B$2="Todos",SUMIFS(BD!$AG$3:$AG$5001,BD!$A$3:$A$5001,$B15),SUMIFS(BD!$AG$3:$AG$5001,BD!$A$3:$A$5001,$B15,BD!$B$3:$B$5001,$D$2)))</f>
        <v>0</v>
      </c>
      <c r="AI15" s="32">
        <f>IF($B15="","",IF($B$2="Todos",SUMIFS(BD!$AH$3:$AH$5001,BD!$A$3:$A$5001,$B15),SUMIFS(BD!$AH$3:$AH$5001,BD!$A$3:$A$5001,$B15,BD!$B$3:$B$5001,$D$2)))</f>
        <v>0</v>
      </c>
      <c r="AJ15" s="50">
        <f>$B$5</f>
        <v>0.7</v>
      </c>
      <c r="AK15" s="50">
        <f>$B$6</f>
        <v>0.9</v>
      </c>
      <c r="AN15" s="29" t="inlineStr">
        <is>
          <t xml:space="preserve">ABRIL · 2026</t>
        </is>
      </c>
      <c r="AP15" s="29" t="str">
        <f>IFERROR(INDEX(Config!$B$10:$B$29,MATCH(3,$AR$13:$AR$32,0))&amp;"","")</f>
        <v>Beautybiz</v>
      </c>
      <c r="AQ15" s="28" t="str">
        <f>IF(AP15="","",IF(INDEX(Config!$C$10:$C$29,MATCH(3,$AR$13:$AR$32,0))&amp;""="","TPC",INDEX(Config!$C$10:$C$29,MATCH(3,$AR$13:$AR$32,0))&amp;""))</f>
        <v>TPC</v>
      </c>
      <c r="AR15" s="38">
        <f>IF(Config!$B$12&amp;""="",AR14,AR14+1)</f>
        <v>3</v>
      </c>
      <c r="AS15" s="29" t="str">
        <f>"MOVIMENTAÇÃO TONS/DIA — "&amp;IF($B$2="Todos","TODOS OS CLIENTES",UPPER($B$2))</f>
        <v>MOVIMENTAÇÃO TONS/DIA — TODOS OS CLIENTES</v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32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>
        <f>IF($B16="","",IF($B$2="Todos",SUMIFS(BD!$K$3:$K$5001,BD!$A$3:$A$5001,$B16),SUMIFS(BD!$K$3:$K$5001,BD!$A$3:$A$5001,$B16,BD!$B$3:$B$5001,$D$2)))</f>
        <v>0</v>
      </c>
      <c r="L16" s="32">
        <f>IF($B16="","",IF($B$2="Todos",SUMIFS(BD!$L$3:$L$5001,BD!$A$3:$A$5001,$B16),SUMIFS(BD!$L$3:$L$5001,BD!$A$3:$A$5001,$B16,BD!$B$3:$B$5001,$D$2)))</f>
        <v>0</v>
      </c>
      <c r="M16" s="32">
        <f>IF($B16="","",IF($B$2="Todos",SUMIFS(BD!$M$3:$M$5001,BD!$A$3:$A$5001,$B16),SUMIFS(BD!$M$3:$M$5001,BD!$A$3:$A$5001,$B16,BD!$B$3:$B$5001,$D$2)))</f>
        <v>0</v>
      </c>
      <c r="N16" s="32">
        <f>IF($B16="","",IF($B$2="Todos",SUMIFS(BD!$N$3:$N$5001,BD!$A$3:$A$5001,$B16),SUMIFS(BD!$N$3:$N$5001,BD!$A$3:$A$5001,$B16,BD!$B$3:$B$5001,$D$2)))</f>
        <v>0</v>
      </c>
      <c r="O16" s="32">
        <f>IF($B16="","",IF($B$2="Todos",SUMIFS(BD!$O$3:$O$5001,BD!$A$3:$A$5001,$B16),SUMIFS(BD!$O$3:$O$5001,BD!$A$3:$A$5001,$B16,BD!$B$3:$B$5001,$D$2)))</f>
        <v>0</v>
      </c>
      <c r="P16" s="32">
        <f>IF($B16="","",IF($B$2="Todos",SUMIFS(BD!$P$3:$P$5001,BD!$A$3:$A$5001,$B16),SUMIFS(BD!$P$3:$P$5001,BD!$A$3:$A$5001,$B16,BD!$B$3:$B$5001,$D$2)))</f>
        <v>0</v>
      </c>
      <c r="Q16" s="32">
        <f>IF($B16="","",IF($B$2="Todos",SUMIFS(BD!$Q$3:$Q$5001,BD!$A$3:$A$5001,$B16),SUMIFS(BD!$Q$3:$Q$5001,BD!$A$3:$A$5001,$B16,BD!$B$3:$B$5001,$D$2)))</f>
        <v>0</v>
      </c>
      <c r="R16" s="32">
        <f>IF($B16="","",IF($B$2="Todos",SUMIFS(BD!$R$3:$R$5001,BD!$A$3:$A$5001,$B16),SUMIFS(BD!$R$3:$R$5001,BD!$A$3:$A$5001,$B16,BD!$B$3:$B$5001,$D$2)))</f>
        <v>0</v>
      </c>
      <c r="S16" s="32">
        <f>IF($B16="","",IF($B$2="Todos",SUMIFS(BD!$S$3:$S$5001,BD!$A$3:$A$5001,$B16),SUMIFS(BD!$S$3:$S$5001,BD!$A$3:$A$5001,$B16,BD!$B$3:$B$5001,$D$2)))</f>
        <v>0</v>
      </c>
      <c r="T16" s="32">
        <f>IF($B16="","",IF($B$2="Todos",SUMIFS(BD!$T$3:$T$5001,BD!$A$3:$A$5001,$B16),SUMIFS(BD!$T$3:$T$5001,BD!$A$3:$A$5001,$B16,BD!$B$3:$B$5001,$D$2)))</f>
        <v>0</v>
      </c>
      <c r="U16" s="47">
        <f>IF($B16="","",IF($B$2="Todos",SUMIFS(BD!$U$3:$U$5001,BD!$A$3:$A$5001,$B16),SUMIFS(BD!$U$3:$U$5001,BD!$A$3:$A$5001,$B16,BD!$B$3:$B$5001,$D$2)))</f>
        <v>0</v>
      </c>
      <c r="V16" s="32">
        <f>IF($B16="","",IF($B$2="Todos",SUMIFS(BD!$V$3:$V$5001,BD!$A$3:$A$5001,$B16),SUMIFS(BD!$V$3:$V$5001,BD!$A$3:$A$5001,$B16,BD!$B$3:$B$5001,$D$2)))</f>
        <v>0</v>
      </c>
      <c r="W16" s="32">
        <f>IF($B16="","",IF($B$2="Todos",SUMIFS(BD!$W$3:$W$5001,BD!$A$3:$A$5001,$B16),SUMIFS(BD!$W$3:$W$5001,BD!$A$3:$A$5001,$B16,BD!$B$3:$B$5001,$D$2)))</f>
        <v>0</v>
      </c>
      <c r="X16" s="32" t="str">
        <f>IF($B$2="Todos",IF(COUNT($C$145:$V$145)=0,"",SUM($C$145:$V$145)),IFERROR(INDEX($C$145:$V$145,MATCH($D$2,$C$140:$V$140,0)),""))</f>
        <v/>
      </c>
      <c r="Y16" s="48" t="str">
        <f>IF(Z16="","",IF($B$2="Todos",IF($B$4&gt;0,$B$4,IF($B$2="Todos",IF(COUNT($C$215:$V$215)=0,"",SUM($C$215:$V$215)),IFERROR(INDEX($C$215:$V$215,MATCH($D$2,$C$210:$V$210,0)),""))),IFERROR(INDEX($C$215:$V$215,MATCH($D$2,$C$210:$V$210,0)),"")))</f>
        <v/>
      </c>
      <c r="Z16" s="32" t="str">
        <f>IF($B$2="Todos",IF(COUNT($C$180:$V$180)=0,"",SUM($C$180:$V$180)),IFERROR(INDEX($C$180:$V$180,MATCH($D$2,$C$175:$V$175,0)),""))</f>
        <v/>
      </c>
      <c r="AA16" s="49" t="str">
        <f>IF(AND(ISNUMBER(Z16),ISNUMBER(Y16)),IF(Y16&gt;0,Z16/Y16,""),"")</f>
        <v/>
      </c>
      <c r="AB16" s="32" t="str">
        <f>IF($B$2="Todos",IF(COUNT($C$250:$V$250)=0,"",SUM($C$250:$V$250)),IFERROR(INDEX($C$250:$V$250,MATCH($D$2,$C$245:$V$245,0)),""))</f>
        <v/>
      </c>
      <c r="AC16" s="32">
        <f>IF($B16="","",IF($B$2="Todos",SUMIFS(BD!$AB$3:$AB$5001,BD!$A$3:$A$5001,$B16),SUMIFS(BD!$AB$3:$AB$5001,BD!$A$3:$A$5001,$B16,BD!$B$3:$B$5001,$D$2)))</f>
        <v>0</v>
      </c>
      <c r="AD16" s="32">
        <f>IF($B16="","",IF($B$2="Todos",SUMIFS(BD!$AC$3:$AC$5001,BD!$A$3:$A$5001,$B16),SUMIFS(BD!$AC$3:$AC$5001,BD!$A$3:$A$5001,$B16,BD!$B$3:$B$5001,$D$2)))</f>
        <v>0</v>
      </c>
      <c r="AE16" s="32">
        <f>IF($B16="","",IF($B$2="Todos",SUMIFS(BD!$AD$3:$AD$5001,BD!$A$3:$A$5001,$B16),SUMIFS(BD!$AD$3:$AD$5001,BD!$A$3:$A$5001,$B16,BD!$B$3:$B$5001,$D$2)))</f>
        <v>0</v>
      </c>
      <c r="AF16" s="32">
        <f>IF($B16="","",IF($B$2="Todos",SUMIFS(BD!$AE$3:$AE$5001,BD!$A$3:$A$5001,$B16),SUMIFS(BD!$AE$3:$AE$5001,BD!$A$3:$A$5001,$B16,BD!$B$3:$B$5001,$D$2)))</f>
        <v>0</v>
      </c>
      <c r="AG16" s="32">
        <f>IF($B16="","",IF($B$2="Todos",SUMIFS(BD!$AF$3:$AF$5001,BD!$A$3:$A$5001,$B16),SUMIFS(BD!$AF$3:$AF$5001,BD!$A$3:$A$5001,$B16,BD!$B$3:$B$5001,$D$2)))</f>
        <v>0</v>
      </c>
      <c r="AH16" s="32">
        <f>IF($B16="","",IF($B$2="Todos",SUMIFS(BD!$AG$3:$AG$5001,BD!$A$3:$A$5001,$B16),SUMIFS(BD!$AG$3:$AG$5001,BD!$A$3:$A$5001,$B16,BD!$B$3:$B$5001,$D$2)))</f>
        <v>0</v>
      </c>
      <c r="AI16" s="32">
        <f>IF($B16="","",IF($B$2="Todos",SUMIFS(BD!$AH$3:$AH$5001,BD!$A$3:$A$5001,$B16),SUMIFS(BD!$AH$3:$AH$5001,BD!$A$3:$A$5001,$B16,BD!$B$3:$B$5001,$D$2)))</f>
        <v>0</v>
      </c>
      <c r="AJ16" s="50">
        <f>$B$5</f>
        <v>0.7</v>
      </c>
      <c r="AK16" s="50">
        <f>$B$6</f>
        <v>0.9</v>
      </c>
      <c r="AN16" s="29" t="inlineStr">
        <is>
          <t xml:space="preserve">MAIO · 2026</t>
        </is>
      </c>
      <c r="AP16" s="29" t="str">
        <f>IFERROR(INDEX(Config!$B$10:$B$29,MATCH(4,$AR$13:$AR$32,0))&amp;"","")</f>
        <v>Boticário</v>
      </c>
      <c r="AQ16" s="28" t="str">
        <f>IF(AP16="","",IF(INDEX(Config!$C$10:$C$29,MATCH(4,$AR$13:$AR$32,0))&amp;""="","TPC",INDEX(Config!$C$10:$C$29,MATCH(4,$AR$13:$AR$32,0))&amp;""))</f>
        <v>TPC</v>
      </c>
      <c r="AR16" s="38">
        <f>IF(Config!$B$13&amp;""="",AR15,AR15+1)</f>
        <v>4</v>
      </c>
      <c r="AS16" s="29" t="str">
        <f>"ACUMULADO SEMANAL PALETES — "&amp;IF($B$2="Todos","TODOS OS CLIENTES",UPPER($B$2))</f>
        <v>ACUMULADO SEMANAL PALETES — TODOS OS CLIENTES</v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32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>
        <f>IF($B17="","",IF($B$2="Todos",SUMIFS(BD!$K$3:$K$5001,BD!$A$3:$A$5001,$B17),SUMIFS(BD!$K$3:$K$5001,BD!$A$3:$A$5001,$B17,BD!$B$3:$B$5001,$D$2)))</f>
        <v>0</v>
      </c>
      <c r="L17" s="32">
        <f>IF($B17="","",IF($B$2="Todos",SUMIFS(BD!$L$3:$L$5001,BD!$A$3:$A$5001,$B17),SUMIFS(BD!$L$3:$L$5001,BD!$A$3:$A$5001,$B17,BD!$B$3:$B$5001,$D$2)))</f>
        <v>0</v>
      </c>
      <c r="M17" s="32">
        <f>IF($B17="","",IF($B$2="Todos",SUMIFS(BD!$M$3:$M$5001,BD!$A$3:$A$5001,$B17),SUMIFS(BD!$M$3:$M$5001,BD!$A$3:$A$5001,$B17,BD!$B$3:$B$5001,$D$2)))</f>
        <v>0</v>
      </c>
      <c r="N17" s="32">
        <f>IF($B17="","",IF($B$2="Todos",SUMIFS(BD!$N$3:$N$5001,BD!$A$3:$A$5001,$B17),SUMIFS(BD!$N$3:$N$5001,BD!$A$3:$A$5001,$B17,BD!$B$3:$B$5001,$D$2)))</f>
        <v>0</v>
      </c>
      <c r="O17" s="32">
        <f>IF($B17="","",IF($B$2="Todos",SUMIFS(BD!$O$3:$O$5001,BD!$A$3:$A$5001,$B17),SUMIFS(BD!$O$3:$O$5001,BD!$A$3:$A$5001,$B17,BD!$B$3:$B$5001,$D$2)))</f>
        <v>0</v>
      </c>
      <c r="P17" s="32">
        <f>IF($B17="","",IF($B$2="Todos",SUMIFS(BD!$P$3:$P$5001,BD!$A$3:$A$5001,$B17),SUMIFS(BD!$P$3:$P$5001,BD!$A$3:$A$5001,$B17,BD!$B$3:$B$5001,$D$2)))</f>
        <v>0</v>
      </c>
      <c r="Q17" s="32">
        <f>IF($B17="","",IF($B$2="Todos",SUMIFS(BD!$Q$3:$Q$5001,BD!$A$3:$A$5001,$B17),SUMIFS(BD!$Q$3:$Q$5001,BD!$A$3:$A$5001,$B17,BD!$B$3:$B$5001,$D$2)))</f>
        <v>0</v>
      </c>
      <c r="R17" s="32">
        <f>IF($B17="","",IF($B$2="Todos",SUMIFS(BD!$R$3:$R$5001,BD!$A$3:$A$5001,$B17),SUMIFS(BD!$R$3:$R$5001,BD!$A$3:$A$5001,$B17,BD!$B$3:$B$5001,$D$2)))</f>
        <v>0</v>
      </c>
      <c r="S17" s="32">
        <f>IF($B17="","",IF($B$2="Todos",SUMIFS(BD!$S$3:$S$5001,BD!$A$3:$A$5001,$B17),SUMIFS(BD!$S$3:$S$5001,BD!$A$3:$A$5001,$B17,BD!$B$3:$B$5001,$D$2)))</f>
        <v>0</v>
      </c>
      <c r="T17" s="32">
        <f>IF($B17="","",IF($B$2="Todos",SUMIFS(BD!$T$3:$T$5001,BD!$A$3:$A$5001,$B17),SUMIFS(BD!$T$3:$T$5001,BD!$A$3:$A$5001,$B17,BD!$B$3:$B$5001,$D$2)))</f>
        <v>0</v>
      </c>
      <c r="U17" s="47">
        <f>IF($B17="","",IF($B$2="Todos",SUMIFS(BD!$U$3:$U$5001,BD!$A$3:$A$5001,$B17),SUMIFS(BD!$U$3:$U$5001,BD!$A$3:$A$5001,$B17,BD!$B$3:$B$5001,$D$2)))</f>
        <v>0</v>
      </c>
      <c r="V17" s="32">
        <f>IF($B17="","",IF($B$2="Todos",SUMIFS(BD!$V$3:$V$5001,BD!$A$3:$A$5001,$B17),SUMIFS(BD!$V$3:$V$5001,BD!$A$3:$A$5001,$B17,BD!$B$3:$B$5001,$D$2)))</f>
        <v>0</v>
      </c>
      <c r="W17" s="32">
        <f>IF($B17="","",IF($B$2="Todos",SUMIFS(BD!$W$3:$W$5001,BD!$A$3:$A$5001,$B17),SUMIFS(BD!$W$3:$W$5001,BD!$A$3:$A$5001,$B17,BD!$B$3:$B$5001,$D$2)))</f>
        <v>0</v>
      </c>
      <c r="X17" s="32" t="str">
        <f>IF($B$2="Todos",IF(COUNT($C$146:$V$146)=0,"",SUM($C$146:$V$146)),IFERROR(INDEX($C$146:$V$146,MATCH($D$2,$C$140:$V$140,0)),""))</f>
        <v/>
      </c>
      <c r="Y17" s="48" t="str">
        <f>IF(Z17="","",IF($B$2="Todos",IF($B$4&gt;0,$B$4,IF($B$2="Todos",IF(COUNT($C$216:$V$216)=0,"",SUM($C$216:$V$216)),IFERROR(INDEX($C$216:$V$216,MATCH($D$2,$C$210:$V$210,0)),""))),IFERROR(INDEX($C$216:$V$216,MATCH($D$2,$C$210:$V$210,0)),"")))</f>
        <v/>
      </c>
      <c r="Z17" s="32" t="str">
        <f>IF($B$2="Todos",IF(COUNT($C$181:$V$181)=0,"",SUM($C$181:$V$181)),IFERROR(INDEX($C$181:$V$181,MATCH($D$2,$C$175:$V$175,0)),""))</f>
        <v/>
      </c>
      <c r="AA17" s="49" t="str">
        <f>IF(AND(ISNUMBER(Z17),ISNUMBER(Y17)),IF(Y17&gt;0,Z17/Y17,""),"")</f>
        <v/>
      </c>
      <c r="AB17" s="32" t="str">
        <f>IF($B$2="Todos",IF(COUNT($C$251:$V$251)=0,"",SUM($C$251:$V$251)),IFERROR(INDEX($C$251:$V$251,MATCH($D$2,$C$245:$V$245,0)),""))</f>
        <v/>
      </c>
      <c r="AC17" s="32">
        <f>IF($B17="","",IF($B$2="Todos",SUMIFS(BD!$AB$3:$AB$5001,BD!$A$3:$A$5001,$B17),SUMIFS(BD!$AB$3:$AB$5001,BD!$A$3:$A$5001,$B17,BD!$B$3:$B$5001,$D$2)))</f>
        <v>0</v>
      </c>
      <c r="AD17" s="32">
        <f>IF($B17="","",IF($B$2="Todos",SUMIFS(BD!$AC$3:$AC$5001,BD!$A$3:$A$5001,$B17),SUMIFS(BD!$AC$3:$AC$5001,BD!$A$3:$A$5001,$B17,BD!$B$3:$B$5001,$D$2)))</f>
        <v>0</v>
      </c>
      <c r="AE17" s="32">
        <f>IF($B17="","",IF($B$2="Todos",SUMIFS(BD!$AD$3:$AD$5001,BD!$A$3:$A$5001,$B17),SUMIFS(BD!$AD$3:$AD$5001,BD!$A$3:$A$5001,$B17,BD!$B$3:$B$5001,$D$2)))</f>
        <v>0</v>
      </c>
      <c r="AF17" s="32">
        <f>IF($B17="","",IF($B$2="Todos",SUMIFS(BD!$AE$3:$AE$5001,BD!$A$3:$A$5001,$B17),SUMIFS(BD!$AE$3:$AE$5001,BD!$A$3:$A$5001,$B17,BD!$B$3:$B$5001,$D$2)))</f>
        <v>0</v>
      </c>
      <c r="AG17" s="32">
        <f>IF($B17="","",IF($B$2="Todos",SUMIFS(BD!$AF$3:$AF$5001,BD!$A$3:$A$5001,$B17),SUMIFS(BD!$AF$3:$AF$5001,BD!$A$3:$A$5001,$B17,BD!$B$3:$B$5001,$D$2)))</f>
        <v>0</v>
      </c>
      <c r="AH17" s="32">
        <f>IF($B17="","",IF($B$2="Todos",SUMIFS(BD!$AG$3:$AG$5001,BD!$A$3:$A$5001,$B17),SUMIFS(BD!$AG$3:$AG$5001,BD!$A$3:$A$5001,$B17,BD!$B$3:$B$5001,$D$2)))</f>
        <v>0</v>
      </c>
      <c r="AI17" s="32">
        <f>IF($B17="","",IF($B$2="Todos",SUMIFS(BD!$AH$3:$AH$5001,BD!$A$3:$A$5001,$B17),SUMIFS(BD!$AH$3:$AH$5001,BD!$A$3:$A$5001,$B17,BD!$B$3:$B$5001,$D$2)))</f>
        <v>0</v>
      </c>
      <c r="AJ17" s="50">
        <f>$B$5</f>
        <v>0.7</v>
      </c>
      <c r="AK17" s="50">
        <f>$B$6</f>
        <v>0.9</v>
      </c>
      <c r="AN17" s="29" t="inlineStr">
        <is>
          <t xml:space="preserve">JUNHO · 2026</t>
        </is>
      </c>
      <c r="AP17" s="29" t="str">
        <f>IFERROR(INDEX(Config!$B$10:$B$29,MATCH(5,$AR$13:$AR$32,0))&amp;"","")</f>
        <v>Confiance</v>
      </c>
      <c r="AQ17" s="28" t="str">
        <f>IF(AP17="","",IF(INDEX(Config!$C$10:$C$29,MATCH(5,$AR$13:$AR$32,0))&amp;""="","TPC",INDEX(Config!$C$10:$C$29,MATCH(5,$AR$13:$AR$32,0))&amp;""))</f>
        <v>TPC</v>
      </c>
      <c r="AR17" s="38">
        <f>IF(Config!$B$14&amp;""="",AR16,AR16+1)</f>
        <v>5</v>
      </c>
      <c r="AS17" s="29" t="str">
        <f>"ACUMULADO SEMANAL TONS — "&amp;IF($B$2="Todos","TODOS OS CLIENTES",UPPER($B$2))</f>
        <v>ACUMULADO SEMANAL TONS — TODOS OS CLIENTES</v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32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>
        <f>IF($B18="","",IF($B$2="Todos",SUMIFS(BD!$K$3:$K$5001,BD!$A$3:$A$5001,$B18),SUMIFS(BD!$K$3:$K$5001,BD!$A$3:$A$5001,$B18,BD!$B$3:$B$5001,$D$2)))</f>
        <v>0</v>
      </c>
      <c r="L18" s="32">
        <f>IF($B18="","",IF($B$2="Todos",SUMIFS(BD!$L$3:$L$5001,BD!$A$3:$A$5001,$B18),SUMIFS(BD!$L$3:$L$5001,BD!$A$3:$A$5001,$B18,BD!$B$3:$B$5001,$D$2)))</f>
        <v>0</v>
      </c>
      <c r="M18" s="32">
        <f>IF($B18="","",IF($B$2="Todos",SUMIFS(BD!$M$3:$M$5001,BD!$A$3:$A$5001,$B18),SUMIFS(BD!$M$3:$M$5001,BD!$A$3:$A$5001,$B18,BD!$B$3:$B$5001,$D$2)))</f>
        <v>0</v>
      </c>
      <c r="N18" s="32">
        <f>IF($B18="","",IF($B$2="Todos",SUMIFS(BD!$N$3:$N$5001,BD!$A$3:$A$5001,$B18),SUMIFS(BD!$N$3:$N$5001,BD!$A$3:$A$5001,$B18,BD!$B$3:$B$5001,$D$2)))</f>
        <v>0</v>
      </c>
      <c r="O18" s="32">
        <f>IF($B18="","",IF($B$2="Todos",SUMIFS(BD!$O$3:$O$5001,BD!$A$3:$A$5001,$B18),SUMIFS(BD!$O$3:$O$5001,BD!$A$3:$A$5001,$B18,BD!$B$3:$B$5001,$D$2)))</f>
        <v>0</v>
      </c>
      <c r="P18" s="32">
        <f>IF($B18="","",IF($B$2="Todos",SUMIFS(BD!$P$3:$P$5001,BD!$A$3:$A$5001,$B18),SUMIFS(BD!$P$3:$P$5001,BD!$A$3:$A$5001,$B18,BD!$B$3:$B$5001,$D$2)))</f>
        <v>0</v>
      </c>
      <c r="Q18" s="32">
        <f>IF($B18="","",IF($B$2="Todos",SUMIFS(BD!$Q$3:$Q$5001,BD!$A$3:$A$5001,$B18),SUMIFS(BD!$Q$3:$Q$5001,BD!$A$3:$A$5001,$B18,BD!$B$3:$B$5001,$D$2)))</f>
        <v>0</v>
      </c>
      <c r="R18" s="32">
        <f>IF($B18="","",IF($B$2="Todos",SUMIFS(BD!$R$3:$R$5001,BD!$A$3:$A$5001,$B18),SUMIFS(BD!$R$3:$R$5001,BD!$A$3:$A$5001,$B18,BD!$B$3:$B$5001,$D$2)))</f>
        <v>0</v>
      </c>
      <c r="S18" s="32">
        <f>IF($B18="","",IF($B$2="Todos",SUMIFS(BD!$S$3:$S$5001,BD!$A$3:$A$5001,$B18),SUMIFS(BD!$S$3:$S$5001,BD!$A$3:$A$5001,$B18,BD!$B$3:$B$5001,$D$2)))</f>
        <v>0</v>
      </c>
      <c r="T18" s="32">
        <f>IF($B18="","",IF($B$2="Todos",SUMIFS(BD!$T$3:$T$5001,BD!$A$3:$A$5001,$B18),SUMIFS(BD!$T$3:$T$5001,BD!$A$3:$A$5001,$B18,BD!$B$3:$B$5001,$D$2)))</f>
        <v>0</v>
      </c>
      <c r="U18" s="47">
        <f>IF($B18="","",IF($B$2="Todos",SUMIFS(BD!$U$3:$U$5001,BD!$A$3:$A$5001,$B18),SUMIFS(BD!$U$3:$U$5001,BD!$A$3:$A$5001,$B18,BD!$B$3:$B$5001,$D$2)))</f>
        <v>0</v>
      </c>
      <c r="V18" s="32">
        <f>IF($B18="","",IF($B$2="Todos",SUMIFS(BD!$V$3:$V$5001,BD!$A$3:$A$5001,$B18),SUMIFS(BD!$V$3:$V$5001,BD!$A$3:$A$5001,$B18,BD!$B$3:$B$5001,$D$2)))</f>
        <v>0</v>
      </c>
      <c r="W18" s="32">
        <f>IF($B18="","",IF($B$2="Todos",SUMIFS(BD!$W$3:$W$5001,BD!$A$3:$A$5001,$B18),SUMIFS(BD!$W$3:$W$5001,BD!$A$3:$A$5001,$B18,BD!$B$3:$B$5001,$D$2)))</f>
        <v>0</v>
      </c>
      <c r="X18" s="32" t="str">
        <f>IF($B$2="Todos",IF(COUNT($C$147:$V$147)=0,"",SUM($C$147:$V$147)),IFERROR(INDEX($C$147:$V$147,MATCH($D$2,$C$140:$V$140,0)),""))</f>
        <v/>
      </c>
      <c r="Y18" s="48" t="str">
        <f>IF(Z18="","",IF($B$2="Todos",IF($B$4&gt;0,$B$4,IF($B$2="Todos",IF(COUNT($C$217:$V$217)=0,"",SUM($C$217:$V$217)),IFERROR(INDEX($C$217:$V$217,MATCH($D$2,$C$210:$V$210,0)),""))),IFERROR(INDEX($C$217:$V$217,MATCH($D$2,$C$210:$V$210,0)),"")))</f>
        <v/>
      </c>
      <c r="Z18" s="32" t="str">
        <f>IF($B$2="Todos",IF(COUNT($C$182:$V$182)=0,"",SUM($C$182:$V$182)),IFERROR(INDEX($C$182:$V$182,MATCH($D$2,$C$175:$V$175,0)),""))</f>
        <v/>
      </c>
      <c r="AA18" s="49" t="str">
        <f>IF(AND(ISNUMBER(Z18),ISNUMBER(Y18)),IF(Y18&gt;0,Z18/Y18,""),"")</f>
        <v/>
      </c>
      <c r="AB18" s="32" t="str">
        <f>IF($B$2="Todos",IF(COUNT($C$252:$V$252)=0,"",SUM($C$252:$V$252)),IFERROR(INDEX($C$252:$V$252,MATCH($D$2,$C$245:$V$245,0)),""))</f>
        <v/>
      </c>
      <c r="AC18" s="32">
        <f>IF($B18="","",IF($B$2="Todos",SUMIFS(BD!$AB$3:$AB$5001,BD!$A$3:$A$5001,$B18),SUMIFS(BD!$AB$3:$AB$5001,BD!$A$3:$A$5001,$B18,BD!$B$3:$B$5001,$D$2)))</f>
        <v>0</v>
      </c>
      <c r="AD18" s="32">
        <f>IF($B18="","",IF($B$2="Todos",SUMIFS(BD!$AC$3:$AC$5001,BD!$A$3:$A$5001,$B18),SUMIFS(BD!$AC$3:$AC$5001,BD!$A$3:$A$5001,$B18,BD!$B$3:$B$5001,$D$2)))</f>
        <v>0</v>
      </c>
      <c r="AE18" s="32">
        <f>IF($B18="","",IF($B$2="Todos",SUMIFS(BD!$AD$3:$AD$5001,BD!$A$3:$A$5001,$B18),SUMIFS(BD!$AD$3:$AD$5001,BD!$A$3:$A$5001,$B18,BD!$B$3:$B$5001,$D$2)))</f>
        <v>0</v>
      </c>
      <c r="AF18" s="32">
        <f>IF($B18="","",IF($B$2="Todos",SUMIFS(BD!$AE$3:$AE$5001,BD!$A$3:$A$5001,$B18),SUMIFS(BD!$AE$3:$AE$5001,BD!$A$3:$A$5001,$B18,BD!$B$3:$B$5001,$D$2)))</f>
        <v>0</v>
      </c>
      <c r="AG18" s="32">
        <f>IF($B18="","",IF($B$2="Todos",SUMIFS(BD!$AF$3:$AF$5001,BD!$A$3:$A$5001,$B18),SUMIFS(BD!$AF$3:$AF$5001,BD!$A$3:$A$5001,$B18,BD!$B$3:$B$5001,$D$2)))</f>
        <v>0</v>
      </c>
      <c r="AH18" s="32">
        <f>IF($B18="","",IF($B$2="Todos",SUMIFS(BD!$AG$3:$AG$5001,BD!$A$3:$A$5001,$B18),SUMIFS(BD!$AG$3:$AG$5001,BD!$A$3:$A$5001,$B18,BD!$B$3:$B$5001,$D$2)))</f>
        <v>0</v>
      </c>
      <c r="AI18" s="32">
        <f>IF($B18="","",IF($B$2="Todos",SUMIFS(BD!$AH$3:$AH$5001,BD!$A$3:$A$5001,$B18),SUMIFS(BD!$AH$3:$AH$5001,BD!$A$3:$A$5001,$B18,BD!$B$3:$B$5001,$D$2)))</f>
        <v>0</v>
      </c>
      <c r="AJ18" s="50">
        <f>$B$5</f>
        <v>0.7</v>
      </c>
      <c r="AK18" s="50">
        <f>$B$6</f>
        <v>0.9</v>
      </c>
      <c r="AN18" s="29" t="inlineStr">
        <is>
          <t xml:space="preserve">JULHO · 2026</t>
        </is>
      </c>
      <c r="AP18" s="29" t="str">
        <f>IFERROR(INDEX(Config!$B$10:$B$29,MATCH(6,$AR$13:$AR$32,0))&amp;"","")</f>
        <v>GE Vernova</v>
      </c>
      <c r="AQ18" s="28" t="str">
        <f>IF(AP18="","",IF(INDEX(Config!$C$10:$C$29,MATCH(6,$AR$13:$AR$32,0))&amp;""="","TPC",INDEX(Config!$C$10:$C$29,MATCH(6,$AR$13:$AR$32,0))&amp;""))</f>
        <v>TPC</v>
      </c>
      <c r="AR18" s="38">
        <f>IF(Config!$B$15&amp;""="",AR17,AR17+1)</f>
        <v>6</v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32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>
        <f>IF($B19="","",IF($B$2="Todos",SUMIFS(BD!$K$3:$K$5001,BD!$A$3:$A$5001,$B19),SUMIFS(BD!$K$3:$K$5001,BD!$A$3:$A$5001,$B19,BD!$B$3:$B$5001,$D$2)))</f>
        <v>0</v>
      </c>
      <c r="L19" s="32">
        <f>IF($B19="","",IF($B$2="Todos",SUMIFS(BD!$L$3:$L$5001,BD!$A$3:$A$5001,$B19),SUMIFS(BD!$L$3:$L$5001,BD!$A$3:$A$5001,$B19,BD!$B$3:$B$5001,$D$2)))</f>
        <v>0</v>
      </c>
      <c r="M19" s="32">
        <f>IF($B19="","",IF($B$2="Todos",SUMIFS(BD!$M$3:$M$5001,BD!$A$3:$A$5001,$B19),SUMIFS(BD!$M$3:$M$5001,BD!$A$3:$A$5001,$B19,BD!$B$3:$B$5001,$D$2)))</f>
        <v>0</v>
      </c>
      <c r="N19" s="32">
        <f>IF($B19="","",IF($B$2="Todos",SUMIFS(BD!$N$3:$N$5001,BD!$A$3:$A$5001,$B19),SUMIFS(BD!$N$3:$N$5001,BD!$A$3:$A$5001,$B19,BD!$B$3:$B$5001,$D$2)))</f>
        <v>0</v>
      </c>
      <c r="O19" s="32">
        <f>IF($B19="","",IF($B$2="Todos",SUMIFS(BD!$O$3:$O$5001,BD!$A$3:$A$5001,$B19),SUMIFS(BD!$O$3:$O$5001,BD!$A$3:$A$5001,$B19,BD!$B$3:$B$5001,$D$2)))</f>
        <v>0</v>
      </c>
      <c r="P19" s="32">
        <f>IF($B19="","",IF($B$2="Todos",SUMIFS(BD!$P$3:$P$5001,BD!$A$3:$A$5001,$B19),SUMIFS(BD!$P$3:$P$5001,BD!$A$3:$A$5001,$B19,BD!$B$3:$B$5001,$D$2)))</f>
        <v>0</v>
      </c>
      <c r="Q19" s="32">
        <f>IF($B19="","",IF($B$2="Todos",SUMIFS(BD!$Q$3:$Q$5001,BD!$A$3:$A$5001,$B19),SUMIFS(BD!$Q$3:$Q$5001,BD!$A$3:$A$5001,$B19,BD!$B$3:$B$5001,$D$2)))</f>
        <v>0</v>
      </c>
      <c r="R19" s="32">
        <f>IF($B19="","",IF($B$2="Todos",SUMIFS(BD!$R$3:$R$5001,BD!$A$3:$A$5001,$B19),SUMIFS(BD!$R$3:$R$5001,BD!$A$3:$A$5001,$B19,BD!$B$3:$B$5001,$D$2)))</f>
        <v>0</v>
      </c>
      <c r="S19" s="32">
        <f>IF($B19="","",IF($B$2="Todos",SUMIFS(BD!$S$3:$S$5001,BD!$A$3:$A$5001,$B19),SUMIFS(BD!$S$3:$S$5001,BD!$A$3:$A$5001,$B19,BD!$B$3:$B$5001,$D$2)))</f>
        <v>0</v>
      </c>
      <c r="T19" s="32">
        <f>IF($B19="","",IF($B$2="Todos",SUMIFS(BD!$T$3:$T$5001,BD!$A$3:$A$5001,$B19),SUMIFS(BD!$T$3:$T$5001,BD!$A$3:$A$5001,$B19,BD!$B$3:$B$5001,$D$2)))</f>
        <v>0</v>
      </c>
      <c r="U19" s="47">
        <f>IF($B19="","",IF($B$2="Todos",SUMIFS(BD!$U$3:$U$5001,BD!$A$3:$A$5001,$B19),SUMIFS(BD!$U$3:$U$5001,BD!$A$3:$A$5001,$B19,BD!$B$3:$B$5001,$D$2)))</f>
        <v>0</v>
      </c>
      <c r="V19" s="32">
        <f>IF($B19="","",IF($B$2="Todos",SUMIFS(BD!$V$3:$V$5001,BD!$A$3:$A$5001,$B19),SUMIFS(BD!$V$3:$V$5001,BD!$A$3:$A$5001,$B19,BD!$B$3:$B$5001,$D$2)))</f>
        <v>0</v>
      </c>
      <c r="W19" s="32">
        <f>IF($B19="","",IF($B$2="Todos",SUMIFS(BD!$W$3:$W$5001,BD!$A$3:$A$5001,$B19),SUMIFS(BD!$W$3:$W$5001,BD!$A$3:$A$5001,$B19,BD!$B$3:$B$5001,$D$2)))</f>
        <v>0</v>
      </c>
      <c r="X19" s="32" t="str">
        <f>IF($B$2="Todos",IF(COUNT($C$148:$V$148)=0,"",SUM($C$148:$V$148)),IFERROR(INDEX($C$148:$V$148,MATCH($D$2,$C$140:$V$140,0)),""))</f>
        <v/>
      </c>
      <c r="Y19" s="48" t="str">
        <f>IF(Z19="","",IF($B$2="Todos",IF($B$4&gt;0,$B$4,IF($B$2="Todos",IF(COUNT($C$218:$V$218)=0,"",SUM($C$218:$V$218)),IFERROR(INDEX($C$218:$V$218,MATCH($D$2,$C$210:$V$210,0)),""))),IFERROR(INDEX($C$218:$V$218,MATCH($D$2,$C$210:$V$210,0)),"")))</f>
        <v/>
      </c>
      <c r="Z19" s="32" t="str">
        <f>IF($B$2="Todos",IF(COUNT($C$183:$V$183)=0,"",SUM($C$183:$V$183)),IFERROR(INDEX($C$183:$V$183,MATCH($D$2,$C$175:$V$175,0)),""))</f>
        <v/>
      </c>
      <c r="AA19" s="49" t="str">
        <f>IF(AND(ISNUMBER(Z19),ISNUMBER(Y19)),IF(Y19&gt;0,Z19/Y19,""),"")</f>
        <v/>
      </c>
      <c r="AB19" s="32" t="str">
        <f>IF($B$2="Todos",IF(COUNT($C$253:$V$253)=0,"",SUM($C$253:$V$253)),IFERROR(INDEX($C$253:$V$253,MATCH($D$2,$C$245:$V$245,0)),""))</f>
        <v/>
      </c>
      <c r="AC19" s="32">
        <f>IF($B19="","",IF($B$2="Todos",SUMIFS(BD!$AB$3:$AB$5001,BD!$A$3:$A$5001,$B19),SUMIFS(BD!$AB$3:$AB$5001,BD!$A$3:$A$5001,$B19,BD!$B$3:$B$5001,$D$2)))</f>
        <v>0</v>
      </c>
      <c r="AD19" s="32">
        <f>IF($B19="","",IF($B$2="Todos",SUMIFS(BD!$AC$3:$AC$5001,BD!$A$3:$A$5001,$B19),SUMIFS(BD!$AC$3:$AC$5001,BD!$A$3:$A$5001,$B19,BD!$B$3:$B$5001,$D$2)))</f>
        <v>0</v>
      </c>
      <c r="AE19" s="32">
        <f>IF($B19="","",IF($B$2="Todos",SUMIFS(BD!$AD$3:$AD$5001,BD!$A$3:$A$5001,$B19),SUMIFS(BD!$AD$3:$AD$5001,BD!$A$3:$A$5001,$B19,BD!$B$3:$B$5001,$D$2)))</f>
        <v>0</v>
      </c>
      <c r="AF19" s="32">
        <f>IF($B19="","",IF($B$2="Todos",SUMIFS(BD!$AE$3:$AE$5001,BD!$A$3:$A$5001,$B19),SUMIFS(BD!$AE$3:$AE$5001,BD!$A$3:$A$5001,$B19,BD!$B$3:$B$5001,$D$2)))</f>
        <v>0</v>
      </c>
      <c r="AG19" s="32">
        <f>IF($B19="","",IF($B$2="Todos",SUMIFS(BD!$AF$3:$AF$5001,BD!$A$3:$A$5001,$B19),SUMIFS(BD!$AF$3:$AF$5001,BD!$A$3:$A$5001,$B19,BD!$B$3:$B$5001,$D$2)))</f>
        <v>0</v>
      </c>
      <c r="AH19" s="32">
        <f>IF($B19="","",IF($B$2="Todos",SUMIFS(BD!$AG$3:$AG$5001,BD!$A$3:$A$5001,$B19),SUMIFS(BD!$AG$3:$AG$5001,BD!$A$3:$A$5001,$B19,BD!$B$3:$B$5001,$D$2)))</f>
        <v>0</v>
      </c>
      <c r="AI19" s="32">
        <f>IF($B19="","",IF($B$2="Todos",SUMIFS(BD!$AH$3:$AH$5001,BD!$A$3:$A$5001,$B19),SUMIFS(BD!$AH$3:$AH$5001,BD!$A$3:$A$5001,$B19,BD!$B$3:$B$5001,$D$2)))</f>
        <v>0</v>
      </c>
      <c r="AJ19" s="50">
        <f>$B$5</f>
        <v>0.7</v>
      </c>
      <c r="AK19" s="50">
        <f>$B$6</f>
        <v>0.9</v>
      </c>
      <c r="AN19" s="29" t="inlineStr">
        <is>
          <t xml:space="preserve">AGOSTO · 2026</t>
        </is>
      </c>
      <c r="AP19" s="29" t="str">
        <f>IFERROR(INDEX(Config!$B$10:$B$29,MATCH(7,$AR$13:$AR$32,0))&amp;"","")</f>
        <v>Omnilife</v>
      </c>
      <c r="AQ19" s="28" t="str">
        <f>IF(AP19="","",IF(INDEX(Config!$C$10:$C$29,MATCH(7,$AR$13:$AR$32,0))&amp;""="","TPC",INDEX(Config!$C$10:$C$29,MATCH(7,$AR$13:$AR$32,0))&amp;""))</f>
        <v>TPC</v>
      </c>
      <c r="AR19" s="38">
        <f>IF(Config!$B$16&amp;""="",AR18,AR18+1)</f>
        <v>7</v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32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>
        <f>IF($B20="","",IF($B$2="Todos",SUMIFS(BD!$K$3:$K$5001,BD!$A$3:$A$5001,$B20),SUMIFS(BD!$K$3:$K$5001,BD!$A$3:$A$5001,$B20,BD!$B$3:$B$5001,$D$2)))</f>
        <v>0</v>
      </c>
      <c r="L20" s="32">
        <f>IF($B20="","",IF($B$2="Todos",SUMIFS(BD!$L$3:$L$5001,BD!$A$3:$A$5001,$B20),SUMIFS(BD!$L$3:$L$5001,BD!$A$3:$A$5001,$B20,BD!$B$3:$B$5001,$D$2)))</f>
        <v>0</v>
      </c>
      <c r="M20" s="32">
        <f>IF($B20="","",IF($B$2="Todos",SUMIFS(BD!$M$3:$M$5001,BD!$A$3:$A$5001,$B20),SUMIFS(BD!$M$3:$M$5001,BD!$A$3:$A$5001,$B20,BD!$B$3:$B$5001,$D$2)))</f>
        <v>0</v>
      </c>
      <c r="N20" s="32">
        <f>IF($B20="","",IF($B$2="Todos",SUMIFS(BD!$N$3:$N$5001,BD!$A$3:$A$5001,$B20),SUMIFS(BD!$N$3:$N$5001,BD!$A$3:$A$5001,$B20,BD!$B$3:$B$5001,$D$2)))</f>
        <v>0</v>
      </c>
      <c r="O20" s="32">
        <f>IF($B20="","",IF($B$2="Todos",SUMIFS(BD!$O$3:$O$5001,BD!$A$3:$A$5001,$B20),SUMIFS(BD!$O$3:$O$5001,BD!$A$3:$A$5001,$B20,BD!$B$3:$B$5001,$D$2)))</f>
        <v>0</v>
      </c>
      <c r="P20" s="32">
        <f>IF($B20="","",IF($B$2="Todos",SUMIFS(BD!$P$3:$P$5001,BD!$A$3:$A$5001,$B20),SUMIFS(BD!$P$3:$P$5001,BD!$A$3:$A$5001,$B20,BD!$B$3:$B$5001,$D$2)))</f>
        <v>0</v>
      </c>
      <c r="Q20" s="32">
        <f>IF($B20="","",IF($B$2="Todos",SUMIFS(BD!$Q$3:$Q$5001,BD!$A$3:$A$5001,$B20),SUMIFS(BD!$Q$3:$Q$5001,BD!$A$3:$A$5001,$B20,BD!$B$3:$B$5001,$D$2)))</f>
        <v>0</v>
      </c>
      <c r="R20" s="32">
        <f>IF($B20="","",IF($B$2="Todos",SUMIFS(BD!$R$3:$R$5001,BD!$A$3:$A$5001,$B20),SUMIFS(BD!$R$3:$R$5001,BD!$A$3:$A$5001,$B20,BD!$B$3:$B$5001,$D$2)))</f>
        <v>0</v>
      </c>
      <c r="S20" s="32">
        <f>IF($B20="","",IF($B$2="Todos",SUMIFS(BD!$S$3:$S$5001,BD!$A$3:$A$5001,$B20),SUMIFS(BD!$S$3:$S$5001,BD!$A$3:$A$5001,$B20,BD!$B$3:$B$5001,$D$2)))</f>
        <v>0</v>
      </c>
      <c r="T20" s="32">
        <f>IF($B20="","",IF($B$2="Todos",SUMIFS(BD!$T$3:$T$5001,BD!$A$3:$A$5001,$B20),SUMIFS(BD!$T$3:$T$5001,BD!$A$3:$A$5001,$B20,BD!$B$3:$B$5001,$D$2)))</f>
        <v>0</v>
      </c>
      <c r="U20" s="47">
        <f>IF($B20="","",IF($B$2="Todos",SUMIFS(BD!$U$3:$U$5001,BD!$A$3:$A$5001,$B20),SUMIFS(BD!$U$3:$U$5001,BD!$A$3:$A$5001,$B20,BD!$B$3:$B$5001,$D$2)))</f>
        <v>0</v>
      </c>
      <c r="V20" s="32">
        <f>IF($B20="","",IF($B$2="Todos",SUMIFS(BD!$V$3:$V$5001,BD!$A$3:$A$5001,$B20),SUMIFS(BD!$V$3:$V$5001,BD!$A$3:$A$5001,$B20,BD!$B$3:$B$5001,$D$2)))</f>
        <v>0</v>
      </c>
      <c r="W20" s="32">
        <f>IF($B20="","",IF($B$2="Todos",SUMIFS(BD!$W$3:$W$5001,BD!$A$3:$A$5001,$B20),SUMIFS(BD!$W$3:$W$5001,BD!$A$3:$A$5001,$B20,BD!$B$3:$B$5001,$D$2)))</f>
        <v>0</v>
      </c>
      <c r="X20" s="32" t="str">
        <f>IF($B$2="Todos",IF(COUNT($C$149:$V$149)=0,"",SUM($C$149:$V$149)),IFERROR(INDEX($C$149:$V$149,MATCH($D$2,$C$140:$V$140,0)),""))</f>
        <v/>
      </c>
      <c r="Y20" s="48" t="str">
        <f>IF(Z20="","",IF($B$2="Todos",IF($B$4&gt;0,$B$4,IF($B$2="Todos",IF(COUNT($C$219:$V$219)=0,"",SUM($C$219:$V$219)),IFERROR(INDEX($C$219:$V$219,MATCH($D$2,$C$210:$V$210,0)),""))),IFERROR(INDEX($C$219:$V$219,MATCH($D$2,$C$210:$V$210,0)),"")))</f>
        <v/>
      </c>
      <c r="Z20" s="32" t="str">
        <f>IF($B$2="Todos",IF(COUNT($C$184:$V$184)=0,"",SUM($C$184:$V$184)),IFERROR(INDEX($C$184:$V$184,MATCH($D$2,$C$175:$V$175,0)),""))</f>
        <v/>
      </c>
      <c r="AA20" s="49" t="str">
        <f>IF(AND(ISNUMBER(Z20),ISNUMBER(Y20)),IF(Y20&gt;0,Z20/Y20,""),"")</f>
        <v/>
      </c>
      <c r="AB20" s="32" t="str">
        <f>IF($B$2="Todos",IF(COUNT($C$254:$V$254)=0,"",SUM($C$254:$V$254)),IFERROR(INDEX($C$254:$V$254,MATCH($D$2,$C$245:$V$245,0)),""))</f>
        <v/>
      </c>
      <c r="AC20" s="32">
        <f>IF($B20="","",IF($B$2="Todos",SUMIFS(BD!$AB$3:$AB$5001,BD!$A$3:$A$5001,$B20),SUMIFS(BD!$AB$3:$AB$5001,BD!$A$3:$A$5001,$B20,BD!$B$3:$B$5001,$D$2)))</f>
        <v>0</v>
      </c>
      <c r="AD20" s="32">
        <f>IF($B20="","",IF($B$2="Todos",SUMIFS(BD!$AC$3:$AC$5001,BD!$A$3:$A$5001,$B20),SUMIFS(BD!$AC$3:$AC$5001,BD!$A$3:$A$5001,$B20,BD!$B$3:$B$5001,$D$2)))</f>
        <v>0</v>
      </c>
      <c r="AE20" s="32">
        <f>IF($B20="","",IF($B$2="Todos",SUMIFS(BD!$AD$3:$AD$5001,BD!$A$3:$A$5001,$B20),SUMIFS(BD!$AD$3:$AD$5001,BD!$A$3:$A$5001,$B20,BD!$B$3:$B$5001,$D$2)))</f>
        <v>0</v>
      </c>
      <c r="AF20" s="32">
        <f>IF($B20="","",IF($B$2="Todos",SUMIFS(BD!$AE$3:$AE$5001,BD!$A$3:$A$5001,$B20),SUMIFS(BD!$AE$3:$AE$5001,BD!$A$3:$A$5001,$B20,BD!$B$3:$B$5001,$D$2)))</f>
        <v>0</v>
      </c>
      <c r="AG20" s="32">
        <f>IF($B20="","",IF($B$2="Todos",SUMIFS(BD!$AF$3:$AF$5001,BD!$A$3:$A$5001,$B20),SUMIFS(BD!$AF$3:$AF$5001,BD!$A$3:$A$5001,$B20,BD!$B$3:$B$5001,$D$2)))</f>
        <v>0</v>
      </c>
      <c r="AH20" s="32">
        <f>IF($B20="","",IF($B$2="Todos",SUMIFS(BD!$AG$3:$AG$5001,BD!$A$3:$A$5001,$B20),SUMIFS(BD!$AG$3:$AG$5001,BD!$A$3:$A$5001,$B20,BD!$B$3:$B$5001,$D$2)))</f>
        <v>0</v>
      </c>
      <c r="AI20" s="32">
        <f>IF($B20="","",IF($B$2="Todos",SUMIFS(BD!$AH$3:$AH$5001,BD!$A$3:$A$5001,$B20),SUMIFS(BD!$AH$3:$AH$5001,BD!$A$3:$A$5001,$B20,BD!$B$3:$B$5001,$D$2)))</f>
        <v>0</v>
      </c>
      <c r="AJ20" s="50">
        <f>$B$5</f>
        <v>0.7</v>
      </c>
      <c r="AK20" s="50">
        <f>$B$6</f>
        <v>0.9</v>
      </c>
      <c r="AN20" s="29" t="inlineStr">
        <is>
          <t xml:space="preserve">SETEMBRO · 2026</t>
        </is>
      </c>
      <c r="AP20" s="29" t="str">
        <f>IFERROR(INDEX(Config!$B$10:$B$29,MATCH(8,$AR$13:$AR$32,0))&amp;"","")</f>
        <v>Supply</v>
      </c>
      <c r="AQ20" s="28" t="str">
        <f>IF(AP20="","",IF(INDEX(Config!$C$10:$C$29,MATCH(8,$AR$13:$AR$32,0))&amp;""="","TPC",INDEX(Config!$C$10:$C$29,MATCH(8,$AR$13:$AR$32,0))&amp;""))</f>
        <v>TPC</v>
      </c>
      <c r="AR20" s="38">
        <f>IF(Config!$B$17&amp;""="",AR19,AR19+1)</f>
        <v>8</v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32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>
        <f>IF($B21="","",IF($B$2="Todos",SUMIFS(BD!$K$3:$K$5001,BD!$A$3:$A$5001,$B21),SUMIFS(BD!$K$3:$K$5001,BD!$A$3:$A$5001,$B21,BD!$B$3:$B$5001,$D$2)))</f>
        <v>0</v>
      </c>
      <c r="L21" s="32">
        <f>IF($B21="","",IF($B$2="Todos",SUMIFS(BD!$L$3:$L$5001,BD!$A$3:$A$5001,$B21),SUMIFS(BD!$L$3:$L$5001,BD!$A$3:$A$5001,$B21,BD!$B$3:$B$5001,$D$2)))</f>
        <v>0</v>
      </c>
      <c r="M21" s="32">
        <f>IF($B21="","",IF($B$2="Todos",SUMIFS(BD!$M$3:$M$5001,BD!$A$3:$A$5001,$B21),SUMIFS(BD!$M$3:$M$5001,BD!$A$3:$A$5001,$B21,BD!$B$3:$B$5001,$D$2)))</f>
        <v>0</v>
      </c>
      <c r="N21" s="32">
        <f>IF($B21="","",IF($B$2="Todos",SUMIFS(BD!$N$3:$N$5001,BD!$A$3:$A$5001,$B21),SUMIFS(BD!$N$3:$N$5001,BD!$A$3:$A$5001,$B21,BD!$B$3:$B$5001,$D$2)))</f>
        <v>0</v>
      </c>
      <c r="O21" s="32">
        <f>IF($B21="","",IF($B$2="Todos",SUMIFS(BD!$O$3:$O$5001,BD!$A$3:$A$5001,$B21),SUMIFS(BD!$O$3:$O$5001,BD!$A$3:$A$5001,$B21,BD!$B$3:$B$5001,$D$2)))</f>
        <v>0</v>
      </c>
      <c r="P21" s="32">
        <f>IF($B21="","",IF($B$2="Todos",SUMIFS(BD!$P$3:$P$5001,BD!$A$3:$A$5001,$B21),SUMIFS(BD!$P$3:$P$5001,BD!$A$3:$A$5001,$B21,BD!$B$3:$B$5001,$D$2)))</f>
        <v>0</v>
      </c>
      <c r="Q21" s="32">
        <f>IF($B21="","",IF($B$2="Todos",SUMIFS(BD!$Q$3:$Q$5001,BD!$A$3:$A$5001,$B21),SUMIFS(BD!$Q$3:$Q$5001,BD!$A$3:$A$5001,$B21,BD!$B$3:$B$5001,$D$2)))</f>
        <v>0</v>
      </c>
      <c r="R21" s="32">
        <f>IF($B21="","",IF($B$2="Todos",SUMIFS(BD!$R$3:$R$5001,BD!$A$3:$A$5001,$B21),SUMIFS(BD!$R$3:$R$5001,BD!$A$3:$A$5001,$B21,BD!$B$3:$B$5001,$D$2)))</f>
        <v>0</v>
      </c>
      <c r="S21" s="32">
        <f>IF($B21="","",IF($B$2="Todos",SUMIFS(BD!$S$3:$S$5001,BD!$A$3:$A$5001,$B21),SUMIFS(BD!$S$3:$S$5001,BD!$A$3:$A$5001,$B21,BD!$B$3:$B$5001,$D$2)))</f>
        <v>0</v>
      </c>
      <c r="T21" s="32">
        <f>IF($B21="","",IF($B$2="Todos",SUMIFS(BD!$T$3:$T$5001,BD!$A$3:$A$5001,$B21),SUMIFS(BD!$T$3:$T$5001,BD!$A$3:$A$5001,$B21,BD!$B$3:$B$5001,$D$2)))</f>
        <v>0</v>
      </c>
      <c r="U21" s="47">
        <f>IF($B21="","",IF($B$2="Todos",SUMIFS(BD!$U$3:$U$5001,BD!$A$3:$A$5001,$B21),SUMIFS(BD!$U$3:$U$5001,BD!$A$3:$A$5001,$B21,BD!$B$3:$B$5001,$D$2)))</f>
        <v>0</v>
      </c>
      <c r="V21" s="32">
        <f>IF($B21="","",IF($B$2="Todos",SUMIFS(BD!$V$3:$V$5001,BD!$A$3:$A$5001,$B21),SUMIFS(BD!$V$3:$V$5001,BD!$A$3:$A$5001,$B21,BD!$B$3:$B$5001,$D$2)))</f>
        <v>0</v>
      </c>
      <c r="W21" s="32">
        <f>IF($B21="","",IF($B$2="Todos",SUMIFS(BD!$W$3:$W$5001,BD!$A$3:$A$5001,$B21),SUMIFS(BD!$W$3:$W$5001,BD!$A$3:$A$5001,$B21,BD!$B$3:$B$5001,$D$2)))</f>
        <v>0</v>
      </c>
      <c r="X21" s="32" t="str">
        <f>IF($B$2="Todos",IF(COUNT($C$150:$V$150)=0,"",SUM($C$150:$V$150)),IFERROR(INDEX($C$150:$V$150,MATCH($D$2,$C$140:$V$140,0)),""))</f>
        <v/>
      </c>
      <c r="Y21" s="48" t="str">
        <f>IF(Z21="","",IF($B$2="Todos",IF($B$4&gt;0,$B$4,IF($B$2="Todos",IF(COUNT($C$220:$V$220)=0,"",SUM($C$220:$V$220)),IFERROR(INDEX($C$220:$V$220,MATCH($D$2,$C$210:$V$210,0)),""))),IFERROR(INDEX($C$220:$V$220,MATCH($D$2,$C$210:$V$210,0)),"")))</f>
        <v/>
      </c>
      <c r="Z21" s="32" t="str">
        <f>IF($B$2="Todos",IF(COUNT($C$185:$V$185)=0,"",SUM($C$185:$V$185)),IFERROR(INDEX($C$185:$V$185,MATCH($D$2,$C$175:$V$175,0)),""))</f>
        <v/>
      </c>
      <c r="AA21" s="49" t="str">
        <f>IF(AND(ISNUMBER(Z21),ISNUMBER(Y21)),IF(Y21&gt;0,Z21/Y21,""),"")</f>
        <v/>
      </c>
      <c r="AB21" s="32" t="str">
        <f>IF($B$2="Todos",IF(COUNT($C$255:$V$255)=0,"",SUM($C$255:$V$255)),IFERROR(INDEX($C$255:$V$255,MATCH($D$2,$C$245:$V$245,0)),""))</f>
        <v/>
      </c>
      <c r="AC21" s="32">
        <f>IF($B21="","",IF($B$2="Todos",SUMIFS(BD!$AB$3:$AB$5001,BD!$A$3:$A$5001,$B21),SUMIFS(BD!$AB$3:$AB$5001,BD!$A$3:$A$5001,$B21,BD!$B$3:$B$5001,$D$2)))</f>
        <v>0</v>
      </c>
      <c r="AD21" s="32">
        <f>IF($B21="","",IF($B$2="Todos",SUMIFS(BD!$AC$3:$AC$5001,BD!$A$3:$A$5001,$B21),SUMIFS(BD!$AC$3:$AC$5001,BD!$A$3:$A$5001,$B21,BD!$B$3:$B$5001,$D$2)))</f>
        <v>0</v>
      </c>
      <c r="AE21" s="32">
        <f>IF($B21="","",IF($B$2="Todos",SUMIFS(BD!$AD$3:$AD$5001,BD!$A$3:$A$5001,$B21),SUMIFS(BD!$AD$3:$AD$5001,BD!$A$3:$A$5001,$B21,BD!$B$3:$B$5001,$D$2)))</f>
        <v>0</v>
      </c>
      <c r="AF21" s="32">
        <f>IF($B21="","",IF($B$2="Todos",SUMIFS(BD!$AE$3:$AE$5001,BD!$A$3:$A$5001,$B21),SUMIFS(BD!$AE$3:$AE$5001,BD!$A$3:$A$5001,$B21,BD!$B$3:$B$5001,$D$2)))</f>
        <v>0</v>
      </c>
      <c r="AG21" s="32">
        <f>IF($B21="","",IF($B$2="Todos",SUMIFS(BD!$AF$3:$AF$5001,BD!$A$3:$A$5001,$B21),SUMIFS(BD!$AF$3:$AF$5001,BD!$A$3:$A$5001,$B21,BD!$B$3:$B$5001,$D$2)))</f>
        <v>0</v>
      </c>
      <c r="AH21" s="32">
        <f>IF($B21="","",IF($B$2="Todos",SUMIFS(BD!$AG$3:$AG$5001,BD!$A$3:$A$5001,$B21),SUMIFS(BD!$AG$3:$AG$5001,BD!$A$3:$A$5001,$B21,BD!$B$3:$B$5001,$D$2)))</f>
        <v>0</v>
      </c>
      <c r="AI21" s="32">
        <f>IF($B21="","",IF($B$2="Todos",SUMIFS(BD!$AH$3:$AH$5001,BD!$A$3:$A$5001,$B21),SUMIFS(BD!$AH$3:$AH$5001,BD!$A$3:$A$5001,$B21,BD!$B$3:$B$5001,$D$2)))</f>
        <v>0</v>
      </c>
      <c r="AJ21" s="50">
        <f>$B$5</f>
        <v>0.7</v>
      </c>
      <c r="AK21" s="50">
        <f>$B$6</f>
        <v>0.9</v>
      </c>
      <c r="AN21" s="29" t="inlineStr">
        <is>
          <t xml:space="preserve">OUTUBRO · 2026</t>
        </is>
      </c>
      <c r="AP21" s="29" t="str">
        <f>IFERROR(INDEX(Config!$B$10:$B$29,MATCH(9,$AR$13:$AR$32,0))&amp;"","")</f>
        <v>Vedacit</v>
      </c>
      <c r="AQ21" s="28" t="str">
        <f>IF(AP21="","",IF(INDEX(Config!$C$10:$C$29,MATCH(9,$AR$13:$AR$32,0))&amp;""="","TPC",INDEX(Config!$C$10:$C$29,MATCH(9,$AR$13:$AR$32,0))&amp;""))</f>
        <v>TPC</v>
      </c>
      <c r="AR21" s="38">
        <f>IF(Config!$B$18&amp;""="",AR20,AR20+1)</f>
        <v>9</v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32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>
        <f>IF($B22="","",IF($B$2="Todos",SUMIFS(BD!$K$3:$K$5001,BD!$A$3:$A$5001,$B22),SUMIFS(BD!$K$3:$K$5001,BD!$A$3:$A$5001,$B22,BD!$B$3:$B$5001,$D$2)))</f>
        <v>0</v>
      </c>
      <c r="L22" s="32">
        <f>IF($B22="","",IF($B$2="Todos",SUMIFS(BD!$L$3:$L$5001,BD!$A$3:$A$5001,$B22),SUMIFS(BD!$L$3:$L$5001,BD!$A$3:$A$5001,$B22,BD!$B$3:$B$5001,$D$2)))</f>
        <v>0</v>
      </c>
      <c r="M22" s="32">
        <f>IF($B22="","",IF($B$2="Todos",SUMIFS(BD!$M$3:$M$5001,BD!$A$3:$A$5001,$B22),SUMIFS(BD!$M$3:$M$5001,BD!$A$3:$A$5001,$B22,BD!$B$3:$B$5001,$D$2)))</f>
        <v>0</v>
      </c>
      <c r="N22" s="32">
        <f>IF($B22="","",IF($B$2="Todos",SUMIFS(BD!$N$3:$N$5001,BD!$A$3:$A$5001,$B22),SUMIFS(BD!$N$3:$N$5001,BD!$A$3:$A$5001,$B22,BD!$B$3:$B$5001,$D$2)))</f>
        <v>0</v>
      </c>
      <c r="O22" s="32">
        <f>IF($B22="","",IF($B$2="Todos",SUMIFS(BD!$O$3:$O$5001,BD!$A$3:$A$5001,$B22),SUMIFS(BD!$O$3:$O$5001,BD!$A$3:$A$5001,$B22,BD!$B$3:$B$5001,$D$2)))</f>
        <v>0</v>
      </c>
      <c r="P22" s="32">
        <f>IF($B22="","",IF($B$2="Todos",SUMIFS(BD!$P$3:$P$5001,BD!$A$3:$A$5001,$B22),SUMIFS(BD!$P$3:$P$5001,BD!$A$3:$A$5001,$B22,BD!$B$3:$B$5001,$D$2)))</f>
        <v>0</v>
      </c>
      <c r="Q22" s="32">
        <f>IF($B22="","",IF($B$2="Todos",SUMIFS(BD!$Q$3:$Q$5001,BD!$A$3:$A$5001,$B22),SUMIFS(BD!$Q$3:$Q$5001,BD!$A$3:$A$5001,$B22,BD!$B$3:$B$5001,$D$2)))</f>
        <v>0</v>
      </c>
      <c r="R22" s="32">
        <f>IF($B22="","",IF($B$2="Todos",SUMIFS(BD!$R$3:$R$5001,BD!$A$3:$A$5001,$B22),SUMIFS(BD!$R$3:$R$5001,BD!$A$3:$A$5001,$B22,BD!$B$3:$B$5001,$D$2)))</f>
        <v>0</v>
      </c>
      <c r="S22" s="32">
        <f>IF($B22="","",IF($B$2="Todos",SUMIFS(BD!$S$3:$S$5001,BD!$A$3:$A$5001,$B22),SUMIFS(BD!$S$3:$S$5001,BD!$A$3:$A$5001,$B22,BD!$B$3:$B$5001,$D$2)))</f>
        <v>0</v>
      </c>
      <c r="T22" s="32">
        <f>IF($B22="","",IF($B$2="Todos",SUMIFS(BD!$T$3:$T$5001,BD!$A$3:$A$5001,$B22),SUMIFS(BD!$T$3:$T$5001,BD!$A$3:$A$5001,$B22,BD!$B$3:$B$5001,$D$2)))</f>
        <v>0</v>
      </c>
      <c r="U22" s="47">
        <f>IF($B22="","",IF($B$2="Todos",SUMIFS(BD!$U$3:$U$5001,BD!$A$3:$A$5001,$B22),SUMIFS(BD!$U$3:$U$5001,BD!$A$3:$A$5001,$B22,BD!$B$3:$B$5001,$D$2)))</f>
        <v>0</v>
      </c>
      <c r="V22" s="32">
        <f>IF($B22="","",IF($B$2="Todos",SUMIFS(BD!$V$3:$V$5001,BD!$A$3:$A$5001,$B22),SUMIFS(BD!$V$3:$V$5001,BD!$A$3:$A$5001,$B22,BD!$B$3:$B$5001,$D$2)))</f>
        <v>0</v>
      </c>
      <c r="W22" s="32">
        <f>IF($B22="","",IF($B$2="Todos",SUMIFS(BD!$W$3:$W$5001,BD!$A$3:$A$5001,$B22),SUMIFS(BD!$W$3:$W$5001,BD!$A$3:$A$5001,$B22,BD!$B$3:$B$5001,$D$2)))</f>
        <v>0</v>
      </c>
      <c r="X22" s="32" t="str">
        <f>IF($B$2="Todos",IF(COUNT($C$151:$V$151)=0,"",SUM($C$151:$V$151)),IFERROR(INDEX($C$151:$V$151,MATCH($D$2,$C$140:$V$140,0)),""))</f>
        <v/>
      </c>
      <c r="Y22" s="48" t="str">
        <f>IF(Z22="","",IF($B$2="Todos",IF($B$4&gt;0,$B$4,IF($B$2="Todos",IF(COUNT($C$221:$V$221)=0,"",SUM($C$221:$V$221)),IFERROR(INDEX($C$221:$V$221,MATCH($D$2,$C$210:$V$210,0)),""))),IFERROR(INDEX($C$221:$V$221,MATCH($D$2,$C$210:$V$210,0)),"")))</f>
        <v/>
      </c>
      <c r="Z22" s="32" t="str">
        <f>IF($B$2="Todos",IF(COUNT($C$186:$V$186)=0,"",SUM($C$186:$V$186)),IFERROR(INDEX($C$186:$V$186,MATCH($D$2,$C$175:$V$175,0)),""))</f>
        <v/>
      </c>
      <c r="AA22" s="49" t="str">
        <f>IF(AND(ISNUMBER(Z22),ISNUMBER(Y22)),IF(Y22&gt;0,Z22/Y22,""),"")</f>
        <v/>
      </c>
      <c r="AB22" s="32" t="str">
        <f>IF($B$2="Todos",IF(COUNT($C$256:$V$256)=0,"",SUM($C$256:$V$256)),IFERROR(INDEX($C$256:$V$256,MATCH($D$2,$C$245:$V$245,0)),""))</f>
        <v/>
      </c>
      <c r="AC22" s="32">
        <f>IF($B22="","",IF($B$2="Todos",SUMIFS(BD!$AB$3:$AB$5001,BD!$A$3:$A$5001,$B22),SUMIFS(BD!$AB$3:$AB$5001,BD!$A$3:$A$5001,$B22,BD!$B$3:$B$5001,$D$2)))</f>
        <v>0</v>
      </c>
      <c r="AD22" s="32">
        <f>IF($B22="","",IF($B$2="Todos",SUMIFS(BD!$AC$3:$AC$5001,BD!$A$3:$A$5001,$B22),SUMIFS(BD!$AC$3:$AC$5001,BD!$A$3:$A$5001,$B22,BD!$B$3:$B$5001,$D$2)))</f>
        <v>0</v>
      </c>
      <c r="AE22" s="32">
        <f>IF($B22="","",IF($B$2="Todos",SUMIFS(BD!$AD$3:$AD$5001,BD!$A$3:$A$5001,$B22),SUMIFS(BD!$AD$3:$AD$5001,BD!$A$3:$A$5001,$B22,BD!$B$3:$B$5001,$D$2)))</f>
        <v>0</v>
      </c>
      <c r="AF22" s="32">
        <f>IF($B22="","",IF($B$2="Todos",SUMIFS(BD!$AE$3:$AE$5001,BD!$A$3:$A$5001,$B22),SUMIFS(BD!$AE$3:$AE$5001,BD!$A$3:$A$5001,$B22,BD!$B$3:$B$5001,$D$2)))</f>
        <v>0</v>
      </c>
      <c r="AG22" s="32">
        <f>IF($B22="","",IF($B$2="Todos",SUMIFS(BD!$AF$3:$AF$5001,BD!$A$3:$A$5001,$B22),SUMIFS(BD!$AF$3:$AF$5001,BD!$A$3:$A$5001,$B22,BD!$B$3:$B$5001,$D$2)))</f>
        <v>0</v>
      </c>
      <c r="AH22" s="32">
        <f>IF($B22="","",IF($B$2="Todos",SUMIFS(BD!$AG$3:$AG$5001,BD!$A$3:$A$5001,$B22),SUMIFS(BD!$AG$3:$AG$5001,BD!$A$3:$A$5001,$B22,BD!$B$3:$B$5001,$D$2)))</f>
        <v>0</v>
      </c>
      <c r="AI22" s="32">
        <f>IF($B22="","",IF($B$2="Todos",SUMIFS(BD!$AH$3:$AH$5001,BD!$A$3:$A$5001,$B22),SUMIFS(BD!$AH$3:$AH$5001,BD!$A$3:$A$5001,$B22,BD!$B$3:$B$5001,$D$2)))</f>
        <v>0</v>
      </c>
      <c r="AJ22" s="50">
        <f>$B$5</f>
        <v>0.7</v>
      </c>
      <c r="AK22" s="50">
        <f>$B$6</f>
        <v>0.9</v>
      </c>
      <c r="AN22" s="29" t="inlineStr">
        <is>
          <t xml:space="preserve">NOVEMBRO · 2026</t>
        </is>
      </c>
      <c r="AP22" s="29" t="str">
        <f>IFERROR(INDEX(Config!$B$10:$B$29,MATCH(10,$AR$13:$AR$32,0))&amp;"","")</f>
        <v>Vestas</v>
      </c>
      <c r="AQ22" s="28" t="str">
        <f>IF(AP22="","",IF(INDEX(Config!$C$10:$C$29,MATCH(10,$AR$13:$AR$32,0))&amp;""="","TPC",INDEX(Config!$C$10:$C$29,MATCH(10,$AR$13:$AR$32,0))&amp;""))</f>
        <v>TPC</v>
      </c>
      <c r="AR22" s="38">
        <f>IF(Config!$B$19&amp;""="",AR21,AR21+1)</f>
        <v>10</v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32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>
        <f>IF($B23="","",IF($B$2="Todos",SUMIFS(BD!$K$3:$K$5001,BD!$A$3:$A$5001,$B23),SUMIFS(BD!$K$3:$K$5001,BD!$A$3:$A$5001,$B23,BD!$B$3:$B$5001,$D$2)))</f>
        <v>0</v>
      </c>
      <c r="L23" s="32">
        <f>IF($B23="","",IF($B$2="Todos",SUMIFS(BD!$L$3:$L$5001,BD!$A$3:$A$5001,$B23),SUMIFS(BD!$L$3:$L$5001,BD!$A$3:$A$5001,$B23,BD!$B$3:$B$5001,$D$2)))</f>
        <v>0</v>
      </c>
      <c r="M23" s="32">
        <f>IF($B23="","",IF($B$2="Todos",SUMIFS(BD!$M$3:$M$5001,BD!$A$3:$A$5001,$B23),SUMIFS(BD!$M$3:$M$5001,BD!$A$3:$A$5001,$B23,BD!$B$3:$B$5001,$D$2)))</f>
        <v>0</v>
      </c>
      <c r="N23" s="32">
        <f>IF($B23="","",IF($B$2="Todos",SUMIFS(BD!$N$3:$N$5001,BD!$A$3:$A$5001,$B23),SUMIFS(BD!$N$3:$N$5001,BD!$A$3:$A$5001,$B23,BD!$B$3:$B$5001,$D$2)))</f>
        <v>0</v>
      </c>
      <c r="O23" s="32">
        <f>IF($B23="","",IF($B$2="Todos",SUMIFS(BD!$O$3:$O$5001,BD!$A$3:$A$5001,$B23),SUMIFS(BD!$O$3:$O$5001,BD!$A$3:$A$5001,$B23,BD!$B$3:$B$5001,$D$2)))</f>
        <v>0</v>
      </c>
      <c r="P23" s="32">
        <f>IF($B23="","",IF($B$2="Todos",SUMIFS(BD!$P$3:$P$5001,BD!$A$3:$A$5001,$B23),SUMIFS(BD!$P$3:$P$5001,BD!$A$3:$A$5001,$B23,BD!$B$3:$B$5001,$D$2)))</f>
        <v>0</v>
      </c>
      <c r="Q23" s="32">
        <f>IF($B23="","",IF($B$2="Todos",SUMIFS(BD!$Q$3:$Q$5001,BD!$A$3:$A$5001,$B23),SUMIFS(BD!$Q$3:$Q$5001,BD!$A$3:$A$5001,$B23,BD!$B$3:$B$5001,$D$2)))</f>
        <v>0</v>
      </c>
      <c r="R23" s="32">
        <f>IF($B23="","",IF($B$2="Todos",SUMIFS(BD!$R$3:$R$5001,BD!$A$3:$A$5001,$B23),SUMIFS(BD!$R$3:$R$5001,BD!$A$3:$A$5001,$B23,BD!$B$3:$B$5001,$D$2)))</f>
        <v>0</v>
      </c>
      <c r="S23" s="32">
        <f>IF($B23="","",IF($B$2="Todos",SUMIFS(BD!$S$3:$S$5001,BD!$A$3:$A$5001,$B23),SUMIFS(BD!$S$3:$S$5001,BD!$A$3:$A$5001,$B23,BD!$B$3:$B$5001,$D$2)))</f>
        <v>0</v>
      </c>
      <c r="T23" s="32">
        <f>IF($B23="","",IF($B$2="Todos",SUMIFS(BD!$T$3:$T$5001,BD!$A$3:$A$5001,$B23),SUMIFS(BD!$T$3:$T$5001,BD!$A$3:$A$5001,$B23,BD!$B$3:$B$5001,$D$2)))</f>
        <v>0</v>
      </c>
      <c r="U23" s="47">
        <f>IF($B23="","",IF($B$2="Todos",SUMIFS(BD!$U$3:$U$5001,BD!$A$3:$A$5001,$B23),SUMIFS(BD!$U$3:$U$5001,BD!$A$3:$A$5001,$B23,BD!$B$3:$B$5001,$D$2)))</f>
        <v>0</v>
      </c>
      <c r="V23" s="32">
        <f>IF($B23="","",IF($B$2="Todos",SUMIFS(BD!$V$3:$V$5001,BD!$A$3:$A$5001,$B23),SUMIFS(BD!$V$3:$V$5001,BD!$A$3:$A$5001,$B23,BD!$B$3:$B$5001,$D$2)))</f>
        <v>0</v>
      </c>
      <c r="W23" s="32">
        <f>IF($B23="","",IF($B$2="Todos",SUMIFS(BD!$W$3:$W$5001,BD!$A$3:$A$5001,$B23),SUMIFS(BD!$W$3:$W$5001,BD!$A$3:$A$5001,$B23,BD!$B$3:$B$5001,$D$2)))</f>
        <v>0</v>
      </c>
      <c r="X23" s="32" t="str">
        <f>IF($B$2="Todos",IF(COUNT($C$152:$V$152)=0,"",SUM($C$152:$V$152)),IFERROR(INDEX($C$152:$V$152,MATCH($D$2,$C$140:$V$140,0)),""))</f>
        <v/>
      </c>
      <c r="Y23" s="48" t="str">
        <f>IF(Z23="","",IF($B$2="Todos",IF($B$4&gt;0,$B$4,IF($B$2="Todos",IF(COUNT($C$222:$V$222)=0,"",SUM($C$222:$V$222)),IFERROR(INDEX($C$222:$V$222,MATCH($D$2,$C$210:$V$210,0)),""))),IFERROR(INDEX($C$222:$V$222,MATCH($D$2,$C$210:$V$210,0)),"")))</f>
        <v/>
      </c>
      <c r="Z23" s="32" t="str">
        <f>IF($B$2="Todos",IF(COUNT($C$187:$V$187)=0,"",SUM($C$187:$V$187)),IFERROR(INDEX($C$187:$V$187,MATCH($D$2,$C$175:$V$175,0)),""))</f>
        <v/>
      </c>
      <c r="AA23" s="49" t="str">
        <f>IF(AND(ISNUMBER(Z23),ISNUMBER(Y23)),IF(Y23&gt;0,Z23/Y23,""),"")</f>
        <v/>
      </c>
      <c r="AB23" s="32" t="str">
        <f>IF($B$2="Todos",IF(COUNT($C$257:$V$257)=0,"",SUM($C$257:$V$257)),IFERROR(INDEX($C$257:$V$257,MATCH($D$2,$C$245:$V$245,0)),""))</f>
        <v/>
      </c>
      <c r="AC23" s="32">
        <f>IF($B23="","",IF($B$2="Todos",SUMIFS(BD!$AB$3:$AB$5001,BD!$A$3:$A$5001,$B23),SUMIFS(BD!$AB$3:$AB$5001,BD!$A$3:$A$5001,$B23,BD!$B$3:$B$5001,$D$2)))</f>
        <v>0</v>
      </c>
      <c r="AD23" s="32">
        <f>IF($B23="","",IF($B$2="Todos",SUMIFS(BD!$AC$3:$AC$5001,BD!$A$3:$A$5001,$B23),SUMIFS(BD!$AC$3:$AC$5001,BD!$A$3:$A$5001,$B23,BD!$B$3:$B$5001,$D$2)))</f>
        <v>0</v>
      </c>
      <c r="AE23" s="32">
        <f>IF($B23="","",IF($B$2="Todos",SUMIFS(BD!$AD$3:$AD$5001,BD!$A$3:$A$5001,$B23),SUMIFS(BD!$AD$3:$AD$5001,BD!$A$3:$A$5001,$B23,BD!$B$3:$B$5001,$D$2)))</f>
        <v>0</v>
      </c>
      <c r="AF23" s="32">
        <f>IF($B23="","",IF($B$2="Todos",SUMIFS(BD!$AE$3:$AE$5001,BD!$A$3:$A$5001,$B23),SUMIFS(BD!$AE$3:$AE$5001,BD!$A$3:$A$5001,$B23,BD!$B$3:$B$5001,$D$2)))</f>
        <v>0</v>
      </c>
      <c r="AG23" s="32">
        <f>IF($B23="","",IF($B$2="Todos",SUMIFS(BD!$AF$3:$AF$5001,BD!$A$3:$A$5001,$B23),SUMIFS(BD!$AF$3:$AF$5001,BD!$A$3:$A$5001,$B23,BD!$B$3:$B$5001,$D$2)))</f>
        <v>0</v>
      </c>
      <c r="AH23" s="32">
        <f>IF($B23="","",IF($B$2="Todos",SUMIFS(BD!$AG$3:$AG$5001,BD!$A$3:$A$5001,$B23),SUMIFS(BD!$AG$3:$AG$5001,BD!$A$3:$A$5001,$B23,BD!$B$3:$B$5001,$D$2)))</f>
        <v>0</v>
      </c>
      <c r="AI23" s="32">
        <f>IF($B23="","",IF($B$2="Todos",SUMIFS(BD!$AH$3:$AH$5001,BD!$A$3:$A$5001,$B23),SUMIFS(BD!$AH$3:$AH$5001,BD!$A$3:$A$5001,$B23,BD!$B$3:$B$5001,$D$2)))</f>
        <v>0</v>
      </c>
      <c r="AJ23" s="50">
        <f>$B$5</f>
        <v>0.7</v>
      </c>
      <c r="AK23" s="50">
        <f>$B$6</f>
        <v>0.9</v>
      </c>
      <c r="AN23" s="29" t="inlineStr">
        <is>
          <t xml:space="preserve">DEZEMBRO · 2026</t>
        </is>
      </c>
      <c r="AP23" s="29" t="str">
        <f>IFERROR(INDEX(Config!$B$10:$B$29,MATCH(11,$AR$13:$AR$32,0))&amp;"","")</f>
        <v/>
      </c>
      <c r="AQ23" s="28" t="str">
        <f>IF(AP23="","",IF(INDEX(Config!$C$10:$C$29,MATCH(11,$AR$13:$AR$32,0))&amp;""="","TPC",INDEX(Config!$C$10:$C$29,MATCH(11,$AR$13:$AR$32,0))&amp;""))</f>
        <v/>
      </c>
      <c r="AR23" s="38">
        <f>IF(Config!$B$20&amp;""="",AR22,AR22+1)</f>
        <v>10</v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32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>
        <f>IF($B24="","",IF($B$2="Todos",SUMIFS(BD!$K$3:$K$5001,BD!$A$3:$A$5001,$B24),SUMIFS(BD!$K$3:$K$5001,BD!$A$3:$A$5001,$B24,BD!$B$3:$B$5001,$D$2)))</f>
        <v>0</v>
      </c>
      <c r="L24" s="32">
        <f>IF($B24="","",IF($B$2="Todos",SUMIFS(BD!$L$3:$L$5001,BD!$A$3:$A$5001,$B24),SUMIFS(BD!$L$3:$L$5001,BD!$A$3:$A$5001,$B24,BD!$B$3:$B$5001,$D$2)))</f>
        <v>0</v>
      </c>
      <c r="M24" s="32">
        <f>IF($B24="","",IF($B$2="Todos",SUMIFS(BD!$M$3:$M$5001,BD!$A$3:$A$5001,$B24),SUMIFS(BD!$M$3:$M$5001,BD!$A$3:$A$5001,$B24,BD!$B$3:$B$5001,$D$2)))</f>
        <v>0</v>
      </c>
      <c r="N24" s="32">
        <f>IF($B24="","",IF($B$2="Todos",SUMIFS(BD!$N$3:$N$5001,BD!$A$3:$A$5001,$B24),SUMIFS(BD!$N$3:$N$5001,BD!$A$3:$A$5001,$B24,BD!$B$3:$B$5001,$D$2)))</f>
        <v>0</v>
      </c>
      <c r="O24" s="32">
        <f>IF($B24="","",IF($B$2="Todos",SUMIFS(BD!$O$3:$O$5001,BD!$A$3:$A$5001,$B24),SUMIFS(BD!$O$3:$O$5001,BD!$A$3:$A$5001,$B24,BD!$B$3:$B$5001,$D$2)))</f>
        <v>0</v>
      </c>
      <c r="P24" s="32">
        <f>IF($B24="","",IF($B$2="Todos",SUMIFS(BD!$P$3:$P$5001,BD!$A$3:$A$5001,$B24),SUMIFS(BD!$P$3:$P$5001,BD!$A$3:$A$5001,$B24,BD!$B$3:$B$5001,$D$2)))</f>
        <v>0</v>
      </c>
      <c r="Q24" s="32">
        <f>IF($B24="","",IF($B$2="Todos",SUMIFS(BD!$Q$3:$Q$5001,BD!$A$3:$A$5001,$B24),SUMIFS(BD!$Q$3:$Q$5001,BD!$A$3:$A$5001,$B24,BD!$B$3:$B$5001,$D$2)))</f>
        <v>0</v>
      </c>
      <c r="R24" s="32">
        <f>IF($B24="","",IF($B$2="Todos",SUMIFS(BD!$R$3:$R$5001,BD!$A$3:$A$5001,$B24),SUMIFS(BD!$R$3:$R$5001,BD!$A$3:$A$5001,$B24,BD!$B$3:$B$5001,$D$2)))</f>
        <v>0</v>
      </c>
      <c r="S24" s="32">
        <f>IF($B24="","",IF($B$2="Todos",SUMIFS(BD!$S$3:$S$5001,BD!$A$3:$A$5001,$B24),SUMIFS(BD!$S$3:$S$5001,BD!$A$3:$A$5001,$B24,BD!$B$3:$B$5001,$D$2)))</f>
        <v>0</v>
      </c>
      <c r="T24" s="32">
        <f>IF($B24="","",IF($B$2="Todos",SUMIFS(BD!$T$3:$T$5001,BD!$A$3:$A$5001,$B24),SUMIFS(BD!$T$3:$T$5001,BD!$A$3:$A$5001,$B24,BD!$B$3:$B$5001,$D$2)))</f>
        <v>0</v>
      </c>
      <c r="U24" s="47">
        <f>IF($B24="","",IF($B$2="Todos",SUMIFS(BD!$U$3:$U$5001,BD!$A$3:$A$5001,$B24),SUMIFS(BD!$U$3:$U$5001,BD!$A$3:$A$5001,$B24,BD!$B$3:$B$5001,$D$2)))</f>
        <v>0</v>
      </c>
      <c r="V24" s="32">
        <f>IF($B24="","",IF($B$2="Todos",SUMIFS(BD!$V$3:$V$5001,BD!$A$3:$A$5001,$B24),SUMIFS(BD!$V$3:$V$5001,BD!$A$3:$A$5001,$B24,BD!$B$3:$B$5001,$D$2)))</f>
        <v>0</v>
      </c>
      <c r="W24" s="32">
        <f>IF($B24="","",IF($B$2="Todos",SUMIFS(BD!$W$3:$W$5001,BD!$A$3:$A$5001,$B24),SUMIFS(BD!$W$3:$W$5001,BD!$A$3:$A$5001,$B24,BD!$B$3:$B$5001,$D$2)))</f>
        <v>0</v>
      </c>
      <c r="X24" s="32" t="str">
        <f>IF($B$2="Todos",IF(COUNT($C$153:$V$153)=0,"",SUM($C$153:$V$153)),IFERROR(INDEX($C$153:$V$153,MATCH($D$2,$C$140:$V$140,0)),""))</f>
        <v/>
      </c>
      <c r="Y24" s="48" t="str">
        <f>IF(Z24="","",IF($B$2="Todos",IF($B$4&gt;0,$B$4,IF($B$2="Todos",IF(COUNT($C$223:$V$223)=0,"",SUM($C$223:$V$223)),IFERROR(INDEX($C$223:$V$223,MATCH($D$2,$C$210:$V$210,0)),""))),IFERROR(INDEX($C$223:$V$223,MATCH($D$2,$C$210:$V$210,0)),"")))</f>
        <v/>
      </c>
      <c r="Z24" s="32" t="str">
        <f>IF($B$2="Todos",IF(COUNT($C$188:$V$188)=0,"",SUM($C$188:$V$188)),IFERROR(INDEX($C$188:$V$188,MATCH($D$2,$C$175:$V$175,0)),""))</f>
        <v/>
      </c>
      <c r="AA24" s="49" t="str">
        <f>IF(AND(ISNUMBER(Z24),ISNUMBER(Y24)),IF(Y24&gt;0,Z24/Y24,""),"")</f>
        <v/>
      </c>
      <c r="AB24" s="32" t="str">
        <f>IF($B$2="Todos",IF(COUNT($C$258:$V$258)=0,"",SUM($C$258:$V$258)),IFERROR(INDEX($C$258:$V$258,MATCH($D$2,$C$245:$V$245,0)),""))</f>
        <v/>
      </c>
      <c r="AC24" s="32">
        <f>IF($B24="","",IF($B$2="Todos",SUMIFS(BD!$AB$3:$AB$5001,BD!$A$3:$A$5001,$B24),SUMIFS(BD!$AB$3:$AB$5001,BD!$A$3:$A$5001,$B24,BD!$B$3:$B$5001,$D$2)))</f>
        <v>0</v>
      </c>
      <c r="AD24" s="32">
        <f>IF($B24="","",IF($B$2="Todos",SUMIFS(BD!$AC$3:$AC$5001,BD!$A$3:$A$5001,$B24),SUMIFS(BD!$AC$3:$AC$5001,BD!$A$3:$A$5001,$B24,BD!$B$3:$B$5001,$D$2)))</f>
        <v>0</v>
      </c>
      <c r="AE24" s="32">
        <f>IF($B24="","",IF($B$2="Todos",SUMIFS(BD!$AD$3:$AD$5001,BD!$A$3:$A$5001,$B24),SUMIFS(BD!$AD$3:$AD$5001,BD!$A$3:$A$5001,$B24,BD!$B$3:$B$5001,$D$2)))</f>
        <v>0</v>
      </c>
      <c r="AF24" s="32">
        <f>IF($B24="","",IF($B$2="Todos",SUMIFS(BD!$AE$3:$AE$5001,BD!$A$3:$A$5001,$B24),SUMIFS(BD!$AE$3:$AE$5001,BD!$A$3:$A$5001,$B24,BD!$B$3:$B$5001,$D$2)))</f>
        <v>0</v>
      </c>
      <c r="AG24" s="32">
        <f>IF($B24="","",IF($B$2="Todos",SUMIFS(BD!$AF$3:$AF$5001,BD!$A$3:$A$5001,$B24),SUMIFS(BD!$AF$3:$AF$5001,BD!$A$3:$A$5001,$B24,BD!$B$3:$B$5001,$D$2)))</f>
        <v>0</v>
      </c>
      <c r="AH24" s="32">
        <f>IF($B24="","",IF($B$2="Todos",SUMIFS(BD!$AG$3:$AG$5001,BD!$A$3:$A$5001,$B24),SUMIFS(BD!$AG$3:$AG$5001,BD!$A$3:$A$5001,$B24,BD!$B$3:$B$5001,$D$2)))</f>
        <v>0</v>
      </c>
      <c r="AI24" s="32">
        <f>IF($B24="","",IF($B$2="Todos",SUMIFS(BD!$AH$3:$AH$5001,BD!$A$3:$A$5001,$B24),SUMIFS(BD!$AH$3:$AH$5001,BD!$A$3:$A$5001,$B24,BD!$B$3:$B$5001,$D$2)))</f>
        <v>0</v>
      </c>
      <c r="AJ24" s="50">
        <f>$B$5</f>
        <v>0.7</v>
      </c>
      <c r="AK24" s="50">
        <f>$B$6</f>
        <v>0.9</v>
      </c>
      <c r="AP24" s="29" t="str">
        <f>IFERROR(INDEX(Config!$B$10:$B$29,MATCH(12,$AR$13:$AR$32,0))&amp;"","")</f>
        <v/>
      </c>
      <c r="AQ24" s="28" t="str">
        <f>IF(AP24="","",IF(INDEX(Config!$C$10:$C$29,MATCH(12,$AR$13:$AR$32,0))&amp;""="","TPC",INDEX(Config!$C$10:$C$29,MATCH(12,$AR$13:$AR$32,0))&amp;""))</f>
        <v/>
      </c>
      <c r="AR24" s="38">
        <f>IF(Config!$B$21&amp;""="",AR23,AR23+1)</f>
        <v>10</v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32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>
        <f>IF($B25="","",IF($B$2="Todos",SUMIFS(BD!$K$3:$K$5001,BD!$A$3:$A$5001,$B25),SUMIFS(BD!$K$3:$K$5001,BD!$A$3:$A$5001,$B25,BD!$B$3:$B$5001,$D$2)))</f>
        <v>0</v>
      </c>
      <c r="L25" s="32">
        <f>IF($B25="","",IF($B$2="Todos",SUMIFS(BD!$L$3:$L$5001,BD!$A$3:$A$5001,$B25),SUMIFS(BD!$L$3:$L$5001,BD!$A$3:$A$5001,$B25,BD!$B$3:$B$5001,$D$2)))</f>
        <v>0</v>
      </c>
      <c r="M25" s="32">
        <f>IF($B25="","",IF($B$2="Todos",SUMIFS(BD!$M$3:$M$5001,BD!$A$3:$A$5001,$B25),SUMIFS(BD!$M$3:$M$5001,BD!$A$3:$A$5001,$B25,BD!$B$3:$B$5001,$D$2)))</f>
        <v>0</v>
      </c>
      <c r="N25" s="32">
        <f>IF($B25="","",IF($B$2="Todos",SUMIFS(BD!$N$3:$N$5001,BD!$A$3:$A$5001,$B25),SUMIFS(BD!$N$3:$N$5001,BD!$A$3:$A$5001,$B25,BD!$B$3:$B$5001,$D$2)))</f>
        <v>0</v>
      </c>
      <c r="O25" s="32">
        <f>IF($B25="","",IF($B$2="Todos",SUMIFS(BD!$O$3:$O$5001,BD!$A$3:$A$5001,$B25),SUMIFS(BD!$O$3:$O$5001,BD!$A$3:$A$5001,$B25,BD!$B$3:$B$5001,$D$2)))</f>
        <v>0</v>
      </c>
      <c r="P25" s="32">
        <f>IF($B25="","",IF($B$2="Todos",SUMIFS(BD!$P$3:$P$5001,BD!$A$3:$A$5001,$B25),SUMIFS(BD!$P$3:$P$5001,BD!$A$3:$A$5001,$B25,BD!$B$3:$B$5001,$D$2)))</f>
        <v>0</v>
      </c>
      <c r="Q25" s="32">
        <f>IF($B25="","",IF($B$2="Todos",SUMIFS(BD!$Q$3:$Q$5001,BD!$A$3:$A$5001,$B25),SUMIFS(BD!$Q$3:$Q$5001,BD!$A$3:$A$5001,$B25,BD!$B$3:$B$5001,$D$2)))</f>
        <v>0</v>
      </c>
      <c r="R25" s="32">
        <f>IF($B25="","",IF($B$2="Todos",SUMIFS(BD!$R$3:$R$5001,BD!$A$3:$A$5001,$B25),SUMIFS(BD!$R$3:$R$5001,BD!$A$3:$A$5001,$B25,BD!$B$3:$B$5001,$D$2)))</f>
        <v>0</v>
      </c>
      <c r="S25" s="32">
        <f>IF($B25="","",IF($B$2="Todos",SUMIFS(BD!$S$3:$S$5001,BD!$A$3:$A$5001,$B25),SUMIFS(BD!$S$3:$S$5001,BD!$A$3:$A$5001,$B25,BD!$B$3:$B$5001,$D$2)))</f>
        <v>0</v>
      </c>
      <c r="T25" s="32">
        <f>IF($B25="","",IF($B$2="Todos",SUMIFS(BD!$T$3:$T$5001,BD!$A$3:$A$5001,$B25),SUMIFS(BD!$T$3:$T$5001,BD!$A$3:$A$5001,$B25,BD!$B$3:$B$5001,$D$2)))</f>
        <v>0</v>
      </c>
      <c r="U25" s="47">
        <f>IF($B25="","",IF($B$2="Todos",SUMIFS(BD!$U$3:$U$5001,BD!$A$3:$A$5001,$B25),SUMIFS(BD!$U$3:$U$5001,BD!$A$3:$A$5001,$B25,BD!$B$3:$B$5001,$D$2)))</f>
        <v>0</v>
      </c>
      <c r="V25" s="32">
        <f>IF($B25="","",IF($B$2="Todos",SUMIFS(BD!$V$3:$V$5001,BD!$A$3:$A$5001,$B25),SUMIFS(BD!$V$3:$V$5001,BD!$A$3:$A$5001,$B25,BD!$B$3:$B$5001,$D$2)))</f>
        <v>0</v>
      </c>
      <c r="W25" s="32">
        <f>IF($B25="","",IF($B$2="Todos",SUMIFS(BD!$W$3:$W$5001,BD!$A$3:$A$5001,$B25),SUMIFS(BD!$W$3:$W$5001,BD!$A$3:$A$5001,$B25,BD!$B$3:$B$5001,$D$2)))</f>
        <v>0</v>
      </c>
      <c r="X25" s="32" t="str">
        <f>IF($B$2="Todos",IF(COUNT($C$154:$V$154)=0,"",SUM($C$154:$V$154)),IFERROR(INDEX($C$154:$V$154,MATCH($D$2,$C$140:$V$140,0)),""))</f>
        <v/>
      </c>
      <c r="Y25" s="48" t="str">
        <f>IF(Z25="","",IF($B$2="Todos",IF($B$4&gt;0,$B$4,IF($B$2="Todos",IF(COUNT($C$224:$V$224)=0,"",SUM($C$224:$V$224)),IFERROR(INDEX($C$224:$V$224,MATCH($D$2,$C$210:$V$210,0)),""))),IFERROR(INDEX($C$224:$V$224,MATCH($D$2,$C$210:$V$210,0)),"")))</f>
        <v/>
      </c>
      <c r="Z25" s="32" t="str">
        <f>IF($B$2="Todos",IF(COUNT($C$189:$V$189)=0,"",SUM($C$189:$V$189)),IFERROR(INDEX($C$189:$V$189,MATCH($D$2,$C$175:$V$175,0)),""))</f>
        <v/>
      </c>
      <c r="AA25" s="49" t="str">
        <f>IF(AND(ISNUMBER(Z25),ISNUMBER(Y25)),IF(Y25&gt;0,Z25/Y25,""),"")</f>
        <v/>
      </c>
      <c r="AB25" s="32" t="str">
        <f>IF($B$2="Todos",IF(COUNT($C$259:$V$259)=0,"",SUM($C$259:$V$259)),IFERROR(INDEX($C$259:$V$259,MATCH($D$2,$C$245:$V$245,0)),""))</f>
        <v/>
      </c>
      <c r="AC25" s="32">
        <f>IF($B25="","",IF($B$2="Todos",SUMIFS(BD!$AB$3:$AB$5001,BD!$A$3:$A$5001,$B25),SUMIFS(BD!$AB$3:$AB$5001,BD!$A$3:$A$5001,$B25,BD!$B$3:$B$5001,$D$2)))</f>
        <v>0</v>
      </c>
      <c r="AD25" s="32">
        <f>IF($B25="","",IF($B$2="Todos",SUMIFS(BD!$AC$3:$AC$5001,BD!$A$3:$A$5001,$B25),SUMIFS(BD!$AC$3:$AC$5001,BD!$A$3:$A$5001,$B25,BD!$B$3:$B$5001,$D$2)))</f>
        <v>0</v>
      </c>
      <c r="AE25" s="32">
        <f>IF($B25="","",IF($B$2="Todos",SUMIFS(BD!$AD$3:$AD$5001,BD!$A$3:$A$5001,$B25),SUMIFS(BD!$AD$3:$AD$5001,BD!$A$3:$A$5001,$B25,BD!$B$3:$B$5001,$D$2)))</f>
        <v>0</v>
      </c>
      <c r="AF25" s="32">
        <f>IF($B25="","",IF($B$2="Todos",SUMIFS(BD!$AE$3:$AE$5001,BD!$A$3:$A$5001,$B25),SUMIFS(BD!$AE$3:$AE$5001,BD!$A$3:$A$5001,$B25,BD!$B$3:$B$5001,$D$2)))</f>
        <v>0</v>
      </c>
      <c r="AG25" s="32">
        <f>IF($B25="","",IF($B$2="Todos",SUMIFS(BD!$AF$3:$AF$5001,BD!$A$3:$A$5001,$B25),SUMIFS(BD!$AF$3:$AF$5001,BD!$A$3:$A$5001,$B25,BD!$B$3:$B$5001,$D$2)))</f>
        <v>0</v>
      </c>
      <c r="AH25" s="32">
        <f>IF($B25="","",IF($B$2="Todos",SUMIFS(BD!$AG$3:$AG$5001,BD!$A$3:$A$5001,$B25),SUMIFS(BD!$AG$3:$AG$5001,BD!$A$3:$A$5001,$B25,BD!$B$3:$B$5001,$D$2)))</f>
        <v>0</v>
      </c>
      <c r="AI25" s="32">
        <f>IF($B25="","",IF($B$2="Todos",SUMIFS(BD!$AH$3:$AH$5001,BD!$A$3:$A$5001,$B25),SUMIFS(BD!$AH$3:$AH$5001,BD!$A$3:$A$5001,$B25,BD!$B$3:$B$5001,$D$2)))</f>
        <v>0</v>
      </c>
      <c r="AJ25" s="50">
        <f>$B$5</f>
        <v>0.7</v>
      </c>
      <c r="AK25" s="50">
        <f>$B$6</f>
        <v>0.9</v>
      </c>
      <c r="AP25" s="29" t="str">
        <f>IFERROR(INDEX(Config!$B$10:$B$29,MATCH(13,$AR$13:$AR$32,0))&amp;"","")</f>
        <v/>
      </c>
      <c r="AQ25" s="28" t="str">
        <f>IF(AP25="","",IF(INDEX(Config!$C$10:$C$29,MATCH(13,$AR$13:$AR$32,0))&amp;""="","TPC",INDEX(Config!$C$10:$C$29,MATCH(13,$AR$13:$AR$32,0))&amp;""))</f>
        <v/>
      </c>
      <c r="AR25" s="38">
        <f>IF(Config!$B$22&amp;""="",AR24,AR24+1)</f>
        <v>10</v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32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>
        <f>IF($B26="","",IF($B$2="Todos",SUMIFS(BD!$K$3:$K$5001,BD!$A$3:$A$5001,$B26),SUMIFS(BD!$K$3:$K$5001,BD!$A$3:$A$5001,$B26,BD!$B$3:$B$5001,$D$2)))</f>
        <v>0</v>
      </c>
      <c r="L26" s="32">
        <f>IF($B26="","",IF($B$2="Todos",SUMIFS(BD!$L$3:$L$5001,BD!$A$3:$A$5001,$B26),SUMIFS(BD!$L$3:$L$5001,BD!$A$3:$A$5001,$B26,BD!$B$3:$B$5001,$D$2)))</f>
        <v>0</v>
      </c>
      <c r="M26" s="32">
        <f>IF($B26="","",IF($B$2="Todos",SUMIFS(BD!$M$3:$M$5001,BD!$A$3:$A$5001,$B26),SUMIFS(BD!$M$3:$M$5001,BD!$A$3:$A$5001,$B26,BD!$B$3:$B$5001,$D$2)))</f>
        <v>0</v>
      </c>
      <c r="N26" s="32">
        <f>IF($B26="","",IF($B$2="Todos",SUMIFS(BD!$N$3:$N$5001,BD!$A$3:$A$5001,$B26),SUMIFS(BD!$N$3:$N$5001,BD!$A$3:$A$5001,$B26,BD!$B$3:$B$5001,$D$2)))</f>
        <v>0</v>
      </c>
      <c r="O26" s="32">
        <f>IF($B26="","",IF($B$2="Todos",SUMIFS(BD!$O$3:$O$5001,BD!$A$3:$A$5001,$B26),SUMIFS(BD!$O$3:$O$5001,BD!$A$3:$A$5001,$B26,BD!$B$3:$B$5001,$D$2)))</f>
        <v>0</v>
      </c>
      <c r="P26" s="32">
        <f>IF($B26="","",IF($B$2="Todos",SUMIFS(BD!$P$3:$P$5001,BD!$A$3:$A$5001,$B26),SUMIFS(BD!$P$3:$P$5001,BD!$A$3:$A$5001,$B26,BD!$B$3:$B$5001,$D$2)))</f>
        <v>0</v>
      </c>
      <c r="Q26" s="32">
        <f>IF($B26="","",IF($B$2="Todos",SUMIFS(BD!$Q$3:$Q$5001,BD!$A$3:$A$5001,$B26),SUMIFS(BD!$Q$3:$Q$5001,BD!$A$3:$A$5001,$B26,BD!$B$3:$B$5001,$D$2)))</f>
        <v>0</v>
      </c>
      <c r="R26" s="32">
        <f>IF($B26="","",IF($B$2="Todos",SUMIFS(BD!$R$3:$R$5001,BD!$A$3:$A$5001,$B26),SUMIFS(BD!$R$3:$R$5001,BD!$A$3:$A$5001,$B26,BD!$B$3:$B$5001,$D$2)))</f>
        <v>0</v>
      </c>
      <c r="S26" s="32">
        <f>IF($B26="","",IF($B$2="Todos",SUMIFS(BD!$S$3:$S$5001,BD!$A$3:$A$5001,$B26),SUMIFS(BD!$S$3:$S$5001,BD!$A$3:$A$5001,$B26,BD!$B$3:$B$5001,$D$2)))</f>
        <v>0</v>
      </c>
      <c r="T26" s="32">
        <f>IF($B26="","",IF($B$2="Todos",SUMIFS(BD!$T$3:$T$5001,BD!$A$3:$A$5001,$B26),SUMIFS(BD!$T$3:$T$5001,BD!$A$3:$A$5001,$B26,BD!$B$3:$B$5001,$D$2)))</f>
        <v>0</v>
      </c>
      <c r="U26" s="47">
        <f>IF($B26="","",IF($B$2="Todos",SUMIFS(BD!$U$3:$U$5001,BD!$A$3:$A$5001,$B26),SUMIFS(BD!$U$3:$U$5001,BD!$A$3:$A$5001,$B26,BD!$B$3:$B$5001,$D$2)))</f>
        <v>0</v>
      </c>
      <c r="V26" s="32">
        <f>IF($B26="","",IF($B$2="Todos",SUMIFS(BD!$V$3:$V$5001,BD!$A$3:$A$5001,$B26),SUMIFS(BD!$V$3:$V$5001,BD!$A$3:$A$5001,$B26,BD!$B$3:$B$5001,$D$2)))</f>
        <v>0</v>
      </c>
      <c r="W26" s="32">
        <f>IF($B26="","",IF($B$2="Todos",SUMIFS(BD!$W$3:$W$5001,BD!$A$3:$A$5001,$B26),SUMIFS(BD!$W$3:$W$5001,BD!$A$3:$A$5001,$B26,BD!$B$3:$B$5001,$D$2)))</f>
        <v>0</v>
      </c>
      <c r="X26" s="32" t="str">
        <f>IF($B$2="Todos",IF(COUNT($C$155:$V$155)=0,"",SUM($C$155:$V$155)),IFERROR(INDEX($C$155:$V$155,MATCH($D$2,$C$140:$V$140,0)),""))</f>
        <v/>
      </c>
      <c r="Y26" s="48" t="str">
        <f>IF(Z26="","",IF($B$2="Todos",IF($B$4&gt;0,$B$4,IF($B$2="Todos",IF(COUNT($C$225:$V$225)=0,"",SUM($C$225:$V$225)),IFERROR(INDEX($C$225:$V$225,MATCH($D$2,$C$210:$V$210,0)),""))),IFERROR(INDEX($C$225:$V$225,MATCH($D$2,$C$210:$V$210,0)),"")))</f>
        <v/>
      </c>
      <c r="Z26" s="32" t="str">
        <f>IF($B$2="Todos",IF(COUNT($C$190:$V$190)=0,"",SUM($C$190:$V$190)),IFERROR(INDEX($C$190:$V$190,MATCH($D$2,$C$175:$V$175,0)),""))</f>
        <v/>
      </c>
      <c r="AA26" s="49" t="str">
        <f>IF(AND(ISNUMBER(Z26),ISNUMBER(Y26)),IF(Y26&gt;0,Z26/Y26,""),"")</f>
        <v/>
      </c>
      <c r="AB26" s="32" t="str">
        <f>IF($B$2="Todos",IF(COUNT($C$260:$V$260)=0,"",SUM($C$260:$V$260)),IFERROR(INDEX($C$260:$V$260,MATCH($D$2,$C$245:$V$245,0)),""))</f>
        <v/>
      </c>
      <c r="AC26" s="32">
        <f>IF($B26="","",IF($B$2="Todos",SUMIFS(BD!$AB$3:$AB$5001,BD!$A$3:$A$5001,$B26),SUMIFS(BD!$AB$3:$AB$5001,BD!$A$3:$A$5001,$B26,BD!$B$3:$B$5001,$D$2)))</f>
        <v>0</v>
      </c>
      <c r="AD26" s="32">
        <f>IF($B26="","",IF($B$2="Todos",SUMIFS(BD!$AC$3:$AC$5001,BD!$A$3:$A$5001,$B26),SUMIFS(BD!$AC$3:$AC$5001,BD!$A$3:$A$5001,$B26,BD!$B$3:$B$5001,$D$2)))</f>
        <v>0</v>
      </c>
      <c r="AE26" s="32">
        <f>IF($B26="","",IF($B$2="Todos",SUMIFS(BD!$AD$3:$AD$5001,BD!$A$3:$A$5001,$B26),SUMIFS(BD!$AD$3:$AD$5001,BD!$A$3:$A$5001,$B26,BD!$B$3:$B$5001,$D$2)))</f>
        <v>0</v>
      </c>
      <c r="AF26" s="32">
        <f>IF($B26="","",IF($B$2="Todos",SUMIFS(BD!$AE$3:$AE$5001,BD!$A$3:$A$5001,$B26),SUMIFS(BD!$AE$3:$AE$5001,BD!$A$3:$A$5001,$B26,BD!$B$3:$B$5001,$D$2)))</f>
        <v>0</v>
      </c>
      <c r="AG26" s="32">
        <f>IF($B26="","",IF($B$2="Todos",SUMIFS(BD!$AF$3:$AF$5001,BD!$A$3:$A$5001,$B26),SUMIFS(BD!$AF$3:$AF$5001,BD!$A$3:$A$5001,$B26,BD!$B$3:$B$5001,$D$2)))</f>
        <v>0</v>
      </c>
      <c r="AH26" s="32">
        <f>IF($B26="","",IF($B$2="Todos",SUMIFS(BD!$AG$3:$AG$5001,BD!$A$3:$A$5001,$B26),SUMIFS(BD!$AG$3:$AG$5001,BD!$A$3:$A$5001,$B26,BD!$B$3:$B$5001,$D$2)))</f>
        <v>0</v>
      </c>
      <c r="AI26" s="32">
        <f>IF($B26="","",IF($B$2="Todos",SUMIFS(BD!$AH$3:$AH$5001,BD!$A$3:$A$5001,$B26),SUMIFS(BD!$AH$3:$AH$5001,BD!$A$3:$A$5001,$B26,BD!$B$3:$B$5001,$D$2)))</f>
        <v>0</v>
      </c>
      <c r="AJ26" s="50">
        <f>$B$5</f>
        <v>0.7</v>
      </c>
      <c r="AK26" s="50">
        <f>$B$6</f>
        <v>0.9</v>
      </c>
      <c r="AP26" s="29" t="str">
        <f>IFERROR(INDEX(Config!$B$10:$B$29,MATCH(14,$AR$13:$AR$32,0))&amp;"","")</f>
        <v/>
      </c>
      <c r="AQ26" s="28" t="str">
        <f>IF(AP26="","",IF(INDEX(Config!$C$10:$C$29,MATCH(14,$AR$13:$AR$32,0))&amp;""="","TPC",INDEX(Config!$C$10:$C$29,MATCH(14,$AR$13:$AR$32,0))&amp;""))</f>
        <v/>
      </c>
      <c r="AR26" s="38">
        <f>IF(Config!$B$23&amp;""="",AR25,AR25+1)</f>
        <v>10</v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32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>
        <f>IF($B27="","",IF($B$2="Todos",SUMIFS(BD!$K$3:$K$5001,BD!$A$3:$A$5001,$B27),SUMIFS(BD!$K$3:$K$5001,BD!$A$3:$A$5001,$B27,BD!$B$3:$B$5001,$D$2)))</f>
        <v>0</v>
      </c>
      <c r="L27" s="32">
        <f>IF($B27="","",IF($B$2="Todos",SUMIFS(BD!$L$3:$L$5001,BD!$A$3:$A$5001,$B27),SUMIFS(BD!$L$3:$L$5001,BD!$A$3:$A$5001,$B27,BD!$B$3:$B$5001,$D$2)))</f>
        <v>0</v>
      </c>
      <c r="M27" s="32">
        <f>IF($B27="","",IF($B$2="Todos",SUMIFS(BD!$M$3:$M$5001,BD!$A$3:$A$5001,$B27),SUMIFS(BD!$M$3:$M$5001,BD!$A$3:$A$5001,$B27,BD!$B$3:$B$5001,$D$2)))</f>
        <v>0</v>
      </c>
      <c r="N27" s="32">
        <f>IF($B27="","",IF($B$2="Todos",SUMIFS(BD!$N$3:$N$5001,BD!$A$3:$A$5001,$B27),SUMIFS(BD!$N$3:$N$5001,BD!$A$3:$A$5001,$B27,BD!$B$3:$B$5001,$D$2)))</f>
        <v>0</v>
      </c>
      <c r="O27" s="32">
        <f>IF($B27="","",IF($B$2="Todos",SUMIFS(BD!$O$3:$O$5001,BD!$A$3:$A$5001,$B27),SUMIFS(BD!$O$3:$O$5001,BD!$A$3:$A$5001,$B27,BD!$B$3:$B$5001,$D$2)))</f>
        <v>0</v>
      </c>
      <c r="P27" s="32">
        <f>IF($B27="","",IF($B$2="Todos",SUMIFS(BD!$P$3:$P$5001,BD!$A$3:$A$5001,$B27),SUMIFS(BD!$P$3:$P$5001,BD!$A$3:$A$5001,$B27,BD!$B$3:$B$5001,$D$2)))</f>
        <v>0</v>
      </c>
      <c r="Q27" s="32">
        <f>IF($B27="","",IF($B$2="Todos",SUMIFS(BD!$Q$3:$Q$5001,BD!$A$3:$A$5001,$B27),SUMIFS(BD!$Q$3:$Q$5001,BD!$A$3:$A$5001,$B27,BD!$B$3:$B$5001,$D$2)))</f>
        <v>0</v>
      </c>
      <c r="R27" s="32">
        <f>IF($B27="","",IF($B$2="Todos",SUMIFS(BD!$R$3:$R$5001,BD!$A$3:$A$5001,$B27),SUMIFS(BD!$R$3:$R$5001,BD!$A$3:$A$5001,$B27,BD!$B$3:$B$5001,$D$2)))</f>
        <v>0</v>
      </c>
      <c r="S27" s="32">
        <f>IF($B27="","",IF($B$2="Todos",SUMIFS(BD!$S$3:$S$5001,BD!$A$3:$A$5001,$B27),SUMIFS(BD!$S$3:$S$5001,BD!$A$3:$A$5001,$B27,BD!$B$3:$B$5001,$D$2)))</f>
        <v>0</v>
      </c>
      <c r="T27" s="32">
        <f>IF($B27="","",IF($B$2="Todos",SUMIFS(BD!$T$3:$T$5001,BD!$A$3:$A$5001,$B27),SUMIFS(BD!$T$3:$T$5001,BD!$A$3:$A$5001,$B27,BD!$B$3:$B$5001,$D$2)))</f>
        <v>0</v>
      </c>
      <c r="U27" s="47">
        <f>IF($B27="","",IF($B$2="Todos",SUMIFS(BD!$U$3:$U$5001,BD!$A$3:$A$5001,$B27),SUMIFS(BD!$U$3:$U$5001,BD!$A$3:$A$5001,$B27,BD!$B$3:$B$5001,$D$2)))</f>
        <v>0</v>
      </c>
      <c r="V27" s="32">
        <f>IF($B27="","",IF($B$2="Todos",SUMIFS(BD!$V$3:$V$5001,BD!$A$3:$A$5001,$B27),SUMIFS(BD!$V$3:$V$5001,BD!$A$3:$A$5001,$B27,BD!$B$3:$B$5001,$D$2)))</f>
        <v>0</v>
      </c>
      <c r="W27" s="32">
        <f>IF($B27="","",IF($B$2="Todos",SUMIFS(BD!$W$3:$W$5001,BD!$A$3:$A$5001,$B27),SUMIFS(BD!$W$3:$W$5001,BD!$A$3:$A$5001,$B27,BD!$B$3:$B$5001,$D$2)))</f>
        <v>0</v>
      </c>
      <c r="X27" s="32" t="str">
        <f>IF($B$2="Todos",IF(COUNT($C$156:$V$156)=0,"",SUM($C$156:$V$156)),IFERROR(INDEX($C$156:$V$156,MATCH($D$2,$C$140:$V$140,0)),""))</f>
        <v/>
      </c>
      <c r="Y27" s="48" t="str">
        <f>IF(Z27="","",IF($B$2="Todos",IF($B$4&gt;0,$B$4,IF($B$2="Todos",IF(COUNT($C$226:$V$226)=0,"",SUM($C$226:$V$226)),IFERROR(INDEX($C$226:$V$226,MATCH($D$2,$C$210:$V$210,0)),""))),IFERROR(INDEX($C$226:$V$226,MATCH($D$2,$C$210:$V$210,0)),"")))</f>
        <v/>
      </c>
      <c r="Z27" s="32" t="str">
        <f>IF($B$2="Todos",IF(COUNT($C$191:$V$191)=0,"",SUM($C$191:$V$191)),IFERROR(INDEX($C$191:$V$191,MATCH($D$2,$C$175:$V$175,0)),""))</f>
        <v/>
      </c>
      <c r="AA27" s="49" t="str">
        <f>IF(AND(ISNUMBER(Z27),ISNUMBER(Y27)),IF(Y27&gt;0,Z27/Y27,""),"")</f>
        <v/>
      </c>
      <c r="AB27" s="32" t="str">
        <f>IF($B$2="Todos",IF(COUNT($C$261:$V$261)=0,"",SUM($C$261:$V$261)),IFERROR(INDEX($C$261:$V$261,MATCH($D$2,$C$245:$V$245,0)),""))</f>
        <v/>
      </c>
      <c r="AC27" s="32">
        <f>IF($B27="","",IF($B$2="Todos",SUMIFS(BD!$AB$3:$AB$5001,BD!$A$3:$A$5001,$B27),SUMIFS(BD!$AB$3:$AB$5001,BD!$A$3:$A$5001,$B27,BD!$B$3:$B$5001,$D$2)))</f>
        <v>0</v>
      </c>
      <c r="AD27" s="32">
        <f>IF($B27="","",IF($B$2="Todos",SUMIFS(BD!$AC$3:$AC$5001,BD!$A$3:$A$5001,$B27),SUMIFS(BD!$AC$3:$AC$5001,BD!$A$3:$A$5001,$B27,BD!$B$3:$B$5001,$D$2)))</f>
        <v>0</v>
      </c>
      <c r="AE27" s="32">
        <f>IF($B27="","",IF($B$2="Todos",SUMIFS(BD!$AD$3:$AD$5001,BD!$A$3:$A$5001,$B27),SUMIFS(BD!$AD$3:$AD$5001,BD!$A$3:$A$5001,$B27,BD!$B$3:$B$5001,$D$2)))</f>
        <v>0</v>
      </c>
      <c r="AF27" s="32">
        <f>IF($B27="","",IF($B$2="Todos",SUMIFS(BD!$AE$3:$AE$5001,BD!$A$3:$A$5001,$B27),SUMIFS(BD!$AE$3:$AE$5001,BD!$A$3:$A$5001,$B27,BD!$B$3:$B$5001,$D$2)))</f>
        <v>0</v>
      </c>
      <c r="AG27" s="32">
        <f>IF($B27="","",IF($B$2="Todos",SUMIFS(BD!$AF$3:$AF$5001,BD!$A$3:$A$5001,$B27),SUMIFS(BD!$AF$3:$AF$5001,BD!$A$3:$A$5001,$B27,BD!$B$3:$B$5001,$D$2)))</f>
        <v>0</v>
      </c>
      <c r="AH27" s="32">
        <f>IF($B27="","",IF($B$2="Todos",SUMIFS(BD!$AG$3:$AG$5001,BD!$A$3:$A$5001,$B27),SUMIFS(BD!$AG$3:$AG$5001,BD!$A$3:$A$5001,$B27,BD!$B$3:$B$5001,$D$2)))</f>
        <v>0</v>
      </c>
      <c r="AI27" s="32">
        <f>IF($B27="","",IF($B$2="Todos",SUMIFS(BD!$AH$3:$AH$5001,BD!$A$3:$A$5001,$B27),SUMIFS(BD!$AH$3:$AH$5001,BD!$A$3:$A$5001,$B27,BD!$B$3:$B$5001,$D$2)))</f>
        <v>0</v>
      </c>
      <c r="AJ27" s="50">
        <f>$B$5</f>
        <v>0.7</v>
      </c>
      <c r="AK27" s="50">
        <f>$B$6</f>
        <v>0.9</v>
      </c>
      <c r="AP27" s="29" t="str">
        <f>IFERROR(INDEX(Config!$B$10:$B$29,MATCH(15,$AR$13:$AR$32,0))&amp;"","")</f>
        <v/>
      </c>
      <c r="AQ27" s="28" t="str">
        <f>IF(AP27="","",IF(INDEX(Config!$C$10:$C$29,MATCH(15,$AR$13:$AR$32,0))&amp;""="","TPC",INDEX(Config!$C$10:$C$29,MATCH(15,$AR$13:$AR$32,0))&amp;""))</f>
        <v/>
      </c>
      <c r="AR27" s="38">
        <f>IF(Config!$B$24&amp;""="",AR26,AR26+1)</f>
        <v>10</v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32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>
        <f>IF($B28="","",IF($B$2="Todos",SUMIFS(BD!$K$3:$K$5001,BD!$A$3:$A$5001,$B28),SUMIFS(BD!$K$3:$K$5001,BD!$A$3:$A$5001,$B28,BD!$B$3:$B$5001,$D$2)))</f>
        <v>0</v>
      </c>
      <c r="L28" s="32">
        <f>IF($B28="","",IF($B$2="Todos",SUMIFS(BD!$L$3:$L$5001,BD!$A$3:$A$5001,$B28),SUMIFS(BD!$L$3:$L$5001,BD!$A$3:$A$5001,$B28,BD!$B$3:$B$5001,$D$2)))</f>
        <v>0</v>
      </c>
      <c r="M28" s="32">
        <f>IF($B28="","",IF($B$2="Todos",SUMIFS(BD!$M$3:$M$5001,BD!$A$3:$A$5001,$B28),SUMIFS(BD!$M$3:$M$5001,BD!$A$3:$A$5001,$B28,BD!$B$3:$B$5001,$D$2)))</f>
        <v>0</v>
      </c>
      <c r="N28" s="32">
        <f>IF($B28="","",IF($B$2="Todos",SUMIFS(BD!$N$3:$N$5001,BD!$A$3:$A$5001,$B28),SUMIFS(BD!$N$3:$N$5001,BD!$A$3:$A$5001,$B28,BD!$B$3:$B$5001,$D$2)))</f>
        <v>0</v>
      </c>
      <c r="O28" s="32">
        <f>IF($B28="","",IF($B$2="Todos",SUMIFS(BD!$O$3:$O$5001,BD!$A$3:$A$5001,$B28),SUMIFS(BD!$O$3:$O$5001,BD!$A$3:$A$5001,$B28,BD!$B$3:$B$5001,$D$2)))</f>
        <v>0</v>
      </c>
      <c r="P28" s="32">
        <f>IF($B28="","",IF($B$2="Todos",SUMIFS(BD!$P$3:$P$5001,BD!$A$3:$A$5001,$B28),SUMIFS(BD!$P$3:$P$5001,BD!$A$3:$A$5001,$B28,BD!$B$3:$B$5001,$D$2)))</f>
        <v>0</v>
      </c>
      <c r="Q28" s="32">
        <f>IF($B28="","",IF($B$2="Todos",SUMIFS(BD!$Q$3:$Q$5001,BD!$A$3:$A$5001,$B28),SUMIFS(BD!$Q$3:$Q$5001,BD!$A$3:$A$5001,$B28,BD!$B$3:$B$5001,$D$2)))</f>
        <v>0</v>
      </c>
      <c r="R28" s="32">
        <f>IF($B28="","",IF($B$2="Todos",SUMIFS(BD!$R$3:$R$5001,BD!$A$3:$A$5001,$B28),SUMIFS(BD!$R$3:$R$5001,BD!$A$3:$A$5001,$B28,BD!$B$3:$B$5001,$D$2)))</f>
        <v>0</v>
      </c>
      <c r="S28" s="32">
        <f>IF($B28="","",IF($B$2="Todos",SUMIFS(BD!$S$3:$S$5001,BD!$A$3:$A$5001,$B28),SUMIFS(BD!$S$3:$S$5001,BD!$A$3:$A$5001,$B28,BD!$B$3:$B$5001,$D$2)))</f>
        <v>0</v>
      </c>
      <c r="T28" s="32">
        <f>IF($B28="","",IF($B$2="Todos",SUMIFS(BD!$T$3:$T$5001,BD!$A$3:$A$5001,$B28),SUMIFS(BD!$T$3:$T$5001,BD!$A$3:$A$5001,$B28,BD!$B$3:$B$5001,$D$2)))</f>
        <v>0</v>
      </c>
      <c r="U28" s="47">
        <f>IF($B28="","",IF($B$2="Todos",SUMIFS(BD!$U$3:$U$5001,BD!$A$3:$A$5001,$B28),SUMIFS(BD!$U$3:$U$5001,BD!$A$3:$A$5001,$B28,BD!$B$3:$B$5001,$D$2)))</f>
        <v>0</v>
      </c>
      <c r="V28" s="32">
        <f>IF($B28="","",IF($B$2="Todos",SUMIFS(BD!$V$3:$V$5001,BD!$A$3:$A$5001,$B28),SUMIFS(BD!$V$3:$V$5001,BD!$A$3:$A$5001,$B28,BD!$B$3:$B$5001,$D$2)))</f>
        <v>0</v>
      </c>
      <c r="W28" s="32">
        <f>IF($B28="","",IF($B$2="Todos",SUMIFS(BD!$W$3:$W$5001,BD!$A$3:$A$5001,$B28),SUMIFS(BD!$W$3:$W$5001,BD!$A$3:$A$5001,$B28,BD!$B$3:$B$5001,$D$2)))</f>
        <v>0</v>
      </c>
      <c r="X28" s="32" t="str">
        <f>IF($B$2="Todos",IF(COUNT($C$157:$V$157)=0,"",SUM($C$157:$V$157)),IFERROR(INDEX($C$157:$V$157,MATCH($D$2,$C$140:$V$140,0)),""))</f>
        <v/>
      </c>
      <c r="Y28" s="48" t="str">
        <f>IF(Z28="","",IF($B$2="Todos",IF($B$4&gt;0,$B$4,IF($B$2="Todos",IF(COUNT($C$227:$V$227)=0,"",SUM($C$227:$V$227)),IFERROR(INDEX($C$227:$V$227,MATCH($D$2,$C$210:$V$210,0)),""))),IFERROR(INDEX($C$227:$V$227,MATCH($D$2,$C$210:$V$210,0)),"")))</f>
        <v/>
      </c>
      <c r="Z28" s="32" t="str">
        <f>IF($B$2="Todos",IF(COUNT($C$192:$V$192)=0,"",SUM($C$192:$V$192)),IFERROR(INDEX($C$192:$V$192,MATCH($D$2,$C$175:$V$175,0)),""))</f>
        <v/>
      </c>
      <c r="AA28" s="49" t="str">
        <f>IF(AND(ISNUMBER(Z28),ISNUMBER(Y28)),IF(Y28&gt;0,Z28/Y28,""),"")</f>
        <v/>
      </c>
      <c r="AB28" s="32" t="str">
        <f>IF($B$2="Todos",IF(COUNT($C$262:$V$262)=0,"",SUM($C$262:$V$262)),IFERROR(INDEX($C$262:$V$262,MATCH($D$2,$C$245:$V$245,0)),""))</f>
        <v/>
      </c>
      <c r="AC28" s="32">
        <f>IF($B28="","",IF($B$2="Todos",SUMIFS(BD!$AB$3:$AB$5001,BD!$A$3:$A$5001,$B28),SUMIFS(BD!$AB$3:$AB$5001,BD!$A$3:$A$5001,$B28,BD!$B$3:$B$5001,$D$2)))</f>
        <v>0</v>
      </c>
      <c r="AD28" s="32">
        <f>IF($B28="","",IF($B$2="Todos",SUMIFS(BD!$AC$3:$AC$5001,BD!$A$3:$A$5001,$B28),SUMIFS(BD!$AC$3:$AC$5001,BD!$A$3:$A$5001,$B28,BD!$B$3:$B$5001,$D$2)))</f>
        <v>0</v>
      </c>
      <c r="AE28" s="32">
        <f>IF($B28="","",IF($B$2="Todos",SUMIFS(BD!$AD$3:$AD$5001,BD!$A$3:$A$5001,$B28),SUMIFS(BD!$AD$3:$AD$5001,BD!$A$3:$A$5001,$B28,BD!$B$3:$B$5001,$D$2)))</f>
        <v>0</v>
      </c>
      <c r="AF28" s="32">
        <f>IF($B28="","",IF($B$2="Todos",SUMIFS(BD!$AE$3:$AE$5001,BD!$A$3:$A$5001,$B28),SUMIFS(BD!$AE$3:$AE$5001,BD!$A$3:$A$5001,$B28,BD!$B$3:$B$5001,$D$2)))</f>
        <v>0</v>
      </c>
      <c r="AG28" s="32">
        <f>IF($B28="","",IF($B$2="Todos",SUMIFS(BD!$AF$3:$AF$5001,BD!$A$3:$A$5001,$B28),SUMIFS(BD!$AF$3:$AF$5001,BD!$A$3:$A$5001,$B28,BD!$B$3:$B$5001,$D$2)))</f>
        <v>0</v>
      </c>
      <c r="AH28" s="32">
        <f>IF($B28="","",IF($B$2="Todos",SUMIFS(BD!$AG$3:$AG$5001,BD!$A$3:$A$5001,$B28),SUMIFS(BD!$AG$3:$AG$5001,BD!$A$3:$A$5001,$B28,BD!$B$3:$B$5001,$D$2)))</f>
        <v>0</v>
      </c>
      <c r="AI28" s="32">
        <f>IF($B28="","",IF($B$2="Todos",SUMIFS(BD!$AH$3:$AH$5001,BD!$A$3:$A$5001,$B28),SUMIFS(BD!$AH$3:$AH$5001,BD!$A$3:$A$5001,$B28,BD!$B$3:$B$5001,$D$2)))</f>
        <v>0</v>
      </c>
      <c r="AJ28" s="50">
        <f>$B$5</f>
        <v>0.7</v>
      </c>
      <c r="AK28" s="50">
        <f>$B$6</f>
        <v>0.9</v>
      </c>
      <c r="AP28" s="29" t="str">
        <f>IFERROR(INDEX(Config!$B$10:$B$29,MATCH(16,$AR$13:$AR$32,0))&amp;"","")</f>
        <v/>
      </c>
      <c r="AQ28" s="28" t="str">
        <f>IF(AP28="","",IF(INDEX(Config!$C$10:$C$29,MATCH(16,$AR$13:$AR$32,0))&amp;""="","TPC",INDEX(Config!$C$10:$C$29,MATCH(16,$AR$13:$AR$32,0))&amp;""))</f>
        <v/>
      </c>
      <c r="AR28" s="38">
        <f>IF(Config!$B$25&amp;""="",AR27,AR27+1)</f>
        <v>10</v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32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>
        <f>IF($B29="","",IF($B$2="Todos",SUMIFS(BD!$K$3:$K$5001,BD!$A$3:$A$5001,$B29),SUMIFS(BD!$K$3:$K$5001,BD!$A$3:$A$5001,$B29,BD!$B$3:$B$5001,$D$2)))</f>
        <v>0</v>
      </c>
      <c r="L29" s="32">
        <f>IF($B29="","",IF($B$2="Todos",SUMIFS(BD!$L$3:$L$5001,BD!$A$3:$A$5001,$B29),SUMIFS(BD!$L$3:$L$5001,BD!$A$3:$A$5001,$B29,BD!$B$3:$B$5001,$D$2)))</f>
        <v>0</v>
      </c>
      <c r="M29" s="32">
        <f>IF($B29="","",IF($B$2="Todos",SUMIFS(BD!$M$3:$M$5001,BD!$A$3:$A$5001,$B29),SUMIFS(BD!$M$3:$M$5001,BD!$A$3:$A$5001,$B29,BD!$B$3:$B$5001,$D$2)))</f>
        <v>0</v>
      </c>
      <c r="N29" s="32">
        <f>IF($B29="","",IF($B$2="Todos",SUMIFS(BD!$N$3:$N$5001,BD!$A$3:$A$5001,$B29),SUMIFS(BD!$N$3:$N$5001,BD!$A$3:$A$5001,$B29,BD!$B$3:$B$5001,$D$2)))</f>
        <v>0</v>
      </c>
      <c r="O29" s="32">
        <f>IF($B29="","",IF($B$2="Todos",SUMIFS(BD!$O$3:$O$5001,BD!$A$3:$A$5001,$B29),SUMIFS(BD!$O$3:$O$5001,BD!$A$3:$A$5001,$B29,BD!$B$3:$B$5001,$D$2)))</f>
        <v>0</v>
      </c>
      <c r="P29" s="32">
        <f>IF($B29="","",IF($B$2="Todos",SUMIFS(BD!$P$3:$P$5001,BD!$A$3:$A$5001,$B29),SUMIFS(BD!$P$3:$P$5001,BD!$A$3:$A$5001,$B29,BD!$B$3:$B$5001,$D$2)))</f>
        <v>0</v>
      </c>
      <c r="Q29" s="32">
        <f>IF($B29="","",IF($B$2="Todos",SUMIFS(BD!$Q$3:$Q$5001,BD!$A$3:$A$5001,$B29),SUMIFS(BD!$Q$3:$Q$5001,BD!$A$3:$A$5001,$B29,BD!$B$3:$B$5001,$D$2)))</f>
        <v>0</v>
      </c>
      <c r="R29" s="32">
        <f>IF($B29="","",IF($B$2="Todos",SUMIFS(BD!$R$3:$R$5001,BD!$A$3:$A$5001,$B29),SUMIFS(BD!$R$3:$R$5001,BD!$A$3:$A$5001,$B29,BD!$B$3:$B$5001,$D$2)))</f>
        <v>0</v>
      </c>
      <c r="S29" s="32">
        <f>IF($B29="","",IF($B$2="Todos",SUMIFS(BD!$S$3:$S$5001,BD!$A$3:$A$5001,$B29),SUMIFS(BD!$S$3:$S$5001,BD!$A$3:$A$5001,$B29,BD!$B$3:$B$5001,$D$2)))</f>
        <v>0</v>
      </c>
      <c r="T29" s="32">
        <f>IF($B29="","",IF($B$2="Todos",SUMIFS(BD!$T$3:$T$5001,BD!$A$3:$A$5001,$B29),SUMIFS(BD!$T$3:$T$5001,BD!$A$3:$A$5001,$B29,BD!$B$3:$B$5001,$D$2)))</f>
        <v>0</v>
      </c>
      <c r="U29" s="47">
        <f>IF($B29="","",IF($B$2="Todos",SUMIFS(BD!$U$3:$U$5001,BD!$A$3:$A$5001,$B29),SUMIFS(BD!$U$3:$U$5001,BD!$A$3:$A$5001,$B29,BD!$B$3:$B$5001,$D$2)))</f>
        <v>0</v>
      </c>
      <c r="V29" s="32">
        <f>IF($B29="","",IF($B$2="Todos",SUMIFS(BD!$V$3:$V$5001,BD!$A$3:$A$5001,$B29),SUMIFS(BD!$V$3:$V$5001,BD!$A$3:$A$5001,$B29,BD!$B$3:$B$5001,$D$2)))</f>
        <v>0</v>
      </c>
      <c r="W29" s="32">
        <f>IF($B29="","",IF($B$2="Todos",SUMIFS(BD!$W$3:$W$5001,BD!$A$3:$A$5001,$B29),SUMIFS(BD!$W$3:$W$5001,BD!$A$3:$A$5001,$B29,BD!$B$3:$B$5001,$D$2)))</f>
        <v>0</v>
      </c>
      <c r="X29" s="32" t="str">
        <f>IF($B$2="Todos",IF(COUNT($C$158:$V$158)=0,"",SUM($C$158:$V$158)),IFERROR(INDEX($C$158:$V$158,MATCH($D$2,$C$140:$V$140,0)),""))</f>
        <v/>
      </c>
      <c r="Y29" s="48" t="str">
        <f>IF(Z29="","",IF($B$2="Todos",IF($B$4&gt;0,$B$4,IF($B$2="Todos",IF(COUNT($C$228:$V$228)=0,"",SUM($C$228:$V$228)),IFERROR(INDEX($C$228:$V$228,MATCH($D$2,$C$210:$V$210,0)),""))),IFERROR(INDEX($C$228:$V$228,MATCH($D$2,$C$210:$V$210,0)),"")))</f>
        <v/>
      </c>
      <c r="Z29" s="32" t="str">
        <f>IF($B$2="Todos",IF(COUNT($C$193:$V$193)=0,"",SUM($C$193:$V$193)),IFERROR(INDEX($C$193:$V$193,MATCH($D$2,$C$175:$V$175,0)),""))</f>
        <v/>
      </c>
      <c r="AA29" s="49" t="str">
        <f>IF(AND(ISNUMBER(Z29),ISNUMBER(Y29)),IF(Y29&gt;0,Z29/Y29,""),"")</f>
        <v/>
      </c>
      <c r="AB29" s="32" t="str">
        <f>IF($B$2="Todos",IF(COUNT($C$263:$V$263)=0,"",SUM($C$263:$V$263)),IFERROR(INDEX($C$263:$V$263,MATCH($D$2,$C$245:$V$245,0)),""))</f>
        <v/>
      </c>
      <c r="AC29" s="32">
        <f>IF($B29="","",IF($B$2="Todos",SUMIFS(BD!$AB$3:$AB$5001,BD!$A$3:$A$5001,$B29),SUMIFS(BD!$AB$3:$AB$5001,BD!$A$3:$A$5001,$B29,BD!$B$3:$B$5001,$D$2)))</f>
        <v>0</v>
      </c>
      <c r="AD29" s="32">
        <f>IF($B29="","",IF($B$2="Todos",SUMIFS(BD!$AC$3:$AC$5001,BD!$A$3:$A$5001,$B29),SUMIFS(BD!$AC$3:$AC$5001,BD!$A$3:$A$5001,$B29,BD!$B$3:$B$5001,$D$2)))</f>
        <v>0</v>
      </c>
      <c r="AE29" s="32">
        <f>IF($B29="","",IF($B$2="Todos",SUMIFS(BD!$AD$3:$AD$5001,BD!$A$3:$A$5001,$B29),SUMIFS(BD!$AD$3:$AD$5001,BD!$A$3:$A$5001,$B29,BD!$B$3:$B$5001,$D$2)))</f>
        <v>0</v>
      </c>
      <c r="AF29" s="32">
        <f>IF($B29="","",IF($B$2="Todos",SUMIFS(BD!$AE$3:$AE$5001,BD!$A$3:$A$5001,$B29),SUMIFS(BD!$AE$3:$AE$5001,BD!$A$3:$A$5001,$B29,BD!$B$3:$B$5001,$D$2)))</f>
        <v>0</v>
      </c>
      <c r="AG29" s="32">
        <f>IF($B29="","",IF($B$2="Todos",SUMIFS(BD!$AF$3:$AF$5001,BD!$A$3:$A$5001,$B29),SUMIFS(BD!$AF$3:$AF$5001,BD!$A$3:$A$5001,$B29,BD!$B$3:$B$5001,$D$2)))</f>
        <v>0</v>
      </c>
      <c r="AH29" s="32">
        <f>IF($B29="","",IF($B$2="Todos",SUMIFS(BD!$AG$3:$AG$5001,BD!$A$3:$A$5001,$B29),SUMIFS(BD!$AG$3:$AG$5001,BD!$A$3:$A$5001,$B29,BD!$B$3:$B$5001,$D$2)))</f>
        <v>0</v>
      </c>
      <c r="AI29" s="32">
        <f>IF($B29="","",IF($B$2="Todos",SUMIFS(BD!$AH$3:$AH$5001,BD!$A$3:$A$5001,$B29),SUMIFS(BD!$AH$3:$AH$5001,BD!$A$3:$A$5001,$B29,BD!$B$3:$B$5001,$D$2)))</f>
        <v>0</v>
      </c>
      <c r="AJ29" s="50">
        <f>$B$5</f>
        <v>0.7</v>
      </c>
      <c r="AK29" s="50">
        <f>$B$6</f>
        <v>0.9</v>
      </c>
      <c r="AP29" s="29" t="str">
        <f>IFERROR(INDEX(Config!$B$10:$B$29,MATCH(17,$AR$13:$AR$32,0))&amp;"","")</f>
        <v/>
      </c>
      <c r="AQ29" s="28" t="str">
        <f>IF(AP29="","",IF(INDEX(Config!$C$10:$C$29,MATCH(17,$AR$13:$AR$32,0))&amp;""="","TPC",INDEX(Config!$C$10:$C$29,MATCH(17,$AR$13:$AR$32,0))&amp;""))</f>
        <v/>
      </c>
      <c r="AR29" s="38">
        <f>IF(Config!$B$26&amp;""="",AR28,AR28+1)</f>
        <v>10</v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32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>
        <f>IF($B30="","",IF($B$2="Todos",SUMIFS(BD!$K$3:$K$5001,BD!$A$3:$A$5001,$B30),SUMIFS(BD!$K$3:$K$5001,BD!$A$3:$A$5001,$B30,BD!$B$3:$B$5001,$D$2)))</f>
        <v>0</v>
      </c>
      <c r="L30" s="32">
        <f>IF($B30="","",IF($B$2="Todos",SUMIFS(BD!$L$3:$L$5001,BD!$A$3:$A$5001,$B30),SUMIFS(BD!$L$3:$L$5001,BD!$A$3:$A$5001,$B30,BD!$B$3:$B$5001,$D$2)))</f>
        <v>0</v>
      </c>
      <c r="M30" s="32">
        <f>IF($B30="","",IF($B$2="Todos",SUMIFS(BD!$M$3:$M$5001,BD!$A$3:$A$5001,$B30),SUMIFS(BD!$M$3:$M$5001,BD!$A$3:$A$5001,$B30,BD!$B$3:$B$5001,$D$2)))</f>
        <v>0</v>
      </c>
      <c r="N30" s="32">
        <f>IF($B30="","",IF($B$2="Todos",SUMIFS(BD!$N$3:$N$5001,BD!$A$3:$A$5001,$B30),SUMIFS(BD!$N$3:$N$5001,BD!$A$3:$A$5001,$B30,BD!$B$3:$B$5001,$D$2)))</f>
        <v>0</v>
      </c>
      <c r="O30" s="32">
        <f>IF($B30="","",IF($B$2="Todos",SUMIFS(BD!$O$3:$O$5001,BD!$A$3:$A$5001,$B30),SUMIFS(BD!$O$3:$O$5001,BD!$A$3:$A$5001,$B30,BD!$B$3:$B$5001,$D$2)))</f>
        <v>0</v>
      </c>
      <c r="P30" s="32">
        <f>IF($B30="","",IF($B$2="Todos",SUMIFS(BD!$P$3:$P$5001,BD!$A$3:$A$5001,$B30),SUMIFS(BD!$P$3:$P$5001,BD!$A$3:$A$5001,$B30,BD!$B$3:$B$5001,$D$2)))</f>
        <v>0</v>
      </c>
      <c r="Q30" s="32">
        <f>IF($B30="","",IF($B$2="Todos",SUMIFS(BD!$Q$3:$Q$5001,BD!$A$3:$A$5001,$B30),SUMIFS(BD!$Q$3:$Q$5001,BD!$A$3:$A$5001,$B30,BD!$B$3:$B$5001,$D$2)))</f>
        <v>0</v>
      </c>
      <c r="R30" s="32">
        <f>IF($B30="","",IF($B$2="Todos",SUMIFS(BD!$R$3:$R$5001,BD!$A$3:$A$5001,$B30),SUMIFS(BD!$R$3:$R$5001,BD!$A$3:$A$5001,$B30,BD!$B$3:$B$5001,$D$2)))</f>
        <v>0</v>
      </c>
      <c r="S30" s="32">
        <f>IF($B30="","",IF($B$2="Todos",SUMIFS(BD!$S$3:$S$5001,BD!$A$3:$A$5001,$B30),SUMIFS(BD!$S$3:$S$5001,BD!$A$3:$A$5001,$B30,BD!$B$3:$B$5001,$D$2)))</f>
        <v>0</v>
      </c>
      <c r="T30" s="32">
        <f>IF($B30="","",IF($B$2="Todos",SUMIFS(BD!$T$3:$T$5001,BD!$A$3:$A$5001,$B30),SUMIFS(BD!$T$3:$T$5001,BD!$A$3:$A$5001,$B30,BD!$B$3:$B$5001,$D$2)))</f>
        <v>0</v>
      </c>
      <c r="U30" s="47">
        <f>IF($B30="","",IF($B$2="Todos",SUMIFS(BD!$U$3:$U$5001,BD!$A$3:$A$5001,$B30),SUMIFS(BD!$U$3:$U$5001,BD!$A$3:$A$5001,$B30,BD!$B$3:$B$5001,$D$2)))</f>
        <v>0</v>
      </c>
      <c r="V30" s="32">
        <f>IF($B30="","",IF($B$2="Todos",SUMIFS(BD!$V$3:$V$5001,BD!$A$3:$A$5001,$B30),SUMIFS(BD!$V$3:$V$5001,BD!$A$3:$A$5001,$B30,BD!$B$3:$B$5001,$D$2)))</f>
        <v>0</v>
      </c>
      <c r="W30" s="32">
        <f>IF($B30="","",IF($B$2="Todos",SUMIFS(BD!$W$3:$W$5001,BD!$A$3:$A$5001,$B30),SUMIFS(BD!$W$3:$W$5001,BD!$A$3:$A$5001,$B30,BD!$B$3:$B$5001,$D$2)))</f>
        <v>0</v>
      </c>
      <c r="X30" s="32" t="str">
        <f>IF($B$2="Todos",IF(COUNT($C$159:$V$159)=0,"",SUM($C$159:$V$159)),IFERROR(INDEX($C$159:$V$159,MATCH($D$2,$C$140:$V$140,0)),""))</f>
        <v/>
      </c>
      <c r="Y30" s="48" t="str">
        <f>IF(Z30="","",IF($B$2="Todos",IF($B$4&gt;0,$B$4,IF($B$2="Todos",IF(COUNT($C$229:$V$229)=0,"",SUM($C$229:$V$229)),IFERROR(INDEX($C$229:$V$229,MATCH($D$2,$C$210:$V$210,0)),""))),IFERROR(INDEX($C$229:$V$229,MATCH($D$2,$C$210:$V$210,0)),"")))</f>
        <v/>
      </c>
      <c r="Z30" s="32" t="str">
        <f>IF($B$2="Todos",IF(COUNT($C$194:$V$194)=0,"",SUM($C$194:$V$194)),IFERROR(INDEX($C$194:$V$194,MATCH($D$2,$C$175:$V$175,0)),""))</f>
        <v/>
      </c>
      <c r="AA30" s="49" t="str">
        <f>IF(AND(ISNUMBER(Z30),ISNUMBER(Y30)),IF(Y30&gt;0,Z30/Y30,""),"")</f>
        <v/>
      </c>
      <c r="AB30" s="32" t="str">
        <f>IF($B$2="Todos",IF(COUNT($C$264:$V$264)=0,"",SUM($C$264:$V$264)),IFERROR(INDEX($C$264:$V$264,MATCH($D$2,$C$245:$V$245,0)),""))</f>
        <v/>
      </c>
      <c r="AC30" s="32">
        <f>IF($B30="","",IF($B$2="Todos",SUMIFS(BD!$AB$3:$AB$5001,BD!$A$3:$A$5001,$B30),SUMIFS(BD!$AB$3:$AB$5001,BD!$A$3:$A$5001,$B30,BD!$B$3:$B$5001,$D$2)))</f>
        <v>0</v>
      </c>
      <c r="AD30" s="32">
        <f>IF($B30="","",IF($B$2="Todos",SUMIFS(BD!$AC$3:$AC$5001,BD!$A$3:$A$5001,$B30),SUMIFS(BD!$AC$3:$AC$5001,BD!$A$3:$A$5001,$B30,BD!$B$3:$B$5001,$D$2)))</f>
        <v>0</v>
      </c>
      <c r="AE30" s="32">
        <f>IF($B30="","",IF($B$2="Todos",SUMIFS(BD!$AD$3:$AD$5001,BD!$A$3:$A$5001,$B30),SUMIFS(BD!$AD$3:$AD$5001,BD!$A$3:$A$5001,$B30,BD!$B$3:$B$5001,$D$2)))</f>
        <v>0</v>
      </c>
      <c r="AF30" s="32">
        <f>IF($B30="","",IF($B$2="Todos",SUMIFS(BD!$AE$3:$AE$5001,BD!$A$3:$A$5001,$B30),SUMIFS(BD!$AE$3:$AE$5001,BD!$A$3:$A$5001,$B30,BD!$B$3:$B$5001,$D$2)))</f>
        <v>0</v>
      </c>
      <c r="AG30" s="32">
        <f>IF($B30="","",IF($B$2="Todos",SUMIFS(BD!$AF$3:$AF$5001,BD!$A$3:$A$5001,$B30),SUMIFS(BD!$AF$3:$AF$5001,BD!$A$3:$A$5001,$B30,BD!$B$3:$B$5001,$D$2)))</f>
        <v>0</v>
      </c>
      <c r="AH30" s="32">
        <f>IF($B30="","",IF($B$2="Todos",SUMIFS(BD!$AG$3:$AG$5001,BD!$A$3:$A$5001,$B30),SUMIFS(BD!$AG$3:$AG$5001,BD!$A$3:$A$5001,$B30,BD!$B$3:$B$5001,$D$2)))</f>
        <v>0</v>
      </c>
      <c r="AI30" s="32">
        <f>IF($B30="","",IF($B$2="Todos",SUMIFS(BD!$AH$3:$AH$5001,BD!$A$3:$A$5001,$B30),SUMIFS(BD!$AH$3:$AH$5001,BD!$A$3:$A$5001,$B30,BD!$B$3:$B$5001,$D$2)))</f>
        <v>0</v>
      </c>
      <c r="AJ30" s="50">
        <f>$B$5</f>
        <v>0.7</v>
      </c>
      <c r="AK30" s="50">
        <f>$B$6</f>
        <v>0.9</v>
      </c>
      <c r="AP30" s="29" t="str">
        <f>IFERROR(INDEX(Config!$B$10:$B$29,MATCH(18,$AR$13:$AR$32,0))&amp;"","")</f>
        <v/>
      </c>
      <c r="AQ30" s="28" t="str">
        <f>IF(AP30="","",IF(INDEX(Config!$C$10:$C$29,MATCH(18,$AR$13:$AR$32,0))&amp;""="","TPC",INDEX(Config!$C$10:$C$29,MATCH(18,$AR$13:$AR$32,0))&amp;""))</f>
        <v/>
      </c>
      <c r="AR30" s="38">
        <f>IF(Config!$B$27&amp;""="",AR29,AR29+1)</f>
        <v>10</v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32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>
        <f>IF($B31="","",IF($B$2="Todos",SUMIFS(BD!$K$3:$K$5001,BD!$A$3:$A$5001,$B31),SUMIFS(BD!$K$3:$K$5001,BD!$A$3:$A$5001,$B31,BD!$B$3:$B$5001,$D$2)))</f>
        <v>0</v>
      </c>
      <c r="L31" s="32">
        <f>IF($B31="","",IF($B$2="Todos",SUMIFS(BD!$L$3:$L$5001,BD!$A$3:$A$5001,$B31),SUMIFS(BD!$L$3:$L$5001,BD!$A$3:$A$5001,$B31,BD!$B$3:$B$5001,$D$2)))</f>
        <v>0</v>
      </c>
      <c r="M31" s="32">
        <f>IF($B31="","",IF($B$2="Todos",SUMIFS(BD!$M$3:$M$5001,BD!$A$3:$A$5001,$B31),SUMIFS(BD!$M$3:$M$5001,BD!$A$3:$A$5001,$B31,BD!$B$3:$B$5001,$D$2)))</f>
        <v>0</v>
      </c>
      <c r="N31" s="32">
        <f>IF($B31="","",IF($B$2="Todos",SUMIFS(BD!$N$3:$N$5001,BD!$A$3:$A$5001,$B31),SUMIFS(BD!$N$3:$N$5001,BD!$A$3:$A$5001,$B31,BD!$B$3:$B$5001,$D$2)))</f>
        <v>0</v>
      </c>
      <c r="O31" s="32">
        <f>IF($B31="","",IF($B$2="Todos",SUMIFS(BD!$O$3:$O$5001,BD!$A$3:$A$5001,$B31),SUMIFS(BD!$O$3:$O$5001,BD!$A$3:$A$5001,$B31,BD!$B$3:$B$5001,$D$2)))</f>
        <v>0</v>
      </c>
      <c r="P31" s="32">
        <f>IF($B31="","",IF($B$2="Todos",SUMIFS(BD!$P$3:$P$5001,BD!$A$3:$A$5001,$B31),SUMIFS(BD!$P$3:$P$5001,BD!$A$3:$A$5001,$B31,BD!$B$3:$B$5001,$D$2)))</f>
        <v>0</v>
      </c>
      <c r="Q31" s="32">
        <f>IF($B31="","",IF($B$2="Todos",SUMIFS(BD!$Q$3:$Q$5001,BD!$A$3:$A$5001,$B31),SUMIFS(BD!$Q$3:$Q$5001,BD!$A$3:$A$5001,$B31,BD!$B$3:$B$5001,$D$2)))</f>
        <v>0</v>
      </c>
      <c r="R31" s="32">
        <f>IF($B31="","",IF($B$2="Todos",SUMIFS(BD!$R$3:$R$5001,BD!$A$3:$A$5001,$B31),SUMIFS(BD!$R$3:$R$5001,BD!$A$3:$A$5001,$B31,BD!$B$3:$B$5001,$D$2)))</f>
        <v>0</v>
      </c>
      <c r="S31" s="32">
        <f>IF($B31="","",IF($B$2="Todos",SUMIFS(BD!$S$3:$S$5001,BD!$A$3:$A$5001,$B31),SUMIFS(BD!$S$3:$S$5001,BD!$A$3:$A$5001,$B31,BD!$B$3:$B$5001,$D$2)))</f>
        <v>0</v>
      </c>
      <c r="T31" s="32">
        <f>IF($B31="","",IF($B$2="Todos",SUMIFS(BD!$T$3:$T$5001,BD!$A$3:$A$5001,$B31),SUMIFS(BD!$T$3:$T$5001,BD!$A$3:$A$5001,$B31,BD!$B$3:$B$5001,$D$2)))</f>
        <v>0</v>
      </c>
      <c r="U31" s="47">
        <f>IF($B31="","",IF($B$2="Todos",SUMIFS(BD!$U$3:$U$5001,BD!$A$3:$A$5001,$B31),SUMIFS(BD!$U$3:$U$5001,BD!$A$3:$A$5001,$B31,BD!$B$3:$B$5001,$D$2)))</f>
        <v>0</v>
      </c>
      <c r="V31" s="32">
        <f>IF($B31="","",IF($B$2="Todos",SUMIFS(BD!$V$3:$V$5001,BD!$A$3:$A$5001,$B31),SUMIFS(BD!$V$3:$V$5001,BD!$A$3:$A$5001,$B31,BD!$B$3:$B$5001,$D$2)))</f>
        <v>0</v>
      </c>
      <c r="W31" s="32">
        <f>IF($B31="","",IF($B$2="Todos",SUMIFS(BD!$W$3:$W$5001,BD!$A$3:$A$5001,$B31),SUMIFS(BD!$W$3:$W$5001,BD!$A$3:$A$5001,$B31,BD!$B$3:$B$5001,$D$2)))</f>
        <v>0</v>
      </c>
      <c r="X31" s="32" t="str">
        <f>IF($B$2="Todos",IF(COUNT($C$160:$V$160)=0,"",SUM($C$160:$V$160)),IFERROR(INDEX($C$160:$V$160,MATCH($D$2,$C$140:$V$140,0)),""))</f>
        <v/>
      </c>
      <c r="Y31" s="48" t="str">
        <f>IF(Z31="","",IF($B$2="Todos",IF($B$4&gt;0,$B$4,IF($B$2="Todos",IF(COUNT($C$230:$V$230)=0,"",SUM($C$230:$V$230)),IFERROR(INDEX($C$230:$V$230,MATCH($D$2,$C$210:$V$210,0)),""))),IFERROR(INDEX($C$230:$V$230,MATCH($D$2,$C$210:$V$210,0)),"")))</f>
        <v/>
      </c>
      <c r="Z31" s="32" t="str">
        <f>IF($B$2="Todos",IF(COUNT($C$195:$V$195)=0,"",SUM($C$195:$V$195)),IFERROR(INDEX($C$195:$V$195,MATCH($D$2,$C$175:$V$175,0)),""))</f>
        <v/>
      </c>
      <c r="AA31" s="49" t="str">
        <f>IF(AND(ISNUMBER(Z31),ISNUMBER(Y31)),IF(Y31&gt;0,Z31/Y31,""),"")</f>
        <v/>
      </c>
      <c r="AB31" s="32" t="str">
        <f>IF($B$2="Todos",IF(COUNT($C$265:$V$265)=0,"",SUM($C$265:$V$265)),IFERROR(INDEX($C$265:$V$265,MATCH($D$2,$C$245:$V$245,0)),""))</f>
        <v/>
      </c>
      <c r="AC31" s="32">
        <f>IF($B31="","",IF($B$2="Todos",SUMIFS(BD!$AB$3:$AB$5001,BD!$A$3:$A$5001,$B31),SUMIFS(BD!$AB$3:$AB$5001,BD!$A$3:$A$5001,$B31,BD!$B$3:$B$5001,$D$2)))</f>
        <v>0</v>
      </c>
      <c r="AD31" s="32">
        <f>IF($B31="","",IF($B$2="Todos",SUMIFS(BD!$AC$3:$AC$5001,BD!$A$3:$A$5001,$B31),SUMIFS(BD!$AC$3:$AC$5001,BD!$A$3:$A$5001,$B31,BD!$B$3:$B$5001,$D$2)))</f>
        <v>0</v>
      </c>
      <c r="AE31" s="32">
        <f>IF($B31="","",IF($B$2="Todos",SUMIFS(BD!$AD$3:$AD$5001,BD!$A$3:$A$5001,$B31),SUMIFS(BD!$AD$3:$AD$5001,BD!$A$3:$A$5001,$B31,BD!$B$3:$B$5001,$D$2)))</f>
        <v>0</v>
      </c>
      <c r="AF31" s="32">
        <f>IF($B31="","",IF($B$2="Todos",SUMIFS(BD!$AE$3:$AE$5001,BD!$A$3:$A$5001,$B31),SUMIFS(BD!$AE$3:$AE$5001,BD!$A$3:$A$5001,$B31,BD!$B$3:$B$5001,$D$2)))</f>
        <v>0</v>
      </c>
      <c r="AG31" s="32">
        <f>IF($B31="","",IF($B$2="Todos",SUMIFS(BD!$AF$3:$AF$5001,BD!$A$3:$A$5001,$B31),SUMIFS(BD!$AF$3:$AF$5001,BD!$A$3:$A$5001,$B31,BD!$B$3:$B$5001,$D$2)))</f>
        <v>0</v>
      </c>
      <c r="AH31" s="32">
        <f>IF($B31="","",IF($B$2="Todos",SUMIFS(BD!$AG$3:$AG$5001,BD!$A$3:$A$5001,$B31),SUMIFS(BD!$AG$3:$AG$5001,BD!$A$3:$A$5001,$B31,BD!$B$3:$B$5001,$D$2)))</f>
        <v>0</v>
      </c>
      <c r="AI31" s="32">
        <f>IF($B31="","",IF($B$2="Todos",SUMIFS(BD!$AH$3:$AH$5001,BD!$A$3:$A$5001,$B31),SUMIFS(BD!$AH$3:$AH$5001,BD!$A$3:$A$5001,$B31,BD!$B$3:$B$5001,$D$2)))</f>
        <v>0</v>
      </c>
      <c r="AJ31" s="50">
        <f>$B$5</f>
        <v>0.7</v>
      </c>
      <c r="AK31" s="50">
        <f>$B$6</f>
        <v>0.9</v>
      </c>
      <c r="AP31" s="29" t="str">
        <f>IFERROR(INDEX(Config!$B$10:$B$29,MATCH(19,$AR$13:$AR$32,0))&amp;"","")</f>
        <v/>
      </c>
      <c r="AQ31" s="28" t="str">
        <f>IF(AP31="","",IF(INDEX(Config!$C$10:$C$29,MATCH(19,$AR$13:$AR$32,0))&amp;""="","TPC",INDEX(Config!$C$10:$C$29,MATCH(19,$AR$13:$AR$32,0))&amp;""))</f>
        <v/>
      </c>
      <c r="AR31" s="38">
        <f>IF(Config!$B$28&amp;""="",AR30,AR30+1)</f>
        <v>10</v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32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>
        <f>IF($B32="","",IF($B$2="Todos",SUMIFS(BD!$K$3:$K$5001,BD!$A$3:$A$5001,$B32),SUMIFS(BD!$K$3:$K$5001,BD!$A$3:$A$5001,$B32,BD!$B$3:$B$5001,$D$2)))</f>
        <v>0</v>
      </c>
      <c r="L32" s="32">
        <f>IF($B32="","",IF($B$2="Todos",SUMIFS(BD!$L$3:$L$5001,BD!$A$3:$A$5001,$B32),SUMIFS(BD!$L$3:$L$5001,BD!$A$3:$A$5001,$B32,BD!$B$3:$B$5001,$D$2)))</f>
        <v>0</v>
      </c>
      <c r="M32" s="32">
        <f>IF($B32="","",IF($B$2="Todos",SUMIFS(BD!$M$3:$M$5001,BD!$A$3:$A$5001,$B32),SUMIFS(BD!$M$3:$M$5001,BD!$A$3:$A$5001,$B32,BD!$B$3:$B$5001,$D$2)))</f>
        <v>0</v>
      </c>
      <c r="N32" s="32">
        <f>IF($B32="","",IF($B$2="Todos",SUMIFS(BD!$N$3:$N$5001,BD!$A$3:$A$5001,$B32),SUMIFS(BD!$N$3:$N$5001,BD!$A$3:$A$5001,$B32,BD!$B$3:$B$5001,$D$2)))</f>
        <v>0</v>
      </c>
      <c r="O32" s="32">
        <f>IF($B32="","",IF($B$2="Todos",SUMIFS(BD!$O$3:$O$5001,BD!$A$3:$A$5001,$B32),SUMIFS(BD!$O$3:$O$5001,BD!$A$3:$A$5001,$B32,BD!$B$3:$B$5001,$D$2)))</f>
        <v>0</v>
      </c>
      <c r="P32" s="32">
        <f>IF($B32="","",IF($B$2="Todos",SUMIFS(BD!$P$3:$P$5001,BD!$A$3:$A$5001,$B32),SUMIFS(BD!$P$3:$P$5001,BD!$A$3:$A$5001,$B32,BD!$B$3:$B$5001,$D$2)))</f>
        <v>0</v>
      </c>
      <c r="Q32" s="32">
        <f>IF($B32="","",IF($B$2="Todos",SUMIFS(BD!$Q$3:$Q$5001,BD!$A$3:$A$5001,$B32),SUMIFS(BD!$Q$3:$Q$5001,BD!$A$3:$A$5001,$B32,BD!$B$3:$B$5001,$D$2)))</f>
        <v>0</v>
      </c>
      <c r="R32" s="32">
        <f>IF($B32="","",IF($B$2="Todos",SUMIFS(BD!$R$3:$R$5001,BD!$A$3:$A$5001,$B32),SUMIFS(BD!$R$3:$R$5001,BD!$A$3:$A$5001,$B32,BD!$B$3:$B$5001,$D$2)))</f>
        <v>0</v>
      </c>
      <c r="S32" s="32">
        <f>IF($B32="","",IF($B$2="Todos",SUMIFS(BD!$S$3:$S$5001,BD!$A$3:$A$5001,$B32),SUMIFS(BD!$S$3:$S$5001,BD!$A$3:$A$5001,$B32,BD!$B$3:$B$5001,$D$2)))</f>
        <v>0</v>
      </c>
      <c r="T32" s="32">
        <f>IF($B32="","",IF($B$2="Todos",SUMIFS(BD!$T$3:$T$5001,BD!$A$3:$A$5001,$B32),SUMIFS(BD!$T$3:$T$5001,BD!$A$3:$A$5001,$B32,BD!$B$3:$B$5001,$D$2)))</f>
        <v>0</v>
      </c>
      <c r="U32" s="47">
        <f>IF($B32="","",IF($B$2="Todos",SUMIFS(BD!$U$3:$U$5001,BD!$A$3:$A$5001,$B32),SUMIFS(BD!$U$3:$U$5001,BD!$A$3:$A$5001,$B32,BD!$B$3:$B$5001,$D$2)))</f>
        <v>0</v>
      </c>
      <c r="V32" s="32">
        <f>IF($B32="","",IF($B$2="Todos",SUMIFS(BD!$V$3:$V$5001,BD!$A$3:$A$5001,$B32),SUMIFS(BD!$V$3:$V$5001,BD!$A$3:$A$5001,$B32,BD!$B$3:$B$5001,$D$2)))</f>
        <v>0</v>
      </c>
      <c r="W32" s="32">
        <f>IF($B32="","",IF($B$2="Todos",SUMIFS(BD!$W$3:$W$5001,BD!$A$3:$A$5001,$B32),SUMIFS(BD!$W$3:$W$5001,BD!$A$3:$A$5001,$B32,BD!$B$3:$B$5001,$D$2)))</f>
        <v>0</v>
      </c>
      <c r="X32" s="32" t="str">
        <f>IF($B$2="Todos",IF(COUNT($C$161:$V$161)=0,"",SUM($C$161:$V$161)),IFERROR(INDEX($C$161:$V$161,MATCH($D$2,$C$140:$V$140,0)),""))</f>
        <v/>
      </c>
      <c r="Y32" s="48" t="str">
        <f>IF(Z32="","",IF($B$2="Todos",IF($B$4&gt;0,$B$4,IF($B$2="Todos",IF(COUNT($C$231:$V$231)=0,"",SUM($C$231:$V$231)),IFERROR(INDEX($C$231:$V$231,MATCH($D$2,$C$210:$V$210,0)),""))),IFERROR(INDEX($C$231:$V$231,MATCH($D$2,$C$210:$V$210,0)),"")))</f>
        <v/>
      </c>
      <c r="Z32" s="32" t="str">
        <f>IF($B$2="Todos",IF(COUNT($C$196:$V$196)=0,"",SUM($C$196:$V$196)),IFERROR(INDEX($C$196:$V$196,MATCH($D$2,$C$175:$V$175,0)),""))</f>
        <v/>
      </c>
      <c r="AA32" s="49" t="str">
        <f>IF(AND(ISNUMBER(Z32),ISNUMBER(Y32)),IF(Y32&gt;0,Z32/Y32,""),"")</f>
        <v/>
      </c>
      <c r="AB32" s="32" t="str">
        <f>IF($B$2="Todos",IF(COUNT($C$266:$V$266)=0,"",SUM($C$266:$V$266)),IFERROR(INDEX($C$266:$V$266,MATCH($D$2,$C$245:$V$245,0)),""))</f>
        <v/>
      </c>
      <c r="AC32" s="32">
        <f>IF($B32="","",IF($B$2="Todos",SUMIFS(BD!$AB$3:$AB$5001,BD!$A$3:$A$5001,$B32),SUMIFS(BD!$AB$3:$AB$5001,BD!$A$3:$A$5001,$B32,BD!$B$3:$B$5001,$D$2)))</f>
        <v>0</v>
      </c>
      <c r="AD32" s="32">
        <f>IF($B32="","",IF($B$2="Todos",SUMIFS(BD!$AC$3:$AC$5001,BD!$A$3:$A$5001,$B32),SUMIFS(BD!$AC$3:$AC$5001,BD!$A$3:$A$5001,$B32,BD!$B$3:$B$5001,$D$2)))</f>
        <v>0</v>
      </c>
      <c r="AE32" s="32">
        <f>IF($B32="","",IF($B$2="Todos",SUMIFS(BD!$AD$3:$AD$5001,BD!$A$3:$A$5001,$B32),SUMIFS(BD!$AD$3:$AD$5001,BD!$A$3:$A$5001,$B32,BD!$B$3:$B$5001,$D$2)))</f>
        <v>0</v>
      </c>
      <c r="AF32" s="32">
        <f>IF($B32="","",IF($B$2="Todos",SUMIFS(BD!$AE$3:$AE$5001,BD!$A$3:$A$5001,$B32),SUMIFS(BD!$AE$3:$AE$5001,BD!$A$3:$A$5001,$B32,BD!$B$3:$B$5001,$D$2)))</f>
        <v>0</v>
      </c>
      <c r="AG32" s="32">
        <f>IF($B32="","",IF($B$2="Todos",SUMIFS(BD!$AF$3:$AF$5001,BD!$A$3:$A$5001,$B32),SUMIFS(BD!$AF$3:$AF$5001,BD!$A$3:$A$5001,$B32,BD!$B$3:$B$5001,$D$2)))</f>
        <v>0</v>
      </c>
      <c r="AH32" s="32">
        <f>IF($B32="","",IF($B$2="Todos",SUMIFS(BD!$AG$3:$AG$5001,BD!$A$3:$A$5001,$B32),SUMIFS(BD!$AG$3:$AG$5001,BD!$A$3:$A$5001,$B32,BD!$B$3:$B$5001,$D$2)))</f>
        <v>0</v>
      </c>
      <c r="AI32" s="32">
        <f>IF($B32="","",IF($B$2="Todos",SUMIFS(BD!$AH$3:$AH$5001,BD!$A$3:$A$5001,$B32),SUMIFS(BD!$AH$3:$AH$5001,BD!$A$3:$A$5001,$B32,BD!$B$3:$B$5001,$D$2)))</f>
        <v>0</v>
      </c>
      <c r="AJ32" s="50">
        <f>$B$5</f>
        <v>0.7</v>
      </c>
      <c r="AK32" s="50">
        <f>$B$6</f>
        <v>0.9</v>
      </c>
      <c r="AP32" s="29" t="str">
        <f>IFERROR(INDEX(Config!$B$10:$B$29,MATCH(20,$AR$13:$AR$32,0))&amp;"","")</f>
        <v/>
      </c>
      <c r="AQ32" s="28" t="str">
        <f>IF(AP32="","",IF(INDEX(Config!$C$10:$C$29,MATCH(20,$AR$13:$AR$32,0))&amp;""="","TPC",INDEX(Config!$C$10:$C$29,MATCH(20,$AR$13:$AR$32,0))&amp;""))</f>
        <v/>
      </c>
      <c r="AR32" s="38">
        <f>IF(Config!$B$29&amp;""="",AR31,AR31+1)</f>
        <v>10</v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32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>
        <f>IF($B33="","",IF($B$2="Todos",SUMIFS(BD!$K$3:$K$5001,BD!$A$3:$A$5001,$B33),SUMIFS(BD!$K$3:$K$5001,BD!$A$3:$A$5001,$B33,BD!$B$3:$B$5001,$D$2)))</f>
        <v>0</v>
      </c>
      <c r="L33" s="32">
        <f>IF($B33="","",IF($B$2="Todos",SUMIFS(BD!$L$3:$L$5001,BD!$A$3:$A$5001,$B33),SUMIFS(BD!$L$3:$L$5001,BD!$A$3:$A$5001,$B33,BD!$B$3:$B$5001,$D$2)))</f>
        <v>0</v>
      </c>
      <c r="M33" s="32">
        <f>IF($B33="","",IF($B$2="Todos",SUMIFS(BD!$M$3:$M$5001,BD!$A$3:$A$5001,$B33),SUMIFS(BD!$M$3:$M$5001,BD!$A$3:$A$5001,$B33,BD!$B$3:$B$5001,$D$2)))</f>
        <v>0</v>
      </c>
      <c r="N33" s="32">
        <f>IF($B33="","",IF($B$2="Todos",SUMIFS(BD!$N$3:$N$5001,BD!$A$3:$A$5001,$B33),SUMIFS(BD!$N$3:$N$5001,BD!$A$3:$A$5001,$B33,BD!$B$3:$B$5001,$D$2)))</f>
        <v>0</v>
      </c>
      <c r="O33" s="32">
        <f>IF($B33="","",IF($B$2="Todos",SUMIFS(BD!$O$3:$O$5001,BD!$A$3:$A$5001,$B33),SUMIFS(BD!$O$3:$O$5001,BD!$A$3:$A$5001,$B33,BD!$B$3:$B$5001,$D$2)))</f>
        <v>0</v>
      </c>
      <c r="P33" s="32">
        <f>IF($B33="","",IF($B$2="Todos",SUMIFS(BD!$P$3:$P$5001,BD!$A$3:$A$5001,$B33),SUMIFS(BD!$P$3:$P$5001,BD!$A$3:$A$5001,$B33,BD!$B$3:$B$5001,$D$2)))</f>
        <v>0</v>
      </c>
      <c r="Q33" s="32">
        <f>IF($B33="","",IF($B$2="Todos",SUMIFS(BD!$Q$3:$Q$5001,BD!$A$3:$A$5001,$B33),SUMIFS(BD!$Q$3:$Q$5001,BD!$A$3:$A$5001,$B33,BD!$B$3:$B$5001,$D$2)))</f>
        <v>0</v>
      </c>
      <c r="R33" s="32">
        <f>IF($B33="","",IF($B$2="Todos",SUMIFS(BD!$R$3:$R$5001,BD!$A$3:$A$5001,$B33),SUMIFS(BD!$R$3:$R$5001,BD!$A$3:$A$5001,$B33,BD!$B$3:$B$5001,$D$2)))</f>
        <v>0</v>
      </c>
      <c r="S33" s="32">
        <f>IF($B33="","",IF($B$2="Todos",SUMIFS(BD!$S$3:$S$5001,BD!$A$3:$A$5001,$B33),SUMIFS(BD!$S$3:$S$5001,BD!$A$3:$A$5001,$B33,BD!$B$3:$B$5001,$D$2)))</f>
        <v>0</v>
      </c>
      <c r="T33" s="32">
        <f>IF($B33="","",IF($B$2="Todos",SUMIFS(BD!$T$3:$T$5001,BD!$A$3:$A$5001,$B33),SUMIFS(BD!$T$3:$T$5001,BD!$A$3:$A$5001,$B33,BD!$B$3:$B$5001,$D$2)))</f>
        <v>0</v>
      </c>
      <c r="U33" s="47">
        <f>IF($B33="","",IF($B$2="Todos",SUMIFS(BD!$U$3:$U$5001,BD!$A$3:$A$5001,$B33),SUMIFS(BD!$U$3:$U$5001,BD!$A$3:$A$5001,$B33,BD!$B$3:$B$5001,$D$2)))</f>
        <v>0</v>
      </c>
      <c r="V33" s="32">
        <f>IF($B33="","",IF($B$2="Todos",SUMIFS(BD!$V$3:$V$5001,BD!$A$3:$A$5001,$B33),SUMIFS(BD!$V$3:$V$5001,BD!$A$3:$A$5001,$B33,BD!$B$3:$B$5001,$D$2)))</f>
        <v>0</v>
      </c>
      <c r="W33" s="32">
        <f>IF($B33="","",IF($B$2="Todos",SUMIFS(BD!$W$3:$W$5001,BD!$A$3:$A$5001,$B33),SUMIFS(BD!$W$3:$W$5001,BD!$A$3:$A$5001,$B33,BD!$B$3:$B$5001,$D$2)))</f>
        <v>0</v>
      </c>
      <c r="X33" s="32" t="str">
        <f>IF($B$2="Todos",IF(COUNT($C$162:$V$162)=0,"",SUM($C$162:$V$162)),IFERROR(INDEX($C$162:$V$162,MATCH($D$2,$C$140:$V$140,0)),""))</f>
        <v/>
      </c>
      <c r="Y33" s="48" t="str">
        <f>IF(Z33="","",IF($B$2="Todos",IF($B$4&gt;0,$B$4,IF($B$2="Todos",IF(COUNT($C$232:$V$232)=0,"",SUM($C$232:$V$232)),IFERROR(INDEX($C$232:$V$232,MATCH($D$2,$C$210:$V$210,0)),""))),IFERROR(INDEX($C$232:$V$232,MATCH($D$2,$C$210:$V$210,0)),"")))</f>
        <v/>
      </c>
      <c r="Z33" s="32" t="str">
        <f>IF($B$2="Todos",IF(COUNT($C$197:$V$197)=0,"",SUM($C$197:$V$197)),IFERROR(INDEX($C$197:$V$197,MATCH($D$2,$C$175:$V$175,0)),""))</f>
        <v/>
      </c>
      <c r="AA33" s="49" t="str">
        <f>IF(AND(ISNUMBER(Z33),ISNUMBER(Y33)),IF(Y33&gt;0,Z33/Y33,""),"")</f>
        <v/>
      </c>
      <c r="AB33" s="32" t="str">
        <f>IF($B$2="Todos",IF(COUNT($C$267:$V$267)=0,"",SUM($C$267:$V$267)),IFERROR(INDEX($C$267:$V$267,MATCH($D$2,$C$245:$V$245,0)),""))</f>
        <v/>
      </c>
      <c r="AC33" s="32">
        <f>IF($B33="","",IF($B$2="Todos",SUMIFS(BD!$AB$3:$AB$5001,BD!$A$3:$A$5001,$B33),SUMIFS(BD!$AB$3:$AB$5001,BD!$A$3:$A$5001,$B33,BD!$B$3:$B$5001,$D$2)))</f>
        <v>0</v>
      </c>
      <c r="AD33" s="32">
        <f>IF($B33="","",IF($B$2="Todos",SUMIFS(BD!$AC$3:$AC$5001,BD!$A$3:$A$5001,$B33),SUMIFS(BD!$AC$3:$AC$5001,BD!$A$3:$A$5001,$B33,BD!$B$3:$B$5001,$D$2)))</f>
        <v>0</v>
      </c>
      <c r="AE33" s="32">
        <f>IF($B33="","",IF($B$2="Todos",SUMIFS(BD!$AD$3:$AD$5001,BD!$A$3:$A$5001,$B33),SUMIFS(BD!$AD$3:$AD$5001,BD!$A$3:$A$5001,$B33,BD!$B$3:$B$5001,$D$2)))</f>
        <v>0</v>
      </c>
      <c r="AF33" s="32">
        <f>IF($B33="","",IF($B$2="Todos",SUMIFS(BD!$AE$3:$AE$5001,BD!$A$3:$A$5001,$B33),SUMIFS(BD!$AE$3:$AE$5001,BD!$A$3:$A$5001,$B33,BD!$B$3:$B$5001,$D$2)))</f>
        <v>0</v>
      </c>
      <c r="AG33" s="32">
        <f>IF($B33="","",IF($B$2="Todos",SUMIFS(BD!$AF$3:$AF$5001,BD!$A$3:$A$5001,$B33),SUMIFS(BD!$AF$3:$AF$5001,BD!$A$3:$A$5001,$B33,BD!$B$3:$B$5001,$D$2)))</f>
        <v>0</v>
      </c>
      <c r="AH33" s="32">
        <f>IF($B33="","",IF($B$2="Todos",SUMIFS(BD!$AG$3:$AG$5001,BD!$A$3:$A$5001,$B33),SUMIFS(BD!$AG$3:$AG$5001,BD!$A$3:$A$5001,$B33,BD!$B$3:$B$5001,$D$2)))</f>
        <v>0</v>
      </c>
      <c r="AI33" s="32">
        <f>IF($B33="","",IF($B$2="Todos",SUMIFS(BD!$AH$3:$AH$5001,BD!$A$3:$A$5001,$B33),SUMIFS(BD!$AH$3:$AH$5001,BD!$A$3:$A$5001,$B33,BD!$B$3:$B$5001,$D$2)))</f>
        <v>0</v>
      </c>
      <c r="AJ33" s="50">
        <f>$B$5</f>
        <v>0.7</v>
      </c>
      <c r="AK33" s="50">
        <f>$B$6</f>
        <v>0.9</v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32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>
        <f>IF($B34="","",IF($B$2="Todos",SUMIFS(BD!$K$3:$K$5001,BD!$A$3:$A$5001,$B34),SUMIFS(BD!$K$3:$K$5001,BD!$A$3:$A$5001,$B34,BD!$B$3:$B$5001,$D$2)))</f>
        <v>0</v>
      </c>
      <c r="L34" s="32">
        <f>IF($B34="","",IF($B$2="Todos",SUMIFS(BD!$L$3:$L$5001,BD!$A$3:$A$5001,$B34),SUMIFS(BD!$L$3:$L$5001,BD!$A$3:$A$5001,$B34,BD!$B$3:$B$5001,$D$2)))</f>
        <v>0</v>
      </c>
      <c r="M34" s="32">
        <f>IF($B34="","",IF($B$2="Todos",SUMIFS(BD!$M$3:$M$5001,BD!$A$3:$A$5001,$B34),SUMIFS(BD!$M$3:$M$5001,BD!$A$3:$A$5001,$B34,BD!$B$3:$B$5001,$D$2)))</f>
        <v>0</v>
      </c>
      <c r="N34" s="32">
        <f>IF($B34="","",IF($B$2="Todos",SUMIFS(BD!$N$3:$N$5001,BD!$A$3:$A$5001,$B34),SUMIFS(BD!$N$3:$N$5001,BD!$A$3:$A$5001,$B34,BD!$B$3:$B$5001,$D$2)))</f>
        <v>0</v>
      </c>
      <c r="O34" s="32">
        <f>IF($B34="","",IF($B$2="Todos",SUMIFS(BD!$O$3:$O$5001,BD!$A$3:$A$5001,$B34),SUMIFS(BD!$O$3:$O$5001,BD!$A$3:$A$5001,$B34,BD!$B$3:$B$5001,$D$2)))</f>
        <v>0</v>
      </c>
      <c r="P34" s="32">
        <f>IF($B34="","",IF($B$2="Todos",SUMIFS(BD!$P$3:$P$5001,BD!$A$3:$A$5001,$B34),SUMIFS(BD!$P$3:$P$5001,BD!$A$3:$A$5001,$B34,BD!$B$3:$B$5001,$D$2)))</f>
        <v>0</v>
      </c>
      <c r="Q34" s="32">
        <f>IF($B34="","",IF($B$2="Todos",SUMIFS(BD!$Q$3:$Q$5001,BD!$A$3:$A$5001,$B34),SUMIFS(BD!$Q$3:$Q$5001,BD!$A$3:$A$5001,$B34,BD!$B$3:$B$5001,$D$2)))</f>
        <v>0</v>
      </c>
      <c r="R34" s="32">
        <f>IF($B34="","",IF($B$2="Todos",SUMIFS(BD!$R$3:$R$5001,BD!$A$3:$A$5001,$B34),SUMIFS(BD!$R$3:$R$5001,BD!$A$3:$A$5001,$B34,BD!$B$3:$B$5001,$D$2)))</f>
        <v>0</v>
      </c>
      <c r="S34" s="32">
        <f>IF($B34="","",IF($B$2="Todos",SUMIFS(BD!$S$3:$S$5001,BD!$A$3:$A$5001,$B34),SUMIFS(BD!$S$3:$S$5001,BD!$A$3:$A$5001,$B34,BD!$B$3:$B$5001,$D$2)))</f>
        <v>0</v>
      </c>
      <c r="T34" s="32">
        <f>IF($B34="","",IF($B$2="Todos",SUMIFS(BD!$T$3:$T$5001,BD!$A$3:$A$5001,$B34),SUMIFS(BD!$T$3:$T$5001,BD!$A$3:$A$5001,$B34,BD!$B$3:$B$5001,$D$2)))</f>
        <v>0</v>
      </c>
      <c r="U34" s="47">
        <f>IF($B34="","",IF($B$2="Todos",SUMIFS(BD!$U$3:$U$5001,BD!$A$3:$A$5001,$B34),SUMIFS(BD!$U$3:$U$5001,BD!$A$3:$A$5001,$B34,BD!$B$3:$B$5001,$D$2)))</f>
        <v>0</v>
      </c>
      <c r="V34" s="32">
        <f>IF($B34="","",IF($B$2="Todos",SUMIFS(BD!$V$3:$V$5001,BD!$A$3:$A$5001,$B34),SUMIFS(BD!$V$3:$V$5001,BD!$A$3:$A$5001,$B34,BD!$B$3:$B$5001,$D$2)))</f>
        <v>0</v>
      </c>
      <c r="W34" s="32">
        <f>IF($B34="","",IF($B$2="Todos",SUMIFS(BD!$W$3:$W$5001,BD!$A$3:$A$5001,$B34),SUMIFS(BD!$W$3:$W$5001,BD!$A$3:$A$5001,$B34,BD!$B$3:$B$5001,$D$2)))</f>
        <v>0</v>
      </c>
      <c r="X34" s="32" t="str">
        <f>IF($B$2="Todos",IF(COUNT($C$163:$V$163)=0,"",SUM($C$163:$V$163)),IFERROR(INDEX($C$163:$V$163,MATCH($D$2,$C$140:$V$140,0)),""))</f>
        <v/>
      </c>
      <c r="Y34" s="48" t="str">
        <f>IF(Z34="","",IF($B$2="Todos",IF($B$4&gt;0,$B$4,IF($B$2="Todos",IF(COUNT($C$233:$V$233)=0,"",SUM($C$233:$V$233)),IFERROR(INDEX($C$233:$V$233,MATCH($D$2,$C$210:$V$210,0)),""))),IFERROR(INDEX($C$233:$V$233,MATCH($D$2,$C$210:$V$210,0)),"")))</f>
        <v/>
      </c>
      <c r="Z34" s="32" t="str">
        <f>IF($B$2="Todos",IF(COUNT($C$198:$V$198)=0,"",SUM($C$198:$V$198)),IFERROR(INDEX($C$198:$V$198,MATCH($D$2,$C$175:$V$175,0)),""))</f>
        <v/>
      </c>
      <c r="AA34" s="49" t="str">
        <f>IF(AND(ISNUMBER(Z34),ISNUMBER(Y34)),IF(Y34&gt;0,Z34/Y34,""),"")</f>
        <v/>
      </c>
      <c r="AB34" s="32" t="str">
        <f>IF($B$2="Todos",IF(COUNT($C$268:$V$268)=0,"",SUM($C$268:$V$268)),IFERROR(INDEX($C$268:$V$268,MATCH($D$2,$C$245:$V$245,0)),""))</f>
        <v/>
      </c>
      <c r="AC34" s="32">
        <f>IF($B34="","",IF($B$2="Todos",SUMIFS(BD!$AB$3:$AB$5001,BD!$A$3:$A$5001,$B34),SUMIFS(BD!$AB$3:$AB$5001,BD!$A$3:$A$5001,$B34,BD!$B$3:$B$5001,$D$2)))</f>
        <v>0</v>
      </c>
      <c r="AD34" s="32">
        <f>IF($B34="","",IF($B$2="Todos",SUMIFS(BD!$AC$3:$AC$5001,BD!$A$3:$A$5001,$B34),SUMIFS(BD!$AC$3:$AC$5001,BD!$A$3:$A$5001,$B34,BD!$B$3:$B$5001,$D$2)))</f>
        <v>0</v>
      </c>
      <c r="AE34" s="32">
        <f>IF($B34="","",IF($B$2="Todos",SUMIFS(BD!$AD$3:$AD$5001,BD!$A$3:$A$5001,$B34),SUMIFS(BD!$AD$3:$AD$5001,BD!$A$3:$A$5001,$B34,BD!$B$3:$B$5001,$D$2)))</f>
        <v>0</v>
      </c>
      <c r="AF34" s="32">
        <f>IF($B34="","",IF($B$2="Todos",SUMIFS(BD!$AE$3:$AE$5001,BD!$A$3:$A$5001,$B34),SUMIFS(BD!$AE$3:$AE$5001,BD!$A$3:$A$5001,$B34,BD!$B$3:$B$5001,$D$2)))</f>
        <v>0</v>
      </c>
      <c r="AG34" s="32">
        <f>IF($B34="","",IF($B$2="Todos",SUMIFS(BD!$AF$3:$AF$5001,BD!$A$3:$A$5001,$B34),SUMIFS(BD!$AF$3:$AF$5001,BD!$A$3:$A$5001,$B34,BD!$B$3:$B$5001,$D$2)))</f>
        <v>0</v>
      </c>
      <c r="AH34" s="32">
        <f>IF($B34="","",IF($B$2="Todos",SUMIFS(BD!$AG$3:$AG$5001,BD!$A$3:$A$5001,$B34),SUMIFS(BD!$AG$3:$AG$5001,BD!$A$3:$A$5001,$B34,BD!$B$3:$B$5001,$D$2)))</f>
        <v>0</v>
      </c>
      <c r="AI34" s="32">
        <f>IF($B34="","",IF($B$2="Todos",SUMIFS(BD!$AH$3:$AH$5001,BD!$A$3:$A$5001,$B34),SUMIFS(BD!$AH$3:$AH$5001,BD!$A$3:$A$5001,$B34,BD!$B$3:$B$5001,$D$2)))</f>
        <v>0</v>
      </c>
      <c r="AJ34" s="50">
        <f>$B$5</f>
        <v>0.7</v>
      </c>
      <c r="AK34" s="50">
        <f>$B$6</f>
        <v>0.9</v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32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>
        <f>IF($B35="","",IF($B$2="Todos",SUMIFS(BD!$K$3:$K$5001,BD!$A$3:$A$5001,$B35),SUMIFS(BD!$K$3:$K$5001,BD!$A$3:$A$5001,$B35,BD!$B$3:$B$5001,$D$2)))</f>
        <v>0</v>
      </c>
      <c r="L35" s="32">
        <f>IF($B35="","",IF($B$2="Todos",SUMIFS(BD!$L$3:$L$5001,BD!$A$3:$A$5001,$B35),SUMIFS(BD!$L$3:$L$5001,BD!$A$3:$A$5001,$B35,BD!$B$3:$B$5001,$D$2)))</f>
        <v>0</v>
      </c>
      <c r="M35" s="32">
        <f>IF($B35="","",IF($B$2="Todos",SUMIFS(BD!$M$3:$M$5001,BD!$A$3:$A$5001,$B35),SUMIFS(BD!$M$3:$M$5001,BD!$A$3:$A$5001,$B35,BD!$B$3:$B$5001,$D$2)))</f>
        <v>0</v>
      </c>
      <c r="N35" s="32">
        <f>IF($B35="","",IF($B$2="Todos",SUMIFS(BD!$N$3:$N$5001,BD!$A$3:$A$5001,$B35),SUMIFS(BD!$N$3:$N$5001,BD!$A$3:$A$5001,$B35,BD!$B$3:$B$5001,$D$2)))</f>
        <v>0</v>
      </c>
      <c r="O35" s="32">
        <f>IF($B35="","",IF($B$2="Todos",SUMIFS(BD!$O$3:$O$5001,BD!$A$3:$A$5001,$B35),SUMIFS(BD!$O$3:$O$5001,BD!$A$3:$A$5001,$B35,BD!$B$3:$B$5001,$D$2)))</f>
        <v>0</v>
      </c>
      <c r="P35" s="32">
        <f>IF($B35="","",IF($B$2="Todos",SUMIFS(BD!$P$3:$P$5001,BD!$A$3:$A$5001,$B35),SUMIFS(BD!$P$3:$P$5001,BD!$A$3:$A$5001,$B35,BD!$B$3:$B$5001,$D$2)))</f>
        <v>0</v>
      </c>
      <c r="Q35" s="32">
        <f>IF($B35="","",IF($B$2="Todos",SUMIFS(BD!$Q$3:$Q$5001,BD!$A$3:$A$5001,$B35),SUMIFS(BD!$Q$3:$Q$5001,BD!$A$3:$A$5001,$B35,BD!$B$3:$B$5001,$D$2)))</f>
        <v>0</v>
      </c>
      <c r="R35" s="32">
        <f>IF($B35="","",IF($B$2="Todos",SUMIFS(BD!$R$3:$R$5001,BD!$A$3:$A$5001,$B35),SUMIFS(BD!$R$3:$R$5001,BD!$A$3:$A$5001,$B35,BD!$B$3:$B$5001,$D$2)))</f>
        <v>0</v>
      </c>
      <c r="S35" s="32">
        <f>IF($B35="","",IF($B$2="Todos",SUMIFS(BD!$S$3:$S$5001,BD!$A$3:$A$5001,$B35),SUMIFS(BD!$S$3:$S$5001,BD!$A$3:$A$5001,$B35,BD!$B$3:$B$5001,$D$2)))</f>
        <v>0</v>
      </c>
      <c r="T35" s="32">
        <f>IF($B35="","",IF($B$2="Todos",SUMIFS(BD!$T$3:$T$5001,BD!$A$3:$A$5001,$B35),SUMIFS(BD!$T$3:$T$5001,BD!$A$3:$A$5001,$B35,BD!$B$3:$B$5001,$D$2)))</f>
        <v>0</v>
      </c>
      <c r="U35" s="47">
        <f>IF($B35="","",IF($B$2="Todos",SUMIFS(BD!$U$3:$U$5001,BD!$A$3:$A$5001,$B35),SUMIFS(BD!$U$3:$U$5001,BD!$A$3:$A$5001,$B35,BD!$B$3:$B$5001,$D$2)))</f>
        <v>0</v>
      </c>
      <c r="V35" s="32">
        <f>IF($B35="","",IF($B$2="Todos",SUMIFS(BD!$V$3:$V$5001,BD!$A$3:$A$5001,$B35),SUMIFS(BD!$V$3:$V$5001,BD!$A$3:$A$5001,$B35,BD!$B$3:$B$5001,$D$2)))</f>
        <v>0</v>
      </c>
      <c r="W35" s="32">
        <f>IF($B35="","",IF($B$2="Todos",SUMIFS(BD!$W$3:$W$5001,BD!$A$3:$A$5001,$B35),SUMIFS(BD!$W$3:$W$5001,BD!$A$3:$A$5001,$B35,BD!$B$3:$B$5001,$D$2)))</f>
        <v>0</v>
      </c>
      <c r="X35" s="32" t="str">
        <f>IF($B$2="Todos",IF(COUNT($C$164:$V$164)=0,"",SUM($C$164:$V$164)),IFERROR(INDEX($C$164:$V$164,MATCH($D$2,$C$140:$V$140,0)),""))</f>
        <v/>
      </c>
      <c r="Y35" s="48" t="str">
        <f>IF(Z35="","",IF($B$2="Todos",IF($B$4&gt;0,$B$4,IF($B$2="Todos",IF(COUNT($C$234:$V$234)=0,"",SUM($C$234:$V$234)),IFERROR(INDEX($C$234:$V$234,MATCH($D$2,$C$210:$V$210,0)),""))),IFERROR(INDEX($C$234:$V$234,MATCH($D$2,$C$210:$V$210,0)),"")))</f>
        <v/>
      </c>
      <c r="Z35" s="32" t="str">
        <f>IF($B$2="Todos",IF(COUNT($C$199:$V$199)=0,"",SUM($C$199:$V$199)),IFERROR(INDEX($C$199:$V$199,MATCH($D$2,$C$175:$V$175,0)),""))</f>
        <v/>
      </c>
      <c r="AA35" s="49" t="str">
        <f>IF(AND(ISNUMBER(Z35),ISNUMBER(Y35)),IF(Y35&gt;0,Z35/Y35,""),"")</f>
        <v/>
      </c>
      <c r="AB35" s="32" t="str">
        <f>IF($B$2="Todos",IF(COUNT($C$269:$V$269)=0,"",SUM($C$269:$V$269)),IFERROR(INDEX($C$269:$V$269,MATCH($D$2,$C$245:$V$245,0)),""))</f>
        <v/>
      </c>
      <c r="AC35" s="32">
        <f>IF($B35="","",IF($B$2="Todos",SUMIFS(BD!$AB$3:$AB$5001,BD!$A$3:$A$5001,$B35),SUMIFS(BD!$AB$3:$AB$5001,BD!$A$3:$A$5001,$B35,BD!$B$3:$B$5001,$D$2)))</f>
        <v>0</v>
      </c>
      <c r="AD35" s="32">
        <f>IF($B35="","",IF($B$2="Todos",SUMIFS(BD!$AC$3:$AC$5001,BD!$A$3:$A$5001,$B35),SUMIFS(BD!$AC$3:$AC$5001,BD!$A$3:$A$5001,$B35,BD!$B$3:$B$5001,$D$2)))</f>
        <v>0</v>
      </c>
      <c r="AE35" s="32">
        <f>IF($B35="","",IF($B$2="Todos",SUMIFS(BD!$AD$3:$AD$5001,BD!$A$3:$A$5001,$B35),SUMIFS(BD!$AD$3:$AD$5001,BD!$A$3:$A$5001,$B35,BD!$B$3:$B$5001,$D$2)))</f>
        <v>0</v>
      </c>
      <c r="AF35" s="32">
        <f>IF($B35="","",IF($B$2="Todos",SUMIFS(BD!$AE$3:$AE$5001,BD!$A$3:$A$5001,$B35),SUMIFS(BD!$AE$3:$AE$5001,BD!$A$3:$A$5001,$B35,BD!$B$3:$B$5001,$D$2)))</f>
        <v>0</v>
      </c>
      <c r="AG35" s="32">
        <f>IF($B35="","",IF($B$2="Todos",SUMIFS(BD!$AF$3:$AF$5001,BD!$A$3:$A$5001,$B35),SUMIFS(BD!$AF$3:$AF$5001,BD!$A$3:$A$5001,$B35,BD!$B$3:$B$5001,$D$2)))</f>
        <v>0</v>
      </c>
      <c r="AH35" s="32">
        <f>IF($B35="","",IF($B$2="Todos",SUMIFS(BD!$AG$3:$AG$5001,BD!$A$3:$A$5001,$B35),SUMIFS(BD!$AG$3:$AG$5001,BD!$A$3:$A$5001,$B35,BD!$B$3:$B$5001,$D$2)))</f>
        <v>0</v>
      </c>
      <c r="AI35" s="32">
        <f>IF($B35="","",IF($B$2="Todos",SUMIFS(BD!$AH$3:$AH$5001,BD!$A$3:$A$5001,$B35),SUMIFS(BD!$AH$3:$AH$5001,BD!$A$3:$A$5001,$B35,BD!$B$3:$B$5001,$D$2)))</f>
        <v>0</v>
      </c>
      <c r="AJ35" s="50">
        <f>$B$5</f>
        <v>0.7</v>
      </c>
      <c r="AK35" s="50">
        <f>$B$6</f>
        <v>0.9</v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32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>
        <f>IF($B36="","",IF($B$2="Todos",SUMIFS(BD!$K$3:$K$5001,BD!$A$3:$A$5001,$B36),SUMIFS(BD!$K$3:$K$5001,BD!$A$3:$A$5001,$B36,BD!$B$3:$B$5001,$D$2)))</f>
        <v>0</v>
      </c>
      <c r="L36" s="32">
        <f>IF($B36="","",IF($B$2="Todos",SUMIFS(BD!$L$3:$L$5001,BD!$A$3:$A$5001,$B36),SUMIFS(BD!$L$3:$L$5001,BD!$A$3:$A$5001,$B36,BD!$B$3:$B$5001,$D$2)))</f>
        <v>0</v>
      </c>
      <c r="M36" s="32">
        <f>IF($B36="","",IF($B$2="Todos",SUMIFS(BD!$M$3:$M$5001,BD!$A$3:$A$5001,$B36),SUMIFS(BD!$M$3:$M$5001,BD!$A$3:$A$5001,$B36,BD!$B$3:$B$5001,$D$2)))</f>
        <v>0</v>
      </c>
      <c r="N36" s="32">
        <f>IF($B36="","",IF($B$2="Todos",SUMIFS(BD!$N$3:$N$5001,BD!$A$3:$A$5001,$B36),SUMIFS(BD!$N$3:$N$5001,BD!$A$3:$A$5001,$B36,BD!$B$3:$B$5001,$D$2)))</f>
        <v>0</v>
      </c>
      <c r="O36" s="32">
        <f>IF($B36="","",IF($B$2="Todos",SUMIFS(BD!$O$3:$O$5001,BD!$A$3:$A$5001,$B36),SUMIFS(BD!$O$3:$O$5001,BD!$A$3:$A$5001,$B36,BD!$B$3:$B$5001,$D$2)))</f>
        <v>0</v>
      </c>
      <c r="P36" s="32">
        <f>IF($B36="","",IF($B$2="Todos",SUMIFS(BD!$P$3:$P$5001,BD!$A$3:$A$5001,$B36),SUMIFS(BD!$P$3:$P$5001,BD!$A$3:$A$5001,$B36,BD!$B$3:$B$5001,$D$2)))</f>
        <v>0</v>
      </c>
      <c r="Q36" s="32">
        <f>IF($B36="","",IF($B$2="Todos",SUMIFS(BD!$Q$3:$Q$5001,BD!$A$3:$A$5001,$B36),SUMIFS(BD!$Q$3:$Q$5001,BD!$A$3:$A$5001,$B36,BD!$B$3:$B$5001,$D$2)))</f>
        <v>0</v>
      </c>
      <c r="R36" s="32">
        <f>IF($B36="","",IF($B$2="Todos",SUMIFS(BD!$R$3:$R$5001,BD!$A$3:$A$5001,$B36),SUMIFS(BD!$R$3:$R$5001,BD!$A$3:$A$5001,$B36,BD!$B$3:$B$5001,$D$2)))</f>
        <v>0</v>
      </c>
      <c r="S36" s="32">
        <f>IF($B36="","",IF($B$2="Todos",SUMIFS(BD!$S$3:$S$5001,BD!$A$3:$A$5001,$B36),SUMIFS(BD!$S$3:$S$5001,BD!$A$3:$A$5001,$B36,BD!$B$3:$B$5001,$D$2)))</f>
        <v>0</v>
      </c>
      <c r="T36" s="32">
        <f>IF($B36="","",IF($B$2="Todos",SUMIFS(BD!$T$3:$T$5001,BD!$A$3:$A$5001,$B36),SUMIFS(BD!$T$3:$T$5001,BD!$A$3:$A$5001,$B36,BD!$B$3:$B$5001,$D$2)))</f>
        <v>0</v>
      </c>
      <c r="U36" s="47">
        <f>IF($B36="","",IF($B$2="Todos",SUMIFS(BD!$U$3:$U$5001,BD!$A$3:$A$5001,$B36),SUMIFS(BD!$U$3:$U$5001,BD!$A$3:$A$5001,$B36,BD!$B$3:$B$5001,$D$2)))</f>
        <v>0</v>
      </c>
      <c r="V36" s="32">
        <f>IF($B36="","",IF($B$2="Todos",SUMIFS(BD!$V$3:$V$5001,BD!$A$3:$A$5001,$B36),SUMIFS(BD!$V$3:$V$5001,BD!$A$3:$A$5001,$B36,BD!$B$3:$B$5001,$D$2)))</f>
        <v>0</v>
      </c>
      <c r="W36" s="32">
        <f>IF($B36="","",IF($B$2="Todos",SUMIFS(BD!$W$3:$W$5001,BD!$A$3:$A$5001,$B36),SUMIFS(BD!$W$3:$W$5001,BD!$A$3:$A$5001,$B36,BD!$B$3:$B$5001,$D$2)))</f>
        <v>0</v>
      </c>
      <c r="X36" s="32" t="str">
        <f>IF($B$2="Todos",IF(COUNT($C$165:$V$165)=0,"",SUM($C$165:$V$165)),IFERROR(INDEX($C$165:$V$165,MATCH($D$2,$C$140:$V$140,0)),""))</f>
        <v/>
      </c>
      <c r="Y36" s="48" t="str">
        <f>IF(Z36="","",IF($B$2="Todos",IF($B$4&gt;0,$B$4,IF($B$2="Todos",IF(COUNT($C$235:$V$235)=0,"",SUM($C$235:$V$235)),IFERROR(INDEX($C$235:$V$235,MATCH($D$2,$C$210:$V$210,0)),""))),IFERROR(INDEX($C$235:$V$235,MATCH($D$2,$C$210:$V$210,0)),"")))</f>
        <v/>
      </c>
      <c r="Z36" s="32" t="str">
        <f>IF($B$2="Todos",IF(COUNT($C$200:$V$200)=0,"",SUM($C$200:$V$200)),IFERROR(INDEX($C$200:$V$200,MATCH($D$2,$C$175:$V$175,0)),""))</f>
        <v/>
      </c>
      <c r="AA36" s="49" t="str">
        <f>IF(AND(ISNUMBER(Z36),ISNUMBER(Y36)),IF(Y36&gt;0,Z36/Y36,""),"")</f>
        <v/>
      </c>
      <c r="AB36" s="32" t="str">
        <f>IF($B$2="Todos",IF(COUNT($C$270:$V$270)=0,"",SUM($C$270:$V$270)),IFERROR(INDEX($C$270:$V$270,MATCH($D$2,$C$245:$V$245,0)),""))</f>
        <v/>
      </c>
      <c r="AC36" s="32">
        <f>IF($B36="","",IF($B$2="Todos",SUMIFS(BD!$AB$3:$AB$5001,BD!$A$3:$A$5001,$B36),SUMIFS(BD!$AB$3:$AB$5001,BD!$A$3:$A$5001,$B36,BD!$B$3:$B$5001,$D$2)))</f>
        <v>0</v>
      </c>
      <c r="AD36" s="32">
        <f>IF($B36="","",IF($B$2="Todos",SUMIFS(BD!$AC$3:$AC$5001,BD!$A$3:$A$5001,$B36),SUMIFS(BD!$AC$3:$AC$5001,BD!$A$3:$A$5001,$B36,BD!$B$3:$B$5001,$D$2)))</f>
        <v>0</v>
      </c>
      <c r="AE36" s="32">
        <f>IF($B36="","",IF($B$2="Todos",SUMIFS(BD!$AD$3:$AD$5001,BD!$A$3:$A$5001,$B36),SUMIFS(BD!$AD$3:$AD$5001,BD!$A$3:$A$5001,$B36,BD!$B$3:$B$5001,$D$2)))</f>
        <v>0</v>
      </c>
      <c r="AF36" s="32">
        <f>IF($B36="","",IF($B$2="Todos",SUMIFS(BD!$AE$3:$AE$5001,BD!$A$3:$A$5001,$B36),SUMIFS(BD!$AE$3:$AE$5001,BD!$A$3:$A$5001,$B36,BD!$B$3:$B$5001,$D$2)))</f>
        <v>0</v>
      </c>
      <c r="AG36" s="32">
        <f>IF($B36="","",IF($B$2="Todos",SUMIFS(BD!$AF$3:$AF$5001,BD!$A$3:$A$5001,$B36),SUMIFS(BD!$AF$3:$AF$5001,BD!$A$3:$A$5001,$B36,BD!$B$3:$B$5001,$D$2)))</f>
        <v>0</v>
      </c>
      <c r="AH36" s="32">
        <f>IF($B36="","",IF($B$2="Todos",SUMIFS(BD!$AG$3:$AG$5001,BD!$A$3:$A$5001,$B36),SUMIFS(BD!$AG$3:$AG$5001,BD!$A$3:$A$5001,$B36,BD!$B$3:$B$5001,$D$2)))</f>
        <v>0</v>
      </c>
      <c r="AI36" s="32">
        <f>IF($B36="","",IF($B$2="Todos",SUMIFS(BD!$AH$3:$AH$5001,BD!$A$3:$A$5001,$B36),SUMIFS(BD!$AH$3:$AH$5001,BD!$A$3:$A$5001,$B36,BD!$B$3:$B$5001,$D$2)))</f>
        <v>0</v>
      </c>
      <c r="AJ36" s="50">
        <f>$B$5</f>
        <v>0.7</v>
      </c>
      <c r="AK36" s="50">
        <f>$B$6</f>
        <v>0.9</v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32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>
        <f>IF($B37="","",IF($B$2="Todos",SUMIFS(BD!$K$3:$K$5001,BD!$A$3:$A$5001,$B37),SUMIFS(BD!$K$3:$K$5001,BD!$A$3:$A$5001,$B37,BD!$B$3:$B$5001,$D$2)))</f>
        <v>0</v>
      </c>
      <c r="L37" s="32">
        <f>IF($B37="","",IF($B$2="Todos",SUMIFS(BD!$L$3:$L$5001,BD!$A$3:$A$5001,$B37),SUMIFS(BD!$L$3:$L$5001,BD!$A$3:$A$5001,$B37,BD!$B$3:$B$5001,$D$2)))</f>
        <v>0</v>
      </c>
      <c r="M37" s="32">
        <f>IF($B37="","",IF($B$2="Todos",SUMIFS(BD!$M$3:$M$5001,BD!$A$3:$A$5001,$B37),SUMIFS(BD!$M$3:$M$5001,BD!$A$3:$A$5001,$B37,BD!$B$3:$B$5001,$D$2)))</f>
        <v>0</v>
      </c>
      <c r="N37" s="32">
        <f>IF($B37="","",IF($B$2="Todos",SUMIFS(BD!$N$3:$N$5001,BD!$A$3:$A$5001,$B37),SUMIFS(BD!$N$3:$N$5001,BD!$A$3:$A$5001,$B37,BD!$B$3:$B$5001,$D$2)))</f>
        <v>0</v>
      </c>
      <c r="O37" s="32">
        <f>IF($B37="","",IF($B$2="Todos",SUMIFS(BD!$O$3:$O$5001,BD!$A$3:$A$5001,$B37),SUMIFS(BD!$O$3:$O$5001,BD!$A$3:$A$5001,$B37,BD!$B$3:$B$5001,$D$2)))</f>
        <v>0</v>
      </c>
      <c r="P37" s="32">
        <f>IF($B37="","",IF($B$2="Todos",SUMIFS(BD!$P$3:$P$5001,BD!$A$3:$A$5001,$B37),SUMIFS(BD!$P$3:$P$5001,BD!$A$3:$A$5001,$B37,BD!$B$3:$B$5001,$D$2)))</f>
        <v>0</v>
      </c>
      <c r="Q37" s="32">
        <f>IF($B37="","",IF($B$2="Todos",SUMIFS(BD!$Q$3:$Q$5001,BD!$A$3:$A$5001,$B37),SUMIFS(BD!$Q$3:$Q$5001,BD!$A$3:$A$5001,$B37,BD!$B$3:$B$5001,$D$2)))</f>
        <v>0</v>
      </c>
      <c r="R37" s="32">
        <f>IF($B37="","",IF($B$2="Todos",SUMIFS(BD!$R$3:$R$5001,BD!$A$3:$A$5001,$B37),SUMIFS(BD!$R$3:$R$5001,BD!$A$3:$A$5001,$B37,BD!$B$3:$B$5001,$D$2)))</f>
        <v>0</v>
      </c>
      <c r="S37" s="32">
        <f>IF($B37="","",IF($B$2="Todos",SUMIFS(BD!$S$3:$S$5001,BD!$A$3:$A$5001,$B37),SUMIFS(BD!$S$3:$S$5001,BD!$A$3:$A$5001,$B37,BD!$B$3:$B$5001,$D$2)))</f>
        <v>0</v>
      </c>
      <c r="T37" s="32">
        <f>IF($B37="","",IF($B$2="Todos",SUMIFS(BD!$T$3:$T$5001,BD!$A$3:$A$5001,$B37),SUMIFS(BD!$T$3:$T$5001,BD!$A$3:$A$5001,$B37,BD!$B$3:$B$5001,$D$2)))</f>
        <v>0</v>
      </c>
      <c r="U37" s="47">
        <f>IF($B37="","",IF($B$2="Todos",SUMIFS(BD!$U$3:$U$5001,BD!$A$3:$A$5001,$B37),SUMIFS(BD!$U$3:$U$5001,BD!$A$3:$A$5001,$B37,BD!$B$3:$B$5001,$D$2)))</f>
        <v>0</v>
      </c>
      <c r="V37" s="32">
        <f>IF($B37="","",IF($B$2="Todos",SUMIFS(BD!$V$3:$V$5001,BD!$A$3:$A$5001,$B37),SUMIFS(BD!$V$3:$V$5001,BD!$A$3:$A$5001,$B37,BD!$B$3:$B$5001,$D$2)))</f>
        <v>0</v>
      </c>
      <c r="W37" s="32">
        <f>IF($B37="","",IF($B$2="Todos",SUMIFS(BD!$W$3:$W$5001,BD!$A$3:$A$5001,$B37),SUMIFS(BD!$W$3:$W$5001,BD!$A$3:$A$5001,$B37,BD!$B$3:$B$5001,$D$2)))</f>
        <v>0</v>
      </c>
      <c r="X37" s="32" t="str">
        <f>IF($B$2="Todos",IF(COUNT($C$166:$V$166)=0,"",SUM($C$166:$V$166)),IFERROR(INDEX($C$166:$V$166,MATCH($D$2,$C$140:$V$140,0)),""))</f>
        <v/>
      </c>
      <c r="Y37" s="48" t="str">
        <f>IF(Z37="","",IF($B$2="Todos",IF($B$4&gt;0,$B$4,IF($B$2="Todos",IF(COUNT($C$236:$V$236)=0,"",SUM($C$236:$V$236)),IFERROR(INDEX($C$236:$V$236,MATCH($D$2,$C$210:$V$210,0)),""))),IFERROR(INDEX($C$236:$V$236,MATCH($D$2,$C$210:$V$210,0)),"")))</f>
        <v/>
      </c>
      <c r="Z37" s="32" t="str">
        <f>IF($B$2="Todos",IF(COUNT($C$201:$V$201)=0,"",SUM($C$201:$V$201)),IFERROR(INDEX($C$201:$V$201,MATCH($D$2,$C$175:$V$175,0)),""))</f>
        <v/>
      </c>
      <c r="AA37" s="49" t="str">
        <f>IF(AND(ISNUMBER(Z37),ISNUMBER(Y37)),IF(Y37&gt;0,Z37/Y37,""),"")</f>
        <v/>
      </c>
      <c r="AB37" s="32" t="str">
        <f>IF($B$2="Todos",IF(COUNT($C$271:$V$271)=0,"",SUM($C$271:$V$271)),IFERROR(INDEX($C$271:$V$271,MATCH($D$2,$C$245:$V$245,0)),""))</f>
        <v/>
      </c>
      <c r="AC37" s="32">
        <f>IF($B37="","",IF($B$2="Todos",SUMIFS(BD!$AB$3:$AB$5001,BD!$A$3:$A$5001,$B37),SUMIFS(BD!$AB$3:$AB$5001,BD!$A$3:$A$5001,$B37,BD!$B$3:$B$5001,$D$2)))</f>
        <v>0</v>
      </c>
      <c r="AD37" s="32">
        <f>IF($B37="","",IF($B$2="Todos",SUMIFS(BD!$AC$3:$AC$5001,BD!$A$3:$A$5001,$B37),SUMIFS(BD!$AC$3:$AC$5001,BD!$A$3:$A$5001,$B37,BD!$B$3:$B$5001,$D$2)))</f>
        <v>0</v>
      </c>
      <c r="AE37" s="32">
        <f>IF($B37="","",IF($B$2="Todos",SUMIFS(BD!$AD$3:$AD$5001,BD!$A$3:$A$5001,$B37),SUMIFS(BD!$AD$3:$AD$5001,BD!$A$3:$A$5001,$B37,BD!$B$3:$B$5001,$D$2)))</f>
        <v>0</v>
      </c>
      <c r="AF37" s="32">
        <f>IF($B37="","",IF($B$2="Todos",SUMIFS(BD!$AE$3:$AE$5001,BD!$A$3:$A$5001,$B37),SUMIFS(BD!$AE$3:$AE$5001,BD!$A$3:$A$5001,$B37,BD!$B$3:$B$5001,$D$2)))</f>
        <v>0</v>
      </c>
      <c r="AG37" s="32">
        <f>IF($B37="","",IF($B$2="Todos",SUMIFS(BD!$AF$3:$AF$5001,BD!$A$3:$A$5001,$B37),SUMIFS(BD!$AF$3:$AF$5001,BD!$A$3:$A$5001,$B37,BD!$B$3:$B$5001,$D$2)))</f>
        <v>0</v>
      </c>
      <c r="AH37" s="32">
        <f>IF($B37="","",IF($B$2="Todos",SUMIFS(BD!$AG$3:$AG$5001,BD!$A$3:$A$5001,$B37),SUMIFS(BD!$AG$3:$AG$5001,BD!$A$3:$A$5001,$B37,BD!$B$3:$B$5001,$D$2)))</f>
        <v>0</v>
      </c>
      <c r="AI37" s="32">
        <f>IF($B37="","",IF($B$2="Todos",SUMIFS(BD!$AH$3:$AH$5001,BD!$A$3:$A$5001,$B37),SUMIFS(BD!$AH$3:$AH$5001,BD!$A$3:$A$5001,$B37,BD!$B$3:$B$5001,$D$2)))</f>
        <v>0</v>
      </c>
      <c r="AJ37" s="50">
        <f>$B$5</f>
        <v>0.7</v>
      </c>
      <c r="AK37" s="50">
        <f>$B$6</f>
        <v>0.9</v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32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>
        <f>IF($B38="","",IF($B$2="Todos",SUMIFS(BD!$K$3:$K$5001,BD!$A$3:$A$5001,$B38),SUMIFS(BD!$K$3:$K$5001,BD!$A$3:$A$5001,$B38,BD!$B$3:$B$5001,$D$2)))</f>
        <v>0</v>
      </c>
      <c r="L38" s="32">
        <f>IF($B38="","",IF($B$2="Todos",SUMIFS(BD!$L$3:$L$5001,BD!$A$3:$A$5001,$B38),SUMIFS(BD!$L$3:$L$5001,BD!$A$3:$A$5001,$B38,BD!$B$3:$B$5001,$D$2)))</f>
        <v>0</v>
      </c>
      <c r="M38" s="32">
        <f>IF($B38="","",IF($B$2="Todos",SUMIFS(BD!$M$3:$M$5001,BD!$A$3:$A$5001,$B38),SUMIFS(BD!$M$3:$M$5001,BD!$A$3:$A$5001,$B38,BD!$B$3:$B$5001,$D$2)))</f>
        <v>0</v>
      </c>
      <c r="N38" s="32">
        <f>IF($B38="","",IF($B$2="Todos",SUMIFS(BD!$N$3:$N$5001,BD!$A$3:$A$5001,$B38),SUMIFS(BD!$N$3:$N$5001,BD!$A$3:$A$5001,$B38,BD!$B$3:$B$5001,$D$2)))</f>
        <v>0</v>
      </c>
      <c r="O38" s="32">
        <f>IF($B38="","",IF($B$2="Todos",SUMIFS(BD!$O$3:$O$5001,BD!$A$3:$A$5001,$B38),SUMIFS(BD!$O$3:$O$5001,BD!$A$3:$A$5001,$B38,BD!$B$3:$B$5001,$D$2)))</f>
        <v>0</v>
      </c>
      <c r="P38" s="32">
        <f>IF($B38="","",IF($B$2="Todos",SUMIFS(BD!$P$3:$P$5001,BD!$A$3:$A$5001,$B38),SUMIFS(BD!$P$3:$P$5001,BD!$A$3:$A$5001,$B38,BD!$B$3:$B$5001,$D$2)))</f>
        <v>0</v>
      </c>
      <c r="Q38" s="32">
        <f>IF($B38="","",IF($B$2="Todos",SUMIFS(BD!$Q$3:$Q$5001,BD!$A$3:$A$5001,$B38),SUMIFS(BD!$Q$3:$Q$5001,BD!$A$3:$A$5001,$B38,BD!$B$3:$B$5001,$D$2)))</f>
        <v>0</v>
      </c>
      <c r="R38" s="32">
        <f>IF($B38="","",IF($B$2="Todos",SUMIFS(BD!$R$3:$R$5001,BD!$A$3:$A$5001,$B38),SUMIFS(BD!$R$3:$R$5001,BD!$A$3:$A$5001,$B38,BD!$B$3:$B$5001,$D$2)))</f>
        <v>0</v>
      </c>
      <c r="S38" s="32">
        <f>IF($B38="","",IF($B$2="Todos",SUMIFS(BD!$S$3:$S$5001,BD!$A$3:$A$5001,$B38),SUMIFS(BD!$S$3:$S$5001,BD!$A$3:$A$5001,$B38,BD!$B$3:$B$5001,$D$2)))</f>
        <v>0</v>
      </c>
      <c r="T38" s="32">
        <f>IF($B38="","",IF($B$2="Todos",SUMIFS(BD!$T$3:$T$5001,BD!$A$3:$A$5001,$B38),SUMIFS(BD!$T$3:$T$5001,BD!$A$3:$A$5001,$B38,BD!$B$3:$B$5001,$D$2)))</f>
        <v>0</v>
      </c>
      <c r="U38" s="47">
        <f>IF($B38="","",IF($B$2="Todos",SUMIFS(BD!$U$3:$U$5001,BD!$A$3:$A$5001,$B38),SUMIFS(BD!$U$3:$U$5001,BD!$A$3:$A$5001,$B38,BD!$B$3:$B$5001,$D$2)))</f>
        <v>0</v>
      </c>
      <c r="V38" s="32">
        <f>IF($B38="","",IF($B$2="Todos",SUMIFS(BD!$V$3:$V$5001,BD!$A$3:$A$5001,$B38),SUMIFS(BD!$V$3:$V$5001,BD!$A$3:$A$5001,$B38,BD!$B$3:$B$5001,$D$2)))</f>
        <v>0</v>
      </c>
      <c r="W38" s="32">
        <f>IF($B38="","",IF($B$2="Todos",SUMIFS(BD!$W$3:$W$5001,BD!$A$3:$A$5001,$B38),SUMIFS(BD!$W$3:$W$5001,BD!$A$3:$A$5001,$B38,BD!$B$3:$B$5001,$D$2)))</f>
        <v>0</v>
      </c>
      <c r="X38" s="32" t="str">
        <f>IF($B$2="Todos",IF(COUNT($C$167:$V$167)=0,"",SUM($C$167:$V$167)),IFERROR(INDEX($C$167:$V$167,MATCH($D$2,$C$140:$V$140,0)),""))</f>
        <v/>
      </c>
      <c r="Y38" s="48" t="str">
        <f>IF(Z38="","",IF($B$2="Todos",IF($B$4&gt;0,$B$4,IF($B$2="Todos",IF(COUNT($C$237:$V$237)=0,"",SUM($C$237:$V$237)),IFERROR(INDEX($C$237:$V$237,MATCH($D$2,$C$210:$V$210,0)),""))),IFERROR(INDEX($C$237:$V$237,MATCH($D$2,$C$210:$V$210,0)),"")))</f>
        <v/>
      </c>
      <c r="Z38" s="32" t="str">
        <f>IF($B$2="Todos",IF(COUNT($C$202:$V$202)=0,"",SUM($C$202:$V$202)),IFERROR(INDEX($C$202:$V$202,MATCH($D$2,$C$175:$V$175,0)),""))</f>
        <v/>
      </c>
      <c r="AA38" s="49" t="str">
        <f>IF(AND(ISNUMBER(Z38),ISNUMBER(Y38)),IF(Y38&gt;0,Z38/Y38,""),"")</f>
        <v/>
      </c>
      <c r="AB38" s="32" t="str">
        <f>IF($B$2="Todos",IF(COUNT($C$272:$V$272)=0,"",SUM($C$272:$V$272)),IFERROR(INDEX($C$272:$V$272,MATCH($D$2,$C$245:$V$245,0)),""))</f>
        <v/>
      </c>
      <c r="AC38" s="32">
        <f>IF($B38="","",IF($B$2="Todos",SUMIFS(BD!$AB$3:$AB$5001,BD!$A$3:$A$5001,$B38),SUMIFS(BD!$AB$3:$AB$5001,BD!$A$3:$A$5001,$B38,BD!$B$3:$B$5001,$D$2)))</f>
        <v>0</v>
      </c>
      <c r="AD38" s="32">
        <f>IF($B38="","",IF($B$2="Todos",SUMIFS(BD!$AC$3:$AC$5001,BD!$A$3:$A$5001,$B38),SUMIFS(BD!$AC$3:$AC$5001,BD!$A$3:$A$5001,$B38,BD!$B$3:$B$5001,$D$2)))</f>
        <v>0</v>
      </c>
      <c r="AE38" s="32">
        <f>IF($B38="","",IF($B$2="Todos",SUMIFS(BD!$AD$3:$AD$5001,BD!$A$3:$A$5001,$B38),SUMIFS(BD!$AD$3:$AD$5001,BD!$A$3:$A$5001,$B38,BD!$B$3:$B$5001,$D$2)))</f>
        <v>0</v>
      </c>
      <c r="AF38" s="32">
        <f>IF($B38="","",IF($B$2="Todos",SUMIFS(BD!$AE$3:$AE$5001,BD!$A$3:$A$5001,$B38),SUMIFS(BD!$AE$3:$AE$5001,BD!$A$3:$A$5001,$B38,BD!$B$3:$B$5001,$D$2)))</f>
        <v>0</v>
      </c>
      <c r="AG38" s="32">
        <f>IF($B38="","",IF($B$2="Todos",SUMIFS(BD!$AF$3:$AF$5001,BD!$A$3:$A$5001,$B38),SUMIFS(BD!$AF$3:$AF$5001,BD!$A$3:$A$5001,$B38,BD!$B$3:$B$5001,$D$2)))</f>
        <v>0</v>
      </c>
      <c r="AH38" s="32">
        <f>IF($B38="","",IF($B$2="Todos",SUMIFS(BD!$AG$3:$AG$5001,BD!$A$3:$A$5001,$B38),SUMIFS(BD!$AG$3:$AG$5001,BD!$A$3:$A$5001,$B38,BD!$B$3:$B$5001,$D$2)))</f>
        <v>0</v>
      </c>
      <c r="AI38" s="32">
        <f>IF($B38="","",IF($B$2="Todos",SUMIFS(BD!$AH$3:$AH$5001,BD!$A$3:$A$5001,$B38),SUMIFS(BD!$AH$3:$AH$5001,BD!$A$3:$A$5001,$B38,BD!$B$3:$B$5001,$D$2)))</f>
        <v>0</v>
      </c>
      <c r="AJ38" s="50">
        <f>$B$5</f>
        <v>0.7</v>
      </c>
      <c r="AK38" s="50">
        <f>$B$6</f>
        <v>0.9</v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32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>
        <f>IF($B39="","",IF($B$2="Todos",SUMIFS(BD!$K$3:$K$5001,BD!$A$3:$A$5001,$B39),SUMIFS(BD!$K$3:$K$5001,BD!$A$3:$A$5001,$B39,BD!$B$3:$B$5001,$D$2)))</f>
        <v>0</v>
      </c>
      <c r="L39" s="32">
        <f>IF($B39="","",IF($B$2="Todos",SUMIFS(BD!$L$3:$L$5001,BD!$A$3:$A$5001,$B39),SUMIFS(BD!$L$3:$L$5001,BD!$A$3:$A$5001,$B39,BD!$B$3:$B$5001,$D$2)))</f>
        <v>0</v>
      </c>
      <c r="M39" s="32">
        <f>IF($B39="","",IF($B$2="Todos",SUMIFS(BD!$M$3:$M$5001,BD!$A$3:$A$5001,$B39),SUMIFS(BD!$M$3:$M$5001,BD!$A$3:$A$5001,$B39,BD!$B$3:$B$5001,$D$2)))</f>
        <v>0</v>
      </c>
      <c r="N39" s="32">
        <f>IF($B39="","",IF($B$2="Todos",SUMIFS(BD!$N$3:$N$5001,BD!$A$3:$A$5001,$B39),SUMIFS(BD!$N$3:$N$5001,BD!$A$3:$A$5001,$B39,BD!$B$3:$B$5001,$D$2)))</f>
        <v>0</v>
      </c>
      <c r="O39" s="32">
        <f>IF($B39="","",IF($B$2="Todos",SUMIFS(BD!$O$3:$O$5001,BD!$A$3:$A$5001,$B39),SUMIFS(BD!$O$3:$O$5001,BD!$A$3:$A$5001,$B39,BD!$B$3:$B$5001,$D$2)))</f>
        <v>0</v>
      </c>
      <c r="P39" s="32">
        <f>IF($B39="","",IF($B$2="Todos",SUMIFS(BD!$P$3:$P$5001,BD!$A$3:$A$5001,$B39),SUMIFS(BD!$P$3:$P$5001,BD!$A$3:$A$5001,$B39,BD!$B$3:$B$5001,$D$2)))</f>
        <v>0</v>
      </c>
      <c r="Q39" s="32">
        <f>IF($B39="","",IF($B$2="Todos",SUMIFS(BD!$Q$3:$Q$5001,BD!$A$3:$A$5001,$B39),SUMIFS(BD!$Q$3:$Q$5001,BD!$A$3:$A$5001,$B39,BD!$B$3:$B$5001,$D$2)))</f>
        <v>0</v>
      </c>
      <c r="R39" s="32">
        <f>IF($B39="","",IF($B$2="Todos",SUMIFS(BD!$R$3:$R$5001,BD!$A$3:$A$5001,$B39),SUMIFS(BD!$R$3:$R$5001,BD!$A$3:$A$5001,$B39,BD!$B$3:$B$5001,$D$2)))</f>
        <v>0</v>
      </c>
      <c r="S39" s="32">
        <f>IF($B39="","",IF($B$2="Todos",SUMIFS(BD!$S$3:$S$5001,BD!$A$3:$A$5001,$B39),SUMIFS(BD!$S$3:$S$5001,BD!$A$3:$A$5001,$B39,BD!$B$3:$B$5001,$D$2)))</f>
        <v>0</v>
      </c>
      <c r="T39" s="32">
        <f>IF($B39="","",IF($B$2="Todos",SUMIFS(BD!$T$3:$T$5001,BD!$A$3:$A$5001,$B39),SUMIFS(BD!$T$3:$T$5001,BD!$A$3:$A$5001,$B39,BD!$B$3:$B$5001,$D$2)))</f>
        <v>0</v>
      </c>
      <c r="U39" s="47">
        <f>IF($B39="","",IF($B$2="Todos",SUMIFS(BD!$U$3:$U$5001,BD!$A$3:$A$5001,$B39),SUMIFS(BD!$U$3:$U$5001,BD!$A$3:$A$5001,$B39,BD!$B$3:$B$5001,$D$2)))</f>
        <v>0</v>
      </c>
      <c r="V39" s="32">
        <f>IF($B39="","",IF($B$2="Todos",SUMIFS(BD!$V$3:$V$5001,BD!$A$3:$A$5001,$B39),SUMIFS(BD!$V$3:$V$5001,BD!$A$3:$A$5001,$B39,BD!$B$3:$B$5001,$D$2)))</f>
        <v>0</v>
      </c>
      <c r="W39" s="32">
        <f>IF($B39="","",IF($B$2="Todos",SUMIFS(BD!$W$3:$W$5001,BD!$A$3:$A$5001,$B39),SUMIFS(BD!$W$3:$W$5001,BD!$A$3:$A$5001,$B39,BD!$B$3:$B$5001,$D$2)))</f>
        <v>0</v>
      </c>
      <c r="X39" s="32" t="str">
        <f>IF($B$2="Todos",IF(COUNT($C$168:$V$168)=0,"",SUM($C$168:$V$168)),IFERROR(INDEX($C$168:$V$168,MATCH($D$2,$C$140:$V$140,0)),""))</f>
        <v/>
      </c>
      <c r="Y39" s="48" t="str">
        <f>IF(Z39="","",IF($B$2="Todos",IF($B$4&gt;0,$B$4,IF($B$2="Todos",IF(COUNT($C$238:$V$238)=0,"",SUM($C$238:$V$238)),IFERROR(INDEX($C$238:$V$238,MATCH($D$2,$C$210:$V$210,0)),""))),IFERROR(INDEX($C$238:$V$238,MATCH($D$2,$C$210:$V$210,0)),"")))</f>
        <v/>
      </c>
      <c r="Z39" s="32" t="str">
        <f>IF($B$2="Todos",IF(COUNT($C$203:$V$203)=0,"",SUM($C$203:$V$203)),IFERROR(INDEX($C$203:$V$203,MATCH($D$2,$C$175:$V$175,0)),""))</f>
        <v/>
      </c>
      <c r="AA39" s="49" t="str">
        <f>IF(AND(ISNUMBER(Z39),ISNUMBER(Y39)),IF(Y39&gt;0,Z39/Y39,""),"")</f>
        <v/>
      </c>
      <c r="AB39" s="32" t="str">
        <f>IF($B$2="Todos",IF(COUNT($C$273:$V$273)=0,"",SUM($C$273:$V$273)),IFERROR(INDEX($C$273:$V$273,MATCH($D$2,$C$245:$V$245,0)),""))</f>
        <v/>
      </c>
      <c r="AC39" s="32">
        <f>IF($B39="","",IF($B$2="Todos",SUMIFS(BD!$AB$3:$AB$5001,BD!$A$3:$A$5001,$B39),SUMIFS(BD!$AB$3:$AB$5001,BD!$A$3:$A$5001,$B39,BD!$B$3:$B$5001,$D$2)))</f>
        <v>0</v>
      </c>
      <c r="AD39" s="32">
        <f>IF($B39="","",IF($B$2="Todos",SUMIFS(BD!$AC$3:$AC$5001,BD!$A$3:$A$5001,$B39),SUMIFS(BD!$AC$3:$AC$5001,BD!$A$3:$A$5001,$B39,BD!$B$3:$B$5001,$D$2)))</f>
        <v>0</v>
      </c>
      <c r="AE39" s="32">
        <f>IF($B39="","",IF($B$2="Todos",SUMIFS(BD!$AD$3:$AD$5001,BD!$A$3:$A$5001,$B39),SUMIFS(BD!$AD$3:$AD$5001,BD!$A$3:$A$5001,$B39,BD!$B$3:$B$5001,$D$2)))</f>
        <v>0</v>
      </c>
      <c r="AF39" s="32">
        <f>IF($B39="","",IF($B$2="Todos",SUMIFS(BD!$AE$3:$AE$5001,BD!$A$3:$A$5001,$B39),SUMIFS(BD!$AE$3:$AE$5001,BD!$A$3:$A$5001,$B39,BD!$B$3:$B$5001,$D$2)))</f>
        <v>0</v>
      </c>
      <c r="AG39" s="32">
        <f>IF($B39="","",IF($B$2="Todos",SUMIFS(BD!$AF$3:$AF$5001,BD!$A$3:$A$5001,$B39),SUMIFS(BD!$AF$3:$AF$5001,BD!$A$3:$A$5001,$B39,BD!$B$3:$B$5001,$D$2)))</f>
        <v>0</v>
      </c>
      <c r="AH39" s="32">
        <f>IF($B39="","",IF($B$2="Todos",SUMIFS(BD!$AG$3:$AG$5001,BD!$A$3:$A$5001,$B39),SUMIFS(BD!$AG$3:$AG$5001,BD!$A$3:$A$5001,$B39,BD!$B$3:$B$5001,$D$2)))</f>
        <v>0</v>
      </c>
      <c r="AI39" s="32">
        <f>IF($B39="","",IF($B$2="Todos",SUMIFS(BD!$AH$3:$AH$5001,BD!$A$3:$A$5001,$B39),SUMIFS(BD!$AH$3:$AH$5001,BD!$A$3:$A$5001,$B39,BD!$B$3:$B$5001,$D$2)))</f>
        <v>0</v>
      </c>
      <c r="AJ39" s="50">
        <f>$B$5</f>
        <v>0.7</v>
      </c>
      <c r="AK39" s="50">
        <f>$B$6</f>
        <v>0.9</v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32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>
        <f>IF($B40="","",IF($B$2="Todos",SUMIFS(BD!$K$3:$K$5001,BD!$A$3:$A$5001,$B40),SUMIFS(BD!$K$3:$K$5001,BD!$A$3:$A$5001,$B40,BD!$B$3:$B$5001,$D$2)))</f>
        <v>0</v>
      </c>
      <c r="L40" s="32">
        <f>IF($B40="","",IF($B$2="Todos",SUMIFS(BD!$L$3:$L$5001,BD!$A$3:$A$5001,$B40),SUMIFS(BD!$L$3:$L$5001,BD!$A$3:$A$5001,$B40,BD!$B$3:$B$5001,$D$2)))</f>
        <v>0</v>
      </c>
      <c r="M40" s="32">
        <f>IF($B40="","",IF($B$2="Todos",SUMIFS(BD!$M$3:$M$5001,BD!$A$3:$A$5001,$B40),SUMIFS(BD!$M$3:$M$5001,BD!$A$3:$A$5001,$B40,BD!$B$3:$B$5001,$D$2)))</f>
        <v>0</v>
      </c>
      <c r="N40" s="32">
        <f>IF($B40="","",IF($B$2="Todos",SUMIFS(BD!$N$3:$N$5001,BD!$A$3:$A$5001,$B40),SUMIFS(BD!$N$3:$N$5001,BD!$A$3:$A$5001,$B40,BD!$B$3:$B$5001,$D$2)))</f>
        <v>0</v>
      </c>
      <c r="O40" s="32">
        <f>IF($B40="","",IF($B$2="Todos",SUMIFS(BD!$O$3:$O$5001,BD!$A$3:$A$5001,$B40),SUMIFS(BD!$O$3:$O$5001,BD!$A$3:$A$5001,$B40,BD!$B$3:$B$5001,$D$2)))</f>
        <v>0</v>
      </c>
      <c r="P40" s="32">
        <f>IF($B40="","",IF($B$2="Todos",SUMIFS(BD!$P$3:$P$5001,BD!$A$3:$A$5001,$B40),SUMIFS(BD!$P$3:$P$5001,BD!$A$3:$A$5001,$B40,BD!$B$3:$B$5001,$D$2)))</f>
        <v>0</v>
      </c>
      <c r="Q40" s="32">
        <f>IF($B40="","",IF($B$2="Todos",SUMIFS(BD!$Q$3:$Q$5001,BD!$A$3:$A$5001,$B40),SUMIFS(BD!$Q$3:$Q$5001,BD!$A$3:$A$5001,$B40,BD!$B$3:$B$5001,$D$2)))</f>
        <v>0</v>
      </c>
      <c r="R40" s="32">
        <f>IF($B40="","",IF($B$2="Todos",SUMIFS(BD!$R$3:$R$5001,BD!$A$3:$A$5001,$B40),SUMIFS(BD!$R$3:$R$5001,BD!$A$3:$A$5001,$B40,BD!$B$3:$B$5001,$D$2)))</f>
        <v>0</v>
      </c>
      <c r="S40" s="32">
        <f>IF($B40="","",IF($B$2="Todos",SUMIFS(BD!$S$3:$S$5001,BD!$A$3:$A$5001,$B40),SUMIFS(BD!$S$3:$S$5001,BD!$A$3:$A$5001,$B40,BD!$B$3:$B$5001,$D$2)))</f>
        <v>0</v>
      </c>
      <c r="T40" s="32">
        <f>IF($B40="","",IF($B$2="Todos",SUMIFS(BD!$T$3:$T$5001,BD!$A$3:$A$5001,$B40),SUMIFS(BD!$T$3:$T$5001,BD!$A$3:$A$5001,$B40,BD!$B$3:$B$5001,$D$2)))</f>
        <v>0</v>
      </c>
      <c r="U40" s="47">
        <f>IF($B40="","",IF($B$2="Todos",SUMIFS(BD!$U$3:$U$5001,BD!$A$3:$A$5001,$B40),SUMIFS(BD!$U$3:$U$5001,BD!$A$3:$A$5001,$B40,BD!$B$3:$B$5001,$D$2)))</f>
        <v>0</v>
      </c>
      <c r="V40" s="32">
        <f>IF($B40="","",IF($B$2="Todos",SUMIFS(BD!$V$3:$V$5001,BD!$A$3:$A$5001,$B40),SUMIFS(BD!$V$3:$V$5001,BD!$A$3:$A$5001,$B40,BD!$B$3:$B$5001,$D$2)))</f>
        <v>0</v>
      </c>
      <c r="W40" s="32">
        <f>IF($B40="","",IF($B$2="Todos",SUMIFS(BD!$W$3:$W$5001,BD!$A$3:$A$5001,$B40),SUMIFS(BD!$W$3:$W$5001,BD!$A$3:$A$5001,$B40,BD!$B$3:$B$5001,$D$2)))</f>
        <v>0</v>
      </c>
      <c r="X40" s="32" t="str">
        <f>IF($B$2="Todos",IF(COUNT($C$169:$V$169)=0,"",SUM($C$169:$V$169)),IFERROR(INDEX($C$169:$V$169,MATCH($D$2,$C$140:$V$140,0)),""))</f>
        <v/>
      </c>
      <c r="Y40" s="48" t="str">
        <f>IF(Z40="","",IF($B$2="Todos",IF($B$4&gt;0,$B$4,IF($B$2="Todos",IF(COUNT($C$239:$V$239)=0,"",SUM($C$239:$V$239)),IFERROR(INDEX($C$239:$V$239,MATCH($D$2,$C$210:$V$210,0)),""))),IFERROR(INDEX($C$239:$V$239,MATCH($D$2,$C$210:$V$210,0)),"")))</f>
        <v/>
      </c>
      <c r="Z40" s="32" t="str">
        <f>IF($B$2="Todos",IF(COUNT($C$204:$V$204)=0,"",SUM($C$204:$V$204)),IFERROR(INDEX($C$204:$V$204,MATCH($D$2,$C$175:$V$175,0)),""))</f>
        <v/>
      </c>
      <c r="AA40" s="49" t="str">
        <f>IF(AND(ISNUMBER(Z40),ISNUMBER(Y40)),IF(Y40&gt;0,Z40/Y40,""),"")</f>
        <v/>
      </c>
      <c r="AB40" s="32" t="str">
        <f>IF($B$2="Todos",IF(COUNT($C$274:$V$274)=0,"",SUM($C$274:$V$274)),IFERROR(INDEX($C$274:$V$274,MATCH($D$2,$C$245:$V$245,0)),""))</f>
        <v/>
      </c>
      <c r="AC40" s="32">
        <f>IF($B40="","",IF($B$2="Todos",SUMIFS(BD!$AB$3:$AB$5001,BD!$A$3:$A$5001,$B40),SUMIFS(BD!$AB$3:$AB$5001,BD!$A$3:$A$5001,$B40,BD!$B$3:$B$5001,$D$2)))</f>
        <v>0</v>
      </c>
      <c r="AD40" s="32">
        <f>IF($B40="","",IF($B$2="Todos",SUMIFS(BD!$AC$3:$AC$5001,BD!$A$3:$A$5001,$B40),SUMIFS(BD!$AC$3:$AC$5001,BD!$A$3:$A$5001,$B40,BD!$B$3:$B$5001,$D$2)))</f>
        <v>0</v>
      </c>
      <c r="AE40" s="32">
        <f>IF($B40="","",IF($B$2="Todos",SUMIFS(BD!$AD$3:$AD$5001,BD!$A$3:$A$5001,$B40),SUMIFS(BD!$AD$3:$AD$5001,BD!$A$3:$A$5001,$B40,BD!$B$3:$B$5001,$D$2)))</f>
        <v>0</v>
      </c>
      <c r="AF40" s="32">
        <f>IF($B40="","",IF($B$2="Todos",SUMIFS(BD!$AE$3:$AE$5001,BD!$A$3:$A$5001,$B40),SUMIFS(BD!$AE$3:$AE$5001,BD!$A$3:$A$5001,$B40,BD!$B$3:$B$5001,$D$2)))</f>
        <v>0</v>
      </c>
      <c r="AG40" s="32">
        <f>IF($B40="","",IF($B$2="Todos",SUMIFS(BD!$AF$3:$AF$5001,BD!$A$3:$A$5001,$B40),SUMIFS(BD!$AF$3:$AF$5001,BD!$A$3:$A$5001,$B40,BD!$B$3:$B$5001,$D$2)))</f>
        <v>0</v>
      </c>
      <c r="AH40" s="32">
        <f>IF($B40="","",IF($B$2="Todos",SUMIFS(BD!$AG$3:$AG$5001,BD!$A$3:$A$5001,$B40),SUMIFS(BD!$AG$3:$AG$5001,BD!$A$3:$A$5001,$B40,BD!$B$3:$B$5001,$D$2)))</f>
        <v>0</v>
      </c>
      <c r="AI40" s="32">
        <f>IF($B40="","",IF($B$2="Todos",SUMIFS(BD!$AH$3:$AH$5001,BD!$A$3:$A$5001,$B40),SUMIFS(BD!$AH$3:$AH$5001,BD!$A$3:$A$5001,$B40,BD!$B$3:$B$5001,$D$2)))</f>
        <v>0</v>
      </c>
      <c r="AJ40" s="50">
        <f>$B$5</f>
        <v>0.7</v>
      </c>
      <c r="AK40" s="50">
        <f>$B$6</f>
        <v>0.9</v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32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>
        <f>IF($B41="","",IF($B$2="Todos",SUMIFS(BD!$K$3:$K$5001,BD!$A$3:$A$5001,$B41),SUMIFS(BD!$K$3:$K$5001,BD!$A$3:$A$5001,$B41,BD!$B$3:$B$5001,$D$2)))</f>
        <v>0</v>
      </c>
      <c r="L41" s="32">
        <f>IF($B41="","",IF($B$2="Todos",SUMIFS(BD!$L$3:$L$5001,BD!$A$3:$A$5001,$B41),SUMIFS(BD!$L$3:$L$5001,BD!$A$3:$A$5001,$B41,BD!$B$3:$B$5001,$D$2)))</f>
        <v>0</v>
      </c>
      <c r="M41" s="32">
        <f>IF($B41="","",IF($B$2="Todos",SUMIFS(BD!$M$3:$M$5001,BD!$A$3:$A$5001,$B41),SUMIFS(BD!$M$3:$M$5001,BD!$A$3:$A$5001,$B41,BD!$B$3:$B$5001,$D$2)))</f>
        <v>0</v>
      </c>
      <c r="N41" s="32">
        <f>IF($B41="","",IF($B$2="Todos",SUMIFS(BD!$N$3:$N$5001,BD!$A$3:$A$5001,$B41),SUMIFS(BD!$N$3:$N$5001,BD!$A$3:$A$5001,$B41,BD!$B$3:$B$5001,$D$2)))</f>
        <v>0</v>
      </c>
      <c r="O41" s="32">
        <f>IF($B41="","",IF($B$2="Todos",SUMIFS(BD!$O$3:$O$5001,BD!$A$3:$A$5001,$B41),SUMIFS(BD!$O$3:$O$5001,BD!$A$3:$A$5001,$B41,BD!$B$3:$B$5001,$D$2)))</f>
        <v>0</v>
      </c>
      <c r="P41" s="32">
        <f>IF($B41="","",IF($B$2="Todos",SUMIFS(BD!$P$3:$P$5001,BD!$A$3:$A$5001,$B41),SUMIFS(BD!$P$3:$P$5001,BD!$A$3:$A$5001,$B41,BD!$B$3:$B$5001,$D$2)))</f>
        <v>0</v>
      </c>
      <c r="Q41" s="32">
        <f>IF($B41="","",IF($B$2="Todos",SUMIFS(BD!$Q$3:$Q$5001,BD!$A$3:$A$5001,$B41),SUMIFS(BD!$Q$3:$Q$5001,BD!$A$3:$A$5001,$B41,BD!$B$3:$B$5001,$D$2)))</f>
        <v>0</v>
      </c>
      <c r="R41" s="32">
        <f>IF($B41="","",IF($B$2="Todos",SUMIFS(BD!$R$3:$R$5001,BD!$A$3:$A$5001,$B41),SUMIFS(BD!$R$3:$R$5001,BD!$A$3:$A$5001,$B41,BD!$B$3:$B$5001,$D$2)))</f>
        <v>0</v>
      </c>
      <c r="S41" s="32">
        <f>IF($B41="","",IF($B$2="Todos",SUMIFS(BD!$S$3:$S$5001,BD!$A$3:$A$5001,$B41),SUMIFS(BD!$S$3:$S$5001,BD!$A$3:$A$5001,$B41,BD!$B$3:$B$5001,$D$2)))</f>
        <v>0</v>
      </c>
      <c r="T41" s="32">
        <f>IF($B41="","",IF($B$2="Todos",SUMIFS(BD!$T$3:$T$5001,BD!$A$3:$A$5001,$B41),SUMIFS(BD!$T$3:$T$5001,BD!$A$3:$A$5001,$B41,BD!$B$3:$B$5001,$D$2)))</f>
        <v>0</v>
      </c>
      <c r="U41" s="47">
        <f>IF($B41="","",IF($B$2="Todos",SUMIFS(BD!$U$3:$U$5001,BD!$A$3:$A$5001,$B41),SUMIFS(BD!$U$3:$U$5001,BD!$A$3:$A$5001,$B41,BD!$B$3:$B$5001,$D$2)))</f>
        <v>0</v>
      </c>
      <c r="V41" s="32">
        <f>IF($B41="","",IF($B$2="Todos",SUMIFS(BD!$V$3:$V$5001,BD!$A$3:$A$5001,$B41),SUMIFS(BD!$V$3:$V$5001,BD!$A$3:$A$5001,$B41,BD!$B$3:$B$5001,$D$2)))</f>
        <v>0</v>
      </c>
      <c r="W41" s="32">
        <f>IF($B41="","",IF($B$2="Todos",SUMIFS(BD!$W$3:$W$5001,BD!$A$3:$A$5001,$B41),SUMIFS(BD!$W$3:$W$5001,BD!$A$3:$A$5001,$B41,BD!$B$3:$B$5001,$D$2)))</f>
        <v>0</v>
      </c>
      <c r="X41" s="32" t="str">
        <f>IF($B$2="Todos",IF(COUNT($C$170:$V$170)=0,"",SUM($C$170:$V$170)),IFERROR(INDEX($C$170:$V$170,MATCH($D$2,$C$140:$V$140,0)),""))</f>
        <v/>
      </c>
      <c r="Y41" s="48" t="str">
        <f>IF(Z41="","",IF($B$2="Todos",IF($B$4&gt;0,$B$4,IF($B$2="Todos",IF(COUNT($C$240:$V$240)=0,"",SUM($C$240:$V$240)),IFERROR(INDEX($C$240:$V$240,MATCH($D$2,$C$210:$V$210,0)),""))),IFERROR(INDEX($C$240:$V$240,MATCH($D$2,$C$210:$V$210,0)),"")))</f>
        <v/>
      </c>
      <c r="Z41" s="32" t="str">
        <f>IF($B$2="Todos",IF(COUNT($C$205:$V$205)=0,"",SUM($C$205:$V$205)),IFERROR(INDEX($C$205:$V$205,MATCH($D$2,$C$175:$V$175,0)),""))</f>
        <v/>
      </c>
      <c r="AA41" s="49" t="str">
        <f>IF(AND(ISNUMBER(Z41),ISNUMBER(Y41)),IF(Y41&gt;0,Z41/Y41,""),"")</f>
        <v/>
      </c>
      <c r="AB41" s="32" t="str">
        <f>IF($B$2="Todos",IF(COUNT($C$275:$V$275)=0,"",SUM($C$275:$V$275)),IFERROR(INDEX($C$275:$V$275,MATCH($D$2,$C$245:$V$245,0)),""))</f>
        <v/>
      </c>
      <c r="AC41" s="32">
        <f>IF($B41="","",IF($B$2="Todos",SUMIFS(BD!$AB$3:$AB$5001,BD!$A$3:$A$5001,$B41),SUMIFS(BD!$AB$3:$AB$5001,BD!$A$3:$A$5001,$B41,BD!$B$3:$B$5001,$D$2)))</f>
        <v>0</v>
      </c>
      <c r="AD41" s="32">
        <f>IF($B41="","",IF($B$2="Todos",SUMIFS(BD!$AC$3:$AC$5001,BD!$A$3:$A$5001,$B41),SUMIFS(BD!$AC$3:$AC$5001,BD!$A$3:$A$5001,$B41,BD!$B$3:$B$5001,$D$2)))</f>
        <v>0</v>
      </c>
      <c r="AE41" s="32">
        <f>IF($B41="","",IF($B$2="Todos",SUMIFS(BD!$AD$3:$AD$5001,BD!$A$3:$A$5001,$B41),SUMIFS(BD!$AD$3:$AD$5001,BD!$A$3:$A$5001,$B41,BD!$B$3:$B$5001,$D$2)))</f>
        <v>0</v>
      </c>
      <c r="AF41" s="32">
        <f>IF($B41="","",IF($B$2="Todos",SUMIFS(BD!$AE$3:$AE$5001,BD!$A$3:$A$5001,$B41),SUMIFS(BD!$AE$3:$AE$5001,BD!$A$3:$A$5001,$B41,BD!$B$3:$B$5001,$D$2)))</f>
        <v>0</v>
      </c>
      <c r="AG41" s="32">
        <f>IF($B41="","",IF($B$2="Todos",SUMIFS(BD!$AF$3:$AF$5001,BD!$A$3:$A$5001,$B41),SUMIFS(BD!$AF$3:$AF$5001,BD!$A$3:$A$5001,$B41,BD!$B$3:$B$5001,$D$2)))</f>
        <v>0</v>
      </c>
      <c r="AH41" s="32">
        <f>IF($B41="","",IF($B$2="Todos",SUMIFS(BD!$AG$3:$AG$5001,BD!$A$3:$A$5001,$B41),SUMIFS(BD!$AG$3:$AG$5001,BD!$A$3:$A$5001,$B41,BD!$B$3:$B$5001,$D$2)))</f>
        <v>0</v>
      </c>
      <c r="AI41" s="32">
        <f>IF($B41="","",IF($B$2="Todos",SUMIFS(BD!$AH$3:$AH$5001,BD!$A$3:$A$5001,$B41),SUMIFS(BD!$AH$3:$AH$5001,BD!$A$3:$A$5001,$B41,BD!$B$3:$B$5001,$D$2)))</f>
        <v>0</v>
      </c>
      <c r="AJ41" s="50">
        <f>$B$5</f>
        <v>0.7</v>
      </c>
      <c r="AK41" s="50">
        <f>$B$6</f>
        <v>0.9</v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32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>
        <f>IF($B42="","",IF($B$2="Todos",SUMIFS(BD!$K$3:$K$5001,BD!$A$3:$A$5001,$B42),SUMIFS(BD!$K$3:$K$5001,BD!$A$3:$A$5001,$B42,BD!$B$3:$B$5001,$D$2)))</f>
        <v>0</v>
      </c>
      <c r="L42" s="32">
        <f>IF($B42="","",IF($B$2="Todos",SUMIFS(BD!$L$3:$L$5001,BD!$A$3:$A$5001,$B42),SUMIFS(BD!$L$3:$L$5001,BD!$A$3:$A$5001,$B42,BD!$B$3:$B$5001,$D$2)))</f>
        <v>0</v>
      </c>
      <c r="M42" s="32">
        <f>IF($B42="","",IF($B$2="Todos",SUMIFS(BD!$M$3:$M$5001,BD!$A$3:$A$5001,$B42),SUMIFS(BD!$M$3:$M$5001,BD!$A$3:$A$5001,$B42,BD!$B$3:$B$5001,$D$2)))</f>
        <v>0</v>
      </c>
      <c r="N42" s="32">
        <f>IF($B42="","",IF($B$2="Todos",SUMIFS(BD!$N$3:$N$5001,BD!$A$3:$A$5001,$B42),SUMIFS(BD!$N$3:$N$5001,BD!$A$3:$A$5001,$B42,BD!$B$3:$B$5001,$D$2)))</f>
        <v>0</v>
      </c>
      <c r="O42" s="32">
        <f>IF($B42="","",IF($B$2="Todos",SUMIFS(BD!$O$3:$O$5001,BD!$A$3:$A$5001,$B42),SUMIFS(BD!$O$3:$O$5001,BD!$A$3:$A$5001,$B42,BD!$B$3:$B$5001,$D$2)))</f>
        <v>0</v>
      </c>
      <c r="P42" s="32">
        <f>IF($B42="","",IF($B$2="Todos",SUMIFS(BD!$P$3:$P$5001,BD!$A$3:$A$5001,$B42),SUMIFS(BD!$P$3:$P$5001,BD!$A$3:$A$5001,$B42,BD!$B$3:$B$5001,$D$2)))</f>
        <v>0</v>
      </c>
      <c r="Q42" s="32">
        <f>IF($B42="","",IF($B$2="Todos",SUMIFS(BD!$Q$3:$Q$5001,BD!$A$3:$A$5001,$B42),SUMIFS(BD!$Q$3:$Q$5001,BD!$A$3:$A$5001,$B42,BD!$B$3:$B$5001,$D$2)))</f>
        <v>0</v>
      </c>
      <c r="R42" s="32">
        <f>IF($B42="","",IF($B$2="Todos",SUMIFS(BD!$R$3:$R$5001,BD!$A$3:$A$5001,$B42),SUMIFS(BD!$R$3:$R$5001,BD!$A$3:$A$5001,$B42,BD!$B$3:$B$5001,$D$2)))</f>
        <v>0</v>
      </c>
      <c r="S42" s="32">
        <f>IF($B42="","",IF($B$2="Todos",SUMIFS(BD!$S$3:$S$5001,BD!$A$3:$A$5001,$B42),SUMIFS(BD!$S$3:$S$5001,BD!$A$3:$A$5001,$B42,BD!$B$3:$B$5001,$D$2)))</f>
        <v>0</v>
      </c>
      <c r="T42" s="32">
        <f>IF($B42="","",IF($B$2="Todos",SUMIFS(BD!$T$3:$T$5001,BD!$A$3:$A$5001,$B42),SUMIFS(BD!$T$3:$T$5001,BD!$A$3:$A$5001,$B42,BD!$B$3:$B$5001,$D$2)))</f>
        <v>0</v>
      </c>
      <c r="U42" s="47">
        <f>IF($B42="","",IF($B$2="Todos",SUMIFS(BD!$U$3:$U$5001,BD!$A$3:$A$5001,$B42),SUMIFS(BD!$U$3:$U$5001,BD!$A$3:$A$5001,$B42,BD!$B$3:$B$5001,$D$2)))</f>
        <v>0</v>
      </c>
      <c r="V42" s="32">
        <f>IF($B42="","",IF($B$2="Todos",SUMIFS(BD!$V$3:$V$5001,BD!$A$3:$A$5001,$B42),SUMIFS(BD!$V$3:$V$5001,BD!$A$3:$A$5001,$B42,BD!$B$3:$B$5001,$D$2)))</f>
        <v>0</v>
      </c>
      <c r="W42" s="32">
        <f>IF($B42="","",IF($B$2="Todos",SUMIFS(BD!$W$3:$W$5001,BD!$A$3:$A$5001,$B42),SUMIFS(BD!$W$3:$W$5001,BD!$A$3:$A$5001,$B42,BD!$B$3:$B$5001,$D$2)))</f>
        <v>0</v>
      </c>
      <c r="X42" s="32" t="str">
        <f>IF($B$2="Todos",IF(COUNT($C$171:$V$171)=0,"",SUM($C$171:$V$171)),IFERROR(INDEX($C$171:$V$171,MATCH($D$2,$C$140:$V$140,0)),""))</f>
        <v/>
      </c>
      <c r="Y42" s="48" t="str">
        <f>IF(Z42="","",IF($B$2="Todos",IF($B$4&gt;0,$B$4,IF($B$2="Todos",IF(COUNT($C$241:$V$241)=0,"",SUM($C$241:$V$241)),IFERROR(INDEX($C$241:$V$241,MATCH($D$2,$C$210:$V$210,0)),""))),IFERROR(INDEX($C$241:$V$241,MATCH($D$2,$C$210:$V$210,0)),"")))</f>
        <v/>
      </c>
      <c r="Z42" s="32" t="str">
        <f>IF($B$2="Todos",IF(COUNT($C$206:$V$206)=0,"",SUM($C$206:$V$206)),IFERROR(INDEX($C$206:$V$206,MATCH($D$2,$C$175:$V$175,0)),""))</f>
        <v/>
      </c>
      <c r="AA42" s="49" t="str">
        <f>IF(AND(ISNUMBER(Z42),ISNUMBER(Y42)),IF(Y42&gt;0,Z42/Y42,""),"")</f>
        <v/>
      </c>
      <c r="AB42" s="32" t="str">
        <f>IF($B$2="Todos",IF(COUNT($C$276:$V$276)=0,"",SUM($C$276:$V$276)),IFERROR(INDEX($C$276:$V$276,MATCH($D$2,$C$245:$V$245,0)),""))</f>
        <v/>
      </c>
      <c r="AC42" s="32">
        <f>IF($B42="","",IF($B$2="Todos",SUMIFS(BD!$AB$3:$AB$5001,BD!$A$3:$A$5001,$B42),SUMIFS(BD!$AB$3:$AB$5001,BD!$A$3:$A$5001,$B42,BD!$B$3:$B$5001,$D$2)))</f>
        <v>0</v>
      </c>
      <c r="AD42" s="32">
        <f>IF($B42="","",IF($B$2="Todos",SUMIFS(BD!$AC$3:$AC$5001,BD!$A$3:$A$5001,$B42),SUMIFS(BD!$AC$3:$AC$5001,BD!$A$3:$A$5001,$B42,BD!$B$3:$B$5001,$D$2)))</f>
        <v>0</v>
      </c>
      <c r="AE42" s="32">
        <f>IF($B42="","",IF($B$2="Todos",SUMIFS(BD!$AD$3:$AD$5001,BD!$A$3:$A$5001,$B42),SUMIFS(BD!$AD$3:$AD$5001,BD!$A$3:$A$5001,$B42,BD!$B$3:$B$5001,$D$2)))</f>
        <v>0</v>
      </c>
      <c r="AF42" s="32">
        <f>IF($B42="","",IF($B$2="Todos",SUMIFS(BD!$AE$3:$AE$5001,BD!$A$3:$A$5001,$B42),SUMIFS(BD!$AE$3:$AE$5001,BD!$A$3:$A$5001,$B42,BD!$B$3:$B$5001,$D$2)))</f>
        <v>0</v>
      </c>
      <c r="AG42" s="32">
        <f>IF($B42="","",IF($B$2="Todos",SUMIFS(BD!$AF$3:$AF$5001,BD!$A$3:$A$5001,$B42),SUMIFS(BD!$AF$3:$AF$5001,BD!$A$3:$A$5001,$B42,BD!$B$3:$B$5001,$D$2)))</f>
        <v>0</v>
      </c>
      <c r="AH42" s="32">
        <f>IF($B42="","",IF($B$2="Todos",SUMIFS(BD!$AG$3:$AG$5001,BD!$A$3:$A$5001,$B42),SUMIFS(BD!$AG$3:$AG$5001,BD!$A$3:$A$5001,$B42,BD!$B$3:$B$5001,$D$2)))</f>
        <v>0</v>
      </c>
      <c r="AI42" s="32">
        <f>IF($B42="","",IF($B$2="Todos",SUMIFS(BD!$AH$3:$AH$5001,BD!$A$3:$A$5001,$B42),SUMIFS(BD!$AH$3:$AH$5001,BD!$A$3:$A$5001,$B42,BD!$B$3:$B$5001,$D$2)))</f>
        <v>0</v>
      </c>
      <c r="AJ42" s="50">
        <f>$B$5</f>
        <v>0.7</v>
      </c>
      <c r="AK42" s="50">
        <f>$B$6</f>
        <v>0.9</v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3">
        <f>SUM(H12:H42)</f>
        <v>0</v>
      </c>
      <c r="I43" s="53">
        <f>SUM(I12:I42)</f>
        <v>0</v>
      </c>
      <c r="J43" s="53">
        <f>SUM(J12:J42)</f>
        <v>0</v>
      </c>
      <c r="K43" s="53">
        <f>SUM(K12:K42)</f>
        <v>0</v>
      </c>
      <c r="L43" s="53">
        <f>SUM(L12:L42)</f>
        <v>0</v>
      </c>
      <c r="M43" s="53">
        <f>SUM(M12:M42)</f>
        <v>0</v>
      </c>
      <c r="N43" s="53">
        <f>SUM(N12:N42)</f>
        <v>0</v>
      </c>
      <c r="O43" s="53">
        <f>SUM(O12:O42)</f>
        <v>0</v>
      </c>
      <c r="P43" s="53">
        <f>SUM(P12:P42)</f>
        <v>0</v>
      </c>
      <c r="Q43" s="53">
        <f>SUM(Q12:Q42)</f>
        <v>0</v>
      </c>
      <c r="R43" s="53">
        <f>SUM(R12:R42)</f>
        <v>0</v>
      </c>
      <c r="S43" s="53">
        <f>SUM(S12:S42)</f>
        <v>0</v>
      </c>
      <c r="T43" s="53">
        <f>SUM(T12:T42)</f>
        <v>0</v>
      </c>
      <c r="U43" s="59">
        <f>SUM(U12:U42)</f>
        <v>0</v>
      </c>
      <c r="V43" s="53">
        <f>SUM(V12:V42)</f>
        <v>0</v>
      </c>
      <c r="W43" s="53">
        <f>SUM(W12:W42)</f>
        <v>0</v>
      </c>
      <c r="X43" s="53" t="str">
        <f>IFERROR(LOOKUP(9.99E+307,X12:X42),"")</f>
        <v/>
      </c>
      <c r="Y43" s="53" t="str">
        <f>IFERROR(LOOKUP(9.99E+307,Y12:Y42),"")</f>
        <v/>
      </c>
      <c r="Z43" s="53" t="str">
        <f>IFERROR(LOOKUP(9.99E+307,Z12:Z42),"")</f>
        <v/>
      </c>
      <c r="AA43" s="60" t="str">
        <f>IFERROR(LOOKUP(9.99E+307,AA12:AA42),"")</f>
        <v/>
      </c>
      <c r="AB43" s="53" t="str">
        <f>IFERROR(LOOKUP(9.99E+307,AB12:AB42),"")</f>
        <v/>
      </c>
      <c r="AC43" s="53">
        <f>SUM(AC12:AC42)</f>
        <v>0</v>
      </c>
      <c r="AD43" s="53">
        <f>SUM(AD12:AD42)</f>
        <v>0</v>
      </c>
      <c r="AE43" s="53">
        <f>SUM(AE12:AE42)</f>
        <v>0</v>
      </c>
      <c r="AF43" s="53">
        <f>SUM(AF12:AF42)</f>
        <v>0</v>
      </c>
      <c r="AG43" s="53">
        <f>SUM(AG12:AG42)</f>
        <v>0</v>
      </c>
      <c r="AH43" s="53">
        <f>SUM(AH12:AH42)</f>
        <v>0</v>
      </c>
      <c r="AI43" s="53">
        <f>SUM(AI12:AI42)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IFERROR(AVERAGEIF(K12:K42,"&gt;0"),"")</f>
        <v/>
      </c>
      <c r="L44" s="54" t="str">
        <f>IFERROR(AVERAGEIF(L12:L42,"&gt;0"),"")</f>
        <v/>
      </c>
      <c r="M44" s="54" t="str">
        <f>IFERROR(AVERAGEIF(M12:M42,"&gt;0"),"")</f>
        <v/>
      </c>
      <c r="N44" s="54" t="str">
        <f>IFERROR(AVERAGEIF(N12:N42,"&gt;0"),"")</f>
        <v/>
      </c>
      <c r="O44" s="54" t="str">
        <f>IFERROR(AVERAGEIF(O12:O42,"&gt;0"),"")</f>
        <v/>
      </c>
      <c r="P44" s="54" t="str">
        <f>IFERROR(AVERAGEIF(P12:P42,"&gt;0"),"")</f>
        <v/>
      </c>
      <c r="Q44" s="54" t="str">
        <f>IFERROR(AVERAGEIF(Q12:Q42,"&gt;0"),"")</f>
        <v/>
      </c>
      <c r="R44" s="54" t="str">
        <f>IFERROR(AVERAGEIF(R12:R42,"&gt;0"),"")</f>
        <v/>
      </c>
      <c r="S44" s="54" t="str">
        <f>IFERROR(AVERAGEIF(S12:S42,"&gt;0"),"")</f>
        <v/>
      </c>
      <c r="T44" s="54" t="str">
        <f>IFERROR(AVERAGEIF(T12:T42,"&gt;0"),"")</f>
        <v/>
      </c>
      <c r="U44" s="54" t="str">
        <f>IFERROR(AVERAGEIF(U12:U42,"&gt;0"),"")</f>
        <v/>
      </c>
      <c r="V44" s="54" t="str">
        <f>IFERROR(AVERAGEIF(V12:V42,"&gt;0"),"")</f>
        <v/>
      </c>
      <c r="W44" s="54" t="str">
        <f>IFERROR(AVERAGEIF(W12:W42,"&gt;0"),"")</f>
        <v/>
      </c>
      <c r="X44" s="54" t="str">
        <f>IFERROR(AVERAGE(X12:X42),"")</f>
        <v/>
      </c>
      <c r="Y44" s="54" t="str">
        <f>IFERROR(AVERAGE(Y12:Y42),"")</f>
        <v/>
      </c>
      <c r="Z44" s="54" t="str">
        <f>IFERROR(AVERAGE(Z12:Z42),"")</f>
        <v/>
      </c>
      <c r="AA44" s="56" t="str">
        <f>IFERROR(AVERAGE(AA12:AA42),"")</f>
        <v/>
      </c>
      <c r="AB44" s="54" t="str">
        <f>IFERROR(AVERAGE(AB12:AB42),"")</f>
        <v/>
      </c>
      <c r="AC44" s="54" t="str">
        <f>IFERROR(AVERAGEIF(AC12:AC42,"&gt;0"),"")</f>
        <v/>
      </c>
      <c r="AD44" s="54" t="str">
        <f>IFERROR(AVERAGEIF(AD12:AD42,"&gt;0"),"")</f>
        <v/>
      </c>
      <c r="AE44" s="54" t="str">
        <f>IFERROR(AVERAGEIF(AE12:AE42,"&gt;0"),"")</f>
        <v/>
      </c>
      <c r="AF44" s="54" t="str">
        <f>IFERROR(AVERAGEIF(AF12:AF42,"&gt;0"),"")</f>
        <v/>
      </c>
      <c r="AG44" s="54" t="str">
        <f>IFERROR(AVERAGEIF(AG12:AG42,"&gt;0"),"")</f>
        <v/>
      </c>
      <c r="AH44" s="54" t="str">
        <f>IFERROR(AVERAGEIF(AH12:AH42,"&gt;0"),"")</f>
        <v/>
      </c>
      <c r="AI44" s="54" t="str">
        <f>IFERROR(AVERAGEIF(AI12:AI42,"&gt;0"),"")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5">
        <f>IF(COUNT(H12:H42)=0,"",MAX(H12:H42))</f>
        <v>0</v>
      </c>
      <c r="I45" s="55">
        <f>IF(COUNT(I12:I42)=0,"",MAX(I12:I42))</f>
        <v>0</v>
      </c>
      <c r="J45" s="55">
        <f>IF(COUNT(J12:J42)=0,"",MAX(J12:J42))</f>
        <v>0</v>
      </c>
      <c r="K45" s="55">
        <f>IF(COUNT(K12:K42)=0,"",MAX(K12:K42))</f>
        <v>0</v>
      </c>
      <c r="L45" s="55">
        <f>IF(COUNT(L12:L42)=0,"",MAX(L12:L42))</f>
        <v>0</v>
      </c>
      <c r="M45" s="55">
        <f>IF(COUNT(M12:M42)=0,"",MAX(M12:M42))</f>
        <v>0</v>
      </c>
      <c r="N45" s="55">
        <f>IF(COUNT(N12:N42)=0,"",MAX(N12:N42))</f>
        <v>0</v>
      </c>
      <c r="O45" s="55">
        <f>IF(COUNT(O12:O42)=0,"",MAX(O12:O42))</f>
        <v>0</v>
      </c>
      <c r="P45" s="55">
        <f>IF(COUNT(P12:P42)=0,"",MAX(P12:P42))</f>
        <v>0</v>
      </c>
      <c r="Q45" s="55">
        <f>IF(COUNT(Q12:Q42)=0,"",MAX(Q12:Q42))</f>
        <v>0</v>
      </c>
      <c r="R45" s="55">
        <f>IF(COUNT(R12:R42)=0,"",MAX(R12:R42))</f>
        <v>0</v>
      </c>
      <c r="S45" s="55">
        <f>IF(COUNT(S12:S42)=0,"",MAX(S12:S42))</f>
        <v>0</v>
      </c>
      <c r="T45" s="55">
        <f>IF(COUNT(T12:T42)=0,"",MAX(T12:T42))</f>
        <v>0</v>
      </c>
      <c r="U45" s="54">
        <f>IF(COUNT(U12:U42)=0,"",MAX(U12:U42))</f>
        <v>0</v>
      </c>
      <c r="V45" s="55">
        <f>IF(COUNT(V12:V42)=0,"",MAX(V12:V42))</f>
        <v>0</v>
      </c>
      <c r="W45" s="55">
        <f>IF(COUNT(W12:W42)=0,"",MAX(W12:W42))</f>
        <v>0</v>
      </c>
      <c r="X45" s="55" t="str">
        <f>IF(COUNT(X12:X42)=0,"",MAX(X12:X42))</f>
        <v/>
      </c>
      <c r="Y45" s="55" t="str">
        <f>IF(COUNT(Y12:Y42)=0,"",MAX(Y12:Y42))</f>
        <v/>
      </c>
      <c r="Z45" s="55" t="str">
        <f>IF(COUNT(Z12:Z42)=0,"",MAX(Z12:Z42))</f>
        <v/>
      </c>
      <c r="AA45" s="56" t="str">
        <f>IF(COUNT(AA12:AA42)=0,"",MAX(AA12:AA42))</f>
        <v/>
      </c>
      <c r="AB45" s="55" t="str">
        <f>IF(COUNT(AB12:AB42)=0,"",MAX(AB12:AB42))</f>
        <v/>
      </c>
      <c r="AC45" s="55">
        <f>IF(COUNT(AC12:AC42)=0,"",MAX(AC12:AC42))</f>
        <v>0</v>
      </c>
      <c r="AD45" s="55">
        <f>IF(COUNT(AD12:AD42)=0,"",MAX(AD12:AD42))</f>
        <v>0</v>
      </c>
      <c r="AE45" s="55">
        <f>IF(COUNT(AE12:AE42)=0,"",MAX(AE12:AE42))</f>
        <v>0</v>
      </c>
      <c r="AF45" s="55">
        <f>IF(COUNT(AF12:AF42)=0,"",MAX(AF12:AF42))</f>
        <v>0</v>
      </c>
      <c r="AG45" s="55">
        <f>IF(COUNT(AG12:AG42)=0,"",MAX(AG12:AG42))</f>
        <v>0</v>
      </c>
      <c r="AH45" s="55">
        <f>IF(COUNT(AH12:AH42)=0,"",MAX(AH12:AH42))</f>
        <v>0</v>
      </c>
      <c r="AI45" s="55">
        <f>IF(COUNT(AI12:AI42)=0,"",MAX(AI12:AI42))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5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55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55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55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55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55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55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55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54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55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W46" s="55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X46" s="55" t="str">
        <f>IF($B$9=0,"",IF($B$2="Todos",IF(COUNT($C$172:$V$172)=0,"",SUM($C$172:$V$172)),IFERROR(INDEX($C$172:$V$172,MATCH($D$2,$C$140:$V$140,0)),"")))</f>
        <v/>
      </c>
      <c r="Y46" s="55" t="str">
        <f>IF(Z46="","",IF($B$2="Todos",IF($B$4&gt;0,$B$4,IF($B$2="Todos",IF(COUNT($C$242:$V$242)=0,"",SUM($C$242:$V$242)),IFERROR(INDEX($C$242:$V$242,MATCH($D$2,$C$210:$V$210,0)),""))),IFERROR(INDEX($C$242:$V$242,MATCH($D$2,$C$210:$V$210,0)),"")))</f>
        <v/>
      </c>
      <c r="Z46" s="55" t="str">
        <f>IF($B$9=0,"",IF($B$2="Todos",IF(COUNT($C$207:$V$207)=0,"",SUM($C$207:$V$207)),IFERROR(INDEX($C$207:$V$207,MATCH($D$2,$C$175:$V$175,0)),"")))</f>
        <v/>
      </c>
      <c r="AA46" s="56" t="str">
        <f>IF(AND(ISNUMBER(Z46),ISNUMBER(Y46)),IF(Y46&gt;0,Z46/Y46,""),"")</f>
        <v/>
      </c>
      <c r="AB46" s="55" t="str">
        <f>IF($B$9=0,"",IF($B$2="Todos",IF(COUNT($C$277:$V$277)=0,"",SUM($C$277:$V$277)),IFERROR(INDEX($C$277:$V$277,MATCH($D$2,$C$245:$V$245,0)),"")))</f>
        <v/>
      </c>
      <c r="AC46" s="55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55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55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55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55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  <c r="AH46" s="55" t="str">
        <f>IF($B$9=0,"",IF($B$2="Todos",SUMIFS(BD!$AG$3:$AG$5001,BD!$A$3:$A$5001,"&gt;="&amp;$C$8,BD!$A$3:$A$5001,"&lt;="&amp;$D$8),SUMIFS(BD!$AG$3:$AG$5001,BD!$A$3:$A$5001,"&gt;="&amp;$C$8,BD!$A$3:$A$5001,"&lt;="&amp;$D$8,BD!$B$3:$B$5001,$D$2)))</f>
        <v/>
      </c>
      <c r="AI46" s="55" t="str">
        <f>IF($B$9=0,"",IF($B$2="Todos",SUMIFS(BD!$AH$3:$AH$5001,BD!$A$3:$A$5001,"&gt;="&amp;$C$8,BD!$A$3:$A$5001,"&lt;="&amp;$D$8),SUMIFS(BD!$AH$3:$AH$5001,BD!$A$3:$A$5001,"&gt;="&amp;$C$8,BD!$A$3:$A$5001,"&lt;="&amp;$D$8,BD!$B$3:$B$5001,$D$2)))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  <c r="W47" s="56" t="str">
        <f>IF(AND(ISNUMBER(W43),ISNUMBER(W46)),IF(W46&lt;&gt;0,W43/W46-1,""),"")</f>
        <v/>
      </c>
      <c r="X47" s="56" t="str">
        <f>IF(AND(ISNUMBER(X43),ISNUMBER(X46)),IF(X46&lt;&gt;0,X43/X46-1,""),"")</f>
        <v/>
      </c>
      <c r="Y47" s="56" t="str">
        <f>IF(AND(ISNUMBER(Y43),ISNUMBER(Y46)),IF(Y46&lt;&gt;0,Y43/Y46-1,""),"")</f>
        <v/>
      </c>
      <c r="Z47" s="56" t="str">
        <f>IF(AND(ISNUMBER(Z43),ISNUMBER(Z46)),IF(Z46&lt;&gt;0,Z43/Z46-1,""),"")</f>
        <v/>
      </c>
      <c r="AA47" s="56" t="str">
        <f>IF(AND(ISNUMBER(AA43),ISNUMBER(AA46)),IF(AA46&lt;&gt;0,AA43/AA46-1,""),"")</f>
        <v/>
      </c>
      <c r="AB47" s="56" t="str">
        <f>IF(AND(ISNUMBER(AB43),ISNUMBER(AB46)),IF(AB46&lt;&gt;0,AB43/AB46-1,""),"")</f>
        <v/>
      </c>
      <c r="AC47" s="56" t="str">
        <f>IF(AND(ISNUMBER(AC43),ISNUMBER(AC46)),IF(AC46&lt;&gt;0,AC43/AC46-1,""),"")</f>
        <v/>
      </c>
      <c r="AD47" s="56" t="str">
        <f>IF(AND(ISNUMBER(AD43),ISNUMBER(AD46)),IF(AD46&lt;&gt;0,AD43/AD46-1,""),"")</f>
        <v/>
      </c>
      <c r="AE47" s="56" t="str">
        <f>IF(AND(ISNUMBER(AE43),ISNUMBER(AE46)),IF(AE46&lt;&gt;0,AE43/AE46-1,""),"")</f>
        <v/>
      </c>
      <c r="AF47" s="56" t="str">
        <f>IF(AND(ISNUMBER(AF43),ISNUMBER(AF46)),IF(AF46&lt;&gt;0,AF43/AF46-1,""),"")</f>
        <v/>
      </c>
      <c r="AG47" s="56" t="str">
        <f>IF(AND(ISNUMBER(AG43),ISNUMBER(AG46)),IF(AG46&lt;&gt;0,AG43/AG46-1,""),"")</f>
        <v/>
      </c>
      <c r="AH47" s="56" t="str">
        <f>IF(AND(ISNUMBER(AH43),ISNUMBER(AH46)),IF(AH46&lt;&gt;0,AH43/AH46-1,""),"")</f>
        <v/>
      </c>
      <c r="AI47" s="56" t="str">
        <f>IF(AND(ISNUMBER(AI43),ISNUMBER(AI46)),IF(AI46&lt;&gt;0,AI43/AI46-1,""),"")</f>
        <v/>
      </c>
    </row>
    <row r="48">
      <c r="A48" s="52" t="inlineStr">
        <is>
          <t xml:space="preserve">Meta (seleção)</t>
        </is>
      </c>
      <c r="C48" s="55" t="str">
        <f>IFERROR(1/(1/INDEX(BD!$AL$23:$BF$23,MATCH($B$2,BD!$AL$22:$BF$22,0))),"")</f>
        <v/>
      </c>
      <c r="D48" s="55" t="str">
        <f>IFERROR(1/(1/INDEX(BD!$AL$24:$BF$24,MATCH($B$2,BD!$AL$22:$BF$22,0))),"")</f>
        <v/>
      </c>
      <c r="E48" s="55" t="str">
        <f>IFERROR(1/(1/INDEX(BD!$AL$25:$BF$25,MATCH($B$2,BD!$AL$22:$BF$22,0))),"")</f>
        <v/>
      </c>
      <c r="F48" s="55" t="str">
        <f>IFERROR(1/(1/INDEX(BD!$AL$26:$BF$26,MATCH($B$2,BD!$AL$22:$BF$22,0))),"")</f>
        <v/>
      </c>
      <c r="G48" s="55" t="str">
        <f>IFERROR(1/(1/INDEX(BD!$AL$27:$BF$27,MATCH($B$2,BD!$AL$22:$BF$22,0))),"")</f>
        <v/>
      </c>
      <c r="H48" s="55" t="str">
        <f>IFERROR(1/(1/INDEX(BD!$AL$28:$BF$28,MATCH($B$2,BD!$AL$22:$BF$22,0))),"")</f>
        <v/>
      </c>
      <c r="I48" s="55" t="str">
        <f>IFERROR(1/(1/INDEX(BD!$AL$29:$BF$29,MATCH($B$2,BD!$AL$22:$BF$22,0))),"")</f>
        <v/>
      </c>
      <c r="J48" s="55" t="str">
        <f>IFERROR(1/(1/INDEX(BD!$AL$30:$BF$30,MATCH($B$2,BD!$AL$22:$BF$22,0))),"")</f>
        <v/>
      </c>
      <c r="K48" s="55" t="str">
        <f>IFERROR(1/(1/INDEX(BD!$AL$31:$BF$31,MATCH($B$2,BD!$AL$22:$BF$22,0))),"")</f>
        <v/>
      </c>
      <c r="L48" s="55" t="str">
        <f>IFERROR(1/(1/INDEX(BD!$AL$32:$BF$32,MATCH($B$2,BD!$AL$22:$BF$22,0))),"")</f>
        <v/>
      </c>
      <c r="M48" s="55" t="str">
        <f>IFERROR(1/(1/INDEX(BD!$AL$33:$BF$33,MATCH($B$2,BD!$AL$22:$BF$22,0))),"")</f>
        <v/>
      </c>
      <c r="N48" s="55" t="str">
        <f>IFERROR(1/(1/INDEX(BD!$AL$34:$BF$34,MATCH($B$2,BD!$AL$22:$BF$22,0))),"")</f>
        <v/>
      </c>
      <c r="O48" s="55" t="str">
        <f>IFERROR(1/(1/INDEX(BD!$AL$35:$BF$35,MATCH($B$2,BD!$AL$22:$BF$22,0))),"")</f>
        <v/>
      </c>
      <c r="P48" s="55" t="str">
        <f>IFERROR(1/(1/INDEX(BD!$AL$36:$BF$36,MATCH($B$2,BD!$AL$22:$BF$22,0))),"")</f>
        <v/>
      </c>
      <c r="Q48" s="55" t="str">
        <f>IFERROR(1/(1/INDEX(BD!$AL$37:$BF$37,MATCH($B$2,BD!$AL$22:$BF$22,0))),"")</f>
        <v/>
      </c>
      <c r="R48" s="55" t="str">
        <f>IFERROR(1/(1/INDEX(BD!$AL$38:$BF$38,MATCH($B$2,BD!$AL$22:$BF$22,0))),"")</f>
        <v/>
      </c>
      <c r="S48" s="55" t="str">
        <f>IFERROR(1/(1/INDEX(BD!$AL$39:$BF$39,MATCH($B$2,BD!$AL$22:$BF$22,0))),"")</f>
        <v/>
      </c>
      <c r="T48" s="55" t="str">
        <f>IFERROR(1/(1/INDEX(BD!$AL$40:$BF$40,MATCH($B$2,BD!$AL$22:$BF$22,0))),"")</f>
        <v/>
      </c>
      <c r="U48" s="55" t="str">
        <f>IFERROR(1/(1/INDEX(BD!$AL$41:$BF$41,MATCH($B$2,BD!$AL$22:$BF$22,0))),"")</f>
        <v/>
      </c>
      <c r="V48" s="55" t="str">
        <f>IFERROR(1/(1/INDEX(BD!$AL$42:$BF$42,MATCH($B$2,BD!$AL$22:$BF$22,0))),"")</f>
        <v/>
      </c>
      <c r="W48" s="55" t="str">
        <f>IFERROR(1/(1/INDEX(BD!$AL$43:$BF$43,MATCH($B$2,BD!$AL$22:$BF$22,0))),"")</f>
        <v/>
      </c>
      <c r="X48" s="55" t="str">
        <f>IFERROR(1/(1/INDEX(BD!$AL$44:$BF$44,MATCH($B$2,BD!$AL$22:$BF$22,0))),"")</f>
        <v/>
      </c>
      <c r="Y48" s="55" t="str">
        <f>IFERROR(1/(1/INDEX(BD!$AL$45:$BF$45,MATCH($B$2,BD!$AL$22:$BF$22,0))),"")</f>
        <v/>
      </c>
      <c r="Z48" s="55" t="str">
        <f>IFERROR(1/(1/INDEX(BD!$AL$46:$BF$46,MATCH($B$2,BD!$AL$22:$BF$22,0))),"")</f>
        <v/>
      </c>
      <c r="AA48" s="57" t="str">
        <f>IFERROR(1/(1/INDEX(BD!$AL$47:$BF$47,MATCH($B$2,BD!$AL$22:$BF$22,0))),"")</f>
        <v/>
      </c>
      <c r="AB48" s="55" t="str">
        <f>IFERROR(1/(1/INDEX(BD!$AL$48:$BF$48,MATCH($B$2,BD!$AL$22:$BF$22,0))),"")</f>
        <v/>
      </c>
      <c r="AC48" s="55" t="str">
        <f>IFERROR(1/(1/INDEX(BD!$AL$49:$BF$49,MATCH($B$2,BD!$AL$22:$BF$22,0))),"")</f>
        <v/>
      </c>
      <c r="AD48" s="55" t="str">
        <f>IFERROR(1/(1/INDEX(BD!$AL$50:$BF$50,MATCH($B$2,BD!$AL$22:$BF$22,0))),"")</f>
        <v/>
      </c>
      <c r="AE48" s="55" t="str">
        <f>IFERROR(1/(1/INDEX(BD!$AL$51:$BF$51,MATCH($B$2,BD!$AL$22:$BF$22,0))),"")</f>
        <v/>
      </c>
      <c r="AF48" s="55" t="str">
        <f>IFERROR(1/(1/INDEX(BD!$AL$52:$BF$52,MATCH($B$2,BD!$AL$22:$BF$22,0))),"")</f>
        <v/>
      </c>
      <c r="AG48" s="55" t="str">
        <f>IFERROR(1/(1/INDEX(BD!$AL$53:$BF$53,MATCH($B$2,BD!$AL$22:$BF$22,0))),"")</f>
        <v/>
      </c>
      <c r="AH48" s="55" t="str">
        <f>IFERROR(1/(1/INDEX(BD!$AL$54:$BF$54,MATCH($B$2,BD!$AL$22:$BF$22,0))),"")</f>
        <v/>
      </c>
      <c r="AI48" s="55" t="str">
        <f>IFERROR(1/(1/INDEX(BD!$AL$55:$BF$55,MATCH($B$2,BD!$AL$22:$BF$22,0))),"")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  <c r="W49" s="57" t="str">
        <f>IF(AND(ISNUMBER(W48),ISNUMBER(W43)),IF(W48&gt;0,W43/W48,""),"")</f>
        <v/>
      </c>
      <c r="X49" s="57" t="str">
        <f>IF(AND(ISNUMBER(X48),ISNUMBER(X43)),IF(X48&gt;0,X43/X48,""),"")</f>
        <v/>
      </c>
      <c r="Y49" s="57" t="str">
        <f>IF(AND(ISNUMBER(Y48),ISNUMBER(Y43)),IF(Y48&gt;0,Y43/Y48,""),"")</f>
        <v/>
      </c>
      <c r="Z49" s="57" t="str">
        <f>IF(AND(ISNUMBER(Z48),ISNUMBER(Z43)),IF(Z48&gt;0,Z43/Z48,""),"")</f>
        <v/>
      </c>
      <c r="AA49" s="57" t="str">
        <f>IF(AND(ISNUMBER(AA48),ISNUMBER(AA43)),IF(AA48&gt;0,AA43/AA48,""),"")</f>
        <v/>
      </c>
      <c r="AB49" s="57" t="str">
        <f>IF(AND(ISNUMBER(AB48),ISNUMBER(AB43)),IF(AB48&gt;0,AB43/AB48,""),"")</f>
        <v/>
      </c>
      <c r="AC49" s="57" t="str">
        <f>IF(AND(ISNUMBER(AC48),ISNUMBER(AC43)),IF(AC48&gt;0,AC43/AC48,""),"")</f>
        <v/>
      </c>
      <c r="AD49" s="57" t="str">
        <f>IF(AND(ISNUMBER(AD48),ISNUMBER(AD43)),IF(AD48&gt;0,AD43/AD48,""),"")</f>
        <v/>
      </c>
      <c r="AE49" s="57" t="str">
        <f>IF(AND(ISNUMBER(AE48),ISNUMBER(AE43)),IF(AE48&gt;0,AE43/AE48,""),"")</f>
        <v/>
      </c>
      <c r="AF49" s="57" t="str">
        <f>IF(AND(ISNUMBER(AF48),ISNUMBER(AF43)),IF(AF48&gt;0,AF43/AF48,""),"")</f>
        <v/>
      </c>
      <c r="AG49" s="57" t="str">
        <f>IF(AND(ISNUMBER(AG48),ISNUMBER(AG43)),IF(AG48&gt;0,AG43/AG48,""),"")</f>
        <v/>
      </c>
      <c r="AH49" s="57" t="str">
        <f>IF(AND(ISNUMBER(AH48),ISNUMBER(AH43)),IF(AH48&gt;0,AH43/AH48,""),"")</f>
        <v/>
      </c>
      <c r="AI49" s="57" t="str">
        <f>IF(AND(ISNUMBER(AI48),ISNUMBER(AI43)),IF(AI48&gt;0,AI43/AI48,""),"")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IF(ISNUMBER(I49),IF(I49&gt;=1,"meta atingida","abaixo da meta"),"")</f>
        <v/>
      </c>
      <c r="J50" s="58" t="str">
        <f>IF(ISNUMBER(J49),IF(J49&gt;=1,"meta atingida","abaixo da meta"),"")</f>
        <v/>
      </c>
      <c r="K50" s="58" t="str">
        <f>IF(ISNUMBER(K49),IF(K49&gt;=1,"meta atingida","abaixo da meta"),"")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IF(ISNUMBER(N49),IF(N49&gt;=1,"meta atingida","abaixo da meta"),"")</f>
        <v/>
      </c>
      <c r="O50" s="58" t="str">
        <f>IF(ISNUMBER(O49),IF(O49&gt;=1,"meta atingida","abaixo da meta"),"")</f>
        <v/>
      </c>
      <c r="P50" s="58" t="str">
        <f>IF(ISNUMBER(P49),IF(P49&gt;=1,"meta atingida","abaixo da meta"),"")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IF(ISNUMBER(S49),IF(S49&gt;=1,"meta atingida","abaixo da meta"),"")</f>
        <v/>
      </c>
      <c r="T50" s="58" t="str">
        <f>IF(ISNUMBER(T49),IF(T49&gt;=1,"meta atingida","abaixo da meta"),"")</f>
        <v/>
      </c>
      <c r="U50" s="58" t="str">
        <f>IF(ISNUMBER(U49),IF(U49&gt;=1,"meta atingida","abaixo da meta"),"")</f>
        <v/>
      </c>
      <c r="V50" s="58" t="str">
        <f>IF(AND(ISNUMBER(V48),ISNUMBER(V43)),IF(V43&lt;=V48,"dentro do limite","acima do limite"),"")</f>
        <v/>
      </c>
      <c r="W50" s="58" t="str">
        <f>IF(AND(ISNUMBER(W48),ISNUMBER(W43)),IF(W43&lt;=W48,"dentro do limite","acima do limite"),"")</f>
        <v/>
      </c>
      <c r="X50" s="58" t="str">
        <f>IF(AND(ISNUMBER(X48),ISNUMBER(X43)),IF(X43&lt;=X48,"dentro do limite","acima do limite"),"")</f>
        <v/>
      </c>
      <c r="Y50" s="58" t="str">
        <f>IF(ISNUMBER(Y49),IF(Y49&gt;=1,"meta atingida","abaixo da meta"),"")</f>
        <v/>
      </c>
      <c r="Z50" s="58" t="str">
        <f>IF(ISNUMBER(Z49),IF(Z49&gt;=1,"meta atingida","abaixo da meta"),"")</f>
        <v/>
      </c>
      <c r="AA50" s="58" t="str">
        <f>IF(ISNUMBER(AA43),IF(AA43&gt;1,"excede o contratado",IF(AA43&gt;=$B$6,"ocupação alta",IF(AA43&gt;=$B$5,"ocupação média","ociosidade alta"))),"")</f>
        <v/>
      </c>
      <c r="AB50" s="58" t="str">
        <f>IF(ISNUMBER(AB49),IF(AB49&gt;=1,"meta atingida","abaixo da meta"),"")</f>
        <v/>
      </c>
      <c r="AC50" s="58" t="str">
        <f>IF(AND(ISNUMBER(AC48),ISNUMBER(AC43)),IF(AC43&lt;=AC48,"dentro do limite","acima do limite"),"")</f>
        <v/>
      </c>
      <c r="AD50" s="58" t="str">
        <f>IF(ISNUMBER(AD49),IF(AD49&gt;=1,"meta atingida","abaixo da meta"),"")</f>
        <v/>
      </c>
      <c r="AE50" s="58" t="str">
        <f>IF(ISNUMBER(AE49),IF(AE49&gt;=1,"meta atingida","abaixo da meta"),"")</f>
        <v/>
      </c>
      <c r="AF50" s="58" t="str">
        <f>IF(AND(ISNUMBER(AF48),ISNUMBER(AF43)),IF(AF43&lt;=AF48,"dentro do limite","acima do limite"),"")</f>
        <v/>
      </c>
      <c r="AG50" s="58" t="str">
        <f>IF(AND(ISNUMBER(AG48),ISNUMBER(AG43)),IF(AG43&lt;=AG48,"dentro do limite","acima do limite"),"")</f>
        <v/>
      </c>
      <c r="AH50" s="58" t="str">
        <f>IF(AND(ISNUMBER(AH48),ISNUMBER(AH43)),IF(AH43&lt;=AH48,"dentro do limite","acima do limite"),"")</f>
        <v/>
      </c>
      <c r="AI50" s="58" t="str">
        <f>IF(AND(ISNUMBER(AI48),ISNUMBER(AI43)),IF(AI43&lt;=AI48,"dentro do limite","acima do limite"),"")</f>
        <v/>
      </c>
    </row>
    <row r="91">
      <c r="A91" s="19" t="inlineStr">
        <is>
          <t xml:space="preserve">ACUMULADO SEMANAL — toneladas e pallets (seguem o filtro; mês do gráfico)</t>
        </is>
      </c>
    </row>
    <row r="92">
      <c r="A92" s="37" t="inlineStr">
        <is>
          <t xml:space="preserve">Semana</t>
        </is>
      </c>
      <c r="B92" s="37" t="inlineStr">
        <is>
          <t xml:space="preserve">Do dia</t>
        </is>
      </c>
      <c r="C92" s="37" t="inlineStr">
        <is>
          <t xml:space="preserve">Ao dia</t>
        </is>
      </c>
      <c r="D92" s="37" t="inlineStr">
        <is>
          <t xml:space="preserve">IN tons</t>
        </is>
      </c>
      <c r="E92" s="37" t="inlineStr">
        <is>
          <t xml:space="preserve">OUT tons</t>
        </is>
      </c>
      <c r="F92" s="37" t="inlineStr">
        <is>
          <t xml:space="preserve">IN pallets</t>
        </is>
      </c>
      <c r="G92" s="37" t="inlineStr">
        <is>
          <t xml:space="preserve">OUT pallets</t>
        </is>
      </c>
    </row>
    <row r="93">
      <c r="A93" s="29" t="inlineStr">
        <is>
          <t xml:space="preserve">Sem 1 (01–07)</t>
        </is>
      </c>
      <c r="B93" s="28">
        <v>1</v>
      </c>
      <c r="C93" s="28">
        <v>7</v>
      </c>
      <c r="D93" s="61">
        <f>SUMIFS(E12:E42,A12:A42,"&gt;="&amp;$B93,A12:A42,"&lt;="&amp;$C93)</f>
        <v>0</v>
      </c>
      <c r="E93" s="61">
        <f>SUMIFS(U12:U42,A12:A42,"&gt;="&amp;$B93,A12:A42,"&lt;="&amp;$C93)</f>
        <v>0</v>
      </c>
      <c r="F93" s="32">
        <f>SUMIFS(D12:D42,A12:A42,"&gt;="&amp;$B93,A12:A42,"&lt;="&amp;$C93)</f>
        <v>0</v>
      </c>
      <c r="G93" s="32">
        <f>SUMIFS(T12:T42,A12:A42,"&gt;="&amp;$B93,A12:A42,"&lt;="&amp;$C93)</f>
        <v>0</v>
      </c>
    </row>
    <row r="94">
      <c r="A94" s="29" t="inlineStr">
        <is>
          <t xml:space="preserve">Sem 2 (08–14)</t>
        </is>
      </c>
      <c r="B94" s="28">
        <v>8</v>
      </c>
      <c r="C94" s="28">
        <v>14</v>
      </c>
      <c r="D94" s="61">
        <f>SUMIFS(E12:E42,A12:A42,"&gt;="&amp;$B94,A12:A42,"&lt;="&amp;$C94)</f>
        <v>0</v>
      </c>
      <c r="E94" s="61">
        <f>SUMIFS(U12:U42,A12:A42,"&gt;="&amp;$B94,A12:A42,"&lt;="&amp;$C94)</f>
        <v>0</v>
      </c>
      <c r="F94" s="32">
        <f>SUMIFS(D12:D42,A12:A42,"&gt;="&amp;$B94,A12:A42,"&lt;="&amp;$C94)</f>
        <v>0</v>
      </c>
      <c r="G94" s="32">
        <f>SUMIFS(T12:T42,A12:A42,"&gt;="&amp;$B94,A12:A42,"&lt;="&amp;$C94)</f>
        <v>0</v>
      </c>
    </row>
    <row r="95">
      <c r="A95" s="29" t="inlineStr">
        <is>
          <t xml:space="preserve">Sem 3 (15–21)</t>
        </is>
      </c>
      <c r="B95" s="28">
        <v>15</v>
      </c>
      <c r="C95" s="28">
        <v>21</v>
      </c>
      <c r="D95" s="61">
        <f>SUMIFS(E12:E42,A12:A42,"&gt;="&amp;$B95,A12:A42,"&lt;="&amp;$C95)</f>
        <v>0</v>
      </c>
      <c r="E95" s="61">
        <f>SUMIFS(U12:U42,A12:A42,"&gt;="&amp;$B95,A12:A42,"&lt;="&amp;$C95)</f>
        <v>0</v>
      </c>
      <c r="F95" s="32">
        <f>SUMIFS(D12:D42,A12:A42,"&gt;="&amp;$B95,A12:A42,"&lt;="&amp;$C95)</f>
        <v>0</v>
      </c>
      <c r="G95" s="32">
        <f>SUMIFS(T12:T42,A12:A42,"&gt;="&amp;$B95,A12:A42,"&lt;="&amp;$C95)</f>
        <v>0</v>
      </c>
    </row>
    <row r="96">
      <c r="A96" s="29" t="inlineStr">
        <is>
          <t xml:space="preserve">Sem 4 (22–28)</t>
        </is>
      </c>
      <c r="B96" s="28">
        <v>22</v>
      </c>
      <c r="C96" s="28">
        <v>28</v>
      </c>
      <c r="D96" s="61">
        <f>SUMIFS(E12:E42,A12:A42,"&gt;="&amp;$B96,A12:A42,"&lt;="&amp;$C96)</f>
        <v>0</v>
      </c>
      <c r="E96" s="61">
        <f>SUMIFS(U12:U42,A12:A42,"&gt;="&amp;$B96,A12:A42,"&lt;="&amp;$C96)</f>
        <v>0</v>
      </c>
      <c r="F96" s="32">
        <f>SUMIFS(D12:D42,A12:A42,"&gt;="&amp;$B96,A12:A42,"&lt;="&amp;$C96)</f>
        <v>0</v>
      </c>
      <c r="G96" s="32">
        <f>SUMIFS(T12:T42,A12:A42,"&gt;="&amp;$B96,A12:A42,"&lt;="&amp;$C96)</f>
        <v>0</v>
      </c>
    </row>
    <row r="97">
      <c r="A97" s="29" t="inlineStr">
        <is>
          <t xml:space="preserve">Sem 5 (29–fim)</t>
        </is>
      </c>
      <c r="B97" s="28">
        <v>29</v>
      </c>
      <c r="C97" s="28">
        <v>31</v>
      </c>
      <c r="D97" s="61">
        <f>SUMIFS(E12:E42,A12:A42,"&gt;="&amp;$B97,A12:A42,"&lt;="&amp;$C97)</f>
        <v>0</v>
      </c>
      <c r="E97" s="61">
        <f>SUMIFS(U12:U42,A12:A42,"&gt;="&amp;$B97,A12:A42,"&lt;="&amp;$C97)</f>
        <v>0</v>
      </c>
      <c r="F97" s="32">
        <f>SUMIFS(D12:D42,A12:A42,"&gt;="&amp;$B97,A12:A42,"&lt;="&amp;$C97)</f>
        <v>0</v>
      </c>
      <c r="G97" s="32">
        <f>SUMIFS(T12:T42,A12:A42,"&gt;="&amp;$B97,A12:A42,"&lt;="&amp;$C97)</f>
        <v>0</v>
      </c>
    </row>
    <row r="101">
      <c r="A101" s="19" t="inlineStr">
        <is>
          <t xml:space="preserve">POR CLIENTE — mês inteiro (todos os clientes). Estoque = último valor do mês.</t>
        </is>
      </c>
    </row>
    <row r="102" ht="30" customHeight="1">
      <c r="A102" s="37" t="inlineStr">
        <is>
          <t xml:space="preserve">Indicador</t>
        </is>
      </c>
      <c r="B102" s="37" t="str">
        <f>Config!$B$10&amp;""</f>
        <v>Alpargatas</v>
      </c>
      <c r="C102" s="37" t="str">
        <f>Config!$B$11&amp;""</f>
        <v>Basf</v>
      </c>
      <c r="D102" s="37" t="str">
        <f>Config!$B$12&amp;""</f>
        <v>Beautybiz</v>
      </c>
      <c r="E102" s="37" t="str">
        <f>Config!$B$13&amp;""</f>
        <v>Boticário</v>
      </c>
      <c r="F102" s="37" t="str">
        <f>Config!$B$14&amp;""</f>
        <v>Confiance</v>
      </c>
      <c r="G102" s="37" t="str">
        <f>Config!$B$15&amp;""</f>
        <v>GE Vernova</v>
      </c>
      <c r="H102" s="37" t="str">
        <f>Config!$B$16&amp;""</f>
        <v>Omnilife</v>
      </c>
      <c r="I102" s="37" t="str">
        <f>Config!$B$17&amp;""</f>
        <v>Supply</v>
      </c>
      <c r="J102" s="37" t="str">
        <f>Config!$B$18&amp;""</f>
        <v>Vedacit</v>
      </c>
      <c r="K102" s="37" t="str">
        <f>Config!$B$19&amp;""</f>
        <v>Vestas</v>
      </c>
      <c r="L102" s="37" t="str">
        <f>Config!$B$20&amp;""</f>
        <v/>
      </c>
      <c r="M102" s="37" t="str">
        <f>Config!$B$21&amp;""</f>
        <v/>
      </c>
      <c r="N102" s="37" t="str">
        <f>Config!$B$22&amp;""</f>
        <v/>
      </c>
      <c r="O102" s="37" t="str">
        <f>Config!$B$23&amp;""</f>
        <v/>
      </c>
      <c r="P102" s="37" t="str">
        <f>Config!$B$24&amp;""</f>
        <v/>
      </c>
      <c r="Q102" s="37" t="str">
        <f>Config!$B$25&amp;""</f>
        <v/>
      </c>
      <c r="R102" s="37" t="str">
        <f>Config!$B$26&amp;""</f>
        <v/>
      </c>
      <c r="S102" s="37" t="str">
        <f>Config!$B$27&amp;""</f>
        <v/>
      </c>
      <c r="T102" s="37" t="str">
        <f>Config!$B$28&amp;""</f>
        <v/>
      </c>
      <c r="U102" s="37" t="str">
        <f>Config!$B$29&amp;""</f>
        <v/>
      </c>
      <c r="V102" s="37" t="inlineStr">
        <is>
          <t xml:space="preserve">TOTAL</t>
        </is>
      </c>
    </row>
    <row r="103">
      <c r="A103" s="29" t="inlineStr">
        <is>
          <t xml:space="preserve">IN · Veículos Recebidos</t>
        </is>
      </c>
      <c r="B103" s="32">
        <f>IF(B$102="","",IF(Config!$D$35&lt;&gt;"Não",SUMIFS(BD!$C$3:$C$5001,BD!$B$3:$B$5001,B$102,BD!$A$3:$A$5001,"&gt;="&amp;$C$7,BD!$A$3:$A$5001,"&lt;="&amp;$D$7),"—"))</f>
        <v>0</v>
      </c>
      <c r="C103" s="32">
        <f>IF(C$102="","",IF(Config!$D$36&lt;&gt;"Não",SUMIFS(BD!$C$3:$C$5001,BD!$B$3:$B$5001,C$102,BD!$A$3:$A$5001,"&gt;="&amp;$C$7,BD!$A$3:$A$5001,"&lt;="&amp;$D$7),"—"))</f>
        <v>0</v>
      </c>
      <c r="D103" s="32">
        <f>IF(D$102="","",IF(Config!$D$37&lt;&gt;"Não",SUMIFS(BD!$C$3:$C$5001,BD!$B$3:$B$5001,D$102,BD!$A$3:$A$5001,"&gt;="&amp;$C$7,BD!$A$3:$A$5001,"&lt;="&amp;$D$7),"—"))</f>
        <v>0</v>
      </c>
      <c r="E103" s="32">
        <f>IF(E$102="","",IF(Config!$D$38&lt;&gt;"Não",SUMIFS(BD!$C$3:$C$5001,BD!$B$3:$B$5001,E$102,BD!$A$3:$A$5001,"&gt;="&amp;$C$7,BD!$A$3:$A$5001,"&lt;="&amp;$D$7),"—"))</f>
        <v>0</v>
      </c>
      <c r="F103" s="32">
        <f>IF(F$102="","",IF(Config!$D$39&lt;&gt;"Não",SUMIFS(BD!$C$3:$C$5001,BD!$B$3:$B$5001,F$102,BD!$A$3:$A$5001,"&gt;="&amp;$C$7,BD!$A$3:$A$5001,"&lt;="&amp;$D$7),"—"))</f>
        <v>0</v>
      </c>
      <c r="G103" s="32">
        <f>IF(G$102="","",IF(Config!$D$40&lt;&gt;"Não",SUMIFS(BD!$C$3:$C$5001,BD!$B$3:$B$5001,G$102,BD!$A$3:$A$5001,"&gt;="&amp;$C$7,BD!$A$3:$A$5001,"&lt;="&amp;$D$7),"—"))</f>
        <v>0</v>
      </c>
      <c r="H103" s="32">
        <f>IF(H$102="","",IF(Config!$D$41&lt;&gt;"Não",SUMIFS(BD!$C$3:$C$5001,BD!$B$3:$B$5001,H$102,BD!$A$3:$A$5001,"&gt;="&amp;$C$7,BD!$A$3:$A$5001,"&lt;="&amp;$D$7),"—"))</f>
        <v>0</v>
      </c>
      <c r="I103" s="32">
        <f>IF(I$102="","",IF(Config!$D$42&lt;&gt;"Não",SUMIFS(BD!$C$3:$C$5001,BD!$B$3:$B$5001,I$102,BD!$A$3:$A$5001,"&gt;="&amp;$C$7,BD!$A$3:$A$5001,"&lt;="&amp;$D$7),"—"))</f>
        <v>0</v>
      </c>
      <c r="J103" s="32">
        <f>IF(J$102="","",IF(Config!$D$43&lt;&gt;"Não",SUMIFS(BD!$C$3:$C$5001,BD!$B$3:$B$5001,J$102,BD!$A$3:$A$5001,"&gt;="&amp;$C$7,BD!$A$3:$A$5001,"&lt;="&amp;$D$7),"—"))</f>
        <v>0</v>
      </c>
      <c r="K103" s="32">
        <f>IF(K$102="","",IF(Config!$D$44&lt;&gt;"Não",SUMIFS(BD!$C$3:$C$5001,BD!$B$3:$B$5001,K$102,BD!$A$3:$A$5001,"&gt;="&amp;$C$7,BD!$A$3:$A$5001,"&lt;="&amp;$D$7),"—"))</f>
        <v>0</v>
      </c>
      <c r="L103" s="32" t="str">
        <f>IF(L$102="","",IF(Config!$D$45&lt;&gt;"Não",SUMIFS(BD!$C$3:$C$5001,BD!$B$3:$B$5001,L$102,BD!$A$3:$A$5001,"&gt;="&amp;$C$7,BD!$A$3:$A$5001,"&lt;="&amp;$D$7),"—"))</f>
        <v/>
      </c>
      <c r="M103" s="32" t="str">
        <f>IF(M$102="","",IF(Config!$D$46&lt;&gt;"Não",SUMIFS(BD!$C$3:$C$5001,BD!$B$3:$B$5001,M$102,BD!$A$3:$A$5001,"&gt;="&amp;$C$7,BD!$A$3:$A$5001,"&lt;="&amp;$D$7),"—"))</f>
        <v/>
      </c>
      <c r="N103" s="32" t="str">
        <f>IF(N$102="","",IF(Config!$D$47&lt;&gt;"Não",SUMIFS(BD!$C$3:$C$5001,BD!$B$3:$B$5001,N$102,BD!$A$3:$A$5001,"&gt;="&amp;$C$7,BD!$A$3:$A$5001,"&lt;="&amp;$D$7),"—"))</f>
        <v/>
      </c>
      <c r="O103" s="32" t="str">
        <f>IF(O$102="","",IF(Config!$D$48&lt;&gt;"Não",SUMIFS(BD!$C$3:$C$5001,BD!$B$3:$B$5001,O$102,BD!$A$3:$A$5001,"&gt;="&amp;$C$7,BD!$A$3:$A$5001,"&lt;="&amp;$D$7),"—"))</f>
        <v/>
      </c>
      <c r="P103" s="32" t="str">
        <f>IF(P$102="","",IF(Config!$D$49&lt;&gt;"Não",SUMIFS(BD!$C$3:$C$5001,BD!$B$3:$B$5001,P$102,BD!$A$3:$A$5001,"&gt;="&amp;$C$7,BD!$A$3:$A$5001,"&lt;="&amp;$D$7),"—"))</f>
        <v/>
      </c>
      <c r="Q103" s="32" t="str">
        <f>IF(Q$102="","",IF(Config!$D$50&lt;&gt;"Não",SUMIFS(BD!$C$3:$C$5001,BD!$B$3:$B$5001,Q$102,BD!$A$3:$A$5001,"&gt;="&amp;$C$7,BD!$A$3:$A$5001,"&lt;="&amp;$D$7),"—"))</f>
        <v/>
      </c>
      <c r="R103" s="32" t="str">
        <f>IF(R$102="","",IF(Config!$D$51&lt;&gt;"Não",SUMIFS(BD!$C$3:$C$5001,BD!$B$3:$B$5001,R$102,BD!$A$3:$A$5001,"&gt;="&amp;$C$7,BD!$A$3:$A$5001,"&lt;="&amp;$D$7),"—"))</f>
        <v/>
      </c>
      <c r="S103" s="32" t="str">
        <f>IF(S$102="","",IF(Config!$D$52&lt;&gt;"Não",SUMIFS(BD!$C$3:$C$5001,BD!$B$3:$B$5001,S$102,BD!$A$3:$A$5001,"&gt;="&amp;$C$7,BD!$A$3:$A$5001,"&lt;="&amp;$D$7),"—"))</f>
        <v/>
      </c>
      <c r="T103" s="32" t="str">
        <f>IF(T$102="","",IF(Config!$D$53&lt;&gt;"Não",SUMIFS(BD!$C$3:$C$5001,BD!$B$3:$B$5001,T$102,BD!$A$3:$A$5001,"&gt;="&amp;$C$7,BD!$A$3:$A$5001,"&lt;="&amp;$D$7),"—"))</f>
        <v/>
      </c>
      <c r="U103" s="32" t="str">
        <f>IF(U$102="","",IF(Config!$D$54&lt;&gt;"Não",SUMIFS(BD!$C$3:$C$5001,BD!$B$3:$B$5001,U$102,BD!$A$3:$A$5001,"&gt;="&amp;$C$7,BD!$A$3:$A$5001,"&lt;="&amp;$D$7),"—"))</f>
        <v/>
      </c>
      <c r="V103" s="62">
        <f>SUM(B103:U103)</f>
        <v>0</v>
      </c>
    </row>
    <row r="104">
      <c r="A104" s="29" t="inlineStr">
        <is>
          <t xml:space="preserve">IN · Pallets Movimentados</t>
        </is>
      </c>
      <c r="B104" s="32" t="str">
        <f>IF(B$102="","",IF(Config!$E$35&lt;&gt;"Não",SUMIFS(BD!$D$3:$D$5001,BD!$B$3:$B$5001,B$102,BD!$A$3:$A$5001,"&gt;="&amp;$C$7,BD!$A$3:$A$5001,"&lt;="&amp;$D$7),"—"))</f>
        <v>—</v>
      </c>
      <c r="C104" s="32">
        <f>IF(C$102="","",IF(Config!$E$36&lt;&gt;"Não",SUMIFS(BD!$D$3:$D$5001,BD!$B$3:$B$5001,C$102,BD!$A$3:$A$5001,"&gt;="&amp;$C$7,BD!$A$3:$A$5001,"&lt;="&amp;$D$7),"—"))</f>
        <v>0</v>
      </c>
      <c r="D104" s="32">
        <f>IF(D$102="","",IF(Config!$E$37&lt;&gt;"Não",SUMIFS(BD!$D$3:$D$5001,BD!$B$3:$B$5001,D$102,BD!$A$3:$A$5001,"&gt;="&amp;$C$7,BD!$A$3:$A$5001,"&lt;="&amp;$D$7),"—"))</f>
        <v>0</v>
      </c>
      <c r="E104" s="32" t="str">
        <f>IF(E$102="","",IF(Config!$E$38&lt;&gt;"Não",SUMIFS(BD!$D$3:$D$5001,BD!$B$3:$B$5001,E$102,BD!$A$3:$A$5001,"&gt;="&amp;$C$7,BD!$A$3:$A$5001,"&lt;="&amp;$D$7),"—"))</f>
        <v>—</v>
      </c>
      <c r="F104" s="32">
        <f>IF(F$102="","",IF(Config!$E$39&lt;&gt;"Não",SUMIFS(BD!$D$3:$D$5001,BD!$B$3:$B$5001,F$102,BD!$A$3:$A$5001,"&gt;="&amp;$C$7,BD!$A$3:$A$5001,"&lt;="&amp;$D$7),"—"))</f>
        <v>0</v>
      </c>
      <c r="G104" s="32">
        <f>IF(G$102="","",IF(Config!$E$40&lt;&gt;"Não",SUMIFS(BD!$D$3:$D$5001,BD!$B$3:$B$5001,G$102,BD!$A$3:$A$5001,"&gt;="&amp;$C$7,BD!$A$3:$A$5001,"&lt;="&amp;$D$7),"—"))</f>
        <v>0</v>
      </c>
      <c r="H104" s="32">
        <f>IF(H$102="","",IF(Config!$E$41&lt;&gt;"Não",SUMIFS(BD!$D$3:$D$5001,BD!$B$3:$B$5001,H$102,BD!$A$3:$A$5001,"&gt;="&amp;$C$7,BD!$A$3:$A$5001,"&lt;="&amp;$D$7),"—"))</f>
        <v>0</v>
      </c>
      <c r="I104" s="32">
        <f>IF(I$102="","",IF(Config!$E$42&lt;&gt;"Não",SUMIFS(BD!$D$3:$D$5001,BD!$B$3:$B$5001,I$102,BD!$A$3:$A$5001,"&gt;="&amp;$C$7,BD!$A$3:$A$5001,"&lt;="&amp;$D$7),"—"))</f>
        <v>0</v>
      </c>
      <c r="J104" s="32">
        <f>IF(J$102="","",IF(Config!$E$43&lt;&gt;"Não",SUMIFS(BD!$D$3:$D$5001,BD!$B$3:$B$5001,J$102,BD!$A$3:$A$5001,"&gt;="&amp;$C$7,BD!$A$3:$A$5001,"&lt;="&amp;$D$7),"—"))</f>
        <v>0</v>
      </c>
      <c r="K104" s="32" t="str">
        <f>IF(K$102="","",IF(Config!$E$44&lt;&gt;"Não",SUMIFS(BD!$D$3:$D$5001,BD!$B$3:$B$5001,K$102,BD!$A$3:$A$5001,"&gt;="&amp;$C$7,BD!$A$3:$A$5001,"&lt;="&amp;$D$7),"—"))</f>
        <v>—</v>
      </c>
      <c r="L104" s="32" t="str">
        <f>IF(L$102="","",IF(Config!$E$45&lt;&gt;"Não",SUMIFS(BD!$D$3:$D$5001,BD!$B$3:$B$5001,L$102,BD!$A$3:$A$5001,"&gt;="&amp;$C$7,BD!$A$3:$A$5001,"&lt;="&amp;$D$7),"—"))</f>
        <v/>
      </c>
      <c r="M104" s="32" t="str">
        <f>IF(M$102="","",IF(Config!$E$46&lt;&gt;"Não",SUMIFS(BD!$D$3:$D$5001,BD!$B$3:$B$5001,M$102,BD!$A$3:$A$5001,"&gt;="&amp;$C$7,BD!$A$3:$A$5001,"&lt;="&amp;$D$7),"—"))</f>
        <v/>
      </c>
      <c r="N104" s="32" t="str">
        <f>IF(N$102="","",IF(Config!$E$47&lt;&gt;"Não",SUMIFS(BD!$D$3:$D$5001,BD!$B$3:$B$5001,N$102,BD!$A$3:$A$5001,"&gt;="&amp;$C$7,BD!$A$3:$A$5001,"&lt;="&amp;$D$7),"—"))</f>
        <v/>
      </c>
      <c r="O104" s="32" t="str">
        <f>IF(O$102="","",IF(Config!$E$48&lt;&gt;"Não",SUMIFS(BD!$D$3:$D$5001,BD!$B$3:$B$5001,O$102,BD!$A$3:$A$5001,"&gt;="&amp;$C$7,BD!$A$3:$A$5001,"&lt;="&amp;$D$7),"—"))</f>
        <v/>
      </c>
      <c r="P104" s="32" t="str">
        <f>IF(P$102="","",IF(Config!$E$49&lt;&gt;"Não",SUMIFS(BD!$D$3:$D$5001,BD!$B$3:$B$5001,P$102,BD!$A$3:$A$5001,"&gt;="&amp;$C$7,BD!$A$3:$A$5001,"&lt;="&amp;$D$7),"—"))</f>
        <v/>
      </c>
      <c r="Q104" s="32" t="str">
        <f>IF(Q$102="","",IF(Config!$E$50&lt;&gt;"Não",SUMIFS(BD!$D$3:$D$5001,BD!$B$3:$B$5001,Q$102,BD!$A$3:$A$5001,"&gt;="&amp;$C$7,BD!$A$3:$A$5001,"&lt;="&amp;$D$7),"—"))</f>
        <v/>
      </c>
      <c r="R104" s="32" t="str">
        <f>IF(R$102="","",IF(Config!$E$51&lt;&gt;"Não",SUMIFS(BD!$D$3:$D$5001,BD!$B$3:$B$5001,R$102,BD!$A$3:$A$5001,"&gt;="&amp;$C$7,BD!$A$3:$A$5001,"&lt;="&amp;$D$7),"—"))</f>
        <v/>
      </c>
      <c r="S104" s="32" t="str">
        <f>IF(S$102="","",IF(Config!$E$52&lt;&gt;"Não",SUMIFS(BD!$D$3:$D$5001,BD!$B$3:$B$5001,S$102,BD!$A$3:$A$5001,"&gt;="&amp;$C$7,BD!$A$3:$A$5001,"&lt;="&amp;$D$7),"—"))</f>
        <v/>
      </c>
      <c r="T104" s="32" t="str">
        <f>IF(T$102="","",IF(Config!$E$53&lt;&gt;"Não",SUMIFS(BD!$D$3:$D$5001,BD!$B$3:$B$5001,T$102,BD!$A$3:$A$5001,"&gt;="&amp;$C$7,BD!$A$3:$A$5001,"&lt;="&amp;$D$7),"—"))</f>
        <v/>
      </c>
      <c r="U104" s="32" t="str">
        <f>IF(U$102="","",IF(Config!$E$54&lt;&gt;"Não",SUMIFS(BD!$D$3:$D$5001,BD!$B$3:$B$5001,U$102,BD!$A$3:$A$5001,"&gt;="&amp;$C$7,BD!$A$3:$A$5001,"&lt;="&amp;$D$7),"—"))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IN · Toneladas Movimentadas</t>
        </is>
      </c>
      <c r="B105" s="61" t="str">
        <f>IF(B$102="","",IF(Config!$F$35&lt;&gt;"Não",SUMIFS(BD!$E$3:$E$5001,BD!$B$3:$B$5001,B$102,BD!$A$3:$A$5001,"&gt;="&amp;$C$7,BD!$A$3:$A$5001,"&lt;="&amp;$D$7),"—"))</f>
        <v>—</v>
      </c>
      <c r="C105" s="61">
        <f>IF(C$102="","",IF(Config!$F$36&lt;&gt;"Não",SUMIFS(BD!$E$3:$E$5001,BD!$B$3:$B$5001,C$102,BD!$A$3:$A$5001,"&gt;="&amp;$C$7,BD!$A$3:$A$5001,"&lt;="&amp;$D$7),"—"))</f>
        <v>0</v>
      </c>
      <c r="D105" s="61" t="str">
        <f>IF(D$102="","",IF(Config!$F$37&lt;&gt;"Não",SUMIFS(BD!$E$3:$E$5001,BD!$B$3:$B$5001,D$102,BD!$A$3:$A$5001,"&gt;="&amp;$C$7,BD!$A$3:$A$5001,"&lt;="&amp;$D$7),"—"))</f>
        <v>—</v>
      </c>
      <c r="E105" s="61" t="str">
        <f>IF(E$102="","",IF(Config!$F$38&lt;&gt;"Não",SUMIFS(BD!$E$3:$E$5001,BD!$B$3:$B$5001,E$102,BD!$A$3:$A$5001,"&gt;="&amp;$C$7,BD!$A$3:$A$5001,"&lt;="&amp;$D$7),"—"))</f>
        <v>—</v>
      </c>
      <c r="F105" s="61">
        <f>IF(F$102="","",IF(Config!$F$39&lt;&gt;"Não",SUMIFS(BD!$E$3:$E$5001,BD!$B$3:$B$5001,F$102,BD!$A$3:$A$5001,"&gt;="&amp;$C$7,BD!$A$3:$A$5001,"&lt;="&amp;$D$7),"—"))</f>
        <v>0</v>
      </c>
      <c r="G105" s="61" t="str">
        <f>IF(G$102="","",IF(Config!$F$40&lt;&gt;"Não",SUMIFS(BD!$E$3:$E$5001,BD!$B$3:$B$5001,G$102,BD!$A$3:$A$5001,"&gt;="&amp;$C$7,BD!$A$3:$A$5001,"&lt;="&amp;$D$7),"—"))</f>
        <v>—</v>
      </c>
      <c r="H105" s="61" t="str">
        <f>IF(H$102="","",IF(Config!$F$41&lt;&gt;"Não",SUMIFS(BD!$E$3:$E$5001,BD!$B$3:$B$5001,H$102,BD!$A$3:$A$5001,"&gt;="&amp;$C$7,BD!$A$3:$A$5001,"&lt;="&amp;$D$7),"—"))</f>
        <v>—</v>
      </c>
      <c r="I105" s="61">
        <f>IF(I$102="","",IF(Config!$F$42&lt;&gt;"Não",SUMIFS(BD!$E$3:$E$5001,BD!$B$3:$B$5001,I$102,BD!$A$3:$A$5001,"&gt;="&amp;$C$7,BD!$A$3:$A$5001,"&lt;="&amp;$D$7),"—"))</f>
        <v>0</v>
      </c>
      <c r="J105" s="61" t="str">
        <f>IF(J$102="","",IF(Config!$F$43&lt;&gt;"Não",SUMIFS(BD!$E$3:$E$5001,BD!$B$3:$B$5001,J$102,BD!$A$3:$A$5001,"&gt;="&amp;$C$7,BD!$A$3:$A$5001,"&lt;="&amp;$D$7),"—"))</f>
        <v>—</v>
      </c>
      <c r="K105" s="61" t="str">
        <f>IF(K$102="","",IF(Config!$F$44&lt;&gt;"Não",SUMIFS(BD!$E$3:$E$5001,BD!$B$3:$B$5001,K$102,BD!$A$3:$A$5001,"&gt;="&amp;$C$7,BD!$A$3:$A$5001,"&lt;="&amp;$D$7),"—"))</f>
        <v>—</v>
      </c>
      <c r="L105" s="61" t="str">
        <f>IF(L$102="","",IF(Config!$F$45&lt;&gt;"Não",SUMIFS(BD!$E$3:$E$5001,BD!$B$3:$B$5001,L$102,BD!$A$3:$A$5001,"&gt;="&amp;$C$7,BD!$A$3:$A$5001,"&lt;="&amp;$D$7),"—"))</f>
        <v/>
      </c>
      <c r="M105" s="61" t="str">
        <f>IF(M$102="","",IF(Config!$F$46&lt;&gt;"Não",SUMIFS(BD!$E$3:$E$5001,BD!$B$3:$B$5001,M$102,BD!$A$3:$A$5001,"&gt;="&amp;$C$7,BD!$A$3:$A$5001,"&lt;="&amp;$D$7),"—"))</f>
        <v/>
      </c>
      <c r="N105" s="61" t="str">
        <f>IF(N$102="","",IF(Config!$F$47&lt;&gt;"Não",SUMIFS(BD!$E$3:$E$5001,BD!$B$3:$B$5001,N$102,BD!$A$3:$A$5001,"&gt;="&amp;$C$7,BD!$A$3:$A$5001,"&lt;="&amp;$D$7),"—"))</f>
        <v/>
      </c>
      <c r="O105" s="61" t="str">
        <f>IF(O$102="","",IF(Config!$F$48&lt;&gt;"Não",SUMIFS(BD!$E$3:$E$5001,BD!$B$3:$B$5001,O$102,BD!$A$3:$A$5001,"&gt;="&amp;$C$7,BD!$A$3:$A$5001,"&lt;="&amp;$D$7),"—"))</f>
        <v/>
      </c>
      <c r="P105" s="61" t="str">
        <f>IF(P$102="","",IF(Config!$F$49&lt;&gt;"Não",SUMIFS(BD!$E$3:$E$5001,BD!$B$3:$B$5001,P$102,BD!$A$3:$A$5001,"&gt;="&amp;$C$7,BD!$A$3:$A$5001,"&lt;="&amp;$D$7),"—"))</f>
        <v/>
      </c>
      <c r="Q105" s="61" t="str">
        <f>IF(Q$102="","",IF(Config!$F$50&lt;&gt;"Não",SUMIFS(BD!$E$3:$E$5001,BD!$B$3:$B$5001,Q$102,BD!$A$3:$A$5001,"&gt;="&amp;$C$7,BD!$A$3:$A$5001,"&lt;="&amp;$D$7),"—"))</f>
        <v/>
      </c>
      <c r="R105" s="61" t="str">
        <f>IF(R$102="","",IF(Config!$F$51&lt;&gt;"Não",SUMIFS(BD!$E$3:$E$5001,BD!$B$3:$B$5001,R$102,BD!$A$3:$A$5001,"&gt;="&amp;$C$7,BD!$A$3:$A$5001,"&lt;="&amp;$D$7),"—"))</f>
        <v/>
      </c>
      <c r="S105" s="61" t="str">
        <f>IF(S$102="","",IF(Config!$F$52&lt;&gt;"Não",SUMIFS(BD!$E$3:$E$5001,BD!$B$3:$B$5001,S$102,BD!$A$3:$A$5001,"&gt;="&amp;$C$7,BD!$A$3:$A$5001,"&lt;="&amp;$D$7),"—"))</f>
        <v/>
      </c>
      <c r="T105" s="61" t="str">
        <f>IF(T$102="","",IF(Config!$F$53&lt;&gt;"Não",SUMIFS(BD!$E$3:$E$5001,BD!$B$3:$B$5001,T$102,BD!$A$3:$A$5001,"&gt;="&amp;$C$7,BD!$A$3:$A$5001,"&lt;="&amp;$D$7),"—"))</f>
        <v/>
      </c>
      <c r="U105" s="61" t="str">
        <f>IF(U$102="","",IF(Config!$F$54&lt;&gt;"Não",SUMIFS(BD!$E$3:$E$5001,BD!$B$3:$B$5001,U$102,BD!$A$3:$A$5001,"&gt;="&amp;$C$7,BD!$A$3:$A$5001,"&lt;="&amp;$D$7),"—"))</f>
        <v/>
      </c>
      <c r="V105" s="63">
        <f>SUM(B105:U105)</f>
        <v>0</v>
      </c>
    </row>
    <row r="106">
      <c r="A106" s="29" t="inlineStr">
        <is>
          <t xml:space="preserve">IN · Linhas NF</t>
        </is>
      </c>
      <c r="B106" s="32" t="str">
        <f>IF(B$102="","",IF(Config!$G$35&lt;&gt;"Não",SUMIFS(BD!$F$3:$F$5001,BD!$B$3:$B$5001,B$102,BD!$A$3:$A$5001,"&gt;="&amp;$C$7,BD!$A$3:$A$5001,"&lt;="&amp;$D$7),"—"))</f>
        <v>—</v>
      </c>
      <c r="C106" s="32" t="str">
        <f>IF(C$102="","",IF(Config!$G$36&lt;&gt;"Não",SUMIFS(BD!$F$3:$F$5001,BD!$B$3:$B$5001,C$102,BD!$A$3:$A$5001,"&gt;="&amp;$C$7,BD!$A$3:$A$5001,"&lt;="&amp;$D$7),"—"))</f>
        <v>—</v>
      </c>
      <c r="D106" s="32" t="str">
        <f>IF(D$102="","",IF(Config!$G$37&lt;&gt;"Não",SUMIFS(BD!$F$3:$F$5001,BD!$B$3:$B$5001,D$102,BD!$A$3:$A$5001,"&gt;="&amp;$C$7,BD!$A$3:$A$5001,"&lt;="&amp;$D$7),"—"))</f>
        <v>—</v>
      </c>
      <c r="E106" s="32" t="str">
        <f>IF(E$102="","",IF(Config!$G$38&lt;&gt;"Não",SUMIFS(BD!$F$3:$F$5001,BD!$B$3:$B$5001,E$102,BD!$A$3:$A$5001,"&gt;="&amp;$C$7,BD!$A$3:$A$5001,"&lt;="&amp;$D$7),"—"))</f>
        <v>—</v>
      </c>
      <c r="F106" s="32" t="str">
        <f>IF(F$102="","",IF(Config!$G$39&lt;&gt;"Não",SUMIFS(BD!$F$3:$F$5001,BD!$B$3:$B$5001,F$102,BD!$A$3:$A$5001,"&gt;="&amp;$C$7,BD!$A$3:$A$5001,"&lt;="&amp;$D$7),"—"))</f>
        <v>—</v>
      </c>
      <c r="G106" s="32">
        <f>IF(G$102="","",IF(Config!$G$40&lt;&gt;"Não",SUMIFS(BD!$F$3:$F$5001,BD!$B$3:$B$5001,G$102,BD!$A$3:$A$5001,"&gt;="&amp;$C$7,BD!$A$3:$A$5001,"&lt;="&amp;$D$7),"—"))</f>
        <v>0</v>
      </c>
      <c r="H106" s="32" t="str">
        <f>IF(H$102="","",IF(Config!$G$41&lt;&gt;"Não",SUMIFS(BD!$F$3:$F$5001,BD!$B$3:$B$5001,H$102,BD!$A$3:$A$5001,"&gt;="&amp;$C$7,BD!$A$3:$A$5001,"&lt;="&amp;$D$7),"—"))</f>
        <v>—</v>
      </c>
      <c r="I106" s="32" t="str">
        <f>IF(I$102="","",IF(Config!$G$42&lt;&gt;"Não",SUMIFS(BD!$F$3:$F$5001,BD!$B$3:$B$5001,I$102,BD!$A$3:$A$5001,"&gt;="&amp;$C$7,BD!$A$3:$A$5001,"&lt;="&amp;$D$7),"—"))</f>
        <v>—</v>
      </c>
      <c r="J106" s="32" t="str">
        <f>IF(J$102="","",IF(Config!$G$43&lt;&gt;"Não",SUMIFS(BD!$F$3:$F$5001,BD!$B$3:$B$5001,J$102,BD!$A$3:$A$5001,"&gt;="&amp;$C$7,BD!$A$3:$A$5001,"&lt;="&amp;$D$7),"—"))</f>
        <v>—</v>
      </c>
      <c r="K106" s="32">
        <f>IF(K$102="","",IF(Config!$G$44&lt;&gt;"Não",SUMIFS(BD!$F$3:$F$5001,BD!$B$3:$B$5001,K$102,BD!$A$3:$A$5001,"&gt;="&amp;$C$7,BD!$A$3:$A$5001,"&lt;="&amp;$D$7),"—"))</f>
        <v>0</v>
      </c>
      <c r="L106" s="32" t="str">
        <f>IF(L$102="","",IF(Config!$G$45&lt;&gt;"Não",SUMIFS(BD!$F$3:$F$5001,BD!$B$3:$B$5001,L$102,BD!$A$3:$A$5001,"&gt;="&amp;$C$7,BD!$A$3:$A$5001,"&lt;="&amp;$D$7),"—"))</f>
        <v/>
      </c>
      <c r="M106" s="32" t="str">
        <f>IF(M$102="","",IF(Config!$G$46&lt;&gt;"Não",SUMIFS(BD!$F$3:$F$5001,BD!$B$3:$B$5001,M$102,BD!$A$3:$A$5001,"&gt;="&amp;$C$7,BD!$A$3:$A$5001,"&lt;="&amp;$D$7),"—"))</f>
        <v/>
      </c>
      <c r="N106" s="32" t="str">
        <f>IF(N$102="","",IF(Config!$G$47&lt;&gt;"Não",SUMIFS(BD!$F$3:$F$5001,BD!$B$3:$B$5001,N$102,BD!$A$3:$A$5001,"&gt;="&amp;$C$7,BD!$A$3:$A$5001,"&lt;="&amp;$D$7),"—"))</f>
        <v/>
      </c>
      <c r="O106" s="32" t="str">
        <f>IF(O$102="","",IF(Config!$G$48&lt;&gt;"Não",SUMIFS(BD!$F$3:$F$5001,BD!$B$3:$B$5001,O$102,BD!$A$3:$A$5001,"&gt;="&amp;$C$7,BD!$A$3:$A$5001,"&lt;="&amp;$D$7),"—"))</f>
        <v/>
      </c>
      <c r="P106" s="32" t="str">
        <f>IF(P$102="","",IF(Config!$G$49&lt;&gt;"Não",SUMIFS(BD!$F$3:$F$5001,BD!$B$3:$B$5001,P$102,BD!$A$3:$A$5001,"&gt;="&amp;$C$7,BD!$A$3:$A$5001,"&lt;="&amp;$D$7),"—"))</f>
        <v/>
      </c>
      <c r="Q106" s="32" t="str">
        <f>IF(Q$102="","",IF(Config!$G$50&lt;&gt;"Não",SUMIFS(BD!$F$3:$F$5001,BD!$B$3:$B$5001,Q$102,BD!$A$3:$A$5001,"&gt;="&amp;$C$7,BD!$A$3:$A$5001,"&lt;="&amp;$D$7),"—"))</f>
        <v/>
      </c>
      <c r="R106" s="32" t="str">
        <f>IF(R$102="","",IF(Config!$G$51&lt;&gt;"Não",SUMIFS(BD!$F$3:$F$5001,BD!$B$3:$B$5001,R$102,BD!$A$3:$A$5001,"&gt;="&amp;$C$7,BD!$A$3:$A$5001,"&lt;="&amp;$D$7),"—"))</f>
        <v/>
      </c>
      <c r="S106" s="32" t="str">
        <f>IF(S$102="","",IF(Config!$G$52&lt;&gt;"Não",SUMIFS(BD!$F$3:$F$5001,BD!$B$3:$B$5001,S$102,BD!$A$3:$A$5001,"&gt;="&amp;$C$7,BD!$A$3:$A$5001,"&lt;="&amp;$D$7),"—"))</f>
        <v/>
      </c>
      <c r="T106" s="32" t="str">
        <f>IF(T$102="","",IF(Config!$G$53&lt;&gt;"Não",SUMIFS(BD!$F$3:$F$5001,BD!$B$3:$B$5001,T$102,BD!$A$3:$A$5001,"&gt;="&amp;$C$7,BD!$A$3:$A$5001,"&lt;="&amp;$D$7),"—"))</f>
        <v/>
      </c>
      <c r="U106" s="32" t="str">
        <f>IF(U$102="","",IF(Config!$G$54&lt;&gt;"Não",SUMIFS(BD!$F$3:$F$5001,BD!$B$3:$B$5001,U$102,BD!$A$3:$A$5001,"&gt;="&amp;$C$7,BD!$A$3:$A$5001,"&lt;="&amp;$D$7),"—"))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IN · Caixas Movimentadas</t>
        </is>
      </c>
      <c r="B107" s="32">
        <f>IF(B$102="","",IF(Config!$H$35&lt;&gt;"Não",SUMIFS(BD!$G$3:$G$5001,BD!$B$3:$B$5001,B$102,BD!$A$3:$A$5001,"&gt;="&amp;$C$7,BD!$A$3:$A$5001,"&lt;="&amp;$D$7),"—"))</f>
        <v>0</v>
      </c>
      <c r="C107" s="32" t="str">
        <f>IF(C$102="","",IF(Config!$H$36&lt;&gt;"Não",SUMIFS(BD!$G$3:$G$5001,BD!$B$3:$B$5001,C$102,BD!$A$3:$A$5001,"&gt;="&amp;$C$7,BD!$A$3:$A$5001,"&lt;="&amp;$D$7),"—"))</f>
        <v>—</v>
      </c>
      <c r="D107" s="32">
        <f>IF(D$102="","",IF(Config!$H$37&lt;&gt;"Não",SUMIFS(BD!$G$3:$G$5001,BD!$B$3:$B$5001,D$102,BD!$A$3:$A$5001,"&gt;="&amp;$C$7,BD!$A$3:$A$5001,"&lt;="&amp;$D$7),"—"))</f>
        <v>0</v>
      </c>
      <c r="E107" s="32" t="str">
        <f>IF(E$102="","",IF(Config!$H$38&lt;&gt;"Não",SUMIFS(BD!$G$3:$G$5001,BD!$B$3:$B$5001,E$102,BD!$A$3:$A$5001,"&gt;="&amp;$C$7,BD!$A$3:$A$5001,"&lt;="&amp;$D$7),"—"))</f>
        <v>—</v>
      </c>
      <c r="F107" s="32" t="str">
        <f>IF(F$102="","",IF(Config!$H$39&lt;&gt;"Não",SUMIFS(BD!$G$3:$G$5001,BD!$B$3:$B$5001,F$102,BD!$A$3:$A$5001,"&gt;="&amp;$C$7,BD!$A$3:$A$5001,"&lt;="&amp;$D$7),"—"))</f>
        <v>—</v>
      </c>
      <c r="G107" s="32" t="str">
        <f>IF(G$102="","",IF(Config!$H$40&lt;&gt;"Não",SUMIFS(BD!$G$3:$G$5001,BD!$B$3:$B$5001,G$102,BD!$A$3:$A$5001,"&gt;="&amp;$C$7,BD!$A$3:$A$5001,"&lt;="&amp;$D$7),"—"))</f>
        <v>—</v>
      </c>
      <c r="H107" s="32" t="str">
        <f>IF(H$102="","",IF(Config!$H$41&lt;&gt;"Não",SUMIFS(BD!$G$3:$G$5001,BD!$B$3:$B$5001,H$102,BD!$A$3:$A$5001,"&gt;="&amp;$C$7,BD!$A$3:$A$5001,"&lt;="&amp;$D$7),"—"))</f>
        <v>—</v>
      </c>
      <c r="I107" s="32" t="str">
        <f>IF(I$102="","",IF(Config!$H$42&lt;&gt;"Não",SUMIFS(BD!$G$3:$G$5001,BD!$B$3:$B$5001,I$102,BD!$A$3:$A$5001,"&gt;="&amp;$C$7,BD!$A$3:$A$5001,"&lt;="&amp;$D$7),"—"))</f>
        <v>—</v>
      </c>
      <c r="J107" s="32" t="str">
        <f>IF(J$102="","",IF(Config!$H$43&lt;&gt;"Não",SUMIFS(BD!$G$3:$G$5001,BD!$B$3:$B$5001,J$102,BD!$A$3:$A$5001,"&gt;="&amp;$C$7,BD!$A$3:$A$5001,"&lt;="&amp;$D$7),"—"))</f>
        <v>—</v>
      </c>
      <c r="K107" s="32" t="str">
        <f>IF(K$102="","",IF(Config!$H$44&lt;&gt;"Não",SUMIFS(BD!$G$3:$G$5001,BD!$B$3:$B$5001,K$102,BD!$A$3:$A$5001,"&gt;="&amp;$C$7,BD!$A$3:$A$5001,"&lt;="&amp;$D$7),"—"))</f>
        <v>—</v>
      </c>
      <c r="L107" s="32" t="str">
        <f>IF(L$102="","",IF(Config!$H$45&lt;&gt;"Não",SUMIFS(BD!$G$3:$G$5001,BD!$B$3:$B$5001,L$102,BD!$A$3:$A$5001,"&gt;="&amp;$C$7,BD!$A$3:$A$5001,"&lt;="&amp;$D$7),"—"))</f>
        <v/>
      </c>
      <c r="M107" s="32" t="str">
        <f>IF(M$102="","",IF(Config!$H$46&lt;&gt;"Não",SUMIFS(BD!$G$3:$G$5001,BD!$B$3:$B$5001,M$102,BD!$A$3:$A$5001,"&gt;="&amp;$C$7,BD!$A$3:$A$5001,"&lt;="&amp;$D$7),"—"))</f>
        <v/>
      </c>
      <c r="N107" s="32" t="str">
        <f>IF(N$102="","",IF(Config!$H$47&lt;&gt;"Não",SUMIFS(BD!$G$3:$G$5001,BD!$B$3:$B$5001,N$102,BD!$A$3:$A$5001,"&gt;="&amp;$C$7,BD!$A$3:$A$5001,"&lt;="&amp;$D$7),"—"))</f>
        <v/>
      </c>
      <c r="O107" s="32" t="str">
        <f>IF(O$102="","",IF(Config!$H$48&lt;&gt;"Não",SUMIFS(BD!$G$3:$G$5001,BD!$B$3:$B$5001,O$102,BD!$A$3:$A$5001,"&gt;="&amp;$C$7,BD!$A$3:$A$5001,"&lt;="&amp;$D$7),"—"))</f>
        <v/>
      </c>
      <c r="P107" s="32" t="str">
        <f>IF(P$102="","",IF(Config!$H$49&lt;&gt;"Não",SUMIFS(BD!$G$3:$G$5001,BD!$B$3:$B$5001,P$102,BD!$A$3:$A$5001,"&gt;="&amp;$C$7,BD!$A$3:$A$5001,"&lt;="&amp;$D$7),"—"))</f>
        <v/>
      </c>
      <c r="Q107" s="32" t="str">
        <f>IF(Q$102="","",IF(Config!$H$50&lt;&gt;"Não",SUMIFS(BD!$G$3:$G$5001,BD!$B$3:$B$5001,Q$102,BD!$A$3:$A$5001,"&gt;="&amp;$C$7,BD!$A$3:$A$5001,"&lt;="&amp;$D$7),"—"))</f>
        <v/>
      </c>
      <c r="R107" s="32" t="str">
        <f>IF(R$102="","",IF(Config!$H$51&lt;&gt;"Não",SUMIFS(BD!$G$3:$G$5001,BD!$B$3:$B$5001,R$102,BD!$A$3:$A$5001,"&gt;="&amp;$C$7,BD!$A$3:$A$5001,"&lt;="&amp;$D$7),"—"))</f>
        <v/>
      </c>
      <c r="S107" s="32" t="str">
        <f>IF(S$102="","",IF(Config!$H$52&lt;&gt;"Não",SUMIFS(BD!$G$3:$G$5001,BD!$B$3:$B$5001,S$102,BD!$A$3:$A$5001,"&gt;="&amp;$C$7,BD!$A$3:$A$5001,"&lt;="&amp;$D$7),"—"))</f>
        <v/>
      </c>
      <c r="T107" s="32" t="str">
        <f>IF(T$102="","",IF(Config!$H$53&lt;&gt;"Não",SUMIFS(BD!$G$3:$G$5001,BD!$B$3:$B$5001,T$102,BD!$A$3:$A$5001,"&gt;="&amp;$C$7,BD!$A$3:$A$5001,"&lt;="&amp;$D$7),"—"))</f>
        <v/>
      </c>
      <c r="U107" s="32" t="str">
        <f>IF(U$102="","",IF(Config!$H$54&lt;&gt;"Não",SUMIFS(BD!$G$3:$G$5001,BD!$B$3:$B$5001,U$102,BD!$A$3:$A$5001,"&gt;="&amp;$C$7,BD!$A$3:$A$5001,"&lt;="&amp;$D$7),"—"))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IN · Peças Movimentadas</t>
        </is>
      </c>
      <c r="B108" s="32" t="str">
        <f>IF(B$102="","",IF(Config!$I$35&lt;&gt;"Não",SUMIFS(BD!$H$3:$H$5001,BD!$B$3:$B$5001,B$102,BD!$A$3:$A$5001,"&gt;="&amp;$C$7,BD!$A$3:$A$5001,"&lt;="&amp;$D$7),"—"))</f>
        <v>—</v>
      </c>
      <c r="C108" s="32" t="str">
        <f>IF(C$102="","",IF(Config!$I$36&lt;&gt;"Não",SUMIFS(BD!$H$3:$H$5001,BD!$B$3:$B$5001,C$102,BD!$A$3:$A$5001,"&gt;="&amp;$C$7,BD!$A$3:$A$5001,"&lt;="&amp;$D$7),"—"))</f>
        <v>—</v>
      </c>
      <c r="D108" s="32" t="str">
        <f>IF(D$102="","",IF(Config!$I$37&lt;&gt;"Não",SUMIFS(BD!$H$3:$H$5001,BD!$B$3:$B$5001,D$102,BD!$A$3:$A$5001,"&gt;="&amp;$C$7,BD!$A$3:$A$5001,"&lt;="&amp;$D$7),"—"))</f>
        <v>—</v>
      </c>
      <c r="E108" s="32" t="str">
        <f>IF(E$102="","",IF(Config!$I$38&lt;&gt;"Não",SUMIFS(BD!$H$3:$H$5001,BD!$B$3:$B$5001,E$102,BD!$A$3:$A$5001,"&gt;="&amp;$C$7,BD!$A$3:$A$5001,"&lt;="&amp;$D$7),"—"))</f>
        <v>—</v>
      </c>
      <c r="F108" s="32" t="str">
        <f>IF(F$102="","",IF(Config!$I$39&lt;&gt;"Não",SUMIFS(BD!$H$3:$H$5001,BD!$B$3:$B$5001,F$102,BD!$A$3:$A$5001,"&gt;="&amp;$C$7,BD!$A$3:$A$5001,"&lt;="&amp;$D$7),"—"))</f>
        <v>—</v>
      </c>
      <c r="G108" s="32">
        <f>IF(G$102="","",IF(Config!$I$40&lt;&gt;"Não",SUMIFS(BD!$H$3:$H$5001,BD!$B$3:$B$5001,G$102,BD!$A$3:$A$5001,"&gt;="&amp;$C$7,BD!$A$3:$A$5001,"&lt;="&amp;$D$7),"—"))</f>
        <v>0</v>
      </c>
      <c r="H108" s="32" t="str">
        <f>IF(H$102="","",IF(Config!$I$41&lt;&gt;"Não",SUMIFS(BD!$H$3:$H$5001,BD!$B$3:$B$5001,H$102,BD!$A$3:$A$5001,"&gt;="&amp;$C$7,BD!$A$3:$A$5001,"&lt;="&amp;$D$7),"—"))</f>
        <v>—</v>
      </c>
      <c r="I108" s="32" t="str">
        <f>IF(I$102="","",IF(Config!$I$42&lt;&gt;"Não",SUMIFS(BD!$H$3:$H$5001,BD!$B$3:$B$5001,I$102,BD!$A$3:$A$5001,"&gt;="&amp;$C$7,BD!$A$3:$A$5001,"&lt;="&amp;$D$7),"—"))</f>
        <v>—</v>
      </c>
      <c r="J108" s="32" t="str">
        <f>IF(J$102="","",IF(Config!$I$43&lt;&gt;"Não",SUMIFS(BD!$H$3:$H$5001,BD!$B$3:$B$5001,J$102,BD!$A$3:$A$5001,"&gt;="&amp;$C$7,BD!$A$3:$A$5001,"&lt;="&amp;$D$7),"—"))</f>
        <v>—</v>
      </c>
      <c r="K108" s="32" t="str">
        <f>IF(K$102="","",IF(Config!$I$44&lt;&gt;"Não",SUMIFS(BD!$H$3:$H$5001,BD!$B$3:$B$5001,K$102,BD!$A$3:$A$5001,"&gt;="&amp;$C$7,BD!$A$3:$A$5001,"&lt;="&amp;$D$7),"—"))</f>
        <v>—</v>
      </c>
      <c r="L108" s="32" t="str">
        <f>IF(L$102="","",IF(Config!$I$45&lt;&gt;"Não",SUMIFS(BD!$H$3:$H$5001,BD!$B$3:$B$5001,L$102,BD!$A$3:$A$5001,"&gt;="&amp;$C$7,BD!$A$3:$A$5001,"&lt;="&amp;$D$7),"—"))</f>
        <v/>
      </c>
      <c r="M108" s="32" t="str">
        <f>IF(M$102="","",IF(Config!$I$46&lt;&gt;"Não",SUMIFS(BD!$H$3:$H$5001,BD!$B$3:$B$5001,M$102,BD!$A$3:$A$5001,"&gt;="&amp;$C$7,BD!$A$3:$A$5001,"&lt;="&amp;$D$7),"—"))</f>
        <v/>
      </c>
      <c r="N108" s="32" t="str">
        <f>IF(N$102="","",IF(Config!$I$47&lt;&gt;"Não",SUMIFS(BD!$H$3:$H$5001,BD!$B$3:$B$5001,N$102,BD!$A$3:$A$5001,"&gt;="&amp;$C$7,BD!$A$3:$A$5001,"&lt;="&amp;$D$7),"—"))</f>
        <v/>
      </c>
      <c r="O108" s="32" t="str">
        <f>IF(O$102="","",IF(Config!$I$48&lt;&gt;"Não",SUMIFS(BD!$H$3:$H$5001,BD!$B$3:$B$5001,O$102,BD!$A$3:$A$5001,"&gt;="&amp;$C$7,BD!$A$3:$A$5001,"&lt;="&amp;$D$7),"—"))</f>
        <v/>
      </c>
      <c r="P108" s="32" t="str">
        <f>IF(P$102="","",IF(Config!$I$49&lt;&gt;"Não",SUMIFS(BD!$H$3:$H$5001,BD!$B$3:$B$5001,P$102,BD!$A$3:$A$5001,"&gt;="&amp;$C$7,BD!$A$3:$A$5001,"&lt;="&amp;$D$7),"—"))</f>
        <v/>
      </c>
      <c r="Q108" s="32" t="str">
        <f>IF(Q$102="","",IF(Config!$I$50&lt;&gt;"Não",SUMIFS(BD!$H$3:$H$5001,BD!$B$3:$B$5001,Q$102,BD!$A$3:$A$5001,"&gt;="&amp;$C$7,BD!$A$3:$A$5001,"&lt;="&amp;$D$7),"—"))</f>
        <v/>
      </c>
      <c r="R108" s="32" t="str">
        <f>IF(R$102="","",IF(Config!$I$51&lt;&gt;"Não",SUMIFS(BD!$H$3:$H$5001,BD!$B$3:$B$5001,R$102,BD!$A$3:$A$5001,"&gt;="&amp;$C$7,BD!$A$3:$A$5001,"&lt;="&amp;$D$7),"—"))</f>
        <v/>
      </c>
      <c r="S108" s="32" t="str">
        <f>IF(S$102="","",IF(Config!$I$52&lt;&gt;"Não",SUMIFS(BD!$H$3:$H$5001,BD!$B$3:$B$5001,S$102,BD!$A$3:$A$5001,"&gt;="&amp;$C$7,BD!$A$3:$A$5001,"&lt;="&amp;$D$7),"—"))</f>
        <v/>
      </c>
      <c r="T108" s="32" t="str">
        <f>IF(T$102="","",IF(Config!$I$53&lt;&gt;"Não",SUMIFS(BD!$H$3:$H$5001,BD!$B$3:$B$5001,T$102,BD!$A$3:$A$5001,"&gt;="&amp;$C$7,BD!$A$3:$A$5001,"&lt;="&amp;$D$7),"—"))</f>
        <v/>
      </c>
      <c r="U108" s="32" t="str">
        <f>IF(U$102="","",IF(Config!$I$54&lt;&gt;"Não",SUMIFS(BD!$H$3:$H$5001,BD!$B$3:$B$5001,U$102,BD!$A$3:$A$5001,"&gt;="&amp;$C$7,BD!$A$3:$A$5001,"&lt;="&amp;$D$7),"—"))</f>
        <v/>
      </c>
      <c r="V108" s="62">
        <f>SUM(B108:U108)</f>
        <v>0</v>
      </c>
    </row>
    <row r="109">
      <c r="A109" s="29" t="inlineStr">
        <is>
          <t xml:space="preserve">IN · Itens Recebidos</t>
        </is>
      </c>
      <c r="B109" s="32" t="str">
        <f>IF(B$102="","",IF(Config!$J$35&lt;&gt;"Não",SUMIFS(BD!$I$3:$I$5001,BD!$B$3:$B$5001,B$102,BD!$A$3:$A$5001,"&gt;="&amp;$C$7,BD!$A$3:$A$5001,"&lt;="&amp;$D$7),"—"))</f>
        <v>—</v>
      </c>
      <c r="C109" s="32" t="str">
        <f>IF(C$102="","",IF(Config!$J$36&lt;&gt;"Não",SUMIFS(BD!$I$3:$I$5001,BD!$B$3:$B$5001,C$102,BD!$A$3:$A$5001,"&gt;="&amp;$C$7,BD!$A$3:$A$5001,"&lt;="&amp;$D$7),"—"))</f>
        <v>—</v>
      </c>
      <c r="D109" s="32" t="str">
        <f>IF(D$102="","",IF(Config!$J$37&lt;&gt;"Não",SUMIFS(BD!$I$3:$I$5001,BD!$B$3:$B$5001,D$102,BD!$A$3:$A$5001,"&gt;="&amp;$C$7,BD!$A$3:$A$5001,"&lt;="&amp;$D$7),"—"))</f>
        <v>—</v>
      </c>
      <c r="E109" s="32" t="str">
        <f>IF(E$102="","",IF(Config!$J$38&lt;&gt;"Não",SUMIFS(BD!$I$3:$I$5001,BD!$B$3:$B$5001,E$102,BD!$A$3:$A$5001,"&gt;="&amp;$C$7,BD!$A$3:$A$5001,"&lt;="&amp;$D$7),"—"))</f>
        <v>—</v>
      </c>
      <c r="F109" s="32" t="str">
        <f>IF(F$102="","",IF(Config!$J$39&lt;&gt;"Não",SUMIFS(BD!$I$3:$I$5001,BD!$B$3:$B$5001,F$102,BD!$A$3:$A$5001,"&gt;="&amp;$C$7,BD!$A$3:$A$5001,"&lt;="&amp;$D$7),"—"))</f>
        <v>—</v>
      </c>
      <c r="G109" s="32" t="str">
        <f>IF(G$102="","",IF(Config!$J$40&lt;&gt;"Não",SUMIFS(BD!$I$3:$I$5001,BD!$B$3:$B$5001,G$102,BD!$A$3:$A$5001,"&gt;="&amp;$C$7,BD!$A$3:$A$5001,"&lt;="&amp;$D$7),"—"))</f>
        <v>—</v>
      </c>
      <c r="H109" s="32" t="str">
        <f>IF(H$102="","",IF(Config!$J$41&lt;&gt;"Não",SUMIFS(BD!$I$3:$I$5001,BD!$B$3:$B$5001,H$102,BD!$A$3:$A$5001,"&gt;="&amp;$C$7,BD!$A$3:$A$5001,"&lt;="&amp;$D$7),"—"))</f>
        <v>—</v>
      </c>
      <c r="I109" s="32" t="str">
        <f>IF(I$102="","",IF(Config!$J$42&lt;&gt;"Não",SUMIFS(BD!$I$3:$I$5001,BD!$B$3:$B$5001,I$102,BD!$A$3:$A$5001,"&gt;="&amp;$C$7,BD!$A$3:$A$5001,"&lt;="&amp;$D$7),"—"))</f>
        <v>—</v>
      </c>
      <c r="J109" s="32" t="str">
        <f>IF(J$102="","",IF(Config!$J$43&lt;&gt;"Não",SUMIFS(BD!$I$3:$I$5001,BD!$B$3:$B$5001,J$102,BD!$A$3:$A$5001,"&gt;="&amp;$C$7,BD!$A$3:$A$5001,"&lt;="&amp;$D$7),"—"))</f>
        <v>—</v>
      </c>
      <c r="K109" s="32" t="str">
        <f>IF(K$102="","",IF(Config!$J$44&lt;&gt;"Não",SUMIFS(BD!$I$3:$I$5001,BD!$B$3:$B$5001,K$102,BD!$A$3:$A$5001,"&gt;="&amp;$C$7,BD!$A$3:$A$5001,"&lt;="&amp;$D$7),"—"))</f>
        <v>—</v>
      </c>
      <c r="L109" s="32" t="str">
        <f>IF(L$102="","",IF(Config!$J$45&lt;&gt;"Não",SUMIFS(BD!$I$3:$I$5001,BD!$B$3:$B$5001,L$102,BD!$A$3:$A$5001,"&gt;="&amp;$C$7,BD!$A$3:$A$5001,"&lt;="&amp;$D$7),"—"))</f>
        <v/>
      </c>
      <c r="M109" s="32" t="str">
        <f>IF(M$102="","",IF(Config!$J$46&lt;&gt;"Não",SUMIFS(BD!$I$3:$I$5001,BD!$B$3:$B$5001,M$102,BD!$A$3:$A$5001,"&gt;="&amp;$C$7,BD!$A$3:$A$5001,"&lt;="&amp;$D$7),"—"))</f>
        <v/>
      </c>
      <c r="N109" s="32" t="str">
        <f>IF(N$102="","",IF(Config!$J$47&lt;&gt;"Não",SUMIFS(BD!$I$3:$I$5001,BD!$B$3:$B$5001,N$102,BD!$A$3:$A$5001,"&gt;="&amp;$C$7,BD!$A$3:$A$5001,"&lt;="&amp;$D$7),"—"))</f>
        <v/>
      </c>
      <c r="O109" s="32" t="str">
        <f>IF(O$102="","",IF(Config!$J$48&lt;&gt;"Não",SUMIFS(BD!$I$3:$I$5001,BD!$B$3:$B$5001,O$102,BD!$A$3:$A$5001,"&gt;="&amp;$C$7,BD!$A$3:$A$5001,"&lt;="&amp;$D$7),"—"))</f>
        <v/>
      </c>
      <c r="P109" s="32" t="str">
        <f>IF(P$102="","",IF(Config!$J$49&lt;&gt;"Não",SUMIFS(BD!$I$3:$I$5001,BD!$B$3:$B$5001,P$102,BD!$A$3:$A$5001,"&gt;="&amp;$C$7,BD!$A$3:$A$5001,"&lt;="&amp;$D$7),"—"))</f>
        <v/>
      </c>
      <c r="Q109" s="32" t="str">
        <f>IF(Q$102="","",IF(Config!$J$50&lt;&gt;"Não",SUMIFS(BD!$I$3:$I$5001,BD!$B$3:$B$5001,Q$102,BD!$A$3:$A$5001,"&gt;="&amp;$C$7,BD!$A$3:$A$5001,"&lt;="&amp;$D$7),"—"))</f>
        <v/>
      </c>
      <c r="R109" s="32" t="str">
        <f>IF(R$102="","",IF(Config!$J$51&lt;&gt;"Não",SUMIFS(BD!$I$3:$I$5001,BD!$B$3:$B$5001,R$102,BD!$A$3:$A$5001,"&gt;="&amp;$C$7,BD!$A$3:$A$5001,"&lt;="&amp;$D$7),"—"))</f>
        <v/>
      </c>
      <c r="S109" s="32" t="str">
        <f>IF(S$102="","",IF(Config!$J$52&lt;&gt;"Não",SUMIFS(BD!$I$3:$I$5001,BD!$B$3:$B$5001,S$102,BD!$A$3:$A$5001,"&gt;="&amp;$C$7,BD!$A$3:$A$5001,"&lt;="&amp;$D$7),"—"))</f>
        <v/>
      </c>
      <c r="T109" s="32" t="str">
        <f>IF(T$102="","",IF(Config!$J$53&lt;&gt;"Não",SUMIFS(BD!$I$3:$I$5001,BD!$B$3:$B$5001,T$102,BD!$A$3:$A$5001,"&gt;="&amp;$C$7,BD!$A$3:$A$5001,"&lt;="&amp;$D$7),"—"))</f>
        <v/>
      </c>
      <c r="U109" s="32" t="str">
        <f>IF(U$102="","",IF(Config!$J$54&lt;&gt;"Não",SUMIFS(BD!$I$3:$I$5001,BD!$B$3:$B$5001,U$102,BD!$A$3:$A$5001,"&gt;="&amp;$C$7,BD!$A$3:$A$5001,"&lt;="&amp;$D$7),"—"))</f>
        <v/>
      </c>
      <c r="V109" s="62">
        <f>SUM(B109:U109)</f>
        <v>0</v>
      </c>
    </row>
    <row r="110">
      <c r="A110" s="29" t="inlineStr">
        <is>
          <t xml:space="preserve">IN · Itens Recebidos CX Mista</t>
        </is>
      </c>
      <c r="B110" s="32" t="str">
        <f>IF(B$102="","",IF(Config!$K$35&lt;&gt;"Não",SUMIFS(BD!$J$3:$J$5001,BD!$B$3:$B$5001,B$102,BD!$A$3:$A$5001,"&gt;="&amp;$C$7,BD!$A$3:$A$5001,"&lt;="&amp;$D$7),"—"))</f>
        <v>—</v>
      </c>
      <c r="C110" s="32" t="str">
        <f>IF(C$102="","",IF(Config!$K$36&lt;&gt;"Não",SUMIFS(BD!$J$3:$J$5001,BD!$B$3:$B$5001,C$102,BD!$A$3:$A$5001,"&gt;="&amp;$C$7,BD!$A$3:$A$5001,"&lt;="&amp;$D$7),"—"))</f>
        <v>—</v>
      </c>
      <c r="D110" s="32" t="str">
        <f>IF(D$102="","",IF(Config!$K$37&lt;&gt;"Não",SUMIFS(BD!$J$3:$J$5001,BD!$B$3:$B$5001,D$102,BD!$A$3:$A$5001,"&gt;="&amp;$C$7,BD!$A$3:$A$5001,"&lt;="&amp;$D$7),"—"))</f>
        <v>—</v>
      </c>
      <c r="E110" s="32">
        <f>IF(E$102="","",IF(Config!$K$38&lt;&gt;"Não",SUMIFS(BD!$J$3:$J$5001,BD!$B$3:$B$5001,E$102,BD!$A$3:$A$5001,"&gt;="&amp;$C$7,BD!$A$3:$A$5001,"&lt;="&amp;$D$7),"—"))</f>
        <v>0</v>
      </c>
      <c r="F110" s="32" t="str">
        <f>IF(F$102="","",IF(Config!$K$39&lt;&gt;"Não",SUMIFS(BD!$J$3:$J$5001,BD!$B$3:$B$5001,F$102,BD!$A$3:$A$5001,"&gt;="&amp;$C$7,BD!$A$3:$A$5001,"&lt;="&amp;$D$7),"—"))</f>
        <v>—</v>
      </c>
      <c r="G110" s="32" t="str">
        <f>IF(G$102="","",IF(Config!$K$40&lt;&gt;"Não",SUMIFS(BD!$J$3:$J$5001,BD!$B$3:$B$5001,G$102,BD!$A$3:$A$5001,"&gt;="&amp;$C$7,BD!$A$3:$A$5001,"&lt;="&amp;$D$7),"—"))</f>
        <v>—</v>
      </c>
      <c r="H110" s="32" t="str">
        <f>IF(H$102="","",IF(Config!$K$41&lt;&gt;"Não",SUMIFS(BD!$J$3:$J$5001,BD!$B$3:$B$5001,H$102,BD!$A$3:$A$5001,"&gt;="&amp;$C$7,BD!$A$3:$A$5001,"&lt;="&amp;$D$7),"—"))</f>
        <v>—</v>
      </c>
      <c r="I110" s="32" t="str">
        <f>IF(I$102="","",IF(Config!$K$42&lt;&gt;"Não",SUMIFS(BD!$J$3:$J$5001,BD!$B$3:$B$5001,I$102,BD!$A$3:$A$5001,"&gt;="&amp;$C$7,BD!$A$3:$A$5001,"&lt;="&amp;$D$7),"—"))</f>
        <v>—</v>
      </c>
      <c r="J110" s="32" t="str">
        <f>IF(J$102="","",IF(Config!$K$43&lt;&gt;"Não",SUMIFS(BD!$J$3:$J$5001,BD!$B$3:$B$5001,J$102,BD!$A$3:$A$5001,"&gt;="&amp;$C$7,BD!$A$3:$A$5001,"&lt;="&amp;$D$7),"—"))</f>
        <v>—</v>
      </c>
      <c r="K110" s="32" t="str">
        <f>IF(K$102="","",IF(Config!$K$44&lt;&gt;"Não",SUMIFS(BD!$J$3:$J$5001,BD!$B$3:$B$5001,K$102,BD!$A$3:$A$5001,"&gt;="&amp;$C$7,BD!$A$3:$A$5001,"&lt;="&amp;$D$7),"—"))</f>
        <v>—</v>
      </c>
      <c r="L110" s="32" t="str">
        <f>IF(L$102="","",IF(Config!$K$45&lt;&gt;"Não",SUMIFS(BD!$J$3:$J$5001,BD!$B$3:$B$5001,L$102,BD!$A$3:$A$5001,"&gt;="&amp;$C$7,BD!$A$3:$A$5001,"&lt;="&amp;$D$7),"—"))</f>
        <v/>
      </c>
      <c r="M110" s="32" t="str">
        <f>IF(M$102="","",IF(Config!$K$46&lt;&gt;"Não",SUMIFS(BD!$J$3:$J$5001,BD!$B$3:$B$5001,M$102,BD!$A$3:$A$5001,"&gt;="&amp;$C$7,BD!$A$3:$A$5001,"&lt;="&amp;$D$7),"—"))</f>
        <v/>
      </c>
      <c r="N110" s="32" t="str">
        <f>IF(N$102="","",IF(Config!$K$47&lt;&gt;"Não",SUMIFS(BD!$J$3:$J$5001,BD!$B$3:$B$5001,N$102,BD!$A$3:$A$5001,"&gt;="&amp;$C$7,BD!$A$3:$A$5001,"&lt;="&amp;$D$7),"—"))</f>
        <v/>
      </c>
      <c r="O110" s="32" t="str">
        <f>IF(O$102="","",IF(Config!$K$48&lt;&gt;"Não",SUMIFS(BD!$J$3:$J$5001,BD!$B$3:$B$5001,O$102,BD!$A$3:$A$5001,"&gt;="&amp;$C$7,BD!$A$3:$A$5001,"&lt;="&amp;$D$7),"—"))</f>
        <v/>
      </c>
      <c r="P110" s="32" t="str">
        <f>IF(P$102="","",IF(Config!$K$49&lt;&gt;"Não",SUMIFS(BD!$J$3:$J$5001,BD!$B$3:$B$5001,P$102,BD!$A$3:$A$5001,"&gt;="&amp;$C$7,BD!$A$3:$A$5001,"&lt;="&amp;$D$7),"—"))</f>
        <v/>
      </c>
      <c r="Q110" s="32" t="str">
        <f>IF(Q$102="","",IF(Config!$K$50&lt;&gt;"Não",SUMIFS(BD!$J$3:$J$5001,BD!$B$3:$B$5001,Q$102,BD!$A$3:$A$5001,"&gt;="&amp;$C$7,BD!$A$3:$A$5001,"&lt;="&amp;$D$7),"—"))</f>
        <v/>
      </c>
      <c r="R110" s="32" t="str">
        <f>IF(R$102="","",IF(Config!$K$51&lt;&gt;"Não",SUMIFS(BD!$J$3:$J$5001,BD!$B$3:$B$5001,R$102,BD!$A$3:$A$5001,"&gt;="&amp;$C$7,BD!$A$3:$A$5001,"&lt;="&amp;$D$7),"—"))</f>
        <v/>
      </c>
      <c r="S110" s="32" t="str">
        <f>IF(S$102="","",IF(Config!$K$52&lt;&gt;"Não",SUMIFS(BD!$J$3:$J$5001,BD!$B$3:$B$5001,S$102,BD!$A$3:$A$5001,"&gt;="&amp;$C$7,BD!$A$3:$A$5001,"&lt;="&amp;$D$7),"—"))</f>
        <v/>
      </c>
      <c r="T110" s="32" t="str">
        <f>IF(T$102="","",IF(Config!$K$53&lt;&gt;"Não",SUMIFS(BD!$J$3:$J$5001,BD!$B$3:$B$5001,T$102,BD!$A$3:$A$5001,"&gt;="&amp;$C$7,BD!$A$3:$A$5001,"&lt;="&amp;$D$7),"—"))</f>
        <v/>
      </c>
      <c r="U110" s="32" t="str">
        <f>IF(U$102="","",IF(Config!$K$54&lt;&gt;"Não",SUMIFS(BD!$J$3:$J$5001,BD!$B$3:$B$5001,U$102,BD!$A$3:$A$5001,"&gt;="&amp;$C$7,BD!$A$3:$A$5001,"&lt;="&amp;$D$7),"—"))</f>
        <v/>
      </c>
      <c r="V110" s="62">
        <f>SUM(B110:U110)</f>
        <v>0</v>
      </c>
    </row>
    <row r="111">
      <c r="A111" s="29" t="inlineStr">
        <is>
          <t xml:space="preserve">IN · Caixas Fechadas</t>
        </is>
      </c>
      <c r="B111" s="32" t="str">
        <f>IF(B$102="","",IF(Config!$L$35&lt;&gt;"Não",SUMIFS(BD!$K$3:$K$5001,BD!$B$3:$B$5001,B$102,BD!$A$3:$A$5001,"&gt;="&amp;$C$7,BD!$A$3:$A$5001,"&lt;="&amp;$D$7),"—"))</f>
        <v>—</v>
      </c>
      <c r="C111" s="32" t="str">
        <f>IF(C$102="","",IF(Config!$L$36&lt;&gt;"Não",SUMIFS(BD!$K$3:$K$5001,BD!$B$3:$B$5001,C$102,BD!$A$3:$A$5001,"&gt;="&amp;$C$7,BD!$A$3:$A$5001,"&lt;="&amp;$D$7),"—"))</f>
        <v>—</v>
      </c>
      <c r="D111" s="32" t="str">
        <f>IF(D$102="","",IF(Config!$L$37&lt;&gt;"Não",SUMIFS(BD!$K$3:$K$5001,BD!$B$3:$B$5001,D$102,BD!$A$3:$A$5001,"&gt;="&amp;$C$7,BD!$A$3:$A$5001,"&lt;="&amp;$D$7),"—"))</f>
        <v>—</v>
      </c>
      <c r="E111" s="32">
        <f>IF(E$102="","",IF(Config!$L$38&lt;&gt;"Não",SUMIFS(BD!$K$3:$K$5001,BD!$B$3:$B$5001,E$102,BD!$A$3:$A$5001,"&gt;="&amp;$C$7,BD!$A$3:$A$5001,"&lt;="&amp;$D$7),"—"))</f>
        <v>0</v>
      </c>
      <c r="F111" s="32" t="str">
        <f>IF(F$102="","",IF(Config!$L$39&lt;&gt;"Não",SUMIFS(BD!$K$3:$K$5001,BD!$B$3:$B$5001,F$102,BD!$A$3:$A$5001,"&gt;="&amp;$C$7,BD!$A$3:$A$5001,"&lt;="&amp;$D$7),"—"))</f>
        <v>—</v>
      </c>
      <c r="G111" s="32" t="str">
        <f>IF(G$102="","",IF(Config!$L$40&lt;&gt;"Não",SUMIFS(BD!$K$3:$K$5001,BD!$B$3:$B$5001,G$102,BD!$A$3:$A$5001,"&gt;="&amp;$C$7,BD!$A$3:$A$5001,"&lt;="&amp;$D$7),"—"))</f>
        <v>—</v>
      </c>
      <c r="H111" s="32" t="str">
        <f>IF(H$102="","",IF(Config!$L$41&lt;&gt;"Não",SUMIFS(BD!$K$3:$K$5001,BD!$B$3:$B$5001,H$102,BD!$A$3:$A$5001,"&gt;="&amp;$C$7,BD!$A$3:$A$5001,"&lt;="&amp;$D$7),"—"))</f>
        <v>—</v>
      </c>
      <c r="I111" s="32" t="str">
        <f>IF(I$102="","",IF(Config!$L$42&lt;&gt;"Não",SUMIFS(BD!$K$3:$K$5001,BD!$B$3:$B$5001,I$102,BD!$A$3:$A$5001,"&gt;="&amp;$C$7,BD!$A$3:$A$5001,"&lt;="&amp;$D$7),"—"))</f>
        <v>—</v>
      </c>
      <c r="J111" s="32" t="str">
        <f>IF(J$102="","",IF(Config!$L$43&lt;&gt;"Não",SUMIFS(BD!$K$3:$K$5001,BD!$B$3:$B$5001,J$102,BD!$A$3:$A$5001,"&gt;="&amp;$C$7,BD!$A$3:$A$5001,"&lt;="&amp;$D$7),"—"))</f>
        <v>—</v>
      </c>
      <c r="K111" s="32" t="str">
        <f>IF(K$102="","",IF(Config!$L$44&lt;&gt;"Não",SUMIFS(BD!$K$3:$K$5001,BD!$B$3:$B$5001,K$102,BD!$A$3:$A$5001,"&gt;="&amp;$C$7,BD!$A$3:$A$5001,"&lt;="&amp;$D$7),"—"))</f>
        <v>—</v>
      </c>
      <c r="L111" s="32" t="str">
        <f>IF(L$102="","",IF(Config!$L$45&lt;&gt;"Não",SUMIFS(BD!$K$3:$K$5001,BD!$B$3:$B$5001,L$102,BD!$A$3:$A$5001,"&gt;="&amp;$C$7,BD!$A$3:$A$5001,"&lt;="&amp;$D$7),"—"))</f>
        <v/>
      </c>
      <c r="M111" s="32" t="str">
        <f>IF(M$102="","",IF(Config!$L$46&lt;&gt;"Não",SUMIFS(BD!$K$3:$K$5001,BD!$B$3:$B$5001,M$102,BD!$A$3:$A$5001,"&gt;="&amp;$C$7,BD!$A$3:$A$5001,"&lt;="&amp;$D$7),"—"))</f>
        <v/>
      </c>
      <c r="N111" s="32" t="str">
        <f>IF(N$102="","",IF(Config!$L$47&lt;&gt;"Não",SUMIFS(BD!$K$3:$K$5001,BD!$B$3:$B$5001,N$102,BD!$A$3:$A$5001,"&gt;="&amp;$C$7,BD!$A$3:$A$5001,"&lt;="&amp;$D$7),"—"))</f>
        <v/>
      </c>
      <c r="O111" s="32" t="str">
        <f>IF(O$102="","",IF(Config!$L$48&lt;&gt;"Não",SUMIFS(BD!$K$3:$K$5001,BD!$B$3:$B$5001,O$102,BD!$A$3:$A$5001,"&gt;="&amp;$C$7,BD!$A$3:$A$5001,"&lt;="&amp;$D$7),"—"))</f>
        <v/>
      </c>
      <c r="P111" s="32" t="str">
        <f>IF(P$102="","",IF(Config!$L$49&lt;&gt;"Não",SUMIFS(BD!$K$3:$K$5001,BD!$B$3:$B$5001,P$102,BD!$A$3:$A$5001,"&gt;="&amp;$C$7,BD!$A$3:$A$5001,"&lt;="&amp;$D$7),"—"))</f>
        <v/>
      </c>
      <c r="Q111" s="32" t="str">
        <f>IF(Q$102="","",IF(Config!$L$50&lt;&gt;"Não",SUMIFS(BD!$K$3:$K$5001,BD!$B$3:$B$5001,Q$102,BD!$A$3:$A$5001,"&gt;="&amp;$C$7,BD!$A$3:$A$5001,"&lt;="&amp;$D$7),"—"))</f>
        <v/>
      </c>
      <c r="R111" s="32" t="str">
        <f>IF(R$102="","",IF(Config!$L$51&lt;&gt;"Não",SUMIFS(BD!$K$3:$K$5001,BD!$B$3:$B$5001,R$102,BD!$A$3:$A$5001,"&gt;="&amp;$C$7,BD!$A$3:$A$5001,"&lt;="&amp;$D$7),"—"))</f>
        <v/>
      </c>
      <c r="S111" s="32" t="str">
        <f>IF(S$102="","",IF(Config!$L$52&lt;&gt;"Não",SUMIFS(BD!$K$3:$K$5001,BD!$B$3:$B$5001,S$102,BD!$A$3:$A$5001,"&gt;="&amp;$C$7,BD!$A$3:$A$5001,"&lt;="&amp;$D$7),"—"))</f>
        <v/>
      </c>
      <c r="T111" s="32" t="str">
        <f>IF(T$102="","",IF(Config!$L$53&lt;&gt;"Não",SUMIFS(BD!$K$3:$K$5001,BD!$B$3:$B$5001,T$102,BD!$A$3:$A$5001,"&gt;="&amp;$C$7,BD!$A$3:$A$5001,"&lt;="&amp;$D$7),"—"))</f>
        <v/>
      </c>
      <c r="U111" s="32" t="str">
        <f>IF(U$102="","",IF(Config!$L$54&lt;&gt;"Não",SUMIFS(BD!$K$3:$K$5001,BD!$B$3:$B$5001,U$102,BD!$A$3:$A$5001,"&gt;="&amp;$C$7,BD!$A$3:$A$5001,"&lt;="&amp;$D$7),"—"))</f>
        <v/>
      </c>
      <c r="V111" s="62">
        <f>SUM(B111:U111)</f>
        <v>0</v>
      </c>
    </row>
    <row r="112">
      <c r="A112" s="29" t="inlineStr">
        <is>
          <t xml:space="preserve">IN · Caixas Mistas Recebidas</t>
        </is>
      </c>
      <c r="B112" s="32" t="str">
        <f>IF(B$102="","",IF(Config!$M$35&lt;&gt;"Não",SUMIFS(BD!$L$3:$L$5001,BD!$B$3:$B$5001,B$102,BD!$A$3:$A$5001,"&gt;="&amp;$C$7,BD!$A$3:$A$5001,"&lt;="&amp;$D$7),"—"))</f>
        <v>—</v>
      </c>
      <c r="C112" s="32" t="str">
        <f>IF(C$102="","",IF(Config!$M$36&lt;&gt;"Não",SUMIFS(BD!$L$3:$L$5001,BD!$B$3:$B$5001,C$102,BD!$A$3:$A$5001,"&gt;="&amp;$C$7,BD!$A$3:$A$5001,"&lt;="&amp;$D$7),"—"))</f>
        <v>—</v>
      </c>
      <c r="D112" s="32" t="str">
        <f>IF(D$102="","",IF(Config!$M$37&lt;&gt;"Não",SUMIFS(BD!$L$3:$L$5001,BD!$B$3:$B$5001,D$102,BD!$A$3:$A$5001,"&gt;="&amp;$C$7,BD!$A$3:$A$5001,"&lt;="&amp;$D$7),"—"))</f>
        <v>—</v>
      </c>
      <c r="E112" s="32">
        <f>IF(E$102="","",IF(Config!$M$38&lt;&gt;"Não",SUMIFS(BD!$L$3:$L$5001,BD!$B$3:$B$5001,E$102,BD!$A$3:$A$5001,"&gt;="&amp;$C$7,BD!$A$3:$A$5001,"&lt;="&amp;$D$7),"—"))</f>
        <v>0</v>
      </c>
      <c r="F112" s="32" t="str">
        <f>IF(F$102="","",IF(Config!$M$39&lt;&gt;"Não",SUMIFS(BD!$L$3:$L$5001,BD!$B$3:$B$5001,F$102,BD!$A$3:$A$5001,"&gt;="&amp;$C$7,BD!$A$3:$A$5001,"&lt;="&amp;$D$7),"—"))</f>
        <v>—</v>
      </c>
      <c r="G112" s="32" t="str">
        <f>IF(G$102="","",IF(Config!$M$40&lt;&gt;"Não",SUMIFS(BD!$L$3:$L$5001,BD!$B$3:$B$5001,G$102,BD!$A$3:$A$5001,"&gt;="&amp;$C$7,BD!$A$3:$A$5001,"&lt;="&amp;$D$7),"—"))</f>
        <v>—</v>
      </c>
      <c r="H112" s="32" t="str">
        <f>IF(H$102="","",IF(Config!$M$41&lt;&gt;"Não",SUMIFS(BD!$L$3:$L$5001,BD!$B$3:$B$5001,H$102,BD!$A$3:$A$5001,"&gt;="&amp;$C$7,BD!$A$3:$A$5001,"&lt;="&amp;$D$7),"—"))</f>
        <v>—</v>
      </c>
      <c r="I112" s="32" t="str">
        <f>IF(I$102="","",IF(Config!$M$42&lt;&gt;"Não",SUMIFS(BD!$L$3:$L$5001,BD!$B$3:$B$5001,I$102,BD!$A$3:$A$5001,"&gt;="&amp;$C$7,BD!$A$3:$A$5001,"&lt;="&amp;$D$7),"—"))</f>
        <v>—</v>
      </c>
      <c r="J112" s="32" t="str">
        <f>IF(J$102="","",IF(Config!$M$43&lt;&gt;"Não",SUMIFS(BD!$L$3:$L$5001,BD!$B$3:$B$5001,J$102,BD!$A$3:$A$5001,"&gt;="&amp;$C$7,BD!$A$3:$A$5001,"&lt;="&amp;$D$7),"—"))</f>
        <v>—</v>
      </c>
      <c r="K112" s="32" t="str">
        <f>IF(K$102="","",IF(Config!$M$44&lt;&gt;"Não",SUMIFS(BD!$L$3:$L$5001,BD!$B$3:$B$5001,K$102,BD!$A$3:$A$5001,"&gt;="&amp;$C$7,BD!$A$3:$A$5001,"&lt;="&amp;$D$7),"—"))</f>
        <v>—</v>
      </c>
      <c r="L112" s="32" t="str">
        <f>IF(L$102="","",IF(Config!$M$45&lt;&gt;"Não",SUMIFS(BD!$L$3:$L$5001,BD!$B$3:$B$5001,L$102,BD!$A$3:$A$5001,"&gt;="&amp;$C$7,BD!$A$3:$A$5001,"&lt;="&amp;$D$7),"—"))</f>
        <v/>
      </c>
      <c r="M112" s="32" t="str">
        <f>IF(M$102="","",IF(Config!$M$46&lt;&gt;"Não",SUMIFS(BD!$L$3:$L$5001,BD!$B$3:$B$5001,M$102,BD!$A$3:$A$5001,"&gt;="&amp;$C$7,BD!$A$3:$A$5001,"&lt;="&amp;$D$7),"—"))</f>
        <v/>
      </c>
      <c r="N112" s="32" t="str">
        <f>IF(N$102="","",IF(Config!$M$47&lt;&gt;"Não",SUMIFS(BD!$L$3:$L$5001,BD!$B$3:$B$5001,N$102,BD!$A$3:$A$5001,"&gt;="&amp;$C$7,BD!$A$3:$A$5001,"&lt;="&amp;$D$7),"—"))</f>
        <v/>
      </c>
      <c r="O112" s="32" t="str">
        <f>IF(O$102="","",IF(Config!$M$48&lt;&gt;"Não",SUMIFS(BD!$L$3:$L$5001,BD!$B$3:$B$5001,O$102,BD!$A$3:$A$5001,"&gt;="&amp;$C$7,BD!$A$3:$A$5001,"&lt;="&amp;$D$7),"—"))</f>
        <v/>
      </c>
      <c r="P112" s="32" t="str">
        <f>IF(P$102="","",IF(Config!$M$49&lt;&gt;"Não",SUMIFS(BD!$L$3:$L$5001,BD!$B$3:$B$5001,P$102,BD!$A$3:$A$5001,"&gt;="&amp;$C$7,BD!$A$3:$A$5001,"&lt;="&amp;$D$7),"—"))</f>
        <v/>
      </c>
      <c r="Q112" s="32" t="str">
        <f>IF(Q$102="","",IF(Config!$M$50&lt;&gt;"Não",SUMIFS(BD!$L$3:$L$5001,BD!$B$3:$B$5001,Q$102,BD!$A$3:$A$5001,"&gt;="&amp;$C$7,BD!$A$3:$A$5001,"&lt;="&amp;$D$7),"—"))</f>
        <v/>
      </c>
      <c r="R112" s="32" t="str">
        <f>IF(R$102="","",IF(Config!$M$51&lt;&gt;"Não",SUMIFS(BD!$L$3:$L$5001,BD!$B$3:$B$5001,R$102,BD!$A$3:$A$5001,"&gt;="&amp;$C$7,BD!$A$3:$A$5001,"&lt;="&amp;$D$7),"—"))</f>
        <v/>
      </c>
      <c r="S112" s="32" t="str">
        <f>IF(S$102="","",IF(Config!$M$52&lt;&gt;"Não",SUMIFS(BD!$L$3:$L$5001,BD!$B$3:$B$5001,S$102,BD!$A$3:$A$5001,"&gt;="&amp;$C$7,BD!$A$3:$A$5001,"&lt;="&amp;$D$7),"—"))</f>
        <v/>
      </c>
      <c r="T112" s="32" t="str">
        <f>IF(T$102="","",IF(Config!$M$53&lt;&gt;"Não",SUMIFS(BD!$L$3:$L$5001,BD!$B$3:$B$5001,T$102,BD!$A$3:$A$5001,"&gt;="&amp;$C$7,BD!$A$3:$A$5001,"&lt;="&amp;$D$7),"—"))</f>
        <v/>
      </c>
      <c r="U112" s="32" t="str">
        <f>IF(U$102="","",IF(Config!$M$54&lt;&gt;"Não",SUMIFS(BD!$L$3:$L$5001,BD!$B$3:$B$5001,U$102,BD!$A$3:$A$5001,"&gt;="&amp;$C$7,BD!$A$3:$A$5001,"&lt;="&amp;$D$7),"—"))</f>
        <v/>
      </c>
      <c r="V112" s="62">
        <f>SUM(B112:U112)</f>
        <v>0</v>
      </c>
    </row>
    <row r="113">
      <c r="A113" s="29" t="inlineStr">
        <is>
          <t xml:space="preserve">OUT · Veículos Expedidos</t>
        </is>
      </c>
      <c r="B113" s="32">
        <f>IF(B$102="","",IF(Config!$N$35&lt;&gt;"Não",SUMIFS(BD!$M$3:$M$5001,BD!$B$3:$B$5001,B$102,BD!$A$3:$A$5001,"&gt;="&amp;$C$7,BD!$A$3:$A$5001,"&lt;="&amp;$D$7),"—"))</f>
        <v>0</v>
      </c>
      <c r="C113" s="32">
        <f>IF(C$102="","",IF(Config!$N$36&lt;&gt;"Não",SUMIFS(BD!$M$3:$M$5001,BD!$B$3:$B$5001,C$102,BD!$A$3:$A$5001,"&gt;="&amp;$C$7,BD!$A$3:$A$5001,"&lt;="&amp;$D$7),"—"))</f>
        <v>0</v>
      </c>
      <c r="D113" s="32">
        <f>IF(D$102="","",IF(Config!$N$37&lt;&gt;"Não",SUMIFS(BD!$M$3:$M$5001,BD!$B$3:$B$5001,D$102,BD!$A$3:$A$5001,"&gt;="&amp;$C$7,BD!$A$3:$A$5001,"&lt;="&amp;$D$7),"—"))</f>
        <v>0</v>
      </c>
      <c r="E113" s="32">
        <f>IF(E$102="","",IF(Config!$N$38&lt;&gt;"Não",SUMIFS(BD!$M$3:$M$5001,BD!$B$3:$B$5001,E$102,BD!$A$3:$A$5001,"&gt;="&amp;$C$7,BD!$A$3:$A$5001,"&lt;="&amp;$D$7),"—"))</f>
        <v>0</v>
      </c>
      <c r="F113" s="32">
        <f>IF(F$102="","",IF(Config!$N$39&lt;&gt;"Não",SUMIFS(BD!$M$3:$M$5001,BD!$B$3:$B$5001,F$102,BD!$A$3:$A$5001,"&gt;="&amp;$C$7,BD!$A$3:$A$5001,"&lt;="&amp;$D$7),"—"))</f>
        <v>0</v>
      </c>
      <c r="G113" s="32">
        <f>IF(G$102="","",IF(Config!$N$40&lt;&gt;"Não",SUMIFS(BD!$M$3:$M$5001,BD!$B$3:$B$5001,G$102,BD!$A$3:$A$5001,"&gt;="&amp;$C$7,BD!$A$3:$A$5001,"&lt;="&amp;$D$7),"—"))</f>
        <v>0</v>
      </c>
      <c r="H113" s="32">
        <f>IF(H$102="","",IF(Config!$N$41&lt;&gt;"Não",SUMIFS(BD!$M$3:$M$5001,BD!$B$3:$B$5001,H$102,BD!$A$3:$A$5001,"&gt;="&amp;$C$7,BD!$A$3:$A$5001,"&lt;="&amp;$D$7),"—"))</f>
        <v>0</v>
      </c>
      <c r="I113" s="32">
        <f>IF(I$102="","",IF(Config!$N$42&lt;&gt;"Não",SUMIFS(BD!$M$3:$M$5001,BD!$B$3:$B$5001,I$102,BD!$A$3:$A$5001,"&gt;="&amp;$C$7,BD!$A$3:$A$5001,"&lt;="&amp;$D$7),"—"))</f>
        <v>0</v>
      </c>
      <c r="J113" s="32">
        <f>IF(J$102="","",IF(Config!$N$43&lt;&gt;"Não",SUMIFS(BD!$M$3:$M$5001,BD!$B$3:$B$5001,J$102,BD!$A$3:$A$5001,"&gt;="&amp;$C$7,BD!$A$3:$A$5001,"&lt;="&amp;$D$7),"—"))</f>
        <v>0</v>
      </c>
      <c r="K113" s="32">
        <f>IF(K$102="","",IF(Config!$N$44&lt;&gt;"Não",SUMIFS(BD!$M$3:$M$5001,BD!$B$3:$B$5001,K$102,BD!$A$3:$A$5001,"&gt;="&amp;$C$7,BD!$A$3:$A$5001,"&lt;="&amp;$D$7),"—"))</f>
        <v>0</v>
      </c>
      <c r="L113" s="32" t="str">
        <f>IF(L$102="","",IF(Config!$N$45&lt;&gt;"Não",SUMIFS(BD!$M$3:$M$5001,BD!$B$3:$B$5001,L$102,BD!$A$3:$A$5001,"&gt;="&amp;$C$7,BD!$A$3:$A$5001,"&lt;="&amp;$D$7),"—"))</f>
        <v/>
      </c>
      <c r="M113" s="32" t="str">
        <f>IF(M$102="","",IF(Config!$N$46&lt;&gt;"Não",SUMIFS(BD!$M$3:$M$5001,BD!$B$3:$B$5001,M$102,BD!$A$3:$A$5001,"&gt;="&amp;$C$7,BD!$A$3:$A$5001,"&lt;="&amp;$D$7),"—"))</f>
        <v/>
      </c>
      <c r="N113" s="32" t="str">
        <f>IF(N$102="","",IF(Config!$N$47&lt;&gt;"Não",SUMIFS(BD!$M$3:$M$5001,BD!$B$3:$B$5001,N$102,BD!$A$3:$A$5001,"&gt;="&amp;$C$7,BD!$A$3:$A$5001,"&lt;="&amp;$D$7),"—"))</f>
        <v/>
      </c>
      <c r="O113" s="32" t="str">
        <f>IF(O$102="","",IF(Config!$N$48&lt;&gt;"Não",SUMIFS(BD!$M$3:$M$5001,BD!$B$3:$B$5001,O$102,BD!$A$3:$A$5001,"&gt;="&amp;$C$7,BD!$A$3:$A$5001,"&lt;="&amp;$D$7),"—"))</f>
        <v/>
      </c>
      <c r="P113" s="32" t="str">
        <f>IF(P$102="","",IF(Config!$N$49&lt;&gt;"Não",SUMIFS(BD!$M$3:$M$5001,BD!$B$3:$B$5001,P$102,BD!$A$3:$A$5001,"&gt;="&amp;$C$7,BD!$A$3:$A$5001,"&lt;="&amp;$D$7),"—"))</f>
        <v/>
      </c>
      <c r="Q113" s="32" t="str">
        <f>IF(Q$102="","",IF(Config!$N$50&lt;&gt;"Não",SUMIFS(BD!$M$3:$M$5001,BD!$B$3:$B$5001,Q$102,BD!$A$3:$A$5001,"&gt;="&amp;$C$7,BD!$A$3:$A$5001,"&lt;="&amp;$D$7),"—"))</f>
        <v/>
      </c>
      <c r="R113" s="32" t="str">
        <f>IF(R$102="","",IF(Config!$N$51&lt;&gt;"Não",SUMIFS(BD!$M$3:$M$5001,BD!$B$3:$B$5001,R$102,BD!$A$3:$A$5001,"&gt;="&amp;$C$7,BD!$A$3:$A$5001,"&lt;="&amp;$D$7),"—"))</f>
        <v/>
      </c>
      <c r="S113" s="32" t="str">
        <f>IF(S$102="","",IF(Config!$N$52&lt;&gt;"Não",SUMIFS(BD!$M$3:$M$5001,BD!$B$3:$B$5001,S$102,BD!$A$3:$A$5001,"&gt;="&amp;$C$7,BD!$A$3:$A$5001,"&lt;="&amp;$D$7),"—"))</f>
        <v/>
      </c>
      <c r="T113" s="32" t="str">
        <f>IF(T$102="","",IF(Config!$N$53&lt;&gt;"Não",SUMIFS(BD!$M$3:$M$5001,BD!$B$3:$B$5001,T$102,BD!$A$3:$A$5001,"&gt;="&amp;$C$7,BD!$A$3:$A$5001,"&lt;="&amp;$D$7),"—"))</f>
        <v/>
      </c>
      <c r="U113" s="32" t="str">
        <f>IF(U$102="","",IF(Config!$N$54&lt;&gt;"Não",SUMIFS(BD!$M$3:$M$5001,BD!$B$3:$B$5001,U$102,BD!$A$3:$A$5001,"&gt;="&amp;$C$7,BD!$A$3:$A$5001,"&lt;="&amp;$D$7),"—"))</f>
        <v/>
      </c>
      <c r="V113" s="62">
        <f>SUM(B113:U113)</f>
        <v>0</v>
      </c>
    </row>
    <row r="114">
      <c r="A114" s="29" t="inlineStr">
        <is>
          <t xml:space="preserve">OUT · Pedidos Expedidos</t>
        </is>
      </c>
      <c r="B114" s="32" t="str">
        <f>IF(B$102="","",IF(Config!$O$35&lt;&gt;"Não",SUMIFS(BD!$N$3:$N$5001,BD!$B$3:$B$5001,B$102,BD!$A$3:$A$5001,"&gt;="&amp;$C$7,BD!$A$3:$A$5001,"&lt;="&amp;$D$7),"—"))</f>
        <v>—</v>
      </c>
      <c r="C114" s="32" t="str">
        <f>IF(C$102="","",IF(Config!$O$36&lt;&gt;"Não",SUMIFS(BD!$N$3:$N$5001,BD!$B$3:$B$5001,C$102,BD!$A$3:$A$5001,"&gt;="&amp;$C$7,BD!$A$3:$A$5001,"&lt;="&amp;$D$7),"—"))</f>
        <v>—</v>
      </c>
      <c r="D114" s="32">
        <f>IF(D$102="","",IF(Config!$O$37&lt;&gt;"Não",SUMIFS(BD!$N$3:$N$5001,BD!$B$3:$B$5001,D$102,BD!$A$3:$A$5001,"&gt;="&amp;$C$7,BD!$A$3:$A$5001,"&lt;="&amp;$D$7),"—"))</f>
        <v>0</v>
      </c>
      <c r="E114" s="32" t="str">
        <f>IF(E$102="","",IF(Config!$O$38&lt;&gt;"Não",SUMIFS(BD!$N$3:$N$5001,BD!$B$3:$B$5001,E$102,BD!$A$3:$A$5001,"&gt;="&amp;$C$7,BD!$A$3:$A$5001,"&lt;="&amp;$D$7),"—"))</f>
        <v>—</v>
      </c>
      <c r="F114" s="32" t="str">
        <f>IF(F$102="","",IF(Config!$O$39&lt;&gt;"Não",SUMIFS(BD!$N$3:$N$5001,BD!$B$3:$B$5001,F$102,BD!$A$3:$A$5001,"&gt;="&amp;$C$7,BD!$A$3:$A$5001,"&lt;="&amp;$D$7),"—"))</f>
        <v>—</v>
      </c>
      <c r="G114" s="32" t="str">
        <f>IF(G$102="","",IF(Config!$O$40&lt;&gt;"Não",SUMIFS(BD!$N$3:$N$5001,BD!$B$3:$B$5001,G$102,BD!$A$3:$A$5001,"&gt;="&amp;$C$7,BD!$A$3:$A$5001,"&lt;="&amp;$D$7),"—"))</f>
        <v>—</v>
      </c>
      <c r="H114" s="32" t="str">
        <f>IF(H$102="","",IF(Config!$O$41&lt;&gt;"Não",SUMIFS(BD!$N$3:$N$5001,BD!$B$3:$B$5001,H$102,BD!$A$3:$A$5001,"&gt;="&amp;$C$7,BD!$A$3:$A$5001,"&lt;="&amp;$D$7),"—"))</f>
        <v>—</v>
      </c>
      <c r="I114" s="32" t="str">
        <f>IF(I$102="","",IF(Config!$O$42&lt;&gt;"Não",SUMIFS(BD!$N$3:$N$5001,BD!$B$3:$B$5001,I$102,BD!$A$3:$A$5001,"&gt;="&amp;$C$7,BD!$A$3:$A$5001,"&lt;="&amp;$D$7),"—"))</f>
        <v>—</v>
      </c>
      <c r="J114" s="32" t="str">
        <f>IF(J$102="","",IF(Config!$O$43&lt;&gt;"Não",SUMIFS(BD!$N$3:$N$5001,BD!$B$3:$B$5001,J$102,BD!$A$3:$A$5001,"&gt;="&amp;$C$7,BD!$A$3:$A$5001,"&lt;="&amp;$D$7),"—"))</f>
        <v>—</v>
      </c>
      <c r="K114" s="32" t="str">
        <f>IF(K$102="","",IF(Config!$O$44&lt;&gt;"Não",SUMIFS(BD!$N$3:$N$5001,BD!$B$3:$B$5001,K$102,BD!$A$3:$A$5001,"&gt;="&amp;$C$7,BD!$A$3:$A$5001,"&lt;="&amp;$D$7),"—"))</f>
        <v>—</v>
      </c>
      <c r="L114" s="32" t="str">
        <f>IF(L$102="","",IF(Config!$O$45&lt;&gt;"Não",SUMIFS(BD!$N$3:$N$5001,BD!$B$3:$B$5001,L$102,BD!$A$3:$A$5001,"&gt;="&amp;$C$7,BD!$A$3:$A$5001,"&lt;="&amp;$D$7),"—"))</f>
        <v/>
      </c>
      <c r="M114" s="32" t="str">
        <f>IF(M$102="","",IF(Config!$O$46&lt;&gt;"Não",SUMIFS(BD!$N$3:$N$5001,BD!$B$3:$B$5001,M$102,BD!$A$3:$A$5001,"&gt;="&amp;$C$7,BD!$A$3:$A$5001,"&lt;="&amp;$D$7),"—"))</f>
        <v/>
      </c>
      <c r="N114" s="32" t="str">
        <f>IF(N$102="","",IF(Config!$O$47&lt;&gt;"Não",SUMIFS(BD!$N$3:$N$5001,BD!$B$3:$B$5001,N$102,BD!$A$3:$A$5001,"&gt;="&amp;$C$7,BD!$A$3:$A$5001,"&lt;="&amp;$D$7),"—"))</f>
        <v/>
      </c>
      <c r="O114" s="32" t="str">
        <f>IF(O$102="","",IF(Config!$O$48&lt;&gt;"Não",SUMIFS(BD!$N$3:$N$5001,BD!$B$3:$B$5001,O$102,BD!$A$3:$A$5001,"&gt;="&amp;$C$7,BD!$A$3:$A$5001,"&lt;="&amp;$D$7),"—"))</f>
        <v/>
      </c>
      <c r="P114" s="32" t="str">
        <f>IF(P$102="","",IF(Config!$O$49&lt;&gt;"Não",SUMIFS(BD!$N$3:$N$5001,BD!$B$3:$B$5001,P$102,BD!$A$3:$A$5001,"&gt;="&amp;$C$7,BD!$A$3:$A$5001,"&lt;="&amp;$D$7),"—"))</f>
        <v/>
      </c>
      <c r="Q114" s="32" t="str">
        <f>IF(Q$102="","",IF(Config!$O$50&lt;&gt;"Não",SUMIFS(BD!$N$3:$N$5001,BD!$B$3:$B$5001,Q$102,BD!$A$3:$A$5001,"&gt;="&amp;$C$7,BD!$A$3:$A$5001,"&lt;="&amp;$D$7),"—"))</f>
        <v/>
      </c>
      <c r="R114" s="32" t="str">
        <f>IF(R$102="","",IF(Config!$O$51&lt;&gt;"Não",SUMIFS(BD!$N$3:$N$5001,BD!$B$3:$B$5001,R$102,BD!$A$3:$A$5001,"&gt;="&amp;$C$7,BD!$A$3:$A$5001,"&lt;="&amp;$D$7),"—"))</f>
        <v/>
      </c>
      <c r="S114" s="32" t="str">
        <f>IF(S$102="","",IF(Config!$O$52&lt;&gt;"Não",SUMIFS(BD!$N$3:$N$5001,BD!$B$3:$B$5001,S$102,BD!$A$3:$A$5001,"&gt;="&amp;$C$7,BD!$A$3:$A$5001,"&lt;="&amp;$D$7),"—"))</f>
        <v/>
      </c>
      <c r="T114" s="32" t="str">
        <f>IF(T$102="","",IF(Config!$O$53&lt;&gt;"Não",SUMIFS(BD!$N$3:$N$5001,BD!$B$3:$B$5001,T$102,BD!$A$3:$A$5001,"&gt;="&amp;$C$7,BD!$A$3:$A$5001,"&lt;="&amp;$D$7),"—"))</f>
        <v/>
      </c>
      <c r="U114" s="32" t="str">
        <f>IF(U$102="","",IF(Config!$O$54&lt;&gt;"Não",SUMIFS(BD!$N$3:$N$5001,BD!$B$3:$B$5001,U$102,BD!$A$3:$A$5001,"&gt;="&amp;$C$7,BD!$A$3:$A$5001,"&lt;="&amp;$D$7),"—"))</f>
        <v/>
      </c>
      <c r="V114" s="62">
        <f>SUM(B114:U114)</f>
        <v>0</v>
      </c>
    </row>
    <row r="115">
      <c r="A115" s="29" t="inlineStr">
        <is>
          <t xml:space="preserve">OUT · Pedidos Faturados</t>
        </is>
      </c>
      <c r="B115" s="32" t="str">
        <f>IF(B$102="","",IF(Config!$P$35&lt;&gt;"Não",SUMIFS(BD!$O$3:$O$5001,BD!$B$3:$B$5001,B$102,BD!$A$3:$A$5001,"&gt;="&amp;$C$7,BD!$A$3:$A$5001,"&lt;="&amp;$D$7),"—"))</f>
        <v>—</v>
      </c>
      <c r="C115" s="32" t="str">
        <f>IF(C$102="","",IF(Config!$P$36&lt;&gt;"Não",SUMIFS(BD!$O$3:$O$5001,BD!$B$3:$B$5001,C$102,BD!$A$3:$A$5001,"&gt;="&amp;$C$7,BD!$A$3:$A$5001,"&lt;="&amp;$D$7),"—"))</f>
        <v>—</v>
      </c>
      <c r="D115" s="32" t="str">
        <f>IF(D$102="","",IF(Config!$P$37&lt;&gt;"Não",SUMIFS(BD!$O$3:$O$5001,BD!$B$3:$B$5001,D$102,BD!$A$3:$A$5001,"&gt;="&amp;$C$7,BD!$A$3:$A$5001,"&lt;="&amp;$D$7),"—"))</f>
        <v>—</v>
      </c>
      <c r="E115" s="32">
        <f>IF(E$102="","",IF(Config!$P$38&lt;&gt;"Não",SUMIFS(BD!$O$3:$O$5001,BD!$B$3:$B$5001,E$102,BD!$A$3:$A$5001,"&gt;="&amp;$C$7,BD!$A$3:$A$5001,"&lt;="&amp;$D$7),"—"))</f>
        <v>0</v>
      </c>
      <c r="F115" s="32" t="str">
        <f>IF(F$102="","",IF(Config!$P$39&lt;&gt;"Não",SUMIFS(BD!$O$3:$O$5001,BD!$B$3:$B$5001,F$102,BD!$A$3:$A$5001,"&gt;="&amp;$C$7,BD!$A$3:$A$5001,"&lt;="&amp;$D$7),"—"))</f>
        <v>—</v>
      </c>
      <c r="G115" s="32" t="str">
        <f>IF(G$102="","",IF(Config!$P$40&lt;&gt;"Não",SUMIFS(BD!$O$3:$O$5001,BD!$B$3:$B$5001,G$102,BD!$A$3:$A$5001,"&gt;="&amp;$C$7,BD!$A$3:$A$5001,"&lt;="&amp;$D$7),"—"))</f>
        <v>—</v>
      </c>
      <c r="H115" s="32" t="str">
        <f>IF(H$102="","",IF(Config!$P$41&lt;&gt;"Não",SUMIFS(BD!$O$3:$O$5001,BD!$B$3:$B$5001,H$102,BD!$A$3:$A$5001,"&gt;="&amp;$C$7,BD!$A$3:$A$5001,"&lt;="&amp;$D$7),"—"))</f>
        <v>—</v>
      </c>
      <c r="I115" s="32" t="str">
        <f>IF(I$102="","",IF(Config!$P$42&lt;&gt;"Não",SUMIFS(BD!$O$3:$O$5001,BD!$B$3:$B$5001,I$102,BD!$A$3:$A$5001,"&gt;="&amp;$C$7,BD!$A$3:$A$5001,"&lt;="&amp;$D$7),"—"))</f>
        <v>—</v>
      </c>
      <c r="J115" s="32" t="str">
        <f>IF(J$102="","",IF(Config!$P$43&lt;&gt;"Não",SUMIFS(BD!$O$3:$O$5001,BD!$B$3:$B$5001,J$102,BD!$A$3:$A$5001,"&gt;="&amp;$C$7,BD!$A$3:$A$5001,"&lt;="&amp;$D$7),"—"))</f>
        <v>—</v>
      </c>
      <c r="K115" s="32" t="str">
        <f>IF(K$102="","",IF(Config!$P$44&lt;&gt;"Não",SUMIFS(BD!$O$3:$O$5001,BD!$B$3:$B$5001,K$102,BD!$A$3:$A$5001,"&gt;="&amp;$C$7,BD!$A$3:$A$5001,"&lt;="&amp;$D$7),"—"))</f>
        <v>—</v>
      </c>
      <c r="L115" s="32" t="str">
        <f>IF(L$102="","",IF(Config!$P$45&lt;&gt;"Não",SUMIFS(BD!$O$3:$O$5001,BD!$B$3:$B$5001,L$102,BD!$A$3:$A$5001,"&gt;="&amp;$C$7,BD!$A$3:$A$5001,"&lt;="&amp;$D$7),"—"))</f>
        <v/>
      </c>
      <c r="M115" s="32" t="str">
        <f>IF(M$102="","",IF(Config!$P$46&lt;&gt;"Não",SUMIFS(BD!$O$3:$O$5001,BD!$B$3:$B$5001,M$102,BD!$A$3:$A$5001,"&gt;="&amp;$C$7,BD!$A$3:$A$5001,"&lt;="&amp;$D$7),"—"))</f>
        <v/>
      </c>
      <c r="N115" s="32" t="str">
        <f>IF(N$102="","",IF(Config!$P$47&lt;&gt;"Não",SUMIFS(BD!$O$3:$O$5001,BD!$B$3:$B$5001,N$102,BD!$A$3:$A$5001,"&gt;="&amp;$C$7,BD!$A$3:$A$5001,"&lt;="&amp;$D$7),"—"))</f>
        <v/>
      </c>
      <c r="O115" s="32" t="str">
        <f>IF(O$102="","",IF(Config!$P$48&lt;&gt;"Não",SUMIFS(BD!$O$3:$O$5001,BD!$B$3:$B$5001,O$102,BD!$A$3:$A$5001,"&gt;="&amp;$C$7,BD!$A$3:$A$5001,"&lt;="&amp;$D$7),"—"))</f>
        <v/>
      </c>
      <c r="P115" s="32" t="str">
        <f>IF(P$102="","",IF(Config!$P$49&lt;&gt;"Não",SUMIFS(BD!$O$3:$O$5001,BD!$B$3:$B$5001,P$102,BD!$A$3:$A$5001,"&gt;="&amp;$C$7,BD!$A$3:$A$5001,"&lt;="&amp;$D$7),"—"))</f>
        <v/>
      </c>
      <c r="Q115" s="32" t="str">
        <f>IF(Q$102="","",IF(Config!$P$50&lt;&gt;"Não",SUMIFS(BD!$O$3:$O$5001,BD!$B$3:$B$5001,Q$102,BD!$A$3:$A$5001,"&gt;="&amp;$C$7,BD!$A$3:$A$5001,"&lt;="&amp;$D$7),"—"))</f>
        <v/>
      </c>
      <c r="R115" s="32" t="str">
        <f>IF(R$102="","",IF(Config!$P$51&lt;&gt;"Não",SUMIFS(BD!$O$3:$O$5001,BD!$B$3:$B$5001,R$102,BD!$A$3:$A$5001,"&gt;="&amp;$C$7,BD!$A$3:$A$5001,"&lt;="&amp;$D$7),"—"))</f>
        <v/>
      </c>
      <c r="S115" s="32" t="str">
        <f>IF(S$102="","",IF(Config!$P$52&lt;&gt;"Não",SUMIFS(BD!$O$3:$O$5001,BD!$B$3:$B$5001,S$102,BD!$A$3:$A$5001,"&gt;="&amp;$C$7,BD!$A$3:$A$5001,"&lt;="&amp;$D$7),"—"))</f>
        <v/>
      </c>
      <c r="T115" s="32" t="str">
        <f>IF(T$102="","",IF(Config!$P$53&lt;&gt;"Não",SUMIFS(BD!$O$3:$O$5001,BD!$B$3:$B$5001,T$102,BD!$A$3:$A$5001,"&gt;="&amp;$C$7,BD!$A$3:$A$5001,"&lt;="&amp;$D$7),"—"))</f>
        <v/>
      </c>
      <c r="U115" s="32" t="str">
        <f>IF(U$102="","",IF(Config!$P$54&lt;&gt;"Não",SUMIFS(BD!$O$3:$O$5001,BD!$B$3:$B$5001,U$102,BD!$A$3:$A$5001,"&gt;="&amp;$C$7,BD!$A$3:$A$5001,"&lt;="&amp;$D$7),"—"))</f>
        <v/>
      </c>
      <c r="V115" s="62">
        <f>SUM(B115:U115)</f>
        <v>0</v>
      </c>
    </row>
    <row r="116">
      <c r="A116" s="29" t="inlineStr">
        <is>
          <t xml:space="preserve">OUT · Itens Expedidos</t>
        </is>
      </c>
      <c r="B116" s="32" t="str">
        <f>IF(B$102="","",IF(Config!$Q$35&lt;&gt;"Não",SUMIFS(BD!$P$3:$P$5001,BD!$B$3:$B$5001,B$102,BD!$A$3:$A$5001,"&gt;="&amp;$C$7,BD!$A$3:$A$5001,"&lt;="&amp;$D$7),"—"))</f>
        <v>—</v>
      </c>
      <c r="C116" s="32" t="str">
        <f>IF(C$102="","",IF(Config!$Q$36&lt;&gt;"Não",SUMIFS(BD!$P$3:$P$5001,BD!$B$3:$B$5001,C$102,BD!$A$3:$A$5001,"&gt;="&amp;$C$7,BD!$A$3:$A$5001,"&lt;="&amp;$D$7),"—"))</f>
        <v>—</v>
      </c>
      <c r="D116" s="32" t="str">
        <f>IF(D$102="","",IF(Config!$Q$37&lt;&gt;"Não",SUMIFS(BD!$P$3:$P$5001,BD!$B$3:$B$5001,D$102,BD!$A$3:$A$5001,"&gt;="&amp;$C$7,BD!$A$3:$A$5001,"&lt;="&amp;$D$7),"—"))</f>
        <v>—</v>
      </c>
      <c r="E116" s="32">
        <f>IF(E$102="","",IF(Config!$Q$38&lt;&gt;"Não",SUMIFS(BD!$P$3:$P$5001,BD!$B$3:$B$5001,E$102,BD!$A$3:$A$5001,"&gt;="&amp;$C$7,BD!$A$3:$A$5001,"&lt;="&amp;$D$7),"—"))</f>
        <v>0</v>
      </c>
      <c r="F116" s="32" t="str">
        <f>IF(F$102="","",IF(Config!$Q$39&lt;&gt;"Não",SUMIFS(BD!$P$3:$P$5001,BD!$B$3:$B$5001,F$102,BD!$A$3:$A$5001,"&gt;="&amp;$C$7,BD!$A$3:$A$5001,"&lt;="&amp;$D$7),"—"))</f>
        <v>—</v>
      </c>
      <c r="G116" s="32" t="str">
        <f>IF(G$102="","",IF(Config!$Q$40&lt;&gt;"Não",SUMIFS(BD!$P$3:$P$5001,BD!$B$3:$B$5001,G$102,BD!$A$3:$A$5001,"&gt;="&amp;$C$7,BD!$A$3:$A$5001,"&lt;="&amp;$D$7),"—"))</f>
        <v>—</v>
      </c>
      <c r="H116" s="32" t="str">
        <f>IF(H$102="","",IF(Config!$Q$41&lt;&gt;"Não",SUMIFS(BD!$P$3:$P$5001,BD!$B$3:$B$5001,H$102,BD!$A$3:$A$5001,"&gt;="&amp;$C$7,BD!$A$3:$A$5001,"&lt;="&amp;$D$7),"—"))</f>
        <v>—</v>
      </c>
      <c r="I116" s="32" t="str">
        <f>IF(I$102="","",IF(Config!$Q$42&lt;&gt;"Não",SUMIFS(BD!$P$3:$P$5001,BD!$B$3:$B$5001,I$102,BD!$A$3:$A$5001,"&gt;="&amp;$C$7,BD!$A$3:$A$5001,"&lt;="&amp;$D$7),"—"))</f>
        <v>—</v>
      </c>
      <c r="J116" s="32" t="str">
        <f>IF(J$102="","",IF(Config!$Q$43&lt;&gt;"Não",SUMIFS(BD!$P$3:$P$5001,BD!$B$3:$B$5001,J$102,BD!$A$3:$A$5001,"&gt;="&amp;$C$7,BD!$A$3:$A$5001,"&lt;="&amp;$D$7),"—"))</f>
        <v>—</v>
      </c>
      <c r="K116" s="32" t="str">
        <f>IF(K$102="","",IF(Config!$Q$44&lt;&gt;"Não",SUMIFS(BD!$P$3:$P$5001,BD!$B$3:$B$5001,K$102,BD!$A$3:$A$5001,"&gt;="&amp;$C$7,BD!$A$3:$A$5001,"&lt;="&amp;$D$7),"—"))</f>
        <v>—</v>
      </c>
      <c r="L116" s="32" t="str">
        <f>IF(L$102="","",IF(Config!$Q$45&lt;&gt;"Não",SUMIFS(BD!$P$3:$P$5001,BD!$B$3:$B$5001,L$102,BD!$A$3:$A$5001,"&gt;="&amp;$C$7,BD!$A$3:$A$5001,"&lt;="&amp;$D$7),"—"))</f>
        <v/>
      </c>
      <c r="M116" s="32" t="str">
        <f>IF(M$102="","",IF(Config!$Q$46&lt;&gt;"Não",SUMIFS(BD!$P$3:$P$5001,BD!$B$3:$B$5001,M$102,BD!$A$3:$A$5001,"&gt;="&amp;$C$7,BD!$A$3:$A$5001,"&lt;="&amp;$D$7),"—"))</f>
        <v/>
      </c>
      <c r="N116" s="32" t="str">
        <f>IF(N$102="","",IF(Config!$Q$47&lt;&gt;"Não",SUMIFS(BD!$P$3:$P$5001,BD!$B$3:$B$5001,N$102,BD!$A$3:$A$5001,"&gt;="&amp;$C$7,BD!$A$3:$A$5001,"&lt;="&amp;$D$7),"—"))</f>
        <v/>
      </c>
      <c r="O116" s="32" t="str">
        <f>IF(O$102="","",IF(Config!$Q$48&lt;&gt;"Não",SUMIFS(BD!$P$3:$P$5001,BD!$B$3:$B$5001,O$102,BD!$A$3:$A$5001,"&gt;="&amp;$C$7,BD!$A$3:$A$5001,"&lt;="&amp;$D$7),"—"))</f>
        <v/>
      </c>
      <c r="P116" s="32" t="str">
        <f>IF(P$102="","",IF(Config!$Q$49&lt;&gt;"Não",SUMIFS(BD!$P$3:$P$5001,BD!$B$3:$B$5001,P$102,BD!$A$3:$A$5001,"&gt;="&amp;$C$7,BD!$A$3:$A$5001,"&lt;="&amp;$D$7),"—"))</f>
        <v/>
      </c>
      <c r="Q116" s="32" t="str">
        <f>IF(Q$102="","",IF(Config!$Q$50&lt;&gt;"Não",SUMIFS(BD!$P$3:$P$5001,BD!$B$3:$B$5001,Q$102,BD!$A$3:$A$5001,"&gt;="&amp;$C$7,BD!$A$3:$A$5001,"&lt;="&amp;$D$7),"—"))</f>
        <v/>
      </c>
      <c r="R116" s="32" t="str">
        <f>IF(R$102="","",IF(Config!$Q$51&lt;&gt;"Não",SUMIFS(BD!$P$3:$P$5001,BD!$B$3:$B$5001,R$102,BD!$A$3:$A$5001,"&gt;="&amp;$C$7,BD!$A$3:$A$5001,"&lt;="&amp;$D$7),"—"))</f>
        <v/>
      </c>
      <c r="S116" s="32" t="str">
        <f>IF(S$102="","",IF(Config!$Q$52&lt;&gt;"Não",SUMIFS(BD!$P$3:$P$5001,BD!$B$3:$B$5001,S$102,BD!$A$3:$A$5001,"&gt;="&amp;$C$7,BD!$A$3:$A$5001,"&lt;="&amp;$D$7),"—"))</f>
        <v/>
      </c>
      <c r="T116" s="32" t="str">
        <f>IF(T$102="","",IF(Config!$Q$53&lt;&gt;"Não",SUMIFS(BD!$P$3:$P$5001,BD!$B$3:$B$5001,T$102,BD!$A$3:$A$5001,"&gt;="&amp;$C$7,BD!$A$3:$A$5001,"&lt;="&amp;$D$7),"—"))</f>
        <v/>
      </c>
      <c r="U116" s="32" t="str">
        <f>IF(U$102="","",IF(Config!$Q$54&lt;&gt;"Não",SUMIFS(BD!$P$3:$P$5001,BD!$B$3:$B$5001,U$102,BD!$A$3:$A$5001,"&gt;="&amp;$C$7,BD!$A$3:$A$5001,"&lt;="&amp;$D$7),"—"))</f>
        <v/>
      </c>
      <c r="V116" s="62">
        <f>SUM(B116:U116)</f>
        <v>0</v>
      </c>
    </row>
    <row r="117">
      <c r="A117" s="29" t="inlineStr">
        <is>
          <t xml:space="preserve">OUT · Peças Movimentadas</t>
        </is>
      </c>
      <c r="B117" s="32" t="str">
        <f>IF(B$102="","",IF(Config!$R$35&lt;&gt;"Não",SUMIFS(BD!$Q$3:$Q$5001,BD!$B$3:$B$5001,B$102,BD!$A$3:$A$5001,"&gt;="&amp;$C$7,BD!$A$3:$A$5001,"&lt;="&amp;$D$7),"—"))</f>
        <v>—</v>
      </c>
      <c r="C117" s="32" t="str">
        <f>IF(C$102="","",IF(Config!$R$36&lt;&gt;"Não",SUMIFS(BD!$Q$3:$Q$5001,BD!$B$3:$B$5001,C$102,BD!$A$3:$A$5001,"&gt;="&amp;$C$7,BD!$A$3:$A$5001,"&lt;="&amp;$D$7),"—"))</f>
        <v>—</v>
      </c>
      <c r="D117" s="32" t="str">
        <f>IF(D$102="","",IF(Config!$R$37&lt;&gt;"Não",SUMIFS(BD!$Q$3:$Q$5001,BD!$B$3:$B$5001,D$102,BD!$A$3:$A$5001,"&gt;="&amp;$C$7,BD!$A$3:$A$5001,"&lt;="&amp;$D$7),"—"))</f>
        <v>—</v>
      </c>
      <c r="E117" s="32" t="str">
        <f>IF(E$102="","",IF(Config!$R$38&lt;&gt;"Não",SUMIFS(BD!$Q$3:$Q$5001,BD!$B$3:$B$5001,E$102,BD!$A$3:$A$5001,"&gt;="&amp;$C$7,BD!$A$3:$A$5001,"&lt;="&amp;$D$7),"—"))</f>
        <v>—</v>
      </c>
      <c r="F117" s="32" t="str">
        <f>IF(F$102="","",IF(Config!$R$39&lt;&gt;"Não",SUMIFS(BD!$Q$3:$Q$5001,BD!$B$3:$B$5001,F$102,BD!$A$3:$A$5001,"&gt;="&amp;$C$7,BD!$A$3:$A$5001,"&lt;="&amp;$D$7),"—"))</f>
        <v>—</v>
      </c>
      <c r="G117" s="32">
        <f>IF(G$102="","",IF(Config!$R$40&lt;&gt;"Não",SUMIFS(BD!$Q$3:$Q$5001,BD!$B$3:$B$5001,G$102,BD!$A$3:$A$5001,"&gt;="&amp;$C$7,BD!$A$3:$A$5001,"&lt;="&amp;$D$7),"—"))</f>
        <v>0</v>
      </c>
      <c r="H117" s="32" t="str">
        <f>IF(H$102="","",IF(Config!$R$41&lt;&gt;"Não",SUMIFS(BD!$Q$3:$Q$5001,BD!$B$3:$B$5001,H$102,BD!$A$3:$A$5001,"&gt;="&amp;$C$7,BD!$A$3:$A$5001,"&lt;="&amp;$D$7),"—"))</f>
        <v>—</v>
      </c>
      <c r="I117" s="32" t="str">
        <f>IF(I$102="","",IF(Config!$R$42&lt;&gt;"Não",SUMIFS(BD!$Q$3:$Q$5001,BD!$B$3:$B$5001,I$102,BD!$A$3:$A$5001,"&gt;="&amp;$C$7,BD!$A$3:$A$5001,"&lt;="&amp;$D$7),"—"))</f>
        <v>—</v>
      </c>
      <c r="J117" s="32" t="str">
        <f>IF(J$102="","",IF(Config!$R$43&lt;&gt;"Não",SUMIFS(BD!$Q$3:$Q$5001,BD!$B$3:$B$5001,J$102,BD!$A$3:$A$5001,"&gt;="&amp;$C$7,BD!$A$3:$A$5001,"&lt;="&amp;$D$7),"—"))</f>
        <v>—</v>
      </c>
      <c r="K117" s="32" t="str">
        <f>IF(K$102="","",IF(Config!$R$44&lt;&gt;"Não",SUMIFS(BD!$Q$3:$Q$5001,BD!$B$3:$B$5001,K$102,BD!$A$3:$A$5001,"&gt;="&amp;$C$7,BD!$A$3:$A$5001,"&lt;="&amp;$D$7),"—"))</f>
        <v>—</v>
      </c>
      <c r="L117" s="32" t="str">
        <f>IF(L$102="","",IF(Config!$R$45&lt;&gt;"Não",SUMIFS(BD!$Q$3:$Q$5001,BD!$B$3:$B$5001,L$102,BD!$A$3:$A$5001,"&gt;="&amp;$C$7,BD!$A$3:$A$5001,"&lt;="&amp;$D$7),"—"))</f>
        <v/>
      </c>
      <c r="M117" s="32" t="str">
        <f>IF(M$102="","",IF(Config!$R$46&lt;&gt;"Não",SUMIFS(BD!$Q$3:$Q$5001,BD!$B$3:$B$5001,M$102,BD!$A$3:$A$5001,"&gt;="&amp;$C$7,BD!$A$3:$A$5001,"&lt;="&amp;$D$7),"—"))</f>
        <v/>
      </c>
      <c r="N117" s="32" t="str">
        <f>IF(N$102="","",IF(Config!$R$47&lt;&gt;"Não",SUMIFS(BD!$Q$3:$Q$5001,BD!$B$3:$B$5001,N$102,BD!$A$3:$A$5001,"&gt;="&amp;$C$7,BD!$A$3:$A$5001,"&lt;="&amp;$D$7),"—"))</f>
        <v/>
      </c>
      <c r="O117" s="32" t="str">
        <f>IF(O$102="","",IF(Config!$R$48&lt;&gt;"Não",SUMIFS(BD!$Q$3:$Q$5001,BD!$B$3:$B$5001,O$102,BD!$A$3:$A$5001,"&gt;="&amp;$C$7,BD!$A$3:$A$5001,"&lt;="&amp;$D$7),"—"))</f>
        <v/>
      </c>
      <c r="P117" s="32" t="str">
        <f>IF(P$102="","",IF(Config!$R$49&lt;&gt;"Não",SUMIFS(BD!$Q$3:$Q$5001,BD!$B$3:$B$5001,P$102,BD!$A$3:$A$5001,"&gt;="&amp;$C$7,BD!$A$3:$A$5001,"&lt;="&amp;$D$7),"—"))</f>
        <v/>
      </c>
      <c r="Q117" s="32" t="str">
        <f>IF(Q$102="","",IF(Config!$R$50&lt;&gt;"Não",SUMIFS(BD!$Q$3:$Q$5001,BD!$B$3:$B$5001,Q$102,BD!$A$3:$A$5001,"&gt;="&amp;$C$7,BD!$A$3:$A$5001,"&lt;="&amp;$D$7),"—"))</f>
        <v/>
      </c>
      <c r="R117" s="32" t="str">
        <f>IF(R$102="","",IF(Config!$R$51&lt;&gt;"Não",SUMIFS(BD!$Q$3:$Q$5001,BD!$B$3:$B$5001,R$102,BD!$A$3:$A$5001,"&gt;="&amp;$C$7,BD!$A$3:$A$5001,"&lt;="&amp;$D$7),"—"))</f>
        <v/>
      </c>
      <c r="S117" s="32" t="str">
        <f>IF(S$102="","",IF(Config!$R$52&lt;&gt;"Não",SUMIFS(BD!$Q$3:$Q$5001,BD!$B$3:$B$5001,S$102,BD!$A$3:$A$5001,"&gt;="&amp;$C$7,BD!$A$3:$A$5001,"&lt;="&amp;$D$7),"—"))</f>
        <v/>
      </c>
      <c r="T117" s="32" t="str">
        <f>IF(T$102="","",IF(Config!$R$53&lt;&gt;"Não",SUMIFS(BD!$Q$3:$Q$5001,BD!$B$3:$B$5001,T$102,BD!$A$3:$A$5001,"&gt;="&amp;$C$7,BD!$A$3:$A$5001,"&lt;="&amp;$D$7),"—"))</f>
        <v/>
      </c>
      <c r="U117" s="32" t="str">
        <f>IF(U$102="","",IF(Config!$R$54&lt;&gt;"Não",SUMIFS(BD!$Q$3:$Q$5001,BD!$B$3:$B$5001,U$102,BD!$A$3:$A$5001,"&gt;="&amp;$C$7,BD!$A$3:$A$5001,"&lt;="&amp;$D$7),"—"))</f>
        <v/>
      </c>
      <c r="V117" s="62">
        <f>SUM(B117:U117)</f>
        <v>0</v>
      </c>
    </row>
    <row r="118">
      <c r="A118" s="29" t="inlineStr">
        <is>
          <t xml:space="preserve">OUT · Linhas NF</t>
        </is>
      </c>
      <c r="B118" s="32" t="str">
        <f>IF(B$102="","",IF(Config!$S$35&lt;&gt;"Não",SUMIFS(BD!$R$3:$R$5001,BD!$B$3:$B$5001,B$102,BD!$A$3:$A$5001,"&gt;="&amp;$C$7,BD!$A$3:$A$5001,"&lt;="&amp;$D$7),"—"))</f>
        <v>—</v>
      </c>
      <c r="C118" s="32" t="str">
        <f>IF(C$102="","",IF(Config!$S$36&lt;&gt;"Não",SUMIFS(BD!$R$3:$R$5001,BD!$B$3:$B$5001,C$102,BD!$A$3:$A$5001,"&gt;="&amp;$C$7,BD!$A$3:$A$5001,"&lt;="&amp;$D$7),"—"))</f>
        <v>—</v>
      </c>
      <c r="D118" s="32" t="str">
        <f>IF(D$102="","",IF(Config!$S$37&lt;&gt;"Não",SUMIFS(BD!$R$3:$R$5001,BD!$B$3:$B$5001,D$102,BD!$A$3:$A$5001,"&gt;="&amp;$C$7,BD!$A$3:$A$5001,"&lt;="&amp;$D$7),"—"))</f>
        <v>—</v>
      </c>
      <c r="E118" s="32" t="str">
        <f>IF(E$102="","",IF(Config!$S$38&lt;&gt;"Não",SUMIFS(BD!$R$3:$R$5001,BD!$B$3:$B$5001,E$102,BD!$A$3:$A$5001,"&gt;="&amp;$C$7,BD!$A$3:$A$5001,"&lt;="&amp;$D$7),"—"))</f>
        <v>—</v>
      </c>
      <c r="F118" s="32" t="str">
        <f>IF(F$102="","",IF(Config!$S$39&lt;&gt;"Não",SUMIFS(BD!$R$3:$R$5001,BD!$B$3:$B$5001,F$102,BD!$A$3:$A$5001,"&gt;="&amp;$C$7,BD!$A$3:$A$5001,"&lt;="&amp;$D$7),"—"))</f>
        <v>—</v>
      </c>
      <c r="G118" s="32">
        <f>IF(G$102="","",IF(Config!$S$40&lt;&gt;"Não",SUMIFS(BD!$R$3:$R$5001,BD!$B$3:$B$5001,G$102,BD!$A$3:$A$5001,"&gt;="&amp;$C$7,BD!$A$3:$A$5001,"&lt;="&amp;$D$7),"—"))</f>
        <v>0</v>
      </c>
      <c r="H118" s="32" t="str">
        <f>IF(H$102="","",IF(Config!$S$41&lt;&gt;"Não",SUMIFS(BD!$R$3:$R$5001,BD!$B$3:$B$5001,H$102,BD!$A$3:$A$5001,"&gt;="&amp;$C$7,BD!$A$3:$A$5001,"&lt;="&amp;$D$7),"—"))</f>
        <v>—</v>
      </c>
      <c r="I118" s="32" t="str">
        <f>IF(I$102="","",IF(Config!$S$42&lt;&gt;"Não",SUMIFS(BD!$R$3:$R$5001,BD!$B$3:$B$5001,I$102,BD!$A$3:$A$5001,"&gt;="&amp;$C$7,BD!$A$3:$A$5001,"&lt;="&amp;$D$7),"—"))</f>
        <v>—</v>
      </c>
      <c r="J118" s="32" t="str">
        <f>IF(J$102="","",IF(Config!$S$43&lt;&gt;"Não",SUMIFS(BD!$R$3:$R$5001,BD!$B$3:$B$5001,J$102,BD!$A$3:$A$5001,"&gt;="&amp;$C$7,BD!$A$3:$A$5001,"&lt;="&amp;$D$7),"—"))</f>
        <v>—</v>
      </c>
      <c r="K118" s="32">
        <f>IF(K$102="","",IF(Config!$S$44&lt;&gt;"Não",SUMIFS(BD!$R$3:$R$5001,BD!$B$3:$B$5001,K$102,BD!$A$3:$A$5001,"&gt;="&amp;$C$7,BD!$A$3:$A$5001,"&lt;="&amp;$D$7),"—"))</f>
        <v>0</v>
      </c>
      <c r="L118" s="32" t="str">
        <f>IF(L$102="","",IF(Config!$S$45&lt;&gt;"Não",SUMIFS(BD!$R$3:$R$5001,BD!$B$3:$B$5001,L$102,BD!$A$3:$A$5001,"&gt;="&amp;$C$7,BD!$A$3:$A$5001,"&lt;="&amp;$D$7),"—"))</f>
        <v/>
      </c>
      <c r="M118" s="32" t="str">
        <f>IF(M$102="","",IF(Config!$S$46&lt;&gt;"Não",SUMIFS(BD!$R$3:$R$5001,BD!$B$3:$B$5001,M$102,BD!$A$3:$A$5001,"&gt;="&amp;$C$7,BD!$A$3:$A$5001,"&lt;="&amp;$D$7),"—"))</f>
        <v/>
      </c>
      <c r="N118" s="32" t="str">
        <f>IF(N$102="","",IF(Config!$S$47&lt;&gt;"Não",SUMIFS(BD!$R$3:$R$5001,BD!$B$3:$B$5001,N$102,BD!$A$3:$A$5001,"&gt;="&amp;$C$7,BD!$A$3:$A$5001,"&lt;="&amp;$D$7),"—"))</f>
        <v/>
      </c>
      <c r="O118" s="32" t="str">
        <f>IF(O$102="","",IF(Config!$S$48&lt;&gt;"Não",SUMIFS(BD!$R$3:$R$5001,BD!$B$3:$B$5001,O$102,BD!$A$3:$A$5001,"&gt;="&amp;$C$7,BD!$A$3:$A$5001,"&lt;="&amp;$D$7),"—"))</f>
        <v/>
      </c>
      <c r="P118" s="32" t="str">
        <f>IF(P$102="","",IF(Config!$S$49&lt;&gt;"Não",SUMIFS(BD!$R$3:$R$5001,BD!$B$3:$B$5001,P$102,BD!$A$3:$A$5001,"&gt;="&amp;$C$7,BD!$A$3:$A$5001,"&lt;="&amp;$D$7),"—"))</f>
        <v/>
      </c>
      <c r="Q118" s="32" t="str">
        <f>IF(Q$102="","",IF(Config!$S$50&lt;&gt;"Não",SUMIFS(BD!$R$3:$R$5001,BD!$B$3:$B$5001,Q$102,BD!$A$3:$A$5001,"&gt;="&amp;$C$7,BD!$A$3:$A$5001,"&lt;="&amp;$D$7),"—"))</f>
        <v/>
      </c>
      <c r="R118" s="32" t="str">
        <f>IF(R$102="","",IF(Config!$S$51&lt;&gt;"Não",SUMIFS(BD!$R$3:$R$5001,BD!$B$3:$B$5001,R$102,BD!$A$3:$A$5001,"&gt;="&amp;$C$7,BD!$A$3:$A$5001,"&lt;="&amp;$D$7),"—"))</f>
        <v/>
      </c>
      <c r="S118" s="32" t="str">
        <f>IF(S$102="","",IF(Config!$S$52&lt;&gt;"Não",SUMIFS(BD!$R$3:$R$5001,BD!$B$3:$B$5001,S$102,BD!$A$3:$A$5001,"&gt;="&amp;$C$7,BD!$A$3:$A$5001,"&lt;="&amp;$D$7),"—"))</f>
        <v/>
      </c>
      <c r="T118" s="32" t="str">
        <f>IF(T$102="","",IF(Config!$S$53&lt;&gt;"Não",SUMIFS(BD!$R$3:$R$5001,BD!$B$3:$B$5001,T$102,BD!$A$3:$A$5001,"&gt;="&amp;$C$7,BD!$A$3:$A$5001,"&lt;="&amp;$D$7),"—"))</f>
        <v/>
      </c>
      <c r="U118" s="32" t="str">
        <f>IF(U$102="","",IF(Config!$S$54&lt;&gt;"Não",SUMIFS(BD!$R$3:$R$5001,BD!$B$3:$B$5001,U$102,BD!$A$3:$A$5001,"&gt;="&amp;$C$7,BD!$A$3:$A$5001,"&lt;="&amp;$D$7),"—"))</f>
        <v/>
      </c>
      <c r="V118" s="62">
        <f>SUM(B118:U118)</f>
        <v>0</v>
      </c>
    </row>
    <row r="119">
      <c r="A119" s="29" t="inlineStr">
        <is>
          <t xml:space="preserve">OUT · Caixas Expedidas</t>
        </is>
      </c>
      <c r="B119" s="32">
        <f>IF(B$102="","",IF(Config!$T$35&lt;&gt;"Não",SUMIFS(BD!$S$3:$S$5001,BD!$B$3:$B$5001,B$102,BD!$A$3:$A$5001,"&gt;="&amp;$C$7,BD!$A$3:$A$5001,"&lt;="&amp;$D$7),"—"))</f>
        <v>0</v>
      </c>
      <c r="C119" s="32" t="str">
        <f>IF(C$102="","",IF(Config!$T$36&lt;&gt;"Não",SUMIFS(BD!$S$3:$S$5001,BD!$B$3:$B$5001,C$102,BD!$A$3:$A$5001,"&gt;="&amp;$C$7,BD!$A$3:$A$5001,"&lt;="&amp;$D$7),"—"))</f>
        <v>—</v>
      </c>
      <c r="D119" s="32" t="str">
        <f>IF(D$102="","",IF(Config!$T$37&lt;&gt;"Não",SUMIFS(BD!$S$3:$S$5001,BD!$B$3:$B$5001,D$102,BD!$A$3:$A$5001,"&gt;="&amp;$C$7,BD!$A$3:$A$5001,"&lt;="&amp;$D$7),"—"))</f>
        <v>—</v>
      </c>
      <c r="E119" s="32" t="str">
        <f>IF(E$102="","",IF(Config!$T$38&lt;&gt;"Não",SUMIFS(BD!$S$3:$S$5001,BD!$B$3:$B$5001,E$102,BD!$A$3:$A$5001,"&gt;="&amp;$C$7,BD!$A$3:$A$5001,"&lt;="&amp;$D$7),"—"))</f>
        <v>—</v>
      </c>
      <c r="F119" s="32" t="str">
        <f>IF(F$102="","",IF(Config!$T$39&lt;&gt;"Não",SUMIFS(BD!$S$3:$S$5001,BD!$B$3:$B$5001,F$102,BD!$A$3:$A$5001,"&gt;="&amp;$C$7,BD!$A$3:$A$5001,"&lt;="&amp;$D$7),"—"))</f>
        <v>—</v>
      </c>
      <c r="G119" s="32" t="str">
        <f>IF(G$102="","",IF(Config!$T$40&lt;&gt;"Não",SUMIFS(BD!$S$3:$S$5001,BD!$B$3:$B$5001,G$102,BD!$A$3:$A$5001,"&gt;="&amp;$C$7,BD!$A$3:$A$5001,"&lt;="&amp;$D$7),"—"))</f>
        <v>—</v>
      </c>
      <c r="H119" s="32" t="str">
        <f>IF(H$102="","",IF(Config!$T$41&lt;&gt;"Não",SUMIFS(BD!$S$3:$S$5001,BD!$B$3:$B$5001,H$102,BD!$A$3:$A$5001,"&gt;="&amp;$C$7,BD!$A$3:$A$5001,"&lt;="&amp;$D$7),"—"))</f>
        <v>—</v>
      </c>
      <c r="I119" s="32" t="str">
        <f>IF(I$102="","",IF(Config!$T$42&lt;&gt;"Não",SUMIFS(BD!$S$3:$S$5001,BD!$B$3:$B$5001,I$102,BD!$A$3:$A$5001,"&gt;="&amp;$C$7,BD!$A$3:$A$5001,"&lt;="&amp;$D$7),"—"))</f>
        <v>—</v>
      </c>
      <c r="J119" s="32" t="str">
        <f>IF(J$102="","",IF(Config!$T$43&lt;&gt;"Não",SUMIFS(BD!$S$3:$S$5001,BD!$B$3:$B$5001,J$102,BD!$A$3:$A$5001,"&gt;="&amp;$C$7,BD!$A$3:$A$5001,"&lt;="&amp;$D$7),"—"))</f>
        <v>—</v>
      </c>
      <c r="K119" s="32" t="str">
        <f>IF(K$102="","",IF(Config!$T$44&lt;&gt;"Não",SUMIFS(BD!$S$3:$S$5001,BD!$B$3:$B$5001,K$102,BD!$A$3:$A$5001,"&gt;="&amp;$C$7,BD!$A$3:$A$5001,"&lt;="&amp;$D$7),"—"))</f>
        <v>—</v>
      </c>
      <c r="L119" s="32" t="str">
        <f>IF(L$102="","",IF(Config!$T$45&lt;&gt;"Não",SUMIFS(BD!$S$3:$S$5001,BD!$B$3:$B$5001,L$102,BD!$A$3:$A$5001,"&gt;="&amp;$C$7,BD!$A$3:$A$5001,"&lt;="&amp;$D$7),"—"))</f>
        <v/>
      </c>
      <c r="M119" s="32" t="str">
        <f>IF(M$102="","",IF(Config!$T$46&lt;&gt;"Não",SUMIFS(BD!$S$3:$S$5001,BD!$B$3:$B$5001,M$102,BD!$A$3:$A$5001,"&gt;="&amp;$C$7,BD!$A$3:$A$5001,"&lt;="&amp;$D$7),"—"))</f>
        <v/>
      </c>
      <c r="N119" s="32" t="str">
        <f>IF(N$102="","",IF(Config!$T$47&lt;&gt;"Não",SUMIFS(BD!$S$3:$S$5001,BD!$B$3:$B$5001,N$102,BD!$A$3:$A$5001,"&gt;="&amp;$C$7,BD!$A$3:$A$5001,"&lt;="&amp;$D$7),"—"))</f>
        <v/>
      </c>
      <c r="O119" s="32" t="str">
        <f>IF(O$102="","",IF(Config!$T$48&lt;&gt;"Não",SUMIFS(BD!$S$3:$S$5001,BD!$B$3:$B$5001,O$102,BD!$A$3:$A$5001,"&gt;="&amp;$C$7,BD!$A$3:$A$5001,"&lt;="&amp;$D$7),"—"))</f>
        <v/>
      </c>
      <c r="P119" s="32" t="str">
        <f>IF(P$102="","",IF(Config!$T$49&lt;&gt;"Não",SUMIFS(BD!$S$3:$S$5001,BD!$B$3:$B$5001,P$102,BD!$A$3:$A$5001,"&gt;="&amp;$C$7,BD!$A$3:$A$5001,"&lt;="&amp;$D$7),"—"))</f>
        <v/>
      </c>
      <c r="Q119" s="32" t="str">
        <f>IF(Q$102="","",IF(Config!$T$50&lt;&gt;"Não",SUMIFS(BD!$S$3:$S$5001,BD!$B$3:$B$5001,Q$102,BD!$A$3:$A$5001,"&gt;="&amp;$C$7,BD!$A$3:$A$5001,"&lt;="&amp;$D$7),"—"))</f>
        <v/>
      </c>
      <c r="R119" s="32" t="str">
        <f>IF(R$102="","",IF(Config!$T$51&lt;&gt;"Não",SUMIFS(BD!$S$3:$S$5001,BD!$B$3:$B$5001,R$102,BD!$A$3:$A$5001,"&gt;="&amp;$C$7,BD!$A$3:$A$5001,"&lt;="&amp;$D$7),"—"))</f>
        <v/>
      </c>
      <c r="S119" s="32" t="str">
        <f>IF(S$102="","",IF(Config!$T$52&lt;&gt;"Não",SUMIFS(BD!$S$3:$S$5001,BD!$B$3:$B$5001,S$102,BD!$A$3:$A$5001,"&gt;="&amp;$C$7,BD!$A$3:$A$5001,"&lt;="&amp;$D$7),"—"))</f>
        <v/>
      </c>
      <c r="T119" s="32" t="str">
        <f>IF(T$102="","",IF(Config!$T$53&lt;&gt;"Não",SUMIFS(BD!$S$3:$S$5001,BD!$B$3:$B$5001,T$102,BD!$A$3:$A$5001,"&gt;="&amp;$C$7,BD!$A$3:$A$5001,"&lt;="&amp;$D$7),"—"))</f>
        <v/>
      </c>
      <c r="U119" s="32" t="str">
        <f>IF(U$102="","",IF(Config!$T$54&lt;&gt;"Não",SUMIFS(BD!$S$3:$S$5001,BD!$B$3:$B$5001,U$102,BD!$A$3:$A$5001,"&gt;="&amp;$C$7,BD!$A$3:$A$5001,"&lt;="&amp;$D$7),"—"))</f>
        <v/>
      </c>
      <c r="V119" s="62">
        <f>SUM(B119:U119)</f>
        <v>0</v>
      </c>
    </row>
    <row r="120">
      <c r="A120" s="29" t="inlineStr">
        <is>
          <t xml:space="preserve">OUT · Pallets Movimentados</t>
        </is>
      </c>
      <c r="B120" s="32" t="str">
        <f>IF(B$102="","",IF(Config!$U$35&lt;&gt;"Não",SUMIFS(BD!$T$3:$T$5001,BD!$B$3:$B$5001,B$102,BD!$A$3:$A$5001,"&gt;="&amp;$C$7,BD!$A$3:$A$5001,"&lt;="&amp;$D$7),"—"))</f>
        <v>—</v>
      </c>
      <c r="C120" s="32">
        <f>IF(C$102="","",IF(Config!$U$36&lt;&gt;"Não",SUMIFS(BD!$T$3:$T$5001,BD!$B$3:$B$5001,C$102,BD!$A$3:$A$5001,"&gt;="&amp;$C$7,BD!$A$3:$A$5001,"&lt;="&amp;$D$7),"—"))</f>
        <v>0</v>
      </c>
      <c r="D120" s="32">
        <f>IF(D$102="","",IF(Config!$U$37&lt;&gt;"Não",SUMIFS(BD!$T$3:$T$5001,BD!$B$3:$B$5001,D$102,BD!$A$3:$A$5001,"&gt;="&amp;$C$7,BD!$A$3:$A$5001,"&lt;="&amp;$D$7),"—"))</f>
        <v>0</v>
      </c>
      <c r="E120" s="32">
        <f>IF(E$102="","",IF(Config!$U$38&lt;&gt;"Não",SUMIFS(BD!$T$3:$T$5001,BD!$B$3:$B$5001,E$102,BD!$A$3:$A$5001,"&gt;="&amp;$C$7,BD!$A$3:$A$5001,"&lt;="&amp;$D$7),"—"))</f>
        <v>0</v>
      </c>
      <c r="F120" s="32">
        <f>IF(F$102="","",IF(Config!$U$39&lt;&gt;"Não",SUMIFS(BD!$T$3:$T$5001,BD!$B$3:$B$5001,F$102,BD!$A$3:$A$5001,"&gt;="&amp;$C$7,BD!$A$3:$A$5001,"&lt;="&amp;$D$7),"—"))</f>
        <v>0</v>
      </c>
      <c r="G120" s="32">
        <f>IF(G$102="","",IF(Config!$U$40&lt;&gt;"Não",SUMIFS(BD!$T$3:$T$5001,BD!$B$3:$B$5001,G$102,BD!$A$3:$A$5001,"&gt;="&amp;$C$7,BD!$A$3:$A$5001,"&lt;="&amp;$D$7),"—"))</f>
        <v>0</v>
      </c>
      <c r="H120" s="32">
        <f>IF(H$102="","",IF(Config!$U$41&lt;&gt;"Não",SUMIFS(BD!$T$3:$T$5001,BD!$B$3:$B$5001,H$102,BD!$A$3:$A$5001,"&gt;="&amp;$C$7,BD!$A$3:$A$5001,"&lt;="&amp;$D$7),"—"))</f>
        <v>0</v>
      </c>
      <c r="I120" s="32">
        <f>IF(I$102="","",IF(Config!$U$42&lt;&gt;"Não",SUMIFS(BD!$T$3:$T$5001,BD!$B$3:$B$5001,I$102,BD!$A$3:$A$5001,"&gt;="&amp;$C$7,BD!$A$3:$A$5001,"&lt;="&amp;$D$7),"—"))</f>
        <v>0</v>
      </c>
      <c r="J120" s="32">
        <f>IF(J$102="","",IF(Config!$U$43&lt;&gt;"Não",SUMIFS(BD!$T$3:$T$5001,BD!$B$3:$B$5001,J$102,BD!$A$3:$A$5001,"&gt;="&amp;$C$7,BD!$A$3:$A$5001,"&lt;="&amp;$D$7),"—"))</f>
        <v>0</v>
      </c>
      <c r="K120" s="32" t="str">
        <f>IF(K$102="","",IF(Config!$U$44&lt;&gt;"Não",SUMIFS(BD!$T$3:$T$5001,BD!$B$3:$B$5001,K$102,BD!$A$3:$A$5001,"&gt;="&amp;$C$7,BD!$A$3:$A$5001,"&lt;="&amp;$D$7),"—"))</f>
        <v>—</v>
      </c>
      <c r="L120" s="32" t="str">
        <f>IF(L$102="","",IF(Config!$U$45&lt;&gt;"Não",SUMIFS(BD!$T$3:$T$5001,BD!$B$3:$B$5001,L$102,BD!$A$3:$A$5001,"&gt;="&amp;$C$7,BD!$A$3:$A$5001,"&lt;="&amp;$D$7),"—"))</f>
        <v/>
      </c>
      <c r="M120" s="32" t="str">
        <f>IF(M$102="","",IF(Config!$U$46&lt;&gt;"Não",SUMIFS(BD!$T$3:$T$5001,BD!$B$3:$B$5001,M$102,BD!$A$3:$A$5001,"&gt;="&amp;$C$7,BD!$A$3:$A$5001,"&lt;="&amp;$D$7),"—"))</f>
        <v/>
      </c>
      <c r="N120" s="32" t="str">
        <f>IF(N$102="","",IF(Config!$U$47&lt;&gt;"Não",SUMIFS(BD!$T$3:$T$5001,BD!$B$3:$B$5001,N$102,BD!$A$3:$A$5001,"&gt;="&amp;$C$7,BD!$A$3:$A$5001,"&lt;="&amp;$D$7),"—"))</f>
        <v/>
      </c>
      <c r="O120" s="32" t="str">
        <f>IF(O$102="","",IF(Config!$U$48&lt;&gt;"Não",SUMIFS(BD!$T$3:$T$5001,BD!$B$3:$B$5001,O$102,BD!$A$3:$A$5001,"&gt;="&amp;$C$7,BD!$A$3:$A$5001,"&lt;="&amp;$D$7),"—"))</f>
        <v/>
      </c>
      <c r="P120" s="32" t="str">
        <f>IF(P$102="","",IF(Config!$U$49&lt;&gt;"Não",SUMIFS(BD!$T$3:$T$5001,BD!$B$3:$B$5001,P$102,BD!$A$3:$A$5001,"&gt;="&amp;$C$7,BD!$A$3:$A$5001,"&lt;="&amp;$D$7),"—"))</f>
        <v/>
      </c>
      <c r="Q120" s="32" t="str">
        <f>IF(Q$102="","",IF(Config!$U$50&lt;&gt;"Não",SUMIFS(BD!$T$3:$T$5001,BD!$B$3:$B$5001,Q$102,BD!$A$3:$A$5001,"&gt;="&amp;$C$7,BD!$A$3:$A$5001,"&lt;="&amp;$D$7),"—"))</f>
        <v/>
      </c>
      <c r="R120" s="32" t="str">
        <f>IF(R$102="","",IF(Config!$U$51&lt;&gt;"Não",SUMIFS(BD!$T$3:$T$5001,BD!$B$3:$B$5001,R$102,BD!$A$3:$A$5001,"&gt;="&amp;$C$7,BD!$A$3:$A$5001,"&lt;="&amp;$D$7),"—"))</f>
        <v/>
      </c>
      <c r="S120" s="32" t="str">
        <f>IF(S$102="","",IF(Config!$U$52&lt;&gt;"Não",SUMIFS(BD!$T$3:$T$5001,BD!$B$3:$B$5001,S$102,BD!$A$3:$A$5001,"&gt;="&amp;$C$7,BD!$A$3:$A$5001,"&lt;="&amp;$D$7),"—"))</f>
        <v/>
      </c>
      <c r="T120" s="32" t="str">
        <f>IF(T$102="","",IF(Config!$U$53&lt;&gt;"Não",SUMIFS(BD!$T$3:$T$5001,BD!$B$3:$B$5001,T$102,BD!$A$3:$A$5001,"&gt;="&amp;$C$7,BD!$A$3:$A$5001,"&lt;="&amp;$D$7),"—"))</f>
        <v/>
      </c>
      <c r="U120" s="32" t="str">
        <f>IF(U$102="","",IF(Config!$U$54&lt;&gt;"Não",SUMIFS(BD!$T$3:$T$5001,BD!$B$3:$B$5001,U$102,BD!$A$3:$A$5001,"&gt;="&amp;$C$7,BD!$A$3:$A$5001,"&lt;="&amp;$D$7),"—"))</f>
        <v/>
      </c>
      <c r="V120" s="62">
        <f>SUM(B120:U120)</f>
        <v>0</v>
      </c>
    </row>
    <row r="121">
      <c r="A121" s="29" t="inlineStr">
        <is>
          <t xml:space="preserve">OUT · Toneladas Movimentadas</t>
        </is>
      </c>
      <c r="B121" s="61" t="str">
        <f>IF(B$102="","",IF(Config!$V$35&lt;&gt;"Não",SUMIFS(BD!$U$3:$U$5001,BD!$B$3:$B$5001,B$102,BD!$A$3:$A$5001,"&gt;="&amp;$C$7,BD!$A$3:$A$5001,"&lt;="&amp;$D$7),"—"))</f>
        <v>—</v>
      </c>
      <c r="C121" s="61">
        <f>IF(C$102="","",IF(Config!$V$36&lt;&gt;"Não",SUMIFS(BD!$U$3:$U$5001,BD!$B$3:$B$5001,C$102,BD!$A$3:$A$5001,"&gt;="&amp;$C$7,BD!$A$3:$A$5001,"&lt;="&amp;$D$7),"—"))</f>
        <v>0</v>
      </c>
      <c r="D121" s="61" t="str">
        <f>IF(D$102="","",IF(Config!$V$37&lt;&gt;"Não",SUMIFS(BD!$U$3:$U$5001,BD!$B$3:$B$5001,D$102,BD!$A$3:$A$5001,"&gt;="&amp;$C$7,BD!$A$3:$A$5001,"&lt;="&amp;$D$7),"—"))</f>
        <v>—</v>
      </c>
      <c r="E121" s="61" t="str">
        <f>IF(E$102="","",IF(Config!$V$38&lt;&gt;"Não",SUMIFS(BD!$U$3:$U$5001,BD!$B$3:$B$5001,E$102,BD!$A$3:$A$5001,"&gt;="&amp;$C$7,BD!$A$3:$A$5001,"&lt;="&amp;$D$7),"—"))</f>
        <v>—</v>
      </c>
      <c r="F121" s="61">
        <f>IF(F$102="","",IF(Config!$V$39&lt;&gt;"Não",SUMIFS(BD!$U$3:$U$5001,BD!$B$3:$B$5001,F$102,BD!$A$3:$A$5001,"&gt;="&amp;$C$7,BD!$A$3:$A$5001,"&lt;="&amp;$D$7),"—"))</f>
        <v>0</v>
      </c>
      <c r="G121" s="61" t="str">
        <f>IF(G$102="","",IF(Config!$V$40&lt;&gt;"Não",SUMIFS(BD!$U$3:$U$5001,BD!$B$3:$B$5001,G$102,BD!$A$3:$A$5001,"&gt;="&amp;$C$7,BD!$A$3:$A$5001,"&lt;="&amp;$D$7),"—"))</f>
        <v>—</v>
      </c>
      <c r="H121" s="61" t="str">
        <f>IF(H$102="","",IF(Config!$V$41&lt;&gt;"Não",SUMIFS(BD!$U$3:$U$5001,BD!$B$3:$B$5001,H$102,BD!$A$3:$A$5001,"&gt;="&amp;$C$7,BD!$A$3:$A$5001,"&lt;="&amp;$D$7),"—"))</f>
        <v>—</v>
      </c>
      <c r="I121" s="61">
        <f>IF(I$102="","",IF(Config!$V$42&lt;&gt;"Não",SUMIFS(BD!$U$3:$U$5001,BD!$B$3:$B$5001,I$102,BD!$A$3:$A$5001,"&gt;="&amp;$C$7,BD!$A$3:$A$5001,"&lt;="&amp;$D$7),"—"))</f>
        <v>0</v>
      </c>
      <c r="J121" s="61" t="str">
        <f>IF(J$102="","",IF(Config!$V$43&lt;&gt;"Não",SUMIFS(BD!$U$3:$U$5001,BD!$B$3:$B$5001,J$102,BD!$A$3:$A$5001,"&gt;="&amp;$C$7,BD!$A$3:$A$5001,"&lt;="&amp;$D$7),"—"))</f>
        <v>—</v>
      </c>
      <c r="K121" s="61" t="str">
        <f>IF(K$102="","",IF(Config!$V$44&lt;&gt;"Não",SUMIFS(BD!$U$3:$U$5001,BD!$B$3:$B$5001,K$102,BD!$A$3:$A$5001,"&gt;="&amp;$C$7,BD!$A$3:$A$5001,"&lt;="&amp;$D$7),"—"))</f>
        <v>—</v>
      </c>
      <c r="L121" s="61" t="str">
        <f>IF(L$102="","",IF(Config!$V$45&lt;&gt;"Não",SUMIFS(BD!$U$3:$U$5001,BD!$B$3:$B$5001,L$102,BD!$A$3:$A$5001,"&gt;="&amp;$C$7,BD!$A$3:$A$5001,"&lt;="&amp;$D$7),"—"))</f>
        <v/>
      </c>
      <c r="M121" s="61" t="str">
        <f>IF(M$102="","",IF(Config!$V$46&lt;&gt;"Não",SUMIFS(BD!$U$3:$U$5001,BD!$B$3:$B$5001,M$102,BD!$A$3:$A$5001,"&gt;="&amp;$C$7,BD!$A$3:$A$5001,"&lt;="&amp;$D$7),"—"))</f>
        <v/>
      </c>
      <c r="N121" s="61" t="str">
        <f>IF(N$102="","",IF(Config!$V$47&lt;&gt;"Não",SUMIFS(BD!$U$3:$U$5001,BD!$B$3:$B$5001,N$102,BD!$A$3:$A$5001,"&gt;="&amp;$C$7,BD!$A$3:$A$5001,"&lt;="&amp;$D$7),"—"))</f>
        <v/>
      </c>
      <c r="O121" s="61" t="str">
        <f>IF(O$102="","",IF(Config!$V$48&lt;&gt;"Não",SUMIFS(BD!$U$3:$U$5001,BD!$B$3:$B$5001,O$102,BD!$A$3:$A$5001,"&gt;="&amp;$C$7,BD!$A$3:$A$5001,"&lt;="&amp;$D$7),"—"))</f>
        <v/>
      </c>
      <c r="P121" s="61" t="str">
        <f>IF(P$102="","",IF(Config!$V$49&lt;&gt;"Não",SUMIFS(BD!$U$3:$U$5001,BD!$B$3:$B$5001,P$102,BD!$A$3:$A$5001,"&gt;="&amp;$C$7,BD!$A$3:$A$5001,"&lt;="&amp;$D$7),"—"))</f>
        <v/>
      </c>
      <c r="Q121" s="61" t="str">
        <f>IF(Q$102="","",IF(Config!$V$50&lt;&gt;"Não",SUMIFS(BD!$U$3:$U$5001,BD!$B$3:$B$5001,Q$102,BD!$A$3:$A$5001,"&gt;="&amp;$C$7,BD!$A$3:$A$5001,"&lt;="&amp;$D$7),"—"))</f>
        <v/>
      </c>
      <c r="R121" s="61" t="str">
        <f>IF(R$102="","",IF(Config!$V$51&lt;&gt;"Não",SUMIFS(BD!$U$3:$U$5001,BD!$B$3:$B$5001,R$102,BD!$A$3:$A$5001,"&gt;="&amp;$C$7,BD!$A$3:$A$5001,"&lt;="&amp;$D$7),"—"))</f>
        <v/>
      </c>
      <c r="S121" s="61" t="str">
        <f>IF(S$102="","",IF(Config!$V$52&lt;&gt;"Não",SUMIFS(BD!$U$3:$U$5001,BD!$B$3:$B$5001,S$102,BD!$A$3:$A$5001,"&gt;="&amp;$C$7,BD!$A$3:$A$5001,"&lt;="&amp;$D$7),"—"))</f>
        <v/>
      </c>
      <c r="T121" s="61" t="str">
        <f>IF(T$102="","",IF(Config!$V$53&lt;&gt;"Não",SUMIFS(BD!$U$3:$U$5001,BD!$B$3:$B$5001,T$102,BD!$A$3:$A$5001,"&gt;="&amp;$C$7,BD!$A$3:$A$5001,"&lt;="&amp;$D$7),"—"))</f>
        <v/>
      </c>
      <c r="U121" s="61" t="str">
        <f>IF(U$102="","",IF(Config!$V$54&lt;&gt;"Não",SUMIFS(BD!$U$3:$U$5001,BD!$B$3:$B$5001,U$102,BD!$A$3:$A$5001,"&gt;="&amp;$C$7,BD!$A$3:$A$5001,"&lt;="&amp;$D$7),"—"))</f>
        <v/>
      </c>
      <c r="V121" s="63">
        <f>SUM(B121:U121)</f>
        <v>0</v>
      </c>
    </row>
    <row r="122">
      <c r="A122" s="29" t="inlineStr">
        <is>
          <t xml:space="preserve">NC · Incidentes</t>
        </is>
      </c>
      <c r="B122" s="32">
        <f>IF(B$102="","",IF(Config!$W$35&lt;&gt;"Não",SUMIFS(BD!$V$3:$V$5001,BD!$B$3:$B$5001,B$102,BD!$A$3:$A$5001,"&gt;="&amp;$C$7,BD!$A$3:$A$5001,"&lt;="&amp;$D$7),"—"))</f>
        <v>0</v>
      </c>
      <c r="C122" s="32">
        <f>IF(C$102="","",IF(Config!$W$36&lt;&gt;"Não",SUMIFS(BD!$V$3:$V$5001,BD!$B$3:$B$5001,C$102,BD!$A$3:$A$5001,"&gt;="&amp;$C$7,BD!$A$3:$A$5001,"&lt;="&amp;$D$7),"—"))</f>
        <v>0</v>
      </c>
      <c r="D122" s="32">
        <f>IF(D$102="","",IF(Config!$W$37&lt;&gt;"Não",SUMIFS(BD!$V$3:$V$5001,BD!$B$3:$B$5001,D$102,BD!$A$3:$A$5001,"&gt;="&amp;$C$7,BD!$A$3:$A$5001,"&lt;="&amp;$D$7),"—"))</f>
        <v>0</v>
      </c>
      <c r="E122" s="32">
        <f>IF(E$102="","",IF(Config!$W$38&lt;&gt;"Não",SUMIFS(BD!$V$3:$V$5001,BD!$B$3:$B$5001,E$102,BD!$A$3:$A$5001,"&gt;="&amp;$C$7,BD!$A$3:$A$5001,"&lt;="&amp;$D$7),"—"))</f>
        <v>0</v>
      </c>
      <c r="F122" s="32">
        <f>IF(F$102="","",IF(Config!$W$39&lt;&gt;"Não",SUMIFS(BD!$V$3:$V$5001,BD!$B$3:$B$5001,F$102,BD!$A$3:$A$5001,"&gt;="&amp;$C$7,BD!$A$3:$A$5001,"&lt;="&amp;$D$7),"—"))</f>
        <v>0</v>
      </c>
      <c r="G122" s="32">
        <f>IF(G$102="","",IF(Config!$W$40&lt;&gt;"Não",SUMIFS(BD!$V$3:$V$5001,BD!$B$3:$B$5001,G$102,BD!$A$3:$A$5001,"&gt;="&amp;$C$7,BD!$A$3:$A$5001,"&lt;="&amp;$D$7),"—"))</f>
        <v>0</v>
      </c>
      <c r="H122" s="32">
        <f>IF(H$102="","",IF(Config!$W$41&lt;&gt;"Não",SUMIFS(BD!$V$3:$V$5001,BD!$B$3:$B$5001,H$102,BD!$A$3:$A$5001,"&gt;="&amp;$C$7,BD!$A$3:$A$5001,"&lt;="&amp;$D$7),"—"))</f>
        <v>0</v>
      </c>
      <c r="I122" s="32">
        <f>IF(I$102="","",IF(Config!$W$42&lt;&gt;"Não",SUMIFS(BD!$V$3:$V$5001,BD!$B$3:$B$5001,I$102,BD!$A$3:$A$5001,"&gt;="&amp;$C$7,BD!$A$3:$A$5001,"&lt;="&amp;$D$7),"—"))</f>
        <v>0</v>
      </c>
      <c r="J122" s="32">
        <f>IF(J$102="","",IF(Config!$W$43&lt;&gt;"Não",SUMIFS(BD!$V$3:$V$5001,BD!$B$3:$B$5001,J$102,BD!$A$3:$A$5001,"&gt;="&amp;$C$7,BD!$A$3:$A$5001,"&lt;="&amp;$D$7),"—"))</f>
        <v>0</v>
      </c>
      <c r="K122" s="32">
        <f>IF(K$102="","",IF(Config!$W$44&lt;&gt;"Não",SUMIFS(BD!$V$3:$V$5001,BD!$B$3:$B$5001,K$102,BD!$A$3:$A$5001,"&gt;="&amp;$C$7,BD!$A$3:$A$5001,"&lt;="&amp;$D$7),"—"))</f>
        <v>0</v>
      </c>
      <c r="L122" s="32" t="str">
        <f>IF(L$102="","",IF(Config!$W$45&lt;&gt;"Não",SUMIFS(BD!$V$3:$V$5001,BD!$B$3:$B$5001,L$102,BD!$A$3:$A$5001,"&gt;="&amp;$C$7,BD!$A$3:$A$5001,"&lt;="&amp;$D$7),"—"))</f>
        <v/>
      </c>
      <c r="M122" s="32" t="str">
        <f>IF(M$102="","",IF(Config!$W$46&lt;&gt;"Não",SUMIFS(BD!$V$3:$V$5001,BD!$B$3:$B$5001,M$102,BD!$A$3:$A$5001,"&gt;="&amp;$C$7,BD!$A$3:$A$5001,"&lt;="&amp;$D$7),"—"))</f>
        <v/>
      </c>
      <c r="N122" s="32" t="str">
        <f>IF(N$102="","",IF(Config!$W$47&lt;&gt;"Não",SUMIFS(BD!$V$3:$V$5001,BD!$B$3:$B$5001,N$102,BD!$A$3:$A$5001,"&gt;="&amp;$C$7,BD!$A$3:$A$5001,"&lt;="&amp;$D$7),"—"))</f>
        <v/>
      </c>
      <c r="O122" s="32" t="str">
        <f>IF(O$102="","",IF(Config!$W$48&lt;&gt;"Não",SUMIFS(BD!$V$3:$V$5001,BD!$B$3:$B$5001,O$102,BD!$A$3:$A$5001,"&gt;="&amp;$C$7,BD!$A$3:$A$5001,"&lt;="&amp;$D$7),"—"))</f>
        <v/>
      </c>
      <c r="P122" s="32" t="str">
        <f>IF(P$102="","",IF(Config!$W$49&lt;&gt;"Não",SUMIFS(BD!$V$3:$V$5001,BD!$B$3:$B$5001,P$102,BD!$A$3:$A$5001,"&gt;="&amp;$C$7,BD!$A$3:$A$5001,"&lt;="&amp;$D$7),"—"))</f>
        <v/>
      </c>
      <c r="Q122" s="32" t="str">
        <f>IF(Q$102="","",IF(Config!$W$50&lt;&gt;"Não",SUMIFS(BD!$V$3:$V$5001,BD!$B$3:$B$5001,Q$102,BD!$A$3:$A$5001,"&gt;="&amp;$C$7,BD!$A$3:$A$5001,"&lt;="&amp;$D$7),"—"))</f>
        <v/>
      </c>
      <c r="R122" s="32" t="str">
        <f>IF(R$102="","",IF(Config!$W$51&lt;&gt;"Não",SUMIFS(BD!$V$3:$V$5001,BD!$B$3:$B$5001,R$102,BD!$A$3:$A$5001,"&gt;="&amp;$C$7,BD!$A$3:$A$5001,"&lt;="&amp;$D$7),"—"))</f>
        <v/>
      </c>
      <c r="S122" s="32" t="str">
        <f>IF(S$102="","",IF(Config!$W$52&lt;&gt;"Não",SUMIFS(BD!$V$3:$V$5001,BD!$B$3:$B$5001,S$102,BD!$A$3:$A$5001,"&gt;="&amp;$C$7,BD!$A$3:$A$5001,"&lt;="&amp;$D$7),"—"))</f>
        <v/>
      </c>
      <c r="T122" s="32" t="str">
        <f>IF(T$102="","",IF(Config!$W$53&lt;&gt;"Não",SUMIFS(BD!$V$3:$V$5001,BD!$B$3:$B$5001,T$102,BD!$A$3:$A$5001,"&gt;="&amp;$C$7,BD!$A$3:$A$5001,"&lt;="&amp;$D$7),"—"))</f>
        <v/>
      </c>
      <c r="U122" s="32" t="str">
        <f>IF(U$102="","",IF(Config!$W$54&lt;&gt;"Não",SUMIFS(BD!$V$3:$V$5001,BD!$B$3:$B$5001,U$102,BD!$A$3:$A$5001,"&gt;="&amp;$C$7,BD!$A$3:$A$5001,"&lt;="&amp;$D$7),"—"))</f>
        <v/>
      </c>
      <c r="V122" s="62">
        <f>SUM(B122:U122)</f>
        <v>0</v>
      </c>
    </row>
    <row r="123">
      <c r="A123" s="29" t="inlineStr">
        <is>
          <t xml:space="preserve">NC · No show</t>
        </is>
      </c>
      <c r="B123" s="32">
        <f>IF(B$102="","",IF(Config!$X$35&lt;&gt;"Não",SUMIFS(BD!$W$3:$W$5001,BD!$B$3:$B$5001,B$102,BD!$A$3:$A$5001,"&gt;="&amp;$C$7,BD!$A$3:$A$5001,"&lt;="&amp;$D$7),"—"))</f>
        <v>0</v>
      </c>
      <c r="C123" s="32">
        <f>IF(C$102="","",IF(Config!$X$36&lt;&gt;"Não",SUMIFS(BD!$W$3:$W$5001,BD!$B$3:$B$5001,C$102,BD!$A$3:$A$5001,"&gt;="&amp;$C$7,BD!$A$3:$A$5001,"&lt;="&amp;$D$7),"—"))</f>
        <v>0</v>
      </c>
      <c r="D123" s="32">
        <f>IF(D$102="","",IF(Config!$X$37&lt;&gt;"Não",SUMIFS(BD!$W$3:$W$5001,BD!$B$3:$B$5001,D$102,BD!$A$3:$A$5001,"&gt;="&amp;$C$7,BD!$A$3:$A$5001,"&lt;="&amp;$D$7),"—"))</f>
        <v>0</v>
      </c>
      <c r="E123" s="32">
        <f>IF(E$102="","",IF(Config!$X$38&lt;&gt;"Não",SUMIFS(BD!$W$3:$W$5001,BD!$B$3:$B$5001,E$102,BD!$A$3:$A$5001,"&gt;="&amp;$C$7,BD!$A$3:$A$5001,"&lt;="&amp;$D$7),"—"))</f>
        <v>0</v>
      </c>
      <c r="F123" s="32">
        <f>IF(F$102="","",IF(Config!$X$39&lt;&gt;"Não",SUMIFS(BD!$W$3:$W$5001,BD!$B$3:$B$5001,F$102,BD!$A$3:$A$5001,"&gt;="&amp;$C$7,BD!$A$3:$A$5001,"&lt;="&amp;$D$7),"—"))</f>
        <v>0</v>
      </c>
      <c r="G123" s="32">
        <f>IF(G$102="","",IF(Config!$X$40&lt;&gt;"Não",SUMIFS(BD!$W$3:$W$5001,BD!$B$3:$B$5001,G$102,BD!$A$3:$A$5001,"&gt;="&amp;$C$7,BD!$A$3:$A$5001,"&lt;="&amp;$D$7),"—"))</f>
        <v>0</v>
      </c>
      <c r="H123" s="32">
        <f>IF(H$102="","",IF(Config!$X$41&lt;&gt;"Não",SUMIFS(BD!$W$3:$W$5001,BD!$B$3:$B$5001,H$102,BD!$A$3:$A$5001,"&gt;="&amp;$C$7,BD!$A$3:$A$5001,"&lt;="&amp;$D$7),"—"))</f>
        <v>0</v>
      </c>
      <c r="I123" s="32">
        <f>IF(I$102="","",IF(Config!$X$42&lt;&gt;"Não",SUMIFS(BD!$W$3:$W$5001,BD!$B$3:$B$5001,I$102,BD!$A$3:$A$5001,"&gt;="&amp;$C$7,BD!$A$3:$A$5001,"&lt;="&amp;$D$7),"—"))</f>
        <v>0</v>
      </c>
      <c r="J123" s="32">
        <f>IF(J$102="","",IF(Config!$X$43&lt;&gt;"Não",SUMIFS(BD!$W$3:$W$5001,BD!$B$3:$B$5001,J$102,BD!$A$3:$A$5001,"&gt;="&amp;$C$7,BD!$A$3:$A$5001,"&lt;="&amp;$D$7),"—"))</f>
        <v>0</v>
      </c>
      <c r="K123" s="32">
        <f>IF(K$102="","",IF(Config!$X$44&lt;&gt;"Não",SUMIFS(BD!$W$3:$W$5001,BD!$B$3:$B$5001,K$102,BD!$A$3:$A$5001,"&gt;="&amp;$C$7,BD!$A$3:$A$5001,"&lt;="&amp;$D$7),"—"))</f>
        <v>0</v>
      </c>
      <c r="L123" s="32" t="str">
        <f>IF(L$102="","",IF(Config!$X$45&lt;&gt;"Não",SUMIFS(BD!$W$3:$W$5001,BD!$B$3:$B$5001,L$102,BD!$A$3:$A$5001,"&gt;="&amp;$C$7,BD!$A$3:$A$5001,"&lt;="&amp;$D$7),"—"))</f>
        <v/>
      </c>
      <c r="M123" s="32" t="str">
        <f>IF(M$102="","",IF(Config!$X$46&lt;&gt;"Não",SUMIFS(BD!$W$3:$W$5001,BD!$B$3:$B$5001,M$102,BD!$A$3:$A$5001,"&gt;="&amp;$C$7,BD!$A$3:$A$5001,"&lt;="&amp;$D$7),"—"))</f>
        <v/>
      </c>
      <c r="N123" s="32" t="str">
        <f>IF(N$102="","",IF(Config!$X$47&lt;&gt;"Não",SUMIFS(BD!$W$3:$W$5001,BD!$B$3:$B$5001,N$102,BD!$A$3:$A$5001,"&gt;="&amp;$C$7,BD!$A$3:$A$5001,"&lt;="&amp;$D$7),"—"))</f>
        <v/>
      </c>
      <c r="O123" s="32" t="str">
        <f>IF(O$102="","",IF(Config!$X$48&lt;&gt;"Não",SUMIFS(BD!$W$3:$W$5001,BD!$B$3:$B$5001,O$102,BD!$A$3:$A$5001,"&gt;="&amp;$C$7,BD!$A$3:$A$5001,"&lt;="&amp;$D$7),"—"))</f>
        <v/>
      </c>
      <c r="P123" s="32" t="str">
        <f>IF(P$102="","",IF(Config!$X$49&lt;&gt;"Não",SUMIFS(BD!$W$3:$W$5001,BD!$B$3:$B$5001,P$102,BD!$A$3:$A$5001,"&gt;="&amp;$C$7,BD!$A$3:$A$5001,"&lt;="&amp;$D$7),"—"))</f>
        <v/>
      </c>
      <c r="Q123" s="32" t="str">
        <f>IF(Q$102="","",IF(Config!$X$50&lt;&gt;"Não",SUMIFS(BD!$W$3:$W$5001,BD!$B$3:$B$5001,Q$102,BD!$A$3:$A$5001,"&gt;="&amp;$C$7,BD!$A$3:$A$5001,"&lt;="&amp;$D$7),"—"))</f>
        <v/>
      </c>
      <c r="R123" s="32" t="str">
        <f>IF(R$102="","",IF(Config!$X$51&lt;&gt;"Não",SUMIFS(BD!$W$3:$W$5001,BD!$B$3:$B$5001,R$102,BD!$A$3:$A$5001,"&gt;="&amp;$C$7,BD!$A$3:$A$5001,"&lt;="&amp;$D$7),"—"))</f>
        <v/>
      </c>
      <c r="S123" s="32" t="str">
        <f>IF(S$102="","",IF(Config!$X$52&lt;&gt;"Não",SUMIFS(BD!$W$3:$W$5001,BD!$B$3:$B$5001,S$102,BD!$A$3:$A$5001,"&gt;="&amp;$C$7,BD!$A$3:$A$5001,"&lt;="&amp;$D$7),"—"))</f>
        <v/>
      </c>
      <c r="T123" s="32" t="str">
        <f>IF(T$102="","",IF(Config!$X$53&lt;&gt;"Não",SUMIFS(BD!$W$3:$W$5001,BD!$B$3:$B$5001,T$102,BD!$A$3:$A$5001,"&gt;="&amp;$C$7,BD!$A$3:$A$5001,"&lt;="&amp;$D$7),"—"))</f>
        <v/>
      </c>
      <c r="U123" s="32" t="str">
        <f>IF(U$102="","",IF(Config!$X$54&lt;&gt;"Não",SUMIFS(BD!$W$3:$W$5001,BD!$B$3:$B$5001,U$102,BD!$A$3:$A$5001,"&gt;="&amp;$C$7,BD!$A$3:$A$5001,"&lt;="&amp;$D$7),"—"))</f>
        <v/>
      </c>
      <c r="V123" s="62">
        <f>SUM(B123:U123)</f>
        <v>0</v>
      </c>
    </row>
    <row r="124">
      <c r="A124" s="29" t="inlineStr">
        <is>
          <t xml:space="preserve">NC · Backlog</t>
        </is>
      </c>
      <c r="B124" s="32" t="str">
        <f>IF(B$102="","",IF(Config!$Y$35&lt;&gt;"Não",IF(COUNTIFS(BD!$B$3:$B$5001,B$102,BD!$A$3:$A$5001,"&gt;="&amp;$C$7,BD!$A$3:$A$5001,"&lt;="&amp;$D$7,BD!$X$3:$X$5001,"&lt;&gt;")=0,"",SUMIFS(BD!$X$3:$X$5001,BD!$B$3:$B$5001,B$102,BD!$A$3:$A$5001,_xlfn.MAXIFS(BD!$A$3:$A$5001,BD!$B$3:$B$5001,B$102,BD!$A$3:$A$5001,"&gt;="&amp;$C$7,BD!$A$3:$A$5001,"&lt;="&amp;$D$7,BD!$X$3:$X$5001,"&lt;&gt;"))),"—"))</f>
        <v/>
      </c>
      <c r="C124" s="32" t="str">
        <f>IF(C$102="","",IF(Config!$Y$36&lt;&gt;"Não",IF(COUNTIFS(BD!$B$3:$B$5001,C$102,BD!$A$3:$A$5001,"&gt;="&amp;$C$7,BD!$A$3:$A$5001,"&lt;="&amp;$D$7,BD!$X$3:$X$5001,"&lt;&gt;")=0,"",SUMIFS(BD!$X$3:$X$5001,BD!$B$3:$B$5001,C$102,BD!$A$3:$A$5001,_xlfn.MAXIFS(BD!$A$3:$A$5001,BD!$B$3:$B$5001,C$102,BD!$A$3:$A$5001,"&gt;="&amp;$C$7,BD!$A$3:$A$5001,"&lt;="&amp;$D$7,BD!$X$3:$X$5001,"&lt;&gt;"))),"—"))</f>
        <v/>
      </c>
      <c r="D124" s="32" t="str">
        <f>IF(D$102="","",IF(Config!$Y$37&lt;&gt;"Não",IF(COUNTIFS(BD!$B$3:$B$5001,D$102,BD!$A$3:$A$5001,"&gt;="&amp;$C$7,BD!$A$3:$A$5001,"&lt;="&amp;$D$7,BD!$X$3:$X$5001,"&lt;&gt;")=0,"",SUMIFS(BD!$X$3:$X$5001,BD!$B$3:$B$5001,D$102,BD!$A$3:$A$5001,_xlfn.MAXIFS(BD!$A$3:$A$5001,BD!$B$3:$B$5001,D$102,BD!$A$3:$A$5001,"&gt;="&amp;$C$7,BD!$A$3:$A$5001,"&lt;="&amp;$D$7,BD!$X$3:$X$5001,"&lt;&gt;"))),"—"))</f>
        <v/>
      </c>
      <c r="E124" s="32" t="str">
        <f>IF(E$102="","",IF(Config!$Y$38&lt;&gt;"Não",IF(COUNTIFS(BD!$B$3:$B$5001,E$102,BD!$A$3:$A$5001,"&gt;="&amp;$C$7,BD!$A$3:$A$5001,"&lt;="&amp;$D$7,BD!$X$3:$X$5001,"&lt;&gt;")=0,"",SUMIFS(BD!$X$3:$X$5001,BD!$B$3:$B$5001,E$102,BD!$A$3:$A$5001,_xlfn.MAXIFS(BD!$A$3:$A$5001,BD!$B$3:$B$5001,E$102,BD!$A$3:$A$5001,"&gt;="&amp;$C$7,BD!$A$3:$A$5001,"&lt;="&amp;$D$7,BD!$X$3:$X$5001,"&lt;&gt;"))),"—"))</f>
        <v/>
      </c>
      <c r="F124" s="32" t="str">
        <f>IF(F$102="","",IF(Config!$Y$39&lt;&gt;"Não",IF(COUNTIFS(BD!$B$3:$B$5001,F$102,BD!$A$3:$A$5001,"&gt;="&amp;$C$7,BD!$A$3:$A$5001,"&lt;="&amp;$D$7,BD!$X$3:$X$5001,"&lt;&gt;")=0,"",SUMIFS(BD!$X$3:$X$5001,BD!$B$3:$B$5001,F$102,BD!$A$3:$A$5001,_xlfn.MAXIFS(BD!$A$3:$A$5001,BD!$B$3:$B$5001,F$102,BD!$A$3:$A$5001,"&gt;="&amp;$C$7,BD!$A$3:$A$5001,"&lt;="&amp;$D$7,BD!$X$3:$X$5001,"&lt;&gt;"))),"—"))</f>
        <v/>
      </c>
      <c r="G124" s="32" t="str">
        <f>IF(G$102="","",IF(Config!$Y$40&lt;&gt;"Não",IF(COUNTIFS(BD!$B$3:$B$5001,G$102,BD!$A$3:$A$5001,"&gt;="&amp;$C$7,BD!$A$3:$A$5001,"&lt;="&amp;$D$7,BD!$X$3:$X$5001,"&lt;&gt;")=0,"",SUMIFS(BD!$X$3:$X$5001,BD!$B$3:$B$5001,G$102,BD!$A$3:$A$5001,_xlfn.MAXIFS(BD!$A$3:$A$5001,BD!$B$3:$B$5001,G$102,BD!$A$3:$A$5001,"&gt;="&amp;$C$7,BD!$A$3:$A$5001,"&lt;="&amp;$D$7,BD!$X$3:$X$5001,"&lt;&gt;"))),"—"))</f>
        <v/>
      </c>
      <c r="H124" s="32" t="str">
        <f>IF(H$102="","",IF(Config!$Y$41&lt;&gt;"Não",IF(COUNTIFS(BD!$B$3:$B$5001,H$102,BD!$A$3:$A$5001,"&gt;="&amp;$C$7,BD!$A$3:$A$5001,"&lt;="&amp;$D$7,BD!$X$3:$X$5001,"&lt;&gt;")=0,"",SUMIFS(BD!$X$3:$X$5001,BD!$B$3:$B$5001,H$102,BD!$A$3:$A$5001,_xlfn.MAXIFS(BD!$A$3:$A$5001,BD!$B$3:$B$5001,H$102,BD!$A$3:$A$5001,"&gt;="&amp;$C$7,BD!$A$3:$A$5001,"&lt;="&amp;$D$7,BD!$X$3:$X$5001,"&lt;&gt;"))),"—"))</f>
        <v/>
      </c>
      <c r="I124" s="32" t="str">
        <f>IF(I$102="","",IF(Config!$Y$42&lt;&gt;"Não",IF(COUNTIFS(BD!$B$3:$B$5001,I$102,BD!$A$3:$A$5001,"&gt;="&amp;$C$7,BD!$A$3:$A$5001,"&lt;="&amp;$D$7,BD!$X$3:$X$5001,"&lt;&gt;")=0,"",SUMIFS(BD!$X$3:$X$5001,BD!$B$3:$B$5001,I$102,BD!$A$3:$A$5001,_xlfn.MAXIFS(BD!$A$3:$A$5001,BD!$B$3:$B$5001,I$102,BD!$A$3:$A$5001,"&gt;="&amp;$C$7,BD!$A$3:$A$5001,"&lt;="&amp;$D$7,BD!$X$3:$X$5001,"&lt;&gt;"))),"—"))</f>
        <v/>
      </c>
      <c r="J124" s="32" t="str">
        <f>IF(J$102="","",IF(Config!$Y$43&lt;&gt;"Não",IF(COUNTIFS(BD!$B$3:$B$5001,J$102,BD!$A$3:$A$5001,"&gt;="&amp;$C$7,BD!$A$3:$A$5001,"&lt;="&amp;$D$7,BD!$X$3:$X$5001,"&lt;&gt;")=0,"",SUMIFS(BD!$X$3:$X$5001,BD!$B$3:$B$5001,J$102,BD!$A$3:$A$5001,_xlfn.MAXIFS(BD!$A$3:$A$5001,BD!$B$3:$B$5001,J$102,BD!$A$3:$A$5001,"&gt;="&amp;$C$7,BD!$A$3:$A$5001,"&lt;="&amp;$D$7,BD!$X$3:$X$5001,"&lt;&gt;"))),"—"))</f>
        <v/>
      </c>
      <c r="K124" s="32" t="str">
        <f>IF(K$102="","",IF(Config!$Y$44&lt;&gt;"Não",IF(COUNTIFS(BD!$B$3:$B$5001,K$102,BD!$A$3:$A$5001,"&gt;="&amp;$C$7,BD!$A$3:$A$5001,"&lt;="&amp;$D$7,BD!$X$3:$X$5001,"&lt;&gt;")=0,"",SUMIFS(BD!$X$3:$X$5001,BD!$B$3:$B$5001,K$102,BD!$A$3:$A$5001,_xlfn.MAXIFS(BD!$A$3:$A$5001,BD!$B$3:$B$5001,K$102,BD!$A$3:$A$5001,"&gt;="&amp;$C$7,BD!$A$3:$A$5001,"&lt;="&amp;$D$7,BD!$X$3:$X$5001,"&lt;&gt;"))),"—"))</f>
        <v/>
      </c>
      <c r="L124" s="32" t="str">
        <f>IF(L$102="","",IF(Config!$Y$45&lt;&gt;"Não",IF(COUNTIFS(BD!$B$3:$B$5001,L$102,BD!$A$3:$A$5001,"&gt;="&amp;$C$7,BD!$A$3:$A$5001,"&lt;="&amp;$D$7,BD!$X$3:$X$5001,"&lt;&gt;")=0,"",SUMIFS(BD!$X$3:$X$5001,BD!$B$3:$B$5001,L$102,BD!$A$3:$A$5001,_xlfn.MAXIFS(BD!$A$3:$A$5001,BD!$B$3:$B$5001,L$102,BD!$A$3:$A$5001,"&gt;="&amp;$C$7,BD!$A$3:$A$5001,"&lt;="&amp;$D$7,BD!$X$3:$X$5001,"&lt;&gt;"))),"—"))</f>
        <v/>
      </c>
      <c r="M124" s="32" t="str">
        <f>IF(M$102="","",IF(Config!$Y$46&lt;&gt;"Não",IF(COUNTIFS(BD!$B$3:$B$5001,M$102,BD!$A$3:$A$5001,"&gt;="&amp;$C$7,BD!$A$3:$A$5001,"&lt;="&amp;$D$7,BD!$X$3:$X$5001,"&lt;&gt;")=0,"",SUMIFS(BD!$X$3:$X$5001,BD!$B$3:$B$5001,M$102,BD!$A$3:$A$5001,_xlfn.MAXIFS(BD!$A$3:$A$5001,BD!$B$3:$B$5001,M$102,BD!$A$3:$A$5001,"&gt;="&amp;$C$7,BD!$A$3:$A$5001,"&lt;="&amp;$D$7,BD!$X$3:$X$5001,"&lt;&gt;"))),"—"))</f>
        <v/>
      </c>
      <c r="N124" s="32" t="str">
        <f>IF(N$102="","",IF(Config!$Y$47&lt;&gt;"Não",IF(COUNTIFS(BD!$B$3:$B$5001,N$102,BD!$A$3:$A$5001,"&gt;="&amp;$C$7,BD!$A$3:$A$5001,"&lt;="&amp;$D$7,BD!$X$3:$X$5001,"&lt;&gt;")=0,"",SUMIFS(BD!$X$3:$X$5001,BD!$B$3:$B$5001,N$102,BD!$A$3:$A$5001,_xlfn.MAXIFS(BD!$A$3:$A$5001,BD!$B$3:$B$5001,N$102,BD!$A$3:$A$5001,"&gt;="&amp;$C$7,BD!$A$3:$A$5001,"&lt;="&amp;$D$7,BD!$X$3:$X$5001,"&lt;&gt;"))),"—"))</f>
        <v/>
      </c>
      <c r="O124" s="32" t="str">
        <f>IF(O$102="","",IF(Config!$Y$48&lt;&gt;"Não",IF(COUNTIFS(BD!$B$3:$B$5001,O$102,BD!$A$3:$A$5001,"&gt;="&amp;$C$7,BD!$A$3:$A$5001,"&lt;="&amp;$D$7,BD!$X$3:$X$5001,"&lt;&gt;")=0,"",SUMIFS(BD!$X$3:$X$5001,BD!$B$3:$B$5001,O$102,BD!$A$3:$A$5001,_xlfn.MAXIFS(BD!$A$3:$A$5001,BD!$B$3:$B$5001,O$102,BD!$A$3:$A$5001,"&gt;="&amp;$C$7,BD!$A$3:$A$5001,"&lt;="&amp;$D$7,BD!$X$3:$X$5001,"&lt;&gt;"))),"—"))</f>
        <v/>
      </c>
      <c r="P124" s="32" t="str">
        <f>IF(P$102="","",IF(Config!$Y$49&lt;&gt;"Não",IF(COUNTIFS(BD!$B$3:$B$5001,P$102,BD!$A$3:$A$5001,"&gt;="&amp;$C$7,BD!$A$3:$A$5001,"&lt;="&amp;$D$7,BD!$X$3:$X$5001,"&lt;&gt;")=0,"",SUMIFS(BD!$X$3:$X$5001,BD!$B$3:$B$5001,P$102,BD!$A$3:$A$5001,_xlfn.MAXIFS(BD!$A$3:$A$5001,BD!$B$3:$B$5001,P$102,BD!$A$3:$A$5001,"&gt;="&amp;$C$7,BD!$A$3:$A$5001,"&lt;="&amp;$D$7,BD!$X$3:$X$5001,"&lt;&gt;"))),"—"))</f>
        <v/>
      </c>
      <c r="Q124" s="32" t="str">
        <f>IF(Q$102="","",IF(Config!$Y$50&lt;&gt;"Não",IF(COUNTIFS(BD!$B$3:$B$5001,Q$102,BD!$A$3:$A$5001,"&gt;="&amp;$C$7,BD!$A$3:$A$5001,"&lt;="&amp;$D$7,BD!$X$3:$X$5001,"&lt;&gt;")=0,"",SUMIFS(BD!$X$3:$X$5001,BD!$B$3:$B$5001,Q$102,BD!$A$3:$A$5001,_xlfn.MAXIFS(BD!$A$3:$A$5001,BD!$B$3:$B$5001,Q$102,BD!$A$3:$A$5001,"&gt;="&amp;$C$7,BD!$A$3:$A$5001,"&lt;="&amp;$D$7,BD!$X$3:$X$5001,"&lt;&gt;"))),"—"))</f>
        <v/>
      </c>
      <c r="R124" s="32" t="str">
        <f>IF(R$102="","",IF(Config!$Y$51&lt;&gt;"Não",IF(COUNTIFS(BD!$B$3:$B$5001,R$102,BD!$A$3:$A$5001,"&gt;="&amp;$C$7,BD!$A$3:$A$5001,"&lt;="&amp;$D$7,BD!$X$3:$X$5001,"&lt;&gt;")=0,"",SUMIFS(BD!$X$3:$X$5001,BD!$B$3:$B$5001,R$102,BD!$A$3:$A$5001,_xlfn.MAXIFS(BD!$A$3:$A$5001,BD!$B$3:$B$5001,R$102,BD!$A$3:$A$5001,"&gt;="&amp;$C$7,BD!$A$3:$A$5001,"&lt;="&amp;$D$7,BD!$X$3:$X$5001,"&lt;&gt;"))),"—"))</f>
        <v/>
      </c>
      <c r="S124" s="32" t="str">
        <f>IF(S$102="","",IF(Config!$Y$52&lt;&gt;"Não",IF(COUNTIFS(BD!$B$3:$B$5001,S$102,BD!$A$3:$A$5001,"&gt;="&amp;$C$7,BD!$A$3:$A$5001,"&lt;="&amp;$D$7,BD!$X$3:$X$5001,"&lt;&gt;")=0,"",SUMIFS(BD!$X$3:$X$5001,BD!$B$3:$B$5001,S$102,BD!$A$3:$A$5001,_xlfn.MAXIFS(BD!$A$3:$A$5001,BD!$B$3:$B$5001,S$102,BD!$A$3:$A$5001,"&gt;="&amp;$C$7,BD!$A$3:$A$5001,"&lt;="&amp;$D$7,BD!$X$3:$X$5001,"&lt;&gt;"))),"—"))</f>
        <v/>
      </c>
      <c r="T124" s="32" t="str">
        <f>IF(T$102="","",IF(Config!$Y$53&lt;&gt;"Não",IF(COUNTIFS(BD!$B$3:$B$5001,T$102,BD!$A$3:$A$5001,"&gt;="&amp;$C$7,BD!$A$3:$A$5001,"&lt;="&amp;$D$7,BD!$X$3:$X$5001,"&lt;&gt;")=0,"",SUMIFS(BD!$X$3:$X$5001,BD!$B$3:$B$5001,T$102,BD!$A$3:$A$5001,_xlfn.MAXIFS(BD!$A$3:$A$5001,BD!$B$3:$B$5001,T$102,BD!$A$3:$A$5001,"&gt;="&amp;$C$7,BD!$A$3:$A$5001,"&lt;="&amp;$D$7,BD!$X$3:$X$5001,"&lt;&gt;"))),"—"))</f>
        <v/>
      </c>
      <c r="U124" s="32" t="str">
        <f>IF(U$102="","",IF(Config!$Y$54&lt;&gt;"Não",IF(COUNTIFS(BD!$B$3:$B$5001,U$102,BD!$A$3:$A$5001,"&gt;="&amp;$C$7,BD!$A$3:$A$5001,"&lt;="&amp;$D$7,BD!$X$3:$X$5001,"&lt;&gt;")=0,"",SUMIFS(BD!$X$3:$X$5001,BD!$B$3:$B$5001,U$102,BD!$A$3:$A$5001,_xlfn.MAXIFS(BD!$A$3:$A$5001,BD!$B$3:$B$5001,U$102,BD!$A$3:$A$5001,"&gt;="&amp;$C$7,BD!$A$3:$A$5001,"&lt;="&amp;$D$7,BD!$X$3:$X$5001,"&lt;&gt;"))),"—"))</f>
        <v/>
      </c>
      <c r="V124" s="62">
        <f>SUM(B124:U124)</f>
        <v>0</v>
      </c>
    </row>
    <row r="125">
      <c r="A125" s="29" t="inlineStr">
        <is>
          <t xml:space="preserve">OCUPAÇÃO (P.P) · Posições Disponíveis</t>
        </is>
      </c>
      <c r="B125" s="32" t="str">
        <f>IF(B$102="","",IF(Config!$Z$35&lt;&gt;"Não",IF(N(IF(COUNTIFS(BD!$B$3:$B$5001,B$102,BD!$A$3:$A$5001,"&gt;="&amp;$C$7,BD!$A$3:$A$5001,"&lt;="&amp;$D$7,BD!$Z$3:$Z$5001,"&lt;&gt;")=0,"",SUMIFS(BD!$Y$3:$Y$5001,BD!$B$3:$B$5001,B$102,BD!$A$3:$A$5001,_xlfn.MAXIFS(BD!$A$3:$A$5001,BD!$B$3:$B$5001,B$102,BD!$A$3:$A$5001,"&gt;="&amp;$C$7,BD!$A$3:$A$5001,"&lt;="&amp;$D$7,BD!$Z$3:$Z$5001,"&lt;&gt;"))))=0,"",IF(COUNTIFS(BD!$B$3:$B$5001,B$102,BD!$A$3:$A$5001,"&gt;="&amp;$C$7,BD!$A$3:$A$5001,"&lt;="&amp;$D$7,BD!$Z$3:$Z$5001,"&lt;&gt;")=0,"",SUMIFS(BD!$Y$3:$Y$5001,BD!$B$3:$B$5001,B$102,BD!$A$3:$A$5001,_xlfn.MAXIFS(BD!$A$3:$A$5001,BD!$B$3:$B$5001,B$102,BD!$A$3:$A$5001,"&gt;="&amp;$C$7,BD!$A$3:$A$5001,"&lt;="&amp;$D$7,BD!$Z$3:$Z$5001,"&lt;&gt;")))),"—"))</f>
        <v/>
      </c>
      <c r="C125" s="32" t="str">
        <f>IF(C$102="","",IF(Config!$Z$36&lt;&gt;"Não",IF(N(IF(COUNTIFS(BD!$B$3:$B$5001,C$102,BD!$A$3:$A$5001,"&gt;="&amp;$C$7,BD!$A$3:$A$5001,"&lt;="&amp;$D$7,BD!$Z$3:$Z$5001,"&lt;&gt;")=0,"",SUMIFS(BD!$Y$3:$Y$5001,BD!$B$3:$B$5001,C$102,BD!$A$3:$A$5001,_xlfn.MAXIFS(BD!$A$3:$A$5001,BD!$B$3:$B$5001,C$102,BD!$A$3:$A$5001,"&gt;="&amp;$C$7,BD!$A$3:$A$5001,"&lt;="&amp;$D$7,BD!$Z$3:$Z$5001,"&lt;&gt;"))))=0,"",IF(COUNTIFS(BD!$B$3:$B$5001,C$102,BD!$A$3:$A$5001,"&gt;="&amp;$C$7,BD!$A$3:$A$5001,"&lt;="&amp;$D$7,BD!$Z$3:$Z$5001,"&lt;&gt;")=0,"",SUMIFS(BD!$Y$3:$Y$5001,BD!$B$3:$B$5001,C$102,BD!$A$3:$A$5001,_xlfn.MAXIFS(BD!$A$3:$A$5001,BD!$B$3:$B$5001,C$102,BD!$A$3:$A$5001,"&gt;="&amp;$C$7,BD!$A$3:$A$5001,"&lt;="&amp;$D$7,BD!$Z$3:$Z$5001,"&lt;&gt;")))),"—"))</f>
        <v/>
      </c>
      <c r="D125" s="32" t="str">
        <f>IF(D$102="","",IF(Config!$Z$37&lt;&gt;"Não",IF(N(IF(COUNTIFS(BD!$B$3:$B$5001,D$102,BD!$A$3:$A$5001,"&gt;="&amp;$C$7,BD!$A$3:$A$5001,"&lt;="&amp;$D$7,BD!$Z$3:$Z$5001,"&lt;&gt;")=0,"",SUMIFS(BD!$Y$3:$Y$5001,BD!$B$3:$B$5001,D$102,BD!$A$3:$A$5001,_xlfn.MAXIFS(BD!$A$3:$A$5001,BD!$B$3:$B$5001,D$102,BD!$A$3:$A$5001,"&gt;="&amp;$C$7,BD!$A$3:$A$5001,"&lt;="&amp;$D$7,BD!$Z$3:$Z$5001,"&lt;&gt;"))))=0,"",IF(COUNTIFS(BD!$B$3:$B$5001,D$102,BD!$A$3:$A$5001,"&gt;="&amp;$C$7,BD!$A$3:$A$5001,"&lt;="&amp;$D$7,BD!$Z$3:$Z$5001,"&lt;&gt;")=0,"",SUMIFS(BD!$Y$3:$Y$5001,BD!$B$3:$B$5001,D$102,BD!$A$3:$A$5001,_xlfn.MAXIFS(BD!$A$3:$A$5001,BD!$B$3:$B$5001,D$102,BD!$A$3:$A$5001,"&gt;="&amp;$C$7,BD!$A$3:$A$5001,"&lt;="&amp;$D$7,BD!$Z$3:$Z$5001,"&lt;&gt;")))),"—"))</f>
        <v/>
      </c>
      <c r="E125" s="32" t="str">
        <f>IF(E$102="","",IF(Config!$Z$38&lt;&gt;"Não",IF(N(IF(COUNTIFS(BD!$B$3:$B$5001,E$102,BD!$A$3:$A$5001,"&gt;="&amp;$C$7,BD!$A$3:$A$5001,"&lt;="&amp;$D$7,BD!$Z$3:$Z$5001,"&lt;&gt;")=0,"",SUMIFS(BD!$Y$3:$Y$5001,BD!$B$3:$B$5001,E$102,BD!$A$3:$A$5001,_xlfn.MAXIFS(BD!$A$3:$A$5001,BD!$B$3:$B$5001,E$102,BD!$A$3:$A$5001,"&gt;="&amp;$C$7,BD!$A$3:$A$5001,"&lt;="&amp;$D$7,BD!$Z$3:$Z$5001,"&lt;&gt;"))))=0,"",IF(COUNTIFS(BD!$B$3:$B$5001,E$102,BD!$A$3:$A$5001,"&gt;="&amp;$C$7,BD!$A$3:$A$5001,"&lt;="&amp;$D$7,BD!$Z$3:$Z$5001,"&lt;&gt;")=0,"",SUMIFS(BD!$Y$3:$Y$5001,BD!$B$3:$B$5001,E$102,BD!$A$3:$A$5001,_xlfn.MAXIFS(BD!$A$3:$A$5001,BD!$B$3:$B$5001,E$102,BD!$A$3:$A$5001,"&gt;="&amp;$C$7,BD!$A$3:$A$5001,"&lt;="&amp;$D$7,BD!$Z$3:$Z$5001,"&lt;&gt;")))),"—"))</f>
        <v/>
      </c>
      <c r="F125" s="32" t="str">
        <f>IF(F$102="","",IF(Config!$Z$39&lt;&gt;"Não",IF(N(IF(COUNTIFS(BD!$B$3:$B$5001,F$102,BD!$A$3:$A$5001,"&gt;="&amp;$C$7,BD!$A$3:$A$5001,"&lt;="&amp;$D$7,BD!$Z$3:$Z$5001,"&lt;&gt;")=0,"",SUMIFS(BD!$Y$3:$Y$5001,BD!$B$3:$B$5001,F$102,BD!$A$3:$A$5001,_xlfn.MAXIFS(BD!$A$3:$A$5001,BD!$B$3:$B$5001,F$102,BD!$A$3:$A$5001,"&gt;="&amp;$C$7,BD!$A$3:$A$5001,"&lt;="&amp;$D$7,BD!$Z$3:$Z$5001,"&lt;&gt;"))))=0,"",IF(COUNTIFS(BD!$B$3:$B$5001,F$102,BD!$A$3:$A$5001,"&gt;="&amp;$C$7,BD!$A$3:$A$5001,"&lt;="&amp;$D$7,BD!$Z$3:$Z$5001,"&lt;&gt;")=0,"",SUMIFS(BD!$Y$3:$Y$5001,BD!$B$3:$B$5001,F$102,BD!$A$3:$A$5001,_xlfn.MAXIFS(BD!$A$3:$A$5001,BD!$B$3:$B$5001,F$102,BD!$A$3:$A$5001,"&gt;="&amp;$C$7,BD!$A$3:$A$5001,"&lt;="&amp;$D$7,BD!$Z$3:$Z$5001,"&lt;&gt;")))),"—"))</f>
        <v/>
      </c>
      <c r="G125" s="32" t="str">
        <f>IF(G$102="","",IF(Config!$Z$40&lt;&gt;"Não",IF(N(IF(COUNTIFS(BD!$B$3:$B$5001,G$102,BD!$A$3:$A$5001,"&gt;="&amp;$C$7,BD!$A$3:$A$5001,"&lt;="&amp;$D$7,BD!$Z$3:$Z$5001,"&lt;&gt;")=0,"",SUMIFS(BD!$Y$3:$Y$5001,BD!$B$3:$B$5001,G$102,BD!$A$3:$A$5001,_xlfn.MAXIFS(BD!$A$3:$A$5001,BD!$B$3:$B$5001,G$102,BD!$A$3:$A$5001,"&gt;="&amp;$C$7,BD!$A$3:$A$5001,"&lt;="&amp;$D$7,BD!$Z$3:$Z$5001,"&lt;&gt;"))))=0,"",IF(COUNTIFS(BD!$B$3:$B$5001,G$102,BD!$A$3:$A$5001,"&gt;="&amp;$C$7,BD!$A$3:$A$5001,"&lt;="&amp;$D$7,BD!$Z$3:$Z$5001,"&lt;&gt;")=0,"",SUMIFS(BD!$Y$3:$Y$5001,BD!$B$3:$B$5001,G$102,BD!$A$3:$A$5001,_xlfn.MAXIFS(BD!$A$3:$A$5001,BD!$B$3:$B$5001,G$102,BD!$A$3:$A$5001,"&gt;="&amp;$C$7,BD!$A$3:$A$5001,"&lt;="&amp;$D$7,BD!$Z$3:$Z$5001,"&lt;&gt;")))),"—"))</f>
        <v/>
      </c>
      <c r="H125" s="32" t="str">
        <f>IF(H$102="","",IF(Config!$Z$41&lt;&gt;"Não",IF(N(IF(COUNTIFS(BD!$B$3:$B$5001,H$102,BD!$A$3:$A$5001,"&gt;="&amp;$C$7,BD!$A$3:$A$5001,"&lt;="&amp;$D$7,BD!$Z$3:$Z$5001,"&lt;&gt;")=0,"",SUMIFS(BD!$Y$3:$Y$5001,BD!$B$3:$B$5001,H$102,BD!$A$3:$A$5001,_xlfn.MAXIFS(BD!$A$3:$A$5001,BD!$B$3:$B$5001,H$102,BD!$A$3:$A$5001,"&gt;="&amp;$C$7,BD!$A$3:$A$5001,"&lt;="&amp;$D$7,BD!$Z$3:$Z$5001,"&lt;&gt;"))))=0,"",IF(COUNTIFS(BD!$B$3:$B$5001,H$102,BD!$A$3:$A$5001,"&gt;="&amp;$C$7,BD!$A$3:$A$5001,"&lt;="&amp;$D$7,BD!$Z$3:$Z$5001,"&lt;&gt;")=0,"",SUMIFS(BD!$Y$3:$Y$5001,BD!$B$3:$B$5001,H$102,BD!$A$3:$A$5001,_xlfn.MAXIFS(BD!$A$3:$A$5001,BD!$B$3:$B$5001,H$102,BD!$A$3:$A$5001,"&gt;="&amp;$C$7,BD!$A$3:$A$5001,"&lt;="&amp;$D$7,BD!$Z$3:$Z$5001,"&lt;&gt;")))),"—"))</f>
        <v/>
      </c>
      <c r="I125" s="32" t="str">
        <f>IF(I$102="","",IF(Config!$Z$42&lt;&gt;"Não",IF(N(IF(COUNTIFS(BD!$B$3:$B$5001,I$102,BD!$A$3:$A$5001,"&gt;="&amp;$C$7,BD!$A$3:$A$5001,"&lt;="&amp;$D$7,BD!$Z$3:$Z$5001,"&lt;&gt;")=0,"",SUMIFS(BD!$Y$3:$Y$5001,BD!$B$3:$B$5001,I$102,BD!$A$3:$A$5001,_xlfn.MAXIFS(BD!$A$3:$A$5001,BD!$B$3:$B$5001,I$102,BD!$A$3:$A$5001,"&gt;="&amp;$C$7,BD!$A$3:$A$5001,"&lt;="&amp;$D$7,BD!$Z$3:$Z$5001,"&lt;&gt;"))))=0,"",IF(COUNTIFS(BD!$B$3:$B$5001,I$102,BD!$A$3:$A$5001,"&gt;="&amp;$C$7,BD!$A$3:$A$5001,"&lt;="&amp;$D$7,BD!$Z$3:$Z$5001,"&lt;&gt;")=0,"",SUMIFS(BD!$Y$3:$Y$5001,BD!$B$3:$B$5001,I$102,BD!$A$3:$A$5001,_xlfn.MAXIFS(BD!$A$3:$A$5001,BD!$B$3:$B$5001,I$102,BD!$A$3:$A$5001,"&gt;="&amp;$C$7,BD!$A$3:$A$5001,"&lt;="&amp;$D$7,BD!$Z$3:$Z$5001,"&lt;&gt;")))),"—"))</f>
        <v/>
      </c>
      <c r="J125" s="32" t="str">
        <f>IF(J$102="","",IF(Config!$Z$43&lt;&gt;"Não",IF(N(IF(COUNTIFS(BD!$B$3:$B$5001,J$102,BD!$A$3:$A$5001,"&gt;="&amp;$C$7,BD!$A$3:$A$5001,"&lt;="&amp;$D$7,BD!$Z$3:$Z$5001,"&lt;&gt;")=0,"",SUMIFS(BD!$Y$3:$Y$5001,BD!$B$3:$B$5001,J$102,BD!$A$3:$A$5001,_xlfn.MAXIFS(BD!$A$3:$A$5001,BD!$B$3:$B$5001,J$102,BD!$A$3:$A$5001,"&gt;="&amp;$C$7,BD!$A$3:$A$5001,"&lt;="&amp;$D$7,BD!$Z$3:$Z$5001,"&lt;&gt;"))))=0,"",IF(COUNTIFS(BD!$B$3:$B$5001,J$102,BD!$A$3:$A$5001,"&gt;="&amp;$C$7,BD!$A$3:$A$5001,"&lt;="&amp;$D$7,BD!$Z$3:$Z$5001,"&lt;&gt;")=0,"",SUMIFS(BD!$Y$3:$Y$5001,BD!$B$3:$B$5001,J$102,BD!$A$3:$A$5001,_xlfn.MAXIFS(BD!$A$3:$A$5001,BD!$B$3:$B$5001,J$102,BD!$A$3:$A$5001,"&gt;="&amp;$C$7,BD!$A$3:$A$5001,"&lt;="&amp;$D$7,BD!$Z$3:$Z$5001,"&lt;&gt;")))),"—"))</f>
        <v/>
      </c>
      <c r="K125" s="32" t="str">
        <f>IF(K$102="","",IF(Config!$Z$44&lt;&gt;"Não",IF(N(IF(COUNTIFS(BD!$B$3:$B$5001,K$102,BD!$A$3:$A$5001,"&gt;="&amp;$C$7,BD!$A$3:$A$5001,"&lt;="&amp;$D$7,BD!$Z$3:$Z$5001,"&lt;&gt;")=0,"",SUMIFS(BD!$Y$3:$Y$5001,BD!$B$3:$B$5001,K$102,BD!$A$3:$A$5001,_xlfn.MAXIFS(BD!$A$3:$A$5001,BD!$B$3:$B$5001,K$102,BD!$A$3:$A$5001,"&gt;="&amp;$C$7,BD!$A$3:$A$5001,"&lt;="&amp;$D$7,BD!$Z$3:$Z$5001,"&lt;&gt;"))))=0,"",IF(COUNTIFS(BD!$B$3:$B$5001,K$102,BD!$A$3:$A$5001,"&gt;="&amp;$C$7,BD!$A$3:$A$5001,"&lt;="&amp;$D$7,BD!$Z$3:$Z$5001,"&lt;&gt;")=0,"",SUMIFS(BD!$Y$3:$Y$5001,BD!$B$3:$B$5001,K$102,BD!$A$3:$A$5001,_xlfn.MAXIFS(BD!$A$3:$A$5001,BD!$B$3:$B$5001,K$102,BD!$A$3:$A$5001,"&gt;="&amp;$C$7,BD!$A$3:$A$5001,"&lt;="&amp;$D$7,BD!$Z$3:$Z$5001,"&lt;&gt;")))),"—"))</f>
        <v/>
      </c>
      <c r="L125" s="32" t="str">
        <f>IF(L$102="","",IF(Config!$Z$45&lt;&gt;"Não",IF(N(IF(COUNTIFS(BD!$B$3:$B$5001,L$102,BD!$A$3:$A$5001,"&gt;="&amp;$C$7,BD!$A$3:$A$5001,"&lt;="&amp;$D$7,BD!$Z$3:$Z$5001,"&lt;&gt;")=0,"",SUMIFS(BD!$Y$3:$Y$5001,BD!$B$3:$B$5001,L$102,BD!$A$3:$A$5001,_xlfn.MAXIFS(BD!$A$3:$A$5001,BD!$B$3:$B$5001,L$102,BD!$A$3:$A$5001,"&gt;="&amp;$C$7,BD!$A$3:$A$5001,"&lt;="&amp;$D$7,BD!$Z$3:$Z$5001,"&lt;&gt;"))))=0,"",IF(COUNTIFS(BD!$B$3:$B$5001,L$102,BD!$A$3:$A$5001,"&gt;="&amp;$C$7,BD!$A$3:$A$5001,"&lt;="&amp;$D$7,BD!$Z$3:$Z$5001,"&lt;&gt;")=0,"",SUMIFS(BD!$Y$3:$Y$5001,BD!$B$3:$B$5001,L$102,BD!$A$3:$A$5001,_xlfn.MAXIFS(BD!$A$3:$A$5001,BD!$B$3:$B$5001,L$102,BD!$A$3:$A$5001,"&gt;="&amp;$C$7,BD!$A$3:$A$5001,"&lt;="&amp;$D$7,BD!$Z$3:$Z$5001,"&lt;&gt;")))),"—"))</f>
        <v/>
      </c>
      <c r="M125" s="32" t="str">
        <f>IF(M$102="","",IF(Config!$Z$46&lt;&gt;"Não",IF(N(IF(COUNTIFS(BD!$B$3:$B$5001,M$102,BD!$A$3:$A$5001,"&gt;="&amp;$C$7,BD!$A$3:$A$5001,"&lt;="&amp;$D$7,BD!$Z$3:$Z$5001,"&lt;&gt;")=0,"",SUMIFS(BD!$Y$3:$Y$5001,BD!$B$3:$B$5001,M$102,BD!$A$3:$A$5001,_xlfn.MAXIFS(BD!$A$3:$A$5001,BD!$B$3:$B$5001,M$102,BD!$A$3:$A$5001,"&gt;="&amp;$C$7,BD!$A$3:$A$5001,"&lt;="&amp;$D$7,BD!$Z$3:$Z$5001,"&lt;&gt;"))))=0,"",IF(COUNTIFS(BD!$B$3:$B$5001,M$102,BD!$A$3:$A$5001,"&gt;="&amp;$C$7,BD!$A$3:$A$5001,"&lt;="&amp;$D$7,BD!$Z$3:$Z$5001,"&lt;&gt;")=0,"",SUMIFS(BD!$Y$3:$Y$5001,BD!$B$3:$B$5001,M$102,BD!$A$3:$A$5001,_xlfn.MAXIFS(BD!$A$3:$A$5001,BD!$B$3:$B$5001,M$102,BD!$A$3:$A$5001,"&gt;="&amp;$C$7,BD!$A$3:$A$5001,"&lt;="&amp;$D$7,BD!$Z$3:$Z$5001,"&lt;&gt;")))),"—"))</f>
        <v/>
      </c>
      <c r="N125" s="32" t="str">
        <f>IF(N$102="","",IF(Config!$Z$47&lt;&gt;"Não",IF(N(IF(COUNTIFS(BD!$B$3:$B$5001,N$102,BD!$A$3:$A$5001,"&gt;="&amp;$C$7,BD!$A$3:$A$5001,"&lt;="&amp;$D$7,BD!$Z$3:$Z$5001,"&lt;&gt;")=0,"",SUMIFS(BD!$Y$3:$Y$5001,BD!$B$3:$B$5001,N$102,BD!$A$3:$A$5001,_xlfn.MAXIFS(BD!$A$3:$A$5001,BD!$B$3:$B$5001,N$102,BD!$A$3:$A$5001,"&gt;="&amp;$C$7,BD!$A$3:$A$5001,"&lt;="&amp;$D$7,BD!$Z$3:$Z$5001,"&lt;&gt;"))))=0,"",IF(COUNTIFS(BD!$B$3:$B$5001,N$102,BD!$A$3:$A$5001,"&gt;="&amp;$C$7,BD!$A$3:$A$5001,"&lt;="&amp;$D$7,BD!$Z$3:$Z$5001,"&lt;&gt;")=0,"",SUMIFS(BD!$Y$3:$Y$5001,BD!$B$3:$B$5001,N$102,BD!$A$3:$A$5001,_xlfn.MAXIFS(BD!$A$3:$A$5001,BD!$B$3:$B$5001,N$102,BD!$A$3:$A$5001,"&gt;="&amp;$C$7,BD!$A$3:$A$5001,"&lt;="&amp;$D$7,BD!$Z$3:$Z$5001,"&lt;&gt;")))),"—"))</f>
        <v/>
      </c>
      <c r="O125" s="32" t="str">
        <f>IF(O$102="","",IF(Config!$Z$48&lt;&gt;"Não",IF(N(IF(COUNTIFS(BD!$B$3:$B$5001,O$102,BD!$A$3:$A$5001,"&gt;="&amp;$C$7,BD!$A$3:$A$5001,"&lt;="&amp;$D$7,BD!$Z$3:$Z$5001,"&lt;&gt;")=0,"",SUMIFS(BD!$Y$3:$Y$5001,BD!$B$3:$B$5001,O$102,BD!$A$3:$A$5001,_xlfn.MAXIFS(BD!$A$3:$A$5001,BD!$B$3:$B$5001,O$102,BD!$A$3:$A$5001,"&gt;="&amp;$C$7,BD!$A$3:$A$5001,"&lt;="&amp;$D$7,BD!$Z$3:$Z$5001,"&lt;&gt;"))))=0,"",IF(COUNTIFS(BD!$B$3:$B$5001,O$102,BD!$A$3:$A$5001,"&gt;="&amp;$C$7,BD!$A$3:$A$5001,"&lt;="&amp;$D$7,BD!$Z$3:$Z$5001,"&lt;&gt;")=0,"",SUMIFS(BD!$Y$3:$Y$5001,BD!$B$3:$B$5001,O$102,BD!$A$3:$A$5001,_xlfn.MAXIFS(BD!$A$3:$A$5001,BD!$B$3:$B$5001,O$102,BD!$A$3:$A$5001,"&gt;="&amp;$C$7,BD!$A$3:$A$5001,"&lt;="&amp;$D$7,BD!$Z$3:$Z$5001,"&lt;&gt;")))),"—"))</f>
        <v/>
      </c>
      <c r="P125" s="32" t="str">
        <f>IF(P$102="","",IF(Config!$Z$49&lt;&gt;"Não",IF(N(IF(COUNTIFS(BD!$B$3:$B$5001,P$102,BD!$A$3:$A$5001,"&gt;="&amp;$C$7,BD!$A$3:$A$5001,"&lt;="&amp;$D$7,BD!$Z$3:$Z$5001,"&lt;&gt;")=0,"",SUMIFS(BD!$Y$3:$Y$5001,BD!$B$3:$B$5001,P$102,BD!$A$3:$A$5001,_xlfn.MAXIFS(BD!$A$3:$A$5001,BD!$B$3:$B$5001,P$102,BD!$A$3:$A$5001,"&gt;="&amp;$C$7,BD!$A$3:$A$5001,"&lt;="&amp;$D$7,BD!$Z$3:$Z$5001,"&lt;&gt;"))))=0,"",IF(COUNTIFS(BD!$B$3:$B$5001,P$102,BD!$A$3:$A$5001,"&gt;="&amp;$C$7,BD!$A$3:$A$5001,"&lt;="&amp;$D$7,BD!$Z$3:$Z$5001,"&lt;&gt;")=0,"",SUMIFS(BD!$Y$3:$Y$5001,BD!$B$3:$B$5001,P$102,BD!$A$3:$A$5001,_xlfn.MAXIFS(BD!$A$3:$A$5001,BD!$B$3:$B$5001,P$102,BD!$A$3:$A$5001,"&gt;="&amp;$C$7,BD!$A$3:$A$5001,"&lt;="&amp;$D$7,BD!$Z$3:$Z$5001,"&lt;&gt;")))),"—"))</f>
        <v/>
      </c>
      <c r="Q125" s="32" t="str">
        <f>IF(Q$102="","",IF(Config!$Z$50&lt;&gt;"Não",IF(N(IF(COUNTIFS(BD!$B$3:$B$5001,Q$102,BD!$A$3:$A$5001,"&gt;="&amp;$C$7,BD!$A$3:$A$5001,"&lt;="&amp;$D$7,BD!$Z$3:$Z$5001,"&lt;&gt;")=0,"",SUMIFS(BD!$Y$3:$Y$5001,BD!$B$3:$B$5001,Q$102,BD!$A$3:$A$5001,_xlfn.MAXIFS(BD!$A$3:$A$5001,BD!$B$3:$B$5001,Q$102,BD!$A$3:$A$5001,"&gt;="&amp;$C$7,BD!$A$3:$A$5001,"&lt;="&amp;$D$7,BD!$Z$3:$Z$5001,"&lt;&gt;"))))=0,"",IF(COUNTIFS(BD!$B$3:$B$5001,Q$102,BD!$A$3:$A$5001,"&gt;="&amp;$C$7,BD!$A$3:$A$5001,"&lt;="&amp;$D$7,BD!$Z$3:$Z$5001,"&lt;&gt;")=0,"",SUMIFS(BD!$Y$3:$Y$5001,BD!$B$3:$B$5001,Q$102,BD!$A$3:$A$5001,_xlfn.MAXIFS(BD!$A$3:$A$5001,BD!$B$3:$B$5001,Q$102,BD!$A$3:$A$5001,"&gt;="&amp;$C$7,BD!$A$3:$A$5001,"&lt;="&amp;$D$7,BD!$Z$3:$Z$5001,"&lt;&gt;")))),"—"))</f>
        <v/>
      </c>
      <c r="R125" s="32" t="str">
        <f>IF(R$102="","",IF(Config!$Z$51&lt;&gt;"Não",IF(N(IF(COUNTIFS(BD!$B$3:$B$5001,R$102,BD!$A$3:$A$5001,"&gt;="&amp;$C$7,BD!$A$3:$A$5001,"&lt;="&amp;$D$7,BD!$Z$3:$Z$5001,"&lt;&gt;")=0,"",SUMIFS(BD!$Y$3:$Y$5001,BD!$B$3:$B$5001,R$102,BD!$A$3:$A$5001,_xlfn.MAXIFS(BD!$A$3:$A$5001,BD!$B$3:$B$5001,R$102,BD!$A$3:$A$5001,"&gt;="&amp;$C$7,BD!$A$3:$A$5001,"&lt;="&amp;$D$7,BD!$Z$3:$Z$5001,"&lt;&gt;"))))=0,"",IF(COUNTIFS(BD!$B$3:$B$5001,R$102,BD!$A$3:$A$5001,"&gt;="&amp;$C$7,BD!$A$3:$A$5001,"&lt;="&amp;$D$7,BD!$Z$3:$Z$5001,"&lt;&gt;")=0,"",SUMIFS(BD!$Y$3:$Y$5001,BD!$B$3:$B$5001,R$102,BD!$A$3:$A$5001,_xlfn.MAXIFS(BD!$A$3:$A$5001,BD!$B$3:$B$5001,R$102,BD!$A$3:$A$5001,"&gt;="&amp;$C$7,BD!$A$3:$A$5001,"&lt;="&amp;$D$7,BD!$Z$3:$Z$5001,"&lt;&gt;")))),"—"))</f>
        <v/>
      </c>
      <c r="S125" s="32" t="str">
        <f>IF(S$102="","",IF(Config!$Z$52&lt;&gt;"Não",IF(N(IF(COUNTIFS(BD!$B$3:$B$5001,S$102,BD!$A$3:$A$5001,"&gt;="&amp;$C$7,BD!$A$3:$A$5001,"&lt;="&amp;$D$7,BD!$Z$3:$Z$5001,"&lt;&gt;")=0,"",SUMIFS(BD!$Y$3:$Y$5001,BD!$B$3:$B$5001,S$102,BD!$A$3:$A$5001,_xlfn.MAXIFS(BD!$A$3:$A$5001,BD!$B$3:$B$5001,S$102,BD!$A$3:$A$5001,"&gt;="&amp;$C$7,BD!$A$3:$A$5001,"&lt;="&amp;$D$7,BD!$Z$3:$Z$5001,"&lt;&gt;"))))=0,"",IF(COUNTIFS(BD!$B$3:$B$5001,S$102,BD!$A$3:$A$5001,"&gt;="&amp;$C$7,BD!$A$3:$A$5001,"&lt;="&amp;$D$7,BD!$Z$3:$Z$5001,"&lt;&gt;")=0,"",SUMIFS(BD!$Y$3:$Y$5001,BD!$B$3:$B$5001,S$102,BD!$A$3:$A$5001,_xlfn.MAXIFS(BD!$A$3:$A$5001,BD!$B$3:$B$5001,S$102,BD!$A$3:$A$5001,"&gt;="&amp;$C$7,BD!$A$3:$A$5001,"&lt;="&amp;$D$7,BD!$Z$3:$Z$5001,"&lt;&gt;")))),"—"))</f>
        <v/>
      </c>
      <c r="T125" s="32" t="str">
        <f>IF(T$102="","",IF(Config!$Z$53&lt;&gt;"Não",IF(N(IF(COUNTIFS(BD!$B$3:$B$5001,T$102,BD!$A$3:$A$5001,"&gt;="&amp;$C$7,BD!$A$3:$A$5001,"&lt;="&amp;$D$7,BD!$Z$3:$Z$5001,"&lt;&gt;")=0,"",SUMIFS(BD!$Y$3:$Y$5001,BD!$B$3:$B$5001,T$102,BD!$A$3:$A$5001,_xlfn.MAXIFS(BD!$A$3:$A$5001,BD!$B$3:$B$5001,T$102,BD!$A$3:$A$5001,"&gt;="&amp;$C$7,BD!$A$3:$A$5001,"&lt;="&amp;$D$7,BD!$Z$3:$Z$5001,"&lt;&gt;"))))=0,"",IF(COUNTIFS(BD!$B$3:$B$5001,T$102,BD!$A$3:$A$5001,"&gt;="&amp;$C$7,BD!$A$3:$A$5001,"&lt;="&amp;$D$7,BD!$Z$3:$Z$5001,"&lt;&gt;")=0,"",SUMIFS(BD!$Y$3:$Y$5001,BD!$B$3:$B$5001,T$102,BD!$A$3:$A$5001,_xlfn.MAXIFS(BD!$A$3:$A$5001,BD!$B$3:$B$5001,T$102,BD!$A$3:$A$5001,"&gt;="&amp;$C$7,BD!$A$3:$A$5001,"&lt;="&amp;$D$7,BD!$Z$3:$Z$5001,"&lt;&gt;")))),"—"))</f>
        <v/>
      </c>
      <c r="U125" s="32" t="str">
        <f>IF(U$102="","",IF(Config!$Z$54&lt;&gt;"Não",IF(N(IF(COUNTIFS(BD!$B$3:$B$5001,U$102,BD!$A$3:$A$5001,"&gt;="&amp;$C$7,BD!$A$3:$A$5001,"&lt;="&amp;$D$7,BD!$Z$3:$Z$5001,"&lt;&gt;")=0,"",SUMIFS(BD!$Y$3:$Y$5001,BD!$B$3:$B$5001,U$102,BD!$A$3:$A$5001,_xlfn.MAXIFS(BD!$A$3:$A$5001,BD!$B$3:$B$5001,U$102,BD!$A$3:$A$5001,"&gt;="&amp;$C$7,BD!$A$3:$A$5001,"&lt;="&amp;$D$7,BD!$Z$3:$Z$5001,"&lt;&gt;"))))=0,"",IF(COUNTIFS(BD!$B$3:$B$5001,U$102,BD!$A$3:$A$5001,"&gt;="&amp;$C$7,BD!$A$3:$A$5001,"&lt;="&amp;$D$7,BD!$Z$3:$Z$5001,"&lt;&gt;")=0,"",SUMIFS(BD!$Y$3:$Y$5001,BD!$B$3:$B$5001,U$102,BD!$A$3:$A$5001,_xlfn.MAXIFS(BD!$A$3:$A$5001,BD!$B$3:$B$5001,U$102,BD!$A$3:$A$5001,"&gt;="&amp;$C$7,BD!$A$3:$A$5001,"&lt;="&amp;$D$7,BD!$Z$3:$Z$5001,"&lt;&gt;")))),"—"))</f>
        <v/>
      </c>
      <c r="V125" s="62">
        <f>IF($B$4&gt;0,$B$4,SUM(B125:U125))</f>
        <v>23040</v>
      </c>
    </row>
    <row r="126">
      <c r="A126" s="29" t="inlineStr">
        <is>
          <t xml:space="preserve">OCUPAÇÃO (P.P) · Posições Ocupadas</t>
        </is>
      </c>
      <c r="B126" s="32" t="str">
        <f>IF(B$102="","",IF(Config!$AA$35&lt;&gt;"Não",IF(COUNTIFS(BD!$B$3:$B$5001,B$102,BD!$A$3:$A$5001,"&gt;="&amp;$C$7,BD!$A$3:$A$5001,"&lt;="&amp;$D$7,BD!$Z$3:$Z$5001,"&lt;&gt;")=0,"",SUMIFS(BD!$Z$3:$Z$5001,BD!$B$3:$B$5001,B$102,BD!$A$3:$A$5001,_xlfn.MAXIFS(BD!$A$3:$A$5001,BD!$B$3:$B$5001,B$102,BD!$A$3:$A$5001,"&gt;="&amp;$C$7,BD!$A$3:$A$5001,"&lt;="&amp;$D$7,BD!$Z$3:$Z$5001,"&lt;&gt;"))),"—"))</f>
        <v/>
      </c>
      <c r="C126" s="32" t="str">
        <f>IF(C$102="","",IF(Config!$AA$36&lt;&gt;"Não",IF(COUNTIFS(BD!$B$3:$B$5001,C$102,BD!$A$3:$A$5001,"&gt;="&amp;$C$7,BD!$A$3:$A$5001,"&lt;="&amp;$D$7,BD!$Z$3:$Z$5001,"&lt;&gt;")=0,"",SUMIFS(BD!$Z$3:$Z$5001,BD!$B$3:$B$5001,C$102,BD!$A$3:$A$5001,_xlfn.MAXIFS(BD!$A$3:$A$5001,BD!$B$3:$B$5001,C$102,BD!$A$3:$A$5001,"&gt;="&amp;$C$7,BD!$A$3:$A$5001,"&lt;="&amp;$D$7,BD!$Z$3:$Z$5001,"&lt;&gt;"))),"—"))</f>
        <v/>
      </c>
      <c r="D126" s="32" t="str">
        <f>IF(D$102="","",IF(Config!$AA$37&lt;&gt;"Não",IF(COUNTIFS(BD!$B$3:$B$5001,D$102,BD!$A$3:$A$5001,"&gt;="&amp;$C$7,BD!$A$3:$A$5001,"&lt;="&amp;$D$7,BD!$Z$3:$Z$5001,"&lt;&gt;")=0,"",SUMIFS(BD!$Z$3:$Z$5001,BD!$B$3:$B$5001,D$102,BD!$A$3:$A$5001,_xlfn.MAXIFS(BD!$A$3:$A$5001,BD!$B$3:$B$5001,D$102,BD!$A$3:$A$5001,"&gt;="&amp;$C$7,BD!$A$3:$A$5001,"&lt;="&amp;$D$7,BD!$Z$3:$Z$5001,"&lt;&gt;"))),"—"))</f>
        <v/>
      </c>
      <c r="E126" s="32" t="str">
        <f>IF(E$102="","",IF(Config!$AA$38&lt;&gt;"Não",IF(COUNTIFS(BD!$B$3:$B$5001,E$102,BD!$A$3:$A$5001,"&gt;="&amp;$C$7,BD!$A$3:$A$5001,"&lt;="&amp;$D$7,BD!$Z$3:$Z$5001,"&lt;&gt;")=0,"",SUMIFS(BD!$Z$3:$Z$5001,BD!$B$3:$B$5001,E$102,BD!$A$3:$A$5001,_xlfn.MAXIFS(BD!$A$3:$A$5001,BD!$B$3:$B$5001,E$102,BD!$A$3:$A$5001,"&gt;="&amp;$C$7,BD!$A$3:$A$5001,"&lt;="&amp;$D$7,BD!$Z$3:$Z$5001,"&lt;&gt;"))),"—"))</f>
        <v/>
      </c>
      <c r="F126" s="32" t="str">
        <f>IF(F$102="","",IF(Config!$AA$39&lt;&gt;"Não",IF(COUNTIFS(BD!$B$3:$B$5001,F$102,BD!$A$3:$A$5001,"&gt;="&amp;$C$7,BD!$A$3:$A$5001,"&lt;="&amp;$D$7,BD!$Z$3:$Z$5001,"&lt;&gt;")=0,"",SUMIFS(BD!$Z$3:$Z$5001,BD!$B$3:$B$5001,F$102,BD!$A$3:$A$5001,_xlfn.MAXIFS(BD!$A$3:$A$5001,BD!$B$3:$B$5001,F$102,BD!$A$3:$A$5001,"&gt;="&amp;$C$7,BD!$A$3:$A$5001,"&lt;="&amp;$D$7,BD!$Z$3:$Z$5001,"&lt;&gt;"))),"—"))</f>
        <v/>
      </c>
      <c r="G126" s="32" t="str">
        <f>IF(G$102="","",IF(Config!$AA$40&lt;&gt;"Não",IF(COUNTIFS(BD!$B$3:$B$5001,G$102,BD!$A$3:$A$5001,"&gt;="&amp;$C$7,BD!$A$3:$A$5001,"&lt;="&amp;$D$7,BD!$Z$3:$Z$5001,"&lt;&gt;")=0,"",SUMIFS(BD!$Z$3:$Z$5001,BD!$B$3:$B$5001,G$102,BD!$A$3:$A$5001,_xlfn.MAXIFS(BD!$A$3:$A$5001,BD!$B$3:$B$5001,G$102,BD!$A$3:$A$5001,"&gt;="&amp;$C$7,BD!$A$3:$A$5001,"&lt;="&amp;$D$7,BD!$Z$3:$Z$5001,"&lt;&gt;"))),"—"))</f>
        <v/>
      </c>
      <c r="H126" s="32" t="str">
        <f>IF(H$102="","",IF(Config!$AA$41&lt;&gt;"Não",IF(COUNTIFS(BD!$B$3:$B$5001,H$102,BD!$A$3:$A$5001,"&gt;="&amp;$C$7,BD!$A$3:$A$5001,"&lt;="&amp;$D$7,BD!$Z$3:$Z$5001,"&lt;&gt;")=0,"",SUMIFS(BD!$Z$3:$Z$5001,BD!$B$3:$B$5001,H$102,BD!$A$3:$A$5001,_xlfn.MAXIFS(BD!$A$3:$A$5001,BD!$B$3:$B$5001,H$102,BD!$A$3:$A$5001,"&gt;="&amp;$C$7,BD!$A$3:$A$5001,"&lt;="&amp;$D$7,BD!$Z$3:$Z$5001,"&lt;&gt;"))),"—"))</f>
        <v/>
      </c>
      <c r="I126" s="32" t="str">
        <f>IF(I$102="","",IF(Config!$AA$42&lt;&gt;"Não",IF(COUNTIFS(BD!$B$3:$B$5001,I$102,BD!$A$3:$A$5001,"&gt;="&amp;$C$7,BD!$A$3:$A$5001,"&lt;="&amp;$D$7,BD!$Z$3:$Z$5001,"&lt;&gt;")=0,"",SUMIFS(BD!$Z$3:$Z$5001,BD!$B$3:$B$5001,I$102,BD!$A$3:$A$5001,_xlfn.MAXIFS(BD!$A$3:$A$5001,BD!$B$3:$B$5001,I$102,BD!$A$3:$A$5001,"&gt;="&amp;$C$7,BD!$A$3:$A$5001,"&lt;="&amp;$D$7,BD!$Z$3:$Z$5001,"&lt;&gt;"))),"—"))</f>
        <v/>
      </c>
      <c r="J126" s="32" t="str">
        <f>IF(J$102="","",IF(Config!$AA$43&lt;&gt;"Não",IF(COUNTIFS(BD!$B$3:$B$5001,J$102,BD!$A$3:$A$5001,"&gt;="&amp;$C$7,BD!$A$3:$A$5001,"&lt;="&amp;$D$7,BD!$Z$3:$Z$5001,"&lt;&gt;")=0,"",SUMIFS(BD!$Z$3:$Z$5001,BD!$B$3:$B$5001,J$102,BD!$A$3:$A$5001,_xlfn.MAXIFS(BD!$A$3:$A$5001,BD!$B$3:$B$5001,J$102,BD!$A$3:$A$5001,"&gt;="&amp;$C$7,BD!$A$3:$A$5001,"&lt;="&amp;$D$7,BD!$Z$3:$Z$5001,"&lt;&gt;"))),"—"))</f>
        <v/>
      </c>
      <c r="K126" s="32" t="str">
        <f>IF(K$102="","",IF(Config!$AA$44&lt;&gt;"Não",IF(COUNTIFS(BD!$B$3:$B$5001,K$102,BD!$A$3:$A$5001,"&gt;="&amp;$C$7,BD!$A$3:$A$5001,"&lt;="&amp;$D$7,BD!$Z$3:$Z$5001,"&lt;&gt;")=0,"",SUMIFS(BD!$Z$3:$Z$5001,BD!$B$3:$B$5001,K$102,BD!$A$3:$A$5001,_xlfn.MAXIFS(BD!$A$3:$A$5001,BD!$B$3:$B$5001,K$102,BD!$A$3:$A$5001,"&gt;="&amp;$C$7,BD!$A$3:$A$5001,"&lt;="&amp;$D$7,BD!$Z$3:$Z$5001,"&lt;&gt;"))),"—"))</f>
        <v/>
      </c>
      <c r="L126" s="32" t="str">
        <f>IF(L$102="","",IF(Config!$AA$45&lt;&gt;"Não",IF(COUNTIFS(BD!$B$3:$B$5001,L$102,BD!$A$3:$A$5001,"&gt;="&amp;$C$7,BD!$A$3:$A$5001,"&lt;="&amp;$D$7,BD!$Z$3:$Z$5001,"&lt;&gt;")=0,"",SUMIFS(BD!$Z$3:$Z$5001,BD!$B$3:$B$5001,L$102,BD!$A$3:$A$5001,_xlfn.MAXIFS(BD!$A$3:$A$5001,BD!$B$3:$B$5001,L$102,BD!$A$3:$A$5001,"&gt;="&amp;$C$7,BD!$A$3:$A$5001,"&lt;="&amp;$D$7,BD!$Z$3:$Z$5001,"&lt;&gt;"))),"—"))</f>
        <v/>
      </c>
      <c r="M126" s="32" t="str">
        <f>IF(M$102="","",IF(Config!$AA$46&lt;&gt;"Não",IF(COUNTIFS(BD!$B$3:$B$5001,M$102,BD!$A$3:$A$5001,"&gt;="&amp;$C$7,BD!$A$3:$A$5001,"&lt;="&amp;$D$7,BD!$Z$3:$Z$5001,"&lt;&gt;")=0,"",SUMIFS(BD!$Z$3:$Z$5001,BD!$B$3:$B$5001,M$102,BD!$A$3:$A$5001,_xlfn.MAXIFS(BD!$A$3:$A$5001,BD!$B$3:$B$5001,M$102,BD!$A$3:$A$5001,"&gt;="&amp;$C$7,BD!$A$3:$A$5001,"&lt;="&amp;$D$7,BD!$Z$3:$Z$5001,"&lt;&gt;"))),"—"))</f>
        <v/>
      </c>
      <c r="N126" s="32" t="str">
        <f>IF(N$102="","",IF(Config!$AA$47&lt;&gt;"Não",IF(COUNTIFS(BD!$B$3:$B$5001,N$102,BD!$A$3:$A$5001,"&gt;="&amp;$C$7,BD!$A$3:$A$5001,"&lt;="&amp;$D$7,BD!$Z$3:$Z$5001,"&lt;&gt;")=0,"",SUMIFS(BD!$Z$3:$Z$5001,BD!$B$3:$B$5001,N$102,BD!$A$3:$A$5001,_xlfn.MAXIFS(BD!$A$3:$A$5001,BD!$B$3:$B$5001,N$102,BD!$A$3:$A$5001,"&gt;="&amp;$C$7,BD!$A$3:$A$5001,"&lt;="&amp;$D$7,BD!$Z$3:$Z$5001,"&lt;&gt;"))),"—"))</f>
        <v/>
      </c>
      <c r="O126" s="32" t="str">
        <f>IF(O$102="","",IF(Config!$AA$48&lt;&gt;"Não",IF(COUNTIFS(BD!$B$3:$B$5001,O$102,BD!$A$3:$A$5001,"&gt;="&amp;$C$7,BD!$A$3:$A$5001,"&lt;="&amp;$D$7,BD!$Z$3:$Z$5001,"&lt;&gt;")=0,"",SUMIFS(BD!$Z$3:$Z$5001,BD!$B$3:$B$5001,O$102,BD!$A$3:$A$5001,_xlfn.MAXIFS(BD!$A$3:$A$5001,BD!$B$3:$B$5001,O$102,BD!$A$3:$A$5001,"&gt;="&amp;$C$7,BD!$A$3:$A$5001,"&lt;="&amp;$D$7,BD!$Z$3:$Z$5001,"&lt;&gt;"))),"—"))</f>
        <v/>
      </c>
      <c r="P126" s="32" t="str">
        <f>IF(P$102="","",IF(Config!$AA$49&lt;&gt;"Não",IF(COUNTIFS(BD!$B$3:$B$5001,P$102,BD!$A$3:$A$5001,"&gt;="&amp;$C$7,BD!$A$3:$A$5001,"&lt;="&amp;$D$7,BD!$Z$3:$Z$5001,"&lt;&gt;")=0,"",SUMIFS(BD!$Z$3:$Z$5001,BD!$B$3:$B$5001,P$102,BD!$A$3:$A$5001,_xlfn.MAXIFS(BD!$A$3:$A$5001,BD!$B$3:$B$5001,P$102,BD!$A$3:$A$5001,"&gt;="&amp;$C$7,BD!$A$3:$A$5001,"&lt;="&amp;$D$7,BD!$Z$3:$Z$5001,"&lt;&gt;"))),"—"))</f>
        <v/>
      </c>
      <c r="Q126" s="32" t="str">
        <f>IF(Q$102="","",IF(Config!$AA$50&lt;&gt;"Não",IF(COUNTIFS(BD!$B$3:$B$5001,Q$102,BD!$A$3:$A$5001,"&gt;="&amp;$C$7,BD!$A$3:$A$5001,"&lt;="&amp;$D$7,BD!$Z$3:$Z$5001,"&lt;&gt;")=0,"",SUMIFS(BD!$Z$3:$Z$5001,BD!$B$3:$B$5001,Q$102,BD!$A$3:$A$5001,_xlfn.MAXIFS(BD!$A$3:$A$5001,BD!$B$3:$B$5001,Q$102,BD!$A$3:$A$5001,"&gt;="&amp;$C$7,BD!$A$3:$A$5001,"&lt;="&amp;$D$7,BD!$Z$3:$Z$5001,"&lt;&gt;"))),"—"))</f>
        <v/>
      </c>
      <c r="R126" s="32" t="str">
        <f>IF(R$102="","",IF(Config!$AA$51&lt;&gt;"Não",IF(COUNTIFS(BD!$B$3:$B$5001,R$102,BD!$A$3:$A$5001,"&gt;="&amp;$C$7,BD!$A$3:$A$5001,"&lt;="&amp;$D$7,BD!$Z$3:$Z$5001,"&lt;&gt;")=0,"",SUMIFS(BD!$Z$3:$Z$5001,BD!$B$3:$B$5001,R$102,BD!$A$3:$A$5001,_xlfn.MAXIFS(BD!$A$3:$A$5001,BD!$B$3:$B$5001,R$102,BD!$A$3:$A$5001,"&gt;="&amp;$C$7,BD!$A$3:$A$5001,"&lt;="&amp;$D$7,BD!$Z$3:$Z$5001,"&lt;&gt;"))),"—"))</f>
        <v/>
      </c>
      <c r="S126" s="32" t="str">
        <f>IF(S$102="","",IF(Config!$AA$52&lt;&gt;"Não",IF(COUNTIFS(BD!$B$3:$B$5001,S$102,BD!$A$3:$A$5001,"&gt;="&amp;$C$7,BD!$A$3:$A$5001,"&lt;="&amp;$D$7,BD!$Z$3:$Z$5001,"&lt;&gt;")=0,"",SUMIFS(BD!$Z$3:$Z$5001,BD!$B$3:$B$5001,S$102,BD!$A$3:$A$5001,_xlfn.MAXIFS(BD!$A$3:$A$5001,BD!$B$3:$B$5001,S$102,BD!$A$3:$A$5001,"&gt;="&amp;$C$7,BD!$A$3:$A$5001,"&lt;="&amp;$D$7,BD!$Z$3:$Z$5001,"&lt;&gt;"))),"—"))</f>
        <v/>
      </c>
      <c r="T126" s="32" t="str">
        <f>IF(T$102="","",IF(Config!$AA$53&lt;&gt;"Não",IF(COUNTIFS(BD!$B$3:$B$5001,T$102,BD!$A$3:$A$5001,"&gt;="&amp;$C$7,BD!$A$3:$A$5001,"&lt;="&amp;$D$7,BD!$Z$3:$Z$5001,"&lt;&gt;")=0,"",SUMIFS(BD!$Z$3:$Z$5001,BD!$B$3:$B$5001,T$102,BD!$A$3:$A$5001,_xlfn.MAXIFS(BD!$A$3:$A$5001,BD!$B$3:$B$5001,T$102,BD!$A$3:$A$5001,"&gt;="&amp;$C$7,BD!$A$3:$A$5001,"&lt;="&amp;$D$7,BD!$Z$3:$Z$5001,"&lt;&gt;"))),"—"))</f>
        <v/>
      </c>
      <c r="U126" s="32" t="str">
        <f>IF(U$102="","",IF(Config!$AA$54&lt;&gt;"Não",IF(COUNTIFS(BD!$B$3:$B$5001,U$102,BD!$A$3:$A$5001,"&gt;="&amp;$C$7,BD!$A$3:$A$5001,"&lt;="&amp;$D$7,BD!$Z$3:$Z$5001,"&lt;&gt;")=0,"",SUMIFS(BD!$Z$3:$Z$5001,BD!$B$3:$B$5001,U$102,BD!$A$3:$A$5001,_xlfn.MAXIFS(BD!$A$3:$A$5001,BD!$B$3:$B$5001,U$102,BD!$A$3:$A$5001,"&gt;="&amp;$C$7,BD!$A$3:$A$5001,"&lt;="&amp;$D$7,BD!$Z$3:$Z$5001,"&lt;&gt;"))),"—"))</f>
        <v/>
      </c>
      <c r="V126" s="62">
        <f>SUM(B126:U126)</f>
        <v>0</v>
      </c>
    </row>
    <row r="127">
      <c r="A127" s="29" t="inlineStr">
        <is>
          <t xml:space="preserve">OCUPAÇÃO (P.P) · Taxa de Ocupação</t>
        </is>
      </c>
      <c r="B127" s="50" t="str">
        <f>IF(B$102="","",IF(AND(Config!$Z$35&lt;&gt;"Não",Config!$AA$35&lt;&gt;"Não"),IF(AND(ISNUMBER(B126),ISNUMBER(B125)),IF(B125&gt;0,B126/B125,""),""),"—"))</f>
        <v/>
      </c>
      <c r="C127" s="50" t="str">
        <f>IF(C$102="","",IF(AND(Config!$Z$36&lt;&gt;"Não",Config!$AA$36&lt;&gt;"Não"),IF(AND(ISNUMBER(C126),ISNUMBER(C125)),IF(C125&gt;0,C126/C125,""),""),"—"))</f>
        <v/>
      </c>
      <c r="D127" s="50" t="str">
        <f>IF(D$102="","",IF(AND(Config!$Z$37&lt;&gt;"Não",Config!$AA$37&lt;&gt;"Não"),IF(AND(ISNUMBER(D126),ISNUMBER(D125)),IF(D125&gt;0,D126/D125,""),""),"—"))</f>
        <v/>
      </c>
      <c r="E127" s="50" t="str">
        <f>IF(E$102="","",IF(AND(Config!$Z$38&lt;&gt;"Não",Config!$AA$38&lt;&gt;"Não"),IF(AND(ISNUMBER(E126),ISNUMBER(E125)),IF(E125&gt;0,E126/E125,""),""),"—"))</f>
        <v/>
      </c>
      <c r="F127" s="50" t="str">
        <f>IF(F$102="","",IF(AND(Config!$Z$39&lt;&gt;"Não",Config!$AA$39&lt;&gt;"Não"),IF(AND(ISNUMBER(F126),ISNUMBER(F125)),IF(F125&gt;0,F126/F125,""),""),"—"))</f>
        <v/>
      </c>
      <c r="G127" s="50" t="str">
        <f>IF(G$102="","",IF(AND(Config!$Z$40&lt;&gt;"Não",Config!$AA$40&lt;&gt;"Não"),IF(AND(ISNUMBER(G126),ISNUMBER(G125)),IF(G125&gt;0,G126/G125,""),""),"—"))</f>
        <v/>
      </c>
      <c r="H127" s="50" t="str">
        <f>IF(H$102="","",IF(AND(Config!$Z$41&lt;&gt;"Não",Config!$AA$41&lt;&gt;"Não"),IF(AND(ISNUMBER(H126),ISNUMBER(H125)),IF(H125&gt;0,H126/H125,""),""),"—"))</f>
        <v/>
      </c>
      <c r="I127" s="50" t="str">
        <f>IF(I$102="","",IF(AND(Config!$Z$42&lt;&gt;"Não",Config!$AA$42&lt;&gt;"Não"),IF(AND(ISNUMBER(I126),ISNUMBER(I125)),IF(I125&gt;0,I126/I125,""),""),"—"))</f>
        <v/>
      </c>
      <c r="J127" s="50" t="str">
        <f>IF(J$102="","",IF(AND(Config!$Z$43&lt;&gt;"Não",Config!$AA$43&lt;&gt;"Não"),IF(AND(ISNUMBER(J126),ISNUMBER(J125)),IF(J125&gt;0,J126/J125,""),""),"—"))</f>
        <v/>
      </c>
      <c r="K127" s="50" t="str">
        <f>IF(K$102="","",IF(AND(Config!$Z$44&lt;&gt;"Não",Config!$AA$44&lt;&gt;"Não"),IF(AND(ISNUMBER(K126),ISNUMBER(K125)),IF(K125&gt;0,K126/K125,""),""),"—"))</f>
        <v/>
      </c>
      <c r="L127" s="50" t="str">
        <f>IF(L$102="","",IF(AND(Config!$Z$45&lt;&gt;"Não",Config!$AA$45&lt;&gt;"Não"),IF(AND(ISNUMBER(L126),ISNUMBER(L125)),IF(L125&gt;0,L126/L125,""),""),"—"))</f>
        <v/>
      </c>
      <c r="M127" s="50" t="str">
        <f>IF(M$102="","",IF(AND(Config!$Z$46&lt;&gt;"Não",Config!$AA$46&lt;&gt;"Não"),IF(AND(ISNUMBER(M126),ISNUMBER(M125)),IF(M125&gt;0,M126/M125,""),""),"—"))</f>
        <v/>
      </c>
      <c r="N127" s="50" t="str">
        <f>IF(N$102="","",IF(AND(Config!$Z$47&lt;&gt;"Não",Config!$AA$47&lt;&gt;"Não"),IF(AND(ISNUMBER(N126),ISNUMBER(N125)),IF(N125&gt;0,N126/N125,""),""),"—"))</f>
        <v/>
      </c>
      <c r="O127" s="50" t="str">
        <f>IF(O$102="","",IF(AND(Config!$Z$48&lt;&gt;"Não",Config!$AA$48&lt;&gt;"Não"),IF(AND(ISNUMBER(O126),ISNUMBER(O125)),IF(O125&gt;0,O126/O125,""),""),"—"))</f>
        <v/>
      </c>
      <c r="P127" s="50" t="str">
        <f>IF(P$102="","",IF(AND(Config!$Z$49&lt;&gt;"Não",Config!$AA$49&lt;&gt;"Não"),IF(AND(ISNUMBER(P126),ISNUMBER(P125)),IF(P125&gt;0,P126/P125,""),""),"—"))</f>
        <v/>
      </c>
      <c r="Q127" s="50" t="str">
        <f>IF(Q$102="","",IF(AND(Config!$Z$50&lt;&gt;"Não",Config!$AA$50&lt;&gt;"Não"),IF(AND(ISNUMBER(Q126),ISNUMBER(Q125)),IF(Q125&gt;0,Q126/Q125,""),""),"—"))</f>
        <v/>
      </c>
      <c r="R127" s="50" t="str">
        <f>IF(R$102="","",IF(AND(Config!$Z$51&lt;&gt;"Não",Config!$AA$51&lt;&gt;"Não"),IF(AND(ISNUMBER(R126),ISNUMBER(R125)),IF(R125&gt;0,R126/R125,""),""),"—"))</f>
        <v/>
      </c>
      <c r="S127" s="50" t="str">
        <f>IF(S$102="","",IF(AND(Config!$Z$52&lt;&gt;"Não",Config!$AA$52&lt;&gt;"Não"),IF(AND(ISNUMBER(S126),ISNUMBER(S125)),IF(S125&gt;0,S126/S125,""),""),"—"))</f>
        <v/>
      </c>
      <c r="T127" s="50" t="str">
        <f>IF(T$102="","",IF(AND(Config!$Z$53&lt;&gt;"Não",Config!$AA$53&lt;&gt;"Não"),IF(AND(ISNUMBER(T126),ISNUMBER(T125)),IF(T125&gt;0,T126/T125,""),""),"—"))</f>
        <v/>
      </c>
      <c r="U127" s="50" t="str">
        <f>IF(U$102="","",IF(AND(Config!$Z$54&lt;&gt;"Não",Config!$AA$54&lt;&gt;"Não"),IF(AND(ISNUMBER(U126),ISNUMBER(U125)),IF(U125&gt;0,U126/U125,""),""),"—"))</f>
        <v/>
      </c>
      <c r="V127" s="64">
        <f>IFERROR(V126/V125,"")</f>
        <v>0</v>
      </c>
    </row>
    <row r="128">
      <c r="A128" s="29" t="inlineStr">
        <is>
          <t xml:space="preserve">GENTE · Efetivo Op.</t>
        </is>
      </c>
      <c r="B128" s="32" t="str">
        <f>IF(B$102="","",IF(Config!$AB$35&lt;&gt;"Não",IF(COUNTIFS(BD!$B$3:$B$5001,B$102,BD!$A$3:$A$5001,"&gt;="&amp;$C$7,BD!$A$3:$A$5001,"&lt;="&amp;$D$7,BD!$AA$3:$AA$5001,"&lt;&gt;")=0,"",SUMIFS(BD!$AA$3:$AA$5001,BD!$B$3:$B$5001,B$102,BD!$A$3:$A$5001,_xlfn.MAXIFS(BD!$A$3:$A$5001,BD!$B$3:$B$5001,B$102,BD!$A$3:$A$5001,"&gt;="&amp;$C$7,BD!$A$3:$A$5001,"&lt;="&amp;$D$7,BD!$AA$3:$AA$5001,"&lt;&gt;"))),"—"))</f>
        <v/>
      </c>
      <c r="C128" s="32" t="str">
        <f>IF(C$102="","",IF(Config!$AB$36&lt;&gt;"Não",IF(COUNTIFS(BD!$B$3:$B$5001,C$102,BD!$A$3:$A$5001,"&gt;="&amp;$C$7,BD!$A$3:$A$5001,"&lt;="&amp;$D$7,BD!$AA$3:$AA$5001,"&lt;&gt;")=0,"",SUMIFS(BD!$AA$3:$AA$5001,BD!$B$3:$B$5001,C$102,BD!$A$3:$A$5001,_xlfn.MAXIFS(BD!$A$3:$A$5001,BD!$B$3:$B$5001,C$102,BD!$A$3:$A$5001,"&gt;="&amp;$C$7,BD!$A$3:$A$5001,"&lt;="&amp;$D$7,BD!$AA$3:$AA$5001,"&lt;&gt;"))),"—"))</f>
        <v/>
      </c>
      <c r="D128" s="32" t="str">
        <f>IF(D$102="","",IF(Config!$AB$37&lt;&gt;"Não",IF(COUNTIFS(BD!$B$3:$B$5001,D$102,BD!$A$3:$A$5001,"&gt;="&amp;$C$7,BD!$A$3:$A$5001,"&lt;="&amp;$D$7,BD!$AA$3:$AA$5001,"&lt;&gt;")=0,"",SUMIFS(BD!$AA$3:$AA$5001,BD!$B$3:$B$5001,D$102,BD!$A$3:$A$5001,_xlfn.MAXIFS(BD!$A$3:$A$5001,BD!$B$3:$B$5001,D$102,BD!$A$3:$A$5001,"&gt;="&amp;$C$7,BD!$A$3:$A$5001,"&lt;="&amp;$D$7,BD!$AA$3:$AA$5001,"&lt;&gt;"))),"—"))</f>
        <v/>
      </c>
      <c r="E128" s="32" t="str">
        <f>IF(E$102="","",IF(Config!$AB$38&lt;&gt;"Não",IF(COUNTIFS(BD!$B$3:$B$5001,E$102,BD!$A$3:$A$5001,"&gt;="&amp;$C$7,BD!$A$3:$A$5001,"&lt;="&amp;$D$7,BD!$AA$3:$AA$5001,"&lt;&gt;")=0,"",SUMIFS(BD!$AA$3:$AA$5001,BD!$B$3:$B$5001,E$102,BD!$A$3:$A$5001,_xlfn.MAXIFS(BD!$A$3:$A$5001,BD!$B$3:$B$5001,E$102,BD!$A$3:$A$5001,"&gt;="&amp;$C$7,BD!$A$3:$A$5001,"&lt;="&amp;$D$7,BD!$AA$3:$AA$5001,"&lt;&gt;"))),"—"))</f>
        <v/>
      </c>
      <c r="F128" s="32" t="str">
        <f>IF(F$102="","",IF(Config!$AB$39&lt;&gt;"Não",IF(COUNTIFS(BD!$B$3:$B$5001,F$102,BD!$A$3:$A$5001,"&gt;="&amp;$C$7,BD!$A$3:$A$5001,"&lt;="&amp;$D$7,BD!$AA$3:$AA$5001,"&lt;&gt;")=0,"",SUMIFS(BD!$AA$3:$AA$5001,BD!$B$3:$B$5001,F$102,BD!$A$3:$A$5001,_xlfn.MAXIFS(BD!$A$3:$A$5001,BD!$B$3:$B$5001,F$102,BD!$A$3:$A$5001,"&gt;="&amp;$C$7,BD!$A$3:$A$5001,"&lt;="&amp;$D$7,BD!$AA$3:$AA$5001,"&lt;&gt;"))),"—"))</f>
        <v/>
      </c>
      <c r="G128" s="32" t="str">
        <f>IF(G$102="","",IF(Config!$AB$40&lt;&gt;"Não",IF(COUNTIFS(BD!$B$3:$B$5001,G$102,BD!$A$3:$A$5001,"&gt;="&amp;$C$7,BD!$A$3:$A$5001,"&lt;="&amp;$D$7,BD!$AA$3:$AA$5001,"&lt;&gt;")=0,"",SUMIFS(BD!$AA$3:$AA$5001,BD!$B$3:$B$5001,G$102,BD!$A$3:$A$5001,_xlfn.MAXIFS(BD!$A$3:$A$5001,BD!$B$3:$B$5001,G$102,BD!$A$3:$A$5001,"&gt;="&amp;$C$7,BD!$A$3:$A$5001,"&lt;="&amp;$D$7,BD!$AA$3:$AA$5001,"&lt;&gt;"))),"—"))</f>
        <v/>
      </c>
      <c r="H128" s="32" t="str">
        <f>IF(H$102="","",IF(Config!$AB$41&lt;&gt;"Não",IF(COUNTIFS(BD!$B$3:$B$5001,H$102,BD!$A$3:$A$5001,"&gt;="&amp;$C$7,BD!$A$3:$A$5001,"&lt;="&amp;$D$7,BD!$AA$3:$AA$5001,"&lt;&gt;")=0,"",SUMIFS(BD!$AA$3:$AA$5001,BD!$B$3:$B$5001,H$102,BD!$A$3:$A$5001,_xlfn.MAXIFS(BD!$A$3:$A$5001,BD!$B$3:$B$5001,H$102,BD!$A$3:$A$5001,"&gt;="&amp;$C$7,BD!$A$3:$A$5001,"&lt;="&amp;$D$7,BD!$AA$3:$AA$5001,"&lt;&gt;"))),"—"))</f>
        <v/>
      </c>
      <c r="I128" s="32" t="str">
        <f>IF(I$102="","",IF(Config!$AB$42&lt;&gt;"Não",IF(COUNTIFS(BD!$B$3:$B$5001,I$102,BD!$A$3:$A$5001,"&gt;="&amp;$C$7,BD!$A$3:$A$5001,"&lt;="&amp;$D$7,BD!$AA$3:$AA$5001,"&lt;&gt;")=0,"",SUMIFS(BD!$AA$3:$AA$5001,BD!$B$3:$B$5001,I$102,BD!$A$3:$A$5001,_xlfn.MAXIFS(BD!$A$3:$A$5001,BD!$B$3:$B$5001,I$102,BD!$A$3:$A$5001,"&gt;="&amp;$C$7,BD!$A$3:$A$5001,"&lt;="&amp;$D$7,BD!$AA$3:$AA$5001,"&lt;&gt;"))),"—"))</f>
        <v/>
      </c>
      <c r="J128" s="32" t="str">
        <f>IF(J$102="","",IF(Config!$AB$43&lt;&gt;"Não",IF(COUNTIFS(BD!$B$3:$B$5001,J$102,BD!$A$3:$A$5001,"&gt;="&amp;$C$7,BD!$A$3:$A$5001,"&lt;="&amp;$D$7,BD!$AA$3:$AA$5001,"&lt;&gt;")=0,"",SUMIFS(BD!$AA$3:$AA$5001,BD!$B$3:$B$5001,J$102,BD!$A$3:$A$5001,_xlfn.MAXIFS(BD!$A$3:$A$5001,BD!$B$3:$B$5001,J$102,BD!$A$3:$A$5001,"&gt;="&amp;$C$7,BD!$A$3:$A$5001,"&lt;="&amp;$D$7,BD!$AA$3:$AA$5001,"&lt;&gt;"))),"—"))</f>
        <v/>
      </c>
      <c r="K128" s="32" t="str">
        <f>IF(K$102="","",IF(Config!$AB$44&lt;&gt;"Não",IF(COUNTIFS(BD!$B$3:$B$5001,K$102,BD!$A$3:$A$5001,"&gt;="&amp;$C$7,BD!$A$3:$A$5001,"&lt;="&amp;$D$7,BD!$AA$3:$AA$5001,"&lt;&gt;")=0,"",SUMIFS(BD!$AA$3:$AA$5001,BD!$B$3:$B$5001,K$102,BD!$A$3:$A$5001,_xlfn.MAXIFS(BD!$A$3:$A$5001,BD!$B$3:$B$5001,K$102,BD!$A$3:$A$5001,"&gt;="&amp;$C$7,BD!$A$3:$A$5001,"&lt;="&amp;$D$7,BD!$AA$3:$AA$5001,"&lt;&gt;"))),"—"))</f>
        <v/>
      </c>
      <c r="L128" s="32" t="str">
        <f>IF(L$102="","",IF(Config!$AB$45&lt;&gt;"Não",IF(COUNTIFS(BD!$B$3:$B$5001,L$102,BD!$A$3:$A$5001,"&gt;="&amp;$C$7,BD!$A$3:$A$5001,"&lt;="&amp;$D$7,BD!$AA$3:$AA$5001,"&lt;&gt;")=0,"",SUMIFS(BD!$AA$3:$AA$5001,BD!$B$3:$B$5001,L$102,BD!$A$3:$A$5001,_xlfn.MAXIFS(BD!$A$3:$A$5001,BD!$B$3:$B$5001,L$102,BD!$A$3:$A$5001,"&gt;="&amp;$C$7,BD!$A$3:$A$5001,"&lt;="&amp;$D$7,BD!$AA$3:$AA$5001,"&lt;&gt;"))),"—"))</f>
        <v/>
      </c>
      <c r="M128" s="32" t="str">
        <f>IF(M$102="","",IF(Config!$AB$46&lt;&gt;"Não",IF(COUNTIFS(BD!$B$3:$B$5001,M$102,BD!$A$3:$A$5001,"&gt;="&amp;$C$7,BD!$A$3:$A$5001,"&lt;="&amp;$D$7,BD!$AA$3:$AA$5001,"&lt;&gt;")=0,"",SUMIFS(BD!$AA$3:$AA$5001,BD!$B$3:$B$5001,M$102,BD!$A$3:$A$5001,_xlfn.MAXIFS(BD!$A$3:$A$5001,BD!$B$3:$B$5001,M$102,BD!$A$3:$A$5001,"&gt;="&amp;$C$7,BD!$A$3:$A$5001,"&lt;="&amp;$D$7,BD!$AA$3:$AA$5001,"&lt;&gt;"))),"—"))</f>
        <v/>
      </c>
      <c r="N128" s="32" t="str">
        <f>IF(N$102="","",IF(Config!$AB$47&lt;&gt;"Não",IF(COUNTIFS(BD!$B$3:$B$5001,N$102,BD!$A$3:$A$5001,"&gt;="&amp;$C$7,BD!$A$3:$A$5001,"&lt;="&amp;$D$7,BD!$AA$3:$AA$5001,"&lt;&gt;")=0,"",SUMIFS(BD!$AA$3:$AA$5001,BD!$B$3:$B$5001,N$102,BD!$A$3:$A$5001,_xlfn.MAXIFS(BD!$A$3:$A$5001,BD!$B$3:$B$5001,N$102,BD!$A$3:$A$5001,"&gt;="&amp;$C$7,BD!$A$3:$A$5001,"&lt;="&amp;$D$7,BD!$AA$3:$AA$5001,"&lt;&gt;"))),"—"))</f>
        <v/>
      </c>
      <c r="O128" s="32" t="str">
        <f>IF(O$102="","",IF(Config!$AB$48&lt;&gt;"Não",IF(COUNTIFS(BD!$B$3:$B$5001,O$102,BD!$A$3:$A$5001,"&gt;="&amp;$C$7,BD!$A$3:$A$5001,"&lt;="&amp;$D$7,BD!$AA$3:$AA$5001,"&lt;&gt;")=0,"",SUMIFS(BD!$AA$3:$AA$5001,BD!$B$3:$B$5001,O$102,BD!$A$3:$A$5001,_xlfn.MAXIFS(BD!$A$3:$A$5001,BD!$B$3:$B$5001,O$102,BD!$A$3:$A$5001,"&gt;="&amp;$C$7,BD!$A$3:$A$5001,"&lt;="&amp;$D$7,BD!$AA$3:$AA$5001,"&lt;&gt;"))),"—"))</f>
        <v/>
      </c>
      <c r="P128" s="32" t="str">
        <f>IF(P$102="","",IF(Config!$AB$49&lt;&gt;"Não",IF(COUNTIFS(BD!$B$3:$B$5001,P$102,BD!$A$3:$A$5001,"&gt;="&amp;$C$7,BD!$A$3:$A$5001,"&lt;="&amp;$D$7,BD!$AA$3:$AA$5001,"&lt;&gt;")=0,"",SUMIFS(BD!$AA$3:$AA$5001,BD!$B$3:$B$5001,P$102,BD!$A$3:$A$5001,_xlfn.MAXIFS(BD!$A$3:$A$5001,BD!$B$3:$B$5001,P$102,BD!$A$3:$A$5001,"&gt;="&amp;$C$7,BD!$A$3:$A$5001,"&lt;="&amp;$D$7,BD!$AA$3:$AA$5001,"&lt;&gt;"))),"—"))</f>
        <v/>
      </c>
      <c r="Q128" s="32" t="str">
        <f>IF(Q$102="","",IF(Config!$AB$50&lt;&gt;"Não",IF(COUNTIFS(BD!$B$3:$B$5001,Q$102,BD!$A$3:$A$5001,"&gt;="&amp;$C$7,BD!$A$3:$A$5001,"&lt;="&amp;$D$7,BD!$AA$3:$AA$5001,"&lt;&gt;")=0,"",SUMIFS(BD!$AA$3:$AA$5001,BD!$B$3:$B$5001,Q$102,BD!$A$3:$A$5001,_xlfn.MAXIFS(BD!$A$3:$A$5001,BD!$B$3:$B$5001,Q$102,BD!$A$3:$A$5001,"&gt;="&amp;$C$7,BD!$A$3:$A$5001,"&lt;="&amp;$D$7,BD!$AA$3:$AA$5001,"&lt;&gt;"))),"—"))</f>
        <v/>
      </c>
      <c r="R128" s="32" t="str">
        <f>IF(R$102="","",IF(Config!$AB$51&lt;&gt;"Não",IF(COUNTIFS(BD!$B$3:$B$5001,R$102,BD!$A$3:$A$5001,"&gt;="&amp;$C$7,BD!$A$3:$A$5001,"&lt;="&amp;$D$7,BD!$AA$3:$AA$5001,"&lt;&gt;")=0,"",SUMIFS(BD!$AA$3:$AA$5001,BD!$B$3:$B$5001,R$102,BD!$A$3:$A$5001,_xlfn.MAXIFS(BD!$A$3:$A$5001,BD!$B$3:$B$5001,R$102,BD!$A$3:$A$5001,"&gt;="&amp;$C$7,BD!$A$3:$A$5001,"&lt;="&amp;$D$7,BD!$AA$3:$AA$5001,"&lt;&gt;"))),"—"))</f>
        <v/>
      </c>
      <c r="S128" s="32" t="str">
        <f>IF(S$102="","",IF(Config!$AB$52&lt;&gt;"Não",IF(COUNTIFS(BD!$B$3:$B$5001,S$102,BD!$A$3:$A$5001,"&gt;="&amp;$C$7,BD!$A$3:$A$5001,"&lt;="&amp;$D$7,BD!$AA$3:$AA$5001,"&lt;&gt;")=0,"",SUMIFS(BD!$AA$3:$AA$5001,BD!$B$3:$B$5001,S$102,BD!$A$3:$A$5001,_xlfn.MAXIFS(BD!$A$3:$A$5001,BD!$B$3:$B$5001,S$102,BD!$A$3:$A$5001,"&gt;="&amp;$C$7,BD!$A$3:$A$5001,"&lt;="&amp;$D$7,BD!$AA$3:$AA$5001,"&lt;&gt;"))),"—"))</f>
        <v/>
      </c>
      <c r="T128" s="32" t="str">
        <f>IF(T$102="","",IF(Config!$AB$53&lt;&gt;"Não",IF(COUNTIFS(BD!$B$3:$B$5001,T$102,BD!$A$3:$A$5001,"&gt;="&amp;$C$7,BD!$A$3:$A$5001,"&lt;="&amp;$D$7,BD!$AA$3:$AA$5001,"&lt;&gt;")=0,"",SUMIFS(BD!$AA$3:$AA$5001,BD!$B$3:$B$5001,T$102,BD!$A$3:$A$5001,_xlfn.MAXIFS(BD!$A$3:$A$5001,BD!$B$3:$B$5001,T$102,BD!$A$3:$A$5001,"&gt;="&amp;$C$7,BD!$A$3:$A$5001,"&lt;="&amp;$D$7,BD!$AA$3:$AA$5001,"&lt;&gt;"))),"—"))</f>
        <v/>
      </c>
      <c r="U128" s="32" t="str">
        <f>IF(U$102="","",IF(Config!$AB$54&lt;&gt;"Não",IF(COUNTIFS(BD!$B$3:$B$5001,U$102,BD!$A$3:$A$5001,"&gt;="&amp;$C$7,BD!$A$3:$A$5001,"&lt;="&amp;$D$7,BD!$AA$3:$AA$5001,"&lt;&gt;")=0,"",SUMIFS(BD!$AA$3:$AA$5001,BD!$B$3:$B$5001,U$102,BD!$A$3:$A$5001,_xlfn.MAXIFS(BD!$A$3:$A$5001,BD!$B$3:$B$5001,U$102,BD!$A$3:$A$5001,"&gt;="&amp;$C$7,BD!$A$3:$A$5001,"&lt;="&amp;$D$7,BD!$AA$3:$AA$5001,"&lt;&gt;"))),"—"))</f>
        <v/>
      </c>
      <c r="V128" s="62">
        <f>SUM(B128:U128)</f>
        <v>0</v>
      </c>
    </row>
    <row r="129">
      <c r="A129" s="29" t="inlineStr">
        <is>
          <t xml:space="preserve">GENTE · Falta</t>
        </is>
      </c>
      <c r="B129" s="32">
        <f>IF(B$102="","",IF(Config!$AC$35&lt;&gt;"Não",SUMIFS(BD!$AB$3:$AB$5001,BD!$B$3:$B$5001,B$102,BD!$A$3:$A$5001,"&gt;="&amp;$C$7,BD!$A$3:$A$5001,"&lt;="&amp;$D$7),"—"))</f>
        <v>0</v>
      </c>
      <c r="C129" s="32">
        <f>IF(C$102="","",IF(Config!$AC$36&lt;&gt;"Não",SUMIFS(BD!$AB$3:$AB$5001,BD!$B$3:$B$5001,C$102,BD!$A$3:$A$5001,"&gt;="&amp;$C$7,BD!$A$3:$A$5001,"&lt;="&amp;$D$7),"—"))</f>
        <v>0</v>
      </c>
      <c r="D129" s="32">
        <f>IF(D$102="","",IF(Config!$AC$37&lt;&gt;"Não",SUMIFS(BD!$AB$3:$AB$5001,BD!$B$3:$B$5001,D$102,BD!$A$3:$A$5001,"&gt;="&amp;$C$7,BD!$A$3:$A$5001,"&lt;="&amp;$D$7),"—"))</f>
        <v>0</v>
      </c>
      <c r="E129" s="32">
        <f>IF(E$102="","",IF(Config!$AC$38&lt;&gt;"Não",SUMIFS(BD!$AB$3:$AB$5001,BD!$B$3:$B$5001,E$102,BD!$A$3:$A$5001,"&gt;="&amp;$C$7,BD!$A$3:$A$5001,"&lt;="&amp;$D$7),"—"))</f>
        <v>0</v>
      </c>
      <c r="F129" s="32">
        <f>IF(F$102="","",IF(Config!$AC$39&lt;&gt;"Não",SUMIFS(BD!$AB$3:$AB$5001,BD!$B$3:$B$5001,F$102,BD!$A$3:$A$5001,"&gt;="&amp;$C$7,BD!$A$3:$A$5001,"&lt;="&amp;$D$7),"—"))</f>
        <v>0</v>
      </c>
      <c r="G129" s="32">
        <f>IF(G$102="","",IF(Config!$AC$40&lt;&gt;"Não",SUMIFS(BD!$AB$3:$AB$5001,BD!$B$3:$B$5001,G$102,BD!$A$3:$A$5001,"&gt;="&amp;$C$7,BD!$A$3:$A$5001,"&lt;="&amp;$D$7),"—"))</f>
        <v>0</v>
      </c>
      <c r="H129" s="32">
        <f>IF(H$102="","",IF(Config!$AC$41&lt;&gt;"Não",SUMIFS(BD!$AB$3:$AB$5001,BD!$B$3:$B$5001,H$102,BD!$A$3:$A$5001,"&gt;="&amp;$C$7,BD!$A$3:$A$5001,"&lt;="&amp;$D$7),"—"))</f>
        <v>0</v>
      </c>
      <c r="I129" s="32">
        <f>IF(I$102="","",IF(Config!$AC$42&lt;&gt;"Não",SUMIFS(BD!$AB$3:$AB$5001,BD!$B$3:$B$5001,I$102,BD!$A$3:$A$5001,"&gt;="&amp;$C$7,BD!$A$3:$A$5001,"&lt;="&amp;$D$7),"—"))</f>
        <v>0</v>
      </c>
      <c r="J129" s="32">
        <f>IF(J$102="","",IF(Config!$AC$43&lt;&gt;"Não",SUMIFS(BD!$AB$3:$AB$5001,BD!$B$3:$B$5001,J$102,BD!$A$3:$A$5001,"&gt;="&amp;$C$7,BD!$A$3:$A$5001,"&lt;="&amp;$D$7),"—"))</f>
        <v>0</v>
      </c>
      <c r="K129" s="32">
        <f>IF(K$102="","",IF(Config!$AC$44&lt;&gt;"Não",SUMIFS(BD!$AB$3:$AB$5001,BD!$B$3:$B$5001,K$102,BD!$A$3:$A$5001,"&gt;="&amp;$C$7,BD!$A$3:$A$5001,"&lt;="&amp;$D$7),"—"))</f>
        <v>0</v>
      </c>
      <c r="L129" s="32" t="str">
        <f>IF(L$102="","",IF(Config!$AC$45&lt;&gt;"Não",SUMIFS(BD!$AB$3:$AB$5001,BD!$B$3:$B$5001,L$102,BD!$A$3:$A$5001,"&gt;="&amp;$C$7,BD!$A$3:$A$5001,"&lt;="&amp;$D$7),"—"))</f>
        <v/>
      </c>
      <c r="M129" s="32" t="str">
        <f>IF(M$102="","",IF(Config!$AC$46&lt;&gt;"Não",SUMIFS(BD!$AB$3:$AB$5001,BD!$B$3:$B$5001,M$102,BD!$A$3:$A$5001,"&gt;="&amp;$C$7,BD!$A$3:$A$5001,"&lt;="&amp;$D$7),"—"))</f>
        <v/>
      </c>
      <c r="N129" s="32" t="str">
        <f>IF(N$102="","",IF(Config!$AC$47&lt;&gt;"Não",SUMIFS(BD!$AB$3:$AB$5001,BD!$B$3:$B$5001,N$102,BD!$A$3:$A$5001,"&gt;="&amp;$C$7,BD!$A$3:$A$5001,"&lt;="&amp;$D$7),"—"))</f>
        <v/>
      </c>
      <c r="O129" s="32" t="str">
        <f>IF(O$102="","",IF(Config!$AC$48&lt;&gt;"Não",SUMIFS(BD!$AB$3:$AB$5001,BD!$B$3:$B$5001,O$102,BD!$A$3:$A$5001,"&gt;="&amp;$C$7,BD!$A$3:$A$5001,"&lt;="&amp;$D$7),"—"))</f>
        <v/>
      </c>
      <c r="P129" s="32" t="str">
        <f>IF(P$102="","",IF(Config!$AC$49&lt;&gt;"Não",SUMIFS(BD!$AB$3:$AB$5001,BD!$B$3:$B$5001,P$102,BD!$A$3:$A$5001,"&gt;="&amp;$C$7,BD!$A$3:$A$5001,"&lt;="&amp;$D$7),"—"))</f>
        <v/>
      </c>
      <c r="Q129" s="32" t="str">
        <f>IF(Q$102="","",IF(Config!$AC$50&lt;&gt;"Não",SUMIFS(BD!$AB$3:$AB$5001,BD!$B$3:$B$5001,Q$102,BD!$A$3:$A$5001,"&gt;="&amp;$C$7,BD!$A$3:$A$5001,"&lt;="&amp;$D$7),"—"))</f>
        <v/>
      </c>
      <c r="R129" s="32" t="str">
        <f>IF(R$102="","",IF(Config!$AC$51&lt;&gt;"Não",SUMIFS(BD!$AB$3:$AB$5001,BD!$B$3:$B$5001,R$102,BD!$A$3:$A$5001,"&gt;="&amp;$C$7,BD!$A$3:$A$5001,"&lt;="&amp;$D$7),"—"))</f>
        <v/>
      </c>
      <c r="S129" s="32" t="str">
        <f>IF(S$102="","",IF(Config!$AC$52&lt;&gt;"Não",SUMIFS(BD!$AB$3:$AB$5001,BD!$B$3:$B$5001,S$102,BD!$A$3:$A$5001,"&gt;="&amp;$C$7,BD!$A$3:$A$5001,"&lt;="&amp;$D$7),"—"))</f>
        <v/>
      </c>
      <c r="T129" s="32" t="str">
        <f>IF(T$102="","",IF(Config!$AC$53&lt;&gt;"Não",SUMIFS(BD!$AB$3:$AB$5001,BD!$B$3:$B$5001,T$102,BD!$A$3:$A$5001,"&gt;="&amp;$C$7,BD!$A$3:$A$5001,"&lt;="&amp;$D$7),"—"))</f>
        <v/>
      </c>
      <c r="U129" s="32" t="str">
        <f>IF(U$102="","",IF(Config!$AC$54&lt;&gt;"Não",SUMIFS(BD!$AB$3:$AB$5001,BD!$B$3:$B$5001,U$102,BD!$A$3:$A$5001,"&gt;="&amp;$C$7,BD!$A$3:$A$5001,"&lt;="&amp;$D$7),"—"))</f>
        <v/>
      </c>
      <c r="V129" s="62">
        <f>SUM(B129:U129)</f>
        <v>0</v>
      </c>
    </row>
    <row r="130">
      <c r="A130" s="29" t="inlineStr">
        <is>
          <t xml:space="preserve">GENTE · Folga</t>
        </is>
      </c>
      <c r="B130" s="32">
        <f>IF(B$102="","",IF(Config!$AD$35&lt;&gt;"Não",SUMIFS(BD!$AC$3:$AC$5001,BD!$B$3:$B$5001,B$102,BD!$A$3:$A$5001,"&gt;="&amp;$C$7,BD!$A$3:$A$5001,"&lt;="&amp;$D$7),"—"))</f>
        <v>0</v>
      </c>
      <c r="C130" s="32">
        <f>IF(C$102="","",IF(Config!$AD$36&lt;&gt;"Não",SUMIFS(BD!$AC$3:$AC$5001,BD!$B$3:$B$5001,C$102,BD!$A$3:$A$5001,"&gt;="&amp;$C$7,BD!$A$3:$A$5001,"&lt;="&amp;$D$7),"—"))</f>
        <v>0</v>
      </c>
      <c r="D130" s="32">
        <f>IF(D$102="","",IF(Config!$AD$37&lt;&gt;"Não",SUMIFS(BD!$AC$3:$AC$5001,BD!$B$3:$B$5001,D$102,BD!$A$3:$A$5001,"&gt;="&amp;$C$7,BD!$A$3:$A$5001,"&lt;="&amp;$D$7),"—"))</f>
        <v>0</v>
      </c>
      <c r="E130" s="32">
        <f>IF(E$102="","",IF(Config!$AD$38&lt;&gt;"Não",SUMIFS(BD!$AC$3:$AC$5001,BD!$B$3:$B$5001,E$102,BD!$A$3:$A$5001,"&gt;="&amp;$C$7,BD!$A$3:$A$5001,"&lt;="&amp;$D$7),"—"))</f>
        <v>0</v>
      </c>
      <c r="F130" s="32">
        <f>IF(F$102="","",IF(Config!$AD$39&lt;&gt;"Não",SUMIFS(BD!$AC$3:$AC$5001,BD!$B$3:$B$5001,F$102,BD!$A$3:$A$5001,"&gt;="&amp;$C$7,BD!$A$3:$A$5001,"&lt;="&amp;$D$7),"—"))</f>
        <v>0</v>
      </c>
      <c r="G130" s="32">
        <f>IF(G$102="","",IF(Config!$AD$40&lt;&gt;"Não",SUMIFS(BD!$AC$3:$AC$5001,BD!$B$3:$B$5001,G$102,BD!$A$3:$A$5001,"&gt;="&amp;$C$7,BD!$A$3:$A$5001,"&lt;="&amp;$D$7),"—"))</f>
        <v>0</v>
      </c>
      <c r="H130" s="32">
        <f>IF(H$102="","",IF(Config!$AD$41&lt;&gt;"Não",SUMIFS(BD!$AC$3:$AC$5001,BD!$B$3:$B$5001,H$102,BD!$A$3:$A$5001,"&gt;="&amp;$C$7,BD!$A$3:$A$5001,"&lt;="&amp;$D$7),"—"))</f>
        <v>0</v>
      </c>
      <c r="I130" s="32">
        <f>IF(I$102="","",IF(Config!$AD$42&lt;&gt;"Não",SUMIFS(BD!$AC$3:$AC$5001,BD!$B$3:$B$5001,I$102,BD!$A$3:$A$5001,"&gt;="&amp;$C$7,BD!$A$3:$A$5001,"&lt;="&amp;$D$7),"—"))</f>
        <v>0</v>
      </c>
      <c r="J130" s="32">
        <f>IF(J$102="","",IF(Config!$AD$43&lt;&gt;"Não",SUMIFS(BD!$AC$3:$AC$5001,BD!$B$3:$B$5001,J$102,BD!$A$3:$A$5001,"&gt;="&amp;$C$7,BD!$A$3:$A$5001,"&lt;="&amp;$D$7),"—"))</f>
        <v>0</v>
      </c>
      <c r="K130" s="32">
        <f>IF(K$102="","",IF(Config!$AD$44&lt;&gt;"Não",SUMIFS(BD!$AC$3:$AC$5001,BD!$B$3:$B$5001,K$102,BD!$A$3:$A$5001,"&gt;="&amp;$C$7,BD!$A$3:$A$5001,"&lt;="&amp;$D$7),"—"))</f>
        <v>0</v>
      </c>
      <c r="L130" s="32" t="str">
        <f>IF(L$102="","",IF(Config!$AD$45&lt;&gt;"Não",SUMIFS(BD!$AC$3:$AC$5001,BD!$B$3:$B$5001,L$102,BD!$A$3:$A$5001,"&gt;="&amp;$C$7,BD!$A$3:$A$5001,"&lt;="&amp;$D$7),"—"))</f>
        <v/>
      </c>
      <c r="M130" s="32" t="str">
        <f>IF(M$102="","",IF(Config!$AD$46&lt;&gt;"Não",SUMIFS(BD!$AC$3:$AC$5001,BD!$B$3:$B$5001,M$102,BD!$A$3:$A$5001,"&gt;="&amp;$C$7,BD!$A$3:$A$5001,"&lt;="&amp;$D$7),"—"))</f>
        <v/>
      </c>
      <c r="N130" s="32" t="str">
        <f>IF(N$102="","",IF(Config!$AD$47&lt;&gt;"Não",SUMIFS(BD!$AC$3:$AC$5001,BD!$B$3:$B$5001,N$102,BD!$A$3:$A$5001,"&gt;="&amp;$C$7,BD!$A$3:$A$5001,"&lt;="&amp;$D$7),"—"))</f>
        <v/>
      </c>
      <c r="O130" s="32" t="str">
        <f>IF(O$102="","",IF(Config!$AD$48&lt;&gt;"Não",SUMIFS(BD!$AC$3:$AC$5001,BD!$B$3:$B$5001,O$102,BD!$A$3:$A$5001,"&gt;="&amp;$C$7,BD!$A$3:$A$5001,"&lt;="&amp;$D$7),"—"))</f>
        <v/>
      </c>
      <c r="P130" s="32" t="str">
        <f>IF(P$102="","",IF(Config!$AD$49&lt;&gt;"Não",SUMIFS(BD!$AC$3:$AC$5001,BD!$B$3:$B$5001,P$102,BD!$A$3:$A$5001,"&gt;="&amp;$C$7,BD!$A$3:$A$5001,"&lt;="&amp;$D$7),"—"))</f>
        <v/>
      </c>
      <c r="Q130" s="32" t="str">
        <f>IF(Q$102="","",IF(Config!$AD$50&lt;&gt;"Não",SUMIFS(BD!$AC$3:$AC$5001,BD!$B$3:$B$5001,Q$102,BD!$A$3:$A$5001,"&gt;="&amp;$C$7,BD!$A$3:$A$5001,"&lt;="&amp;$D$7),"—"))</f>
        <v/>
      </c>
      <c r="R130" s="32" t="str">
        <f>IF(R$102="","",IF(Config!$AD$51&lt;&gt;"Não",SUMIFS(BD!$AC$3:$AC$5001,BD!$B$3:$B$5001,R$102,BD!$A$3:$A$5001,"&gt;="&amp;$C$7,BD!$A$3:$A$5001,"&lt;="&amp;$D$7),"—"))</f>
        <v/>
      </c>
      <c r="S130" s="32" t="str">
        <f>IF(S$102="","",IF(Config!$AD$52&lt;&gt;"Não",SUMIFS(BD!$AC$3:$AC$5001,BD!$B$3:$B$5001,S$102,BD!$A$3:$A$5001,"&gt;="&amp;$C$7,BD!$A$3:$A$5001,"&lt;="&amp;$D$7),"—"))</f>
        <v/>
      </c>
      <c r="T130" s="32" t="str">
        <f>IF(T$102="","",IF(Config!$AD$53&lt;&gt;"Não",SUMIFS(BD!$AC$3:$AC$5001,BD!$B$3:$B$5001,T$102,BD!$A$3:$A$5001,"&gt;="&amp;$C$7,BD!$A$3:$A$5001,"&lt;="&amp;$D$7),"—"))</f>
        <v/>
      </c>
      <c r="U130" s="32" t="str">
        <f>IF(U$102="","",IF(Config!$AD$54&lt;&gt;"Não",SUMIFS(BD!$AC$3:$AC$5001,BD!$B$3:$B$5001,U$102,BD!$A$3:$A$5001,"&gt;="&amp;$C$7,BD!$A$3:$A$5001,"&lt;="&amp;$D$7),"—"))</f>
        <v/>
      </c>
      <c r="V130" s="62">
        <f>SUM(B130:U130)</f>
        <v>0</v>
      </c>
    </row>
    <row r="131">
      <c r="A131" s="29" t="inlineStr">
        <is>
          <t xml:space="preserve">GENTE · Férias</t>
        </is>
      </c>
      <c r="B131" s="32">
        <f>IF(B$102="","",IF(Config!$AE$35&lt;&gt;"Não",SUMIFS(BD!$AD$3:$AD$5001,BD!$B$3:$B$5001,B$102,BD!$A$3:$A$5001,"&gt;="&amp;$C$7,BD!$A$3:$A$5001,"&lt;="&amp;$D$7),"—"))</f>
        <v>0</v>
      </c>
      <c r="C131" s="32">
        <f>IF(C$102="","",IF(Config!$AE$36&lt;&gt;"Não",SUMIFS(BD!$AD$3:$AD$5001,BD!$B$3:$B$5001,C$102,BD!$A$3:$A$5001,"&gt;="&amp;$C$7,BD!$A$3:$A$5001,"&lt;="&amp;$D$7),"—"))</f>
        <v>0</v>
      </c>
      <c r="D131" s="32">
        <f>IF(D$102="","",IF(Config!$AE$37&lt;&gt;"Não",SUMIFS(BD!$AD$3:$AD$5001,BD!$B$3:$B$5001,D$102,BD!$A$3:$A$5001,"&gt;="&amp;$C$7,BD!$A$3:$A$5001,"&lt;="&amp;$D$7),"—"))</f>
        <v>0</v>
      </c>
      <c r="E131" s="32">
        <f>IF(E$102="","",IF(Config!$AE$38&lt;&gt;"Não",SUMIFS(BD!$AD$3:$AD$5001,BD!$B$3:$B$5001,E$102,BD!$A$3:$A$5001,"&gt;="&amp;$C$7,BD!$A$3:$A$5001,"&lt;="&amp;$D$7),"—"))</f>
        <v>0</v>
      </c>
      <c r="F131" s="32">
        <f>IF(F$102="","",IF(Config!$AE$39&lt;&gt;"Não",SUMIFS(BD!$AD$3:$AD$5001,BD!$B$3:$B$5001,F$102,BD!$A$3:$A$5001,"&gt;="&amp;$C$7,BD!$A$3:$A$5001,"&lt;="&amp;$D$7),"—"))</f>
        <v>0</v>
      </c>
      <c r="G131" s="32">
        <f>IF(G$102="","",IF(Config!$AE$40&lt;&gt;"Não",SUMIFS(BD!$AD$3:$AD$5001,BD!$B$3:$B$5001,G$102,BD!$A$3:$A$5001,"&gt;="&amp;$C$7,BD!$A$3:$A$5001,"&lt;="&amp;$D$7),"—"))</f>
        <v>0</v>
      </c>
      <c r="H131" s="32">
        <f>IF(H$102="","",IF(Config!$AE$41&lt;&gt;"Não",SUMIFS(BD!$AD$3:$AD$5001,BD!$B$3:$B$5001,H$102,BD!$A$3:$A$5001,"&gt;="&amp;$C$7,BD!$A$3:$A$5001,"&lt;="&amp;$D$7),"—"))</f>
        <v>0</v>
      </c>
      <c r="I131" s="32">
        <f>IF(I$102="","",IF(Config!$AE$42&lt;&gt;"Não",SUMIFS(BD!$AD$3:$AD$5001,BD!$B$3:$B$5001,I$102,BD!$A$3:$A$5001,"&gt;="&amp;$C$7,BD!$A$3:$A$5001,"&lt;="&amp;$D$7),"—"))</f>
        <v>0</v>
      </c>
      <c r="J131" s="32">
        <f>IF(J$102="","",IF(Config!$AE$43&lt;&gt;"Não",SUMIFS(BD!$AD$3:$AD$5001,BD!$B$3:$B$5001,J$102,BD!$A$3:$A$5001,"&gt;="&amp;$C$7,BD!$A$3:$A$5001,"&lt;="&amp;$D$7),"—"))</f>
        <v>0</v>
      </c>
      <c r="K131" s="32">
        <f>IF(K$102="","",IF(Config!$AE$44&lt;&gt;"Não",SUMIFS(BD!$AD$3:$AD$5001,BD!$B$3:$B$5001,K$102,BD!$A$3:$A$5001,"&gt;="&amp;$C$7,BD!$A$3:$A$5001,"&lt;="&amp;$D$7),"—"))</f>
        <v>0</v>
      </c>
      <c r="L131" s="32" t="str">
        <f>IF(L$102="","",IF(Config!$AE$45&lt;&gt;"Não",SUMIFS(BD!$AD$3:$AD$5001,BD!$B$3:$B$5001,L$102,BD!$A$3:$A$5001,"&gt;="&amp;$C$7,BD!$A$3:$A$5001,"&lt;="&amp;$D$7),"—"))</f>
        <v/>
      </c>
      <c r="M131" s="32" t="str">
        <f>IF(M$102="","",IF(Config!$AE$46&lt;&gt;"Não",SUMIFS(BD!$AD$3:$AD$5001,BD!$B$3:$B$5001,M$102,BD!$A$3:$A$5001,"&gt;="&amp;$C$7,BD!$A$3:$A$5001,"&lt;="&amp;$D$7),"—"))</f>
        <v/>
      </c>
      <c r="N131" s="32" t="str">
        <f>IF(N$102="","",IF(Config!$AE$47&lt;&gt;"Não",SUMIFS(BD!$AD$3:$AD$5001,BD!$B$3:$B$5001,N$102,BD!$A$3:$A$5001,"&gt;="&amp;$C$7,BD!$A$3:$A$5001,"&lt;="&amp;$D$7),"—"))</f>
        <v/>
      </c>
      <c r="O131" s="32" t="str">
        <f>IF(O$102="","",IF(Config!$AE$48&lt;&gt;"Não",SUMIFS(BD!$AD$3:$AD$5001,BD!$B$3:$B$5001,O$102,BD!$A$3:$A$5001,"&gt;="&amp;$C$7,BD!$A$3:$A$5001,"&lt;="&amp;$D$7),"—"))</f>
        <v/>
      </c>
      <c r="P131" s="32" t="str">
        <f>IF(P$102="","",IF(Config!$AE$49&lt;&gt;"Não",SUMIFS(BD!$AD$3:$AD$5001,BD!$B$3:$B$5001,P$102,BD!$A$3:$A$5001,"&gt;="&amp;$C$7,BD!$A$3:$A$5001,"&lt;="&amp;$D$7),"—"))</f>
        <v/>
      </c>
      <c r="Q131" s="32" t="str">
        <f>IF(Q$102="","",IF(Config!$AE$50&lt;&gt;"Não",SUMIFS(BD!$AD$3:$AD$5001,BD!$B$3:$B$5001,Q$102,BD!$A$3:$A$5001,"&gt;="&amp;$C$7,BD!$A$3:$A$5001,"&lt;="&amp;$D$7),"—"))</f>
        <v/>
      </c>
      <c r="R131" s="32" t="str">
        <f>IF(R$102="","",IF(Config!$AE$51&lt;&gt;"Não",SUMIFS(BD!$AD$3:$AD$5001,BD!$B$3:$B$5001,R$102,BD!$A$3:$A$5001,"&gt;="&amp;$C$7,BD!$A$3:$A$5001,"&lt;="&amp;$D$7),"—"))</f>
        <v/>
      </c>
      <c r="S131" s="32" t="str">
        <f>IF(S$102="","",IF(Config!$AE$52&lt;&gt;"Não",SUMIFS(BD!$AD$3:$AD$5001,BD!$B$3:$B$5001,S$102,BD!$A$3:$A$5001,"&gt;="&amp;$C$7,BD!$A$3:$A$5001,"&lt;="&amp;$D$7),"—"))</f>
        <v/>
      </c>
      <c r="T131" s="32" t="str">
        <f>IF(T$102="","",IF(Config!$AE$53&lt;&gt;"Não",SUMIFS(BD!$AD$3:$AD$5001,BD!$B$3:$B$5001,T$102,BD!$A$3:$A$5001,"&gt;="&amp;$C$7,BD!$A$3:$A$5001,"&lt;="&amp;$D$7),"—"))</f>
        <v/>
      </c>
      <c r="U131" s="32" t="str">
        <f>IF(U$102="","",IF(Config!$AE$54&lt;&gt;"Não",SUMIFS(BD!$AD$3:$AD$5001,BD!$B$3:$B$5001,U$102,BD!$A$3:$A$5001,"&gt;="&amp;$C$7,BD!$A$3:$A$5001,"&lt;="&amp;$D$7),"—"))</f>
        <v/>
      </c>
      <c r="V131" s="62">
        <f>SUM(B131:U131)</f>
        <v>0</v>
      </c>
    </row>
    <row r="132">
      <c r="A132" s="29" t="inlineStr">
        <is>
          <t xml:space="preserve">GENTE · Desligamento</t>
        </is>
      </c>
      <c r="B132" s="32">
        <f>IF(B$102="","",IF(Config!$AF$35&lt;&gt;"Não",SUMIFS(BD!$AE$3:$AE$5001,BD!$B$3:$B$5001,B$102,BD!$A$3:$A$5001,"&gt;="&amp;$C$7,BD!$A$3:$A$5001,"&lt;="&amp;$D$7),"—"))</f>
        <v>0</v>
      </c>
      <c r="C132" s="32">
        <f>IF(C$102="","",IF(Config!$AF$36&lt;&gt;"Não",SUMIFS(BD!$AE$3:$AE$5001,BD!$B$3:$B$5001,C$102,BD!$A$3:$A$5001,"&gt;="&amp;$C$7,BD!$A$3:$A$5001,"&lt;="&amp;$D$7),"—"))</f>
        <v>0</v>
      </c>
      <c r="D132" s="32">
        <f>IF(D$102="","",IF(Config!$AF$37&lt;&gt;"Não",SUMIFS(BD!$AE$3:$AE$5001,BD!$B$3:$B$5001,D$102,BD!$A$3:$A$5001,"&gt;="&amp;$C$7,BD!$A$3:$A$5001,"&lt;="&amp;$D$7),"—"))</f>
        <v>0</v>
      </c>
      <c r="E132" s="32">
        <f>IF(E$102="","",IF(Config!$AF$38&lt;&gt;"Não",SUMIFS(BD!$AE$3:$AE$5001,BD!$B$3:$B$5001,E$102,BD!$A$3:$A$5001,"&gt;="&amp;$C$7,BD!$A$3:$A$5001,"&lt;="&amp;$D$7),"—"))</f>
        <v>0</v>
      </c>
      <c r="F132" s="32">
        <f>IF(F$102="","",IF(Config!$AF$39&lt;&gt;"Não",SUMIFS(BD!$AE$3:$AE$5001,BD!$B$3:$B$5001,F$102,BD!$A$3:$A$5001,"&gt;="&amp;$C$7,BD!$A$3:$A$5001,"&lt;="&amp;$D$7),"—"))</f>
        <v>0</v>
      </c>
      <c r="G132" s="32">
        <f>IF(G$102="","",IF(Config!$AF$40&lt;&gt;"Não",SUMIFS(BD!$AE$3:$AE$5001,BD!$B$3:$B$5001,G$102,BD!$A$3:$A$5001,"&gt;="&amp;$C$7,BD!$A$3:$A$5001,"&lt;="&amp;$D$7),"—"))</f>
        <v>0</v>
      </c>
      <c r="H132" s="32">
        <f>IF(H$102="","",IF(Config!$AF$41&lt;&gt;"Não",SUMIFS(BD!$AE$3:$AE$5001,BD!$B$3:$B$5001,H$102,BD!$A$3:$A$5001,"&gt;="&amp;$C$7,BD!$A$3:$A$5001,"&lt;="&amp;$D$7),"—"))</f>
        <v>0</v>
      </c>
      <c r="I132" s="32">
        <f>IF(I$102="","",IF(Config!$AF$42&lt;&gt;"Não",SUMIFS(BD!$AE$3:$AE$5001,BD!$B$3:$B$5001,I$102,BD!$A$3:$A$5001,"&gt;="&amp;$C$7,BD!$A$3:$A$5001,"&lt;="&amp;$D$7),"—"))</f>
        <v>0</v>
      </c>
      <c r="J132" s="32">
        <f>IF(J$102="","",IF(Config!$AF$43&lt;&gt;"Não",SUMIFS(BD!$AE$3:$AE$5001,BD!$B$3:$B$5001,J$102,BD!$A$3:$A$5001,"&gt;="&amp;$C$7,BD!$A$3:$A$5001,"&lt;="&amp;$D$7),"—"))</f>
        <v>0</v>
      </c>
      <c r="K132" s="32">
        <f>IF(K$102="","",IF(Config!$AF$44&lt;&gt;"Não",SUMIFS(BD!$AE$3:$AE$5001,BD!$B$3:$B$5001,K$102,BD!$A$3:$A$5001,"&gt;="&amp;$C$7,BD!$A$3:$A$5001,"&lt;="&amp;$D$7),"—"))</f>
        <v>0</v>
      </c>
      <c r="L132" s="32" t="str">
        <f>IF(L$102="","",IF(Config!$AF$45&lt;&gt;"Não",SUMIFS(BD!$AE$3:$AE$5001,BD!$B$3:$B$5001,L$102,BD!$A$3:$A$5001,"&gt;="&amp;$C$7,BD!$A$3:$A$5001,"&lt;="&amp;$D$7),"—"))</f>
        <v/>
      </c>
      <c r="M132" s="32" t="str">
        <f>IF(M$102="","",IF(Config!$AF$46&lt;&gt;"Não",SUMIFS(BD!$AE$3:$AE$5001,BD!$B$3:$B$5001,M$102,BD!$A$3:$A$5001,"&gt;="&amp;$C$7,BD!$A$3:$A$5001,"&lt;="&amp;$D$7),"—"))</f>
        <v/>
      </c>
      <c r="N132" s="32" t="str">
        <f>IF(N$102="","",IF(Config!$AF$47&lt;&gt;"Não",SUMIFS(BD!$AE$3:$AE$5001,BD!$B$3:$B$5001,N$102,BD!$A$3:$A$5001,"&gt;="&amp;$C$7,BD!$A$3:$A$5001,"&lt;="&amp;$D$7),"—"))</f>
        <v/>
      </c>
      <c r="O132" s="32" t="str">
        <f>IF(O$102="","",IF(Config!$AF$48&lt;&gt;"Não",SUMIFS(BD!$AE$3:$AE$5001,BD!$B$3:$B$5001,O$102,BD!$A$3:$A$5001,"&gt;="&amp;$C$7,BD!$A$3:$A$5001,"&lt;="&amp;$D$7),"—"))</f>
        <v/>
      </c>
      <c r="P132" s="32" t="str">
        <f>IF(P$102="","",IF(Config!$AF$49&lt;&gt;"Não",SUMIFS(BD!$AE$3:$AE$5001,BD!$B$3:$B$5001,P$102,BD!$A$3:$A$5001,"&gt;="&amp;$C$7,BD!$A$3:$A$5001,"&lt;="&amp;$D$7),"—"))</f>
        <v/>
      </c>
      <c r="Q132" s="32" t="str">
        <f>IF(Q$102="","",IF(Config!$AF$50&lt;&gt;"Não",SUMIFS(BD!$AE$3:$AE$5001,BD!$B$3:$B$5001,Q$102,BD!$A$3:$A$5001,"&gt;="&amp;$C$7,BD!$A$3:$A$5001,"&lt;="&amp;$D$7),"—"))</f>
        <v/>
      </c>
      <c r="R132" s="32" t="str">
        <f>IF(R$102="","",IF(Config!$AF$51&lt;&gt;"Não",SUMIFS(BD!$AE$3:$AE$5001,BD!$B$3:$B$5001,R$102,BD!$A$3:$A$5001,"&gt;="&amp;$C$7,BD!$A$3:$A$5001,"&lt;="&amp;$D$7),"—"))</f>
        <v/>
      </c>
      <c r="S132" s="32" t="str">
        <f>IF(S$102="","",IF(Config!$AF$52&lt;&gt;"Não",SUMIFS(BD!$AE$3:$AE$5001,BD!$B$3:$B$5001,S$102,BD!$A$3:$A$5001,"&gt;="&amp;$C$7,BD!$A$3:$A$5001,"&lt;="&amp;$D$7),"—"))</f>
        <v/>
      </c>
      <c r="T132" s="32" t="str">
        <f>IF(T$102="","",IF(Config!$AF$53&lt;&gt;"Não",SUMIFS(BD!$AE$3:$AE$5001,BD!$B$3:$B$5001,T$102,BD!$A$3:$A$5001,"&gt;="&amp;$C$7,BD!$A$3:$A$5001,"&lt;="&amp;$D$7),"—"))</f>
        <v/>
      </c>
      <c r="U132" s="32" t="str">
        <f>IF(U$102="","",IF(Config!$AF$54&lt;&gt;"Não",SUMIFS(BD!$AE$3:$AE$5001,BD!$B$3:$B$5001,U$102,BD!$A$3:$A$5001,"&gt;="&amp;$C$7,BD!$A$3:$A$5001,"&lt;="&amp;$D$7),"—"))</f>
        <v/>
      </c>
      <c r="V132" s="62">
        <f>SUM(B132:U132)</f>
        <v>0</v>
      </c>
    </row>
    <row r="133">
      <c r="A133" s="29" t="inlineStr">
        <is>
          <t xml:space="preserve">GENTE · Desvios Comportamentais</t>
        </is>
      </c>
      <c r="B133" s="32">
        <f>IF(B$102="","",IF(Config!$AG$35&lt;&gt;"Não",SUMIFS(BD!$AF$3:$AF$5001,BD!$B$3:$B$5001,B$102,BD!$A$3:$A$5001,"&gt;="&amp;$C$7,BD!$A$3:$A$5001,"&lt;="&amp;$D$7),"—"))</f>
        <v>0</v>
      </c>
      <c r="C133" s="32">
        <f>IF(C$102="","",IF(Config!$AG$36&lt;&gt;"Não",SUMIFS(BD!$AF$3:$AF$5001,BD!$B$3:$B$5001,C$102,BD!$A$3:$A$5001,"&gt;="&amp;$C$7,BD!$A$3:$A$5001,"&lt;="&amp;$D$7),"—"))</f>
        <v>0</v>
      </c>
      <c r="D133" s="32">
        <f>IF(D$102="","",IF(Config!$AG$37&lt;&gt;"Não",SUMIFS(BD!$AF$3:$AF$5001,BD!$B$3:$B$5001,D$102,BD!$A$3:$A$5001,"&gt;="&amp;$C$7,BD!$A$3:$A$5001,"&lt;="&amp;$D$7),"—"))</f>
        <v>0</v>
      </c>
      <c r="E133" s="32">
        <f>IF(E$102="","",IF(Config!$AG$38&lt;&gt;"Não",SUMIFS(BD!$AF$3:$AF$5001,BD!$B$3:$B$5001,E$102,BD!$A$3:$A$5001,"&gt;="&amp;$C$7,BD!$A$3:$A$5001,"&lt;="&amp;$D$7),"—"))</f>
        <v>0</v>
      </c>
      <c r="F133" s="32">
        <f>IF(F$102="","",IF(Config!$AG$39&lt;&gt;"Não",SUMIFS(BD!$AF$3:$AF$5001,BD!$B$3:$B$5001,F$102,BD!$A$3:$A$5001,"&gt;="&amp;$C$7,BD!$A$3:$A$5001,"&lt;="&amp;$D$7),"—"))</f>
        <v>0</v>
      </c>
      <c r="G133" s="32">
        <f>IF(G$102="","",IF(Config!$AG$40&lt;&gt;"Não",SUMIFS(BD!$AF$3:$AF$5001,BD!$B$3:$B$5001,G$102,BD!$A$3:$A$5001,"&gt;="&amp;$C$7,BD!$A$3:$A$5001,"&lt;="&amp;$D$7),"—"))</f>
        <v>0</v>
      </c>
      <c r="H133" s="32">
        <f>IF(H$102="","",IF(Config!$AG$41&lt;&gt;"Não",SUMIFS(BD!$AF$3:$AF$5001,BD!$B$3:$B$5001,H$102,BD!$A$3:$A$5001,"&gt;="&amp;$C$7,BD!$A$3:$A$5001,"&lt;="&amp;$D$7),"—"))</f>
        <v>0</v>
      </c>
      <c r="I133" s="32">
        <f>IF(I$102="","",IF(Config!$AG$42&lt;&gt;"Não",SUMIFS(BD!$AF$3:$AF$5001,BD!$B$3:$B$5001,I$102,BD!$A$3:$A$5001,"&gt;="&amp;$C$7,BD!$A$3:$A$5001,"&lt;="&amp;$D$7),"—"))</f>
        <v>0</v>
      </c>
      <c r="J133" s="32">
        <f>IF(J$102="","",IF(Config!$AG$43&lt;&gt;"Não",SUMIFS(BD!$AF$3:$AF$5001,BD!$B$3:$B$5001,J$102,BD!$A$3:$A$5001,"&gt;="&amp;$C$7,BD!$A$3:$A$5001,"&lt;="&amp;$D$7),"—"))</f>
        <v>0</v>
      </c>
      <c r="K133" s="32">
        <f>IF(K$102="","",IF(Config!$AG$44&lt;&gt;"Não",SUMIFS(BD!$AF$3:$AF$5001,BD!$B$3:$B$5001,K$102,BD!$A$3:$A$5001,"&gt;="&amp;$C$7,BD!$A$3:$A$5001,"&lt;="&amp;$D$7),"—"))</f>
        <v>0</v>
      </c>
      <c r="L133" s="32" t="str">
        <f>IF(L$102="","",IF(Config!$AG$45&lt;&gt;"Não",SUMIFS(BD!$AF$3:$AF$5001,BD!$B$3:$B$5001,L$102,BD!$A$3:$A$5001,"&gt;="&amp;$C$7,BD!$A$3:$A$5001,"&lt;="&amp;$D$7),"—"))</f>
        <v/>
      </c>
      <c r="M133" s="32" t="str">
        <f>IF(M$102="","",IF(Config!$AG$46&lt;&gt;"Não",SUMIFS(BD!$AF$3:$AF$5001,BD!$B$3:$B$5001,M$102,BD!$A$3:$A$5001,"&gt;="&amp;$C$7,BD!$A$3:$A$5001,"&lt;="&amp;$D$7),"—"))</f>
        <v/>
      </c>
      <c r="N133" s="32" t="str">
        <f>IF(N$102="","",IF(Config!$AG$47&lt;&gt;"Não",SUMIFS(BD!$AF$3:$AF$5001,BD!$B$3:$B$5001,N$102,BD!$A$3:$A$5001,"&gt;="&amp;$C$7,BD!$A$3:$A$5001,"&lt;="&amp;$D$7),"—"))</f>
        <v/>
      </c>
      <c r="O133" s="32" t="str">
        <f>IF(O$102="","",IF(Config!$AG$48&lt;&gt;"Não",SUMIFS(BD!$AF$3:$AF$5001,BD!$B$3:$B$5001,O$102,BD!$A$3:$A$5001,"&gt;="&amp;$C$7,BD!$A$3:$A$5001,"&lt;="&amp;$D$7),"—"))</f>
        <v/>
      </c>
      <c r="P133" s="32" t="str">
        <f>IF(P$102="","",IF(Config!$AG$49&lt;&gt;"Não",SUMIFS(BD!$AF$3:$AF$5001,BD!$B$3:$B$5001,P$102,BD!$A$3:$A$5001,"&gt;="&amp;$C$7,BD!$A$3:$A$5001,"&lt;="&amp;$D$7),"—"))</f>
        <v/>
      </c>
      <c r="Q133" s="32" t="str">
        <f>IF(Q$102="","",IF(Config!$AG$50&lt;&gt;"Não",SUMIFS(BD!$AF$3:$AF$5001,BD!$B$3:$B$5001,Q$102,BD!$A$3:$A$5001,"&gt;="&amp;$C$7,BD!$A$3:$A$5001,"&lt;="&amp;$D$7),"—"))</f>
        <v/>
      </c>
      <c r="R133" s="32" t="str">
        <f>IF(R$102="","",IF(Config!$AG$51&lt;&gt;"Não",SUMIFS(BD!$AF$3:$AF$5001,BD!$B$3:$B$5001,R$102,BD!$A$3:$A$5001,"&gt;="&amp;$C$7,BD!$A$3:$A$5001,"&lt;="&amp;$D$7),"—"))</f>
        <v/>
      </c>
      <c r="S133" s="32" t="str">
        <f>IF(S$102="","",IF(Config!$AG$52&lt;&gt;"Não",SUMIFS(BD!$AF$3:$AF$5001,BD!$B$3:$B$5001,S$102,BD!$A$3:$A$5001,"&gt;="&amp;$C$7,BD!$A$3:$A$5001,"&lt;="&amp;$D$7),"—"))</f>
        <v/>
      </c>
      <c r="T133" s="32" t="str">
        <f>IF(T$102="","",IF(Config!$AG$53&lt;&gt;"Não",SUMIFS(BD!$AF$3:$AF$5001,BD!$B$3:$B$5001,T$102,BD!$A$3:$A$5001,"&gt;="&amp;$C$7,BD!$A$3:$A$5001,"&lt;="&amp;$D$7),"—"))</f>
        <v/>
      </c>
      <c r="U133" s="32" t="str">
        <f>IF(U$102="","",IF(Config!$AG$54&lt;&gt;"Não",SUMIFS(BD!$AF$3:$AF$5001,BD!$B$3:$B$5001,U$102,BD!$A$3:$A$5001,"&gt;="&amp;$C$7,BD!$A$3:$A$5001,"&lt;="&amp;$D$7),"—"))</f>
        <v/>
      </c>
      <c r="V133" s="62">
        <f>SUM(B133:U133)</f>
        <v>0</v>
      </c>
    </row>
    <row r="134">
      <c r="A134" s="29" t="inlineStr">
        <is>
          <t xml:space="preserve">GENTE · Acidentes CAF</t>
        </is>
      </c>
      <c r="B134" s="32">
        <f>IF(B$102="","",IF(Config!$AH$35&lt;&gt;"Não",SUMIFS(BD!$AG$3:$AG$5001,BD!$B$3:$B$5001,B$102,BD!$A$3:$A$5001,"&gt;="&amp;$C$7,BD!$A$3:$A$5001,"&lt;="&amp;$D$7),"—"))</f>
        <v>0</v>
      </c>
      <c r="C134" s="32">
        <f>IF(C$102="","",IF(Config!$AH$36&lt;&gt;"Não",SUMIFS(BD!$AG$3:$AG$5001,BD!$B$3:$B$5001,C$102,BD!$A$3:$A$5001,"&gt;="&amp;$C$7,BD!$A$3:$A$5001,"&lt;="&amp;$D$7),"—"))</f>
        <v>0</v>
      </c>
      <c r="D134" s="32">
        <f>IF(D$102="","",IF(Config!$AH$37&lt;&gt;"Não",SUMIFS(BD!$AG$3:$AG$5001,BD!$B$3:$B$5001,D$102,BD!$A$3:$A$5001,"&gt;="&amp;$C$7,BD!$A$3:$A$5001,"&lt;="&amp;$D$7),"—"))</f>
        <v>0</v>
      </c>
      <c r="E134" s="32">
        <f>IF(E$102="","",IF(Config!$AH$38&lt;&gt;"Não",SUMIFS(BD!$AG$3:$AG$5001,BD!$B$3:$B$5001,E$102,BD!$A$3:$A$5001,"&gt;="&amp;$C$7,BD!$A$3:$A$5001,"&lt;="&amp;$D$7),"—"))</f>
        <v>0</v>
      </c>
      <c r="F134" s="32">
        <f>IF(F$102="","",IF(Config!$AH$39&lt;&gt;"Não",SUMIFS(BD!$AG$3:$AG$5001,BD!$B$3:$B$5001,F$102,BD!$A$3:$A$5001,"&gt;="&amp;$C$7,BD!$A$3:$A$5001,"&lt;="&amp;$D$7),"—"))</f>
        <v>0</v>
      </c>
      <c r="G134" s="32">
        <f>IF(G$102="","",IF(Config!$AH$40&lt;&gt;"Não",SUMIFS(BD!$AG$3:$AG$5001,BD!$B$3:$B$5001,G$102,BD!$A$3:$A$5001,"&gt;="&amp;$C$7,BD!$A$3:$A$5001,"&lt;="&amp;$D$7),"—"))</f>
        <v>0</v>
      </c>
      <c r="H134" s="32">
        <f>IF(H$102="","",IF(Config!$AH$41&lt;&gt;"Não",SUMIFS(BD!$AG$3:$AG$5001,BD!$B$3:$B$5001,H$102,BD!$A$3:$A$5001,"&gt;="&amp;$C$7,BD!$A$3:$A$5001,"&lt;="&amp;$D$7),"—"))</f>
        <v>0</v>
      </c>
      <c r="I134" s="32">
        <f>IF(I$102="","",IF(Config!$AH$42&lt;&gt;"Não",SUMIFS(BD!$AG$3:$AG$5001,BD!$B$3:$B$5001,I$102,BD!$A$3:$A$5001,"&gt;="&amp;$C$7,BD!$A$3:$A$5001,"&lt;="&amp;$D$7),"—"))</f>
        <v>0</v>
      </c>
      <c r="J134" s="32">
        <f>IF(J$102="","",IF(Config!$AH$43&lt;&gt;"Não",SUMIFS(BD!$AG$3:$AG$5001,BD!$B$3:$B$5001,J$102,BD!$A$3:$A$5001,"&gt;="&amp;$C$7,BD!$A$3:$A$5001,"&lt;="&amp;$D$7),"—"))</f>
        <v>0</v>
      </c>
      <c r="K134" s="32">
        <f>IF(K$102="","",IF(Config!$AH$44&lt;&gt;"Não",SUMIFS(BD!$AG$3:$AG$5001,BD!$B$3:$B$5001,K$102,BD!$A$3:$A$5001,"&gt;="&amp;$C$7,BD!$A$3:$A$5001,"&lt;="&amp;$D$7),"—"))</f>
        <v>0</v>
      </c>
      <c r="L134" s="32" t="str">
        <f>IF(L$102="","",IF(Config!$AH$45&lt;&gt;"Não",SUMIFS(BD!$AG$3:$AG$5001,BD!$B$3:$B$5001,L$102,BD!$A$3:$A$5001,"&gt;="&amp;$C$7,BD!$A$3:$A$5001,"&lt;="&amp;$D$7),"—"))</f>
        <v/>
      </c>
      <c r="M134" s="32" t="str">
        <f>IF(M$102="","",IF(Config!$AH$46&lt;&gt;"Não",SUMIFS(BD!$AG$3:$AG$5001,BD!$B$3:$B$5001,M$102,BD!$A$3:$A$5001,"&gt;="&amp;$C$7,BD!$A$3:$A$5001,"&lt;="&amp;$D$7),"—"))</f>
        <v/>
      </c>
      <c r="N134" s="32" t="str">
        <f>IF(N$102="","",IF(Config!$AH$47&lt;&gt;"Não",SUMIFS(BD!$AG$3:$AG$5001,BD!$B$3:$B$5001,N$102,BD!$A$3:$A$5001,"&gt;="&amp;$C$7,BD!$A$3:$A$5001,"&lt;="&amp;$D$7),"—"))</f>
        <v/>
      </c>
      <c r="O134" s="32" t="str">
        <f>IF(O$102="","",IF(Config!$AH$48&lt;&gt;"Não",SUMIFS(BD!$AG$3:$AG$5001,BD!$B$3:$B$5001,O$102,BD!$A$3:$A$5001,"&gt;="&amp;$C$7,BD!$A$3:$A$5001,"&lt;="&amp;$D$7),"—"))</f>
        <v/>
      </c>
      <c r="P134" s="32" t="str">
        <f>IF(P$102="","",IF(Config!$AH$49&lt;&gt;"Não",SUMIFS(BD!$AG$3:$AG$5001,BD!$B$3:$B$5001,P$102,BD!$A$3:$A$5001,"&gt;="&amp;$C$7,BD!$A$3:$A$5001,"&lt;="&amp;$D$7),"—"))</f>
        <v/>
      </c>
      <c r="Q134" s="32" t="str">
        <f>IF(Q$102="","",IF(Config!$AH$50&lt;&gt;"Não",SUMIFS(BD!$AG$3:$AG$5001,BD!$B$3:$B$5001,Q$102,BD!$A$3:$A$5001,"&gt;="&amp;$C$7,BD!$A$3:$A$5001,"&lt;="&amp;$D$7),"—"))</f>
        <v/>
      </c>
      <c r="R134" s="32" t="str">
        <f>IF(R$102="","",IF(Config!$AH$51&lt;&gt;"Não",SUMIFS(BD!$AG$3:$AG$5001,BD!$B$3:$B$5001,R$102,BD!$A$3:$A$5001,"&gt;="&amp;$C$7,BD!$A$3:$A$5001,"&lt;="&amp;$D$7),"—"))</f>
        <v/>
      </c>
      <c r="S134" s="32" t="str">
        <f>IF(S$102="","",IF(Config!$AH$52&lt;&gt;"Não",SUMIFS(BD!$AG$3:$AG$5001,BD!$B$3:$B$5001,S$102,BD!$A$3:$A$5001,"&gt;="&amp;$C$7,BD!$A$3:$A$5001,"&lt;="&amp;$D$7),"—"))</f>
        <v/>
      </c>
      <c r="T134" s="32" t="str">
        <f>IF(T$102="","",IF(Config!$AH$53&lt;&gt;"Não",SUMIFS(BD!$AG$3:$AG$5001,BD!$B$3:$B$5001,T$102,BD!$A$3:$A$5001,"&gt;="&amp;$C$7,BD!$A$3:$A$5001,"&lt;="&amp;$D$7),"—"))</f>
        <v/>
      </c>
      <c r="U134" s="32" t="str">
        <f>IF(U$102="","",IF(Config!$AH$54&lt;&gt;"Não",SUMIFS(BD!$AG$3:$AG$5001,BD!$B$3:$B$5001,U$102,BD!$A$3:$A$5001,"&gt;="&amp;$C$7,BD!$A$3:$A$5001,"&lt;="&amp;$D$7),"—"))</f>
        <v/>
      </c>
      <c r="V134" s="62">
        <f>SUM(B134:U134)</f>
        <v>0</v>
      </c>
    </row>
    <row r="135">
      <c r="A135" s="29" t="inlineStr">
        <is>
          <t xml:space="preserve">GENTE · Acidentes SAF</t>
        </is>
      </c>
      <c r="B135" s="32">
        <f>IF(B$102="","",IF(Config!$AI$35&lt;&gt;"Não",SUMIFS(BD!$AH$3:$AH$5001,BD!$B$3:$B$5001,B$102,BD!$A$3:$A$5001,"&gt;="&amp;$C$7,BD!$A$3:$A$5001,"&lt;="&amp;$D$7),"—"))</f>
        <v>0</v>
      </c>
      <c r="C135" s="32">
        <f>IF(C$102="","",IF(Config!$AI$36&lt;&gt;"Não",SUMIFS(BD!$AH$3:$AH$5001,BD!$B$3:$B$5001,C$102,BD!$A$3:$A$5001,"&gt;="&amp;$C$7,BD!$A$3:$A$5001,"&lt;="&amp;$D$7),"—"))</f>
        <v>0</v>
      </c>
      <c r="D135" s="32">
        <f>IF(D$102="","",IF(Config!$AI$37&lt;&gt;"Não",SUMIFS(BD!$AH$3:$AH$5001,BD!$B$3:$B$5001,D$102,BD!$A$3:$A$5001,"&gt;="&amp;$C$7,BD!$A$3:$A$5001,"&lt;="&amp;$D$7),"—"))</f>
        <v>0</v>
      </c>
      <c r="E135" s="32">
        <f>IF(E$102="","",IF(Config!$AI$38&lt;&gt;"Não",SUMIFS(BD!$AH$3:$AH$5001,BD!$B$3:$B$5001,E$102,BD!$A$3:$A$5001,"&gt;="&amp;$C$7,BD!$A$3:$A$5001,"&lt;="&amp;$D$7),"—"))</f>
        <v>0</v>
      </c>
      <c r="F135" s="32">
        <f>IF(F$102="","",IF(Config!$AI$39&lt;&gt;"Não",SUMIFS(BD!$AH$3:$AH$5001,BD!$B$3:$B$5001,F$102,BD!$A$3:$A$5001,"&gt;="&amp;$C$7,BD!$A$3:$A$5001,"&lt;="&amp;$D$7),"—"))</f>
        <v>0</v>
      </c>
      <c r="G135" s="32">
        <f>IF(G$102="","",IF(Config!$AI$40&lt;&gt;"Não",SUMIFS(BD!$AH$3:$AH$5001,BD!$B$3:$B$5001,G$102,BD!$A$3:$A$5001,"&gt;="&amp;$C$7,BD!$A$3:$A$5001,"&lt;="&amp;$D$7),"—"))</f>
        <v>0</v>
      </c>
      <c r="H135" s="32">
        <f>IF(H$102="","",IF(Config!$AI$41&lt;&gt;"Não",SUMIFS(BD!$AH$3:$AH$5001,BD!$B$3:$B$5001,H$102,BD!$A$3:$A$5001,"&gt;="&amp;$C$7,BD!$A$3:$A$5001,"&lt;="&amp;$D$7),"—"))</f>
        <v>0</v>
      </c>
      <c r="I135" s="32">
        <f>IF(I$102="","",IF(Config!$AI$42&lt;&gt;"Não",SUMIFS(BD!$AH$3:$AH$5001,BD!$B$3:$B$5001,I$102,BD!$A$3:$A$5001,"&gt;="&amp;$C$7,BD!$A$3:$A$5001,"&lt;="&amp;$D$7),"—"))</f>
        <v>0</v>
      </c>
      <c r="J135" s="32">
        <f>IF(J$102="","",IF(Config!$AI$43&lt;&gt;"Não",SUMIFS(BD!$AH$3:$AH$5001,BD!$B$3:$B$5001,J$102,BD!$A$3:$A$5001,"&gt;="&amp;$C$7,BD!$A$3:$A$5001,"&lt;="&amp;$D$7),"—"))</f>
        <v>0</v>
      </c>
      <c r="K135" s="32">
        <f>IF(K$102="","",IF(Config!$AI$44&lt;&gt;"Não",SUMIFS(BD!$AH$3:$AH$5001,BD!$B$3:$B$5001,K$102,BD!$A$3:$A$5001,"&gt;="&amp;$C$7,BD!$A$3:$A$5001,"&lt;="&amp;$D$7),"—"))</f>
        <v>0</v>
      </c>
      <c r="L135" s="32" t="str">
        <f>IF(L$102="","",IF(Config!$AI$45&lt;&gt;"Não",SUMIFS(BD!$AH$3:$AH$5001,BD!$B$3:$B$5001,L$102,BD!$A$3:$A$5001,"&gt;="&amp;$C$7,BD!$A$3:$A$5001,"&lt;="&amp;$D$7),"—"))</f>
        <v/>
      </c>
      <c r="M135" s="32" t="str">
        <f>IF(M$102="","",IF(Config!$AI$46&lt;&gt;"Não",SUMIFS(BD!$AH$3:$AH$5001,BD!$B$3:$B$5001,M$102,BD!$A$3:$A$5001,"&gt;="&amp;$C$7,BD!$A$3:$A$5001,"&lt;="&amp;$D$7),"—"))</f>
        <v/>
      </c>
      <c r="N135" s="32" t="str">
        <f>IF(N$102="","",IF(Config!$AI$47&lt;&gt;"Não",SUMIFS(BD!$AH$3:$AH$5001,BD!$B$3:$B$5001,N$102,BD!$A$3:$A$5001,"&gt;="&amp;$C$7,BD!$A$3:$A$5001,"&lt;="&amp;$D$7),"—"))</f>
        <v/>
      </c>
      <c r="O135" s="32" t="str">
        <f>IF(O$102="","",IF(Config!$AI$48&lt;&gt;"Não",SUMIFS(BD!$AH$3:$AH$5001,BD!$B$3:$B$5001,O$102,BD!$A$3:$A$5001,"&gt;="&amp;$C$7,BD!$A$3:$A$5001,"&lt;="&amp;$D$7),"—"))</f>
        <v/>
      </c>
      <c r="P135" s="32" t="str">
        <f>IF(P$102="","",IF(Config!$AI$49&lt;&gt;"Não",SUMIFS(BD!$AH$3:$AH$5001,BD!$B$3:$B$5001,P$102,BD!$A$3:$A$5001,"&gt;="&amp;$C$7,BD!$A$3:$A$5001,"&lt;="&amp;$D$7),"—"))</f>
        <v/>
      </c>
      <c r="Q135" s="32" t="str">
        <f>IF(Q$102="","",IF(Config!$AI$50&lt;&gt;"Não",SUMIFS(BD!$AH$3:$AH$5001,BD!$B$3:$B$5001,Q$102,BD!$A$3:$A$5001,"&gt;="&amp;$C$7,BD!$A$3:$A$5001,"&lt;="&amp;$D$7),"—"))</f>
        <v/>
      </c>
      <c r="R135" s="32" t="str">
        <f>IF(R$102="","",IF(Config!$AI$51&lt;&gt;"Não",SUMIFS(BD!$AH$3:$AH$5001,BD!$B$3:$B$5001,R$102,BD!$A$3:$A$5001,"&gt;="&amp;$C$7,BD!$A$3:$A$5001,"&lt;="&amp;$D$7),"—"))</f>
        <v/>
      </c>
      <c r="S135" s="32" t="str">
        <f>IF(S$102="","",IF(Config!$AI$52&lt;&gt;"Não",SUMIFS(BD!$AH$3:$AH$5001,BD!$B$3:$B$5001,S$102,BD!$A$3:$A$5001,"&gt;="&amp;$C$7,BD!$A$3:$A$5001,"&lt;="&amp;$D$7),"—"))</f>
        <v/>
      </c>
      <c r="T135" s="32" t="str">
        <f>IF(T$102="","",IF(Config!$AI$53&lt;&gt;"Não",SUMIFS(BD!$AH$3:$AH$5001,BD!$B$3:$B$5001,T$102,BD!$A$3:$A$5001,"&gt;="&amp;$C$7,BD!$A$3:$A$5001,"&lt;="&amp;$D$7),"—"))</f>
        <v/>
      </c>
      <c r="U135" s="32" t="str">
        <f>IF(U$102="","",IF(Config!$AI$54&lt;&gt;"Não",SUMIFS(BD!$AH$3:$AH$5001,BD!$B$3:$B$5001,U$102,BD!$A$3:$A$5001,"&gt;="&amp;$C$7,BD!$A$3:$A$5001,"&lt;="&amp;$D$7),"—"))</f>
        <v/>
      </c>
      <c r="V135" s="62">
        <f>SUM(B135:U135)</f>
        <v>0</v>
      </c>
    </row>
    <row r="139">
      <c r="A139" s="19" t="inlineStr">
        <is>
          <t xml:space="preserve">ESTOQUES POR CLIENTE — último valor informado até cada dia (Backlog, Posições e Efetivo)</t>
        </is>
      </c>
    </row>
    <row r="140">
      <c r="A140" s="37" t="inlineStr">
        <is>
          <t xml:space="preserve">Backlog</t>
        </is>
      </c>
      <c r="B140" s="37" t="inlineStr">
        <is>
          <t xml:space="preserve">Data</t>
        </is>
      </c>
      <c r="C140" s="37" t="str">
        <f>Config!$B$10&amp;""</f>
        <v>Alpargatas</v>
      </c>
      <c r="D140" s="37" t="str">
        <f>Config!$B$11&amp;""</f>
        <v>Basf</v>
      </c>
      <c r="E140" s="37" t="str">
        <f>Config!$B$12&amp;""</f>
        <v>Beautybiz</v>
      </c>
      <c r="F140" s="37" t="str">
        <f>Config!$B$13&amp;""</f>
        <v>Boticário</v>
      </c>
      <c r="G140" s="37" t="str">
        <f>Config!$B$14&amp;""</f>
        <v>Confiance</v>
      </c>
      <c r="H140" s="37" t="str">
        <f>Config!$B$15&amp;""</f>
        <v>GE Vernova</v>
      </c>
      <c r="I140" s="37" t="str">
        <f>Config!$B$16&amp;""</f>
        <v>Omnilife</v>
      </c>
      <c r="J140" s="37" t="str">
        <f>Config!$B$17&amp;""</f>
        <v>Supply</v>
      </c>
      <c r="K140" s="37" t="str">
        <f>Config!$B$18&amp;""</f>
        <v>Vedacit</v>
      </c>
      <c r="L140" s="37" t="str">
        <f>Config!$B$19&amp;""</f>
        <v>Vestas</v>
      </c>
      <c r="M140" s="37" t="str">
        <f>Config!$B$20&amp;""</f>
        <v/>
      </c>
      <c r="N140" s="37" t="str">
        <f>Config!$B$21&amp;""</f>
        <v/>
      </c>
      <c r="O140" s="37" t="str">
        <f>Config!$B$22&amp;""</f>
        <v/>
      </c>
      <c r="P140" s="37" t="str">
        <f>Config!$B$23&amp;""</f>
        <v/>
      </c>
      <c r="Q140" s="37" t="str">
        <f>Config!$B$24&amp;""</f>
        <v/>
      </c>
      <c r="R140" s="37" t="str">
        <f>Config!$B$25&amp;""</f>
        <v/>
      </c>
      <c r="S140" s="37" t="str">
        <f>Config!$B$26&amp;""</f>
        <v/>
      </c>
      <c r="T140" s="37" t="str">
        <f>Config!$B$27&amp;""</f>
        <v/>
      </c>
      <c r="U140" s="37" t="str">
        <f>Config!$B$28&amp;""</f>
        <v/>
      </c>
      <c r="V140" s="37" t="str">
        <f>Config!$B$29&amp;""</f>
        <v/>
      </c>
    </row>
    <row r="141">
      <c r="A141" s="38">
        <v>1</v>
      </c>
      <c r="B141" s="42">
        <f>$B$12</f>
        <v>46296</v>
      </c>
      <c r="C141" s="43" t="str">
        <f>IF(OR($B141="",$A141&gt;$B$9,C$140=""),"",IF(COUNTIFS(BD!$B$3:$B$5001,C$140,BD!$A$3:$A$5001,"&gt;="&amp;$C$7,BD!$A$3:$A$5001,"&lt;="&amp;$B141,BD!$X$3:$X$5001,"&lt;&gt;")=0,"",SUMIFS(BD!$X$3:$X$5001,BD!$B$3:$B$5001,C$140,BD!$A$3:$A$5001,_xlfn.MAXIFS(BD!$A$3:$A$5001,BD!$B$3:$B$5001,C$140,BD!$A$3:$A$5001,"&gt;="&amp;$C$7,BD!$A$3:$A$5001,"&lt;="&amp;$B141,BD!$X$3:$X$5001,"&lt;&gt;"))))</f>
        <v/>
      </c>
      <c r="D141" s="43" t="str">
        <f>IF(OR($B141="",$A141&gt;$B$9,D$140=""),"",IF(COUNTIFS(BD!$B$3:$B$5001,D$140,BD!$A$3:$A$5001,"&gt;="&amp;$C$7,BD!$A$3:$A$5001,"&lt;="&amp;$B141,BD!$X$3:$X$5001,"&lt;&gt;")=0,"",SUMIFS(BD!$X$3:$X$5001,BD!$B$3:$B$5001,D$140,BD!$A$3:$A$5001,_xlfn.MAXIFS(BD!$A$3:$A$5001,BD!$B$3:$B$5001,D$140,BD!$A$3:$A$5001,"&gt;="&amp;$C$7,BD!$A$3:$A$5001,"&lt;="&amp;$B141,BD!$X$3:$X$5001,"&lt;&gt;"))))</f>
        <v/>
      </c>
      <c r="E141" s="43" t="str">
        <f>IF(OR($B141="",$A141&gt;$B$9,E$140=""),"",IF(COUNTIFS(BD!$B$3:$B$5001,E$140,BD!$A$3:$A$5001,"&gt;="&amp;$C$7,BD!$A$3:$A$5001,"&lt;="&amp;$B141,BD!$X$3:$X$5001,"&lt;&gt;")=0,"",SUMIFS(BD!$X$3:$X$5001,BD!$B$3:$B$5001,E$140,BD!$A$3:$A$5001,_xlfn.MAXIFS(BD!$A$3:$A$5001,BD!$B$3:$B$5001,E$140,BD!$A$3:$A$5001,"&gt;="&amp;$C$7,BD!$A$3:$A$5001,"&lt;="&amp;$B141,BD!$X$3:$X$5001,"&lt;&gt;"))))</f>
        <v/>
      </c>
      <c r="F141" s="43" t="str">
        <f>IF(OR($B141="",$A141&gt;$B$9,F$140=""),"",IF(COUNTIFS(BD!$B$3:$B$5001,F$140,BD!$A$3:$A$5001,"&gt;="&amp;$C$7,BD!$A$3:$A$5001,"&lt;="&amp;$B141,BD!$X$3:$X$5001,"&lt;&gt;")=0,"",SUMIFS(BD!$X$3:$X$5001,BD!$B$3:$B$5001,F$140,BD!$A$3:$A$5001,_xlfn.MAXIFS(BD!$A$3:$A$5001,BD!$B$3:$B$5001,F$140,BD!$A$3:$A$5001,"&gt;="&amp;$C$7,BD!$A$3:$A$5001,"&lt;="&amp;$B141,BD!$X$3:$X$5001,"&lt;&gt;"))))</f>
        <v/>
      </c>
      <c r="G141" s="43" t="str">
        <f>IF(OR($B141="",$A141&gt;$B$9,G$140=""),"",IF(COUNTIFS(BD!$B$3:$B$5001,G$140,BD!$A$3:$A$5001,"&gt;="&amp;$C$7,BD!$A$3:$A$5001,"&lt;="&amp;$B141,BD!$X$3:$X$5001,"&lt;&gt;")=0,"",SUMIFS(BD!$X$3:$X$5001,BD!$B$3:$B$5001,G$140,BD!$A$3:$A$5001,_xlfn.MAXIFS(BD!$A$3:$A$5001,BD!$B$3:$B$5001,G$140,BD!$A$3:$A$5001,"&gt;="&amp;$C$7,BD!$A$3:$A$5001,"&lt;="&amp;$B141,BD!$X$3:$X$5001,"&lt;&gt;"))))</f>
        <v/>
      </c>
      <c r="H141" s="43" t="str">
        <f>IF(OR($B141="",$A141&gt;$B$9,H$140=""),"",IF(COUNTIFS(BD!$B$3:$B$5001,H$140,BD!$A$3:$A$5001,"&gt;="&amp;$C$7,BD!$A$3:$A$5001,"&lt;="&amp;$B141,BD!$X$3:$X$5001,"&lt;&gt;")=0,"",SUMIFS(BD!$X$3:$X$5001,BD!$B$3:$B$5001,H$140,BD!$A$3:$A$5001,_xlfn.MAXIFS(BD!$A$3:$A$5001,BD!$B$3:$B$5001,H$140,BD!$A$3:$A$5001,"&gt;="&amp;$C$7,BD!$A$3:$A$5001,"&lt;="&amp;$B141,BD!$X$3:$X$5001,"&lt;&gt;"))))</f>
        <v/>
      </c>
      <c r="I141" s="43" t="str">
        <f>IF(OR($B141="",$A141&gt;$B$9,I$140=""),"",IF(COUNTIFS(BD!$B$3:$B$5001,I$140,BD!$A$3:$A$5001,"&gt;="&amp;$C$7,BD!$A$3:$A$5001,"&lt;="&amp;$B141,BD!$X$3:$X$5001,"&lt;&gt;")=0,"",SUMIFS(BD!$X$3:$X$5001,BD!$B$3:$B$5001,I$140,BD!$A$3:$A$5001,_xlfn.MAXIFS(BD!$A$3:$A$5001,BD!$B$3:$B$5001,I$140,BD!$A$3:$A$5001,"&gt;="&amp;$C$7,BD!$A$3:$A$5001,"&lt;="&amp;$B141,BD!$X$3:$X$5001,"&lt;&gt;"))))</f>
        <v/>
      </c>
      <c r="J141" s="43" t="str">
        <f>IF(OR($B141="",$A141&gt;$B$9,J$140=""),"",IF(COUNTIFS(BD!$B$3:$B$5001,J$140,BD!$A$3:$A$5001,"&gt;="&amp;$C$7,BD!$A$3:$A$5001,"&lt;="&amp;$B141,BD!$X$3:$X$5001,"&lt;&gt;")=0,"",SUMIFS(BD!$X$3:$X$5001,BD!$B$3:$B$5001,J$140,BD!$A$3:$A$5001,_xlfn.MAXIFS(BD!$A$3:$A$5001,BD!$B$3:$B$5001,J$140,BD!$A$3:$A$5001,"&gt;="&amp;$C$7,BD!$A$3:$A$5001,"&lt;="&amp;$B141,BD!$X$3:$X$5001,"&lt;&gt;"))))</f>
        <v/>
      </c>
      <c r="K141" s="43" t="str">
        <f>IF(OR($B141="",$A141&gt;$B$9,K$140=""),"",IF(COUNTIFS(BD!$B$3:$B$5001,K$140,BD!$A$3:$A$5001,"&gt;="&amp;$C$7,BD!$A$3:$A$5001,"&lt;="&amp;$B141,BD!$X$3:$X$5001,"&lt;&gt;")=0,"",SUMIFS(BD!$X$3:$X$5001,BD!$B$3:$B$5001,K$140,BD!$A$3:$A$5001,_xlfn.MAXIFS(BD!$A$3:$A$5001,BD!$B$3:$B$5001,K$140,BD!$A$3:$A$5001,"&gt;="&amp;$C$7,BD!$A$3:$A$5001,"&lt;="&amp;$B141,BD!$X$3:$X$5001,"&lt;&gt;"))))</f>
        <v/>
      </c>
      <c r="L141" s="43" t="str">
        <f>IF(OR($B141="",$A141&gt;$B$9,L$140=""),"",IF(COUNTIFS(BD!$B$3:$B$5001,L$140,BD!$A$3:$A$5001,"&gt;="&amp;$C$7,BD!$A$3:$A$5001,"&lt;="&amp;$B141,BD!$X$3:$X$5001,"&lt;&gt;")=0,"",SUMIFS(BD!$X$3:$X$5001,BD!$B$3:$B$5001,L$140,BD!$A$3:$A$5001,_xlfn.MAXIFS(BD!$A$3:$A$5001,BD!$B$3:$B$5001,L$140,BD!$A$3:$A$5001,"&gt;="&amp;$C$7,BD!$A$3:$A$5001,"&lt;="&amp;$B141,BD!$X$3:$X$5001,"&lt;&gt;"))))</f>
        <v/>
      </c>
      <c r="M141" s="43" t="str">
        <f>IF(OR($B141="",$A141&gt;$B$9,M$140=""),"",IF(COUNTIFS(BD!$B$3:$B$5001,M$140,BD!$A$3:$A$5001,"&gt;="&amp;$C$7,BD!$A$3:$A$5001,"&lt;="&amp;$B141,BD!$X$3:$X$5001,"&lt;&gt;")=0,"",SUMIFS(BD!$X$3:$X$5001,BD!$B$3:$B$5001,M$140,BD!$A$3:$A$5001,_xlfn.MAXIFS(BD!$A$3:$A$5001,BD!$B$3:$B$5001,M$140,BD!$A$3:$A$5001,"&gt;="&amp;$C$7,BD!$A$3:$A$5001,"&lt;="&amp;$B141,BD!$X$3:$X$5001,"&lt;&gt;"))))</f>
        <v/>
      </c>
      <c r="N141" s="43" t="str">
        <f>IF(OR($B141="",$A141&gt;$B$9,N$140=""),"",IF(COUNTIFS(BD!$B$3:$B$5001,N$140,BD!$A$3:$A$5001,"&gt;="&amp;$C$7,BD!$A$3:$A$5001,"&lt;="&amp;$B141,BD!$X$3:$X$5001,"&lt;&gt;")=0,"",SUMIFS(BD!$X$3:$X$5001,BD!$B$3:$B$5001,N$140,BD!$A$3:$A$5001,_xlfn.MAXIFS(BD!$A$3:$A$5001,BD!$B$3:$B$5001,N$140,BD!$A$3:$A$5001,"&gt;="&amp;$C$7,BD!$A$3:$A$5001,"&lt;="&amp;$B141,BD!$X$3:$X$5001,"&lt;&gt;"))))</f>
        <v/>
      </c>
      <c r="O141" s="43" t="str">
        <f>IF(OR($B141="",$A141&gt;$B$9,O$140=""),"",IF(COUNTIFS(BD!$B$3:$B$5001,O$140,BD!$A$3:$A$5001,"&gt;="&amp;$C$7,BD!$A$3:$A$5001,"&lt;="&amp;$B141,BD!$X$3:$X$5001,"&lt;&gt;")=0,"",SUMIFS(BD!$X$3:$X$5001,BD!$B$3:$B$5001,O$140,BD!$A$3:$A$5001,_xlfn.MAXIFS(BD!$A$3:$A$5001,BD!$B$3:$B$5001,O$140,BD!$A$3:$A$5001,"&gt;="&amp;$C$7,BD!$A$3:$A$5001,"&lt;="&amp;$B141,BD!$X$3:$X$5001,"&lt;&gt;"))))</f>
        <v/>
      </c>
      <c r="P141" s="43" t="str">
        <f>IF(OR($B141="",$A141&gt;$B$9,P$140=""),"",IF(COUNTIFS(BD!$B$3:$B$5001,P$140,BD!$A$3:$A$5001,"&gt;="&amp;$C$7,BD!$A$3:$A$5001,"&lt;="&amp;$B141,BD!$X$3:$X$5001,"&lt;&gt;")=0,"",SUMIFS(BD!$X$3:$X$5001,BD!$B$3:$B$5001,P$140,BD!$A$3:$A$5001,_xlfn.MAXIFS(BD!$A$3:$A$5001,BD!$B$3:$B$5001,P$140,BD!$A$3:$A$5001,"&gt;="&amp;$C$7,BD!$A$3:$A$5001,"&lt;="&amp;$B141,BD!$X$3:$X$5001,"&lt;&gt;"))))</f>
        <v/>
      </c>
      <c r="Q141" s="43" t="str">
        <f>IF(OR($B141="",$A141&gt;$B$9,Q$140=""),"",IF(COUNTIFS(BD!$B$3:$B$5001,Q$140,BD!$A$3:$A$5001,"&gt;="&amp;$C$7,BD!$A$3:$A$5001,"&lt;="&amp;$B141,BD!$X$3:$X$5001,"&lt;&gt;")=0,"",SUMIFS(BD!$X$3:$X$5001,BD!$B$3:$B$5001,Q$140,BD!$A$3:$A$5001,_xlfn.MAXIFS(BD!$A$3:$A$5001,BD!$B$3:$B$5001,Q$140,BD!$A$3:$A$5001,"&gt;="&amp;$C$7,BD!$A$3:$A$5001,"&lt;="&amp;$B141,BD!$X$3:$X$5001,"&lt;&gt;"))))</f>
        <v/>
      </c>
      <c r="R141" s="43" t="str">
        <f>IF(OR($B141="",$A141&gt;$B$9,R$140=""),"",IF(COUNTIFS(BD!$B$3:$B$5001,R$140,BD!$A$3:$A$5001,"&gt;="&amp;$C$7,BD!$A$3:$A$5001,"&lt;="&amp;$B141,BD!$X$3:$X$5001,"&lt;&gt;")=0,"",SUMIFS(BD!$X$3:$X$5001,BD!$B$3:$B$5001,R$140,BD!$A$3:$A$5001,_xlfn.MAXIFS(BD!$A$3:$A$5001,BD!$B$3:$B$5001,R$140,BD!$A$3:$A$5001,"&gt;="&amp;$C$7,BD!$A$3:$A$5001,"&lt;="&amp;$B141,BD!$X$3:$X$5001,"&lt;&gt;"))))</f>
        <v/>
      </c>
      <c r="S141" s="43" t="str">
        <f>IF(OR($B141="",$A141&gt;$B$9,S$140=""),"",IF(COUNTIFS(BD!$B$3:$B$5001,S$140,BD!$A$3:$A$5001,"&gt;="&amp;$C$7,BD!$A$3:$A$5001,"&lt;="&amp;$B141,BD!$X$3:$X$5001,"&lt;&gt;")=0,"",SUMIFS(BD!$X$3:$X$5001,BD!$B$3:$B$5001,S$140,BD!$A$3:$A$5001,_xlfn.MAXIFS(BD!$A$3:$A$5001,BD!$B$3:$B$5001,S$140,BD!$A$3:$A$5001,"&gt;="&amp;$C$7,BD!$A$3:$A$5001,"&lt;="&amp;$B141,BD!$X$3:$X$5001,"&lt;&gt;"))))</f>
        <v/>
      </c>
      <c r="T141" s="43" t="str">
        <f>IF(OR($B141="",$A141&gt;$B$9,T$140=""),"",IF(COUNTIFS(BD!$B$3:$B$5001,T$140,BD!$A$3:$A$5001,"&gt;="&amp;$C$7,BD!$A$3:$A$5001,"&lt;="&amp;$B141,BD!$X$3:$X$5001,"&lt;&gt;")=0,"",SUMIFS(BD!$X$3:$X$5001,BD!$B$3:$B$5001,T$140,BD!$A$3:$A$5001,_xlfn.MAXIFS(BD!$A$3:$A$5001,BD!$B$3:$B$5001,T$140,BD!$A$3:$A$5001,"&gt;="&amp;$C$7,BD!$A$3:$A$5001,"&lt;="&amp;$B141,BD!$X$3:$X$5001,"&lt;&gt;"))))</f>
        <v/>
      </c>
      <c r="U141" s="43" t="str">
        <f>IF(OR($B141="",$A141&gt;$B$9,U$140=""),"",IF(COUNTIFS(BD!$B$3:$B$5001,U$140,BD!$A$3:$A$5001,"&gt;="&amp;$C$7,BD!$A$3:$A$5001,"&lt;="&amp;$B141,BD!$X$3:$X$5001,"&lt;&gt;")=0,"",SUMIFS(BD!$X$3:$X$5001,BD!$B$3:$B$5001,U$140,BD!$A$3:$A$5001,_xlfn.MAXIFS(BD!$A$3:$A$5001,BD!$B$3:$B$5001,U$140,BD!$A$3:$A$5001,"&gt;="&amp;$C$7,BD!$A$3:$A$5001,"&lt;="&amp;$B141,BD!$X$3:$X$5001,"&lt;&gt;"))))</f>
        <v/>
      </c>
      <c r="V141" s="43" t="str">
        <f>IF(OR($B141="",$A141&gt;$B$9,V$140=""),"",IF(COUNTIFS(BD!$B$3:$B$5001,V$140,BD!$A$3:$A$5001,"&gt;="&amp;$C$7,BD!$A$3:$A$5001,"&lt;="&amp;$B141,BD!$X$3:$X$5001,"&lt;&gt;")=0,"",SUMIFS(BD!$X$3:$X$5001,BD!$B$3:$B$5001,V$140,BD!$A$3:$A$5001,_xlfn.MAXIFS(BD!$A$3:$A$5001,BD!$B$3:$B$5001,V$140,BD!$A$3:$A$5001,"&gt;="&amp;$C$7,BD!$A$3:$A$5001,"&lt;="&amp;$B141,BD!$X$3:$X$5001,"&lt;&gt;"))))</f>
        <v/>
      </c>
    </row>
    <row r="142">
      <c r="A142" s="38">
        <v>2</v>
      </c>
      <c r="B142" s="42">
        <f>$B$13</f>
        <v>46297</v>
      </c>
      <c r="C142" s="43" t="str">
        <f>IF(OR($B142="",$A142&gt;$B$9,C$140=""),"",IF(COUNTIFS(BD!$B$3:$B$5001,C$140,BD!$A$3:$A$5001,"&gt;="&amp;$C$7,BD!$A$3:$A$5001,"&lt;="&amp;$B142,BD!$X$3:$X$5001,"&lt;&gt;")=0,"",SUMIFS(BD!$X$3:$X$5001,BD!$B$3:$B$5001,C$140,BD!$A$3:$A$5001,_xlfn.MAXIFS(BD!$A$3:$A$5001,BD!$B$3:$B$5001,C$140,BD!$A$3:$A$5001,"&gt;="&amp;$C$7,BD!$A$3:$A$5001,"&lt;="&amp;$B142,BD!$X$3:$X$5001,"&lt;&gt;"))))</f>
        <v/>
      </c>
      <c r="D142" s="43" t="str">
        <f>IF(OR($B142="",$A142&gt;$B$9,D$140=""),"",IF(COUNTIFS(BD!$B$3:$B$5001,D$140,BD!$A$3:$A$5001,"&gt;="&amp;$C$7,BD!$A$3:$A$5001,"&lt;="&amp;$B142,BD!$X$3:$X$5001,"&lt;&gt;")=0,"",SUMIFS(BD!$X$3:$X$5001,BD!$B$3:$B$5001,D$140,BD!$A$3:$A$5001,_xlfn.MAXIFS(BD!$A$3:$A$5001,BD!$B$3:$B$5001,D$140,BD!$A$3:$A$5001,"&gt;="&amp;$C$7,BD!$A$3:$A$5001,"&lt;="&amp;$B142,BD!$X$3:$X$5001,"&lt;&gt;"))))</f>
        <v/>
      </c>
      <c r="E142" s="43" t="str">
        <f>IF(OR($B142="",$A142&gt;$B$9,E$140=""),"",IF(COUNTIFS(BD!$B$3:$B$5001,E$140,BD!$A$3:$A$5001,"&gt;="&amp;$C$7,BD!$A$3:$A$5001,"&lt;="&amp;$B142,BD!$X$3:$X$5001,"&lt;&gt;")=0,"",SUMIFS(BD!$X$3:$X$5001,BD!$B$3:$B$5001,E$140,BD!$A$3:$A$5001,_xlfn.MAXIFS(BD!$A$3:$A$5001,BD!$B$3:$B$5001,E$140,BD!$A$3:$A$5001,"&gt;="&amp;$C$7,BD!$A$3:$A$5001,"&lt;="&amp;$B142,BD!$X$3:$X$5001,"&lt;&gt;"))))</f>
        <v/>
      </c>
      <c r="F142" s="43" t="str">
        <f>IF(OR($B142="",$A142&gt;$B$9,F$140=""),"",IF(COUNTIFS(BD!$B$3:$B$5001,F$140,BD!$A$3:$A$5001,"&gt;="&amp;$C$7,BD!$A$3:$A$5001,"&lt;="&amp;$B142,BD!$X$3:$X$5001,"&lt;&gt;")=0,"",SUMIFS(BD!$X$3:$X$5001,BD!$B$3:$B$5001,F$140,BD!$A$3:$A$5001,_xlfn.MAXIFS(BD!$A$3:$A$5001,BD!$B$3:$B$5001,F$140,BD!$A$3:$A$5001,"&gt;="&amp;$C$7,BD!$A$3:$A$5001,"&lt;="&amp;$B142,BD!$X$3:$X$5001,"&lt;&gt;"))))</f>
        <v/>
      </c>
      <c r="G142" s="43" t="str">
        <f>IF(OR($B142="",$A142&gt;$B$9,G$140=""),"",IF(COUNTIFS(BD!$B$3:$B$5001,G$140,BD!$A$3:$A$5001,"&gt;="&amp;$C$7,BD!$A$3:$A$5001,"&lt;="&amp;$B142,BD!$X$3:$X$5001,"&lt;&gt;")=0,"",SUMIFS(BD!$X$3:$X$5001,BD!$B$3:$B$5001,G$140,BD!$A$3:$A$5001,_xlfn.MAXIFS(BD!$A$3:$A$5001,BD!$B$3:$B$5001,G$140,BD!$A$3:$A$5001,"&gt;="&amp;$C$7,BD!$A$3:$A$5001,"&lt;="&amp;$B142,BD!$X$3:$X$5001,"&lt;&gt;"))))</f>
        <v/>
      </c>
      <c r="H142" s="43" t="str">
        <f>IF(OR($B142="",$A142&gt;$B$9,H$140=""),"",IF(COUNTIFS(BD!$B$3:$B$5001,H$140,BD!$A$3:$A$5001,"&gt;="&amp;$C$7,BD!$A$3:$A$5001,"&lt;="&amp;$B142,BD!$X$3:$X$5001,"&lt;&gt;")=0,"",SUMIFS(BD!$X$3:$X$5001,BD!$B$3:$B$5001,H$140,BD!$A$3:$A$5001,_xlfn.MAXIFS(BD!$A$3:$A$5001,BD!$B$3:$B$5001,H$140,BD!$A$3:$A$5001,"&gt;="&amp;$C$7,BD!$A$3:$A$5001,"&lt;="&amp;$B142,BD!$X$3:$X$5001,"&lt;&gt;"))))</f>
        <v/>
      </c>
      <c r="I142" s="43" t="str">
        <f>IF(OR($B142="",$A142&gt;$B$9,I$140=""),"",IF(COUNTIFS(BD!$B$3:$B$5001,I$140,BD!$A$3:$A$5001,"&gt;="&amp;$C$7,BD!$A$3:$A$5001,"&lt;="&amp;$B142,BD!$X$3:$X$5001,"&lt;&gt;")=0,"",SUMIFS(BD!$X$3:$X$5001,BD!$B$3:$B$5001,I$140,BD!$A$3:$A$5001,_xlfn.MAXIFS(BD!$A$3:$A$5001,BD!$B$3:$B$5001,I$140,BD!$A$3:$A$5001,"&gt;="&amp;$C$7,BD!$A$3:$A$5001,"&lt;="&amp;$B142,BD!$X$3:$X$5001,"&lt;&gt;"))))</f>
        <v/>
      </c>
      <c r="J142" s="43" t="str">
        <f>IF(OR($B142="",$A142&gt;$B$9,J$140=""),"",IF(COUNTIFS(BD!$B$3:$B$5001,J$140,BD!$A$3:$A$5001,"&gt;="&amp;$C$7,BD!$A$3:$A$5001,"&lt;="&amp;$B142,BD!$X$3:$X$5001,"&lt;&gt;")=0,"",SUMIFS(BD!$X$3:$X$5001,BD!$B$3:$B$5001,J$140,BD!$A$3:$A$5001,_xlfn.MAXIFS(BD!$A$3:$A$5001,BD!$B$3:$B$5001,J$140,BD!$A$3:$A$5001,"&gt;="&amp;$C$7,BD!$A$3:$A$5001,"&lt;="&amp;$B142,BD!$X$3:$X$5001,"&lt;&gt;"))))</f>
        <v/>
      </c>
      <c r="K142" s="43" t="str">
        <f>IF(OR($B142="",$A142&gt;$B$9,K$140=""),"",IF(COUNTIFS(BD!$B$3:$B$5001,K$140,BD!$A$3:$A$5001,"&gt;="&amp;$C$7,BD!$A$3:$A$5001,"&lt;="&amp;$B142,BD!$X$3:$X$5001,"&lt;&gt;")=0,"",SUMIFS(BD!$X$3:$X$5001,BD!$B$3:$B$5001,K$140,BD!$A$3:$A$5001,_xlfn.MAXIFS(BD!$A$3:$A$5001,BD!$B$3:$B$5001,K$140,BD!$A$3:$A$5001,"&gt;="&amp;$C$7,BD!$A$3:$A$5001,"&lt;="&amp;$B142,BD!$X$3:$X$5001,"&lt;&gt;"))))</f>
        <v/>
      </c>
      <c r="L142" s="43" t="str">
        <f>IF(OR($B142="",$A142&gt;$B$9,L$140=""),"",IF(COUNTIFS(BD!$B$3:$B$5001,L$140,BD!$A$3:$A$5001,"&gt;="&amp;$C$7,BD!$A$3:$A$5001,"&lt;="&amp;$B142,BD!$X$3:$X$5001,"&lt;&gt;")=0,"",SUMIFS(BD!$X$3:$X$5001,BD!$B$3:$B$5001,L$140,BD!$A$3:$A$5001,_xlfn.MAXIFS(BD!$A$3:$A$5001,BD!$B$3:$B$5001,L$140,BD!$A$3:$A$5001,"&gt;="&amp;$C$7,BD!$A$3:$A$5001,"&lt;="&amp;$B142,BD!$X$3:$X$5001,"&lt;&gt;"))))</f>
        <v/>
      </c>
      <c r="M142" s="43" t="str">
        <f>IF(OR($B142="",$A142&gt;$B$9,M$140=""),"",IF(COUNTIFS(BD!$B$3:$B$5001,M$140,BD!$A$3:$A$5001,"&gt;="&amp;$C$7,BD!$A$3:$A$5001,"&lt;="&amp;$B142,BD!$X$3:$X$5001,"&lt;&gt;")=0,"",SUMIFS(BD!$X$3:$X$5001,BD!$B$3:$B$5001,M$140,BD!$A$3:$A$5001,_xlfn.MAXIFS(BD!$A$3:$A$5001,BD!$B$3:$B$5001,M$140,BD!$A$3:$A$5001,"&gt;="&amp;$C$7,BD!$A$3:$A$5001,"&lt;="&amp;$B142,BD!$X$3:$X$5001,"&lt;&gt;"))))</f>
        <v/>
      </c>
      <c r="N142" s="43" t="str">
        <f>IF(OR($B142="",$A142&gt;$B$9,N$140=""),"",IF(COUNTIFS(BD!$B$3:$B$5001,N$140,BD!$A$3:$A$5001,"&gt;="&amp;$C$7,BD!$A$3:$A$5001,"&lt;="&amp;$B142,BD!$X$3:$X$5001,"&lt;&gt;")=0,"",SUMIFS(BD!$X$3:$X$5001,BD!$B$3:$B$5001,N$140,BD!$A$3:$A$5001,_xlfn.MAXIFS(BD!$A$3:$A$5001,BD!$B$3:$B$5001,N$140,BD!$A$3:$A$5001,"&gt;="&amp;$C$7,BD!$A$3:$A$5001,"&lt;="&amp;$B142,BD!$X$3:$X$5001,"&lt;&gt;"))))</f>
        <v/>
      </c>
      <c r="O142" s="43" t="str">
        <f>IF(OR($B142="",$A142&gt;$B$9,O$140=""),"",IF(COUNTIFS(BD!$B$3:$B$5001,O$140,BD!$A$3:$A$5001,"&gt;="&amp;$C$7,BD!$A$3:$A$5001,"&lt;="&amp;$B142,BD!$X$3:$X$5001,"&lt;&gt;")=0,"",SUMIFS(BD!$X$3:$X$5001,BD!$B$3:$B$5001,O$140,BD!$A$3:$A$5001,_xlfn.MAXIFS(BD!$A$3:$A$5001,BD!$B$3:$B$5001,O$140,BD!$A$3:$A$5001,"&gt;="&amp;$C$7,BD!$A$3:$A$5001,"&lt;="&amp;$B142,BD!$X$3:$X$5001,"&lt;&gt;"))))</f>
        <v/>
      </c>
      <c r="P142" s="43" t="str">
        <f>IF(OR($B142="",$A142&gt;$B$9,P$140=""),"",IF(COUNTIFS(BD!$B$3:$B$5001,P$140,BD!$A$3:$A$5001,"&gt;="&amp;$C$7,BD!$A$3:$A$5001,"&lt;="&amp;$B142,BD!$X$3:$X$5001,"&lt;&gt;")=0,"",SUMIFS(BD!$X$3:$X$5001,BD!$B$3:$B$5001,P$140,BD!$A$3:$A$5001,_xlfn.MAXIFS(BD!$A$3:$A$5001,BD!$B$3:$B$5001,P$140,BD!$A$3:$A$5001,"&gt;="&amp;$C$7,BD!$A$3:$A$5001,"&lt;="&amp;$B142,BD!$X$3:$X$5001,"&lt;&gt;"))))</f>
        <v/>
      </c>
      <c r="Q142" s="43" t="str">
        <f>IF(OR($B142="",$A142&gt;$B$9,Q$140=""),"",IF(COUNTIFS(BD!$B$3:$B$5001,Q$140,BD!$A$3:$A$5001,"&gt;="&amp;$C$7,BD!$A$3:$A$5001,"&lt;="&amp;$B142,BD!$X$3:$X$5001,"&lt;&gt;")=0,"",SUMIFS(BD!$X$3:$X$5001,BD!$B$3:$B$5001,Q$140,BD!$A$3:$A$5001,_xlfn.MAXIFS(BD!$A$3:$A$5001,BD!$B$3:$B$5001,Q$140,BD!$A$3:$A$5001,"&gt;="&amp;$C$7,BD!$A$3:$A$5001,"&lt;="&amp;$B142,BD!$X$3:$X$5001,"&lt;&gt;"))))</f>
        <v/>
      </c>
      <c r="R142" s="43" t="str">
        <f>IF(OR($B142="",$A142&gt;$B$9,R$140=""),"",IF(COUNTIFS(BD!$B$3:$B$5001,R$140,BD!$A$3:$A$5001,"&gt;="&amp;$C$7,BD!$A$3:$A$5001,"&lt;="&amp;$B142,BD!$X$3:$X$5001,"&lt;&gt;")=0,"",SUMIFS(BD!$X$3:$X$5001,BD!$B$3:$B$5001,R$140,BD!$A$3:$A$5001,_xlfn.MAXIFS(BD!$A$3:$A$5001,BD!$B$3:$B$5001,R$140,BD!$A$3:$A$5001,"&gt;="&amp;$C$7,BD!$A$3:$A$5001,"&lt;="&amp;$B142,BD!$X$3:$X$5001,"&lt;&gt;"))))</f>
        <v/>
      </c>
      <c r="S142" s="43" t="str">
        <f>IF(OR($B142="",$A142&gt;$B$9,S$140=""),"",IF(COUNTIFS(BD!$B$3:$B$5001,S$140,BD!$A$3:$A$5001,"&gt;="&amp;$C$7,BD!$A$3:$A$5001,"&lt;="&amp;$B142,BD!$X$3:$X$5001,"&lt;&gt;")=0,"",SUMIFS(BD!$X$3:$X$5001,BD!$B$3:$B$5001,S$140,BD!$A$3:$A$5001,_xlfn.MAXIFS(BD!$A$3:$A$5001,BD!$B$3:$B$5001,S$140,BD!$A$3:$A$5001,"&gt;="&amp;$C$7,BD!$A$3:$A$5001,"&lt;="&amp;$B142,BD!$X$3:$X$5001,"&lt;&gt;"))))</f>
        <v/>
      </c>
      <c r="T142" s="43" t="str">
        <f>IF(OR($B142="",$A142&gt;$B$9,T$140=""),"",IF(COUNTIFS(BD!$B$3:$B$5001,T$140,BD!$A$3:$A$5001,"&gt;="&amp;$C$7,BD!$A$3:$A$5001,"&lt;="&amp;$B142,BD!$X$3:$X$5001,"&lt;&gt;")=0,"",SUMIFS(BD!$X$3:$X$5001,BD!$B$3:$B$5001,T$140,BD!$A$3:$A$5001,_xlfn.MAXIFS(BD!$A$3:$A$5001,BD!$B$3:$B$5001,T$140,BD!$A$3:$A$5001,"&gt;="&amp;$C$7,BD!$A$3:$A$5001,"&lt;="&amp;$B142,BD!$X$3:$X$5001,"&lt;&gt;"))))</f>
        <v/>
      </c>
      <c r="U142" s="43" t="str">
        <f>IF(OR($B142="",$A142&gt;$B$9,U$140=""),"",IF(COUNTIFS(BD!$B$3:$B$5001,U$140,BD!$A$3:$A$5001,"&gt;="&amp;$C$7,BD!$A$3:$A$5001,"&lt;="&amp;$B142,BD!$X$3:$X$5001,"&lt;&gt;")=0,"",SUMIFS(BD!$X$3:$X$5001,BD!$B$3:$B$5001,U$140,BD!$A$3:$A$5001,_xlfn.MAXIFS(BD!$A$3:$A$5001,BD!$B$3:$B$5001,U$140,BD!$A$3:$A$5001,"&gt;="&amp;$C$7,BD!$A$3:$A$5001,"&lt;="&amp;$B142,BD!$X$3:$X$5001,"&lt;&gt;"))))</f>
        <v/>
      </c>
      <c r="V142" s="43" t="str">
        <f>IF(OR($B142="",$A142&gt;$B$9,V$140=""),"",IF(COUNTIFS(BD!$B$3:$B$5001,V$140,BD!$A$3:$A$5001,"&gt;="&amp;$C$7,BD!$A$3:$A$5001,"&lt;="&amp;$B142,BD!$X$3:$X$5001,"&lt;&gt;")=0,"",SUMIFS(BD!$X$3:$X$5001,BD!$B$3:$B$5001,V$140,BD!$A$3:$A$5001,_xlfn.MAXIFS(BD!$A$3:$A$5001,BD!$B$3:$B$5001,V$140,BD!$A$3:$A$5001,"&gt;="&amp;$C$7,BD!$A$3:$A$5001,"&lt;="&amp;$B142,BD!$X$3:$X$5001,"&lt;&gt;"))))</f>
        <v/>
      </c>
    </row>
    <row r="143">
      <c r="A143" s="38">
        <v>3</v>
      </c>
      <c r="B143" s="42">
        <f>$B$14</f>
        <v>46298</v>
      </c>
      <c r="C143" s="43" t="str">
        <f>IF(OR($B143="",$A143&gt;$B$9,C$140=""),"",IF(COUNTIFS(BD!$B$3:$B$5001,C$140,BD!$A$3:$A$5001,"&gt;="&amp;$C$7,BD!$A$3:$A$5001,"&lt;="&amp;$B143,BD!$X$3:$X$5001,"&lt;&gt;")=0,"",SUMIFS(BD!$X$3:$X$5001,BD!$B$3:$B$5001,C$140,BD!$A$3:$A$5001,_xlfn.MAXIFS(BD!$A$3:$A$5001,BD!$B$3:$B$5001,C$140,BD!$A$3:$A$5001,"&gt;="&amp;$C$7,BD!$A$3:$A$5001,"&lt;="&amp;$B143,BD!$X$3:$X$5001,"&lt;&gt;"))))</f>
        <v/>
      </c>
      <c r="D143" s="43" t="str">
        <f>IF(OR($B143="",$A143&gt;$B$9,D$140=""),"",IF(COUNTIFS(BD!$B$3:$B$5001,D$140,BD!$A$3:$A$5001,"&gt;="&amp;$C$7,BD!$A$3:$A$5001,"&lt;="&amp;$B143,BD!$X$3:$X$5001,"&lt;&gt;")=0,"",SUMIFS(BD!$X$3:$X$5001,BD!$B$3:$B$5001,D$140,BD!$A$3:$A$5001,_xlfn.MAXIFS(BD!$A$3:$A$5001,BD!$B$3:$B$5001,D$140,BD!$A$3:$A$5001,"&gt;="&amp;$C$7,BD!$A$3:$A$5001,"&lt;="&amp;$B143,BD!$X$3:$X$5001,"&lt;&gt;"))))</f>
        <v/>
      </c>
      <c r="E143" s="43" t="str">
        <f>IF(OR($B143="",$A143&gt;$B$9,E$140=""),"",IF(COUNTIFS(BD!$B$3:$B$5001,E$140,BD!$A$3:$A$5001,"&gt;="&amp;$C$7,BD!$A$3:$A$5001,"&lt;="&amp;$B143,BD!$X$3:$X$5001,"&lt;&gt;")=0,"",SUMIFS(BD!$X$3:$X$5001,BD!$B$3:$B$5001,E$140,BD!$A$3:$A$5001,_xlfn.MAXIFS(BD!$A$3:$A$5001,BD!$B$3:$B$5001,E$140,BD!$A$3:$A$5001,"&gt;="&amp;$C$7,BD!$A$3:$A$5001,"&lt;="&amp;$B143,BD!$X$3:$X$5001,"&lt;&gt;"))))</f>
        <v/>
      </c>
      <c r="F143" s="43" t="str">
        <f>IF(OR($B143="",$A143&gt;$B$9,F$140=""),"",IF(COUNTIFS(BD!$B$3:$B$5001,F$140,BD!$A$3:$A$5001,"&gt;="&amp;$C$7,BD!$A$3:$A$5001,"&lt;="&amp;$B143,BD!$X$3:$X$5001,"&lt;&gt;")=0,"",SUMIFS(BD!$X$3:$X$5001,BD!$B$3:$B$5001,F$140,BD!$A$3:$A$5001,_xlfn.MAXIFS(BD!$A$3:$A$5001,BD!$B$3:$B$5001,F$140,BD!$A$3:$A$5001,"&gt;="&amp;$C$7,BD!$A$3:$A$5001,"&lt;="&amp;$B143,BD!$X$3:$X$5001,"&lt;&gt;"))))</f>
        <v/>
      </c>
      <c r="G143" s="43" t="str">
        <f>IF(OR($B143="",$A143&gt;$B$9,G$140=""),"",IF(COUNTIFS(BD!$B$3:$B$5001,G$140,BD!$A$3:$A$5001,"&gt;="&amp;$C$7,BD!$A$3:$A$5001,"&lt;="&amp;$B143,BD!$X$3:$X$5001,"&lt;&gt;")=0,"",SUMIFS(BD!$X$3:$X$5001,BD!$B$3:$B$5001,G$140,BD!$A$3:$A$5001,_xlfn.MAXIFS(BD!$A$3:$A$5001,BD!$B$3:$B$5001,G$140,BD!$A$3:$A$5001,"&gt;="&amp;$C$7,BD!$A$3:$A$5001,"&lt;="&amp;$B143,BD!$X$3:$X$5001,"&lt;&gt;"))))</f>
        <v/>
      </c>
      <c r="H143" s="43" t="str">
        <f>IF(OR($B143="",$A143&gt;$B$9,H$140=""),"",IF(COUNTIFS(BD!$B$3:$B$5001,H$140,BD!$A$3:$A$5001,"&gt;="&amp;$C$7,BD!$A$3:$A$5001,"&lt;="&amp;$B143,BD!$X$3:$X$5001,"&lt;&gt;")=0,"",SUMIFS(BD!$X$3:$X$5001,BD!$B$3:$B$5001,H$140,BD!$A$3:$A$5001,_xlfn.MAXIFS(BD!$A$3:$A$5001,BD!$B$3:$B$5001,H$140,BD!$A$3:$A$5001,"&gt;="&amp;$C$7,BD!$A$3:$A$5001,"&lt;="&amp;$B143,BD!$X$3:$X$5001,"&lt;&gt;"))))</f>
        <v/>
      </c>
      <c r="I143" s="43" t="str">
        <f>IF(OR($B143="",$A143&gt;$B$9,I$140=""),"",IF(COUNTIFS(BD!$B$3:$B$5001,I$140,BD!$A$3:$A$5001,"&gt;="&amp;$C$7,BD!$A$3:$A$5001,"&lt;="&amp;$B143,BD!$X$3:$X$5001,"&lt;&gt;")=0,"",SUMIFS(BD!$X$3:$X$5001,BD!$B$3:$B$5001,I$140,BD!$A$3:$A$5001,_xlfn.MAXIFS(BD!$A$3:$A$5001,BD!$B$3:$B$5001,I$140,BD!$A$3:$A$5001,"&gt;="&amp;$C$7,BD!$A$3:$A$5001,"&lt;="&amp;$B143,BD!$X$3:$X$5001,"&lt;&gt;"))))</f>
        <v/>
      </c>
      <c r="J143" s="43" t="str">
        <f>IF(OR($B143="",$A143&gt;$B$9,J$140=""),"",IF(COUNTIFS(BD!$B$3:$B$5001,J$140,BD!$A$3:$A$5001,"&gt;="&amp;$C$7,BD!$A$3:$A$5001,"&lt;="&amp;$B143,BD!$X$3:$X$5001,"&lt;&gt;")=0,"",SUMIFS(BD!$X$3:$X$5001,BD!$B$3:$B$5001,J$140,BD!$A$3:$A$5001,_xlfn.MAXIFS(BD!$A$3:$A$5001,BD!$B$3:$B$5001,J$140,BD!$A$3:$A$5001,"&gt;="&amp;$C$7,BD!$A$3:$A$5001,"&lt;="&amp;$B143,BD!$X$3:$X$5001,"&lt;&gt;"))))</f>
        <v/>
      </c>
      <c r="K143" s="43" t="str">
        <f>IF(OR($B143="",$A143&gt;$B$9,K$140=""),"",IF(COUNTIFS(BD!$B$3:$B$5001,K$140,BD!$A$3:$A$5001,"&gt;="&amp;$C$7,BD!$A$3:$A$5001,"&lt;="&amp;$B143,BD!$X$3:$X$5001,"&lt;&gt;")=0,"",SUMIFS(BD!$X$3:$X$5001,BD!$B$3:$B$5001,K$140,BD!$A$3:$A$5001,_xlfn.MAXIFS(BD!$A$3:$A$5001,BD!$B$3:$B$5001,K$140,BD!$A$3:$A$5001,"&gt;="&amp;$C$7,BD!$A$3:$A$5001,"&lt;="&amp;$B143,BD!$X$3:$X$5001,"&lt;&gt;"))))</f>
        <v/>
      </c>
      <c r="L143" s="43" t="str">
        <f>IF(OR($B143="",$A143&gt;$B$9,L$140=""),"",IF(COUNTIFS(BD!$B$3:$B$5001,L$140,BD!$A$3:$A$5001,"&gt;="&amp;$C$7,BD!$A$3:$A$5001,"&lt;="&amp;$B143,BD!$X$3:$X$5001,"&lt;&gt;")=0,"",SUMIFS(BD!$X$3:$X$5001,BD!$B$3:$B$5001,L$140,BD!$A$3:$A$5001,_xlfn.MAXIFS(BD!$A$3:$A$5001,BD!$B$3:$B$5001,L$140,BD!$A$3:$A$5001,"&gt;="&amp;$C$7,BD!$A$3:$A$5001,"&lt;="&amp;$B143,BD!$X$3:$X$5001,"&lt;&gt;"))))</f>
        <v/>
      </c>
      <c r="M143" s="43" t="str">
        <f>IF(OR($B143="",$A143&gt;$B$9,M$140=""),"",IF(COUNTIFS(BD!$B$3:$B$5001,M$140,BD!$A$3:$A$5001,"&gt;="&amp;$C$7,BD!$A$3:$A$5001,"&lt;="&amp;$B143,BD!$X$3:$X$5001,"&lt;&gt;")=0,"",SUMIFS(BD!$X$3:$X$5001,BD!$B$3:$B$5001,M$140,BD!$A$3:$A$5001,_xlfn.MAXIFS(BD!$A$3:$A$5001,BD!$B$3:$B$5001,M$140,BD!$A$3:$A$5001,"&gt;="&amp;$C$7,BD!$A$3:$A$5001,"&lt;="&amp;$B143,BD!$X$3:$X$5001,"&lt;&gt;"))))</f>
        <v/>
      </c>
      <c r="N143" s="43" t="str">
        <f>IF(OR($B143="",$A143&gt;$B$9,N$140=""),"",IF(COUNTIFS(BD!$B$3:$B$5001,N$140,BD!$A$3:$A$5001,"&gt;="&amp;$C$7,BD!$A$3:$A$5001,"&lt;="&amp;$B143,BD!$X$3:$X$5001,"&lt;&gt;")=0,"",SUMIFS(BD!$X$3:$X$5001,BD!$B$3:$B$5001,N$140,BD!$A$3:$A$5001,_xlfn.MAXIFS(BD!$A$3:$A$5001,BD!$B$3:$B$5001,N$140,BD!$A$3:$A$5001,"&gt;="&amp;$C$7,BD!$A$3:$A$5001,"&lt;="&amp;$B143,BD!$X$3:$X$5001,"&lt;&gt;"))))</f>
        <v/>
      </c>
      <c r="O143" s="43" t="str">
        <f>IF(OR($B143="",$A143&gt;$B$9,O$140=""),"",IF(COUNTIFS(BD!$B$3:$B$5001,O$140,BD!$A$3:$A$5001,"&gt;="&amp;$C$7,BD!$A$3:$A$5001,"&lt;="&amp;$B143,BD!$X$3:$X$5001,"&lt;&gt;")=0,"",SUMIFS(BD!$X$3:$X$5001,BD!$B$3:$B$5001,O$140,BD!$A$3:$A$5001,_xlfn.MAXIFS(BD!$A$3:$A$5001,BD!$B$3:$B$5001,O$140,BD!$A$3:$A$5001,"&gt;="&amp;$C$7,BD!$A$3:$A$5001,"&lt;="&amp;$B143,BD!$X$3:$X$5001,"&lt;&gt;"))))</f>
        <v/>
      </c>
      <c r="P143" s="43" t="str">
        <f>IF(OR($B143="",$A143&gt;$B$9,P$140=""),"",IF(COUNTIFS(BD!$B$3:$B$5001,P$140,BD!$A$3:$A$5001,"&gt;="&amp;$C$7,BD!$A$3:$A$5001,"&lt;="&amp;$B143,BD!$X$3:$X$5001,"&lt;&gt;")=0,"",SUMIFS(BD!$X$3:$X$5001,BD!$B$3:$B$5001,P$140,BD!$A$3:$A$5001,_xlfn.MAXIFS(BD!$A$3:$A$5001,BD!$B$3:$B$5001,P$140,BD!$A$3:$A$5001,"&gt;="&amp;$C$7,BD!$A$3:$A$5001,"&lt;="&amp;$B143,BD!$X$3:$X$5001,"&lt;&gt;"))))</f>
        <v/>
      </c>
      <c r="Q143" s="43" t="str">
        <f>IF(OR($B143="",$A143&gt;$B$9,Q$140=""),"",IF(COUNTIFS(BD!$B$3:$B$5001,Q$140,BD!$A$3:$A$5001,"&gt;="&amp;$C$7,BD!$A$3:$A$5001,"&lt;="&amp;$B143,BD!$X$3:$X$5001,"&lt;&gt;")=0,"",SUMIFS(BD!$X$3:$X$5001,BD!$B$3:$B$5001,Q$140,BD!$A$3:$A$5001,_xlfn.MAXIFS(BD!$A$3:$A$5001,BD!$B$3:$B$5001,Q$140,BD!$A$3:$A$5001,"&gt;="&amp;$C$7,BD!$A$3:$A$5001,"&lt;="&amp;$B143,BD!$X$3:$X$5001,"&lt;&gt;"))))</f>
        <v/>
      </c>
      <c r="R143" s="43" t="str">
        <f>IF(OR($B143="",$A143&gt;$B$9,R$140=""),"",IF(COUNTIFS(BD!$B$3:$B$5001,R$140,BD!$A$3:$A$5001,"&gt;="&amp;$C$7,BD!$A$3:$A$5001,"&lt;="&amp;$B143,BD!$X$3:$X$5001,"&lt;&gt;")=0,"",SUMIFS(BD!$X$3:$X$5001,BD!$B$3:$B$5001,R$140,BD!$A$3:$A$5001,_xlfn.MAXIFS(BD!$A$3:$A$5001,BD!$B$3:$B$5001,R$140,BD!$A$3:$A$5001,"&gt;="&amp;$C$7,BD!$A$3:$A$5001,"&lt;="&amp;$B143,BD!$X$3:$X$5001,"&lt;&gt;"))))</f>
        <v/>
      </c>
      <c r="S143" s="43" t="str">
        <f>IF(OR($B143="",$A143&gt;$B$9,S$140=""),"",IF(COUNTIFS(BD!$B$3:$B$5001,S$140,BD!$A$3:$A$5001,"&gt;="&amp;$C$7,BD!$A$3:$A$5001,"&lt;="&amp;$B143,BD!$X$3:$X$5001,"&lt;&gt;")=0,"",SUMIFS(BD!$X$3:$X$5001,BD!$B$3:$B$5001,S$140,BD!$A$3:$A$5001,_xlfn.MAXIFS(BD!$A$3:$A$5001,BD!$B$3:$B$5001,S$140,BD!$A$3:$A$5001,"&gt;="&amp;$C$7,BD!$A$3:$A$5001,"&lt;="&amp;$B143,BD!$X$3:$X$5001,"&lt;&gt;"))))</f>
        <v/>
      </c>
      <c r="T143" s="43" t="str">
        <f>IF(OR($B143="",$A143&gt;$B$9,T$140=""),"",IF(COUNTIFS(BD!$B$3:$B$5001,T$140,BD!$A$3:$A$5001,"&gt;="&amp;$C$7,BD!$A$3:$A$5001,"&lt;="&amp;$B143,BD!$X$3:$X$5001,"&lt;&gt;")=0,"",SUMIFS(BD!$X$3:$X$5001,BD!$B$3:$B$5001,T$140,BD!$A$3:$A$5001,_xlfn.MAXIFS(BD!$A$3:$A$5001,BD!$B$3:$B$5001,T$140,BD!$A$3:$A$5001,"&gt;="&amp;$C$7,BD!$A$3:$A$5001,"&lt;="&amp;$B143,BD!$X$3:$X$5001,"&lt;&gt;"))))</f>
        <v/>
      </c>
      <c r="U143" s="43" t="str">
        <f>IF(OR($B143="",$A143&gt;$B$9,U$140=""),"",IF(COUNTIFS(BD!$B$3:$B$5001,U$140,BD!$A$3:$A$5001,"&gt;="&amp;$C$7,BD!$A$3:$A$5001,"&lt;="&amp;$B143,BD!$X$3:$X$5001,"&lt;&gt;")=0,"",SUMIFS(BD!$X$3:$X$5001,BD!$B$3:$B$5001,U$140,BD!$A$3:$A$5001,_xlfn.MAXIFS(BD!$A$3:$A$5001,BD!$B$3:$B$5001,U$140,BD!$A$3:$A$5001,"&gt;="&amp;$C$7,BD!$A$3:$A$5001,"&lt;="&amp;$B143,BD!$X$3:$X$5001,"&lt;&gt;"))))</f>
        <v/>
      </c>
      <c r="V143" s="43" t="str">
        <f>IF(OR($B143="",$A143&gt;$B$9,V$140=""),"",IF(COUNTIFS(BD!$B$3:$B$5001,V$140,BD!$A$3:$A$5001,"&gt;="&amp;$C$7,BD!$A$3:$A$5001,"&lt;="&amp;$B143,BD!$X$3:$X$5001,"&lt;&gt;")=0,"",SUMIFS(BD!$X$3:$X$5001,BD!$B$3:$B$5001,V$140,BD!$A$3:$A$5001,_xlfn.MAXIFS(BD!$A$3:$A$5001,BD!$B$3:$B$5001,V$140,BD!$A$3:$A$5001,"&gt;="&amp;$C$7,BD!$A$3:$A$5001,"&lt;="&amp;$B143,BD!$X$3:$X$5001,"&lt;&gt;"))))</f>
        <v/>
      </c>
    </row>
    <row r="144">
      <c r="A144" s="38">
        <v>4</v>
      </c>
      <c r="B144" s="42">
        <f>$B$15</f>
        <v>46299</v>
      </c>
      <c r="C144" s="43" t="str">
        <f>IF(OR($B144="",$A144&gt;$B$9,C$140=""),"",IF(COUNTIFS(BD!$B$3:$B$5001,C$140,BD!$A$3:$A$5001,"&gt;="&amp;$C$7,BD!$A$3:$A$5001,"&lt;="&amp;$B144,BD!$X$3:$X$5001,"&lt;&gt;")=0,"",SUMIFS(BD!$X$3:$X$5001,BD!$B$3:$B$5001,C$140,BD!$A$3:$A$5001,_xlfn.MAXIFS(BD!$A$3:$A$5001,BD!$B$3:$B$5001,C$140,BD!$A$3:$A$5001,"&gt;="&amp;$C$7,BD!$A$3:$A$5001,"&lt;="&amp;$B144,BD!$X$3:$X$5001,"&lt;&gt;"))))</f>
        <v/>
      </c>
      <c r="D144" s="43" t="str">
        <f>IF(OR($B144="",$A144&gt;$B$9,D$140=""),"",IF(COUNTIFS(BD!$B$3:$B$5001,D$140,BD!$A$3:$A$5001,"&gt;="&amp;$C$7,BD!$A$3:$A$5001,"&lt;="&amp;$B144,BD!$X$3:$X$5001,"&lt;&gt;")=0,"",SUMIFS(BD!$X$3:$X$5001,BD!$B$3:$B$5001,D$140,BD!$A$3:$A$5001,_xlfn.MAXIFS(BD!$A$3:$A$5001,BD!$B$3:$B$5001,D$140,BD!$A$3:$A$5001,"&gt;="&amp;$C$7,BD!$A$3:$A$5001,"&lt;="&amp;$B144,BD!$X$3:$X$5001,"&lt;&gt;"))))</f>
        <v/>
      </c>
      <c r="E144" s="43" t="str">
        <f>IF(OR($B144="",$A144&gt;$B$9,E$140=""),"",IF(COUNTIFS(BD!$B$3:$B$5001,E$140,BD!$A$3:$A$5001,"&gt;="&amp;$C$7,BD!$A$3:$A$5001,"&lt;="&amp;$B144,BD!$X$3:$X$5001,"&lt;&gt;")=0,"",SUMIFS(BD!$X$3:$X$5001,BD!$B$3:$B$5001,E$140,BD!$A$3:$A$5001,_xlfn.MAXIFS(BD!$A$3:$A$5001,BD!$B$3:$B$5001,E$140,BD!$A$3:$A$5001,"&gt;="&amp;$C$7,BD!$A$3:$A$5001,"&lt;="&amp;$B144,BD!$X$3:$X$5001,"&lt;&gt;"))))</f>
        <v/>
      </c>
      <c r="F144" s="43" t="str">
        <f>IF(OR($B144="",$A144&gt;$B$9,F$140=""),"",IF(COUNTIFS(BD!$B$3:$B$5001,F$140,BD!$A$3:$A$5001,"&gt;="&amp;$C$7,BD!$A$3:$A$5001,"&lt;="&amp;$B144,BD!$X$3:$X$5001,"&lt;&gt;")=0,"",SUMIFS(BD!$X$3:$X$5001,BD!$B$3:$B$5001,F$140,BD!$A$3:$A$5001,_xlfn.MAXIFS(BD!$A$3:$A$5001,BD!$B$3:$B$5001,F$140,BD!$A$3:$A$5001,"&gt;="&amp;$C$7,BD!$A$3:$A$5001,"&lt;="&amp;$B144,BD!$X$3:$X$5001,"&lt;&gt;"))))</f>
        <v/>
      </c>
      <c r="G144" s="43" t="str">
        <f>IF(OR($B144="",$A144&gt;$B$9,G$140=""),"",IF(COUNTIFS(BD!$B$3:$B$5001,G$140,BD!$A$3:$A$5001,"&gt;="&amp;$C$7,BD!$A$3:$A$5001,"&lt;="&amp;$B144,BD!$X$3:$X$5001,"&lt;&gt;")=0,"",SUMIFS(BD!$X$3:$X$5001,BD!$B$3:$B$5001,G$140,BD!$A$3:$A$5001,_xlfn.MAXIFS(BD!$A$3:$A$5001,BD!$B$3:$B$5001,G$140,BD!$A$3:$A$5001,"&gt;="&amp;$C$7,BD!$A$3:$A$5001,"&lt;="&amp;$B144,BD!$X$3:$X$5001,"&lt;&gt;"))))</f>
        <v/>
      </c>
      <c r="H144" s="43" t="str">
        <f>IF(OR($B144="",$A144&gt;$B$9,H$140=""),"",IF(COUNTIFS(BD!$B$3:$B$5001,H$140,BD!$A$3:$A$5001,"&gt;="&amp;$C$7,BD!$A$3:$A$5001,"&lt;="&amp;$B144,BD!$X$3:$X$5001,"&lt;&gt;")=0,"",SUMIFS(BD!$X$3:$X$5001,BD!$B$3:$B$5001,H$140,BD!$A$3:$A$5001,_xlfn.MAXIFS(BD!$A$3:$A$5001,BD!$B$3:$B$5001,H$140,BD!$A$3:$A$5001,"&gt;="&amp;$C$7,BD!$A$3:$A$5001,"&lt;="&amp;$B144,BD!$X$3:$X$5001,"&lt;&gt;"))))</f>
        <v/>
      </c>
      <c r="I144" s="43" t="str">
        <f>IF(OR($B144="",$A144&gt;$B$9,I$140=""),"",IF(COUNTIFS(BD!$B$3:$B$5001,I$140,BD!$A$3:$A$5001,"&gt;="&amp;$C$7,BD!$A$3:$A$5001,"&lt;="&amp;$B144,BD!$X$3:$X$5001,"&lt;&gt;")=0,"",SUMIFS(BD!$X$3:$X$5001,BD!$B$3:$B$5001,I$140,BD!$A$3:$A$5001,_xlfn.MAXIFS(BD!$A$3:$A$5001,BD!$B$3:$B$5001,I$140,BD!$A$3:$A$5001,"&gt;="&amp;$C$7,BD!$A$3:$A$5001,"&lt;="&amp;$B144,BD!$X$3:$X$5001,"&lt;&gt;"))))</f>
        <v/>
      </c>
      <c r="J144" s="43" t="str">
        <f>IF(OR($B144="",$A144&gt;$B$9,J$140=""),"",IF(COUNTIFS(BD!$B$3:$B$5001,J$140,BD!$A$3:$A$5001,"&gt;="&amp;$C$7,BD!$A$3:$A$5001,"&lt;="&amp;$B144,BD!$X$3:$X$5001,"&lt;&gt;")=0,"",SUMIFS(BD!$X$3:$X$5001,BD!$B$3:$B$5001,J$140,BD!$A$3:$A$5001,_xlfn.MAXIFS(BD!$A$3:$A$5001,BD!$B$3:$B$5001,J$140,BD!$A$3:$A$5001,"&gt;="&amp;$C$7,BD!$A$3:$A$5001,"&lt;="&amp;$B144,BD!$X$3:$X$5001,"&lt;&gt;"))))</f>
        <v/>
      </c>
      <c r="K144" s="43" t="str">
        <f>IF(OR($B144="",$A144&gt;$B$9,K$140=""),"",IF(COUNTIFS(BD!$B$3:$B$5001,K$140,BD!$A$3:$A$5001,"&gt;="&amp;$C$7,BD!$A$3:$A$5001,"&lt;="&amp;$B144,BD!$X$3:$X$5001,"&lt;&gt;")=0,"",SUMIFS(BD!$X$3:$X$5001,BD!$B$3:$B$5001,K$140,BD!$A$3:$A$5001,_xlfn.MAXIFS(BD!$A$3:$A$5001,BD!$B$3:$B$5001,K$140,BD!$A$3:$A$5001,"&gt;="&amp;$C$7,BD!$A$3:$A$5001,"&lt;="&amp;$B144,BD!$X$3:$X$5001,"&lt;&gt;"))))</f>
        <v/>
      </c>
      <c r="L144" s="43" t="str">
        <f>IF(OR($B144="",$A144&gt;$B$9,L$140=""),"",IF(COUNTIFS(BD!$B$3:$B$5001,L$140,BD!$A$3:$A$5001,"&gt;="&amp;$C$7,BD!$A$3:$A$5001,"&lt;="&amp;$B144,BD!$X$3:$X$5001,"&lt;&gt;")=0,"",SUMIFS(BD!$X$3:$X$5001,BD!$B$3:$B$5001,L$140,BD!$A$3:$A$5001,_xlfn.MAXIFS(BD!$A$3:$A$5001,BD!$B$3:$B$5001,L$140,BD!$A$3:$A$5001,"&gt;="&amp;$C$7,BD!$A$3:$A$5001,"&lt;="&amp;$B144,BD!$X$3:$X$5001,"&lt;&gt;"))))</f>
        <v/>
      </c>
      <c r="M144" s="43" t="str">
        <f>IF(OR($B144="",$A144&gt;$B$9,M$140=""),"",IF(COUNTIFS(BD!$B$3:$B$5001,M$140,BD!$A$3:$A$5001,"&gt;="&amp;$C$7,BD!$A$3:$A$5001,"&lt;="&amp;$B144,BD!$X$3:$X$5001,"&lt;&gt;")=0,"",SUMIFS(BD!$X$3:$X$5001,BD!$B$3:$B$5001,M$140,BD!$A$3:$A$5001,_xlfn.MAXIFS(BD!$A$3:$A$5001,BD!$B$3:$B$5001,M$140,BD!$A$3:$A$5001,"&gt;="&amp;$C$7,BD!$A$3:$A$5001,"&lt;="&amp;$B144,BD!$X$3:$X$5001,"&lt;&gt;"))))</f>
        <v/>
      </c>
      <c r="N144" s="43" t="str">
        <f>IF(OR($B144="",$A144&gt;$B$9,N$140=""),"",IF(COUNTIFS(BD!$B$3:$B$5001,N$140,BD!$A$3:$A$5001,"&gt;="&amp;$C$7,BD!$A$3:$A$5001,"&lt;="&amp;$B144,BD!$X$3:$X$5001,"&lt;&gt;")=0,"",SUMIFS(BD!$X$3:$X$5001,BD!$B$3:$B$5001,N$140,BD!$A$3:$A$5001,_xlfn.MAXIFS(BD!$A$3:$A$5001,BD!$B$3:$B$5001,N$140,BD!$A$3:$A$5001,"&gt;="&amp;$C$7,BD!$A$3:$A$5001,"&lt;="&amp;$B144,BD!$X$3:$X$5001,"&lt;&gt;"))))</f>
        <v/>
      </c>
      <c r="O144" s="43" t="str">
        <f>IF(OR($B144="",$A144&gt;$B$9,O$140=""),"",IF(COUNTIFS(BD!$B$3:$B$5001,O$140,BD!$A$3:$A$5001,"&gt;="&amp;$C$7,BD!$A$3:$A$5001,"&lt;="&amp;$B144,BD!$X$3:$X$5001,"&lt;&gt;")=0,"",SUMIFS(BD!$X$3:$X$5001,BD!$B$3:$B$5001,O$140,BD!$A$3:$A$5001,_xlfn.MAXIFS(BD!$A$3:$A$5001,BD!$B$3:$B$5001,O$140,BD!$A$3:$A$5001,"&gt;="&amp;$C$7,BD!$A$3:$A$5001,"&lt;="&amp;$B144,BD!$X$3:$X$5001,"&lt;&gt;"))))</f>
        <v/>
      </c>
      <c r="P144" s="43" t="str">
        <f>IF(OR($B144="",$A144&gt;$B$9,P$140=""),"",IF(COUNTIFS(BD!$B$3:$B$5001,P$140,BD!$A$3:$A$5001,"&gt;="&amp;$C$7,BD!$A$3:$A$5001,"&lt;="&amp;$B144,BD!$X$3:$X$5001,"&lt;&gt;")=0,"",SUMIFS(BD!$X$3:$X$5001,BD!$B$3:$B$5001,P$140,BD!$A$3:$A$5001,_xlfn.MAXIFS(BD!$A$3:$A$5001,BD!$B$3:$B$5001,P$140,BD!$A$3:$A$5001,"&gt;="&amp;$C$7,BD!$A$3:$A$5001,"&lt;="&amp;$B144,BD!$X$3:$X$5001,"&lt;&gt;"))))</f>
        <v/>
      </c>
      <c r="Q144" s="43" t="str">
        <f>IF(OR($B144="",$A144&gt;$B$9,Q$140=""),"",IF(COUNTIFS(BD!$B$3:$B$5001,Q$140,BD!$A$3:$A$5001,"&gt;="&amp;$C$7,BD!$A$3:$A$5001,"&lt;="&amp;$B144,BD!$X$3:$X$5001,"&lt;&gt;")=0,"",SUMIFS(BD!$X$3:$X$5001,BD!$B$3:$B$5001,Q$140,BD!$A$3:$A$5001,_xlfn.MAXIFS(BD!$A$3:$A$5001,BD!$B$3:$B$5001,Q$140,BD!$A$3:$A$5001,"&gt;="&amp;$C$7,BD!$A$3:$A$5001,"&lt;="&amp;$B144,BD!$X$3:$X$5001,"&lt;&gt;"))))</f>
        <v/>
      </c>
      <c r="R144" s="43" t="str">
        <f>IF(OR($B144="",$A144&gt;$B$9,R$140=""),"",IF(COUNTIFS(BD!$B$3:$B$5001,R$140,BD!$A$3:$A$5001,"&gt;="&amp;$C$7,BD!$A$3:$A$5001,"&lt;="&amp;$B144,BD!$X$3:$X$5001,"&lt;&gt;")=0,"",SUMIFS(BD!$X$3:$X$5001,BD!$B$3:$B$5001,R$140,BD!$A$3:$A$5001,_xlfn.MAXIFS(BD!$A$3:$A$5001,BD!$B$3:$B$5001,R$140,BD!$A$3:$A$5001,"&gt;="&amp;$C$7,BD!$A$3:$A$5001,"&lt;="&amp;$B144,BD!$X$3:$X$5001,"&lt;&gt;"))))</f>
        <v/>
      </c>
      <c r="S144" s="43" t="str">
        <f>IF(OR($B144="",$A144&gt;$B$9,S$140=""),"",IF(COUNTIFS(BD!$B$3:$B$5001,S$140,BD!$A$3:$A$5001,"&gt;="&amp;$C$7,BD!$A$3:$A$5001,"&lt;="&amp;$B144,BD!$X$3:$X$5001,"&lt;&gt;")=0,"",SUMIFS(BD!$X$3:$X$5001,BD!$B$3:$B$5001,S$140,BD!$A$3:$A$5001,_xlfn.MAXIFS(BD!$A$3:$A$5001,BD!$B$3:$B$5001,S$140,BD!$A$3:$A$5001,"&gt;="&amp;$C$7,BD!$A$3:$A$5001,"&lt;="&amp;$B144,BD!$X$3:$X$5001,"&lt;&gt;"))))</f>
        <v/>
      </c>
      <c r="T144" s="43" t="str">
        <f>IF(OR($B144="",$A144&gt;$B$9,T$140=""),"",IF(COUNTIFS(BD!$B$3:$B$5001,T$140,BD!$A$3:$A$5001,"&gt;="&amp;$C$7,BD!$A$3:$A$5001,"&lt;="&amp;$B144,BD!$X$3:$X$5001,"&lt;&gt;")=0,"",SUMIFS(BD!$X$3:$X$5001,BD!$B$3:$B$5001,T$140,BD!$A$3:$A$5001,_xlfn.MAXIFS(BD!$A$3:$A$5001,BD!$B$3:$B$5001,T$140,BD!$A$3:$A$5001,"&gt;="&amp;$C$7,BD!$A$3:$A$5001,"&lt;="&amp;$B144,BD!$X$3:$X$5001,"&lt;&gt;"))))</f>
        <v/>
      </c>
      <c r="U144" s="43" t="str">
        <f>IF(OR($B144="",$A144&gt;$B$9,U$140=""),"",IF(COUNTIFS(BD!$B$3:$B$5001,U$140,BD!$A$3:$A$5001,"&gt;="&amp;$C$7,BD!$A$3:$A$5001,"&lt;="&amp;$B144,BD!$X$3:$X$5001,"&lt;&gt;")=0,"",SUMIFS(BD!$X$3:$X$5001,BD!$B$3:$B$5001,U$140,BD!$A$3:$A$5001,_xlfn.MAXIFS(BD!$A$3:$A$5001,BD!$B$3:$B$5001,U$140,BD!$A$3:$A$5001,"&gt;="&amp;$C$7,BD!$A$3:$A$5001,"&lt;="&amp;$B144,BD!$X$3:$X$5001,"&lt;&gt;"))))</f>
        <v/>
      </c>
      <c r="V144" s="43" t="str">
        <f>IF(OR($B144="",$A144&gt;$B$9,V$140=""),"",IF(COUNTIFS(BD!$B$3:$B$5001,V$140,BD!$A$3:$A$5001,"&gt;="&amp;$C$7,BD!$A$3:$A$5001,"&lt;="&amp;$B144,BD!$X$3:$X$5001,"&lt;&gt;")=0,"",SUMIFS(BD!$X$3:$X$5001,BD!$B$3:$B$5001,V$140,BD!$A$3:$A$5001,_xlfn.MAXIFS(BD!$A$3:$A$5001,BD!$B$3:$B$5001,V$140,BD!$A$3:$A$5001,"&gt;="&amp;$C$7,BD!$A$3:$A$5001,"&lt;="&amp;$B144,BD!$X$3:$X$5001,"&lt;&gt;"))))</f>
        <v/>
      </c>
    </row>
    <row r="145">
      <c r="A145" s="38">
        <v>5</v>
      </c>
      <c r="B145" s="42">
        <f>$B$16</f>
        <v>46300</v>
      </c>
      <c r="C145" s="43" t="str">
        <f>IF(OR($B145="",$A145&gt;$B$9,C$140=""),"",IF(COUNTIFS(BD!$B$3:$B$5001,C$140,BD!$A$3:$A$5001,"&gt;="&amp;$C$7,BD!$A$3:$A$5001,"&lt;="&amp;$B145,BD!$X$3:$X$5001,"&lt;&gt;")=0,"",SUMIFS(BD!$X$3:$X$5001,BD!$B$3:$B$5001,C$140,BD!$A$3:$A$5001,_xlfn.MAXIFS(BD!$A$3:$A$5001,BD!$B$3:$B$5001,C$140,BD!$A$3:$A$5001,"&gt;="&amp;$C$7,BD!$A$3:$A$5001,"&lt;="&amp;$B145,BD!$X$3:$X$5001,"&lt;&gt;"))))</f>
        <v/>
      </c>
      <c r="D145" s="43" t="str">
        <f>IF(OR($B145="",$A145&gt;$B$9,D$140=""),"",IF(COUNTIFS(BD!$B$3:$B$5001,D$140,BD!$A$3:$A$5001,"&gt;="&amp;$C$7,BD!$A$3:$A$5001,"&lt;="&amp;$B145,BD!$X$3:$X$5001,"&lt;&gt;")=0,"",SUMIFS(BD!$X$3:$X$5001,BD!$B$3:$B$5001,D$140,BD!$A$3:$A$5001,_xlfn.MAXIFS(BD!$A$3:$A$5001,BD!$B$3:$B$5001,D$140,BD!$A$3:$A$5001,"&gt;="&amp;$C$7,BD!$A$3:$A$5001,"&lt;="&amp;$B145,BD!$X$3:$X$5001,"&lt;&gt;"))))</f>
        <v/>
      </c>
      <c r="E145" s="43" t="str">
        <f>IF(OR($B145="",$A145&gt;$B$9,E$140=""),"",IF(COUNTIFS(BD!$B$3:$B$5001,E$140,BD!$A$3:$A$5001,"&gt;="&amp;$C$7,BD!$A$3:$A$5001,"&lt;="&amp;$B145,BD!$X$3:$X$5001,"&lt;&gt;")=0,"",SUMIFS(BD!$X$3:$X$5001,BD!$B$3:$B$5001,E$140,BD!$A$3:$A$5001,_xlfn.MAXIFS(BD!$A$3:$A$5001,BD!$B$3:$B$5001,E$140,BD!$A$3:$A$5001,"&gt;="&amp;$C$7,BD!$A$3:$A$5001,"&lt;="&amp;$B145,BD!$X$3:$X$5001,"&lt;&gt;"))))</f>
        <v/>
      </c>
      <c r="F145" s="43" t="str">
        <f>IF(OR($B145="",$A145&gt;$B$9,F$140=""),"",IF(COUNTIFS(BD!$B$3:$B$5001,F$140,BD!$A$3:$A$5001,"&gt;="&amp;$C$7,BD!$A$3:$A$5001,"&lt;="&amp;$B145,BD!$X$3:$X$5001,"&lt;&gt;")=0,"",SUMIFS(BD!$X$3:$X$5001,BD!$B$3:$B$5001,F$140,BD!$A$3:$A$5001,_xlfn.MAXIFS(BD!$A$3:$A$5001,BD!$B$3:$B$5001,F$140,BD!$A$3:$A$5001,"&gt;="&amp;$C$7,BD!$A$3:$A$5001,"&lt;="&amp;$B145,BD!$X$3:$X$5001,"&lt;&gt;"))))</f>
        <v/>
      </c>
      <c r="G145" s="43" t="str">
        <f>IF(OR($B145="",$A145&gt;$B$9,G$140=""),"",IF(COUNTIFS(BD!$B$3:$B$5001,G$140,BD!$A$3:$A$5001,"&gt;="&amp;$C$7,BD!$A$3:$A$5001,"&lt;="&amp;$B145,BD!$X$3:$X$5001,"&lt;&gt;")=0,"",SUMIFS(BD!$X$3:$X$5001,BD!$B$3:$B$5001,G$140,BD!$A$3:$A$5001,_xlfn.MAXIFS(BD!$A$3:$A$5001,BD!$B$3:$B$5001,G$140,BD!$A$3:$A$5001,"&gt;="&amp;$C$7,BD!$A$3:$A$5001,"&lt;="&amp;$B145,BD!$X$3:$X$5001,"&lt;&gt;"))))</f>
        <v/>
      </c>
      <c r="H145" s="43" t="str">
        <f>IF(OR($B145="",$A145&gt;$B$9,H$140=""),"",IF(COUNTIFS(BD!$B$3:$B$5001,H$140,BD!$A$3:$A$5001,"&gt;="&amp;$C$7,BD!$A$3:$A$5001,"&lt;="&amp;$B145,BD!$X$3:$X$5001,"&lt;&gt;")=0,"",SUMIFS(BD!$X$3:$X$5001,BD!$B$3:$B$5001,H$140,BD!$A$3:$A$5001,_xlfn.MAXIFS(BD!$A$3:$A$5001,BD!$B$3:$B$5001,H$140,BD!$A$3:$A$5001,"&gt;="&amp;$C$7,BD!$A$3:$A$5001,"&lt;="&amp;$B145,BD!$X$3:$X$5001,"&lt;&gt;"))))</f>
        <v/>
      </c>
      <c r="I145" s="43" t="str">
        <f>IF(OR($B145="",$A145&gt;$B$9,I$140=""),"",IF(COUNTIFS(BD!$B$3:$B$5001,I$140,BD!$A$3:$A$5001,"&gt;="&amp;$C$7,BD!$A$3:$A$5001,"&lt;="&amp;$B145,BD!$X$3:$X$5001,"&lt;&gt;")=0,"",SUMIFS(BD!$X$3:$X$5001,BD!$B$3:$B$5001,I$140,BD!$A$3:$A$5001,_xlfn.MAXIFS(BD!$A$3:$A$5001,BD!$B$3:$B$5001,I$140,BD!$A$3:$A$5001,"&gt;="&amp;$C$7,BD!$A$3:$A$5001,"&lt;="&amp;$B145,BD!$X$3:$X$5001,"&lt;&gt;"))))</f>
        <v/>
      </c>
      <c r="J145" s="43" t="str">
        <f>IF(OR($B145="",$A145&gt;$B$9,J$140=""),"",IF(COUNTIFS(BD!$B$3:$B$5001,J$140,BD!$A$3:$A$5001,"&gt;="&amp;$C$7,BD!$A$3:$A$5001,"&lt;="&amp;$B145,BD!$X$3:$X$5001,"&lt;&gt;")=0,"",SUMIFS(BD!$X$3:$X$5001,BD!$B$3:$B$5001,J$140,BD!$A$3:$A$5001,_xlfn.MAXIFS(BD!$A$3:$A$5001,BD!$B$3:$B$5001,J$140,BD!$A$3:$A$5001,"&gt;="&amp;$C$7,BD!$A$3:$A$5001,"&lt;="&amp;$B145,BD!$X$3:$X$5001,"&lt;&gt;"))))</f>
        <v/>
      </c>
      <c r="K145" s="43" t="str">
        <f>IF(OR($B145="",$A145&gt;$B$9,K$140=""),"",IF(COUNTIFS(BD!$B$3:$B$5001,K$140,BD!$A$3:$A$5001,"&gt;="&amp;$C$7,BD!$A$3:$A$5001,"&lt;="&amp;$B145,BD!$X$3:$X$5001,"&lt;&gt;")=0,"",SUMIFS(BD!$X$3:$X$5001,BD!$B$3:$B$5001,K$140,BD!$A$3:$A$5001,_xlfn.MAXIFS(BD!$A$3:$A$5001,BD!$B$3:$B$5001,K$140,BD!$A$3:$A$5001,"&gt;="&amp;$C$7,BD!$A$3:$A$5001,"&lt;="&amp;$B145,BD!$X$3:$X$5001,"&lt;&gt;"))))</f>
        <v/>
      </c>
      <c r="L145" s="43" t="str">
        <f>IF(OR($B145="",$A145&gt;$B$9,L$140=""),"",IF(COUNTIFS(BD!$B$3:$B$5001,L$140,BD!$A$3:$A$5001,"&gt;="&amp;$C$7,BD!$A$3:$A$5001,"&lt;="&amp;$B145,BD!$X$3:$X$5001,"&lt;&gt;")=0,"",SUMIFS(BD!$X$3:$X$5001,BD!$B$3:$B$5001,L$140,BD!$A$3:$A$5001,_xlfn.MAXIFS(BD!$A$3:$A$5001,BD!$B$3:$B$5001,L$140,BD!$A$3:$A$5001,"&gt;="&amp;$C$7,BD!$A$3:$A$5001,"&lt;="&amp;$B145,BD!$X$3:$X$5001,"&lt;&gt;"))))</f>
        <v/>
      </c>
      <c r="M145" s="43" t="str">
        <f>IF(OR($B145="",$A145&gt;$B$9,M$140=""),"",IF(COUNTIFS(BD!$B$3:$B$5001,M$140,BD!$A$3:$A$5001,"&gt;="&amp;$C$7,BD!$A$3:$A$5001,"&lt;="&amp;$B145,BD!$X$3:$X$5001,"&lt;&gt;")=0,"",SUMIFS(BD!$X$3:$X$5001,BD!$B$3:$B$5001,M$140,BD!$A$3:$A$5001,_xlfn.MAXIFS(BD!$A$3:$A$5001,BD!$B$3:$B$5001,M$140,BD!$A$3:$A$5001,"&gt;="&amp;$C$7,BD!$A$3:$A$5001,"&lt;="&amp;$B145,BD!$X$3:$X$5001,"&lt;&gt;"))))</f>
        <v/>
      </c>
      <c r="N145" s="43" t="str">
        <f>IF(OR($B145="",$A145&gt;$B$9,N$140=""),"",IF(COUNTIFS(BD!$B$3:$B$5001,N$140,BD!$A$3:$A$5001,"&gt;="&amp;$C$7,BD!$A$3:$A$5001,"&lt;="&amp;$B145,BD!$X$3:$X$5001,"&lt;&gt;")=0,"",SUMIFS(BD!$X$3:$X$5001,BD!$B$3:$B$5001,N$140,BD!$A$3:$A$5001,_xlfn.MAXIFS(BD!$A$3:$A$5001,BD!$B$3:$B$5001,N$140,BD!$A$3:$A$5001,"&gt;="&amp;$C$7,BD!$A$3:$A$5001,"&lt;="&amp;$B145,BD!$X$3:$X$5001,"&lt;&gt;"))))</f>
        <v/>
      </c>
      <c r="O145" s="43" t="str">
        <f>IF(OR($B145="",$A145&gt;$B$9,O$140=""),"",IF(COUNTIFS(BD!$B$3:$B$5001,O$140,BD!$A$3:$A$5001,"&gt;="&amp;$C$7,BD!$A$3:$A$5001,"&lt;="&amp;$B145,BD!$X$3:$X$5001,"&lt;&gt;")=0,"",SUMIFS(BD!$X$3:$X$5001,BD!$B$3:$B$5001,O$140,BD!$A$3:$A$5001,_xlfn.MAXIFS(BD!$A$3:$A$5001,BD!$B$3:$B$5001,O$140,BD!$A$3:$A$5001,"&gt;="&amp;$C$7,BD!$A$3:$A$5001,"&lt;="&amp;$B145,BD!$X$3:$X$5001,"&lt;&gt;"))))</f>
        <v/>
      </c>
      <c r="P145" s="43" t="str">
        <f>IF(OR($B145="",$A145&gt;$B$9,P$140=""),"",IF(COUNTIFS(BD!$B$3:$B$5001,P$140,BD!$A$3:$A$5001,"&gt;="&amp;$C$7,BD!$A$3:$A$5001,"&lt;="&amp;$B145,BD!$X$3:$X$5001,"&lt;&gt;")=0,"",SUMIFS(BD!$X$3:$X$5001,BD!$B$3:$B$5001,P$140,BD!$A$3:$A$5001,_xlfn.MAXIFS(BD!$A$3:$A$5001,BD!$B$3:$B$5001,P$140,BD!$A$3:$A$5001,"&gt;="&amp;$C$7,BD!$A$3:$A$5001,"&lt;="&amp;$B145,BD!$X$3:$X$5001,"&lt;&gt;"))))</f>
        <v/>
      </c>
      <c r="Q145" s="43" t="str">
        <f>IF(OR($B145="",$A145&gt;$B$9,Q$140=""),"",IF(COUNTIFS(BD!$B$3:$B$5001,Q$140,BD!$A$3:$A$5001,"&gt;="&amp;$C$7,BD!$A$3:$A$5001,"&lt;="&amp;$B145,BD!$X$3:$X$5001,"&lt;&gt;")=0,"",SUMIFS(BD!$X$3:$X$5001,BD!$B$3:$B$5001,Q$140,BD!$A$3:$A$5001,_xlfn.MAXIFS(BD!$A$3:$A$5001,BD!$B$3:$B$5001,Q$140,BD!$A$3:$A$5001,"&gt;="&amp;$C$7,BD!$A$3:$A$5001,"&lt;="&amp;$B145,BD!$X$3:$X$5001,"&lt;&gt;"))))</f>
        <v/>
      </c>
      <c r="R145" s="43" t="str">
        <f>IF(OR($B145="",$A145&gt;$B$9,R$140=""),"",IF(COUNTIFS(BD!$B$3:$B$5001,R$140,BD!$A$3:$A$5001,"&gt;="&amp;$C$7,BD!$A$3:$A$5001,"&lt;="&amp;$B145,BD!$X$3:$X$5001,"&lt;&gt;")=0,"",SUMIFS(BD!$X$3:$X$5001,BD!$B$3:$B$5001,R$140,BD!$A$3:$A$5001,_xlfn.MAXIFS(BD!$A$3:$A$5001,BD!$B$3:$B$5001,R$140,BD!$A$3:$A$5001,"&gt;="&amp;$C$7,BD!$A$3:$A$5001,"&lt;="&amp;$B145,BD!$X$3:$X$5001,"&lt;&gt;"))))</f>
        <v/>
      </c>
      <c r="S145" s="43" t="str">
        <f>IF(OR($B145="",$A145&gt;$B$9,S$140=""),"",IF(COUNTIFS(BD!$B$3:$B$5001,S$140,BD!$A$3:$A$5001,"&gt;="&amp;$C$7,BD!$A$3:$A$5001,"&lt;="&amp;$B145,BD!$X$3:$X$5001,"&lt;&gt;")=0,"",SUMIFS(BD!$X$3:$X$5001,BD!$B$3:$B$5001,S$140,BD!$A$3:$A$5001,_xlfn.MAXIFS(BD!$A$3:$A$5001,BD!$B$3:$B$5001,S$140,BD!$A$3:$A$5001,"&gt;="&amp;$C$7,BD!$A$3:$A$5001,"&lt;="&amp;$B145,BD!$X$3:$X$5001,"&lt;&gt;"))))</f>
        <v/>
      </c>
      <c r="T145" s="43" t="str">
        <f>IF(OR($B145="",$A145&gt;$B$9,T$140=""),"",IF(COUNTIFS(BD!$B$3:$B$5001,T$140,BD!$A$3:$A$5001,"&gt;="&amp;$C$7,BD!$A$3:$A$5001,"&lt;="&amp;$B145,BD!$X$3:$X$5001,"&lt;&gt;")=0,"",SUMIFS(BD!$X$3:$X$5001,BD!$B$3:$B$5001,T$140,BD!$A$3:$A$5001,_xlfn.MAXIFS(BD!$A$3:$A$5001,BD!$B$3:$B$5001,T$140,BD!$A$3:$A$5001,"&gt;="&amp;$C$7,BD!$A$3:$A$5001,"&lt;="&amp;$B145,BD!$X$3:$X$5001,"&lt;&gt;"))))</f>
        <v/>
      </c>
      <c r="U145" s="43" t="str">
        <f>IF(OR($B145="",$A145&gt;$B$9,U$140=""),"",IF(COUNTIFS(BD!$B$3:$B$5001,U$140,BD!$A$3:$A$5001,"&gt;="&amp;$C$7,BD!$A$3:$A$5001,"&lt;="&amp;$B145,BD!$X$3:$X$5001,"&lt;&gt;")=0,"",SUMIFS(BD!$X$3:$X$5001,BD!$B$3:$B$5001,U$140,BD!$A$3:$A$5001,_xlfn.MAXIFS(BD!$A$3:$A$5001,BD!$B$3:$B$5001,U$140,BD!$A$3:$A$5001,"&gt;="&amp;$C$7,BD!$A$3:$A$5001,"&lt;="&amp;$B145,BD!$X$3:$X$5001,"&lt;&gt;"))))</f>
        <v/>
      </c>
      <c r="V145" s="43" t="str">
        <f>IF(OR($B145="",$A145&gt;$B$9,V$140=""),"",IF(COUNTIFS(BD!$B$3:$B$5001,V$140,BD!$A$3:$A$5001,"&gt;="&amp;$C$7,BD!$A$3:$A$5001,"&lt;="&amp;$B145,BD!$X$3:$X$5001,"&lt;&gt;")=0,"",SUMIFS(BD!$X$3:$X$5001,BD!$B$3:$B$5001,V$140,BD!$A$3:$A$5001,_xlfn.MAXIFS(BD!$A$3:$A$5001,BD!$B$3:$B$5001,V$140,BD!$A$3:$A$5001,"&gt;="&amp;$C$7,BD!$A$3:$A$5001,"&lt;="&amp;$B145,BD!$X$3:$X$5001,"&lt;&gt;"))))</f>
        <v/>
      </c>
    </row>
    <row r="146">
      <c r="A146" s="38">
        <v>6</v>
      </c>
      <c r="B146" s="42">
        <f>$B$17</f>
        <v>46301</v>
      </c>
      <c r="C146" s="43" t="str">
        <f>IF(OR($B146="",$A146&gt;$B$9,C$140=""),"",IF(COUNTIFS(BD!$B$3:$B$5001,C$140,BD!$A$3:$A$5001,"&gt;="&amp;$C$7,BD!$A$3:$A$5001,"&lt;="&amp;$B146,BD!$X$3:$X$5001,"&lt;&gt;")=0,"",SUMIFS(BD!$X$3:$X$5001,BD!$B$3:$B$5001,C$140,BD!$A$3:$A$5001,_xlfn.MAXIFS(BD!$A$3:$A$5001,BD!$B$3:$B$5001,C$140,BD!$A$3:$A$5001,"&gt;="&amp;$C$7,BD!$A$3:$A$5001,"&lt;="&amp;$B146,BD!$X$3:$X$5001,"&lt;&gt;"))))</f>
        <v/>
      </c>
      <c r="D146" s="43" t="str">
        <f>IF(OR($B146="",$A146&gt;$B$9,D$140=""),"",IF(COUNTIFS(BD!$B$3:$B$5001,D$140,BD!$A$3:$A$5001,"&gt;="&amp;$C$7,BD!$A$3:$A$5001,"&lt;="&amp;$B146,BD!$X$3:$X$5001,"&lt;&gt;")=0,"",SUMIFS(BD!$X$3:$X$5001,BD!$B$3:$B$5001,D$140,BD!$A$3:$A$5001,_xlfn.MAXIFS(BD!$A$3:$A$5001,BD!$B$3:$B$5001,D$140,BD!$A$3:$A$5001,"&gt;="&amp;$C$7,BD!$A$3:$A$5001,"&lt;="&amp;$B146,BD!$X$3:$X$5001,"&lt;&gt;"))))</f>
        <v/>
      </c>
      <c r="E146" s="43" t="str">
        <f>IF(OR($B146="",$A146&gt;$B$9,E$140=""),"",IF(COUNTIFS(BD!$B$3:$B$5001,E$140,BD!$A$3:$A$5001,"&gt;="&amp;$C$7,BD!$A$3:$A$5001,"&lt;="&amp;$B146,BD!$X$3:$X$5001,"&lt;&gt;")=0,"",SUMIFS(BD!$X$3:$X$5001,BD!$B$3:$B$5001,E$140,BD!$A$3:$A$5001,_xlfn.MAXIFS(BD!$A$3:$A$5001,BD!$B$3:$B$5001,E$140,BD!$A$3:$A$5001,"&gt;="&amp;$C$7,BD!$A$3:$A$5001,"&lt;="&amp;$B146,BD!$X$3:$X$5001,"&lt;&gt;"))))</f>
        <v/>
      </c>
      <c r="F146" s="43" t="str">
        <f>IF(OR($B146="",$A146&gt;$B$9,F$140=""),"",IF(COUNTIFS(BD!$B$3:$B$5001,F$140,BD!$A$3:$A$5001,"&gt;="&amp;$C$7,BD!$A$3:$A$5001,"&lt;="&amp;$B146,BD!$X$3:$X$5001,"&lt;&gt;")=0,"",SUMIFS(BD!$X$3:$X$5001,BD!$B$3:$B$5001,F$140,BD!$A$3:$A$5001,_xlfn.MAXIFS(BD!$A$3:$A$5001,BD!$B$3:$B$5001,F$140,BD!$A$3:$A$5001,"&gt;="&amp;$C$7,BD!$A$3:$A$5001,"&lt;="&amp;$B146,BD!$X$3:$X$5001,"&lt;&gt;"))))</f>
        <v/>
      </c>
      <c r="G146" s="43" t="str">
        <f>IF(OR($B146="",$A146&gt;$B$9,G$140=""),"",IF(COUNTIFS(BD!$B$3:$B$5001,G$140,BD!$A$3:$A$5001,"&gt;="&amp;$C$7,BD!$A$3:$A$5001,"&lt;="&amp;$B146,BD!$X$3:$X$5001,"&lt;&gt;")=0,"",SUMIFS(BD!$X$3:$X$5001,BD!$B$3:$B$5001,G$140,BD!$A$3:$A$5001,_xlfn.MAXIFS(BD!$A$3:$A$5001,BD!$B$3:$B$5001,G$140,BD!$A$3:$A$5001,"&gt;="&amp;$C$7,BD!$A$3:$A$5001,"&lt;="&amp;$B146,BD!$X$3:$X$5001,"&lt;&gt;"))))</f>
        <v/>
      </c>
      <c r="H146" s="43" t="str">
        <f>IF(OR($B146="",$A146&gt;$B$9,H$140=""),"",IF(COUNTIFS(BD!$B$3:$B$5001,H$140,BD!$A$3:$A$5001,"&gt;="&amp;$C$7,BD!$A$3:$A$5001,"&lt;="&amp;$B146,BD!$X$3:$X$5001,"&lt;&gt;")=0,"",SUMIFS(BD!$X$3:$X$5001,BD!$B$3:$B$5001,H$140,BD!$A$3:$A$5001,_xlfn.MAXIFS(BD!$A$3:$A$5001,BD!$B$3:$B$5001,H$140,BD!$A$3:$A$5001,"&gt;="&amp;$C$7,BD!$A$3:$A$5001,"&lt;="&amp;$B146,BD!$X$3:$X$5001,"&lt;&gt;"))))</f>
        <v/>
      </c>
      <c r="I146" s="43" t="str">
        <f>IF(OR($B146="",$A146&gt;$B$9,I$140=""),"",IF(COUNTIFS(BD!$B$3:$B$5001,I$140,BD!$A$3:$A$5001,"&gt;="&amp;$C$7,BD!$A$3:$A$5001,"&lt;="&amp;$B146,BD!$X$3:$X$5001,"&lt;&gt;")=0,"",SUMIFS(BD!$X$3:$X$5001,BD!$B$3:$B$5001,I$140,BD!$A$3:$A$5001,_xlfn.MAXIFS(BD!$A$3:$A$5001,BD!$B$3:$B$5001,I$140,BD!$A$3:$A$5001,"&gt;="&amp;$C$7,BD!$A$3:$A$5001,"&lt;="&amp;$B146,BD!$X$3:$X$5001,"&lt;&gt;"))))</f>
        <v/>
      </c>
      <c r="J146" s="43" t="str">
        <f>IF(OR($B146="",$A146&gt;$B$9,J$140=""),"",IF(COUNTIFS(BD!$B$3:$B$5001,J$140,BD!$A$3:$A$5001,"&gt;="&amp;$C$7,BD!$A$3:$A$5001,"&lt;="&amp;$B146,BD!$X$3:$X$5001,"&lt;&gt;")=0,"",SUMIFS(BD!$X$3:$X$5001,BD!$B$3:$B$5001,J$140,BD!$A$3:$A$5001,_xlfn.MAXIFS(BD!$A$3:$A$5001,BD!$B$3:$B$5001,J$140,BD!$A$3:$A$5001,"&gt;="&amp;$C$7,BD!$A$3:$A$5001,"&lt;="&amp;$B146,BD!$X$3:$X$5001,"&lt;&gt;"))))</f>
        <v/>
      </c>
      <c r="K146" s="43" t="str">
        <f>IF(OR($B146="",$A146&gt;$B$9,K$140=""),"",IF(COUNTIFS(BD!$B$3:$B$5001,K$140,BD!$A$3:$A$5001,"&gt;="&amp;$C$7,BD!$A$3:$A$5001,"&lt;="&amp;$B146,BD!$X$3:$X$5001,"&lt;&gt;")=0,"",SUMIFS(BD!$X$3:$X$5001,BD!$B$3:$B$5001,K$140,BD!$A$3:$A$5001,_xlfn.MAXIFS(BD!$A$3:$A$5001,BD!$B$3:$B$5001,K$140,BD!$A$3:$A$5001,"&gt;="&amp;$C$7,BD!$A$3:$A$5001,"&lt;="&amp;$B146,BD!$X$3:$X$5001,"&lt;&gt;"))))</f>
        <v/>
      </c>
      <c r="L146" s="43" t="str">
        <f>IF(OR($B146="",$A146&gt;$B$9,L$140=""),"",IF(COUNTIFS(BD!$B$3:$B$5001,L$140,BD!$A$3:$A$5001,"&gt;="&amp;$C$7,BD!$A$3:$A$5001,"&lt;="&amp;$B146,BD!$X$3:$X$5001,"&lt;&gt;")=0,"",SUMIFS(BD!$X$3:$X$5001,BD!$B$3:$B$5001,L$140,BD!$A$3:$A$5001,_xlfn.MAXIFS(BD!$A$3:$A$5001,BD!$B$3:$B$5001,L$140,BD!$A$3:$A$5001,"&gt;="&amp;$C$7,BD!$A$3:$A$5001,"&lt;="&amp;$B146,BD!$X$3:$X$5001,"&lt;&gt;"))))</f>
        <v/>
      </c>
      <c r="M146" s="43" t="str">
        <f>IF(OR($B146="",$A146&gt;$B$9,M$140=""),"",IF(COUNTIFS(BD!$B$3:$B$5001,M$140,BD!$A$3:$A$5001,"&gt;="&amp;$C$7,BD!$A$3:$A$5001,"&lt;="&amp;$B146,BD!$X$3:$X$5001,"&lt;&gt;")=0,"",SUMIFS(BD!$X$3:$X$5001,BD!$B$3:$B$5001,M$140,BD!$A$3:$A$5001,_xlfn.MAXIFS(BD!$A$3:$A$5001,BD!$B$3:$B$5001,M$140,BD!$A$3:$A$5001,"&gt;="&amp;$C$7,BD!$A$3:$A$5001,"&lt;="&amp;$B146,BD!$X$3:$X$5001,"&lt;&gt;"))))</f>
        <v/>
      </c>
      <c r="N146" s="43" t="str">
        <f>IF(OR($B146="",$A146&gt;$B$9,N$140=""),"",IF(COUNTIFS(BD!$B$3:$B$5001,N$140,BD!$A$3:$A$5001,"&gt;="&amp;$C$7,BD!$A$3:$A$5001,"&lt;="&amp;$B146,BD!$X$3:$X$5001,"&lt;&gt;")=0,"",SUMIFS(BD!$X$3:$X$5001,BD!$B$3:$B$5001,N$140,BD!$A$3:$A$5001,_xlfn.MAXIFS(BD!$A$3:$A$5001,BD!$B$3:$B$5001,N$140,BD!$A$3:$A$5001,"&gt;="&amp;$C$7,BD!$A$3:$A$5001,"&lt;="&amp;$B146,BD!$X$3:$X$5001,"&lt;&gt;"))))</f>
        <v/>
      </c>
      <c r="O146" s="43" t="str">
        <f>IF(OR($B146="",$A146&gt;$B$9,O$140=""),"",IF(COUNTIFS(BD!$B$3:$B$5001,O$140,BD!$A$3:$A$5001,"&gt;="&amp;$C$7,BD!$A$3:$A$5001,"&lt;="&amp;$B146,BD!$X$3:$X$5001,"&lt;&gt;")=0,"",SUMIFS(BD!$X$3:$X$5001,BD!$B$3:$B$5001,O$140,BD!$A$3:$A$5001,_xlfn.MAXIFS(BD!$A$3:$A$5001,BD!$B$3:$B$5001,O$140,BD!$A$3:$A$5001,"&gt;="&amp;$C$7,BD!$A$3:$A$5001,"&lt;="&amp;$B146,BD!$X$3:$X$5001,"&lt;&gt;"))))</f>
        <v/>
      </c>
      <c r="P146" s="43" t="str">
        <f>IF(OR($B146="",$A146&gt;$B$9,P$140=""),"",IF(COUNTIFS(BD!$B$3:$B$5001,P$140,BD!$A$3:$A$5001,"&gt;="&amp;$C$7,BD!$A$3:$A$5001,"&lt;="&amp;$B146,BD!$X$3:$X$5001,"&lt;&gt;")=0,"",SUMIFS(BD!$X$3:$X$5001,BD!$B$3:$B$5001,P$140,BD!$A$3:$A$5001,_xlfn.MAXIFS(BD!$A$3:$A$5001,BD!$B$3:$B$5001,P$140,BD!$A$3:$A$5001,"&gt;="&amp;$C$7,BD!$A$3:$A$5001,"&lt;="&amp;$B146,BD!$X$3:$X$5001,"&lt;&gt;"))))</f>
        <v/>
      </c>
      <c r="Q146" s="43" t="str">
        <f>IF(OR($B146="",$A146&gt;$B$9,Q$140=""),"",IF(COUNTIFS(BD!$B$3:$B$5001,Q$140,BD!$A$3:$A$5001,"&gt;="&amp;$C$7,BD!$A$3:$A$5001,"&lt;="&amp;$B146,BD!$X$3:$X$5001,"&lt;&gt;")=0,"",SUMIFS(BD!$X$3:$X$5001,BD!$B$3:$B$5001,Q$140,BD!$A$3:$A$5001,_xlfn.MAXIFS(BD!$A$3:$A$5001,BD!$B$3:$B$5001,Q$140,BD!$A$3:$A$5001,"&gt;="&amp;$C$7,BD!$A$3:$A$5001,"&lt;="&amp;$B146,BD!$X$3:$X$5001,"&lt;&gt;"))))</f>
        <v/>
      </c>
      <c r="R146" s="43" t="str">
        <f>IF(OR($B146="",$A146&gt;$B$9,R$140=""),"",IF(COUNTIFS(BD!$B$3:$B$5001,R$140,BD!$A$3:$A$5001,"&gt;="&amp;$C$7,BD!$A$3:$A$5001,"&lt;="&amp;$B146,BD!$X$3:$X$5001,"&lt;&gt;")=0,"",SUMIFS(BD!$X$3:$X$5001,BD!$B$3:$B$5001,R$140,BD!$A$3:$A$5001,_xlfn.MAXIFS(BD!$A$3:$A$5001,BD!$B$3:$B$5001,R$140,BD!$A$3:$A$5001,"&gt;="&amp;$C$7,BD!$A$3:$A$5001,"&lt;="&amp;$B146,BD!$X$3:$X$5001,"&lt;&gt;"))))</f>
        <v/>
      </c>
      <c r="S146" s="43" t="str">
        <f>IF(OR($B146="",$A146&gt;$B$9,S$140=""),"",IF(COUNTIFS(BD!$B$3:$B$5001,S$140,BD!$A$3:$A$5001,"&gt;="&amp;$C$7,BD!$A$3:$A$5001,"&lt;="&amp;$B146,BD!$X$3:$X$5001,"&lt;&gt;")=0,"",SUMIFS(BD!$X$3:$X$5001,BD!$B$3:$B$5001,S$140,BD!$A$3:$A$5001,_xlfn.MAXIFS(BD!$A$3:$A$5001,BD!$B$3:$B$5001,S$140,BD!$A$3:$A$5001,"&gt;="&amp;$C$7,BD!$A$3:$A$5001,"&lt;="&amp;$B146,BD!$X$3:$X$5001,"&lt;&gt;"))))</f>
        <v/>
      </c>
      <c r="T146" s="43" t="str">
        <f>IF(OR($B146="",$A146&gt;$B$9,T$140=""),"",IF(COUNTIFS(BD!$B$3:$B$5001,T$140,BD!$A$3:$A$5001,"&gt;="&amp;$C$7,BD!$A$3:$A$5001,"&lt;="&amp;$B146,BD!$X$3:$X$5001,"&lt;&gt;")=0,"",SUMIFS(BD!$X$3:$X$5001,BD!$B$3:$B$5001,T$140,BD!$A$3:$A$5001,_xlfn.MAXIFS(BD!$A$3:$A$5001,BD!$B$3:$B$5001,T$140,BD!$A$3:$A$5001,"&gt;="&amp;$C$7,BD!$A$3:$A$5001,"&lt;="&amp;$B146,BD!$X$3:$X$5001,"&lt;&gt;"))))</f>
        <v/>
      </c>
      <c r="U146" s="43" t="str">
        <f>IF(OR($B146="",$A146&gt;$B$9,U$140=""),"",IF(COUNTIFS(BD!$B$3:$B$5001,U$140,BD!$A$3:$A$5001,"&gt;="&amp;$C$7,BD!$A$3:$A$5001,"&lt;="&amp;$B146,BD!$X$3:$X$5001,"&lt;&gt;")=0,"",SUMIFS(BD!$X$3:$X$5001,BD!$B$3:$B$5001,U$140,BD!$A$3:$A$5001,_xlfn.MAXIFS(BD!$A$3:$A$5001,BD!$B$3:$B$5001,U$140,BD!$A$3:$A$5001,"&gt;="&amp;$C$7,BD!$A$3:$A$5001,"&lt;="&amp;$B146,BD!$X$3:$X$5001,"&lt;&gt;"))))</f>
        <v/>
      </c>
      <c r="V146" s="43" t="str">
        <f>IF(OR($B146="",$A146&gt;$B$9,V$140=""),"",IF(COUNTIFS(BD!$B$3:$B$5001,V$140,BD!$A$3:$A$5001,"&gt;="&amp;$C$7,BD!$A$3:$A$5001,"&lt;="&amp;$B146,BD!$X$3:$X$5001,"&lt;&gt;")=0,"",SUMIFS(BD!$X$3:$X$5001,BD!$B$3:$B$5001,V$140,BD!$A$3:$A$5001,_xlfn.MAXIFS(BD!$A$3:$A$5001,BD!$B$3:$B$5001,V$140,BD!$A$3:$A$5001,"&gt;="&amp;$C$7,BD!$A$3:$A$5001,"&lt;="&amp;$B146,BD!$X$3:$X$5001,"&lt;&gt;"))))</f>
        <v/>
      </c>
    </row>
    <row r="147">
      <c r="A147" s="38">
        <v>7</v>
      </c>
      <c r="B147" s="42">
        <f>$B$18</f>
        <v>46302</v>
      </c>
      <c r="C147" s="43" t="str">
        <f>IF(OR($B147="",$A147&gt;$B$9,C$140=""),"",IF(COUNTIFS(BD!$B$3:$B$5001,C$140,BD!$A$3:$A$5001,"&gt;="&amp;$C$7,BD!$A$3:$A$5001,"&lt;="&amp;$B147,BD!$X$3:$X$5001,"&lt;&gt;")=0,"",SUMIFS(BD!$X$3:$X$5001,BD!$B$3:$B$5001,C$140,BD!$A$3:$A$5001,_xlfn.MAXIFS(BD!$A$3:$A$5001,BD!$B$3:$B$5001,C$140,BD!$A$3:$A$5001,"&gt;="&amp;$C$7,BD!$A$3:$A$5001,"&lt;="&amp;$B147,BD!$X$3:$X$5001,"&lt;&gt;"))))</f>
        <v/>
      </c>
      <c r="D147" s="43" t="str">
        <f>IF(OR($B147="",$A147&gt;$B$9,D$140=""),"",IF(COUNTIFS(BD!$B$3:$B$5001,D$140,BD!$A$3:$A$5001,"&gt;="&amp;$C$7,BD!$A$3:$A$5001,"&lt;="&amp;$B147,BD!$X$3:$X$5001,"&lt;&gt;")=0,"",SUMIFS(BD!$X$3:$X$5001,BD!$B$3:$B$5001,D$140,BD!$A$3:$A$5001,_xlfn.MAXIFS(BD!$A$3:$A$5001,BD!$B$3:$B$5001,D$140,BD!$A$3:$A$5001,"&gt;="&amp;$C$7,BD!$A$3:$A$5001,"&lt;="&amp;$B147,BD!$X$3:$X$5001,"&lt;&gt;"))))</f>
        <v/>
      </c>
      <c r="E147" s="43" t="str">
        <f>IF(OR($B147="",$A147&gt;$B$9,E$140=""),"",IF(COUNTIFS(BD!$B$3:$B$5001,E$140,BD!$A$3:$A$5001,"&gt;="&amp;$C$7,BD!$A$3:$A$5001,"&lt;="&amp;$B147,BD!$X$3:$X$5001,"&lt;&gt;")=0,"",SUMIFS(BD!$X$3:$X$5001,BD!$B$3:$B$5001,E$140,BD!$A$3:$A$5001,_xlfn.MAXIFS(BD!$A$3:$A$5001,BD!$B$3:$B$5001,E$140,BD!$A$3:$A$5001,"&gt;="&amp;$C$7,BD!$A$3:$A$5001,"&lt;="&amp;$B147,BD!$X$3:$X$5001,"&lt;&gt;"))))</f>
        <v/>
      </c>
      <c r="F147" s="43" t="str">
        <f>IF(OR($B147="",$A147&gt;$B$9,F$140=""),"",IF(COUNTIFS(BD!$B$3:$B$5001,F$140,BD!$A$3:$A$5001,"&gt;="&amp;$C$7,BD!$A$3:$A$5001,"&lt;="&amp;$B147,BD!$X$3:$X$5001,"&lt;&gt;")=0,"",SUMIFS(BD!$X$3:$X$5001,BD!$B$3:$B$5001,F$140,BD!$A$3:$A$5001,_xlfn.MAXIFS(BD!$A$3:$A$5001,BD!$B$3:$B$5001,F$140,BD!$A$3:$A$5001,"&gt;="&amp;$C$7,BD!$A$3:$A$5001,"&lt;="&amp;$B147,BD!$X$3:$X$5001,"&lt;&gt;"))))</f>
        <v/>
      </c>
      <c r="G147" s="43" t="str">
        <f>IF(OR($B147="",$A147&gt;$B$9,G$140=""),"",IF(COUNTIFS(BD!$B$3:$B$5001,G$140,BD!$A$3:$A$5001,"&gt;="&amp;$C$7,BD!$A$3:$A$5001,"&lt;="&amp;$B147,BD!$X$3:$X$5001,"&lt;&gt;")=0,"",SUMIFS(BD!$X$3:$X$5001,BD!$B$3:$B$5001,G$140,BD!$A$3:$A$5001,_xlfn.MAXIFS(BD!$A$3:$A$5001,BD!$B$3:$B$5001,G$140,BD!$A$3:$A$5001,"&gt;="&amp;$C$7,BD!$A$3:$A$5001,"&lt;="&amp;$B147,BD!$X$3:$X$5001,"&lt;&gt;"))))</f>
        <v/>
      </c>
      <c r="H147" s="43" t="str">
        <f>IF(OR($B147="",$A147&gt;$B$9,H$140=""),"",IF(COUNTIFS(BD!$B$3:$B$5001,H$140,BD!$A$3:$A$5001,"&gt;="&amp;$C$7,BD!$A$3:$A$5001,"&lt;="&amp;$B147,BD!$X$3:$X$5001,"&lt;&gt;")=0,"",SUMIFS(BD!$X$3:$X$5001,BD!$B$3:$B$5001,H$140,BD!$A$3:$A$5001,_xlfn.MAXIFS(BD!$A$3:$A$5001,BD!$B$3:$B$5001,H$140,BD!$A$3:$A$5001,"&gt;="&amp;$C$7,BD!$A$3:$A$5001,"&lt;="&amp;$B147,BD!$X$3:$X$5001,"&lt;&gt;"))))</f>
        <v/>
      </c>
      <c r="I147" s="43" t="str">
        <f>IF(OR($B147="",$A147&gt;$B$9,I$140=""),"",IF(COUNTIFS(BD!$B$3:$B$5001,I$140,BD!$A$3:$A$5001,"&gt;="&amp;$C$7,BD!$A$3:$A$5001,"&lt;="&amp;$B147,BD!$X$3:$X$5001,"&lt;&gt;")=0,"",SUMIFS(BD!$X$3:$X$5001,BD!$B$3:$B$5001,I$140,BD!$A$3:$A$5001,_xlfn.MAXIFS(BD!$A$3:$A$5001,BD!$B$3:$B$5001,I$140,BD!$A$3:$A$5001,"&gt;="&amp;$C$7,BD!$A$3:$A$5001,"&lt;="&amp;$B147,BD!$X$3:$X$5001,"&lt;&gt;"))))</f>
        <v/>
      </c>
      <c r="J147" s="43" t="str">
        <f>IF(OR($B147="",$A147&gt;$B$9,J$140=""),"",IF(COUNTIFS(BD!$B$3:$B$5001,J$140,BD!$A$3:$A$5001,"&gt;="&amp;$C$7,BD!$A$3:$A$5001,"&lt;="&amp;$B147,BD!$X$3:$X$5001,"&lt;&gt;")=0,"",SUMIFS(BD!$X$3:$X$5001,BD!$B$3:$B$5001,J$140,BD!$A$3:$A$5001,_xlfn.MAXIFS(BD!$A$3:$A$5001,BD!$B$3:$B$5001,J$140,BD!$A$3:$A$5001,"&gt;="&amp;$C$7,BD!$A$3:$A$5001,"&lt;="&amp;$B147,BD!$X$3:$X$5001,"&lt;&gt;"))))</f>
        <v/>
      </c>
      <c r="K147" s="43" t="str">
        <f>IF(OR($B147="",$A147&gt;$B$9,K$140=""),"",IF(COUNTIFS(BD!$B$3:$B$5001,K$140,BD!$A$3:$A$5001,"&gt;="&amp;$C$7,BD!$A$3:$A$5001,"&lt;="&amp;$B147,BD!$X$3:$X$5001,"&lt;&gt;")=0,"",SUMIFS(BD!$X$3:$X$5001,BD!$B$3:$B$5001,K$140,BD!$A$3:$A$5001,_xlfn.MAXIFS(BD!$A$3:$A$5001,BD!$B$3:$B$5001,K$140,BD!$A$3:$A$5001,"&gt;="&amp;$C$7,BD!$A$3:$A$5001,"&lt;="&amp;$B147,BD!$X$3:$X$5001,"&lt;&gt;"))))</f>
        <v/>
      </c>
      <c r="L147" s="43" t="str">
        <f>IF(OR($B147="",$A147&gt;$B$9,L$140=""),"",IF(COUNTIFS(BD!$B$3:$B$5001,L$140,BD!$A$3:$A$5001,"&gt;="&amp;$C$7,BD!$A$3:$A$5001,"&lt;="&amp;$B147,BD!$X$3:$X$5001,"&lt;&gt;")=0,"",SUMIFS(BD!$X$3:$X$5001,BD!$B$3:$B$5001,L$140,BD!$A$3:$A$5001,_xlfn.MAXIFS(BD!$A$3:$A$5001,BD!$B$3:$B$5001,L$140,BD!$A$3:$A$5001,"&gt;="&amp;$C$7,BD!$A$3:$A$5001,"&lt;="&amp;$B147,BD!$X$3:$X$5001,"&lt;&gt;"))))</f>
        <v/>
      </c>
      <c r="M147" s="43" t="str">
        <f>IF(OR($B147="",$A147&gt;$B$9,M$140=""),"",IF(COUNTIFS(BD!$B$3:$B$5001,M$140,BD!$A$3:$A$5001,"&gt;="&amp;$C$7,BD!$A$3:$A$5001,"&lt;="&amp;$B147,BD!$X$3:$X$5001,"&lt;&gt;")=0,"",SUMIFS(BD!$X$3:$X$5001,BD!$B$3:$B$5001,M$140,BD!$A$3:$A$5001,_xlfn.MAXIFS(BD!$A$3:$A$5001,BD!$B$3:$B$5001,M$140,BD!$A$3:$A$5001,"&gt;="&amp;$C$7,BD!$A$3:$A$5001,"&lt;="&amp;$B147,BD!$X$3:$X$5001,"&lt;&gt;"))))</f>
        <v/>
      </c>
      <c r="N147" s="43" t="str">
        <f>IF(OR($B147="",$A147&gt;$B$9,N$140=""),"",IF(COUNTIFS(BD!$B$3:$B$5001,N$140,BD!$A$3:$A$5001,"&gt;="&amp;$C$7,BD!$A$3:$A$5001,"&lt;="&amp;$B147,BD!$X$3:$X$5001,"&lt;&gt;")=0,"",SUMIFS(BD!$X$3:$X$5001,BD!$B$3:$B$5001,N$140,BD!$A$3:$A$5001,_xlfn.MAXIFS(BD!$A$3:$A$5001,BD!$B$3:$B$5001,N$140,BD!$A$3:$A$5001,"&gt;="&amp;$C$7,BD!$A$3:$A$5001,"&lt;="&amp;$B147,BD!$X$3:$X$5001,"&lt;&gt;"))))</f>
        <v/>
      </c>
      <c r="O147" s="43" t="str">
        <f>IF(OR($B147="",$A147&gt;$B$9,O$140=""),"",IF(COUNTIFS(BD!$B$3:$B$5001,O$140,BD!$A$3:$A$5001,"&gt;="&amp;$C$7,BD!$A$3:$A$5001,"&lt;="&amp;$B147,BD!$X$3:$X$5001,"&lt;&gt;")=0,"",SUMIFS(BD!$X$3:$X$5001,BD!$B$3:$B$5001,O$140,BD!$A$3:$A$5001,_xlfn.MAXIFS(BD!$A$3:$A$5001,BD!$B$3:$B$5001,O$140,BD!$A$3:$A$5001,"&gt;="&amp;$C$7,BD!$A$3:$A$5001,"&lt;="&amp;$B147,BD!$X$3:$X$5001,"&lt;&gt;"))))</f>
        <v/>
      </c>
      <c r="P147" s="43" t="str">
        <f>IF(OR($B147="",$A147&gt;$B$9,P$140=""),"",IF(COUNTIFS(BD!$B$3:$B$5001,P$140,BD!$A$3:$A$5001,"&gt;="&amp;$C$7,BD!$A$3:$A$5001,"&lt;="&amp;$B147,BD!$X$3:$X$5001,"&lt;&gt;")=0,"",SUMIFS(BD!$X$3:$X$5001,BD!$B$3:$B$5001,P$140,BD!$A$3:$A$5001,_xlfn.MAXIFS(BD!$A$3:$A$5001,BD!$B$3:$B$5001,P$140,BD!$A$3:$A$5001,"&gt;="&amp;$C$7,BD!$A$3:$A$5001,"&lt;="&amp;$B147,BD!$X$3:$X$5001,"&lt;&gt;"))))</f>
        <v/>
      </c>
      <c r="Q147" s="43" t="str">
        <f>IF(OR($B147="",$A147&gt;$B$9,Q$140=""),"",IF(COUNTIFS(BD!$B$3:$B$5001,Q$140,BD!$A$3:$A$5001,"&gt;="&amp;$C$7,BD!$A$3:$A$5001,"&lt;="&amp;$B147,BD!$X$3:$X$5001,"&lt;&gt;")=0,"",SUMIFS(BD!$X$3:$X$5001,BD!$B$3:$B$5001,Q$140,BD!$A$3:$A$5001,_xlfn.MAXIFS(BD!$A$3:$A$5001,BD!$B$3:$B$5001,Q$140,BD!$A$3:$A$5001,"&gt;="&amp;$C$7,BD!$A$3:$A$5001,"&lt;="&amp;$B147,BD!$X$3:$X$5001,"&lt;&gt;"))))</f>
        <v/>
      </c>
      <c r="R147" s="43" t="str">
        <f>IF(OR($B147="",$A147&gt;$B$9,R$140=""),"",IF(COUNTIFS(BD!$B$3:$B$5001,R$140,BD!$A$3:$A$5001,"&gt;="&amp;$C$7,BD!$A$3:$A$5001,"&lt;="&amp;$B147,BD!$X$3:$X$5001,"&lt;&gt;")=0,"",SUMIFS(BD!$X$3:$X$5001,BD!$B$3:$B$5001,R$140,BD!$A$3:$A$5001,_xlfn.MAXIFS(BD!$A$3:$A$5001,BD!$B$3:$B$5001,R$140,BD!$A$3:$A$5001,"&gt;="&amp;$C$7,BD!$A$3:$A$5001,"&lt;="&amp;$B147,BD!$X$3:$X$5001,"&lt;&gt;"))))</f>
        <v/>
      </c>
      <c r="S147" s="43" t="str">
        <f>IF(OR($B147="",$A147&gt;$B$9,S$140=""),"",IF(COUNTIFS(BD!$B$3:$B$5001,S$140,BD!$A$3:$A$5001,"&gt;="&amp;$C$7,BD!$A$3:$A$5001,"&lt;="&amp;$B147,BD!$X$3:$X$5001,"&lt;&gt;")=0,"",SUMIFS(BD!$X$3:$X$5001,BD!$B$3:$B$5001,S$140,BD!$A$3:$A$5001,_xlfn.MAXIFS(BD!$A$3:$A$5001,BD!$B$3:$B$5001,S$140,BD!$A$3:$A$5001,"&gt;="&amp;$C$7,BD!$A$3:$A$5001,"&lt;="&amp;$B147,BD!$X$3:$X$5001,"&lt;&gt;"))))</f>
        <v/>
      </c>
      <c r="T147" s="43" t="str">
        <f>IF(OR($B147="",$A147&gt;$B$9,T$140=""),"",IF(COUNTIFS(BD!$B$3:$B$5001,T$140,BD!$A$3:$A$5001,"&gt;="&amp;$C$7,BD!$A$3:$A$5001,"&lt;="&amp;$B147,BD!$X$3:$X$5001,"&lt;&gt;")=0,"",SUMIFS(BD!$X$3:$X$5001,BD!$B$3:$B$5001,T$140,BD!$A$3:$A$5001,_xlfn.MAXIFS(BD!$A$3:$A$5001,BD!$B$3:$B$5001,T$140,BD!$A$3:$A$5001,"&gt;="&amp;$C$7,BD!$A$3:$A$5001,"&lt;="&amp;$B147,BD!$X$3:$X$5001,"&lt;&gt;"))))</f>
        <v/>
      </c>
      <c r="U147" s="43" t="str">
        <f>IF(OR($B147="",$A147&gt;$B$9,U$140=""),"",IF(COUNTIFS(BD!$B$3:$B$5001,U$140,BD!$A$3:$A$5001,"&gt;="&amp;$C$7,BD!$A$3:$A$5001,"&lt;="&amp;$B147,BD!$X$3:$X$5001,"&lt;&gt;")=0,"",SUMIFS(BD!$X$3:$X$5001,BD!$B$3:$B$5001,U$140,BD!$A$3:$A$5001,_xlfn.MAXIFS(BD!$A$3:$A$5001,BD!$B$3:$B$5001,U$140,BD!$A$3:$A$5001,"&gt;="&amp;$C$7,BD!$A$3:$A$5001,"&lt;="&amp;$B147,BD!$X$3:$X$5001,"&lt;&gt;"))))</f>
        <v/>
      </c>
      <c r="V147" s="43" t="str">
        <f>IF(OR($B147="",$A147&gt;$B$9,V$140=""),"",IF(COUNTIFS(BD!$B$3:$B$5001,V$140,BD!$A$3:$A$5001,"&gt;="&amp;$C$7,BD!$A$3:$A$5001,"&lt;="&amp;$B147,BD!$X$3:$X$5001,"&lt;&gt;")=0,"",SUMIFS(BD!$X$3:$X$5001,BD!$B$3:$B$5001,V$140,BD!$A$3:$A$5001,_xlfn.MAXIFS(BD!$A$3:$A$5001,BD!$B$3:$B$5001,V$140,BD!$A$3:$A$5001,"&gt;="&amp;$C$7,BD!$A$3:$A$5001,"&lt;="&amp;$B147,BD!$X$3:$X$5001,"&lt;&gt;"))))</f>
        <v/>
      </c>
    </row>
    <row r="148">
      <c r="A148" s="38">
        <v>8</v>
      </c>
      <c r="B148" s="42">
        <f>$B$19</f>
        <v>46303</v>
      </c>
      <c r="C148" s="43" t="str">
        <f>IF(OR($B148="",$A148&gt;$B$9,C$140=""),"",IF(COUNTIFS(BD!$B$3:$B$5001,C$140,BD!$A$3:$A$5001,"&gt;="&amp;$C$7,BD!$A$3:$A$5001,"&lt;="&amp;$B148,BD!$X$3:$X$5001,"&lt;&gt;")=0,"",SUMIFS(BD!$X$3:$X$5001,BD!$B$3:$B$5001,C$140,BD!$A$3:$A$5001,_xlfn.MAXIFS(BD!$A$3:$A$5001,BD!$B$3:$B$5001,C$140,BD!$A$3:$A$5001,"&gt;="&amp;$C$7,BD!$A$3:$A$5001,"&lt;="&amp;$B148,BD!$X$3:$X$5001,"&lt;&gt;"))))</f>
        <v/>
      </c>
      <c r="D148" s="43" t="str">
        <f>IF(OR($B148="",$A148&gt;$B$9,D$140=""),"",IF(COUNTIFS(BD!$B$3:$B$5001,D$140,BD!$A$3:$A$5001,"&gt;="&amp;$C$7,BD!$A$3:$A$5001,"&lt;="&amp;$B148,BD!$X$3:$X$5001,"&lt;&gt;")=0,"",SUMIFS(BD!$X$3:$X$5001,BD!$B$3:$B$5001,D$140,BD!$A$3:$A$5001,_xlfn.MAXIFS(BD!$A$3:$A$5001,BD!$B$3:$B$5001,D$140,BD!$A$3:$A$5001,"&gt;="&amp;$C$7,BD!$A$3:$A$5001,"&lt;="&amp;$B148,BD!$X$3:$X$5001,"&lt;&gt;"))))</f>
        <v/>
      </c>
      <c r="E148" s="43" t="str">
        <f>IF(OR($B148="",$A148&gt;$B$9,E$140=""),"",IF(COUNTIFS(BD!$B$3:$B$5001,E$140,BD!$A$3:$A$5001,"&gt;="&amp;$C$7,BD!$A$3:$A$5001,"&lt;="&amp;$B148,BD!$X$3:$X$5001,"&lt;&gt;")=0,"",SUMIFS(BD!$X$3:$X$5001,BD!$B$3:$B$5001,E$140,BD!$A$3:$A$5001,_xlfn.MAXIFS(BD!$A$3:$A$5001,BD!$B$3:$B$5001,E$140,BD!$A$3:$A$5001,"&gt;="&amp;$C$7,BD!$A$3:$A$5001,"&lt;="&amp;$B148,BD!$X$3:$X$5001,"&lt;&gt;"))))</f>
        <v/>
      </c>
      <c r="F148" s="43" t="str">
        <f>IF(OR($B148="",$A148&gt;$B$9,F$140=""),"",IF(COUNTIFS(BD!$B$3:$B$5001,F$140,BD!$A$3:$A$5001,"&gt;="&amp;$C$7,BD!$A$3:$A$5001,"&lt;="&amp;$B148,BD!$X$3:$X$5001,"&lt;&gt;")=0,"",SUMIFS(BD!$X$3:$X$5001,BD!$B$3:$B$5001,F$140,BD!$A$3:$A$5001,_xlfn.MAXIFS(BD!$A$3:$A$5001,BD!$B$3:$B$5001,F$140,BD!$A$3:$A$5001,"&gt;="&amp;$C$7,BD!$A$3:$A$5001,"&lt;="&amp;$B148,BD!$X$3:$X$5001,"&lt;&gt;"))))</f>
        <v/>
      </c>
      <c r="G148" s="43" t="str">
        <f>IF(OR($B148="",$A148&gt;$B$9,G$140=""),"",IF(COUNTIFS(BD!$B$3:$B$5001,G$140,BD!$A$3:$A$5001,"&gt;="&amp;$C$7,BD!$A$3:$A$5001,"&lt;="&amp;$B148,BD!$X$3:$X$5001,"&lt;&gt;")=0,"",SUMIFS(BD!$X$3:$X$5001,BD!$B$3:$B$5001,G$140,BD!$A$3:$A$5001,_xlfn.MAXIFS(BD!$A$3:$A$5001,BD!$B$3:$B$5001,G$140,BD!$A$3:$A$5001,"&gt;="&amp;$C$7,BD!$A$3:$A$5001,"&lt;="&amp;$B148,BD!$X$3:$X$5001,"&lt;&gt;"))))</f>
        <v/>
      </c>
      <c r="H148" s="43" t="str">
        <f>IF(OR($B148="",$A148&gt;$B$9,H$140=""),"",IF(COUNTIFS(BD!$B$3:$B$5001,H$140,BD!$A$3:$A$5001,"&gt;="&amp;$C$7,BD!$A$3:$A$5001,"&lt;="&amp;$B148,BD!$X$3:$X$5001,"&lt;&gt;")=0,"",SUMIFS(BD!$X$3:$X$5001,BD!$B$3:$B$5001,H$140,BD!$A$3:$A$5001,_xlfn.MAXIFS(BD!$A$3:$A$5001,BD!$B$3:$B$5001,H$140,BD!$A$3:$A$5001,"&gt;="&amp;$C$7,BD!$A$3:$A$5001,"&lt;="&amp;$B148,BD!$X$3:$X$5001,"&lt;&gt;"))))</f>
        <v/>
      </c>
      <c r="I148" s="43" t="str">
        <f>IF(OR($B148="",$A148&gt;$B$9,I$140=""),"",IF(COUNTIFS(BD!$B$3:$B$5001,I$140,BD!$A$3:$A$5001,"&gt;="&amp;$C$7,BD!$A$3:$A$5001,"&lt;="&amp;$B148,BD!$X$3:$X$5001,"&lt;&gt;")=0,"",SUMIFS(BD!$X$3:$X$5001,BD!$B$3:$B$5001,I$140,BD!$A$3:$A$5001,_xlfn.MAXIFS(BD!$A$3:$A$5001,BD!$B$3:$B$5001,I$140,BD!$A$3:$A$5001,"&gt;="&amp;$C$7,BD!$A$3:$A$5001,"&lt;="&amp;$B148,BD!$X$3:$X$5001,"&lt;&gt;"))))</f>
        <v/>
      </c>
      <c r="J148" s="43" t="str">
        <f>IF(OR($B148="",$A148&gt;$B$9,J$140=""),"",IF(COUNTIFS(BD!$B$3:$B$5001,J$140,BD!$A$3:$A$5001,"&gt;="&amp;$C$7,BD!$A$3:$A$5001,"&lt;="&amp;$B148,BD!$X$3:$X$5001,"&lt;&gt;")=0,"",SUMIFS(BD!$X$3:$X$5001,BD!$B$3:$B$5001,J$140,BD!$A$3:$A$5001,_xlfn.MAXIFS(BD!$A$3:$A$5001,BD!$B$3:$B$5001,J$140,BD!$A$3:$A$5001,"&gt;="&amp;$C$7,BD!$A$3:$A$5001,"&lt;="&amp;$B148,BD!$X$3:$X$5001,"&lt;&gt;"))))</f>
        <v/>
      </c>
      <c r="K148" s="43" t="str">
        <f>IF(OR($B148="",$A148&gt;$B$9,K$140=""),"",IF(COUNTIFS(BD!$B$3:$B$5001,K$140,BD!$A$3:$A$5001,"&gt;="&amp;$C$7,BD!$A$3:$A$5001,"&lt;="&amp;$B148,BD!$X$3:$X$5001,"&lt;&gt;")=0,"",SUMIFS(BD!$X$3:$X$5001,BD!$B$3:$B$5001,K$140,BD!$A$3:$A$5001,_xlfn.MAXIFS(BD!$A$3:$A$5001,BD!$B$3:$B$5001,K$140,BD!$A$3:$A$5001,"&gt;="&amp;$C$7,BD!$A$3:$A$5001,"&lt;="&amp;$B148,BD!$X$3:$X$5001,"&lt;&gt;"))))</f>
        <v/>
      </c>
      <c r="L148" s="43" t="str">
        <f>IF(OR($B148="",$A148&gt;$B$9,L$140=""),"",IF(COUNTIFS(BD!$B$3:$B$5001,L$140,BD!$A$3:$A$5001,"&gt;="&amp;$C$7,BD!$A$3:$A$5001,"&lt;="&amp;$B148,BD!$X$3:$X$5001,"&lt;&gt;")=0,"",SUMIFS(BD!$X$3:$X$5001,BD!$B$3:$B$5001,L$140,BD!$A$3:$A$5001,_xlfn.MAXIFS(BD!$A$3:$A$5001,BD!$B$3:$B$5001,L$140,BD!$A$3:$A$5001,"&gt;="&amp;$C$7,BD!$A$3:$A$5001,"&lt;="&amp;$B148,BD!$X$3:$X$5001,"&lt;&gt;"))))</f>
        <v/>
      </c>
      <c r="M148" s="43" t="str">
        <f>IF(OR($B148="",$A148&gt;$B$9,M$140=""),"",IF(COUNTIFS(BD!$B$3:$B$5001,M$140,BD!$A$3:$A$5001,"&gt;="&amp;$C$7,BD!$A$3:$A$5001,"&lt;="&amp;$B148,BD!$X$3:$X$5001,"&lt;&gt;")=0,"",SUMIFS(BD!$X$3:$X$5001,BD!$B$3:$B$5001,M$140,BD!$A$3:$A$5001,_xlfn.MAXIFS(BD!$A$3:$A$5001,BD!$B$3:$B$5001,M$140,BD!$A$3:$A$5001,"&gt;="&amp;$C$7,BD!$A$3:$A$5001,"&lt;="&amp;$B148,BD!$X$3:$X$5001,"&lt;&gt;"))))</f>
        <v/>
      </c>
      <c r="N148" s="43" t="str">
        <f>IF(OR($B148="",$A148&gt;$B$9,N$140=""),"",IF(COUNTIFS(BD!$B$3:$B$5001,N$140,BD!$A$3:$A$5001,"&gt;="&amp;$C$7,BD!$A$3:$A$5001,"&lt;="&amp;$B148,BD!$X$3:$X$5001,"&lt;&gt;")=0,"",SUMIFS(BD!$X$3:$X$5001,BD!$B$3:$B$5001,N$140,BD!$A$3:$A$5001,_xlfn.MAXIFS(BD!$A$3:$A$5001,BD!$B$3:$B$5001,N$140,BD!$A$3:$A$5001,"&gt;="&amp;$C$7,BD!$A$3:$A$5001,"&lt;="&amp;$B148,BD!$X$3:$X$5001,"&lt;&gt;"))))</f>
        <v/>
      </c>
      <c r="O148" s="43" t="str">
        <f>IF(OR($B148="",$A148&gt;$B$9,O$140=""),"",IF(COUNTIFS(BD!$B$3:$B$5001,O$140,BD!$A$3:$A$5001,"&gt;="&amp;$C$7,BD!$A$3:$A$5001,"&lt;="&amp;$B148,BD!$X$3:$X$5001,"&lt;&gt;")=0,"",SUMIFS(BD!$X$3:$X$5001,BD!$B$3:$B$5001,O$140,BD!$A$3:$A$5001,_xlfn.MAXIFS(BD!$A$3:$A$5001,BD!$B$3:$B$5001,O$140,BD!$A$3:$A$5001,"&gt;="&amp;$C$7,BD!$A$3:$A$5001,"&lt;="&amp;$B148,BD!$X$3:$X$5001,"&lt;&gt;"))))</f>
        <v/>
      </c>
      <c r="P148" s="43" t="str">
        <f>IF(OR($B148="",$A148&gt;$B$9,P$140=""),"",IF(COUNTIFS(BD!$B$3:$B$5001,P$140,BD!$A$3:$A$5001,"&gt;="&amp;$C$7,BD!$A$3:$A$5001,"&lt;="&amp;$B148,BD!$X$3:$X$5001,"&lt;&gt;")=0,"",SUMIFS(BD!$X$3:$X$5001,BD!$B$3:$B$5001,P$140,BD!$A$3:$A$5001,_xlfn.MAXIFS(BD!$A$3:$A$5001,BD!$B$3:$B$5001,P$140,BD!$A$3:$A$5001,"&gt;="&amp;$C$7,BD!$A$3:$A$5001,"&lt;="&amp;$B148,BD!$X$3:$X$5001,"&lt;&gt;"))))</f>
        <v/>
      </c>
      <c r="Q148" s="43" t="str">
        <f>IF(OR($B148="",$A148&gt;$B$9,Q$140=""),"",IF(COUNTIFS(BD!$B$3:$B$5001,Q$140,BD!$A$3:$A$5001,"&gt;="&amp;$C$7,BD!$A$3:$A$5001,"&lt;="&amp;$B148,BD!$X$3:$X$5001,"&lt;&gt;")=0,"",SUMIFS(BD!$X$3:$X$5001,BD!$B$3:$B$5001,Q$140,BD!$A$3:$A$5001,_xlfn.MAXIFS(BD!$A$3:$A$5001,BD!$B$3:$B$5001,Q$140,BD!$A$3:$A$5001,"&gt;="&amp;$C$7,BD!$A$3:$A$5001,"&lt;="&amp;$B148,BD!$X$3:$X$5001,"&lt;&gt;"))))</f>
        <v/>
      </c>
      <c r="R148" s="43" t="str">
        <f>IF(OR($B148="",$A148&gt;$B$9,R$140=""),"",IF(COUNTIFS(BD!$B$3:$B$5001,R$140,BD!$A$3:$A$5001,"&gt;="&amp;$C$7,BD!$A$3:$A$5001,"&lt;="&amp;$B148,BD!$X$3:$X$5001,"&lt;&gt;")=0,"",SUMIFS(BD!$X$3:$X$5001,BD!$B$3:$B$5001,R$140,BD!$A$3:$A$5001,_xlfn.MAXIFS(BD!$A$3:$A$5001,BD!$B$3:$B$5001,R$140,BD!$A$3:$A$5001,"&gt;="&amp;$C$7,BD!$A$3:$A$5001,"&lt;="&amp;$B148,BD!$X$3:$X$5001,"&lt;&gt;"))))</f>
        <v/>
      </c>
      <c r="S148" s="43" t="str">
        <f>IF(OR($B148="",$A148&gt;$B$9,S$140=""),"",IF(COUNTIFS(BD!$B$3:$B$5001,S$140,BD!$A$3:$A$5001,"&gt;="&amp;$C$7,BD!$A$3:$A$5001,"&lt;="&amp;$B148,BD!$X$3:$X$5001,"&lt;&gt;")=0,"",SUMIFS(BD!$X$3:$X$5001,BD!$B$3:$B$5001,S$140,BD!$A$3:$A$5001,_xlfn.MAXIFS(BD!$A$3:$A$5001,BD!$B$3:$B$5001,S$140,BD!$A$3:$A$5001,"&gt;="&amp;$C$7,BD!$A$3:$A$5001,"&lt;="&amp;$B148,BD!$X$3:$X$5001,"&lt;&gt;"))))</f>
        <v/>
      </c>
      <c r="T148" s="43" t="str">
        <f>IF(OR($B148="",$A148&gt;$B$9,T$140=""),"",IF(COUNTIFS(BD!$B$3:$B$5001,T$140,BD!$A$3:$A$5001,"&gt;="&amp;$C$7,BD!$A$3:$A$5001,"&lt;="&amp;$B148,BD!$X$3:$X$5001,"&lt;&gt;")=0,"",SUMIFS(BD!$X$3:$X$5001,BD!$B$3:$B$5001,T$140,BD!$A$3:$A$5001,_xlfn.MAXIFS(BD!$A$3:$A$5001,BD!$B$3:$B$5001,T$140,BD!$A$3:$A$5001,"&gt;="&amp;$C$7,BD!$A$3:$A$5001,"&lt;="&amp;$B148,BD!$X$3:$X$5001,"&lt;&gt;"))))</f>
        <v/>
      </c>
      <c r="U148" s="43" t="str">
        <f>IF(OR($B148="",$A148&gt;$B$9,U$140=""),"",IF(COUNTIFS(BD!$B$3:$B$5001,U$140,BD!$A$3:$A$5001,"&gt;="&amp;$C$7,BD!$A$3:$A$5001,"&lt;="&amp;$B148,BD!$X$3:$X$5001,"&lt;&gt;")=0,"",SUMIFS(BD!$X$3:$X$5001,BD!$B$3:$B$5001,U$140,BD!$A$3:$A$5001,_xlfn.MAXIFS(BD!$A$3:$A$5001,BD!$B$3:$B$5001,U$140,BD!$A$3:$A$5001,"&gt;="&amp;$C$7,BD!$A$3:$A$5001,"&lt;="&amp;$B148,BD!$X$3:$X$5001,"&lt;&gt;"))))</f>
        <v/>
      </c>
      <c r="V148" s="43" t="str">
        <f>IF(OR($B148="",$A148&gt;$B$9,V$140=""),"",IF(COUNTIFS(BD!$B$3:$B$5001,V$140,BD!$A$3:$A$5001,"&gt;="&amp;$C$7,BD!$A$3:$A$5001,"&lt;="&amp;$B148,BD!$X$3:$X$5001,"&lt;&gt;")=0,"",SUMIFS(BD!$X$3:$X$5001,BD!$B$3:$B$5001,V$140,BD!$A$3:$A$5001,_xlfn.MAXIFS(BD!$A$3:$A$5001,BD!$B$3:$B$5001,V$140,BD!$A$3:$A$5001,"&gt;="&amp;$C$7,BD!$A$3:$A$5001,"&lt;="&amp;$B148,BD!$X$3:$X$5001,"&lt;&gt;"))))</f>
        <v/>
      </c>
    </row>
    <row r="149">
      <c r="A149" s="38">
        <v>9</v>
      </c>
      <c r="B149" s="42">
        <f>$B$20</f>
        <v>46304</v>
      </c>
      <c r="C149" s="43" t="str">
        <f>IF(OR($B149="",$A149&gt;$B$9,C$140=""),"",IF(COUNTIFS(BD!$B$3:$B$5001,C$140,BD!$A$3:$A$5001,"&gt;="&amp;$C$7,BD!$A$3:$A$5001,"&lt;="&amp;$B149,BD!$X$3:$X$5001,"&lt;&gt;")=0,"",SUMIFS(BD!$X$3:$X$5001,BD!$B$3:$B$5001,C$140,BD!$A$3:$A$5001,_xlfn.MAXIFS(BD!$A$3:$A$5001,BD!$B$3:$B$5001,C$140,BD!$A$3:$A$5001,"&gt;="&amp;$C$7,BD!$A$3:$A$5001,"&lt;="&amp;$B149,BD!$X$3:$X$5001,"&lt;&gt;"))))</f>
        <v/>
      </c>
      <c r="D149" s="43" t="str">
        <f>IF(OR($B149="",$A149&gt;$B$9,D$140=""),"",IF(COUNTIFS(BD!$B$3:$B$5001,D$140,BD!$A$3:$A$5001,"&gt;="&amp;$C$7,BD!$A$3:$A$5001,"&lt;="&amp;$B149,BD!$X$3:$X$5001,"&lt;&gt;")=0,"",SUMIFS(BD!$X$3:$X$5001,BD!$B$3:$B$5001,D$140,BD!$A$3:$A$5001,_xlfn.MAXIFS(BD!$A$3:$A$5001,BD!$B$3:$B$5001,D$140,BD!$A$3:$A$5001,"&gt;="&amp;$C$7,BD!$A$3:$A$5001,"&lt;="&amp;$B149,BD!$X$3:$X$5001,"&lt;&gt;"))))</f>
        <v/>
      </c>
      <c r="E149" s="43" t="str">
        <f>IF(OR($B149="",$A149&gt;$B$9,E$140=""),"",IF(COUNTIFS(BD!$B$3:$B$5001,E$140,BD!$A$3:$A$5001,"&gt;="&amp;$C$7,BD!$A$3:$A$5001,"&lt;="&amp;$B149,BD!$X$3:$X$5001,"&lt;&gt;")=0,"",SUMIFS(BD!$X$3:$X$5001,BD!$B$3:$B$5001,E$140,BD!$A$3:$A$5001,_xlfn.MAXIFS(BD!$A$3:$A$5001,BD!$B$3:$B$5001,E$140,BD!$A$3:$A$5001,"&gt;="&amp;$C$7,BD!$A$3:$A$5001,"&lt;="&amp;$B149,BD!$X$3:$X$5001,"&lt;&gt;"))))</f>
        <v/>
      </c>
      <c r="F149" s="43" t="str">
        <f>IF(OR($B149="",$A149&gt;$B$9,F$140=""),"",IF(COUNTIFS(BD!$B$3:$B$5001,F$140,BD!$A$3:$A$5001,"&gt;="&amp;$C$7,BD!$A$3:$A$5001,"&lt;="&amp;$B149,BD!$X$3:$X$5001,"&lt;&gt;")=0,"",SUMIFS(BD!$X$3:$X$5001,BD!$B$3:$B$5001,F$140,BD!$A$3:$A$5001,_xlfn.MAXIFS(BD!$A$3:$A$5001,BD!$B$3:$B$5001,F$140,BD!$A$3:$A$5001,"&gt;="&amp;$C$7,BD!$A$3:$A$5001,"&lt;="&amp;$B149,BD!$X$3:$X$5001,"&lt;&gt;"))))</f>
        <v/>
      </c>
      <c r="G149" s="43" t="str">
        <f>IF(OR($B149="",$A149&gt;$B$9,G$140=""),"",IF(COUNTIFS(BD!$B$3:$B$5001,G$140,BD!$A$3:$A$5001,"&gt;="&amp;$C$7,BD!$A$3:$A$5001,"&lt;="&amp;$B149,BD!$X$3:$X$5001,"&lt;&gt;")=0,"",SUMIFS(BD!$X$3:$X$5001,BD!$B$3:$B$5001,G$140,BD!$A$3:$A$5001,_xlfn.MAXIFS(BD!$A$3:$A$5001,BD!$B$3:$B$5001,G$140,BD!$A$3:$A$5001,"&gt;="&amp;$C$7,BD!$A$3:$A$5001,"&lt;="&amp;$B149,BD!$X$3:$X$5001,"&lt;&gt;"))))</f>
        <v/>
      </c>
      <c r="H149" s="43" t="str">
        <f>IF(OR($B149="",$A149&gt;$B$9,H$140=""),"",IF(COUNTIFS(BD!$B$3:$B$5001,H$140,BD!$A$3:$A$5001,"&gt;="&amp;$C$7,BD!$A$3:$A$5001,"&lt;="&amp;$B149,BD!$X$3:$X$5001,"&lt;&gt;")=0,"",SUMIFS(BD!$X$3:$X$5001,BD!$B$3:$B$5001,H$140,BD!$A$3:$A$5001,_xlfn.MAXIFS(BD!$A$3:$A$5001,BD!$B$3:$B$5001,H$140,BD!$A$3:$A$5001,"&gt;="&amp;$C$7,BD!$A$3:$A$5001,"&lt;="&amp;$B149,BD!$X$3:$X$5001,"&lt;&gt;"))))</f>
        <v/>
      </c>
      <c r="I149" s="43" t="str">
        <f>IF(OR($B149="",$A149&gt;$B$9,I$140=""),"",IF(COUNTIFS(BD!$B$3:$B$5001,I$140,BD!$A$3:$A$5001,"&gt;="&amp;$C$7,BD!$A$3:$A$5001,"&lt;="&amp;$B149,BD!$X$3:$X$5001,"&lt;&gt;")=0,"",SUMIFS(BD!$X$3:$X$5001,BD!$B$3:$B$5001,I$140,BD!$A$3:$A$5001,_xlfn.MAXIFS(BD!$A$3:$A$5001,BD!$B$3:$B$5001,I$140,BD!$A$3:$A$5001,"&gt;="&amp;$C$7,BD!$A$3:$A$5001,"&lt;="&amp;$B149,BD!$X$3:$X$5001,"&lt;&gt;"))))</f>
        <v/>
      </c>
      <c r="J149" s="43" t="str">
        <f>IF(OR($B149="",$A149&gt;$B$9,J$140=""),"",IF(COUNTIFS(BD!$B$3:$B$5001,J$140,BD!$A$3:$A$5001,"&gt;="&amp;$C$7,BD!$A$3:$A$5001,"&lt;="&amp;$B149,BD!$X$3:$X$5001,"&lt;&gt;")=0,"",SUMIFS(BD!$X$3:$X$5001,BD!$B$3:$B$5001,J$140,BD!$A$3:$A$5001,_xlfn.MAXIFS(BD!$A$3:$A$5001,BD!$B$3:$B$5001,J$140,BD!$A$3:$A$5001,"&gt;="&amp;$C$7,BD!$A$3:$A$5001,"&lt;="&amp;$B149,BD!$X$3:$X$5001,"&lt;&gt;"))))</f>
        <v/>
      </c>
      <c r="K149" s="43" t="str">
        <f>IF(OR($B149="",$A149&gt;$B$9,K$140=""),"",IF(COUNTIFS(BD!$B$3:$B$5001,K$140,BD!$A$3:$A$5001,"&gt;="&amp;$C$7,BD!$A$3:$A$5001,"&lt;="&amp;$B149,BD!$X$3:$X$5001,"&lt;&gt;")=0,"",SUMIFS(BD!$X$3:$X$5001,BD!$B$3:$B$5001,K$140,BD!$A$3:$A$5001,_xlfn.MAXIFS(BD!$A$3:$A$5001,BD!$B$3:$B$5001,K$140,BD!$A$3:$A$5001,"&gt;="&amp;$C$7,BD!$A$3:$A$5001,"&lt;="&amp;$B149,BD!$X$3:$X$5001,"&lt;&gt;"))))</f>
        <v/>
      </c>
      <c r="L149" s="43" t="str">
        <f>IF(OR($B149="",$A149&gt;$B$9,L$140=""),"",IF(COUNTIFS(BD!$B$3:$B$5001,L$140,BD!$A$3:$A$5001,"&gt;="&amp;$C$7,BD!$A$3:$A$5001,"&lt;="&amp;$B149,BD!$X$3:$X$5001,"&lt;&gt;")=0,"",SUMIFS(BD!$X$3:$X$5001,BD!$B$3:$B$5001,L$140,BD!$A$3:$A$5001,_xlfn.MAXIFS(BD!$A$3:$A$5001,BD!$B$3:$B$5001,L$140,BD!$A$3:$A$5001,"&gt;="&amp;$C$7,BD!$A$3:$A$5001,"&lt;="&amp;$B149,BD!$X$3:$X$5001,"&lt;&gt;"))))</f>
        <v/>
      </c>
      <c r="M149" s="43" t="str">
        <f>IF(OR($B149="",$A149&gt;$B$9,M$140=""),"",IF(COUNTIFS(BD!$B$3:$B$5001,M$140,BD!$A$3:$A$5001,"&gt;="&amp;$C$7,BD!$A$3:$A$5001,"&lt;="&amp;$B149,BD!$X$3:$X$5001,"&lt;&gt;")=0,"",SUMIFS(BD!$X$3:$X$5001,BD!$B$3:$B$5001,M$140,BD!$A$3:$A$5001,_xlfn.MAXIFS(BD!$A$3:$A$5001,BD!$B$3:$B$5001,M$140,BD!$A$3:$A$5001,"&gt;="&amp;$C$7,BD!$A$3:$A$5001,"&lt;="&amp;$B149,BD!$X$3:$X$5001,"&lt;&gt;"))))</f>
        <v/>
      </c>
      <c r="N149" s="43" t="str">
        <f>IF(OR($B149="",$A149&gt;$B$9,N$140=""),"",IF(COUNTIFS(BD!$B$3:$B$5001,N$140,BD!$A$3:$A$5001,"&gt;="&amp;$C$7,BD!$A$3:$A$5001,"&lt;="&amp;$B149,BD!$X$3:$X$5001,"&lt;&gt;")=0,"",SUMIFS(BD!$X$3:$X$5001,BD!$B$3:$B$5001,N$140,BD!$A$3:$A$5001,_xlfn.MAXIFS(BD!$A$3:$A$5001,BD!$B$3:$B$5001,N$140,BD!$A$3:$A$5001,"&gt;="&amp;$C$7,BD!$A$3:$A$5001,"&lt;="&amp;$B149,BD!$X$3:$X$5001,"&lt;&gt;"))))</f>
        <v/>
      </c>
      <c r="O149" s="43" t="str">
        <f>IF(OR($B149="",$A149&gt;$B$9,O$140=""),"",IF(COUNTIFS(BD!$B$3:$B$5001,O$140,BD!$A$3:$A$5001,"&gt;="&amp;$C$7,BD!$A$3:$A$5001,"&lt;="&amp;$B149,BD!$X$3:$X$5001,"&lt;&gt;")=0,"",SUMIFS(BD!$X$3:$X$5001,BD!$B$3:$B$5001,O$140,BD!$A$3:$A$5001,_xlfn.MAXIFS(BD!$A$3:$A$5001,BD!$B$3:$B$5001,O$140,BD!$A$3:$A$5001,"&gt;="&amp;$C$7,BD!$A$3:$A$5001,"&lt;="&amp;$B149,BD!$X$3:$X$5001,"&lt;&gt;"))))</f>
        <v/>
      </c>
      <c r="P149" s="43" t="str">
        <f>IF(OR($B149="",$A149&gt;$B$9,P$140=""),"",IF(COUNTIFS(BD!$B$3:$B$5001,P$140,BD!$A$3:$A$5001,"&gt;="&amp;$C$7,BD!$A$3:$A$5001,"&lt;="&amp;$B149,BD!$X$3:$X$5001,"&lt;&gt;")=0,"",SUMIFS(BD!$X$3:$X$5001,BD!$B$3:$B$5001,P$140,BD!$A$3:$A$5001,_xlfn.MAXIFS(BD!$A$3:$A$5001,BD!$B$3:$B$5001,P$140,BD!$A$3:$A$5001,"&gt;="&amp;$C$7,BD!$A$3:$A$5001,"&lt;="&amp;$B149,BD!$X$3:$X$5001,"&lt;&gt;"))))</f>
        <v/>
      </c>
      <c r="Q149" s="43" t="str">
        <f>IF(OR($B149="",$A149&gt;$B$9,Q$140=""),"",IF(COUNTIFS(BD!$B$3:$B$5001,Q$140,BD!$A$3:$A$5001,"&gt;="&amp;$C$7,BD!$A$3:$A$5001,"&lt;="&amp;$B149,BD!$X$3:$X$5001,"&lt;&gt;")=0,"",SUMIFS(BD!$X$3:$X$5001,BD!$B$3:$B$5001,Q$140,BD!$A$3:$A$5001,_xlfn.MAXIFS(BD!$A$3:$A$5001,BD!$B$3:$B$5001,Q$140,BD!$A$3:$A$5001,"&gt;="&amp;$C$7,BD!$A$3:$A$5001,"&lt;="&amp;$B149,BD!$X$3:$X$5001,"&lt;&gt;"))))</f>
        <v/>
      </c>
      <c r="R149" s="43" t="str">
        <f>IF(OR($B149="",$A149&gt;$B$9,R$140=""),"",IF(COUNTIFS(BD!$B$3:$B$5001,R$140,BD!$A$3:$A$5001,"&gt;="&amp;$C$7,BD!$A$3:$A$5001,"&lt;="&amp;$B149,BD!$X$3:$X$5001,"&lt;&gt;")=0,"",SUMIFS(BD!$X$3:$X$5001,BD!$B$3:$B$5001,R$140,BD!$A$3:$A$5001,_xlfn.MAXIFS(BD!$A$3:$A$5001,BD!$B$3:$B$5001,R$140,BD!$A$3:$A$5001,"&gt;="&amp;$C$7,BD!$A$3:$A$5001,"&lt;="&amp;$B149,BD!$X$3:$X$5001,"&lt;&gt;"))))</f>
        <v/>
      </c>
      <c r="S149" s="43" t="str">
        <f>IF(OR($B149="",$A149&gt;$B$9,S$140=""),"",IF(COUNTIFS(BD!$B$3:$B$5001,S$140,BD!$A$3:$A$5001,"&gt;="&amp;$C$7,BD!$A$3:$A$5001,"&lt;="&amp;$B149,BD!$X$3:$X$5001,"&lt;&gt;")=0,"",SUMIFS(BD!$X$3:$X$5001,BD!$B$3:$B$5001,S$140,BD!$A$3:$A$5001,_xlfn.MAXIFS(BD!$A$3:$A$5001,BD!$B$3:$B$5001,S$140,BD!$A$3:$A$5001,"&gt;="&amp;$C$7,BD!$A$3:$A$5001,"&lt;="&amp;$B149,BD!$X$3:$X$5001,"&lt;&gt;"))))</f>
        <v/>
      </c>
      <c r="T149" s="43" t="str">
        <f>IF(OR($B149="",$A149&gt;$B$9,T$140=""),"",IF(COUNTIFS(BD!$B$3:$B$5001,T$140,BD!$A$3:$A$5001,"&gt;="&amp;$C$7,BD!$A$3:$A$5001,"&lt;="&amp;$B149,BD!$X$3:$X$5001,"&lt;&gt;")=0,"",SUMIFS(BD!$X$3:$X$5001,BD!$B$3:$B$5001,T$140,BD!$A$3:$A$5001,_xlfn.MAXIFS(BD!$A$3:$A$5001,BD!$B$3:$B$5001,T$140,BD!$A$3:$A$5001,"&gt;="&amp;$C$7,BD!$A$3:$A$5001,"&lt;="&amp;$B149,BD!$X$3:$X$5001,"&lt;&gt;"))))</f>
        <v/>
      </c>
      <c r="U149" s="43" t="str">
        <f>IF(OR($B149="",$A149&gt;$B$9,U$140=""),"",IF(COUNTIFS(BD!$B$3:$B$5001,U$140,BD!$A$3:$A$5001,"&gt;="&amp;$C$7,BD!$A$3:$A$5001,"&lt;="&amp;$B149,BD!$X$3:$X$5001,"&lt;&gt;")=0,"",SUMIFS(BD!$X$3:$X$5001,BD!$B$3:$B$5001,U$140,BD!$A$3:$A$5001,_xlfn.MAXIFS(BD!$A$3:$A$5001,BD!$B$3:$B$5001,U$140,BD!$A$3:$A$5001,"&gt;="&amp;$C$7,BD!$A$3:$A$5001,"&lt;="&amp;$B149,BD!$X$3:$X$5001,"&lt;&gt;"))))</f>
        <v/>
      </c>
      <c r="V149" s="43" t="str">
        <f>IF(OR($B149="",$A149&gt;$B$9,V$140=""),"",IF(COUNTIFS(BD!$B$3:$B$5001,V$140,BD!$A$3:$A$5001,"&gt;="&amp;$C$7,BD!$A$3:$A$5001,"&lt;="&amp;$B149,BD!$X$3:$X$5001,"&lt;&gt;")=0,"",SUMIFS(BD!$X$3:$X$5001,BD!$B$3:$B$5001,V$140,BD!$A$3:$A$5001,_xlfn.MAXIFS(BD!$A$3:$A$5001,BD!$B$3:$B$5001,V$140,BD!$A$3:$A$5001,"&gt;="&amp;$C$7,BD!$A$3:$A$5001,"&lt;="&amp;$B149,BD!$X$3:$X$5001,"&lt;&gt;"))))</f>
        <v/>
      </c>
    </row>
    <row r="150">
      <c r="A150" s="38">
        <v>10</v>
      </c>
      <c r="B150" s="42">
        <f>$B$21</f>
        <v>46305</v>
      </c>
      <c r="C150" s="43" t="str">
        <f>IF(OR($B150="",$A150&gt;$B$9,C$140=""),"",IF(COUNTIFS(BD!$B$3:$B$5001,C$140,BD!$A$3:$A$5001,"&gt;="&amp;$C$7,BD!$A$3:$A$5001,"&lt;="&amp;$B150,BD!$X$3:$X$5001,"&lt;&gt;")=0,"",SUMIFS(BD!$X$3:$X$5001,BD!$B$3:$B$5001,C$140,BD!$A$3:$A$5001,_xlfn.MAXIFS(BD!$A$3:$A$5001,BD!$B$3:$B$5001,C$140,BD!$A$3:$A$5001,"&gt;="&amp;$C$7,BD!$A$3:$A$5001,"&lt;="&amp;$B150,BD!$X$3:$X$5001,"&lt;&gt;"))))</f>
        <v/>
      </c>
      <c r="D150" s="43" t="str">
        <f>IF(OR($B150="",$A150&gt;$B$9,D$140=""),"",IF(COUNTIFS(BD!$B$3:$B$5001,D$140,BD!$A$3:$A$5001,"&gt;="&amp;$C$7,BD!$A$3:$A$5001,"&lt;="&amp;$B150,BD!$X$3:$X$5001,"&lt;&gt;")=0,"",SUMIFS(BD!$X$3:$X$5001,BD!$B$3:$B$5001,D$140,BD!$A$3:$A$5001,_xlfn.MAXIFS(BD!$A$3:$A$5001,BD!$B$3:$B$5001,D$140,BD!$A$3:$A$5001,"&gt;="&amp;$C$7,BD!$A$3:$A$5001,"&lt;="&amp;$B150,BD!$X$3:$X$5001,"&lt;&gt;"))))</f>
        <v/>
      </c>
      <c r="E150" s="43" t="str">
        <f>IF(OR($B150="",$A150&gt;$B$9,E$140=""),"",IF(COUNTIFS(BD!$B$3:$B$5001,E$140,BD!$A$3:$A$5001,"&gt;="&amp;$C$7,BD!$A$3:$A$5001,"&lt;="&amp;$B150,BD!$X$3:$X$5001,"&lt;&gt;")=0,"",SUMIFS(BD!$X$3:$X$5001,BD!$B$3:$B$5001,E$140,BD!$A$3:$A$5001,_xlfn.MAXIFS(BD!$A$3:$A$5001,BD!$B$3:$B$5001,E$140,BD!$A$3:$A$5001,"&gt;="&amp;$C$7,BD!$A$3:$A$5001,"&lt;="&amp;$B150,BD!$X$3:$X$5001,"&lt;&gt;"))))</f>
        <v/>
      </c>
      <c r="F150" s="43" t="str">
        <f>IF(OR($B150="",$A150&gt;$B$9,F$140=""),"",IF(COUNTIFS(BD!$B$3:$B$5001,F$140,BD!$A$3:$A$5001,"&gt;="&amp;$C$7,BD!$A$3:$A$5001,"&lt;="&amp;$B150,BD!$X$3:$X$5001,"&lt;&gt;")=0,"",SUMIFS(BD!$X$3:$X$5001,BD!$B$3:$B$5001,F$140,BD!$A$3:$A$5001,_xlfn.MAXIFS(BD!$A$3:$A$5001,BD!$B$3:$B$5001,F$140,BD!$A$3:$A$5001,"&gt;="&amp;$C$7,BD!$A$3:$A$5001,"&lt;="&amp;$B150,BD!$X$3:$X$5001,"&lt;&gt;"))))</f>
        <v/>
      </c>
      <c r="G150" s="43" t="str">
        <f>IF(OR($B150="",$A150&gt;$B$9,G$140=""),"",IF(COUNTIFS(BD!$B$3:$B$5001,G$140,BD!$A$3:$A$5001,"&gt;="&amp;$C$7,BD!$A$3:$A$5001,"&lt;="&amp;$B150,BD!$X$3:$X$5001,"&lt;&gt;")=0,"",SUMIFS(BD!$X$3:$X$5001,BD!$B$3:$B$5001,G$140,BD!$A$3:$A$5001,_xlfn.MAXIFS(BD!$A$3:$A$5001,BD!$B$3:$B$5001,G$140,BD!$A$3:$A$5001,"&gt;="&amp;$C$7,BD!$A$3:$A$5001,"&lt;="&amp;$B150,BD!$X$3:$X$5001,"&lt;&gt;"))))</f>
        <v/>
      </c>
      <c r="H150" s="43" t="str">
        <f>IF(OR($B150="",$A150&gt;$B$9,H$140=""),"",IF(COUNTIFS(BD!$B$3:$B$5001,H$140,BD!$A$3:$A$5001,"&gt;="&amp;$C$7,BD!$A$3:$A$5001,"&lt;="&amp;$B150,BD!$X$3:$X$5001,"&lt;&gt;")=0,"",SUMIFS(BD!$X$3:$X$5001,BD!$B$3:$B$5001,H$140,BD!$A$3:$A$5001,_xlfn.MAXIFS(BD!$A$3:$A$5001,BD!$B$3:$B$5001,H$140,BD!$A$3:$A$5001,"&gt;="&amp;$C$7,BD!$A$3:$A$5001,"&lt;="&amp;$B150,BD!$X$3:$X$5001,"&lt;&gt;"))))</f>
        <v/>
      </c>
      <c r="I150" s="43" t="str">
        <f>IF(OR($B150="",$A150&gt;$B$9,I$140=""),"",IF(COUNTIFS(BD!$B$3:$B$5001,I$140,BD!$A$3:$A$5001,"&gt;="&amp;$C$7,BD!$A$3:$A$5001,"&lt;="&amp;$B150,BD!$X$3:$X$5001,"&lt;&gt;")=0,"",SUMIFS(BD!$X$3:$X$5001,BD!$B$3:$B$5001,I$140,BD!$A$3:$A$5001,_xlfn.MAXIFS(BD!$A$3:$A$5001,BD!$B$3:$B$5001,I$140,BD!$A$3:$A$5001,"&gt;="&amp;$C$7,BD!$A$3:$A$5001,"&lt;="&amp;$B150,BD!$X$3:$X$5001,"&lt;&gt;"))))</f>
        <v/>
      </c>
      <c r="J150" s="43" t="str">
        <f>IF(OR($B150="",$A150&gt;$B$9,J$140=""),"",IF(COUNTIFS(BD!$B$3:$B$5001,J$140,BD!$A$3:$A$5001,"&gt;="&amp;$C$7,BD!$A$3:$A$5001,"&lt;="&amp;$B150,BD!$X$3:$X$5001,"&lt;&gt;")=0,"",SUMIFS(BD!$X$3:$X$5001,BD!$B$3:$B$5001,J$140,BD!$A$3:$A$5001,_xlfn.MAXIFS(BD!$A$3:$A$5001,BD!$B$3:$B$5001,J$140,BD!$A$3:$A$5001,"&gt;="&amp;$C$7,BD!$A$3:$A$5001,"&lt;="&amp;$B150,BD!$X$3:$X$5001,"&lt;&gt;"))))</f>
        <v/>
      </c>
      <c r="K150" s="43" t="str">
        <f>IF(OR($B150="",$A150&gt;$B$9,K$140=""),"",IF(COUNTIFS(BD!$B$3:$B$5001,K$140,BD!$A$3:$A$5001,"&gt;="&amp;$C$7,BD!$A$3:$A$5001,"&lt;="&amp;$B150,BD!$X$3:$X$5001,"&lt;&gt;")=0,"",SUMIFS(BD!$X$3:$X$5001,BD!$B$3:$B$5001,K$140,BD!$A$3:$A$5001,_xlfn.MAXIFS(BD!$A$3:$A$5001,BD!$B$3:$B$5001,K$140,BD!$A$3:$A$5001,"&gt;="&amp;$C$7,BD!$A$3:$A$5001,"&lt;="&amp;$B150,BD!$X$3:$X$5001,"&lt;&gt;"))))</f>
        <v/>
      </c>
      <c r="L150" s="43" t="str">
        <f>IF(OR($B150="",$A150&gt;$B$9,L$140=""),"",IF(COUNTIFS(BD!$B$3:$B$5001,L$140,BD!$A$3:$A$5001,"&gt;="&amp;$C$7,BD!$A$3:$A$5001,"&lt;="&amp;$B150,BD!$X$3:$X$5001,"&lt;&gt;")=0,"",SUMIFS(BD!$X$3:$X$5001,BD!$B$3:$B$5001,L$140,BD!$A$3:$A$5001,_xlfn.MAXIFS(BD!$A$3:$A$5001,BD!$B$3:$B$5001,L$140,BD!$A$3:$A$5001,"&gt;="&amp;$C$7,BD!$A$3:$A$5001,"&lt;="&amp;$B150,BD!$X$3:$X$5001,"&lt;&gt;"))))</f>
        <v/>
      </c>
      <c r="M150" s="43" t="str">
        <f>IF(OR($B150="",$A150&gt;$B$9,M$140=""),"",IF(COUNTIFS(BD!$B$3:$B$5001,M$140,BD!$A$3:$A$5001,"&gt;="&amp;$C$7,BD!$A$3:$A$5001,"&lt;="&amp;$B150,BD!$X$3:$X$5001,"&lt;&gt;")=0,"",SUMIFS(BD!$X$3:$X$5001,BD!$B$3:$B$5001,M$140,BD!$A$3:$A$5001,_xlfn.MAXIFS(BD!$A$3:$A$5001,BD!$B$3:$B$5001,M$140,BD!$A$3:$A$5001,"&gt;="&amp;$C$7,BD!$A$3:$A$5001,"&lt;="&amp;$B150,BD!$X$3:$X$5001,"&lt;&gt;"))))</f>
        <v/>
      </c>
      <c r="N150" s="43" t="str">
        <f>IF(OR($B150="",$A150&gt;$B$9,N$140=""),"",IF(COUNTIFS(BD!$B$3:$B$5001,N$140,BD!$A$3:$A$5001,"&gt;="&amp;$C$7,BD!$A$3:$A$5001,"&lt;="&amp;$B150,BD!$X$3:$X$5001,"&lt;&gt;")=0,"",SUMIFS(BD!$X$3:$X$5001,BD!$B$3:$B$5001,N$140,BD!$A$3:$A$5001,_xlfn.MAXIFS(BD!$A$3:$A$5001,BD!$B$3:$B$5001,N$140,BD!$A$3:$A$5001,"&gt;="&amp;$C$7,BD!$A$3:$A$5001,"&lt;="&amp;$B150,BD!$X$3:$X$5001,"&lt;&gt;"))))</f>
        <v/>
      </c>
      <c r="O150" s="43" t="str">
        <f>IF(OR($B150="",$A150&gt;$B$9,O$140=""),"",IF(COUNTIFS(BD!$B$3:$B$5001,O$140,BD!$A$3:$A$5001,"&gt;="&amp;$C$7,BD!$A$3:$A$5001,"&lt;="&amp;$B150,BD!$X$3:$X$5001,"&lt;&gt;")=0,"",SUMIFS(BD!$X$3:$X$5001,BD!$B$3:$B$5001,O$140,BD!$A$3:$A$5001,_xlfn.MAXIFS(BD!$A$3:$A$5001,BD!$B$3:$B$5001,O$140,BD!$A$3:$A$5001,"&gt;="&amp;$C$7,BD!$A$3:$A$5001,"&lt;="&amp;$B150,BD!$X$3:$X$5001,"&lt;&gt;"))))</f>
        <v/>
      </c>
      <c r="P150" s="43" t="str">
        <f>IF(OR($B150="",$A150&gt;$B$9,P$140=""),"",IF(COUNTIFS(BD!$B$3:$B$5001,P$140,BD!$A$3:$A$5001,"&gt;="&amp;$C$7,BD!$A$3:$A$5001,"&lt;="&amp;$B150,BD!$X$3:$X$5001,"&lt;&gt;")=0,"",SUMIFS(BD!$X$3:$X$5001,BD!$B$3:$B$5001,P$140,BD!$A$3:$A$5001,_xlfn.MAXIFS(BD!$A$3:$A$5001,BD!$B$3:$B$5001,P$140,BD!$A$3:$A$5001,"&gt;="&amp;$C$7,BD!$A$3:$A$5001,"&lt;="&amp;$B150,BD!$X$3:$X$5001,"&lt;&gt;"))))</f>
        <v/>
      </c>
      <c r="Q150" s="43" t="str">
        <f>IF(OR($B150="",$A150&gt;$B$9,Q$140=""),"",IF(COUNTIFS(BD!$B$3:$B$5001,Q$140,BD!$A$3:$A$5001,"&gt;="&amp;$C$7,BD!$A$3:$A$5001,"&lt;="&amp;$B150,BD!$X$3:$X$5001,"&lt;&gt;")=0,"",SUMIFS(BD!$X$3:$X$5001,BD!$B$3:$B$5001,Q$140,BD!$A$3:$A$5001,_xlfn.MAXIFS(BD!$A$3:$A$5001,BD!$B$3:$B$5001,Q$140,BD!$A$3:$A$5001,"&gt;="&amp;$C$7,BD!$A$3:$A$5001,"&lt;="&amp;$B150,BD!$X$3:$X$5001,"&lt;&gt;"))))</f>
        <v/>
      </c>
      <c r="R150" s="43" t="str">
        <f>IF(OR($B150="",$A150&gt;$B$9,R$140=""),"",IF(COUNTIFS(BD!$B$3:$B$5001,R$140,BD!$A$3:$A$5001,"&gt;="&amp;$C$7,BD!$A$3:$A$5001,"&lt;="&amp;$B150,BD!$X$3:$X$5001,"&lt;&gt;")=0,"",SUMIFS(BD!$X$3:$X$5001,BD!$B$3:$B$5001,R$140,BD!$A$3:$A$5001,_xlfn.MAXIFS(BD!$A$3:$A$5001,BD!$B$3:$B$5001,R$140,BD!$A$3:$A$5001,"&gt;="&amp;$C$7,BD!$A$3:$A$5001,"&lt;="&amp;$B150,BD!$X$3:$X$5001,"&lt;&gt;"))))</f>
        <v/>
      </c>
      <c r="S150" s="43" t="str">
        <f>IF(OR($B150="",$A150&gt;$B$9,S$140=""),"",IF(COUNTIFS(BD!$B$3:$B$5001,S$140,BD!$A$3:$A$5001,"&gt;="&amp;$C$7,BD!$A$3:$A$5001,"&lt;="&amp;$B150,BD!$X$3:$X$5001,"&lt;&gt;")=0,"",SUMIFS(BD!$X$3:$X$5001,BD!$B$3:$B$5001,S$140,BD!$A$3:$A$5001,_xlfn.MAXIFS(BD!$A$3:$A$5001,BD!$B$3:$B$5001,S$140,BD!$A$3:$A$5001,"&gt;="&amp;$C$7,BD!$A$3:$A$5001,"&lt;="&amp;$B150,BD!$X$3:$X$5001,"&lt;&gt;"))))</f>
        <v/>
      </c>
      <c r="T150" s="43" t="str">
        <f>IF(OR($B150="",$A150&gt;$B$9,T$140=""),"",IF(COUNTIFS(BD!$B$3:$B$5001,T$140,BD!$A$3:$A$5001,"&gt;="&amp;$C$7,BD!$A$3:$A$5001,"&lt;="&amp;$B150,BD!$X$3:$X$5001,"&lt;&gt;")=0,"",SUMIFS(BD!$X$3:$X$5001,BD!$B$3:$B$5001,T$140,BD!$A$3:$A$5001,_xlfn.MAXIFS(BD!$A$3:$A$5001,BD!$B$3:$B$5001,T$140,BD!$A$3:$A$5001,"&gt;="&amp;$C$7,BD!$A$3:$A$5001,"&lt;="&amp;$B150,BD!$X$3:$X$5001,"&lt;&gt;"))))</f>
        <v/>
      </c>
      <c r="U150" s="43" t="str">
        <f>IF(OR($B150="",$A150&gt;$B$9,U$140=""),"",IF(COUNTIFS(BD!$B$3:$B$5001,U$140,BD!$A$3:$A$5001,"&gt;="&amp;$C$7,BD!$A$3:$A$5001,"&lt;="&amp;$B150,BD!$X$3:$X$5001,"&lt;&gt;")=0,"",SUMIFS(BD!$X$3:$X$5001,BD!$B$3:$B$5001,U$140,BD!$A$3:$A$5001,_xlfn.MAXIFS(BD!$A$3:$A$5001,BD!$B$3:$B$5001,U$140,BD!$A$3:$A$5001,"&gt;="&amp;$C$7,BD!$A$3:$A$5001,"&lt;="&amp;$B150,BD!$X$3:$X$5001,"&lt;&gt;"))))</f>
        <v/>
      </c>
      <c r="V150" s="43" t="str">
        <f>IF(OR($B150="",$A150&gt;$B$9,V$140=""),"",IF(COUNTIFS(BD!$B$3:$B$5001,V$140,BD!$A$3:$A$5001,"&gt;="&amp;$C$7,BD!$A$3:$A$5001,"&lt;="&amp;$B150,BD!$X$3:$X$5001,"&lt;&gt;")=0,"",SUMIFS(BD!$X$3:$X$5001,BD!$B$3:$B$5001,V$140,BD!$A$3:$A$5001,_xlfn.MAXIFS(BD!$A$3:$A$5001,BD!$B$3:$B$5001,V$140,BD!$A$3:$A$5001,"&gt;="&amp;$C$7,BD!$A$3:$A$5001,"&lt;="&amp;$B150,BD!$X$3:$X$5001,"&lt;&gt;"))))</f>
        <v/>
      </c>
    </row>
    <row r="151">
      <c r="A151" s="38">
        <v>11</v>
      </c>
      <c r="B151" s="42">
        <f>$B$22</f>
        <v>46306</v>
      </c>
      <c r="C151" s="43" t="str">
        <f>IF(OR($B151="",$A151&gt;$B$9,C$140=""),"",IF(COUNTIFS(BD!$B$3:$B$5001,C$140,BD!$A$3:$A$5001,"&gt;="&amp;$C$7,BD!$A$3:$A$5001,"&lt;="&amp;$B151,BD!$X$3:$X$5001,"&lt;&gt;")=0,"",SUMIFS(BD!$X$3:$X$5001,BD!$B$3:$B$5001,C$140,BD!$A$3:$A$5001,_xlfn.MAXIFS(BD!$A$3:$A$5001,BD!$B$3:$B$5001,C$140,BD!$A$3:$A$5001,"&gt;="&amp;$C$7,BD!$A$3:$A$5001,"&lt;="&amp;$B151,BD!$X$3:$X$5001,"&lt;&gt;"))))</f>
        <v/>
      </c>
      <c r="D151" s="43" t="str">
        <f>IF(OR($B151="",$A151&gt;$B$9,D$140=""),"",IF(COUNTIFS(BD!$B$3:$B$5001,D$140,BD!$A$3:$A$5001,"&gt;="&amp;$C$7,BD!$A$3:$A$5001,"&lt;="&amp;$B151,BD!$X$3:$X$5001,"&lt;&gt;")=0,"",SUMIFS(BD!$X$3:$X$5001,BD!$B$3:$B$5001,D$140,BD!$A$3:$A$5001,_xlfn.MAXIFS(BD!$A$3:$A$5001,BD!$B$3:$B$5001,D$140,BD!$A$3:$A$5001,"&gt;="&amp;$C$7,BD!$A$3:$A$5001,"&lt;="&amp;$B151,BD!$X$3:$X$5001,"&lt;&gt;"))))</f>
        <v/>
      </c>
      <c r="E151" s="43" t="str">
        <f>IF(OR($B151="",$A151&gt;$B$9,E$140=""),"",IF(COUNTIFS(BD!$B$3:$B$5001,E$140,BD!$A$3:$A$5001,"&gt;="&amp;$C$7,BD!$A$3:$A$5001,"&lt;="&amp;$B151,BD!$X$3:$X$5001,"&lt;&gt;")=0,"",SUMIFS(BD!$X$3:$X$5001,BD!$B$3:$B$5001,E$140,BD!$A$3:$A$5001,_xlfn.MAXIFS(BD!$A$3:$A$5001,BD!$B$3:$B$5001,E$140,BD!$A$3:$A$5001,"&gt;="&amp;$C$7,BD!$A$3:$A$5001,"&lt;="&amp;$B151,BD!$X$3:$X$5001,"&lt;&gt;"))))</f>
        <v/>
      </c>
      <c r="F151" s="43" t="str">
        <f>IF(OR($B151="",$A151&gt;$B$9,F$140=""),"",IF(COUNTIFS(BD!$B$3:$B$5001,F$140,BD!$A$3:$A$5001,"&gt;="&amp;$C$7,BD!$A$3:$A$5001,"&lt;="&amp;$B151,BD!$X$3:$X$5001,"&lt;&gt;")=0,"",SUMIFS(BD!$X$3:$X$5001,BD!$B$3:$B$5001,F$140,BD!$A$3:$A$5001,_xlfn.MAXIFS(BD!$A$3:$A$5001,BD!$B$3:$B$5001,F$140,BD!$A$3:$A$5001,"&gt;="&amp;$C$7,BD!$A$3:$A$5001,"&lt;="&amp;$B151,BD!$X$3:$X$5001,"&lt;&gt;"))))</f>
        <v/>
      </c>
      <c r="G151" s="43" t="str">
        <f>IF(OR($B151="",$A151&gt;$B$9,G$140=""),"",IF(COUNTIFS(BD!$B$3:$B$5001,G$140,BD!$A$3:$A$5001,"&gt;="&amp;$C$7,BD!$A$3:$A$5001,"&lt;="&amp;$B151,BD!$X$3:$X$5001,"&lt;&gt;")=0,"",SUMIFS(BD!$X$3:$X$5001,BD!$B$3:$B$5001,G$140,BD!$A$3:$A$5001,_xlfn.MAXIFS(BD!$A$3:$A$5001,BD!$B$3:$B$5001,G$140,BD!$A$3:$A$5001,"&gt;="&amp;$C$7,BD!$A$3:$A$5001,"&lt;="&amp;$B151,BD!$X$3:$X$5001,"&lt;&gt;"))))</f>
        <v/>
      </c>
      <c r="H151" s="43" t="str">
        <f>IF(OR($B151="",$A151&gt;$B$9,H$140=""),"",IF(COUNTIFS(BD!$B$3:$B$5001,H$140,BD!$A$3:$A$5001,"&gt;="&amp;$C$7,BD!$A$3:$A$5001,"&lt;="&amp;$B151,BD!$X$3:$X$5001,"&lt;&gt;")=0,"",SUMIFS(BD!$X$3:$X$5001,BD!$B$3:$B$5001,H$140,BD!$A$3:$A$5001,_xlfn.MAXIFS(BD!$A$3:$A$5001,BD!$B$3:$B$5001,H$140,BD!$A$3:$A$5001,"&gt;="&amp;$C$7,BD!$A$3:$A$5001,"&lt;="&amp;$B151,BD!$X$3:$X$5001,"&lt;&gt;"))))</f>
        <v/>
      </c>
      <c r="I151" s="43" t="str">
        <f>IF(OR($B151="",$A151&gt;$B$9,I$140=""),"",IF(COUNTIFS(BD!$B$3:$B$5001,I$140,BD!$A$3:$A$5001,"&gt;="&amp;$C$7,BD!$A$3:$A$5001,"&lt;="&amp;$B151,BD!$X$3:$X$5001,"&lt;&gt;")=0,"",SUMIFS(BD!$X$3:$X$5001,BD!$B$3:$B$5001,I$140,BD!$A$3:$A$5001,_xlfn.MAXIFS(BD!$A$3:$A$5001,BD!$B$3:$B$5001,I$140,BD!$A$3:$A$5001,"&gt;="&amp;$C$7,BD!$A$3:$A$5001,"&lt;="&amp;$B151,BD!$X$3:$X$5001,"&lt;&gt;"))))</f>
        <v/>
      </c>
      <c r="J151" s="43" t="str">
        <f>IF(OR($B151="",$A151&gt;$B$9,J$140=""),"",IF(COUNTIFS(BD!$B$3:$B$5001,J$140,BD!$A$3:$A$5001,"&gt;="&amp;$C$7,BD!$A$3:$A$5001,"&lt;="&amp;$B151,BD!$X$3:$X$5001,"&lt;&gt;")=0,"",SUMIFS(BD!$X$3:$X$5001,BD!$B$3:$B$5001,J$140,BD!$A$3:$A$5001,_xlfn.MAXIFS(BD!$A$3:$A$5001,BD!$B$3:$B$5001,J$140,BD!$A$3:$A$5001,"&gt;="&amp;$C$7,BD!$A$3:$A$5001,"&lt;="&amp;$B151,BD!$X$3:$X$5001,"&lt;&gt;"))))</f>
        <v/>
      </c>
      <c r="K151" s="43" t="str">
        <f>IF(OR($B151="",$A151&gt;$B$9,K$140=""),"",IF(COUNTIFS(BD!$B$3:$B$5001,K$140,BD!$A$3:$A$5001,"&gt;="&amp;$C$7,BD!$A$3:$A$5001,"&lt;="&amp;$B151,BD!$X$3:$X$5001,"&lt;&gt;")=0,"",SUMIFS(BD!$X$3:$X$5001,BD!$B$3:$B$5001,K$140,BD!$A$3:$A$5001,_xlfn.MAXIFS(BD!$A$3:$A$5001,BD!$B$3:$B$5001,K$140,BD!$A$3:$A$5001,"&gt;="&amp;$C$7,BD!$A$3:$A$5001,"&lt;="&amp;$B151,BD!$X$3:$X$5001,"&lt;&gt;"))))</f>
        <v/>
      </c>
      <c r="L151" s="43" t="str">
        <f>IF(OR($B151="",$A151&gt;$B$9,L$140=""),"",IF(COUNTIFS(BD!$B$3:$B$5001,L$140,BD!$A$3:$A$5001,"&gt;="&amp;$C$7,BD!$A$3:$A$5001,"&lt;="&amp;$B151,BD!$X$3:$X$5001,"&lt;&gt;")=0,"",SUMIFS(BD!$X$3:$X$5001,BD!$B$3:$B$5001,L$140,BD!$A$3:$A$5001,_xlfn.MAXIFS(BD!$A$3:$A$5001,BD!$B$3:$B$5001,L$140,BD!$A$3:$A$5001,"&gt;="&amp;$C$7,BD!$A$3:$A$5001,"&lt;="&amp;$B151,BD!$X$3:$X$5001,"&lt;&gt;"))))</f>
        <v/>
      </c>
      <c r="M151" s="43" t="str">
        <f>IF(OR($B151="",$A151&gt;$B$9,M$140=""),"",IF(COUNTIFS(BD!$B$3:$B$5001,M$140,BD!$A$3:$A$5001,"&gt;="&amp;$C$7,BD!$A$3:$A$5001,"&lt;="&amp;$B151,BD!$X$3:$X$5001,"&lt;&gt;")=0,"",SUMIFS(BD!$X$3:$X$5001,BD!$B$3:$B$5001,M$140,BD!$A$3:$A$5001,_xlfn.MAXIFS(BD!$A$3:$A$5001,BD!$B$3:$B$5001,M$140,BD!$A$3:$A$5001,"&gt;="&amp;$C$7,BD!$A$3:$A$5001,"&lt;="&amp;$B151,BD!$X$3:$X$5001,"&lt;&gt;"))))</f>
        <v/>
      </c>
      <c r="N151" s="43" t="str">
        <f>IF(OR($B151="",$A151&gt;$B$9,N$140=""),"",IF(COUNTIFS(BD!$B$3:$B$5001,N$140,BD!$A$3:$A$5001,"&gt;="&amp;$C$7,BD!$A$3:$A$5001,"&lt;="&amp;$B151,BD!$X$3:$X$5001,"&lt;&gt;")=0,"",SUMIFS(BD!$X$3:$X$5001,BD!$B$3:$B$5001,N$140,BD!$A$3:$A$5001,_xlfn.MAXIFS(BD!$A$3:$A$5001,BD!$B$3:$B$5001,N$140,BD!$A$3:$A$5001,"&gt;="&amp;$C$7,BD!$A$3:$A$5001,"&lt;="&amp;$B151,BD!$X$3:$X$5001,"&lt;&gt;"))))</f>
        <v/>
      </c>
      <c r="O151" s="43" t="str">
        <f>IF(OR($B151="",$A151&gt;$B$9,O$140=""),"",IF(COUNTIFS(BD!$B$3:$B$5001,O$140,BD!$A$3:$A$5001,"&gt;="&amp;$C$7,BD!$A$3:$A$5001,"&lt;="&amp;$B151,BD!$X$3:$X$5001,"&lt;&gt;")=0,"",SUMIFS(BD!$X$3:$X$5001,BD!$B$3:$B$5001,O$140,BD!$A$3:$A$5001,_xlfn.MAXIFS(BD!$A$3:$A$5001,BD!$B$3:$B$5001,O$140,BD!$A$3:$A$5001,"&gt;="&amp;$C$7,BD!$A$3:$A$5001,"&lt;="&amp;$B151,BD!$X$3:$X$5001,"&lt;&gt;"))))</f>
        <v/>
      </c>
      <c r="P151" s="43" t="str">
        <f>IF(OR($B151="",$A151&gt;$B$9,P$140=""),"",IF(COUNTIFS(BD!$B$3:$B$5001,P$140,BD!$A$3:$A$5001,"&gt;="&amp;$C$7,BD!$A$3:$A$5001,"&lt;="&amp;$B151,BD!$X$3:$X$5001,"&lt;&gt;")=0,"",SUMIFS(BD!$X$3:$X$5001,BD!$B$3:$B$5001,P$140,BD!$A$3:$A$5001,_xlfn.MAXIFS(BD!$A$3:$A$5001,BD!$B$3:$B$5001,P$140,BD!$A$3:$A$5001,"&gt;="&amp;$C$7,BD!$A$3:$A$5001,"&lt;="&amp;$B151,BD!$X$3:$X$5001,"&lt;&gt;"))))</f>
        <v/>
      </c>
      <c r="Q151" s="43" t="str">
        <f>IF(OR($B151="",$A151&gt;$B$9,Q$140=""),"",IF(COUNTIFS(BD!$B$3:$B$5001,Q$140,BD!$A$3:$A$5001,"&gt;="&amp;$C$7,BD!$A$3:$A$5001,"&lt;="&amp;$B151,BD!$X$3:$X$5001,"&lt;&gt;")=0,"",SUMIFS(BD!$X$3:$X$5001,BD!$B$3:$B$5001,Q$140,BD!$A$3:$A$5001,_xlfn.MAXIFS(BD!$A$3:$A$5001,BD!$B$3:$B$5001,Q$140,BD!$A$3:$A$5001,"&gt;="&amp;$C$7,BD!$A$3:$A$5001,"&lt;="&amp;$B151,BD!$X$3:$X$5001,"&lt;&gt;"))))</f>
        <v/>
      </c>
      <c r="R151" s="43" t="str">
        <f>IF(OR($B151="",$A151&gt;$B$9,R$140=""),"",IF(COUNTIFS(BD!$B$3:$B$5001,R$140,BD!$A$3:$A$5001,"&gt;="&amp;$C$7,BD!$A$3:$A$5001,"&lt;="&amp;$B151,BD!$X$3:$X$5001,"&lt;&gt;")=0,"",SUMIFS(BD!$X$3:$X$5001,BD!$B$3:$B$5001,R$140,BD!$A$3:$A$5001,_xlfn.MAXIFS(BD!$A$3:$A$5001,BD!$B$3:$B$5001,R$140,BD!$A$3:$A$5001,"&gt;="&amp;$C$7,BD!$A$3:$A$5001,"&lt;="&amp;$B151,BD!$X$3:$X$5001,"&lt;&gt;"))))</f>
        <v/>
      </c>
      <c r="S151" s="43" t="str">
        <f>IF(OR($B151="",$A151&gt;$B$9,S$140=""),"",IF(COUNTIFS(BD!$B$3:$B$5001,S$140,BD!$A$3:$A$5001,"&gt;="&amp;$C$7,BD!$A$3:$A$5001,"&lt;="&amp;$B151,BD!$X$3:$X$5001,"&lt;&gt;")=0,"",SUMIFS(BD!$X$3:$X$5001,BD!$B$3:$B$5001,S$140,BD!$A$3:$A$5001,_xlfn.MAXIFS(BD!$A$3:$A$5001,BD!$B$3:$B$5001,S$140,BD!$A$3:$A$5001,"&gt;="&amp;$C$7,BD!$A$3:$A$5001,"&lt;="&amp;$B151,BD!$X$3:$X$5001,"&lt;&gt;"))))</f>
        <v/>
      </c>
      <c r="T151" s="43" t="str">
        <f>IF(OR($B151="",$A151&gt;$B$9,T$140=""),"",IF(COUNTIFS(BD!$B$3:$B$5001,T$140,BD!$A$3:$A$5001,"&gt;="&amp;$C$7,BD!$A$3:$A$5001,"&lt;="&amp;$B151,BD!$X$3:$X$5001,"&lt;&gt;")=0,"",SUMIFS(BD!$X$3:$X$5001,BD!$B$3:$B$5001,T$140,BD!$A$3:$A$5001,_xlfn.MAXIFS(BD!$A$3:$A$5001,BD!$B$3:$B$5001,T$140,BD!$A$3:$A$5001,"&gt;="&amp;$C$7,BD!$A$3:$A$5001,"&lt;="&amp;$B151,BD!$X$3:$X$5001,"&lt;&gt;"))))</f>
        <v/>
      </c>
      <c r="U151" s="43" t="str">
        <f>IF(OR($B151="",$A151&gt;$B$9,U$140=""),"",IF(COUNTIFS(BD!$B$3:$B$5001,U$140,BD!$A$3:$A$5001,"&gt;="&amp;$C$7,BD!$A$3:$A$5001,"&lt;="&amp;$B151,BD!$X$3:$X$5001,"&lt;&gt;")=0,"",SUMIFS(BD!$X$3:$X$5001,BD!$B$3:$B$5001,U$140,BD!$A$3:$A$5001,_xlfn.MAXIFS(BD!$A$3:$A$5001,BD!$B$3:$B$5001,U$140,BD!$A$3:$A$5001,"&gt;="&amp;$C$7,BD!$A$3:$A$5001,"&lt;="&amp;$B151,BD!$X$3:$X$5001,"&lt;&gt;"))))</f>
        <v/>
      </c>
      <c r="V151" s="43" t="str">
        <f>IF(OR($B151="",$A151&gt;$B$9,V$140=""),"",IF(COUNTIFS(BD!$B$3:$B$5001,V$140,BD!$A$3:$A$5001,"&gt;="&amp;$C$7,BD!$A$3:$A$5001,"&lt;="&amp;$B151,BD!$X$3:$X$5001,"&lt;&gt;")=0,"",SUMIFS(BD!$X$3:$X$5001,BD!$B$3:$B$5001,V$140,BD!$A$3:$A$5001,_xlfn.MAXIFS(BD!$A$3:$A$5001,BD!$B$3:$B$5001,V$140,BD!$A$3:$A$5001,"&gt;="&amp;$C$7,BD!$A$3:$A$5001,"&lt;="&amp;$B151,BD!$X$3:$X$5001,"&lt;&gt;"))))</f>
        <v/>
      </c>
    </row>
    <row r="152">
      <c r="A152" s="38">
        <v>12</v>
      </c>
      <c r="B152" s="42">
        <f>$B$23</f>
        <v>46307</v>
      </c>
      <c r="C152" s="43" t="str">
        <f>IF(OR($B152="",$A152&gt;$B$9,C$140=""),"",IF(COUNTIFS(BD!$B$3:$B$5001,C$140,BD!$A$3:$A$5001,"&gt;="&amp;$C$7,BD!$A$3:$A$5001,"&lt;="&amp;$B152,BD!$X$3:$X$5001,"&lt;&gt;")=0,"",SUMIFS(BD!$X$3:$X$5001,BD!$B$3:$B$5001,C$140,BD!$A$3:$A$5001,_xlfn.MAXIFS(BD!$A$3:$A$5001,BD!$B$3:$B$5001,C$140,BD!$A$3:$A$5001,"&gt;="&amp;$C$7,BD!$A$3:$A$5001,"&lt;="&amp;$B152,BD!$X$3:$X$5001,"&lt;&gt;"))))</f>
        <v/>
      </c>
      <c r="D152" s="43" t="str">
        <f>IF(OR($B152="",$A152&gt;$B$9,D$140=""),"",IF(COUNTIFS(BD!$B$3:$B$5001,D$140,BD!$A$3:$A$5001,"&gt;="&amp;$C$7,BD!$A$3:$A$5001,"&lt;="&amp;$B152,BD!$X$3:$X$5001,"&lt;&gt;")=0,"",SUMIFS(BD!$X$3:$X$5001,BD!$B$3:$B$5001,D$140,BD!$A$3:$A$5001,_xlfn.MAXIFS(BD!$A$3:$A$5001,BD!$B$3:$B$5001,D$140,BD!$A$3:$A$5001,"&gt;="&amp;$C$7,BD!$A$3:$A$5001,"&lt;="&amp;$B152,BD!$X$3:$X$5001,"&lt;&gt;"))))</f>
        <v/>
      </c>
      <c r="E152" s="43" t="str">
        <f>IF(OR($B152="",$A152&gt;$B$9,E$140=""),"",IF(COUNTIFS(BD!$B$3:$B$5001,E$140,BD!$A$3:$A$5001,"&gt;="&amp;$C$7,BD!$A$3:$A$5001,"&lt;="&amp;$B152,BD!$X$3:$X$5001,"&lt;&gt;")=0,"",SUMIFS(BD!$X$3:$X$5001,BD!$B$3:$B$5001,E$140,BD!$A$3:$A$5001,_xlfn.MAXIFS(BD!$A$3:$A$5001,BD!$B$3:$B$5001,E$140,BD!$A$3:$A$5001,"&gt;="&amp;$C$7,BD!$A$3:$A$5001,"&lt;="&amp;$B152,BD!$X$3:$X$5001,"&lt;&gt;"))))</f>
        <v/>
      </c>
      <c r="F152" s="43" t="str">
        <f>IF(OR($B152="",$A152&gt;$B$9,F$140=""),"",IF(COUNTIFS(BD!$B$3:$B$5001,F$140,BD!$A$3:$A$5001,"&gt;="&amp;$C$7,BD!$A$3:$A$5001,"&lt;="&amp;$B152,BD!$X$3:$X$5001,"&lt;&gt;")=0,"",SUMIFS(BD!$X$3:$X$5001,BD!$B$3:$B$5001,F$140,BD!$A$3:$A$5001,_xlfn.MAXIFS(BD!$A$3:$A$5001,BD!$B$3:$B$5001,F$140,BD!$A$3:$A$5001,"&gt;="&amp;$C$7,BD!$A$3:$A$5001,"&lt;="&amp;$B152,BD!$X$3:$X$5001,"&lt;&gt;"))))</f>
        <v/>
      </c>
      <c r="G152" s="43" t="str">
        <f>IF(OR($B152="",$A152&gt;$B$9,G$140=""),"",IF(COUNTIFS(BD!$B$3:$B$5001,G$140,BD!$A$3:$A$5001,"&gt;="&amp;$C$7,BD!$A$3:$A$5001,"&lt;="&amp;$B152,BD!$X$3:$X$5001,"&lt;&gt;")=0,"",SUMIFS(BD!$X$3:$X$5001,BD!$B$3:$B$5001,G$140,BD!$A$3:$A$5001,_xlfn.MAXIFS(BD!$A$3:$A$5001,BD!$B$3:$B$5001,G$140,BD!$A$3:$A$5001,"&gt;="&amp;$C$7,BD!$A$3:$A$5001,"&lt;="&amp;$B152,BD!$X$3:$X$5001,"&lt;&gt;"))))</f>
        <v/>
      </c>
      <c r="H152" s="43" t="str">
        <f>IF(OR($B152="",$A152&gt;$B$9,H$140=""),"",IF(COUNTIFS(BD!$B$3:$B$5001,H$140,BD!$A$3:$A$5001,"&gt;="&amp;$C$7,BD!$A$3:$A$5001,"&lt;="&amp;$B152,BD!$X$3:$X$5001,"&lt;&gt;")=0,"",SUMIFS(BD!$X$3:$X$5001,BD!$B$3:$B$5001,H$140,BD!$A$3:$A$5001,_xlfn.MAXIFS(BD!$A$3:$A$5001,BD!$B$3:$B$5001,H$140,BD!$A$3:$A$5001,"&gt;="&amp;$C$7,BD!$A$3:$A$5001,"&lt;="&amp;$B152,BD!$X$3:$X$5001,"&lt;&gt;"))))</f>
        <v/>
      </c>
      <c r="I152" s="43" t="str">
        <f>IF(OR($B152="",$A152&gt;$B$9,I$140=""),"",IF(COUNTIFS(BD!$B$3:$B$5001,I$140,BD!$A$3:$A$5001,"&gt;="&amp;$C$7,BD!$A$3:$A$5001,"&lt;="&amp;$B152,BD!$X$3:$X$5001,"&lt;&gt;")=0,"",SUMIFS(BD!$X$3:$X$5001,BD!$B$3:$B$5001,I$140,BD!$A$3:$A$5001,_xlfn.MAXIFS(BD!$A$3:$A$5001,BD!$B$3:$B$5001,I$140,BD!$A$3:$A$5001,"&gt;="&amp;$C$7,BD!$A$3:$A$5001,"&lt;="&amp;$B152,BD!$X$3:$X$5001,"&lt;&gt;"))))</f>
        <v/>
      </c>
      <c r="J152" s="43" t="str">
        <f>IF(OR($B152="",$A152&gt;$B$9,J$140=""),"",IF(COUNTIFS(BD!$B$3:$B$5001,J$140,BD!$A$3:$A$5001,"&gt;="&amp;$C$7,BD!$A$3:$A$5001,"&lt;="&amp;$B152,BD!$X$3:$X$5001,"&lt;&gt;")=0,"",SUMIFS(BD!$X$3:$X$5001,BD!$B$3:$B$5001,J$140,BD!$A$3:$A$5001,_xlfn.MAXIFS(BD!$A$3:$A$5001,BD!$B$3:$B$5001,J$140,BD!$A$3:$A$5001,"&gt;="&amp;$C$7,BD!$A$3:$A$5001,"&lt;="&amp;$B152,BD!$X$3:$X$5001,"&lt;&gt;"))))</f>
        <v/>
      </c>
      <c r="K152" s="43" t="str">
        <f>IF(OR($B152="",$A152&gt;$B$9,K$140=""),"",IF(COUNTIFS(BD!$B$3:$B$5001,K$140,BD!$A$3:$A$5001,"&gt;="&amp;$C$7,BD!$A$3:$A$5001,"&lt;="&amp;$B152,BD!$X$3:$X$5001,"&lt;&gt;")=0,"",SUMIFS(BD!$X$3:$X$5001,BD!$B$3:$B$5001,K$140,BD!$A$3:$A$5001,_xlfn.MAXIFS(BD!$A$3:$A$5001,BD!$B$3:$B$5001,K$140,BD!$A$3:$A$5001,"&gt;="&amp;$C$7,BD!$A$3:$A$5001,"&lt;="&amp;$B152,BD!$X$3:$X$5001,"&lt;&gt;"))))</f>
        <v/>
      </c>
      <c r="L152" s="43" t="str">
        <f>IF(OR($B152="",$A152&gt;$B$9,L$140=""),"",IF(COUNTIFS(BD!$B$3:$B$5001,L$140,BD!$A$3:$A$5001,"&gt;="&amp;$C$7,BD!$A$3:$A$5001,"&lt;="&amp;$B152,BD!$X$3:$X$5001,"&lt;&gt;")=0,"",SUMIFS(BD!$X$3:$X$5001,BD!$B$3:$B$5001,L$140,BD!$A$3:$A$5001,_xlfn.MAXIFS(BD!$A$3:$A$5001,BD!$B$3:$B$5001,L$140,BD!$A$3:$A$5001,"&gt;="&amp;$C$7,BD!$A$3:$A$5001,"&lt;="&amp;$B152,BD!$X$3:$X$5001,"&lt;&gt;"))))</f>
        <v/>
      </c>
      <c r="M152" s="43" t="str">
        <f>IF(OR($B152="",$A152&gt;$B$9,M$140=""),"",IF(COUNTIFS(BD!$B$3:$B$5001,M$140,BD!$A$3:$A$5001,"&gt;="&amp;$C$7,BD!$A$3:$A$5001,"&lt;="&amp;$B152,BD!$X$3:$X$5001,"&lt;&gt;")=0,"",SUMIFS(BD!$X$3:$X$5001,BD!$B$3:$B$5001,M$140,BD!$A$3:$A$5001,_xlfn.MAXIFS(BD!$A$3:$A$5001,BD!$B$3:$B$5001,M$140,BD!$A$3:$A$5001,"&gt;="&amp;$C$7,BD!$A$3:$A$5001,"&lt;="&amp;$B152,BD!$X$3:$X$5001,"&lt;&gt;"))))</f>
        <v/>
      </c>
      <c r="N152" s="43" t="str">
        <f>IF(OR($B152="",$A152&gt;$B$9,N$140=""),"",IF(COUNTIFS(BD!$B$3:$B$5001,N$140,BD!$A$3:$A$5001,"&gt;="&amp;$C$7,BD!$A$3:$A$5001,"&lt;="&amp;$B152,BD!$X$3:$X$5001,"&lt;&gt;")=0,"",SUMIFS(BD!$X$3:$X$5001,BD!$B$3:$B$5001,N$140,BD!$A$3:$A$5001,_xlfn.MAXIFS(BD!$A$3:$A$5001,BD!$B$3:$B$5001,N$140,BD!$A$3:$A$5001,"&gt;="&amp;$C$7,BD!$A$3:$A$5001,"&lt;="&amp;$B152,BD!$X$3:$X$5001,"&lt;&gt;"))))</f>
        <v/>
      </c>
      <c r="O152" s="43" t="str">
        <f>IF(OR($B152="",$A152&gt;$B$9,O$140=""),"",IF(COUNTIFS(BD!$B$3:$B$5001,O$140,BD!$A$3:$A$5001,"&gt;="&amp;$C$7,BD!$A$3:$A$5001,"&lt;="&amp;$B152,BD!$X$3:$X$5001,"&lt;&gt;")=0,"",SUMIFS(BD!$X$3:$X$5001,BD!$B$3:$B$5001,O$140,BD!$A$3:$A$5001,_xlfn.MAXIFS(BD!$A$3:$A$5001,BD!$B$3:$B$5001,O$140,BD!$A$3:$A$5001,"&gt;="&amp;$C$7,BD!$A$3:$A$5001,"&lt;="&amp;$B152,BD!$X$3:$X$5001,"&lt;&gt;"))))</f>
        <v/>
      </c>
      <c r="P152" s="43" t="str">
        <f>IF(OR($B152="",$A152&gt;$B$9,P$140=""),"",IF(COUNTIFS(BD!$B$3:$B$5001,P$140,BD!$A$3:$A$5001,"&gt;="&amp;$C$7,BD!$A$3:$A$5001,"&lt;="&amp;$B152,BD!$X$3:$X$5001,"&lt;&gt;")=0,"",SUMIFS(BD!$X$3:$X$5001,BD!$B$3:$B$5001,P$140,BD!$A$3:$A$5001,_xlfn.MAXIFS(BD!$A$3:$A$5001,BD!$B$3:$B$5001,P$140,BD!$A$3:$A$5001,"&gt;="&amp;$C$7,BD!$A$3:$A$5001,"&lt;="&amp;$B152,BD!$X$3:$X$5001,"&lt;&gt;"))))</f>
        <v/>
      </c>
      <c r="Q152" s="43" t="str">
        <f>IF(OR($B152="",$A152&gt;$B$9,Q$140=""),"",IF(COUNTIFS(BD!$B$3:$B$5001,Q$140,BD!$A$3:$A$5001,"&gt;="&amp;$C$7,BD!$A$3:$A$5001,"&lt;="&amp;$B152,BD!$X$3:$X$5001,"&lt;&gt;")=0,"",SUMIFS(BD!$X$3:$X$5001,BD!$B$3:$B$5001,Q$140,BD!$A$3:$A$5001,_xlfn.MAXIFS(BD!$A$3:$A$5001,BD!$B$3:$B$5001,Q$140,BD!$A$3:$A$5001,"&gt;="&amp;$C$7,BD!$A$3:$A$5001,"&lt;="&amp;$B152,BD!$X$3:$X$5001,"&lt;&gt;"))))</f>
        <v/>
      </c>
      <c r="R152" s="43" t="str">
        <f>IF(OR($B152="",$A152&gt;$B$9,R$140=""),"",IF(COUNTIFS(BD!$B$3:$B$5001,R$140,BD!$A$3:$A$5001,"&gt;="&amp;$C$7,BD!$A$3:$A$5001,"&lt;="&amp;$B152,BD!$X$3:$X$5001,"&lt;&gt;")=0,"",SUMIFS(BD!$X$3:$X$5001,BD!$B$3:$B$5001,R$140,BD!$A$3:$A$5001,_xlfn.MAXIFS(BD!$A$3:$A$5001,BD!$B$3:$B$5001,R$140,BD!$A$3:$A$5001,"&gt;="&amp;$C$7,BD!$A$3:$A$5001,"&lt;="&amp;$B152,BD!$X$3:$X$5001,"&lt;&gt;"))))</f>
        <v/>
      </c>
      <c r="S152" s="43" t="str">
        <f>IF(OR($B152="",$A152&gt;$B$9,S$140=""),"",IF(COUNTIFS(BD!$B$3:$B$5001,S$140,BD!$A$3:$A$5001,"&gt;="&amp;$C$7,BD!$A$3:$A$5001,"&lt;="&amp;$B152,BD!$X$3:$X$5001,"&lt;&gt;")=0,"",SUMIFS(BD!$X$3:$X$5001,BD!$B$3:$B$5001,S$140,BD!$A$3:$A$5001,_xlfn.MAXIFS(BD!$A$3:$A$5001,BD!$B$3:$B$5001,S$140,BD!$A$3:$A$5001,"&gt;="&amp;$C$7,BD!$A$3:$A$5001,"&lt;="&amp;$B152,BD!$X$3:$X$5001,"&lt;&gt;"))))</f>
        <v/>
      </c>
      <c r="T152" s="43" t="str">
        <f>IF(OR($B152="",$A152&gt;$B$9,T$140=""),"",IF(COUNTIFS(BD!$B$3:$B$5001,T$140,BD!$A$3:$A$5001,"&gt;="&amp;$C$7,BD!$A$3:$A$5001,"&lt;="&amp;$B152,BD!$X$3:$X$5001,"&lt;&gt;")=0,"",SUMIFS(BD!$X$3:$X$5001,BD!$B$3:$B$5001,T$140,BD!$A$3:$A$5001,_xlfn.MAXIFS(BD!$A$3:$A$5001,BD!$B$3:$B$5001,T$140,BD!$A$3:$A$5001,"&gt;="&amp;$C$7,BD!$A$3:$A$5001,"&lt;="&amp;$B152,BD!$X$3:$X$5001,"&lt;&gt;"))))</f>
        <v/>
      </c>
      <c r="U152" s="43" t="str">
        <f>IF(OR($B152="",$A152&gt;$B$9,U$140=""),"",IF(COUNTIFS(BD!$B$3:$B$5001,U$140,BD!$A$3:$A$5001,"&gt;="&amp;$C$7,BD!$A$3:$A$5001,"&lt;="&amp;$B152,BD!$X$3:$X$5001,"&lt;&gt;")=0,"",SUMIFS(BD!$X$3:$X$5001,BD!$B$3:$B$5001,U$140,BD!$A$3:$A$5001,_xlfn.MAXIFS(BD!$A$3:$A$5001,BD!$B$3:$B$5001,U$140,BD!$A$3:$A$5001,"&gt;="&amp;$C$7,BD!$A$3:$A$5001,"&lt;="&amp;$B152,BD!$X$3:$X$5001,"&lt;&gt;"))))</f>
        <v/>
      </c>
      <c r="V152" s="43" t="str">
        <f>IF(OR($B152="",$A152&gt;$B$9,V$140=""),"",IF(COUNTIFS(BD!$B$3:$B$5001,V$140,BD!$A$3:$A$5001,"&gt;="&amp;$C$7,BD!$A$3:$A$5001,"&lt;="&amp;$B152,BD!$X$3:$X$5001,"&lt;&gt;")=0,"",SUMIFS(BD!$X$3:$X$5001,BD!$B$3:$B$5001,V$140,BD!$A$3:$A$5001,_xlfn.MAXIFS(BD!$A$3:$A$5001,BD!$B$3:$B$5001,V$140,BD!$A$3:$A$5001,"&gt;="&amp;$C$7,BD!$A$3:$A$5001,"&lt;="&amp;$B152,BD!$X$3:$X$5001,"&lt;&gt;"))))</f>
        <v/>
      </c>
    </row>
    <row r="153">
      <c r="A153" s="38">
        <v>13</v>
      </c>
      <c r="B153" s="42">
        <f>$B$24</f>
        <v>46308</v>
      </c>
      <c r="C153" s="43" t="str">
        <f>IF(OR($B153="",$A153&gt;$B$9,C$140=""),"",IF(COUNTIFS(BD!$B$3:$B$5001,C$140,BD!$A$3:$A$5001,"&gt;="&amp;$C$7,BD!$A$3:$A$5001,"&lt;="&amp;$B153,BD!$X$3:$X$5001,"&lt;&gt;")=0,"",SUMIFS(BD!$X$3:$X$5001,BD!$B$3:$B$5001,C$140,BD!$A$3:$A$5001,_xlfn.MAXIFS(BD!$A$3:$A$5001,BD!$B$3:$B$5001,C$140,BD!$A$3:$A$5001,"&gt;="&amp;$C$7,BD!$A$3:$A$5001,"&lt;="&amp;$B153,BD!$X$3:$X$5001,"&lt;&gt;"))))</f>
        <v/>
      </c>
      <c r="D153" s="43" t="str">
        <f>IF(OR($B153="",$A153&gt;$B$9,D$140=""),"",IF(COUNTIFS(BD!$B$3:$B$5001,D$140,BD!$A$3:$A$5001,"&gt;="&amp;$C$7,BD!$A$3:$A$5001,"&lt;="&amp;$B153,BD!$X$3:$X$5001,"&lt;&gt;")=0,"",SUMIFS(BD!$X$3:$X$5001,BD!$B$3:$B$5001,D$140,BD!$A$3:$A$5001,_xlfn.MAXIFS(BD!$A$3:$A$5001,BD!$B$3:$B$5001,D$140,BD!$A$3:$A$5001,"&gt;="&amp;$C$7,BD!$A$3:$A$5001,"&lt;="&amp;$B153,BD!$X$3:$X$5001,"&lt;&gt;"))))</f>
        <v/>
      </c>
      <c r="E153" s="43" t="str">
        <f>IF(OR($B153="",$A153&gt;$B$9,E$140=""),"",IF(COUNTIFS(BD!$B$3:$B$5001,E$140,BD!$A$3:$A$5001,"&gt;="&amp;$C$7,BD!$A$3:$A$5001,"&lt;="&amp;$B153,BD!$X$3:$X$5001,"&lt;&gt;")=0,"",SUMIFS(BD!$X$3:$X$5001,BD!$B$3:$B$5001,E$140,BD!$A$3:$A$5001,_xlfn.MAXIFS(BD!$A$3:$A$5001,BD!$B$3:$B$5001,E$140,BD!$A$3:$A$5001,"&gt;="&amp;$C$7,BD!$A$3:$A$5001,"&lt;="&amp;$B153,BD!$X$3:$X$5001,"&lt;&gt;"))))</f>
        <v/>
      </c>
      <c r="F153" s="43" t="str">
        <f>IF(OR($B153="",$A153&gt;$B$9,F$140=""),"",IF(COUNTIFS(BD!$B$3:$B$5001,F$140,BD!$A$3:$A$5001,"&gt;="&amp;$C$7,BD!$A$3:$A$5001,"&lt;="&amp;$B153,BD!$X$3:$X$5001,"&lt;&gt;")=0,"",SUMIFS(BD!$X$3:$X$5001,BD!$B$3:$B$5001,F$140,BD!$A$3:$A$5001,_xlfn.MAXIFS(BD!$A$3:$A$5001,BD!$B$3:$B$5001,F$140,BD!$A$3:$A$5001,"&gt;="&amp;$C$7,BD!$A$3:$A$5001,"&lt;="&amp;$B153,BD!$X$3:$X$5001,"&lt;&gt;"))))</f>
        <v/>
      </c>
      <c r="G153" s="43" t="str">
        <f>IF(OR($B153="",$A153&gt;$B$9,G$140=""),"",IF(COUNTIFS(BD!$B$3:$B$5001,G$140,BD!$A$3:$A$5001,"&gt;="&amp;$C$7,BD!$A$3:$A$5001,"&lt;="&amp;$B153,BD!$X$3:$X$5001,"&lt;&gt;")=0,"",SUMIFS(BD!$X$3:$X$5001,BD!$B$3:$B$5001,G$140,BD!$A$3:$A$5001,_xlfn.MAXIFS(BD!$A$3:$A$5001,BD!$B$3:$B$5001,G$140,BD!$A$3:$A$5001,"&gt;="&amp;$C$7,BD!$A$3:$A$5001,"&lt;="&amp;$B153,BD!$X$3:$X$5001,"&lt;&gt;"))))</f>
        <v/>
      </c>
      <c r="H153" s="43" t="str">
        <f>IF(OR($B153="",$A153&gt;$B$9,H$140=""),"",IF(COUNTIFS(BD!$B$3:$B$5001,H$140,BD!$A$3:$A$5001,"&gt;="&amp;$C$7,BD!$A$3:$A$5001,"&lt;="&amp;$B153,BD!$X$3:$X$5001,"&lt;&gt;")=0,"",SUMIFS(BD!$X$3:$X$5001,BD!$B$3:$B$5001,H$140,BD!$A$3:$A$5001,_xlfn.MAXIFS(BD!$A$3:$A$5001,BD!$B$3:$B$5001,H$140,BD!$A$3:$A$5001,"&gt;="&amp;$C$7,BD!$A$3:$A$5001,"&lt;="&amp;$B153,BD!$X$3:$X$5001,"&lt;&gt;"))))</f>
        <v/>
      </c>
      <c r="I153" s="43" t="str">
        <f>IF(OR($B153="",$A153&gt;$B$9,I$140=""),"",IF(COUNTIFS(BD!$B$3:$B$5001,I$140,BD!$A$3:$A$5001,"&gt;="&amp;$C$7,BD!$A$3:$A$5001,"&lt;="&amp;$B153,BD!$X$3:$X$5001,"&lt;&gt;")=0,"",SUMIFS(BD!$X$3:$X$5001,BD!$B$3:$B$5001,I$140,BD!$A$3:$A$5001,_xlfn.MAXIFS(BD!$A$3:$A$5001,BD!$B$3:$B$5001,I$140,BD!$A$3:$A$5001,"&gt;="&amp;$C$7,BD!$A$3:$A$5001,"&lt;="&amp;$B153,BD!$X$3:$X$5001,"&lt;&gt;"))))</f>
        <v/>
      </c>
      <c r="J153" s="43" t="str">
        <f>IF(OR($B153="",$A153&gt;$B$9,J$140=""),"",IF(COUNTIFS(BD!$B$3:$B$5001,J$140,BD!$A$3:$A$5001,"&gt;="&amp;$C$7,BD!$A$3:$A$5001,"&lt;="&amp;$B153,BD!$X$3:$X$5001,"&lt;&gt;")=0,"",SUMIFS(BD!$X$3:$X$5001,BD!$B$3:$B$5001,J$140,BD!$A$3:$A$5001,_xlfn.MAXIFS(BD!$A$3:$A$5001,BD!$B$3:$B$5001,J$140,BD!$A$3:$A$5001,"&gt;="&amp;$C$7,BD!$A$3:$A$5001,"&lt;="&amp;$B153,BD!$X$3:$X$5001,"&lt;&gt;"))))</f>
        <v/>
      </c>
      <c r="K153" s="43" t="str">
        <f>IF(OR($B153="",$A153&gt;$B$9,K$140=""),"",IF(COUNTIFS(BD!$B$3:$B$5001,K$140,BD!$A$3:$A$5001,"&gt;="&amp;$C$7,BD!$A$3:$A$5001,"&lt;="&amp;$B153,BD!$X$3:$X$5001,"&lt;&gt;")=0,"",SUMIFS(BD!$X$3:$X$5001,BD!$B$3:$B$5001,K$140,BD!$A$3:$A$5001,_xlfn.MAXIFS(BD!$A$3:$A$5001,BD!$B$3:$B$5001,K$140,BD!$A$3:$A$5001,"&gt;="&amp;$C$7,BD!$A$3:$A$5001,"&lt;="&amp;$B153,BD!$X$3:$X$5001,"&lt;&gt;"))))</f>
        <v/>
      </c>
      <c r="L153" s="43" t="str">
        <f>IF(OR($B153="",$A153&gt;$B$9,L$140=""),"",IF(COUNTIFS(BD!$B$3:$B$5001,L$140,BD!$A$3:$A$5001,"&gt;="&amp;$C$7,BD!$A$3:$A$5001,"&lt;="&amp;$B153,BD!$X$3:$X$5001,"&lt;&gt;")=0,"",SUMIFS(BD!$X$3:$X$5001,BD!$B$3:$B$5001,L$140,BD!$A$3:$A$5001,_xlfn.MAXIFS(BD!$A$3:$A$5001,BD!$B$3:$B$5001,L$140,BD!$A$3:$A$5001,"&gt;="&amp;$C$7,BD!$A$3:$A$5001,"&lt;="&amp;$B153,BD!$X$3:$X$5001,"&lt;&gt;"))))</f>
        <v/>
      </c>
      <c r="M153" s="43" t="str">
        <f>IF(OR($B153="",$A153&gt;$B$9,M$140=""),"",IF(COUNTIFS(BD!$B$3:$B$5001,M$140,BD!$A$3:$A$5001,"&gt;="&amp;$C$7,BD!$A$3:$A$5001,"&lt;="&amp;$B153,BD!$X$3:$X$5001,"&lt;&gt;")=0,"",SUMIFS(BD!$X$3:$X$5001,BD!$B$3:$B$5001,M$140,BD!$A$3:$A$5001,_xlfn.MAXIFS(BD!$A$3:$A$5001,BD!$B$3:$B$5001,M$140,BD!$A$3:$A$5001,"&gt;="&amp;$C$7,BD!$A$3:$A$5001,"&lt;="&amp;$B153,BD!$X$3:$X$5001,"&lt;&gt;"))))</f>
        <v/>
      </c>
      <c r="N153" s="43" t="str">
        <f>IF(OR($B153="",$A153&gt;$B$9,N$140=""),"",IF(COUNTIFS(BD!$B$3:$B$5001,N$140,BD!$A$3:$A$5001,"&gt;="&amp;$C$7,BD!$A$3:$A$5001,"&lt;="&amp;$B153,BD!$X$3:$X$5001,"&lt;&gt;")=0,"",SUMIFS(BD!$X$3:$X$5001,BD!$B$3:$B$5001,N$140,BD!$A$3:$A$5001,_xlfn.MAXIFS(BD!$A$3:$A$5001,BD!$B$3:$B$5001,N$140,BD!$A$3:$A$5001,"&gt;="&amp;$C$7,BD!$A$3:$A$5001,"&lt;="&amp;$B153,BD!$X$3:$X$5001,"&lt;&gt;"))))</f>
        <v/>
      </c>
      <c r="O153" s="43" t="str">
        <f>IF(OR($B153="",$A153&gt;$B$9,O$140=""),"",IF(COUNTIFS(BD!$B$3:$B$5001,O$140,BD!$A$3:$A$5001,"&gt;="&amp;$C$7,BD!$A$3:$A$5001,"&lt;="&amp;$B153,BD!$X$3:$X$5001,"&lt;&gt;")=0,"",SUMIFS(BD!$X$3:$X$5001,BD!$B$3:$B$5001,O$140,BD!$A$3:$A$5001,_xlfn.MAXIFS(BD!$A$3:$A$5001,BD!$B$3:$B$5001,O$140,BD!$A$3:$A$5001,"&gt;="&amp;$C$7,BD!$A$3:$A$5001,"&lt;="&amp;$B153,BD!$X$3:$X$5001,"&lt;&gt;"))))</f>
        <v/>
      </c>
      <c r="P153" s="43" t="str">
        <f>IF(OR($B153="",$A153&gt;$B$9,P$140=""),"",IF(COUNTIFS(BD!$B$3:$B$5001,P$140,BD!$A$3:$A$5001,"&gt;="&amp;$C$7,BD!$A$3:$A$5001,"&lt;="&amp;$B153,BD!$X$3:$X$5001,"&lt;&gt;")=0,"",SUMIFS(BD!$X$3:$X$5001,BD!$B$3:$B$5001,P$140,BD!$A$3:$A$5001,_xlfn.MAXIFS(BD!$A$3:$A$5001,BD!$B$3:$B$5001,P$140,BD!$A$3:$A$5001,"&gt;="&amp;$C$7,BD!$A$3:$A$5001,"&lt;="&amp;$B153,BD!$X$3:$X$5001,"&lt;&gt;"))))</f>
        <v/>
      </c>
      <c r="Q153" s="43" t="str">
        <f>IF(OR($B153="",$A153&gt;$B$9,Q$140=""),"",IF(COUNTIFS(BD!$B$3:$B$5001,Q$140,BD!$A$3:$A$5001,"&gt;="&amp;$C$7,BD!$A$3:$A$5001,"&lt;="&amp;$B153,BD!$X$3:$X$5001,"&lt;&gt;")=0,"",SUMIFS(BD!$X$3:$X$5001,BD!$B$3:$B$5001,Q$140,BD!$A$3:$A$5001,_xlfn.MAXIFS(BD!$A$3:$A$5001,BD!$B$3:$B$5001,Q$140,BD!$A$3:$A$5001,"&gt;="&amp;$C$7,BD!$A$3:$A$5001,"&lt;="&amp;$B153,BD!$X$3:$X$5001,"&lt;&gt;"))))</f>
        <v/>
      </c>
      <c r="R153" s="43" t="str">
        <f>IF(OR($B153="",$A153&gt;$B$9,R$140=""),"",IF(COUNTIFS(BD!$B$3:$B$5001,R$140,BD!$A$3:$A$5001,"&gt;="&amp;$C$7,BD!$A$3:$A$5001,"&lt;="&amp;$B153,BD!$X$3:$X$5001,"&lt;&gt;")=0,"",SUMIFS(BD!$X$3:$X$5001,BD!$B$3:$B$5001,R$140,BD!$A$3:$A$5001,_xlfn.MAXIFS(BD!$A$3:$A$5001,BD!$B$3:$B$5001,R$140,BD!$A$3:$A$5001,"&gt;="&amp;$C$7,BD!$A$3:$A$5001,"&lt;="&amp;$B153,BD!$X$3:$X$5001,"&lt;&gt;"))))</f>
        <v/>
      </c>
      <c r="S153" s="43" t="str">
        <f>IF(OR($B153="",$A153&gt;$B$9,S$140=""),"",IF(COUNTIFS(BD!$B$3:$B$5001,S$140,BD!$A$3:$A$5001,"&gt;="&amp;$C$7,BD!$A$3:$A$5001,"&lt;="&amp;$B153,BD!$X$3:$X$5001,"&lt;&gt;")=0,"",SUMIFS(BD!$X$3:$X$5001,BD!$B$3:$B$5001,S$140,BD!$A$3:$A$5001,_xlfn.MAXIFS(BD!$A$3:$A$5001,BD!$B$3:$B$5001,S$140,BD!$A$3:$A$5001,"&gt;="&amp;$C$7,BD!$A$3:$A$5001,"&lt;="&amp;$B153,BD!$X$3:$X$5001,"&lt;&gt;"))))</f>
        <v/>
      </c>
      <c r="T153" s="43" t="str">
        <f>IF(OR($B153="",$A153&gt;$B$9,T$140=""),"",IF(COUNTIFS(BD!$B$3:$B$5001,T$140,BD!$A$3:$A$5001,"&gt;="&amp;$C$7,BD!$A$3:$A$5001,"&lt;="&amp;$B153,BD!$X$3:$X$5001,"&lt;&gt;")=0,"",SUMIFS(BD!$X$3:$X$5001,BD!$B$3:$B$5001,T$140,BD!$A$3:$A$5001,_xlfn.MAXIFS(BD!$A$3:$A$5001,BD!$B$3:$B$5001,T$140,BD!$A$3:$A$5001,"&gt;="&amp;$C$7,BD!$A$3:$A$5001,"&lt;="&amp;$B153,BD!$X$3:$X$5001,"&lt;&gt;"))))</f>
        <v/>
      </c>
      <c r="U153" s="43" t="str">
        <f>IF(OR($B153="",$A153&gt;$B$9,U$140=""),"",IF(COUNTIFS(BD!$B$3:$B$5001,U$140,BD!$A$3:$A$5001,"&gt;="&amp;$C$7,BD!$A$3:$A$5001,"&lt;="&amp;$B153,BD!$X$3:$X$5001,"&lt;&gt;")=0,"",SUMIFS(BD!$X$3:$X$5001,BD!$B$3:$B$5001,U$140,BD!$A$3:$A$5001,_xlfn.MAXIFS(BD!$A$3:$A$5001,BD!$B$3:$B$5001,U$140,BD!$A$3:$A$5001,"&gt;="&amp;$C$7,BD!$A$3:$A$5001,"&lt;="&amp;$B153,BD!$X$3:$X$5001,"&lt;&gt;"))))</f>
        <v/>
      </c>
      <c r="V153" s="43" t="str">
        <f>IF(OR($B153="",$A153&gt;$B$9,V$140=""),"",IF(COUNTIFS(BD!$B$3:$B$5001,V$140,BD!$A$3:$A$5001,"&gt;="&amp;$C$7,BD!$A$3:$A$5001,"&lt;="&amp;$B153,BD!$X$3:$X$5001,"&lt;&gt;")=0,"",SUMIFS(BD!$X$3:$X$5001,BD!$B$3:$B$5001,V$140,BD!$A$3:$A$5001,_xlfn.MAXIFS(BD!$A$3:$A$5001,BD!$B$3:$B$5001,V$140,BD!$A$3:$A$5001,"&gt;="&amp;$C$7,BD!$A$3:$A$5001,"&lt;="&amp;$B153,BD!$X$3:$X$5001,"&lt;&gt;"))))</f>
        <v/>
      </c>
    </row>
    <row r="154">
      <c r="A154" s="38">
        <v>14</v>
      </c>
      <c r="B154" s="42">
        <f>$B$25</f>
        <v>46309</v>
      </c>
      <c r="C154" s="43" t="str">
        <f>IF(OR($B154="",$A154&gt;$B$9,C$140=""),"",IF(COUNTIFS(BD!$B$3:$B$5001,C$140,BD!$A$3:$A$5001,"&gt;="&amp;$C$7,BD!$A$3:$A$5001,"&lt;="&amp;$B154,BD!$X$3:$X$5001,"&lt;&gt;")=0,"",SUMIFS(BD!$X$3:$X$5001,BD!$B$3:$B$5001,C$140,BD!$A$3:$A$5001,_xlfn.MAXIFS(BD!$A$3:$A$5001,BD!$B$3:$B$5001,C$140,BD!$A$3:$A$5001,"&gt;="&amp;$C$7,BD!$A$3:$A$5001,"&lt;="&amp;$B154,BD!$X$3:$X$5001,"&lt;&gt;"))))</f>
        <v/>
      </c>
      <c r="D154" s="43" t="str">
        <f>IF(OR($B154="",$A154&gt;$B$9,D$140=""),"",IF(COUNTIFS(BD!$B$3:$B$5001,D$140,BD!$A$3:$A$5001,"&gt;="&amp;$C$7,BD!$A$3:$A$5001,"&lt;="&amp;$B154,BD!$X$3:$X$5001,"&lt;&gt;")=0,"",SUMIFS(BD!$X$3:$X$5001,BD!$B$3:$B$5001,D$140,BD!$A$3:$A$5001,_xlfn.MAXIFS(BD!$A$3:$A$5001,BD!$B$3:$B$5001,D$140,BD!$A$3:$A$5001,"&gt;="&amp;$C$7,BD!$A$3:$A$5001,"&lt;="&amp;$B154,BD!$X$3:$X$5001,"&lt;&gt;"))))</f>
        <v/>
      </c>
      <c r="E154" s="43" t="str">
        <f>IF(OR($B154="",$A154&gt;$B$9,E$140=""),"",IF(COUNTIFS(BD!$B$3:$B$5001,E$140,BD!$A$3:$A$5001,"&gt;="&amp;$C$7,BD!$A$3:$A$5001,"&lt;="&amp;$B154,BD!$X$3:$X$5001,"&lt;&gt;")=0,"",SUMIFS(BD!$X$3:$X$5001,BD!$B$3:$B$5001,E$140,BD!$A$3:$A$5001,_xlfn.MAXIFS(BD!$A$3:$A$5001,BD!$B$3:$B$5001,E$140,BD!$A$3:$A$5001,"&gt;="&amp;$C$7,BD!$A$3:$A$5001,"&lt;="&amp;$B154,BD!$X$3:$X$5001,"&lt;&gt;"))))</f>
        <v/>
      </c>
      <c r="F154" s="43" t="str">
        <f>IF(OR($B154="",$A154&gt;$B$9,F$140=""),"",IF(COUNTIFS(BD!$B$3:$B$5001,F$140,BD!$A$3:$A$5001,"&gt;="&amp;$C$7,BD!$A$3:$A$5001,"&lt;="&amp;$B154,BD!$X$3:$X$5001,"&lt;&gt;")=0,"",SUMIFS(BD!$X$3:$X$5001,BD!$B$3:$B$5001,F$140,BD!$A$3:$A$5001,_xlfn.MAXIFS(BD!$A$3:$A$5001,BD!$B$3:$B$5001,F$140,BD!$A$3:$A$5001,"&gt;="&amp;$C$7,BD!$A$3:$A$5001,"&lt;="&amp;$B154,BD!$X$3:$X$5001,"&lt;&gt;"))))</f>
        <v/>
      </c>
      <c r="G154" s="43" t="str">
        <f>IF(OR($B154="",$A154&gt;$B$9,G$140=""),"",IF(COUNTIFS(BD!$B$3:$B$5001,G$140,BD!$A$3:$A$5001,"&gt;="&amp;$C$7,BD!$A$3:$A$5001,"&lt;="&amp;$B154,BD!$X$3:$X$5001,"&lt;&gt;")=0,"",SUMIFS(BD!$X$3:$X$5001,BD!$B$3:$B$5001,G$140,BD!$A$3:$A$5001,_xlfn.MAXIFS(BD!$A$3:$A$5001,BD!$B$3:$B$5001,G$140,BD!$A$3:$A$5001,"&gt;="&amp;$C$7,BD!$A$3:$A$5001,"&lt;="&amp;$B154,BD!$X$3:$X$5001,"&lt;&gt;"))))</f>
        <v/>
      </c>
      <c r="H154" s="43" t="str">
        <f>IF(OR($B154="",$A154&gt;$B$9,H$140=""),"",IF(COUNTIFS(BD!$B$3:$B$5001,H$140,BD!$A$3:$A$5001,"&gt;="&amp;$C$7,BD!$A$3:$A$5001,"&lt;="&amp;$B154,BD!$X$3:$X$5001,"&lt;&gt;")=0,"",SUMIFS(BD!$X$3:$X$5001,BD!$B$3:$B$5001,H$140,BD!$A$3:$A$5001,_xlfn.MAXIFS(BD!$A$3:$A$5001,BD!$B$3:$B$5001,H$140,BD!$A$3:$A$5001,"&gt;="&amp;$C$7,BD!$A$3:$A$5001,"&lt;="&amp;$B154,BD!$X$3:$X$5001,"&lt;&gt;"))))</f>
        <v/>
      </c>
      <c r="I154" s="43" t="str">
        <f>IF(OR($B154="",$A154&gt;$B$9,I$140=""),"",IF(COUNTIFS(BD!$B$3:$B$5001,I$140,BD!$A$3:$A$5001,"&gt;="&amp;$C$7,BD!$A$3:$A$5001,"&lt;="&amp;$B154,BD!$X$3:$X$5001,"&lt;&gt;")=0,"",SUMIFS(BD!$X$3:$X$5001,BD!$B$3:$B$5001,I$140,BD!$A$3:$A$5001,_xlfn.MAXIFS(BD!$A$3:$A$5001,BD!$B$3:$B$5001,I$140,BD!$A$3:$A$5001,"&gt;="&amp;$C$7,BD!$A$3:$A$5001,"&lt;="&amp;$B154,BD!$X$3:$X$5001,"&lt;&gt;"))))</f>
        <v/>
      </c>
      <c r="J154" s="43" t="str">
        <f>IF(OR($B154="",$A154&gt;$B$9,J$140=""),"",IF(COUNTIFS(BD!$B$3:$B$5001,J$140,BD!$A$3:$A$5001,"&gt;="&amp;$C$7,BD!$A$3:$A$5001,"&lt;="&amp;$B154,BD!$X$3:$X$5001,"&lt;&gt;")=0,"",SUMIFS(BD!$X$3:$X$5001,BD!$B$3:$B$5001,J$140,BD!$A$3:$A$5001,_xlfn.MAXIFS(BD!$A$3:$A$5001,BD!$B$3:$B$5001,J$140,BD!$A$3:$A$5001,"&gt;="&amp;$C$7,BD!$A$3:$A$5001,"&lt;="&amp;$B154,BD!$X$3:$X$5001,"&lt;&gt;"))))</f>
        <v/>
      </c>
      <c r="K154" s="43" t="str">
        <f>IF(OR($B154="",$A154&gt;$B$9,K$140=""),"",IF(COUNTIFS(BD!$B$3:$B$5001,K$140,BD!$A$3:$A$5001,"&gt;="&amp;$C$7,BD!$A$3:$A$5001,"&lt;="&amp;$B154,BD!$X$3:$X$5001,"&lt;&gt;")=0,"",SUMIFS(BD!$X$3:$X$5001,BD!$B$3:$B$5001,K$140,BD!$A$3:$A$5001,_xlfn.MAXIFS(BD!$A$3:$A$5001,BD!$B$3:$B$5001,K$140,BD!$A$3:$A$5001,"&gt;="&amp;$C$7,BD!$A$3:$A$5001,"&lt;="&amp;$B154,BD!$X$3:$X$5001,"&lt;&gt;"))))</f>
        <v/>
      </c>
      <c r="L154" s="43" t="str">
        <f>IF(OR($B154="",$A154&gt;$B$9,L$140=""),"",IF(COUNTIFS(BD!$B$3:$B$5001,L$140,BD!$A$3:$A$5001,"&gt;="&amp;$C$7,BD!$A$3:$A$5001,"&lt;="&amp;$B154,BD!$X$3:$X$5001,"&lt;&gt;")=0,"",SUMIFS(BD!$X$3:$X$5001,BD!$B$3:$B$5001,L$140,BD!$A$3:$A$5001,_xlfn.MAXIFS(BD!$A$3:$A$5001,BD!$B$3:$B$5001,L$140,BD!$A$3:$A$5001,"&gt;="&amp;$C$7,BD!$A$3:$A$5001,"&lt;="&amp;$B154,BD!$X$3:$X$5001,"&lt;&gt;"))))</f>
        <v/>
      </c>
      <c r="M154" s="43" t="str">
        <f>IF(OR($B154="",$A154&gt;$B$9,M$140=""),"",IF(COUNTIFS(BD!$B$3:$B$5001,M$140,BD!$A$3:$A$5001,"&gt;="&amp;$C$7,BD!$A$3:$A$5001,"&lt;="&amp;$B154,BD!$X$3:$X$5001,"&lt;&gt;")=0,"",SUMIFS(BD!$X$3:$X$5001,BD!$B$3:$B$5001,M$140,BD!$A$3:$A$5001,_xlfn.MAXIFS(BD!$A$3:$A$5001,BD!$B$3:$B$5001,M$140,BD!$A$3:$A$5001,"&gt;="&amp;$C$7,BD!$A$3:$A$5001,"&lt;="&amp;$B154,BD!$X$3:$X$5001,"&lt;&gt;"))))</f>
        <v/>
      </c>
      <c r="N154" s="43" t="str">
        <f>IF(OR($B154="",$A154&gt;$B$9,N$140=""),"",IF(COUNTIFS(BD!$B$3:$B$5001,N$140,BD!$A$3:$A$5001,"&gt;="&amp;$C$7,BD!$A$3:$A$5001,"&lt;="&amp;$B154,BD!$X$3:$X$5001,"&lt;&gt;")=0,"",SUMIFS(BD!$X$3:$X$5001,BD!$B$3:$B$5001,N$140,BD!$A$3:$A$5001,_xlfn.MAXIFS(BD!$A$3:$A$5001,BD!$B$3:$B$5001,N$140,BD!$A$3:$A$5001,"&gt;="&amp;$C$7,BD!$A$3:$A$5001,"&lt;="&amp;$B154,BD!$X$3:$X$5001,"&lt;&gt;"))))</f>
        <v/>
      </c>
      <c r="O154" s="43" t="str">
        <f>IF(OR($B154="",$A154&gt;$B$9,O$140=""),"",IF(COUNTIFS(BD!$B$3:$B$5001,O$140,BD!$A$3:$A$5001,"&gt;="&amp;$C$7,BD!$A$3:$A$5001,"&lt;="&amp;$B154,BD!$X$3:$X$5001,"&lt;&gt;")=0,"",SUMIFS(BD!$X$3:$X$5001,BD!$B$3:$B$5001,O$140,BD!$A$3:$A$5001,_xlfn.MAXIFS(BD!$A$3:$A$5001,BD!$B$3:$B$5001,O$140,BD!$A$3:$A$5001,"&gt;="&amp;$C$7,BD!$A$3:$A$5001,"&lt;="&amp;$B154,BD!$X$3:$X$5001,"&lt;&gt;"))))</f>
        <v/>
      </c>
      <c r="P154" s="43" t="str">
        <f>IF(OR($B154="",$A154&gt;$B$9,P$140=""),"",IF(COUNTIFS(BD!$B$3:$B$5001,P$140,BD!$A$3:$A$5001,"&gt;="&amp;$C$7,BD!$A$3:$A$5001,"&lt;="&amp;$B154,BD!$X$3:$X$5001,"&lt;&gt;")=0,"",SUMIFS(BD!$X$3:$X$5001,BD!$B$3:$B$5001,P$140,BD!$A$3:$A$5001,_xlfn.MAXIFS(BD!$A$3:$A$5001,BD!$B$3:$B$5001,P$140,BD!$A$3:$A$5001,"&gt;="&amp;$C$7,BD!$A$3:$A$5001,"&lt;="&amp;$B154,BD!$X$3:$X$5001,"&lt;&gt;"))))</f>
        <v/>
      </c>
      <c r="Q154" s="43" t="str">
        <f>IF(OR($B154="",$A154&gt;$B$9,Q$140=""),"",IF(COUNTIFS(BD!$B$3:$B$5001,Q$140,BD!$A$3:$A$5001,"&gt;="&amp;$C$7,BD!$A$3:$A$5001,"&lt;="&amp;$B154,BD!$X$3:$X$5001,"&lt;&gt;")=0,"",SUMIFS(BD!$X$3:$X$5001,BD!$B$3:$B$5001,Q$140,BD!$A$3:$A$5001,_xlfn.MAXIFS(BD!$A$3:$A$5001,BD!$B$3:$B$5001,Q$140,BD!$A$3:$A$5001,"&gt;="&amp;$C$7,BD!$A$3:$A$5001,"&lt;="&amp;$B154,BD!$X$3:$X$5001,"&lt;&gt;"))))</f>
        <v/>
      </c>
      <c r="R154" s="43" t="str">
        <f>IF(OR($B154="",$A154&gt;$B$9,R$140=""),"",IF(COUNTIFS(BD!$B$3:$B$5001,R$140,BD!$A$3:$A$5001,"&gt;="&amp;$C$7,BD!$A$3:$A$5001,"&lt;="&amp;$B154,BD!$X$3:$X$5001,"&lt;&gt;")=0,"",SUMIFS(BD!$X$3:$X$5001,BD!$B$3:$B$5001,R$140,BD!$A$3:$A$5001,_xlfn.MAXIFS(BD!$A$3:$A$5001,BD!$B$3:$B$5001,R$140,BD!$A$3:$A$5001,"&gt;="&amp;$C$7,BD!$A$3:$A$5001,"&lt;="&amp;$B154,BD!$X$3:$X$5001,"&lt;&gt;"))))</f>
        <v/>
      </c>
      <c r="S154" s="43" t="str">
        <f>IF(OR($B154="",$A154&gt;$B$9,S$140=""),"",IF(COUNTIFS(BD!$B$3:$B$5001,S$140,BD!$A$3:$A$5001,"&gt;="&amp;$C$7,BD!$A$3:$A$5001,"&lt;="&amp;$B154,BD!$X$3:$X$5001,"&lt;&gt;")=0,"",SUMIFS(BD!$X$3:$X$5001,BD!$B$3:$B$5001,S$140,BD!$A$3:$A$5001,_xlfn.MAXIFS(BD!$A$3:$A$5001,BD!$B$3:$B$5001,S$140,BD!$A$3:$A$5001,"&gt;="&amp;$C$7,BD!$A$3:$A$5001,"&lt;="&amp;$B154,BD!$X$3:$X$5001,"&lt;&gt;"))))</f>
        <v/>
      </c>
      <c r="T154" s="43" t="str">
        <f>IF(OR($B154="",$A154&gt;$B$9,T$140=""),"",IF(COUNTIFS(BD!$B$3:$B$5001,T$140,BD!$A$3:$A$5001,"&gt;="&amp;$C$7,BD!$A$3:$A$5001,"&lt;="&amp;$B154,BD!$X$3:$X$5001,"&lt;&gt;")=0,"",SUMIFS(BD!$X$3:$X$5001,BD!$B$3:$B$5001,T$140,BD!$A$3:$A$5001,_xlfn.MAXIFS(BD!$A$3:$A$5001,BD!$B$3:$B$5001,T$140,BD!$A$3:$A$5001,"&gt;="&amp;$C$7,BD!$A$3:$A$5001,"&lt;="&amp;$B154,BD!$X$3:$X$5001,"&lt;&gt;"))))</f>
        <v/>
      </c>
      <c r="U154" s="43" t="str">
        <f>IF(OR($B154="",$A154&gt;$B$9,U$140=""),"",IF(COUNTIFS(BD!$B$3:$B$5001,U$140,BD!$A$3:$A$5001,"&gt;="&amp;$C$7,BD!$A$3:$A$5001,"&lt;="&amp;$B154,BD!$X$3:$X$5001,"&lt;&gt;")=0,"",SUMIFS(BD!$X$3:$X$5001,BD!$B$3:$B$5001,U$140,BD!$A$3:$A$5001,_xlfn.MAXIFS(BD!$A$3:$A$5001,BD!$B$3:$B$5001,U$140,BD!$A$3:$A$5001,"&gt;="&amp;$C$7,BD!$A$3:$A$5001,"&lt;="&amp;$B154,BD!$X$3:$X$5001,"&lt;&gt;"))))</f>
        <v/>
      </c>
      <c r="V154" s="43" t="str">
        <f>IF(OR($B154="",$A154&gt;$B$9,V$140=""),"",IF(COUNTIFS(BD!$B$3:$B$5001,V$140,BD!$A$3:$A$5001,"&gt;="&amp;$C$7,BD!$A$3:$A$5001,"&lt;="&amp;$B154,BD!$X$3:$X$5001,"&lt;&gt;")=0,"",SUMIFS(BD!$X$3:$X$5001,BD!$B$3:$B$5001,V$140,BD!$A$3:$A$5001,_xlfn.MAXIFS(BD!$A$3:$A$5001,BD!$B$3:$B$5001,V$140,BD!$A$3:$A$5001,"&gt;="&amp;$C$7,BD!$A$3:$A$5001,"&lt;="&amp;$B154,BD!$X$3:$X$5001,"&lt;&gt;"))))</f>
        <v/>
      </c>
    </row>
    <row r="155">
      <c r="A155" s="38">
        <v>15</v>
      </c>
      <c r="B155" s="42">
        <f>$B$26</f>
        <v>46310</v>
      </c>
      <c r="C155" s="43" t="str">
        <f>IF(OR($B155="",$A155&gt;$B$9,C$140=""),"",IF(COUNTIFS(BD!$B$3:$B$5001,C$140,BD!$A$3:$A$5001,"&gt;="&amp;$C$7,BD!$A$3:$A$5001,"&lt;="&amp;$B155,BD!$X$3:$X$5001,"&lt;&gt;")=0,"",SUMIFS(BD!$X$3:$X$5001,BD!$B$3:$B$5001,C$140,BD!$A$3:$A$5001,_xlfn.MAXIFS(BD!$A$3:$A$5001,BD!$B$3:$B$5001,C$140,BD!$A$3:$A$5001,"&gt;="&amp;$C$7,BD!$A$3:$A$5001,"&lt;="&amp;$B155,BD!$X$3:$X$5001,"&lt;&gt;"))))</f>
        <v/>
      </c>
      <c r="D155" s="43" t="str">
        <f>IF(OR($B155="",$A155&gt;$B$9,D$140=""),"",IF(COUNTIFS(BD!$B$3:$B$5001,D$140,BD!$A$3:$A$5001,"&gt;="&amp;$C$7,BD!$A$3:$A$5001,"&lt;="&amp;$B155,BD!$X$3:$X$5001,"&lt;&gt;")=0,"",SUMIFS(BD!$X$3:$X$5001,BD!$B$3:$B$5001,D$140,BD!$A$3:$A$5001,_xlfn.MAXIFS(BD!$A$3:$A$5001,BD!$B$3:$B$5001,D$140,BD!$A$3:$A$5001,"&gt;="&amp;$C$7,BD!$A$3:$A$5001,"&lt;="&amp;$B155,BD!$X$3:$X$5001,"&lt;&gt;"))))</f>
        <v/>
      </c>
      <c r="E155" s="43" t="str">
        <f>IF(OR($B155="",$A155&gt;$B$9,E$140=""),"",IF(COUNTIFS(BD!$B$3:$B$5001,E$140,BD!$A$3:$A$5001,"&gt;="&amp;$C$7,BD!$A$3:$A$5001,"&lt;="&amp;$B155,BD!$X$3:$X$5001,"&lt;&gt;")=0,"",SUMIFS(BD!$X$3:$X$5001,BD!$B$3:$B$5001,E$140,BD!$A$3:$A$5001,_xlfn.MAXIFS(BD!$A$3:$A$5001,BD!$B$3:$B$5001,E$140,BD!$A$3:$A$5001,"&gt;="&amp;$C$7,BD!$A$3:$A$5001,"&lt;="&amp;$B155,BD!$X$3:$X$5001,"&lt;&gt;"))))</f>
        <v/>
      </c>
      <c r="F155" s="43" t="str">
        <f>IF(OR($B155="",$A155&gt;$B$9,F$140=""),"",IF(COUNTIFS(BD!$B$3:$B$5001,F$140,BD!$A$3:$A$5001,"&gt;="&amp;$C$7,BD!$A$3:$A$5001,"&lt;="&amp;$B155,BD!$X$3:$X$5001,"&lt;&gt;")=0,"",SUMIFS(BD!$X$3:$X$5001,BD!$B$3:$B$5001,F$140,BD!$A$3:$A$5001,_xlfn.MAXIFS(BD!$A$3:$A$5001,BD!$B$3:$B$5001,F$140,BD!$A$3:$A$5001,"&gt;="&amp;$C$7,BD!$A$3:$A$5001,"&lt;="&amp;$B155,BD!$X$3:$X$5001,"&lt;&gt;"))))</f>
        <v/>
      </c>
      <c r="G155" s="43" t="str">
        <f>IF(OR($B155="",$A155&gt;$B$9,G$140=""),"",IF(COUNTIFS(BD!$B$3:$B$5001,G$140,BD!$A$3:$A$5001,"&gt;="&amp;$C$7,BD!$A$3:$A$5001,"&lt;="&amp;$B155,BD!$X$3:$X$5001,"&lt;&gt;")=0,"",SUMIFS(BD!$X$3:$X$5001,BD!$B$3:$B$5001,G$140,BD!$A$3:$A$5001,_xlfn.MAXIFS(BD!$A$3:$A$5001,BD!$B$3:$B$5001,G$140,BD!$A$3:$A$5001,"&gt;="&amp;$C$7,BD!$A$3:$A$5001,"&lt;="&amp;$B155,BD!$X$3:$X$5001,"&lt;&gt;"))))</f>
        <v/>
      </c>
      <c r="H155" s="43" t="str">
        <f>IF(OR($B155="",$A155&gt;$B$9,H$140=""),"",IF(COUNTIFS(BD!$B$3:$B$5001,H$140,BD!$A$3:$A$5001,"&gt;="&amp;$C$7,BD!$A$3:$A$5001,"&lt;="&amp;$B155,BD!$X$3:$X$5001,"&lt;&gt;")=0,"",SUMIFS(BD!$X$3:$X$5001,BD!$B$3:$B$5001,H$140,BD!$A$3:$A$5001,_xlfn.MAXIFS(BD!$A$3:$A$5001,BD!$B$3:$B$5001,H$140,BD!$A$3:$A$5001,"&gt;="&amp;$C$7,BD!$A$3:$A$5001,"&lt;="&amp;$B155,BD!$X$3:$X$5001,"&lt;&gt;"))))</f>
        <v/>
      </c>
      <c r="I155" s="43" t="str">
        <f>IF(OR($B155="",$A155&gt;$B$9,I$140=""),"",IF(COUNTIFS(BD!$B$3:$B$5001,I$140,BD!$A$3:$A$5001,"&gt;="&amp;$C$7,BD!$A$3:$A$5001,"&lt;="&amp;$B155,BD!$X$3:$X$5001,"&lt;&gt;")=0,"",SUMIFS(BD!$X$3:$X$5001,BD!$B$3:$B$5001,I$140,BD!$A$3:$A$5001,_xlfn.MAXIFS(BD!$A$3:$A$5001,BD!$B$3:$B$5001,I$140,BD!$A$3:$A$5001,"&gt;="&amp;$C$7,BD!$A$3:$A$5001,"&lt;="&amp;$B155,BD!$X$3:$X$5001,"&lt;&gt;"))))</f>
        <v/>
      </c>
      <c r="J155" s="43" t="str">
        <f>IF(OR($B155="",$A155&gt;$B$9,J$140=""),"",IF(COUNTIFS(BD!$B$3:$B$5001,J$140,BD!$A$3:$A$5001,"&gt;="&amp;$C$7,BD!$A$3:$A$5001,"&lt;="&amp;$B155,BD!$X$3:$X$5001,"&lt;&gt;")=0,"",SUMIFS(BD!$X$3:$X$5001,BD!$B$3:$B$5001,J$140,BD!$A$3:$A$5001,_xlfn.MAXIFS(BD!$A$3:$A$5001,BD!$B$3:$B$5001,J$140,BD!$A$3:$A$5001,"&gt;="&amp;$C$7,BD!$A$3:$A$5001,"&lt;="&amp;$B155,BD!$X$3:$X$5001,"&lt;&gt;"))))</f>
        <v/>
      </c>
      <c r="K155" s="43" t="str">
        <f>IF(OR($B155="",$A155&gt;$B$9,K$140=""),"",IF(COUNTIFS(BD!$B$3:$B$5001,K$140,BD!$A$3:$A$5001,"&gt;="&amp;$C$7,BD!$A$3:$A$5001,"&lt;="&amp;$B155,BD!$X$3:$X$5001,"&lt;&gt;")=0,"",SUMIFS(BD!$X$3:$X$5001,BD!$B$3:$B$5001,K$140,BD!$A$3:$A$5001,_xlfn.MAXIFS(BD!$A$3:$A$5001,BD!$B$3:$B$5001,K$140,BD!$A$3:$A$5001,"&gt;="&amp;$C$7,BD!$A$3:$A$5001,"&lt;="&amp;$B155,BD!$X$3:$X$5001,"&lt;&gt;"))))</f>
        <v/>
      </c>
      <c r="L155" s="43" t="str">
        <f>IF(OR($B155="",$A155&gt;$B$9,L$140=""),"",IF(COUNTIFS(BD!$B$3:$B$5001,L$140,BD!$A$3:$A$5001,"&gt;="&amp;$C$7,BD!$A$3:$A$5001,"&lt;="&amp;$B155,BD!$X$3:$X$5001,"&lt;&gt;")=0,"",SUMIFS(BD!$X$3:$X$5001,BD!$B$3:$B$5001,L$140,BD!$A$3:$A$5001,_xlfn.MAXIFS(BD!$A$3:$A$5001,BD!$B$3:$B$5001,L$140,BD!$A$3:$A$5001,"&gt;="&amp;$C$7,BD!$A$3:$A$5001,"&lt;="&amp;$B155,BD!$X$3:$X$5001,"&lt;&gt;"))))</f>
        <v/>
      </c>
      <c r="M155" s="43" t="str">
        <f>IF(OR($B155="",$A155&gt;$B$9,M$140=""),"",IF(COUNTIFS(BD!$B$3:$B$5001,M$140,BD!$A$3:$A$5001,"&gt;="&amp;$C$7,BD!$A$3:$A$5001,"&lt;="&amp;$B155,BD!$X$3:$X$5001,"&lt;&gt;")=0,"",SUMIFS(BD!$X$3:$X$5001,BD!$B$3:$B$5001,M$140,BD!$A$3:$A$5001,_xlfn.MAXIFS(BD!$A$3:$A$5001,BD!$B$3:$B$5001,M$140,BD!$A$3:$A$5001,"&gt;="&amp;$C$7,BD!$A$3:$A$5001,"&lt;="&amp;$B155,BD!$X$3:$X$5001,"&lt;&gt;"))))</f>
        <v/>
      </c>
      <c r="N155" s="43" t="str">
        <f>IF(OR($B155="",$A155&gt;$B$9,N$140=""),"",IF(COUNTIFS(BD!$B$3:$B$5001,N$140,BD!$A$3:$A$5001,"&gt;="&amp;$C$7,BD!$A$3:$A$5001,"&lt;="&amp;$B155,BD!$X$3:$X$5001,"&lt;&gt;")=0,"",SUMIFS(BD!$X$3:$X$5001,BD!$B$3:$B$5001,N$140,BD!$A$3:$A$5001,_xlfn.MAXIFS(BD!$A$3:$A$5001,BD!$B$3:$B$5001,N$140,BD!$A$3:$A$5001,"&gt;="&amp;$C$7,BD!$A$3:$A$5001,"&lt;="&amp;$B155,BD!$X$3:$X$5001,"&lt;&gt;"))))</f>
        <v/>
      </c>
      <c r="O155" s="43" t="str">
        <f>IF(OR($B155="",$A155&gt;$B$9,O$140=""),"",IF(COUNTIFS(BD!$B$3:$B$5001,O$140,BD!$A$3:$A$5001,"&gt;="&amp;$C$7,BD!$A$3:$A$5001,"&lt;="&amp;$B155,BD!$X$3:$X$5001,"&lt;&gt;")=0,"",SUMIFS(BD!$X$3:$X$5001,BD!$B$3:$B$5001,O$140,BD!$A$3:$A$5001,_xlfn.MAXIFS(BD!$A$3:$A$5001,BD!$B$3:$B$5001,O$140,BD!$A$3:$A$5001,"&gt;="&amp;$C$7,BD!$A$3:$A$5001,"&lt;="&amp;$B155,BD!$X$3:$X$5001,"&lt;&gt;"))))</f>
        <v/>
      </c>
      <c r="P155" s="43" t="str">
        <f>IF(OR($B155="",$A155&gt;$B$9,P$140=""),"",IF(COUNTIFS(BD!$B$3:$B$5001,P$140,BD!$A$3:$A$5001,"&gt;="&amp;$C$7,BD!$A$3:$A$5001,"&lt;="&amp;$B155,BD!$X$3:$X$5001,"&lt;&gt;")=0,"",SUMIFS(BD!$X$3:$X$5001,BD!$B$3:$B$5001,P$140,BD!$A$3:$A$5001,_xlfn.MAXIFS(BD!$A$3:$A$5001,BD!$B$3:$B$5001,P$140,BD!$A$3:$A$5001,"&gt;="&amp;$C$7,BD!$A$3:$A$5001,"&lt;="&amp;$B155,BD!$X$3:$X$5001,"&lt;&gt;"))))</f>
        <v/>
      </c>
      <c r="Q155" s="43" t="str">
        <f>IF(OR($B155="",$A155&gt;$B$9,Q$140=""),"",IF(COUNTIFS(BD!$B$3:$B$5001,Q$140,BD!$A$3:$A$5001,"&gt;="&amp;$C$7,BD!$A$3:$A$5001,"&lt;="&amp;$B155,BD!$X$3:$X$5001,"&lt;&gt;")=0,"",SUMIFS(BD!$X$3:$X$5001,BD!$B$3:$B$5001,Q$140,BD!$A$3:$A$5001,_xlfn.MAXIFS(BD!$A$3:$A$5001,BD!$B$3:$B$5001,Q$140,BD!$A$3:$A$5001,"&gt;="&amp;$C$7,BD!$A$3:$A$5001,"&lt;="&amp;$B155,BD!$X$3:$X$5001,"&lt;&gt;"))))</f>
        <v/>
      </c>
      <c r="R155" s="43" t="str">
        <f>IF(OR($B155="",$A155&gt;$B$9,R$140=""),"",IF(COUNTIFS(BD!$B$3:$B$5001,R$140,BD!$A$3:$A$5001,"&gt;="&amp;$C$7,BD!$A$3:$A$5001,"&lt;="&amp;$B155,BD!$X$3:$X$5001,"&lt;&gt;")=0,"",SUMIFS(BD!$X$3:$X$5001,BD!$B$3:$B$5001,R$140,BD!$A$3:$A$5001,_xlfn.MAXIFS(BD!$A$3:$A$5001,BD!$B$3:$B$5001,R$140,BD!$A$3:$A$5001,"&gt;="&amp;$C$7,BD!$A$3:$A$5001,"&lt;="&amp;$B155,BD!$X$3:$X$5001,"&lt;&gt;"))))</f>
        <v/>
      </c>
      <c r="S155" s="43" t="str">
        <f>IF(OR($B155="",$A155&gt;$B$9,S$140=""),"",IF(COUNTIFS(BD!$B$3:$B$5001,S$140,BD!$A$3:$A$5001,"&gt;="&amp;$C$7,BD!$A$3:$A$5001,"&lt;="&amp;$B155,BD!$X$3:$X$5001,"&lt;&gt;")=0,"",SUMIFS(BD!$X$3:$X$5001,BD!$B$3:$B$5001,S$140,BD!$A$3:$A$5001,_xlfn.MAXIFS(BD!$A$3:$A$5001,BD!$B$3:$B$5001,S$140,BD!$A$3:$A$5001,"&gt;="&amp;$C$7,BD!$A$3:$A$5001,"&lt;="&amp;$B155,BD!$X$3:$X$5001,"&lt;&gt;"))))</f>
        <v/>
      </c>
      <c r="T155" s="43" t="str">
        <f>IF(OR($B155="",$A155&gt;$B$9,T$140=""),"",IF(COUNTIFS(BD!$B$3:$B$5001,T$140,BD!$A$3:$A$5001,"&gt;="&amp;$C$7,BD!$A$3:$A$5001,"&lt;="&amp;$B155,BD!$X$3:$X$5001,"&lt;&gt;")=0,"",SUMIFS(BD!$X$3:$X$5001,BD!$B$3:$B$5001,T$140,BD!$A$3:$A$5001,_xlfn.MAXIFS(BD!$A$3:$A$5001,BD!$B$3:$B$5001,T$140,BD!$A$3:$A$5001,"&gt;="&amp;$C$7,BD!$A$3:$A$5001,"&lt;="&amp;$B155,BD!$X$3:$X$5001,"&lt;&gt;"))))</f>
        <v/>
      </c>
      <c r="U155" s="43" t="str">
        <f>IF(OR($B155="",$A155&gt;$B$9,U$140=""),"",IF(COUNTIFS(BD!$B$3:$B$5001,U$140,BD!$A$3:$A$5001,"&gt;="&amp;$C$7,BD!$A$3:$A$5001,"&lt;="&amp;$B155,BD!$X$3:$X$5001,"&lt;&gt;")=0,"",SUMIFS(BD!$X$3:$X$5001,BD!$B$3:$B$5001,U$140,BD!$A$3:$A$5001,_xlfn.MAXIFS(BD!$A$3:$A$5001,BD!$B$3:$B$5001,U$140,BD!$A$3:$A$5001,"&gt;="&amp;$C$7,BD!$A$3:$A$5001,"&lt;="&amp;$B155,BD!$X$3:$X$5001,"&lt;&gt;"))))</f>
        <v/>
      </c>
      <c r="V155" s="43" t="str">
        <f>IF(OR($B155="",$A155&gt;$B$9,V$140=""),"",IF(COUNTIFS(BD!$B$3:$B$5001,V$140,BD!$A$3:$A$5001,"&gt;="&amp;$C$7,BD!$A$3:$A$5001,"&lt;="&amp;$B155,BD!$X$3:$X$5001,"&lt;&gt;")=0,"",SUMIFS(BD!$X$3:$X$5001,BD!$B$3:$B$5001,V$140,BD!$A$3:$A$5001,_xlfn.MAXIFS(BD!$A$3:$A$5001,BD!$B$3:$B$5001,V$140,BD!$A$3:$A$5001,"&gt;="&amp;$C$7,BD!$A$3:$A$5001,"&lt;="&amp;$B155,BD!$X$3:$X$5001,"&lt;&gt;"))))</f>
        <v/>
      </c>
    </row>
    <row r="156">
      <c r="A156" s="38">
        <v>16</v>
      </c>
      <c r="B156" s="42">
        <f>$B$27</f>
        <v>46311</v>
      </c>
      <c r="C156" s="43" t="str">
        <f>IF(OR($B156="",$A156&gt;$B$9,C$140=""),"",IF(COUNTIFS(BD!$B$3:$B$5001,C$140,BD!$A$3:$A$5001,"&gt;="&amp;$C$7,BD!$A$3:$A$5001,"&lt;="&amp;$B156,BD!$X$3:$X$5001,"&lt;&gt;")=0,"",SUMIFS(BD!$X$3:$X$5001,BD!$B$3:$B$5001,C$140,BD!$A$3:$A$5001,_xlfn.MAXIFS(BD!$A$3:$A$5001,BD!$B$3:$B$5001,C$140,BD!$A$3:$A$5001,"&gt;="&amp;$C$7,BD!$A$3:$A$5001,"&lt;="&amp;$B156,BD!$X$3:$X$5001,"&lt;&gt;"))))</f>
        <v/>
      </c>
      <c r="D156" s="43" t="str">
        <f>IF(OR($B156="",$A156&gt;$B$9,D$140=""),"",IF(COUNTIFS(BD!$B$3:$B$5001,D$140,BD!$A$3:$A$5001,"&gt;="&amp;$C$7,BD!$A$3:$A$5001,"&lt;="&amp;$B156,BD!$X$3:$X$5001,"&lt;&gt;")=0,"",SUMIFS(BD!$X$3:$X$5001,BD!$B$3:$B$5001,D$140,BD!$A$3:$A$5001,_xlfn.MAXIFS(BD!$A$3:$A$5001,BD!$B$3:$B$5001,D$140,BD!$A$3:$A$5001,"&gt;="&amp;$C$7,BD!$A$3:$A$5001,"&lt;="&amp;$B156,BD!$X$3:$X$5001,"&lt;&gt;"))))</f>
        <v/>
      </c>
      <c r="E156" s="43" t="str">
        <f>IF(OR($B156="",$A156&gt;$B$9,E$140=""),"",IF(COUNTIFS(BD!$B$3:$B$5001,E$140,BD!$A$3:$A$5001,"&gt;="&amp;$C$7,BD!$A$3:$A$5001,"&lt;="&amp;$B156,BD!$X$3:$X$5001,"&lt;&gt;")=0,"",SUMIFS(BD!$X$3:$X$5001,BD!$B$3:$B$5001,E$140,BD!$A$3:$A$5001,_xlfn.MAXIFS(BD!$A$3:$A$5001,BD!$B$3:$B$5001,E$140,BD!$A$3:$A$5001,"&gt;="&amp;$C$7,BD!$A$3:$A$5001,"&lt;="&amp;$B156,BD!$X$3:$X$5001,"&lt;&gt;"))))</f>
        <v/>
      </c>
      <c r="F156" s="43" t="str">
        <f>IF(OR($B156="",$A156&gt;$B$9,F$140=""),"",IF(COUNTIFS(BD!$B$3:$B$5001,F$140,BD!$A$3:$A$5001,"&gt;="&amp;$C$7,BD!$A$3:$A$5001,"&lt;="&amp;$B156,BD!$X$3:$X$5001,"&lt;&gt;")=0,"",SUMIFS(BD!$X$3:$X$5001,BD!$B$3:$B$5001,F$140,BD!$A$3:$A$5001,_xlfn.MAXIFS(BD!$A$3:$A$5001,BD!$B$3:$B$5001,F$140,BD!$A$3:$A$5001,"&gt;="&amp;$C$7,BD!$A$3:$A$5001,"&lt;="&amp;$B156,BD!$X$3:$X$5001,"&lt;&gt;"))))</f>
        <v/>
      </c>
      <c r="G156" s="43" t="str">
        <f>IF(OR($B156="",$A156&gt;$B$9,G$140=""),"",IF(COUNTIFS(BD!$B$3:$B$5001,G$140,BD!$A$3:$A$5001,"&gt;="&amp;$C$7,BD!$A$3:$A$5001,"&lt;="&amp;$B156,BD!$X$3:$X$5001,"&lt;&gt;")=0,"",SUMIFS(BD!$X$3:$X$5001,BD!$B$3:$B$5001,G$140,BD!$A$3:$A$5001,_xlfn.MAXIFS(BD!$A$3:$A$5001,BD!$B$3:$B$5001,G$140,BD!$A$3:$A$5001,"&gt;="&amp;$C$7,BD!$A$3:$A$5001,"&lt;="&amp;$B156,BD!$X$3:$X$5001,"&lt;&gt;"))))</f>
        <v/>
      </c>
      <c r="H156" s="43" t="str">
        <f>IF(OR($B156="",$A156&gt;$B$9,H$140=""),"",IF(COUNTIFS(BD!$B$3:$B$5001,H$140,BD!$A$3:$A$5001,"&gt;="&amp;$C$7,BD!$A$3:$A$5001,"&lt;="&amp;$B156,BD!$X$3:$X$5001,"&lt;&gt;")=0,"",SUMIFS(BD!$X$3:$X$5001,BD!$B$3:$B$5001,H$140,BD!$A$3:$A$5001,_xlfn.MAXIFS(BD!$A$3:$A$5001,BD!$B$3:$B$5001,H$140,BD!$A$3:$A$5001,"&gt;="&amp;$C$7,BD!$A$3:$A$5001,"&lt;="&amp;$B156,BD!$X$3:$X$5001,"&lt;&gt;"))))</f>
        <v/>
      </c>
      <c r="I156" s="43" t="str">
        <f>IF(OR($B156="",$A156&gt;$B$9,I$140=""),"",IF(COUNTIFS(BD!$B$3:$B$5001,I$140,BD!$A$3:$A$5001,"&gt;="&amp;$C$7,BD!$A$3:$A$5001,"&lt;="&amp;$B156,BD!$X$3:$X$5001,"&lt;&gt;")=0,"",SUMIFS(BD!$X$3:$X$5001,BD!$B$3:$B$5001,I$140,BD!$A$3:$A$5001,_xlfn.MAXIFS(BD!$A$3:$A$5001,BD!$B$3:$B$5001,I$140,BD!$A$3:$A$5001,"&gt;="&amp;$C$7,BD!$A$3:$A$5001,"&lt;="&amp;$B156,BD!$X$3:$X$5001,"&lt;&gt;"))))</f>
        <v/>
      </c>
      <c r="J156" s="43" t="str">
        <f>IF(OR($B156="",$A156&gt;$B$9,J$140=""),"",IF(COUNTIFS(BD!$B$3:$B$5001,J$140,BD!$A$3:$A$5001,"&gt;="&amp;$C$7,BD!$A$3:$A$5001,"&lt;="&amp;$B156,BD!$X$3:$X$5001,"&lt;&gt;")=0,"",SUMIFS(BD!$X$3:$X$5001,BD!$B$3:$B$5001,J$140,BD!$A$3:$A$5001,_xlfn.MAXIFS(BD!$A$3:$A$5001,BD!$B$3:$B$5001,J$140,BD!$A$3:$A$5001,"&gt;="&amp;$C$7,BD!$A$3:$A$5001,"&lt;="&amp;$B156,BD!$X$3:$X$5001,"&lt;&gt;"))))</f>
        <v/>
      </c>
      <c r="K156" s="43" t="str">
        <f>IF(OR($B156="",$A156&gt;$B$9,K$140=""),"",IF(COUNTIFS(BD!$B$3:$B$5001,K$140,BD!$A$3:$A$5001,"&gt;="&amp;$C$7,BD!$A$3:$A$5001,"&lt;="&amp;$B156,BD!$X$3:$X$5001,"&lt;&gt;")=0,"",SUMIFS(BD!$X$3:$X$5001,BD!$B$3:$B$5001,K$140,BD!$A$3:$A$5001,_xlfn.MAXIFS(BD!$A$3:$A$5001,BD!$B$3:$B$5001,K$140,BD!$A$3:$A$5001,"&gt;="&amp;$C$7,BD!$A$3:$A$5001,"&lt;="&amp;$B156,BD!$X$3:$X$5001,"&lt;&gt;"))))</f>
        <v/>
      </c>
      <c r="L156" s="43" t="str">
        <f>IF(OR($B156="",$A156&gt;$B$9,L$140=""),"",IF(COUNTIFS(BD!$B$3:$B$5001,L$140,BD!$A$3:$A$5001,"&gt;="&amp;$C$7,BD!$A$3:$A$5001,"&lt;="&amp;$B156,BD!$X$3:$X$5001,"&lt;&gt;")=0,"",SUMIFS(BD!$X$3:$X$5001,BD!$B$3:$B$5001,L$140,BD!$A$3:$A$5001,_xlfn.MAXIFS(BD!$A$3:$A$5001,BD!$B$3:$B$5001,L$140,BD!$A$3:$A$5001,"&gt;="&amp;$C$7,BD!$A$3:$A$5001,"&lt;="&amp;$B156,BD!$X$3:$X$5001,"&lt;&gt;"))))</f>
        <v/>
      </c>
      <c r="M156" s="43" t="str">
        <f>IF(OR($B156="",$A156&gt;$B$9,M$140=""),"",IF(COUNTIFS(BD!$B$3:$B$5001,M$140,BD!$A$3:$A$5001,"&gt;="&amp;$C$7,BD!$A$3:$A$5001,"&lt;="&amp;$B156,BD!$X$3:$X$5001,"&lt;&gt;")=0,"",SUMIFS(BD!$X$3:$X$5001,BD!$B$3:$B$5001,M$140,BD!$A$3:$A$5001,_xlfn.MAXIFS(BD!$A$3:$A$5001,BD!$B$3:$B$5001,M$140,BD!$A$3:$A$5001,"&gt;="&amp;$C$7,BD!$A$3:$A$5001,"&lt;="&amp;$B156,BD!$X$3:$X$5001,"&lt;&gt;"))))</f>
        <v/>
      </c>
      <c r="N156" s="43" t="str">
        <f>IF(OR($B156="",$A156&gt;$B$9,N$140=""),"",IF(COUNTIFS(BD!$B$3:$B$5001,N$140,BD!$A$3:$A$5001,"&gt;="&amp;$C$7,BD!$A$3:$A$5001,"&lt;="&amp;$B156,BD!$X$3:$X$5001,"&lt;&gt;")=0,"",SUMIFS(BD!$X$3:$X$5001,BD!$B$3:$B$5001,N$140,BD!$A$3:$A$5001,_xlfn.MAXIFS(BD!$A$3:$A$5001,BD!$B$3:$B$5001,N$140,BD!$A$3:$A$5001,"&gt;="&amp;$C$7,BD!$A$3:$A$5001,"&lt;="&amp;$B156,BD!$X$3:$X$5001,"&lt;&gt;"))))</f>
        <v/>
      </c>
      <c r="O156" s="43" t="str">
        <f>IF(OR($B156="",$A156&gt;$B$9,O$140=""),"",IF(COUNTIFS(BD!$B$3:$B$5001,O$140,BD!$A$3:$A$5001,"&gt;="&amp;$C$7,BD!$A$3:$A$5001,"&lt;="&amp;$B156,BD!$X$3:$X$5001,"&lt;&gt;")=0,"",SUMIFS(BD!$X$3:$X$5001,BD!$B$3:$B$5001,O$140,BD!$A$3:$A$5001,_xlfn.MAXIFS(BD!$A$3:$A$5001,BD!$B$3:$B$5001,O$140,BD!$A$3:$A$5001,"&gt;="&amp;$C$7,BD!$A$3:$A$5001,"&lt;="&amp;$B156,BD!$X$3:$X$5001,"&lt;&gt;"))))</f>
        <v/>
      </c>
      <c r="P156" s="43" t="str">
        <f>IF(OR($B156="",$A156&gt;$B$9,P$140=""),"",IF(COUNTIFS(BD!$B$3:$B$5001,P$140,BD!$A$3:$A$5001,"&gt;="&amp;$C$7,BD!$A$3:$A$5001,"&lt;="&amp;$B156,BD!$X$3:$X$5001,"&lt;&gt;")=0,"",SUMIFS(BD!$X$3:$X$5001,BD!$B$3:$B$5001,P$140,BD!$A$3:$A$5001,_xlfn.MAXIFS(BD!$A$3:$A$5001,BD!$B$3:$B$5001,P$140,BD!$A$3:$A$5001,"&gt;="&amp;$C$7,BD!$A$3:$A$5001,"&lt;="&amp;$B156,BD!$X$3:$X$5001,"&lt;&gt;"))))</f>
        <v/>
      </c>
      <c r="Q156" s="43" t="str">
        <f>IF(OR($B156="",$A156&gt;$B$9,Q$140=""),"",IF(COUNTIFS(BD!$B$3:$B$5001,Q$140,BD!$A$3:$A$5001,"&gt;="&amp;$C$7,BD!$A$3:$A$5001,"&lt;="&amp;$B156,BD!$X$3:$X$5001,"&lt;&gt;")=0,"",SUMIFS(BD!$X$3:$X$5001,BD!$B$3:$B$5001,Q$140,BD!$A$3:$A$5001,_xlfn.MAXIFS(BD!$A$3:$A$5001,BD!$B$3:$B$5001,Q$140,BD!$A$3:$A$5001,"&gt;="&amp;$C$7,BD!$A$3:$A$5001,"&lt;="&amp;$B156,BD!$X$3:$X$5001,"&lt;&gt;"))))</f>
        <v/>
      </c>
      <c r="R156" s="43" t="str">
        <f>IF(OR($B156="",$A156&gt;$B$9,R$140=""),"",IF(COUNTIFS(BD!$B$3:$B$5001,R$140,BD!$A$3:$A$5001,"&gt;="&amp;$C$7,BD!$A$3:$A$5001,"&lt;="&amp;$B156,BD!$X$3:$X$5001,"&lt;&gt;")=0,"",SUMIFS(BD!$X$3:$X$5001,BD!$B$3:$B$5001,R$140,BD!$A$3:$A$5001,_xlfn.MAXIFS(BD!$A$3:$A$5001,BD!$B$3:$B$5001,R$140,BD!$A$3:$A$5001,"&gt;="&amp;$C$7,BD!$A$3:$A$5001,"&lt;="&amp;$B156,BD!$X$3:$X$5001,"&lt;&gt;"))))</f>
        <v/>
      </c>
      <c r="S156" s="43" t="str">
        <f>IF(OR($B156="",$A156&gt;$B$9,S$140=""),"",IF(COUNTIFS(BD!$B$3:$B$5001,S$140,BD!$A$3:$A$5001,"&gt;="&amp;$C$7,BD!$A$3:$A$5001,"&lt;="&amp;$B156,BD!$X$3:$X$5001,"&lt;&gt;")=0,"",SUMIFS(BD!$X$3:$X$5001,BD!$B$3:$B$5001,S$140,BD!$A$3:$A$5001,_xlfn.MAXIFS(BD!$A$3:$A$5001,BD!$B$3:$B$5001,S$140,BD!$A$3:$A$5001,"&gt;="&amp;$C$7,BD!$A$3:$A$5001,"&lt;="&amp;$B156,BD!$X$3:$X$5001,"&lt;&gt;"))))</f>
        <v/>
      </c>
      <c r="T156" s="43" t="str">
        <f>IF(OR($B156="",$A156&gt;$B$9,T$140=""),"",IF(COUNTIFS(BD!$B$3:$B$5001,T$140,BD!$A$3:$A$5001,"&gt;="&amp;$C$7,BD!$A$3:$A$5001,"&lt;="&amp;$B156,BD!$X$3:$X$5001,"&lt;&gt;")=0,"",SUMIFS(BD!$X$3:$X$5001,BD!$B$3:$B$5001,T$140,BD!$A$3:$A$5001,_xlfn.MAXIFS(BD!$A$3:$A$5001,BD!$B$3:$B$5001,T$140,BD!$A$3:$A$5001,"&gt;="&amp;$C$7,BD!$A$3:$A$5001,"&lt;="&amp;$B156,BD!$X$3:$X$5001,"&lt;&gt;"))))</f>
        <v/>
      </c>
      <c r="U156" s="43" t="str">
        <f>IF(OR($B156="",$A156&gt;$B$9,U$140=""),"",IF(COUNTIFS(BD!$B$3:$B$5001,U$140,BD!$A$3:$A$5001,"&gt;="&amp;$C$7,BD!$A$3:$A$5001,"&lt;="&amp;$B156,BD!$X$3:$X$5001,"&lt;&gt;")=0,"",SUMIFS(BD!$X$3:$X$5001,BD!$B$3:$B$5001,U$140,BD!$A$3:$A$5001,_xlfn.MAXIFS(BD!$A$3:$A$5001,BD!$B$3:$B$5001,U$140,BD!$A$3:$A$5001,"&gt;="&amp;$C$7,BD!$A$3:$A$5001,"&lt;="&amp;$B156,BD!$X$3:$X$5001,"&lt;&gt;"))))</f>
        <v/>
      </c>
      <c r="V156" s="43" t="str">
        <f>IF(OR($B156="",$A156&gt;$B$9,V$140=""),"",IF(COUNTIFS(BD!$B$3:$B$5001,V$140,BD!$A$3:$A$5001,"&gt;="&amp;$C$7,BD!$A$3:$A$5001,"&lt;="&amp;$B156,BD!$X$3:$X$5001,"&lt;&gt;")=0,"",SUMIFS(BD!$X$3:$X$5001,BD!$B$3:$B$5001,V$140,BD!$A$3:$A$5001,_xlfn.MAXIFS(BD!$A$3:$A$5001,BD!$B$3:$B$5001,V$140,BD!$A$3:$A$5001,"&gt;="&amp;$C$7,BD!$A$3:$A$5001,"&lt;="&amp;$B156,BD!$X$3:$X$5001,"&lt;&gt;"))))</f>
        <v/>
      </c>
    </row>
    <row r="157">
      <c r="A157" s="38">
        <v>17</v>
      </c>
      <c r="B157" s="42">
        <f>$B$28</f>
        <v>46312</v>
      </c>
      <c r="C157" s="43" t="str">
        <f>IF(OR($B157="",$A157&gt;$B$9,C$140=""),"",IF(COUNTIFS(BD!$B$3:$B$5001,C$140,BD!$A$3:$A$5001,"&gt;="&amp;$C$7,BD!$A$3:$A$5001,"&lt;="&amp;$B157,BD!$X$3:$X$5001,"&lt;&gt;")=0,"",SUMIFS(BD!$X$3:$X$5001,BD!$B$3:$B$5001,C$140,BD!$A$3:$A$5001,_xlfn.MAXIFS(BD!$A$3:$A$5001,BD!$B$3:$B$5001,C$140,BD!$A$3:$A$5001,"&gt;="&amp;$C$7,BD!$A$3:$A$5001,"&lt;="&amp;$B157,BD!$X$3:$X$5001,"&lt;&gt;"))))</f>
        <v/>
      </c>
      <c r="D157" s="43" t="str">
        <f>IF(OR($B157="",$A157&gt;$B$9,D$140=""),"",IF(COUNTIFS(BD!$B$3:$B$5001,D$140,BD!$A$3:$A$5001,"&gt;="&amp;$C$7,BD!$A$3:$A$5001,"&lt;="&amp;$B157,BD!$X$3:$X$5001,"&lt;&gt;")=0,"",SUMIFS(BD!$X$3:$X$5001,BD!$B$3:$B$5001,D$140,BD!$A$3:$A$5001,_xlfn.MAXIFS(BD!$A$3:$A$5001,BD!$B$3:$B$5001,D$140,BD!$A$3:$A$5001,"&gt;="&amp;$C$7,BD!$A$3:$A$5001,"&lt;="&amp;$B157,BD!$X$3:$X$5001,"&lt;&gt;"))))</f>
        <v/>
      </c>
      <c r="E157" s="43" t="str">
        <f>IF(OR($B157="",$A157&gt;$B$9,E$140=""),"",IF(COUNTIFS(BD!$B$3:$B$5001,E$140,BD!$A$3:$A$5001,"&gt;="&amp;$C$7,BD!$A$3:$A$5001,"&lt;="&amp;$B157,BD!$X$3:$X$5001,"&lt;&gt;")=0,"",SUMIFS(BD!$X$3:$X$5001,BD!$B$3:$B$5001,E$140,BD!$A$3:$A$5001,_xlfn.MAXIFS(BD!$A$3:$A$5001,BD!$B$3:$B$5001,E$140,BD!$A$3:$A$5001,"&gt;="&amp;$C$7,BD!$A$3:$A$5001,"&lt;="&amp;$B157,BD!$X$3:$X$5001,"&lt;&gt;"))))</f>
        <v/>
      </c>
      <c r="F157" s="43" t="str">
        <f>IF(OR($B157="",$A157&gt;$B$9,F$140=""),"",IF(COUNTIFS(BD!$B$3:$B$5001,F$140,BD!$A$3:$A$5001,"&gt;="&amp;$C$7,BD!$A$3:$A$5001,"&lt;="&amp;$B157,BD!$X$3:$X$5001,"&lt;&gt;")=0,"",SUMIFS(BD!$X$3:$X$5001,BD!$B$3:$B$5001,F$140,BD!$A$3:$A$5001,_xlfn.MAXIFS(BD!$A$3:$A$5001,BD!$B$3:$B$5001,F$140,BD!$A$3:$A$5001,"&gt;="&amp;$C$7,BD!$A$3:$A$5001,"&lt;="&amp;$B157,BD!$X$3:$X$5001,"&lt;&gt;"))))</f>
        <v/>
      </c>
      <c r="G157" s="43" t="str">
        <f>IF(OR($B157="",$A157&gt;$B$9,G$140=""),"",IF(COUNTIFS(BD!$B$3:$B$5001,G$140,BD!$A$3:$A$5001,"&gt;="&amp;$C$7,BD!$A$3:$A$5001,"&lt;="&amp;$B157,BD!$X$3:$X$5001,"&lt;&gt;")=0,"",SUMIFS(BD!$X$3:$X$5001,BD!$B$3:$B$5001,G$140,BD!$A$3:$A$5001,_xlfn.MAXIFS(BD!$A$3:$A$5001,BD!$B$3:$B$5001,G$140,BD!$A$3:$A$5001,"&gt;="&amp;$C$7,BD!$A$3:$A$5001,"&lt;="&amp;$B157,BD!$X$3:$X$5001,"&lt;&gt;"))))</f>
        <v/>
      </c>
      <c r="H157" s="43" t="str">
        <f>IF(OR($B157="",$A157&gt;$B$9,H$140=""),"",IF(COUNTIFS(BD!$B$3:$B$5001,H$140,BD!$A$3:$A$5001,"&gt;="&amp;$C$7,BD!$A$3:$A$5001,"&lt;="&amp;$B157,BD!$X$3:$X$5001,"&lt;&gt;")=0,"",SUMIFS(BD!$X$3:$X$5001,BD!$B$3:$B$5001,H$140,BD!$A$3:$A$5001,_xlfn.MAXIFS(BD!$A$3:$A$5001,BD!$B$3:$B$5001,H$140,BD!$A$3:$A$5001,"&gt;="&amp;$C$7,BD!$A$3:$A$5001,"&lt;="&amp;$B157,BD!$X$3:$X$5001,"&lt;&gt;"))))</f>
        <v/>
      </c>
      <c r="I157" s="43" t="str">
        <f>IF(OR($B157="",$A157&gt;$B$9,I$140=""),"",IF(COUNTIFS(BD!$B$3:$B$5001,I$140,BD!$A$3:$A$5001,"&gt;="&amp;$C$7,BD!$A$3:$A$5001,"&lt;="&amp;$B157,BD!$X$3:$X$5001,"&lt;&gt;")=0,"",SUMIFS(BD!$X$3:$X$5001,BD!$B$3:$B$5001,I$140,BD!$A$3:$A$5001,_xlfn.MAXIFS(BD!$A$3:$A$5001,BD!$B$3:$B$5001,I$140,BD!$A$3:$A$5001,"&gt;="&amp;$C$7,BD!$A$3:$A$5001,"&lt;="&amp;$B157,BD!$X$3:$X$5001,"&lt;&gt;"))))</f>
        <v/>
      </c>
      <c r="J157" s="43" t="str">
        <f>IF(OR($B157="",$A157&gt;$B$9,J$140=""),"",IF(COUNTIFS(BD!$B$3:$B$5001,J$140,BD!$A$3:$A$5001,"&gt;="&amp;$C$7,BD!$A$3:$A$5001,"&lt;="&amp;$B157,BD!$X$3:$X$5001,"&lt;&gt;")=0,"",SUMIFS(BD!$X$3:$X$5001,BD!$B$3:$B$5001,J$140,BD!$A$3:$A$5001,_xlfn.MAXIFS(BD!$A$3:$A$5001,BD!$B$3:$B$5001,J$140,BD!$A$3:$A$5001,"&gt;="&amp;$C$7,BD!$A$3:$A$5001,"&lt;="&amp;$B157,BD!$X$3:$X$5001,"&lt;&gt;"))))</f>
        <v/>
      </c>
      <c r="K157" s="43" t="str">
        <f>IF(OR($B157="",$A157&gt;$B$9,K$140=""),"",IF(COUNTIFS(BD!$B$3:$B$5001,K$140,BD!$A$3:$A$5001,"&gt;="&amp;$C$7,BD!$A$3:$A$5001,"&lt;="&amp;$B157,BD!$X$3:$X$5001,"&lt;&gt;")=0,"",SUMIFS(BD!$X$3:$X$5001,BD!$B$3:$B$5001,K$140,BD!$A$3:$A$5001,_xlfn.MAXIFS(BD!$A$3:$A$5001,BD!$B$3:$B$5001,K$140,BD!$A$3:$A$5001,"&gt;="&amp;$C$7,BD!$A$3:$A$5001,"&lt;="&amp;$B157,BD!$X$3:$X$5001,"&lt;&gt;"))))</f>
        <v/>
      </c>
      <c r="L157" s="43" t="str">
        <f>IF(OR($B157="",$A157&gt;$B$9,L$140=""),"",IF(COUNTIFS(BD!$B$3:$B$5001,L$140,BD!$A$3:$A$5001,"&gt;="&amp;$C$7,BD!$A$3:$A$5001,"&lt;="&amp;$B157,BD!$X$3:$X$5001,"&lt;&gt;")=0,"",SUMIFS(BD!$X$3:$X$5001,BD!$B$3:$B$5001,L$140,BD!$A$3:$A$5001,_xlfn.MAXIFS(BD!$A$3:$A$5001,BD!$B$3:$B$5001,L$140,BD!$A$3:$A$5001,"&gt;="&amp;$C$7,BD!$A$3:$A$5001,"&lt;="&amp;$B157,BD!$X$3:$X$5001,"&lt;&gt;"))))</f>
        <v/>
      </c>
      <c r="M157" s="43" t="str">
        <f>IF(OR($B157="",$A157&gt;$B$9,M$140=""),"",IF(COUNTIFS(BD!$B$3:$B$5001,M$140,BD!$A$3:$A$5001,"&gt;="&amp;$C$7,BD!$A$3:$A$5001,"&lt;="&amp;$B157,BD!$X$3:$X$5001,"&lt;&gt;")=0,"",SUMIFS(BD!$X$3:$X$5001,BD!$B$3:$B$5001,M$140,BD!$A$3:$A$5001,_xlfn.MAXIFS(BD!$A$3:$A$5001,BD!$B$3:$B$5001,M$140,BD!$A$3:$A$5001,"&gt;="&amp;$C$7,BD!$A$3:$A$5001,"&lt;="&amp;$B157,BD!$X$3:$X$5001,"&lt;&gt;"))))</f>
        <v/>
      </c>
      <c r="N157" s="43" t="str">
        <f>IF(OR($B157="",$A157&gt;$B$9,N$140=""),"",IF(COUNTIFS(BD!$B$3:$B$5001,N$140,BD!$A$3:$A$5001,"&gt;="&amp;$C$7,BD!$A$3:$A$5001,"&lt;="&amp;$B157,BD!$X$3:$X$5001,"&lt;&gt;")=0,"",SUMIFS(BD!$X$3:$X$5001,BD!$B$3:$B$5001,N$140,BD!$A$3:$A$5001,_xlfn.MAXIFS(BD!$A$3:$A$5001,BD!$B$3:$B$5001,N$140,BD!$A$3:$A$5001,"&gt;="&amp;$C$7,BD!$A$3:$A$5001,"&lt;="&amp;$B157,BD!$X$3:$X$5001,"&lt;&gt;"))))</f>
        <v/>
      </c>
      <c r="O157" s="43" t="str">
        <f>IF(OR($B157="",$A157&gt;$B$9,O$140=""),"",IF(COUNTIFS(BD!$B$3:$B$5001,O$140,BD!$A$3:$A$5001,"&gt;="&amp;$C$7,BD!$A$3:$A$5001,"&lt;="&amp;$B157,BD!$X$3:$X$5001,"&lt;&gt;")=0,"",SUMIFS(BD!$X$3:$X$5001,BD!$B$3:$B$5001,O$140,BD!$A$3:$A$5001,_xlfn.MAXIFS(BD!$A$3:$A$5001,BD!$B$3:$B$5001,O$140,BD!$A$3:$A$5001,"&gt;="&amp;$C$7,BD!$A$3:$A$5001,"&lt;="&amp;$B157,BD!$X$3:$X$5001,"&lt;&gt;"))))</f>
        <v/>
      </c>
      <c r="P157" s="43" t="str">
        <f>IF(OR($B157="",$A157&gt;$B$9,P$140=""),"",IF(COUNTIFS(BD!$B$3:$B$5001,P$140,BD!$A$3:$A$5001,"&gt;="&amp;$C$7,BD!$A$3:$A$5001,"&lt;="&amp;$B157,BD!$X$3:$X$5001,"&lt;&gt;")=0,"",SUMIFS(BD!$X$3:$X$5001,BD!$B$3:$B$5001,P$140,BD!$A$3:$A$5001,_xlfn.MAXIFS(BD!$A$3:$A$5001,BD!$B$3:$B$5001,P$140,BD!$A$3:$A$5001,"&gt;="&amp;$C$7,BD!$A$3:$A$5001,"&lt;="&amp;$B157,BD!$X$3:$X$5001,"&lt;&gt;"))))</f>
        <v/>
      </c>
      <c r="Q157" s="43" t="str">
        <f>IF(OR($B157="",$A157&gt;$B$9,Q$140=""),"",IF(COUNTIFS(BD!$B$3:$B$5001,Q$140,BD!$A$3:$A$5001,"&gt;="&amp;$C$7,BD!$A$3:$A$5001,"&lt;="&amp;$B157,BD!$X$3:$X$5001,"&lt;&gt;")=0,"",SUMIFS(BD!$X$3:$X$5001,BD!$B$3:$B$5001,Q$140,BD!$A$3:$A$5001,_xlfn.MAXIFS(BD!$A$3:$A$5001,BD!$B$3:$B$5001,Q$140,BD!$A$3:$A$5001,"&gt;="&amp;$C$7,BD!$A$3:$A$5001,"&lt;="&amp;$B157,BD!$X$3:$X$5001,"&lt;&gt;"))))</f>
        <v/>
      </c>
      <c r="R157" s="43" t="str">
        <f>IF(OR($B157="",$A157&gt;$B$9,R$140=""),"",IF(COUNTIFS(BD!$B$3:$B$5001,R$140,BD!$A$3:$A$5001,"&gt;="&amp;$C$7,BD!$A$3:$A$5001,"&lt;="&amp;$B157,BD!$X$3:$X$5001,"&lt;&gt;")=0,"",SUMIFS(BD!$X$3:$X$5001,BD!$B$3:$B$5001,R$140,BD!$A$3:$A$5001,_xlfn.MAXIFS(BD!$A$3:$A$5001,BD!$B$3:$B$5001,R$140,BD!$A$3:$A$5001,"&gt;="&amp;$C$7,BD!$A$3:$A$5001,"&lt;="&amp;$B157,BD!$X$3:$X$5001,"&lt;&gt;"))))</f>
        <v/>
      </c>
      <c r="S157" s="43" t="str">
        <f>IF(OR($B157="",$A157&gt;$B$9,S$140=""),"",IF(COUNTIFS(BD!$B$3:$B$5001,S$140,BD!$A$3:$A$5001,"&gt;="&amp;$C$7,BD!$A$3:$A$5001,"&lt;="&amp;$B157,BD!$X$3:$X$5001,"&lt;&gt;")=0,"",SUMIFS(BD!$X$3:$X$5001,BD!$B$3:$B$5001,S$140,BD!$A$3:$A$5001,_xlfn.MAXIFS(BD!$A$3:$A$5001,BD!$B$3:$B$5001,S$140,BD!$A$3:$A$5001,"&gt;="&amp;$C$7,BD!$A$3:$A$5001,"&lt;="&amp;$B157,BD!$X$3:$X$5001,"&lt;&gt;"))))</f>
        <v/>
      </c>
      <c r="T157" s="43" t="str">
        <f>IF(OR($B157="",$A157&gt;$B$9,T$140=""),"",IF(COUNTIFS(BD!$B$3:$B$5001,T$140,BD!$A$3:$A$5001,"&gt;="&amp;$C$7,BD!$A$3:$A$5001,"&lt;="&amp;$B157,BD!$X$3:$X$5001,"&lt;&gt;")=0,"",SUMIFS(BD!$X$3:$X$5001,BD!$B$3:$B$5001,T$140,BD!$A$3:$A$5001,_xlfn.MAXIFS(BD!$A$3:$A$5001,BD!$B$3:$B$5001,T$140,BD!$A$3:$A$5001,"&gt;="&amp;$C$7,BD!$A$3:$A$5001,"&lt;="&amp;$B157,BD!$X$3:$X$5001,"&lt;&gt;"))))</f>
        <v/>
      </c>
      <c r="U157" s="43" t="str">
        <f>IF(OR($B157="",$A157&gt;$B$9,U$140=""),"",IF(COUNTIFS(BD!$B$3:$B$5001,U$140,BD!$A$3:$A$5001,"&gt;="&amp;$C$7,BD!$A$3:$A$5001,"&lt;="&amp;$B157,BD!$X$3:$X$5001,"&lt;&gt;")=0,"",SUMIFS(BD!$X$3:$X$5001,BD!$B$3:$B$5001,U$140,BD!$A$3:$A$5001,_xlfn.MAXIFS(BD!$A$3:$A$5001,BD!$B$3:$B$5001,U$140,BD!$A$3:$A$5001,"&gt;="&amp;$C$7,BD!$A$3:$A$5001,"&lt;="&amp;$B157,BD!$X$3:$X$5001,"&lt;&gt;"))))</f>
        <v/>
      </c>
      <c r="V157" s="43" t="str">
        <f>IF(OR($B157="",$A157&gt;$B$9,V$140=""),"",IF(COUNTIFS(BD!$B$3:$B$5001,V$140,BD!$A$3:$A$5001,"&gt;="&amp;$C$7,BD!$A$3:$A$5001,"&lt;="&amp;$B157,BD!$X$3:$X$5001,"&lt;&gt;")=0,"",SUMIFS(BD!$X$3:$X$5001,BD!$B$3:$B$5001,V$140,BD!$A$3:$A$5001,_xlfn.MAXIFS(BD!$A$3:$A$5001,BD!$B$3:$B$5001,V$140,BD!$A$3:$A$5001,"&gt;="&amp;$C$7,BD!$A$3:$A$5001,"&lt;="&amp;$B157,BD!$X$3:$X$5001,"&lt;&gt;"))))</f>
        <v/>
      </c>
    </row>
    <row r="158">
      <c r="A158" s="38">
        <v>18</v>
      </c>
      <c r="B158" s="42">
        <f>$B$29</f>
        <v>46313</v>
      </c>
      <c r="C158" s="43" t="str">
        <f>IF(OR($B158="",$A158&gt;$B$9,C$140=""),"",IF(COUNTIFS(BD!$B$3:$B$5001,C$140,BD!$A$3:$A$5001,"&gt;="&amp;$C$7,BD!$A$3:$A$5001,"&lt;="&amp;$B158,BD!$X$3:$X$5001,"&lt;&gt;")=0,"",SUMIFS(BD!$X$3:$X$5001,BD!$B$3:$B$5001,C$140,BD!$A$3:$A$5001,_xlfn.MAXIFS(BD!$A$3:$A$5001,BD!$B$3:$B$5001,C$140,BD!$A$3:$A$5001,"&gt;="&amp;$C$7,BD!$A$3:$A$5001,"&lt;="&amp;$B158,BD!$X$3:$X$5001,"&lt;&gt;"))))</f>
        <v/>
      </c>
      <c r="D158" s="43" t="str">
        <f>IF(OR($B158="",$A158&gt;$B$9,D$140=""),"",IF(COUNTIFS(BD!$B$3:$B$5001,D$140,BD!$A$3:$A$5001,"&gt;="&amp;$C$7,BD!$A$3:$A$5001,"&lt;="&amp;$B158,BD!$X$3:$X$5001,"&lt;&gt;")=0,"",SUMIFS(BD!$X$3:$X$5001,BD!$B$3:$B$5001,D$140,BD!$A$3:$A$5001,_xlfn.MAXIFS(BD!$A$3:$A$5001,BD!$B$3:$B$5001,D$140,BD!$A$3:$A$5001,"&gt;="&amp;$C$7,BD!$A$3:$A$5001,"&lt;="&amp;$B158,BD!$X$3:$X$5001,"&lt;&gt;"))))</f>
        <v/>
      </c>
      <c r="E158" s="43" t="str">
        <f>IF(OR($B158="",$A158&gt;$B$9,E$140=""),"",IF(COUNTIFS(BD!$B$3:$B$5001,E$140,BD!$A$3:$A$5001,"&gt;="&amp;$C$7,BD!$A$3:$A$5001,"&lt;="&amp;$B158,BD!$X$3:$X$5001,"&lt;&gt;")=0,"",SUMIFS(BD!$X$3:$X$5001,BD!$B$3:$B$5001,E$140,BD!$A$3:$A$5001,_xlfn.MAXIFS(BD!$A$3:$A$5001,BD!$B$3:$B$5001,E$140,BD!$A$3:$A$5001,"&gt;="&amp;$C$7,BD!$A$3:$A$5001,"&lt;="&amp;$B158,BD!$X$3:$X$5001,"&lt;&gt;"))))</f>
        <v/>
      </c>
      <c r="F158" s="43" t="str">
        <f>IF(OR($B158="",$A158&gt;$B$9,F$140=""),"",IF(COUNTIFS(BD!$B$3:$B$5001,F$140,BD!$A$3:$A$5001,"&gt;="&amp;$C$7,BD!$A$3:$A$5001,"&lt;="&amp;$B158,BD!$X$3:$X$5001,"&lt;&gt;")=0,"",SUMIFS(BD!$X$3:$X$5001,BD!$B$3:$B$5001,F$140,BD!$A$3:$A$5001,_xlfn.MAXIFS(BD!$A$3:$A$5001,BD!$B$3:$B$5001,F$140,BD!$A$3:$A$5001,"&gt;="&amp;$C$7,BD!$A$3:$A$5001,"&lt;="&amp;$B158,BD!$X$3:$X$5001,"&lt;&gt;"))))</f>
        <v/>
      </c>
      <c r="G158" s="43" t="str">
        <f>IF(OR($B158="",$A158&gt;$B$9,G$140=""),"",IF(COUNTIFS(BD!$B$3:$B$5001,G$140,BD!$A$3:$A$5001,"&gt;="&amp;$C$7,BD!$A$3:$A$5001,"&lt;="&amp;$B158,BD!$X$3:$X$5001,"&lt;&gt;")=0,"",SUMIFS(BD!$X$3:$X$5001,BD!$B$3:$B$5001,G$140,BD!$A$3:$A$5001,_xlfn.MAXIFS(BD!$A$3:$A$5001,BD!$B$3:$B$5001,G$140,BD!$A$3:$A$5001,"&gt;="&amp;$C$7,BD!$A$3:$A$5001,"&lt;="&amp;$B158,BD!$X$3:$X$5001,"&lt;&gt;"))))</f>
        <v/>
      </c>
      <c r="H158" s="43" t="str">
        <f>IF(OR($B158="",$A158&gt;$B$9,H$140=""),"",IF(COUNTIFS(BD!$B$3:$B$5001,H$140,BD!$A$3:$A$5001,"&gt;="&amp;$C$7,BD!$A$3:$A$5001,"&lt;="&amp;$B158,BD!$X$3:$X$5001,"&lt;&gt;")=0,"",SUMIFS(BD!$X$3:$X$5001,BD!$B$3:$B$5001,H$140,BD!$A$3:$A$5001,_xlfn.MAXIFS(BD!$A$3:$A$5001,BD!$B$3:$B$5001,H$140,BD!$A$3:$A$5001,"&gt;="&amp;$C$7,BD!$A$3:$A$5001,"&lt;="&amp;$B158,BD!$X$3:$X$5001,"&lt;&gt;"))))</f>
        <v/>
      </c>
      <c r="I158" s="43" t="str">
        <f>IF(OR($B158="",$A158&gt;$B$9,I$140=""),"",IF(COUNTIFS(BD!$B$3:$B$5001,I$140,BD!$A$3:$A$5001,"&gt;="&amp;$C$7,BD!$A$3:$A$5001,"&lt;="&amp;$B158,BD!$X$3:$X$5001,"&lt;&gt;")=0,"",SUMIFS(BD!$X$3:$X$5001,BD!$B$3:$B$5001,I$140,BD!$A$3:$A$5001,_xlfn.MAXIFS(BD!$A$3:$A$5001,BD!$B$3:$B$5001,I$140,BD!$A$3:$A$5001,"&gt;="&amp;$C$7,BD!$A$3:$A$5001,"&lt;="&amp;$B158,BD!$X$3:$X$5001,"&lt;&gt;"))))</f>
        <v/>
      </c>
      <c r="J158" s="43" t="str">
        <f>IF(OR($B158="",$A158&gt;$B$9,J$140=""),"",IF(COUNTIFS(BD!$B$3:$B$5001,J$140,BD!$A$3:$A$5001,"&gt;="&amp;$C$7,BD!$A$3:$A$5001,"&lt;="&amp;$B158,BD!$X$3:$X$5001,"&lt;&gt;")=0,"",SUMIFS(BD!$X$3:$X$5001,BD!$B$3:$B$5001,J$140,BD!$A$3:$A$5001,_xlfn.MAXIFS(BD!$A$3:$A$5001,BD!$B$3:$B$5001,J$140,BD!$A$3:$A$5001,"&gt;="&amp;$C$7,BD!$A$3:$A$5001,"&lt;="&amp;$B158,BD!$X$3:$X$5001,"&lt;&gt;"))))</f>
        <v/>
      </c>
      <c r="K158" s="43" t="str">
        <f>IF(OR($B158="",$A158&gt;$B$9,K$140=""),"",IF(COUNTIFS(BD!$B$3:$B$5001,K$140,BD!$A$3:$A$5001,"&gt;="&amp;$C$7,BD!$A$3:$A$5001,"&lt;="&amp;$B158,BD!$X$3:$X$5001,"&lt;&gt;")=0,"",SUMIFS(BD!$X$3:$X$5001,BD!$B$3:$B$5001,K$140,BD!$A$3:$A$5001,_xlfn.MAXIFS(BD!$A$3:$A$5001,BD!$B$3:$B$5001,K$140,BD!$A$3:$A$5001,"&gt;="&amp;$C$7,BD!$A$3:$A$5001,"&lt;="&amp;$B158,BD!$X$3:$X$5001,"&lt;&gt;"))))</f>
        <v/>
      </c>
      <c r="L158" s="43" t="str">
        <f>IF(OR($B158="",$A158&gt;$B$9,L$140=""),"",IF(COUNTIFS(BD!$B$3:$B$5001,L$140,BD!$A$3:$A$5001,"&gt;="&amp;$C$7,BD!$A$3:$A$5001,"&lt;="&amp;$B158,BD!$X$3:$X$5001,"&lt;&gt;")=0,"",SUMIFS(BD!$X$3:$X$5001,BD!$B$3:$B$5001,L$140,BD!$A$3:$A$5001,_xlfn.MAXIFS(BD!$A$3:$A$5001,BD!$B$3:$B$5001,L$140,BD!$A$3:$A$5001,"&gt;="&amp;$C$7,BD!$A$3:$A$5001,"&lt;="&amp;$B158,BD!$X$3:$X$5001,"&lt;&gt;"))))</f>
        <v/>
      </c>
      <c r="M158" s="43" t="str">
        <f>IF(OR($B158="",$A158&gt;$B$9,M$140=""),"",IF(COUNTIFS(BD!$B$3:$B$5001,M$140,BD!$A$3:$A$5001,"&gt;="&amp;$C$7,BD!$A$3:$A$5001,"&lt;="&amp;$B158,BD!$X$3:$X$5001,"&lt;&gt;")=0,"",SUMIFS(BD!$X$3:$X$5001,BD!$B$3:$B$5001,M$140,BD!$A$3:$A$5001,_xlfn.MAXIFS(BD!$A$3:$A$5001,BD!$B$3:$B$5001,M$140,BD!$A$3:$A$5001,"&gt;="&amp;$C$7,BD!$A$3:$A$5001,"&lt;="&amp;$B158,BD!$X$3:$X$5001,"&lt;&gt;"))))</f>
        <v/>
      </c>
      <c r="N158" s="43" t="str">
        <f>IF(OR($B158="",$A158&gt;$B$9,N$140=""),"",IF(COUNTIFS(BD!$B$3:$B$5001,N$140,BD!$A$3:$A$5001,"&gt;="&amp;$C$7,BD!$A$3:$A$5001,"&lt;="&amp;$B158,BD!$X$3:$X$5001,"&lt;&gt;")=0,"",SUMIFS(BD!$X$3:$X$5001,BD!$B$3:$B$5001,N$140,BD!$A$3:$A$5001,_xlfn.MAXIFS(BD!$A$3:$A$5001,BD!$B$3:$B$5001,N$140,BD!$A$3:$A$5001,"&gt;="&amp;$C$7,BD!$A$3:$A$5001,"&lt;="&amp;$B158,BD!$X$3:$X$5001,"&lt;&gt;"))))</f>
        <v/>
      </c>
      <c r="O158" s="43" t="str">
        <f>IF(OR($B158="",$A158&gt;$B$9,O$140=""),"",IF(COUNTIFS(BD!$B$3:$B$5001,O$140,BD!$A$3:$A$5001,"&gt;="&amp;$C$7,BD!$A$3:$A$5001,"&lt;="&amp;$B158,BD!$X$3:$X$5001,"&lt;&gt;")=0,"",SUMIFS(BD!$X$3:$X$5001,BD!$B$3:$B$5001,O$140,BD!$A$3:$A$5001,_xlfn.MAXIFS(BD!$A$3:$A$5001,BD!$B$3:$B$5001,O$140,BD!$A$3:$A$5001,"&gt;="&amp;$C$7,BD!$A$3:$A$5001,"&lt;="&amp;$B158,BD!$X$3:$X$5001,"&lt;&gt;"))))</f>
        <v/>
      </c>
      <c r="P158" s="43" t="str">
        <f>IF(OR($B158="",$A158&gt;$B$9,P$140=""),"",IF(COUNTIFS(BD!$B$3:$B$5001,P$140,BD!$A$3:$A$5001,"&gt;="&amp;$C$7,BD!$A$3:$A$5001,"&lt;="&amp;$B158,BD!$X$3:$X$5001,"&lt;&gt;")=0,"",SUMIFS(BD!$X$3:$X$5001,BD!$B$3:$B$5001,P$140,BD!$A$3:$A$5001,_xlfn.MAXIFS(BD!$A$3:$A$5001,BD!$B$3:$B$5001,P$140,BD!$A$3:$A$5001,"&gt;="&amp;$C$7,BD!$A$3:$A$5001,"&lt;="&amp;$B158,BD!$X$3:$X$5001,"&lt;&gt;"))))</f>
        <v/>
      </c>
      <c r="Q158" s="43" t="str">
        <f>IF(OR($B158="",$A158&gt;$B$9,Q$140=""),"",IF(COUNTIFS(BD!$B$3:$B$5001,Q$140,BD!$A$3:$A$5001,"&gt;="&amp;$C$7,BD!$A$3:$A$5001,"&lt;="&amp;$B158,BD!$X$3:$X$5001,"&lt;&gt;")=0,"",SUMIFS(BD!$X$3:$X$5001,BD!$B$3:$B$5001,Q$140,BD!$A$3:$A$5001,_xlfn.MAXIFS(BD!$A$3:$A$5001,BD!$B$3:$B$5001,Q$140,BD!$A$3:$A$5001,"&gt;="&amp;$C$7,BD!$A$3:$A$5001,"&lt;="&amp;$B158,BD!$X$3:$X$5001,"&lt;&gt;"))))</f>
        <v/>
      </c>
      <c r="R158" s="43" t="str">
        <f>IF(OR($B158="",$A158&gt;$B$9,R$140=""),"",IF(COUNTIFS(BD!$B$3:$B$5001,R$140,BD!$A$3:$A$5001,"&gt;="&amp;$C$7,BD!$A$3:$A$5001,"&lt;="&amp;$B158,BD!$X$3:$X$5001,"&lt;&gt;")=0,"",SUMIFS(BD!$X$3:$X$5001,BD!$B$3:$B$5001,R$140,BD!$A$3:$A$5001,_xlfn.MAXIFS(BD!$A$3:$A$5001,BD!$B$3:$B$5001,R$140,BD!$A$3:$A$5001,"&gt;="&amp;$C$7,BD!$A$3:$A$5001,"&lt;="&amp;$B158,BD!$X$3:$X$5001,"&lt;&gt;"))))</f>
        <v/>
      </c>
      <c r="S158" s="43" t="str">
        <f>IF(OR($B158="",$A158&gt;$B$9,S$140=""),"",IF(COUNTIFS(BD!$B$3:$B$5001,S$140,BD!$A$3:$A$5001,"&gt;="&amp;$C$7,BD!$A$3:$A$5001,"&lt;="&amp;$B158,BD!$X$3:$X$5001,"&lt;&gt;")=0,"",SUMIFS(BD!$X$3:$X$5001,BD!$B$3:$B$5001,S$140,BD!$A$3:$A$5001,_xlfn.MAXIFS(BD!$A$3:$A$5001,BD!$B$3:$B$5001,S$140,BD!$A$3:$A$5001,"&gt;="&amp;$C$7,BD!$A$3:$A$5001,"&lt;="&amp;$B158,BD!$X$3:$X$5001,"&lt;&gt;"))))</f>
        <v/>
      </c>
      <c r="T158" s="43" t="str">
        <f>IF(OR($B158="",$A158&gt;$B$9,T$140=""),"",IF(COUNTIFS(BD!$B$3:$B$5001,T$140,BD!$A$3:$A$5001,"&gt;="&amp;$C$7,BD!$A$3:$A$5001,"&lt;="&amp;$B158,BD!$X$3:$X$5001,"&lt;&gt;")=0,"",SUMIFS(BD!$X$3:$X$5001,BD!$B$3:$B$5001,T$140,BD!$A$3:$A$5001,_xlfn.MAXIFS(BD!$A$3:$A$5001,BD!$B$3:$B$5001,T$140,BD!$A$3:$A$5001,"&gt;="&amp;$C$7,BD!$A$3:$A$5001,"&lt;="&amp;$B158,BD!$X$3:$X$5001,"&lt;&gt;"))))</f>
        <v/>
      </c>
      <c r="U158" s="43" t="str">
        <f>IF(OR($B158="",$A158&gt;$B$9,U$140=""),"",IF(COUNTIFS(BD!$B$3:$B$5001,U$140,BD!$A$3:$A$5001,"&gt;="&amp;$C$7,BD!$A$3:$A$5001,"&lt;="&amp;$B158,BD!$X$3:$X$5001,"&lt;&gt;")=0,"",SUMIFS(BD!$X$3:$X$5001,BD!$B$3:$B$5001,U$140,BD!$A$3:$A$5001,_xlfn.MAXIFS(BD!$A$3:$A$5001,BD!$B$3:$B$5001,U$140,BD!$A$3:$A$5001,"&gt;="&amp;$C$7,BD!$A$3:$A$5001,"&lt;="&amp;$B158,BD!$X$3:$X$5001,"&lt;&gt;"))))</f>
        <v/>
      </c>
      <c r="V158" s="43" t="str">
        <f>IF(OR($B158="",$A158&gt;$B$9,V$140=""),"",IF(COUNTIFS(BD!$B$3:$B$5001,V$140,BD!$A$3:$A$5001,"&gt;="&amp;$C$7,BD!$A$3:$A$5001,"&lt;="&amp;$B158,BD!$X$3:$X$5001,"&lt;&gt;")=0,"",SUMIFS(BD!$X$3:$X$5001,BD!$B$3:$B$5001,V$140,BD!$A$3:$A$5001,_xlfn.MAXIFS(BD!$A$3:$A$5001,BD!$B$3:$B$5001,V$140,BD!$A$3:$A$5001,"&gt;="&amp;$C$7,BD!$A$3:$A$5001,"&lt;="&amp;$B158,BD!$X$3:$X$5001,"&lt;&gt;"))))</f>
        <v/>
      </c>
    </row>
    <row r="159">
      <c r="A159" s="38">
        <v>19</v>
      </c>
      <c r="B159" s="42">
        <f>$B$30</f>
        <v>46314</v>
      </c>
      <c r="C159" s="43" t="str">
        <f>IF(OR($B159="",$A159&gt;$B$9,C$140=""),"",IF(COUNTIFS(BD!$B$3:$B$5001,C$140,BD!$A$3:$A$5001,"&gt;="&amp;$C$7,BD!$A$3:$A$5001,"&lt;="&amp;$B159,BD!$X$3:$X$5001,"&lt;&gt;")=0,"",SUMIFS(BD!$X$3:$X$5001,BD!$B$3:$B$5001,C$140,BD!$A$3:$A$5001,_xlfn.MAXIFS(BD!$A$3:$A$5001,BD!$B$3:$B$5001,C$140,BD!$A$3:$A$5001,"&gt;="&amp;$C$7,BD!$A$3:$A$5001,"&lt;="&amp;$B159,BD!$X$3:$X$5001,"&lt;&gt;"))))</f>
        <v/>
      </c>
      <c r="D159" s="43" t="str">
        <f>IF(OR($B159="",$A159&gt;$B$9,D$140=""),"",IF(COUNTIFS(BD!$B$3:$B$5001,D$140,BD!$A$3:$A$5001,"&gt;="&amp;$C$7,BD!$A$3:$A$5001,"&lt;="&amp;$B159,BD!$X$3:$X$5001,"&lt;&gt;")=0,"",SUMIFS(BD!$X$3:$X$5001,BD!$B$3:$B$5001,D$140,BD!$A$3:$A$5001,_xlfn.MAXIFS(BD!$A$3:$A$5001,BD!$B$3:$B$5001,D$140,BD!$A$3:$A$5001,"&gt;="&amp;$C$7,BD!$A$3:$A$5001,"&lt;="&amp;$B159,BD!$X$3:$X$5001,"&lt;&gt;"))))</f>
        <v/>
      </c>
      <c r="E159" s="43" t="str">
        <f>IF(OR($B159="",$A159&gt;$B$9,E$140=""),"",IF(COUNTIFS(BD!$B$3:$B$5001,E$140,BD!$A$3:$A$5001,"&gt;="&amp;$C$7,BD!$A$3:$A$5001,"&lt;="&amp;$B159,BD!$X$3:$X$5001,"&lt;&gt;")=0,"",SUMIFS(BD!$X$3:$X$5001,BD!$B$3:$B$5001,E$140,BD!$A$3:$A$5001,_xlfn.MAXIFS(BD!$A$3:$A$5001,BD!$B$3:$B$5001,E$140,BD!$A$3:$A$5001,"&gt;="&amp;$C$7,BD!$A$3:$A$5001,"&lt;="&amp;$B159,BD!$X$3:$X$5001,"&lt;&gt;"))))</f>
        <v/>
      </c>
      <c r="F159" s="43" t="str">
        <f>IF(OR($B159="",$A159&gt;$B$9,F$140=""),"",IF(COUNTIFS(BD!$B$3:$B$5001,F$140,BD!$A$3:$A$5001,"&gt;="&amp;$C$7,BD!$A$3:$A$5001,"&lt;="&amp;$B159,BD!$X$3:$X$5001,"&lt;&gt;")=0,"",SUMIFS(BD!$X$3:$X$5001,BD!$B$3:$B$5001,F$140,BD!$A$3:$A$5001,_xlfn.MAXIFS(BD!$A$3:$A$5001,BD!$B$3:$B$5001,F$140,BD!$A$3:$A$5001,"&gt;="&amp;$C$7,BD!$A$3:$A$5001,"&lt;="&amp;$B159,BD!$X$3:$X$5001,"&lt;&gt;"))))</f>
        <v/>
      </c>
      <c r="G159" s="43" t="str">
        <f>IF(OR($B159="",$A159&gt;$B$9,G$140=""),"",IF(COUNTIFS(BD!$B$3:$B$5001,G$140,BD!$A$3:$A$5001,"&gt;="&amp;$C$7,BD!$A$3:$A$5001,"&lt;="&amp;$B159,BD!$X$3:$X$5001,"&lt;&gt;")=0,"",SUMIFS(BD!$X$3:$X$5001,BD!$B$3:$B$5001,G$140,BD!$A$3:$A$5001,_xlfn.MAXIFS(BD!$A$3:$A$5001,BD!$B$3:$B$5001,G$140,BD!$A$3:$A$5001,"&gt;="&amp;$C$7,BD!$A$3:$A$5001,"&lt;="&amp;$B159,BD!$X$3:$X$5001,"&lt;&gt;"))))</f>
        <v/>
      </c>
      <c r="H159" s="43" t="str">
        <f>IF(OR($B159="",$A159&gt;$B$9,H$140=""),"",IF(COUNTIFS(BD!$B$3:$B$5001,H$140,BD!$A$3:$A$5001,"&gt;="&amp;$C$7,BD!$A$3:$A$5001,"&lt;="&amp;$B159,BD!$X$3:$X$5001,"&lt;&gt;")=0,"",SUMIFS(BD!$X$3:$X$5001,BD!$B$3:$B$5001,H$140,BD!$A$3:$A$5001,_xlfn.MAXIFS(BD!$A$3:$A$5001,BD!$B$3:$B$5001,H$140,BD!$A$3:$A$5001,"&gt;="&amp;$C$7,BD!$A$3:$A$5001,"&lt;="&amp;$B159,BD!$X$3:$X$5001,"&lt;&gt;"))))</f>
        <v/>
      </c>
      <c r="I159" s="43" t="str">
        <f>IF(OR($B159="",$A159&gt;$B$9,I$140=""),"",IF(COUNTIFS(BD!$B$3:$B$5001,I$140,BD!$A$3:$A$5001,"&gt;="&amp;$C$7,BD!$A$3:$A$5001,"&lt;="&amp;$B159,BD!$X$3:$X$5001,"&lt;&gt;")=0,"",SUMIFS(BD!$X$3:$X$5001,BD!$B$3:$B$5001,I$140,BD!$A$3:$A$5001,_xlfn.MAXIFS(BD!$A$3:$A$5001,BD!$B$3:$B$5001,I$140,BD!$A$3:$A$5001,"&gt;="&amp;$C$7,BD!$A$3:$A$5001,"&lt;="&amp;$B159,BD!$X$3:$X$5001,"&lt;&gt;"))))</f>
        <v/>
      </c>
      <c r="J159" s="43" t="str">
        <f>IF(OR($B159="",$A159&gt;$B$9,J$140=""),"",IF(COUNTIFS(BD!$B$3:$B$5001,J$140,BD!$A$3:$A$5001,"&gt;="&amp;$C$7,BD!$A$3:$A$5001,"&lt;="&amp;$B159,BD!$X$3:$X$5001,"&lt;&gt;")=0,"",SUMIFS(BD!$X$3:$X$5001,BD!$B$3:$B$5001,J$140,BD!$A$3:$A$5001,_xlfn.MAXIFS(BD!$A$3:$A$5001,BD!$B$3:$B$5001,J$140,BD!$A$3:$A$5001,"&gt;="&amp;$C$7,BD!$A$3:$A$5001,"&lt;="&amp;$B159,BD!$X$3:$X$5001,"&lt;&gt;"))))</f>
        <v/>
      </c>
      <c r="K159" s="43" t="str">
        <f>IF(OR($B159="",$A159&gt;$B$9,K$140=""),"",IF(COUNTIFS(BD!$B$3:$B$5001,K$140,BD!$A$3:$A$5001,"&gt;="&amp;$C$7,BD!$A$3:$A$5001,"&lt;="&amp;$B159,BD!$X$3:$X$5001,"&lt;&gt;")=0,"",SUMIFS(BD!$X$3:$X$5001,BD!$B$3:$B$5001,K$140,BD!$A$3:$A$5001,_xlfn.MAXIFS(BD!$A$3:$A$5001,BD!$B$3:$B$5001,K$140,BD!$A$3:$A$5001,"&gt;="&amp;$C$7,BD!$A$3:$A$5001,"&lt;="&amp;$B159,BD!$X$3:$X$5001,"&lt;&gt;"))))</f>
        <v/>
      </c>
      <c r="L159" s="43" t="str">
        <f>IF(OR($B159="",$A159&gt;$B$9,L$140=""),"",IF(COUNTIFS(BD!$B$3:$B$5001,L$140,BD!$A$3:$A$5001,"&gt;="&amp;$C$7,BD!$A$3:$A$5001,"&lt;="&amp;$B159,BD!$X$3:$X$5001,"&lt;&gt;")=0,"",SUMIFS(BD!$X$3:$X$5001,BD!$B$3:$B$5001,L$140,BD!$A$3:$A$5001,_xlfn.MAXIFS(BD!$A$3:$A$5001,BD!$B$3:$B$5001,L$140,BD!$A$3:$A$5001,"&gt;="&amp;$C$7,BD!$A$3:$A$5001,"&lt;="&amp;$B159,BD!$X$3:$X$5001,"&lt;&gt;"))))</f>
        <v/>
      </c>
      <c r="M159" s="43" t="str">
        <f>IF(OR($B159="",$A159&gt;$B$9,M$140=""),"",IF(COUNTIFS(BD!$B$3:$B$5001,M$140,BD!$A$3:$A$5001,"&gt;="&amp;$C$7,BD!$A$3:$A$5001,"&lt;="&amp;$B159,BD!$X$3:$X$5001,"&lt;&gt;")=0,"",SUMIFS(BD!$X$3:$X$5001,BD!$B$3:$B$5001,M$140,BD!$A$3:$A$5001,_xlfn.MAXIFS(BD!$A$3:$A$5001,BD!$B$3:$B$5001,M$140,BD!$A$3:$A$5001,"&gt;="&amp;$C$7,BD!$A$3:$A$5001,"&lt;="&amp;$B159,BD!$X$3:$X$5001,"&lt;&gt;"))))</f>
        <v/>
      </c>
      <c r="N159" s="43" t="str">
        <f>IF(OR($B159="",$A159&gt;$B$9,N$140=""),"",IF(COUNTIFS(BD!$B$3:$B$5001,N$140,BD!$A$3:$A$5001,"&gt;="&amp;$C$7,BD!$A$3:$A$5001,"&lt;="&amp;$B159,BD!$X$3:$X$5001,"&lt;&gt;")=0,"",SUMIFS(BD!$X$3:$X$5001,BD!$B$3:$B$5001,N$140,BD!$A$3:$A$5001,_xlfn.MAXIFS(BD!$A$3:$A$5001,BD!$B$3:$B$5001,N$140,BD!$A$3:$A$5001,"&gt;="&amp;$C$7,BD!$A$3:$A$5001,"&lt;="&amp;$B159,BD!$X$3:$X$5001,"&lt;&gt;"))))</f>
        <v/>
      </c>
      <c r="O159" s="43" t="str">
        <f>IF(OR($B159="",$A159&gt;$B$9,O$140=""),"",IF(COUNTIFS(BD!$B$3:$B$5001,O$140,BD!$A$3:$A$5001,"&gt;="&amp;$C$7,BD!$A$3:$A$5001,"&lt;="&amp;$B159,BD!$X$3:$X$5001,"&lt;&gt;")=0,"",SUMIFS(BD!$X$3:$X$5001,BD!$B$3:$B$5001,O$140,BD!$A$3:$A$5001,_xlfn.MAXIFS(BD!$A$3:$A$5001,BD!$B$3:$B$5001,O$140,BD!$A$3:$A$5001,"&gt;="&amp;$C$7,BD!$A$3:$A$5001,"&lt;="&amp;$B159,BD!$X$3:$X$5001,"&lt;&gt;"))))</f>
        <v/>
      </c>
      <c r="P159" s="43" t="str">
        <f>IF(OR($B159="",$A159&gt;$B$9,P$140=""),"",IF(COUNTIFS(BD!$B$3:$B$5001,P$140,BD!$A$3:$A$5001,"&gt;="&amp;$C$7,BD!$A$3:$A$5001,"&lt;="&amp;$B159,BD!$X$3:$X$5001,"&lt;&gt;")=0,"",SUMIFS(BD!$X$3:$X$5001,BD!$B$3:$B$5001,P$140,BD!$A$3:$A$5001,_xlfn.MAXIFS(BD!$A$3:$A$5001,BD!$B$3:$B$5001,P$140,BD!$A$3:$A$5001,"&gt;="&amp;$C$7,BD!$A$3:$A$5001,"&lt;="&amp;$B159,BD!$X$3:$X$5001,"&lt;&gt;"))))</f>
        <v/>
      </c>
      <c r="Q159" s="43" t="str">
        <f>IF(OR($B159="",$A159&gt;$B$9,Q$140=""),"",IF(COUNTIFS(BD!$B$3:$B$5001,Q$140,BD!$A$3:$A$5001,"&gt;="&amp;$C$7,BD!$A$3:$A$5001,"&lt;="&amp;$B159,BD!$X$3:$X$5001,"&lt;&gt;")=0,"",SUMIFS(BD!$X$3:$X$5001,BD!$B$3:$B$5001,Q$140,BD!$A$3:$A$5001,_xlfn.MAXIFS(BD!$A$3:$A$5001,BD!$B$3:$B$5001,Q$140,BD!$A$3:$A$5001,"&gt;="&amp;$C$7,BD!$A$3:$A$5001,"&lt;="&amp;$B159,BD!$X$3:$X$5001,"&lt;&gt;"))))</f>
        <v/>
      </c>
      <c r="R159" s="43" t="str">
        <f>IF(OR($B159="",$A159&gt;$B$9,R$140=""),"",IF(COUNTIFS(BD!$B$3:$B$5001,R$140,BD!$A$3:$A$5001,"&gt;="&amp;$C$7,BD!$A$3:$A$5001,"&lt;="&amp;$B159,BD!$X$3:$X$5001,"&lt;&gt;")=0,"",SUMIFS(BD!$X$3:$X$5001,BD!$B$3:$B$5001,R$140,BD!$A$3:$A$5001,_xlfn.MAXIFS(BD!$A$3:$A$5001,BD!$B$3:$B$5001,R$140,BD!$A$3:$A$5001,"&gt;="&amp;$C$7,BD!$A$3:$A$5001,"&lt;="&amp;$B159,BD!$X$3:$X$5001,"&lt;&gt;"))))</f>
        <v/>
      </c>
      <c r="S159" s="43" t="str">
        <f>IF(OR($B159="",$A159&gt;$B$9,S$140=""),"",IF(COUNTIFS(BD!$B$3:$B$5001,S$140,BD!$A$3:$A$5001,"&gt;="&amp;$C$7,BD!$A$3:$A$5001,"&lt;="&amp;$B159,BD!$X$3:$X$5001,"&lt;&gt;")=0,"",SUMIFS(BD!$X$3:$X$5001,BD!$B$3:$B$5001,S$140,BD!$A$3:$A$5001,_xlfn.MAXIFS(BD!$A$3:$A$5001,BD!$B$3:$B$5001,S$140,BD!$A$3:$A$5001,"&gt;="&amp;$C$7,BD!$A$3:$A$5001,"&lt;="&amp;$B159,BD!$X$3:$X$5001,"&lt;&gt;"))))</f>
        <v/>
      </c>
      <c r="T159" s="43" t="str">
        <f>IF(OR($B159="",$A159&gt;$B$9,T$140=""),"",IF(COUNTIFS(BD!$B$3:$B$5001,T$140,BD!$A$3:$A$5001,"&gt;="&amp;$C$7,BD!$A$3:$A$5001,"&lt;="&amp;$B159,BD!$X$3:$X$5001,"&lt;&gt;")=0,"",SUMIFS(BD!$X$3:$X$5001,BD!$B$3:$B$5001,T$140,BD!$A$3:$A$5001,_xlfn.MAXIFS(BD!$A$3:$A$5001,BD!$B$3:$B$5001,T$140,BD!$A$3:$A$5001,"&gt;="&amp;$C$7,BD!$A$3:$A$5001,"&lt;="&amp;$B159,BD!$X$3:$X$5001,"&lt;&gt;"))))</f>
        <v/>
      </c>
      <c r="U159" s="43" t="str">
        <f>IF(OR($B159="",$A159&gt;$B$9,U$140=""),"",IF(COUNTIFS(BD!$B$3:$B$5001,U$140,BD!$A$3:$A$5001,"&gt;="&amp;$C$7,BD!$A$3:$A$5001,"&lt;="&amp;$B159,BD!$X$3:$X$5001,"&lt;&gt;")=0,"",SUMIFS(BD!$X$3:$X$5001,BD!$B$3:$B$5001,U$140,BD!$A$3:$A$5001,_xlfn.MAXIFS(BD!$A$3:$A$5001,BD!$B$3:$B$5001,U$140,BD!$A$3:$A$5001,"&gt;="&amp;$C$7,BD!$A$3:$A$5001,"&lt;="&amp;$B159,BD!$X$3:$X$5001,"&lt;&gt;"))))</f>
        <v/>
      </c>
      <c r="V159" s="43" t="str">
        <f>IF(OR($B159="",$A159&gt;$B$9,V$140=""),"",IF(COUNTIFS(BD!$B$3:$B$5001,V$140,BD!$A$3:$A$5001,"&gt;="&amp;$C$7,BD!$A$3:$A$5001,"&lt;="&amp;$B159,BD!$X$3:$X$5001,"&lt;&gt;")=0,"",SUMIFS(BD!$X$3:$X$5001,BD!$B$3:$B$5001,V$140,BD!$A$3:$A$5001,_xlfn.MAXIFS(BD!$A$3:$A$5001,BD!$B$3:$B$5001,V$140,BD!$A$3:$A$5001,"&gt;="&amp;$C$7,BD!$A$3:$A$5001,"&lt;="&amp;$B159,BD!$X$3:$X$5001,"&lt;&gt;"))))</f>
        <v/>
      </c>
    </row>
    <row r="160">
      <c r="A160" s="38">
        <v>20</v>
      </c>
      <c r="B160" s="42">
        <f>$B$31</f>
        <v>46315</v>
      </c>
      <c r="C160" s="43" t="str">
        <f>IF(OR($B160="",$A160&gt;$B$9,C$140=""),"",IF(COUNTIFS(BD!$B$3:$B$5001,C$140,BD!$A$3:$A$5001,"&gt;="&amp;$C$7,BD!$A$3:$A$5001,"&lt;="&amp;$B160,BD!$X$3:$X$5001,"&lt;&gt;")=0,"",SUMIFS(BD!$X$3:$X$5001,BD!$B$3:$B$5001,C$140,BD!$A$3:$A$5001,_xlfn.MAXIFS(BD!$A$3:$A$5001,BD!$B$3:$B$5001,C$140,BD!$A$3:$A$5001,"&gt;="&amp;$C$7,BD!$A$3:$A$5001,"&lt;="&amp;$B160,BD!$X$3:$X$5001,"&lt;&gt;"))))</f>
        <v/>
      </c>
      <c r="D160" s="43" t="str">
        <f>IF(OR($B160="",$A160&gt;$B$9,D$140=""),"",IF(COUNTIFS(BD!$B$3:$B$5001,D$140,BD!$A$3:$A$5001,"&gt;="&amp;$C$7,BD!$A$3:$A$5001,"&lt;="&amp;$B160,BD!$X$3:$X$5001,"&lt;&gt;")=0,"",SUMIFS(BD!$X$3:$X$5001,BD!$B$3:$B$5001,D$140,BD!$A$3:$A$5001,_xlfn.MAXIFS(BD!$A$3:$A$5001,BD!$B$3:$B$5001,D$140,BD!$A$3:$A$5001,"&gt;="&amp;$C$7,BD!$A$3:$A$5001,"&lt;="&amp;$B160,BD!$X$3:$X$5001,"&lt;&gt;"))))</f>
        <v/>
      </c>
      <c r="E160" s="43" t="str">
        <f>IF(OR($B160="",$A160&gt;$B$9,E$140=""),"",IF(COUNTIFS(BD!$B$3:$B$5001,E$140,BD!$A$3:$A$5001,"&gt;="&amp;$C$7,BD!$A$3:$A$5001,"&lt;="&amp;$B160,BD!$X$3:$X$5001,"&lt;&gt;")=0,"",SUMIFS(BD!$X$3:$X$5001,BD!$B$3:$B$5001,E$140,BD!$A$3:$A$5001,_xlfn.MAXIFS(BD!$A$3:$A$5001,BD!$B$3:$B$5001,E$140,BD!$A$3:$A$5001,"&gt;="&amp;$C$7,BD!$A$3:$A$5001,"&lt;="&amp;$B160,BD!$X$3:$X$5001,"&lt;&gt;"))))</f>
        <v/>
      </c>
      <c r="F160" s="43" t="str">
        <f>IF(OR($B160="",$A160&gt;$B$9,F$140=""),"",IF(COUNTIFS(BD!$B$3:$B$5001,F$140,BD!$A$3:$A$5001,"&gt;="&amp;$C$7,BD!$A$3:$A$5001,"&lt;="&amp;$B160,BD!$X$3:$X$5001,"&lt;&gt;")=0,"",SUMIFS(BD!$X$3:$X$5001,BD!$B$3:$B$5001,F$140,BD!$A$3:$A$5001,_xlfn.MAXIFS(BD!$A$3:$A$5001,BD!$B$3:$B$5001,F$140,BD!$A$3:$A$5001,"&gt;="&amp;$C$7,BD!$A$3:$A$5001,"&lt;="&amp;$B160,BD!$X$3:$X$5001,"&lt;&gt;"))))</f>
        <v/>
      </c>
      <c r="G160" s="43" t="str">
        <f>IF(OR($B160="",$A160&gt;$B$9,G$140=""),"",IF(COUNTIFS(BD!$B$3:$B$5001,G$140,BD!$A$3:$A$5001,"&gt;="&amp;$C$7,BD!$A$3:$A$5001,"&lt;="&amp;$B160,BD!$X$3:$X$5001,"&lt;&gt;")=0,"",SUMIFS(BD!$X$3:$X$5001,BD!$B$3:$B$5001,G$140,BD!$A$3:$A$5001,_xlfn.MAXIFS(BD!$A$3:$A$5001,BD!$B$3:$B$5001,G$140,BD!$A$3:$A$5001,"&gt;="&amp;$C$7,BD!$A$3:$A$5001,"&lt;="&amp;$B160,BD!$X$3:$X$5001,"&lt;&gt;"))))</f>
        <v/>
      </c>
      <c r="H160" s="43" t="str">
        <f>IF(OR($B160="",$A160&gt;$B$9,H$140=""),"",IF(COUNTIFS(BD!$B$3:$B$5001,H$140,BD!$A$3:$A$5001,"&gt;="&amp;$C$7,BD!$A$3:$A$5001,"&lt;="&amp;$B160,BD!$X$3:$X$5001,"&lt;&gt;")=0,"",SUMIFS(BD!$X$3:$X$5001,BD!$B$3:$B$5001,H$140,BD!$A$3:$A$5001,_xlfn.MAXIFS(BD!$A$3:$A$5001,BD!$B$3:$B$5001,H$140,BD!$A$3:$A$5001,"&gt;="&amp;$C$7,BD!$A$3:$A$5001,"&lt;="&amp;$B160,BD!$X$3:$X$5001,"&lt;&gt;"))))</f>
        <v/>
      </c>
      <c r="I160" s="43" t="str">
        <f>IF(OR($B160="",$A160&gt;$B$9,I$140=""),"",IF(COUNTIFS(BD!$B$3:$B$5001,I$140,BD!$A$3:$A$5001,"&gt;="&amp;$C$7,BD!$A$3:$A$5001,"&lt;="&amp;$B160,BD!$X$3:$X$5001,"&lt;&gt;")=0,"",SUMIFS(BD!$X$3:$X$5001,BD!$B$3:$B$5001,I$140,BD!$A$3:$A$5001,_xlfn.MAXIFS(BD!$A$3:$A$5001,BD!$B$3:$B$5001,I$140,BD!$A$3:$A$5001,"&gt;="&amp;$C$7,BD!$A$3:$A$5001,"&lt;="&amp;$B160,BD!$X$3:$X$5001,"&lt;&gt;"))))</f>
        <v/>
      </c>
      <c r="J160" s="43" t="str">
        <f>IF(OR($B160="",$A160&gt;$B$9,J$140=""),"",IF(COUNTIFS(BD!$B$3:$B$5001,J$140,BD!$A$3:$A$5001,"&gt;="&amp;$C$7,BD!$A$3:$A$5001,"&lt;="&amp;$B160,BD!$X$3:$X$5001,"&lt;&gt;")=0,"",SUMIFS(BD!$X$3:$X$5001,BD!$B$3:$B$5001,J$140,BD!$A$3:$A$5001,_xlfn.MAXIFS(BD!$A$3:$A$5001,BD!$B$3:$B$5001,J$140,BD!$A$3:$A$5001,"&gt;="&amp;$C$7,BD!$A$3:$A$5001,"&lt;="&amp;$B160,BD!$X$3:$X$5001,"&lt;&gt;"))))</f>
        <v/>
      </c>
      <c r="K160" s="43" t="str">
        <f>IF(OR($B160="",$A160&gt;$B$9,K$140=""),"",IF(COUNTIFS(BD!$B$3:$B$5001,K$140,BD!$A$3:$A$5001,"&gt;="&amp;$C$7,BD!$A$3:$A$5001,"&lt;="&amp;$B160,BD!$X$3:$X$5001,"&lt;&gt;")=0,"",SUMIFS(BD!$X$3:$X$5001,BD!$B$3:$B$5001,K$140,BD!$A$3:$A$5001,_xlfn.MAXIFS(BD!$A$3:$A$5001,BD!$B$3:$B$5001,K$140,BD!$A$3:$A$5001,"&gt;="&amp;$C$7,BD!$A$3:$A$5001,"&lt;="&amp;$B160,BD!$X$3:$X$5001,"&lt;&gt;"))))</f>
        <v/>
      </c>
      <c r="L160" s="43" t="str">
        <f>IF(OR($B160="",$A160&gt;$B$9,L$140=""),"",IF(COUNTIFS(BD!$B$3:$B$5001,L$140,BD!$A$3:$A$5001,"&gt;="&amp;$C$7,BD!$A$3:$A$5001,"&lt;="&amp;$B160,BD!$X$3:$X$5001,"&lt;&gt;")=0,"",SUMIFS(BD!$X$3:$X$5001,BD!$B$3:$B$5001,L$140,BD!$A$3:$A$5001,_xlfn.MAXIFS(BD!$A$3:$A$5001,BD!$B$3:$B$5001,L$140,BD!$A$3:$A$5001,"&gt;="&amp;$C$7,BD!$A$3:$A$5001,"&lt;="&amp;$B160,BD!$X$3:$X$5001,"&lt;&gt;"))))</f>
        <v/>
      </c>
      <c r="M160" s="43" t="str">
        <f>IF(OR($B160="",$A160&gt;$B$9,M$140=""),"",IF(COUNTIFS(BD!$B$3:$B$5001,M$140,BD!$A$3:$A$5001,"&gt;="&amp;$C$7,BD!$A$3:$A$5001,"&lt;="&amp;$B160,BD!$X$3:$X$5001,"&lt;&gt;")=0,"",SUMIFS(BD!$X$3:$X$5001,BD!$B$3:$B$5001,M$140,BD!$A$3:$A$5001,_xlfn.MAXIFS(BD!$A$3:$A$5001,BD!$B$3:$B$5001,M$140,BD!$A$3:$A$5001,"&gt;="&amp;$C$7,BD!$A$3:$A$5001,"&lt;="&amp;$B160,BD!$X$3:$X$5001,"&lt;&gt;"))))</f>
        <v/>
      </c>
      <c r="N160" s="43" t="str">
        <f>IF(OR($B160="",$A160&gt;$B$9,N$140=""),"",IF(COUNTIFS(BD!$B$3:$B$5001,N$140,BD!$A$3:$A$5001,"&gt;="&amp;$C$7,BD!$A$3:$A$5001,"&lt;="&amp;$B160,BD!$X$3:$X$5001,"&lt;&gt;")=0,"",SUMIFS(BD!$X$3:$X$5001,BD!$B$3:$B$5001,N$140,BD!$A$3:$A$5001,_xlfn.MAXIFS(BD!$A$3:$A$5001,BD!$B$3:$B$5001,N$140,BD!$A$3:$A$5001,"&gt;="&amp;$C$7,BD!$A$3:$A$5001,"&lt;="&amp;$B160,BD!$X$3:$X$5001,"&lt;&gt;"))))</f>
        <v/>
      </c>
      <c r="O160" s="43" t="str">
        <f>IF(OR($B160="",$A160&gt;$B$9,O$140=""),"",IF(COUNTIFS(BD!$B$3:$B$5001,O$140,BD!$A$3:$A$5001,"&gt;="&amp;$C$7,BD!$A$3:$A$5001,"&lt;="&amp;$B160,BD!$X$3:$X$5001,"&lt;&gt;")=0,"",SUMIFS(BD!$X$3:$X$5001,BD!$B$3:$B$5001,O$140,BD!$A$3:$A$5001,_xlfn.MAXIFS(BD!$A$3:$A$5001,BD!$B$3:$B$5001,O$140,BD!$A$3:$A$5001,"&gt;="&amp;$C$7,BD!$A$3:$A$5001,"&lt;="&amp;$B160,BD!$X$3:$X$5001,"&lt;&gt;"))))</f>
        <v/>
      </c>
      <c r="P160" s="43" t="str">
        <f>IF(OR($B160="",$A160&gt;$B$9,P$140=""),"",IF(COUNTIFS(BD!$B$3:$B$5001,P$140,BD!$A$3:$A$5001,"&gt;="&amp;$C$7,BD!$A$3:$A$5001,"&lt;="&amp;$B160,BD!$X$3:$X$5001,"&lt;&gt;")=0,"",SUMIFS(BD!$X$3:$X$5001,BD!$B$3:$B$5001,P$140,BD!$A$3:$A$5001,_xlfn.MAXIFS(BD!$A$3:$A$5001,BD!$B$3:$B$5001,P$140,BD!$A$3:$A$5001,"&gt;="&amp;$C$7,BD!$A$3:$A$5001,"&lt;="&amp;$B160,BD!$X$3:$X$5001,"&lt;&gt;"))))</f>
        <v/>
      </c>
      <c r="Q160" s="43" t="str">
        <f>IF(OR($B160="",$A160&gt;$B$9,Q$140=""),"",IF(COUNTIFS(BD!$B$3:$B$5001,Q$140,BD!$A$3:$A$5001,"&gt;="&amp;$C$7,BD!$A$3:$A$5001,"&lt;="&amp;$B160,BD!$X$3:$X$5001,"&lt;&gt;")=0,"",SUMIFS(BD!$X$3:$X$5001,BD!$B$3:$B$5001,Q$140,BD!$A$3:$A$5001,_xlfn.MAXIFS(BD!$A$3:$A$5001,BD!$B$3:$B$5001,Q$140,BD!$A$3:$A$5001,"&gt;="&amp;$C$7,BD!$A$3:$A$5001,"&lt;="&amp;$B160,BD!$X$3:$X$5001,"&lt;&gt;"))))</f>
        <v/>
      </c>
      <c r="R160" s="43" t="str">
        <f>IF(OR($B160="",$A160&gt;$B$9,R$140=""),"",IF(COUNTIFS(BD!$B$3:$B$5001,R$140,BD!$A$3:$A$5001,"&gt;="&amp;$C$7,BD!$A$3:$A$5001,"&lt;="&amp;$B160,BD!$X$3:$X$5001,"&lt;&gt;")=0,"",SUMIFS(BD!$X$3:$X$5001,BD!$B$3:$B$5001,R$140,BD!$A$3:$A$5001,_xlfn.MAXIFS(BD!$A$3:$A$5001,BD!$B$3:$B$5001,R$140,BD!$A$3:$A$5001,"&gt;="&amp;$C$7,BD!$A$3:$A$5001,"&lt;="&amp;$B160,BD!$X$3:$X$5001,"&lt;&gt;"))))</f>
        <v/>
      </c>
      <c r="S160" s="43" t="str">
        <f>IF(OR($B160="",$A160&gt;$B$9,S$140=""),"",IF(COUNTIFS(BD!$B$3:$B$5001,S$140,BD!$A$3:$A$5001,"&gt;="&amp;$C$7,BD!$A$3:$A$5001,"&lt;="&amp;$B160,BD!$X$3:$X$5001,"&lt;&gt;")=0,"",SUMIFS(BD!$X$3:$X$5001,BD!$B$3:$B$5001,S$140,BD!$A$3:$A$5001,_xlfn.MAXIFS(BD!$A$3:$A$5001,BD!$B$3:$B$5001,S$140,BD!$A$3:$A$5001,"&gt;="&amp;$C$7,BD!$A$3:$A$5001,"&lt;="&amp;$B160,BD!$X$3:$X$5001,"&lt;&gt;"))))</f>
        <v/>
      </c>
      <c r="T160" s="43" t="str">
        <f>IF(OR($B160="",$A160&gt;$B$9,T$140=""),"",IF(COUNTIFS(BD!$B$3:$B$5001,T$140,BD!$A$3:$A$5001,"&gt;="&amp;$C$7,BD!$A$3:$A$5001,"&lt;="&amp;$B160,BD!$X$3:$X$5001,"&lt;&gt;")=0,"",SUMIFS(BD!$X$3:$X$5001,BD!$B$3:$B$5001,T$140,BD!$A$3:$A$5001,_xlfn.MAXIFS(BD!$A$3:$A$5001,BD!$B$3:$B$5001,T$140,BD!$A$3:$A$5001,"&gt;="&amp;$C$7,BD!$A$3:$A$5001,"&lt;="&amp;$B160,BD!$X$3:$X$5001,"&lt;&gt;"))))</f>
        <v/>
      </c>
      <c r="U160" s="43" t="str">
        <f>IF(OR($B160="",$A160&gt;$B$9,U$140=""),"",IF(COUNTIFS(BD!$B$3:$B$5001,U$140,BD!$A$3:$A$5001,"&gt;="&amp;$C$7,BD!$A$3:$A$5001,"&lt;="&amp;$B160,BD!$X$3:$X$5001,"&lt;&gt;")=0,"",SUMIFS(BD!$X$3:$X$5001,BD!$B$3:$B$5001,U$140,BD!$A$3:$A$5001,_xlfn.MAXIFS(BD!$A$3:$A$5001,BD!$B$3:$B$5001,U$140,BD!$A$3:$A$5001,"&gt;="&amp;$C$7,BD!$A$3:$A$5001,"&lt;="&amp;$B160,BD!$X$3:$X$5001,"&lt;&gt;"))))</f>
        <v/>
      </c>
      <c r="V160" s="43" t="str">
        <f>IF(OR($B160="",$A160&gt;$B$9,V$140=""),"",IF(COUNTIFS(BD!$B$3:$B$5001,V$140,BD!$A$3:$A$5001,"&gt;="&amp;$C$7,BD!$A$3:$A$5001,"&lt;="&amp;$B160,BD!$X$3:$X$5001,"&lt;&gt;")=0,"",SUMIFS(BD!$X$3:$X$5001,BD!$B$3:$B$5001,V$140,BD!$A$3:$A$5001,_xlfn.MAXIFS(BD!$A$3:$A$5001,BD!$B$3:$B$5001,V$140,BD!$A$3:$A$5001,"&gt;="&amp;$C$7,BD!$A$3:$A$5001,"&lt;="&amp;$B160,BD!$X$3:$X$5001,"&lt;&gt;"))))</f>
        <v/>
      </c>
    </row>
    <row r="161">
      <c r="A161" s="38">
        <v>21</v>
      </c>
      <c r="B161" s="42">
        <f>$B$32</f>
        <v>46316</v>
      </c>
      <c r="C161" s="43" t="str">
        <f>IF(OR($B161="",$A161&gt;$B$9,C$140=""),"",IF(COUNTIFS(BD!$B$3:$B$5001,C$140,BD!$A$3:$A$5001,"&gt;="&amp;$C$7,BD!$A$3:$A$5001,"&lt;="&amp;$B161,BD!$X$3:$X$5001,"&lt;&gt;")=0,"",SUMIFS(BD!$X$3:$X$5001,BD!$B$3:$B$5001,C$140,BD!$A$3:$A$5001,_xlfn.MAXIFS(BD!$A$3:$A$5001,BD!$B$3:$B$5001,C$140,BD!$A$3:$A$5001,"&gt;="&amp;$C$7,BD!$A$3:$A$5001,"&lt;="&amp;$B161,BD!$X$3:$X$5001,"&lt;&gt;"))))</f>
        <v/>
      </c>
      <c r="D161" s="43" t="str">
        <f>IF(OR($B161="",$A161&gt;$B$9,D$140=""),"",IF(COUNTIFS(BD!$B$3:$B$5001,D$140,BD!$A$3:$A$5001,"&gt;="&amp;$C$7,BD!$A$3:$A$5001,"&lt;="&amp;$B161,BD!$X$3:$X$5001,"&lt;&gt;")=0,"",SUMIFS(BD!$X$3:$X$5001,BD!$B$3:$B$5001,D$140,BD!$A$3:$A$5001,_xlfn.MAXIFS(BD!$A$3:$A$5001,BD!$B$3:$B$5001,D$140,BD!$A$3:$A$5001,"&gt;="&amp;$C$7,BD!$A$3:$A$5001,"&lt;="&amp;$B161,BD!$X$3:$X$5001,"&lt;&gt;"))))</f>
        <v/>
      </c>
      <c r="E161" s="43" t="str">
        <f>IF(OR($B161="",$A161&gt;$B$9,E$140=""),"",IF(COUNTIFS(BD!$B$3:$B$5001,E$140,BD!$A$3:$A$5001,"&gt;="&amp;$C$7,BD!$A$3:$A$5001,"&lt;="&amp;$B161,BD!$X$3:$X$5001,"&lt;&gt;")=0,"",SUMIFS(BD!$X$3:$X$5001,BD!$B$3:$B$5001,E$140,BD!$A$3:$A$5001,_xlfn.MAXIFS(BD!$A$3:$A$5001,BD!$B$3:$B$5001,E$140,BD!$A$3:$A$5001,"&gt;="&amp;$C$7,BD!$A$3:$A$5001,"&lt;="&amp;$B161,BD!$X$3:$X$5001,"&lt;&gt;"))))</f>
        <v/>
      </c>
      <c r="F161" s="43" t="str">
        <f>IF(OR($B161="",$A161&gt;$B$9,F$140=""),"",IF(COUNTIFS(BD!$B$3:$B$5001,F$140,BD!$A$3:$A$5001,"&gt;="&amp;$C$7,BD!$A$3:$A$5001,"&lt;="&amp;$B161,BD!$X$3:$X$5001,"&lt;&gt;")=0,"",SUMIFS(BD!$X$3:$X$5001,BD!$B$3:$B$5001,F$140,BD!$A$3:$A$5001,_xlfn.MAXIFS(BD!$A$3:$A$5001,BD!$B$3:$B$5001,F$140,BD!$A$3:$A$5001,"&gt;="&amp;$C$7,BD!$A$3:$A$5001,"&lt;="&amp;$B161,BD!$X$3:$X$5001,"&lt;&gt;"))))</f>
        <v/>
      </c>
      <c r="G161" s="43" t="str">
        <f>IF(OR($B161="",$A161&gt;$B$9,G$140=""),"",IF(COUNTIFS(BD!$B$3:$B$5001,G$140,BD!$A$3:$A$5001,"&gt;="&amp;$C$7,BD!$A$3:$A$5001,"&lt;="&amp;$B161,BD!$X$3:$X$5001,"&lt;&gt;")=0,"",SUMIFS(BD!$X$3:$X$5001,BD!$B$3:$B$5001,G$140,BD!$A$3:$A$5001,_xlfn.MAXIFS(BD!$A$3:$A$5001,BD!$B$3:$B$5001,G$140,BD!$A$3:$A$5001,"&gt;="&amp;$C$7,BD!$A$3:$A$5001,"&lt;="&amp;$B161,BD!$X$3:$X$5001,"&lt;&gt;"))))</f>
        <v/>
      </c>
      <c r="H161" s="43" t="str">
        <f>IF(OR($B161="",$A161&gt;$B$9,H$140=""),"",IF(COUNTIFS(BD!$B$3:$B$5001,H$140,BD!$A$3:$A$5001,"&gt;="&amp;$C$7,BD!$A$3:$A$5001,"&lt;="&amp;$B161,BD!$X$3:$X$5001,"&lt;&gt;")=0,"",SUMIFS(BD!$X$3:$X$5001,BD!$B$3:$B$5001,H$140,BD!$A$3:$A$5001,_xlfn.MAXIFS(BD!$A$3:$A$5001,BD!$B$3:$B$5001,H$140,BD!$A$3:$A$5001,"&gt;="&amp;$C$7,BD!$A$3:$A$5001,"&lt;="&amp;$B161,BD!$X$3:$X$5001,"&lt;&gt;"))))</f>
        <v/>
      </c>
      <c r="I161" s="43" t="str">
        <f>IF(OR($B161="",$A161&gt;$B$9,I$140=""),"",IF(COUNTIFS(BD!$B$3:$B$5001,I$140,BD!$A$3:$A$5001,"&gt;="&amp;$C$7,BD!$A$3:$A$5001,"&lt;="&amp;$B161,BD!$X$3:$X$5001,"&lt;&gt;")=0,"",SUMIFS(BD!$X$3:$X$5001,BD!$B$3:$B$5001,I$140,BD!$A$3:$A$5001,_xlfn.MAXIFS(BD!$A$3:$A$5001,BD!$B$3:$B$5001,I$140,BD!$A$3:$A$5001,"&gt;="&amp;$C$7,BD!$A$3:$A$5001,"&lt;="&amp;$B161,BD!$X$3:$X$5001,"&lt;&gt;"))))</f>
        <v/>
      </c>
      <c r="J161" s="43" t="str">
        <f>IF(OR($B161="",$A161&gt;$B$9,J$140=""),"",IF(COUNTIFS(BD!$B$3:$B$5001,J$140,BD!$A$3:$A$5001,"&gt;="&amp;$C$7,BD!$A$3:$A$5001,"&lt;="&amp;$B161,BD!$X$3:$X$5001,"&lt;&gt;")=0,"",SUMIFS(BD!$X$3:$X$5001,BD!$B$3:$B$5001,J$140,BD!$A$3:$A$5001,_xlfn.MAXIFS(BD!$A$3:$A$5001,BD!$B$3:$B$5001,J$140,BD!$A$3:$A$5001,"&gt;="&amp;$C$7,BD!$A$3:$A$5001,"&lt;="&amp;$B161,BD!$X$3:$X$5001,"&lt;&gt;"))))</f>
        <v/>
      </c>
      <c r="K161" s="43" t="str">
        <f>IF(OR($B161="",$A161&gt;$B$9,K$140=""),"",IF(COUNTIFS(BD!$B$3:$B$5001,K$140,BD!$A$3:$A$5001,"&gt;="&amp;$C$7,BD!$A$3:$A$5001,"&lt;="&amp;$B161,BD!$X$3:$X$5001,"&lt;&gt;")=0,"",SUMIFS(BD!$X$3:$X$5001,BD!$B$3:$B$5001,K$140,BD!$A$3:$A$5001,_xlfn.MAXIFS(BD!$A$3:$A$5001,BD!$B$3:$B$5001,K$140,BD!$A$3:$A$5001,"&gt;="&amp;$C$7,BD!$A$3:$A$5001,"&lt;="&amp;$B161,BD!$X$3:$X$5001,"&lt;&gt;"))))</f>
        <v/>
      </c>
      <c r="L161" s="43" t="str">
        <f>IF(OR($B161="",$A161&gt;$B$9,L$140=""),"",IF(COUNTIFS(BD!$B$3:$B$5001,L$140,BD!$A$3:$A$5001,"&gt;="&amp;$C$7,BD!$A$3:$A$5001,"&lt;="&amp;$B161,BD!$X$3:$X$5001,"&lt;&gt;")=0,"",SUMIFS(BD!$X$3:$X$5001,BD!$B$3:$B$5001,L$140,BD!$A$3:$A$5001,_xlfn.MAXIFS(BD!$A$3:$A$5001,BD!$B$3:$B$5001,L$140,BD!$A$3:$A$5001,"&gt;="&amp;$C$7,BD!$A$3:$A$5001,"&lt;="&amp;$B161,BD!$X$3:$X$5001,"&lt;&gt;"))))</f>
        <v/>
      </c>
      <c r="M161" s="43" t="str">
        <f>IF(OR($B161="",$A161&gt;$B$9,M$140=""),"",IF(COUNTIFS(BD!$B$3:$B$5001,M$140,BD!$A$3:$A$5001,"&gt;="&amp;$C$7,BD!$A$3:$A$5001,"&lt;="&amp;$B161,BD!$X$3:$X$5001,"&lt;&gt;")=0,"",SUMIFS(BD!$X$3:$X$5001,BD!$B$3:$B$5001,M$140,BD!$A$3:$A$5001,_xlfn.MAXIFS(BD!$A$3:$A$5001,BD!$B$3:$B$5001,M$140,BD!$A$3:$A$5001,"&gt;="&amp;$C$7,BD!$A$3:$A$5001,"&lt;="&amp;$B161,BD!$X$3:$X$5001,"&lt;&gt;"))))</f>
        <v/>
      </c>
      <c r="N161" s="43" t="str">
        <f>IF(OR($B161="",$A161&gt;$B$9,N$140=""),"",IF(COUNTIFS(BD!$B$3:$B$5001,N$140,BD!$A$3:$A$5001,"&gt;="&amp;$C$7,BD!$A$3:$A$5001,"&lt;="&amp;$B161,BD!$X$3:$X$5001,"&lt;&gt;")=0,"",SUMIFS(BD!$X$3:$X$5001,BD!$B$3:$B$5001,N$140,BD!$A$3:$A$5001,_xlfn.MAXIFS(BD!$A$3:$A$5001,BD!$B$3:$B$5001,N$140,BD!$A$3:$A$5001,"&gt;="&amp;$C$7,BD!$A$3:$A$5001,"&lt;="&amp;$B161,BD!$X$3:$X$5001,"&lt;&gt;"))))</f>
        <v/>
      </c>
      <c r="O161" s="43" t="str">
        <f>IF(OR($B161="",$A161&gt;$B$9,O$140=""),"",IF(COUNTIFS(BD!$B$3:$B$5001,O$140,BD!$A$3:$A$5001,"&gt;="&amp;$C$7,BD!$A$3:$A$5001,"&lt;="&amp;$B161,BD!$X$3:$X$5001,"&lt;&gt;")=0,"",SUMIFS(BD!$X$3:$X$5001,BD!$B$3:$B$5001,O$140,BD!$A$3:$A$5001,_xlfn.MAXIFS(BD!$A$3:$A$5001,BD!$B$3:$B$5001,O$140,BD!$A$3:$A$5001,"&gt;="&amp;$C$7,BD!$A$3:$A$5001,"&lt;="&amp;$B161,BD!$X$3:$X$5001,"&lt;&gt;"))))</f>
        <v/>
      </c>
      <c r="P161" s="43" t="str">
        <f>IF(OR($B161="",$A161&gt;$B$9,P$140=""),"",IF(COUNTIFS(BD!$B$3:$B$5001,P$140,BD!$A$3:$A$5001,"&gt;="&amp;$C$7,BD!$A$3:$A$5001,"&lt;="&amp;$B161,BD!$X$3:$X$5001,"&lt;&gt;")=0,"",SUMIFS(BD!$X$3:$X$5001,BD!$B$3:$B$5001,P$140,BD!$A$3:$A$5001,_xlfn.MAXIFS(BD!$A$3:$A$5001,BD!$B$3:$B$5001,P$140,BD!$A$3:$A$5001,"&gt;="&amp;$C$7,BD!$A$3:$A$5001,"&lt;="&amp;$B161,BD!$X$3:$X$5001,"&lt;&gt;"))))</f>
        <v/>
      </c>
      <c r="Q161" s="43" t="str">
        <f>IF(OR($B161="",$A161&gt;$B$9,Q$140=""),"",IF(COUNTIFS(BD!$B$3:$B$5001,Q$140,BD!$A$3:$A$5001,"&gt;="&amp;$C$7,BD!$A$3:$A$5001,"&lt;="&amp;$B161,BD!$X$3:$X$5001,"&lt;&gt;")=0,"",SUMIFS(BD!$X$3:$X$5001,BD!$B$3:$B$5001,Q$140,BD!$A$3:$A$5001,_xlfn.MAXIFS(BD!$A$3:$A$5001,BD!$B$3:$B$5001,Q$140,BD!$A$3:$A$5001,"&gt;="&amp;$C$7,BD!$A$3:$A$5001,"&lt;="&amp;$B161,BD!$X$3:$X$5001,"&lt;&gt;"))))</f>
        <v/>
      </c>
      <c r="R161" s="43" t="str">
        <f>IF(OR($B161="",$A161&gt;$B$9,R$140=""),"",IF(COUNTIFS(BD!$B$3:$B$5001,R$140,BD!$A$3:$A$5001,"&gt;="&amp;$C$7,BD!$A$3:$A$5001,"&lt;="&amp;$B161,BD!$X$3:$X$5001,"&lt;&gt;")=0,"",SUMIFS(BD!$X$3:$X$5001,BD!$B$3:$B$5001,R$140,BD!$A$3:$A$5001,_xlfn.MAXIFS(BD!$A$3:$A$5001,BD!$B$3:$B$5001,R$140,BD!$A$3:$A$5001,"&gt;="&amp;$C$7,BD!$A$3:$A$5001,"&lt;="&amp;$B161,BD!$X$3:$X$5001,"&lt;&gt;"))))</f>
        <v/>
      </c>
      <c r="S161" s="43" t="str">
        <f>IF(OR($B161="",$A161&gt;$B$9,S$140=""),"",IF(COUNTIFS(BD!$B$3:$B$5001,S$140,BD!$A$3:$A$5001,"&gt;="&amp;$C$7,BD!$A$3:$A$5001,"&lt;="&amp;$B161,BD!$X$3:$X$5001,"&lt;&gt;")=0,"",SUMIFS(BD!$X$3:$X$5001,BD!$B$3:$B$5001,S$140,BD!$A$3:$A$5001,_xlfn.MAXIFS(BD!$A$3:$A$5001,BD!$B$3:$B$5001,S$140,BD!$A$3:$A$5001,"&gt;="&amp;$C$7,BD!$A$3:$A$5001,"&lt;="&amp;$B161,BD!$X$3:$X$5001,"&lt;&gt;"))))</f>
        <v/>
      </c>
      <c r="T161" s="43" t="str">
        <f>IF(OR($B161="",$A161&gt;$B$9,T$140=""),"",IF(COUNTIFS(BD!$B$3:$B$5001,T$140,BD!$A$3:$A$5001,"&gt;="&amp;$C$7,BD!$A$3:$A$5001,"&lt;="&amp;$B161,BD!$X$3:$X$5001,"&lt;&gt;")=0,"",SUMIFS(BD!$X$3:$X$5001,BD!$B$3:$B$5001,T$140,BD!$A$3:$A$5001,_xlfn.MAXIFS(BD!$A$3:$A$5001,BD!$B$3:$B$5001,T$140,BD!$A$3:$A$5001,"&gt;="&amp;$C$7,BD!$A$3:$A$5001,"&lt;="&amp;$B161,BD!$X$3:$X$5001,"&lt;&gt;"))))</f>
        <v/>
      </c>
      <c r="U161" s="43" t="str">
        <f>IF(OR($B161="",$A161&gt;$B$9,U$140=""),"",IF(COUNTIFS(BD!$B$3:$B$5001,U$140,BD!$A$3:$A$5001,"&gt;="&amp;$C$7,BD!$A$3:$A$5001,"&lt;="&amp;$B161,BD!$X$3:$X$5001,"&lt;&gt;")=0,"",SUMIFS(BD!$X$3:$X$5001,BD!$B$3:$B$5001,U$140,BD!$A$3:$A$5001,_xlfn.MAXIFS(BD!$A$3:$A$5001,BD!$B$3:$B$5001,U$140,BD!$A$3:$A$5001,"&gt;="&amp;$C$7,BD!$A$3:$A$5001,"&lt;="&amp;$B161,BD!$X$3:$X$5001,"&lt;&gt;"))))</f>
        <v/>
      </c>
      <c r="V161" s="43" t="str">
        <f>IF(OR($B161="",$A161&gt;$B$9,V$140=""),"",IF(COUNTIFS(BD!$B$3:$B$5001,V$140,BD!$A$3:$A$5001,"&gt;="&amp;$C$7,BD!$A$3:$A$5001,"&lt;="&amp;$B161,BD!$X$3:$X$5001,"&lt;&gt;")=0,"",SUMIFS(BD!$X$3:$X$5001,BD!$B$3:$B$5001,V$140,BD!$A$3:$A$5001,_xlfn.MAXIFS(BD!$A$3:$A$5001,BD!$B$3:$B$5001,V$140,BD!$A$3:$A$5001,"&gt;="&amp;$C$7,BD!$A$3:$A$5001,"&lt;="&amp;$B161,BD!$X$3:$X$5001,"&lt;&gt;"))))</f>
        <v/>
      </c>
    </row>
    <row r="162">
      <c r="A162" s="38">
        <v>22</v>
      </c>
      <c r="B162" s="42">
        <f>$B$33</f>
        <v>46317</v>
      </c>
      <c r="C162" s="43" t="str">
        <f>IF(OR($B162="",$A162&gt;$B$9,C$140=""),"",IF(COUNTIFS(BD!$B$3:$B$5001,C$140,BD!$A$3:$A$5001,"&gt;="&amp;$C$7,BD!$A$3:$A$5001,"&lt;="&amp;$B162,BD!$X$3:$X$5001,"&lt;&gt;")=0,"",SUMIFS(BD!$X$3:$X$5001,BD!$B$3:$B$5001,C$140,BD!$A$3:$A$5001,_xlfn.MAXIFS(BD!$A$3:$A$5001,BD!$B$3:$B$5001,C$140,BD!$A$3:$A$5001,"&gt;="&amp;$C$7,BD!$A$3:$A$5001,"&lt;="&amp;$B162,BD!$X$3:$X$5001,"&lt;&gt;"))))</f>
        <v/>
      </c>
      <c r="D162" s="43" t="str">
        <f>IF(OR($B162="",$A162&gt;$B$9,D$140=""),"",IF(COUNTIFS(BD!$B$3:$B$5001,D$140,BD!$A$3:$A$5001,"&gt;="&amp;$C$7,BD!$A$3:$A$5001,"&lt;="&amp;$B162,BD!$X$3:$X$5001,"&lt;&gt;")=0,"",SUMIFS(BD!$X$3:$X$5001,BD!$B$3:$B$5001,D$140,BD!$A$3:$A$5001,_xlfn.MAXIFS(BD!$A$3:$A$5001,BD!$B$3:$B$5001,D$140,BD!$A$3:$A$5001,"&gt;="&amp;$C$7,BD!$A$3:$A$5001,"&lt;="&amp;$B162,BD!$X$3:$X$5001,"&lt;&gt;"))))</f>
        <v/>
      </c>
      <c r="E162" s="43" t="str">
        <f>IF(OR($B162="",$A162&gt;$B$9,E$140=""),"",IF(COUNTIFS(BD!$B$3:$B$5001,E$140,BD!$A$3:$A$5001,"&gt;="&amp;$C$7,BD!$A$3:$A$5001,"&lt;="&amp;$B162,BD!$X$3:$X$5001,"&lt;&gt;")=0,"",SUMIFS(BD!$X$3:$X$5001,BD!$B$3:$B$5001,E$140,BD!$A$3:$A$5001,_xlfn.MAXIFS(BD!$A$3:$A$5001,BD!$B$3:$B$5001,E$140,BD!$A$3:$A$5001,"&gt;="&amp;$C$7,BD!$A$3:$A$5001,"&lt;="&amp;$B162,BD!$X$3:$X$5001,"&lt;&gt;"))))</f>
        <v/>
      </c>
      <c r="F162" s="43" t="str">
        <f>IF(OR($B162="",$A162&gt;$B$9,F$140=""),"",IF(COUNTIFS(BD!$B$3:$B$5001,F$140,BD!$A$3:$A$5001,"&gt;="&amp;$C$7,BD!$A$3:$A$5001,"&lt;="&amp;$B162,BD!$X$3:$X$5001,"&lt;&gt;")=0,"",SUMIFS(BD!$X$3:$X$5001,BD!$B$3:$B$5001,F$140,BD!$A$3:$A$5001,_xlfn.MAXIFS(BD!$A$3:$A$5001,BD!$B$3:$B$5001,F$140,BD!$A$3:$A$5001,"&gt;="&amp;$C$7,BD!$A$3:$A$5001,"&lt;="&amp;$B162,BD!$X$3:$X$5001,"&lt;&gt;"))))</f>
        <v/>
      </c>
      <c r="G162" s="43" t="str">
        <f>IF(OR($B162="",$A162&gt;$B$9,G$140=""),"",IF(COUNTIFS(BD!$B$3:$B$5001,G$140,BD!$A$3:$A$5001,"&gt;="&amp;$C$7,BD!$A$3:$A$5001,"&lt;="&amp;$B162,BD!$X$3:$X$5001,"&lt;&gt;")=0,"",SUMIFS(BD!$X$3:$X$5001,BD!$B$3:$B$5001,G$140,BD!$A$3:$A$5001,_xlfn.MAXIFS(BD!$A$3:$A$5001,BD!$B$3:$B$5001,G$140,BD!$A$3:$A$5001,"&gt;="&amp;$C$7,BD!$A$3:$A$5001,"&lt;="&amp;$B162,BD!$X$3:$X$5001,"&lt;&gt;"))))</f>
        <v/>
      </c>
      <c r="H162" s="43" t="str">
        <f>IF(OR($B162="",$A162&gt;$B$9,H$140=""),"",IF(COUNTIFS(BD!$B$3:$B$5001,H$140,BD!$A$3:$A$5001,"&gt;="&amp;$C$7,BD!$A$3:$A$5001,"&lt;="&amp;$B162,BD!$X$3:$X$5001,"&lt;&gt;")=0,"",SUMIFS(BD!$X$3:$X$5001,BD!$B$3:$B$5001,H$140,BD!$A$3:$A$5001,_xlfn.MAXIFS(BD!$A$3:$A$5001,BD!$B$3:$B$5001,H$140,BD!$A$3:$A$5001,"&gt;="&amp;$C$7,BD!$A$3:$A$5001,"&lt;="&amp;$B162,BD!$X$3:$X$5001,"&lt;&gt;"))))</f>
        <v/>
      </c>
      <c r="I162" s="43" t="str">
        <f>IF(OR($B162="",$A162&gt;$B$9,I$140=""),"",IF(COUNTIFS(BD!$B$3:$B$5001,I$140,BD!$A$3:$A$5001,"&gt;="&amp;$C$7,BD!$A$3:$A$5001,"&lt;="&amp;$B162,BD!$X$3:$X$5001,"&lt;&gt;")=0,"",SUMIFS(BD!$X$3:$X$5001,BD!$B$3:$B$5001,I$140,BD!$A$3:$A$5001,_xlfn.MAXIFS(BD!$A$3:$A$5001,BD!$B$3:$B$5001,I$140,BD!$A$3:$A$5001,"&gt;="&amp;$C$7,BD!$A$3:$A$5001,"&lt;="&amp;$B162,BD!$X$3:$X$5001,"&lt;&gt;"))))</f>
        <v/>
      </c>
      <c r="J162" s="43" t="str">
        <f>IF(OR($B162="",$A162&gt;$B$9,J$140=""),"",IF(COUNTIFS(BD!$B$3:$B$5001,J$140,BD!$A$3:$A$5001,"&gt;="&amp;$C$7,BD!$A$3:$A$5001,"&lt;="&amp;$B162,BD!$X$3:$X$5001,"&lt;&gt;")=0,"",SUMIFS(BD!$X$3:$X$5001,BD!$B$3:$B$5001,J$140,BD!$A$3:$A$5001,_xlfn.MAXIFS(BD!$A$3:$A$5001,BD!$B$3:$B$5001,J$140,BD!$A$3:$A$5001,"&gt;="&amp;$C$7,BD!$A$3:$A$5001,"&lt;="&amp;$B162,BD!$X$3:$X$5001,"&lt;&gt;"))))</f>
        <v/>
      </c>
      <c r="K162" s="43" t="str">
        <f>IF(OR($B162="",$A162&gt;$B$9,K$140=""),"",IF(COUNTIFS(BD!$B$3:$B$5001,K$140,BD!$A$3:$A$5001,"&gt;="&amp;$C$7,BD!$A$3:$A$5001,"&lt;="&amp;$B162,BD!$X$3:$X$5001,"&lt;&gt;")=0,"",SUMIFS(BD!$X$3:$X$5001,BD!$B$3:$B$5001,K$140,BD!$A$3:$A$5001,_xlfn.MAXIFS(BD!$A$3:$A$5001,BD!$B$3:$B$5001,K$140,BD!$A$3:$A$5001,"&gt;="&amp;$C$7,BD!$A$3:$A$5001,"&lt;="&amp;$B162,BD!$X$3:$X$5001,"&lt;&gt;"))))</f>
        <v/>
      </c>
      <c r="L162" s="43" t="str">
        <f>IF(OR($B162="",$A162&gt;$B$9,L$140=""),"",IF(COUNTIFS(BD!$B$3:$B$5001,L$140,BD!$A$3:$A$5001,"&gt;="&amp;$C$7,BD!$A$3:$A$5001,"&lt;="&amp;$B162,BD!$X$3:$X$5001,"&lt;&gt;")=0,"",SUMIFS(BD!$X$3:$X$5001,BD!$B$3:$B$5001,L$140,BD!$A$3:$A$5001,_xlfn.MAXIFS(BD!$A$3:$A$5001,BD!$B$3:$B$5001,L$140,BD!$A$3:$A$5001,"&gt;="&amp;$C$7,BD!$A$3:$A$5001,"&lt;="&amp;$B162,BD!$X$3:$X$5001,"&lt;&gt;"))))</f>
        <v/>
      </c>
      <c r="M162" s="43" t="str">
        <f>IF(OR($B162="",$A162&gt;$B$9,M$140=""),"",IF(COUNTIFS(BD!$B$3:$B$5001,M$140,BD!$A$3:$A$5001,"&gt;="&amp;$C$7,BD!$A$3:$A$5001,"&lt;="&amp;$B162,BD!$X$3:$X$5001,"&lt;&gt;")=0,"",SUMIFS(BD!$X$3:$X$5001,BD!$B$3:$B$5001,M$140,BD!$A$3:$A$5001,_xlfn.MAXIFS(BD!$A$3:$A$5001,BD!$B$3:$B$5001,M$140,BD!$A$3:$A$5001,"&gt;="&amp;$C$7,BD!$A$3:$A$5001,"&lt;="&amp;$B162,BD!$X$3:$X$5001,"&lt;&gt;"))))</f>
        <v/>
      </c>
      <c r="N162" s="43" t="str">
        <f>IF(OR($B162="",$A162&gt;$B$9,N$140=""),"",IF(COUNTIFS(BD!$B$3:$B$5001,N$140,BD!$A$3:$A$5001,"&gt;="&amp;$C$7,BD!$A$3:$A$5001,"&lt;="&amp;$B162,BD!$X$3:$X$5001,"&lt;&gt;")=0,"",SUMIFS(BD!$X$3:$X$5001,BD!$B$3:$B$5001,N$140,BD!$A$3:$A$5001,_xlfn.MAXIFS(BD!$A$3:$A$5001,BD!$B$3:$B$5001,N$140,BD!$A$3:$A$5001,"&gt;="&amp;$C$7,BD!$A$3:$A$5001,"&lt;="&amp;$B162,BD!$X$3:$X$5001,"&lt;&gt;"))))</f>
        <v/>
      </c>
      <c r="O162" s="43" t="str">
        <f>IF(OR($B162="",$A162&gt;$B$9,O$140=""),"",IF(COUNTIFS(BD!$B$3:$B$5001,O$140,BD!$A$3:$A$5001,"&gt;="&amp;$C$7,BD!$A$3:$A$5001,"&lt;="&amp;$B162,BD!$X$3:$X$5001,"&lt;&gt;")=0,"",SUMIFS(BD!$X$3:$X$5001,BD!$B$3:$B$5001,O$140,BD!$A$3:$A$5001,_xlfn.MAXIFS(BD!$A$3:$A$5001,BD!$B$3:$B$5001,O$140,BD!$A$3:$A$5001,"&gt;="&amp;$C$7,BD!$A$3:$A$5001,"&lt;="&amp;$B162,BD!$X$3:$X$5001,"&lt;&gt;"))))</f>
        <v/>
      </c>
      <c r="P162" s="43" t="str">
        <f>IF(OR($B162="",$A162&gt;$B$9,P$140=""),"",IF(COUNTIFS(BD!$B$3:$B$5001,P$140,BD!$A$3:$A$5001,"&gt;="&amp;$C$7,BD!$A$3:$A$5001,"&lt;="&amp;$B162,BD!$X$3:$X$5001,"&lt;&gt;")=0,"",SUMIFS(BD!$X$3:$X$5001,BD!$B$3:$B$5001,P$140,BD!$A$3:$A$5001,_xlfn.MAXIFS(BD!$A$3:$A$5001,BD!$B$3:$B$5001,P$140,BD!$A$3:$A$5001,"&gt;="&amp;$C$7,BD!$A$3:$A$5001,"&lt;="&amp;$B162,BD!$X$3:$X$5001,"&lt;&gt;"))))</f>
        <v/>
      </c>
      <c r="Q162" s="43" t="str">
        <f>IF(OR($B162="",$A162&gt;$B$9,Q$140=""),"",IF(COUNTIFS(BD!$B$3:$B$5001,Q$140,BD!$A$3:$A$5001,"&gt;="&amp;$C$7,BD!$A$3:$A$5001,"&lt;="&amp;$B162,BD!$X$3:$X$5001,"&lt;&gt;")=0,"",SUMIFS(BD!$X$3:$X$5001,BD!$B$3:$B$5001,Q$140,BD!$A$3:$A$5001,_xlfn.MAXIFS(BD!$A$3:$A$5001,BD!$B$3:$B$5001,Q$140,BD!$A$3:$A$5001,"&gt;="&amp;$C$7,BD!$A$3:$A$5001,"&lt;="&amp;$B162,BD!$X$3:$X$5001,"&lt;&gt;"))))</f>
        <v/>
      </c>
      <c r="R162" s="43" t="str">
        <f>IF(OR($B162="",$A162&gt;$B$9,R$140=""),"",IF(COUNTIFS(BD!$B$3:$B$5001,R$140,BD!$A$3:$A$5001,"&gt;="&amp;$C$7,BD!$A$3:$A$5001,"&lt;="&amp;$B162,BD!$X$3:$X$5001,"&lt;&gt;")=0,"",SUMIFS(BD!$X$3:$X$5001,BD!$B$3:$B$5001,R$140,BD!$A$3:$A$5001,_xlfn.MAXIFS(BD!$A$3:$A$5001,BD!$B$3:$B$5001,R$140,BD!$A$3:$A$5001,"&gt;="&amp;$C$7,BD!$A$3:$A$5001,"&lt;="&amp;$B162,BD!$X$3:$X$5001,"&lt;&gt;"))))</f>
        <v/>
      </c>
      <c r="S162" s="43" t="str">
        <f>IF(OR($B162="",$A162&gt;$B$9,S$140=""),"",IF(COUNTIFS(BD!$B$3:$B$5001,S$140,BD!$A$3:$A$5001,"&gt;="&amp;$C$7,BD!$A$3:$A$5001,"&lt;="&amp;$B162,BD!$X$3:$X$5001,"&lt;&gt;")=0,"",SUMIFS(BD!$X$3:$X$5001,BD!$B$3:$B$5001,S$140,BD!$A$3:$A$5001,_xlfn.MAXIFS(BD!$A$3:$A$5001,BD!$B$3:$B$5001,S$140,BD!$A$3:$A$5001,"&gt;="&amp;$C$7,BD!$A$3:$A$5001,"&lt;="&amp;$B162,BD!$X$3:$X$5001,"&lt;&gt;"))))</f>
        <v/>
      </c>
      <c r="T162" s="43" t="str">
        <f>IF(OR($B162="",$A162&gt;$B$9,T$140=""),"",IF(COUNTIFS(BD!$B$3:$B$5001,T$140,BD!$A$3:$A$5001,"&gt;="&amp;$C$7,BD!$A$3:$A$5001,"&lt;="&amp;$B162,BD!$X$3:$X$5001,"&lt;&gt;")=0,"",SUMIFS(BD!$X$3:$X$5001,BD!$B$3:$B$5001,T$140,BD!$A$3:$A$5001,_xlfn.MAXIFS(BD!$A$3:$A$5001,BD!$B$3:$B$5001,T$140,BD!$A$3:$A$5001,"&gt;="&amp;$C$7,BD!$A$3:$A$5001,"&lt;="&amp;$B162,BD!$X$3:$X$5001,"&lt;&gt;"))))</f>
        <v/>
      </c>
      <c r="U162" s="43" t="str">
        <f>IF(OR($B162="",$A162&gt;$B$9,U$140=""),"",IF(COUNTIFS(BD!$B$3:$B$5001,U$140,BD!$A$3:$A$5001,"&gt;="&amp;$C$7,BD!$A$3:$A$5001,"&lt;="&amp;$B162,BD!$X$3:$X$5001,"&lt;&gt;")=0,"",SUMIFS(BD!$X$3:$X$5001,BD!$B$3:$B$5001,U$140,BD!$A$3:$A$5001,_xlfn.MAXIFS(BD!$A$3:$A$5001,BD!$B$3:$B$5001,U$140,BD!$A$3:$A$5001,"&gt;="&amp;$C$7,BD!$A$3:$A$5001,"&lt;="&amp;$B162,BD!$X$3:$X$5001,"&lt;&gt;"))))</f>
        <v/>
      </c>
      <c r="V162" s="43" t="str">
        <f>IF(OR($B162="",$A162&gt;$B$9,V$140=""),"",IF(COUNTIFS(BD!$B$3:$B$5001,V$140,BD!$A$3:$A$5001,"&gt;="&amp;$C$7,BD!$A$3:$A$5001,"&lt;="&amp;$B162,BD!$X$3:$X$5001,"&lt;&gt;")=0,"",SUMIFS(BD!$X$3:$X$5001,BD!$B$3:$B$5001,V$140,BD!$A$3:$A$5001,_xlfn.MAXIFS(BD!$A$3:$A$5001,BD!$B$3:$B$5001,V$140,BD!$A$3:$A$5001,"&gt;="&amp;$C$7,BD!$A$3:$A$5001,"&lt;="&amp;$B162,BD!$X$3:$X$5001,"&lt;&gt;"))))</f>
        <v/>
      </c>
    </row>
    <row r="163">
      <c r="A163" s="38">
        <v>23</v>
      </c>
      <c r="B163" s="42">
        <f>$B$34</f>
        <v>46318</v>
      </c>
      <c r="C163" s="43" t="str">
        <f>IF(OR($B163="",$A163&gt;$B$9,C$140=""),"",IF(COUNTIFS(BD!$B$3:$B$5001,C$140,BD!$A$3:$A$5001,"&gt;="&amp;$C$7,BD!$A$3:$A$5001,"&lt;="&amp;$B163,BD!$X$3:$X$5001,"&lt;&gt;")=0,"",SUMIFS(BD!$X$3:$X$5001,BD!$B$3:$B$5001,C$140,BD!$A$3:$A$5001,_xlfn.MAXIFS(BD!$A$3:$A$5001,BD!$B$3:$B$5001,C$140,BD!$A$3:$A$5001,"&gt;="&amp;$C$7,BD!$A$3:$A$5001,"&lt;="&amp;$B163,BD!$X$3:$X$5001,"&lt;&gt;"))))</f>
        <v/>
      </c>
      <c r="D163" s="43" t="str">
        <f>IF(OR($B163="",$A163&gt;$B$9,D$140=""),"",IF(COUNTIFS(BD!$B$3:$B$5001,D$140,BD!$A$3:$A$5001,"&gt;="&amp;$C$7,BD!$A$3:$A$5001,"&lt;="&amp;$B163,BD!$X$3:$X$5001,"&lt;&gt;")=0,"",SUMIFS(BD!$X$3:$X$5001,BD!$B$3:$B$5001,D$140,BD!$A$3:$A$5001,_xlfn.MAXIFS(BD!$A$3:$A$5001,BD!$B$3:$B$5001,D$140,BD!$A$3:$A$5001,"&gt;="&amp;$C$7,BD!$A$3:$A$5001,"&lt;="&amp;$B163,BD!$X$3:$X$5001,"&lt;&gt;"))))</f>
        <v/>
      </c>
      <c r="E163" s="43" t="str">
        <f>IF(OR($B163="",$A163&gt;$B$9,E$140=""),"",IF(COUNTIFS(BD!$B$3:$B$5001,E$140,BD!$A$3:$A$5001,"&gt;="&amp;$C$7,BD!$A$3:$A$5001,"&lt;="&amp;$B163,BD!$X$3:$X$5001,"&lt;&gt;")=0,"",SUMIFS(BD!$X$3:$X$5001,BD!$B$3:$B$5001,E$140,BD!$A$3:$A$5001,_xlfn.MAXIFS(BD!$A$3:$A$5001,BD!$B$3:$B$5001,E$140,BD!$A$3:$A$5001,"&gt;="&amp;$C$7,BD!$A$3:$A$5001,"&lt;="&amp;$B163,BD!$X$3:$X$5001,"&lt;&gt;"))))</f>
        <v/>
      </c>
      <c r="F163" s="43" t="str">
        <f>IF(OR($B163="",$A163&gt;$B$9,F$140=""),"",IF(COUNTIFS(BD!$B$3:$B$5001,F$140,BD!$A$3:$A$5001,"&gt;="&amp;$C$7,BD!$A$3:$A$5001,"&lt;="&amp;$B163,BD!$X$3:$X$5001,"&lt;&gt;")=0,"",SUMIFS(BD!$X$3:$X$5001,BD!$B$3:$B$5001,F$140,BD!$A$3:$A$5001,_xlfn.MAXIFS(BD!$A$3:$A$5001,BD!$B$3:$B$5001,F$140,BD!$A$3:$A$5001,"&gt;="&amp;$C$7,BD!$A$3:$A$5001,"&lt;="&amp;$B163,BD!$X$3:$X$5001,"&lt;&gt;"))))</f>
        <v/>
      </c>
      <c r="G163" s="43" t="str">
        <f>IF(OR($B163="",$A163&gt;$B$9,G$140=""),"",IF(COUNTIFS(BD!$B$3:$B$5001,G$140,BD!$A$3:$A$5001,"&gt;="&amp;$C$7,BD!$A$3:$A$5001,"&lt;="&amp;$B163,BD!$X$3:$X$5001,"&lt;&gt;")=0,"",SUMIFS(BD!$X$3:$X$5001,BD!$B$3:$B$5001,G$140,BD!$A$3:$A$5001,_xlfn.MAXIFS(BD!$A$3:$A$5001,BD!$B$3:$B$5001,G$140,BD!$A$3:$A$5001,"&gt;="&amp;$C$7,BD!$A$3:$A$5001,"&lt;="&amp;$B163,BD!$X$3:$X$5001,"&lt;&gt;"))))</f>
        <v/>
      </c>
      <c r="H163" s="43" t="str">
        <f>IF(OR($B163="",$A163&gt;$B$9,H$140=""),"",IF(COUNTIFS(BD!$B$3:$B$5001,H$140,BD!$A$3:$A$5001,"&gt;="&amp;$C$7,BD!$A$3:$A$5001,"&lt;="&amp;$B163,BD!$X$3:$X$5001,"&lt;&gt;")=0,"",SUMIFS(BD!$X$3:$X$5001,BD!$B$3:$B$5001,H$140,BD!$A$3:$A$5001,_xlfn.MAXIFS(BD!$A$3:$A$5001,BD!$B$3:$B$5001,H$140,BD!$A$3:$A$5001,"&gt;="&amp;$C$7,BD!$A$3:$A$5001,"&lt;="&amp;$B163,BD!$X$3:$X$5001,"&lt;&gt;"))))</f>
        <v/>
      </c>
      <c r="I163" s="43" t="str">
        <f>IF(OR($B163="",$A163&gt;$B$9,I$140=""),"",IF(COUNTIFS(BD!$B$3:$B$5001,I$140,BD!$A$3:$A$5001,"&gt;="&amp;$C$7,BD!$A$3:$A$5001,"&lt;="&amp;$B163,BD!$X$3:$X$5001,"&lt;&gt;")=0,"",SUMIFS(BD!$X$3:$X$5001,BD!$B$3:$B$5001,I$140,BD!$A$3:$A$5001,_xlfn.MAXIFS(BD!$A$3:$A$5001,BD!$B$3:$B$5001,I$140,BD!$A$3:$A$5001,"&gt;="&amp;$C$7,BD!$A$3:$A$5001,"&lt;="&amp;$B163,BD!$X$3:$X$5001,"&lt;&gt;"))))</f>
        <v/>
      </c>
      <c r="J163" s="43" t="str">
        <f>IF(OR($B163="",$A163&gt;$B$9,J$140=""),"",IF(COUNTIFS(BD!$B$3:$B$5001,J$140,BD!$A$3:$A$5001,"&gt;="&amp;$C$7,BD!$A$3:$A$5001,"&lt;="&amp;$B163,BD!$X$3:$X$5001,"&lt;&gt;")=0,"",SUMIFS(BD!$X$3:$X$5001,BD!$B$3:$B$5001,J$140,BD!$A$3:$A$5001,_xlfn.MAXIFS(BD!$A$3:$A$5001,BD!$B$3:$B$5001,J$140,BD!$A$3:$A$5001,"&gt;="&amp;$C$7,BD!$A$3:$A$5001,"&lt;="&amp;$B163,BD!$X$3:$X$5001,"&lt;&gt;"))))</f>
        <v/>
      </c>
      <c r="K163" s="43" t="str">
        <f>IF(OR($B163="",$A163&gt;$B$9,K$140=""),"",IF(COUNTIFS(BD!$B$3:$B$5001,K$140,BD!$A$3:$A$5001,"&gt;="&amp;$C$7,BD!$A$3:$A$5001,"&lt;="&amp;$B163,BD!$X$3:$X$5001,"&lt;&gt;")=0,"",SUMIFS(BD!$X$3:$X$5001,BD!$B$3:$B$5001,K$140,BD!$A$3:$A$5001,_xlfn.MAXIFS(BD!$A$3:$A$5001,BD!$B$3:$B$5001,K$140,BD!$A$3:$A$5001,"&gt;="&amp;$C$7,BD!$A$3:$A$5001,"&lt;="&amp;$B163,BD!$X$3:$X$5001,"&lt;&gt;"))))</f>
        <v/>
      </c>
      <c r="L163" s="43" t="str">
        <f>IF(OR($B163="",$A163&gt;$B$9,L$140=""),"",IF(COUNTIFS(BD!$B$3:$B$5001,L$140,BD!$A$3:$A$5001,"&gt;="&amp;$C$7,BD!$A$3:$A$5001,"&lt;="&amp;$B163,BD!$X$3:$X$5001,"&lt;&gt;")=0,"",SUMIFS(BD!$X$3:$X$5001,BD!$B$3:$B$5001,L$140,BD!$A$3:$A$5001,_xlfn.MAXIFS(BD!$A$3:$A$5001,BD!$B$3:$B$5001,L$140,BD!$A$3:$A$5001,"&gt;="&amp;$C$7,BD!$A$3:$A$5001,"&lt;="&amp;$B163,BD!$X$3:$X$5001,"&lt;&gt;"))))</f>
        <v/>
      </c>
      <c r="M163" s="43" t="str">
        <f>IF(OR($B163="",$A163&gt;$B$9,M$140=""),"",IF(COUNTIFS(BD!$B$3:$B$5001,M$140,BD!$A$3:$A$5001,"&gt;="&amp;$C$7,BD!$A$3:$A$5001,"&lt;="&amp;$B163,BD!$X$3:$X$5001,"&lt;&gt;")=0,"",SUMIFS(BD!$X$3:$X$5001,BD!$B$3:$B$5001,M$140,BD!$A$3:$A$5001,_xlfn.MAXIFS(BD!$A$3:$A$5001,BD!$B$3:$B$5001,M$140,BD!$A$3:$A$5001,"&gt;="&amp;$C$7,BD!$A$3:$A$5001,"&lt;="&amp;$B163,BD!$X$3:$X$5001,"&lt;&gt;"))))</f>
        <v/>
      </c>
      <c r="N163" s="43" t="str">
        <f>IF(OR($B163="",$A163&gt;$B$9,N$140=""),"",IF(COUNTIFS(BD!$B$3:$B$5001,N$140,BD!$A$3:$A$5001,"&gt;="&amp;$C$7,BD!$A$3:$A$5001,"&lt;="&amp;$B163,BD!$X$3:$X$5001,"&lt;&gt;")=0,"",SUMIFS(BD!$X$3:$X$5001,BD!$B$3:$B$5001,N$140,BD!$A$3:$A$5001,_xlfn.MAXIFS(BD!$A$3:$A$5001,BD!$B$3:$B$5001,N$140,BD!$A$3:$A$5001,"&gt;="&amp;$C$7,BD!$A$3:$A$5001,"&lt;="&amp;$B163,BD!$X$3:$X$5001,"&lt;&gt;"))))</f>
        <v/>
      </c>
      <c r="O163" s="43" t="str">
        <f>IF(OR($B163="",$A163&gt;$B$9,O$140=""),"",IF(COUNTIFS(BD!$B$3:$B$5001,O$140,BD!$A$3:$A$5001,"&gt;="&amp;$C$7,BD!$A$3:$A$5001,"&lt;="&amp;$B163,BD!$X$3:$X$5001,"&lt;&gt;")=0,"",SUMIFS(BD!$X$3:$X$5001,BD!$B$3:$B$5001,O$140,BD!$A$3:$A$5001,_xlfn.MAXIFS(BD!$A$3:$A$5001,BD!$B$3:$B$5001,O$140,BD!$A$3:$A$5001,"&gt;="&amp;$C$7,BD!$A$3:$A$5001,"&lt;="&amp;$B163,BD!$X$3:$X$5001,"&lt;&gt;"))))</f>
        <v/>
      </c>
      <c r="P163" s="43" t="str">
        <f>IF(OR($B163="",$A163&gt;$B$9,P$140=""),"",IF(COUNTIFS(BD!$B$3:$B$5001,P$140,BD!$A$3:$A$5001,"&gt;="&amp;$C$7,BD!$A$3:$A$5001,"&lt;="&amp;$B163,BD!$X$3:$X$5001,"&lt;&gt;")=0,"",SUMIFS(BD!$X$3:$X$5001,BD!$B$3:$B$5001,P$140,BD!$A$3:$A$5001,_xlfn.MAXIFS(BD!$A$3:$A$5001,BD!$B$3:$B$5001,P$140,BD!$A$3:$A$5001,"&gt;="&amp;$C$7,BD!$A$3:$A$5001,"&lt;="&amp;$B163,BD!$X$3:$X$5001,"&lt;&gt;"))))</f>
        <v/>
      </c>
      <c r="Q163" s="43" t="str">
        <f>IF(OR($B163="",$A163&gt;$B$9,Q$140=""),"",IF(COUNTIFS(BD!$B$3:$B$5001,Q$140,BD!$A$3:$A$5001,"&gt;="&amp;$C$7,BD!$A$3:$A$5001,"&lt;="&amp;$B163,BD!$X$3:$X$5001,"&lt;&gt;")=0,"",SUMIFS(BD!$X$3:$X$5001,BD!$B$3:$B$5001,Q$140,BD!$A$3:$A$5001,_xlfn.MAXIFS(BD!$A$3:$A$5001,BD!$B$3:$B$5001,Q$140,BD!$A$3:$A$5001,"&gt;="&amp;$C$7,BD!$A$3:$A$5001,"&lt;="&amp;$B163,BD!$X$3:$X$5001,"&lt;&gt;"))))</f>
        <v/>
      </c>
      <c r="R163" s="43" t="str">
        <f>IF(OR($B163="",$A163&gt;$B$9,R$140=""),"",IF(COUNTIFS(BD!$B$3:$B$5001,R$140,BD!$A$3:$A$5001,"&gt;="&amp;$C$7,BD!$A$3:$A$5001,"&lt;="&amp;$B163,BD!$X$3:$X$5001,"&lt;&gt;")=0,"",SUMIFS(BD!$X$3:$X$5001,BD!$B$3:$B$5001,R$140,BD!$A$3:$A$5001,_xlfn.MAXIFS(BD!$A$3:$A$5001,BD!$B$3:$B$5001,R$140,BD!$A$3:$A$5001,"&gt;="&amp;$C$7,BD!$A$3:$A$5001,"&lt;="&amp;$B163,BD!$X$3:$X$5001,"&lt;&gt;"))))</f>
        <v/>
      </c>
      <c r="S163" s="43" t="str">
        <f>IF(OR($B163="",$A163&gt;$B$9,S$140=""),"",IF(COUNTIFS(BD!$B$3:$B$5001,S$140,BD!$A$3:$A$5001,"&gt;="&amp;$C$7,BD!$A$3:$A$5001,"&lt;="&amp;$B163,BD!$X$3:$X$5001,"&lt;&gt;")=0,"",SUMIFS(BD!$X$3:$X$5001,BD!$B$3:$B$5001,S$140,BD!$A$3:$A$5001,_xlfn.MAXIFS(BD!$A$3:$A$5001,BD!$B$3:$B$5001,S$140,BD!$A$3:$A$5001,"&gt;="&amp;$C$7,BD!$A$3:$A$5001,"&lt;="&amp;$B163,BD!$X$3:$X$5001,"&lt;&gt;"))))</f>
        <v/>
      </c>
      <c r="T163" s="43" t="str">
        <f>IF(OR($B163="",$A163&gt;$B$9,T$140=""),"",IF(COUNTIFS(BD!$B$3:$B$5001,T$140,BD!$A$3:$A$5001,"&gt;="&amp;$C$7,BD!$A$3:$A$5001,"&lt;="&amp;$B163,BD!$X$3:$X$5001,"&lt;&gt;")=0,"",SUMIFS(BD!$X$3:$X$5001,BD!$B$3:$B$5001,T$140,BD!$A$3:$A$5001,_xlfn.MAXIFS(BD!$A$3:$A$5001,BD!$B$3:$B$5001,T$140,BD!$A$3:$A$5001,"&gt;="&amp;$C$7,BD!$A$3:$A$5001,"&lt;="&amp;$B163,BD!$X$3:$X$5001,"&lt;&gt;"))))</f>
        <v/>
      </c>
      <c r="U163" s="43" t="str">
        <f>IF(OR($B163="",$A163&gt;$B$9,U$140=""),"",IF(COUNTIFS(BD!$B$3:$B$5001,U$140,BD!$A$3:$A$5001,"&gt;="&amp;$C$7,BD!$A$3:$A$5001,"&lt;="&amp;$B163,BD!$X$3:$X$5001,"&lt;&gt;")=0,"",SUMIFS(BD!$X$3:$X$5001,BD!$B$3:$B$5001,U$140,BD!$A$3:$A$5001,_xlfn.MAXIFS(BD!$A$3:$A$5001,BD!$B$3:$B$5001,U$140,BD!$A$3:$A$5001,"&gt;="&amp;$C$7,BD!$A$3:$A$5001,"&lt;="&amp;$B163,BD!$X$3:$X$5001,"&lt;&gt;"))))</f>
        <v/>
      </c>
      <c r="V163" s="43" t="str">
        <f>IF(OR($B163="",$A163&gt;$B$9,V$140=""),"",IF(COUNTIFS(BD!$B$3:$B$5001,V$140,BD!$A$3:$A$5001,"&gt;="&amp;$C$7,BD!$A$3:$A$5001,"&lt;="&amp;$B163,BD!$X$3:$X$5001,"&lt;&gt;")=0,"",SUMIFS(BD!$X$3:$X$5001,BD!$B$3:$B$5001,V$140,BD!$A$3:$A$5001,_xlfn.MAXIFS(BD!$A$3:$A$5001,BD!$B$3:$B$5001,V$140,BD!$A$3:$A$5001,"&gt;="&amp;$C$7,BD!$A$3:$A$5001,"&lt;="&amp;$B163,BD!$X$3:$X$5001,"&lt;&gt;"))))</f>
        <v/>
      </c>
    </row>
    <row r="164">
      <c r="A164" s="38">
        <v>24</v>
      </c>
      <c r="B164" s="42">
        <f>$B$35</f>
        <v>46319</v>
      </c>
      <c r="C164" s="43" t="str">
        <f>IF(OR($B164="",$A164&gt;$B$9,C$140=""),"",IF(COUNTIFS(BD!$B$3:$B$5001,C$140,BD!$A$3:$A$5001,"&gt;="&amp;$C$7,BD!$A$3:$A$5001,"&lt;="&amp;$B164,BD!$X$3:$X$5001,"&lt;&gt;")=0,"",SUMIFS(BD!$X$3:$X$5001,BD!$B$3:$B$5001,C$140,BD!$A$3:$A$5001,_xlfn.MAXIFS(BD!$A$3:$A$5001,BD!$B$3:$B$5001,C$140,BD!$A$3:$A$5001,"&gt;="&amp;$C$7,BD!$A$3:$A$5001,"&lt;="&amp;$B164,BD!$X$3:$X$5001,"&lt;&gt;"))))</f>
        <v/>
      </c>
      <c r="D164" s="43" t="str">
        <f>IF(OR($B164="",$A164&gt;$B$9,D$140=""),"",IF(COUNTIFS(BD!$B$3:$B$5001,D$140,BD!$A$3:$A$5001,"&gt;="&amp;$C$7,BD!$A$3:$A$5001,"&lt;="&amp;$B164,BD!$X$3:$X$5001,"&lt;&gt;")=0,"",SUMIFS(BD!$X$3:$X$5001,BD!$B$3:$B$5001,D$140,BD!$A$3:$A$5001,_xlfn.MAXIFS(BD!$A$3:$A$5001,BD!$B$3:$B$5001,D$140,BD!$A$3:$A$5001,"&gt;="&amp;$C$7,BD!$A$3:$A$5001,"&lt;="&amp;$B164,BD!$X$3:$X$5001,"&lt;&gt;"))))</f>
        <v/>
      </c>
      <c r="E164" s="43" t="str">
        <f>IF(OR($B164="",$A164&gt;$B$9,E$140=""),"",IF(COUNTIFS(BD!$B$3:$B$5001,E$140,BD!$A$3:$A$5001,"&gt;="&amp;$C$7,BD!$A$3:$A$5001,"&lt;="&amp;$B164,BD!$X$3:$X$5001,"&lt;&gt;")=0,"",SUMIFS(BD!$X$3:$X$5001,BD!$B$3:$B$5001,E$140,BD!$A$3:$A$5001,_xlfn.MAXIFS(BD!$A$3:$A$5001,BD!$B$3:$B$5001,E$140,BD!$A$3:$A$5001,"&gt;="&amp;$C$7,BD!$A$3:$A$5001,"&lt;="&amp;$B164,BD!$X$3:$X$5001,"&lt;&gt;"))))</f>
        <v/>
      </c>
      <c r="F164" s="43" t="str">
        <f>IF(OR($B164="",$A164&gt;$B$9,F$140=""),"",IF(COUNTIFS(BD!$B$3:$B$5001,F$140,BD!$A$3:$A$5001,"&gt;="&amp;$C$7,BD!$A$3:$A$5001,"&lt;="&amp;$B164,BD!$X$3:$X$5001,"&lt;&gt;")=0,"",SUMIFS(BD!$X$3:$X$5001,BD!$B$3:$B$5001,F$140,BD!$A$3:$A$5001,_xlfn.MAXIFS(BD!$A$3:$A$5001,BD!$B$3:$B$5001,F$140,BD!$A$3:$A$5001,"&gt;="&amp;$C$7,BD!$A$3:$A$5001,"&lt;="&amp;$B164,BD!$X$3:$X$5001,"&lt;&gt;"))))</f>
        <v/>
      </c>
      <c r="G164" s="43" t="str">
        <f>IF(OR($B164="",$A164&gt;$B$9,G$140=""),"",IF(COUNTIFS(BD!$B$3:$B$5001,G$140,BD!$A$3:$A$5001,"&gt;="&amp;$C$7,BD!$A$3:$A$5001,"&lt;="&amp;$B164,BD!$X$3:$X$5001,"&lt;&gt;")=0,"",SUMIFS(BD!$X$3:$X$5001,BD!$B$3:$B$5001,G$140,BD!$A$3:$A$5001,_xlfn.MAXIFS(BD!$A$3:$A$5001,BD!$B$3:$B$5001,G$140,BD!$A$3:$A$5001,"&gt;="&amp;$C$7,BD!$A$3:$A$5001,"&lt;="&amp;$B164,BD!$X$3:$X$5001,"&lt;&gt;"))))</f>
        <v/>
      </c>
      <c r="H164" s="43" t="str">
        <f>IF(OR($B164="",$A164&gt;$B$9,H$140=""),"",IF(COUNTIFS(BD!$B$3:$B$5001,H$140,BD!$A$3:$A$5001,"&gt;="&amp;$C$7,BD!$A$3:$A$5001,"&lt;="&amp;$B164,BD!$X$3:$X$5001,"&lt;&gt;")=0,"",SUMIFS(BD!$X$3:$X$5001,BD!$B$3:$B$5001,H$140,BD!$A$3:$A$5001,_xlfn.MAXIFS(BD!$A$3:$A$5001,BD!$B$3:$B$5001,H$140,BD!$A$3:$A$5001,"&gt;="&amp;$C$7,BD!$A$3:$A$5001,"&lt;="&amp;$B164,BD!$X$3:$X$5001,"&lt;&gt;"))))</f>
        <v/>
      </c>
      <c r="I164" s="43" t="str">
        <f>IF(OR($B164="",$A164&gt;$B$9,I$140=""),"",IF(COUNTIFS(BD!$B$3:$B$5001,I$140,BD!$A$3:$A$5001,"&gt;="&amp;$C$7,BD!$A$3:$A$5001,"&lt;="&amp;$B164,BD!$X$3:$X$5001,"&lt;&gt;")=0,"",SUMIFS(BD!$X$3:$X$5001,BD!$B$3:$B$5001,I$140,BD!$A$3:$A$5001,_xlfn.MAXIFS(BD!$A$3:$A$5001,BD!$B$3:$B$5001,I$140,BD!$A$3:$A$5001,"&gt;="&amp;$C$7,BD!$A$3:$A$5001,"&lt;="&amp;$B164,BD!$X$3:$X$5001,"&lt;&gt;"))))</f>
        <v/>
      </c>
      <c r="J164" s="43" t="str">
        <f>IF(OR($B164="",$A164&gt;$B$9,J$140=""),"",IF(COUNTIFS(BD!$B$3:$B$5001,J$140,BD!$A$3:$A$5001,"&gt;="&amp;$C$7,BD!$A$3:$A$5001,"&lt;="&amp;$B164,BD!$X$3:$X$5001,"&lt;&gt;")=0,"",SUMIFS(BD!$X$3:$X$5001,BD!$B$3:$B$5001,J$140,BD!$A$3:$A$5001,_xlfn.MAXIFS(BD!$A$3:$A$5001,BD!$B$3:$B$5001,J$140,BD!$A$3:$A$5001,"&gt;="&amp;$C$7,BD!$A$3:$A$5001,"&lt;="&amp;$B164,BD!$X$3:$X$5001,"&lt;&gt;"))))</f>
        <v/>
      </c>
      <c r="K164" s="43" t="str">
        <f>IF(OR($B164="",$A164&gt;$B$9,K$140=""),"",IF(COUNTIFS(BD!$B$3:$B$5001,K$140,BD!$A$3:$A$5001,"&gt;="&amp;$C$7,BD!$A$3:$A$5001,"&lt;="&amp;$B164,BD!$X$3:$X$5001,"&lt;&gt;")=0,"",SUMIFS(BD!$X$3:$X$5001,BD!$B$3:$B$5001,K$140,BD!$A$3:$A$5001,_xlfn.MAXIFS(BD!$A$3:$A$5001,BD!$B$3:$B$5001,K$140,BD!$A$3:$A$5001,"&gt;="&amp;$C$7,BD!$A$3:$A$5001,"&lt;="&amp;$B164,BD!$X$3:$X$5001,"&lt;&gt;"))))</f>
        <v/>
      </c>
      <c r="L164" s="43" t="str">
        <f>IF(OR($B164="",$A164&gt;$B$9,L$140=""),"",IF(COUNTIFS(BD!$B$3:$B$5001,L$140,BD!$A$3:$A$5001,"&gt;="&amp;$C$7,BD!$A$3:$A$5001,"&lt;="&amp;$B164,BD!$X$3:$X$5001,"&lt;&gt;")=0,"",SUMIFS(BD!$X$3:$X$5001,BD!$B$3:$B$5001,L$140,BD!$A$3:$A$5001,_xlfn.MAXIFS(BD!$A$3:$A$5001,BD!$B$3:$B$5001,L$140,BD!$A$3:$A$5001,"&gt;="&amp;$C$7,BD!$A$3:$A$5001,"&lt;="&amp;$B164,BD!$X$3:$X$5001,"&lt;&gt;"))))</f>
        <v/>
      </c>
      <c r="M164" s="43" t="str">
        <f>IF(OR($B164="",$A164&gt;$B$9,M$140=""),"",IF(COUNTIFS(BD!$B$3:$B$5001,M$140,BD!$A$3:$A$5001,"&gt;="&amp;$C$7,BD!$A$3:$A$5001,"&lt;="&amp;$B164,BD!$X$3:$X$5001,"&lt;&gt;")=0,"",SUMIFS(BD!$X$3:$X$5001,BD!$B$3:$B$5001,M$140,BD!$A$3:$A$5001,_xlfn.MAXIFS(BD!$A$3:$A$5001,BD!$B$3:$B$5001,M$140,BD!$A$3:$A$5001,"&gt;="&amp;$C$7,BD!$A$3:$A$5001,"&lt;="&amp;$B164,BD!$X$3:$X$5001,"&lt;&gt;"))))</f>
        <v/>
      </c>
      <c r="N164" s="43" t="str">
        <f>IF(OR($B164="",$A164&gt;$B$9,N$140=""),"",IF(COUNTIFS(BD!$B$3:$B$5001,N$140,BD!$A$3:$A$5001,"&gt;="&amp;$C$7,BD!$A$3:$A$5001,"&lt;="&amp;$B164,BD!$X$3:$X$5001,"&lt;&gt;")=0,"",SUMIFS(BD!$X$3:$X$5001,BD!$B$3:$B$5001,N$140,BD!$A$3:$A$5001,_xlfn.MAXIFS(BD!$A$3:$A$5001,BD!$B$3:$B$5001,N$140,BD!$A$3:$A$5001,"&gt;="&amp;$C$7,BD!$A$3:$A$5001,"&lt;="&amp;$B164,BD!$X$3:$X$5001,"&lt;&gt;"))))</f>
        <v/>
      </c>
      <c r="O164" s="43" t="str">
        <f>IF(OR($B164="",$A164&gt;$B$9,O$140=""),"",IF(COUNTIFS(BD!$B$3:$B$5001,O$140,BD!$A$3:$A$5001,"&gt;="&amp;$C$7,BD!$A$3:$A$5001,"&lt;="&amp;$B164,BD!$X$3:$X$5001,"&lt;&gt;")=0,"",SUMIFS(BD!$X$3:$X$5001,BD!$B$3:$B$5001,O$140,BD!$A$3:$A$5001,_xlfn.MAXIFS(BD!$A$3:$A$5001,BD!$B$3:$B$5001,O$140,BD!$A$3:$A$5001,"&gt;="&amp;$C$7,BD!$A$3:$A$5001,"&lt;="&amp;$B164,BD!$X$3:$X$5001,"&lt;&gt;"))))</f>
        <v/>
      </c>
      <c r="P164" s="43" t="str">
        <f>IF(OR($B164="",$A164&gt;$B$9,P$140=""),"",IF(COUNTIFS(BD!$B$3:$B$5001,P$140,BD!$A$3:$A$5001,"&gt;="&amp;$C$7,BD!$A$3:$A$5001,"&lt;="&amp;$B164,BD!$X$3:$X$5001,"&lt;&gt;")=0,"",SUMIFS(BD!$X$3:$X$5001,BD!$B$3:$B$5001,P$140,BD!$A$3:$A$5001,_xlfn.MAXIFS(BD!$A$3:$A$5001,BD!$B$3:$B$5001,P$140,BD!$A$3:$A$5001,"&gt;="&amp;$C$7,BD!$A$3:$A$5001,"&lt;="&amp;$B164,BD!$X$3:$X$5001,"&lt;&gt;"))))</f>
        <v/>
      </c>
      <c r="Q164" s="43" t="str">
        <f>IF(OR($B164="",$A164&gt;$B$9,Q$140=""),"",IF(COUNTIFS(BD!$B$3:$B$5001,Q$140,BD!$A$3:$A$5001,"&gt;="&amp;$C$7,BD!$A$3:$A$5001,"&lt;="&amp;$B164,BD!$X$3:$X$5001,"&lt;&gt;")=0,"",SUMIFS(BD!$X$3:$X$5001,BD!$B$3:$B$5001,Q$140,BD!$A$3:$A$5001,_xlfn.MAXIFS(BD!$A$3:$A$5001,BD!$B$3:$B$5001,Q$140,BD!$A$3:$A$5001,"&gt;="&amp;$C$7,BD!$A$3:$A$5001,"&lt;="&amp;$B164,BD!$X$3:$X$5001,"&lt;&gt;"))))</f>
        <v/>
      </c>
      <c r="R164" s="43" t="str">
        <f>IF(OR($B164="",$A164&gt;$B$9,R$140=""),"",IF(COUNTIFS(BD!$B$3:$B$5001,R$140,BD!$A$3:$A$5001,"&gt;="&amp;$C$7,BD!$A$3:$A$5001,"&lt;="&amp;$B164,BD!$X$3:$X$5001,"&lt;&gt;")=0,"",SUMIFS(BD!$X$3:$X$5001,BD!$B$3:$B$5001,R$140,BD!$A$3:$A$5001,_xlfn.MAXIFS(BD!$A$3:$A$5001,BD!$B$3:$B$5001,R$140,BD!$A$3:$A$5001,"&gt;="&amp;$C$7,BD!$A$3:$A$5001,"&lt;="&amp;$B164,BD!$X$3:$X$5001,"&lt;&gt;"))))</f>
        <v/>
      </c>
      <c r="S164" s="43" t="str">
        <f>IF(OR($B164="",$A164&gt;$B$9,S$140=""),"",IF(COUNTIFS(BD!$B$3:$B$5001,S$140,BD!$A$3:$A$5001,"&gt;="&amp;$C$7,BD!$A$3:$A$5001,"&lt;="&amp;$B164,BD!$X$3:$X$5001,"&lt;&gt;")=0,"",SUMIFS(BD!$X$3:$X$5001,BD!$B$3:$B$5001,S$140,BD!$A$3:$A$5001,_xlfn.MAXIFS(BD!$A$3:$A$5001,BD!$B$3:$B$5001,S$140,BD!$A$3:$A$5001,"&gt;="&amp;$C$7,BD!$A$3:$A$5001,"&lt;="&amp;$B164,BD!$X$3:$X$5001,"&lt;&gt;"))))</f>
        <v/>
      </c>
      <c r="T164" s="43" t="str">
        <f>IF(OR($B164="",$A164&gt;$B$9,T$140=""),"",IF(COUNTIFS(BD!$B$3:$B$5001,T$140,BD!$A$3:$A$5001,"&gt;="&amp;$C$7,BD!$A$3:$A$5001,"&lt;="&amp;$B164,BD!$X$3:$X$5001,"&lt;&gt;")=0,"",SUMIFS(BD!$X$3:$X$5001,BD!$B$3:$B$5001,T$140,BD!$A$3:$A$5001,_xlfn.MAXIFS(BD!$A$3:$A$5001,BD!$B$3:$B$5001,T$140,BD!$A$3:$A$5001,"&gt;="&amp;$C$7,BD!$A$3:$A$5001,"&lt;="&amp;$B164,BD!$X$3:$X$5001,"&lt;&gt;"))))</f>
        <v/>
      </c>
      <c r="U164" s="43" t="str">
        <f>IF(OR($B164="",$A164&gt;$B$9,U$140=""),"",IF(COUNTIFS(BD!$B$3:$B$5001,U$140,BD!$A$3:$A$5001,"&gt;="&amp;$C$7,BD!$A$3:$A$5001,"&lt;="&amp;$B164,BD!$X$3:$X$5001,"&lt;&gt;")=0,"",SUMIFS(BD!$X$3:$X$5001,BD!$B$3:$B$5001,U$140,BD!$A$3:$A$5001,_xlfn.MAXIFS(BD!$A$3:$A$5001,BD!$B$3:$B$5001,U$140,BD!$A$3:$A$5001,"&gt;="&amp;$C$7,BD!$A$3:$A$5001,"&lt;="&amp;$B164,BD!$X$3:$X$5001,"&lt;&gt;"))))</f>
        <v/>
      </c>
      <c r="V164" s="43" t="str">
        <f>IF(OR($B164="",$A164&gt;$B$9,V$140=""),"",IF(COUNTIFS(BD!$B$3:$B$5001,V$140,BD!$A$3:$A$5001,"&gt;="&amp;$C$7,BD!$A$3:$A$5001,"&lt;="&amp;$B164,BD!$X$3:$X$5001,"&lt;&gt;")=0,"",SUMIFS(BD!$X$3:$X$5001,BD!$B$3:$B$5001,V$140,BD!$A$3:$A$5001,_xlfn.MAXIFS(BD!$A$3:$A$5001,BD!$B$3:$B$5001,V$140,BD!$A$3:$A$5001,"&gt;="&amp;$C$7,BD!$A$3:$A$5001,"&lt;="&amp;$B164,BD!$X$3:$X$5001,"&lt;&gt;"))))</f>
        <v/>
      </c>
    </row>
    <row r="165">
      <c r="A165" s="38">
        <v>25</v>
      </c>
      <c r="B165" s="42">
        <f>$B$36</f>
        <v>46320</v>
      </c>
      <c r="C165" s="43" t="str">
        <f>IF(OR($B165="",$A165&gt;$B$9,C$140=""),"",IF(COUNTIFS(BD!$B$3:$B$5001,C$140,BD!$A$3:$A$5001,"&gt;="&amp;$C$7,BD!$A$3:$A$5001,"&lt;="&amp;$B165,BD!$X$3:$X$5001,"&lt;&gt;")=0,"",SUMIFS(BD!$X$3:$X$5001,BD!$B$3:$B$5001,C$140,BD!$A$3:$A$5001,_xlfn.MAXIFS(BD!$A$3:$A$5001,BD!$B$3:$B$5001,C$140,BD!$A$3:$A$5001,"&gt;="&amp;$C$7,BD!$A$3:$A$5001,"&lt;="&amp;$B165,BD!$X$3:$X$5001,"&lt;&gt;"))))</f>
        <v/>
      </c>
      <c r="D165" s="43" t="str">
        <f>IF(OR($B165="",$A165&gt;$B$9,D$140=""),"",IF(COUNTIFS(BD!$B$3:$B$5001,D$140,BD!$A$3:$A$5001,"&gt;="&amp;$C$7,BD!$A$3:$A$5001,"&lt;="&amp;$B165,BD!$X$3:$X$5001,"&lt;&gt;")=0,"",SUMIFS(BD!$X$3:$X$5001,BD!$B$3:$B$5001,D$140,BD!$A$3:$A$5001,_xlfn.MAXIFS(BD!$A$3:$A$5001,BD!$B$3:$B$5001,D$140,BD!$A$3:$A$5001,"&gt;="&amp;$C$7,BD!$A$3:$A$5001,"&lt;="&amp;$B165,BD!$X$3:$X$5001,"&lt;&gt;"))))</f>
        <v/>
      </c>
      <c r="E165" s="43" t="str">
        <f>IF(OR($B165="",$A165&gt;$B$9,E$140=""),"",IF(COUNTIFS(BD!$B$3:$B$5001,E$140,BD!$A$3:$A$5001,"&gt;="&amp;$C$7,BD!$A$3:$A$5001,"&lt;="&amp;$B165,BD!$X$3:$X$5001,"&lt;&gt;")=0,"",SUMIFS(BD!$X$3:$X$5001,BD!$B$3:$B$5001,E$140,BD!$A$3:$A$5001,_xlfn.MAXIFS(BD!$A$3:$A$5001,BD!$B$3:$B$5001,E$140,BD!$A$3:$A$5001,"&gt;="&amp;$C$7,BD!$A$3:$A$5001,"&lt;="&amp;$B165,BD!$X$3:$X$5001,"&lt;&gt;"))))</f>
        <v/>
      </c>
      <c r="F165" s="43" t="str">
        <f>IF(OR($B165="",$A165&gt;$B$9,F$140=""),"",IF(COUNTIFS(BD!$B$3:$B$5001,F$140,BD!$A$3:$A$5001,"&gt;="&amp;$C$7,BD!$A$3:$A$5001,"&lt;="&amp;$B165,BD!$X$3:$X$5001,"&lt;&gt;")=0,"",SUMIFS(BD!$X$3:$X$5001,BD!$B$3:$B$5001,F$140,BD!$A$3:$A$5001,_xlfn.MAXIFS(BD!$A$3:$A$5001,BD!$B$3:$B$5001,F$140,BD!$A$3:$A$5001,"&gt;="&amp;$C$7,BD!$A$3:$A$5001,"&lt;="&amp;$B165,BD!$X$3:$X$5001,"&lt;&gt;"))))</f>
        <v/>
      </c>
      <c r="G165" s="43" t="str">
        <f>IF(OR($B165="",$A165&gt;$B$9,G$140=""),"",IF(COUNTIFS(BD!$B$3:$B$5001,G$140,BD!$A$3:$A$5001,"&gt;="&amp;$C$7,BD!$A$3:$A$5001,"&lt;="&amp;$B165,BD!$X$3:$X$5001,"&lt;&gt;")=0,"",SUMIFS(BD!$X$3:$X$5001,BD!$B$3:$B$5001,G$140,BD!$A$3:$A$5001,_xlfn.MAXIFS(BD!$A$3:$A$5001,BD!$B$3:$B$5001,G$140,BD!$A$3:$A$5001,"&gt;="&amp;$C$7,BD!$A$3:$A$5001,"&lt;="&amp;$B165,BD!$X$3:$X$5001,"&lt;&gt;"))))</f>
        <v/>
      </c>
      <c r="H165" s="43" t="str">
        <f>IF(OR($B165="",$A165&gt;$B$9,H$140=""),"",IF(COUNTIFS(BD!$B$3:$B$5001,H$140,BD!$A$3:$A$5001,"&gt;="&amp;$C$7,BD!$A$3:$A$5001,"&lt;="&amp;$B165,BD!$X$3:$X$5001,"&lt;&gt;")=0,"",SUMIFS(BD!$X$3:$X$5001,BD!$B$3:$B$5001,H$140,BD!$A$3:$A$5001,_xlfn.MAXIFS(BD!$A$3:$A$5001,BD!$B$3:$B$5001,H$140,BD!$A$3:$A$5001,"&gt;="&amp;$C$7,BD!$A$3:$A$5001,"&lt;="&amp;$B165,BD!$X$3:$X$5001,"&lt;&gt;"))))</f>
        <v/>
      </c>
      <c r="I165" s="43" t="str">
        <f>IF(OR($B165="",$A165&gt;$B$9,I$140=""),"",IF(COUNTIFS(BD!$B$3:$B$5001,I$140,BD!$A$3:$A$5001,"&gt;="&amp;$C$7,BD!$A$3:$A$5001,"&lt;="&amp;$B165,BD!$X$3:$X$5001,"&lt;&gt;")=0,"",SUMIFS(BD!$X$3:$X$5001,BD!$B$3:$B$5001,I$140,BD!$A$3:$A$5001,_xlfn.MAXIFS(BD!$A$3:$A$5001,BD!$B$3:$B$5001,I$140,BD!$A$3:$A$5001,"&gt;="&amp;$C$7,BD!$A$3:$A$5001,"&lt;="&amp;$B165,BD!$X$3:$X$5001,"&lt;&gt;"))))</f>
        <v/>
      </c>
      <c r="J165" s="43" t="str">
        <f>IF(OR($B165="",$A165&gt;$B$9,J$140=""),"",IF(COUNTIFS(BD!$B$3:$B$5001,J$140,BD!$A$3:$A$5001,"&gt;="&amp;$C$7,BD!$A$3:$A$5001,"&lt;="&amp;$B165,BD!$X$3:$X$5001,"&lt;&gt;")=0,"",SUMIFS(BD!$X$3:$X$5001,BD!$B$3:$B$5001,J$140,BD!$A$3:$A$5001,_xlfn.MAXIFS(BD!$A$3:$A$5001,BD!$B$3:$B$5001,J$140,BD!$A$3:$A$5001,"&gt;="&amp;$C$7,BD!$A$3:$A$5001,"&lt;="&amp;$B165,BD!$X$3:$X$5001,"&lt;&gt;"))))</f>
        <v/>
      </c>
      <c r="K165" s="43" t="str">
        <f>IF(OR($B165="",$A165&gt;$B$9,K$140=""),"",IF(COUNTIFS(BD!$B$3:$B$5001,K$140,BD!$A$3:$A$5001,"&gt;="&amp;$C$7,BD!$A$3:$A$5001,"&lt;="&amp;$B165,BD!$X$3:$X$5001,"&lt;&gt;")=0,"",SUMIFS(BD!$X$3:$X$5001,BD!$B$3:$B$5001,K$140,BD!$A$3:$A$5001,_xlfn.MAXIFS(BD!$A$3:$A$5001,BD!$B$3:$B$5001,K$140,BD!$A$3:$A$5001,"&gt;="&amp;$C$7,BD!$A$3:$A$5001,"&lt;="&amp;$B165,BD!$X$3:$X$5001,"&lt;&gt;"))))</f>
        <v/>
      </c>
      <c r="L165" s="43" t="str">
        <f>IF(OR($B165="",$A165&gt;$B$9,L$140=""),"",IF(COUNTIFS(BD!$B$3:$B$5001,L$140,BD!$A$3:$A$5001,"&gt;="&amp;$C$7,BD!$A$3:$A$5001,"&lt;="&amp;$B165,BD!$X$3:$X$5001,"&lt;&gt;")=0,"",SUMIFS(BD!$X$3:$X$5001,BD!$B$3:$B$5001,L$140,BD!$A$3:$A$5001,_xlfn.MAXIFS(BD!$A$3:$A$5001,BD!$B$3:$B$5001,L$140,BD!$A$3:$A$5001,"&gt;="&amp;$C$7,BD!$A$3:$A$5001,"&lt;="&amp;$B165,BD!$X$3:$X$5001,"&lt;&gt;"))))</f>
        <v/>
      </c>
      <c r="M165" s="43" t="str">
        <f>IF(OR($B165="",$A165&gt;$B$9,M$140=""),"",IF(COUNTIFS(BD!$B$3:$B$5001,M$140,BD!$A$3:$A$5001,"&gt;="&amp;$C$7,BD!$A$3:$A$5001,"&lt;="&amp;$B165,BD!$X$3:$X$5001,"&lt;&gt;")=0,"",SUMIFS(BD!$X$3:$X$5001,BD!$B$3:$B$5001,M$140,BD!$A$3:$A$5001,_xlfn.MAXIFS(BD!$A$3:$A$5001,BD!$B$3:$B$5001,M$140,BD!$A$3:$A$5001,"&gt;="&amp;$C$7,BD!$A$3:$A$5001,"&lt;="&amp;$B165,BD!$X$3:$X$5001,"&lt;&gt;"))))</f>
        <v/>
      </c>
      <c r="N165" s="43" t="str">
        <f>IF(OR($B165="",$A165&gt;$B$9,N$140=""),"",IF(COUNTIFS(BD!$B$3:$B$5001,N$140,BD!$A$3:$A$5001,"&gt;="&amp;$C$7,BD!$A$3:$A$5001,"&lt;="&amp;$B165,BD!$X$3:$X$5001,"&lt;&gt;")=0,"",SUMIFS(BD!$X$3:$X$5001,BD!$B$3:$B$5001,N$140,BD!$A$3:$A$5001,_xlfn.MAXIFS(BD!$A$3:$A$5001,BD!$B$3:$B$5001,N$140,BD!$A$3:$A$5001,"&gt;="&amp;$C$7,BD!$A$3:$A$5001,"&lt;="&amp;$B165,BD!$X$3:$X$5001,"&lt;&gt;"))))</f>
        <v/>
      </c>
      <c r="O165" s="43" t="str">
        <f>IF(OR($B165="",$A165&gt;$B$9,O$140=""),"",IF(COUNTIFS(BD!$B$3:$B$5001,O$140,BD!$A$3:$A$5001,"&gt;="&amp;$C$7,BD!$A$3:$A$5001,"&lt;="&amp;$B165,BD!$X$3:$X$5001,"&lt;&gt;")=0,"",SUMIFS(BD!$X$3:$X$5001,BD!$B$3:$B$5001,O$140,BD!$A$3:$A$5001,_xlfn.MAXIFS(BD!$A$3:$A$5001,BD!$B$3:$B$5001,O$140,BD!$A$3:$A$5001,"&gt;="&amp;$C$7,BD!$A$3:$A$5001,"&lt;="&amp;$B165,BD!$X$3:$X$5001,"&lt;&gt;"))))</f>
        <v/>
      </c>
      <c r="P165" s="43" t="str">
        <f>IF(OR($B165="",$A165&gt;$B$9,P$140=""),"",IF(COUNTIFS(BD!$B$3:$B$5001,P$140,BD!$A$3:$A$5001,"&gt;="&amp;$C$7,BD!$A$3:$A$5001,"&lt;="&amp;$B165,BD!$X$3:$X$5001,"&lt;&gt;")=0,"",SUMIFS(BD!$X$3:$X$5001,BD!$B$3:$B$5001,P$140,BD!$A$3:$A$5001,_xlfn.MAXIFS(BD!$A$3:$A$5001,BD!$B$3:$B$5001,P$140,BD!$A$3:$A$5001,"&gt;="&amp;$C$7,BD!$A$3:$A$5001,"&lt;="&amp;$B165,BD!$X$3:$X$5001,"&lt;&gt;"))))</f>
        <v/>
      </c>
      <c r="Q165" s="43" t="str">
        <f>IF(OR($B165="",$A165&gt;$B$9,Q$140=""),"",IF(COUNTIFS(BD!$B$3:$B$5001,Q$140,BD!$A$3:$A$5001,"&gt;="&amp;$C$7,BD!$A$3:$A$5001,"&lt;="&amp;$B165,BD!$X$3:$X$5001,"&lt;&gt;")=0,"",SUMIFS(BD!$X$3:$X$5001,BD!$B$3:$B$5001,Q$140,BD!$A$3:$A$5001,_xlfn.MAXIFS(BD!$A$3:$A$5001,BD!$B$3:$B$5001,Q$140,BD!$A$3:$A$5001,"&gt;="&amp;$C$7,BD!$A$3:$A$5001,"&lt;="&amp;$B165,BD!$X$3:$X$5001,"&lt;&gt;"))))</f>
        <v/>
      </c>
      <c r="R165" s="43" t="str">
        <f>IF(OR($B165="",$A165&gt;$B$9,R$140=""),"",IF(COUNTIFS(BD!$B$3:$B$5001,R$140,BD!$A$3:$A$5001,"&gt;="&amp;$C$7,BD!$A$3:$A$5001,"&lt;="&amp;$B165,BD!$X$3:$X$5001,"&lt;&gt;")=0,"",SUMIFS(BD!$X$3:$X$5001,BD!$B$3:$B$5001,R$140,BD!$A$3:$A$5001,_xlfn.MAXIFS(BD!$A$3:$A$5001,BD!$B$3:$B$5001,R$140,BD!$A$3:$A$5001,"&gt;="&amp;$C$7,BD!$A$3:$A$5001,"&lt;="&amp;$B165,BD!$X$3:$X$5001,"&lt;&gt;"))))</f>
        <v/>
      </c>
      <c r="S165" s="43" t="str">
        <f>IF(OR($B165="",$A165&gt;$B$9,S$140=""),"",IF(COUNTIFS(BD!$B$3:$B$5001,S$140,BD!$A$3:$A$5001,"&gt;="&amp;$C$7,BD!$A$3:$A$5001,"&lt;="&amp;$B165,BD!$X$3:$X$5001,"&lt;&gt;")=0,"",SUMIFS(BD!$X$3:$X$5001,BD!$B$3:$B$5001,S$140,BD!$A$3:$A$5001,_xlfn.MAXIFS(BD!$A$3:$A$5001,BD!$B$3:$B$5001,S$140,BD!$A$3:$A$5001,"&gt;="&amp;$C$7,BD!$A$3:$A$5001,"&lt;="&amp;$B165,BD!$X$3:$X$5001,"&lt;&gt;"))))</f>
        <v/>
      </c>
      <c r="T165" s="43" t="str">
        <f>IF(OR($B165="",$A165&gt;$B$9,T$140=""),"",IF(COUNTIFS(BD!$B$3:$B$5001,T$140,BD!$A$3:$A$5001,"&gt;="&amp;$C$7,BD!$A$3:$A$5001,"&lt;="&amp;$B165,BD!$X$3:$X$5001,"&lt;&gt;")=0,"",SUMIFS(BD!$X$3:$X$5001,BD!$B$3:$B$5001,T$140,BD!$A$3:$A$5001,_xlfn.MAXIFS(BD!$A$3:$A$5001,BD!$B$3:$B$5001,T$140,BD!$A$3:$A$5001,"&gt;="&amp;$C$7,BD!$A$3:$A$5001,"&lt;="&amp;$B165,BD!$X$3:$X$5001,"&lt;&gt;"))))</f>
        <v/>
      </c>
      <c r="U165" s="43" t="str">
        <f>IF(OR($B165="",$A165&gt;$B$9,U$140=""),"",IF(COUNTIFS(BD!$B$3:$B$5001,U$140,BD!$A$3:$A$5001,"&gt;="&amp;$C$7,BD!$A$3:$A$5001,"&lt;="&amp;$B165,BD!$X$3:$X$5001,"&lt;&gt;")=0,"",SUMIFS(BD!$X$3:$X$5001,BD!$B$3:$B$5001,U$140,BD!$A$3:$A$5001,_xlfn.MAXIFS(BD!$A$3:$A$5001,BD!$B$3:$B$5001,U$140,BD!$A$3:$A$5001,"&gt;="&amp;$C$7,BD!$A$3:$A$5001,"&lt;="&amp;$B165,BD!$X$3:$X$5001,"&lt;&gt;"))))</f>
        <v/>
      </c>
      <c r="V165" s="43" t="str">
        <f>IF(OR($B165="",$A165&gt;$B$9,V$140=""),"",IF(COUNTIFS(BD!$B$3:$B$5001,V$140,BD!$A$3:$A$5001,"&gt;="&amp;$C$7,BD!$A$3:$A$5001,"&lt;="&amp;$B165,BD!$X$3:$X$5001,"&lt;&gt;")=0,"",SUMIFS(BD!$X$3:$X$5001,BD!$B$3:$B$5001,V$140,BD!$A$3:$A$5001,_xlfn.MAXIFS(BD!$A$3:$A$5001,BD!$B$3:$B$5001,V$140,BD!$A$3:$A$5001,"&gt;="&amp;$C$7,BD!$A$3:$A$5001,"&lt;="&amp;$B165,BD!$X$3:$X$5001,"&lt;&gt;"))))</f>
        <v/>
      </c>
    </row>
    <row r="166">
      <c r="A166" s="38">
        <v>26</v>
      </c>
      <c r="B166" s="42">
        <f>$B$37</f>
        <v>46321</v>
      </c>
      <c r="C166" s="43" t="str">
        <f>IF(OR($B166="",$A166&gt;$B$9,C$140=""),"",IF(COUNTIFS(BD!$B$3:$B$5001,C$140,BD!$A$3:$A$5001,"&gt;="&amp;$C$7,BD!$A$3:$A$5001,"&lt;="&amp;$B166,BD!$X$3:$X$5001,"&lt;&gt;")=0,"",SUMIFS(BD!$X$3:$X$5001,BD!$B$3:$B$5001,C$140,BD!$A$3:$A$5001,_xlfn.MAXIFS(BD!$A$3:$A$5001,BD!$B$3:$B$5001,C$140,BD!$A$3:$A$5001,"&gt;="&amp;$C$7,BD!$A$3:$A$5001,"&lt;="&amp;$B166,BD!$X$3:$X$5001,"&lt;&gt;"))))</f>
        <v/>
      </c>
      <c r="D166" s="43" t="str">
        <f>IF(OR($B166="",$A166&gt;$B$9,D$140=""),"",IF(COUNTIFS(BD!$B$3:$B$5001,D$140,BD!$A$3:$A$5001,"&gt;="&amp;$C$7,BD!$A$3:$A$5001,"&lt;="&amp;$B166,BD!$X$3:$X$5001,"&lt;&gt;")=0,"",SUMIFS(BD!$X$3:$X$5001,BD!$B$3:$B$5001,D$140,BD!$A$3:$A$5001,_xlfn.MAXIFS(BD!$A$3:$A$5001,BD!$B$3:$B$5001,D$140,BD!$A$3:$A$5001,"&gt;="&amp;$C$7,BD!$A$3:$A$5001,"&lt;="&amp;$B166,BD!$X$3:$X$5001,"&lt;&gt;"))))</f>
        <v/>
      </c>
      <c r="E166" s="43" t="str">
        <f>IF(OR($B166="",$A166&gt;$B$9,E$140=""),"",IF(COUNTIFS(BD!$B$3:$B$5001,E$140,BD!$A$3:$A$5001,"&gt;="&amp;$C$7,BD!$A$3:$A$5001,"&lt;="&amp;$B166,BD!$X$3:$X$5001,"&lt;&gt;")=0,"",SUMIFS(BD!$X$3:$X$5001,BD!$B$3:$B$5001,E$140,BD!$A$3:$A$5001,_xlfn.MAXIFS(BD!$A$3:$A$5001,BD!$B$3:$B$5001,E$140,BD!$A$3:$A$5001,"&gt;="&amp;$C$7,BD!$A$3:$A$5001,"&lt;="&amp;$B166,BD!$X$3:$X$5001,"&lt;&gt;"))))</f>
        <v/>
      </c>
      <c r="F166" s="43" t="str">
        <f>IF(OR($B166="",$A166&gt;$B$9,F$140=""),"",IF(COUNTIFS(BD!$B$3:$B$5001,F$140,BD!$A$3:$A$5001,"&gt;="&amp;$C$7,BD!$A$3:$A$5001,"&lt;="&amp;$B166,BD!$X$3:$X$5001,"&lt;&gt;")=0,"",SUMIFS(BD!$X$3:$X$5001,BD!$B$3:$B$5001,F$140,BD!$A$3:$A$5001,_xlfn.MAXIFS(BD!$A$3:$A$5001,BD!$B$3:$B$5001,F$140,BD!$A$3:$A$5001,"&gt;="&amp;$C$7,BD!$A$3:$A$5001,"&lt;="&amp;$B166,BD!$X$3:$X$5001,"&lt;&gt;"))))</f>
        <v/>
      </c>
      <c r="G166" s="43" t="str">
        <f>IF(OR($B166="",$A166&gt;$B$9,G$140=""),"",IF(COUNTIFS(BD!$B$3:$B$5001,G$140,BD!$A$3:$A$5001,"&gt;="&amp;$C$7,BD!$A$3:$A$5001,"&lt;="&amp;$B166,BD!$X$3:$X$5001,"&lt;&gt;")=0,"",SUMIFS(BD!$X$3:$X$5001,BD!$B$3:$B$5001,G$140,BD!$A$3:$A$5001,_xlfn.MAXIFS(BD!$A$3:$A$5001,BD!$B$3:$B$5001,G$140,BD!$A$3:$A$5001,"&gt;="&amp;$C$7,BD!$A$3:$A$5001,"&lt;="&amp;$B166,BD!$X$3:$X$5001,"&lt;&gt;"))))</f>
        <v/>
      </c>
      <c r="H166" s="43" t="str">
        <f>IF(OR($B166="",$A166&gt;$B$9,H$140=""),"",IF(COUNTIFS(BD!$B$3:$B$5001,H$140,BD!$A$3:$A$5001,"&gt;="&amp;$C$7,BD!$A$3:$A$5001,"&lt;="&amp;$B166,BD!$X$3:$X$5001,"&lt;&gt;")=0,"",SUMIFS(BD!$X$3:$X$5001,BD!$B$3:$B$5001,H$140,BD!$A$3:$A$5001,_xlfn.MAXIFS(BD!$A$3:$A$5001,BD!$B$3:$B$5001,H$140,BD!$A$3:$A$5001,"&gt;="&amp;$C$7,BD!$A$3:$A$5001,"&lt;="&amp;$B166,BD!$X$3:$X$5001,"&lt;&gt;"))))</f>
        <v/>
      </c>
      <c r="I166" s="43" t="str">
        <f>IF(OR($B166="",$A166&gt;$B$9,I$140=""),"",IF(COUNTIFS(BD!$B$3:$B$5001,I$140,BD!$A$3:$A$5001,"&gt;="&amp;$C$7,BD!$A$3:$A$5001,"&lt;="&amp;$B166,BD!$X$3:$X$5001,"&lt;&gt;")=0,"",SUMIFS(BD!$X$3:$X$5001,BD!$B$3:$B$5001,I$140,BD!$A$3:$A$5001,_xlfn.MAXIFS(BD!$A$3:$A$5001,BD!$B$3:$B$5001,I$140,BD!$A$3:$A$5001,"&gt;="&amp;$C$7,BD!$A$3:$A$5001,"&lt;="&amp;$B166,BD!$X$3:$X$5001,"&lt;&gt;"))))</f>
        <v/>
      </c>
      <c r="J166" s="43" t="str">
        <f>IF(OR($B166="",$A166&gt;$B$9,J$140=""),"",IF(COUNTIFS(BD!$B$3:$B$5001,J$140,BD!$A$3:$A$5001,"&gt;="&amp;$C$7,BD!$A$3:$A$5001,"&lt;="&amp;$B166,BD!$X$3:$X$5001,"&lt;&gt;")=0,"",SUMIFS(BD!$X$3:$X$5001,BD!$B$3:$B$5001,J$140,BD!$A$3:$A$5001,_xlfn.MAXIFS(BD!$A$3:$A$5001,BD!$B$3:$B$5001,J$140,BD!$A$3:$A$5001,"&gt;="&amp;$C$7,BD!$A$3:$A$5001,"&lt;="&amp;$B166,BD!$X$3:$X$5001,"&lt;&gt;"))))</f>
        <v/>
      </c>
      <c r="K166" s="43" t="str">
        <f>IF(OR($B166="",$A166&gt;$B$9,K$140=""),"",IF(COUNTIFS(BD!$B$3:$B$5001,K$140,BD!$A$3:$A$5001,"&gt;="&amp;$C$7,BD!$A$3:$A$5001,"&lt;="&amp;$B166,BD!$X$3:$X$5001,"&lt;&gt;")=0,"",SUMIFS(BD!$X$3:$X$5001,BD!$B$3:$B$5001,K$140,BD!$A$3:$A$5001,_xlfn.MAXIFS(BD!$A$3:$A$5001,BD!$B$3:$B$5001,K$140,BD!$A$3:$A$5001,"&gt;="&amp;$C$7,BD!$A$3:$A$5001,"&lt;="&amp;$B166,BD!$X$3:$X$5001,"&lt;&gt;"))))</f>
        <v/>
      </c>
      <c r="L166" s="43" t="str">
        <f>IF(OR($B166="",$A166&gt;$B$9,L$140=""),"",IF(COUNTIFS(BD!$B$3:$B$5001,L$140,BD!$A$3:$A$5001,"&gt;="&amp;$C$7,BD!$A$3:$A$5001,"&lt;="&amp;$B166,BD!$X$3:$X$5001,"&lt;&gt;")=0,"",SUMIFS(BD!$X$3:$X$5001,BD!$B$3:$B$5001,L$140,BD!$A$3:$A$5001,_xlfn.MAXIFS(BD!$A$3:$A$5001,BD!$B$3:$B$5001,L$140,BD!$A$3:$A$5001,"&gt;="&amp;$C$7,BD!$A$3:$A$5001,"&lt;="&amp;$B166,BD!$X$3:$X$5001,"&lt;&gt;"))))</f>
        <v/>
      </c>
      <c r="M166" s="43" t="str">
        <f>IF(OR($B166="",$A166&gt;$B$9,M$140=""),"",IF(COUNTIFS(BD!$B$3:$B$5001,M$140,BD!$A$3:$A$5001,"&gt;="&amp;$C$7,BD!$A$3:$A$5001,"&lt;="&amp;$B166,BD!$X$3:$X$5001,"&lt;&gt;")=0,"",SUMIFS(BD!$X$3:$X$5001,BD!$B$3:$B$5001,M$140,BD!$A$3:$A$5001,_xlfn.MAXIFS(BD!$A$3:$A$5001,BD!$B$3:$B$5001,M$140,BD!$A$3:$A$5001,"&gt;="&amp;$C$7,BD!$A$3:$A$5001,"&lt;="&amp;$B166,BD!$X$3:$X$5001,"&lt;&gt;"))))</f>
        <v/>
      </c>
      <c r="N166" s="43" t="str">
        <f>IF(OR($B166="",$A166&gt;$B$9,N$140=""),"",IF(COUNTIFS(BD!$B$3:$B$5001,N$140,BD!$A$3:$A$5001,"&gt;="&amp;$C$7,BD!$A$3:$A$5001,"&lt;="&amp;$B166,BD!$X$3:$X$5001,"&lt;&gt;")=0,"",SUMIFS(BD!$X$3:$X$5001,BD!$B$3:$B$5001,N$140,BD!$A$3:$A$5001,_xlfn.MAXIFS(BD!$A$3:$A$5001,BD!$B$3:$B$5001,N$140,BD!$A$3:$A$5001,"&gt;="&amp;$C$7,BD!$A$3:$A$5001,"&lt;="&amp;$B166,BD!$X$3:$X$5001,"&lt;&gt;"))))</f>
        <v/>
      </c>
      <c r="O166" s="43" t="str">
        <f>IF(OR($B166="",$A166&gt;$B$9,O$140=""),"",IF(COUNTIFS(BD!$B$3:$B$5001,O$140,BD!$A$3:$A$5001,"&gt;="&amp;$C$7,BD!$A$3:$A$5001,"&lt;="&amp;$B166,BD!$X$3:$X$5001,"&lt;&gt;")=0,"",SUMIFS(BD!$X$3:$X$5001,BD!$B$3:$B$5001,O$140,BD!$A$3:$A$5001,_xlfn.MAXIFS(BD!$A$3:$A$5001,BD!$B$3:$B$5001,O$140,BD!$A$3:$A$5001,"&gt;="&amp;$C$7,BD!$A$3:$A$5001,"&lt;="&amp;$B166,BD!$X$3:$X$5001,"&lt;&gt;"))))</f>
        <v/>
      </c>
      <c r="P166" s="43" t="str">
        <f>IF(OR($B166="",$A166&gt;$B$9,P$140=""),"",IF(COUNTIFS(BD!$B$3:$B$5001,P$140,BD!$A$3:$A$5001,"&gt;="&amp;$C$7,BD!$A$3:$A$5001,"&lt;="&amp;$B166,BD!$X$3:$X$5001,"&lt;&gt;")=0,"",SUMIFS(BD!$X$3:$X$5001,BD!$B$3:$B$5001,P$140,BD!$A$3:$A$5001,_xlfn.MAXIFS(BD!$A$3:$A$5001,BD!$B$3:$B$5001,P$140,BD!$A$3:$A$5001,"&gt;="&amp;$C$7,BD!$A$3:$A$5001,"&lt;="&amp;$B166,BD!$X$3:$X$5001,"&lt;&gt;"))))</f>
        <v/>
      </c>
      <c r="Q166" s="43" t="str">
        <f>IF(OR($B166="",$A166&gt;$B$9,Q$140=""),"",IF(COUNTIFS(BD!$B$3:$B$5001,Q$140,BD!$A$3:$A$5001,"&gt;="&amp;$C$7,BD!$A$3:$A$5001,"&lt;="&amp;$B166,BD!$X$3:$X$5001,"&lt;&gt;")=0,"",SUMIFS(BD!$X$3:$X$5001,BD!$B$3:$B$5001,Q$140,BD!$A$3:$A$5001,_xlfn.MAXIFS(BD!$A$3:$A$5001,BD!$B$3:$B$5001,Q$140,BD!$A$3:$A$5001,"&gt;="&amp;$C$7,BD!$A$3:$A$5001,"&lt;="&amp;$B166,BD!$X$3:$X$5001,"&lt;&gt;"))))</f>
        <v/>
      </c>
      <c r="R166" s="43" t="str">
        <f>IF(OR($B166="",$A166&gt;$B$9,R$140=""),"",IF(COUNTIFS(BD!$B$3:$B$5001,R$140,BD!$A$3:$A$5001,"&gt;="&amp;$C$7,BD!$A$3:$A$5001,"&lt;="&amp;$B166,BD!$X$3:$X$5001,"&lt;&gt;")=0,"",SUMIFS(BD!$X$3:$X$5001,BD!$B$3:$B$5001,R$140,BD!$A$3:$A$5001,_xlfn.MAXIFS(BD!$A$3:$A$5001,BD!$B$3:$B$5001,R$140,BD!$A$3:$A$5001,"&gt;="&amp;$C$7,BD!$A$3:$A$5001,"&lt;="&amp;$B166,BD!$X$3:$X$5001,"&lt;&gt;"))))</f>
        <v/>
      </c>
      <c r="S166" s="43" t="str">
        <f>IF(OR($B166="",$A166&gt;$B$9,S$140=""),"",IF(COUNTIFS(BD!$B$3:$B$5001,S$140,BD!$A$3:$A$5001,"&gt;="&amp;$C$7,BD!$A$3:$A$5001,"&lt;="&amp;$B166,BD!$X$3:$X$5001,"&lt;&gt;")=0,"",SUMIFS(BD!$X$3:$X$5001,BD!$B$3:$B$5001,S$140,BD!$A$3:$A$5001,_xlfn.MAXIFS(BD!$A$3:$A$5001,BD!$B$3:$B$5001,S$140,BD!$A$3:$A$5001,"&gt;="&amp;$C$7,BD!$A$3:$A$5001,"&lt;="&amp;$B166,BD!$X$3:$X$5001,"&lt;&gt;"))))</f>
        <v/>
      </c>
      <c r="T166" s="43" t="str">
        <f>IF(OR($B166="",$A166&gt;$B$9,T$140=""),"",IF(COUNTIFS(BD!$B$3:$B$5001,T$140,BD!$A$3:$A$5001,"&gt;="&amp;$C$7,BD!$A$3:$A$5001,"&lt;="&amp;$B166,BD!$X$3:$X$5001,"&lt;&gt;")=0,"",SUMIFS(BD!$X$3:$X$5001,BD!$B$3:$B$5001,T$140,BD!$A$3:$A$5001,_xlfn.MAXIFS(BD!$A$3:$A$5001,BD!$B$3:$B$5001,T$140,BD!$A$3:$A$5001,"&gt;="&amp;$C$7,BD!$A$3:$A$5001,"&lt;="&amp;$B166,BD!$X$3:$X$5001,"&lt;&gt;"))))</f>
        <v/>
      </c>
      <c r="U166" s="43" t="str">
        <f>IF(OR($B166="",$A166&gt;$B$9,U$140=""),"",IF(COUNTIFS(BD!$B$3:$B$5001,U$140,BD!$A$3:$A$5001,"&gt;="&amp;$C$7,BD!$A$3:$A$5001,"&lt;="&amp;$B166,BD!$X$3:$X$5001,"&lt;&gt;")=0,"",SUMIFS(BD!$X$3:$X$5001,BD!$B$3:$B$5001,U$140,BD!$A$3:$A$5001,_xlfn.MAXIFS(BD!$A$3:$A$5001,BD!$B$3:$B$5001,U$140,BD!$A$3:$A$5001,"&gt;="&amp;$C$7,BD!$A$3:$A$5001,"&lt;="&amp;$B166,BD!$X$3:$X$5001,"&lt;&gt;"))))</f>
        <v/>
      </c>
      <c r="V166" s="43" t="str">
        <f>IF(OR($B166="",$A166&gt;$B$9,V$140=""),"",IF(COUNTIFS(BD!$B$3:$B$5001,V$140,BD!$A$3:$A$5001,"&gt;="&amp;$C$7,BD!$A$3:$A$5001,"&lt;="&amp;$B166,BD!$X$3:$X$5001,"&lt;&gt;")=0,"",SUMIFS(BD!$X$3:$X$5001,BD!$B$3:$B$5001,V$140,BD!$A$3:$A$5001,_xlfn.MAXIFS(BD!$A$3:$A$5001,BD!$B$3:$B$5001,V$140,BD!$A$3:$A$5001,"&gt;="&amp;$C$7,BD!$A$3:$A$5001,"&lt;="&amp;$B166,BD!$X$3:$X$5001,"&lt;&gt;"))))</f>
        <v/>
      </c>
    </row>
    <row r="167">
      <c r="A167" s="38">
        <v>27</v>
      </c>
      <c r="B167" s="42">
        <f>$B$38</f>
        <v>46322</v>
      </c>
      <c r="C167" s="43" t="str">
        <f>IF(OR($B167="",$A167&gt;$B$9,C$140=""),"",IF(COUNTIFS(BD!$B$3:$B$5001,C$140,BD!$A$3:$A$5001,"&gt;="&amp;$C$7,BD!$A$3:$A$5001,"&lt;="&amp;$B167,BD!$X$3:$X$5001,"&lt;&gt;")=0,"",SUMIFS(BD!$X$3:$X$5001,BD!$B$3:$B$5001,C$140,BD!$A$3:$A$5001,_xlfn.MAXIFS(BD!$A$3:$A$5001,BD!$B$3:$B$5001,C$140,BD!$A$3:$A$5001,"&gt;="&amp;$C$7,BD!$A$3:$A$5001,"&lt;="&amp;$B167,BD!$X$3:$X$5001,"&lt;&gt;"))))</f>
        <v/>
      </c>
      <c r="D167" s="43" t="str">
        <f>IF(OR($B167="",$A167&gt;$B$9,D$140=""),"",IF(COUNTIFS(BD!$B$3:$B$5001,D$140,BD!$A$3:$A$5001,"&gt;="&amp;$C$7,BD!$A$3:$A$5001,"&lt;="&amp;$B167,BD!$X$3:$X$5001,"&lt;&gt;")=0,"",SUMIFS(BD!$X$3:$X$5001,BD!$B$3:$B$5001,D$140,BD!$A$3:$A$5001,_xlfn.MAXIFS(BD!$A$3:$A$5001,BD!$B$3:$B$5001,D$140,BD!$A$3:$A$5001,"&gt;="&amp;$C$7,BD!$A$3:$A$5001,"&lt;="&amp;$B167,BD!$X$3:$X$5001,"&lt;&gt;"))))</f>
        <v/>
      </c>
      <c r="E167" s="43" t="str">
        <f>IF(OR($B167="",$A167&gt;$B$9,E$140=""),"",IF(COUNTIFS(BD!$B$3:$B$5001,E$140,BD!$A$3:$A$5001,"&gt;="&amp;$C$7,BD!$A$3:$A$5001,"&lt;="&amp;$B167,BD!$X$3:$X$5001,"&lt;&gt;")=0,"",SUMIFS(BD!$X$3:$X$5001,BD!$B$3:$B$5001,E$140,BD!$A$3:$A$5001,_xlfn.MAXIFS(BD!$A$3:$A$5001,BD!$B$3:$B$5001,E$140,BD!$A$3:$A$5001,"&gt;="&amp;$C$7,BD!$A$3:$A$5001,"&lt;="&amp;$B167,BD!$X$3:$X$5001,"&lt;&gt;"))))</f>
        <v/>
      </c>
      <c r="F167" s="43" t="str">
        <f>IF(OR($B167="",$A167&gt;$B$9,F$140=""),"",IF(COUNTIFS(BD!$B$3:$B$5001,F$140,BD!$A$3:$A$5001,"&gt;="&amp;$C$7,BD!$A$3:$A$5001,"&lt;="&amp;$B167,BD!$X$3:$X$5001,"&lt;&gt;")=0,"",SUMIFS(BD!$X$3:$X$5001,BD!$B$3:$B$5001,F$140,BD!$A$3:$A$5001,_xlfn.MAXIFS(BD!$A$3:$A$5001,BD!$B$3:$B$5001,F$140,BD!$A$3:$A$5001,"&gt;="&amp;$C$7,BD!$A$3:$A$5001,"&lt;="&amp;$B167,BD!$X$3:$X$5001,"&lt;&gt;"))))</f>
        <v/>
      </c>
      <c r="G167" s="43" t="str">
        <f>IF(OR($B167="",$A167&gt;$B$9,G$140=""),"",IF(COUNTIFS(BD!$B$3:$B$5001,G$140,BD!$A$3:$A$5001,"&gt;="&amp;$C$7,BD!$A$3:$A$5001,"&lt;="&amp;$B167,BD!$X$3:$X$5001,"&lt;&gt;")=0,"",SUMIFS(BD!$X$3:$X$5001,BD!$B$3:$B$5001,G$140,BD!$A$3:$A$5001,_xlfn.MAXIFS(BD!$A$3:$A$5001,BD!$B$3:$B$5001,G$140,BD!$A$3:$A$5001,"&gt;="&amp;$C$7,BD!$A$3:$A$5001,"&lt;="&amp;$B167,BD!$X$3:$X$5001,"&lt;&gt;"))))</f>
        <v/>
      </c>
      <c r="H167" s="43" t="str">
        <f>IF(OR($B167="",$A167&gt;$B$9,H$140=""),"",IF(COUNTIFS(BD!$B$3:$B$5001,H$140,BD!$A$3:$A$5001,"&gt;="&amp;$C$7,BD!$A$3:$A$5001,"&lt;="&amp;$B167,BD!$X$3:$X$5001,"&lt;&gt;")=0,"",SUMIFS(BD!$X$3:$X$5001,BD!$B$3:$B$5001,H$140,BD!$A$3:$A$5001,_xlfn.MAXIFS(BD!$A$3:$A$5001,BD!$B$3:$B$5001,H$140,BD!$A$3:$A$5001,"&gt;="&amp;$C$7,BD!$A$3:$A$5001,"&lt;="&amp;$B167,BD!$X$3:$X$5001,"&lt;&gt;"))))</f>
        <v/>
      </c>
      <c r="I167" s="43" t="str">
        <f>IF(OR($B167="",$A167&gt;$B$9,I$140=""),"",IF(COUNTIFS(BD!$B$3:$B$5001,I$140,BD!$A$3:$A$5001,"&gt;="&amp;$C$7,BD!$A$3:$A$5001,"&lt;="&amp;$B167,BD!$X$3:$X$5001,"&lt;&gt;")=0,"",SUMIFS(BD!$X$3:$X$5001,BD!$B$3:$B$5001,I$140,BD!$A$3:$A$5001,_xlfn.MAXIFS(BD!$A$3:$A$5001,BD!$B$3:$B$5001,I$140,BD!$A$3:$A$5001,"&gt;="&amp;$C$7,BD!$A$3:$A$5001,"&lt;="&amp;$B167,BD!$X$3:$X$5001,"&lt;&gt;"))))</f>
        <v/>
      </c>
      <c r="J167" s="43" t="str">
        <f>IF(OR($B167="",$A167&gt;$B$9,J$140=""),"",IF(COUNTIFS(BD!$B$3:$B$5001,J$140,BD!$A$3:$A$5001,"&gt;="&amp;$C$7,BD!$A$3:$A$5001,"&lt;="&amp;$B167,BD!$X$3:$X$5001,"&lt;&gt;")=0,"",SUMIFS(BD!$X$3:$X$5001,BD!$B$3:$B$5001,J$140,BD!$A$3:$A$5001,_xlfn.MAXIFS(BD!$A$3:$A$5001,BD!$B$3:$B$5001,J$140,BD!$A$3:$A$5001,"&gt;="&amp;$C$7,BD!$A$3:$A$5001,"&lt;="&amp;$B167,BD!$X$3:$X$5001,"&lt;&gt;"))))</f>
        <v/>
      </c>
      <c r="K167" s="43" t="str">
        <f>IF(OR($B167="",$A167&gt;$B$9,K$140=""),"",IF(COUNTIFS(BD!$B$3:$B$5001,K$140,BD!$A$3:$A$5001,"&gt;="&amp;$C$7,BD!$A$3:$A$5001,"&lt;="&amp;$B167,BD!$X$3:$X$5001,"&lt;&gt;")=0,"",SUMIFS(BD!$X$3:$X$5001,BD!$B$3:$B$5001,K$140,BD!$A$3:$A$5001,_xlfn.MAXIFS(BD!$A$3:$A$5001,BD!$B$3:$B$5001,K$140,BD!$A$3:$A$5001,"&gt;="&amp;$C$7,BD!$A$3:$A$5001,"&lt;="&amp;$B167,BD!$X$3:$X$5001,"&lt;&gt;"))))</f>
        <v/>
      </c>
      <c r="L167" s="43" t="str">
        <f>IF(OR($B167="",$A167&gt;$B$9,L$140=""),"",IF(COUNTIFS(BD!$B$3:$B$5001,L$140,BD!$A$3:$A$5001,"&gt;="&amp;$C$7,BD!$A$3:$A$5001,"&lt;="&amp;$B167,BD!$X$3:$X$5001,"&lt;&gt;")=0,"",SUMIFS(BD!$X$3:$X$5001,BD!$B$3:$B$5001,L$140,BD!$A$3:$A$5001,_xlfn.MAXIFS(BD!$A$3:$A$5001,BD!$B$3:$B$5001,L$140,BD!$A$3:$A$5001,"&gt;="&amp;$C$7,BD!$A$3:$A$5001,"&lt;="&amp;$B167,BD!$X$3:$X$5001,"&lt;&gt;"))))</f>
        <v/>
      </c>
      <c r="M167" s="43" t="str">
        <f>IF(OR($B167="",$A167&gt;$B$9,M$140=""),"",IF(COUNTIFS(BD!$B$3:$B$5001,M$140,BD!$A$3:$A$5001,"&gt;="&amp;$C$7,BD!$A$3:$A$5001,"&lt;="&amp;$B167,BD!$X$3:$X$5001,"&lt;&gt;")=0,"",SUMIFS(BD!$X$3:$X$5001,BD!$B$3:$B$5001,M$140,BD!$A$3:$A$5001,_xlfn.MAXIFS(BD!$A$3:$A$5001,BD!$B$3:$B$5001,M$140,BD!$A$3:$A$5001,"&gt;="&amp;$C$7,BD!$A$3:$A$5001,"&lt;="&amp;$B167,BD!$X$3:$X$5001,"&lt;&gt;"))))</f>
        <v/>
      </c>
      <c r="N167" s="43" t="str">
        <f>IF(OR($B167="",$A167&gt;$B$9,N$140=""),"",IF(COUNTIFS(BD!$B$3:$B$5001,N$140,BD!$A$3:$A$5001,"&gt;="&amp;$C$7,BD!$A$3:$A$5001,"&lt;="&amp;$B167,BD!$X$3:$X$5001,"&lt;&gt;")=0,"",SUMIFS(BD!$X$3:$X$5001,BD!$B$3:$B$5001,N$140,BD!$A$3:$A$5001,_xlfn.MAXIFS(BD!$A$3:$A$5001,BD!$B$3:$B$5001,N$140,BD!$A$3:$A$5001,"&gt;="&amp;$C$7,BD!$A$3:$A$5001,"&lt;="&amp;$B167,BD!$X$3:$X$5001,"&lt;&gt;"))))</f>
        <v/>
      </c>
      <c r="O167" s="43" t="str">
        <f>IF(OR($B167="",$A167&gt;$B$9,O$140=""),"",IF(COUNTIFS(BD!$B$3:$B$5001,O$140,BD!$A$3:$A$5001,"&gt;="&amp;$C$7,BD!$A$3:$A$5001,"&lt;="&amp;$B167,BD!$X$3:$X$5001,"&lt;&gt;")=0,"",SUMIFS(BD!$X$3:$X$5001,BD!$B$3:$B$5001,O$140,BD!$A$3:$A$5001,_xlfn.MAXIFS(BD!$A$3:$A$5001,BD!$B$3:$B$5001,O$140,BD!$A$3:$A$5001,"&gt;="&amp;$C$7,BD!$A$3:$A$5001,"&lt;="&amp;$B167,BD!$X$3:$X$5001,"&lt;&gt;"))))</f>
        <v/>
      </c>
      <c r="P167" s="43" t="str">
        <f>IF(OR($B167="",$A167&gt;$B$9,P$140=""),"",IF(COUNTIFS(BD!$B$3:$B$5001,P$140,BD!$A$3:$A$5001,"&gt;="&amp;$C$7,BD!$A$3:$A$5001,"&lt;="&amp;$B167,BD!$X$3:$X$5001,"&lt;&gt;")=0,"",SUMIFS(BD!$X$3:$X$5001,BD!$B$3:$B$5001,P$140,BD!$A$3:$A$5001,_xlfn.MAXIFS(BD!$A$3:$A$5001,BD!$B$3:$B$5001,P$140,BD!$A$3:$A$5001,"&gt;="&amp;$C$7,BD!$A$3:$A$5001,"&lt;="&amp;$B167,BD!$X$3:$X$5001,"&lt;&gt;"))))</f>
        <v/>
      </c>
      <c r="Q167" s="43" t="str">
        <f>IF(OR($B167="",$A167&gt;$B$9,Q$140=""),"",IF(COUNTIFS(BD!$B$3:$B$5001,Q$140,BD!$A$3:$A$5001,"&gt;="&amp;$C$7,BD!$A$3:$A$5001,"&lt;="&amp;$B167,BD!$X$3:$X$5001,"&lt;&gt;")=0,"",SUMIFS(BD!$X$3:$X$5001,BD!$B$3:$B$5001,Q$140,BD!$A$3:$A$5001,_xlfn.MAXIFS(BD!$A$3:$A$5001,BD!$B$3:$B$5001,Q$140,BD!$A$3:$A$5001,"&gt;="&amp;$C$7,BD!$A$3:$A$5001,"&lt;="&amp;$B167,BD!$X$3:$X$5001,"&lt;&gt;"))))</f>
        <v/>
      </c>
      <c r="R167" s="43" t="str">
        <f>IF(OR($B167="",$A167&gt;$B$9,R$140=""),"",IF(COUNTIFS(BD!$B$3:$B$5001,R$140,BD!$A$3:$A$5001,"&gt;="&amp;$C$7,BD!$A$3:$A$5001,"&lt;="&amp;$B167,BD!$X$3:$X$5001,"&lt;&gt;")=0,"",SUMIFS(BD!$X$3:$X$5001,BD!$B$3:$B$5001,R$140,BD!$A$3:$A$5001,_xlfn.MAXIFS(BD!$A$3:$A$5001,BD!$B$3:$B$5001,R$140,BD!$A$3:$A$5001,"&gt;="&amp;$C$7,BD!$A$3:$A$5001,"&lt;="&amp;$B167,BD!$X$3:$X$5001,"&lt;&gt;"))))</f>
        <v/>
      </c>
      <c r="S167" s="43" t="str">
        <f>IF(OR($B167="",$A167&gt;$B$9,S$140=""),"",IF(COUNTIFS(BD!$B$3:$B$5001,S$140,BD!$A$3:$A$5001,"&gt;="&amp;$C$7,BD!$A$3:$A$5001,"&lt;="&amp;$B167,BD!$X$3:$X$5001,"&lt;&gt;")=0,"",SUMIFS(BD!$X$3:$X$5001,BD!$B$3:$B$5001,S$140,BD!$A$3:$A$5001,_xlfn.MAXIFS(BD!$A$3:$A$5001,BD!$B$3:$B$5001,S$140,BD!$A$3:$A$5001,"&gt;="&amp;$C$7,BD!$A$3:$A$5001,"&lt;="&amp;$B167,BD!$X$3:$X$5001,"&lt;&gt;"))))</f>
        <v/>
      </c>
      <c r="T167" s="43" t="str">
        <f>IF(OR($B167="",$A167&gt;$B$9,T$140=""),"",IF(COUNTIFS(BD!$B$3:$B$5001,T$140,BD!$A$3:$A$5001,"&gt;="&amp;$C$7,BD!$A$3:$A$5001,"&lt;="&amp;$B167,BD!$X$3:$X$5001,"&lt;&gt;")=0,"",SUMIFS(BD!$X$3:$X$5001,BD!$B$3:$B$5001,T$140,BD!$A$3:$A$5001,_xlfn.MAXIFS(BD!$A$3:$A$5001,BD!$B$3:$B$5001,T$140,BD!$A$3:$A$5001,"&gt;="&amp;$C$7,BD!$A$3:$A$5001,"&lt;="&amp;$B167,BD!$X$3:$X$5001,"&lt;&gt;"))))</f>
        <v/>
      </c>
      <c r="U167" s="43" t="str">
        <f>IF(OR($B167="",$A167&gt;$B$9,U$140=""),"",IF(COUNTIFS(BD!$B$3:$B$5001,U$140,BD!$A$3:$A$5001,"&gt;="&amp;$C$7,BD!$A$3:$A$5001,"&lt;="&amp;$B167,BD!$X$3:$X$5001,"&lt;&gt;")=0,"",SUMIFS(BD!$X$3:$X$5001,BD!$B$3:$B$5001,U$140,BD!$A$3:$A$5001,_xlfn.MAXIFS(BD!$A$3:$A$5001,BD!$B$3:$B$5001,U$140,BD!$A$3:$A$5001,"&gt;="&amp;$C$7,BD!$A$3:$A$5001,"&lt;="&amp;$B167,BD!$X$3:$X$5001,"&lt;&gt;"))))</f>
        <v/>
      </c>
      <c r="V167" s="43" t="str">
        <f>IF(OR($B167="",$A167&gt;$B$9,V$140=""),"",IF(COUNTIFS(BD!$B$3:$B$5001,V$140,BD!$A$3:$A$5001,"&gt;="&amp;$C$7,BD!$A$3:$A$5001,"&lt;="&amp;$B167,BD!$X$3:$X$5001,"&lt;&gt;")=0,"",SUMIFS(BD!$X$3:$X$5001,BD!$B$3:$B$5001,V$140,BD!$A$3:$A$5001,_xlfn.MAXIFS(BD!$A$3:$A$5001,BD!$B$3:$B$5001,V$140,BD!$A$3:$A$5001,"&gt;="&amp;$C$7,BD!$A$3:$A$5001,"&lt;="&amp;$B167,BD!$X$3:$X$5001,"&lt;&gt;"))))</f>
        <v/>
      </c>
    </row>
    <row r="168">
      <c r="A168" s="38">
        <v>28</v>
      </c>
      <c r="B168" s="42">
        <f>$B$39</f>
        <v>46323</v>
      </c>
      <c r="C168" s="43" t="str">
        <f>IF(OR($B168="",$A168&gt;$B$9,C$140=""),"",IF(COUNTIFS(BD!$B$3:$B$5001,C$140,BD!$A$3:$A$5001,"&gt;="&amp;$C$7,BD!$A$3:$A$5001,"&lt;="&amp;$B168,BD!$X$3:$X$5001,"&lt;&gt;")=0,"",SUMIFS(BD!$X$3:$X$5001,BD!$B$3:$B$5001,C$140,BD!$A$3:$A$5001,_xlfn.MAXIFS(BD!$A$3:$A$5001,BD!$B$3:$B$5001,C$140,BD!$A$3:$A$5001,"&gt;="&amp;$C$7,BD!$A$3:$A$5001,"&lt;="&amp;$B168,BD!$X$3:$X$5001,"&lt;&gt;"))))</f>
        <v/>
      </c>
      <c r="D168" s="43" t="str">
        <f>IF(OR($B168="",$A168&gt;$B$9,D$140=""),"",IF(COUNTIFS(BD!$B$3:$B$5001,D$140,BD!$A$3:$A$5001,"&gt;="&amp;$C$7,BD!$A$3:$A$5001,"&lt;="&amp;$B168,BD!$X$3:$X$5001,"&lt;&gt;")=0,"",SUMIFS(BD!$X$3:$X$5001,BD!$B$3:$B$5001,D$140,BD!$A$3:$A$5001,_xlfn.MAXIFS(BD!$A$3:$A$5001,BD!$B$3:$B$5001,D$140,BD!$A$3:$A$5001,"&gt;="&amp;$C$7,BD!$A$3:$A$5001,"&lt;="&amp;$B168,BD!$X$3:$X$5001,"&lt;&gt;"))))</f>
        <v/>
      </c>
      <c r="E168" s="43" t="str">
        <f>IF(OR($B168="",$A168&gt;$B$9,E$140=""),"",IF(COUNTIFS(BD!$B$3:$B$5001,E$140,BD!$A$3:$A$5001,"&gt;="&amp;$C$7,BD!$A$3:$A$5001,"&lt;="&amp;$B168,BD!$X$3:$X$5001,"&lt;&gt;")=0,"",SUMIFS(BD!$X$3:$X$5001,BD!$B$3:$B$5001,E$140,BD!$A$3:$A$5001,_xlfn.MAXIFS(BD!$A$3:$A$5001,BD!$B$3:$B$5001,E$140,BD!$A$3:$A$5001,"&gt;="&amp;$C$7,BD!$A$3:$A$5001,"&lt;="&amp;$B168,BD!$X$3:$X$5001,"&lt;&gt;"))))</f>
        <v/>
      </c>
      <c r="F168" s="43" t="str">
        <f>IF(OR($B168="",$A168&gt;$B$9,F$140=""),"",IF(COUNTIFS(BD!$B$3:$B$5001,F$140,BD!$A$3:$A$5001,"&gt;="&amp;$C$7,BD!$A$3:$A$5001,"&lt;="&amp;$B168,BD!$X$3:$X$5001,"&lt;&gt;")=0,"",SUMIFS(BD!$X$3:$X$5001,BD!$B$3:$B$5001,F$140,BD!$A$3:$A$5001,_xlfn.MAXIFS(BD!$A$3:$A$5001,BD!$B$3:$B$5001,F$140,BD!$A$3:$A$5001,"&gt;="&amp;$C$7,BD!$A$3:$A$5001,"&lt;="&amp;$B168,BD!$X$3:$X$5001,"&lt;&gt;"))))</f>
        <v/>
      </c>
      <c r="G168" s="43" t="str">
        <f>IF(OR($B168="",$A168&gt;$B$9,G$140=""),"",IF(COUNTIFS(BD!$B$3:$B$5001,G$140,BD!$A$3:$A$5001,"&gt;="&amp;$C$7,BD!$A$3:$A$5001,"&lt;="&amp;$B168,BD!$X$3:$X$5001,"&lt;&gt;")=0,"",SUMIFS(BD!$X$3:$X$5001,BD!$B$3:$B$5001,G$140,BD!$A$3:$A$5001,_xlfn.MAXIFS(BD!$A$3:$A$5001,BD!$B$3:$B$5001,G$140,BD!$A$3:$A$5001,"&gt;="&amp;$C$7,BD!$A$3:$A$5001,"&lt;="&amp;$B168,BD!$X$3:$X$5001,"&lt;&gt;"))))</f>
        <v/>
      </c>
      <c r="H168" s="43" t="str">
        <f>IF(OR($B168="",$A168&gt;$B$9,H$140=""),"",IF(COUNTIFS(BD!$B$3:$B$5001,H$140,BD!$A$3:$A$5001,"&gt;="&amp;$C$7,BD!$A$3:$A$5001,"&lt;="&amp;$B168,BD!$X$3:$X$5001,"&lt;&gt;")=0,"",SUMIFS(BD!$X$3:$X$5001,BD!$B$3:$B$5001,H$140,BD!$A$3:$A$5001,_xlfn.MAXIFS(BD!$A$3:$A$5001,BD!$B$3:$B$5001,H$140,BD!$A$3:$A$5001,"&gt;="&amp;$C$7,BD!$A$3:$A$5001,"&lt;="&amp;$B168,BD!$X$3:$X$5001,"&lt;&gt;"))))</f>
        <v/>
      </c>
      <c r="I168" s="43" t="str">
        <f>IF(OR($B168="",$A168&gt;$B$9,I$140=""),"",IF(COUNTIFS(BD!$B$3:$B$5001,I$140,BD!$A$3:$A$5001,"&gt;="&amp;$C$7,BD!$A$3:$A$5001,"&lt;="&amp;$B168,BD!$X$3:$X$5001,"&lt;&gt;")=0,"",SUMIFS(BD!$X$3:$X$5001,BD!$B$3:$B$5001,I$140,BD!$A$3:$A$5001,_xlfn.MAXIFS(BD!$A$3:$A$5001,BD!$B$3:$B$5001,I$140,BD!$A$3:$A$5001,"&gt;="&amp;$C$7,BD!$A$3:$A$5001,"&lt;="&amp;$B168,BD!$X$3:$X$5001,"&lt;&gt;"))))</f>
        <v/>
      </c>
      <c r="J168" s="43" t="str">
        <f>IF(OR($B168="",$A168&gt;$B$9,J$140=""),"",IF(COUNTIFS(BD!$B$3:$B$5001,J$140,BD!$A$3:$A$5001,"&gt;="&amp;$C$7,BD!$A$3:$A$5001,"&lt;="&amp;$B168,BD!$X$3:$X$5001,"&lt;&gt;")=0,"",SUMIFS(BD!$X$3:$X$5001,BD!$B$3:$B$5001,J$140,BD!$A$3:$A$5001,_xlfn.MAXIFS(BD!$A$3:$A$5001,BD!$B$3:$B$5001,J$140,BD!$A$3:$A$5001,"&gt;="&amp;$C$7,BD!$A$3:$A$5001,"&lt;="&amp;$B168,BD!$X$3:$X$5001,"&lt;&gt;"))))</f>
        <v/>
      </c>
      <c r="K168" s="43" t="str">
        <f>IF(OR($B168="",$A168&gt;$B$9,K$140=""),"",IF(COUNTIFS(BD!$B$3:$B$5001,K$140,BD!$A$3:$A$5001,"&gt;="&amp;$C$7,BD!$A$3:$A$5001,"&lt;="&amp;$B168,BD!$X$3:$X$5001,"&lt;&gt;")=0,"",SUMIFS(BD!$X$3:$X$5001,BD!$B$3:$B$5001,K$140,BD!$A$3:$A$5001,_xlfn.MAXIFS(BD!$A$3:$A$5001,BD!$B$3:$B$5001,K$140,BD!$A$3:$A$5001,"&gt;="&amp;$C$7,BD!$A$3:$A$5001,"&lt;="&amp;$B168,BD!$X$3:$X$5001,"&lt;&gt;"))))</f>
        <v/>
      </c>
      <c r="L168" s="43" t="str">
        <f>IF(OR($B168="",$A168&gt;$B$9,L$140=""),"",IF(COUNTIFS(BD!$B$3:$B$5001,L$140,BD!$A$3:$A$5001,"&gt;="&amp;$C$7,BD!$A$3:$A$5001,"&lt;="&amp;$B168,BD!$X$3:$X$5001,"&lt;&gt;")=0,"",SUMIFS(BD!$X$3:$X$5001,BD!$B$3:$B$5001,L$140,BD!$A$3:$A$5001,_xlfn.MAXIFS(BD!$A$3:$A$5001,BD!$B$3:$B$5001,L$140,BD!$A$3:$A$5001,"&gt;="&amp;$C$7,BD!$A$3:$A$5001,"&lt;="&amp;$B168,BD!$X$3:$X$5001,"&lt;&gt;"))))</f>
        <v/>
      </c>
      <c r="M168" s="43" t="str">
        <f>IF(OR($B168="",$A168&gt;$B$9,M$140=""),"",IF(COUNTIFS(BD!$B$3:$B$5001,M$140,BD!$A$3:$A$5001,"&gt;="&amp;$C$7,BD!$A$3:$A$5001,"&lt;="&amp;$B168,BD!$X$3:$X$5001,"&lt;&gt;")=0,"",SUMIFS(BD!$X$3:$X$5001,BD!$B$3:$B$5001,M$140,BD!$A$3:$A$5001,_xlfn.MAXIFS(BD!$A$3:$A$5001,BD!$B$3:$B$5001,M$140,BD!$A$3:$A$5001,"&gt;="&amp;$C$7,BD!$A$3:$A$5001,"&lt;="&amp;$B168,BD!$X$3:$X$5001,"&lt;&gt;"))))</f>
        <v/>
      </c>
      <c r="N168" s="43" t="str">
        <f>IF(OR($B168="",$A168&gt;$B$9,N$140=""),"",IF(COUNTIFS(BD!$B$3:$B$5001,N$140,BD!$A$3:$A$5001,"&gt;="&amp;$C$7,BD!$A$3:$A$5001,"&lt;="&amp;$B168,BD!$X$3:$X$5001,"&lt;&gt;")=0,"",SUMIFS(BD!$X$3:$X$5001,BD!$B$3:$B$5001,N$140,BD!$A$3:$A$5001,_xlfn.MAXIFS(BD!$A$3:$A$5001,BD!$B$3:$B$5001,N$140,BD!$A$3:$A$5001,"&gt;="&amp;$C$7,BD!$A$3:$A$5001,"&lt;="&amp;$B168,BD!$X$3:$X$5001,"&lt;&gt;"))))</f>
        <v/>
      </c>
      <c r="O168" s="43" t="str">
        <f>IF(OR($B168="",$A168&gt;$B$9,O$140=""),"",IF(COUNTIFS(BD!$B$3:$B$5001,O$140,BD!$A$3:$A$5001,"&gt;="&amp;$C$7,BD!$A$3:$A$5001,"&lt;="&amp;$B168,BD!$X$3:$X$5001,"&lt;&gt;")=0,"",SUMIFS(BD!$X$3:$X$5001,BD!$B$3:$B$5001,O$140,BD!$A$3:$A$5001,_xlfn.MAXIFS(BD!$A$3:$A$5001,BD!$B$3:$B$5001,O$140,BD!$A$3:$A$5001,"&gt;="&amp;$C$7,BD!$A$3:$A$5001,"&lt;="&amp;$B168,BD!$X$3:$X$5001,"&lt;&gt;"))))</f>
        <v/>
      </c>
      <c r="P168" s="43" t="str">
        <f>IF(OR($B168="",$A168&gt;$B$9,P$140=""),"",IF(COUNTIFS(BD!$B$3:$B$5001,P$140,BD!$A$3:$A$5001,"&gt;="&amp;$C$7,BD!$A$3:$A$5001,"&lt;="&amp;$B168,BD!$X$3:$X$5001,"&lt;&gt;")=0,"",SUMIFS(BD!$X$3:$X$5001,BD!$B$3:$B$5001,P$140,BD!$A$3:$A$5001,_xlfn.MAXIFS(BD!$A$3:$A$5001,BD!$B$3:$B$5001,P$140,BD!$A$3:$A$5001,"&gt;="&amp;$C$7,BD!$A$3:$A$5001,"&lt;="&amp;$B168,BD!$X$3:$X$5001,"&lt;&gt;"))))</f>
        <v/>
      </c>
      <c r="Q168" s="43" t="str">
        <f>IF(OR($B168="",$A168&gt;$B$9,Q$140=""),"",IF(COUNTIFS(BD!$B$3:$B$5001,Q$140,BD!$A$3:$A$5001,"&gt;="&amp;$C$7,BD!$A$3:$A$5001,"&lt;="&amp;$B168,BD!$X$3:$X$5001,"&lt;&gt;")=0,"",SUMIFS(BD!$X$3:$X$5001,BD!$B$3:$B$5001,Q$140,BD!$A$3:$A$5001,_xlfn.MAXIFS(BD!$A$3:$A$5001,BD!$B$3:$B$5001,Q$140,BD!$A$3:$A$5001,"&gt;="&amp;$C$7,BD!$A$3:$A$5001,"&lt;="&amp;$B168,BD!$X$3:$X$5001,"&lt;&gt;"))))</f>
        <v/>
      </c>
      <c r="R168" s="43" t="str">
        <f>IF(OR($B168="",$A168&gt;$B$9,R$140=""),"",IF(COUNTIFS(BD!$B$3:$B$5001,R$140,BD!$A$3:$A$5001,"&gt;="&amp;$C$7,BD!$A$3:$A$5001,"&lt;="&amp;$B168,BD!$X$3:$X$5001,"&lt;&gt;")=0,"",SUMIFS(BD!$X$3:$X$5001,BD!$B$3:$B$5001,R$140,BD!$A$3:$A$5001,_xlfn.MAXIFS(BD!$A$3:$A$5001,BD!$B$3:$B$5001,R$140,BD!$A$3:$A$5001,"&gt;="&amp;$C$7,BD!$A$3:$A$5001,"&lt;="&amp;$B168,BD!$X$3:$X$5001,"&lt;&gt;"))))</f>
        <v/>
      </c>
      <c r="S168" s="43" t="str">
        <f>IF(OR($B168="",$A168&gt;$B$9,S$140=""),"",IF(COUNTIFS(BD!$B$3:$B$5001,S$140,BD!$A$3:$A$5001,"&gt;="&amp;$C$7,BD!$A$3:$A$5001,"&lt;="&amp;$B168,BD!$X$3:$X$5001,"&lt;&gt;")=0,"",SUMIFS(BD!$X$3:$X$5001,BD!$B$3:$B$5001,S$140,BD!$A$3:$A$5001,_xlfn.MAXIFS(BD!$A$3:$A$5001,BD!$B$3:$B$5001,S$140,BD!$A$3:$A$5001,"&gt;="&amp;$C$7,BD!$A$3:$A$5001,"&lt;="&amp;$B168,BD!$X$3:$X$5001,"&lt;&gt;"))))</f>
        <v/>
      </c>
      <c r="T168" s="43" t="str">
        <f>IF(OR($B168="",$A168&gt;$B$9,T$140=""),"",IF(COUNTIFS(BD!$B$3:$B$5001,T$140,BD!$A$3:$A$5001,"&gt;="&amp;$C$7,BD!$A$3:$A$5001,"&lt;="&amp;$B168,BD!$X$3:$X$5001,"&lt;&gt;")=0,"",SUMIFS(BD!$X$3:$X$5001,BD!$B$3:$B$5001,T$140,BD!$A$3:$A$5001,_xlfn.MAXIFS(BD!$A$3:$A$5001,BD!$B$3:$B$5001,T$140,BD!$A$3:$A$5001,"&gt;="&amp;$C$7,BD!$A$3:$A$5001,"&lt;="&amp;$B168,BD!$X$3:$X$5001,"&lt;&gt;"))))</f>
        <v/>
      </c>
      <c r="U168" s="43" t="str">
        <f>IF(OR($B168="",$A168&gt;$B$9,U$140=""),"",IF(COUNTIFS(BD!$B$3:$B$5001,U$140,BD!$A$3:$A$5001,"&gt;="&amp;$C$7,BD!$A$3:$A$5001,"&lt;="&amp;$B168,BD!$X$3:$X$5001,"&lt;&gt;")=0,"",SUMIFS(BD!$X$3:$X$5001,BD!$B$3:$B$5001,U$140,BD!$A$3:$A$5001,_xlfn.MAXIFS(BD!$A$3:$A$5001,BD!$B$3:$B$5001,U$140,BD!$A$3:$A$5001,"&gt;="&amp;$C$7,BD!$A$3:$A$5001,"&lt;="&amp;$B168,BD!$X$3:$X$5001,"&lt;&gt;"))))</f>
        <v/>
      </c>
      <c r="V168" s="43" t="str">
        <f>IF(OR($B168="",$A168&gt;$B$9,V$140=""),"",IF(COUNTIFS(BD!$B$3:$B$5001,V$140,BD!$A$3:$A$5001,"&gt;="&amp;$C$7,BD!$A$3:$A$5001,"&lt;="&amp;$B168,BD!$X$3:$X$5001,"&lt;&gt;")=0,"",SUMIFS(BD!$X$3:$X$5001,BD!$B$3:$B$5001,V$140,BD!$A$3:$A$5001,_xlfn.MAXIFS(BD!$A$3:$A$5001,BD!$B$3:$B$5001,V$140,BD!$A$3:$A$5001,"&gt;="&amp;$C$7,BD!$A$3:$A$5001,"&lt;="&amp;$B168,BD!$X$3:$X$5001,"&lt;&gt;"))))</f>
        <v/>
      </c>
    </row>
    <row r="169">
      <c r="A169" s="38">
        <v>29</v>
      </c>
      <c r="B169" s="42">
        <f>$B$40</f>
        <v>46324</v>
      </c>
      <c r="C169" s="43" t="str">
        <f>IF(OR($B169="",$A169&gt;$B$9,C$140=""),"",IF(COUNTIFS(BD!$B$3:$B$5001,C$140,BD!$A$3:$A$5001,"&gt;="&amp;$C$7,BD!$A$3:$A$5001,"&lt;="&amp;$B169,BD!$X$3:$X$5001,"&lt;&gt;")=0,"",SUMIFS(BD!$X$3:$X$5001,BD!$B$3:$B$5001,C$140,BD!$A$3:$A$5001,_xlfn.MAXIFS(BD!$A$3:$A$5001,BD!$B$3:$B$5001,C$140,BD!$A$3:$A$5001,"&gt;="&amp;$C$7,BD!$A$3:$A$5001,"&lt;="&amp;$B169,BD!$X$3:$X$5001,"&lt;&gt;"))))</f>
        <v/>
      </c>
      <c r="D169" s="43" t="str">
        <f>IF(OR($B169="",$A169&gt;$B$9,D$140=""),"",IF(COUNTIFS(BD!$B$3:$B$5001,D$140,BD!$A$3:$A$5001,"&gt;="&amp;$C$7,BD!$A$3:$A$5001,"&lt;="&amp;$B169,BD!$X$3:$X$5001,"&lt;&gt;")=0,"",SUMIFS(BD!$X$3:$X$5001,BD!$B$3:$B$5001,D$140,BD!$A$3:$A$5001,_xlfn.MAXIFS(BD!$A$3:$A$5001,BD!$B$3:$B$5001,D$140,BD!$A$3:$A$5001,"&gt;="&amp;$C$7,BD!$A$3:$A$5001,"&lt;="&amp;$B169,BD!$X$3:$X$5001,"&lt;&gt;"))))</f>
        <v/>
      </c>
      <c r="E169" s="43" t="str">
        <f>IF(OR($B169="",$A169&gt;$B$9,E$140=""),"",IF(COUNTIFS(BD!$B$3:$B$5001,E$140,BD!$A$3:$A$5001,"&gt;="&amp;$C$7,BD!$A$3:$A$5001,"&lt;="&amp;$B169,BD!$X$3:$X$5001,"&lt;&gt;")=0,"",SUMIFS(BD!$X$3:$X$5001,BD!$B$3:$B$5001,E$140,BD!$A$3:$A$5001,_xlfn.MAXIFS(BD!$A$3:$A$5001,BD!$B$3:$B$5001,E$140,BD!$A$3:$A$5001,"&gt;="&amp;$C$7,BD!$A$3:$A$5001,"&lt;="&amp;$B169,BD!$X$3:$X$5001,"&lt;&gt;"))))</f>
        <v/>
      </c>
      <c r="F169" s="43" t="str">
        <f>IF(OR($B169="",$A169&gt;$B$9,F$140=""),"",IF(COUNTIFS(BD!$B$3:$B$5001,F$140,BD!$A$3:$A$5001,"&gt;="&amp;$C$7,BD!$A$3:$A$5001,"&lt;="&amp;$B169,BD!$X$3:$X$5001,"&lt;&gt;")=0,"",SUMIFS(BD!$X$3:$X$5001,BD!$B$3:$B$5001,F$140,BD!$A$3:$A$5001,_xlfn.MAXIFS(BD!$A$3:$A$5001,BD!$B$3:$B$5001,F$140,BD!$A$3:$A$5001,"&gt;="&amp;$C$7,BD!$A$3:$A$5001,"&lt;="&amp;$B169,BD!$X$3:$X$5001,"&lt;&gt;"))))</f>
        <v/>
      </c>
      <c r="G169" s="43" t="str">
        <f>IF(OR($B169="",$A169&gt;$B$9,G$140=""),"",IF(COUNTIFS(BD!$B$3:$B$5001,G$140,BD!$A$3:$A$5001,"&gt;="&amp;$C$7,BD!$A$3:$A$5001,"&lt;="&amp;$B169,BD!$X$3:$X$5001,"&lt;&gt;")=0,"",SUMIFS(BD!$X$3:$X$5001,BD!$B$3:$B$5001,G$140,BD!$A$3:$A$5001,_xlfn.MAXIFS(BD!$A$3:$A$5001,BD!$B$3:$B$5001,G$140,BD!$A$3:$A$5001,"&gt;="&amp;$C$7,BD!$A$3:$A$5001,"&lt;="&amp;$B169,BD!$X$3:$X$5001,"&lt;&gt;"))))</f>
        <v/>
      </c>
      <c r="H169" s="43" t="str">
        <f>IF(OR($B169="",$A169&gt;$B$9,H$140=""),"",IF(COUNTIFS(BD!$B$3:$B$5001,H$140,BD!$A$3:$A$5001,"&gt;="&amp;$C$7,BD!$A$3:$A$5001,"&lt;="&amp;$B169,BD!$X$3:$X$5001,"&lt;&gt;")=0,"",SUMIFS(BD!$X$3:$X$5001,BD!$B$3:$B$5001,H$140,BD!$A$3:$A$5001,_xlfn.MAXIFS(BD!$A$3:$A$5001,BD!$B$3:$B$5001,H$140,BD!$A$3:$A$5001,"&gt;="&amp;$C$7,BD!$A$3:$A$5001,"&lt;="&amp;$B169,BD!$X$3:$X$5001,"&lt;&gt;"))))</f>
        <v/>
      </c>
      <c r="I169" s="43" t="str">
        <f>IF(OR($B169="",$A169&gt;$B$9,I$140=""),"",IF(COUNTIFS(BD!$B$3:$B$5001,I$140,BD!$A$3:$A$5001,"&gt;="&amp;$C$7,BD!$A$3:$A$5001,"&lt;="&amp;$B169,BD!$X$3:$X$5001,"&lt;&gt;")=0,"",SUMIFS(BD!$X$3:$X$5001,BD!$B$3:$B$5001,I$140,BD!$A$3:$A$5001,_xlfn.MAXIFS(BD!$A$3:$A$5001,BD!$B$3:$B$5001,I$140,BD!$A$3:$A$5001,"&gt;="&amp;$C$7,BD!$A$3:$A$5001,"&lt;="&amp;$B169,BD!$X$3:$X$5001,"&lt;&gt;"))))</f>
        <v/>
      </c>
      <c r="J169" s="43" t="str">
        <f>IF(OR($B169="",$A169&gt;$B$9,J$140=""),"",IF(COUNTIFS(BD!$B$3:$B$5001,J$140,BD!$A$3:$A$5001,"&gt;="&amp;$C$7,BD!$A$3:$A$5001,"&lt;="&amp;$B169,BD!$X$3:$X$5001,"&lt;&gt;")=0,"",SUMIFS(BD!$X$3:$X$5001,BD!$B$3:$B$5001,J$140,BD!$A$3:$A$5001,_xlfn.MAXIFS(BD!$A$3:$A$5001,BD!$B$3:$B$5001,J$140,BD!$A$3:$A$5001,"&gt;="&amp;$C$7,BD!$A$3:$A$5001,"&lt;="&amp;$B169,BD!$X$3:$X$5001,"&lt;&gt;"))))</f>
        <v/>
      </c>
      <c r="K169" s="43" t="str">
        <f>IF(OR($B169="",$A169&gt;$B$9,K$140=""),"",IF(COUNTIFS(BD!$B$3:$B$5001,K$140,BD!$A$3:$A$5001,"&gt;="&amp;$C$7,BD!$A$3:$A$5001,"&lt;="&amp;$B169,BD!$X$3:$X$5001,"&lt;&gt;")=0,"",SUMIFS(BD!$X$3:$X$5001,BD!$B$3:$B$5001,K$140,BD!$A$3:$A$5001,_xlfn.MAXIFS(BD!$A$3:$A$5001,BD!$B$3:$B$5001,K$140,BD!$A$3:$A$5001,"&gt;="&amp;$C$7,BD!$A$3:$A$5001,"&lt;="&amp;$B169,BD!$X$3:$X$5001,"&lt;&gt;"))))</f>
        <v/>
      </c>
      <c r="L169" s="43" t="str">
        <f>IF(OR($B169="",$A169&gt;$B$9,L$140=""),"",IF(COUNTIFS(BD!$B$3:$B$5001,L$140,BD!$A$3:$A$5001,"&gt;="&amp;$C$7,BD!$A$3:$A$5001,"&lt;="&amp;$B169,BD!$X$3:$X$5001,"&lt;&gt;")=0,"",SUMIFS(BD!$X$3:$X$5001,BD!$B$3:$B$5001,L$140,BD!$A$3:$A$5001,_xlfn.MAXIFS(BD!$A$3:$A$5001,BD!$B$3:$B$5001,L$140,BD!$A$3:$A$5001,"&gt;="&amp;$C$7,BD!$A$3:$A$5001,"&lt;="&amp;$B169,BD!$X$3:$X$5001,"&lt;&gt;"))))</f>
        <v/>
      </c>
      <c r="M169" s="43" t="str">
        <f>IF(OR($B169="",$A169&gt;$B$9,M$140=""),"",IF(COUNTIFS(BD!$B$3:$B$5001,M$140,BD!$A$3:$A$5001,"&gt;="&amp;$C$7,BD!$A$3:$A$5001,"&lt;="&amp;$B169,BD!$X$3:$X$5001,"&lt;&gt;")=0,"",SUMIFS(BD!$X$3:$X$5001,BD!$B$3:$B$5001,M$140,BD!$A$3:$A$5001,_xlfn.MAXIFS(BD!$A$3:$A$5001,BD!$B$3:$B$5001,M$140,BD!$A$3:$A$5001,"&gt;="&amp;$C$7,BD!$A$3:$A$5001,"&lt;="&amp;$B169,BD!$X$3:$X$5001,"&lt;&gt;"))))</f>
        <v/>
      </c>
      <c r="N169" s="43" t="str">
        <f>IF(OR($B169="",$A169&gt;$B$9,N$140=""),"",IF(COUNTIFS(BD!$B$3:$B$5001,N$140,BD!$A$3:$A$5001,"&gt;="&amp;$C$7,BD!$A$3:$A$5001,"&lt;="&amp;$B169,BD!$X$3:$X$5001,"&lt;&gt;")=0,"",SUMIFS(BD!$X$3:$X$5001,BD!$B$3:$B$5001,N$140,BD!$A$3:$A$5001,_xlfn.MAXIFS(BD!$A$3:$A$5001,BD!$B$3:$B$5001,N$140,BD!$A$3:$A$5001,"&gt;="&amp;$C$7,BD!$A$3:$A$5001,"&lt;="&amp;$B169,BD!$X$3:$X$5001,"&lt;&gt;"))))</f>
        <v/>
      </c>
      <c r="O169" s="43" t="str">
        <f>IF(OR($B169="",$A169&gt;$B$9,O$140=""),"",IF(COUNTIFS(BD!$B$3:$B$5001,O$140,BD!$A$3:$A$5001,"&gt;="&amp;$C$7,BD!$A$3:$A$5001,"&lt;="&amp;$B169,BD!$X$3:$X$5001,"&lt;&gt;")=0,"",SUMIFS(BD!$X$3:$X$5001,BD!$B$3:$B$5001,O$140,BD!$A$3:$A$5001,_xlfn.MAXIFS(BD!$A$3:$A$5001,BD!$B$3:$B$5001,O$140,BD!$A$3:$A$5001,"&gt;="&amp;$C$7,BD!$A$3:$A$5001,"&lt;="&amp;$B169,BD!$X$3:$X$5001,"&lt;&gt;"))))</f>
        <v/>
      </c>
      <c r="P169" s="43" t="str">
        <f>IF(OR($B169="",$A169&gt;$B$9,P$140=""),"",IF(COUNTIFS(BD!$B$3:$B$5001,P$140,BD!$A$3:$A$5001,"&gt;="&amp;$C$7,BD!$A$3:$A$5001,"&lt;="&amp;$B169,BD!$X$3:$X$5001,"&lt;&gt;")=0,"",SUMIFS(BD!$X$3:$X$5001,BD!$B$3:$B$5001,P$140,BD!$A$3:$A$5001,_xlfn.MAXIFS(BD!$A$3:$A$5001,BD!$B$3:$B$5001,P$140,BD!$A$3:$A$5001,"&gt;="&amp;$C$7,BD!$A$3:$A$5001,"&lt;="&amp;$B169,BD!$X$3:$X$5001,"&lt;&gt;"))))</f>
        <v/>
      </c>
      <c r="Q169" s="43" t="str">
        <f>IF(OR($B169="",$A169&gt;$B$9,Q$140=""),"",IF(COUNTIFS(BD!$B$3:$B$5001,Q$140,BD!$A$3:$A$5001,"&gt;="&amp;$C$7,BD!$A$3:$A$5001,"&lt;="&amp;$B169,BD!$X$3:$X$5001,"&lt;&gt;")=0,"",SUMIFS(BD!$X$3:$X$5001,BD!$B$3:$B$5001,Q$140,BD!$A$3:$A$5001,_xlfn.MAXIFS(BD!$A$3:$A$5001,BD!$B$3:$B$5001,Q$140,BD!$A$3:$A$5001,"&gt;="&amp;$C$7,BD!$A$3:$A$5001,"&lt;="&amp;$B169,BD!$X$3:$X$5001,"&lt;&gt;"))))</f>
        <v/>
      </c>
      <c r="R169" s="43" t="str">
        <f>IF(OR($B169="",$A169&gt;$B$9,R$140=""),"",IF(COUNTIFS(BD!$B$3:$B$5001,R$140,BD!$A$3:$A$5001,"&gt;="&amp;$C$7,BD!$A$3:$A$5001,"&lt;="&amp;$B169,BD!$X$3:$X$5001,"&lt;&gt;")=0,"",SUMIFS(BD!$X$3:$X$5001,BD!$B$3:$B$5001,R$140,BD!$A$3:$A$5001,_xlfn.MAXIFS(BD!$A$3:$A$5001,BD!$B$3:$B$5001,R$140,BD!$A$3:$A$5001,"&gt;="&amp;$C$7,BD!$A$3:$A$5001,"&lt;="&amp;$B169,BD!$X$3:$X$5001,"&lt;&gt;"))))</f>
        <v/>
      </c>
      <c r="S169" s="43" t="str">
        <f>IF(OR($B169="",$A169&gt;$B$9,S$140=""),"",IF(COUNTIFS(BD!$B$3:$B$5001,S$140,BD!$A$3:$A$5001,"&gt;="&amp;$C$7,BD!$A$3:$A$5001,"&lt;="&amp;$B169,BD!$X$3:$X$5001,"&lt;&gt;")=0,"",SUMIFS(BD!$X$3:$X$5001,BD!$B$3:$B$5001,S$140,BD!$A$3:$A$5001,_xlfn.MAXIFS(BD!$A$3:$A$5001,BD!$B$3:$B$5001,S$140,BD!$A$3:$A$5001,"&gt;="&amp;$C$7,BD!$A$3:$A$5001,"&lt;="&amp;$B169,BD!$X$3:$X$5001,"&lt;&gt;"))))</f>
        <v/>
      </c>
      <c r="T169" s="43" t="str">
        <f>IF(OR($B169="",$A169&gt;$B$9,T$140=""),"",IF(COUNTIFS(BD!$B$3:$B$5001,T$140,BD!$A$3:$A$5001,"&gt;="&amp;$C$7,BD!$A$3:$A$5001,"&lt;="&amp;$B169,BD!$X$3:$X$5001,"&lt;&gt;")=0,"",SUMIFS(BD!$X$3:$X$5001,BD!$B$3:$B$5001,T$140,BD!$A$3:$A$5001,_xlfn.MAXIFS(BD!$A$3:$A$5001,BD!$B$3:$B$5001,T$140,BD!$A$3:$A$5001,"&gt;="&amp;$C$7,BD!$A$3:$A$5001,"&lt;="&amp;$B169,BD!$X$3:$X$5001,"&lt;&gt;"))))</f>
        <v/>
      </c>
      <c r="U169" s="43" t="str">
        <f>IF(OR($B169="",$A169&gt;$B$9,U$140=""),"",IF(COUNTIFS(BD!$B$3:$B$5001,U$140,BD!$A$3:$A$5001,"&gt;="&amp;$C$7,BD!$A$3:$A$5001,"&lt;="&amp;$B169,BD!$X$3:$X$5001,"&lt;&gt;")=0,"",SUMIFS(BD!$X$3:$X$5001,BD!$B$3:$B$5001,U$140,BD!$A$3:$A$5001,_xlfn.MAXIFS(BD!$A$3:$A$5001,BD!$B$3:$B$5001,U$140,BD!$A$3:$A$5001,"&gt;="&amp;$C$7,BD!$A$3:$A$5001,"&lt;="&amp;$B169,BD!$X$3:$X$5001,"&lt;&gt;"))))</f>
        <v/>
      </c>
      <c r="V169" s="43" t="str">
        <f>IF(OR($B169="",$A169&gt;$B$9,V$140=""),"",IF(COUNTIFS(BD!$B$3:$B$5001,V$140,BD!$A$3:$A$5001,"&gt;="&amp;$C$7,BD!$A$3:$A$5001,"&lt;="&amp;$B169,BD!$X$3:$X$5001,"&lt;&gt;")=0,"",SUMIFS(BD!$X$3:$X$5001,BD!$B$3:$B$5001,V$140,BD!$A$3:$A$5001,_xlfn.MAXIFS(BD!$A$3:$A$5001,BD!$B$3:$B$5001,V$140,BD!$A$3:$A$5001,"&gt;="&amp;$C$7,BD!$A$3:$A$5001,"&lt;="&amp;$B169,BD!$X$3:$X$5001,"&lt;&gt;"))))</f>
        <v/>
      </c>
    </row>
    <row r="170">
      <c r="A170" s="38">
        <v>30</v>
      </c>
      <c r="B170" s="42">
        <f>$B$41</f>
        <v>46325</v>
      </c>
      <c r="C170" s="43" t="str">
        <f>IF(OR($B170="",$A170&gt;$B$9,C$140=""),"",IF(COUNTIFS(BD!$B$3:$B$5001,C$140,BD!$A$3:$A$5001,"&gt;="&amp;$C$7,BD!$A$3:$A$5001,"&lt;="&amp;$B170,BD!$X$3:$X$5001,"&lt;&gt;")=0,"",SUMIFS(BD!$X$3:$X$5001,BD!$B$3:$B$5001,C$140,BD!$A$3:$A$5001,_xlfn.MAXIFS(BD!$A$3:$A$5001,BD!$B$3:$B$5001,C$140,BD!$A$3:$A$5001,"&gt;="&amp;$C$7,BD!$A$3:$A$5001,"&lt;="&amp;$B170,BD!$X$3:$X$5001,"&lt;&gt;"))))</f>
        <v/>
      </c>
      <c r="D170" s="43" t="str">
        <f>IF(OR($B170="",$A170&gt;$B$9,D$140=""),"",IF(COUNTIFS(BD!$B$3:$B$5001,D$140,BD!$A$3:$A$5001,"&gt;="&amp;$C$7,BD!$A$3:$A$5001,"&lt;="&amp;$B170,BD!$X$3:$X$5001,"&lt;&gt;")=0,"",SUMIFS(BD!$X$3:$X$5001,BD!$B$3:$B$5001,D$140,BD!$A$3:$A$5001,_xlfn.MAXIFS(BD!$A$3:$A$5001,BD!$B$3:$B$5001,D$140,BD!$A$3:$A$5001,"&gt;="&amp;$C$7,BD!$A$3:$A$5001,"&lt;="&amp;$B170,BD!$X$3:$X$5001,"&lt;&gt;"))))</f>
        <v/>
      </c>
      <c r="E170" s="43" t="str">
        <f>IF(OR($B170="",$A170&gt;$B$9,E$140=""),"",IF(COUNTIFS(BD!$B$3:$B$5001,E$140,BD!$A$3:$A$5001,"&gt;="&amp;$C$7,BD!$A$3:$A$5001,"&lt;="&amp;$B170,BD!$X$3:$X$5001,"&lt;&gt;")=0,"",SUMIFS(BD!$X$3:$X$5001,BD!$B$3:$B$5001,E$140,BD!$A$3:$A$5001,_xlfn.MAXIFS(BD!$A$3:$A$5001,BD!$B$3:$B$5001,E$140,BD!$A$3:$A$5001,"&gt;="&amp;$C$7,BD!$A$3:$A$5001,"&lt;="&amp;$B170,BD!$X$3:$X$5001,"&lt;&gt;"))))</f>
        <v/>
      </c>
      <c r="F170" s="43" t="str">
        <f>IF(OR($B170="",$A170&gt;$B$9,F$140=""),"",IF(COUNTIFS(BD!$B$3:$B$5001,F$140,BD!$A$3:$A$5001,"&gt;="&amp;$C$7,BD!$A$3:$A$5001,"&lt;="&amp;$B170,BD!$X$3:$X$5001,"&lt;&gt;")=0,"",SUMIFS(BD!$X$3:$X$5001,BD!$B$3:$B$5001,F$140,BD!$A$3:$A$5001,_xlfn.MAXIFS(BD!$A$3:$A$5001,BD!$B$3:$B$5001,F$140,BD!$A$3:$A$5001,"&gt;="&amp;$C$7,BD!$A$3:$A$5001,"&lt;="&amp;$B170,BD!$X$3:$X$5001,"&lt;&gt;"))))</f>
        <v/>
      </c>
      <c r="G170" s="43" t="str">
        <f>IF(OR($B170="",$A170&gt;$B$9,G$140=""),"",IF(COUNTIFS(BD!$B$3:$B$5001,G$140,BD!$A$3:$A$5001,"&gt;="&amp;$C$7,BD!$A$3:$A$5001,"&lt;="&amp;$B170,BD!$X$3:$X$5001,"&lt;&gt;")=0,"",SUMIFS(BD!$X$3:$X$5001,BD!$B$3:$B$5001,G$140,BD!$A$3:$A$5001,_xlfn.MAXIFS(BD!$A$3:$A$5001,BD!$B$3:$B$5001,G$140,BD!$A$3:$A$5001,"&gt;="&amp;$C$7,BD!$A$3:$A$5001,"&lt;="&amp;$B170,BD!$X$3:$X$5001,"&lt;&gt;"))))</f>
        <v/>
      </c>
      <c r="H170" s="43" t="str">
        <f>IF(OR($B170="",$A170&gt;$B$9,H$140=""),"",IF(COUNTIFS(BD!$B$3:$B$5001,H$140,BD!$A$3:$A$5001,"&gt;="&amp;$C$7,BD!$A$3:$A$5001,"&lt;="&amp;$B170,BD!$X$3:$X$5001,"&lt;&gt;")=0,"",SUMIFS(BD!$X$3:$X$5001,BD!$B$3:$B$5001,H$140,BD!$A$3:$A$5001,_xlfn.MAXIFS(BD!$A$3:$A$5001,BD!$B$3:$B$5001,H$140,BD!$A$3:$A$5001,"&gt;="&amp;$C$7,BD!$A$3:$A$5001,"&lt;="&amp;$B170,BD!$X$3:$X$5001,"&lt;&gt;"))))</f>
        <v/>
      </c>
      <c r="I170" s="43" t="str">
        <f>IF(OR($B170="",$A170&gt;$B$9,I$140=""),"",IF(COUNTIFS(BD!$B$3:$B$5001,I$140,BD!$A$3:$A$5001,"&gt;="&amp;$C$7,BD!$A$3:$A$5001,"&lt;="&amp;$B170,BD!$X$3:$X$5001,"&lt;&gt;")=0,"",SUMIFS(BD!$X$3:$X$5001,BD!$B$3:$B$5001,I$140,BD!$A$3:$A$5001,_xlfn.MAXIFS(BD!$A$3:$A$5001,BD!$B$3:$B$5001,I$140,BD!$A$3:$A$5001,"&gt;="&amp;$C$7,BD!$A$3:$A$5001,"&lt;="&amp;$B170,BD!$X$3:$X$5001,"&lt;&gt;"))))</f>
        <v/>
      </c>
      <c r="J170" s="43" t="str">
        <f>IF(OR($B170="",$A170&gt;$B$9,J$140=""),"",IF(COUNTIFS(BD!$B$3:$B$5001,J$140,BD!$A$3:$A$5001,"&gt;="&amp;$C$7,BD!$A$3:$A$5001,"&lt;="&amp;$B170,BD!$X$3:$X$5001,"&lt;&gt;")=0,"",SUMIFS(BD!$X$3:$X$5001,BD!$B$3:$B$5001,J$140,BD!$A$3:$A$5001,_xlfn.MAXIFS(BD!$A$3:$A$5001,BD!$B$3:$B$5001,J$140,BD!$A$3:$A$5001,"&gt;="&amp;$C$7,BD!$A$3:$A$5001,"&lt;="&amp;$B170,BD!$X$3:$X$5001,"&lt;&gt;"))))</f>
        <v/>
      </c>
      <c r="K170" s="43" t="str">
        <f>IF(OR($B170="",$A170&gt;$B$9,K$140=""),"",IF(COUNTIFS(BD!$B$3:$B$5001,K$140,BD!$A$3:$A$5001,"&gt;="&amp;$C$7,BD!$A$3:$A$5001,"&lt;="&amp;$B170,BD!$X$3:$X$5001,"&lt;&gt;")=0,"",SUMIFS(BD!$X$3:$X$5001,BD!$B$3:$B$5001,K$140,BD!$A$3:$A$5001,_xlfn.MAXIFS(BD!$A$3:$A$5001,BD!$B$3:$B$5001,K$140,BD!$A$3:$A$5001,"&gt;="&amp;$C$7,BD!$A$3:$A$5001,"&lt;="&amp;$B170,BD!$X$3:$X$5001,"&lt;&gt;"))))</f>
        <v/>
      </c>
      <c r="L170" s="43" t="str">
        <f>IF(OR($B170="",$A170&gt;$B$9,L$140=""),"",IF(COUNTIFS(BD!$B$3:$B$5001,L$140,BD!$A$3:$A$5001,"&gt;="&amp;$C$7,BD!$A$3:$A$5001,"&lt;="&amp;$B170,BD!$X$3:$X$5001,"&lt;&gt;")=0,"",SUMIFS(BD!$X$3:$X$5001,BD!$B$3:$B$5001,L$140,BD!$A$3:$A$5001,_xlfn.MAXIFS(BD!$A$3:$A$5001,BD!$B$3:$B$5001,L$140,BD!$A$3:$A$5001,"&gt;="&amp;$C$7,BD!$A$3:$A$5001,"&lt;="&amp;$B170,BD!$X$3:$X$5001,"&lt;&gt;"))))</f>
        <v/>
      </c>
      <c r="M170" s="43" t="str">
        <f>IF(OR($B170="",$A170&gt;$B$9,M$140=""),"",IF(COUNTIFS(BD!$B$3:$B$5001,M$140,BD!$A$3:$A$5001,"&gt;="&amp;$C$7,BD!$A$3:$A$5001,"&lt;="&amp;$B170,BD!$X$3:$X$5001,"&lt;&gt;")=0,"",SUMIFS(BD!$X$3:$X$5001,BD!$B$3:$B$5001,M$140,BD!$A$3:$A$5001,_xlfn.MAXIFS(BD!$A$3:$A$5001,BD!$B$3:$B$5001,M$140,BD!$A$3:$A$5001,"&gt;="&amp;$C$7,BD!$A$3:$A$5001,"&lt;="&amp;$B170,BD!$X$3:$X$5001,"&lt;&gt;"))))</f>
        <v/>
      </c>
      <c r="N170" s="43" t="str">
        <f>IF(OR($B170="",$A170&gt;$B$9,N$140=""),"",IF(COUNTIFS(BD!$B$3:$B$5001,N$140,BD!$A$3:$A$5001,"&gt;="&amp;$C$7,BD!$A$3:$A$5001,"&lt;="&amp;$B170,BD!$X$3:$X$5001,"&lt;&gt;")=0,"",SUMIFS(BD!$X$3:$X$5001,BD!$B$3:$B$5001,N$140,BD!$A$3:$A$5001,_xlfn.MAXIFS(BD!$A$3:$A$5001,BD!$B$3:$B$5001,N$140,BD!$A$3:$A$5001,"&gt;="&amp;$C$7,BD!$A$3:$A$5001,"&lt;="&amp;$B170,BD!$X$3:$X$5001,"&lt;&gt;"))))</f>
        <v/>
      </c>
      <c r="O170" s="43" t="str">
        <f>IF(OR($B170="",$A170&gt;$B$9,O$140=""),"",IF(COUNTIFS(BD!$B$3:$B$5001,O$140,BD!$A$3:$A$5001,"&gt;="&amp;$C$7,BD!$A$3:$A$5001,"&lt;="&amp;$B170,BD!$X$3:$X$5001,"&lt;&gt;")=0,"",SUMIFS(BD!$X$3:$X$5001,BD!$B$3:$B$5001,O$140,BD!$A$3:$A$5001,_xlfn.MAXIFS(BD!$A$3:$A$5001,BD!$B$3:$B$5001,O$140,BD!$A$3:$A$5001,"&gt;="&amp;$C$7,BD!$A$3:$A$5001,"&lt;="&amp;$B170,BD!$X$3:$X$5001,"&lt;&gt;"))))</f>
        <v/>
      </c>
      <c r="P170" s="43" t="str">
        <f>IF(OR($B170="",$A170&gt;$B$9,P$140=""),"",IF(COUNTIFS(BD!$B$3:$B$5001,P$140,BD!$A$3:$A$5001,"&gt;="&amp;$C$7,BD!$A$3:$A$5001,"&lt;="&amp;$B170,BD!$X$3:$X$5001,"&lt;&gt;")=0,"",SUMIFS(BD!$X$3:$X$5001,BD!$B$3:$B$5001,P$140,BD!$A$3:$A$5001,_xlfn.MAXIFS(BD!$A$3:$A$5001,BD!$B$3:$B$5001,P$140,BD!$A$3:$A$5001,"&gt;="&amp;$C$7,BD!$A$3:$A$5001,"&lt;="&amp;$B170,BD!$X$3:$X$5001,"&lt;&gt;"))))</f>
        <v/>
      </c>
      <c r="Q170" s="43" t="str">
        <f>IF(OR($B170="",$A170&gt;$B$9,Q$140=""),"",IF(COUNTIFS(BD!$B$3:$B$5001,Q$140,BD!$A$3:$A$5001,"&gt;="&amp;$C$7,BD!$A$3:$A$5001,"&lt;="&amp;$B170,BD!$X$3:$X$5001,"&lt;&gt;")=0,"",SUMIFS(BD!$X$3:$X$5001,BD!$B$3:$B$5001,Q$140,BD!$A$3:$A$5001,_xlfn.MAXIFS(BD!$A$3:$A$5001,BD!$B$3:$B$5001,Q$140,BD!$A$3:$A$5001,"&gt;="&amp;$C$7,BD!$A$3:$A$5001,"&lt;="&amp;$B170,BD!$X$3:$X$5001,"&lt;&gt;"))))</f>
        <v/>
      </c>
      <c r="R170" s="43" t="str">
        <f>IF(OR($B170="",$A170&gt;$B$9,R$140=""),"",IF(COUNTIFS(BD!$B$3:$B$5001,R$140,BD!$A$3:$A$5001,"&gt;="&amp;$C$7,BD!$A$3:$A$5001,"&lt;="&amp;$B170,BD!$X$3:$X$5001,"&lt;&gt;")=0,"",SUMIFS(BD!$X$3:$X$5001,BD!$B$3:$B$5001,R$140,BD!$A$3:$A$5001,_xlfn.MAXIFS(BD!$A$3:$A$5001,BD!$B$3:$B$5001,R$140,BD!$A$3:$A$5001,"&gt;="&amp;$C$7,BD!$A$3:$A$5001,"&lt;="&amp;$B170,BD!$X$3:$X$5001,"&lt;&gt;"))))</f>
        <v/>
      </c>
      <c r="S170" s="43" t="str">
        <f>IF(OR($B170="",$A170&gt;$B$9,S$140=""),"",IF(COUNTIFS(BD!$B$3:$B$5001,S$140,BD!$A$3:$A$5001,"&gt;="&amp;$C$7,BD!$A$3:$A$5001,"&lt;="&amp;$B170,BD!$X$3:$X$5001,"&lt;&gt;")=0,"",SUMIFS(BD!$X$3:$X$5001,BD!$B$3:$B$5001,S$140,BD!$A$3:$A$5001,_xlfn.MAXIFS(BD!$A$3:$A$5001,BD!$B$3:$B$5001,S$140,BD!$A$3:$A$5001,"&gt;="&amp;$C$7,BD!$A$3:$A$5001,"&lt;="&amp;$B170,BD!$X$3:$X$5001,"&lt;&gt;"))))</f>
        <v/>
      </c>
      <c r="T170" s="43" t="str">
        <f>IF(OR($B170="",$A170&gt;$B$9,T$140=""),"",IF(COUNTIFS(BD!$B$3:$B$5001,T$140,BD!$A$3:$A$5001,"&gt;="&amp;$C$7,BD!$A$3:$A$5001,"&lt;="&amp;$B170,BD!$X$3:$X$5001,"&lt;&gt;")=0,"",SUMIFS(BD!$X$3:$X$5001,BD!$B$3:$B$5001,T$140,BD!$A$3:$A$5001,_xlfn.MAXIFS(BD!$A$3:$A$5001,BD!$B$3:$B$5001,T$140,BD!$A$3:$A$5001,"&gt;="&amp;$C$7,BD!$A$3:$A$5001,"&lt;="&amp;$B170,BD!$X$3:$X$5001,"&lt;&gt;"))))</f>
        <v/>
      </c>
      <c r="U170" s="43" t="str">
        <f>IF(OR($B170="",$A170&gt;$B$9,U$140=""),"",IF(COUNTIFS(BD!$B$3:$B$5001,U$140,BD!$A$3:$A$5001,"&gt;="&amp;$C$7,BD!$A$3:$A$5001,"&lt;="&amp;$B170,BD!$X$3:$X$5001,"&lt;&gt;")=0,"",SUMIFS(BD!$X$3:$X$5001,BD!$B$3:$B$5001,U$140,BD!$A$3:$A$5001,_xlfn.MAXIFS(BD!$A$3:$A$5001,BD!$B$3:$B$5001,U$140,BD!$A$3:$A$5001,"&gt;="&amp;$C$7,BD!$A$3:$A$5001,"&lt;="&amp;$B170,BD!$X$3:$X$5001,"&lt;&gt;"))))</f>
        <v/>
      </c>
      <c r="V170" s="43" t="str">
        <f>IF(OR($B170="",$A170&gt;$B$9,V$140=""),"",IF(COUNTIFS(BD!$B$3:$B$5001,V$140,BD!$A$3:$A$5001,"&gt;="&amp;$C$7,BD!$A$3:$A$5001,"&lt;="&amp;$B170,BD!$X$3:$X$5001,"&lt;&gt;")=0,"",SUMIFS(BD!$X$3:$X$5001,BD!$B$3:$B$5001,V$140,BD!$A$3:$A$5001,_xlfn.MAXIFS(BD!$A$3:$A$5001,BD!$B$3:$B$5001,V$140,BD!$A$3:$A$5001,"&gt;="&amp;$C$7,BD!$A$3:$A$5001,"&lt;="&amp;$B170,BD!$X$3:$X$5001,"&lt;&gt;"))))</f>
        <v/>
      </c>
    </row>
    <row r="171">
      <c r="A171" s="38">
        <v>31</v>
      </c>
      <c r="B171" s="42">
        <f>$B$42</f>
        <v>46326</v>
      </c>
      <c r="C171" s="43" t="str">
        <f>IF(OR($B171="",$A171&gt;$B$9,C$140=""),"",IF(COUNTIFS(BD!$B$3:$B$5001,C$140,BD!$A$3:$A$5001,"&gt;="&amp;$C$7,BD!$A$3:$A$5001,"&lt;="&amp;$B171,BD!$X$3:$X$5001,"&lt;&gt;")=0,"",SUMIFS(BD!$X$3:$X$5001,BD!$B$3:$B$5001,C$140,BD!$A$3:$A$5001,_xlfn.MAXIFS(BD!$A$3:$A$5001,BD!$B$3:$B$5001,C$140,BD!$A$3:$A$5001,"&gt;="&amp;$C$7,BD!$A$3:$A$5001,"&lt;="&amp;$B171,BD!$X$3:$X$5001,"&lt;&gt;"))))</f>
        <v/>
      </c>
      <c r="D171" s="43" t="str">
        <f>IF(OR($B171="",$A171&gt;$B$9,D$140=""),"",IF(COUNTIFS(BD!$B$3:$B$5001,D$140,BD!$A$3:$A$5001,"&gt;="&amp;$C$7,BD!$A$3:$A$5001,"&lt;="&amp;$B171,BD!$X$3:$X$5001,"&lt;&gt;")=0,"",SUMIFS(BD!$X$3:$X$5001,BD!$B$3:$B$5001,D$140,BD!$A$3:$A$5001,_xlfn.MAXIFS(BD!$A$3:$A$5001,BD!$B$3:$B$5001,D$140,BD!$A$3:$A$5001,"&gt;="&amp;$C$7,BD!$A$3:$A$5001,"&lt;="&amp;$B171,BD!$X$3:$X$5001,"&lt;&gt;"))))</f>
        <v/>
      </c>
      <c r="E171" s="43" t="str">
        <f>IF(OR($B171="",$A171&gt;$B$9,E$140=""),"",IF(COUNTIFS(BD!$B$3:$B$5001,E$140,BD!$A$3:$A$5001,"&gt;="&amp;$C$7,BD!$A$3:$A$5001,"&lt;="&amp;$B171,BD!$X$3:$X$5001,"&lt;&gt;")=0,"",SUMIFS(BD!$X$3:$X$5001,BD!$B$3:$B$5001,E$140,BD!$A$3:$A$5001,_xlfn.MAXIFS(BD!$A$3:$A$5001,BD!$B$3:$B$5001,E$140,BD!$A$3:$A$5001,"&gt;="&amp;$C$7,BD!$A$3:$A$5001,"&lt;="&amp;$B171,BD!$X$3:$X$5001,"&lt;&gt;"))))</f>
        <v/>
      </c>
      <c r="F171" s="43" t="str">
        <f>IF(OR($B171="",$A171&gt;$B$9,F$140=""),"",IF(COUNTIFS(BD!$B$3:$B$5001,F$140,BD!$A$3:$A$5001,"&gt;="&amp;$C$7,BD!$A$3:$A$5001,"&lt;="&amp;$B171,BD!$X$3:$X$5001,"&lt;&gt;")=0,"",SUMIFS(BD!$X$3:$X$5001,BD!$B$3:$B$5001,F$140,BD!$A$3:$A$5001,_xlfn.MAXIFS(BD!$A$3:$A$5001,BD!$B$3:$B$5001,F$140,BD!$A$3:$A$5001,"&gt;="&amp;$C$7,BD!$A$3:$A$5001,"&lt;="&amp;$B171,BD!$X$3:$X$5001,"&lt;&gt;"))))</f>
        <v/>
      </c>
      <c r="G171" s="43" t="str">
        <f>IF(OR($B171="",$A171&gt;$B$9,G$140=""),"",IF(COUNTIFS(BD!$B$3:$B$5001,G$140,BD!$A$3:$A$5001,"&gt;="&amp;$C$7,BD!$A$3:$A$5001,"&lt;="&amp;$B171,BD!$X$3:$X$5001,"&lt;&gt;")=0,"",SUMIFS(BD!$X$3:$X$5001,BD!$B$3:$B$5001,G$140,BD!$A$3:$A$5001,_xlfn.MAXIFS(BD!$A$3:$A$5001,BD!$B$3:$B$5001,G$140,BD!$A$3:$A$5001,"&gt;="&amp;$C$7,BD!$A$3:$A$5001,"&lt;="&amp;$B171,BD!$X$3:$X$5001,"&lt;&gt;"))))</f>
        <v/>
      </c>
      <c r="H171" s="43" t="str">
        <f>IF(OR($B171="",$A171&gt;$B$9,H$140=""),"",IF(COUNTIFS(BD!$B$3:$B$5001,H$140,BD!$A$3:$A$5001,"&gt;="&amp;$C$7,BD!$A$3:$A$5001,"&lt;="&amp;$B171,BD!$X$3:$X$5001,"&lt;&gt;")=0,"",SUMIFS(BD!$X$3:$X$5001,BD!$B$3:$B$5001,H$140,BD!$A$3:$A$5001,_xlfn.MAXIFS(BD!$A$3:$A$5001,BD!$B$3:$B$5001,H$140,BD!$A$3:$A$5001,"&gt;="&amp;$C$7,BD!$A$3:$A$5001,"&lt;="&amp;$B171,BD!$X$3:$X$5001,"&lt;&gt;"))))</f>
        <v/>
      </c>
      <c r="I171" s="43" t="str">
        <f>IF(OR($B171="",$A171&gt;$B$9,I$140=""),"",IF(COUNTIFS(BD!$B$3:$B$5001,I$140,BD!$A$3:$A$5001,"&gt;="&amp;$C$7,BD!$A$3:$A$5001,"&lt;="&amp;$B171,BD!$X$3:$X$5001,"&lt;&gt;")=0,"",SUMIFS(BD!$X$3:$X$5001,BD!$B$3:$B$5001,I$140,BD!$A$3:$A$5001,_xlfn.MAXIFS(BD!$A$3:$A$5001,BD!$B$3:$B$5001,I$140,BD!$A$3:$A$5001,"&gt;="&amp;$C$7,BD!$A$3:$A$5001,"&lt;="&amp;$B171,BD!$X$3:$X$5001,"&lt;&gt;"))))</f>
        <v/>
      </c>
      <c r="J171" s="43" t="str">
        <f>IF(OR($B171="",$A171&gt;$B$9,J$140=""),"",IF(COUNTIFS(BD!$B$3:$B$5001,J$140,BD!$A$3:$A$5001,"&gt;="&amp;$C$7,BD!$A$3:$A$5001,"&lt;="&amp;$B171,BD!$X$3:$X$5001,"&lt;&gt;")=0,"",SUMIFS(BD!$X$3:$X$5001,BD!$B$3:$B$5001,J$140,BD!$A$3:$A$5001,_xlfn.MAXIFS(BD!$A$3:$A$5001,BD!$B$3:$B$5001,J$140,BD!$A$3:$A$5001,"&gt;="&amp;$C$7,BD!$A$3:$A$5001,"&lt;="&amp;$B171,BD!$X$3:$X$5001,"&lt;&gt;"))))</f>
        <v/>
      </c>
      <c r="K171" s="43" t="str">
        <f>IF(OR($B171="",$A171&gt;$B$9,K$140=""),"",IF(COUNTIFS(BD!$B$3:$B$5001,K$140,BD!$A$3:$A$5001,"&gt;="&amp;$C$7,BD!$A$3:$A$5001,"&lt;="&amp;$B171,BD!$X$3:$X$5001,"&lt;&gt;")=0,"",SUMIFS(BD!$X$3:$X$5001,BD!$B$3:$B$5001,K$140,BD!$A$3:$A$5001,_xlfn.MAXIFS(BD!$A$3:$A$5001,BD!$B$3:$B$5001,K$140,BD!$A$3:$A$5001,"&gt;="&amp;$C$7,BD!$A$3:$A$5001,"&lt;="&amp;$B171,BD!$X$3:$X$5001,"&lt;&gt;"))))</f>
        <v/>
      </c>
      <c r="L171" s="43" t="str">
        <f>IF(OR($B171="",$A171&gt;$B$9,L$140=""),"",IF(COUNTIFS(BD!$B$3:$B$5001,L$140,BD!$A$3:$A$5001,"&gt;="&amp;$C$7,BD!$A$3:$A$5001,"&lt;="&amp;$B171,BD!$X$3:$X$5001,"&lt;&gt;")=0,"",SUMIFS(BD!$X$3:$X$5001,BD!$B$3:$B$5001,L$140,BD!$A$3:$A$5001,_xlfn.MAXIFS(BD!$A$3:$A$5001,BD!$B$3:$B$5001,L$140,BD!$A$3:$A$5001,"&gt;="&amp;$C$7,BD!$A$3:$A$5001,"&lt;="&amp;$B171,BD!$X$3:$X$5001,"&lt;&gt;"))))</f>
        <v/>
      </c>
      <c r="M171" s="43" t="str">
        <f>IF(OR($B171="",$A171&gt;$B$9,M$140=""),"",IF(COUNTIFS(BD!$B$3:$B$5001,M$140,BD!$A$3:$A$5001,"&gt;="&amp;$C$7,BD!$A$3:$A$5001,"&lt;="&amp;$B171,BD!$X$3:$X$5001,"&lt;&gt;")=0,"",SUMIFS(BD!$X$3:$X$5001,BD!$B$3:$B$5001,M$140,BD!$A$3:$A$5001,_xlfn.MAXIFS(BD!$A$3:$A$5001,BD!$B$3:$B$5001,M$140,BD!$A$3:$A$5001,"&gt;="&amp;$C$7,BD!$A$3:$A$5001,"&lt;="&amp;$B171,BD!$X$3:$X$5001,"&lt;&gt;"))))</f>
        <v/>
      </c>
      <c r="N171" s="43" t="str">
        <f>IF(OR($B171="",$A171&gt;$B$9,N$140=""),"",IF(COUNTIFS(BD!$B$3:$B$5001,N$140,BD!$A$3:$A$5001,"&gt;="&amp;$C$7,BD!$A$3:$A$5001,"&lt;="&amp;$B171,BD!$X$3:$X$5001,"&lt;&gt;")=0,"",SUMIFS(BD!$X$3:$X$5001,BD!$B$3:$B$5001,N$140,BD!$A$3:$A$5001,_xlfn.MAXIFS(BD!$A$3:$A$5001,BD!$B$3:$B$5001,N$140,BD!$A$3:$A$5001,"&gt;="&amp;$C$7,BD!$A$3:$A$5001,"&lt;="&amp;$B171,BD!$X$3:$X$5001,"&lt;&gt;"))))</f>
        <v/>
      </c>
      <c r="O171" s="43" t="str">
        <f>IF(OR($B171="",$A171&gt;$B$9,O$140=""),"",IF(COUNTIFS(BD!$B$3:$B$5001,O$140,BD!$A$3:$A$5001,"&gt;="&amp;$C$7,BD!$A$3:$A$5001,"&lt;="&amp;$B171,BD!$X$3:$X$5001,"&lt;&gt;")=0,"",SUMIFS(BD!$X$3:$X$5001,BD!$B$3:$B$5001,O$140,BD!$A$3:$A$5001,_xlfn.MAXIFS(BD!$A$3:$A$5001,BD!$B$3:$B$5001,O$140,BD!$A$3:$A$5001,"&gt;="&amp;$C$7,BD!$A$3:$A$5001,"&lt;="&amp;$B171,BD!$X$3:$X$5001,"&lt;&gt;"))))</f>
        <v/>
      </c>
      <c r="P171" s="43" t="str">
        <f>IF(OR($B171="",$A171&gt;$B$9,P$140=""),"",IF(COUNTIFS(BD!$B$3:$B$5001,P$140,BD!$A$3:$A$5001,"&gt;="&amp;$C$7,BD!$A$3:$A$5001,"&lt;="&amp;$B171,BD!$X$3:$X$5001,"&lt;&gt;")=0,"",SUMIFS(BD!$X$3:$X$5001,BD!$B$3:$B$5001,P$140,BD!$A$3:$A$5001,_xlfn.MAXIFS(BD!$A$3:$A$5001,BD!$B$3:$B$5001,P$140,BD!$A$3:$A$5001,"&gt;="&amp;$C$7,BD!$A$3:$A$5001,"&lt;="&amp;$B171,BD!$X$3:$X$5001,"&lt;&gt;"))))</f>
        <v/>
      </c>
      <c r="Q171" s="43" t="str">
        <f>IF(OR($B171="",$A171&gt;$B$9,Q$140=""),"",IF(COUNTIFS(BD!$B$3:$B$5001,Q$140,BD!$A$3:$A$5001,"&gt;="&amp;$C$7,BD!$A$3:$A$5001,"&lt;="&amp;$B171,BD!$X$3:$X$5001,"&lt;&gt;")=0,"",SUMIFS(BD!$X$3:$X$5001,BD!$B$3:$B$5001,Q$140,BD!$A$3:$A$5001,_xlfn.MAXIFS(BD!$A$3:$A$5001,BD!$B$3:$B$5001,Q$140,BD!$A$3:$A$5001,"&gt;="&amp;$C$7,BD!$A$3:$A$5001,"&lt;="&amp;$B171,BD!$X$3:$X$5001,"&lt;&gt;"))))</f>
        <v/>
      </c>
      <c r="R171" s="43" t="str">
        <f>IF(OR($B171="",$A171&gt;$B$9,R$140=""),"",IF(COUNTIFS(BD!$B$3:$B$5001,R$140,BD!$A$3:$A$5001,"&gt;="&amp;$C$7,BD!$A$3:$A$5001,"&lt;="&amp;$B171,BD!$X$3:$X$5001,"&lt;&gt;")=0,"",SUMIFS(BD!$X$3:$X$5001,BD!$B$3:$B$5001,R$140,BD!$A$3:$A$5001,_xlfn.MAXIFS(BD!$A$3:$A$5001,BD!$B$3:$B$5001,R$140,BD!$A$3:$A$5001,"&gt;="&amp;$C$7,BD!$A$3:$A$5001,"&lt;="&amp;$B171,BD!$X$3:$X$5001,"&lt;&gt;"))))</f>
        <v/>
      </c>
      <c r="S171" s="43" t="str">
        <f>IF(OR($B171="",$A171&gt;$B$9,S$140=""),"",IF(COUNTIFS(BD!$B$3:$B$5001,S$140,BD!$A$3:$A$5001,"&gt;="&amp;$C$7,BD!$A$3:$A$5001,"&lt;="&amp;$B171,BD!$X$3:$X$5001,"&lt;&gt;")=0,"",SUMIFS(BD!$X$3:$X$5001,BD!$B$3:$B$5001,S$140,BD!$A$3:$A$5001,_xlfn.MAXIFS(BD!$A$3:$A$5001,BD!$B$3:$B$5001,S$140,BD!$A$3:$A$5001,"&gt;="&amp;$C$7,BD!$A$3:$A$5001,"&lt;="&amp;$B171,BD!$X$3:$X$5001,"&lt;&gt;"))))</f>
        <v/>
      </c>
      <c r="T171" s="43" t="str">
        <f>IF(OR($B171="",$A171&gt;$B$9,T$140=""),"",IF(COUNTIFS(BD!$B$3:$B$5001,T$140,BD!$A$3:$A$5001,"&gt;="&amp;$C$7,BD!$A$3:$A$5001,"&lt;="&amp;$B171,BD!$X$3:$X$5001,"&lt;&gt;")=0,"",SUMIFS(BD!$X$3:$X$5001,BD!$B$3:$B$5001,T$140,BD!$A$3:$A$5001,_xlfn.MAXIFS(BD!$A$3:$A$5001,BD!$B$3:$B$5001,T$140,BD!$A$3:$A$5001,"&gt;="&amp;$C$7,BD!$A$3:$A$5001,"&lt;="&amp;$B171,BD!$X$3:$X$5001,"&lt;&gt;"))))</f>
        <v/>
      </c>
      <c r="U171" s="43" t="str">
        <f>IF(OR($B171="",$A171&gt;$B$9,U$140=""),"",IF(COUNTIFS(BD!$B$3:$B$5001,U$140,BD!$A$3:$A$5001,"&gt;="&amp;$C$7,BD!$A$3:$A$5001,"&lt;="&amp;$B171,BD!$X$3:$X$5001,"&lt;&gt;")=0,"",SUMIFS(BD!$X$3:$X$5001,BD!$B$3:$B$5001,U$140,BD!$A$3:$A$5001,_xlfn.MAXIFS(BD!$A$3:$A$5001,BD!$B$3:$B$5001,U$140,BD!$A$3:$A$5001,"&gt;="&amp;$C$7,BD!$A$3:$A$5001,"&lt;="&amp;$B171,BD!$X$3:$X$5001,"&lt;&gt;"))))</f>
        <v/>
      </c>
      <c r="V171" s="43" t="str">
        <f>IF(OR($B171="",$A171&gt;$B$9,V$140=""),"",IF(COUNTIFS(BD!$B$3:$B$5001,V$140,BD!$A$3:$A$5001,"&gt;="&amp;$C$7,BD!$A$3:$A$5001,"&lt;="&amp;$B171,BD!$X$3:$X$5001,"&lt;&gt;")=0,"",SUMIFS(BD!$X$3:$X$5001,BD!$B$3:$B$5001,V$140,BD!$A$3:$A$5001,_xlfn.MAXIFS(BD!$A$3:$A$5001,BD!$B$3:$B$5001,V$140,BD!$A$3:$A$5001,"&gt;="&amp;$C$7,BD!$A$3:$A$5001,"&lt;="&amp;$B171,BD!$X$3:$X$5001,"&lt;&gt;"))))</f>
        <v/>
      </c>
    </row>
    <row r="172">
      <c r="A172" s="44" t="inlineStr">
        <is>
          <t xml:space="preserve">Mês anterior (último)</t>
        </is>
      </c>
      <c r="C172" s="45" t="str">
        <f>IF(C$140="","",IF(COUNTIFS(BD!$B$3:$B$5001,C$140,BD!$A$3:$A$5001,"&gt;="&amp;$C$8,BD!$A$3:$A$5001,"&lt;="&amp;$D$8,BD!$X$3:$X$5001,"&lt;&gt;")=0,"",SUMIFS(BD!$X$3:$X$5001,BD!$B$3:$B$5001,C$140,BD!$A$3:$A$5001,_xlfn.MAXIFS(BD!$A$3:$A$5001,BD!$B$3:$B$5001,C$140,BD!$A$3:$A$5001,"&gt;="&amp;$C$8,BD!$A$3:$A$5001,"&lt;="&amp;$D$8,BD!$X$3:$X$5001,"&lt;&gt;"))))</f>
        <v/>
      </c>
      <c r="D172" s="45" t="str">
        <f>IF(D$140="","",IF(COUNTIFS(BD!$B$3:$B$5001,D$140,BD!$A$3:$A$5001,"&gt;="&amp;$C$8,BD!$A$3:$A$5001,"&lt;="&amp;$D$8,BD!$X$3:$X$5001,"&lt;&gt;")=0,"",SUMIFS(BD!$X$3:$X$5001,BD!$B$3:$B$5001,D$140,BD!$A$3:$A$5001,_xlfn.MAXIFS(BD!$A$3:$A$5001,BD!$B$3:$B$5001,D$140,BD!$A$3:$A$5001,"&gt;="&amp;$C$8,BD!$A$3:$A$5001,"&lt;="&amp;$D$8,BD!$X$3:$X$5001,"&lt;&gt;"))))</f>
        <v/>
      </c>
      <c r="E172" s="45" t="str">
        <f>IF(E$140="","",IF(COUNTIFS(BD!$B$3:$B$5001,E$140,BD!$A$3:$A$5001,"&gt;="&amp;$C$8,BD!$A$3:$A$5001,"&lt;="&amp;$D$8,BD!$X$3:$X$5001,"&lt;&gt;")=0,"",SUMIFS(BD!$X$3:$X$5001,BD!$B$3:$B$5001,E$140,BD!$A$3:$A$5001,_xlfn.MAXIFS(BD!$A$3:$A$5001,BD!$B$3:$B$5001,E$140,BD!$A$3:$A$5001,"&gt;="&amp;$C$8,BD!$A$3:$A$5001,"&lt;="&amp;$D$8,BD!$X$3:$X$5001,"&lt;&gt;"))))</f>
        <v/>
      </c>
      <c r="F172" s="45" t="str">
        <f>IF(F$140="","",IF(COUNTIFS(BD!$B$3:$B$5001,F$140,BD!$A$3:$A$5001,"&gt;="&amp;$C$8,BD!$A$3:$A$5001,"&lt;="&amp;$D$8,BD!$X$3:$X$5001,"&lt;&gt;")=0,"",SUMIFS(BD!$X$3:$X$5001,BD!$B$3:$B$5001,F$140,BD!$A$3:$A$5001,_xlfn.MAXIFS(BD!$A$3:$A$5001,BD!$B$3:$B$5001,F$140,BD!$A$3:$A$5001,"&gt;="&amp;$C$8,BD!$A$3:$A$5001,"&lt;="&amp;$D$8,BD!$X$3:$X$5001,"&lt;&gt;"))))</f>
        <v/>
      </c>
      <c r="G172" s="45" t="str">
        <f>IF(G$140="","",IF(COUNTIFS(BD!$B$3:$B$5001,G$140,BD!$A$3:$A$5001,"&gt;="&amp;$C$8,BD!$A$3:$A$5001,"&lt;="&amp;$D$8,BD!$X$3:$X$5001,"&lt;&gt;")=0,"",SUMIFS(BD!$X$3:$X$5001,BD!$B$3:$B$5001,G$140,BD!$A$3:$A$5001,_xlfn.MAXIFS(BD!$A$3:$A$5001,BD!$B$3:$B$5001,G$140,BD!$A$3:$A$5001,"&gt;="&amp;$C$8,BD!$A$3:$A$5001,"&lt;="&amp;$D$8,BD!$X$3:$X$5001,"&lt;&gt;"))))</f>
        <v/>
      </c>
      <c r="H172" s="45" t="str">
        <f>IF(H$140="","",IF(COUNTIFS(BD!$B$3:$B$5001,H$140,BD!$A$3:$A$5001,"&gt;="&amp;$C$8,BD!$A$3:$A$5001,"&lt;="&amp;$D$8,BD!$X$3:$X$5001,"&lt;&gt;")=0,"",SUMIFS(BD!$X$3:$X$5001,BD!$B$3:$B$5001,H$140,BD!$A$3:$A$5001,_xlfn.MAXIFS(BD!$A$3:$A$5001,BD!$B$3:$B$5001,H$140,BD!$A$3:$A$5001,"&gt;="&amp;$C$8,BD!$A$3:$A$5001,"&lt;="&amp;$D$8,BD!$X$3:$X$5001,"&lt;&gt;"))))</f>
        <v/>
      </c>
      <c r="I172" s="45" t="str">
        <f>IF(I$140="","",IF(COUNTIFS(BD!$B$3:$B$5001,I$140,BD!$A$3:$A$5001,"&gt;="&amp;$C$8,BD!$A$3:$A$5001,"&lt;="&amp;$D$8,BD!$X$3:$X$5001,"&lt;&gt;")=0,"",SUMIFS(BD!$X$3:$X$5001,BD!$B$3:$B$5001,I$140,BD!$A$3:$A$5001,_xlfn.MAXIFS(BD!$A$3:$A$5001,BD!$B$3:$B$5001,I$140,BD!$A$3:$A$5001,"&gt;="&amp;$C$8,BD!$A$3:$A$5001,"&lt;="&amp;$D$8,BD!$X$3:$X$5001,"&lt;&gt;"))))</f>
        <v/>
      </c>
      <c r="J172" s="45" t="str">
        <f>IF(J$140="","",IF(COUNTIFS(BD!$B$3:$B$5001,J$140,BD!$A$3:$A$5001,"&gt;="&amp;$C$8,BD!$A$3:$A$5001,"&lt;="&amp;$D$8,BD!$X$3:$X$5001,"&lt;&gt;")=0,"",SUMIFS(BD!$X$3:$X$5001,BD!$B$3:$B$5001,J$140,BD!$A$3:$A$5001,_xlfn.MAXIFS(BD!$A$3:$A$5001,BD!$B$3:$B$5001,J$140,BD!$A$3:$A$5001,"&gt;="&amp;$C$8,BD!$A$3:$A$5001,"&lt;="&amp;$D$8,BD!$X$3:$X$5001,"&lt;&gt;"))))</f>
        <v/>
      </c>
      <c r="K172" s="45" t="str">
        <f>IF(K$140="","",IF(COUNTIFS(BD!$B$3:$B$5001,K$140,BD!$A$3:$A$5001,"&gt;="&amp;$C$8,BD!$A$3:$A$5001,"&lt;="&amp;$D$8,BD!$X$3:$X$5001,"&lt;&gt;")=0,"",SUMIFS(BD!$X$3:$X$5001,BD!$B$3:$B$5001,K$140,BD!$A$3:$A$5001,_xlfn.MAXIFS(BD!$A$3:$A$5001,BD!$B$3:$B$5001,K$140,BD!$A$3:$A$5001,"&gt;="&amp;$C$8,BD!$A$3:$A$5001,"&lt;="&amp;$D$8,BD!$X$3:$X$5001,"&lt;&gt;"))))</f>
        <v/>
      </c>
      <c r="L172" s="45" t="str">
        <f>IF(L$140="","",IF(COUNTIFS(BD!$B$3:$B$5001,L$140,BD!$A$3:$A$5001,"&gt;="&amp;$C$8,BD!$A$3:$A$5001,"&lt;="&amp;$D$8,BD!$X$3:$X$5001,"&lt;&gt;")=0,"",SUMIFS(BD!$X$3:$X$5001,BD!$B$3:$B$5001,L$140,BD!$A$3:$A$5001,_xlfn.MAXIFS(BD!$A$3:$A$5001,BD!$B$3:$B$5001,L$140,BD!$A$3:$A$5001,"&gt;="&amp;$C$8,BD!$A$3:$A$5001,"&lt;="&amp;$D$8,BD!$X$3:$X$5001,"&lt;&gt;"))))</f>
        <v/>
      </c>
      <c r="M172" s="45" t="str">
        <f>IF(M$140="","",IF(COUNTIFS(BD!$B$3:$B$5001,M$140,BD!$A$3:$A$5001,"&gt;="&amp;$C$8,BD!$A$3:$A$5001,"&lt;="&amp;$D$8,BD!$X$3:$X$5001,"&lt;&gt;")=0,"",SUMIFS(BD!$X$3:$X$5001,BD!$B$3:$B$5001,M$140,BD!$A$3:$A$5001,_xlfn.MAXIFS(BD!$A$3:$A$5001,BD!$B$3:$B$5001,M$140,BD!$A$3:$A$5001,"&gt;="&amp;$C$8,BD!$A$3:$A$5001,"&lt;="&amp;$D$8,BD!$X$3:$X$5001,"&lt;&gt;"))))</f>
        <v/>
      </c>
      <c r="N172" s="45" t="str">
        <f>IF(N$140="","",IF(COUNTIFS(BD!$B$3:$B$5001,N$140,BD!$A$3:$A$5001,"&gt;="&amp;$C$8,BD!$A$3:$A$5001,"&lt;="&amp;$D$8,BD!$X$3:$X$5001,"&lt;&gt;")=0,"",SUMIFS(BD!$X$3:$X$5001,BD!$B$3:$B$5001,N$140,BD!$A$3:$A$5001,_xlfn.MAXIFS(BD!$A$3:$A$5001,BD!$B$3:$B$5001,N$140,BD!$A$3:$A$5001,"&gt;="&amp;$C$8,BD!$A$3:$A$5001,"&lt;="&amp;$D$8,BD!$X$3:$X$5001,"&lt;&gt;"))))</f>
        <v/>
      </c>
      <c r="O172" s="45" t="str">
        <f>IF(O$140="","",IF(COUNTIFS(BD!$B$3:$B$5001,O$140,BD!$A$3:$A$5001,"&gt;="&amp;$C$8,BD!$A$3:$A$5001,"&lt;="&amp;$D$8,BD!$X$3:$X$5001,"&lt;&gt;")=0,"",SUMIFS(BD!$X$3:$X$5001,BD!$B$3:$B$5001,O$140,BD!$A$3:$A$5001,_xlfn.MAXIFS(BD!$A$3:$A$5001,BD!$B$3:$B$5001,O$140,BD!$A$3:$A$5001,"&gt;="&amp;$C$8,BD!$A$3:$A$5001,"&lt;="&amp;$D$8,BD!$X$3:$X$5001,"&lt;&gt;"))))</f>
        <v/>
      </c>
      <c r="P172" s="45" t="str">
        <f>IF(P$140="","",IF(COUNTIFS(BD!$B$3:$B$5001,P$140,BD!$A$3:$A$5001,"&gt;="&amp;$C$8,BD!$A$3:$A$5001,"&lt;="&amp;$D$8,BD!$X$3:$X$5001,"&lt;&gt;")=0,"",SUMIFS(BD!$X$3:$X$5001,BD!$B$3:$B$5001,P$140,BD!$A$3:$A$5001,_xlfn.MAXIFS(BD!$A$3:$A$5001,BD!$B$3:$B$5001,P$140,BD!$A$3:$A$5001,"&gt;="&amp;$C$8,BD!$A$3:$A$5001,"&lt;="&amp;$D$8,BD!$X$3:$X$5001,"&lt;&gt;"))))</f>
        <v/>
      </c>
      <c r="Q172" s="45" t="str">
        <f>IF(Q$140="","",IF(COUNTIFS(BD!$B$3:$B$5001,Q$140,BD!$A$3:$A$5001,"&gt;="&amp;$C$8,BD!$A$3:$A$5001,"&lt;="&amp;$D$8,BD!$X$3:$X$5001,"&lt;&gt;")=0,"",SUMIFS(BD!$X$3:$X$5001,BD!$B$3:$B$5001,Q$140,BD!$A$3:$A$5001,_xlfn.MAXIFS(BD!$A$3:$A$5001,BD!$B$3:$B$5001,Q$140,BD!$A$3:$A$5001,"&gt;="&amp;$C$8,BD!$A$3:$A$5001,"&lt;="&amp;$D$8,BD!$X$3:$X$5001,"&lt;&gt;"))))</f>
        <v/>
      </c>
      <c r="R172" s="45" t="str">
        <f>IF(R$140="","",IF(COUNTIFS(BD!$B$3:$B$5001,R$140,BD!$A$3:$A$5001,"&gt;="&amp;$C$8,BD!$A$3:$A$5001,"&lt;="&amp;$D$8,BD!$X$3:$X$5001,"&lt;&gt;")=0,"",SUMIFS(BD!$X$3:$X$5001,BD!$B$3:$B$5001,R$140,BD!$A$3:$A$5001,_xlfn.MAXIFS(BD!$A$3:$A$5001,BD!$B$3:$B$5001,R$140,BD!$A$3:$A$5001,"&gt;="&amp;$C$8,BD!$A$3:$A$5001,"&lt;="&amp;$D$8,BD!$X$3:$X$5001,"&lt;&gt;"))))</f>
        <v/>
      </c>
      <c r="S172" s="45" t="str">
        <f>IF(S$140="","",IF(COUNTIFS(BD!$B$3:$B$5001,S$140,BD!$A$3:$A$5001,"&gt;="&amp;$C$8,BD!$A$3:$A$5001,"&lt;="&amp;$D$8,BD!$X$3:$X$5001,"&lt;&gt;")=0,"",SUMIFS(BD!$X$3:$X$5001,BD!$B$3:$B$5001,S$140,BD!$A$3:$A$5001,_xlfn.MAXIFS(BD!$A$3:$A$5001,BD!$B$3:$B$5001,S$140,BD!$A$3:$A$5001,"&gt;="&amp;$C$8,BD!$A$3:$A$5001,"&lt;="&amp;$D$8,BD!$X$3:$X$5001,"&lt;&gt;"))))</f>
        <v/>
      </c>
      <c r="T172" s="45" t="str">
        <f>IF(T$140="","",IF(COUNTIFS(BD!$B$3:$B$5001,T$140,BD!$A$3:$A$5001,"&gt;="&amp;$C$8,BD!$A$3:$A$5001,"&lt;="&amp;$D$8,BD!$X$3:$X$5001,"&lt;&gt;")=0,"",SUMIFS(BD!$X$3:$X$5001,BD!$B$3:$B$5001,T$140,BD!$A$3:$A$5001,_xlfn.MAXIFS(BD!$A$3:$A$5001,BD!$B$3:$B$5001,T$140,BD!$A$3:$A$5001,"&gt;="&amp;$C$8,BD!$A$3:$A$5001,"&lt;="&amp;$D$8,BD!$X$3:$X$5001,"&lt;&gt;"))))</f>
        <v/>
      </c>
      <c r="U172" s="45" t="str">
        <f>IF(U$140="","",IF(COUNTIFS(BD!$B$3:$B$5001,U$140,BD!$A$3:$A$5001,"&gt;="&amp;$C$8,BD!$A$3:$A$5001,"&lt;="&amp;$D$8,BD!$X$3:$X$5001,"&lt;&gt;")=0,"",SUMIFS(BD!$X$3:$X$5001,BD!$B$3:$B$5001,U$140,BD!$A$3:$A$5001,_xlfn.MAXIFS(BD!$A$3:$A$5001,BD!$B$3:$B$5001,U$140,BD!$A$3:$A$5001,"&gt;="&amp;$C$8,BD!$A$3:$A$5001,"&lt;="&amp;$D$8,BD!$X$3:$X$5001,"&lt;&gt;"))))</f>
        <v/>
      </c>
      <c r="V172" s="45" t="str">
        <f>IF(V$140="","",IF(COUNTIFS(BD!$B$3:$B$5001,V$140,BD!$A$3:$A$5001,"&gt;="&amp;$C$8,BD!$A$3:$A$5001,"&lt;="&amp;$D$8,BD!$X$3:$X$5001,"&lt;&gt;")=0,"",SUMIFS(BD!$X$3:$X$5001,BD!$B$3:$B$5001,V$140,BD!$A$3:$A$5001,_xlfn.MAXIFS(BD!$A$3:$A$5001,BD!$B$3:$B$5001,V$140,BD!$A$3:$A$5001,"&gt;="&amp;$C$8,BD!$A$3:$A$5001,"&lt;="&amp;$D$8,BD!$X$3:$X$5001,"&lt;&gt;"))))</f>
        <v/>
      </c>
    </row>
    <row r="173">
      <c r="A173" s="44" t="inlineStr">
        <is>
          <t xml:space="preserve">Depósito</t>
        </is>
      </c>
      <c r="C173" s="38" t="str">
        <f>IF(Config!$C$10="","TPC",Config!$C$10)</f>
        <v>TPC</v>
      </c>
      <c r="D173" s="38" t="str">
        <f>IF(Config!$C$11="","TPC",Config!$C$11)</f>
        <v>TPC</v>
      </c>
      <c r="E173" s="38" t="str">
        <f>IF(Config!$C$12="","TPC",Config!$C$12)</f>
        <v>TPC</v>
      </c>
      <c r="F173" s="38" t="str">
        <f>IF(Config!$C$13="","TPC",Config!$C$13)</f>
        <v>TPC</v>
      </c>
      <c r="G173" s="38" t="str">
        <f>IF(Config!$C$14="","TPC",Config!$C$14)</f>
        <v>TPC</v>
      </c>
      <c r="H173" s="38" t="str">
        <f>IF(Config!$C$15="","TPC",Config!$C$15)</f>
        <v>TPC</v>
      </c>
      <c r="I173" s="38" t="str">
        <f>IF(Config!$C$16="","TPC",Config!$C$16)</f>
        <v>TPC</v>
      </c>
      <c r="J173" s="38" t="str">
        <f>IF(Config!$C$17="","TPC",Config!$C$17)</f>
        <v>TPC</v>
      </c>
      <c r="K173" s="38" t="str">
        <f>IF(Config!$C$18="","TPC",Config!$C$18)</f>
        <v>TPC</v>
      </c>
      <c r="L173" s="38" t="str">
        <f>IF(Config!$C$19="","TPC",Config!$C$19)</f>
        <v>TPC</v>
      </c>
      <c r="M173" s="38" t="str">
        <f>IF(Config!$C$20="","TPC",Config!$C$20)</f>
        <v>TPC</v>
      </c>
      <c r="N173" s="38" t="str">
        <f>IF(Config!$C$21="","TPC",Config!$C$21)</f>
        <v>TPC</v>
      </c>
      <c r="O173" s="38" t="str">
        <f>IF(Config!$C$22="","TPC",Config!$C$22)</f>
        <v>TPC</v>
      </c>
      <c r="P173" s="38" t="str">
        <f>IF(Config!$C$23="","TPC",Config!$C$23)</f>
        <v>TPC</v>
      </c>
      <c r="Q173" s="38" t="str">
        <f>IF(Config!$C$24="","TPC",Config!$C$24)</f>
        <v>TPC</v>
      </c>
      <c r="R173" s="38" t="str">
        <f>IF(Config!$C$25="","TPC",Config!$C$25)</f>
        <v>TPC</v>
      </c>
      <c r="S173" s="38" t="str">
        <f>IF(Config!$C$26="","TPC",Config!$C$26)</f>
        <v>TPC</v>
      </c>
      <c r="T173" s="38" t="str">
        <f>IF(Config!$C$27="","TPC",Config!$C$27)</f>
        <v>TPC</v>
      </c>
      <c r="U173" s="38" t="str">
        <f>IF(Config!$C$28="","TPC",Config!$C$28)</f>
        <v>TPC</v>
      </c>
      <c r="V173" s="38" t="str">
        <f>IF(Config!$C$29="","TPC",Config!$C$29)</f>
        <v>TPC</v>
      </c>
    </row>
    <row r="175">
      <c r="A175" s="37" t="inlineStr">
        <is>
          <t xml:space="preserve">Posições Ocupadas</t>
        </is>
      </c>
      <c r="B175" s="37" t="inlineStr">
        <is>
          <t xml:space="preserve">Data</t>
        </is>
      </c>
      <c r="C175" s="37" t="str">
        <f>Config!$B$10&amp;""</f>
        <v>Alpargatas</v>
      </c>
      <c r="D175" s="37" t="str">
        <f>Config!$B$11&amp;""</f>
        <v>Basf</v>
      </c>
      <c r="E175" s="37" t="str">
        <f>Config!$B$12&amp;""</f>
        <v>Beautybiz</v>
      </c>
      <c r="F175" s="37" t="str">
        <f>Config!$B$13&amp;""</f>
        <v>Boticário</v>
      </c>
      <c r="G175" s="37" t="str">
        <f>Config!$B$14&amp;""</f>
        <v>Confiance</v>
      </c>
      <c r="H175" s="37" t="str">
        <f>Config!$B$15&amp;""</f>
        <v>GE Vernova</v>
      </c>
      <c r="I175" s="37" t="str">
        <f>Config!$B$16&amp;""</f>
        <v>Omnilife</v>
      </c>
      <c r="J175" s="37" t="str">
        <f>Config!$B$17&amp;""</f>
        <v>Supply</v>
      </c>
      <c r="K175" s="37" t="str">
        <f>Config!$B$18&amp;""</f>
        <v>Vedacit</v>
      </c>
      <c r="L175" s="37" t="str">
        <f>Config!$B$19&amp;""</f>
        <v>Vestas</v>
      </c>
      <c r="M175" s="37" t="str">
        <f>Config!$B$20&amp;""</f>
        <v/>
      </c>
      <c r="N175" s="37" t="str">
        <f>Config!$B$21&amp;""</f>
        <v/>
      </c>
      <c r="O175" s="37" t="str">
        <f>Config!$B$22&amp;""</f>
        <v/>
      </c>
      <c r="P175" s="37" t="str">
        <f>Config!$B$23&amp;""</f>
        <v/>
      </c>
      <c r="Q175" s="37" t="str">
        <f>Config!$B$24&amp;""</f>
        <v/>
      </c>
      <c r="R175" s="37" t="str">
        <f>Config!$B$25&amp;""</f>
        <v/>
      </c>
      <c r="S175" s="37" t="str">
        <f>Config!$B$26&amp;""</f>
        <v/>
      </c>
      <c r="T175" s="37" t="str">
        <f>Config!$B$27&amp;""</f>
        <v/>
      </c>
      <c r="U175" s="37" t="str">
        <f>Config!$B$28&amp;""</f>
        <v/>
      </c>
      <c r="V175" s="37" t="str">
        <f>Config!$B$29&amp;""</f>
        <v/>
      </c>
    </row>
    <row r="176">
      <c r="A176" s="38">
        <v>1</v>
      </c>
      <c r="B176" s="42">
        <f>$B$12</f>
        <v>46296</v>
      </c>
      <c r="C176" s="43" t="str">
        <f>IF(OR($B176="",$A176&gt;$B$9,C$175=""),"",IF(COUNTIFS(BD!$B$3:$B$5001,C$175,BD!$A$3:$A$5001,"&gt;="&amp;$C$7,BD!$A$3:$A$5001,"&lt;="&amp;$B176,BD!$Z$3:$Z$5001,"&lt;&gt;")=0,"",SUMIFS(BD!$Z$3:$Z$5001,BD!$B$3:$B$5001,C$175,BD!$A$3:$A$5001,_xlfn.MAXIFS(BD!$A$3:$A$5001,BD!$B$3:$B$5001,C$175,BD!$A$3:$A$5001,"&gt;="&amp;$C$7,BD!$A$3:$A$5001,"&lt;="&amp;$B176,BD!$Z$3:$Z$5001,"&lt;&gt;"))))</f>
        <v/>
      </c>
      <c r="D176" s="43" t="str">
        <f>IF(OR($B176="",$A176&gt;$B$9,D$175=""),"",IF(COUNTIFS(BD!$B$3:$B$5001,D$175,BD!$A$3:$A$5001,"&gt;="&amp;$C$7,BD!$A$3:$A$5001,"&lt;="&amp;$B176,BD!$Z$3:$Z$5001,"&lt;&gt;")=0,"",SUMIFS(BD!$Z$3:$Z$5001,BD!$B$3:$B$5001,D$175,BD!$A$3:$A$5001,_xlfn.MAXIFS(BD!$A$3:$A$5001,BD!$B$3:$B$5001,D$175,BD!$A$3:$A$5001,"&gt;="&amp;$C$7,BD!$A$3:$A$5001,"&lt;="&amp;$B176,BD!$Z$3:$Z$5001,"&lt;&gt;"))))</f>
        <v/>
      </c>
      <c r="E176" s="43" t="str">
        <f>IF(OR($B176="",$A176&gt;$B$9,E$175=""),"",IF(COUNTIFS(BD!$B$3:$B$5001,E$175,BD!$A$3:$A$5001,"&gt;="&amp;$C$7,BD!$A$3:$A$5001,"&lt;="&amp;$B176,BD!$Z$3:$Z$5001,"&lt;&gt;")=0,"",SUMIFS(BD!$Z$3:$Z$5001,BD!$B$3:$B$5001,E$175,BD!$A$3:$A$5001,_xlfn.MAXIFS(BD!$A$3:$A$5001,BD!$B$3:$B$5001,E$175,BD!$A$3:$A$5001,"&gt;="&amp;$C$7,BD!$A$3:$A$5001,"&lt;="&amp;$B176,BD!$Z$3:$Z$5001,"&lt;&gt;"))))</f>
        <v/>
      </c>
      <c r="F176" s="43" t="str">
        <f>IF(OR($B176="",$A176&gt;$B$9,F$175=""),"",IF(COUNTIFS(BD!$B$3:$B$5001,F$175,BD!$A$3:$A$5001,"&gt;="&amp;$C$7,BD!$A$3:$A$5001,"&lt;="&amp;$B176,BD!$Z$3:$Z$5001,"&lt;&gt;")=0,"",SUMIFS(BD!$Z$3:$Z$5001,BD!$B$3:$B$5001,F$175,BD!$A$3:$A$5001,_xlfn.MAXIFS(BD!$A$3:$A$5001,BD!$B$3:$B$5001,F$175,BD!$A$3:$A$5001,"&gt;="&amp;$C$7,BD!$A$3:$A$5001,"&lt;="&amp;$B176,BD!$Z$3:$Z$5001,"&lt;&gt;"))))</f>
        <v/>
      </c>
      <c r="G176" s="43" t="str">
        <f>IF(OR($B176="",$A176&gt;$B$9,G$175=""),"",IF(COUNTIFS(BD!$B$3:$B$5001,G$175,BD!$A$3:$A$5001,"&gt;="&amp;$C$7,BD!$A$3:$A$5001,"&lt;="&amp;$B176,BD!$Z$3:$Z$5001,"&lt;&gt;")=0,"",SUMIFS(BD!$Z$3:$Z$5001,BD!$B$3:$B$5001,G$175,BD!$A$3:$A$5001,_xlfn.MAXIFS(BD!$A$3:$A$5001,BD!$B$3:$B$5001,G$175,BD!$A$3:$A$5001,"&gt;="&amp;$C$7,BD!$A$3:$A$5001,"&lt;="&amp;$B176,BD!$Z$3:$Z$5001,"&lt;&gt;"))))</f>
        <v/>
      </c>
      <c r="H176" s="43" t="str">
        <f>IF(OR($B176="",$A176&gt;$B$9,H$175=""),"",IF(COUNTIFS(BD!$B$3:$B$5001,H$175,BD!$A$3:$A$5001,"&gt;="&amp;$C$7,BD!$A$3:$A$5001,"&lt;="&amp;$B176,BD!$Z$3:$Z$5001,"&lt;&gt;")=0,"",SUMIFS(BD!$Z$3:$Z$5001,BD!$B$3:$B$5001,H$175,BD!$A$3:$A$5001,_xlfn.MAXIFS(BD!$A$3:$A$5001,BD!$B$3:$B$5001,H$175,BD!$A$3:$A$5001,"&gt;="&amp;$C$7,BD!$A$3:$A$5001,"&lt;="&amp;$B176,BD!$Z$3:$Z$5001,"&lt;&gt;"))))</f>
        <v/>
      </c>
      <c r="I176" s="43" t="str">
        <f>IF(OR($B176="",$A176&gt;$B$9,I$175=""),"",IF(COUNTIFS(BD!$B$3:$B$5001,I$175,BD!$A$3:$A$5001,"&gt;="&amp;$C$7,BD!$A$3:$A$5001,"&lt;="&amp;$B176,BD!$Z$3:$Z$5001,"&lt;&gt;")=0,"",SUMIFS(BD!$Z$3:$Z$5001,BD!$B$3:$B$5001,I$175,BD!$A$3:$A$5001,_xlfn.MAXIFS(BD!$A$3:$A$5001,BD!$B$3:$B$5001,I$175,BD!$A$3:$A$5001,"&gt;="&amp;$C$7,BD!$A$3:$A$5001,"&lt;="&amp;$B176,BD!$Z$3:$Z$5001,"&lt;&gt;"))))</f>
        <v/>
      </c>
      <c r="J176" s="43" t="str">
        <f>IF(OR($B176="",$A176&gt;$B$9,J$175=""),"",IF(COUNTIFS(BD!$B$3:$B$5001,J$175,BD!$A$3:$A$5001,"&gt;="&amp;$C$7,BD!$A$3:$A$5001,"&lt;="&amp;$B176,BD!$Z$3:$Z$5001,"&lt;&gt;")=0,"",SUMIFS(BD!$Z$3:$Z$5001,BD!$B$3:$B$5001,J$175,BD!$A$3:$A$5001,_xlfn.MAXIFS(BD!$A$3:$A$5001,BD!$B$3:$B$5001,J$175,BD!$A$3:$A$5001,"&gt;="&amp;$C$7,BD!$A$3:$A$5001,"&lt;="&amp;$B176,BD!$Z$3:$Z$5001,"&lt;&gt;"))))</f>
        <v/>
      </c>
      <c r="K176" s="43" t="str">
        <f>IF(OR($B176="",$A176&gt;$B$9,K$175=""),"",IF(COUNTIFS(BD!$B$3:$B$5001,K$175,BD!$A$3:$A$5001,"&gt;="&amp;$C$7,BD!$A$3:$A$5001,"&lt;="&amp;$B176,BD!$Z$3:$Z$5001,"&lt;&gt;")=0,"",SUMIFS(BD!$Z$3:$Z$5001,BD!$B$3:$B$5001,K$175,BD!$A$3:$A$5001,_xlfn.MAXIFS(BD!$A$3:$A$5001,BD!$B$3:$B$5001,K$175,BD!$A$3:$A$5001,"&gt;="&amp;$C$7,BD!$A$3:$A$5001,"&lt;="&amp;$B176,BD!$Z$3:$Z$5001,"&lt;&gt;"))))</f>
        <v/>
      </c>
      <c r="L176" s="43" t="str">
        <f>IF(OR($B176="",$A176&gt;$B$9,L$175=""),"",IF(COUNTIFS(BD!$B$3:$B$5001,L$175,BD!$A$3:$A$5001,"&gt;="&amp;$C$7,BD!$A$3:$A$5001,"&lt;="&amp;$B176,BD!$Z$3:$Z$5001,"&lt;&gt;")=0,"",SUMIFS(BD!$Z$3:$Z$5001,BD!$B$3:$B$5001,L$175,BD!$A$3:$A$5001,_xlfn.MAXIFS(BD!$A$3:$A$5001,BD!$B$3:$B$5001,L$175,BD!$A$3:$A$5001,"&gt;="&amp;$C$7,BD!$A$3:$A$5001,"&lt;="&amp;$B176,BD!$Z$3:$Z$5001,"&lt;&gt;"))))</f>
        <v/>
      </c>
      <c r="M176" s="43" t="str">
        <f>IF(OR($B176="",$A176&gt;$B$9,M$175=""),"",IF(COUNTIFS(BD!$B$3:$B$5001,M$175,BD!$A$3:$A$5001,"&gt;="&amp;$C$7,BD!$A$3:$A$5001,"&lt;="&amp;$B176,BD!$Z$3:$Z$5001,"&lt;&gt;")=0,"",SUMIFS(BD!$Z$3:$Z$5001,BD!$B$3:$B$5001,M$175,BD!$A$3:$A$5001,_xlfn.MAXIFS(BD!$A$3:$A$5001,BD!$B$3:$B$5001,M$175,BD!$A$3:$A$5001,"&gt;="&amp;$C$7,BD!$A$3:$A$5001,"&lt;="&amp;$B176,BD!$Z$3:$Z$5001,"&lt;&gt;"))))</f>
        <v/>
      </c>
      <c r="N176" s="43" t="str">
        <f>IF(OR($B176="",$A176&gt;$B$9,N$175=""),"",IF(COUNTIFS(BD!$B$3:$B$5001,N$175,BD!$A$3:$A$5001,"&gt;="&amp;$C$7,BD!$A$3:$A$5001,"&lt;="&amp;$B176,BD!$Z$3:$Z$5001,"&lt;&gt;")=0,"",SUMIFS(BD!$Z$3:$Z$5001,BD!$B$3:$B$5001,N$175,BD!$A$3:$A$5001,_xlfn.MAXIFS(BD!$A$3:$A$5001,BD!$B$3:$B$5001,N$175,BD!$A$3:$A$5001,"&gt;="&amp;$C$7,BD!$A$3:$A$5001,"&lt;="&amp;$B176,BD!$Z$3:$Z$5001,"&lt;&gt;"))))</f>
        <v/>
      </c>
      <c r="O176" s="43" t="str">
        <f>IF(OR($B176="",$A176&gt;$B$9,O$175=""),"",IF(COUNTIFS(BD!$B$3:$B$5001,O$175,BD!$A$3:$A$5001,"&gt;="&amp;$C$7,BD!$A$3:$A$5001,"&lt;="&amp;$B176,BD!$Z$3:$Z$5001,"&lt;&gt;")=0,"",SUMIFS(BD!$Z$3:$Z$5001,BD!$B$3:$B$5001,O$175,BD!$A$3:$A$5001,_xlfn.MAXIFS(BD!$A$3:$A$5001,BD!$B$3:$B$5001,O$175,BD!$A$3:$A$5001,"&gt;="&amp;$C$7,BD!$A$3:$A$5001,"&lt;="&amp;$B176,BD!$Z$3:$Z$5001,"&lt;&gt;"))))</f>
        <v/>
      </c>
      <c r="P176" s="43" t="str">
        <f>IF(OR($B176="",$A176&gt;$B$9,P$175=""),"",IF(COUNTIFS(BD!$B$3:$B$5001,P$175,BD!$A$3:$A$5001,"&gt;="&amp;$C$7,BD!$A$3:$A$5001,"&lt;="&amp;$B176,BD!$Z$3:$Z$5001,"&lt;&gt;")=0,"",SUMIFS(BD!$Z$3:$Z$5001,BD!$B$3:$B$5001,P$175,BD!$A$3:$A$5001,_xlfn.MAXIFS(BD!$A$3:$A$5001,BD!$B$3:$B$5001,P$175,BD!$A$3:$A$5001,"&gt;="&amp;$C$7,BD!$A$3:$A$5001,"&lt;="&amp;$B176,BD!$Z$3:$Z$5001,"&lt;&gt;"))))</f>
        <v/>
      </c>
      <c r="Q176" s="43" t="str">
        <f>IF(OR($B176="",$A176&gt;$B$9,Q$175=""),"",IF(COUNTIFS(BD!$B$3:$B$5001,Q$175,BD!$A$3:$A$5001,"&gt;="&amp;$C$7,BD!$A$3:$A$5001,"&lt;="&amp;$B176,BD!$Z$3:$Z$5001,"&lt;&gt;")=0,"",SUMIFS(BD!$Z$3:$Z$5001,BD!$B$3:$B$5001,Q$175,BD!$A$3:$A$5001,_xlfn.MAXIFS(BD!$A$3:$A$5001,BD!$B$3:$B$5001,Q$175,BD!$A$3:$A$5001,"&gt;="&amp;$C$7,BD!$A$3:$A$5001,"&lt;="&amp;$B176,BD!$Z$3:$Z$5001,"&lt;&gt;"))))</f>
        <v/>
      </c>
      <c r="R176" s="43" t="str">
        <f>IF(OR($B176="",$A176&gt;$B$9,R$175=""),"",IF(COUNTIFS(BD!$B$3:$B$5001,R$175,BD!$A$3:$A$5001,"&gt;="&amp;$C$7,BD!$A$3:$A$5001,"&lt;="&amp;$B176,BD!$Z$3:$Z$5001,"&lt;&gt;")=0,"",SUMIFS(BD!$Z$3:$Z$5001,BD!$B$3:$B$5001,R$175,BD!$A$3:$A$5001,_xlfn.MAXIFS(BD!$A$3:$A$5001,BD!$B$3:$B$5001,R$175,BD!$A$3:$A$5001,"&gt;="&amp;$C$7,BD!$A$3:$A$5001,"&lt;="&amp;$B176,BD!$Z$3:$Z$5001,"&lt;&gt;"))))</f>
        <v/>
      </c>
      <c r="S176" s="43" t="str">
        <f>IF(OR($B176="",$A176&gt;$B$9,S$175=""),"",IF(COUNTIFS(BD!$B$3:$B$5001,S$175,BD!$A$3:$A$5001,"&gt;="&amp;$C$7,BD!$A$3:$A$5001,"&lt;="&amp;$B176,BD!$Z$3:$Z$5001,"&lt;&gt;")=0,"",SUMIFS(BD!$Z$3:$Z$5001,BD!$B$3:$B$5001,S$175,BD!$A$3:$A$5001,_xlfn.MAXIFS(BD!$A$3:$A$5001,BD!$B$3:$B$5001,S$175,BD!$A$3:$A$5001,"&gt;="&amp;$C$7,BD!$A$3:$A$5001,"&lt;="&amp;$B176,BD!$Z$3:$Z$5001,"&lt;&gt;"))))</f>
        <v/>
      </c>
      <c r="T176" s="43" t="str">
        <f>IF(OR($B176="",$A176&gt;$B$9,T$175=""),"",IF(COUNTIFS(BD!$B$3:$B$5001,T$175,BD!$A$3:$A$5001,"&gt;="&amp;$C$7,BD!$A$3:$A$5001,"&lt;="&amp;$B176,BD!$Z$3:$Z$5001,"&lt;&gt;")=0,"",SUMIFS(BD!$Z$3:$Z$5001,BD!$B$3:$B$5001,T$175,BD!$A$3:$A$5001,_xlfn.MAXIFS(BD!$A$3:$A$5001,BD!$B$3:$B$5001,T$175,BD!$A$3:$A$5001,"&gt;="&amp;$C$7,BD!$A$3:$A$5001,"&lt;="&amp;$B176,BD!$Z$3:$Z$5001,"&lt;&gt;"))))</f>
        <v/>
      </c>
      <c r="U176" s="43" t="str">
        <f>IF(OR($B176="",$A176&gt;$B$9,U$175=""),"",IF(COUNTIFS(BD!$B$3:$B$5001,U$175,BD!$A$3:$A$5001,"&gt;="&amp;$C$7,BD!$A$3:$A$5001,"&lt;="&amp;$B176,BD!$Z$3:$Z$5001,"&lt;&gt;")=0,"",SUMIFS(BD!$Z$3:$Z$5001,BD!$B$3:$B$5001,U$175,BD!$A$3:$A$5001,_xlfn.MAXIFS(BD!$A$3:$A$5001,BD!$B$3:$B$5001,U$175,BD!$A$3:$A$5001,"&gt;="&amp;$C$7,BD!$A$3:$A$5001,"&lt;="&amp;$B176,BD!$Z$3:$Z$5001,"&lt;&gt;"))))</f>
        <v/>
      </c>
      <c r="V176" s="43" t="str">
        <f>IF(OR($B176="",$A176&gt;$B$9,V$175=""),"",IF(COUNTIFS(BD!$B$3:$B$5001,V$175,BD!$A$3:$A$5001,"&gt;="&amp;$C$7,BD!$A$3:$A$5001,"&lt;="&amp;$B176,BD!$Z$3:$Z$5001,"&lt;&gt;")=0,"",SUMIFS(BD!$Z$3:$Z$5001,BD!$B$3:$B$5001,V$175,BD!$A$3:$A$5001,_xlfn.MAXIFS(BD!$A$3:$A$5001,BD!$B$3:$B$5001,V$175,BD!$A$3:$A$5001,"&gt;="&amp;$C$7,BD!$A$3:$A$5001,"&lt;="&amp;$B176,BD!$Z$3:$Z$5001,"&lt;&gt;"))))</f>
        <v/>
      </c>
    </row>
    <row r="177">
      <c r="A177" s="38">
        <v>2</v>
      </c>
      <c r="B177" s="42">
        <f>$B$13</f>
        <v>46297</v>
      </c>
      <c r="C177" s="43" t="str">
        <f>IF(OR($B177="",$A177&gt;$B$9,C$175=""),"",IF(COUNTIFS(BD!$B$3:$B$5001,C$175,BD!$A$3:$A$5001,"&gt;="&amp;$C$7,BD!$A$3:$A$5001,"&lt;="&amp;$B177,BD!$Z$3:$Z$5001,"&lt;&gt;")=0,"",SUMIFS(BD!$Z$3:$Z$5001,BD!$B$3:$B$5001,C$175,BD!$A$3:$A$5001,_xlfn.MAXIFS(BD!$A$3:$A$5001,BD!$B$3:$B$5001,C$175,BD!$A$3:$A$5001,"&gt;="&amp;$C$7,BD!$A$3:$A$5001,"&lt;="&amp;$B177,BD!$Z$3:$Z$5001,"&lt;&gt;"))))</f>
        <v/>
      </c>
      <c r="D177" s="43" t="str">
        <f>IF(OR($B177="",$A177&gt;$B$9,D$175=""),"",IF(COUNTIFS(BD!$B$3:$B$5001,D$175,BD!$A$3:$A$5001,"&gt;="&amp;$C$7,BD!$A$3:$A$5001,"&lt;="&amp;$B177,BD!$Z$3:$Z$5001,"&lt;&gt;")=0,"",SUMIFS(BD!$Z$3:$Z$5001,BD!$B$3:$B$5001,D$175,BD!$A$3:$A$5001,_xlfn.MAXIFS(BD!$A$3:$A$5001,BD!$B$3:$B$5001,D$175,BD!$A$3:$A$5001,"&gt;="&amp;$C$7,BD!$A$3:$A$5001,"&lt;="&amp;$B177,BD!$Z$3:$Z$5001,"&lt;&gt;"))))</f>
        <v/>
      </c>
      <c r="E177" s="43" t="str">
        <f>IF(OR($B177="",$A177&gt;$B$9,E$175=""),"",IF(COUNTIFS(BD!$B$3:$B$5001,E$175,BD!$A$3:$A$5001,"&gt;="&amp;$C$7,BD!$A$3:$A$5001,"&lt;="&amp;$B177,BD!$Z$3:$Z$5001,"&lt;&gt;")=0,"",SUMIFS(BD!$Z$3:$Z$5001,BD!$B$3:$B$5001,E$175,BD!$A$3:$A$5001,_xlfn.MAXIFS(BD!$A$3:$A$5001,BD!$B$3:$B$5001,E$175,BD!$A$3:$A$5001,"&gt;="&amp;$C$7,BD!$A$3:$A$5001,"&lt;="&amp;$B177,BD!$Z$3:$Z$5001,"&lt;&gt;"))))</f>
        <v/>
      </c>
      <c r="F177" s="43" t="str">
        <f>IF(OR($B177="",$A177&gt;$B$9,F$175=""),"",IF(COUNTIFS(BD!$B$3:$B$5001,F$175,BD!$A$3:$A$5001,"&gt;="&amp;$C$7,BD!$A$3:$A$5001,"&lt;="&amp;$B177,BD!$Z$3:$Z$5001,"&lt;&gt;")=0,"",SUMIFS(BD!$Z$3:$Z$5001,BD!$B$3:$B$5001,F$175,BD!$A$3:$A$5001,_xlfn.MAXIFS(BD!$A$3:$A$5001,BD!$B$3:$B$5001,F$175,BD!$A$3:$A$5001,"&gt;="&amp;$C$7,BD!$A$3:$A$5001,"&lt;="&amp;$B177,BD!$Z$3:$Z$5001,"&lt;&gt;"))))</f>
        <v/>
      </c>
      <c r="G177" s="43" t="str">
        <f>IF(OR($B177="",$A177&gt;$B$9,G$175=""),"",IF(COUNTIFS(BD!$B$3:$B$5001,G$175,BD!$A$3:$A$5001,"&gt;="&amp;$C$7,BD!$A$3:$A$5001,"&lt;="&amp;$B177,BD!$Z$3:$Z$5001,"&lt;&gt;")=0,"",SUMIFS(BD!$Z$3:$Z$5001,BD!$B$3:$B$5001,G$175,BD!$A$3:$A$5001,_xlfn.MAXIFS(BD!$A$3:$A$5001,BD!$B$3:$B$5001,G$175,BD!$A$3:$A$5001,"&gt;="&amp;$C$7,BD!$A$3:$A$5001,"&lt;="&amp;$B177,BD!$Z$3:$Z$5001,"&lt;&gt;"))))</f>
        <v/>
      </c>
      <c r="H177" s="43" t="str">
        <f>IF(OR($B177="",$A177&gt;$B$9,H$175=""),"",IF(COUNTIFS(BD!$B$3:$B$5001,H$175,BD!$A$3:$A$5001,"&gt;="&amp;$C$7,BD!$A$3:$A$5001,"&lt;="&amp;$B177,BD!$Z$3:$Z$5001,"&lt;&gt;")=0,"",SUMIFS(BD!$Z$3:$Z$5001,BD!$B$3:$B$5001,H$175,BD!$A$3:$A$5001,_xlfn.MAXIFS(BD!$A$3:$A$5001,BD!$B$3:$B$5001,H$175,BD!$A$3:$A$5001,"&gt;="&amp;$C$7,BD!$A$3:$A$5001,"&lt;="&amp;$B177,BD!$Z$3:$Z$5001,"&lt;&gt;"))))</f>
        <v/>
      </c>
      <c r="I177" s="43" t="str">
        <f>IF(OR($B177="",$A177&gt;$B$9,I$175=""),"",IF(COUNTIFS(BD!$B$3:$B$5001,I$175,BD!$A$3:$A$5001,"&gt;="&amp;$C$7,BD!$A$3:$A$5001,"&lt;="&amp;$B177,BD!$Z$3:$Z$5001,"&lt;&gt;")=0,"",SUMIFS(BD!$Z$3:$Z$5001,BD!$B$3:$B$5001,I$175,BD!$A$3:$A$5001,_xlfn.MAXIFS(BD!$A$3:$A$5001,BD!$B$3:$B$5001,I$175,BD!$A$3:$A$5001,"&gt;="&amp;$C$7,BD!$A$3:$A$5001,"&lt;="&amp;$B177,BD!$Z$3:$Z$5001,"&lt;&gt;"))))</f>
        <v/>
      </c>
      <c r="J177" s="43" t="str">
        <f>IF(OR($B177="",$A177&gt;$B$9,J$175=""),"",IF(COUNTIFS(BD!$B$3:$B$5001,J$175,BD!$A$3:$A$5001,"&gt;="&amp;$C$7,BD!$A$3:$A$5001,"&lt;="&amp;$B177,BD!$Z$3:$Z$5001,"&lt;&gt;")=0,"",SUMIFS(BD!$Z$3:$Z$5001,BD!$B$3:$B$5001,J$175,BD!$A$3:$A$5001,_xlfn.MAXIFS(BD!$A$3:$A$5001,BD!$B$3:$B$5001,J$175,BD!$A$3:$A$5001,"&gt;="&amp;$C$7,BD!$A$3:$A$5001,"&lt;="&amp;$B177,BD!$Z$3:$Z$5001,"&lt;&gt;"))))</f>
        <v/>
      </c>
      <c r="K177" s="43" t="str">
        <f>IF(OR($B177="",$A177&gt;$B$9,K$175=""),"",IF(COUNTIFS(BD!$B$3:$B$5001,K$175,BD!$A$3:$A$5001,"&gt;="&amp;$C$7,BD!$A$3:$A$5001,"&lt;="&amp;$B177,BD!$Z$3:$Z$5001,"&lt;&gt;")=0,"",SUMIFS(BD!$Z$3:$Z$5001,BD!$B$3:$B$5001,K$175,BD!$A$3:$A$5001,_xlfn.MAXIFS(BD!$A$3:$A$5001,BD!$B$3:$B$5001,K$175,BD!$A$3:$A$5001,"&gt;="&amp;$C$7,BD!$A$3:$A$5001,"&lt;="&amp;$B177,BD!$Z$3:$Z$5001,"&lt;&gt;"))))</f>
        <v/>
      </c>
      <c r="L177" s="43" t="str">
        <f>IF(OR($B177="",$A177&gt;$B$9,L$175=""),"",IF(COUNTIFS(BD!$B$3:$B$5001,L$175,BD!$A$3:$A$5001,"&gt;="&amp;$C$7,BD!$A$3:$A$5001,"&lt;="&amp;$B177,BD!$Z$3:$Z$5001,"&lt;&gt;")=0,"",SUMIFS(BD!$Z$3:$Z$5001,BD!$B$3:$B$5001,L$175,BD!$A$3:$A$5001,_xlfn.MAXIFS(BD!$A$3:$A$5001,BD!$B$3:$B$5001,L$175,BD!$A$3:$A$5001,"&gt;="&amp;$C$7,BD!$A$3:$A$5001,"&lt;="&amp;$B177,BD!$Z$3:$Z$5001,"&lt;&gt;"))))</f>
        <v/>
      </c>
      <c r="M177" s="43" t="str">
        <f>IF(OR($B177="",$A177&gt;$B$9,M$175=""),"",IF(COUNTIFS(BD!$B$3:$B$5001,M$175,BD!$A$3:$A$5001,"&gt;="&amp;$C$7,BD!$A$3:$A$5001,"&lt;="&amp;$B177,BD!$Z$3:$Z$5001,"&lt;&gt;")=0,"",SUMIFS(BD!$Z$3:$Z$5001,BD!$B$3:$B$5001,M$175,BD!$A$3:$A$5001,_xlfn.MAXIFS(BD!$A$3:$A$5001,BD!$B$3:$B$5001,M$175,BD!$A$3:$A$5001,"&gt;="&amp;$C$7,BD!$A$3:$A$5001,"&lt;="&amp;$B177,BD!$Z$3:$Z$5001,"&lt;&gt;"))))</f>
        <v/>
      </c>
      <c r="N177" s="43" t="str">
        <f>IF(OR($B177="",$A177&gt;$B$9,N$175=""),"",IF(COUNTIFS(BD!$B$3:$B$5001,N$175,BD!$A$3:$A$5001,"&gt;="&amp;$C$7,BD!$A$3:$A$5001,"&lt;="&amp;$B177,BD!$Z$3:$Z$5001,"&lt;&gt;")=0,"",SUMIFS(BD!$Z$3:$Z$5001,BD!$B$3:$B$5001,N$175,BD!$A$3:$A$5001,_xlfn.MAXIFS(BD!$A$3:$A$5001,BD!$B$3:$B$5001,N$175,BD!$A$3:$A$5001,"&gt;="&amp;$C$7,BD!$A$3:$A$5001,"&lt;="&amp;$B177,BD!$Z$3:$Z$5001,"&lt;&gt;"))))</f>
        <v/>
      </c>
      <c r="O177" s="43" t="str">
        <f>IF(OR($B177="",$A177&gt;$B$9,O$175=""),"",IF(COUNTIFS(BD!$B$3:$B$5001,O$175,BD!$A$3:$A$5001,"&gt;="&amp;$C$7,BD!$A$3:$A$5001,"&lt;="&amp;$B177,BD!$Z$3:$Z$5001,"&lt;&gt;")=0,"",SUMIFS(BD!$Z$3:$Z$5001,BD!$B$3:$B$5001,O$175,BD!$A$3:$A$5001,_xlfn.MAXIFS(BD!$A$3:$A$5001,BD!$B$3:$B$5001,O$175,BD!$A$3:$A$5001,"&gt;="&amp;$C$7,BD!$A$3:$A$5001,"&lt;="&amp;$B177,BD!$Z$3:$Z$5001,"&lt;&gt;"))))</f>
        <v/>
      </c>
      <c r="P177" s="43" t="str">
        <f>IF(OR($B177="",$A177&gt;$B$9,P$175=""),"",IF(COUNTIFS(BD!$B$3:$B$5001,P$175,BD!$A$3:$A$5001,"&gt;="&amp;$C$7,BD!$A$3:$A$5001,"&lt;="&amp;$B177,BD!$Z$3:$Z$5001,"&lt;&gt;")=0,"",SUMIFS(BD!$Z$3:$Z$5001,BD!$B$3:$B$5001,P$175,BD!$A$3:$A$5001,_xlfn.MAXIFS(BD!$A$3:$A$5001,BD!$B$3:$B$5001,P$175,BD!$A$3:$A$5001,"&gt;="&amp;$C$7,BD!$A$3:$A$5001,"&lt;="&amp;$B177,BD!$Z$3:$Z$5001,"&lt;&gt;"))))</f>
        <v/>
      </c>
      <c r="Q177" s="43" t="str">
        <f>IF(OR($B177="",$A177&gt;$B$9,Q$175=""),"",IF(COUNTIFS(BD!$B$3:$B$5001,Q$175,BD!$A$3:$A$5001,"&gt;="&amp;$C$7,BD!$A$3:$A$5001,"&lt;="&amp;$B177,BD!$Z$3:$Z$5001,"&lt;&gt;")=0,"",SUMIFS(BD!$Z$3:$Z$5001,BD!$B$3:$B$5001,Q$175,BD!$A$3:$A$5001,_xlfn.MAXIFS(BD!$A$3:$A$5001,BD!$B$3:$B$5001,Q$175,BD!$A$3:$A$5001,"&gt;="&amp;$C$7,BD!$A$3:$A$5001,"&lt;="&amp;$B177,BD!$Z$3:$Z$5001,"&lt;&gt;"))))</f>
        <v/>
      </c>
      <c r="R177" s="43" t="str">
        <f>IF(OR($B177="",$A177&gt;$B$9,R$175=""),"",IF(COUNTIFS(BD!$B$3:$B$5001,R$175,BD!$A$3:$A$5001,"&gt;="&amp;$C$7,BD!$A$3:$A$5001,"&lt;="&amp;$B177,BD!$Z$3:$Z$5001,"&lt;&gt;")=0,"",SUMIFS(BD!$Z$3:$Z$5001,BD!$B$3:$B$5001,R$175,BD!$A$3:$A$5001,_xlfn.MAXIFS(BD!$A$3:$A$5001,BD!$B$3:$B$5001,R$175,BD!$A$3:$A$5001,"&gt;="&amp;$C$7,BD!$A$3:$A$5001,"&lt;="&amp;$B177,BD!$Z$3:$Z$5001,"&lt;&gt;"))))</f>
        <v/>
      </c>
      <c r="S177" s="43" t="str">
        <f>IF(OR($B177="",$A177&gt;$B$9,S$175=""),"",IF(COUNTIFS(BD!$B$3:$B$5001,S$175,BD!$A$3:$A$5001,"&gt;="&amp;$C$7,BD!$A$3:$A$5001,"&lt;="&amp;$B177,BD!$Z$3:$Z$5001,"&lt;&gt;")=0,"",SUMIFS(BD!$Z$3:$Z$5001,BD!$B$3:$B$5001,S$175,BD!$A$3:$A$5001,_xlfn.MAXIFS(BD!$A$3:$A$5001,BD!$B$3:$B$5001,S$175,BD!$A$3:$A$5001,"&gt;="&amp;$C$7,BD!$A$3:$A$5001,"&lt;="&amp;$B177,BD!$Z$3:$Z$5001,"&lt;&gt;"))))</f>
        <v/>
      </c>
      <c r="T177" s="43" t="str">
        <f>IF(OR($B177="",$A177&gt;$B$9,T$175=""),"",IF(COUNTIFS(BD!$B$3:$B$5001,T$175,BD!$A$3:$A$5001,"&gt;="&amp;$C$7,BD!$A$3:$A$5001,"&lt;="&amp;$B177,BD!$Z$3:$Z$5001,"&lt;&gt;")=0,"",SUMIFS(BD!$Z$3:$Z$5001,BD!$B$3:$B$5001,T$175,BD!$A$3:$A$5001,_xlfn.MAXIFS(BD!$A$3:$A$5001,BD!$B$3:$B$5001,T$175,BD!$A$3:$A$5001,"&gt;="&amp;$C$7,BD!$A$3:$A$5001,"&lt;="&amp;$B177,BD!$Z$3:$Z$5001,"&lt;&gt;"))))</f>
        <v/>
      </c>
      <c r="U177" s="43" t="str">
        <f>IF(OR($B177="",$A177&gt;$B$9,U$175=""),"",IF(COUNTIFS(BD!$B$3:$B$5001,U$175,BD!$A$3:$A$5001,"&gt;="&amp;$C$7,BD!$A$3:$A$5001,"&lt;="&amp;$B177,BD!$Z$3:$Z$5001,"&lt;&gt;")=0,"",SUMIFS(BD!$Z$3:$Z$5001,BD!$B$3:$B$5001,U$175,BD!$A$3:$A$5001,_xlfn.MAXIFS(BD!$A$3:$A$5001,BD!$B$3:$B$5001,U$175,BD!$A$3:$A$5001,"&gt;="&amp;$C$7,BD!$A$3:$A$5001,"&lt;="&amp;$B177,BD!$Z$3:$Z$5001,"&lt;&gt;"))))</f>
        <v/>
      </c>
      <c r="V177" s="43" t="str">
        <f>IF(OR($B177="",$A177&gt;$B$9,V$175=""),"",IF(COUNTIFS(BD!$B$3:$B$5001,V$175,BD!$A$3:$A$5001,"&gt;="&amp;$C$7,BD!$A$3:$A$5001,"&lt;="&amp;$B177,BD!$Z$3:$Z$5001,"&lt;&gt;")=0,"",SUMIFS(BD!$Z$3:$Z$5001,BD!$B$3:$B$5001,V$175,BD!$A$3:$A$5001,_xlfn.MAXIFS(BD!$A$3:$A$5001,BD!$B$3:$B$5001,V$175,BD!$A$3:$A$5001,"&gt;="&amp;$C$7,BD!$A$3:$A$5001,"&lt;="&amp;$B177,BD!$Z$3:$Z$5001,"&lt;&gt;"))))</f>
        <v/>
      </c>
    </row>
    <row r="178">
      <c r="A178" s="38">
        <v>3</v>
      </c>
      <c r="B178" s="42">
        <f>$B$14</f>
        <v>46298</v>
      </c>
      <c r="C178" s="43" t="str">
        <f>IF(OR($B178="",$A178&gt;$B$9,C$175=""),"",IF(COUNTIFS(BD!$B$3:$B$5001,C$175,BD!$A$3:$A$5001,"&gt;="&amp;$C$7,BD!$A$3:$A$5001,"&lt;="&amp;$B178,BD!$Z$3:$Z$5001,"&lt;&gt;")=0,"",SUMIFS(BD!$Z$3:$Z$5001,BD!$B$3:$B$5001,C$175,BD!$A$3:$A$5001,_xlfn.MAXIFS(BD!$A$3:$A$5001,BD!$B$3:$B$5001,C$175,BD!$A$3:$A$5001,"&gt;="&amp;$C$7,BD!$A$3:$A$5001,"&lt;="&amp;$B178,BD!$Z$3:$Z$5001,"&lt;&gt;"))))</f>
        <v/>
      </c>
      <c r="D178" s="43" t="str">
        <f>IF(OR($B178="",$A178&gt;$B$9,D$175=""),"",IF(COUNTIFS(BD!$B$3:$B$5001,D$175,BD!$A$3:$A$5001,"&gt;="&amp;$C$7,BD!$A$3:$A$5001,"&lt;="&amp;$B178,BD!$Z$3:$Z$5001,"&lt;&gt;")=0,"",SUMIFS(BD!$Z$3:$Z$5001,BD!$B$3:$B$5001,D$175,BD!$A$3:$A$5001,_xlfn.MAXIFS(BD!$A$3:$A$5001,BD!$B$3:$B$5001,D$175,BD!$A$3:$A$5001,"&gt;="&amp;$C$7,BD!$A$3:$A$5001,"&lt;="&amp;$B178,BD!$Z$3:$Z$5001,"&lt;&gt;"))))</f>
        <v/>
      </c>
      <c r="E178" s="43" t="str">
        <f>IF(OR($B178="",$A178&gt;$B$9,E$175=""),"",IF(COUNTIFS(BD!$B$3:$B$5001,E$175,BD!$A$3:$A$5001,"&gt;="&amp;$C$7,BD!$A$3:$A$5001,"&lt;="&amp;$B178,BD!$Z$3:$Z$5001,"&lt;&gt;")=0,"",SUMIFS(BD!$Z$3:$Z$5001,BD!$B$3:$B$5001,E$175,BD!$A$3:$A$5001,_xlfn.MAXIFS(BD!$A$3:$A$5001,BD!$B$3:$B$5001,E$175,BD!$A$3:$A$5001,"&gt;="&amp;$C$7,BD!$A$3:$A$5001,"&lt;="&amp;$B178,BD!$Z$3:$Z$5001,"&lt;&gt;"))))</f>
        <v/>
      </c>
      <c r="F178" s="43" t="str">
        <f>IF(OR($B178="",$A178&gt;$B$9,F$175=""),"",IF(COUNTIFS(BD!$B$3:$B$5001,F$175,BD!$A$3:$A$5001,"&gt;="&amp;$C$7,BD!$A$3:$A$5001,"&lt;="&amp;$B178,BD!$Z$3:$Z$5001,"&lt;&gt;")=0,"",SUMIFS(BD!$Z$3:$Z$5001,BD!$B$3:$B$5001,F$175,BD!$A$3:$A$5001,_xlfn.MAXIFS(BD!$A$3:$A$5001,BD!$B$3:$B$5001,F$175,BD!$A$3:$A$5001,"&gt;="&amp;$C$7,BD!$A$3:$A$5001,"&lt;="&amp;$B178,BD!$Z$3:$Z$5001,"&lt;&gt;"))))</f>
        <v/>
      </c>
      <c r="G178" s="43" t="str">
        <f>IF(OR($B178="",$A178&gt;$B$9,G$175=""),"",IF(COUNTIFS(BD!$B$3:$B$5001,G$175,BD!$A$3:$A$5001,"&gt;="&amp;$C$7,BD!$A$3:$A$5001,"&lt;="&amp;$B178,BD!$Z$3:$Z$5001,"&lt;&gt;")=0,"",SUMIFS(BD!$Z$3:$Z$5001,BD!$B$3:$B$5001,G$175,BD!$A$3:$A$5001,_xlfn.MAXIFS(BD!$A$3:$A$5001,BD!$B$3:$B$5001,G$175,BD!$A$3:$A$5001,"&gt;="&amp;$C$7,BD!$A$3:$A$5001,"&lt;="&amp;$B178,BD!$Z$3:$Z$5001,"&lt;&gt;"))))</f>
        <v/>
      </c>
      <c r="H178" s="43" t="str">
        <f>IF(OR($B178="",$A178&gt;$B$9,H$175=""),"",IF(COUNTIFS(BD!$B$3:$B$5001,H$175,BD!$A$3:$A$5001,"&gt;="&amp;$C$7,BD!$A$3:$A$5001,"&lt;="&amp;$B178,BD!$Z$3:$Z$5001,"&lt;&gt;")=0,"",SUMIFS(BD!$Z$3:$Z$5001,BD!$B$3:$B$5001,H$175,BD!$A$3:$A$5001,_xlfn.MAXIFS(BD!$A$3:$A$5001,BD!$B$3:$B$5001,H$175,BD!$A$3:$A$5001,"&gt;="&amp;$C$7,BD!$A$3:$A$5001,"&lt;="&amp;$B178,BD!$Z$3:$Z$5001,"&lt;&gt;"))))</f>
        <v/>
      </c>
      <c r="I178" s="43" t="str">
        <f>IF(OR($B178="",$A178&gt;$B$9,I$175=""),"",IF(COUNTIFS(BD!$B$3:$B$5001,I$175,BD!$A$3:$A$5001,"&gt;="&amp;$C$7,BD!$A$3:$A$5001,"&lt;="&amp;$B178,BD!$Z$3:$Z$5001,"&lt;&gt;")=0,"",SUMIFS(BD!$Z$3:$Z$5001,BD!$B$3:$B$5001,I$175,BD!$A$3:$A$5001,_xlfn.MAXIFS(BD!$A$3:$A$5001,BD!$B$3:$B$5001,I$175,BD!$A$3:$A$5001,"&gt;="&amp;$C$7,BD!$A$3:$A$5001,"&lt;="&amp;$B178,BD!$Z$3:$Z$5001,"&lt;&gt;"))))</f>
        <v/>
      </c>
      <c r="J178" s="43" t="str">
        <f>IF(OR($B178="",$A178&gt;$B$9,J$175=""),"",IF(COUNTIFS(BD!$B$3:$B$5001,J$175,BD!$A$3:$A$5001,"&gt;="&amp;$C$7,BD!$A$3:$A$5001,"&lt;="&amp;$B178,BD!$Z$3:$Z$5001,"&lt;&gt;")=0,"",SUMIFS(BD!$Z$3:$Z$5001,BD!$B$3:$B$5001,J$175,BD!$A$3:$A$5001,_xlfn.MAXIFS(BD!$A$3:$A$5001,BD!$B$3:$B$5001,J$175,BD!$A$3:$A$5001,"&gt;="&amp;$C$7,BD!$A$3:$A$5001,"&lt;="&amp;$B178,BD!$Z$3:$Z$5001,"&lt;&gt;"))))</f>
        <v/>
      </c>
      <c r="K178" s="43" t="str">
        <f>IF(OR($B178="",$A178&gt;$B$9,K$175=""),"",IF(COUNTIFS(BD!$B$3:$B$5001,K$175,BD!$A$3:$A$5001,"&gt;="&amp;$C$7,BD!$A$3:$A$5001,"&lt;="&amp;$B178,BD!$Z$3:$Z$5001,"&lt;&gt;")=0,"",SUMIFS(BD!$Z$3:$Z$5001,BD!$B$3:$B$5001,K$175,BD!$A$3:$A$5001,_xlfn.MAXIFS(BD!$A$3:$A$5001,BD!$B$3:$B$5001,K$175,BD!$A$3:$A$5001,"&gt;="&amp;$C$7,BD!$A$3:$A$5001,"&lt;="&amp;$B178,BD!$Z$3:$Z$5001,"&lt;&gt;"))))</f>
        <v/>
      </c>
      <c r="L178" s="43" t="str">
        <f>IF(OR($B178="",$A178&gt;$B$9,L$175=""),"",IF(COUNTIFS(BD!$B$3:$B$5001,L$175,BD!$A$3:$A$5001,"&gt;="&amp;$C$7,BD!$A$3:$A$5001,"&lt;="&amp;$B178,BD!$Z$3:$Z$5001,"&lt;&gt;")=0,"",SUMIFS(BD!$Z$3:$Z$5001,BD!$B$3:$B$5001,L$175,BD!$A$3:$A$5001,_xlfn.MAXIFS(BD!$A$3:$A$5001,BD!$B$3:$B$5001,L$175,BD!$A$3:$A$5001,"&gt;="&amp;$C$7,BD!$A$3:$A$5001,"&lt;="&amp;$B178,BD!$Z$3:$Z$5001,"&lt;&gt;"))))</f>
        <v/>
      </c>
      <c r="M178" s="43" t="str">
        <f>IF(OR($B178="",$A178&gt;$B$9,M$175=""),"",IF(COUNTIFS(BD!$B$3:$B$5001,M$175,BD!$A$3:$A$5001,"&gt;="&amp;$C$7,BD!$A$3:$A$5001,"&lt;="&amp;$B178,BD!$Z$3:$Z$5001,"&lt;&gt;")=0,"",SUMIFS(BD!$Z$3:$Z$5001,BD!$B$3:$B$5001,M$175,BD!$A$3:$A$5001,_xlfn.MAXIFS(BD!$A$3:$A$5001,BD!$B$3:$B$5001,M$175,BD!$A$3:$A$5001,"&gt;="&amp;$C$7,BD!$A$3:$A$5001,"&lt;="&amp;$B178,BD!$Z$3:$Z$5001,"&lt;&gt;"))))</f>
        <v/>
      </c>
      <c r="N178" s="43" t="str">
        <f>IF(OR($B178="",$A178&gt;$B$9,N$175=""),"",IF(COUNTIFS(BD!$B$3:$B$5001,N$175,BD!$A$3:$A$5001,"&gt;="&amp;$C$7,BD!$A$3:$A$5001,"&lt;="&amp;$B178,BD!$Z$3:$Z$5001,"&lt;&gt;")=0,"",SUMIFS(BD!$Z$3:$Z$5001,BD!$B$3:$B$5001,N$175,BD!$A$3:$A$5001,_xlfn.MAXIFS(BD!$A$3:$A$5001,BD!$B$3:$B$5001,N$175,BD!$A$3:$A$5001,"&gt;="&amp;$C$7,BD!$A$3:$A$5001,"&lt;="&amp;$B178,BD!$Z$3:$Z$5001,"&lt;&gt;"))))</f>
        <v/>
      </c>
      <c r="O178" s="43" t="str">
        <f>IF(OR($B178="",$A178&gt;$B$9,O$175=""),"",IF(COUNTIFS(BD!$B$3:$B$5001,O$175,BD!$A$3:$A$5001,"&gt;="&amp;$C$7,BD!$A$3:$A$5001,"&lt;="&amp;$B178,BD!$Z$3:$Z$5001,"&lt;&gt;")=0,"",SUMIFS(BD!$Z$3:$Z$5001,BD!$B$3:$B$5001,O$175,BD!$A$3:$A$5001,_xlfn.MAXIFS(BD!$A$3:$A$5001,BD!$B$3:$B$5001,O$175,BD!$A$3:$A$5001,"&gt;="&amp;$C$7,BD!$A$3:$A$5001,"&lt;="&amp;$B178,BD!$Z$3:$Z$5001,"&lt;&gt;"))))</f>
        <v/>
      </c>
      <c r="P178" s="43" t="str">
        <f>IF(OR($B178="",$A178&gt;$B$9,P$175=""),"",IF(COUNTIFS(BD!$B$3:$B$5001,P$175,BD!$A$3:$A$5001,"&gt;="&amp;$C$7,BD!$A$3:$A$5001,"&lt;="&amp;$B178,BD!$Z$3:$Z$5001,"&lt;&gt;")=0,"",SUMIFS(BD!$Z$3:$Z$5001,BD!$B$3:$B$5001,P$175,BD!$A$3:$A$5001,_xlfn.MAXIFS(BD!$A$3:$A$5001,BD!$B$3:$B$5001,P$175,BD!$A$3:$A$5001,"&gt;="&amp;$C$7,BD!$A$3:$A$5001,"&lt;="&amp;$B178,BD!$Z$3:$Z$5001,"&lt;&gt;"))))</f>
        <v/>
      </c>
      <c r="Q178" s="43" t="str">
        <f>IF(OR($B178="",$A178&gt;$B$9,Q$175=""),"",IF(COUNTIFS(BD!$B$3:$B$5001,Q$175,BD!$A$3:$A$5001,"&gt;="&amp;$C$7,BD!$A$3:$A$5001,"&lt;="&amp;$B178,BD!$Z$3:$Z$5001,"&lt;&gt;")=0,"",SUMIFS(BD!$Z$3:$Z$5001,BD!$B$3:$B$5001,Q$175,BD!$A$3:$A$5001,_xlfn.MAXIFS(BD!$A$3:$A$5001,BD!$B$3:$B$5001,Q$175,BD!$A$3:$A$5001,"&gt;="&amp;$C$7,BD!$A$3:$A$5001,"&lt;="&amp;$B178,BD!$Z$3:$Z$5001,"&lt;&gt;"))))</f>
        <v/>
      </c>
      <c r="R178" s="43" t="str">
        <f>IF(OR($B178="",$A178&gt;$B$9,R$175=""),"",IF(COUNTIFS(BD!$B$3:$B$5001,R$175,BD!$A$3:$A$5001,"&gt;="&amp;$C$7,BD!$A$3:$A$5001,"&lt;="&amp;$B178,BD!$Z$3:$Z$5001,"&lt;&gt;")=0,"",SUMIFS(BD!$Z$3:$Z$5001,BD!$B$3:$B$5001,R$175,BD!$A$3:$A$5001,_xlfn.MAXIFS(BD!$A$3:$A$5001,BD!$B$3:$B$5001,R$175,BD!$A$3:$A$5001,"&gt;="&amp;$C$7,BD!$A$3:$A$5001,"&lt;="&amp;$B178,BD!$Z$3:$Z$5001,"&lt;&gt;"))))</f>
        <v/>
      </c>
      <c r="S178" s="43" t="str">
        <f>IF(OR($B178="",$A178&gt;$B$9,S$175=""),"",IF(COUNTIFS(BD!$B$3:$B$5001,S$175,BD!$A$3:$A$5001,"&gt;="&amp;$C$7,BD!$A$3:$A$5001,"&lt;="&amp;$B178,BD!$Z$3:$Z$5001,"&lt;&gt;")=0,"",SUMIFS(BD!$Z$3:$Z$5001,BD!$B$3:$B$5001,S$175,BD!$A$3:$A$5001,_xlfn.MAXIFS(BD!$A$3:$A$5001,BD!$B$3:$B$5001,S$175,BD!$A$3:$A$5001,"&gt;="&amp;$C$7,BD!$A$3:$A$5001,"&lt;="&amp;$B178,BD!$Z$3:$Z$5001,"&lt;&gt;"))))</f>
        <v/>
      </c>
      <c r="T178" s="43" t="str">
        <f>IF(OR($B178="",$A178&gt;$B$9,T$175=""),"",IF(COUNTIFS(BD!$B$3:$B$5001,T$175,BD!$A$3:$A$5001,"&gt;="&amp;$C$7,BD!$A$3:$A$5001,"&lt;="&amp;$B178,BD!$Z$3:$Z$5001,"&lt;&gt;")=0,"",SUMIFS(BD!$Z$3:$Z$5001,BD!$B$3:$B$5001,T$175,BD!$A$3:$A$5001,_xlfn.MAXIFS(BD!$A$3:$A$5001,BD!$B$3:$B$5001,T$175,BD!$A$3:$A$5001,"&gt;="&amp;$C$7,BD!$A$3:$A$5001,"&lt;="&amp;$B178,BD!$Z$3:$Z$5001,"&lt;&gt;"))))</f>
        <v/>
      </c>
      <c r="U178" s="43" t="str">
        <f>IF(OR($B178="",$A178&gt;$B$9,U$175=""),"",IF(COUNTIFS(BD!$B$3:$B$5001,U$175,BD!$A$3:$A$5001,"&gt;="&amp;$C$7,BD!$A$3:$A$5001,"&lt;="&amp;$B178,BD!$Z$3:$Z$5001,"&lt;&gt;")=0,"",SUMIFS(BD!$Z$3:$Z$5001,BD!$B$3:$B$5001,U$175,BD!$A$3:$A$5001,_xlfn.MAXIFS(BD!$A$3:$A$5001,BD!$B$3:$B$5001,U$175,BD!$A$3:$A$5001,"&gt;="&amp;$C$7,BD!$A$3:$A$5001,"&lt;="&amp;$B178,BD!$Z$3:$Z$5001,"&lt;&gt;"))))</f>
        <v/>
      </c>
      <c r="V178" s="43" t="str">
        <f>IF(OR($B178="",$A178&gt;$B$9,V$175=""),"",IF(COUNTIFS(BD!$B$3:$B$5001,V$175,BD!$A$3:$A$5001,"&gt;="&amp;$C$7,BD!$A$3:$A$5001,"&lt;="&amp;$B178,BD!$Z$3:$Z$5001,"&lt;&gt;")=0,"",SUMIFS(BD!$Z$3:$Z$5001,BD!$B$3:$B$5001,V$175,BD!$A$3:$A$5001,_xlfn.MAXIFS(BD!$A$3:$A$5001,BD!$B$3:$B$5001,V$175,BD!$A$3:$A$5001,"&gt;="&amp;$C$7,BD!$A$3:$A$5001,"&lt;="&amp;$B178,BD!$Z$3:$Z$5001,"&lt;&gt;"))))</f>
        <v/>
      </c>
    </row>
    <row r="179">
      <c r="A179" s="38">
        <v>4</v>
      </c>
      <c r="B179" s="42">
        <f>$B$15</f>
        <v>46299</v>
      </c>
      <c r="C179" s="43" t="str">
        <f>IF(OR($B179="",$A179&gt;$B$9,C$175=""),"",IF(COUNTIFS(BD!$B$3:$B$5001,C$175,BD!$A$3:$A$5001,"&gt;="&amp;$C$7,BD!$A$3:$A$5001,"&lt;="&amp;$B179,BD!$Z$3:$Z$5001,"&lt;&gt;")=0,"",SUMIFS(BD!$Z$3:$Z$5001,BD!$B$3:$B$5001,C$175,BD!$A$3:$A$5001,_xlfn.MAXIFS(BD!$A$3:$A$5001,BD!$B$3:$B$5001,C$175,BD!$A$3:$A$5001,"&gt;="&amp;$C$7,BD!$A$3:$A$5001,"&lt;="&amp;$B179,BD!$Z$3:$Z$5001,"&lt;&gt;"))))</f>
        <v/>
      </c>
      <c r="D179" s="43" t="str">
        <f>IF(OR($B179="",$A179&gt;$B$9,D$175=""),"",IF(COUNTIFS(BD!$B$3:$B$5001,D$175,BD!$A$3:$A$5001,"&gt;="&amp;$C$7,BD!$A$3:$A$5001,"&lt;="&amp;$B179,BD!$Z$3:$Z$5001,"&lt;&gt;")=0,"",SUMIFS(BD!$Z$3:$Z$5001,BD!$B$3:$B$5001,D$175,BD!$A$3:$A$5001,_xlfn.MAXIFS(BD!$A$3:$A$5001,BD!$B$3:$B$5001,D$175,BD!$A$3:$A$5001,"&gt;="&amp;$C$7,BD!$A$3:$A$5001,"&lt;="&amp;$B179,BD!$Z$3:$Z$5001,"&lt;&gt;"))))</f>
        <v/>
      </c>
      <c r="E179" s="43" t="str">
        <f>IF(OR($B179="",$A179&gt;$B$9,E$175=""),"",IF(COUNTIFS(BD!$B$3:$B$5001,E$175,BD!$A$3:$A$5001,"&gt;="&amp;$C$7,BD!$A$3:$A$5001,"&lt;="&amp;$B179,BD!$Z$3:$Z$5001,"&lt;&gt;")=0,"",SUMIFS(BD!$Z$3:$Z$5001,BD!$B$3:$B$5001,E$175,BD!$A$3:$A$5001,_xlfn.MAXIFS(BD!$A$3:$A$5001,BD!$B$3:$B$5001,E$175,BD!$A$3:$A$5001,"&gt;="&amp;$C$7,BD!$A$3:$A$5001,"&lt;="&amp;$B179,BD!$Z$3:$Z$5001,"&lt;&gt;"))))</f>
        <v/>
      </c>
      <c r="F179" s="43" t="str">
        <f>IF(OR($B179="",$A179&gt;$B$9,F$175=""),"",IF(COUNTIFS(BD!$B$3:$B$5001,F$175,BD!$A$3:$A$5001,"&gt;="&amp;$C$7,BD!$A$3:$A$5001,"&lt;="&amp;$B179,BD!$Z$3:$Z$5001,"&lt;&gt;")=0,"",SUMIFS(BD!$Z$3:$Z$5001,BD!$B$3:$B$5001,F$175,BD!$A$3:$A$5001,_xlfn.MAXIFS(BD!$A$3:$A$5001,BD!$B$3:$B$5001,F$175,BD!$A$3:$A$5001,"&gt;="&amp;$C$7,BD!$A$3:$A$5001,"&lt;="&amp;$B179,BD!$Z$3:$Z$5001,"&lt;&gt;"))))</f>
        <v/>
      </c>
      <c r="G179" s="43" t="str">
        <f>IF(OR($B179="",$A179&gt;$B$9,G$175=""),"",IF(COUNTIFS(BD!$B$3:$B$5001,G$175,BD!$A$3:$A$5001,"&gt;="&amp;$C$7,BD!$A$3:$A$5001,"&lt;="&amp;$B179,BD!$Z$3:$Z$5001,"&lt;&gt;")=0,"",SUMIFS(BD!$Z$3:$Z$5001,BD!$B$3:$B$5001,G$175,BD!$A$3:$A$5001,_xlfn.MAXIFS(BD!$A$3:$A$5001,BD!$B$3:$B$5001,G$175,BD!$A$3:$A$5001,"&gt;="&amp;$C$7,BD!$A$3:$A$5001,"&lt;="&amp;$B179,BD!$Z$3:$Z$5001,"&lt;&gt;"))))</f>
        <v/>
      </c>
      <c r="H179" s="43" t="str">
        <f>IF(OR($B179="",$A179&gt;$B$9,H$175=""),"",IF(COUNTIFS(BD!$B$3:$B$5001,H$175,BD!$A$3:$A$5001,"&gt;="&amp;$C$7,BD!$A$3:$A$5001,"&lt;="&amp;$B179,BD!$Z$3:$Z$5001,"&lt;&gt;")=0,"",SUMIFS(BD!$Z$3:$Z$5001,BD!$B$3:$B$5001,H$175,BD!$A$3:$A$5001,_xlfn.MAXIFS(BD!$A$3:$A$5001,BD!$B$3:$B$5001,H$175,BD!$A$3:$A$5001,"&gt;="&amp;$C$7,BD!$A$3:$A$5001,"&lt;="&amp;$B179,BD!$Z$3:$Z$5001,"&lt;&gt;"))))</f>
        <v/>
      </c>
      <c r="I179" s="43" t="str">
        <f>IF(OR($B179="",$A179&gt;$B$9,I$175=""),"",IF(COUNTIFS(BD!$B$3:$B$5001,I$175,BD!$A$3:$A$5001,"&gt;="&amp;$C$7,BD!$A$3:$A$5001,"&lt;="&amp;$B179,BD!$Z$3:$Z$5001,"&lt;&gt;")=0,"",SUMIFS(BD!$Z$3:$Z$5001,BD!$B$3:$B$5001,I$175,BD!$A$3:$A$5001,_xlfn.MAXIFS(BD!$A$3:$A$5001,BD!$B$3:$B$5001,I$175,BD!$A$3:$A$5001,"&gt;="&amp;$C$7,BD!$A$3:$A$5001,"&lt;="&amp;$B179,BD!$Z$3:$Z$5001,"&lt;&gt;"))))</f>
        <v/>
      </c>
      <c r="J179" s="43" t="str">
        <f>IF(OR($B179="",$A179&gt;$B$9,J$175=""),"",IF(COUNTIFS(BD!$B$3:$B$5001,J$175,BD!$A$3:$A$5001,"&gt;="&amp;$C$7,BD!$A$3:$A$5001,"&lt;="&amp;$B179,BD!$Z$3:$Z$5001,"&lt;&gt;")=0,"",SUMIFS(BD!$Z$3:$Z$5001,BD!$B$3:$B$5001,J$175,BD!$A$3:$A$5001,_xlfn.MAXIFS(BD!$A$3:$A$5001,BD!$B$3:$B$5001,J$175,BD!$A$3:$A$5001,"&gt;="&amp;$C$7,BD!$A$3:$A$5001,"&lt;="&amp;$B179,BD!$Z$3:$Z$5001,"&lt;&gt;"))))</f>
        <v/>
      </c>
      <c r="K179" s="43" t="str">
        <f>IF(OR($B179="",$A179&gt;$B$9,K$175=""),"",IF(COUNTIFS(BD!$B$3:$B$5001,K$175,BD!$A$3:$A$5001,"&gt;="&amp;$C$7,BD!$A$3:$A$5001,"&lt;="&amp;$B179,BD!$Z$3:$Z$5001,"&lt;&gt;")=0,"",SUMIFS(BD!$Z$3:$Z$5001,BD!$B$3:$B$5001,K$175,BD!$A$3:$A$5001,_xlfn.MAXIFS(BD!$A$3:$A$5001,BD!$B$3:$B$5001,K$175,BD!$A$3:$A$5001,"&gt;="&amp;$C$7,BD!$A$3:$A$5001,"&lt;="&amp;$B179,BD!$Z$3:$Z$5001,"&lt;&gt;"))))</f>
        <v/>
      </c>
      <c r="L179" s="43" t="str">
        <f>IF(OR($B179="",$A179&gt;$B$9,L$175=""),"",IF(COUNTIFS(BD!$B$3:$B$5001,L$175,BD!$A$3:$A$5001,"&gt;="&amp;$C$7,BD!$A$3:$A$5001,"&lt;="&amp;$B179,BD!$Z$3:$Z$5001,"&lt;&gt;")=0,"",SUMIFS(BD!$Z$3:$Z$5001,BD!$B$3:$B$5001,L$175,BD!$A$3:$A$5001,_xlfn.MAXIFS(BD!$A$3:$A$5001,BD!$B$3:$B$5001,L$175,BD!$A$3:$A$5001,"&gt;="&amp;$C$7,BD!$A$3:$A$5001,"&lt;="&amp;$B179,BD!$Z$3:$Z$5001,"&lt;&gt;"))))</f>
        <v/>
      </c>
      <c r="M179" s="43" t="str">
        <f>IF(OR($B179="",$A179&gt;$B$9,M$175=""),"",IF(COUNTIFS(BD!$B$3:$B$5001,M$175,BD!$A$3:$A$5001,"&gt;="&amp;$C$7,BD!$A$3:$A$5001,"&lt;="&amp;$B179,BD!$Z$3:$Z$5001,"&lt;&gt;")=0,"",SUMIFS(BD!$Z$3:$Z$5001,BD!$B$3:$B$5001,M$175,BD!$A$3:$A$5001,_xlfn.MAXIFS(BD!$A$3:$A$5001,BD!$B$3:$B$5001,M$175,BD!$A$3:$A$5001,"&gt;="&amp;$C$7,BD!$A$3:$A$5001,"&lt;="&amp;$B179,BD!$Z$3:$Z$5001,"&lt;&gt;"))))</f>
        <v/>
      </c>
      <c r="N179" s="43" t="str">
        <f>IF(OR($B179="",$A179&gt;$B$9,N$175=""),"",IF(COUNTIFS(BD!$B$3:$B$5001,N$175,BD!$A$3:$A$5001,"&gt;="&amp;$C$7,BD!$A$3:$A$5001,"&lt;="&amp;$B179,BD!$Z$3:$Z$5001,"&lt;&gt;")=0,"",SUMIFS(BD!$Z$3:$Z$5001,BD!$B$3:$B$5001,N$175,BD!$A$3:$A$5001,_xlfn.MAXIFS(BD!$A$3:$A$5001,BD!$B$3:$B$5001,N$175,BD!$A$3:$A$5001,"&gt;="&amp;$C$7,BD!$A$3:$A$5001,"&lt;="&amp;$B179,BD!$Z$3:$Z$5001,"&lt;&gt;"))))</f>
        <v/>
      </c>
      <c r="O179" s="43" t="str">
        <f>IF(OR($B179="",$A179&gt;$B$9,O$175=""),"",IF(COUNTIFS(BD!$B$3:$B$5001,O$175,BD!$A$3:$A$5001,"&gt;="&amp;$C$7,BD!$A$3:$A$5001,"&lt;="&amp;$B179,BD!$Z$3:$Z$5001,"&lt;&gt;")=0,"",SUMIFS(BD!$Z$3:$Z$5001,BD!$B$3:$B$5001,O$175,BD!$A$3:$A$5001,_xlfn.MAXIFS(BD!$A$3:$A$5001,BD!$B$3:$B$5001,O$175,BD!$A$3:$A$5001,"&gt;="&amp;$C$7,BD!$A$3:$A$5001,"&lt;="&amp;$B179,BD!$Z$3:$Z$5001,"&lt;&gt;"))))</f>
        <v/>
      </c>
      <c r="P179" s="43" t="str">
        <f>IF(OR($B179="",$A179&gt;$B$9,P$175=""),"",IF(COUNTIFS(BD!$B$3:$B$5001,P$175,BD!$A$3:$A$5001,"&gt;="&amp;$C$7,BD!$A$3:$A$5001,"&lt;="&amp;$B179,BD!$Z$3:$Z$5001,"&lt;&gt;")=0,"",SUMIFS(BD!$Z$3:$Z$5001,BD!$B$3:$B$5001,P$175,BD!$A$3:$A$5001,_xlfn.MAXIFS(BD!$A$3:$A$5001,BD!$B$3:$B$5001,P$175,BD!$A$3:$A$5001,"&gt;="&amp;$C$7,BD!$A$3:$A$5001,"&lt;="&amp;$B179,BD!$Z$3:$Z$5001,"&lt;&gt;"))))</f>
        <v/>
      </c>
      <c r="Q179" s="43" t="str">
        <f>IF(OR($B179="",$A179&gt;$B$9,Q$175=""),"",IF(COUNTIFS(BD!$B$3:$B$5001,Q$175,BD!$A$3:$A$5001,"&gt;="&amp;$C$7,BD!$A$3:$A$5001,"&lt;="&amp;$B179,BD!$Z$3:$Z$5001,"&lt;&gt;")=0,"",SUMIFS(BD!$Z$3:$Z$5001,BD!$B$3:$B$5001,Q$175,BD!$A$3:$A$5001,_xlfn.MAXIFS(BD!$A$3:$A$5001,BD!$B$3:$B$5001,Q$175,BD!$A$3:$A$5001,"&gt;="&amp;$C$7,BD!$A$3:$A$5001,"&lt;="&amp;$B179,BD!$Z$3:$Z$5001,"&lt;&gt;"))))</f>
        <v/>
      </c>
      <c r="R179" s="43" t="str">
        <f>IF(OR($B179="",$A179&gt;$B$9,R$175=""),"",IF(COUNTIFS(BD!$B$3:$B$5001,R$175,BD!$A$3:$A$5001,"&gt;="&amp;$C$7,BD!$A$3:$A$5001,"&lt;="&amp;$B179,BD!$Z$3:$Z$5001,"&lt;&gt;")=0,"",SUMIFS(BD!$Z$3:$Z$5001,BD!$B$3:$B$5001,R$175,BD!$A$3:$A$5001,_xlfn.MAXIFS(BD!$A$3:$A$5001,BD!$B$3:$B$5001,R$175,BD!$A$3:$A$5001,"&gt;="&amp;$C$7,BD!$A$3:$A$5001,"&lt;="&amp;$B179,BD!$Z$3:$Z$5001,"&lt;&gt;"))))</f>
        <v/>
      </c>
      <c r="S179" s="43" t="str">
        <f>IF(OR($B179="",$A179&gt;$B$9,S$175=""),"",IF(COUNTIFS(BD!$B$3:$B$5001,S$175,BD!$A$3:$A$5001,"&gt;="&amp;$C$7,BD!$A$3:$A$5001,"&lt;="&amp;$B179,BD!$Z$3:$Z$5001,"&lt;&gt;")=0,"",SUMIFS(BD!$Z$3:$Z$5001,BD!$B$3:$B$5001,S$175,BD!$A$3:$A$5001,_xlfn.MAXIFS(BD!$A$3:$A$5001,BD!$B$3:$B$5001,S$175,BD!$A$3:$A$5001,"&gt;="&amp;$C$7,BD!$A$3:$A$5001,"&lt;="&amp;$B179,BD!$Z$3:$Z$5001,"&lt;&gt;"))))</f>
        <v/>
      </c>
      <c r="T179" s="43" t="str">
        <f>IF(OR($B179="",$A179&gt;$B$9,T$175=""),"",IF(COUNTIFS(BD!$B$3:$B$5001,T$175,BD!$A$3:$A$5001,"&gt;="&amp;$C$7,BD!$A$3:$A$5001,"&lt;="&amp;$B179,BD!$Z$3:$Z$5001,"&lt;&gt;")=0,"",SUMIFS(BD!$Z$3:$Z$5001,BD!$B$3:$B$5001,T$175,BD!$A$3:$A$5001,_xlfn.MAXIFS(BD!$A$3:$A$5001,BD!$B$3:$B$5001,T$175,BD!$A$3:$A$5001,"&gt;="&amp;$C$7,BD!$A$3:$A$5001,"&lt;="&amp;$B179,BD!$Z$3:$Z$5001,"&lt;&gt;"))))</f>
        <v/>
      </c>
      <c r="U179" s="43" t="str">
        <f>IF(OR($B179="",$A179&gt;$B$9,U$175=""),"",IF(COUNTIFS(BD!$B$3:$B$5001,U$175,BD!$A$3:$A$5001,"&gt;="&amp;$C$7,BD!$A$3:$A$5001,"&lt;="&amp;$B179,BD!$Z$3:$Z$5001,"&lt;&gt;")=0,"",SUMIFS(BD!$Z$3:$Z$5001,BD!$B$3:$B$5001,U$175,BD!$A$3:$A$5001,_xlfn.MAXIFS(BD!$A$3:$A$5001,BD!$B$3:$B$5001,U$175,BD!$A$3:$A$5001,"&gt;="&amp;$C$7,BD!$A$3:$A$5001,"&lt;="&amp;$B179,BD!$Z$3:$Z$5001,"&lt;&gt;"))))</f>
        <v/>
      </c>
      <c r="V179" s="43" t="str">
        <f>IF(OR($B179="",$A179&gt;$B$9,V$175=""),"",IF(COUNTIFS(BD!$B$3:$B$5001,V$175,BD!$A$3:$A$5001,"&gt;="&amp;$C$7,BD!$A$3:$A$5001,"&lt;="&amp;$B179,BD!$Z$3:$Z$5001,"&lt;&gt;")=0,"",SUMIFS(BD!$Z$3:$Z$5001,BD!$B$3:$B$5001,V$175,BD!$A$3:$A$5001,_xlfn.MAXIFS(BD!$A$3:$A$5001,BD!$B$3:$B$5001,V$175,BD!$A$3:$A$5001,"&gt;="&amp;$C$7,BD!$A$3:$A$5001,"&lt;="&amp;$B179,BD!$Z$3:$Z$5001,"&lt;&gt;"))))</f>
        <v/>
      </c>
    </row>
    <row r="180">
      <c r="A180" s="38">
        <v>5</v>
      </c>
      <c r="B180" s="42">
        <f>$B$16</f>
        <v>46300</v>
      </c>
      <c r="C180" s="43" t="str">
        <f>IF(OR($B180="",$A180&gt;$B$9,C$175=""),"",IF(COUNTIFS(BD!$B$3:$B$5001,C$175,BD!$A$3:$A$5001,"&gt;="&amp;$C$7,BD!$A$3:$A$5001,"&lt;="&amp;$B180,BD!$Z$3:$Z$5001,"&lt;&gt;")=0,"",SUMIFS(BD!$Z$3:$Z$5001,BD!$B$3:$B$5001,C$175,BD!$A$3:$A$5001,_xlfn.MAXIFS(BD!$A$3:$A$5001,BD!$B$3:$B$5001,C$175,BD!$A$3:$A$5001,"&gt;="&amp;$C$7,BD!$A$3:$A$5001,"&lt;="&amp;$B180,BD!$Z$3:$Z$5001,"&lt;&gt;"))))</f>
        <v/>
      </c>
      <c r="D180" s="43" t="str">
        <f>IF(OR($B180="",$A180&gt;$B$9,D$175=""),"",IF(COUNTIFS(BD!$B$3:$B$5001,D$175,BD!$A$3:$A$5001,"&gt;="&amp;$C$7,BD!$A$3:$A$5001,"&lt;="&amp;$B180,BD!$Z$3:$Z$5001,"&lt;&gt;")=0,"",SUMIFS(BD!$Z$3:$Z$5001,BD!$B$3:$B$5001,D$175,BD!$A$3:$A$5001,_xlfn.MAXIFS(BD!$A$3:$A$5001,BD!$B$3:$B$5001,D$175,BD!$A$3:$A$5001,"&gt;="&amp;$C$7,BD!$A$3:$A$5001,"&lt;="&amp;$B180,BD!$Z$3:$Z$5001,"&lt;&gt;"))))</f>
        <v/>
      </c>
      <c r="E180" s="43" t="str">
        <f>IF(OR($B180="",$A180&gt;$B$9,E$175=""),"",IF(COUNTIFS(BD!$B$3:$B$5001,E$175,BD!$A$3:$A$5001,"&gt;="&amp;$C$7,BD!$A$3:$A$5001,"&lt;="&amp;$B180,BD!$Z$3:$Z$5001,"&lt;&gt;")=0,"",SUMIFS(BD!$Z$3:$Z$5001,BD!$B$3:$B$5001,E$175,BD!$A$3:$A$5001,_xlfn.MAXIFS(BD!$A$3:$A$5001,BD!$B$3:$B$5001,E$175,BD!$A$3:$A$5001,"&gt;="&amp;$C$7,BD!$A$3:$A$5001,"&lt;="&amp;$B180,BD!$Z$3:$Z$5001,"&lt;&gt;"))))</f>
        <v/>
      </c>
      <c r="F180" s="43" t="str">
        <f>IF(OR($B180="",$A180&gt;$B$9,F$175=""),"",IF(COUNTIFS(BD!$B$3:$B$5001,F$175,BD!$A$3:$A$5001,"&gt;="&amp;$C$7,BD!$A$3:$A$5001,"&lt;="&amp;$B180,BD!$Z$3:$Z$5001,"&lt;&gt;")=0,"",SUMIFS(BD!$Z$3:$Z$5001,BD!$B$3:$B$5001,F$175,BD!$A$3:$A$5001,_xlfn.MAXIFS(BD!$A$3:$A$5001,BD!$B$3:$B$5001,F$175,BD!$A$3:$A$5001,"&gt;="&amp;$C$7,BD!$A$3:$A$5001,"&lt;="&amp;$B180,BD!$Z$3:$Z$5001,"&lt;&gt;"))))</f>
        <v/>
      </c>
      <c r="G180" s="43" t="str">
        <f>IF(OR($B180="",$A180&gt;$B$9,G$175=""),"",IF(COUNTIFS(BD!$B$3:$B$5001,G$175,BD!$A$3:$A$5001,"&gt;="&amp;$C$7,BD!$A$3:$A$5001,"&lt;="&amp;$B180,BD!$Z$3:$Z$5001,"&lt;&gt;")=0,"",SUMIFS(BD!$Z$3:$Z$5001,BD!$B$3:$B$5001,G$175,BD!$A$3:$A$5001,_xlfn.MAXIFS(BD!$A$3:$A$5001,BD!$B$3:$B$5001,G$175,BD!$A$3:$A$5001,"&gt;="&amp;$C$7,BD!$A$3:$A$5001,"&lt;="&amp;$B180,BD!$Z$3:$Z$5001,"&lt;&gt;"))))</f>
        <v/>
      </c>
      <c r="H180" s="43" t="str">
        <f>IF(OR($B180="",$A180&gt;$B$9,H$175=""),"",IF(COUNTIFS(BD!$B$3:$B$5001,H$175,BD!$A$3:$A$5001,"&gt;="&amp;$C$7,BD!$A$3:$A$5001,"&lt;="&amp;$B180,BD!$Z$3:$Z$5001,"&lt;&gt;")=0,"",SUMIFS(BD!$Z$3:$Z$5001,BD!$B$3:$B$5001,H$175,BD!$A$3:$A$5001,_xlfn.MAXIFS(BD!$A$3:$A$5001,BD!$B$3:$B$5001,H$175,BD!$A$3:$A$5001,"&gt;="&amp;$C$7,BD!$A$3:$A$5001,"&lt;="&amp;$B180,BD!$Z$3:$Z$5001,"&lt;&gt;"))))</f>
        <v/>
      </c>
      <c r="I180" s="43" t="str">
        <f>IF(OR($B180="",$A180&gt;$B$9,I$175=""),"",IF(COUNTIFS(BD!$B$3:$B$5001,I$175,BD!$A$3:$A$5001,"&gt;="&amp;$C$7,BD!$A$3:$A$5001,"&lt;="&amp;$B180,BD!$Z$3:$Z$5001,"&lt;&gt;")=0,"",SUMIFS(BD!$Z$3:$Z$5001,BD!$B$3:$B$5001,I$175,BD!$A$3:$A$5001,_xlfn.MAXIFS(BD!$A$3:$A$5001,BD!$B$3:$B$5001,I$175,BD!$A$3:$A$5001,"&gt;="&amp;$C$7,BD!$A$3:$A$5001,"&lt;="&amp;$B180,BD!$Z$3:$Z$5001,"&lt;&gt;"))))</f>
        <v/>
      </c>
      <c r="J180" s="43" t="str">
        <f>IF(OR($B180="",$A180&gt;$B$9,J$175=""),"",IF(COUNTIFS(BD!$B$3:$B$5001,J$175,BD!$A$3:$A$5001,"&gt;="&amp;$C$7,BD!$A$3:$A$5001,"&lt;="&amp;$B180,BD!$Z$3:$Z$5001,"&lt;&gt;")=0,"",SUMIFS(BD!$Z$3:$Z$5001,BD!$B$3:$B$5001,J$175,BD!$A$3:$A$5001,_xlfn.MAXIFS(BD!$A$3:$A$5001,BD!$B$3:$B$5001,J$175,BD!$A$3:$A$5001,"&gt;="&amp;$C$7,BD!$A$3:$A$5001,"&lt;="&amp;$B180,BD!$Z$3:$Z$5001,"&lt;&gt;"))))</f>
        <v/>
      </c>
      <c r="K180" s="43" t="str">
        <f>IF(OR($B180="",$A180&gt;$B$9,K$175=""),"",IF(COUNTIFS(BD!$B$3:$B$5001,K$175,BD!$A$3:$A$5001,"&gt;="&amp;$C$7,BD!$A$3:$A$5001,"&lt;="&amp;$B180,BD!$Z$3:$Z$5001,"&lt;&gt;")=0,"",SUMIFS(BD!$Z$3:$Z$5001,BD!$B$3:$B$5001,K$175,BD!$A$3:$A$5001,_xlfn.MAXIFS(BD!$A$3:$A$5001,BD!$B$3:$B$5001,K$175,BD!$A$3:$A$5001,"&gt;="&amp;$C$7,BD!$A$3:$A$5001,"&lt;="&amp;$B180,BD!$Z$3:$Z$5001,"&lt;&gt;"))))</f>
        <v/>
      </c>
      <c r="L180" s="43" t="str">
        <f>IF(OR($B180="",$A180&gt;$B$9,L$175=""),"",IF(COUNTIFS(BD!$B$3:$B$5001,L$175,BD!$A$3:$A$5001,"&gt;="&amp;$C$7,BD!$A$3:$A$5001,"&lt;="&amp;$B180,BD!$Z$3:$Z$5001,"&lt;&gt;")=0,"",SUMIFS(BD!$Z$3:$Z$5001,BD!$B$3:$B$5001,L$175,BD!$A$3:$A$5001,_xlfn.MAXIFS(BD!$A$3:$A$5001,BD!$B$3:$B$5001,L$175,BD!$A$3:$A$5001,"&gt;="&amp;$C$7,BD!$A$3:$A$5001,"&lt;="&amp;$B180,BD!$Z$3:$Z$5001,"&lt;&gt;"))))</f>
        <v/>
      </c>
      <c r="M180" s="43" t="str">
        <f>IF(OR($B180="",$A180&gt;$B$9,M$175=""),"",IF(COUNTIFS(BD!$B$3:$B$5001,M$175,BD!$A$3:$A$5001,"&gt;="&amp;$C$7,BD!$A$3:$A$5001,"&lt;="&amp;$B180,BD!$Z$3:$Z$5001,"&lt;&gt;")=0,"",SUMIFS(BD!$Z$3:$Z$5001,BD!$B$3:$B$5001,M$175,BD!$A$3:$A$5001,_xlfn.MAXIFS(BD!$A$3:$A$5001,BD!$B$3:$B$5001,M$175,BD!$A$3:$A$5001,"&gt;="&amp;$C$7,BD!$A$3:$A$5001,"&lt;="&amp;$B180,BD!$Z$3:$Z$5001,"&lt;&gt;"))))</f>
        <v/>
      </c>
      <c r="N180" s="43" t="str">
        <f>IF(OR($B180="",$A180&gt;$B$9,N$175=""),"",IF(COUNTIFS(BD!$B$3:$B$5001,N$175,BD!$A$3:$A$5001,"&gt;="&amp;$C$7,BD!$A$3:$A$5001,"&lt;="&amp;$B180,BD!$Z$3:$Z$5001,"&lt;&gt;")=0,"",SUMIFS(BD!$Z$3:$Z$5001,BD!$B$3:$B$5001,N$175,BD!$A$3:$A$5001,_xlfn.MAXIFS(BD!$A$3:$A$5001,BD!$B$3:$B$5001,N$175,BD!$A$3:$A$5001,"&gt;="&amp;$C$7,BD!$A$3:$A$5001,"&lt;="&amp;$B180,BD!$Z$3:$Z$5001,"&lt;&gt;"))))</f>
        <v/>
      </c>
      <c r="O180" s="43" t="str">
        <f>IF(OR($B180="",$A180&gt;$B$9,O$175=""),"",IF(COUNTIFS(BD!$B$3:$B$5001,O$175,BD!$A$3:$A$5001,"&gt;="&amp;$C$7,BD!$A$3:$A$5001,"&lt;="&amp;$B180,BD!$Z$3:$Z$5001,"&lt;&gt;")=0,"",SUMIFS(BD!$Z$3:$Z$5001,BD!$B$3:$B$5001,O$175,BD!$A$3:$A$5001,_xlfn.MAXIFS(BD!$A$3:$A$5001,BD!$B$3:$B$5001,O$175,BD!$A$3:$A$5001,"&gt;="&amp;$C$7,BD!$A$3:$A$5001,"&lt;="&amp;$B180,BD!$Z$3:$Z$5001,"&lt;&gt;"))))</f>
        <v/>
      </c>
      <c r="P180" s="43" t="str">
        <f>IF(OR($B180="",$A180&gt;$B$9,P$175=""),"",IF(COUNTIFS(BD!$B$3:$B$5001,P$175,BD!$A$3:$A$5001,"&gt;="&amp;$C$7,BD!$A$3:$A$5001,"&lt;="&amp;$B180,BD!$Z$3:$Z$5001,"&lt;&gt;")=0,"",SUMIFS(BD!$Z$3:$Z$5001,BD!$B$3:$B$5001,P$175,BD!$A$3:$A$5001,_xlfn.MAXIFS(BD!$A$3:$A$5001,BD!$B$3:$B$5001,P$175,BD!$A$3:$A$5001,"&gt;="&amp;$C$7,BD!$A$3:$A$5001,"&lt;="&amp;$B180,BD!$Z$3:$Z$5001,"&lt;&gt;"))))</f>
        <v/>
      </c>
      <c r="Q180" s="43" t="str">
        <f>IF(OR($B180="",$A180&gt;$B$9,Q$175=""),"",IF(COUNTIFS(BD!$B$3:$B$5001,Q$175,BD!$A$3:$A$5001,"&gt;="&amp;$C$7,BD!$A$3:$A$5001,"&lt;="&amp;$B180,BD!$Z$3:$Z$5001,"&lt;&gt;")=0,"",SUMIFS(BD!$Z$3:$Z$5001,BD!$B$3:$B$5001,Q$175,BD!$A$3:$A$5001,_xlfn.MAXIFS(BD!$A$3:$A$5001,BD!$B$3:$B$5001,Q$175,BD!$A$3:$A$5001,"&gt;="&amp;$C$7,BD!$A$3:$A$5001,"&lt;="&amp;$B180,BD!$Z$3:$Z$5001,"&lt;&gt;"))))</f>
        <v/>
      </c>
      <c r="R180" s="43" t="str">
        <f>IF(OR($B180="",$A180&gt;$B$9,R$175=""),"",IF(COUNTIFS(BD!$B$3:$B$5001,R$175,BD!$A$3:$A$5001,"&gt;="&amp;$C$7,BD!$A$3:$A$5001,"&lt;="&amp;$B180,BD!$Z$3:$Z$5001,"&lt;&gt;")=0,"",SUMIFS(BD!$Z$3:$Z$5001,BD!$B$3:$B$5001,R$175,BD!$A$3:$A$5001,_xlfn.MAXIFS(BD!$A$3:$A$5001,BD!$B$3:$B$5001,R$175,BD!$A$3:$A$5001,"&gt;="&amp;$C$7,BD!$A$3:$A$5001,"&lt;="&amp;$B180,BD!$Z$3:$Z$5001,"&lt;&gt;"))))</f>
        <v/>
      </c>
      <c r="S180" s="43" t="str">
        <f>IF(OR($B180="",$A180&gt;$B$9,S$175=""),"",IF(COUNTIFS(BD!$B$3:$B$5001,S$175,BD!$A$3:$A$5001,"&gt;="&amp;$C$7,BD!$A$3:$A$5001,"&lt;="&amp;$B180,BD!$Z$3:$Z$5001,"&lt;&gt;")=0,"",SUMIFS(BD!$Z$3:$Z$5001,BD!$B$3:$B$5001,S$175,BD!$A$3:$A$5001,_xlfn.MAXIFS(BD!$A$3:$A$5001,BD!$B$3:$B$5001,S$175,BD!$A$3:$A$5001,"&gt;="&amp;$C$7,BD!$A$3:$A$5001,"&lt;="&amp;$B180,BD!$Z$3:$Z$5001,"&lt;&gt;"))))</f>
        <v/>
      </c>
      <c r="T180" s="43" t="str">
        <f>IF(OR($B180="",$A180&gt;$B$9,T$175=""),"",IF(COUNTIFS(BD!$B$3:$B$5001,T$175,BD!$A$3:$A$5001,"&gt;="&amp;$C$7,BD!$A$3:$A$5001,"&lt;="&amp;$B180,BD!$Z$3:$Z$5001,"&lt;&gt;")=0,"",SUMIFS(BD!$Z$3:$Z$5001,BD!$B$3:$B$5001,T$175,BD!$A$3:$A$5001,_xlfn.MAXIFS(BD!$A$3:$A$5001,BD!$B$3:$B$5001,T$175,BD!$A$3:$A$5001,"&gt;="&amp;$C$7,BD!$A$3:$A$5001,"&lt;="&amp;$B180,BD!$Z$3:$Z$5001,"&lt;&gt;"))))</f>
        <v/>
      </c>
      <c r="U180" s="43" t="str">
        <f>IF(OR($B180="",$A180&gt;$B$9,U$175=""),"",IF(COUNTIFS(BD!$B$3:$B$5001,U$175,BD!$A$3:$A$5001,"&gt;="&amp;$C$7,BD!$A$3:$A$5001,"&lt;="&amp;$B180,BD!$Z$3:$Z$5001,"&lt;&gt;")=0,"",SUMIFS(BD!$Z$3:$Z$5001,BD!$B$3:$B$5001,U$175,BD!$A$3:$A$5001,_xlfn.MAXIFS(BD!$A$3:$A$5001,BD!$B$3:$B$5001,U$175,BD!$A$3:$A$5001,"&gt;="&amp;$C$7,BD!$A$3:$A$5001,"&lt;="&amp;$B180,BD!$Z$3:$Z$5001,"&lt;&gt;"))))</f>
        <v/>
      </c>
      <c r="V180" s="43" t="str">
        <f>IF(OR($B180="",$A180&gt;$B$9,V$175=""),"",IF(COUNTIFS(BD!$B$3:$B$5001,V$175,BD!$A$3:$A$5001,"&gt;="&amp;$C$7,BD!$A$3:$A$5001,"&lt;="&amp;$B180,BD!$Z$3:$Z$5001,"&lt;&gt;")=0,"",SUMIFS(BD!$Z$3:$Z$5001,BD!$B$3:$B$5001,V$175,BD!$A$3:$A$5001,_xlfn.MAXIFS(BD!$A$3:$A$5001,BD!$B$3:$B$5001,V$175,BD!$A$3:$A$5001,"&gt;="&amp;$C$7,BD!$A$3:$A$5001,"&lt;="&amp;$B180,BD!$Z$3:$Z$5001,"&lt;&gt;"))))</f>
        <v/>
      </c>
    </row>
    <row r="181">
      <c r="A181" s="38">
        <v>6</v>
      </c>
      <c r="B181" s="42">
        <f>$B$17</f>
        <v>46301</v>
      </c>
      <c r="C181" s="43" t="str">
        <f>IF(OR($B181="",$A181&gt;$B$9,C$175=""),"",IF(COUNTIFS(BD!$B$3:$B$5001,C$175,BD!$A$3:$A$5001,"&gt;="&amp;$C$7,BD!$A$3:$A$5001,"&lt;="&amp;$B181,BD!$Z$3:$Z$5001,"&lt;&gt;")=0,"",SUMIFS(BD!$Z$3:$Z$5001,BD!$B$3:$B$5001,C$175,BD!$A$3:$A$5001,_xlfn.MAXIFS(BD!$A$3:$A$5001,BD!$B$3:$B$5001,C$175,BD!$A$3:$A$5001,"&gt;="&amp;$C$7,BD!$A$3:$A$5001,"&lt;="&amp;$B181,BD!$Z$3:$Z$5001,"&lt;&gt;"))))</f>
        <v/>
      </c>
      <c r="D181" s="43" t="str">
        <f>IF(OR($B181="",$A181&gt;$B$9,D$175=""),"",IF(COUNTIFS(BD!$B$3:$B$5001,D$175,BD!$A$3:$A$5001,"&gt;="&amp;$C$7,BD!$A$3:$A$5001,"&lt;="&amp;$B181,BD!$Z$3:$Z$5001,"&lt;&gt;")=0,"",SUMIFS(BD!$Z$3:$Z$5001,BD!$B$3:$B$5001,D$175,BD!$A$3:$A$5001,_xlfn.MAXIFS(BD!$A$3:$A$5001,BD!$B$3:$B$5001,D$175,BD!$A$3:$A$5001,"&gt;="&amp;$C$7,BD!$A$3:$A$5001,"&lt;="&amp;$B181,BD!$Z$3:$Z$5001,"&lt;&gt;"))))</f>
        <v/>
      </c>
      <c r="E181" s="43" t="str">
        <f>IF(OR($B181="",$A181&gt;$B$9,E$175=""),"",IF(COUNTIFS(BD!$B$3:$B$5001,E$175,BD!$A$3:$A$5001,"&gt;="&amp;$C$7,BD!$A$3:$A$5001,"&lt;="&amp;$B181,BD!$Z$3:$Z$5001,"&lt;&gt;")=0,"",SUMIFS(BD!$Z$3:$Z$5001,BD!$B$3:$B$5001,E$175,BD!$A$3:$A$5001,_xlfn.MAXIFS(BD!$A$3:$A$5001,BD!$B$3:$B$5001,E$175,BD!$A$3:$A$5001,"&gt;="&amp;$C$7,BD!$A$3:$A$5001,"&lt;="&amp;$B181,BD!$Z$3:$Z$5001,"&lt;&gt;"))))</f>
        <v/>
      </c>
      <c r="F181" s="43" t="str">
        <f>IF(OR($B181="",$A181&gt;$B$9,F$175=""),"",IF(COUNTIFS(BD!$B$3:$B$5001,F$175,BD!$A$3:$A$5001,"&gt;="&amp;$C$7,BD!$A$3:$A$5001,"&lt;="&amp;$B181,BD!$Z$3:$Z$5001,"&lt;&gt;")=0,"",SUMIFS(BD!$Z$3:$Z$5001,BD!$B$3:$B$5001,F$175,BD!$A$3:$A$5001,_xlfn.MAXIFS(BD!$A$3:$A$5001,BD!$B$3:$B$5001,F$175,BD!$A$3:$A$5001,"&gt;="&amp;$C$7,BD!$A$3:$A$5001,"&lt;="&amp;$B181,BD!$Z$3:$Z$5001,"&lt;&gt;"))))</f>
        <v/>
      </c>
      <c r="G181" s="43" t="str">
        <f>IF(OR($B181="",$A181&gt;$B$9,G$175=""),"",IF(COUNTIFS(BD!$B$3:$B$5001,G$175,BD!$A$3:$A$5001,"&gt;="&amp;$C$7,BD!$A$3:$A$5001,"&lt;="&amp;$B181,BD!$Z$3:$Z$5001,"&lt;&gt;")=0,"",SUMIFS(BD!$Z$3:$Z$5001,BD!$B$3:$B$5001,G$175,BD!$A$3:$A$5001,_xlfn.MAXIFS(BD!$A$3:$A$5001,BD!$B$3:$B$5001,G$175,BD!$A$3:$A$5001,"&gt;="&amp;$C$7,BD!$A$3:$A$5001,"&lt;="&amp;$B181,BD!$Z$3:$Z$5001,"&lt;&gt;"))))</f>
        <v/>
      </c>
      <c r="H181" s="43" t="str">
        <f>IF(OR($B181="",$A181&gt;$B$9,H$175=""),"",IF(COUNTIFS(BD!$B$3:$B$5001,H$175,BD!$A$3:$A$5001,"&gt;="&amp;$C$7,BD!$A$3:$A$5001,"&lt;="&amp;$B181,BD!$Z$3:$Z$5001,"&lt;&gt;")=0,"",SUMIFS(BD!$Z$3:$Z$5001,BD!$B$3:$B$5001,H$175,BD!$A$3:$A$5001,_xlfn.MAXIFS(BD!$A$3:$A$5001,BD!$B$3:$B$5001,H$175,BD!$A$3:$A$5001,"&gt;="&amp;$C$7,BD!$A$3:$A$5001,"&lt;="&amp;$B181,BD!$Z$3:$Z$5001,"&lt;&gt;"))))</f>
        <v/>
      </c>
      <c r="I181" s="43" t="str">
        <f>IF(OR($B181="",$A181&gt;$B$9,I$175=""),"",IF(COUNTIFS(BD!$B$3:$B$5001,I$175,BD!$A$3:$A$5001,"&gt;="&amp;$C$7,BD!$A$3:$A$5001,"&lt;="&amp;$B181,BD!$Z$3:$Z$5001,"&lt;&gt;")=0,"",SUMIFS(BD!$Z$3:$Z$5001,BD!$B$3:$B$5001,I$175,BD!$A$3:$A$5001,_xlfn.MAXIFS(BD!$A$3:$A$5001,BD!$B$3:$B$5001,I$175,BD!$A$3:$A$5001,"&gt;="&amp;$C$7,BD!$A$3:$A$5001,"&lt;="&amp;$B181,BD!$Z$3:$Z$5001,"&lt;&gt;"))))</f>
        <v/>
      </c>
      <c r="J181" s="43" t="str">
        <f>IF(OR($B181="",$A181&gt;$B$9,J$175=""),"",IF(COUNTIFS(BD!$B$3:$B$5001,J$175,BD!$A$3:$A$5001,"&gt;="&amp;$C$7,BD!$A$3:$A$5001,"&lt;="&amp;$B181,BD!$Z$3:$Z$5001,"&lt;&gt;")=0,"",SUMIFS(BD!$Z$3:$Z$5001,BD!$B$3:$B$5001,J$175,BD!$A$3:$A$5001,_xlfn.MAXIFS(BD!$A$3:$A$5001,BD!$B$3:$B$5001,J$175,BD!$A$3:$A$5001,"&gt;="&amp;$C$7,BD!$A$3:$A$5001,"&lt;="&amp;$B181,BD!$Z$3:$Z$5001,"&lt;&gt;"))))</f>
        <v/>
      </c>
      <c r="K181" s="43" t="str">
        <f>IF(OR($B181="",$A181&gt;$B$9,K$175=""),"",IF(COUNTIFS(BD!$B$3:$B$5001,K$175,BD!$A$3:$A$5001,"&gt;="&amp;$C$7,BD!$A$3:$A$5001,"&lt;="&amp;$B181,BD!$Z$3:$Z$5001,"&lt;&gt;")=0,"",SUMIFS(BD!$Z$3:$Z$5001,BD!$B$3:$B$5001,K$175,BD!$A$3:$A$5001,_xlfn.MAXIFS(BD!$A$3:$A$5001,BD!$B$3:$B$5001,K$175,BD!$A$3:$A$5001,"&gt;="&amp;$C$7,BD!$A$3:$A$5001,"&lt;="&amp;$B181,BD!$Z$3:$Z$5001,"&lt;&gt;"))))</f>
        <v/>
      </c>
      <c r="L181" s="43" t="str">
        <f>IF(OR($B181="",$A181&gt;$B$9,L$175=""),"",IF(COUNTIFS(BD!$B$3:$B$5001,L$175,BD!$A$3:$A$5001,"&gt;="&amp;$C$7,BD!$A$3:$A$5001,"&lt;="&amp;$B181,BD!$Z$3:$Z$5001,"&lt;&gt;")=0,"",SUMIFS(BD!$Z$3:$Z$5001,BD!$B$3:$B$5001,L$175,BD!$A$3:$A$5001,_xlfn.MAXIFS(BD!$A$3:$A$5001,BD!$B$3:$B$5001,L$175,BD!$A$3:$A$5001,"&gt;="&amp;$C$7,BD!$A$3:$A$5001,"&lt;="&amp;$B181,BD!$Z$3:$Z$5001,"&lt;&gt;"))))</f>
        <v/>
      </c>
      <c r="M181" s="43" t="str">
        <f>IF(OR($B181="",$A181&gt;$B$9,M$175=""),"",IF(COUNTIFS(BD!$B$3:$B$5001,M$175,BD!$A$3:$A$5001,"&gt;="&amp;$C$7,BD!$A$3:$A$5001,"&lt;="&amp;$B181,BD!$Z$3:$Z$5001,"&lt;&gt;")=0,"",SUMIFS(BD!$Z$3:$Z$5001,BD!$B$3:$B$5001,M$175,BD!$A$3:$A$5001,_xlfn.MAXIFS(BD!$A$3:$A$5001,BD!$B$3:$B$5001,M$175,BD!$A$3:$A$5001,"&gt;="&amp;$C$7,BD!$A$3:$A$5001,"&lt;="&amp;$B181,BD!$Z$3:$Z$5001,"&lt;&gt;"))))</f>
        <v/>
      </c>
      <c r="N181" s="43" t="str">
        <f>IF(OR($B181="",$A181&gt;$B$9,N$175=""),"",IF(COUNTIFS(BD!$B$3:$B$5001,N$175,BD!$A$3:$A$5001,"&gt;="&amp;$C$7,BD!$A$3:$A$5001,"&lt;="&amp;$B181,BD!$Z$3:$Z$5001,"&lt;&gt;")=0,"",SUMIFS(BD!$Z$3:$Z$5001,BD!$B$3:$B$5001,N$175,BD!$A$3:$A$5001,_xlfn.MAXIFS(BD!$A$3:$A$5001,BD!$B$3:$B$5001,N$175,BD!$A$3:$A$5001,"&gt;="&amp;$C$7,BD!$A$3:$A$5001,"&lt;="&amp;$B181,BD!$Z$3:$Z$5001,"&lt;&gt;"))))</f>
        <v/>
      </c>
      <c r="O181" s="43" t="str">
        <f>IF(OR($B181="",$A181&gt;$B$9,O$175=""),"",IF(COUNTIFS(BD!$B$3:$B$5001,O$175,BD!$A$3:$A$5001,"&gt;="&amp;$C$7,BD!$A$3:$A$5001,"&lt;="&amp;$B181,BD!$Z$3:$Z$5001,"&lt;&gt;")=0,"",SUMIFS(BD!$Z$3:$Z$5001,BD!$B$3:$B$5001,O$175,BD!$A$3:$A$5001,_xlfn.MAXIFS(BD!$A$3:$A$5001,BD!$B$3:$B$5001,O$175,BD!$A$3:$A$5001,"&gt;="&amp;$C$7,BD!$A$3:$A$5001,"&lt;="&amp;$B181,BD!$Z$3:$Z$5001,"&lt;&gt;"))))</f>
        <v/>
      </c>
      <c r="P181" s="43" t="str">
        <f>IF(OR($B181="",$A181&gt;$B$9,P$175=""),"",IF(COUNTIFS(BD!$B$3:$B$5001,P$175,BD!$A$3:$A$5001,"&gt;="&amp;$C$7,BD!$A$3:$A$5001,"&lt;="&amp;$B181,BD!$Z$3:$Z$5001,"&lt;&gt;")=0,"",SUMIFS(BD!$Z$3:$Z$5001,BD!$B$3:$B$5001,P$175,BD!$A$3:$A$5001,_xlfn.MAXIFS(BD!$A$3:$A$5001,BD!$B$3:$B$5001,P$175,BD!$A$3:$A$5001,"&gt;="&amp;$C$7,BD!$A$3:$A$5001,"&lt;="&amp;$B181,BD!$Z$3:$Z$5001,"&lt;&gt;"))))</f>
        <v/>
      </c>
      <c r="Q181" s="43" t="str">
        <f>IF(OR($B181="",$A181&gt;$B$9,Q$175=""),"",IF(COUNTIFS(BD!$B$3:$B$5001,Q$175,BD!$A$3:$A$5001,"&gt;="&amp;$C$7,BD!$A$3:$A$5001,"&lt;="&amp;$B181,BD!$Z$3:$Z$5001,"&lt;&gt;")=0,"",SUMIFS(BD!$Z$3:$Z$5001,BD!$B$3:$B$5001,Q$175,BD!$A$3:$A$5001,_xlfn.MAXIFS(BD!$A$3:$A$5001,BD!$B$3:$B$5001,Q$175,BD!$A$3:$A$5001,"&gt;="&amp;$C$7,BD!$A$3:$A$5001,"&lt;="&amp;$B181,BD!$Z$3:$Z$5001,"&lt;&gt;"))))</f>
        <v/>
      </c>
      <c r="R181" s="43" t="str">
        <f>IF(OR($B181="",$A181&gt;$B$9,R$175=""),"",IF(COUNTIFS(BD!$B$3:$B$5001,R$175,BD!$A$3:$A$5001,"&gt;="&amp;$C$7,BD!$A$3:$A$5001,"&lt;="&amp;$B181,BD!$Z$3:$Z$5001,"&lt;&gt;")=0,"",SUMIFS(BD!$Z$3:$Z$5001,BD!$B$3:$B$5001,R$175,BD!$A$3:$A$5001,_xlfn.MAXIFS(BD!$A$3:$A$5001,BD!$B$3:$B$5001,R$175,BD!$A$3:$A$5001,"&gt;="&amp;$C$7,BD!$A$3:$A$5001,"&lt;="&amp;$B181,BD!$Z$3:$Z$5001,"&lt;&gt;"))))</f>
        <v/>
      </c>
      <c r="S181" s="43" t="str">
        <f>IF(OR($B181="",$A181&gt;$B$9,S$175=""),"",IF(COUNTIFS(BD!$B$3:$B$5001,S$175,BD!$A$3:$A$5001,"&gt;="&amp;$C$7,BD!$A$3:$A$5001,"&lt;="&amp;$B181,BD!$Z$3:$Z$5001,"&lt;&gt;")=0,"",SUMIFS(BD!$Z$3:$Z$5001,BD!$B$3:$B$5001,S$175,BD!$A$3:$A$5001,_xlfn.MAXIFS(BD!$A$3:$A$5001,BD!$B$3:$B$5001,S$175,BD!$A$3:$A$5001,"&gt;="&amp;$C$7,BD!$A$3:$A$5001,"&lt;="&amp;$B181,BD!$Z$3:$Z$5001,"&lt;&gt;"))))</f>
        <v/>
      </c>
      <c r="T181" s="43" t="str">
        <f>IF(OR($B181="",$A181&gt;$B$9,T$175=""),"",IF(COUNTIFS(BD!$B$3:$B$5001,T$175,BD!$A$3:$A$5001,"&gt;="&amp;$C$7,BD!$A$3:$A$5001,"&lt;="&amp;$B181,BD!$Z$3:$Z$5001,"&lt;&gt;")=0,"",SUMIFS(BD!$Z$3:$Z$5001,BD!$B$3:$B$5001,T$175,BD!$A$3:$A$5001,_xlfn.MAXIFS(BD!$A$3:$A$5001,BD!$B$3:$B$5001,T$175,BD!$A$3:$A$5001,"&gt;="&amp;$C$7,BD!$A$3:$A$5001,"&lt;="&amp;$B181,BD!$Z$3:$Z$5001,"&lt;&gt;"))))</f>
        <v/>
      </c>
      <c r="U181" s="43" t="str">
        <f>IF(OR($B181="",$A181&gt;$B$9,U$175=""),"",IF(COUNTIFS(BD!$B$3:$B$5001,U$175,BD!$A$3:$A$5001,"&gt;="&amp;$C$7,BD!$A$3:$A$5001,"&lt;="&amp;$B181,BD!$Z$3:$Z$5001,"&lt;&gt;")=0,"",SUMIFS(BD!$Z$3:$Z$5001,BD!$B$3:$B$5001,U$175,BD!$A$3:$A$5001,_xlfn.MAXIFS(BD!$A$3:$A$5001,BD!$B$3:$B$5001,U$175,BD!$A$3:$A$5001,"&gt;="&amp;$C$7,BD!$A$3:$A$5001,"&lt;="&amp;$B181,BD!$Z$3:$Z$5001,"&lt;&gt;"))))</f>
        <v/>
      </c>
      <c r="V181" s="43" t="str">
        <f>IF(OR($B181="",$A181&gt;$B$9,V$175=""),"",IF(COUNTIFS(BD!$B$3:$B$5001,V$175,BD!$A$3:$A$5001,"&gt;="&amp;$C$7,BD!$A$3:$A$5001,"&lt;="&amp;$B181,BD!$Z$3:$Z$5001,"&lt;&gt;")=0,"",SUMIFS(BD!$Z$3:$Z$5001,BD!$B$3:$B$5001,V$175,BD!$A$3:$A$5001,_xlfn.MAXIFS(BD!$A$3:$A$5001,BD!$B$3:$B$5001,V$175,BD!$A$3:$A$5001,"&gt;="&amp;$C$7,BD!$A$3:$A$5001,"&lt;="&amp;$B181,BD!$Z$3:$Z$5001,"&lt;&gt;"))))</f>
        <v/>
      </c>
    </row>
    <row r="182">
      <c r="A182" s="38">
        <v>7</v>
      </c>
      <c r="B182" s="42">
        <f>$B$18</f>
        <v>46302</v>
      </c>
      <c r="C182" s="43" t="str">
        <f>IF(OR($B182="",$A182&gt;$B$9,C$175=""),"",IF(COUNTIFS(BD!$B$3:$B$5001,C$175,BD!$A$3:$A$5001,"&gt;="&amp;$C$7,BD!$A$3:$A$5001,"&lt;="&amp;$B182,BD!$Z$3:$Z$5001,"&lt;&gt;")=0,"",SUMIFS(BD!$Z$3:$Z$5001,BD!$B$3:$B$5001,C$175,BD!$A$3:$A$5001,_xlfn.MAXIFS(BD!$A$3:$A$5001,BD!$B$3:$B$5001,C$175,BD!$A$3:$A$5001,"&gt;="&amp;$C$7,BD!$A$3:$A$5001,"&lt;="&amp;$B182,BD!$Z$3:$Z$5001,"&lt;&gt;"))))</f>
        <v/>
      </c>
      <c r="D182" s="43" t="str">
        <f>IF(OR($B182="",$A182&gt;$B$9,D$175=""),"",IF(COUNTIFS(BD!$B$3:$B$5001,D$175,BD!$A$3:$A$5001,"&gt;="&amp;$C$7,BD!$A$3:$A$5001,"&lt;="&amp;$B182,BD!$Z$3:$Z$5001,"&lt;&gt;")=0,"",SUMIFS(BD!$Z$3:$Z$5001,BD!$B$3:$B$5001,D$175,BD!$A$3:$A$5001,_xlfn.MAXIFS(BD!$A$3:$A$5001,BD!$B$3:$B$5001,D$175,BD!$A$3:$A$5001,"&gt;="&amp;$C$7,BD!$A$3:$A$5001,"&lt;="&amp;$B182,BD!$Z$3:$Z$5001,"&lt;&gt;"))))</f>
        <v/>
      </c>
      <c r="E182" s="43" t="str">
        <f>IF(OR($B182="",$A182&gt;$B$9,E$175=""),"",IF(COUNTIFS(BD!$B$3:$B$5001,E$175,BD!$A$3:$A$5001,"&gt;="&amp;$C$7,BD!$A$3:$A$5001,"&lt;="&amp;$B182,BD!$Z$3:$Z$5001,"&lt;&gt;")=0,"",SUMIFS(BD!$Z$3:$Z$5001,BD!$B$3:$B$5001,E$175,BD!$A$3:$A$5001,_xlfn.MAXIFS(BD!$A$3:$A$5001,BD!$B$3:$B$5001,E$175,BD!$A$3:$A$5001,"&gt;="&amp;$C$7,BD!$A$3:$A$5001,"&lt;="&amp;$B182,BD!$Z$3:$Z$5001,"&lt;&gt;"))))</f>
        <v/>
      </c>
      <c r="F182" s="43" t="str">
        <f>IF(OR($B182="",$A182&gt;$B$9,F$175=""),"",IF(COUNTIFS(BD!$B$3:$B$5001,F$175,BD!$A$3:$A$5001,"&gt;="&amp;$C$7,BD!$A$3:$A$5001,"&lt;="&amp;$B182,BD!$Z$3:$Z$5001,"&lt;&gt;")=0,"",SUMIFS(BD!$Z$3:$Z$5001,BD!$B$3:$B$5001,F$175,BD!$A$3:$A$5001,_xlfn.MAXIFS(BD!$A$3:$A$5001,BD!$B$3:$B$5001,F$175,BD!$A$3:$A$5001,"&gt;="&amp;$C$7,BD!$A$3:$A$5001,"&lt;="&amp;$B182,BD!$Z$3:$Z$5001,"&lt;&gt;"))))</f>
        <v/>
      </c>
      <c r="G182" s="43" t="str">
        <f>IF(OR($B182="",$A182&gt;$B$9,G$175=""),"",IF(COUNTIFS(BD!$B$3:$B$5001,G$175,BD!$A$3:$A$5001,"&gt;="&amp;$C$7,BD!$A$3:$A$5001,"&lt;="&amp;$B182,BD!$Z$3:$Z$5001,"&lt;&gt;")=0,"",SUMIFS(BD!$Z$3:$Z$5001,BD!$B$3:$B$5001,G$175,BD!$A$3:$A$5001,_xlfn.MAXIFS(BD!$A$3:$A$5001,BD!$B$3:$B$5001,G$175,BD!$A$3:$A$5001,"&gt;="&amp;$C$7,BD!$A$3:$A$5001,"&lt;="&amp;$B182,BD!$Z$3:$Z$5001,"&lt;&gt;"))))</f>
        <v/>
      </c>
      <c r="H182" s="43" t="str">
        <f>IF(OR($B182="",$A182&gt;$B$9,H$175=""),"",IF(COUNTIFS(BD!$B$3:$B$5001,H$175,BD!$A$3:$A$5001,"&gt;="&amp;$C$7,BD!$A$3:$A$5001,"&lt;="&amp;$B182,BD!$Z$3:$Z$5001,"&lt;&gt;")=0,"",SUMIFS(BD!$Z$3:$Z$5001,BD!$B$3:$B$5001,H$175,BD!$A$3:$A$5001,_xlfn.MAXIFS(BD!$A$3:$A$5001,BD!$B$3:$B$5001,H$175,BD!$A$3:$A$5001,"&gt;="&amp;$C$7,BD!$A$3:$A$5001,"&lt;="&amp;$B182,BD!$Z$3:$Z$5001,"&lt;&gt;"))))</f>
        <v/>
      </c>
      <c r="I182" s="43" t="str">
        <f>IF(OR($B182="",$A182&gt;$B$9,I$175=""),"",IF(COUNTIFS(BD!$B$3:$B$5001,I$175,BD!$A$3:$A$5001,"&gt;="&amp;$C$7,BD!$A$3:$A$5001,"&lt;="&amp;$B182,BD!$Z$3:$Z$5001,"&lt;&gt;")=0,"",SUMIFS(BD!$Z$3:$Z$5001,BD!$B$3:$B$5001,I$175,BD!$A$3:$A$5001,_xlfn.MAXIFS(BD!$A$3:$A$5001,BD!$B$3:$B$5001,I$175,BD!$A$3:$A$5001,"&gt;="&amp;$C$7,BD!$A$3:$A$5001,"&lt;="&amp;$B182,BD!$Z$3:$Z$5001,"&lt;&gt;"))))</f>
        <v/>
      </c>
      <c r="J182" s="43" t="str">
        <f>IF(OR($B182="",$A182&gt;$B$9,J$175=""),"",IF(COUNTIFS(BD!$B$3:$B$5001,J$175,BD!$A$3:$A$5001,"&gt;="&amp;$C$7,BD!$A$3:$A$5001,"&lt;="&amp;$B182,BD!$Z$3:$Z$5001,"&lt;&gt;")=0,"",SUMIFS(BD!$Z$3:$Z$5001,BD!$B$3:$B$5001,J$175,BD!$A$3:$A$5001,_xlfn.MAXIFS(BD!$A$3:$A$5001,BD!$B$3:$B$5001,J$175,BD!$A$3:$A$5001,"&gt;="&amp;$C$7,BD!$A$3:$A$5001,"&lt;="&amp;$B182,BD!$Z$3:$Z$5001,"&lt;&gt;"))))</f>
        <v/>
      </c>
      <c r="K182" s="43" t="str">
        <f>IF(OR($B182="",$A182&gt;$B$9,K$175=""),"",IF(COUNTIFS(BD!$B$3:$B$5001,K$175,BD!$A$3:$A$5001,"&gt;="&amp;$C$7,BD!$A$3:$A$5001,"&lt;="&amp;$B182,BD!$Z$3:$Z$5001,"&lt;&gt;")=0,"",SUMIFS(BD!$Z$3:$Z$5001,BD!$B$3:$B$5001,K$175,BD!$A$3:$A$5001,_xlfn.MAXIFS(BD!$A$3:$A$5001,BD!$B$3:$B$5001,K$175,BD!$A$3:$A$5001,"&gt;="&amp;$C$7,BD!$A$3:$A$5001,"&lt;="&amp;$B182,BD!$Z$3:$Z$5001,"&lt;&gt;"))))</f>
        <v/>
      </c>
      <c r="L182" s="43" t="str">
        <f>IF(OR($B182="",$A182&gt;$B$9,L$175=""),"",IF(COUNTIFS(BD!$B$3:$B$5001,L$175,BD!$A$3:$A$5001,"&gt;="&amp;$C$7,BD!$A$3:$A$5001,"&lt;="&amp;$B182,BD!$Z$3:$Z$5001,"&lt;&gt;")=0,"",SUMIFS(BD!$Z$3:$Z$5001,BD!$B$3:$B$5001,L$175,BD!$A$3:$A$5001,_xlfn.MAXIFS(BD!$A$3:$A$5001,BD!$B$3:$B$5001,L$175,BD!$A$3:$A$5001,"&gt;="&amp;$C$7,BD!$A$3:$A$5001,"&lt;="&amp;$B182,BD!$Z$3:$Z$5001,"&lt;&gt;"))))</f>
        <v/>
      </c>
      <c r="M182" s="43" t="str">
        <f>IF(OR($B182="",$A182&gt;$B$9,M$175=""),"",IF(COUNTIFS(BD!$B$3:$B$5001,M$175,BD!$A$3:$A$5001,"&gt;="&amp;$C$7,BD!$A$3:$A$5001,"&lt;="&amp;$B182,BD!$Z$3:$Z$5001,"&lt;&gt;")=0,"",SUMIFS(BD!$Z$3:$Z$5001,BD!$B$3:$B$5001,M$175,BD!$A$3:$A$5001,_xlfn.MAXIFS(BD!$A$3:$A$5001,BD!$B$3:$B$5001,M$175,BD!$A$3:$A$5001,"&gt;="&amp;$C$7,BD!$A$3:$A$5001,"&lt;="&amp;$B182,BD!$Z$3:$Z$5001,"&lt;&gt;"))))</f>
        <v/>
      </c>
      <c r="N182" s="43" t="str">
        <f>IF(OR($B182="",$A182&gt;$B$9,N$175=""),"",IF(COUNTIFS(BD!$B$3:$B$5001,N$175,BD!$A$3:$A$5001,"&gt;="&amp;$C$7,BD!$A$3:$A$5001,"&lt;="&amp;$B182,BD!$Z$3:$Z$5001,"&lt;&gt;")=0,"",SUMIFS(BD!$Z$3:$Z$5001,BD!$B$3:$B$5001,N$175,BD!$A$3:$A$5001,_xlfn.MAXIFS(BD!$A$3:$A$5001,BD!$B$3:$B$5001,N$175,BD!$A$3:$A$5001,"&gt;="&amp;$C$7,BD!$A$3:$A$5001,"&lt;="&amp;$B182,BD!$Z$3:$Z$5001,"&lt;&gt;"))))</f>
        <v/>
      </c>
      <c r="O182" s="43" t="str">
        <f>IF(OR($B182="",$A182&gt;$B$9,O$175=""),"",IF(COUNTIFS(BD!$B$3:$B$5001,O$175,BD!$A$3:$A$5001,"&gt;="&amp;$C$7,BD!$A$3:$A$5001,"&lt;="&amp;$B182,BD!$Z$3:$Z$5001,"&lt;&gt;")=0,"",SUMIFS(BD!$Z$3:$Z$5001,BD!$B$3:$B$5001,O$175,BD!$A$3:$A$5001,_xlfn.MAXIFS(BD!$A$3:$A$5001,BD!$B$3:$B$5001,O$175,BD!$A$3:$A$5001,"&gt;="&amp;$C$7,BD!$A$3:$A$5001,"&lt;="&amp;$B182,BD!$Z$3:$Z$5001,"&lt;&gt;"))))</f>
        <v/>
      </c>
      <c r="P182" s="43" t="str">
        <f>IF(OR($B182="",$A182&gt;$B$9,P$175=""),"",IF(COUNTIFS(BD!$B$3:$B$5001,P$175,BD!$A$3:$A$5001,"&gt;="&amp;$C$7,BD!$A$3:$A$5001,"&lt;="&amp;$B182,BD!$Z$3:$Z$5001,"&lt;&gt;")=0,"",SUMIFS(BD!$Z$3:$Z$5001,BD!$B$3:$B$5001,P$175,BD!$A$3:$A$5001,_xlfn.MAXIFS(BD!$A$3:$A$5001,BD!$B$3:$B$5001,P$175,BD!$A$3:$A$5001,"&gt;="&amp;$C$7,BD!$A$3:$A$5001,"&lt;="&amp;$B182,BD!$Z$3:$Z$5001,"&lt;&gt;"))))</f>
        <v/>
      </c>
      <c r="Q182" s="43" t="str">
        <f>IF(OR($B182="",$A182&gt;$B$9,Q$175=""),"",IF(COUNTIFS(BD!$B$3:$B$5001,Q$175,BD!$A$3:$A$5001,"&gt;="&amp;$C$7,BD!$A$3:$A$5001,"&lt;="&amp;$B182,BD!$Z$3:$Z$5001,"&lt;&gt;")=0,"",SUMIFS(BD!$Z$3:$Z$5001,BD!$B$3:$B$5001,Q$175,BD!$A$3:$A$5001,_xlfn.MAXIFS(BD!$A$3:$A$5001,BD!$B$3:$B$5001,Q$175,BD!$A$3:$A$5001,"&gt;="&amp;$C$7,BD!$A$3:$A$5001,"&lt;="&amp;$B182,BD!$Z$3:$Z$5001,"&lt;&gt;"))))</f>
        <v/>
      </c>
      <c r="R182" s="43" t="str">
        <f>IF(OR($B182="",$A182&gt;$B$9,R$175=""),"",IF(COUNTIFS(BD!$B$3:$B$5001,R$175,BD!$A$3:$A$5001,"&gt;="&amp;$C$7,BD!$A$3:$A$5001,"&lt;="&amp;$B182,BD!$Z$3:$Z$5001,"&lt;&gt;")=0,"",SUMIFS(BD!$Z$3:$Z$5001,BD!$B$3:$B$5001,R$175,BD!$A$3:$A$5001,_xlfn.MAXIFS(BD!$A$3:$A$5001,BD!$B$3:$B$5001,R$175,BD!$A$3:$A$5001,"&gt;="&amp;$C$7,BD!$A$3:$A$5001,"&lt;="&amp;$B182,BD!$Z$3:$Z$5001,"&lt;&gt;"))))</f>
        <v/>
      </c>
      <c r="S182" s="43" t="str">
        <f>IF(OR($B182="",$A182&gt;$B$9,S$175=""),"",IF(COUNTIFS(BD!$B$3:$B$5001,S$175,BD!$A$3:$A$5001,"&gt;="&amp;$C$7,BD!$A$3:$A$5001,"&lt;="&amp;$B182,BD!$Z$3:$Z$5001,"&lt;&gt;")=0,"",SUMIFS(BD!$Z$3:$Z$5001,BD!$B$3:$B$5001,S$175,BD!$A$3:$A$5001,_xlfn.MAXIFS(BD!$A$3:$A$5001,BD!$B$3:$B$5001,S$175,BD!$A$3:$A$5001,"&gt;="&amp;$C$7,BD!$A$3:$A$5001,"&lt;="&amp;$B182,BD!$Z$3:$Z$5001,"&lt;&gt;"))))</f>
        <v/>
      </c>
      <c r="T182" s="43" t="str">
        <f>IF(OR($B182="",$A182&gt;$B$9,T$175=""),"",IF(COUNTIFS(BD!$B$3:$B$5001,T$175,BD!$A$3:$A$5001,"&gt;="&amp;$C$7,BD!$A$3:$A$5001,"&lt;="&amp;$B182,BD!$Z$3:$Z$5001,"&lt;&gt;")=0,"",SUMIFS(BD!$Z$3:$Z$5001,BD!$B$3:$B$5001,T$175,BD!$A$3:$A$5001,_xlfn.MAXIFS(BD!$A$3:$A$5001,BD!$B$3:$B$5001,T$175,BD!$A$3:$A$5001,"&gt;="&amp;$C$7,BD!$A$3:$A$5001,"&lt;="&amp;$B182,BD!$Z$3:$Z$5001,"&lt;&gt;"))))</f>
        <v/>
      </c>
      <c r="U182" s="43" t="str">
        <f>IF(OR($B182="",$A182&gt;$B$9,U$175=""),"",IF(COUNTIFS(BD!$B$3:$B$5001,U$175,BD!$A$3:$A$5001,"&gt;="&amp;$C$7,BD!$A$3:$A$5001,"&lt;="&amp;$B182,BD!$Z$3:$Z$5001,"&lt;&gt;")=0,"",SUMIFS(BD!$Z$3:$Z$5001,BD!$B$3:$B$5001,U$175,BD!$A$3:$A$5001,_xlfn.MAXIFS(BD!$A$3:$A$5001,BD!$B$3:$B$5001,U$175,BD!$A$3:$A$5001,"&gt;="&amp;$C$7,BD!$A$3:$A$5001,"&lt;="&amp;$B182,BD!$Z$3:$Z$5001,"&lt;&gt;"))))</f>
        <v/>
      </c>
      <c r="V182" s="43" t="str">
        <f>IF(OR($B182="",$A182&gt;$B$9,V$175=""),"",IF(COUNTIFS(BD!$B$3:$B$5001,V$175,BD!$A$3:$A$5001,"&gt;="&amp;$C$7,BD!$A$3:$A$5001,"&lt;="&amp;$B182,BD!$Z$3:$Z$5001,"&lt;&gt;")=0,"",SUMIFS(BD!$Z$3:$Z$5001,BD!$B$3:$B$5001,V$175,BD!$A$3:$A$5001,_xlfn.MAXIFS(BD!$A$3:$A$5001,BD!$B$3:$B$5001,V$175,BD!$A$3:$A$5001,"&gt;="&amp;$C$7,BD!$A$3:$A$5001,"&lt;="&amp;$B182,BD!$Z$3:$Z$5001,"&lt;&gt;"))))</f>
        <v/>
      </c>
    </row>
    <row r="183">
      <c r="A183" s="38">
        <v>8</v>
      </c>
      <c r="B183" s="42">
        <f>$B$19</f>
        <v>46303</v>
      </c>
      <c r="C183" s="43" t="str">
        <f>IF(OR($B183="",$A183&gt;$B$9,C$175=""),"",IF(COUNTIFS(BD!$B$3:$B$5001,C$175,BD!$A$3:$A$5001,"&gt;="&amp;$C$7,BD!$A$3:$A$5001,"&lt;="&amp;$B183,BD!$Z$3:$Z$5001,"&lt;&gt;")=0,"",SUMIFS(BD!$Z$3:$Z$5001,BD!$B$3:$B$5001,C$175,BD!$A$3:$A$5001,_xlfn.MAXIFS(BD!$A$3:$A$5001,BD!$B$3:$B$5001,C$175,BD!$A$3:$A$5001,"&gt;="&amp;$C$7,BD!$A$3:$A$5001,"&lt;="&amp;$B183,BD!$Z$3:$Z$5001,"&lt;&gt;"))))</f>
        <v/>
      </c>
      <c r="D183" s="43" t="str">
        <f>IF(OR($B183="",$A183&gt;$B$9,D$175=""),"",IF(COUNTIFS(BD!$B$3:$B$5001,D$175,BD!$A$3:$A$5001,"&gt;="&amp;$C$7,BD!$A$3:$A$5001,"&lt;="&amp;$B183,BD!$Z$3:$Z$5001,"&lt;&gt;")=0,"",SUMIFS(BD!$Z$3:$Z$5001,BD!$B$3:$B$5001,D$175,BD!$A$3:$A$5001,_xlfn.MAXIFS(BD!$A$3:$A$5001,BD!$B$3:$B$5001,D$175,BD!$A$3:$A$5001,"&gt;="&amp;$C$7,BD!$A$3:$A$5001,"&lt;="&amp;$B183,BD!$Z$3:$Z$5001,"&lt;&gt;"))))</f>
        <v/>
      </c>
      <c r="E183" s="43" t="str">
        <f>IF(OR($B183="",$A183&gt;$B$9,E$175=""),"",IF(COUNTIFS(BD!$B$3:$B$5001,E$175,BD!$A$3:$A$5001,"&gt;="&amp;$C$7,BD!$A$3:$A$5001,"&lt;="&amp;$B183,BD!$Z$3:$Z$5001,"&lt;&gt;")=0,"",SUMIFS(BD!$Z$3:$Z$5001,BD!$B$3:$B$5001,E$175,BD!$A$3:$A$5001,_xlfn.MAXIFS(BD!$A$3:$A$5001,BD!$B$3:$B$5001,E$175,BD!$A$3:$A$5001,"&gt;="&amp;$C$7,BD!$A$3:$A$5001,"&lt;="&amp;$B183,BD!$Z$3:$Z$5001,"&lt;&gt;"))))</f>
        <v/>
      </c>
      <c r="F183" s="43" t="str">
        <f>IF(OR($B183="",$A183&gt;$B$9,F$175=""),"",IF(COUNTIFS(BD!$B$3:$B$5001,F$175,BD!$A$3:$A$5001,"&gt;="&amp;$C$7,BD!$A$3:$A$5001,"&lt;="&amp;$B183,BD!$Z$3:$Z$5001,"&lt;&gt;")=0,"",SUMIFS(BD!$Z$3:$Z$5001,BD!$B$3:$B$5001,F$175,BD!$A$3:$A$5001,_xlfn.MAXIFS(BD!$A$3:$A$5001,BD!$B$3:$B$5001,F$175,BD!$A$3:$A$5001,"&gt;="&amp;$C$7,BD!$A$3:$A$5001,"&lt;="&amp;$B183,BD!$Z$3:$Z$5001,"&lt;&gt;"))))</f>
        <v/>
      </c>
      <c r="G183" s="43" t="str">
        <f>IF(OR($B183="",$A183&gt;$B$9,G$175=""),"",IF(COUNTIFS(BD!$B$3:$B$5001,G$175,BD!$A$3:$A$5001,"&gt;="&amp;$C$7,BD!$A$3:$A$5001,"&lt;="&amp;$B183,BD!$Z$3:$Z$5001,"&lt;&gt;")=0,"",SUMIFS(BD!$Z$3:$Z$5001,BD!$B$3:$B$5001,G$175,BD!$A$3:$A$5001,_xlfn.MAXIFS(BD!$A$3:$A$5001,BD!$B$3:$B$5001,G$175,BD!$A$3:$A$5001,"&gt;="&amp;$C$7,BD!$A$3:$A$5001,"&lt;="&amp;$B183,BD!$Z$3:$Z$5001,"&lt;&gt;"))))</f>
        <v/>
      </c>
      <c r="H183" s="43" t="str">
        <f>IF(OR($B183="",$A183&gt;$B$9,H$175=""),"",IF(COUNTIFS(BD!$B$3:$B$5001,H$175,BD!$A$3:$A$5001,"&gt;="&amp;$C$7,BD!$A$3:$A$5001,"&lt;="&amp;$B183,BD!$Z$3:$Z$5001,"&lt;&gt;")=0,"",SUMIFS(BD!$Z$3:$Z$5001,BD!$B$3:$B$5001,H$175,BD!$A$3:$A$5001,_xlfn.MAXIFS(BD!$A$3:$A$5001,BD!$B$3:$B$5001,H$175,BD!$A$3:$A$5001,"&gt;="&amp;$C$7,BD!$A$3:$A$5001,"&lt;="&amp;$B183,BD!$Z$3:$Z$5001,"&lt;&gt;"))))</f>
        <v/>
      </c>
      <c r="I183" s="43" t="str">
        <f>IF(OR($B183="",$A183&gt;$B$9,I$175=""),"",IF(COUNTIFS(BD!$B$3:$B$5001,I$175,BD!$A$3:$A$5001,"&gt;="&amp;$C$7,BD!$A$3:$A$5001,"&lt;="&amp;$B183,BD!$Z$3:$Z$5001,"&lt;&gt;")=0,"",SUMIFS(BD!$Z$3:$Z$5001,BD!$B$3:$B$5001,I$175,BD!$A$3:$A$5001,_xlfn.MAXIFS(BD!$A$3:$A$5001,BD!$B$3:$B$5001,I$175,BD!$A$3:$A$5001,"&gt;="&amp;$C$7,BD!$A$3:$A$5001,"&lt;="&amp;$B183,BD!$Z$3:$Z$5001,"&lt;&gt;"))))</f>
        <v/>
      </c>
      <c r="J183" s="43" t="str">
        <f>IF(OR($B183="",$A183&gt;$B$9,J$175=""),"",IF(COUNTIFS(BD!$B$3:$B$5001,J$175,BD!$A$3:$A$5001,"&gt;="&amp;$C$7,BD!$A$3:$A$5001,"&lt;="&amp;$B183,BD!$Z$3:$Z$5001,"&lt;&gt;")=0,"",SUMIFS(BD!$Z$3:$Z$5001,BD!$B$3:$B$5001,J$175,BD!$A$3:$A$5001,_xlfn.MAXIFS(BD!$A$3:$A$5001,BD!$B$3:$B$5001,J$175,BD!$A$3:$A$5001,"&gt;="&amp;$C$7,BD!$A$3:$A$5001,"&lt;="&amp;$B183,BD!$Z$3:$Z$5001,"&lt;&gt;"))))</f>
        <v/>
      </c>
      <c r="K183" s="43" t="str">
        <f>IF(OR($B183="",$A183&gt;$B$9,K$175=""),"",IF(COUNTIFS(BD!$B$3:$B$5001,K$175,BD!$A$3:$A$5001,"&gt;="&amp;$C$7,BD!$A$3:$A$5001,"&lt;="&amp;$B183,BD!$Z$3:$Z$5001,"&lt;&gt;")=0,"",SUMIFS(BD!$Z$3:$Z$5001,BD!$B$3:$B$5001,K$175,BD!$A$3:$A$5001,_xlfn.MAXIFS(BD!$A$3:$A$5001,BD!$B$3:$B$5001,K$175,BD!$A$3:$A$5001,"&gt;="&amp;$C$7,BD!$A$3:$A$5001,"&lt;="&amp;$B183,BD!$Z$3:$Z$5001,"&lt;&gt;"))))</f>
        <v/>
      </c>
      <c r="L183" s="43" t="str">
        <f>IF(OR($B183="",$A183&gt;$B$9,L$175=""),"",IF(COUNTIFS(BD!$B$3:$B$5001,L$175,BD!$A$3:$A$5001,"&gt;="&amp;$C$7,BD!$A$3:$A$5001,"&lt;="&amp;$B183,BD!$Z$3:$Z$5001,"&lt;&gt;")=0,"",SUMIFS(BD!$Z$3:$Z$5001,BD!$B$3:$B$5001,L$175,BD!$A$3:$A$5001,_xlfn.MAXIFS(BD!$A$3:$A$5001,BD!$B$3:$B$5001,L$175,BD!$A$3:$A$5001,"&gt;="&amp;$C$7,BD!$A$3:$A$5001,"&lt;="&amp;$B183,BD!$Z$3:$Z$5001,"&lt;&gt;"))))</f>
        <v/>
      </c>
      <c r="M183" s="43" t="str">
        <f>IF(OR($B183="",$A183&gt;$B$9,M$175=""),"",IF(COUNTIFS(BD!$B$3:$B$5001,M$175,BD!$A$3:$A$5001,"&gt;="&amp;$C$7,BD!$A$3:$A$5001,"&lt;="&amp;$B183,BD!$Z$3:$Z$5001,"&lt;&gt;")=0,"",SUMIFS(BD!$Z$3:$Z$5001,BD!$B$3:$B$5001,M$175,BD!$A$3:$A$5001,_xlfn.MAXIFS(BD!$A$3:$A$5001,BD!$B$3:$B$5001,M$175,BD!$A$3:$A$5001,"&gt;="&amp;$C$7,BD!$A$3:$A$5001,"&lt;="&amp;$B183,BD!$Z$3:$Z$5001,"&lt;&gt;"))))</f>
        <v/>
      </c>
      <c r="N183" s="43" t="str">
        <f>IF(OR($B183="",$A183&gt;$B$9,N$175=""),"",IF(COUNTIFS(BD!$B$3:$B$5001,N$175,BD!$A$3:$A$5001,"&gt;="&amp;$C$7,BD!$A$3:$A$5001,"&lt;="&amp;$B183,BD!$Z$3:$Z$5001,"&lt;&gt;")=0,"",SUMIFS(BD!$Z$3:$Z$5001,BD!$B$3:$B$5001,N$175,BD!$A$3:$A$5001,_xlfn.MAXIFS(BD!$A$3:$A$5001,BD!$B$3:$B$5001,N$175,BD!$A$3:$A$5001,"&gt;="&amp;$C$7,BD!$A$3:$A$5001,"&lt;="&amp;$B183,BD!$Z$3:$Z$5001,"&lt;&gt;"))))</f>
        <v/>
      </c>
      <c r="O183" s="43" t="str">
        <f>IF(OR($B183="",$A183&gt;$B$9,O$175=""),"",IF(COUNTIFS(BD!$B$3:$B$5001,O$175,BD!$A$3:$A$5001,"&gt;="&amp;$C$7,BD!$A$3:$A$5001,"&lt;="&amp;$B183,BD!$Z$3:$Z$5001,"&lt;&gt;")=0,"",SUMIFS(BD!$Z$3:$Z$5001,BD!$B$3:$B$5001,O$175,BD!$A$3:$A$5001,_xlfn.MAXIFS(BD!$A$3:$A$5001,BD!$B$3:$B$5001,O$175,BD!$A$3:$A$5001,"&gt;="&amp;$C$7,BD!$A$3:$A$5001,"&lt;="&amp;$B183,BD!$Z$3:$Z$5001,"&lt;&gt;"))))</f>
        <v/>
      </c>
      <c r="P183" s="43" t="str">
        <f>IF(OR($B183="",$A183&gt;$B$9,P$175=""),"",IF(COUNTIFS(BD!$B$3:$B$5001,P$175,BD!$A$3:$A$5001,"&gt;="&amp;$C$7,BD!$A$3:$A$5001,"&lt;="&amp;$B183,BD!$Z$3:$Z$5001,"&lt;&gt;")=0,"",SUMIFS(BD!$Z$3:$Z$5001,BD!$B$3:$B$5001,P$175,BD!$A$3:$A$5001,_xlfn.MAXIFS(BD!$A$3:$A$5001,BD!$B$3:$B$5001,P$175,BD!$A$3:$A$5001,"&gt;="&amp;$C$7,BD!$A$3:$A$5001,"&lt;="&amp;$B183,BD!$Z$3:$Z$5001,"&lt;&gt;"))))</f>
        <v/>
      </c>
      <c r="Q183" s="43" t="str">
        <f>IF(OR($B183="",$A183&gt;$B$9,Q$175=""),"",IF(COUNTIFS(BD!$B$3:$B$5001,Q$175,BD!$A$3:$A$5001,"&gt;="&amp;$C$7,BD!$A$3:$A$5001,"&lt;="&amp;$B183,BD!$Z$3:$Z$5001,"&lt;&gt;")=0,"",SUMIFS(BD!$Z$3:$Z$5001,BD!$B$3:$B$5001,Q$175,BD!$A$3:$A$5001,_xlfn.MAXIFS(BD!$A$3:$A$5001,BD!$B$3:$B$5001,Q$175,BD!$A$3:$A$5001,"&gt;="&amp;$C$7,BD!$A$3:$A$5001,"&lt;="&amp;$B183,BD!$Z$3:$Z$5001,"&lt;&gt;"))))</f>
        <v/>
      </c>
      <c r="R183" s="43" t="str">
        <f>IF(OR($B183="",$A183&gt;$B$9,R$175=""),"",IF(COUNTIFS(BD!$B$3:$B$5001,R$175,BD!$A$3:$A$5001,"&gt;="&amp;$C$7,BD!$A$3:$A$5001,"&lt;="&amp;$B183,BD!$Z$3:$Z$5001,"&lt;&gt;")=0,"",SUMIFS(BD!$Z$3:$Z$5001,BD!$B$3:$B$5001,R$175,BD!$A$3:$A$5001,_xlfn.MAXIFS(BD!$A$3:$A$5001,BD!$B$3:$B$5001,R$175,BD!$A$3:$A$5001,"&gt;="&amp;$C$7,BD!$A$3:$A$5001,"&lt;="&amp;$B183,BD!$Z$3:$Z$5001,"&lt;&gt;"))))</f>
        <v/>
      </c>
      <c r="S183" s="43" t="str">
        <f>IF(OR($B183="",$A183&gt;$B$9,S$175=""),"",IF(COUNTIFS(BD!$B$3:$B$5001,S$175,BD!$A$3:$A$5001,"&gt;="&amp;$C$7,BD!$A$3:$A$5001,"&lt;="&amp;$B183,BD!$Z$3:$Z$5001,"&lt;&gt;")=0,"",SUMIFS(BD!$Z$3:$Z$5001,BD!$B$3:$B$5001,S$175,BD!$A$3:$A$5001,_xlfn.MAXIFS(BD!$A$3:$A$5001,BD!$B$3:$B$5001,S$175,BD!$A$3:$A$5001,"&gt;="&amp;$C$7,BD!$A$3:$A$5001,"&lt;="&amp;$B183,BD!$Z$3:$Z$5001,"&lt;&gt;"))))</f>
        <v/>
      </c>
      <c r="T183" s="43" t="str">
        <f>IF(OR($B183="",$A183&gt;$B$9,T$175=""),"",IF(COUNTIFS(BD!$B$3:$B$5001,T$175,BD!$A$3:$A$5001,"&gt;="&amp;$C$7,BD!$A$3:$A$5001,"&lt;="&amp;$B183,BD!$Z$3:$Z$5001,"&lt;&gt;")=0,"",SUMIFS(BD!$Z$3:$Z$5001,BD!$B$3:$B$5001,T$175,BD!$A$3:$A$5001,_xlfn.MAXIFS(BD!$A$3:$A$5001,BD!$B$3:$B$5001,T$175,BD!$A$3:$A$5001,"&gt;="&amp;$C$7,BD!$A$3:$A$5001,"&lt;="&amp;$B183,BD!$Z$3:$Z$5001,"&lt;&gt;"))))</f>
        <v/>
      </c>
      <c r="U183" s="43" t="str">
        <f>IF(OR($B183="",$A183&gt;$B$9,U$175=""),"",IF(COUNTIFS(BD!$B$3:$B$5001,U$175,BD!$A$3:$A$5001,"&gt;="&amp;$C$7,BD!$A$3:$A$5001,"&lt;="&amp;$B183,BD!$Z$3:$Z$5001,"&lt;&gt;")=0,"",SUMIFS(BD!$Z$3:$Z$5001,BD!$B$3:$B$5001,U$175,BD!$A$3:$A$5001,_xlfn.MAXIFS(BD!$A$3:$A$5001,BD!$B$3:$B$5001,U$175,BD!$A$3:$A$5001,"&gt;="&amp;$C$7,BD!$A$3:$A$5001,"&lt;="&amp;$B183,BD!$Z$3:$Z$5001,"&lt;&gt;"))))</f>
        <v/>
      </c>
      <c r="V183" s="43" t="str">
        <f>IF(OR($B183="",$A183&gt;$B$9,V$175=""),"",IF(COUNTIFS(BD!$B$3:$B$5001,V$175,BD!$A$3:$A$5001,"&gt;="&amp;$C$7,BD!$A$3:$A$5001,"&lt;="&amp;$B183,BD!$Z$3:$Z$5001,"&lt;&gt;")=0,"",SUMIFS(BD!$Z$3:$Z$5001,BD!$B$3:$B$5001,V$175,BD!$A$3:$A$5001,_xlfn.MAXIFS(BD!$A$3:$A$5001,BD!$B$3:$B$5001,V$175,BD!$A$3:$A$5001,"&gt;="&amp;$C$7,BD!$A$3:$A$5001,"&lt;="&amp;$B183,BD!$Z$3:$Z$5001,"&lt;&gt;"))))</f>
        <v/>
      </c>
    </row>
    <row r="184">
      <c r="A184" s="38">
        <v>9</v>
      </c>
      <c r="B184" s="42">
        <f>$B$20</f>
        <v>46304</v>
      </c>
      <c r="C184" s="43" t="str">
        <f>IF(OR($B184="",$A184&gt;$B$9,C$175=""),"",IF(COUNTIFS(BD!$B$3:$B$5001,C$175,BD!$A$3:$A$5001,"&gt;="&amp;$C$7,BD!$A$3:$A$5001,"&lt;="&amp;$B184,BD!$Z$3:$Z$5001,"&lt;&gt;")=0,"",SUMIFS(BD!$Z$3:$Z$5001,BD!$B$3:$B$5001,C$175,BD!$A$3:$A$5001,_xlfn.MAXIFS(BD!$A$3:$A$5001,BD!$B$3:$B$5001,C$175,BD!$A$3:$A$5001,"&gt;="&amp;$C$7,BD!$A$3:$A$5001,"&lt;="&amp;$B184,BD!$Z$3:$Z$5001,"&lt;&gt;"))))</f>
        <v/>
      </c>
      <c r="D184" s="43" t="str">
        <f>IF(OR($B184="",$A184&gt;$B$9,D$175=""),"",IF(COUNTIFS(BD!$B$3:$B$5001,D$175,BD!$A$3:$A$5001,"&gt;="&amp;$C$7,BD!$A$3:$A$5001,"&lt;="&amp;$B184,BD!$Z$3:$Z$5001,"&lt;&gt;")=0,"",SUMIFS(BD!$Z$3:$Z$5001,BD!$B$3:$B$5001,D$175,BD!$A$3:$A$5001,_xlfn.MAXIFS(BD!$A$3:$A$5001,BD!$B$3:$B$5001,D$175,BD!$A$3:$A$5001,"&gt;="&amp;$C$7,BD!$A$3:$A$5001,"&lt;="&amp;$B184,BD!$Z$3:$Z$5001,"&lt;&gt;"))))</f>
        <v/>
      </c>
      <c r="E184" s="43" t="str">
        <f>IF(OR($B184="",$A184&gt;$B$9,E$175=""),"",IF(COUNTIFS(BD!$B$3:$B$5001,E$175,BD!$A$3:$A$5001,"&gt;="&amp;$C$7,BD!$A$3:$A$5001,"&lt;="&amp;$B184,BD!$Z$3:$Z$5001,"&lt;&gt;")=0,"",SUMIFS(BD!$Z$3:$Z$5001,BD!$B$3:$B$5001,E$175,BD!$A$3:$A$5001,_xlfn.MAXIFS(BD!$A$3:$A$5001,BD!$B$3:$B$5001,E$175,BD!$A$3:$A$5001,"&gt;="&amp;$C$7,BD!$A$3:$A$5001,"&lt;="&amp;$B184,BD!$Z$3:$Z$5001,"&lt;&gt;"))))</f>
        <v/>
      </c>
      <c r="F184" s="43" t="str">
        <f>IF(OR($B184="",$A184&gt;$B$9,F$175=""),"",IF(COUNTIFS(BD!$B$3:$B$5001,F$175,BD!$A$3:$A$5001,"&gt;="&amp;$C$7,BD!$A$3:$A$5001,"&lt;="&amp;$B184,BD!$Z$3:$Z$5001,"&lt;&gt;")=0,"",SUMIFS(BD!$Z$3:$Z$5001,BD!$B$3:$B$5001,F$175,BD!$A$3:$A$5001,_xlfn.MAXIFS(BD!$A$3:$A$5001,BD!$B$3:$B$5001,F$175,BD!$A$3:$A$5001,"&gt;="&amp;$C$7,BD!$A$3:$A$5001,"&lt;="&amp;$B184,BD!$Z$3:$Z$5001,"&lt;&gt;"))))</f>
        <v/>
      </c>
      <c r="G184" s="43" t="str">
        <f>IF(OR($B184="",$A184&gt;$B$9,G$175=""),"",IF(COUNTIFS(BD!$B$3:$B$5001,G$175,BD!$A$3:$A$5001,"&gt;="&amp;$C$7,BD!$A$3:$A$5001,"&lt;="&amp;$B184,BD!$Z$3:$Z$5001,"&lt;&gt;")=0,"",SUMIFS(BD!$Z$3:$Z$5001,BD!$B$3:$B$5001,G$175,BD!$A$3:$A$5001,_xlfn.MAXIFS(BD!$A$3:$A$5001,BD!$B$3:$B$5001,G$175,BD!$A$3:$A$5001,"&gt;="&amp;$C$7,BD!$A$3:$A$5001,"&lt;="&amp;$B184,BD!$Z$3:$Z$5001,"&lt;&gt;"))))</f>
        <v/>
      </c>
      <c r="H184" s="43" t="str">
        <f>IF(OR($B184="",$A184&gt;$B$9,H$175=""),"",IF(COUNTIFS(BD!$B$3:$B$5001,H$175,BD!$A$3:$A$5001,"&gt;="&amp;$C$7,BD!$A$3:$A$5001,"&lt;="&amp;$B184,BD!$Z$3:$Z$5001,"&lt;&gt;")=0,"",SUMIFS(BD!$Z$3:$Z$5001,BD!$B$3:$B$5001,H$175,BD!$A$3:$A$5001,_xlfn.MAXIFS(BD!$A$3:$A$5001,BD!$B$3:$B$5001,H$175,BD!$A$3:$A$5001,"&gt;="&amp;$C$7,BD!$A$3:$A$5001,"&lt;="&amp;$B184,BD!$Z$3:$Z$5001,"&lt;&gt;"))))</f>
        <v/>
      </c>
      <c r="I184" s="43" t="str">
        <f>IF(OR($B184="",$A184&gt;$B$9,I$175=""),"",IF(COUNTIFS(BD!$B$3:$B$5001,I$175,BD!$A$3:$A$5001,"&gt;="&amp;$C$7,BD!$A$3:$A$5001,"&lt;="&amp;$B184,BD!$Z$3:$Z$5001,"&lt;&gt;")=0,"",SUMIFS(BD!$Z$3:$Z$5001,BD!$B$3:$B$5001,I$175,BD!$A$3:$A$5001,_xlfn.MAXIFS(BD!$A$3:$A$5001,BD!$B$3:$B$5001,I$175,BD!$A$3:$A$5001,"&gt;="&amp;$C$7,BD!$A$3:$A$5001,"&lt;="&amp;$B184,BD!$Z$3:$Z$5001,"&lt;&gt;"))))</f>
        <v/>
      </c>
      <c r="J184" s="43" t="str">
        <f>IF(OR($B184="",$A184&gt;$B$9,J$175=""),"",IF(COUNTIFS(BD!$B$3:$B$5001,J$175,BD!$A$3:$A$5001,"&gt;="&amp;$C$7,BD!$A$3:$A$5001,"&lt;="&amp;$B184,BD!$Z$3:$Z$5001,"&lt;&gt;")=0,"",SUMIFS(BD!$Z$3:$Z$5001,BD!$B$3:$B$5001,J$175,BD!$A$3:$A$5001,_xlfn.MAXIFS(BD!$A$3:$A$5001,BD!$B$3:$B$5001,J$175,BD!$A$3:$A$5001,"&gt;="&amp;$C$7,BD!$A$3:$A$5001,"&lt;="&amp;$B184,BD!$Z$3:$Z$5001,"&lt;&gt;"))))</f>
        <v/>
      </c>
      <c r="K184" s="43" t="str">
        <f>IF(OR($B184="",$A184&gt;$B$9,K$175=""),"",IF(COUNTIFS(BD!$B$3:$B$5001,K$175,BD!$A$3:$A$5001,"&gt;="&amp;$C$7,BD!$A$3:$A$5001,"&lt;="&amp;$B184,BD!$Z$3:$Z$5001,"&lt;&gt;")=0,"",SUMIFS(BD!$Z$3:$Z$5001,BD!$B$3:$B$5001,K$175,BD!$A$3:$A$5001,_xlfn.MAXIFS(BD!$A$3:$A$5001,BD!$B$3:$B$5001,K$175,BD!$A$3:$A$5001,"&gt;="&amp;$C$7,BD!$A$3:$A$5001,"&lt;="&amp;$B184,BD!$Z$3:$Z$5001,"&lt;&gt;"))))</f>
        <v/>
      </c>
      <c r="L184" s="43" t="str">
        <f>IF(OR($B184="",$A184&gt;$B$9,L$175=""),"",IF(COUNTIFS(BD!$B$3:$B$5001,L$175,BD!$A$3:$A$5001,"&gt;="&amp;$C$7,BD!$A$3:$A$5001,"&lt;="&amp;$B184,BD!$Z$3:$Z$5001,"&lt;&gt;")=0,"",SUMIFS(BD!$Z$3:$Z$5001,BD!$B$3:$B$5001,L$175,BD!$A$3:$A$5001,_xlfn.MAXIFS(BD!$A$3:$A$5001,BD!$B$3:$B$5001,L$175,BD!$A$3:$A$5001,"&gt;="&amp;$C$7,BD!$A$3:$A$5001,"&lt;="&amp;$B184,BD!$Z$3:$Z$5001,"&lt;&gt;"))))</f>
        <v/>
      </c>
      <c r="M184" s="43" t="str">
        <f>IF(OR($B184="",$A184&gt;$B$9,M$175=""),"",IF(COUNTIFS(BD!$B$3:$B$5001,M$175,BD!$A$3:$A$5001,"&gt;="&amp;$C$7,BD!$A$3:$A$5001,"&lt;="&amp;$B184,BD!$Z$3:$Z$5001,"&lt;&gt;")=0,"",SUMIFS(BD!$Z$3:$Z$5001,BD!$B$3:$B$5001,M$175,BD!$A$3:$A$5001,_xlfn.MAXIFS(BD!$A$3:$A$5001,BD!$B$3:$B$5001,M$175,BD!$A$3:$A$5001,"&gt;="&amp;$C$7,BD!$A$3:$A$5001,"&lt;="&amp;$B184,BD!$Z$3:$Z$5001,"&lt;&gt;"))))</f>
        <v/>
      </c>
      <c r="N184" s="43" t="str">
        <f>IF(OR($B184="",$A184&gt;$B$9,N$175=""),"",IF(COUNTIFS(BD!$B$3:$B$5001,N$175,BD!$A$3:$A$5001,"&gt;="&amp;$C$7,BD!$A$3:$A$5001,"&lt;="&amp;$B184,BD!$Z$3:$Z$5001,"&lt;&gt;")=0,"",SUMIFS(BD!$Z$3:$Z$5001,BD!$B$3:$B$5001,N$175,BD!$A$3:$A$5001,_xlfn.MAXIFS(BD!$A$3:$A$5001,BD!$B$3:$B$5001,N$175,BD!$A$3:$A$5001,"&gt;="&amp;$C$7,BD!$A$3:$A$5001,"&lt;="&amp;$B184,BD!$Z$3:$Z$5001,"&lt;&gt;"))))</f>
        <v/>
      </c>
      <c r="O184" s="43" t="str">
        <f>IF(OR($B184="",$A184&gt;$B$9,O$175=""),"",IF(COUNTIFS(BD!$B$3:$B$5001,O$175,BD!$A$3:$A$5001,"&gt;="&amp;$C$7,BD!$A$3:$A$5001,"&lt;="&amp;$B184,BD!$Z$3:$Z$5001,"&lt;&gt;")=0,"",SUMIFS(BD!$Z$3:$Z$5001,BD!$B$3:$B$5001,O$175,BD!$A$3:$A$5001,_xlfn.MAXIFS(BD!$A$3:$A$5001,BD!$B$3:$B$5001,O$175,BD!$A$3:$A$5001,"&gt;="&amp;$C$7,BD!$A$3:$A$5001,"&lt;="&amp;$B184,BD!$Z$3:$Z$5001,"&lt;&gt;"))))</f>
        <v/>
      </c>
      <c r="P184" s="43" t="str">
        <f>IF(OR($B184="",$A184&gt;$B$9,P$175=""),"",IF(COUNTIFS(BD!$B$3:$B$5001,P$175,BD!$A$3:$A$5001,"&gt;="&amp;$C$7,BD!$A$3:$A$5001,"&lt;="&amp;$B184,BD!$Z$3:$Z$5001,"&lt;&gt;")=0,"",SUMIFS(BD!$Z$3:$Z$5001,BD!$B$3:$B$5001,P$175,BD!$A$3:$A$5001,_xlfn.MAXIFS(BD!$A$3:$A$5001,BD!$B$3:$B$5001,P$175,BD!$A$3:$A$5001,"&gt;="&amp;$C$7,BD!$A$3:$A$5001,"&lt;="&amp;$B184,BD!$Z$3:$Z$5001,"&lt;&gt;"))))</f>
        <v/>
      </c>
      <c r="Q184" s="43" t="str">
        <f>IF(OR($B184="",$A184&gt;$B$9,Q$175=""),"",IF(COUNTIFS(BD!$B$3:$B$5001,Q$175,BD!$A$3:$A$5001,"&gt;="&amp;$C$7,BD!$A$3:$A$5001,"&lt;="&amp;$B184,BD!$Z$3:$Z$5001,"&lt;&gt;")=0,"",SUMIFS(BD!$Z$3:$Z$5001,BD!$B$3:$B$5001,Q$175,BD!$A$3:$A$5001,_xlfn.MAXIFS(BD!$A$3:$A$5001,BD!$B$3:$B$5001,Q$175,BD!$A$3:$A$5001,"&gt;="&amp;$C$7,BD!$A$3:$A$5001,"&lt;="&amp;$B184,BD!$Z$3:$Z$5001,"&lt;&gt;"))))</f>
        <v/>
      </c>
      <c r="R184" s="43" t="str">
        <f>IF(OR($B184="",$A184&gt;$B$9,R$175=""),"",IF(COUNTIFS(BD!$B$3:$B$5001,R$175,BD!$A$3:$A$5001,"&gt;="&amp;$C$7,BD!$A$3:$A$5001,"&lt;="&amp;$B184,BD!$Z$3:$Z$5001,"&lt;&gt;")=0,"",SUMIFS(BD!$Z$3:$Z$5001,BD!$B$3:$B$5001,R$175,BD!$A$3:$A$5001,_xlfn.MAXIFS(BD!$A$3:$A$5001,BD!$B$3:$B$5001,R$175,BD!$A$3:$A$5001,"&gt;="&amp;$C$7,BD!$A$3:$A$5001,"&lt;="&amp;$B184,BD!$Z$3:$Z$5001,"&lt;&gt;"))))</f>
        <v/>
      </c>
      <c r="S184" s="43" t="str">
        <f>IF(OR($B184="",$A184&gt;$B$9,S$175=""),"",IF(COUNTIFS(BD!$B$3:$B$5001,S$175,BD!$A$3:$A$5001,"&gt;="&amp;$C$7,BD!$A$3:$A$5001,"&lt;="&amp;$B184,BD!$Z$3:$Z$5001,"&lt;&gt;")=0,"",SUMIFS(BD!$Z$3:$Z$5001,BD!$B$3:$B$5001,S$175,BD!$A$3:$A$5001,_xlfn.MAXIFS(BD!$A$3:$A$5001,BD!$B$3:$B$5001,S$175,BD!$A$3:$A$5001,"&gt;="&amp;$C$7,BD!$A$3:$A$5001,"&lt;="&amp;$B184,BD!$Z$3:$Z$5001,"&lt;&gt;"))))</f>
        <v/>
      </c>
      <c r="T184" s="43" t="str">
        <f>IF(OR($B184="",$A184&gt;$B$9,T$175=""),"",IF(COUNTIFS(BD!$B$3:$B$5001,T$175,BD!$A$3:$A$5001,"&gt;="&amp;$C$7,BD!$A$3:$A$5001,"&lt;="&amp;$B184,BD!$Z$3:$Z$5001,"&lt;&gt;")=0,"",SUMIFS(BD!$Z$3:$Z$5001,BD!$B$3:$B$5001,T$175,BD!$A$3:$A$5001,_xlfn.MAXIFS(BD!$A$3:$A$5001,BD!$B$3:$B$5001,T$175,BD!$A$3:$A$5001,"&gt;="&amp;$C$7,BD!$A$3:$A$5001,"&lt;="&amp;$B184,BD!$Z$3:$Z$5001,"&lt;&gt;"))))</f>
        <v/>
      </c>
      <c r="U184" s="43" t="str">
        <f>IF(OR($B184="",$A184&gt;$B$9,U$175=""),"",IF(COUNTIFS(BD!$B$3:$B$5001,U$175,BD!$A$3:$A$5001,"&gt;="&amp;$C$7,BD!$A$3:$A$5001,"&lt;="&amp;$B184,BD!$Z$3:$Z$5001,"&lt;&gt;")=0,"",SUMIFS(BD!$Z$3:$Z$5001,BD!$B$3:$B$5001,U$175,BD!$A$3:$A$5001,_xlfn.MAXIFS(BD!$A$3:$A$5001,BD!$B$3:$B$5001,U$175,BD!$A$3:$A$5001,"&gt;="&amp;$C$7,BD!$A$3:$A$5001,"&lt;="&amp;$B184,BD!$Z$3:$Z$5001,"&lt;&gt;"))))</f>
        <v/>
      </c>
      <c r="V184" s="43" t="str">
        <f>IF(OR($B184="",$A184&gt;$B$9,V$175=""),"",IF(COUNTIFS(BD!$B$3:$B$5001,V$175,BD!$A$3:$A$5001,"&gt;="&amp;$C$7,BD!$A$3:$A$5001,"&lt;="&amp;$B184,BD!$Z$3:$Z$5001,"&lt;&gt;")=0,"",SUMIFS(BD!$Z$3:$Z$5001,BD!$B$3:$B$5001,V$175,BD!$A$3:$A$5001,_xlfn.MAXIFS(BD!$A$3:$A$5001,BD!$B$3:$B$5001,V$175,BD!$A$3:$A$5001,"&gt;="&amp;$C$7,BD!$A$3:$A$5001,"&lt;="&amp;$B184,BD!$Z$3:$Z$5001,"&lt;&gt;"))))</f>
        <v/>
      </c>
    </row>
    <row r="185">
      <c r="A185" s="38">
        <v>10</v>
      </c>
      <c r="B185" s="42">
        <f>$B$21</f>
        <v>46305</v>
      </c>
      <c r="C185" s="43" t="str">
        <f>IF(OR($B185="",$A185&gt;$B$9,C$175=""),"",IF(COUNTIFS(BD!$B$3:$B$5001,C$175,BD!$A$3:$A$5001,"&gt;="&amp;$C$7,BD!$A$3:$A$5001,"&lt;="&amp;$B185,BD!$Z$3:$Z$5001,"&lt;&gt;")=0,"",SUMIFS(BD!$Z$3:$Z$5001,BD!$B$3:$B$5001,C$175,BD!$A$3:$A$5001,_xlfn.MAXIFS(BD!$A$3:$A$5001,BD!$B$3:$B$5001,C$175,BD!$A$3:$A$5001,"&gt;="&amp;$C$7,BD!$A$3:$A$5001,"&lt;="&amp;$B185,BD!$Z$3:$Z$5001,"&lt;&gt;"))))</f>
        <v/>
      </c>
      <c r="D185" s="43" t="str">
        <f>IF(OR($B185="",$A185&gt;$B$9,D$175=""),"",IF(COUNTIFS(BD!$B$3:$B$5001,D$175,BD!$A$3:$A$5001,"&gt;="&amp;$C$7,BD!$A$3:$A$5001,"&lt;="&amp;$B185,BD!$Z$3:$Z$5001,"&lt;&gt;")=0,"",SUMIFS(BD!$Z$3:$Z$5001,BD!$B$3:$B$5001,D$175,BD!$A$3:$A$5001,_xlfn.MAXIFS(BD!$A$3:$A$5001,BD!$B$3:$B$5001,D$175,BD!$A$3:$A$5001,"&gt;="&amp;$C$7,BD!$A$3:$A$5001,"&lt;="&amp;$B185,BD!$Z$3:$Z$5001,"&lt;&gt;"))))</f>
        <v/>
      </c>
      <c r="E185" s="43" t="str">
        <f>IF(OR($B185="",$A185&gt;$B$9,E$175=""),"",IF(COUNTIFS(BD!$B$3:$B$5001,E$175,BD!$A$3:$A$5001,"&gt;="&amp;$C$7,BD!$A$3:$A$5001,"&lt;="&amp;$B185,BD!$Z$3:$Z$5001,"&lt;&gt;")=0,"",SUMIFS(BD!$Z$3:$Z$5001,BD!$B$3:$B$5001,E$175,BD!$A$3:$A$5001,_xlfn.MAXIFS(BD!$A$3:$A$5001,BD!$B$3:$B$5001,E$175,BD!$A$3:$A$5001,"&gt;="&amp;$C$7,BD!$A$3:$A$5001,"&lt;="&amp;$B185,BD!$Z$3:$Z$5001,"&lt;&gt;"))))</f>
        <v/>
      </c>
      <c r="F185" s="43" t="str">
        <f>IF(OR($B185="",$A185&gt;$B$9,F$175=""),"",IF(COUNTIFS(BD!$B$3:$B$5001,F$175,BD!$A$3:$A$5001,"&gt;="&amp;$C$7,BD!$A$3:$A$5001,"&lt;="&amp;$B185,BD!$Z$3:$Z$5001,"&lt;&gt;")=0,"",SUMIFS(BD!$Z$3:$Z$5001,BD!$B$3:$B$5001,F$175,BD!$A$3:$A$5001,_xlfn.MAXIFS(BD!$A$3:$A$5001,BD!$B$3:$B$5001,F$175,BD!$A$3:$A$5001,"&gt;="&amp;$C$7,BD!$A$3:$A$5001,"&lt;="&amp;$B185,BD!$Z$3:$Z$5001,"&lt;&gt;"))))</f>
        <v/>
      </c>
      <c r="G185" s="43" t="str">
        <f>IF(OR($B185="",$A185&gt;$B$9,G$175=""),"",IF(COUNTIFS(BD!$B$3:$B$5001,G$175,BD!$A$3:$A$5001,"&gt;="&amp;$C$7,BD!$A$3:$A$5001,"&lt;="&amp;$B185,BD!$Z$3:$Z$5001,"&lt;&gt;")=0,"",SUMIFS(BD!$Z$3:$Z$5001,BD!$B$3:$B$5001,G$175,BD!$A$3:$A$5001,_xlfn.MAXIFS(BD!$A$3:$A$5001,BD!$B$3:$B$5001,G$175,BD!$A$3:$A$5001,"&gt;="&amp;$C$7,BD!$A$3:$A$5001,"&lt;="&amp;$B185,BD!$Z$3:$Z$5001,"&lt;&gt;"))))</f>
        <v/>
      </c>
      <c r="H185" s="43" t="str">
        <f>IF(OR($B185="",$A185&gt;$B$9,H$175=""),"",IF(COUNTIFS(BD!$B$3:$B$5001,H$175,BD!$A$3:$A$5001,"&gt;="&amp;$C$7,BD!$A$3:$A$5001,"&lt;="&amp;$B185,BD!$Z$3:$Z$5001,"&lt;&gt;")=0,"",SUMIFS(BD!$Z$3:$Z$5001,BD!$B$3:$B$5001,H$175,BD!$A$3:$A$5001,_xlfn.MAXIFS(BD!$A$3:$A$5001,BD!$B$3:$B$5001,H$175,BD!$A$3:$A$5001,"&gt;="&amp;$C$7,BD!$A$3:$A$5001,"&lt;="&amp;$B185,BD!$Z$3:$Z$5001,"&lt;&gt;"))))</f>
        <v/>
      </c>
      <c r="I185" s="43" t="str">
        <f>IF(OR($B185="",$A185&gt;$B$9,I$175=""),"",IF(COUNTIFS(BD!$B$3:$B$5001,I$175,BD!$A$3:$A$5001,"&gt;="&amp;$C$7,BD!$A$3:$A$5001,"&lt;="&amp;$B185,BD!$Z$3:$Z$5001,"&lt;&gt;")=0,"",SUMIFS(BD!$Z$3:$Z$5001,BD!$B$3:$B$5001,I$175,BD!$A$3:$A$5001,_xlfn.MAXIFS(BD!$A$3:$A$5001,BD!$B$3:$B$5001,I$175,BD!$A$3:$A$5001,"&gt;="&amp;$C$7,BD!$A$3:$A$5001,"&lt;="&amp;$B185,BD!$Z$3:$Z$5001,"&lt;&gt;"))))</f>
        <v/>
      </c>
      <c r="J185" s="43" t="str">
        <f>IF(OR($B185="",$A185&gt;$B$9,J$175=""),"",IF(COUNTIFS(BD!$B$3:$B$5001,J$175,BD!$A$3:$A$5001,"&gt;="&amp;$C$7,BD!$A$3:$A$5001,"&lt;="&amp;$B185,BD!$Z$3:$Z$5001,"&lt;&gt;")=0,"",SUMIFS(BD!$Z$3:$Z$5001,BD!$B$3:$B$5001,J$175,BD!$A$3:$A$5001,_xlfn.MAXIFS(BD!$A$3:$A$5001,BD!$B$3:$B$5001,J$175,BD!$A$3:$A$5001,"&gt;="&amp;$C$7,BD!$A$3:$A$5001,"&lt;="&amp;$B185,BD!$Z$3:$Z$5001,"&lt;&gt;"))))</f>
        <v/>
      </c>
      <c r="K185" s="43" t="str">
        <f>IF(OR($B185="",$A185&gt;$B$9,K$175=""),"",IF(COUNTIFS(BD!$B$3:$B$5001,K$175,BD!$A$3:$A$5001,"&gt;="&amp;$C$7,BD!$A$3:$A$5001,"&lt;="&amp;$B185,BD!$Z$3:$Z$5001,"&lt;&gt;")=0,"",SUMIFS(BD!$Z$3:$Z$5001,BD!$B$3:$B$5001,K$175,BD!$A$3:$A$5001,_xlfn.MAXIFS(BD!$A$3:$A$5001,BD!$B$3:$B$5001,K$175,BD!$A$3:$A$5001,"&gt;="&amp;$C$7,BD!$A$3:$A$5001,"&lt;="&amp;$B185,BD!$Z$3:$Z$5001,"&lt;&gt;"))))</f>
        <v/>
      </c>
      <c r="L185" s="43" t="str">
        <f>IF(OR($B185="",$A185&gt;$B$9,L$175=""),"",IF(COUNTIFS(BD!$B$3:$B$5001,L$175,BD!$A$3:$A$5001,"&gt;="&amp;$C$7,BD!$A$3:$A$5001,"&lt;="&amp;$B185,BD!$Z$3:$Z$5001,"&lt;&gt;")=0,"",SUMIFS(BD!$Z$3:$Z$5001,BD!$B$3:$B$5001,L$175,BD!$A$3:$A$5001,_xlfn.MAXIFS(BD!$A$3:$A$5001,BD!$B$3:$B$5001,L$175,BD!$A$3:$A$5001,"&gt;="&amp;$C$7,BD!$A$3:$A$5001,"&lt;="&amp;$B185,BD!$Z$3:$Z$5001,"&lt;&gt;"))))</f>
        <v/>
      </c>
      <c r="M185" s="43" t="str">
        <f>IF(OR($B185="",$A185&gt;$B$9,M$175=""),"",IF(COUNTIFS(BD!$B$3:$B$5001,M$175,BD!$A$3:$A$5001,"&gt;="&amp;$C$7,BD!$A$3:$A$5001,"&lt;="&amp;$B185,BD!$Z$3:$Z$5001,"&lt;&gt;")=0,"",SUMIFS(BD!$Z$3:$Z$5001,BD!$B$3:$B$5001,M$175,BD!$A$3:$A$5001,_xlfn.MAXIFS(BD!$A$3:$A$5001,BD!$B$3:$B$5001,M$175,BD!$A$3:$A$5001,"&gt;="&amp;$C$7,BD!$A$3:$A$5001,"&lt;="&amp;$B185,BD!$Z$3:$Z$5001,"&lt;&gt;"))))</f>
        <v/>
      </c>
      <c r="N185" s="43" t="str">
        <f>IF(OR($B185="",$A185&gt;$B$9,N$175=""),"",IF(COUNTIFS(BD!$B$3:$B$5001,N$175,BD!$A$3:$A$5001,"&gt;="&amp;$C$7,BD!$A$3:$A$5001,"&lt;="&amp;$B185,BD!$Z$3:$Z$5001,"&lt;&gt;")=0,"",SUMIFS(BD!$Z$3:$Z$5001,BD!$B$3:$B$5001,N$175,BD!$A$3:$A$5001,_xlfn.MAXIFS(BD!$A$3:$A$5001,BD!$B$3:$B$5001,N$175,BD!$A$3:$A$5001,"&gt;="&amp;$C$7,BD!$A$3:$A$5001,"&lt;="&amp;$B185,BD!$Z$3:$Z$5001,"&lt;&gt;"))))</f>
        <v/>
      </c>
      <c r="O185" s="43" t="str">
        <f>IF(OR($B185="",$A185&gt;$B$9,O$175=""),"",IF(COUNTIFS(BD!$B$3:$B$5001,O$175,BD!$A$3:$A$5001,"&gt;="&amp;$C$7,BD!$A$3:$A$5001,"&lt;="&amp;$B185,BD!$Z$3:$Z$5001,"&lt;&gt;")=0,"",SUMIFS(BD!$Z$3:$Z$5001,BD!$B$3:$B$5001,O$175,BD!$A$3:$A$5001,_xlfn.MAXIFS(BD!$A$3:$A$5001,BD!$B$3:$B$5001,O$175,BD!$A$3:$A$5001,"&gt;="&amp;$C$7,BD!$A$3:$A$5001,"&lt;="&amp;$B185,BD!$Z$3:$Z$5001,"&lt;&gt;"))))</f>
        <v/>
      </c>
      <c r="P185" s="43" t="str">
        <f>IF(OR($B185="",$A185&gt;$B$9,P$175=""),"",IF(COUNTIFS(BD!$B$3:$B$5001,P$175,BD!$A$3:$A$5001,"&gt;="&amp;$C$7,BD!$A$3:$A$5001,"&lt;="&amp;$B185,BD!$Z$3:$Z$5001,"&lt;&gt;")=0,"",SUMIFS(BD!$Z$3:$Z$5001,BD!$B$3:$B$5001,P$175,BD!$A$3:$A$5001,_xlfn.MAXIFS(BD!$A$3:$A$5001,BD!$B$3:$B$5001,P$175,BD!$A$3:$A$5001,"&gt;="&amp;$C$7,BD!$A$3:$A$5001,"&lt;="&amp;$B185,BD!$Z$3:$Z$5001,"&lt;&gt;"))))</f>
        <v/>
      </c>
      <c r="Q185" s="43" t="str">
        <f>IF(OR($B185="",$A185&gt;$B$9,Q$175=""),"",IF(COUNTIFS(BD!$B$3:$B$5001,Q$175,BD!$A$3:$A$5001,"&gt;="&amp;$C$7,BD!$A$3:$A$5001,"&lt;="&amp;$B185,BD!$Z$3:$Z$5001,"&lt;&gt;")=0,"",SUMIFS(BD!$Z$3:$Z$5001,BD!$B$3:$B$5001,Q$175,BD!$A$3:$A$5001,_xlfn.MAXIFS(BD!$A$3:$A$5001,BD!$B$3:$B$5001,Q$175,BD!$A$3:$A$5001,"&gt;="&amp;$C$7,BD!$A$3:$A$5001,"&lt;="&amp;$B185,BD!$Z$3:$Z$5001,"&lt;&gt;"))))</f>
        <v/>
      </c>
      <c r="R185" s="43" t="str">
        <f>IF(OR($B185="",$A185&gt;$B$9,R$175=""),"",IF(COUNTIFS(BD!$B$3:$B$5001,R$175,BD!$A$3:$A$5001,"&gt;="&amp;$C$7,BD!$A$3:$A$5001,"&lt;="&amp;$B185,BD!$Z$3:$Z$5001,"&lt;&gt;")=0,"",SUMIFS(BD!$Z$3:$Z$5001,BD!$B$3:$B$5001,R$175,BD!$A$3:$A$5001,_xlfn.MAXIFS(BD!$A$3:$A$5001,BD!$B$3:$B$5001,R$175,BD!$A$3:$A$5001,"&gt;="&amp;$C$7,BD!$A$3:$A$5001,"&lt;="&amp;$B185,BD!$Z$3:$Z$5001,"&lt;&gt;"))))</f>
        <v/>
      </c>
      <c r="S185" s="43" t="str">
        <f>IF(OR($B185="",$A185&gt;$B$9,S$175=""),"",IF(COUNTIFS(BD!$B$3:$B$5001,S$175,BD!$A$3:$A$5001,"&gt;="&amp;$C$7,BD!$A$3:$A$5001,"&lt;="&amp;$B185,BD!$Z$3:$Z$5001,"&lt;&gt;")=0,"",SUMIFS(BD!$Z$3:$Z$5001,BD!$B$3:$B$5001,S$175,BD!$A$3:$A$5001,_xlfn.MAXIFS(BD!$A$3:$A$5001,BD!$B$3:$B$5001,S$175,BD!$A$3:$A$5001,"&gt;="&amp;$C$7,BD!$A$3:$A$5001,"&lt;="&amp;$B185,BD!$Z$3:$Z$5001,"&lt;&gt;"))))</f>
        <v/>
      </c>
      <c r="T185" s="43" t="str">
        <f>IF(OR($B185="",$A185&gt;$B$9,T$175=""),"",IF(COUNTIFS(BD!$B$3:$B$5001,T$175,BD!$A$3:$A$5001,"&gt;="&amp;$C$7,BD!$A$3:$A$5001,"&lt;="&amp;$B185,BD!$Z$3:$Z$5001,"&lt;&gt;")=0,"",SUMIFS(BD!$Z$3:$Z$5001,BD!$B$3:$B$5001,T$175,BD!$A$3:$A$5001,_xlfn.MAXIFS(BD!$A$3:$A$5001,BD!$B$3:$B$5001,T$175,BD!$A$3:$A$5001,"&gt;="&amp;$C$7,BD!$A$3:$A$5001,"&lt;="&amp;$B185,BD!$Z$3:$Z$5001,"&lt;&gt;"))))</f>
        <v/>
      </c>
      <c r="U185" s="43" t="str">
        <f>IF(OR($B185="",$A185&gt;$B$9,U$175=""),"",IF(COUNTIFS(BD!$B$3:$B$5001,U$175,BD!$A$3:$A$5001,"&gt;="&amp;$C$7,BD!$A$3:$A$5001,"&lt;="&amp;$B185,BD!$Z$3:$Z$5001,"&lt;&gt;")=0,"",SUMIFS(BD!$Z$3:$Z$5001,BD!$B$3:$B$5001,U$175,BD!$A$3:$A$5001,_xlfn.MAXIFS(BD!$A$3:$A$5001,BD!$B$3:$B$5001,U$175,BD!$A$3:$A$5001,"&gt;="&amp;$C$7,BD!$A$3:$A$5001,"&lt;="&amp;$B185,BD!$Z$3:$Z$5001,"&lt;&gt;"))))</f>
        <v/>
      </c>
      <c r="V185" s="43" t="str">
        <f>IF(OR($B185="",$A185&gt;$B$9,V$175=""),"",IF(COUNTIFS(BD!$B$3:$B$5001,V$175,BD!$A$3:$A$5001,"&gt;="&amp;$C$7,BD!$A$3:$A$5001,"&lt;="&amp;$B185,BD!$Z$3:$Z$5001,"&lt;&gt;")=0,"",SUMIFS(BD!$Z$3:$Z$5001,BD!$B$3:$B$5001,V$175,BD!$A$3:$A$5001,_xlfn.MAXIFS(BD!$A$3:$A$5001,BD!$B$3:$B$5001,V$175,BD!$A$3:$A$5001,"&gt;="&amp;$C$7,BD!$A$3:$A$5001,"&lt;="&amp;$B185,BD!$Z$3:$Z$5001,"&lt;&gt;"))))</f>
        <v/>
      </c>
    </row>
    <row r="186">
      <c r="A186" s="38">
        <v>11</v>
      </c>
      <c r="B186" s="42">
        <f>$B$22</f>
        <v>46306</v>
      </c>
      <c r="C186" s="43" t="str">
        <f>IF(OR($B186="",$A186&gt;$B$9,C$175=""),"",IF(COUNTIFS(BD!$B$3:$B$5001,C$175,BD!$A$3:$A$5001,"&gt;="&amp;$C$7,BD!$A$3:$A$5001,"&lt;="&amp;$B186,BD!$Z$3:$Z$5001,"&lt;&gt;")=0,"",SUMIFS(BD!$Z$3:$Z$5001,BD!$B$3:$B$5001,C$175,BD!$A$3:$A$5001,_xlfn.MAXIFS(BD!$A$3:$A$5001,BD!$B$3:$B$5001,C$175,BD!$A$3:$A$5001,"&gt;="&amp;$C$7,BD!$A$3:$A$5001,"&lt;="&amp;$B186,BD!$Z$3:$Z$5001,"&lt;&gt;"))))</f>
        <v/>
      </c>
      <c r="D186" s="43" t="str">
        <f>IF(OR($B186="",$A186&gt;$B$9,D$175=""),"",IF(COUNTIFS(BD!$B$3:$B$5001,D$175,BD!$A$3:$A$5001,"&gt;="&amp;$C$7,BD!$A$3:$A$5001,"&lt;="&amp;$B186,BD!$Z$3:$Z$5001,"&lt;&gt;")=0,"",SUMIFS(BD!$Z$3:$Z$5001,BD!$B$3:$B$5001,D$175,BD!$A$3:$A$5001,_xlfn.MAXIFS(BD!$A$3:$A$5001,BD!$B$3:$B$5001,D$175,BD!$A$3:$A$5001,"&gt;="&amp;$C$7,BD!$A$3:$A$5001,"&lt;="&amp;$B186,BD!$Z$3:$Z$5001,"&lt;&gt;"))))</f>
        <v/>
      </c>
      <c r="E186" s="43" t="str">
        <f>IF(OR($B186="",$A186&gt;$B$9,E$175=""),"",IF(COUNTIFS(BD!$B$3:$B$5001,E$175,BD!$A$3:$A$5001,"&gt;="&amp;$C$7,BD!$A$3:$A$5001,"&lt;="&amp;$B186,BD!$Z$3:$Z$5001,"&lt;&gt;")=0,"",SUMIFS(BD!$Z$3:$Z$5001,BD!$B$3:$B$5001,E$175,BD!$A$3:$A$5001,_xlfn.MAXIFS(BD!$A$3:$A$5001,BD!$B$3:$B$5001,E$175,BD!$A$3:$A$5001,"&gt;="&amp;$C$7,BD!$A$3:$A$5001,"&lt;="&amp;$B186,BD!$Z$3:$Z$5001,"&lt;&gt;"))))</f>
        <v/>
      </c>
      <c r="F186" s="43" t="str">
        <f>IF(OR($B186="",$A186&gt;$B$9,F$175=""),"",IF(COUNTIFS(BD!$B$3:$B$5001,F$175,BD!$A$3:$A$5001,"&gt;="&amp;$C$7,BD!$A$3:$A$5001,"&lt;="&amp;$B186,BD!$Z$3:$Z$5001,"&lt;&gt;")=0,"",SUMIFS(BD!$Z$3:$Z$5001,BD!$B$3:$B$5001,F$175,BD!$A$3:$A$5001,_xlfn.MAXIFS(BD!$A$3:$A$5001,BD!$B$3:$B$5001,F$175,BD!$A$3:$A$5001,"&gt;="&amp;$C$7,BD!$A$3:$A$5001,"&lt;="&amp;$B186,BD!$Z$3:$Z$5001,"&lt;&gt;"))))</f>
        <v/>
      </c>
      <c r="G186" s="43" t="str">
        <f>IF(OR($B186="",$A186&gt;$B$9,G$175=""),"",IF(COUNTIFS(BD!$B$3:$B$5001,G$175,BD!$A$3:$A$5001,"&gt;="&amp;$C$7,BD!$A$3:$A$5001,"&lt;="&amp;$B186,BD!$Z$3:$Z$5001,"&lt;&gt;")=0,"",SUMIFS(BD!$Z$3:$Z$5001,BD!$B$3:$B$5001,G$175,BD!$A$3:$A$5001,_xlfn.MAXIFS(BD!$A$3:$A$5001,BD!$B$3:$B$5001,G$175,BD!$A$3:$A$5001,"&gt;="&amp;$C$7,BD!$A$3:$A$5001,"&lt;="&amp;$B186,BD!$Z$3:$Z$5001,"&lt;&gt;"))))</f>
        <v/>
      </c>
      <c r="H186" s="43" t="str">
        <f>IF(OR($B186="",$A186&gt;$B$9,H$175=""),"",IF(COUNTIFS(BD!$B$3:$B$5001,H$175,BD!$A$3:$A$5001,"&gt;="&amp;$C$7,BD!$A$3:$A$5001,"&lt;="&amp;$B186,BD!$Z$3:$Z$5001,"&lt;&gt;")=0,"",SUMIFS(BD!$Z$3:$Z$5001,BD!$B$3:$B$5001,H$175,BD!$A$3:$A$5001,_xlfn.MAXIFS(BD!$A$3:$A$5001,BD!$B$3:$B$5001,H$175,BD!$A$3:$A$5001,"&gt;="&amp;$C$7,BD!$A$3:$A$5001,"&lt;="&amp;$B186,BD!$Z$3:$Z$5001,"&lt;&gt;"))))</f>
        <v/>
      </c>
      <c r="I186" s="43" t="str">
        <f>IF(OR($B186="",$A186&gt;$B$9,I$175=""),"",IF(COUNTIFS(BD!$B$3:$B$5001,I$175,BD!$A$3:$A$5001,"&gt;="&amp;$C$7,BD!$A$3:$A$5001,"&lt;="&amp;$B186,BD!$Z$3:$Z$5001,"&lt;&gt;")=0,"",SUMIFS(BD!$Z$3:$Z$5001,BD!$B$3:$B$5001,I$175,BD!$A$3:$A$5001,_xlfn.MAXIFS(BD!$A$3:$A$5001,BD!$B$3:$B$5001,I$175,BD!$A$3:$A$5001,"&gt;="&amp;$C$7,BD!$A$3:$A$5001,"&lt;="&amp;$B186,BD!$Z$3:$Z$5001,"&lt;&gt;"))))</f>
        <v/>
      </c>
      <c r="J186" s="43" t="str">
        <f>IF(OR($B186="",$A186&gt;$B$9,J$175=""),"",IF(COUNTIFS(BD!$B$3:$B$5001,J$175,BD!$A$3:$A$5001,"&gt;="&amp;$C$7,BD!$A$3:$A$5001,"&lt;="&amp;$B186,BD!$Z$3:$Z$5001,"&lt;&gt;")=0,"",SUMIFS(BD!$Z$3:$Z$5001,BD!$B$3:$B$5001,J$175,BD!$A$3:$A$5001,_xlfn.MAXIFS(BD!$A$3:$A$5001,BD!$B$3:$B$5001,J$175,BD!$A$3:$A$5001,"&gt;="&amp;$C$7,BD!$A$3:$A$5001,"&lt;="&amp;$B186,BD!$Z$3:$Z$5001,"&lt;&gt;"))))</f>
        <v/>
      </c>
      <c r="K186" s="43" t="str">
        <f>IF(OR($B186="",$A186&gt;$B$9,K$175=""),"",IF(COUNTIFS(BD!$B$3:$B$5001,K$175,BD!$A$3:$A$5001,"&gt;="&amp;$C$7,BD!$A$3:$A$5001,"&lt;="&amp;$B186,BD!$Z$3:$Z$5001,"&lt;&gt;")=0,"",SUMIFS(BD!$Z$3:$Z$5001,BD!$B$3:$B$5001,K$175,BD!$A$3:$A$5001,_xlfn.MAXIFS(BD!$A$3:$A$5001,BD!$B$3:$B$5001,K$175,BD!$A$3:$A$5001,"&gt;="&amp;$C$7,BD!$A$3:$A$5001,"&lt;="&amp;$B186,BD!$Z$3:$Z$5001,"&lt;&gt;"))))</f>
        <v/>
      </c>
      <c r="L186" s="43" t="str">
        <f>IF(OR($B186="",$A186&gt;$B$9,L$175=""),"",IF(COUNTIFS(BD!$B$3:$B$5001,L$175,BD!$A$3:$A$5001,"&gt;="&amp;$C$7,BD!$A$3:$A$5001,"&lt;="&amp;$B186,BD!$Z$3:$Z$5001,"&lt;&gt;")=0,"",SUMIFS(BD!$Z$3:$Z$5001,BD!$B$3:$B$5001,L$175,BD!$A$3:$A$5001,_xlfn.MAXIFS(BD!$A$3:$A$5001,BD!$B$3:$B$5001,L$175,BD!$A$3:$A$5001,"&gt;="&amp;$C$7,BD!$A$3:$A$5001,"&lt;="&amp;$B186,BD!$Z$3:$Z$5001,"&lt;&gt;"))))</f>
        <v/>
      </c>
      <c r="M186" s="43" t="str">
        <f>IF(OR($B186="",$A186&gt;$B$9,M$175=""),"",IF(COUNTIFS(BD!$B$3:$B$5001,M$175,BD!$A$3:$A$5001,"&gt;="&amp;$C$7,BD!$A$3:$A$5001,"&lt;="&amp;$B186,BD!$Z$3:$Z$5001,"&lt;&gt;")=0,"",SUMIFS(BD!$Z$3:$Z$5001,BD!$B$3:$B$5001,M$175,BD!$A$3:$A$5001,_xlfn.MAXIFS(BD!$A$3:$A$5001,BD!$B$3:$B$5001,M$175,BD!$A$3:$A$5001,"&gt;="&amp;$C$7,BD!$A$3:$A$5001,"&lt;="&amp;$B186,BD!$Z$3:$Z$5001,"&lt;&gt;"))))</f>
        <v/>
      </c>
      <c r="N186" s="43" t="str">
        <f>IF(OR($B186="",$A186&gt;$B$9,N$175=""),"",IF(COUNTIFS(BD!$B$3:$B$5001,N$175,BD!$A$3:$A$5001,"&gt;="&amp;$C$7,BD!$A$3:$A$5001,"&lt;="&amp;$B186,BD!$Z$3:$Z$5001,"&lt;&gt;")=0,"",SUMIFS(BD!$Z$3:$Z$5001,BD!$B$3:$B$5001,N$175,BD!$A$3:$A$5001,_xlfn.MAXIFS(BD!$A$3:$A$5001,BD!$B$3:$B$5001,N$175,BD!$A$3:$A$5001,"&gt;="&amp;$C$7,BD!$A$3:$A$5001,"&lt;="&amp;$B186,BD!$Z$3:$Z$5001,"&lt;&gt;"))))</f>
        <v/>
      </c>
      <c r="O186" s="43" t="str">
        <f>IF(OR($B186="",$A186&gt;$B$9,O$175=""),"",IF(COUNTIFS(BD!$B$3:$B$5001,O$175,BD!$A$3:$A$5001,"&gt;="&amp;$C$7,BD!$A$3:$A$5001,"&lt;="&amp;$B186,BD!$Z$3:$Z$5001,"&lt;&gt;")=0,"",SUMIFS(BD!$Z$3:$Z$5001,BD!$B$3:$B$5001,O$175,BD!$A$3:$A$5001,_xlfn.MAXIFS(BD!$A$3:$A$5001,BD!$B$3:$B$5001,O$175,BD!$A$3:$A$5001,"&gt;="&amp;$C$7,BD!$A$3:$A$5001,"&lt;="&amp;$B186,BD!$Z$3:$Z$5001,"&lt;&gt;"))))</f>
        <v/>
      </c>
      <c r="P186" s="43" t="str">
        <f>IF(OR($B186="",$A186&gt;$B$9,P$175=""),"",IF(COUNTIFS(BD!$B$3:$B$5001,P$175,BD!$A$3:$A$5001,"&gt;="&amp;$C$7,BD!$A$3:$A$5001,"&lt;="&amp;$B186,BD!$Z$3:$Z$5001,"&lt;&gt;")=0,"",SUMIFS(BD!$Z$3:$Z$5001,BD!$B$3:$B$5001,P$175,BD!$A$3:$A$5001,_xlfn.MAXIFS(BD!$A$3:$A$5001,BD!$B$3:$B$5001,P$175,BD!$A$3:$A$5001,"&gt;="&amp;$C$7,BD!$A$3:$A$5001,"&lt;="&amp;$B186,BD!$Z$3:$Z$5001,"&lt;&gt;"))))</f>
        <v/>
      </c>
      <c r="Q186" s="43" t="str">
        <f>IF(OR($B186="",$A186&gt;$B$9,Q$175=""),"",IF(COUNTIFS(BD!$B$3:$B$5001,Q$175,BD!$A$3:$A$5001,"&gt;="&amp;$C$7,BD!$A$3:$A$5001,"&lt;="&amp;$B186,BD!$Z$3:$Z$5001,"&lt;&gt;")=0,"",SUMIFS(BD!$Z$3:$Z$5001,BD!$B$3:$B$5001,Q$175,BD!$A$3:$A$5001,_xlfn.MAXIFS(BD!$A$3:$A$5001,BD!$B$3:$B$5001,Q$175,BD!$A$3:$A$5001,"&gt;="&amp;$C$7,BD!$A$3:$A$5001,"&lt;="&amp;$B186,BD!$Z$3:$Z$5001,"&lt;&gt;"))))</f>
        <v/>
      </c>
      <c r="R186" s="43" t="str">
        <f>IF(OR($B186="",$A186&gt;$B$9,R$175=""),"",IF(COUNTIFS(BD!$B$3:$B$5001,R$175,BD!$A$3:$A$5001,"&gt;="&amp;$C$7,BD!$A$3:$A$5001,"&lt;="&amp;$B186,BD!$Z$3:$Z$5001,"&lt;&gt;")=0,"",SUMIFS(BD!$Z$3:$Z$5001,BD!$B$3:$B$5001,R$175,BD!$A$3:$A$5001,_xlfn.MAXIFS(BD!$A$3:$A$5001,BD!$B$3:$B$5001,R$175,BD!$A$3:$A$5001,"&gt;="&amp;$C$7,BD!$A$3:$A$5001,"&lt;="&amp;$B186,BD!$Z$3:$Z$5001,"&lt;&gt;"))))</f>
        <v/>
      </c>
      <c r="S186" s="43" t="str">
        <f>IF(OR($B186="",$A186&gt;$B$9,S$175=""),"",IF(COUNTIFS(BD!$B$3:$B$5001,S$175,BD!$A$3:$A$5001,"&gt;="&amp;$C$7,BD!$A$3:$A$5001,"&lt;="&amp;$B186,BD!$Z$3:$Z$5001,"&lt;&gt;")=0,"",SUMIFS(BD!$Z$3:$Z$5001,BD!$B$3:$B$5001,S$175,BD!$A$3:$A$5001,_xlfn.MAXIFS(BD!$A$3:$A$5001,BD!$B$3:$B$5001,S$175,BD!$A$3:$A$5001,"&gt;="&amp;$C$7,BD!$A$3:$A$5001,"&lt;="&amp;$B186,BD!$Z$3:$Z$5001,"&lt;&gt;"))))</f>
        <v/>
      </c>
      <c r="T186" s="43" t="str">
        <f>IF(OR($B186="",$A186&gt;$B$9,T$175=""),"",IF(COUNTIFS(BD!$B$3:$B$5001,T$175,BD!$A$3:$A$5001,"&gt;="&amp;$C$7,BD!$A$3:$A$5001,"&lt;="&amp;$B186,BD!$Z$3:$Z$5001,"&lt;&gt;")=0,"",SUMIFS(BD!$Z$3:$Z$5001,BD!$B$3:$B$5001,T$175,BD!$A$3:$A$5001,_xlfn.MAXIFS(BD!$A$3:$A$5001,BD!$B$3:$B$5001,T$175,BD!$A$3:$A$5001,"&gt;="&amp;$C$7,BD!$A$3:$A$5001,"&lt;="&amp;$B186,BD!$Z$3:$Z$5001,"&lt;&gt;"))))</f>
        <v/>
      </c>
      <c r="U186" s="43" t="str">
        <f>IF(OR($B186="",$A186&gt;$B$9,U$175=""),"",IF(COUNTIFS(BD!$B$3:$B$5001,U$175,BD!$A$3:$A$5001,"&gt;="&amp;$C$7,BD!$A$3:$A$5001,"&lt;="&amp;$B186,BD!$Z$3:$Z$5001,"&lt;&gt;")=0,"",SUMIFS(BD!$Z$3:$Z$5001,BD!$B$3:$B$5001,U$175,BD!$A$3:$A$5001,_xlfn.MAXIFS(BD!$A$3:$A$5001,BD!$B$3:$B$5001,U$175,BD!$A$3:$A$5001,"&gt;="&amp;$C$7,BD!$A$3:$A$5001,"&lt;="&amp;$B186,BD!$Z$3:$Z$5001,"&lt;&gt;"))))</f>
        <v/>
      </c>
      <c r="V186" s="43" t="str">
        <f>IF(OR($B186="",$A186&gt;$B$9,V$175=""),"",IF(COUNTIFS(BD!$B$3:$B$5001,V$175,BD!$A$3:$A$5001,"&gt;="&amp;$C$7,BD!$A$3:$A$5001,"&lt;="&amp;$B186,BD!$Z$3:$Z$5001,"&lt;&gt;")=0,"",SUMIFS(BD!$Z$3:$Z$5001,BD!$B$3:$B$5001,V$175,BD!$A$3:$A$5001,_xlfn.MAXIFS(BD!$A$3:$A$5001,BD!$B$3:$B$5001,V$175,BD!$A$3:$A$5001,"&gt;="&amp;$C$7,BD!$A$3:$A$5001,"&lt;="&amp;$B186,BD!$Z$3:$Z$5001,"&lt;&gt;"))))</f>
        <v/>
      </c>
    </row>
    <row r="187">
      <c r="A187" s="38">
        <v>12</v>
      </c>
      <c r="B187" s="42">
        <f>$B$23</f>
        <v>46307</v>
      </c>
      <c r="C187" s="43" t="str">
        <f>IF(OR($B187="",$A187&gt;$B$9,C$175=""),"",IF(COUNTIFS(BD!$B$3:$B$5001,C$175,BD!$A$3:$A$5001,"&gt;="&amp;$C$7,BD!$A$3:$A$5001,"&lt;="&amp;$B187,BD!$Z$3:$Z$5001,"&lt;&gt;")=0,"",SUMIFS(BD!$Z$3:$Z$5001,BD!$B$3:$B$5001,C$175,BD!$A$3:$A$5001,_xlfn.MAXIFS(BD!$A$3:$A$5001,BD!$B$3:$B$5001,C$175,BD!$A$3:$A$5001,"&gt;="&amp;$C$7,BD!$A$3:$A$5001,"&lt;="&amp;$B187,BD!$Z$3:$Z$5001,"&lt;&gt;"))))</f>
        <v/>
      </c>
      <c r="D187" s="43" t="str">
        <f>IF(OR($B187="",$A187&gt;$B$9,D$175=""),"",IF(COUNTIFS(BD!$B$3:$B$5001,D$175,BD!$A$3:$A$5001,"&gt;="&amp;$C$7,BD!$A$3:$A$5001,"&lt;="&amp;$B187,BD!$Z$3:$Z$5001,"&lt;&gt;")=0,"",SUMIFS(BD!$Z$3:$Z$5001,BD!$B$3:$B$5001,D$175,BD!$A$3:$A$5001,_xlfn.MAXIFS(BD!$A$3:$A$5001,BD!$B$3:$B$5001,D$175,BD!$A$3:$A$5001,"&gt;="&amp;$C$7,BD!$A$3:$A$5001,"&lt;="&amp;$B187,BD!$Z$3:$Z$5001,"&lt;&gt;"))))</f>
        <v/>
      </c>
      <c r="E187" s="43" t="str">
        <f>IF(OR($B187="",$A187&gt;$B$9,E$175=""),"",IF(COUNTIFS(BD!$B$3:$B$5001,E$175,BD!$A$3:$A$5001,"&gt;="&amp;$C$7,BD!$A$3:$A$5001,"&lt;="&amp;$B187,BD!$Z$3:$Z$5001,"&lt;&gt;")=0,"",SUMIFS(BD!$Z$3:$Z$5001,BD!$B$3:$B$5001,E$175,BD!$A$3:$A$5001,_xlfn.MAXIFS(BD!$A$3:$A$5001,BD!$B$3:$B$5001,E$175,BD!$A$3:$A$5001,"&gt;="&amp;$C$7,BD!$A$3:$A$5001,"&lt;="&amp;$B187,BD!$Z$3:$Z$5001,"&lt;&gt;"))))</f>
        <v/>
      </c>
      <c r="F187" s="43" t="str">
        <f>IF(OR($B187="",$A187&gt;$B$9,F$175=""),"",IF(COUNTIFS(BD!$B$3:$B$5001,F$175,BD!$A$3:$A$5001,"&gt;="&amp;$C$7,BD!$A$3:$A$5001,"&lt;="&amp;$B187,BD!$Z$3:$Z$5001,"&lt;&gt;")=0,"",SUMIFS(BD!$Z$3:$Z$5001,BD!$B$3:$B$5001,F$175,BD!$A$3:$A$5001,_xlfn.MAXIFS(BD!$A$3:$A$5001,BD!$B$3:$B$5001,F$175,BD!$A$3:$A$5001,"&gt;="&amp;$C$7,BD!$A$3:$A$5001,"&lt;="&amp;$B187,BD!$Z$3:$Z$5001,"&lt;&gt;"))))</f>
        <v/>
      </c>
      <c r="G187" s="43" t="str">
        <f>IF(OR($B187="",$A187&gt;$B$9,G$175=""),"",IF(COUNTIFS(BD!$B$3:$B$5001,G$175,BD!$A$3:$A$5001,"&gt;="&amp;$C$7,BD!$A$3:$A$5001,"&lt;="&amp;$B187,BD!$Z$3:$Z$5001,"&lt;&gt;")=0,"",SUMIFS(BD!$Z$3:$Z$5001,BD!$B$3:$B$5001,G$175,BD!$A$3:$A$5001,_xlfn.MAXIFS(BD!$A$3:$A$5001,BD!$B$3:$B$5001,G$175,BD!$A$3:$A$5001,"&gt;="&amp;$C$7,BD!$A$3:$A$5001,"&lt;="&amp;$B187,BD!$Z$3:$Z$5001,"&lt;&gt;"))))</f>
        <v/>
      </c>
      <c r="H187" s="43" t="str">
        <f>IF(OR($B187="",$A187&gt;$B$9,H$175=""),"",IF(COUNTIFS(BD!$B$3:$B$5001,H$175,BD!$A$3:$A$5001,"&gt;="&amp;$C$7,BD!$A$3:$A$5001,"&lt;="&amp;$B187,BD!$Z$3:$Z$5001,"&lt;&gt;")=0,"",SUMIFS(BD!$Z$3:$Z$5001,BD!$B$3:$B$5001,H$175,BD!$A$3:$A$5001,_xlfn.MAXIFS(BD!$A$3:$A$5001,BD!$B$3:$B$5001,H$175,BD!$A$3:$A$5001,"&gt;="&amp;$C$7,BD!$A$3:$A$5001,"&lt;="&amp;$B187,BD!$Z$3:$Z$5001,"&lt;&gt;"))))</f>
        <v/>
      </c>
      <c r="I187" s="43" t="str">
        <f>IF(OR($B187="",$A187&gt;$B$9,I$175=""),"",IF(COUNTIFS(BD!$B$3:$B$5001,I$175,BD!$A$3:$A$5001,"&gt;="&amp;$C$7,BD!$A$3:$A$5001,"&lt;="&amp;$B187,BD!$Z$3:$Z$5001,"&lt;&gt;")=0,"",SUMIFS(BD!$Z$3:$Z$5001,BD!$B$3:$B$5001,I$175,BD!$A$3:$A$5001,_xlfn.MAXIFS(BD!$A$3:$A$5001,BD!$B$3:$B$5001,I$175,BD!$A$3:$A$5001,"&gt;="&amp;$C$7,BD!$A$3:$A$5001,"&lt;="&amp;$B187,BD!$Z$3:$Z$5001,"&lt;&gt;"))))</f>
        <v/>
      </c>
      <c r="J187" s="43" t="str">
        <f>IF(OR($B187="",$A187&gt;$B$9,J$175=""),"",IF(COUNTIFS(BD!$B$3:$B$5001,J$175,BD!$A$3:$A$5001,"&gt;="&amp;$C$7,BD!$A$3:$A$5001,"&lt;="&amp;$B187,BD!$Z$3:$Z$5001,"&lt;&gt;")=0,"",SUMIFS(BD!$Z$3:$Z$5001,BD!$B$3:$B$5001,J$175,BD!$A$3:$A$5001,_xlfn.MAXIFS(BD!$A$3:$A$5001,BD!$B$3:$B$5001,J$175,BD!$A$3:$A$5001,"&gt;="&amp;$C$7,BD!$A$3:$A$5001,"&lt;="&amp;$B187,BD!$Z$3:$Z$5001,"&lt;&gt;"))))</f>
        <v/>
      </c>
      <c r="K187" s="43" t="str">
        <f>IF(OR($B187="",$A187&gt;$B$9,K$175=""),"",IF(COUNTIFS(BD!$B$3:$B$5001,K$175,BD!$A$3:$A$5001,"&gt;="&amp;$C$7,BD!$A$3:$A$5001,"&lt;="&amp;$B187,BD!$Z$3:$Z$5001,"&lt;&gt;")=0,"",SUMIFS(BD!$Z$3:$Z$5001,BD!$B$3:$B$5001,K$175,BD!$A$3:$A$5001,_xlfn.MAXIFS(BD!$A$3:$A$5001,BD!$B$3:$B$5001,K$175,BD!$A$3:$A$5001,"&gt;="&amp;$C$7,BD!$A$3:$A$5001,"&lt;="&amp;$B187,BD!$Z$3:$Z$5001,"&lt;&gt;"))))</f>
        <v/>
      </c>
      <c r="L187" s="43" t="str">
        <f>IF(OR($B187="",$A187&gt;$B$9,L$175=""),"",IF(COUNTIFS(BD!$B$3:$B$5001,L$175,BD!$A$3:$A$5001,"&gt;="&amp;$C$7,BD!$A$3:$A$5001,"&lt;="&amp;$B187,BD!$Z$3:$Z$5001,"&lt;&gt;")=0,"",SUMIFS(BD!$Z$3:$Z$5001,BD!$B$3:$B$5001,L$175,BD!$A$3:$A$5001,_xlfn.MAXIFS(BD!$A$3:$A$5001,BD!$B$3:$B$5001,L$175,BD!$A$3:$A$5001,"&gt;="&amp;$C$7,BD!$A$3:$A$5001,"&lt;="&amp;$B187,BD!$Z$3:$Z$5001,"&lt;&gt;"))))</f>
        <v/>
      </c>
      <c r="M187" s="43" t="str">
        <f>IF(OR($B187="",$A187&gt;$B$9,M$175=""),"",IF(COUNTIFS(BD!$B$3:$B$5001,M$175,BD!$A$3:$A$5001,"&gt;="&amp;$C$7,BD!$A$3:$A$5001,"&lt;="&amp;$B187,BD!$Z$3:$Z$5001,"&lt;&gt;")=0,"",SUMIFS(BD!$Z$3:$Z$5001,BD!$B$3:$B$5001,M$175,BD!$A$3:$A$5001,_xlfn.MAXIFS(BD!$A$3:$A$5001,BD!$B$3:$B$5001,M$175,BD!$A$3:$A$5001,"&gt;="&amp;$C$7,BD!$A$3:$A$5001,"&lt;="&amp;$B187,BD!$Z$3:$Z$5001,"&lt;&gt;"))))</f>
        <v/>
      </c>
      <c r="N187" s="43" t="str">
        <f>IF(OR($B187="",$A187&gt;$B$9,N$175=""),"",IF(COUNTIFS(BD!$B$3:$B$5001,N$175,BD!$A$3:$A$5001,"&gt;="&amp;$C$7,BD!$A$3:$A$5001,"&lt;="&amp;$B187,BD!$Z$3:$Z$5001,"&lt;&gt;")=0,"",SUMIFS(BD!$Z$3:$Z$5001,BD!$B$3:$B$5001,N$175,BD!$A$3:$A$5001,_xlfn.MAXIFS(BD!$A$3:$A$5001,BD!$B$3:$B$5001,N$175,BD!$A$3:$A$5001,"&gt;="&amp;$C$7,BD!$A$3:$A$5001,"&lt;="&amp;$B187,BD!$Z$3:$Z$5001,"&lt;&gt;"))))</f>
        <v/>
      </c>
      <c r="O187" s="43" t="str">
        <f>IF(OR($B187="",$A187&gt;$B$9,O$175=""),"",IF(COUNTIFS(BD!$B$3:$B$5001,O$175,BD!$A$3:$A$5001,"&gt;="&amp;$C$7,BD!$A$3:$A$5001,"&lt;="&amp;$B187,BD!$Z$3:$Z$5001,"&lt;&gt;")=0,"",SUMIFS(BD!$Z$3:$Z$5001,BD!$B$3:$B$5001,O$175,BD!$A$3:$A$5001,_xlfn.MAXIFS(BD!$A$3:$A$5001,BD!$B$3:$B$5001,O$175,BD!$A$3:$A$5001,"&gt;="&amp;$C$7,BD!$A$3:$A$5001,"&lt;="&amp;$B187,BD!$Z$3:$Z$5001,"&lt;&gt;"))))</f>
        <v/>
      </c>
      <c r="P187" s="43" t="str">
        <f>IF(OR($B187="",$A187&gt;$B$9,P$175=""),"",IF(COUNTIFS(BD!$B$3:$B$5001,P$175,BD!$A$3:$A$5001,"&gt;="&amp;$C$7,BD!$A$3:$A$5001,"&lt;="&amp;$B187,BD!$Z$3:$Z$5001,"&lt;&gt;")=0,"",SUMIFS(BD!$Z$3:$Z$5001,BD!$B$3:$B$5001,P$175,BD!$A$3:$A$5001,_xlfn.MAXIFS(BD!$A$3:$A$5001,BD!$B$3:$B$5001,P$175,BD!$A$3:$A$5001,"&gt;="&amp;$C$7,BD!$A$3:$A$5001,"&lt;="&amp;$B187,BD!$Z$3:$Z$5001,"&lt;&gt;"))))</f>
        <v/>
      </c>
      <c r="Q187" s="43" t="str">
        <f>IF(OR($B187="",$A187&gt;$B$9,Q$175=""),"",IF(COUNTIFS(BD!$B$3:$B$5001,Q$175,BD!$A$3:$A$5001,"&gt;="&amp;$C$7,BD!$A$3:$A$5001,"&lt;="&amp;$B187,BD!$Z$3:$Z$5001,"&lt;&gt;")=0,"",SUMIFS(BD!$Z$3:$Z$5001,BD!$B$3:$B$5001,Q$175,BD!$A$3:$A$5001,_xlfn.MAXIFS(BD!$A$3:$A$5001,BD!$B$3:$B$5001,Q$175,BD!$A$3:$A$5001,"&gt;="&amp;$C$7,BD!$A$3:$A$5001,"&lt;="&amp;$B187,BD!$Z$3:$Z$5001,"&lt;&gt;"))))</f>
        <v/>
      </c>
      <c r="R187" s="43" t="str">
        <f>IF(OR($B187="",$A187&gt;$B$9,R$175=""),"",IF(COUNTIFS(BD!$B$3:$B$5001,R$175,BD!$A$3:$A$5001,"&gt;="&amp;$C$7,BD!$A$3:$A$5001,"&lt;="&amp;$B187,BD!$Z$3:$Z$5001,"&lt;&gt;")=0,"",SUMIFS(BD!$Z$3:$Z$5001,BD!$B$3:$B$5001,R$175,BD!$A$3:$A$5001,_xlfn.MAXIFS(BD!$A$3:$A$5001,BD!$B$3:$B$5001,R$175,BD!$A$3:$A$5001,"&gt;="&amp;$C$7,BD!$A$3:$A$5001,"&lt;="&amp;$B187,BD!$Z$3:$Z$5001,"&lt;&gt;"))))</f>
        <v/>
      </c>
      <c r="S187" s="43" t="str">
        <f>IF(OR($B187="",$A187&gt;$B$9,S$175=""),"",IF(COUNTIFS(BD!$B$3:$B$5001,S$175,BD!$A$3:$A$5001,"&gt;="&amp;$C$7,BD!$A$3:$A$5001,"&lt;="&amp;$B187,BD!$Z$3:$Z$5001,"&lt;&gt;")=0,"",SUMIFS(BD!$Z$3:$Z$5001,BD!$B$3:$B$5001,S$175,BD!$A$3:$A$5001,_xlfn.MAXIFS(BD!$A$3:$A$5001,BD!$B$3:$B$5001,S$175,BD!$A$3:$A$5001,"&gt;="&amp;$C$7,BD!$A$3:$A$5001,"&lt;="&amp;$B187,BD!$Z$3:$Z$5001,"&lt;&gt;"))))</f>
        <v/>
      </c>
      <c r="T187" s="43" t="str">
        <f>IF(OR($B187="",$A187&gt;$B$9,T$175=""),"",IF(COUNTIFS(BD!$B$3:$B$5001,T$175,BD!$A$3:$A$5001,"&gt;="&amp;$C$7,BD!$A$3:$A$5001,"&lt;="&amp;$B187,BD!$Z$3:$Z$5001,"&lt;&gt;")=0,"",SUMIFS(BD!$Z$3:$Z$5001,BD!$B$3:$B$5001,T$175,BD!$A$3:$A$5001,_xlfn.MAXIFS(BD!$A$3:$A$5001,BD!$B$3:$B$5001,T$175,BD!$A$3:$A$5001,"&gt;="&amp;$C$7,BD!$A$3:$A$5001,"&lt;="&amp;$B187,BD!$Z$3:$Z$5001,"&lt;&gt;"))))</f>
        <v/>
      </c>
      <c r="U187" s="43" t="str">
        <f>IF(OR($B187="",$A187&gt;$B$9,U$175=""),"",IF(COUNTIFS(BD!$B$3:$B$5001,U$175,BD!$A$3:$A$5001,"&gt;="&amp;$C$7,BD!$A$3:$A$5001,"&lt;="&amp;$B187,BD!$Z$3:$Z$5001,"&lt;&gt;")=0,"",SUMIFS(BD!$Z$3:$Z$5001,BD!$B$3:$B$5001,U$175,BD!$A$3:$A$5001,_xlfn.MAXIFS(BD!$A$3:$A$5001,BD!$B$3:$B$5001,U$175,BD!$A$3:$A$5001,"&gt;="&amp;$C$7,BD!$A$3:$A$5001,"&lt;="&amp;$B187,BD!$Z$3:$Z$5001,"&lt;&gt;"))))</f>
        <v/>
      </c>
      <c r="V187" s="43" t="str">
        <f>IF(OR($B187="",$A187&gt;$B$9,V$175=""),"",IF(COUNTIFS(BD!$B$3:$B$5001,V$175,BD!$A$3:$A$5001,"&gt;="&amp;$C$7,BD!$A$3:$A$5001,"&lt;="&amp;$B187,BD!$Z$3:$Z$5001,"&lt;&gt;")=0,"",SUMIFS(BD!$Z$3:$Z$5001,BD!$B$3:$B$5001,V$175,BD!$A$3:$A$5001,_xlfn.MAXIFS(BD!$A$3:$A$5001,BD!$B$3:$B$5001,V$175,BD!$A$3:$A$5001,"&gt;="&amp;$C$7,BD!$A$3:$A$5001,"&lt;="&amp;$B187,BD!$Z$3:$Z$5001,"&lt;&gt;"))))</f>
        <v/>
      </c>
    </row>
    <row r="188">
      <c r="A188" s="38">
        <v>13</v>
      </c>
      <c r="B188" s="42">
        <f>$B$24</f>
        <v>46308</v>
      </c>
      <c r="C188" s="43" t="str">
        <f>IF(OR($B188="",$A188&gt;$B$9,C$175=""),"",IF(COUNTIFS(BD!$B$3:$B$5001,C$175,BD!$A$3:$A$5001,"&gt;="&amp;$C$7,BD!$A$3:$A$5001,"&lt;="&amp;$B188,BD!$Z$3:$Z$5001,"&lt;&gt;")=0,"",SUMIFS(BD!$Z$3:$Z$5001,BD!$B$3:$B$5001,C$175,BD!$A$3:$A$5001,_xlfn.MAXIFS(BD!$A$3:$A$5001,BD!$B$3:$B$5001,C$175,BD!$A$3:$A$5001,"&gt;="&amp;$C$7,BD!$A$3:$A$5001,"&lt;="&amp;$B188,BD!$Z$3:$Z$5001,"&lt;&gt;"))))</f>
        <v/>
      </c>
      <c r="D188" s="43" t="str">
        <f>IF(OR($B188="",$A188&gt;$B$9,D$175=""),"",IF(COUNTIFS(BD!$B$3:$B$5001,D$175,BD!$A$3:$A$5001,"&gt;="&amp;$C$7,BD!$A$3:$A$5001,"&lt;="&amp;$B188,BD!$Z$3:$Z$5001,"&lt;&gt;")=0,"",SUMIFS(BD!$Z$3:$Z$5001,BD!$B$3:$B$5001,D$175,BD!$A$3:$A$5001,_xlfn.MAXIFS(BD!$A$3:$A$5001,BD!$B$3:$B$5001,D$175,BD!$A$3:$A$5001,"&gt;="&amp;$C$7,BD!$A$3:$A$5001,"&lt;="&amp;$B188,BD!$Z$3:$Z$5001,"&lt;&gt;"))))</f>
        <v/>
      </c>
      <c r="E188" s="43" t="str">
        <f>IF(OR($B188="",$A188&gt;$B$9,E$175=""),"",IF(COUNTIFS(BD!$B$3:$B$5001,E$175,BD!$A$3:$A$5001,"&gt;="&amp;$C$7,BD!$A$3:$A$5001,"&lt;="&amp;$B188,BD!$Z$3:$Z$5001,"&lt;&gt;")=0,"",SUMIFS(BD!$Z$3:$Z$5001,BD!$B$3:$B$5001,E$175,BD!$A$3:$A$5001,_xlfn.MAXIFS(BD!$A$3:$A$5001,BD!$B$3:$B$5001,E$175,BD!$A$3:$A$5001,"&gt;="&amp;$C$7,BD!$A$3:$A$5001,"&lt;="&amp;$B188,BD!$Z$3:$Z$5001,"&lt;&gt;"))))</f>
        <v/>
      </c>
      <c r="F188" s="43" t="str">
        <f>IF(OR($B188="",$A188&gt;$B$9,F$175=""),"",IF(COUNTIFS(BD!$B$3:$B$5001,F$175,BD!$A$3:$A$5001,"&gt;="&amp;$C$7,BD!$A$3:$A$5001,"&lt;="&amp;$B188,BD!$Z$3:$Z$5001,"&lt;&gt;")=0,"",SUMIFS(BD!$Z$3:$Z$5001,BD!$B$3:$B$5001,F$175,BD!$A$3:$A$5001,_xlfn.MAXIFS(BD!$A$3:$A$5001,BD!$B$3:$B$5001,F$175,BD!$A$3:$A$5001,"&gt;="&amp;$C$7,BD!$A$3:$A$5001,"&lt;="&amp;$B188,BD!$Z$3:$Z$5001,"&lt;&gt;"))))</f>
        <v/>
      </c>
      <c r="G188" s="43" t="str">
        <f>IF(OR($B188="",$A188&gt;$B$9,G$175=""),"",IF(COUNTIFS(BD!$B$3:$B$5001,G$175,BD!$A$3:$A$5001,"&gt;="&amp;$C$7,BD!$A$3:$A$5001,"&lt;="&amp;$B188,BD!$Z$3:$Z$5001,"&lt;&gt;")=0,"",SUMIFS(BD!$Z$3:$Z$5001,BD!$B$3:$B$5001,G$175,BD!$A$3:$A$5001,_xlfn.MAXIFS(BD!$A$3:$A$5001,BD!$B$3:$B$5001,G$175,BD!$A$3:$A$5001,"&gt;="&amp;$C$7,BD!$A$3:$A$5001,"&lt;="&amp;$B188,BD!$Z$3:$Z$5001,"&lt;&gt;"))))</f>
        <v/>
      </c>
      <c r="H188" s="43" t="str">
        <f>IF(OR($B188="",$A188&gt;$B$9,H$175=""),"",IF(COUNTIFS(BD!$B$3:$B$5001,H$175,BD!$A$3:$A$5001,"&gt;="&amp;$C$7,BD!$A$3:$A$5001,"&lt;="&amp;$B188,BD!$Z$3:$Z$5001,"&lt;&gt;")=0,"",SUMIFS(BD!$Z$3:$Z$5001,BD!$B$3:$B$5001,H$175,BD!$A$3:$A$5001,_xlfn.MAXIFS(BD!$A$3:$A$5001,BD!$B$3:$B$5001,H$175,BD!$A$3:$A$5001,"&gt;="&amp;$C$7,BD!$A$3:$A$5001,"&lt;="&amp;$B188,BD!$Z$3:$Z$5001,"&lt;&gt;"))))</f>
        <v/>
      </c>
      <c r="I188" s="43" t="str">
        <f>IF(OR($B188="",$A188&gt;$B$9,I$175=""),"",IF(COUNTIFS(BD!$B$3:$B$5001,I$175,BD!$A$3:$A$5001,"&gt;="&amp;$C$7,BD!$A$3:$A$5001,"&lt;="&amp;$B188,BD!$Z$3:$Z$5001,"&lt;&gt;")=0,"",SUMIFS(BD!$Z$3:$Z$5001,BD!$B$3:$B$5001,I$175,BD!$A$3:$A$5001,_xlfn.MAXIFS(BD!$A$3:$A$5001,BD!$B$3:$B$5001,I$175,BD!$A$3:$A$5001,"&gt;="&amp;$C$7,BD!$A$3:$A$5001,"&lt;="&amp;$B188,BD!$Z$3:$Z$5001,"&lt;&gt;"))))</f>
        <v/>
      </c>
      <c r="J188" s="43" t="str">
        <f>IF(OR($B188="",$A188&gt;$B$9,J$175=""),"",IF(COUNTIFS(BD!$B$3:$B$5001,J$175,BD!$A$3:$A$5001,"&gt;="&amp;$C$7,BD!$A$3:$A$5001,"&lt;="&amp;$B188,BD!$Z$3:$Z$5001,"&lt;&gt;")=0,"",SUMIFS(BD!$Z$3:$Z$5001,BD!$B$3:$B$5001,J$175,BD!$A$3:$A$5001,_xlfn.MAXIFS(BD!$A$3:$A$5001,BD!$B$3:$B$5001,J$175,BD!$A$3:$A$5001,"&gt;="&amp;$C$7,BD!$A$3:$A$5001,"&lt;="&amp;$B188,BD!$Z$3:$Z$5001,"&lt;&gt;"))))</f>
        <v/>
      </c>
      <c r="K188" s="43" t="str">
        <f>IF(OR($B188="",$A188&gt;$B$9,K$175=""),"",IF(COUNTIFS(BD!$B$3:$B$5001,K$175,BD!$A$3:$A$5001,"&gt;="&amp;$C$7,BD!$A$3:$A$5001,"&lt;="&amp;$B188,BD!$Z$3:$Z$5001,"&lt;&gt;")=0,"",SUMIFS(BD!$Z$3:$Z$5001,BD!$B$3:$B$5001,K$175,BD!$A$3:$A$5001,_xlfn.MAXIFS(BD!$A$3:$A$5001,BD!$B$3:$B$5001,K$175,BD!$A$3:$A$5001,"&gt;="&amp;$C$7,BD!$A$3:$A$5001,"&lt;="&amp;$B188,BD!$Z$3:$Z$5001,"&lt;&gt;"))))</f>
        <v/>
      </c>
      <c r="L188" s="43" t="str">
        <f>IF(OR($B188="",$A188&gt;$B$9,L$175=""),"",IF(COUNTIFS(BD!$B$3:$B$5001,L$175,BD!$A$3:$A$5001,"&gt;="&amp;$C$7,BD!$A$3:$A$5001,"&lt;="&amp;$B188,BD!$Z$3:$Z$5001,"&lt;&gt;")=0,"",SUMIFS(BD!$Z$3:$Z$5001,BD!$B$3:$B$5001,L$175,BD!$A$3:$A$5001,_xlfn.MAXIFS(BD!$A$3:$A$5001,BD!$B$3:$B$5001,L$175,BD!$A$3:$A$5001,"&gt;="&amp;$C$7,BD!$A$3:$A$5001,"&lt;="&amp;$B188,BD!$Z$3:$Z$5001,"&lt;&gt;"))))</f>
        <v/>
      </c>
      <c r="M188" s="43" t="str">
        <f>IF(OR($B188="",$A188&gt;$B$9,M$175=""),"",IF(COUNTIFS(BD!$B$3:$B$5001,M$175,BD!$A$3:$A$5001,"&gt;="&amp;$C$7,BD!$A$3:$A$5001,"&lt;="&amp;$B188,BD!$Z$3:$Z$5001,"&lt;&gt;")=0,"",SUMIFS(BD!$Z$3:$Z$5001,BD!$B$3:$B$5001,M$175,BD!$A$3:$A$5001,_xlfn.MAXIFS(BD!$A$3:$A$5001,BD!$B$3:$B$5001,M$175,BD!$A$3:$A$5001,"&gt;="&amp;$C$7,BD!$A$3:$A$5001,"&lt;="&amp;$B188,BD!$Z$3:$Z$5001,"&lt;&gt;"))))</f>
        <v/>
      </c>
      <c r="N188" s="43" t="str">
        <f>IF(OR($B188="",$A188&gt;$B$9,N$175=""),"",IF(COUNTIFS(BD!$B$3:$B$5001,N$175,BD!$A$3:$A$5001,"&gt;="&amp;$C$7,BD!$A$3:$A$5001,"&lt;="&amp;$B188,BD!$Z$3:$Z$5001,"&lt;&gt;")=0,"",SUMIFS(BD!$Z$3:$Z$5001,BD!$B$3:$B$5001,N$175,BD!$A$3:$A$5001,_xlfn.MAXIFS(BD!$A$3:$A$5001,BD!$B$3:$B$5001,N$175,BD!$A$3:$A$5001,"&gt;="&amp;$C$7,BD!$A$3:$A$5001,"&lt;="&amp;$B188,BD!$Z$3:$Z$5001,"&lt;&gt;"))))</f>
        <v/>
      </c>
      <c r="O188" s="43" t="str">
        <f>IF(OR($B188="",$A188&gt;$B$9,O$175=""),"",IF(COUNTIFS(BD!$B$3:$B$5001,O$175,BD!$A$3:$A$5001,"&gt;="&amp;$C$7,BD!$A$3:$A$5001,"&lt;="&amp;$B188,BD!$Z$3:$Z$5001,"&lt;&gt;")=0,"",SUMIFS(BD!$Z$3:$Z$5001,BD!$B$3:$B$5001,O$175,BD!$A$3:$A$5001,_xlfn.MAXIFS(BD!$A$3:$A$5001,BD!$B$3:$B$5001,O$175,BD!$A$3:$A$5001,"&gt;="&amp;$C$7,BD!$A$3:$A$5001,"&lt;="&amp;$B188,BD!$Z$3:$Z$5001,"&lt;&gt;"))))</f>
        <v/>
      </c>
      <c r="P188" s="43" t="str">
        <f>IF(OR($B188="",$A188&gt;$B$9,P$175=""),"",IF(COUNTIFS(BD!$B$3:$B$5001,P$175,BD!$A$3:$A$5001,"&gt;="&amp;$C$7,BD!$A$3:$A$5001,"&lt;="&amp;$B188,BD!$Z$3:$Z$5001,"&lt;&gt;")=0,"",SUMIFS(BD!$Z$3:$Z$5001,BD!$B$3:$B$5001,P$175,BD!$A$3:$A$5001,_xlfn.MAXIFS(BD!$A$3:$A$5001,BD!$B$3:$B$5001,P$175,BD!$A$3:$A$5001,"&gt;="&amp;$C$7,BD!$A$3:$A$5001,"&lt;="&amp;$B188,BD!$Z$3:$Z$5001,"&lt;&gt;"))))</f>
        <v/>
      </c>
      <c r="Q188" s="43" t="str">
        <f>IF(OR($B188="",$A188&gt;$B$9,Q$175=""),"",IF(COUNTIFS(BD!$B$3:$B$5001,Q$175,BD!$A$3:$A$5001,"&gt;="&amp;$C$7,BD!$A$3:$A$5001,"&lt;="&amp;$B188,BD!$Z$3:$Z$5001,"&lt;&gt;")=0,"",SUMIFS(BD!$Z$3:$Z$5001,BD!$B$3:$B$5001,Q$175,BD!$A$3:$A$5001,_xlfn.MAXIFS(BD!$A$3:$A$5001,BD!$B$3:$B$5001,Q$175,BD!$A$3:$A$5001,"&gt;="&amp;$C$7,BD!$A$3:$A$5001,"&lt;="&amp;$B188,BD!$Z$3:$Z$5001,"&lt;&gt;"))))</f>
        <v/>
      </c>
      <c r="R188" s="43" t="str">
        <f>IF(OR($B188="",$A188&gt;$B$9,R$175=""),"",IF(COUNTIFS(BD!$B$3:$B$5001,R$175,BD!$A$3:$A$5001,"&gt;="&amp;$C$7,BD!$A$3:$A$5001,"&lt;="&amp;$B188,BD!$Z$3:$Z$5001,"&lt;&gt;")=0,"",SUMIFS(BD!$Z$3:$Z$5001,BD!$B$3:$B$5001,R$175,BD!$A$3:$A$5001,_xlfn.MAXIFS(BD!$A$3:$A$5001,BD!$B$3:$B$5001,R$175,BD!$A$3:$A$5001,"&gt;="&amp;$C$7,BD!$A$3:$A$5001,"&lt;="&amp;$B188,BD!$Z$3:$Z$5001,"&lt;&gt;"))))</f>
        <v/>
      </c>
      <c r="S188" s="43" t="str">
        <f>IF(OR($B188="",$A188&gt;$B$9,S$175=""),"",IF(COUNTIFS(BD!$B$3:$B$5001,S$175,BD!$A$3:$A$5001,"&gt;="&amp;$C$7,BD!$A$3:$A$5001,"&lt;="&amp;$B188,BD!$Z$3:$Z$5001,"&lt;&gt;")=0,"",SUMIFS(BD!$Z$3:$Z$5001,BD!$B$3:$B$5001,S$175,BD!$A$3:$A$5001,_xlfn.MAXIFS(BD!$A$3:$A$5001,BD!$B$3:$B$5001,S$175,BD!$A$3:$A$5001,"&gt;="&amp;$C$7,BD!$A$3:$A$5001,"&lt;="&amp;$B188,BD!$Z$3:$Z$5001,"&lt;&gt;"))))</f>
        <v/>
      </c>
      <c r="T188" s="43" t="str">
        <f>IF(OR($B188="",$A188&gt;$B$9,T$175=""),"",IF(COUNTIFS(BD!$B$3:$B$5001,T$175,BD!$A$3:$A$5001,"&gt;="&amp;$C$7,BD!$A$3:$A$5001,"&lt;="&amp;$B188,BD!$Z$3:$Z$5001,"&lt;&gt;")=0,"",SUMIFS(BD!$Z$3:$Z$5001,BD!$B$3:$B$5001,T$175,BD!$A$3:$A$5001,_xlfn.MAXIFS(BD!$A$3:$A$5001,BD!$B$3:$B$5001,T$175,BD!$A$3:$A$5001,"&gt;="&amp;$C$7,BD!$A$3:$A$5001,"&lt;="&amp;$B188,BD!$Z$3:$Z$5001,"&lt;&gt;"))))</f>
        <v/>
      </c>
      <c r="U188" s="43" t="str">
        <f>IF(OR($B188="",$A188&gt;$B$9,U$175=""),"",IF(COUNTIFS(BD!$B$3:$B$5001,U$175,BD!$A$3:$A$5001,"&gt;="&amp;$C$7,BD!$A$3:$A$5001,"&lt;="&amp;$B188,BD!$Z$3:$Z$5001,"&lt;&gt;")=0,"",SUMIFS(BD!$Z$3:$Z$5001,BD!$B$3:$B$5001,U$175,BD!$A$3:$A$5001,_xlfn.MAXIFS(BD!$A$3:$A$5001,BD!$B$3:$B$5001,U$175,BD!$A$3:$A$5001,"&gt;="&amp;$C$7,BD!$A$3:$A$5001,"&lt;="&amp;$B188,BD!$Z$3:$Z$5001,"&lt;&gt;"))))</f>
        <v/>
      </c>
      <c r="V188" s="43" t="str">
        <f>IF(OR($B188="",$A188&gt;$B$9,V$175=""),"",IF(COUNTIFS(BD!$B$3:$B$5001,V$175,BD!$A$3:$A$5001,"&gt;="&amp;$C$7,BD!$A$3:$A$5001,"&lt;="&amp;$B188,BD!$Z$3:$Z$5001,"&lt;&gt;")=0,"",SUMIFS(BD!$Z$3:$Z$5001,BD!$B$3:$B$5001,V$175,BD!$A$3:$A$5001,_xlfn.MAXIFS(BD!$A$3:$A$5001,BD!$B$3:$B$5001,V$175,BD!$A$3:$A$5001,"&gt;="&amp;$C$7,BD!$A$3:$A$5001,"&lt;="&amp;$B188,BD!$Z$3:$Z$5001,"&lt;&gt;"))))</f>
        <v/>
      </c>
    </row>
    <row r="189">
      <c r="A189" s="38">
        <v>14</v>
      </c>
      <c r="B189" s="42">
        <f>$B$25</f>
        <v>46309</v>
      </c>
      <c r="C189" s="43" t="str">
        <f>IF(OR($B189="",$A189&gt;$B$9,C$175=""),"",IF(COUNTIFS(BD!$B$3:$B$5001,C$175,BD!$A$3:$A$5001,"&gt;="&amp;$C$7,BD!$A$3:$A$5001,"&lt;="&amp;$B189,BD!$Z$3:$Z$5001,"&lt;&gt;")=0,"",SUMIFS(BD!$Z$3:$Z$5001,BD!$B$3:$B$5001,C$175,BD!$A$3:$A$5001,_xlfn.MAXIFS(BD!$A$3:$A$5001,BD!$B$3:$B$5001,C$175,BD!$A$3:$A$5001,"&gt;="&amp;$C$7,BD!$A$3:$A$5001,"&lt;="&amp;$B189,BD!$Z$3:$Z$5001,"&lt;&gt;"))))</f>
        <v/>
      </c>
      <c r="D189" s="43" t="str">
        <f>IF(OR($B189="",$A189&gt;$B$9,D$175=""),"",IF(COUNTIFS(BD!$B$3:$B$5001,D$175,BD!$A$3:$A$5001,"&gt;="&amp;$C$7,BD!$A$3:$A$5001,"&lt;="&amp;$B189,BD!$Z$3:$Z$5001,"&lt;&gt;")=0,"",SUMIFS(BD!$Z$3:$Z$5001,BD!$B$3:$B$5001,D$175,BD!$A$3:$A$5001,_xlfn.MAXIFS(BD!$A$3:$A$5001,BD!$B$3:$B$5001,D$175,BD!$A$3:$A$5001,"&gt;="&amp;$C$7,BD!$A$3:$A$5001,"&lt;="&amp;$B189,BD!$Z$3:$Z$5001,"&lt;&gt;"))))</f>
        <v/>
      </c>
      <c r="E189" s="43" t="str">
        <f>IF(OR($B189="",$A189&gt;$B$9,E$175=""),"",IF(COUNTIFS(BD!$B$3:$B$5001,E$175,BD!$A$3:$A$5001,"&gt;="&amp;$C$7,BD!$A$3:$A$5001,"&lt;="&amp;$B189,BD!$Z$3:$Z$5001,"&lt;&gt;")=0,"",SUMIFS(BD!$Z$3:$Z$5001,BD!$B$3:$B$5001,E$175,BD!$A$3:$A$5001,_xlfn.MAXIFS(BD!$A$3:$A$5001,BD!$B$3:$B$5001,E$175,BD!$A$3:$A$5001,"&gt;="&amp;$C$7,BD!$A$3:$A$5001,"&lt;="&amp;$B189,BD!$Z$3:$Z$5001,"&lt;&gt;"))))</f>
        <v/>
      </c>
      <c r="F189" s="43" t="str">
        <f>IF(OR($B189="",$A189&gt;$B$9,F$175=""),"",IF(COUNTIFS(BD!$B$3:$B$5001,F$175,BD!$A$3:$A$5001,"&gt;="&amp;$C$7,BD!$A$3:$A$5001,"&lt;="&amp;$B189,BD!$Z$3:$Z$5001,"&lt;&gt;")=0,"",SUMIFS(BD!$Z$3:$Z$5001,BD!$B$3:$B$5001,F$175,BD!$A$3:$A$5001,_xlfn.MAXIFS(BD!$A$3:$A$5001,BD!$B$3:$B$5001,F$175,BD!$A$3:$A$5001,"&gt;="&amp;$C$7,BD!$A$3:$A$5001,"&lt;="&amp;$B189,BD!$Z$3:$Z$5001,"&lt;&gt;"))))</f>
        <v/>
      </c>
      <c r="G189" s="43" t="str">
        <f>IF(OR($B189="",$A189&gt;$B$9,G$175=""),"",IF(COUNTIFS(BD!$B$3:$B$5001,G$175,BD!$A$3:$A$5001,"&gt;="&amp;$C$7,BD!$A$3:$A$5001,"&lt;="&amp;$B189,BD!$Z$3:$Z$5001,"&lt;&gt;")=0,"",SUMIFS(BD!$Z$3:$Z$5001,BD!$B$3:$B$5001,G$175,BD!$A$3:$A$5001,_xlfn.MAXIFS(BD!$A$3:$A$5001,BD!$B$3:$B$5001,G$175,BD!$A$3:$A$5001,"&gt;="&amp;$C$7,BD!$A$3:$A$5001,"&lt;="&amp;$B189,BD!$Z$3:$Z$5001,"&lt;&gt;"))))</f>
        <v/>
      </c>
      <c r="H189" s="43" t="str">
        <f>IF(OR($B189="",$A189&gt;$B$9,H$175=""),"",IF(COUNTIFS(BD!$B$3:$B$5001,H$175,BD!$A$3:$A$5001,"&gt;="&amp;$C$7,BD!$A$3:$A$5001,"&lt;="&amp;$B189,BD!$Z$3:$Z$5001,"&lt;&gt;")=0,"",SUMIFS(BD!$Z$3:$Z$5001,BD!$B$3:$B$5001,H$175,BD!$A$3:$A$5001,_xlfn.MAXIFS(BD!$A$3:$A$5001,BD!$B$3:$B$5001,H$175,BD!$A$3:$A$5001,"&gt;="&amp;$C$7,BD!$A$3:$A$5001,"&lt;="&amp;$B189,BD!$Z$3:$Z$5001,"&lt;&gt;"))))</f>
        <v/>
      </c>
      <c r="I189" s="43" t="str">
        <f>IF(OR($B189="",$A189&gt;$B$9,I$175=""),"",IF(COUNTIFS(BD!$B$3:$B$5001,I$175,BD!$A$3:$A$5001,"&gt;="&amp;$C$7,BD!$A$3:$A$5001,"&lt;="&amp;$B189,BD!$Z$3:$Z$5001,"&lt;&gt;")=0,"",SUMIFS(BD!$Z$3:$Z$5001,BD!$B$3:$B$5001,I$175,BD!$A$3:$A$5001,_xlfn.MAXIFS(BD!$A$3:$A$5001,BD!$B$3:$B$5001,I$175,BD!$A$3:$A$5001,"&gt;="&amp;$C$7,BD!$A$3:$A$5001,"&lt;="&amp;$B189,BD!$Z$3:$Z$5001,"&lt;&gt;"))))</f>
        <v/>
      </c>
      <c r="J189" s="43" t="str">
        <f>IF(OR($B189="",$A189&gt;$B$9,J$175=""),"",IF(COUNTIFS(BD!$B$3:$B$5001,J$175,BD!$A$3:$A$5001,"&gt;="&amp;$C$7,BD!$A$3:$A$5001,"&lt;="&amp;$B189,BD!$Z$3:$Z$5001,"&lt;&gt;")=0,"",SUMIFS(BD!$Z$3:$Z$5001,BD!$B$3:$B$5001,J$175,BD!$A$3:$A$5001,_xlfn.MAXIFS(BD!$A$3:$A$5001,BD!$B$3:$B$5001,J$175,BD!$A$3:$A$5001,"&gt;="&amp;$C$7,BD!$A$3:$A$5001,"&lt;="&amp;$B189,BD!$Z$3:$Z$5001,"&lt;&gt;"))))</f>
        <v/>
      </c>
      <c r="K189" s="43" t="str">
        <f>IF(OR($B189="",$A189&gt;$B$9,K$175=""),"",IF(COUNTIFS(BD!$B$3:$B$5001,K$175,BD!$A$3:$A$5001,"&gt;="&amp;$C$7,BD!$A$3:$A$5001,"&lt;="&amp;$B189,BD!$Z$3:$Z$5001,"&lt;&gt;")=0,"",SUMIFS(BD!$Z$3:$Z$5001,BD!$B$3:$B$5001,K$175,BD!$A$3:$A$5001,_xlfn.MAXIFS(BD!$A$3:$A$5001,BD!$B$3:$B$5001,K$175,BD!$A$3:$A$5001,"&gt;="&amp;$C$7,BD!$A$3:$A$5001,"&lt;="&amp;$B189,BD!$Z$3:$Z$5001,"&lt;&gt;"))))</f>
        <v/>
      </c>
      <c r="L189" s="43" t="str">
        <f>IF(OR($B189="",$A189&gt;$B$9,L$175=""),"",IF(COUNTIFS(BD!$B$3:$B$5001,L$175,BD!$A$3:$A$5001,"&gt;="&amp;$C$7,BD!$A$3:$A$5001,"&lt;="&amp;$B189,BD!$Z$3:$Z$5001,"&lt;&gt;")=0,"",SUMIFS(BD!$Z$3:$Z$5001,BD!$B$3:$B$5001,L$175,BD!$A$3:$A$5001,_xlfn.MAXIFS(BD!$A$3:$A$5001,BD!$B$3:$B$5001,L$175,BD!$A$3:$A$5001,"&gt;="&amp;$C$7,BD!$A$3:$A$5001,"&lt;="&amp;$B189,BD!$Z$3:$Z$5001,"&lt;&gt;"))))</f>
        <v/>
      </c>
      <c r="M189" s="43" t="str">
        <f>IF(OR($B189="",$A189&gt;$B$9,M$175=""),"",IF(COUNTIFS(BD!$B$3:$B$5001,M$175,BD!$A$3:$A$5001,"&gt;="&amp;$C$7,BD!$A$3:$A$5001,"&lt;="&amp;$B189,BD!$Z$3:$Z$5001,"&lt;&gt;")=0,"",SUMIFS(BD!$Z$3:$Z$5001,BD!$B$3:$B$5001,M$175,BD!$A$3:$A$5001,_xlfn.MAXIFS(BD!$A$3:$A$5001,BD!$B$3:$B$5001,M$175,BD!$A$3:$A$5001,"&gt;="&amp;$C$7,BD!$A$3:$A$5001,"&lt;="&amp;$B189,BD!$Z$3:$Z$5001,"&lt;&gt;"))))</f>
        <v/>
      </c>
      <c r="N189" s="43" t="str">
        <f>IF(OR($B189="",$A189&gt;$B$9,N$175=""),"",IF(COUNTIFS(BD!$B$3:$B$5001,N$175,BD!$A$3:$A$5001,"&gt;="&amp;$C$7,BD!$A$3:$A$5001,"&lt;="&amp;$B189,BD!$Z$3:$Z$5001,"&lt;&gt;")=0,"",SUMIFS(BD!$Z$3:$Z$5001,BD!$B$3:$B$5001,N$175,BD!$A$3:$A$5001,_xlfn.MAXIFS(BD!$A$3:$A$5001,BD!$B$3:$B$5001,N$175,BD!$A$3:$A$5001,"&gt;="&amp;$C$7,BD!$A$3:$A$5001,"&lt;="&amp;$B189,BD!$Z$3:$Z$5001,"&lt;&gt;"))))</f>
        <v/>
      </c>
      <c r="O189" s="43" t="str">
        <f>IF(OR($B189="",$A189&gt;$B$9,O$175=""),"",IF(COUNTIFS(BD!$B$3:$B$5001,O$175,BD!$A$3:$A$5001,"&gt;="&amp;$C$7,BD!$A$3:$A$5001,"&lt;="&amp;$B189,BD!$Z$3:$Z$5001,"&lt;&gt;")=0,"",SUMIFS(BD!$Z$3:$Z$5001,BD!$B$3:$B$5001,O$175,BD!$A$3:$A$5001,_xlfn.MAXIFS(BD!$A$3:$A$5001,BD!$B$3:$B$5001,O$175,BD!$A$3:$A$5001,"&gt;="&amp;$C$7,BD!$A$3:$A$5001,"&lt;="&amp;$B189,BD!$Z$3:$Z$5001,"&lt;&gt;"))))</f>
        <v/>
      </c>
      <c r="P189" s="43" t="str">
        <f>IF(OR($B189="",$A189&gt;$B$9,P$175=""),"",IF(COUNTIFS(BD!$B$3:$B$5001,P$175,BD!$A$3:$A$5001,"&gt;="&amp;$C$7,BD!$A$3:$A$5001,"&lt;="&amp;$B189,BD!$Z$3:$Z$5001,"&lt;&gt;")=0,"",SUMIFS(BD!$Z$3:$Z$5001,BD!$B$3:$B$5001,P$175,BD!$A$3:$A$5001,_xlfn.MAXIFS(BD!$A$3:$A$5001,BD!$B$3:$B$5001,P$175,BD!$A$3:$A$5001,"&gt;="&amp;$C$7,BD!$A$3:$A$5001,"&lt;="&amp;$B189,BD!$Z$3:$Z$5001,"&lt;&gt;"))))</f>
        <v/>
      </c>
      <c r="Q189" s="43" t="str">
        <f>IF(OR($B189="",$A189&gt;$B$9,Q$175=""),"",IF(COUNTIFS(BD!$B$3:$B$5001,Q$175,BD!$A$3:$A$5001,"&gt;="&amp;$C$7,BD!$A$3:$A$5001,"&lt;="&amp;$B189,BD!$Z$3:$Z$5001,"&lt;&gt;")=0,"",SUMIFS(BD!$Z$3:$Z$5001,BD!$B$3:$B$5001,Q$175,BD!$A$3:$A$5001,_xlfn.MAXIFS(BD!$A$3:$A$5001,BD!$B$3:$B$5001,Q$175,BD!$A$3:$A$5001,"&gt;="&amp;$C$7,BD!$A$3:$A$5001,"&lt;="&amp;$B189,BD!$Z$3:$Z$5001,"&lt;&gt;"))))</f>
        <v/>
      </c>
      <c r="R189" s="43" t="str">
        <f>IF(OR($B189="",$A189&gt;$B$9,R$175=""),"",IF(COUNTIFS(BD!$B$3:$B$5001,R$175,BD!$A$3:$A$5001,"&gt;="&amp;$C$7,BD!$A$3:$A$5001,"&lt;="&amp;$B189,BD!$Z$3:$Z$5001,"&lt;&gt;")=0,"",SUMIFS(BD!$Z$3:$Z$5001,BD!$B$3:$B$5001,R$175,BD!$A$3:$A$5001,_xlfn.MAXIFS(BD!$A$3:$A$5001,BD!$B$3:$B$5001,R$175,BD!$A$3:$A$5001,"&gt;="&amp;$C$7,BD!$A$3:$A$5001,"&lt;="&amp;$B189,BD!$Z$3:$Z$5001,"&lt;&gt;"))))</f>
        <v/>
      </c>
      <c r="S189" s="43" t="str">
        <f>IF(OR($B189="",$A189&gt;$B$9,S$175=""),"",IF(COUNTIFS(BD!$B$3:$B$5001,S$175,BD!$A$3:$A$5001,"&gt;="&amp;$C$7,BD!$A$3:$A$5001,"&lt;="&amp;$B189,BD!$Z$3:$Z$5001,"&lt;&gt;")=0,"",SUMIFS(BD!$Z$3:$Z$5001,BD!$B$3:$B$5001,S$175,BD!$A$3:$A$5001,_xlfn.MAXIFS(BD!$A$3:$A$5001,BD!$B$3:$B$5001,S$175,BD!$A$3:$A$5001,"&gt;="&amp;$C$7,BD!$A$3:$A$5001,"&lt;="&amp;$B189,BD!$Z$3:$Z$5001,"&lt;&gt;"))))</f>
        <v/>
      </c>
      <c r="T189" s="43" t="str">
        <f>IF(OR($B189="",$A189&gt;$B$9,T$175=""),"",IF(COUNTIFS(BD!$B$3:$B$5001,T$175,BD!$A$3:$A$5001,"&gt;="&amp;$C$7,BD!$A$3:$A$5001,"&lt;="&amp;$B189,BD!$Z$3:$Z$5001,"&lt;&gt;")=0,"",SUMIFS(BD!$Z$3:$Z$5001,BD!$B$3:$B$5001,T$175,BD!$A$3:$A$5001,_xlfn.MAXIFS(BD!$A$3:$A$5001,BD!$B$3:$B$5001,T$175,BD!$A$3:$A$5001,"&gt;="&amp;$C$7,BD!$A$3:$A$5001,"&lt;="&amp;$B189,BD!$Z$3:$Z$5001,"&lt;&gt;"))))</f>
        <v/>
      </c>
      <c r="U189" s="43" t="str">
        <f>IF(OR($B189="",$A189&gt;$B$9,U$175=""),"",IF(COUNTIFS(BD!$B$3:$B$5001,U$175,BD!$A$3:$A$5001,"&gt;="&amp;$C$7,BD!$A$3:$A$5001,"&lt;="&amp;$B189,BD!$Z$3:$Z$5001,"&lt;&gt;")=0,"",SUMIFS(BD!$Z$3:$Z$5001,BD!$B$3:$B$5001,U$175,BD!$A$3:$A$5001,_xlfn.MAXIFS(BD!$A$3:$A$5001,BD!$B$3:$B$5001,U$175,BD!$A$3:$A$5001,"&gt;="&amp;$C$7,BD!$A$3:$A$5001,"&lt;="&amp;$B189,BD!$Z$3:$Z$5001,"&lt;&gt;"))))</f>
        <v/>
      </c>
      <c r="V189" s="43" t="str">
        <f>IF(OR($B189="",$A189&gt;$B$9,V$175=""),"",IF(COUNTIFS(BD!$B$3:$B$5001,V$175,BD!$A$3:$A$5001,"&gt;="&amp;$C$7,BD!$A$3:$A$5001,"&lt;="&amp;$B189,BD!$Z$3:$Z$5001,"&lt;&gt;")=0,"",SUMIFS(BD!$Z$3:$Z$5001,BD!$B$3:$B$5001,V$175,BD!$A$3:$A$5001,_xlfn.MAXIFS(BD!$A$3:$A$5001,BD!$B$3:$B$5001,V$175,BD!$A$3:$A$5001,"&gt;="&amp;$C$7,BD!$A$3:$A$5001,"&lt;="&amp;$B189,BD!$Z$3:$Z$5001,"&lt;&gt;"))))</f>
        <v/>
      </c>
    </row>
    <row r="190">
      <c r="A190" s="38">
        <v>15</v>
      </c>
      <c r="B190" s="42">
        <f>$B$26</f>
        <v>46310</v>
      </c>
      <c r="C190" s="43" t="str">
        <f>IF(OR($B190="",$A190&gt;$B$9,C$175=""),"",IF(COUNTIFS(BD!$B$3:$B$5001,C$175,BD!$A$3:$A$5001,"&gt;="&amp;$C$7,BD!$A$3:$A$5001,"&lt;="&amp;$B190,BD!$Z$3:$Z$5001,"&lt;&gt;")=0,"",SUMIFS(BD!$Z$3:$Z$5001,BD!$B$3:$B$5001,C$175,BD!$A$3:$A$5001,_xlfn.MAXIFS(BD!$A$3:$A$5001,BD!$B$3:$B$5001,C$175,BD!$A$3:$A$5001,"&gt;="&amp;$C$7,BD!$A$3:$A$5001,"&lt;="&amp;$B190,BD!$Z$3:$Z$5001,"&lt;&gt;"))))</f>
        <v/>
      </c>
      <c r="D190" s="43" t="str">
        <f>IF(OR($B190="",$A190&gt;$B$9,D$175=""),"",IF(COUNTIFS(BD!$B$3:$B$5001,D$175,BD!$A$3:$A$5001,"&gt;="&amp;$C$7,BD!$A$3:$A$5001,"&lt;="&amp;$B190,BD!$Z$3:$Z$5001,"&lt;&gt;")=0,"",SUMIFS(BD!$Z$3:$Z$5001,BD!$B$3:$B$5001,D$175,BD!$A$3:$A$5001,_xlfn.MAXIFS(BD!$A$3:$A$5001,BD!$B$3:$B$5001,D$175,BD!$A$3:$A$5001,"&gt;="&amp;$C$7,BD!$A$3:$A$5001,"&lt;="&amp;$B190,BD!$Z$3:$Z$5001,"&lt;&gt;"))))</f>
        <v/>
      </c>
      <c r="E190" s="43" t="str">
        <f>IF(OR($B190="",$A190&gt;$B$9,E$175=""),"",IF(COUNTIFS(BD!$B$3:$B$5001,E$175,BD!$A$3:$A$5001,"&gt;="&amp;$C$7,BD!$A$3:$A$5001,"&lt;="&amp;$B190,BD!$Z$3:$Z$5001,"&lt;&gt;")=0,"",SUMIFS(BD!$Z$3:$Z$5001,BD!$B$3:$B$5001,E$175,BD!$A$3:$A$5001,_xlfn.MAXIFS(BD!$A$3:$A$5001,BD!$B$3:$B$5001,E$175,BD!$A$3:$A$5001,"&gt;="&amp;$C$7,BD!$A$3:$A$5001,"&lt;="&amp;$B190,BD!$Z$3:$Z$5001,"&lt;&gt;"))))</f>
        <v/>
      </c>
      <c r="F190" s="43" t="str">
        <f>IF(OR($B190="",$A190&gt;$B$9,F$175=""),"",IF(COUNTIFS(BD!$B$3:$B$5001,F$175,BD!$A$3:$A$5001,"&gt;="&amp;$C$7,BD!$A$3:$A$5001,"&lt;="&amp;$B190,BD!$Z$3:$Z$5001,"&lt;&gt;")=0,"",SUMIFS(BD!$Z$3:$Z$5001,BD!$B$3:$B$5001,F$175,BD!$A$3:$A$5001,_xlfn.MAXIFS(BD!$A$3:$A$5001,BD!$B$3:$B$5001,F$175,BD!$A$3:$A$5001,"&gt;="&amp;$C$7,BD!$A$3:$A$5001,"&lt;="&amp;$B190,BD!$Z$3:$Z$5001,"&lt;&gt;"))))</f>
        <v/>
      </c>
      <c r="G190" s="43" t="str">
        <f>IF(OR($B190="",$A190&gt;$B$9,G$175=""),"",IF(COUNTIFS(BD!$B$3:$B$5001,G$175,BD!$A$3:$A$5001,"&gt;="&amp;$C$7,BD!$A$3:$A$5001,"&lt;="&amp;$B190,BD!$Z$3:$Z$5001,"&lt;&gt;")=0,"",SUMIFS(BD!$Z$3:$Z$5001,BD!$B$3:$B$5001,G$175,BD!$A$3:$A$5001,_xlfn.MAXIFS(BD!$A$3:$A$5001,BD!$B$3:$B$5001,G$175,BD!$A$3:$A$5001,"&gt;="&amp;$C$7,BD!$A$3:$A$5001,"&lt;="&amp;$B190,BD!$Z$3:$Z$5001,"&lt;&gt;"))))</f>
        <v/>
      </c>
      <c r="H190" s="43" t="str">
        <f>IF(OR($B190="",$A190&gt;$B$9,H$175=""),"",IF(COUNTIFS(BD!$B$3:$B$5001,H$175,BD!$A$3:$A$5001,"&gt;="&amp;$C$7,BD!$A$3:$A$5001,"&lt;="&amp;$B190,BD!$Z$3:$Z$5001,"&lt;&gt;")=0,"",SUMIFS(BD!$Z$3:$Z$5001,BD!$B$3:$B$5001,H$175,BD!$A$3:$A$5001,_xlfn.MAXIFS(BD!$A$3:$A$5001,BD!$B$3:$B$5001,H$175,BD!$A$3:$A$5001,"&gt;="&amp;$C$7,BD!$A$3:$A$5001,"&lt;="&amp;$B190,BD!$Z$3:$Z$5001,"&lt;&gt;"))))</f>
        <v/>
      </c>
      <c r="I190" s="43" t="str">
        <f>IF(OR($B190="",$A190&gt;$B$9,I$175=""),"",IF(COUNTIFS(BD!$B$3:$B$5001,I$175,BD!$A$3:$A$5001,"&gt;="&amp;$C$7,BD!$A$3:$A$5001,"&lt;="&amp;$B190,BD!$Z$3:$Z$5001,"&lt;&gt;")=0,"",SUMIFS(BD!$Z$3:$Z$5001,BD!$B$3:$B$5001,I$175,BD!$A$3:$A$5001,_xlfn.MAXIFS(BD!$A$3:$A$5001,BD!$B$3:$B$5001,I$175,BD!$A$3:$A$5001,"&gt;="&amp;$C$7,BD!$A$3:$A$5001,"&lt;="&amp;$B190,BD!$Z$3:$Z$5001,"&lt;&gt;"))))</f>
        <v/>
      </c>
      <c r="J190" s="43" t="str">
        <f>IF(OR($B190="",$A190&gt;$B$9,J$175=""),"",IF(COUNTIFS(BD!$B$3:$B$5001,J$175,BD!$A$3:$A$5001,"&gt;="&amp;$C$7,BD!$A$3:$A$5001,"&lt;="&amp;$B190,BD!$Z$3:$Z$5001,"&lt;&gt;")=0,"",SUMIFS(BD!$Z$3:$Z$5001,BD!$B$3:$B$5001,J$175,BD!$A$3:$A$5001,_xlfn.MAXIFS(BD!$A$3:$A$5001,BD!$B$3:$B$5001,J$175,BD!$A$3:$A$5001,"&gt;="&amp;$C$7,BD!$A$3:$A$5001,"&lt;="&amp;$B190,BD!$Z$3:$Z$5001,"&lt;&gt;"))))</f>
        <v/>
      </c>
      <c r="K190" s="43" t="str">
        <f>IF(OR($B190="",$A190&gt;$B$9,K$175=""),"",IF(COUNTIFS(BD!$B$3:$B$5001,K$175,BD!$A$3:$A$5001,"&gt;="&amp;$C$7,BD!$A$3:$A$5001,"&lt;="&amp;$B190,BD!$Z$3:$Z$5001,"&lt;&gt;")=0,"",SUMIFS(BD!$Z$3:$Z$5001,BD!$B$3:$B$5001,K$175,BD!$A$3:$A$5001,_xlfn.MAXIFS(BD!$A$3:$A$5001,BD!$B$3:$B$5001,K$175,BD!$A$3:$A$5001,"&gt;="&amp;$C$7,BD!$A$3:$A$5001,"&lt;="&amp;$B190,BD!$Z$3:$Z$5001,"&lt;&gt;"))))</f>
        <v/>
      </c>
      <c r="L190" s="43" t="str">
        <f>IF(OR($B190="",$A190&gt;$B$9,L$175=""),"",IF(COUNTIFS(BD!$B$3:$B$5001,L$175,BD!$A$3:$A$5001,"&gt;="&amp;$C$7,BD!$A$3:$A$5001,"&lt;="&amp;$B190,BD!$Z$3:$Z$5001,"&lt;&gt;")=0,"",SUMIFS(BD!$Z$3:$Z$5001,BD!$B$3:$B$5001,L$175,BD!$A$3:$A$5001,_xlfn.MAXIFS(BD!$A$3:$A$5001,BD!$B$3:$B$5001,L$175,BD!$A$3:$A$5001,"&gt;="&amp;$C$7,BD!$A$3:$A$5001,"&lt;="&amp;$B190,BD!$Z$3:$Z$5001,"&lt;&gt;"))))</f>
        <v/>
      </c>
      <c r="M190" s="43" t="str">
        <f>IF(OR($B190="",$A190&gt;$B$9,M$175=""),"",IF(COUNTIFS(BD!$B$3:$B$5001,M$175,BD!$A$3:$A$5001,"&gt;="&amp;$C$7,BD!$A$3:$A$5001,"&lt;="&amp;$B190,BD!$Z$3:$Z$5001,"&lt;&gt;")=0,"",SUMIFS(BD!$Z$3:$Z$5001,BD!$B$3:$B$5001,M$175,BD!$A$3:$A$5001,_xlfn.MAXIFS(BD!$A$3:$A$5001,BD!$B$3:$B$5001,M$175,BD!$A$3:$A$5001,"&gt;="&amp;$C$7,BD!$A$3:$A$5001,"&lt;="&amp;$B190,BD!$Z$3:$Z$5001,"&lt;&gt;"))))</f>
        <v/>
      </c>
      <c r="N190" s="43" t="str">
        <f>IF(OR($B190="",$A190&gt;$B$9,N$175=""),"",IF(COUNTIFS(BD!$B$3:$B$5001,N$175,BD!$A$3:$A$5001,"&gt;="&amp;$C$7,BD!$A$3:$A$5001,"&lt;="&amp;$B190,BD!$Z$3:$Z$5001,"&lt;&gt;")=0,"",SUMIFS(BD!$Z$3:$Z$5001,BD!$B$3:$B$5001,N$175,BD!$A$3:$A$5001,_xlfn.MAXIFS(BD!$A$3:$A$5001,BD!$B$3:$B$5001,N$175,BD!$A$3:$A$5001,"&gt;="&amp;$C$7,BD!$A$3:$A$5001,"&lt;="&amp;$B190,BD!$Z$3:$Z$5001,"&lt;&gt;"))))</f>
        <v/>
      </c>
      <c r="O190" s="43" t="str">
        <f>IF(OR($B190="",$A190&gt;$B$9,O$175=""),"",IF(COUNTIFS(BD!$B$3:$B$5001,O$175,BD!$A$3:$A$5001,"&gt;="&amp;$C$7,BD!$A$3:$A$5001,"&lt;="&amp;$B190,BD!$Z$3:$Z$5001,"&lt;&gt;")=0,"",SUMIFS(BD!$Z$3:$Z$5001,BD!$B$3:$B$5001,O$175,BD!$A$3:$A$5001,_xlfn.MAXIFS(BD!$A$3:$A$5001,BD!$B$3:$B$5001,O$175,BD!$A$3:$A$5001,"&gt;="&amp;$C$7,BD!$A$3:$A$5001,"&lt;="&amp;$B190,BD!$Z$3:$Z$5001,"&lt;&gt;"))))</f>
        <v/>
      </c>
      <c r="P190" s="43" t="str">
        <f>IF(OR($B190="",$A190&gt;$B$9,P$175=""),"",IF(COUNTIFS(BD!$B$3:$B$5001,P$175,BD!$A$3:$A$5001,"&gt;="&amp;$C$7,BD!$A$3:$A$5001,"&lt;="&amp;$B190,BD!$Z$3:$Z$5001,"&lt;&gt;")=0,"",SUMIFS(BD!$Z$3:$Z$5001,BD!$B$3:$B$5001,P$175,BD!$A$3:$A$5001,_xlfn.MAXIFS(BD!$A$3:$A$5001,BD!$B$3:$B$5001,P$175,BD!$A$3:$A$5001,"&gt;="&amp;$C$7,BD!$A$3:$A$5001,"&lt;="&amp;$B190,BD!$Z$3:$Z$5001,"&lt;&gt;"))))</f>
        <v/>
      </c>
      <c r="Q190" s="43" t="str">
        <f>IF(OR($B190="",$A190&gt;$B$9,Q$175=""),"",IF(COUNTIFS(BD!$B$3:$B$5001,Q$175,BD!$A$3:$A$5001,"&gt;="&amp;$C$7,BD!$A$3:$A$5001,"&lt;="&amp;$B190,BD!$Z$3:$Z$5001,"&lt;&gt;")=0,"",SUMIFS(BD!$Z$3:$Z$5001,BD!$B$3:$B$5001,Q$175,BD!$A$3:$A$5001,_xlfn.MAXIFS(BD!$A$3:$A$5001,BD!$B$3:$B$5001,Q$175,BD!$A$3:$A$5001,"&gt;="&amp;$C$7,BD!$A$3:$A$5001,"&lt;="&amp;$B190,BD!$Z$3:$Z$5001,"&lt;&gt;"))))</f>
        <v/>
      </c>
      <c r="R190" s="43" t="str">
        <f>IF(OR($B190="",$A190&gt;$B$9,R$175=""),"",IF(COUNTIFS(BD!$B$3:$B$5001,R$175,BD!$A$3:$A$5001,"&gt;="&amp;$C$7,BD!$A$3:$A$5001,"&lt;="&amp;$B190,BD!$Z$3:$Z$5001,"&lt;&gt;")=0,"",SUMIFS(BD!$Z$3:$Z$5001,BD!$B$3:$B$5001,R$175,BD!$A$3:$A$5001,_xlfn.MAXIFS(BD!$A$3:$A$5001,BD!$B$3:$B$5001,R$175,BD!$A$3:$A$5001,"&gt;="&amp;$C$7,BD!$A$3:$A$5001,"&lt;="&amp;$B190,BD!$Z$3:$Z$5001,"&lt;&gt;"))))</f>
        <v/>
      </c>
      <c r="S190" s="43" t="str">
        <f>IF(OR($B190="",$A190&gt;$B$9,S$175=""),"",IF(COUNTIFS(BD!$B$3:$B$5001,S$175,BD!$A$3:$A$5001,"&gt;="&amp;$C$7,BD!$A$3:$A$5001,"&lt;="&amp;$B190,BD!$Z$3:$Z$5001,"&lt;&gt;")=0,"",SUMIFS(BD!$Z$3:$Z$5001,BD!$B$3:$B$5001,S$175,BD!$A$3:$A$5001,_xlfn.MAXIFS(BD!$A$3:$A$5001,BD!$B$3:$B$5001,S$175,BD!$A$3:$A$5001,"&gt;="&amp;$C$7,BD!$A$3:$A$5001,"&lt;="&amp;$B190,BD!$Z$3:$Z$5001,"&lt;&gt;"))))</f>
        <v/>
      </c>
      <c r="T190" s="43" t="str">
        <f>IF(OR($B190="",$A190&gt;$B$9,T$175=""),"",IF(COUNTIFS(BD!$B$3:$B$5001,T$175,BD!$A$3:$A$5001,"&gt;="&amp;$C$7,BD!$A$3:$A$5001,"&lt;="&amp;$B190,BD!$Z$3:$Z$5001,"&lt;&gt;")=0,"",SUMIFS(BD!$Z$3:$Z$5001,BD!$B$3:$B$5001,T$175,BD!$A$3:$A$5001,_xlfn.MAXIFS(BD!$A$3:$A$5001,BD!$B$3:$B$5001,T$175,BD!$A$3:$A$5001,"&gt;="&amp;$C$7,BD!$A$3:$A$5001,"&lt;="&amp;$B190,BD!$Z$3:$Z$5001,"&lt;&gt;"))))</f>
        <v/>
      </c>
      <c r="U190" s="43" t="str">
        <f>IF(OR($B190="",$A190&gt;$B$9,U$175=""),"",IF(COUNTIFS(BD!$B$3:$B$5001,U$175,BD!$A$3:$A$5001,"&gt;="&amp;$C$7,BD!$A$3:$A$5001,"&lt;="&amp;$B190,BD!$Z$3:$Z$5001,"&lt;&gt;")=0,"",SUMIFS(BD!$Z$3:$Z$5001,BD!$B$3:$B$5001,U$175,BD!$A$3:$A$5001,_xlfn.MAXIFS(BD!$A$3:$A$5001,BD!$B$3:$B$5001,U$175,BD!$A$3:$A$5001,"&gt;="&amp;$C$7,BD!$A$3:$A$5001,"&lt;="&amp;$B190,BD!$Z$3:$Z$5001,"&lt;&gt;"))))</f>
        <v/>
      </c>
      <c r="V190" s="43" t="str">
        <f>IF(OR($B190="",$A190&gt;$B$9,V$175=""),"",IF(COUNTIFS(BD!$B$3:$B$5001,V$175,BD!$A$3:$A$5001,"&gt;="&amp;$C$7,BD!$A$3:$A$5001,"&lt;="&amp;$B190,BD!$Z$3:$Z$5001,"&lt;&gt;")=0,"",SUMIFS(BD!$Z$3:$Z$5001,BD!$B$3:$B$5001,V$175,BD!$A$3:$A$5001,_xlfn.MAXIFS(BD!$A$3:$A$5001,BD!$B$3:$B$5001,V$175,BD!$A$3:$A$5001,"&gt;="&amp;$C$7,BD!$A$3:$A$5001,"&lt;="&amp;$B190,BD!$Z$3:$Z$5001,"&lt;&gt;"))))</f>
        <v/>
      </c>
    </row>
    <row r="191">
      <c r="A191" s="38">
        <v>16</v>
      </c>
      <c r="B191" s="42">
        <f>$B$27</f>
        <v>46311</v>
      </c>
      <c r="C191" s="43" t="str">
        <f>IF(OR($B191="",$A191&gt;$B$9,C$175=""),"",IF(COUNTIFS(BD!$B$3:$B$5001,C$175,BD!$A$3:$A$5001,"&gt;="&amp;$C$7,BD!$A$3:$A$5001,"&lt;="&amp;$B191,BD!$Z$3:$Z$5001,"&lt;&gt;")=0,"",SUMIFS(BD!$Z$3:$Z$5001,BD!$B$3:$B$5001,C$175,BD!$A$3:$A$5001,_xlfn.MAXIFS(BD!$A$3:$A$5001,BD!$B$3:$B$5001,C$175,BD!$A$3:$A$5001,"&gt;="&amp;$C$7,BD!$A$3:$A$5001,"&lt;="&amp;$B191,BD!$Z$3:$Z$5001,"&lt;&gt;"))))</f>
        <v/>
      </c>
      <c r="D191" s="43" t="str">
        <f>IF(OR($B191="",$A191&gt;$B$9,D$175=""),"",IF(COUNTIFS(BD!$B$3:$B$5001,D$175,BD!$A$3:$A$5001,"&gt;="&amp;$C$7,BD!$A$3:$A$5001,"&lt;="&amp;$B191,BD!$Z$3:$Z$5001,"&lt;&gt;")=0,"",SUMIFS(BD!$Z$3:$Z$5001,BD!$B$3:$B$5001,D$175,BD!$A$3:$A$5001,_xlfn.MAXIFS(BD!$A$3:$A$5001,BD!$B$3:$B$5001,D$175,BD!$A$3:$A$5001,"&gt;="&amp;$C$7,BD!$A$3:$A$5001,"&lt;="&amp;$B191,BD!$Z$3:$Z$5001,"&lt;&gt;"))))</f>
        <v/>
      </c>
      <c r="E191" s="43" t="str">
        <f>IF(OR($B191="",$A191&gt;$B$9,E$175=""),"",IF(COUNTIFS(BD!$B$3:$B$5001,E$175,BD!$A$3:$A$5001,"&gt;="&amp;$C$7,BD!$A$3:$A$5001,"&lt;="&amp;$B191,BD!$Z$3:$Z$5001,"&lt;&gt;")=0,"",SUMIFS(BD!$Z$3:$Z$5001,BD!$B$3:$B$5001,E$175,BD!$A$3:$A$5001,_xlfn.MAXIFS(BD!$A$3:$A$5001,BD!$B$3:$B$5001,E$175,BD!$A$3:$A$5001,"&gt;="&amp;$C$7,BD!$A$3:$A$5001,"&lt;="&amp;$B191,BD!$Z$3:$Z$5001,"&lt;&gt;"))))</f>
        <v/>
      </c>
      <c r="F191" s="43" t="str">
        <f>IF(OR($B191="",$A191&gt;$B$9,F$175=""),"",IF(COUNTIFS(BD!$B$3:$B$5001,F$175,BD!$A$3:$A$5001,"&gt;="&amp;$C$7,BD!$A$3:$A$5001,"&lt;="&amp;$B191,BD!$Z$3:$Z$5001,"&lt;&gt;")=0,"",SUMIFS(BD!$Z$3:$Z$5001,BD!$B$3:$B$5001,F$175,BD!$A$3:$A$5001,_xlfn.MAXIFS(BD!$A$3:$A$5001,BD!$B$3:$B$5001,F$175,BD!$A$3:$A$5001,"&gt;="&amp;$C$7,BD!$A$3:$A$5001,"&lt;="&amp;$B191,BD!$Z$3:$Z$5001,"&lt;&gt;"))))</f>
        <v/>
      </c>
      <c r="G191" s="43" t="str">
        <f>IF(OR($B191="",$A191&gt;$B$9,G$175=""),"",IF(COUNTIFS(BD!$B$3:$B$5001,G$175,BD!$A$3:$A$5001,"&gt;="&amp;$C$7,BD!$A$3:$A$5001,"&lt;="&amp;$B191,BD!$Z$3:$Z$5001,"&lt;&gt;")=0,"",SUMIFS(BD!$Z$3:$Z$5001,BD!$B$3:$B$5001,G$175,BD!$A$3:$A$5001,_xlfn.MAXIFS(BD!$A$3:$A$5001,BD!$B$3:$B$5001,G$175,BD!$A$3:$A$5001,"&gt;="&amp;$C$7,BD!$A$3:$A$5001,"&lt;="&amp;$B191,BD!$Z$3:$Z$5001,"&lt;&gt;"))))</f>
        <v/>
      </c>
      <c r="H191" s="43" t="str">
        <f>IF(OR($B191="",$A191&gt;$B$9,H$175=""),"",IF(COUNTIFS(BD!$B$3:$B$5001,H$175,BD!$A$3:$A$5001,"&gt;="&amp;$C$7,BD!$A$3:$A$5001,"&lt;="&amp;$B191,BD!$Z$3:$Z$5001,"&lt;&gt;")=0,"",SUMIFS(BD!$Z$3:$Z$5001,BD!$B$3:$B$5001,H$175,BD!$A$3:$A$5001,_xlfn.MAXIFS(BD!$A$3:$A$5001,BD!$B$3:$B$5001,H$175,BD!$A$3:$A$5001,"&gt;="&amp;$C$7,BD!$A$3:$A$5001,"&lt;="&amp;$B191,BD!$Z$3:$Z$5001,"&lt;&gt;"))))</f>
        <v/>
      </c>
      <c r="I191" s="43" t="str">
        <f>IF(OR($B191="",$A191&gt;$B$9,I$175=""),"",IF(COUNTIFS(BD!$B$3:$B$5001,I$175,BD!$A$3:$A$5001,"&gt;="&amp;$C$7,BD!$A$3:$A$5001,"&lt;="&amp;$B191,BD!$Z$3:$Z$5001,"&lt;&gt;")=0,"",SUMIFS(BD!$Z$3:$Z$5001,BD!$B$3:$B$5001,I$175,BD!$A$3:$A$5001,_xlfn.MAXIFS(BD!$A$3:$A$5001,BD!$B$3:$B$5001,I$175,BD!$A$3:$A$5001,"&gt;="&amp;$C$7,BD!$A$3:$A$5001,"&lt;="&amp;$B191,BD!$Z$3:$Z$5001,"&lt;&gt;"))))</f>
        <v/>
      </c>
      <c r="J191" s="43" t="str">
        <f>IF(OR($B191="",$A191&gt;$B$9,J$175=""),"",IF(COUNTIFS(BD!$B$3:$B$5001,J$175,BD!$A$3:$A$5001,"&gt;="&amp;$C$7,BD!$A$3:$A$5001,"&lt;="&amp;$B191,BD!$Z$3:$Z$5001,"&lt;&gt;")=0,"",SUMIFS(BD!$Z$3:$Z$5001,BD!$B$3:$B$5001,J$175,BD!$A$3:$A$5001,_xlfn.MAXIFS(BD!$A$3:$A$5001,BD!$B$3:$B$5001,J$175,BD!$A$3:$A$5001,"&gt;="&amp;$C$7,BD!$A$3:$A$5001,"&lt;="&amp;$B191,BD!$Z$3:$Z$5001,"&lt;&gt;"))))</f>
        <v/>
      </c>
      <c r="K191" s="43" t="str">
        <f>IF(OR($B191="",$A191&gt;$B$9,K$175=""),"",IF(COUNTIFS(BD!$B$3:$B$5001,K$175,BD!$A$3:$A$5001,"&gt;="&amp;$C$7,BD!$A$3:$A$5001,"&lt;="&amp;$B191,BD!$Z$3:$Z$5001,"&lt;&gt;")=0,"",SUMIFS(BD!$Z$3:$Z$5001,BD!$B$3:$B$5001,K$175,BD!$A$3:$A$5001,_xlfn.MAXIFS(BD!$A$3:$A$5001,BD!$B$3:$B$5001,K$175,BD!$A$3:$A$5001,"&gt;="&amp;$C$7,BD!$A$3:$A$5001,"&lt;="&amp;$B191,BD!$Z$3:$Z$5001,"&lt;&gt;"))))</f>
        <v/>
      </c>
      <c r="L191" s="43" t="str">
        <f>IF(OR($B191="",$A191&gt;$B$9,L$175=""),"",IF(COUNTIFS(BD!$B$3:$B$5001,L$175,BD!$A$3:$A$5001,"&gt;="&amp;$C$7,BD!$A$3:$A$5001,"&lt;="&amp;$B191,BD!$Z$3:$Z$5001,"&lt;&gt;")=0,"",SUMIFS(BD!$Z$3:$Z$5001,BD!$B$3:$B$5001,L$175,BD!$A$3:$A$5001,_xlfn.MAXIFS(BD!$A$3:$A$5001,BD!$B$3:$B$5001,L$175,BD!$A$3:$A$5001,"&gt;="&amp;$C$7,BD!$A$3:$A$5001,"&lt;="&amp;$B191,BD!$Z$3:$Z$5001,"&lt;&gt;"))))</f>
        <v/>
      </c>
      <c r="M191" s="43" t="str">
        <f>IF(OR($B191="",$A191&gt;$B$9,M$175=""),"",IF(COUNTIFS(BD!$B$3:$B$5001,M$175,BD!$A$3:$A$5001,"&gt;="&amp;$C$7,BD!$A$3:$A$5001,"&lt;="&amp;$B191,BD!$Z$3:$Z$5001,"&lt;&gt;")=0,"",SUMIFS(BD!$Z$3:$Z$5001,BD!$B$3:$B$5001,M$175,BD!$A$3:$A$5001,_xlfn.MAXIFS(BD!$A$3:$A$5001,BD!$B$3:$B$5001,M$175,BD!$A$3:$A$5001,"&gt;="&amp;$C$7,BD!$A$3:$A$5001,"&lt;="&amp;$B191,BD!$Z$3:$Z$5001,"&lt;&gt;"))))</f>
        <v/>
      </c>
      <c r="N191" s="43" t="str">
        <f>IF(OR($B191="",$A191&gt;$B$9,N$175=""),"",IF(COUNTIFS(BD!$B$3:$B$5001,N$175,BD!$A$3:$A$5001,"&gt;="&amp;$C$7,BD!$A$3:$A$5001,"&lt;="&amp;$B191,BD!$Z$3:$Z$5001,"&lt;&gt;")=0,"",SUMIFS(BD!$Z$3:$Z$5001,BD!$B$3:$B$5001,N$175,BD!$A$3:$A$5001,_xlfn.MAXIFS(BD!$A$3:$A$5001,BD!$B$3:$B$5001,N$175,BD!$A$3:$A$5001,"&gt;="&amp;$C$7,BD!$A$3:$A$5001,"&lt;="&amp;$B191,BD!$Z$3:$Z$5001,"&lt;&gt;"))))</f>
        <v/>
      </c>
      <c r="O191" s="43" t="str">
        <f>IF(OR($B191="",$A191&gt;$B$9,O$175=""),"",IF(COUNTIFS(BD!$B$3:$B$5001,O$175,BD!$A$3:$A$5001,"&gt;="&amp;$C$7,BD!$A$3:$A$5001,"&lt;="&amp;$B191,BD!$Z$3:$Z$5001,"&lt;&gt;")=0,"",SUMIFS(BD!$Z$3:$Z$5001,BD!$B$3:$B$5001,O$175,BD!$A$3:$A$5001,_xlfn.MAXIFS(BD!$A$3:$A$5001,BD!$B$3:$B$5001,O$175,BD!$A$3:$A$5001,"&gt;="&amp;$C$7,BD!$A$3:$A$5001,"&lt;="&amp;$B191,BD!$Z$3:$Z$5001,"&lt;&gt;"))))</f>
        <v/>
      </c>
      <c r="P191" s="43" t="str">
        <f>IF(OR($B191="",$A191&gt;$B$9,P$175=""),"",IF(COUNTIFS(BD!$B$3:$B$5001,P$175,BD!$A$3:$A$5001,"&gt;="&amp;$C$7,BD!$A$3:$A$5001,"&lt;="&amp;$B191,BD!$Z$3:$Z$5001,"&lt;&gt;")=0,"",SUMIFS(BD!$Z$3:$Z$5001,BD!$B$3:$B$5001,P$175,BD!$A$3:$A$5001,_xlfn.MAXIFS(BD!$A$3:$A$5001,BD!$B$3:$B$5001,P$175,BD!$A$3:$A$5001,"&gt;="&amp;$C$7,BD!$A$3:$A$5001,"&lt;="&amp;$B191,BD!$Z$3:$Z$5001,"&lt;&gt;"))))</f>
        <v/>
      </c>
      <c r="Q191" s="43" t="str">
        <f>IF(OR($B191="",$A191&gt;$B$9,Q$175=""),"",IF(COUNTIFS(BD!$B$3:$B$5001,Q$175,BD!$A$3:$A$5001,"&gt;="&amp;$C$7,BD!$A$3:$A$5001,"&lt;="&amp;$B191,BD!$Z$3:$Z$5001,"&lt;&gt;")=0,"",SUMIFS(BD!$Z$3:$Z$5001,BD!$B$3:$B$5001,Q$175,BD!$A$3:$A$5001,_xlfn.MAXIFS(BD!$A$3:$A$5001,BD!$B$3:$B$5001,Q$175,BD!$A$3:$A$5001,"&gt;="&amp;$C$7,BD!$A$3:$A$5001,"&lt;="&amp;$B191,BD!$Z$3:$Z$5001,"&lt;&gt;"))))</f>
        <v/>
      </c>
      <c r="R191" s="43" t="str">
        <f>IF(OR($B191="",$A191&gt;$B$9,R$175=""),"",IF(COUNTIFS(BD!$B$3:$B$5001,R$175,BD!$A$3:$A$5001,"&gt;="&amp;$C$7,BD!$A$3:$A$5001,"&lt;="&amp;$B191,BD!$Z$3:$Z$5001,"&lt;&gt;")=0,"",SUMIFS(BD!$Z$3:$Z$5001,BD!$B$3:$B$5001,R$175,BD!$A$3:$A$5001,_xlfn.MAXIFS(BD!$A$3:$A$5001,BD!$B$3:$B$5001,R$175,BD!$A$3:$A$5001,"&gt;="&amp;$C$7,BD!$A$3:$A$5001,"&lt;="&amp;$B191,BD!$Z$3:$Z$5001,"&lt;&gt;"))))</f>
        <v/>
      </c>
      <c r="S191" s="43" t="str">
        <f>IF(OR($B191="",$A191&gt;$B$9,S$175=""),"",IF(COUNTIFS(BD!$B$3:$B$5001,S$175,BD!$A$3:$A$5001,"&gt;="&amp;$C$7,BD!$A$3:$A$5001,"&lt;="&amp;$B191,BD!$Z$3:$Z$5001,"&lt;&gt;")=0,"",SUMIFS(BD!$Z$3:$Z$5001,BD!$B$3:$B$5001,S$175,BD!$A$3:$A$5001,_xlfn.MAXIFS(BD!$A$3:$A$5001,BD!$B$3:$B$5001,S$175,BD!$A$3:$A$5001,"&gt;="&amp;$C$7,BD!$A$3:$A$5001,"&lt;="&amp;$B191,BD!$Z$3:$Z$5001,"&lt;&gt;"))))</f>
        <v/>
      </c>
      <c r="T191" s="43" t="str">
        <f>IF(OR($B191="",$A191&gt;$B$9,T$175=""),"",IF(COUNTIFS(BD!$B$3:$B$5001,T$175,BD!$A$3:$A$5001,"&gt;="&amp;$C$7,BD!$A$3:$A$5001,"&lt;="&amp;$B191,BD!$Z$3:$Z$5001,"&lt;&gt;")=0,"",SUMIFS(BD!$Z$3:$Z$5001,BD!$B$3:$B$5001,T$175,BD!$A$3:$A$5001,_xlfn.MAXIFS(BD!$A$3:$A$5001,BD!$B$3:$B$5001,T$175,BD!$A$3:$A$5001,"&gt;="&amp;$C$7,BD!$A$3:$A$5001,"&lt;="&amp;$B191,BD!$Z$3:$Z$5001,"&lt;&gt;"))))</f>
        <v/>
      </c>
      <c r="U191" s="43" t="str">
        <f>IF(OR($B191="",$A191&gt;$B$9,U$175=""),"",IF(COUNTIFS(BD!$B$3:$B$5001,U$175,BD!$A$3:$A$5001,"&gt;="&amp;$C$7,BD!$A$3:$A$5001,"&lt;="&amp;$B191,BD!$Z$3:$Z$5001,"&lt;&gt;")=0,"",SUMIFS(BD!$Z$3:$Z$5001,BD!$B$3:$B$5001,U$175,BD!$A$3:$A$5001,_xlfn.MAXIFS(BD!$A$3:$A$5001,BD!$B$3:$B$5001,U$175,BD!$A$3:$A$5001,"&gt;="&amp;$C$7,BD!$A$3:$A$5001,"&lt;="&amp;$B191,BD!$Z$3:$Z$5001,"&lt;&gt;"))))</f>
        <v/>
      </c>
      <c r="V191" s="43" t="str">
        <f>IF(OR($B191="",$A191&gt;$B$9,V$175=""),"",IF(COUNTIFS(BD!$B$3:$B$5001,V$175,BD!$A$3:$A$5001,"&gt;="&amp;$C$7,BD!$A$3:$A$5001,"&lt;="&amp;$B191,BD!$Z$3:$Z$5001,"&lt;&gt;")=0,"",SUMIFS(BD!$Z$3:$Z$5001,BD!$B$3:$B$5001,V$175,BD!$A$3:$A$5001,_xlfn.MAXIFS(BD!$A$3:$A$5001,BD!$B$3:$B$5001,V$175,BD!$A$3:$A$5001,"&gt;="&amp;$C$7,BD!$A$3:$A$5001,"&lt;="&amp;$B191,BD!$Z$3:$Z$5001,"&lt;&gt;"))))</f>
        <v/>
      </c>
    </row>
    <row r="192">
      <c r="A192" s="38">
        <v>17</v>
      </c>
      <c r="B192" s="42">
        <f>$B$28</f>
        <v>46312</v>
      </c>
      <c r="C192" s="43" t="str">
        <f>IF(OR($B192="",$A192&gt;$B$9,C$175=""),"",IF(COUNTIFS(BD!$B$3:$B$5001,C$175,BD!$A$3:$A$5001,"&gt;="&amp;$C$7,BD!$A$3:$A$5001,"&lt;="&amp;$B192,BD!$Z$3:$Z$5001,"&lt;&gt;")=0,"",SUMIFS(BD!$Z$3:$Z$5001,BD!$B$3:$B$5001,C$175,BD!$A$3:$A$5001,_xlfn.MAXIFS(BD!$A$3:$A$5001,BD!$B$3:$B$5001,C$175,BD!$A$3:$A$5001,"&gt;="&amp;$C$7,BD!$A$3:$A$5001,"&lt;="&amp;$B192,BD!$Z$3:$Z$5001,"&lt;&gt;"))))</f>
        <v/>
      </c>
      <c r="D192" s="43" t="str">
        <f>IF(OR($B192="",$A192&gt;$B$9,D$175=""),"",IF(COUNTIFS(BD!$B$3:$B$5001,D$175,BD!$A$3:$A$5001,"&gt;="&amp;$C$7,BD!$A$3:$A$5001,"&lt;="&amp;$B192,BD!$Z$3:$Z$5001,"&lt;&gt;")=0,"",SUMIFS(BD!$Z$3:$Z$5001,BD!$B$3:$B$5001,D$175,BD!$A$3:$A$5001,_xlfn.MAXIFS(BD!$A$3:$A$5001,BD!$B$3:$B$5001,D$175,BD!$A$3:$A$5001,"&gt;="&amp;$C$7,BD!$A$3:$A$5001,"&lt;="&amp;$B192,BD!$Z$3:$Z$5001,"&lt;&gt;"))))</f>
        <v/>
      </c>
      <c r="E192" s="43" t="str">
        <f>IF(OR($B192="",$A192&gt;$B$9,E$175=""),"",IF(COUNTIFS(BD!$B$3:$B$5001,E$175,BD!$A$3:$A$5001,"&gt;="&amp;$C$7,BD!$A$3:$A$5001,"&lt;="&amp;$B192,BD!$Z$3:$Z$5001,"&lt;&gt;")=0,"",SUMIFS(BD!$Z$3:$Z$5001,BD!$B$3:$B$5001,E$175,BD!$A$3:$A$5001,_xlfn.MAXIFS(BD!$A$3:$A$5001,BD!$B$3:$B$5001,E$175,BD!$A$3:$A$5001,"&gt;="&amp;$C$7,BD!$A$3:$A$5001,"&lt;="&amp;$B192,BD!$Z$3:$Z$5001,"&lt;&gt;"))))</f>
        <v/>
      </c>
      <c r="F192" s="43" t="str">
        <f>IF(OR($B192="",$A192&gt;$B$9,F$175=""),"",IF(COUNTIFS(BD!$B$3:$B$5001,F$175,BD!$A$3:$A$5001,"&gt;="&amp;$C$7,BD!$A$3:$A$5001,"&lt;="&amp;$B192,BD!$Z$3:$Z$5001,"&lt;&gt;")=0,"",SUMIFS(BD!$Z$3:$Z$5001,BD!$B$3:$B$5001,F$175,BD!$A$3:$A$5001,_xlfn.MAXIFS(BD!$A$3:$A$5001,BD!$B$3:$B$5001,F$175,BD!$A$3:$A$5001,"&gt;="&amp;$C$7,BD!$A$3:$A$5001,"&lt;="&amp;$B192,BD!$Z$3:$Z$5001,"&lt;&gt;"))))</f>
        <v/>
      </c>
      <c r="G192" s="43" t="str">
        <f>IF(OR($B192="",$A192&gt;$B$9,G$175=""),"",IF(COUNTIFS(BD!$B$3:$B$5001,G$175,BD!$A$3:$A$5001,"&gt;="&amp;$C$7,BD!$A$3:$A$5001,"&lt;="&amp;$B192,BD!$Z$3:$Z$5001,"&lt;&gt;")=0,"",SUMIFS(BD!$Z$3:$Z$5001,BD!$B$3:$B$5001,G$175,BD!$A$3:$A$5001,_xlfn.MAXIFS(BD!$A$3:$A$5001,BD!$B$3:$B$5001,G$175,BD!$A$3:$A$5001,"&gt;="&amp;$C$7,BD!$A$3:$A$5001,"&lt;="&amp;$B192,BD!$Z$3:$Z$5001,"&lt;&gt;"))))</f>
        <v/>
      </c>
      <c r="H192" s="43" t="str">
        <f>IF(OR($B192="",$A192&gt;$B$9,H$175=""),"",IF(COUNTIFS(BD!$B$3:$B$5001,H$175,BD!$A$3:$A$5001,"&gt;="&amp;$C$7,BD!$A$3:$A$5001,"&lt;="&amp;$B192,BD!$Z$3:$Z$5001,"&lt;&gt;")=0,"",SUMIFS(BD!$Z$3:$Z$5001,BD!$B$3:$B$5001,H$175,BD!$A$3:$A$5001,_xlfn.MAXIFS(BD!$A$3:$A$5001,BD!$B$3:$B$5001,H$175,BD!$A$3:$A$5001,"&gt;="&amp;$C$7,BD!$A$3:$A$5001,"&lt;="&amp;$B192,BD!$Z$3:$Z$5001,"&lt;&gt;"))))</f>
        <v/>
      </c>
      <c r="I192" s="43" t="str">
        <f>IF(OR($B192="",$A192&gt;$B$9,I$175=""),"",IF(COUNTIFS(BD!$B$3:$B$5001,I$175,BD!$A$3:$A$5001,"&gt;="&amp;$C$7,BD!$A$3:$A$5001,"&lt;="&amp;$B192,BD!$Z$3:$Z$5001,"&lt;&gt;")=0,"",SUMIFS(BD!$Z$3:$Z$5001,BD!$B$3:$B$5001,I$175,BD!$A$3:$A$5001,_xlfn.MAXIFS(BD!$A$3:$A$5001,BD!$B$3:$B$5001,I$175,BD!$A$3:$A$5001,"&gt;="&amp;$C$7,BD!$A$3:$A$5001,"&lt;="&amp;$B192,BD!$Z$3:$Z$5001,"&lt;&gt;"))))</f>
        <v/>
      </c>
      <c r="J192" s="43" t="str">
        <f>IF(OR($B192="",$A192&gt;$B$9,J$175=""),"",IF(COUNTIFS(BD!$B$3:$B$5001,J$175,BD!$A$3:$A$5001,"&gt;="&amp;$C$7,BD!$A$3:$A$5001,"&lt;="&amp;$B192,BD!$Z$3:$Z$5001,"&lt;&gt;")=0,"",SUMIFS(BD!$Z$3:$Z$5001,BD!$B$3:$B$5001,J$175,BD!$A$3:$A$5001,_xlfn.MAXIFS(BD!$A$3:$A$5001,BD!$B$3:$B$5001,J$175,BD!$A$3:$A$5001,"&gt;="&amp;$C$7,BD!$A$3:$A$5001,"&lt;="&amp;$B192,BD!$Z$3:$Z$5001,"&lt;&gt;"))))</f>
        <v/>
      </c>
      <c r="K192" s="43" t="str">
        <f>IF(OR($B192="",$A192&gt;$B$9,K$175=""),"",IF(COUNTIFS(BD!$B$3:$B$5001,K$175,BD!$A$3:$A$5001,"&gt;="&amp;$C$7,BD!$A$3:$A$5001,"&lt;="&amp;$B192,BD!$Z$3:$Z$5001,"&lt;&gt;")=0,"",SUMIFS(BD!$Z$3:$Z$5001,BD!$B$3:$B$5001,K$175,BD!$A$3:$A$5001,_xlfn.MAXIFS(BD!$A$3:$A$5001,BD!$B$3:$B$5001,K$175,BD!$A$3:$A$5001,"&gt;="&amp;$C$7,BD!$A$3:$A$5001,"&lt;="&amp;$B192,BD!$Z$3:$Z$5001,"&lt;&gt;"))))</f>
        <v/>
      </c>
      <c r="L192" s="43" t="str">
        <f>IF(OR($B192="",$A192&gt;$B$9,L$175=""),"",IF(COUNTIFS(BD!$B$3:$B$5001,L$175,BD!$A$3:$A$5001,"&gt;="&amp;$C$7,BD!$A$3:$A$5001,"&lt;="&amp;$B192,BD!$Z$3:$Z$5001,"&lt;&gt;")=0,"",SUMIFS(BD!$Z$3:$Z$5001,BD!$B$3:$B$5001,L$175,BD!$A$3:$A$5001,_xlfn.MAXIFS(BD!$A$3:$A$5001,BD!$B$3:$B$5001,L$175,BD!$A$3:$A$5001,"&gt;="&amp;$C$7,BD!$A$3:$A$5001,"&lt;="&amp;$B192,BD!$Z$3:$Z$5001,"&lt;&gt;"))))</f>
        <v/>
      </c>
      <c r="M192" s="43" t="str">
        <f>IF(OR($B192="",$A192&gt;$B$9,M$175=""),"",IF(COUNTIFS(BD!$B$3:$B$5001,M$175,BD!$A$3:$A$5001,"&gt;="&amp;$C$7,BD!$A$3:$A$5001,"&lt;="&amp;$B192,BD!$Z$3:$Z$5001,"&lt;&gt;")=0,"",SUMIFS(BD!$Z$3:$Z$5001,BD!$B$3:$B$5001,M$175,BD!$A$3:$A$5001,_xlfn.MAXIFS(BD!$A$3:$A$5001,BD!$B$3:$B$5001,M$175,BD!$A$3:$A$5001,"&gt;="&amp;$C$7,BD!$A$3:$A$5001,"&lt;="&amp;$B192,BD!$Z$3:$Z$5001,"&lt;&gt;"))))</f>
        <v/>
      </c>
      <c r="N192" s="43" t="str">
        <f>IF(OR($B192="",$A192&gt;$B$9,N$175=""),"",IF(COUNTIFS(BD!$B$3:$B$5001,N$175,BD!$A$3:$A$5001,"&gt;="&amp;$C$7,BD!$A$3:$A$5001,"&lt;="&amp;$B192,BD!$Z$3:$Z$5001,"&lt;&gt;")=0,"",SUMIFS(BD!$Z$3:$Z$5001,BD!$B$3:$B$5001,N$175,BD!$A$3:$A$5001,_xlfn.MAXIFS(BD!$A$3:$A$5001,BD!$B$3:$B$5001,N$175,BD!$A$3:$A$5001,"&gt;="&amp;$C$7,BD!$A$3:$A$5001,"&lt;="&amp;$B192,BD!$Z$3:$Z$5001,"&lt;&gt;"))))</f>
        <v/>
      </c>
      <c r="O192" s="43" t="str">
        <f>IF(OR($B192="",$A192&gt;$B$9,O$175=""),"",IF(COUNTIFS(BD!$B$3:$B$5001,O$175,BD!$A$3:$A$5001,"&gt;="&amp;$C$7,BD!$A$3:$A$5001,"&lt;="&amp;$B192,BD!$Z$3:$Z$5001,"&lt;&gt;")=0,"",SUMIFS(BD!$Z$3:$Z$5001,BD!$B$3:$B$5001,O$175,BD!$A$3:$A$5001,_xlfn.MAXIFS(BD!$A$3:$A$5001,BD!$B$3:$B$5001,O$175,BD!$A$3:$A$5001,"&gt;="&amp;$C$7,BD!$A$3:$A$5001,"&lt;="&amp;$B192,BD!$Z$3:$Z$5001,"&lt;&gt;"))))</f>
        <v/>
      </c>
      <c r="P192" s="43" t="str">
        <f>IF(OR($B192="",$A192&gt;$B$9,P$175=""),"",IF(COUNTIFS(BD!$B$3:$B$5001,P$175,BD!$A$3:$A$5001,"&gt;="&amp;$C$7,BD!$A$3:$A$5001,"&lt;="&amp;$B192,BD!$Z$3:$Z$5001,"&lt;&gt;")=0,"",SUMIFS(BD!$Z$3:$Z$5001,BD!$B$3:$B$5001,P$175,BD!$A$3:$A$5001,_xlfn.MAXIFS(BD!$A$3:$A$5001,BD!$B$3:$B$5001,P$175,BD!$A$3:$A$5001,"&gt;="&amp;$C$7,BD!$A$3:$A$5001,"&lt;="&amp;$B192,BD!$Z$3:$Z$5001,"&lt;&gt;"))))</f>
        <v/>
      </c>
      <c r="Q192" s="43" t="str">
        <f>IF(OR($B192="",$A192&gt;$B$9,Q$175=""),"",IF(COUNTIFS(BD!$B$3:$B$5001,Q$175,BD!$A$3:$A$5001,"&gt;="&amp;$C$7,BD!$A$3:$A$5001,"&lt;="&amp;$B192,BD!$Z$3:$Z$5001,"&lt;&gt;")=0,"",SUMIFS(BD!$Z$3:$Z$5001,BD!$B$3:$B$5001,Q$175,BD!$A$3:$A$5001,_xlfn.MAXIFS(BD!$A$3:$A$5001,BD!$B$3:$B$5001,Q$175,BD!$A$3:$A$5001,"&gt;="&amp;$C$7,BD!$A$3:$A$5001,"&lt;="&amp;$B192,BD!$Z$3:$Z$5001,"&lt;&gt;"))))</f>
        <v/>
      </c>
      <c r="R192" s="43" t="str">
        <f>IF(OR($B192="",$A192&gt;$B$9,R$175=""),"",IF(COUNTIFS(BD!$B$3:$B$5001,R$175,BD!$A$3:$A$5001,"&gt;="&amp;$C$7,BD!$A$3:$A$5001,"&lt;="&amp;$B192,BD!$Z$3:$Z$5001,"&lt;&gt;")=0,"",SUMIFS(BD!$Z$3:$Z$5001,BD!$B$3:$B$5001,R$175,BD!$A$3:$A$5001,_xlfn.MAXIFS(BD!$A$3:$A$5001,BD!$B$3:$B$5001,R$175,BD!$A$3:$A$5001,"&gt;="&amp;$C$7,BD!$A$3:$A$5001,"&lt;="&amp;$B192,BD!$Z$3:$Z$5001,"&lt;&gt;"))))</f>
        <v/>
      </c>
      <c r="S192" s="43" t="str">
        <f>IF(OR($B192="",$A192&gt;$B$9,S$175=""),"",IF(COUNTIFS(BD!$B$3:$B$5001,S$175,BD!$A$3:$A$5001,"&gt;="&amp;$C$7,BD!$A$3:$A$5001,"&lt;="&amp;$B192,BD!$Z$3:$Z$5001,"&lt;&gt;")=0,"",SUMIFS(BD!$Z$3:$Z$5001,BD!$B$3:$B$5001,S$175,BD!$A$3:$A$5001,_xlfn.MAXIFS(BD!$A$3:$A$5001,BD!$B$3:$B$5001,S$175,BD!$A$3:$A$5001,"&gt;="&amp;$C$7,BD!$A$3:$A$5001,"&lt;="&amp;$B192,BD!$Z$3:$Z$5001,"&lt;&gt;"))))</f>
        <v/>
      </c>
      <c r="T192" s="43" t="str">
        <f>IF(OR($B192="",$A192&gt;$B$9,T$175=""),"",IF(COUNTIFS(BD!$B$3:$B$5001,T$175,BD!$A$3:$A$5001,"&gt;="&amp;$C$7,BD!$A$3:$A$5001,"&lt;="&amp;$B192,BD!$Z$3:$Z$5001,"&lt;&gt;")=0,"",SUMIFS(BD!$Z$3:$Z$5001,BD!$B$3:$B$5001,T$175,BD!$A$3:$A$5001,_xlfn.MAXIFS(BD!$A$3:$A$5001,BD!$B$3:$B$5001,T$175,BD!$A$3:$A$5001,"&gt;="&amp;$C$7,BD!$A$3:$A$5001,"&lt;="&amp;$B192,BD!$Z$3:$Z$5001,"&lt;&gt;"))))</f>
        <v/>
      </c>
      <c r="U192" s="43" t="str">
        <f>IF(OR($B192="",$A192&gt;$B$9,U$175=""),"",IF(COUNTIFS(BD!$B$3:$B$5001,U$175,BD!$A$3:$A$5001,"&gt;="&amp;$C$7,BD!$A$3:$A$5001,"&lt;="&amp;$B192,BD!$Z$3:$Z$5001,"&lt;&gt;")=0,"",SUMIFS(BD!$Z$3:$Z$5001,BD!$B$3:$B$5001,U$175,BD!$A$3:$A$5001,_xlfn.MAXIFS(BD!$A$3:$A$5001,BD!$B$3:$B$5001,U$175,BD!$A$3:$A$5001,"&gt;="&amp;$C$7,BD!$A$3:$A$5001,"&lt;="&amp;$B192,BD!$Z$3:$Z$5001,"&lt;&gt;"))))</f>
        <v/>
      </c>
      <c r="V192" s="43" t="str">
        <f>IF(OR($B192="",$A192&gt;$B$9,V$175=""),"",IF(COUNTIFS(BD!$B$3:$B$5001,V$175,BD!$A$3:$A$5001,"&gt;="&amp;$C$7,BD!$A$3:$A$5001,"&lt;="&amp;$B192,BD!$Z$3:$Z$5001,"&lt;&gt;")=0,"",SUMIFS(BD!$Z$3:$Z$5001,BD!$B$3:$B$5001,V$175,BD!$A$3:$A$5001,_xlfn.MAXIFS(BD!$A$3:$A$5001,BD!$B$3:$B$5001,V$175,BD!$A$3:$A$5001,"&gt;="&amp;$C$7,BD!$A$3:$A$5001,"&lt;="&amp;$B192,BD!$Z$3:$Z$5001,"&lt;&gt;"))))</f>
        <v/>
      </c>
    </row>
    <row r="193">
      <c r="A193" s="38">
        <v>18</v>
      </c>
      <c r="B193" s="42">
        <f>$B$29</f>
        <v>46313</v>
      </c>
      <c r="C193" s="43" t="str">
        <f>IF(OR($B193="",$A193&gt;$B$9,C$175=""),"",IF(COUNTIFS(BD!$B$3:$B$5001,C$175,BD!$A$3:$A$5001,"&gt;="&amp;$C$7,BD!$A$3:$A$5001,"&lt;="&amp;$B193,BD!$Z$3:$Z$5001,"&lt;&gt;")=0,"",SUMIFS(BD!$Z$3:$Z$5001,BD!$B$3:$B$5001,C$175,BD!$A$3:$A$5001,_xlfn.MAXIFS(BD!$A$3:$A$5001,BD!$B$3:$B$5001,C$175,BD!$A$3:$A$5001,"&gt;="&amp;$C$7,BD!$A$3:$A$5001,"&lt;="&amp;$B193,BD!$Z$3:$Z$5001,"&lt;&gt;"))))</f>
        <v/>
      </c>
      <c r="D193" s="43" t="str">
        <f>IF(OR($B193="",$A193&gt;$B$9,D$175=""),"",IF(COUNTIFS(BD!$B$3:$B$5001,D$175,BD!$A$3:$A$5001,"&gt;="&amp;$C$7,BD!$A$3:$A$5001,"&lt;="&amp;$B193,BD!$Z$3:$Z$5001,"&lt;&gt;")=0,"",SUMIFS(BD!$Z$3:$Z$5001,BD!$B$3:$B$5001,D$175,BD!$A$3:$A$5001,_xlfn.MAXIFS(BD!$A$3:$A$5001,BD!$B$3:$B$5001,D$175,BD!$A$3:$A$5001,"&gt;="&amp;$C$7,BD!$A$3:$A$5001,"&lt;="&amp;$B193,BD!$Z$3:$Z$5001,"&lt;&gt;"))))</f>
        <v/>
      </c>
      <c r="E193" s="43" t="str">
        <f>IF(OR($B193="",$A193&gt;$B$9,E$175=""),"",IF(COUNTIFS(BD!$B$3:$B$5001,E$175,BD!$A$3:$A$5001,"&gt;="&amp;$C$7,BD!$A$3:$A$5001,"&lt;="&amp;$B193,BD!$Z$3:$Z$5001,"&lt;&gt;")=0,"",SUMIFS(BD!$Z$3:$Z$5001,BD!$B$3:$B$5001,E$175,BD!$A$3:$A$5001,_xlfn.MAXIFS(BD!$A$3:$A$5001,BD!$B$3:$B$5001,E$175,BD!$A$3:$A$5001,"&gt;="&amp;$C$7,BD!$A$3:$A$5001,"&lt;="&amp;$B193,BD!$Z$3:$Z$5001,"&lt;&gt;"))))</f>
        <v/>
      </c>
      <c r="F193" s="43" t="str">
        <f>IF(OR($B193="",$A193&gt;$B$9,F$175=""),"",IF(COUNTIFS(BD!$B$3:$B$5001,F$175,BD!$A$3:$A$5001,"&gt;="&amp;$C$7,BD!$A$3:$A$5001,"&lt;="&amp;$B193,BD!$Z$3:$Z$5001,"&lt;&gt;")=0,"",SUMIFS(BD!$Z$3:$Z$5001,BD!$B$3:$B$5001,F$175,BD!$A$3:$A$5001,_xlfn.MAXIFS(BD!$A$3:$A$5001,BD!$B$3:$B$5001,F$175,BD!$A$3:$A$5001,"&gt;="&amp;$C$7,BD!$A$3:$A$5001,"&lt;="&amp;$B193,BD!$Z$3:$Z$5001,"&lt;&gt;"))))</f>
        <v/>
      </c>
      <c r="G193" s="43" t="str">
        <f>IF(OR($B193="",$A193&gt;$B$9,G$175=""),"",IF(COUNTIFS(BD!$B$3:$B$5001,G$175,BD!$A$3:$A$5001,"&gt;="&amp;$C$7,BD!$A$3:$A$5001,"&lt;="&amp;$B193,BD!$Z$3:$Z$5001,"&lt;&gt;")=0,"",SUMIFS(BD!$Z$3:$Z$5001,BD!$B$3:$B$5001,G$175,BD!$A$3:$A$5001,_xlfn.MAXIFS(BD!$A$3:$A$5001,BD!$B$3:$B$5001,G$175,BD!$A$3:$A$5001,"&gt;="&amp;$C$7,BD!$A$3:$A$5001,"&lt;="&amp;$B193,BD!$Z$3:$Z$5001,"&lt;&gt;"))))</f>
        <v/>
      </c>
      <c r="H193" s="43" t="str">
        <f>IF(OR($B193="",$A193&gt;$B$9,H$175=""),"",IF(COUNTIFS(BD!$B$3:$B$5001,H$175,BD!$A$3:$A$5001,"&gt;="&amp;$C$7,BD!$A$3:$A$5001,"&lt;="&amp;$B193,BD!$Z$3:$Z$5001,"&lt;&gt;")=0,"",SUMIFS(BD!$Z$3:$Z$5001,BD!$B$3:$B$5001,H$175,BD!$A$3:$A$5001,_xlfn.MAXIFS(BD!$A$3:$A$5001,BD!$B$3:$B$5001,H$175,BD!$A$3:$A$5001,"&gt;="&amp;$C$7,BD!$A$3:$A$5001,"&lt;="&amp;$B193,BD!$Z$3:$Z$5001,"&lt;&gt;"))))</f>
        <v/>
      </c>
      <c r="I193" s="43" t="str">
        <f>IF(OR($B193="",$A193&gt;$B$9,I$175=""),"",IF(COUNTIFS(BD!$B$3:$B$5001,I$175,BD!$A$3:$A$5001,"&gt;="&amp;$C$7,BD!$A$3:$A$5001,"&lt;="&amp;$B193,BD!$Z$3:$Z$5001,"&lt;&gt;")=0,"",SUMIFS(BD!$Z$3:$Z$5001,BD!$B$3:$B$5001,I$175,BD!$A$3:$A$5001,_xlfn.MAXIFS(BD!$A$3:$A$5001,BD!$B$3:$B$5001,I$175,BD!$A$3:$A$5001,"&gt;="&amp;$C$7,BD!$A$3:$A$5001,"&lt;="&amp;$B193,BD!$Z$3:$Z$5001,"&lt;&gt;"))))</f>
        <v/>
      </c>
      <c r="J193" s="43" t="str">
        <f>IF(OR($B193="",$A193&gt;$B$9,J$175=""),"",IF(COUNTIFS(BD!$B$3:$B$5001,J$175,BD!$A$3:$A$5001,"&gt;="&amp;$C$7,BD!$A$3:$A$5001,"&lt;="&amp;$B193,BD!$Z$3:$Z$5001,"&lt;&gt;")=0,"",SUMIFS(BD!$Z$3:$Z$5001,BD!$B$3:$B$5001,J$175,BD!$A$3:$A$5001,_xlfn.MAXIFS(BD!$A$3:$A$5001,BD!$B$3:$B$5001,J$175,BD!$A$3:$A$5001,"&gt;="&amp;$C$7,BD!$A$3:$A$5001,"&lt;="&amp;$B193,BD!$Z$3:$Z$5001,"&lt;&gt;"))))</f>
        <v/>
      </c>
      <c r="K193" s="43" t="str">
        <f>IF(OR($B193="",$A193&gt;$B$9,K$175=""),"",IF(COUNTIFS(BD!$B$3:$B$5001,K$175,BD!$A$3:$A$5001,"&gt;="&amp;$C$7,BD!$A$3:$A$5001,"&lt;="&amp;$B193,BD!$Z$3:$Z$5001,"&lt;&gt;")=0,"",SUMIFS(BD!$Z$3:$Z$5001,BD!$B$3:$B$5001,K$175,BD!$A$3:$A$5001,_xlfn.MAXIFS(BD!$A$3:$A$5001,BD!$B$3:$B$5001,K$175,BD!$A$3:$A$5001,"&gt;="&amp;$C$7,BD!$A$3:$A$5001,"&lt;="&amp;$B193,BD!$Z$3:$Z$5001,"&lt;&gt;"))))</f>
        <v/>
      </c>
      <c r="L193" s="43" t="str">
        <f>IF(OR($B193="",$A193&gt;$B$9,L$175=""),"",IF(COUNTIFS(BD!$B$3:$B$5001,L$175,BD!$A$3:$A$5001,"&gt;="&amp;$C$7,BD!$A$3:$A$5001,"&lt;="&amp;$B193,BD!$Z$3:$Z$5001,"&lt;&gt;")=0,"",SUMIFS(BD!$Z$3:$Z$5001,BD!$B$3:$B$5001,L$175,BD!$A$3:$A$5001,_xlfn.MAXIFS(BD!$A$3:$A$5001,BD!$B$3:$B$5001,L$175,BD!$A$3:$A$5001,"&gt;="&amp;$C$7,BD!$A$3:$A$5001,"&lt;="&amp;$B193,BD!$Z$3:$Z$5001,"&lt;&gt;"))))</f>
        <v/>
      </c>
      <c r="M193" s="43" t="str">
        <f>IF(OR($B193="",$A193&gt;$B$9,M$175=""),"",IF(COUNTIFS(BD!$B$3:$B$5001,M$175,BD!$A$3:$A$5001,"&gt;="&amp;$C$7,BD!$A$3:$A$5001,"&lt;="&amp;$B193,BD!$Z$3:$Z$5001,"&lt;&gt;")=0,"",SUMIFS(BD!$Z$3:$Z$5001,BD!$B$3:$B$5001,M$175,BD!$A$3:$A$5001,_xlfn.MAXIFS(BD!$A$3:$A$5001,BD!$B$3:$B$5001,M$175,BD!$A$3:$A$5001,"&gt;="&amp;$C$7,BD!$A$3:$A$5001,"&lt;="&amp;$B193,BD!$Z$3:$Z$5001,"&lt;&gt;"))))</f>
        <v/>
      </c>
      <c r="N193" s="43" t="str">
        <f>IF(OR($B193="",$A193&gt;$B$9,N$175=""),"",IF(COUNTIFS(BD!$B$3:$B$5001,N$175,BD!$A$3:$A$5001,"&gt;="&amp;$C$7,BD!$A$3:$A$5001,"&lt;="&amp;$B193,BD!$Z$3:$Z$5001,"&lt;&gt;")=0,"",SUMIFS(BD!$Z$3:$Z$5001,BD!$B$3:$B$5001,N$175,BD!$A$3:$A$5001,_xlfn.MAXIFS(BD!$A$3:$A$5001,BD!$B$3:$B$5001,N$175,BD!$A$3:$A$5001,"&gt;="&amp;$C$7,BD!$A$3:$A$5001,"&lt;="&amp;$B193,BD!$Z$3:$Z$5001,"&lt;&gt;"))))</f>
        <v/>
      </c>
      <c r="O193" s="43" t="str">
        <f>IF(OR($B193="",$A193&gt;$B$9,O$175=""),"",IF(COUNTIFS(BD!$B$3:$B$5001,O$175,BD!$A$3:$A$5001,"&gt;="&amp;$C$7,BD!$A$3:$A$5001,"&lt;="&amp;$B193,BD!$Z$3:$Z$5001,"&lt;&gt;")=0,"",SUMIFS(BD!$Z$3:$Z$5001,BD!$B$3:$B$5001,O$175,BD!$A$3:$A$5001,_xlfn.MAXIFS(BD!$A$3:$A$5001,BD!$B$3:$B$5001,O$175,BD!$A$3:$A$5001,"&gt;="&amp;$C$7,BD!$A$3:$A$5001,"&lt;="&amp;$B193,BD!$Z$3:$Z$5001,"&lt;&gt;"))))</f>
        <v/>
      </c>
      <c r="P193" s="43" t="str">
        <f>IF(OR($B193="",$A193&gt;$B$9,P$175=""),"",IF(COUNTIFS(BD!$B$3:$B$5001,P$175,BD!$A$3:$A$5001,"&gt;="&amp;$C$7,BD!$A$3:$A$5001,"&lt;="&amp;$B193,BD!$Z$3:$Z$5001,"&lt;&gt;")=0,"",SUMIFS(BD!$Z$3:$Z$5001,BD!$B$3:$B$5001,P$175,BD!$A$3:$A$5001,_xlfn.MAXIFS(BD!$A$3:$A$5001,BD!$B$3:$B$5001,P$175,BD!$A$3:$A$5001,"&gt;="&amp;$C$7,BD!$A$3:$A$5001,"&lt;="&amp;$B193,BD!$Z$3:$Z$5001,"&lt;&gt;"))))</f>
        <v/>
      </c>
      <c r="Q193" s="43" t="str">
        <f>IF(OR($B193="",$A193&gt;$B$9,Q$175=""),"",IF(COUNTIFS(BD!$B$3:$B$5001,Q$175,BD!$A$3:$A$5001,"&gt;="&amp;$C$7,BD!$A$3:$A$5001,"&lt;="&amp;$B193,BD!$Z$3:$Z$5001,"&lt;&gt;")=0,"",SUMIFS(BD!$Z$3:$Z$5001,BD!$B$3:$B$5001,Q$175,BD!$A$3:$A$5001,_xlfn.MAXIFS(BD!$A$3:$A$5001,BD!$B$3:$B$5001,Q$175,BD!$A$3:$A$5001,"&gt;="&amp;$C$7,BD!$A$3:$A$5001,"&lt;="&amp;$B193,BD!$Z$3:$Z$5001,"&lt;&gt;"))))</f>
        <v/>
      </c>
      <c r="R193" s="43" t="str">
        <f>IF(OR($B193="",$A193&gt;$B$9,R$175=""),"",IF(COUNTIFS(BD!$B$3:$B$5001,R$175,BD!$A$3:$A$5001,"&gt;="&amp;$C$7,BD!$A$3:$A$5001,"&lt;="&amp;$B193,BD!$Z$3:$Z$5001,"&lt;&gt;")=0,"",SUMIFS(BD!$Z$3:$Z$5001,BD!$B$3:$B$5001,R$175,BD!$A$3:$A$5001,_xlfn.MAXIFS(BD!$A$3:$A$5001,BD!$B$3:$B$5001,R$175,BD!$A$3:$A$5001,"&gt;="&amp;$C$7,BD!$A$3:$A$5001,"&lt;="&amp;$B193,BD!$Z$3:$Z$5001,"&lt;&gt;"))))</f>
        <v/>
      </c>
      <c r="S193" s="43" t="str">
        <f>IF(OR($B193="",$A193&gt;$B$9,S$175=""),"",IF(COUNTIFS(BD!$B$3:$B$5001,S$175,BD!$A$3:$A$5001,"&gt;="&amp;$C$7,BD!$A$3:$A$5001,"&lt;="&amp;$B193,BD!$Z$3:$Z$5001,"&lt;&gt;")=0,"",SUMIFS(BD!$Z$3:$Z$5001,BD!$B$3:$B$5001,S$175,BD!$A$3:$A$5001,_xlfn.MAXIFS(BD!$A$3:$A$5001,BD!$B$3:$B$5001,S$175,BD!$A$3:$A$5001,"&gt;="&amp;$C$7,BD!$A$3:$A$5001,"&lt;="&amp;$B193,BD!$Z$3:$Z$5001,"&lt;&gt;"))))</f>
        <v/>
      </c>
      <c r="T193" s="43" t="str">
        <f>IF(OR($B193="",$A193&gt;$B$9,T$175=""),"",IF(COUNTIFS(BD!$B$3:$B$5001,T$175,BD!$A$3:$A$5001,"&gt;="&amp;$C$7,BD!$A$3:$A$5001,"&lt;="&amp;$B193,BD!$Z$3:$Z$5001,"&lt;&gt;")=0,"",SUMIFS(BD!$Z$3:$Z$5001,BD!$B$3:$B$5001,T$175,BD!$A$3:$A$5001,_xlfn.MAXIFS(BD!$A$3:$A$5001,BD!$B$3:$B$5001,T$175,BD!$A$3:$A$5001,"&gt;="&amp;$C$7,BD!$A$3:$A$5001,"&lt;="&amp;$B193,BD!$Z$3:$Z$5001,"&lt;&gt;"))))</f>
        <v/>
      </c>
      <c r="U193" s="43" t="str">
        <f>IF(OR($B193="",$A193&gt;$B$9,U$175=""),"",IF(COUNTIFS(BD!$B$3:$B$5001,U$175,BD!$A$3:$A$5001,"&gt;="&amp;$C$7,BD!$A$3:$A$5001,"&lt;="&amp;$B193,BD!$Z$3:$Z$5001,"&lt;&gt;")=0,"",SUMIFS(BD!$Z$3:$Z$5001,BD!$B$3:$B$5001,U$175,BD!$A$3:$A$5001,_xlfn.MAXIFS(BD!$A$3:$A$5001,BD!$B$3:$B$5001,U$175,BD!$A$3:$A$5001,"&gt;="&amp;$C$7,BD!$A$3:$A$5001,"&lt;="&amp;$B193,BD!$Z$3:$Z$5001,"&lt;&gt;"))))</f>
        <v/>
      </c>
      <c r="V193" s="43" t="str">
        <f>IF(OR($B193="",$A193&gt;$B$9,V$175=""),"",IF(COUNTIFS(BD!$B$3:$B$5001,V$175,BD!$A$3:$A$5001,"&gt;="&amp;$C$7,BD!$A$3:$A$5001,"&lt;="&amp;$B193,BD!$Z$3:$Z$5001,"&lt;&gt;")=0,"",SUMIFS(BD!$Z$3:$Z$5001,BD!$B$3:$B$5001,V$175,BD!$A$3:$A$5001,_xlfn.MAXIFS(BD!$A$3:$A$5001,BD!$B$3:$B$5001,V$175,BD!$A$3:$A$5001,"&gt;="&amp;$C$7,BD!$A$3:$A$5001,"&lt;="&amp;$B193,BD!$Z$3:$Z$5001,"&lt;&gt;"))))</f>
        <v/>
      </c>
    </row>
    <row r="194">
      <c r="A194" s="38">
        <v>19</v>
      </c>
      <c r="B194" s="42">
        <f>$B$30</f>
        <v>46314</v>
      </c>
      <c r="C194" s="43" t="str">
        <f>IF(OR($B194="",$A194&gt;$B$9,C$175=""),"",IF(COUNTIFS(BD!$B$3:$B$5001,C$175,BD!$A$3:$A$5001,"&gt;="&amp;$C$7,BD!$A$3:$A$5001,"&lt;="&amp;$B194,BD!$Z$3:$Z$5001,"&lt;&gt;")=0,"",SUMIFS(BD!$Z$3:$Z$5001,BD!$B$3:$B$5001,C$175,BD!$A$3:$A$5001,_xlfn.MAXIFS(BD!$A$3:$A$5001,BD!$B$3:$B$5001,C$175,BD!$A$3:$A$5001,"&gt;="&amp;$C$7,BD!$A$3:$A$5001,"&lt;="&amp;$B194,BD!$Z$3:$Z$5001,"&lt;&gt;"))))</f>
        <v/>
      </c>
      <c r="D194" s="43" t="str">
        <f>IF(OR($B194="",$A194&gt;$B$9,D$175=""),"",IF(COUNTIFS(BD!$B$3:$B$5001,D$175,BD!$A$3:$A$5001,"&gt;="&amp;$C$7,BD!$A$3:$A$5001,"&lt;="&amp;$B194,BD!$Z$3:$Z$5001,"&lt;&gt;")=0,"",SUMIFS(BD!$Z$3:$Z$5001,BD!$B$3:$B$5001,D$175,BD!$A$3:$A$5001,_xlfn.MAXIFS(BD!$A$3:$A$5001,BD!$B$3:$B$5001,D$175,BD!$A$3:$A$5001,"&gt;="&amp;$C$7,BD!$A$3:$A$5001,"&lt;="&amp;$B194,BD!$Z$3:$Z$5001,"&lt;&gt;"))))</f>
        <v/>
      </c>
      <c r="E194" s="43" t="str">
        <f>IF(OR($B194="",$A194&gt;$B$9,E$175=""),"",IF(COUNTIFS(BD!$B$3:$B$5001,E$175,BD!$A$3:$A$5001,"&gt;="&amp;$C$7,BD!$A$3:$A$5001,"&lt;="&amp;$B194,BD!$Z$3:$Z$5001,"&lt;&gt;")=0,"",SUMIFS(BD!$Z$3:$Z$5001,BD!$B$3:$B$5001,E$175,BD!$A$3:$A$5001,_xlfn.MAXIFS(BD!$A$3:$A$5001,BD!$B$3:$B$5001,E$175,BD!$A$3:$A$5001,"&gt;="&amp;$C$7,BD!$A$3:$A$5001,"&lt;="&amp;$B194,BD!$Z$3:$Z$5001,"&lt;&gt;"))))</f>
        <v/>
      </c>
      <c r="F194" s="43" t="str">
        <f>IF(OR($B194="",$A194&gt;$B$9,F$175=""),"",IF(COUNTIFS(BD!$B$3:$B$5001,F$175,BD!$A$3:$A$5001,"&gt;="&amp;$C$7,BD!$A$3:$A$5001,"&lt;="&amp;$B194,BD!$Z$3:$Z$5001,"&lt;&gt;")=0,"",SUMIFS(BD!$Z$3:$Z$5001,BD!$B$3:$B$5001,F$175,BD!$A$3:$A$5001,_xlfn.MAXIFS(BD!$A$3:$A$5001,BD!$B$3:$B$5001,F$175,BD!$A$3:$A$5001,"&gt;="&amp;$C$7,BD!$A$3:$A$5001,"&lt;="&amp;$B194,BD!$Z$3:$Z$5001,"&lt;&gt;"))))</f>
        <v/>
      </c>
      <c r="G194" s="43" t="str">
        <f>IF(OR($B194="",$A194&gt;$B$9,G$175=""),"",IF(COUNTIFS(BD!$B$3:$B$5001,G$175,BD!$A$3:$A$5001,"&gt;="&amp;$C$7,BD!$A$3:$A$5001,"&lt;="&amp;$B194,BD!$Z$3:$Z$5001,"&lt;&gt;")=0,"",SUMIFS(BD!$Z$3:$Z$5001,BD!$B$3:$B$5001,G$175,BD!$A$3:$A$5001,_xlfn.MAXIFS(BD!$A$3:$A$5001,BD!$B$3:$B$5001,G$175,BD!$A$3:$A$5001,"&gt;="&amp;$C$7,BD!$A$3:$A$5001,"&lt;="&amp;$B194,BD!$Z$3:$Z$5001,"&lt;&gt;"))))</f>
        <v/>
      </c>
      <c r="H194" s="43" t="str">
        <f>IF(OR($B194="",$A194&gt;$B$9,H$175=""),"",IF(COUNTIFS(BD!$B$3:$B$5001,H$175,BD!$A$3:$A$5001,"&gt;="&amp;$C$7,BD!$A$3:$A$5001,"&lt;="&amp;$B194,BD!$Z$3:$Z$5001,"&lt;&gt;")=0,"",SUMIFS(BD!$Z$3:$Z$5001,BD!$B$3:$B$5001,H$175,BD!$A$3:$A$5001,_xlfn.MAXIFS(BD!$A$3:$A$5001,BD!$B$3:$B$5001,H$175,BD!$A$3:$A$5001,"&gt;="&amp;$C$7,BD!$A$3:$A$5001,"&lt;="&amp;$B194,BD!$Z$3:$Z$5001,"&lt;&gt;"))))</f>
        <v/>
      </c>
      <c r="I194" s="43" t="str">
        <f>IF(OR($B194="",$A194&gt;$B$9,I$175=""),"",IF(COUNTIFS(BD!$B$3:$B$5001,I$175,BD!$A$3:$A$5001,"&gt;="&amp;$C$7,BD!$A$3:$A$5001,"&lt;="&amp;$B194,BD!$Z$3:$Z$5001,"&lt;&gt;")=0,"",SUMIFS(BD!$Z$3:$Z$5001,BD!$B$3:$B$5001,I$175,BD!$A$3:$A$5001,_xlfn.MAXIFS(BD!$A$3:$A$5001,BD!$B$3:$B$5001,I$175,BD!$A$3:$A$5001,"&gt;="&amp;$C$7,BD!$A$3:$A$5001,"&lt;="&amp;$B194,BD!$Z$3:$Z$5001,"&lt;&gt;"))))</f>
        <v/>
      </c>
      <c r="J194" s="43" t="str">
        <f>IF(OR($B194="",$A194&gt;$B$9,J$175=""),"",IF(COUNTIFS(BD!$B$3:$B$5001,J$175,BD!$A$3:$A$5001,"&gt;="&amp;$C$7,BD!$A$3:$A$5001,"&lt;="&amp;$B194,BD!$Z$3:$Z$5001,"&lt;&gt;")=0,"",SUMIFS(BD!$Z$3:$Z$5001,BD!$B$3:$B$5001,J$175,BD!$A$3:$A$5001,_xlfn.MAXIFS(BD!$A$3:$A$5001,BD!$B$3:$B$5001,J$175,BD!$A$3:$A$5001,"&gt;="&amp;$C$7,BD!$A$3:$A$5001,"&lt;="&amp;$B194,BD!$Z$3:$Z$5001,"&lt;&gt;"))))</f>
        <v/>
      </c>
      <c r="K194" s="43" t="str">
        <f>IF(OR($B194="",$A194&gt;$B$9,K$175=""),"",IF(COUNTIFS(BD!$B$3:$B$5001,K$175,BD!$A$3:$A$5001,"&gt;="&amp;$C$7,BD!$A$3:$A$5001,"&lt;="&amp;$B194,BD!$Z$3:$Z$5001,"&lt;&gt;")=0,"",SUMIFS(BD!$Z$3:$Z$5001,BD!$B$3:$B$5001,K$175,BD!$A$3:$A$5001,_xlfn.MAXIFS(BD!$A$3:$A$5001,BD!$B$3:$B$5001,K$175,BD!$A$3:$A$5001,"&gt;="&amp;$C$7,BD!$A$3:$A$5001,"&lt;="&amp;$B194,BD!$Z$3:$Z$5001,"&lt;&gt;"))))</f>
        <v/>
      </c>
      <c r="L194" s="43" t="str">
        <f>IF(OR($B194="",$A194&gt;$B$9,L$175=""),"",IF(COUNTIFS(BD!$B$3:$B$5001,L$175,BD!$A$3:$A$5001,"&gt;="&amp;$C$7,BD!$A$3:$A$5001,"&lt;="&amp;$B194,BD!$Z$3:$Z$5001,"&lt;&gt;")=0,"",SUMIFS(BD!$Z$3:$Z$5001,BD!$B$3:$B$5001,L$175,BD!$A$3:$A$5001,_xlfn.MAXIFS(BD!$A$3:$A$5001,BD!$B$3:$B$5001,L$175,BD!$A$3:$A$5001,"&gt;="&amp;$C$7,BD!$A$3:$A$5001,"&lt;="&amp;$B194,BD!$Z$3:$Z$5001,"&lt;&gt;"))))</f>
        <v/>
      </c>
      <c r="M194" s="43" t="str">
        <f>IF(OR($B194="",$A194&gt;$B$9,M$175=""),"",IF(COUNTIFS(BD!$B$3:$B$5001,M$175,BD!$A$3:$A$5001,"&gt;="&amp;$C$7,BD!$A$3:$A$5001,"&lt;="&amp;$B194,BD!$Z$3:$Z$5001,"&lt;&gt;")=0,"",SUMIFS(BD!$Z$3:$Z$5001,BD!$B$3:$B$5001,M$175,BD!$A$3:$A$5001,_xlfn.MAXIFS(BD!$A$3:$A$5001,BD!$B$3:$B$5001,M$175,BD!$A$3:$A$5001,"&gt;="&amp;$C$7,BD!$A$3:$A$5001,"&lt;="&amp;$B194,BD!$Z$3:$Z$5001,"&lt;&gt;"))))</f>
        <v/>
      </c>
      <c r="N194" s="43" t="str">
        <f>IF(OR($B194="",$A194&gt;$B$9,N$175=""),"",IF(COUNTIFS(BD!$B$3:$B$5001,N$175,BD!$A$3:$A$5001,"&gt;="&amp;$C$7,BD!$A$3:$A$5001,"&lt;="&amp;$B194,BD!$Z$3:$Z$5001,"&lt;&gt;")=0,"",SUMIFS(BD!$Z$3:$Z$5001,BD!$B$3:$B$5001,N$175,BD!$A$3:$A$5001,_xlfn.MAXIFS(BD!$A$3:$A$5001,BD!$B$3:$B$5001,N$175,BD!$A$3:$A$5001,"&gt;="&amp;$C$7,BD!$A$3:$A$5001,"&lt;="&amp;$B194,BD!$Z$3:$Z$5001,"&lt;&gt;"))))</f>
        <v/>
      </c>
      <c r="O194" s="43" t="str">
        <f>IF(OR($B194="",$A194&gt;$B$9,O$175=""),"",IF(COUNTIFS(BD!$B$3:$B$5001,O$175,BD!$A$3:$A$5001,"&gt;="&amp;$C$7,BD!$A$3:$A$5001,"&lt;="&amp;$B194,BD!$Z$3:$Z$5001,"&lt;&gt;")=0,"",SUMIFS(BD!$Z$3:$Z$5001,BD!$B$3:$B$5001,O$175,BD!$A$3:$A$5001,_xlfn.MAXIFS(BD!$A$3:$A$5001,BD!$B$3:$B$5001,O$175,BD!$A$3:$A$5001,"&gt;="&amp;$C$7,BD!$A$3:$A$5001,"&lt;="&amp;$B194,BD!$Z$3:$Z$5001,"&lt;&gt;"))))</f>
        <v/>
      </c>
      <c r="P194" s="43" t="str">
        <f>IF(OR($B194="",$A194&gt;$B$9,P$175=""),"",IF(COUNTIFS(BD!$B$3:$B$5001,P$175,BD!$A$3:$A$5001,"&gt;="&amp;$C$7,BD!$A$3:$A$5001,"&lt;="&amp;$B194,BD!$Z$3:$Z$5001,"&lt;&gt;")=0,"",SUMIFS(BD!$Z$3:$Z$5001,BD!$B$3:$B$5001,P$175,BD!$A$3:$A$5001,_xlfn.MAXIFS(BD!$A$3:$A$5001,BD!$B$3:$B$5001,P$175,BD!$A$3:$A$5001,"&gt;="&amp;$C$7,BD!$A$3:$A$5001,"&lt;="&amp;$B194,BD!$Z$3:$Z$5001,"&lt;&gt;"))))</f>
        <v/>
      </c>
      <c r="Q194" s="43" t="str">
        <f>IF(OR($B194="",$A194&gt;$B$9,Q$175=""),"",IF(COUNTIFS(BD!$B$3:$B$5001,Q$175,BD!$A$3:$A$5001,"&gt;="&amp;$C$7,BD!$A$3:$A$5001,"&lt;="&amp;$B194,BD!$Z$3:$Z$5001,"&lt;&gt;")=0,"",SUMIFS(BD!$Z$3:$Z$5001,BD!$B$3:$B$5001,Q$175,BD!$A$3:$A$5001,_xlfn.MAXIFS(BD!$A$3:$A$5001,BD!$B$3:$B$5001,Q$175,BD!$A$3:$A$5001,"&gt;="&amp;$C$7,BD!$A$3:$A$5001,"&lt;="&amp;$B194,BD!$Z$3:$Z$5001,"&lt;&gt;"))))</f>
        <v/>
      </c>
      <c r="R194" s="43" t="str">
        <f>IF(OR($B194="",$A194&gt;$B$9,R$175=""),"",IF(COUNTIFS(BD!$B$3:$B$5001,R$175,BD!$A$3:$A$5001,"&gt;="&amp;$C$7,BD!$A$3:$A$5001,"&lt;="&amp;$B194,BD!$Z$3:$Z$5001,"&lt;&gt;")=0,"",SUMIFS(BD!$Z$3:$Z$5001,BD!$B$3:$B$5001,R$175,BD!$A$3:$A$5001,_xlfn.MAXIFS(BD!$A$3:$A$5001,BD!$B$3:$B$5001,R$175,BD!$A$3:$A$5001,"&gt;="&amp;$C$7,BD!$A$3:$A$5001,"&lt;="&amp;$B194,BD!$Z$3:$Z$5001,"&lt;&gt;"))))</f>
        <v/>
      </c>
      <c r="S194" s="43" t="str">
        <f>IF(OR($B194="",$A194&gt;$B$9,S$175=""),"",IF(COUNTIFS(BD!$B$3:$B$5001,S$175,BD!$A$3:$A$5001,"&gt;="&amp;$C$7,BD!$A$3:$A$5001,"&lt;="&amp;$B194,BD!$Z$3:$Z$5001,"&lt;&gt;")=0,"",SUMIFS(BD!$Z$3:$Z$5001,BD!$B$3:$B$5001,S$175,BD!$A$3:$A$5001,_xlfn.MAXIFS(BD!$A$3:$A$5001,BD!$B$3:$B$5001,S$175,BD!$A$3:$A$5001,"&gt;="&amp;$C$7,BD!$A$3:$A$5001,"&lt;="&amp;$B194,BD!$Z$3:$Z$5001,"&lt;&gt;"))))</f>
        <v/>
      </c>
      <c r="T194" s="43" t="str">
        <f>IF(OR($B194="",$A194&gt;$B$9,T$175=""),"",IF(COUNTIFS(BD!$B$3:$B$5001,T$175,BD!$A$3:$A$5001,"&gt;="&amp;$C$7,BD!$A$3:$A$5001,"&lt;="&amp;$B194,BD!$Z$3:$Z$5001,"&lt;&gt;")=0,"",SUMIFS(BD!$Z$3:$Z$5001,BD!$B$3:$B$5001,T$175,BD!$A$3:$A$5001,_xlfn.MAXIFS(BD!$A$3:$A$5001,BD!$B$3:$B$5001,T$175,BD!$A$3:$A$5001,"&gt;="&amp;$C$7,BD!$A$3:$A$5001,"&lt;="&amp;$B194,BD!$Z$3:$Z$5001,"&lt;&gt;"))))</f>
        <v/>
      </c>
      <c r="U194" s="43" t="str">
        <f>IF(OR($B194="",$A194&gt;$B$9,U$175=""),"",IF(COUNTIFS(BD!$B$3:$B$5001,U$175,BD!$A$3:$A$5001,"&gt;="&amp;$C$7,BD!$A$3:$A$5001,"&lt;="&amp;$B194,BD!$Z$3:$Z$5001,"&lt;&gt;")=0,"",SUMIFS(BD!$Z$3:$Z$5001,BD!$B$3:$B$5001,U$175,BD!$A$3:$A$5001,_xlfn.MAXIFS(BD!$A$3:$A$5001,BD!$B$3:$B$5001,U$175,BD!$A$3:$A$5001,"&gt;="&amp;$C$7,BD!$A$3:$A$5001,"&lt;="&amp;$B194,BD!$Z$3:$Z$5001,"&lt;&gt;"))))</f>
        <v/>
      </c>
      <c r="V194" s="43" t="str">
        <f>IF(OR($B194="",$A194&gt;$B$9,V$175=""),"",IF(COUNTIFS(BD!$B$3:$B$5001,V$175,BD!$A$3:$A$5001,"&gt;="&amp;$C$7,BD!$A$3:$A$5001,"&lt;="&amp;$B194,BD!$Z$3:$Z$5001,"&lt;&gt;")=0,"",SUMIFS(BD!$Z$3:$Z$5001,BD!$B$3:$B$5001,V$175,BD!$A$3:$A$5001,_xlfn.MAXIFS(BD!$A$3:$A$5001,BD!$B$3:$B$5001,V$175,BD!$A$3:$A$5001,"&gt;="&amp;$C$7,BD!$A$3:$A$5001,"&lt;="&amp;$B194,BD!$Z$3:$Z$5001,"&lt;&gt;"))))</f>
        <v/>
      </c>
    </row>
    <row r="195">
      <c r="A195" s="38">
        <v>20</v>
      </c>
      <c r="B195" s="42">
        <f>$B$31</f>
        <v>46315</v>
      </c>
      <c r="C195" s="43" t="str">
        <f>IF(OR($B195="",$A195&gt;$B$9,C$175=""),"",IF(COUNTIFS(BD!$B$3:$B$5001,C$175,BD!$A$3:$A$5001,"&gt;="&amp;$C$7,BD!$A$3:$A$5001,"&lt;="&amp;$B195,BD!$Z$3:$Z$5001,"&lt;&gt;")=0,"",SUMIFS(BD!$Z$3:$Z$5001,BD!$B$3:$B$5001,C$175,BD!$A$3:$A$5001,_xlfn.MAXIFS(BD!$A$3:$A$5001,BD!$B$3:$B$5001,C$175,BD!$A$3:$A$5001,"&gt;="&amp;$C$7,BD!$A$3:$A$5001,"&lt;="&amp;$B195,BD!$Z$3:$Z$5001,"&lt;&gt;"))))</f>
        <v/>
      </c>
      <c r="D195" s="43" t="str">
        <f>IF(OR($B195="",$A195&gt;$B$9,D$175=""),"",IF(COUNTIFS(BD!$B$3:$B$5001,D$175,BD!$A$3:$A$5001,"&gt;="&amp;$C$7,BD!$A$3:$A$5001,"&lt;="&amp;$B195,BD!$Z$3:$Z$5001,"&lt;&gt;")=0,"",SUMIFS(BD!$Z$3:$Z$5001,BD!$B$3:$B$5001,D$175,BD!$A$3:$A$5001,_xlfn.MAXIFS(BD!$A$3:$A$5001,BD!$B$3:$B$5001,D$175,BD!$A$3:$A$5001,"&gt;="&amp;$C$7,BD!$A$3:$A$5001,"&lt;="&amp;$B195,BD!$Z$3:$Z$5001,"&lt;&gt;"))))</f>
        <v/>
      </c>
      <c r="E195" s="43" t="str">
        <f>IF(OR($B195="",$A195&gt;$B$9,E$175=""),"",IF(COUNTIFS(BD!$B$3:$B$5001,E$175,BD!$A$3:$A$5001,"&gt;="&amp;$C$7,BD!$A$3:$A$5001,"&lt;="&amp;$B195,BD!$Z$3:$Z$5001,"&lt;&gt;")=0,"",SUMIFS(BD!$Z$3:$Z$5001,BD!$B$3:$B$5001,E$175,BD!$A$3:$A$5001,_xlfn.MAXIFS(BD!$A$3:$A$5001,BD!$B$3:$B$5001,E$175,BD!$A$3:$A$5001,"&gt;="&amp;$C$7,BD!$A$3:$A$5001,"&lt;="&amp;$B195,BD!$Z$3:$Z$5001,"&lt;&gt;"))))</f>
        <v/>
      </c>
      <c r="F195" s="43" t="str">
        <f>IF(OR($B195="",$A195&gt;$B$9,F$175=""),"",IF(COUNTIFS(BD!$B$3:$B$5001,F$175,BD!$A$3:$A$5001,"&gt;="&amp;$C$7,BD!$A$3:$A$5001,"&lt;="&amp;$B195,BD!$Z$3:$Z$5001,"&lt;&gt;")=0,"",SUMIFS(BD!$Z$3:$Z$5001,BD!$B$3:$B$5001,F$175,BD!$A$3:$A$5001,_xlfn.MAXIFS(BD!$A$3:$A$5001,BD!$B$3:$B$5001,F$175,BD!$A$3:$A$5001,"&gt;="&amp;$C$7,BD!$A$3:$A$5001,"&lt;="&amp;$B195,BD!$Z$3:$Z$5001,"&lt;&gt;"))))</f>
        <v/>
      </c>
      <c r="G195" s="43" t="str">
        <f>IF(OR($B195="",$A195&gt;$B$9,G$175=""),"",IF(COUNTIFS(BD!$B$3:$B$5001,G$175,BD!$A$3:$A$5001,"&gt;="&amp;$C$7,BD!$A$3:$A$5001,"&lt;="&amp;$B195,BD!$Z$3:$Z$5001,"&lt;&gt;")=0,"",SUMIFS(BD!$Z$3:$Z$5001,BD!$B$3:$B$5001,G$175,BD!$A$3:$A$5001,_xlfn.MAXIFS(BD!$A$3:$A$5001,BD!$B$3:$B$5001,G$175,BD!$A$3:$A$5001,"&gt;="&amp;$C$7,BD!$A$3:$A$5001,"&lt;="&amp;$B195,BD!$Z$3:$Z$5001,"&lt;&gt;"))))</f>
        <v/>
      </c>
      <c r="H195" s="43" t="str">
        <f>IF(OR($B195="",$A195&gt;$B$9,H$175=""),"",IF(COUNTIFS(BD!$B$3:$B$5001,H$175,BD!$A$3:$A$5001,"&gt;="&amp;$C$7,BD!$A$3:$A$5001,"&lt;="&amp;$B195,BD!$Z$3:$Z$5001,"&lt;&gt;")=0,"",SUMIFS(BD!$Z$3:$Z$5001,BD!$B$3:$B$5001,H$175,BD!$A$3:$A$5001,_xlfn.MAXIFS(BD!$A$3:$A$5001,BD!$B$3:$B$5001,H$175,BD!$A$3:$A$5001,"&gt;="&amp;$C$7,BD!$A$3:$A$5001,"&lt;="&amp;$B195,BD!$Z$3:$Z$5001,"&lt;&gt;"))))</f>
        <v/>
      </c>
      <c r="I195" s="43" t="str">
        <f>IF(OR($B195="",$A195&gt;$B$9,I$175=""),"",IF(COUNTIFS(BD!$B$3:$B$5001,I$175,BD!$A$3:$A$5001,"&gt;="&amp;$C$7,BD!$A$3:$A$5001,"&lt;="&amp;$B195,BD!$Z$3:$Z$5001,"&lt;&gt;")=0,"",SUMIFS(BD!$Z$3:$Z$5001,BD!$B$3:$B$5001,I$175,BD!$A$3:$A$5001,_xlfn.MAXIFS(BD!$A$3:$A$5001,BD!$B$3:$B$5001,I$175,BD!$A$3:$A$5001,"&gt;="&amp;$C$7,BD!$A$3:$A$5001,"&lt;="&amp;$B195,BD!$Z$3:$Z$5001,"&lt;&gt;"))))</f>
        <v/>
      </c>
      <c r="J195" s="43" t="str">
        <f>IF(OR($B195="",$A195&gt;$B$9,J$175=""),"",IF(COUNTIFS(BD!$B$3:$B$5001,J$175,BD!$A$3:$A$5001,"&gt;="&amp;$C$7,BD!$A$3:$A$5001,"&lt;="&amp;$B195,BD!$Z$3:$Z$5001,"&lt;&gt;")=0,"",SUMIFS(BD!$Z$3:$Z$5001,BD!$B$3:$B$5001,J$175,BD!$A$3:$A$5001,_xlfn.MAXIFS(BD!$A$3:$A$5001,BD!$B$3:$B$5001,J$175,BD!$A$3:$A$5001,"&gt;="&amp;$C$7,BD!$A$3:$A$5001,"&lt;="&amp;$B195,BD!$Z$3:$Z$5001,"&lt;&gt;"))))</f>
        <v/>
      </c>
      <c r="K195" s="43" t="str">
        <f>IF(OR($B195="",$A195&gt;$B$9,K$175=""),"",IF(COUNTIFS(BD!$B$3:$B$5001,K$175,BD!$A$3:$A$5001,"&gt;="&amp;$C$7,BD!$A$3:$A$5001,"&lt;="&amp;$B195,BD!$Z$3:$Z$5001,"&lt;&gt;")=0,"",SUMIFS(BD!$Z$3:$Z$5001,BD!$B$3:$B$5001,K$175,BD!$A$3:$A$5001,_xlfn.MAXIFS(BD!$A$3:$A$5001,BD!$B$3:$B$5001,K$175,BD!$A$3:$A$5001,"&gt;="&amp;$C$7,BD!$A$3:$A$5001,"&lt;="&amp;$B195,BD!$Z$3:$Z$5001,"&lt;&gt;"))))</f>
        <v/>
      </c>
      <c r="L195" s="43" t="str">
        <f>IF(OR($B195="",$A195&gt;$B$9,L$175=""),"",IF(COUNTIFS(BD!$B$3:$B$5001,L$175,BD!$A$3:$A$5001,"&gt;="&amp;$C$7,BD!$A$3:$A$5001,"&lt;="&amp;$B195,BD!$Z$3:$Z$5001,"&lt;&gt;")=0,"",SUMIFS(BD!$Z$3:$Z$5001,BD!$B$3:$B$5001,L$175,BD!$A$3:$A$5001,_xlfn.MAXIFS(BD!$A$3:$A$5001,BD!$B$3:$B$5001,L$175,BD!$A$3:$A$5001,"&gt;="&amp;$C$7,BD!$A$3:$A$5001,"&lt;="&amp;$B195,BD!$Z$3:$Z$5001,"&lt;&gt;"))))</f>
        <v/>
      </c>
      <c r="M195" s="43" t="str">
        <f>IF(OR($B195="",$A195&gt;$B$9,M$175=""),"",IF(COUNTIFS(BD!$B$3:$B$5001,M$175,BD!$A$3:$A$5001,"&gt;="&amp;$C$7,BD!$A$3:$A$5001,"&lt;="&amp;$B195,BD!$Z$3:$Z$5001,"&lt;&gt;")=0,"",SUMIFS(BD!$Z$3:$Z$5001,BD!$B$3:$B$5001,M$175,BD!$A$3:$A$5001,_xlfn.MAXIFS(BD!$A$3:$A$5001,BD!$B$3:$B$5001,M$175,BD!$A$3:$A$5001,"&gt;="&amp;$C$7,BD!$A$3:$A$5001,"&lt;="&amp;$B195,BD!$Z$3:$Z$5001,"&lt;&gt;"))))</f>
        <v/>
      </c>
      <c r="N195" s="43" t="str">
        <f>IF(OR($B195="",$A195&gt;$B$9,N$175=""),"",IF(COUNTIFS(BD!$B$3:$B$5001,N$175,BD!$A$3:$A$5001,"&gt;="&amp;$C$7,BD!$A$3:$A$5001,"&lt;="&amp;$B195,BD!$Z$3:$Z$5001,"&lt;&gt;")=0,"",SUMIFS(BD!$Z$3:$Z$5001,BD!$B$3:$B$5001,N$175,BD!$A$3:$A$5001,_xlfn.MAXIFS(BD!$A$3:$A$5001,BD!$B$3:$B$5001,N$175,BD!$A$3:$A$5001,"&gt;="&amp;$C$7,BD!$A$3:$A$5001,"&lt;="&amp;$B195,BD!$Z$3:$Z$5001,"&lt;&gt;"))))</f>
        <v/>
      </c>
      <c r="O195" s="43" t="str">
        <f>IF(OR($B195="",$A195&gt;$B$9,O$175=""),"",IF(COUNTIFS(BD!$B$3:$B$5001,O$175,BD!$A$3:$A$5001,"&gt;="&amp;$C$7,BD!$A$3:$A$5001,"&lt;="&amp;$B195,BD!$Z$3:$Z$5001,"&lt;&gt;")=0,"",SUMIFS(BD!$Z$3:$Z$5001,BD!$B$3:$B$5001,O$175,BD!$A$3:$A$5001,_xlfn.MAXIFS(BD!$A$3:$A$5001,BD!$B$3:$B$5001,O$175,BD!$A$3:$A$5001,"&gt;="&amp;$C$7,BD!$A$3:$A$5001,"&lt;="&amp;$B195,BD!$Z$3:$Z$5001,"&lt;&gt;"))))</f>
        <v/>
      </c>
      <c r="P195" s="43" t="str">
        <f>IF(OR($B195="",$A195&gt;$B$9,P$175=""),"",IF(COUNTIFS(BD!$B$3:$B$5001,P$175,BD!$A$3:$A$5001,"&gt;="&amp;$C$7,BD!$A$3:$A$5001,"&lt;="&amp;$B195,BD!$Z$3:$Z$5001,"&lt;&gt;")=0,"",SUMIFS(BD!$Z$3:$Z$5001,BD!$B$3:$B$5001,P$175,BD!$A$3:$A$5001,_xlfn.MAXIFS(BD!$A$3:$A$5001,BD!$B$3:$B$5001,P$175,BD!$A$3:$A$5001,"&gt;="&amp;$C$7,BD!$A$3:$A$5001,"&lt;="&amp;$B195,BD!$Z$3:$Z$5001,"&lt;&gt;"))))</f>
        <v/>
      </c>
      <c r="Q195" s="43" t="str">
        <f>IF(OR($B195="",$A195&gt;$B$9,Q$175=""),"",IF(COUNTIFS(BD!$B$3:$B$5001,Q$175,BD!$A$3:$A$5001,"&gt;="&amp;$C$7,BD!$A$3:$A$5001,"&lt;="&amp;$B195,BD!$Z$3:$Z$5001,"&lt;&gt;")=0,"",SUMIFS(BD!$Z$3:$Z$5001,BD!$B$3:$B$5001,Q$175,BD!$A$3:$A$5001,_xlfn.MAXIFS(BD!$A$3:$A$5001,BD!$B$3:$B$5001,Q$175,BD!$A$3:$A$5001,"&gt;="&amp;$C$7,BD!$A$3:$A$5001,"&lt;="&amp;$B195,BD!$Z$3:$Z$5001,"&lt;&gt;"))))</f>
        <v/>
      </c>
      <c r="R195" s="43" t="str">
        <f>IF(OR($B195="",$A195&gt;$B$9,R$175=""),"",IF(COUNTIFS(BD!$B$3:$B$5001,R$175,BD!$A$3:$A$5001,"&gt;="&amp;$C$7,BD!$A$3:$A$5001,"&lt;="&amp;$B195,BD!$Z$3:$Z$5001,"&lt;&gt;")=0,"",SUMIFS(BD!$Z$3:$Z$5001,BD!$B$3:$B$5001,R$175,BD!$A$3:$A$5001,_xlfn.MAXIFS(BD!$A$3:$A$5001,BD!$B$3:$B$5001,R$175,BD!$A$3:$A$5001,"&gt;="&amp;$C$7,BD!$A$3:$A$5001,"&lt;="&amp;$B195,BD!$Z$3:$Z$5001,"&lt;&gt;"))))</f>
        <v/>
      </c>
      <c r="S195" s="43" t="str">
        <f>IF(OR($B195="",$A195&gt;$B$9,S$175=""),"",IF(COUNTIFS(BD!$B$3:$B$5001,S$175,BD!$A$3:$A$5001,"&gt;="&amp;$C$7,BD!$A$3:$A$5001,"&lt;="&amp;$B195,BD!$Z$3:$Z$5001,"&lt;&gt;")=0,"",SUMIFS(BD!$Z$3:$Z$5001,BD!$B$3:$B$5001,S$175,BD!$A$3:$A$5001,_xlfn.MAXIFS(BD!$A$3:$A$5001,BD!$B$3:$B$5001,S$175,BD!$A$3:$A$5001,"&gt;="&amp;$C$7,BD!$A$3:$A$5001,"&lt;="&amp;$B195,BD!$Z$3:$Z$5001,"&lt;&gt;"))))</f>
        <v/>
      </c>
      <c r="T195" s="43" t="str">
        <f>IF(OR($B195="",$A195&gt;$B$9,T$175=""),"",IF(COUNTIFS(BD!$B$3:$B$5001,T$175,BD!$A$3:$A$5001,"&gt;="&amp;$C$7,BD!$A$3:$A$5001,"&lt;="&amp;$B195,BD!$Z$3:$Z$5001,"&lt;&gt;")=0,"",SUMIFS(BD!$Z$3:$Z$5001,BD!$B$3:$B$5001,T$175,BD!$A$3:$A$5001,_xlfn.MAXIFS(BD!$A$3:$A$5001,BD!$B$3:$B$5001,T$175,BD!$A$3:$A$5001,"&gt;="&amp;$C$7,BD!$A$3:$A$5001,"&lt;="&amp;$B195,BD!$Z$3:$Z$5001,"&lt;&gt;"))))</f>
        <v/>
      </c>
      <c r="U195" s="43" t="str">
        <f>IF(OR($B195="",$A195&gt;$B$9,U$175=""),"",IF(COUNTIFS(BD!$B$3:$B$5001,U$175,BD!$A$3:$A$5001,"&gt;="&amp;$C$7,BD!$A$3:$A$5001,"&lt;="&amp;$B195,BD!$Z$3:$Z$5001,"&lt;&gt;")=0,"",SUMIFS(BD!$Z$3:$Z$5001,BD!$B$3:$B$5001,U$175,BD!$A$3:$A$5001,_xlfn.MAXIFS(BD!$A$3:$A$5001,BD!$B$3:$B$5001,U$175,BD!$A$3:$A$5001,"&gt;="&amp;$C$7,BD!$A$3:$A$5001,"&lt;="&amp;$B195,BD!$Z$3:$Z$5001,"&lt;&gt;"))))</f>
        <v/>
      </c>
      <c r="V195" s="43" t="str">
        <f>IF(OR($B195="",$A195&gt;$B$9,V$175=""),"",IF(COUNTIFS(BD!$B$3:$B$5001,V$175,BD!$A$3:$A$5001,"&gt;="&amp;$C$7,BD!$A$3:$A$5001,"&lt;="&amp;$B195,BD!$Z$3:$Z$5001,"&lt;&gt;")=0,"",SUMIFS(BD!$Z$3:$Z$5001,BD!$B$3:$B$5001,V$175,BD!$A$3:$A$5001,_xlfn.MAXIFS(BD!$A$3:$A$5001,BD!$B$3:$B$5001,V$175,BD!$A$3:$A$5001,"&gt;="&amp;$C$7,BD!$A$3:$A$5001,"&lt;="&amp;$B195,BD!$Z$3:$Z$5001,"&lt;&gt;"))))</f>
        <v/>
      </c>
    </row>
    <row r="196">
      <c r="A196" s="38">
        <v>21</v>
      </c>
      <c r="B196" s="42">
        <f>$B$32</f>
        <v>46316</v>
      </c>
      <c r="C196" s="43" t="str">
        <f>IF(OR($B196="",$A196&gt;$B$9,C$175=""),"",IF(COUNTIFS(BD!$B$3:$B$5001,C$175,BD!$A$3:$A$5001,"&gt;="&amp;$C$7,BD!$A$3:$A$5001,"&lt;="&amp;$B196,BD!$Z$3:$Z$5001,"&lt;&gt;")=0,"",SUMIFS(BD!$Z$3:$Z$5001,BD!$B$3:$B$5001,C$175,BD!$A$3:$A$5001,_xlfn.MAXIFS(BD!$A$3:$A$5001,BD!$B$3:$B$5001,C$175,BD!$A$3:$A$5001,"&gt;="&amp;$C$7,BD!$A$3:$A$5001,"&lt;="&amp;$B196,BD!$Z$3:$Z$5001,"&lt;&gt;"))))</f>
        <v/>
      </c>
      <c r="D196" s="43" t="str">
        <f>IF(OR($B196="",$A196&gt;$B$9,D$175=""),"",IF(COUNTIFS(BD!$B$3:$B$5001,D$175,BD!$A$3:$A$5001,"&gt;="&amp;$C$7,BD!$A$3:$A$5001,"&lt;="&amp;$B196,BD!$Z$3:$Z$5001,"&lt;&gt;")=0,"",SUMIFS(BD!$Z$3:$Z$5001,BD!$B$3:$B$5001,D$175,BD!$A$3:$A$5001,_xlfn.MAXIFS(BD!$A$3:$A$5001,BD!$B$3:$B$5001,D$175,BD!$A$3:$A$5001,"&gt;="&amp;$C$7,BD!$A$3:$A$5001,"&lt;="&amp;$B196,BD!$Z$3:$Z$5001,"&lt;&gt;"))))</f>
        <v/>
      </c>
      <c r="E196" s="43" t="str">
        <f>IF(OR($B196="",$A196&gt;$B$9,E$175=""),"",IF(COUNTIFS(BD!$B$3:$B$5001,E$175,BD!$A$3:$A$5001,"&gt;="&amp;$C$7,BD!$A$3:$A$5001,"&lt;="&amp;$B196,BD!$Z$3:$Z$5001,"&lt;&gt;")=0,"",SUMIFS(BD!$Z$3:$Z$5001,BD!$B$3:$B$5001,E$175,BD!$A$3:$A$5001,_xlfn.MAXIFS(BD!$A$3:$A$5001,BD!$B$3:$B$5001,E$175,BD!$A$3:$A$5001,"&gt;="&amp;$C$7,BD!$A$3:$A$5001,"&lt;="&amp;$B196,BD!$Z$3:$Z$5001,"&lt;&gt;"))))</f>
        <v/>
      </c>
      <c r="F196" s="43" t="str">
        <f>IF(OR($B196="",$A196&gt;$B$9,F$175=""),"",IF(COUNTIFS(BD!$B$3:$B$5001,F$175,BD!$A$3:$A$5001,"&gt;="&amp;$C$7,BD!$A$3:$A$5001,"&lt;="&amp;$B196,BD!$Z$3:$Z$5001,"&lt;&gt;")=0,"",SUMIFS(BD!$Z$3:$Z$5001,BD!$B$3:$B$5001,F$175,BD!$A$3:$A$5001,_xlfn.MAXIFS(BD!$A$3:$A$5001,BD!$B$3:$B$5001,F$175,BD!$A$3:$A$5001,"&gt;="&amp;$C$7,BD!$A$3:$A$5001,"&lt;="&amp;$B196,BD!$Z$3:$Z$5001,"&lt;&gt;"))))</f>
        <v/>
      </c>
      <c r="G196" s="43" t="str">
        <f>IF(OR($B196="",$A196&gt;$B$9,G$175=""),"",IF(COUNTIFS(BD!$B$3:$B$5001,G$175,BD!$A$3:$A$5001,"&gt;="&amp;$C$7,BD!$A$3:$A$5001,"&lt;="&amp;$B196,BD!$Z$3:$Z$5001,"&lt;&gt;")=0,"",SUMIFS(BD!$Z$3:$Z$5001,BD!$B$3:$B$5001,G$175,BD!$A$3:$A$5001,_xlfn.MAXIFS(BD!$A$3:$A$5001,BD!$B$3:$B$5001,G$175,BD!$A$3:$A$5001,"&gt;="&amp;$C$7,BD!$A$3:$A$5001,"&lt;="&amp;$B196,BD!$Z$3:$Z$5001,"&lt;&gt;"))))</f>
        <v/>
      </c>
      <c r="H196" s="43" t="str">
        <f>IF(OR($B196="",$A196&gt;$B$9,H$175=""),"",IF(COUNTIFS(BD!$B$3:$B$5001,H$175,BD!$A$3:$A$5001,"&gt;="&amp;$C$7,BD!$A$3:$A$5001,"&lt;="&amp;$B196,BD!$Z$3:$Z$5001,"&lt;&gt;")=0,"",SUMIFS(BD!$Z$3:$Z$5001,BD!$B$3:$B$5001,H$175,BD!$A$3:$A$5001,_xlfn.MAXIFS(BD!$A$3:$A$5001,BD!$B$3:$B$5001,H$175,BD!$A$3:$A$5001,"&gt;="&amp;$C$7,BD!$A$3:$A$5001,"&lt;="&amp;$B196,BD!$Z$3:$Z$5001,"&lt;&gt;"))))</f>
        <v/>
      </c>
      <c r="I196" s="43" t="str">
        <f>IF(OR($B196="",$A196&gt;$B$9,I$175=""),"",IF(COUNTIFS(BD!$B$3:$B$5001,I$175,BD!$A$3:$A$5001,"&gt;="&amp;$C$7,BD!$A$3:$A$5001,"&lt;="&amp;$B196,BD!$Z$3:$Z$5001,"&lt;&gt;")=0,"",SUMIFS(BD!$Z$3:$Z$5001,BD!$B$3:$B$5001,I$175,BD!$A$3:$A$5001,_xlfn.MAXIFS(BD!$A$3:$A$5001,BD!$B$3:$B$5001,I$175,BD!$A$3:$A$5001,"&gt;="&amp;$C$7,BD!$A$3:$A$5001,"&lt;="&amp;$B196,BD!$Z$3:$Z$5001,"&lt;&gt;"))))</f>
        <v/>
      </c>
      <c r="J196" s="43" t="str">
        <f>IF(OR($B196="",$A196&gt;$B$9,J$175=""),"",IF(COUNTIFS(BD!$B$3:$B$5001,J$175,BD!$A$3:$A$5001,"&gt;="&amp;$C$7,BD!$A$3:$A$5001,"&lt;="&amp;$B196,BD!$Z$3:$Z$5001,"&lt;&gt;")=0,"",SUMIFS(BD!$Z$3:$Z$5001,BD!$B$3:$B$5001,J$175,BD!$A$3:$A$5001,_xlfn.MAXIFS(BD!$A$3:$A$5001,BD!$B$3:$B$5001,J$175,BD!$A$3:$A$5001,"&gt;="&amp;$C$7,BD!$A$3:$A$5001,"&lt;="&amp;$B196,BD!$Z$3:$Z$5001,"&lt;&gt;"))))</f>
        <v/>
      </c>
      <c r="K196" s="43" t="str">
        <f>IF(OR($B196="",$A196&gt;$B$9,K$175=""),"",IF(COUNTIFS(BD!$B$3:$B$5001,K$175,BD!$A$3:$A$5001,"&gt;="&amp;$C$7,BD!$A$3:$A$5001,"&lt;="&amp;$B196,BD!$Z$3:$Z$5001,"&lt;&gt;")=0,"",SUMIFS(BD!$Z$3:$Z$5001,BD!$B$3:$B$5001,K$175,BD!$A$3:$A$5001,_xlfn.MAXIFS(BD!$A$3:$A$5001,BD!$B$3:$B$5001,K$175,BD!$A$3:$A$5001,"&gt;="&amp;$C$7,BD!$A$3:$A$5001,"&lt;="&amp;$B196,BD!$Z$3:$Z$5001,"&lt;&gt;"))))</f>
        <v/>
      </c>
      <c r="L196" s="43" t="str">
        <f>IF(OR($B196="",$A196&gt;$B$9,L$175=""),"",IF(COUNTIFS(BD!$B$3:$B$5001,L$175,BD!$A$3:$A$5001,"&gt;="&amp;$C$7,BD!$A$3:$A$5001,"&lt;="&amp;$B196,BD!$Z$3:$Z$5001,"&lt;&gt;")=0,"",SUMIFS(BD!$Z$3:$Z$5001,BD!$B$3:$B$5001,L$175,BD!$A$3:$A$5001,_xlfn.MAXIFS(BD!$A$3:$A$5001,BD!$B$3:$B$5001,L$175,BD!$A$3:$A$5001,"&gt;="&amp;$C$7,BD!$A$3:$A$5001,"&lt;="&amp;$B196,BD!$Z$3:$Z$5001,"&lt;&gt;"))))</f>
        <v/>
      </c>
      <c r="M196" s="43" t="str">
        <f>IF(OR($B196="",$A196&gt;$B$9,M$175=""),"",IF(COUNTIFS(BD!$B$3:$B$5001,M$175,BD!$A$3:$A$5001,"&gt;="&amp;$C$7,BD!$A$3:$A$5001,"&lt;="&amp;$B196,BD!$Z$3:$Z$5001,"&lt;&gt;")=0,"",SUMIFS(BD!$Z$3:$Z$5001,BD!$B$3:$B$5001,M$175,BD!$A$3:$A$5001,_xlfn.MAXIFS(BD!$A$3:$A$5001,BD!$B$3:$B$5001,M$175,BD!$A$3:$A$5001,"&gt;="&amp;$C$7,BD!$A$3:$A$5001,"&lt;="&amp;$B196,BD!$Z$3:$Z$5001,"&lt;&gt;"))))</f>
        <v/>
      </c>
      <c r="N196" s="43" t="str">
        <f>IF(OR($B196="",$A196&gt;$B$9,N$175=""),"",IF(COUNTIFS(BD!$B$3:$B$5001,N$175,BD!$A$3:$A$5001,"&gt;="&amp;$C$7,BD!$A$3:$A$5001,"&lt;="&amp;$B196,BD!$Z$3:$Z$5001,"&lt;&gt;")=0,"",SUMIFS(BD!$Z$3:$Z$5001,BD!$B$3:$B$5001,N$175,BD!$A$3:$A$5001,_xlfn.MAXIFS(BD!$A$3:$A$5001,BD!$B$3:$B$5001,N$175,BD!$A$3:$A$5001,"&gt;="&amp;$C$7,BD!$A$3:$A$5001,"&lt;="&amp;$B196,BD!$Z$3:$Z$5001,"&lt;&gt;"))))</f>
        <v/>
      </c>
      <c r="O196" s="43" t="str">
        <f>IF(OR($B196="",$A196&gt;$B$9,O$175=""),"",IF(COUNTIFS(BD!$B$3:$B$5001,O$175,BD!$A$3:$A$5001,"&gt;="&amp;$C$7,BD!$A$3:$A$5001,"&lt;="&amp;$B196,BD!$Z$3:$Z$5001,"&lt;&gt;")=0,"",SUMIFS(BD!$Z$3:$Z$5001,BD!$B$3:$B$5001,O$175,BD!$A$3:$A$5001,_xlfn.MAXIFS(BD!$A$3:$A$5001,BD!$B$3:$B$5001,O$175,BD!$A$3:$A$5001,"&gt;="&amp;$C$7,BD!$A$3:$A$5001,"&lt;="&amp;$B196,BD!$Z$3:$Z$5001,"&lt;&gt;"))))</f>
        <v/>
      </c>
      <c r="P196" s="43" t="str">
        <f>IF(OR($B196="",$A196&gt;$B$9,P$175=""),"",IF(COUNTIFS(BD!$B$3:$B$5001,P$175,BD!$A$3:$A$5001,"&gt;="&amp;$C$7,BD!$A$3:$A$5001,"&lt;="&amp;$B196,BD!$Z$3:$Z$5001,"&lt;&gt;")=0,"",SUMIFS(BD!$Z$3:$Z$5001,BD!$B$3:$B$5001,P$175,BD!$A$3:$A$5001,_xlfn.MAXIFS(BD!$A$3:$A$5001,BD!$B$3:$B$5001,P$175,BD!$A$3:$A$5001,"&gt;="&amp;$C$7,BD!$A$3:$A$5001,"&lt;="&amp;$B196,BD!$Z$3:$Z$5001,"&lt;&gt;"))))</f>
        <v/>
      </c>
      <c r="Q196" s="43" t="str">
        <f>IF(OR($B196="",$A196&gt;$B$9,Q$175=""),"",IF(COUNTIFS(BD!$B$3:$B$5001,Q$175,BD!$A$3:$A$5001,"&gt;="&amp;$C$7,BD!$A$3:$A$5001,"&lt;="&amp;$B196,BD!$Z$3:$Z$5001,"&lt;&gt;")=0,"",SUMIFS(BD!$Z$3:$Z$5001,BD!$B$3:$B$5001,Q$175,BD!$A$3:$A$5001,_xlfn.MAXIFS(BD!$A$3:$A$5001,BD!$B$3:$B$5001,Q$175,BD!$A$3:$A$5001,"&gt;="&amp;$C$7,BD!$A$3:$A$5001,"&lt;="&amp;$B196,BD!$Z$3:$Z$5001,"&lt;&gt;"))))</f>
        <v/>
      </c>
      <c r="R196" s="43" t="str">
        <f>IF(OR($B196="",$A196&gt;$B$9,R$175=""),"",IF(COUNTIFS(BD!$B$3:$B$5001,R$175,BD!$A$3:$A$5001,"&gt;="&amp;$C$7,BD!$A$3:$A$5001,"&lt;="&amp;$B196,BD!$Z$3:$Z$5001,"&lt;&gt;")=0,"",SUMIFS(BD!$Z$3:$Z$5001,BD!$B$3:$B$5001,R$175,BD!$A$3:$A$5001,_xlfn.MAXIFS(BD!$A$3:$A$5001,BD!$B$3:$B$5001,R$175,BD!$A$3:$A$5001,"&gt;="&amp;$C$7,BD!$A$3:$A$5001,"&lt;="&amp;$B196,BD!$Z$3:$Z$5001,"&lt;&gt;"))))</f>
        <v/>
      </c>
      <c r="S196" s="43" t="str">
        <f>IF(OR($B196="",$A196&gt;$B$9,S$175=""),"",IF(COUNTIFS(BD!$B$3:$B$5001,S$175,BD!$A$3:$A$5001,"&gt;="&amp;$C$7,BD!$A$3:$A$5001,"&lt;="&amp;$B196,BD!$Z$3:$Z$5001,"&lt;&gt;")=0,"",SUMIFS(BD!$Z$3:$Z$5001,BD!$B$3:$B$5001,S$175,BD!$A$3:$A$5001,_xlfn.MAXIFS(BD!$A$3:$A$5001,BD!$B$3:$B$5001,S$175,BD!$A$3:$A$5001,"&gt;="&amp;$C$7,BD!$A$3:$A$5001,"&lt;="&amp;$B196,BD!$Z$3:$Z$5001,"&lt;&gt;"))))</f>
        <v/>
      </c>
      <c r="T196" s="43" t="str">
        <f>IF(OR($B196="",$A196&gt;$B$9,T$175=""),"",IF(COUNTIFS(BD!$B$3:$B$5001,T$175,BD!$A$3:$A$5001,"&gt;="&amp;$C$7,BD!$A$3:$A$5001,"&lt;="&amp;$B196,BD!$Z$3:$Z$5001,"&lt;&gt;")=0,"",SUMIFS(BD!$Z$3:$Z$5001,BD!$B$3:$B$5001,T$175,BD!$A$3:$A$5001,_xlfn.MAXIFS(BD!$A$3:$A$5001,BD!$B$3:$B$5001,T$175,BD!$A$3:$A$5001,"&gt;="&amp;$C$7,BD!$A$3:$A$5001,"&lt;="&amp;$B196,BD!$Z$3:$Z$5001,"&lt;&gt;"))))</f>
        <v/>
      </c>
      <c r="U196" s="43" t="str">
        <f>IF(OR($B196="",$A196&gt;$B$9,U$175=""),"",IF(COUNTIFS(BD!$B$3:$B$5001,U$175,BD!$A$3:$A$5001,"&gt;="&amp;$C$7,BD!$A$3:$A$5001,"&lt;="&amp;$B196,BD!$Z$3:$Z$5001,"&lt;&gt;")=0,"",SUMIFS(BD!$Z$3:$Z$5001,BD!$B$3:$B$5001,U$175,BD!$A$3:$A$5001,_xlfn.MAXIFS(BD!$A$3:$A$5001,BD!$B$3:$B$5001,U$175,BD!$A$3:$A$5001,"&gt;="&amp;$C$7,BD!$A$3:$A$5001,"&lt;="&amp;$B196,BD!$Z$3:$Z$5001,"&lt;&gt;"))))</f>
        <v/>
      </c>
      <c r="V196" s="43" t="str">
        <f>IF(OR($B196="",$A196&gt;$B$9,V$175=""),"",IF(COUNTIFS(BD!$B$3:$B$5001,V$175,BD!$A$3:$A$5001,"&gt;="&amp;$C$7,BD!$A$3:$A$5001,"&lt;="&amp;$B196,BD!$Z$3:$Z$5001,"&lt;&gt;")=0,"",SUMIFS(BD!$Z$3:$Z$5001,BD!$B$3:$B$5001,V$175,BD!$A$3:$A$5001,_xlfn.MAXIFS(BD!$A$3:$A$5001,BD!$B$3:$B$5001,V$175,BD!$A$3:$A$5001,"&gt;="&amp;$C$7,BD!$A$3:$A$5001,"&lt;="&amp;$B196,BD!$Z$3:$Z$5001,"&lt;&gt;"))))</f>
        <v/>
      </c>
    </row>
    <row r="197">
      <c r="A197" s="38">
        <v>22</v>
      </c>
      <c r="B197" s="42">
        <f>$B$33</f>
        <v>46317</v>
      </c>
      <c r="C197" s="43" t="str">
        <f>IF(OR($B197="",$A197&gt;$B$9,C$175=""),"",IF(COUNTIFS(BD!$B$3:$B$5001,C$175,BD!$A$3:$A$5001,"&gt;="&amp;$C$7,BD!$A$3:$A$5001,"&lt;="&amp;$B197,BD!$Z$3:$Z$5001,"&lt;&gt;")=0,"",SUMIFS(BD!$Z$3:$Z$5001,BD!$B$3:$B$5001,C$175,BD!$A$3:$A$5001,_xlfn.MAXIFS(BD!$A$3:$A$5001,BD!$B$3:$B$5001,C$175,BD!$A$3:$A$5001,"&gt;="&amp;$C$7,BD!$A$3:$A$5001,"&lt;="&amp;$B197,BD!$Z$3:$Z$5001,"&lt;&gt;"))))</f>
        <v/>
      </c>
      <c r="D197" s="43" t="str">
        <f>IF(OR($B197="",$A197&gt;$B$9,D$175=""),"",IF(COUNTIFS(BD!$B$3:$B$5001,D$175,BD!$A$3:$A$5001,"&gt;="&amp;$C$7,BD!$A$3:$A$5001,"&lt;="&amp;$B197,BD!$Z$3:$Z$5001,"&lt;&gt;")=0,"",SUMIFS(BD!$Z$3:$Z$5001,BD!$B$3:$B$5001,D$175,BD!$A$3:$A$5001,_xlfn.MAXIFS(BD!$A$3:$A$5001,BD!$B$3:$B$5001,D$175,BD!$A$3:$A$5001,"&gt;="&amp;$C$7,BD!$A$3:$A$5001,"&lt;="&amp;$B197,BD!$Z$3:$Z$5001,"&lt;&gt;"))))</f>
        <v/>
      </c>
      <c r="E197" s="43" t="str">
        <f>IF(OR($B197="",$A197&gt;$B$9,E$175=""),"",IF(COUNTIFS(BD!$B$3:$B$5001,E$175,BD!$A$3:$A$5001,"&gt;="&amp;$C$7,BD!$A$3:$A$5001,"&lt;="&amp;$B197,BD!$Z$3:$Z$5001,"&lt;&gt;")=0,"",SUMIFS(BD!$Z$3:$Z$5001,BD!$B$3:$B$5001,E$175,BD!$A$3:$A$5001,_xlfn.MAXIFS(BD!$A$3:$A$5001,BD!$B$3:$B$5001,E$175,BD!$A$3:$A$5001,"&gt;="&amp;$C$7,BD!$A$3:$A$5001,"&lt;="&amp;$B197,BD!$Z$3:$Z$5001,"&lt;&gt;"))))</f>
        <v/>
      </c>
      <c r="F197" s="43" t="str">
        <f>IF(OR($B197="",$A197&gt;$B$9,F$175=""),"",IF(COUNTIFS(BD!$B$3:$B$5001,F$175,BD!$A$3:$A$5001,"&gt;="&amp;$C$7,BD!$A$3:$A$5001,"&lt;="&amp;$B197,BD!$Z$3:$Z$5001,"&lt;&gt;")=0,"",SUMIFS(BD!$Z$3:$Z$5001,BD!$B$3:$B$5001,F$175,BD!$A$3:$A$5001,_xlfn.MAXIFS(BD!$A$3:$A$5001,BD!$B$3:$B$5001,F$175,BD!$A$3:$A$5001,"&gt;="&amp;$C$7,BD!$A$3:$A$5001,"&lt;="&amp;$B197,BD!$Z$3:$Z$5001,"&lt;&gt;"))))</f>
        <v/>
      </c>
      <c r="G197" s="43" t="str">
        <f>IF(OR($B197="",$A197&gt;$B$9,G$175=""),"",IF(COUNTIFS(BD!$B$3:$B$5001,G$175,BD!$A$3:$A$5001,"&gt;="&amp;$C$7,BD!$A$3:$A$5001,"&lt;="&amp;$B197,BD!$Z$3:$Z$5001,"&lt;&gt;")=0,"",SUMIFS(BD!$Z$3:$Z$5001,BD!$B$3:$B$5001,G$175,BD!$A$3:$A$5001,_xlfn.MAXIFS(BD!$A$3:$A$5001,BD!$B$3:$B$5001,G$175,BD!$A$3:$A$5001,"&gt;="&amp;$C$7,BD!$A$3:$A$5001,"&lt;="&amp;$B197,BD!$Z$3:$Z$5001,"&lt;&gt;"))))</f>
        <v/>
      </c>
      <c r="H197" s="43" t="str">
        <f>IF(OR($B197="",$A197&gt;$B$9,H$175=""),"",IF(COUNTIFS(BD!$B$3:$B$5001,H$175,BD!$A$3:$A$5001,"&gt;="&amp;$C$7,BD!$A$3:$A$5001,"&lt;="&amp;$B197,BD!$Z$3:$Z$5001,"&lt;&gt;")=0,"",SUMIFS(BD!$Z$3:$Z$5001,BD!$B$3:$B$5001,H$175,BD!$A$3:$A$5001,_xlfn.MAXIFS(BD!$A$3:$A$5001,BD!$B$3:$B$5001,H$175,BD!$A$3:$A$5001,"&gt;="&amp;$C$7,BD!$A$3:$A$5001,"&lt;="&amp;$B197,BD!$Z$3:$Z$5001,"&lt;&gt;"))))</f>
        <v/>
      </c>
      <c r="I197" s="43" t="str">
        <f>IF(OR($B197="",$A197&gt;$B$9,I$175=""),"",IF(COUNTIFS(BD!$B$3:$B$5001,I$175,BD!$A$3:$A$5001,"&gt;="&amp;$C$7,BD!$A$3:$A$5001,"&lt;="&amp;$B197,BD!$Z$3:$Z$5001,"&lt;&gt;")=0,"",SUMIFS(BD!$Z$3:$Z$5001,BD!$B$3:$B$5001,I$175,BD!$A$3:$A$5001,_xlfn.MAXIFS(BD!$A$3:$A$5001,BD!$B$3:$B$5001,I$175,BD!$A$3:$A$5001,"&gt;="&amp;$C$7,BD!$A$3:$A$5001,"&lt;="&amp;$B197,BD!$Z$3:$Z$5001,"&lt;&gt;"))))</f>
        <v/>
      </c>
      <c r="J197" s="43" t="str">
        <f>IF(OR($B197="",$A197&gt;$B$9,J$175=""),"",IF(COUNTIFS(BD!$B$3:$B$5001,J$175,BD!$A$3:$A$5001,"&gt;="&amp;$C$7,BD!$A$3:$A$5001,"&lt;="&amp;$B197,BD!$Z$3:$Z$5001,"&lt;&gt;")=0,"",SUMIFS(BD!$Z$3:$Z$5001,BD!$B$3:$B$5001,J$175,BD!$A$3:$A$5001,_xlfn.MAXIFS(BD!$A$3:$A$5001,BD!$B$3:$B$5001,J$175,BD!$A$3:$A$5001,"&gt;="&amp;$C$7,BD!$A$3:$A$5001,"&lt;="&amp;$B197,BD!$Z$3:$Z$5001,"&lt;&gt;"))))</f>
        <v/>
      </c>
      <c r="K197" s="43" t="str">
        <f>IF(OR($B197="",$A197&gt;$B$9,K$175=""),"",IF(COUNTIFS(BD!$B$3:$B$5001,K$175,BD!$A$3:$A$5001,"&gt;="&amp;$C$7,BD!$A$3:$A$5001,"&lt;="&amp;$B197,BD!$Z$3:$Z$5001,"&lt;&gt;")=0,"",SUMIFS(BD!$Z$3:$Z$5001,BD!$B$3:$B$5001,K$175,BD!$A$3:$A$5001,_xlfn.MAXIFS(BD!$A$3:$A$5001,BD!$B$3:$B$5001,K$175,BD!$A$3:$A$5001,"&gt;="&amp;$C$7,BD!$A$3:$A$5001,"&lt;="&amp;$B197,BD!$Z$3:$Z$5001,"&lt;&gt;"))))</f>
        <v/>
      </c>
      <c r="L197" s="43" t="str">
        <f>IF(OR($B197="",$A197&gt;$B$9,L$175=""),"",IF(COUNTIFS(BD!$B$3:$B$5001,L$175,BD!$A$3:$A$5001,"&gt;="&amp;$C$7,BD!$A$3:$A$5001,"&lt;="&amp;$B197,BD!$Z$3:$Z$5001,"&lt;&gt;")=0,"",SUMIFS(BD!$Z$3:$Z$5001,BD!$B$3:$B$5001,L$175,BD!$A$3:$A$5001,_xlfn.MAXIFS(BD!$A$3:$A$5001,BD!$B$3:$B$5001,L$175,BD!$A$3:$A$5001,"&gt;="&amp;$C$7,BD!$A$3:$A$5001,"&lt;="&amp;$B197,BD!$Z$3:$Z$5001,"&lt;&gt;"))))</f>
        <v/>
      </c>
      <c r="M197" s="43" t="str">
        <f>IF(OR($B197="",$A197&gt;$B$9,M$175=""),"",IF(COUNTIFS(BD!$B$3:$B$5001,M$175,BD!$A$3:$A$5001,"&gt;="&amp;$C$7,BD!$A$3:$A$5001,"&lt;="&amp;$B197,BD!$Z$3:$Z$5001,"&lt;&gt;")=0,"",SUMIFS(BD!$Z$3:$Z$5001,BD!$B$3:$B$5001,M$175,BD!$A$3:$A$5001,_xlfn.MAXIFS(BD!$A$3:$A$5001,BD!$B$3:$B$5001,M$175,BD!$A$3:$A$5001,"&gt;="&amp;$C$7,BD!$A$3:$A$5001,"&lt;="&amp;$B197,BD!$Z$3:$Z$5001,"&lt;&gt;"))))</f>
        <v/>
      </c>
      <c r="N197" s="43" t="str">
        <f>IF(OR($B197="",$A197&gt;$B$9,N$175=""),"",IF(COUNTIFS(BD!$B$3:$B$5001,N$175,BD!$A$3:$A$5001,"&gt;="&amp;$C$7,BD!$A$3:$A$5001,"&lt;="&amp;$B197,BD!$Z$3:$Z$5001,"&lt;&gt;")=0,"",SUMIFS(BD!$Z$3:$Z$5001,BD!$B$3:$B$5001,N$175,BD!$A$3:$A$5001,_xlfn.MAXIFS(BD!$A$3:$A$5001,BD!$B$3:$B$5001,N$175,BD!$A$3:$A$5001,"&gt;="&amp;$C$7,BD!$A$3:$A$5001,"&lt;="&amp;$B197,BD!$Z$3:$Z$5001,"&lt;&gt;"))))</f>
        <v/>
      </c>
      <c r="O197" s="43" t="str">
        <f>IF(OR($B197="",$A197&gt;$B$9,O$175=""),"",IF(COUNTIFS(BD!$B$3:$B$5001,O$175,BD!$A$3:$A$5001,"&gt;="&amp;$C$7,BD!$A$3:$A$5001,"&lt;="&amp;$B197,BD!$Z$3:$Z$5001,"&lt;&gt;")=0,"",SUMIFS(BD!$Z$3:$Z$5001,BD!$B$3:$B$5001,O$175,BD!$A$3:$A$5001,_xlfn.MAXIFS(BD!$A$3:$A$5001,BD!$B$3:$B$5001,O$175,BD!$A$3:$A$5001,"&gt;="&amp;$C$7,BD!$A$3:$A$5001,"&lt;="&amp;$B197,BD!$Z$3:$Z$5001,"&lt;&gt;"))))</f>
        <v/>
      </c>
      <c r="P197" s="43" t="str">
        <f>IF(OR($B197="",$A197&gt;$B$9,P$175=""),"",IF(COUNTIFS(BD!$B$3:$B$5001,P$175,BD!$A$3:$A$5001,"&gt;="&amp;$C$7,BD!$A$3:$A$5001,"&lt;="&amp;$B197,BD!$Z$3:$Z$5001,"&lt;&gt;")=0,"",SUMIFS(BD!$Z$3:$Z$5001,BD!$B$3:$B$5001,P$175,BD!$A$3:$A$5001,_xlfn.MAXIFS(BD!$A$3:$A$5001,BD!$B$3:$B$5001,P$175,BD!$A$3:$A$5001,"&gt;="&amp;$C$7,BD!$A$3:$A$5001,"&lt;="&amp;$B197,BD!$Z$3:$Z$5001,"&lt;&gt;"))))</f>
        <v/>
      </c>
      <c r="Q197" s="43" t="str">
        <f>IF(OR($B197="",$A197&gt;$B$9,Q$175=""),"",IF(COUNTIFS(BD!$B$3:$B$5001,Q$175,BD!$A$3:$A$5001,"&gt;="&amp;$C$7,BD!$A$3:$A$5001,"&lt;="&amp;$B197,BD!$Z$3:$Z$5001,"&lt;&gt;")=0,"",SUMIFS(BD!$Z$3:$Z$5001,BD!$B$3:$B$5001,Q$175,BD!$A$3:$A$5001,_xlfn.MAXIFS(BD!$A$3:$A$5001,BD!$B$3:$B$5001,Q$175,BD!$A$3:$A$5001,"&gt;="&amp;$C$7,BD!$A$3:$A$5001,"&lt;="&amp;$B197,BD!$Z$3:$Z$5001,"&lt;&gt;"))))</f>
        <v/>
      </c>
      <c r="R197" s="43" t="str">
        <f>IF(OR($B197="",$A197&gt;$B$9,R$175=""),"",IF(COUNTIFS(BD!$B$3:$B$5001,R$175,BD!$A$3:$A$5001,"&gt;="&amp;$C$7,BD!$A$3:$A$5001,"&lt;="&amp;$B197,BD!$Z$3:$Z$5001,"&lt;&gt;")=0,"",SUMIFS(BD!$Z$3:$Z$5001,BD!$B$3:$B$5001,R$175,BD!$A$3:$A$5001,_xlfn.MAXIFS(BD!$A$3:$A$5001,BD!$B$3:$B$5001,R$175,BD!$A$3:$A$5001,"&gt;="&amp;$C$7,BD!$A$3:$A$5001,"&lt;="&amp;$B197,BD!$Z$3:$Z$5001,"&lt;&gt;"))))</f>
        <v/>
      </c>
      <c r="S197" s="43" t="str">
        <f>IF(OR($B197="",$A197&gt;$B$9,S$175=""),"",IF(COUNTIFS(BD!$B$3:$B$5001,S$175,BD!$A$3:$A$5001,"&gt;="&amp;$C$7,BD!$A$3:$A$5001,"&lt;="&amp;$B197,BD!$Z$3:$Z$5001,"&lt;&gt;")=0,"",SUMIFS(BD!$Z$3:$Z$5001,BD!$B$3:$B$5001,S$175,BD!$A$3:$A$5001,_xlfn.MAXIFS(BD!$A$3:$A$5001,BD!$B$3:$B$5001,S$175,BD!$A$3:$A$5001,"&gt;="&amp;$C$7,BD!$A$3:$A$5001,"&lt;="&amp;$B197,BD!$Z$3:$Z$5001,"&lt;&gt;"))))</f>
        <v/>
      </c>
      <c r="T197" s="43" t="str">
        <f>IF(OR($B197="",$A197&gt;$B$9,T$175=""),"",IF(COUNTIFS(BD!$B$3:$B$5001,T$175,BD!$A$3:$A$5001,"&gt;="&amp;$C$7,BD!$A$3:$A$5001,"&lt;="&amp;$B197,BD!$Z$3:$Z$5001,"&lt;&gt;")=0,"",SUMIFS(BD!$Z$3:$Z$5001,BD!$B$3:$B$5001,T$175,BD!$A$3:$A$5001,_xlfn.MAXIFS(BD!$A$3:$A$5001,BD!$B$3:$B$5001,T$175,BD!$A$3:$A$5001,"&gt;="&amp;$C$7,BD!$A$3:$A$5001,"&lt;="&amp;$B197,BD!$Z$3:$Z$5001,"&lt;&gt;"))))</f>
        <v/>
      </c>
      <c r="U197" s="43" t="str">
        <f>IF(OR($B197="",$A197&gt;$B$9,U$175=""),"",IF(COUNTIFS(BD!$B$3:$B$5001,U$175,BD!$A$3:$A$5001,"&gt;="&amp;$C$7,BD!$A$3:$A$5001,"&lt;="&amp;$B197,BD!$Z$3:$Z$5001,"&lt;&gt;")=0,"",SUMIFS(BD!$Z$3:$Z$5001,BD!$B$3:$B$5001,U$175,BD!$A$3:$A$5001,_xlfn.MAXIFS(BD!$A$3:$A$5001,BD!$B$3:$B$5001,U$175,BD!$A$3:$A$5001,"&gt;="&amp;$C$7,BD!$A$3:$A$5001,"&lt;="&amp;$B197,BD!$Z$3:$Z$5001,"&lt;&gt;"))))</f>
        <v/>
      </c>
      <c r="V197" s="43" t="str">
        <f>IF(OR($B197="",$A197&gt;$B$9,V$175=""),"",IF(COUNTIFS(BD!$B$3:$B$5001,V$175,BD!$A$3:$A$5001,"&gt;="&amp;$C$7,BD!$A$3:$A$5001,"&lt;="&amp;$B197,BD!$Z$3:$Z$5001,"&lt;&gt;")=0,"",SUMIFS(BD!$Z$3:$Z$5001,BD!$B$3:$B$5001,V$175,BD!$A$3:$A$5001,_xlfn.MAXIFS(BD!$A$3:$A$5001,BD!$B$3:$B$5001,V$175,BD!$A$3:$A$5001,"&gt;="&amp;$C$7,BD!$A$3:$A$5001,"&lt;="&amp;$B197,BD!$Z$3:$Z$5001,"&lt;&gt;"))))</f>
        <v/>
      </c>
    </row>
    <row r="198">
      <c r="A198" s="38">
        <v>23</v>
      </c>
      <c r="B198" s="42">
        <f>$B$34</f>
        <v>46318</v>
      </c>
      <c r="C198" s="43" t="str">
        <f>IF(OR($B198="",$A198&gt;$B$9,C$175=""),"",IF(COUNTIFS(BD!$B$3:$B$5001,C$175,BD!$A$3:$A$5001,"&gt;="&amp;$C$7,BD!$A$3:$A$5001,"&lt;="&amp;$B198,BD!$Z$3:$Z$5001,"&lt;&gt;")=0,"",SUMIFS(BD!$Z$3:$Z$5001,BD!$B$3:$B$5001,C$175,BD!$A$3:$A$5001,_xlfn.MAXIFS(BD!$A$3:$A$5001,BD!$B$3:$B$5001,C$175,BD!$A$3:$A$5001,"&gt;="&amp;$C$7,BD!$A$3:$A$5001,"&lt;="&amp;$B198,BD!$Z$3:$Z$5001,"&lt;&gt;"))))</f>
        <v/>
      </c>
      <c r="D198" s="43" t="str">
        <f>IF(OR($B198="",$A198&gt;$B$9,D$175=""),"",IF(COUNTIFS(BD!$B$3:$B$5001,D$175,BD!$A$3:$A$5001,"&gt;="&amp;$C$7,BD!$A$3:$A$5001,"&lt;="&amp;$B198,BD!$Z$3:$Z$5001,"&lt;&gt;")=0,"",SUMIFS(BD!$Z$3:$Z$5001,BD!$B$3:$B$5001,D$175,BD!$A$3:$A$5001,_xlfn.MAXIFS(BD!$A$3:$A$5001,BD!$B$3:$B$5001,D$175,BD!$A$3:$A$5001,"&gt;="&amp;$C$7,BD!$A$3:$A$5001,"&lt;="&amp;$B198,BD!$Z$3:$Z$5001,"&lt;&gt;"))))</f>
        <v/>
      </c>
      <c r="E198" s="43" t="str">
        <f>IF(OR($B198="",$A198&gt;$B$9,E$175=""),"",IF(COUNTIFS(BD!$B$3:$B$5001,E$175,BD!$A$3:$A$5001,"&gt;="&amp;$C$7,BD!$A$3:$A$5001,"&lt;="&amp;$B198,BD!$Z$3:$Z$5001,"&lt;&gt;")=0,"",SUMIFS(BD!$Z$3:$Z$5001,BD!$B$3:$B$5001,E$175,BD!$A$3:$A$5001,_xlfn.MAXIFS(BD!$A$3:$A$5001,BD!$B$3:$B$5001,E$175,BD!$A$3:$A$5001,"&gt;="&amp;$C$7,BD!$A$3:$A$5001,"&lt;="&amp;$B198,BD!$Z$3:$Z$5001,"&lt;&gt;"))))</f>
        <v/>
      </c>
      <c r="F198" s="43" t="str">
        <f>IF(OR($B198="",$A198&gt;$B$9,F$175=""),"",IF(COUNTIFS(BD!$B$3:$B$5001,F$175,BD!$A$3:$A$5001,"&gt;="&amp;$C$7,BD!$A$3:$A$5001,"&lt;="&amp;$B198,BD!$Z$3:$Z$5001,"&lt;&gt;")=0,"",SUMIFS(BD!$Z$3:$Z$5001,BD!$B$3:$B$5001,F$175,BD!$A$3:$A$5001,_xlfn.MAXIFS(BD!$A$3:$A$5001,BD!$B$3:$B$5001,F$175,BD!$A$3:$A$5001,"&gt;="&amp;$C$7,BD!$A$3:$A$5001,"&lt;="&amp;$B198,BD!$Z$3:$Z$5001,"&lt;&gt;"))))</f>
        <v/>
      </c>
      <c r="G198" s="43" t="str">
        <f>IF(OR($B198="",$A198&gt;$B$9,G$175=""),"",IF(COUNTIFS(BD!$B$3:$B$5001,G$175,BD!$A$3:$A$5001,"&gt;="&amp;$C$7,BD!$A$3:$A$5001,"&lt;="&amp;$B198,BD!$Z$3:$Z$5001,"&lt;&gt;")=0,"",SUMIFS(BD!$Z$3:$Z$5001,BD!$B$3:$B$5001,G$175,BD!$A$3:$A$5001,_xlfn.MAXIFS(BD!$A$3:$A$5001,BD!$B$3:$B$5001,G$175,BD!$A$3:$A$5001,"&gt;="&amp;$C$7,BD!$A$3:$A$5001,"&lt;="&amp;$B198,BD!$Z$3:$Z$5001,"&lt;&gt;"))))</f>
        <v/>
      </c>
      <c r="H198" s="43" t="str">
        <f>IF(OR($B198="",$A198&gt;$B$9,H$175=""),"",IF(COUNTIFS(BD!$B$3:$B$5001,H$175,BD!$A$3:$A$5001,"&gt;="&amp;$C$7,BD!$A$3:$A$5001,"&lt;="&amp;$B198,BD!$Z$3:$Z$5001,"&lt;&gt;")=0,"",SUMIFS(BD!$Z$3:$Z$5001,BD!$B$3:$B$5001,H$175,BD!$A$3:$A$5001,_xlfn.MAXIFS(BD!$A$3:$A$5001,BD!$B$3:$B$5001,H$175,BD!$A$3:$A$5001,"&gt;="&amp;$C$7,BD!$A$3:$A$5001,"&lt;="&amp;$B198,BD!$Z$3:$Z$5001,"&lt;&gt;"))))</f>
        <v/>
      </c>
      <c r="I198" s="43" t="str">
        <f>IF(OR($B198="",$A198&gt;$B$9,I$175=""),"",IF(COUNTIFS(BD!$B$3:$B$5001,I$175,BD!$A$3:$A$5001,"&gt;="&amp;$C$7,BD!$A$3:$A$5001,"&lt;="&amp;$B198,BD!$Z$3:$Z$5001,"&lt;&gt;")=0,"",SUMIFS(BD!$Z$3:$Z$5001,BD!$B$3:$B$5001,I$175,BD!$A$3:$A$5001,_xlfn.MAXIFS(BD!$A$3:$A$5001,BD!$B$3:$B$5001,I$175,BD!$A$3:$A$5001,"&gt;="&amp;$C$7,BD!$A$3:$A$5001,"&lt;="&amp;$B198,BD!$Z$3:$Z$5001,"&lt;&gt;"))))</f>
        <v/>
      </c>
      <c r="J198" s="43" t="str">
        <f>IF(OR($B198="",$A198&gt;$B$9,J$175=""),"",IF(COUNTIFS(BD!$B$3:$B$5001,J$175,BD!$A$3:$A$5001,"&gt;="&amp;$C$7,BD!$A$3:$A$5001,"&lt;="&amp;$B198,BD!$Z$3:$Z$5001,"&lt;&gt;")=0,"",SUMIFS(BD!$Z$3:$Z$5001,BD!$B$3:$B$5001,J$175,BD!$A$3:$A$5001,_xlfn.MAXIFS(BD!$A$3:$A$5001,BD!$B$3:$B$5001,J$175,BD!$A$3:$A$5001,"&gt;="&amp;$C$7,BD!$A$3:$A$5001,"&lt;="&amp;$B198,BD!$Z$3:$Z$5001,"&lt;&gt;"))))</f>
        <v/>
      </c>
      <c r="K198" s="43" t="str">
        <f>IF(OR($B198="",$A198&gt;$B$9,K$175=""),"",IF(COUNTIFS(BD!$B$3:$B$5001,K$175,BD!$A$3:$A$5001,"&gt;="&amp;$C$7,BD!$A$3:$A$5001,"&lt;="&amp;$B198,BD!$Z$3:$Z$5001,"&lt;&gt;")=0,"",SUMIFS(BD!$Z$3:$Z$5001,BD!$B$3:$B$5001,K$175,BD!$A$3:$A$5001,_xlfn.MAXIFS(BD!$A$3:$A$5001,BD!$B$3:$B$5001,K$175,BD!$A$3:$A$5001,"&gt;="&amp;$C$7,BD!$A$3:$A$5001,"&lt;="&amp;$B198,BD!$Z$3:$Z$5001,"&lt;&gt;"))))</f>
        <v/>
      </c>
      <c r="L198" s="43" t="str">
        <f>IF(OR($B198="",$A198&gt;$B$9,L$175=""),"",IF(COUNTIFS(BD!$B$3:$B$5001,L$175,BD!$A$3:$A$5001,"&gt;="&amp;$C$7,BD!$A$3:$A$5001,"&lt;="&amp;$B198,BD!$Z$3:$Z$5001,"&lt;&gt;")=0,"",SUMIFS(BD!$Z$3:$Z$5001,BD!$B$3:$B$5001,L$175,BD!$A$3:$A$5001,_xlfn.MAXIFS(BD!$A$3:$A$5001,BD!$B$3:$B$5001,L$175,BD!$A$3:$A$5001,"&gt;="&amp;$C$7,BD!$A$3:$A$5001,"&lt;="&amp;$B198,BD!$Z$3:$Z$5001,"&lt;&gt;"))))</f>
        <v/>
      </c>
      <c r="M198" s="43" t="str">
        <f>IF(OR($B198="",$A198&gt;$B$9,M$175=""),"",IF(COUNTIFS(BD!$B$3:$B$5001,M$175,BD!$A$3:$A$5001,"&gt;="&amp;$C$7,BD!$A$3:$A$5001,"&lt;="&amp;$B198,BD!$Z$3:$Z$5001,"&lt;&gt;")=0,"",SUMIFS(BD!$Z$3:$Z$5001,BD!$B$3:$B$5001,M$175,BD!$A$3:$A$5001,_xlfn.MAXIFS(BD!$A$3:$A$5001,BD!$B$3:$B$5001,M$175,BD!$A$3:$A$5001,"&gt;="&amp;$C$7,BD!$A$3:$A$5001,"&lt;="&amp;$B198,BD!$Z$3:$Z$5001,"&lt;&gt;"))))</f>
        <v/>
      </c>
      <c r="N198" s="43" t="str">
        <f>IF(OR($B198="",$A198&gt;$B$9,N$175=""),"",IF(COUNTIFS(BD!$B$3:$B$5001,N$175,BD!$A$3:$A$5001,"&gt;="&amp;$C$7,BD!$A$3:$A$5001,"&lt;="&amp;$B198,BD!$Z$3:$Z$5001,"&lt;&gt;")=0,"",SUMIFS(BD!$Z$3:$Z$5001,BD!$B$3:$B$5001,N$175,BD!$A$3:$A$5001,_xlfn.MAXIFS(BD!$A$3:$A$5001,BD!$B$3:$B$5001,N$175,BD!$A$3:$A$5001,"&gt;="&amp;$C$7,BD!$A$3:$A$5001,"&lt;="&amp;$B198,BD!$Z$3:$Z$5001,"&lt;&gt;"))))</f>
        <v/>
      </c>
      <c r="O198" s="43" t="str">
        <f>IF(OR($B198="",$A198&gt;$B$9,O$175=""),"",IF(COUNTIFS(BD!$B$3:$B$5001,O$175,BD!$A$3:$A$5001,"&gt;="&amp;$C$7,BD!$A$3:$A$5001,"&lt;="&amp;$B198,BD!$Z$3:$Z$5001,"&lt;&gt;")=0,"",SUMIFS(BD!$Z$3:$Z$5001,BD!$B$3:$B$5001,O$175,BD!$A$3:$A$5001,_xlfn.MAXIFS(BD!$A$3:$A$5001,BD!$B$3:$B$5001,O$175,BD!$A$3:$A$5001,"&gt;="&amp;$C$7,BD!$A$3:$A$5001,"&lt;="&amp;$B198,BD!$Z$3:$Z$5001,"&lt;&gt;"))))</f>
        <v/>
      </c>
      <c r="P198" s="43" t="str">
        <f>IF(OR($B198="",$A198&gt;$B$9,P$175=""),"",IF(COUNTIFS(BD!$B$3:$B$5001,P$175,BD!$A$3:$A$5001,"&gt;="&amp;$C$7,BD!$A$3:$A$5001,"&lt;="&amp;$B198,BD!$Z$3:$Z$5001,"&lt;&gt;")=0,"",SUMIFS(BD!$Z$3:$Z$5001,BD!$B$3:$B$5001,P$175,BD!$A$3:$A$5001,_xlfn.MAXIFS(BD!$A$3:$A$5001,BD!$B$3:$B$5001,P$175,BD!$A$3:$A$5001,"&gt;="&amp;$C$7,BD!$A$3:$A$5001,"&lt;="&amp;$B198,BD!$Z$3:$Z$5001,"&lt;&gt;"))))</f>
        <v/>
      </c>
      <c r="Q198" s="43" t="str">
        <f>IF(OR($B198="",$A198&gt;$B$9,Q$175=""),"",IF(COUNTIFS(BD!$B$3:$B$5001,Q$175,BD!$A$3:$A$5001,"&gt;="&amp;$C$7,BD!$A$3:$A$5001,"&lt;="&amp;$B198,BD!$Z$3:$Z$5001,"&lt;&gt;")=0,"",SUMIFS(BD!$Z$3:$Z$5001,BD!$B$3:$B$5001,Q$175,BD!$A$3:$A$5001,_xlfn.MAXIFS(BD!$A$3:$A$5001,BD!$B$3:$B$5001,Q$175,BD!$A$3:$A$5001,"&gt;="&amp;$C$7,BD!$A$3:$A$5001,"&lt;="&amp;$B198,BD!$Z$3:$Z$5001,"&lt;&gt;"))))</f>
        <v/>
      </c>
      <c r="R198" s="43" t="str">
        <f>IF(OR($B198="",$A198&gt;$B$9,R$175=""),"",IF(COUNTIFS(BD!$B$3:$B$5001,R$175,BD!$A$3:$A$5001,"&gt;="&amp;$C$7,BD!$A$3:$A$5001,"&lt;="&amp;$B198,BD!$Z$3:$Z$5001,"&lt;&gt;")=0,"",SUMIFS(BD!$Z$3:$Z$5001,BD!$B$3:$B$5001,R$175,BD!$A$3:$A$5001,_xlfn.MAXIFS(BD!$A$3:$A$5001,BD!$B$3:$B$5001,R$175,BD!$A$3:$A$5001,"&gt;="&amp;$C$7,BD!$A$3:$A$5001,"&lt;="&amp;$B198,BD!$Z$3:$Z$5001,"&lt;&gt;"))))</f>
        <v/>
      </c>
      <c r="S198" s="43" t="str">
        <f>IF(OR($B198="",$A198&gt;$B$9,S$175=""),"",IF(COUNTIFS(BD!$B$3:$B$5001,S$175,BD!$A$3:$A$5001,"&gt;="&amp;$C$7,BD!$A$3:$A$5001,"&lt;="&amp;$B198,BD!$Z$3:$Z$5001,"&lt;&gt;")=0,"",SUMIFS(BD!$Z$3:$Z$5001,BD!$B$3:$B$5001,S$175,BD!$A$3:$A$5001,_xlfn.MAXIFS(BD!$A$3:$A$5001,BD!$B$3:$B$5001,S$175,BD!$A$3:$A$5001,"&gt;="&amp;$C$7,BD!$A$3:$A$5001,"&lt;="&amp;$B198,BD!$Z$3:$Z$5001,"&lt;&gt;"))))</f>
        <v/>
      </c>
      <c r="T198" s="43" t="str">
        <f>IF(OR($B198="",$A198&gt;$B$9,T$175=""),"",IF(COUNTIFS(BD!$B$3:$B$5001,T$175,BD!$A$3:$A$5001,"&gt;="&amp;$C$7,BD!$A$3:$A$5001,"&lt;="&amp;$B198,BD!$Z$3:$Z$5001,"&lt;&gt;")=0,"",SUMIFS(BD!$Z$3:$Z$5001,BD!$B$3:$B$5001,T$175,BD!$A$3:$A$5001,_xlfn.MAXIFS(BD!$A$3:$A$5001,BD!$B$3:$B$5001,T$175,BD!$A$3:$A$5001,"&gt;="&amp;$C$7,BD!$A$3:$A$5001,"&lt;="&amp;$B198,BD!$Z$3:$Z$5001,"&lt;&gt;"))))</f>
        <v/>
      </c>
      <c r="U198" s="43" t="str">
        <f>IF(OR($B198="",$A198&gt;$B$9,U$175=""),"",IF(COUNTIFS(BD!$B$3:$B$5001,U$175,BD!$A$3:$A$5001,"&gt;="&amp;$C$7,BD!$A$3:$A$5001,"&lt;="&amp;$B198,BD!$Z$3:$Z$5001,"&lt;&gt;")=0,"",SUMIFS(BD!$Z$3:$Z$5001,BD!$B$3:$B$5001,U$175,BD!$A$3:$A$5001,_xlfn.MAXIFS(BD!$A$3:$A$5001,BD!$B$3:$B$5001,U$175,BD!$A$3:$A$5001,"&gt;="&amp;$C$7,BD!$A$3:$A$5001,"&lt;="&amp;$B198,BD!$Z$3:$Z$5001,"&lt;&gt;"))))</f>
        <v/>
      </c>
      <c r="V198" s="43" t="str">
        <f>IF(OR($B198="",$A198&gt;$B$9,V$175=""),"",IF(COUNTIFS(BD!$B$3:$B$5001,V$175,BD!$A$3:$A$5001,"&gt;="&amp;$C$7,BD!$A$3:$A$5001,"&lt;="&amp;$B198,BD!$Z$3:$Z$5001,"&lt;&gt;")=0,"",SUMIFS(BD!$Z$3:$Z$5001,BD!$B$3:$B$5001,V$175,BD!$A$3:$A$5001,_xlfn.MAXIFS(BD!$A$3:$A$5001,BD!$B$3:$B$5001,V$175,BD!$A$3:$A$5001,"&gt;="&amp;$C$7,BD!$A$3:$A$5001,"&lt;="&amp;$B198,BD!$Z$3:$Z$5001,"&lt;&gt;"))))</f>
        <v/>
      </c>
    </row>
    <row r="199">
      <c r="A199" s="38">
        <v>24</v>
      </c>
      <c r="B199" s="42">
        <f>$B$35</f>
        <v>46319</v>
      </c>
      <c r="C199" s="43" t="str">
        <f>IF(OR($B199="",$A199&gt;$B$9,C$175=""),"",IF(COUNTIFS(BD!$B$3:$B$5001,C$175,BD!$A$3:$A$5001,"&gt;="&amp;$C$7,BD!$A$3:$A$5001,"&lt;="&amp;$B199,BD!$Z$3:$Z$5001,"&lt;&gt;")=0,"",SUMIFS(BD!$Z$3:$Z$5001,BD!$B$3:$B$5001,C$175,BD!$A$3:$A$5001,_xlfn.MAXIFS(BD!$A$3:$A$5001,BD!$B$3:$B$5001,C$175,BD!$A$3:$A$5001,"&gt;="&amp;$C$7,BD!$A$3:$A$5001,"&lt;="&amp;$B199,BD!$Z$3:$Z$5001,"&lt;&gt;"))))</f>
        <v/>
      </c>
      <c r="D199" s="43" t="str">
        <f>IF(OR($B199="",$A199&gt;$B$9,D$175=""),"",IF(COUNTIFS(BD!$B$3:$B$5001,D$175,BD!$A$3:$A$5001,"&gt;="&amp;$C$7,BD!$A$3:$A$5001,"&lt;="&amp;$B199,BD!$Z$3:$Z$5001,"&lt;&gt;")=0,"",SUMIFS(BD!$Z$3:$Z$5001,BD!$B$3:$B$5001,D$175,BD!$A$3:$A$5001,_xlfn.MAXIFS(BD!$A$3:$A$5001,BD!$B$3:$B$5001,D$175,BD!$A$3:$A$5001,"&gt;="&amp;$C$7,BD!$A$3:$A$5001,"&lt;="&amp;$B199,BD!$Z$3:$Z$5001,"&lt;&gt;"))))</f>
        <v/>
      </c>
      <c r="E199" s="43" t="str">
        <f>IF(OR($B199="",$A199&gt;$B$9,E$175=""),"",IF(COUNTIFS(BD!$B$3:$B$5001,E$175,BD!$A$3:$A$5001,"&gt;="&amp;$C$7,BD!$A$3:$A$5001,"&lt;="&amp;$B199,BD!$Z$3:$Z$5001,"&lt;&gt;")=0,"",SUMIFS(BD!$Z$3:$Z$5001,BD!$B$3:$B$5001,E$175,BD!$A$3:$A$5001,_xlfn.MAXIFS(BD!$A$3:$A$5001,BD!$B$3:$B$5001,E$175,BD!$A$3:$A$5001,"&gt;="&amp;$C$7,BD!$A$3:$A$5001,"&lt;="&amp;$B199,BD!$Z$3:$Z$5001,"&lt;&gt;"))))</f>
        <v/>
      </c>
      <c r="F199" s="43" t="str">
        <f>IF(OR($B199="",$A199&gt;$B$9,F$175=""),"",IF(COUNTIFS(BD!$B$3:$B$5001,F$175,BD!$A$3:$A$5001,"&gt;="&amp;$C$7,BD!$A$3:$A$5001,"&lt;="&amp;$B199,BD!$Z$3:$Z$5001,"&lt;&gt;")=0,"",SUMIFS(BD!$Z$3:$Z$5001,BD!$B$3:$B$5001,F$175,BD!$A$3:$A$5001,_xlfn.MAXIFS(BD!$A$3:$A$5001,BD!$B$3:$B$5001,F$175,BD!$A$3:$A$5001,"&gt;="&amp;$C$7,BD!$A$3:$A$5001,"&lt;="&amp;$B199,BD!$Z$3:$Z$5001,"&lt;&gt;"))))</f>
        <v/>
      </c>
      <c r="G199" s="43" t="str">
        <f>IF(OR($B199="",$A199&gt;$B$9,G$175=""),"",IF(COUNTIFS(BD!$B$3:$B$5001,G$175,BD!$A$3:$A$5001,"&gt;="&amp;$C$7,BD!$A$3:$A$5001,"&lt;="&amp;$B199,BD!$Z$3:$Z$5001,"&lt;&gt;")=0,"",SUMIFS(BD!$Z$3:$Z$5001,BD!$B$3:$B$5001,G$175,BD!$A$3:$A$5001,_xlfn.MAXIFS(BD!$A$3:$A$5001,BD!$B$3:$B$5001,G$175,BD!$A$3:$A$5001,"&gt;="&amp;$C$7,BD!$A$3:$A$5001,"&lt;="&amp;$B199,BD!$Z$3:$Z$5001,"&lt;&gt;"))))</f>
        <v/>
      </c>
      <c r="H199" s="43" t="str">
        <f>IF(OR($B199="",$A199&gt;$B$9,H$175=""),"",IF(COUNTIFS(BD!$B$3:$B$5001,H$175,BD!$A$3:$A$5001,"&gt;="&amp;$C$7,BD!$A$3:$A$5001,"&lt;="&amp;$B199,BD!$Z$3:$Z$5001,"&lt;&gt;")=0,"",SUMIFS(BD!$Z$3:$Z$5001,BD!$B$3:$B$5001,H$175,BD!$A$3:$A$5001,_xlfn.MAXIFS(BD!$A$3:$A$5001,BD!$B$3:$B$5001,H$175,BD!$A$3:$A$5001,"&gt;="&amp;$C$7,BD!$A$3:$A$5001,"&lt;="&amp;$B199,BD!$Z$3:$Z$5001,"&lt;&gt;"))))</f>
        <v/>
      </c>
      <c r="I199" s="43" t="str">
        <f>IF(OR($B199="",$A199&gt;$B$9,I$175=""),"",IF(COUNTIFS(BD!$B$3:$B$5001,I$175,BD!$A$3:$A$5001,"&gt;="&amp;$C$7,BD!$A$3:$A$5001,"&lt;="&amp;$B199,BD!$Z$3:$Z$5001,"&lt;&gt;")=0,"",SUMIFS(BD!$Z$3:$Z$5001,BD!$B$3:$B$5001,I$175,BD!$A$3:$A$5001,_xlfn.MAXIFS(BD!$A$3:$A$5001,BD!$B$3:$B$5001,I$175,BD!$A$3:$A$5001,"&gt;="&amp;$C$7,BD!$A$3:$A$5001,"&lt;="&amp;$B199,BD!$Z$3:$Z$5001,"&lt;&gt;"))))</f>
        <v/>
      </c>
      <c r="J199" s="43" t="str">
        <f>IF(OR($B199="",$A199&gt;$B$9,J$175=""),"",IF(COUNTIFS(BD!$B$3:$B$5001,J$175,BD!$A$3:$A$5001,"&gt;="&amp;$C$7,BD!$A$3:$A$5001,"&lt;="&amp;$B199,BD!$Z$3:$Z$5001,"&lt;&gt;")=0,"",SUMIFS(BD!$Z$3:$Z$5001,BD!$B$3:$B$5001,J$175,BD!$A$3:$A$5001,_xlfn.MAXIFS(BD!$A$3:$A$5001,BD!$B$3:$B$5001,J$175,BD!$A$3:$A$5001,"&gt;="&amp;$C$7,BD!$A$3:$A$5001,"&lt;="&amp;$B199,BD!$Z$3:$Z$5001,"&lt;&gt;"))))</f>
        <v/>
      </c>
      <c r="K199" s="43" t="str">
        <f>IF(OR($B199="",$A199&gt;$B$9,K$175=""),"",IF(COUNTIFS(BD!$B$3:$B$5001,K$175,BD!$A$3:$A$5001,"&gt;="&amp;$C$7,BD!$A$3:$A$5001,"&lt;="&amp;$B199,BD!$Z$3:$Z$5001,"&lt;&gt;")=0,"",SUMIFS(BD!$Z$3:$Z$5001,BD!$B$3:$B$5001,K$175,BD!$A$3:$A$5001,_xlfn.MAXIFS(BD!$A$3:$A$5001,BD!$B$3:$B$5001,K$175,BD!$A$3:$A$5001,"&gt;="&amp;$C$7,BD!$A$3:$A$5001,"&lt;="&amp;$B199,BD!$Z$3:$Z$5001,"&lt;&gt;"))))</f>
        <v/>
      </c>
      <c r="L199" s="43" t="str">
        <f>IF(OR($B199="",$A199&gt;$B$9,L$175=""),"",IF(COUNTIFS(BD!$B$3:$B$5001,L$175,BD!$A$3:$A$5001,"&gt;="&amp;$C$7,BD!$A$3:$A$5001,"&lt;="&amp;$B199,BD!$Z$3:$Z$5001,"&lt;&gt;")=0,"",SUMIFS(BD!$Z$3:$Z$5001,BD!$B$3:$B$5001,L$175,BD!$A$3:$A$5001,_xlfn.MAXIFS(BD!$A$3:$A$5001,BD!$B$3:$B$5001,L$175,BD!$A$3:$A$5001,"&gt;="&amp;$C$7,BD!$A$3:$A$5001,"&lt;="&amp;$B199,BD!$Z$3:$Z$5001,"&lt;&gt;"))))</f>
        <v/>
      </c>
      <c r="M199" s="43" t="str">
        <f>IF(OR($B199="",$A199&gt;$B$9,M$175=""),"",IF(COUNTIFS(BD!$B$3:$B$5001,M$175,BD!$A$3:$A$5001,"&gt;="&amp;$C$7,BD!$A$3:$A$5001,"&lt;="&amp;$B199,BD!$Z$3:$Z$5001,"&lt;&gt;")=0,"",SUMIFS(BD!$Z$3:$Z$5001,BD!$B$3:$B$5001,M$175,BD!$A$3:$A$5001,_xlfn.MAXIFS(BD!$A$3:$A$5001,BD!$B$3:$B$5001,M$175,BD!$A$3:$A$5001,"&gt;="&amp;$C$7,BD!$A$3:$A$5001,"&lt;="&amp;$B199,BD!$Z$3:$Z$5001,"&lt;&gt;"))))</f>
        <v/>
      </c>
      <c r="N199" s="43" t="str">
        <f>IF(OR($B199="",$A199&gt;$B$9,N$175=""),"",IF(COUNTIFS(BD!$B$3:$B$5001,N$175,BD!$A$3:$A$5001,"&gt;="&amp;$C$7,BD!$A$3:$A$5001,"&lt;="&amp;$B199,BD!$Z$3:$Z$5001,"&lt;&gt;")=0,"",SUMIFS(BD!$Z$3:$Z$5001,BD!$B$3:$B$5001,N$175,BD!$A$3:$A$5001,_xlfn.MAXIFS(BD!$A$3:$A$5001,BD!$B$3:$B$5001,N$175,BD!$A$3:$A$5001,"&gt;="&amp;$C$7,BD!$A$3:$A$5001,"&lt;="&amp;$B199,BD!$Z$3:$Z$5001,"&lt;&gt;"))))</f>
        <v/>
      </c>
      <c r="O199" s="43" t="str">
        <f>IF(OR($B199="",$A199&gt;$B$9,O$175=""),"",IF(COUNTIFS(BD!$B$3:$B$5001,O$175,BD!$A$3:$A$5001,"&gt;="&amp;$C$7,BD!$A$3:$A$5001,"&lt;="&amp;$B199,BD!$Z$3:$Z$5001,"&lt;&gt;")=0,"",SUMIFS(BD!$Z$3:$Z$5001,BD!$B$3:$B$5001,O$175,BD!$A$3:$A$5001,_xlfn.MAXIFS(BD!$A$3:$A$5001,BD!$B$3:$B$5001,O$175,BD!$A$3:$A$5001,"&gt;="&amp;$C$7,BD!$A$3:$A$5001,"&lt;="&amp;$B199,BD!$Z$3:$Z$5001,"&lt;&gt;"))))</f>
        <v/>
      </c>
      <c r="P199" s="43" t="str">
        <f>IF(OR($B199="",$A199&gt;$B$9,P$175=""),"",IF(COUNTIFS(BD!$B$3:$B$5001,P$175,BD!$A$3:$A$5001,"&gt;="&amp;$C$7,BD!$A$3:$A$5001,"&lt;="&amp;$B199,BD!$Z$3:$Z$5001,"&lt;&gt;")=0,"",SUMIFS(BD!$Z$3:$Z$5001,BD!$B$3:$B$5001,P$175,BD!$A$3:$A$5001,_xlfn.MAXIFS(BD!$A$3:$A$5001,BD!$B$3:$B$5001,P$175,BD!$A$3:$A$5001,"&gt;="&amp;$C$7,BD!$A$3:$A$5001,"&lt;="&amp;$B199,BD!$Z$3:$Z$5001,"&lt;&gt;"))))</f>
        <v/>
      </c>
      <c r="Q199" s="43" t="str">
        <f>IF(OR($B199="",$A199&gt;$B$9,Q$175=""),"",IF(COUNTIFS(BD!$B$3:$B$5001,Q$175,BD!$A$3:$A$5001,"&gt;="&amp;$C$7,BD!$A$3:$A$5001,"&lt;="&amp;$B199,BD!$Z$3:$Z$5001,"&lt;&gt;")=0,"",SUMIFS(BD!$Z$3:$Z$5001,BD!$B$3:$B$5001,Q$175,BD!$A$3:$A$5001,_xlfn.MAXIFS(BD!$A$3:$A$5001,BD!$B$3:$B$5001,Q$175,BD!$A$3:$A$5001,"&gt;="&amp;$C$7,BD!$A$3:$A$5001,"&lt;="&amp;$B199,BD!$Z$3:$Z$5001,"&lt;&gt;"))))</f>
        <v/>
      </c>
      <c r="R199" s="43" t="str">
        <f>IF(OR($B199="",$A199&gt;$B$9,R$175=""),"",IF(COUNTIFS(BD!$B$3:$B$5001,R$175,BD!$A$3:$A$5001,"&gt;="&amp;$C$7,BD!$A$3:$A$5001,"&lt;="&amp;$B199,BD!$Z$3:$Z$5001,"&lt;&gt;")=0,"",SUMIFS(BD!$Z$3:$Z$5001,BD!$B$3:$B$5001,R$175,BD!$A$3:$A$5001,_xlfn.MAXIFS(BD!$A$3:$A$5001,BD!$B$3:$B$5001,R$175,BD!$A$3:$A$5001,"&gt;="&amp;$C$7,BD!$A$3:$A$5001,"&lt;="&amp;$B199,BD!$Z$3:$Z$5001,"&lt;&gt;"))))</f>
        <v/>
      </c>
      <c r="S199" s="43" t="str">
        <f>IF(OR($B199="",$A199&gt;$B$9,S$175=""),"",IF(COUNTIFS(BD!$B$3:$B$5001,S$175,BD!$A$3:$A$5001,"&gt;="&amp;$C$7,BD!$A$3:$A$5001,"&lt;="&amp;$B199,BD!$Z$3:$Z$5001,"&lt;&gt;")=0,"",SUMIFS(BD!$Z$3:$Z$5001,BD!$B$3:$B$5001,S$175,BD!$A$3:$A$5001,_xlfn.MAXIFS(BD!$A$3:$A$5001,BD!$B$3:$B$5001,S$175,BD!$A$3:$A$5001,"&gt;="&amp;$C$7,BD!$A$3:$A$5001,"&lt;="&amp;$B199,BD!$Z$3:$Z$5001,"&lt;&gt;"))))</f>
        <v/>
      </c>
      <c r="T199" s="43" t="str">
        <f>IF(OR($B199="",$A199&gt;$B$9,T$175=""),"",IF(COUNTIFS(BD!$B$3:$B$5001,T$175,BD!$A$3:$A$5001,"&gt;="&amp;$C$7,BD!$A$3:$A$5001,"&lt;="&amp;$B199,BD!$Z$3:$Z$5001,"&lt;&gt;")=0,"",SUMIFS(BD!$Z$3:$Z$5001,BD!$B$3:$B$5001,T$175,BD!$A$3:$A$5001,_xlfn.MAXIFS(BD!$A$3:$A$5001,BD!$B$3:$B$5001,T$175,BD!$A$3:$A$5001,"&gt;="&amp;$C$7,BD!$A$3:$A$5001,"&lt;="&amp;$B199,BD!$Z$3:$Z$5001,"&lt;&gt;"))))</f>
        <v/>
      </c>
      <c r="U199" s="43" t="str">
        <f>IF(OR($B199="",$A199&gt;$B$9,U$175=""),"",IF(COUNTIFS(BD!$B$3:$B$5001,U$175,BD!$A$3:$A$5001,"&gt;="&amp;$C$7,BD!$A$3:$A$5001,"&lt;="&amp;$B199,BD!$Z$3:$Z$5001,"&lt;&gt;")=0,"",SUMIFS(BD!$Z$3:$Z$5001,BD!$B$3:$B$5001,U$175,BD!$A$3:$A$5001,_xlfn.MAXIFS(BD!$A$3:$A$5001,BD!$B$3:$B$5001,U$175,BD!$A$3:$A$5001,"&gt;="&amp;$C$7,BD!$A$3:$A$5001,"&lt;="&amp;$B199,BD!$Z$3:$Z$5001,"&lt;&gt;"))))</f>
        <v/>
      </c>
      <c r="V199" s="43" t="str">
        <f>IF(OR($B199="",$A199&gt;$B$9,V$175=""),"",IF(COUNTIFS(BD!$B$3:$B$5001,V$175,BD!$A$3:$A$5001,"&gt;="&amp;$C$7,BD!$A$3:$A$5001,"&lt;="&amp;$B199,BD!$Z$3:$Z$5001,"&lt;&gt;")=0,"",SUMIFS(BD!$Z$3:$Z$5001,BD!$B$3:$B$5001,V$175,BD!$A$3:$A$5001,_xlfn.MAXIFS(BD!$A$3:$A$5001,BD!$B$3:$B$5001,V$175,BD!$A$3:$A$5001,"&gt;="&amp;$C$7,BD!$A$3:$A$5001,"&lt;="&amp;$B199,BD!$Z$3:$Z$5001,"&lt;&gt;"))))</f>
        <v/>
      </c>
    </row>
    <row r="200">
      <c r="A200" s="38">
        <v>25</v>
      </c>
      <c r="B200" s="42">
        <f>$B$36</f>
        <v>46320</v>
      </c>
      <c r="C200" s="43" t="str">
        <f>IF(OR($B200="",$A200&gt;$B$9,C$175=""),"",IF(COUNTIFS(BD!$B$3:$B$5001,C$175,BD!$A$3:$A$5001,"&gt;="&amp;$C$7,BD!$A$3:$A$5001,"&lt;="&amp;$B200,BD!$Z$3:$Z$5001,"&lt;&gt;")=0,"",SUMIFS(BD!$Z$3:$Z$5001,BD!$B$3:$B$5001,C$175,BD!$A$3:$A$5001,_xlfn.MAXIFS(BD!$A$3:$A$5001,BD!$B$3:$B$5001,C$175,BD!$A$3:$A$5001,"&gt;="&amp;$C$7,BD!$A$3:$A$5001,"&lt;="&amp;$B200,BD!$Z$3:$Z$5001,"&lt;&gt;"))))</f>
        <v/>
      </c>
      <c r="D200" s="43" t="str">
        <f>IF(OR($B200="",$A200&gt;$B$9,D$175=""),"",IF(COUNTIFS(BD!$B$3:$B$5001,D$175,BD!$A$3:$A$5001,"&gt;="&amp;$C$7,BD!$A$3:$A$5001,"&lt;="&amp;$B200,BD!$Z$3:$Z$5001,"&lt;&gt;")=0,"",SUMIFS(BD!$Z$3:$Z$5001,BD!$B$3:$B$5001,D$175,BD!$A$3:$A$5001,_xlfn.MAXIFS(BD!$A$3:$A$5001,BD!$B$3:$B$5001,D$175,BD!$A$3:$A$5001,"&gt;="&amp;$C$7,BD!$A$3:$A$5001,"&lt;="&amp;$B200,BD!$Z$3:$Z$5001,"&lt;&gt;"))))</f>
        <v/>
      </c>
      <c r="E200" s="43" t="str">
        <f>IF(OR($B200="",$A200&gt;$B$9,E$175=""),"",IF(COUNTIFS(BD!$B$3:$B$5001,E$175,BD!$A$3:$A$5001,"&gt;="&amp;$C$7,BD!$A$3:$A$5001,"&lt;="&amp;$B200,BD!$Z$3:$Z$5001,"&lt;&gt;")=0,"",SUMIFS(BD!$Z$3:$Z$5001,BD!$B$3:$B$5001,E$175,BD!$A$3:$A$5001,_xlfn.MAXIFS(BD!$A$3:$A$5001,BD!$B$3:$B$5001,E$175,BD!$A$3:$A$5001,"&gt;="&amp;$C$7,BD!$A$3:$A$5001,"&lt;="&amp;$B200,BD!$Z$3:$Z$5001,"&lt;&gt;"))))</f>
        <v/>
      </c>
      <c r="F200" s="43" t="str">
        <f>IF(OR($B200="",$A200&gt;$B$9,F$175=""),"",IF(COUNTIFS(BD!$B$3:$B$5001,F$175,BD!$A$3:$A$5001,"&gt;="&amp;$C$7,BD!$A$3:$A$5001,"&lt;="&amp;$B200,BD!$Z$3:$Z$5001,"&lt;&gt;")=0,"",SUMIFS(BD!$Z$3:$Z$5001,BD!$B$3:$B$5001,F$175,BD!$A$3:$A$5001,_xlfn.MAXIFS(BD!$A$3:$A$5001,BD!$B$3:$B$5001,F$175,BD!$A$3:$A$5001,"&gt;="&amp;$C$7,BD!$A$3:$A$5001,"&lt;="&amp;$B200,BD!$Z$3:$Z$5001,"&lt;&gt;"))))</f>
        <v/>
      </c>
      <c r="G200" s="43" t="str">
        <f>IF(OR($B200="",$A200&gt;$B$9,G$175=""),"",IF(COUNTIFS(BD!$B$3:$B$5001,G$175,BD!$A$3:$A$5001,"&gt;="&amp;$C$7,BD!$A$3:$A$5001,"&lt;="&amp;$B200,BD!$Z$3:$Z$5001,"&lt;&gt;")=0,"",SUMIFS(BD!$Z$3:$Z$5001,BD!$B$3:$B$5001,G$175,BD!$A$3:$A$5001,_xlfn.MAXIFS(BD!$A$3:$A$5001,BD!$B$3:$B$5001,G$175,BD!$A$3:$A$5001,"&gt;="&amp;$C$7,BD!$A$3:$A$5001,"&lt;="&amp;$B200,BD!$Z$3:$Z$5001,"&lt;&gt;"))))</f>
        <v/>
      </c>
      <c r="H200" s="43" t="str">
        <f>IF(OR($B200="",$A200&gt;$B$9,H$175=""),"",IF(COUNTIFS(BD!$B$3:$B$5001,H$175,BD!$A$3:$A$5001,"&gt;="&amp;$C$7,BD!$A$3:$A$5001,"&lt;="&amp;$B200,BD!$Z$3:$Z$5001,"&lt;&gt;")=0,"",SUMIFS(BD!$Z$3:$Z$5001,BD!$B$3:$B$5001,H$175,BD!$A$3:$A$5001,_xlfn.MAXIFS(BD!$A$3:$A$5001,BD!$B$3:$B$5001,H$175,BD!$A$3:$A$5001,"&gt;="&amp;$C$7,BD!$A$3:$A$5001,"&lt;="&amp;$B200,BD!$Z$3:$Z$5001,"&lt;&gt;"))))</f>
        <v/>
      </c>
      <c r="I200" s="43" t="str">
        <f>IF(OR($B200="",$A200&gt;$B$9,I$175=""),"",IF(COUNTIFS(BD!$B$3:$B$5001,I$175,BD!$A$3:$A$5001,"&gt;="&amp;$C$7,BD!$A$3:$A$5001,"&lt;="&amp;$B200,BD!$Z$3:$Z$5001,"&lt;&gt;")=0,"",SUMIFS(BD!$Z$3:$Z$5001,BD!$B$3:$B$5001,I$175,BD!$A$3:$A$5001,_xlfn.MAXIFS(BD!$A$3:$A$5001,BD!$B$3:$B$5001,I$175,BD!$A$3:$A$5001,"&gt;="&amp;$C$7,BD!$A$3:$A$5001,"&lt;="&amp;$B200,BD!$Z$3:$Z$5001,"&lt;&gt;"))))</f>
        <v/>
      </c>
      <c r="J200" s="43" t="str">
        <f>IF(OR($B200="",$A200&gt;$B$9,J$175=""),"",IF(COUNTIFS(BD!$B$3:$B$5001,J$175,BD!$A$3:$A$5001,"&gt;="&amp;$C$7,BD!$A$3:$A$5001,"&lt;="&amp;$B200,BD!$Z$3:$Z$5001,"&lt;&gt;")=0,"",SUMIFS(BD!$Z$3:$Z$5001,BD!$B$3:$B$5001,J$175,BD!$A$3:$A$5001,_xlfn.MAXIFS(BD!$A$3:$A$5001,BD!$B$3:$B$5001,J$175,BD!$A$3:$A$5001,"&gt;="&amp;$C$7,BD!$A$3:$A$5001,"&lt;="&amp;$B200,BD!$Z$3:$Z$5001,"&lt;&gt;"))))</f>
        <v/>
      </c>
      <c r="K200" s="43" t="str">
        <f>IF(OR($B200="",$A200&gt;$B$9,K$175=""),"",IF(COUNTIFS(BD!$B$3:$B$5001,K$175,BD!$A$3:$A$5001,"&gt;="&amp;$C$7,BD!$A$3:$A$5001,"&lt;="&amp;$B200,BD!$Z$3:$Z$5001,"&lt;&gt;")=0,"",SUMIFS(BD!$Z$3:$Z$5001,BD!$B$3:$B$5001,K$175,BD!$A$3:$A$5001,_xlfn.MAXIFS(BD!$A$3:$A$5001,BD!$B$3:$B$5001,K$175,BD!$A$3:$A$5001,"&gt;="&amp;$C$7,BD!$A$3:$A$5001,"&lt;="&amp;$B200,BD!$Z$3:$Z$5001,"&lt;&gt;"))))</f>
        <v/>
      </c>
      <c r="L200" s="43" t="str">
        <f>IF(OR($B200="",$A200&gt;$B$9,L$175=""),"",IF(COUNTIFS(BD!$B$3:$B$5001,L$175,BD!$A$3:$A$5001,"&gt;="&amp;$C$7,BD!$A$3:$A$5001,"&lt;="&amp;$B200,BD!$Z$3:$Z$5001,"&lt;&gt;")=0,"",SUMIFS(BD!$Z$3:$Z$5001,BD!$B$3:$B$5001,L$175,BD!$A$3:$A$5001,_xlfn.MAXIFS(BD!$A$3:$A$5001,BD!$B$3:$B$5001,L$175,BD!$A$3:$A$5001,"&gt;="&amp;$C$7,BD!$A$3:$A$5001,"&lt;="&amp;$B200,BD!$Z$3:$Z$5001,"&lt;&gt;"))))</f>
        <v/>
      </c>
      <c r="M200" s="43" t="str">
        <f>IF(OR($B200="",$A200&gt;$B$9,M$175=""),"",IF(COUNTIFS(BD!$B$3:$B$5001,M$175,BD!$A$3:$A$5001,"&gt;="&amp;$C$7,BD!$A$3:$A$5001,"&lt;="&amp;$B200,BD!$Z$3:$Z$5001,"&lt;&gt;")=0,"",SUMIFS(BD!$Z$3:$Z$5001,BD!$B$3:$B$5001,M$175,BD!$A$3:$A$5001,_xlfn.MAXIFS(BD!$A$3:$A$5001,BD!$B$3:$B$5001,M$175,BD!$A$3:$A$5001,"&gt;="&amp;$C$7,BD!$A$3:$A$5001,"&lt;="&amp;$B200,BD!$Z$3:$Z$5001,"&lt;&gt;"))))</f>
        <v/>
      </c>
      <c r="N200" s="43" t="str">
        <f>IF(OR($B200="",$A200&gt;$B$9,N$175=""),"",IF(COUNTIFS(BD!$B$3:$B$5001,N$175,BD!$A$3:$A$5001,"&gt;="&amp;$C$7,BD!$A$3:$A$5001,"&lt;="&amp;$B200,BD!$Z$3:$Z$5001,"&lt;&gt;")=0,"",SUMIFS(BD!$Z$3:$Z$5001,BD!$B$3:$B$5001,N$175,BD!$A$3:$A$5001,_xlfn.MAXIFS(BD!$A$3:$A$5001,BD!$B$3:$B$5001,N$175,BD!$A$3:$A$5001,"&gt;="&amp;$C$7,BD!$A$3:$A$5001,"&lt;="&amp;$B200,BD!$Z$3:$Z$5001,"&lt;&gt;"))))</f>
        <v/>
      </c>
      <c r="O200" s="43" t="str">
        <f>IF(OR($B200="",$A200&gt;$B$9,O$175=""),"",IF(COUNTIFS(BD!$B$3:$B$5001,O$175,BD!$A$3:$A$5001,"&gt;="&amp;$C$7,BD!$A$3:$A$5001,"&lt;="&amp;$B200,BD!$Z$3:$Z$5001,"&lt;&gt;")=0,"",SUMIFS(BD!$Z$3:$Z$5001,BD!$B$3:$B$5001,O$175,BD!$A$3:$A$5001,_xlfn.MAXIFS(BD!$A$3:$A$5001,BD!$B$3:$B$5001,O$175,BD!$A$3:$A$5001,"&gt;="&amp;$C$7,BD!$A$3:$A$5001,"&lt;="&amp;$B200,BD!$Z$3:$Z$5001,"&lt;&gt;"))))</f>
        <v/>
      </c>
      <c r="P200" s="43" t="str">
        <f>IF(OR($B200="",$A200&gt;$B$9,P$175=""),"",IF(COUNTIFS(BD!$B$3:$B$5001,P$175,BD!$A$3:$A$5001,"&gt;="&amp;$C$7,BD!$A$3:$A$5001,"&lt;="&amp;$B200,BD!$Z$3:$Z$5001,"&lt;&gt;")=0,"",SUMIFS(BD!$Z$3:$Z$5001,BD!$B$3:$B$5001,P$175,BD!$A$3:$A$5001,_xlfn.MAXIFS(BD!$A$3:$A$5001,BD!$B$3:$B$5001,P$175,BD!$A$3:$A$5001,"&gt;="&amp;$C$7,BD!$A$3:$A$5001,"&lt;="&amp;$B200,BD!$Z$3:$Z$5001,"&lt;&gt;"))))</f>
        <v/>
      </c>
      <c r="Q200" s="43" t="str">
        <f>IF(OR($B200="",$A200&gt;$B$9,Q$175=""),"",IF(COUNTIFS(BD!$B$3:$B$5001,Q$175,BD!$A$3:$A$5001,"&gt;="&amp;$C$7,BD!$A$3:$A$5001,"&lt;="&amp;$B200,BD!$Z$3:$Z$5001,"&lt;&gt;")=0,"",SUMIFS(BD!$Z$3:$Z$5001,BD!$B$3:$B$5001,Q$175,BD!$A$3:$A$5001,_xlfn.MAXIFS(BD!$A$3:$A$5001,BD!$B$3:$B$5001,Q$175,BD!$A$3:$A$5001,"&gt;="&amp;$C$7,BD!$A$3:$A$5001,"&lt;="&amp;$B200,BD!$Z$3:$Z$5001,"&lt;&gt;"))))</f>
        <v/>
      </c>
      <c r="R200" s="43" t="str">
        <f>IF(OR($B200="",$A200&gt;$B$9,R$175=""),"",IF(COUNTIFS(BD!$B$3:$B$5001,R$175,BD!$A$3:$A$5001,"&gt;="&amp;$C$7,BD!$A$3:$A$5001,"&lt;="&amp;$B200,BD!$Z$3:$Z$5001,"&lt;&gt;")=0,"",SUMIFS(BD!$Z$3:$Z$5001,BD!$B$3:$B$5001,R$175,BD!$A$3:$A$5001,_xlfn.MAXIFS(BD!$A$3:$A$5001,BD!$B$3:$B$5001,R$175,BD!$A$3:$A$5001,"&gt;="&amp;$C$7,BD!$A$3:$A$5001,"&lt;="&amp;$B200,BD!$Z$3:$Z$5001,"&lt;&gt;"))))</f>
        <v/>
      </c>
      <c r="S200" s="43" t="str">
        <f>IF(OR($B200="",$A200&gt;$B$9,S$175=""),"",IF(COUNTIFS(BD!$B$3:$B$5001,S$175,BD!$A$3:$A$5001,"&gt;="&amp;$C$7,BD!$A$3:$A$5001,"&lt;="&amp;$B200,BD!$Z$3:$Z$5001,"&lt;&gt;")=0,"",SUMIFS(BD!$Z$3:$Z$5001,BD!$B$3:$B$5001,S$175,BD!$A$3:$A$5001,_xlfn.MAXIFS(BD!$A$3:$A$5001,BD!$B$3:$B$5001,S$175,BD!$A$3:$A$5001,"&gt;="&amp;$C$7,BD!$A$3:$A$5001,"&lt;="&amp;$B200,BD!$Z$3:$Z$5001,"&lt;&gt;"))))</f>
        <v/>
      </c>
      <c r="T200" s="43" t="str">
        <f>IF(OR($B200="",$A200&gt;$B$9,T$175=""),"",IF(COUNTIFS(BD!$B$3:$B$5001,T$175,BD!$A$3:$A$5001,"&gt;="&amp;$C$7,BD!$A$3:$A$5001,"&lt;="&amp;$B200,BD!$Z$3:$Z$5001,"&lt;&gt;")=0,"",SUMIFS(BD!$Z$3:$Z$5001,BD!$B$3:$B$5001,T$175,BD!$A$3:$A$5001,_xlfn.MAXIFS(BD!$A$3:$A$5001,BD!$B$3:$B$5001,T$175,BD!$A$3:$A$5001,"&gt;="&amp;$C$7,BD!$A$3:$A$5001,"&lt;="&amp;$B200,BD!$Z$3:$Z$5001,"&lt;&gt;"))))</f>
        <v/>
      </c>
      <c r="U200" s="43" t="str">
        <f>IF(OR($B200="",$A200&gt;$B$9,U$175=""),"",IF(COUNTIFS(BD!$B$3:$B$5001,U$175,BD!$A$3:$A$5001,"&gt;="&amp;$C$7,BD!$A$3:$A$5001,"&lt;="&amp;$B200,BD!$Z$3:$Z$5001,"&lt;&gt;")=0,"",SUMIFS(BD!$Z$3:$Z$5001,BD!$B$3:$B$5001,U$175,BD!$A$3:$A$5001,_xlfn.MAXIFS(BD!$A$3:$A$5001,BD!$B$3:$B$5001,U$175,BD!$A$3:$A$5001,"&gt;="&amp;$C$7,BD!$A$3:$A$5001,"&lt;="&amp;$B200,BD!$Z$3:$Z$5001,"&lt;&gt;"))))</f>
        <v/>
      </c>
      <c r="V200" s="43" t="str">
        <f>IF(OR($B200="",$A200&gt;$B$9,V$175=""),"",IF(COUNTIFS(BD!$B$3:$B$5001,V$175,BD!$A$3:$A$5001,"&gt;="&amp;$C$7,BD!$A$3:$A$5001,"&lt;="&amp;$B200,BD!$Z$3:$Z$5001,"&lt;&gt;")=0,"",SUMIFS(BD!$Z$3:$Z$5001,BD!$B$3:$B$5001,V$175,BD!$A$3:$A$5001,_xlfn.MAXIFS(BD!$A$3:$A$5001,BD!$B$3:$B$5001,V$175,BD!$A$3:$A$5001,"&gt;="&amp;$C$7,BD!$A$3:$A$5001,"&lt;="&amp;$B200,BD!$Z$3:$Z$5001,"&lt;&gt;"))))</f>
        <v/>
      </c>
    </row>
    <row r="201">
      <c r="A201" s="38">
        <v>26</v>
      </c>
      <c r="B201" s="42">
        <f>$B$37</f>
        <v>46321</v>
      </c>
      <c r="C201" s="43" t="str">
        <f>IF(OR($B201="",$A201&gt;$B$9,C$175=""),"",IF(COUNTIFS(BD!$B$3:$B$5001,C$175,BD!$A$3:$A$5001,"&gt;="&amp;$C$7,BD!$A$3:$A$5001,"&lt;="&amp;$B201,BD!$Z$3:$Z$5001,"&lt;&gt;")=0,"",SUMIFS(BD!$Z$3:$Z$5001,BD!$B$3:$B$5001,C$175,BD!$A$3:$A$5001,_xlfn.MAXIFS(BD!$A$3:$A$5001,BD!$B$3:$B$5001,C$175,BD!$A$3:$A$5001,"&gt;="&amp;$C$7,BD!$A$3:$A$5001,"&lt;="&amp;$B201,BD!$Z$3:$Z$5001,"&lt;&gt;"))))</f>
        <v/>
      </c>
      <c r="D201" s="43" t="str">
        <f>IF(OR($B201="",$A201&gt;$B$9,D$175=""),"",IF(COUNTIFS(BD!$B$3:$B$5001,D$175,BD!$A$3:$A$5001,"&gt;="&amp;$C$7,BD!$A$3:$A$5001,"&lt;="&amp;$B201,BD!$Z$3:$Z$5001,"&lt;&gt;")=0,"",SUMIFS(BD!$Z$3:$Z$5001,BD!$B$3:$B$5001,D$175,BD!$A$3:$A$5001,_xlfn.MAXIFS(BD!$A$3:$A$5001,BD!$B$3:$B$5001,D$175,BD!$A$3:$A$5001,"&gt;="&amp;$C$7,BD!$A$3:$A$5001,"&lt;="&amp;$B201,BD!$Z$3:$Z$5001,"&lt;&gt;"))))</f>
        <v/>
      </c>
      <c r="E201" s="43" t="str">
        <f>IF(OR($B201="",$A201&gt;$B$9,E$175=""),"",IF(COUNTIFS(BD!$B$3:$B$5001,E$175,BD!$A$3:$A$5001,"&gt;="&amp;$C$7,BD!$A$3:$A$5001,"&lt;="&amp;$B201,BD!$Z$3:$Z$5001,"&lt;&gt;")=0,"",SUMIFS(BD!$Z$3:$Z$5001,BD!$B$3:$B$5001,E$175,BD!$A$3:$A$5001,_xlfn.MAXIFS(BD!$A$3:$A$5001,BD!$B$3:$B$5001,E$175,BD!$A$3:$A$5001,"&gt;="&amp;$C$7,BD!$A$3:$A$5001,"&lt;="&amp;$B201,BD!$Z$3:$Z$5001,"&lt;&gt;"))))</f>
        <v/>
      </c>
      <c r="F201" s="43" t="str">
        <f>IF(OR($B201="",$A201&gt;$B$9,F$175=""),"",IF(COUNTIFS(BD!$B$3:$B$5001,F$175,BD!$A$3:$A$5001,"&gt;="&amp;$C$7,BD!$A$3:$A$5001,"&lt;="&amp;$B201,BD!$Z$3:$Z$5001,"&lt;&gt;")=0,"",SUMIFS(BD!$Z$3:$Z$5001,BD!$B$3:$B$5001,F$175,BD!$A$3:$A$5001,_xlfn.MAXIFS(BD!$A$3:$A$5001,BD!$B$3:$B$5001,F$175,BD!$A$3:$A$5001,"&gt;="&amp;$C$7,BD!$A$3:$A$5001,"&lt;="&amp;$B201,BD!$Z$3:$Z$5001,"&lt;&gt;"))))</f>
        <v/>
      </c>
      <c r="G201" s="43" t="str">
        <f>IF(OR($B201="",$A201&gt;$B$9,G$175=""),"",IF(COUNTIFS(BD!$B$3:$B$5001,G$175,BD!$A$3:$A$5001,"&gt;="&amp;$C$7,BD!$A$3:$A$5001,"&lt;="&amp;$B201,BD!$Z$3:$Z$5001,"&lt;&gt;")=0,"",SUMIFS(BD!$Z$3:$Z$5001,BD!$B$3:$B$5001,G$175,BD!$A$3:$A$5001,_xlfn.MAXIFS(BD!$A$3:$A$5001,BD!$B$3:$B$5001,G$175,BD!$A$3:$A$5001,"&gt;="&amp;$C$7,BD!$A$3:$A$5001,"&lt;="&amp;$B201,BD!$Z$3:$Z$5001,"&lt;&gt;"))))</f>
        <v/>
      </c>
      <c r="H201" s="43" t="str">
        <f>IF(OR($B201="",$A201&gt;$B$9,H$175=""),"",IF(COUNTIFS(BD!$B$3:$B$5001,H$175,BD!$A$3:$A$5001,"&gt;="&amp;$C$7,BD!$A$3:$A$5001,"&lt;="&amp;$B201,BD!$Z$3:$Z$5001,"&lt;&gt;")=0,"",SUMIFS(BD!$Z$3:$Z$5001,BD!$B$3:$B$5001,H$175,BD!$A$3:$A$5001,_xlfn.MAXIFS(BD!$A$3:$A$5001,BD!$B$3:$B$5001,H$175,BD!$A$3:$A$5001,"&gt;="&amp;$C$7,BD!$A$3:$A$5001,"&lt;="&amp;$B201,BD!$Z$3:$Z$5001,"&lt;&gt;"))))</f>
        <v/>
      </c>
      <c r="I201" s="43" t="str">
        <f>IF(OR($B201="",$A201&gt;$B$9,I$175=""),"",IF(COUNTIFS(BD!$B$3:$B$5001,I$175,BD!$A$3:$A$5001,"&gt;="&amp;$C$7,BD!$A$3:$A$5001,"&lt;="&amp;$B201,BD!$Z$3:$Z$5001,"&lt;&gt;")=0,"",SUMIFS(BD!$Z$3:$Z$5001,BD!$B$3:$B$5001,I$175,BD!$A$3:$A$5001,_xlfn.MAXIFS(BD!$A$3:$A$5001,BD!$B$3:$B$5001,I$175,BD!$A$3:$A$5001,"&gt;="&amp;$C$7,BD!$A$3:$A$5001,"&lt;="&amp;$B201,BD!$Z$3:$Z$5001,"&lt;&gt;"))))</f>
        <v/>
      </c>
      <c r="J201" s="43" t="str">
        <f>IF(OR($B201="",$A201&gt;$B$9,J$175=""),"",IF(COUNTIFS(BD!$B$3:$B$5001,J$175,BD!$A$3:$A$5001,"&gt;="&amp;$C$7,BD!$A$3:$A$5001,"&lt;="&amp;$B201,BD!$Z$3:$Z$5001,"&lt;&gt;")=0,"",SUMIFS(BD!$Z$3:$Z$5001,BD!$B$3:$B$5001,J$175,BD!$A$3:$A$5001,_xlfn.MAXIFS(BD!$A$3:$A$5001,BD!$B$3:$B$5001,J$175,BD!$A$3:$A$5001,"&gt;="&amp;$C$7,BD!$A$3:$A$5001,"&lt;="&amp;$B201,BD!$Z$3:$Z$5001,"&lt;&gt;"))))</f>
        <v/>
      </c>
      <c r="K201" s="43" t="str">
        <f>IF(OR($B201="",$A201&gt;$B$9,K$175=""),"",IF(COUNTIFS(BD!$B$3:$B$5001,K$175,BD!$A$3:$A$5001,"&gt;="&amp;$C$7,BD!$A$3:$A$5001,"&lt;="&amp;$B201,BD!$Z$3:$Z$5001,"&lt;&gt;")=0,"",SUMIFS(BD!$Z$3:$Z$5001,BD!$B$3:$B$5001,K$175,BD!$A$3:$A$5001,_xlfn.MAXIFS(BD!$A$3:$A$5001,BD!$B$3:$B$5001,K$175,BD!$A$3:$A$5001,"&gt;="&amp;$C$7,BD!$A$3:$A$5001,"&lt;="&amp;$B201,BD!$Z$3:$Z$5001,"&lt;&gt;"))))</f>
        <v/>
      </c>
      <c r="L201" s="43" t="str">
        <f>IF(OR($B201="",$A201&gt;$B$9,L$175=""),"",IF(COUNTIFS(BD!$B$3:$B$5001,L$175,BD!$A$3:$A$5001,"&gt;="&amp;$C$7,BD!$A$3:$A$5001,"&lt;="&amp;$B201,BD!$Z$3:$Z$5001,"&lt;&gt;")=0,"",SUMIFS(BD!$Z$3:$Z$5001,BD!$B$3:$B$5001,L$175,BD!$A$3:$A$5001,_xlfn.MAXIFS(BD!$A$3:$A$5001,BD!$B$3:$B$5001,L$175,BD!$A$3:$A$5001,"&gt;="&amp;$C$7,BD!$A$3:$A$5001,"&lt;="&amp;$B201,BD!$Z$3:$Z$5001,"&lt;&gt;"))))</f>
        <v/>
      </c>
      <c r="M201" s="43" t="str">
        <f>IF(OR($B201="",$A201&gt;$B$9,M$175=""),"",IF(COUNTIFS(BD!$B$3:$B$5001,M$175,BD!$A$3:$A$5001,"&gt;="&amp;$C$7,BD!$A$3:$A$5001,"&lt;="&amp;$B201,BD!$Z$3:$Z$5001,"&lt;&gt;")=0,"",SUMIFS(BD!$Z$3:$Z$5001,BD!$B$3:$B$5001,M$175,BD!$A$3:$A$5001,_xlfn.MAXIFS(BD!$A$3:$A$5001,BD!$B$3:$B$5001,M$175,BD!$A$3:$A$5001,"&gt;="&amp;$C$7,BD!$A$3:$A$5001,"&lt;="&amp;$B201,BD!$Z$3:$Z$5001,"&lt;&gt;"))))</f>
        <v/>
      </c>
      <c r="N201" s="43" t="str">
        <f>IF(OR($B201="",$A201&gt;$B$9,N$175=""),"",IF(COUNTIFS(BD!$B$3:$B$5001,N$175,BD!$A$3:$A$5001,"&gt;="&amp;$C$7,BD!$A$3:$A$5001,"&lt;="&amp;$B201,BD!$Z$3:$Z$5001,"&lt;&gt;")=0,"",SUMIFS(BD!$Z$3:$Z$5001,BD!$B$3:$B$5001,N$175,BD!$A$3:$A$5001,_xlfn.MAXIFS(BD!$A$3:$A$5001,BD!$B$3:$B$5001,N$175,BD!$A$3:$A$5001,"&gt;="&amp;$C$7,BD!$A$3:$A$5001,"&lt;="&amp;$B201,BD!$Z$3:$Z$5001,"&lt;&gt;"))))</f>
        <v/>
      </c>
      <c r="O201" s="43" t="str">
        <f>IF(OR($B201="",$A201&gt;$B$9,O$175=""),"",IF(COUNTIFS(BD!$B$3:$B$5001,O$175,BD!$A$3:$A$5001,"&gt;="&amp;$C$7,BD!$A$3:$A$5001,"&lt;="&amp;$B201,BD!$Z$3:$Z$5001,"&lt;&gt;")=0,"",SUMIFS(BD!$Z$3:$Z$5001,BD!$B$3:$B$5001,O$175,BD!$A$3:$A$5001,_xlfn.MAXIFS(BD!$A$3:$A$5001,BD!$B$3:$B$5001,O$175,BD!$A$3:$A$5001,"&gt;="&amp;$C$7,BD!$A$3:$A$5001,"&lt;="&amp;$B201,BD!$Z$3:$Z$5001,"&lt;&gt;"))))</f>
        <v/>
      </c>
      <c r="P201" s="43" t="str">
        <f>IF(OR($B201="",$A201&gt;$B$9,P$175=""),"",IF(COUNTIFS(BD!$B$3:$B$5001,P$175,BD!$A$3:$A$5001,"&gt;="&amp;$C$7,BD!$A$3:$A$5001,"&lt;="&amp;$B201,BD!$Z$3:$Z$5001,"&lt;&gt;")=0,"",SUMIFS(BD!$Z$3:$Z$5001,BD!$B$3:$B$5001,P$175,BD!$A$3:$A$5001,_xlfn.MAXIFS(BD!$A$3:$A$5001,BD!$B$3:$B$5001,P$175,BD!$A$3:$A$5001,"&gt;="&amp;$C$7,BD!$A$3:$A$5001,"&lt;="&amp;$B201,BD!$Z$3:$Z$5001,"&lt;&gt;"))))</f>
        <v/>
      </c>
      <c r="Q201" s="43" t="str">
        <f>IF(OR($B201="",$A201&gt;$B$9,Q$175=""),"",IF(COUNTIFS(BD!$B$3:$B$5001,Q$175,BD!$A$3:$A$5001,"&gt;="&amp;$C$7,BD!$A$3:$A$5001,"&lt;="&amp;$B201,BD!$Z$3:$Z$5001,"&lt;&gt;")=0,"",SUMIFS(BD!$Z$3:$Z$5001,BD!$B$3:$B$5001,Q$175,BD!$A$3:$A$5001,_xlfn.MAXIFS(BD!$A$3:$A$5001,BD!$B$3:$B$5001,Q$175,BD!$A$3:$A$5001,"&gt;="&amp;$C$7,BD!$A$3:$A$5001,"&lt;="&amp;$B201,BD!$Z$3:$Z$5001,"&lt;&gt;"))))</f>
        <v/>
      </c>
      <c r="R201" s="43" t="str">
        <f>IF(OR($B201="",$A201&gt;$B$9,R$175=""),"",IF(COUNTIFS(BD!$B$3:$B$5001,R$175,BD!$A$3:$A$5001,"&gt;="&amp;$C$7,BD!$A$3:$A$5001,"&lt;="&amp;$B201,BD!$Z$3:$Z$5001,"&lt;&gt;")=0,"",SUMIFS(BD!$Z$3:$Z$5001,BD!$B$3:$B$5001,R$175,BD!$A$3:$A$5001,_xlfn.MAXIFS(BD!$A$3:$A$5001,BD!$B$3:$B$5001,R$175,BD!$A$3:$A$5001,"&gt;="&amp;$C$7,BD!$A$3:$A$5001,"&lt;="&amp;$B201,BD!$Z$3:$Z$5001,"&lt;&gt;"))))</f>
        <v/>
      </c>
      <c r="S201" s="43" t="str">
        <f>IF(OR($B201="",$A201&gt;$B$9,S$175=""),"",IF(COUNTIFS(BD!$B$3:$B$5001,S$175,BD!$A$3:$A$5001,"&gt;="&amp;$C$7,BD!$A$3:$A$5001,"&lt;="&amp;$B201,BD!$Z$3:$Z$5001,"&lt;&gt;")=0,"",SUMIFS(BD!$Z$3:$Z$5001,BD!$B$3:$B$5001,S$175,BD!$A$3:$A$5001,_xlfn.MAXIFS(BD!$A$3:$A$5001,BD!$B$3:$B$5001,S$175,BD!$A$3:$A$5001,"&gt;="&amp;$C$7,BD!$A$3:$A$5001,"&lt;="&amp;$B201,BD!$Z$3:$Z$5001,"&lt;&gt;"))))</f>
        <v/>
      </c>
      <c r="T201" s="43" t="str">
        <f>IF(OR($B201="",$A201&gt;$B$9,T$175=""),"",IF(COUNTIFS(BD!$B$3:$B$5001,T$175,BD!$A$3:$A$5001,"&gt;="&amp;$C$7,BD!$A$3:$A$5001,"&lt;="&amp;$B201,BD!$Z$3:$Z$5001,"&lt;&gt;")=0,"",SUMIFS(BD!$Z$3:$Z$5001,BD!$B$3:$B$5001,T$175,BD!$A$3:$A$5001,_xlfn.MAXIFS(BD!$A$3:$A$5001,BD!$B$3:$B$5001,T$175,BD!$A$3:$A$5001,"&gt;="&amp;$C$7,BD!$A$3:$A$5001,"&lt;="&amp;$B201,BD!$Z$3:$Z$5001,"&lt;&gt;"))))</f>
        <v/>
      </c>
      <c r="U201" s="43" t="str">
        <f>IF(OR($B201="",$A201&gt;$B$9,U$175=""),"",IF(COUNTIFS(BD!$B$3:$B$5001,U$175,BD!$A$3:$A$5001,"&gt;="&amp;$C$7,BD!$A$3:$A$5001,"&lt;="&amp;$B201,BD!$Z$3:$Z$5001,"&lt;&gt;")=0,"",SUMIFS(BD!$Z$3:$Z$5001,BD!$B$3:$B$5001,U$175,BD!$A$3:$A$5001,_xlfn.MAXIFS(BD!$A$3:$A$5001,BD!$B$3:$B$5001,U$175,BD!$A$3:$A$5001,"&gt;="&amp;$C$7,BD!$A$3:$A$5001,"&lt;="&amp;$B201,BD!$Z$3:$Z$5001,"&lt;&gt;"))))</f>
        <v/>
      </c>
      <c r="V201" s="43" t="str">
        <f>IF(OR($B201="",$A201&gt;$B$9,V$175=""),"",IF(COUNTIFS(BD!$B$3:$B$5001,V$175,BD!$A$3:$A$5001,"&gt;="&amp;$C$7,BD!$A$3:$A$5001,"&lt;="&amp;$B201,BD!$Z$3:$Z$5001,"&lt;&gt;")=0,"",SUMIFS(BD!$Z$3:$Z$5001,BD!$B$3:$B$5001,V$175,BD!$A$3:$A$5001,_xlfn.MAXIFS(BD!$A$3:$A$5001,BD!$B$3:$B$5001,V$175,BD!$A$3:$A$5001,"&gt;="&amp;$C$7,BD!$A$3:$A$5001,"&lt;="&amp;$B201,BD!$Z$3:$Z$5001,"&lt;&gt;"))))</f>
        <v/>
      </c>
    </row>
    <row r="202">
      <c r="A202" s="38">
        <v>27</v>
      </c>
      <c r="B202" s="42">
        <f>$B$38</f>
        <v>46322</v>
      </c>
      <c r="C202" s="43" t="str">
        <f>IF(OR($B202="",$A202&gt;$B$9,C$175=""),"",IF(COUNTIFS(BD!$B$3:$B$5001,C$175,BD!$A$3:$A$5001,"&gt;="&amp;$C$7,BD!$A$3:$A$5001,"&lt;="&amp;$B202,BD!$Z$3:$Z$5001,"&lt;&gt;")=0,"",SUMIFS(BD!$Z$3:$Z$5001,BD!$B$3:$B$5001,C$175,BD!$A$3:$A$5001,_xlfn.MAXIFS(BD!$A$3:$A$5001,BD!$B$3:$B$5001,C$175,BD!$A$3:$A$5001,"&gt;="&amp;$C$7,BD!$A$3:$A$5001,"&lt;="&amp;$B202,BD!$Z$3:$Z$5001,"&lt;&gt;"))))</f>
        <v/>
      </c>
      <c r="D202" s="43" t="str">
        <f>IF(OR($B202="",$A202&gt;$B$9,D$175=""),"",IF(COUNTIFS(BD!$B$3:$B$5001,D$175,BD!$A$3:$A$5001,"&gt;="&amp;$C$7,BD!$A$3:$A$5001,"&lt;="&amp;$B202,BD!$Z$3:$Z$5001,"&lt;&gt;")=0,"",SUMIFS(BD!$Z$3:$Z$5001,BD!$B$3:$B$5001,D$175,BD!$A$3:$A$5001,_xlfn.MAXIFS(BD!$A$3:$A$5001,BD!$B$3:$B$5001,D$175,BD!$A$3:$A$5001,"&gt;="&amp;$C$7,BD!$A$3:$A$5001,"&lt;="&amp;$B202,BD!$Z$3:$Z$5001,"&lt;&gt;"))))</f>
        <v/>
      </c>
      <c r="E202" s="43" t="str">
        <f>IF(OR($B202="",$A202&gt;$B$9,E$175=""),"",IF(COUNTIFS(BD!$B$3:$B$5001,E$175,BD!$A$3:$A$5001,"&gt;="&amp;$C$7,BD!$A$3:$A$5001,"&lt;="&amp;$B202,BD!$Z$3:$Z$5001,"&lt;&gt;")=0,"",SUMIFS(BD!$Z$3:$Z$5001,BD!$B$3:$B$5001,E$175,BD!$A$3:$A$5001,_xlfn.MAXIFS(BD!$A$3:$A$5001,BD!$B$3:$B$5001,E$175,BD!$A$3:$A$5001,"&gt;="&amp;$C$7,BD!$A$3:$A$5001,"&lt;="&amp;$B202,BD!$Z$3:$Z$5001,"&lt;&gt;"))))</f>
        <v/>
      </c>
      <c r="F202" s="43" t="str">
        <f>IF(OR($B202="",$A202&gt;$B$9,F$175=""),"",IF(COUNTIFS(BD!$B$3:$B$5001,F$175,BD!$A$3:$A$5001,"&gt;="&amp;$C$7,BD!$A$3:$A$5001,"&lt;="&amp;$B202,BD!$Z$3:$Z$5001,"&lt;&gt;")=0,"",SUMIFS(BD!$Z$3:$Z$5001,BD!$B$3:$B$5001,F$175,BD!$A$3:$A$5001,_xlfn.MAXIFS(BD!$A$3:$A$5001,BD!$B$3:$B$5001,F$175,BD!$A$3:$A$5001,"&gt;="&amp;$C$7,BD!$A$3:$A$5001,"&lt;="&amp;$B202,BD!$Z$3:$Z$5001,"&lt;&gt;"))))</f>
        <v/>
      </c>
      <c r="G202" s="43" t="str">
        <f>IF(OR($B202="",$A202&gt;$B$9,G$175=""),"",IF(COUNTIFS(BD!$B$3:$B$5001,G$175,BD!$A$3:$A$5001,"&gt;="&amp;$C$7,BD!$A$3:$A$5001,"&lt;="&amp;$B202,BD!$Z$3:$Z$5001,"&lt;&gt;")=0,"",SUMIFS(BD!$Z$3:$Z$5001,BD!$B$3:$B$5001,G$175,BD!$A$3:$A$5001,_xlfn.MAXIFS(BD!$A$3:$A$5001,BD!$B$3:$B$5001,G$175,BD!$A$3:$A$5001,"&gt;="&amp;$C$7,BD!$A$3:$A$5001,"&lt;="&amp;$B202,BD!$Z$3:$Z$5001,"&lt;&gt;"))))</f>
        <v/>
      </c>
      <c r="H202" s="43" t="str">
        <f>IF(OR($B202="",$A202&gt;$B$9,H$175=""),"",IF(COUNTIFS(BD!$B$3:$B$5001,H$175,BD!$A$3:$A$5001,"&gt;="&amp;$C$7,BD!$A$3:$A$5001,"&lt;="&amp;$B202,BD!$Z$3:$Z$5001,"&lt;&gt;")=0,"",SUMIFS(BD!$Z$3:$Z$5001,BD!$B$3:$B$5001,H$175,BD!$A$3:$A$5001,_xlfn.MAXIFS(BD!$A$3:$A$5001,BD!$B$3:$B$5001,H$175,BD!$A$3:$A$5001,"&gt;="&amp;$C$7,BD!$A$3:$A$5001,"&lt;="&amp;$B202,BD!$Z$3:$Z$5001,"&lt;&gt;"))))</f>
        <v/>
      </c>
      <c r="I202" s="43" t="str">
        <f>IF(OR($B202="",$A202&gt;$B$9,I$175=""),"",IF(COUNTIFS(BD!$B$3:$B$5001,I$175,BD!$A$3:$A$5001,"&gt;="&amp;$C$7,BD!$A$3:$A$5001,"&lt;="&amp;$B202,BD!$Z$3:$Z$5001,"&lt;&gt;")=0,"",SUMIFS(BD!$Z$3:$Z$5001,BD!$B$3:$B$5001,I$175,BD!$A$3:$A$5001,_xlfn.MAXIFS(BD!$A$3:$A$5001,BD!$B$3:$B$5001,I$175,BD!$A$3:$A$5001,"&gt;="&amp;$C$7,BD!$A$3:$A$5001,"&lt;="&amp;$B202,BD!$Z$3:$Z$5001,"&lt;&gt;"))))</f>
        <v/>
      </c>
      <c r="J202" s="43" t="str">
        <f>IF(OR($B202="",$A202&gt;$B$9,J$175=""),"",IF(COUNTIFS(BD!$B$3:$B$5001,J$175,BD!$A$3:$A$5001,"&gt;="&amp;$C$7,BD!$A$3:$A$5001,"&lt;="&amp;$B202,BD!$Z$3:$Z$5001,"&lt;&gt;")=0,"",SUMIFS(BD!$Z$3:$Z$5001,BD!$B$3:$B$5001,J$175,BD!$A$3:$A$5001,_xlfn.MAXIFS(BD!$A$3:$A$5001,BD!$B$3:$B$5001,J$175,BD!$A$3:$A$5001,"&gt;="&amp;$C$7,BD!$A$3:$A$5001,"&lt;="&amp;$B202,BD!$Z$3:$Z$5001,"&lt;&gt;"))))</f>
        <v/>
      </c>
      <c r="K202" s="43" t="str">
        <f>IF(OR($B202="",$A202&gt;$B$9,K$175=""),"",IF(COUNTIFS(BD!$B$3:$B$5001,K$175,BD!$A$3:$A$5001,"&gt;="&amp;$C$7,BD!$A$3:$A$5001,"&lt;="&amp;$B202,BD!$Z$3:$Z$5001,"&lt;&gt;")=0,"",SUMIFS(BD!$Z$3:$Z$5001,BD!$B$3:$B$5001,K$175,BD!$A$3:$A$5001,_xlfn.MAXIFS(BD!$A$3:$A$5001,BD!$B$3:$B$5001,K$175,BD!$A$3:$A$5001,"&gt;="&amp;$C$7,BD!$A$3:$A$5001,"&lt;="&amp;$B202,BD!$Z$3:$Z$5001,"&lt;&gt;"))))</f>
        <v/>
      </c>
      <c r="L202" s="43" t="str">
        <f>IF(OR($B202="",$A202&gt;$B$9,L$175=""),"",IF(COUNTIFS(BD!$B$3:$B$5001,L$175,BD!$A$3:$A$5001,"&gt;="&amp;$C$7,BD!$A$3:$A$5001,"&lt;="&amp;$B202,BD!$Z$3:$Z$5001,"&lt;&gt;")=0,"",SUMIFS(BD!$Z$3:$Z$5001,BD!$B$3:$B$5001,L$175,BD!$A$3:$A$5001,_xlfn.MAXIFS(BD!$A$3:$A$5001,BD!$B$3:$B$5001,L$175,BD!$A$3:$A$5001,"&gt;="&amp;$C$7,BD!$A$3:$A$5001,"&lt;="&amp;$B202,BD!$Z$3:$Z$5001,"&lt;&gt;"))))</f>
        <v/>
      </c>
      <c r="M202" s="43" t="str">
        <f>IF(OR($B202="",$A202&gt;$B$9,M$175=""),"",IF(COUNTIFS(BD!$B$3:$B$5001,M$175,BD!$A$3:$A$5001,"&gt;="&amp;$C$7,BD!$A$3:$A$5001,"&lt;="&amp;$B202,BD!$Z$3:$Z$5001,"&lt;&gt;")=0,"",SUMIFS(BD!$Z$3:$Z$5001,BD!$B$3:$B$5001,M$175,BD!$A$3:$A$5001,_xlfn.MAXIFS(BD!$A$3:$A$5001,BD!$B$3:$B$5001,M$175,BD!$A$3:$A$5001,"&gt;="&amp;$C$7,BD!$A$3:$A$5001,"&lt;="&amp;$B202,BD!$Z$3:$Z$5001,"&lt;&gt;"))))</f>
        <v/>
      </c>
      <c r="N202" s="43" t="str">
        <f>IF(OR($B202="",$A202&gt;$B$9,N$175=""),"",IF(COUNTIFS(BD!$B$3:$B$5001,N$175,BD!$A$3:$A$5001,"&gt;="&amp;$C$7,BD!$A$3:$A$5001,"&lt;="&amp;$B202,BD!$Z$3:$Z$5001,"&lt;&gt;")=0,"",SUMIFS(BD!$Z$3:$Z$5001,BD!$B$3:$B$5001,N$175,BD!$A$3:$A$5001,_xlfn.MAXIFS(BD!$A$3:$A$5001,BD!$B$3:$B$5001,N$175,BD!$A$3:$A$5001,"&gt;="&amp;$C$7,BD!$A$3:$A$5001,"&lt;="&amp;$B202,BD!$Z$3:$Z$5001,"&lt;&gt;"))))</f>
        <v/>
      </c>
      <c r="O202" s="43" t="str">
        <f>IF(OR($B202="",$A202&gt;$B$9,O$175=""),"",IF(COUNTIFS(BD!$B$3:$B$5001,O$175,BD!$A$3:$A$5001,"&gt;="&amp;$C$7,BD!$A$3:$A$5001,"&lt;="&amp;$B202,BD!$Z$3:$Z$5001,"&lt;&gt;")=0,"",SUMIFS(BD!$Z$3:$Z$5001,BD!$B$3:$B$5001,O$175,BD!$A$3:$A$5001,_xlfn.MAXIFS(BD!$A$3:$A$5001,BD!$B$3:$B$5001,O$175,BD!$A$3:$A$5001,"&gt;="&amp;$C$7,BD!$A$3:$A$5001,"&lt;="&amp;$B202,BD!$Z$3:$Z$5001,"&lt;&gt;"))))</f>
        <v/>
      </c>
      <c r="P202" s="43" t="str">
        <f>IF(OR($B202="",$A202&gt;$B$9,P$175=""),"",IF(COUNTIFS(BD!$B$3:$B$5001,P$175,BD!$A$3:$A$5001,"&gt;="&amp;$C$7,BD!$A$3:$A$5001,"&lt;="&amp;$B202,BD!$Z$3:$Z$5001,"&lt;&gt;")=0,"",SUMIFS(BD!$Z$3:$Z$5001,BD!$B$3:$B$5001,P$175,BD!$A$3:$A$5001,_xlfn.MAXIFS(BD!$A$3:$A$5001,BD!$B$3:$B$5001,P$175,BD!$A$3:$A$5001,"&gt;="&amp;$C$7,BD!$A$3:$A$5001,"&lt;="&amp;$B202,BD!$Z$3:$Z$5001,"&lt;&gt;"))))</f>
        <v/>
      </c>
      <c r="Q202" s="43" t="str">
        <f>IF(OR($B202="",$A202&gt;$B$9,Q$175=""),"",IF(COUNTIFS(BD!$B$3:$B$5001,Q$175,BD!$A$3:$A$5001,"&gt;="&amp;$C$7,BD!$A$3:$A$5001,"&lt;="&amp;$B202,BD!$Z$3:$Z$5001,"&lt;&gt;")=0,"",SUMIFS(BD!$Z$3:$Z$5001,BD!$B$3:$B$5001,Q$175,BD!$A$3:$A$5001,_xlfn.MAXIFS(BD!$A$3:$A$5001,BD!$B$3:$B$5001,Q$175,BD!$A$3:$A$5001,"&gt;="&amp;$C$7,BD!$A$3:$A$5001,"&lt;="&amp;$B202,BD!$Z$3:$Z$5001,"&lt;&gt;"))))</f>
        <v/>
      </c>
      <c r="R202" s="43" t="str">
        <f>IF(OR($B202="",$A202&gt;$B$9,R$175=""),"",IF(COUNTIFS(BD!$B$3:$B$5001,R$175,BD!$A$3:$A$5001,"&gt;="&amp;$C$7,BD!$A$3:$A$5001,"&lt;="&amp;$B202,BD!$Z$3:$Z$5001,"&lt;&gt;")=0,"",SUMIFS(BD!$Z$3:$Z$5001,BD!$B$3:$B$5001,R$175,BD!$A$3:$A$5001,_xlfn.MAXIFS(BD!$A$3:$A$5001,BD!$B$3:$B$5001,R$175,BD!$A$3:$A$5001,"&gt;="&amp;$C$7,BD!$A$3:$A$5001,"&lt;="&amp;$B202,BD!$Z$3:$Z$5001,"&lt;&gt;"))))</f>
        <v/>
      </c>
      <c r="S202" s="43" t="str">
        <f>IF(OR($B202="",$A202&gt;$B$9,S$175=""),"",IF(COUNTIFS(BD!$B$3:$B$5001,S$175,BD!$A$3:$A$5001,"&gt;="&amp;$C$7,BD!$A$3:$A$5001,"&lt;="&amp;$B202,BD!$Z$3:$Z$5001,"&lt;&gt;")=0,"",SUMIFS(BD!$Z$3:$Z$5001,BD!$B$3:$B$5001,S$175,BD!$A$3:$A$5001,_xlfn.MAXIFS(BD!$A$3:$A$5001,BD!$B$3:$B$5001,S$175,BD!$A$3:$A$5001,"&gt;="&amp;$C$7,BD!$A$3:$A$5001,"&lt;="&amp;$B202,BD!$Z$3:$Z$5001,"&lt;&gt;"))))</f>
        <v/>
      </c>
      <c r="T202" s="43" t="str">
        <f>IF(OR($B202="",$A202&gt;$B$9,T$175=""),"",IF(COUNTIFS(BD!$B$3:$B$5001,T$175,BD!$A$3:$A$5001,"&gt;="&amp;$C$7,BD!$A$3:$A$5001,"&lt;="&amp;$B202,BD!$Z$3:$Z$5001,"&lt;&gt;")=0,"",SUMIFS(BD!$Z$3:$Z$5001,BD!$B$3:$B$5001,T$175,BD!$A$3:$A$5001,_xlfn.MAXIFS(BD!$A$3:$A$5001,BD!$B$3:$B$5001,T$175,BD!$A$3:$A$5001,"&gt;="&amp;$C$7,BD!$A$3:$A$5001,"&lt;="&amp;$B202,BD!$Z$3:$Z$5001,"&lt;&gt;"))))</f>
        <v/>
      </c>
      <c r="U202" s="43" t="str">
        <f>IF(OR($B202="",$A202&gt;$B$9,U$175=""),"",IF(COUNTIFS(BD!$B$3:$B$5001,U$175,BD!$A$3:$A$5001,"&gt;="&amp;$C$7,BD!$A$3:$A$5001,"&lt;="&amp;$B202,BD!$Z$3:$Z$5001,"&lt;&gt;")=0,"",SUMIFS(BD!$Z$3:$Z$5001,BD!$B$3:$B$5001,U$175,BD!$A$3:$A$5001,_xlfn.MAXIFS(BD!$A$3:$A$5001,BD!$B$3:$B$5001,U$175,BD!$A$3:$A$5001,"&gt;="&amp;$C$7,BD!$A$3:$A$5001,"&lt;="&amp;$B202,BD!$Z$3:$Z$5001,"&lt;&gt;"))))</f>
        <v/>
      </c>
      <c r="V202" s="43" t="str">
        <f>IF(OR($B202="",$A202&gt;$B$9,V$175=""),"",IF(COUNTIFS(BD!$B$3:$B$5001,V$175,BD!$A$3:$A$5001,"&gt;="&amp;$C$7,BD!$A$3:$A$5001,"&lt;="&amp;$B202,BD!$Z$3:$Z$5001,"&lt;&gt;")=0,"",SUMIFS(BD!$Z$3:$Z$5001,BD!$B$3:$B$5001,V$175,BD!$A$3:$A$5001,_xlfn.MAXIFS(BD!$A$3:$A$5001,BD!$B$3:$B$5001,V$175,BD!$A$3:$A$5001,"&gt;="&amp;$C$7,BD!$A$3:$A$5001,"&lt;="&amp;$B202,BD!$Z$3:$Z$5001,"&lt;&gt;"))))</f>
        <v/>
      </c>
    </row>
    <row r="203">
      <c r="A203" s="38">
        <v>28</v>
      </c>
      <c r="B203" s="42">
        <f>$B$39</f>
        <v>46323</v>
      </c>
      <c r="C203" s="43" t="str">
        <f>IF(OR($B203="",$A203&gt;$B$9,C$175=""),"",IF(COUNTIFS(BD!$B$3:$B$5001,C$175,BD!$A$3:$A$5001,"&gt;="&amp;$C$7,BD!$A$3:$A$5001,"&lt;="&amp;$B203,BD!$Z$3:$Z$5001,"&lt;&gt;")=0,"",SUMIFS(BD!$Z$3:$Z$5001,BD!$B$3:$B$5001,C$175,BD!$A$3:$A$5001,_xlfn.MAXIFS(BD!$A$3:$A$5001,BD!$B$3:$B$5001,C$175,BD!$A$3:$A$5001,"&gt;="&amp;$C$7,BD!$A$3:$A$5001,"&lt;="&amp;$B203,BD!$Z$3:$Z$5001,"&lt;&gt;"))))</f>
        <v/>
      </c>
      <c r="D203" s="43" t="str">
        <f>IF(OR($B203="",$A203&gt;$B$9,D$175=""),"",IF(COUNTIFS(BD!$B$3:$B$5001,D$175,BD!$A$3:$A$5001,"&gt;="&amp;$C$7,BD!$A$3:$A$5001,"&lt;="&amp;$B203,BD!$Z$3:$Z$5001,"&lt;&gt;")=0,"",SUMIFS(BD!$Z$3:$Z$5001,BD!$B$3:$B$5001,D$175,BD!$A$3:$A$5001,_xlfn.MAXIFS(BD!$A$3:$A$5001,BD!$B$3:$B$5001,D$175,BD!$A$3:$A$5001,"&gt;="&amp;$C$7,BD!$A$3:$A$5001,"&lt;="&amp;$B203,BD!$Z$3:$Z$5001,"&lt;&gt;"))))</f>
        <v/>
      </c>
      <c r="E203" s="43" t="str">
        <f>IF(OR($B203="",$A203&gt;$B$9,E$175=""),"",IF(COUNTIFS(BD!$B$3:$B$5001,E$175,BD!$A$3:$A$5001,"&gt;="&amp;$C$7,BD!$A$3:$A$5001,"&lt;="&amp;$B203,BD!$Z$3:$Z$5001,"&lt;&gt;")=0,"",SUMIFS(BD!$Z$3:$Z$5001,BD!$B$3:$B$5001,E$175,BD!$A$3:$A$5001,_xlfn.MAXIFS(BD!$A$3:$A$5001,BD!$B$3:$B$5001,E$175,BD!$A$3:$A$5001,"&gt;="&amp;$C$7,BD!$A$3:$A$5001,"&lt;="&amp;$B203,BD!$Z$3:$Z$5001,"&lt;&gt;"))))</f>
        <v/>
      </c>
      <c r="F203" s="43" t="str">
        <f>IF(OR($B203="",$A203&gt;$B$9,F$175=""),"",IF(COUNTIFS(BD!$B$3:$B$5001,F$175,BD!$A$3:$A$5001,"&gt;="&amp;$C$7,BD!$A$3:$A$5001,"&lt;="&amp;$B203,BD!$Z$3:$Z$5001,"&lt;&gt;")=0,"",SUMIFS(BD!$Z$3:$Z$5001,BD!$B$3:$B$5001,F$175,BD!$A$3:$A$5001,_xlfn.MAXIFS(BD!$A$3:$A$5001,BD!$B$3:$B$5001,F$175,BD!$A$3:$A$5001,"&gt;="&amp;$C$7,BD!$A$3:$A$5001,"&lt;="&amp;$B203,BD!$Z$3:$Z$5001,"&lt;&gt;"))))</f>
        <v/>
      </c>
      <c r="G203" s="43" t="str">
        <f>IF(OR($B203="",$A203&gt;$B$9,G$175=""),"",IF(COUNTIFS(BD!$B$3:$B$5001,G$175,BD!$A$3:$A$5001,"&gt;="&amp;$C$7,BD!$A$3:$A$5001,"&lt;="&amp;$B203,BD!$Z$3:$Z$5001,"&lt;&gt;")=0,"",SUMIFS(BD!$Z$3:$Z$5001,BD!$B$3:$B$5001,G$175,BD!$A$3:$A$5001,_xlfn.MAXIFS(BD!$A$3:$A$5001,BD!$B$3:$B$5001,G$175,BD!$A$3:$A$5001,"&gt;="&amp;$C$7,BD!$A$3:$A$5001,"&lt;="&amp;$B203,BD!$Z$3:$Z$5001,"&lt;&gt;"))))</f>
        <v/>
      </c>
      <c r="H203" s="43" t="str">
        <f>IF(OR($B203="",$A203&gt;$B$9,H$175=""),"",IF(COUNTIFS(BD!$B$3:$B$5001,H$175,BD!$A$3:$A$5001,"&gt;="&amp;$C$7,BD!$A$3:$A$5001,"&lt;="&amp;$B203,BD!$Z$3:$Z$5001,"&lt;&gt;")=0,"",SUMIFS(BD!$Z$3:$Z$5001,BD!$B$3:$B$5001,H$175,BD!$A$3:$A$5001,_xlfn.MAXIFS(BD!$A$3:$A$5001,BD!$B$3:$B$5001,H$175,BD!$A$3:$A$5001,"&gt;="&amp;$C$7,BD!$A$3:$A$5001,"&lt;="&amp;$B203,BD!$Z$3:$Z$5001,"&lt;&gt;"))))</f>
        <v/>
      </c>
      <c r="I203" s="43" t="str">
        <f>IF(OR($B203="",$A203&gt;$B$9,I$175=""),"",IF(COUNTIFS(BD!$B$3:$B$5001,I$175,BD!$A$3:$A$5001,"&gt;="&amp;$C$7,BD!$A$3:$A$5001,"&lt;="&amp;$B203,BD!$Z$3:$Z$5001,"&lt;&gt;")=0,"",SUMIFS(BD!$Z$3:$Z$5001,BD!$B$3:$B$5001,I$175,BD!$A$3:$A$5001,_xlfn.MAXIFS(BD!$A$3:$A$5001,BD!$B$3:$B$5001,I$175,BD!$A$3:$A$5001,"&gt;="&amp;$C$7,BD!$A$3:$A$5001,"&lt;="&amp;$B203,BD!$Z$3:$Z$5001,"&lt;&gt;"))))</f>
        <v/>
      </c>
      <c r="J203" s="43" t="str">
        <f>IF(OR($B203="",$A203&gt;$B$9,J$175=""),"",IF(COUNTIFS(BD!$B$3:$B$5001,J$175,BD!$A$3:$A$5001,"&gt;="&amp;$C$7,BD!$A$3:$A$5001,"&lt;="&amp;$B203,BD!$Z$3:$Z$5001,"&lt;&gt;")=0,"",SUMIFS(BD!$Z$3:$Z$5001,BD!$B$3:$B$5001,J$175,BD!$A$3:$A$5001,_xlfn.MAXIFS(BD!$A$3:$A$5001,BD!$B$3:$B$5001,J$175,BD!$A$3:$A$5001,"&gt;="&amp;$C$7,BD!$A$3:$A$5001,"&lt;="&amp;$B203,BD!$Z$3:$Z$5001,"&lt;&gt;"))))</f>
        <v/>
      </c>
      <c r="K203" s="43" t="str">
        <f>IF(OR($B203="",$A203&gt;$B$9,K$175=""),"",IF(COUNTIFS(BD!$B$3:$B$5001,K$175,BD!$A$3:$A$5001,"&gt;="&amp;$C$7,BD!$A$3:$A$5001,"&lt;="&amp;$B203,BD!$Z$3:$Z$5001,"&lt;&gt;")=0,"",SUMIFS(BD!$Z$3:$Z$5001,BD!$B$3:$B$5001,K$175,BD!$A$3:$A$5001,_xlfn.MAXIFS(BD!$A$3:$A$5001,BD!$B$3:$B$5001,K$175,BD!$A$3:$A$5001,"&gt;="&amp;$C$7,BD!$A$3:$A$5001,"&lt;="&amp;$B203,BD!$Z$3:$Z$5001,"&lt;&gt;"))))</f>
        <v/>
      </c>
      <c r="L203" s="43" t="str">
        <f>IF(OR($B203="",$A203&gt;$B$9,L$175=""),"",IF(COUNTIFS(BD!$B$3:$B$5001,L$175,BD!$A$3:$A$5001,"&gt;="&amp;$C$7,BD!$A$3:$A$5001,"&lt;="&amp;$B203,BD!$Z$3:$Z$5001,"&lt;&gt;")=0,"",SUMIFS(BD!$Z$3:$Z$5001,BD!$B$3:$B$5001,L$175,BD!$A$3:$A$5001,_xlfn.MAXIFS(BD!$A$3:$A$5001,BD!$B$3:$B$5001,L$175,BD!$A$3:$A$5001,"&gt;="&amp;$C$7,BD!$A$3:$A$5001,"&lt;="&amp;$B203,BD!$Z$3:$Z$5001,"&lt;&gt;"))))</f>
        <v/>
      </c>
      <c r="M203" s="43" t="str">
        <f>IF(OR($B203="",$A203&gt;$B$9,M$175=""),"",IF(COUNTIFS(BD!$B$3:$B$5001,M$175,BD!$A$3:$A$5001,"&gt;="&amp;$C$7,BD!$A$3:$A$5001,"&lt;="&amp;$B203,BD!$Z$3:$Z$5001,"&lt;&gt;")=0,"",SUMIFS(BD!$Z$3:$Z$5001,BD!$B$3:$B$5001,M$175,BD!$A$3:$A$5001,_xlfn.MAXIFS(BD!$A$3:$A$5001,BD!$B$3:$B$5001,M$175,BD!$A$3:$A$5001,"&gt;="&amp;$C$7,BD!$A$3:$A$5001,"&lt;="&amp;$B203,BD!$Z$3:$Z$5001,"&lt;&gt;"))))</f>
        <v/>
      </c>
      <c r="N203" s="43" t="str">
        <f>IF(OR($B203="",$A203&gt;$B$9,N$175=""),"",IF(COUNTIFS(BD!$B$3:$B$5001,N$175,BD!$A$3:$A$5001,"&gt;="&amp;$C$7,BD!$A$3:$A$5001,"&lt;="&amp;$B203,BD!$Z$3:$Z$5001,"&lt;&gt;")=0,"",SUMIFS(BD!$Z$3:$Z$5001,BD!$B$3:$B$5001,N$175,BD!$A$3:$A$5001,_xlfn.MAXIFS(BD!$A$3:$A$5001,BD!$B$3:$B$5001,N$175,BD!$A$3:$A$5001,"&gt;="&amp;$C$7,BD!$A$3:$A$5001,"&lt;="&amp;$B203,BD!$Z$3:$Z$5001,"&lt;&gt;"))))</f>
        <v/>
      </c>
      <c r="O203" s="43" t="str">
        <f>IF(OR($B203="",$A203&gt;$B$9,O$175=""),"",IF(COUNTIFS(BD!$B$3:$B$5001,O$175,BD!$A$3:$A$5001,"&gt;="&amp;$C$7,BD!$A$3:$A$5001,"&lt;="&amp;$B203,BD!$Z$3:$Z$5001,"&lt;&gt;")=0,"",SUMIFS(BD!$Z$3:$Z$5001,BD!$B$3:$B$5001,O$175,BD!$A$3:$A$5001,_xlfn.MAXIFS(BD!$A$3:$A$5001,BD!$B$3:$B$5001,O$175,BD!$A$3:$A$5001,"&gt;="&amp;$C$7,BD!$A$3:$A$5001,"&lt;="&amp;$B203,BD!$Z$3:$Z$5001,"&lt;&gt;"))))</f>
        <v/>
      </c>
      <c r="P203" s="43" t="str">
        <f>IF(OR($B203="",$A203&gt;$B$9,P$175=""),"",IF(COUNTIFS(BD!$B$3:$B$5001,P$175,BD!$A$3:$A$5001,"&gt;="&amp;$C$7,BD!$A$3:$A$5001,"&lt;="&amp;$B203,BD!$Z$3:$Z$5001,"&lt;&gt;")=0,"",SUMIFS(BD!$Z$3:$Z$5001,BD!$B$3:$B$5001,P$175,BD!$A$3:$A$5001,_xlfn.MAXIFS(BD!$A$3:$A$5001,BD!$B$3:$B$5001,P$175,BD!$A$3:$A$5001,"&gt;="&amp;$C$7,BD!$A$3:$A$5001,"&lt;="&amp;$B203,BD!$Z$3:$Z$5001,"&lt;&gt;"))))</f>
        <v/>
      </c>
      <c r="Q203" s="43" t="str">
        <f>IF(OR($B203="",$A203&gt;$B$9,Q$175=""),"",IF(COUNTIFS(BD!$B$3:$B$5001,Q$175,BD!$A$3:$A$5001,"&gt;="&amp;$C$7,BD!$A$3:$A$5001,"&lt;="&amp;$B203,BD!$Z$3:$Z$5001,"&lt;&gt;")=0,"",SUMIFS(BD!$Z$3:$Z$5001,BD!$B$3:$B$5001,Q$175,BD!$A$3:$A$5001,_xlfn.MAXIFS(BD!$A$3:$A$5001,BD!$B$3:$B$5001,Q$175,BD!$A$3:$A$5001,"&gt;="&amp;$C$7,BD!$A$3:$A$5001,"&lt;="&amp;$B203,BD!$Z$3:$Z$5001,"&lt;&gt;"))))</f>
        <v/>
      </c>
      <c r="R203" s="43" t="str">
        <f>IF(OR($B203="",$A203&gt;$B$9,R$175=""),"",IF(COUNTIFS(BD!$B$3:$B$5001,R$175,BD!$A$3:$A$5001,"&gt;="&amp;$C$7,BD!$A$3:$A$5001,"&lt;="&amp;$B203,BD!$Z$3:$Z$5001,"&lt;&gt;")=0,"",SUMIFS(BD!$Z$3:$Z$5001,BD!$B$3:$B$5001,R$175,BD!$A$3:$A$5001,_xlfn.MAXIFS(BD!$A$3:$A$5001,BD!$B$3:$B$5001,R$175,BD!$A$3:$A$5001,"&gt;="&amp;$C$7,BD!$A$3:$A$5001,"&lt;="&amp;$B203,BD!$Z$3:$Z$5001,"&lt;&gt;"))))</f>
        <v/>
      </c>
      <c r="S203" s="43" t="str">
        <f>IF(OR($B203="",$A203&gt;$B$9,S$175=""),"",IF(COUNTIFS(BD!$B$3:$B$5001,S$175,BD!$A$3:$A$5001,"&gt;="&amp;$C$7,BD!$A$3:$A$5001,"&lt;="&amp;$B203,BD!$Z$3:$Z$5001,"&lt;&gt;")=0,"",SUMIFS(BD!$Z$3:$Z$5001,BD!$B$3:$B$5001,S$175,BD!$A$3:$A$5001,_xlfn.MAXIFS(BD!$A$3:$A$5001,BD!$B$3:$B$5001,S$175,BD!$A$3:$A$5001,"&gt;="&amp;$C$7,BD!$A$3:$A$5001,"&lt;="&amp;$B203,BD!$Z$3:$Z$5001,"&lt;&gt;"))))</f>
        <v/>
      </c>
      <c r="T203" s="43" t="str">
        <f>IF(OR($B203="",$A203&gt;$B$9,T$175=""),"",IF(COUNTIFS(BD!$B$3:$B$5001,T$175,BD!$A$3:$A$5001,"&gt;="&amp;$C$7,BD!$A$3:$A$5001,"&lt;="&amp;$B203,BD!$Z$3:$Z$5001,"&lt;&gt;")=0,"",SUMIFS(BD!$Z$3:$Z$5001,BD!$B$3:$B$5001,T$175,BD!$A$3:$A$5001,_xlfn.MAXIFS(BD!$A$3:$A$5001,BD!$B$3:$B$5001,T$175,BD!$A$3:$A$5001,"&gt;="&amp;$C$7,BD!$A$3:$A$5001,"&lt;="&amp;$B203,BD!$Z$3:$Z$5001,"&lt;&gt;"))))</f>
        <v/>
      </c>
      <c r="U203" s="43" t="str">
        <f>IF(OR($B203="",$A203&gt;$B$9,U$175=""),"",IF(COUNTIFS(BD!$B$3:$B$5001,U$175,BD!$A$3:$A$5001,"&gt;="&amp;$C$7,BD!$A$3:$A$5001,"&lt;="&amp;$B203,BD!$Z$3:$Z$5001,"&lt;&gt;")=0,"",SUMIFS(BD!$Z$3:$Z$5001,BD!$B$3:$B$5001,U$175,BD!$A$3:$A$5001,_xlfn.MAXIFS(BD!$A$3:$A$5001,BD!$B$3:$B$5001,U$175,BD!$A$3:$A$5001,"&gt;="&amp;$C$7,BD!$A$3:$A$5001,"&lt;="&amp;$B203,BD!$Z$3:$Z$5001,"&lt;&gt;"))))</f>
        <v/>
      </c>
      <c r="V203" s="43" t="str">
        <f>IF(OR($B203="",$A203&gt;$B$9,V$175=""),"",IF(COUNTIFS(BD!$B$3:$B$5001,V$175,BD!$A$3:$A$5001,"&gt;="&amp;$C$7,BD!$A$3:$A$5001,"&lt;="&amp;$B203,BD!$Z$3:$Z$5001,"&lt;&gt;")=0,"",SUMIFS(BD!$Z$3:$Z$5001,BD!$B$3:$B$5001,V$175,BD!$A$3:$A$5001,_xlfn.MAXIFS(BD!$A$3:$A$5001,BD!$B$3:$B$5001,V$175,BD!$A$3:$A$5001,"&gt;="&amp;$C$7,BD!$A$3:$A$5001,"&lt;="&amp;$B203,BD!$Z$3:$Z$5001,"&lt;&gt;"))))</f>
        <v/>
      </c>
    </row>
    <row r="204">
      <c r="A204" s="38">
        <v>29</v>
      </c>
      <c r="B204" s="42">
        <f>$B$40</f>
        <v>46324</v>
      </c>
      <c r="C204" s="43" t="str">
        <f>IF(OR($B204="",$A204&gt;$B$9,C$175=""),"",IF(COUNTIFS(BD!$B$3:$B$5001,C$175,BD!$A$3:$A$5001,"&gt;="&amp;$C$7,BD!$A$3:$A$5001,"&lt;="&amp;$B204,BD!$Z$3:$Z$5001,"&lt;&gt;")=0,"",SUMIFS(BD!$Z$3:$Z$5001,BD!$B$3:$B$5001,C$175,BD!$A$3:$A$5001,_xlfn.MAXIFS(BD!$A$3:$A$5001,BD!$B$3:$B$5001,C$175,BD!$A$3:$A$5001,"&gt;="&amp;$C$7,BD!$A$3:$A$5001,"&lt;="&amp;$B204,BD!$Z$3:$Z$5001,"&lt;&gt;"))))</f>
        <v/>
      </c>
      <c r="D204" s="43" t="str">
        <f>IF(OR($B204="",$A204&gt;$B$9,D$175=""),"",IF(COUNTIFS(BD!$B$3:$B$5001,D$175,BD!$A$3:$A$5001,"&gt;="&amp;$C$7,BD!$A$3:$A$5001,"&lt;="&amp;$B204,BD!$Z$3:$Z$5001,"&lt;&gt;")=0,"",SUMIFS(BD!$Z$3:$Z$5001,BD!$B$3:$B$5001,D$175,BD!$A$3:$A$5001,_xlfn.MAXIFS(BD!$A$3:$A$5001,BD!$B$3:$B$5001,D$175,BD!$A$3:$A$5001,"&gt;="&amp;$C$7,BD!$A$3:$A$5001,"&lt;="&amp;$B204,BD!$Z$3:$Z$5001,"&lt;&gt;"))))</f>
        <v/>
      </c>
      <c r="E204" s="43" t="str">
        <f>IF(OR($B204="",$A204&gt;$B$9,E$175=""),"",IF(COUNTIFS(BD!$B$3:$B$5001,E$175,BD!$A$3:$A$5001,"&gt;="&amp;$C$7,BD!$A$3:$A$5001,"&lt;="&amp;$B204,BD!$Z$3:$Z$5001,"&lt;&gt;")=0,"",SUMIFS(BD!$Z$3:$Z$5001,BD!$B$3:$B$5001,E$175,BD!$A$3:$A$5001,_xlfn.MAXIFS(BD!$A$3:$A$5001,BD!$B$3:$B$5001,E$175,BD!$A$3:$A$5001,"&gt;="&amp;$C$7,BD!$A$3:$A$5001,"&lt;="&amp;$B204,BD!$Z$3:$Z$5001,"&lt;&gt;"))))</f>
        <v/>
      </c>
      <c r="F204" s="43" t="str">
        <f>IF(OR($B204="",$A204&gt;$B$9,F$175=""),"",IF(COUNTIFS(BD!$B$3:$B$5001,F$175,BD!$A$3:$A$5001,"&gt;="&amp;$C$7,BD!$A$3:$A$5001,"&lt;="&amp;$B204,BD!$Z$3:$Z$5001,"&lt;&gt;")=0,"",SUMIFS(BD!$Z$3:$Z$5001,BD!$B$3:$B$5001,F$175,BD!$A$3:$A$5001,_xlfn.MAXIFS(BD!$A$3:$A$5001,BD!$B$3:$B$5001,F$175,BD!$A$3:$A$5001,"&gt;="&amp;$C$7,BD!$A$3:$A$5001,"&lt;="&amp;$B204,BD!$Z$3:$Z$5001,"&lt;&gt;"))))</f>
        <v/>
      </c>
      <c r="G204" s="43" t="str">
        <f>IF(OR($B204="",$A204&gt;$B$9,G$175=""),"",IF(COUNTIFS(BD!$B$3:$B$5001,G$175,BD!$A$3:$A$5001,"&gt;="&amp;$C$7,BD!$A$3:$A$5001,"&lt;="&amp;$B204,BD!$Z$3:$Z$5001,"&lt;&gt;")=0,"",SUMIFS(BD!$Z$3:$Z$5001,BD!$B$3:$B$5001,G$175,BD!$A$3:$A$5001,_xlfn.MAXIFS(BD!$A$3:$A$5001,BD!$B$3:$B$5001,G$175,BD!$A$3:$A$5001,"&gt;="&amp;$C$7,BD!$A$3:$A$5001,"&lt;="&amp;$B204,BD!$Z$3:$Z$5001,"&lt;&gt;"))))</f>
        <v/>
      </c>
      <c r="H204" s="43" t="str">
        <f>IF(OR($B204="",$A204&gt;$B$9,H$175=""),"",IF(COUNTIFS(BD!$B$3:$B$5001,H$175,BD!$A$3:$A$5001,"&gt;="&amp;$C$7,BD!$A$3:$A$5001,"&lt;="&amp;$B204,BD!$Z$3:$Z$5001,"&lt;&gt;")=0,"",SUMIFS(BD!$Z$3:$Z$5001,BD!$B$3:$B$5001,H$175,BD!$A$3:$A$5001,_xlfn.MAXIFS(BD!$A$3:$A$5001,BD!$B$3:$B$5001,H$175,BD!$A$3:$A$5001,"&gt;="&amp;$C$7,BD!$A$3:$A$5001,"&lt;="&amp;$B204,BD!$Z$3:$Z$5001,"&lt;&gt;"))))</f>
        <v/>
      </c>
      <c r="I204" s="43" t="str">
        <f>IF(OR($B204="",$A204&gt;$B$9,I$175=""),"",IF(COUNTIFS(BD!$B$3:$B$5001,I$175,BD!$A$3:$A$5001,"&gt;="&amp;$C$7,BD!$A$3:$A$5001,"&lt;="&amp;$B204,BD!$Z$3:$Z$5001,"&lt;&gt;")=0,"",SUMIFS(BD!$Z$3:$Z$5001,BD!$B$3:$B$5001,I$175,BD!$A$3:$A$5001,_xlfn.MAXIFS(BD!$A$3:$A$5001,BD!$B$3:$B$5001,I$175,BD!$A$3:$A$5001,"&gt;="&amp;$C$7,BD!$A$3:$A$5001,"&lt;="&amp;$B204,BD!$Z$3:$Z$5001,"&lt;&gt;"))))</f>
        <v/>
      </c>
      <c r="J204" s="43" t="str">
        <f>IF(OR($B204="",$A204&gt;$B$9,J$175=""),"",IF(COUNTIFS(BD!$B$3:$B$5001,J$175,BD!$A$3:$A$5001,"&gt;="&amp;$C$7,BD!$A$3:$A$5001,"&lt;="&amp;$B204,BD!$Z$3:$Z$5001,"&lt;&gt;")=0,"",SUMIFS(BD!$Z$3:$Z$5001,BD!$B$3:$B$5001,J$175,BD!$A$3:$A$5001,_xlfn.MAXIFS(BD!$A$3:$A$5001,BD!$B$3:$B$5001,J$175,BD!$A$3:$A$5001,"&gt;="&amp;$C$7,BD!$A$3:$A$5001,"&lt;="&amp;$B204,BD!$Z$3:$Z$5001,"&lt;&gt;"))))</f>
        <v/>
      </c>
      <c r="K204" s="43" t="str">
        <f>IF(OR($B204="",$A204&gt;$B$9,K$175=""),"",IF(COUNTIFS(BD!$B$3:$B$5001,K$175,BD!$A$3:$A$5001,"&gt;="&amp;$C$7,BD!$A$3:$A$5001,"&lt;="&amp;$B204,BD!$Z$3:$Z$5001,"&lt;&gt;")=0,"",SUMIFS(BD!$Z$3:$Z$5001,BD!$B$3:$B$5001,K$175,BD!$A$3:$A$5001,_xlfn.MAXIFS(BD!$A$3:$A$5001,BD!$B$3:$B$5001,K$175,BD!$A$3:$A$5001,"&gt;="&amp;$C$7,BD!$A$3:$A$5001,"&lt;="&amp;$B204,BD!$Z$3:$Z$5001,"&lt;&gt;"))))</f>
        <v/>
      </c>
      <c r="L204" s="43" t="str">
        <f>IF(OR($B204="",$A204&gt;$B$9,L$175=""),"",IF(COUNTIFS(BD!$B$3:$B$5001,L$175,BD!$A$3:$A$5001,"&gt;="&amp;$C$7,BD!$A$3:$A$5001,"&lt;="&amp;$B204,BD!$Z$3:$Z$5001,"&lt;&gt;")=0,"",SUMIFS(BD!$Z$3:$Z$5001,BD!$B$3:$B$5001,L$175,BD!$A$3:$A$5001,_xlfn.MAXIFS(BD!$A$3:$A$5001,BD!$B$3:$B$5001,L$175,BD!$A$3:$A$5001,"&gt;="&amp;$C$7,BD!$A$3:$A$5001,"&lt;="&amp;$B204,BD!$Z$3:$Z$5001,"&lt;&gt;"))))</f>
        <v/>
      </c>
      <c r="M204" s="43" t="str">
        <f>IF(OR($B204="",$A204&gt;$B$9,M$175=""),"",IF(COUNTIFS(BD!$B$3:$B$5001,M$175,BD!$A$3:$A$5001,"&gt;="&amp;$C$7,BD!$A$3:$A$5001,"&lt;="&amp;$B204,BD!$Z$3:$Z$5001,"&lt;&gt;")=0,"",SUMIFS(BD!$Z$3:$Z$5001,BD!$B$3:$B$5001,M$175,BD!$A$3:$A$5001,_xlfn.MAXIFS(BD!$A$3:$A$5001,BD!$B$3:$B$5001,M$175,BD!$A$3:$A$5001,"&gt;="&amp;$C$7,BD!$A$3:$A$5001,"&lt;="&amp;$B204,BD!$Z$3:$Z$5001,"&lt;&gt;"))))</f>
        <v/>
      </c>
      <c r="N204" s="43" t="str">
        <f>IF(OR($B204="",$A204&gt;$B$9,N$175=""),"",IF(COUNTIFS(BD!$B$3:$B$5001,N$175,BD!$A$3:$A$5001,"&gt;="&amp;$C$7,BD!$A$3:$A$5001,"&lt;="&amp;$B204,BD!$Z$3:$Z$5001,"&lt;&gt;")=0,"",SUMIFS(BD!$Z$3:$Z$5001,BD!$B$3:$B$5001,N$175,BD!$A$3:$A$5001,_xlfn.MAXIFS(BD!$A$3:$A$5001,BD!$B$3:$B$5001,N$175,BD!$A$3:$A$5001,"&gt;="&amp;$C$7,BD!$A$3:$A$5001,"&lt;="&amp;$B204,BD!$Z$3:$Z$5001,"&lt;&gt;"))))</f>
        <v/>
      </c>
      <c r="O204" s="43" t="str">
        <f>IF(OR($B204="",$A204&gt;$B$9,O$175=""),"",IF(COUNTIFS(BD!$B$3:$B$5001,O$175,BD!$A$3:$A$5001,"&gt;="&amp;$C$7,BD!$A$3:$A$5001,"&lt;="&amp;$B204,BD!$Z$3:$Z$5001,"&lt;&gt;")=0,"",SUMIFS(BD!$Z$3:$Z$5001,BD!$B$3:$B$5001,O$175,BD!$A$3:$A$5001,_xlfn.MAXIFS(BD!$A$3:$A$5001,BD!$B$3:$B$5001,O$175,BD!$A$3:$A$5001,"&gt;="&amp;$C$7,BD!$A$3:$A$5001,"&lt;="&amp;$B204,BD!$Z$3:$Z$5001,"&lt;&gt;"))))</f>
        <v/>
      </c>
      <c r="P204" s="43" t="str">
        <f>IF(OR($B204="",$A204&gt;$B$9,P$175=""),"",IF(COUNTIFS(BD!$B$3:$B$5001,P$175,BD!$A$3:$A$5001,"&gt;="&amp;$C$7,BD!$A$3:$A$5001,"&lt;="&amp;$B204,BD!$Z$3:$Z$5001,"&lt;&gt;")=0,"",SUMIFS(BD!$Z$3:$Z$5001,BD!$B$3:$B$5001,P$175,BD!$A$3:$A$5001,_xlfn.MAXIFS(BD!$A$3:$A$5001,BD!$B$3:$B$5001,P$175,BD!$A$3:$A$5001,"&gt;="&amp;$C$7,BD!$A$3:$A$5001,"&lt;="&amp;$B204,BD!$Z$3:$Z$5001,"&lt;&gt;"))))</f>
        <v/>
      </c>
      <c r="Q204" s="43" t="str">
        <f>IF(OR($B204="",$A204&gt;$B$9,Q$175=""),"",IF(COUNTIFS(BD!$B$3:$B$5001,Q$175,BD!$A$3:$A$5001,"&gt;="&amp;$C$7,BD!$A$3:$A$5001,"&lt;="&amp;$B204,BD!$Z$3:$Z$5001,"&lt;&gt;")=0,"",SUMIFS(BD!$Z$3:$Z$5001,BD!$B$3:$B$5001,Q$175,BD!$A$3:$A$5001,_xlfn.MAXIFS(BD!$A$3:$A$5001,BD!$B$3:$B$5001,Q$175,BD!$A$3:$A$5001,"&gt;="&amp;$C$7,BD!$A$3:$A$5001,"&lt;="&amp;$B204,BD!$Z$3:$Z$5001,"&lt;&gt;"))))</f>
        <v/>
      </c>
      <c r="R204" s="43" t="str">
        <f>IF(OR($B204="",$A204&gt;$B$9,R$175=""),"",IF(COUNTIFS(BD!$B$3:$B$5001,R$175,BD!$A$3:$A$5001,"&gt;="&amp;$C$7,BD!$A$3:$A$5001,"&lt;="&amp;$B204,BD!$Z$3:$Z$5001,"&lt;&gt;")=0,"",SUMIFS(BD!$Z$3:$Z$5001,BD!$B$3:$B$5001,R$175,BD!$A$3:$A$5001,_xlfn.MAXIFS(BD!$A$3:$A$5001,BD!$B$3:$B$5001,R$175,BD!$A$3:$A$5001,"&gt;="&amp;$C$7,BD!$A$3:$A$5001,"&lt;="&amp;$B204,BD!$Z$3:$Z$5001,"&lt;&gt;"))))</f>
        <v/>
      </c>
      <c r="S204" s="43" t="str">
        <f>IF(OR($B204="",$A204&gt;$B$9,S$175=""),"",IF(COUNTIFS(BD!$B$3:$B$5001,S$175,BD!$A$3:$A$5001,"&gt;="&amp;$C$7,BD!$A$3:$A$5001,"&lt;="&amp;$B204,BD!$Z$3:$Z$5001,"&lt;&gt;")=0,"",SUMIFS(BD!$Z$3:$Z$5001,BD!$B$3:$B$5001,S$175,BD!$A$3:$A$5001,_xlfn.MAXIFS(BD!$A$3:$A$5001,BD!$B$3:$B$5001,S$175,BD!$A$3:$A$5001,"&gt;="&amp;$C$7,BD!$A$3:$A$5001,"&lt;="&amp;$B204,BD!$Z$3:$Z$5001,"&lt;&gt;"))))</f>
        <v/>
      </c>
      <c r="T204" s="43" t="str">
        <f>IF(OR($B204="",$A204&gt;$B$9,T$175=""),"",IF(COUNTIFS(BD!$B$3:$B$5001,T$175,BD!$A$3:$A$5001,"&gt;="&amp;$C$7,BD!$A$3:$A$5001,"&lt;="&amp;$B204,BD!$Z$3:$Z$5001,"&lt;&gt;")=0,"",SUMIFS(BD!$Z$3:$Z$5001,BD!$B$3:$B$5001,T$175,BD!$A$3:$A$5001,_xlfn.MAXIFS(BD!$A$3:$A$5001,BD!$B$3:$B$5001,T$175,BD!$A$3:$A$5001,"&gt;="&amp;$C$7,BD!$A$3:$A$5001,"&lt;="&amp;$B204,BD!$Z$3:$Z$5001,"&lt;&gt;"))))</f>
        <v/>
      </c>
      <c r="U204" s="43" t="str">
        <f>IF(OR($B204="",$A204&gt;$B$9,U$175=""),"",IF(COUNTIFS(BD!$B$3:$B$5001,U$175,BD!$A$3:$A$5001,"&gt;="&amp;$C$7,BD!$A$3:$A$5001,"&lt;="&amp;$B204,BD!$Z$3:$Z$5001,"&lt;&gt;")=0,"",SUMIFS(BD!$Z$3:$Z$5001,BD!$B$3:$B$5001,U$175,BD!$A$3:$A$5001,_xlfn.MAXIFS(BD!$A$3:$A$5001,BD!$B$3:$B$5001,U$175,BD!$A$3:$A$5001,"&gt;="&amp;$C$7,BD!$A$3:$A$5001,"&lt;="&amp;$B204,BD!$Z$3:$Z$5001,"&lt;&gt;"))))</f>
        <v/>
      </c>
      <c r="V204" s="43" t="str">
        <f>IF(OR($B204="",$A204&gt;$B$9,V$175=""),"",IF(COUNTIFS(BD!$B$3:$B$5001,V$175,BD!$A$3:$A$5001,"&gt;="&amp;$C$7,BD!$A$3:$A$5001,"&lt;="&amp;$B204,BD!$Z$3:$Z$5001,"&lt;&gt;")=0,"",SUMIFS(BD!$Z$3:$Z$5001,BD!$B$3:$B$5001,V$175,BD!$A$3:$A$5001,_xlfn.MAXIFS(BD!$A$3:$A$5001,BD!$B$3:$B$5001,V$175,BD!$A$3:$A$5001,"&gt;="&amp;$C$7,BD!$A$3:$A$5001,"&lt;="&amp;$B204,BD!$Z$3:$Z$5001,"&lt;&gt;"))))</f>
        <v/>
      </c>
    </row>
    <row r="205">
      <c r="A205" s="38">
        <v>30</v>
      </c>
      <c r="B205" s="42">
        <f>$B$41</f>
        <v>46325</v>
      </c>
      <c r="C205" s="43" t="str">
        <f>IF(OR($B205="",$A205&gt;$B$9,C$175=""),"",IF(COUNTIFS(BD!$B$3:$B$5001,C$175,BD!$A$3:$A$5001,"&gt;="&amp;$C$7,BD!$A$3:$A$5001,"&lt;="&amp;$B205,BD!$Z$3:$Z$5001,"&lt;&gt;")=0,"",SUMIFS(BD!$Z$3:$Z$5001,BD!$B$3:$B$5001,C$175,BD!$A$3:$A$5001,_xlfn.MAXIFS(BD!$A$3:$A$5001,BD!$B$3:$B$5001,C$175,BD!$A$3:$A$5001,"&gt;="&amp;$C$7,BD!$A$3:$A$5001,"&lt;="&amp;$B205,BD!$Z$3:$Z$5001,"&lt;&gt;"))))</f>
        <v/>
      </c>
      <c r="D205" s="43" t="str">
        <f>IF(OR($B205="",$A205&gt;$B$9,D$175=""),"",IF(COUNTIFS(BD!$B$3:$B$5001,D$175,BD!$A$3:$A$5001,"&gt;="&amp;$C$7,BD!$A$3:$A$5001,"&lt;="&amp;$B205,BD!$Z$3:$Z$5001,"&lt;&gt;")=0,"",SUMIFS(BD!$Z$3:$Z$5001,BD!$B$3:$B$5001,D$175,BD!$A$3:$A$5001,_xlfn.MAXIFS(BD!$A$3:$A$5001,BD!$B$3:$B$5001,D$175,BD!$A$3:$A$5001,"&gt;="&amp;$C$7,BD!$A$3:$A$5001,"&lt;="&amp;$B205,BD!$Z$3:$Z$5001,"&lt;&gt;"))))</f>
        <v/>
      </c>
      <c r="E205" s="43" t="str">
        <f>IF(OR($B205="",$A205&gt;$B$9,E$175=""),"",IF(COUNTIFS(BD!$B$3:$B$5001,E$175,BD!$A$3:$A$5001,"&gt;="&amp;$C$7,BD!$A$3:$A$5001,"&lt;="&amp;$B205,BD!$Z$3:$Z$5001,"&lt;&gt;")=0,"",SUMIFS(BD!$Z$3:$Z$5001,BD!$B$3:$B$5001,E$175,BD!$A$3:$A$5001,_xlfn.MAXIFS(BD!$A$3:$A$5001,BD!$B$3:$B$5001,E$175,BD!$A$3:$A$5001,"&gt;="&amp;$C$7,BD!$A$3:$A$5001,"&lt;="&amp;$B205,BD!$Z$3:$Z$5001,"&lt;&gt;"))))</f>
        <v/>
      </c>
      <c r="F205" s="43" t="str">
        <f>IF(OR($B205="",$A205&gt;$B$9,F$175=""),"",IF(COUNTIFS(BD!$B$3:$B$5001,F$175,BD!$A$3:$A$5001,"&gt;="&amp;$C$7,BD!$A$3:$A$5001,"&lt;="&amp;$B205,BD!$Z$3:$Z$5001,"&lt;&gt;")=0,"",SUMIFS(BD!$Z$3:$Z$5001,BD!$B$3:$B$5001,F$175,BD!$A$3:$A$5001,_xlfn.MAXIFS(BD!$A$3:$A$5001,BD!$B$3:$B$5001,F$175,BD!$A$3:$A$5001,"&gt;="&amp;$C$7,BD!$A$3:$A$5001,"&lt;="&amp;$B205,BD!$Z$3:$Z$5001,"&lt;&gt;"))))</f>
        <v/>
      </c>
      <c r="G205" s="43" t="str">
        <f>IF(OR($B205="",$A205&gt;$B$9,G$175=""),"",IF(COUNTIFS(BD!$B$3:$B$5001,G$175,BD!$A$3:$A$5001,"&gt;="&amp;$C$7,BD!$A$3:$A$5001,"&lt;="&amp;$B205,BD!$Z$3:$Z$5001,"&lt;&gt;")=0,"",SUMIFS(BD!$Z$3:$Z$5001,BD!$B$3:$B$5001,G$175,BD!$A$3:$A$5001,_xlfn.MAXIFS(BD!$A$3:$A$5001,BD!$B$3:$B$5001,G$175,BD!$A$3:$A$5001,"&gt;="&amp;$C$7,BD!$A$3:$A$5001,"&lt;="&amp;$B205,BD!$Z$3:$Z$5001,"&lt;&gt;"))))</f>
        <v/>
      </c>
      <c r="H205" s="43" t="str">
        <f>IF(OR($B205="",$A205&gt;$B$9,H$175=""),"",IF(COUNTIFS(BD!$B$3:$B$5001,H$175,BD!$A$3:$A$5001,"&gt;="&amp;$C$7,BD!$A$3:$A$5001,"&lt;="&amp;$B205,BD!$Z$3:$Z$5001,"&lt;&gt;")=0,"",SUMIFS(BD!$Z$3:$Z$5001,BD!$B$3:$B$5001,H$175,BD!$A$3:$A$5001,_xlfn.MAXIFS(BD!$A$3:$A$5001,BD!$B$3:$B$5001,H$175,BD!$A$3:$A$5001,"&gt;="&amp;$C$7,BD!$A$3:$A$5001,"&lt;="&amp;$B205,BD!$Z$3:$Z$5001,"&lt;&gt;"))))</f>
        <v/>
      </c>
      <c r="I205" s="43" t="str">
        <f>IF(OR($B205="",$A205&gt;$B$9,I$175=""),"",IF(COUNTIFS(BD!$B$3:$B$5001,I$175,BD!$A$3:$A$5001,"&gt;="&amp;$C$7,BD!$A$3:$A$5001,"&lt;="&amp;$B205,BD!$Z$3:$Z$5001,"&lt;&gt;")=0,"",SUMIFS(BD!$Z$3:$Z$5001,BD!$B$3:$B$5001,I$175,BD!$A$3:$A$5001,_xlfn.MAXIFS(BD!$A$3:$A$5001,BD!$B$3:$B$5001,I$175,BD!$A$3:$A$5001,"&gt;="&amp;$C$7,BD!$A$3:$A$5001,"&lt;="&amp;$B205,BD!$Z$3:$Z$5001,"&lt;&gt;"))))</f>
        <v/>
      </c>
      <c r="J205" s="43" t="str">
        <f>IF(OR($B205="",$A205&gt;$B$9,J$175=""),"",IF(COUNTIFS(BD!$B$3:$B$5001,J$175,BD!$A$3:$A$5001,"&gt;="&amp;$C$7,BD!$A$3:$A$5001,"&lt;="&amp;$B205,BD!$Z$3:$Z$5001,"&lt;&gt;")=0,"",SUMIFS(BD!$Z$3:$Z$5001,BD!$B$3:$B$5001,J$175,BD!$A$3:$A$5001,_xlfn.MAXIFS(BD!$A$3:$A$5001,BD!$B$3:$B$5001,J$175,BD!$A$3:$A$5001,"&gt;="&amp;$C$7,BD!$A$3:$A$5001,"&lt;="&amp;$B205,BD!$Z$3:$Z$5001,"&lt;&gt;"))))</f>
        <v/>
      </c>
      <c r="K205" s="43" t="str">
        <f>IF(OR($B205="",$A205&gt;$B$9,K$175=""),"",IF(COUNTIFS(BD!$B$3:$B$5001,K$175,BD!$A$3:$A$5001,"&gt;="&amp;$C$7,BD!$A$3:$A$5001,"&lt;="&amp;$B205,BD!$Z$3:$Z$5001,"&lt;&gt;")=0,"",SUMIFS(BD!$Z$3:$Z$5001,BD!$B$3:$B$5001,K$175,BD!$A$3:$A$5001,_xlfn.MAXIFS(BD!$A$3:$A$5001,BD!$B$3:$B$5001,K$175,BD!$A$3:$A$5001,"&gt;="&amp;$C$7,BD!$A$3:$A$5001,"&lt;="&amp;$B205,BD!$Z$3:$Z$5001,"&lt;&gt;"))))</f>
        <v/>
      </c>
      <c r="L205" s="43" t="str">
        <f>IF(OR($B205="",$A205&gt;$B$9,L$175=""),"",IF(COUNTIFS(BD!$B$3:$B$5001,L$175,BD!$A$3:$A$5001,"&gt;="&amp;$C$7,BD!$A$3:$A$5001,"&lt;="&amp;$B205,BD!$Z$3:$Z$5001,"&lt;&gt;")=0,"",SUMIFS(BD!$Z$3:$Z$5001,BD!$B$3:$B$5001,L$175,BD!$A$3:$A$5001,_xlfn.MAXIFS(BD!$A$3:$A$5001,BD!$B$3:$B$5001,L$175,BD!$A$3:$A$5001,"&gt;="&amp;$C$7,BD!$A$3:$A$5001,"&lt;="&amp;$B205,BD!$Z$3:$Z$5001,"&lt;&gt;"))))</f>
        <v/>
      </c>
      <c r="M205" s="43" t="str">
        <f>IF(OR($B205="",$A205&gt;$B$9,M$175=""),"",IF(COUNTIFS(BD!$B$3:$B$5001,M$175,BD!$A$3:$A$5001,"&gt;="&amp;$C$7,BD!$A$3:$A$5001,"&lt;="&amp;$B205,BD!$Z$3:$Z$5001,"&lt;&gt;")=0,"",SUMIFS(BD!$Z$3:$Z$5001,BD!$B$3:$B$5001,M$175,BD!$A$3:$A$5001,_xlfn.MAXIFS(BD!$A$3:$A$5001,BD!$B$3:$B$5001,M$175,BD!$A$3:$A$5001,"&gt;="&amp;$C$7,BD!$A$3:$A$5001,"&lt;="&amp;$B205,BD!$Z$3:$Z$5001,"&lt;&gt;"))))</f>
        <v/>
      </c>
      <c r="N205" s="43" t="str">
        <f>IF(OR($B205="",$A205&gt;$B$9,N$175=""),"",IF(COUNTIFS(BD!$B$3:$B$5001,N$175,BD!$A$3:$A$5001,"&gt;="&amp;$C$7,BD!$A$3:$A$5001,"&lt;="&amp;$B205,BD!$Z$3:$Z$5001,"&lt;&gt;")=0,"",SUMIFS(BD!$Z$3:$Z$5001,BD!$B$3:$B$5001,N$175,BD!$A$3:$A$5001,_xlfn.MAXIFS(BD!$A$3:$A$5001,BD!$B$3:$B$5001,N$175,BD!$A$3:$A$5001,"&gt;="&amp;$C$7,BD!$A$3:$A$5001,"&lt;="&amp;$B205,BD!$Z$3:$Z$5001,"&lt;&gt;"))))</f>
        <v/>
      </c>
      <c r="O205" s="43" t="str">
        <f>IF(OR($B205="",$A205&gt;$B$9,O$175=""),"",IF(COUNTIFS(BD!$B$3:$B$5001,O$175,BD!$A$3:$A$5001,"&gt;="&amp;$C$7,BD!$A$3:$A$5001,"&lt;="&amp;$B205,BD!$Z$3:$Z$5001,"&lt;&gt;")=0,"",SUMIFS(BD!$Z$3:$Z$5001,BD!$B$3:$B$5001,O$175,BD!$A$3:$A$5001,_xlfn.MAXIFS(BD!$A$3:$A$5001,BD!$B$3:$B$5001,O$175,BD!$A$3:$A$5001,"&gt;="&amp;$C$7,BD!$A$3:$A$5001,"&lt;="&amp;$B205,BD!$Z$3:$Z$5001,"&lt;&gt;"))))</f>
        <v/>
      </c>
      <c r="P205" s="43" t="str">
        <f>IF(OR($B205="",$A205&gt;$B$9,P$175=""),"",IF(COUNTIFS(BD!$B$3:$B$5001,P$175,BD!$A$3:$A$5001,"&gt;="&amp;$C$7,BD!$A$3:$A$5001,"&lt;="&amp;$B205,BD!$Z$3:$Z$5001,"&lt;&gt;")=0,"",SUMIFS(BD!$Z$3:$Z$5001,BD!$B$3:$B$5001,P$175,BD!$A$3:$A$5001,_xlfn.MAXIFS(BD!$A$3:$A$5001,BD!$B$3:$B$5001,P$175,BD!$A$3:$A$5001,"&gt;="&amp;$C$7,BD!$A$3:$A$5001,"&lt;="&amp;$B205,BD!$Z$3:$Z$5001,"&lt;&gt;"))))</f>
        <v/>
      </c>
      <c r="Q205" s="43" t="str">
        <f>IF(OR($B205="",$A205&gt;$B$9,Q$175=""),"",IF(COUNTIFS(BD!$B$3:$B$5001,Q$175,BD!$A$3:$A$5001,"&gt;="&amp;$C$7,BD!$A$3:$A$5001,"&lt;="&amp;$B205,BD!$Z$3:$Z$5001,"&lt;&gt;")=0,"",SUMIFS(BD!$Z$3:$Z$5001,BD!$B$3:$B$5001,Q$175,BD!$A$3:$A$5001,_xlfn.MAXIFS(BD!$A$3:$A$5001,BD!$B$3:$B$5001,Q$175,BD!$A$3:$A$5001,"&gt;="&amp;$C$7,BD!$A$3:$A$5001,"&lt;="&amp;$B205,BD!$Z$3:$Z$5001,"&lt;&gt;"))))</f>
        <v/>
      </c>
      <c r="R205" s="43" t="str">
        <f>IF(OR($B205="",$A205&gt;$B$9,R$175=""),"",IF(COUNTIFS(BD!$B$3:$B$5001,R$175,BD!$A$3:$A$5001,"&gt;="&amp;$C$7,BD!$A$3:$A$5001,"&lt;="&amp;$B205,BD!$Z$3:$Z$5001,"&lt;&gt;")=0,"",SUMIFS(BD!$Z$3:$Z$5001,BD!$B$3:$B$5001,R$175,BD!$A$3:$A$5001,_xlfn.MAXIFS(BD!$A$3:$A$5001,BD!$B$3:$B$5001,R$175,BD!$A$3:$A$5001,"&gt;="&amp;$C$7,BD!$A$3:$A$5001,"&lt;="&amp;$B205,BD!$Z$3:$Z$5001,"&lt;&gt;"))))</f>
        <v/>
      </c>
      <c r="S205" s="43" t="str">
        <f>IF(OR($B205="",$A205&gt;$B$9,S$175=""),"",IF(COUNTIFS(BD!$B$3:$B$5001,S$175,BD!$A$3:$A$5001,"&gt;="&amp;$C$7,BD!$A$3:$A$5001,"&lt;="&amp;$B205,BD!$Z$3:$Z$5001,"&lt;&gt;")=0,"",SUMIFS(BD!$Z$3:$Z$5001,BD!$B$3:$B$5001,S$175,BD!$A$3:$A$5001,_xlfn.MAXIFS(BD!$A$3:$A$5001,BD!$B$3:$B$5001,S$175,BD!$A$3:$A$5001,"&gt;="&amp;$C$7,BD!$A$3:$A$5001,"&lt;="&amp;$B205,BD!$Z$3:$Z$5001,"&lt;&gt;"))))</f>
        <v/>
      </c>
      <c r="T205" s="43" t="str">
        <f>IF(OR($B205="",$A205&gt;$B$9,T$175=""),"",IF(COUNTIFS(BD!$B$3:$B$5001,T$175,BD!$A$3:$A$5001,"&gt;="&amp;$C$7,BD!$A$3:$A$5001,"&lt;="&amp;$B205,BD!$Z$3:$Z$5001,"&lt;&gt;")=0,"",SUMIFS(BD!$Z$3:$Z$5001,BD!$B$3:$B$5001,T$175,BD!$A$3:$A$5001,_xlfn.MAXIFS(BD!$A$3:$A$5001,BD!$B$3:$B$5001,T$175,BD!$A$3:$A$5001,"&gt;="&amp;$C$7,BD!$A$3:$A$5001,"&lt;="&amp;$B205,BD!$Z$3:$Z$5001,"&lt;&gt;"))))</f>
        <v/>
      </c>
      <c r="U205" s="43" t="str">
        <f>IF(OR($B205="",$A205&gt;$B$9,U$175=""),"",IF(COUNTIFS(BD!$B$3:$B$5001,U$175,BD!$A$3:$A$5001,"&gt;="&amp;$C$7,BD!$A$3:$A$5001,"&lt;="&amp;$B205,BD!$Z$3:$Z$5001,"&lt;&gt;")=0,"",SUMIFS(BD!$Z$3:$Z$5001,BD!$B$3:$B$5001,U$175,BD!$A$3:$A$5001,_xlfn.MAXIFS(BD!$A$3:$A$5001,BD!$B$3:$B$5001,U$175,BD!$A$3:$A$5001,"&gt;="&amp;$C$7,BD!$A$3:$A$5001,"&lt;="&amp;$B205,BD!$Z$3:$Z$5001,"&lt;&gt;"))))</f>
        <v/>
      </c>
      <c r="V205" s="43" t="str">
        <f>IF(OR($B205="",$A205&gt;$B$9,V$175=""),"",IF(COUNTIFS(BD!$B$3:$B$5001,V$175,BD!$A$3:$A$5001,"&gt;="&amp;$C$7,BD!$A$3:$A$5001,"&lt;="&amp;$B205,BD!$Z$3:$Z$5001,"&lt;&gt;")=0,"",SUMIFS(BD!$Z$3:$Z$5001,BD!$B$3:$B$5001,V$175,BD!$A$3:$A$5001,_xlfn.MAXIFS(BD!$A$3:$A$5001,BD!$B$3:$B$5001,V$175,BD!$A$3:$A$5001,"&gt;="&amp;$C$7,BD!$A$3:$A$5001,"&lt;="&amp;$B205,BD!$Z$3:$Z$5001,"&lt;&gt;"))))</f>
        <v/>
      </c>
    </row>
    <row r="206">
      <c r="A206" s="38">
        <v>31</v>
      </c>
      <c r="B206" s="42">
        <f>$B$42</f>
        <v>46326</v>
      </c>
      <c r="C206" s="43" t="str">
        <f>IF(OR($B206="",$A206&gt;$B$9,C$175=""),"",IF(COUNTIFS(BD!$B$3:$B$5001,C$175,BD!$A$3:$A$5001,"&gt;="&amp;$C$7,BD!$A$3:$A$5001,"&lt;="&amp;$B206,BD!$Z$3:$Z$5001,"&lt;&gt;")=0,"",SUMIFS(BD!$Z$3:$Z$5001,BD!$B$3:$B$5001,C$175,BD!$A$3:$A$5001,_xlfn.MAXIFS(BD!$A$3:$A$5001,BD!$B$3:$B$5001,C$175,BD!$A$3:$A$5001,"&gt;="&amp;$C$7,BD!$A$3:$A$5001,"&lt;="&amp;$B206,BD!$Z$3:$Z$5001,"&lt;&gt;"))))</f>
        <v/>
      </c>
      <c r="D206" s="43" t="str">
        <f>IF(OR($B206="",$A206&gt;$B$9,D$175=""),"",IF(COUNTIFS(BD!$B$3:$B$5001,D$175,BD!$A$3:$A$5001,"&gt;="&amp;$C$7,BD!$A$3:$A$5001,"&lt;="&amp;$B206,BD!$Z$3:$Z$5001,"&lt;&gt;")=0,"",SUMIFS(BD!$Z$3:$Z$5001,BD!$B$3:$B$5001,D$175,BD!$A$3:$A$5001,_xlfn.MAXIFS(BD!$A$3:$A$5001,BD!$B$3:$B$5001,D$175,BD!$A$3:$A$5001,"&gt;="&amp;$C$7,BD!$A$3:$A$5001,"&lt;="&amp;$B206,BD!$Z$3:$Z$5001,"&lt;&gt;"))))</f>
        <v/>
      </c>
      <c r="E206" s="43" t="str">
        <f>IF(OR($B206="",$A206&gt;$B$9,E$175=""),"",IF(COUNTIFS(BD!$B$3:$B$5001,E$175,BD!$A$3:$A$5001,"&gt;="&amp;$C$7,BD!$A$3:$A$5001,"&lt;="&amp;$B206,BD!$Z$3:$Z$5001,"&lt;&gt;")=0,"",SUMIFS(BD!$Z$3:$Z$5001,BD!$B$3:$B$5001,E$175,BD!$A$3:$A$5001,_xlfn.MAXIFS(BD!$A$3:$A$5001,BD!$B$3:$B$5001,E$175,BD!$A$3:$A$5001,"&gt;="&amp;$C$7,BD!$A$3:$A$5001,"&lt;="&amp;$B206,BD!$Z$3:$Z$5001,"&lt;&gt;"))))</f>
        <v/>
      </c>
      <c r="F206" s="43" t="str">
        <f>IF(OR($B206="",$A206&gt;$B$9,F$175=""),"",IF(COUNTIFS(BD!$B$3:$B$5001,F$175,BD!$A$3:$A$5001,"&gt;="&amp;$C$7,BD!$A$3:$A$5001,"&lt;="&amp;$B206,BD!$Z$3:$Z$5001,"&lt;&gt;")=0,"",SUMIFS(BD!$Z$3:$Z$5001,BD!$B$3:$B$5001,F$175,BD!$A$3:$A$5001,_xlfn.MAXIFS(BD!$A$3:$A$5001,BD!$B$3:$B$5001,F$175,BD!$A$3:$A$5001,"&gt;="&amp;$C$7,BD!$A$3:$A$5001,"&lt;="&amp;$B206,BD!$Z$3:$Z$5001,"&lt;&gt;"))))</f>
        <v/>
      </c>
      <c r="G206" s="43" t="str">
        <f>IF(OR($B206="",$A206&gt;$B$9,G$175=""),"",IF(COUNTIFS(BD!$B$3:$B$5001,G$175,BD!$A$3:$A$5001,"&gt;="&amp;$C$7,BD!$A$3:$A$5001,"&lt;="&amp;$B206,BD!$Z$3:$Z$5001,"&lt;&gt;")=0,"",SUMIFS(BD!$Z$3:$Z$5001,BD!$B$3:$B$5001,G$175,BD!$A$3:$A$5001,_xlfn.MAXIFS(BD!$A$3:$A$5001,BD!$B$3:$B$5001,G$175,BD!$A$3:$A$5001,"&gt;="&amp;$C$7,BD!$A$3:$A$5001,"&lt;="&amp;$B206,BD!$Z$3:$Z$5001,"&lt;&gt;"))))</f>
        <v/>
      </c>
      <c r="H206" s="43" t="str">
        <f>IF(OR($B206="",$A206&gt;$B$9,H$175=""),"",IF(COUNTIFS(BD!$B$3:$B$5001,H$175,BD!$A$3:$A$5001,"&gt;="&amp;$C$7,BD!$A$3:$A$5001,"&lt;="&amp;$B206,BD!$Z$3:$Z$5001,"&lt;&gt;")=0,"",SUMIFS(BD!$Z$3:$Z$5001,BD!$B$3:$B$5001,H$175,BD!$A$3:$A$5001,_xlfn.MAXIFS(BD!$A$3:$A$5001,BD!$B$3:$B$5001,H$175,BD!$A$3:$A$5001,"&gt;="&amp;$C$7,BD!$A$3:$A$5001,"&lt;="&amp;$B206,BD!$Z$3:$Z$5001,"&lt;&gt;"))))</f>
        <v/>
      </c>
      <c r="I206" s="43" t="str">
        <f>IF(OR($B206="",$A206&gt;$B$9,I$175=""),"",IF(COUNTIFS(BD!$B$3:$B$5001,I$175,BD!$A$3:$A$5001,"&gt;="&amp;$C$7,BD!$A$3:$A$5001,"&lt;="&amp;$B206,BD!$Z$3:$Z$5001,"&lt;&gt;")=0,"",SUMIFS(BD!$Z$3:$Z$5001,BD!$B$3:$B$5001,I$175,BD!$A$3:$A$5001,_xlfn.MAXIFS(BD!$A$3:$A$5001,BD!$B$3:$B$5001,I$175,BD!$A$3:$A$5001,"&gt;="&amp;$C$7,BD!$A$3:$A$5001,"&lt;="&amp;$B206,BD!$Z$3:$Z$5001,"&lt;&gt;"))))</f>
        <v/>
      </c>
      <c r="J206" s="43" t="str">
        <f>IF(OR($B206="",$A206&gt;$B$9,J$175=""),"",IF(COUNTIFS(BD!$B$3:$B$5001,J$175,BD!$A$3:$A$5001,"&gt;="&amp;$C$7,BD!$A$3:$A$5001,"&lt;="&amp;$B206,BD!$Z$3:$Z$5001,"&lt;&gt;")=0,"",SUMIFS(BD!$Z$3:$Z$5001,BD!$B$3:$B$5001,J$175,BD!$A$3:$A$5001,_xlfn.MAXIFS(BD!$A$3:$A$5001,BD!$B$3:$B$5001,J$175,BD!$A$3:$A$5001,"&gt;="&amp;$C$7,BD!$A$3:$A$5001,"&lt;="&amp;$B206,BD!$Z$3:$Z$5001,"&lt;&gt;"))))</f>
        <v/>
      </c>
      <c r="K206" s="43" t="str">
        <f>IF(OR($B206="",$A206&gt;$B$9,K$175=""),"",IF(COUNTIFS(BD!$B$3:$B$5001,K$175,BD!$A$3:$A$5001,"&gt;="&amp;$C$7,BD!$A$3:$A$5001,"&lt;="&amp;$B206,BD!$Z$3:$Z$5001,"&lt;&gt;")=0,"",SUMIFS(BD!$Z$3:$Z$5001,BD!$B$3:$B$5001,K$175,BD!$A$3:$A$5001,_xlfn.MAXIFS(BD!$A$3:$A$5001,BD!$B$3:$B$5001,K$175,BD!$A$3:$A$5001,"&gt;="&amp;$C$7,BD!$A$3:$A$5001,"&lt;="&amp;$B206,BD!$Z$3:$Z$5001,"&lt;&gt;"))))</f>
        <v/>
      </c>
      <c r="L206" s="43" t="str">
        <f>IF(OR($B206="",$A206&gt;$B$9,L$175=""),"",IF(COUNTIFS(BD!$B$3:$B$5001,L$175,BD!$A$3:$A$5001,"&gt;="&amp;$C$7,BD!$A$3:$A$5001,"&lt;="&amp;$B206,BD!$Z$3:$Z$5001,"&lt;&gt;")=0,"",SUMIFS(BD!$Z$3:$Z$5001,BD!$B$3:$B$5001,L$175,BD!$A$3:$A$5001,_xlfn.MAXIFS(BD!$A$3:$A$5001,BD!$B$3:$B$5001,L$175,BD!$A$3:$A$5001,"&gt;="&amp;$C$7,BD!$A$3:$A$5001,"&lt;="&amp;$B206,BD!$Z$3:$Z$5001,"&lt;&gt;"))))</f>
        <v/>
      </c>
      <c r="M206" s="43" t="str">
        <f>IF(OR($B206="",$A206&gt;$B$9,M$175=""),"",IF(COUNTIFS(BD!$B$3:$B$5001,M$175,BD!$A$3:$A$5001,"&gt;="&amp;$C$7,BD!$A$3:$A$5001,"&lt;="&amp;$B206,BD!$Z$3:$Z$5001,"&lt;&gt;")=0,"",SUMIFS(BD!$Z$3:$Z$5001,BD!$B$3:$B$5001,M$175,BD!$A$3:$A$5001,_xlfn.MAXIFS(BD!$A$3:$A$5001,BD!$B$3:$B$5001,M$175,BD!$A$3:$A$5001,"&gt;="&amp;$C$7,BD!$A$3:$A$5001,"&lt;="&amp;$B206,BD!$Z$3:$Z$5001,"&lt;&gt;"))))</f>
        <v/>
      </c>
      <c r="N206" s="43" t="str">
        <f>IF(OR($B206="",$A206&gt;$B$9,N$175=""),"",IF(COUNTIFS(BD!$B$3:$B$5001,N$175,BD!$A$3:$A$5001,"&gt;="&amp;$C$7,BD!$A$3:$A$5001,"&lt;="&amp;$B206,BD!$Z$3:$Z$5001,"&lt;&gt;")=0,"",SUMIFS(BD!$Z$3:$Z$5001,BD!$B$3:$B$5001,N$175,BD!$A$3:$A$5001,_xlfn.MAXIFS(BD!$A$3:$A$5001,BD!$B$3:$B$5001,N$175,BD!$A$3:$A$5001,"&gt;="&amp;$C$7,BD!$A$3:$A$5001,"&lt;="&amp;$B206,BD!$Z$3:$Z$5001,"&lt;&gt;"))))</f>
        <v/>
      </c>
      <c r="O206" s="43" t="str">
        <f>IF(OR($B206="",$A206&gt;$B$9,O$175=""),"",IF(COUNTIFS(BD!$B$3:$B$5001,O$175,BD!$A$3:$A$5001,"&gt;="&amp;$C$7,BD!$A$3:$A$5001,"&lt;="&amp;$B206,BD!$Z$3:$Z$5001,"&lt;&gt;")=0,"",SUMIFS(BD!$Z$3:$Z$5001,BD!$B$3:$B$5001,O$175,BD!$A$3:$A$5001,_xlfn.MAXIFS(BD!$A$3:$A$5001,BD!$B$3:$B$5001,O$175,BD!$A$3:$A$5001,"&gt;="&amp;$C$7,BD!$A$3:$A$5001,"&lt;="&amp;$B206,BD!$Z$3:$Z$5001,"&lt;&gt;"))))</f>
        <v/>
      </c>
      <c r="P206" s="43" t="str">
        <f>IF(OR($B206="",$A206&gt;$B$9,P$175=""),"",IF(COUNTIFS(BD!$B$3:$B$5001,P$175,BD!$A$3:$A$5001,"&gt;="&amp;$C$7,BD!$A$3:$A$5001,"&lt;="&amp;$B206,BD!$Z$3:$Z$5001,"&lt;&gt;")=0,"",SUMIFS(BD!$Z$3:$Z$5001,BD!$B$3:$B$5001,P$175,BD!$A$3:$A$5001,_xlfn.MAXIFS(BD!$A$3:$A$5001,BD!$B$3:$B$5001,P$175,BD!$A$3:$A$5001,"&gt;="&amp;$C$7,BD!$A$3:$A$5001,"&lt;="&amp;$B206,BD!$Z$3:$Z$5001,"&lt;&gt;"))))</f>
        <v/>
      </c>
      <c r="Q206" s="43" t="str">
        <f>IF(OR($B206="",$A206&gt;$B$9,Q$175=""),"",IF(COUNTIFS(BD!$B$3:$B$5001,Q$175,BD!$A$3:$A$5001,"&gt;="&amp;$C$7,BD!$A$3:$A$5001,"&lt;="&amp;$B206,BD!$Z$3:$Z$5001,"&lt;&gt;")=0,"",SUMIFS(BD!$Z$3:$Z$5001,BD!$B$3:$B$5001,Q$175,BD!$A$3:$A$5001,_xlfn.MAXIFS(BD!$A$3:$A$5001,BD!$B$3:$B$5001,Q$175,BD!$A$3:$A$5001,"&gt;="&amp;$C$7,BD!$A$3:$A$5001,"&lt;="&amp;$B206,BD!$Z$3:$Z$5001,"&lt;&gt;"))))</f>
        <v/>
      </c>
      <c r="R206" s="43" t="str">
        <f>IF(OR($B206="",$A206&gt;$B$9,R$175=""),"",IF(COUNTIFS(BD!$B$3:$B$5001,R$175,BD!$A$3:$A$5001,"&gt;="&amp;$C$7,BD!$A$3:$A$5001,"&lt;="&amp;$B206,BD!$Z$3:$Z$5001,"&lt;&gt;")=0,"",SUMIFS(BD!$Z$3:$Z$5001,BD!$B$3:$B$5001,R$175,BD!$A$3:$A$5001,_xlfn.MAXIFS(BD!$A$3:$A$5001,BD!$B$3:$B$5001,R$175,BD!$A$3:$A$5001,"&gt;="&amp;$C$7,BD!$A$3:$A$5001,"&lt;="&amp;$B206,BD!$Z$3:$Z$5001,"&lt;&gt;"))))</f>
        <v/>
      </c>
      <c r="S206" s="43" t="str">
        <f>IF(OR($B206="",$A206&gt;$B$9,S$175=""),"",IF(COUNTIFS(BD!$B$3:$B$5001,S$175,BD!$A$3:$A$5001,"&gt;="&amp;$C$7,BD!$A$3:$A$5001,"&lt;="&amp;$B206,BD!$Z$3:$Z$5001,"&lt;&gt;")=0,"",SUMIFS(BD!$Z$3:$Z$5001,BD!$B$3:$B$5001,S$175,BD!$A$3:$A$5001,_xlfn.MAXIFS(BD!$A$3:$A$5001,BD!$B$3:$B$5001,S$175,BD!$A$3:$A$5001,"&gt;="&amp;$C$7,BD!$A$3:$A$5001,"&lt;="&amp;$B206,BD!$Z$3:$Z$5001,"&lt;&gt;"))))</f>
        <v/>
      </c>
      <c r="T206" s="43" t="str">
        <f>IF(OR($B206="",$A206&gt;$B$9,T$175=""),"",IF(COUNTIFS(BD!$B$3:$B$5001,T$175,BD!$A$3:$A$5001,"&gt;="&amp;$C$7,BD!$A$3:$A$5001,"&lt;="&amp;$B206,BD!$Z$3:$Z$5001,"&lt;&gt;")=0,"",SUMIFS(BD!$Z$3:$Z$5001,BD!$B$3:$B$5001,T$175,BD!$A$3:$A$5001,_xlfn.MAXIFS(BD!$A$3:$A$5001,BD!$B$3:$B$5001,T$175,BD!$A$3:$A$5001,"&gt;="&amp;$C$7,BD!$A$3:$A$5001,"&lt;="&amp;$B206,BD!$Z$3:$Z$5001,"&lt;&gt;"))))</f>
        <v/>
      </c>
      <c r="U206" s="43" t="str">
        <f>IF(OR($B206="",$A206&gt;$B$9,U$175=""),"",IF(COUNTIFS(BD!$B$3:$B$5001,U$175,BD!$A$3:$A$5001,"&gt;="&amp;$C$7,BD!$A$3:$A$5001,"&lt;="&amp;$B206,BD!$Z$3:$Z$5001,"&lt;&gt;")=0,"",SUMIFS(BD!$Z$3:$Z$5001,BD!$B$3:$B$5001,U$175,BD!$A$3:$A$5001,_xlfn.MAXIFS(BD!$A$3:$A$5001,BD!$B$3:$B$5001,U$175,BD!$A$3:$A$5001,"&gt;="&amp;$C$7,BD!$A$3:$A$5001,"&lt;="&amp;$B206,BD!$Z$3:$Z$5001,"&lt;&gt;"))))</f>
        <v/>
      </c>
      <c r="V206" s="43" t="str">
        <f>IF(OR($B206="",$A206&gt;$B$9,V$175=""),"",IF(COUNTIFS(BD!$B$3:$B$5001,V$175,BD!$A$3:$A$5001,"&gt;="&amp;$C$7,BD!$A$3:$A$5001,"&lt;="&amp;$B206,BD!$Z$3:$Z$5001,"&lt;&gt;")=0,"",SUMIFS(BD!$Z$3:$Z$5001,BD!$B$3:$B$5001,V$175,BD!$A$3:$A$5001,_xlfn.MAXIFS(BD!$A$3:$A$5001,BD!$B$3:$B$5001,V$175,BD!$A$3:$A$5001,"&gt;="&amp;$C$7,BD!$A$3:$A$5001,"&lt;="&amp;$B206,BD!$Z$3:$Z$5001,"&lt;&gt;"))))</f>
        <v/>
      </c>
    </row>
    <row r="207">
      <c r="A207" s="44" t="inlineStr">
        <is>
          <t xml:space="preserve">Mês anterior (último)</t>
        </is>
      </c>
      <c r="C207" s="45" t="str">
        <f>IF(C$175="","",IF(COUNTIFS(BD!$B$3:$B$5001,C$175,BD!$A$3:$A$5001,"&gt;="&amp;$C$8,BD!$A$3:$A$5001,"&lt;="&amp;$D$8,BD!$Z$3:$Z$5001,"&lt;&gt;")=0,"",SUMIFS(BD!$Z$3:$Z$5001,BD!$B$3:$B$5001,C$175,BD!$A$3:$A$5001,_xlfn.MAXIFS(BD!$A$3:$A$5001,BD!$B$3:$B$5001,C$175,BD!$A$3:$A$5001,"&gt;="&amp;$C$8,BD!$A$3:$A$5001,"&lt;="&amp;$D$8,BD!$Z$3:$Z$5001,"&lt;&gt;"))))</f>
        <v/>
      </c>
      <c r="D207" s="45" t="str">
        <f>IF(D$175="","",IF(COUNTIFS(BD!$B$3:$B$5001,D$175,BD!$A$3:$A$5001,"&gt;="&amp;$C$8,BD!$A$3:$A$5001,"&lt;="&amp;$D$8,BD!$Z$3:$Z$5001,"&lt;&gt;")=0,"",SUMIFS(BD!$Z$3:$Z$5001,BD!$B$3:$B$5001,D$175,BD!$A$3:$A$5001,_xlfn.MAXIFS(BD!$A$3:$A$5001,BD!$B$3:$B$5001,D$175,BD!$A$3:$A$5001,"&gt;="&amp;$C$8,BD!$A$3:$A$5001,"&lt;="&amp;$D$8,BD!$Z$3:$Z$5001,"&lt;&gt;"))))</f>
        <v/>
      </c>
      <c r="E207" s="45" t="str">
        <f>IF(E$175="","",IF(COUNTIFS(BD!$B$3:$B$5001,E$175,BD!$A$3:$A$5001,"&gt;="&amp;$C$8,BD!$A$3:$A$5001,"&lt;="&amp;$D$8,BD!$Z$3:$Z$5001,"&lt;&gt;")=0,"",SUMIFS(BD!$Z$3:$Z$5001,BD!$B$3:$B$5001,E$175,BD!$A$3:$A$5001,_xlfn.MAXIFS(BD!$A$3:$A$5001,BD!$B$3:$B$5001,E$175,BD!$A$3:$A$5001,"&gt;="&amp;$C$8,BD!$A$3:$A$5001,"&lt;="&amp;$D$8,BD!$Z$3:$Z$5001,"&lt;&gt;"))))</f>
        <v/>
      </c>
      <c r="F207" s="45" t="str">
        <f>IF(F$175="","",IF(COUNTIFS(BD!$B$3:$B$5001,F$175,BD!$A$3:$A$5001,"&gt;="&amp;$C$8,BD!$A$3:$A$5001,"&lt;="&amp;$D$8,BD!$Z$3:$Z$5001,"&lt;&gt;")=0,"",SUMIFS(BD!$Z$3:$Z$5001,BD!$B$3:$B$5001,F$175,BD!$A$3:$A$5001,_xlfn.MAXIFS(BD!$A$3:$A$5001,BD!$B$3:$B$5001,F$175,BD!$A$3:$A$5001,"&gt;="&amp;$C$8,BD!$A$3:$A$5001,"&lt;="&amp;$D$8,BD!$Z$3:$Z$5001,"&lt;&gt;"))))</f>
        <v/>
      </c>
      <c r="G207" s="45" t="str">
        <f>IF(G$175="","",IF(COUNTIFS(BD!$B$3:$B$5001,G$175,BD!$A$3:$A$5001,"&gt;="&amp;$C$8,BD!$A$3:$A$5001,"&lt;="&amp;$D$8,BD!$Z$3:$Z$5001,"&lt;&gt;")=0,"",SUMIFS(BD!$Z$3:$Z$5001,BD!$B$3:$B$5001,G$175,BD!$A$3:$A$5001,_xlfn.MAXIFS(BD!$A$3:$A$5001,BD!$B$3:$B$5001,G$175,BD!$A$3:$A$5001,"&gt;="&amp;$C$8,BD!$A$3:$A$5001,"&lt;="&amp;$D$8,BD!$Z$3:$Z$5001,"&lt;&gt;"))))</f>
        <v/>
      </c>
      <c r="H207" s="45" t="str">
        <f>IF(H$175="","",IF(COUNTIFS(BD!$B$3:$B$5001,H$175,BD!$A$3:$A$5001,"&gt;="&amp;$C$8,BD!$A$3:$A$5001,"&lt;="&amp;$D$8,BD!$Z$3:$Z$5001,"&lt;&gt;")=0,"",SUMIFS(BD!$Z$3:$Z$5001,BD!$B$3:$B$5001,H$175,BD!$A$3:$A$5001,_xlfn.MAXIFS(BD!$A$3:$A$5001,BD!$B$3:$B$5001,H$175,BD!$A$3:$A$5001,"&gt;="&amp;$C$8,BD!$A$3:$A$5001,"&lt;="&amp;$D$8,BD!$Z$3:$Z$5001,"&lt;&gt;"))))</f>
        <v/>
      </c>
      <c r="I207" s="45" t="str">
        <f>IF(I$175="","",IF(COUNTIFS(BD!$B$3:$B$5001,I$175,BD!$A$3:$A$5001,"&gt;="&amp;$C$8,BD!$A$3:$A$5001,"&lt;="&amp;$D$8,BD!$Z$3:$Z$5001,"&lt;&gt;")=0,"",SUMIFS(BD!$Z$3:$Z$5001,BD!$B$3:$B$5001,I$175,BD!$A$3:$A$5001,_xlfn.MAXIFS(BD!$A$3:$A$5001,BD!$B$3:$B$5001,I$175,BD!$A$3:$A$5001,"&gt;="&amp;$C$8,BD!$A$3:$A$5001,"&lt;="&amp;$D$8,BD!$Z$3:$Z$5001,"&lt;&gt;"))))</f>
        <v/>
      </c>
      <c r="J207" s="45" t="str">
        <f>IF(J$175="","",IF(COUNTIFS(BD!$B$3:$B$5001,J$175,BD!$A$3:$A$5001,"&gt;="&amp;$C$8,BD!$A$3:$A$5001,"&lt;="&amp;$D$8,BD!$Z$3:$Z$5001,"&lt;&gt;")=0,"",SUMIFS(BD!$Z$3:$Z$5001,BD!$B$3:$B$5001,J$175,BD!$A$3:$A$5001,_xlfn.MAXIFS(BD!$A$3:$A$5001,BD!$B$3:$B$5001,J$175,BD!$A$3:$A$5001,"&gt;="&amp;$C$8,BD!$A$3:$A$5001,"&lt;="&amp;$D$8,BD!$Z$3:$Z$5001,"&lt;&gt;"))))</f>
        <v/>
      </c>
      <c r="K207" s="45" t="str">
        <f>IF(K$175="","",IF(COUNTIFS(BD!$B$3:$B$5001,K$175,BD!$A$3:$A$5001,"&gt;="&amp;$C$8,BD!$A$3:$A$5001,"&lt;="&amp;$D$8,BD!$Z$3:$Z$5001,"&lt;&gt;")=0,"",SUMIFS(BD!$Z$3:$Z$5001,BD!$B$3:$B$5001,K$175,BD!$A$3:$A$5001,_xlfn.MAXIFS(BD!$A$3:$A$5001,BD!$B$3:$B$5001,K$175,BD!$A$3:$A$5001,"&gt;="&amp;$C$8,BD!$A$3:$A$5001,"&lt;="&amp;$D$8,BD!$Z$3:$Z$5001,"&lt;&gt;"))))</f>
        <v/>
      </c>
      <c r="L207" s="45" t="str">
        <f>IF(L$175="","",IF(COUNTIFS(BD!$B$3:$B$5001,L$175,BD!$A$3:$A$5001,"&gt;="&amp;$C$8,BD!$A$3:$A$5001,"&lt;="&amp;$D$8,BD!$Z$3:$Z$5001,"&lt;&gt;")=0,"",SUMIFS(BD!$Z$3:$Z$5001,BD!$B$3:$B$5001,L$175,BD!$A$3:$A$5001,_xlfn.MAXIFS(BD!$A$3:$A$5001,BD!$B$3:$B$5001,L$175,BD!$A$3:$A$5001,"&gt;="&amp;$C$8,BD!$A$3:$A$5001,"&lt;="&amp;$D$8,BD!$Z$3:$Z$5001,"&lt;&gt;"))))</f>
        <v/>
      </c>
      <c r="M207" s="45" t="str">
        <f>IF(M$175="","",IF(COUNTIFS(BD!$B$3:$B$5001,M$175,BD!$A$3:$A$5001,"&gt;="&amp;$C$8,BD!$A$3:$A$5001,"&lt;="&amp;$D$8,BD!$Z$3:$Z$5001,"&lt;&gt;")=0,"",SUMIFS(BD!$Z$3:$Z$5001,BD!$B$3:$B$5001,M$175,BD!$A$3:$A$5001,_xlfn.MAXIFS(BD!$A$3:$A$5001,BD!$B$3:$B$5001,M$175,BD!$A$3:$A$5001,"&gt;="&amp;$C$8,BD!$A$3:$A$5001,"&lt;="&amp;$D$8,BD!$Z$3:$Z$5001,"&lt;&gt;"))))</f>
        <v/>
      </c>
      <c r="N207" s="45" t="str">
        <f>IF(N$175="","",IF(COUNTIFS(BD!$B$3:$B$5001,N$175,BD!$A$3:$A$5001,"&gt;="&amp;$C$8,BD!$A$3:$A$5001,"&lt;="&amp;$D$8,BD!$Z$3:$Z$5001,"&lt;&gt;")=0,"",SUMIFS(BD!$Z$3:$Z$5001,BD!$B$3:$B$5001,N$175,BD!$A$3:$A$5001,_xlfn.MAXIFS(BD!$A$3:$A$5001,BD!$B$3:$B$5001,N$175,BD!$A$3:$A$5001,"&gt;="&amp;$C$8,BD!$A$3:$A$5001,"&lt;="&amp;$D$8,BD!$Z$3:$Z$5001,"&lt;&gt;"))))</f>
        <v/>
      </c>
      <c r="O207" s="45" t="str">
        <f>IF(O$175="","",IF(COUNTIFS(BD!$B$3:$B$5001,O$175,BD!$A$3:$A$5001,"&gt;="&amp;$C$8,BD!$A$3:$A$5001,"&lt;="&amp;$D$8,BD!$Z$3:$Z$5001,"&lt;&gt;")=0,"",SUMIFS(BD!$Z$3:$Z$5001,BD!$B$3:$B$5001,O$175,BD!$A$3:$A$5001,_xlfn.MAXIFS(BD!$A$3:$A$5001,BD!$B$3:$B$5001,O$175,BD!$A$3:$A$5001,"&gt;="&amp;$C$8,BD!$A$3:$A$5001,"&lt;="&amp;$D$8,BD!$Z$3:$Z$5001,"&lt;&gt;"))))</f>
        <v/>
      </c>
      <c r="P207" s="45" t="str">
        <f>IF(P$175="","",IF(COUNTIFS(BD!$B$3:$B$5001,P$175,BD!$A$3:$A$5001,"&gt;="&amp;$C$8,BD!$A$3:$A$5001,"&lt;="&amp;$D$8,BD!$Z$3:$Z$5001,"&lt;&gt;")=0,"",SUMIFS(BD!$Z$3:$Z$5001,BD!$B$3:$B$5001,P$175,BD!$A$3:$A$5001,_xlfn.MAXIFS(BD!$A$3:$A$5001,BD!$B$3:$B$5001,P$175,BD!$A$3:$A$5001,"&gt;="&amp;$C$8,BD!$A$3:$A$5001,"&lt;="&amp;$D$8,BD!$Z$3:$Z$5001,"&lt;&gt;"))))</f>
        <v/>
      </c>
      <c r="Q207" s="45" t="str">
        <f>IF(Q$175="","",IF(COUNTIFS(BD!$B$3:$B$5001,Q$175,BD!$A$3:$A$5001,"&gt;="&amp;$C$8,BD!$A$3:$A$5001,"&lt;="&amp;$D$8,BD!$Z$3:$Z$5001,"&lt;&gt;")=0,"",SUMIFS(BD!$Z$3:$Z$5001,BD!$B$3:$B$5001,Q$175,BD!$A$3:$A$5001,_xlfn.MAXIFS(BD!$A$3:$A$5001,BD!$B$3:$B$5001,Q$175,BD!$A$3:$A$5001,"&gt;="&amp;$C$8,BD!$A$3:$A$5001,"&lt;="&amp;$D$8,BD!$Z$3:$Z$5001,"&lt;&gt;"))))</f>
        <v/>
      </c>
      <c r="R207" s="45" t="str">
        <f>IF(R$175="","",IF(COUNTIFS(BD!$B$3:$B$5001,R$175,BD!$A$3:$A$5001,"&gt;="&amp;$C$8,BD!$A$3:$A$5001,"&lt;="&amp;$D$8,BD!$Z$3:$Z$5001,"&lt;&gt;")=0,"",SUMIFS(BD!$Z$3:$Z$5001,BD!$B$3:$B$5001,R$175,BD!$A$3:$A$5001,_xlfn.MAXIFS(BD!$A$3:$A$5001,BD!$B$3:$B$5001,R$175,BD!$A$3:$A$5001,"&gt;="&amp;$C$8,BD!$A$3:$A$5001,"&lt;="&amp;$D$8,BD!$Z$3:$Z$5001,"&lt;&gt;"))))</f>
        <v/>
      </c>
      <c r="S207" s="45" t="str">
        <f>IF(S$175="","",IF(COUNTIFS(BD!$B$3:$B$5001,S$175,BD!$A$3:$A$5001,"&gt;="&amp;$C$8,BD!$A$3:$A$5001,"&lt;="&amp;$D$8,BD!$Z$3:$Z$5001,"&lt;&gt;")=0,"",SUMIFS(BD!$Z$3:$Z$5001,BD!$B$3:$B$5001,S$175,BD!$A$3:$A$5001,_xlfn.MAXIFS(BD!$A$3:$A$5001,BD!$B$3:$B$5001,S$175,BD!$A$3:$A$5001,"&gt;="&amp;$C$8,BD!$A$3:$A$5001,"&lt;="&amp;$D$8,BD!$Z$3:$Z$5001,"&lt;&gt;"))))</f>
        <v/>
      </c>
      <c r="T207" s="45" t="str">
        <f>IF(T$175="","",IF(COUNTIFS(BD!$B$3:$B$5001,T$175,BD!$A$3:$A$5001,"&gt;="&amp;$C$8,BD!$A$3:$A$5001,"&lt;="&amp;$D$8,BD!$Z$3:$Z$5001,"&lt;&gt;")=0,"",SUMIFS(BD!$Z$3:$Z$5001,BD!$B$3:$B$5001,T$175,BD!$A$3:$A$5001,_xlfn.MAXIFS(BD!$A$3:$A$5001,BD!$B$3:$B$5001,T$175,BD!$A$3:$A$5001,"&gt;="&amp;$C$8,BD!$A$3:$A$5001,"&lt;="&amp;$D$8,BD!$Z$3:$Z$5001,"&lt;&gt;"))))</f>
        <v/>
      </c>
      <c r="U207" s="45" t="str">
        <f>IF(U$175="","",IF(COUNTIFS(BD!$B$3:$B$5001,U$175,BD!$A$3:$A$5001,"&gt;="&amp;$C$8,BD!$A$3:$A$5001,"&lt;="&amp;$D$8,BD!$Z$3:$Z$5001,"&lt;&gt;")=0,"",SUMIFS(BD!$Z$3:$Z$5001,BD!$B$3:$B$5001,U$175,BD!$A$3:$A$5001,_xlfn.MAXIFS(BD!$A$3:$A$5001,BD!$B$3:$B$5001,U$175,BD!$A$3:$A$5001,"&gt;="&amp;$C$8,BD!$A$3:$A$5001,"&lt;="&amp;$D$8,BD!$Z$3:$Z$5001,"&lt;&gt;"))))</f>
        <v/>
      </c>
      <c r="V207" s="45" t="str">
        <f>IF(V$175="","",IF(COUNTIFS(BD!$B$3:$B$5001,V$175,BD!$A$3:$A$5001,"&gt;="&amp;$C$8,BD!$A$3:$A$5001,"&lt;="&amp;$D$8,BD!$Z$3:$Z$5001,"&lt;&gt;")=0,"",SUMIFS(BD!$Z$3:$Z$5001,BD!$B$3:$B$5001,V$175,BD!$A$3:$A$5001,_xlfn.MAXIFS(BD!$A$3:$A$5001,BD!$B$3:$B$5001,V$175,BD!$A$3:$A$5001,"&gt;="&amp;$C$8,BD!$A$3:$A$5001,"&lt;="&amp;$D$8,BD!$Z$3:$Z$5001,"&lt;&gt;"))))</f>
        <v/>
      </c>
    </row>
    <row r="208">
      <c r="A208" s="44" t="inlineStr">
        <is>
          <t xml:space="preserve">Depósito</t>
        </is>
      </c>
      <c r="C208" s="38" t="str">
        <f>IF(Config!$C$10="","TPC",Config!$C$10)</f>
        <v>TPC</v>
      </c>
      <c r="D208" s="38" t="str">
        <f>IF(Config!$C$11="","TPC",Config!$C$11)</f>
        <v>TPC</v>
      </c>
      <c r="E208" s="38" t="str">
        <f>IF(Config!$C$12="","TPC",Config!$C$12)</f>
        <v>TPC</v>
      </c>
      <c r="F208" s="38" t="str">
        <f>IF(Config!$C$13="","TPC",Config!$C$13)</f>
        <v>TPC</v>
      </c>
      <c r="G208" s="38" t="str">
        <f>IF(Config!$C$14="","TPC",Config!$C$14)</f>
        <v>TPC</v>
      </c>
      <c r="H208" s="38" t="str">
        <f>IF(Config!$C$15="","TPC",Config!$C$15)</f>
        <v>TPC</v>
      </c>
      <c r="I208" s="38" t="str">
        <f>IF(Config!$C$16="","TPC",Config!$C$16)</f>
        <v>TPC</v>
      </c>
      <c r="J208" s="38" t="str">
        <f>IF(Config!$C$17="","TPC",Config!$C$17)</f>
        <v>TPC</v>
      </c>
      <c r="K208" s="38" t="str">
        <f>IF(Config!$C$18="","TPC",Config!$C$18)</f>
        <v>TPC</v>
      </c>
      <c r="L208" s="38" t="str">
        <f>IF(Config!$C$19="","TPC",Config!$C$19)</f>
        <v>TPC</v>
      </c>
      <c r="M208" s="38" t="str">
        <f>IF(Config!$C$20="","TPC",Config!$C$20)</f>
        <v>TPC</v>
      </c>
      <c r="N208" s="38" t="str">
        <f>IF(Config!$C$21="","TPC",Config!$C$21)</f>
        <v>TPC</v>
      </c>
      <c r="O208" s="38" t="str">
        <f>IF(Config!$C$22="","TPC",Config!$C$22)</f>
        <v>TPC</v>
      </c>
      <c r="P208" s="38" t="str">
        <f>IF(Config!$C$23="","TPC",Config!$C$23)</f>
        <v>TPC</v>
      </c>
      <c r="Q208" s="38" t="str">
        <f>IF(Config!$C$24="","TPC",Config!$C$24)</f>
        <v>TPC</v>
      </c>
      <c r="R208" s="38" t="str">
        <f>IF(Config!$C$25="","TPC",Config!$C$25)</f>
        <v>TPC</v>
      </c>
      <c r="S208" s="38" t="str">
        <f>IF(Config!$C$26="","TPC",Config!$C$26)</f>
        <v>TPC</v>
      </c>
      <c r="T208" s="38" t="str">
        <f>IF(Config!$C$27="","TPC",Config!$C$27)</f>
        <v>TPC</v>
      </c>
      <c r="U208" s="38" t="str">
        <f>IF(Config!$C$28="","TPC",Config!$C$28)</f>
        <v>TPC</v>
      </c>
      <c r="V208" s="38" t="str">
        <f>IF(Config!$C$29="","TPC",Config!$C$29)</f>
        <v>TPC</v>
      </c>
    </row>
    <row r="210">
      <c r="A210" s="37" t="inlineStr">
        <is>
          <t xml:space="preserve">Posições Disponíveis</t>
        </is>
      </c>
      <c r="B210" s="37" t="inlineStr">
        <is>
          <t xml:space="preserve">Data</t>
        </is>
      </c>
      <c r="C210" s="37" t="str">
        <f>Config!$B$10&amp;""</f>
        <v>Alpargatas</v>
      </c>
      <c r="D210" s="37" t="str">
        <f>Config!$B$11&amp;""</f>
        <v>Basf</v>
      </c>
      <c r="E210" s="37" t="str">
        <f>Config!$B$12&amp;""</f>
        <v>Beautybiz</v>
      </c>
      <c r="F210" s="37" t="str">
        <f>Config!$B$13&amp;""</f>
        <v>Boticário</v>
      </c>
      <c r="G210" s="37" t="str">
        <f>Config!$B$14&amp;""</f>
        <v>Confiance</v>
      </c>
      <c r="H210" s="37" t="str">
        <f>Config!$B$15&amp;""</f>
        <v>GE Vernova</v>
      </c>
      <c r="I210" s="37" t="str">
        <f>Config!$B$16&amp;""</f>
        <v>Omnilife</v>
      </c>
      <c r="J210" s="37" t="str">
        <f>Config!$B$17&amp;""</f>
        <v>Supply</v>
      </c>
      <c r="K210" s="37" t="str">
        <f>Config!$B$18&amp;""</f>
        <v>Vedacit</v>
      </c>
      <c r="L210" s="37" t="str">
        <f>Config!$B$19&amp;""</f>
        <v>Vestas</v>
      </c>
      <c r="M210" s="37" t="str">
        <f>Config!$B$20&amp;""</f>
        <v/>
      </c>
      <c r="N210" s="37" t="str">
        <f>Config!$B$21&amp;""</f>
        <v/>
      </c>
      <c r="O210" s="37" t="str">
        <f>Config!$B$22&amp;""</f>
        <v/>
      </c>
      <c r="P210" s="37" t="str">
        <f>Config!$B$23&amp;""</f>
        <v/>
      </c>
      <c r="Q210" s="37" t="str">
        <f>Config!$B$24&amp;""</f>
        <v/>
      </c>
      <c r="R210" s="37" t="str">
        <f>Config!$B$25&amp;""</f>
        <v/>
      </c>
      <c r="S210" s="37" t="str">
        <f>Config!$B$26&amp;""</f>
        <v/>
      </c>
      <c r="T210" s="37" t="str">
        <f>Config!$B$27&amp;""</f>
        <v/>
      </c>
      <c r="U210" s="37" t="str">
        <f>Config!$B$28&amp;""</f>
        <v/>
      </c>
      <c r="V210" s="37" t="str">
        <f>Config!$B$29&amp;""</f>
        <v/>
      </c>
    </row>
    <row r="211">
      <c r="A211" s="38">
        <v>1</v>
      </c>
      <c r="B211" s="42">
        <f>$B$12</f>
        <v>46296</v>
      </c>
      <c r="C211" s="43" t="str">
        <f>IF(OR($B211="",$A211&gt;$B$9,C$210=""),"",IF(COUNTIFS(BD!$B$3:$B$5001,C$210,BD!$A$3:$A$5001,"&gt;="&amp;$C$7,BD!$A$3:$A$5001,"&lt;="&amp;$B211,BD!$Y$3:$Y$5001,"&lt;&gt;")=0,"",SUMIFS(BD!$Y$3:$Y$5001,BD!$B$3:$B$5001,C$210,BD!$A$3:$A$5001,_xlfn.MAXIFS(BD!$A$3:$A$5001,BD!$B$3:$B$5001,C$210,BD!$A$3:$A$5001,"&gt;="&amp;$C$7,BD!$A$3:$A$5001,"&lt;="&amp;$B211,BD!$Y$3:$Y$5001,"&lt;&gt;"))))</f>
        <v/>
      </c>
      <c r="D211" s="43" t="str">
        <f>IF(OR($B211="",$A211&gt;$B$9,D$210=""),"",IF(COUNTIFS(BD!$B$3:$B$5001,D$210,BD!$A$3:$A$5001,"&gt;="&amp;$C$7,BD!$A$3:$A$5001,"&lt;="&amp;$B211,BD!$Y$3:$Y$5001,"&lt;&gt;")=0,"",SUMIFS(BD!$Y$3:$Y$5001,BD!$B$3:$B$5001,D$210,BD!$A$3:$A$5001,_xlfn.MAXIFS(BD!$A$3:$A$5001,BD!$B$3:$B$5001,D$210,BD!$A$3:$A$5001,"&gt;="&amp;$C$7,BD!$A$3:$A$5001,"&lt;="&amp;$B211,BD!$Y$3:$Y$5001,"&lt;&gt;"))))</f>
        <v/>
      </c>
      <c r="E211" s="43" t="str">
        <f>IF(OR($B211="",$A211&gt;$B$9,E$210=""),"",IF(COUNTIFS(BD!$B$3:$B$5001,E$210,BD!$A$3:$A$5001,"&gt;="&amp;$C$7,BD!$A$3:$A$5001,"&lt;="&amp;$B211,BD!$Y$3:$Y$5001,"&lt;&gt;")=0,"",SUMIFS(BD!$Y$3:$Y$5001,BD!$B$3:$B$5001,E$210,BD!$A$3:$A$5001,_xlfn.MAXIFS(BD!$A$3:$A$5001,BD!$B$3:$B$5001,E$210,BD!$A$3:$A$5001,"&gt;="&amp;$C$7,BD!$A$3:$A$5001,"&lt;="&amp;$B211,BD!$Y$3:$Y$5001,"&lt;&gt;"))))</f>
        <v/>
      </c>
      <c r="F211" s="43" t="str">
        <f>IF(OR($B211="",$A211&gt;$B$9,F$210=""),"",IF(COUNTIFS(BD!$B$3:$B$5001,F$210,BD!$A$3:$A$5001,"&gt;="&amp;$C$7,BD!$A$3:$A$5001,"&lt;="&amp;$B211,BD!$Y$3:$Y$5001,"&lt;&gt;")=0,"",SUMIFS(BD!$Y$3:$Y$5001,BD!$B$3:$B$5001,F$210,BD!$A$3:$A$5001,_xlfn.MAXIFS(BD!$A$3:$A$5001,BD!$B$3:$B$5001,F$210,BD!$A$3:$A$5001,"&gt;="&amp;$C$7,BD!$A$3:$A$5001,"&lt;="&amp;$B211,BD!$Y$3:$Y$5001,"&lt;&gt;"))))</f>
        <v/>
      </c>
      <c r="G211" s="43" t="str">
        <f>IF(OR($B211="",$A211&gt;$B$9,G$210=""),"",IF(COUNTIFS(BD!$B$3:$B$5001,G$210,BD!$A$3:$A$5001,"&gt;="&amp;$C$7,BD!$A$3:$A$5001,"&lt;="&amp;$B211,BD!$Y$3:$Y$5001,"&lt;&gt;")=0,"",SUMIFS(BD!$Y$3:$Y$5001,BD!$B$3:$B$5001,G$210,BD!$A$3:$A$5001,_xlfn.MAXIFS(BD!$A$3:$A$5001,BD!$B$3:$B$5001,G$210,BD!$A$3:$A$5001,"&gt;="&amp;$C$7,BD!$A$3:$A$5001,"&lt;="&amp;$B211,BD!$Y$3:$Y$5001,"&lt;&gt;"))))</f>
        <v/>
      </c>
      <c r="H211" s="43" t="str">
        <f>IF(OR($B211="",$A211&gt;$B$9,H$210=""),"",IF(COUNTIFS(BD!$B$3:$B$5001,H$210,BD!$A$3:$A$5001,"&gt;="&amp;$C$7,BD!$A$3:$A$5001,"&lt;="&amp;$B211,BD!$Y$3:$Y$5001,"&lt;&gt;")=0,"",SUMIFS(BD!$Y$3:$Y$5001,BD!$B$3:$B$5001,H$210,BD!$A$3:$A$5001,_xlfn.MAXIFS(BD!$A$3:$A$5001,BD!$B$3:$B$5001,H$210,BD!$A$3:$A$5001,"&gt;="&amp;$C$7,BD!$A$3:$A$5001,"&lt;="&amp;$B211,BD!$Y$3:$Y$5001,"&lt;&gt;"))))</f>
        <v/>
      </c>
      <c r="I211" s="43" t="str">
        <f>IF(OR($B211="",$A211&gt;$B$9,I$210=""),"",IF(COUNTIFS(BD!$B$3:$B$5001,I$210,BD!$A$3:$A$5001,"&gt;="&amp;$C$7,BD!$A$3:$A$5001,"&lt;="&amp;$B211,BD!$Y$3:$Y$5001,"&lt;&gt;")=0,"",SUMIFS(BD!$Y$3:$Y$5001,BD!$B$3:$B$5001,I$210,BD!$A$3:$A$5001,_xlfn.MAXIFS(BD!$A$3:$A$5001,BD!$B$3:$B$5001,I$210,BD!$A$3:$A$5001,"&gt;="&amp;$C$7,BD!$A$3:$A$5001,"&lt;="&amp;$B211,BD!$Y$3:$Y$5001,"&lt;&gt;"))))</f>
        <v/>
      </c>
      <c r="J211" s="43" t="str">
        <f>IF(OR($B211="",$A211&gt;$B$9,J$210=""),"",IF(COUNTIFS(BD!$B$3:$B$5001,J$210,BD!$A$3:$A$5001,"&gt;="&amp;$C$7,BD!$A$3:$A$5001,"&lt;="&amp;$B211,BD!$Y$3:$Y$5001,"&lt;&gt;")=0,"",SUMIFS(BD!$Y$3:$Y$5001,BD!$B$3:$B$5001,J$210,BD!$A$3:$A$5001,_xlfn.MAXIFS(BD!$A$3:$A$5001,BD!$B$3:$B$5001,J$210,BD!$A$3:$A$5001,"&gt;="&amp;$C$7,BD!$A$3:$A$5001,"&lt;="&amp;$B211,BD!$Y$3:$Y$5001,"&lt;&gt;"))))</f>
        <v/>
      </c>
      <c r="K211" s="43" t="str">
        <f>IF(OR($B211="",$A211&gt;$B$9,K$210=""),"",IF(COUNTIFS(BD!$B$3:$B$5001,K$210,BD!$A$3:$A$5001,"&gt;="&amp;$C$7,BD!$A$3:$A$5001,"&lt;="&amp;$B211,BD!$Y$3:$Y$5001,"&lt;&gt;")=0,"",SUMIFS(BD!$Y$3:$Y$5001,BD!$B$3:$B$5001,K$210,BD!$A$3:$A$5001,_xlfn.MAXIFS(BD!$A$3:$A$5001,BD!$B$3:$B$5001,K$210,BD!$A$3:$A$5001,"&gt;="&amp;$C$7,BD!$A$3:$A$5001,"&lt;="&amp;$B211,BD!$Y$3:$Y$5001,"&lt;&gt;"))))</f>
        <v/>
      </c>
      <c r="L211" s="43" t="str">
        <f>IF(OR($B211="",$A211&gt;$B$9,L$210=""),"",IF(COUNTIFS(BD!$B$3:$B$5001,L$210,BD!$A$3:$A$5001,"&gt;="&amp;$C$7,BD!$A$3:$A$5001,"&lt;="&amp;$B211,BD!$Y$3:$Y$5001,"&lt;&gt;")=0,"",SUMIFS(BD!$Y$3:$Y$5001,BD!$B$3:$B$5001,L$210,BD!$A$3:$A$5001,_xlfn.MAXIFS(BD!$A$3:$A$5001,BD!$B$3:$B$5001,L$210,BD!$A$3:$A$5001,"&gt;="&amp;$C$7,BD!$A$3:$A$5001,"&lt;="&amp;$B211,BD!$Y$3:$Y$5001,"&lt;&gt;"))))</f>
        <v/>
      </c>
      <c r="M211" s="43" t="str">
        <f>IF(OR($B211="",$A211&gt;$B$9,M$210=""),"",IF(COUNTIFS(BD!$B$3:$B$5001,M$210,BD!$A$3:$A$5001,"&gt;="&amp;$C$7,BD!$A$3:$A$5001,"&lt;="&amp;$B211,BD!$Y$3:$Y$5001,"&lt;&gt;")=0,"",SUMIFS(BD!$Y$3:$Y$5001,BD!$B$3:$B$5001,M$210,BD!$A$3:$A$5001,_xlfn.MAXIFS(BD!$A$3:$A$5001,BD!$B$3:$B$5001,M$210,BD!$A$3:$A$5001,"&gt;="&amp;$C$7,BD!$A$3:$A$5001,"&lt;="&amp;$B211,BD!$Y$3:$Y$5001,"&lt;&gt;"))))</f>
        <v/>
      </c>
      <c r="N211" s="43" t="str">
        <f>IF(OR($B211="",$A211&gt;$B$9,N$210=""),"",IF(COUNTIFS(BD!$B$3:$B$5001,N$210,BD!$A$3:$A$5001,"&gt;="&amp;$C$7,BD!$A$3:$A$5001,"&lt;="&amp;$B211,BD!$Y$3:$Y$5001,"&lt;&gt;")=0,"",SUMIFS(BD!$Y$3:$Y$5001,BD!$B$3:$B$5001,N$210,BD!$A$3:$A$5001,_xlfn.MAXIFS(BD!$A$3:$A$5001,BD!$B$3:$B$5001,N$210,BD!$A$3:$A$5001,"&gt;="&amp;$C$7,BD!$A$3:$A$5001,"&lt;="&amp;$B211,BD!$Y$3:$Y$5001,"&lt;&gt;"))))</f>
        <v/>
      </c>
      <c r="O211" s="43" t="str">
        <f>IF(OR($B211="",$A211&gt;$B$9,O$210=""),"",IF(COUNTIFS(BD!$B$3:$B$5001,O$210,BD!$A$3:$A$5001,"&gt;="&amp;$C$7,BD!$A$3:$A$5001,"&lt;="&amp;$B211,BD!$Y$3:$Y$5001,"&lt;&gt;")=0,"",SUMIFS(BD!$Y$3:$Y$5001,BD!$B$3:$B$5001,O$210,BD!$A$3:$A$5001,_xlfn.MAXIFS(BD!$A$3:$A$5001,BD!$B$3:$B$5001,O$210,BD!$A$3:$A$5001,"&gt;="&amp;$C$7,BD!$A$3:$A$5001,"&lt;="&amp;$B211,BD!$Y$3:$Y$5001,"&lt;&gt;"))))</f>
        <v/>
      </c>
      <c r="P211" s="43" t="str">
        <f>IF(OR($B211="",$A211&gt;$B$9,P$210=""),"",IF(COUNTIFS(BD!$B$3:$B$5001,P$210,BD!$A$3:$A$5001,"&gt;="&amp;$C$7,BD!$A$3:$A$5001,"&lt;="&amp;$B211,BD!$Y$3:$Y$5001,"&lt;&gt;")=0,"",SUMIFS(BD!$Y$3:$Y$5001,BD!$B$3:$B$5001,P$210,BD!$A$3:$A$5001,_xlfn.MAXIFS(BD!$A$3:$A$5001,BD!$B$3:$B$5001,P$210,BD!$A$3:$A$5001,"&gt;="&amp;$C$7,BD!$A$3:$A$5001,"&lt;="&amp;$B211,BD!$Y$3:$Y$5001,"&lt;&gt;"))))</f>
        <v/>
      </c>
      <c r="Q211" s="43" t="str">
        <f>IF(OR($B211="",$A211&gt;$B$9,Q$210=""),"",IF(COUNTIFS(BD!$B$3:$B$5001,Q$210,BD!$A$3:$A$5001,"&gt;="&amp;$C$7,BD!$A$3:$A$5001,"&lt;="&amp;$B211,BD!$Y$3:$Y$5001,"&lt;&gt;")=0,"",SUMIFS(BD!$Y$3:$Y$5001,BD!$B$3:$B$5001,Q$210,BD!$A$3:$A$5001,_xlfn.MAXIFS(BD!$A$3:$A$5001,BD!$B$3:$B$5001,Q$210,BD!$A$3:$A$5001,"&gt;="&amp;$C$7,BD!$A$3:$A$5001,"&lt;="&amp;$B211,BD!$Y$3:$Y$5001,"&lt;&gt;"))))</f>
        <v/>
      </c>
      <c r="R211" s="43" t="str">
        <f>IF(OR($B211="",$A211&gt;$B$9,R$210=""),"",IF(COUNTIFS(BD!$B$3:$B$5001,R$210,BD!$A$3:$A$5001,"&gt;="&amp;$C$7,BD!$A$3:$A$5001,"&lt;="&amp;$B211,BD!$Y$3:$Y$5001,"&lt;&gt;")=0,"",SUMIFS(BD!$Y$3:$Y$5001,BD!$B$3:$B$5001,R$210,BD!$A$3:$A$5001,_xlfn.MAXIFS(BD!$A$3:$A$5001,BD!$B$3:$B$5001,R$210,BD!$A$3:$A$5001,"&gt;="&amp;$C$7,BD!$A$3:$A$5001,"&lt;="&amp;$B211,BD!$Y$3:$Y$5001,"&lt;&gt;"))))</f>
        <v/>
      </c>
      <c r="S211" s="43" t="str">
        <f>IF(OR($B211="",$A211&gt;$B$9,S$210=""),"",IF(COUNTIFS(BD!$B$3:$B$5001,S$210,BD!$A$3:$A$5001,"&gt;="&amp;$C$7,BD!$A$3:$A$5001,"&lt;="&amp;$B211,BD!$Y$3:$Y$5001,"&lt;&gt;")=0,"",SUMIFS(BD!$Y$3:$Y$5001,BD!$B$3:$B$5001,S$210,BD!$A$3:$A$5001,_xlfn.MAXIFS(BD!$A$3:$A$5001,BD!$B$3:$B$5001,S$210,BD!$A$3:$A$5001,"&gt;="&amp;$C$7,BD!$A$3:$A$5001,"&lt;="&amp;$B211,BD!$Y$3:$Y$5001,"&lt;&gt;"))))</f>
        <v/>
      </c>
      <c r="T211" s="43" t="str">
        <f>IF(OR($B211="",$A211&gt;$B$9,T$210=""),"",IF(COUNTIFS(BD!$B$3:$B$5001,T$210,BD!$A$3:$A$5001,"&gt;="&amp;$C$7,BD!$A$3:$A$5001,"&lt;="&amp;$B211,BD!$Y$3:$Y$5001,"&lt;&gt;")=0,"",SUMIFS(BD!$Y$3:$Y$5001,BD!$B$3:$B$5001,T$210,BD!$A$3:$A$5001,_xlfn.MAXIFS(BD!$A$3:$A$5001,BD!$B$3:$B$5001,T$210,BD!$A$3:$A$5001,"&gt;="&amp;$C$7,BD!$A$3:$A$5001,"&lt;="&amp;$B211,BD!$Y$3:$Y$5001,"&lt;&gt;"))))</f>
        <v/>
      </c>
      <c r="U211" s="43" t="str">
        <f>IF(OR($B211="",$A211&gt;$B$9,U$210=""),"",IF(COUNTIFS(BD!$B$3:$B$5001,U$210,BD!$A$3:$A$5001,"&gt;="&amp;$C$7,BD!$A$3:$A$5001,"&lt;="&amp;$B211,BD!$Y$3:$Y$5001,"&lt;&gt;")=0,"",SUMIFS(BD!$Y$3:$Y$5001,BD!$B$3:$B$5001,U$210,BD!$A$3:$A$5001,_xlfn.MAXIFS(BD!$A$3:$A$5001,BD!$B$3:$B$5001,U$210,BD!$A$3:$A$5001,"&gt;="&amp;$C$7,BD!$A$3:$A$5001,"&lt;="&amp;$B211,BD!$Y$3:$Y$5001,"&lt;&gt;"))))</f>
        <v/>
      </c>
      <c r="V211" s="43" t="str">
        <f>IF(OR($B211="",$A211&gt;$B$9,V$210=""),"",IF(COUNTIFS(BD!$B$3:$B$5001,V$210,BD!$A$3:$A$5001,"&gt;="&amp;$C$7,BD!$A$3:$A$5001,"&lt;="&amp;$B211,BD!$Y$3:$Y$5001,"&lt;&gt;")=0,"",SUMIFS(BD!$Y$3:$Y$5001,BD!$B$3:$B$5001,V$210,BD!$A$3:$A$5001,_xlfn.MAXIFS(BD!$A$3:$A$5001,BD!$B$3:$B$5001,V$210,BD!$A$3:$A$5001,"&gt;="&amp;$C$7,BD!$A$3:$A$5001,"&lt;="&amp;$B211,BD!$Y$3:$Y$5001,"&lt;&gt;"))))</f>
        <v/>
      </c>
    </row>
    <row r="212">
      <c r="A212" s="38">
        <v>2</v>
      </c>
      <c r="B212" s="42">
        <f>$B$13</f>
        <v>46297</v>
      </c>
      <c r="C212" s="43" t="str">
        <f>IF(OR($B212="",$A212&gt;$B$9,C$210=""),"",IF(COUNTIFS(BD!$B$3:$B$5001,C$210,BD!$A$3:$A$5001,"&gt;="&amp;$C$7,BD!$A$3:$A$5001,"&lt;="&amp;$B212,BD!$Y$3:$Y$5001,"&lt;&gt;")=0,"",SUMIFS(BD!$Y$3:$Y$5001,BD!$B$3:$B$5001,C$210,BD!$A$3:$A$5001,_xlfn.MAXIFS(BD!$A$3:$A$5001,BD!$B$3:$B$5001,C$210,BD!$A$3:$A$5001,"&gt;="&amp;$C$7,BD!$A$3:$A$5001,"&lt;="&amp;$B212,BD!$Y$3:$Y$5001,"&lt;&gt;"))))</f>
        <v/>
      </c>
      <c r="D212" s="43" t="str">
        <f>IF(OR($B212="",$A212&gt;$B$9,D$210=""),"",IF(COUNTIFS(BD!$B$3:$B$5001,D$210,BD!$A$3:$A$5001,"&gt;="&amp;$C$7,BD!$A$3:$A$5001,"&lt;="&amp;$B212,BD!$Y$3:$Y$5001,"&lt;&gt;")=0,"",SUMIFS(BD!$Y$3:$Y$5001,BD!$B$3:$B$5001,D$210,BD!$A$3:$A$5001,_xlfn.MAXIFS(BD!$A$3:$A$5001,BD!$B$3:$B$5001,D$210,BD!$A$3:$A$5001,"&gt;="&amp;$C$7,BD!$A$3:$A$5001,"&lt;="&amp;$B212,BD!$Y$3:$Y$5001,"&lt;&gt;"))))</f>
        <v/>
      </c>
      <c r="E212" s="43" t="str">
        <f>IF(OR($B212="",$A212&gt;$B$9,E$210=""),"",IF(COUNTIFS(BD!$B$3:$B$5001,E$210,BD!$A$3:$A$5001,"&gt;="&amp;$C$7,BD!$A$3:$A$5001,"&lt;="&amp;$B212,BD!$Y$3:$Y$5001,"&lt;&gt;")=0,"",SUMIFS(BD!$Y$3:$Y$5001,BD!$B$3:$B$5001,E$210,BD!$A$3:$A$5001,_xlfn.MAXIFS(BD!$A$3:$A$5001,BD!$B$3:$B$5001,E$210,BD!$A$3:$A$5001,"&gt;="&amp;$C$7,BD!$A$3:$A$5001,"&lt;="&amp;$B212,BD!$Y$3:$Y$5001,"&lt;&gt;"))))</f>
        <v/>
      </c>
      <c r="F212" s="43" t="str">
        <f>IF(OR($B212="",$A212&gt;$B$9,F$210=""),"",IF(COUNTIFS(BD!$B$3:$B$5001,F$210,BD!$A$3:$A$5001,"&gt;="&amp;$C$7,BD!$A$3:$A$5001,"&lt;="&amp;$B212,BD!$Y$3:$Y$5001,"&lt;&gt;")=0,"",SUMIFS(BD!$Y$3:$Y$5001,BD!$B$3:$B$5001,F$210,BD!$A$3:$A$5001,_xlfn.MAXIFS(BD!$A$3:$A$5001,BD!$B$3:$B$5001,F$210,BD!$A$3:$A$5001,"&gt;="&amp;$C$7,BD!$A$3:$A$5001,"&lt;="&amp;$B212,BD!$Y$3:$Y$5001,"&lt;&gt;"))))</f>
        <v/>
      </c>
      <c r="G212" s="43" t="str">
        <f>IF(OR($B212="",$A212&gt;$B$9,G$210=""),"",IF(COUNTIFS(BD!$B$3:$B$5001,G$210,BD!$A$3:$A$5001,"&gt;="&amp;$C$7,BD!$A$3:$A$5001,"&lt;="&amp;$B212,BD!$Y$3:$Y$5001,"&lt;&gt;")=0,"",SUMIFS(BD!$Y$3:$Y$5001,BD!$B$3:$B$5001,G$210,BD!$A$3:$A$5001,_xlfn.MAXIFS(BD!$A$3:$A$5001,BD!$B$3:$B$5001,G$210,BD!$A$3:$A$5001,"&gt;="&amp;$C$7,BD!$A$3:$A$5001,"&lt;="&amp;$B212,BD!$Y$3:$Y$5001,"&lt;&gt;"))))</f>
        <v/>
      </c>
      <c r="H212" s="43" t="str">
        <f>IF(OR($B212="",$A212&gt;$B$9,H$210=""),"",IF(COUNTIFS(BD!$B$3:$B$5001,H$210,BD!$A$3:$A$5001,"&gt;="&amp;$C$7,BD!$A$3:$A$5001,"&lt;="&amp;$B212,BD!$Y$3:$Y$5001,"&lt;&gt;")=0,"",SUMIFS(BD!$Y$3:$Y$5001,BD!$B$3:$B$5001,H$210,BD!$A$3:$A$5001,_xlfn.MAXIFS(BD!$A$3:$A$5001,BD!$B$3:$B$5001,H$210,BD!$A$3:$A$5001,"&gt;="&amp;$C$7,BD!$A$3:$A$5001,"&lt;="&amp;$B212,BD!$Y$3:$Y$5001,"&lt;&gt;"))))</f>
        <v/>
      </c>
      <c r="I212" s="43" t="str">
        <f>IF(OR($B212="",$A212&gt;$B$9,I$210=""),"",IF(COUNTIFS(BD!$B$3:$B$5001,I$210,BD!$A$3:$A$5001,"&gt;="&amp;$C$7,BD!$A$3:$A$5001,"&lt;="&amp;$B212,BD!$Y$3:$Y$5001,"&lt;&gt;")=0,"",SUMIFS(BD!$Y$3:$Y$5001,BD!$B$3:$B$5001,I$210,BD!$A$3:$A$5001,_xlfn.MAXIFS(BD!$A$3:$A$5001,BD!$B$3:$B$5001,I$210,BD!$A$3:$A$5001,"&gt;="&amp;$C$7,BD!$A$3:$A$5001,"&lt;="&amp;$B212,BD!$Y$3:$Y$5001,"&lt;&gt;"))))</f>
        <v/>
      </c>
      <c r="J212" s="43" t="str">
        <f>IF(OR($B212="",$A212&gt;$B$9,J$210=""),"",IF(COUNTIFS(BD!$B$3:$B$5001,J$210,BD!$A$3:$A$5001,"&gt;="&amp;$C$7,BD!$A$3:$A$5001,"&lt;="&amp;$B212,BD!$Y$3:$Y$5001,"&lt;&gt;")=0,"",SUMIFS(BD!$Y$3:$Y$5001,BD!$B$3:$B$5001,J$210,BD!$A$3:$A$5001,_xlfn.MAXIFS(BD!$A$3:$A$5001,BD!$B$3:$B$5001,J$210,BD!$A$3:$A$5001,"&gt;="&amp;$C$7,BD!$A$3:$A$5001,"&lt;="&amp;$B212,BD!$Y$3:$Y$5001,"&lt;&gt;"))))</f>
        <v/>
      </c>
      <c r="K212" s="43" t="str">
        <f>IF(OR($B212="",$A212&gt;$B$9,K$210=""),"",IF(COUNTIFS(BD!$B$3:$B$5001,K$210,BD!$A$3:$A$5001,"&gt;="&amp;$C$7,BD!$A$3:$A$5001,"&lt;="&amp;$B212,BD!$Y$3:$Y$5001,"&lt;&gt;")=0,"",SUMIFS(BD!$Y$3:$Y$5001,BD!$B$3:$B$5001,K$210,BD!$A$3:$A$5001,_xlfn.MAXIFS(BD!$A$3:$A$5001,BD!$B$3:$B$5001,K$210,BD!$A$3:$A$5001,"&gt;="&amp;$C$7,BD!$A$3:$A$5001,"&lt;="&amp;$B212,BD!$Y$3:$Y$5001,"&lt;&gt;"))))</f>
        <v/>
      </c>
      <c r="L212" s="43" t="str">
        <f>IF(OR($B212="",$A212&gt;$B$9,L$210=""),"",IF(COUNTIFS(BD!$B$3:$B$5001,L$210,BD!$A$3:$A$5001,"&gt;="&amp;$C$7,BD!$A$3:$A$5001,"&lt;="&amp;$B212,BD!$Y$3:$Y$5001,"&lt;&gt;")=0,"",SUMIFS(BD!$Y$3:$Y$5001,BD!$B$3:$B$5001,L$210,BD!$A$3:$A$5001,_xlfn.MAXIFS(BD!$A$3:$A$5001,BD!$B$3:$B$5001,L$210,BD!$A$3:$A$5001,"&gt;="&amp;$C$7,BD!$A$3:$A$5001,"&lt;="&amp;$B212,BD!$Y$3:$Y$5001,"&lt;&gt;"))))</f>
        <v/>
      </c>
      <c r="M212" s="43" t="str">
        <f>IF(OR($B212="",$A212&gt;$B$9,M$210=""),"",IF(COUNTIFS(BD!$B$3:$B$5001,M$210,BD!$A$3:$A$5001,"&gt;="&amp;$C$7,BD!$A$3:$A$5001,"&lt;="&amp;$B212,BD!$Y$3:$Y$5001,"&lt;&gt;")=0,"",SUMIFS(BD!$Y$3:$Y$5001,BD!$B$3:$B$5001,M$210,BD!$A$3:$A$5001,_xlfn.MAXIFS(BD!$A$3:$A$5001,BD!$B$3:$B$5001,M$210,BD!$A$3:$A$5001,"&gt;="&amp;$C$7,BD!$A$3:$A$5001,"&lt;="&amp;$B212,BD!$Y$3:$Y$5001,"&lt;&gt;"))))</f>
        <v/>
      </c>
      <c r="N212" s="43" t="str">
        <f>IF(OR($B212="",$A212&gt;$B$9,N$210=""),"",IF(COUNTIFS(BD!$B$3:$B$5001,N$210,BD!$A$3:$A$5001,"&gt;="&amp;$C$7,BD!$A$3:$A$5001,"&lt;="&amp;$B212,BD!$Y$3:$Y$5001,"&lt;&gt;")=0,"",SUMIFS(BD!$Y$3:$Y$5001,BD!$B$3:$B$5001,N$210,BD!$A$3:$A$5001,_xlfn.MAXIFS(BD!$A$3:$A$5001,BD!$B$3:$B$5001,N$210,BD!$A$3:$A$5001,"&gt;="&amp;$C$7,BD!$A$3:$A$5001,"&lt;="&amp;$B212,BD!$Y$3:$Y$5001,"&lt;&gt;"))))</f>
        <v/>
      </c>
      <c r="O212" s="43" t="str">
        <f>IF(OR($B212="",$A212&gt;$B$9,O$210=""),"",IF(COUNTIFS(BD!$B$3:$B$5001,O$210,BD!$A$3:$A$5001,"&gt;="&amp;$C$7,BD!$A$3:$A$5001,"&lt;="&amp;$B212,BD!$Y$3:$Y$5001,"&lt;&gt;")=0,"",SUMIFS(BD!$Y$3:$Y$5001,BD!$B$3:$B$5001,O$210,BD!$A$3:$A$5001,_xlfn.MAXIFS(BD!$A$3:$A$5001,BD!$B$3:$B$5001,O$210,BD!$A$3:$A$5001,"&gt;="&amp;$C$7,BD!$A$3:$A$5001,"&lt;="&amp;$B212,BD!$Y$3:$Y$5001,"&lt;&gt;"))))</f>
        <v/>
      </c>
      <c r="P212" s="43" t="str">
        <f>IF(OR($B212="",$A212&gt;$B$9,P$210=""),"",IF(COUNTIFS(BD!$B$3:$B$5001,P$210,BD!$A$3:$A$5001,"&gt;="&amp;$C$7,BD!$A$3:$A$5001,"&lt;="&amp;$B212,BD!$Y$3:$Y$5001,"&lt;&gt;")=0,"",SUMIFS(BD!$Y$3:$Y$5001,BD!$B$3:$B$5001,P$210,BD!$A$3:$A$5001,_xlfn.MAXIFS(BD!$A$3:$A$5001,BD!$B$3:$B$5001,P$210,BD!$A$3:$A$5001,"&gt;="&amp;$C$7,BD!$A$3:$A$5001,"&lt;="&amp;$B212,BD!$Y$3:$Y$5001,"&lt;&gt;"))))</f>
        <v/>
      </c>
      <c r="Q212" s="43" t="str">
        <f>IF(OR($B212="",$A212&gt;$B$9,Q$210=""),"",IF(COUNTIFS(BD!$B$3:$B$5001,Q$210,BD!$A$3:$A$5001,"&gt;="&amp;$C$7,BD!$A$3:$A$5001,"&lt;="&amp;$B212,BD!$Y$3:$Y$5001,"&lt;&gt;")=0,"",SUMIFS(BD!$Y$3:$Y$5001,BD!$B$3:$B$5001,Q$210,BD!$A$3:$A$5001,_xlfn.MAXIFS(BD!$A$3:$A$5001,BD!$B$3:$B$5001,Q$210,BD!$A$3:$A$5001,"&gt;="&amp;$C$7,BD!$A$3:$A$5001,"&lt;="&amp;$B212,BD!$Y$3:$Y$5001,"&lt;&gt;"))))</f>
        <v/>
      </c>
      <c r="R212" s="43" t="str">
        <f>IF(OR($B212="",$A212&gt;$B$9,R$210=""),"",IF(COUNTIFS(BD!$B$3:$B$5001,R$210,BD!$A$3:$A$5001,"&gt;="&amp;$C$7,BD!$A$3:$A$5001,"&lt;="&amp;$B212,BD!$Y$3:$Y$5001,"&lt;&gt;")=0,"",SUMIFS(BD!$Y$3:$Y$5001,BD!$B$3:$B$5001,R$210,BD!$A$3:$A$5001,_xlfn.MAXIFS(BD!$A$3:$A$5001,BD!$B$3:$B$5001,R$210,BD!$A$3:$A$5001,"&gt;="&amp;$C$7,BD!$A$3:$A$5001,"&lt;="&amp;$B212,BD!$Y$3:$Y$5001,"&lt;&gt;"))))</f>
        <v/>
      </c>
      <c r="S212" s="43" t="str">
        <f>IF(OR($B212="",$A212&gt;$B$9,S$210=""),"",IF(COUNTIFS(BD!$B$3:$B$5001,S$210,BD!$A$3:$A$5001,"&gt;="&amp;$C$7,BD!$A$3:$A$5001,"&lt;="&amp;$B212,BD!$Y$3:$Y$5001,"&lt;&gt;")=0,"",SUMIFS(BD!$Y$3:$Y$5001,BD!$B$3:$B$5001,S$210,BD!$A$3:$A$5001,_xlfn.MAXIFS(BD!$A$3:$A$5001,BD!$B$3:$B$5001,S$210,BD!$A$3:$A$5001,"&gt;="&amp;$C$7,BD!$A$3:$A$5001,"&lt;="&amp;$B212,BD!$Y$3:$Y$5001,"&lt;&gt;"))))</f>
        <v/>
      </c>
      <c r="T212" s="43" t="str">
        <f>IF(OR($B212="",$A212&gt;$B$9,T$210=""),"",IF(COUNTIFS(BD!$B$3:$B$5001,T$210,BD!$A$3:$A$5001,"&gt;="&amp;$C$7,BD!$A$3:$A$5001,"&lt;="&amp;$B212,BD!$Y$3:$Y$5001,"&lt;&gt;")=0,"",SUMIFS(BD!$Y$3:$Y$5001,BD!$B$3:$B$5001,T$210,BD!$A$3:$A$5001,_xlfn.MAXIFS(BD!$A$3:$A$5001,BD!$B$3:$B$5001,T$210,BD!$A$3:$A$5001,"&gt;="&amp;$C$7,BD!$A$3:$A$5001,"&lt;="&amp;$B212,BD!$Y$3:$Y$5001,"&lt;&gt;"))))</f>
        <v/>
      </c>
      <c r="U212" s="43" t="str">
        <f>IF(OR($B212="",$A212&gt;$B$9,U$210=""),"",IF(COUNTIFS(BD!$B$3:$B$5001,U$210,BD!$A$3:$A$5001,"&gt;="&amp;$C$7,BD!$A$3:$A$5001,"&lt;="&amp;$B212,BD!$Y$3:$Y$5001,"&lt;&gt;")=0,"",SUMIFS(BD!$Y$3:$Y$5001,BD!$B$3:$B$5001,U$210,BD!$A$3:$A$5001,_xlfn.MAXIFS(BD!$A$3:$A$5001,BD!$B$3:$B$5001,U$210,BD!$A$3:$A$5001,"&gt;="&amp;$C$7,BD!$A$3:$A$5001,"&lt;="&amp;$B212,BD!$Y$3:$Y$5001,"&lt;&gt;"))))</f>
        <v/>
      </c>
      <c r="V212" s="43" t="str">
        <f>IF(OR($B212="",$A212&gt;$B$9,V$210=""),"",IF(COUNTIFS(BD!$B$3:$B$5001,V$210,BD!$A$3:$A$5001,"&gt;="&amp;$C$7,BD!$A$3:$A$5001,"&lt;="&amp;$B212,BD!$Y$3:$Y$5001,"&lt;&gt;")=0,"",SUMIFS(BD!$Y$3:$Y$5001,BD!$B$3:$B$5001,V$210,BD!$A$3:$A$5001,_xlfn.MAXIFS(BD!$A$3:$A$5001,BD!$B$3:$B$5001,V$210,BD!$A$3:$A$5001,"&gt;="&amp;$C$7,BD!$A$3:$A$5001,"&lt;="&amp;$B212,BD!$Y$3:$Y$5001,"&lt;&gt;"))))</f>
        <v/>
      </c>
    </row>
    <row r="213">
      <c r="A213" s="38">
        <v>3</v>
      </c>
      <c r="B213" s="42">
        <f>$B$14</f>
        <v>46298</v>
      </c>
      <c r="C213" s="43" t="str">
        <f>IF(OR($B213="",$A213&gt;$B$9,C$210=""),"",IF(COUNTIFS(BD!$B$3:$B$5001,C$210,BD!$A$3:$A$5001,"&gt;="&amp;$C$7,BD!$A$3:$A$5001,"&lt;="&amp;$B213,BD!$Y$3:$Y$5001,"&lt;&gt;")=0,"",SUMIFS(BD!$Y$3:$Y$5001,BD!$B$3:$B$5001,C$210,BD!$A$3:$A$5001,_xlfn.MAXIFS(BD!$A$3:$A$5001,BD!$B$3:$B$5001,C$210,BD!$A$3:$A$5001,"&gt;="&amp;$C$7,BD!$A$3:$A$5001,"&lt;="&amp;$B213,BD!$Y$3:$Y$5001,"&lt;&gt;"))))</f>
        <v/>
      </c>
      <c r="D213" s="43" t="str">
        <f>IF(OR($B213="",$A213&gt;$B$9,D$210=""),"",IF(COUNTIFS(BD!$B$3:$B$5001,D$210,BD!$A$3:$A$5001,"&gt;="&amp;$C$7,BD!$A$3:$A$5001,"&lt;="&amp;$B213,BD!$Y$3:$Y$5001,"&lt;&gt;")=0,"",SUMIFS(BD!$Y$3:$Y$5001,BD!$B$3:$B$5001,D$210,BD!$A$3:$A$5001,_xlfn.MAXIFS(BD!$A$3:$A$5001,BD!$B$3:$B$5001,D$210,BD!$A$3:$A$5001,"&gt;="&amp;$C$7,BD!$A$3:$A$5001,"&lt;="&amp;$B213,BD!$Y$3:$Y$5001,"&lt;&gt;"))))</f>
        <v/>
      </c>
      <c r="E213" s="43" t="str">
        <f>IF(OR($B213="",$A213&gt;$B$9,E$210=""),"",IF(COUNTIFS(BD!$B$3:$B$5001,E$210,BD!$A$3:$A$5001,"&gt;="&amp;$C$7,BD!$A$3:$A$5001,"&lt;="&amp;$B213,BD!$Y$3:$Y$5001,"&lt;&gt;")=0,"",SUMIFS(BD!$Y$3:$Y$5001,BD!$B$3:$B$5001,E$210,BD!$A$3:$A$5001,_xlfn.MAXIFS(BD!$A$3:$A$5001,BD!$B$3:$B$5001,E$210,BD!$A$3:$A$5001,"&gt;="&amp;$C$7,BD!$A$3:$A$5001,"&lt;="&amp;$B213,BD!$Y$3:$Y$5001,"&lt;&gt;"))))</f>
        <v/>
      </c>
      <c r="F213" s="43" t="str">
        <f>IF(OR($B213="",$A213&gt;$B$9,F$210=""),"",IF(COUNTIFS(BD!$B$3:$B$5001,F$210,BD!$A$3:$A$5001,"&gt;="&amp;$C$7,BD!$A$3:$A$5001,"&lt;="&amp;$B213,BD!$Y$3:$Y$5001,"&lt;&gt;")=0,"",SUMIFS(BD!$Y$3:$Y$5001,BD!$B$3:$B$5001,F$210,BD!$A$3:$A$5001,_xlfn.MAXIFS(BD!$A$3:$A$5001,BD!$B$3:$B$5001,F$210,BD!$A$3:$A$5001,"&gt;="&amp;$C$7,BD!$A$3:$A$5001,"&lt;="&amp;$B213,BD!$Y$3:$Y$5001,"&lt;&gt;"))))</f>
        <v/>
      </c>
      <c r="G213" s="43" t="str">
        <f>IF(OR($B213="",$A213&gt;$B$9,G$210=""),"",IF(COUNTIFS(BD!$B$3:$B$5001,G$210,BD!$A$3:$A$5001,"&gt;="&amp;$C$7,BD!$A$3:$A$5001,"&lt;="&amp;$B213,BD!$Y$3:$Y$5001,"&lt;&gt;")=0,"",SUMIFS(BD!$Y$3:$Y$5001,BD!$B$3:$B$5001,G$210,BD!$A$3:$A$5001,_xlfn.MAXIFS(BD!$A$3:$A$5001,BD!$B$3:$B$5001,G$210,BD!$A$3:$A$5001,"&gt;="&amp;$C$7,BD!$A$3:$A$5001,"&lt;="&amp;$B213,BD!$Y$3:$Y$5001,"&lt;&gt;"))))</f>
        <v/>
      </c>
      <c r="H213" s="43" t="str">
        <f>IF(OR($B213="",$A213&gt;$B$9,H$210=""),"",IF(COUNTIFS(BD!$B$3:$B$5001,H$210,BD!$A$3:$A$5001,"&gt;="&amp;$C$7,BD!$A$3:$A$5001,"&lt;="&amp;$B213,BD!$Y$3:$Y$5001,"&lt;&gt;")=0,"",SUMIFS(BD!$Y$3:$Y$5001,BD!$B$3:$B$5001,H$210,BD!$A$3:$A$5001,_xlfn.MAXIFS(BD!$A$3:$A$5001,BD!$B$3:$B$5001,H$210,BD!$A$3:$A$5001,"&gt;="&amp;$C$7,BD!$A$3:$A$5001,"&lt;="&amp;$B213,BD!$Y$3:$Y$5001,"&lt;&gt;"))))</f>
        <v/>
      </c>
      <c r="I213" s="43" t="str">
        <f>IF(OR($B213="",$A213&gt;$B$9,I$210=""),"",IF(COUNTIFS(BD!$B$3:$B$5001,I$210,BD!$A$3:$A$5001,"&gt;="&amp;$C$7,BD!$A$3:$A$5001,"&lt;="&amp;$B213,BD!$Y$3:$Y$5001,"&lt;&gt;")=0,"",SUMIFS(BD!$Y$3:$Y$5001,BD!$B$3:$B$5001,I$210,BD!$A$3:$A$5001,_xlfn.MAXIFS(BD!$A$3:$A$5001,BD!$B$3:$B$5001,I$210,BD!$A$3:$A$5001,"&gt;="&amp;$C$7,BD!$A$3:$A$5001,"&lt;="&amp;$B213,BD!$Y$3:$Y$5001,"&lt;&gt;"))))</f>
        <v/>
      </c>
      <c r="J213" s="43" t="str">
        <f>IF(OR($B213="",$A213&gt;$B$9,J$210=""),"",IF(COUNTIFS(BD!$B$3:$B$5001,J$210,BD!$A$3:$A$5001,"&gt;="&amp;$C$7,BD!$A$3:$A$5001,"&lt;="&amp;$B213,BD!$Y$3:$Y$5001,"&lt;&gt;")=0,"",SUMIFS(BD!$Y$3:$Y$5001,BD!$B$3:$B$5001,J$210,BD!$A$3:$A$5001,_xlfn.MAXIFS(BD!$A$3:$A$5001,BD!$B$3:$B$5001,J$210,BD!$A$3:$A$5001,"&gt;="&amp;$C$7,BD!$A$3:$A$5001,"&lt;="&amp;$B213,BD!$Y$3:$Y$5001,"&lt;&gt;"))))</f>
        <v/>
      </c>
      <c r="K213" s="43" t="str">
        <f>IF(OR($B213="",$A213&gt;$B$9,K$210=""),"",IF(COUNTIFS(BD!$B$3:$B$5001,K$210,BD!$A$3:$A$5001,"&gt;="&amp;$C$7,BD!$A$3:$A$5001,"&lt;="&amp;$B213,BD!$Y$3:$Y$5001,"&lt;&gt;")=0,"",SUMIFS(BD!$Y$3:$Y$5001,BD!$B$3:$B$5001,K$210,BD!$A$3:$A$5001,_xlfn.MAXIFS(BD!$A$3:$A$5001,BD!$B$3:$B$5001,K$210,BD!$A$3:$A$5001,"&gt;="&amp;$C$7,BD!$A$3:$A$5001,"&lt;="&amp;$B213,BD!$Y$3:$Y$5001,"&lt;&gt;"))))</f>
        <v/>
      </c>
      <c r="L213" s="43" t="str">
        <f>IF(OR($B213="",$A213&gt;$B$9,L$210=""),"",IF(COUNTIFS(BD!$B$3:$B$5001,L$210,BD!$A$3:$A$5001,"&gt;="&amp;$C$7,BD!$A$3:$A$5001,"&lt;="&amp;$B213,BD!$Y$3:$Y$5001,"&lt;&gt;")=0,"",SUMIFS(BD!$Y$3:$Y$5001,BD!$B$3:$B$5001,L$210,BD!$A$3:$A$5001,_xlfn.MAXIFS(BD!$A$3:$A$5001,BD!$B$3:$B$5001,L$210,BD!$A$3:$A$5001,"&gt;="&amp;$C$7,BD!$A$3:$A$5001,"&lt;="&amp;$B213,BD!$Y$3:$Y$5001,"&lt;&gt;"))))</f>
        <v/>
      </c>
      <c r="M213" s="43" t="str">
        <f>IF(OR($B213="",$A213&gt;$B$9,M$210=""),"",IF(COUNTIFS(BD!$B$3:$B$5001,M$210,BD!$A$3:$A$5001,"&gt;="&amp;$C$7,BD!$A$3:$A$5001,"&lt;="&amp;$B213,BD!$Y$3:$Y$5001,"&lt;&gt;")=0,"",SUMIFS(BD!$Y$3:$Y$5001,BD!$B$3:$B$5001,M$210,BD!$A$3:$A$5001,_xlfn.MAXIFS(BD!$A$3:$A$5001,BD!$B$3:$B$5001,M$210,BD!$A$3:$A$5001,"&gt;="&amp;$C$7,BD!$A$3:$A$5001,"&lt;="&amp;$B213,BD!$Y$3:$Y$5001,"&lt;&gt;"))))</f>
        <v/>
      </c>
      <c r="N213" s="43" t="str">
        <f>IF(OR($B213="",$A213&gt;$B$9,N$210=""),"",IF(COUNTIFS(BD!$B$3:$B$5001,N$210,BD!$A$3:$A$5001,"&gt;="&amp;$C$7,BD!$A$3:$A$5001,"&lt;="&amp;$B213,BD!$Y$3:$Y$5001,"&lt;&gt;")=0,"",SUMIFS(BD!$Y$3:$Y$5001,BD!$B$3:$B$5001,N$210,BD!$A$3:$A$5001,_xlfn.MAXIFS(BD!$A$3:$A$5001,BD!$B$3:$B$5001,N$210,BD!$A$3:$A$5001,"&gt;="&amp;$C$7,BD!$A$3:$A$5001,"&lt;="&amp;$B213,BD!$Y$3:$Y$5001,"&lt;&gt;"))))</f>
        <v/>
      </c>
      <c r="O213" s="43" t="str">
        <f>IF(OR($B213="",$A213&gt;$B$9,O$210=""),"",IF(COUNTIFS(BD!$B$3:$B$5001,O$210,BD!$A$3:$A$5001,"&gt;="&amp;$C$7,BD!$A$3:$A$5001,"&lt;="&amp;$B213,BD!$Y$3:$Y$5001,"&lt;&gt;")=0,"",SUMIFS(BD!$Y$3:$Y$5001,BD!$B$3:$B$5001,O$210,BD!$A$3:$A$5001,_xlfn.MAXIFS(BD!$A$3:$A$5001,BD!$B$3:$B$5001,O$210,BD!$A$3:$A$5001,"&gt;="&amp;$C$7,BD!$A$3:$A$5001,"&lt;="&amp;$B213,BD!$Y$3:$Y$5001,"&lt;&gt;"))))</f>
        <v/>
      </c>
      <c r="P213" s="43" t="str">
        <f>IF(OR($B213="",$A213&gt;$B$9,P$210=""),"",IF(COUNTIFS(BD!$B$3:$B$5001,P$210,BD!$A$3:$A$5001,"&gt;="&amp;$C$7,BD!$A$3:$A$5001,"&lt;="&amp;$B213,BD!$Y$3:$Y$5001,"&lt;&gt;")=0,"",SUMIFS(BD!$Y$3:$Y$5001,BD!$B$3:$B$5001,P$210,BD!$A$3:$A$5001,_xlfn.MAXIFS(BD!$A$3:$A$5001,BD!$B$3:$B$5001,P$210,BD!$A$3:$A$5001,"&gt;="&amp;$C$7,BD!$A$3:$A$5001,"&lt;="&amp;$B213,BD!$Y$3:$Y$5001,"&lt;&gt;"))))</f>
        <v/>
      </c>
      <c r="Q213" s="43" t="str">
        <f>IF(OR($B213="",$A213&gt;$B$9,Q$210=""),"",IF(COUNTIFS(BD!$B$3:$B$5001,Q$210,BD!$A$3:$A$5001,"&gt;="&amp;$C$7,BD!$A$3:$A$5001,"&lt;="&amp;$B213,BD!$Y$3:$Y$5001,"&lt;&gt;")=0,"",SUMIFS(BD!$Y$3:$Y$5001,BD!$B$3:$B$5001,Q$210,BD!$A$3:$A$5001,_xlfn.MAXIFS(BD!$A$3:$A$5001,BD!$B$3:$B$5001,Q$210,BD!$A$3:$A$5001,"&gt;="&amp;$C$7,BD!$A$3:$A$5001,"&lt;="&amp;$B213,BD!$Y$3:$Y$5001,"&lt;&gt;"))))</f>
        <v/>
      </c>
      <c r="R213" s="43" t="str">
        <f>IF(OR($B213="",$A213&gt;$B$9,R$210=""),"",IF(COUNTIFS(BD!$B$3:$B$5001,R$210,BD!$A$3:$A$5001,"&gt;="&amp;$C$7,BD!$A$3:$A$5001,"&lt;="&amp;$B213,BD!$Y$3:$Y$5001,"&lt;&gt;")=0,"",SUMIFS(BD!$Y$3:$Y$5001,BD!$B$3:$B$5001,R$210,BD!$A$3:$A$5001,_xlfn.MAXIFS(BD!$A$3:$A$5001,BD!$B$3:$B$5001,R$210,BD!$A$3:$A$5001,"&gt;="&amp;$C$7,BD!$A$3:$A$5001,"&lt;="&amp;$B213,BD!$Y$3:$Y$5001,"&lt;&gt;"))))</f>
        <v/>
      </c>
      <c r="S213" s="43" t="str">
        <f>IF(OR($B213="",$A213&gt;$B$9,S$210=""),"",IF(COUNTIFS(BD!$B$3:$B$5001,S$210,BD!$A$3:$A$5001,"&gt;="&amp;$C$7,BD!$A$3:$A$5001,"&lt;="&amp;$B213,BD!$Y$3:$Y$5001,"&lt;&gt;")=0,"",SUMIFS(BD!$Y$3:$Y$5001,BD!$B$3:$B$5001,S$210,BD!$A$3:$A$5001,_xlfn.MAXIFS(BD!$A$3:$A$5001,BD!$B$3:$B$5001,S$210,BD!$A$3:$A$5001,"&gt;="&amp;$C$7,BD!$A$3:$A$5001,"&lt;="&amp;$B213,BD!$Y$3:$Y$5001,"&lt;&gt;"))))</f>
        <v/>
      </c>
      <c r="T213" s="43" t="str">
        <f>IF(OR($B213="",$A213&gt;$B$9,T$210=""),"",IF(COUNTIFS(BD!$B$3:$B$5001,T$210,BD!$A$3:$A$5001,"&gt;="&amp;$C$7,BD!$A$3:$A$5001,"&lt;="&amp;$B213,BD!$Y$3:$Y$5001,"&lt;&gt;")=0,"",SUMIFS(BD!$Y$3:$Y$5001,BD!$B$3:$B$5001,T$210,BD!$A$3:$A$5001,_xlfn.MAXIFS(BD!$A$3:$A$5001,BD!$B$3:$B$5001,T$210,BD!$A$3:$A$5001,"&gt;="&amp;$C$7,BD!$A$3:$A$5001,"&lt;="&amp;$B213,BD!$Y$3:$Y$5001,"&lt;&gt;"))))</f>
        <v/>
      </c>
      <c r="U213" s="43" t="str">
        <f>IF(OR($B213="",$A213&gt;$B$9,U$210=""),"",IF(COUNTIFS(BD!$B$3:$B$5001,U$210,BD!$A$3:$A$5001,"&gt;="&amp;$C$7,BD!$A$3:$A$5001,"&lt;="&amp;$B213,BD!$Y$3:$Y$5001,"&lt;&gt;")=0,"",SUMIFS(BD!$Y$3:$Y$5001,BD!$B$3:$B$5001,U$210,BD!$A$3:$A$5001,_xlfn.MAXIFS(BD!$A$3:$A$5001,BD!$B$3:$B$5001,U$210,BD!$A$3:$A$5001,"&gt;="&amp;$C$7,BD!$A$3:$A$5001,"&lt;="&amp;$B213,BD!$Y$3:$Y$5001,"&lt;&gt;"))))</f>
        <v/>
      </c>
      <c r="V213" s="43" t="str">
        <f>IF(OR($B213="",$A213&gt;$B$9,V$210=""),"",IF(COUNTIFS(BD!$B$3:$B$5001,V$210,BD!$A$3:$A$5001,"&gt;="&amp;$C$7,BD!$A$3:$A$5001,"&lt;="&amp;$B213,BD!$Y$3:$Y$5001,"&lt;&gt;")=0,"",SUMIFS(BD!$Y$3:$Y$5001,BD!$B$3:$B$5001,V$210,BD!$A$3:$A$5001,_xlfn.MAXIFS(BD!$A$3:$A$5001,BD!$B$3:$B$5001,V$210,BD!$A$3:$A$5001,"&gt;="&amp;$C$7,BD!$A$3:$A$5001,"&lt;="&amp;$B213,BD!$Y$3:$Y$5001,"&lt;&gt;"))))</f>
        <v/>
      </c>
    </row>
    <row r="214">
      <c r="A214" s="38">
        <v>4</v>
      </c>
      <c r="B214" s="42">
        <f>$B$15</f>
        <v>46299</v>
      </c>
      <c r="C214" s="43" t="str">
        <f>IF(OR($B214="",$A214&gt;$B$9,C$210=""),"",IF(COUNTIFS(BD!$B$3:$B$5001,C$210,BD!$A$3:$A$5001,"&gt;="&amp;$C$7,BD!$A$3:$A$5001,"&lt;="&amp;$B214,BD!$Y$3:$Y$5001,"&lt;&gt;")=0,"",SUMIFS(BD!$Y$3:$Y$5001,BD!$B$3:$B$5001,C$210,BD!$A$3:$A$5001,_xlfn.MAXIFS(BD!$A$3:$A$5001,BD!$B$3:$B$5001,C$210,BD!$A$3:$A$5001,"&gt;="&amp;$C$7,BD!$A$3:$A$5001,"&lt;="&amp;$B214,BD!$Y$3:$Y$5001,"&lt;&gt;"))))</f>
        <v/>
      </c>
      <c r="D214" s="43" t="str">
        <f>IF(OR($B214="",$A214&gt;$B$9,D$210=""),"",IF(COUNTIFS(BD!$B$3:$B$5001,D$210,BD!$A$3:$A$5001,"&gt;="&amp;$C$7,BD!$A$3:$A$5001,"&lt;="&amp;$B214,BD!$Y$3:$Y$5001,"&lt;&gt;")=0,"",SUMIFS(BD!$Y$3:$Y$5001,BD!$B$3:$B$5001,D$210,BD!$A$3:$A$5001,_xlfn.MAXIFS(BD!$A$3:$A$5001,BD!$B$3:$B$5001,D$210,BD!$A$3:$A$5001,"&gt;="&amp;$C$7,BD!$A$3:$A$5001,"&lt;="&amp;$B214,BD!$Y$3:$Y$5001,"&lt;&gt;"))))</f>
        <v/>
      </c>
      <c r="E214" s="43" t="str">
        <f>IF(OR($B214="",$A214&gt;$B$9,E$210=""),"",IF(COUNTIFS(BD!$B$3:$B$5001,E$210,BD!$A$3:$A$5001,"&gt;="&amp;$C$7,BD!$A$3:$A$5001,"&lt;="&amp;$B214,BD!$Y$3:$Y$5001,"&lt;&gt;")=0,"",SUMIFS(BD!$Y$3:$Y$5001,BD!$B$3:$B$5001,E$210,BD!$A$3:$A$5001,_xlfn.MAXIFS(BD!$A$3:$A$5001,BD!$B$3:$B$5001,E$210,BD!$A$3:$A$5001,"&gt;="&amp;$C$7,BD!$A$3:$A$5001,"&lt;="&amp;$B214,BD!$Y$3:$Y$5001,"&lt;&gt;"))))</f>
        <v/>
      </c>
      <c r="F214" s="43" t="str">
        <f>IF(OR($B214="",$A214&gt;$B$9,F$210=""),"",IF(COUNTIFS(BD!$B$3:$B$5001,F$210,BD!$A$3:$A$5001,"&gt;="&amp;$C$7,BD!$A$3:$A$5001,"&lt;="&amp;$B214,BD!$Y$3:$Y$5001,"&lt;&gt;")=0,"",SUMIFS(BD!$Y$3:$Y$5001,BD!$B$3:$B$5001,F$210,BD!$A$3:$A$5001,_xlfn.MAXIFS(BD!$A$3:$A$5001,BD!$B$3:$B$5001,F$210,BD!$A$3:$A$5001,"&gt;="&amp;$C$7,BD!$A$3:$A$5001,"&lt;="&amp;$B214,BD!$Y$3:$Y$5001,"&lt;&gt;"))))</f>
        <v/>
      </c>
      <c r="G214" s="43" t="str">
        <f>IF(OR($B214="",$A214&gt;$B$9,G$210=""),"",IF(COUNTIFS(BD!$B$3:$B$5001,G$210,BD!$A$3:$A$5001,"&gt;="&amp;$C$7,BD!$A$3:$A$5001,"&lt;="&amp;$B214,BD!$Y$3:$Y$5001,"&lt;&gt;")=0,"",SUMIFS(BD!$Y$3:$Y$5001,BD!$B$3:$B$5001,G$210,BD!$A$3:$A$5001,_xlfn.MAXIFS(BD!$A$3:$A$5001,BD!$B$3:$B$5001,G$210,BD!$A$3:$A$5001,"&gt;="&amp;$C$7,BD!$A$3:$A$5001,"&lt;="&amp;$B214,BD!$Y$3:$Y$5001,"&lt;&gt;"))))</f>
        <v/>
      </c>
      <c r="H214" s="43" t="str">
        <f>IF(OR($B214="",$A214&gt;$B$9,H$210=""),"",IF(COUNTIFS(BD!$B$3:$B$5001,H$210,BD!$A$3:$A$5001,"&gt;="&amp;$C$7,BD!$A$3:$A$5001,"&lt;="&amp;$B214,BD!$Y$3:$Y$5001,"&lt;&gt;")=0,"",SUMIFS(BD!$Y$3:$Y$5001,BD!$B$3:$B$5001,H$210,BD!$A$3:$A$5001,_xlfn.MAXIFS(BD!$A$3:$A$5001,BD!$B$3:$B$5001,H$210,BD!$A$3:$A$5001,"&gt;="&amp;$C$7,BD!$A$3:$A$5001,"&lt;="&amp;$B214,BD!$Y$3:$Y$5001,"&lt;&gt;"))))</f>
        <v/>
      </c>
      <c r="I214" s="43" t="str">
        <f>IF(OR($B214="",$A214&gt;$B$9,I$210=""),"",IF(COUNTIFS(BD!$B$3:$B$5001,I$210,BD!$A$3:$A$5001,"&gt;="&amp;$C$7,BD!$A$3:$A$5001,"&lt;="&amp;$B214,BD!$Y$3:$Y$5001,"&lt;&gt;")=0,"",SUMIFS(BD!$Y$3:$Y$5001,BD!$B$3:$B$5001,I$210,BD!$A$3:$A$5001,_xlfn.MAXIFS(BD!$A$3:$A$5001,BD!$B$3:$B$5001,I$210,BD!$A$3:$A$5001,"&gt;="&amp;$C$7,BD!$A$3:$A$5001,"&lt;="&amp;$B214,BD!$Y$3:$Y$5001,"&lt;&gt;"))))</f>
        <v/>
      </c>
      <c r="J214" s="43" t="str">
        <f>IF(OR($B214="",$A214&gt;$B$9,J$210=""),"",IF(COUNTIFS(BD!$B$3:$B$5001,J$210,BD!$A$3:$A$5001,"&gt;="&amp;$C$7,BD!$A$3:$A$5001,"&lt;="&amp;$B214,BD!$Y$3:$Y$5001,"&lt;&gt;")=0,"",SUMIFS(BD!$Y$3:$Y$5001,BD!$B$3:$B$5001,J$210,BD!$A$3:$A$5001,_xlfn.MAXIFS(BD!$A$3:$A$5001,BD!$B$3:$B$5001,J$210,BD!$A$3:$A$5001,"&gt;="&amp;$C$7,BD!$A$3:$A$5001,"&lt;="&amp;$B214,BD!$Y$3:$Y$5001,"&lt;&gt;"))))</f>
        <v/>
      </c>
      <c r="K214" s="43" t="str">
        <f>IF(OR($B214="",$A214&gt;$B$9,K$210=""),"",IF(COUNTIFS(BD!$B$3:$B$5001,K$210,BD!$A$3:$A$5001,"&gt;="&amp;$C$7,BD!$A$3:$A$5001,"&lt;="&amp;$B214,BD!$Y$3:$Y$5001,"&lt;&gt;")=0,"",SUMIFS(BD!$Y$3:$Y$5001,BD!$B$3:$B$5001,K$210,BD!$A$3:$A$5001,_xlfn.MAXIFS(BD!$A$3:$A$5001,BD!$B$3:$B$5001,K$210,BD!$A$3:$A$5001,"&gt;="&amp;$C$7,BD!$A$3:$A$5001,"&lt;="&amp;$B214,BD!$Y$3:$Y$5001,"&lt;&gt;"))))</f>
        <v/>
      </c>
      <c r="L214" s="43" t="str">
        <f>IF(OR($B214="",$A214&gt;$B$9,L$210=""),"",IF(COUNTIFS(BD!$B$3:$B$5001,L$210,BD!$A$3:$A$5001,"&gt;="&amp;$C$7,BD!$A$3:$A$5001,"&lt;="&amp;$B214,BD!$Y$3:$Y$5001,"&lt;&gt;")=0,"",SUMIFS(BD!$Y$3:$Y$5001,BD!$B$3:$B$5001,L$210,BD!$A$3:$A$5001,_xlfn.MAXIFS(BD!$A$3:$A$5001,BD!$B$3:$B$5001,L$210,BD!$A$3:$A$5001,"&gt;="&amp;$C$7,BD!$A$3:$A$5001,"&lt;="&amp;$B214,BD!$Y$3:$Y$5001,"&lt;&gt;"))))</f>
        <v/>
      </c>
      <c r="M214" s="43" t="str">
        <f>IF(OR($B214="",$A214&gt;$B$9,M$210=""),"",IF(COUNTIFS(BD!$B$3:$B$5001,M$210,BD!$A$3:$A$5001,"&gt;="&amp;$C$7,BD!$A$3:$A$5001,"&lt;="&amp;$B214,BD!$Y$3:$Y$5001,"&lt;&gt;")=0,"",SUMIFS(BD!$Y$3:$Y$5001,BD!$B$3:$B$5001,M$210,BD!$A$3:$A$5001,_xlfn.MAXIFS(BD!$A$3:$A$5001,BD!$B$3:$B$5001,M$210,BD!$A$3:$A$5001,"&gt;="&amp;$C$7,BD!$A$3:$A$5001,"&lt;="&amp;$B214,BD!$Y$3:$Y$5001,"&lt;&gt;"))))</f>
        <v/>
      </c>
      <c r="N214" s="43" t="str">
        <f>IF(OR($B214="",$A214&gt;$B$9,N$210=""),"",IF(COUNTIFS(BD!$B$3:$B$5001,N$210,BD!$A$3:$A$5001,"&gt;="&amp;$C$7,BD!$A$3:$A$5001,"&lt;="&amp;$B214,BD!$Y$3:$Y$5001,"&lt;&gt;")=0,"",SUMIFS(BD!$Y$3:$Y$5001,BD!$B$3:$B$5001,N$210,BD!$A$3:$A$5001,_xlfn.MAXIFS(BD!$A$3:$A$5001,BD!$B$3:$B$5001,N$210,BD!$A$3:$A$5001,"&gt;="&amp;$C$7,BD!$A$3:$A$5001,"&lt;="&amp;$B214,BD!$Y$3:$Y$5001,"&lt;&gt;"))))</f>
        <v/>
      </c>
      <c r="O214" s="43" t="str">
        <f>IF(OR($B214="",$A214&gt;$B$9,O$210=""),"",IF(COUNTIFS(BD!$B$3:$B$5001,O$210,BD!$A$3:$A$5001,"&gt;="&amp;$C$7,BD!$A$3:$A$5001,"&lt;="&amp;$B214,BD!$Y$3:$Y$5001,"&lt;&gt;")=0,"",SUMIFS(BD!$Y$3:$Y$5001,BD!$B$3:$B$5001,O$210,BD!$A$3:$A$5001,_xlfn.MAXIFS(BD!$A$3:$A$5001,BD!$B$3:$B$5001,O$210,BD!$A$3:$A$5001,"&gt;="&amp;$C$7,BD!$A$3:$A$5001,"&lt;="&amp;$B214,BD!$Y$3:$Y$5001,"&lt;&gt;"))))</f>
        <v/>
      </c>
      <c r="P214" s="43" t="str">
        <f>IF(OR($B214="",$A214&gt;$B$9,P$210=""),"",IF(COUNTIFS(BD!$B$3:$B$5001,P$210,BD!$A$3:$A$5001,"&gt;="&amp;$C$7,BD!$A$3:$A$5001,"&lt;="&amp;$B214,BD!$Y$3:$Y$5001,"&lt;&gt;")=0,"",SUMIFS(BD!$Y$3:$Y$5001,BD!$B$3:$B$5001,P$210,BD!$A$3:$A$5001,_xlfn.MAXIFS(BD!$A$3:$A$5001,BD!$B$3:$B$5001,P$210,BD!$A$3:$A$5001,"&gt;="&amp;$C$7,BD!$A$3:$A$5001,"&lt;="&amp;$B214,BD!$Y$3:$Y$5001,"&lt;&gt;"))))</f>
        <v/>
      </c>
      <c r="Q214" s="43" t="str">
        <f>IF(OR($B214="",$A214&gt;$B$9,Q$210=""),"",IF(COUNTIFS(BD!$B$3:$B$5001,Q$210,BD!$A$3:$A$5001,"&gt;="&amp;$C$7,BD!$A$3:$A$5001,"&lt;="&amp;$B214,BD!$Y$3:$Y$5001,"&lt;&gt;")=0,"",SUMIFS(BD!$Y$3:$Y$5001,BD!$B$3:$B$5001,Q$210,BD!$A$3:$A$5001,_xlfn.MAXIFS(BD!$A$3:$A$5001,BD!$B$3:$B$5001,Q$210,BD!$A$3:$A$5001,"&gt;="&amp;$C$7,BD!$A$3:$A$5001,"&lt;="&amp;$B214,BD!$Y$3:$Y$5001,"&lt;&gt;"))))</f>
        <v/>
      </c>
      <c r="R214" s="43" t="str">
        <f>IF(OR($B214="",$A214&gt;$B$9,R$210=""),"",IF(COUNTIFS(BD!$B$3:$B$5001,R$210,BD!$A$3:$A$5001,"&gt;="&amp;$C$7,BD!$A$3:$A$5001,"&lt;="&amp;$B214,BD!$Y$3:$Y$5001,"&lt;&gt;")=0,"",SUMIFS(BD!$Y$3:$Y$5001,BD!$B$3:$B$5001,R$210,BD!$A$3:$A$5001,_xlfn.MAXIFS(BD!$A$3:$A$5001,BD!$B$3:$B$5001,R$210,BD!$A$3:$A$5001,"&gt;="&amp;$C$7,BD!$A$3:$A$5001,"&lt;="&amp;$B214,BD!$Y$3:$Y$5001,"&lt;&gt;"))))</f>
        <v/>
      </c>
      <c r="S214" s="43" t="str">
        <f>IF(OR($B214="",$A214&gt;$B$9,S$210=""),"",IF(COUNTIFS(BD!$B$3:$B$5001,S$210,BD!$A$3:$A$5001,"&gt;="&amp;$C$7,BD!$A$3:$A$5001,"&lt;="&amp;$B214,BD!$Y$3:$Y$5001,"&lt;&gt;")=0,"",SUMIFS(BD!$Y$3:$Y$5001,BD!$B$3:$B$5001,S$210,BD!$A$3:$A$5001,_xlfn.MAXIFS(BD!$A$3:$A$5001,BD!$B$3:$B$5001,S$210,BD!$A$3:$A$5001,"&gt;="&amp;$C$7,BD!$A$3:$A$5001,"&lt;="&amp;$B214,BD!$Y$3:$Y$5001,"&lt;&gt;"))))</f>
        <v/>
      </c>
      <c r="T214" s="43" t="str">
        <f>IF(OR($B214="",$A214&gt;$B$9,T$210=""),"",IF(COUNTIFS(BD!$B$3:$B$5001,T$210,BD!$A$3:$A$5001,"&gt;="&amp;$C$7,BD!$A$3:$A$5001,"&lt;="&amp;$B214,BD!$Y$3:$Y$5001,"&lt;&gt;")=0,"",SUMIFS(BD!$Y$3:$Y$5001,BD!$B$3:$B$5001,T$210,BD!$A$3:$A$5001,_xlfn.MAXIFS(BD!$A$3:$A$5001,BD!$B$3:$B$5001,T$210,BD!$A$3:$A$5001,"&gt;="&amp;$C$7,BD!$A$3:$A$5001,"&lt;="&amp;$B214,BD!$Y$3:$Y$5001,"&lt;&gt;"))))</f>
        <v/>
      </c>
      <c r="U214" s="43" t="str">
        <f>IF(OR($B214="",$A214&gt;$B$9,U$210=""),"",IF(COUNTIFS(BD!$B$3:$B$5001,U$210,BD!$A$3:$A$5001,"&gt;="&amp;$C$7,BD!$A$3:$A$5001,"&lt;="&amp;$B214,BD!$Y$3:$Y$5001,"&lt;&gt;")=0,"",SUMIFS(BD!$Y$3:$Y$5001,BD!$B$3:$B$5001,U$210,BD!$A$3:$A$5001,_xlfn.MAXIFS(BD!$A$3:$A$5001,BD!$B$3:$B$5001,U$210,BD!$A$3:$A$5001,"&gt;="&amp;$C$7,BD!$A$3:$A$5001,"&lt;="&amp;$B214,BD!$Y$3:$Y$5001,"&lt;&gt;"))))</f>
        <v/>
      </c>
      <c r="V214" s="43" t="str">
        <f>IF(OR($B214="",$A214&gt;$B$9,V$210=""),"",IF(COUNTIFS(BD!$B$3:$B$5001,V$210,BD!$A$3:$A$5001,"&gt;="&amp;$C$7,BD!$A$3:$A$5001,"&lt;="&amp;$B214,BD!$Y$3:$Y$5001,"&lt;&gt;")=0,"",SUMIFS(BD!$Y$3:$Y$5001,BD!$B$3:$B$5001,V$210,BD!$A$3:$A$5001,_xlfn.MAXIFS(BD!$A$3:$A$5001,BD!$B$3:$B$5001,V$210,BD!$A$3:$A$5001,"&gt;="&amp;$C$7,BD!$A$3:$A$5001,"&lt;="&amp;$B214,BD!$Y$3:$Y$5001,"&lt;&gt;"))))</f>
        <v/>
      </c>
    </row>
    <row r="215">
      <c r="A215" s="38">
        <v>5</v>
      </c>
      <c r="B215" s="42">
        <f>$B$16</f>
        <v>46300</v>
      </c>
      <c r="C215" s="43" t="str">
        <f>IF(OR($B215="",$A215&gt;$B$9,C$210=""),"",IF(COUNTIFS(BD!$B$3:$B$5001,C$210,BD!$A$3:$A$5001,"&gt;="&amp;$C$7,BD!$A$3:$A$5001,"&lt;="&amp;$B215,BD!$Y$3:$Y$5001,"&lt;&gt;")=0,"",SUMIFS(BD!$Y$3:$Y$5001,BD!$B$3:$B$5001,C$210,BD!$A$3:$A$5001,_xlfn.MAXIFS(BD!$A$3:$A$5001,BD!$B$3:$B$5001,C$210,BD!$A$3:$A$5001,"&gt;="&amp;$C$7,BD!$A$3:$A$5001,"&lt;="&amp;$B215,BD!$Y$3:$Y$5001,"&lt;&gt;"))))</f>
        <v/>
      </c>
      <c r="D215" s="43" t="str">
        <f>IF(OR($B215="",$A215&gt;$B$9,D$210=""),"",IF(COUNTIFS(BD!$B$3:$B$5001,D$210,BD!$A$3:$A$5001,"&gt;="&amp;$C$7,BD!$A$3:$A$5001,"&lt;="&amp;$B215,BD!$Y$3:$Y$5001,"&lt;&gt;")=0,"",SUMIFS(BD!$Y$3:$Y$5001,BD!$B$3:$B$5001,D$210,BD!$A$3:$A$5001,_xlfn.MAXIFS(BD!$A$3:$A$5001,BD!$B$3:$B$5001,D$210,BD!$A$3:$A$5001,"&gt;="&amp;$C$7,BD!$A$3:$A$5001,"&lt;="&amp;$B215,BD!$Y$3:$Y$5001,"&lt;&gt;"))))</f>
        <v/>
      </c>
      <c r="E215" s="43" t="str">
        <f>IF(OR($B215="",$A215&gt;$B$9,E$210=""),"",IF(COUNTIFS(BD!$B$3:$B$5001,E$210,BD!$A$3:$A$5001,"&gt;="&amp;$C$7,BD!$A$3:$A$5001,"&lt;="&amp;$B215,BD!$Y$3:$Y$5001,"&lt;&gt;")=0,"",SUMIFS(BD!$Y$3:$Y$5001,BD!$B$3:$B$5001,E$210,BD!$A$3:$A$5001,_xlfn.MAXIFS(BD!$A$3:$A$5001,BD!$B$3:$B$5001,E$210,BD!$A$3:$A$5001,"&gt;="&amp;$C$7,BD!$A$3:$A$5001,"&lt;="&amp;$B215,BD!$Y$3:$Y$5001,"&lt;&gt;"))))</f>
        <v/>
      </c>
      <c r="F215" s="43" t="str">
        <f>IF(OR($B215="",$A215&gt;$B$9,F$210=""),"",IF(COUNTIFS(BD!$B$3:$B$5001,F$210,BD!$A$3:$A$5001,"&gt;="&amp;$C$7,BD!$A$3:$A$5001,"&lt;="&amp;$B215,BD!$Y$3:$Y$5001,"&lt;&gt;")=0,"",SUMIFS(BD!$Y$3:$Y$5001,BD!$B$3:$B$5001,F$210,BD!$A$3:$A$5001,_xlfn.MAXIFS(BD!$A$3:$A$5001,BD!$B$3:$B$5001,F$210,BD!$A$3:$A$5001,"&gt;="&amp;$C$7,BD!$A$3:$A$5001,"&lt;="&amp;$B215,BD!$Y$3:$Y$5001,"&lt;&gt;"))))</f>
        <v/>
      </c>
      <c r="G215" s="43" t="str">
        <f>IF(OR($B215="",$A215&gt;$B$9,G$210=""),"",IF(COUNTIFS(BD!$B$3:$B$5001,G$210,BD!$A$3:$A$5001,"&gt;="&amp;$C$7,BD!$A$3:$A$5001,"&lt;="&amp;$B215,BD!$Y$3:$Y$5001,"&lt;&gt;")=0,"",SUMIFS(BD!$Y$3:$Y$5001,BD!$B$3:$B$5001,G$210,BD!$A$3:$A$5001,_xlfn.MAXIFS(BD!$A$3:$A$5001,BD!$B$3:$B$5001,G$210,BD!$A$3:$A$5001,"&gt;="&amp;$C$7,BD!$A$3:$A$5001,"&lt;="&amp;$B215,BD!$Y$3:$Y$5001,"&lt;&gt;"))))</f>
        <v/>
      </c>
      <c r="H215" s="43" t="str">
        <f>IF(OR($B215="",$A215&gt;$B$9,H$210=""),"",IF(COUNTIFS(BD!$B$3:$B$5001,H$210,BD!$A$3:$A$5001,"&gt;="&amp;$C$7,BD!$A$3:$A$5001,"&lt;="&amp;$B215,BD!$Y$3:$Y$5001,"&lt;&gt;")=0,"",SUMIFS(BD!$Y$3:$Y$5001,BD!$B$3:$B$5001,H$210,BD!$A$3:$A$5001,_xlfn.MAXIFS(BD!$A$3:$A$5001,BD!$B$3:$B$5001,H$210,BD!$A$3:$A$5001,"&gt;="&amp;$C$7,BD!$A$3:$A$5001,"&lt;="&amp;$B215,BD!$Y$3:$Y$5001,"&lt;&gt;"))))</f>
        <v/>
      </c>
      <c r="I215" s="43" t="str">
        <f>IF(OR($B215="",$A215&gt;$B$9,I$210=""),"",IF(COUNTIFS(BD!$B$3:$B$5001,I$210,BD!$A$3:$A$5001,"&gt;="&amp;$C$7,BD!$A$3:$A$5001,"&lt;="&amp;$B215,BD!$Y$3:$Y$5001,"&lt;&gt;")=0,"",SUMIFS(BD!$Y$3:$Y$5001,BD!$B$3:$B$5001,I$210,BD!$A$3:$A$5001,_xlfn.MAXIFS(BD!$A$3:$A$5001,BD!$B$3:$B$5001,I$210,BD!$A$3:$A$5001,"&gt;="&amp;$C$7,BD!$A$3:$A$5001,"&lt;="&amp;$B215,BD!$Y$3:$Y$5001,"&lt;&gt;"))))</f>
        <v/>
      </c>
      <c r="J215" s="43" t="str">
        <f>IF(OR($B215="",$A215&gt;$B$9,J$210=""),"",IF(COUNTIFS(BD!$B$3:$B$5001,J$210,BD!$A$3:$A$5001,"&gt;="&amp;$C$7,BD!$A$3:$A$5001,"&lt;="&amp;$B215,BD!$Y$3:$Y$5001,"&lt;&gt;")=0,"",SUMIFS(BD!$Y$3:$Y$5001,BD!$B$3:$B$5001,J$210,BD!$A$3:$A$5001,_xlfn.MAXIFS(BD!$A$3:$A$5001,BD!$B$3:$B$5001,J$210,BD!$A$3:$A$5001,"&gt;="&amp;$C$7,BD!$A$3:$A$5001,"&lt;="&amp;$B215,BD!$Y$3:$Y$5001,"&lt;&gt;"))))</f>
        <v/>
      </c>
      <c r="K215" s="43" t="str">
        <f>IF(OR($B215="",$A215&gt;$B$9,K$210=""),"",IF(COUNTIFS(BD!$B$3:$B$5001,K$210,BD!$A$3:$A$5001,"&gt;="&amp;$C$7,BD!$A$3:$A$5001,"&lt;="&amp;$B215,BD!$Y$3:$Y$5001,"&lt;&gt;")=0,"",SUMIFS(BD!$Y$3:$Y$5001,BD!$B$3:$B$5001,K$210,BD!$A$3:$A$5001,_xlfn.MAXIFS(BD!$A$3:$A$5001,BD!$B$3:$B$5001,K$210,BD!$A$3:$A$5001,"&gt;="&amp;$C$7,BD!$A$3:$A$5001,"&lt;="&amp;$B215,BD!$Y$3:$Y$5001,"&lt;&gt;"))))</f>
        <v/>
      </c>
      <c r="L215" s="43" t="str">
        <f>IF(OR($B215="",$A215&gt;$B$9,L$210=""),"",IF(COUNTIFS(BD!$B$3:$B$5001,L$210,BD!$A$3:$A$5001,"&gt;="&amp;$C$7,BD!$A$3:$A$5001,"&lt;="&amp;$B215,BD!$Y$3:$Y$5001,"&lt;&gt;")=0,"",SUMIFS(BD!$Y$3:$Y$5001,BD!$B$3:$B$5001,L$210,BD!$A$3:$A$5001,_xlfn.MAXIFS(BD!$A$3:$A$5001,BD!$B$3:$B$5001,L$210,BD!$A$3:$A$5001,"&gt;="&amp;$C$7,BD!$A$3:$A$5001,"&lt;="&amp;$B215,BD!$Y$3:$Y$5001,"&lt;&gt;"))))</f>
        <v/>
      </c>
      <c r="M215" s="43" t="str">
        <f>IF(OR($B215="",$A215&gt;$B$9,M$210=""),"",IF(COUNTIFS(BD!$B$3:$B$5001,M$210,BD!$A$3:$A$5001,"&gt;="&amp;$C$7,BD!$A$3:$A$5001,"&lt;="&amp;$B215,BD!$Y$3:$Y$5001,"&lt;&gt;")=0,"",SUMIFS(BD!$Y$3:$Y$5001,BD!$B$3:$B$5001,M$210,BD!$A$3:$A$5001,_xlfn.MAXIFS(BD!$A$3:$A$5001,BD!$B$3:$B$5001,M$210,BD!$A$3:$A$5001,"&gt;="&amp;$C$7,BD!$A$3:$A$5001,"&lt;="&amp;$B215,BD!$Y$3:$Y$5001,"&lt;&gt;"))))</f>
        <v/>
      </c>
      <c r="N215" s="43" t="str">
        <f>IF(OR($B215="",$A215&gt;$B$9,N$210=""),"",IF(COUNTIFS(BD!$B$3:$B$5001,N$210,BD!$A$3:$A$5001,"&gt;="&amp;$C$7,BD!$A$3:$A$5001,"&lt;="&amp;$B215,BD!$Y$3:$Y$5001,"&lt;&gt;")=0,"",SUMIFS(BD!$Y$3:$Y$5001,BD!$B$3:$B$5001,N$210,BD!$A$3:$A$5001,_xlfn.MAXIFS(BD!$A$3:$A$5001,BD!$B$3:$B$5001,N$210,BD!$A$3:$A$5001,"&gt;="&amp;$C$7,BD!$A$3:$A$5001,"&lt;="&amp;$B215,BD!$Y$3:$Y$5001,"&lt;&gt;"))))</f>
        <v/>
      </c>
      <c r="O215" s="43" t="str">
        <f>IF(OR($B215="",$A215&gt;$B$9,O$210=""),"",IF(COUNTIFS(BD!$B$3:$B$5001,O$210,BD!$A$3:$A$5001,"&gt;="&amp;$C$7,BD!$A$3:$A$5001,"&lt;="&amp;$B215,BD!$Y$3:$Y$5001,"&lt;&gt;")=0,"",SUMIFS(BD!$Y$3:$Y$5001,BD!$B$3:$B$5001,O$210,BD!$A$3:$A$5001,_xlfn.MAXIFS(BD!$A$3:$A$5001,BD!$B$3:$B$5001,O$210,BD!$A$3:$A$5001,"&gt;="&amp;$C$7,BD!$A$3:$A$5001,"&lt;="&amp;$B215,BD!$Y$3:$Y$5001,"&lt;&gt;"))))</f>
        <v/>
      </c>
      <c r="P215" s="43" t="str">
        <f>IF(OR($B215="",$A215&gt;$B$9,P$210=""),"",IF(COUNTIFS(BD!$B$3:$B$5001,P$210,BD!$A$3:$A$5001,"&gt;="&amp;$C$7,BD!$A$3:$A$5001,"&lt;="&amp;$B215,BD!$Y$3:$Y$5001,"&lt;&gt;")=0,"",SUMIFS(BD!$Y$3:$Y$5001,BD!$B$3:$B$5001,P$210,BD!$A$3:$A$5001,_xlfn.MAXIFS(BD!$A$3:$A$5001,BD!$B$3:$B$5001,P$210,BD!$A$3:$A$5001,"&gt;="&amp;$C$7,BD!$A$3:$A$5001,"&lt;="&amp;$B215,BD!$Y$3:$Y$5001,"&lt;&gt;"))))</f>
        <v/>
      </c>
      <c r="Q215" s="43" t="str">
        <f>IF(OR($B215="",$A215&gt;$B$9,Q$210=""),"",IF(COUNTIFS(BD!$B$3:$B$5001,Q$210,BD!$A$3:$A$5001,"&gt;="&amp;$C$7,BD!$A$3:$A$5001,"&lt;="&amp;$B215,BD!$Y$3:$Y$5001,"&lt;&gt;")=0,"",SUMIFS(BD!$Y$3:$Y$5001,BD!$B$3:$B$5001,Q$210,BD!$A$3:$A$5001,_xlfn.MAXIFS(BD!$A$3:$A$5001,BD!$B$3:$B$5001,Q$210,BD!$A$3:$A$5001,"&gt;="&amp;$C$7,BD!$A$3:$A$5001,"&lt;="&amp;$B215,BD!$Y$3:$Y$5001,"&lt;&gt;"))))</f>
        <v/>
      </c>
      <c r="R215" s="43" t="str">
        <f>IF(OR($B215="",$A215&gt;$B$9,R$210=""),"",IF(COUNTIFS(BD!$B$3:$B$5001,R$210,BD!$A$3:$A$5001,"&gt;="&amp;$C$7,BD!$A$3:$A$5001,"&lt;="&amp;$B215,BD!$Y$3:$Y$5001,"&lt;&gt;")=0,"",SUMIFS(BD!$Y$3:$Y$5001,BD!$B$3:$B$5001,R$210,BD!$A$3:$A$5001,_xlfn.MAXIFS(BD!$A$3:$A$5001,BD!$B$3:$B$5001,R$210,BD!$A$3:$A$5001,"&gt;="&amp;$C$7,BD!$A$3:$A$5001,"&lt;="&amp;$B215,BD!$Y$3:$Y$5001,"&lt;&gt;"))))</f>
        <v/>
      </c>
      <c r="S215" s="43" t="str">
        <f>IF(OR($B215="",$A215&gt;$B$9,S$210=""),"",IF(COUNTIFS(BD!$B$3:$B$5001,S$210,BD!$A$3:$A$5001,"&gt;="&amp;$C$7,BD!$A$3:$A$5001,"&lt;="&amp;$B215,BD!$Y$3:$Y$5001,"&lt;&gt;")=0,"",SUMIFS(BD!$Y$3:$Y$5001,BD!$B$3:$B$5001,S$210,BD!$A$3:$A$5001,_xlfn.MAXIFS(BD!$A$3:$A$5001,BD!$B$3:$B$5001,S$210,BD!$A$3:$A$5001,"&gt;="&amp;$C$7,BD!$A$3:$A$5001,"&lt;="&amp;$B215,BD!$Y$3:$Y$5001,"&lt;&gt;"))))</f>
        <v/>
      </c>
      <c r="T215" s="43" t="str">
        <f>IF(OR($B215="",$A215&gt;$B$9,T$210=""),"",IF(COUNTIFS(BD!$B$3:$B$5001,T$210,BD!$A$3:$A$5001,"&gt;="&amp;$C$7,BD!$A$3:$A$5001,"&lt;="&amp;$B215,BD!$Y$3:$Y$5001,"&lt;&gt;")=0,"",SUMIFS(BD!$Y$3:$Y$5001,BD!$B$3:$B$5001,T$210,BD!$A$3:$A$5001,_xlfn.MAXIFS(BD!$A$3:$A$5001,BD!$B$3:$B$5001,T$210,BD!$A$3:$A$5001,"&gt;="&amp;$C$7,BD!$A$3:$A$5001,"&lt;="&amp;$B215,BD!$Y$3:$Y$5001,"&lt;&gt;"))))</f>
        <v/>
      </c>
      <c r="U215" s="43" t="str">
        <f>IF(OR($B215="",$A215&gt;$B$9,U$210=""),"",IF(COUNTIFS(BD!$B$3:$B$5001,U$210,BD!$A$3:$A$5001,"&gt;="&amp;$C$7,BD!$A$3:$A$5001,"&lt;="&amp;$B215,BD!$Y$3:$Y$5001,"&lt;&gt;")=0,"",SUMIFS(BD!$Y$3:$Y$5001,BD!$B$3:$B$5001,U$210,BD!$A$3:$A$5001,_xlfn.MAXIFS(BD!$A$3:$A$5001,BD!$B$3:$B$5001,U$210,BD!$A$3:$A$5001,"&gt;="&amp;$C$7,BD!$A$3:$A$5001,"&lt;="&amp;$B215,BD!$Y$3:$Y$5001,"&lt;&gt;"))))</f>
        <v/>
      </c>
      <c r="V215" s="43" t="str">
        <f>IF(OR($B215="",$A215&gt;$B$9,V$210=""),"",IF(COUNTIFS(BD!$B$3:$B$5001,V$210,BD!$A$3:$A$5001,"&gt;="&amp;$C$7,BD!$A$3:$A$5001,"&lt;="&amp;$B215,BD!$Y$3:$Y$5001,"&lt;&gt;")=0,"",SUMIFS(BD!$Y$3:$Y$5001,BD!$B$3:$B$5001,V$210,BD!$A$3:$A$5001,_xlfn.MAXIFS(BD!$A$3:$A$5001,BD!$B$3:$B$5001,V$210,BD!$A$3:$A$5001,"&gt;="&amp;$C$7,BD!$A$3:$A$5001,"&lt;="&amp;$B215,BD!$Y$3:$Y$5001,"&lt;&gt;"))))</f>
        <v/>
      </c>
    </row>
    <row r="216">
      <c r="A216" s="38">
        <v>6</v>
      </c>
      <c r="B216" s="42">
        <f>$B$17</f>
        <v>46301</v>
      </c>
      <c r="C216" s="43" t="str">
        <f>IF(OR($B216="",$A216&gt;$B$9,C$210=""),"",IF(COUNTIFS(BD!$B$3:$B$5001,C$210,BD!$A$3:$A$5001,"&gt;="&amp;$C$7,BD!$A$3:$A$5001,"&lt;="&amp;$B216,BD!$Y$3:$Y$5001,"&lt;&gt;")=0,"",SUMIFS(BD!$Y$3:$Y$5001,BD!$B$3:$B$5001,C$210,BD!$A$3:$A$5001,_xlfn.MAXIFS(BD!$A$3:$A$5001,BD!$B$3:$B$5001,C$210,BD!$A$3:$A$5001,"&gt;="&amp;$C$7,BD!$A$3:$A$5001,"&lt;="&amp;$B216,BD!$Y$3:$Y$5001,"&lt;&gt;"))))</f>
        <v/>
      </c>
      <c r="D216" s="43" t="str">
        <f>IF(OR($B216="",$A216&gt;$B$9,D$210=""),"",IF(COUNTIFS(BD!$B$3:$B$5001,D$210,BD!$A$3:$A$5001,"&gt;="&amp;$C$7,BD!$A$3:$A$5001,"&lt;="&amp;$B216,BD!$Y$3:$Y$5001,"&lt;&gt;")=0,"",SUMIFS(BD!$Y$3:$Y$5001,BD!$B$3:$B$5001,D$210,BD!$A$3:$A$5001,_xlfn.MAXIFS(BD!$A$3:$A$5001,BD!$B$3:$B$5001,D$210,BD!$A$3:$A$5001,"&gt;="&amp;$C$7,BD!$A$3:$A$5001,"&lt;="&amp;$B216,BD!$Y$3:$Y$5001,"&lt;&gt;"))))</f>
        <v/>
      </c>
      <c r="E216" s="43" t="str">
        <f>IF(OR($B216="",$A216&gt;$B$9,E$210=""),"",IF(COUNTIFS(BD!$B$3:$B$5001,E$210,BD!$A$3:$A$5001,"&gt;="&amp;$C$7,BD!$A$3:$A$5001,"&lt;="&amp;$B216,BD!$Y$3:$Y$5001,"&lt;&gt;")=0,"",SUMIFS(BD!$Y$3:$Y$5001,BD!$B$3:$B$5001,E$210,BD!$A$3:$A$5001,_xlfn.MAXIFS(BD!$A$3:$A$5001,BD!$B$3:$B$5001,E$210,BD!$A$3:$A$5001,"&gt;="&amp;$C$7,BD!$A$3:$A$5001,"&lt;="&amp;$B216,BD!$Y$3:$Y$5001,"&lt;&gt;"))))</f>
        <v/>
      </c>
      <c r="F216" s="43" t="str">
        <f>IF(OR($B216="",$A216&gt;$B$9,F$210=""),"",IF(COUNTIFS(BD!$B$3:$B$5001,F$210,BD!$A$3:$A$5001,"&gt;="&amp;$C$7,BD!$A$3:$A$5001,"&lt;="&amp;$B216,BD!$Y$3:$Y$5001,"&lt;&gt;")=0,"",SUMIFS(BD!$Y$3:$Y$5001,BD!$B$3:$B$5001,F$210,BD!$A$3:$A$5001,_xlfn.MAXIFS(BD!$A$3:$A$5001,BD!$B$3:$B$5001,F$210,BD!$A$3:$A$5001,"&gt;="&amp;$C$7,BD!$A$3:$A$5001,"&lt;="&amp;$B216,BD!$Y$3:$Y$5001,"&lt;&gt;"))))</f>
        <v/>
      </c>
      <c r="G216" s="43" t="str">
        <f>IF(OR($B216="",$A216&gt;$B$9,G$210=""),"",IF(COUNTIFS(BD!$B$3:$B$5001,G$210,BD!$A$3:$A$5001,"&gt;="&amp;$C$7,BD!$A$3:$A$5001,"&lt;="&amp;$B216,BD!$Y$3:$Y$5001,"&lt;&gt;")=0,"",SUMIFS(BD!$Y$3:$Y$5001,BD!$B$3:$B$5001,G$210,BD!$A$3:$A$5001,_xlfn.MAXIFS(BD!$A$3:$A$5001,BD!$B$3:$B$5001,G$210,BD!$A$3:$A$5001,"&gt;="&amp;$C$7,BD!$A$3:$A$5001,"&lt;="&amp;$B216,BD!$Y$3:$Y$5001,"&lt;&gt;"))))</f>
        <v/>
      </c>
      <c r="H216" s="43" t="str">
        <f>IF(OR($B216="",$A216&gt;$B$9,H$210=""),"",IF(COUNTIFS(BD!$B$3:$B$5001,H$210,BD!$A$3:$A$5001,"&gt;="&amp;$C$7,BD!$A$3:$A$5001,"&lt;="&amp;$B216,BD!$Y$3:$Y$5001,"&lt;&gt;")=0,"",SUMIFS(BD!$Y$3:$Y$5001,BD!$B$3:$B$5001,H$210,BD!$A$3:$A$5001,_xlfn.MAXIFS(BD!$A$3:$A$5001,BD!$B$3:$B$5001,H$210,BD!$A$3:$A$5001,"&gt;="&amp;$C$7,BD!$A$3:$A$5001,"&lt;="&amp;$B216,BD!$Y$3:$Y$5001,"&lt;&gt;"))))</f>
        <v/>
      </c>
      <c r="I216" s="43" t="str">
        <f>IF(OR($B216="",$A216&gt;$B$9,I$210=""),"",IF(COUNTIFS(BD!$B$3:$B$5001,I$210,BD!$A$3:$A$5001,"&gt;="&amp;$C$7,BD!$A$3:$A$5001,"&lt;="&amp;$B216,BD!$Y$3:$Y$5001,"&lt;&gt;")=0,"",SUMIFS(BD!$Y$3:$Y$5001,BD!$B$3:$B$5001,I$210,BD!$A$3:$A$5001,_xlfn.MAXIFS(BD!$A$3:$A$5001,BD!$B$3:$B$5001,I$210,BD!$A$3:$A$5001,"&gt;="&amp;$C$7,BD!$A$3:$A$5001,"&lt;="&amp;$B216,BD!$Y$3:$Y$5001,"&lt;&gt;"))))</f>
        <v/>
      </c>
      <c r="J216" s="43" t="str">
        <f>IF(OR($B216="",$A216&gt;$B$9,J$210=""),"",IF(COUNTIFS(BD!$B$3:$B$5001,J$210,BD!$A$3:$A$5001,"&gt;="&amp;$C$7,BD!$A$3:$A$5001,"&lt;="&amp;$B216,BD!$Y$3:$Y$5001,"&lt;&gt;")=0,"",SUMIFS(BD!$Y$3:$Y$5001,BD!$B$3:$B$5001,J$210,BD!$A$3:$A$5001,_xlfn.MAXIFS(BD!$A$3:$A$5001,BD!$B$3:$B$5001,J$210,BD!$A$3:$A$5001,"&gt;="&amp;$C$7,BD!$A$3:$A$5001,"&lt;="&amp;$B216,BD!$Y$3:$Y$5001,"&lt;&gt;"))))</f>
        <v/>
      </c>
      <c r="K216" s="43" t="str">
        <f>IF(OR($B216="",$A216&gt;$B$9,K$210=""),"",IF(COUNTIFS(BD!$B$3:$B$5001,K$210,BD!$A$3:$A$5001,"&gt;="&amp;$C$7,BD!$A$3:$A$5001,"&lt;="&amp;$B216,BD!$Y$3:$Y$5001,"&lt;&gt;")=0,"",SUMIFS(BD!$Y$3:$Y$5001,BD!$B$3:$B$5001,K$210,BD!$A$3:$A$5001,_xlfn.MAXIFS(BD!$A$3:$A$5001,BD!$B$3:$B$5001,K$210,BD!$A$3:$A$5001,"&gt;="&amp;$C$7,BD!$A$3:$A$5001,"&lt;="&amp;$B216,BD!$Y$3:$Y$5001,"&lt;&gt;"))))</f>
        <v/>
      </c>
      <c r="L216" s="43" t="str">
        <f>IF(OR($B216="",$A216&gt;$B$9,L$210=""),"",IF(COUNTIFS(BD!$B$3:$B$5001,L$210,BD!$A$3:$A$5001,"&gt;="&amp;$C$7,BD!$A$3:$A$5001,"&lt;="&amp;$B216,BD!$Y$3:$Y$5001,"&lt;&gt;")=0,"",SUMIFS(BD!$Y$3:$Y$5001,BD!$B$3:$B$5001,L$210,BD!$A$3:$A$5001,_xlfn.MAXIFS(BD!$A$3:$A$5001,BD!$B$3:$B$5001,L$210,BD!$A$3:$A$5001,"&gt;="&amp;$C$7,BD!$A$3:$A$5001,"&lt;="&amp;$B216,BD!$Y$3:$Y$5001,"&lt;&gt;"))))</f>
        <v/>
      </c>
      <c r="M216" s="43" t="str">
        <f>IF(OR($B216="",$A216&gt;$B$9,M$210=""),"",IF(COUNTIFS(BD!$B$3:$B$5001,M$210,BD!$A$3:$A$5001,"&gt;="&amp;$C$7,BD!$A$3:$A$5001,"&lt;="&amp;$B216,BD!$Y$3:$Y$5001,"&lt;&gt;")=0,"",SUMIFS(BD!$Y$3:$Y$5001,BD!$B$3:$B$5001,M$210,BD!$A$3:$A$5001,_xlfn.MAXIFS(BD!$A$3:$A$5001,BD!$B$3:$B$5001,M$210,BD!$A$3:$A$5001,"&gt;="&amp;$C$7,BD!$A$3:$A$5001,"&lt;="&amp;$B216,BD!$Y$3:$Y$5001,"&lt;&gt;"))))</f>
        <v/>
      </c>
      <c r="N216" s="43" t="str">
        <f>IF(OR($B216="",$A216&gt;$B$9,N$210=""),"",IF(COUNTIFS(BD!$B$3:$B$5001,N$210,BD!$A$3:$A$5001,"&gt;="&amp;$C$7,BD!$A$3:$A$5001,"&lt;="&amp;$B216,BD!$Y$3:$Y$5001,"&lt;&gt;")=0,"",SUMIFS(BD!$Y$3:$Y$5001,BD!$B$3:$B$5001,N$210,BD!$A$3:$A$5001,_xlfn.MAXIFS(BD!$A$3:$A$5001,BD!$B$3:$B$5001,N$210,BD!$A$3:$A$5001,"&gt;="&amp;$C$7,BD!$A$3:$A$5001,"&lt;="&amp;$B216,BD!$Y$3:$Y$5001,"&lt;&gt;"))))</f>
        <v/>
      </c>
      <c r="O216" s="43" t="str">
        <f>IF(OR($B216="",$A216&gt;$B$9,O$210=""),"",IF(COUNTIFS(BD!$B$3:$B$5001,O$210,BD!$A$3:$A$5001,"&gt;="&amp;$C$7,BD!$A$3:$A$5001,"&lt;="&amp;$B216,BD!$Y$3:$Y$5001,"&lt;&gt;")=0,"",SUMIFS(BD!$Y$3:$Y$5001,BD!$B$3:$B$5001,O$210,BD!$A$3:$A$5001,_xlfn.MAXIFS(BD!$A$3:$A$5001,BD!$B$3:$B$5001,O$210,BD!$A$3:$A$5001,"&gt;="&amp;$C$7,BD!$A$3:$A$5001,"&lt;="&amp;$B216,BD!$Y$3:$Y$5001,"&lt;&gt;"))))</f>
        <v/>
      </c>
      <c r="P216" s="43" t="str">
        <f>IF(OR($B216="",$A216&gt;$B$9,P$210=""),"",IF(COUNTIFS(BD!$B$3:$B$5001,P$210,BD!$A$3:$A$5001,"&gt;="&amp;$C$7,BD!$A$3:$A$5001,"&lt;="&amp;$B216,BD!$Y$3:$Y$5001,"&lt;&gt;")=0,"",SUMIFS(BD!$Y$3:$Y$5001,BD!$B$3:$B$5001,P$210,BD!$A$3:$A$5001,_xlfn.MAXIFS(BD!$A$3:$A$5001,BD!$B$3:$B$5001,P$210,BD!$A$3:$A$5001,"&gt;="&amp;$C$7,BD!$A$3:$A$5001,"&lt;="&amp;$B216,BD!$Y$3:$Y$5001,"&lt;&gt;"))))</f>
        <v/>
      </c>
      <c r="Q216" s="43" t="str">
        <f>IF(OR($B216="",$A216&gt;$B$9,Q$210=""),"",IF(COUNTIFS(BD!$B$3:$B$5001,Q$210,BD!$A$3:$A$5001,"&gt;="&amp;$C$7,BD!$A$3:$A$5001,"&lt;="&amp;$B216,BD!$Y$3:$Y$5001,"&lt;&gt;")=0,"",SUMIFS(BD!$Y$3:$Y$5001,BD!$B$3:$B$5001,Q$210,BD!$A$3:$A$5001,_xlfn.MAXIFS(BD!$A$3:$A$5001,BD!$B$3:$B$5001,Q$210,BD!$A$3:$A$5001,"&gt;="&amp;$C$7,BD!$A$3:$A$5001,"&lt;="&amp;$B216,BD!$Y$3:$Y$5001,"&lt;&gt;"))))</f>
        <v/>
      </c>
      <c r="R216" s="43" t="str">
        <f>IF(OR($B216="",$A216&gt;$B$9,R$210=""),"",IF(COUNTIFS(BD!$B$3:$B$5001,R$210,BD!$A$3:$A$5001,"&gt;="&amp;$C$7,BD!$A$3:$A$5001,"&lt;="&amp;$B216,BD!$Y$3:$Y$5001,"&lt;&gt;")=0,"",SUMIFS(BD!$Y$3:$Y$5001,BD!$B$3:$B$5001,R$210,BD!$A$3:$A$5001,_xlfn.MAXIFS(BD!$A$3:$A$5001,BD!$B$3:$B$5001,R$210,BD!$A$3:$A$5001,"&gt;="&amp;$C$7,BD!$A$3:$A$5001,"&lt;="&amp;$B216,BD!$Y$3:$Y$5001,"&lt;&gt;"))))</f>
        <v/>
      </c>
      <c r="S216" s="43" t="str">
        <f>IF(OR($B216="",$A216&gt;$B$9,S$210=""),"",IF(COUNTIFS(BD!$B$3:$B$5001,S$210,BD!$A$3:$A$5001,"&gt;="&amp;$C$7,BD!$A$3:$A$5001,"&lt;="&amp;$B216,BD!$Y$3:$Y$5001,"&lt;&gt;")=0,"",SUMIFS(BD!$Y$3:$Y$5001,BD!$B$3:$B$5001,S$210,BD!$A$3:$A$5001,_xlfn.MAXIFS(BD!$A$3:$A$5001,BD!$B$3:$B$5001,S$210,BD!$A$3:$A$5001,"&gt;="&amp;$C$7,BD!$A$3:$A$5001,"&lt;="&amp;$B216,BD!$Y$3:$Y$5001,"&lt;&gt;"))))</f>
        <v/>
      </c>
      <c r="T216" s="43" t="str">
        <f>IF(OR($B216="",$A216&gt;$B$9,T$210=""),"",IF(COUNTIFS(BD!$B$3:$B$5001,T$210,BD!$A$3:$A$5001,"&gt;="&amp;$C$7,BD!$A$3:$A$5001,"&lt;="&amp;$B216,BD!$Y$3:$Y$5001,"&lt;&gt;")=0,"",SUMIFS(BD!$Y$3:$Y$5001,BD!$B$3:$B$5001,T$210,BD!$A$3:$A$5001,_xlfn.MAXIFS(BD!$A$3:$A$5001,BD!$B$3:$B$5001,T$210,BD!$A$3:$A$5001,"&gt;="&amp;$C$7,BD!$A$3:$A$5001,"&lt;="&amp;$B216,BD!$Y$3:$Y$5001,"&lt;&gt;"))))</f>
        <v/>
      </c>
      <c r="U216" s="43" t="str">
        <f>IF(OR($B216="",$A216&gt;$B$9,U$210=""),"",IF(COUNTIFS(BD!$B$3:$B$5001,U$210,BD!$A$3:$A$5001,"&gt;="&amp;$C$7,BD!$A$3:$A$5001,"&lt;="&amp;$B216,BD!$Y$3:$Y$5001,"&lt;&gt;")=0,"",SUMIFS(BD!$Y$3:$Y$5001,BD!$B$3:$B$5001,U$210,BD!$A$3:$A$5001,_xlfn.MAXIFS(BD!$A$3:$A$5001,BD!$B$3:$B$5001,U$210,BD!$A$3:$A$5001,"&gt;="&amp;$C$7,BD!$A$3:$A$5001,"&lt;="&amp;$B216,BD!$Y$3:$Y$5001,"&lt;&gt;"))))</f>
        <v/>
      </c>
      <c r="V216" s="43" t="str">
        <f>IF(OR($B216="",$A216&gt;$B$9,V$210=""),"",IF(COUNTIFS(BD!$B$3:$B$5001,V$210,BD!$A$3:$A$5001,"&gt;="&amp;$C$7,BD!$A$3:$A$5001,"&lt;="&amp;$B216,BD!$Y$3:$Y$5001,"&lt;&gt;")=0,"",SUMIFS(BD!$Y$3:$Y$5001,BD!$B$3:$B$5001,V$210,BD!$A$3:$A$5001,_xlfn.MAXIFS(BD!$A$3:$A$5001,BD!$B$3:$B$5001,V$210,BD!$A$3:$A$5001,"&gt;="&amp;$C$7,BD!$A$3:$A$5001,"&lt;="&amp;$B216,BD!$Y$3:$Y$5001,"&lt;&gt;"))))</f>
        <v/>
      </c>
    </row>
    <row r="217">
      <c r="A217" s="38">
        <v>7</v>
      </c>
      <c r="B217" s="42">
        <f>$B$18</f>
        <v>46302</v>
      </c>
      <c r="C217" s="43" t="str">
        <f>IF(OR($B217="",$A217&gt;$B$9,C$210=""),"",IF(COUNTIFS(BD!$B$3:$B$5001,C$210,BD!$A$3:$A$5001,"&gt;="&amp;$C$7,BD!$A$3:$A$5001,"&lt;="&amp;$B217,BD!$Y$3:$Y$5001,"&lt;&gt;")=0,"",SUMIFS(BD!$Y$3:$Y$5001,BD!$B$3:$B$5001,C$210,BD!$A$3:$A$5001,_xlfn.MAXIFS(BD!$A$3:$A$5001,BD!$B$3:$B$5001,C$210,BD!$A$3:$A$5001,"&gt;="&amp;$C$7,BD!$A$3:$A$5001,"&lt;="&amp;$B217,BD!$Y$3:$Y$5001,"&lt;&gt;"))))</f>
        <v/>
      </c>
      <c r="D217" s="43" t="str">
        <f>IF(OR($B217="",$A217&gt;$B$9,D$210=""),"",IF(COUNTIFS(BD!$B$3:$B$5001,D$210,BD!$A$3:$A$5001,"&gt;="&amp;$C$7,BD!$A$3:$A$5001,"&lt;="&amp;$B217,BD!$Y$3:$Y$5001,"&lt;&gt;")=0,"",SUMIFS(BD!$Y$3:$Y$5001,BD!$B$3:$B$5001,D$210,BD!$A$3:$A$5001,_xlfn.MAXIFS(BD!$A$3:$A$5001,BD!$B$3:$B$5001,D$210,BD!$A$3:$A$5001,"&gt;="&amp;$C$7,BD!$A$3:$A$5001,"&lt;="&amp;$B217,BD!$Y$3:$Y$5001,"&lt;&gt;"))))</f>
        <v/>
      </c>
      <c r="E217" s="43" t="str">
        <f>IF(OR($B217="",$A217&gt;$B$9,E$210=""),"",IF(COUNTIFS(BD!$B$3:$B$5001,E$210,BD!$A$3:$A$5001,"&gt;="&amp;$C$7,BD!$A$3:$A$5001,"&lt;="&amp;$B217,BD!$Y$3:$Y$5001,"&lt;&gt;")=0,"",SUMIFS(BD!$Y$3:$Y$5001,BD!$B$3:$B$5001,E$210,BD!$A$3:$A$5001,_xlfn.MAXIFS(BD!$A$3:$A$5001,BD!$B$3:$B$5001,E$210,BD!$A$3:$A$5001,"&gt;="&amp;$C$7,BD!$A$3:$A$5001,"&lt;="&amp;$B217,BD!$Y$3:$Y$5001,"&lt;&gt;"))))</f>
        <v/>
      </c>
      <c r="F217" s="43" t="str">
        <f>IF(OR($B217="",$A217&gt;$B$9,F$210=""),"",IF(COUNTIFS(BD!$B$3:$B$5001,F$210,BD!$A$3:$A$5001,"&gt;="&amp;$C$7,BD!$A$3:$A$5001,"&lt;="&amp;$B217,BD!$Y$3:$Y$5001,"&lt;&gt;")=0,"",SUMIFS(BD!$Y$3:$Y$5001,BD!$B$3:$B$5001,F$210,BD!$A$3:$A$5001,_xlfn.MAXIFS(BD!$A$3:$A$5001,BD!$B$3:$B$5001,F$210,BD!$A$3:$A$5001,"&gt;="&amp;$C$7,BD!$A$3:$A$5001,"&lt;="&amp;$B217,BD!$Y$3:$Y$5001,"&lt;&gt;"))))</f>
        <v/>
      </c>
      <c r="G217" s="43" t="str">
        <f>IF(OR($B217="",$A217&gt;$B$9,G$210=""),"",IF(COUNTIFS(BD!$B$3:$B$5001,G$210,BD!$A$3:$A$5001,"&gt;="&amp;$C$7,BD!$A$3:$A$5001,"&lt;="&amp;$B217,BD!$Y$3:$Y$5001,"&lt;&gt;")=0,"",SUMIFS(BD!$Y$3:$Y$5001,BD!$B$3:$B$5001,G$210,BD!$A$3:$A$5001,_xlfn.MAXIFS(BD!$A$3:$A$5001,BD!$B$3:$B$5001,G$210,BD!$A$3:$A$5001,"&gt;="&amp;$C$7,BD!$A$3:$A$5001,"&lt;="&amp;$B217,BD!$Y$3:$Y$5001,"&lt;&gt;"))))</f>
        <v/>
      </c>
      <c r="H217" s="43" t="str">
        <f>IF(OR($B217="",$A217&gt;$B$9,H$210=""),"",IF(COUNTIFS(BD!$B$3:$B$5001,H$210,BD!$A$3:$A$5001,"&gt;="&amp;$C$7,BD!$A$3:$A$5001,"&lt;="&amp;$B217,BD!$Y$3:$Y$5001,"&lt;&gt;")=0,"",SUMIFS(BD!$Y$3:$Y$5001,BD!$B$3:$B$5001,H$210,BD!$A$3:$A$5001,_xlfn.MAXIFS(BD!$A$3:$A$5001,BD!$B$3:$B$5001,H$210,BD!$A$3:$A$5001,"&gt;="&amp;$C$7,BD!$A$3:$A$5001,"&lt;="&amp;$B217,BD!$Y$3:$Y$5001,"&lt;&gt;"))))</f>
        <v/>
      </c>
      <c r="I217" s="43" t="str">
        <f>IF(OR($B217="",$A217&gt;$B$9,I$210=""),"",IF(COUNTIFS(BD!$B$3:$B$5001,I$210,BD!$A$3:$A$5001,"&gt;="&amp;$C$7,BD!$A$3:$A$5001,"&lt;="&amp;$B217,BD!$Y$3:$Y$5001,"&lt;&gt;")=0,"",SUMIFS(BD!$Y$3:$Y$5001,BD!$B$3:$B$5001,I$210,BD!$A$3:$A$5001,_xlfn.MAXIFS(BD!$A$3:$A$5001,BD!$B$3:$B$5001,I$210,BD!$A$3:$A$5001,"&gt;="&amp;$C$7,BD!$A$3:$A$5001,"&lt;="&amp;$B217,BD!$Y$3:$Y$5001,"&lt;&gt;"))))</f>
        <v/>
      </c>
      <c r="J217" s="43" t="str">
        <f>IF(OR($B217="",$A217&gt;$B$9,J$210=""),"",IF(COUNTIFS(BD!$B$3:$B$5001,J$210,BD!$A$3:$A$5001,"&gt;="&amp;$C$7,BD!$A$3:$A$5001,"&lt;="&amp;$B217,BD!$Y$3:$Y$5001,"&lt;&gt;")=0,"",SUMIFS(BD!$Y$3:$Y$5001,BD!$B$3:$B$5001,J$210,BD!$A$3:$A$5001,_xlfn.MAXIFS(BD!$A$3:$A$5001,BD!$B$3:$B$5001,J$210,BD!$A$3:$A$5001,"&gt;="&amp;$C$7,BD!$A$3:$A$5001,"&lt;="&amp;$B217,BD!$Y$3:$Y$5001,"&lt;&gt;"))))</f>
        <v/>
      </c>
      <c r="K217" s="43" t="str">
        <f>IF(OR($B217="",$A217&gt;$B$9,K$210=""),"",IF(COUNTIFS(BD!$B$3:$B$5001,K$210,BD!$A$3:$A$5001,"&gt;="&amp;$C$7,BD!$A$3:$A$5001,"&lt;="&amp;$B217,BD!$Y$3:$Y$5001,"&lt;&gt;")=0,"",SUMIFS(BD!$Y$3:$Y$5001,BD!$B$3:$B$5001,K$210,BD!$A$3:$A$5001,_xlfn.MAXIFS(BD!$A$3:$A$5001,BD!$B$3:$B$5001,K$210,BD!$A$3:$A$5001,"&gt;="&amp;$C$7,BD!$A$3:$A$5001,"&lt;="&amp;$B217,BD!$Y$3:$Y$5001,"&lt;&gt;"))))</f>
        <v/>
      </c>
      <c r="L217" s="43" t="str">
        <f>IF(OR($B217="",$A217&gt;$B$9,L$210=""),"",IF(COUNTIFS(BD!$B$3:$B$5001,L$210,BD!$A$3:$A$5001,"&gt;="&amp;$C$7,BD!$A$3:$A$5001,"&lt;="&amp;$B217,BD!$Y$3:$Y$5001,"&lt;&gt;")=0,"",SUMIFS(BD!$Y$3:$Y$5001,BD!$B$3:$B$5001,L$210,BD!$A$3:$A$5001,_xlfn.MAXIFS(BD!$A$3:$A$5001,BD!$B$3:$B$5001,L$210,BD!$A$3:$A$5001,"&gt;="&amp;$C$7,BD!$A$3:$A$5001,"&lt;="&amp;$B217,BD!$Y$3:$Y$5001,"&lt;&gt;"))))</f>
        <v/>
      </c>
      <c r="M217" s="43" t="str">
        <f>IF(OR($B217="",$A217&gt;$B$9,M$210=""),"",IF(COUNTIFS(BD!$B$3:$B$5001,M$210,BD!$A$3:$A$5001,"&gt;="&amp;$C$7,BD!$A$3:$A$5001,"&lt;="&amp;$B217,BD!$Y$3:$Y$5001,"&lt;&gt;")=0,"",SUMIFS(BD!$Y$3:$Y$5001,BD!$B$3:$B$5001,M$210,BD!$A$3:$A$5001,_xlfn.MAXIFS(BD!$A$3:$A$5001,BD!$B$3:$B$5001,M$210,BD!$A$3:$A$5001,"&gt;="&amp;$C$7,BD!$A$3:$A$5001,"&lt;="&amp;$B217,BD!$Y$3:$Y$5001,"&lt;&gt;"))))</f>
        <v/>
      </c>
      <c r="N217" s="43" t="str">
        <f>IF(OR($B217="",$A217&gt;$B$9,N$210=""),"",IF(COUNTIFS(BD!$B$3:$B$5001,N$210,BD!$A$3:$A$5001,"&gt;="&amp;$C$7,BD!$A$3:$A$5001,"&lt;="&amp;$B217,BD!$Y$3:$Y$5001,"&lt;&gt;")=0,"",SUMIFS(BD!$Y$3:$Y$5001,BD!$B$3:$B$5001,N$210,BD!$A$3:$A$5001,_xlfn.MAXIFS(BD!$A$3:$A$5001,BD!$B$3:$B$5001,N$210,BD!$A$3:$A$5001,"&gt;="&amp;$C$7,BD!$A$3:$A$5001,"&lt;="&amp;$B217,BD!$Y$3:$Y$5001,"&lt;&gt;"))))</f>
        <v/>
      </c>
      <c r="O217" s="43" t="str">
        <f>IF(OR($B217="",$A217&gt;$B$9,O$210=""),"",IF(COUNTIFS(BD!$B$3:$B$5001,O$210,BD!$A$3:$A$5001,"&gt;="&amp;$C$7,BD!$A$3:$A$5001,"&lt;="&amp;$B217,BD!$Y$3:$Y$5001,"&lt;&gt;")=0,"",SUMIFS(BD!$Y$3:$Y$5001,BD!$B$3:$B$5001,O$210,BD!$A$3:$A$5001,_xlfn.MAXIFS(BD!$A$3:$A$5001,BD!$B$3:$B$5001,O$210,BD!$A$3:$A$5001,"&gt;="&amp;$C$7,BD!$A$3:$A$5001,"&lt;="&amp;$B217,BD!$Y$3:$Y$5001,"&lt;&gt;"))))</f>
        <v/>
      </c>
      <c r="P217" s="43" t="str">
        <f>IF(OR($B217="",$A217&gt;$B$9,P$210=""),"",IF(COUNTIFS(BD!$B$3:$B$5001,P$210,BD!$A$3:$A$5001,"&gt;="&amp;$C$7,BD!$A$3:$A$5001,"&lt;="&amp;$B217,BD!$Y$3:$Y$5001,"&lt;&gt;")=0,"",SUMIFS(BD!$Y$3:$Y$5001,BD!$B$3:$B$5001,P$210,BD!$A$3:$A$5001,_xlfn.MAXIFS(BD!$A$3:$A$5001,BD!$B$3:$B$5001,P$210,BD!$A$3:$A$5001,"&gt;="&amp;$C$7,BD!$A$3:$A$5001,"&lt;="&amp;$B217,BD!$Y$3:$Y$5001,"&lt;&gt;"))))</f>
        <v/>
      </c>
      <c r="Q217" s="43" t="str">
        <f>IF(OR($B217="",$A217&gt;$B$9,Q$210=""),"",IF(COUNTIFS(BD!$B$3:$B$5001,Q$210,BD!$A$3:$A$5001,"&gt;="&amp;$C$7,BD!$A$3:$A$5001,"&lt;="&amp;$B217,BD!$Y$3:$Y$5001,"&lt;&gt;")=0,"",SUMIFS(BD!$Y$3:$Y$5001,BD!$B$3:$B$5001,Q$210,BD!$A$3:$A$5001,_xlfn.MAXIFS(BD!$A$3:$A$5001,BD!$B$3:$B$5001,Q$210,BD!$A$3:$A$5001,"&gt;="&amp;$C$7,BD!$A$3:$A$5001,"&lt;="&amp;$B217,BD!$Y$3:$Y$5001,"&lt;&gt;"))))</f>
        <v/>
      </c>
      <c r="R217" s="43" t="str">
        <f>IF(OR($B217="",$A217&gt;$B$9,R$210=""),"",IF(COUNTIFS(BD!$B$3:$B$5001,R$210,BD!$A$3:$A$5001,"&gt;="&amp;$C$7,BD!$A$3:$A$5001,"&lt;="&amp;$B217,BD!$Y$3:$Y$5001,"&lt;&gt;")=0,"",SUMIFS(BD!$Y$3:$Y$5001,BD!$B$3:$B$5001,R$210,BD!$A$3:$A$5001,_xlfn.MAXIFS(BD!$A$3:$A$5001,BD!$B$3:$B$5001,R$210,BD!$A$3:$A$5001,"&gt;="&amp;$C$7,BD!$A$3:$A$5001,"&lt;="&amp;$B217,BD!$Y$3:$Y$5001,"&lt;&gt;"))))</f>
        <v/>
      </c>
      <c r="S217" s="43" t="str">
        <f>IF(OR($B217="",$A217&gt;$B$9,S$210=""),"",IF(COUNTIFS(BD!$B$3:$B$5001,S$210,BD!$A$3:$A$5001,"&gt;="&amp;$C$7,BD!$A$3:$A$5001,"&lt;="&amp;$B217,BD!$Y$3:$Y$5001,"&lt;&gt;")=0,"",SUMIFS(BD!$Y$3:$Y$5001,BD!$B$3:$B$5001,S$210,BD!$A$3:$A$5001,_xlfn.MAXIFS(BD!$A$3:$A$5001,BD!$B$3:$B$5001,S$210,BD!$A$3:$A$5001,"&gt;="&amp;$C$7,BD!$A$3:$A$5001,"&lt;="&amp;$B217,BD!$Y$3:$Y$5001,"&lt;&gt;"))))</f>
        <v/>
      </c>
      <c r="T217" s="43" t="str">
        <f>IF(OR($B217="",$A217&gt;$B$9,T$210=""),"",IF(COUNTIFS(BD!$B$3:$B$5001,T$210,BD!$A$3:$A$5001,"&gt;="&amp;$C$7,BD!$A$3:$A$5001,"&lt;="&amp;$B217,BD!$Y$3:$Y$5001,"&lt;&gt;")=0,"",SUMIFS(BD!$Y$3:$Y$5001,BD!$B$3:$B$5001,T$210,BD!$A$3:$A$5001,_xlfn.MAXIFS(BD!$A$3:$A$5001,BD!$B$3:$B$5001,T$210,BD!$A$3:$A$5001,"&gt;="&amp;$C$7,BD!$A$3:$A$5001,"&lt;="&amp;$B217,BD!$Y$3:$Y$5001,"&lt;&gt;"))))</f>
        <v/>
      </c>
      <c r="U217" s="43" t="str">
        <f>IF(OR($B217="",$A217&gt;$B$9,U$210=""),"",IF(COUNTIFS(BD!$B$3:$B$5001,U$210,BD!$A$3:$A$5001,"&gt;="&amp;$C$7,BD!$A$3:$A$5001,"&lt;="&amp;$B217,BD!$Y$3:$Y$5001,"&lt;&gt;")=0,"",SUMIFS(BD!$Y$3:$Y$5001,BD!$B$3:$B$5001,U$210,BD!$A$3:$A$5001,_xlfn.MAXIFS(BD!$A$3:$A$5001,BD!$B$3:$B$5001,U$210,BD!$A$3:$A$5001,"&gt;="&amp;$C$7,BD!$A$3:$A$5001,"&lt;="&amp;$B217,BD!$Y$3:$Y$5001,"&lt;&gt;"))))</f>
        <v/>
      </c>
      <c r="V217" s="43" t="str">
        <f>IF(OR($B217="",$A217&gt;$B$9,V$210=""),"",IF(COUNTIFS(BD!$B$3:$B$5001,V$210,BD!$A$3:$A$5001,"&gt;="&amp;$C$7,BD!$A$3:$A$5001,"&lt;="&amp;$B217,BD!$Y$3:$Y$5001,"&lt;&gt;")=0,"",SUMIFS(BD!$Y$3:$Y$5001,BD!$B$3:$B$5001,V$210,BD!$A$3:$A$5001,_xlfn.MAXIFS(BD!$A$3:$A$5001,BD!$B$3:$B$5001,V$210,BD!$A$3:$A$5001,"&gt;="&amp;$C$7,BD!$A$3:$A$5001,"&lt;="&amp;$B217,BD!$Y$3:$Y$5001,"&lt;&gt;"))))</f>
        <v/>
      </c>
    </row>
    <row r="218">
      <c r="A218" s="38">
        <v>8</v>
      </c>
      <c r="B218" s="42">
        <f>$B$19</f>
        <v>46303</v>
      </c>
      <c r="C218" s="43" t="str">
        <f>IF(OR($B218="",$A218&gt;$B$9,C$210=""),"",IF(COUNTIFS(BD!$B$3:$B$5001,C$210,BD!$A$3:$A$5001,"&gt;="&amp;$C$7,BD!$A$3:$A$5001,"&lt;="&amp;$B218,BD!$Y$3:$Y$5001,"&lt;&gt;")=0,"",SUMIFS(BD!$Y$3:$Y$5001,BD!$B$3:$B$5001,C$210,BD!$A$3:$A$5001,_xlfn.MAXIFS(BD!$A$3:$A$5001,BD!$B$3:$B$5001,C$210,BD!$A$3:$A$5001,"&gt;="&amp;$C$7,BD!$A$3:$A$5001,"&lt;="&amp;$B218,BD!$Y$3:$Y$5001,"&lt;&gt;"))))</f>
        <v/>
      </c>
      <c r="D218" s="43" t="str">
        <f>IF(OR($B218="",$A218&gt;$B$9,D$210=""),"",IF(COUNTIFS(BD!$B$3:$B$5001,D$210,BD!$A$3:$A$5001,"&gt;="&amp;$C$7,BD!$A$3:$A$5001,"&lt;="&amp;$B218,BD!$Y$3:$Y$5001,"&lt;&gt;")=0,"",SUMIFS(BD!$Y$3:$Y$5001,BD!$B$3:$B$5001,D$210,BD!$A$3:$A$5001,_xlfn.MAXIFS(BD!$A$3:$A$5001,BD!$B$3:$B$5001,D$210,BD!$A$3:$A$5001,"&gt;="&amp;$C$7,BD!$A$3:$A$5001,"&lt;="&amp;$B218,BD!$Y$3:$Y$5001,"&lt;&gt;"))))</f>
        <v/>
      </c>
      <c r="E218" s="43" t="str">
        <f>IF(OR($B218="",$A218&gt;$B$9,E$210=""),"",IF(COUNTIFS(BD!$B$3:$B$5001,E$210,BD!$A$3:$A$5001,"&gt;="&amp;$C$7,BD!$A$3:$A$5001,"&lt;="&amp;$B218,BD!$Y$3:$Y$5001,"&lt;&gt;")=0,"",SUMIFS(BD!$Y$3:$Y$5001,BD!$B$3:$B$5001,E$210,BD!$A$3:$A$5001,_xlfn.MAXIFS(BD!$A$3:$A$5001,BD!$B$3:$B$5001,E$210,BD!$A$3:$A$5001,"&gt;="&amp;$C$7,BD!$A$3:$A$5001,"&lt;="&amp;$B218,BD!$Y$3:$Y$5001,"&lt;&gt;"))))</f>
        <v/>
      </c>
      <c r="F218" s="43" t="str">
        <f>IF(OR($B218="",$A218&gt;$B$9,F$210=""),"",IF(COUNTIFS(BD!$B$3:$B$5001,F$210,BD!$A$3:$A$5001,"&gt;="&amp;$C$7,BD!$A$3:$A$5001,"&lt;="&amp;$B218,BD!$Y$3:$Y$5001,"&lt;&gt;")=0,"",SUMIFS(BD!$Y$3:$Y$5001,BD!$B$3:$B$5001,F$210,BD!$A$3:$A$5001,_xlfn.MAXIFS(BD!$A$3:$A$5001,BD!$B$3:$B$5001,F$210,BD!$A$3:$A$5001,"&gt;="&amp;$C$7,BD!$A$3:$A$5001,"&lt;="&amp;$B218,BD!$Y$3:$Y$5001,"&lt;&gt;"))))</f>
        <v/>
      </c>
      <c r="G218" s="43" t="str">
        <f>IF(OR($B218="",$A218&gt;$B$9,G$210=""),"",IF(COUNTIFS(BD!$B$3:$B$5001,G$210,BD!$A$3:$A$5001,"&gt;="&amp;$C$7,BD!$A$3:$A$5001,"&lt;="&amp;$B218,BD!$Y$3:$Y$5001,"&lt;&gt;")=0,"",SUMIFS(BD!$Y$3:$Y$5001,BD!$B$3:$B$5001,G$210,BD!$A$3:$A$5001,_xlfn.MAXIFS(BD!$A$3:$A$5001,BD!$B$3:$B$5001,G$210,BD!$A$3:$A$5001,"&gt;="&amp;$C$7,BD!$A$3:$A$5001,"&lt;="&amp;$B218,BD!$Y$3:$Y$5001,"&lt;&gt;"))))</f>
        <v/>
      </c>
      <c r="H218" s="43" t="str">
        <f>IF(OR($B218="",$A218&gt;$B$9,H$210=""),"",IF(COUNTIFS(BD!$B$3:$B$5001,H$210,BD!$A$3:$A$5001,"&gt;="&amp;$C$7,BD!$A$3:$A$5001,"&lt;="&amp;$B218,BD!$Y$3:$Y$5001,"&lt;&gt;")=0,"",SUMIFS(BD!$Y$3:$Y$5001,BD!$B$3:$B$5001,H$210,BD!$A$3:$A$5001,_xlfn.MAXIFS(BD!$A$3:$A$5001,BD!$B$3:$B$5001,H$210,BD!$A$3:$A$5001,"&gt;="&amp;$C$7,BD!$A$3:$A$5001,"&lt;="&amp;$B218,BD!$Y$3:$Y$5001,"&lt;&gt;"))))</f>
        <v/>
      </c>
      <c r="I218" s="43" t="str">
        <f>IF(OR($B218="",$A218&gt;$B$9,I$210=""),"",IF(COUNTIFS(BD!$B$3:$B$5001,I$210,BD!$A$3:$A$5001,"&gt;="&amp;$C$7,BD!$A$3:$A$5001,"&lt;="&amp;$B218,BD!$Y$3:$Y$5001,"&lt;&gt;")=0,"",SUMIFS(BD!$Y$3:$Y$5001,BD!$B$3:$B$5001,I$210,BD!$A$3:$A$5001,_xlfn.MAXIFS(BD!$A$3:$A$5001,BD!$B$3:$B$5001,I$210,BD!$A$3:$A$5001,"&gt;="&amp;$C$7,BD!$A$3:$A$5001,"&lt;="&amp;$B218,BD!$Y$3:$Y$5001,"&lt;&gt;"))))</f>
        <v/>
      </c>
      <c r="J218" s="43" t="str">
        <f>IF(OR($B218="",$A218&gt;$B$9,J$210=""),"",IF(COUNTIFS(BD!$B$3:$B$5001,J$210,BD!$A$3:$A$5001,"&gt;="&amp;$C$7,BD!$A$3:$A$5001,"&lt;="&amp;$B218,BD!$Y$3:$Y$5001,"&lt;&gt;")=0,"",SUMIFS(BD!$Y$3:$Y$5001,BD!$B$3:$B$5001,J$210,BD!$A$3:$A$5001,_xlfn.MAXIFS(BD!$A$3:$A$5001,BD!$B$3:$B$5001,J$210,BD!$A$3:$A$5001,"&gt;="&amp;$C$7,BD!$A$3:$A$5001,"&lt;="&amp;$B218,BD!$Y$3:$Y$5001,"&lt;&gt;"))))</f>
        <v/>
      </c>
      <c r="K218" s="43" t="str">
        <f>IF(OR($B218="",$A218&gt;$B$9,K$210=""),"",IF(COUNTIFS(BD!$B$3:$B$5001,K$210,BD!$A$3:$A$5001,"&gt;="&amp;$C$7,BD!$A$3:$A$5001,"&lt;="&amp;$B218,BD!$Y$3:$Y$5001,"&lt;&gt;")=0,"",SUMIFS(BD!$Y$3:$Y$5001,BD!$B$3:$B$5001,K$210,BD!$A$3:$A$5001,_xlfn.MAXIFS(BD!$A$3:$A$5001,BD!$B$3:$B$5001,K$210,BD!$A$3:$A$5001,"&gt;="&amp;$C$7,BD!$A$3:$A$5001,"&lt;="&amp;$B218,BD!$Y$3:$Y$5001,"&lt;&gt;"))))</f>
        <v/>
      </c>
      <c r="L218" s="43" t="str">
        <f>IF(OR($B218="",$A218&gt;$B$9,L$210=""),"",IF(COUNTIFS(BD!$B$3:$B$5001,L$210,BD!$A$3:$A$5001,"&gt;="&amp;$C$7,BD!$A$3:$A$5001,"&lt;="&amp;$B218,BD!$Y$3:$Y$5001,"&lt;&gt;")=0,"",SUMIFS(BD!$Y$3:$Y$5001,BD!$B$3:$B$5001,L$210,BD!$A$3:$A$5001,_xlfn.MAXIFS(BD!$A$3:$A$5001,BD!$B$3:$B$5001,L$210,BD!$A$3:$A$5001,"&gt;="&amp;$C$7,BD!$A$3:$A$5001,"&lt;="&amp;$B218,BD!$Y$3:$Y$5001,"&lt;&gt;"))))</f>
        <v/>
      </c>
      <c r="M218" s="43" t="str">
        <f>IF(OR($B218="",$A218&gt;$B$9,M$210=""),"",IF(COUNTIFS(BD!$B$3:$B$5001,M$210,BD!$A$3:$A$5001,"&gt;="&amp;$C$7,BD!$A$3:$A$5001,"&lt;="&amp;$B218,BD!$Y$3:$Y$5001,"&lt;&gt;")=0,"",SUMIFS(BD!$Y$3:$Y$5001,BD!$B$3:$B$5001,M$210,BD!$A$3:$A$5001,_xlfn.MAXIFS(BD!$A$3:$A$5001,BD!$B$3:$B$5001,M$210,BD!$A$3:$A$5001,"&gt;="&amp;$C$7,BD!$A$3:$A$5001,"&lt;="&amp;$B218,BD!$Y$3:$Y$5001,"&lt;&gt;"))))</f>
        <v/>
      </c>
      <c r="N218" s="43" t="str">
        <f>IF(OR($B218="",$A218&gt;$B$9,N$210=""),"",IF(COUNTIFS(BD!$B$3:$B$5001,N$210,BD!$A$3:$A$5001,"&gt;="&amp;$C$7,BD!$A$3:$A$5001,"&lt;="&amp;$B218,BD!$Y$3:$Y$5001,"&lt;&gt;")=0,"",SUMIFS(BD!$Y$3:$Y$5001,BD!$B$3:$B$5001,N$210,BD!$A$3:$A$5001,_xlfn.MAXIFS(BD!$A$3:$A$5001,BD!$B$3:$B$5001,N$210,BD!$A$3:$A$5001,"&gt;="&amp;$C$7,BD!$A$3:$A$5001,"&lt;="&amp;$B218,BD!$Y$3:$Y$5001,"&lt;&gt;"))))</f>
        <v/>
      </c>
      <c r="O218" s="43" t="str">
        <f>IF(OR($B218="",$A218&gt;$B$9,O$210=""),"",IF(COUNTIFS(BD!$B$3:$B$5001,O$210,BD!$A$3:$A$5001,"&gt;="&amp;$C$7,BD!$A$3:$A$5001,"&lt;="&amp;$B218,BD!$Y$3:$Y$5001,"&lt;&gt;")=0,"",SUMIFS(BD!$Y$3:$Y$5001,BD!$B$3:$B$5001,O$210,BD!$A$3:$A$5001,_xlfn.MAXIFS(BD!$A$3:$A$5001,BD!$B$3:$B$5001,O$210,BD!$A$3:$A$5001,"&gt;="&amp;$C$7,BD!$A$3:$A$5001,"&lt;="&amp;$B218,BD!$Y$3:$Y$5001,"&lt;&gt;"))))</f>
        <v/>
      </c>
      <c r="P218" s="43" t="str">
        <f>IF(OR($B218="",$A218&gt;$B$9,P$210=""),"",IF(COUNTIFS(BD!$B$3:$B$5001,P$210,BD!$A$3:$A$5001,"&gt;="&amp;$C$7,BD!$A$3:$A$5001,"&lt;="&amp;$B218,BD!$Y$3:$Y$5001,"&lt;&gt;")=0,"",SUMIFS(BD!$Y$3:$Y$5001,BD!$B$3:$B$5001,P$210,BD!$A$3:$A$5001,_xlfn.MAXIFS(BD!$A$3:$A$5001,BD!$B$3:$B$5001,P$210,BD!$A$3:$A$5001,"&gt;="&amp;$C$7,BD!$A$3:$A$5001,"&lt;="&amp;$B218,BD!$Y$3:$Y$5001,"&lt;&gt;"))))</f>
        <v/>
      </c>
      <c r="Q218" s="43" t="str">
        <f>IF(OR($B218="",$A218&gt;$B$9,Q$210=""),"",IF(COUNTIFS(BD!$B$3:$B$5001,Q$210,BD!$A$3:$A$5001,"&gt;="&amp;$C$7,BD!$A$3:$A$5001,"&lt;="&amp;$B218,BD!$Y$3:$Y$5001,"&lt;&gt;")=0,"",SUMIFS(BD!$Y$3:$Y$5001,BD!$B$3:$B$5001,Q$210,BD!$A$3:$A$5001,_xlfn.MAXIFS(BD!$A$3:$A$5001,BD!$B$3:$B$5001,Q$210,BD!$A$3:$A$5001,"&gt;="&amp;$C$7,BD!$A$3:$A$5001,"&lt;="&amp;$B218,BD!$Y$3:$Y$5001,"&lt;&gt;"))))</f>
        <v/>
      </c>
      <c r="R218" s="43" t="str">
        <f>IF(OR($B218="",$A218&gt;$B$9,R$210=""),"",IF(COUNTIFS(BD!$B$3:$B$5001,R$210,BD!$A$3:$A$5001,"&gt;="&amp;$C$7,BD!$A$3:$A$5001,"&lt;="&amp;$B218,BD!$Y$3:$Y$5001,"&lt;&gt;")=0,"",SUMIFS(BD!$Y$3:$Y$5001,BD!$B$3:$B$5001,R$210,BD!$A$3:$A$5001,_xlfn.MAXIFS(BD!$A$3:$A$5001,BD!$B$3:$B$5001,R$210,BD!$A$3:$A$5001,"&gt;="&amp;$C$7,BD!$A$3:$A$5001,"&lt;="&amp;$B218,BD!$Y$3:$Y$5001,"&lt;&gt;"))))</f>
        <v/>
      </c>
      <c r="S218" s="43" t="str">
        <f>IF(OR($B218="",$A218&gt;$B$9,S$210=""),"",IF(COUNTIFS(BD!$B$3:$B$5001,S$210,BD!$A$3:$A$5001,"&gt;="&amp;$C$7,BD!$A$3:$A$5001,"&lt;="&amp;$B218,BD!$Y$3:$Y$5001,"&lt;&gt;")=0,"",SUMIFS(BD!$Y$3:$Y$5001,BD!$B$3:$B$5001,S$210,BD!$A$3:$A$5001,_xlfn.MAXIFS(BD!$A$3:$A$5001,BD!$B$3:$B$5001,S$210,BD!$A$3:$A$5001,"&gt;="&amp;$C$7,BD!$A$3:$A$5001,"&lt;="&amp;$B218,BD!$Y$3:$Y$5001,"&lt;&gt;"))))</f>
        <v/>
      </c>
      <c r="T218" s="43" t="str">
        <f>IF(OR($B218="",$A218&gt;$B$9,T$210=""),"",IF(COUNTIFS(BD!$B$3:$B$5001,T$210,BD!$A$3:$A$5001,"&gt;="&amp;$C$7,BD!$A$3:$A$5001,"&lt;="&amp;$B218,BD!$Y$3:$Y$5001,"&lt;&gt;")=0,"",SUMIFS(BD!$Y$3:$Y$5001,BD!$B$3:$B$5001,T$210,BD!$A$3:$A$5001,_xlfn.MAXIFS(BD!$A$3:$A$5001,BD!$B$3:$B$5001,T$210,BD!$A$3:$A$5001,"&gt;="&amp;$C$7,BD!$A$3:$A$5001,"&lt;="&amp;$B218,BD!$Y$3:$Y$5001,"&lt;&gt;"))))</f>
        <v/>
      </c>
      <c r="U218" s="43" t="str">
        <f>IF(OR($B218="",$A218&gt;$B$9,U$210=""),"",IF(COUNTIFS(BD!$B$3:$B$5001,U$210,BD!$A$3:$A$5001,"&gt;="&amp;$C$7,BD!$A$3:$A$5001,"&lt;="&amp;$B218,BD!$Y$3:$Y$5001,"&lt;&gt;")=0,"",SUMIFS(BD!$Y$3:$Y$5001,BD!$B$3:$B$5001,U$210,BD!$A$3:$A$5001,_xlfn.MAXIFS(BD!$A$3:$A$5001,BD!$B$3:$B$5001,U$210,BD!$A$3:$A$5001,"&gt;="&amp;$C$7,BD!$A$3:$A$5001,"&lt;="&amp;$B218,BD!$Y$3:$Y$5001,"&lt;&gt;"))))</f>
        <v/>
      </c>
      <c r="V218" s="43" t="str">
        <f>IF(OR($B218="",$A218&gt;$B$9,V$210=""),"",IF(COUNTIFS(BD!$B$3:$B$5001,V$210,BD!$A$3:$A$5001,"&gt;="&amp;$C$7,BD!$A$3:$A$5001,"&lt;="&amp;$B218,BD!$Y$3:$Y$5001,"&lt;&gt;")=0,"",SUMIFS(BD!$Y$3:$Y$5001,BD!$B$3:$B$5001,V$210,BD!$A$3:$A$5001,_xlfn.MAXIFS(BD!$A$3:$A$5001,BD!$B$3:$B$5001,V$210,BD!$A$3:$A$5001,"&gt;="&amp;$C$7,BD!$A$3:$A$5001,"&lt;="&amp;$B218,BD!$Y$3:$Y$5001,"&lt;&gt;"))))</f>
        <v/>
      </c>
    </row>
    <row r="219">
      <c r="A219" s="38">
        <v>9</v>
      </c>
      <c r="B219" s="42">
        <f>$B$20</f>
        <v>46304</v>
      </c>
      <c r="C219" s="43" t="str">
        <f>IF(OR($B219="",$A219&gt;$B$9,C$210=""),"",IF(COUNTIFS(BD!$B$3:$B$5001,C$210,BD!$A$3:$A$5001,"&gt;="&amp;$C$7,BD!$A$3:$A$5001,"&lt;="&amp;$B219,BD!$Y$3:$Y$5001,"&lt;&gt;")=0,"",SUMIFS(BD!$Y$3:$Y$5001,BD!$B$3:$B$5001,C$210,BD!$A$3:$A$5001,_xlfn.MAXIFS(BD!$A$3:$A$5001,BD!$B$3:$B$5001,C$210,BD!$A$3:$A$5001,"&gt;="&amp;$C$7,BD!$A$3:$A$5001,"&lt;="&amp;$B219,BD!$Y$3:$Y$5001,"&lt;&gt;"))))</f>
        <v/>
      </c>
      <c r="D219" s="43" t="str">
        <f>IF(OR($B219="",$A219&gt;$B$9,D$210=""),"",IF(COUNTIFS(BD!$B$3:$B$5001,D$210,BD!$A$3:$A$5001,"&gt;="&amp;$C$7,BD!$A$3:$A$5001,"&lt;="&amp;$B219,BD!$Y$3:$Y$5001,"&lt;&gt;")=0,"",SUMIFS(BD!$Y$3:$Y$5001,BD!$B$3:$B$5001,D$210,BD!$A$3:$A$5001,_xlfn.MAXIFS(BD!$A$3:$A$5001,BD!$B$3:$B$5001,D$210,BD!$A$3:$A$5001,"&gt;="&amp;$C$7,BD!$A$3:$A$5001,"&lt;="&amp;$B219,BD!$Y$3:$Y$5001,"&lt;&gt;"))))</f>
        <v/>
      </c>
      <c r="E219" s="43" t="str">
        <f>IF(OR($B219="",$A219&gt;$B$9,E$210=""),"",IF(COUNTIFS(BD!$B$3:$B$5001,E$210,BD!$A$3:$A$5001,"&gt;="&amp;$C$7,BD!$A$3:$A$5001,"&lt;="&amp;$B219,BD!$Y$3:$Y$5001,"&lt;&gt;")=0,"",SUMIFS(BD!$Y$3:$Y$5001,BD!$B$3:$B$5001,E$210,BD!$A$3:$A$5001,_xlfn.MAXIFS(BD!$A$3:$A$5001,BD!$B$3:$B$5001,E$210,BD!$A$3:$A$5001,"&gt;="&amp;$C$7,BD!$A$3:$A$5001,"&lt;="&amp;$B219,BD!$Y$3:$Y$5001,"&lt;&gt;"))))</f>
        <v/>
      </c>
      <c r="F219" s="43" t="str">
        <f>IF(OR($B219="",$A219&gt;$B$9,F$210=""),"",IF(COUNTIFS(BD!$B$3:$B$5001,F$210,BD!$A$3:$A$5001,"&gt;="&amp;$C$7,BD!$A$3:$A$5001,"&lt;="&amp;$B219,BD!$Y$3:$Y$5001,"&lt;&gt;")=0,"",SUMIFS(BD!$Y$3:$Y$5001,BD!$B$3:$B$5001,F$210,BD!$A$3:$A$5001,_xlfn.MAXIFS(BD!$A$3:$A$5001,BD!$B$3:$B$5001,F$210,BD!$A$3:$A$5001,"&gt;="&amp;$C$7,BD!$A$3:$A$5001,"&lt;="&amp;$B219,BD!$Y$3:$Y$5001,"&lt;&gt;"))))</f>
        <v/>
      </c>
      <c r="G219" s="43" t="str">
        <f>IF(OR($B219="",$A219&gt;$B$9,G$210=""),"",IF(COUNTIFS(BD!$B$3:$B$5001,G$210,BD!$A$3:$A$5001,"&gt;="&amp;$C$7,BD!$A$3:$A$5001,"&lt;="&amp;$B219,BD!$Y$3:$Y$5001,"&lt;&gt;")=0,"",SUMIFS(BD!$Y$3:$Y$5001,BD!$B$3:$B$5001,G$210,BD!$A$3:$A$5001,_xlfn.MAXIFS(BD!$A$3:$A$5001,BD!$B$3:$B$5001,G$210,BD!$A$3:$A$5001,"&gt;="&amp;$C$7,BD!$A$3:$A$5001,"&lt;="&amp;$B219,BD!$Y$3:$Y$5001,"&lt;&gt;"))))</f>
        <v/>
      </c>
      <c r="H219" s="43" t="str">
        <f>IF(OR($B219="",$A219&gt;$B$9,H$210=""),"",IF(COUNTIFS(BD!$B$3:$B$5001,H$210,BD!$A$3:$A$5001,"&gt;="&amp;$C$7,BD!$A$3:$A$5001,"&lt;="&amp;$B219,BD!$Y$3:$Y$5001,"&lt;&gt;")=0,"",SUMIFS(BD!$Y$3:$Y$5001,BD!$B$3:$B$5001,H$210,BD!$A$3:$A$5001,_xlfn.MAXIFS(BD!$A$3:$A$5001,BD!$B$3:$B$5001,H$210,BD!$A$3:$A$5001,"&gt;="&amp;$C$7,BD!$A$3:$A$5001,"&lt;="&amp;$B219,BD!$Y$3:$Y$5001,"&lt;&gt;"))))</f>
        <v/>
      </c>
      <c r="I219" s="43" t="str">
        <f>IF(OR($B219="",$A219&gt;$B$9,I$210=""),"",IF(COUNTIFS(BD!$B$3:$B$5001,I$210,BD!$A$3:$A$5001,"&gt;="&amp;$C$7,BD!$A$3:$A$5001,"&lt;="&amp;$B219,BD!$Y$3:$Y$5001,"&lt;&gt;")=0,"",SUMIFS(BD!$Y$3:$Y$5001,BD!$B$3:$B$5001,I$210,BD!$A$3:$A$5001,_xlfn.MAXIFS(BD!$A$3:$A$5001,BD!$B$3:$B$5001,I$210,BD!$A$3:$A$5001,"&gt;="&amp;$C$7,BD!$A$3:$A$5001,"&lt;="&amp;$B219,BD!$Y$3:$Y$5001,"&lt;&gt;"))))</f>
        <v/>
      </c>
      <c r="J219" s="43" t="str">
        <f>IF(OR($B219="",$A219&gt;$B$9,J$210=""),"",IF(COUNTIFS(BD!$B$3:$B$5001,J$210,BD!$A$3:$A$5001,"&gt;="&amp;$C$7,BD!$A$3:$A$5001,"&lt;="&amp;$B219,BD!$Y$3:$Y$5001,"&lt;&gt;")=0,"",SUMIFS(BD!$Y$3:$Y$5001,BD!$B$3:$B$5001,J$210,BD!$A$3:$A$5001,_xlfn.MAXIFS(BD!$A$3:$A$5001,BD!$B$3:$B$5001,J$210,BD!$A$3:$A$5001,"&gt;="&amp;$C$7,BD!$A$3:$A$5001,"&lt;="&amp;$B219,BD!$Y$3:$Y$5001,"&lt;&gt;"))))</f>
        <v/>
      </c>
      <c r="K219" s="43" t="str">
        <f>IF(OR($B219="",$A219&gt;$B$9,K$210=""),"",IF(COUNTIFS(BD!$B$3:$B$5001,K$210,BD!$A$3:$A$5001,"&gt;="&amp;$C$7,BD!$A$3:$A$5001,"&lt;="&amp;$B219,BD!$Y$3:$Y$5001,"&lt;&gt;")=0,"",SUMIFS(BD!$Y$3:$Y$5001,BD!$B$3:$B$5001,K$210,BD!$A$3:$A$5001,_xlfn.MAXIFS(BD!$A$3:$A$5001,BD!$B$3:$B$5001,K$210,BD!$A$3:$A$5001,"&gt;="&amp;$C$7,BD!$A$3:$A$5001,"&lt;="&amp;$B219,BD!$Y$3:$Y$5001,"&lt;&gt;"))))</f>
        <v/>
      </c>
      <c r="L219" s="43" t="str">
        <f>IF(OR($B219="",$A219&gt;$B$9,L$210=""),"",IF(COUNTIFS(BD!$B$3:$B$5001,L$210,BD!$A$3:$A$5001,"&gt;="&amp;$C$7,BD!$A$3:$A$5001,"&lt;="&amp;$B219,BD!$Y$3:$Y$5001,"&lt;&gt;")=0,"",SUMIFS(BD!$Y$3:$Y$5001,BD!$B$3:$B$5001,L$210,BD!$A$3:$A$5001,_xlfn.MAXIFS(BD!$A$3:$A$5001,BD!$B$3:$B$5001,L$210,BD!$A$3:$A$5001,"&gt;="&amp;$C$7,BD!$A$3:$A$5001,"&lt;="&amp;$B219,BD!$Y$3:$Y$5001,"&lt;&gt;"))))</f>
        <v/>
      </c>
      <c r="M219" s="43" t="str">
        <f>IF(OR($B219="",$A219&gt;$B$9,M$210=""),"",IF(COUNTIFS(BD!$B$3:$B$5001,M$210,BD!$A$3:$A$5001,"&gt;="&amp;$C$7,BD!$A$3:$A$5001,"&lt;="&amp;$B219,BD!$Y$3:$Y$5001,"&lt;&gt;")=0,"",SUMIFS(BD!$Y$3:$Y$5001,BD!$B$3:$B$5001,M$210,BD!$A$3:$A$5001,_xlfn.MAXIFS(BD!$A$3:$A$5001,BD!$B$3:$B$5001,M$210,BD!$A$3:$A$5001,"&gt;="&amp;$C$7,BD!$A$3:$A$5001,"&lt;="&amp;$B219,BD!$Y$3:$Y$5001,"&lt;&gt;"))))</f>
        <v/>
      </c>
      <c r="N219" s="43" t="str">
        <f>IF(OR($B219="",$A219&gt;$B$9,N$210=""),"",IF(COUNTIFS(BD!$B$3:$B$5001,N$210,BD!$A$3:$A$5001,"&gt;="&amp;$C$7,BD!$A$3:$A$5001,"&lt;="&amp;$B219,BD!$Y$3:$Y$5001,"&lt;&gt;")=0,"",SUMIFS(BD!$Y$3:$Y$5001,BD!$B$3:$B$5001,N$210,BD!$A$3:$A$5001,_xlfn.MAXIFS(BD!$A$3:$A$5001,BD!$B$3:$B$5001,N$210,BD!$A$3:$A$5001,"&gt;="&amp;$C$7,BD!$A$3:$A$5001,"&lt;="&amp;$B219,BD!$Y$3:$Y$5001,"&lt;&gt;"))))</f>
        <v/>
      </c>
      <c r="O219" s="43" t="str">
        <f>IF(OR($B219="",$A219&gt;$B$9,O$210=""),"",IF(COUNTIFS(BD!$B$3:$B$5001,O$210,BD!$A$3:$A$5001,"&gt;="&amp;$C$7,BD!$A$3:$A$5001,"&lt;="&amp;$B219,BD!$Y$3:$Y$5001,"&lt;&gt;")=0,"",SUMIFS(BD!$Y$3:$Y$5001,BD!$B$3:$B$5001,O$210,BD!$A$3:$A$5001,_xlfn.MAXIFS(BD!$A$3:$A$5001,BD!$B$3:$B$5001,O$210,BD!$A$3:$A$5001,"&gt;="&amp;$C$7,BD!$A$3:$A$5001,"&lt;="&amp;$B219,BD!$Y$3:$Y$5001,"&lt;&gt;"))))</f>
        <v/>
      </c>
      <c r="P219" s="43" t="str">
        <f>IF(OR($B219="",$A219&gt;$B$9,P$210=""),"",IF(COUNTIFS(BD!$B$3:$B$5001,P$210,BD!$A$3:$A$5001,"&gt;="&amp;$C$7,BD!$A$3:$A$5001,"&lt;="&amp;$B219,BD!$Y$3:$Y$5001,"&lt;&gt;")=0,"",SUMIFS(BD!$Y$3:$Y$5001,BD!$B$3:$B$5001,P$210,BD!$A$3:$A$5001,_xlfn.MAXIFS(BD!$A$3:$A$5001,BD!$B$3:$B$5001,P$210,BD!$A$3:$A$5001,"&gt;="&amp;$C$7,BD!$A$3:$A$5001,"&lt;="&amp;$B219,BD!$Y$3:$Y$5001,"&lt;&gt;"))))</f>
        <v/>
      </c>
      <c r="Q219" s="43" t="str">
        <f>IF(OR($B219="",$A219&gt;$B$9,Q$210=""),"",IF(COUNTIFS(BD!$B$3:$B$5001,Q$210,BD!$A$3:$A$5001,"&gt;="&amp;$C$7,BD!$A$3:$A$5001,"&lt;="&amp;$B219,BD!$Y$3:$Y$5001,"&lt;&gt;")=0,"",SUMIFS(BD!$Y$3:$Y$5001,BD!$B$3:$B$5001,Q$210,BD!$A$3:$A$5001,_xlfn.MAXIFS(BD!$A$3:$A$5001,BD!$B$3:$B$5001,Q$210,BD!$A$3:$A$5001,"&gt;="&amp;$C$7,BD!$A$3:$A$5001,"&lt;="&amp;$B219,BD!$Y$3:$Y$5001,"&lt;&gt;"))))</f>
        <v/>
      </c>
      <c r="R219" s="43" t="str">
        <f>IF(OR($B219="",$A219&gt;$B$9,R$210=""),"",IF(COUNTIFS(BD!$B$3:$B$5001,R$210,BD!$A$3:$A$5001,"&gt;="&amp;$C$7,BD!$A$3:$A$5001,"&lt;="&amp;$B219,BD!$Y$3:$Y$5001,"&lt;&gt;")=0,"",SUMIFS(BD!$Y$3:$Y$5001,BD!$B$3:$B$5001,R$210,BD!$A$3:$A$5001,_xlfn.MAXIFS(BD!$A$3:$A$5001,BD!$B$3:$B$5001,R$210,BD!$A$3:$A$5001,"&gt;="&amp;$C$7,BD!$A$3:$A$5001,"&lt;="&amp;$B219,BD!$Y$3:$Y$5001,"&lt;&gt;"))))</f>
        <v/>
      </c>
      <c r="S219" s="43" t="str">
        <f>IF(OR($B219="",$A219&gt;$B$9,S$210=""),"",IF(COUNTIFS(BD!$B$3:$B$5001,S$210,BD!$A$3:$A$5001,"&gt;="&amp;$C$7,BD!$A$3:$A$5001,"&lt;="&amp;$B219,BD!$Y$3:$Y$5001,"&lt;&gt;")=0,"",SUMIFS(BD!$Y$3:$Y$5001,BD!$B$3:$B$5001,S$210,BD!$A$3:$A$5001,_xlfn.MAXIFS(BD!$A$3:$A$5001,BD!$B$3:$B$5001,S$210,BD!$A$3:$A$5001,"&gt;="&amp;$C$7,BD!$A$3:$A$5001,"&lt;="&amp;$B219,BD!$Y$3:$Y$5001,"&lt;&gt;"))))</f>
        <v/>
      </c>
      <c r="T219" s="43" t="str">
        <f>IF(OR($B219="",$A219&gt;$B$9,T$210=""),"",IF(COUNTIFS(BD!$B$3:$B$5001,T$210,BD!$A$3:$A$5001,"&gt;="&amp;$C$7,BD!$A$3:$A$5001,"&lt;="&amp;$B219,BD!$Y$3:$Y$5001,"&lt;&gt;")=0,"",SUMIFS(BD!$Y$3:$Y$5001,BD!$B$3:$B$5001,T$210,BD!$A$3:$A$5001,_xlfn.MAXIFS(BD!$A$3:$A$5001,BD!$B$3:$B$5001,T$210,BD!$A$3:$A$5001,"&gt;="&amp;$C$7,BD!$A$3:$A$5001,"&lt;="&amp;$B219,BD!$Y$3:$Y$5001,"&lt;&gt;"))))</f>
        <v/>
      </c>
      <c r="U219" s="43" t="str">
        <f>IF(OR($B219="",$A219&gt;$B$9,U$210=""),"",IF(COUNTIFS(BD!$B$3:$B$5001,U$210,BD!$A$3:$A$5001,"&gt;="&amp;$C$7,BD!$A$3:$A$5001,"&lt;="&amp;$B219,BD!$Y$3:$Y$5001,"&lt;&gt;")=0,"",SUMIFS(BD!$Y$3:$Y$5001,BD!$B$3:$B$5001,U$210,BD!$A$3:$A$5001,_xlfn.MAXIFS(BD!$A$3:$A$5001,BD!$B$3:$B$5001,U$210,BD!$A$3:$A$5001,"&gt;="&amp;$C$7,BD!$A$3:$A$5001,"&lt;="&amp;$B219,BD!$Y$3:$Y$5001,"&lt;&gt;"))))</f>
        <v/>
      </c>
      <c r="V219" s="43" t="str">
        <f>IF(OR($B219="",$A219&gt;$B$9,V$210=""),"",IF(COUNTIFS(BD!$B$3:$B$5001,V$210,BD!$A$3:$A$5001,"&gt;="&amp;$C$7,BD!$A$3:$A$5001,"&lt;="&amp;$B219,BD!$Y$3:$Y$5001,"&lt;&gt;")=0,"",SUMIFS(BD!$Y$3:$Y$5001,BD!$B$3:$B$5001,V$210,BD!$A$3:$A$5001,_xlfn.MAXIFS(BD!$A$3:$A$5001,BD!$B$3:$B$5001,V$210,BD!$A$3:$A$5001,"&gt;="&amp;$C$7,BD!$A$3:$A$5001,"&lt;="&amp;$B219,BD!$Y$3:$Y$5001,"&lt;&gt;"))))</f>
        <v/>
      </c>
    </row>
    <row r="220">
      <c r="A220" s="38">
        <v>10</v>
      </c>
      <c r="B220" s="42">
        <f>$B$21</f>
        <v>46305</v>
      </c>
      <c r="C220" s="43" t="str">
        <f>IF(OR($B220="",$A220&gt;$B$9,C$210=""),"",IF(COUNTIFS(BD!$B$3:$B$5001,C$210,BD!$A$3:$A$5001,"&gt;="&amp;$C$7,BD!$A$3:$A$5001,"&lt;="&amp;$B220,BD!$Y$3:$Y$5001,"&lt;&gt;")=0,"",SUMIFS(BD!$Y$3:$Y$5001,BD!$B$3:$B$5001,C$210,BD!$A$3:$A$5001,_xlfn.MAXIFS(BD!$A$3:$A$5001,BD!$B$3:$B$5001,C$210,BD!$A$3:$A$5001,"&gt;="&amp;$C$7,BD!$A$3:$A$5001,"&lt;="&amp;$B220,BD!$Y$3:$Y$5001,"&lt;&gt;"))))</f>
        <v/>
      </c>
      <c r="D220" s="43" t="str">
        <f>IF(OR($B220="",$A220&gt;$B$9,D$210=""),"",IF(COUNTIFS(BD!$B$3:$B$5001,D$210,BD!$A$3:$A$5001,"&gt;="&amp;$C$7,BD!$A$3:$A$5001,"&lt;="&amp;$B220,BD!$Y$3:$Y$5001,"&lt;&gt;")=0,"",SUMIFS(BD!$Y$3:$Y$5001,BD!$B$3:$B$5001,D$210,BD!$A$3:$A$5001,_xlfn.MAXIFS(BD!$A$3:$A$5001,BD!$B$3:$B$5001,D$210,BD!$A$3:$A$5001,"&gt;="&amp;$C$7,BD!$A$3:$A$5001,"&lt;="&amp;$B220,BD!$Y$3:$Y$5001,"&lt;&gt;"))))</f>
        <v/>
      </c>
      <c r="E220" s="43" t="str">
        <f>IF(OR($B220="",$A220&gt;$B$9,E$210=""),"",IF(COUNTIFS(BD!$B$3:$B$5001,E$210,BD!$A$3:$A$5001,"&gt;="&amp;$C$7,BD!$A$3:$A$5001,"&lt;="&amp;$B220,BD!$Y$3:$Y$5001,"&lt;&gt;")=0,"",SUMIFS(BD!$Y$3:$Y$5001,BD!$B$3:$B$5001,E$210,BD!$A$3:$A$5001,_xlfn.MAXIFS(BD!$A$3:$A$5001,BD!$B$3:$B$5001,E$210,BD!$A$3:$A$5001,"&gt;="&amp;$C$7,BD!$A$3:$A$5001,"&lt;="&amp;$B220,BD!$Y$3:$Y$5001,"&lt;&gt;"))))</f>
        <v/>
      </c>
      <c r="F220" s="43" t="str">
        <f>IF(OR($B220="",$A220&gt;$B$9,F$210=""),"",IF(COUNTIFS(BD!$B$3:$B$5001,F$210,BD!$A$3:$A$5001,"&gt;="&amp;$C$7,BD!$A$3:$A$5001,"&lt;="&amp;$B220,BD!$Y$3:$Y$5001,"&lt;&gt;")=0,"",SUMIFS(BD!$Y$3:$Y$5001,BD!$B$3:$B$5001,F$210,BD!$A$3:$A$5001,_xlfn.MAXIFS(BD!$A$3:$A$5001,BD!$B$3:$B$5001,F$210,BD!$A$3:$A$5001,"&gt;="&amp;$C$7,BD!$A$3:$A$5001,"&lt;="&amp;$B220,BD!$Y$3:$Y$5001,"&lt;&gt;"))))</f>
        <v/>
      </c>
      <c r="G220" s="43" t="str">
        <f>IF(OR($B220="",$A220&gt;$B$9,G$210=""),"",IF(COUNTIFS(BD!$B$3:$B$5001,G$210,BD!$A$3:$A$5001,"&gt;="&amp;$C$7,BD!$A$3:$A$5001,"&lt;="&amp;$B220,BD!$Y$3:$Y$5001,"&lt;&gt;")=0,"",SUMIFS(BD!$Y$3:$Y$5001,BD!$B$3:$B$5001,G$210,BD!$A$3:$A$5001,_xlfn.MAXIFS(BD!$A$3:$A$5001,BD!$B$3:$B$5001,G$210,BD!$A$3:$A$5001,"&gt;="&amp;$C$7,BD!$A$3:$A$5001,"&lt;="&amp;$B220,BD!$Y$3:$Y$5001,"&lt;&gt;"))))</f>
        <v/>
      </c>
      <c r="H220" s="43" t="str">
        <f>IF(OR($B220="",$A220&gt;$B$9,H$210=""),"",IF(COUNTIFS(BD!$B$3:$B$5001,H$210,BD!$A$3:$A$5001,"&gt;="&amp;$C$7,BD!$A$3:$A$5001,"&lt;="&amp;$B220,BD!$Y$3:$Y$5001,"&lt;&gt;")=0,"",SUMIFS(BD!$Y$3:$Y$5001,BD!$B$3:$B$5001,H$210,BD!$A$3:$A$5001,_xlfn.MAXIFS(BD!$A$3:$A$5001,BD!$B$3:$B$5001,H$210,BD!$A$3:$A$5001,"&gt;="&amp;$C$7,BD!$A$3:$A$5001,"&lt;="&amp;$B220,BD!$Y$3:$Y$5001,"&lt;&gt;"))))</f>
        <v/>
      </c>
      <c r="I220" s="43" t="str">
        <f>IF(OR($B220="",$A220&gt;$B$9,I$210=""),"",IF(COUNTIFS(BD!$B$3:$B$5001,I$210,BD!$A$3:$A$5001,"&gt;="&amp;$C$7,BD!$A$3:$A$5001,"&lt;="&amp;$B220,BD!$Y$3:$Y$5001,"&lt;&gt;")=0,"",SUMIFS(BD!$Y$3:$Y$5001,BD!$B$3:$B$5001,I$210,BD!$A$3:$A$5001,_xlfn.MAXIFS(BD!$A$3:$A$5001,BD!$B$3:$B$5001,I$210,BD!$A$3:$A$5001,"&gt;="&amp;$C$7,BD!$A$3:$A$5001,"&lt;="&amp;$B220,BD!$Y$3:$Y$5001,"&lt;&gt;"))))</f>
        <v/>
      </c>
      <c r="J220" s="43" t="str">
        <f>IF(OR($B220="",$A220&gt;$B$9,J$210=""),"",IF(COUNTIFS(BD!$B$3:$B$5001,J$210,BD!$A$3:$A$5001,"&gt;="&amp;$C$7,BD!$A$3:$A$5001,"&lt;="&amp;$B220,BD!$Y$3:$Y$5001,"&lt;&gt;")=0,"",SUMIFS(BD!$Y$3:$Y$5001,BD!$B$3:$B$5001,J$210,BD!$A$3:$A$5001,_xlfn.MAXIFS(BD!$A$3:$A$5001,BD!$B$3:$B$5001,J$210,BD!$A$3:$A$5001,"&gt;="&amp;$C$7,BD!$A$3:$A$5001,"&lt;="&amp;$B220,BD!$Y$3:$Y$5001,"&lt;&gt;"))))</f>
        <v/>
      </c>
      <c r="K220" s="43" t="str">
        <f>IF(OR($B220="",$A220&gt;$B$9,K$210=""),"",IF(COUNTIFS(BD!$B$3:$B$5001,K$210,BD!$A$3:$A$5001,"&gt;="&amp;$C$7,BD!$A$3:$A$5001,"&lt;="&amp;$B220,BD!$Y$3:$Y$5001,"&lt;&gt;")=0,"",SUMIFS(BD!$Y$3:$Y$5001,BD!$B$3:$B$5001,K$210,BD!$A$3:$A$5001,_xlfn.MAXIFS(BD!$A$3:$A$5001,BD!$B$3:$B$5001,K$210,BD!$A$3:$A$5001,"&gt;="&amp;$C$7,BD!$A$3:$A$5001,"&lt;="&amp;$B220,BD!$Y$3:$Y$5001,"&lt;&gt;"))))</f>
        <v/>
      </c>
      <c r="L220" s="43" t="str">
        <f>IF(OR($B220="",$A220&gt;$B$9,L$210=""),"",IF(COUNTIFS(BD!$B$3:$B$5001,L$210,BD!$A$3:$A$5001,"&gt;="&amp;$C$7,BD!$A$3:$A$5001,"&lt;="&amp;$B220,BD!$Y$3:$Y$5001,"&lt;&gt;")=0,"",SUMIFS(BD!$Y$3:$Y$5001,BD!$B$3:$B$5001,L$210,BD!$A$3:$A$5001,_xlfn.MAXIFS(BD!$A$3:$A$5001,BD!$B$3:$B$5001,L$210,BD!$A$3:$A$5001,"&gt;="&amp;$C$7,BD!$A$3:$A$5001,"&lt;="&amp;$B220,BD!$Y$3:$Y$5001,"&lt;&gt;"))))</f>
        <v/>
      </c>
      <c r="M220" s="43" t="str">
        <f>IF(OR($B220="",$A220&gt;$B$9,M$210=""),"",IF(COUNTIFS(BD!$B$3:$B$5001,M$210,BD!$A$3:$A$5001,"&gt;="&amp;$C$7,BD!$A$3:$A$5001,"&lt;="&amp;$B220,BD!$Y$3:$Y$5001,"&lt;&gt;")=0,"",SUMIFS(BD!$Y$3:$Y$5001,BD!$B$3:$B$5001,M$210,BD!$A$3:$A$5001,_xlfn.MAXIFS(BD!$A$3:$A$5001,BD!$B$3:$B$5001,M$210,BD!$A$3:$A$5001,"&gt;="&amp;$C$7,BD!$A$3:$A$5001,"&lt;="&amp;$B220,BD!$Y$3:$Y$5001,"&lt;&gt;"))))</f>
        <v/>
      </c>
      <c r="N220" s="43" t="str">
        <f>IF(OR($B220="",$A220&gt;$B$9,N$210=""),"",IF(COUNTIFS(BD!$B$3:$B$5001,N$210,BD!$A$3:$A$5001,"&gt;="&amp;$C$7,BD!$A$3:$A$5001,"&lt;="&amp;$B220,BD!$Y$3:$Y$5001,"&lt;&gt;")=0,"",SUMIFS(BD!$Y$3:$Y$5001,BD!$B$3:$B$5001,N$210,BD!$A$3:$A$5001,_xlfn.MAXIFS(BD!$A$3:$A$5001,BD!$B$3:$B$5001,N$210,BD!$A$3:$A$5001,"&gt;="&amp;$C$7,BD!$A$3:$A$5001,"&lt;="&amp;$B220,BD!$Y$3:$Y$5001,"&lt;&gt;"))))</f>
        <v/>
      </c>
      <c r="O220" s="43" t="str">
        <f>IF(OR($B220="",$A220&gt;$B$9,O$210=""),"",IF(COUNTIFS(BD!$B$3:$B$5001,O$210,BD!$A$3:$A$5001,"&gt;="&amp;$C$7,BD!$A$3:$A$5001,"&lt;="&amp;$B220,BD!$Y$3:$Y$5001,"&lt;&gt;")=0,"",SUMIFS(BD!$Y$3:$Y$5001,BD!$B$3:$B$5001,O$210,BD!$A$3:$A$5001,_xlfn.MAXIFS(BD!$A$3:$A$5001,BD!$B$3:$B$5001,O$210,BD!$A$3:$A$5001,"&gt;="&amp;$C$7,BD!$A$3:$A$5001,"&lt;="&amp;$B220,BD!$Y$3:$Y$5001,"&lt;&gt;"))))</f>
        <v/>
      </c>
      <c r="P220" s="43" t="str">
        <f>IF(OR($B220="",$A220&gt;$B$9,P$210=""),"",IF(COUNTIFS(BD!$B$3:$B$5001,P$210,BD!$A$3:$A$5001,"&gt;="&amp;$C$7,BD!$A$3:$A$5001,"&lt;="&amp;$B220,BD!$Y$3:$Y$5001,"&lt;&gt;")=0,"",SUMIFS(BD!$Y$3:$Y$5001,BD!$B$3:$B$5001,P$210,BD!$A$3:$A$5001,_xlfn.MAXIFS(BD!$A$3:$A$5001,BD!$B$3:$B$5001,P$210,BD!$A$3:$A$5001,"&gt;="&amp;$C$7,BD!$A$3:$A$5001,"&lt;="&amp;$B220,BD!$Y$3:$Y$5001,"&lt;&gt;"))))</f>
        <v/>
      </c>
      <c r="Q220" s="43" t="str">
        <f>IF(OR($B220="",$A220&gt;$B$9,Q$210=""),"",IF(COUNTIFS(BD!$B$3:$B$5001,Q$210,BD!$A$3:$A$5001,"&gt;="&amp;$C$7,BD!$A$3:$A$5001,"&lt;="&amp;$B220,BD!$Y$3:$Y$5001,"&lt;&gt;")=0,"",SUMIFS(BD!$Y$3:$Y$5001,BD!$B$3:$B$5001,Q$210,BD!$A$3:$A$5001,_xlfn.MAXIFS(BD!$A$3:$A$5001,BD!$B$3:$B$5001,Q$210,BD!$A$3:$A$5001,"&gt;="&amp;$C$7,BD!$A$3:$A$5001,"&lt;="&amp;$B220,BD!$Y$3:$Y$5001,"&lt;&gt;"))))</f>
        <v/>
      </c>
      <c r="R220" s="43" t="str">
        <f>IF(OR($B220="",$A220&gt;$B$9,R$210=""),"",IF(COUNTIFS(BD!$B$3:$B$5001,R$210,BD!$A$3:$A$5001,"&gt;="&amp;$C$7,BD!$A$3:$A$5001,"&lt;="&amp;$B220,BD!$Y$3:$Y$5001,"&lt;&gt;")=0,"",SUMIFS(BD!$Y$3:$Y$5001,BD!$B$3:$B$5001,R$210,BD!$A$3:$A$5001,_xlfn.MAXIFS(BD!$A$3:$A$5001,BD!$B$3:$B$5001,R$210,BD!$A$3:$A$5001,"&gt;="&amp;$C$7,BD!$A$3:$A$5001,"&lt;="&amp;$B220,BD!$Y$3:$Y$5001,"&lt;&gt;"))))</f>
        <v/>
      </c>
      <c r="S220" s="43" t="str">
        <f>IF(OR($B220="",$A220&gt;$B$9,S$210=""),"",IF(COUNTIFS(BD!$B$3:$B$5001,S$210,BD!$A$3:$A$5001,"&gt;="&amp;$C$7,BD!$A$3:$A$5001,"&lt;="&amp;$B220,BD!$Y$3:$Y$5001,"&lt;&gt;")=0,"",SUMIFS(BD!$Y$3:$Y$5001,BD!$B$3:$B$5001,S$210,BD!$A$3:$A$5001,_xlfn.MAXIFS(BD!$A$3:$A$5001,BD!$B$3:$B$5001,S$210,BD!$A$3:$A$5001,"&gt;="&amp;$C$7,BD!$A$3:$A$5001,"&lt;="&amp;$B220,BD!$Y$3:$Y$5001,"&lt;&gt;"))))</f>
        <v/>
      </c>
      <c r="T220" s="43" t="str">
        <f>IF(OR($B220="",$A220&gt;$B$9,T$210=""),"",IF(COUNTIFS(BD!$B$3:$B$5001,T$210,BD!$A$3:$A$5001,"&gt;="&amp;$C$7,BD!$A$3:$A$5001,"&lt;="&amp;$B220,BD!$Y$3:$Y$5001,"&lt;&gt;")=0,"",SUMIFS(BD!$Y$3:$Y$5001,BD!$B$3:$B$5001,T$210,BD!$A$3:$A$5001,_xlfn.MAXIFS(BD!$A$3:$A$5001,BD!$B$3:$B$5001,T$210,BD!$A$3:$A$5001,"&gt;="&amp;$C$7,BD!$A$3:$A$5001,"&lt;="&amp;$B220,BD!$Y$3:$Y$5001,"&lt;&gt;"))))</f>
        <v/>
      </c>
      <c r="U220" s="43" t="str">
        <f>IF(OR($B220="",$A220&gt;$B$9,U$210=""),"",IF(COUNTIFS(BD!$B$3:$B$5001,U$210,BD!$A$3:$A$5001,"&gt;="&amp;$C$7,BD!$A$3:$A$5001,"&lt;="&amp;$B220,BD!$Y$3:$Y$5001,"&lt;&gt;")=0,"",SUMIFS(BD!$Y$3:$Y$5001,BD!$B$3:$B$5001,U$210,BD!$A$3:$A$5001,_xlfn.MAXIFS(BD!$A$3:$A$5001,BD!$B$3:$B$5001,U$210,BD!$A$3:$A$5001,"&gt;="&amp;$C$7,BD!$A$3:$A$5001,"&lt;="&amp;$B220,BD!$Y$3:$Y$5001,"&lt;&gt;"))))</f>
        <v/>
      </c>
      <c r="V220" s="43" t="str">
        <f>IF(OR($B220="",$A220&gt;$B$9,V$210=""),"",IF(COUNTIFS(BD!$B$3:$B$5001,V$210,BD!$A$3:$A$5001,"&gt;="&amp;$C$7,BD!$A$3:$A$5001,"&lt;="&amp;$B220,BD!$Y$3:$Y$5001,"&lt;&gt;")=0,"",SUMIFS(BD!$Y$3:$Y$5001,BD!$B$3:$B$5001,V$210,BD!$A$3:$A$5001,_xlfn.MAXIFS(BD!$A$3:$A$5001,BD!$B$3:$B$5001,V$210,BD!$A$3:$A$5001,"&gt;="&amp;$C$7,BD!$A$3:$A$5001,"&lt;="&amp;$B220,BD!$Y$3:$Y$5001,"&lt;&gt;"))))</f>
        <v/>
      </c>
    </row>
    <row r="221">
      <c r="A221" s="38">
        <v>11</v>
      </c>
      <c r="B221" s="42">
        <f>$B$22</f>
        <v>46306</v>
      </c>
      <c r="C221" s="43" t="str">
        <f>IF(OR($B221="",$A221&gt;$B$9,C$210=""),"",IF(COUNTIFS(BD!$B$3:$B$5001,C$210,BD!$A$3:$A$5001,"&gt;="&amp;$C$7,BD!$A$3:$A$5001,"&lt;="&amp;$B221,BD!$Y$3:$Y$5001,"&lt;&gt;")=0,"",SUMIFS(BD!$Y$3:$Y$5001,BD!$B$3:$B$5001,C$210,BD!$A$3:$A$5001,_xlfn.MAXIFS(BD!$A$3:$A$5001,BD!$B$3:$B$5001,C$210,BD!$A$3:$A$5001,"&gt;="&amp;$C$7,BD!$A$3:$A$5001,"&lt;="&amp;$B221,BD!$Y$3:$Y$5001,"&lt;&gt;"))))</f>
        <v/>
      </c>
      <c r="D221" s="43" t="str">
        <f>IF(OR($B221="",$A221&gt;$B$9,D$210=""),"",IF(COUNTIFS(BD!$B$3:$B$5001,D$210,BD!$A$3:$A$5001,"&gt;="&amp;$C$7,BD!$A$3:$A$5001,"&lt;="&amp;$B221,BD!$Y$3:$Y$5001,"&lt;&gt;")=0,"",SUMIFS(BD!$Y$3:$Y$5001,BD!$B$3:$B$5001,D$210,BD!$A$3:$A$5001,_xlfn.MAXIFS(BD!$A$3:$A$5001,BD!$B$3:$B$5001,D$210,BD!$A$3:$A$5001,"&gt;="&amp;$C$7,BD!$A$3:$A$5001,"&lt;="&amp;$B221,BD!$Y$3:$Y$5001,"&lt;&gt;"))))</f>
        <v/>
      </c>
      <c r="E221" s="43" t="str">
        <f>IF(OR($B221="",$A221&gt;$B$9,E$210=""),"",IF(COUNTIFS(BD!$B$3:$B$5001,E$210,BD!$A$3:$A$5001,"&gt;="&amp;$C$7,BD!$A$3:$A$5001,"&lt;="&amp;$B221,BD!$Y$3:$Y$5001,"&lt;&gt;")=0,"",SUMIFS(BD!$Y$3:$Y$5001,BD!$B$3:$B$5001,E$210,BD!$A$3:$A$5001,_xlfn.MAXIFS(BD!$A$3:$A$5001,BD!$B$3:$B$5001,E$210,BD!$A$3:$A$5001,"&gt;="&amp;$C$7,BD!$A$3:$A$5001,"&lt;="&amp;$B221,BD!$Y$3:$Y$5001,"&lt;&gt;"))))</f>
        <v/>
      </c>
      <c r="F221" s="43" t="str">
        <f>IF(OR($B221="",$A221&gt;$B$9,F$210=""),"",IF(COUNTIFS(BD!$B$3:$B$5001,F$210,BD!$A$3:$A$5001,"&gt;="&amp;$C$7,BD!$A$3:$A$5001,"&lt;="&amp;$B221,BD!$Y$3:$Y$5001,"&lt;&gt;")=0,"",SUMIFS(BD!$Y$3:$Y$5001,BD!$B$3:$B$5001,F$210,BD!$A$3:$A$5001,_xlfn.MAXIFS(BD!$A$3:$A$5001,BD!$B$3:$B$5001,F$210,BD!$A$3:$A$5001,"&gt;="&amp;$C$7,BD!$A$3:$A$5001,"&lt;="&amp;$B221,BD!$Y$3:$Y$5001,"&lt;&gt;"))))</f>
        <v/>
      </c>
      <c r="G221" s="43" t="str">
        <f>IF(OR($B221="",$A221&gt;$B$9,G$210=""),"",IF(COUNTIFS(BD!$B$3:$B$5001,G$210,BD!$A$3:$A$5001,"&gt;="&amp;$C$7,BD!$A$3:$A$5001,"&lt;="&amp;$B221,BD!$Y$3:$Y$5001,"&lt;&gt;")=0,"",SUMIFS(BD!$Y$3:$Y$5001,BD!$B$3:$B$5001,G$210,BD!$A$3:$A$5001,_xlfn.MAXIFS(BD!$A$3:$A$5001,BD!$B$3:$B$5001,G$210,BD!$A$3:$A$5001,"&gt;="&amp;$C$7,BD!$A$3:$A$5001,"&lt;="&amp;$B221,BD!$Y$3:$Y$5001,"&lt;&gt;"))))</f>
        <v/>
      </c>
      <c r="H221" s="43" t="str">
        <f>IF(OR($B221="",$A221&gt;$B$9,H$210=""),"",IF(COUNTIFS(BD!$B$3:$B$5001,H$210,BD!$A$3:$A$5001,"&gt;="&amp;$C$7,BD!$A$3:$A$5001,"&lt;="&amp;$B221,BD!$Y$3:$Y$5001,"&lt;&gt;")=0,"",SUMIFS(BD!$Y$3:$Y$5001,BD!$B$3:$B$5001,H$210,BD!$A$3:$A$5001,_xlfn.MAXIFS(BD!$A$3:$A$5001,BD!$B$3:$B$5001,H$210,BD!$A$3:$A$5001,"&gt;="&amp;$C$7,BD!$A$3:$A$5001,"&lt;="&amp;$B221,BD!$Y$3:$Y$5001,"&lt;&gt;"))))</f>
        <v/>
      </c>
      <c r="I221" s="43" t="str">
        <f>IF(OR($B221="",$A221&gt;$B$9,I$210=""),"",IF(COUNTIFS(BD!$B$3:$B$5001,I$210,BD!$A$3:$A$5001,"&gt;="&amp;$C$7,BD!$A$3:$A$5001,"&lt;="&amp;$B221,BD!$Y$3:$Y$5001,"&lt;&gt;")=0,"",SUMIFS(BD!$Y$3:$Y$5001,BD!$B$3:$B$5001,I$210,BD!$A$3:$A$5001,_xlfn.MAXIFS(BD!$A$3:$A$5001,BD!$B$3:$B$5001,I$210,BD!$A$3:$A$5001,"&gt;="&amp;$C$7,BD!$A$3:$A$5001,"&lt;="&amp;$B221,BD!$Y$3:$Y$5001,"&lt;&gt;"))))</f>
        <v/>
      </c>
      <c r="J221" s="43" t="str">
        <f>IF(OR($B221="",$A221&gt;$B$9,J$210=""),"",IF(COUNTIFS(BD!$B$3:$B$5001,J$210,BD!$A$3:$A$5001,"&gt;="&amp;$C$7,BD!$A$3:$A$5001,"&lt;="&amp;$B221,BD!$Y$3:$Y$5001,"&lt;&gt;")=0,"",SUMIFS(BD!$Y$3:$Y$5001,BD!$B$3:$B$5001,J$210,BD!$A$3:$A$5001,_xlfn.MAXIFS(BD!$A$3:$A$5001,BD!$B$3:$B$5001,J$210,BD!$A$3:$A$5001,"&gt;="&amp;$C$7,BD!$A$3:$A$5001,"&lt;="&amp;$B221,BD!$Y$3:$Y$5001,"&lt;&gt;"))))</f>
        <v/>
      </c>
      <c r="K221" s="43" t="str">
        <f>IF(OR($B221="",$A221&gt;$B$9,K$210=""),"",IF(COUNTIFS(BD!$B$3:$B$5001,K$210,BD!$A$3:$A$5001,"&gt;="&amp;$C$7,BD!$A$3:$A$5001,"&lt;="&amp;$B221,BD!$Y$3:$Y$5001,"&lt;&gt;")=0,"",SUMIFS(BD!$Y$3:$Y$5001,BD!$B$3:$B$5001,K$210,BD!$A$3:$A$5001,_xlfn.MAXIFS(BD!$A$3:$A$5001,BD!$B$3:$B$5001,K$210,BD!$A$3:$A$5001,"&gt;="&amp;$C$7,BD!$A$3:$A$5001,"&lt;="&amp;$B221,BD!$Y$3:$Y$5001,"&lt;&gt;"))))</f>
        <v/>
      </c>
      <c r="L221" s="43" t="str">
        <f>IF(OR($B221="",$A221&gt;$B$9,L$210=""),"",IF(COUNTIFS(BD!$B$3:$B$5001,L$210,BD!$A$3:$A$5001,"&gt;="&amp;$C$7,BD!$A$3:$A$5001,"&lt;="&amp;$B221,BD!$Y$3:$Y$5001,"&lt;&gt;")=0,"",SUMIFS(BD!$Y$3:$Y$5001,BD!$B$3:$B$5001,L$210,BD!$A$3:$A$5001,_xlfn.MAXIFS(BD!$A$3:$A$5001,BD!$B$3:$B$5001,L$210,BD!$A$3:$A$5001,"&gt;="&amp;$C$7,BD!$A$3:$A$5001,"&lt;="&amp;$B221,BD!$Y$3:$Y$5001,"&lt;&gt;"))))</f>
        <v/>
      </c>
      <c r="M221" s="43" t="str">
        <f>IF(OR($B221="",$A221&gt;$B$9,M$210=""),"",IF(COUNTIFS(BD!$B$3:$B$5001,M$210,BD!$A$3:$A$5001,"&gt;="&amp;$C$7,BD!$A$3:$A$5001,"&lt;="&amp;$B221,BD!$Y$3:$Y$5001,"&lt;&gt;")=0,"",SUMIFS(BD!$Y$3:$Y$5001,BD!$B$3:$B$5001,M$210,BD!$A$3:$A$5001,_xlfn.MAXIFS(BD!$A$3:$A$5001,BD!$B$3:$B$5001,M$210,BD!$A$3:$A$5001,"&gt;="&amp;$C$7,BD!$A$3:$A$5001,"&lt;="&amp;$B221,BD!$Y$3:$Y$5001,"&lt;&gt;"))))</f>
        <v/>
      </c>
      <c r="N221" s="43" t="str">
        <f>IF(OR($B221="",$A221&gt;$B$9,N$210=""),"",IF(COUNTIFS(BD!$B$3:$B$5001,N$210,BD!$A$3:$A$5001,"&gt;="&amp;$C$7,BD!$A$3:$A$5001,"&lt;="&amp;$B221,BD!$Y$3:$Y$5001,"&lt;&gt;")=0,"",SUMIFS(BD!$Y$3:$Y$5001,BD!$B$3:$B$5001,N$210,BD!$A$3:$A$5001,_xlfn.MAXIFS(BD!$A$3:$A$5001,BD!$B$3:$B$5001,N$210,BD!$A$3:$A$5001,"&gt;="&amp;$C$7,BD!$A$3:$A$5001,"&lt;="&amp;$B221,BD!$Y$3:$Y$5001,"&lt;&gt;"))))</f>
        <v/>
      </c>
      <c r="O221" s="43" t="str">
        <f>IF(OR($B221="",$A221&gt;$B$9,O$210=""),"",IF(COUNTIFS(BD!$B$3:$B$5001,O$210,BD!$A$3:$A$5001,"&gt;="&amp;$C$7,BD!$A$3:$A$5001,"&lt;="&amp;$B221,BD!$Y$3:$Y$5001,"&lt;&gt;")=0,"",SUMIFS(BD!$Y$3:$Y$5001,BD!$B$3:$B$5001,O$210,BD!$A$3:$A$5001,_xlfn.MAXIFS(BD!$A$3:$A$5001,BD!$B$3:$B$5001,O$210,BD!$A$3:$A$5001,"&gt;="&amp;$C$7,BD!$A$3:$A$5001,"&lt;="&amp;$B221,BD!$Y$3:$Y$5001,"&lt;&gt;"))))</f>
        <v/>
      </c>
      <c r="P221" s="43" t="str">
        <f>IF(OR($B221="",$A221&gt;$B$9,P$210=""),"",IF(COUNTIFS(BD!$B$3:$B$5001,P$210,BD!$A$3:$A$5001,"&gt;="&amp;$C$7,BD!$A$3:$A$5001,"&lt;="&amp;$B221,BD!$Y$3:$Y$5001,"&lt;&gt;")=0,"",SUMIFS(BD!$Y$3:$Y$5001,BD!$B$3:$B$5001,P$210,BD!$A$3:$A$5001,_xlfn.MAXIFS(BD!$A$3:$A$5001,BD!$B$3:$B$5001,P$210,BD!$A$3:$A$5001,"&gt;="&amp;$C$7,BD!$A$3:$A$5001,"&lt;="&amp;$B221,BD!$Y$3:$Y$5001,"&lt;&gt;"))))</f>
        <v/>
      </c>
      <c r="Q221" s="43" t="str">
        <f>IF(OR($B221="",$A221&gt;$B$9,Q$210=""),"",IF(COUNTIFS(BD!$B$3:$B$5001,Q$210,BD!$A$3:$A$5001,"&gt;="&amp;$C$7,BD!$A$3:$A$5001,"&lt;="&amp;$B221,BD!$Y$3:$Y$5001,"&lt;&gt;")=0,"",SUMIFS(BD!$Y$3:$Y$5001,BD!$B$3:$B$5001,Q$210,BD!$A$3:$A$5001,_xlfn.MAXIFS(BD!$A$3:$A$5001,BD!$B$3:$B$5001,Q$210,BD!$A$3:$A$5001,"&gt;="&amp;$C$7,BD!$A$3:$A$5001,"&lt;="&amp;$B221,BD!$Y$3:$Y$5001,"&lt;&gt;"))))</f>
        <v/>
      </c>
      <c r="R221" s="43" t="str">
        <f>IF(OR($B221="",$A221&gt;$B$9,R$210=""),"",IF(COUNTIFS(BD!$B$3:$B$5001,R$210,BD!$A$3:$A$5001,"&gt;="&amp;$C$7,BD!$A$3:$A$5001,"&lt;="&amp;$B221,BD!$Y$3:$Y$5001,"&lt;&gt;")=0,"",SUMIFS(BD!$Y$3:$Y$5001,BD!$B$3:$B$5001,R$210,BD!$A$3:$A$5001,_xlfn.MAXIFS(BD!$A$3:$A$5001,BD!$B$3:$B$5001,R$210,BD!$A$3:$A$5001,"&gt;="&amp;$C$7,BD!$A$3:$A$5001,"&lt;="&amp;$B221,BD!$Y$3:$Y$5001,"&lt;&gt;"))))</f>
        <v/>
      </c>
      <c r="S221" s="43" t="str">
        <f>IF(OR($B221="",$A221&gt;$B$9,S$210=""),"",IF(COUNTIFS(BD!$B$3:$B$5001,S$210,BD!$A$3:$A$5001,"&gt;="&amp;$C$7,BD!$A$3:$A$5001,"&lt;="&amp;$B221,BD!$Y$3:$Y$5001,"&lt;&gt;")=0,"",SUMIFS(BD!$Y$3:$Y$5001,BD!$B$3:$B$5001,S$210,BD!$A$3:$A$5001,_xlfn.MAXIFS(BD!$A$3:$A$5001,BD!$B$3:$B$5001,S$210,BD!$A$3:$A$5001,"&gt;="&amp;$C$7,BD!$A$3:$A$5001,"&lt;="&amp;$B221,BD!$Y$3:$Y$5001,"&lt;&gt;"))))</f>
        <v/>
      </c>
      <c r="T221" s="43" t="str">
        <f>IF(OR($B221="",$A221&gt;$B$9,T$210=""),"",IF(COUNTIFS(BD!$B$3:$B$5001,T$210,BD!$A$3:$A$5001,"&gt;="&amp;$C$7,BD!$A$3:$A$5001,"&lt;="&amp;$B221,BD!$Y$3:$Y$5001,"&lt;&gt;")=0,"",SUMIFS(BD!$Y$3:$Y$5001,BD!$B$3:$B$5001,T$210,BD!$A$3:$A$5001,_xlfn.MAXIFS(BD!$A$3:$A$5001,BD!$B$3:$B$5001,T$210,BD!$A$3:$A$5001,"&gt;="&amp;$C$7,BD!$A$3:$A$5001,"&lt;="&amp;$B221,BD!$Y$3:$Y$5001,"&lt;&gt;"))))</f>
        <v/>
      </c>
      <c r="U221" s="43" t="str">
        <f>IF(OR($B221="",$A221&gt;$B$9,U$210=""),"",IF(COUNTIFS(BD!$B$3:$B$5001,U$210,BD!$A$3:$A$5001,"&gt;="&amp;$C$7,BD!$A$3:$A$5001,"&lt;="&amp;$B221,BD!$Y$3:$Y$5001,"&lt;&gt;")=0,"",SUMIFS(BD!$Y$3:$Y$5001,BD!$B$3:$B$5001,U$210,BD!$A$3:$A$5001,_xlfn.MAXIFS(BD!$A$3:$A$5001,BD!$B$3:$B$5001,U$210,BD!$A$3:$A$5001,"&gt;="&amp;$C$7,BD!$A$3:$A$5001,"&lt;="&amp;$B221,BD!$Y$3:$Y$5001,"&lt;&gt;"))))</f>
        <v/>
      </c>
      <c r="V221" s="43" t="str">
        <f>IF(OR($B221="",$A221&gt;$B$9,V$210=""),"",IF(COUNTIFS(BD!$B$3:$B$5001,V$210,BD!$A$3:$A$5001,"&gt;="&amp;$C$7,BD!$A$3:$A$5001,"&lt;="&amp;$B221,BD!$Y$3:$Y$5001,"&lt;&gt;")=0,"",SUMIFS(BD!$Y$3:$Y$5001,BD!$B$3:$B$5001,V$210,BD!$A$3:$A$5001,_xlfn.MAXIFS(BD!$A$3:$A$5001,BD!$B$3:$B$5001,V$210,BD!$A$3:$A$5001,"&gt;="&amp;$C$7,BD!$A$3:$A$5001,"&lt;="&amp;$B221,BD!$Y$3:$Y$5001,"&lt;&gt;"))))</f>
        <v/>
      </c>
    </row>
    <row r="222">
      <c r="A222" s="38">
        <v>12</v>
      </c>
      <c r="B222" s="42">
        <f>$B$23</f>
        <v>46307</v>
      </c>
      <c r="C222" s="43" t="str">
        <f>IF(OR($B222="",$A222&gt;$B$9,C$210=""),"",IF(COUNTIFS(BD!$B$3:$B$5001,C$210,BD!$A$3:$A$5001,"&gt;="&amp;$C$7,BD!$A$3:$A$5001,"&lt;="&amp;$B222,BD!$Y$3:$Y$5001,"&lt;&gt;")=0,"",SUMIFS(BD!$Y$3:$Y$5001,BD!$B$3:$B$5001,C$210,BD!$A$3:$A$5001,_xlfn.MAXIFS(BD!$A$3:$A$5001,BD!$B$3:$B$5001,C$210,BD!$A$3:$A$5001,"&gt;="&amp;$C$7,BD!$A$3:$A$5001,"&lt;="&amp;$B222,BD!$Y$3:$Y$5001,"&lt;&gt;"))))</f>
        <v/>
      </c>
      <c r="D222" s="43" t="str">
        <f>IF(OR($B222="",$A222&gt;$B$9,D$210=""),"",IF(COUNTIFS(BD!$B$3:$B$5001,D$210,BD!$A$3:$A$5001,"&gt;="&amp;$C$7,BD!$A$3:$A$5001,"&lt;="&amp;$B222,BD!$Y$3:$Y$5001,"&lt;&gt;")=0,"",SUMIFS(BD!$Y$3:$Y$5001,BD!$B$3:$B$5001,D$210,BD!$A$3:$A$5001,_xlfn.MAXIFS(BD!$A$3:$A$5001,BD!$B$3:$B$5001,D$210,BD!$A$3:$A$5001,"&gt;="&amp;$C$7,BD!$A$3:$A$5001,"&lt;="&amp;$B222,BD!$Y$3:$Y$5001,"&lt;&gt;"))))</f>
        <v/>
      </c>
      <c r="E222" s="43" t="str">
        <f>IF(OR($B222="",$A222&gt;$B$9,E$210=""),"",IF(COUNTIFS(BD!$B$3:$B$5001,E$210,BD!$A$3:$A$5001,"&gt;="&amp;$C$7,BD!$A$3:$A$5001,"&lt;="&amp;$B222,BD!$Y$3:$Y$5001,"&lt;&gt;")=0,"",SUMIFS(BD!$Y$3:$Y$5001,BD!$B$3:$B$5001,E$210,BD!$A$3:$A$5001,_xlfn.MAXIFS(BD!$A$3:$A$5001,BD!$B$3:$B$5001,E$210,BD!$A$3:$A$5001,"&gt;="&amp;$C$7,BD!$A$3:$A$5001,"&lt;="&amp;$B222,BD!$Y$3:$Y$5001,"&lt;&gt;"))))</f>
        <v/>
      </c>
      <c r="F222" s="43" t="str">
        <f>IF(OR($B222="",$A222&gt;$B$9,F$210=""),"",IF(COUNTIFS(BD!$B$3:$B$5001,F$210,BD!$A$3:$A$5001,"&gt;="&amp;$C$7,BD!$A$3:$A$5001,"&lt;="&amp;$B222,BD!$Y$3:$Y$5001,"&lt;&gt;")=0,"",SUMIFS(BD!$Y$3:$Y$5001,BD!$B$3:$B$5001,F$210,BD!$A$3:$A$5001,_xlfn.MAXIFS(BD!$A$3:$A$5001,BD!$B$3:$B$5001,F$210,BD!$A$3:$A$5001,"&gt;="&amp;$C$7,BD!$A$3:$A$5001,"&lt;="&amp;$B222,BD!$Y$3:$Y$5001,"&lt;&gt;"))))</f>
        <v/>
      </c>
      <c r="G222" s="43" t="str">
        <f>IF(OR($B222="",$A222&gt;$B$9,G$210=""),"",IF(COUNTIFS(BD!$B$3:$B$5001,G$210,BD!$A$3:$A$5001,"&gt;="&amp;$C$7,BD!$A$3:$A$5001,"&lt;="&amp;$B222,BD!$Y$3:$Y$5001,"&lt;&gt;")=0,"",SUMIFS(BD!$Y$3:$Y$5001,BD!$B$3:$B$5001,G$210,BD!$A$3:$A$5001,_xlfn.MAXIFS(BD!$A$3:$A$5001,BD!$B$3:$B$5001,G$210,BD!$A$3:$A$5001,"&gt;="&amp;$C$7,BD!$A$3:$A$5001,"&lt;="&amp;$B222,BD!$Y$3:$Y$5001,"&lt;&gt;"))))</f>
        <v/>
      </c>
      <c r="H222" s="43" t="str">
        <f>IF(OR($B222="",$A222&gt;$B$9,H$210=""),"",IF(COUNTIFS(BD!$B$3:$B$5001,H$210,BD!$A$3:$A$5001,"&gt;="&amp;$C$7,BD!$A$3:$A$5001,"&lt;="&amp;$B222,BD!$Y$3:$Y$5001,"&lt;&gt;")=0,"",SUMIFS(BD!$Y$3:$Y$5001,BD!$B$3:$B$5001,H$210,BD!$A$3:$A$5001,_xlfn.MAXIFS(BD!$A$3:$A$5001,BD!$B$3:$B$5001,H$210,BD!$A$3:$A$5001,"&gt;="&amp;$C$7,BD!$A$3:$A$5001,"&lt;="&amp;$B222,BD!$Y$3:$Y$5001,"&lt;&gt;"))))</f>
        <v/>
      </c>
      <c r="I222" s="43" t="str">
        <f>IF(OR($B222="",$A222&gt;$B$9,I$210=""),"",IF(COUNTIFS(BD!$B$3:$B$5001,I$210,BD!$A$3:$A$5001,"&gt;="&amp;$C$7,BD!$A$3:$A$5001,"&lt;="&amp;$B222,BD!$Y$3:$Y$5001,"&lt;&gt;")=0,"",SUMIFS(BD!$Y$3:$Y$5001,BD!$B$3:$B$5001,I$210,BD!$A$3:$A$5001,_xlfn.MAXIFS(BD!$A$3:$A$5001,BD!$B$3:$B$5001,I$210,BD!$A$3:$A$5001,"&gt;="&amp;$C$7,BD!$A$3:$A$5001,"&lt;="&amp;$B222,BD!$Y$3:$Y$5001,"&lt;&gt;"))))</f>
        <v/>
      </c>
      <c r="J222" s="43" t="str">
        <f>IF(OR($B222="",$A222&gt;$B$9,J$210=""),"",IF(COUNTIFS(BD!$B$3:$B$5001,J$210,BD!$A$3:$A$5001,"&gt;="&amp;$C$7,BD!$A$3:$A$5001,"&lt;="&amp;$B222,BD!$Y$3:$Y$5001,"&lt;&gt;")=0,"",SUMIFS(BD!$Y$3:$Y$5001,BD!$B$3:$B$5001,J$210,BD!$A$3:$A$5001,_xlfn.MAXIFS(BD!$A$3:$A$5001,BD!$B$3:$B$5001,J$210,BD!$A$3:$A$5001,"&gt;="&amp;$C$7,BD!$A$3:$A$5001,"&lt;="&amp;$B222,BD!$Y$3:$Y$5001,"&lt;&gt;"))))</f>
        <v/>
      </c>
      <c r="K222" s="43" t="str">
        <f>IF(OR($B222="",$A222&gt;$B$9,K$210=""),"",IF(COUNTIFS(BD!$B$3:$B$5001,K$210,BD!$A$3:$A$5001,"&gt;="&amp;$C$7,BD!$A$3:$A$5001,"&lt;="&amp;$B222,BD!$Y$3:$Y$5001,"&lt;&gt;")=0,"",SUMIFS(BD!$Y$3:$Y$5001,BD!$B$3:$B$5001,K$210,BD!$A$3:$A$5001,_xlfn.MAXIFS(BD!$A$3:$A$5001,BD!$B$3:$B$5001,K$210,BD!$A$3:$A$5001,"&gt;="&amp;$C$7,BD!$A$3:$A$5001,"&lt;="&amp;$B222,BD!$Y$3:$Y$5001,"&lt;&gt;"))))</f>
        <v/>
      </c>
      <c r="L222" s="43" t="str">
        <f>IF(OR($B222="",$A222&gt;$B$9,L$210=""),"",IF(COUNTIFS(BD!$B$3:$B$5001,L$210,BD!$A$3:$A$5001,"&gt;="&amp;$C$7,BD!$A$3:$A$5001,"&lt;="&amp;$B222,BD!$Y$3:$Y$5001,"&lt;&gt;")=0,"",SUMIFS(BD!$Y$3:$Y$5001,BD!$B$3:$B$5001,L$210,BD!$A$3:$A$5001,_xlfn.MAXIFS(BD!$A$3:$A$5001,BD!$B$3:$B$5001,L$210,BD!$A$3:$A$5001,"&gt;="&amp;$C$7,BD!$A$3:$A$5001,"&lt;="&amp;$B222,BD!$Y$3:$Y$5001,"&lt;&gt;"))))</f>
        <v/>
      </c>
      <c r="M222" s="43" t="str">
        <f>IF(OR($B222="",$A222&gt;$B$9,M$210=""),"",IF(COUNTIFS(BD!$B$3:$B$5001,M$210,BD!$A$3:$A$5001,"&gt;="&amp;$C$7,BD!$A$3:$A$5001,"&lt;="&amp;$B222,BD!$Y$3:$Y$5001,"&lt;&gt;")=0,"",SUMIFS(BD!$Y$3:$Y$5001,BD!$B$3:$B$5001,M$210,BD!$A$3:$A$5001,_xlfn.MAXIFS(BD!$A$3:$A$5001,BD!$B$3:$B$5001,M$210,BD!$A$3:$A$5001,"&gt;="&amp;$C$7,BD!$A$3:$A$5001,"&lt;="&amp;$B222,BD!$Y$3:$Y$5001,"&lt;&gt;"))))</f>
        <v/>
      </c>
      <c r="N222" s="43" t="str">
        <f>IF(OR($B222="",$A222&gt;$B$9,N$210=""),"",IF(COUNTIFS(BD!$B$3:$B$5001,N$210,BD!$A$3:$A$5001,"&gt;="&amp;$C$7,BD!$A$3:$A$5001,"&lt;="&amp;$B222,BD!$Y$3:$Y$5001,"&lt;&gt;")=0,"",SUMIFS(BD!$Y$3:$Y$5001,BD!$B$3:$B$5001,N$210,BD!$A$3:$A$5001,_xlfn.MAXIFS(BD!$A$3:$A$5001,BD!$B$3:$B$5001,N$210,BD!$A$3:$A$5001,"&gt;="&amp;$C$7,BD!$A$3:$A$5001,"&lt;="&amp;$B222,BD!$Y$3:$Y$5001,"&lt;&gt;"))))</f>
        <v/>
      </c>
      <c r="O222" s="43" t="str">
        <f>IF(OR($B222="",$A222&gt;$B$9,O$210=""),"",IF(COUNTIFS(BD!$B$3:$B$5001,O$210,BD!$A$3:$A$5001,"&gt;="&amp;$C$7,BD!$A$3:$A$5001,"&lt;="&amp;$B222,BD!$Y$3:$Y$5001,"&lt;&gt;")=0,"",SUMIFS(BD!$Y$3:$Y$5001,BD!$B$3:$B$5001,O$210,BD!$A$3:$A$5001,_xlfn.MAXIFS(BD!$A$3:$A$5001,BD!$B$3:$B$5001,O$210,BD!$A$3:$A$5001,"&gt;="&amp;$C$7,BD!$A$3:$A$5001,"&lt;="&amp;$B222,BD!$Y$3:$Y$5001,"&lt;&gt;"))))</f>
        <v/>
      </c>
      <c r="P222" s="43" t="str">
        <f>IF(OR($B222="",$A222&gt;$B$9,P$210=""),"",IF(COUNTIFS(BD!$B$3:$B$5001,P$210,BD!$A$3:$A$5001,"&gt;="&amp;$C$7,BD!$A$3:$A$5001,"&lt;="&amp;$B222,BD!$Y$3:$Y$5001,"&lt;&gt;")=0,"",SUMIFS(BD!$Y$3:$Y$5001,BD!$B$3:$B$5001,P$210,BD!$A$3:$A$5001,_xlfn.MAXIFS(BD!$A$3:$A$5001,BD!$B$3:$B$5001,P$210,BD!$A$3:$A$5001,"&gt;="&amp;$C$7,BD!$A$3:$A$5001,"&lt;="&amp;$B222,BD!$Y$3:$Y$5001,"&lt;&gt;"))))</f>
        <v/>
      </c>
      <c r="Q222" s="43" t="str">
        <f>IF(OR($B222="",$A222&gt;$B$9,Q$210=""),"",IF(COUNTIFS(BD!$B$3:$B$5001,Q$210,BD!$A$3:$A$5001,"&gt;="&amp;$C$7,BD!$A$3:$A$5001,"&lt;="&amp;$B222,BD!$Y$3:$Y$5001,"&lt;&gt;")=0,"",SUMIFS(BD!$Y$3:$Y$5001,BD!$B$3:$B$5001,Q$210,BD!$A$3:$A$5001,_xlfn.MAXIFS(BD!$A$3:$A$5001,BD!$B$3:$B$5001,Q$210,BD!$A$3:$A$5001,"&gt;="&amp;$C$7,BD!$A$3:$A$5001,"&lt;="&amp;$B222,BD!$Y$3:$Y$5001,"&lt;&gt;"))))</f>
        <v/>
      </c>
      <c r="R222" s="43" t="str">
        <f>IF(OR($B222="",$A222&gt;$B$9,R$210=""),"",IF(COUNTIFS(BD!$B$3:$B$5001,R$210,BD!$A$3:$A$5001,"&gt;="&amp;$C$7,BD!$A$3:$A$5001,"&lt;="&amp;$B222,BD!$Y$3:$Y$5001,"&lt;&gt;")=0,"",SUMIFS(BD!$Y$3:$Y$5001,BD!$B$3:$B$5001,R$210,BD!$A$3:$A$5001,_xlfn.MAXIFS(BD!$A$3:$A$5001,BD!$B$3:$B$5001,R$210,BD!$A$3:$A$5001,"&gt;="&amp;$C$7,BD!$A$3:$A$5001,"&lt;="&amp;$B222,BD!$Y$3:$Y$5001,"&lt;&gt;"))))</f>
        <v/>
      </c>
      <c r="S222" s="43" t="str">
        <f>IF(OR($B222="",$A222&gt;$B$9,S$210=""),"",IF(COUNTIFS(BD!$B$3:$B$5001,S$210,BD!$A$3:$A$5001,"&gt;="&amp;$C$7,BD!$A$3:$A$5001,"&lt;="&amp;$B222,BD!$Y$3:$Y$5001,"&lt;&gt;")=0,"",SUMIFS(BD!$Y$3:$Y$5001,BD!$B$3:$B$5001,S$210,BD!$A$3:$A$5001,_xlfn.MAXIFS(BD!$A$3:$A$5001,BD!$B$3:$B$5001,S$210,BD!$A$3:$A$5001,"&gt;="&amp;$C$7,BD!$A$3:$A$5001,"&lt;="&amp;$B222,BD!$Y$3:$Y$5001,"&lt;&gt;"))))</f>
        <v/>
      </c>
      <c r="T222" s="43" t="str">
        <f>IF(OR($B222="",$A222&gt;$B$9,T$210=""),"",IF(COUNTIFS(BD!$B$3:$B$5001,T$210,BD!$A$3:$A$5001,"&gt;="&amp;$C$7,BD!$A$3:$A$5001,"&lt;="&amp;$B222,BD!$Y$3:$Y$5001,"&lt;&gt;")=0,"",SUMIFS(BD!$Y$3:$Y$5001,BD!$B$3:$B$5001,T$210,BD!$A$3:$A$5001,_xlfn.MAXIFS(BD!$A$3:$A$5001,BD!$B$3:$B$5001,T$210,BD!$A$3:$A$5001,"&gt;="&amp;$C$7,BD!$A$3:$A$5001,"&lt;="&amp;$B222,BD!$Y$3:$Y$5001,"&lt;&gt;"))))</f>
        <v/>
      </c>
      <c r="U222" s="43" t="str">
        <f>IF(OR($B222="",$A222&gt;$B$9,U$210=""),"",IF(COUNTIFS(BD!$B$3:$B$5001,U$210,BD!$A$3:$A$5001,"&gt;="&amp;$C$7,BD!$A$3:$A$5001,"&lt;="&amp;$B222,BD!$Y$3:$Y$5001,"&lt;&gt;")=0,"",SUMIFS(BD!$Y$3:$Y$5001,BD!$B$3:$B$5001,U$210,BD!$A$3:$A$5001,_xlfn.MAXIFS(BD!$A$3:$A$5001,BD!$B$3:$B$5001,U$210,BD!$A$3:$A$5001,"&gt;="&amp;$C$7,BD!$A$3:$A$5001,"&lt;="&amp;$B222,BD!$Y$3:$Y$5001,"&lt;&gt;"))))</f>
        <v/>
      </c>
      <c r="V222" s="43" t="str">
        <f>IF(OR($B222="",$A222&gt;$B$9,V$210=""),"",IF(COUNTIFS(BD!$B$3:$B$5001,V$210,BD!$A$3:$A$5001,"&gt;="&amp;$C$7,BD!$A$3:$A$5001,"&lt;="&amp;$B222,BD!$Y$3:$Y$5001,"&lt;&gt;")=0,"",SUMIFS(BD!$Y$3:$Y$5001,BD!$B$3:$B$5001,V$210,BD!$A$3:$A$5001,_xlfn.MAXIFS(BD!$A$3:$A$5001,BD!$B$3:$B$5001,V$210,BD!$A$3:$A$5001,"&gt;="&amp;$C$7,BD!$A$3:$A$5001,"&lt;="&amp;$B222,BD!$Y$3:$Y$5001,"&lt;&gt;"))))</f>
        <v/>
      </c>
    </row>
    <row r="223">
      <c r="A223" s="38">
        <v>13</v>
      </c>
      <c r="B223" s="42">
        <f>$B$24</f>
        <v>46308</v>
      </c>
      <c r="C223" s="43" t="str">
        <f>IF(OR($B223="",$A223&gt;$B$9,C$210=""),"",IF(COUNTIFS(BD!$B$3:$B$5001,C$210,BD!$A$3:$A$5001,"&gt;="&amp;$C$7,BD!$A$3:$A$5001,"&lt;="&amp;$B223,BD!$Y$3:$Y$5001,"&lt;&gt;")=0,"",SUMIFS(BD!$Y$3:$Y$5001,BD!$B$3:$B$5001,C$210,BD!$A$3:$A$5001,_xlfn.MAXIFS(BD!$A$3:$A$5001,BD!$B$3:$B$5001,C$210,BD!$A$3:$A$5001,"&gt;="&amp;$C$7,BD!$A$3:$A$5001,"&lt;="&amp;$B223,BD!$Y$3:$Y$5001,"&lt;&gt;"))))</f>
        <v/>
      </c>
      <c r="D223" s="43" t="str">
        <f>IF(OR($B223="",$A223&gt;$B$9,D$210=""),"",IF(COUNTIFS(BD!$B$3:$B$5001,D$210,BD!$A$3:$A$5001,"&gt;="&amp;$C$7,BD!$A$3:$A$5001,"&lt;="&amp;$B223,BD!$Y$3:$Y$5001,"&lt;&gt;")=0,"",SUMIFS(BD!$Y$3:$Y$5001,BD!$B$3:$B$5001,D$210,BD!$A$3:$A$5001,_xlfn.MAXIFS(BD!$A$3:$A$5001,BD!$B$3:$B$5001,D$210,BD!$A$3:$A$5001,"&gt;="&amp;$C$7,BD!$A$3:$A$5001,"&lt;="&amp;$B223,BD!$Y$3:$Y$5001,"&lt;&gt;"))))</f>
        <v/>
      </c>
      <c r="E223" s="43" t="str">
        <f>IF(OR($B223="",$A223&gt;$B$9,E$210=""),"",IF(COUNTIFS(BD!$B$3:$B$5001,E$210,BD!$A$3:$A$5001,"&gt;="&amp;$C$7,BD!$A$3:$A$5001,"&lt;="&amp;$B223,BD!$Y$3:$Y$5001,"&lt;&gt;")=0,"",SUMIFS(BD!$Y$3:$Y$5001,BD!$B$3:$B$5001,E$210,BD!$A$3:$A$5001,_xlfn.MAXIFS(BD!$A$3:$A$5001,BD!$B$3:$B$5001,E$210,BD!$A$3:$A$5001,"&gt;="&amp;$C$7,BD!$A$3:$A$5001,"&lt;="&amp;$B223,BD!$Y$3:$Y$5001,"&lt;&gt;"))))</f>
        <v/>
      </c>
      <c r="F223" s="43" t="str">
        <f>IF(OR($B223="",$A223&gt;$B$9,F$210=""),"",IF(COUNTIFS(BD!$B$3:$B$5001,F$210,BD!$A$3:$A$5001,"&gt;="&amp;$C$7,BD!$A$3:$A$5001,"&lt;="&amp;$B223,BD!$Y$3:$Y$5001,"&lt;&gt;")=0,"",SUMIFS(BD!$Y$3:$Y$5001,BD!$B$3:$B$5001,F$210,BD!$A$3:$A$5001,_xlfn.MAXIFS(BD!$A$3:$A$5001,BD!$B$3:$B$5001,F$210,BD!$A$3:$A$5001,"&gt;="&amp;$C$7,BD!$A$3:$A$5001,"&lt;="&amp;$B223,BD!$Y$3:$Y$5001,"&lt;&gt;"))))</f>
        <v/>
      </c>
      <c r="G223" s="43" t="str">
        <f>IF(OR($B223="",$A223&gt;$B$9,G$210=""),"",IF(COUNTIFS(BD!$B$3:$B$5001,G$210,BD!$A$3:$A$5001,"&gt;="&amp;$C$7,BD!$A$3:$A$5001,"&lt;="&amp;$B223,BD!$Y$3:$Y$5001,"&lt;&gt;")=0,"",SUMIFS(BD!$Y$3:$Y$5001,BD!$B$3:$B$5001,G$210,BD!$A$3:$A$5001,_xlfn.MAXIFS(BD!$A$3:$A$5001,BD!$B$3:$B$5001,G$210,BD!$A$3:$A$5001,"&gt;="&amp;$C$7,BD!$A$3:$A$5001,"&lt;="&amp;$B223,BD!$Y$3:$Y$5001,"&lt;&gt;"))))</f>
        <v/>
      </c>
      <c r="H223" s="43" t="str">
        <f>IF(OR($B223="",$A223&gt;$B$9,H$210=""),"",IF(COUNTIFS(BD!$B$3:$B$5001,H$210,BD!$A$3:$A$5001,"&gt;="&amp;$C$7,BD!$A$3:$A$5001,"&lt;="&amp;$B223,BD!$Y$3:$Y$5001,"&lt;&gt;")=0,"",SUMIFS(BD!$Y$3:$Y$5001,BD!$B$3:$B$5001,H$210,BD!$A$3:$A$5001,_xlfn.MAXIFS(BD!$A$3:$A$5001,BD!$B$3:$B$5001,H$210,BD!$A$3:$A$5001,"&gt;="&amp;$C$7,BD!$A$3:$A$5001,"&lt;="&amp;$B223,BD!$Y$3:$Y$5001,"&lt;&gt;"))))</f>
        <v/>
      </c>
      <c r="I223" s="43" t="str">
        <f>IF(OR($B223="",$A223&gt;$B$9,I$210=""),"",IF(COUNTIFS(BD!$B$3:$B$5001,I$210,BD!$A$3:$A$5001,"&gt;="&amp;$C$7,BD!$A$3:$A$5001,"&lt;="&amp;$B223,BD!$Y$3:$Y$5001,"&lt;&gt;")=0,"",SUMIFS(BD!$Y$3:$Y$5001,BD!$B$3:$B$5001,I$210,BD!$A$3:$A$5001,_xlfn.MAXIFS(BD!$A$3:$A$5001,BD!$B$3:$B$5001,I$210,BD!$A$3:$A$5001,"&gt;="&amp;$C$7,BD!$A$3:$A$5001,"&lt;="&amp;$B223,BD!$Y$3:$Y$5001,"&lt;&gt;"))))</f>
        <v/>
      </c>
      <c r="J223" s="43" t="str">
        <f>IF(OR($B223="",$A223&gt;$B$9,J$210=""),"",IF(COUNTIFS(BD!$B$3:$B$5001,J$210,BD!$A$3:$A$5001,"&gt;="&amp;$C$7,BD!$A$3:$A$5001,"&lt;="&amp;$B223,BD!$Y$3:$Y$5001,"&lt;&gt;")=0,"",SUMIFS(BD!$Y$3:$Y$5001,BD!$B$3:$B$5001,J$210,BD!$A$3:$A$5001,_xlfn.MAXIFS(BD!$A$3:$A$5001,BD!$B$3:$B$5001,J$210,BD!$A$3:$A$5001,"&gt;="&amp;$C$7,BD!$A$3:$A$5001,"&lt;="&amp;$B223,BD!$Y$3:$Y$5001,"&lt;&gt;"))))</f>
        <v/>
      </c>
      <c r="K223" s="43" t="str">
        <f>IF(OR($B223="",$A223&gt;$B$9,K$210=""),"",IF(COUNTIFS(BD!$B$3:$B$5001,K$210,BD!$A$3:$A$5001,"&gt;="&amp;$C$7,BD!$A$3:$A$5001,"&lt;="&amp;$B223,BD!$Y$3:$Y$5001,"&lt;&gt;")=0,"",SUMIFS(BD!$Y$3:$Y$5001,BD!$B$3:$B$5001,K$210,BD!$A$3:$A$5001,_xlfn.MAXIFS(BD!$A$3:$A$5001,BD!$B$3:$B$5001,K$210,BD!$A$3:$A$5001,"&gt;="&amp;$C$7,BD!$A$3:$A$5001,"&lt;="&amp;$B223,BD!$Y$3:$Y$5001,"&lt;&gt;"))))</f>
        <v/>
      </c>
      <c r="L223" s="43" t="str">
        <f>IF(OR($B223="",$A223&gt;$B$9,L$210=""),"",IF(COUNTIFS(BD!$B$3:$B$5001,L$210,BD!$A$3:$A$5001,"&gt;="&amp;$C$7,BD!$A$3:$A$5001,"&lt;="&amp;$B223,BD!$Y$3:$Y$5001,"&lt;&gt;")=0,"",SUMIFS(BD!$Y$3:$Y$5001,BD!$B$3:$B$5001,L$210,BD!$A$3:$A$5001,_xlfn.MAXIFS(BD!$A$3:$A$5001,BD!$B$3:$B$5001,L$210,BD!$A$3:$A$5001,"&gt;="&amp;$C$7,BD!$A$3:$A$5001,"&lt;="&amp;$B223,BD!$Y$3:$Y$5001,"&lt;&gt;"))))</f>
        <v/>
      </c>
      <c r="M223" s="43" t="str">
        <f>IF(OR($B223="",$A223&gt;$B$9,M$210=""),"",IF(COUNTIFS(BD!$B$3:$B$5001,M$210,BD!$A$3:$A$5001,"&gt;="&amp;$C$7,BD!$A$3:$A$5001,"&lt;="&amp;$B223,BD!$Y$3:$Y$5001,"&lt;&gt;")=0,"",SUMIFS(BD!$Y$3:$Y$5001,BD!$B$3:$B$5001,M$210,BD!$A$3:$A$5001,_xlfn.MAXIFS(BD!$A$3:$A$5001,BD!$B$3:$B$5001,M$210,BD!$A$3:$A$5001,"&gt;="&amp;$C$7,BD!$A$3:$A$5001,"&lt;="&amp;$B223,BD!$Y$3:$Y$5001,"&lt;&gt;"))))</f>
        <v/>
      </c>
      <c r="N223" s="43" t="str">
        <f>IF(OR($B223="",$A223&gt;$B$9,N$210=""),"",IF(COUNTIFS(BD!$B$3:$B$5001,N$210,BD!$A$3:$A$5001,"&gt;="&amp;$C$7,BD!$A$3:$A$5001,"&lt;="&amp;$B223,BD!$Y$3:$Y$5001,"&lt;&gt;")=0,"",SUMIFS(BD!$Y$3:$Y$5001,BD!$B$3:$B$5001,N$210,BD!$A$3:$A$5001,_xlfn.MAXIFS(BD!$A$3:$A$5001,BD!$B$3:$B$5001,N$210,BD!$A$3:$A$5001,"&gt;="&amp;$C$7,BD!$A$3:$A$5001,"&lt;="&amp;$B223,BD!$Y$3:$Y$5001,"&lt;&gt;"))))</f>
        <v/>
      </c>
      <c r="O223" s="43" t="str">
        <f>IF(OR($B223="",$A223&gt;$B$9,O$210=""),"",IF(COUNTIFS(BD!$B$3:$B$5001,O$210,BD!$A$3:$A$5001,"&gt;="&amp;$C$7,BD!$A$3:$A$5001,"&lt;="&amp;$B223,BD!$Y$3:$Y$5001,"&lt;&gt;")=0,"",SUMIFS(BD!$Y$3:$Y$5001,BD!$B$3:$B$5001,O$210,BD!$A$3:$A$5001,_xlfn.MAXIFS(BD!$A$3:$A$5001,BD!$B$3:$B$5001,O$210,BD!$A$3:$A$5001,"&gt;="&amp;$C$7,BD!$A$3:$A$5001,"&lt;="&amp;$B223,BD!$Y$3:$Y$5001,"&lt;&gt;"))))</f>
        <v/>
      </c>
      <c r="P223" s="43" t="str">
        <f>IF(OR($B223="",$A223&gt;$B$9,P$210=""),"",IF(COUNTIFS(BD!$B$3:$B$5001,P$210,BD!$A$3:$A$5001,"&gt;="&amp;$C$7,BD!$A$3:$A$5001,"&lt;="&amp;$B223,BD!$Y$3:$Y$5001,"&lt;&gt;")=0,"",SUMIFS(BD!$Y$3:$Y$5001,BD!$B$3:$B$5001,P$210,BD!$A$3:$A$5001,_xlfn.MAXIFS(BD!$A$3:$A$5001,BD!$B$3:$B$5001,P$210,BD!$A$3:$A$5001,"&gt;="&amp;$C$7,BD!$A$3:$A$5001,"&lt;="&amp;$B223,BD!$Y$3:$Y$5001,"&lt;&gt;"))))</f>
        <v/>
      </c>
      <c r="Q223" s="43" t="str">
        <f>IF(OR($B223="",$A223&gt;$B$9,Q$210=""),"",IF(COUNTIFS(BD!$B$3:$B$5001,Q$210,BD!$A$3:$A$5001,"&gt;="&amp;$C$7,BD!$A$3:$A$5001,"&lt;="&amp;$B223,BD!$Y$3:$Y$5001,"&lt;&gt;")=0,"",SUMIFS(BD!$Y$3:$Y$5001,BD!$B$3:$B$5001,Q$210,BD!$A$3:$A$5001,_xlfn.MAXIFS(BD!$A$3:$A$5001,BD!$B$3:$B$5001,Q$210,BD!$A$3:$A$5001,"&gt;="&amp;$C$7,BD!$A$3:$A$5001,"&lt;="&amp;$B223,BD!$Y$3:$Y$5001,"&lt;&gt;"))))</f>
        <v/>
      </c>
      <c r="R223" s="43" t="str">
        <f>IF(OR($B223="",$A223&gt;$B$9,R$210=""),"",IF(COUNTIFS(BD!$B$3:$B$5001,R$210,BD!$A$3:$A$5001,"&gt;="&amp;$C$7,BD!$A$3:$A$5001,"&lt;="&amp;$B223,BD!$Y$3:$Y$5001,"&lt;&gt;")=0,"",SUMIFS(BD!$Y$3:$Y$5001,BD!$B$3:$B$5001,R$210,BD!$A$3:$A$5001,_xlfn.MAXIFS(BD!$A$3:$A$5001,BD!$B$3:$B$5001,R$210,BD!$A$3:$A$5001,"&gt;="&amp;$C$7,BD!$A$3:$A$5001,"&lt;="&amp;$B223,BD!$Y$3:$Y$5001,"&lt;&gt;"))))</f>
        <v/>
      </c>
      <c r="S223" s="43" t="str">
        <f>IF(OR($B223="",$A223&gt;$B$9,S$210=""),"",IF(COUNTIFS(BD!$B$3:$B$5001,S$210,BD!$A$3:$A$5001,"&gt;="&amp;$C$7,BD!$A$3:$A$5001,"&lt;="&amp;$B223,BD!$Y$3:$Y$5001,"&lt;&gt;")=0,"",SUMIFS(BD!$Y$3:$Y$5001,BD!$B$3:$B$5001,S$210,BD!$A$3:$A$5001,_xlfn.MAXIFS(BD!$A$3:$A$5001,BD!$B$3:$B$5001,S$210,BD!$A$3:$A$5001,"&gt;="&amp;$C$7,BD!$A$3:$A$5001,"&lt;="&amp;$B223,BD!$Y$3:$Y$5001,"&lt;&gt;"))))</f>
        <v/>
      </c>
      <c r="T223" s="43" t="str">
        <f>IF(OR($B223="",$A223&gt;$B$9,T$210=""),"",IF(COUNTIFS(BD!$B$3:$B$5001,T$210,BD!$A$3:$A$5001,"&gt;="&amp;$C$7,BD!$A$3:$A$5001,"&lt;="&amp;$B223,BD!$Y$3:$Y$5001,"&lt;&gt;")=0,"",SUMIFS(BD!$Y$3:$Y$5001,BD!$B$3:$B$5001,T$210,BD!$A$3:$A$5001,_xlfn.MAXIFS(BD!$A$3:$A$5001,BD!$B$3:$B$5001,T$210,BD!$A$3:$A$5001,"&gt;="&amp;$C$7,BD!$A$3:$A$5001,"&lt;="&amp;$B223,BD!$Y$3:$Y$5001,"&lt;&gt;"))))</f>
        <v/>
      </c>
      <c r="U223" s="43" t="str">
        <f>IF(OR($B223="",$A223&gt;$B$9,U$210=""),"",IF(COUNTIFS(BD!$B$3:$B$5001,U$210,BD!$A$3:$A$5001,"&gt;="&amp;$C$7,BD!$A$3:$A$5001,"&lt;="&amp;$B223,BD!$Y$3:$Y$5001,"&lt;&gt;")=0,"",SUMIFS(BD!$Y$3:$Y$5001,BD!$B$3:$B$5001,U$210,BD!$A$3:$A$5001,_xlfn.MAXIFS(BD!$A$3:$A$5001,BD!$B$3:$B$5001,U$210,BD!$A$3:$A$5001,"&gt;="&amp;$C$7,BD!$A$3:$A$5001,"&lt;="&amp;$B223,BD!$Y$3:$Y$5001,"&lt;&gt;"))))</f>
        <v/>
      </c>
      <c r="V223" s="43" t="str">
        <f>IF(OR($B223="",$A223&gt;$B$9,V$210=""),"",IF(COUNTIFS(BD!$B$3:$B$5001,V$210,BD!$A$3:$A$5001,"&gt;="&amp;$C$7,BD!$A$3:$A$5001,"&lt;="&amp;$B223,BD!$Y$3:$Y$5001,"&lt;&gt;")=0,"",SUMIFS(BD!$Y$3:$Y$5001,BD!$B$3:$B$5001,V$210,BD!$A$3:$A$5001,_xlfn.MAXIFS(BD!$A$3:$A$5001,BD!$B$3:$B$5001,V$210,BD!$A$3:$A$5001,"&gt;="&amp;$C$7,BD!$A$3:$A$5001,"&lt;="&amp;$B223,BD!$Y$3:$Y$5001,"&lt;&gt;"))))</f>
        <v/>
      </c>
    </row>
    <row r="224">
      <c r="A224" s="38">
        <v>14</v>
      </c>
      <c r="B224" s="42">
        <f>$B$25</f>
        <v>46309</v>
      </c>
      <c r="C224" s="43" t="str">
        <f>IF(OR($B224="",$A224&gt;$B$9,C$210=""),"",IF(COUNTIFS(BD!$B$3:$B$5001,C$210,BD!$A$3:$A$5001,"&gt;="&amp;$C$7,BD!$A$3:$A$5001,"&lt;="&amp;$B224,BD!$Y$3:$Y$5001,"&lt;&gt;")=0,"",SUMIFS(BD!$Y$3:$Y$5001,BD!$B$3:$B$5001,C$210,BD!$A$3:$A$5001,_xlfn.MAXIFS(BD!$A$3:$A$5001,BD!$B$3:$B$5001,C$210,BD!$A$3:$A$5001,"&gt;="&amp;$C$7,BD!$A$3:$A$5001,"&lt;="&amp;$B224,BD!$Y$3:$Y$5001,"&lt;&gt;"))))</f>
        <v/>
      </c>
      <c r="D224" s="43" t="str">
        <f>IF(OR($B224="",$A224&gt;$B$9,D$210=""),"",IF(COUNTIFS(BD!$B$3:$B$5001,D$210,BD!$A$3:$A$5001,"&gt;="&amp;$C$7,BD!$A$3:$A$5001,"&lt;="&amp;$B224,BD!$Y$3:$Y$5001,"&lt;&gt;")=0,"",SUMIFS(BD!$Y$3:$Y$5001,BD!$B$3:$B$5001,D$210,BD!$A$3:$A$5001,_xlfn.MAXIFS(BD!$A$3:$A$5001,BD!$B$3:$B$5001,D$210,BD!$A$3:$A$5001,"&gt;="&amp;$C$7,BD!$A$3:$A$5001,"&lt;="&amp;$B224,BD!$Y$3:$Y$5001,"&lt;&gt;"))))</f>
        <v/>
      </c>
      <c r="E224" s="43" t="str">
        <f>IF(OR($B224="",$A224&gt;$B$9,E$210=""),"",IF(COUNTIFS(BD!$B$3:$B$5001,E$210,BD!$A$3:$A$5001,"&gt;="&amp;$C$7,BD!$A$3:$A$5001,"&lt;="&amp;$B224,BD!$Y$3:$Y$5001,"&lt;&gt;")=0,"",SUMIFS(BD!$Y$3:$Y$5001,BD!$B$3:$B$5001,E$210,BD!$A$3:$A$5001,_xlfn.MAXIFS(BD!$A$3:$A$5001,BD!$B$3:$B$5001,E$210,BD!$A$3:$A$5001,"&gt;="&amp;$C$7,BD!$A$3:$A$5001,"&lt;="&amp;$B224,BD!$Y$3:$Y$5001,"&lt;&gt;"))))</f>
        <v/>
      </c>
      <c r="F224" s="43" t="str">
        <f>IF(OR($B224="",$A224&gt;$B$9,F$210=""),"",IF(COUNTIFS(BD!$B$3:$B$5001,F$210,BD!$A$3:$A$5001,"&gt;="&amp;$C$7,BD!$A$3:$A$5001,"&lt;="&amp;$B224,BD!$Y$3:$Y$5001,"&lt;&gt;")=0,"",SUMIFS(BD!$Y$3:$Y$5001,BD!$B$3:$B$5001,F$210,BD!$A$3:$A$5001,_xlfn.MAXIFS(BD!$A$3:$A$5001,BD!$B$3:$B$5001,F$210,BD!$A$3:$A$5001,"&gt;="&amp;$C$7,BD!$A$3:$A$5001,"&lt;="&amp;$B224,BD!$Y$3:$Y$5001,"&lt;&gt;"))))</f>
        <v/>
      </c>
      <c r="G224" s="43" t="str">
        <f>IF(OR($B224="",$A224&gt;$B$9,G$210=""),"",IF(COUNTIFS(BD!$B$3:$B$5001,G$210,BD!$A$3:$A$5001,"&gt;="&amp;$C$7,BD!$A$3:$A$5001,"&lt;="&amp;$B224,BD!$Y$3:$Y$5001,"&lt;&gt;")=0,"",SUMIFS(BD!$Y$3:$Y$5001,BD!$B$3:$B$5001,G$210,BD!$A$3:$A$5001,_xlfn.MAXIFS(BD!$A$3:$A$5001,BD!$B$3:$B$5001,G$210,BD!$A$3:$A$5001,"&gt;="&amp;$C$7,BD!$A$3:$A$5001,"&lt;="&amp;$B224,BD!$Y$3:$Y$5001,"&lt;&gt;"))))</f>
        <v/>
      </c>
      <c r="H224" s="43" t="str">
        <f>IF(OR($B224="",$A224&gt;$B$9,H$210=""),"",IF(COUNTIFS(BD!$B$3:$B$5001,H$210,BD!$A$3:$A$5001,"&gt;="&amp;$C$7,BD!$A$3:$A$5001,"&lt;="&amp;$B224,BD!$Y$3:$Y$5001,"&lt;&gt;")=0,"",SUMIFS(BD!$Y$3:$Y$5001,BD!$B$3:$B$5001,H$210,BD!$A$3:$A$5001,_xlfn.MAXIFS(BD!$A$3:$A$5001,BD!$B$3:$B$5001,H$210,BD!$A$3:$A$5001,"&gt;="&amp;$C$7,BD!$A$3:$A$5001,"&lt;="&amp;$B224,BD!$Y$3:$Y$5001,"&lt;&gt;"))))</f>
        <v/>
      </c>
      <c r="I224" s="43" t="str">
        <f>IF(OR($B224="",$A224&gt;$B$9,I$210=""),"",IF(COUNTIFS(BD!$B$3:$B$5001,I$210,BD!$A$3:$A$5001,"&gt;="&amp;$C$7,BD!$A$3:$A$5001,"&lt;="&amp;$B224,BD!$Y$3:$Y$5001,"&lt;&gt;")=0,"",SUMIFS(BD!$Y$3:$Y$5001,BD!$B$3:$B$5001,I$210,BD!$A$3:$A$5001,_xlfn.MAXIFS(BD!$A$3:$A$5001,BD!$B$3:$B$5001,I$210,BD!$A$3:$A$5001,"&gt;="&amp;$C$7,BD!$A$3:$A$5001,"&lt;="&amp;$B224,BD!$Y$3:$Y$5001,"&lt;&gt;"))))</f>
        <v/>
      </c>
      <c r="J224" s="43" t="str">
        <f>IF(OR($B224="",$A224&gt;$B$9,J$210=""),"",IF(COUNTIFS(BD!$B$3:$B$5001,J$210,BD!$A$3:$A$5001,"&gt;="&amp;$C$7,BD!$A$3:$A$5001,"&lt;="&amp;$B224,BD!$Y$3:$Y$5001,"&lt;&gt;")=0,"",SUMIFS(BD!$Y$3:$Y$5001,BD!$B$3:$B$5001,J$210,BD!$A$3:$A$5001,_xlfn.MAXIFS(BD!$A$3:$A$5001,BD!$B$3:$B$5001,J$210,BD!$A$3:$A$5001,"&gt;="&amp;$C$7,BD!$A$3:$A$5001,"&lt;="&amp;$B224,BD!$Y$3:$Y$5001,"&lt;&gt;"))))</f>
        <v/>
      </c>
      <c r="K224" s="43" t="str">
        <f>IF(OR($B224="",$A224&gt;$B$9,K$210=""),"",IF(COUNTIFS(BD!$B$3:$B$5001,K$210,BD!$A$3:$A$5001,"&gt;="&amp;$C$7,BD!$A$3:$A$5001,"&lt;="&amp;$B224,BD!$Y$3:$Y$5001,"&lt;&gt;")=0,"",SUMIFS(BD!$Y$3:$Y$5001,BD!$B$3:$B$5001,K$210,BD!$A$3:$A$5001,_xlfn.MAXIFS(BD!$A$3:$A$5001,BD!$B$3:$B$5001,K$210,BD!$A$3:$A$5001,"&gt;="&amp;$C$7,BD!$A$3:$A$5001,"&lt;="&amp;$B224,BD!$Y$3:$Y$5001,"&lt;&gt;"))))</f>
        <v/>
      </c>
      <c r="L224" s="43" t="str">
        <f>IF(OR($B224="",$A224&gt;$B$9,L$210=""),"",IF(COUNTIFS(BD!$B$3:$B$5001,L$210,BD!$A$3:$A$5001,"&gt;="&amp;$C$7,BD!$A$3:$A$5001,"&lt;="&amp;$B224,BD!$Y$3:$Y$5001,"&lt;&gt;")=0,"",SUMIFS(BD!$Y$3:$Y$5001,BD!$B$3:$B$5001,L$210,BD!$A$3:$A$5001,_xlfn.MAXIFS(BD!$A$3:$A$5001,BD!$B$3:$B$5001,L$210,BD!$A$3:$A$5001,"&gt;="&amp;$C$7,BD!$A$3:$A$5001,"&lt;="&amp;$B224,BD!$Y$3:$Y$5001,"&lt;&gt;"))))</f>
        <v/>
      </c>
      <c r="M224" s="43" t="str">
        <f>IF(OR($B224="",$A224&gt;$B$9,M$210=""),"",IF(COUNTIFS(BD!$B$3:$B$5001,M$210,BD!$A$3:$A$5001,"&gt;="&amp;$C$7,BD!$A$3:$A$5001,"&lt;="&amp;$B224,BD!$Y$3:$Y$5001,"&lt;&gt;")=0,"",SUMIFS(BD!$Y$3:$Y$5001,BD!$B$3:$B$5001,M$210,BD!$A$3:$A$5001,_xlfn.MAXIFS(BD!$A$3:$A$5001,BD!$B$3:$B$5001,M$210,BD!$A$3:$A$5001,"&gt;="&amp;$C$7,BD!$A$3:$A$5001,"&lt;="&amp;$B224,BD!$Y$3:$Y$5001,"&lt;&gt;"))))</f>
        <v/>
      </c>
      <c r="N224" s="43" t="str">
        <f>IF(OR($B224="",$A224&gt;$B$9,N$210=""),"",IF(COUNTIFS(BD!$B$3:$B$5001,N$210,BD!$A$3:$A$5001,"&gt;="&amp;$C$7,BD!$A$3:$A$5001,"&lt;="&amp;$B224,BD!$Y$3:$Y$5001,"&lt;&gt;")=0,"",SUMIFS(BD!$Y$3:$Y$5001,BD!$B$3:$B$5001,N$210,BD!$A$3:$A$5001,_xlfn.MAXIFS(BD!$A$3:$A$5001,BD!$B$3:$B$5001,N$210,BD!$A$3:$A$5001,"&gt;="&amp;$C$7,BD!$A$3:$A$5001,"&lt;="&amp;$B224,BD!$Y$3:$Y$5001,"&lt;&gt;"))))</f>
        <v/>
      </c>
      <c r="O224" s="43" t="str">
        <f>IF(OR($B224="",$A224&gt;$B$9,O$210=""),"",IF(COUNTIFS(BD!$B$3:$B$5001,O$210,BD!$A$3:$A$5001,"&gt;="&amp;$C$7,BD!$A$3:$A$5001,"&lt;="&amp;$B224,BD!$Y$3:$Y$5001,"&lt;&gt;")=0,"",SUMIFS(BD!$Y$3:$Y$5001,BD!$B$3:$B$5001,O$210,BD!$A$3:$A$5001,_xlfn.MAXIFS(BD!$A$3:$A$5001,BD!$B$3:$B$5001,O$210,BD!$A$3:$A$5001,"&gt;="&amp;$C$7,BD!$A$3:$A$5001,"&lt;="&amp;$B224,BD!$Y$3:$Y$5001,"&lt;&gt;"))))</f>
        <v/>
      </c>
      <c r="P224" s="43" t="str">
        <f>IF(OR($B224="",$A224&gt;$B$9,P$210=""),"",IF(COUNTIFS(BD!$B$3:$B$5001,P$210,BD!$A$3:$A$5001,"&gt;="&amp;$C$7,BD!$A$3:$A$5001,"&lt;="&amp;$B224,BD!$Y$3:$Y$5001,"&lt;&gt;")=0,"",SUMIFS(BD!$Y$3:$Y$5001,BD!$B$3:$B$5001,P$210,BD!$A$3:$A$5001,_xlfn.MAXIFS(BD!$A$3:$A$5001,BD!$B$3:$B$5001,P$210,BD!$A$3:$A$5001,"&gt;="&amp;$C$7,BD!$A$3:$A$5001,"&lt;="&amp;$B224,BD!$Y$3:$Y$5001,"&lt;&gt;"))))</f>
        <v/>
      </c>
      <c r="Q224" s="43" t="str">
        <f>IF(OR($B224="",$A224&gt;$B$9,Q$210=""),"",IF(COUNTIFS(BD!$B$3:$B$5001,Q$210,BD!$A$3:$A$5001,"&gt;="&amp;$C$7,BD!$A$3:$A$5001,"&lt;="&amp;$B224,BD!$Y$3:$Y$5001,"&lt;&gt;")=0,"",SUMIFS(BD!$Y$3:$Y$5001,BD!$B$3:$B$5001,Q$210,BD!$A$3:$A$5001,_xlfn.MAXIFS(BD!$A$3:$A$5001,BD!$B$3:$B$5001,Q$210,BD!$A$3:$A$5001,"&gt;="&amp;$C$7,BD!$A$3:$A$5001,"&lt;="&amp;$B224,BD!$Y$3:$Y$5001,"&lt;&gt;"))))</f>
        <v/>
      </c>
      <c r="R224" s="43" t="str">
        <f>IF(OR($B224="",$A224&gt;$B$9,R$210=""),"",IF(COUNTIFS(BD!$B$3:$B$5001,R$210,BD!$A$3:$A$5001,"&gt;="&amp;$C$7,BD!$A$3:$A$5001,"&lt;="&amp;$B224,BD!$Y$3:$Y$5001,"&lt;&gt;")=0,"",SUMIFS(BD!$Y$3:$Y$5001,BD!$B$3:$B$5001,R$210,BD!$A$3:$A$5001,_xlfn.MAXIFS(BD!$A$3:$A$5001,BD!$B$3:$B$5001,R$210,BD!$A$3:$A$5001,"&gt;="&amp;$C$7,BD!$A$3:$A$5001,"&lt;="&amp;$B224,BD!$Y$3:$Y$5001,"&lt;&gt;"))))</f>
        <v/>
      </c>
      <c r="S224" s="43" t="str">
        <f>IF(OR($B224="",$A224&gt;$B$9,S$210=""),"",IF(COUNTIFS(BD!$B$3:$B$5001,S$210,BD!$A$3:$A$5001,"&gt;="&amp;$C$7,BD!$A$3:$A$5001,"&lt;="&amp;$B224,BD!$Y$3:$Y$5001,"&lt;&gt;")=0,"",SUMIFS(BD!$Y$3:$Y$5001,BD!$B$3:$B$5001,S$210,BD!$A$3:$A$5001,_xlfn.MAXIFS(BD!$A$3:$A$5001,BD!$B$3:$B$5001,S$210,BD!$A$3:$A$5001,"&gt;="&amp;$C$7,BD!$A$3:$A$5001,"&lt;="&amp;$B224,BD!$Y$3:$Y$5001,"&lt;&gt;"))))</f>
        <v/>
      </c>
      <c r="T224" s="43" t="str">
        <f>IF(OR($B224="",$A224&gt;$B$9,T$210=""),"",IF(COUNTIFS(BD!$B$3:$B$5001,T$210,BD!$A$3:$A$5001,"&gt;="&amp;$C$7,BD!$A$3:$A$5001,"&lt;="&amp;$B224,BD!$Y$3:$Y$5001,"&lt;&gt;")=0,"",SUMIFS(BD!$Y$3:$Y$5001,BD!$B$3:$B$5001,T$210,BD!$A$3:$A$5001,_xlfn.MAXIFS(BD!$A$3:$A$5001,BD!$B$3:$B$5001,T$210,BD!$A$3:$A$5001,"&gt;="&amp;$C$7,BD!$A$3:$A$5001,"&lt;="&amp;$B224,BD!$Y$3:$Y$5001,"&lt;&gt;"))))</f>
        <v/>
      </c>
      <c r="U224" s="43" t="str">
        <f>IF(OR($B224="",$A224&gt;$B$9,U$210=""),"",IF(COUNTIFS(BD!$B$3:$B$5001,U$210,BD!$A$3:$A$5001,"&gt;="&amp;$C$7,BD!$A$3:$A$5001,"&lt;="&amp;$B224,BD!$Y$3:$Y$5001,"&lt;&gt;")=0,"",SUMIFS(BD!$Y$3:$Y$5001,BD!$B$3:$B$5001,U$210,BD!$A$3:$A$5001,_xlfn.MAXIFS(BD!$A$3:$A$5001,BD!$B$3:$B$5001,U$210,BD!$A$3:$A$5001,"&gt;="&amp;$C$7,BD!$A$3:$A$5001,"&lt;="&amp;$B224,BD!$Y$3:$Y$5001,"&lt;&gt;"))))</f>
        <v/>
      </c>
      <c r="V224" s="43" t="str">
        <f>IF(OR($B224="",$A224&gt;$B$9,V$210=""),"",IF(COUNTIFS(BD!$B$3:$B$5001,V$210,BD!$A$3:$A$5001,"&gt;="&amp;$C$7,BD!$A$3:$A$5001,"&lt;="&amp;$B224,BD!$Y$3:$Y$5001,"&lt;&gt;")=0,"",SUMIFS(BD!$Y$3:$Y$5001,BD!$B$3:$B$5001,V$210,BD!$A$3:$A$5001,_xlfn.MAXIFS(BD!$A$3:$A$5001,BD!$B$3:$B$5001,V$210,BD!$A$3:$A$5001,"&gt;="&amp;$C$7,BD!$A$3:$A$5001,"&lt;="&amp;$B224,BD!$Y$3:$Y$5001,"&lt;&gt;"))))</f>
        <v/>
      </c>
    </row>
    <row r="225">
      <c r="A225" s="38">
        <v>15</v>
      </c>
      <c r="B225" s="42">
        <f>$B$26</f>
        <v>46310</v>
      </c>
      <c r="C225" s="43" t="str">
        <f>IF(OR($B225="",$A225&gt;$B$9,C$210=""),"",IF(COUNTIFS(BD!$B$3:$B$5001,C$210,BD!$A$3:$A$5001,"&gt;="&amp;$C$7,BD!$A$3:$A$5001,"&lt;="&amp;$B225,BD!$Y$3:$Y$5001,"&lt;&gt;")=0,"",SUMIFS(BD!$Y$3:$Y$5001,BD!$B$3:$B$5001,C$210,BD!$A$3:$A$5001,_xlfn.MAXIFS(BD!$A$3:$A$5001,BD!$B$3:$B$5001,C$210,BD!$A$3:$A$5001,"&gt;="&amp;$C$7,BD!$A$3:$A$5001,"&lt;="&amp;$B225,BD!$Y$3:$Y$5001,"&lt;&gt;"))))</f>
        <v/>
      </c>
      <c r="D225" s="43" t="str">
        <f>IF(OR($B225="",$A225&gt;$B$9,D$210=""),"",IF(COUNTIFS(BD!$B$3:$B$5001,D$210,BD!$A$3:$A$5001,"&gt;="&amp;$C$7,BD!$A$3:$A$5001,"&lt;="&amp;$B225,BD!$Y$3:$Y$5001,"&lt;&gt;")=0,"",SUMIFS(BD!$Y$3:$Y$5001,BD!$B$3:$B$5001,D$210,BD!$A$3:$A$5001,_xlfn.MAXIFS(BD!$A$3:$A$5001,BD!$B$3:$B$5001,D$210,BD!$A$3:$A$5001,"&gt;="&amp;$C$7,BD!$A$3:$A$5001,"&lt;="&amp;$B225,BD!$Y$3:$Y$5001,"&lt;&gt;"))))</f>
        <v/>
      </c>
      <c r="E225" s="43" t="str">
        <f>IF(OR($B225="",$A225&gt;$B$9,E$210=""),"",IF(COUNTIFS(BD!$B$3:$B$5001,E$210,BD!$A$3:$A$5001,"&gt;="&amp;$C$7,BD!$A$3:$A$5001,"&lt;="&amp;$B225,BD!$Y$3:$Y$5001,"&lt;&gt;")=0,"",SUMIFS(BD!$Y$3:$Y$5001,BD!$B$3:$B$5001,E$210,BD!$A$3:$A$5001,_xlfn.MAXIFS(BD!$A$3:$A$5001,BD!$B$3:$B$5001,E$210,BD!$A$3:$A$5001,"&gt;="&amp;$C$7,BD!$A$3:$A$5001,"&lt;="&amp;$B225,BD!$Y$3:$Y$5001,"&lt;&gt;"))))</f>
        <v/>
      </c>
      <c r="F225" s="43" t="str">
        <f>IF(OR($B225="",$A225&gt;$B$9,F$210=""),"",IF(COUNTIFS(BD!$B$3:$B$5001,F$210,BD!$A$3:$A$5001,"&gt;="&amp;$C$7,BD!$A$3:$A$5001,"&lt;="&amp;$B225,BD!$Y$3:$Y$5001,"&lt;&gt;")=0,"",SUMIFS(BD!$Y$3:$Y$5001,BD!$B$3:$B$5001,F$210,BD!$A$3:$A$5001,_xlfn.MAXIFS(BD!$A$3:$A$5001,BD!$B$3:$B$5001,F$210,BD!$A$3:$A$5001,"&gt;="&amp;$C$7,BD!$A$3:$A$5001,"&lt;="&amp;$B225,BD!$Y$3:$Y$5001,"&lt;&gt;"))))</f>
        <v/>
      </c>
      <c r="G225" s="43" t="str">
        <f>IF(OR($B225="",$A225&gt;$B$9,G$210=""),"",IF(COUNTIFS(BD!$B$3:$B$5001,G$210,BD!$A$3:$A$5001,"&gt;="&amp;$C$7,BD!$A$3:$A$5001,"&lt;="&amp;$B225,BD!$Y$3:$Y$5001,"&lt;&gt;")=0,"",SUMIFS(BD!$Y$3:$Y$5001,BD!$B$3:$B$5001,G$210,BD!$A$3:$A$5001,_xlfn.MAXIFS(BD!$A$3:$A$5001,BD!$B$3:$B$5001,G$210,BD!$A$3:$A$5001,"&gt;="&amp;$C$7,BD!$A$3:$A$5001,"&lt;="&amp;$B225,BD!$Y$3:$Y$5001,"&lt;&gt;"))))</f>
        <v/>
      </c>
      <c r="H225" s="43" t="str">
        <f>IF(OR($B225="",$A225&gt;$B$9,H$210=""),"",IF(COUNTIFS(BD!$B$3:$B$5001,H$210,BD!$A$3:$A$5001,"&gt;="&amp;$C$7,BD!$A$3:$A$5001,"&lt;="&amp;$B225,BD!$Y$3:$Y$5001,"&lt;&gt;")=0,"",SUMIFS(BD!$Y$3:$Y$5001,BD!$B$3:$B$5001,H$210,BD!$A$3:$A$5001,_xlfn.MAXIFS(BD!$A$3:$A$5001,BD!$B$3:$B$5001,H$210,BD!$A$3:$A$5001,"&gt;="&amp;$C$7,BD!$A$3:$A$5001,"&lt;="&amp;$B225,BD!$Y$3:$Y$5001,"&lt;&gt;"))))</f>
        <v/>
      </c>
      <c r="I225" s="43" t="str">
        <f>IF(OR($B225="",$A225&gt;$B$9,I$210=""),"",IF(COUNTIFS(BD!$B$3:$B$5001,I$210,BD!$A$3:$A$5001,"&gt;="&amp;$C$7,BD!$A$3:$A$5001,"&lt;="&amp;$B225,BD!$Y$3:$Y$5001,"&lt;&gt;")=0,"",SUMIFS(BD!$Y$3:$Y$5001,BD!$B$3:$B$5001,I$210,BD!$A$3:$A$5001,_xlfn.MAXIFS(BD!$A$3:$A$5001,BD!$B$3:$B$5001,I$210,BD!$A$3:$A$5001,"&gt;="&amp;$C$7,BD!$A$3:$A$5001,"&lt;="&amp;$B225,BD!$Y$3:$Y$5001,"&lt;&gt;"))))</f>
        <v/>
      </c>
      <c r="J225" s="43" t="str">
        <f>IF(OR($B225="",$A225&gt;$B$9,J$210=""),"",IF(COUNTIFS(BD!$B$3:$B$5001,J$210,BD!$A$3:$A$5001,"&gt;="&amp;$C$7,BD!$A$3:$A$5001,"&lt;="&amp;$B225,BD!$Y$3:$Y$5001,"&lt;&gt;")=0,"",SUMIFS(BD!$Y$3:$Y$5001,BD!$B$3:$B$5001,J$210,BD!$A$3:$A$5001,_xlfn.MAXIFS(BD!$A$3:$A$5001,BD!$B$3:$B$5001,J$210,BD!$A$3:$A$5001,"&gt;="&amp;$C$7,BD!$A$3:$A$5001,"&lt;="&amp;$B225,BD!$Y$3:$Y$5001,"&lt;&gt;"))))</f>
        <v/>
      </c>
      <c r="K225" s="43" t="str">
        <f>IF(OR($B225="",$A225&gt;$B$9,K$210=""),"",IF(COUNTIFS(BD!$B$3:$B$5001,K$210,BD!$A$3:$A$5001,"&gt;="&amp;$C$7,BD!$A$3:$A$5001,"&lt;="&amp;$B225,BD!$Y$3:$Y$5001,"&lt;&gt;")=0,"",SUMIFS(BD!$Y$3:$Y$5001,BD!$B$3:$B$5001,K$210,BD!$A$3:$A$5001,_xlfn.MAXIFS(BD!$A$3:$A$5001,BD!$B$3:$B$5001,K$210,BD!$A$3:$A$5001,"&gt;="&amp;$C$7,BD!$A$3:$A$5001,"&lt;="&amp;$B225,BD!$Y$3:$Y$5001,"&lt;&gt;"))))</f>
        <v/>
      </c>
      <c r="L225" s="43" t="str">
        <f>IF(OR($B225="",$A225&gt;$B$9,L$210=""),"",IF(COUNTIFS(BD!$B$3:$B$5001,L$210,BD!$A$3:$A$5001,"&gt;="&amp;$C$7,BD!$A$3:$A$5001,"&lt;="&amp;$B225,BD!$Y$3:$Y$5001,"&lt;&gt;")=0,"",SUMIFS(BD!$Y$3:$Y$5001,BD!$B$3:$B$5001,L$210,BD!$A$3:$A$5001,_xlfn.MAXIFS(BD!$A$3:$A$5001,BD!$B$3:$B$5001,L$210,BD!$A$3:$A$5001,"&gt;="&amp;$C$7,BD!$A$3:$A$5001,"&lt;="&amp;$B225,BD!$Y$3:$Y$5001,"&lt;&gt;"))))</f>
        <v/>
      </c>
      <c r="M225" s="43" t="str">
        <f>IF(OR($B225="",$A225&gt;$B$9,M$210=""),"",IF(COUNTIFS(BD!$B$3:$B$5001,M$210,BD!$A$3:$A$5001,"&gt;="&amp;$C$7,BD!$A$3:$A$5001,"&lt;="&amp;$B225,BD!$Y$3:$Y$5001,"&lt;&gt;")=0,"",SUMIFS(BD!$Y$3:$Y$5001,BD!$B$3:$B$5001,M$210,BD!$A$3:$A$5001,_xlfn.MAXIFS(BD!$A$3:$A$5001,BD!$B$3:$B$5001,M$210,BD!$A$3:$A$5001,"&gt;="&amp;$C$7,BD!$A$3:$A$5001,"&lt;="&amp;$B225,BD!$Y$3:$Y$5001,"&lt;&gt;"))))</f>
        <v/>
      </c>
      <c r="N225" s="43" t="str">
        <f>IF(OR($B225="",$A225&gt;$B$9,N$210=""),"",IF(COUNTIFS(BD!$B$3:$B$5001,N$210,BD!$A$3:$A$5001,"&gt;="&amp;$C$7,BD!$A$3:$A$5001,"&lt;="&amp;$B225,BD!$Y$3:$Y$5001,"&lt;&gt;")=0,"",SUMIFS(BD!$Y$3:$Y$5001,BD!$B$3:$B$5001,N$210,BD!$A$3:$A$5001,_xlfn.MAXIFS(BD!$A$3:$A$5001,BD!$B$3:$B$5001,N$210,BD!$A$3:$A$5001,"&gt;="&amp;$C$7,BD!$A$3:$A$5001,"&lt;="&amp;$B225,BD!$Y$3:$Y$5001,"&lt;&gt;"))))</f>
        <v/>
      </c>
      <c r="O225" s="43" t="str">
        <f>IF(OR($B225="",$A225&gt;$B$9,O$210=""),"",IF(COUNTIFS(BD!$B$3:$B$5001,O$210,BD!$A$3:$A$5001,"&gt;="&amp;$C$7,BD!$A$3:$A$5001,"&lt;="&amp;$B225,BD!$Y$3:$Y$5001,"&lt;&gt;")=0,"",SUMIFS(BD!$Y$3:$Y$5001,BD!$B$3:$B$5001,O$210,BD!$A$3:$A$5001,_xlfn.MAXIFS(BD!$A$3:$A$5001,BD!$B$3:$B$5001,O$210,BD!$A$3:$A$5001,"&gt;="&amp;$C$7,BD!$A$3:$A$5001,"&lt;="&amp;$B225,BD!$Y$3:$Y$5001,"&lt;&gt;"))))</f>
        <v/>
      </c>
      <c r="P225" s="43" t="str">
        <f>IF(OR($B225="",$A225&gt;$B$9,P$210=""),"",IF(COUNTIFS(BD!$B$3:$B$5001,P$210,BD!$A$3:$A$5001,"&gt;="&amp;$C$7,BD!$A$3:$A$5001,"&lt;="&amp;$B225,BD!$Y$3:$Y$5001,"&lt;&gt;")=0,"",SUMIFS(BD!$Y$3:$Y$5001,BD!$B$3:$B$5001,P$210,BD!$A$3:$A$5001,_xlfn.MAXIFS(BD!$A$3:$A$5001,BD!$B$3:$B$5001,P$210,BD!$A$3:$A$5001,"&gt;="&amp;$C$7,BD!$A$3:$A$5001,"&lt;="&amp;$B225,BD!$Y$3:$Y$5001,"&lt;&gt;"))))</f>
        <v/>
      </c>
      <c r="Q225" s="43" t="str">
        <f>IF(OR($B225="",$A225&gt;$B$9,Q$210=""),"",IF(COUNTIFS(BD!$B$3:$B$5001,Q$210,BD!$A$3:$A$5001,"&gt;="&amp;$C$7,BD!$A$3:$A$5001,"&lt;="&amp;$B225,BD!$Y$3:$Y$5001,"&lt;&gt;")=0,"",SUMIFS(BD!$Y$3:$Y$5001,BD!$B$3:$B$5001,Q$210,BD!$A$3:$A$5001,_xlfn.MAXIFS(BD!$A$3:$A$5001,BD!$B$3:$B$5001,Q$210,BD!$A$3:$A$5001,"&gt;="&amp;$C$7,BD!$A$3:$A$5001,"&lt;="&amp;$B225,BD!$Y$3:$Y$5001,"&lt;&gt;"))))</f>
        <v/>
      </c>
      <c r="R225" s="43" t="str">
        <f>IF(OR($B225="",$A225&gt;$B$9,R$210=""),"",IF(COUNTIFS(BD!$B$3:$B$5001,R$210,BD!$A$3:$A$5001,"&gt;="&amp;$C$7,BD!$A$3:$A$5001,"&lt;="&amp;$B225,BD!$Y$3:$Y$5001,"&lt;&gt;")=0,"",SUMIFS(BD!$Y$3:$Y$5001,BD!$B$3:$B$5001,R$210,BD!$A$3:$A$5001,_xlfn.MAXIFS(BD!$A$3:$A$5001,BD!$B$3:$B$5001,R$210,BD!$A$3:$A$5001,"&gt;="&amp;$C$7,BD!$A$3:$A$5001,"&lt;="&amp;$B225,BD!$Y$3:$Y$5001,"&lt;&gt;"))))</f>
        <v/>
      </c>
      <c r="S225" s="43" t="str">
        <f>IF(OR($B225="",$A225&gt;$B$9,S$210=""),"",IF(COUNTIFS(BD!$B$3:$B$5001,S$210,BD!$A$3:$A$5001,"&gt;="&amp;$C$7,BD!$A$3:$A$5001,"&lt;="&amp;$B225,BD!$Y$3:$Y$5001,"&lt;&gt;")=0,"",SUMIFS(BD!$Y$3:$Y$5001,BD!$B$3:$B$5001,S$210,BD!$A$3:$A$5001,_xlfn.MAXIFS(BD!$A$3:$A$5001,BD!$B$3:$B$5001,S$210,BD!$A$3:$A$5001,"&gt;="&amp;$C$7,BD!$A$3:$A$5001,"&lt;="&amp;$B225,BD!$Y$3:$Y$5001,"&lt;&gt;"))))</f>
        <v/>
      </c>
      <c r="T225" s="43" t="str">
        <f>IF(OR($B225="",$A225&gt;$B$9,T$210=""),"",IF(COUNTIFS(BD!$B$3:$B$5001,T$210,BD!$A$3:$A$5001,"&gt;="&amp;$C$7,BD!$A$3:$A$5001,"&lt;="&amp;$B225,BD!$Y$3:$Y$5001,"&lt;&gt;")=0,"",SUMIFS(BD!$Y$3:$Y$5001,BD!$B$3:$B$5001,T$210,BD!$A$3:$A$5001,_xlfn.MAXIFS(BD!$A$3:$A$5001,BD!$B$3:$B$5001,T$210,BD!$A$3:$A$5001,"&gt;="&amp;$C$7,BD!$A$3:$A$5001,"&lt;="&amp;$B225,BD!$Y$3:$Y$5001,"&lt;&gt;"))))</f>
        <v/>
      </c>
      <c r="U225" s="43" t="str">
        <f>IF(OR($B225="",$A225&gt;$B$9,U$210=""),"",IF(COUNTIFS(BD!$B$3:$B$5001,U$210,BD!$A$3:$A$5001,"&gt;="&amp;$C$7,BD!$A$3:$A$5001,"&lt;="&amp;$B225,BD!$Y$3:$Y$5001,"&lt;&gt;")=0,"",SUMIFS(BD!$Y$3:$Y$5001,BD!$B$3:$B$5001,U$210,BD!$A$3:$A$5001,_xlfn.MAXIFS(BD!$A$3:$A$5001,BD!$B$3:$B$5001,U$210,BD!$A$3:$A$5001,"&gt;="&amp;$C$7,BD!$A$3:$A$5001,"&lt;="&amp;$B225,BD!$Y$3:$Y$5001,"&lt;&gt;"))))</f>
        <v/>
      </c>
      <c r="V225" s="43" t="str">
        <f>IF(OR($B225="",$A225&gt;$B$9,V$210=""),"",IF(COUNTIFS(BD!$B$3:$B$5001,V$210,BD!$A$3:$A$5001,"&gt;="&amp;$C$7,BD!$A$3:$A$5001,"&lt;="&amp;$B225,BD!$Y$3:$Y$5001,"&lt;&gt;")=0,"",SUMIFS(BD!$Y$3:$Y$5001,BD!$B$3:$B$5001,V$210,BD!$A$3:$A$5001,_xlfn.MAXIFS(BD!$A$3:$A$5001,BD!$B$3:$B$5001,V$210,BD!$A$3:$A$5001,"&gt;="&amp;$C$7,BD!$A$3:$A$5001,"&lt;="&amp;$B225,BD!$Y$3:$Y$5001,"&lt;&gt;"))))</f>
        <v/>
      </c>
    </row>
    <row r="226">
      <c r="A226" s="38">
        <v>16</v>
      </c>
      <c r="B226" s="42">
        <f>$B$27</f>
        <v>46311</v>
      </c>
      <c r="C226" s="43" t="str">
        <f>IF(OR($B226="",$A226&gt;$B$9,C$210=""),"",IF(COUNTIFS(BD!$B$3:$B$5001,C$210,BD!$A$3:$A$5001,"&gt;="&amp;$C$7,BD!$A$3:$A$5001,"&lt;="&amp;$B226,BD!$Y$3:$Y$5001,"&lt;&gt;")=0,"",SUMIFS(BD!$Y$3:$Y$5001,BD!$B$3:$B$5001,C$210,BD!$A$3:$A$5001,_xlfn.MAXIFS(BD!$A$3:$A$5001,BD!$B$3:$B$5001,C$210,BD!$A$3:$A$5001,"&gt;="&amp;$C$7,BD!$A$3:$A$5001,"&lt;="&amp;$B226,BD!$Y$3:$Y$5001,"&lt;&gt;"))))</f>
        <v/>
      </c>
      <c r="D226" s="43" t="str">
        <f>IF(OR($B226="",$A226&gt;$B$9,D$210=""),"",IF(COUNTIFS(BD!$B$3:$B$5001,D$210,BD!$A$3:$A$5001,"&gt;="&amp;$C$7,BD!$A$3:$A$5001,"&lt;="&amp;$B226,BD!$Y$3:$Y$5001,"&lt;&gt;")=0,"",SUMIFS(BD!$Y$3:$Y$5001,BD!$B$3:$B$5001,D$210,BD!$A$3:$A$5001,_xlfn.MAXIFS(BD!$A$3:$A$5001,BD!$B$3:$B$5001,D$210,BD!$A$3:$A$5001,"&gt;="&amp;$C$7,BD!$A$3:$A$5001,"&lt;="&amp;$B226,BD!$Y$3:$Y$5001,"&lt;&gt;"))))</f>
        <v/>
      </c>
      <c r="E226" s="43" t="str">
        <f>IF(OR($B226="",$A226&gt;$B$9,E$210=""),"",IF(COUNTIFS(BD!$B$3:$B$5001,E$210,BD!$A$3:$A$5001,"&gt;="&amp;$C$7,BD!$A$3:$A$5001,"&lt;="&amp;$B226,BD!$Y$3:$Y$5001,"&lt;&gt;")=0,"",SUMIFS(BD!$Y$3:$Y$5001,BD!$B$3:$B$5001,E$210,BD!$A$3:$A$5001,_xlfn.MAXIFS(BD!$A$3:$A$5001,BD!$B$3:$B$5001,E$210,BD!$A$3:$A$5001,"&gt;="&amp;$C$7,BD!$A$3:$A$5001,"&lt;="&amp;$B226,BD!$Y$3:$Y$5001,"&lt;&gt;"))))</f>
        <v/>
      </c>
      <c r="F226" s="43" t="str">
        <f>IF(OR($B226="",$A226&gt;$B$9,F$210=""),"",IF(COUNTIFS(BD!$B$3:$B$5001,F$210,BD!$A$3:$A$5001,"&gt;="&amp;$C$7,BD!$A$3:$A$5001,"&lt;="&amp;$B226,BD!$Y$3:$Y$5001,"&lt;&gt;")=0,"",SUMIFS(BD!$Y$3:$Y$5001,BD!$B$3:$B$5001,F$210,BD!$A$3:$A$5001,_xlfn.MAXIFS(BD!$A$3:$A$5001,BD!$B$3:$B$5001,F$210,BD!$A$3:$A$5001,"&gt;="&amp;$C$7,BD!$A$3:$A$5001,"&lt;="&amp;$B226,BD!$Y$3:$Y$5001,"&lt;&gt;"))))</f>
        <v/>
      </c>
      <c r="G226" s="43" t="str">
        <f>IF(OR($B226="",$A226&gt;$B$9,G$210=""),"",IF(COUNTIFS(BD!$B$3:$B$5001,G$210,BD!$A$3:$A$5001,"&gt;="&amp;$C$7,BD!$A$3:$A$5001,"&lt;="&amp;$B226,BD!$Y$3:$Y$5001,"&lt;&gt;")=0,"",SUMIFS(BD!$Y$3:$Y$5001,BD!$B$3:$B$5001,G$210,BD!$A$3:$A$5001,_xlfn.MAXIFS(BD!$A$3:$A$5001,BD!$B$3:$B$5001,G$210,BD!$A$3:$A$5001,"&gt;="&amp;$C$7,BD!$A$3:$A$5001,"&lt;="&amp;$B226,BD!$Y$3:$Y$5001,"&lt;&gt;"))))</f>
        <v/>
      </c>
      <c r="H226" s="43" t="str">
        <f>IF(OR($B226="",$A226&gt;$B$9,H$210=""),"",IF(COUNTIFS(BD!$B$3:$B$5001,H$210,BD!$A$3:$A$5001,"&gt;="&amp;$C$7,BD!$A$3:$A$5001,"&lt;="&amp;$B226,BD!$Y$3:$Y$5001,"&lt;&gt;")=0,"",SUMIFS(BD!$Y$3:$Y$5001,BD!$B$3:$B$5001,H$210,BD!$A$3:$A$5001,_xlfn.MAXIFS(BD!$A$3:$A$5001,BD!$B$3:$B$5001,H$210,BD!$A$3:$A$5001,"&gt;="&amp;$C$7,BD!$A$3:$A$5001,"&lt;="&amp;$B226,BD!$Y$3:$Y$5001,"&lt;&gt;"))))</f>
        <v/>
      </c>
      <c r="I226" s="43" t="str">
        <f>IF(OR($B226="",$A226&gt;$B$9,I$210=""),"",IF(COUNTIFS(BD!$B$3:$B$5001,I$210,BD!$A$3:$A$5001,"&gt;="&amp;$C$7,BD!$A$3:$A$5001,"&lt;="&amp;$B226,BD!$Y$3:$Y$5001,"&lt;&gt;")=0,"",SUMIFS(BD!$Y$3:$Y$5001,BD!$B$3:$B$5001,I$210,BD!$A$3:$A$5001,_xlfn.MAXIFS(BD!$A$3:$A$5001,BD!$B$3:$B$5001,I$210,BD!$A$3:$A$5001,"&gt;="&amp;$C$7,BD!$A$3:$A$5001,"&lt;="&amp;$B226,BD!$Y$3:$Y$5001,"&lt;&gt;"))))</f>
        <v/>
      </c>
      <c r="J226" s="43" t="str">
        <f>IF(OR($B226="",$A226&gt;$B$9,J$210=""),"",IF(COUNTIFS(BD!$B$3:$B$5001,J$210,BD!$A$3:$A$5001,"&gt;="&amp;$C$7,BD!$A$3:$A$5001,"&lt;="&amp;$B226,BD!$Y$3:$Y$5001,"&lt;&gt;")=0,"",SUMIFS(BD!$Y$3:$Y$5001,BD!$B$3:$B$5001,J$210,BD!$A$3:$A$5001,_xlfn.MAXIFS(BD!$A$3:$A$5001,BD!$B$3:$B$5001,J$210,BD!$A$3:$A$5001,"&gt;="&amp;$C$7,BD!$A$3:$A$5001,"&lt;="&amp;$B226,BD!$Y$3:$Y$5001,"&lt;&gt;"))))</f>
        <v/>
      </c>
      <c r="K226" s="43" t="str">
        <f>IF(OR($B226="",$A226&gt;$B$9,K$210=""),"",IF(COUNTIFS(BD!$B$3:$B$5001,K$210,BD!$A$3:$A$5001,"&gt;="&amp;$C$7,BD!$A$3:$A$5001,"&lt;="&amp;$B226,BD!$Y$3:$Y$5001,"&lt;&gt;")=0,"",SUMIFS(BD!$Y$3:$Y$5001,BD!$B$3:$B$5001,K$210,BD!$A$3:$A$5001,_xlfn.MAXIFS(BD!$A$3:$A$5001,BD!$B$3:$B$5001,K$210,BD!$A$3:$A$5001,"&gt;="&amp;$C$7,BD!$A$3:$A$5001,"&lt;="&amp;$B226,BD!$Y$3:$Y$5001,"&lt;&gt;"))))</f>
        <v/>
      </c>
      <c r="L226" s="43" t="str">
        <f>IF(OR($B226="",$A226&gt;$B$9,L$210=""),"",IF(COUNTIFS(BD!$B$3:$B$5001,L$210,BD!$A$3:$A$5001,"&gt;="&amp;$C$7,BD!$A$3:$A$5001,"&lt;="&amp;$B226,BD!$Y$3:$Y$5001,"&lt;&gt;")=0,"",SUMIFS(BD!$Y$3:$Y$5001,BD!$B$3:$B$5001,L$210,BD!$A$3:$A$5001,_xlfn.MAXIFS(BD!$A$3:$A$5001,BD!$B$3:$B$5001,L$210,BD!$A$3:$A$5001,"&gt;="&amp;$C$7,BD!$A$3:$A$5001,"&lt;="&amp;$B226,BD!$Y$3:$Y$5001,"&lt;&gt;"))))</f>
        <v/>
      </c>
      <c r="M226" s="43" t="str">
        <f>IF(OR($B226="",$A226&gt;$B$9,M$210=""),"",IF(COUNTIFS(BD!$B$3:$B$5001,M$210,BD!$A$3:$A$5001,"&gt;="&amp;$C$7,BD!$A$3:$A$5001,"&lt;="&amp;$B226,BD!$Y$3:$Y$5001,"&lt;&gt;")=0,"",SUMIFS(BD!$Y$3:$Y$5001,BD!$B$3:$B$5001,M$210,BD!$A$3:$A$5001,_xlfn.MAXIFS(BD!$A$3:$A$5001,BD!$B$3:$B$5001,M$210,BD!$A$3:$A$5001,"&gt;="&amp;$C$7,BD!$A$3:$A$5001,"&lt;="&amp;$B226,BD!$Y$3:$Y$5001,"&lt;&gt;"))))</f>
        <v/>
      </c>
      <c r="N226" s="43" t="str">
        <f>IF(OR($B226="",$A226&gt;$B$9,N$210=""),"",IF(COUNTIFS(BD!$B$3:$B$5001,N$210,BD!$A$3:$A$5001,"&gt;="&amp;$C$7,BD!$A$3:$A$5001,"&lt;="&amp;$B226,BD!$Y$3:$Y$5001,"&lt;&gt;")=0,"",SUMIFS(BD!$Y$3:$Y$5001,BD!$B$3:$B$5001,N$210,BD!$A$3:$A$5001,_xlfn.MAXIFS(BD!$A$3:$A$5001,BD!$B$3:$B$5001,N$210,BD!$A$3:$A$5001,"&gt;="&amp;$C$7,BD!$A$3:$A$5001,"&lt;="&amp;$B226,BD!$Y$3:$Y$5001,"&lt;&gt;"))))</f>
        <v/>
      </c>
      <c r="O226" s="43" t="str">
        <f>IF(OR($B226="",$A226&gt;$B$9,O$210=""),"",IF(COUNTIFS(BD!$B$3:$B$5001,O$210,BD!$A$3:$A$5001,"&gt;="&amp;$C$7,BD!$A$3:$A$5001,"&lt;="&amp;$B226,BD!$Y$3:$Y$5001,"&lt;&gt;")=0,"",SUMIFS(BD!$Y$3:$Y$5001,BD!$B$3:$B$5001,O$210,BD!$A$3:$A$5001,_xlfn.MAXIFS(BD!$A$3:$A$5001,BD!$B$3:$B$5001,O$210,BD!$A$3:$A$5001,"&gt;="&amp;$C$7,BD!$A$3:$A$5001,"&lt;="&amp;$B226,BD!$Y$3:$Y$5001,"&lt;&gt;"))))</f>
        <v/>
      </c>
      <c r="P226" s="43" t="str">
        <f>IF(OR($B226="",$A226&gt;$B$9,P$210=""),"",IF(COUNTIFS(BD!$B$3:$B$5001,P$210,BD!$A$3:$A$5001,"&gt;="&amp;$C$7,BD!$A$3:$A$5001,"&lt;="&amp;$B226,BD!$Y$3:$Y$5001,"&lt;&gt;")=0,"",SUMIFS(BD!$Y$3:$Y$5001,BD!$B$3:$B$5001,P$210,BD!$A$3:$A$5001,_xlfn.MAXIFS(BD!$A$3:$A$5001,BD!$B$3:$B$5001,P$210,BD!$A$3:$A$5001,"&gt;="&amp;$C$7,BD!$A$3:$A$5001,"&lt;="&amp;$B226,BD!$Y$3:$Y$5001,"&lt;&gt;"))))</f>
        <v/>
      </c>
      <c r="Q226" s="43" t="str">
        <f>IF(OR($B226="",$A226&gt;$B$9,Q$210=""),"",IF(COUNTIFS(BD!$B$3:$B$5001,Q$210,BD!$A$3:$A$5001,"&gt;="&amp;$C$7,BD!$A$3:$A$5001,"&lt;="&amp;$B226,BD!$Y$3:$Y$5001,"&lt;&gt;")=0,"",SUMIFS(BD!$Y$3:$Y$5001,BD!$B$3:$B$5001,Q$210,BD!$A$3:$A$5001,_xlfn.MAXIFS(BD!$A$3:$A$5001,BD!$B$3:$B$5001,Q$210,BD!$A$3:$A$5001,"&gt;="&amp;$C$7,BD!$A$3:$A$5001,"&lt;="&amp;$B226,BD!$Y$3:$Y$5001,"&lt;&gt;"))))</f>
        <v/>
      </c>
      <c r="R226" s="43" t="str">
        <f>IF(OR($B226="",$A226&gt;$B$9,R$210=""),"",IF(COUNTIFS(BD!$B$3:$B$5001,R$210,BD!$A$3:$A$5001,"&gt;="&amp;$C$7,BD!$A$3:$A$5001,"&lt;="&amp;$B226,BD!$Y$3:$Y$5001,"&lt;&gt;")=0,"",SUMIFS(BD!$Y$3:$Y$5001,BD!$B$3:$B$5001,R$210,BD!$A$3:$A$5001,_xlfn.MAXIFS(BD!$A$3:$A$5001,BD!$B$3:$B$5001,R$210,BD!$A$3:$A$5001,"&gt;="&amp;$C$7,BD!$A$3:$A$5001,"&lt;="&amp;$B226,BD!$Y$3:$Y$5001,"&lt;&gt;"))))</f>
        <v/>
      </c>
      <c r="S226" s="43" t="str">
        <f>IF(OR($B226="",$A226&gt;$B$9,S$210=""),"",IF(COUNTIFS(BD!$B$3:$B$5001,S$210,BD!$A$3:$A$5001,"&gt;="&amp;$C$7,BD!$A$3:$A$5001,"&lt;="&amp;$B226,BD!$Y$3:$Y$5001,"&lt;&gt;")=0,"",SUMIFS(BD!$Y$3:$Y$5001,BD!$B$3:$B$5001,S$210,BD!$A$3:$A$5001,_xlfn.MAXIFS(BD!$A$3:$A$5001,BD!$B$3:$B$5001,S$210,BD!$A$3:$A$5001,"&gt;="&amp;$C$7,BD!$A$3:$A$5001,"&lt;="&amp;$B226,BD!$Y$3:$Y$5001,"&lt;&gt;"))))</f>
        <v/>
      </c>
      <c r="T226" s="43" t="str">
        <f>IF(OR($B226="",$A226&gt;$B$9,T$210=""),"",IF(COUNTIFS(BD!$B$3:$B$5001,T$210,BD!$A$3:$A$5001,"&gt;="&amp;$C$7,BD!$A$3:$A$5001,"&lt;="&amp;$B226,BD!$Y$3:$Y$5001,"&lt;&gt;")=0,"",SUMIFS(BD!$Y$3:$Y$5001,BD!$B$3:$B$5001,T$210,BD!$A$3:$A$5001,_xlfn.MAXIFS(BD!$A$3:$A$5001,BD!$B$3:$B$5001,T$210,BD!$A$3:$A$5001,"&gt;="&amp;$C$7,BD!$A$3:$A$5001,"&lt;="&amp;$B226,BD!$Y$3:$Y$5001,"&lt;&gt;"))))</f>
        <v/>
      </c>
      <c r="U226" s="43" t="str">
        <f>IF(OR($B226="",$A226&gt;$B$9,U$210=""),"",IF(COUNTIFS(BD!$B$3:$B$5001,U$210,BD!$A$3:$A$5001,"&gt;="&amp;$C$7,BD!$A$3:$A$5001,"&lt;="&amp;$B226,BD!$Y$3:$Y$5001,"&lt;&gt;")=0,"",SUMIFS(BD!$Y$3:$Y$5001,BD!$B$3:$B$5001,U$210,BD!$A$3:$A$5001,_xlfn.MAXIFS(BD!$A$3:$A$5001,BD!$B$3:$B$5001,U$210,BD!$A$3:$A$5001,"&gt;="&amp;$C$7,BD!$A$3:$A$5001,"&lt;="&amp;$B226,BD!$Y$3:$Y$5001,"&lt;&gt;"))))</f>
        <v/>
      </c>
      <c r="V226" s="43" t="str">
        <f>IF(OR($B226="",$A226&gt;$B$9,V$210=""),"",IF(COUNTIFS(BD!$B$3:$B$5001,V$210,BD!$A$3:$A$5001,"&gt;="&amp;$C$7,BD!$A$3:$A$5001,"&lt;="&amp;$B226,BD!$Y$3:$Y$5001,"&lt;&gt;")=0,"",SUMIFS(BD!$Y$3:$Y$5001,BD!$B$3:$B$5001,V$210,BD!$A$3:$A$5001,_xlfn.MAXIFS(BD!$A$3:$A$5001,BD!$B$3:$B$5001,V$210,BD!$A$3:$A$5001,"&gt;="&amp;$C$7,BD!$A$3:$A$5001,"&lt;="&amp;$B226,BD!$Y$3:$Y$5001,"&lt;&gt;"))))</f>
        <v/>
      </c>
    </row>
    <row r="227">
      <c r="A227" s="38">
        <v>17</v>
      </c>
      <c r="B227" s="42">
        <f>$B$28</f>
        <v>46312</v>
      </c>
      <c r="C227" s="43" t="str">
        <f>IF(OR($B227="",$A227&gt;$B$9,C$210=""),"",IF(COUNTIFS(BD!$B$3:$B$5001,C$210,BD!$A$3:$A$5001,"&gt;="&amp;$C$7,BD!$A$3:$A$5001,"&lt;="&amp;$B227,BD!$Y$3:$Y$5001,"&lt;&gt;")=0,"",SUMIFS(BD!$Y$3:$Y$5001,BD!$B$3:$B$5001,C$210,BD!$A$3:$A$5001,_xlfn.MAXIFS(BD!$A$3:$A$5001,BD!$B$3:$B$5001,C$210,BD!$A$3:$A$5001,"&gt;="&amp;$C$7,BD!$A$3:$A$5001,"&lt;="&amp;$B227,BD!$Y$3:$Y$5001,"&lt;&gt;"))))</f>
        <v/>
      </c>
      <c r="D227" s="43" t="str">
        <f>IF(OR($B227="",$A227&gt;$B$9,D$210=""),"",IF(COUNTIFS(BD!$B$3:$B$5001,D$210,BD!$A$3:$A$5001,"&gt;="&amp;$C$7,BD!$A$3:$A$5001,"&lt;="&amp;$B227,BD!$Y$3:$Y$5001,"&lt;&gt;")=0,"",SUMIFS(BD!$Y$3:$Y$5001,BD!$B$3:$B$5001,D$210,BD!$A$3:$A$5001,_xlfn.MAXIFS(BD!$A$3:$A$5001,BD!$B$3:$B$5001,D$210,BD!$A$3:$A$5001,"&gt;="&amp;$C$7,BD!$A$3:$A$5001,"&lt;="&amp;$B227,BD!$Y$3:$Y$5001,"&lt;&gt;"))))</f>
        <v/>
      </c>
      <c r="E227" s="43" t="str">
        <f>IF(OR($B227="",$A227&gt;$B$9,E$210=""),"",IF(COUNTIFS(BD!$B$3:$B$5001,E$210,BD!$A$3:$A$5001,"&gt;="&amp;$C$7,BD!$A$3:$A$5001,"&lt;="&amp;$B227,BD!$Y$3:$Y$5001,"&lt;&gt;")=0,"",SUMIFS(BD!$Y$3:$Y$5001,BD!$B$3:$B$5001,E$210,BD!$A$3:$A$5001,_xlfn.MAXIFS(BD!$A$3:$A$5001,BD!$B$3:$B$5001,E$210,BD!$A$3:$A$5001,"&gt;="&amp;$C$7,BD!$A$3:$A$5001,"&lt;="&amp;$B227,BD!$Y$3:$Y$5001,"&lt;&gt;"))))</f>
        <v/>
      </c>
      <c r="F227" s="43" t="str">
        <f>IF(OR($B227="",$A227&gt;$B$9,F$210=""),"",IF(COUNTIFS(BD!$B$3:$B$5001,F$210,BD!$A$3:$A$5001,"&gt;="&amp;$C$7,BD!$A$3:$A$5001,"&lt;="&amp;$B227,BD!$Y$3:$Y$5001,"&lt;&gt;")=0,"",SUMIFS(BD!$Y$3:$Y$5001,BD!$B$3:$B$5001,F$210,BD!$A$3:$A$5001,_xlfn.MAXIFS(BD!$A$3:$A$5001,BD!$B$3:$B$5001,F$210,BD!$A$3:$A$5001,"&gt;="&amp;$C$7,BD!$A$3:$A$5001,"&lt;="&amp;$B227,BD!$Y$3:$Y$5001,"&lt;&gt;"))))</f>
        <v/>
      </c>
      <c r="G227" s="43" t="str">
        <f>IF(OR($B227="",$A227&gt;$B$9,G$210=""),"",IF(COUNTIFS(BD!$B$3:$B$5001,G$210,BD!$A$3:$A$5001,"&gt;="&amp;$C$7,BD!$A$3:$A$5001,"&lt;="&amp;$B227,BD!$Y$3:$Y$5001,"&lt;&gt;")=0,"",SUMIFS(BD!$Y$3:$Y$5001,BD!$B$3:$B$5001,G$210,BD!$A$3:$A$5001,_xlfn.MAXIFS(BD!$A$3:$A$5001,BD!$B$3:$B$5001,G$210,BD!$A$3:$A$5001,"&gt;="&amp;$C$7,BD!$A$3:$A$5001,"&lt;="&amp;$B227,BD!$Y$3:$Y$5001,"&lt;&gt;"))))</f>
        <v/>
      </c>
      <c r="H227" s="43" t="str">
        <f>IF(OR($B227="",$A227&gt;$B$9,H$210=""),"",IF(COUNTIFS(BD!$B$3:$B$5001,H$210,BD!$A$3:$A$5001,"&gt;="&amp;$C$7,BD!$A$3:$A$5001,"&lt;="&amp;$B227,BD!$Y$3:$Y$5001,"&lt;&gt;")=0,"",SUMIFS(BD!$Y$3:$Y$5001,BD!$B$3:$B$5001,H$210,BD!$A$3:$A$5001,_xlfn.MAXIFS(BD!$A$3:$A$5001,BD!$B$3:$B$5001,H$210,BD!$A$3:$A$5001,"&gt;="&amp;$C$7,BD!$A$3:$A$5001,"&lt;="&amp;$B227,BD!$Y$3:$Y$5001,"&lt;&gt;"))))</f>
        <v/>
      </c>
      <c r="I227" s="43" t="str">
        <f>IF(OR($B227="",$A227&gt;$B$9,I$210=""),"",IF(COUNTIFS(BD!$B$3:$B$5001,I$210,BD!$A$3:$A$5001,"&gt;="&amp;$C$7,BD!$A$3:$A$5001,"&lt;="&amp;$B227,BD!$Y$3:$Y$5001,"&lt;&gt;")=0,"",SUMIFS(BD!$Y$3:$Y$5001,BD!$B$3:$B$5001,I$210,BD!$A$3:$A$5001,_xlfn.MAXIFS(BD!$A$3:$A$5001,BD!$B$3:$B$5001,I$210,BD!$A$3:$A$5001,"&gt;="&amp;$C$7,BD!$A$3:$A$5001,"&lt;="&amp;$B227,BD!$Y$3:$Y$5001,"&lt;&gt;"))))</f>
        <v/>
      </c>
      <c r="J227" s="43" t="str">
        <f>IF(OR($B227="",$A227&gt;$B$9,J$210=""),"",IF(COUNTIFS(BD!$B$3:$B$5001,J$210,BD!$A$3:$A$5001,"&gt;="&amp;$C$7,BD!$A$3:$A$5001,"&lt;="&amp;$B227,BD!$Y$3:$Y$5001,"&lt;&gt;")=0,"",SUMIFS(BD!$Y$3:$Y$5001,BD!$B$3:$B$5001,J$210,BD!$A$3:$A$5001,_xlfn.MAXIFS(BD!$A$3:$A$5001,BD!$B$3:$B$5001,J$210,BD!$A$3:$A$5001,"&gt;="&amp;$C$7,BD!$A$3:$A$5001,"&lt;="&amp;$B227,BD!$Y$3:$Y$5001,"&lt;&gt;"))))</f>
        <v/>
      </c>
      <c r="K227" s="43" t="str">
        <f>IF(OR($B227="",$A227&gt;$B$9,K$210=""),"",IF(COUNTIFS(BD!$B$3:$B$5001,K$210,BD!$A$3:$A$5001,"&gt;="&amp;$C$7,BD!$A$3:$A$5001,"&lt;="&amp;$B227,BD!$Y$3:$Y$5001,"&lt;&gt;")=0,"",SUMIFS(BD!$Y$3:$Y$5001,BD!$B$3:$B$5001,K$210,BD!$A$3:$A$5001,_xlfn.MAXIFS(BD!$A$3:$A$5001,BD!$B$3:$B$5001,K$210,BD!$A$3:$A$5001,"&gt;="&amp;$C$7,BD!$A$3:$A$5001,"&lt;="&amp;$B227,BD!$Y$3:$Y$5001,"&lt;&gt;"))))</f>
        <v/>
      </c>
      <c r="L227" s="43" t="str">
        <f>IF(OR($B227="",$A227&gt;$B$9,L$210=""),"",IF(COUNTIFS(BD!$B$3:$B$5001,L$210,BD!$A$3:$A$5001,"&gt;="&amp;$C$7,BD!$A$3:$A$5001,"&lt;="&amp;$B227,BD!$Y$3:$Y$5001,"&lt;&gt;")=0,"",SUMIFS(BD!$Y$3:$Y$5001,BD!$B$3:$B$5001,L$210,BD!$A$3:$A$5001,_xlfn.MAXIFS(BD!$A$3:$A$5001,BD!$B$3:$B$5001,L$210,BD!$A$3:$A$5001,"&gt;="&amp;$C$7,BD!$A$3:$A$5001,"&lt;="&amp;$B227,BD!$Y$3:$Y$5001,"&lt;&gt;"))))</f>
        <v/>
      </c>
      <c r="M227" s="43" t="str">
        <f>IF(OR($B227="",$A227&gt;$B$9,M$210=""),"",IF(COUNTIFS(BD!$B$3:$B$5001,M$210,BD!$A$3:$A$5001,"&gt;="&amp;$C$7,BD!$A$3:$A$5001,"&lt;="&amp;$B227,BD!$Y$3:$Y$5001,"&lt;&gt;")=0,"",SUMIFS(BD!$Y$3:$Y$5001,BD!$B$3:$B$5001,M$210,BD!$A$3:$A$5001,_xlfn.MAXIFS(BD!$A$3:$A$5001,BD!$B$3:$B$5001,M$210,BD!$A$3:$A$5001,"&gt;="&amp;$C$7,BD!$A$3:$A$5001,"&lt;="&amp;$B227,BD!$Y$3:$Y$5001,"&lt;&gt;"))))</f>
        <v/>
      </c>
      <c r="N227" s="43" t="str">
        <f>IF(OR($B227="",$A227&gt;$B$9,N$210=""),"",IF(COUNTIFS(BD!$B$3:$B$5001,N$210,BD!$A$3:$A$5001,"&gt;="&amp;$C$7,BD!$A$3:$A$5001,"&lt;="&amp;$B227,BD!$Y$3:$Y$5001,"&lt;&gt;")=0,"",SUMIFS(BD!$Y$3:$Y$5001,BD!$B$3:$B$5001,N$210,BD!$A$3:$A$5001,_xlfn.MAXIFS(BD!$A$3:$A$5001,BD!$B$3:$B$5001,N$210,BD!$A$3:$A$5001,"&gt;="&amp;$C$7,BD!$A$3:$A$5001,"&lt;="&amp;$B227,BD!$Y$3:$Y$5001,"&lt;&gt;"))))</f>
        <v/>
      </c>
      <c r="O227" s="43" t="str">
        <f>IF(OR($B227="",$A227&gt;$B$9,O$210=""),"",IF(COUNTIFS(BD!$B$3:$B$5001,O$210,BD!$A$3:$A$5001,"&gt;="&amp;$C$7,BD!$A$3:$A$5001,"&lt;="&amp;$B227,BD!$Y$3:$Y$5001,"&lt;&gt;")=0,"",SUMIFS(BD!$Y$3:$Y$5001,BD!$B$3:$B$5001,O$210,BD!$A$3:$A$5001,_xlfn.MAXIFS(BD!$A$3:$A$5001,BD!$B$3:$B$5001,O$210,BD!$A$3:$A$5001,"&gt;="&amp;$C$7,BD!$A$3:$A$5001,"&lt;="&amp;$B227,BD!$Y$3:$Y$5001,"&lt;&gt;"))))</f>
        <v/>
      </c>
      <c r="P227" s="43" t="str">
        <f>IF(OR($B227="",$A227&gt;$B$9,P$210=""),"",IF(COUNTIFS(BD!$B$3:$B$5001,P$210,BD!$A$3:$A$5001,"&gt;="&amp;$C$7,BD!$A$3:$A$5001,"&lt;="&amp;$B227,BD!$Y$3:$Y$5001,"&lt;&gt;")=0,"",SUMIFS(BD!$Y$3:$Y$5001,BD!$B$3:$B$5001,P$210,BD!$A$3:$A$5001,_xlfn.MAXIFS(BD!$A$3:$A$5001,BD!$B$3:$B$5001,P$210,BD!$A$3:$A$5001,"&gt;="&amp;$C$7,BD!$A$3:$A$5001,"&lt;="&amp;$B227,BD!$Y$3:$Y$5001,"&lt;&gt;"))))</f>
        <v/>
      </c>
      <c r="Q227" s="43" t="str">
        <f>IF(OR($B227="",$A227&gt;$B$9,Q$210=""),"",IF(COUNTIFS(BD!$B$3:$B$5001,Q$210,BD!$A$3:$A$5001,"&gt;="&amp;$C$7,BD!$A$3:$A$5001,"&lt;="&amp;$B227,BD!$Y$3:$Y$5001,"&lt;&gt;")=0,"",SUMIFS(BD!$Y$3:$Y$5001,BD!$B$3:$B$5001,Q$210,BD!$A$3:$A$5001,_xlfn.MAXIFS(BD!$A$3:$A$5001,BD!$B$3:$B$5001,Q$210,BD!$A$3:$A$5001,"&gt;="&amp;$C$7,BD!$A$3:$A$5001,"&lt;="&amp;$B227,BD!$Y$3:$Y$5001,"&lt;&gt;"))))</f>
        <v/>
      </c>
      <c r="R227" s="43" t="str">
        <f>IF(OR($B227="",$A227&gt;$B$9,R$210=""),"",IF(COUNTIFS(BD!$B$3:$B$5001,R$210,BD!$A$3:$A$5001,"&gt;="&amp;$C$7,BD!$A$3:$A$5001,"&lt;="&amp;$B227,BD!$Y$3:$Y$5001,"&lt;&gt;")=0,"",SUMIFS(BD!$Y$3:$Y$5001,BD!$B$3:$B$5001,R$210,BD!$A$3:$A$5001,_xlfn.MAXIFS(BD!$A$3:$A$5001,BD!$B$3:$B$5001,R$210,BD!$A$3:$A$5001,"&gt;="&amp;$C$7,BD!$A$3:$A$5001,"&lt;="&amp;$B227,BD!$Y$3:$Y$5001,"&lt;&gt;"))))</f>
        <v/>
      </c>
      <c r="S227" s="43" t="str">
        <f>IF(OR($B227="",$A227&gt;$B$9,S$210=""),"",IF(COUNTIFS(BD!$B$3:$B$5001,S$210,BD!$A$3:$A$5001,"&gt;="&amp;$C$7,BD!$A$3:$A$5001,"&lt;="&amp;$B227,BD!$Y$3:$Y$5001,"&lt;&gt;")=0,"",SUMIFS(BD!$Y$3:$Y$5001,BD!$B$3:$B$5001,S$210,BD!$A$3:$A$5001,_xlfn.MAXIFS(BD!$A$3:$A$5001,BD!$B$3:$B$5001,S$210,BD!$A$3:$A$5001,"&gt;="&amp;$C$7,BD!$A$3:$A$5001,"&lt;="&amp;$B227,BD!$Y$3:$Y$5001,"&lt;&gt;"))))</f>
        <v/>
      </c>
      <c r="T227" s="43" t="str">
        <f>IF(OR($B227="",$A227&gt;$B$9,T$210=""),"",IF(COUNTIFS(BD!$B$3:$B$5001,T$210,BD!$A$3:$A$5001,"&gt;="&amp;$C$7,BD!$A$3:$A$5001,"&lt;="&amp;$B227,BD!$Y$3:$Y$5001,"&lt;&gt;")=0,"",SUMIFS(BD!$Y$3:$Y$5001,BD!$B$3:$B$5001,T$210,BD!$A$3:$A$5001,_xlfn.MAXIFS(BD!$A$3:$A$5001,BD!$B$3:$B$5001,T$210,BD!$A$3:$A$5001,"&gt;="&amp;$C$7,BD!$A$3:$A$5001,"&lt;="&amp;$B227,BD!$Y$3:$Y$5001,"&lt;&gt;"))))</f>
        <v/>
      </c>
      <c r="U227" s="43" t="str">
        <f>IF(OR($B227="",$A227&gt;$B$9,U$210=""),"",IF(COUNTIFS(BD!$B$3:$B$5001,U$210,BD!$A$3:$A$5001,"&gt;="&amp;$C$7,BD!$A$3:$A$5001,"&lt;="&amp;$B227,BD!$Y$3:$Y$5001,"&lt;&gt;")=0,"",SUMIFS(BD!$Y$3:$Y$5001,BD!$B$3:$B$5001,U$210,BD!$A$3:$A$5001,_xlfn.MAXIFS(BD!$A$3:$A$5001,BD!$B$3:$B$5001,U$210,BD!$A$3:$A$5001,"&gt;="&amp;$C$7,BD!$A$3:$A$5001,"&lt;="&amp;$B227,BD!$Y$3:$Y$5001,"&lt;&gt;"))))</f>
        <v/>
      </c>
      <c r="V227" s="43" t="str">
        <f>IF(OR($B227="",$A227&gt;$B$9,V$210=""),"",IF(COUNTIFS(BD!$B$3:$B$5001,V$210,BD!$A$3:$A$5001,"&gt;="&amp;$C$7,BD!$A$3:$A$5001,"&lt;="&amp;$B227,BD!$Y$3:$Y$5001,"&lt;&gt;")=0,"",SUMIFS(BD!$Y$3:$Y$5001,BD!$B$3:$B$5001,V$210,BD!$A$3:$A$5001,_xlfn.MAXIFS(BD!$A$3:$A$5001,BD!$B$3:$B$5001,V$210,BD!$A$3:$A$5001,"&gt;="&amp;$C$7,BD!$A$3:$A$5001,"&lt;="&amp;$B227,BD!$Y$3:$Y$5001,"&lt;&gt;"))))</f>
        <v/>
      </c>
    </row>
    <row r="228">
      <c r="A228" s="38">
        <v>18</v>
      </c>
      <c r="B228" s="42">
        <f>$B$29</f>
        <v>46313</v>
      </c>
      <c r="C228" s="43" t="str">
        <f>IF(OR($B228="",$A228&gt;$B$9,C$210=""),"",IF(COUNTIFS(BD!$B$3:$B$5001,C$210,BD!$A$3:$A$5001,"&gt;="&amp;$C$7,BD!$A$3:$A$5001,"&lt;="&amp;$B228,BD!$Y$3:$Y$5001,"&lt;&gt;")=0,"",SUMIFS(BD!$Y$3:$Y$5001,BD!$B$3:$B$5001,C$210,BD!$A$3:$A$5001,_xlfn.MAXIFS(BD!$A$3:$A$5001,BD!$B$3:$B$5001,C$210,BD!$A$3:$A$5001,"&gt;="&amp;$C$7,BD!$A$3:$A$5001,"&lt;="&amp;$B228,BD!$Y$3:$Y$5001,"&lt;&gt;"))))</f>
        <v/>
      </c>
      <c r="D228" s="43" t="str">
        <f>IF(OR($B228="",$A228&gt;$B$9,D$210=""),"",IF(COUNTIFS(BD!$B$3:$B$5001,D$210,BD!$A$3:$A$5001,"&gt;="&amp;$C$7,BD!$A$3:$A$5001,"&lt;="&amp;$B228,BD!$Y$3:$Y$5001,"&lt;&gt;")=0,"",SUMIFS(BD!$Y$3:$Y$5001,BD!$B$3:$B$5001,D$210,BD!$A$3:$A$5001,_xlfn.MAXIFS(BD!$A$3:$A$5001,BD!$B$3:$B$5001,D$210,BD!$A$3:$A$5001,"&gt;="&amp;$C$7,BD!$A$3:$A$5001,"&lt;="&amp;$B228,BD!$Y$3:$Y$5001,"&lt;&gt;"))))</f>
        <v/>
      </c>
      <c r="E228" s="43" t="str">
        <f>IF(OR($B228="",$A228&gt;$B$9,E$210=""),"",IF(COUNTIFS(BD!$B$3:$B$5001,E$210,BD!$A$3:$A$5001,"&gt;="&amp;$C$7,BD!$A$3:$A$5001,"&lt;="&amp;$B228,BD!$Y$3:$Y$5001,"&lt;&gt;")=0,"",SUMIFS(BD!$Y$3:$Y$5001,BD!$B$3:$B$5001,E$210,BD!$A$3:$A$5001,_xlfn.MAXIFS(BD!$A$3:$A$5001,BD!$B$3:$B$5001,E$210,BD!$A$3:$A$5001,"&gt;="&amp;$C$7,BD!$A$3:$A$5001,"&lt;="&amp;$B228,BD!$Y$3:$Y$5001,"&lt;&gt;"))))</f>
        <v/>
      </c>
      <c r="F228" s="43" t="str">
        <f>IF(OR($B228="",$A228&gt;$B$9,F$210=""),"",IF(COUNTIFS(BD!$B$3:$B$5001,F$210,BD!$A$3:$A$5001,"&gt;="&amp;$C$7,BD!$A$3:$A$5001,"&lt;="&amp;$B228,BD!$Y$3:$Y$5001,"&lt;&gt;")=0,"",SUMIFS(BD!$Y$3:$Y$5001,BD!$B$3:$B$5001,F$210,BD!$A$3:$A$5001,_xlfn.MAXIFS(BD!$A$3:$A$5001,BD!$B$3:$B$5001,F$210,BD!$A$3:$A$5001,"&gt;="&amp;$C$7,BD!$A$3:$A$5001,"&lt;="&amp;$B228,BD!$Y$3:$Y$5001,"&lt;&gt;"))))</f>
        <v/>
      </c>
      <c r="G228" s="43" t="str">
        <f>IF(OR($B228="",$A228&gt;$B$9,G$210=""),"",IF(COUNTIFS(BD!$B$3:$B$5001,G$210,BD!$A$3:$A$5001,"&gt;="&amp;$C$7,BD!$A$3:$A$5001,"&lt;="&amp;$B228,BD!$Y$3:$Y$5001,"&lt;&gt;")=0,"",SUMIFS(BD!$Y$3:$Y$5001,BD!$B$3:$B$5001,G$210,BD!$A$3:$A$5001,_xlfn.MAXIFS(BD!$A$3:$A$5001,BD!$B$3:$B$5001,G$210,BD!$A$3:$A$5001,"&gt;="&amp;$C$7,BD!$A$3:$A$5001,"&lt;="&amp;$B228,BD!$Y$3:$Y$5001,"&lt;&gt;"))))</f>
        <v/>
      </c>
      <c r="H228" s="43" t="str">
        <f>IF(OR($B228="",$A228&gt;$B$9,H$210=""),"",IF(COUNTIFS(BD!$B$3:$B$5001,H$210,BD!$A$3:$A$5001,"&gt;="&amp;$C$7,BD!$A$3:$A$5001,"&lt;="&amp;$B228,BD!$Y$3:$Y$5001,"&lt;&gt;")=0,"",SUMIFS(BD!$Y$3:$Y$5001,BD!$B$3:$B$5001,H$210,BD!$A$3:$A$5001,_xlfn.MAXIFS(BD!$A$3:$A$5001,BD!$B$3:$B$5001,H$210,BD!$A$3:$A$5001,"&gt;="&amp;$C$7,BD!$A$3:$A$5001,"&lt;="&amp;$B228,BD!$Y$3:$Y$5001,"&lt;&gt;"))))</f>
        <v/>
      </c>
      <c r="I228" s="43" t="str">
        <f>IF(OR($B228="",$A228&gt;$B$9,I$210=""),"",IF(COUNTIFS(BD!$B$3:$B$5001,I$210,BD!$A$3:$A$5001,"&gt;="&amp;$C$7,BD!$A$3:$A$5001,"&lt;="&amp;$B228,BD!$Y$3:$Y$5001,"&lt;&gt;")=0,"",SUMIFS(BD!$Y$3:$Y$5001,BD!$B$3:$B$5001,I$210,BD!$A$3:$A$5001,_xlfn.MAXIFS(BD!$A$3:$A$5001,BD!$B$3:$B$5001,I$210,BD!$A$3:$A$5001,"&gt;="&amp;$C$7,BD!$A$3:$A$5001,"&lt;="&amp;$B228,BD!$Y$3:$Y$5001,"&lt;&gt;"))))</f>
        <v/>
      </c>
      <c r="J228" s="43" t="str">
        <f>IF(OR($B228="",$A228&gt;$B$9,J$210=""),"",IF(COUNTIFS(BD!$B$3:$B$5001,J$210,BD!$A$3:$A$5001,"&gt;="&amp;$C$7,BD!$A$3:$A$5001,"&lt;="&amp;$B228,BD!$Y$3:$Y$5001,"&lt;&gt;")=0,"",SUMIFS(BD!$Y$3:$Y$5001,BD!$B$3:$B$5001,J$210,BD!$A$3:$A$5001,_xlfn.MAXIFS(BD!$A$3:$A$5001,BD!$B$3:$B$5001,J$210,BD!$A$3:$A$5001,"&gt;="&amp;$C$7,BD!$A$3:$A$5001,"&lt;="&amp;$B228,BD!$Y$3:$Y$5001,"&lt;&gt;"))))</f>
        <v/>
      </c>
      <c r="K228" s="43" t="str">
        <f>IF(OR($B228="",$A228&gt;$B$9,K$210=""),"",IF(COUNTIFS(BD!$B$3:$B$5001,K$210,BD!$A$3:$A$5001,"&gt;="&amp;$C$7,BD!$A$3:$A$5001,"&lt;="&amp;$B228,BD!$Y$3:$Y$5001,"&lt;&gt;")=0,"",SUMIFS(BD!$Y$3:$Y$5001,BD!$B$3:$B$5001,K$210,BD!$A$3:$A$5001,_xlfn.MAXIFS(BD!$A$3:$A$5001,BD!$B$3:$B$5001,K$210,BD!$A$3:$A$5001,"&gt;="&amp;$C$7,BD!$A$3:$A$5001,"&lt;="&amp;$B228,BD!$Y$3:$Y$5001,"&lt;&gt;"))))</f>
        <v/>
      </c>
      <c r="L228" s="43" t="str">
        <f>IF(OR($B228="",$A228&gt;$B$9,L$210=""),"",IF(COUNTIFS(BD!$B$3:$B$5001,L$210,BD!$A$3:$A$5001,"&gt;="&amp;$C$7,BD!$A$3:$A$5001,"&lt;="&amp;$B228,BD!$Y$3:$Y$5001,"&lt;&gt;")=0,"",SUMIFS(BD!$Y$3:$Y$5001,BD!$B$3:$B$5001,L$210,BD!$A$3:$A$5001,_xlfn.MAXIFS(BD!$A$3:$A$5001,BD!$B$3:$B$5001,L$210,BD!$A$3:$A$5001,"&gt;="&amp;$C$7,BD!$A$3:$A$5001,"&lt;="&amp;$B228,BD!$Y$3:$Y$5001,"&lt;&gt;"))))</f>
        <v/>
      </c>
      <c r="M228" s="43" t="str">
        <f>IF(OR($B228="",$A228&gt;$B$9,M$210=""),"",IF(COUNTIFS(BD!$B$3:$B$5001,M$210,BD!$A$3:$A$5001,"&gt;="&amp;$C$7,BD!$A$3:$A$5001,"&lt;="&amp;$B228,BD!$Y$3:$Y$5001,"&lt;&gt;")=0,"",SUMIFS(BD!$Y$3:$Y$5001,BD!$B$3:$B$5001,M$210,BD!$A$3:$A$5001,_xlfn.MAXIFS(BD!$A$3:$A$5001,BD!$B$3:$B$5001,M$210,BD!$A$3:$A$5001,"&gt;="&amp;$C$7,BD!$A$3:$A$5001,"&lt;="&amp;$B228,BD!$Y$3:$Y$5001,"&lt;&gt;"))))</f>
        <v/>
      </c>
      <c r="N228" s="43" t="str">
        <f>IF(OR($B228="",$A228&gt;$B$9,N$210=""),"",IF(COUNTIFS(BD!$B$3:$B$5001,N$210,BD!$A$3:$A$5001,"&gt;="&amp;$C$7,BD!$A$3:$A$5001,"&lt;="&amp;$B228,BD!$Y$3:$Y$5001,"&lt;&gt;")=0,"",SUMIFS(BD!$Y$3:$Y$5001,BD!$B$3:$B$5001,N$210,BD!$A$3:$A$5001,_xlfn.MAXIFS(BD!$A$3:$A$5001,BD!$B$3:$B$5001,N$210,BD!$A$3:$A$5001,"&gt;="&amp;$C$7,BD!$A$3:$A$5001,"&lt;="&amp;$B228,BD!$Y$3:$Y$5001,"&lt;&gt;"))))</f>
        <v/>
      </c>
      <c r="O228" s="43" t="str">
        <f>IF(OR($B228="",$A228&gt;$B$9,O$210=""),"",IF(COUNTIFS(BD!$B$3:$B$5001,O$210,BD!$A$3:$A$5001,"&gt;="&amp;$C$7,BD!$A$3:$A$5001,"&lt;="&amp;$B228,BD!$Y$3:$Y$5001,"&lt;&gt;")=0,"",SUMIFS(BD!$Y$3:$Y$5001,BD!$B$3:$B$5001,O$210,BD!$A$3:$A$5001,_xlfn.MAXIFS(BD!$A$3:$A$5001,BD!$B$3:$B$5001,O$210,BD!$A$3:$A$5001,"&gt;="&amp;$C$7,BD!$A$3:$A$5001,"&lt;="&amp;$B228,BD!$Y$3:$Y$5001,"&lt;&gt;"))))</f>
        <v/>
      </c>
      <c r="P228" s="43" t="str">
        <f>IF(OR($B228="",$A228&gt;$B$9,P$210=""),"",IF(COUNTIFS(BD!$B$3:$B$5001,P$210,BD!$A$3:$A$5001,"&gt;="&amp;$C$7,BD!$A$3:$A$5001,"&lt;="&amp;$B228,BD!$Y$3:$Y$5001,"&lt;&gt;")=0,"",SUMIFS(BD!$Y$3:$Y$5001,BD!$B$3:$B$5001,P$210,BD!$A$3:$A$5001,_xlfn.MAXIFS(BD!$A$3:$A$5001,BD!$B$3:$B$5001,P$210,BD!$A$3:$A$5001,"&gt;="&amp;$C$7,BD!$A$3:$A$5001,"&lt;="&amp;$B228,BD!$Y$3:$Y$5001,"&lt;&gt;"))))</f>
        <v/>
      </c>
      <c r="Q228" s="43" t="str">
        <f>IF(OR($B228="",$A228&gt;$B$9,Q$210=""),"",IF(COUNTIFS(BD!$B$3:$B$5001,Q$210,BD!$A$3:$A$5001,"&gt;="&amp;$C$7,BD!$A$3:$A$5001,"&lt;="&amp;$B228,BD!$Y$3:$Y$5001,"&lt;&gt;")=0,"",SUMIFS(BD!$Y$3:$Y$5001,BD!$B$3:$B$5001,Q$210,BD!$A$3:$A$5001,_xlfn.MAXIFS(BD!$A$3:$A$5001,BD!$B$3:$B$5001,Q$210,BD!$A$3:$A$5001,"&gt;="&amp;$C$7,BD!$A$3:$A$5001,"&lt;="&amp;$B228,BD!$Y$3:$Y$5001,"&lt;&gt;"))))</f>
        <v/>
      </c>
      <c r="R228" s="43" t="str">
        <f>IF(OR($B228="",$A228&gt;$B$9,R$210=""),"",IF(COUNTIFS(BD!$B$3:$B$5001,R$210,BD!$A$3:$A$5001,"&gt;="&amp;$C$7,BD!$A$3:$A$5001,"&lt;="&amp;$B228,BD!$Y$3:$Y$5001,"&lt;&gt;")=0,"",SUMIFS(BD!$Y$3:$Y$5001,BD!$B$3:$B$5001,R$210,BD!$A$3:$A$5001,_xlfn.MAXIFS(BD!$A$3:$A$5001,BD!$B$3:$B$5001,R$210,BD!$A$3:$A$5001,"&gt;="&amp;$C$7,BD!$A$3:$A$5001,"&lt;="&amp;$B228,BD!$Y$3:$Y$5001,"&lt;&gt;"))))</f>
        <v/>
      </c>
      <c r="S228" s="43" t="str">
        <f>IF(OR($B228="",$A228&gt;$B$9,S$210=""),"",IF(COUNTIFS(BD!$B$3:$B$5001,S$210,BD!$A$3:$A$5001,"&gt;="&amp;$C$7,BD!$A$3:$A$5001,"&lt;="&amp;$B228,BD!$Y$3:$Y$5001,"&lt;&gt;")=0,"",SUMIFS(BD!$Y$3:$Y$5001,BD!$B$3:$B$5001,S$210,BD!$A$3:$A$5001,_xlfn.MAXIFS(BD!$A$3:$A$5001,BD!$B$3:$B$5001,S$210,BD!$A$3:$A$5001,"&gt;="&amp;$C$7,BD!$A$3:$A$5001,"&lt;="&amp;$B228,BD!$Y$3:$Y$5001,"&lt;&gt;"))))</f>
        <v/>
      </c>
      <c r="T228" s="43" t="str">
        <f>IF(OR($B228="",$A228&gt;$B$9,T$210=""),"",IF(COUNTIFS(BD!$B$3:$B$5001,T$210,BD!$A$3:$A$5001,"&gt;="&amp;$C$7,BD!$A$3:$A$5001,"&lt;="&amp;$B228,BD!$Y$3:$Y$5001,"&lt;&gt;")=0,"",SUMIFS(BD!$Y$3:$Y$5001,BD!$B$3:$B$5001,T$210,BD!$A$3:$A$5001,_xlfn.MAXIFS(BD!$A$3:$A$5001,BD!$B$3:$B$5001,T$210,BD!$A$3:$A$5001,"&gt;="&amp;$C$7,BD!$A$3:$A$5001,"&lt;="&amp;$B228,BD!$Y$3:$Y$5001,"&lt;&gt;"))))</f>
        <v/>
      </c>
      <c r="U228" s="43" t="str">
        <f>IF(OR($B228="",$A228&gt;$B$9,U$210=""),"",IF(COUNTIFS(BD!$B$3:$B$5001,U$210,BD!$A$3:$A$5001,"&gt;="&amp;$C$7,BD!$A$3:$A$5001,"&lt;="&amp;$B228,BD!$Y$3:$Y$5001,"&lt;&gt;")=0,"",SUMIFS(BD!$Y$3:$Y$5001,BD!$B$3:$B$5001,U$210,BD!$A$3:$A$5001,_xlfn.MAXIFS(BD!$A$3:$A$5001,BD!$B$3:$B$5001,U$210,BD!$A$3:$A$5001,"&gt;="&amp;$C$7,BD!$A$3:$A$5001,"&lt;="&amp;$B228,BD!$Y$3:$Y$5001,"&lt;&gt;"))))</f>
        <v/>
      </c>
      <c r="V228" s="43" t="str">
        <f>IF(OR($B228="",$A228&gt;$B$9,V$210=""),"",IF(COUNTIFS(BD!$B$3:$B$5001,V$210,BD!$A$3:$A$5001,"&gt;="&amp;$C$7,BD!$A$3:$A$5001,"&lt;="&amp;$B228,BD!$Y$3:$Y$5001,"&lt;&gt;")=0,"",SUMIFS(BD!$Y$3:$Y$5001,BD!$B$3:$B$5001,V$210,BD!$A$3:$A$5001,_xlfn.MAXIFS(BD!$A$3:$A$5001,BD!$B$3:$B$5001,V$210,BD!$A$3:$A$5001,"&gt;="&amp;$C$7,BD!$A$3:$A$5001,"&lt;="&amp;$B228,BD!$Y$3:$Y$5001,"&lt;&gt;"))))</f>
        <v/>
      </c>
    </row>
    <row r="229">
      <c r="A229" s="38">
        <v>19</v>
      </c>
      <c r="B229" s="42">
        <f>$B$30</f>
        <v>46314</v>
      </c>
      <c r="C229" s="43" t="str">
        <f>IF(OR($B229="",$A229&gt;$B$9,C$210=""),"",IF(COUNTIFS(BD!$B$3:$B$5001,C$210,BD!$A$3:$A$5001,"&gt;="&amp;$C$7,BD!$A$3:$A$5001,"&lt;="&amp;$B229,BD!$Y$3:$Y$5001,"&lt;&gt;")=0,"",SUMIFS(BD!$Y$3:$Y$5001,BD!$B$3:$B$5001,C$210,BD!$A$3:$A$5001,_xlfn.MAXIFS(BD!$A$3:$A$5001,BD!$B$3:$B$5001,C$210,BD!$A$3:$A$5001,"&gt;="&amp;$C$7,BD!$A$3:$A$5001,"&lt;="&amp;$B229,BD!$Y$3:$Y$5001,"&lt;&gt;"))))</f>
        <v/>
      </c>
      <c r="D229" s="43" t="str">
        <f>IF(OR($B229="",$A229&gt;$B$9,D$210=""),"",IF(COUNTIFS(BD!$B$3:$B$5001,D$210,BD!$A$3:$A$5001,"&gt;="&amp;$C$7,BD!$A$3:$A$5001,"&lt;="&amp;$B229,BD!$Y$3:$Y$5001,"&lt;&gt;")=0,"",SUMIFS(BD!$Y$3:$Y$5001,BD!$B$3:$B$5001,D$210,BD!$A$3:$A$5001,_xlfn.MAXIFS(BD!$A$3:$A$5001,BD!$B$3:$B$5001,D$210,BD!$A$3:$A$5001,"&gt;="&amp;$C$7,BD!$A$3:$A$5001,"&lt;="&amp;$B229,BD!$Y$3:$Y$5001,"&lt;&gt;"))))</f>
        <v/>
      </c>
      <c r="E229" s="43" t="str">
        <f>IF(OR($B229="",$A229&gt;$B$9,E$210=""),"",IF(COUNTIFS(BD!$B$3:$B$5001,E$210,BD!$A$3:$A$5001,"&gt;="&amp;$C$7,BD!$A$3:$A$5001,"&lt;="&amp;$B229,BD!$Y$3:$Y$5001,"&lt;&gt;")=0,"",SUMIFS(BD!$Y$3:$Y$5001,BD!$B$3:$B$5001,E$210,BD!$A$3:$A$5001,_xlfn.MAXIFS(BD!$A$3:$A$5001,BD!$B$3:$B$5001,E$210,BD!$A$3:$A$5001,"&gt;="&amp;$C$7,BD!$A$3:$A$5001,"&lt;="&amp;$B229,BD!$Y$3:$Y$5001,"&lt;&gt;"))))</f>
        <v/>
      </c>
      <c r="F229" s="43" t="str">
        <f>IF(OR($B229="",$A229&gt;$B$9,F$210=""),"",IF(COUNTIFS(BD!$B$3:$B$5001,F$210,BD!$A$3:$A$5001,"&gt;="&amp;$C$7,BD!$A$3:$A$5001,"&lt;="&amp;$B229,BD!$Y$3:$Y$5001,"&lt;&gt;")=0,"",SUMIFS(BD!$Y$3:$Y$5001,BD!$B$3:$B$5001,F$210,BD!$A$3:$A$5001,_xlfn.MAXIFS(BD!$A$3:$A$5001,BD!$B$3:$B$5001,F$210,BD!$A$3:$A$5001,"&gt;="&amp;$C$7,BD!$A$3:$A$5001,"&lt;="&amp;$B229,BD!$Y$3:$Y$5001,"&lt;&gt;"))))</f>
        <v/>
      </c>
      <c r="G229" s="43" t="str">
        <f>IF(OR($B229="",$A229&gt;$B$9,G$210=""),"",IF(COUNTIFS(BD!$B$3:$B$5001,G$210,BD!$A$3:$A$5001,"&gt;="&amp;$C$7,BD!$A$3:$A$5001,"&lt;="&amp;$B229,BD!$Y$3:$Y$5001,"&lt;&gt;")=0,"",SUMIFS(BD!$Y$3:$Y$5001,BD!$B$3:$B$5001,G$210,BD!$A$3:$A$5001,_xlfn.MAXIFS(BD!$A$3:$A$5001,BD!$B$3:$B$5001,G$210,BD!$A$3:$A$5001,"&gt;="&amp;$C$7,BD!$A$3:$A$5001,"&lt;="&amp;$B229,BD!$Y$3:$Y$5001,"&lt;&gt;"))))</f>
        <v/>
      </c>
      <c r="H229" s="43" t="str">
        <f>IF(OR($B229="",$A229&gt;$B$9,H$210=""),"",IF(COUNTIFS(BD!$B$3:$B$5001,H$210,BD!$A$3:$A$5001,"&gt;="&amp;$C$7,BD!$A$3:$A$5001,"&lt;="&amp;$B229,BD!$Y$3:$Y$5001,"&lt;&gt;")=0,"",SUMIFS(BD!$Y$3:$Y$5001,BD!$B$3:$B$5001,H$210,BD!$A$3:$A$5001,_xlfn.MAXIFS(BD!$A$3:$A$5001,BD!$B$3:$B$5001,H$210,BD!$A$3:$A$5001,"&gt;="&amp;$C$7,BD!$A$3:$A$5001,"&lt;="&amp;$B229,BD!$Y$3:$Y$5001,"&lt;&gt;"))))</f>
        <v/>
      </c>
      <c r="I229" s="43" t="str">
        <f>IF(OR($B229="",$A229&gt;$B$9,I$210=""),"",IF(COUNTIFS(BD!$B$3:$B$5001,I$210,BD!$A$3:$A$5001,"&gt;="&amp;$C$7,BD!$A$3:$A$5001,"&lt;="&amp;$B229,BD!$Y$3:$Y$5001,"&lt;&gt;")=0,"",SUMIFS(BD!$Y$3:$Y$5001,BD!$B$3:$B$5001,I$210,BD!$A$3:$A$5001,_xlfn.MAXIFS(BD!$A$3:$A$5001,BD!$B$3:$B$5001,I$210,BD!$A$3:$A$5001,"&gt;="&amp;$C$7,BD!$A$3:$A$5001,"&lt;="&amp;$B229,BD!$Y$3:$Y$5001,"&lt;&gt;"))))</f>
        <v/>
      </c>
      <c r="J229" s="43" t="str">
        <f>IF(OR($B229="",$A229&gt;$B$9,J$210=""),"",IF(COUNTIFS(BD!$B$3:$B$5001,J$210,BD!$A$3:$A$5001,"&gt;="&amp;$C$7,BD!$A$3:$A$5001,"&lt;="&amp;$B229,BD!$Y$3:$Y$5001,"&lt;&gt;")=0,"",SUMIFS(BD!$Y$3:$Y$5001,BD!$B$3:$B$5001,J$210,BD!$A$3:$A$5001,_xlfn.MAXIFS(BD!$A$3:$A$5001,BD!$B$3:$B$5001,J$210,BD!$A$3:$A$5001,"&gt;="&amp;$C$7,BD!$A$3:$A$5001,"&lt;="&amp;$B229,BD!$Y$3:$Y$5001,"&lt;&gt;"))))</f>
        <v/>
      </c>
      <c r="K229" s="43" t="str">
        <f>IF(OR($B229="",$A229&gt;$B$9,K$210=""),"",IF(COUNTIFS(BD!$B$3:$B$5001,K$210,BD!$A$3:$A$5001,"&gt;="&amp;$C$7,BD!$A$3:$A$5001,"&lt;="&amp;$B229,BD!$Y$3:$Y$5001,"&lt;&gt;")=0,"",SUMIFS(BD!$Y$3:$Y$5001,BD!$B$3:$B$5001,K$210,BD!$A$3:$A$5001,_xlfn.MAXIFS(BD!$A$3:$A$5001,BD!$B$3:$B$5001,K$210,BD!$A$3:$A$5001,"&gt;="&amp;$C$7,BD!$A$3:$A$5001,"&lt;="&amp;$B229,BD!$Y$3:$Y$5001,"&lt;&gt;"))))</f>
        <v/>
      </c>
      <c r="L229" s="43" t="str">
        <f>IF(OR($B229="",$A229&gt;$B$9,L$210=""),"",IF(COUNTIFS(BD!$B$3:$B$5001,L$210,BD!$A$3:$A$5001,"&gt;="&amp;$C$7,BD!$A$3:$A$5001,"&lt;="&amp;$B229,BD!$Y$3:$Y$5001,"&lt;&gt;")=0,"",SUMIFS(BD!$Y$3:$Y$5001,BD!$B$3:$B$5001,L$210,BD!$A$3:$A$5001,_xlfn.MAXIFS(BD!$A$3:$A$5001,BD!$B$3:$B$5001,L$210,BD!$A$3:$A$5001,"&gt;="&amp;$C$7,BD!$A$3:$A$5001,"&lt;="&amp;$B229,BD!$Y$3:$Y$5001,"&lt;&gt;"))))</f>
        <v/>
      </c>
      <c r="M229" s="43" t="str">
        <f>IF(OR($B229="",$A229&gt;$B$9,M$210=""),"",IF(COUNTIFS(BD!$B$3:$B$5001,M$210,BD!$A$3:$A$5001,"&gt;="&amp;$C$7,BD!$A$3:$A$5001,"&lt;="&amp;$B229,BD!$Y$3:$Y$5001,"&lt;&gt;")=0,"",SUMIFS(BD!$Y$3:$Y$5001,BD!$B$3:$B$5001,M$210,BD!$A$3:$A$5001,_xlfn.MAXIFS(BD!$A$3:$A$5001,BD!$B$3:$B$5001,M$210,BD!$A$3:$A$5001,"&gt;="&amp;$C$7,BD!$A$3:$A$5001,"&lt;="&amp;$B229,BD!$Y$3:$Y$5001,"&lt;&gt;"))))</f>
        <v/>
      </c>
      <c r="N229" s="43" t="str">
        <f>IF(OR($B229="",$A229&gt;$B$9,N$210=""),"",IF(COUNTIFS(BD!$B$3:$B$5001,N$210,BD!$A$3:$A$5001,"&gt;="&amp;$C$7,BD!$A$3:$A$5001,"&lt;="&amp;$B229,BD!$Y$3:$Y$5001,"&lt;&gt;")=0,"",SUMIFS(BD!$Y$3:$Y$5001,BD!$B$3:$B$5001,N$210,BD!$A$3:$A$5001,_xlfn.MAXIFS(BD!$A$3:$A$5001,BD!$B$3:$B$5001,N$210,BD!$A$3:$A$5001,"&gt;="&amp;$C$7,BD!$A$3:$A$5001,"&lt;="&amp;$B229,BD!$Y$3:$Y$5001,"&lt;&gt;"))))</f>
        <v/>
      </c>
      <c r="O229" s="43" t="str">
        <f>IF(OR($B229="",$A229&gt;$B$9,O$210=""),"",IF(COUNTIFS(BD!$B$3:$B$5001,O$210,BD!$A$3:$A$5001,"&gt;="&amp;$C$7,BD!$A$3:$A$5001,"&lt;="&amp;$B229,BD!$Y$3:$Y$5001,"&lt;&gt;")=0,"",SUMIFS(BD!$Y$3:$Y$5001,BD!$B$3:$B$5001,O$210,BD!$A$3:$A$5001,_xlfn.MAXIFS(BD!$A$3:$A$5001,BD!$B$3:$B$5001,O$210,BD!$A$3:$A$5001,"&gt;="&amp;$C$7,BD!$A$3:$A$5001,"&lt;="&amp;$B229,BD!$Y$3:$Y$5001,"&lt;&gt;"))))</f>
        <v/>
      </c>
      <c r="P229" s="43" t="str">
        <f>IF(OR($B229="",$A229&gt;$B$9,P$210=""),"",IF(COUNTIFS(BD!$B$3:$B$5001,P$210,BD!$A$3:$A$5001,"&gt;="&amp;$C$7,BD!$A$3:$A$5001,"&lt;="&amp;$B229,BD!$Y$3:$Y$5001,"&lt;&gt;")=0,"",SUMIFS(BD!$Y$3:$Y$5001,BD!$B$3:$B$5001,P$210,BD!$A$3:$A$5001,_xlfn.MAXIFS(BD!$A$3:$A$5001,BD!$B$3:$B$5001,P$210,BD!$A$3:$A$5001,"&gt;="&amp;$C$7,BD!$A$3:$A$5001,"&lt;="&amp;$B229,BD!$Y$3:$Y$5001,"&lt;&gt;"))))</f>
        <v/>
      </c>
      <c r="Q229" s="43" t="str">
        <f>IF(OR($B229="",$A229&gt;$B$9,Q$210=""),"",IF(COUNTIFS(BD!$B$3:$B$5001,Q$210,BD!$A$3:$A$5001,"&gt;="&amp;$C$7,BD!$A$3:$A$5001,"&lt;="&amp;$B229,BD!$Y$3:$Y$5001,"&lt;&gt;")=0,"",SUMIFS(BD!$Y$3:$Y$5001,BD!$B$3:$B$5001,Q$210,BD!$A$3:$A$5001,_xlfn.MAXIFS(BD!$A$3:$A$5001,BD!$B$3:$B$5001,Q$210,BD!$A$3:$A$5001,"&gt;="&amp;$C$7,BD!$A$3:$A$5001,"&lt;="&amp;$B229,BD!$Y$3:$Y$5001,"&lt;&gt;"))))</f>
        <v/>
      </c>
      <c r="R229" s="43" t="str">
        <f>IF(OR($B229="",$A229&gt;$B$9,R$210=""),"",IF(COUNTIFS(BD!$B$3:$B$5001,R$210,BD!$A$3:$A$5001,"&gt;="&amp;$C$7,BD!$A$3:$A$5001,"&lt;="&amp;$B229,BD!$Y$3:$Y$5001,"&lt;&gt;")=0,"",SUMIFS(BD!$Y$3:$Y$5001,BD!$B$3:$B$5001,R$210,BD!$A$3:$A$5001,_xlfn.MAXIFS(BD!$A$3:$A$5001,BD!$B$3:$B$5001,R$210,BD!$A$3:$A$5001,"&gt;="&amp;$C$7,BD!$A$3:$A$5001,"&lt;="&amp;$B229,BD!$Y$3:$Y$5001,"&lt;&gt;"))))</f>
        <v/>
      </c>
      <c r="S229" s="43" t="str">
        <f>IF(OR($B229="",$A229&gt;$B$9,S$210=""),"",IF(COUNTIFS(BD!$B$3:$B$5001,S$210,BD!$A$3:$A$5001,"&gt;="&amp;$C$7,BD!$A$3:$A$5001,"&lt;="&amp;$B229,BD!$Y$3:$Y$5001,"&lt;&gt;")=0,"",SUMIFS(BD!$Y$3:$Y$5001,BD!$B$3:$B$5001,S$210,BD!$A$3:$A$5001,_xlfn.MAXIFS(BD!$A$3:$A$5001,BD!$B$3:$B$5001,S$210,BD!$A$3:$A$5001,"&gt;="&amp;$C$7,BD!$A$3:$A$5001,"&lt;="&amp;$B229,BD!$Y$3:$Y$5001,"&lt;&gt;"))))</f>
        <v/>
      </c>
      <c r="T229" s="43" t="str">
        <f>IF(OR($B229="",$A229&gt;$B$9,T$210=""),"",IF(COUNTIFS(BD!$B$3:$B$5001,T$210,BD!$A$3:$A$5001,"&gt;="&amp;$C$7,BD!$A$3:$A$5001,"&lt;="&amp;$B229,BD!$Y$3:$Y$5001,"&lt;&gt;")=0,"",SUMIFS(BD!$Y$3:$Y$5001,BD!$B$3:$B$5001,T$210,BD!$A$3:$A$5001,_xlfn.MAXIFS(BD!$A$3:$A$5001,BD!$B$3:$B$5001,T$210,BD!$A$3:$A$5001,"&gt;="&amp;$C$7,BD!$A$3:$A$5001,"&lt;="&amp;$B229,BD!$Y$3:$Y$5001,"&lt;&gt;"))))</f>
        <v/>
      </c>
      <c r="U229" s="43" t="str">
        <f>IF(OR($B229="",$A229&gt;$B$9,U$210=""),"",IF(COUNTIFS(BD!$B$3:$B$5001,U$210,BD!$A$3:$A$5001,"&gt;="&amp;$C$7,BD!$A$3:$A$5001,"&lt;="&amp;$B229,BD!$Y$3:$Y$5001,"&lt;&gt;")=0,"",SUMIFS(BD!$Y$3:$Y$5001,BD!$B$3:$B$5001,U$210,BD!$A$3:$A$5001,_xlfn.MAXIFS(BD!$A$3:$A$5001,BD!$B$3:$B$5001,U$210,BD!$A$3:$A$5001,"&gt;="&amp;$C$7,BD!$A$3:$A$5001,"&lt;="&amp;$B229,BD!$Y$3:$Y$5001,"&lt;&gt;"))))</f>
        <v/>
      </c>
      <c r="V229" s="43" t="str">
        <f>IF(OR($B229="",$A229&gt;$B$9,V$210=""),"",IF(COUNTIFS(BD!$B$3:$B$5001,V$210,BD!$A$3:$A$5001,"&gt;="&amp;$C$7,BD!$A$3:$A$5001,"&lt;="&amp;$B229,BD!$Y$3:$Y$5001,"&lt;&gt;")=0,"",SUMIFS(BD!$Y$3:$Y$5001,BD!$B$3:$B$5001,V$210,BD!$A$3:$A$5001,_xlfn.MAXIFS(BD!$A$3:$A$5001,BD!$B$3:$B$5001,V$210,BD!$A$3:$A$5001,"&gt;="&amp;$C$7,BD!$A$3:$A$5001,"&lt;="&amp;$B229,BD!$Y$3:$Y$5001,"&lt;&gt;"))))</f>
        <v/>
      </c>
    </row>
    <row r="230">
      <c r="A230" s="38">
        <v>20</v>
      </c>
      <c r="B230" s="42">
        <f>$B$31</f>
        <v>46315</v>
      </c>
      <c r="C230" s="43" t="str">
        <f>IF(OR($B230="",$A230&gt;$B$9,C$210=""),"",IF(COUNTIFS(BD!$B$3:$B$5001,C$210,BD!$A$3:$A$5001,"&gt;="&amp;$C$7,BD!$A$3:$A$5001,"&lt;="&amp;$B230,BD!$Y$3:$Y$5001,"&lt;&gt;")=0,"",SUMIFS(BD!$Y$3:$Y$5001,BD!$B$3:$B$5001,C$210,BD!$A$3:$A$5001,_xlfn.MAXIFS(BD!$A$3:$A$5001,BD!$B$3:$B$5001,C$210,BD!$A$3:$A$5001,"&gt;="&amp;$C$7,BD!$A$3:$A$5001,"&lt;="&amp;$B230,BD!$Y$3:$Y$5001,"&lt;&gt;"))))</f>
        <v/>
      </c>
      <c r="D230" s="43" t="str">
        <f>IF(OR($B230="",$A230&gt;$B$9,D$210=""),"",IF(COUNTIFS(BD!$B$3:$B$5001,D$210,BD!$A$3:$A$5001,"&gt;="&amp;$C$7,BD!$A$3:$A$5001,"&lt;="&amp;$B230,BD!$Y$3:$Y$5001,"&lt;&gt;")=0,"",SUMIFS(BD!$Y$3:$Y$5001,BD!$B$3:$B$5001,D$210,BD!$A$3:$A$5001,_xlfn.MAXIFS(BD!$A$3:$A$5001,BD!$B$3:$B$5001,D$210,BD!$A$3:$A$5001,"&gt;="&amp;$C$7,BD!$A$3:$A$5001,"&lt;="&amp;$B230,BD!$Y$3:$Y$5001,"&lt;&gt;"))))</f>
        <v/>
      </c>
      <c r="E230" s="43" t="str">
        <f>IF(OR($B230="",$A230&gt;$B$9,E$210=""),"",IF(COUNTIFS(BD!$B$3:$B$5001,E$210,BD!$A$3:$A$5001,"&gt;="&amp;$C$7,BD!$A$3:$A$5001,"&lt;="&amp;$B230,BD!$Y$3:$Y$5001,"&lt;&gt;")=0,"",SUMIFS(BD!$Y$3:$Y$5001,BD!$B$3:$B$5001,E$210,BD!$A$3:$A$5001,_xlfn.MAXIFS(BD!$A$3:$A$5001,BD!$B$3:$B$5001,E$210,BD!$A$3:$A$5001,"&gt;="&amp;$C$7,BD!$A$3:$A$5001,"&lt;="&amp;$B230,BD!$Y$3:$Y$5001,"&lt;&gt;"))))</f>
        <v/>
      </c>
      <c r="F230" s="43" t="str">
        <f>IF(OR($B230="",$A230&gt;$B$9,F$210=""),"",IF(COUNTIFS(BD!$B$3:$B$5001,F$210,BD!$A$3:$A$5001,"&gt;="&amp;$C$7,BD!$A$3:$A$5001,"&lt;="&amp;$B230,BD!$Y$3:$Y$5001,"&lt;&gt;")=0,"",SUMIFS(BD!$Y$3:$Y$5001,BD!$B$3:$B$5001,F$210,BD!$A$3:$A$5001,_xlfn.MAXIFS(BD!$A$3:$A$5001,BD!$B$3:$B$5001,F$210,BD!$A$3:$A$5001,"&gt;="&amp;$C$7,BD!$A$3:$A$5001,"&lt;="&amp;$B230,BD!$Y$3:$Y$5001,"&lt;&gt;"))))</f>
        <v/>
      </c>
      <c r="G230" s="43" t="str">
        <f>IF(OR($B230="",$A230&gt;$B$9,G$210=""),"",IF(COUNTIFS(BD!$B$3:$B$5001,G$210,BD!$A$3:$A$5001,"&gt;="&amp;$C$7,BD!$A$3:$A$5001,"&lt;="&amp;$B230,BD!$Y$3:$Y$5001,"&lt;&gt;")=0,"",SUMIFS(BD!$Y$3:$Y$5001,BD!$B$3:$B$5001,G$210,BD!$A$3:$A$5001,_xlfn.MAXIFS(BD!$A$3:$A$5001,BD!$B$3:$B$5001,G$210,BD!$A$3:$A$5001,"&gt;="&amp;$C$7,BD!$A$3:$A$5001,"&lt;="&amp;$B230,BD!$Y$3:$Y$5001,"&lt;&gt;"))))</f>
        <v/>
      </c>
      <c r="H230" s="43" t="str">
        <f>IF(OR($B230="",$A230&gt;$B$9,H$210=""),"",IF(COUNTIFS(BD!$B$3:$B$5001,H$210,BD!$A$3:$A$5001,"&gt;="&amp;$C$7,BD!$A$3:$A$5001,"&lt;="&amp;$B230,BD!$Y$3:$Y$5001,"&lt;&gt;")=0,"",SUMIFS(BD!$Y$3:$Y$5001,BD!$B$3:$B$5001,H$210,BD!$A$3:$A$5001,_xlfn.MAXIFS(BD!$A$3:$A$5001,BD!$B$3:$B$5001,H$210,BD!$A$3:$A$5001,"&gt;="&amp;$C$7,BD!$A$3:$A$5001,"&lt;="&amp;$B230,BD!$Y$3:$Y$5001,"&lt;&gt;"))))</f>
        <v/>
      </c>
      <c r="I230" s="43" t="str">
        <f>IF(OR($B230="",$A230&gt;$B$9,I$210=""),"",IF(COUNTIFS(BD!$B$3:$B$5001,I$210,BD!$A$3:$A$5001,"&gt;="&amp;$C$7,BD!$A$3:$A$5001,"&lt;="&amp;$B230,BD!$Y$3:$Y$5001,"&lt;&gt;")=0,"",SUMIFS(BD!$Y$3:$Y$5001,BD!$B$3:$B$5001,I$210,BD!$A$3:$A$5001,_xlfn.MAXIFS(BD!$A$3:$A$5001,BD!$B$3:$B$5001,I$210,BD!$A$3:$A$5001,"&gt;="&amp;$C$7,BD!$A$3:$A$5001,"&lt;="&amp;$B230,BD!$Y$3:$Y$5001,"&lt;&gt;"))))</f>
        <v/>
      </c>
      <c r="J230" s="43" t="str">
        <f>IF(OR($B230="",$A230&gt;$B$9,J$210=""),"",IF(COUNTIFS(BD!$B$3:$B$5001,J$210,BD!$A$3:$A$5001,"&gt;="&amp;$C$7,BD!$A$3:$A$5001,"&lt;="&amp;$B230,BD!$Y$3:$Y$5001,"&lt;&gt;")=0,"",SUMIFS(BD!$Y$3:$Y$5001,BD!$B$3:$B$5001,J$210,BD!$A$3:$A$5001,_xlfn.MAXIFS(BD!$A$3:$A$5001,BD!$B$3:$B$5001,J$210,BD!$A$3:$A$5001,"&gt;="&amp;$C$7,BD!$A$3:$A$5001,"&lt;="&amp;$B230,BD!$Y$3:$Y$5001,"&lt;&gt;"))))</f>
        <v/>
      </c>
      <c r="K230" s="43" t="str">
        <f>IF(OR($B230="",$A230&gt;$B$9,K$210=""),"",IF(COUNTIFS(BD!$B$3:$B$5001,K$210,BD!$A$3:$A$5001,"&gt;="&amp;$C$7,BD!$A$3:$A$5001,"&lt;="&amp;$B230,BD!$Y$3:$Y$5001,"&lt;&gt;")=0,"",SUMIFS(BD!$Y$3:$Y$5001,BD!$B$3:$B$5001,K$210,BD!$A$3:$A$5001,_xlfn.MAXIFS(BD!$A$3:$A$5001,BD!$B$3:$B$5001,K$210,BD!$A$3:$A$5001,"&gt;="&amp;$C$7,BD!$A$3:$A$5001,"&lt;="&amp;$B230,BD!$Y$3:$Y$5001,"&lt;&gt;"))))</f>
        <v/>
      </c>
      <c r="L230" s="43" t="str">
        <f>IF(OR($B230="",$A230&gt;$B$9,L$210=""),"",IF(COUNTIFS(BD!$B$3:$B$5001,L$210,BD!$A$3:$A$5001,"&gt;="&amp;$C$7,BD!$A$3:$A$5001,"&lt;="&amp;$B230,BD!$Y$3:$Y$5001,"&lt;&gt;")=0,"",SUMIFS(BD!$Y$3:$Y$5001,BD!$B$3:$B$5001,L$210,BD!$A$3:$A$5001,_xlfn.MAXIFS(BD!$A$3:$A$5001,BD!$B$3:$B$5001,L$210,BD!$A$3:$A$5001,"&gt;="&amp;$C$7,BD!$A$3:$A$5001,"&lt;="&amp;$B230,BD!$Y$3:$Y$5001,"&lt;&gt;"))))</f>
        <v/>
      </c>
      <c r="M230" s="43" t="str">
        <f>IF(OR($B230="",$A230&gt;$B$9,M$210=""),"",IF(COUNTIFS(BD!$B$3:$B$5001,M$210,BD!$A$3:$A$5001,"&gt;="&amp;$C$7,BD!$A$3:$A$5001,"&lt;="&amp;$B230,BD!$Y$3:$Y$5001,"&lt;&gt;")=0,"",SUMIFS(BD!$Y$3:$Y$5001,BD!$B$3:$B$5001,M$210,BD!$A$3:$A$5001,_xlfn.MAXIFS(BD!$A$3:$A$5001,BD!$B$3:$B$5001,M$210,BD!$A$3:$A$5001,"&gt;="&amp;$C$7,BD!$A$3:$A$5001,"&lt;="&amp;$B230,BD!$Y$3:$Y$5001,"&lt;&gt;"))))</f>
        <v/>
      </c>
      <c r="N230" s="43" t="str">
        <f>IF(OR($B230="",$A230&gt;$B$9,N$210=""),"",IF(COUNTIFS(BD!$B$3:$B$5001,N$210,BD!$A$3:$A$5001,"&gt;="&amp;$C$7,BD!$A$3:$A$5001,"&lt;="&amp;$B230,BD!$Y$3:$Y$5001,"&lt;&gt;")=0,"",SUMIFS(BD!$Y$3:$Y$5001,BD!$B$3:$B$5001,N$210,BD!$A$3:$A$5001,_xlfn.MAXIFS(BD!$A$3:$A$5001,BD!$B$3:$B$5001,N$210,BD!$A$3:$A$5001,"&gt;="&amp;$C$7,BD!$A$3:$A$5001,"&lt;="&amp;$B230,BD!$Y$3:$Y$5001,"&lt;&gt;"))))</f>
        <v/>
      </c>
      <c r="O230" s="43" t="str">
        <f>IF(OR($B230="",$A230&gt;$B$9,O$210=""),"",IF(COUNTIFS(BD!$B$3:$B$5001,O$210,BD!$A$3:$A$5001,"&gt;="&amp;$C$7,BD!$A$3:$A$5001,"&lt;="&amp;$B230,BD!$Y$3:$Y$5001,"&lt;&gt;")=0,"",SUMIFS(BD!$Y$3:$Y$5001,BD!$B$3:$B$5001,O$210,BD!$A$3:$A$5001,_xlfn.MAXIFS(BD!$A$3:$A$5001,BD!$B$3:$B$5001,O$210,BD!$A$3:$A$5001,"&gt;="&amp;$C$7,BD!$A$3:$A$5001,"&lt;="&amp;$B230,BD!$Y$3:$Y$5001,"&lt;&gt;"))))</f>
        <v/>
      </c>
      <c r="P230" s="43" t="str">
        <f>IF(OR($B230="",$A230&gt;$B$9,P$210=""),"",IF(COUNTIFS(BD!$B$3:$B$5001,P$210,BD!$A$3:$A$5001,"&gt;="&amp;$C$7,BD!$A$3:$A$5001,"&lt;="&amp;$B230,BD!$Y$3:$Y$5001,"&lt;&gt;")=0,"",SUMIFS(BD!$Y$3:$Y$5001,BD!$B$3:$B$5001,P$210,BD!$A$3:$A$5001,_xlfn.MAXIFS(BD!$A$3:$A$5001,BD!$B$3:$B$5001,P$210,BD!$A$3:$A$5001,"&gt;="&amp;$C$7,BD!$A$3:$A$5001,"&lt;="&amp;$B230,BD!$Y$3:$Y$5001,"&lt;&gt;"))))</f>
        <v/>
      </c>
      <c r="Q230" s="43" t="str">
        <f>IF(OR($B230="",$A230&gt;$B$9,Q$210=""),"",IF(COUNTIFS(BD!$B$3:$B$5001,Q$210,BD!$A$3:$A$5001,"&gt;="&amp;$C$7,BD!$A$3:$A$5001,"&lt;="&amp;$B230,BD!$Y$3:$Y$5001,"&lt;&gt;")=0,"",SUMIFS(BD!$Y$3:$Y$5001,BD!$B$3:$B$5001,Q$210,BD!$A$3:$A$5001,_xlfn.MAXIFS(BD!$A$3:$A$5001,BD!$B$3:$B$5001,Q$210,BD!$A$3:$A$5001,"&gt;="&amp;$C$7,BD!$A$3:$A$5001,"&lt;="&amp;$B230,BD!$Y$3:$Y$5001,"&lt;&gt;"))))</f>
        <v/>
      </c>
      <c r="R230" s="43" t="str">
        <f>IF(OR($B230="",$A230&gt;$B$9,R$210=""),"",IF(COUNTIFS(BD!$B$3:$B$5001,R$210,BD!$A$3:$A$5001,"&gt;="&amp;$C$7,BD!$A$3:$A$5001,"&lt;="&amp;$B230,BD!$Y$3:$Y$5001,"&lt;&gt;")=0,"",SUMIFS(BD!$Y$3:$Y$5001,BD!$B$3:$B$5001,R$210,BD!$A$3:$A$5001,_xlfn.MAXIFS(BD!$A$3:$A$5001,BD!$B$3:$B$5001,R$210,BD!$A$3:$A$5001,"&gt;="&amp;$C$7,BD!$A$3:$A$5001,"&lt;="&amp;$B230,BD!$Y$3:$Y$5001,"&lt;&gt;"))))</f>
        <v/>
      </c>
      <c r="S230" s="43" t="str">
        <f>IF(OR($B230="",$A230&gt;$B$9,S$210=""),"",IF(COUNTIFS(BD!$B$3:$B$5001,S$210,BD!$A$3:$A$5001,"&gt;="&amp;$C$7,BD!$A$3:$A$5001,"&lt;="&amp;$B230,BD!$Y$3:$Y$5001,"&lt;&gt;")=0,"",SUMIFS(BD!$Y$3:$Y$5001,BD!$B$3:$B$5001,S$210,BD!$A$3:$A$5001,_xlfn.MAXIFS(BD!$A$3:$A$5001,BD!$B$3:$B$5001,S$210,BD!$A$3:$A$5001,"&gt;="&amp;$C$7,BD!$A$3:$A$5001,"&lt;="&amp;$B230,BD!$Y$3:$Y$5001,"&lt;&gt;"))))</f>
        <v/>
      </c>
      <c r="T230" s="43" t="str">
        <f>IF(OR($B230="",$A230&gt;$B$9,T$210=""),"",IF(COUNTIFS(BD!$B$3:$B$5001,T$210,BD!$A$3:$A$5001,"&gt;="&amp;$C$7,BD!$A$3:$A$5001,"&lt;="&amp;$B230,BD!$Y$3:$Y$5001,"&lt;&gt;")=0,"",SUMIFS(BD!$Y$3:$Y$5001,BD!$B$3:$B$5001,T$210,BD!$A$3:$A$5001,_xlfn.MAXIFS(BD!$A$3:$A$5001,BD!$B$3:$B$5001,T$210,BD!$A$3:$A$5001,"&gt;="&amp;$C$7,BD!$A$3:$A$5001,"&lt;="&amp;$B230,BD!$Y$3:$Y$5001,"&lt;&gt;"))))</f>
        <v/>
      </c>
      <c r="U230" s="43" t="str">
        <f>IF(OR($B230="",$A230&gt;$B$9,U$210=""),"",IF(COUNTIFS(BD!$B$3:$B$5001,U$210,BD!$A$3:$A$5001,"&gt;="&amp;$C$7,BD!$A$3:$A$5001,"&lt;="&amp;$B230,BD!$Y$3:$Y$5001,"&lt;&gt;")=0,"",SUMIFS(BD!$Y$3:$Y$5001,BD!$B$3:$B$5001,U$210,BD!$A$3:$A$5001,_xlfn.MAXIFS(BD!$A$3:$A$5001,BD!$B$3:$B$5001,U$210,BD!$A$3:$A$5001,"&gt;="&amp;$C$7,BD!$A$3:$A$5001,"&lt;="&amp;$B230,BD!$Y$3:$Y$5001,"&lt;&gt;"))))</f>
        <v/>
      </c>
      <c r="V230" s="43" t="str">
        <f>IF(OR($B230="",$A230&gt;$B$9,V$210=""),"",IF(COUNTIFS(BD!$B$3:$B$5001,V$210,BD!$A$3:$A$5001,"&gt;="&amp;$C$7,BD!$A$3:$A$5001,"&lt;="&amp;$B230,BD!$Y$3:$Y$5001,"&lt;&gt;")=0,"",SUMIFS(BD!$Y$3:$Y$5001,BD!$B$3:$B$5001,V$210,BD!$A$3:$A$5001,_xlfn.MAXIFS(BD!$A$3:$A$5001,BD!$B$3:$B$5001,V$210,BD!$A$3:$A$5001,"&gt;="&amp;$C$7,BD!$A$3:$A$5001,"&lt;="&amp;$B230,BD!$Y$3:$Y$5001,"&lt;&gt;"))))</f>
        <v/>
      </c>
    </row>
    <row r="231">
      <c r="A231" s="38">
        <v>21</v>
      </c>
      <c r="B231" s="42">
        <f>$B$32</f>
        <v>46316</v>
      </c>
      <c r="C231" s="43" t="str">
        <f>IF(OR($B231="",$A231&gt;$B$9,C$210=""),"",IF(COUNTIFS(BD!$B$3:$B$5001,C$210,BD!$A$3:$A$5001,"&gt;="&amp;$C$7,BD!$A$3:$A$5001,"&lt;="&amp;$B231,BD!$Y$3:$Y$5001,"&lt;&gt;")=0,"",SUMIFS(BD!$Y$3:$Y$5001,BD!$B$3:$B$5001,C$210,BD!$A$3:$A$5001,_xlfn.MAXIFS(BD!$A$3:$A$5001,BD!$B$3:$B$5001,C$210,BD!$A$3:$A$5001,"&gt;="&amp;$C$7,BD!$A$3:$A$5001,"&lt;="&amp;$B231,BD!$Y$3:$Y$5001,"&lt;&gt;"))))</f>
        <v/>
      </c>
      <c r="D231" s="43" t="str">
        <f>IF(OR($B231="",$A231&gt;$B$9,D$210=""),"",IF(COUNTIFS(BD!$B$3:$B$5001,D$210,BD!$A$3:$A$5001,"&gt;="&amp;$C$7,BD!$A$3:$A$5001,"&lt;="&amp;$B231,BD!$Y$3:$Y$5001,"&lt;&gt;")=0,"",SUMIFS(BD!$Y$3:$Y$5001,BD!$B$3:$B$5001,D$210,BD!$A$3:$A$5001,_xlfn.MAXIFS(BD!$A$3:$A$5001,BD!$B$3:$B$5001,D$210,BD!$A$3:$A$5001,"&gt;="&amp;$C$7,BD!$A$3:$A$5001,"&lt;="&amp;$B231,BD!$Y$3:$Y$5001,"&lt;&gt;"))))</f>
        <v/>
      </c>
      <c r="E231" s="43" t="str">
        <f>IF(OR($B231="",$A231&gt;$B$9,E$210=""),"",IF(COUNTIFS(BD!$B$3:$B$5001,E$210,BD!$A$3:$A$5001,"&gt;="&amp;$C$7,BD!$A$3:$A$5001,"&lt;="&amp;$B231,BD!$Y$3:$Y$5001,"&lt;&gt;")=0,"",SUMIFS(BD!$Y$3:$Y$5001,BD!$B$3:$B$5001,E$210,BD!$A$3:$A$5001,_xlfn.MAXIFS(BD!$A$3:$A$5001,BD!$B$3:$B$5001,E$210,BD!$A$3:$A$5001,"&gt;="&amp;$C$7,BD!$A$3:$A$5001,"&lt;="&amp;$B231,BD!$Y$3:$Y$5001,"&lt;&gt;"))))</f>
        <v/>
      </c>
      <c r="F231" s="43" t="str">
        <f>IF(OR($B231="",$A231&gt;$B$9,F$210=""),"",IF(COUNTIFS(BD!$B$3:$B$5001,F$210,BD!$A$3:$A$5001,"&gt;="&amp;$C$7,BD!$A$3:$A$5001,"&lt;="&amp;$B231,BD!$Y$3:$Y$5001,"&lt;&gt;")=0,"",SUMIFS(BD!$Y$3:$Y$5001,BD!$B$3:$B$5001,F$210,BD!$A$3:$A$5001,_xlfn.MAXIFS(BD!$A$3:$A$5001,BD!$B$3:$B$5001,F$210,BD!$A$3:$A$5001,"&gt;="&amp;$C$7,BD!$A$3:$A$5001,"&lt;="&amp;$B231,BD!$Y$3:$Y$5001,"&lt;&gt;"))))</f>
        <v/>
      </c>
      <c r="G231" s="43" t="str">
        <f>IF(OR($B231="",$A231&gt;$B$9,G$210=""),"",IF(COUNTIFS(BD!$B$3:$B$5001,G$210,BD!$A$3:$A$5001,"&gt;="&amp;$C$7,BD!$A$3:$A$5001,"&lt;="&amp;$B231,BD!$Y$3:$Y$5001,"&lt;&gt;")=0,"",SUMIFS(BD!$Y$3:$Y$5001,BD!$B$3:$B$5001,G$210,BD!$A$3:$A$5001,_xlfn.MAXIFS(BD!$A$3:$A$5001,BD!$B$3:$B$5001,G$210,BD!$A$3:$A$5001,"&gt;="&amp;$C$7,BD!$A$3:$A$5001,"&lt;="&amp;$B231,BD!$Y$3:$Y$5001,"&lt;&gt;"))))</f>
        <v/>
      </c>
      <c r="H231" s="43" t="str">
        <f>IF(OR($B231="",$A231&gt;$B$9,H$210=""),"",IF(COUNTIFS(BD!$B$3:$B$5001,H$210,BD!$A$3:$A$5001,"&gt;="&amp;$C$7,BD!$A$3:$A$5001,"&lt;="&amp;$B231,BD!$Y$3:$Y$5001,"&lt;&gt;")=0,"",SUMIFS(BD!$Y$3:$Y$5001,BD!$B$3:$B$5001,H$210,BD!$A$3:$A$5001,_xlfn.MAXIFS(BD!$A$3:$A$5001,BD!$B$3:$B$5001,H$210,BD!$A$3:$A$5001,"&gt;="&amp;$C$7,BD!$A$3:$A$5001,"&lt;="&amp;$B231,BD!$Y$3:$Y$5001,"&lt;&gt;"))))</f>
        <v/>
      </c>
      <c r="I231" s="43" t="str">
        <f>IF(OR($B231="",$A231&gt;$B$9,I$210=""),"",IF(COUNTIFS(BD!$B$3:$B$5001,I$210,BD!$A$3:$A$5001,"&gt;="&amp;$C$7,BD!$A$3:$A$5001,"&lt;="&amp;$B231,BD!$Y$3:$Y$5001,"&lt;&gt;")=0,"",SUMIFS(BD!$Y$3:$Y$5001,BD!$B$3:$B$5001,I$210,BD!$A$3:$A$5001,_xlfn.MAXIFS(BD!$A$3:$A$5001,BD!$B$3:$B$5001,I$210,BD!$A$3:$A$5001,"&gt;="&amp;$C$7,BD!$A$3:$A$5001,"&lt;="&amp;$B231,BD!$Y$3:$Y$5001,"&lt;&gt;"))))</f>
        <v/>
      </c>
      <c r="J231" s="43" t="str">
        <f>IF(OR($B231="",$A231&gt;$B$9,J$210=""),"",IF(COUNTIFS(BD!$B$3:$B$5001,J$210,BD!$A$3:$A$5001,"&gt;="&amp;$C$7,BD!$A$3:$A$5001,"&lt;="&amp;$B231,BD!$Y$3:$Y$5001,"&lt;&gt;")=0,"",SUMIFS(BD!$Y$3:$Y$5001,BD!$B$3:$B$5001,J$210,BD!$A$3:$A$5001,_xlfn.MAXIFS(BD!$A$3:$A$5001,BD!$B$3:$B$5001,J$210,BD!$A$3:$A$5001,"&gt;="&amp;$C$7,BD!$A$3:$A$5001,"&lt;="&amp;$B231,BD!$Y$3:$Y$5001,"&lt;&gt;"))))</f>
        <v/>
      </c>
      <c r="K231" s="43" t="str">
        <f>IF(OR($B231="",$A231&gt;$B$9,K$210=""),"",IF(COUNTIFS(BD!$B$3:$B$5001,K$210,BD!$A$3:$A$5001,"&gt;="&amp;$C$7,BD!$A$3:$A$5001,"&lt;="&amp;$B231,BD!$Y$3:$Y$5001,"&lt;&gt;")=0,"",SUMIFS(BD!$Y$3:$Y$5001,BD!$B$3:$B$5001,K$210,BD!$A$3:$A$5001,_xlfn.MAXIFS(BD!$A$3:$A$5001,BD!$B$3:$B$5001,K$210,BD!$A$3:$A$5001,"&gt;="&amp;$C$7,BD!$A$3:$A$5001,"&lt;="&amp;$B231,BD!$Y$3:$Y$5001,"&lt;&gt;"))))</f>
        <v/>
      </c>
      <c r="L231" s="43" t="str">
        <f>IF(OR($B231="",$A231&gt;$B$9,L$210=""),"",IF(COUNTIFS(BD!$B$3:$B$5001,L$210,BD!$A$3:$A$5001,"&gt;="&amp;$C$7,BD!$A$3:$A$5001,"&lt;="&amp;$B231,BD!$Y$3:$Y$5001,"&lt;&gt;")=0,"",SUMIFS(BD!$Y$3:$Y$5001,BD!$B$3:$B$5001,L$210,BD!$A$3:$A$5001,_xlfn.MAXIFS(BD!$A$3:$A$5001,BD!$B$3:$B$5001,L$210,BD!$A$3:$A$5001,"&gt;="&amp;$C$7,BD!$A$3:$A$5001,"&lt;="&amp;$B231,BD!$Y$3:$Y$5001,"&lt;&gt;"))))</f>
        <v/>
      </c>
      <c r="M231" s="43" t="str">
        <f>IF(OR($B231="",$A231&gt;$B$9,M$210=""),"",IF(COUNTIFS(BD!$B$3:$B$5001,M$210,BD!$A$3:$A$5001,"&gt;="&amp;$C$7,BD!$A$3:$A$5001,"&lt;="&amp;$B231,BD!$Y$3:$Y$5001,"&lt;&gt;")=0,"",SUMIFS(BD!$Y$3:$Y$5001,BD!$B$3:$B$5001,M$210,BD!$A$3:$A$5001,_xlfn.MAXIFS(BD!$A$3:$A$5001,BD!$B$3:$B$5001,M$210,BD!$A$3:$A$5001,"&gt;="&amp;$C$7,BD!$A$3:$A$5001,"&lt;="&amp;$B231,BD!$Y$3:$Y$5001,"&lt;&gt;"))))</f>
        <v/>
      </c>
      <c r="N231" s="43" t="str">
        <f>IF(OR($B231="",$A231&gt;$B$9,N$210=""),"",IF(COUNTIFS(BD!$B$3:$B$5001,N$210,BD!$A$3:$A$5001,"&gt;="&amp;$C$7,BD!$A$3:$A$5001,"&lt;="&amp;$B231,BD!$Y$3:$Y$5001,"&lt;&gt;")=0,"",SUMIFS(BD!$Y$3:$Y$5001,BD!$B$3:$B$5001,N$210,BD!$A$3:$A$5001,_xlfn.MAXIFS(BD!$A$3:$A$5001,BD!$B$3:$B$5001,N$210,BD!$A$3:$A$5001,"&gt;="&amp;$C$7,BD!$A$3:$A$5001,"&lt;="&amp;$B231,BD!$Y$3:$Y$5001,"&lt;&gt;"))))</f>
        <v/>
      </c>
      <c r="O231" s="43" t="str">
        <f>IF(OR($B231="",$A231&gt;$B$9,O$210=""),"",IF(COUNTIFS(BD!$B$3:$B$5001,O$210,BD!$A$3:$A$5001,"&gt;="&amp;$C$7,BD!$A$3:$A$5001,"&lt;="&amp;$B231,BD!$Y$3:$Y$5001,"&lt;&gt;")=0,"",SUMIFS(BD!$Y$3:$Y$5001,BD!$B$3:$B$5001,O$210,BD!$A$3:$A$5001,_xlfn.MAXIFS(BD!$A$3:$A$5001,BD!$B$3:$B$5001,O$210,BD!$A$3:$A$5001,"&gt;="&amp;$C$7,BD!$A$3:$A$5001,"&lt;="&amp;$B231,BD!$Y$3:$Y$5001,"&lt;&gt;"))))</f>
        <v/>
      </c>
      <c r="P231" s="43" t="str">
        <f>IF(OR($B231="",$A231&gt;$B$9,P$210=""),"",IF(COUNTIFS(BD!$B$3:$B$5001,P$210,BD!$A$3:$A$5001,"&gt;="&amp;$C$7,BD!$A$3:$A$5001,"&lt;="&amp;$B231,BD!$Y$3:$Y$5001,"&lt;&gt;")=0,"",SUMIFS(BD!$Y$3:$Y$5001,BD!$B$3:$B$5001,P$210,BD!$A$3:$A$5001,_xlfn.MAXIFS(BD!$A$3:$A$5001,BD!$B$3:$B$5001,P$210,BD!$A$3:$A$5001,"&gt;="&amp;$C$7,BD!$A$3:$A$5001,"&lt;="&amp;$B231,BD!$Y$3:$Y$5001,"&lt;&gt;"))))</f>
        <v/>
      </c>
      <c r="Q231" s="43" t="str">
        <f>IF(OR($B231="",$A231&gt;$B$9,Q$210=""),"",IF(COUNTIFS(BD!$B$3:$B$5001,Q$210,BD!$A$3:$A$5001,"&gt;="&amp;$C$7,BD!$A$3:$A$5001,"&lt;="&amp;$B231,BD!$Y$3:$Y$5001,"&lt;&gt;")=0,"",SUMIFS(BD!$Y$3:$Y$5001,BD!$B$3:$B$5001,Q$210,BD!$A$3:$A$5001,_xlfn.MAXIFS(BD!$A$3:$A$5001,BD!$B$3:$B$5001,Q$210,BD!$A$3:$A$5001,"&gt;="&amp;$C$7,BD!$A$3:$A$5001,"&lt;="&amp;$B231,BD!$Y$3:$Y$5001,"&lt;&gt;"))))</f>
        <v/>
      </c>
      <c r="R231" s="43" t="str">
        <f>IF(OR($B231="",$A231&gt;$B$9,R$210=""),"",IF(COUNTIFS(BD!$B$3:$B$5001,R$210,BD!$A$3:$A$5001,"&gt;="&amp;$C$7,BD!$A$3:$A$5001,"&lt;="&amp;$B231,BD!$Y$3:$Y$5001,"&lt;&gt;")=0,"",SUMIFS(BD!$Y$3:$Y$5001,BD!$B$3:$B$5001,R$210,BD!$A$3:$A$5001,_xlfn.MAXIFS(BD!$A$3:$A$5001,BD!$B$3:$B$5001,R$210,BD!$A$3:$A$5001,"&gt;="&amp;$C$7,BD!$A$3:$A$5001,"&lt;="&amp;$B231,BD!$Y$3:$Y$5001,"&lt;&gt;"))))</f>
        <v/>
      </c>
      <c r="S231" s="43" t="str">
        <f>IF(OR($B231="",$A231&gt;$B$9,S$210=""),"",IF(COUNTIFS(BD!$B$3:$B$5001,S$210,BD!$A$3:$A$5001,"&gt;="&amp;$C$7,BD!$A$3:$A$5001,"&lt;="&amp;$B231,BD!$Y$3:$Y$5001,"&lt;&gt;")=0,"",SUMIFS(BD!$Y$3:$Y$5001,BD!$B$3:$B$5001,S$210,BD!$A$3:$A$5001,_xlfn.MAXIFS(BD!$A$3:$A$5001,BD!$B$3:$B$5001,S$210,BD!$A$3:$A$5001,"&gt;="&amp;$C$7,BD!$A$3:$A$5001,"&lt;="&amp;$B231,BD!$Y$3:$Y$5001,"&lt;&gt;"))))</f>
        <v/>
      </c>
      <c r="T231" s="43" t="str">
        <f>IF(OR($B231="",$A231&gt;$B$9,T$210=""),"",IF(COUNTIFS(BD!$B$3:$B$5001,T$210,BD!$A$3:$A$5001,"&gt;="&amp;$C$7,BD!$A$3:$A$5001,"&lt;="&amp;$B231,BD!$Y$3:$Y$5001,"&lt;&gt;")=0,"",SUMIFS(BD!$Y$3:$Y$5001,BD!$B$3:$B$5001,T$210,BD!$A$3:$A$5001,_xlfn.MAXIFS(BD!$A$3:$A$5001,BD!$B$3:$B$5001,T$210,BD!$A$3:$A$5001,"&gt;="&amp;$C$7,BD!$A$3:$A$5001,"&lt;="&amp;$B231,BD!$Y$3:$Y$5001,"&lt;&gt;"))))</f>
        <v/>
      </c>
      <c r="U231" s="43" t="str">
        <f>IF(OR($B231="",$A231&gt;$B$9,U$210=""),"",IF(COUNTIFS(BD!$B$3:$B$5001,U$210,BD!$A$3:$A$5001,"&gt;="&amp;$C$7,BD!$A$3:$A$5001,"&lt;="&amp;$B231,BD!$Y$3:$Y$5001,"&lt;&gt;")=0,"",SUMIFS(BD!$Y$3:$Y$5001,BD!$B$3:$B$5001,U$210,BD!$A$3:$A$5001,_xlfn.MAXIFS(BD!$A$3:$A$5001,BD!$B$3:$B$5001,U$210,BD!$A$3:$A$5001,"&gt;="&amp;$C$7,BD!$A$3:$A$5001,"&lt;="&amp;$B231,BD!$Y$3:$Y$5001,"&lt;&gt;"))))</f>
        <v/>
      </c>
      <c r="V231" s="43" t="str">
        <f>IF(OR($B231="",$A231&gt;$B$9,V$210=""),"",IF(COUNTIFS(BD!$B$3:$B$5001,V$210,BD!$A$3:$A$5001,"&gt;="&amp;$C$7,BD!$A$3:$A$5001,"&lt;="&amp;$B231,BD!$Y$3:$Y$5001,"&lt;&gt;")=0,"",SUMIFS(BD!$Y$3:$Y$5001,BD!$B$3:$B$5001,V$210,BD!$A$3:$A$5001,_xlfn.MAXIFS(BD!$A$3:$A$5001,BD!$B$3:$B$5001,V$210,BD!$A$3:$A$5001,"&gt;="&amp;$C$7,BD!$A$3:$A$5001,"&lt;="&amp;$B231,BD!$Y$3:$Y$5001,"&lt;&gt;"))))</f>
        <v/>
      </c>
    </row>
    <row r="232">
      <c r="A232" s="38">
        <v>22</v>
      </c>
      <c r="B232" s="42">
        <f>$B$33</f>
        <v>46317</v>
      </c>
      <c r="C232" s="43" t="str">
        <f>IF(OR($B232="",$A232&gt;$B$9,C$210=""),"",IF(COUNTIFS(BD!$B$3:$B$5001,C$210,BD!$A$3:$A$5001,"&gt;="&amp;$C$7,BD!$A$3:$A$5001,"&lt;="&amp;$B232,BD!$Y$3:$Y$5001,"&lt;&gt;")=0,"",SUMIFS(BD!$Y$3:$Y$5001,BD!$B$3:$B$5001,C$210,BD!$A$3:$A$5001,_xlfn.MAXIFS(BD!$A$3:$A$5001,BD!$B$3:$B$5001,C$210,BD!$A$3:$A$5001,"&gt;="&amp;$C$7,BD!$A$3:$A$5001,"&lt;="&amp;$B232,BD!$Y$3:$Y$5001,"&lt;&gt;"))))</f>
        <v/>
      </c>
      <c r="D232" s="43" t="str">
        <f>IF(OR($B232="",$A232&gt;$B$9,D$210=""),"",IF(COUNTIFS(BD!$B$3:$B$5001,D$210,BD!$A$3:$A$5001,"&gt;="&amp;$C$7,BD!$A$3:$A$5001,"&lt;="&amp;$B232,BD!$Y$3:$Y$5001,"&lt;&gt;")=0,"",SUMIFS(BD!$Y$3:$Y$5001,BD!$B$3:$B$5001,D$210,BD!$A$3:$A$5001,_xlfn.MAXIFS(BD!$A$3:$A$5001,BD!$B$3:$B$5001,D$210,BD!$A$3:$A$5001,"&gt;="&amp;$C$7,BD!$A$3:$A$5001,"&lt;="&amp;$B232,BD!$Y$3:$Y$5001,"&lt;&gt;"))))</f>
        <v/>
      </c>
      <c r="E232" s="43" t="str">
        <f>IF(OR($B232="",$A232&gt;$B$9,E$210=""),"",IF(COUNTIFS(BD!$B$3:$B$5001,E$210,BD!$A$3:$A$5001,"&gt;="&amp;$C$7,BD!$A$3:$A$5001,"&lt;="&amp;$B232,BD!$Y$3:$Y$5001,"&lt;&gt;")=0,"",SUMIFS(BD!$Y$3:$Y$5001,BD!$B$3:$B$5001,E$210,BD!$A$3:$A$5001,_xlfn.MAXIFS(BD!$A$3:$A$5001,BD!$B$3:$B$5001,E$210,BD!$A$3:$A$5001,"&gt;="&amp;$C$7,BD!$A$3:$A$5001,"&lt;="&amp;$B232,BD!$Y$3:$Y$5001,"&lt;&gt;"))))</f>
        <v/>
      </c>
      <c r="F232" s="43" t="str">
        <f>IF(OR($B232="",$A232&gt;$B$9,F$210=""),"",IF(COUNTIFS(BD!$B$3:$B$5001,F$210,BD!$A$3:$A$5001,"&gt;="&amp;$C$7,BD!$A$3:$A$5001,"&lt;="&amp;$B232,BD!$Y$3:$Y$5001,"&lt;&gt;")=0,"",SUMIFS(BD!$Y$3:$Y$5001,BD!$B$3:$B$5001,F$210,BD!$A$3:$A$5001,_xlfn.MAXIFS(BD!$A$3:$A$5001,BD!$B$3:$B$5001,F$210,BD!$A$3:$A$5001,"&gt;="&amp;$C$7,BD!$A$3:$A$5001,"&lt;="&amp;$B232,BD!$Y$3:$Y$5001,"&lt;&gt;"))))</f>
        <v/>
      </c>
      <c r="G232" s="43" t="str">
        <f>IF(OR($B232="",$A232&gt;$B$9,G$210=""),"",IF(COUNTIFS(BD!$B$3:$B$5001,G$210,BD!$A$3:$A$5001,"&gt;="&amp;$C$7,BD!$A$3:$A$5001,"&lt;="&amp;$B232,BD!$Y$3:$Y$5001,"&lt;&gt;")=0,"",SUMIFS(BD!$Y$3:$Y$5001,BD!$B$3:$B$5001,G$210,BD!$A$3:$A$5001,_xlfn.MAXIFS(BD!$A$3:$A$5001,BD!$B$3:$B$5001,G$210,BD!$A$3:$A$5001,"&gt;="&amp;$C$7,BD!$A$3:$A$5001,"&lt;="&amp;$B232,BD!$Y$3:$Y$5001,"&lt;&gt;"))))</f>
        <v/>
      </c>
      <c r="H232" s="43" t="str">
        <f>IF(OR($B232="",$A232&gt;$B$9,H$210=""),"",IF(COUNTIFS(BD!$B$3:$B$5001,H$210,BD!$A$3:$A$5001,"&gt;="&amp;$C$7,BD!$A$3:$A$5001,"&lt;="&amp;$B232,BD!$Y$3:$Y$5001,"&lt;&gt;")=0,"",SUMIFS(BD!$Y$3:$Y$5001,BD!$B$3:$B$5001,H$210,BD!$A$3:$A$5001,_xlfn.MAXIFS(BD!$A$3:$A$5001,BD!$B$3:$B$5001,H$210,BD!$A$3:$A$5001,"&gt;="&amp;$C$7,BD!$A$3:$A$5001,"&lt;="&amp;$B232,BD!$Y$3:$Y$5001,"&lt;&gt;"))))</f>
        <v/>
      </c>
      <c r="I232" s="43" t="str">
        <f>IF(OR($B232="",$A232&gt;$B$9,I$210=""),"",IF(COUNTIFS(BD!$B$3:$B$5001,I$210,BD!$A$3:$A$5001,"&gt;="&amp;$C$7,BD!$A$3:$A$5001,"&lt;="&amp;$B232,BD!$Y$3:$Y$5001,"&lt;&gt;")=0,"",SUMIFS(BD!$Y$3:$Y$5001,BD!$B$3:$B$5001,I$210,BD!$A$3:$A$5001,_xlfn.MAXIFS(BD!$A$3:$A$5001,BD!$B$3:$B$5001,I$210,BD!$A$3:$A$5001,"&gt;="&amp;$C$7,BD!$A$3:$A$5001,"&lt;="&amp;$B232,BD!$Y$3:$Y$5001,"&lt;&gt;"))))</f>
        <v/>
      </c>
      <c r="J232" s="43" t="str">
        <f>IF(OR($B232="",$A232&gt;$B$9,J$210=""),"",IF(COUNTIFS(BD!$B$3:$B$5001,J$210,BD!$A$3:$A$5001,"&gt;="&amp;$C$7,BD!$A$3:$A$5001,"&lt;="&amp;$B232,BD!$Y$3:$Y$5001,"&lt;&gt;")=0,"",SUMIFS(BD!$Y$3:$Y$5001,BD!$B$3:$B$5001,J$210,BD!$A$3:$A$5001,_xlfn.MAXIFS(BD!$A$3:$A$5001,BD!$B$3:$B$5001,J$210,BD!$A$3:$A$5001,"&gt;="&amp;$C$7,BD!$A$3:$A$5001,"&lt;="&amp;$B232,BD!$Y$3:$Y$5001,"&lt;&gt;"))))</f>
        <v/>
      </c>
      <c r="K232" s="43" t="str">
        <f>IF(OR($B232="",$A232&gt;$B$9,K$210=""),"",IF(COUNTIFS(BD!$B$3:$B$5001,K$210,BD!$A$3:$A$5001,"&gt;="&amp;$C$7,BD!$A$3:$A$5001,"&lt;="&amp;$B232,BD!$Y$3:$Y$5001,"&lt;&gt;")=0,"",SUMIFS(BD!$Y$3:$Y$5001,BD!$B$3:$B$5001,K$210,BD!$A$3:$A$5001,_xlfn.MAXIFS(BD!$A$3:$A$5001,BD!$B$3:$B$5001,K$210,BD!$A$3:$A$5001,"&gt;="&amp;$C$7,BD!$A$3:$A$5001,"&lt;="&amp;$B232,BD!$Y$3:$Y$5001,"&lt;&gt;"))))</f>
        <v/>
      </c>
      <c r="L232" s="43" t="str">
        <f>IF(OR($B232="",$A232&gt;$B$9,L$210=""),"",IF(COUNTIFS(BD!$B$3:$B$5001,L$210,BD!$A$3:$A$5001,"&gt;="&amp;$C$7,BD!$A$3:$A$5001,"&lt;="&amp;$B232,BD!$Y$3:$Y$5001,"&lt;&gt;")=0,"",SUMIFS(BD!$Y$3:$Y$5001,BD!$B$3:$B$5001,L$210,BD!$A$3:$A$5001,_xlfn.MAXIFS(BD!$A$3:$A$5001,BD!$B$3:$B$5001,L$210,BD!$A$3:$A$5001,"&gt;="&amp;$C$7,BD!$A$3:$A$5001,"&lt;="&amp;$B232,BD!$Y$3:$Y$5001,"&lt;&gt;"))))</f>
        <v/>
      </c>
      <c r="M232" s="43" t="str">
        <f>IF(OR($B232="",$A232&gt;$B$9,M$210=""),"",IF(COUNTIFS(BD!$B$3:$B$5001,M$210,BD!$A$3:$A$5001,"&gt;="&amp;$C$7,BD!$A$3:$A$5001,"&lt;="&amp;$B232,BD!$Y$3:$Y$5001,"&lt;&gt;")=0,"",SUMIFS(BD!$Y$3:$Y$5001,BD!$B$3:$B$5001,M$210,BD!$A$3:$A$5001,_xlfn.MAXIFS(BD!$A$3:$A$5001,BD!$B$3:$B$5001,M$210,BD!$A$3:$A$5001,"&gt;="&amp;$C$7,BD!$A$3:$A$5001,"&lt;="&amp;$B232,BD!$Y$3:$Y$5001,"&lt;&gt;"))))</f>
        <v/>
      </c>
      <c r="N232" s="43" t="str">
        <f>IF(OR($B232="",$A232&gt;$B$9,N$210=""),"",IF(COUNTIFS(BD!$B$3:$B$5001,N$210,BD!$A$3:$A$5001,"&gt;="&amp;$C$7,BD!$A$3:$A$5001,"&lt;="&amp;$B232,BD!$Y$3:$Y$5001,"&lt;&gt;")=0,"",SUMIFS(BD!$Y$3:$Y$5001,BD!$B$3:$B$5001,N$210,BD!$A$3:$A$5001,_xlfn.MAXIFS(BD!$A$3:$A$5001,BD!$B$3:$B$5001,N$210,BD!$A$3:$A$5001,"&gt;="&amp;$C$7,BD!$A$3:$A$5001,"&lt;="&amp;$B232,BD!$Y$3:$Y$5001,"&lt;&gt;"))))</f>
        <v/>
      </c>
      <c r="O232" s="43" t="str">
        <f>IF(OR($B232="",$A232&gt;$B$9,O$210=""),"",IF(COUNTIFS(BD!$B$3:$B$5001,O$210,BD!$A$3:$A$5001,"&gt;="&amp;$C$7,BD!$A$3:$A$5001,"&lt;="&amp;$B232,BD!$Y$3:$Y$5001,"&lt;&gt;")=0,"",SUMIFS(BD!$Y$3:$Y$5001,BD!$B$3:$B$5001,O$210,BD!$A$3:$A$5001,_xlfn.MAXIFS(BD!$A$3:$A$5001,BD!$B$3:$B$5001,O$210,BD!$A$3:$A$5001,"&gt;="&amp;$C$7,BD!$A$3:$A$5001,"&lt;="&amp;$B232,BD!$Y$3:$Y$5001,"&lt;&gt;"))))</f>
        <v/>
      </c>
      <c r="P232" s="43" t="str">
        <f>IF(OR($B232="",$A232&gt;$B$9,P$210=""),"",IF(COUNTIFS(BD!$B$3:$B$5001,P$210,BD!$A$3:$A$5001,"&gt;="&amp;$C$7,BD!$A$3:$A$5001,"&lt;="&amp;$B232,BD!$Y$3:$Y$5001,"&lt;&gt;")=0,"",SUMIFS(BD!$Y$3:$Y$5001,BD!$B$3:$B$5001,P$210,BD!$A$3:$A$5001,_xlfn.MAXIFS(BD!$A$3:$A$5001,BD!$B$3:$B$5001,P$210,BD!$A$3:$A$5001,"&gt;="&amp;$C$7,BD!$A$3:$A$5001,"&lt;="&amp;$B232,BD!$Y$3:$Y$5001,"&lt;&gt;"))))</f>
        <v/>
      </c>
      <c r="Q232" s="43" t="str">
        <f>IF(OR($B232="",$A232&gt;$B$9,Q$210=""),"",IF(COUNTIFS(BD!$B$3:$B$5001,Q$210,BD!$A$3:$A$5001,"&gt;="&amp;$C$7,BD!$A$3:$A$5001,"&lt;="&amp;$B232,BD!$Y$3:$Y$5001,"&lt;&gt;")=0,"",SUMIFS(BD!$Y$3:$Y$5001,BD!$B$3:$B$5001,Q$210,BD!$A$3:$A$5001,_xlfn.MAXIFS(BD!$A$3:$A$5001,BD!$B$3:$B$5001,Q$210,BD!$A$3:$A$5001,"&gt;="&amp;$C$7,BD!$A$3:$A$5001,"&lt;="&amp;$B232,BD!$Y$3:$Y$5001,"&lt;&gt;"))))</f>
        <v/>
      </c>
      <c r="R232" s="43" t="str">
        <f>IF(OR($B232="",$A232&gt;$B$9,R$210=""),"",IF(COUNTIFS(BD!$B$3:$B$5001,R$210,BD!$A$3:$A$5001,"&gt;="&amp;$C$7,BD!$A$3:$A$5001,"&lt;="&amp;$B232,BD!$Y$3:$Y$5001,"&lt;&gt;")=0,"",SUMIFS(BD!$Y$3:$Y$5001,BD!$B$3:$B$5001,R$210,BD!$A$3:$A$5001,_xlfn.MAXIFS(BD!$A$3:$A$5001,BD!$B$3:$B$5001,R$210,BD!$A$3:$A$5001,"&gt;="&amp;$C$7,BD!$A$3:$A$5001,"&lt;="&amp;$B232,BD!$Y$3:$Y$5001,"&lt;&gt;"))))</f>
        <v/>
      </c>
      <c r="S232" s="43" t="str">
        <f>IF(OR($B232="",$A232&gt;$B$9,S$210=""),"",IF(COUNTIFS(BD!$B$3:$B$5001,S$210,BD!$A$3:$A$5001,"&gt;="&amp;$C$7,BD!$A$3:$A$5001,"&lt;="&amp;$B232,BD!$Y$3:$Y$5001,"&lt;&gt;")=0,"",SUMIFS(BD!$Y$3:$Y$5001,BD!$B$3:$B$5001,S$210,BD!$A$3:$A$5001,_xlfn.MAXIFS(BD!$A$3:$A$5001,BD!$B$3:$B$5001,S$210,BD!$A$3:$A$5001,"&gt;="&amp;$C$7,BD!$A$3:$A$5001,"&lt;="&amp;$B232,BD!$Y$3:$Y$5001,"&lt;&gt;"))))</f>
        <v/>
      </c>
      <c r="T232" s="43" t="str">
        <f>IF(OR($B232="",$A232&gt;$B$9,T$210=""),"",IF(COUNTIFS(BD!$B$3:$B$5001,T$210,BD!$A$3:$A$5001,"&gt;="&amp;$C$7,BD!$A$3:$A$5001,"&lt;="&amp;$B232,BD!$Y$3:$Y$5001,"&lt;&gt;")=0,"",SUMIFS(BD!$Y$3:$Y$5001,BD!$B$3:$B$5001,T$210,BD!$A$3:$A$5001,_xlfn.MAXIFS(BD!$A$3:$A$5001,BD!$B$3:$B$5001,T$210,BD!$A$3:$A$5001,"&gt;="&amp;$C$7,BD!$A$3:$A$5001,"&lt;="&amp;$B232,BD!$Y$3:$Y$5001,"&lt;&gt;"))))</f>
        <v/>
      </c>
      <c r="U232" s="43" t="str">
        <f>IF(OR($B232="",$A232&gt;$B$9,U$210=""),"",IF(COUNTIFS(BD!$B$3:$B$5001,U$210,BD!$A$3:$A$5001,"&gt;="&amp;$C$7,BD!$A$3:$A$5001,"&lt;="&amp;$B232,BD!$Y$3:$Y$5001,"&lt;&gt;")=0,"",SUMIFS(BD!$Y$3:$Y$5001,BD!$B$3:$B$5001,U$210,BD!$A$3:$A$5001,_xlfn.MAXIFS(BD!$A$3:$A$5001,BD!$B$3:$B$5001,U$210,BD!$A$3:$A$5001,"&gt;="&amp;$C$7,BD!$A$3:$A$5001,"&lt;="&amp;$B232,BD!$Y$3:$Y$5001,"&lt;&gt;"))))</f>
        <v/>
      </c>
      <c r="V232" s="43" t="str">
        <f>IF(OR($B232="",$A232&gt;$B$9,V$210=""),"",IF(COUNTIFS(BD!$B$3:$B$5001,V$210,BD!$A$3:$A$5001,"&gt;="&amp;$C$7,BD!$A$3:$A$5001,"&lt;="&amp;$B232,BD!$Y$3:$Y$5001,"&lt;&gt;")=0,"",SUMIFS(BD!$Y$3:$Y$5001,BD!$B$3:$B$5001,V$210,BD!$A$3:$A$5001,_xlfn.MAXIFS(BD!$A$3:$A$5001,BD!$B$3:$B$5001,V$210,BD!$A$3:$A$5001,"&gt;="&amp;$C$7,BD!$A$3:$A$5001,"&lt;="&amp;$B232,BD!$Y$3:$Y$5001,"&lt;&gt;"))))</f>
        <v/>
      </c>
    </row>
    <row r="233">
      <c r="A233" s="38">
        <v>23</v>
      </c>
      <c r="B233" s="42">
        <f>$B$34</f>
        <v>46318</v>
      </c>
      <c r="C233" s="43" t="str">
        <f>IF(OR($B233="",$A233&gt;$B$9,C$210=""),"",IF(COUNTIFS(BD!$B$3:$B$5001,C$210,BD!$A$3:$A$5001,"&gt;="&amp;$C$7,BD!$A$3:$A$5001,"&lt;="&amp;$B233,BD!$Y$3:$Y$5001,"&lt;&gt;")=0,"",SUMIFS(BD!$Y$3:$Y$5001,BD!$B$3:$B$5001,C$210,BD!$A$3:$A$5001,_xlfn.MAXIFS(BD!$A$3:$A$5001,BD!$B$3:$B$5001,C$210,BD!$A$3:$A$5001,"&gt;="&amp;$C$7,BD!$A$3:$A$5001,"&lt;="&amp;$B233,BD!$Y$3:$Y$5001,"&lt;&gt;"))))</f>
        <v/>
      </c>
      <c r="D233" s="43" t="str">
        <f>IF(OR($B233="",$A233&gt;$B$9,D$210=""),"",IF(COUNTIFS(BD!$B$3:$B$5001,D$210,BD!$A$3:$A$5001,"&gt;="&amp;$C$7,BD!$A$3:$A$5001,"&lt;="&amp;$B233,BD!$Y$3:$Y$5001,"&lt;&gt;")=0,"",SUMIFS(BD!$Y$3:$Y$5001,BD!$B$3:$B$5001,D$210,BD!$A$3:$A$5001,_xlfn.MAXIFS(BD!$A$3:$A$5001,BD!$B$3:$B$5001,D$210,BD!$A$3:$A$5001,"&gt;="&amp;$C$7,BD!$A$3:$A$5001,"&lt;="&amp;$B233,BD!$Y$3:$Y$5001,"&lt;&gt;"))))</f>
        <v/>
      </c>
      <c r="E233" s="43" t="str">
        <f>IF(OR($B233="",$A233&gt;$B$9,E$210=""),"",IF(COUNTIFS(BD!$B$3:$B$5001,E$210,BD!$A$3:$A$5001,"&gt;="&amp;$C$7,BD!$A$3:$A$5001,"&lt;="&amp;$B233,BD!$Y$3:$Y$5001,"&lt;&gt;")=0,"",SUMIFS(BD!$Y$3:$Y$5001,BD!$B$3:$B$5001,E$210,BD!$A$3:$A$5001,_xlfn.MAXIFS(BD!$A$3:$A$5001,BD!$B$3:$B$5001,E$210,BD!$A$3:$A$5001,"&gt;="&amp;$C$7,BD!$A$3:$A$5001,"&lt;="&amp;$B233,BD!$Y$3:$Y$5001,"&lt;&gt;"))))</f>
        <v/>
      </c>
      <c r="F233" s="43" t="str">
        <f>IF(OR($B233="",$A233&gt;$B$9,F$210=""),"",IF(COUNTIFS(BD!$B$3:$B$5001,F$210,BD!$A$3:$A$5001,"&gt;="&amp;$C$7,BD!$A$3:$A$5001,"&lt;="&amp;$B233,BD!$Y$3:$Y$5001,"&lt;&gt;")=0,"",SUMIFS(BD!$Y$3:$Y$5001,BD!$B$3:$B$5001,F$210,BD!$A$3:$A$5001,_xlfn.MAXIFS(BD!$A$3:$A$5001,BD!$B$3:$B$5001,F$210,BD!$A$3:$A$5001,"&gt;="&amp;$C$7,BD!$A$3:$A$5001,"&lt;="&amp;$B233,BD!$Y$3:$Y$5001,"&lt;&gt;"))))</f>
        <v/>
      </c>
      <c r="G233" s="43" t="str">
        <f>IF(OR($B233="",$A233&gt;$B$9,G$210=""),"",IF(COUNTIFS(BD!$B$3:$B$5001,G$210,BD!$A$3:$A$5001,"&gt;="&amp;$C$7,BD!$A$3:$A$5001,"&lt;="&amp;$B233,BD!$Y$3:$Y$5001,"&lt;&gt;")=0,"",SUMIFS(BD!$Y$3:$Y$5001,BD!$B$3:$B$5001,G$210,BD!$A$3:$A$5001,_xlfn.MAXIFS(BD!$A$3:$A$5001,BD!$B$3:$B$5001,G$210,BD!$A$3:$A$5001,"&gt;="&amp;$C$7,BD!$A$3:$A$5001,"&lt;="&amp;$B233,BD!$Y$3:$Y$5001,"&lt;&gt;"))))</f>
        <v/>
      </c>
      <c r="H233" s="43" t="str">
        <f>IF(OR($B233="",$A233&gt;$B$9,H$210=""),"",IF(COUNTIFS(BD!$B$3:$B$5001,H$210,BD!$A$3:$A$5001,"&gt;="&amp;$C$7,BD!$A$3:$A$5001,"&lt;="&amp;$B233,BD!$Y$3:$Y$5001,"&lt;&gt;")=0,"",SUMIFS(BD!$Y$3:$Y$5001,BD!$B$3:$B$5001,H$210,BD!$A$3:$A$5001,_xlfn.MAXIFS(BD!$A$3:$A$5001,BD!$B$3:$B$5001,H$210,BD!$A$3:$A$5001,"&gt;="&amp;$C$7,BD!$A$3:$A$5001,"&lt;="&amp;$B233,BD!$Y$3:$Y$5001,"&lt;&gt;"))))</f>
        <v/>
      </c>
      <c r="I233" s="43" t="str">
        <f>IF(OR($B233="",$A233&gt;$B$9,I$210=""),"",IF(COUNTIFS(BD!$B$3:$B$5001,I$210,BD!$A$3:$A$5001,"&gt;="&amp;$C$7,BD!$A$3:$A$5001,"&lt;="&amp;$B233,BD!$Y$3:$Y$5001,"&lt;&gt;")=0,"",SUMIFS(BD!$Y$3:$Y$5001,BD!$B$3:$B$5001,I$210,BD!$A$3:$A$5001,_xlfn.MAXIFS(BD!$A$3:$A$5001,BD!$B$3:$B$5001,I$210,BD!$A$3:$A$5001,"&gt;="&amp;$C$7,BD!$A$3:$A$5001,"&lt;="&amp;$B233,BD!$Y$3:$Y$5001,"&lt;&gt;"))))</f>
        <v/>
      </c>
      <c r="J233" s="43" t="str">
        <f>IF(OR($B233="",$A233&gt;$B$9,J$210=""),"",IF(COUNTIFS(BD!$B$3:$B$5001,J$210,BD!$A$3:$A$5001,"&gt;="&amp;$C$7,BD!$A$3:$A$5001,"&lt;="&amp;$B233,BD!$Y$3:$Y$5001,"&lt;&gt;")=0,"",SUMIFS(BD!$Y$3:$Y$5001,BD!$B$3:$B$5001,J$210,BD!$A$3:$A$5001,_xlfn.MAXIFS(BD!$A$3:$A$5001,BD!$B$3:$B$5001,J$210,BD!$A$3:$A$5001,"&gt;="&amp;$C$7,BD!$A$3:$A$5001,"&lt;="&amp;$B233,BD!$Y$3:$Y$5001,"&lt;&gt;"))))</f>
        <v/>
      </c>
      <c r="K233" s="43" t="str">
        <f>IF(OR($B233="",$A233&gt;$B$9,K$210=""),"",IF(COUNTIFS(BD!$B$3:$B$5001,K$210,BD!$A$3:$A$5001,"&gt;="&amp;$C$7,BD!$A$3:$A$5001,"&lt;="&amp;$B233,BD!$Y$3:$Y$5001,"&lt;&gt;")=0,"",SUMIFS(BD!$Y$3:$Y$5001,BD!$B$3:$B$5001,K$210,BD!$A$3:$A$5001,_xlfn.MAXIFS(BD!$A$3:$A$5001,BD!$B$3:$B$5001,K$210,BD!$A$3:$A$5001,"&gt;="&amp;$C$7,BD!$A$3:$A$5001,"&lt;="&amp;$B233,BD!$Y$3:$Y$5001,"&lt;&gt;"))))</f>
        <v/>
      </c>
      <c r="L233" s="43" t="str">
        <f>IF(OR($B233="",$A233&gt;$B$9,L$210=""),"",IF(COUNTIFS(BD!$B$3:$B$5001,L$210,BD!$A$3:$A$5001,"&gt;="&amp;$C$7,BD!$A$3:$A$5001,"&lt;="&amp;$B233,BD!$Y$3:$Y$5001,"&lt;&gt;")=0,"",SUMIFS(BD!$Y$3:$Y$5001,BD!$B$3:$B$5001,L$210,BD!$A$3:$A$5001,_xlfn.MAXIFS(BD!$A$3:$A$5001,BD!$B$3:$B$5001,L$210,BD!$A$3:$A$5001,"&gt;="&amp;$C$7,BD!$A$3:$A$5001,"&lt;="&amp;$B233,BD!$Y$3:$Y$5001,"&lt;&gt;"))))</f>
        <v/>
      </c>
      <c r="M233" s="43" t="str">
        <f>IF(OR($B233="",$A233&gt;$B$9,M$210=""),"",IF(COUNTIFS(BD!$B$3:$B$5001,M$210,BD!$A$3:$A$5001,"&gt;="&amp;$C$7,BD!$A$3:$A$5001,"&lt;="&amp;$B233,BD!$Y$3:$Y$5001,"&lt;&gt;")=0,"",SUMIFS(BD!$Y$3:$Y$5001,BD!$B$3:$B$5001,M$210,BD!$A$3:$A$5001,_xlfn.MAXIFS(BD!$A$3:$A$5001,BD!$B$3:$B$5001,M$210,BD!$A$3:$A$5001,"&gt;="&amp;$C$7,BD!$A$3:$A$5001,"&lt;="&amp;$B233,BD!$Y$3:$Y$5001,"&lt;&gt;"))))</f>
        <v/>
      </c>
      <c r="N233" s="43" t="str">
        <f>IF(OR($B233="",$A233&gt;$B$9,N$210=""),"",IF(COUNTIFS(BD!$B$3:$B$5001,N$210,BD!$A$3:$A$5001,"&gt;="&amp;$C$7,BD!$A$3:$A$5001,"&lt;="&amp;$B233,BD!$Y$3:$Y$5001,"&lt;&gt;")=0,"",SUMIFS(BD!$Y$3:$Y$5001,BD!$B$3:$B$5001,N$210,BD!$A$3:$A$5001,_xlfn.MAXIFS(BD!$A$3:$A$5001,BD!$B$3:$B$5001,N$210,BD!$A$3:$A$5001,"&gt;="&amp;$C$7,BD!$A$3:$A$5001,"&lt;="&amp;$B233,BD!$Y$3:$Y$5001,"&lt;&gt;"))))</f>
        <v/>
      </c>
      <c r="O233" s="43" t="str">
        <f>IF(OR($B233="",$A233&gt;$B$9,O$210=""),"",IF(COUNTIFS(BD!$B$3:$B$5001,O$210,BD!$A$3:$A$5001,"&gt;="&amp;$C$7,BD!$A$3:$A$5001,"&lt;="&amp;$B233,BD!$Y$3:$Y$5001,"&lt;&gt;")=0,"",SUMIFS(BD!$Y$3:$Y$5001,BD!$B$3:$B$5001,O$210,BD!$A$3:$A$5001,_xlfn.MAXIFS(BD!$A$3:$A$5001,BD!$B$3:$B$5001,O$210,BD!$A$3:$A$5001,"&gt;="&amp;$C$7,BD!$A$3:$A$5001,"&lt;="&amp;$B233,BD!$Y$3:$Y$5001,"&lt;&gt;"))))</f>
        <v/>
      </c>
      <c r="P233" s="43" t="str">
        <f>IF(OR($B233="",$A233&gt;$B$9,P$210=""),"",IF(COUNTIFS(BD!$B$3:$B$5001,P$210,BD!$A$3:$A$5001,"&gt;="&amp;$C$7,BD!$A$3:$A$5001,"&lt;="&amp;$B233,BD!$Y$3:$Y$5001,"&lt;&gt;")=0,"",SUMIFS(BD!$Y$3:$Y$5001,BD!$B$3:$B$5001,P$210,BD!$A$3:$A$5001,_xlfn.MAXIFS(BD!$A$3:$A$5001,BD!$B$3:$B$5001,P$210,BD!$A$3:$A$5001,"&gt;="&amp;$C$7,BD!$A$3:$A$5001,"&lt;="&amp;$B233,BD!$Y$3:$Y$5001,"&lt;&gt;"))))</f>
        <v/>
      </c>
      <c r="Q233" s="43" t="str">
        <f>IF(OR($B233="",$A233&gt;$B$9,Q$210=""),"",IF(COUNTIFS(BD!$B$3:$B$5001,Q$210,BD!$A$3:$A$5001,"&gt;="&amp;$C$7,BD!$A$3:$A$5001,"&lt;="&amp;$B233,BD!$Y$3:$Y$5001,"&lt;&gt;")=0,"",SUMIFS(BD!$Y$3:$Y$5001,BD!$B$3:$B$5001,Q$210,BD!$A$3:$A$5001,_xlfn.MAXIFS(BD!$A$3:$A$5001,BD!$B$3:$B$5001,Q$210,BD!$A$3:$A$5001,"&gt;="&amp;$C$7,BD!$A$3:$A$5001,"&lt;="&amp;$B233,BD!$Y$3:$Y$5001,"&lt;&gt;"))))</f>
        <v/>
      </c>
      <c r="R233" s="43" t="str">
        <f>IF(OR($B233="",$A233&gt;$B$9,R$210=""),"",IF(COUNTIFS(BD!$B$3:$B$5001,R$210,BD!$A$3:$A$5001,"&gt;="&amp;$C$7,BD!$A$3:$A$5001,"&lt;="&amp;$B233,BD!$Y$3:$Y$5001,"&lt;&gt;")=0,"",SUMIFS(BD!$Y$3:$Y$5001,BD!$B$3:$B$5001,R$210,BD!$A$3:$A$5001,_xlfn.MAXIFS(BD!$A$3:$A$5001,BD!$B$3:$B$5001,R$210,BD!$A$3:$A$5001,"&gt;="&amp;$C$7,BD!$A$3:$A$5001,"&lt;="&amp;$B233,BD!$Y$3:$Y$5001,"&lt;&gt;"))))</f>
        <v/>
      </c>
      <c r="S233" s="43" t="str">
        <f>IF(OR($B233="",$A233&gt;$B$9,S$210=""),"",IF(COUNTIFS(BD!$B$3:$B$5001,S$210,BD!$A$3:$A$5001,"&gt;="&amp;$C$7,BD!$A$3:$A$5001,"&lt;="&amp;$B233,BD!$Y$3:$Y$5001,"&lt;&gt;")=0,"",SUMIFS(BD!$Y$3:$Y$5001,BD!$B$3:$B$5001,S$210,BD!$A$3:$A$5001,_xlfn.MAXIFS(BD!$A$3:$A$5001,BD!$B$3:$B$5001,S$210,BD!$A$3:$A$5001,"&gt;="&amp;$C$7,BD!$A$3:$A$5001,"&lt;="&amp;$B233,BD!$Y$3:$Y$5001,"&lt;&gt;"))))</f>
        <v/>
      </c>
      <c r="T233" s="43" t="str">
        <f>IF(OR($B233="",$A233&gt;$B$9,T$210=""),"",IF(COUNTIFS(BD!$B$3:$B$5001,T$210,BD!$A$3:$A$5001,"&gt;="&amp;$C$7,BD!$A$3:$A$5001,"&lt;="&amp;$B233,BD!$Y$3:$Y$5001,"&lt;&gt;")=0,"",SUMIFS(BD!$Y$3:$Y$5001,BD!$B$3:$B$5001,T$210,BD!$A$3:$A$5001,_xlfn.MAXIFS(BD!$A$3:$A$5001,BD!$B$3:$B$5001,T$210,BD!$A$3:$A$5001,"&gt;="&amp;$C$7,BD!$A$3:$A$5001,"&lt;="&amp;$B233,BD!$Y$3:$Y$5001,"&lt;&gt;"))))</f>
        <v/>
      </c>
      <c r="U233" s="43" t="str">
        <f>IF(OR($B233="",$A233&gt;$B$9,U$210=""),"",IF(COUNTIFS(BD!$B$3:$B$5001,U$210,BD!$A$3:$A$5001,"&gt;="&amp;$C$7,BD!$A$3:$A$5001,"&lt;="&amp;$B233,BD!$Y$3:$Y$5001,"&lt;&gt;")=0,"",SUMIFS(BD!$Y$3:$Y$5001,BD!$B$3:$B$5001,U$210,BD!$A$3:$A$5001,_xlfn.MAXIFS(BD!$A$3:$A$5001,BD!$B$3:$B$5001,U$210,BD!$A$3:$A$5001,"&gt;="&amp;$C$7,BD!$A$3:$A$5001,"&lt;="&amp;$B233,BD!$Y$3:$Y$5001,"&lt;&gt;"))))</f>
        <v/>
      </c>
      <c r="V233" s="43" t="str">
        <f>IF(OR($B233="",$A233&gt;$B$9,V$210=""),"",IF(COUNTIFS(BD!$B$3:$B$5001,V$210,BD!$A$3:$A$5001,"&gt;="&amp;$C$7,BD!$A$3:$A$5001,"&lt;="&amp;$B233,BD!$Y$3:$Y$5001,"&lt;&gt;")=0,"",SUMIFS(BD!$Y$3:$Y$5001,BD!$B$3:$B$5001,V$210,BD!$A$3:$A$5001,_xlfn.MAXIFS(BD!$A$3:$A$5001,BD!$B$3:$B$5001,V$210,BD!$A$3:$A$5001,"&gt;="&amp;$C$7,BD!$A$3:$A$5001,"&lt;="&amp;$B233,BD!$Y$3:$Y$5001,"&lt;&gt;"))))</f>
        <v/>
      </c>
    </row>
    <row r="234">
      <c r="A234" s="38">
        <v>24</v>
      </c>
      <c r="B234" s="42">
        <f>$B$35</f>
        <v>46319</v>
      </c>
      <c r="C234" s="43" t="str">
        <f>IF(OR($B234="",$A234&gt;$B$9,C$210=""),"",IF(COUNTIFS(BD!$B$3:$B$5001,C$210,BD!$A$3:$A$5001,"&gt;="&amp;$C$7,BD!$A$3:$A$5001,"&lt;="&amp;$B234,BD!$Y$3:$Y$5001,"&lt;&gt;")=0,"",SUMIFS(BD!$Y$3:$Y$5001,BD!$B$3:$B$5001,C$210,BD!$A$3:$A$5001,_xlfn.MAXIFS(BD!$A$3:$A$5001,BD!$B$3:$B$5001,C$210,BD!$A$3:$A$5001,"&gt;="&amp;$C$7,BD!$A$3:$A$5001,"&lt;="&amp;$B234,BD!$Y$3:$Y$5001,"&lt;&gt;"))))</f>
        <v/>
      </c>
      <c r="D234" s="43" t="str">
        <f>IF(OR($B234="",$A234&gt;$B$9,D$210=""),"",IF(COUNTIFS(BD!$B$3:$B$5001,D$210,BD!$A$3:$A$5001,"&gt;="&amp;$C$7,BD!$A$3:$A$5001,"&lt;="&amp;$B234,BD!$Y$3:$Y$5001,"&lt;&gt;")=0,"",SUMIFS(BD!$Y$3:$Y$5001,BD!$B$3:$B$5001,D$210,BD!$A$3:$A$5001,_xlfn.MAXIFS(BD!$A$3:$A$5001,BD!$B$3:$B$5001,D$210,BD!$A$3:$A$5001,"&gt;="&amp;$C$7,BD!$A$3:$A$5001,"&lt;="&amp;$B234,BD!$Y$3:$Y$5001,"&lt;&gt;"))))</f>
        <v/>
      </c>
      <c r="E234" s="43" t="str">
        <f>IF(OR($B234="",$A234&gt;$B$9,E$210=""),"",IF(COUNTIFS(BD!$B$3:$B$5001,E$210,BD!$A$3:$A$5001,"&gt;="&amp;$C$7,BD!$A$3:$A$5001,"&lt;="&amp;$B234,BD!$Y$3:$Y$5001,"&lt;&gt;")=0,"",SUMIFS(BD!$Y$3:$Y$5001,BD!$B$3:$B$5001,E$210,BD!$A$3:$A$5001,_xlfn.MAXIFS(BD!$A$3:$A$5001,BD!$B$3:$B$5001,E$210,BD!$A$3:$A$5001,"&gt;="&amp;$C$7,BD!$A$3:$A$5001,"&lt;="&amp;$B234,BD!$Y$3:$Y$5001,"&lt;&gt;"))))</f>
        <v/>
      </c>
      <c r="F234" s="43" t="str">
        <f>IF(OR($B234="",$A234&gt;$B$9,F$210=""),"",IF(COUNTIFS(BD!$B$3:$B$5001,F$210,BD!$A$3:$A$5001,"&gt;="&amp;$C$7,BD!$A$3:$A$5001,"&lt;="&amp;$B234,BD!$Y$3:$Y$5001,"&lt;&gt;")=0,"",SUMIFS(BD!$Y$3:$Y$5001,BD!$B$3:$B$5001,F$210,BD!$A$3:$A$5001,_xlfn.MAXIFS(BD!$A$3:$A$5001,BD!$B$3:$B$5001,F$210,BD!$A$3:$A$5001,"&gt;="&amp;$C$7,BD!$A$3:$A$5001,"&lt;="&amp;$B234,BD!$Y$3:$Y$5001,"&lt;&gt;"))))</f>
        <v/>
      </c>
      <c r="G234" s="43" t="str">
        <f>IF(OR($B234="",$A234&gt;$B$9,G$210=""),"",IF(COUNTIFS(BD!$B$3:$B$5001,G$210,BD!$A$3:$A$5001,"&gt;="&amp;$C$7,BD!$A$3:$A$5001,"&lt;="&amp;$B234,BD!$Y$3:$Y$5001,"&lt;&gt;")=0,"",SUMIFS(BD!$Y$3:$Y$5001,BD!$B$3:$B$5001,G$210,BD!$A$3:$A$5001,_xlfn.MAXIFS(BD!$A$3:$A$5001,BD!$B$3:$B$5001,G$210,BD!$A$3:$A$5001,"&gt;="&amp;$C$7,BD!$A$3:$A$5001,"&lt;="&amp;$B234,BD!$Y$3:$Y$5001,"&lt;&gt;"))))</f>
        <v/>
      </c>
      <c r="H234" s="43" t="str">
        <f>IF(OR($B234="",$A234&gt;$B$9,H$210=""),"",IF(COUNTIFS(BD!$B$3:$B$5001,H$210,BD!$A$3:$A$5001,"&gt;="&amp;$C$7,BD!$A$3:$A$5001,"&lt;="&amp;$B234,BD!$Y$3:$Y$5001,"&lt;&gt;")=0,"",SUMIFS(BD!$Y$3:$Y$5001,BD!$B$3:$B$5001,H$210,BD!$A$3:$A$5001,_xlfn.MAXIFS(BD!$A$3:$A$5001,BD!$B$3:$B$5001,H$210,BD!$A$3:$A$5001,"&gt;="&amp;$C$7,BD!$A$3:$A$5001,"&lt;="&amp;$B234,BD!$Y$3:$Y$5001,"&lt;&gt;"))))</f>
        <v/>
      </c>
      <c r="I234" s="43" t="str">
        <f>IF(OR($B234="",$A234&gt;$B$9,I$210=""),"",IF(COUNTIFS(BD!$B$3:$B$5001,I$210,BD!$A$3:$A$5001,"&gt;="&amp;$C$7,BD!$A$3:$A$5001,"&lt;="&amp;$B234,BD!$Y$3:$Y$5001,"&lt;&gt;")=0,"",SUMIFS(BD!$Y$3:$Y$5001,BD!$B$3:$B$5001,I$210,BD!$A$3:$A$5001,_xlfn.MAXIFS(BD!$A$3:$A$5001,BD!$B$3:$B$5001,I$210,BD!$A$3:$A$5001,"&gt;="&amp;$C$7,BD!$A$3:$A$5001,"&lt;="&amp;$B234,BD!$Y$3:$Y$5001,"&lt;&gt;"))))</f>
        <v/>
      </c>
      <c r="J234" s="43" t="str">
        <f>IF(OR($B234="",$A234&gt;$B$9,J$210=""),"",IF(COUNTIFS(BD!$B$3:$B$5001,J$210,BD!$A$3:$A$5001,"&gt;="&amp;$C$7,BD!$A$3:$A$5001,"&lt;="&amp;$B234,BD!$Y$3:$Y$5001,"&lt;&gt;")=0,"",SUMIFS(BD!$Y$3:$Y$5001,BD!$B$3:$B$5001,J$210,BD!$A$3:$A$5001,_xlfn.MAXIFS(BD!$A$3:$A$5001,BD!$B$3:$B$5001,J$210,BD!$A$3:$A$5001,"&gt;="&amp;$C$7,BD!$A$3:$A$5001,"&lt;="&amp;$B234,BD!$Y$3:$Y$5001,"&lt;&gt;"))))</f>
        <v/>
      </c>
      <c r="K234" s="43" t="str">
        <f>IF(OR($B234="",$A234&gt;$B$9,K$210=""),"",IF(COUNTIFS(BD!$B$3:$B$5001,K$210,BD!$A$3:$A$5001,"&gt;="&amp;$C$7,BD!$A$3:$A$5001,"&lt;="&amp;$B234,BD!$Y$3:$Y$5001,"&lt;&gt;")=0,"",SUMIFS(BD!$Y$3:$Y$5001,BD!$B$3:$B$5001,K$210,BD!$A$3:$A$5001,_xlfn.MAXIFS(BD!$A$3:$A$5001,BD!$B$3:$B$5001,K$210,BD!$A$3:$A$5001,"&gt;="&amp;$C$7,BD!$A$3:$A$5001,"&lt;="&amp;$B234,BD!$Y$3:$Y$5001,"&lt;&gt;"))))</f>
        <v/>
      </c>
      <c r="L234" s="43" t="str">
        <f>IF(OR($B234="",$A234&gt;$B$9,L$210=""),"",IF(COUNTIFS(BD!$B$3:$B$5001,L$210,BD!$A$3:$A$5001,"&gt;="&amp;$C$7,BD!$A$3:$A$5001,"&lt;="&amp;$B234,BD!$Y$3:$Y$5001,"&lt;&gt;")=0,"",SUMIFS(BD!$Y$3:$Y$5001,BD!$B$3:$B$5001,L$210,BD!$A$3:$A$5001,_xlfn.MAXIFS(BD!$A$3:$A$5001,BD!$B$3:$B$5001,L$210,BD!$A$3:$A$5001,"&gt;="&amp;$C$7,BD!$A$3:$A$5001,"&lt;="&amp;$B234,BD!$Y$3:$Y$5001,"&lt;&gt;"))))</f>
        <v/>
      </c>
      <c r="M234" s="43" t="str">
        <f>IF(OR($B234="",$A234&gt;$B$9,M$210=""),"",IF(COUNTIFS(BD!$B$3:$B$5001,M$210,BD!$A$3:$A$5001,"&gt;="&amp;$C$7,BD!$A$3:$A$5001,"&lt;="&amp;$B234,BD!$Y$3:$Y$5001,"&lt;&gt;")=0,"",SUMIFS(BD!$Y$3:$Y$5001,BD!$B$3:$B$5001,M$210,BD!$A$3:$A$5001,_xlfn.MAXIFS(BD!$A$3:$A$5001,BD!$B$3:$B$5001,M$210,BD!$A$3:$A$5001,"&gt;="&amp;$C$7,BD!$A$3:$A$5001,"&lt;="&amp;$B234,BD!$Y$3:$Y$5001,"&lt;&gt;"))))</f>
        <v/>
      </c>
      <c r="N234" s="43" t="str">
        <f>IF(OR($B234="",$A234&gt;$B$9,N$210=""),"",IF(COUNTIFS(BD!$B$3:$B$5001,N$210,BD!$A$3:$A$5001,"&gt;="&amp;$C$7,BD!$A$3:$A$5001,"&lt;="&amp;$B234,BD!$Y$3:$Y$5001,"&lt;&gt;")=0,"",SUMIFS(BD!$Y$3:$Y$5001,BD!$B$3:$B$5001,N$210,BD!$A$3:$A$5001,_xlfn.MAXIFS(BD!$A$3:$A$5001,BD!$B$3:$B$5001,N$210,BD!$A$3:$A$5001,"&gt;="&amp;$C$7,BD!$A$3:$A$5001,"&lt;="&amp;$B234,BD!$Y$3:$Y$5001,"&lt;&gt;"))))</f>
        <v/>
      </c>
      <c r="O234" s="43" t="str">
        <f>IF(OR($B234="",$A234&gt;$B$9,O$210=""),"",IF(COUNTIFS(BD!$B$3:$B$5001,O$210,BD!$A$3:$A$5001,"&gt;="&amp;$C$7,BD!$A$3:$A$5001,"&lt;="&amp;$B234,BD!$Y$3:$Y$5001,"&lt;&gt;")=0,"",SUMIFS(BD!$Y$3:$Y$5001,BD!$B$3:$B$5001,O$210,BD!$A$3:$A$5001,_xlfn.MAXIFS(BD!$A$3:$A$5001,BD!$B$3:$B$5001,O$210,BD!$A$3:$A$5001,"&gt;="&amp;$C$7,BD!$A$3:$A$5001,"&lt;="&amp;$B234,BD!$Y$3:$Y$5001,"&lt;&gt;"))))</f>
        <v/>
      </c>
      <c r="P234" s="43" t="str">
        <f>IF(OR($B234="",$A234&gt;$B$9,P$210=""),"",IF(COUNTIFS(BD!$B$3:$B$5001,P$210,BD!$A$3:$A$5001,"&gt;="&amp;$C$7,BD!$A$3:$A$5001,"&lt;="&amp;$B234,BD!$Y$3:$Y$5001,"&lt;&gt;")=0,"",SUMIFS(BD!$Y$3:$Y$5001,BD!$B$3:$B$5001,P$210,BD!$A$3:$A$5001,_xlfn.MAXIFS(BD!$A$3:$A$5001,BD!$B$3:$B$5001,P$210,BD!$A$3:$A$5001,"&gt;="&amp;$C$7,BD!$A$3:$A$5001,"&lt;="&amp;$B234,BD!$Y$3:$Y$5001,"&lt;&gt;"))))</f>
        <v/>
      </c>
      <c r="Q234" s="43" t="str">
        <f>IF(OR($B234="",$A234&gt;$B$9,Q$210=""),"",IF(COUNTIFS(BD!$B$3:$B$5001,Q$210,BD!$A$3:$A$5001,"&gt;="&amp;$C$7,BD!$A$3:$A$5001,"&lt;="&amp;$B234,BD!$Y$3:$Y$5001,"&lt;&gt;")=0,"",SUMIFS(BD!$Y$3:$Y$5001,BD!$B$3:$B$5001,Q$210,BD!$A$3:$A$5001,_xlfn.MAXIFS(BD!$A$3:$A$5001,BD!$B$3:$B$5001,Q$210,BD!$A$3:$A$5001,"&gt;="&amp;$C$7,BD!$A$3:$A$5001,"&lt;="&amp;$B234,BD!$Y$3:$Y$5001,"&lt;&gt;"))))</f>
        <v/>
      </c>
      <c r="R234" s="43" t="str">
        <f>IF(OR($B234="",$A234&gt;$B$9,R$210=""),"",IF(COUNTIFS(BD!$B$3:$B$5001,R$210,BD!$A$3:$A$5001,"&gt;="&amp;$C$7,BD!$A$3:$A$5001,"&lt;="&amp;$B234,BD!$Y$3:$Y$5001,"&lt;&gt;")=0,"",SUMIFS(BD!$Y$3:$Y$5001,BD!$B$3:$B$5001,R$210,BD!$A$3:$A$5001,_xlfn.MAXIFS(BD!$A$3:$A$5001,BD!$B$3:$B$5001,R$210,BD!$A$3:$A$5001,"&gt;="&amp;$C$7,BD!$A$3:$A$5001,"&lt;="&amp;$B234,BD!$Y$3:$Y$5001,"&lt;&gt;"))))</f>
        <v/>
      </c>
      <c r="S234" s="43" t="str">
        <f>IF(OR($B234="",$A234&gt;$B$9,S$210=""),"",IF(COUNTIFS(BD!$B$3:$B$5001,S$210,BD!$A$3:$A$5001,"&gt;="&amp;$C$7,BD!$A$3:$A$5001,"&lt;="&amp;$B234,BD!$Y$3:$Y$5001,"&lt;&gt;")=0,"",SUMIFS(BD!$Y$3:$Y$5001,BD!$B$3:$B$5001,S$210,BD!$A$3:$A$5001,_xlfn.MAXIFS(BD!$A$3:$A$5001,BD!$B$3:$B$5001,S$210,BD!$A$3:$A$5001,"&gt;="&amp;$C$7,BD!$A$3:$A$5001,"&lt;="&amp;$B234,BD!$Y$3:$Y$5001,"&lt;&gt;"))))</f>
        <v/>
      </c>
      <c r="T234" s="43" t="str">
        <f>IF(OR($B234="",$A234&gt;$B$9,T$210=""),"",IF(COUNTIFS(BD!$B$3:$B$5001,T$210,BD!$A$3:$A$5001,"&gt;="&amp;$C$7,BD!$A$3:$A$5001,"&lt;="&amp;$B234,BD!$Y$3:$Y$5001,"&lt;&gt;")=0,"",SUMIFS(BD!$Y$3:$Y$5001,BD!$B$3:$B$5001,T$210,BD!$A$3:$A$5001,_xlfn.MAXIFS(BD!$A$3:$A$5001,BD!$B$3:$B$5001,T$210,BD!$A$3:$A$5001,"&gt;="&amp;$C$7,BD!$A$3:$A$5001,"&lt;="&amp;$B234,BD!$Y$3:$Y$5001,"&lt;&gt;"))))</f>
        <v/>
      </c>
      <c r="U234" s="43" t="str">
        <f>IF(OR($B234="",$A234&gt;$B$9,U$210=""),"",IF(COUNTIFS(BD!$B$3:$B$5001,U$210,BD!$A$3:$A$5001,"&gt;="&amp;$C$7,BD!$A$3:$A$5001,"&lt;="&amp;$B234,BD!$Y$3:$Y$5001,"&lt;&gt;")=0,"",SUMIFS(BD!$Y$3:$Y$5001,BD!$B$3:$B$5001,U$210,BD!$A$3:$A$5001,_xlfn.MAXIFS(BD!$A$3:$A$5001,BD!$B$3:$B$5001,U$210,BD!$A$3:$A$5001,"&gt;="&amp;$C$7,BD!$A$3:$A$5001,"&lt;="&amp;$B234,BD!$Y$3:$Y$5001,"&lt;&gt;"))))</f>
        <v/>
      </c>
      <c r="V234" s="43" t="str">
        <f>IF(OR($B234="",$A234&gt;$B$9,V$210=""),"",IF(COUNTIFS(BD!$B$3:$B$5001,V$210,BD!$A$3:$A$5001,"&gt;="&amp;$C$7,BD!$A$3:$A$5001,"&lt;="&amp;$B234,BD!$Y$3:$Y$5001,"&lt;&gt;")=0,"",SUMIFS(BD!$Y$3:$Y$5001,BD!$B$3:$B$5001,V$210,BD!$A$3:$A$5001,_xlfn.MAXIFS(BD!$A$3:$A$5001,BD!$B$3:$B$5001,V$210,BD!$A$3:$A$5001,"&gt;="&amp;$C$7,BD!$A$3:$A$5001,"&lt;="&amp;$B234,BD!$Y$3:$Y$5001,"&lt;&gt;"))))</f>
        <v/>
      </c>
    </row>
    <row r="235">
      <c r="A235" s="38">
        <v>25</v>
      </c>
      <c r="B235" s="42">
        <f>$B$36</f>
        <v>46320</v>
      </c>
      <c r="C235" s="43" t="str">
        <f>IF(OR($B235="",$A235&gt;$B$9,C$210=""),"",IF(COUNTIFS(BD!$B$3:$B$5001,C$210,BD!$A$3:$A$5001,"&gt;="&amp;$C$7,BD!$A$3:$A$5001,"&lt;="&amp;$B235,BD!$Y$3:$Y$5001,"&lt;&gt;")=0,"",SUMIFS(BD!$Y$3:$Y$5001,BD!$B$3:$B$5001,C$210,BD!$A$3:$A$5001,_xlfn.MAXIFS(BD!$A$3:$A$5001,BD!$B$3:$B$5001,C$210,BD!$A$3:$A$5001,"&gt;="&amp;$C$7,BD!$A$3:$A$5001,"&lt;="&amp;$B235,BD!$Y$3:$Y$5001,"&lt;&gt;"))))</f>
        <v/>
      </c>
      <c r="D235" s="43" t="str">
        <f>IF(OR($B235="",$A235&gt;$B$9,D$210=""),"",IF(COUNTIFS(BD!$B$3:$B$5001,D$210,BD!$A$3:$A$5001,"&gt;="&amp;$C$7,BD!$A$3:$A$5001,"&lt;="&amp;$B235,BD!$Y$3:$Y$5001,"&lt;&gt;")=0,"",SUMIFS(BD!$Y$3:$Y$5001,BD!$B$3:$B$5001,D$210,BD!$A$3:$A$5001,_xlfn.MAXIFS(BD!$A$3:$A$5001,BD!$B$3:$B$5001,D$210,BD!$A$3:$A$5001,"&gt;="&amp;$C$7,BD!$A$3:$A$5001,"&lt;="&amp;$B235,BD!$Y$3:$Y$5001,"&lt;&gt;"))))</f>
        <v/>
      </c>
      <c r="E235" s="43" t="str">
        <f>IF(OR($B235="",$A235&gt;$B$9,E$210=""),"",IF(COUNTIFS(BD!$B$3:$B$5001,E$210,BD!$A$3:$A$5001,"&gt;="&amp;$C$7,BD!$A$3:$A$5001,"&lt;="&amp;$B235,BD!$Y$3:$Y$5001,"&lt;&gt;")=0,"",SUMIFS(BD!$Y$3:$Y$5001,BD!$B$3:$B$5001,E$210,BD!$A$3:$A$5001,_xlfn.MAXIFS(BD!$A$3:$A$5001,BD!$B$3:$B$5001,E$210,BD!$A$3:$A$5001,"&gt;="&amp;$C$7,BD!$A$3:$A$5001,"&lt;="&amp;$B235,BD!$Y$3:$Y$5001,"&lt;&gt;"))))</f>
        <v/>
      </c>
      <c r="F235" s="43" t="str">
        <f>IF(OR($B235="",$A235&gt;$B$9,F$210=""),"",IF(COUNTIFS(BD!$B$3:$B$5001,F$210,BD!$A$3:$A$5001,"&gt;="&amp;$C$7,BD!$A$3:$A$5001,"&lt;="&amp;$B235,BD!$Y$3:$Y$5001,"&lt;&gt;")=0,"",SUMIFS(BD!$Y$3:$Y$5001,BD!$B$3:$B$5001,F$210,BD!$A$3:$A$5001,_xlfn.MAXIFS(BD!$A$3:$A$5001,BD!$B$3:$B$5001,F$210,BD!$A$3:$A$5001,"&gt;="&amp;$C$7,BD!$A$3:$A$5001,"&lt;="&amp;$B235,BD!$Y$3:$Y$5001,"&lt;&gt;"))))</f>
        <v/>
      </c>
      <c r="G235" s="43" t="str">
        <f>IF(OR($B235="",$A235&gt;$B$9,G$210=""),"",IF(COUNTIFS(BD!$B$3:$B$5001,G$210,BD!$A$3:$A$5001,"&gt;="&amp;$C$7,BD!$A$3:$A$5001,"&lt;="&amp;$B235,BD!$Y$3:$Y$5001,"&lt;&gt;")=0,"",SUMIFS(BD!$Y$3:$Y$5001,BD!$B$3:$B$5001,G$210,BD!$A$3:$A$5001,_xlfn.MAXIFS(BD!$A$3:$A$5001,BD!$B$3:$B$5001,G$210,BD!$A$3:$A$5001,"&gt;="&amp;$C$7,BD!$A$3:$A$5001,"&lt;="&amp;$B235,BD!$Y$3:$Y$5001,"&lt;&gt;"))))</f>
        <v/>
      </c>
      <c r="H235" s="43" t="str">
        <f>IF(OR($B235="",$A235&gt;$B$9,H$210=""),"",IF(COUNTIFS(BD!$B$3:$B$5001,H$210,BD!$A$3:$A$5001,"&gt;="&amp;$C$7,BD!$A$3:$A$5001,"&lt;="&amp;$B235,BD!$Y$3:$Y$5001,"&lt;&gt;")=0,"",SUMIFS(BD!$Y$3:$Y$5001,BD!$B$3:$B$5001,H$210,BD!$A$3:$A$5001,_xlfn.MAXIFS(BD!$A$3:$A$5001,BD!$B$3:$B$5001,H$210,BD!$A$3:$A$5001,"&gt;="&amp;$C$7,BD!$A$3:$A$5001,"&lt;="&amp;$B235,BD!$Y$3:$Y$5001,"&lt;&gt;"))))</f>
        <v/>
      </c>
      <c r="I235" s="43" t="str">
        <f>IF(OR($B235="",$A235&gt;$B$9,I$210=""),"",IF(COUNTIFS(BD!$B$3:$B$5001,I$210,BD!$A$3:$A$5001,"&gt;="&amp;$C$7,BD!$A$3:$A$5001,"&lt;="&amp;$B235,BD!$Y$3:$Y$5001,"&lt;&gt;")=0,"",SUMIFS(BD!$Y$3:$Y$5001,BD!$B$3:$B$5001,I$210,BD!$A$3:$A$5001,_xlfn.MAXIFS(BD!$A$3:$A$5001,BD!$B$3:$B$5001,I$210,BD!$A$3:$A$5001,"&gt;="&amp;$C$7,BD!$A$3:$A$5001,"&lt;="&amp;$B235,BD!$Y$3:$Y$5001,"&lt;&gt;"))))</f>
        <v/>
      </c>
      <c r="J235" s="43" t="str">
        <f>IF(OR($B235="",$A235&gt;$B$9,J$210=""),"",IF(COUNTIFS(BD!$B$3:$B$5001,J$210,BD!$A$3:$A$5001,"&gt;="&amp;$C$7,BD!$A$3:$A$5001,"&lt;="&amp;$B235,BD!$Y$3:$Y$5001,"&lt;&gt;")=0,"",SUMIFS(BD!$Y$3:$Y$5001,BD!$B$3:$B$5001,J$210,BD!$A$3:$A$5001,_xlfn.MAXIFS(BD!$A$3:$A$5001,BD!$B$3:$B$5001,J$210,BD!$A$3:$A$5001,"&gt;="&amp;$C$7,BD!$A$3:$A$5001,"&lt;="&amp;$B235,BD!$Y$3:$Y$5001,"&lt;&gt;"))))</f>
        <v/>
      </c>
      <c r="K235" s="43" t="str">
        <f>IF(OR($B235="",$A235&gt;$B$9,K$210=""),"",IF(COUNTIFS(BD!$B$3:$B$5001,K$210,BD!$A$3:$A$5001,"&gt;="&amp;$C$7,BD!$A$3:$A$5001,"&lt;="&amp;$B235,BD!$Y$3:$Y$5001,"&lt;&gt;")=0,"",SUMIFS(BD!$Y$3:$Y$5001,BD!$B$3:$B$5001,K$210,BD!$A$3:$A$5001,_xlfn.MAXIFS(BD!$A$3:$A$5001,BD!$B$3:$B$5001,K$210,BD!$A$3:$A$5001,"&gt;="&amp;$C$7,BD!$A$3:$A$5001,"&lt;="&amp;$B235,BD!$Y$3:$Y$5001,"&lt;&gt;"))))</f>
        <v/>
      </c>
      <c r="L235" s="43" t="str">
        <f>IF(OR($B235="",$A235&gt;$B$9,L$210=""),"",IF(COUNTIFS(BD!$B$3:$B$5001,L$210,BD!$A$3:$A$5001,"&gt;="&amp;$C$7,BD!$A$3:$A$5001,"&lt;="&amp;$B235,BD!$Y$3:$Y$5001,"&lt;&gt;")=0,"",SUMIFS(BD!$Y$3:$Y$5001,BD!$B$3:$B$5001,L$210,BD!$A$3:$A$5001,_xlfn.MAXIFS(BD!$A$3:$A$5001,BD!$B$3:$B$5001,L$210,BD!$A$3:$A$5001,"&gt;="&amp;$C$7,BD!$A$3:$A$5001,"&lt;="&amp;$B235,BD!$Y$3:$Y$5001,"&lt;&gt;"))))</f>
        <v/>
      </c>
      <c r="M235" s="43" t="str">
        <f>IF(OR($B235="",$A235&gt;$B$9,M$210=""),"",IF(COUNTIFS(BD!$B$3:$B$5001,M$210,BD!$A$3:$A$5001,"&gt;="&amp;$C$7,BD!$A$3:$A$5001,"&lt;="&amp;$B235,BD!$Y$3:$Y$5001,"&lt;&gt;")=0,"",SUMIFS(BD!$Y$3:$Y$5001,BD!$B$3:$B$5001,M$210,BD!$A$3:$A$5001,_xlfn.MAXIFS(BD!$A$3:$A$5001,BD!$B$3:$B$5001,M$210,BD!$A$3:$A$5001,"&gt;="&amp;$C$7,BD!$A$3:$A$5001,"&lt;="&amp;$B235,BD!$Y$3:$Y$5001,"&lt;&gt;"))))</f>
        <v/>
      </c>
      <c r="N235" s="43" t="str">
        <f>IF(OR($B235="",$A235&gt;$B$9,N$210=""),"",IF(COUNTIFS(BD!$B$3:$B$5001,N$210,BD!$A$3:$A$5001,"&gt;="&amp;$C$7,BD!$A$3:$A$5001,"&lt;="&amp;$B235,BD!$Y$3:$Y$5001,"&lt;&gt;")=0,"",SUMIFS(BD!$Y$3:$Y$5001,BD!$B$3:$B$5001,N$210,BD!$A$3:$A$5001,_xlfn.MAXIFS(BD!$A$3:$A$5001,BD!$B$3:$B$5001,N$210,BD!$A$3:$A$5001,"&gt;="&amp;$C$7,BD!$A$3:$A$5001,"&lt;="&amp;$B235,BD!$Y$3:$Y$5001,"&lt;&gt;"))))</f>
        <v/>
      </c>
      <c r="O235" s="43" t="str">
        <f>IF(OR($B235="",$A235&gt;$B$9,O$210=""),"",IF(COUNTIFS(BD!$B$3:$B$5001,O$210,BD!$A$3:$A$5001,"&gt;="&amp;$C$7,BD!$A$3:$A$5001,"&lt;="&amp;$B235,BD!$Y$3:$Y$5001,"&lt;&gt;")=0,"",SUMIFS(BD!$Y$3:$Y$5001,BD!$B$3:$B$5001,O$210,BD!$A$3:$A$5001,_xlfn.MAXIFS(BD!$A$3:$A$5001,BD!$B$3:$B$5001,O$210,BD!$A$3:$A$5001,"&gt;="&amp;$C$7,BD!$A$3:$A$5001,"&lt;="&amp;$B235,BD!$Y$3:$Y$5001,"&lt;&gt;"))))</f>
        <v/>
      </c>
      <c r="P235" s="43" t="str">
        <f>IF(OR($B235="",$A235&gt;$B$9,P$210=""),"",IF(COUNTIFS(BD!$B$3:$B$5001,P$210,BD!$A$3:$A$5001,"&gt;="&amp;$C$7,BD!$A$3:$A$5001,"&lt;="&amp;$B235,BD!$Y$3:$Y$5001,"&lt;&gt;")=0,"",SUMIFS(BD!$Y$3:$Y$5001,BD!$B$3:$B$5001,P$210,BD!$A$3:$A$5001,_xlfn.MAXIFS(BD!$A$3:$A$5001,BD!$B$3:$B$5001,P$210,BD!$A$3:$A$5001,"&gt;="&amp;$C$7,BD!$A$3:$A$5001,"&lt;="&amp;$B235,BD!$Y$3:$Y$5001,"&lt;&gt;"))))</f>
        <v/>
      </c>
      <c r="Q235" s="43" t="str">
        <f>IF(OR($B235="",$A235&gt;$B$9,Q$210=""),"",IF(COUNTIFS(BD!$B$3:$B$5001,Q$210,BD!$A$3:$A$5001,"&gt;="&amp;$C$7,BD!$A$3:$A$5001,"&lt;="&amp;$B235,BD!$Y$3:$Y$5001,"&lt;&gt;")=0,"",SUMIFS(BD!$Y$3:$Y$5001,BD!$B$3:$B$5001,Q$210,BD!$A$3:$A$5001,_xlfn.MAXIFS(BD!$A$3:$A$5001,BD!$B$3:$B$5001,Q$210,BD!$A$3:$A$5001,"&gt;="&amp;$C$7,BD!$A$3:$A$5001,"&lt;="&amp;$B235,BD!$Y$3:$Y$5001,"&lt;&gt;"))))</f>
        <v/>
      </c>
      <c r="R235" s="43" t="str">
        <f>IF(OR($B235="",$A235&gt;$B$9,R$210=""),"",IF(COUNTIFS(BD!$B$3:$B$5001,R$210,BD!$A$3:$A$5001,"&gt;="&amp;$C$7,BD!$A$3:$A$5001,"&lt;="&amp;$B235,BD!$Y$3:$Y$5001,"&lt;&gt;")=0,"",SUMIFS(BD!$Y$3:$Y$5001,BD!$B$3:$B$5001,R$210,BD!$A$3:$A$5001,_xlfn.MAXIFS(BD!$A$3:$A$5001,BD!$B$3:$B$5001,R$210,BD!$A$3:$A$5001,"&gt;="&amp;$C$7,BD!$A$3:$A$5001,"&lt;="&amp;$B235,BD!$Y$3:$Y$5001,"&lt;&gt;"))))</f>
        <v/>
      </c>
      <c r="S235" s="43" t="str">
        <f>IF(OR($B235="",$A235&gt;$B$9,S$210=""),"",IF(COUNTIFS(BD!$B$3:$B$5001,S$210,BD!$A$3:$A$5001,"&gt;="&amp;$C$7,BD!$A$3:$A$5001,"&lt;="&amp;$B235,BD!$Y$3:$Y$5001,"&lt;&gt;")=0,"",SUMIFS(BD!$Y$3:$Y$5001,BD!$B$3:$B$5001,S$210,BD!$A$3:$A$5001,_xlfn.MAXIFS(BD!$A$3:$A$5001,BD!$B$3:$B$5001,S$210,BD!$A$3:$A$5001,"&gt;="&amp;$C$7,BD!$A$3:$A$5001,"&lt;="&amp;$B235,BD!$Y$3:$Y$5001,"&lt;&gt;"))))</f>
        <v/>
      </c>
      <c r="T235" s="43" t="str">
        <f>IF(OR($B235="",$A235&gt;$B$9,T$210=""),"",IF(COUNTIFS(BD!$B$3:$B$5001,T$210,BD!$A$3:$A$5001,"&gt;="&amp;$C$7,BD!$A$3:$A$5001,"&lt;="&amp;$B235,BD!$Y$3:$Y$5001,"&lt;&gt;")=0,"",SUMIFS(BD!$Y$3:$Y$5001,BD!$B$3:$B$5001,T$210,BD!$A$3:$A$5001,_xlfn.MAXIFS(BD!$A$3:$A$5001,BD!$B$3:$B$5001,T$210,BD!$A$3:$A$5001,"&gt;="&amp;$C$7,BD!$A$3:$A$5001,"&lt;="&amp;$B235,BD!$Y$3:$Y$5001,"&lt;&gt;"))))</f>
        <v/>
      </c>
      <c r="U235" s="43" t="str">
        <f>IF(OR($B235="",$A235&gt;$B$9,U$210=""),"",IF(COUNTIFS(BD!$B$3:$B$5001,U$210,BD!$A$3:$A$5001,"&gt;="&amp;$C$7,BD!$A$3:$A$5001,"&lt;="&amp;$B235,BD!$Y$3:$Y$5001,"&lt;&gt;")=0,"",SUMIFS(BD!$Y$3:$Y$5001,BD!$B$3:$B$5001,U$210,BD!$A$3:$A$5001,_xlfn.MAXIFS(BD!$A$3:$A$5001,BD!$B$3:$B$5001,U$210,BD!$A$3:$A$5001,"&gt;="&amp;$C$7,BD!$A$3:$A$5001,"&lt;="&amp;$B235,BD!$Y$3:$Y$5001,"&lt;&gt;"))))</f>
        <v/>
      </c>
      <c r="V235" s="43" t="str">
        <f>IF(OR($B235="",$A235&gt;$B$9,V$210=""),"",IF(COUNTIFS(BD!$B$3:$B$5001,V$210,BD!$A$3:$A$5001,"&gt;="&amp;$C$7,BD!$A$3:$A$5001,"&lt;="&amp;$B235,BD!$Y$3:$Y$5001,"&lt;&gt;")=0,"",SUMIFS(BD!$Y$3:$Y$5001,BD!$B$3:$B$5001,V$210,BD!$A$3:$A$5001,_xlfn.MAXIFS(BD!$A$3:$A$5001,BD!$B$3:$B$5001,V$210,BD!$A$3:$A$5001,"&gt;="&amp;$C$7,BD!$A$3:$A$5001,"&lt;="&amp;$B235,BD!$Y$3:$Y$5001,"&lt;&gt;"))))</f>
        <v/>
      </c>
    </row>
    <row r="236">
      <c r="A236" s="38">
        <v>26</v>
      </c>
      <c r="B236" s="42">
        <f>$B$37</f>
        <v>46321</v>
      </c>
      <c r="C236" s="43" t="str">
        <f>IF(OR($B236="",$A236&gt;$B$9,C$210=""),"",IF(COUNTIFS(BD!$B$3:$B$5001,C$210,BD!$A$3:$A$5001,"&gt;="&amp;$C$7,BD!$A$3:$A$5001,"&lt;="&amp;$B236,BD!$Y$3:$Y$5001,"&lt;&gt;")=0,"",SUMIFS(BD!$Y$3:$Y$5001,BD!$B$3:$B$5001,C$210,BD!$A$3:$A$5001,_xlfn.MAXIFS(BD!$A$3:$A$5001,BD!$B$3:$B$5001,C$210,BD!$A$3:$A$5001,"&gt;="&amp;$C$7,BD!$A$3:$A$5001,"&lt;="&amp;$B236,BD!$Y$3:$Y$5001,"&lt;&gt;"))))</f>
        <v/>
      </c>
      <c r="D236" s="43" t="str">
        <f>IF(OR($B236="",$A236&gt;$B$9,D$210=""),"",IF(COUNTIFS(BD!$B$3:$B$5001,D$210,BD!$A$3:$A$5001,"&gt;="&amp;$C$7,BD!$A$3:$A$5001,"&lt;="&amp;$B236,BD!$Y$3:$Y$5001,"&lt;&gt;")=0,"",SUMIFS(BD!$Y$3:$Y$5001,BD!$B$3:$B$5001,D$210,BD!$A$3:$A$5001,_xlfn.MAXIFS(BD!$A$3:$A$5001,BD!$B$3:$B$5001,D$210,BD!$A$3:$A$5001,"&gt;="&amp;$C$7,BD!$A$3:$A$5001,"&lt;="&amp;$B236,BD!$Y$3:$Y$5001,"&lt;&gt;"))))</f>
        <v/>
      </c>
      <c r="E236" s="43" t="str">
        <f>IF(OR($B236="",$A236&gt;$B$9,E$210=""),"",IF(COUNTIFS(BD!$B$3:$B$5001,E$210,BD!$A$3:$A$5001,"&gt;="&amp;$C$7,BD!$A$3:$A$5001,"&lt;="&amp;$B236,BD!$Y$3:$Y$5001,"&lt;&gt;")=0,"",SUMIFS(BD!$Y$3:$Y$5001,BD!$B$3:$B$5001,E$210,BD!$A$3:$A$5001,_xlfn.MAXIFS(BD!$A$3:$A$5001,BD!$B$3:$B$5001,E$210,BD!$A$3:$A$5001,"&gt;="&amp;$C$7,BD!$A$3:$A$5001,"&lt;="&amp;$B236,BD!$Y$3:$Y$5001,"&lt;&gt;"))))</f>
        <v/>
      </c>
      <c r="F236" s="43" t="str">
        <f>IF(OR($B236="",$A236&gt;$B$9,F$210=""),"",IF(COUNTIFS(BD!$B$3:$B$5001,F$210,BD!$A$3:$A$5001,"&gt;="&amp;$C$7,BD!$A$3:$A$5001,"&lt;="&amp;$B236,BD!$Y$3:$Y$5001,"&lt;&gt;")=0,"",SUMIFS(BD!$Y$3:$Y$5001,BD!$B$3:$B$5001,F$210,BD!$A$3:$A$5001,_xlfn.MAXIFS(BD!$A$3:$A$5001,BD!$B$3:$B$5001,F$210,BD!$A$3:$A$5001,"&gt;="&amp;$C$7,BD!$A$3:$A$5001,"&lt;="&amp;$B236,BD!$Y$3:$Y$5001,"&lt;&gt;"))))</f>
        <v/>
      </c>
      <c r="G236" s="43" t="str">
        <f>IF(OR($B236="",$A236&gt;$B$9,G$210=""),"",IF(COUNTIFS(BD!$B$3:$B$5001,G$210,BD!$A$3:$A$5001,"&gt;="&amp;$C$7,BD!$A$3:$A$5001,"&lt;="&amp;$B236,BD!$Y$3:$Y$5001,"&lt;&gt;")=0,"",SUMIFS(BD!$Y$3:$Y$5001,BD!$B$3:$B$5001,G$210,BD!$A$3:$A$5001,_xlfn.MAXIFS(BD!$A$3:$A$5001,BD!$B$3:$B$5001,G$210,BD!$A$3:$A$5001,"&gt;="&amp;$C$7,BD!$A$3:$A$5001,"&lt;="&amp;$B236,BD!$Y$3:$Y$5001,"&lt;&gt;"))))</f>
        <v/>
      </c>
      <c r="H236" s="43" t="str">
        <f>IF(OR($B236="",$A236&gt;$B$9,H$210=""),"",IF(COUNTIFS(BD!$B$3:$B$5001,H$210,BD!$A$3:$A$5001,"&gt;="&amp;$C$7,BD!$A$3:$A$5001,"&lt;="&amp;$B236,BD!$Y$3:$Y$5001,"&lt;&gt;")=0,"",SUMIFS(BD!$Y$3:$Y$5001,BD!$B$3:$B$5001,H$210,BD!$A$3:$A$5001,_xlfn.MAXIFS(BD!$A$3:$A$5001,BD!$B$3:$B$5001,H$210,BD!$A$3:$A$5001,"&gt;="&amp;$C$7,BD!$A$3:$A$5001,"&lt;="&amp;$B236,BD!$Y$3:$Y$5001,"&lt;&gt;"))))</f>
        <v/>
      </c>
      <c r="I236" s="43" t="str">
        <f>IF(OR($B236="",$A236&gt;$B$9,I$210=""),"",IF(COUNTIFS(BD!$B$3:$B$5001,I$210,BD!$A$3:$A$5001,"&gt;="&amp;$C$7,BD!$A$3:$A$5001,"&lt;="&amp;$B236,BD!$Y$3:$Y$5001,"&lt;&gt;")=0,"",SUMIFS(BD!$Y$3:$Y$5001,BD!$B$3:$B$5001,I$210,BD!$A$3:$A$5001,_xlfn.MAXIFS(BD!$A$3:$A$5001,BD!$B$3:$B$5001,I$210,BD!$A$3:$A$5001,"&gt;="&amp;$C$7,BD!$A$3:$A$5001,"&lt;="&amp;$B236,BD!$Y$3:$Y$5001,"&lt;&gt;"))))</f>
        <v/>
      </c>
      <c r="J236" s="43" t="str">
        <f>IF(OR($B236="",$A236&gt;$B$9,J$210=""),"",IF(COUNTIFS(BD!$B$3:$B$5001,J$210,BD!$A$3:$A$5001,"&gt;="&amp;$C$7,BD!$A$3:$A$5001,"&lt;="&amp;$B236,BD!$Y$3:$Y$5001,"&lt;&gt;")=0,"",SUMIFS(BD!$Y$3:$Y$5001,BD!$B$3:$B$5001,J$210,BD!$A$3:$A$5001,_xlfn.MAXIFS(BD!$A$3:$A$5001,BD!$B$3:$B$5001,J$210,BD!$A$3:$A$5001,"&gt;="&amp;$C$7,BD!$A$3:$A$5001,"&lt;="&amp;$B236,BD!$Y$3:$Y$5001,"&lt;&gt;"))))</f>
        <v/>
      </c>
      <c r="K236" s="43" t="str">
        <f>IF(OR($B236="",$A236&gt;$B$9,K$210=""),"",IF(COUNTIFS(BD!$B$3:$B$5001,K$210,BD!$A$3:$A$5001,"&gt;="&amp;$C$7,BD!$A$3:$A$5001,"&lt;="&amp;$B236,BD!$Y$3:$Y$5001,"&lt;&gt;")=0,"",SUMIFS(BD!$Y$3:$Y$5001,BD!$B$3:$B$5001,K$210,BD!$A$3:$A$5001,_xlfn.MAXIFS(BD!$A$3:$A$5001,BD!$B$3:$B$5001,K$210,BD!$A$3:$A$5001,"&gt;="&amp;$C$7,BD!$A$3:$A$5001,"&lt;="&amp;$B236,BD!$Y$3:$Y$5001,"&lt;&gt;"))))</f>
        <v/>
      </c>
      <c r="L236" s="43" t="str">
        <f>IF(OR($B236="",$A236&gt;$B$9,L$210=""),"",IF(COUNTIFS(BD!$B$3:$B$5001,L$210,BD!$A$3:$A$5001,"&gt;="&amp;$C$7,BD!$A$3:$A$5001,"&lt;="&amp;$B236,BD!$Y$3:$Y$5001,"&lt;&gt;")=0,"",SUMIFS(BD!$Y$3:$Y$5001,BD!$B$3:$B$5001,L$210,BD!$A$3:$A$5001,_xlfn.MAXIFS(BD!$A$3:$A$5001,BD!$B$3:$B$5001,L$210,BD!$A$3:$A$5001,"&gt;="&amp;$C$7,BD!$A$3:$A$5001,"&lt;="&amp;$B236,BD!$Y$3:$Y$5001,"&lt;&gt;"))))</f>
        <v/>
      </c>
      <c r="M236" s="43" t="str">
        <f>IF(OR($B236="",$A236&gt;$B$9,M$210=""),"",IF(COUNTIFS(BD!$B$3:$B$5001,M$210,BD!$A$3:$A$5001,"&gt;="&amp;$C$7,BD!$A$3:$A$5001,"&lt;="&amp;$B236,BD!$Y$3:$Y$5001,"&lt;&gt;")=0,"",SUMIFS(BD!$Y$3:$Y$5001,BD!$B$3:$B$5001,M$210,BD!$A$3:$A$5001,_xlfn.MAXIFS(BD!$A$3:$A$5001,BD!$B$3:$B$5001,M$210,BD!$A$3:$A$5001,"&gt;="&amp;$C$7,BD!$A$3:$A$5001,"&lt;="&amp;$B236,BD!$Y$3:$Y$5001,"&lt;&gt;"))))</f>
        <v/>
      </c>
      <c r="N236" s="43" t="str">
        <f>IF(OR($B236="",$A236&gt;$B$9,N$210=""),"",IF(COUNTIFS(BD!$B$3:$B$5001,N$210,BD!$A$3:$A$5001,"&gt;="&amp;$C$7,BD!$A$3:$A$5001,"&lt;="&amp;$B236,BD!$Y$3:$Y$5001,"&lt;&gt;")=0,"",SUMIFS(BD!$Y$3:$Y$5001,BD!$B$3:$B$5001,N$210,BD!$A$3:$A$5001,_xlfn.MAXIFS(BD!$A$3:$A$5001,BD!$B$3:$B$5001,N$210,BD!$A$3:$A$5001,"&gt;="&amp;$C$7,BD!$A$3:$A$5001,"&lt;="&amp;$B236,BD!$Y$3:$Y$5001,"&lt;&gt;"))))</f>
        <v/>
      </c>
      <c r="O236" s="43" t="str">
        <f>IF(OR($B236="",$A236&gt;$B$9,O$210=""),"",IF(COUNTIFS(BD!$B$3:$B$5001,O$210,BD!$A$3:$A$5001,"&gt;="&amp;$C$7,BD!$A$3:$A$5001,"&lt;="&amp;$B236,BD!$Y$3:$Y$5001,"&lt;&gt;")=0,"",SUMIFS(BD!$Y$3:$Y$5001,BD!$B$3:$B$5001,O$210,BD!$A$3:$A$5001,_xlfn.MAXIFS(BD!$A$3:$A$5001,BD!$B$3:$B$5001,O$210,BD!$A$3:$A$5001,"&gt;="&amp;$C$7,BD!$A$3:$A$5001,"&lt;="&amp;$B236,BD!$Y$3:$Y$5001,"&lt;&gt;"))))</f>
        <v/>
      </c>
      <c r="P236" s="43" t="str">
        <f>IF(OR($B236="",$A236&gt;$B$9,P$210=""),"",IF(COUNTIFS(BD!$B$3:$B$5001,P$210,BD!$A$3:$A$5001,"&gt;="&amp;$C$7,BD!$A$3:$A$5001,"&lt;="&amp;$B236,BD!$Y$3:$Y$5001,"&lt;&gt;")=0,"",SUMIFS(BD!$Y$3:$Y$5001,BD!$B$3:$B$5001,P$210,BD!$A$3:$A$5001,_xlfn.MAXIFS(BD!$A$3:$A$5001,BD!$B$3:$B$5001,P$210,BD!$A$3:$A$5001,"&gt;="&amp;$C$7,BD!$A$3:$A$5001,"&lt;="&amp;$B236,BD!$Y$3:$Y$5001,"&lt;&gt;"))))</f>
        <v/>
      </c>
      <c r="Q236" s="43" t="str">
        <f>IF(OR($B236="",$A236&gt;$B$9,Q$210=""),"",IF(COUNTIFS(BD!$B$3:$B$5001,Q$210,BD!$A$3:$A$5001,"&gt;="&amp;$C$7,BD!$A$3:$A$5001,"&lt;="&amp;$B236,BD!$Y$3:$Y$5001,"&lt;&gt;")=0,"",SUMIFS(BD!$Y$3:$Y$5001,BD!$B$3:$B$5001,Q$210,BD!$A$3:$A$5001,_xlfn.MAXIFS(BD!$A$3:$A$5001,BD!$B$3:$B$5001,Q$210,BD!$A$3:$A$5001,"&gt;="&amp;$C$7,BD!$A$3:$A$5001,"&lt;="&amp;$B236,BD!$Y$3:$Y$5001,"&lt;&gt;"))))</f>
        <v/>
      </c>
      <c r="R236" s="43" t="str">
        <f>IF(OR($B236="",$A236&gt;$B$9,R$210=""),"",IF(COUNTIFS(BD!$B$3:$B$5001,R$210,BD!$A$3:$A$5001,"&gt;="&amp;$C$7,BD!$A$3:$A$5001,"&lt;="&amp;$B236,BD!$Y$3:$Y$5001,"&lt;&gt;")=0,"",SUMIFS(BD!$Y$3:$Y$5001,BD!$B$3:$B$5001,R$210,BD!$A$3:$A$5001,_xlfn.MAXIFS(BD!$A$3:$A$5001,BD!$B$3:$B$5001,R$210,BD!$A$3:$A$5001,"&gt;="&amp;$C$7,BD!$A$3:$A$5001,"&lt;="&amp;$B236,BD!$Y$3:$Y$5001,"&lt;&gt;"))))</f>
        <v/>
      </c>
      <c r="S236" s="43" t="str">
        <f>IF(OR($B236="",$A236&gt;$B$9,S$210=""),"",IF(COUNTIFS(BD!$B$3:$B$5001,S$210,BD!$A$3:$A$5001,"&gt;="&amp;$C$7,BD!$A$3:$A$5001,"&lt;="&amp;$B236,BD!$Y$3:$Y$5001,"&lt;&gt;")=0,"",SUMIFS(BD!$Y$3:$Y$5001,BD!$B$3:$B$5001,S$210,BD!$A$3:$A$5001,_xlfn.MAXIFS(BD!$A$3:$A$5001,BD!$B$3:$B$5001,S$210,BD!$A$3:$A$5001,"&gt;="&amp;$C$7,BD!$A$3:$A$5001,"&lt;="&amp;$B236,BD!$Y$3:$Y$5001,"&lt;&gt;"))))</f>
        <v/>
      </c>
      <c r="T236" s="43" t="str">
        <f>IF(OR($B236="",$A236&gt;$B$9,T$210=""),"",IF(COUNTIFS(BD!$B$3:$B$5001,T$210,BD!$A$3:$A$5001,"&gt;="&amp;$C$7,BD!$A$3:$A$5001,"&lt;="&amp;$B236,BD!$Y$3:$Y$5001,"&lt;&gt;")=0,"",SUMIFS(BD!$Y$3:$Y$5001,BD!$B$3:$B$5001,T$210,BD!$A$3:$A$5001,_xlfn.MAXIFS(BD!$A$3:$A$5001,BD!$B$3:$B$5001,T$210,BD!$A$3:$A$5001,"&gt;="&amp;$C$7,BD!$A$3:$A$5001,"&lt;="&amp;$B236,BD!$Y$3:$Y$5001,"&lt;&gt;"))))</f>
        <v/>
      </c>
      <c r="U236" s="43" t="str">
        <f>IF(OR($B236="",$A236&gt;$B$9,U$210=""),"",IF(COUNTIFS(BD!$B$3:$B$5001,U$210,BD!$A$3:$A$5001,"&gt;="&amp;$C$7,BD!$A$3:$A$5001,"&lt;="&amp;$B236,BD!$Y$3:$Y$5001,"&lt;&gt;")=0,"",SUMIFS(BD!$Y$3:$Y$5001,BD!$B$3:$B$5001,U$210,BD!$A$3:$A$5001,_xlfn.MAXIFS(BD!$A$3:$A$5001,BD!$B$3:$B$5001,U$210,BD!$A$3:$A$5001,"&gt;="&amp;$C$7,BD!$A$3:$A$5001,"&lt;="&amp;$B236,BD!$Y$3:$Y$5001,"&lt;&gt;"))))</f>
        <v/>
      </c>
      <c r="V236" s="43" t="str">
        <f>IF(OR($B236="",$A236&gt;$B$9,V$210=""),"",IF(COUNTIFS(BD!$B$3:$B$5001,V$210,BD!$A$3:$A$5001,"&gt;="&amp;$C$7,BD!$A$3:$A$5001,"&lt;="&amp;$B236,BD!$Y$3:$Y$5001,"&lt;&gt;")=0,"",SUMIFS(BD!$Y$3:$Y$5001,BD!$B$3:$B$5001,V$210,BD!$A$3:$A$5001,_xlfn.MAXIFS(BD!$A$3:$A$5001,BD!$B$3:$B$5001,V$210,BD!$A$3:$A$5001,"&gt;="&amp;$C$7,BD!$A$3:$A$5001,"&lt;="&amp;$B236,BD!$Y$3:$Y$5001,"&lt;&gt;"))))</f>
        <v/>
      </c>
    </row>
    <row r="237">
      <c r="A237" s="38">
        <v>27</v>
      </c>
      <c r="B237" s="42">
        <f>$B$38</f>
        <v>46322</v>
      </c>
      <c r="C237" s="43" t="str">
        <f>IF(OR($B237="",$A237&gt;$B$9,C$210=""),"",IF(COUNTIFS(BD!$B$3:$B$5001,C$210,BD!$A$3:$A$5001,"&gt;="&amp;$C$7,BD!$A$3:$A$5001,"&lt;="&amp;$B237,BD!$Y$3:$Y$5001,"&lt;&gt;")=0,"",SUMIFS(BD!$Y$3:$Y$5001,BD!$B$3:$B$5001,C$210,BD!$A$3:$A$5001,_xlfn.MAXIFS(BD!$A$3:$A$5001,BD!$B$3:$B$5001,C$210,BD!$A$3:$A$5001,"&gt;="&amp;$C$7,BD!$A$3:$A$5001,"&lt;="&amp;$B237,BD!$Y$3:$Y$5001,"&lt;&gt;"))))</f>
        <v/>
      </c>
      <c r="D237" s="43" t="str">
        <f>IF(OR($B237="",$A237&gt;$B$9,D$210=""),"",IF(COUNTIFS(BD!$B$3:$B$5001,D$210,BD!$A$3:$A$5001,"&gt;="&amp;$C$7,BD!$A$3:$A$5001,"&lt;="&amp;$B237,BD!$Y$3:$Y$5001,"&lt;&gt;")=0,"",SUMIFS(BD!$Y$3:$Y$5001,BD!$B$3:$B$5001,D$210,BD!$A$3:$A$5001,_xlfn.MAXIFS(BD!$A$3:$A$5001,BD!$B$3:$B$5001,D$210,BD!$A$3:$A$5001,"&gt;="&amp;$C$7,BD!$A$3:$A$5001,"&lt;="&amp;$B237,BD!$Y$3:$Y$5001,"&lt;&gt;"))))</f>
        <v/>
      </c>
      <c r="E237" s="43" t="str">
        <f>IF(OR($B237="",$A237&gt;$B$9,E$210=""),"",IF(COUNTIFS(BD!$B$3:$B$5001,E$210,BD!$A$3:$A$5001,"&gt;="&amp;$C$7,BD!$A$3:$A$5001,"&lt;="&amp;$B237,BD!$Y$3:$Y$5001,"&lt;&gt;")=0,"",SUMIFS(BD!$Y$3:$Y$5001,BD!$B$3:$B$5001,E$210,BD!$A$3:$A$5001,_xlfn.MAXIFS(BD!$A$3:$A$5001,BD!$B$3:$B$5001,E$210,BD!$A$3:$A$5001,"&gt;="&amp;$C$7,BD!$A$3:$A$5001,"&lt;="&amp;$B237,BD!$Y$3:$Y$5001,"&lt;&gt;"))))</f>
        <v/>
      </c>
      <c r="F237" s="43" t="str">
        <f>IF(OR($B237="",$A237&gt;$B$9,F$210=""),"",IF(COUNTIFS(BD!$B$3:$B$5001,F$210,BD!$A$3:$A$5001,"&gt;="&amp;$C$7,BD!$A$3:$A$5001,"&lt;="&amp;$B237,BD!$Y$3:$Y$5001,"&lt;&gt;")=0,"",SUMIFS(BD!$Y$3:$Y$5001,BD!$B$3:$B$5001,F$210,BD!$A$3:$A$5001,_xlfn.MAXIFS(BD!$A$3:$A$5001,BD!$B$3:$B$5001,F$210,BD!$A$3:$A$5001,"&gt;="&amp;$C$7,BD!$A$3:$A$5001,"&lt;="&amp;$B237,BD!$Y$3:$Y$5001,"&lt;&gt;"))))</f>
        <v/>
      </c>
      <c r="G237" s="43" t="str">
        <f>IF(OR($B237="",$A237&gt;$B$9,G$210=""),"",IF(COUNTIFS(BD!$B$3:$B$5001,G$210,BD!$A$3:$A$5001,"&gt;="&amp;$C$7,BD!$A$3:$A$5001,"&lt;="&amp;$B237,BD!$Y$3:$Y$5001,"&lt;&gt;")=0,"",SUMIFS(BD!$Y$3:$Y$5001,BD!$B$3:$B$5001,G$210,BD!$A$3:$A$5001,_xlfn.MAXIFS(BD!$A$3:$A$5001,BD!$B$3:$B$5001,G$210,BD!$A$3:$A$5001,"&gt;="&amp;$C$7,BD!$A$3:$A$5001,"&lt;="&amp;$B237,BD!$Y$3:$Y$5001,"&lt;&gt;"))))</f>
        <v/>
      </c>
      <c r="H237" s="43" t="str">
        <f>IF(OR($B237="",$A237&gt;$B$9,H$210=""),"",IF(COUNTIFS(BD!$B$3:$B$5001,H$210,BD!$A$3:$A$5001,"&gt;="&amp;$C$7,BD!$A$3:$A$5001,"&lt;="&amp;$B237,BD!$Y$3:$Y$5001,"&lt;&gt;")=0,"",SUMIFS(BD!$Y$3:$Y$5001,BD!$B$3:$B$5001,H$210,BD!$A$3:$A$5001,_xlfn.MAXIFS(BD!$A$3:$A$5001,BD!$B$3:$B$5001,H$210,BD!$A$3:$A$5001,"&gt;="&amp;$C$7,BD!$A$3:$A$5001,"&lt;="&amp;$B237,BD!$Y$3:$Y$5001,"&lt;&gt;"))))</f>
        <v/>
      </c>
      <c r="I237" s="43" t="str">
        <f>IF(OR($B237="",$A237&gt;$B$9,I$210=""),"",IF(COUNTIFS(BD!$B$3:$B$5001,I$210,BD!$A$3:$A$5001,"&gt;="&amp;$C$7,BD!$A$3:$A$5001,"&lt;="&amp;$B237,BD!$Y$3:$Y$5001,"&lt;&gt;")=0,"",SUMIFS(BD!$Y$3:$Y$5001,BD!$B$3:$B$5001,I$210,BD!$A$3:$A$5001,_xlfn.MAXIFS(BD!$A$3:$A$5001,BD!$B$3:$B$5001,I$210,BD!$A$3:$A$5001,"&gt;="&amp;$C$7,BD!$A$3:$A$5001,"&lt;="&amp;$B237,BD!$Y$3:$Y$5001,"&lt;&gt;"))))</f>
        <v/>
      </c>
      <c r="J237" s="43" t="str">
        <f>IF(OR($B237="",$A237&gt;$B$9,J$210=""),"",IF(COUNTIFS(BD!$B$3:$B$5001,J$210,BD!$A$3:$A$5001,"&gt;="&amp;$C$7,BD!$A$3:$A$5001,"&lt;="&amp;$B237,BD!$Y$3:$Y$5001,"&lt;&gt;")=0,"",SUMIFS(BD!$Y$3:$Y$5001,BD!$B$3:$B$5001,J$210,BD!$A$3:$A$5001,_xlfn.MAXIFS(BD!$A$3:$A$5001,BD!$B$3:$B$5001,J$210,BD!$A$3:$A$5001,"&gt;="&amp;$C$7,BD!$A$3:$A$5001,"&lt;="&amp;$B237,BD!$Y$3:$Y$5001,"&lt;&gt;"))))</f>
        <v/>
      </c>
      <c r="K237" s="43" t="str">
        <f>IF(OR($B237="",$A237&gt;$B$9,K$210=""),"",IF(COUNTIFS(BD!$B$3:$B$5001,K$210,BD!$A$3:$A$5001,"&gt;="&amp;$C$7,BD!$A$3:$A$5001,"&lt;="&amp;$B237,BD!$Y$3:$Y$5001,"&lt;&gt;")=0,"",SUMIFS(BD!$Y$3:$Y$5001,BD!$B$3:$B$5001,K$210,BD!$A$3:$A$5001,_xlfn.MAXIFS(BD!$A$3:$A$5001,BD!$B$3:$B$5001,K$210,BD!$A$3:$A$5001,"&gt;="&amp;$C$7,BD!$A$3:$A$5001,"&lt;="&amp;$B237,BD!$Y$3:$Y$5001,"&lt;&gt;"))))</f>
        <v/>
      </c>
      <c r="L237" s="43" t="str">
        <f>IF(OR($B237="",$A237&gt;$B$9,L$210=""),"",IF(COUNTIFS(BD!$B$3:$B$5001,L$210,BD!$A$3:$A$5001,"&gt;="&amp;$C$7,BD!$A$3:$A$5001,"&lt;="&amp;$B237,BD!$Y$3:$Y$5001,"&lt;&gt;")=0,"",SUMIFS(BD!$Y$3:$Y$5001,BD!$B$3:$B$5001,L$210,BD!$A$3:$A$5001,_xlfn.MAXIFS(BD!$A$3:$A$5001,BD!$B$3:$B$5001,L$210,BD!$A$3:$A$5001,"&gt;="&amp;$C$7,BD!$A$3:$A$5001,"&lt;="&amp;$B237,BD!$Y$3:$Y$5001,"&lt;&gt;"))))</f>
        <v/>
      </c>
      <c r="M237" s="43" t="str">
        <f>IF(OR($B237="",$A237&gt;$B$9,M$210=""),"",IF(COUNTIFS(BD!$B$3:$B$5001,M$210,BD!$A$3:$A$5001,"&gt;="&amp;$C$7,BD!$A$3:$A$5001,"&lt;="&amp;$B237,BD!$Y$3:$Y$5001,"&lt;&gt;")=0,"",SUMIFS(BD!$Y$3:$Y$5001,BD!$B$3:$B$5001,M$210,BD!$A$3:$A$5001,_xlfn.MAXIFS(BD!$A$3:$A$5001,BD!$B$3:$B$5001,M$210,BD!$A$3:$A$5001,"&gt;="&amp;$C$7,BD!$A$3:$A$5001,"&lt;="&amp;$B237,BD!$Y$3:$Y$5001,"&lt;&gt;"))))</f>
        <v/>
      </c>
      <c r="N237" s="43" t="str">
        <f>IF(OR($B237="",$A237&gt;$B$9,N$210=""),"",IF(COUNTIFS(BD!$B$3:$B$5001,N$210,BD!$A$3:$A$5001,"&gt;="&amp;$C$7,BD!$A$3:$A$5001,"&lt;="&amp;$B237,BD!$Y$3:$Y$5001,"&lt;&gt;")=0,"",SUMIFS(BD!$Y$3:$Y$5001,BD!$B$3:$B$5001,N$210,BD!$A$3:$A$5001,_xlfn.MAXIFS(BD!$A$3:$A$5001,BD!$B$3:$B$5001,N$210,BD!$A$3:$A$5001,"&gt;="&amp;$C$7,BD!$A$3:$A$5001,"&lt;="&amp;$B237,BD!$Y$3:$Y$5001,"&lt;&gt;"))))</f>
        <v/>
      </c>
      <c r="O237" s="43" t="str">
        <f>IF(OR($B237="",$A237&gt;$B$9,O$210=""),"",IF(COUNTIFS(BD!$B$3:$B$5001,O$210,BD!$A$3:$A$5001,"&gt;="&amp;$C$7,BD!$A$3:$A$5001,"&lt;="&amp;$B237,BD!$Y$3:$Y$5001,"&lt;&gt;")=0,"",SUMIFS(BD!$Y$3:$Y$5001,BD!$B$3:$B$5001,O$210,BD!$A$3:$A$5001,_xlfn.MAXIFS(BD!$A$3:$A$5001,BD!$B$3:$B$5001,O$210,BD!$A$3:$A$5001,"&gt;="&amp;$C$7,BD!$A$3:$A$5001,"&lt;="&amp;$B237,BD!$Y$3:$Y$5001,"&lt;&gt;"))))</f>
        <v/>
      </c>
      <c r="P237" s="43" t="str">
        <f>IF(OR($B237="",$A237&gt;$B$9,P$210=""),"",IF(COUNTIFS(BD!$B$3:$B$5001,P$210,BD!$A$3:$A$5001,"&gt;="&amp;$C$7,BD!$A$3:$A$5001,"&lt;="&amp;$B237,BD!$Y$3:$Y$5001,"&lt;&gt;")=0,"",SUMIFS(BD!$Y$3:$Y$5001,BD!$B$3:$B$5001,P$210,BD!$A$3:$A$5001,_xlfn.MAXIFS(BD!$A$3:$A$5001,BD!$B$3:$B$5001,P$210,BD!$A$3:$A$5001,"&gt;="&amp;$C$7,BD!$A$3:$A$5001,"&lt;="&amp;$B237,BD!$Y$3:$Y$5001,"&lt;&gt;"))))</f>
        <v/>
      </c>
      <c r="Q237" s="43" t="str">
        <f>IF(OR($B237="",$A237&gt;$B$9,Q$210=""),"",IF(COUNTIFS(BD!$B$3:$B$5001,Q$210,BD!$A$3:$A$5001,"&gt;="&amp;$C$7,BD!$A$3:$A$5001,"&lt;="&amp;$B237,BD!$Y$3:$Y$5001,"&lt;&gt;")=0,"",SUMIFS(BD!$Y$3:$Y$5001,BD!$B$3:$B$5001,Q$210,BD!$A$3:$A$5001,_xlfn.MAXIFS(BD!$A$3:$A$5001,BD!$B$3:$B$5001,Q$210,BD!$A$3:$A$5001,"&gt;="&amp;$C$7,BD!$A$3:$A$5001,"&lt;="&amp;$B237,BD!$Y$3:$Y$5001,"&lt;&gt;"))))</f>
        <v/>
      </c>
      <c r="R237" s="43" t="str">
        <f>IF(OR($B237="",$A237&gt;$B$9,R$210=""),"",IF(COUNTIFS(BD!$B$3:$B$5001,R$210,BD!$A$3:$A$5001,"&gt;="&amp;$C$7,BD!$A$3:$A$5001,"&lt;="&amp;$B237,BD!$Y$3:$Y$5001,"&lt;&gt;")=0,"",SUMIFS(BD!$Y$3:$Y$5001,BD!$B$3:$B$5001,R$210,BD!$A$3:$A$5001,_xlfn.MAXIFS(BD!$A$3:$A$5001,BD!$B$3:$B$5001,R$210,BD!$A$3:$A$5001,"&gt;="&amp;$C$7,BD!$A$3:$A$5001,"&lt;="&amp;$B237,BD!$Y$3:$Y$5001,"&lt;&gt;"))))</f>
        <v/>
      </c>
      <c r="S237" s="43" t="str">
        <f>IF(OR($B237="",$A237&gt;$B$9,S$210=""),"",IF(COUNTIFS(BD!$B$3:$B$5001,S$210,BD!$A$3:$A$5001,"&gt;="&amp;$C$7,BD!$A$3:$A$5001,"&lt;="&amp;$B237,BD!$Y$3:$Y$5001,"&lt;&gt;")=0,"",SUMIFS(BD!$Y$3:$Y$5001,BD!$B$3:$B$5001,S$210,BD!$A$3:$A$5001,_xlfn.MAXIFS(BD!$A$3:$A$5001,BD!$B$3:$B$5001,S$210,BD!$A$3:$A$5001,"&gt;="&amp;$C$7,BD!$A$3:$A$5001,"&lt;="&amp;$B237,BD!$Y$3:$Y$5001,"&lt;&gt;"))))</f>
        <v/>
      </c>
      <c r="T237" s="43" t="str">
        <f>IF(OR($B237="",$A237&gt;$B$9,T$210=""),"",IF(COUNTIFS(BD!$B$3:$B$5001,T$210,BD!$A$3:$A$5001,"&gt;="&amp;$C$7,BD!$A$3:$A$5001,"&lt;="&amp;$B237,BD!$Y$3:$Y$5001,"&lt;&gt;")=0,"",SUMIFS(BD!$Y$3:$Y$5001,BD!$B$3:$B$5001,T$210,BD!$A$3:$A$5001,_xlfn.MAXIFS(BD!$A$3:$A$5001,BD!$B$3:$B$5001,T$210,BD!$A$3:$A$5001,"&gt;="&amp;$C$7,BD!$A$3:$A$5001,"&lt;="&amp;$B237,BD!$Y$3:$Y$5001,"&lt;&gt;"))))</f>
        <v/>
      </c>
      <c r="U237" s="43" t="str">
        <f>IF(OR($B237="",$A237&gt;$B$9,U$210=""),"",IF(COUNTIFS(BD!$B$3:$B$5001,U$210,BD!$A$3:$A$5001,"&gt;="&amp;$C$7,BD!$A$3:$A$5001,"&lt;="&amp;$B237,BD!$Y$3:$Y$5001,"&lt;&gt;")=0,"",SUMIFS(BD!$Y$3:$Y$5001,BD!$B$3:$B$5001,U$210,BD!$A$3:$A$5001,_xlfn.MAXIFS(BD!$A$3:$A$5001,BD!$B$3:$B$5001,U$210,BD!$A$3:$A$5001,"&gt;="&amp;$C$7,BD!$A$3:$A$5001,"&lt;="&amp;$B237,BD!$Y$3:$Y$5001,"&lt;&gt;"))))</f>
        <v/>
      </c>
      <c r="V237" s="43" t="str">
        <f>IF(OR($B237="",$A237&gt;$B$9,V$210=""),"",IF(COUNTIFS(BD!$B$3:$B$5001,V$210,BD!$A$3:$A$5001,"&gt;="&amp;$C$7,BD!$A$3:$A$5001,"&lt;="&amp;$B237,BD!$Y$3:$Y$5001,"&lt;&gt;")=0,"",SUMIFS(BD!$Y$3:$Y$5001,BD!$B$3:$B$5001,V$210,BD!$A$3:$A$5001,_xlfn.MAXIFS(BD!$A$3:$A$5001,BD!$B$3:$B$5001,V$210,BD!$A$3:$A$5001,"&gt;="&amp;$C$7,BD!$A$3:$A$5001,"&lt;="&amp;$B237,BD!$Y$3:$Y$5001,"&lt;&gt;"))))</f>
        <v/>
      </c>
    </row>
    <row r="238">
      <c r="A238" s="38">
        <v>28</v>
      </c>
      <c r="B238" s="42">
        <f>$B$39</f>
        <v>46323</v>
      </c>
      <c r="C238" s="43" t="str">
        <f>IF(OR($B238="",$A238&gt;$B$9,C$210=""),"",IF(COUNTIFS(BD!$B$3:$B$5001,C$210,BD!$A$3:$A$5001,"&gt;="&amp;$C$7,BD!$A$3:$A$5001,"&lt;="&amp;$B238,BD!$Y$3:$Y$5001,"&lt;&gt;")=0,"",SUMIFS(BD!$Y$3:$Y$5001,BD!$B$3:$B$5001,C$210,BD!$A$3:$A$5001,_xlfn.MAXIFS(BD!$A$3:$A$5001,BD!$B$3:$B$5001,C$210,BD!$A$3:$A$5001,"&gt;="&amp;$C$7,BD!$A$3:$A$5001,"&lt;="&amp;$B238,BD!$Y$3:$Y$5001,"&lt;&gt;"))))</f>
        <v/>
      </c>
      <c r="D238" s="43" t="str">
        <f>IF(OR($B238="",$A238&gt;$B$9,D$210=""),"",IF(COUNTIFS(BD!$B$3:$B$5001,D$210,BD!$A$3:$A$5001,"&gt;="&amp;$C$7,BD!$A$3:$A$5001,"&lt;="&amp;$B238,BD!$Y$3:$Y$5001,"&lt;&gt;")=0,"",SUMIFS(BD!$Y$3:$Y$5001,BD!$B$3:$B$5001,D$210,BD!$A$3:$A$5001,_xlfn.MAXIFS(BD!$A$3:$A$5001,BD!$B$3:$B$5001,D$210,BD!$A$3:$A$5001,"&gt;="&amp;$C$7,BD!$A$3:$A$5001,"&lt;="&amp;$B238,BD!$Y$3:$Y$5001,"&lt;&gt;"))))</f>
        <v/>
      </c>
      <c r="E238" s="43" t="str">
        <f>IF(OR($B238="",$A238&gt;$B$9,E$210=""),"",IF(COUNTIFS(BD!$B$3:$B$5001,E$210,BD!$A$3:$A$5001,"&gt;="&amp;$C$7,BD!$A$3:$A$5001,"&lt;="&amp;$B238,BD!$Y$3:$Y$5001,"&lt;&gt;")=0,"",SUMIFS(BD!$Y$3:$Y$5001,BD!$B$3:$B$5001,E$210,BD!$A$3:$A$5001,_xlfn.MAXIFS(BD!$A$3:$A$5001,BD!$B$3:$B$5001,E$210,BD!$A$3:$A$5001,"&gt;="&amp;$C$7,BD!$A$3:$A$5001,"&lt;="&amp;$B238,BD!$Y$3:$Y$5001,"&lt;&gt;"))))</f>
        <v/>
      </c>
      <c r="F238" s="43" t="str">
        <f>IF(OR($B238="",$A238&gt;$B$9,F$210=""),"",IF(COUNTIFS(BD!$B$3:$B$5001,F$210,BD!$A$3:$A$5001,"&gt;="&amp;$C$7,BD!$A$3:$A$5001,"&lt;="&amp;$B238,BD!$Y$3:$Y$5001,"&lt;&gt;")=0,"",SUMIFS(BD!$Y$3:$Y$5001,BD!$B$3:$B$5001,F$210,BD!$A$3:$A$5001,_xlfn.MAXIFS(BD!$A$3:$A$5001,BD!$B$3:$B$5001,F$210,BD!$A$3:$A$5001,"&gt;="&amp;$C$7,BD!$A$3:$A$5001,"&lt;="&amp;$B238,BD!$Y$3:$Y$5001,"&lt;&gt;"))))</f>
        <v/>
      </c>
      <c r="G238" s="43" t="str">
        <f>IF(OR($B238="",$A238&gt;$B$9,G$210=""),"",IF(COUNTIFS(BD!$B$3:$B$5001,G$210,BD!$A$3:$A$5001,"&gt;="&amp;$C$7,BD!$A$3:$A$5001,"&lt;="&amp;$B238,BD!$Y$3:$Y$5001,"&lt;&gt;")=0,"",SUMIFS(BD!$Y$3:$Y$5001,BD!$B$3:$B$5001,G$210,BD!$A$3:$A$5001,_xlfn.MAXIFS(BD!$A$3:$A$5001,BD!$B$3:$B$5001,G$210,BD!$A$3:$A$5001,"&gt;="&amp;$C$7,BD!$A$3:$A$5001,"&lt;="&amp;$B238,BD!$Y$3:$Y$5001,"&lt;&gt;"))))</f>
        <v/>
      </c>
      <c r="H238" s="43" t="str">
        <f>IF(OR($B238="",$A238&gt;$B$9,H$210=""),"",IF(COUNTIFS(BD!$B$3:$B$5001,H$210,BD!$A$3:$A$5001,"&gt;="&amp;$C$7,BD!$A$3:$A$5001,"&lt;="&amp;$B238,BD!$Y$3:$Y$5001,"&lt;&gt;")=0,"",SUMIFS(BD!$Y$3:$Y$5001,BD!$B$3:$B$5001,H$210,BD!$A$3:$A$5001,_xlfn.MAXIFS(BD!$A$3:$A$5001,BD!$B$3:$B$5001,H$210,BD!$A$3:$A$5001,"&gt;="&amp;$C$7,BD!$A$3:$A$5001,"&lt;="&amp;$B238,BD!$Y$3:$Y$5001,"&lt;&gt;"))))</f>
        <v/>
      </c>
      <c r="I238" s="43" t="str">
        <f>IF(OR($B238="",$A238&gt;$B$9,I$210=""),"",IF(COUNTIFS(BD!$B$3:$B$5001,I$210,BD!$A$3:$A$5001,"&gt;="&amp;$C$7,BD!$A$3:$A$5001,"&lt;="&amp;$B238,BD!$Y$3:$Y$5001,"&lt;&gt;")=0,"",SUMIFS(BD!$Y$3:$Y$5001,BD!$B$3:$B$5001,I$210,BD!$A$3:$A$5001,_xlfn.MAXIFS(BD!$A$3:$A$5001,BD!$B$3:$B$5001,I$210,BD!$A$3:$A$5001,"&gt;="&amp;$C$7,BD!$A$3:$A$5001,"&lt;="&amp;$B238,BD!$Y$3:$Y$5001,"&lt;&gt;"))))</f>
        <v/>
      </c>
      <c r="J238" s="43" t="str">
        <f>IF(OR($B238="",$A238&gt;$B$9,J$210=""),"",IF(COUNTIFS(BD!$B$3:$B$5001,J$210,BD!$A$3:$A$5001,"&gt;="&amp;$C$7,BD!$A$3:$A$5001,"&lt;="&amp;$B238,BD!$Y$3:$Y$5001,"&lt;&gt;")=0,"",SUMIFS(BD!$Y$3:$Y$5001,BD!$B$3:$B$5001,J$210,BD!$A$3:$A$5001,_xlfn.MAXIFS(BD!$A$3:$A$5001,BD!$B$3:$B$5001,J$210,BD!$A$3:$A$5001,"&gt;="&amp;$C$7,BD!$A$3:$A$5001,"&lt;="&amp;$B238,BD!$Y$3:$Y$5001,"&lt;&gt;"))))</f>
        <v/>
      </c>
      <c r="K238" s="43" t="str">
        <f>IF(OR($B238="",$A238&gt;$B$9,K$210=""),"",IF(COUNTIFS(BD!$B$3:$B$5001,K$210,BD!$A$3:$A$5001,"&gt;="&amp;$C$7,BD!$A$3:$A$5001,"&lt;="&amp;$B238,BD!$Y$3:$Y$5001,"&lt;&gt;")=0,"",SUMIFS(BD!$Y$3:$Y$5001,BD!$B$3:$B$5001,K$210,BD!$A$3:$A$5001,_xlfn.MAXIFS(BD!$A$3:$A$5001,BD!$B$3:$B$5001,K$210,BD!$A$3:$A$5001,"&gt;="&amp;$C$7,BD!$A$3:$A$5001,"&lt;="&amp;$B238,BD!$Y$3:$Y$5001,"&lt;&gt;"))))</f>
        <v/>
      </c>
      <c r="L238" s="43" t="str">
        <f>IF(OR($B238="",$A238&gt;$B$9,L$210=""),"",IF(COUNTIFS(BD!$B$3:$B$5001,L$210,BD!$A$3:$A$5001,"&gt;="&amp;$C$7,BD!$A$3:$A$5001,"&lt;="&amp;$B238,BD!$Y$3:$Y$5001,"&lt;&gt;")=0,"",SUMIFS(BD!$Y$3:$Y$5001,BD!$B$3:$B$5001,L$210,BD!$A$3:$A$5001,_xlfn.MAXIFS(BD!$A$3:$A$5001,BD!$B$3:$B$5001,L$210,BD!$A$3:$A$5001,"&gt;="&amp;$C$7,BD!$A$3:$A$5001,"&lt;="&amp;$B238,BD!$Y$3:$Y$5001,"&lt;&gt;"))))</f>
        <v/>
      </c>
      <c r="M238" s="43" t="str">
        <f>IF(OR($B238="",$A238&gt;$B$9,M$210=""),"",IF(COUNTIFS(BD!$B$3:$B$5001,M$210,BD!$A$3:$A$5001,"&gt;="&amp;$C$7,BD!$A$3:$A$5001,"&lt;="&amp;$B238,BD!$Y$3:$Y$5001,"&lt;&gt;")=0,"",SUMIFS(BD!$Y$3:$Y$5001,BD!$B$3:$B$5001,M$210,BD!$A$3:$A$5001,_xlfn.MAXIFS(BD!$A$3:$A$5001,BD!$B$3:$B$5001,M$210,BD!$A$3:$A$5001,"&gt;="&amp;$C$7,BD!$A$3:$A$5001,"&lt;="&amp;$B238,BD!$Y$3:$Y$5001,"&lt;&gt;"))))</f>
        <v/>
      </c>
      <c r="N238" s="43" t="str">
        <f>IF(OR($B238="",$A238&gt;$B$9,N$210=""),"",IF(COUNTIFS(BD!$B$3:$B$5001,N$210,BD!$A$3:$A$5001,"&gt;="&amp;$C$7,BD!$A$3:$A$5001,"&lt;="&amp;$B238,BD!$Y$3:$Y$5001,"&lt;&gt;")=0,"",SUMIFS(BD!$Y$3:$Y$5001,BD!$B$3:$B$5001,N$210,BD!$A$3:$A$5001,_xlfn.MAXIFS(BD!$A$3:$A$5001,BD!$B$3:$B$5001,N$210,BD!$A$3:$A$5001,"&gt;="&amp;$C$7,BD!$A$3:$A$5001,"&lt;="&amp;$B238,BD!$Y$3:$Y$5001,"&lt;&gt;"))))</f>
        <v/>
      </c>
      <c r="O238" s="43" t="str">
        <f>IF(OR($B238="",$A238&gt;$B$9,O$210=""),"",IF(COUNTIFS(BD!$B$3:$B$5001,O$210,BD!$A$3:$A$5001,"&gt;="&amp;$C$7,BD!$A$3:$A$5001,"&lt;="&amp;$B238,BD!$Y$3:$Y$5001,"&lt;&gt;")=0,"",SUMIFS(BD!$Y$3:$Y$5001,BD!$B$3:$B$5001,O$210,BD!$A$3:$A$5001,_xlfn.MAXIFS(BD!$A$3:$A$5001,BD!$B$3:$B$5001,O$210,BD!$A$3:$A$5001,"&gt;="&amp;$C$7,BD!$A$3:$A$5001,"&lt;="&amp;$B238,BD!$Y$3:$Y$5001,"&lt;&gt;"))))</f>
        <v/>
      </c>
      <c r="P238" s="43" t="str">
        <f>IF(OR($B238="",$A238&gt;$B$9,P$210=""),"",IF(COUNTIFS(BD!$B$3:$B$5001,P$210,BD!$A$3:$A$5001,"&gt;="&amp;$C$7,BD!$A$3:$A$5001,"&lt;="&amp;$B238,BD!$Y$3:$Y$5001,"&lt;&gt;")=0,"",SUMIFS(BD!$Y$3:$Y$5001,BD!$B$3:$B$5001,P$210,BD!$A$3:$A$5001,_xlfn.MAXIFS(BD!$A$3:$A$5001,BD!$B$3:$B$5001,P$210,BD!$A$3:$A$5001,"&gt;="&amp;$C$7,BD!$A$3:$A$5001,"&lt;="&amp;$B238,BD!$Y$3:$Y$5001,"&lt;&gt;"))))</f>
        <v/>
      </c>
      <c r="Q238" s="43" t="str">
        <f>IF(OR($B238="",$A238&gt;$B$9,Q$210=""),"",IF(COUNTIFS(BD!$B$3:$B$5001,Q$210,BD!$A$3:$A$5001,"&gt;="&amp;$C$7,BD!$A$3:$A$5001,"&lt;="&amp;$B238,BD!$Y$3:$Y$5001,"&lt;&gt;")=0,"",SUMIFS(BD!$Y$3:$Y$5001,BD!$B$3:$B$5001,Q$210,BD!$A$3:$A$5001,_xlfn.MAXIFS(BD!$A$3:$A$5001,BD!$B$3:$B$5001,Q$210,BD!$A$3:$A$5001,"&gt;="&amp;$C$7,BD!$A$3:$A$5001,"&lt;="&amp;$B238,BD!$Y$3:$Y$5001,"&lt;&gt;"))))</f>
        <v/>
      </c>
      <c r="R238" s="43" t="str">
        <f>IF(OR($B238="",$A238&gt;$B$9,R$210=""),"",IF(COUNTIFS(BD!$B$3:$B$5001,R$210,BD!$A$3:$A$5001,"&gt;="&amp;$C$7,BD!$A$3:$A$5001,"&lt;="&amp;$B238,BD!$Y$3:$Y$5001,"&lt;&gt;")=0,"",SUMIFS(BD!$Y$3:$Y$5001,BD!$B$3:$B$5001,R$210,BD!$A$3:$A$5001,_xlfn.MAXIFS(BD!$A$3:$A$5001,BD!$B$3:$B$5001,R$210,BD!$A$3:$A$5001,"&gt;="&amp;$C$7,BD!$A$3:$A$5001,"&lt;="&amp;$B238,BD!$Y$3:$Y$5001,"&lt;&gt;"))))</f>
        <v/>
      </c>
      <c r="S238" s="43" t="str">
        <f>IF(OR($B238="",$A238&gt;$B$9,S$210=""),"",IF(COUNTIFS(BD!$B$3:$B$5001,S$210,BD!$A$3:$A$5001,"&gt;="&amp;$C$7,BD!$A$3:$A$5001,"&lt;="&amp;$B238,BD!$Y$3:$Y$5001,"&lt;&gt;")=0,"",SUMIFS(BD!$Y$3:$Y$5001,BD!$B$3:$B$5001,S$210,BD!$A$3:$A$5001,_xlfn.MAXIFS(BD!$A$3:$A$5001,BD!$B$3:$B$5001,S$210,BD!$A$3:$A$5001,"&gt;="&amp;$C$7,BD!$A$3:$A$5001,"&lt;="&amp;$B238,BD!$Y$3:$Y$5001,"&lt;&gt;"))))</f>
        <v/>
      </c>
      <c r="T238" s="43" t="str">
        <f>IF(OR($B238="",$A238&gt;$B$9,T$210=""),"",IF(COUNTIFS(BD!$B$3:$B$5001,T$210,BD!$A$3:$A$5001,"&gt;="&amp;$C$7,BD!$A$3:$A$5001,"&lt;="&amp;$B238,BD!$Y$3:$Y$5001,"&lt;&gt;")=0,"",SUMIFS(BD!$Y$3:$Y$5001,BD!$B$3:$B$5001,T$210,BD!$A$3:$A$5001,_xlfn.MAXIFS(BD!$A$3:$A$5001,BD!$B$3:$B$5001,T$210,BD!$A$3:$A$5001,"&gt;="&amp;$C$7,BD!$A$3:$A$5001,"&lt;="&amp;$B238,BD!$Y$3:$Y$5001,"&lt;&gt;"))))</f>
        <v/>
      </c>
      <c r="U238" s="43" t="str">
        <f>IF(OR($B238="",$A238&gt;$B$9,U$210=""),"",IF(COUNTIFS(BD!$B$3:$B$5001,U$210,BD!$A$3:$A$5001,"&gt;="&amp;$C$7,BD!$A$3:$A$5001,"&lt;="&amp;$B238,BD!$Y$3:$Y$5001,"&lt;&gt;")=0,"",SUMIFS(BD!$Y$3:$Y$5001,BD!$B$3:$B$5001,U$210,BD!$A$3:$A$5001,_xlfn.MAXIFS(BD!$A$3:$A$5001,BD!$B$3:$B$5001,U$210,BD!$A$3:$A$5001,"&gt;="&amp;$C$7,BD!$A$3:$A$5001,"&lt;="&amp;$B238,BD!$Y$3:$Y$5001,"&lt;&gt;"))))</f>
        <v/>
      </c>
      <c r="V238" s="43" t="str">
        <f>IF(OR($B238="",$A238&gt;$B$9,V$210=""),"",IF(COUNTIFS(BD!$B$3:$B$5001,V$210,BD!$A$3:$A$5001,"&gt;="&amp;$C$7,BD!$A$3:$A$5001,"&lt;="&amp;$B238,BD!$Y$3:$Y$5001,"&lt;&gt;")=0,"",SUMIFS(BD!$Y$3:$Y$5001,BD!$B$3:$B$5001,V$210,BD!$A$3:$A$5001,_xlfn.MAXIFS(BD!$A$3:$A$5001,BD!$B$3:$B$5001,V$210,BD!$A$3:$A$5001,"&gt;="&amp;$C$7,BD!$A$3:$A$5001,"&lt;="&amp;$B238,BD!$Y$3:$Y$5001,"&lt;&gt;"))))</f>
        <v/>
      </c>
    </row>
    <row r="239">
      <c r="A239" s="38">
        <v>29</v>
      </c>
      <c r="B239" s="42">
        <f>$B$40</f>
        <v>46324</v>
      </c>
      <c r="C239" s="43" t="str">
        <f>IF(OR($B239="",$A239&gt;$B$9,C$210=""),"",IF(COUNTIFS(BD!$B$3:$B$5001,C$210,BD!$A$3:$A$5001,"&gt;="&amp;$C$7,BD!$A$3:$A$5001,"&lt;="&amp;$B239,BD!$Y$3:$Y$5001,"&lt;&gt;")=0,"",SUMIFS(BD!$Y$3:$Y$5001,BD!$B$3:$B$5001,C$210,BD!$A$3:$A$5001,_xlfn.MAXIFS(BD!$A$3:$A$5001,BD!$B$3:$B$5001,C$210,BD!$A$3:$A$5001,"&gt;="&amp;$C$7,BD!$A$3:$A$5001,"&lt;="&amp;$B239,BD!$Y$3:$Y$5001,"&lt;&gt;"))))</f>
        <v/>
      </c>
      <c r="D239" s="43" t="str">
        <f>IF(OR($B239="",$A239&gt;$B$9,D$210=""),"",IF(COUNTIFS(BD!$B$3:$B$5001,D$210,BD!$A$3:$A$5001,"&gt;="&amp;$C$7,BD!$A$3:$A$5001,"&lt;="&amp;$B239,BD!$Y$3:$Y$5001,"&lt;&gt;")=0,"",SUMIFS(BD!$Y$3:$Y$5001,BD!$B$3:$B$5001,D$210,BD!$A$3:$A$5001,_xlfn.MAXIFS(BD!$A$3:$A$5001,BD!$B$3:$B$5001,D$210,BD!$A$3:$A$5001,"&gt;="&amp;$C$7,BD!$A$3:$A$5001,"&lt;="&amp;$B239,BD!$Y$3:$Y$5001,"&lt;&gt;"))))</f>
        <v/>
      </c>
      <c r="E239" s="43" t="str">
        <f>IF(OR($B239="",$A239&gt;$B$9,E$210=""),"",IF(COUNTIFS(BD!$B$3:$B$5001,E$210,BD!$A$3:$A$5001,"&gt;="&amp;$C$7,BD!$A$3:$A$5001,"&lt;="&amp;$B239,BD!$Y$3:$Y$5001,"&lt;&gt;")=0,"",SUMIFS(BD!$Y$3:$Y$5001,BD!$B$3:$B$5001,E$210,BD!$A$3:$A$5001,_xlfn.MAXIFS(BD!$A$3:$A$5001,BD!$B$3:$B$5001,E$210,BD!$A$3:$A$5001,"&gt;="&amp;$C$7,BD!$A$3:$A$5001,"&lt;="&amp;$B239,BD!$Y$3:$Y$5001,"&lt;&gt;"))))</f>
        <v/>
      </c>
      <c r="F239" s="43" t="str">
        <f>IF(OR($B239="",$A239&gt;$B$9,F$210=""),"",IF(COUNTIFS(BD!$B$3:$B$5001,F$210,BD!$A$3:$A$5001,"&gt;="&amp;$C$7,BD!$A$3:$A$5001,"&lt;="&amp;$B239,BD!$Y$3:$Y$5001,"&lt;&gt;")=0,"",SUMIFS(BD!$Y$3:$Y$5001,BD!$B$3:$B$5001,F$210,BD!$A$3:$A$5001,_xlfn.MAXIFS(BD!$A$3:$A$5001,BD!$B$3:$B$5001,F$210,BD!$A$3:$A$5001,"&gt;="&amp;$C$7,BD!$A$3:$A$5001,"&lt;="&amp;$B239,BD!$Y$3:$Y$5001,"&lt;&gt;"))))</f>
        <v/>
      </c>
      <c r="G239" s="43" t="str">
        <f>IF(OR($B239="",$A239&gt;$B$9,G$210=""),"",IF(COUNTIFS(BD!$B$3:$B$5001,G$210,BD!$A$3:$A$5001,"&gt;="&amp;$C$7,BD!$A$3:$A$5001,"&lt;="&amp;$B239,BD!$Y$3:$Y$5001,"&lt;&gt;")=0,"",SUMIFS(BD!$Y$3:$Y$5001,BD!$B$3:$B$5001,G$210,BD!$A$3:$A$5001,_xlfn.MAXIFS(BD!$A$3:$A$5001,BD!$B$3:$B$5001,G$210,BD!$A$3:$A$5001,"&gt;="&amp;$C$7,BD!$A$3:$A$5001,"&lt;="&amp;$B239,BD!$Y$3:$Y$5001,"&lt;&gt;"))))</f>
        <v/>
      </c>
      <c r="H239" s="43" t="str">
        <f>IF(OR($B239="",$A239&gt;$B$9,H$210=""),"",IF(COUNTIFS(BD!$B$3:$B$5001,H$210,BD!$A$3:$A$5001,"&gt;="&amp;$C$7,BD!$A$3:$A$5001,"&lt;="&amp;$B239,BD!$Y$3:$Y$5001,"&lt;&gt;")=0,"",SUMIFS(BD!$Y$3:$Y$5001,BD!$B$3:$B$5001,H$210,BD!$A$3:$A$5001,_xlfn.MAXIFS(BD!$A$3:$A$5001,BD!$B$3:$B$5001,H$210,BD!$A$3:$A$5001,"&gt;="&amp;$C$7,BD!$A$3:$A$5001,"&lt;="&amp;$B239,BD!$Y$3:$Y$5001,"&lt;&gt;"))))</f>
        <v/>
      </c>
      <c r="I239" s="43" t="str">
        <f>IF(OR($B239="",$A239&gt;$B$9,I$210=""),"",IF(COUNTIFS(BD!$B$3:$B$5001,I$210,BD!$A$3:$A$5001,"&gt;="&amp;$C$7,BD!$A$3:$A$5001,"&lt;="&amp;$B239,BD!$Y$3:$Y$5001,"&lt;&gt;")=0,"",SUMIFS(BD!$Y$3:$Y$5001,BD!$B$3:$B$5001,I$210,BD!$A$3:$A$5001,_xlfn.MAXIFS(BD!$A$3:$A$5001,BD!$B$3:$B$5001,I$210,BD!$A$3:$A$5001,"&gt;="&amp;$C$7,BD!$A$3:$A$5001,"&lt;="&amp;$B239,BD!$Y$3:$Y$5001,"&lt;&gt;"))))</f>
        <v/>
      </c>
      <c r="J239" s="43" t="str">
        <f>IF(OR($B239="",$A239&gt;$B$9,J$210=""),"",IF(COUNTIFS(BD!$B$3:$B$5001,J$210,BD!$A$3:$A$5001,"&gt;="&amp;$C$7,BD!$A$3:$A$5001,"&lt;="&amp;$B239,BD!$Y$3:$Y$5001,"&lt;&gt;")=0,"",SUMIFS(BD!$Y$3:$Y$5001,BD!$B$3:$B$5001,J$210,BD!$A$3:$A$5001,_xlfn.MAXIFS(BD!$A$3:$A$5001,BD!$B$3:$B$5001,J$210,BD!$A$3:$A$5001,"&gt;="&amp;$C$7,BD!$A$3:$A$5001,"&lt;="&amp;$B239,BD!$Y$3:$Y$5001,"&lt;&gt;"))))</f>
        <v/>
      </c>
      <c r="K239" s="43" t="str">
        <f>IF(OR($B239="",$A239&gt;$B$9,K$210=""),"",IF(COUNTIFS(BD!$B$3:$B$5001,K$210,BD!$A$3:$A$5001,"&gt;="&amp;$C$7,BD!$A$3:$A$5001,"&lt;="&amp;$B239,BD!$Y$3:$Y$5001,"&lt;&gt;")=0,"",SUMIFS(BD!$Y$3:$Y$5001,BD!$B$3:$B$5001,K$210,BD!$A$3:$A$5001,_xlfn.MAXIFS(BD!$A$3:$A$5001,BD!$B$3:$B$5001,K$210,BD!$A$3:$A$5001,"&gt;="&amp;$C$7,BD!$A$3:$A$5001,"&lt;="&amp;$B239,BD!$Y$3:$Y$5001,"&lt;&gt;"))))</f>
        <v/>
      </c>
      <c r="L239" s="43" t="str">
        <f>IF(OR($B239="",$A239&gt;$B$9,L$210=""),"",IF(COUNTIFS(BD!$B$3:$B$5001,L$210,BD!$A$3:$A$5001,"&gt;="&amp;$C$7,BD!$A$3:$A$5001,"&lt;="&amp;$B239,BD!$Y$3:$Y$5001,"&lt;&gt;")=0,"",SUMIFS(BD!$Y$3:$Y$5001,BD!$B$3:$B$5001,L$210,BD!$A$3:$A$5001,_xlfn.MAXIFS(BD!$A$3:$A$5001,BD!$B$3:$B$5001,L$210,BD!$A$3:$A$5001,"&gt;="&amp;$C$7,BD!$A$3:$A$5001,"&lt;="&amp;$B239,BD!$Y$3:$Y$5001,"&lt;&gt;"))))</f>
        <v/>
      </c>
      <c r="M239" s="43" t="str">
        <f>IF(OR($B239="",$A239&gt;$B$9,M$210=""),"",IF(COUNTIFS(BD!$B$3:$B$5001,M$210,BD!$A$3:$A$5001,"&gt;="&amp;$C$7,BD!$A$3:$A$5001,"&lt;="&amp;$B239,BD!$Y$3:$Y$5001,"&lt;&gt;")=0,"",SUMIFS(BD!$Y$3:$Y$5001,BD!$B$3:$B$5001,M$210,BD!$A$3:$A$5001,_xlfn.MAXIFS(BD!$A$3:$A$5001,BD!$B$3:$B$5001,M$210,BD!$A$3:$A$5001,"&gt;="&amp;$C$7,BD!$A$3:$A$5001,"&lt;="&amp;$B239,BD!$Y$3:$Y$5001,"&lt;&gt;"))))</f>
        <v/>
      </c>
      <c r="N239" s="43" t="str">
        <f>IF(OR($B239="",$A239&gt;$B$9,N$210=""),"",IF(COUNTIFS(BD!$B$3:$B$5001,N$210,BD!$A$3:$A$5001,"&gt;="&amp;$C$7,BD!$A$3:$A$5001,"&lt;="&amp;$B239,BD!$Y$3:$Y$5001,"&lt;&gt;")=0,"",SUMIFS(BD!$Y$3:$Y$5001,BD!$B$3:$B$5001,N$210,BD!$A$3:$A$5001,_xlfn.MAXIFS(BD!$A$3:$A$5001,BD!$B$3:$B$5001,N$210,BD!$A$3:$A$5001,"&gt;="&amp;$C$7,BD!$A$3:$A$5001,"&lt;="&amp;$B239,BD!$Y$3:$Y$5001,"&lt;&gt;"))))</f>
        <v/>
      </c>
      <c r="O239" s="43" t="str">
        <f>IF(OR($B239="",$A239&gt;$B$9,O$210=""),"",IF(COUNTIFS(BD!$B$3:$B$5001,O$210,BD!$A$3:$A$5001,"&gt;="&amp;$C$7,BD!$A$3:$A$5001,"&lt;="&amp;$B239,BD!$Y$3:$Y$5001,"&lt;&gt;")=0,"",SUMIFS(BD!$Y$3:$Y$5001,BD!$B$3:$B$5001,O$210,BD!$A$3:$A$5001,_xlfn.MAXIFS(BD!$A$3:$A$5001,BD!$B$3:$B$5001,O$210,BD!$A$3:$A$5001,"&gt;="&amp;$C$7,BD!$A$3:$A$5001,"&lt;="&amp;$B239,BD!$Y$3:$Y$5001,"&lt;&gt;"))))</f>
        <v/>
      </c>
      <c r="P239" s="43" t="str">
        <f>IF(OR($B239="",$A239&gt;$B$9,P$210=""),"",IF(COUNTIFS(BD!$B$3:$B$5001,P$210,BD!$A$3:$A$5001,"&gt;="&amp;$C$7,BD!$A$3:$A$5001,"&lt;="&amp;$B239,BD!$Y$3:$Y$5001,"&lt;&gt;")=0,"",SUMIFS(BD!$Y$3:$Y$5001,BD!$B$3:$B$5001,P$210,BD!$A$3:$A$5001,_xlfn.MAXIFS(BD!$A$3:$A$5001,BD!$B$3:$B$5001,P$210,BD!$A$3:$A$5001,"&gt;="&amp;$C$7,BD!$A$3:$A$5001,"&lt;="&amp;$B239,BD!$Y$3:$Y$5001,"&lt;&gt;"))))</f>
        <v/>
      </c>
      <c r="Q239" s="43" t="str">
        <f>IF(OR($B239="",$A239&gt;$B$9,Q$210=""),"",IF(COUNTIFS(BD!$B$3:$B$5001,Q$210,BD!$A$3:$A$5001,"&gt;="&amp;$C$7,BD!$A$3:$A$5001,"&lt;="&amp;$B239,BD!$Y$3:$Y$5001,"&lt;&gt;")=0,"",SUMIFS(BD!$Y$3:$Y$5001,BD!$B$3:$B$5001,Q$210,BD!$A$3:$A$5001,_xlfn.MAXIFS(BD!$A$3:$A$5001,BD!$B$3:$B$5001,Q$210,BD!$A$3:$A$5001,"&gt;="&amp;$C$7,BD!$A$3:$A$5001,"&lt;="&amp;$B239,BD!$Y$3:$Y$5001,"&lt;&gt;"))))</f>
        <v/>
      </c>
      <c r="R239" s="43" t="str">
        <f>IF(OR($B239="",$A239&gt;$B$9,R$210=""),"",IF(COUNTIFS(BD!$B$3:$B$5001,R$210,BD!$A$3:$A$5001,"&gt;="&amp;$C$7,BD!$A$3:$A$5001,"&lt;="&amp;$B239,BD!$Y$3:$Y$5001,"&lt;&gt;")=0,"",SUMIFS(BD!$Y$3:$Y$5001,BD!$B$3:$B$5001,R$210,BD!$A$3:$A$5001,_xlfn.MAXIFS(BD!$A$3:$A$5001,BD!$B$3:$B$5001,R$210,BD!$A$3:$A$5001,"&gt;="&amp;$C$7,BD!$A$3:$A$5001,"&lt;="&amp;$B239,BD!$Y$3:$Y$5001,"&lt;&gt;"))))</f>
        <v/>
      </c>
      <c r="S239" s="43" t="str">
        <f>IF(OR($B239="",$A239&gt;$B$9,S$210=""),"",IF(COUNTIFS(BD!$B$3:$B$5001,S$210,BD!$A$3:$A$5001,"&gt;="&amp;$C$7,BD!$A$3:$A$5001,"&lt;="&amp;$B239,BD!$Y$3:$Y$5001,"&lt;&gt;")=0,"",SUMIFS(BD!$Y$3:$Y$5001,BD!$B$3:$B$5001,S$210,BD!$A$3:$A$5001,_xlfn.MAXIFS(BD!$A$3:$A$5001,BD!$B$3:$B$5001,S$210,BD!$A$3:$A$5001,"&gt;="&amp;$C$7,BD!$A$3:$A$5001,"&lt;="&amp;$B239,BD!$Y$3:$Y$5001,"&lt;&gt;"))))</f>
        <v/>
      </c>
      <c r="T239" s="43" t="str">
        <f>IF(OR($B239="",$A239&gt;$B$9,T$210=""),"",IF(COUNTIFS(BD!$B$3:$B$5001,T$210,BD!$A$3:$A$5001,"&gt;="&amp;$C$7,BD!$A$3:$A$5001,"&lt;="&amp;$B239,BD!$Y$3:$Y$5001,"&lt;&gt;")=0,"",SUMIFS(BD!$Y$3:$Y$5001,BD!$B$3:$B$5001,T$210,BD!$A$3:$A$5001,_xlfn.MAXIFS(BD!$A$3:$A$5001,BD!$B$3:$B$5001,T$210,BD!$A$3:$A$5001,"&gt;="&amp;$C$7,BD!$A$3:$A$5001,"&lt;="&amp;$B239,BD!$Y$3:$Y$5001,"&lt;&gt;"))))</f>
        <v/>
      </c>
      <c r="U239" s="43" t="str">
        <f>IF(OR($B239="",$A239&gt;$B$9,U$210=""),"",IF(COUNTIFS(BD!$B$3:$B$5001,U$210,BD!$A$3:$A$5001,"&gt;="&amp;$C$7,BD!$A$3:$A$5001,"&lt;="&amp;$B239,BD!$Y$3:$Y$5001,"&lt;&gt;")=0,"",SUMIFS(BD!$Y$3:$Y$5001,BD!$B$3:$B$5001,U$210,BD!$A$3:$A$5001,_xlfn.MAXIFS(BD!$A$3:$A$5001,BD!$B$3:$B$5001,U$210,BD!$A$3:$A$5001,"&gt;="&amp;$C$7,BD!$A$3:$A$5001,"&lt;="&amp;$B239,BD!$Y$3:$Y$5001,"&lt;&gt;"))))</f>
        <v/>
      </c>
      <c r="V239" s="43" t="str">
        <f>IF(OR($B239="",$A239&gt;$B$9,V$210=""),"",IF(COUNTIFS(BD!$B$3:$B$5001,V$210,BD!$A$3:$A$5001,"&gt;="&amp;$C$7,BD!$A$3:$A$5001,"&lt;="&amp;$B239,BD!$Y$3:$Y$5001,"&lt;&gt;")=0,"",SUMIFS(BD!$Y$3:$Y$5001,BD!$B$3:$B$5001,V$210,BD!$A$3:$A$5001,_xlfn.MAXIFS(BD!$A$3:$A$5001,BD!$B$3:$B$5001,V$210,BD!$A$3:$A$5001,"&gt;="&amp;$C$7,BD!$A$3:$A$5001,"&lt;="&amp;$B239,BD!$Y$3:$Y$5001,"&lt;&gt;"))))</f>
        <v/>
      </c>
    </row>
    <row r="240">
      <c r="A240" s="38">
        <v>30</v>
      </c>
      <c r="B240" s="42">
        <f>$B$41</f>
        <v>46325</v>
      </c>
      <c r="C240" s="43" t="str">
        <f>IF(OR($B240="",$A240&gt;$B$9,C$210=""),"",IF(COUNTIFS(BD!$B$3:$B$5001,C$210,BD!$A$3:$A$5001,"&gt;="&amp;$C$7,BD!$A$3:$A$5001,"&lt;="&amp;$B240,BD!$Y$3:$Y$5001,"&lt;&gt;")=0,"",SUMIFS(BD!$Y$3:$Y$5001,BD!$B$3:$B$5001,C$210,BD!$A$3:$A$5001,_xlfn.MAXIFS(BD!$A$3:$A$5001,BD!$B$3:$B$5001,C$210,BD!$A$3:$A$5001,"&gt;="&amp;$C$7,BD!$A$3:$A$5001,"&lt;="&amp;$B240,BD!$Y$3:$Y$5001,"&lt;&gt;"))))</f>
        <v/>
      </c>
      <c r="D240" s="43" t="str">
        <f>IF(OR($B240="",$A240&gt;$B$9,D$210=""),"",IF(COUNTIFS(BD!$B$3:$B$5001,D$210,BD!$A$3:$A$5001,"&gt;="&amp;$C$7,BD!$A$3:$A$5001,"&lt;="&amp;$B240,BD!$Y$3:$Y$5001,"&lt;&gt;")=0,"",SUMIFS(BD!$Y$3:$Y$5001,BD!$B$3:$B$5001,D$210,BD!$A$3:$A$5001,_xlfn.MAXIFS(BD!$A$3:$A$5001,BD!$B$3:$B$5001,D$210,BD!$A$3:$A$5001,"&gt;="&amp;$C$7,BD!$A$3:$A$5001,"&lt;="&amp;$B240,BD!$Y$3:$Y$5001,"&lt;&gt;"))))</f>
        <v/>
      </c>
      <c r="E240" s="43" t="str">
        <f>IF(OR($B240="",$A240&gt;$B$9,E$210=""),"",IF(COUNTIFS(BD!$B$3:$B$5001,E$210,BD!$A$3:$A$5001,"&gt;="&amp;$C$7,BD!$A$3:$A$5001,"&lt;="&amp;$B240,BD!$Y$3:$Y$5001,"&lt;&gt;")=0,"",SUMIFS(BD!$Y$3:$Y$5001,BD!$B$3:$B$5001,E$210,BD!$A$3:$A$5001,_xlfn.MAXIFS(BD!$A$3:$A$5001,BD!$B$3:$B$5001,E$210,BD!$A$3:$A$5001,"&gt;="&amp;$C$7,BD!$A$3:$A$5001,"&lt;="&amp;$B240,BD!$Y$3:$Y$5001,"&lt;&gt;"))))</f>
        <v/>
      </c>
      <c r="F240" s="43" t="str">
        <f>IF(OR($B240="",$A240&gt;$B$9,F$210=""),"",IF(COUNTIFS(BD!$B$3:$B$5001,F$210,BD!$A$3:$A$5001,"&gt;="&amp;$C$7,BD!$A$3:$A$5001,"&lt;="&amp;$B240,BD!$Y$3:$Y$5001,"&lt;&gt;")=0,"",SUMIFS(BD!$Y$3:$Y$5001,BD!$B$3:$B$5001,F$210,BD!$A$3:$A$5001,_xlfn.MAXIFS(BD!$A$3:$A$5001,BD!$B$3:$B$5001,F$210,BD!$A$3:$A$5001,"&gt;="&amp;$C$7,BD!$A$3:$A$5001,"&lt;="&amp;$B240,BD!$Y$3:$Y$5001,"&lt;&gt;"))))</f>
        <v/>
      </c>
      <c r="G240" s="43" t="str">
        <f>IF(OR($B240="",$A240&gt;$B$9,G$210=""),"",IF(COUNTIFS(BD!$B$3:$B$5001,G$210,BD!$A$3:$A$5001,"&gt;="&amp;$C$7,BD!$A$3:$A$5001,"&lt;="&amp;$B240,BD!$Y$3:$Y$5001,"&lt;&gt;")=0,"",SUMIFS(BD!$Y$3:$Y$5001,BD!$B$3:$B$5001,G$210,BD!$A$3:$A$5001,_xlfn.MAXIFS(BD!$A$3:$A$5001,BD!$B$3:$B$5001,G$210,BD!$A$3:$A$5001,"&gt;="&amp;$C$7,BD!$A$3:$A$5001,"&lt;="&amp;$B240,BD!$Y$3:$Y$5001,"&lt;&gt;"))))</f>
        <v/>
      </c>
      <c r="H240" s="43" t="str">
        <f>IF(OR($B240="",$A240&gt;$B$9,H$210=""),"",IF(COUNTIFS(BD!$B$3:$B$5001,H$210,BD!$A$3:$A$5001,"&gt;="&amp;$C$7,BD!$A$3:$A$5001,"&lt;="&amp;$B240,BD!$Y$3:$Y$5001,"&lt;&gt;")=0,"",SUMIFS(BD!$Y$3:$Y$5001,BD!$B$3:$B$5001,H$210,BD!$A$3:$A$5001,_xlfn.MAXIFS(BD!$A$3:$A$5001,BD!$B$3:$B$5001,H$210,BD!$A$3:$A$5001,"&gt;="&amp;$C$7,BD!$A$3:$A$5001,"&lt;="&amp;$B240,BD!$Y$3:$Y$5001,"&lt;&gt;"))))</f>
        <v/>
      </c>
      <c r="I240" s="43" t="str">
        <f>IF(OR($B240="",$A240&gt;$B$9,I$210=""),"",IF(COUNTIFS(BD!$B$3:$B$5001,I$210,BD!$A$3:$A$5001,"&gt;="&amp;$C$7,BD!$A$3:$A$5001,"&lt;="&amp;$B240,BD!$Y$3:$Y$5001,"&lt;&gt;")=0,"",SUMIFS(BD!$Y$3:$Y$5001,BD!$B$3:$B$5001,I$210,BD!$A$3:$A$5001,_xlfn.MAXIFS(BD!$A$3:$A$5001,BD!$B$3:$B$5001,I$210,BD!$A$3:$A$5001,"&gt;="&amp;$C$7,BD!$A$3:$A$5001,"&lt;="&amp;$B240,BD!$Y$3:$Y$5001,"&lt;&gt;"))))</f>
        <v/>
      </c>
      <c r="J240" s="43" t="str">
        <f>IF(OR($B240="",$A240&gt;$B$9,J$210=""),"",IF(COUNTIFS(BD!$B$3:$B$5001,J$210,BD!$A$3:$A$5001,"&gt;="&amp;$C$7,BD!$A$3:$A$5001,"&lt;="&amp;$B240,BD!$Y$3:$Y$5001,"&lt;&gt;")=0,"",SUMIFS(BD!$Y$3:$Y$5001,BD!$B$3:$B$5001,J$210,BD!$A$3:$A$5001,_xlfn.MAXIFS(BD!$A$3:$A$5001,BD!$B$3:$B$5001,J$210,BD!$A$3:$A$5001,"&gt;="&amp;$C$7,BD!$A$3:$A$5001,"&lt;="&amp;$B240,BD!$Y$3:$Y$5001,"&lt;&gt;"))))</f>
        <v/>
      </c>
      <c r="K240" s="43" t="str">
        <f>IF(OR($B240="",$A240&gt;$B$9,K$210=""),"",IF(COUNTIFS(BD!$B$3:$B$5001,K$210,BD!$A$3:$A$5001,"&gt;="&amp;$C$7,BD!$A$3:$A$5001,"&lt;="&amp;$B240,BD!$Y$3:$Y$5001,"&lt;&gt;")=0,"",SUMIFS(BD!$Y$3:$Y$5001,BD!$B$3:$B$5001,K$210,BD!$A$3:$A$5001,_xlfn.MAXIFS(BD!$A$3:$A$5001,BD!$B$3:$B$5001,K$210,BD!$A$3:$A$5001,"&gt;="&amp;$C$7,BD!$A$3:$A$5001,"&lt;="&amp;$B240,BD!$Y$3:$Y$5001,"&lt;&gt;"))))</f>
        <v/>
      </c>
      <c r="L240" s="43" t="str">
        <f>IF(OR($B240="",$A240&gt;$B$9,L$210=""),"",IF(COUNTIFS(BD!$B$3:$B$5001,L$210,BD!$A$3:$A$5001,"&gt;="&amp;$C$7,BD!$A$3:$A$5001,"&lt;="&amp;$B240,BD!$Y$3:$Y$5001,"&lt;&gt;")=0,"",SUMIFS(BD!$Y$3:$Y$5001,BD!$B$3:$B$5001,L$210,BD!$A$3:$A$5001,_xlfn.MAXIFS(BD!$A$3:$A$5001,BD!$B$3:$B$5001,L$210,BD!$A$3:$A$5001,"&gt;="&amp;$C$7,BD!$A$3:$A$5001,"&lt;="&amp;$B240,BD!$Y$3:$Y$5001,"&lt;&gt;"))))</f>
        <v/>
      </c>
      <c r="M240" s="43" t="str">
        <f>IF(OR($B240="",$A240&gt;$B$9,M$210=""),"",IF(COUNTIFS(BD!$B$3:$B$5001,M$210,BD!$A$3:$A$5001,"&gt;="&amp;$C$7,BD!$A$3:$A$5001,"&lt;="&amp;$B240,BD!$Y$3:$Y$5001,"&lt;&gt;")=0,"",SUMIFS(BD!$Y$3:$Y$5001,BD!$B$3:$B$5001,M$210,BD!$A$3:$A$5001,_xlfn.MAXIFS(BD!$A$3:$A$5001,BD!$B$3:$B$5001,M$210,BD!$A$3:$A$5001,"&gt;="&amp;$C$7,BD!$A$3:$A$5001,"&lt;="&amp;$B240,BD!$Y$3:$Y$5001,"&lt;&gt;"))))</f>
        <v/>
      </c>
      <c r="N240" s="43" t="str">
        <f>IF(OR($B240="",$A240&gt;$B$9,N$210=""),"",IF(COUNTIFS(BD!$B$3:$B$5001,N$210,BD!$A$3:$A$5001,"&gt;="&amp;$C$7,BD!$A$3:$A$5001,"&lt;="&amp;$B240,BD!$Y$3:$Y$5001,"&lt;&gt;")=0,"",SUMIFS(BD!$Y$3:$Y$5001,BD!$B$3:$B$5001,N$210,BD!$A$3:$A$5001,_xlfn.MAXIFS(BD!$A$3:$A$5001,BD!$B$3:$B$5001,N$210,BD!$A$3:$A$5001,"&gt;="&amp;$C$7,BD!$A$3:$A$5001,"&lt;="&amp;$B240,BD!$Y$3:$Y$5001,"&lt;&gt;"))))</f>
        <v/>
      </c>
      <c r="O240" s="43" t="str">
        <f>IF(OR($B240="",$A240&gt;$B$9,O$210=""),"",IF(COUNTIFS(BD!$B$3:$B$5001,O$210,BD!$A$3:$A$5001,"&gt;="&amp;$C$7,BD!$A$3:$A$5001,"&lt;="&amp;$B240,BD!$Y$3:$Y$5001,"&lt;&gt;")=0,"",SUMIFS(BD!$Y$3:$Y$5001,BD!$B$3:$B$5001,O$210,BD!$A$3:$A$5001,_xlfn.MAXIFS(BD!$A$3:$A$5001,BD!$B$3:$B$5001,O$210,BD!$A$3:$A$5001,"&gt;="&amp;$C$7,BD!$A$3:$A$5001,"&lt;="&amp;$B240,BD!$Y$3:$Y$5001,"&lt;&gt;"))))</f>
        <v/>
      </c>
      <c r="P240" s="43" t="str">
        <f>IF(OR($B240="",$A240&gt;$B$9,P$210=""),"",IF(COUNTIFS(BD!$B$3:$B$5001,P$210,BD!$A$3:$A$5001,"&gt;="&amp;$C$7,BD!$A$3:$A$5001,"&lt;="&amp;$B240,BD!$Y$3:$Y$5001,"&lt;&gt;")=0,"",SUMIFS(BD!$Y$3:$Y$5001,BD!$B$3:$B$5001,P$210,BD!$A$3:$A$5001,_xlfn.MAXIFS(BD!$A$3:$A$5001,BD!$B$3:$B$5001,P$210,BD!$A$3:$A$5001,"&gt;="&amp;$C$7,BD!$A$3:$A$5001,"&lt;="&amp;$B240,BD!$Y$3:$Y$5001,"&lt;&gt;"))))</f>
        <v/>
      </c>
      <c r="Q240" s="43" t="str">
        <f>IF(OR($B240="",$A240&gt;$B$9,Q$210=""),"",IF(COUNTIFS(BD!$B$3:$B$5001,Q$210,BD!$A$3:$A$5001,"&gt;="&amp;$C$7,BD!$A$3:$A$5001,"&lt;="&amp;$B240,BD!$Y$3:$Y$5001,"&lt;&gt;")=0,"",SUMIFS(BD!$Y$3:$Y$5001,BD!$B$3:$B$5001,Q$210,BD!$A$3:$A$5001,_xlfn.MAXIFS(BD!$A$3:$A$5001,BD!$B$3:$B$5001,Q$210,BD!$A$3:$A$5001,"&gt;="&amp;$C$7,BD!$A$3:$A$5001,"&lt;="&amp;$B240,BD!$Y$3:$Y$5001,"&lt;&gt;"))))</f>
        <v/>
      </c>
      <c r="R240" s="43" t="str">
        <f>IF(OR($B240="",$A240&gt;$B$9,R$210=""),"",IF(COUNTIFS(BD!$B$3:$B$5001,R$210,BD!$A$3:$A$5001,"&gt;="&amp;$C$7,BD!$A$3:$A$5001,"&lt;="&amp;$B240,BD!$Y$3:$Y$5001,"&lt;&gt;")=0,"",SUMIFS(BD!$Y$3:$Y$5001,BD!$B$3:$B$5001,R$210,BD!$A$3:$A$5001,_xlfn.MAXIFS(BD!$A$3:$A$5001,BD!$B$3:$B$5001,R$210,BD!$A$3:$A$5001,"&gt;="&amp;$C$7,BD!$A$3:$A$5001,"&lt;="&amp;$B240,BD!$Y$3:$Y$5001,"&lt;&gt;"))))</f>
        <v/>
      </c>
      <c r="S240" s="43" t="str">
        <f>IF(OR($B240="",$A240&gt;$B$9,S$210=""),"",IF(COUNTIFS(BD!$B$3:$B$5001,S$210,BD!$A$3:$A$5001,"&gt;="&amp;$C$7,BD!$A$3:$A$5001,"&lt;="&amp;$B240,BD!$Y$3:$Y$5001,"&lt;&gt;")=0,"",SUMIFS(BD!$Y$3:$Y$5001,BD!$B$3:$B$5001,S$210,BD!$A$3:$A$5001,_xlfn.MAXIFS(BD!$A$3:$A$5001,BD!$B$3:$B$5001,S$210,BD!$A$3:$A$5001,"&gt;="&amp;$C$7,BD!$A$3:$A$5001,"&lt;="&amp;$B240,BD!$Y$3:$Y$5001,"&lt;&gt;"))))</f>
        <v/>
      </c>
      <c r="T240" s="43" t="str">
        <f>IF(OR($B240="",$A240&gt;$B$9,T$210=""),"",IF(COUNTIFS(BD!$B$3:$B$5001,T$210,BD!$A$3:$A$5001,"&gt;="&amp;$C$7,BD!$A$3:$A$5001,"&lt;="&amp;$B240,BD!$Y$3:$Y$5001,"&lt;&gt;")=0,"",SUMIFS(BD!$Y$3:$Y$5001,BD!$B$3:$B$5001,T$210,BD!$A$3:$A$5001,_xlfn.MAXIFS(BD!$A$3:$A$5001,BD!$B$3:$B$5001,T$210,BD!$A$3:$A$5001,"&gt;="&amp;$C$7,BD!$A$3:$A$5001,"&lt;="&amp;$B240,BD!$Y$3:$Y$5001,"&lt;&gt;"))))</f>
        <v/>
      </c>
      <c r="U240" s="43" t="str">
        <f>IF(OR($B240="",$A240&gt;$B$9,U$210=""),"",IF(COUNTIFS(BD!$B$3:$B$5001,U$210,BD!$A$3:$A$5001,"&gt;="&amp;$C$7,BD!$A$3:$A$5001,"&lt;="&amp;$B240,BD!$Y$3:$Y$5001,"&lt;&gt;")=0,"",SUMIFS(BD!$Y$3:$Y$5001,BD!$B$3:$B$5001,U$210,BD!$A$3:$A$5001,_xlfn.MAXIFS(BD!$A$3:$A$5001,BD!$B$3:$B$5001,U$210,BD!$A$3:$A$5001,"&gt;="&amp;$C$7,BD!$A$3:$A$5001,"&lt;="&amp;$B240,BD!$Y$3:$Y$5001,"&lt;&gt;"))))</f>
        <v/>
      </c>
      <c r="V240" s="43" t="str">
        <f>IF(OR($B240="",$A240&gt;$B$9,V$210=""),"",IF(COUNTIFS(BD!$B$3:$B$5001,V$210,BD!$A$3:$A$5001,"&gt;="&amp;$C$7,BD!$A$3:$A$5001,"&lt;="&amp;$B240,BD!$Y$3:$Y$5001,"&lt;&gt;")=0,"",SUMIFS(BD!$Y$3:$Y$5001,BD!$B$3:$B$5001,V$210,BD!$A$3:$A$5001,_xlfn.MAXIFS(BD!$A$3:$A$5001,BD!$B$3:$B$5001,V$210,BD!$A$3:$A$5001,"&gt;="&amp;$C$7,BD!$A$3:$A$5001,"&lt;="&amp;$B240,BD!$Y$3:$Y$5001,"&lt;&gt;"))))</f>
        <v/>
      </c>
    </row>
    <row r="241">
      <c r="A241" s="38">
        <v>31</v>
      </c>
      <c r="B241" s="42">
        <f>$B$42</f>
        <v>46326</v>
      </c>
      <c r="C241" s="43" t="str">
        <f>IF(OR($B241="",$A241&gt;$B$9,C$210=""),"",IF(COUNTIFS(BD!$B$3:$B$5001,C$210,BD!$A$3:$A$5001,"&gt;="&amp;$C$7,BD!$A$3:$A$5001,"&lt;="&amp;$B241,BD!$Y$3:$Y$5001,"&lt;&gt;")=0,"",SUMIFS(BD!$Y$3:$Y$5001,BD!$B$3:$B$5001,C$210,BD!$A$3:$A$5001,_xlfn.MAXIFS(BD!$A$3:$A$5001,BD!$B$3:$B$5001,C$210,BD!$A$3:$A$5001,"&gt;="&amp;$C$7,BD!$A$3:$A$5001,"&lt;="&amp;$B241,BD!$Y$3:$Y$5001,"&lt;&gt;"))))</f>
        <v/>
      </c>
      <c r="D241" s="43" t="str">
        <f>IF(OR($B241="",$A241&gt;$B$9,D$210=""),"",IF(COUNTIFS(BD!$B$3:$B$5001,D$210,BD!$A$3:$A$5001,"&gt;="&amp;$C$7,BD!$A$3:$A$5001,"&lt;="&amp;$B241,BD!$Y$3:$Y$5001,"&lt;&gt;")=0,"",SUMIFS(BD!$Y$3:$Y$5001,BD!$B$3:$B$5001,D$210,BD!$A$3:$A$5001,_xlfn.MAXIFS(BD!$A$3:$A$5001,BD!$B$3:$B$5001,D$210,BD!$A$3:$A$5001,"&gt;="&amp;$C$7,BD!$A$3:$A$5001,"&lt;="&amp;$B241,BD!$Y$3:$Y$5001,"&lt;&gt;"))))</f>
        <v/>
      </c>
      <c r="E241" s="43" t="str">
        <f>IF(OR($B241="",$A241&gt;$B$9,E$210=""),"",IF(COUNTIFS(BD!$B$3:$B$5001,E$210,BD!$A$3:$A$5001,"&gt;="&amp;$C$7,BD!$A$3:$A$5001,"&lt;="&amp;$B241,BD!$Y$3:$Y$5001,"&lt;&gt;")=0,"",SUMIFS(BD!$Y$3:$Y$5001,BD!$B$3:$B$5001,E$210,BD!$A$3:$A$5001,_xlfn.MAXIFS(BD!$A$3:$A$5001,BD!$B$3:$B$5001,E$210,BD!$A$3:$A$5001,"&gt;="&amp;$C$7,BD!$A$3:$A$5001,"&lt;="&amp;$B241,BD!$Y$3:$Y$5001,"&lt;&gt;"))))</f>
        <v/>
      </c>
      <c r="F241" s="43" t="str">
        <f>IF(OR($B241="",$A241&gt;$B$9,F$210=""),"",IF(COUNTIFS(BD!$B$3:$B$5001,F$210,BD!$A$3:$A$5001,"&gt;="&amp;$C$7,BD!$A$3:$A$5001,"&lt;="&amp;$B241,BD!$Y$3:$Y$5001,"&lt;&gt;")=0,"",SUMIFS(BD!$Y$3:$Y$5001,BD!$B$3:$B$5001,F$210,BD!$A$3:$A$5001,_xlfn.MAXIFS(BD!$A$3:$A$5001,BD!$B$3:$B$5001,F$210,BD!$A$3:$A$5001,"&gt;="&amp;$C$7,BD!$A$3:$A$5001,"&lt;="&amp;$B241,BD!$Y$3:$Y$5001,"&lt;&gt;"))))</f>
        <v/>
      </c>
      <c r="G241" s="43" t="str">
        <f>IF(OR($B241="",$A241&gt;$B$9,G$210=""),"",IF(COUNTIFS(BD!$B$3:$B$5001,G$210,BD!$A$3:$A$5001,"&gt;="&amp;$C$7,BD!$A$3:$A$5001,"&lt;="&amp;$B241,BD!$Y$3:$Y$5001,"&lt;&gt;")=0,"",SUMIFS(BD!$Y$3:$Y$5001,BD!$B$3:$B$5001,G$210,BD!$A$3:$A$5001,_xlfn.MAXIFS(BD!$A$3:$A$5001,BD!$B$3:$B$5001,G$210,BD!$A$3:$A$5001,"&gt;="&amp;$C$7,BD!$A$3:$A$5001,"&lt;="&amp;$B241,BD!$Y$3:$Y$5001,"&lt;&gt;"))))</f>
        <v/>
      </c>
      <c r="H241" s="43" t="str">
        <f>IF(OR($B241="",$A241&gt;$B$9,H$210=""),"",IF(COUNTIFS(BD!$B$3:$B$5001,H$210,BD!$A$3:$A$5001,"&gt;="&amp;$C$7,BD!$A$3:$A$5001,"&lt;="&amp;$B241,BD!$Y$3:$Y$5001,"&lt;&gt;")=0,"",SUMIFS(BD!$Y$3:$Y$5001,BD!$B$3:$B$5001,H$210,BD!$A$3:$A$5001,_xlfn.MAXIFS(BD!$A$3:$A$5001,BD!$B$3:$B$5001,H$210,BD!$A$3:$A$5001,"&gt;="&amp;$C$7,BD!$A$3:$A$5001,"&lt;="&amp;$B241,BD!$Y$3:$Y$5001,"&lt;&gt;"))))</f>
        <v/>
      </c>
      <c r="I241" s="43" t="str">
        <f>IF(OR($B241="",$A241&gt;$B$9,I$210=""),"",IF(COUNTIFS(BD!$B$3:$B$5001,I$210,BD!$A$3:$A$5001,"&gt;="&amp;$C$7,BD!$A$3:$A$5001,"&lt;="&amp;$B241,BD!$Y$3:$Y$5001,"&lt;&gt;")=0,"",SUMIFS(BD!$Y$3:$Y$5001,BD!$B$3:$B$5001,I$210,BD!$A$3:$A$5001,_xlfn.MAXIFS(BD!$A$3:$A$5001,BD!$B$3:$B$5001,I$210,BD!$A$3:$A$5001,"&gt;="&amp;$C$7,BD!$A$3:$A$5001,"&lt;="&amp;$B241,BD!$Y$3:$Y$5001,"&lt;&gt;"))))</f>
        <v/>
      </c>
      <c r="J241" s="43" t="str">
        <f>IF(OR($B241="",$A241&gt;$B$9,J$210=""),"",IF(COUNTIFS(BD!$B$3:$B$5001,J$210,BD!$A$3:$A$5001,"&gt;="&amp;$C$7,BD!$A$3:$A$5001,"&lt;="&amp;$B241,BD!$Y$3:$Y$5001,"&lt;&gt;")=0,"",SUMIFS(BD!$Y$3:$Y$5001,BD!$B$3:$B$5001,J$210,BD!$A$3:$A$5001,_xlfn.MAXIFS(BD!$A$3:$A$5001,BD!$B$3:$B$5001,J$210,BD!$A$3:$A$5001,"&gt;="&amp;$C$7,BD!$A$3:$A$5001,"&lt;="&amp;$B241,BD!$Y$3:$Y$5001,"&lt;&gt;"))))</f>
        <v/>
      </c>
      <c r="K241" s="43" t="str">
        <f>IF(OR($B241="",$A241&gt;$B$9,K$210=""),"",IF(COUNTIFS(BD!$B$3:$B$5001,K$210,BD!$A$3:$A$5001,"&gt;="&amp;$C$7,BD!$A$3:$A$5001,"&lt;="&amp;$B241,BD!$Y$3:$Y$5001,"&lt;&gt;")=0,"",SUMIFS(BD!$Y$3:$Y$5001,BD!$B$3:$B$5001,K$210,BD!$A$3:$A$5001,_xlfn.MAXIFS(BD!$A$3:$A$5001,BD!$B$3:$B$5001,K$210,BD!$A$3:$A$5001,"&gt;="&amp;$C$7,BD!$A$3:$A$5001,"&lt;="&amp;$B241,BD!$Y$3:$Y$5001,"&lt;&gt;"))))</f>
        <v/>
      </c>
      <c r="L241" s="43" t="str">
        <f>IF(OR($B241="",$A241&gt;$B$9,L$210=""),"",IF(COUNTIFS(BD!$B$3:$B$5001,L$210,BD!$A$3:$A$5001,"&gt;="&amp;$C$7,BD!$A$3:$A$5001,"&lt;="&amp;$B241,BD!$Y$3:$Y$5001,"&lt;&gt;")=0,"",SUMIFS(BD!$Y$3:$Y$5001,BD!$B$3:$B$5001,L$210,BD!$A$3:$A$5001,_xlfn.MAXIFS(BD!$A$3:$A$5001,BD!$B$3:$B$5001,L$210,BD!$A$3:$A$5001,"&gt;="&amp;$C$7,BD!$A$3:$A$5001,"&lt;="&amp;$B241,BD!$Y$3:$Y$5001,"&lt;&gt;"))))</f>
        <v/>
      </c>
      <c r="M241" s="43" t="str">
        <f>IF(OR($B241="",$A241&gt;$B$9,M$210=""),"",IF(COUNTIFS(BD!$B$3:$B$5001,M$210,BD!$A$3:$A$5001,"&gt;="&amp;$C$7,BD!$A$3:$A$5001,"&lt;="&amp;$B241,BD!$Y$3:$Y$5001,"&lt;&gt;")=0,"",SUMIFS(BD!$Y$3:$Y$5001,BD!$B$3:$B$5001,M$210,BD!$A$3:$A$5001,_xlfn.MAXIFS(BD!$A$3:$A$5001,BD!$B$3:$B$5001,M$210,BD!$A$3:$A$5001,"&gt;="&amp;$C$7,BD!$A$3:$A$5001,"&lt;="&amp;$B241,BD!$Y$3:$Y$5001,"&lt;&gt;"))))</f>
        <v/>
      </c>
      <c r="N241" s="43" t="str">
        <f>IF(OR($B241="",$A241&gt;$B$9,N$210=""),"",IF(COUNTIFS(BD!$B$3:$B$5001,N$210,BD!$A$3:$A$5001,"&gt;="&amp;$C$7,BD!$A$3:$A$5001,"&lt;="&amp;$B241,BD!$Y$3:$Y$5001,"&lt;&gt;")=0,"",SUMIFS(BD!$Y$3:$Y$5001,BD!$B$3:$B$5001,N$210,BD!$A$3:$A$5001,_xlfn.MAXIFS(BD!$A$3:$A$5001,BD!$B$3:$B$5001,N$210,BD!$A$3:$A$5001,"&gt;="&amp;$C$7,BD!$A$3:$A$5001,"&lt;="&amp;$B241,BD!$Y$3:$Y$5001,"&lt;&gt;"))))</f>
        <v/>
      </c>
      <c r="O241" s="43" t="str">
        <f>IF(OR($B241="",$A241&gt;$B$9,O$210=""),"",IF(COUNTIFS(BD!$B$3:$B$5001,O$210,BD!$A$3:$A$5001,"&gt;="&amp;$C$7,BD!$A$3:$A$5001,"&lt;="&amp;$B241,BD!$Y$3:$Y$5001,"&lt;&gt;")=0,"",SUMIFS(BD!$Y$3:$Y$5001,BD!$B$3:$B$5001,O$210,BD!$A$3:$A$5001,_xlfn.MAXIFS(BD!$A$3:$A$5001,BD!$B$3:$B$5001,O$210,BD!$A$3:$A$5001,"&gt;="&amp;$C$7,BD!$A$3:$A$5001,"&lt;="&amp;$B241,BD!$Y$3:$Y$5001,"&lt;&gt;"))))</f>
        <v/>
      </c>
      <c r="P241" s="43" t="str">
        <f>IF(OR($B241="",$A241&gt;$B$9,P$210=""),"",IF(COUNTIFS(BD!$B$3:$B$5001,P$210,BD!$A$3:$A$5001,"&gt;="&amp;$C$7,BD!$A$3:$A$5001,"&lt;="&amp;$B241,BD!$Y$3:$Y$5001,"&lt;&gt;")=0,"",SUMIFS(BD!$Y$3:$Y$5001,BD!$B$3:$B$5001,P$210,BD!$A$3:$A$5001,_xlfn.MAXIFS(BD!$A$3:$A$5001,BD!$B$3:$B$5001,P$210,BD!$A$3:$A$5001,"&gt;="&amp;$C$7,BD!$A$3:$A$5001,"&lt;="&amp;$B241,BD!$Y$3:$Y$5001,"&lt;&gt;"))))</f>
        <v/>
      </c>
      <c r="Q241" s="43" t="str">
        <f>IF(OR($B241="",$A241&gt;$B$9,Q$210=""),"",IF(COUNTIFS(BD!$B$3:$B$5001,Q$210,BD!$A$3:$A$5001,"&gt;="&amp;$C$7,BD!$A$3:$A$5001,"&lt;="&amp;$B241,BD!$Y$3:$Y$5001,"&lt;&gt;")=0,"",SUMIFS(BD!$Y$3:$Y$5001,BD!$B$3:$B$5001,Q$210,BD!$A$3:$A$5001,_xlfn.MAXIFS(BD!$A$3:$A$5001,BD!$B$3:$B$5001,Q$210,BD!$A$3:$A$5001,"&gt;="&amp;$C$7,BD!$A$3:$A$5001,"&lt;="&amp;$B241,BD!$Y$3:$Y$5001,"&lt;&gt;"))))</f>
        <v/>
      </c>
      <c r="R241" s="43" t="str">
        <f>IF(OR($B241="",$A241&gt;$B$9,R$210=""),"",IF(COUNTIFS(BD!$B$3:$B$5001,R$210,BD!$A$3:$A$5001,"&gt;="&amp;$C$7,BD!$A$3:$A$5001,"&lt;="&amp;$B241,BD!$Y$3:$Y$5001,"&lt;&gt;")=0,"",SUMIFS(BD!$Y$3:$Y$5001,BD!$B$3:$B$5001,R$210,BD!$A$3:$A$5001,_xlfn.MAXIFS(BD!$A$3:$A$5001,BD!$B$3:$B$5001,R$210,BD!$A$3:$A$5001,"&gt;="&amp;$C$7,BD!$A$3:$A$5001,"&lt;="&amp;$B241,BD!$Y$3:$Y$5001,"&lt;&gt;"))))</f>
        <v/>
      </c>
      <c r="S241" s="43" t="str">
        <f>IF(OR($B241="",$A241&gt;$B$9,S$210=""),"",IF(COUNTIFS(BD!$B$3:$B$5001,S$210,BD!$A$3:$A$5001,"&gt;="&amp;$C$7,BD!$A$3:$A$5001,"&lt;="&amp;$B241,BD!$Y$3:$Y$5001,"&lt;&gt;")=0,"",SUMIFS(BD!$Y$3:$Y$5001,BD!$B$3:$B$5001,S$210,BD!$A$3:$A$5001,_xlfn.MAXIFS(BD!$A$3:$A$5001,BD!$B$3:$B$5001,S$210,BD!$A$3:$A$5001,"&gt;="&amp;$C$7,BD!$A$3:$A$5001,"&lt;="&amp;$B241,BD!$Y$3:$Y$5001,"&lt;&gt;"))))</f>
        <v/>
      </c>
      <c r="T241" s="43" t="str">
        <f>IF(OR($B241="",$A241&gt;$B$9,T$210=""),"",IF(COUNTIFS(BD!$B$3:$B$5001,T$210,BD!$A$3:$A$5001,"&gt;="&amp;$C$7,BD!$A$3:$A$5001,"&lt;="&amp;$B241,BD!$Y$3:$Y$5001,"&lt;&gt;")=0,"",SUMIFS(BD!$Y$3:$Y$5001,BD!$B$3:$B$5001,T$210,BD!$A$3:$A$5001,_xlfn.MAXIFS(BD!$A$3:$A$5001,BD!$B$3:$B$5001,T$210,BD!$A$3:$A$5001,"&gt;="&amp;$C$7,BD!$A$3:$A$5001,"&lt;="&amp;$B241,BD!$Y$3:$Y$5001,"&lt;&gt;"))))</f>
        <v/>
      </c>
      <c r="U241" s="43" t="str">
        <f>IF(OR($B241="",$A241&gt;$B$9,U$210=""),"",IF(COUNTIFS(BD!$B$3:$B$5001,U$210,BD!$A$3:$A$5001,"&gt;="&amp;$C$7,BD!$A$3:$A$5001,"&lt;="&amp;$B241,BD!$Y$3:$Y$5001,"&lt;&gt;")=0,"",SUMIFS(BD!$Y$3:$Y$5001,BD!$B$3:$B$5001,U$210,BD!$A$3:$A$5001,_xlfn.MAXIFS(BD!$A$3:$A$5001,BD!$B$3:$B$5001,U$210,BD!$A$3:$A$5001,"&gt;="&amp;$C$7,BD!$A$3:$A$5001,"&lt;="&amp;$B241,BD!$Y$3:$Y$5001,"&lt;&gt;"))))</f>
        <v/>
      </c>
      <c r="V241" s="43" t="str">
        <f>IF(OR($B241="",$A241&gt;$B$9,V$210=""),"",IF(COUNTIFS(BD!$B$3:$B$5001,V$210,BD!$A$3:$A$5001,"&gt;="&amp;$C$7,BD!$A$3:$A$5001,"&lt;="&amp;$B241,BD!$Y$3:$Y$5001,"&lt;&gt;")=0,"",SUMIFS(BD!$Y$3:$Y$5001,BD!$B$3:$B$5001,V$210,BD!$A$3:$A$5001,_xlfn.MAXIFS(BD!$A$3:$A$5001,BD!$B$3:$B$5001,V$210,BD!$A$3:$A$5001,"&gt;="&amp;$C$7,BD!$A$3:$A$5001,"&lt;="&amp;$B241,BD!$Y$3:$Y$5001,"&lt;&gt;"))))</f>
        <v/>
      </c>
    </row>
    <row r="242">
      <c r="A242" s="44" t="inlineStr">
        <is>
          <t xml:space="preserve">Mês anterior (último)</t>
        </is>
      </c>
      <c r="C242" s="45" t="str">
        <f>IF(C$210="","",IF(COUNTIFS(BD!$B$3:$B$5001,C$210,BD!$A$3:$A$5001,"&gt;="&amp;$C$8,BD!$A$3:$A$5001,"&lt;="&amp;$D$8,BD!$Y$3:$Y$5001,"&lt;&gt;")=0,"",SUMIFS(BD!$Y$3:$Y$5001,BD!$B$3:$B$5001,C$210,BD!$A$3:$A$5001,_xlfn.MAXIFS(BD!$A$3:$A$5001,BD!$B$3:$B$5001,C$210,BD!$A$3:$A$5001,"&gt;="&amp;$C$8,BD!$A$3:$A$5001,"&lt;="&amp;$D$8,BD!$Y$3:$Y$5001,"&lt;&gt;"))))</f>
        <v/>
      </c>
      <c r="D242" s="45" t="str">
        <f>IF(D$210="","",IF(COUNTIFS(BD!$B$3:$B$5001,D$210,BD!$A$3:$A$5001,"&gt;="&amp;$C$8,BD!$A$3:$A$5001,"&lt;="&amp;$D$8,BD!$Y$3:$Y$5001,"&lt;&gt;")=0,"",SUMIFS(BD!$Y$3:$Y$5001,BD!$B$3:$B$5001,D$210,BD!$A$3:$A$5001,_xlfn.MAXIFS(BD!$A$3:$A$5001,BD!$B$3:$B$5001,D$210,BD!$A$3:$A$5001,"&gt;="&amp;$C$8,BD!$A$3:$A$5001,"&lt;="&amp;$D$8,BD!$Y$3:$Y$5001,"&lt;&gt;"))))</f>
        <v/>
      </c>
      <c r="E242" s="45" t="str">
        <f>IF(E$210="","",IF(COUNTIFS(BD!$B$3:$B$5001,E$210,BD!$A$3:$A$5001,"&gt;="&amp;$C$8,BD!$A$3:$A$5001,"&lt;="&amp;$D$8,BD!$Y$3:$Y$5001,"&lt;&gt;")=0,"",SUMIFS(BD!$Y$3:$Y$5001,BD!$B$3:$B$5001,E$210,BD!$A$3:$A$5001,_xlfn.MAXIFS(BD!$A$3:$A$5001,BD!$B$3:$B$5001,E$210,BD!$A$3:$A$5001,"&gt;="&amp;$C$8,BD!$A$3:$A$5001,"&lt;="&amp;$D$8,BD!$Y$3:$Y$5001,"&lt;&gt;"))))</f>
        <v/>
      </c>
      <c r="F242" s="45" t="str">
        <f>IF(F$210="","",IF(COUNTIFS(BD!$B$3:$B$5001,F$210,BD!$A$3:$A$5001,"&gt;="&amp;$C$8,BD!$A$3:$A$5001,"&lt;="&amp;$D$8,BD!$Y$3:$Y$5001,"&lt;&gt;")=0,"",SUMIFS(BD!$Y$3:$Y$5001,BD!$B$3:$B$5001,F$210,BD!$A$3:$A$5001,_xlfn.MAXIFS(BD!$A$3:$A$5001,BD!$B$3:$B$5001,F$210,BD!$A$3:$A$5001,"&gt;="&amp;$C$8,BD!$A$3:$A$5001,"&lt;="&amp;$D$8,BD!$Y$3:$Y$5001,"&lt;&gt;"))))</f>
        <v/>
      </c>
      <c r="G242" s="45" t="str">
        <f>IF(G$210="","",IF(COUNTIFS(BD!$B$3:$B$5001,G$210,BD!$A$3:$A$5001,"&gt;="&amp;$C$8,BD!$A$3:$A$5001,"&lt;="&amp;$D$8,BD!$Y$3:$Y$5001,"&lt;&gt;")=0,"",SUMIFS(BD!$Y$3:$Y$5001,BD!$B$3:$B$5001,G$210,BD!$A$3:$A$5001,_xlfn.MAXIFS(BD!$A$3:$A$5001,BD!$B$3:$B$5001,G$210,BD!$A$3:$A$5001,"&gt;="&amp;$C$8,BD!$A$3:$A$5001,"&lt;="&amp;$D$8,BD!$Y$3:$Y$5001,"&lt;&gt;"))))</f>
        <v/>
      </c>
      <c r="H242" s="45" t="str">
        <f>IF(H$210="","",IF(COUNTIFS(BD!$B$3:$B$5001,H$210,BD!$A$3:$A$5001,"&gt;="&amp;$C$8,BD!$A$3:$A$5001,"&lt;="&amp;$D$8,BD!$Y$3:$Y$5001,"&lt;&gt;")=0,"",SUMIFS(BD!$Y$3:$Y$5001,BD!$B$3:$B$5001,H$210,BD!$A$3:$A$5001,_xlfn.MAXIFS(BD!$A$3:$A$5001,BD!$B$3:$B$5001,H$210,BD!$A$3:$A$5001,"&gt;="&amp;$C$8,BD!$A$3:$A$5001,"&lt;="&amp;$D$8,BD!$Y$3:$Y$5001,"&lt;&gt;"))))</f>
        <v/>
      </c>
      <c r="I242" s="45" t="str">
        <f>IF(I$210="","",IF(COUNTIFS(BD!$B$3:$B$5001,I$210,BD!$A$3:$A$5001,"&gt;="&amp;$C$8,BD!$A$3:$A$5001,"&lt;="&amp;$D$8,BD!$Y$3:$Y$5001,"&lt;&gt;")=0,"",SUMIFS(BD!$Y$3:$Y$5001,BD!$B$3:$B$5001,I$210,BD!$A$3:$A$5001,_xlfn.MAXIFS(BD!$A$3:$A$5001,BD!$B$3:$B$5001,I$210,BD!$A$3:$A$5001,"&gt;="&amp;$C$8,BD!$A$3:$A$5001,"&lt;="&amp;$D$8,BD!$Y$3:$Y$5001,"&lt;&gt;"))))</f>
        <v/>
      </c>
      <c r="J242" s="45" t="str">
        <f>IF(J$210="","",IF(COUNTIFS(BD!$B$3:$B$5001,J$210,BD!$A$3:$A$5001,"&gt;="&amp;$C$8,BD!$A$3:$A$5001,"&lt;="&amp;$D$8,BD!$Y$3:$Y$5001,"&lt;&gt;")=0,"",SUMIFS(BD!$Y$3:$Y$5001,BD!$B$3:$B$5001,J$210,BD!$A$3:$A$5001,_xlfn.MAXIFS(BD!$A$3:$A$5001,BD!$B$3:$B$5001,J$210,BD!$A$3:$A$5001,"&gt;="&amp;$C$8,BD!$A$3:$A$5001,"&lt;="&amp;$D$8,BD!$Y$3:$Y$5001,"&lt;&gt;"))))</f>
        <v/>
      </c>
      <c r="K242" s="45" t="str">
        <f>IF(K$210="","",IF(COUNTIFS(BD!$B$3:$B$5001,K$210,BD!$A$3:$A$5001,"&gt;="&amp;$C$8,BD!$A$3:$A$5001,"&lt;="&amp;$D$8,BD!$Y$3:$Y$5001,"&lt;&gt;")=0,"",SUMIFS(BD!$Y$3:$Y$5001,BD!$B$3:$B$5001,K$210,BD!$A$3:$A$5001,_xlfn.MAXIFS(BD!$A$3:$A$5001,BD!$B$3:$B$5001,K$210,BD!$A$3:$A$5001,"&gt;="&amp;$C$8,BD!$A$3:$A$5001,"&lt;="&amp;$D$8,BD!$Y$3:$Y$5001,"&lt;&gt;"))))</f>
        <v/>
      </c>
      <c r="L242" s="45" t="str">
        <f>IF(L$210="","",IF(COUNTIFS(BD!$B$3:$B$5001,L$210,BD!$A$3:$A$5001,"&gt;="&amp;$C$8,BD!$A$3:$A$5001,"&lt;="&amp;$D$8,BD!$Y$3:$Y$5001,"&lt;&gt;")=0,"",SUMIFS(BD!$Y$3:$Y$5001,BD!$B$3:$B$5001,L$210,BD!$A$3:$A$5001,_xlfn.MAXIFS(BD!$A$3:$A$5001,BD!$B$3:$B$5001,L$210,BD!$A$3:$A$5001,"&gt;="&amp;$C$8,BD!$A$3:$A$5001,"&lt;="&amp;$D$8,BD!$Y$3:$Y$5001,"&lt;&gt;"))))</f>
        <v/>
      </c>
      <c r="M242" s="45" t="str">
        <f>IF(M$210="","",IF(COUNTIFS(BD!$B$3:$B$5001,M$210,BD!$A$3:$A$5001,"&gt;="&amp;$C$8,BD!$A$3:$A$5001,"&lt;="&amp;$D$8,BD!$Y$3:$Y$5001,"&lt;&gt;")=0,"",SUMIFS(BD!$Y$3:$Y$5001,BD!$B$3:$B$5001,M$210,BD!$A$3:$A$5001,_xlfn.MAXIFS(BD!$A$3:$A$5001,BD!$B$3:$B$5001,M$210,BD!$A$3:$A$5001,"&gt;="&amp;$C$8,BD!$A$3:$A$5001,"&lt;="&amp;$D$8,BD!$Y$3:$Y$5001,"&lt;&gt;"))))</f>
        <v/>
      </c>
      <c r="N242" s="45" t="str">
        <f>IF(N$210="","",IF(COUNTIFS(BD!$B$3:$B$5001,N$210,BD!$A$3:$A$5001,"&gt;="&amp;$C$8,BD!$A$3:$A$5001,"&lt;="&amp;$D$8,BD!$Y$3:$Y$5001,"&lt;&gt;")=0,"",SUMIFS(BD!$Y$3:$Y$5001,BD!$B$3:$B$5001,N$210,BD!$A$3:$A$5001,_xlfn.MAXIFS(BD!$A$3:$A$5001,BD!$B$3:$B$5001,N$210,BD!$A$3:$A$5001,"&gt;="&amp;$C$8,BD!$A$3:$A$5001,"&lt;="&amp;$D$8,BD!$Y$3:$Y$5001,"&lt;&gt;"))))</f>
        <v/>
      </c>
      <c r="O242" s="45" t="str">
        <f>IF(O$210="","",IF(COUNTIFS(BD!$B$3:$B$5001,O$210,BD!$A$3:$A$5001,"&gt;="&amp;$C$8,BD!$A$3:$A$5001,"&lt;="&amp;$D$8,BD!$Y$3:$Y$5001,"&lt;&gt;")=0,"",SUMIFS(BD!$Y$3:$Y$5001,BD!$B$3:$B$5001,O$210,BD!$A$3:$A$5001,_xlfn.MAXIFS(BD!$A$3:$A$5001,BD!$B$3:$B$5001,O$210,BD!$A$3:$A$5001,"&gt;="&amp;$C$8,BD!$A$3:$A$5001,"&lt;="&amp;$D$8,BD!$Y$3:$Y$5001,"&lt;&gt;"))))</f>
        <v/>
      </c>
      <c r="P242" s="45" t="str">
        <f>IF(P$210="","",IF(COUNTIFS(BD!$B$3:$B$5001,P$210,BD!$A$3:$A$5001,"&gt;="&amp;$C$8,BD!$A$3:$A$5001,"&lt;="&amp;$D$8,BD!$Y$3:$Y$5001,"&lt;&gt;")=0,"",SUMIFS(BD!$Y$3:$Y$5001,BD!$B$3:$B$5001,P$210,BD!$A$3:$A$5001,_xlfn.MAXIFS(BD!$A$3:$A$5001,BD!$B$3:$B$5001,P$210,BD!$A$3:$A$5001,"&gt;="&amp;$C$8,BD!$A$3:$A$5001,"&lt;="&amp;$D$8,BD!$Y$3:$Y$5001,"&lt;&gt;"))))</f>
        <v/>
      </c>
      <c r="Q242" s="45" t="str">
        <f>IF(Q$210="","",IF(COUNTIFS(BD!$B$3:$B$5001,Q$210,BD!$A$3:$A$5001,"&gt;="&amp;$C$8,BD!$A$3:$A$5001,"&lt;="&amp;$D$8,BD!$Y$3:$Y$5001,"&lt;&gt;")=0,"",SUMIFS(BD!$Y$3:$Y$5001,BD!$B$3:$B$5001,Q$210,BD!$A$3:$A$5001,_xlfn.MAXIFS(BD!$A$3:$A$5001,BD!$B$3:$B$5001,Q$210,BD!$A$3:$A$5001,"&gt;="&amp;$C$8,BD!$A$3:$A$5001,"&lt;="&amp;$D$8,BD!$Y$3:$Y$5001,"&lt;&gt;"))))</f>
        <v/>
      </c>
      <c r="R242" s="45" t="str">
        <f>IF(R$210="","",IF(COUNTIFS(BD!$B$3:$B$5001,R$210,BD!$A$3:$A$5001,"&gt;="&amp;$C$8,BD!$A$3:$A$5001,"&lt;="&amp;$D$8,BD!$Y$3:$Y$5001,"&lt;&gt;")=0,"",SUMIFS(BD!$Y$3:$Y$5001,BD!$B$3:$B$5001,R$210,BD!$A$3:$A$5001,_xlfn.MAXIFS(BD!$A$3:$A$5001,BD!$B$3:$B$5001,R$210,BD!$A$3:$A$5001,"&gt;="&amp;$C$8,BD!$A$3:$A$5001,"&lt;="&amp;$D$8,BD!$Y$3:$Y$5001,"&lt;&gt;"))))</f>
        <v/>
      </c>
      <c r="S242" s="45" t="str">
        <f>IF(S$210="","",IF(COUNTIFS(BD!$B$3:$B$5001,S$210,BD!$A$3:$A$5001,"&gt;="&amp;$C$8,BD!$A$3:$A$5001,"&lt;="&amp;$D$8,BD!$Y$3:$Y$5001,"&lt;&gt;")=0,"",SUMIFS(BD!$Y$3:$Y$5001,BD!$B$3:$B$5001,S$210,BD!$A$3:$A$5001,_xlfn.MAXIFS(BD!$A$3:$A$5001,BD!$B$3:$B$5001,S$210,BD!$A$3:$A$5001,"&gt;="&amp;$C$8,BD!$A$3:$A$5001,"&lt;="&amp;$D$8,BD!$Y$3:$Y$5001,"&lt;&gt;"))))</f>
        <v/>
      </c>
      <c r="T242" s="45" t="str">
        <f>IF(T$210="","",IF(COUNTIFS(BD!$B$3:$B$5001,T$210,BD!$A$3:$A$5001,"&gt;="&amp;$C$8,BD!$A$3:$A$5001,"&lt;="&amp;$D$8,BD!$Y$3:$Y$5001,"&lt;&gt;")=0,"",SUMIFS(BD!$Y$3:$Y$5001,BD!$B$3:$B$5001,T$210,BD!$A$3:$A$5001,_xlfn.MAXIFS(BD!$A$3:$A$5001,BD!$B$3:$B$5001,T$210,BD!$A$3:$A$5001,"&gt;="&amp;$C$8,BD!$A$3:$A$5001,"&lt;="&amp;$D$8,BD!$Y$3:$Y$5001,"&lt;&gt;"))))</f>
        <v/>
      </c>
      <c r="U242" s="45" t="str">
        <f>IF(U$210="","",IF(COUNTIFS(BD!$B$3:$B$5001,U$210,BD!$A$3:$A$5001,"&gt;="&amp;$C$8,BD!$A$3:$A$5001,"&lt;="&amp;$D$8,BD!$Y$3:$Y$5001,"&lt;&gt;")=0,"",SUMIFS(BD!$Y$3:$Y$5001,BD!$B$3:$B$5001,U$210,BD!$A$3:$A$5001,_xlfn.MAXIFS(BD!$A$3:$A$5001,BD!$B$3:$B$5001,U$210,BD!$A$3:$A$5001,"&gt;="&amp;$C$8,BD!$A$3:$A$5001,"&lt;="&amp;$D$8,BD!$Y$3:$Y$5001,"&lt;&gt;"))))</f>
        <v/>
      </c>
      <c r="V242" s="45" t="str">
        <f>IF(V$210="","",IF(COUNTIFS(BD!$B$3:$B$5001,V$210,BD!$A$3:$A$5001,"&gt;="&amp;$C$8,BD!$A$3:$A$5001,"&lt;="&amp;$D$8,BD!$Y$3:$Y$5001,"&lt;&gt;")=0,"",SUMIFS(BD!$Y$3:$Y$5001,BD!$B$3:$B$5001,V$210,BD!$A$3:$A$5001,_xlfn.MAXIFS(BD!$A$3:$A$5001,BD!$B$3:$B$5001,V$210,BD!$A$3:$A$5001,"&gt;="&amp;$C$8,BD!$A$3:$A$5001,"&lt;="&amp;$D$8,BD!$Y$3:$Y$5001,"&lt;&gt;"))))</f>
        <v/>
      </c>
    </row>
    <row r="243">
      <c r="A243" s="44" t="inlineStr">
        <is>
          <t xml:space="preserve">Depósito</t>
        </is>
      </c>
      <c r="C243" s="38" t="str">
        <f>IF(Config!$C$10="","TPC",Config!$C$10)</f>
        <v>TPC</v>
      </c>
      <c r="D243" s="38" t="str">
        <f>IF(Config!$C$11="","TPC",Config!$C$11)</f>
        <v>TPC</v>
      </c>
      <c r="E243" s="38" t="str">
        <f>IF(Config!$C$12="","TPC",Config!$C$12)</f>
        <v>TPC</v>
      </c>
      <c r="F243" s="38" t="str">
        <f>IF(Config!$C$13="","TPC",Config!$C$13)</f>
        <v>TPC</v>
      </c>
      <c r="G243" s="38" t="str">
        <f>IF(Config!$C$14="","TPC",Config!$C$14)</f>
        <v>TPC</v>
      </c>
      <c r="H243" s="38" t="str">
        <f>IF(Config!$C$15="","TPC",Config!$C$15)</f>
        <v>TPC</v>
      </c>
      <c r="I243" s="38" t="str">
        <f>IF(Config!$C$16="","TPC",Config!$C$16)</f>
        <v>TPC</v>
      </c>
      <c r="J243" s="38" t="str">
        <f>IF(Config!$C$17="","TPC",Config!$C$17)</f>
        <v>TPC</v>
      </c>
      <c r="K243" s="38" t="str">
        <f>IF(Config!$C$18="","TPC",Config!$C$18)</f>
        <v>TPC</v>
      </c>
      <c r="L243" s="38" t="str">
        <f>IF(Config!$C$19="","TPC",Config!$C$19)</f>
        <v>TPC</v>
      </c>
      <c r="M243" s="38" t="str">
        <f>IF(Config!$C$20="","TPC",Config!$C$20)</f>
        <v>TPC</v>
      </c>
      <c r="N243" s="38" t="str">
        <f>IF(Config!$C$21="","TPC",Config!$C$21)</f>
        <v>TPC</v>
      </c>
      <c r="O243" s="38" t="str">
        <f>IF(Config!$C$22="","TPC",Config!$C$22)</f>
        <v>TPC</v>
      </c>
      <c r="P243" s="38" t="str">
        <f>IF(Config!$C$23="","TPC",Config!$C$23)</f>
        <v>TPC</v>
      </c>
      <c r="Q243" s="38" t="str">
        <f>IF(Config!$C$24="","TPC",Config!$C$24)</f>
        <v>TPC</v>
      </c>
      <c r="R243" s="38" t="str">
        <f>IF(Config!$C$25="","TPC",Config!$C$25)</f>
        <v>TPC</v>
      </c>
      <c r="S243" s="38" t="str">
        <f>IF(Config!$C$26="","TPC",Config!$C$26)</f>
        <v>TPC</v>
      </c>
      <c r="T243" s="38" t="str">
        <f>IF(Config!$C$27="","TPC",Config!$C$27)</f>
        <v>TPC</v>
      </c>
      <c r="U243" s="38" t="str">
        <f>IF(Config!$C$28="","TPC",Config!$C$28)</f>
        <v>TPC</v>
      </c>
      <c r="V243" s="38" t="str">
        <f>IF(Config!$C$29="","TPC",Config!$C$29)</f>
        <v>TPC</v>
      </c>
    </row>
    <row r="245">
      <c r="A245" s="37" t="inlineStr">
        <is>
          <t xml:space="preserve">Efetivo Op.</t>
        </is>
      </c>
      <c r="B245" s="37" t="inlineStr">
        <is>
          <t xml:space="preserve">Data</t>
        </is>
      </c>
      <c r="C245" s="37" t="str">
        <f>Config!$B$10&amp;""</f>
        <v>Alpargatas</v>
      </c>
      <c r="D245" s="37" t="str">
        <f>Config!$B$11&amp;""</f>
        <v>Basf</v>
      </c>
      <c r="E245" s="37" t="str">
        <f>Config!$B$12&amp;""</f>
        <v>Beautybiz</v>
      </c>
      <c r="F245" s="37" t="str">
        <f>Config!$B$13&amp;""</f>
        <v>Boticário</v>
      </c>
      <c r="G245" s="37" t="str">
        <f>Config!$B$14&amp;""</f>
        <v>Confiance</v>
      </c>
      <c r="H245" s="37" t="str">
        <f>Config!$B$15&amp;""</f>
        <v>GE Vernova</v>
      </c>
      <c r="I245" s="37" t="str">
        <f>Config!$B$16&amp;""</f>
        <v>Omnilife</v>
      </c>
      <c r="J245" s="37" t="str">
        <f>Config!$B$17&amp;""</f>
        <v>Supply</v>
      </c>
      <c r="K245" s="37" t="str">
        <f>Config!$B$18&amp;""</f>
        <v>Vedacit</v>
      </c>
      <c r="L245" s="37" t="str">
        <f>Config!$B$19&amp;""</f>
        <v>Vestas</v>
      </c>
      <c r="M245" s="37" t="str">
        <f>Config!$B$20&amp;""</f>
        <v/>
      </c>
      <c r="N245" s="37" t="str">
        <f>Config!$B$21&amp;""</f>
        <v/>
      </c>
      <c r="O245" s="37" t="str">
        <f>Config!$B$22&amp;""</f>
        <v/>
      </c>
      <c r="P245" s="37" t="str">
        <f>Config!$B$23&amp;""</f>
        <v/>
      </c>
      <c r="Q245" s="37" t="str">
        <f>Config!$B$24&amp;""</f>
        <v/>
      </c>
      <c r="R245" s="37" t="str">
        <f>Config!$B$25&amp;""</f>
        <v/>
      </c>
      <c r="S245" s="37" t="str">
        <f>Config!$B$26&amp;""</f>
        <v/>
      </c>
      <c r="T245" s="37" t="str">
        <f>Config!$B$27&amp;""</f>
        <v/>
      </c>
      <c r="U245" s="37" t="str">
        <f>Config!$B$28&amp;""</f>
        <v/>
      </c>
      <c r="V245" s="37" t="str">
        <f>Config!$B$29&amp;""</f>
        <v/>
      </c>
    </row>
    <row r="246">
      <c r="A246" s="38">
        <v>1</v>
      </c>
      <c r="B246" s="42">
        <f>$B$12</f>
        <v>46296</v>
      </c>
      <c r="C246" s="43" t="str">
        <f>IF(OR($B246="",$A246&gt;$B$9,C$245=""),"",IF(COUNTIFS(BD!$B$3:$B$5001,C$245,BD!$A$3:$A$5001,"&gt;="&amp;$C$7,BD!$A$3:$A$5001,"&lt;="&amp;$B246,BD!$AA$3:$AA$5001,"&lt;&gt;")=0,"",SUMIFS(BD!$AA$3:$AA$5001,BD!$B$3:$B$5001,C$245,BD!$A$3:$A$5001,_xlfn.MAXIFS(BD!$A$3:$A$5001,BD!$B$3:$B$5001,C$245,BD!$A$3:$A$5001,"&gt;="&amp;$C$7,BD!$A$3:$A$5001,"&lt;="&amp;$B246,BD!$AA$3:$AA$5001,"&lt;&gt;"))))</f>
        <v/>
      </c>
      <c r="D246" s="43" t="str">
        <f>IF(OR($B246="",$A246&gt;$B$9,D$245=""),"",IF(COUNTIFS(BD!$B$3:$B$5001,D$245,BD!$A$3:$A$5001,"&gt;="&amp;$C$7,BD!$A$3:$A$5001,"&lt;="&amp;$B246,BD!$AA$3:$AA$5001,"&lt;&gt;")=0,"",SUMIFS(BD!$AA$3:$AA$5001,BD!$B$3:$B$5001,D$245,BD!$A$3:$A$5001,_xlfn.MAXIFS(BD!$A$3:$A$5001,BD!$B$3:$B$5001,D$245,BD!$A$3:$A$5001,"&gt;="&amp;$C$7,BD!$A$3:$A$5001,"&lt;="&amp;$B246,BD!$AA$3:$AA$5001,"&lt;&gt;"))))</f>
        <v/>
      </c>
      <c r="E246" s="43" t="str">
        <f>IF(OR($B246="",$A246&gt;$B$9,E$245=""),"",IF(COUNTIFS(BD!$B$3:$B$5001,E$245,BD!$A$3:$A$5001,"&gt;="&amp;$C$7,BD!$A$3:$A$5001,"&lt;="&amp;$B246,BD!$AA$3:$AA$5001,"&lt;&gt;")=0,"",SUMIFS(BD!$AA$3:$AA$5001,BD!$B$3:$B$5001,E$245,BD!$A$3:$A$5001,_xlfn.MAXIFS(BD!$A$3:$A$5001,BD!$B$3:$B$5001,E$245,BD!$A$3:$A$5001,"&gt;="&amp;$C$7,BD!$A$3:$A$5001,"&lt;="&amp;$B246,BD!$AA$3:$AA$5001,"&lt;&gt;"))))</f>
        <v/>
      </c>
      <c r="F246" s="43" t="str">
        <f>IF(OR($B246="",$A246&gt;$B$9,F$245=""),"",IF(COUNTIFS(BD!$B$3:$B$5001,F$245,BD!$A$3:$A$5001,"&gt;="&amp;$C$7,BD!$A$3:$A$5001,"&lt;="&amp;$B246,BD!$AA$3:$AA$5001,"&lt;&gt;")=0,"",SUMIFS(BD!$AA$3:$AA$5001,BD!$B$3:$B$5001,F$245,BD!$A$3:$A$5001,_xlfn.MAXIFS(BD!$A$3:$A$5001,BD!$B$3:$B$5001,F$245,BD!$A$3:$A$5001,"&gt;="&amp;$C$7,BD!$A$3:$A$5001,"&lt;="&amp;$B246,BD!$AA$3:$AA$5001,"&lt;&gt;"))))</f>
        <v/>
      </c>
      <c r="G246" s="43" t="str">
        <f>IF(OR($B246="",$A246&gt;$B$9,G$245=""),"",IF(COUNTIFS(BD!$B$3:$B$5001,G$245,BD!$A$3:$A$5001,"&gt;="&amp;$C$7,BD!$A$3:$A$5001,"&lt;="&amp;$B246,BD!$AA$3:$AA$5001,"&lt;&gt;")=0,"",SUMIFS(BD!$AA$3:$AA$5001,BD!$B$3:$B$5001,G$245,BD!$A$3:$A$5001,_xlfn.MAXIFS(BD!$A$3:$A$5001,BD!$B$3:$B$5001,G$245,BD!$A$3:$A$5001,"&gt;="&amp;$C$7,BD!$A$3:$A$5001,"&lt;="&amp;$B246,BD!$AA$3:$AA$5001,"&lt;&gt;"))))</f>
        <v/>
      </c>
      <c r="H246" s="43" t="str">
        <f>IF(OR($B246="",$A246&gt;$B$9,H$245=""),"",IF(COUNTIFS(BD!$B$3:$B$5001,H$245,BD!$A$3:$A$5001,"&gt;="&amp;$C$7,BD!$A$3:$A$5001,"&lt;="&amp;$B246,BD!$AA$3:$AA$5001,"&lt;&gt;")=0,"",SUMIFS(BD!$AA$3:$AA$5001,BD!$B$3:$B$5001,H$245,BD!$A$3:$A$5001,_xlfn.MAXIFS(BD!$A$3:$A$5001,BD!$B$3:$B$5001,H$245,BD!$A$3:$A$5001,"&gt;="&amp;$C$7,BD!$A$3:$A$5001,"&lt;="&amp;$B246,BD!$AA$3:$AA$5001,"&lt;&gt;"))))</f>
        <v/>
      </c>
      <c r="I246" s="43" t="str">
        <f>IF(OR($B246="",$A246&gt;$B$9,I$245=""),"",IF(COUNTIFS(BD!$B$3:$B$5001,I$245,BD!$A$3:$A$5001,"&gt;="&amp;$C$7,BD!$A$3:$A$5001,"&lt;="&amp;$B246,BD!$AA$3:$AA$5001,"&lt;&gt;")=0,"",SUMIFS(BD!$AA$3:$AA$5001,BD!$B$3:$B$5001,I$245,BD!$A$3:$A$5001,_xlfn.MAXIFS(BD!$A$3:$A$5001,BD!$B$3:$B$5001,I$245,BD!$A$3:$A$5001,"&gt;="&amp;$C$7,BD!$A$3:$A$5001,"&lt;="&amp;$B246,BD!$AA$3:$AA$5001,"&lt;&gt;"))))</f>
        <v/>
      </c>
      <c r="J246" s="43" t="str">
        <f>IF(OR($B246="",$A246&gt;$B$9,J$245=""),"",IF(COUNTIFS(BD!$B$3:$B$5001,J$245,BD!$A$3:$A$5001,"&gt;="&amp;$C$7,BD!$A$3:$A$5001,"&lt;="&amp;$B246,BD!$AA$3:$AA$5001,"&lt;&gt;")=0,"",SUMIFS(BD!$AA$3:$AA$5001,BD!$B$3:$B$5001,J$245,BD!$A$3:$A$5001,_xlfn.MAXIFS(BD!$A$3:$A$5001,BD!$B$3:$B$5001,J$245,BD!$A$3:$A$5001,"&gt;="&amp;$C$7,BD!$A$3:$A$5001,"&lt;="&amp;$B246,BD!$AA$3:$AA$5001,"&lt;&gt;"))))</f>
        <v/>
      </c>
      <c r="K246" s="43" t="str">
        <f>IF(OR($B246="",$A246&gt;$B$9,K$245=""),"",IF(COUNTIFS(BD!$B$3:$B$5001,K$245,BD!$A$3:$A$5001,"&gt;="&amp;$C$7,BD!$A$3:$A$5001,"&lt;="&amp;$B246,BD!$AA$3:$AA$5001,"&lt;&gt;")=0,"",SUMIFS(BD!$AA$3:$AA$5001,BD!$B$3:$B$5001,K$245,BD!$A$3:$A$5001,_xlfn.MAXIFS(BD!$A$3:$A$5001,BD!$B$3:$B$5001,K$245,BD!$A$3:$A$5001,"&gt;="&amp;$C$7,BD!$A$3:$A$5001,"&lt;="&amp;$B246,BD!$AA$3:$AA$5001,"&lt;&gt;"))))</f>
        <v/>
      </c>
      <c r="L246" s="43" t="str">
        <f>IF(OR($B246="",$A246&gt;$B$9,L$245=""),"",IF(COUNTIFS(BD!$B$3:$B$5001,L$245,BD!$A$3:$A$5001,"&gt;="&amp;$C$7,BD!$A$3:$A$5001,"&lt;="&amp;$B246,BD!$AA$3:$AA$5001,"&lt;&gt;")=0,"",SUMIFS(BD!$AA$3:$AA$5001,BD!$B$3:$B$5001,L$245,BD!$A$3:$A$5001,_xlfn.MAXIFS(BD!$A$3:$A$5001,BD!$B$3:$B$5001,L$245,BD!$A$3:$A$5001,"&gt;="&amp;$C$7,BD!$A$3:$A$5001,"&lt;="&amp;$B246,BD!$AA$3:$AA$5001,"&lt;&gt;"))))</f>
        <v/>
      </c>
      <c r="M246" s="43" t="str">
        <f>IF(OR($B246="",$A246&gt;$B$9,M$245=""),"",IF(COUNTIFS(BD!$B$3:$B$5001,M$245,BD!$A$3:$A$5001,"&gt;="&amp;$C$7,BD!$A$3:$A$5001,"&lt;="&amp;$B246,BD!$AA$3:$AA$5001,"&lt;&gt;")=0,"",SUMIFS(BD!$AA$3:$AA$5001,BD!$B$3:$B$5001,M$245,BD!$A$3:$A$5001,_xlfn.MAXIFS(BD!$A$3:$A$5001,BD!$B$3:$B$5001,M$245,BD!$A$3:$A$5001,"&gt;="&amp;$C$7,BD!$A$3:$A$5001,"&lt;="&amp;$B246,BD!$AA$3:$AA$5001,"&lt;&gt;"))))</f>
        <v/>
      </c>
      <c r="N246" s="43" t="str">
        <f>IF(OR($B246="",$A246&gt;$B$9,N$245=""),"",IF(COUNTIFS(BD!$B$3:$B$5001,N$245,BD!$A$3:$A$5001,"&gt;="&amp;$C$7,BD!$A$3:$A$5001,"&lt;="&amp;$B246,BD!$AA$3:$AA$5001,"&lt;&gt;")=0,"",SUMIFS(BD!$AA$3:$AA$5001,BD!$B$3:$B$5001,N$245,BD!$A$3:$A$5001,_xlfn.MAXIFS(BD!$A$3:$A$5001,BD!$B$3:$B$5001,N$245,BD!$A$3:$A$5001,"&gt;="&amp;$C$7,BD!$A$3:$A$5001,"&lt;="&amp;$B246,BD!$AA$3:$AA$5001,"&lt;&gt;"))))</f>
        <v/>
      </c>
      <c r="O246" s="43" t="str">
        <f>IF(OR($B246="",$A246&gt;$B$9,O$245=""),"",IF(COUNTIFS(BD!$B$3:$B$5001,O$245,BD!$A$3:$A$5001,"&gt;="&amp;$C$7,BD!$A$3:$A$5001,"&lt;="&amp;$B246,BD!$AA$3:$AA$5001,"&lt;&gt;")=0,"",SUMIFS(BD!$AA$3:$AA$5001,BD!$B$3:$B$5001,O$245,BD!$A$3:$A$5001,_xlfn.MAXIFS(BD!$A$3:$A$5001,BD!$B$3:$B$5001,O$245,BD!$A$3:$A$5001,"&gt;="&amp;$C$7,BD!$A$3:$A$5001,"&lt;="&amp;$B246,BD!$AA$3:$AA$5001,"&lt;&gt;"))))</f>
        <v/>
      </c>
      <c r="P246" s="43" t="str">
        <f>IF(OR($B246="",$A246&gt;$B$9,P$245=""),"",IF(COUNTIFS(BD!$B$3:$B$5001,P$245,BD!$A$3:$A$5001,"&gt;="&amp;$C$7,BD!$A$3:$A$5001,"&lt;="&amp;$B246,BD!$AA$3:$AA$5001,"&lt;&gt;")=0,"",SUMIFS(BD!$AA$3:$AA$5001,BD!$B$3:$B$5001,P$245,BD!$A$3:$A$5001,_xlfn.MAXIFS(BD!$A$3:$A$5001,BD!$B$3:$B$5001,P$245,BD!$A$3:$A$5001,"&gt;="&amp;$C$7,BD!$A$3:$A$5001,"&lt;="&amp;$B246,BD!$AA$3:$AA$5001,"&lt;&gt;"))))</f>
        <v/>
      </c>
      <c r="Q246" s="43" t="str">
        <f>IF(OR($B246="",$A246&gt;$B$9,Q$245=""),"",IF(COUNTIFS(BD!$B$3:$B$5001,Q$245,BD!$A$3:$A$5001,"&gt;="&amp;$C$7,BD!$A$3:$A$5001,"&lt;="&amp;$B246,BD!$AA$3:$AA$5001,"&lt;&gt;")=0,"",SUMIFS(BD!$AA$3:$AA$5001,BD!$B$3:$B$5001,Q$245,BD!$A$3:$A$5001,_xlfn.MAXIFS(BD!$A$3:$A$5001,BD!$B$3:$B$5001,Q$245,BD!$A$3:$A$5001,"&gt;="&amp;$C$7,BD!$A$3:$A$5001,"&lt;="&amp;$B246,BD!$AA$3:$AA$5001,"&lt;&gt;"))))</f>
        <v/>
      </c>
      <c r="R246" s="43" t="str">
        <f>IF(OR($B246="",$A246&gt;$B$9,R$245=""),"",IF(COUNTIFS(BD!$B$3:$B$5001,R$245,BD!$A$3:$A$5001,"&gt;="&amp;$C$7,BD!$A$3:$A$5001,"&lt;="&amp;$B246,BD!$AA$3:$AA$5001,"&lt;&gt;")=0,"",SUMIFS(BD!$AA$3:$AA$5001,BD!$B$3:$B$5001,R$245,BD!$A$3:$A$5001,_xlfn.MAXIFS(BD!$A$3:$A$5001,BD!$B$3:$B$5001,R$245,BD!$A$3:$A$5001,"&gt;="&amp;$C$7,BD!$A$3:$A$5001,"&lt;="&amp;$B246,BD!$AA$3:$AA$5001,"&lt;&gt;"))))</f>
        <v/>
      </c>
      <c r="S246" s="43" t="str">
        <f>IF(OR($B246="",$A246&gt;$B$9,S$245=""),"",IF(COUNTIFS(BD!$B$3:$B$5001,S$245,BD!$A$3:$A$5001,"&gt;="&amp;$C$7,BD!$A$3:$A$5001,"&lt;="&amp;$B246,BD!$AA$3:$AA$5001,"&lt;&gt;")=0,"",SUMIFS(BD!$AA$3:$AA$5001,BD!$B$3:$B$5001,S$245,BD!$A$3:$A$5001,_xlfn.MAXIFS(BD!$A$3:$A$5001,BD!$B$3:$B$5001,S$245,BD!$A$3:$A$5001,"&gt;="&amp;$C$7,BD!$A$3:$A$5001,"&lt;="&amp;$B246,BD!$AA$3:$AA$5001,"&lt;&gt;"))))</f>
        <v/>
      </c>
      <c r="T246" s="43" t="str">
        <f>IF(OR($B246="",$A246&gt;$B$9,T$245=""),"",IF(COUNTIFS(BD!$B$3:$B$5001,T$245,BD!$A$3:$A$5001,"&gt;="&amp;$C$7,BD!$A$3:$A$5001,"&lt;="&amp;$B246,BD!$AA$3:$AA$5001,"&lt;&gt;")=0,"",SUMIFS(BD!$AA$3:$AA$5001,BD!$B$3:$B$5001,T$245,BD!$A$3:$A$5001,_xlfn.MAXIFS(BD!$A$3:$A$5001,BD!$B$3:$B$5001,T$245,BD!$A$3:$A$5001,"&gt;="&amp;$C$7,BD!$A$3:$A$5001,"&lt;="&amp;$B246,BD!$AA$3:$AA$5001,"&lt;&gt;"))))</f>
        <v/>
      </c>
      <c r="U246" s="43" t="str">
        <f>IF(OR($B246="",$A246&gt;$B$9,U$245=""),"",IF(COUNTIFS(BD!$B$3:$B$5001,U$245,BD!$A$3:$A$5001,"&gt;="&amp;$C$7,BD!$A$3:$A$5001,"&lt;="&amp;$B246,BD!$AA$3:$AA$5001,"&lt;&gt;")=0,"",SUMIFS(BD!$AA$3:$AA$5001,BD!$B$3:$B$5001,U$245,BD!$A$3:$A$5001,_xlfn.MAXIFS(BD!$A$3:$A$5001,BD!$B$3:$B$5001,U$245,BD!$A$3:$A$5001,"&gt;="&amp;$C$7,BD!$A$3:$A$5001,"&lt;="&amp;$B246,BD!$AA$3:$AA$5001,"&lt;&gt;"))))</f>
        <v/>
      </c>
      <c r="V246" s="43" t="str">
        <f>IF(OR($B246="",$A246&gt;$B$9,V$245=""),"",IF(COUNTIFS(BD!$B$3:$B$5001,V$245,BD!$A$3:$A$5001,"&gt;="&amp;$C$7,BD!$A$3:$A$5001,"&lt;="&amp;$B246,BD!$AA$3:$AA$5001,"&lt;&gt;")=0,"",SUMIFS(BD!$AA$3:$AA$5001,BD!$B$3:$B$5001,V$245,BD!$A$3:$A$5001,_xlfn.MAXIFS(BD!$A$3:$A$5001,BD!$B$3:$B$5001,V$245,BD!$A$3:$A$5001,"&gt;="&amp;$C$7,BD!$A$3:$A$5001,"&lt;="&amp;$B246,BD!$AA$3:$AA$5001,"&lt;&gt;"))))</f>
        <v/>
      </c>
    </row>
    <row r="247">
      <c r="A247" s="38">
        <v>2</v>
      </c>
      <c r="B247" s="42">
        <f>$B$13</f>
        <v>46297</v>
      </c>
      <c r="C247" s="43" t="str">
        <f>IF(OR($B247="",$A247&gt;$B$9,C$245=""),"",IF(COUNTIFS(BD!$B$3:$B$5001,C$245,BD!$A$3:$A$5001,"&gt;="&amp;$C$7,BD!$A$3:$A$5001,"&lt;="&amp;$B247,BD!$AA$3:$AA$5001,"&lt;&gt;")=0,"",SUMIFS(BD!$AA$3:$AA$5001,BD!$B$3:$B$5001,C$245,BD!$A$3:$A$5001,_xlfn.MAXIFS(BD!$A$3:$A$5001,BD!$B$3:$B$5001,C$245,BD!$A$3:$A$5001,"&gt;="&amp;$C$7,BD!$A$3:$A$5001,"&lt;="&amp;$B247,BD!$AA$3:$AA$5001,"&lt;&gt;"))))</f>
        <v/>
      </c>
      <c r="D247" s="43" t="str">
        <f>IF(OR($B247="",$A247&gt;$B$9,D$245=""),"",IF(COUNTIFS(BD!$B$3:$B$5001,D$245,BD!$A$3:$A$5001,"&gt;="&amp;$C$7,BD!$A$3:$A$5001,"&lt;="&amp;$B247,BD!$AA$3:$AA$5001,"&lt;&gt;")=0,"",SUMIFS(BD!$AA$3:$AA$5001,BD!$B$3:$B$5001,D$245,BD!$A$3:$A$5001,_xlfn.MAXIFS(BD!$A$3:$A$5001,BD!$B$3:$B$5001,D$245,BD!$A$3:$A$5001,"&gt;="&amp;$C$7,BD!$A$3:$A$5001,"&lt;="&amp;$B247,BD!$AA$3:$AA$5001,"&lt;&gt;"))))</f>
        <v/>
      </c>
      <c r="E247" s="43" t="str">
        <f>IF(OR($B247="",$A247&gt;$B$9,E$245=""),"",IF(COUNTIFS(BD!$B$3:$B$5001,E$245,BD!$A$3:$A$5001,"&gt;="&amp;$C$7,BD!$A$3:$A$5001,"&lt;="&amp;$B247,BD!$AA$3:$AA$5001,"&lt;&gt;")=0,"",SUMIFS(BD!$AA$3:$AA$5001,BD!$B$3:$B$5001,E$245,BD!$A$3:$A$5001,_xlfn.MAXIFS(BD!$A$3:$A$5001,BD!$B$3:$B$5001,E$245,BD!$A$3:$A$5001,"&gt;="&amp;$C$7,BD!$A$3:$A$5001,"&lt;="&amp;$B247,BD!$AA$3:$AA$5001,"&lt;&gt;"))))</f>
        <v/>
      </c>
      <c r="F247" s="43" t="str">
        <f>IF(OR($B247="",$A247&gt;$B$9,F$245=""),"",IF(COUNTIFS(BD!$B$3:$B$5001,F$245,BD!$A$3:$A$5001,"&gt;="&amp;$C$7,BD!$A$3:$A$5001,"&lt;="&amp;$B247,BD!$AA$3:$AA$5001,"&lt;&gt;")=0,"",SUMIFS(BD!$AA$3:$AA$5001,BD!$B$3:$B$5001,F$245,BD!$A$3:$A$5001,_xlfn.MAXIFS(BD!$A$3:$A$5001,BD!$B$3:$B$5001,F$245,BD!$A$3:$A$5001,"&gt;="&amp;$C$7,BD!$A$3:$A$5001,"&lt;="&amp;$B247,BD!$AA$3:$AA$5001,"&lt;&gt;"))))</f>
        <v/>
      </c>
      <c r="G247" s="43" t="str">
        <f>IF(OR($B247="",$A247&gt;$B$9,G$245=""),"",IF(COUNTIFS(BD!$B$3:$B$5001,G$245,BD!$A$3:$A$5001,"&gt;="&amp;$C$7,BD!$A$3:$A$5001,"&lt;="&amp;$B247,BD!$AA$3:$AA$5001,"&lt;&gt;")=0,"",SUMIFS(BD!$AA$3:$AA$5001,BD!$B$3:$B$5001,G$245,BD!$A$3:$A$5001,_xlfn.MAXIFS(BD!$A$3:$A$5001,BD!$B$3:$B$5001,G$245,BD!$A$3:$A$5001,"&gt;="&amp;$C$7,BD!$A$3:$A$5001,"&lt;="&amp;$B247,BD!$AA$3:$AA$5001,"&lt;&gt;"))))</f>
        <v/>
      </c>
      <c r="H247" s="43" t="str">
        <f>IF(OR($B247="",$A247&gt;$B$9,H$245=""),"",IF(COUNTIFS(BD!$B$3:$B$5001,H$245,BD!$A$3:$A$5001,"&gt;="&amp;$C$7,BD!$A$3:$A$5001,"&lt;="&amp;$B247,BD!$AA$3:$AA$5001,"&lt;&gt;")=0,"",SUMIFS(BD!$AA$3:$AA$5001,BD!$B$3:$B$5001,H$245,BD!$A$3:$A$5001,_xlfn.MAXIFS(BD!$A$3:$A$5001,BD!$B$3:$B$5001,H$245,BD!$A$3:$A$5001,"&gt;="&amp;$C$7,BD!$A$3:$A$5001,"&lt;="&amp;$B247,BD!$AA$3:$AA$5001,"&lt;&gt;"))))</f>
        <v/>
      </c>
      <c r="I247" s="43" t="str">
        <f>IF(OR($B247="",$A247&gt;$B$9,I$245=""),"",IF(COUNTIFS(BD!$B$3:$B$5001,I$245,BD!$A$3:$A$5001,"&gt;="&amp;$C$7,BD!$A$3:$A$5001,"&lt;="&amp;$B247,BD!$AA$3:$AA$5001,"&lt;&gt;")=0,"",SUMIFS(BD!$AA$3:$AA$5001,BD!$B$3:$B$5001,I$245,BD!$A$3:$A$5001,_xlfn.MAXIFS(BD!$A$3:$A$5001,BD!$B$3:$B$5001,I$245,BD!$A$3:$A$5001,"&gt;="&amp;$C$7,BD!$A$3:$A$5001,"&lt;="&amp;$B247,BD!$AA$3:$AA$5001,"&lt;&gt;"))))</f>
        <v/>
      </c>
      <c r="J247" s="43" t="str">
        <f>IF(OR($B247="",$A247&gt;$B$9,J$245=""),"",IF(COUNTIFS(BD!$B$3:$B$5001,J$245,BD!$A$3:$A$5001,"&gt;="&amp;$C$7,BD!$A$3:$A$5001,"&lt;="&amp;$B247,BD!$AA$3:$AA$5001,"&lt;&gt;")=0,"",SUMIFS(BD!$AA$3:$AA$5001,BD!$B$3:$B$5001,J$245,BD!$A$3:$A$5001,_xlfn.MAXIFS(BD!$A$3:$A$5001,BD!$B$3:$B$5001,J$245,BD!$A$3:$A$5001,"&gt;="&amp;$C$7,BD!$A$3:$A$5001,"&lt;="&amp;$B247,BD!$AA$3:$AA$5001,"&lt;&gt;"))))</f>
        <v/>
      </c>
      <c r="K247" s="43" t="str">
        <f>IF(OR($B247="",$A247&gt;$B$9,K$245=""),"",IF(COUNTIFS(BD!$B$3:$B$5001,K$245,BD!$A$3:$A$5001,"&gt;="&amp;$C$7,BD!$A$3:$A$5001,"&lt;="&amp;$B247,BD!$AA$3:$AA$5001,"&lt;&gt;")=0,"",SUMIFS(BD!$AA$3:$AA$5001,BD!$B$3:$B$5001,K$245,BD!$A$3:$A$5001,_xlfn.MAXIFS(BD!$A$3:$A$5001,BD!$B$3:$B$5001,K$245,BD!$A$3:$A$5001,"&gt;="&amp;$C$7,BD!$A$3:$A$5001,"&lt;="&amp;$B247,BD!$AA$3:$AA$5001,"&lt;&gt;"))))</f>
        <v/>
      </c>
      <c r="L247" s="43" t="str">
        <f>IF(OR($B247="",$A247&gt;$B$9,L$245=""),"",IF(COUNTIFS(BD!$B$3:$B$5001,L$245,BD!$A$3:$A$5001,"&gt;="&amp;$C$7,BD!$A$3:$A$5001,"&lt;="&amp;$B247,BD!$AA$3:$AA$5001,"&lt;&gt;")=0,"",SUMIFS(BD!$AA$3:$AA$5001,BD!$B$3:$B$5001,L$245,BD!$A$3:$A$5001,_xlfn.MAXIFS(BD!$A$3:$A$5001,BD!$B$3:$B$5001,L$245,BD!$A$3:$A$5001,"&gt;="&amp;$C$7,BD!$A$3:$A$5001,"&lt;="&amp;$B247,BD!$AA$3:$AA$5001,"&lt;&gt;"))))</f>
        <v/>
      </c>
      <c r="M247" s="43" t="str">
        <f>IF(OR($B247="",$A247&gt;$B$9,M$245=""),"",IF(COUNTIFS(BD!$B$3:$B$5001,M$245,BD!$A$3:$A$5001,"&gt;="&amp;$C$7,BD!$A$3:$A$5001,"&lt;="&amp;$B247,BD!$AA$3:$AA$5001,"&lt;&gt;")=0,"",SUMIFS(BD!$AA$3:$AA$5001,BD!$B$3:$B$5001,M$245,BD!$A$3:$A$5001,_xlfn.MAXIFS(BD!$A$3:$A$5001,BD!$B$3:$B$5001,M$245,BD!$A$3:$A$5001,"&gt;="&amp;$C$7,BD!$A$3:$A$5001,"&lt;="&amp;$B247,BD!$AA$3:$AA$5001,"&lt;&gt;"))))</f>
        <v/>
      </c>
      <c r="N247" s="43" t="str">
        <f>IF(OR($B247="",$A247&gt;$B$9,N$245=""),"",IF(COUNTIFS(BD!$B$3:$B$5001,N$245,BD!$A$3:$A$5001,"&gt;="&amp;$C$7,BD!$A$3:$A$5001,"&lt;="&amp;$B247,BD!$AA$3:$AA$5001,"&lt;&gt;")=0,"",SUMIFS(BD!$AA$3:$AA$5001,BD!$B$3:$B$5001,N$245,BD!$A$3:$A$5001,_xlfn.MAXIFS(BD!$A$3:$A$5001,BD!$B$3:$B$5001,N$245,BD!$A$3:$A$5001,"&gt;="&amp;$C$7,BD!$A$3:$A$5001,"&lt;="&amp;$B247,BD!$AA$3:$AA$5001,"&lt;&gt;"))))</f>
        <v/>
      </c>
      <c r="O247" s="43" t="str">
        <f>IF(OR($B247="",$A247&gt;$B$9,O$245=""),"",IF(COUNTIFS(BD!$B$3:$B$5001,O$245,BD!$A$3:$A$5001,"&gt;="&amp;$C$7,BD!$A$3:$A$5001,"&lt;="&amp;$B247,BD!$AA$3:$AA$5001,"&lt;&gt;")=0,"",SUMIFS(BD!$AA$3:$AA$5001,BD!$B$3:$B$5001,O$245,BD!$A$3:$A$5001,_xlfn.MAXIFS(BD!$A$3:$A$5001,BD!$B$3:$B$5001,O$245,BD!$A$3:$A$5001,"&gt;="&amp;$C$7,BD!$A$3:$A$5001,"&lt;="&amp;$B247,BD!$AA$3:$AA$5001,"&lt;&gt;"))))</f>
        <v/>
      </c>
      <c r="P247" s="43" t="str">
        <f>IF(OR($B247="",$A247&gt;$B$9,P$245=""),"",IF(COUNTIFS(BD!$B$3:$B$5001,P$245,BD!$A$3:$A$5001,"&gt;="&amp;$C$7,BD!$A$3:$A$5001,"&lt;="&amp;$B247,BD!$AA$3:$AA$5001,"&lt;&gt;")=0,"",SUMIFS(BD!$AA$3:$AA$5001,BD!$B$3:$B$5001,P$245,BD!$A$3:$A$5001,_xlfn.MAXIFS(BD!$A$3:$A$5001,BD!$B$3:$B$5001,P$245,BD!$A$3:$A$5001,"&gt;="&amp;$C$7,BD!$A$3:$A$5001,"&lt;="&amp;$B247,BD!$AA$3:$AA$5001,"&lt;&gt;"))))</f>
        <v/>
      </c>
      <c r="Q247" s="43" t="str">
        <f>IF(OR($B247="",$A247&gt;$B$9,Q$245=""),"",IF(COUNTIFS(BD!$B$3:$B$5001,Q$245,BD!$A$3:$A$5001,"&gt;="&amp;$C$7,BD!$A$3:$A$5001,"&lt;="&amp;$B247,BD!$AA$3:$AA$5001,"&lt;&gt;")=0,"",SUMIFS(BD!$AA$3:$AA$5001,BD!$B$3:$B$5001,Q$245,BD!$A$3:$A$5001,_xlfn.MAXIFS(BD!$A$3:$A$5001,BD!$B$3:$B$5001,Q$245,BD!$A$3:$A$5001,"&gt;="&amp;$C$7,BD!$A$3:$A$5001,"&lt;="&amp;$B247,BD!$AA$3:$AA$5001,"&lt;&gt;"))))</f>
        <v/>
      </c>
      <c r="R247" s="43" t="str">
        <f>IF(OR($B247="",$A247&gt;$B$9,R$245=""),"",IF(COUNTIFS(BD!$B$3:$B$5001,R$245,BD!$A$3:$A$5001,"&gt;="&amp;$C$7,BD!$A$3:$A$5001,"&lt;="&amp;$B247,BD!$AA$3:$AA$5001,"&lt;&gt;")=0,"",SUMIFS(BD!$AA$3:$AA$5001,BD!$B$3:$B$5001,R$245,BD!$A$3:$A$5001,_xlfn.MAXIFS(BD!$A$3:$A$5001,BD!$B$3:$B$5001,R$245,BD!$A$3:$A$5001,"&gt;="&amp;$C$7,BD!$A$3:$A$5001,"&lt;="&amp;$B247,BD!$AA$3:$AA$5001,"&lt;&gt;"))))</f>
        <v/>
      </c>
      <c r="S247" s="43" t="str">
        <f>IF(OR($B247="",$A247&gt;$B$9,S$245=""),"",IF(COUNTIFS(BD!$B$3:$B$5001,S$245,BD!$A$3:$A$5001,"&gt;="&amp;$C$7,BD!$A$3:$A$5001,"&lt;="&amp;$B247,BD!$AA$3:$AA$5001,"&lt;&gt;")=0,"",SUMIFS(BD!$AA$3:$AA$5001,BD!$B$3:$B$5001,S$245,BD!$A$3:$A$5001,_xlfn.MAXIFS(BD!$A$3:$A$5001,BD!$B$3:$B$5001,S$245,BD!$A$3:$A$5001,"&gt;="&amp;$C$7,BD!$A$3:$A$5001,"&lt;="&amp;$B247,BD!$AA$3:$AA$5001,"&lt;&gt;"))))</f>
        <v/>
      </c>
      <c r="T247" s="43" t="str">
        <f>IF(OR($B247="",$A247&gt;$B$9,T$245=""),"",IF(COUNTIFS(BD!$B$3:$B$5001,T$245,BD!$A$3:$A$5001,"&gt;="&amp;$C$7,BD!$A$3:$A$5001,"&lt;="&amp;$B247,BD!$AA$3:$AA$5001,"&lt;&gt;")=0,"",SUMIFS(BD!$AA$3:$AA$5001,BD!$B$3:$B$5001,T$245,BD!$A$3:$A$5001,_xlfn.MAXIFS(BD!$A$3:$A$5001,BD!$B$3:$B$5001,T$245,BD!$A$3:$A$5001,"&gt;="&amp;$C$7,BD!$A$3:$A$5001,"&lt;="&amp;$B247,BD!$AA$3:$AA$5001,"&lt;&gt;"))))</f>
        <v/>
      </c>
      <c r="U247" s="43" t="str">
        <f>IF(OR($B247="",$A247&gt;$B$9,U$245=""),"",IF(COUNTIFS(BD!$B$3:$B$5001,U$245,BD!$A$3:$A$5001,"&gt;="&amp;$C$7,BD!$A$3:$A$5001,"&lt;="&amp;$B247,BD!$AA$3:$AA$5001,"&lt;&gt;")=0,"",SUMIFS(BD!$AA$3:$AA$5001,BD!$B$3:$B$5001,U$245,BD!$A$3:$A$5001,_xlfn.MAXIFS(BD!$A$3:$A$5001,BD!$B$3:$B$5001,U$245,BD!$A$3:$A$5001,"&gt;="&amp;$C$7,BD!$A$3:$A$5001,"&lt;="&amp;$B247,BD!$AA$3:$AA$5001,"&lt;&gt;"))))</f>
        <v/>
      </c>
      <c r="V247" s="43" t="str">
        <f>IF(OR($B247="",$A247&gt;$B$9,V$245=""),"",IF(COUNTIFS(BD!$B$3:$B$5001,V$245,BD!$A$3:$A$5001,"&gt;="&amp;$C$7,BD!$A$3:$A$5001,"&lt;="&amp;$B247,BD!$AA$3:$AA$5001,"&lt;&gt;")=0,"",SUMIFS(BD!$AA$3:$AA$5001,BD!$B$3:$B$5001,V$245,BD!$A$3:$A$5001,_xlfn.MAXIFS(BD!$A$3:$A$5001,BD!$B$3:$B$5001,V$245,BD!$A$3:$A$5001,"&gt;="&amp;$C$7,BD!$A$3:$A$5001,"&lt;="&amp;$B247,BD!$AA$3:$AA$5001,"&lt;&gt;"))))</f>
        <v/>
      </c>
    </row>
    <row r="248">
      <c r="A248" s="38">
        <v>3</v>
      </c>
      <c r="B248" s="42">
        <f>$B$14</f>
        <v>46298</v>
      </c>
      <c r="C248" s="43" t="str">
        <f>IF(OR($B248="",$A248&gt;$B$9,C$245=""),"",IF(COUNTIFS(BD!$B$3:$B$5001,C$245,BD!$A$3:$A$5001,"&gt;="&amp;$C$7,BD!$A$3:$A$5001,"&lt;="&amp;$B248,BD!$AA$3:$AA$5001,"&lt;&gt;")=0,"",SUMIFS(BD!$AA$3:$AA$5001,BD!$B$3:$B$5001,C$245,BD!$A$3:$A$5001,_xlfn.MAXIFS(BD!$A$3:$A$5001,BD!$B$3:$B$5001,C$245,BD!$A$3:$A$5001,"&gt;="&amp;$C$7,BD!$A$3:$A$5001,"&lt;="&amp;$B248,BD!$AA$3:$AA$5001,"&lt;&gt;"))))</f>
        <v/>
      </c>
      <c r="D248" s="43" t="str">
        <f>IF(OR($B248="",$A248&gt;$B$9,D$245=""),"",IF(COUNTIFS(BD!$B$3:$B$5001,D$245,BD!$A$3:$A$5001,"&gt;="&amp;$C$7,BD!$A$3:$A$5001,"&lt;="&amp;$B248,BD!$AA$3:$AA$5001,"&lt;&gt;")=0,"",SUMIFS(BD!$AA$3:$AA$5001,BD!$B$3:$B$5001,D$245,BD!$A$3:$A$5001,_xlfn.MAXIFS(BD!$A$3:$A$5001,BD!$B$3:$B$5001,D$245,BD!$A$3:$A$5001,"&gt;="&amp;$C$7,BD!$A$3:$A$5001,"&lt;="&amp;$B248,BD!$AA$3:$AA$5001,"&lt;&gt;"))))</f>
        <v/>
      </c>
      <c r="E248" s="43" t="str">
        <f>IF(OR($B248="",$A248&gt;$B$9,E$245=""),"",IF(COUNTIFS(BD!$B$3:$B$5001,E$245,BD!$A$3:$A$5001,"&gt;="&amp;$C$7,BD!$A$3:$A$5001,"&lt;="&amp;$B248,BD!$AA$3:$AA$5001,"&lt;&gt;")=0,"",SUMIFS(BD!$AA$3:$AA$5001,BD!$B$3:$B$5001,E$245,BD!$A$3:$A$5001,_xlfn.MAXIFS(BD!$A$3:$A$5001,BD!$B$3:$B$5001,E$245,BD!$A$3:$A$5001,"&gt;="&amp;$C$7,BD!$A$3:$A$5001,"&lt;="&amp;$B248,BD!$AA$3:$AA$5001,"&lt;&gt;"))))</f>
        <v/>
      </c>
      <c r="F248" s="43" t="str">
        <f>IF(OR($B248="",$A248&gt;$B$9,F$245=""),"",IF(COUNTIFS(BD!$B$3:$B$5001,F$245,BD!$A$3:$A$5001,"&gt;="&amp;$C$7,BD!$A$3:$A$5001,"&lt;="&amp;$B248,BD!$AA$3:$AA$5001,"&lt;&gt;")=0,"",SUMIFS(BD!$AA$3:$AA$5001,BD!$B$3:$B$5001,F$245,BD!$A$3:$A$5001,_xlfn.MAXIFS(BD!$A$3:$A$5001,BD!$B$3:$B$5001,F$245,BD!$A$3:$A$5001,"&gt;="&amp;$C$7,BD!$A$3:$A$5001,"&lt;="&amp;$B248,BD!$AA$3:$AA$5001,"&lt;&gt;"))))</f>
        <v/>
      </c>
      <c r="G248" s="43" t="str">
        <f>IF(OR($B248="",$A248&gt;$B$9,G$245=""),"",IF(COUNTIFS(BD!$B$3:$B$5001,G$245,BD!$A$3:$A$5001,"&gt;="&amp;$C$7,BD!$A$3:$A$5001,"&lt;="&amp;$B248,BD!$AA$3:$AA$5001,"&lt;&gt;")=0,"",SUMIFS(BD!$AA$3:$AA$5001,BD!$B$3:$B$5001,G$245,BD!$A$3:$A$5001,_xlfn.MAXIFS(BD!$A$3:$A$5001,BD!$B$3:$B$5001,G$245,BD!$A$3:$A$5001,"&gt;="&amp;$C$7,BD!$A$3:$A$5001,"&lt;="&amp;$B248,BD!$AA$3:$AA$5001,"&lt;&gt;"))))</f>
        <v/>
      </c>
      <c r="H248" s="43" t="str">
        <f>IF(OR($B248="",$A248&gt;$B$9,H$245=""),"",IF(COUNTIFS(BD!$B$3:$B$5001,H$245,BD!$A$3:$A$5001,"&gt;="&amp;$C$7,BD!$A$3:$A$5001,"&lt;="&amp;$B248,BD!$AA$3:$AA$5001,"&lt;&gt;")=0,"",SUMIFS(BD!$AA$3:$AA$5001,BD!$B$3:$B$5001,H$245,BD!$A$3:$A$5001,_xlfn.MAXIFS(BD!$A$3:$A$5001,BD!$B$3:$B$5001,H$245,BD!$A$3:$A$5001,"&gt;="&amp;$C$7,BD!$A$3:$A$5001,"&lt;="&amp;$B248,BD!$AA$3:$AA$5001,"&lt;&gt;"))))</f>
        <v/>
      </c>
      <c r="I248" s="43" t="str">
        <f>IF(OR($B248="",$A248&gt;$B$9,I$245=""),"",IF(COUNTIFS(BD!$B$3:$B$5001,I$245,BD!$A$3:$A$5001,"&gt;="&amp;$C$7,BD!$A$3:$A$5001,"&lt;="&amp;$B248,BD!$AA$3:$AA$5001,"&lt;&gt;")=0,"",SUMIFS(BD!$AA$3:$AA$5001,BD!$B$3:$B$5001,I$245,BD!$A$3:$A$5001,_xlfn.MAXIFS(BD!$A$3:$A$5001,BD!$B$3:$B$5001,I$245,BD!$A$3:$A$5001,"&gt;="&amp;$C$7,BD!$A$3:$A$5001,"&lt;="&amp;$B248,BD!$AA$3:$AA$5001,"&lt;&gt;"))))</f>
        <v/>
      </c>
      <c r="J248" s="43" t="str">
        <f>IF(OR($B248="",$A248&gt;$B$9,J$245=""),"",IF(COUNTIFS(BD!$B$3:$B$5001,J$245,BD!$A$3:$A$5001,"&gt;="&amp;$C$7,BD!$A$3:$A$5001,"&lt;="&amp;$B248,BD!$AA$3:$AA$5001,"&lt;&gt;")=0,"",SUMIFS(BD!$AA$3:$AA$5001,BD!$B$3:$B$5001,J$245,BD!$A$3:$A$5001,_xlfn.MAXIFS(BD!$A$3:$A$5001,BD!$B$3:$B$5001,J$245,BD!$A$3:$A$5001,"&gt;="&amp;$C$7,BD!$A$3:$A$5001,"&lt;="&amp;$B248,BD!$AA$3:$AA$5001,"&lt;&gt;"))))</f>
        <v/>
      </c>
      <c r="K248" s="43" t="str">
        <f>IF(OR($B248="",$A248&gt;$B$9,K$245=""),"",IF(COUNTIFS(BD!$B$3:$B$5001,K$245,BD!$A$3:$A$5001,"&gt;="&amp;$C$7,BD!$A$3:$A$5001,"&lt;="&amp;$B248,BD!$AA$3:$AA$5001,"&lt;&gt;")=0,"",SUMIFS(BD!$AA$3:$AA$5001,BD!$B$3:$B$5001,K$245,BD!$A$3:$A$5001,_xlfn.MAXIFS(BD!$A$3:$A$5001,BD!$B$3:$B$5001,K$245,BD!$A$3:$A$5001,"&gt;="&amp;$C$7,BD!$A$3:$A$5001,"&lt;="&amp;$B248,BD!$AA$3:$AA$5001,"&lt;&gt;"))))</f>
        <v/>
      </c>
      <c r="L248" s="43" t="str">
        <f>IF(OR($B248="",$A248&gt;$B$9,L$245=""),"",IF(COUNTIFS(BD!$B$3:$B$5001,L$245,BD!$A$3:$A$5001,"&gt;="&amp;$C$7,BD!$A$3:$A$5001,"&lt;="&amp;$B248,BD!$AA$3:$AA$5001,"&lt;&gt;")=0,"",SUMIFS(BD!$AA$3:$AA$5001,BD!$B$3:$B$5001,L$245,BD!$A$3:$A$5001,_xlfn.MAXIFS(BD!$A$3:$A$5001,BD!$B$3:$B$5001,L$245,BD!$A$3:$A$5001,"&gt;="&amp;$C$7,BD!$A$3:$A$5001,"&lt;="&amp;$B248,BD!$AA$3:$AA$5001,"&lt;&gt;"))))</f>
        <v/>
      </c>
      <c r="M248" s="43" t="str">
        <f>IF(OR($B248="",$A248&gt;$B$9,M$245=""),"",IF(COUNTIFS(BD!$B$3:$B$5001,M$245,BD!$A$3:$A$5001,"&gt;="&amp;$C$7,BD!$A$3:$A$5001,"&lt;="&amp;$B248,BD!$AA$3:$AA$5001,"&lt;&gt;")=0,"",SUMIFS(BD!$AA$3:$AA$5001,BD!$B$3:$B$5001,M$245,BD!$A$3:$A$5001,_xlfn.MAXIFS(BD!$A$3:$A$5001,BD!$B$3:$B$5001,M$245,BD!$A$3:$A$5001,"&gt;="&amp;$C$7,BD!$A$3:$A$5001,"&lt;="&amp;$B248,BD!$AA$3:$AA$5001,"&lt;&gt;"))))</f>
        <v/>
      </c>
      <c r="N248" s="43" t="str">
        <f>IF(OR($B248="",$A248&gt;$B$9,N$245=""),"",IF(COUNTIFS(BD!$B$3:$B$5001,N$245,BD!$A$3:$A$5001,"&gt;="&amp;$C$7,BD!$A$3:$A$5001,"&lt;="&amp;$B248,BD!$AA$3:$AA$5001,"&lt;&gt;")=0,"",SUMIFS(BD!$AA$3:$AA$5001,BD!$B$3:$B$5001,N$245,BD!$A$3:$A$5001,_xlfn.MAXIFS(BD!$A$3:$A$5001,BD!$B$3:$B$5001,N$245,BD!$A$3:$A$5001,"&gt;="&amp;$C$7,BD!$A$3:$A$5001,"&lt;="&amp;$B248,BD!$AA$3:$AA$5001,"&lt;&gt;"))))</f>
        <v/>
      </c>
      <c r="O248" s="43" t="str">
        <f>IF(OR($B248="",$A248&gt;$B$9,O$245=""),"",IF(COUNTIFS(BD!$B$3:$B$5001,O$245,BD!$A$3:$A$5001,"&gt;="&amp;$C$7,BD!$A$3:$A$5001,"&lt;="&amp;$B248,BD!$AA$3:$AA$5001,"&lt;&gt;")=0,"",SUMIFS(BD!$AA$3:$AA$5001,BD!$B$3:$B$5001,O$245,BD!$A$3:$A$5001,_xlfn.MAXIFS(BD!$A$3:$A$5001,BD!$B$3:$B$5001,O$245,BD!$A$3:$A$5001,"&gt;="&amp;$C$7,BD!$A$3:$A$5001,"&lt;="&amp;$B248,BD!$AA$3:$AA$5001,"&lt;&gt;"))))</f>
        <v/>
      </c>
      <c r="P248" s="43" t="str">
        <f>IF(OR($B248="",$A248&gt;$B$9,P$245=""),"",IF(COUNTIFS(BD!$B$3:$B$5001,P$245,BD!$A$3:$A$5001,"&gt;="&amp;$C$7,BD!$A$3:$A$5001,"&lt;="&amp;$B248,BD!$AA$3:$AA$5001,"&lt;&gt;")=0,"",SUMIFS(BD!$AA$3:$AA$5001,BD!$B$3:$B$5001,P$245,BD!$A$3:$A$5001,_xlfn.MAXIFS(BD!$A$3:$A$5001,BD!$B$3:$B$5001,P$245,BD!$A$3:$A$5001,"&gt;="&amp;$C$7,BD!$A$3:$A$5001,"&lt;="&amp;$B248,BD!$AA$3:$AA$5001,"&lt;&gt;"))))</f>
        <v/>
      </c>
      <c r="Q248" s="43" t="str">
        <f>IF(OR($B248="",$A248&gt;$B$9,Q$245=""),"",IF(COUNTIFS(BD!$B$3:$B$5001,Q$245,BD!$A$3:$A$5001,"&gt;="&amp;$C$7,BD!$A$3:$A$5001,"&lt;="&amp;$B248,BD!$AA$3:$AA$5001,"&lt;&gt;")=0,"",SUMIFS(BD!$AA$3:$AA$5001,BD!$B$3:$B$5001,Q$245,BD!$A$3:$A$5001,_xlfn.MAXIFS(BD!$A$3:$A$5001,BD!$B$3:$B$5001,Q$245,BD!$A$3:$A$5001,"&gt;="&amp;$C$7,BD!$A$3:$A$5001,"&lt;="&amp;$B248,BD!$AA$3:$AA$5001,"&lt;&gt;"))))</f>
        <v/>
      </c>
      <c r="R248" s="43" t="str">
        <f>IF(OR($B248="",$A248&gt;$B$9,R$245=""),"",IF(COUNTIFS(BD!$B$3:$B$5001,R$245,BD!$A$3:$A$5001,"&gt;="&amp;$C$7,BD!$A$3:$A$5001,"&lt;="&amp;$B248,BD!$AA$3:$AA$5001,"&lt;&gt;")=0,"",SUMIFS(BD!$AA$3:$AA$5001,BD!$B$3:$B$5001,R$245,BD!$A$3:$A$5001,_xlfn.MAXIFS(BD!$A$3:$A$5001,BD!$B$3:$B$5001,R$245,BD!$A$3:$A$5001,"&gt;="&amp;$C$7,BD!$A$3:$A$5001,"&lt;="&amp;$B248,BD!$AA$3:$AA$5001,"&lt;&gt;"))))</f>
        <v/>
      </c>
      <c r="S248" s="43" t="str">
        <f>IF(OR($B248="",$A248&gt;$B$9,S$245=""),"",IF(COUNTIFS(BD!$B$3:$B$5001,S$245,BD!$A$3:$A$5001,"&gt;="&amp;$C$7,BD!$A$3:$A$5001,"&lt;="&amp;$B248,BD!$AA$3:$AA$5001,"&lt;&gt;")=0,"",SUMIFS(BD!$AA$3:$AA$5001,BD!$B$3:$B$5001,S$245,BD!$A$3:$A$5001,_xlfn.MAXIFS(BD!$A$3:$A$5001,BD!$B$3:$B$5001,S$245,BD!$A$3:$A$5001,"&gt;="&amp;$C$7,BD!$A$3:$A$5001,"&lt;="&amp;$B248,BD!$AA$3:$AA$5001,"&lt;&gt;"))))</f>
        <v/>
      </c>
      <c r="T248" s="43" t="str">
        <f>IF(OR($B248="",$A248&gt;$B$9,T$245=""),"",IF(COUNTIFS(BD!$B$3:$B$5001,T$245,BD!$A$3:$A$5001,"&gt;="&amp;$C$7,BD!$A$3:$A$5001,"&lt;="&amp;$B248,BD!$AA$3:$AA$5001,"&lt;&gt;")=0,"",SUMIFS(BD!$AA$3:$AA$5001,BD!$B$3:$B$5001,T$245,BD!$A$3:$A$5001,_xlfn.MAXIFS(BD!$A$3:$A$5001,BD!$B$3:$B$5001,T$245,BD!$A$3:$A$5001,"&gt;="&amp;$C$7,BD!$A$3:$A$5001,"&lt;="&amp;$B248,BD!$AA$3:$AA$5001,"&lt;&gt;"))))</f>
        <v/>
      </c>
      <c r="U248" s="43" t="str">
        <f>IF(OR($B248="",$A248&gt;$B$9,U$245=""),"",IF(COUNTIFS(BD!$B$3:$B$5001,U$245,BD!$A$3:$A$5001,"&gt;="&amp;$C$7,BD!$A$3:$A$5001,"&lt;="&amp;$B248,BD!$AA$3:$AA$5001,"&lt;&gt;")=0,"",SUMIFS(BD!$AA$3:$AA$5001,BD!$B$3:$B$5001,U$245,BD!$A$3:$A$5001,_xlfn.MAXIFS(BD!$A$3:$A$5001,BD!$B$3:$B$5001,U$245,BD!$A$3:$A$5001,"&gt;="&amp;$C$7,BD!$A$3:$A$5001,"&lt;="&amp;$B248,BD!$AA$3:$AA$5001,"&lt;&gt;"))))</f>
        <v/>
      </c>
      <c r="V248" s="43" t="str">
        <f>IF(OR($B248="",$A248&gt;$B$9,V$245=""),"",IF(COUNTIFS(BD!$B$3:$B$5001,V$245,BD!$A$3:$A$5001,"&gt;="&amp;$C$7,BD!$A$3:$A$5001,"&lt;="&amp;$B248,BD!$AA$3:$AA$5001,"&lt;&gt;")=0,"",SUMIFS(BD!$AA$3:$AA$5001,BD!$B$3:$B$5001,V$245,BD!$A$3:$A$5001,_xlfn.MAXIFS(BD!$A$3:$A$5001,BD!$B$3:$B$5001,V$245,BD!$A$3:$A$5001,"&gt;="&amp;$C$7,BD!$A$3:$A$5001,"&lt;="&amp;$B248,BD!$AA$3:$AA$5001,"&lt;&gt;"))))</f>
        <v/>
      </c>
    </row>
    <row r="249">
      <c r="A249" s="38">
        <v>4</v>
      </c>
      <c r="B249" s="42">
        <f>$B$15</f>
        <v>46299</v>
      </c>
      <c r="C249" s="43" t="str">
        <f>IF(OR($B249="",$A249&gt;$B$9,C$245=""),"",IF(COUNTIFS(BD!$B$3:$B$5001,C$245,BD!$A$3:$A$5001,"&gt;="&amp;$C$7,BD!$A$3:$A$5001,"&lt;="&amp;$B249,BD!$AA$3:$AA$5001,"&lt;&gt;")=0,"",SUMIFS(BD!$AA$3:$AA$5001,BD!$B$3:$B$5001,C$245,BD!$A$3:$A$5001,_xlfn.MAXIFS(BD!$A$3:$A$5001,BD!$B$3:$B$5001,C$245,BD!$A$3:$A$5001,"&gt;="&amp;$C$7,BD!$A$3:$A$5001,"&lt;="&amp;$B249,BD!$AA$3:$AA$5001,"&lt;&gt;"))))</f>
        <v/>
      </c>
      <c r="D249" s="43" t="str">
        <f>IF(OR($B249="",$A249&gt;$B$9,D$245=""),"",IF(COUNTIFS(BD!$B$3:$B$5001,D$245,BD!$A$3:$A$5001,"&gt;="&amp;$C$7,BD!$A$3:$A$5001,"&lt;="&amp;$B249,BD!$AA$3:$AA$5001,"&lt;&gt;")=0,"",SUMIFS(BD!$AA$3:$AA$5001,BD!$B$3:$B$5001,D$245,BD!$A$3:$A$5001,_xlfn.MAXIFS(BD!$A$3:$A$5001,BD!$B$3:$B$5001,D$245,BD!$A$3:$A$5001,"&gt;="&amp;$C$7,BD!$A$3:$A$5001,"&lt;="&amp;$B249,BD!$AA$3:$AA$5001,"&lt;&gt;"))))</f>
        <v/>
      </c>
      <c r="E249" s="43" t="str">
        <f>IF(OR($B249="",$A249&gt;$B$9,E$245=""),"",IF(COUNTIFS(BD!$B$3:$B$5001,E$245,BD!$A$3:$A$5001,"&gt;="&amp;$C$7,BD!$A$3:$A$5001,"&lt;="&amp;$B249,BD!$AA$3:$AA$5001,"&lt;&gt;")=0,"",SUMIFS(BD!$AA$3:$AA$5001,BD!$B$3:$B$5001,E$245,BD!$A$3:$A$5001,_xlfn.MAXIFS(BD!$A$3:$A$5001,BD!$B$3:$B$5001,E$245,BD!$A$3:$A$5001,"&gt;="&amp;$C$7,BD!$A$3:$A$5001,"&lt;="&amp;$B249,BD!$AA$3:$AA$5001,"&lt;&gt;"))))</f>
        <v/>
      </c>
      <c r="F249" s="43" t="str">
        <f>IF(OR($B249="",$A249&gt;$B$9,F$245=""),"",IF(COUNTIFS(BD!$B$3:$B$5001,F$245,BD!$A$3:$A$5001,"&gt;="&amp;$C$7,BD!$A$3:$A$5001,"&lt;="&amp;$B249,BD!$AA$3:$AA$5001,"&lt;&gt;")=0,"",SUMIFS(BD!$AA$3:$AA$5001,BD!$B$3:$B$5001,F$245,BD!$A$3:$A$5001,_xlfn.MAXIFS(BD!$A$3:$A$5001,BD!$B$3:$B$5001,F$245,BD!$A$3:$A$5001,"&gt;="&amp;$C$7,BD!$A$3:$A$5001,"&lt;="&amp;$B249,BD!$AA$3:$AA$5001,"&lt;&gt;"))))</f>
        <v/>
      </c>
      <c r="G249" s="43" t="str">
        <f>IF(OR($B249="",$A249&gt;$B$9,G$245=""),"",IF(COUNTIFS(BD!$B$3:$B$5001,G$245,BD!$A$3:$A$5001,"&gt;="&amp;$C$7,BD!$A$3:$A$5001,"&lt;="&amp;$B249,BD!$AA$3:$AA$5001,"&lt;&gt;")=0,"",SUMIFS(BD!$AA$3:$AA$5001,BD!$B$3:$B$5001,G$245,BD!$A$3:$A$5001,_xlfn.MAXIFS(BD!$A$3:$A$5001,BD!$B$3:$B$5001,G$245,BD!$A$3:$A$5001,"&gt;="&amp;$C$7,BD!$A$3:$A$5001,"&lt;="&amp;$B249,BD!$AA$3:$AA$5001,"&lt;&gt;"))))</f>
        <v/>
      </c>
      <c r="H249" s="43" t="str">
        <f>IF(OR($B249="",$A249&gt;$B$9,H$245=""),"",IF(COUNTIFS(BD!$B$3:$B$5001,H$245,BD!$A$3:$A$5001,"&gt;="&amp;$C$7,BD!$A$3:$A$5001,"&lt;="&amp;$B249,BD!$AA$3:$AA$5001,"&lt;&gt;")=0,"",SUMIFS(BD!$AA$3:$AA$5001,BD!$B$3:$B$5001,H$245,BD!$A$3:$A$5001,_xlfn.MAXIFS(BD!$A$3:$A$5001,BD!$B$3:$B$5001,H$245,BD!$A$3:$A$5001,"&gt;="&amp;$C$7,BD!$A$3:$A$5001,"&lt;="&amp;$B249,BD!$AA$3:$AA$5001,"&lt;&gt;"))))</f>
        <v/>
      </c>
      <c r="I249" s="43" t="str">
        <f>IF(OR($B249="",$A249&gt;$B$9,I$245=""),"",IF(COUNTIFS(BD!$B$3:$B$5001,I$245,BD!$A$3:$A$5001,"&gt;="&amp;$C$7,BD!$A$3:$A$5001,"&lt;="&amp;$B249,BD!$AA$3:$AA$5001,"&lt;&gt;")=0,"",SUMIFS(BD!$AA$3:$AA$5001,BD!$B$3:$B$5001,I$245,BD!$A$3:$A$5001,_xlfn.MAXIFS(BD!$A$3:$A$5001,BD!$B$3:$B$5001,I$245,BD!$A$3:$A$5001,"&gt;="&amp;$C$7,BD!$A$3:$A$5001,"&lt;="&amp;$B249,BD!$AA$3:$AA$5001,"&lt;&gt;"))))</f>
        <v/>
      </c>
      <c r="J249" s="43" t="str">
        <f>IF(OR($B249="",$A249&gt;$B$9,J$245=""),"",IF(COUNTIFS(BD!$B$3:$B$5001,J$245,BD!$A$3:$A$5001,"&gt;="&amp;$C$7,BD!$A$3:$A$5001,"&lt;="&amp;$B249,BD!$AA$3:$AA$5001,"&lt;&gt;")=0,"",SUMIFS(BD!$AA$3:$AA$5001,BD!$B$3:$B$5001,J$245,BD!$A$3:$A$5001,_xlfn.MAXIFS(BD!$A$3:$A$5001,BD!$B$3:$B$5001,J$245,BD!$A$3:$A$5001,"&gt;="&amp;$C$7,BD!$A$3:$A$5001,"&lt;="&amp;$B249,BD!$AA$3:$AA$5001,"&lt;&gt;"))))</f>
        <v/>
      </c>
      <c r="K249" s="43" t="str">
        <f>IF(OR($B249="",$A249&gt;$B$9,K$245=""),"",IF(COUNTIFS(BD!$B$3:$B$5001,K$245,BD!$A$3:$A$5001,"&gt;="&amp;$C$7,BD!$A$3:$A$5001,"&lt;="&amp;$B249,BD!$AA$3:$AA$5001,"&lt;&gt;")=0,"",SUMIFS(BD!$AA$3:$AA$5001,BD!$B$3:$B$5001,K$245,BD!$A$3:$A$5001,_xlfn.MAXIFS(BD!$A$3:$A$5001,BD!$B$3:$B$5001,K$245,BD!$A$3:$A$5001,"&gt;="&amp;$C$7,BD!$A$3:$A$5001,"&lt;="&amp;$B249,BD!$AA$3:$AA$5001,"&lt;&gt;"))))</f>
        <v/>
      </c>
      <c r="L249" s="43" t="str">
        <f>IF(OR($B249="",$A249&gt;$B$9,L$245=""),"",IF(COUNTIFS(BD!$B$3:$B$5001,L$245,BD!$A$3:$A$5001,"&gt;="&amp;$C$7,BD!$A$3:$A$5001,"&lt;="&amp;$B249,BD!$AA$3:$AA$5001,"&lt;&gt;")=0,"",SUMIFS(BD!$AA$3:$AA$5001,BD!$B$3:$B$5001,L$245,BD!$A$3:$A$5001,_xlfn.MAXIFS(BD!$A$3:$A$5001,BD!$B$3:$B$5001,L$245,BD!$A$3:$A$5001,"&gt;="&amp;$C$7,BD!$A$3:$A$5001,"&lt;="&amp;$B249,BD!$AA$3:$AA$5001,"&lt;&gt;"))))</f>
        <v/>
      </c>
      <c r="M249" s="43" t="str">
        <f>IF(OR($B249="",$A249&gt;$B$9,M$245=""),"",IF(COUNTIFS(BD!$B$3:$B$5001,M$245,BD!$A$3:$A$5001,"&gt;="&amp;$C$7,BD!$A$3:$A$5001,"&lt;="&amp;$B249,BD!$AA$3:$AA$5001,"&lt;&gt;")=0,"",SUMIFS(BD!$AA$3:$AA$5001,BD!$B$3:$B$5001,M$245,BD!$A$3:$A$5001,_xlfn.MAXIFS(BD!$A$3:$A$5001,BD!$B$3:$B$5001,M$245,BD!$A$3:$A$5001,"&gt;="&amp;$C$7,BD!$A$3:$A$5001,"&lt;="&amp;$B249,BD!$AA$3:$AA$5001,"&lt;&gt;"))))</f>
        <v/>
      </c>
      <c r="N249" s="43" t="str">
        <f>IF(OR($B249="",$A249&gt;$B$9,N$245=""),"",IF(COUNTIFS(BD!$B$3:$B$5001,N$245,BD!$A$3:$A$5001,"&gt;="&amp;$C$7,BD!$A$3:$A$5001,"&lt;="&amp;$B249,BD!$AA$3:$AA$5001,"&lt;&gt;")=0,"",SUMIFS(BD!$AA$3:$AA$5001,BD!$B$3:$B$5001,N$245,BD!$A$3:$A$5001,_xlfn.MAXIFS(BD!$A$3:$A$5001,BD!$B$3:$B$5001,N$245,BD!$A$3:$A$5001,"&gt;="&amp;$C$7,BD!$A$3:$A$5001,"&lt;="&amp;$B249,BD!$AA$3:$AA$5001,"&lt;&gt;"))))</f>
        <v/>
      </c>
      <c r="O249" s="43" t="str">
        <f>IF(OR($B249="",$A249&gt;$B$9,O$245=""),"",IF(COUNTIFS(BD!$B$3:$B$5001,O$245,BD!$A$3:$A$5001,"&gt;="&amp;$C$7,BD!$A$3:$A$5001,"&lt;="&amp;$B249,BD!$AA$3:$AA$5001,"&lt;&gt;")=0,"",SUMIFS(BD!$AA$3:$AA$5001,BD!$B$3:$B$5001,O$245,BD!$A$3:$A$5001,_xlfn.MAXIFS(BD!$A$3:$A$5001,BD!$B$3:$B$5001,O$245,BD!$A$3:$A$5001,"&gt;="&amp;$C$7,BD!$A$3:$A$5001,"&lt;="&amp;$B249,BD!$AA$3:$AA$5001,"&lt;&gt;"))))</f>
        <v/>
      </c>
      <c r="P249" s="43" t="str">
        <f>IF(OR($B249="",$A249&gt;$B$9,P$245=""),"",IF(COUNTIFS(BD!$B$3:$B$5001,P$245,BD!$A$3:$A$5001,"&gt;="&amp;$C$7,BD!$A$3:$A$5001,"&lt;="&amp;$B249,BD!$AA$3:$AA$5001,"&lt;&gt;")=0,"",SUMIFS(BD!$AA$3:$AA$5001,BD!$B$3:$B$5001,P$245,BD!$A$3:$A$5001,_xlfn.MAXIFS(BD!$A$3:$A$5001,BD!$B$3:$B$5001,P$245,BD!$A$3:$A$5001,"&gt;="&amp;$C$7,BD!$A$3:$A$5001,"&lt;="&amp;$B249,BD!$AA$3:$AA$5001,"&lt;&gt;"))))</f>
        <v/>
      </c>
      <c r="Q249" s="43" t="str">
        <f>IF(OR($B249="",$A249&gt;$B$9,Q$245=""),"",IF(COUNTIFS(BD!$B$3:$B$5001,Q$245,BD!$A$3:$A$5001,"&gt;="&amp;$C$7,BD!$A$3:$A$5001,"&lt;="&amp;$B249,BD!$AA$3:$AA$5001,"&lt;&gt;")=0,"",SUMIFS(BD!$AA$3:$AA$5001,BD!$B$3:$B$5001,Q$245,BD!$A$3:$A$5001,_xlfn.MAXIFS(BD!$A$3:$A$5001,BD!$B$3:$B$5001,Q$245,BD!$A$3:$A$5001,"&gt;="&amp;$C$7,BD!$A$3:$A$5001,"&lt;="&amp;$B249,BD!$AA$3:$AA$5001,"&lt;&gt;"))))</f>
        <v/>
      </c>
      <c r="R249" s="43" t="str">
        <f>IF(OR($B249="",$A249&gt;$B$9,R$245=""),"",IF(COUNTIFS(BD!$B$3:$B$5001,R$245,BD!$A$3:$A$5001,"&gt;="&amp;$C$7,BD!$A$3:$A$5001,"&lt;="&amp;$B249,BD!$AA$3:$AA$5001,"&lt;&gt;")=0,"",SUMIFS(BD!$AA$3:$AA$5001,BD!$B$3:$B$5001,R$245,BD!$A$3:$A$5001,_xlfn.MAXIFS(BD!$A$3:$A$5001,BD!$B$3:$B$5001,R$245,BD!$A$3:$A$5001,"&gt;="&amp;$C$7,BD!$A$3:$A$5001,"&lt;="&amp;$B249,BD!$AA$3:$AA$5001,"&lt;&gt;"))))</f>
        <v/>
      </c>
      <c r="S249" s="43" t="str">
        <f>IF(OR($B249="",$A249&gt;$B$9,S$245=""),"",IF(COUNTIFS(BD!$B$3:$B$5001,S$245,BD!$A$3:$A$5001,"&gt;="&amp;$C$7,BD!$A$3:$A$5001,"&lt;="&amp;$B249,BD!$AA$3:$AA$5001,"&lt;&gt;")=0,"",SUMIFS(BD!$AA$3:$AA$5001,BD!$B$3:$B$5001,S$245,BD!$A$3:$A$5001,_xlfn.MAXIFS(BD!$A$3:$A$5001,BD!$B$3:$B$5001,S$245,BD!$A$3:$A$5001,"&gt;="&amp;$C$7,BD!$A$3:$A$5001,"&lt;="&amp;$B249,BD!$AA$3:$AA$5001,"&lt;&gt;"))))</f>
        <v/>
      </c>
      <c r="T249" s="43" t="str">
        <f>IF(OR($B249="",$A249&gt;$B$9,T$245=""),"",IF(COUNTIFS(BD!$B$3:$B$5001,T$245,BD!$A$3:$A$5001,"&gt;="&amp;$C$7,BD!$A$3:$A$5001,"&lt;="&amp;$B249,BD!$AA$3:$AA$5001,"&lt;&gt;")=0,"",SUMIFS(BD!$AA$3:$AA$5001,BD!$B$3:$B$5001,T$245,BD!$A$3:$A$5001,_xlfn.MAXIFS(BD!$A$3:$A$5001,BD!$B$3:$B$5001,T$245,BD!$A$3:$A$5001,"&gt;="&amp;$C$7,BD!$A$3:$A$5001,"&lt;="&amp;$B249,BD!$AA$3:$AA$5001,"&lt;&gt;"))))</f>
        <v/>
      </c>
      <c r="U249" s="43" t="str">
        <f>IF(OR($B249="",$A249&gt;$B$9,U$245=""),"",IF(COUNTIFS(BD!$B$3:$B$5001,U$245,BD!$A$3:$A$5001,"&gt;="&amp;$C$7,BD!$A$3:$A$5001,"&lt;="&amp;$B249,BD!$AA$3:$AA$5001,"&lt;&gt;")=0,"",SUMIFS(BD!$AA$3:$AA$5001,BD!$B$3:$B$5001,U$245,BD!$A$3:$A$5001,_xlfn.MAXIFS(BD!$A$3:$A$5001,BD!$B$3:$B$5001,U$245,BD!$A$3:$A$5001,"&gt;="&amp;$C$7,BD!$A$3:$A$5001,"&lt;="&amp;$B249,BD!$AA$3:$AA$5001,"&lt;&gt;"))))</f>
        <v/>
      </c>
      <c r="V249" s="43" t="str">
        <f>IF(OR($B249="",$A249&gt;$B$9,V$245=""),"",IF(COUNTIFS(BD!$B$3:$B$5001,V$245,BD!$A$3:$A$5001,"&gt;="&amp;$C$7,BD!$A$3:$A$5001,"&lt;="&amp;$B249,BD!$AA$3:$AA$5001,"&lt;&gt;")=0,"",SUMIFS(BD!$AA$3:$AA$5001,BD!$B$3:$B$5001,V$245,BD!$A$3:$A$5001,_xlfn.MAXIFS(BD!$A$3:$A$5001,BD!$B$3:$B$5001,V$245,BD!$A$3:$A$5001,"&gt;="&amp;$C$7,BD!$A$3:$A$5001,"&lt;="&amp;$B249,BD!$AA$3:$AA$5001,"&lt;&gt;"))))</f>
        <v/>
      </c>
    </row>
    <row r="250">
      <c r="A250" s="38">
        <v>5</v>
      </c>
      <c r="B250" s="42">
        <f>$B$16</f>
        <v>46300</v>
      </c>
      <c r="C250" s="43" t="str">
        <f>IF(OR($B250="",$A250&gt;$B$9,C$245=""),"",IF(COUNTIFS(BD!$B$3:$B$5001,C$245,BD!$A$3:$A$5001,"&gt;="&amp;$C$7,BD!$A$3:$A$5001,"&lt;="&amp;$B250,BD!$AA$3:$AA$5001,"&lt;&gt;")=0,"",SUMIFS(BD!$AA$3:$AA$5001,BD!$B$3:$B$5001,C$245,BD!$A$3:$A$5001,_xlfn.MAXIFS(BD!$A$3:$A$5001,BD!$B$3:$B$5001,C$245,BD!$A$3:$A$5001,"&gt;="&amp;$C$7,BD!$A$3:$A$5001,"&lt;="&amp;$B250,BD!$AA$3:$AA$5001,"&lt;&gt;"))))</f>
        <v/>
      </c>
      <c r="D250" s="43" t="str">
        <f>IF(OR($B250="",$A250&gt;$B$9,D$245=""),"",IF(COUNTIFS(BD!$B$3:$B$5001,D$245,BD!$A$3:$A$5001,"&gt;="&amp;$C$7,BD!$A$3:$A$5001,"&lt;="&amp;$B250,BD!$AA$3:$AA$5001,"&lt;&gt;")=0,"",SUMIFS(BD!$AA$3:$AA$5001,BD!$B$3:$B$5001,D$245,BD!$A$3:$A$5001,_xlfn.MAXIFS(BD!$A$3:$A$5001,BD!$B$3:$B$5001,D$245,BD!$A$3:$A$5001,"&gt;="&amp;$C$7,BD!$A$3:$A$5001,"&lt;="&amp;$B250,BD!$AA$3:$AA$5001,"&lt;&gt;"))))</f>
        <v/>
      </c>
      <c r="E250" s="43" t="str">
        <f>IF(OR($B250="",$A250&gt;$B$9,E$245=""),"",IF(COUNTIFS(BD!$B$3:$B$5001,E$245,BD!$A$3:$A$5001,"&gt;="&amp;$C$7,BD!$A$3:$A$5001,"&lt;="&amp;$B250,BD!$AA$3:$AA$5001,"&lt;&gt;")=0,"",SUMIFS(BD!$AA$3:$AA$5001,BD!$B$3:$B$5001,E$245,BD!$A$3:$A$5001,_xlfn.MAXIFS(BD!$A$3:$A$5001,BD!$B$3:$B$5001,E$245,BD!$A$3:$A$5001,"&gt;="&amp;$C$7,BD!$A$3:$A$5001,"&lt;="&amp;$B250,BD!$AA$3:$AA$5001,"&lt;&gt;"))))</f>
        <v/>
      </c>
      <c r="F250" s="43" t="str">
        <f>IF(OR($B250="",$A250&gt;$B$9,F$245=""),"",IF(COUNTIFS(BD!$B$3:$B$5001,F$245,BD!$A$3:$A$5001,"&gt;="&amp;$C$7,BD!$A$3:$A$5001,"&lt;="&amp;$B250,BD!$AA$3:$AA$5001,"&lt;&gt;")=0,"",SUMIFS(BD!$AA$3:$AA$5001,BD!$B$3:$B$5001,F$245,BD!$A$3:$A$5001,_xlfn.MAXIFS(BD!$A$3:$A$5001,BD!$B$3:$B$5001,F$245,BD!$A$3:$A$5001,"&gt;="&amp;$C$7,BD!$A$3:$A$5001,"&lt;="&amp;$B250,BD!$AA$3:$AA$5001,"&lt;&gt;"))))</f>
        <v/>
      </c>
      <c r="G250" s="43" t="str">
        <f>IF(OR($B250="",$A250&gt;$B$9,G$245=""),"",IF(COUNTIFS(BD!$B$3:$B$5001,G$245,BD!$A$3:$A$5001,"&gt;="&amp;$C$7,BD!$A$3:$A$5001,"&lt;="&amp;$B250,BD!$AA$3:$AA$5001,"&lt;&gt;")=0,"",SUMIFS(BD!$AA$3:$AA$5001,BD!$B$3:$B$5001,G$245,BD!$A$3:$A$5001,_xlfn.MAXIFS(BD!$A$3:$A$5001,BD!$B$3:$B$5001,G$245,BD!$A$3:$A$5001,"&gt;="&amp;$C$7,BD!$A$3:$A$5001,"&lt;="&amp;$B250,BD!$AA$3:$AA$5001,"&lt;&gt;"))))</f>
        <v/>
      </c>
      <c r="H250" s="43" t="str">
        <f>IF(OR($B250="",$A250&gt;$B$9,H$245=""),"",IF(COUNTIFS(BD!$B$3:$B$5001,H$245,BD!$A$3:$A$5001,"&gt;="&amp;$C$7,BD!$A$3:$A$5001,"&lt;="&amp;$B250,BD!$AA$3:$AA$5001,"&lt;&gt;")=0,"",SUMIFS(BD!$AA$3:$AA$5001,BD!$B$3:$B$5001,H$245,BD!$A$3:$A$5001,_xlfn.MAXIFS(BD!$A$3:$A$5001,BD!$B$3:$B$5001,H$245,BD!$A$3:$A$5001,"&gt;="&amp;$C$7,BD!$A$3:$A$5001,"&lt;="&amp;$B250,BD!$AA$3:$AA$5001,"&lt;&gt;"))))</f>
        <v/>
      </c>
      <c r="I250" s="43" t="str">
        <f>IF(OR($B250="",$A250&gt;$B$9,I$245=""),"",IF(COUNTIFS(BD!$B$3:$B$5001,I$245,BD!$A$3:$A$5001,"&gt;="&amp;$C$7,BD!$A$3:$A$5001,"&lt;="&amp;$B250,BD!$AA$3:$AA$5001,"&lt;&gt;")=0,"",SUMIFS(BD!$AA$3:$AA$5001,BD!$B$3:$B$5001,I$245,BD!$A$3:$A$5001,_xlfn.MAXIFS(BD!$A$3:$A$5001,BD!$B$3:$B$5001,I$245,BD!$A$3:$A$5001,"&gt;="&amp;$C$7,BD!$A$3:$A$5001,"&lt;="&amp;$B250,BD!$AA$3:$AA$5001,"&lt;&gt;"))))</f>
        <v/>
      </c>
      <c r="J250" s="43" t="str">
        <f>IF(OR($B250="",$A250&gt;$B$9,J$245=""),"",IF(COUNTIFS(BD!$B$3:$B$5001,J$245,BD!$A$3:$A$5001,"&gt;="&amp;$C$7,BD!$A$3:$A$5001,"&lt;="&amp;$B250,BD!$AA$3:$AA$5001,"&lt;&gt;")=0,"",SUMIFS(BD!$AA$3:$AA$5001,BD!$B$3:$B$5001,J$245,BD!$A$3:$A$5001,_xlfn.MAXIFS(BD!$A$3:$A$5001,BD!$B$3:$B$5001,J$245,BD!$A$3:$A$5001,"&gt;="&amp;$C$7,BD!$A$3:$A$5001,"&lt;="&amp;$B250,BD!$AA$3:$AA$5001,"&lt;&gt;"))))</f>
        <v/>
      </c>
      <c r="K250" s="43" t="str">
        <f>IF(OR($B250="",$A250&gt;$B$9,K$245=""),"",IF(COUNTIFS(BD!$B$3:$B$5001,K$245,BD!$A$3:$A$5001,"&gt;="&amp;$C$7,BD!$A$3:$A$5001,"&lt;="&amp;$B250,BD!$AA$3:$AA$5001,"&lt;&gt;")=0,"",SUMIFS(BD!$AA$3:$AA$5001,BD!$B$3:$B$5001,K$245,BD!$A$3:$A$5001,_xlfn.MAXIFS(BD!$A$3:$A$5001,BD!$B$3:$B$5001,K$245,BD!$A$3:$A$5001,"&gt;="&amp;$C$7,BD!$A$3:$A$5001,"&lt;="&amp;$B250,BD!$AA$3:$AA$5001,"&lt;&gt;"))))</f>
        <v/>
      </c>
      <c r="L250" s="43" t="str">
        <f>IF(OR($B250="",$A250&gt;$B$9,L$245=""),"",IF(COUNTIFS(BD!$B$3:$B$5001,L$245,BD!$A$3:$A$5001,"&gt;="&amp;$C$7,BD!$A$3:$A$5001,"&lt;="&amp;$B250,BD!$AA$3:$AA$5001,"&lt;&gt;")=0,"",SUMIFS(BD!$AA$3:$AA$5001,BD!$B$3:$B$5001,L$245,BD!$A$3:$A$5001,_xlfn.MAXIFS(BD!$A$3:$A$5001,BD!$B$3:$B$5001,L$245,BD!$A$3:$A$5001,"&gt;="&amp;$C$7,BD!$A$3:$A$5001,"&lt;="&amp;$B250,BD!$AA$3:$AA$5001,"&lt;&gt;"))))</f>
        <v/>
      </c>
      <c r="M250" s="43" t="str">
        <f>IF(OR($B250="",$A250&gt;$B$9,M$245=""),"",IF(COUNTIFS(BD!$B$3:$B$5001,M$245,BD!$A$3:$A$5001,"&gt;="&amp;$C$7,BD!$A$3:$A$5001,"&lt;="&amp;$B250,BD!$AA$3:$AA$5001,"&lt;&gt;")=0,"",SUMIFS(BD!$AA$3:$AA$5001,BD!$B$3:$B$5001,M$245,BD!$A$3:$A$5001,_xlfn.MAXIFS(BD!$A$3:$A$5001,BD!$B$3:$B$5001,M$245,BD!$A$3:$A$5001,"&gt;="&amp;$C$7,BD!$A$3:$A$5001,"&lt;="&amp;$B250,BD!$AA$3:$AA$5001,"&lt;&gt;"))))</f>
        <v/>
      </c>
      <c r="N250" s="43" t="str">
        <f>IF(OR($B250="",$A250&gt;$B$9,N$245=""),"",IF(COUNTIFS(BD!$B$3:$B$5001,N$245,BD!$A$3:$A$5001,"&gt;="&amp;$C$7,BD!$A$3:$A$5001,"&lt;="&amp;$B250,BD!$AA$3:$AA$5001,"&lt;&gt;")=0,"",SUMIFS(BD!$AA$3:$AA$5001,BD!$B$3:$B$5001,N$245,BD!$A$3:$A$5001,_xlfn.MAXIFS(BD!$A$3:$A$5001,BD!$B$3:$B$5001,N$245,BD!$A$3:$A$5001,"&gt;="&amp;$C$7,BD!$A$3:$A$5001,"&lt;="&amp;$B250,BD!$AA$3:$AA$5001,"&lt;&gt;"))))</f>
        <v/>
      </c>
      <c r="O250" s="43" t="str">
        <f>IF(OR($B250="",$A250&gt;$B$9,O$245=""),"",IF(COUNTIFS(BD!$B$3:$B$5001,O$245,BD!$A$3:$A$5001,"&gt;="&amp;$C$7,BD!$A$3:$A$5001,"&lt;="&amp;$B250,BD!$AA$3:$AA$5001,"&lt;&gt;")=0,"",SUMIFS(BD!$AA$3:$AA$5001,BD!$B$3:$B$5001,O$245,BD!$A$3:$A$5001,_xlfn.MAXIFS(BD!$A$3:$A$5001,BD!$B$3:$B$5001,O$245,BD!$A$3:$A$5001,"&gt;="&amp;$C$7,BD!$A$3:$A$5001,"&lt;="&amp;$B250,BD!$AA$3:$AA$5001,"&lt;&gt;"))))</f>
        <v/>
      </c>
      <c r="P250" s="43" t="str">
        <f>IF(OR($B250="",$A250&gt;$B$9,P$245=""),"",IF(COUNTIFS(BD!$B$3:$B$5001,P$245,BD!$A$3:$A$5001,"&gt;="&amp;$C$7,BD!$A$3:$A$5001,"&lt;="&amp;$B250,BD!$AA$3:$AA$5001,"&lt;&gt;")=0,"",SUMIFS(BD!$AA$3:$AA$5001,BD!$B$3:$B$5001,P$245,BD!$A$3:$A$5001,_xlfn.MAXIFS(BD!$A$3:$A$5001,BD!$B$3:$B$5001,P$245,BD!$A$3:$A$5001,"&gt;="&amp;$C$7,BD!$A$3:$A$5001,"&lt;="&amp;$B250,BD!$AA$3:$AA$5001,"&lt;&gt;"))))</f>
        <v/>
      </c>
      <c r="Q250" s="43" t="str">
        <f>IF(OR($B250="",$A250&gt;$B$9,Q$245=""),"",IF(COUNTIFS(BD!$B$3:$B$5001,Q$245,BD!$A$3:$A$5001,"&gt;="&amp;$C$7,BD!$A$3:$A$5001,"&lt;="&amp;$B250,BD!$AA$3:$AA$5001,"&lt;&gt;")=0,"",SUMIFS(BD!$AA$3:$AA$5001,BD!$B$3:$B$5001,Q$245,BD!$A$3:$A$5001,_xlfn.MAXIFS(BD!$A$3:$A$5001,BD!$B$3:$B$5001,Q$245,BD!$A$3:$A$5001,"&gt;="&amp;$C$7,BD!$A$3:$A$5001,"&lt;="&amp;$B250,BD!$AA$3:$AA$5001,"&lt;&gt;"))))</f>
        <v/>
      </c>
      <c r="R250" s="43" t="str">
        <f>IF(OR($B250="",$A250&gt;$B$9,R$245=""),"",IF(COUNTIFS(BD!$B$3:$B$5001,R$245,BD!$A$3:$A$5001,"&gt;="&amp;$C$7,BD!$A$3:$A$5001,"&lt;="&amp;$B250,BD!$AA$3:$AA$5001,"&lt;&gt;")=0,"",SUMIFS(BD!$AA$3:$AA$5001,BD!$B$3:$B$5001,R$245,BD!$A$3:$A$5001,_xlfn.MAXIFS(BD!$A$3:$A$5001,BD!$B$3:$B$5001,R$245,BD!$A$3:$A$5001,"&gt;="&amp;$C$7,BD!$A$3:$A$5001,"&lt;="&amp;$B250,BD!$AA$3:$AA$5001,"&lt;&gt;"))))</f>
        <v/>
      </c>
      <c r="S250" s="43" t="str">
        <f>IF(OR($B250="",$A250&gt;$B$9,S$245=""),"",IF(COUNTIFS(BD!$B$3:$B$5001,S$245,BD!$A$3:$A$5001,"&gt;="&amp;$C$7,BD!$A$3:$A$5001,"&lt;="&amp;$B250,BD!$AA$3:$AA$5001,"&lt;&gt;")=0,"",SUMIFS(BD!$AA$3:$AA$5001,BD!$B$3:$B$5001,S$245,BD!$A$3:$A$5001,_xlfn.MAXIFS(BD!$A$3:$A$5001,BD!$B$3:$B$5001,S$245,BD!$A$3:$A$5001,"&gt;="&amp;$C$7,BD!$A$3:$A$5001,"&lt;="&amp;$B250,BD!$AA$3:$AA$5001,"&lt;&gt;"))))</f>
        <v/>
      </c>
      <c r="T250" s="43" t="str">
        <f>IF(OR($B250="",$A250&gt;$B$9,T$245=""),"",IF(COUNTIFS(BD!$B$3:$B$5001,T$245,BD!$A$3:$A$5001,"&gt;="&amp;$C$7,BD!$A$3:$A$5001,"&lt;="&amp;$B250,BD!$AA$3:$AA$5001,"&lt;&gt;")=0,"",SUMIFS(BD!$AA$3:$AA$5001,BD!$B$3:$B$5001,T$245,BD!$A$3:$A$5001,_xlfn.MAXIFS(BD!$A$3:$A$5001,BD!$B$3:$B$5001,T$245,BD!$A$3:$A$5001,"&gt;="&amp;$C$7,BD!$A$3:$A$5001,"&lt;="&amp;$B250,BD!$AA$3:$AA$5001,"&lt;&gt;"))))</f>
        <v/>
      </c>
      <c r="U250" s="43" t="str">
        <f>IF(OR($B250="",$A250&gt;$B$9,U$245=""),"",IF(COUNTIFS(BD!$B$3:$B$5001,U$245,BD!$A$3:$A$5001,"&gt;="&amp;$C$7,BD!$A$3:$A$5001,"&lt;="&amp;$B250,BD!$AA$3:$AA$5001,"&lt;&gt;")=0,"",SUMIFS(BD!$AA$3:$AA$5001,BD!$B$3:$B$5001,U$245,BD!$A$3:$A$5001,_xlfn.MAXIFS(BD!$A$3:$A$5001,BD!$B$3:$B$5001,U$245,BD!$A$3:$A$5001,"&gt;="&amp;$C$7,BD!$A$3:$A$5001,"&lt;="&amp;$B250,BD!$AA$3:$AA$5001,"&lt;&gt;"))))</f>
        <v/>
      </c>
      <c r="V250" s="43" t="str">
        <f>IF(OR($B250="",$A250&gt;$B$9,V$245=""),"",IF(COUNTIFS(BD!$B$3:$B$5001,V$245,BD!$A$3:$A$5001,"&gt;="&amp;$C$7,BD!$A$3:$A$5001,"&lt;="&amp;$B250,BD!$AA$3:$AA$5001,"&lt;&gt;")=0,"",SUMIFS(BD!$AA$3:$AA$5001,BD!$B$3:$B$5001,V$245,BD!$A$3:$A$5001,_xlfn.MAXIFS(BD!$A$3:$A$5001,BD!$B$3:$B$5001,V$245,BD!$A$3:$A$5001,"&gt;="&amp;$C$7,BD!$A$3:$A$5001,"&lt;="&amp;$B250,BD!$AA$3:$AA$5001,"&lt;&gt;"))))</f>
        <v/>
      </c>
    </row>
    <row r="251">
      <c r="A251" s="38">
        <v>6</v>
      </c>
      <c r="B251" s="42">
        <f>$B$17</f>
        <v>46301</v>
      </c>
      <c r="C251" s="43" t="str">
        <f>IF(OR($B251="",$A251&gt;$B$9,C$245=""),"",IF(COUNTIFS(BD!$B$3:$B$5001,C$245,BD!$A$3:$A$5001,"&gt;="&amp;$C$7,BD!$A$3:$A$5001,"&lt;="&amp;$B251,BD!$AA$3:$AA$5001,"&lt;&gt;")=0,"",SUMIFS(BD!$AA$3:$AA$5001,BD!$B$3:$B$5001,C$245,BD!$A$3:$A$5001,_xlfn.MAXIFS(BD!$A$3:$A$5001,BD!$B$3:$B$5001,C$245,BD!$A$3:$A$5001,"&gt;="&amp;$C$7,BD!$A$3:$A$5001,"&lt;="&amp;$B251,BD!$AA$3:$AA$5001,"&lt;&gt;"))))</f>
        <v/>
      </c>
      <c r="D251" s="43" t="str">
        <f>IF(OR($B251="",$A251&gt;$B$9,D$245=""),"",IF(COUNTIFS(BD!$B$3:$B$5001,D$245,BD!$A$3:$A$5001,"&gt;="&amp;$C$7,BD!$A$3:$A$5001,"&lt;="&amp;$B251,BD!$AA$3:$AA$5001,"&lt;&gt;")=0,"",SUMIFS(BD!$AA$3:$AA$5001,BD!$B$3:$B$5001,D$245,BD!$A$3:$A$5001,_xlfn.MAXIFS(BD!$A$3:$A$5001,BD!$B$3:$B$5001,D$245,BD!$A$3:$A$5001,"&gt;="&amp;$C$7,BD!$A$3:$A$5001,"&lt;="&amp;$B251,BD!$AA$3:$AA$5001,"&lt;&gt;"))))</f>
        <v/>
      </c>
      <c r="E251" s="43" t="str">
        <f>IF(OR($B251="",$A251&gt;$B$9,E$245=""),"",IF(COUNTIFS(BD!$B$3:$B$5001,E$245,BD!$A$3:$A$5001,"&gt;="&amp;$C$7,BD!$A$3:$A$5001,"&lt;="&amp;$B251,BD!$AA$3:$AA$5001,"&lt;&gt;")=0,"",SUMIFS(BD!$AA$3:$AA$5001,BD!$B$3:$B$5001,E$245,BD!$A$3:$A$5001,_xlfn.MAXIFS(BD!$A$3:$A$5001,BD!$B$3:$B$5001,E$245,BD!$A$3:$A$5001,"&gt;="&amp;$C$7,BD!$A$3:$A$5001,"&lt;="&amp;$B251,BD!$AA$3:$AA$5001,"&lt;&gt;"))))</f>
        <v/>
      </c>
      <c r="F251" s="43" t="str">
        <f>IF(OR($B251="",$A251&gt;$B$9,F$245=""),"",IF(COUNTIFS(BD!$B$3:$B$5001,F$245,BD!$A$3:$A$5001,"&gt;="&amp;$C$7,BD!$A$3:$A$5001,"&lt;="&amp;$B251,BD!$AA$3:$AA$5001,"&lt;&gt;")=0,"",SUMIFS(BD!$AA$3:$AA$5001,BD!$B$3:$B$5001,F$245,BD!$A$3:$A$5001,_xlfn.MAXIFS(BD!$A$3:$A$5001,BD!$B$3:$B$5001,F$245,BD!$A$3:$A$5001,"&gt;="&amp;$C$7,BD!$A$3:$A$5001,"&lt;="&amp;$B251,BD!$AA$3:$AA$5001,"&lt;&gt;"))))</f>
        <v/>
      </c>
      <c r="G251" s="43" t="str">
        <f>IF(OR($B251="",$A251&gt;$B$9,G$245=""),"",IF(COUNTIFS(BD!$B$3:$B$5001,G$245,BD!$A$3:$A$5001,"&gt;="&amp;$C$7,BD!$A$3:$A$5001,"&lt;="&amp;$B251,BD!$AA$3:$AA$5001,"&lt;&gt;")=0,"",SUMIFS(BD!$AA$3:$AA$5001,BD!$B$3:$B$5001,G$245,BD!$A$3:$A$5001,_xlfn.MAXIFS(BD!$A$3:$A$5001,BD!$B$3:$B$5001,G$245,BD!$A$3:$A$5001,"&gt;="&amp;$C$7,BD!$A$3:$A$5001,"&lt;="&amp;$B251,BD!$AA$3:$AA$5001,"&lt;&gt;"))))</f>
        <v/>
      </c>
      <c r="H251" s="43" t="str">
        <f>IF(OR($B251="",$A251&gt;$B$9,H$245=""),"",IF(COUNTIFS(BD!$B$3:$B$5001,H$245,BD!$A$3:$A$5001,"&gt;="&amp;$C$7,BD!$A$3:$A$5001,"&lt;="&amp;$B251,BD!$AA$3:$AA$5001,"&lt;&gt;")=0,"",SUMIFS(BD!$AA$3:$AA$5001,BD!$B$3:$B$5001,H$245,BD!$A$3:$A$5001,_xlfn.MAXIFS(BD!$A$3:$A$5001,BD!$B$3:$B$5001,H$245,BD!$A$3:$A$5001,"&gt;="&amp;$C$7,BD!$A$3:$A$5001,"&lt;="&amp;$B251,BD!$AA$3:$AA$5001,"&lt;&gt;"))))</f>
        <v/>
      </c>
      <c r="I251" s="43" t="str">
        <f>IF(OR($B251="",$A251&gt;$B$9,I$245=""),"",IF(COUNTIFS(BD!$B$3:$B$5001,I$245,BD!$A$3:$A$5001,"&gt;="&amp;$C$7,BD!$A$3:$A$5001,"&lt;="&amp;$B251,BD!$AA$3:$AA$5001,"&lt;&gt;")=0,"",SUMIFS(BD!$AA$3:$AA$5001,BD!$B$3:$B$5001,I$245,BD!$A$3:$A$5001,_xlfn.MAXIFS(BD!$A$3:$A$5001,BD!$B$3:$B$5001,I$245,BD!$A$3:$A$5001,"&gt;="&amp;$C$7,BD!$A$3:$A$5001,"&lt;="&amp;$B251,BD!$AA$3:$AA$5001,"&lt;&gt;"))))</f>
        <v/>
      </c>
      <c r="J251" s="43" t="str">
        <f>IF(OR($B251="",$A251&gt;$B$9,J$245=""),"",IF(COUNTIFS(BD!$B$3:$B$5001,J$245,BD!$A$3:$A$5001,"&gt;="&amp;$C$7,BD!$A$3:$A$5001,"&lt;="&amp;$B251,BD!$AA$3:$AA$5001,"&lt;&gt;")=0,"",SUMIFS(BD!$AA$3:$AA$5001,BD!$B$3:$B$5001,J$245,BD!$A$3:$A$5001,_xlfn.MAXIFS(BD!$A$3:$A$5001,BD!$B$3:$B$5001,J$245,BD!$A$3:$A$5001,"&gt;="&amp;$C$7,BD!$A$3:$A$5001,"&lt;="&amp;$B251,BD!$AA$3:$AA$5001,"&lt;&gt;"))))</f>
        <v/>
      </c>
      <c r="K251" s="43" t="str">
        <f>IF(OR($B251="",$A251&gt;$B$9,K$245=""),"",IF(COUNTIFS(BD!$B$3:$B$5001,K$245,BD!$A$3:$A$5001,"&gt;="&amp;$C$7,BD!$A$3:$A$5001,"&lt;="&amp;$B251,BD!$AA$3:$AA$5001,"&lt;&gt;")=0,"",SUMIFS(BD!$AA$3:$AA$5001,BD!$B$3:$B$5001,K$245,BD!$A$3:$A$5001,_xlfn.MAXIFS(BD!$A$3:$A$5001,BD!$B$3:$B$5001,K$245,BD!$A$3:$A$5001,"&gt;="&amp;$C$7,BD!$A$3:$A$5001,"&lt;="&amp;$B251,BD!$AA$3:$AA$5001,"&lt;&gt;"))))</f>
        <v/>
      </c>
      <c r="L251" s="43" t="str">
        <f>IF(OR($B251="",$A251&gt;$B$9,L$245=""),"",IF(COUNTIFS(BD!$B$3:$B$5001,L$245,BD!$A$3:$A$5001,"&gt;="&amp;$C$7,BD!$A$3:$A$5001,"&lt;="&amp;$B251,BD!$AA$3:$AA$5001,"&lt;&gt;")=0,"",SUMIFS(BD!$AA$3:$AA$5001,BD!$B$3:$B$5001,L$245,BD!$A$3:$A$5001,_xlfn.MAXIFS(BD!$A$3:$A$5001,BD!$B$3:$B$5001,L$245,BD!$A$3:$A$5001,"&gt;="&amp;$C$7,BD!$A$3:$A$5001,"&lt;="&amp;$B251,BD!$AA$3:$AA$5001,"&lt;&gt;"))))</f>
        <v/>
      </c>
      <c r="M251" s="43" t="str">
        <f>IF(OR($B251="",$A251&gt;$B$9,M$245=""),"",IF(COUNTIFS(BD!$B$3:$B$5001,M$245,BD!$A$3:$A$5001,"&gt;="&amp;$C$7,BD!$A$3:$A$5001,"&lt;="&amp;$B251,BD!$AA$3:$AA$5001,"&lt;&gt;")=0,"",SUMIFS(BD!$AA$3:$AA$5001,BD!$B$3:$B$5001,M$245,BD!$A$3:$A$5001,_xlfn.MAXIFS(BD!$A$3:$A$5001,BD!$B$3:$B$5001,M$245,BD!$A$3:$A$5001,"&gt;="&amp;$C$7,BD!$A$3:$A$5001,"&lt;="&amp;$B251,BD!$AA$3:$AA$5001,"&lt;&gt;"))))</f>
        <v/>
      </c>
      <c r="N251" s="43" t="str">
        <f>IF(OR($B251="",$A251&gt;$B$9,N$245=""),"",IF(COUNTIFS(BD!$B$3:$B$5001,N$245,BD!$A$3:$A$5001,"&gt;="&amp;$C$7,BD!$A$3:$A$5001,"&lt;="&amp;$B251,BD!$AA$3:$AA$5001,"&lt;&gt;")=0,"",SUMIFS(BD!$AA$3:$AA$5001,BD!$B$3:$B$5001,N$245,BD!$A$3:$A$5001,_xlfn.MAXIFS(BD!$A$3:$A$5001,BD!$B$3:$B$5001,N$245,BD!$A$3:$A$5001,"&gt;="&amp;$C$7,BD!$A$3:$A$5001,"&lt;="&amp;$B251,BD!$AA$3:$AA$5001,"&lt;&gt;"))))</f>
        <v/>
      </c>
      <c r="O251" s="43" t="str">
        <f>IF(OR($B251="",$A251&gt;$B$9,O$245=""),"",IF(COUNTIFS(BD!$B$3:$B$5001,O$245,BD!$A$3:$A$5001,"&gt;="&amp;$C$7,BD!$A$3:$A$5001,"&lt;="&amp;$B251,BD!$AA$3:$AA$5001,"&lt;&gt;")=0,"",SUMIFS(BD!$AA$3:$AA$5001,BD!$B$3:$B$5001,O$245,BD!$A$3:$A$5001,_xlfn.MAXIFS(BD!$A$3:$A$5001,BD!$B$3:$B$5001,O$245,BD!$A$3:$A$5001,"&gt;="&amp;$C$7,BD!$A$3:$A$5001,"&lt;="&amp;$B251,BD!$AA$3:$AA$5001,"&lt;&gt;"))))</f>
        <v/>
      </c>
      <c r="P251" s="43" t="str">
        <f>IF(OR($B251="",$A251&gt;$B$9,P$245=""),"",IF(COUNTIFS(BD!$B$3:$B$5001,P$245,BD!$A$3:$A$5001,"&gt;="&amp;$C$7,BD!$A$3:$A$5001,"&lt;="&amp;$B251,BD!$AA$3:$AA$5001,"&lt;&gt;")=0,"",SUMIFS(BD!$AA$3:$AA$5001,BD!$B$3:$B$5001,P$245,BD!$A$3:$A$5001,_xlfn.MAXIFS(BD!$A$3:$A$5001,BD!$B$3:$B$5001,P$245,BD!$A$3:$A$5001,"&gt;="&amp;$C$7,BD!$A$3:$A$5001,"&lt;="&amp;$B251,BD!$AA$3:$AA$5001,"&lt;&gt;"))))</f>
        <v/>
      </c>
      <c r="Q251" s="43" t="str">
        <f>IF(OR($B251="",$A251&gt;$B$9,Q$245=""),"",IF(COUNTIFS(BD!$B$3:$B$5001,Q$245,BD!$A$3:$A$5001,"&gt;="&amp;$C$7,BD!$A$3:$A$5001,"&lt;="&amp;$B251,BD!$AA$3:$AA$5001,"&lt;&gt;")=0,"",SUMIFS(BD!$AA$3:$AA$5001,BD!$B$3:$B$5001,Q$245,BD!$A$3:$A$5001,_xlfn.MAXIFS(BD!$A$3:$A$5001,BD!$B$3:$B$5001,Q$245,BD!$A$3:$A$5001,"&gt;="&amp;$C$7,BD!$A$3:$A$5001,"&lt;="&amp;$B251,BD!$AA$3:$AA$5001,"&lt;&gt;"))))</f>
        <v/>
      </c>
      <c r="R251" s="43" t="str">
        <f>IF(OR($B251="",$A251&gt;$B$9,R$245=""),"",IF(COUNTIFS(BD!$B$3:$B$5001,R$245,BD!$A$3:$A$5001,"&gt;="&amp;$C$7,BD!$A$3:$A$5001,"&lt;="&amp;$B251,BD!$AA$3:$AA$5001,"&lt;&gt;")=0,"",SUMIFS(BD!$AA$3:$AA$5001,BD!$B$3:$B$5001,R$245,BD!$A$3:$A$5001,_xlfn.MAXIFS(BD!$A$3:$A$5001,BD!$B$3:$B$5001,R$245,BD!$A$3:$A$5001,"&gt;="&amp;$C$7,BD!$A$3:$A$5001,"&lt;="&amp;$B251,BD!$AA$3:$AA$5001,"&lt;&gt;"))))</f>
        <v/>
      </c>
      <c r="S251" s="43" t="str">
        <f>IF(OR($B251="",$A251&gt;$B$9,S$245=""),"",IF(COUNTIFS(BD!$B$3:$B$5001,S$245,BD!$A$3:$A$5001,"&gt;="&amp;$C$7,BD!$A$3:$A$5001,"&lt;="&amp;$B251,BD!$AA$3:$AA$5001,"&lt;&gt;")=0,"",SUMIFS(BD!$AA$3:$AA$5001,BD!$B$3:$B$5001,S$245,BD!$A$3:$A$5001,_xlfn.MAXIFS(BD!$A$3:$A$5001,BD!$B$3:$B$5001,S$245,BD!$A$3:$A$5001,"&gt;="&amp;$C$7,BD!$A$3:$A$5001,"&lt;="&amp;$B251,BD!$AA$3:$AA$5001,"&lt;&gt;"))))</f>
        <v/>
      </c>
      <c r="T251" s="43" t="str">
        <f>IF(OR($B251="",$A251&gt;$B$9,T$245=""),"",IF(COUNTIFS(BD!$B$3:$B$5001,T$245,BD!$A$3:$A$5001,"&gt;="&amp;$C$7,BD!$A$3:$A$5001,"&lt;="&amp;$B251,BD!$AA$3:$AA$5001,"&lt;&gt;")=0,"",SUMIFS(BD!$AA$3:$AA$5001,BD!$B$3:$B$5001,T$245,BD!$A$3:$A$5001,_xlfn.MAXIFS(BD!$A$3:$A$5001,BD!$B$3:$B$5001,T$245,BD!$A$3:$A$5001,"&gt;="&amp;$C$7,BD!$A$3:$A$5001,"&lt;="&amp;$B251,BD!$AA$3:$AA$5001,"&lt;&gt;"))))</f>
        <v/>
      </c>
      <c r="U251" s="43" t="str">
        <f>IF(OR($B251="",$A251&gt;$B$9,U$245=""),"",IF(COUNTIFS(BD!$B$3:$B$5001,U$245,BD!$A$3:$A$5001,"&gt;="&amp;$C$7,BD!$A$3:$A$5001,"&lt;="&amp;$B251,BD!$AA$3:$AA$5001,"&lt;&gt;")=0,"",SUMIFS(BD!$AA$3:$AA$5001,BD!$B$3:$B$5001,U$245,BD!$A$3:$A$5001,_xlfn.MAXIFS(BD!$A$3:$A$5001,BD!$B$3:$B$5001,U$245,BD!$A$3:$A$5001,"&gt;="&amp;$C$7,BD!$A$3:$A$5001,"&lt;="&amp;$B251,BD!$AA$3:$AA$5001,"&lt;&gt;"))))</f>
        <v/>
      </c>
      <c r="V251" s="43" t="str">
        <f>IF(OR($B251="",$A251&gt;$B$9,V$245=""),"",IF(COUNTIFS(BD!$B$3:$B$5001,V$245,BD!$A$3:$A$5001,"&gt;="&amp;$C$7,BD!$A$3:$A$5001,"&lt;="&amp;$B251,BD!$AA$3:$AA$5001,"&lt;&gt;")=0,"",SUMIFS(BD!$AA$3:$AA$5001,BD!$B$3:$B$5001,V$245,BD!$A$3:$A$5001,_xlfn.MAXIFS(BD!$A$3:$A$5001,BD!$B$3:$B$5001,V$245,BD!$A$3:$A$5001,"&gt;="&amp;$C$7,BD!$A$3:$A$5001,"&lt;="&amp;$B251,BD!$AA$3:$AA$5001,"&lt;&gt;"))))</f>
        <v/>
      </c>
    </row>
    <row r="252">
      <c r="A252" s="38">
        <v>7</v>
      </c>
      <c r="B252" s="42">
        <f>$B$18</f>
        <v>46302</v>
      </c>
      <c r="C252" s="43" t="str">
        <f>IF(OR($B252="",$A252&gt;$B$9,C$245=""),"",IF(COUNTIFS(BD!$B$3:$B$5001,C$245,BD!$A$3:$A$5001,"&gt;="&amp;$C$7,BD!$A$3:$A$5001,"&lt;="&amp;$B252,BD!$AA$3:$AA$5001,"&lt;&gt;")=0,"",SUMIFS(BD!$AA$3:$AA$5001,BD!$B$3:$B$5001,C$245,BD!$A$3:$A$5001,_xlfn.MAXIFS(BD!$A$3:$A$5001,BD!$B$3:$B$5001,C$245,BD!$A$3:$A$5001,"&gt;="&amp;$C$7,BD!$A$3:$A$5001,"&lt;="&amp;$B252,BD!$AA$3:$AA$5001,"&lt;&gt;"))))</f>
        <v/>
      </c>
      <c r="D252" s="43" t="str">
        <f>IF(OR($B252="",$A252&gt;$B$9,D$245=""),"",IF(COUNTIFS(BD!$B$3:$B$5001,D$245,BD!$A$3:$A$5001,"&gt;="&amp;$C$7,BD!$A$3:$A$5001,"&lt;="&amp;$B252,BD!$AA$3:$AA$5001,"&lt;&gt;")=0,"",SUMIFS(BD!$AA$3:$AA$5001,BD!$B$3:$B$5001,D$245,BD!$A$3:$A$5001,_xlfn.MAXIFS(BD!$A$3:$A$5001,BD!$B$3:$B$5001,D$245,BD!$A$3:$A$5001,"&gt;="&amp;$C$7,BD!$A$3:$A$5001,"&lt;="&amp;$B252,BD!$AA$3:$AA$5001,"&lt;&gt;"))))</f>
        <v/>
      </c>
      <c r="E252" s="43" t="str">
        <f>IF(OR($B252="",$A252&gt;$B$9,E$245=""),"",IF(COUNTIFS(BD!$B$3:$B$5001,E$245,BD!$A$3:$A$5001,"&gt;="&amp;$C$7,BD!$A$3:$A$5001,"&lt;="&amp;$B252,BD!$AA$3:$AA$5001,"&lt;&gt;")=0,"",SUMIFS(BD!$AA$3:$AA$5001,BD!$B$3:$B$5001,E$245,BD!$A$3:$A$5001,_xlfn.MAXIFS(BD!$A$3:$A$5001,BD!$B$3:$B$5001,E$245,BD!$A$3:$A$5001,"&gt;="&amp;$C$7,BD!$A$3:$A$5001,"&lt;="&amp;$B252,BD!$AA$3:$AA$5001,"&lt;&gt;"))))</f>
        <v/>
      </c>
      <c r="F252" s="43" t="str">
        <f>IF(OR($B252="",$A252&gt;$B$9,F$245=""),"",IF(COUNTIFS(BD!$B$3:$B$5001,F$245,BD!$A$3:$A$5001,"&gt;="&amp;$C$7,BD!$A$3:$A$5001,"&lt;="&amp;$B252,BD!$AA$3:$AA$5001,"&lt;&gt;")=0,"",SUMIFS(BD!$AA$3:$AA$5001,BD!$B$3:$B$5001,F$245,BD!$A$3:$A$5001,_xlfn.MAXIFS(BD!$A$3:$A$5001,BD!$B$3:$B$5001,F$245,BD!$A$3:$A$5001,"&gt;="&amp;$C$7,BD!$A$3:$A$5001,"&lt;="&amp;$B252,BD!$AA$3:$AA$5001,"&lt;&gt;"))))</f>
        <v/>
      </c>
      <c r="G252" s="43" t="str">
        <f>IF(OR($B252="",$A252&gt;$B$9,G$245=""),"",IF(COUNTIFS(BD!$B$3:$B$5001,G$245,BD!$A$3:$A$5001,"&gt;="&amp;$C$7,BD!$A$3:$A$5001,"&lt;="&amp;$B252,BD!$AA$3:$AA$5001,"&lt;&gt;")=0,"",SUMIFS(BD!$AA$3:$AA$5001,BD!$B$3:$B$5001,G$245,BD!$A$3:$A$5001,_xlfn.MAXIFS(BD!$A$3:$A$5001,BD!$B$3:$B$5001,G$245,BD!$A$3:$A$5001,"&gt;="&amp;$C$7,BD!$A$3:$A$5001,"&lt;="&amp;$B252,BD!$AA$3:$AA$5001,"&lt;&gt;"))))</f>
        <v/>
      </c>
      <c r="H252" s="43" t="str">
        <f>IF(OR($B252="",$A252&gt;$B$9,H$245=""),"",IF(COUNTIFS(BD!$B$3:$B$5001,H$245,BD!$A$3:$A$5001,"&gt;="&amp;$C$7,BD!$A$3:$A$5001,"&lt;="&amp;$B252,BD!$AA$3:$AA$5001,"&lt;&gt;")=0,"",SUMIFS(BD!$AA$3:$AA$5001,BD!$B$3:$B$5001,H$245,BD!$A$3:$A$5001,_xlfn.MAXIFS(BD!$A$3:$A$5001,BD!$B$3:$B$5001,H$245,BD!$A$3:$A$5001,"&gt;="&amp;$C$7,BD!$A$3:$A$5001,"&lt;="&amp;$B252,BD!$AA$3:$AA$5001,"&lt;&gt;"))))</f>
        <v/>
      </c>
      <c r="I252" s="43" t="str">
        <f>IF(OR($B252="",$A252&gt;$B$9,I$245=""),"",IF(COUNTIFS(BD!$B$3:$B$5001,I$245,BD!$A$3:$A$5001,"&gt;="&amp;$C$7,BD!$A$3:$A$5001,"&lt;="&amp;$B252,BD!$AA$3:$AA$5001,"&lt;&gt;")=0,"",SUMIFS(BD!$AA$3:$AA$5001,BD!$B$3:$B$5001,I$245,BD!$A$3:$A$5001,_xlfn.MAXIFS(BD!$A$3:$A$5001,BD!$B$3:$B$5001,I$245,BD!$A$3:$A$5001,"&gt;="&amp;$C$7,BD!$A$3:$A$5001,"&lt;="&amp;$B252,BD!$AA$3:$AA$5001,"&lt;&gt;"))))</f>
        <v/>
      </c>
      <c r="J252" s="43" t="str">
        <f>IF(OR($B252="",$A252&gt;$B$9,J$245=""),"",IF(COUNTIFS(BD!$B$3:$B$5001,J$245,BD!$A$3:$A$5001,"&gt;="&amp;$C$7,BD!$A$3:$A$5001,"&lt;="&amp;$B252,BD!$AA$3:$AA$5001,"&lt;&gt;")=0,"",SUMIFS(BD!$AA$3:$AA$5001,BD!$B$3:$B$5001,J$245,BD!$A$3:$A$5001,_xlfn.MAXIFS(BD!$A$3:$A$5001,BD!$B$3:$B$5001,J$245,BD!$A$3:$A$5001,"&gt;="&amp;$C$7,BD!$A$3:$A$5001,"&lt;="&amp;$B252,BD!$AA$3:$AA$5001,"&lt;&gt;"))))</f>
        <v/>
      </c>
      <c r="K252" s="43" t="str">
        <f>IF(OR($B252="",$A252&gt;$B$9,K$245=""),"",IF(COUNTIFS(BD!$B$3:$B$5001,K$245,BD!$A$3:$A$5001,"&gt;="&amp;$C$7,BD!$A$3:$A$5001,"&lt;="&amp;$B252,BD!$AA$3:$AA$5001,"&lt;&gt;")=0,"",SUMIFS(BD!$AA$3:$AA$5001,BD!$B$3:$B$5001,K$245,BD!$A$3:$A$5001,_xlfn.MAXIFS(BD!$A$3:$A$5001,BD!$B$3:$B$5001,K$245,BD!$A$3:$A$5001,"&gt;="&amp;$C$7,BD!$A$3:$A$5001,"&lt;="&amp;$B252,BD!$AA$3:$AA$5001,"&lt;&gt;"))))</f>
        <v/>
      </c>
      <c r="L252" s="43" t="str">
        <f>IF(OR($B252="",$A252&gt;$B$9,L$245=""),"",IF(COUNTIFS(BD!$B$3:$B$5001,L$245,BD!$A$3:$A$5001,"&gt;="&amp;$C$7,BD!$A$3:$A$5001,"&lt;="&amp;$B252,BD!$AA$3:$AA$5001,"&lt;&gt;")=0,"",SUMIFS(BD!$AA$3:$AA$5001,BD!$B$3:$B$5001,L$245,BD!$A$3:$A$5001,_xlfn.MAXIFS(BD!$A$3:$A$5001,BD!$B$3:$B$5001,L$245,BD!$A$3:$A$5001,"&gt;="&amp;$C$7,BD!$A$3:$A$5001,"&lt;="&amp;$B252,BD!$AA$3:$AA$5001,"&lt;&gt;"))))</f>
        <v/>
      </c>
      <c r="M252" s="43" t="str">
        <f>IF(OR($B252="",$A252&gt;$B$9,M$245=""),"",IF(COUNTIFS(BD!$B$3:$B$5001,M$245,BD!$A$3:$A$5001,"&gt;="&amp;$C$7,BD!$A$3:$A$5001,"&lt;="&amp;$B252,BD!$AA$3:$AA$5001,"&lt;&gt;")=0,"",SUMIFS(BD!$AA$3:$AA$5001,BD!$B$3:$B$5001,M$245,BD!$A$3:$A$5001,_xlfn.MAXIFS(BD!$A$3:$A$5001,BD!$B$3:$B$5001,M$245,BD!$A$3:$A$5001,"&gt;="&amp;$C$7,BD!$A$3:$A$5001,"&lt;="&amp;$B252,BD!$AA$3:$AA$5001,"&lt;&gt;"))))</f>
        <v/>
      </c>
      <c r="N252" s="43" t="str">
        <f>IF(OR($B252="",$A252&gt;$B$9,N$245=""),"",IF(COUNTIFS(BD!$B$3:$B$5001,N$245,BD!$A$3:$A$5001,"&gt;="&amp;$C$7,BD!$A$3:$A$5001,"&lt;="&amp;$B252,BD!$AA$3:$AA$5001,"&lt;&gt;")=0,"",SUMIFS(BD!$AA$3:$AA$5001,BD!$B$3:$B$5001,N$245,BD!$A$3:$A$5001,_xlfn.MAXIFS(BD!$A$3:$A$5001,BD!$B$3:$B$5001,N$245,BD!$A$3:$A$5001,"&gt;="&amp;$C$7,BD!$A$3:$A$5001,"&lt;="&amp;$B252,BD!$AA$3:$AA$5001,"&lt;&gt;"))))</f>
        <v/>
      </c>
      <c r="O252" s="43" t="str">
        <f>IF(OR($B252="",$A252&gt;$B$9,O$245=""),"",IF(COUNTIFS(BD!$B$3:$B$5001,O$245,BD!$A$3:$A$5001,"&gt;="&amp;$C$7,BD!$A$3:$A$5001,"&lt;="&amp;$B252,BD!$AA$3:$AA$5001,"&lt;&gt;")=0,"",SUMIFS(BD!$AA$3:$AA$5001,BD!$B$3:$B$5001,O$245,BD!$A$3:$A$5001,_xlfn.MAXIFS(BD!$A$3:$A$5001,BD!$B$3:$B$5001,O$245,BD!$A$3:$A$5001,"&gt;="&amp;$C$7,BD!$A$3:$A$5001,"&lt;="&amp;$B252,BD!$AA$3:$AA$5001,"&lt;&gt;"))))</f>
        <v/>
      </c>
      <c r="P252" s="43" t="str">
        <f>IF(OR($B252="",$A252&gt;$B$9,P$245=""),"",IF(COUNTIFS(BD!$B$3:$B$5001,P$245,BD!$A$3:$A$5001,"&gt;="&amp;$C$7,BD!$A$3:$A$5001,"&lt;="&amp;$B252,BD!$AA$3:$AA$5001,"&lt;&gt;")=0,"",SUMIFS(BD!$AA$3:$AA$5001,BD!$B$3:$B$5001,P$245,BD!$A$3:$A$5001,_xlfn.MAXIFS(BD!$A$3:$A$5001,BD!$B$3:$B$5001,P$245,BD!$A$3:$A$5001,"&gt;="&amp;$C$7,BD!$A$3:$A$5001,"&lt;="&amp;$B252,BD!$AA$3:$AA$5001,"&lt;&gt;"))))</f>
        <v/>
      </c>
      <c r="Q252" s="43" t="str">
        <f>IF(OR($B252="",$A252&gt;$B$9,Q$245=""),"",IF(COUNTIFS(BD!$B$3:$B$5001,Q$245,BD!$A$3:$A$5001,"&gt;="&amp;$C$7,BD!$A$3:$A$5001,"&lt;="&amp;$B252,BD!$AA$3:$AA$5001,"&lt;&gt;")=0,"",SUMIFS(BD!$AA$3:$AA$5001,BD!$B$3:$B$5001,Q$245,BD!$A$3:$A$5001,_xlfn.MAXIFS(BD!$A$3:$A$5001,BD!$B$3:$B$5001,Q$245,BD!$A$3:$A$5001,"&gt;="&amp;$C$7,BD!$A$3:$A$5001,"&lt;="&amp;$B252,BD!$AA$3:$AA$5001,"&lt;&gt;"))))</f>
        <v/>
      </c>
      <c r="R252" s="43" t="str">
        <f>IF(OR($B252="",$A252&gt;$B$9,R$245=""),"",IF(COUNTIFS(BD!$B$3:$B$5001,R$245,BD!$A$3:$A$5001,"&gt;="&amp;$C$7,BD!$A$3:$A$5001,"&lt;="&amp;$B252,BD!$AA$3:$AA$5001,"&lt;&gt;")=0,"",SUMIFS(BD!$AA$3:$AA$5001,BD!$B$3:$B$5001,R$245,BD!$A$3:$A$5001,_xlfn.MAXIFS(BD!$A$3:$A$5001,BD!$B$3:$B$5001,R$245,BD!$A$3:$A$5001,"&gt;="&amp;$C$7,BD!$A$3:$A$5001,"&lt;="&amp;$B252,BD!$AA$3:$AA$5001,"&lt;&gt;"))))</f>
        <v/>
      </c>
      <c r="S252" s="43" t="str">
        <f>IF(OR($B252="",$A252&gt;$B$9,S$245=""),"",IF(COUNTIFS(BD!$B$3:$B$5001,S$245,BD!$A$3:$A$5001,"&gt;="&amp;$C$7,BD!$A$3:$A$5001,"&lt;="&amp;$B252,BD!$AA$3:$AA$5001,"&lt;&gt;")=0,"",SUMIFS(BD!$AA$3:$AA$5001,BD!$B$3:$B$5001,S$245,BD!$A$3:$A$5001,_xlfn.MAXIFS(BD!$A$3:$A$5001,BD!$B$3:$B$5001,S$245,BD!$A$3:$A$5001,"&gt;="&amp;$C$7,BD!$A$3:$A$5001,"&lt;="&amp;$B252,BD!$AA$3:$AA$5001,"&lt;&gt;"))))</f>
        <v/>
      </c>
      <c r="T252" s="43" t="str">
        <f>IF(OR($B252="",$A252&gt;$B$9,T$245=""),"",IF(COUNTIFS(BD!$B$3:$B$5001,T$245,BD!$A$3:$A$5001,"&gt;="&amp;$C$7,BD!$A$3:$A$5001,"&lt;="&amp;$B252,BD!$AA$3:$AA$5001,"&lt;&gt;")=0,"",SUMIFS(BD!$AA$3:$AA$5001,BD!$B$3:$B$5001,T$245,BD!$A$3:$A$5001,_xlfn.MAXIFS(BD!$A$3:$A$5001,BD!$B$3:$B$5001,T$245,BD!$A$3:$A$5001,"&gt;="&amp;$C$7,BD!$A$3:$A$5001,"&lt;="&amp;$B252,BD!$AA$3:$AA$5001,"&lt;&gt;"))))</f>
        <v/>
      </c>
      <c r="U252" s="43" t="str">
        <f>IF(OR($B252="",$A252&gt;$B$9,U$245=""),"",IF(COUNTIFS(BD!$B$3:$B$5001,U$245,BD!$A$3:$A$5001,"&gt;="&amp;$C$7,BD!$A$3:$A$5001,"&lt;="&amp;$B252,BD!$AA$3:$AA$5001,"&lt;&gt;")=0,"",SUMIFS(BD!$AA$3:$AA$5001,BD!$B$3:$B$5001,U$245,BD!$A$3:$A$5001,_xlfn.MAXIFS(BD!$A$3:$A$5001,BD!$B$3:$B$5001,U$245,BD!$A$3:$A$5001,"&gt;="&amp;$C$7,BD!$A$3:$A$5001,"&lt;="&amp;$B252,BD!$AA$3:$AA$5001,"&lt;&gt;"))))</f>
        <v/>
      </c>
      <c r="V252" s="43" t="str">
        <f>IF(OR($B252="",$A252&gt;$B$9,V$245=""),"",IF(COUNTIFS(BD!$B$3:$B$5001,V$245,BD!$A$3:$A$5001,"&gt;="&amp;$C$7,BD!$A$3:$A$5001,"&lt;="&amp;$B252,BD!$AA$3:$AA$5001,"&lt;&gt;")=0,"",SUMIFS(BD!$AA$3:$AA$5001,BD!$B$3:$B$5001,V$245,BD!$A$3:$A$5001,_xlfn.MAXIFS(BD!$A$3:$A$5001,BD!$B$3:$B$5001,V$245,BD!$A$3:$A$5001,"&gt;="&amp;$C$7,BD!$A$3:$A$5001,"&lt;="&amp;$B252,BD!$AA$3:$AA$5001,"&lt;&gt;"))))</f>
        <v/>
      </c>
    </row>
    <row r="253">
      <c r="A253" s="38">
        <v>8</v>
      </c>
      <c r="B253" s="42">
        <f>$B$19</f>
        <v>46303</v>
      </c>
      <c r="C253" s="43" t="str">
        <f>IF(OR($B253="",$A253&gt;$B$9,C$245=""),"",IF(COUNTIFS(BD!$B$3:$B$5001,C$245,BD!$A$3:$A$5001,"&gt;="&amp;$C$7,BD!$A$3:$A$5001,"&lt;="&amp;$B253,BD!$AA$3:$AA$5001,"&lt;&gt;")=0,"",SUMIFS(BD!$AA$3:$AA$5001,BD!$B$3:$B$5001,C$245,BD!$A$3:$A$5001,_xlfn.MAXIFS(BD!$A$3:$A$5001,BD!$B$3:$B$5001,C$245,BD!$A$3:$A$5001,"&gt;="&amp;$C$7,BD!$A$3:$A$5001,"&lt;="&amp;$B253,BD!$AA$3:$AA$5001,"&lt;&gt;"))))</f>
        <v/>
      </c>
      <c r="D253" s="43" t="str">
        <f>IF(OR($B253="",$A253&gt;$B$9,D$245=""),"",IF(COUNTIFS(BD!$B$3:$B$5001,D$245,BD!$A$3:$A$5001,"&gt;="&amp;$C$7,BD!$A$3:$A$5001,"&lt;="&amp;$B253,BD!$AA$3:$AA$5001,"&lt;&gt;")=0,"",SUMIFS(BD!$AA$3:$AA$5001,BD!$B$3:$B$5001,D$245,BD!$A$3:$A$5001,_xlfn.MAXIFS(BD!$A$3:$A$5001,BD!$B$3:$B$5001,D$245,BD!$A$3:$A$5001,"&gt;="&amp;$C$7,BD!$A$3:$A$5001,"&lt;="&amp;$B253,BD!$AA$3:$AA$5001,"&lt;&gt;"))))</f>
        <v/>
      </c>
      <c r="E253" s="43" t="str">
        <f>IF(OR($B253="",$A253&gt;$B$9,E$245=""),"",IF(COUNTIFS(BD!$B$3:$B$5001,E$245,BD!$A$3:$A$5001,"&gt;="&amp;$C$7,BD!$A$3:$A$5001,"&lt;="&amp;$B253,BD!$AA$3:$AA$5001,"&lt;&gt;")=0,"",SUMIFS(BD!$AA$3:$AA$5001,BD!$B$3:$B$5001,E$245,BD!$A$3:$A$5001,_xlfn.MAXIFS(BD!$A$3:$A$5001,BD!$B$3:$B$5001,E$245,BD!$A$3:$A$5001,"&gt;="&amp;$C$7,BD!$A$3:$A$5001,"&lt;="&amp;$B253,BD!$AA$3:$AA$5001,"&lt;&gt;"))))</f>
        <v/>
      </c>
      <c r="F253" s="43" t="str">
        <f>IF(OR($B253="",$A253&gt;$B$9,F$245=""),"",IF(COUNTIFS(BD!$B$3:$B$5001,F$245,BD!$A$3:$A$5001,"&gt;="&amp;$C$7,BD!$A$3:$A$5001,"&lt;="&amp;$B253,BD!$AA$3:$AA$5001,"&lt;&gt;")=0,"",SUMIFS(BD!$AA$3:$AA$5001,BD!$B$3:$B$5001,F$245,BD!$A$3:$A$5001,_xlfn.MAXIFS(BD!$A$3:$A$5001,BD!$B$3:$B$5001,F$245,BD!$A$3:$A$5001,"&gt;="&amp;$C$7,BD!$A$3:$A$5001,"&lt;="&amp;$B253,BD!$AA$3:$AA$5001,"&lt;&gt;"))))</f>
        <v/>
      </c>
      <c r="G253" s="43" t="str">
        <f>IF(OR($B253="",$A253&gt;$B$9,G$245=""),"",IF(COUNTIFS(BD!$B$3:$B$5001,G$245,BD!$A$3:$A$5001,"&gt;="&amp;$C$7,BD!$A$3:$A$5001,"&lt;="&amp;$B253,BD!$AA$3:$AA$5001,"&lt;&gt;")=0,"",SUMIFS(BD!$AA$3:$AA$5001,BD!$B$3:$B$5001,G$245,BD!$A$3:$A$5001,_xlfn.MAXIFS(BD!$A$3:$A$5001,BD!$B$3:$B$5001,G$245,BD!$A$3:$A$5001,"&gt;="&amp;$C$7,BD!$A$3:$A$5001,"&lt;="&amp;$B253,BD!$AA$3:$AA$5001,"&lt;&gt;"))))</f>
        <v/>
      </c>
      <c r="H253" s="43" t="str">
        <f>IF(OR($B253="",$A253&gt;$B$9,H$245=""),"",IF(COUNTIFS(BD!$B$3:$B$5001,H$245,BD!$A$3:$A$5001,"&gt;="&amp;$C$7,BD!$A$3:$A$5001,"&lt;="&amp;$B253,BD!$AA$3:$AA$5001,"&lt;&gt;")=0,"",SUMIFS(BD!$AA$3:$AA$5001,BD!$B$3:$B$5001,H$245,BD!$A$3:$A$5001,_xlfn.MAXIFS(BD!$A$3:$A$5001,BD!$B$3:$B$5001,H$245,BD!$A$3:$A$5001,"&gt;="&amp;$C$7,BD!$A$3:$A$5001,"&lt;="&amp;$B253,BD!$AA$3:$AA$5001,"&lt;&gt;"))))</f>
        <v/>
      </c>
      <c r="I253" s="43" t="str">
        <f>IF(OR($B253="",$A253&gt;$B$9,I$245=""),"",IF(COUNTIFS(BD!$B$3:$B$5001,I$245,BD!$A$3:$A$5001,"&gt;="&amp;$C$7,BD!$A$3:$A$5001,"&lt;="&amp;$B253,BD!$AA$3:$AA$5001,"&lt;&gt;")=0,"",SUMIFS(BD!$AA$3:$AA$5001,BD!$B$3:$B$5001,I$245,BD!$A$3:$A$5001,_xlfn.MAXIFS(BD!$A$3:$A$5001,BD!$B$3:$B$5001,I$245,BD!$A$3:$A$5001,"&gt;="&amp;$C$7,BD!$A$3:$A$5001,"&lt;="&amp;$B253,BD!$AA$3:$AA$5001,"&lt;&gt;"))))</f>
        <v/>
      </c>
      <c r="J253" s="43" t="str">
        <f>IF(OR($B253="",$A253&gt;$B$9,J$245=""),"",IF(COUNTIFS(BD!$B$3:$B$5001,J$245,BD!$A$3:$A$5001,"&gt;="&amp;$C$7,BD!$A$3:$A$5001,"&lt;="&amp;$B253,BD!$AA$3:$AA$5001,"&lt;&gt;")=0,"",SUMIFS(BD!$AA$3:$AA$5001,BD!$B$3:$B$5001,J$245,BD!$A$3:$A$5001,_xlfn.MAXIFS(BD!$A$3:$A$5001,BD!$B$3:$B$5001,J$245,BD!$A$3:$A$5001,"&gt;="&amp;$C$7,BD!$A$3:$A$5001,"&lt;="&amp;$B253,BD!$AA$3:$AA$5001,"&lt;&gt;"))))</f>
        <v/>
      </c>
      <c r="K253" s="43" t="str">
        <f>IF(OR($B253="",$A253&gt;$B$9,K$245=""),"",IF(COUNTIFS(BD!$B$3:$B$5001,K$245,BD!$A$3:$A$5001,"&gt;="&amp;$C$7,BD!$A$3:$A$5001,"&lt;="&amp;$B253,BD!$AA$3:$AA$5001,"&lt;&gt;")=0,"",SUMIFS(BD!$AA$3:$AA$5001,BD!$B$3:$B$5001,K$245,BD!$A$3:$A$5001,_xlfn.MAXIFS(BD!$A$3:$A$5001,BD!$B$3:$B$5001,K$245,BD!$A$3:$A$5001,"&gt;="&amp;$C$7,BD!$A$3:$A$5001,"&lt;="&amp;$B253,BD!$AA$3:$AA$5001,"&lt;&gt;"))))</f>
        <v/>
      </c>
      <c r="L253" s="43" t="str">
        <f>IF(OR($B253="",$A253&gt;$B$9,L$245=""),"",IF(COUNTIFS(BD!$B$3:$B$5001,L$245,BD!$A$3:$A$5001,"&gt;="&amp;$C$7,BD!$A$3:$A$5001,"&lt;="&amp;$B253,BD!$AA$3:$AA$5001,"&lt;&gt;")=0,"",SUMIFS(BD!$AA$3:$AA$5001,BD!$B$3:$B$5001,L$245,BD!$A$3:$A$5001,_xlfn.MAXIFS(BD!$A$3:$A$5001,BD!$B$3:$B$5001,L$245,BD!$A$3:$A$5001,"&gt;="&amp;$C$7,BD!$A$3:$A$5001,"&lt;="&amp;$B253,BD!$AA$3:$AA$5001,"&lt;&gt;"))))</f>
        <v/>
      </c>
      <c r="M253" s="43" t="str">
        <f>IF(OR($B253="",$A253&gt;$B$9,M$245=""),"",IF(COUNTIFS(BD!$B$3:$B$5001,M$245,BD!$A$3:$A$5001,"&gt;="&amp;$C$7,BD!$A$3:$A$5001,"&lt;="&amp;$B253,BD!$AA$3:$AA$5001,"&lt;&gt;")=0,"",SUMIFS(BD!$AA$3:$AA$5001,BD!$B$3:$B$5001,M$245,BD!$A$3:$A$5001,_xlfn.MAXIFS(BD!$A$3:$A$5001,BD!$B$3:$B$5001,M$245,BD!$A$3:$A$5001,"&gt;="&amp;$C$7,BD!$A$3:$A$5001,"&lt;="&amp;$B253,BD!$AA$3:$AA$5001,"&lt;&gt;"))))</f>
        <v/>
      </c>
      <c r="N253" s="43" t="str">
        <f>IF(OR($B253="",$A253&gt;$B$9,N$245=""),"",IF(COUNTIFS(BD!$B$3:$B$5001,N$245,BD!$A$3:$A$5001,"&gt;="&amp;$C$7,BD!$A$3:$A$5001,"&lt;="&amp;$B253,BD!$AA$3:$AA$5001,"&lt;&gt;")=0,"",SUMIFS(BD!$AA$3:$AA$5001,BD!$B$3:$B$5001,N$245,BD!$A$3:$A$5001,_xlfn.MAXIFS(BD!$A$3:$A$5001,BD!$B$3:$B$5001,N$245,BD!$A$3:$A$5001,"&gt;="&amp;$C$7,BD!$A$3:$A$5001,"&lt;="&amp;$B253,BD!$AA$3:$AA$5001,"&lt;&gt;"))))</f>
        <v/>
      </c>
      <c r="O253" s="43" t="str">
        <f>IF(OR($B253="",$A253&gt;$B$9,O$245=""),"",IF(COUNTIFS(BD!$B$3:$B$5001,O$245,BD!$A$3:$A$5001,"&gt;="&amp;$C$7,BD!$A$3:$A$5001,"&lt;="&amp;$B253,BD!$AA$3:$AA$5001,"&lt;&gt;")=0,"",SUMIFS(BD!$AA$3:$AA$5001,BD!$B$3:$B$5001,O$245,BD!$A$3:$A$5001,_xlfn.MAXIFS(BD!$A$3:$A$5001,BD!$B$3:$B$5001,O$245,BD!$A$3:$A$5001,"&gt;="&amp;$C$7,BD!$A$3:$A$5001,"&lt;="&amp;$B253,BD!$AA$3:$AA$5001,"&lt;&gt;"))))</f>
        <v/>
      </c>
      <c r="P253" s="43" t="str">
        <f>IF(OR($B253="",$A253&gt;$B$9,P$245=""),"",IF(COUNTIFS(BD!$B$3:$B$5001,P$245,BD!$A$3:$A$5001,"&gt;="&amp;$C$7,BD!$A$3:$A$5001,"&lt;="&amp;$B253,BD!$AA$3:$AA$5001,"&lt;&gt;")=0,"",SUMIFS(BD!$AA$3:$AA$5001,BD!$B$3:$B$5001,P$245,BD!$A$3:$A$5001,_xlfn.MAXIFS(BD!$A$3:$A$5001,BD!$B$3:$B$5001,P$245,BD!$A$3:$A$5001,"&gt;="&amp;$C$7,BD!$A$3:$A$5001,"&lt;="&amp;$B253,BD!$AA$3:$AA$5001,"&lt;&gt;"))))</f>
        <v/>
      </c>
      <c r="Q253" s="43" t="str">
        <f>IF(OR($B253="",$A253&gt;$B$9,Q$245=""),"",IF(COUNTIFS(BD!$B$3:$B$5001,Q$245,BD!$A$3:$A$5001,"&gt;="&amp;$C$7,BD!$A$3:$A$5001,"&lt;="&amp;$B253,BD!$AA$3:$AA$5001,"&lt;&gt;")=0,"",SUMIFS(BD!$AA$3:$AA$5001,BD!$B$3:$B$5001,Q$245,BD!$A$3:$A$5001,_xlfn.MAXIFS(BD!$A$3:$A$5001,BD!$B$3:$B$5001,Q$245,BD!$A$3:$A$5001,"&gt;="&amp;$C$7,BD!$A$3:$A$5001,"&lt;="&amp;$B253,BD!$AA$3:$AA$5001,"&lt;&gt;"))))</f>
        <v/>
      </c>
      <c r="R253" s="43" t="str">
        <f>IF(OR($B253="",$A253&gt;$B$9,R$245=""),"",IF(COUNTIFS(BD!$B$3:$B$5001,R$245,BD!$A$3:$A$5001,"&gt;="&amp;$C$7,BD!$A$3:$A$5001,"&lt;="&amp;$B253,BD!$AA$3:$AA$5001,"&lt;&gt;")=0,"",SUMIFS(BD!$AA$3:$AA$5001,BD!$B$3:$B$5001,R$245,BD!$A$3:$A$5001,_xlfn.MAXIFS(BD!$A$3:$A$5001,BD!$B$3:$B$5001,R$245,BD!$A$3:$A$5001,"&gt;="&amp;$C$7,BD!$A$3:$A$5001,"&lt;="&amp;$B253,BD!$AA$3:$AA$5001,"&lt;&gt;"))))</f>
        <v/>
      </c>
      <c r="S253" s="43" t="str">
        <f>IF(OR($B253="",$A253&gt;$B$9,S$245=""),"",IF(COUNTIFS(BD!$B$3:$B$5001,S$245,BD!$A$3:$A$5001,"&gt;="&amp;$C$7,BD!$A$3:$A$5001,"&lt;="&amp;$B253,BD!$AA$3:$AA$5001,"&lt;&gt;")=0,"",SUMIFS(BD!$AA$3:$AA$5001,BD!$B$3:$B$5001,S$245,BD!$A$3:$A$5001,_xlfn.MAXIFS(BD!$A$3:$A$5001,BD!$B$3:$B$5001,S$245,BD!$A$3:$A$5001,"&gt;="&amp;$C$7,BD!$A$3:$A$5001,"&lt;="&amp;$B253,BD!$AA$3:$AA$5001,"&lt;&gt;"))))</f>
        <v/>
      </c>
      <c r="T253" s="43" t="str">
        <f>IF(OR($B253="",$A253&gt;$B$9,T$245=""),"",IF(COUNTIFS(BD!$B$3:$B$5001,T$245,BD!$A$3:$A$5001,"&gt;="&amp;$C$7,BD!$A$3:$A$5001,"&lt;="&amp;$B253,BD!$AA$3:$AA$5001,"&lt;&gt;")=0,"",SUMIFS(BD!$AA$3:$AA$5001,BD!$B$3:$B$5001,T$245,BD!$A$3:$A$5001,_xlfn.MAXIFS(BD!$A$3:$A$5001,BD!$B$3:$B$5001,T$245,BD!$A$3:$A$5001,"&gt;="&amp;$C$7,BD!$A$3:$A$5001,"&lt;="&amp;$B253,BD!$AA$3:$AA$5001,"&lt;&gt;"))))</f>
        <v/>
      </c>
      <c r="U253" s="43" t="str">
        <f>IF(OR($B253="",$A253&gt;$B$9,U$245=""),"",IF(COUNTIFS(BD!$B$3:$B$5001,U$245,BD!$A$3:$A$5001,"&gt;="&amp;$C$7,BD!$A$3:$A$5001,"&lt;="&amp;$B253,BD!$AA$3:$AA$5001,"&lt;&gt;")=0,"",SUMIFS(BD!$AA$3:$AA$5001,BD!$B$3:$B$5001,U$245,BD!$A$3:$A$5001,_xlfn.MAXIFS(BD!$A$3:$A$5001,BD!$B$3:$B$5001,U$245,BD!$A$3:$A$5001,"&gt;="&amp;$C$7,BD!$A$3:$A$5001,"&lt;="&amp;$B253,BD!$AA$3:$AA$5001,"&lt;&gt;"))))</f>
        <v/>
      </c>
      <c r="V253" s="43" t="str">
        <f>IF(OR($B253="",$A253&gt;$B$9,V$245=""),"",IF(COUNTIFS(BD!$B$3:$B$5001,V$245,BD!$A$3:$A$5001,"&gt;="&amp;$C$7,BD!$A$3:$A$5001,"&lt;="&amp;$B253,BD!$AA$3:$AA$5001,"&lt;&gt;")=0,"",SUMIFS(BD!$AA$3:$AA$5001,BD!$B$3:$B$5001,V$245,BD!$A$3:$A$5001,_xlfn.MAXIFS(BD!$A$3:$A$5001,BD!$B$3:$B$5001,V$245,BD!$A$3:$A$5001,"&gt;="&amp;$C$7,BD!$A$3:$A$5001,"&lt;="&amp;$B253,BD!$AA$3:$AA$5001,"&lt;&gt;"))))</f>
        <v/>
      </c>
    </row>
    <row r="254">
      <c r="A254" s="38">
        <v>9</v>
      </c>
      <c r="B254" s="42">
        <f>$B$20</f>
        <v>46304</v>
      </c>
      <c r="C254" s="43" t="str">
        <f>IF(OR($B254="",$A254&gt;$B$9,C$245=""),"",IF(COUNTIFS(BD!$B$3:$B$5001,C$245,BD!$A$3:$A$5001,"&gt;="&amp;$C$7,BD!$A$3:$A$5001,"&lt;="&amp;$B254,BD!$AA$3:$AA$5001,"&lt;&gt;")=0,"",SUMIFS(BD!$AA$3:$AA$5001,BD!$B$3:$B$5001,C$245,BD!$A$3:$A$5001,_xlfn.MAXIFS(BD!$A$3:$A$5001,BD!$B$3:$B$5001,C$245,BD!$A$3:$A$5001,"&gt;="&amp;$C$7,BD!$A$3:$A$5001,"&lt;="&amp;$B254,BD!$AA$3:$AA$5001,"&lt;&gt;"))))</f>
        <v/>
      </c>
      <c r="D254" s="43" t="str">
        <f>IF(OR($B254="",$A254&gt;$B$9,D$245=""),"",IF(COUNTIFS(BD!$B$3:$B$5001,D$245,BD!$A$3:$A$5001,"&gt;="&amp;$C$7,BD!$A$3:$A$5001,"&lt;="&amp;$B254,BD!$AA$3:$AA$5001,"&lt;&gt;")=0,"",SUMIFS(BD!$AA$3:$AA$5001,BD!$B$3:$B$5001,D$245,BD!$A$3:$A$5001,_xlfn.MAXIFS(BD!$A$3:$A$5001,BD!$B$3:$B$5001,D$245,BD!$A$3:$A$5001,"&gt;="&amp;$C$7,BD!$A$3:$A$5001,"&lt;="&amp;$B254,BD!$AA$3:$AA$5001,"&lt;&gt;"))))</f>
        <v/>
      </c>
      <c r="E254" s="43" t="str">
        <f>IF(OR($B254="",$A254&gt;$B$9,E$245=""),"",IF(COUNTIFS(BD!$B$3:$B$5001,E$245,BD!$A$3:$A$5001,"&gt;="&amp;$C$7,BD!$A$3:$A$5001,"&lt;="&amp;$B254,BD!$AA$3:$AA$5001,"&lt;&gt;")=0,"",SUMIFS(BD!$AA$3:$AA$5001,BD!$B$3:$B$5001,E$245,BD!$A$3:$A$5001,_xlfn.MAXIFS(BD!$A$3:$A$5001,BD!$B$3:$B$5001,E$245,BD!$A$3:$A$5001,"&gt;="&amp;$C$7,BD!$A$3:$A$5001,"&lt;="&amp;$B254,BD!$AA$3:$AA$5001,"&lt;&gt;"))))</f>
        <v/>
      </c>
      <c r="F254" s="43" t="str">
        <f>IF(OR($B254="",$A254&gt;$B$9,F$245=""),"",IF(COUNTIFS(BD!$B$3:$B$5001,F$245,BD!$A$3:$A$5001,"&gt;="&amp;$C$7,BD!$A$3:$A$5001,"&lt;="&amp;$B254,BD!$AA$3:$AA$5001,"&lt;&gt;")=0,"",SUMIFS(BD!$AA$3:$AA$5001,BD!$B$3:$B$5001,F$245,BD!$A$3:$A$5001,_xlfn.MAXIFS(BD!$A$3:$A$5001,BD!$B$3:$B$5001,F$245,BD!$A$3:$A$5001,"&gt;="&amp;$C$7,BD!$A$3:$A$5001,"&lt;="&amp;$B254,BD!$AA$3:$AA$5001,"&lt;&gt;"))))</f>
        <v/>
      </c>
      <c r="G254" s="43" t="str">
        <f>IF(OR($B254="",$A254&gt;$B$9,G$245=""),"",IF(COUNTIFS(BD!$B$3:$B$5001,G$245,BD!$A$3:$A$5001,"&gt;="&amp;$C$7,BD!$A$3:$A$5001,"&lt;="&amp;$B254,BD!$AA$3:$AA$5001,"&lt;&gt;")=0,"",SUMIFS(BD!$AA$3:$AA$5001,BD!$B$3:$B$5001,G$245,BD!$A$3:$A$5001,_xlfn.MAXIFS(BD!$A$3:$A$5001,BD!$B$3:$B$5001,G$245,BD!$A$3:$A$5001,"&gt;="&amp;$C$7,BD!$A$3:$A$5001,"&lt;="&amp;$B254,BD!$AA$3:$AA$5001,"&lt;&gt;"))))</f>
        <v/>
      </c>
      <c r="H254" s="43" t="str">
        <f>IF(OR($B254="",$A254&gt;$B$9,H$245=""),"",IF(COUNTIFS(BD!$B$3:$B$5001,H$245,BD!$A$3:$A$5001,"&gt;="&amp;$C$7,BD!$A$3:$A$5001,"&lt;="&amp;$B254,BD!$AA$3:$AA$5001,"&lt;&gt;")=0,"",SUMIFS(BD!$AA$3:$AA$5001,BD!$B$3:$B$5001,H$245,BD!$A$3:$A$5001,_xlfn.MAXIFS(BD!$A$3:$A$5001,BD!$B$3:$B$5001,H$245,BD!$A$3:$A$5001,"&gt;="&amp;$C$7,BD!$A$3:$A$5001,"&lt;="&amp;$B254,BD!$AA$3:$AA$5001,"&lt;&gt;"))))</f>
        <v/>
      </c>
      <c r="I254" s="43" t="str">
        <f>IF(OR($B254="",$A254&gt;$B$9,I$245=""),"",IF(COUNTIFS(BD!$B$3:$B$5001,I$245,BD!$A$3:$A$5001,"&gt;="&amp;$C$7,BD!$A$3:$A$5001,"&lt;="&amp;$B254,BD!$AA$3:$AA$5001,"&lt;&gt;")=0,"",SUMIFS(BD!$AA$3:$AA$5001,BD!$B$3:$B$5001,I$245,BD!$A$3:$A$5001,_xlfn.MAXIFS(BD!$A$3:$A$5001,BD!$B$3:$B$5001,I$245,BD!$A$3:$A$5001,"&gt;="&amp;$C$7,BD!$A$3:$A$5001,"&lt;="&amp;$B254,BD!$AA$3:$AA$5001,"&lt;&gt;"))))</f>
        <v/>
      </c>
      <c r="J254" s="43" t="str">
        <f>IF(OR($B254="",$A254&gt;$B$9,J$245=""),"",IF(COUNTIFS(BD!$B$3:$B$5001,J$245,BD!$A$3:$A$5001,"&gt;="&amp;$C$7,BD!$A$3:$A$5001,"&lt;="&amp;$B254,BD!$AA$3:$AA$5001,"&lt;&gt;")=0,"",SUMIFS(BD!$AA$3:$AA$5001,BD!$B$3:$B$5001,J$245,BD!$A$3:$A$5001,_xlfn.MAXIFS(BD!$A$3:$A$5001,BD!$B$3:$B$5001,J$245,BD!$A$3:$A$5001,"&gt;="&amp;$C$7,BD!$A$3:$A$5001,"&lt;="&amp;$B254,BD!$AA$3:$AA$5001,"&lt;&gt;"))))</f>
        <v/>
      </c>
      <c r="K254" s="43" t="str">
        <f>IF(OR($B254="",$A254&gt;$B$9,K$245=""),"",IF(COUNTIFS(BD!$B$3:$B$5001,K$245,BD!$A$3:$A$5001,"&gt;="&amp;$C$7,BD!$A$3:$A$5001,"&lt;="&amp;$B254,BD!$AA$3:$AA$5001,"&lt;&gt;")=0,"",SUMIFS(BD!$AA$3:$AA$5001,BD!$B$3:$B$5001,K$245,BD!$A$3:$A$5001,_xlfn.MAXIFS(BD!$A$3:$A$5001,BD!$B$3:$B$5001,K$245,BD!$A$3:$A$5001,"&gt;="&amp;$C$7,BD!$A$3:$A$5001,"&lt;="&amp;$B254,BD!$AA$3:$AA$5001,"&lt;&gt;"))))</f>
        <v/>
      </c>
      <c r="L254" s="43" t="str">
        <f>IF(OR($B254="",$A254&gt;$B$9,L$245=""),"",IF(COUNTIFS(BD!$B$3:$B$5001,L$245,BD!$A$3:$A$5001,"&gt;="&amp;$C$7,BD!$A$3:$A$5001,"&lt;="&amp;$B254,BD!$AA$3:$AA$5001,"&lt;&gt;")=0,"",SUMIFS(BD!$AA$3:$AA$5001,BD!$B$3:$B$5001,L$245,BD!$A$3:$A$5001,_xlfn.MAXIFS(BD!$A$3:$A$5001,BD!$B$3:$B$5001,L$245,BD!$A$3:$A$5001,"&gt;="&amp;$C$7,BD!$A$3:$A$5001,"&lt;="&amp;$B254,BD!$AA$3:$AA$5001,"&lt;&gt;"))))</f>
        <v/>
      </c>
      <c r="M254" s="43" t="str">
        <f>IF(OR($B254="",$A254&gt;$B$9,M$245=""),"",IF(COUNTIFS(BD!$B$3:$B$5001,M$245,BD!$A$3:$A$5001,"&gt;="&amp;$C$7,BD!$A$3:$A$5001,"&lt;="&amp;$B254,BD!$AA$3:$AA$5001,"&lt;&gt;")=0,"",SUMIFS(BD!$AA$3:$AA$5001,BD!$B$3:$B$5001,M$245,BD!$A$3:$A$5001,_xlfn.MAXIFS(BD!$A$3:$A$5001,BD!$B$3:$B$5001,M$245,BD!$A$3:$A$5001,"&gt;="&amp;$C$7,BD!$A$3:$A$5001,"&lt;="&amp;$B254,BD!$AA$3:$AA$5001,"&lt;&gt;"))))</f>
        <v/>
      </c>
      <c r="N254" s="43" t="str">
        <f>IF(OR($B254="",$A254&gt;$B$9,N$245=""),"",IF(COUNTIFS(BD!$B$3:$B$5001,N$245,BD!$A$3:$A$5001,"&gt;="&amp;$C$7,BD!$A$3:$A$5001,"&lt;="&amp;$B254,BD!$AA$3:$AA$5001,"&lt;&gt;")=0,"",SUMIFS(BD!$AA$3:$AA$5001,BD!$B$3:$B$5001,N$245,BD!$A$3:$A$5001,_xlfn.MAXIFS(BD!$A$3:$A$5001,BD!$B$3:$B$5001,N$245,BD!$A$3:$A$5001,"&gt;="&amp;$C$7,BD!$A$3:$A$5001,"&lt;="&amp;$B254,BD!$AA$3:$AA$5001,"&lt;&gt;"))))</f>
        <v/>
      </c>
      <c r="O254" s="43" t="str">
        <f>IF(OR($B254="",$A254&gt;$B$9,O$245=""),"",IF(COUNTIFS(BD!$B$3:$B$5001,O$245,BD!$A$3:$A$5001,"&gt;="&amp;$C$7,BD!$A$3:$A$5001,"&lt;="&amp;$B254,BD!$AA$3:$AA$5001,"&lt;&gt;")=0,"",SUMIFS(BD!$AA$3:$AA$5001,BD!$B$3:$B$5001,O$245,BD!$A$3:$A$5001,_xlfn.MAXIFS(BD!$A$3:$A$5001,BD!$B$3:$B$5001,O$245,BD!$A$3:$A$5001,"&gt;="&amp;$C$7,BD!$A$3:$A$5001,"&lt;="&amp;$B254,BD!$AA$3:$AA$5001,"&lt;&gt;"))))</f>
        <v/>
      </c>
      <c r="P254" s="43" t="str">
        <f>IF(OR($B254="",$A254&gt;$B$9,P$245=""),"",IF(COUNTIFS(BD!$B$3:$B$5001,P$245,BD!$A$3:$A$5001,"&gt;="&amp;$C$7,BD!$A$3:$A$5001,"&lt;="&amp;$B254,BD!$AA$3:$AA$5001,"&lt;&gt;")=0,"",SUMIFS(BD!$AA$3:$AA$5001,BD!$B$3:$B$5001,P$245,BD!$A$3:$A$5001,_xlfn.MAXIFS(BD!$A$3:$A$5001,BD!$B$3:$B$5001,P$245,BD!$A$3:$A$5001,"&gt;="&amp;$C$7,BD!$A$3:$A$5001,"&lt;="&amp;$B254,BD!$AA$3:$AA$5001,"&lt;&gt;"))))</f>
        <v/>
      </c>
      <c r="Q254" s="43" t="str">
        <f>IF(OR($B254="",$A254&gt;$B$9,Q$245=""),"",IF(COUNTIFS(BD!$B$3:$B$5001,Q$245,BD!$A$3:$A$5001,"&gt;="&amp;$C$7,BD!$A$3:$A$5001,"&lt;="&amp;$B254,BD!$AA$3:$AA$5001,"&lt;&gt;")=0,"",SUMIFS(BD!$AA$3:$AA$5001,BD!$B$3:$B$5001,Q$245,BD!$A$3:$A$5001,_xlfn.MAXIFS(BD!$A$3:$A$5001,BD!$B$3:$B$5001,Q$245,BD!$A$3:$A$5001,"&gt;="&amp;$C$7,BD!$A$3:$A$5001,"&lt;="&amp;$B254,BD!$AA$3:$AA$5001,"&lt;&gt;"))))</f>
        <v/>
      </c>
      <c r="R254" s="43" t="str">
        <f>IF(OR($B254="",$A254&gt;$B$9,R$245=""),"",IF(COUNTIFS(BD!$B$3:$B$5001,R$245,BD!$A$3:$A$5001,"&gt;="&amp;$C$7,BD!$A$3:$A$5001,"&lt;="&amp;$B254,BD!$AA$3:$AA$5001,"&lt;&gt;")=0,"",SUMIFS(BD!$AA$3:$AA$5001,BD!$B$3:$B$5001,R$245,BD!$A$3:$A$5001,_xlfn.MAXIFS(BD!$A$3:$A$5001,BD!$B$3:$B$5001,R$245,BD!$A$3:$A$5001,"&gt;="&amp;$C$7,BD!$A$3:$A$5001,"&lt;="&amp;$B254,BD!$AA$3:$AA$5001,"&lt;&gt;"))))</f>
        <v/>
      </c>
      <c r="S254" s="43" t="str">
        <f>IF(OR($B254="",$A254&gt;$B$9,S$245=""),"",IF(COUNTIFS(BD!$B$3:$B$5001,S$245,BD!$A$3:$A$5001,"&gt;="&amp;$C$7,BD!$A$3:$A$5001,"&lt;="&amp;$B254,BD!$AA$3:$AA$5001,"&lt;&gt;")=0,"",SUMIFS(BD!$AA$3:$AA$5001,BD!$B$3:$B$5001,S$245,BD!$A$3:$A$5001,_xlfn.MAXIFS(BD!$A$3:$A$5001,BD!$B$3:$B$5001,S$245,BD!$A$3:$A$5001,"&gt;="&amp;$C$7,BD!$A$3:$A$5001,"&lt;="&amp;$B254,BD!$AA$3:$AA$5001,"&lt;&gt;"))))</f>
        <v/>
      </c>
      <c r="T254" s="43" t="str">
        <f>IF(OR($B254="",$A254&gt;$B$9,T$245=""),"",IF(COUNTIFS(BD!$B$3:$B$5001,T$245,BD!$A$3:$A$5001,"&gt;="&amp;$C$7,BD!$A$3:$A$5001,"&lt;="&amp;$B254,BD!$AA$3:$AA$5001,"&lt;&gt;")=0,"",SUMIFS(BD!$AA$3:$AA$5001,BD!$B$3:$B$5001,T$245,BD!$A$3:$A$5001,_xlfn.MAXIFS(BD!$A$3:$A$5001,BD!$B$3:$B$5001,T$245,BD!$A$3:$A$5001,"&gt;="&amp;$C$7,BD!$A$3:$A$5001,"&lt;="&amp;$B254,BD!$AA$3:$AA$5001,"&lt;&gt;"))))</f>
        <v/>
      </c>
      <c r="U254" s="43" t="str">
        <f>IF(OR($B254="",$A254&gt;$B$9,U$245=""),"",IF(COUNTIFS(BD!$B$3:$B$5001,U$245,BD!$A$3:$A$5001,"&gt;="&amp;$C$7,BD!$A$3:$A$5001,"&lt;="&amp;$B254,BD!$AA$3:$AA$5001,"&lt;&gt;")=0,"",SUMIFS(BD!$AA$3:$AA$5001,BD!$B$3:$B$5001,U$245,BD!$A$3:$A$5001,_xlfn.MAXIFS(BD!$A$3:$A$5001,BD!$B$3:$B$5001,U$245,BD!$A$3:$A$5001,"&gt;="&amp;$C$7,BD!$A$3:$A$5001,"&lt;="&amp;$B254,BD!$AA$3:$AA$5001,"&lt;&gt;"))))</f>
        <v/>
      </c>
      <c r="V254" s="43" t="str">
        <f>IF(OR($B254="",$A254&gt;$B$9,V$245=""),"",IF(COUNTIFS(BD!$B$3:$B$5001,V$245,BD!$A$3:$A$5001,"&gt;="&amp;$C$7,BD!$A$3:$A$5001,"&lt;="&amp;$B254,BD!$AA$3:$AA$5001,"&lt;&gt;")=0,"",SUMIFS(BD!$AA$3:$AA$5001,BD!$B$3:$B$5001,V$245,BD!$A$3:$A$5001,_xlfn.MAXIFS(BD!$A$3:$A$5001,BD!$B$3:$B$5001,V$245,BD!$A$3:$A$5001,"&gt;="&amp;$C$7,BD!$A$3:$A$5001,"&lt;="&amp;$B254,BD!$AA$3:$AA$5001,"&lt;&gt;"))))</f>
        <v/>
      </c>
    </row>
    <row r="255">
      <c r="A255" s="38">
        <v>10</v>
      </c>
      <c r="B255" s="42">
        <f>$B$21</f>
        <v>46305</v>
      </c>
      <c r="C255" s="43" t="str">
        <f>IF(OR($B255="",$A255&gt;$B$9,C$245=""),"",IF(COUNTIFS(BD!$B$3:$B$5001,C$245,BD!$A$3:$A$5001,"&gt;="&amp;$C$7,BD!$A$3:$A$5001,"&lt;="&amp;$B255,BD!$AA$3:$AA$5001,"&lt;&gt;")=0,"",SUMIFS(BD!$AA$3:$AA$5001,BD!$B$3:$B$5001,C$245,BD!$A$3:$A$5001,_xlfn.MAXIFS(BD!$A$3:$A$5001,BD!$B$3:$B$5001,C$245,BD!$A$3:$A$5001,"&gt;="&amp;$C$7,BD!$A$3:$A$5001,"&lt;="&amp;$B255,BD!$AA$3:$AA$5001,"&lt;&gt;"))))</f>
        <v/>
      </c>
      <c r="D255" s="43" t="str">
        <f>IF(OR($B255="",$A255&gt;$B$9,D$245=""),"",IF(COUNTIFS(BD!$B$3:$B$5001,D$245,BD!$A$3:$A$5001,"&gt;="&amp;$C$7,BD!$A$3:$A$5001,"&lt;="&amp;$B255,BD!$AA$3:$AA$5001,"&lt;&gt;")=0,"",SUMIFS(BD!$AA$3:$AA$5001,BD!$B$3:$B$5001,D$245,BD!$A$3:$A$5001,_xlfn.MAXIFS(BD!$A$3:$A$5001,BD!$B$3:$B$5001,D$245,BD!$A$3:$A$5001,"&gt;="&amp;$C$7,BD!$A$3:$A$5001,"&lt;="&amp;$B255,BD!$AA$3:$AA$5001,"&lt;&gt;"))))</f>
        <v/>
      </c>
      <c r="E255" s="43" t="str">
        <f>IF(OR($B255="",$A255&gt;$B$9,E$245=""),"",IF(COUNTIFS(BD!$B$3:$B$5001,E$245,BD!$A$3:$A$5001,"&gt;="&amp;$C$7,BD!$A$3:$A$5001,"&lt;="&amp;$B255,BD!$AA$3:$AA$5001,"&lt;&gt;")=0,"",SUMIFS(BD!$AA$3:$AA$5001,BD!$B$3:$B$5001,E$245,BD!$A$3:$A$5001,_xlfn.MAXIFS(BD!$A$3:$A$5001,BD!$B$3:$B$5001,E$245,BD!$A$3:$A$5001,"&gt;="&amp;$C$7,BD!$A$3:$A$5001,"&lt;="&amp;$B255,BD!$AA$3:$AA$5001,"&lt;&gt;"))))</f>
        <v/>
      </c>
      <c r="F255" s="43" t="str">
        <f>IF(OR($B255="",$A255&gt;$B$9,F$245=""),"",IF(COUNTIFS(BD!$B$3:$B$5001,F$245,BD!$A$3:$A$5001,"&gt;="&amp;$C$7,BD!$A$3:$A$5001,"&lt;="&amp;$B255,BD!$AA$3:$AA$5001,"&lt;&gt;")=0,"",SUMIFS(BD!$AA$3:$AA$5001,BD!$B$3:$B$5001,F$245,BD!$A$3:$A$5001,_xlfn.MAXIFS(BD!$A$3:$A$5001,BD!$B$3:$B$5001,F$245,BD!$A$3:$A$5001,"&gt;="&amp;$C$7,BD!$A$3:$A$5001,"&lt;="&amp;$B255,BD!$AA$3:$AA$5001,"&lt;&gt;"))))</f>
        <v/>
      </c>
      <c r="G255" s="43" t="str">
        <f>IF(OR($B255="",$A255&gt;$B$9,G$245=""),"",IF(COUNTIFS(BD!$B$3:$B$5001,G$245,BD!$A$3:$A$5001,"&gt;="&amp;$C$7,BD!$A$3:$A$5001,"&lt;="&amp;$B255,BD!$AA$3:$AA$5001,"&lt;&gt;")=0,"",SUMIFS(BD!$AA$3:$AA$5001,BD!$B$3:$B$5001,G$245,BD!$A$3:$A$5001,_xlfn.MAXIFS(BD!$A$3:$A$5001,BD!$B$3:$B$5001,G$245,BD!$A$3:$A$5001,"&gt;="&amp;$C$7,BD!$A$3:$A$5001,"&lt;="&amp;$B255,BD!$AA$3:$AA$5001,"&lt;&gt;"))))</f>
        <v/>
      </c>
      <c r="H255" s="43" t="str">
        <f>IF(OR($B255="",$A255&gt;$B$9,H$245=""),"",IF(COUNTIFS(BD!$B$3:$B$5001,H$245,BD!$A$3:$A$5001,"&gt;="&amp;$C$7,BD!$A$3:$A$5001,"&lt;="&amp;$B255,BD!$AA$3:$AA$5001,"&lt;&gt;")=0,"",SUMIFS(BD!$AA$3:$AA$5001,BD!$B$3:$B$5001,H$245,BD!$A$3:$A$5001,_xlfn.MAXIFS(BD!$A$3:$A$5001,BD!$B$3:$B$5001,H$245,BD!$A$3:$A$5001,"&gt;="&amp;$C$7,BD!$A$3:$A$5001,"&lt;="&amp;$B255,BD!$AA$3:$AA$5001,"&lt;&gt;"))))</f>
        <v/>
      </c>
      <c r="I255" s="43" t="str">
        <f>IF(OR($B255="",$A255&gt;$B$9,I$245=""),"",IF(COUNTIFS(BD!$B$3:$B$5001,I$245,BD!$A$3:$A$5001,"&gt;="&amp;$C$7,BD!$A$3:$A$5001,"&lt;="&amp;$B255,BD!$AA$3:$AA$5001,"&lt;&gt;")=0,"",SUMIFS(BD!$AA$3:$AA$5001,BD!$B$3:$B$5001,I$245,BD!$A$3:$A$5001,_xlfn.MAXIFS(BD!$A$3:$A$5001,BD!$B$3:$B$5001,I$245,BD!$A$3:$A$5001,"&gt;="&amp;$C$7,BD!$A$3:$A$5001,"&lt;="&amp;$B255,BD!$AA$3:$AA$5001,"&lt;&gt;"))))</f>
        <v/>
      </c>
      <c r="J255" s="43" t="str">
        <f>IF(OR($B255="",$A255&gt;$B$9,J$245=""),"",IF(COUNTIFS(BD!$B$3:$B$5001,J$245,BD!$A$3:$A$5001,"&gt;="&amp;$C$7,BD!$A$3:$A$5001,"&lt;="&amp;$B255,BD!$AA$3:$AA$5001,"&lt;&gt;")=0,"",SUMIFS(BD!$AA$3:$AA$5001,BD!$B$3:$B$5001,J$245,BD!$A$3:$A$5001,_xlfn.MAXIFS(BD!$A$3:$A$5001,BD!$B$3:$B$5001,J$245,BD!$A$3:$A$5001,"&gt;="&amp;$C$7,BD!$A$3:$A$5001,"&lt;="&amp;$B255,BD!$AA$3:$AA$5001,"&lt;&gt;"))))</f>
        <v/>
      </c>
      <c r="K255" s="43" t="str">
        <f>IF(OR($B255="",$A255&gt;$B$9,K$245=""),"",IF(COUNTIFS(BD!$B$3:$B$5001,K$245,BD!$A$3:$A$5001,"&gt;="&amp;$C$7,BD!$A$3:$A$5001,"&lt;="&amp;$B255,BD!$AA$3:$AA$5001,"&lt;&gt;")=0,"",SUMIFS(BD!$AA$3:$AA$5001,BD!$B$3:$B$5001,K$245,BD!$A$3:$A$5001,_xlfn.MAXIFS(BD!$A$3:$A$5001,BD!$B$3:$B$5001,K$245,BD!$A$3:$A$5001,"&gt;="&amp;$C$7,BD!$A$3:$A$5001,"&lt;="&amp;$B255,BD!$AA$3:$AA$5001,"&lt;&gt;"))))</f>
        <v/>
      </c>
      <c r="L255" s="43" t="str">
        <f>IF(OR($B255="",$A255&gt;$B$9,L$245=""),"",IF(COUNTIFS(BD!$B$3:$B$5001,L$245,BD!$A$3:$A$5001,"&gt;="&amp;$C$7,BD!$A$3:$A$5001,"&lt;="&amp;$B255,BD!$AA$3:$AA$5001,"&lt;&gt;")=0,"",SUMIFS(BD!$AA$3:$AA$5001,BD!$B$3:$B$5001,L$245,BD!$A$3:$A$5001,_xlfn.MAXIFS(BD!$A$3:$A$5001,BD!$B$3:$B$5001,L$245,BD!$A$3:$A$5001,"&gt;="&amp;$C$7,BD!$A$3:$A$5001,"&lt;="&amp;$B255,BD!$AA$3:$AA$5001,"&lt;&gt;"))))</f>
        <v/>
      </c>
      <c r="M255" s="43" t="str">
        <f>IF(OR($B255="",$A255&gt;$B$9,M$245=""),"",IF(COUNTIFS(BD!$B$3:$B$5001,M$245,BD!$A$3:$A$5001,"&gt;="&amp;$C$7,BD!$A$3:$A$5001,"&lt;="&amp;$B255,BD!$AA$3:$AA$5001,"&lt;&gt;")=0,"",SUMIFS(BD!$AA$3:$AA$5001,BD!$B$3:$B$5001,M$245,BD!$A$3:$A$5001,_xlfn.MAXIFS(BD!$A$3:$A$5001,BD!$B$3:$B$5001,M$245,BD!$A$3:$A$5001,"&gt;="&amp;$C$7,BD!$A$3:$A$5001,"&lt;="&amp;$B255,BD!$AA$3:$AA$5001,"&lt;&gt;"))))</f>
        <v/>
      </c>
      <c r="N255" s="43" t="str">
        <f>IF(OR($B255="",$A255&gt;$B$9,N$245=""),"",IF(COUNTIFS(BD!$B$3:$B$5001,N$245,BD!$A$3:$A$5001,"&gt;="&amp;$C$7,BD!$A$3:$A$5001,"&lt;="&amp;$B255,BD!$AA$3:$AA$5001,"&lt;&gt;")=0,"",SUMIFS(BD!$AA$3:$AA$5001,BD!$B$3:$B$5001,N$245,BD!$A$3:$A$5001,_xlfn.MAXIFS(BD!$A$3:$A$5001,BD!$B$3:$B$5001,N$245,BD!$A$3:$A$5001,"&gt;="&amp;$C$7,BD!$A$3:$A$5001,"&lt;="&amp;$B255,BD!$AA$3:$AA$5001,"&lt;&gt;"))))</f>
        <v/>
      </c>
      <c r="O255" s="43" t="str">
        <f>IF(OR($B255="",$A255&gt;$B$9,O$245=""),"",IF(COUNTIFS(BD!$B$3:$B$5001,O$245,BD!$A$3:$A$5001,"&gt;="&amp;$C$7,BD!$A$3:$A$5001,"&lt;="&amp;$B255,BD!$AA$3:$AA$5001,"&lt;&gt;")=0,"",SUMIFS(BD!$AA$3:$AA$5001,BD!$B$3:$B$5001,O$245,BD!$A$3:$A$5001,_xlfn.MAXIFS(BD!$A$3:$A$5001,BD!$B$3:$B$5001,O$245,BD!$A$3:$A$5001,"&gt;="&amp;$C$7,BD!$A$3:$A$5001,"&lt;="&amp;$B255,BD!$AA$3:$AA$5001,"&lt;&gt;"))))</f>
        <v/>
      </c>
      <c r="P255" s="43" t="str">
        <f>IF(OR($B255="",$A255&gt;$B$9,P$245=""),"",IF(COUNTIFS(BD!$B$3:$B$5001,P$245,BD!$A$3:$A$5001,"&gt;="&amp;$C$7,BD!$A$3:$A$5001,"&lt;="&amp;$B255,BD!$AA$3:$AA$5001,"&lt;&gt;")=0,"",SUMIFS(BD!$AA$3:$AA$5001,BD!$B$3:$B$5001,P$245,BD!$A$3:$A$5001,_xlfn.MAXIFS(BD!$A$3:$A$5001,BD!$B$3:$B$5001,P$245,BD!$A$3:$A$5001,"&gt;="&amp;$C$7,BD!$A$3:$A$5001,"&lt;="&amp;$B255,BD!$AA$3:$AA$5001,"&lt;&gt;"))))</f>
        <v/>
      </c>
      <c r="Q255" s="43" t="str">
        <f>IF(OR($B255="",$A255&gt;$B$9,Q$245=""),"",IF(COUNTIFS(BD!$B$3:$B$5001,Q$245,BD!$A$3:$A$5001,"&gt;="&amp;$C$7,BD!$A$3:$A$5001,"&lt;="&amp;$B255,BD!$AA$3:$AA$5001,"&lt;&gt;")=0,"",SUMIFS(BD!$AA$3:$AA$5001,BD!$B$3:$B$5001,Q$245,BD!$A$3:$A$5001,_xlfn.MAXIFS(BD!$A$3:$A$5001,BD!$B$3:$B$5001,Q$245,BD!$A$3:$A$5001,"&gt;="&amp;$C$7,BD!$A$3:$A$5001,"&lt;="&amp;$B255,BD!$AA$3:$AA$5001,"&lt;&gt;"))))</f>
        <v/>
      </c>
      <c r="R255" s="43" t="str">
        <f>IF(OR($B255="",$A255&gt;$B$9,R$245=""),"",IF(COUNTIFS(BD!$B$3:$B$5001,R$245,BD!$A$3:$A$5001,"&gt;="&amp;$C$7,BD!$A$3:$A$5001,"&lt;="&amp;$B255,BD!$AA$3:$AA$5001,"&lt;&gt;")=0,"",SUMIFS(BD!$AA$3:$AA$5001,BD!$B$3:$B$5001,R$245,BD!$A$3:$A$5001,_xlfn.MAXIFS(BD!$A$3:$A$5001,BD!$B$3:$B$5001,R$245,BD!$A$3:$A$5001,"&gt;="&amp;$C$7,BD!$A$3:$A$5001,"&lt;="&amp;$B255,BD!$AA$3:$AA$5001,"&lt;&gt;"))))</f>
        <v/>
      </c>
      <c r="S255" s="43" t="str">
        <f>IF(OR($B255="",$A255&gt;$B$9,S$245=""),"",IF(COUNTIFS(BD!$B$3:$B$5001,S$245,BD!$A$3:$A$5001,"&gt;="&amp;$C$7,BD!$A$3:$A$5001,"&lt;="&amp;$B255,BD!$AA$3:$AA$5001,"&lt;&gt;")=0,"",SUMIFS(BD!$AA$3:$AA$5001,BD!$B$3:$B$5001,S$245,BD!$A$3:$A$5001,_xlfn.MAXIFS(BD!$A$3:$A$5001,BD!$B$3:$B$5001,S$245,BD!$A$3:$A$5001,"&gt;="&amp;$C$7,BD!$A$3:$A$5001,"&lt;="&amp;$B255,BD!$AA$3:$AA$5001,"&lt;&gt;"))))</f>
        <v/>
      </c>
      <c r="T255" s="43" t="str">
        <f>IF(OR($B255="",$A255&gt;$B$9,T$245=""),"",IF(COUNTIFS(BD!$B$3:$B$5001,T$245,BD!$A$3:$A$5001,"&gt;="&amp;$C$7,BD!$A$3:$A$5001,"&lt;="&amp;$B255,BD!$AA$3:$AA$5001,"&lt;&gt;")=0,"",SUMIFS(BD!$AA$3:$AA$5001,BD!$B$3:$B$5001,T$245,BD!$A$3:$A$5001,_xlfn.MAXIFS(BD!$A$3:$A$5001,BD!$B$3:$B$5001,T$245,BD!$A$3:$A$5001,"&gt;="&amp;$C$7,BD!$A$3:$A$5001,"&lt;="&amp;$B255,BD!$AA$3:$AA$5001,"&lt;&gt;"))))</f>
        <v/>
      </c>
      <c r="U255" s="43" t="str">
        <f>IF(OR($B255="",$A255&gt;$B$9,U$245=""),"",IF(COUNTIFS(BD!$B$3:$B$5001,U$245,BD!$A$3:$A$5001,"&gt;="&amp;$C$7,BD!$A$3:$A$5001,"&lt;="&amp;$B255,BD!$AA$3:$AA$5001,"&lt;&gt;")=0,"",SUMIFS(BD!$AA$3:$AA$5001,BD!$B$3:$B$5001,U$245,BD!$A$3:$A$5001,_xlfn.MAXIFS(BD!$A$3:$A$5001,BD!$B$3:$B$5001,U$245,BD!$A$3:$A$5001,"&gt;="&amp;$C$7,BD!$A$3:$A$5001,"&lt;="&amp;$B255,BD!$AA$3:$AA$5001,"&lt;&gt;"))))</f>
        <v/>
      </c>
      <c r="V255" s="43" t="str">
        <f>IF(OR($B255="",$A255&gt;$B$9,V$245=""),"",IF(COUNTIFS(BD!$B$3:$B$5001,V$245,BD!$A$3:$A$5001,"&gt;="&amp;$C$7,BD!$A$3:$A$5001,"&lt;="&amp;$B255,BD!$AA$3:$AA$5001,"&lt;&gt;")=0,"",SUMIFS(BD!$AA$3:$AA$5001,BD!$B$3:$B$5001,V$245,BD!$A$3:$A$5001,_xlfn.MAXIFS(BD!$A$3:$A$5001,BD!$B$3:$B$5001,V$245,BD!$A$3:$A$5001,"&gt;="&amp;$C$7,BD!$A$3:$A$5001,"&lt;="&amp;$B255,BD!$AA$3:$AA$5001,"&lt;&gt;"))))</f>
        <v/>
      </c>
    </row>
    <row r="256">
      <c r="A256" s="38">
        <v>11</v>
      </c>
      <c r="B256" s="42">
        <f>$B$22</f>
        <v>46306</v>
      </c>
      <c r="C256" s="43" t="str">
        <f>IF(OR($B256="",$A256&gt;$B$9,C$245=""),"",IF(COUNTIFS(BD!$B$3:$B$5001,C$245,BD!$A$3:$A$5001,"&gt;="&amp;$C$7,BD!$A$3:$A$5001,"&lt;="&amp;$B256,BD!$AA$3:$AA$5001,"&lt;&gt;")=0,"",SUMIFS(BD!$AA$3:$AA$5001,BD!$B$3:$B$5001,C$245,BD!$A$3:$A$5001,_xlfn.MAXIFS(BD!$A$3:$A$5001,BD!$B$3:$B$5001,C$245,BD!$A$3:$A$5001,"&gt;="&amp;$C$7,BD!$A$3:$A$5001,"&lt;="&amp;$B256,BD!$AA$3:$AA$5001,"&lt;&gt;"))))</f>
        <v/>
      </c>
      <c r="D256" s="43" t="str">
        <f>IF(OR($B256="",$A256&gt;$B$9,D$245=""),"",IF(COUNTIFS(BD!$B$3:$B$5001,D$245,BD!$A$3:$A$5001,"&gt;="&amp;$C$7,BD!$A$3:$A$5001,"&lt;="&amp;$B256,BD!$AA$3:$AA$5001,"&lt;&gt;")=0,"",SUMIFS(BD!$AA$3:$AA$5001,BD!$B$3:$B$5001,D$245,BD!$A$3:$A$5001,_xlfn.MAXIFS(BD!$A$3:$A$5001,BD!$B$3:$B$5001,D$245,BD!$A$3:$A$5001,"&gt;="&amp;$C$7,BD!$A$3:$A$5001,"&lt;="&amp;$B256,BD!$AA$3:$AA$5001,"&lt;&gt;"))))</f>
        <v/>
      </c>
      <c r="E256" s="43" t="str">
        <f>IF(OR($B256="",$A256&gt;$B$9,E$245=""),"",IF(COUNTIFS(BD!$B$3:$B$5001,E$245,BD!$A$3:$A$5001,"&gt;="&amp;$C$7,BD!$A$3:$A$5001,"&lt;="&amp;$B256,BD!$AA$3:$AA$5001,"&lt;&gt;")=0,"",SUMIFS(BD!$AA$3:$AA$5001,BD!$B$3:$B$5001,E$245,BD!$A$3:$A$5001,_xlfn.MAXIFS(BD!$A$3:$A$5001,BD!$B$3:$B$5001,E$245,BD!$A$3:$A$5001,"&gt;="&amp;$C$7,BD!$A$3:$A$5001,"&lt;="&amp;$B256,BD!$AA$3:$AA$5001,"&lt;&gt;"))))</f>
        <v/>
      </c>
      <c r="F256" s="43" t="str">
        <f>IF(OR($B256="",$A256&gt;$B$9,F$245=""),"",IF(COUNTIFS(BD!$B$3:$B$5001,F$245,BD!$A$3:$A$5001,"&gt;="&amp;$C$7,BD!$A$3:$A$5001,"&lt;="&amp;$B256,BD!$AA$3:$AA$5001,"&lt;&gt;")=0,"",SUMIFS(BD!$AA$3:$AA$5001,BD!$B$3:$B$5001,F$245,BD!$A$3:$A$5001,_xlfn.MAXIFS(BD!$A$3:$A$5001,BD!$B$3:$B$5001,F$245,BD!$A$3:$A$5001,"&gt;="&amp;$C$7,BD!$A$3:$A$5001,"&lt;="&amp;$B256,BD!$AA$3:$AA$5001,"&lt;&gt;"))))</f>
        <v/>
      </c>
      <c r="G256" s="43" t="str">
        <f>IF(OR($B256="",$A256&gt;$B$9,G$245=""),"",IF(COUNTIFS(BD!$B$3:$B$5001,G$245,BD!$A$3:$A$5001,"&gt;="&amp;$C$7,BD!$A$3:$A$5001,"&lt;="&amp;$B256,BD!$AA$3:$AA$5001,"&lt;&gt;")=0,"",SUMIFS(BD!$AA$3:$AA$5001,BD!$B$3:$B$5001,G$245,BD!$A$3:$A$5001,_xlfn.MAXIFS(BD!$A$3:$A$5001,BD!$B$3:$B$5001,G$245,BD!$A$3:$A$5001,"&gt;="&amp;$C$7,BD!$A$3:$A$5001,"&lt;="&amp;$B256,BD!$AA$3:$AA$5001,"&lt;&gt;"))))</f>
        <v/>
      </c>
      <c r="H256" s="43" t="str">
        <f>IF(OR($B256="",$A256&gt;$B$9,H$245=""),"",IF(COUNTIFS(BD!$B$3:$B$5001,H$245,BD!$A$3:$A$5001,"&gt;="&amp;$C$7,BD!$A$3:$A$5001,"&lt;="&amp;$B256,BD!$AA$3:$AA$5001,"&lt;&gt;")=0,"",SUMIFS(BD!$AA$3:$AA$5001,BD!$B$3:$B$5001,H$245,BD!$A$3:$A$5001,_xlfn.MAXIFS(BD!$A$3:$A$5001,BD!$B$3:$B$5001,H$245,BD!$A$3:$A$5001,"&gt;="&amp;$C$7,BD!$A$3:$A$5001,"&lt;="&amp;$B256,BD!$AA$3:$AA$5001,"&lt;&gt;"))))</f>
        <v/>
      </c>
      <c r="I256" s="43" t="str">
        <f>IF(OR($B256="",$A256&gt;$B$9,I$245=""),"",IF(COUNTIFS(BD!$B$3:$B$5001,I$245,BD!$A$3:$A$5001,"&gt;="&amp;$C$7,BD!$A$3:$A$5001,"&lt;="&amp;$B256,BD!$AA$3:$AA$5001,"&lt;&gt;")=0,"",SUMIFS(BD!$AA$3:$AA$5001,BD!$B$3:$B$5001,I$245,BD!$A$3:$A$5001,_xlfn.MAXIFS(BD!$A$3:$A$5001,BD!$B$3:$B$5001,I$245,BD!$A$3:$A$5001,"&gt;="&amp;$C$7,BD!$A$3:$A$5001,"&lt;="&amp;$B256,BD!$AA$3:$AA$5001,"&lt;&gt;"))))</f>
        <v/>
      </c>
      <c r="J256" s="43" t="str">
        <f>IF(OR($B256="",$A256&gt;$B$9,J$245=""),"",IF(COUNTIFS(BD!$B$3:$B$5001,J$245,BD!$A$3:$A$5001,"&gt;="&amp;$C$7,BD!$A$3:$A$5001,"&lt;="&amp;$B256,BD!$AA$3:$AA$5001,"&lt;&gt;")=0,"",SUMIFS(BD!$AA$3:$AA$5001,BD!$B$3:$B$5001,J$245,BD!$A$3:$A$5001,_xlfn.MAXIFS(BD!$A$3:$A$5001,BD!$B$3:$B$5001,J$245,BD!$A$3:$A$5001,"&gt;="&amp;$C$7,BD!$A$3:$A$5001,"&lt;="&amp;$B256,BD!$AA$3:$AA$5001,"&lt;&gt;"))))</f>
        <v/>
      </c>
      <c r="K256" s="43" t="str">
        <f>IF(OR($B256="",$A256&gt;$B$9,K$245=""),"",IF(COUNTIFS(BD!$B$3:$B$5001,K$245,BD!$A$3:$A$5001,"&gt;="&amp;$C$7,BD!$A$3:$A$5001,"&lt;="&amp;$B256,BD!$AA$3:$AA$5001,"&lt;&gt;")=0,"",SUMIFS(BD!$AA$3:$AA$5001,BD!$B$3:$B$5001,K$245,BD!$A$3:$A$5001,_xlfn.MAXIFS(BD!$A$3:$A$5001,BD!$B$3:$B$5001,K$245,BD!$A$3:$A$5001,"&gt;="&amp;$C$7,BD!$A$3:$A$5001,"&lt;="&amp;$B256,BD!$AA$3:$AA$5001,"&lt;&gt;"))))</f>
        <v/>
      </c>
      <c r="L256" s="43" t="str">
        <f>IF(OR($B256="",$A256&gt;$B$9,L$245=""),"",IF(COUNTIFS(BD!$B$3:$B$5001,L$245,BD!$A$3:$A$5001,"&gt;="&amp;$C$7,BD!$A$3:$A$5001,"&lt;="&amp;$B256,BD!$AA$3:$AA$5001,"&lt;&gt;")=0,"",SUMIFS(BD!$AA$3:$AA$5001,BD!$B$3:$B$5001,L$245,BD!$A$3:$A$5001,_xlfn.MAXIFS(BD!$A$3:$A$5001,BD!$B$3:$B$5001,L$245,BD!$A$3:$A$5001,"&gt;="&amp;$C$7,BD!$A$3:$A$5001,"&lt;="&amp;$B256,BD!$AA$3:$AA$5001,"&lt;&gt;"))))</f>
        <v/>
      </c>
      <c r="M256" s="43" t="str">
        <f>IF(OR($B256="",$A256&gt;$B$9,M$245=""),"",IF(COUNTIFS(BD!$B$3:$B$5001,M$245,BD!$A$3:$A$5001,"&gt;="&amp;$C$7,BD!$A$3:$A$5001,"&lt;="&amp;$B256,BD!$AA$3:$AA$5001,"&lt;&gt;")=0,"",SUMIFS(BD!$AA$3:$AA$5001,BD!$B$3:$B$5001,M$245,BD!$A$3:$A$5001,_xlfn.MAXIFS(BD!$A$3:$A$5001,BD!$B$3:$B$5001,M$245,BD!$A$3:$A$5001,"&gt;="&amp;$C$7,BD!$A$3:$A$5001,"&lt;="&amp;$B256,BD!$AA$3:$AA$5001,"&lt;&gt;"))))</f>
        <v/>
      </c>
      <c r="N256" s="43" t="str">
        <f>IF(OR($B256="",$A256&gt;$B$9,N$245=""),"",IF(COUNTIFS(BD!$B$3:$B$5001,N$245,BD!$A$3:$A$5001,"&gt;="&amp;$C$7,BD!$A$3:$A$5001,"&lt;="&amp;$B256,BD!$AA$3:$AA$5001,"&lt;&gt;")=0,"",SUMIFS(BD!$AA$3:$AA$5001,BD!$B$3:$B$5001,N$245,BD!$A$3:$A$5001,_xlfn.MAXIFS(BD!$A$3:$A$5001,BD!$B$3:$B$5001,N$245,BD!$A$3:$A$5001,"&gt;="&amp;$C$7,BD!$A$3:$A$5001,"&lt;="&amp;$B256,BD!$AA$3:$AA$5001,"&lt;&gt;"))))</f>
        <v/>
      </c>
      <c r="O256" s="43" t="str">
        <f>IF(OR($B256="",$A256&gt;$B$9,O$245=""),"",IF(COUNTIFS(BD!$B$3:$B$5001,O$245,BD!$A$3:$A$5001,"&gt;="&amp;$C$7,BD!$A$3:$A$5001,"&lt;="&amp;$B256,BD!$AA$3:$AA$5001,"&lt;&gt;")=0,"",SUMIFS(BD!$AA$3:$AA$5001,BD!$B$3:$B$5001,O$245,BD!$A$3:$A$5001,_xlfn.MAXIFS(BD!$A$3:$A$5001,BD!$B$3:$B$5001,O$245,BD!$A$3:$A$5001,"&gt;="&amp;$C$7,BD!$A$3:$A$5001,"&lt;="&amp;$B256,BD!$AA$3:$AA$5001,"&lt;&gt;"))))</f>
        <v/>
      </c>
      <c r="P256" s="43" t="str">
        <f>IF(OR($B256="",$A256&gt;$B$9,P$245=""),"",IF(COUNTIFS(BD!$B$3:$B$5001,P$245,BD!$A$3:$A$5001,"&gt;="&amp;$C$7,BD!$A$3:$A$5001,"&lt;="&amp;$B256,BD!$AA$3:$AA$5001,"&lt;&gt;")=0,"",SUMIFS(BD!$AA$3:$AA$5001,BD!$B$3:$B$5001,P$245,BD!$A$3:$A$5001,_xlfn.MAXIFS(BD!$A$3:$A$5001,BD!$B$3:$B$5001,P$245,BD!$A$3:$A$5001,"&gt;="&amp;$C$7,BD!$A$3:$A$5001,"&lt;="&amp;$B256,BD!$AA$3:$AA$5001,"&lt;&gt;"))))</f>
        <v/>
      </c>
      <c r="Q256" s="43" t="str">
        <f>IF(OR($B256="",$A256&gt;$B$9,Q$245=""),"",IF(COUNTIFS(BD!$B$3:$B$5001,Q$245,BD!$A$3:$A$5001,"&gt;="&amp;$C$7,BD!$A$3:$A$5001,"&lt;="&amp;$B256,BD!$AA$3:$AA$5001,"&lt;&gt;")=0,"",SUMIFS(BD!$AA$3:$AA$5001,BD!$B$3:$B$5001,Q$245,BD!$A$3:$A$5001,_xlfn.MAXIFS(BD!$A$3:$A$5001,BD!$B$3:$B$5001,Q$245,BD!$A$3:$A$5001,"&gt;="&amp;$C$7,BD!$A$3:$A$5001,"&lt;="&amp;$B256,BD!$AA$3:$AA$5001,"&lt;&gt;"))))</f>
        <v/>
      </c>
      <c r="R256" s="43" t="str">
        <f>IF(OR($B256="",$A256&gt;$B$9,R$245=""),"",IF(COUNTIFS(BD!$B$3:$B$5001,R$245,BD!$A$3:$A$5001,"&gt;="&amp;$C$7,BD!$A$3:$A$5001,"&lt;="&amp;$B256,BD!$AA$3:$AA$5001,"&lt;&gt;")=0,"",SUMIFS(BD!$AA$3:$AA$5001,BD!$B$3:$B$5001,R$245,BD!$A$3:$A$5001,_xlfn.MAXIFS(BD!$A$3:$A$5001,BD!$B$3:$B$5001,R$245,BD!$A$3:$A$5001,"&gt;="&amp;$C$7,BD!$A$3:$A$5001,"&lt;="&amp;$B256,BD!$AA$3:$AA$5001,"&lt;&gt;"))))</f>
        <v/>
      </c>
      <c r="S256" s="43" t="str">
        <f>IF(OR($B256="",$A256&gt;$B$9,S$245=""),"",IF(COUNTIFS(BD!$B$3:$B$5001,S$245,BD!$A$3:$A$5001,"&gt;="&amp;$C$7,BD!$A$3:$A$5001,"&lt;="&amp;$B256,BD!$AA$3:$AA$5001,"&lt;&gt;")=0,"",SUMIFS(BD!$AA$3:$AA$5001,BD!$B$3:$B$5001,S$245,BD!$A$3:$A$5001,_xlfn.MAXIFS(BD!$A$3:$A$5001,BD!$B$3:$B$5001,S$245,BD!$A$3:$A$5001,"&gt;="&amp;$C$7,BD!$A$3:$A$5001,"&lt;="&amp;$B256,BD!$AA$3:$AA$5001,"&lt;&gt;"))))</f>
        <v/>
      </c>
      <c r="T256" s="43" t="str">
        <f>IF(OR($B256="",$A256&gt;$B$9,T$245=""),"",IF(COUNTIFS(BD!$B$3:$B$5001,T$245,BD!$A$3:$A$5001,"&gt;="&amp;$C$7,BD!$A$3:$A$5001,"&lt;="&amp;$B256,BD!$AA$3:$AA$5001,"&lt;&gt;")=0,"",SUMIFS(BD!$AA$3:$AA$5001,BD!$B$3:$B$5001,T$245,BD!$A$3:$A$5001,_xlfn.MAXIFS(BD!$A$3:$A$5001,BD!$B$3:$B$5001,T$245,BD!$A$3:$A$5001,"&gt;="&amp;$C$7,BD!$A$3:$A$5001,"&lt;="&amp;$B256,BD!$AA$3:$AA$5001,"&lt;&gt;"))))</f>
        <v/>
      </c>
      <c r="U256" s="43" t="str">
        <f>IF(OR($B256="",$A256&gt;$B$9,U$245=""),"",IF(COUNTIFS(BD!$B$3:$B$5001,U$245,BD!$A$3:$A$5001,"&gt;="&amp;$C$7,BD!$A$3:$A$5001,"&lt;="&amp;$B256,BD!$AA$3:$AA$5001,"&lt;&gt;")=0,"",SUMIFS(BD!$AA$3:$AA$5001,BD!$B$3:$B$5001,U$245,BD!$A$3:$A$5001,_xlfn.MAXIFS(BD!$A$3:$A$5001,BD!$B$3:$B$5001,U$245,BD!$A$3:$A$5001,"&gt;="&amp;$C$7,BD!$A$3:$A$5001,"&lt;="&amp;$B256,BD!$AA$3:$AA$5001,"&lt;&gt;"))))</f>
        <v/>
      </c>
      <c r="V256" s="43" t="str">
        <f>IF(OR($B256="",$A256&gt;$B$9,V$245=""),"",IF(COUNTIFS(BD!$B$3:$B$5001,V$245,BD!$A$3:$A$5001,"&gt;="&amp;$C$7,BD!$A$3:$A$5001,"&lt;="&amp;$B256,BD!$AA$3:$AA$5001,"&lt;&gt;")=0,"",SUMIFS(BD!$AA$3:$AA$5001,BD!$B$3:$B$5001,V$245,BD!$A$3:$A$5001,_xlfn.MAXIFS(BD!$A$3:$A$5001,BD!$B$3:$B$5001,V$245,BD!$A$3:$A$5001,"&gt;="&amp;$C$7,BD!$A$3:$A$5001,"&lt;="&amp;$B256,BD!$AA$3:$AA$5001,"&lt;&gt;"))))</f>
        <v/>
      </c>
    </row>
    <row r="257">
      <c r="A257" s="38">
        <v>12</v>
      </c>
      <c r="B257" s="42">
        <f>$B$23</f>
        <v>46307</v>
      </c>
      <c r="C257" s="43" t="str">
        <f>IF(OR($B257="",$A257&gt;$B$9,C$245=""),"",IF(COUNTIFS(BD!$B$3:$B$5001,C$245,BD!$A$3:$A$5001,"&gt;="&amp;$C$7,BD!$A$3:$A$5001,"&lt;="&amp;$B257,BD!$AA$3:$AA$5001,"&lt;&gt;")=0,"",SUMIFS(BD!$AA$3:$AA$5001,BD!$B$3:$B$5001,C$245,BD!$A$3:$A$5001,_xlfn.MAXIFS(BD!$A$3:$A$5001,BD!$B$3:$B$5001,C$245,BD!$A$3:$A$5001,"&gt;="&amp;$C$7,BD!$A$3:$A$5001,"&lt;="&amp;$B257,BD!$AA$3:$AA$5001,"&lt;&gt;"))))</f>
        <v/>
      </c>
      <c r="D257" s="43" t="str">
        <f>IF(OR($B257="",$A257&gt;$B$9,D$245=""),"",IF(COUNTIFS(BD!$B$3:$B$5001,D$245,BD!$A$3:$A$5001,"&gt;="&amp;$C$7,BD!$A$3:$A$5001,"&lt;="&amp;$B257,BD!$AA$3:$AA$5001,"&lt;&gt;")=0,"",SUMIFS(BD!$AA$3:$AA$5001,BD!$B$3:$B$5001,D$245,BD!$A$3:$A$5001,_xlfn.MAXIFS(BD!$A$3:$A$5001,BD!$B$3:$B$5001,D$245,BD!$A$3:$A$5001,"&gt;="&amp;$C$7,BD!$A$3:$A$5001,"&lt;="&amp;$B257,BD!$AA$3:$AA$5001,"&lt;&gt;"))))</f>
        <v/>
      </c>
      <c r="E257" s="43" t="str">
        <f>IF(OR($B257="",$A257&gt;$B$9,E$245=""),"",IF(COUNTIFS(BD!$B$3:$B$5001,E$245,BD!$A$3:$A$5001,"&gt;="&amp;$C$7,BD!$A$3:$A$5001,"&lt;="&amp;$B257,BD!$AA$3:$AA$5001,"&lt;&gt;")=0,"",SUMIFS(BD!$AA$3:$AA$5001,BD!$B$3:$B$5001,E$245,BD!$A$3:$A$5001,_xlfn.MAXIFS(BD!$A$3:$A$5001,BD!$B$3:$B$5001,E$245,BD!$A$3:$A$5001,"&gt;="&amp;$C$7,BD!$A$3:$A$5001,"&lt;="&amp;$B257,BD!$AA$3:$AA$5001,"&lt;&gt;"))))</f>
        <v/>
      </c>
      <c r="F257" s="43" t="str">
        <f>IF(OR($B257="",$A257&gt;$B$9,F$245=""),"",IF(COUNTIFS(BD!$B$3:$B$5001,F$245,BD!$A$3:$A$5001,"&gt;="&amp;$C$7,BD!$A$3:$A$5001,"&lt;="&amp;$B257,BD!$AA$3:$AA$5001,"&lt;&gt;")=0,"",SUMIFS(BD!$AA$3:$AA$5001,BD!$B$3:$B$5001,F$245,BD!$A$3:$A$5001,_xlfn.MAXIFS(BD!$A$3:$A$5001,BD!$B$3:$B$5001,F$245,BD!$A$3:$A$5001,"&gt;="&amp;$C$7,BD!$A$3:$A$5001,"&lt;="&amp;$B257,BD!$AA$3:$AA$5001,"&lt;&gt;"))))</f>
        <v/>
      </c>
      <c r="G257" s="43" t="str">
        <f>IF(OR($B257="",$A257&gt;$B$9,G$245=""),"",IF(COUNTIFS(BD!$B$3:$B$5001,G$245,BD!$A$3:$A$5001,"&gt;="&amp;$C$7,BD!$A$3:$A$5001,"&lt;="&amp;$B257,BD!$AA$3:$AA$5001,"&lt;&gt;")=0,"",SUMIFS(BD!$AA$3:$AA$5001,BD!$B$3:$B$5001,G$245,BD!$A$3:$A$5001,_xlfn.MAXIFS(BD!$A$3:$A$5001,BD!$B$3:$B$5001,G$245,BD!$A$3:$A$5001,"&gt;="&amp;$C$7,BD!$A$3:$A$5001,"&lt;="&amp;$B257,BD!$AA$3:$AA$5001,"&lt;&gt;"))))</f>
        <v/>
      </c>
      <c r="H257" s="43" t="str">
        <f>IF(OR($B257="",$A257&gt;$B$9,H$245=""),"",IF(COUNTIFS(BD!$B$3:$B$5001,H$245,BD!$A$3:$A$5001,"&gt;="&amp;$C$7,BD!$A$3:$A$5001,"&lt;="&amp;$B257,BD!$AA$3:$AA$5001,"&lt;&gt;")=0,"",SUMIFS(BD!$AA$3:$AA$5001,BD!$B$3:$B$5001,H$245,BD!$A$3:$A$5001,_xlfn.MAXIFS(BD!$A$3:$A$5001,BD!$B$3:$B$5001,H$245,BD!$A$3:$A$5001,"&gt;="&amp;$C$7,BD!$A$3:$A$5001,"&lt;="&amp;$B257,BD!$AA$3:$AA$5001,"&lt;&gt;"))))</f>
        <v/>
      </c>
      <c r="I257" s="43" t="str">
        <f>IF(OR($B257="",$A257&gt;$B$9,I$245=""),"",IF(COUNTIFS(BD!$B$3:$B$5001,I$245,BD!$A$3:$A$5001,"&gt;="&amp;$C$7,BD!$A$3:$A$5001,"&lt;="&amp;$B257,BD!$AA$3:$AA$5001,"&lt;&gt;")=0,"",SUMIFS(BD!$AA$3:$AA$5001,BD!$B$3:$B$5001,I$245,BD!$A$3:$A$5001,_xlfn.MAXIFS(BD!$A$3:$A$5001,BD!$B$3:$B$5001,I$245,BD!$A$3:$A$5001,"&gt;="&amp;$C$7,BD!$A$3:$A$5001,"&lt;="&amp;$B257,BD!$AA$3:$AA$5001,"&lt;&gt;"))))</f>
        <v/>
      </c>
      <c r="J257" s="43" t="str">
        <f>IF(OR($B257="",$A257&gt;$B$9,J$245=""),"",IF(COUNTIFS(BD!$B$3:$B$5001,J$245,BD!$A$3:$A$5001,"&gt;="&amp;$C$7,BD!$A$3:$A$5001,"&lt;="&amp;$B257,BD!$AA$3:$AA$5001,"&lt;&gt;")=0,"",SUMIFS(BD!$AA$3:$AA$5001,BD!$B$3:$B$5001,J$245,BD!$A$3:$A$5001,_xlfn.MAXIFS(BD!$A$3:$A$5001,BD!$B$3:$B$5001,J$245,BD!$A$3:$A$5001,"&gt;="&amp;$C$7,BD!$A$3:$A$5001,"&lt;="&amp;$B257,BD!$AA$3:$AA$5001,"&lt;&gt;"))))</f>
        <v/>
      </c>
      <c r="K257" s="43" t="str">
        <f>IF(OR($B257="",$A257&gt;$B$9,K$245=""),"",IF(COUNTIFS(BD!$B$3:$B$5001,K$245,BD!$A$3:$A$5001,"&gt;="&amp;$C$7,BD!$A$3:$A$5001,"&lt;="&amp;$B257,BD!$AA$3:$AA$5001,"&lt;&gt;")=0,"",SUMIFS(BD!$AA$3:$AA$5001,BD!$B$3:$B$5001,K$245,BD!$A$3:$A$5001,_xlfn.MAXIFS(BD!$A$3:$A$5001,BD!$B$3:$B$5001,K$245,BD!$A$3:$A$5001,"&gt;="&amp;$C$7,BD!$A$3:$A$5001,"&lt;="&amp;$B257,BD!$AA$3:$AA$5001,"&lt;&gt;"))))</f>
        <v/>
      </c>
      <c r="L257" s="43" t="str">
        <f>IF(OR($B257="",$A257&gt;$B$9,L$245=""),"",IF(COUNTIFS(BD!$B$3:$B$5001,L$245,BD!$A$3:$A$5001,"&gt;="&amp;$C$7,BD!$A$3:$A$5001,"&lt;="&amp;$B257,BD!$AA$3:$AA$5001,"&lt;&gt;")=0,"",SUMIFS(BD!$AA$3:$AA$5001,BD!$B$3:$B$5001,L$245,BD!$A$3:$A$5001,_xlfn.MAXIFS(BD!$A$3:$A$5001,BD!$B$3:$B$5001,L$245,BD!$A$3:$A$5001,"&gt;="&amp;$C$7,BD!$A$3:$A$5001,"&lt;="&amp;$B257,BD!$AA$3:$AA$5001,"&lt;&gt;"))))</f>
        <v/>
      </c>
      <c r="M257" s="43" t="str">
        <f>IF(OR($B257="",$A257&gt;$B$9,M$245=""),"",IF(COUNTIFS(BD!$B$3:$B$5001,M$245,BD!$A$3:$A$5001,"&gt;="&amp;$C$7,BD!$A$3:$A$5001,"&lt;="&amp;$B257,BD!$AA$3:$AA$5001,"&lt;&gt;")=0,"",SUMIFS(BD!$AA$3:$AA$5001,BD!$B$3:$B$5001,M$245,BD!$A$3:$A$5001,_xlfn.MAXIFS(BD!$A$3:$A$5001,BD!$B$3:$B$5001,M$245,BD!$A$3:$A$5001,"&gt;="&amp;$C$7,BD!$A$3:$A$5001,"&lt;="&amp;$B257,BD!$AA$3:$AA$5001,"&lt;&gt;"))))</f>
        <v/>
      </c>
      <c r="N257" s="43" t="str">
        <f>IF(OR($B257="",$A257&gt;$B$9,N$245=""),"",IF(COUNTIFS(BD!$B$3:$B$5001,N$245,BD!$A$3:$A$5001,"&gt;="&amp;$C$7,BD!$A$3:$A$5001,"&lt;="&amp;$B257,BD!$AA$3:$AA$5001,"&lt;&gt;")=0,"",SUMIFS(BD!$AA$3:$AA$5001,BD!$B$3:$B$5001,N$245,BD!$A$3:$A$5001,_xlfn.MAXIFS(BD!$A$3:$A$5001,BD!$B$3:$B$5001,N$245,BD!$A$3:$A$5001,"&gt;="&amp;$C$7,BD!$A$3:$A$5001,"&lt;="&amp;$B257,BD!$AA$3:$AA$5001,"&lt;&gt;"))))</f>
        <v/>
      </c>
      <c r="O257" s="43" t="str">
        <f>IF(OR($B257="",$A257&gt;$B$9,O$245=""),"",IF(COUNTIFS(BD!$B$3:$B$5001,O$245,BD!$A$3:$A$5001,"&gt;="&amp;$C$7,BD!$A$3:$A$5001,"&lt;="&amp;$B257,BD!$AA$3:$AA$5001,"&lt;&gt;")=0,"",SUMIFS(BD!$AA$3:$AA$5001,BD!$B$3:$B$5001,O$245,BD!$A$3:$A$5001,_xlfn.MAXIFS(BD!$A$3:$A$5001,BD!$B$3:$B$5001,O$245,BD!$A$3:$A$5001,"&gt;="&amp;$C$7,BD!$A$3:$A$5001,"&lt;="&amp;$B257,BD!$AA$3:$AA$5001,"&lt;&gt;"))))</f>
        <v/>
      </c>
      <c r="P257" s="43" t="str">
        <f>IF(OR($B257="",$A257&gt;$B$9,P$245=""),"",IF(COUNTIFS(BD!$B$3:$B$5001,P$245,BD!$A$3:$A$5001,"&gt;="&amp;$C$7,BD!$A$3:$A$5001,"&lt;="&amp;$B257,BD!$AA$3:$AA$5001,"&lt;&gt;")=0,"",SUMIFS(BD!$AA$3:$AA$5001,BD!$B$3:$B$5001,P$245,BD!$A$3:$A$5001,_xlfn.MAXIFS(BD!$A$3:$A$5001,BD!$B$3:$B$5001,P$245,BD!$A$3:$A$5001,"&gt;="&amp;$C$7,BD!$A$3:$A$5001,"&lt;="&amp;$B257,BD!$AA$3:$AA$5001,"&lt;&gt;"))))</f>
        <v/>
      </c>
      <c r="Q257" s="43" t="str">
        <f>IF(OR($B257="",$A257&gt;$B$9,Q$245=""),"",IF(COUNTIFS(BD!$B$3:$B$5001,Q$245,BD!$A$3:$A$5001,"&gt;="&amp;$C$7,BD!$A$3:$A$5001,"&lt;="&amp;$B257,BD!$AA$3:$AA$5001,"&lt;&gt;")=0,"",SUMIFS(BD!$AA$3:$AA$5001,BD!$B$3:$B$5001,Q$245,BD!$A$3:$A$5001,_xlfn.MAXIFS(BD!$A$3:$A$5001,BD!$B$3:$B$5001,Q$245,BD!$A$3:$A$5001,"&gt;="&amp;$C$7,BD!$A$3:$A$5001,"&lt;="&amp;$B257,BD!$AA$3:$AA$5001,"&lt;&gt;"))))</f>
        <v/>
      </c>
      <c r="R257" s="43" t="str">
        <f>IF(OR($B257="",$A257&gt;$B$9,R$245=""),"",IF(COUNTIFS(BD!$B$3:$B$5001,R$245,BD!$A$3:$A$5001,"&gt;="&amp;$C$7,BD!$A$3:$A$5001,"&lt;="&amp;$B257,BD!$AA$3:$AA$5001,"&lt;&gt;")=0,"",SUMIFS(BD!$AA$3:$AA$5001,BD!$B$3:$B$5001,R$245,BD!$A$3:$A$5001,_xlfn.MAXIFS(BD!$A$3:$A$5001,BD!$B$3:$B$5001,R$245,BD!$A$3:$A$5001,"&gt;="&amp;$C$7,BD!$A$3:$A$5001,"&lt;="&amp;$B257,BD!$AA$3:$AA$5001,"&lt;&gt;"))))</f>
        <v/>
      </c>
      <c r="S257" s="43" t="str">
        <f>IF(OR($B257="",$A257&gt;$B$9,S$245=""),"",IF(COUNTIFS(BD!$B$3:$B$5001,S$245,BD!$A$3:$A$5001,"&gt;="&amp;$C$7,BD!$A$3:$A$5001,"&lt;="&amp;$B257,BD!$AA$3:$AA$5001,"&lt;&gt;")=0,"",SUMIFS(BD!$AA$3:$AA$5001,BD!$B$3:$B$5001,S$245,BD!$A$3:$A$5001,_xlfn.MAXIFS(BD!$A$3:$A$5001,BD!$B$3:$B$5001,S$245,BD!$A$3:$A$5001,"&gt;="&amp;$C$7,BD!$A$3:$A$5001,"&lt;="&amp;$B257,BD!$AA$3:$AA$5001,"&lt;&gt;"))))</f>
        <v/>
      </c>
      <c r="T257" s="43" t="str">
        <f>IF(OR($B257="",$A257&gt;$B$9,T$245=""),"",IF(COUNTIFS(BD!$B$3:$B$5001,T$245,BD!$A$3:$A$5001,"&gt;="&amp;$C$7,BD!$A$3:$A$5001,"&lt;="&amp;$B257,BD!$AA$3:$AA$5001,"&lt;&gt;")=0,"",SUMIFS(BD!$AA$3:$AA$5001,BD!$B$3:$B$5001,T$245,BD!$A$3:$A$5001,_xlfn.MAXIFS(BD!$A$3:$A$5001,BD!$B$3:$B$5001,T$245,BD!$A$3:$A$5001,"&gt;="&amp;$C$7,BD!$A$3:$A$5001,"&lt;="&amp;$B257,BD!$AA$3:$AA$5001,"&lt;&gt;"))))</f>
        <v/>
      </c>
      <c r="U257" s="43" t="str">
        <f>IF(OR($B257="",$A257&gt;$B$9,U$245=""),"",IF(COUNTIFS(BD!$B$3:$B$5001,U$245,BD!$A$3:$A$5001,"&gt;="&amp;$C$7,BD!$A$3:$A$5001,"&lt;="&amp;$B257,BD!$AA$3:$AA$5001,"&lt;&gt;")=0,"",SUMIFS(BD!$AA$3:$AA$5001,BD!$B$3:$B$5001,U$245,BD!$A$3:$A$5001,_xlfn.MAXIFS(BD!$A$3:$A$5001,BD!$B$3:$B$5001,U$245,BD!$A$3:$A$5001,"&gt;="&amp;$C$7,BD!$A$3:$A$5001,"&lt;="&amp;$B257,BD!$AA$3:$AA$5001,"&lt;&gt;"))))</f>
        <v/>
      </c>
      <c r="V257" s="43" t="str">
        <f>IF(OR($B257="",$A257&gt;$B$9,V$245=""),"",IF(COUNTIFS(BD!$B$3:$B$5001,V$245,BD!$A$3:$A$5001,"&gt;="&amp;$C$7,BD!$A$3:$A$5001,"&lt;="&amp;$B257,BD!$AA$3:$AA$5001,"&lt;&gt;")=0,"",SUMIFS(BD!$AA$3:$AA$5001,BD!$B$3:$B$5001,V$245,BD!$A$3:$A$5001,_xlfn.MAXIFS(BD!$A$3:$A$5001,BD!$B$3:$B$5001,V$245,BD!$A$3:$A$5001,"&gt;="&amp;$C$7,BD!$A$3:$A$5001,"&lt;="&amp;$B257,BD!$AA$3:$AA$5001,"&lt;&gt;"))))</f>
        <v/>
      </c>
    </row>
    <row r="258">
      <c r="A258" s="38">
        <v>13</v>
      </c>
      <c r="B258" s="42">
        <f>$B$24</f>
        <v>46308</v>
      </c>
      <c r="C258" s="43" t="str">
        <f>IF(OR($B258="",$A258&gt;$B$9,C$245=""),"",IF(COUNTIFS(BD!$B$3:$B$5001,C$245,BD!$A$3:$A$5001,"&gt;="&amp;$C$7,BD!$A$3:$A$5001,"&lt;="&amp;$B258,BD!$AA$3:$AA$5001,"&lt;&gt;")=0,"",SUMIFS(BD!$AA$3:$AA$5001,BD!$B$3:$B$5001,C$245,BD!$A$3:$A$5001,_xlfn.MAXIFS(BD!$A$3:$A$5001,BD!$B$3:$B$5001,C$245,BD!$A$3:$A$5001,"&gt;="&amp;$C$7,BD!$A$3:$A$5001,"&lt;="&amp;$B258,BD!$AA$3:$AA$5001,"&lt;&gt;"))))</f>
        <v/>
      </c>
      <c r="D258" s="43" t="str">
        <f>IF(OR($B258="",$A258&gt;$B$9,D$245=""),"",IF(COUNTIFS(BD!$B$3:$B$5001,D$245,BD!$A$3:$A$5001,"&gt;="&amp;$C$7,BD!$A$3:$A$5001,"&lt;="&amp;$B258,BD!$AA$3:$AA$5001,"&lt;&gt;")=0,"",SUMIFS(BD!$AA$3:$AA$5001,BD!$B$3:$B$5001,D$245,BD!$A$3:$A$5001,_xlfn.MAXIFS(BD!$A$3:$A$5001,BD!$B$3:$B$5001,D$245,BD!$A$3:$A$5001,"&gt;="&amp;$C$7,BD!$A$3:$A$5001,"&lt;="&amp;$B258,BD!$AA$3:$AA$5001,"&lt;&gt;"))))</f>
        <v/>
      </c>
      <c r="E258" s="43" t="str">
        <f>IF(OR($B258="",$A258&gt;$B$9,E$245=""),"",IF(COUNTIFS(BD!$B$3:$B$5001,E$245,BD!$A$3:$A$5001,"&gt;="&amp;$C$7,BD!$A$3:$A$5001,"&lt;="&amp;$B258,BD!$AA$3:$AA$5001,"&lt;&gt;")=0,"",SUMIFS(BD!$AA$3:$AA$5001,BD!$B$3:$B$5001,E$245,BD!$A$3:$A$5001,_xlfn.MAXIFS(BD!$A$3:$A$5001,BD!$B$3:$B$5001,E$245,BD!$A$3:$A$5001,"&gt;="&amp;$C$7,BD!$A$3:$A$5001,"&lt;="&amp;$B258,BD!$AA$3:$AA$5001,"&lt;&gt;"))))</f>
        <v/>
      </c>
      <c r="F258" s="43" t="str">
        <f>IF(OR($B258="",$A258&gt;$B$9,F$245=""),"",IF(COUNTIFS(BD!$B$3:$B$5001,F$245,BD!$A$3:$A$5001,"&gt;="&amp;$C$7,BD!$A$3:$A$5001,"&lt;="&amp;$B258,BD!$AA$3:$AA$5001,"&lt;&gt;")=0,"",SUMIFS(BD!$AA$3:$AA$5001,BD!$B$3:$B$5001,F$245,BD!$A$3:$A$5001,_xlfn.MAXIFS(BD!$A$3:$A$5001,BD!$B$3:$B$5001,F$245,BD!$A$3:$A$5001,"&gt;="&amp;$C$7,BD!$A$3:$A$5001,"&lt;="&amp;$B258,BD!$AA$3:$AA$5001,"&lt;&gt;"))))</f>
        <v/>
      </c>
      <c r="G258" s="43" t="str">
        <f>IF(OR($B258="",$A258&gt;$B$9,G$245=""),"",IF(COUNTIFS(BD!$B$3:$B$5001,G$245,BD!$A$3:$A$5001,"&gt;="&amp;$C$7,BD!$A$3:$A$5001,"&lt;="&amp;$B258,BD!$AA$3:$AA$5001,"&lt;&gt;")=0,"",SUMIFS(BD!$AA$3:$AA$5001,BD!$B$3:$B$5001,G$245,BD!$A$3:$A$5001,_xlfn.MAXIFS(BD!$A$3:$A$5001,BD!$B$3:$B$5001,G$245,BD!$A$3:$A$5001,"&gt;="&amp;$C$7,BD!$A$3:$A$5001,"&lt;="&amp;$B258,BD!$AA$3:$AA$5001,"&lt;&gt;"))))</f>
        <v/>
      </c>
      <c r="H258" s="43" t="str">
        <f>IF(OR($B258="",$A258&gt;$B$9,H$245=""),"",IF(COUNTIFS(BD!$B$3:$B$5001,H$245,BD!$A$3:$A$5001,"&gt;="&amp;$C$7,BD!$A$3:$A$5001,"&lt;="&amp;$B258,BD!$AA$3:$AA$5001,"&lt;&gt;")=0,"",SUMIFS(BD!$AA$3:$AA$5001,BD!$B$3:$B$5001,H$245,BD!$A$3:$A$5001,_xlfn.MAXIFS(BD!$A$3:$A$5001,BD!$B$3:$B$5001,H$245,BD!$A$3:$A$5001,"&gt;="&amp;$C$7,BD!$A$3:$A$5001,"&lt;="&amp;$B258,BD!$AA$3:$AA$5001,"&lt;&gt;"))))</f>
        <v/>
      </c>
      <c r="I258" s="43" t="str">
        <f>IF(OR($B258="",$A258&gt;$B$9,I$245=""),"",IF(COUNTIFS(BD!$B$3:$B$5001,I$245,BD!$A$3:$A$5001,"&gt;="&amp;$C$7,BD!$A$3:$A$5001,"&lt;="&amp;$B258,BD!$AA$3:$AA$5001,"&lt;&gt;")=0,"",SUMIFS(BD!$AA$3:$AA$5001,BD!$B$3:$B$5001,I$245,BD!$A$3:$A$5001,_xlfn.MAXIFS(BD!$A$3:$A$5001,BD!$B$3:$B$5001,I$245,BD!$A$3:$A$5001,"&gt;="&amp;$C$7,BD!$A$3:$A$5001,"&lt;="&amp;$B258,BD!$AA$3:$AA$5001,"&lt;&gt;"))))</f>
        <v/>
      </c>
      <c r="J258" s="43" t="str">
        <f>IF(OR($B258="",$A258&gt;$B$9,J$245=""),"",IF(COUNTIFS(BD!$B$3:$B$5001,J$245,BD!$A$3:$A$5001,"&gt;="&amp;$C$7,BD!$A$3:$A$5001,"&lt;="&amp;$B258,BD!$AA$3:$AA$5001,"&lt;&gt;")=0,"",SUMIFS(BD!$AA$3:$AA$5001,BD!$B$3:$B$5001,J$245,BD!$A$3:$A$5001,_xlfn.MAXIFS(BD!$A$3:$A$5001,BD!$B$3:$B$5001,J$245,BD!$A$3:$A$5001,"&gt;="&amp;$C$7,BD!$A$3:$A$5001,"&lt;="&amp;$B258,BD!$AA$3:$AA$5001,"&lt;&gt;"))))</f>
        <v/>
      </c>
      <c r="K258" s="43" t="str">
        <f>IF(OR($B258="",$A258&gt;$B$9,K$245=""),"",IF(COUNTIFS(BD!$B$3:$B$5001,K$245,BD!$A$3:$A$5001,"&gt;="&amp;$C$7,BD!$A$3:$A$5001,"&lt;="&amp;$B258,BD!$AA$3:$AA$5001,"&lt;&gt;")=0,"",SUMIFS(BD!$AA$3:$AA$5001,BD!$B$3:$B$5001,K$245,BD!$A$3:$A$5001,_xlfn.MAXIFS(BD!$A$3:$A$5001,BD!$B$3:$B$5001,K$245,BD!$A$3:$A$5001,"&gt;="&amp;$C$7,BD!$A$3:$A$5001,"&lt;="&amp;$B258,BD!$AA$3:$AA$5001,"&lt;&gt;"))))</f>
        <v/>
      </c>
      <c r="L258" s="43" t="str">
        <f>IF(OR($B258="",$A258&gt;$B$9,L$245=""),"",IF(COUNTIFS(BD!$B$3:$B$5001,L$245,BD!$A$3:$A$5001,"&gt;="&amp;$C$7,BD!$A$3:$A$5001,"&lt;="&amp;$B258,BD!$AA$3:$AA$5001,"&lt;&gt;")=0,"",SUMIFS(BD!$AA$3:$AA$5001,BD!$B$3:$B$5001,L$245,BD!$A$3:$A$5001,_xlfn.MAXIFS(BD!$A$3:$A$5001,BD!$B$3:$B$5001,L$245,BD!$A$3:$A$5001,"&gt;="&amp;$C$7,BD!$A$3:$A$5001,"&lt;="&amp;$B258,BD!$AA$3:$AA$5001,"&lt;&gt;"))))</f>
        <v/>
      </c>
      <c r="M258" s="43" t="str">
        <f>IF(OR($B258="",$A258&gt;$B$9,M$245=""),"",IF(COUNTIFS(BD!$B$3:$B$5001,M$245,BD!$A$3:$A$5001,"&gt;="&amp;$C$7,BD!$A$3:$A$5001,"&lt;="&amp;$B258,BD!$AA$3:$AA$5001,"&lt;&gt;")=0,"",SUMIFS(BD!$AA$3:$AA$5001,BD!$B$3:$B$5001,M$245,BD!$A$3:$A$5001,_xlfn.MAXIFS(BD!$A$3:$A$5001,BD!$B$3:$B$5001,M$245,BD!$A$3:$A$5001,"&gt;="&amp;$C$7,BD!$A$3:$A$5001,"&lt;="&amp;$B258,BD!$AA$3:$AA$5001,"&lt;&gt;"))))</f>
        <v/>
      </c>
      <c r="N258" s="43" t="str">
        <f>IF(OR($B258="",$A258&gt;$B$9,N$245=""),"",IF(COUNTIFS(BD!$B$3:$B$5001,N$245,BD!$A$3:$A$5001,"&gt;="&amp;$C$7,BD!$A$3:$A$5001,"&lt;="&amp;$B258,BD!$AA$3:$AA$5001,"&lt;&gt;")=0,"",SUMIFS(BD!$AA$3:$AA$5001,BD!$B$3:$B$5001,N$245,BD!$A$3:$A$5001,_xlfn.MAXIFS(BD!$A$3:$A$5001,BD!$B$3:$B$5001,N$245,BD!$A$3:$A$5001,"&gt;="&amp;$C$7,BD!$A$3:$A$5001,"&lt;="&amp;$B258,BD!$AA$3:$AA$5001,"&lt;&gt;"))))</f>
        <v/>
      </c>
      <c r="O258" s="43" t="str">
        <f>IF(OR($B258="",$A258&gt;$B$9,O$245=""),"",IF(COUNTIFS(BD!$B$3:$B$5001,O$245,BD!$A$3:$A$5001,"&gt;="&amp;$C$7,BD!$A$3:$A$5001,"&lt;="&amp;$B258,BD!$AA$3:$AA$5001,"&lt;&gt;")=0,"",SUMIFS(BD!$AA$3:$AA$5001,BD!$B$3:$B$5001,O$245,BD!$A$3:$A$5001,_xlfn.MAXIFS(BD!$A$3:$A$5001,BD!$B$3:$B$5001,O$245,BD!$A$3:$A$5001,"&gt;="&amp;$C$7,BD!$A$3:$A$5001,"&lt;="&amp;$B258,BD!$AA$3:$AA$5001,"&lt;&gt;"))))</f>
        <v/>
      </c>
      <c r="P258" s="43" t="str">
        <f>IF(OR($B258="",$A258&gt;$B$9,P$245=""),"",IF(COUNTIFS(BD!$B$3:$B$5001,P$245,BD!$A$3:$A$5001,"&gt;="&amp;$C$7,BD!$A$3:$A$5001,"&lt;="&amp;$B258,BD!$AA$3:$AA$5001,"&lt;&gt;")=0,"",SUMIFS(BD!$AA$3:$AA$5001,BD!$B$3:$B$5001,P$245,BD!$A$3:$A$5001,_xlfn.MAXIFS(BD!$A$3:$A$5001,BD!$B$3:$B$5001,P$245,BD!$A$3:$A$5001,"&gt;="&amp;$C$7,BD!$A$3:$A$5001,"&lt;="&amp;$B258,BD!$AA$3:$AA$5001,"&lt;&gt;"))))</f>
        <v/>
      </c>
      <c r="Q258" s="43" t="str">
        <f>IF(OR($B258="",$A258&gt;$B$9,Q$245=""),"",IF(COUNTIFS(BD!$B$3:$B$5001,Q$245,BD!$A$3:$A$5001,"&gt;="&amp;$C$7,BD!$A$3:$A$5001,"&lt;="&amp;$B258,BD!$AA$3:$AA$5001,"&lt;&gt;")=0,"",SUMIFS(BD!$AA$3:$AA$5001,BD!$B$3:$B$5001,Q$245,BD!$A$3:$A$5001,_xlfn.MAXIFS(BD!$A$3:$A$5001,BD!$B$3:$B$5001,Q$245,BD!$A$3:$A$5001,"&gt;="&amp;$C$7,BD!$A$3:$A$5001,"&lt;="&amp;$B258,BD!$AA$3:$AA$5001,"&lt;&gt;"))))</f>
        <v/>
      </c>
      <c r="R258" s="43" t="str">
        <f>IF(OR($B258="",$A258&gt;$B$9,R$245=""),"",IF(COUNTIFS(BD!$B$3:$B$5001,R$245,BD!$A$3:$A$5001,"&gt;="&amp;$C$7,BD!$A$3:$A$5001,"&lt;="&amp;$B258,BD!$AA$3:$AA$5001,"&lt;&gt;")=0,"",SUMIFS(BD!$AA$3:$AA$5001,BD!$B$3:$B$5001,R$245,BD!$A$3:$A$5001,_xlfn.MAXIFS(BD!$A$3:$A$5001,BD!$B$3:$B$5001,R$245,BD!$A$3:$A$5001,"&gt;="&amp;$C$7,BD!$A$3:$A$5001,"&lt;="&amp;$B258,BD!$AA$3:$AA$5001,"&lt;&gt;"))))</f>
        <v/>
      </c>
      <c r="S258" s="43" t="str">
        <f>IF(OR($B258="",$A258&gt;$B$9,S$245=""),"",IF(COUNTIFS(BD!$B$3:$B$5001,S$245,BD!$A$3:$A$5001,"&gt;="&amp;$C$7,BD!$A$3:$A$5001,"&lt;="&amp;$B258,BD!$AA$3:$AA$5001,"&lt;&gt;")=0,"",SUMIFS(BD!$AA$3:$AA$5001,BD!$B$3:$B$5001,S$245,BD!$A$3:$A$5001,_xlfn.MAXIFS(BD!$A$3:$A$5001,BD!$B$3:$B$5001,S$245,BD!$A$3:$A$5001,"&gt;="&amp;$C$7,BD!$A$3:$A$5001,"&lt;="&amp;$B258,BD!$AA$3:$AA$5001,"&lt;&gt;"))))</f>
        <v/>
      </c>
      <c r="T258" s="43" t="str">
        <f>IF(OR($B258="",$A258&gt;$B$9,T$245=""),"",IF(COUNTIFS(BD!$B$3:$B$5001,T$245,BD!$A$3:$A$5001,"&gt;="&amp;$C$7,BD!$A$3:$A$5001,"&lt;="&amp;$B258,BD!$AA$3:$AA$5001,"&lt;&gt;")=0,"",SUMIFS(BD!$AA$3:$AA$5001,BD!$B$3:$B$5001,T$245,BD!$A$3:$A$5001,_xlfn.MAXIFS(BD!$A$3:$A$5001,BD!$B$3:$B$5001,T$245,BD!$A$3:$A$5001,"&gt;="&amp;$C$7,BD!$A$3:$A$5001,"&lt;="&amp;$B258,BD!$AA$3:$AA$5001,"&lt;&gt;"))))</f>
        <v/>
      </c>
      <c r="U258" s="43" t="str">
        <f>IF(OR($B258="",$A258&gt;$B$9,U$245=""),"",IF(COUNTIFS(BD!$B$3:$B$5001,U$245,BD!$A$3:$A$5001,"&gt;="&amp;$C$7,BD!$A$3:$A$5001,"&lt;="&amp;$B258,BD!$AA$3:$AA$5001,"&lt;&gt;")=0,"",SUMIFS(BD!$AA$3:$AA$5001,BD!$B$3:$B$5001,U$245,BD!$A$3:$A$5001,_xlfn.MAXIFS(BD!$A$3:$A$5001,BD!$B$3:$B$5001,U$245,BD!$A$3:$A$5001,"&gt;="&amp;$C$7,BD!$A$3:$A$5001,"&lt;="&amp;$B258,BD!$AA$3:$AA$5001,"&lt;&gt;"))))</f>
        <v/>
      </c>
      <c r="V258" s="43" t="str">
        <f>IF(OR($B258="",$A258&gt;$B$9,V$245=""),"",IF(COUNTIFS(BD!$B$3:$B$5001,V$245,BD!$A$3:$A$5001,"&gt;="&amp;$C$7,BD!$A$3:$A$5001,"&lt;="&amp;$B258,BD!$AA$3:$AA$5001,"&lt;&gt;")=0,"",SUMIFS(BD!$AA$3:$AA$5001,BD!$B$3:$B$5001,V$245,BD!$A$3:$A$5001,_xlfn.MAXIFS(BD!$A$3:$A$5001,BD!$B$3:$B$5001,V$245,BD!$A$3:$A$5001,"&gt;="&amp;$C$7,BD!$A$3:$A$5001,"&lt;="&amp;$B258,BD!$AA$3:$AA$5001,"&lt;&gt;"))))</f>
        <v/>
      </c>
    </row>
    <row r="259">
      <c r="A259" s="38">
        <v>14</v>
      </c>
      <c r="B259" s="42">
        <f>$B$25</f>
        <v>46309</v>
      </c>
      <c r="C259" s="43" t="str">
        <f>IF(OR($B259="",$A259&gt;$B$9,C$245=""),"",IF(COUNTIFS(BD!$B$3:$B$5001,C$245,BD!$A$3:$A$5001,"&gt;="&amp;$C$7,BD!$A$3:$A$5001,"&lt;="&amp;$B259,BD!$AA$3:$AA$5001,"&lt;&gt;")=0,"",SUMIFS(BD!$AA$3:$AA$5001,BD!$B$3:$B$5001,C$245,BD!$A$3:$A$5001,_xlfn.MAXIFS(BD!$A$3:$A$5001,BD!$B$3:$B$5001,C$245,BD!$A$3:$A$5001,"&gt;="&amp;$C$7,BD!$A$3:$A$5001,"&lt;="&amp;$B259,BD!$AA$3:$AA$5001,"&lt;&gt;"))))</f>
        <v/>
      </c>
      <c r="D259" s="43" t="str">
        <f>IF(OR($B259="",$A259&gt;$B$9,D$245=""),"",IF(COUNTIFS(BD!$B$3:$B$5001,D$245,BD!$A$3:$A$5001,"&gt;="&amp;$C$7,BD!$A$3:$A$5001,"&lt;="&amp;$B259,BD!$AA$3:$AA$5001,"&lt;&gt;")=0,"",SUMIFS(BD!$AA$3:$AA$5001,BD!$B$3:$B$5001,D$245,BD!$A$3:$A$5001,_xlfn.MAXIFS(BD!$A$3:$A$5001,BD!$B$3:$B$5001,D$245,BD!$A$3:$A$5001,"&gt;="&amp;$C$7,BD!$A$3:$A$5001,"&lt;="&amp;$B259,BD!$AA$3:$AA$5001,"&lt;&gt;"))))</f>
        <v/>
      </c>
      <c r="E259" s="43" t="str">
        <f>IF(OR($B259="",$A259&gt;$B$9,E$245=""),"",IF(COUNTIFS(BD!$B$3:$B$5001,E$245,BD!$A$3:$A$5001,"&gt;="&amp;$C$7,BD!$A$3:$A$5001,"&lt;="&amp;$B259,BD!$AA$3:$AA$5001,"&lt;&gt;")=0,"",SUMIFS(BD!$AA$3:$AA$5001,BD!$B$3:$B$5001,E$245,BD!$A$3:$A$5001,_xlfn.MAXIFS(BD!$A$3:$A$5001,BD!$B$3:$B$5001,E$245,BD!$A$3:$A$5001,"&gt;="&amp;$C$7,BD!$A$3:$A$5001,"&lt;="&amp;$B259,BD!$AA$3:$AA$5001,"&lt;&gt;"))))</f>
        <v/>
      </c>
      <c r="F259" s="43" t="str">
        <f>IF(OR($B259="",$A259&gt;$B$9,F$245=""),"",IF(COUNTIFS(BD!$B$3:$B$5001,F$245,BD!$A$3:$A$5001,"&gt;="&amp;$C$7,BD!$A$3:$A$5001,"&lt;="&amp;$B259,BD!$AA$3:$AA$5001,"&lt;&gt;")=0,"",SUMIFS(BD!$AA$3:$AA$5001,BD!$B$3:$B$5001,F$245,BD!$A$3:$A$5001,_xlfn.MAXIFS(BD!$A$3:$A$5001,BD!$B$3:$B$5001,F$245,BD!$A$3:$A$5001,"&gt;="&amp;$C$7,BD!$A$3:$A$5001,"&lt;="&amp;$B259,BD!$AA$3:$AA$5001,"&lt;&gt;"))))</f>
        <v/>
      </c>
      <c r="G259" s="43" t="str">
        <f>IF(OR($B259="",$A259&gt;$B$9,G$245=""),"",IF(COUNTIFS(BD!$B$3:$B$5001,G$245,BD!$A$3:$A$5001,"&gt;="&amp;$C$7,BD!$A$3:$A$5001,"&lt;="&amp;$B259,BD!$AA$3:$AA$5001,"&lt;&gt;")=0,"",SUMIFS(BD!$AA$3:$AA$5001,BD!$B$3:$B$5001,G$245,BD!$A$3:$A$5001,_xlfn.MAXIFS(BD!$A$3:$A$5001,BD!$B$3:$B$5001,G$245,BD!$A$3:$A$5001,"&gt;="&amp;$C$7,BD!$A$3:$A$5001,"&lt;="&amp;$B259,BD!$AA$3:$AA$5001,"&lt;&gt;"))))</f>
        <v/>
      </c>
      <c r="H259" s="43" t="str">
        <f>IF(OR($B259="",$A259&gt;$B$9,H$245=""),"",IF(COUNTIFS(BD!$B$3:$B$5001,H$245,BD!$A$3:$A$5001,"&gt;="&amp;$C$7,BD!$A$3:$A$5001,"&lt;="&amp;$B259,BD!$AA$3:$AA$5001,"&lt;&gt;")=0,"",SUMIFS(BD!$AA$3:$AA$5001,BD!$B$3:$B$5001,H$245,BD!$A$3:$A$5001,_xlfn.MAXIFS(BD!$A$3:$A$5001,BD!$B$3:$B$5001,H$245,BD!$A$3:$A$5001,"&gt;="&amp;$C$7,BD!$A$3:$A$5001,"&lt;="&amp;$B259,BD!$AA$3:$AA$5001,"&lt;&gt;"))))</f>
        <v/>
      </c>
      <c r="I259" s="43" t="str">
        <f>IF(OR($B259="",$A259&gt;$B$9,I$245=""),"",IF(COUNTIFS(BD!$B$3:$B$5001,I$245,BD!$A$3:$A$5001,"&gt;="&amp;$C$7,BD!$A$3:$A$5001,"&lt;="&amp;$B259,BD!$AA$3:$AA$5001,"&lt;&gt;")=0,"",SUMIFS(BD!$AA$3:$AA$5001,BD!$B$3:$B$5001,I$245,BD!$A$3:$A$5001,_xlfn.MAXIFS(BD!$A$3:$A$5001,BD!$B$3:$B$5001,I$245,BD!$A$3:$A$5001,"&gt;="&amp;$C$7,BD!$A$3:$A$5001,"&lt;="&amp;$B259,BD!$AA$3:$AA$5001,"&lt;&gt;"))))</f>
        <v/>
      </c>
      <c r="J259" s="43" t="str">
        <f>IF(OR($B259="",$A259&gt;$B$9,J$245=""),"",IF(COUNTIFS(BD!$B$3:$B$5001,J$245,BD!$A$3:$A$5001,"&gt;="&amp;$C$7,BD!$A$3:$A$5001,"&lt;="&amp;$B259,BD!$AA$3:$AA$5001,"&lt;&gt;")=0,"",SUMIFS(BD!$AA$3:$AA$5001,BD!$B$3:$B$5001,J$245,BD!$A$3:$A$5001,_xlfn.MAXIFS(BD!$A$3:$A$5001,BD!$B$3:$B$5001,J$245,BD!$A$3:$A$5001,"&gt;="&amp;$C$7,BD!$A$3:$A$5001,"&lt;="&amp;$B259,BD!$AA$3:$AA$5001,"&lt;&gt;"))))</f>
        <v/>
      </c>
      <c r="K259" s="43" t="str">
        <f>IF(OR($B259="",$A259&gt;$B$9,K$245=""),"",IF(COUNTIFS(BD!$B$3:$B$5001,K$245,BD!$A$3:$A$5001,"&gt;="&amp;$C$7,BD!$A$3:$A$5001,"&lt;="&amp;$B259,BD!$AA$3:$AA$5001,"&lt;&gt;")=0,"",SUMIFS(BD!$AA$3:$AA$5001,BD!$B$3:$B$5001,K$245,BD!$A$3:$A$5001,_xlfn.MAXIFS(BD!$A$3:$A$5001,BD!$B$3:$B$5001,K$245,BD!$A$3:$A$5001,"&gt;="&amp;$C$7,BD!$A$3:$A$5001,"&lt;="&amp;$B259,BD!$AA$3:$AA$5001,"&lt;&gt;"))))</f>
        <v/>
      </c>
      <c r="L259" s="43" t="str">
        <f>IF(OR($B259="",$A259&gt;$B$9,L$245=""),"",IF(COUNTIFS(BD!$B$3:$B$5001,L$245,BD!$A$3:$A$5001,"&gt;="&amp;$C$7,BD!$A$3:$A$5001,"&lt;="&amp;$B259,BD!$AA$3:$AA$5001,"&lt;&gt;")=0,"",SUMIFS(BD!$AA$3:$AA$5001,BD!$B$3:$B$5001,L$245,BD!$A$3:$A$5001,_xlfn.MAXIFS(BD!$A$3:$A$5001,BD!$B$3:$B$5001,L$245,BD!$A$3:$A$5001,"&gt;="&amp;$C$7,BD!$A$3:$A$5001,"&lt;="&amp;$B259,BD!$AA$3:$AA$5001,"&lt;&gt;"))))</f>
        <v/>
      </c>
      <c r="M259" s="43" t="str">
        <f>IF(OR($B259="",$A259&gt;$B$9,M$245=""),"",IF(COUNTIFS(BD!$B$3:$B$5001,M$245,BD!$A$3:$A$5001,"&gt;="&amp;$C$7,BD!$A$3:$A$5001,"&lt;="&amp;$B259,BD!$AA$3:$AA$5001,"&lt;&gt;")=0,"",SUMIFS(BD!$AA$3:$AA$5001,BD!$B$3:$B$5001,M$245,BD!$A$3:$A$5001,_xlfn.MAXIFS(BD!$A$3:$A$5001,BD!$B$3:$B$5001,M$245,BD!$A$3:$A$5001,"&gt;="&amp;$C$7,BD!$A$3:$A$5001,"&lt;="&amp;$B259,BD!$AA$3:$AA$5001,"&lt;&gt;"))))</f>
        <v/>
      </c>
      <c r="N259" s="43" t="str">
        <f>IF(OR($B259="",$A259&gt;$B$9,N$245=""),"",IF(COUNTIFS(BD!$B$3:$B$5001,N$245,BD!$A$3:$A$5001,"&gt;="&amp;$C$7,BD!$A$3:$A$5001,"&lt;="&amp;$B259,BD!$AA$3:$AA$5001,"&lt;&gt;")=0,"",SUMIFS(BD!$AA$3:$AA$5001,BD!$B$3:$B$5001,N$245,BD!$A$3:$A$5001,_xlfn.MAXIFS(BD!$A$3:$A$5001,BD!$B$3:$B$5001,N$245,BD!$A$3:$A$5001,"&gt;="&amp;$C$7,BD!$A$3:$A$5001,"&lt;="&amp;$B259,BD!$AA$3:$AA$5001,"&lt;&gt;"))))</f>
        <v/>
      </c>
      <c r="O259" s="43" t="str">
        <f>IF(OR($B259="",$A259&gt;$B$9,O$245=""),"",IF(COUNTIFS(BD!$B$3:$B$5001,O$245,BD!$A$3:$A$5001,"&gt;="&amp;$C$7,BD!$A$3:$A$5001,"&lt;="&amp;$B259,BD!$AA$3:$AA$5001,"&lt;&gt;")=0,"",SUMIFS(BD!$AA$3:$AA$5001,BD!$B$3:$B$5001,O$245,BD!$A$3:$A$5001,_xlfn.MAXIFS(BD!$A$3:$A$5001,BD!$B$3:$B$5001,O$245,BD!$A$3:$A$5001,"&gt;="&amp;$C$7,BD!$A$3:$A$5001,"&lt;="&amp;$B259,BD!$AA$3:$AA$5001,"&lt;&gt;"))))</f>
        <v/>
      </c>
      <c r="P259" s="43" t="str">
        <f>IF(OR($B259="",$A259&gt;$B$9,P$245=""),"",IF(COUNTIFS(BD!$B$3:$B$5001,P$245,BD!$A$3:$A$5001,"&gt;="&amp;$C$7,BD!$A$3:$A$5001,"&lt;="&amp;$B259,BD!$AA$3:$AA$5001,"&lt;&gt;")=0,"",SUMIFS(BD!$AA$3:$AA$5001,BD!$B$3:$B$5001,P$245,BD!$A$3:$A$5001,_xlfn.MAXIFS(BD!$A$3:$A$5001,BD!$B$3:$B$5001,P$245,BD!$A$3:$A$5001,"&gt;="&amp;$C$7,BD!$A$3:$A$5001,"&lt;="&amp;$B259,BD!$AA$3:$AA$5001,"&lt;&gt;"))))</f>
        <v/>
      </c>
      <c r="Q259" s="43" t="str">
        <f>IF(OR($B259="",$A259&gt;$B$9,Q$245=""),"",IF(COUNTIFS(BD!$B$3:$B$5001,Q$245,BD!$A$3:$A$5001,"&gt;="&amp;$C$7,BD!$A$3:$A$5001,"&lt;="&amp;$B259,BD!$AA$3:$AA$5001,"&lt;&gt;")=0,"",SUMIFS(BD!$AA$3:$AA$5001,BD!$B$3:$B$5001,Q$245,BD!$A$3:$A$5001,_xlfn.MAXIFS(BD!$A$3:$A$5001,BD!$B$3:$B$5001,Q$245,BD!$A$3:$A$5001,"&gt;="&amp;$C$7,BD!$A$3:$A$5001,"&lt;="&amp;$B259,BD!$AA$3:$AA$5001,"&lt;&gt;"))))</f>
        <v/>
      </c>
      <c r="R259" s="43" t="str">
        <f>IF(OR($B259="",$A259&gt;$B$9,R$245=""),"",IF(COUNTIFS(BD!$B$3:$B$5001,R$245,BD!$A$3:$A$5001,"&gt;="&amp;$C$7,BD!$A$3:$A$5001,"&lt;="&amp;$B259,BD!$AA$3:$AA$5001,"&lt;&gt;")=0,"",SUMIFS(BD!$AA$3:$AA$5001,BD!$B$3:$B$5001,R$245,BD!$A$3:$A$5001,_xlfn.MAXIFS(BD!$A$3:$A$5001,BD!$B$3:$B$5001,R$245,BD!$A$3:$A$5001,"&gt;="&amp;$C$7,BD!$A$3:$A$5001,"&lt;="&amp;$B259,BD!$AA$3:$AA$5001,"&lt;&gt;"))))</f>
        <v/>
      </c>
      <c r="S259" s="43" t="str">
        <f>IF(OR($B259="",$A259&gt;$B$9,S$245=""),"",IF(COUNTIFS(BD!$B$3:$B$5001,S$245,BD!$A$3:$A$5001,"&gt;="&amp;$C$7,BD!$A$3:$A$5001,"&lt;="&amp;$B259,BD!$AA$3:$AA$5001,"&lt;&gt;")=0,"",SUMIFS(BD!$AA$3:$AA$5001,BD!$B$3:$B$5001,S$245,BD!$A$3:$A$5001,_xlfn.MAXIFS(BD!$A$3:$A$5001,BD!$B$3:$B$5001,S$245,BD!$A$3:$A$5001,"&gt;="&amp;$C$7,BD!$A$3:$A$5001,"&lt;="&amp;$B259,BD!$AA$3:$AA$5001,"&lt;&gt;"))))</f>
        <v/>
      </c>
      <c r="T259" s="43" t="str">
        <f>IF(OR($B259="",$A259&gt;$B$9,T$245=""),"",IF(COUNTIFS(BD!$B$3:$B$5001,T$245,BD!$A$3:$A$5001,"&gt;="&amp;$C$7,BD!$A$3:$A$5001,"&lt;="&amp;$B259,BD!$AA$3:$AA$5001,"&lt;&gt;")=0,"",SUMIFS(BD!$AA$3:$AA$5001,BD!$B$3:$B$5001,T$245,BD!$A$3:$A$5001,_xlfn.MAXIFS(BD!$A$3:$A$5001,BD!$B$3:$B$5001,T$245,BD!$A$3:$A$5001,"&gt;="&amp;$C$7,BD!$A$3:$A$5001,"&lt;="&amp;$B259,BD!$AA$3:$AA$5001,"&lt;&gt;"))))</f>
        <v/>
      </c>
      <c r="U259" s="43" t="str">
        <f>IF(OR($B259="",$A259&gt;$B$9,U$245=""),"",IF(COUNTIFS(BD!$B$3:$B$5001,U$245,BD!$A$3:$A$5001,"&gt;="&amp;$C$7,BD!$A$3:$A$5001,"&lt;="&amp;$B259,BD!$AA$3:$AA$5001,"&lt;&gt;")=0,"",SUMIFS(BD!$AA$3:$AA$5001,BD!$B$3:$B$5001,U$245,BD!$A$3:$A$5001,_xlfn.MAXIFS(BD!$A$3:$A$5001,BD!$B$3:$B$5001,U$245,BD!$A$3:$A$5001,"&gt;="&amp;$C$7,BD!$A$3:$A$5001,"&lt;="&amp;$B259,BD!$AA$3:$AA$5001,"&lt;&gt;"))))</f>
        <v/>
      </c>
      <c r="V259" s="43" t="str">
        <f>IF(OR($B259="",$A259&gt;$B$9,V$245=""),"",IF(COUNTIFS(BD!$B$3:$B$5001,V$245,BD!$A$3:$A$5001,"&gt;="&amp;$C$7,BD!$A$3:$A$5001,"&lt;="&amp;$B259,BD!$AA$3:$AA$5001,"&lt;&gt;")=0,"",SUMIFS(BD!$AA$3:$AA$5001,BD!$B$3:$B$5001,V$245,BD!$A$3:$A$5001,_xlfn.MAXIFS(BD!$A$3:$A$5001,BD!$B$3:$B$5001,V$245,BD!$A$3:$A$5001,"&gt;="&amp;$C$7,BD!$A$3:$A$5001,"&lt;="&amp;$B259,BD!$AA$3:$AA$5001,"&lt;&gt;"))))</f>
        <v/>
      </c>
    </row>
    <row r="260">
      <c r="A260" s="38">
        <v>15</v>
      </c>
      <c r="B260" s="42">
        <f>$B$26</f>
        <v>46310</v>
      </c>
      <c r="C260" s="43" t="str">
        <f>IF(OR($B260="",$A260&gt;$B$9,C$245=""),"",IF(COUNTIFS(BD!$B$3:$B$5001,C$245,BD!$A$3:$A$5001,"&gt;="&amp;$C$7,BD!$A$3:$A$5001,"&lt;="&amp;$B260,BD!$AA$3:$AA$5001,"&lt;&gt;")=0,"",SUMIFS(BD!$AA$3:$AA$5001,BD!$B$3:$B$5001,C$245,BD!$A$3:$A$5001,_xlfn.MAXIFS(BD!$A$3:$A$5001,BD!$B$3:$B$5001,C$245,BD!$A$3:$A$5001,"&gt;="&amp;$C$7,BD!$A$3:$A$5001,"&lt;="&amp;$B260,BD!$AA$3:$AA$5001,"&lt;&gt;"))))</f>
        <v/>
      </c>
      <c r="D260" s="43" t="str">
        <f>IF(OR($B260="",$A260&gt;$B$9,D$245=""),"",IF(COUNTIFS(BD!$B$3:$B$5001,D$245,BD!$A$3:$A$5001,"&gt;="&amp;$C$7,BD!$A$3:$A$5001,"&lt;="&amp;$B260,BD!$AA$3:$AA$5001,"&lt;&gt;")=0,"",SUMIFS(BD!$AA$3:$AA$5001,BD!$B$3:$B$5001,D$245,BD!$A$3:$A$5001,_xlfn.MAXIFS(BD!$A$3:$A$5001,BD!$B$3:$B$5001,D$245,BD!$A$3:$A$5001,"&gt;="&amp;$C$7,BD!$A$3:$A$5001,"&lt;="&amp;$B260,BD!$AA$3:$AA$5001,"&lt;&gt;"))))</f>
        <v/>
      </c>
      <c r="E260" s="43" t="str">
        <f>IF(OR($B260="",$A260&gt;$B$9,E$245=""),"",IF(COUNTIFS(BD!$B$3:$B$5001,E$245,BD!$A$3:$A$5001,"&gt;="&amp;$C$7,BD!$A$3:$A$5001,"&lt;="&amp;$B260,BD!$AA$3:$AA$5001,"&lt;&gt;")=0,"",SUMIFS(BD!$AA$3:$AA$5001,BD!$B$3:$B$5001,E$245,BD!$A$3:$A$5001,_xlfn.MAXIFS(BD!$A$3:$A$5001,BD!$B$3:$B$5001,E$245,BD!$A$3:$A$5001,"&gt;="&amp;$C$7,BD!$A$3:$A$5001,"&lt;="&amp;$B260,BD!$AA$3:$AA$5001,"&lt;&gt;"))))</f>
        <v/>
      </c>
      <c r="F260" s="43" t="str">
        <f>IF(OR($B260="",$A260&gt;$B$9,F$245=""),"",IF(COUNTIFS(BD!$B$3:$B$5001,F$245,BD!$A$3:$A$5001,"&gt;="&amp;$C$7,BD!$A$3:$A$5001,"&lt;="&amp;$B260,BD!$AA$3:$AA$5001,"&lt;&gt;")=0,"",SUMIFS(BD!$AA$3:$AA$5001,BD!$B$3:$B$5001,F$245,BD!$A$3:$A$5001,_xlfn.MAXIFS(BD!$A$3:$A$5001,BD!$B$3:$B$5001,F$245,BD!$A$3:$A$5001,"&gt;="&amp;$C$7,BD!$A$3:$A$5001,"&lt;="&amp;$B260,BD!$AA$3:$AA$5001,"&lt;&gt;"))))</f>
        <v/>
      </c>
      <c r="G260" s="43" t="str">
        <f>IF(OR($B260="",$A260&gt;$B$9,G$245=""),"",IF(COUNTIFS(BD!$B$3:$B$5001,G$245,BD!$A$3:$A$5001,"&gt;="&amp;$C$7,BD!$A$3:$A$5001,"&lt;="&amp;$B260,BD!$AA$3:$AA$5001,"&lt;&gt;")=0,"",SUMIFS(BD!$AA$3:$AA$5001,BD!$B$3:$B$5001,G$245,BD!$A$3:$A$5001,_xlfn.MAXIFS(BD!$A$3:$A$5001,BD!$B$3:$B$5001,G$245,BD!$A$3:$A$5001,"&gt;="&amp;$C$7,BD!$A$3:$A$5001,"&lt;="&amp;$B260,BD!$AA$3:$AA$5001,"&lt;&gt;"))))</f>
        <v/>
      </c>
      <c r="H260" s="43" t="str">
        <f>IF(OR($B260="",$A260&gt;$B$9,H$245=""),"",IF(COUNTIFS(BD!$B$3:$B$5001,H$245,BD!$A$3:$A$5001,"&gt;="&amp;$C$7,BD!$A$3:$A$5001,"&lt;="&amp;$B260,BD!$AA$3:$AA$5001,"&lt;&gt;")=0,"",SUMIFS(BD!$AA$3:$AA$5001,BD!$B$3:$B$5001,H$245,BD!$A$3:$A$5001,_xlfn.MAXIFS(BD!$A$3:$A$5001,BD!$B$3:$B$5001,H$245,BD!$A$3:$A$5001,"&gt;="&amp;$C$7,BD!$A$3:$A$5001,"&lt;="&amp;$B260,BD!$AA$3:$AA$5001,"&lt;&gt;"))))</f>
        <v/>
      </c>
      <c r="I260" s="43" t="str">
        <f>IF(OR($B260="",$A260&gt;$B$9,I$245=""),"",IF(COUNTIFS(BD!$B$3:$B$5001,I$245,BD!$A$3:$A$5001,"&gt;="&amp;$C$7,BD!$A$3:$A$5001,"&lt;="&amp;$B260,BD!$AA$3:$AA$5001,"&lt;&gt;")=0,"",SUMIFS(BD!$AA$3:$AA$5001,BD!$B$3:$B$5001,I$245,BD!$A$3:$A$5001,_xlfn.MAXIFS(BD!$A$3:$A$5001,BD!$B$3:$B$5001,I$245,BD!$A$3:$A$5001,"&gt;="&amp;$C$7,BD!$A$3:$A$5001,"&lt;="&amp;$B260,BD!$AA$3:$AA$5001,"&lt;&gt;"))))</f>
        <v/>
      </c>
      <c r="J260" s="43" t="str">
        <f>IF(OR($B260="",$A260&gt;$B$9,J$245=""),"",IF(COUNTIFS(BD!$B$3:$B$5001,J$245,BD!$A$3:$A$5001,"&gt;="&amp;$C$7,BD!$A$3:$A$5001,"&lt;="&amp;$B260,BD!$AA$3:$AA$5001,"&lt;&gt;")=0,"",SUMIFS(BD!$AA$3:$AA$5001,BD!$B$3:$B$5001,J$245,BD!$A$3:$A$5001,_xlfn.MAXIFS(BD!$A$3:$A$5001,BD!$B$3:$B$5001,J$245,BD!$A$3:$A$5001,"&gt;="&amp;$C$7,BD!$A$3:$A$5001,"&lt;="&amp;$B260,BD!$AA$3:$AA$5001,"&lt;&gt;"))))</f>
        <v/>
      </c>
      <c r="K260" s="43" t="str">
        <f>IF(OR($B260="",$A260&gt;$B$9,K$245=""),"",IF(COUNTIFS(BD!$B$3:$B$5001,K$245,BD!$A$3:$A$5001,"&gt;="&amp;$C$7,BD!$A$3:$A$5001,"&lt;="&amp;$B260,BD!$AA$3:$AA$5001,"&lt;&gt;")=0,"",SUMIFS(BD!$AA$3:$AA$5001,BD!$B$3:$B$5001,K$245,BD!$A$3:$A$5001,_xlfn.MAXIFS(BD!$A$3:$A$5001,BD!$B$3:$B$5001,K$245,BD!$A$3:$A$5001,"&gt;="&amp;$C$7,BD!$A$3:$A$5001,"&lt;="&amp;$B260,BD!$AA$3:$AA$5001,"&lt;&gt;"))))</f>
        <v/>
      </c>
      <c r="L260" s="43" t="str">
        <f>IF(OR($B260="",$A260&gt;$B$9,L$245=""),"",IF(COUNTIFS(BD!$B$3:$B$5001,L$245,BD!$A$3:$A$5001,"&gt;="&amp;$C$7,BD!$A$3:$A$5001,"&lt;="&amp;$B260,BD!$AA$3:$AA$5001,"&lt;&gt;")=0,"",SUMIFS(BD!$AA$3:$AA$5001,BD!$B$3:$B$5001,L$245,BD!$A$3:$A$5001,_xlfn.MAXIFS(BD!$A$3:$A$5001,BD!$B$3:$B$5001,L$245,BD!$A$3:$A$5001,"&gt;="&amp;$C$7,BD!$A$3:$A$5001,"&lt;="&amp;$B260,BD!$AA$3:$AA$5001,"&lt;&gt;"))))</f>
        <v/>
      </c>
      <c r="M260" s="43" t="str">
        <f>IF(OR($B260="",$A260&gt;$B$9,M$245=""),"",IF(COUNTIFS(BD!$B$3:$B$5001,M$245,BD!$A$3:$A$5001,"&gt;="&amp;$C$7,BD!$A$3:$A$5001,"&lt;="&amp;$B260,BD!$AA$3:$AA$5001,"&lt;&gt;")=0,"",SUMIFS(BD!$AA$3:$AA$5001,BD!$B$3:$B$5001,M$245,BD!$A$3:$A$5001,_xlfn.MAXIFS(BD!$A$3:$A$5001,BD!$B$3:$B$5001,M$245,BD!$A$3:$A$5001,"&gt;="&amp;$C$7,BD!$A$3:$A$5001,"&lt;="&amp;$B260,BD!$AA$3:$AA$5001,"&lt;&gt;"))))</f>
        <v/>
      </c>
      <c r="N260" s="43" t="str">
        <f>IF(OR($B260="",$A260&gt;$B$9,N$245=""),"",IF(COUNTIFS(BD!$B$3:$B$5001,N$245,BD!$A$3:$A$5001,"&gt;="&amp;$C$7,BD!$A$3:$A$5001,"&lt;="&amp;$B260,BD!$AA$3:$AA$5001,"&lt;&gt;")=0,"",SUMIFS(BD!$AA$3:$AA$5001,BD!$B$3:$B$5001,N$245,BD!$A$3:$A$5001,_xlfn.MAXIFS(BD!$A$3:$A$5001,BD!$B$3:$B$5001,N$245,BD!$A$3:$A$5001,"&gt;="&amp;$C$7,BD!$A$3:$A$5001,"&lt;="&amp;$B260,BD!$AA$3:$AA$5001,"&lt;&gt;"))))</f>
        <v/>
      </c>
      <c r="O260" s="43" t="str">
        <f>IF(OR($B260="",$A260&gt;$B$9,O$245=""),"",IF(COUNTIFS(BD!$B$3:$B$5001,O$245,BD!$A$3:$A$5001,"&gt;="&amp;$C$7,BD!$A$3:$A$5001,"&lt;="&amp;$B260,BD!$AA$3:$AA$5001,"&lt;&gt;")=0,"",SUMIFS(BD!$AA$3:$AA$5001,BD!$B$3:$B$5001,O$245,BD!$A$3:$A$5001,_xlfn.MAXIFS(BD!$A$3:$A$5001,BD!$B$3:$B$5001,O$245,BD!$A$3:$A$5001,"&gt;="&amp;$C$7,BD!$A$3:$A$5001,"&lt;="&amp;$B260,BD!$AA$3:$AA$5001,"&lt;&gt;"))))</f>
        <v/>
      </c>
      <c r="P260" s="43" t="str">
        <f>IF(OR($B260="",$A260&gt;$B$9,P$245=""),"",IF(COUNTIFS(BD!$B$3:$B$5001,P$245,BD!$A$3:$A$5001,"&gt;="&amp;$C$7,BD!$A$3:$A$5001,"&lt;="&amp;$B260,BD!$AA$3:$AA$5001,"&lt;&gt;")=0,"",SUMIFS(BD!$AA$3:$AA$5001,BD!$B$3:$B$5001,P$245,BD!$A$3:$A$5001,_xlfn.MAXIFS(BD!$A$3:$A$5001,BD!$B$3:$B$5001,P$245,BD!$A$3:$A$5001,"&gt;="&amp;$C$7,BD!$A$3:$A$5001,"&lt;="&amp;$B260,BD!$AA$3:$AA$5001,"&lt;&gt;"))))</f>
        <v/>
      </c>
      <c r="Q260" s="43" t="str">
        <f>IF(OR($B260="",$A260&gt;$B$9,Q$245=""),"",IF(COUNTIFS(BD!$B$3:$B$5001,Q$245,BD!$A$3:$A$5001,"&gt;="&amp;$C$7,BD!$A$3:$A$5001,"&lt;="&amp;$B260,BD!$AA$3:$AA$5001,"&lt;&gt;")=0,"",SUMIFS(BD!$AA$3:$AA$5001,BD!$B$3:$B$5001,Q$245,BD!$A$3:$A$5001,_xlfn.MAXIFS(BD!$A$3:$A$5001,BD!$B$3:$B$5001,Q$245,BD!$A$3:$A$5001,"&gt;="&amp;$C$7,BD!$A$3:$A$5001,"&lt;="&amp;$B260,BD!$AA$3:$AA$5001,"&lt;&gt;"))))</f>
        <v/>
      </c>
      <c r="R260" s="43" t="str">
        <f>IF(OR($B260="",$A260&gt;$B$9,R$245=""),"",IF(COUNTIFS(BD!$B$3:$B$5001,R$245,BD!$A$3:$A$5001,"&gt;="&amp;$C$7,BD!$A$3:$A$5001,"&lt;="&amp;$B260,BD!$AA$3:$AA$5001,"&lt;&gt;")=0,"",SUMIFS(BD!$AA$3:$AA$5001,BD!$B$3:$B$5001,R$245,BD!$A$3:$A$5001,_xlfn.MAXIFS(BD!$A$3:$A$5001,BD!$B$3:$B$5001,R$245,BD!$A$3:$A$5001,"&gt;="&amp;$C$7,BD!$A$3:$A$5001,"&lt;="&amp;$B260,BD!$AA$3:$AA$5001,"&lt;&gt;"))))</f>
        <v/>
      </c>
      <c r="S260" s="43" t="str">
        <f>IF(OR($B260="",$A260&gt;$B$9,S$245=""),"",IF(COUNTIFS(BD!$B$3:$B$5001,S$245,BD!$A$3:$A$5001,"&gt;="&amp;$C$7,BD!$A$3:$A$5001,"&lt;="&amp;$B260,BD!$AA$3:$AA$5001,"&lt;&gt;")=0,"",SUMIFS(BD!$AA$3:$AA$5001,BD!$B$3:$B$5001,S$245,BD!$A$3:$A$5001,_xlfn.MAXIFS(BD!$A$3:$A$5001,BD!$B$3:$B$5001,S$245,BD!$A$3:$A$5001,"&gt;="&amp;$C$7,BD!$A$3:$A$5001,"&lt;="&amp;$B260,BD!$AA$3:$AA$5001,"&lt;&gt;"))))</f>
        <v/>
      </c>
      <c r="T260" s="43" t="str">
        <f>IF(OR($B260="",$A260&gt;$B$9,T$245=""),"",IF(COUNTIFS(BD!$B$3:$B$5001,T$245,BD!$A$3:$A$5001,"&gt;="&amp;$C$7,BD!$A$3:$A$5001,"&lt;="&amp;$B260,BD!$AA$3:$AA$5001,"&lt;&gt;")=0,"",SUMIFS(BD!$AA$3:$AA$5001,BD!$B$3:$B$5001,T$245,BD!$A$3:$A$5001,_xlfn.MAXIFS(BD!$A$3:$A$5001,BD!$B$3:$B$5001,T$245,BD!$A$3:$A$5001,"&gt;="&amp;$C$7,BD!$A$3:$A$5001,"&lt;="&amp;$B260,BD!$AA$3:$AA$5001,"&lt;&gt;"))))</f>
        <v/>
      </c>
      <c r="U260" s="43" t="str">
        <f>IF(OR($B260="",$A260&gt;$B$9,U$245=""),"",IF(COUNTIFS(BD!$B$3:$B$5001,U$245,BD!$A$3:$A$5001,"&gt;="&amp;$C$7,BD!$A$3:$A$5001,"&lt;="&amp;$B260,BD!$AA$3:$AA$5001,"&lt;&gt;")=0,"",SUMIFS(BD!$AA$3:$AA$5001,BD!$B$3:$B$5001,U$245,BD!$A$3:$A$5001,_xlfn.MAXIFS(BD!$A$3:$A$5001,BD!$B$3:$B$5001,U$245,BD!$A$3:$A$5001,"&gt;="&amp;$C$7,BD!$A$3:$A$5001,"&lt;="&amp;$B260,BD!$AA$3:$AA$5001,"&lt;&gt;"))))</f>
        <v/>
      </c>
      <c r="V260" s="43" t="str">
        <f>IF(OR($B260="",$A260&gt;$B$9,V$245=""),"",IF(COUNTIFS(BD!$B$3:$B$5001,V$245,BD!$A$3:$A$5001,"&gt;="&amp;$C$7,BD!$A$3:$A$5001,"&lt;="&amp;$B260,BD!$AA$3:$AA$5001,"&lt;&gt;")=0,"",SUMIFS(BD!$AA$3:$AA$5001,BD!$B$3:$B$5001,V$245,BD!$A$3:$A$5001,_xlfn.MAXIFS(BD!$A$3:$A$5001,BD!$B$3:$B$5001,V$245,BD!$A$3:$A$5001,"&gt;="&amp;$C$7,BD!$A$3:$A$5001,"&lt;="&amp;$B260,BD!$AA$3:$AA$5001,"&lt;&gt;"))))</f>
        <v/>
      </c>
    </row>
    <row r="261">
      <c r="A261" s="38">
        <v>16</v>
      </c>
      <c r="B261" s="42">
        <f>$B$27</f>
        <v>46311</v>
      </c>
      <c r="C261" s="43" t="str">
        <f>IF(OR($B261="",$A261&gt;$B$9,C$245=""),"",IF(COUNTIFS(BD!$B$3:$B$5001,C$245,BD!$A$3:$A$5001,"&gt;="&amp;$C$7,BD!$A$3:$A$5001,"&lt;="&amp;$B261,BD!$AA$3:$AA$5001,"&lt;&gt;")=0,"",SUMIFS(BD!$AA$3:$AA$5001,BD!$B$3:$B$5001,C$245,BD!$A$3:$A$5001,_xlfn.MAXIFS(BD!$A$3:$A$5001,BD!$B$3:$B$5001,C$245,BD!$A$3:$A$5001,"&gt;="&amp;$C$7,BD!$A$3:$A$5001,"&lt;="&amp;$B261,BD!$AA$3:$AA$5001,"&lt;&gt;"))))</f>
        <v/>
      </c>
      <c r="D261" s="43" t="str">
        <f>IF(OR($B261="",$A261&gt;$B$9,D$245=""),"",IF(COUNTIFS(BD!$B$3:$B$5001,D$245,BD!$A$3:$A$5001,"&gt;="&amp;$C$7,BD!$A$3:$A$5001,"&lt;="&amp;$B261,BD!$AA$3:$AA$5001,"&lt;&gt;")=0,"",SUMIFS(BD!$AA$3:$AA$5001,BD!$B$3:$B$5001,D$245,BD!$A$3:$A$5001,_xlfn.MAXIFS(BD!$A$3:$A$5001,BD!$B$3:$B$5001,D$245,BD!$A$3:$A$5001,"&gt;="&amp;$C$7,BD!$A$3:$A$5001,"&lt;="&amp;$B261,BD!$AA$3:$AA$5001,"&lt;&gt;"))))</f>
        <v/>
      </c>
      <c r="E261" s="43" t="str">
        <f>IF(OR($B261="",$A261&gt;$B$9,E$245=""),"",IF(COUNTIFS(BD!$B$3:$B$5001,E$245,BD!$A$3:$A$5001,"&gt;="&amp;$C$7,BD!$A$3:$A$5001,"&lt;="&amp;$B261,BD!$AA$3:$AA$5001,"&lt;&gt;")=0,"",SUMIFS(BD!$AA$3:$AA$5001,BD!$B$3:$B$5001,E$245,BD!$A$3:$A$5001,_xlfn.MAXIFS(BD!$A$3:$A$5001,BD!$B$3:$B$5001,E$245,BD!$A$3:$A$5001,"&gt;="&amp;$C$7,BD!$A$3:$A$5001,"&lt;="&amp;$B261,BD!$AA$3:$AA$5001,"&lt;&gt;"))))</f>
        <v/>
      </c>
      <c r="F261" s="43" t="str">
        <f>IF(OR($B261="",$A261&gt;$B$9,F$245=""),"",IF(COUNTIFS(BD!$B$3:$B$5001,F$245,BD!$A$3:$A$5001,"&gt;="&amp;$C$7,BD!$A$3:$A$5001,"&lt;="&amp;$B261,BD!$AA$3:$AA$5001,"&lt;&gt;")=0,"",SUMIFS(BD!$AA$3:$AA$5001,BD!$B$3:$B$5001,F$245,BD!$A$3:$A$5001,_xlfn.MAXIFS(BD!$A$3:$A$5001,BD!$B$3:$B$5001,F$245,BD!$A$3:$A$5001,"&gt;="&amp;$C$7,BD!$A$3:$A$5001,"&lt;="&amp;$B261,BD!$AA$3:$AA$5001,"&lt;&gt;"))))</f>
        <v/>
      </c>
      <c r="G261" s="43" t="str">
        <f>IF(OR($B261="",$A261&gt;$B$9,G$245=""),"",IF(COUNTIFS(BD!$B$3:$B$5001,G$245,BD!$A$3:$A$5001,"&gt;="&amp;$C$7,BD!$A$3:$A$5001,"&lt;="&amp;$B261,BD!$AA$3:$AA$5001,"&lt;&gt;")=0,"",SUMIFS(BD!$AA$3:$AA$5001,BD!$B$3:$B$5001,G$245,BD!$A$3:$A$5001,_xlfn.MAXIFS(BD!$A$3:$A$5001,BD!$B$3:$B$5001,G$245,BD!$A$3:$A$5001,"&gt;="&amp;$C$7,BD!$A$3:$A$5001,"&lt;="&amp;$B261,BD!$AA$3:$AA$5001,"&lt;&gt;"))))</f>
        <v/>
      </c>
      <c r="H261" s="43" t="str">
        <f>IF(OR($B261="",$A261&gt;$B$9,H$245=""),"",IF(COUNTIFS(BD!$B$3:$B$5001,H$245,BD!$A$3:$A$5001,"&gt;="&amp;$C$7,BD!$A$3:$A$5001,"&lt;="&amp;$B261,BD!$AA$3:$AA$5001,"&lt;&gt;")=0,"",SUMIFS(BD!$AA$3:$AA$5001,BD!$B$3:$B$5001,H$245,BD!$A$3:$A$5001,_xlfn.MAXIFS(BD!$A$3:$A$5001,BD!$B$3:$B$5001,H$245,BD!$A$3:$A$5001,"&gt;="&amp;$C$7,BD!$A$3:$A$5001,"&lt;="&amp;$B261,BD!$AA$3:$AA$5001,"&lt;&gt;"))))</f>
        <v/>
      </c>
      <c r="I261" s="43" t="str">
        <f>IF(OR($B261="",$A261&gt;$B$9,I$245=""),"",IF(COUNTIFS(BD!$B$3:$B$5001,I$245,BD!$A$3:$A$5001,"&gt;="&amp;$C$7,BD!$A$3:$A$5001,"&lt;="&amp;$B261,BD!$AA$3:$AA$5001,"&lt;&gt;")=0,"",SUMIFS(BD!$AA$3:$AA$5001,BD!$B$3:$B$5001,I$245,BD!$A$3:$A$5001,_xlfn.MAXIFS(BD!$A$3:$A$5001,BD!$B$3:$B$5001,I$245,BD!$A$3:$A$5001,"&gt;="&amp;$C$7,BD!$A$3:$A$5001,"&lt;="&amp;$B261,BD!$AA$3:$AA$5001,"&lt;&gt;"))))</f>
        <v/>
      </c>
      <c r="J261" s="43" t="str">
        <f>IF(OR($B261="",$A261&gt;$B$9,J$245=""),"",IF(COUNTIFS(BD!$B$3:$B$5001,J$245,BD!$A$3:$A$5001,"&gt;="&amp;$C$7,BD!$A$3:$A$5001,"&lt;="&amp;$B261,BD!$AA$3:$AA$5001,"&lt;&gt;")=0,"",SUMIFS(BD!$AA$3:$AA$5001,BD!$B$3:$B$5001,J$245,BD!$A$3:$A$5001,_xlfn.MAXIFS(BD!$A$3:$A$5001,BD!$B$3:$B$5001,J$245,BD!$A$3:$A$5001,"&gt;="&amp;$C$7,BD!$A$3:$A$5001,"&lt;="&amp;$B261,BD!$AA$3:$AA$5001,"&lt;&gt;"))))</f>
        <v/>
      </c>
      <c r="K261" s="43" t="str">
        <f>IF(OR($B261="",$A261&gt;$B$9,K$245=""),"",IF(COUNTIFS(BD!$B$3:$B$5001,K$245,BD!$A$3:$A$5001,"&gt;="&amp;$C$7,BD!$A$3:$A$5001,"&lt;="&amp;$B261,BD!$AA$3:$AA$5001,"&lt;&gt;")=0,"",SUMIFS(BD!$AA$3:$AA$5001,BD!$B$3:$B$5001,K$245,BD!$A$3:$A$5001,_xlfn.MAXIFS(BD!$A$3:$A$5001,BD!$B$3:$B$5001,K$245,BD!$A$3:$A$5001,"&gt;="&amp;$C$7,BD!$A$3:$A$5001,"&lt;="&amp;$B261,BD!$AA$3:$AA$5001,"&lt;&gt;"))))</f>
        <v/>
      </c>
      <c r="L261" s="43" t="str">
        <f>IF(OR($B261="",$A261&gt;$B$9,L$245=""),"",IF(COUNTIFS(BD!$B$3:$B$5001,L$245,BD!$A$3:$A$5001,"&gt;="&amp;$C$7,BD!$A$3:$A$5001,"&lt;="&amp;$B261,BD!$AA$3:$AA$5001,"&lt;&gt;")=0,"",SUMIFS(BD!$AA$3:$AA$5001,BD!$B$3:$B$5001,L$245,BD!$A$3:$A$5001,_xlfn.MAXIFS(BD!$A$3:$A$5001,BD!$B$3:$B$5001,L$245,BD!$A$3:$A$5001,"&gt;="&amp;$C$7,BD!$A$3:$A$5001,"&lt;="&amp;$B261,BD!$AA$3:$AA$5001,"&lt;&gt;"))))</f>
        <v/>
      </c>
      <c r="M261" s="43" t="str">
        <f>IF(OR($B261="",$A261&gt;$B$9,M$245=""),"",IF(COUNTIFS(BD!$B$3:$B$5001,M$245,BD!$A$3:$A$5001,"&gt;="&amp;$C$7,BD!$A$3:$A$5001,"&lt;="&amp;$B261,BD!$AA$3:$AA$5001,"&lt;&gt;")=0,"",SUMIFS(BD!$AA$3:$AA$5001,BD!$B$3:$B$5001,M$245,BD!$A$3:$A$5001,_xlfn.MAXIFS(BD!$A$3:$A$5001,BD!$B$3:$B$5001,M$245,BD!$A$3:$A$5001,"&gt;="&amp;$C$7,BD!$A$3:$A$5001,"&lt;="&amp;$B261,BD!$AA$3:$AA$5001,"&lt;&gt;"))))</f>
        <v/>
      </c>
      <c r="N261" s="43" t="str">
        <f>IF(OR($B261="",$A261&gt;$B$9,N$245=""),"",IF(COUNTIFS(BD!$B$3:$B$5001,N$245,BD!$A$3:$A$5001,"&gt;="&amp;$C$7,BD!$A$3:$A$5001,"&lt;="&amp;$B261,BD!$AA$3:$AA$5001,"&lt;&gt;")=0,"",SUMIFS(BD!$AA$3:$AA$5001,BD!$B$3:$B$5001,N$245,BD!$A$3:$A$5001,_xlfn.MAXIFS(BD!$A$3:$A$5001,BD!$B$3:$B$5001,N$245,BD!$A$3:$A$5001,"&gt;="&amp;$C$7,BD!$A$3:$A$5001,"&lt;="&amp;$B261,BD!$AA$3:$AA$5001,"&lt;&gt;"))))</f>
        <v/>
      </c>
      <c r="O261" s="43" t="str">
        <f>IF(OR($B261="",$A261&gt;$B$9,O$245=""),"",IF(COUNTIFS(BD!$B$3:$B$5001,O$245,BD!$A$3:$A$5001,"&gt;="&amp;$C$7,BD!$A$3:$A$5001,"&lt;="&amp;$B261,BD!$AA$3:$AA$5001,"&lt;&gt;")=0,"",SUMIFS(BD!$AA$3:$AA$5001,BD!$B$3:$B$5001,O$245,BD!$A$3:$A$5001,_xlfn.MAXIFS(BD!$A$3:$A$5001,BD!$B$3:$B$5001,O$245,BD!$A$3:$A$5001,"&gt;="&amp;$C$7,BD!$A$3:$A$5001,"&lt;="&amp;$B261,BD!$AA$3:$AA$5001,"&lt;&gt;"))))</f>
        <v/>
      </c>
      <c r="P261" s="43" t="str">
        <f>IF(OR($B261="",$A261&gt;$B$9,P$245=""),"",IF(COUNTIFS(BD!$B$3:$B$5001,P$245,BD!$A$3:$A$5001,"&gt;="&amp;$C$7,BD!$A$3:$A$5001,"&lt;="&amp;$B261,BD!$AA$3:$AA$5001,"&lt;&gt;")=0,"",SUMIFS(BD!$AA$3:$AA$5001,BD!$B$3:$B$5001,P$245,BD!$A$3:$A$5001,_xlfn.MAXIFS(BD!$A$3:$A$5001,BD!$B$3:$B$5001,P$245,BD!$A$3:$A$5001,"&gt;="&amp;$C$7,BD!$A$3:$A$5001,"&lt;="&amp;$B261,BD!$AA$3:$AA$5001,"&lt;&gt;"))))</f>
        <v/>
      </c>
      <c r="Q261" s="43" t="str">
        <f>IF(OR($B261="",$A261&gt;$B$9,Q$245=""),"",IF(COUNTIFS(BD!$B$3:$B$5001,Q$245,BD!$A$3:$A$5001,"&gt;="&amp;$C$7,BD!$A$3:$A$5001,"&lt;="&amp;$B261,BD!$AA$3:$AA$5001,"&lt;&gt;")=0,"",SUMIFS(BD!$AA$3:$AA$5001,BD!$B$3:$B$5001,Q$245,BD!$A$3:$A$5001,_xlfn.MAXIFS(BD!$A$3:$A$5001,BD!$B$3:$B$5001,Q$245,BD!$A$3:$A$5001,"&gt;="&amp;$C$7,BD!$A$3:$A$5001,"&lt;="&amp;$B261,BD!$AA$3:$AA$5001,"&lt;&gt;"))))</f>
        <v/>
      </c>
      <c r="R261" s="43" t="str">
        <f>IF(OR($B261="",$A261&gt;$B$9,R$245=""),"",IF(COUNTIFS(BD!$B$3:$B$5001,R$245,BD!$A$3:$A$5001,"&gt;="&amp;$C$7,BD!$A$3:$A$5001,"&lt;="&amp;$B261,BD!$AA$3:$AA$5001,"&lt;&gt;")=0,"",SUMIFS(BD!$AA$3:$AA$5001,BD!$B$3:$B$5001,R$245,BD!$A$3:$A$5001,_xlfn.MAXIFS(BD!$A$3:$A$5001,BD!$B$3:$B$5001,R$245,BD!$A$3:$A$5001,"&gt;="&amp;$C$7,BD!$A$3:$A$5001,"&lt;="&amp;$B261,BD!$AA$3:$AA$5001,"&lt;&gt;"))))</f>
        <v/>
      </c>
      <c r="S261" s="43" t="str">
        <f>IF(OR($B261="",$A261&gt;$B$9,S$245=""),"",IF(COUNTIFS(BD!$B$3:$B$5001,S$245,BD!$A$3:$A$5001,"&gt;="&amp;$C$7,BD!$A$3:$A$5001,"&lt;="&amp;$B261,BD!$AA$3:$AA$5001,"&lt;&gt;")=0,"",SUMIFS(BD!$AA$3:$AA$5001,BD!$B$3:$B$5001,S$245,BD!$A$3:$A$5001,_xlfn.MAXIFS(BD!$A$3:$A$5001,BD!$B$3:$B$5001,S$245,BD!$A$3:$A$5001,"&gt;="&amp;$C$7,BD!$A$3:$A$5001,"&lt;="&amp;$B261,BD!$AA$3:$AA$5001,"&lt;&gt;"))))</f>
        <v/>
      </c>
      <c r="T261" s="43" t="str">
        <f>IF(OR($B261="",$A261&gt;$B$9,T$245=""),"",IF(COUNTIFS(BD!$B$3:$B$5001,T$245,BD!$A$3:$A$5001,"&gt;="&amp;$C$7,BD!$A$3:$A$5001,"&lt;="&amp;$B261,BD!$AA$3:$AA$5001,"&lt;&gt;")=0,"",SUMIFS(BD!$AA$3:$AA$5001,BD!$B$3:$B$5001,T$245,BD!$A$3:$A$5001,_xlfn.MAXIFS(BD!$A$3:$A$5001,BD!$B$3:$B$5001,T$245,BD!$A$3:$A$5001,"&gt;="&amp;$C$7,BD!$A$3:$A$5001,"&lt;="&amp;$B261,BD!$AA$3:$AA$5001,"&lt;&gt;"))))</f>
        <v/>
      </c>
      <c r="U261" s="43" t="str">
        <f>IF(OR($B261="",$A261&gt;$B$9,U$245=""),"",IF(COUNTIFS(BD!$B$3:$B$5001,U$245,BD!$A$3:$A$5001,"&gt;="&amp;$C$7,BD!$A$3:$A$5001,"&lt;="&amp;$B261,BD!$AA$3:$AA$5001,"&lt;&gt;")=0,"",SUMIFS(BD!$AA$3:$AA$5001,BD!$B$3:$B$5001,U$245,BD!$A$3:$A$5001,_xlfn.MAXIFS(BD!$A$3:$A$5001,BD!$B$3:$B$5001,U$245,BD!$A$3:$A$5001,"&gt;="&amp;$C$7,BD!$A$3:$A$5001,"&lt;="&amp;$B261,BD!$AA$3:$AA$5001,"&lt;&gt;"))))</f>
        <v/>
      </c>
      <c r="V261" s="43" t="str">
        <f>IF(OR($B261="",$A261&gt;$B$9,V$245=""),"",IF(COUNTIFS(BD!$B$3:$B$5001,V$245,BD!$A$3:$A$5001,"&gt;="&amp;$C$7,BD!$A$3:$A$5001,"&lt;="&amp;$B261,BD!$AA$3:$AA$5001,"&lt;&gt;")=0,"",SUMIFS(BD!$AA$3:$AA$5001,BD!$B$3:$B$5001,V$245,BD!$A$3:$A$5001,_xlfn.MAXIFS(BD!$A$3:$A$5001,BD!$B$3:$B$5001,V$245,BD!$A$3:$A$5001,"&gt;="&amp;$C$7,BD!$A$3:$A$5001,"&lt;="&amp;$B261,BD!$AA$3:$AA$5001,"&lt;&gt;"))))</f>
        <v/>
      </c>
    </row>
    <row r="262">
      <c r="A262" s="38">
        <v>17</v>
      </c>
      <c r="B262" s="42">
        <f>$B$28</f>
        <v>46312</v>
      </c>
      <c r="C262" s="43" t="str">
        <f>IF(OR($B262="",$A262&gt;$B$9,C$245=""),"",IF(COUNTIFS(BD!$B$3:$B$5001,C$245,BD!$A$3:$A$5001,"&gt;="&amp;$C$7,BD!$A$3:$A$5001,"&lt;="&amp;$B262,BD!$AA$3:$AA$5001,"&lt;&gt;")=0,"",SUMIFS(BD!$AA$3:$AA$5001,BD!$B$3:$B$5001,C$245,BD!$A$3:$A$5001,_xlfn.MAXIFS(BD!$A$3:$A$5001,BD!$B$3:$B$5001,C$245,BD!$A$3:$A$5001,"&gt;="&amp;$C$7,BD!$A$3:$A$5001,"&lt;="&amp;$B262,BD!$AA$3:$AA$5001,"&lt;&gt;"))))</f>
        <v/>
      </c>
      <c r="D262" s="43" t="str">
        <f>IF(OR($B262="",$A262&gt;$B$9,D$245=""),"",IF(COUNTIFS(BD!$B$3:$B$5001,D$245,BD!$A$3:$A$5001,"&gt;="&amp;$C$7,BD!$A$3:$A$5001,"&lt;="&amp;$B262,BD!$AA$3:$AA$5001,"&lt;&gt;")=0,"",SUMIFS(BD!$AA$3:$AA$5001,BD!$B$3:$B$5001,D$245,BD!$A$3:$A$5001,_xlfn.MAXIFS(BD!$A$3:$A$5001,BD!$B$3:$B$5001,D$245,BD!$A$3:$A$5001,"&gt;="&amp;$C$7,BD!$A$3:$A$5001,"&lt;="&amp;$B262,BD!$AA$3:$AA$5001,"&lt;&gt;"))))</f>
        <v/>
      </c>
      <c r="E262" s="43" t="str">
        <f>IF(OR($B262="",$A262&gt;$B$9,E$245=""),"",IF(COUNTIFS(BD!$B$3:$B$5001,E$245,BD!$A$3:$A$5001,"&gt;="&amp;$C$7,BD!$A$3:$A$5001,"&lt;="&amp;$B262,BD!$AA$3:$AA$5001,"&lt;&gt;")=0,"",SUMIFS(BD!$AA$3:$AA$5001,BD!$B$3:$B$5001,E$245,BD!$A$3:$A$5001,_xlfn.MAXIFS(BD!$A$3:$A$5001,BD!$B$3:$B$5001,E$245,BD!$A$3:$A$5001,"&gt;="&amp;$C$7,BD!$A$3:$A$5001,"&lt;="&amp;$B262,BD!$AA$3:$AA$5001,"&lt;&gt;"))))</f>
        <v/>
      </c>
      <c r="F262" s="43" t="str">
        <f>IF(OR($B262="",$A262&gt;$B$9,F$245=""),"",IF(COUNTIFS(BD!$B$3:$B$5001,F$245,BD!$A$3:$A$5001,"&gt;="&amp;$C$7,BD!$A$3:$A$5001,"&lt;="&amp;$B262,BD!$AA$3:$AA$5001,"&lt;&gt;")=0,"",SUMIFS(BD!$AA$3:$AA$5001,BD!$B$3:$B$5001,F$245,BD!$A$3:$A$5001,_xlfn.MAXIFS(BD!$A$3:$A$5001,BD!$B$3:$B$5001,F$245,BD!$A$3:$A$5001,"&gt;="&amp;$C$7,BD!$A$3:$A$5001,"&lt;="&amp;$B262,BD!$AA$3:$AA$5001,"&lt;&gt;"))))</f>
        <v/>
      </c>
      <c r="G262" s="43" t="str">
        <f>IF(OR($B262="",$A262&gt;$B$9,G$245=""),"",IF(COUNTIFS(BD!$B$3:$B$5001,G$245,BD!$A$3:$A$5001,"&gt;="&amp;$C$7,BD!$A$3:$A$5001,"&lt;="&amp;$B262,BD!$AA$3:$AA$5001,"&lt;&gt;")=0,"",SUMIFS(BD!$AA$3:$AA$5001,BD!$B$3:$B$5001,G$245,BD!$A$3:$A$5001,_xlfn.MAXIFS(BD!$A$3:$A$5001,BD!$B$3:$B$5001,G$245,BD!$A$3:$A$5001,"&gt;="&amp;$C$7,BD!$A$3:$A$5001,"&lt;="&amp;$B262,BD!$AA$3:$AA$5001,"&lt;&gt;"))))</f>
        <v/>
      </c>
      <c r="H262" s="43" t="str">
        <f>IF(OR($B262="",$A262&gt;$B$9,H$245=""),"",IF(COUNTIFS(BD!$B$3:$B$5001,H$245,BD!$A$3:$A$5001,"&gt;="&amp;$C$7,BD!$A$3:$A$5001,"&lt;="&amp;$B262,BD!$AA$3:$AA$5001,"&lt;&gt;")=0,"",SUMIFS(BD!$AA$3:$AA$5001,BD!$B$3:$B$5001,H$245,BD!$A$3:$A$5001,_xlfn.MAXIFS(BD!$A$3:$A$5001,BD!$B$3:$B$5001,H$245,BD!$A$3:$A$5001,"&gt;="&amp;$C$7,BD!$A$3:$A$5001,"&lt;="&amp;$B262,BD!$AA$3:$AA$5001,"&lt;&gt;"))))</f>
        <v/>
      </c>
      <c r="I262" s="43" t="str">
        <f>IF(OR($B262="",$A262&gt;$B$9,I$245=""),"",IF(COUNTIFS(BD!$B$3:$B$5001,I$245,BD!$A$3:$A$5001,"&gt;="&amp;$C$7,BD!$A$3:$A$5001,"&lt;="&amp;$B262,BD!$AA$3:$AA$5001,"&lt;&gt;")=0,"",SUMIFS(BD!$AA$3:$AA$5001,BD!$B$3:$B$5001,I$245,BD!$A$3:$A$5001,_xlfn.MAXIFS(BD!$A$3:$A$5001,BD!$B$3:$B$5001,I$245,BD!$A$3:$A$5001,"&gt;="&amp;$C$7,BD!$A$3:$A$5001,"&lt;="&amp;$B262,BD!$AA$3:$AA$5001,"&lt;&gt;"))))</f>
        <v/>
      </c>
      <c r="J262" s="43" t="str">
        <f>IF(OR($B262="",$A262&gt;$B$9,J$245=""),"",IF(COUNTIFS(BD!$B$3:$B$5001,J$245,BD!$A$3:$A$5001,"&gt;="&amp;$C$7,BD!$A$3:$A$5001,"&lt;="&amp;$B262,BD!$AA$3:$AA$5001,"&lt;&gt;")=0,"",SUMIFS(BD!$AA$3:$AA$5001,BD!$B$3:$B$5001,J$245,BD!$A$3:$A$5001,_xlfn.MAXIFS(BD!$A$3:$A$5001,BD!$B$3:$B$5001,J$245,BD!$A$3:$A$5001,"&gt;="&amp;$C$7,BD!$A$3:$A$5001,"&lt;="&amp;$B262,BD!$AA$3:$AA$5001,"&lt;&gt;"))))</f>
        <v/>
      </c>
      <c r="K262" s="43" t="str">
        <f>IF(OR($B262="",$A262&gt;$B$9,K$245=""),"",IF(COUNTIFS(BD!$B$3:$B$5001,K$245,BD!$A$3:$A$5001,"&gt;="&amp;$C$7,BD!$A$3:$A$5001,"&lt;="&amp;$B262,BD!$AA$3:$AA$5001,"&lt;&gt;")=0,"",SUMIFS(BD!$AA$3:$AA$5001,BD!$B$3:$B$5001,K$245,BD!$A$3:$A$5001,_xlfn.MAXIFS(BD!$A$3:$A$5001,BD!$B$3:$B$5001,K$245,BD!$A$3:$A$5001,"&gt;="&amp;$C$7,BD!$A$3:$A$5001,"&lt;="&amp;$B262,BD!$AA$3:$AA$5001,"&lt;&gt;"))))</f>
        <v/>
      </c>
      <c r="L262" s="43" t="str">
        <f>IF(OR($B262="",$A262&gt;$B$9,L$245=""),"",IF(COUNTIFS(BD!$B$3:$B$5001,L$245,BD!$A$3:$A$5001,"&gt;="&amp;$C$7,BD!$A$3:$A$5001,"&lt;="&amp;$B262,BD!$AA$3:$AA$5001,"&lt;&gt;")=0,"",SUMIFS(BD!$AA$3:$AA$5001,BD!$B$3:$B$5001,L$245,BD!$A$3:$A$5001,_xlfn.MAXIFS(BD!$A$3:$A$5001,BD!$B$3:$B$5001,L$245,BD!$A$3:$A$5001,"&gt;="&amp;$C$7,BD!$A$3:$A$5001,"&lt;="&amp;$B262,BD!$AA$3:$AA$5001,"&lt;&gt;"))))</f>
        <v/>
      </c>
      <c r="M262" s="43" t="str">
        <f>IF(OR($B262="",$A262&gt;$B$9,M$245=""),"",IF(COUNTIFS(BD!$B$3:$B$5001,M$245,BD!$A$3:$A$5001,"&gt;="&amp;$C$7,BD!$A$3:$A$5001,"&lt;="&amp;$B262,BD!$AA$3:$AA$5001,"&lt;&gt;")=0,"",SUMIFS(BD!$AA$3:$AA$5001,BD!$B$3:$B$5001,M$245,BD!$A$3:$A$5001,_xlfn.MAXIFS(BD!$A$3:$A$5001,BD!$B$3:$B$5001,M$245,BD!$A$3:$A$5001,"&gt;="&amp;$C$7,BD!$A$3:$A$5001,"&lt;="&amp;$B262,BD!$AA$3:$AA$5001,"&lt;&gt;"))))</f>
        <v/>
      </c>
      <c r="N262" s="43" t="str">
        <f>IF(OR($B262="",$A262&gt;$B$9,N$245=""),"",IF(COUNTIFS(BD!$B$3:$B$5001,N$245,BD!$A$3:$A$5001,"&gt;="&amp;$C$7,BD!$A$3:$A$5001,"&lt;="&amp;$B262,BD!$AA$3:$AA$5001,"&lt;&gt;")=0,"",SUMIFS(BD!$AA$3:$AA$5001,BD!$B$3:$B$5001,N$245,BD!$A$3:$A$5001,_xlfn.MAXIFS(BD!$A$3:$A$5001,BD!$B$3:$B$5001,N$245,BD!$A$3:$A$5001,"&gt;="&amp;$C$7,BD!$A$3:$A$5001,"&lt;="&amp;$B262,BD!$AA$3:$AA$5001,"&lt;&gt;"))))</f>
        <v/>
      </c>
      <c r="O262" s="43" t="str">
        <f>IF(OR($B262="",$A262&gt;$B$9,O$245=""),"",IF(COUNTIFS(BD!$B$3:$B$5001,O$245,BD!$A$3:$A$5001,"&gt;="&amp;$C$7,BD!$A$3:$A$5001,"&lt;="&amp;$B262,BD!$AA$3:$AA$5001,"&lt;&gt;")=0,"",SUMIFS(BD!$AA$3:$AA$5001,BD!$B$3:$B$5001,O$245,BD!$A$3:$A$5001,_xlfn.MAXIFS(BD!$A$3:$A$5001,BD!$B$3:$B$5001,O$245,BD!$A$3:$A$5001,"&gt;="&amp;$C$7,BD!$A$3:$A$5001,"&lt;="&amp;$B262,BD!$AA$3:$AA$5001,"&lt;&gt;"))))</f>
        <v/>
      </c>
      <c r="P262" s="43" t="str">
        <f>IF(OR($B262="",$A262&gt;$B$9,P$245=""),"",IF(COUNTIFS(BD!$B$3:$B$5001,P$245,BD!$A$3:$A$5001,"&gt;="&amp;$C$7,BD!$A$3:$A$5001,"&lt;="&amp;$B262,BD!$AA$3:$AA$5001,"&lt;&gt;")=0,"",SUMIFS(BD!$AA$3:$AA$5001,BD!$B$3:$B$5001,P$245,BD!$A$3:$A$5001,_xlfn.MAXIFS(BD!$A$3:$A$5001,BD!$B$3:$B$5001,P$245,BD!$A$3:$A$5001,"&gt;="&amp;$C$7,BD!$A$3:$A$5001,"&lt;="&amp;$B262,BD!$AA$3:$AA$5001,"&lt;&gt;"))))</f>
        <v/>
      </c>
      <c r="Q262" s="43" t="str">
        <f>IF(OR($B262="",$A262&gt;$B$9,Q$245=""),"",IF(COUNTIFS(BD!$B$3:$B$5001,Q$245,BD!$A$3:$A$5001,"&gt;="&amp;$C$7,BD!$A$3:$A$5001,"&lt;="&amp;$B262,BD!$AA$3:$AA$5001,"&lt;&gt;")=0,"",SUMIFS(BD!$AA$3:$AA$5001,BD!$B$3:$B$5001,Q$245,BD!$A$3:$A$5001,_xlfn.MAXIFS(BD!$A$3:$A$5001,BD!$B$3:$B$5001,Q$245,BD!$A$3:$A$5001,"&gt;="&amp;$C$7,BD!$A$3:$A$5001,"&lt;="&amp;$B262,BD!$AA$3:$AA$5001,"&lt;&gt;"))))</f>
        <v/>
      </c>
      <c r="R262" s="43" t="str">
        <f>IF(OR($B262="",$A262&gt;$B$9,R$245=""),"",IF(COUNTIFS(BD!$B$3:$B$5001,R$245,BD!$A$3:$A$5001,"&gt;="&amp;$C$7,BD!$A$3:$A$5001,"&lt;="&amp;$B262,BD!$AA$3:$AA$5001,"&lt;&gt;")=0,"",SUMIFS(BD!$AA$3:$AA$5001,BD!$B$3:$B$5001,R$245,BD!$A$3:$A$5001,_xlfn.MAXIFS(BD!$A$3:$A$5001,BD!$B$3:$B$5001,R$245,BD!$A$3:$A$5001,"&gt;="&amp;$C$7,BD!$A$3:$A$5001,"&lt;="&amp;$B262,BD!$AA$3:$AA$5001,"&lt;&gt;"))))</f>
        <v/>
      </c>
      <c r="S262" s="43" t="str">
        <f>IF(OR($B262="",$A262&gt;$B$9,S$245=""),"",IF(COUNTIFS(BD!$B$3:$B$5001,S$245,BD!$A$3:$A$5001,"&gt;="&amp;$C$7,BD!$A$3:$A$5001,"&lt;="&amp;$B262,BD!$AA$3:$AA$5001,"&lt;&gt;")=0,"",SUMIFS(BD!$AA$3:$AA$5001,BD!$B$3:$B$5001,S$245,BD!$A$3:$A$5001,_xlfn.MAXIFS(BD!$A$3:$A$5001,BD!$B$3:$B$5001,S$245,BD!$A$3:$A$5001,"&gt;="&amp;$C$7,BD!$A$3:$A$5001,"&lt;="&amp;$B262,BD!$AA$3:$AA$5001,"&lt;&gt;"))))</f>
        <v/>
      </c>
      <c r="T262" s="43" t="str">
        <f>IF(OR($B262="",$A262&gt;$B$9,T$245=""),"",IF(COUNTIFS(BD!$B$3:$B$5001,T$245,BD!$A$3:$A$5001,"&gt;="&amp;$C$7,BD!$A$3:$A$5001,"&lt;="&amp;$B262,BD!$AA$3:$AA$5001,"&lt;&gt;")=0,"",SUMIFS(BD!$AA$3:$AA$5001,BD!$B$3:$B$5001,T$245,BD!$A$3:$A$5001,_xlfn.MAXIFS(BD!$A$3:$A$5001,BD!$B$3:$B$5001,T$245,BD!$A$3:$A$5001,"&gt;="&amp;$C$7,BD!$A$3:$A$5001,"&lt;="&amp;$B262,BD!$AA$3:$AA$5001,"&lt;&gt;"))))</f>
        <v/>
      </c>
      <c r="U262" s="43" t="str">
        <f>IF(OR($B262="",$A262&gt;$B$9,U$245=""),"",IF(COUNTIFS(BD!$B$3:$B$5001,U$245,BD!$A$3:$A$5001,"&gt;="&amp;$C$7,BD!$A$3:$A$5001,"&lt;="&amp;$B262,BD!$AA$3:$AA$5001,"&lt;&gt;")=0,"",SUMIFS(BD!$AA$3:$AA$5001,BD!$B$3:$B$5001,U$245,BD!$A$3:$A$5001,_xlfn.MAXIFS(BD!$A$3:$A$5001,BD!$B$3:$B$5001,U$245,BD!$A$3:$A$5001,"&gt;="&amp;$C$7,BD!$A$3:$A$5001,"&lt;="&amp;$B262,BD!$AA$3:$AA$5001,"&lt;&gt;"))))</f>
        <v/>
      </c>
      <c r="V262" s="43" t="str">
        <f>IF(OR($B262="",$A262&gt;$B$9,V$245=""),"",IF(COUNTIFS(BD!$B$3:$B$5001,V$245,BD!$A$3:$A$5001,"&gt;="&amp;$C$7,BD!$A$3:$A$5001,"&lt;="&amp;$B262,BD!$AA$3:$AA$5001,"&lt;&gt;")=0,"",SUMIFS(BD!$AA$3:$AA$5001,BD!$B$3:$B$5001,V$245,BD!$A$3:$A$5001,_xlfn.MAXIFS(BD!$A$3:$A$5001,BD!$B$3:$B$5001,V$245,BD!$A$3:$A$5001,"&gt;="&amp;$C$7,BD!$A$3:$A$5001,"&lt;="&amp;$B262,BD!$AA$3:$AA$5001,"&lt;&gt;"))))</f>
        <v/>
      </c>
    </row>
    <row r="263">
      <c r="A263" s="38">
        <v>18</v>
      </c>
      <c r="B263" s="42">
        <f>$B$29</f>
        <v>46313</v>
      </c>
      <c r="C263" s="43" t="str">
        <f>IF(OR($B263="",$A263&gt;$B$9,C$245=""),"",IF(COUNTIFS(BD!$B$3:$B$5001,C$245,BD!$A$3:$A$5001,"&gt;="&amp;$C$7,BD!$A$3:$A$5001,"&lt;="&amp;$B263,BD!$AA$3:$AA$5001,"&lt;&gt;")=0,"",SUMIFS(BD!$AA$3:$AA$5001,BD!$B$3:$B$5001,C$245,BD!$A$3:$A$5001,_xlfn.MAXIFS(BD!$A$3:$A$5001,BD!$B$3:$B$5001,C$245,BD!$A$3:$A$5001,"&gt;="&amp;$C$7,BD!$A$3:$A$5001,"&lt;="&amp;$B263,BD!$AA$3:$AA$5001,"&lt;&gt;"))))</f>
        <v/>
      </c>
      <c r="D263" s="43" t="str">
        <f>IF(OR($B263="",$A263&gt;$B$9,D$245=""),"",IF(COUNTIFS(BD!$B$3:$B$5001,D$245,BD!$A$3:$A$5001,"&gt;="&amp;$C$7,BD!$A$3:$A$5001,"&lt;="&amp;$B263,BD!$AA$3:$AA$5001,"&lt;&gt;")=0,"",SUMIFS(BD!$AA$3:$AA$5001,BD!$B$3:$B$5001,D$245,BD!$A$3:$A$5001,_xlfn.MAXIFS(BD!$A$3:$A$5001,BD!$B$3:$B$5001,D$245,BD!$A$3:$A$5001,"&gt;="&amp;$C$7,BD!$A$3:$A$5001,"&lt;="&amp;$B263,BD!$AA$3:$AA$5001,"&lt;&gt;"))))</f>
        <v/>
      </c>
      <c r="E263" s="43" t="str">
        <f>IF(OR($B263="",$A263&gt;$B$9,E$245=""),"",IF(COUNTIFS(BD!$B$3:$B$5001,E$245,BD!$A$3:$A$5001,"&gt;="&amp;$C$7,BD!$A$3:$A$5001,"&lt;="&amp;$B263,BD!$AA$3:$AA$5001,"&lt;&gt;")=0,"",SUMIFS(BD!$AA$3:$AA$5001,BD!$B$3:$B$5001,E$245,BD!$A$3:$A$5001,_xlfn.MAXIFS(BD!$A$3:$A$5001,BD!$B$3:$B$5001,E$245,BD!$A$3:$A$5001,"&gt;="&amp;$C$7,BD!$A$3:$A$5001,"&lt;="&amp;$B263,BD!$AA$3:$AA$5001,"&lt;&gt;"))))</f>
        <v/>
      </c>
      <c r="F263" s="43" t="str">
        <f>IF(OR($B263="",$A263&gt;$B$9,F$245=""),"",IF(COUNTIFS(BD!$B$3:$B$5001,F$245,BD!$A$3:$A$5001,"&gt;="&amp;$C$7,BD!$A$3:$A$5001,"&lt;="&amp;$B263,BD!$AA$3:$AA$5001,"&lt;&gt;")=0,"",SUMIFS(BD!$AA$3:$AA$5001,BD!$B$3:$B$5001,F$245,BD!$A$3:$A$5001,_xlfn.MAXIFS(BD!$A$3:$A$5001,BD!$B$3:$B$5001,F$245,BD!$A$3:$A$5001,"&gt;="&amp;$C$7,BD!$A$3:$A$5001,"&lt;="&amp;$B263,BD!$AA$3:$AA$5001,"&lt;&gt;"))))</f>
        <v/>
      </c>
      <c r="G263" s="43" t="str">
        <f>IF(OR($B263="",$A263&gt;$B$9,G$245=""),"",IF(COUNTIFS(BD!$B$3:$B$5001,G$245,BD!$A$3:$A$5001,"&gt;="&amp;$C$7,BD!$A$3:$A$5001,"&lt;="&amp;$B263,BD!$AA$3:$AA$5001,"&lt;&gt;")=0,"",SUMIFS(BD!$AA$3:$AA$5001,BD!$B$3:$B$5001,G$245,BD!$A$3:$A$5001,_xlfn.MAXIFS(BD!$A$3:$A$5001,BD!$B$3:$B$5001,G$245,BD!$A$3:$A$5001,"&gt;="&amp;$C$7,BD!$A$3:$A$5001,"&lt;="&amp;$B263,BD!$AA$3:$AA$5001,"&lt;&gt;"))))</f>
        <v/>
      </c>
      <c r="H263" s="43" t="str">
        <f>IF(OR($B263="",$A263&gt;$B$9,H$245=""),"",IF(COUNTIFS(BD!$B$3:$B$5001,H$245,BD!$A$3:$A$5001,"&gt;="&amp;$C$7,BD!$A$3:$A$5001,"&lt;="&amp;$B263,BD!$AA$3:$AA$5001,"&lt;&gt;")=0,"",SUMIFS(BD!$AA$3:$AA$5001,BD!$B$3:$B$5001,H$245,BD!$A$3:$A$5001,_xlfn.MAXIFS(BD!$A$3:$A$5001,BD!$B$3:$B$5001,H$245,BD!$A$3:$A$5001,"&gt;="&amp;$C$7,BD!$A$3:$A$5001,"&lt;="&amp;$B263,BD!$AA$3:$AA$5001,"&lt;&gt;"))))</f>
        <v/>
      </c>
      <c r="I263" s="43" t="str">
        <f>IF(OR($B263="",$A263&gt;$B$9,I$245=""),"",IF(COUNTIFS(BD!$B$3:$B$5001,I$245,BD!$A$3:$A$5001,"&gt;="&amp;$C$7,BD!$A$3:$A$5001,"&lt;="&amp;$B263,BD!$AA$3:$AA$5001,"&lt;&gt;")=0,"",SUMIFS(BD!$AA$3:$AA$5001,BD!$B$3:$B$5001,I$245,BD!$A$3:$A$5001,_xlfn.MAXIFS(BD!$A$3:$A$5001,BD!$B$3:$B$5001,I$245,BD!$A$3:$A$5001,"&gt;="&amp;$C$7,BD!$A$3:$A$5001,"&lt;="&amp;$B263,BD!$AA$3:$AA$5001,"&lt;&gt;"))))</f>
        <v/>
      </c>
      <c r="J263" s="43" t="str">
        <f>IF(OR($B263="",$A263&gt;$B$9,J$245=""),"",IF(COUNTIFS(BD!$B$3:$B$5001,J$245,BD!$A$3:$A$5001,"&gt;="&amp;$C$7,BD!$A$3:$A$5001,"&lt;="&amp;$B263,BD!$AA$3:$AA$5001,"&lt;&gt;")=0,"",SUMIFS(BD!$AA$3:$AA$5001,BD!$B$3:$B$5001,J$245,BD!$A$3:$A$5001,_xlfn.MAXIFS(BD!$A$3:$A$5001,BD!$B$3:$B$5001,J$245,BD!$A$3:$A$5001,"&gt;="&amp;$C$7,BD!$A$3:$A$5001,"&lt;="&amp;$B263,BD!$AA$3:$AA$5001,"&lt;&gt;"))))</f>
        <v/>
      </c>
      <c r="K263" s="43" t="str">
        <f>IF(OR($B263="",$A263&gt;$B$9,K$245=""),"",IF(COUNTIFS(BD!$B$3:$B$5001,K$245,BD!$A$3:$A$5001,"&gt;="&amp;$C$7,BD!$A$3:$A$5001,"&lt;="&amp;$B263,BD!$AA$3:$AA$5001,"&lt;&gt;")=0,"",SUMIFS(BD!$AA$3:$AA$5001,BD!$B$3:$B$5001,K$245,BD!$A$3:$A$5001,_xlfn.MAXIFS(BD!$A$3:$A$5001,BD!$B$3:$B$5001,K$245,BD!$A$3:$A$5001,"&gt;="&amp;$C$7,BD!$A$3:$A$5001,"&lt;="&amp;$B263,BD!$AA$3:$AA$5001,"&lt;&gt;"))))</f>
        <v/>
      </c>
      <c r="L263" s="43" t="str">
        <f>IF(OR($B263="",$A263&gt;$B$9,L$245=""),"",IF(COUNTIFS(BD!$B$3:$B$5001,L$245,BD!$A$3:$A$5001,"&gt;="&amp;$C$7,BD!$A$3:$A$5001,"&lt;="&amp;$B263,BD!$AA$3:$AA$5001,"&lt;&gt;")=0,"",SUMIFS(BD!$AA$3:$AA$5001,BD!$B$3:$B$5001,L$245,BD!$A$3:$A$5001,_xlfn.MAXIFS(BD!$A$3:$A$5001,BD!$B$3:$B$5001,L$245,BD!$A$3:$A$5001,"&gt;="&amp;$C$7,BD!$A$3:$A$5001,"&lt;="&amp;$B263,BD!$AA$3:$AA$5001,"&lt;&gt;"))))</f>
        <v/>
      </c>
      <c r="M263" s="43" t="str">
        <f>IF(OR($B263="",$A263&gt;$B$9,M$245=""),"",IF(COUNTIFS(BD!$B$3:$B$5001,M$245,BD!$A$3:$A$5001,"&gt;="&amp;$C$7,BD!$A$3:$A$5001,"&lt;="&amp;$B263,BD!$AA$3:$AA$5001,"&lt;&gt;")=0,"",SUMIFS(BD!$AA$3:$AA$5001,BD!$B$3:$B$5001,M$245,BD!$A$3:$A$5001,_xlfn.MAXIFS(BD!$A$3:$A$5001,BD!$B$3:$B$5001,M$245,BD!$A$3:$A$5001,"&gt;="&amp;$C$7,BD!$A$3:$A$5001,"&lt;="&amp;$B263,BD!$AA$3:$AA$5001,"&lt;&gt;"))))</f>
        <v/>
      </c>
      <c r="N263" s="43" t="str">
        <f>IF(OR($B263="",$A263&gt;$B$9,N$245=""),"",IF(COUNTIFS(BD!$B$3:$B$5001,N$245,BD!$A$3:$A$5001,"&gt;="&amp;$C$7,BD!$A$3:$A$5001,"&lt;="&amp;$B263,BD!$AA$3:$AA$5001,"&lt;&gt;")=0,"",SUMIFS(BD!$AA$3:$AA$5001,BD!$B$3:$B$5001,N$245,BD!$A$3:$A$5001,_xlfn.MAXIFS(BD!$A$3:$A$5001,BD!$B$3:$B$5001,N$245,BD!$A$3:$A$5001,"&gt;="&amp;$C$7,BD!$A$3:$A$5001,"&lt;="&amp;$B263,BD!$AA$3:$AA$5001,"&lt;&gt;"))))</f>
        <v/>
      </c>
      <c r="O263" s="43" t="str">
        <f>IF(OR($B263="",$A263&gt;$B$9,O$245=""),"",IF(COUNTIFS(BD!$B$3:$B$5001,O$245,BD!$A$3:$A$5001,"&gt;="&amp;$C$7,BD!$A$3:$A$5001,"&lt;="&amp;$B263,BD!$AA$3:$AA$5001,"&lt;&gt;")=0,"",SUMIFS(BD!$AA$3:$AA$5001,BD!$B$3:$B$5001,O$245,BD!$A$3:$A$5001,_xlfn.MAXIFS(BD!$A$3:$A$5001,BD!$B$3:$B$5001,O$245,BD!$A$3:$A$5001,"&gt;="&amp;$C$7,BD!$A$3:$A$5001,"&lt;="&amp;$B263,BD!$AA$3:$AA$5001,"&lt;&gt;"))))</f>
        <v/>
      </c>
      <c r="P263" s="43" t="str">
        <f>IF(OR($B263="",$A263&gt;$B$9,P$245=""),"",IF(COUNTIFS(BD!$B$3:$B$5001,P$245,BD!$A$3:$A$5001,"&gt;="&amp;$C$7,BD!$A$3:$A$5001,"&lt;="&amp;$B263,BD!$AA$3:$AA$5001,"&lt;&gt;")=0,"",SUMIFS(BD!$AA$3:$AA$5001,BD!$B$3:$B$5001,P$245,BD!$A$3:$A$5001,_xlfn.MAXIFS(BD!$A$3:$A$5001,BD!$B$3:$B$5001,P$245,BD!$A$3:$A$5001,"&gt;="&amp;$C$7,BD!$A$3:$A$5001,"&lt;="&amp;$B263,BD!$AA$3:$AA$5001,"&lt;&gt;"))))</f>
        <v/>
      </c>
      <c r="Q263" s="43" t="str">
        <f>IF(OR($B263="",$A263&gt;$B$9,Q$245=""),"",IF(COUNTIFS(BD!$B$3:$B$5001,Q$245,BD!$A$3:$A$5001,"&gt;="&amp;$C$7,BD!$A$3:$A$5001,"&lt;="&amp;$B263,BD!$AA$3:$AA$5001,"&lt;&gt;")=0,"",SUMIFS(BD!$AA$3:$AA$5001,BD!$B$3:$B$5001,Q$245,BD!$A$3:$A$5001,_xlfn.MAXIFS(BD!$A$3:$A$5001,BD!$B$3:$B$5001,Q$245,BD!$A$3:$A$5001,"&gt;="&amp;$C$7,BD!$A$3:$A$5001,"&lt;="&amp;$B263,BD!$AA$3:$AA$5001,"&lt;&gt;"))))</f>
        <v/>
      </c>
      <c r="R263" s="43" t="str">
        <f>IF(OR($B263="",$A263&gt;$B$9,R$245=""),"",IF(COUNTIFS(BD!$B$3:$B$5001,R$245,BD!$A$3:$A$5001,"&gt;="&amp;$C$7,BD!$A$3:$A$5001,"&lt;="&amp;$B263,BD!$AA$3:$AA$5001,"&lt;&gt;")=0,"",SUMIFS(BD!$AA$3:$AA$5001,BD!$B$3:$B$5001,R$245,BD!$A$3:$A$5001,_xlfn.MAXIFS(BD!$A$3:$A$5001,BD!$B$3:$B$5001,R$245,BD!$A$3:$A$5001,"&gt;="&amp;$C$7,BD!$A$3:$A$5001,"&lt;="&amp;$B263,BD!$AA$3:$AA$5001,"&lt;&gt;"))))</f>
        <v/>
      </c>
      <c r="S263" s="43" t="str">
        <f>IF(OR($B263="",$A263&gt;$B$9,S$245=""),"",IF(COUNTIFS(BD!$B$3:$B$5001,S$245,BD!$A$3:$A$5001,"&gt;="&amp;$C$7,BD!$A$3:$A$5001,"&lt;="&amp;$B263,BD!$AA$3:$AA$5001,"&lt;&gt;")=0,"",SUMIFS(BD!$AA$3:$AA$5001,BD!$B$3:$B$5001,S$245,BD!$A$3:$A$5001,_xlfn.MAXIFS(BD!$A$3:$A$5001,BD!$B$3:$B$5001,S$245,BD!$A$3:$A$5001,"&gt;="&amp;$C$7,BD!$A$3:$A$5001,"&lt;="&amp;$B263,BD!$AA$3:$AA$5001,"&lt;&gt;"))))</f>
        <v/>
      </c>
      <c r="T263" s="43" t="str">
        <f>IF(OR($B263="",$A263&gt;$B$9,T$245=""),"",IF(COUNTIFS(BD!$B$3:$B$5001,T$245,BD!$A$3:$A$5001,"&gt;="&amp;$C$7,BD!$A$3:$A$5001,"&lt;="&amp;$B263,BD!$AA$3:$AA$5001,"&lt;&gt;")=0,"",SUMIFS(BD!$AA$3:$AA$5001,BD!$B$3:$B$5001,T$245,BD!$A$3:$A$5001,_xlfn.MAXIFS(BD!$A$3:$A$5001,BD!$B$3:$B$5001,T$245,BD!$A$3:$A$5001,"&gt;="&amp;$C$7,BD!$A$3:$A$5001,"&lt;="&amp;$B263,BD!$AA$3:$AA$5001,"&lt;&gt;"))))</f>
        <v/>
      </c>
      <c r="U263" s="43" t="str">
        <f>IF(OR($B263="",$A263&gt;$B$9,U$245=""),"",IF(COUNTIFS(BD!$B$3:$B$5001,U$245,BD!$A$3:$A$5001,"&gt;="&amp;$C$7,BD!$A$3:$A$5001,"&lt;="&amp;$B263,BD!$AA$3:$AA$5001,"&lt;&gt;")=0,"",SUMIFS(BD!$AA$3:$AA$5001,BD!$B$3:$B$5001,U$245,BD!$A$3:$A$5001,_xlfn.MAXIFS(BD!$A$3:$A$5001,BD!$B$3:$B$5001,U$245,BD!$A$3:$A$5001,"&gt;="&amp;$C$7,BD!$A$3:$A$5001,"&lt;="&amp;$B263,BD!$AA$3:$AA$5001,"&lt;&gt;"))))</f>
        <v/>
      </c>
      <c r="V263" s="43" t="str">
        <f>IF(OR($B263="",$A263&gt;$B$9,V$245=""),"",IF(COUNTIFS(BD!$B$3:$B$5001,V$245,BD!$A$3:$A$5001,"&gt;="&amp;$C$7,BD!$A$3:$A$5001,"&lt;="&amp;$B263,BD!$AA$3:$AA$5001,"&lt;&gt;")=0,"",SUMIFS(BD!$AA$3:$AA$5001,BD!$B$3:$B$5001,V$245,BD!$A$3:$A$5001,_xlfn.MAXIFS(BD!$A$3:$A$5001,BD!$B$3:$B$5001,V$245,BD!$A$3:$A$5001,"&gt;="&amp;$C$7,BD!$A$3:$A$5001,"&lt;="&amp;$B263,BD!$AA$3:$AA$5001,"&lt;&gt;"))))</f>
        <v/>
      </c>
    </row>
    <row r="264">
      <c r="A264" s="38">
        <v>19</v>
      </c>
      <c r="B264" s="42">
        <f>$B$30</f>
        <v>46314</v>
      </c>
      <c r="C264" s="43" t="str">
        <f>IF(OR($B264="",$A264&gt;$B$9,C$245=""),"",IF(COUNTIFS(BD!$B$3:$B$5001,C$245,BD!$A$3:$A$5001,"&gt;="&amp;$C$7,BD!$A$3:$A$5001,"&lt;="&amp;$B264,BD!$AA$3:$AA$5001,"&lt;&gt;")=0,"",SUMIFS(BD!$AA$3:$AA$5001,BD!$B$3:$B$5001,C$245,BD!$A$3:$A$5001,_xlfn.MAXIFS(BD!$A$3:$A$5001,BD!$B$3:$B$5001,C$245,BD!$A$3:$A$5001,"&gt;="&amp;$C$7,BD!$A$3:$A$5001,"&lt;="&amp;$B264,BD!$AA$3:$AA$5001,"&lt;&gt;"))))</f>
        <v/>
      </c>
      <c r="D264" s="43" t="str">
        <f>IF(OR($B264="",$A264&gt;$B$9,D$245=""),"",IF(COUNTIFS(BD!$B$3:$B$5001,D$245,BD!$A$3:$A$5001,"&gt;="&amp;$C$7,BD!$A$3:$A$5001,"&lt;="&amp;$B264,BD!$AA$3:$AA$5001,"&lt;&gt;")=0,"",SUMIFS(BD!$AA$3:$AA$5001,BD!$B$3:$B$5001,D$245,BD!$A$3:$A$5001,_xlfn.MAXIFS(BD!$A$3:$A$5001,BD!$B$3:$B$5001,D$245,BD!$A$3:$A$5001,"&gt;="&amp;$C$7,BD!$A$3:$A$5001,"&lt;="&amp;$B264,BD!$AA$3:$AA$5001,"&lt;&gt;"))))</f>
        <v/>
      </c>
      <c r="E264" s="43" t="str">
        <f>IF(OR($B264="",$A264&gt;$B$9,E$245=""),"",IF(COUNTIFS(BD!$B$3:$B$5001,E$245,BD!$A$3:$A$5001,"&gt;="&amp;$C$7,BD!$A$3:$A$5001,"&lt;="&amp;$B264,BD!$AA$3:$AA$5001,"&lt;&gt;")=0,"",SUMIFS(BD!$AA$3:$AA$5001,BD!$B$3:$B$5001,E$245,BD!$A$3:$A$5001,_xlfn.MAXIFS(BD!$A$3:$A$5001,BD!$B$3:$B$5001,E$245,BD!$A$3:$A$5001,"&gt;="&amp;$C$7,BD!$A$3:$A$5001,"&lt;="&amp;$B264,BD!$AA$3:$AA$5001,"&lt;&gt;"))))</f>
        <v/>
      </c>
      <c r="F264" s="43" t="str">
        <f>IF(OR($B264="",$A264&gt;$B$9,F$245=""),"",IF(COUNTIFS(BD!$B$3:$B$5001,F$245,BD!$A$3:$A$5001,"&gt;="&amp;$C$7,BD!$A$3:$A$5001,"&lt;="&amp;$B264,BD!$AA$3:$AA$5001,"&lt;&gt;")=0,"",SUMIFS(BD!$AA$3:$AA$5001,BD!$B$3:$B$5001,F$245,BD!$A$3:$A$5001,_xlfn.MAXIFS(BD!$A$3:$A$5001,BD!$B$3:$B$5001,F$245,BD!$A$3:$A$5001,"&gt;="&amp;$C$7,BD!$A$3:$A$5001,"&lt;="&amp;$B264,BD!$AA$3:$AA$5001,"&lt;&gt;"))))</f>
        <v/>
      </c>
      <c r="G264" s="43" t="str">
        <f>IF(OR($B264="",$A264&gt;$B$9,G$245=""),"",IF(COUNTIFS(BD!$B$3:$B$5001,G$245,BD!$A$3:$A$5001,"&gt;="&amp;$C$7,BD!$A$3:$A$5001,"&lt;="&amp;$B264,BD!$AA$3:$AA$5001,"&lt;&gt;")=0,"",SUMIFS(BD!$AA$3:$AA$5001,BD!$B$3:$B$5001,G$245,BD!$A$3:$A$5001,_xlfn.MAXIFS(BD!$A$3:$A$5001,BD!$B$3:$B$5001,G$245,BD!$A$3:$A$5001,"&gt;="&amp;$C$7,BD!$A$3:$A$5001,"&lt;="&amp;$B264,BD!$AA$3:$AA$5001,"&lt;&gt;"))))</f>
        <v/>
      </c>
      <c r="H264" s="43" t="str">
        <f>IF(OR($B264="",$A264&gt;$B$9,H$245=""),"",IF(COUNTIFS(BD!$B$3:$B$5001,H$245,BD!$A$3:$A$5001,"&gt;="&amp;$C$7,BD!$A$3:$A$5001,"&lt;="&amp;$B264,BD!$AA$3:$AA$5001,"&lt;&gt;")=0,"",SUMIFS(BD!$AA$3:$AA$5001,BD!$B$3:$B$5001,H$245,BD!$A$3:$A$5001,_xlfn.MAXIFS(BD!$A$3:$A$5001,BD!$B$3:$B$5001,H$245,BD!$A$3:$A$5001,"&gt;="&amp;$C$7,BD!$A$3:$A$5001,"&lt;="&amp;$B264,BD!$AA$3:$AA$5001,"&lt;&gt;"))))</f>
        <v/>
      </c>
      <c r="I264" s="43" t="str">
        <f>IF(OR($B264="",$A264&gt;$B$9,I$245=""),"",IF(COUNTIFS(BD!$B$3:$B$5001,I$245,BD!$A$3:$A$5001,"&gt;="&amp;$C$7,BD!$A$3:$A$5001,"&lt;="&amp;$B264,BD!$AA$3:$AA$5001,"&lt;&gt;")=0,"",SUMIFS(BD!$AA$3:$AA$5001,BD!$B$3:$B$5001,I$245,BD!$A$3:$A$5001,_xlfn.MAXIFS(BD!$A$3:$A$5001,BD!$B$3:$B$5001,I$245,BD!$A$3:$A$5001,"&gt;="&amp;$C$7,BD!$A$3:$A$5001,"&lt;="&amp;$B264,BD!$AA$3:$AA$5001,"&lt;&gt;"))))</f>
        <v/>
      </c>
      <c r="J264" s="43" t="str">
        <f>IF(OR($B264="",$A264&gt;$B$9,J$245=""),"",IF(COUNTIFS(BD!$B$3:$B$5001,J$245,BD!$A$3:$A$5001,"&gt;="&amp;$C$7,BD!$A$3:$A$5001,"&lt;="&amp;$B264,BD!$AA$3:$AA$5001,"&lt;&gt;")=0,"",SUMIFS(BD!$AA$3:$AA$5001,BD!$B$3:$B$5001,J$245,BD!$A$3:$A$5001,_xlfn.MAXIFS(BD!$A$3:$A$5001,BD!$B$3:$B$5001,J$245,BD!$A$3:$A$5001,"&gt;="&amp;$C$7,BD!$A$3:$A$5001,"&lt;="&amp;$B264,BD!$AA$3:$AA$5001,"&lt;&gt;"))))</f>
        <v/>
      </c>
      <c r="K264" s="43" t="str">
        <f>IF(OR($B264="",$A264&gt;$B$9,K$245=""),"",IF(COUNTIFS(BD!$B$3:$B$5001,K$245,BD!$A$3:$A$5001,"&gt;="&amp;$C$7,BD!$A$3:$A$5001,"&lt;="&amp;$B264,BD!$AA$3:$AA$5001,"&lt;&gt;")=0,"",SUMIFS(BD!$AA$3:$AA$5001,BD!$B$3:$B$5001,K$245,BD!$A$3:$A$5001,_xlfn.MAXIFS(BD!$A$3:$A$5001,BD!$B$3:$B$5001,K$245,BD!$A$3:$A$5001,"&gt;="&amp;$C$7,BD!$A$3:$A$5001,"&lt;="&amp;$B264,BD!$AA$3:$AA$5001,"&lt;&gt;"))))</f>
        <v/>
      </c>
      <c r="L264" s="43" t="str">
        <f>IF(OR($B264="",$A264&gt;$B$9,L$245=""),"",IF(COUNTIFS(BD!$B$3:$B$5001,L$245,BD!$A$3:$A$5001,"&gt;="&amp;$C$7,BD!$A$3:$A$5001,"&lt;="&amp;$B264,BD!$AA$3:$AA$5001,"&lt;&gt;")=0,"",SUMIFS(BD!$AA$3:$AA$5001,BD!$B$3:$B$5001,L$245,BD!$A$3:$A$5001,_xlfn.MAXIFS(BD!$A$3:$A$5001,BD!$B$3:$B$5001,L$245,BD!$A$3:$A$5001,"&gt;="&amp;$C$7,BD!$A$3:$A$5001,"&lt;="&amp;$B264,BD!$AA$3:$AA$5001,"&lt;&gt;"))))</f>
        <v/>
      </c>
      <c r="M264" s="43" t="str">
        <f>IF(OR($B264="",$A264&gt;$B$9,M$245=""),"",IF(COUNTIFS(BD!$B$3:$B$5001,M$245,BD!$A$3:$A$5001,"&gt;="&amp;$C$7,BD!$A$3:$A$5001,"&lt;="&amp;$B264,BD!$AA$3:$AA$5001,"&lt;&gt;")=0,"",SUMIFS(BD!$AA$3:$AA$5001,BD!$B$3:$B$5001,M$245,BD!$A$3:$A$5001,_xlfn.MAXIFS(BD!$A$3:$A$5001,BD!$B$3:$B$5001,M$245,BD!$A$3:$A$5001,"&gt;="&amp;$C$7,BD!$A$3:$A$5001,"&lt;="&amp;$B264,BD!$AA$3:$AA$5001,"&lt;&gt;"))))</f>
        <v/>
      </c>
      <c r="N264" s="43" t="str">
        <f>IF(OR($B264="",$A264&gt;$B$9,N$245=""),"",IF(COUNTIFS(BD!$B$3:$B$5001,N$245,BD!$A$3:$A$5001,"&gt;="&amp;$C$7,BD!$A$3:$A$5001,"&lt;="&amp;$B264,BD!$AA$3:$AA$5001,"&lt;&gt;")=0,"",SUMIFS(BD!$AA$3:$AA$5001,BD!$B$3:$B$5001,N$245,BD!$A$3:$A$5001,_xlfn.MAXIFS(BD!$A$3:$A$5001,BD!$B$3:$B$5001,N$245,BD!$A$3:$A$5001,"&gt;="&amp;$C$7,BD!$A$3:$A$5001,"&lt;="&amp;$B264,BD!$AA$3:$AA$5001,"&lt;&gt;"))))</f>
        <v/>
      </c>
      <c r="O264" s="43" t="str">
        <f>IF(OR($B264="",$A264&gt;$B$9,O$245=""),"",IF(COUNTIFS(BD!$B$3:$B$5001,O$245,BD!$A$3:$A$5001,"&gt;="&amp;$C$7,BD!$A$3:$A$5001,"&lt;="&amp;$B264,BD!$AA$3:$AA$5001,"&lt;&gt;")=0,"",SUMIFS(BD!$AA$3:$AA$5001,BD!$B$3:$B$5001,O$245,BD!$A$3:$A$5001,_xlfn.MAXIFS(BD!$A$3:$A$5001,BD!$B$3:$B$5001,O$245,BD!$A$3:$A$5001,"&gt;="&amp;$C$7,BD!$A$3:$A$5001,"&lt;="&amp;$B264,BD!$AA$3:$AA$5001,"&lt;&gt;"))))</f>
        <v/>
      </c>
      <c r="P264" s="43" t="str">
        <f>IF(OR($B264="",$A264&gt;$B$9,P$245=""),"",IF(COUNTIFS(BD!$B$3:$B$5001,P$245,BD!$A$3:$A$5001,"&gt;="&amp;$C$7,BD!$A$3:$A$5001,"&lt;="&amp;$B264,BD!$AA$3:$AA$5001,"&lt;&gt;")=0,"",SUMIFS(BD!$AA$3:$AA$5001,BD!$B$3:$B$5001,P$245,BD!$A$3:$A$5001,_xlfn.MAXIFS(BD!$A$3:$A$5001,BD!$B$3:$B$5001,P$245,BD!$A$3:$A$5001,"&gt;="&amp;$C$7,BD!$A$3:$A$5001,"&lt;="&amp;$B264,BD!$AA$3:$AA$5001,"&lt;&gt;"))))</f>
        <v/>
      </c>
      <c r="Q264" s="43" t="str">
        <f>IF(OR($B264="",$A264&gt;$B$9,Q$245=""),"",IF(COUNTIFS(BD!$B$3:$B$5001,Q$245,BD!$A$3:$A$5001,"&gt;="&amp;$C$7,BD!$A$3:$A$5001,"&lt;="&amp;$B264,BD!$AA$3:$AA$5001,"&lt;&gt;")=0,"",SUMIFS(BD!$AA$3:$AA$5001,BD!$B$3:$B$5001,Q$245,BD!$A$3:$A$5001,_xlfn.MAXIFS(BD!$A$3:$A$5001,BD!$B$3:$B$5001,Q$245,BD!$A$3:$A$5001,"&gt;="&amp;$C$7,BD!$A$3:$A$5001,"&lt;="&amp;$B264,BD!$AA$3:$AA$5001,"&lt;&gt;"))))</f>
        <v/>
      </c>
      <c r="R264" s="43" t="str">
        <f>IF(OR($B264="",$A264&gt;$B$9,R$245=""),"",IF(COUNTIFS(BD!$B$3:$B$5001,R$245,BD!$A$3:$A$5001,"&gt;="&amp;$C$7,BD!$A$3:$A$5001,"&lt;="&amp;$B264,BD!$AA$3:$AA$5001,"&lt;&gt;")=0,"",SUMIFS(BD!$AA$3:$AA$5001,BD!$B$3:$B$5001,R$245,BD!$A$3:$A$5001,_xlfn.MAXIFS(BD!$A$3:$A$5001,BD!$B$3:$B$5001,R$245,BD!$A$3:$A$5001,"&gt;="&amp;$C$7,BD!$A$3:$A$5001,"&lt;="&amp;$B264,BD!$AA$3:$AA$5001,"&lt;&gt;"))))</f>
        <v/>
      </c>
      <c r="S264" s="43" t="str">
        <f>IF(OR($B264="",$A264&gt;$B$9,S$245=""),"",IF(COUNTIFS(BD!$B$3:$B$5001,S$245,BD!$A$3:$A$5001,"&gt;="&amp;$C$7,BD!$A$3:$A$5001,"&lt;="&amp;$B264,BD!$AA$3:$AA$5001,"&lt;&gt;")=0,"",SUMIFS(BD!$AA$3:$AA$5001,BD!$B$3:$B$5001,S$245,BD!$A$3:$A$5001,_xlfn.MAXIFS(BD!$A$3:$A$5001,BD!$B$3:$B$5001,S$245,BD!$A$3:$A$5001,"&gt;="&amp;$C$7,BD!$A$3:$A$5001,"&lt;="&amp;$B264,BD!$AA$3:$AA$5001,"&lt;&gt;"))))</f>
        <v/>
      </c>
      <c r="T264" s="43" t="str">
        <f>IF(OR($B264="",$A264&gt;$B$9,T$245=""),"",IF(COUNTIFS(BD!$B$3:$B$5001,T$245,BD!$A$3:$A$5001,"&gt;="&amp;$C$7,BD!$A$3:$A$5001,"&lt;="&amp;$B264,BD!$AA$3:$AA$5001,"&lt;&gt;")=0,"",SUMIFS(BD!$AA$3:$AA$5001,BD!$B$3:$B$5001,T$245,BD!$A$3:$A$5001,_xlfn.MAXIFS(BD!$A$3:$A$5001,BD!$B$3:$B$5001,T$245,BD!$A$3:$A$5001,"&gt;="&amp;$C$7,BD!$A$3:$A$5001,"&lt;="&amp;$B264,BD!$AA$3:$AA$5001,"&lt;&gt;"))))</f>
        <v/>
      </c>
      <c r="U264" s="43" t="str">
        <f>IF(OR($B264="",$A264&gt;$B$9,U$245=""),"",IF(COUNTIFS(BD!$B$3:$B$5001,U$245,BD!$A$3:$A$5001,"&gt;="&amp;$C$7,BD!$A$3:$A$5001,"&lt;="&amp;$B264,BD!$AA$3:$AA$5001,"&lt;&gt;")=0,"",SUMIFS(BD!$AA$3:$AA$5001,BD!$B$3:$B$5001,U$245,BD!$A$3:$A$5001,_xlfn.MAXIFS(BD!$A$3:$A$5001,BD!$B$3:$B$5001,U$245,BD!$A$3:$A$5001,"&gt;="&amp;$C$7,BD!$A$3:$A$5001,"&lt;="&amp;$B264,BD!$AA$3:$AA$5001,"&lt;&gt;"))))</f>
        <v/>
      </c>
      <c r="V264" s="43" t="str">
        <f>IF(OR($B264="",$A264&gt;$B$9,V$245=""),"",IF(COUNTIFS(BD!$B$3:$B$5001,V$245,BD!$A$3:$A$5001,"&gt;="&amp;$C$7,BD!$A$3:$A$5001,"&lt;="&amp;$B264,BD!$AA$3:$AA$5001,"&lt;&gt;")=0,"",SUMIFS(BD!$AA$3:$AA$5001,BD!$B$3:$B$5001,V$245,BD!$A$3:$A$5001,_xlfn.MAXIFS(BD!$A$3:$A$5001,BD!$B$3:$B$5001,V$245,BD!$A$3:$A$5001,"&gt;="&amp;$C$7,BD!$A$3:$A$5001,"&lt;="&amp;$B264,BD!$AA$3:$AA$5001,"&lt;&gt;"))))</f>
        <v/>
      </c>
    </row>
    <row r="265">
      <c r="A265" s="38">
        <v>20</v>
      </c>
      <c r="B265" s="42">
        <f>$B$31</f>
        <v>46315</v>
      </c>
      <c r="C265" s="43" t="str">
        <f>IF(OR($B265="",$A265&gt;$B$9,C$245=""),"",IF(COUNTIFS(BD!$B$3:$B$5001,C$245,BD!$A$3:$A$5001,"&gt;="&amp;$C$7,BD!$A$3:$A$5001,"&lt;="&amp;$B265,BD!$AA$3:$AA$5001,"&lt;&gt;")=0,"",SUMIFS(BD!$AA$3:$AA$5001,BD!$B$3:$B$5001,C$245,BD!$A$3:$A$5001,_xlfn.MAXIFS(BD!$A$3:$A$5001,BD!$B$3:$B$5001,C$245,BD!$A$3:$A$5001,"&gt;="&amp;$C$7,BD!$A$3:$A$5001,"&lt;="&amp;$B265,BD!$AA$3:$AA$5001,"&lt;&gt;"))))</f>
        <v/>
      </c>
      <c r="D265" s="43" t="str">
        <f>IF(OR($B265="",$A265&gt;$B$9,D$245=""),"",IF(COUNTIFS(BD!$B$3:$B$5001,D$245,BD!$A$3:$A$5001,"&gt;="&amp;$C$7,BD!$A$3:$A$5001,"&lt;="&amp;$B265,BD!$AA$3:$AA$5001,"&lt;&gt;")=0,"",SUMIFS(BD!$AA$3:$AA$5001,BD!$B$3:$B$5001,D$245,BD!$A$3:$A$5001,_xlfn.MAXIFS(BD!$A$3:$A$5001,BD!$B$3:$B$5001,D$245,BD!$A$3:$A$5001,"&gt;="&amp;$C$7,BD!$A$3:$A$5001,"&lt;="&amp;$B265,BD!$AA$3:$AA$5001,"&lt;&gt;"))))</f>
        <v/>
      </c>
      <c r="E265" s="43" t="str">
        <f>IF(OR($B265="",$A265&gt;$B$9,E$245=""),"",IF(COUNTIFS(BD!$B$3:$B$5001,E$245,BD!$A$3:$A$5001,"&gt;="&amp;$C$7,BD!$A$3:$A$5001,"&lt;="&amp;$B265,BD!$AA$3:$AA$5001,"&lt;&gt;")=0,"",SUMIFS(BD!$AA$3:$AA$5001,BD!$B$3:$B$5001,E$245,BD!$A$3:$A$5001,_xlfn.MAXIFS(BD!$A$3:$A$5001,BD!$B$3:$B$5001,E$245,BD!$A$3:$A$5001,"&gt;="&amp;$C$7,BD!$A$3:$A$5001,"&lt;="&amp;$B265,BD!$AA$3:$AA$5001,"&lt;&gt;"))))</f>
        <v/>
      </c>
      <c r="F265" s="43" t="str">
        <f>IF(OR($B265="",$A265&gt;$B$9,F$245=""),"",IF(COUNTIFS(BD!$B$3:$B$5001,F$245,BD!$A$3:$A$5001,"&gt;="&amp;$C$7,BD!$A$3:$A$5001,"&lt;="&amp;$B265,BD!$AA$3:$AA$5001,"&lt;&gt;")=0,"",SUMIFS(BD!$AA$3:$AA$5001,BD!$B$3:$B$5001,F$245,BD!$A$3:$A$5001,_xlfn.MAXIFS(BD!$A$3:$A$5001,BD!$B$3:$B$5001,F$245,BD!$A$3:$A$5001,"&gt;="&amp;$C$7,BD!$A$3:$A$5001,"&lt;="&amp;$B265,BD!$AA$3:$AA$5001,"&lt;&gt;"))))</f>
        <v/>
      </c>
      <c r="G265" s="43" t="str">
        <f>IF(OR($B265="",$A265&gt;$B$9,G$245=""),"",IF(COUNTIFS(BD!$B$3:$B$5001,G$245,BD!$A$3:$A$5001,"&gt;="&amp;$C$7,BD!$A$3:$A$5001,"&lt;="&amp;$B265,BD!$AA$3:$AA$5001,"&lt;&gt;")=0,"",SUMIFS(BD!$AA$3:$AA$5001,BD!$B$3:$B$5001,G$245,BD!$A$3:$A$5001,_xlfn.MAXIFS(BD!$A$3:$A$5001,BD!$B$3:$B$5001,G$245,BD!$A$3:$A$5001,"&gt;="&amp;$C$7,BD!$A$3:$A$5001,"&lt;="&amp;$B265,BD!$AA$3:$AA$5001,"&lt;&gt;"))))</f>
        <v/>
      </c>
      <c r="H265" s="43" t="str">
        <f>IF(OR($B265="",$A265&gt;$B$9,H$245=""),"",IF(COUNTIFS(BD!$B$3:$B$5001,H$245,BD!$A$3:$A$5001,"&gt;="&amp;$C$7,BD!$A$3:$A$5001,"&lt;="&amp;$B265,BD!$AA$3:$AA$5001,"&lt;&gt;")=0,"",SUMIFS(BD!$AA$3:$AA$5001,BD!$B$3:$B$5001,H$245,BD!$A$3:$A$5001,_xlfn.MAXIFS(BD!$A$3:$A$5001,BD!$B$3:$B$5001,H$245,BD!$A$3:$A$5001,"&gt;="&amp;$C$7,BD!$A$3:$A$5001,"&lt;="&amp;$B265,BD!$AA$3:$AA$5001,"&lt;&gt;"))))</f>
        <v/>
      </c>
      <c r="I265" s="43" t="str">
        <f>IF(OR($B265="",$A265&gt;$B$9,I$245=""),"",IF(COUNTIFS(BD!$B$3:$B$5001,I$245,BD!$A$3:$A$5001,"&gt;="&amp;$C$7,BD!$A$3:$A$5001,"&lt;="&amp;$B265,BD!$AA$3:$AA$5001,"&lt;&gt;")=0,"",SUMIFS(BD!$AA$3:$AA$5001,BD!$B$3:$B$5001,I$245,BD!$A$3:$A$5001,_xlfn.MAXIFS(BD!$A$3:$A$5001,BD!$B$3:$B$5001,I$245,BD!$A$3:$A$5001,"&gt;="&amp;$C$7,BD!$A$3:$A$5001,"&lt;="&amp;$B265,BD!$AA$3:$AA$5001,"&lt;&gt;"))))</f>
        <v/>
      </c>
      <c r="J265" s="43" t="str">
        <f>IF(OR($B265="",$A265&gt;$B$9,J$245=""),"",IF(COUNTIFS(BD!$B$3:$B$5001,J$245,BD!$A$3:$A$5001,"&gt;="&amp;$C$7,BD!$A$3:$A$5001,"&lt;="&amp;$B265,BD!$AA$3:$AA$5001,"&lt;&gt;")=0,"",SUMIFS(BD!$AA$3:$AA$5001,BD!$B$3:$B$5001,J$245,BD!$A$3:$A$5001,_xlfn.MAXIFS(BD!$A$3:$A$5001,BD!$B$3:$B$5001,J$245,BD!$A$3:$A$5001,"&gt;="&amp;$C$7,BD!$A$3:$A$5001,"&lt;="&amp;$B265,BD!$AA$3:$AA$5001,"&lt;&gt;"))))</f>
        <v/>
      </c>
      <c r="K265" s="43" t="str">
        <f>IF(OR($B265="",$A265&gt;$B$9,K$245=""),"",IF(COUNTIFS(BD!$B$3:$B$5001,K$245,BD!$A$3:$A$5001,"&gt;="&amp;$C$7,BD!$A$3:$A$5001,"&lt;="&amp;$B265,BD!$AA$3:$AA$5001,"&lt;&gt;")=0,"",SUMIFS(BD!$AA$3:$AA$5001,BD!$B$3:$B$5001,K$245,BD!$A$3:$A$5001,_xlfn.MAXIFS(BD!$A$3:$A$5001,BD!$B$3:$B$5001,K$245,BD!$A$3:$A$5001,"&gt;="&amp;$C$7,BD!$A$3:$A$5001,"&lt;="&amp;$B265,BD!$AA$3:$AA$5001,"&lt;&gt;"))))</f>
        <v/>
      </c>
      <c r="L265" s="43" t="str">
        <f>IF(OR($B265="",$A265&gt;$B$9,L$245=""),"",IF(COUNTIFS(BD!$B$3:$B$5001,L$245,BD!$A$3:$A$5001,"&gt;="&amp;$C$7,BD!$A$3:$A$5001,"&lt;="&amp;$B265,BD!$AA$3:$AA$5001,"&lt;&gt;")=0,"",SUMIFS(BD!$AA$3:$AA$5001,BD!$B$3:$B$5001,L$245,BD!$A$3:$A$5001,_xlfn.MAXIFS(BD!$A$3:$A$5001,BD!$B$3:$B$5001,L$245,BD!$A$3:$A$5001,"&gt;="&amp;$C$7,BD!$A$3:$A$5001,"&lt;="&amp;$B265,BD!$AA$3:$AA$5001,"&lt;&gt;"))))</f>
        <v/>
      </c>
      <c r="M265" s="43" t="str">
        <f>IF(OR($B265="",$A265&gt;$B$9,M$245=""),"",IF(COUNTIFS(BD!$B$3:$B$5001,M$245,BD!$A$3:$A$5001,"&gt;="&amp;$C$7,BD!$A$3:$A$5001,"&lt;="&amp;$B265,BD!$AA$3:$AA$5001,"&lt;&gt;")=0,"",SUMIFS(BD!$AA$3:$AA$5001,BD!$B$3:$B$5001,M$245,BD!$A$3:$A$5001,_xlfn.MAXIFS(BD!$A$3:$A$5001,BD!$B$3:$B$5001,M$245,BD!$A$3:$A$5001,"&gt;="&amp;$C$7,BD!$A$3:$A$5001,"&lt;="&amp;$B265,BD!$AA$3:$AA$5001,"&lt;&gt;"))))</f>
        <v/>
      </c>
      <c r="N265" s="43" t="str">
        <f>IF(OR($B265="",$A265&gt;$B$9,N$245=""),"",IF(COUNTIFS(BD!$B$3:$B$5001,N$245,BD!$A$3:$A$5001,"&gt;="&amp;$C$7,BD!$A$3:$A$5001,"&lt;="&amp;$B265,BD!$AA$3:$AA$5001,"&lt;&gt;")=0,"",SUMIFS(BD!$AA$3:$AA$5001,BD!$B$3:$B$5001,N$245,BD!$A$3:$A$5001,_xlfn.MAXIFS(BD!$A$3:$A$5001,BD!$B$3:$B$5001,N$245,BD!$A$3:$A$5001,"&gt;="&amp;$C$7,BD!$A$3:$A$5001,"&lt;="&amp;$B265,BD!$AA$3:$AA$5001,"&lt;&gt;"))))</f>
        <v/>
      </c>
      <c r="O265" s="43" t="str">
        <f>IF(OR($B265="",$A265&gt;$B$9,O$245=""),"",IF(COUNTIFS(BD!$B$3:$B$5001,O$245,BD!$A$3:$A$5001,"&gt;="&amp;$C$7,BD!$A$3:$A$5001,"&lt;="&amp;$B265,BD!$AA$3:$AA$5001,"&lt;&gt;")=0,"",SUMIFS(BD!$AA$3:$AA$5001,BD!$B$3:$B$5001,O$245,BD!$A$3:$A$5001,_xlfn.MAXIFS(BD!$A$3:$A$5001,BD!$B$3:$B$5001,O$245,BD!$A$3:$A$5001,"&gt;="&amp;$C$7,BD!$A$3:$A$5001,"&lt;="&amp;$B265,BD!$AA$3:$AA$5001,"&lt;&gt;"))))</f>
        <v/>
      </c>
      <c r="P265" s="43" t="str">
        <f>IF(OR($B265="",$A265&gt;$B$9,P$245=""),"",IF(COUNTIFS(BD!$B$3:$B$5001,P$245,BD!$A$3:$A$5001,"&gt;="&amp;$C$7,BD!$A$3:$A$5001,"&lt;="&amp;$B265,BD!$AA$3:$AA$5001,"&lt;&gt;")=0,"",SUMIFS(BD!$AA$3:$AA$5001,BD!$B$3:$B$5001,P$245,BD!$A$3:$A$5001,_xlfn.MAXIFS(BD!$A$3:$A$5001,BD!$B$3:$B$5001,P$245,BD!$A$3:$A$5001,"&gt;="&amp;$C$7,BD!$A$3:$A$5001,"&lt;="&amp;$B265,BD!$AA$3:$AA$5001,"&lt;&gt;"))))</f>
        <v/>
      </c>
      <c r="Q265" s="43" t="str">
        <f>IF(OR($B265="",$A265&gt;$B$9,Q$245=""),"",IF(COUNTIFS(BD!$B$3:$B$5001,Q$245,BD!$A$3:$A$5001,"&gt;="&amp;$C$7,BD!$A$3:$A$5001,"&lt;="&amp;$B265,BD!$AA$3:$AA$5001,"&lt;&gt;")=0,"",SUMIFS(BD!$AA$3:$AA$5001,BD!$B$3:$B$5001,Q$245,BD!$A$3:$A$5001,_xlfn.MAXIFS(BD!$A$3:$A$5001,BD!$B$3:$B$5001,Q$245,BD!$A$3:$A$5001,"&gt;="&amp;$C$7,BD!$A$3:$A$5001,"&lt;="&amp;$B265,BD!$AA$3:$AA$5001,"&lt;&gt;"))))</f>
        <v/>
      </c>
      <c r="R265" s="43" t="str">
        <f>IF(OR($B265="",$A265&gt;$B$9,R$245=""),"",IF(COUNTIFS(BD!$B$3:$B$5001,R$245,BD!$A$3:$A$5001,"&gt;="&amp;$C$7,BD!$A$3:$A$5001,"&lt;="&amp;$B265,BD!$AA$3:$AA$5001,"&lt;&gt;")=0,"",SUMIFS(BD!$AA$3:$AA$5001,BD!$B$3:$B$5001,R$245,BD!$A$3:$A$5001,_xlfn.MAXIFS(BD!$A$3:$A$5001,BD!$B$3:$B$5001,R$245,BD!$A$3:$A$5001,"&gt;="&amp;$C$7,BD!$A$3:$A$5001,"&lt;="&amp;$B265,BD!$AA$3:$AA$5001,"&lt;&gt;"))))</f>
        <v/>
      </c>
      <c r="S265" s="43" t="str">
        <f>IF(OR($B265="",$A265&gt;$B$9,S$245=""),"",IF(COUNTIFS(BD!$B$3:$B$5001,S$245,BD!$A$3:$A$5001,"&gt;="&amp;$C$7,BD!$A$3:$A$5001,"&lt;="&amp;$B265,BD!$AA$3:$AA$5001,"&lt;&gt;")=0,"",SUMIFS(BD!$AA$3:$AA$5001,BD!$B$3:$B$5001,S$245,BD!$A$3:$A$5001,_xlfn.MAXIFS(BD!$A$3:$A$5001,BD!$B$3:$B$5001,S$245,BD!$A$3:$A$5001,"&gt;="&amp;$C$7,BD!$A$3:$A$5001,"&lt;="&amp;$B265,BD!$AA$3:$AA$5001,"&lt;&gt;"))))</f>
        <v/>
      </c>
      <c r="T265" s="43" t="str">
        <f>IF(OR($B265="",$A265&gt;$B$9,T$245=""),"",IF(COUNTIFS(BD!$B$3:$B$5001,T$245,BD!$A$3:$A$5001,"&gt;="&amp;$C$7,BD!$A$3:$A$5001,"&lt;="&amp;$B265,BD!$AA$3:$AA$5001,"&lt;&gt;")=0,"",SUMIFS(BD!$AA$3:$AA$5001,BD!$B$3:$B$5001,T$245,BD!$A$3:$A$5001,_xlfn.MAXIFS(BD!$A$3:$A$5001,BD!$B$3:$B$5001,T$245,BD!$A$3:$A$5001,"&gt;="&amp;$C$7,BD!$A$3:$A$5001,"&lt;="&amp;$B265,BD!$AA$3:$AA$5001,"&lt;&gt;"))))</f>
        <v/>
      </c>
      <c r="U265" s="43" t="str">
        <f>IF(OR($B265="",$A265&gt;$B$9,U$245=""),"",IF(COUNTIFS(BD!$B$3:$B$5001,U$245,BD!$A$3:$A$5001,"&gt;="&amp;$C$7,BD!$A$3:$A$5001,"&lt;="&amp;$B265,BD!$AA$3:$AA$5001,"&lt;&gt;")=0,"",SUMIFS(BD!$AA$3:$AA$5001,BD!$B$3:$B$5001,U$245,BD!$A$3:$A$5001,_xlfn.MAXIFS(BD!$A$3:$A$5001,BD!$B$3:$B$5001,U$245,BD!$A$3:$A$5001,"&gt;="&amp;$C$7,BD!$A$3:$A$5001,"&lt;="&amp;$B265,BD!$AA$3:$AA$5001,"&lt;&gt;"))))</f>
        <v/>
      </c>
      <c r="V265" s="43" t="str">
        <f>IF(OR($B265="",$A265&gt;$B$9,V$245=""),"",IF(COUNTIFS(BD!$B$3:$B$5001,V$245,BD!$A$3:$A$5001,"&gt;="&amp;$C$7,BD!$A$3:$A$5001,"&lt;="&amp;$B265,BD!$AA$3:$AA$5001,"&lt;&gt;")=0,"",SUMIFS(BD!$AA$3:$AA$5001,BD!$B$3:$B$5001,V$245,BD!$A$3:$A$5001,_xlfn.MAXIFS(BD!$A$3:$A$5001,BD!$B$3:$B$5001,V$245,BD!$A$3:$A$5001,"&gt;="&amp;$C$7,BD!$A$3:$A$5001,"&lt;="&amp;$B265,BD!$AA$3:$AA$5001,"&lt;&gt;"))))</f>
        <v/>
      </c>
    </row>
    <row r="266">
      <c r="A266" s="38">
        <v>21</v>
      </c>
      <c r="B266" s="42">
        <f>$B$32</f>
        <v>46316</v>
      </c>
      <c r="C266" s="43" t="str">
        <f>IF(OR($B266="",$A266&gt;$B$9,C$245=""),"",IF(COUNTIFS(BD!$B$3:$B$5001,C$245,BD!$A$3:$A$5001,"&gt;="&amp;$C$7,BD!$A$3:$A$5001,"&lt;="&amp;$B266,BD!$AA$3:$AA$5001,"&lt;&gt;")=0,"",SUMIFS(BD!$AA$3:$AA$5001,BD!$B$3:$B$5001,C$245,BD!$A$3:$A$5001,_xlfn.MAXIFS(BD!$A$3:$A$5001,BD!$B$3:$B$5001,C$245,BD!$A$3:$A$5001,"&gt;="&amp;$C$7,BD!$A$3:$A$5001,"&lt;="&amp;$B266,BD!$AA$3:$AA$5001,"&lt;&gt;"))))</f>
        <v/>
      </c>
      <c r="D266" s="43" t="str">
        <f>IF(OR($B266="",$A266&gt;$B$9,D$245=""),"",IF(COUNTIFS(BD!$B$3:$B$5001,D$245,BD!$A$3:$A$5001,"&gt;="&amp;$C$7,BD!$A$3:$A$5001,"&lt;="&amp;$B266,BD!$AA$3:$AA$5001,"&lt;&gt;")=0,"",SUMIFS(BD!$AA$3:$AA$5001,BD!$B$3:$B$5001,D$245,BD!$A$3:$A$5001,_xlfn.MAXIFS(BD!$A$3:$A$5001,BD!$B$3:$B$5001,D$245,BD!$A$3:$A$5001,"&gt;="&amp;$C$7,BD!$A$3:$A$5001,"&lt;="&amp;$B266,BD!$AA$3:$AA$5001,"&lt;&gt;"))))</f>
        <v/>
      </c>
      <c r="E266" s="43" t="str">
        <f>IF(OR($B266="",$A266&gt;$B$9,E$245=""),"",IF(COUNTIFS(BD!$B$3:$B$5001,E$245,BD!$A$3:$A$5001,"&gt;="&amp;$C$7,BD!$A$3:$A$5001,"&lt;="&amp;$B266,BD!$AA$3:$AA$5001,"&lt;&gt;")=0,"",SUMIFS(BD!$AA$3:$AA$5001,BD!$B$3:$B$5001,E$245,BD!$A$3:$A$5001,_xlfn.MAXIFS(BD!$A$3:$A$5001,BD!$B$3:$B$5001,E$245,BD!$A$3:$A$5001,"&gt;="&amp;$C$7,BD!$A$3:$A$5001,"&lt;="&amp;$B266,BD!$AA$3:$AA$5001,"&lt;&gt;"))))</f>
        <v/>
      </c>
      <c r="F266" s="43" t="str">
        <f>IF(OR($B266="",$A266&gt;$B$9,F$245=""),"",IF(COUNTIFS(BD!$B$3:$B$5001,F$245,BD!$A$3:$A$5001,"&gt;="&amp;$C$7,BD!$A$3:$A$5001,"&lt;="&amp;$B266,BD!$AA$3:$AA$5001,"&lt;&gt;")=0,"",SUMIFS(BD!$AA$3:$AA$5001,BD!$B$3:$B$5001,F$245,BD!$A$3:$A$5001,_xlfn.MAXIFS(BD!$A$3:$A$5001,BD!$B$3:$B$5001,F$245,BD!$A$3:$A$5001,"&gt;="&amp;$C$7,BD!$A$3:$A$5001,"&lt;="&amp;$B266,BD!$AA$3:$AA$5001,"&lt;&gt;"))))</f>
        <v/>
      </c>
      <c r="G266" s="43" t="str">
        <f>IF(OR($B266="",$A266&gt;$B$9,G$245=""),"",IF(COUNTIFS(BD!$B$3:$B$5001,G$245,BD!$A$3:$A$5001,"&gt;="&amp;$C$7,BD!$A$3:$A$5001,"&lt;="&amp;$B266,BD!$AA$3:$AA$5001,"&lt;&gt;")=0,"",SUMIFS(BD!$AA$3:$AA$5001,BD!$B$3:$B$5001,G$245,BD!$A$3:$A$5001,_xlfn.MAXIFS(BD!$A$3:$A$5001,BD!$B$3:$B$5001,G$245,BD!$A$3:$A$5001,"&gt;="&amp;$C$7,BD!$A$3:$A$5001,"&lt;="&amp;$B266,BD!$AA$3:$AA$5001,"&lt;&gt;"))))</f>
        <v/>
      </c>
      <c r="H266" s="43" t="str">
        <f>IF(OR($B266="",$A266&gt;$B$9,H$245=""),"",IF(COUNTIFS(BD!$B$3:$B$5001,H$245,BD!$A$3:$A$5001,"&gt;="&amp;$C$7,BD!$A$3:$A$5001,"&lt;="&amp;$B266,BD!$AA$3:$AA$5001,"&lt;&gt;")=0,"",SUMIFS(BD!$AA$3:$AA$5001,BD!$B$3:$B$5001,H$245,BD!$A$3:$A$5001,_xlfn.MAXIFS(BD!$A$3:$A$5001,BD!$B$3:$B$5001,H$245,BD!$A$3:$A$5001,"&gt;="&amp;$C$7,BD!$A$3:$A$5001,"&lt;="&amp;$B266,BD!$AA$3:$AA$5001,"&lt;&gt;"))))</f>
        <v/>
      </c>
      <c r="I266" s="43" t="str">
        <f>IF(OR($B266="",$A266&gt;$B$9,I$245=""),"",IF(COUNTIFS(BD!$B$3:$B$5001,I$245,BD!$A$3:$A$5001,"&gt;="&amp;$C$7,BD!$A$3:$A$5001,"&lt;="&amp;$B266,BD!$AA$3:$AA$5001,"&lt;&gt;")=0,"",SUMIFS(BD!$AA$3:$AA$5001,BD!$B$3:$B$5001,I$245,BD!$A$3:$A$5001,_xlfn.MAXIFS(BD!$A$3:$A$5001,BD!$B$3:$B$5001,I$245,BD!$A$3:$A$5001,"&gt;="&amp;$C$7,BD!$A$3:$A$5001,"&lt;="&amp;$B266,BD!$AA$3:$AA$5001,"&lt;&gt;"))))</f>
        <v/>
      </c>
      <c r="J266" s="43" t="str">
        <f>IF(OR($B266="",$A266&gt;$B$9,J$245=""),"",IF(COUNTIFS(BD!$B$3:$B$5001,J$245,BD!$A$3:$A$5001,"&gt;="&amp;$C$7,BD!$A$3:$A$5001,"&lt;="&amp;$B266,BD!$AA$3:$AA$5001,"&lt;&gt;")=0,"",SUMIFS(BD!$AA$3:$AA$5001,BD!$B$3:$B$5001,J$245,BD!$A$3:$A$5001,_xlfn.MAXIFS(BD!$A$3:$A$5001,BD!$B$3:$B$5001,J$245,BD!$A$3:$A$5001,"&gt;="&amp;$C$7,BD!$A$3:$A$5001,"&lt;="&amp;$B266,BD!$AA$3:$AA$5001,"&lt;&gt;"))))</f>
        <v/>
      </c>
      <c r="K266" s="43" t="str">
        <f>IF(OR($B266="",$A266&gt;$B$9,K$245=""),"",IF(COUNTIFS(BD!$B$3:$B$5001,K$245,BD!$A$3:$A$5001,"&gt;="&amp;$C$7,BD!$A$3:$A$5001,"&lt;="&amp;$B266,BD!$AA$3:$AA$5001,"&lt;&gt;")=0,"",SUMIFS(BD!$AA$3:$AA$5001,BD!$B$3:$B$5001,K$245,BD!$A$3:$A$5001,_xlfn.MAXIFS(BD!$A$3:$A$5001,BD!$B$3:$B$5001,K$245,BD!$A$3:$A$5001,"&gt;="&amp;$C$7,BD!$A$3:$A$5001,"&lt;="&amp;$B266,BD!$AA$3:$AA$5001,"&lt;&gt;"))))</f>
        <v/>
      </c>
      <c r="L266" s="43" t="str">
        <f>IF(OR($B266="",$A266&gt;$B$9,L$245=""),"",IF(COUNTIFS(BD!$B$3:$B$5001,L$245,BD!$A$3:$A$5001,"&gt;="&amp;$C$7,BD!$A$3:$A$5001,"&lt;="&amp;$B266,BD!$AA$3:$AA$5001,"&lt;&gt;")=0,"",SUMIFS(BD!$AA$3:$AA$5001,BD!$B$3:$B$5001,L$245,BD!$A$3:$A$5001,_xlfn.MAXIFS(BD!$A$3:$A$5001,BD!$B$3:$B$5001,L$245,BD!$A$3:$A$5001,"&gt;="&amp;$C$7,BD!$A$3:$A$5001,"&lt;="&amp;$B266,BD!$AA$3:$AA$5001,"&lt;&gt;"))))</f>
        <v/>
      </c>
      <c r="M266" s="43" t="str">
        <f>IF(OR($B266="",$A266&gt;$B$9,M$245=""),"",IF(COUNTIFS(BD!$B$3:$B$5001,M$245,BD!$A$3:$A$5001,"&gt;="&amp;$C$7,BD!$A$3:$A$5001,"&lt;="&amp;$B266,BD!$AA$3:$AA$5001,"&lt;&gt;")=0,"",SUMIFS(BD!$AA$3:$AA$5001,BD!$B$3:$B$5001,M$245,BD!$A$3:$A$5001,_xlfn.MAXIFS(BD!$A$3:$A$5001,BD!$B$3:$B$5001,M$245,BD!$A$3:$A$5001,"&gt;="&amp;$C$7,BD!$A$3:$A$5001,"&lt;="&amp;$B266,BD!$AA$3:$AA$5001,"&lt;&gt;"))))</f>
        <v/>
      </c>
      <c r="N266" s="43" t="str">
        <f>IF(OR($B266="",$A266&gt;$B$9,N$245=""),"",IF(COUNTIFS(BD!$B$3:$B$5001,N$245,BD!$A$3:$A$5001,"&gt;="&amp;$C$7,BD!$A$3:$A$5001,"&lt;="&amp;$B266,BD!$AA$3:$AA$5001,"&lt;&gt;")=0,"",SUMIFS(BD!$AA$3:$AA$5001,BD!$B$3:$B$5001,N$245,BD!$A$3:$A$5001,_xlfn.MAXIFS(BD!$A$3:$A$5001,BD!$B$3:$B$5001,N$245,BD!$A$3:$A$5001,"&gt;="&amp;$C$7,BD!$A$3:$A$5001,"&lt;="&amp;$B266,BD!$AA$3:$AA$5001,"&lt;&gt;"))))</f>
        <v/>
      </c>
      <c r="O266" s="43" t="str">
        <f>IF(OR($B266="",$A266&gt;$B$9,O$245=""),"",IF(COUNTIFS(BD!$B$3:$B$5001,O$245,BD!$A$3:$A$5001,"&gt;="&amp;$C$7,BD!$A$3:$A$5001,"&lt;="&amp;$B266,BD!$AA$3:$AA$5001,"&lt;&gt;")=0,"",SUMIFS(BD!$AA$3:$AA$5001,BD!$B$3:$B$5001,O$245,BD!$A$3:$A$5001,_xlfn.MAXIFS(BD!$A$3:$A$5001,BD!$B$3:$B$5001,O$245,BD!$A$3:$A$5001,"&gt;="&amp;$C$7,BD!$A$3:$A$5001,"&lt;="&amp;$B266,BD!$AA$3:$AA$5001,"&lt;&gt;"))))</f>
        <v/>
      </c>
      <c r="P266" s="43" t="str">
        <f>IF(OR($B266="",$A266&gt;$B$9,P$245=""),"",IF(COUNTIFS(BD!$B$3:$B$5001,P$245,BD!$A$3:$A$5001,"&gt;="&amp;$C$7,BD!$A$3:$A$5001,"&lt;="&amp;$B266,BD!$AA$3:$AA$5001,"&lt;&gt;")=0,"",SUMIFS(BD!$AA$3:$AA$5001,BD!$B$3:$B$5001,P$245,BD!$A$3:$A$5001,_xlfn.MAXIFS(BD!$A$3:$A$5001,BD!$B$3:$B$5001,P$245,BD!$A$3:$A$5001,"&gt;="&amp;$C$7,BD!$A$3:$A$5001,"&lt;="&amp;$B266,BD!$AA$3:$AA$5001,"&lt;&gt;"))))</f>
        <v/>
      </c>
      <c r="Q266" s="43" t="str">
        <f>IF(OR($B266="",$A266&gt;$B$9,Q$245=""),"",IF(COUNTIFS(BD!$B$3:$B$5001,Q$245,BD!$A$3:$A$5001,"&gt;="&amp;$C$7,BD!$A$3:$A$5001,"&lt;="&amp;$B266,BD!$AA$3:$AA$5001,"&lt;&gt;")=0,"",SUMIFS(BD!$AA$3:$AA$5001,BD!$B$3:$B$5001,Q$245,BD!$A$3:$A$5001,_xlfn.MAXIFS(BD!$A$3:$A$5001,BD!$B$3:$B$5001,Q$245,BD!$A$3:$A$5001,"&gt;="&amp;$C$7,BD!$A$3:$A$5001,"&lt;="&amp;$B266,BD!$AA$3:$AA$5001,"&lt;&gt;"))))</f>
        <v/>
      </c>
      <c r="R266" s="43" t="str">
        <f>IF(OR($B266="",$A266&gt;$B$9,R$245=""),"",IF(COUNTIFS(BD!$B$3:$B$5001,R$245,BD!$A$3:$A$5001,"&gt;="&amp;$C$7,BD!$A$3:$A$5001,"&lt;="&amp;$B266,BD!$AA$3:$AA$5001,"&lt;&gt;")=0,"",SUMIFS(BD!$AA$3:$AA$5001,BD!$B$3:$B$5001,R$245,BD!$A$3:$A$5001,_xlfn.MAXIFS(BD!$A$3:$A$5001,BD!$B$3:$B$5001,R$245,BD!$A$3:$A$5001,"&gt;="&amp;$C$7,BD!$A$3:$A$5001,"&lt;="&amp;$B266,BD!$AA$3:$AA$5001,"&lt;&gt;"))))</f>
        <v/>
      </c>
      <c r="S266" s="43" t="str">
        <f>IF(OR($B266="",$A266&gt;$B$9,S$245=""),"",IF(COUNTIFS(BD!$B$3:$B$5001,S$245,BD!$A$3:$A$5001,"&gt;="&amp;$C$7,BD!$A$3:$A$5001,"&lt;="&amp;$B266,BD!$AA$3:$AA$5001,"&lt;&gt;")=0,"",SUMIFS(BD!$AA$3:$AA$5001,BD!$B$3:$B$5001,S$245,BD!$A$3:$A$5001,_xlfn.MAXIFS(BD!$A$3:$A$5001,BD!$B$3:$B$5001,S$245,BD!$A$3:$A$5001,"&gt;="&amp;$C$7,BD!$A$3:$A$5001,"&lt;="&amp;$B266,BD!$AA$3:$AA$5001,"&lt;&gt;"))))</f>
        <v/>
      </c>
      <c r="T266" s="43" t="str">
        <f>IF(OR($B266="",$A266&gt;$B$9,T$245=""),"",IF(COUNTIFS(BD!$B$3:$B$5001,T$245,BD!$A$3:$A$5001,"&gt;="&amp;$C$7,BD!$A$3:$A$5001,"&lt;="&amp;$B266,BD!$AA$3:$AA$5001,"&lt;&gt;")=0,"",SUMIFS(BD!$AA$3:$AA$5001,BD!$B$3:$B$5001,T$245,BD!$A$3:$A$5001,_xlfn.MAXIFS(BD!$A$3:$A$5001,BD!$B$3:$B$5001,T$245,BD!$A$3:$A$5001,"&gt;="&amp;$C$7,BD!$A$3:$A$5001,"&lt;="&amp;$B266,BD!$AA$3:$AA$5001,"&lt;&gt;"))))</f>
        <v/>
      </c>
      <c r="U266" s="43" t="str">
        <f>IF(OR($B266="",$A266&gt;$B$9,U$245=""),"",IF(COUNTIFS(BD!$B$3:$B$5001,U$245,BD!$A$3:$A$5001,"&gt;="&amp;$C$7,BD!$A$3:$A$5001,"&lt;="&amp;$B266,BD!$AA$3:$AA$5001,"&lt;&gt;")=0,"",SUMIFS(BD!$AA$3:$AA$5001,BD!$B$3:$B$5001,U$245,BD!$A$3:$A$5001,_xlfn.MAXIFS(BD!$A$3:$A$5001,BD!$B$3:$B$5001,U$245,BD!$A$3:$A$5001,"&gt;="&amp;$C$7,BD!$A$3:$A$5001,"&lt;="&amp;$B266,BD!$AA$3:$AA$5001,"&lt;&gt;"))))</f>
        <v/>
      </c>
      <c r="V266" s="43" t="str">
        <f>IF(OR($B266="",$A266&gt;$B$9,V$245=""),"",IF(COUNTIFS(BD!$B$3:$B$5001,V$245,BD!$A$3:$A$5001,"&gt;="&amp;$C$7,BD!$A$3:$A$5001,"&lt;="&amp;$B266,BD!$AA$3:$AA$5001,"&lt;&gt;")=0,"",SUMIFS(BD!$AA$3:$AA$5001,BD!$B$3:$B$5001,V$245,BD!$A$3:$A$5001,_xlfn.MAXIFS(BD!$A$3:$A$5001,BD!$B$3:$B$5001,V$245,BD!$A$3:$A$5001,"&gt;="&amp;$C$7,BD!$A$3:$A$5001,"&lt;="&amp;$B266,BD!$AA$3:$AA$5001,"&lt;&gt;"))))</f>
        <v/>
      </c>
    </row>
    <row r="267">
      <c r="A267" s="38">
        <v>22</v>
      </c>
      <c r="B267" s="42">
        <f>$B$33</f>
        <v>46317</v>
      </c>
      <c r="C267" s="43" t="str">
        <f>IF(OR($B267="",$A267&gt;$B$9,C$245=""),"",IF(COUNTIFS(BD!$B$3:$B$5001,C$245,BD!$A$3:$A$5001,"&gt;="&amp;$C$7,BD!$A$3:$A$5001,"&lt;="&amp;$B267,BD!$AA$3:$AA$5001,"&lt;&gt;")=0,"",SUMIFS(BD!$AA$3:$AA$5001,BD!$B$3:$B$5001,C$245,BD!$A$3:$A$5001,_xlfn.MAXIFS(BD!$A$3:$A$5001,BD!$B$3:$B$5001,C$245,BD!$A$3:$A$5001,"&gt;="&amp;$C$7,BD!$A$3:$A$5001,"&lt;="&amp;$B267,BD!$AA$3:$AA$5001,"&lt;&gt;"))))</f>
        <v/>
      </c>
      <c r="D267" s="43" t="str">
        <f>IF(OR($B267="",$A267&gt;$B$9,D$245=""),"",IF(COUNTIFS(BD!$B$3:$B$5001,D$245,BD!$A$3:$A$5001,"&gt;="&amp;$C$7,BD!$A$3:$A$5001,"&lt;="&amp;$B267,BD!$AA$3:$AA$5001,"&lt;&gt;")=0,"",SUMIFS(BD!$AA$3:$AA$5001,BD!$B$3:$B$5001,D$245,BD!$A$3:$A$5001,_xlfn.MAXIFS(BD!$A$3:$A$5001,BD!$B$3:$B$5001,D$245,BD!$A$3:$A$5001,"&gt;="&amp;$C$7,BD!$A$3:$A$5001,"&lt;="&amp;$B267,BD!$AA$3:$AA$5001,"&lt;&gt;"))))</f>
        <v/>
      </c>
      <c r="E267" s="43" t="str">
        <f>IF(OR($B267="",$A267&gt;$B$9,E$245=""),"",IF(COUNTIFS(BD!$B$3:$B$5001,E$245,BD!$A$3:$A$5001,"&gt;="&amp;$C$7,BD!$A$3:$A$5001,"&lt;="&amp;$B267,BD!$AA$3:$AA$5001,"&lt;&gt;")=0,"",SUMIFS(BD!$AA$3:$AA$5001,BD!$B$3:$B$5001,E$245,BD!$A$3:$A$5001,_xlfn.MAXIFS(BD!$A$3:$A$5001,BD!$B$3:$B$5001,E$245,BD!$A$3:$A$5001,"&gt;="&amp;$C$7,BD!$A$3:$A$5001,"&lt;="&amp;$B267,BD!$AA$3:$AA$5001,"&lt;&gt;"))))</f>
        <v/>
      </c>
      <c r="F267" s="43" t="str">
        <f>IF(OR($B267="",$A267&gt;$B$9,F$245=""),"",IF(COUNTIFS(BD!$B$3:$B$5001,F$245,BD!$A$3:$A$5001,"&gt;="&amp;$C$7,BD!$A$3:$A$5001,"&lt;="&amp;$B267,BD!$AA$3:$AA$5001,"&lt;&gt;")=0,"",SUMIFS(BD!$AA$3:$AA$5001,BD!$B$3:$B$5001,F$245,BD!$A$3:$A$5001,_xlfn.MAXIFS(BD!$A$3:$A$5001,BD!$B$3:$B$5001,F$245,BD!$A$3:$A$5001,"&gt;="&amp;$C$7,BD!$A$3:$A$5001,"&lt;="&amp;$B267,BD!$AA$3:$AA$5001,"&lt;&gt;"))))</f>
        <v/>
      </c>
      <c r="G267" s="43" t="str">
        <f>IF(OR($B267="",$A267&gt;$B$9,G$245=""),"",IF(COUNTIFS(BD!$B$3:$B$5001,G$245,BD!$A$3:$A$5001,"&gt;="&amp;$C$7,BD!$A$3:$A$5001,"&lt;="&amp;$B267,BD!$AA$3:$AA$5001,"&lt;&gt;")=0,"",SUMIFS(BD!$AA$3:$AA$5001,BD!$B$3:$B$5001,G$245,BD!$A$3:$A$5001,_xlfn.MAXIFS(BD!$A$3:$A$5001,BD!$B$3:$B$5001,G$245,BD!$A$3:$A$5001,"&gt;="&amp;$C$7,BD!$A$3:$A$5001,"&lt;="&amp;$B267,BD!$AA$3:$AA$5001,"&lt;&gt;"))))</f>
        <v/>
      </c>
      <c r="H267" s="43" t="str">
        <f>IF(OR($B267="",$A267&gt;$B$9,H$245=""),"",IF(COUNTIFS(BD!$B$3:$B$5001,H$245,BD!$A$3:$A$5001,"&gt;="&amp;$C$7,BD!$A$3:$A$5001,"&lt;="&amp;$B267,BD!$AA$3:$AA$5001,"&lt;&gt;")=0,"",SUMIFS(BD!$AA$3:$AA$5001,BD!$B$3:$B$5001,H$245,BD!$A$3:$A$5001,_xlfn.MAXIFS(BD!$A$3:$A$5001,BD!$B$3:$B$5001,H$245,BD!$A$3:$A$5001,"&gt;="&amp;$C$7,BD!$A$3:$A$5001,"&lt;="&amp;$B267,BD!$AA$3:$AA$5001,"&lt;&gt;"))))</f>
        <v/>
      </c>
      <c r="I267" s="43" t="str">
        <f>IF(OR($B267="",$A267&gt;$B$9,I$245=""),"",IF(COUNTIFS(BD!$B$3:$B$5001,I$245,BD!$A$3:$A$5001,"&gt;="&amp;$C$7,BD!$A$3:$A$5001,"&lt;="&amp;$B267,BD!$AA$3:$AA$5001,"&lt;&gt;")=0,"",SUMIFS(BD!$AA$3:$AA$5001,BD!$B$3:$B$5001,I$245,BD!$A$3:$A$5001,_xlfn.MAXIFS(BD!$A$3:$A$5001,BD!$B$3:$B$5001,I$245,BD!$A$3:$A$5001,"&gt;="&amp;$C$7,BD!$A$3:$A$5001,"&lt;="&amp;$B267,BD!$AA$3:$AA$5001,"&lt;&gt;"))))</f>
        <v/>
      </c>
      <c r="J267" s="43" t="str">
        <f>IF(OR($B267="",$A267&gt;$B$9,J$245=""),"",IF(COUNTIFS(BD!$B$3:$B$5001,J$245,BD!$A$3:$A$5001,"&gt;="&amp;$C$7,BD!$A$3:$A$5001,"&lt;="&amp;$B267,BD!$AA$3:$AA$5001,"&lt;&gt;")=0,"",SUMIFS(BD!$AA$3:$AA$5001,BD!$B$3:$B$5001,J$245,BD!$A$3:$A$5001,_xlfn.MAXIFS(BD!$A$3:$A$5001,BD!$B$3:$B$5001,J$245,BD!$A$3:$A$5001,"&gt;="&amp;$C$7,BD!$A$3:$A$5001,"&lt;="&amp;$B267,BD!$AA$3:$AA$5001,"&lt;&gt;"))))</f>
        <v/>
      </c>
      <c r="K267" s="43" t="str">
        <f>IF(OR($B267="",$A267&gt;$B$9,K$245=""),"",IF(COUNTIFS(BD!$B$3:$B$5001,K$245,BD!$A$3:$A$5001,"&gt;="&amp;$C$7,BD!$A$3:$A$5001,"&lt;="&amp;$B267,BD!$AA$3:$AA$5001,"&lt;&gt;")=0,"",SUMIFS(BD!$AA$3:$AA$5001,BD!$B$3:$B$5001,K$245,BD!$A$3:$A$5001,_xlfn.MAXIFS(BD!$A$3:$A$5001,BD!$B$3:$B$5001,K$245,BD!$A$3:$A$5001,"&gt;="&amp;$C$7,BD!$A$3:$A$5001,"&lt;="&amp;$B267,BD!$AA$3:$AA$5001,"&lt;&gt;"))))</f>
        <v/>
      </c>
      <c r="L267" s="43" t="str">
        <f>IF(OR($B267="",$A267&gt;$B$9,L$245=""),"",IF(COUNTIFS(BD!$B$3:$B$5001,L$245,BD!$A$3:$A$5001,"&gt;="&amp;$C$7,BD!$A$3:$A$5001,"&lt;="&amp;$B267,BD!$AA$3:$AA$5001,"&lt;&gt;")=0,"",SUMIFS(BD!$AA$3:$AA$5001,BD!$B$3:$B$5001,L$245,BD!$A$3:$A$5001,_xlfn.MAXIFS(BD!$A$3:$A$5001,BD!$B$3:$B$5001,L$245,BD!$A$3:$A$5001,"&gt;="&amp;$C$7,BD!$A$3:$A$5001,"&lt;="&amp;$B267,BD!$AA$3:$AA$5001,"&lt;&gt;"))))</f>
        <v/>
      </c>
      <c r="M267" s="43" t="str">
        <f>IF(OR($B267="",$A267&gt;$B$9,M$245=""),"",IF(COUNTIFS(BD!$B$3:$B$5001,M$245,BD!$A$3:$A$5001,"&gt;="&amp;$C$7,BD!$A$3:$A$5001,"&lt;="&amp;$B267,BD!$AA$3:$AA$5001,"&lt;&gt;")=0,"",SUMIFS(BD!$AA$3:$AA$5001,BD!$B$3:$B$5001,M$245,BD!$A$3:$A$5001,_xlfn.MAXIFS(BD!$A$3:$A$5001,BD!$B$3:$B$5001,M$245,BD!$A$3:$A$5001,"&gt;="&amp;$C$7,BD!$A$3:$A$5001,"&lt;="&amp;$B267,BD!$AA$3:$AA$5001,"&lt;&gt;"))))</f>
        <v/>
      </c>
      <c r="N267" s="43" t="str">
        <f>IF(OR($B267="",$A267&gt;$B$9,N$245=""),"",IF(COUNTIFS(BD!$B$3:$B$5001,N$245,BD!$A$3:$A$5001,"&gt;="&amp;$C$7,BD!$A$3:$A$5001,"&lt;="&amp;$B267,BD!$AA$3:$AA$5001,"&lt;&gt;")=0,"",SUMIFS(BD!$AA$3:$AA$5001,BD!$B$3:$B$5001,N$245,BD!$A$3:$A$5001,_xlfn.MAXIFS(BD!$A$3:$A$5001,BD!$B$3:$B$5001,N$245,BD!$A$3:$A$5001,"&gt;="&amp;$C$7,BD!$A$3:$A$5001,"&lt;="&amp;$B267,BD!$AA$3:$AA$5001,"&lt;&gt;"))))</f>
        <v/>
      </c>
      <c r="O267" s="43" t="str">
        <f>IF(OR($B267="",$A267&gt;$B$9,O$245=""),"",IF(COUNTIFS(BD!$B$3:$B$5001,O$245,BD!$A$3:$A$5001,"&gt;="&amp;$C$7,BD!$A$3:$A$5001,"&lt;="&amp;$B267,BD!$AA$3:$AA$5001,"&lt;&gt;")=0,"",SUMIFS(BD!$AA$3:$AA$5001,BD!$B$3:$B$5001,O$245,BD!$A$3:$A$5001,_xlfn.MAXIFS(BD!$A$3:$A$5001,BD!$B$3:$B$5001,O$245,BD!$A$3:$A$5001,"&gt;="&amp;$C$7,BD!$A$3:$A$5001,"&lt;="&amp;$B267,BD!$AA$3:$AA$5001,"&lt;&gt;"))))</f>
        <v/>
      </c>
      <c r="P267" s="43" t="str">
        <f>IF(OR($B267="",$A267&gt;$B$9,P$245=""),"",IF(COUNTIFS(BD!$B$3:$B$5001,P$245,BD!$A$3:$A$5001,"&gt;="&amp;$C$7,BD!$A$3:$A$5001,"&lt;="&amp;$B267,BD!$AA$3:$AA$5001,"&lt;&gt;")=0,"",SUMIFS(BD!$AA$3:$AA$5001,BD!$B$3:$B$5001,P$245,BD!$A$3:$A$5001,_xlfn.MAXIFS(BD!$A$3:$A$5001,BD!$B$3:$B$5001,P$245,BD!$A$3:$A$5001,"&gt;="&amp;$C$7,BD!$A$3:$A$5001,"&lt;="&amp;$B267,BD!$AA$3:$AA$5001,"&lt;&gt;"))))</f>
        <v/>
      </c>
      <c r="Q267" s="43" t="str">
        <f>IF(OR($B267="",$A267&gt;$B$9,Q$245=""),"",IF(COUNTIFS(BD!$B$3:$B$5001,Q$245,BD!$A$3:$A$5001,"&gt;="&amp;$C$7,BD!$A$3:$A$5001,"&lt;="&amp;$B267,BD!$AA$3:$AA$5001,"&lt;&gt;")=0,"",SUMIFS(BD!$AA$3:$AA$5001,BD!$B$3:$B$5001,Q$245,BD!$A$3:$A$5001,_xlfn.MAXIFS(BD!$A$3:$A$5001,BD!$B$3:$B$5001,Q$245,BD!$A$3:$A$5001,"&gt;="&amp;$C$7,BD!$A$3:$A$5001,"&lt;="&amp;$B267,BD!$AA$3:$AA$5001,"&lt;&gt;"))))</f>
        <v/>
      </c>
      <c r="R267" s="43" t="str">
        <f>IF(OR($B267="",$A267&gt;$B$9,R$245=""),"",IF(COUNTIFS(BD!$B$3:$B$5001,R$245,BD!$A$3:$A$5001,"&gt;="&amp;$C$7,BD!$A$3:$A$5001,"&lt;="&amp;$B267,BD!$AA$3:$AA$5001,"&lt;&gt;")=0,"",SUMIFS(BD!$AA$3:$AA$5001,BD!$B$3:$B$5001,R$245,BD!$A$3:$A$5001,_xlfn.MAXIFS(BD!$A$3:$A$5001,BD!$B$3:$B$5001,R$245,BD!$A$3:$A$5001,"&gt;="&amp;$C$7,BD!$A$3:$A$5001,"&lt;="&amp;$B267,BD!$AA$3:$AA$5001,"&lt;&gt;"))))</f>
        <v/>
      </c>
      <c r="S267" s="43" t="str">
        <f>IF(OR($B267="",$A267&gt;$B$9,S$245=""),"",IF(COUNTIFS(BD!$B$3:$B$5001,S$245,BD!$A$3:$A$5001,"&gt;="&amp;$C$7,BD!$A$3:$A$5001,"&lt;="&amp;$B267,BD!$AA$3:$AA$5001,"&lt;&gt;")=0,"",SUMIFS(BD!$AA$3:$AA$5001,BD!$B$3:$B$5001,S$245,BD!$A$3:$A$5001,_xlfn.MAXIFS(BD!$A$3:$A$5001,BD!$B$3:$B$5001,S$245,BD!$A$3:$A$5001,"&gt;="&amp;$C$7,BD!$A$3:$A$5001,"&lt;="&amp;$B267,BD!$AA$3:$AA$5001,"&lt;&gt;"))))</f>
        <v/>
      </c>
      <c r="T267" s="43" t="str">
        <f>IF(OR($B267="",$A267&gt;$B$9,T$245=""),"",IF(COUNTIFS(BD!$B$3:$B$5001,T$245,BD!$A$3:$A$5001,"&gt;="&amp;$C$7,BD!$A$3:$A$5001,"&lt;="&amp;$B267,BD!$AA$3:$AA$5001,"&lt;&gt;")=0,"",SUMIFS(BD!$AA$3:$AA$5001,BD!$B$3:$B$5001,T$245,BD!$A$3:$A$5001,_xlfn.MAXIFS(BD!$A$3:$A$5001,BD!$B$3:$B$5001,T$245,BD!$A$3:$A$5001,"&gt;="&amp;$C$7,BD!$A$3:$A$5001,"&lt;="&amp;$B267,BD!$AA$3:$AA$5001,"&lt;&gt;"))))</f>
        <v/>
      </c>
      <c r="U267" s="43" t="str">
        <f>IF(OR($B267="",$A267&gt;$B$9,U$245=""),"",IF(COUNTIFS(BD!$B$3:$B$5001,U$245,BD!$A$3:$A$5001,"&gt;="&amp;$C$7,BD!$A$3:$A$5001,"&lt;="&amp;$B267,BD!$AA$3:$AA$5001,"&lt;&gt;")=0,"",SUMIFS(BD!$AA$3:$AA$5001,BD!$B$3:$B$5001,U$245,BD!$A$3:$A$5001,_xlfn.MAXIFS(BD!$A$3:$A$5001,BD!$B$3:$B$5001,U$245,BD!$A$3:$A$5001,"&gt;="&amp;$C$7,BD!$A$3:$A$5001,"&lt;="&amp;$B267,BD!$AA$3:$AA$5001,"&lt;&gt;"))))</f>
        <v/>
      </c>
      <c r="V267" s="43" t="str">
        <f>IF(OR($B267="",$A267&gt;$B$9,V$245=""),"",IF(COUNTIFS(BD!$B$3:$B$5001,V$245,BD!$A$3:$A$5001,"&gt;="&amp;$C$7,BD!$A$3:$A$5001,"&lt;="&amp;$B267,BD!$AA$3:$AA$5001,"&lt;&gt;")=0,"",SUMIFS(BD!$AA$3:$AA$5001,BD!$B$3:$B$5001,V$245,BD!$A$3:$A$5001,_xlfn.MAXIFS(BD!$A$3:$A$5001,BD!$B$3:$B$5001,V$245,BD!$A$3:$A$5001,"&gt;="&amp;$C$7,BD!$A$3:$A$5001,"&lt;="&amp;$B267,BD!$AA$3:$AA$5001,"&lt;&gt;"))))</f>
        <v/>
      </c>
    </row>
    <row r="268">
      <c r="A268" s="38">
        <v>23</v>
      </c>
      <c r="B268" s="42">
        <f>$B$34</f>
        <v>46318</v>
      </c>
      <c r="C268" s="43" t="str">
        <f>IF(OR($B268="",$A268&gt;$B$9,C$245=""),"",IF(COUNTIFS(BD!$B$3:$B$5001,C$245,BD!$A$3:$A$5001,"&gt;="&amp;$C$7,BD!$A$3:$A$5001,"&lt;="&amp;$B268,BD!$AA$3:$AA$5001,"&lt;&gt;")=0,"",SUMIFS(BD!$AA$3:$AA$5001,BD!$B$3:$B$5001,C$245,BD!$A$3:$A$5001,_xlfn.MAXIFS(BD!$A$3:$A$5001,BD!$B$3:$B$5001,C$245,BD!$A$3:$A$5001,"&gt;="&amp;$C$7,BD!$A$3:$A$5001,"&lt;="&amp;$B268,BD!$AA$3:$AA$5001,"&lt;&gt;"))))</f>
        <v/>
      </c>
      <c r="D268" s="43" t="str">
        <f>IF(OR($B268="",$A268&gt;$B$9,D$245=""),"",IF(COUNTIFS(BD!$B$3:$B$5001,D$245,BD!$A$3:$A$5001,"&gt;="&amp;$C$7,BD!$A$3:$A$5001,"&lt;="&amp;$B268,BD!$AA$3:$AA$5001,"&lt;&gt;")=0,"",SUMIFS(BD!$AA$3:$AA$5001,BD!$B$3:$B$5001,D$245,BD!$A$3:$A$5001,_xlfn.MAXIFS(BD!$A$3:$A$5001,BD!$B$3:$B$5001,D$245,BD!$A$3:$A$5001,"&gt;="&amp;$C$7,BD!$A$3:$A$5001,"&lt;="&amp;$B268,BD!$AA$3:$AA$5001,"&lt;&gt;"))))</f>
        <v/>
      </c>
      <c r="E268" s="43" t="str">
        <f>IF(OR($B268="",$A268&gt;$B$9,E$245=""),"",IF(COUNTIFS(BD!$B$3:$B$5001,E$245,BD!$A$3:$A$5001,"&gt;="&amp;$C$7,BD!$A$3:$A$5001,"&lt;="&amp;$B268,BD!$AA$3:$AA$5001,"&lt;&gt;")=0,"",SUMIFS(BD!$AA$3:$AA$5001,BD!$B$3:$B$5001,E$245,BD!$A$3:$A$5001,_xlfn.MAXIFS(BD!$A$3:$A$5001,BD!$B$3:$B$5001,E$245,BD!$A$3:$A$5001,"&gt;="&amp;$C$7,BD!$A$3:$A$5001,"&lt;="&amp;$B268,BD!$AA$3:$AA$5001,"&lt;&gt;"))))</f>
        <v/>
      </c>
      <c r="F268" s="43" t="str">
        <f>IF(OR($B268="",$A268&gt;$B$9,F$245=""),"",IF(COUNTIFS(BD!$B$3:$B$5001,F$245,BD!$A$3:$A$5001,"&gt;="&amp;$C$7,BD!$A$3:$A$5001,"&lt;="&amp;$B268,BD!$AA$3:$AA$5001,"&lt;&gt;")=0,"",SUMIFS(BD!$AA$3:$AA$5001,BD!$B$3:$B$5001,F$245,BD!$A$3:$A$5001,_xlfn.MAXIFS(BD!$A$3:$A$5001,BD!$B$3:$B$5001,F$245,BD!$A$3:$A$5001,"&gt;="&amp;$C$7,BD!$A$3:$A$5001,"&lt;="&amp;$B268,BD!$AA$3:$AA$5001,"&lt;&gt;"))))</f>
        <v/>
      </c>
      <c r="G268" s="43" t="str">
        <f>IF(OR($B268="",$A268&gt;$B$9,G$245=""),"",IF(COUNTIFS(BD!$B$3:$B$5001,G$245,BD!$A$3:$A$5001,"&gt;="&amp;$C$7,BD!$A$3:$A$5001,"&lt;="&amp;$B268,BD!$AA$3:$AA$5001,"&lt;&gt;")=0,"",SUMIFS(BD!$AA$3:$AA$5001,BD!$B$3:$B$5001,G$245,BD!$A$3:$A$5001,_xlfn.MAXIFS(BD!$A$3:$A$5001,BD!$B$3:$B$5001,G$245,BD!$A$3:$A$5001,"&gt;="&amp;$C$7,BD!$A$3:$A$5001,"&lt;="&amp;$B268,BD!$AA$3:$AA$5001,"&lt;&gt;"))))</f>
        <v/>
      </c>
      <c r="H268" s="43" t="str">
        <f>IF(OR($B268="",$A268&gt;$B$9,H$245=""),"",IF(COUNTIFS(BD!$B$3:$B$5001,H$245,BD!$A$3:$A$5001,"&gt;="&amp;$C$7,BD!$A$3:$A$5001,"&lt;="&amp;$B268,BD!$AA$3:$AA$5001,"&lt;&gt;")=0,"",SUMIFS(BD!$AA$3:$AA$5001,BD!$B$3:$B$5001,H$245,BD!$A$3:$A$5001,_xlfn.MAXIFS(BD!$A$3:$A$5001,BD!$B$3:$B$5001,H$245,BD!$A$3:$A$5001,"&gt;="&amp;$C$7,BD!$A$3:$A$5001,"&lt;="&amp;$B268,BD!$AA$3:$AA$5001,"&lt;&gt;"))))</f>
        <v/>
      </c>
      <c r="I268" s="43" t="str">
        <f>IF(OR($B268="",$A268&gt;$B$9,I$245=""),"",IF(COUNTIFS(BD!$B$3:$B$5001,I$245,BD!$A$3:$A$5001,"&gt;="&amp;$C$7,BD!$A$3:$A$5001,"&lt;="&amp;$B268,BD!$AA$3:$AA$5001,"&lt;&gt;")=0,"",SUMIFS(BD!$AA$3:$AA$5001,BD!$B$3:$B$5001,I$245,BD!$A$3:$A$5001,_xlfn.MAXIFS(BD!$A$3:$A$5001,BD!$B$3:$B$5001,I$245,BD!$A$3:$A$5001,"&gt;="&amp;$C$7,BD!$A$3:$A$5001,"&lt;="&amp;$B268,BD!$AA$3:$AA$5001,"&lt;&gt;"))))</f>
        <v/>
      </c>
      <c r="J268" s="43" t="str">
        <f>IF(OR($B268="",$A268&gt;$B$9,J$245=""),"",IF(COUNTIFS(BD!$B$3:$B$5001,J$245,BD!$A$3:$A$5001,"&gt;="&amp;$C$7,BD!$A$3:$A$5001,"&lt;="&amp;$B268,BD!$AA$3:$AA$5001,"&lt;&gt;")=0,"",SUMIFS(BD!$AA$3:$AA$5001,BD!$B$3:$B$5001,J$245,BD!$A$3:$A$5001,_xlfn.MAXIFS(BD!$A$3:$A$5001,BD!$B$3:$B$5001,J$245,BD!$A$3:$A$5001,"&gt;="&amp;$C$7,BD!$A$3:$A$5001,"&lt;="&amp;$B268,BD!$AA$3:$AA$5001,"&lt;&gt;"))))</f>
        <v/>
      </c>
      <c r="K268" s="43" t="str">
        <f>IF(OR($B268="",$A268&gt;$B$9,K$245=""),"",IF(COUNTIFS(BD!$B$3:$B$5001,K$245,BD!$A$3:$A$5001,"&gt;="&amp;$C$7,BD!$A$3:$A$5001,"&lt;="&amp;$B268,BD!$AA$3:$AA$5001,"&lt;&gt;")=0,"",SUMIFS(BD!$AA$3:$AA$5001,BD!$B$3:$B$5001,K$245,BD!$A$3:$A$5001,_xlfn.MAXIFS(BD!$A$3:$A$5001,BD!$B$3:$B$5001,K$245,BD!$A$3:$A$5001,"&gt;="&amp;$C$7,BD!$A$3:$A$5001,"&lt;="&amp;$B268,BD!$AA$3:$AA$5001,"&lt;&gt;"))))</f>
        <v/>
      </c>
      <c r="L268" s="43" t="str">
        <f>IF(OR($B268="",$A268&gt;$B$9,L$245=""),"",IF(COUNTIFS(BD!$B$3:$B$5001,L$245,BD!$A$3:$A$5001,"&gt;="&amp;$C$7,BD!$A$3:$A$5001,"&lt;="&amp;$B268,BD!$AA$3:$AA$5001,"&lt;&gt;")=0,"",SUMIFS(BD!$AA$3:$AA$5001,BD!$B$3:$B$5001,L$245,BD!$A$3:$A$5001,_xlfn.MAXIFS(BD!$A$3:$A$5001,BD!$B$3:$B$5001,L$245,BD!$A$3:$A$5001,"&gt;="&amp;$C$7,BD!$A$3:$A$5001,"&lt;="&amp;$B268,BD!$AA$3:$AA$5001,"&lt;&gt;"))))</f>
        <v/>
      </c>
      <c r="M268" s="43" t="str">
        <f>IF(OR($B268="",$A268&gt;$B$9,M$245=""),"",IF(COUNTIFS(BD!$B$3:$B$5001,M$245,BD!$A$3:$A$5001,"&gt;="&amp;$C$7,BD!$A$3:$A$5001,"&lt;="&amp;$B268,BD!$AA$3:$AA$5001,"&lt;&gt;")=0,"",SUMIFS(BD!$AA$3:$AA$5001,BD!$B$3:$B$5001,M$245,BD!$A$3:$A$5001,_xlfn.MAXIFS(BD!$A$3:$A$5001,BD!$B$3:$B$5001,M$245,BD!$A$3:$A$5001,"&gt;="&amp;$C$7,BD!$A$3:$A$5001,"&lt;="&amp;$B268,BD!$AA$3:$AA$5001,"&lt;&gt;"))))</f>
        <v/>
      </c>
      <c r="N268" s="43" t="str">
        <f>IF(OR($B268="",$A268&gt;$B$9,N$245=""),"",IF(COUNTIFS(BD!$B$3:$B$5001,N$245,BD!$A$3:$A$5001,"&gt;="&amp;$C$7,BD!$A$3:$A$5001,"&lt;="&amp;$B268,BD!$AA$3:$AA$5001,"&lt;&gt;")=0,"",SUMIFS(BD!$AA$3:$AA$5001,BD!$B$3:$B$5001,N$245,BD!$A$3:$A$5001,_xlfn.MAXIFS(BD!$A$3:$A$5001,BD!$B$3:$B$5001,N$245,BD!$A$3:$A$5001,"&gt;="&amp;$C$7,BD!$A$3:$A$5001,"&lt;="&amp;$B268,BD!$AA$3:$AA$5001,"&lt;&gt;"))))</f>
        <v/>
      </c>
      <c r="O268" s="43" t="str">
        <f>IF(OR($B268="",$A268&gt;$B$9,O$245=""),"",IF(COUNTIFS(BD!$B$3:$B$5001,O$245,BD!$A$3:$A$5001,"&gt;="&amp;$C$7,BD!$A$3:$A$5001,"&lt;="&amp;$B268,BD!$AA$3:$AA$5001,"&lt;&gt;")=0,"",SUMIFS(BD!$AA$3:$AA$5001,BD!$B$3:$B$5001,O$245,BD!$A$3:$A$5001,_xlfn.MAXIFS(BD!$A$3:$A$5001,BD!$B$3:$B$5001,O$245,BD!$A$3:$A$5001,"&gt;="&amp;$C$7,BD!$A$3:$A$5001,"&lt;="&amp;$B268,BD!$AA$3:$AA$5001,"&lt;&gt;"))))</f>
        <v/>
      </c>
      <c r="P268" s="43" t="str">
        <f>IF(OR($B268="",$A268&gt;$B$9,P$245=""),"",IF(COUNTIFS(BD!$B$3:$B$5001,P$245,BD!$A$3:$A$5001,"&gt;="&amp;$C$7,BD!$A$3:$A$5001,"&lt;="&amp;$B268,BD!$AA$3:$AA$5001,"&lt;&gt;")=0,"",SUMIFS(BD!$AA$3:$AA$5001,BD!$B$3:$B$5001,P$245,BD!$A$3:$A$5001,_xlfn.MAXIFS(BD!$A$3:$A$5001,BD!$B$3:$B$5001,P$245,BD!$A$3:$A$5001,"&gt;="&amp;$C$7,BD!$A$3:$A$5001,"&lt;="&amp;$B268,BD!$AA$3:$AA$5001,"&lt;&gt;"))))</f>
        <v/>
      </c>
      <c r="Q268" s="43" t="str">
        <f>IF(OR($B268="",$A268&gt;$B$9,Q$245=""),"",IF(COUNTIFS(BD!$B$3:$B$5001,Q$245,BD!$A$3:$A$5001,"&gt;="&amp;$C$7,BD!$A$3:$A$5001,"&lt;="&amp;$B268,BD!$AA$3:$AA$5001,"&lt;&gt;")=0,"",SUMIFS(BD!$AA$3:$AA$5001,BD!$B$3:$B$5001,Q$245,BD!$A$3:$A$5001,_xlfn.MAXIFS(BD!$A$3:$A$5001,BD!$B$3:$B$5001,Q$245,BD!$A$3:$A$5001,"&gt;="&amp;$C$7,BD!$A$3:$A$5001,"&lt;="&amp;$B268,BD!$AA$3:$AA$5001,"&lt;&gt;"))))</f>
        <v/>
      </c>
      <c r="R268" s="43" t="str">
        <f>IF(OR($B268="",$A268&gt;$B$9,R$245=""),"",IF(COUNTIFS(BD!$B$3:$B$5001,R$245,BD!$A$3:$A$5001,"&gt;="&amp;$C$7,BD!$A$3:$A$5001,"&lt;="&amp;$B268,BD!$AA$3:$AA$5001,"&lt;&gt;")=0,"",SUMIFS(BD!$AA$3:$AA$5001,BD!$B$3:$B$5001,R$245,BD!$A$3:$A$5001,_xlfn.MAXIFS(BD!$A$3:$A$5001,BD!$B$3:$B$5001,R$245,BD!$A$3:$A$5001,"&gt;="&amp;$C$7,BD!$A$3:$A$5001,"&lt;="&amp;$B268,BD!$AA$3:$AA$5001,"&lt;&gt;"))))</f>
        <v/>
      </c>
      <c r="S268" s="43" t="str">
        <f>IF(OR($B268="",$A268&gt;$B$9,S$245=""),"",IF(COUNTIFS(BD!$B$3:$B$5001,S$245,BD!$A$3:$A$5001,"&gt;="&amp;$C$7,BD!$A$3:$A$5001,"&lt;="&amp;$B268,BD!$AA$3:$AA$5001,"&lt;&gt;")=0,"",SUMIFS(BD!$AA$3:$AA$5001,BD!$B$3:$B$5001,S$245,BD!$A$3:$A$5001,_xlfn.MAXIFS(BD!$A$3:$A$5001,BD!$B$3:$B$5001,S$245,BD!$A$3:$A$5001,"&gt;="&amp;$C$7,BD!$A$3:$A$5001,"&lt;="&amp;$B268,BD!$AA$3:$AA$5001,"&lt;&gt;"))))</f>
        <v/>
      </c>
      <c r="T268" s="43" t="str">
        <f>IF(OR($B268="",$A268&gt;$B$9,T$245=""),"",IF(COUNTIFS(BD!$B$3:$B$5001,T$245,BD!$A$3:$A$5001,"&gt;="&amp;$C$7,BD!$A$3:$A$5001,"&lt;="&amp;$B268,BD!$AA$3:$AA$5001,"&lt;&gt;")=0,"",SUMIFS(BD!$AA$3:$AA$5001,BD!$B$3:$B$5001,T$245,BD!$A$3:$A$5001,_xlfn.MAXIFS(BD!$A$3:$A$5001,BD!$B$3:$B$5001,T$245,BD!$A$3:$A$5001,"&gt;="&amp;$C$7,BD!$A$3:$A$5001,"&lt;="&amp;$B268,BD!$AA$3:$AA$5001,"&lt;&gt;"))))</f>
        <v/>
      </c>
      <c r="U268" s="43" t="str">
        <f>IF(OR($B268="",$A268&gt;$B$9,U$245=""),"",IF(COUNTIFS(BD!$B$3:$B$5001,U$245,BD!$A$3:$A$5001,"&gt;="&amp;$C$7,BD!$A$3:$A$5001,"&lt;="&amp;$B268,BD!$AA$3:$AA$5001,"&lt;&gt;")=0,"",SUMIFS(BD!$AA$3:$AA$5001,BD!$B$3:$B$5001,U$245,BD!$A$3:$A$5001,_xlfn.MAXIFS(BD!$A$3:$A$5001,BD!$B$3:$B$5001,U$245,BD!$A$3:$A$5001,"&gt;="&amp;$C$7,BD!$A$3:$A$5001,"&lt;="&amp;$B268,BD!$AA$3:$AA$5001,"&lt;&gt;"))))</f>
        <v/>
      </c>
      <c r="V268" s="43" t="str">
        <f>IF(OR($B268="",$A268&gt;$B$9,V$245=""),"",IF(COUNTIFS(BD!$B$3:$B$5001,V$245,BD!$A$3:$A$5001,"&gt;="&amp;$C$7,BD!$A$3:$A$5001,"&lt;="&amp;$B268,BD!$AA$3:$AA$5001,"&lt;&gt;")=0,"",SUMIFS(BD!$AA$3:$AA$5001,BD!$B$3:$B$5001,V$245,BD!$A$3:$A$5001,_xlfn.MAXIFS(BD!$A$3:$A$5001,BD!$B$3:$B$5001,V$245,BD!$A$3:$A$5001,"&gt;="&amp;$C$7,BD!$A$3:$A$5001,"&lt;="&amp;$B268,BD!$AA$3:$AA$5001,"&lt;&gt;"))))</f>
        <v/>
      </c>
    </row>
    <row r="269">
      <c r="A269" s="38">
        <v>24</v>
      </c>
      <c r="B269" s="42">
        <f>$B$35</f>
        <v>46319</v>
      </c>
      <c r="C269" s="43" t="str">
        <f>IF(OR($B269="",$A269&gt;$B$9,C$245=""),"",IF(COUNTIFS(BD!$B$3:$B$5001,C$245,BD!$A$3:$A$5001,"&gt;="&amp;$C$7,BD!$A$3:$A$5001,"&lt;="&amp;$B269,BD!$AA$3:$AA$5001,"&lt;&gt;")=0,"",SUMIFS(BD!$AA$3:$AA$5001,BD!$B$3:$B$5001,C$245,BD!$A$3:$A$5001,_xlfn.MAXIFS(BD!$A$3:$A$5001,BD!$B$3:$B$5001,C$245,BD!$A$3:$A$5001,"&gt;="&amp;$C$7,BD!$A$3:$A$5001,"&lt;="&amp;$B269,BD!$AA$3:$AA$5001,"&lt;&gt;"))))</f>
        <v/>
      </c>
      <c r="D269" s="43" t="str">
        <f>IF(OR($B269="",$A269&gt;$B$9,D$245=""),"",IF(COUNTIFS(BD!$B$3:$B$5001,D$245,BD!$A$3:$A$5001,"&gt;="&amp;$C$7,BD!$A$3:$A$5001,"&lt;="&amp;$B269,BD!$AA$3:$AA$5001,"&lt;&gt;")=0,"",SUMIFS(BD!$AA$3:$AA$5001,BD!$B$3:$B$5001,D$245,BD!$A$3:$A$5001,_xlfn.MAXIFS(BD!$A$3:$A$5001,BD!$B$3:$B$5001,D$245,BD!$A$3:$A$5001,"&gt;="&amp;$C$7,BD!$A$3:$A$5001,"&lt;="&amp;$B269,BD!$AA$3:$AA$5001,"&lt;&gt;"))))</f>
        <v/>
      </c>
      <c r="E269" s="43" t="str">
        <f>IF(OR($B269="",$A269&gt;$B$9,E$245=""),"",IF(COUNTIFS(BD!$B$3:$B$5001,E$245,BD!$A$3:$A$5001,"&gt;="&amp;$C$7,BD!$A$3:$A$5001,"&lt;="&amp;$B269,BD!$AA$3:$AA$5001,"&lt;&gt;")=0,"",SUMIFS(BD!$AA$3:$AA$5001,BD!$B$3:$B$5001,E$245,BD!$A$3:$A$5001,_xlfn.MAXIFS(BD!$A$3:$A$5001,BD!$B$3:$B$5001,E$245,BD!$A$3:$A$5001,"&gt;="&amp;$C$7,BD!$A$3:$A$5001,"&lt;="&amp;$B269,BD!$AA$3:$AA$5001,"&lt;&gt;"))))</f>
        <v/>
      </c>
      <c r="F269" s="43" t="str">
        <f>IF(OR($B269="",$A269&gt;$B$9,F$245=""),"",IF(COUNTIFS(BD!$B$3:$B$5001,F$245,BD!$A$3:$A$5001,"&gt;="&amp;$C$7,BD!$A$3:$A$5001,"&lt;="&amp;$B269,BD!$AA$3:$AA$5001,"&lt;&gt;")=0,"",SUMIFS(BD!$AA$3:$AA$5001,BD!$B$3:$B$5001,F$245,BD!$A$3:$A$5001,_xlfn.MAXIFS(BD!$A$3:$A$5001,BD!$B$3:$B$5001,F$245,BD!$A$3:$A$5001,"&gt;="&amp;$C$7,BD!$A$3:$A$5001,"&lt;="&amp;$B269,BD!$AA$3:$AA$5001,"&lt;&gt;"))))</f>
        <v/>
      </c>
      <c r="G269" s="43" t="str">
        <f>IF(OR($B269="",$A269&gt;$B$9,G$245=""),"",IF(COUNTIFS(BD!$B$3:$B$5001,G$245,BD!$A$3:$A$5001,"&gt;="&amp;$C$7,BD!$A$3:$A$5001,"&lt;="&amp;$B269,BD!$AA$3:$AA$5001,"&lt;&gt;")=0,"",SUMIFS(BD!$AA$3:$AA$5001,BD!$B$3:$B$5001,G$245,BD!$A$3:$A$5001,_xlfn.MAXIFS(BD!$A$3:$A$5001,BD!$B$3:$B$5001,G$245,BD!$A$3:$A$5001,"&gt;="&amp;$C$7,BD!$A$3:$A$5001,"&lt;="&amp;$B269,BD!$AA$3:$AA$5001,"&lt;&gt;"))))</f>
        <v/>
      </c>
      <c r="H269" s="43" t="str">
        <f>IF(OR($B269="",$A269&gt;$B$9,H$245=""),"",IF(COUNTIFS(BD!$B$3:$B$5001,H$245,BD!$A$3:$A$5001,"&gt;="&amp;$C$7,BD!$A$3:$A$5001,"&lt;="&amp;$B269,BD!$AA$3:$AA$5001,"&lt;&gt;")=0,"",SUMIFS(BD!$AA$3:$AA$5001,BD!$B$3:$B$5001,H$245,BD!$A$3:$A$5001,_xlfn.MAXIFS(BD!$A$3:$A$5001,BD!$B$3:$B$5001,H$245,BD!$A$3:$A$5001,"&gt;="&amp;$C$7,BD!$A$3:$A$5001,"&lt;="&amp;$B269,BD!$AA$3:$AA$5001,"&lt;&gt;"))))</f>
        <v/>
      </c>
      <c r="I269" s="43" t="str">
        <f>IF(OR($B269="",$A269&gt;$B$9,I$245=""),"",IF(COUNTIFS(BD!$B$3:$B$5001,I$245,BD!$A$3:$A$5001,"&gt;="&amp;$C$7,BD!$A$3:$A$5001,"&lt;="&amp;$B269,BD!$AA$3:$AA$5001,"&lt;&gt;")=0,"",SUMIFS(BD!$AA$3:$AA$5001,BD!$B$3:$B$5001,I$245,BD!$A$3:$A$5001,_xlfn.MAXIFS(BD!$A$3:$A$5001,BD!$B$3:$B$5001,I$245,BD!$A$3:$A$5001,"&gt;="&amp;$C$7,BD!$A$3:$A$5001,"&lt;="&amp;$B269,BD!$AA$3:$AA$5001,"&lt;&gt;"))))</f>
        <v/>
      </c>
      <c r="J269" s="43" t="str">
        <f>IF(OR($B269="",$A269&gt;$B$9,J$245=""),"",IF(COUNTIFS(BD!$B$3:$B$5001,J$245,BD!$A$3:$A$5001,"&gt;="&amp;$C$7,BD!$A$3:$A$5001,"&lt;="&amp;$B269,BD!$AA$3:$AA$5001,"&lt;&gt;")=0,"",SUMIFS(BD!$AA$3:$AA$5001,BD!$B$3:$B$5001,J$245,BD!$A$3:$A$5001,_xlfn.MAXIFS(BD!$A$3:$A$5001,BD!$B$3:$B$5001,J$245,BD!$A$3:$A$5001,"&gt;="&amp;$C$7,BD!$A$3:$A$5001,"&lt;="&amp;$B269,BD!$AA$3:$AA$5001,"&lt;&gt;"))))</f>
        <v/>
      </c>
      <c r="K269" s="43" t="str">
        <f>IF(OR($B269="",$A269&gt;$B$9,K$245=""),"",IF(COUNTIFS(BD!$B$3:$B$5001,K$245,BD!$A$3:$A$5001,"&gt;="&amp;$C$7,BD!$A$3:$A$5001,"&lt;="&amp;$B269,BD!$AA$3:$AA$5001,"&lt;&gt;")=0,"",SUMIFS(BD!$AA$3:$AA$5001,BD!$B$3:$B$5001,K$245,BD!$A$3:$A$5001,_xlfn.MAXIFS(BD!$A$3:$A$5001,BD!$B$3:$B$5001,K$245,BD!$A$3:$A$5001,"&gt;="&amp;$C$7,BD!$A$3:$A$5001,"&lt;="&amp;$B269,BD!$AA$3:$AA$5001,"&lt;&gt;"))))</f>
        <v/>
      </c>
      <c r="L269" s="43" t="str">
        <f>IF(OR($B269="",$A269&gt;$B$9,L$245=""),"",IF(COUNTIFS(BD!$B$3:$B$5001,L$245,BD!$A$3:$A$5001,"&gt;="&amp;$C$7,BD!$A$3:$A$5001,"&lt;="&amp;$B269,BD!$AA$3:$AA$5001,"&lt;&gt;")=0,"",SUMIFS(BD!$AA$3:$AA$5001,BD!$B$3:$B$5001,L$245,BD!$A$3:$A$5001,_xlfn.MAXIFS(BD!$A$3:$A$5001,BD!$B$3:$B$5001,L$245,BD!$A$3:$A$5001,"&gt;="&amp;$C$7,BD!$A$3:$A$5001,"&lt;="&amp;$B269,BD!$AA$3:$AA$5001,"&lt;&gt;"))))</f>
        <v/>
      </c>
      <c r="M269" s="43" t="str">
        <f>IF(OR($B269="",$A269&gt;$B$9,M$245=""),"",IF(COUNTIFS(BD!$B$3:$B$5001,M$245,BD!$A$3:$A$5001,"&gt;="&amp;$C$7,BD!$A$3:$A$5001,"&lt;="&amp;$B269,BD!$AA$3:$AA$5001,"&lt;&gt;")=0,"",SUMIFS(BD!$AA$3:$AA$5001,BD!$B$3:$B$5001,M$245,BD!$A$3:$A$5001,_xlfn.MAXIFS(BD!$A$3:$A$5001,BD!$B$3:$B$5001,M$245,BD!$A$3:$A$5001,"&gt;="&amp;$C$7,BD!$A$3:$A$5001,"&lt;="&amp;$B269,BD!$AA$3:$AA$5001,"&lt;&gt;"))))</f>
        <v/>
      </c>
      <c r="N269" s="43" t="str">
        <f>IF(OR($B269="",$A269&gt;$B$9,N$245=""),"",IF(COUNTIFS(BD!$B$3:$B$5001,N$245,BD!$A$3:$A$5001,"&gt;="&amp;$C$7,BD!$A$3:$A$5001,"&lt;="&amp;$B269,BD!$AA$3:$AA$5001,"&lt;&gt;")=0,"",SUMIFS(BD!$AA$3:$AA$5001,BD!$B$3:$B$5001,N$245,BD!$A$3:$A$5001,_xlfn.MAXIFS(BD!$A$3:$A$5001,BD!$B$3:$B$5001,N$245,BD!$A$3:$A$5001,"&gt;="&amp;$C$7,BD!$A$3:$A$5001,"&lt;="&amp;$B269,BD!$AA$3:$AA$5001,"&lt;&gt;"))))</f>
        <v/>
      </c>
      <c r="O269" s="43" t="str">
        <f>IF(OR($B269="",$A269&gt;$B$9,O$245=""),"",IF(COUNTIFS(BD!$B$3:$B$5001,O$245,BD!$A$3:$A$5001,"&gt;="&amp;$C$7,BD!$A$3:$A$5001,"&lt;="&amp;$B269,BD!$AA$3:$AA$5001,"&lt;&gt;")=0,"",SUMIFS(BD!$AA$3:$AA$5001,BD!$B$3:$B$5001,O$245,BD!$A$3:$A$5001,_xlfn.MAXIFS(BD!$A$3:$A$5001,BD!$B$3:$B$5001,O$245,BD!$A$3:$A$5001,"&gt;="&amp;$C$7,BD!$A$3:$A$5001,"&lt;="&amp;$B269,BD!$AA$3:$AA$5001,"&lt;&gt;"))))</f>
        <v/>
      </c>
      <c r="P269" s="43" t="str">
        <f>IF(OR($B269="",$A269&gt;$B$9,P$245=""),"",IF(COUNTIFS(BD!$B$3:$B$5001,P$245,BD!$A$3:$A$5001,"&gt;="&amp;$C$7,BD!$A$3:$A$5001,"&lt;="&amp;$B269,BD!$AA$3:$AA$5001,"&lt;&gt;")=0,"",SUMIFS(BD!$AA$3:$AA$5001,BD!$B$3:$B$5001,P$245,BD!$A$3:$A$5001,_xlfn.MAXIFS(BD!$A$3:$A$5001,BD!$B$3:$B$5001,P$245,BD!$A$3:$A$5001,"&gt;="&amp;$C$7,BD!$A$3:$A$5001,"&lt;="&amp;$B269,BD!$AA$3:$AA$5001,"&lt;&gt;"))))</f>
        <v/>
      </c>
      <c r="Q269" s="43" t="str">
        <f>IF(OR($B269="",$A269&gt;$B$9,Q$245=""),"",IF(COUNTIFS(BD!$B$3:$B$5001,Q$245,BD!$A$3:$A$5001,"&gt;="&amp;$C$7,BD!$A$3:$A$5001,"&lt;="&amp;$B269,BD!$AA$3:$AA$5001,"&lt;&gt;")=0,"",SUMIFS(BD!$AA$3:$AA$5001,BD!$B$3:$B$5001,Q$245,BD!$A$3:$A$5001,_xlfn.MAXIFS(BD!$A$3:$A$5001,BD!$B$3:$B$5001,Q$245,BD!$A$3:$A$5001,"&gt;="&amp;$C$7,BD!$A$3:$A$5001,"&lt;="&amp;$B269,BD!$AA$3:$AA$5001,"&lt;&gt;"))))</f>
        <v/>
      </c>
      <c r="R269" s="43" t="str">
        <f>IF(OR($B269="",$A269&gt;$B$9,R$245=""),"",IF(COUNTIFS(BD!$B$3:$B$5001,R$245,BD!$A$3:$A$5001,"&gt;="&amp;$C$7,BD!$A$3:$A$5001,"&lt;="&amp;$B269,BD!$AA$3:$AA$5001,"&lt;&gt;")=0,"",SUMIFS(BD!$AA$3:$AA$5001,BD!$B$3:$B$5001,R$245,BD!$A$3:$A$5001,_xlfn.MAXIFS(BD!$A$3:$A$5001,BD!$B$3:$B$5001,R$245,BD!$A$3:$A$5001,"&gt;="&amp;$C$7,BD!$A$3:$A$5001,"&lt;="&amp;$B269,BD!$AA$3:$AA$5001,"&lt;&gt;"))))</f>
        <v/>
      </c>
      <c r="S269" s="43" t="str">
        <f>IF(OR($B269="",$A269&gt;$B$9,S$245=""),"",IF(COUNTIFS(BD!$B$3:$B$5001,S$245,BD!$A$3:$A$5001,"&gt;="&amp;$C$7,BD!$A$3:$A$5001,"&lt;="&amp;$B269,BD!$AA$3:$AA$5001,"&lt;&gt;")=0,"",SUMIFS(BD!$AA$3:$AA$5001,BD!$B$3:$B$5001,S$245,BD!$A$3:$A$5001,_xlfn.MAXIFS(BD!$A$3:$A$5001,BD!$B$3:$B$5001,S$245,BD!$A$3:$A$5001,"&gt;="&amp;$C$7,BD!$A$3:$A$5001,"&lt;="&amp;$B269,BD!$AA$3:$AA$5001,"&lt;&gt;"))))</f>
        <v/>
      </c>
      <c r="T269" s="43" t="str">
        <f>IF(OR($B269="",$A269&gt;$B$9,T$245=""),"",IF(COUNTIFS(BD!$B$3:$B$5001,T$245,BD!$A$3:$A$5001,"&gt;="&amp;$C$7,BD!$A$3:$A$5001,"&lt;="&amp;$B269,BD!$AA$3:$AA$5001,"&lt;&gt;")=0,"",SUMIFS(BD!$AA$3:$AA$5001,BD!$B$3:$B$5001,T$245,BD!$A$3:$A$5001,_xlfn.MAXIFS(BD!$A$3:$A$5001,BD!$B$3:$B$5001,T$245,BD!$A$3:$A$5001,"&gt;="&amp;$C$7,BD!$A$3:$A$5001,"&lt;="&amp;$B269,BD!$AA$3:$AA$5001,"&lt;&gt;"))))</f>
        <v/>
      </c>
      <c r="U269" s="43" t="str">
        <f>IF(OR($B269="",$A269&gt;$B$9,U$245=""),"",IF(COUNTIFS(BD!$B$3:$B$5001,U$245,BD!$A$3:$A$5001,"&gt;="&amp;$C$7,BD!$A$3:$A$5001,"&lt;="&amp;$B269,BD!$AA$3:$AA$5001,"&lt;&gt;")=0,"",SUMIFS(BD!$AA$3:$AA$5001,BD!$B$3:$B$5001,U$245,BD!$A$3:$A$5001,_xlfn.MAXIFS(BD!$A$3:$A$5001,BD!$B$3:$B$5001,U$245,BD!$A$3:$A$5001,"&gt;="&amp;$C$7,BD!$A$3:$A$5001,"&lt;="&amp;$B269,BD!$AA$3:$AA$5001,"&lt;&gt;"))))</f>
        <v/>
      </c>
      <c r="V269" s="43" t="str">
        <f>IF(OR($B269="",$A269&gt;$B$9,V$245=""),"",IF(COUNTIFS(BD!$B$3:$B$5001,V$245,BD!$A$3:$A$5001,"&gt;="&amp;$C$7,BD!$A$3:$A$5001,"&lt;="&amp;$B269,BD!$AA$3:$AA$5001,"&lt;&gt;")=0,"",SUMIFS(BD!$AA$3:$AA$5001,BD!$B$3:$B$5001,V$245,BD!$A$3:$A$5001,_xlfn.MAXIFS(BD!$A$3:$A$5001,BD!$B$3:$B$5001,V$245,BD!$A$3:$A$5001,"&gt;="&amp;$C$7,BD!$A$3:$A$5001,"&lt;="&amp;$B269,BD!$AA$3:$AA$5001,"&lt;&gt;"))))</f>
        <v/>
      </c>
    </row>
    <row r="270">
      <c r="A270" s="38">
        <v>25</v>
      </c>
      <c r="B270" s="42">
        <f>$B$36</f>
        <v>46320</v>
      </c>
      <c r="C270" s="43" t="str">
        <f>IF(OR($B270="",$A270&gt;$B$9,C$245=""),"",IF(COUNTIFS(BD!$B$3:$B$5001,C$245,BD!$A$3:$A$5001,"&gt;="&amp;$C$7,BD!$A$3:$A$5001,"&lt;="&amp;$B270,BD!$AA$3:$AA$5001,"&lt;&gt;")=0,"",SUMIFS(BD!$AA$3:$AA$5001,BD!$B$3:$B$5001,C$245,BD!$A$3:$A$5001,_xlfn.MAXIFS(BD!$A$3:$A$5001,BD!$B$3:$B$5001,C$245,BD!$A$3:$A$5001,"&gt;="&amp;$C$7,BD!$A$3:$A$5001,"&lt;="&amp;$B270,BD!$AA$3:$AA$5001,"&lt;&gt;"))))</f>
        <v/>
      </c>
      <c r="D270" s="43" t="str">
        <f>IF(OR($B270="",$A270&gt;$B$9,D$245=""),"",IF(COUNTIFS(BD!$B$3:$B$5001,D$245,BD!$A$3:$A$5001,"&gt;="&amp;$C$7,BD!$A$3:$A$5001,"&lt;="&amp;$B270,BD!$AA$3:$AA$5001,"&lt;&gt;")=0,"",SUMIFS(BD!$AA$3:$AA$5001,BD!$B$3:$B$5001,D$245,BD!$A$3:$A$5001,_xlfn.MAXIFS(BD!$A$3:$A$5001,BD!$B$3:$B$5001,D$245,BD!$A$3:$A$5001,"&gt;="&amp;$C$7,BD!$A$3:$A$5001,"&lt;="&amp;$B270,BD!$AA$3:$AA$5001,"&lt;&gt;"))))</f>
        <v/>
      </c>
      <c r="E270" s="43" t="str">
        <f>IF(OR($B270="",$A270&gt;$B$9,E$245=""),"",IF(COUNTIFS(BD!$B$3:$B$5001,E$245,BD!$A$3:$A$5001,"&gt;="&amp;$C$7,BD!$A$3:$A$5001,"&lt;="&amp;$B270,BD!$AA$3:$AA$5001,"&lt;&gt;")=0,"",SUMIFS(BD!$AA$3:$AA$5001,BD!$B$3:$B$5001,E$245,BD!$A$3:$A$5001,_xlfn.MAXIFS(BD!$A$3:$A$5001,BD!$B$3:$B$5001,E$245,BD!$A$3:$A$5001,"&gt;="&amp;$C$7,BD!$A$3:$A$5001,"&lt;="&amp;$B270,BD!$AA$3:$AA$5001,"&lt;&gt;"))))</f>
        <v/>
      </c>
      <c r="F270" s="43" t="str">
        <f>IF(OR($B270="",$A270&gt;$B$9,F$245=""),"",IF(COUNTIFS(BD!$B$3:$B$5001,F$245,BD!$A$3:$A$5001,"&gt;="&amp;$C$7,BD!$A$3:$A$5001,"&lt;="&amp;$B270,BD!$AA$3:$AA$5001,"&lt;&gt;")=0,"",SUMIFS(BD!$AA$3:$AA$5001,BD!$B$3:$B$5001,F$245,BD!$A$3:$A$5001,_xlfn.MAXIFS(BD!$A$3:$A$5001,BD!$B$3:$B$5001,F$245,BD!$A$3:$A$5001,"&gt;="&amp;$C$7,BD!$A$3:$A$5001,"&lt;="&amp;$B270,BD!$AA$3:$AA$5001,"&lt;&gt;"))))</f>
        <v/>
      </c>
      <c r="G270" s="43" t="str">
        <f>IF(OR($B270="",$A270&gt;$B$9,G$245=""),"",IF(COUNTIFS(BD!$B$3:$B$5001,G$245,BD!$A$3:$A$5001,"&gt;="&amp;$C$7,BD!$A$3:$A$5001,"&lt;="&amp;$B270,BD!$AA$3:$AA$5001,"&lt;&gt;")=0,"",SUMIFS(BD!$AA$3:$AA$5001,BD!$B$3:$B$5001,G$245,BD!$A$3:$A$5001,_xlfn.MAXIFS(BD!$A$3:$A$5001,BD!$B$3:$B$5001,G$245,BD!$A$3:$A$5001,"&gt;="&amp;$C$7,BD!$A$3:$A$5001,"&lt;="&amp;$B270,BD!$AA$3:$AA$5001,"&lt;&gt;"))))</f>
        <v/>
      </c>
      <c r="H270" s="43" t="str">
        <f>IF(OR($B270="",$A270&gt;$B$9,H$245=""),"",IF(COUNTIFS(BD!$B$3:$B$5001,H$245,BD!$A$3:$A$5001,"&gt;="&amp;$C$7,BD!$A$3:$A$5001,"&lt;="&amp;$B270,BD!$AA$3:$AA$5001,"&lt;&gt;")=0,"",SUMIFS(BD!$AA$3:$AA$5001,BD!$B$3:$B$5001,H$245,BD!$A$3:$A$5001,_xlfn.MAXIFS(BD!$A$3:$A$5001,BD!$B$3:$B$5001,H$245,BD!$A$3:$A$5001,"&gt;="&amp;$C$7,BD!$A$3:$A$5001,"&lt;="&amp;$B270,BD!$AA$3:$AA$5001,"&lt;&gt;"))))</f>
        <v/>
      </c>
      <c r="I270" s="43" t="str">
        <f>IF(OR($B270="",$A270&gt;$B$9,I$245=""),"",IF(COUNTIFS(BD!$B$3:$B$5001,I$245,BD!$A$3:$A$5001,"&gt;="&amp;$C$7,BD!$A$3:$A$5001,"&lt;="&amp;$B270,BD!$AA$3:$AA$5001,"&lt;&gt;")=0,"",SUMIFS(BD!$AA$3:$AA$5001,BD!$B$3:$B$5001,I$245,BD!$A$3:$A$5001,_xlfn.MAXIFS(BD!$A$3:$A$5001,BD!$B$3:$B$5001,I$245,BD!$A$3:$A$5001,"&gt;="&amp;$C$7,BD!$A$3:$A$5001,"&lt;="&amp;$B270,BD!$AA$3:$AA$5001,"&lt;&gt;"))))</f>
        <v/>
      </c>
      <c r="J270" s="43" t="str">
        <f>IF(OR($B270="",$A270&gt;$B$9,J$245=""),"",IF(COUNTIFS(BD!$B$3:$B$5001,J$245,BD!$A$3:$A$5001,"&gt;="&amp;$C$7,BD!$A$3:$A$5001,"&lt;="&amp;$B270,BD!$AA$3:$AA$5001,"&lt;&gt;")=0,"",SUMIFS(BD!$AA$3:$AA$5001,BD!$B$3:$B$5001,J$245,BD!$A$3:$A$5001,_xlfn.MAXIFS(BD!$A$3:$A$5001,BD!$B$3:$B$5001,J$245,BD!$A$3:$A$5001,"&gt;="&amp;$C$7,BD!$A$3:$A$5001,"&lt;="&amp;$B270,BD!$AA$3:$AA$5001,"&lt;&gt;"))))</f>
        <v/>
      </c>
      <c r="K270" s="43" t="str">
        <f>IF(OR($B270="",$A270&gt;$B$9,K$245=""),"",IF(COUNTIFS(BD!$B$3:$B$5001,K$245,BD!$A$3:$A$5001,"&gt;="&amp;$C$7,BD!$A$3:$A$5001,"&lt;="&amp;$B270,BD!$AA$3:$AA$5001,"&lt;&gt;")=0,"",SUMIFS(BD!$AA$3:$AA$5001,BD!$B$3:$B$5001,K$245,BD!$A$3:$A$5001,_xlfn.MAXIFS(BD!$A$3:$A$5001,BD!$B$3:$B$5001,K$245,BD!$A$3:$A$5001,"&gt;="&amp;$C$7,BD!$A$3:$A$5001,"&lt;="&amp;$B270,BD!$AA$3:$AA$5001,"&lt;&gt;"))))</f>
        <v/>
      </c>
      <c r="L270" s="43" t="str">
        <f>IF(OR($B270="",$A270&gt;$B$9,L$245=""),"",IF(COUNTIFS(BD!$B$3:$B$5001,L$245,BD!$A$3:$A$5001,"&gt;="&amp;$C$7,BD!$A$3:$A$5001,"&lt;="&amp;$B270,BD!$AA$3:$AA$5001,"&lt;&gt;")=0,"",SUMIFS(BD!$AA$3:$AA$5001,BD!$B$3:$B$5001,L$245,BD!$A$3:$A$5001,_xlfn.MAXIFS(BD!$A$3:$A$5001,BD!$B$3:$B$5001,L$245,BD!$A$3:$A$5001,"&gt;="&amp;$C$7,BD!$A$3:$A$5001,"&lt;="&amp;$B270,BD!$AA$3:$AA$5001,"&lt;&gt;"))))</f>
        <v/>
      </c>
      <c r="M270" s="43" t="str">
        <f>IF(OR($B270="",$A270&gt;$B$9,M$245=""),"",IF(COUNTIFS(BD!$B$3:$B$5001,M$245,BD!$A$3:$A$5001,"&gt;="&amp;$C$7,BD!$A$3:$A$5001,"&lt;="&amp;$B270,BD!$AA$3:$AA$5001,"&lt;&gt;")=0,"",SUMIFS(BD!$AA$3:$AA$5001,BD!$B$3:$B$5001,M$245,BD!$A$3:$A$5001,_xlfn.MAXIFS(BD!$A$3:$A$5001,BD!$B$3:$B$5001,M$245,BD!$A$3:$A$5001,"&gt;="&amp;$C$7,BD!$A$3:$A$5001,"&lt;="&amp;$B270,BD!$AA$3:$AA$5001,"&lt;&gt;"))))</f>
        <v/>
      </c>
      <c r="N270" s="43" t="str">
        <f>IF(OR($B270="",$A270&gt;$B$9,N$245=""),"",IF(COUNTIFS(BD!$B$3:$B$5001,N$245,BD!$A$3:$A$5001,"&gt;="&amp;$C$7,BD!$A$3:$A$5001,"&lt;="&amp;$B270,BD!$AA$3:$AA$5001,"&lt;&gt;")=0,"",SUMIFS(BD!$AA$3:$AA$5001,BD!$B$3:$B$5001,N$245,BD!$A$3:$A$5001,_xlfn.MAXIFS(BD!$A$3:$A$5001,BD!$B$3:$B$5001,N$245,BD!$A$3:$A$5001,"&gt;="&amp;$C$7,BD!$A$3:$A$5001,"&lt;="&amp;$B270,BD!$AA$3:$AA$5001,"&lt;&gt;"))))</f>
        <v/>
      </c>
      <c r="O270" s="43" t="str">
        <f>IF(OR($B270="",$A270&gt;$B$9,O$245=""),"",IF(COUNTIFS(BD!$B$3:$B$5001,O$245,BD!$A$3:$A$5001,"&gt;="&amp;$C$7,BD!$A$3:$A$5001,"&lt;="&amp;$B270,BD!$AA$3:$AA$5001,"&lt;&gt;")=0,"",SUMIFS(BD!$AA$3:$AA$5001,BD!$B$3:$B$5001,O$245,BD!$A$3:$A$5001,_xlfn.MAXIFS(BD!$A$3:$A$5001,BD!$B$3:$B$5001,O$245,BD!$A$3:$A$5001,"&gt;="&amp;$C$7,BD!$A$3:$A$5001,"&lt;="&amp;$B270,BD!$AA$3:$AA$5001,"&lt;&gt;"))))</f>
        <v/>
      </c>
      <c r="P270" s="43" t="str">
        <f>IF(OR($B270="",$A270&gt;$B$9,P$245=""),"",IF(COUNTIFS(BD!$B$3:$B$5001,P$245,BD!$A$3:$A$5001,"&gt;="&amp;$C$7,BD!$A$3:$A$5001,"&lt;="&amp;$B270,BD!$AA$3:$AA$5001,"&lt;&gt;")=0,"",SUMIFS(BD!$AA$3:$AA$5001,BD!$B$3:$B$5001,P$245,BD!$A$3:$A$5001,_xlfn.MAXIFS(BD!$A$3:$A$5001,BD!$B$3:$B$5001,P$245,BD!$A$3:$A$5001,"&gt;="&amp;$C$7,BD!$A$3:$A$5001,"&lt;="&amp;$B270,BD!$AA$3:$AA$5001,"&lt;&gt;"))))</f>
        <v/>
      </c>
      <c r="Q270" s="43" t="str">
        <f>IF(OR($B270="",$A270&gt;$B$9,Q$245=""),"",IF(COUNTIFS(BD!$B$3:$B$5001,Q$245,BD!$A$3:$A$5001,"&gt;="&amp;$C$7,BD!$A$3:$A$5001,"&lt;="&amp;$B270,BD!$AA$3:$AA$5001,"&lt;&gt;")=0,"",SUMIFS(BD!$AA$3:$AA$5001,BD!$B$3:$B$5001,Q$245,BD!$A$3:$A$5001,_xlfn.MAXIFS(BD!$A$3:$A$5001,BD!$B$3:$B$5001,Q$245,BD!$A$3:$A$5001,"&gt;="&amp;$C$7,BD!$A$3:$A$5001,"&lt;="&amp;$B270,BD!$AA$3:$AA$5001,"&lt;&gt;"))))</f>
        <v/>
      </c>
      <c r="R270" s="43" t="str">
        <f>IF(OR($B270="",$A270&gt;$B$9,R$245=""),"",IF(COUNTIFS(BD!$B$3:$B$5001,R$245,BD!$A$3:$A$5001,"&gt;="&amp;$C$7,BD!$A$3:$A$5001,"&lt;="&amp;$B270,BD!$AA$3:$AA$5001,"&lt;&gt;")=0,"",SUMIFS(BD!$AA$3:$AA$5001,BD!$B$3:$B$5001,R$245,BD!$A$3:$A$5001,_xlfn.MAXIFS(BD!$A$3:$A$5001,BD!$B$3:$B$5001,R$245,BD!$A$3:$A$5001,"&gt;="&amp;$C$7,BD!$A$3:$A$5001,"&lt;="&amp;$B270,BD!$AA$3:$AA$5001,"&lt;&gt;"))))</f>
        <v/>
      </c>
      <c r="S270" s="43" t="str">
        <f>IF(OR($B270="",$A270&gt;$B$9,S$245=""),"",IF(COUNTIFS(BD!$B$3:$B$5001,S$245,BD!$A$3:$A$5001,"&gt;="&amp;$C$7,BD!$A$3:$A$5001,"&lt;="&amp;$B270,BD!$AA$3:$AA$5001,"&lt;&gt;")=0,"",SUMIFS(BD!$AA$3:$AA$5001,BD!$B$3:$B$5001,S$245,BD!$A$3:$A$5001,_xlfn.MAXIFS(BD!$A$3:$A$5001,BD!$B$3:$B$5001,S$245,BD!$A$3:$A$5001,"&gt;="&amp;$C$7,BD!$A$3:$A$5001,"&lt;="&amp;$B270,BD!$AA$3:$AA$5001,"&lt;&gt;"))))</f>
        <v/>
      </c>
      <c r="T270" s="43" t="str">
        <f>IF(OR($B270="",$A270&gt;$B$9,T$245=""),"",IF(COUNTIFS(BD!$B$3:$B$5001,T$245,BD!$A$3:$A$5001,"&gt;="&amp;$C$7,BD!$A$3:$A$5001,"&lt;="&amp;$B270,BD!$AA$3:$AA$5001,"&lt;&gt;")=0,"",SUMIFS(BD!$AA$3:$AA$5001,BD!$B$3:$B$5001,T$245,BD!$A$3:$A$5001,_xlfn.MAXIFS(BD!$A$3:$A$5001,BD!$B$3:$B$5001,T$245,BD!$A$3:$A$5001,"&gt;="&amp;$C$7,BD!$A$3:$A$5001,"&lt;="&amp;$B270,BD!$AA$3:$AA$5001,"&lt;&gt;"))))</f>
        <v/>
      </c>
      <c r="U270" s="43" t="str">
        <f>IF(OR($B270="",$A270&gt;$B$9,U$245=""),"",IF(COUNTIFS(BD!$B$3:$B$5001,U$245,BD!$A$3:$A$5001,"&gt;="&amp;$C$7,BD!$A$3:$A$5001,"&lt;="&amp;$B270,BD!$AA$3:$AA$5001,"&lt;&gt;")=0,"",SUMIFS(BD!$AA$3:$AA$5001,BD!$B$3:$B$5001,U$245,BD!$A$3:$A$5001,_xlfn.MAXIFS(BD!$A$3:$A$5001,BD!$B$3:$B$5001,U$245,BD!$A$3:$A$5001,"&gt;="&amp;$C$7,BD!$A$3:$A$5001,"&lt;="&amp;$B270,BD!$AA$3:$AA$5001,"&lt;&gt;"))))</f>
        <v/>
      </c>
      <c r="V270" s="43" t="str">
        <f>IF(OR($B270="",$A270&gt;$B$9,V$245=""),"",IF(COUNTIFS(BD!$B$3:$B$5001,V$245,BD!$A$3:$A$5001,"&gt;="&amp;$C$7,BD!$A$3:$A$5001,"&lt;="&amp;$B270,BD!$AA$3:$AA$5001,"&lt;&gt;")=0,"",SUMIFS(BD!$AA$3:$AA$5001,BD!$B$3:$B$5001,V$245,BD!$A$3:$A$5001,_xlfn.MAXIFS(BD!$A$3:$A$5001,BD!$B$3:$B$5001,V$245,BD!$A$3:$A$5001,"&gt;="&amp;$C$7,BD!$A$3:$A$5001,"&lt;="&amp;$B270,BD!$AA$3:$AA$5001,"&lt;&gt;"))))</f>
        <v/>
      </c>
    </row>
    <row r="271">
      <c r="A271" s="38">
        <v>26</v>
      </c>
      <c r="B271" s="42">
        <f>$B$37</f>
        <v>46321</v>
      </c>
      <c r="C271" s="43" t="str">
        <f>IF(OR($B271="",$A271&gt;$B$9,C$245=""),"",IF(COUNTIFS(BD!$B$3:$B$5001,C$245,BD!$A$3:$A$5001,"&gt;="&amp;$C$7,BD!$A$3:$A$5001,"&lt;="&amp;$B271,BD!$AA$3:$AA$5001,"&lt;&gt;")=0,"",SUMIFS(BD!$AA$3:$AA$5001,BD!$B$3:$B$5001,C$245,BD!$A$3:$A$5001,_xlfn.MAXIFS(BD!$A$3:$A$5001,BD!$B$3:$B$5001,C$245,BD!$A$3:$A$5001,"&gt;="&amp;$C$7,BD!$A$3:$A$5001,"&lt;="&amp;$B271,BD!$AA$3:$AA$5001,"&lt;&gt;"))))</f>
        <v/>
      </c>
      <c r="D271" s="43" t="str">
        <f>IF(OR($B271="",$A271&gt;$B$9,D$245=""),"",IF(COUNTIFS(BD!$B$3:$B$5001,D$245,BD!$A$3:$A$5001,"&gt;="&amp;$C$7,BD!$A$3:$A$5001,"&lt;="&amp;$B271,BD!$AA$3:$AA$5001,"&lt;&gt;")=0,"",SUMIFS(BD!$AA$3:$AA$5001,BD!$B$3:$B$5001,D$245,BD!$A$3:$A$5001,_xlfn.MAXIFS(BD!$A$3:$A$5001,BD!$B$3:$B$5001,D$245,BD!$A$3:$A$5001,"&gt;="&amp;$C$7,BD!$A$3:$A$5001,"&lt;="&amp;$B271,BD!$AA$3:$AA$5001,"&lt;&gt;"))))</f>
        <v/>
      </c>
      <c r="E271" s="43" t="str">
        <f>IF(OR($B271="",$A271&gt;$B$9,E$245=""),"",IF(COUNTIFS(BD!$B$3:$B$5001,E$245,BD!$A$3:$A$5001,"&gt;="&amp;$C$7,BD!$A$3:$A$5001,"&lt;="&amp;$B271,BD!$AA$3:$AA$5001,"&lt;&gt;")=0,"",SUMIFS(BD!$AA$3:$AA$5001,BD!$B$3:$B$5001,E$245,BD!$A$3:$A$5001,_xlfn.MAXIFS(BD!$A$3:$A$5001,BD!$B$3:$B$5001,E$245,BD!$A$3:$A$5001,"&gt;="&amp;$C$7,BD!$A$3:$A$5001,"&lt;="&amp;$B271,BD!$AA$3:$AA$5001,"&lt;&gt;"))))</f>
        <v/>
      </c>
      <c r="F271" s="43" t="str">
        <f>IF(OR($B271="",$A271&gt;$B$9,F$245=""),"",IF(COUNTIFS(BD!$B$3:$B$5001,F$245,BD!$A$3:$A$5001,"&gt;="&amp;$C$7,BD!$A$3:$A$5001,"&lt;="&amp;$B271,BD!$AA$3:$AA$5001,"&lt;&gt;")=0,"",SUMIFS(BD!$AA$3:$AA$5001,BD!$B$3:$B$5001,F$245,BD!$A$3:$A$5001,_xlfn.MAXIFS(BD!$A$3:$A$5001,BD!$B$3:$B$5001,F$245,BD!$A$3:$A$5001,"&gt;="&amp;$C$7,BD!$A$3:$A$5001,"&lt;="&amp;$B271,BD!$AA$3:$AA$5001,"&lt;&gt;"))))</f>
        <v/>
      </c>
      <c r="G271" s="43" t="str">
        <f>IF(OR($B271="",$A271&gt;$B$9,G$245=""),"",IF(COUNTIFS(BD!$B$3:$B$5001,G$245,BD!$A$3:$A$5001,"&gt;="&amp;$C$7,BD!$A$3:$A$5001,"&lt;="&amp;$B271,BD!$AA$3:$AA$5001,"&lt;&gt;")=0,"",SUMIFS(BD!$AA$3:$AA$5001,BD!$B$3:$B$5001,G$245,BD!$A$3:$A$5001,_xlfn.MAXIFS(BD!$A$3:$A$5001,BD!$B$3:$B$5001,G$245,BD!$A$3:$A$5001,"&gt;="&amp;$C$7,BD!$A$3:$A$5001,"&lt;="&amp;$B271,BD!$AA$3:$AA$5001,"&lt;&gt;"))))</f>
        <v/>
      </c>
      <c r="H271" s="43" t="str">
        <f>IF(OR($B271="",$A271&gt;$B$9,H$245=""),"",IF(COUNTIFS(BD!$B$3:$B$5001,H$245,BD!$A$3:$A$5001,"&gt;="&amp;$C$7,BD!$A$3:$A$5001,"&lt;="&amp;$B271,BD!$AA$3:$AA$5001,"&lt;&gt;")=0,"",SUMIFS(BD!$AA$3:$AA$5001,BD!$B$3:$B$5001,H$245,BD!$A$3:$A$5001,_xlfn.MAXIFS(BD!$A$3:$A$5001,BD!$B$3:$B$5001,H$245,BD!$A$3:$A$5001,"&gt;="&amp;$C$7,BD!$A$3:$A$5001,"&lt;="&amp;$B271,BD!$AA$3:$AA$5001,"&lt;&gt;"))))</f>
        <v/>
      </c>
      <c r="I271" s="43" t="str">
        <f>IF(OR($B271="",$A271&gt;$B$9,I$245=""),"",IF(COUNTIFS(BD!$B$3:$B$5001,I$245,BD!$A$3:$A$5001,"&gt;="&amp;$C$7,BD!$A$3:$A$5001,"&lt;="&amp;$B271,BD!$AA$3:$AA$5001,"&lt;&gt;")=0,"",SUMIFS(BD!$AA$3:$AA$5001,BD!$B$3:$B$5001,I$245,BD!$A$3:$A$5001,_xlfn.MAXIFS(BD!$A$3:$A$5001,BD!$B$3:$B$5001,I$245,BD!$A$3:$A$5001,"&gt;="&amp;$C$7,BD!$A$3:$A$5001,"&lt;="&amp;$B271,BD!$AA$3:$AA$5001,"&lt;&gt;"))))</f>
        <v/>
      </c>
      <c r="J271" s="43" t="str">
        <f>IF(OR($B271="",$A271&gt;$B$9,J$245=""),"",IF(COUNTIFS(BD!$B$3:$B$5001,J$245,BD!$A$3:$A$5001,"&gt;="&amp;$C$7,BD!$A$3:$A$5001,"&lt;="&amp;$B271,BD!$AA$3:$AA$5001,"&lt;&gt;")=0,"",SUMIFS(BD!$AA$3:$AA$5001,BD!$B$3:$B$5001,J$245,BD!$A$3:$A$5001,_xlfn.MAXIFS(BD!$A$3:$A$5001,BD!$B$3:$B$5001,J$245,BD!$A$3:$A$5001,"&gt;="&amp;$C$7,BD!$A$3:$A$5001,"&lt;="&amp;$B271,BD!$AA$3:$AA$5001,"&lt;&gt;"))))</f>
        <v/>
      </c>
      <c r="K271" s="43" t="str">
        <f>IF(OR($B271="",$A271&gt;$B$9,K$245=""),"",IF(COUNTIFS(BD!$B$3:$B$5001,K$245,BD!$A$3:$A$5001,"&gt;="&amp;$C$7,BD!$A$3:$A$5001,"&lt;="&amp;$B271,BD!$AA$3:$AA$5001,"&lt;&gt;")=0,"",SUMIFS(BD!$AA$3:$AA$5001,BD!$B$3:$B$5001,K$245,BD!$A$3:$A$5001,_xlfn.MAXIFS(BD!$A$3:$A$5001,BD!$B$3:$B$5001,K$245,BD!$A$3:$A$5001,"&gt;="&amp;$C$7,BD!$A$3:$A$5001,"&lt;="&amp;$B271,BD!$AA$3:$AA$5001,"&lt;&gt;"))))</f>
        <v/>
      </c>
      <c r="L271" s="43" t="str">
        <f>IF(OR($B271="",$A271&gt;$B$9,L$245=""),"",IF(COUNTIFS(BD!$B$3:$B$5001,L$245,BD!$A$3:$A$5001,"&gt;="&amp;$C$7,BD!$A$3:$A$5001,"&lt;="&amp;$B271,BD!$AA$3:$AA$5001,"&lt;&gt;")=0,"",SUMIFS(BD!$AA$3:$AA$5001,BD!$B$3:$B$5001,L$245,BD!$A$3:$A$5001,_xlfn.MAXIFS(BD!$A$3:$A$5001,BD!$B$3:$B$5001,L$245,BD!$A$3:$A$5001,"&gt;="&amp;$C$7,BD!$A$3:$A$5001,"&lt;="&amp;$B271,BD!$AA$3:$AA$5001,"&lt;&gt;"))))</f>
        <v/>
      </c>
      <c r="M271" s="43" t="str">
        <f>IF(OR($B271="",$A271&gt;$B$9,M$245=""),"",IF(COUNTIFS(BD!$B$3:$B$5001,M$245,BD!$A$3:$A$5001,"&gt;="&amp;$C$7,BD!$A$3:$A$5001,"&lt;="&amp;$B271,BD!$AA$3:$AA$5001,"&lt;&gt;")=0,"",SUMIFS(BD!$AA$3:$AA$5001,BD!$B$3:$B$5001,M$245,BD!$A$3:$A$5001,_xlfn.MAXIFS(BD!$A$3:$A$5001,BD!$B$3:$B$5001,M$245,BD!$A$3:$A$5001,"&gt;="&amp;$C$7,BD!$A$3:$A$5001,"&lt;="&amp;$B271,BD!$AA$3:$AA$5001,"&lt;&gt;"))))</f>
        <v/>
      </c>
      <c r="N271" s="43" t="str">
        <f>IF(OR($B271="",$A271&gt;$B$9,N$245=""),"",IF(COUNTIFS(BD!$B$3:$B$5001,N$245,BD!$A$3:$A$5001,"&gt;="&amp;$C$7,BD!$A$3:$A$5001,"&lt;="&amp;$B271,BD!$AA$3:$AA$5001,"&lt;&gt;")=0,"",SUMIFS(BD!$AA$3:$AA$5001,BD!$B$3:$B$5001,N$245,BD!$A$3:$A$5001,_xlfn.MAXIFS(BD!$A$3:$A$5001,BD!$B$3:$B$5001,N$245,BD!$A$3:$A$5001,"&gt;="&amp;$C$7,BD!$A$3:$A$5001,"&lt;="&amp;$B271,BD!$AA$3:$AA$5001,"&lt;&gt;"))))</f>
        <v/>
      </c>
      <c r="O271" s="43" t="str">
        <f>IF(OR($B271="",$A271&gt;$B$9,O$245=""),"",IF(COUNTIFS(BD!$B$3:$B$5001,O$245,BD!$A$3:$A$5001,"&gt;="&amp;$C$7,BD!$A$3:$A$5001,"&lt;="&amp;$B271,BD!$AA$3:$AA$5001,"&lt;&gt;")=0,"",SUMIFS(BD!$AA$3:$AA$5001,BD!$B$3:$B$5001,O$245,BD!$A$3:$A$5001,_xlfn.MAXIFS(BD!$A$3:$A$5001,BD!$B$3:$B$5001,O$245,BD!$A$3:$A$5001,"&gt;="&amp;$C$7,BD!$A$3:$A$5001,"&lt;="&amp;$B271,BD!$AA$3:$AA$5001,"&lt;&gt;"))))</f>
        <v/>
      </c>
      <c r="P271" s="43" t="str">
        <f>IF(OR($B271="",$A271&gt;$B$9,P$245=""),"",IF(COUNTIFS(BD!$B$3:$B$5001,P$245,BD!$A$3:$A$5001,"&gt;="&amp;$C$7,BD!$A$3:$A$5001,"&lt;="&amp;$B271,BD!$AA$3:$AA$5001,"&lt;&gt;")=0,"",SUMIFS(BD!$AA$3:$AA$5001,BD!$B$3:$B$5001,P$245,BD!$A$3:$A$5001,_xlfn.MAXIFS(BD!$A$3:$A$5001,BD!$B$3:$B$5001,P$245,BD!$A$3:$A$5001,"&gt;="&amp;$C$7,BD!$A$3:$A$5001,"&lt;="&amp;$B271,BD!$AA$3:$AA$5001,"&lt;&gt;"))))</f>
        <v/>
      </c>
      <c r="Q271" s="43" t="str">
        <f>IF(OR($B271="",$A271&gt;$B$9,Q$245=""),"",IF(COUNTIFS(BD!$B$3:$B$5001,Q$245,BD!$A$3:$A$5001,"&gt;="&amp;$C$7,BD!$A$3:$A$5001,"&lt;="&amp;$B271,BD!$AA$3:$AA$5001,"&lt;&gt;")=0,"",SUMIFS(BD!$AA$3:$AA$5001,BD!$B$3:$B$5001,Q$245,BD!$A$3:$A$5001,_xlfn.MAXIFS(BD!$A$3:$A$5001,BD!$B$3:$B$5001,Q$245,BD!$A$3:$A$5001,"&gt;="&amp;$C$7,BD!$A$3:$A$5001,"&lt;="&amp;$B271,BD!$AA$3:$AA$5001,"&lt;&gt;"))))</f>
        <v/>
      </c>
      <c r="R271" s="43" t="str">
        <f>IF(OR($B271="",$A271&gt;$B$9,R$245=""),"",IF(COUNTIFS(BD!$B$3:$B$5001,R$245,BD!$A$3:$A$5001,"&gt;="&amp;$C$7,BD!$A$3:$A$5001,"&lt;="&amp;$B271,BD!$AA$3:$AA$5001,"&lt;&gt;")=0,"",SUMIFS(BD!$AA$3:$AA$5001,BD!$B$3:$B$5001,R$245,BD!$A$3:$A$5001,_xlfn.MAXIFS(BD!$A$3:$A$5001,BD!$B$3:$B$5001,R$245,BD!$A$3:$A$5001,"&gt;="&amp;$C$7,BD!$A$3:$A$5001,"&lt;="&amp;$B271,BD!$AA$3:$AA$5001,"&lt;&gt;"))))</f>
        <v/>
      </c>
      <c r="S271" s="43" t="str">
        <f>IF(OR($B271="",$A271&gt;$B$9,S$245=""),"",IF(COUNTIFS(BD!$B$3:$B$5001,S$245,BD!$A$3:$A$5001,"&gt;="&amp;$C$7,BD!$A$3:$A$5001,"&lt;="&amp;$B271,BD!$AA$3:$AA$5001,"&lt;&gt;")=0,"",SUMIFS(BD!$AA$3:$AA$5001,BD!$B$3:$B$5001,S$245,BD!$A$3:$A$5001,_xlfn.MAXIFS(BD!$A$3:$A$5001,BD!$B$3:$B$5001,S$245,BD!$A$3:$A$5001,"&gt;="&amp;$C$7,BD!$A$3:$A$5001,"&lt;="&amp;$B271,BD!$AA$3:$AA$5001,"&lt;&gt;"))))</f>
        <v/>
      </c>
      <c r="T271" s="43" t="str">
        <f>IF(OR($B271="",$A271&gt;$B$9,T$245=""),"",IF(COUNTIFS(BD!$B$3:$B$5001,T$245,BD!$A$3:$A$5001,"&gt;="&amp;$C$7,BD!$A$3:$A$5001,"&lt;="&amp;$B271,BD!$AA$3:$AA$5001,"&lt;&gt;")=0,"",SUMIFS(BD!$AA$3:$AA$5001,BD!$B$3:$B$5001,T$245,BD!$A$3:$A$5001,_xlfn.MAXIFS(BD!$A$3:$A$5001,BD!$B$3:$B$5001,T$245,BD!$A$3:$A$5001,"&gt;="&amp;$C$7,BD!$A$3:$A$5001,"&lt;="&amp;$B271,BD!$AA$3:$AA$5001,"&lt;&gt;"))))</f>
        <v/>
      </c>
      <c r="U271" s="43" t="str">
        <f>IF(OR($B271="",$A271&gt;$B$9,U$245=""),"",IF(COUNTIFS(BD!$B$3:$B$5001,U$245,BD!$A$3:$A$5001,"&gt;="&amp;$C$7,BD!$A$3:$A$5001,"&lt;="&amp;$B271,BD!$AA$3:$AA$5001,"&lt;&gt;")=0,"",SUMIFS(BD!$AA$3:$AA$5001,BD!$B$3:$B$5001,U$245,BD!$A$3:$A$5001,_xlfn.MAXIFS(BD!$A$3:$A$5001,BD!$B$3:$B$5001,U$245,BD!$A$3:$A$5001,"&gt;="&amp;$C$7,BD!$A$3:$A$5001,"&lt;="&amp;$B271,BD!$AA$3:$AA$5001,"&lt;&gt;"))))</f>
        <v/>
      </c>
      <c r="V271" s="43" t="str">
        <f>IF(OR($B271="",$A271&gt;$B$9,V$245=""),"",IF(COUNTIFS(BD!$B$3:$B$5001,V$245,BD!$A$3:$A$5001,"&gt;="&amp;$C$7,BD!$A$3:$A$5001,"&lt;="&amp;$B271,BD!$AA$3:$AA$5001,"&lt;&gt;")=0,"",SUMIFS(BD!$AA$3:$AA$5001,BD!$B$3:$B$5001,V$245,BD!$A$3:$A$5001,_xlfn.MAXIFS(BD!$A$3:$A$5001,BD!$B$3:$B$5001,V$245,BD!$A$3:$A$5001,"&gt;="&amp;$C$7,BD!$A$3:$A$5001,"&lt;="&amp;$B271,BD!$AA$3:$AA$5001,"&lt;&gt;"))))</f>
        <v/>
      </c>
    </row>
    <row r="272">
      <c r="A272" s="38">
        <v>27</v>
      </c>
      <c r="B272" s="42">
        <f>$B$38</f>
        <v>46322</v>
      </c>
      <c r="C272" s="43" t="str">
        <f>IF(OR($B272="",$A272&gt;$B$9,C$245=""),"",IF(COUNTIFS(BD!$B$3:$B$5001,C$245,BD!$A$3:$A$5001,"&gt;="&amp;$C$7,BD!$A$3:$A$5001,"&lt;="&amp;$B272,BD!$AA$3:$AA$5001,"&lt;&gt;")=0,"",SUMIFS(BD!$AA$3:$AA$5001,BD!$B$3:$B$5001,C$245,BD!$A$3:$A$5001,_xlfn.MAXIFS(BD!$A$3:$A$5001,BD!$B$3:$B$5001,C$245,BD!$A$3:$A$5001,"&gt;="&amp;$C$7,BD!$A$3:$A$5001,"&lt;="&amp;$B272,BD!$AA$3:$AA$5001,"&lt;&gt;"))))</f>
        <v/>
      </c>
      <c r="D272" s="43" t="str">
        <f>IF(OR($B272="",$A272&gt;$B$9,D$245=""),"",IF(COUNTIFS(BD!$B$3:$B$5001,D$245,BD!$A$3:$A$5001,"&gt;="&amp;$C$7,BD!$A$3:$A$5001,"&lt;="&amp;$B272,BD!$AA$3:$AA$5001,"&lt;&gt;")=0,"",SUMIFS(BD!$AA$3:$AA$5001,BD!$B$3:$B$5001,D$245,BD!$A$3:$A$5001,_xlfn.MAXIFS(BD!$A$3:$A$5001,BD!$B$3:$B$5001,D$245,BD!$A$3:$A$5001,"&gt;="&amp;$C$7,BD!$A$3:$A$5001,"&lt;="&amp;$B272,BD!$AA$3:$AA$5001,"&lt;&gt;"))))</f>
        <v/>
      </c>
      <c r="E272" s="43" t="str">
        <f>IF(OR($B272="",$A272&gt;$B$9,E$245=""),"",IF(COUNTIFS(BD!$B$3:$B$5001,E$245,BD!$A$3:$A$5001,"&gt;="&amp;$C$7,BD!$A$3:$A$5001,"&lt;="&amp;$B272,BD!$AA$3:$AA$5001,"&lt;&gt;")=0,"",SUMIFS(BD!$AA$3:$AA$5001,BD!$B$3:$B$5001,E$245,BD!$A$3:$A$5001,_xlfn.MAXIFS(BD!$A$3:$A$5001,BD!$B$3:$B$5001,E$245,BD!$A$3:$A$5001,"&gt;="&amp;$C$7,BD!$A$3:$A$5001,"&lt;="&amp;$B272,BD!$AA$3:$AA$5001,"&lt;&gt;"))))</f>
        <v/>
      </c>
      <c r="F272" s="43" t="str">
        <f>IF(OR($B272="",$A272&gt;$B$9,F$245=""),"",IF(COUNTIFS(BD!$B$3:$B$5001,F$245,BD!$A$3:$A$5001,"&gt;="&amp;$C$7,BD!$A$3:$A$5001,"&lt;="&amp;$B272,BD!$AA$3:$AA$5001,"&lt;&gt;")=0,"",SUMIFS(BD!$AA$3:$AA$5001,BD!$B$3:$B$5001,F$245,BD!$A$3:$A$5001,_xlfn.MAXIFS(BD!$A$3:$A$5001,BD!$B$3:$B$5001,F$245,BD!$A$3:$A$5001,"&gt;="&amp;$C$7,BD!$A$3:$A$5001,"&lt;="&amp;$B272,BD!$AA$3:$AA$5001,"&lt;&gt;"))))</f>
        <v/>
      </c>
      <c r="G272" s="43" t="str">
        <f>IF(OR($B272="",$A272&gt;$B$9,G$245=""),"",IF(COUNTIFS(BD!$B$3:$B$5001,G$245,BD!$A$3:$A$5001,"&gt;="&amp;$C$7,BD!$A$3:$A$5001,"&lt;="&amp;$B272,BD!$AA$3:$AA$5001,"&lt;&gt;")=0,"",SUMIFS(BD!$AA$3:$AA$5001,BD!$B$3:$B$5001,G$245,BD!$A$3:$A$5001,_xlfn.MAXIFS(BD!$A$3:$A$5001,BD!$B$3:$B$5001,G$245,BD!$A$3:$A$5001,"&gt;="&amp;$C$7,BD!$A$3:$A$5001,"&lt;="&amp;$B272,BD!$AA$3:$AA$5001,"&lt;&gt;"))))</f>
        <v/>
      </c>
      <c r="H272" s="43" t="str">
        <f>IF(OR($B272="",$A272&gt;$B$9,H$245=""),"",IF(COUNTIFS(BD!$B$3:$B$5001,H$245,BD!$A$3:$A$5001,"&gt;="&amp;$C$7,BD!$A$3:$A$5001,"&lt;="&amp;$B272,BD!$AA$3:$AA$5001,"&lt;&gt;")=0,"",SUMIFS(BD!$AA$3:$AA$5001,BD!$B$3:$B$5001,H$245,BD!$A$3:$A$5001,_xlfn.MAXIFS(BD!$A$3:$A$5001,BD!$B$3:$B$5001,H$245,BD!$A$3:$A$5001,"&gt;="&amp;$C$7,BD!$A$3:$A$5001,"&lt;="&amp;$B272,BD!$AA$3:$AA$5001,"&lt;&gt;"))))</f>
        <v/>
      </c>
      <c r="I272" s="43" t="str">
        <f>IF(OR($B272="",$A272&gt;$B$9,I$245=""),"",IF(COUNTIFS(BD!$B$3:$B$5001,I$245,BD!$A$3:$A$5001,"&gt;="&amp;$C$7,BD!$A$3:$A$5001,"&lt;="&amp;$B272,BD!$AA$3:$AA$5001,"&lt;&gt;")=0,"",SUMIFS(BD!$AA$3:$AA$5001,BD!$B$3:$B$5001,I$245,BD!$A$3:$A$5001,_xlfn.MAXIFS(BD!$A$3:$A$5001,BD!$B$3:$B$5001,I$245,BD!$A$3:$A$5001,"&gt;="&amp;$C$7,BD!$A$3:$A$5001,"&lt;="&amp;$B272,BD!$AA$3:$AA$5001,"&lt;&gt;"))))</f>
        <v/>
      </c>
      <c r="J272" s="43" t="str">
        <f>IF(OR($B272="",$A272&gt;$B$9,J$245=""),"",IF(COUNTIFS(BD!$B$3:$B$5001,J$245,BD!$A$3:$A$5001,"&gt;="&amp;$C$7,BD!$A$3:$A$5001,"&lt;="&amp;$B272,BD!$AA$3:$AA$5001,"&lt;&gt;")=0,"",SUMIFS(BD!$AA$3:$AA$5001,BD!$B$3:$B$5001,J$245,BD!$A$3:$A$5001,_xlfn.MAXIFS(BD!$A$3:$A$5001,BD!$B$3:$B$5001,J$245,BD!$A$3:$A$5001,"&gt;="&amp;$C$7,BD!$A$3:$A$5001,"&lt;="&amp;$B272,BD!$AA$3:$AA$5001,"&lt;&gt;"))))</f>
        <v/>
      </c>
      <c r="K272" s="43" t="str">
        <f>IF(OR($B272="",$A272&gt;$B$9,K$245=""),"",IF(COUNTIFS(BD!$B$3:$B$5001,K$245,BD!$A$3:$A$5001,"&gt;="&amp;$C$7,BD!$A$3:$A$5001,"&lt;="&amp;$B272,BD!$AA$3:$AA$5001,"&lt;&gt;")=0,"",SUMIFS(BD!$AA$3:$AA$5001,BD!$B$3:$B$5001,K$245,BD!$A$3:$A$5001,_xlfn.MAXIFS(BD!$A$3:$A$5001,BD!$B$3:$B$5001,K$245,BD!$A$3:$A$5001,"&gt;="&amp;$C$7,BD!$A$3:$A$5001,"&lt;="&amp;$B272,BD!$AA$3:$AA$5001,"&lt;&gt;"))))</f>
        <v/>
      </c>
      <c r="L272" s="43" t="str">
        <f>IF(OR($B272="",$A272&gt;$B$9,L$245=""),"",IF(COUNTIFS(BD!$B$3:$B$5001,L$245,BD!$A$3:$A$5001,"&gt;="&amp;$C$7,BD!$A$3:$A$5001,"&lt;="&amp;$B272,BD!$AA$3:$AA$5001,"&lt;&gt;")=0,"",SUMIFS(BD!$AA$3:$AA$5001,BD!$B$3:$B$5001,L$245,BD!$A$3:$A$5001,_xlfn.MAXIFS(BD!$A$3:$A$5001,BD!$B$3:$B$5001,L$245,BD!$A$3:$A$5001,"&gt;="&amp;$C$7,BD!$A$3:$A$5001,"&lt;="&amp;$B272,BD!$AA$3:$AA$5001,"&lt;&gt;"))))</f>
        <v/>
      </c>
      <c r="M272" s="43" t="str">
        <f>IF(OR($B272="",$A272&gt;$B$9,M$245=""),"",IF(COUNTIFS(BD!$B$3:$B$5001,M$245,BD!$A$3:$A$5001,"&gt;="&amp;$C$7,BD!$A$3:$A$5001,"&lt;="&amp;$B272,BD!$AA$3:$AA$5001,"&lt;&gt;")=0,"",SUMIFS(BD!$AA$3:$AA$5001,BD!$B$3:$B$5001,M$245,BD!$A$3:$A$5001,_xlfn.MAXIFS(BD!$A$3:$A$5001,BD!$B$3:$B$5001,M$245,BD!$A$3:$A$5001,"&gt;="&amp;$C$7,BD!$A$3:$A$5001,"&lt;="&amp;$B272,BD!$AA$3:$AA$5001,"&lt;&gt;"))))</f>
        <v/>
      </c>
      <c r="N272" s="43" t="str">
        <f>IF(OR($B272="",$A272&gt;$B$9,N$245=""),"",IF(COUNTIFS(BD!$B$3:$B$5001,N$245,BD!$A$3:$A$5001,"&gt;="&amp;$C$7,BD!$A$3:$A$5001,"&lt;="&amp;$B272,BD!$AA$3:$AA$5001,"&lt;&gt;")=0,"",SUMIFS(BD!$AA$3:$AA$5001,BD!$B$3:$B$5001,N$245,BD!$A$3:$A$5001,_xlfn.MAXIFS(BD!$A$3:$A$5001,BD!$B$3:$B$5001,N$245,BD!$A$3:$A$5001,"&gt;="&amp;$C$7,BD!$A$3:$A$5001,"&lt;="&amp;$B272,BD!$AA$3:$AA$5001,"&lt;&gt;"))))</f>
        <v/>
      </c>
      <c r="O272" s="43" t="str">
        <f>IF(OR($B272="",$A272&gt;$B$9,O$245=""),"",IF(COUNTIFS(BD!$B$3:$B$5001,O$245,BD!$A$3:$A$5001,"&gt;="&amp;$C$7,BD!$A$3:$A$5001,"&lt;="&amp;$B272,BD!$AA$3:$AA$5001,"&lt;&gt;")=0,"",SUMIFS(BD!$AA$3:$AA$5001,BD!$B$3:$B$5001,O$245,BD!$A$3:$A$5001,_xlfn.MAXIFS(BD!$A$3:$A$5001,BD!$B$3:$B$5001,O$245,BD!$A$3:$A$5001,"&gt;="&amp;$C$7,BD!$A$3:$A$5001,"&lt;="&amp;$B272,BD!$AA$3:$AA$5001,"&lt;&gt;"))))</f>
        <v/>
      </c>
      <c r="P272" s="43" t="str">
        <f>IF(OR($B272="",$A272&gt;$B$9,P$245=""),"",IF(COUNTIFS(BD!$B$3:$B$5001,P$245,BD!$A$3:$A$5001,"&gt;="&amp;$C$7,BD!$A$3:$A$5001,"&lt;="&amp;$B272,BD!$AA$3:$AA$5001,"&lt;&gt;")=0,"",SUMIFS(BD!$AA$3:$AA$5001,BD!$B$3:$B$5001,P$245,BD!$A$3:$A$5001,_xlfn.MAXIFS(BD!$A$3:$A$5001,BD!$B$3:$B$5001,P$245,BD!$A$3:$A$5001,"&gt;="&amp;$C$7,BD!$A$3:$A$5001,"&lt;="&amp;$B272,BD!$AA$3:$AA$5001,"&lt;&gt;"))))</f>
        <v/>
      </c>
      <c r="Q272" s="43" t="str">
        <f>IF(OR($B272="",$A272&gt;$B$9,Q$245=""),"",IF(COUNTIFS(BD!$B$3:$B$5001,Q$245,BD!$A$3:$A$5001,"&gt;="&amp;$C$7,BD!$A$3:$A$5001,"&lt;="&amp;$B272,BD!$AA$3:$AA$5001,"&lt;&gt;")=0,"",SUMIFS(BD!$AA$3:$AA$5001,BD!$B$3:$B$5001,Q$245,BD!$A$3:$A$5001,_xlfn.MAXIFS(BD!$A$3:$A$5001,BD!$B$3:$B$5001,Q$245,BD!$A$3:$A$5001,"&gt;="&amp;$C$7,BD!$A$3:$A$5001,"&lt;="&amp;$B272,BD!$AA$3:$AA$5001,"&lt;&gt;"))))</f>
        <v/>
      </c>
      <c r="R272" s="43" t="str">
        <f>IF(OR($B272="",$A272&gt;$B$9,R$245=""),"",IF(COUNTIFS(BD!$B$3:$B$5001,R$245,BD!$A$3:$A$5001,"&gt;="&amp;$C$7,BD!$A$3:$A$5001,"&lt;="&amp;$B272,BD!$AA$3:$AA$5001,"&lt;&gt;")=0,"",SUMIFS(BD!$AA$3:$AA$5001,BD!$B$3:$B$5001,R$245,BD!$A$3:$A$5001,_xlfn.MAXIFS(BD!$A$3:$A$5001,BD!$B$3:$B$5001,R$245,BD!$A$3:$A$5001,"&gt;="&amp;$C$7,BD!$A$3:$A$5001,"&lt;="&amp;$B272,BD!$AA$3:$AA$5001,"&lt;&gt;"))))</f>
        <v/>
      </c>
      <c r="S272" s="43" t="str">
        <f>IF(OR($B272="",$A272&gt;$B$9,S$245=""),"",IF(COUNTIFS(BD!$B$3:$B$5001,S$245,BD!$A$3:$A$5001,"&gt;="&amp;$C$7,BD!$A$3:$A$5001,"&lt;="&amp;$B272,BD!$AA$3:$AA$5001,"&lt;&gt;")=0,"",SUMIFS(BD!$AA$3:$AA$5001,BD!$B$3:$B$5001,S$245,BD!$A$3:$A$5001,_xlfn.MAXIFS(BD!$A$3:$A$5001,BD!$B$3:$B$5001,S$245,BD!$A$3:$A$5001,"&gt;="&amp;$C$7,BD!$A$3:$A$5001,"&lt;="&amp;$B272,BD!$AA$3:$AA$5001,"&lt;&gt;"))))</f>
        <v/>
      </c>
      <c r="T272" s="43" t="str">
        <f>IF(OR($B272="",$A272&gt;$B$9,T$245=""),"",IF(COUNTIFS(BD!$B$3:$B$5001,T$245,BD!$A$3:$A$5001,"&gt;="&amp;$C$7,BD!$A$3:$A$5001,"&lt;="&amp;$B272,BD!$AA$3:$AA$5001,"&lt;&gt;")=0,"",SUMIFS(BD!$AA$3:$AA$5001,BD!$B$3:$B$5001,T$245,BD!$A$3:$A$5001,_xlfn.MAXIFS(BD!$A$3:$A$5001,BD!$B$3:$B$5001,T$245,BD!$A$3:$A$5001,"&gt;="&amp;$C$7,BD!$A$3:$A$5001,"&lt;="&amp;$B272,BD!$AA$3:$AA$5001,"&lt;&gt;"))))</f>
        <v/>
      </c>
      <c r="U272" s="43" t="str">
        <f>IF(OR($B272="",$A272&gt;$B$9,U$245=""),"",IF(COUNTIFS(BD!$B$3:$B$5001,U$245,BD!$A$3:$A$5001,"&gt;="&amp;$C$7,BD!$A$3:$A$5001,"&lt;="&amp;$B272,BD!$AA$3:$AA$5001,"&lt;&gt;")=0,"",SUMIFS(BD!$AA$3:$AA$5001,BD!$B$3:$B$5001,U$245,BD!$A$3:$A$5001,_xlfn.MAXIFS(BD!$A$3:$A$5001,BD!$B$3:$B$5001,U$245,BD!$A$3:$A$5001,"&gt;="&amp;$C$7,BD!$A$3:$A$5001,"&lt;="&amp;$B272,BD!$AA$3:$AA$5001,"&lt;&gt;"))))</f>
        <v/>
      </c>
      <c r="V272" s="43" t="str">
        <f>IF(OR($B272="",$A272&gt;$B$9,V$245=""),"",IF(COUNTIFS(BD!$B$3:$B$5001,V$245,BD!$A$3:$A$5001,"&gt;="&amp;$C$7,BD!$A$3:$A$5001,"&lt;="&amp;$B272,BD!$AA$3:$AA$5001,"&lt;&gt;")=0,"",SUMIFS(BD!$AA$3:$AA$5001,BD!$B$3:$B$5001,V$245,BD!$A$3:$A$5001,_xlfn.MAXIFS(BD!$A$3:$A$5001,BD!$B$3:$B$5001,V$245,BD!$A$3:$A$5001,"&gt;="&amp;$C$7,BD!$A$3:$A$5001,"&lt;="&amp;$B272,BD!$AA$3:$AA$5001,"&lt;&gt;"))))</f>
        <v/>
      </c>
    </row>
    <row r="273">
      <c r="A273" s="38">
        <v>28</v>
      </c>
      <c r="B273" s="42">
        <f>$B$39</f>
        <v>46323</v>
      </c>
      <c r="C273" s="43" t="str">
        <f>IF(OR($B273="",$A273&gt;$B$9,C$245=""),"",IF(COUNTIFS(BD!$B$3:$B$5001,C$245,BD!$A$3:$A$5001,"&gt;="&amp;$C$7,BD!$A$3:$A$5001,"&lt;="&amp;$B273,BD!$AA$3:$AA$5001,"&lt;&gt;")=0,"",SUMIFS(BD!$AA$3:$AA$5001,BD!$B$3:$B$5001,C$245,BD!$A$3:$A$5001,_xlfn.MAXIFS(BD!$A$3:$A$5001,BD!$B$3:$B$5001,C$245,BD!$A$3:$A$5001,"&gt;="&amp;$C$7,BD!$A$3:$A$5001,"&lt;="&amp;$B273,BD!$AA$3:$AA$5001,"&lt;&gt;"))))</f>
        <v/>
      </c>
      <c r="D273" s="43" t="str">
        <f>IF(OR($B273="",$A273&gt;$B$9,D$245=""),"",IF(COUNTIFS(BD!$B$3:$B$5001,D$245,BD!$A$3:$A$5001,"&gt;="&amp;$C$7,BD!$A$3:$A$5001,"&lt;="&amp;$B273,BD!$AA$3:$AA$5001,"&lt;&gt;")=0,"",SUMIFS(BD!$AA$3:$AA$5001,BD!$B$3:$B$5001,D$245,BD!$A$3:$A$5001,_xlfn.MAXIFS(BD!$A$3:$A$5001,BD!$B$3:$B$5001,D$245,BD!$A$3:$A$5001,"&gt;="&amp;$C$7,BD!$A$3:$A$5001,"&lt;="&amp;$B273,BD!$AA$3:$AA$5001,"&lt;&gt;"))))</f>
        <v/>
      </c>
      <c r="E273" s="43" t="str">
        <f>IF(OR($B273="",$A273&gt;$B$9,E$245=""),"",IF(COUNTIFS(BD!$B$3:$B$5001,E$245,BD!$A$3:$A$5001,"&gt;="&amp;$C$7,BD!$A$3:$A$5001,"&lt;="&amp;$B273,BD!$AA$3:$AA$5001,"&lt;&gt;")=0,"",SUMIFS(BD!$AA$3:$AA$5001,BD!$B$3:$B$5001,E$245,BD!$A$3:$A$5001,_xlfn.MAXIFS(BD!$A$3:$A$5001,BD!$B$3:$B$5001,E$245,BD!$A$3:$A$5001,"&gt;="&amp;$C$7,BD!$A$3:$A$5001,"&lt;="&amp;$B273,BD!$AA$3:$AA$5001,"&lt;&gt;"))))</f>
        <v/>
      </c>
      <c r="F273" s="43" t="str">
        <f>IF(OR($B273="",$A273&gt;$B$9,F$245=""),"",IF(COUNTIFS(BD!$B$3:$B$5001,F$245,BD!$A$3:$A$5001,"&gt;="&amp;$C$7,BD!$A$3:$A$5001,"&lt;="&amp;$B273,BD!$AA$3:$AA$5001,"&lt;&gt;")=0,"",SUMIFS(BD!$AA$3:$AA$5001,BD!$B$3:$B$5001,F$245,BD!$A$3:$A$5001,_xlfn.MAXIFS(BD!$A$3:$A$5001,BD!$B$3:$B$5001,F$245,BD!$A$3:$A$5001,"&gt;="&amp;$C$7,BD!$A$3:$A$5001,"&lt;="&amp;$B273,BD!$AA$3:$AA$5001,"&lt;&gt;"))))</f>
        <v/>
      </c>
      <c r="G273" s="43" t="str">
        <f>IF(OR($B273="",$A273&gt;$B$9,G$245=""),"",IF(COUNTIFS(BD!$B$3:$B$5001,G$245,BD!$A$3:$A$5001,"&gt;="&amp;$C$7,BD!$A$3:$A$5001,"&lt;="&amp;$B273,BD!$AA$3:$AA$5001,"&lt;&gt;")=0,"",SUMIFS(BD!$AA$3:$AA$5001,BD!$B$3:$B$5001,G$245,BD!$A$3:$A$5001,_xlfn.MAXIFS(BD!$A$3:$A$5001,BD!$B$3:$B$5001,G$245,BD!$A$3:$A$5001,"&gt;="&amp;$C$7,BD!$A$3:$A$5001,"&lt;="&amp;$B273,BD!$AA$3:$AA$5001,"&lt;&gt;"))))</f>
        <v/>
      </c>
      <c r="H273" s="43" t="str">
        <f>IF(OR($B273="",$A273&gt;$B$9,H$245=""),"",IF(COUNTIFS(BD!$B$3:$B$5001,H$245,BD!$A$3:$A$5001,"&gt;="&amp;$C$7,BD!$A$3:$A$5001,"&lt;="&amp;$B273,BD!$AA$3:$AA$5001,"&lt;&gt;")=0,"",SUMIFS(BD!$AA$3:$AA$5001,BD!$B$3:$B$5001,H$245,BD!$A$3:$A$5001,_xlfn.MAXIFS(BD!$A$3:$A$5001,BD!$B$3:$B$5001,H$245,BD!$A$3:$A$5001,"&gt;="&amp;$C$7,BD!$A$3:$A$5001,"&lt;="&amp;$B273,BD!$AA$3:$AA$5001,"&lt;&gt;"))))</f>
        <v/>
      </c>
      <c r="I273" s="43" t="str">
        <f>IF(OR($B273="",$A273&gt;$B$9,I$245=""),"",IF(COUNTIFS(BD!$B$3:$B$5001,I$245,BD!$A$3:$A$5001,"&gt;="&amp;$C$7,BD!$A$3:$A$5001,"&lt;="&amp;$B273,BD!$AA$3:$AA$5001,"&lt;&gt;")=0,"",SUMIFS(BD!$AA$3:$AA$5001,BD!$B$3:$B$5001,I$245,BD!$A$3:$A$5001,_xlfn.MAXIFS(BD!$A$3:$A$5001,BD!$B$3:$B$5001,I$245,BD!$A$3:$A$5001,"&gt;="&amp;$C$7,BD!$A$3:$A$5001,"&lt;="&amp;$B273,BD!$AA$3:$AA$5001,"&lt;&gt;"))))</f>
        <v/>
      </c>
      <c r="J273" s="43" t="str">
        <f>IF(OR($B273="",$A273&gt;$B$9,J$245=""),"",IF(COUNTIFS(BD!$B$3:$B$5001,J$245,BD!$A$3:$A$5001,"&gt;="&amp;$C$7,BD!$A$3:$A$5001,"&lt;="&amp;$B273,BD!$AA$3:$AA$5001,"&lt;&gt;")=0,"",SUMIFS(BD!$AA$3:$AA$5001,BD!$B$3:$B$5001,J$245,BD!$A$3:$A$5001,_xlfn.MAXIFS(BD!$A$3:$A$5001,BD!$B$3:$B$5001,J$245,BD!$A$3:$A$5001,"&gt;="&amp;$C$7,BD!$A$3:$A$5001,"&lt;="&amp;$B273,BD!$AA$3:$AA$5001,"&lt;&gt;"))))</f>
        <v/>
      </c>
      <c r="K273" s="43" t="str">
        <f>IF(OR($B273="",$A273&gt;$B$9,K$245=""),"",IF(COUNTIFS(BD!$B$3:$B$5001,K$245,BD!$A$3:$A$5001,"&gt;="&amp;$C$7,BD!$A$3:$A$5001,"&lt;="&amp;$B273,BD!$AA$3:$AA$5001,"&lt;&gt;")=0,"",SUMIFS(BD!$AA$3:$AA$5001,BD!$B$3:$B$5001,K$245,BD!$A$3:$A$5001,_xlfn.MAXIFS(BD!$A$3:$A$5001,BD!$B$3:$B$5001,K$245,BD!$A$3:$A$5001,"&gt;="&amp;$C$7,BD!$A$3:$A$5001,"&lt;="&amp;$B273,BD!$AA$3:$AA$5001,"&lt;&gt;"))))</f>
        <v/>
      </c>
      <c r="L273" s="43" t="str">
        <f>IF(OR($B273="",$A273&gt;$B$9,L$245=""),"",IF(COUNTIFS(BD!$B$3:$B$5001,L$245,BD!$A$3:$A$5001,"&gt;="&amp;$C$7,BD!$A$3:$A$5001,"&lt;="&amp;$B273,BD!$AA$3:$AA$5001,"&lt;&gt;")=0,"",SUMIFS(BD!$AA$3:$AA$5001,BD!$B$3:$B$5001,L$245,BD!$A$3:$A$5001,_xlfn.MAXIFS(BD!$A$3:$A$5001,BD!$B$3:$B$5001,L$245,BD!$A$3:$A$5001,"&gt;="&amp;$C$7,BD!$A$3:$A$5001,"&lt;="&amp;$B273,BD!$AA$3:$AA$5001,"&lt;&gt;"))))</f>
        <v/>
      </c>
      <c r="M273" s="43" t="str">
        <f>IF(OR($B273="",$A273&gt;$B$9,M$245=""),"",IF(COUNTIFS(BD!$B$3:$B$5001,M$245,BD!$A$3:$A$5001,"&gt;="&amp;$C$7,BD!$A$3:$A$5001,"&lt;="&amp;$B273,BD!$AA$3:$AA$5001,"&lt;&gt;")=0,"",SUMIFS(BD!$AA$3:$AA$5001,BD!$B$3:$B$5001,M$245,BD!$A$3:$A$5001,_xlfn.MAXIFS(BD!$A$3:$A$5001,BD!$B$3:$B$5001,M$245,BD!$A$3:$A$5001,"&gt;="&amp;$C$7,BD!$A$3:$A$5001,"&lt;="&amp;$B273,BD!$AA$3:$AA$5001,"&lt;&gt;"))))</f>
        <v/>
      </c>
      <c r="N273" s="43" t="str">
        <f>IF(OR($B273="",$A273&gt;$B$9,N$245=""),"",IF(COUNTIFS(BD!$B$3:$B$5001,N$245,BD!$A$3:$A$5001,"&gt;="&amp;$C$7,BD!$A$3:$A$5001,"&lt;="&amp;$B273,BD!$AA$3:$AA$5001,"&lt;&gt;")=0,"",SUMIFS(BD!$AA$3:$AA$5001,BD!$B$3:$B$5001,N$245,BD!$A$3:$A$5001,_xlfn.MAXIFS(BD!$A$3:$A$5001,BD!$B$3:$B$5001,N$245,BD!$A$3:$A$5001,"&gt;="&amp;$C$7,BD!$A$3:$A$5001,"&lt;="&amp;$B273,BD!$AA$3:$AA$5001,"&lt;&gt;"))))</f>
        <v/>
      </c>
      <c r="O273" s="43" t="str">
        <f>IF(OR($B273="",$A273&gt;$B$9,O$245=""),"",IF(COUNTIFS(BD!$B$3:$B$5001,O$245,BD!$A$3:$A$5001,"&gt;="&amp;$C$7,BD!$A$3:$A$5001,"&lt;="&amp;$B273,BD!$AA$3:$AA$5001,"&lt;&gt;")=0,"",SUMIFS(BD!$AA$3:$AA$5001,BD!$B$3:$B$5001,O$245,BD!$A$3:$A$5001,_xlfn.MAXIFS(BD!$A$3:$A$5001,BD!$B$3:$B$5001,O$245,BD!$A$3:$A$5001,"&gt;="&amp;$C$7,BD!$A$3:$A$5001,"&lt;="&amp;$B273,BD!$AA$3:$AA$5001,"&lt;&gt;"))))</f>
        <v/>
      </c>
      <c r="P273" s="43" t="str">
        <f>IF(OR($B273="",$A273&gt;$B$9,P$245=""),"",IF(COUNTIFS(BD!$B$3:$B$5001,P$245,BD!$A$3:$A$5001,"&gt;="&amp;$C$7,BD!$A$3:$A$5001,"&lt;="&amp;$B273,BD!$AA$3:$AA$5001,"&lt;&gt;")=0,"",SUMIFS(BD!$AA$3:$AA$5001,BD!$B$3:$B$5001,P$245,BD!$A$3:$A$5001,_xlfn.MAXIFS(BD!$A$3:$A$5001,BD!$B$3:$B$5001,P$245,BD!$A$3:$A$5001,"&gt;="&amp;$C$7,BD!$A$3:$A$5001,"&lt;="&amp;$B273,BD!$AA$3:$AA$5001,"&lt;&gt;"))))</f>
        <v/>
      </c>
      <c r="Q273" s="43" t="str">
        <f>IF(OR($B273="",$A273&gt;$B$9,Q$245=""),"",IF(COUNTIFS(BD!$B$3:$B$5001,Q$245,BD!$A$3:$A$5001,"&gt;="&amp;$C$7,BD!$A$3:$A$5001,"&lt;="&amp;$B273,BD!$AA$3:$AA$5001,"&lt;&gt;")=0,"",SUMIFS(BD!$AA$3:$AA$5001,BD!$B$3:$B$5001,Q$245,BD!$A$3:$A$5001,_xlfn.MAXIFS(BD!$A$3:$A$5001,BD!$B$3:$B$5001,Q$245,BD!$A$3:$A$5001,"&gt;="&amp;$C$7,BD!$A$3:$A$5001,"&lt;="&amp;$B273,BD!$AA$3:$AA$5001,"&lt;&gt;"))))</f>
        <v/>
      </c>
      <c r="R273" s="43" t="str">
        <f>IF(OR($B273="",$A273&gt;$B$9,R$245=""),"",IF(COUNTIFS(BD!$B$3:$B$5001,R$245,BD!$A$3:$A$5001,"&gt;="&amp;$C$7,BD!$A$3:$A$5001,"&lt;="&amp;$B273,BD!$AA$3:$AA$5001,"&lt;&gt;")=0,"",SUMIFS(BD!$AA$3:$AA$5001,BD!$B$3:$B$5001,R$245,BD!$A$3:$A$5001,_xlfn.MAXIFS(BD!$A$3:$A$5001,BD!$B$3:$B$5001,R$245,BD!$A$3:$A$5001,"&gt;="&amp;$C$7,BD!$A$3:$A$5001,"&lt;="&amp;$B273,BD!$AA$3:$AA$5001,"&lt;&gt;"))))</f>
        <v/>
      </c>
      <c r="S273" s="43" t="str">
        <f>IF(OR($B273="",$A273&gt;$B$9,S$245=""),"",IF(COUNTIFS(BD!$B$3:$B$5001,S$245,BD!$A$3:$A$5001,"&gt;="&amp;$C$7,BD!$A$3:$A$5001,"&lt;="&amp;$B273,BD!$AA$3:$AA$5001,"&lt;&gt;")=0,"",SUMIFS(BD!$AA$3:$AA$5001,BD!$B$3:$B$5001,S$245,BD!$A$3:$A$5001,_xlfn.MAXIFS(BD!$A$3:$A$5001,BD!$B$3:$B$5001,S$245,BD!$A$3:$A$5001,"&gt;="&amp;$C$7,BD!$A$3:$A$5001,"&lt;="&amp;$B273,BD!$AA$3:$AA$5001,"&lt;&gt;"))))</f>
        <v/>
      </c>
      <c r="T273" s="43" t="str">
        <f>IF(OR($B273="",$A273&gt;$B$9,T$245=""),"",IF(COUNTIFS(BD!$B$3:$B$5001,T$245,BD!$A$3:$A$5001,"&gt;="&amp;$C$7,BD!$A$3:$A$5001,"&lt;="&amp;$B273,BD!$AA$3:$AA$5001,"&lt;&gt;")=0,"",SUMIFS(BD!$AA$3:$AA$5001,BD!$B$3:$B$5001,T$245,BD!$A$3:$A$5001,_xlfn.MAXIFS(BD!$A$3:$A$5001,BD!$B$3:$B$5001,T$245,BD!$A$3:$A$5001,"&gt;="&amp;$C$7,BD!$A$3:$A$5001,"&lt;="&amp;$B273,BD!$AA$3:$AA$5001,"&lt;&gt;"))))</f>
        <v/>
      </c>
      <c r="U273" s="43" t="str">
        <f>IF(OR($B273="",$A273&gt;$B$9,U$245=""),"",IF(COUNTIFS(BD!$B$3:$B$5001,U$245,BD!$A$3:$A$5001,"&gt;="&amp;$C$7,BD!$A$3:$A$5001,"&lt;="&amp;$B273,BD!$AA$3:$AA$5001,"&lt;&gt;")=0,"",SUMIFS(BD!$AA$3:$AA$5001,BD!$B$3:$B$5001,U$245,BD!$A$3:$A$5001,_xlfn.MAXIFS(BD!$A$3:$A$5001,BD!$B$3:$B$5001,U$245,BD!$A$3:$A$5001,"&gt;="&amp;$C$7,BD!$A$3:$A$5001,"&lt;="&amp;$B273,BD!$AA$3:$AA$5001,"&lt;&gt;"))))</f>
        <v/>
      </c>
      <c r="V273" s="43" t="str">
        <f>IF(OR($B273="",$A273&gt;$B$9,V$245=""),"",IF(COUNTIFS(BD!$B$3:$B$5001,V$245,BD!$A$3:$A$5001,"&gt;="&amp;$C$7,BD!$A$3:$A$5001,"&lt;="&amp;$B273,BD!$AA$3:$AA$5001,"&lt;&gt;")=0,"",SUMIFS(BD!$AA$3:$AA$5001,BD!$B$3:$B$5001,V$245,BD!$A$3:$A$5001,_xlfn.MAXIFS(BD!$A$3:$A$5001,BD!$B$3:$B$5001,V$245,BD!$A$3:$A$5001,"&gt;="&amp;$C$7,BD!$A$3:$A$5001,"&lt;="&amp;$B273,BD!$AA$3:$AA$5001,"&lt;&gt;"))))</f>
        <v/>
      </c>
    </row>
    <row r="274">
      <c r="A274" s="38">
        <v>29</v>
      </c>
      <c r="B274" s="42">
        <f>$B$40</f>
        <v>46324</v>
      </c>
      <c r="C274" s="43" t="str">
        <f>IF(OR($B274="",$A274&gt;$B$9,C$245=""),"",IF(COUNTIFS(BD!$B$3:$B$5001,C$245,BD!$A$3:$A$5001,"&gt;="&amp;$C$7,BD!$A$3:$A$5001,"&lt;="&amp;$B274,BD!$AA$3:$AA$5001,"&lt;&gt;")=0,"",SUMIFS(BD!$AA$3:$AA$5001,BD!$B$3:$B$5001,C$245,BD!$A$3:$A$5001,_xlfn.MAXIFS(BD!$A$3:$A$5001,BD!$B$3:$B$5001,C$245,BD!$A$3:$A$5001,"&gt;="&amp;$C$7,BD!$A$3:$A$5001,"&lt;="&amp;$B274,BD!$AA$3:$AA$5001,"&lt;&gt;"))))</f>
        <v/>
      </c>
      <c r="D274" s="43" t="str">
        <f>IF(OR($B274="",$A274&gt;$B$9,D$245=""),"",IF(COUNTIFS(BD!$B$3:$B$5001,D$245,BD!$A$3:$A$5001,"&gt;="&amp;$C$7,BD!$A$3:$A$5001,"&lt;="&amp;$B274,BD!$AA$3:$AA$5001,"&lt;&gt;")=0,"",SUMIFS(BD!$AA$3:$AA$5001,BD!$B$3:$B$5001,D$245,BD!$A$3:$A$5001,_xlfn.MAXIFS(BD!$A$3:$A$5001,BD!$B$3:$B$5001,D$245,BD!$A$3:$A$5001,"&gt;="&amp;$C$7,BD!$A$3:$A$5001,"&lt;="&amp;$B274,BD!$AA$3:$AA$5001,"&lt;&gt;"))))</f>
        <v/>
      </c>
      <c r="E274" s="43" t="str">
        <f>IF(OR($B274="",$A274&gt;$B$9,E$245=""),"",IF(COUNTIFS(BD!$B$3:$B$5001,E$245,BD!$A$3:$A$5001,"&gt;="&amp;$C$7,BD!$A$3:$A$5001,"&lt;="&amp;$B274,BD!$AA$3:$AA$5001,"&lt;&gt;")=0,"",SUMIFS(BD!$AA$3:$AA$5001,BD!$B$3:$B$5001,E$245,BD!$A$3:$A$5001,_xlfn.MAXIFS(BD!$A$3:$A$5001,BD!$B$3:$B$5001,E$245,BD!$A$3:$A$5001,"&gt;="&amp;$C$7,BD!$A$3:$A$5001,"&lt;="&amp;$B274,BD!$AA$3:$AA$5001,"&lt;&gt;"))))</f>
        <v/>
      </c>
      <c r="F274" s="43" t="str">
        <f>IF(OR($B274="",$A274&gt;$B$9,F$245=""),"",IF(COUNTIFS(BD!$B$3:$B$5001,F$245,BD!$A$3:$A$5001,"&gt;="&amp;$C$7,BD!$A$3:$A$5001,"&lt;="&amp;$B274,BD!$AA$3:$AA$5001,"&lt;&gt;")=0,"",SUMIFS(BD!$AA$3:$AA$5001,BD!$B$3:$B$5001,F$245,BD!$A$3:$A$5001,_xlfn.MAXIFS(BD!$A$3:$A$5001,BD!$B$3:$B$5001,F$245,BD!$A$3:$A$5001,"&gt;="&amp;$C$7,BD!$A$3:$A$5001,"&lt;="&amp;$B274,BD!$AA$3:$AA$5001,"&lt;&gt;"))))</f>
        <v/>
      </c>
      <c r="G274" s="43" t="str">
        <f>IF(OR($B274="",$A274&gt;$B$9,G$245=""),"",IF(COUNTIFS(BD!$B$3:$B$5001,G$245,BD!$A$3:$A$5001,"&gt;="&amp;$C$7,BD!$A$3:$A$5001,"&lt;="&amp;$B274,BD!$AA$3:$AA$5001,"&lt;&gt;")=0,"",SUMIFS(BD!$AA$3:$AA$5001,BD!$B$3:$B$5001,G$245,BD!$A$3:$A$5001,_xlfn.MAXIFS(BD!$A$3:$A$5001,BD!$B$3:$B$5001,G$245,BD!$A$3:$A$5001,"&gt;="&amp;$C$7,BD!$A$3:$A$5001,"&lt;="&amp;$B274,BD!$AA$3:$AA$5001,"&lt;&gt;"))))</f>
        <v/>
      </c>
      <c r="H274" s="43" t="str">
        <f>IF(OR($B274="",$A274&gt;$B$9,H$245=""),"",IF(COUNTIFS(BD!$B$3:$B$5001,H$245,BD!$A$3:$A$5001,"&gt;="&amp;$C$7,BD!$A$3:$A$5001,"&lt;="&amp;$B274,BD!$AA$3:$AA$5001,"&lt;&gt;")=0,"",SUMIFS(BD!$AA$3:$AA$5001,BD!$B$3:$B$5001,H$245,BD!$A$3:$A$5001,_xlfn.MAXIFS(BD!$A$3:$A$5001,BD!$B$3:$B$5001,H$245,BD!$A$3:$A$5001,"&gt;="&amp;$C$7,BD!$A$3:$A$5001,"&lt;="&amp;$B274,BD!$AA$3:$AA$5001,"&lt;&gt;"))))</f>
        <v/>
      </c>
      <c r="I274" s="43" t="str">
        <f>IF(OR($B274="",$A274&gt;$B$9,I$245=""),"",IF(COUNTIFS(BD!$B$3:$B$5001,I$245,BD!$A$3:$A$5001,"&gt;="&amp;$C$7,BD!$A$3:$A$5001,"&lt;="&amp;$B274,BD!$AA$3:$AA$5001,"&lt;&gt;")=0,"",SUMIFS(BD!$AA$3:$AA$5001,BD!$B$3:$B$5001,I$245,BD!$A$3:$A$5001,_xlfn.MAXIFS(BD!$A$3:$A$5001,BD!$B$3:$B$5001,I$245,BD!$A$3:$A$5001,"&gt;="&amp;$C$7,BD!$A$3:$A$5001,"&lt;="&amp;$B274,BD!$AA$3:$AA$5001,"&lt;&gt;"))))</f>
        <v/>
      </c>
      <c r="J274" s="43" t="str">
        <f>IF(OR($B274="",$A274&gt;$B$9,J$245=""),"",IF(COUNTIFS(BD!$B$3:$B$5001,J$245,BD!$A$3:$A$5001,"&gt;="&amp;$C$7,BD!$A$3:$A$5001,"&lt;="&amp;$B274,BD!$AA$3:$AA$5001,"&lt;&gt;")=0,"",SUMIFS(BD!$AA$3:$AA$5001,BD!$B$3:$B$5001,J$245,BD!$A$3:$A$5001,_xlfn.MAXIFS(BD!$A$3:$A$5001,BD!$B$3:$B$5001,J$245,BD!$A$3:$A$5001,"&gt;="&amp;$C$7,BD!$A$3:$A$5001,"&lt;="&amp;$B274,BD!$AA$3:$AA$5001,"&lt;&gt;"))))</f>
        <v/>
      </c>
      <c r="K274" s="43" t="str">
        <f>IF(OR($B274="",$A274&gt;$B$9,K$245=""),"",IF(COUNTIFS(BD!$B$3:$B$5001,K$245,BD!$A$3:$A$5001,"&gt;="&amp;$C$7,BD!$A$3:$A$5001,"&lt;="&amp;$B274,BD!$AA$3:$AA$5001,"&lt;&gt;")=0,"",SUMIFS(BD!$AA$3:$AA$5001,BD!$B$3:$B$5001,K$245,BD!$A$3:$A$5001,_xlfn.MAXIFS(BD!$A$3:$A$5001,BD!$B$3:$B$5001,K$245,BD!$A$3:$A$5001,"&gt;="&amp;$C$7,BD!$A$3:$A$5001,"&lt;="&amp;$B274,BD!$AA$3:$AA$5001,"&lt;&gt;"))))</f>
        <v/>
      </c>
      <c r="L274" s="43" t="str">
        <f>IF(OR($B274="",$A274&gt;$B$9,L$245=""),"",IF(COUNTIFS(BD!$B$3:$B$5001,L$245,BD!$A$3:$A$5001,"&gt;="&amp;$C$7,BD!$A$3:$A$5001,"&lt;="&amp;$B274,BD!$AA$3:$AA$5001,"&lt;&gt;")=0,"",SUMIFS(BD!$AA$3:$AA$5001,BD!$B$3:$B$5001,L$245,BD!$A$3:$A$5001,_xlfn.MAXIFS(BD!$A$3:$A$5001,BD!$B$3:$B$5001,L$245,BD!$A$3:$A$5001,"&gt;="&amp;$C$7,BD!$A$3:$A$5001,"&lt;="&amp;$B274,BD!$AA$3:$AA$5001,"&lt;&gt;"))))</f>
        <v/>
      </c>
      <c r="M274" s="43" t="str">
        <f>IF(OR($B274="",$A274&gt;$B$9,M$245=""),"",IF(COUNTIFS(BD!$B$3:$B$5001,M$245,BD!$A$3:$A$5001,"&gt;="&amp;$C$7,BD!$A$3:$A$5001,"&lt;="&amp;$B274,BD!$AA$3:$AA$5001,"&lt;&gt;")=0,"",SUMIFS(BD!$AA$3:$AA$5001,BD!$B$3:$B$5001,M$245,BD!$A$3:$A$5001,_xlfn.MAXIFS(BD!$A$3:$A$5001,BD!$B$3:$B$5001,M$245,BD!$A$3:$A$5001,"&gt;="&amp;$C$7,BD!$A$3:$A$5001,"&lt;="&amp;$B274,BD!$AA$3:$AA$5001,"&lt;&gt;"))))</f>
        <v/>
      </c>
      <c r="N274" s="43" t="str">
        <f>IF(OR($B274="",$A274&gt;$B$9,N$245=""),"",IF(COUNTIFS(BD!$B$3:$B$5001,N$245,BD!$A$3:$A$5001,"&gt;="&amp;$C$7,BD!$A$3:$A$5001,"&lt;="&amp;$B274,BD!$AA$3:$AA$5001,"&lt;&gt;")=0,"",SUMIFS(BD!$AA$3:$AA$5001,BD!$B$3:$B$5001,N$245,BD!$A$3:$A$5001,_xlfn.MAXIFS(BD!$A$3:$A$5001,BD!$B$3:$B$5001,N$245,BD!$A$3:$A$5001,"&gt;="&amp;$C$7,BD!$A$3:$A$5001,"&lt;="&amp;$B274,BD!$AA$3:$AA$5001,"&lt;&gt;"))))</f>
        <v/>
      </c>
      <c r="O274" s="43" t="str">
        <f>IF(OR($B274="",$A274&gt;$B$9,O$245=""),"",IF(COUNTIFS(BD!$B$3:$B$5001,O$245,BD!$A$3:$A$5001,"&gt;="&amp;$C$7,BD!$A$3:$A$5001,"&lt;="&amp;$B274,BD!$AA$3:$AA$5001,"&lt;&gt;")=0,"",SUMIFS(BD!$AA$3:$AA$5001,BD!$B$3:$B$5001,O$245,BD!$A$3:$A$5001,_xlfn.MAXIFS(BD!$A$3:$A$5001,BD!$B$3:$B$5001,O$245,BD!$A$3:$A$5001,"&gt;="&amp;$C$7,BD!$A$3:$A$5001,"&lt;="&amp;$B274,BD!$AA$3:$AA$5001,"&lt;&gt;"))))</f>
        <v/>
      </c>
      <c r="P274" s="43" t="str">
        <f>IF(OR($B274="",$A274&gt;$B$9,P$245=""),"",IF(COUNTIFS(BD!$B$3:$B$5001,P$245,BD!$A$3:$A$5001,"&gt;="&amp;$C$7,BD!$A$3:$A$5001,"&lt;="&amp;$B274,BD!$AA$3:$AA$5001,"&lt;&gt;")=0,"",SUMIFS(BD!$AA$3:$AA$5001,BD!$B$3:$B$5001,P$245,BD!$A$3:$A$5001,_xlfn.MAXIFS(BD!$A$3:$A$5001,BD!$B$3:$B$5001,P$245,BD!$A$3:$A$5001,"&gt;="&amp;$C$7,BD!$A$3:$A$5001,"&lt;="&amp;$B274,BD!$AA$3:$AA$5001,"&lt;&gt;"))))</f>
        <v/>
      </c>
      <c r="Q274" s="43" t="str">
        <f>IF(OR($B274="",$A274&gt;$B$9,Q$245=""),"",IF(COUNTIFS(BD!$B$3:$B$5001,Q$245,BD!$A$3:$A$5001,"&gt;="&amp;$C$7,BD!$A$3:$A$5001,"&lt;="&amp;$B274,BD!$AA$3:$AA$5001,"&lt;&gt;")=0,"",SUMIFS(BD!$AA$3:$AA$5001,BD!$B$3:$B$5001,Q$245,BD!$A$3:$A$5001,_xlfn.MAXIFS(BD!$A$3:$A$5001,BD!$B$3:$B$5001,Q$245,BD!$A$3:$A$5001,"&gt;="&amp;$C$7,BD!$A$3:$A$5001,"&lt;="&amp;$B274,BD!$AA$3:$AA$5001,"&lt;&gt;"))))</f>
        <v/>
      </c>
      <c r="R274" s="43" t="str">
        <f>IF(OR($B274="",$A274&gt;$B$9,R$245=""),"",IF(COUNTIFS(BD!$B$3:$B$5001,R$245,BD!$A$3:$A$5001,"&gt;="&amp;$C$7,BD!$A$3:$A$5001,"&lt;="&amp;$B274,BD!$AA$3:$AA$5001,"&lt;&gt;")=0,"",SUMIFS(BD!$AA$3:$AA$5001,BD!$B$3:$B$5001,R$245,BD!$A$3:$A$5001,_xlfn.MAXIFS(BD!$A$3:$A$5001,BD!$B$3:$B$5001,R$245,BD!$A$3:$A$5001,"&gt;="&amp;$C$7,BD!$A$3:$A$5001,"&lt;="&amp;$B274,BD!$AA$3:$AA$5001,"&lt;&gt;"))))</f>
        <v/>
      </c>
      <c r="S274" s="43" t="str">
        <f>IF(OR($B274="",$A274&gt;$B$9,S$245=""),"",IF(COUNTIFS(BD!$B$3:$B$5001,S$245,BD!$A$3:$A$5001,"&gt;="&amp;$C$7,BD!$A$3:$A$5001,"&lt;="&amp;$B274,BD!$AA$3:$AA$5001,"&lt;&gt;")=0,"",SUMIFS(BD!$AA$3:$AA$5001,BD!$B$3:$B$5001,S$245,BD!$A$3:$A$5001,_xlfn.MAXIFS(BD!$A$3:$A$5001,BD!$B$3:$B$5001,S$245,BD!$A$3:$A$5001,"&gt;="&amp;$C$7,BD!$A$3:$A$5001,"&lt;="&amp;$B274,BD!$AA$3:$AA$5001,"&lt;&gt;"))))</f>
        <v/>
      </c>
      <c r="T274" s="43" t="str">
        <f>IF(OR($B274="",$A274&gt;$B$9,T$245=""),"",IF(COUNTIFS(BD!$B$3:$B$5001,T$245,BD!$A$3:$A$5001,"&gt;="&amp;$C$7,BD!$A$3:$A$5001,"&lt;="&amp;$B274,BD!$AA$3:$AA$5001,"&lt;&gt;")=0,"",SUMIFS(BD!$AA$3:$AA$5001,BD!$B$3:$B$5001,T$245,BD!$A$3:$A$5001,_xlfn.MAXIFS(BD!$A$3:$A$5001,BD!$B$3:$B$5001,T$245,BD!$A$3:$A$5001,"&gt;="&amp;$C$7,BD!$A$3:$A$5001,"&lt;="&amp;$B274,BD!$AA$3:$AA$5001,"&lt;&gt;"))))</f>
        <v/>
      </c>
      <c r="U274" s="43" t="str">
        <f>IF(OR($B274="",$A274&gt;$B$9,U$245=""),"",IF(COUNTIFS(BD!$B$3:$B$5001,U$245,BD!$A$3:$A$5001,"&gt;="&amp;$C$7,BD!$A$3:$A$5001,"&lt;="&amp;$B274,BD!$AA$3:$AA$5001,"&lt;&gt;")=0,"",SUMIFS(BD!$AA$3:$AA$5001,BD!$B$3:$B$5001,U$245,BD!$A$3:$A$5001,_xlfn.MAXIFS(BD!$A$3:$A$5001,BD!$B$3:$B$5001,U$245,BD!$A$3:$A$5001,"&gt;="&amp;$C$7,BD!$A$3:$A$5001,"&lt;="&amp;$B274,BD!$AA$3:$AA$5001,"&lt;&gt;"))))</f>
        <v/>
      </c>
      <c r="V274" s="43" t="str">
        <f>IF(OR($B274="",$A274&gt;$B$9,V$245=""),"",IF(COUNTIFS(BD!$B$3:$B$5001,V$245,BD!$A$3:$A$5001,"&gt;="&amp;$C$7,BD!$A$3:$A$5001,"&lt;="&amp;$B274,BD!$AA$3:$AA$5001,"&lt;&gt;")=0,"",SUMIFS(BD!$AA$3:$AA$5001,BD!$B$3:$B$5001,V$245,BD!$A$3:$A$5001,_xlfn.MAXIFS(BD!$A$3:$A$5001,BD!$B$3:$B$5001,V$245,BD!$A$3:$A$5001,"&gt;="&amp;$C$7,BD!$A$3:$A$5001,"&lt;="&amp;$B274,BD!$AA$3:$AA$5001,"&lt;&gt;"))))</f>
        <v/>
      </c>
    </row>
    <row r="275">
      <c r="A275" s="38">
        <v>30</v>
      </c>
      <c r="B275" s="42">
        <f>$B$41</f>
        <v>46325</v>
      </c>
      <c r="C275" s="43" t="str">
        <f>IF(OR($B275="",$A275&gt;$B$9,C$245=""),"",IF(COUNTIFS(BD!$B$3:$B$5001,C$245,BD!$A$3:$A$5001,"&gt;="&amp;$C$7,BD!$A$3:$A$5001,"&lt;="&amp;$B275,BD!$AA$3:$AA$5001,"&lt;&gt;")=0,"",SUMIFS(BD!$AA$3:$AA$5001,BD!$B$3:$B$5001,C$245,BD!$A$3:$A$5001,_xlfn.MAXIFS(BD!$A$3:$A$5001,BD!$B$3:$B$5001,C$245,BD!$A$3:$A$5001,"&gt;="&amp;$C$7,BD!$A$3:$A$5001,"&lt;="&amp;$B275,BD!$AA$3:$AA$5001,"&lt;&gt;"))))</f>
        <v/>
      </c>
      <c r="D275" s="43" t="str">
        <f>IF(OR($B275="",$A275&gt;$B$9,D$245=""),"",IF(COUNTIFS(BD!$B$3:$B$5001,D$245,BD!$A$3:$A$5001,"&gt;="&amp;$C$7,BD!$A$3:$A$5001,"&lt;="&amp;$B275,BD!$AA$3:$AA$5001,"&lt;&gt;")=0,"",SUMIFS(BD!$AA$3:$AA$5001,BD!$B$3:$B$5001,D$245,BD!$A$3:$A$5001,_xlfn.MAXIFS(BD!$A$3:$A$5001,BD!$B$3:$B$5001,D$245,BD!$A$3:$A$5001,"&gt;="&amp;$C$7,BD!$A$3:$A$5001,"&lt;="&amp;$B275,BD!$AA$3:$AA$5001,"&lt;&gt;"))))</f>
        <v/>
      </c>
      <c r="E275" s="43" t="str">
        <f>IF(OR($B275="",$A275&gt;$B$9,E$245=""),"",IF(COUNTIFS(BD!$B$3:$B$5001,E$245,BD!$A$3:$A$5001,"&gt;="&amp;$C$7,BD!$A$3:$A$5001,"&lt;="&amp;$B275,BD!$AA$3:$AA$5001,"&lt;&gt;")=0,"",SUMIFS(BD!$AA$3:$AA$5001,BD!$B$3:$B$5001,E$245,BD!$A$3:$A$5001,_xlfn.MAXIFS(BD!$A$3:$A$5001,BD!$B$3:$B$5001,E$245,BD!$A$3:$A$5001,"&gt;="&amp;$C$7,BD!$A$3:$A$5001,"&lt;="&amp;$B275,BD!$AA$3:$AA$5001,"&lt;&gt;"))))</f>
        <v/>
      </c>
      <c r="F275" s="43" t="str">
        <f>IF(OR($B275="",$A275&gt;$B$9,F$245=""),"",IF(COUNTIFS(BD!$B$3:$B$5001,F$245,BD!$A$3:$A$5001,"&gt;="&amp;$C$7,BD!$A$3:$A$5001,"&lt;="&amp;$B275,BD!$AA$3:$AA$5001,"&lt;&gt;")=0,"",SUMIFS(BD!$AA$3:$AA$5001,BD!$B$3:$B$5001,F$245,BD!$A$3:$A$5001,_xlfn.MAXIFS(BD!$A$3:$A$5001,BD!$B$3:$B$5001,F$245,BD!$A$3:$A$5001,"&gt;="&amp;$C$7,BD!$A$3:$A$5001,"&lt;="&amp;$B275,BD!$AA$3:$AA$5001,"&lt;&gt;"))))</f>
        <v/>
      </c>
      <c r="G275" s="43" t="str">
        <f>IF(OR($B275="",$A275&gt;$B$9,G$245=""),"",IF(COUNTIFS(BD!$B$3:$B$5001,G$245,BD!$A$3:$A$5001,"&gt;="&amp;$C$7,BD!$A$3:$A$5001,"&lt;="&amp;$B275,BD!$AA$3:$AA$5001,"&lt;&gt;")=0,"",SUMIFS(BD!$AA$3:$AA$5001,BD!$B$3:$B$5001,G$245,BD!$A$3:$A$5001,_xlfn.MAXIFS(BD!$A$3:$A$5001,BD!$B$3:$B$5001,G$245,BD!$A$3:$A$5001,"&gt;="&amp;$C$7,BD!$A$3:$A$5001,"&lt;="&amp;$B275,BD!$AA$3:$AA$5001,"&lt;&gt;"))))</f>
        <v/>
      </c>
      <c r="H275" s="43" t="str">
        <f>IF(OR($B275="",$A275&gt;$B$9,H$245=""),"",IF(COUNTIFS(BD!$B$3:$B$5001,H$245,BD!$A$3:$A$5001,"&gt;="&amp;$C$7,BD!$A$3:$A$5001,"&lt;="&amp;$B275,BD!$AA$3:$AA$5001,"&lt;&gt;")=0,"",SUMIFS(BD!$AA$3:$AA$5001,BD!$B$3:$B$5001,H$245,BD!$A$3:$A$5001,_xlfn.MAXIFS(BD!$A$3:$A$5001,BD!$B$3:$B$5001,H$245,BD!$A$3:$A$5001,"&gt;="&amp;$C$7,BD!$A$3:$A$5001,"&lt;="&amp;$B275,BD!$AA$3:$AA$5001,"&lt;&gt;"))))</f>
        <v/>
      </c>
      <c r="I275" s="43" t="str">
        <f>IF(OR($B275="",$A275&gt;$B$9,I$245=""),"",IF(COUNTIFS(BD!$B$3:$B$5001,I$245,BD!$A$3:$A$5001,"&gt;="&amp;$C$7,BD!$A$3:$A$5001,"&lt;="&amp;$B275,BD!$AA$3:$AA$5001,"&lt;&gt;")=0,"",SUMIFS(BD!$AA$3:$AA$5001,BD!$B$3:$B$5001,I$245,BD!$A$3:$A$5001,_xlfn.MAXIFS(BD!$A$3:$A$5001,BD!$B$3:$B$5001,I$245,BD!$A$3:$A$5001,"&gt;="&amp;$C$7,BD!$A$3:$A$5001,"&lt;="&amp;$B275,BD!$AA$3:$AA$5001,"&lt;&gt;"))))</f>
        <v/>
      </c>
      <c r="J275" s="43" t="str">
        <f>IF(OR($B275="",$A275&gt;$B$9,J$245=""),"",IF(COUNTIFS(BD!$B$3:$B$5001,J$245,BD!$A$3:$A$5001,"&gt;="&amp;$C$7,BD!$A$3:$A$5001,"&lt;="&amp;$B275,BD!$AA$3:$AA$5001,"&lt;&gt;")=0,"",SUMIFS(BD!$AA$3:$AA$5001,BD!$B$3:$B$5001,J$245,BD!$A$3:$A$5001,_xlfn.MAXIFS(BD!$A$3:$A$5001,BD!$B$3:$B$5001,J$245,BD!$A$3:$A$5001,"&gt;="&amp;$C$7,BD!$A$3:$A$5001,"&lt;="&amp;$B275,BD!$AA$3:$AA$5001,"&lt;&gt;"))))</f>
        <v/>
      </c>
      <c r="K275" s="43" t="str">
        <f>IF(OR($B275="",$A275&gt;$B$9,K$245=""),"",IF(COUNTIFS(BD!$B$3:$B$5001,K$245,BD!$A$3:$A$5001,"&gt;="&amp;$C$7,BD!$A$3:$A$5001,"&lt;="&amp;$B275,BD!$AA$3:$AA$5001,"&lt;&gt;")=0,"",SUMIFS(BD!$AA$3:$AA$5001,BD!$B$3:$B$5001,K$245,BD!$A$3:$A$5001,_xlfn.MAXIFS(BD!$A$3:$A$5001,BD!$B$3:$B$5001,K$245,BD!$A$3:$A$5001,"&gt;="&amp;$C$7,BD!$A$3:$A$5001,"&lt;="&amp;$B275,BD!$AA$3:$AA$5001,"&lt;&gt;"))))</f>
        <v/>
      </c>
      <c r="L275" s="43" t="str">
        <f>IF(OR($B275="",$A275&gt;$B$9,L$245=""),"",IF(COUNTIFS(BD!$B$3:$B$5001,L$245,BD!$A$3:$A$5001,"&gt;="&amp;$C$7,BD!$A$3:$A$5001,"&lt;="&amp;$B275,BD!$AA$3:$AA$5001,"&lt;&gt;")=0,"",SUMIFS(BD!$AA$3:$AA$5001,BD!$B$3:$B$5001,L$245,BD!$A$3:$A$5001,_xlfn.MAXIFS(BD!$A$3:$A$5001,BD!$B$3:$B$5001,L$245,BD!$A$3:$A$5001,"&gt;="&amp;$C$7,BD!$A$3:$A$5001,"&lt;="&amp;$B275,BD!$AA$3:$AA$5001,"&lt;&gt;"))))</f>
        <v/>
      </c>
      <c r="M275" s="43" t="str">
        <f>IF(OR($B275="",$A275&gt;$B$9,M$245=""),"",IF(COUNTIFS(BD!$B$3:$B$5001,M$245,BD!$A$3:$A$5001,"&gt;="&amp;$C$7,BD!$A$3:$A$5001,"&lt;="&amp;$B275,BD!$AA$3:$AA$5001,"&lt;&gt;")=0,"",SUMIFS(BD!$AA$3:$AA$5001,BD!$B$3:$B$5001,M$245,BD!$A$3:$A$5001,_xlfn.MAXIFS(BD!$A$3:$A$5001,BD!$B$3:$B$5001,M$245,BD!$A$3:$A$5001,"&gt;="&amp;$C$7,BD!$A$3:$A$5001,"&lt;="&amp;$B275,BD!$AA$3:$AA$5001,"&lt;&gt;"))))</f>
        <v/>
      </c>
      <c r="N275" s="43" t="str">
        <f>IF(OR($B275="",$A275&gt;$B$9,N$245=""),"",IF(COUNTIFS(BD!$B$3:$B$5001,N$245,BD!$A$3:$A$5001,"&gt;="&amp;$C$7,BD!$A$3:$A$5001,"&lt;="&amp;$B275,BD!$AA$3:$AA$5001,"&lt;&gt;")=0,"",SUMIFS(BD!$AA$3:$AA$5001,BD!$B$3:$B$5001,N$245,BD!$A$3:$A$5001,_xlfn.MAXIFS(BD!$A$3:$A$5001,BD!$B$3:$B$5001,N$245,BD!$A$3:$A$5001,"&gt;="&amp;$C$7,BD!$A$3:$A$5001,"&lt;="&amp;$B275,BD!$AA$3:$AA$5001,"&lt;&gt;"))))</f>
        <v/>
      </c>
      <c r="O275" s="43" t="str">
        <f>IF(OR($B275="",$A275&gt;$B$9,O$245=""),"",IF(COUNTIFS(BD!$B$3:$B$5001,O$245,BD!$A$3:$A$5001,"&gt;="&amp;$C$7,BD!$A$3:$A$5001,"&lt;="&amp;$B275,BD!$AA$3:$AA$5001,"&lt;&gt;")=0,"",SUMIFS(BD!$AA$3:$AA$5001,BD!$B$3:$B$5001,O$245,BD!$A$3:$A$5001,_xlfn.MAXIFS(BD!$A$3:$A$5001,BD!$B$3:$B$5001,O$245,BD!$A$3:$A$5001,"&gt;="&amp;$C$7,BD!$A$3:$A$5001,"&lt;="&amp;$B275,BD!$AA$3:$AA$5001,"&lt;&gt;"))))</f>
        <v/>
      </c>
      <c r="P275" s="43" t="str">
        <f>IF(OR($B275="",$A275&gt;$B$9,P$245=""),"",IF(COUNTIFS(BD!$B$3:$B$5001,P$245,BD!$A$3:$A$5001,"&gt;="&amp;$C$7,BD!$A$3:$A$5001,"&lt;="&amp;$B275,BD!$AA$3:$AA$5001,"&lt;&gt;")=0,"",SUMIFS(BD!$AA$3:$AA$5001,BD!$B$3:$B$5001,P$245,BD!$A$3:$A$5001,_xlfn.MAXIFS(BD!$A$3:$A$5001,BD!$B$3:$B$5001,P$245,BD!$A$3:$A$5001,"&gt;="&amp;$C$7,BD!$A$3:$A$5001,"&lt;="&amp;$B275,BD!$AA$3:$AA$5001,"&lt;&gt;"))))</f>
        <v/>
      </c>
      <c r="Q275" s="43" t="str">
        <f>IF(OR($B275="",$A275&gt;$B$9,Q$245=""),"",IF(COUNTIFS(BD!$B$3:$B$5001,Q$245,BD!$A$3:$A$5001,"&gt;="&amp;$C$7,BD!$A$3:$A$5001,"&lt;="&amp;$B275,BD!$AA$3:$AA$5001,"&lt;&gt;")=0,"",SUMIFS(BD!$AA$3:$AA$5001,BD!$B$3:$B$5001,Q$245,BD!$A$3:$A$5001,_xlfn.MAXIFS(BD!$A$3:$A$5001,BD!$B$3:$B$5001,Q$245,BD!$A$3:$A$5001,"&gt;="&amp;$C$7,BD!$A$3:$A$5001,"&lt;="&amp;$B275,BD!$AA$3:$AA$5001,"&lt;&gt;"))))</f>
        <v/>
      </c>
      <c r="R275" s="43" t="str">
        <f>IF(OR($B275="",$A275&gt;$B$9,R$245=""),"",IF(COUNTIFS(BD!$B$3:$B$5001,R$245,BD!$A$3:$A$5001,"&gt;="&amp;$C$7,BD!$A$3:$A$5001,"&lt;="&amp;$B275,BD!$AA$3:$AA$5001,"&lt;&gt;")=0,"",SUMIFS(BD!$AA$3:$AA$5001,BD!$B$3:$B$5001,R$245,BD!$A$3:$A$5001,_xlfn.MAXIFS(BD!$A$3:$A$5001,BD!$B$3:$B$5001,R$245,BD!$A$3:$A$5001,"&gt;="&amp;$C$7,BD!$A$3:$A$5001,"&lt;="&amp;$B275,BD!$AA$3:$AA$5001,"&lt;&gt;"))))</f>
        <v/>
      </c>
      <c r="S275" s="43" t="str">
        <f>IF(OR($B275="",$A275&gt;$B$9,S$245=""),"",IF(COUNTIFS(BD!$B$3:$B$5001,S$245,BD!$A$3:$A$5001,"&gt;="&amp;$C$7,BD!$A$3:$A$5001,"&lt;="&amp;$B275,BD!$AA$3:$AA$5001,"&lt;&gt;")=0,"",SUMIFS(BD!$AA$3:$AA$5001,BD!$B$3:$B$5001,S$245,BD!$A$3:$A$5001,_xlfn.MAXIFS(BD!$A$3:$A$5001,BD!$B$3:$B$5001,S$245,BD!$A$3:$A$5001,"&gt;="&amp;$C$7,BD!$A$3:$A$5001,"&lt;="&amp;$B275,BD!$AA$3:$AA$5001,"&lt;&gt;"))))</f>
        <v/>
      </c>
      <c r="T275" s="43" t="str">
        <f>IF(OR($B275="",$A275&gt;$B$9,T$245=""),"",IF(COUNTIFS(BD!$B$3:$B$5001,T$245,BD!$A$3:$A$5001,"&gt;="&amp;$C$7,BD!$A$3:$A$5001,"&lt;="&amp;$B275,BD!$AA$3:$AA$5001,"&lt;&gt;")=0,"",SUMIFS(BD!$AA$3:$AA$5001,BD!$B$3:$B$5001,T$245,BD!$A$3:$A$5001,_xlfn.MAXIFS(BD!$A$3:$A$5001,BD!$B$3:$B$5001,T$245,BD!$A$3:$A$5001,"&gt;="&amp;$C$7,BD!$A$3:$A$5001,"&lt;="&amp;$B275,BD!$AA$3:$AA$5001,"&lt;&gt;"))))</f>
        <v/>
      </c>
      <c r="U275" s="43" t="str">
        <f>IF(OR($B275="",$A275&gt;$B$9,U$245=""),"",IF(COUNTIFS(BD!$B$3:$B$5001,U$245,BD!$A$3:$A$5001,"&gt;="&amp;$C$7,BD!$A$3:$A$5001,"&lt;="&amp;$B275,BD!$AA$3:$AA$5001,"&lt;&gt;")=0,"",SUMIFS(BD!$AA$3:$AA$5001,BD!$B$3:$B$5001,U$245,BD!$A$3:$A$5001,_xlfn.MAXIFS(BD!$A$3:$A$5001,BD!$B$3:$B$5001,U$245,BD!$A$3:$A$5001,"&gt;="&amp;$C$7,BD!$A$3:$A$5001,"&lt;="&amp;$B275,BD!$AA$3:$AA$5001,"&lt;&gt;"))))</f>
        <v/>
      </c>
      <c r="V275" s="43" t="str">
        <f>IF(OR($B275="",$A275&gt;$B$9,V$245=""),"",IF(COUNTIFS(BD!$B$3:$B$5001,V$245,BD!$A$3:$A$5001,"&gt;="&amp;$C$7,BD!$A$3:$A$5001,"&lt;="&amp;$B275,BD!$AA$3:$AA$5001,"&lt;&gt;")=0,"",SUMIFS(BD!$AA$3:$AA$5001,BD!$B$3:$B$5001,V$245,BD!$A$3:$A$5001,_xlfn.MAXIFS(BD!$A$3:$A$5001,BD!$B$3:$B$5001,V$245,BD!$A$3:$A$5001,"&gt;="&amp;$C$7,BD!$A$3:$A$5001,"&lt;="&amp;$B275,BD!$AA$3:$AA$5001,"&lt;&gt;"))))</f>
        <v/>
      </c>
    </row>
    <row r="276">
      <c r="A276" s="38">
        <v>31</v>
      </c>
      <c r="B276" s="42">
        <f>$B$42</f>
        <v>46326</v>
      </c>
      <c r="C276" s="43" t="str">
        <f>IF(OR($B276="",$A276&gt;$B$9,C$245=""),"",IF(COUNTIFS(BD!$B$3:$B$5001,C$245,BD!$A$3:$A$5001,"&gt;="&amp;$C$7,BD!$A$3:$A$5001,"&lt;="&amp;$B276,BD!$AA$3:$AA$5001,"&lt;&gt;")=0,"",SUMIFS(BD!$AA$3:$AA$5001,BD!$B$3:$B$5001,C$245,BD!$A$3:$A$5001,_xlfn.MAXIFS(BD!$A$3:$A$5001,BD!$B$3:$B$5001,C$245,BD!$A$3:$A$5001,"&gt;="&amp;$C$7,BD!$A$3:$A$5001,"&lt;="&amp;$B276,BD!$AA$3:$AA$5001,"&lt;&gt;"))))</f>
        <v/>
      </c>
      <c r="D276" s="43" t="str">
        <f>IF(OR($B276="",$A276&gt;$B$9,D$245=""),"",IF(COUNTIFS(BD!$B$3:$B$5001,D$245,BD!$A$3:$A$5001,"&gt;="&amp;$C$7,BD!$A$3:$A$5001,"&lt;="&amp;$B276,BD!$AA$3:$AA$5001,"&lt;&gt;")=0,"",SUMIFS(BD!$AA$3:$AA$5001,BD!$B$3:$B$5001,D$245,BD!$A$3:$A$5001,_xlfn.MAXIFS(BD!$A$3:$A$5001,BD!$B$3:$B$5001,D$245,BD!$A$3:$A$5001,"&gt;="&amp;$C$7,BD!$A$3:$A$5001,"&lt;="&amp;$B276,BD!$AA$3:$AA$5001,"&lt;&gt;"))))</f>
        <v/>
      </c>
      <c r="E276" s="43" t="str">
        <f>IF(OR($B276="",$A276&gt;$B$9,E$245=""),"",IF(COUNTIFS(BD!$B$3:$B$5001,E$245,BD!$A$3:$A$5001,"&gt;="&amp;$C$7,BD!$A$3:$A$5001,"&lt;="&amp;$B276,BD!$AA$3:$AA$5001,"&lt;&gt;")=0,"",SUMIFS(BD!$AA$3:$AA$5001,BD!$B$3:$B$5001,E$245,BD!$A$3:$A$5001,_xlfn.MAXIFS(BD!$A$3:$A$5001,BD!$B$3:$B$5001,E$245,BD!$A$3:$A$5001,"&gt;="&amp;$C$7,BD!$A$3:$A$5001,"&lt;="&amp;$B276,BD!$AA$3:$AA$5001,"&lt;&gt;"))))</f>
        <v/>
      </c>
      <c r="F276" s="43" t="str">
        <f>IF(OR($B276="",$A276&gt;$B$9,F$245=""),"",IF(COUNTIFS(BD!$B$3:$B$5001,F$245,BD!$A$3:$A$5001,"&gt;="&amp;$C$7,BD!$A$3:$A$5001,"&lt;="&amp;$B276,BD!$AA$3:$AA$5001,"&lt;&gt;")=0,"",SUMIFS(BD!$AA$3:$AA$5001,BD!$B$3:$B$5001,F$245,BD!$A$3:$A$5001,_xlfn.MAXIFS(BD!$A$3:$A$5001,BD!$B$3:$B$5001,F$245,BD!$A$3:$A$5001,"&gt;="&amp;$C$7,BD!$A$3:$A$5001,"&lt;="&amp;$B276,BD!$AA$3:$AA$5001,"&lt;&gt;"))))</f>
        <v/>
      </c>
      <c r="G276" s="43" t="str">
        <f>IF(OR($B276="",$A276&gt;$B$9,G$245=""),"",IF(COUNTIFS(BD!$B$3:$B$5001,G$245,BD!$A$3:$A$5001,"&gt;="&amp;$C$7,BD!$A$3:$A$5001,"&lt;="&amp;$B276,BD!$AA$3:$AA$5001,"&lt;&gt;")=0,"",SUMIFS(BD!$AA$3:$AA$5001,BD!$B$3:$B$5001,G$245,BD!$A$3:$A$5001,_xlfn.MAXIFS(BD!$A$3:$A$5001,BD!$B$3:$B$5001,G$245,BD!$A$3:$A$5001,"&gt;="&amp;$C$7,BD!$A$3:$A$5001,"&lt;="&amp;$B276,BD!$AA$3:$AA$5001,"&lt;&gt;"))))</f>
        <v/>
      </c>
      <c r="H276" s="43" t="str">
        <f>IF(OR($B276="",$A276&gt;$B$9,H$245=""),"",IF(COUNTIFS(BD!$B$3:$B$5001,H$245,BD!$A$3:$A$5001,"&gt;="&amp;$C$7,BD!$A$3:$A$5001,"&lt;="&amp;$B276,BD!$AA$3:$AA$5001,"&lt;&gt;")=0,"",SUMIFS(BD!$AA$3:$AA$5001,BD!$B$3:$B$5001,H$245,BD!$A$3:$A$5001,_xlfn.MAXIFS(BD!$A$3:$A$5001,BD!$B$3:$B$5001,H$245,BD!$A$3:$A$5001,"&gt;="&amp;$C$7,BD!$A$3:$A$5001,"&lt;="&amp;$B276,BD!$AA$3:$AA$5001,"&lt;&gt;"))))</f>
        <v/>
      </c>
      <c r="I276" s="43" t="str">
        <f>IF(OR($B276="",$A276&gt;$B$9,I$245=""),"",IF(COUNTIFS(BD!$B$3:$B$5001,I$245,BD!$A$3:$A$5001,"&gt;="&amp;$C$7,BD!$A$3:$A$5001,"&lt;="&amp;$B276,BD!$AA$3:$AA$5001,"&lt;&gt;")=0,"",SUMIFS(BD!$AA$3:$AA$5001,BD!$B$3:$B$5001,I$245,BD!$A$3:$A$5001,_xlfn.MAXIFS(BD!$A$3:$A$5001,BD!$B$3:$B$5001,I$245,BD!$A$3:$A$5001,"&gt;="&amp;$C$7,BD!$A$3:$A$5001,"&lt;="&amp;$B276,BD!$AA$3:$AA$5001,"&lt;&gt;"))))</f>
        <v/>
      </c>
      <c r="J276" s="43" t="str">
        <f>IF(OR($B276="",$A276&gt;$B$9,J$245=""),"",IF(COUNTIFS(BD!$B$3:$B$5001,J$245,BD!$A$3:$A$5001,"&gt;="&amp;$C$7,BD!$A$3:$A$5001,"&lt;="&amp;$B276,BD!$AA$3:$AA$5001,"&lt;&gt;")=0,"",SUMIFS(BD!$AA$3:$AA$5001,BD!$B$3:$B$5001,J$245,BD!$A$3:$A$5001,_xlfn.MAXIFS(BD!$A$3:$A$5001,BD!$B$3:$B$5001,J$245,BD!$A$3:$A$5001,"&gt;="&amp;$C$7,BD!$A$3:$A$5001,"&lt;="&amp;$B276,BD!$AA$3:$AA$5001,"&lt;&gt;"))))</f>
        <v/>
      </c>
      <c r="K276" s="43" t="str">
        <f>IF(OR($B276="",$A276&gt;$B$9,K$245=""),"",IF(COUNTIFS(BD!$B$3:$B$5001,K$245,BD!$A$3:$A$5001,"&gt;="&amp;$C$7,BD!$A$3:$A$5001,"&lt;="&amp;$B276,BD!$AA$3:$AA$5001,"&lt;&gt;")=0,"",SUMIFS(BD!$AA$3:$AA$5001,BD!$B$3:$B$5001,K$245,BD!$A$3:$A$5001,_xlfn.MAXIFS(BD!$A$3:$A$5001,BD!$B$3:$B$5001,K$245,BD!$A$3:$A$5001,"&gt;="&amp;$C$7,BD!$A$3:$A$5001,"&lt;="&amp;$B276,BD!$AA$3:$AA$5001,"&lt;&gt;"))))</f>
        <v/>
      </c>
      <c r="L276" s="43" t="str">
        <f>IF(OR($B276="",$A276&gt;$B$9,L$245=""),"",IF(COUNTIFS(BD!$B$3:$B$5001,L$245,BD!$A$3:$A$5001,"&gt;="&amp;$C$7,BD!$A$3:$A$5001,"&lt;="&amp;$B276,BD!$AA$3:$AA$5001,"&lt;&gt;")=0,"",SUMIFS(BD!$AA$3:$AA$5001,BD!$B$3:$B$5001,L$245,BD!$A$3:$A$5001,_xlfn.MAXIFS(BD!$A$3:$A$5001,BD!$B$3:$B$5001,L$245,BD!$A$3:$A$5001,"&gt;="&amp;$C$7,BD!$A$3:$A$5001,"&lt;="&amp;$B276,BD!$AA$3:$AA$5001,"&lt;&gt;"))))</f>
        <v/>
      </c>
      <c r="M276" s="43" t="str">
        <f>IF(OR($B276="",$A276&gt;$B$9,M$245=""),"",IF(COUNTIFS(BD!$B$3:$B$5001,M$245,BD!$A$3:$A$5001,"&gt;="&amp;$C$7,BD!$A$3:$A$5001,"&lt;="&amp;$B276,BD!$AA$3:$AA$5001,"&lt;&gt;")=0,"",SUMIFS(BD!$AA$3:$AA$5001,BD!$B$3:$B$5001,M$245,BD!$A$3:$A$5001,_xlfn.MAXIFS(BD!$A$3:$A$5001,BD!$B$3:$B$5001,M$245,BD!$A$3:$A$5001,"&gt;="&amp;$C$7,BD!$A$3:$A$5001,"&lt;="&amp;$B276,BD!$AA$3:$AA$5001,"&lt;&gt;"))))</f>
        <v/>
      </c>
      <c r="N276" s="43" t="str">
        <f>IF(OR($B276="",$A276&gt;$B$9,N$245=""),"",IF(COUNTIFS(BD!$B$3:$B$5001,N$245,BD!$A$3:$A$5001,"&gt;="&amp;$C$7,BD!$A$3:$A$5001,"&lt;="&amp;$B276,BD!$AA$3:$AA$5001,"&lt;&gt;")=0,"",SUMIFS(BD!$AA$3:$AA$5001,BD!$B$3:$B$5001,N$245,BD!$A$3:$A$5001,_xlfn.MAXIFS(BD!$A$3:$A$5001,BD!$B$3:$B$5001,N$245,BD!$A$3:$A$5001,"&gt;="&amp;$C$7,BD!$A$3:$A$5001,"&lt;="&amp;$B276,BD!$AA$3:$AA$5001,"&lt;&gt;"))))</f>
        <v/>
      </c>
      <c r="O276" s="43" t="str">
        <f>IF(OR($B276="",$A276&gt;$B$9,O$245=""),"",IF(COUNTIFS(BD!$B$3:$B$5001,O$245,BD!$A$3:$A$5001,"&gt;="&amp;$C$7,BD!$A$3:$A$5001,"&lt;="&amp;$B276,BD!$AA$3:$AA$5001,"&lt;&gt;")=0,"",SUMIFS(BD!$AA$3:$AA$5001,BD!$B$3:$B$5001,O$245,BD!$A$3:$A$5001,_xlfn.MAXIFS(BD!$A$3:$A$5001,BD!$B$3:$B$5001,O$245,BD!$A$3:$A$5001,"&gt;="&amp;$C$7,BD!$A$3:$A$5001,"&lt;="&amp;$B276,BD!$AA$3:$AA$5001,"&lt;&gt;"))))</f>
        <v/>
      </c>
      <c r="P276" s="43" t="str">
        <f>IF(OR($B276="",$A276&gt;$B$9,P$245=""),"",IF(COUNTIFS(BD!$B$3:$B$5001,P$245,BD!$A$3:$A$5001,"&gt;="&amp;$C$7,BD!$A$3:$A$5001,"&lt;="&amp;$B276,BD!$AA$3:$AA$5001,"&lt;&gt;")=0,"",SUMIFS(BD!$AA$3:$AA$5001,BD!$B$3:$B$5001,P$245,BD!$A$3:$A$5001,_xlfn.MAXIFS(BD!$A$3:$A$5001,BD!$B$3:$B$5001,P$245,BD!$A$3:$A$5001,"&gt;="&amp;$C$7,BD!$A$3:$A$5001,"&lt;="&amp;$B276,BD!$AA$3:$AA$5001,"&lt;&gt;"))))</f>
        <v/>
      </c>
      <c r="Q276" s="43" t="str">
        <f>IF(OR($B276="",$A276&gt;$B$9,Q$245=""),"",IF(COUNTIFS(BD!$B$3:$B$5001,Q$245,BD!$A$3:$A$5001,"&gt;="&amp;$C$7,BD!$A$3:$A$5001,"&lt;="&amp;$B276,BD!$AA$3:$AA$5001,"&lt;&gt;")=0,"",SUMIFS(BD!$AA$3:$AA$5001,BD!$B$3:$B$5001,Q$245,BD!$A$3:$A$5001,_xlfn.MAXIFS(BD!$A$3:$A$5001,BD!$B$3:$B$5001,Q$245,BD!$A$3:$A$5001,"&gt;="&amp;$C$7,BD!$A$3:$A$5001,"&lt;="&amp;$B276,BD!$AA$3:$AA$5001,"&lt;&gt;"))))</f>
        <v/>
      </c>
      <c r="R276" s="43" t="str">
        <f>IF(OR($B276="",$A276&gt;$B$9,R$245=""),"",IF(COUNTIFS(BD!$B$3:$B$5001,R$245,BD!$A$3:$A$5001,"&gt;="&amp;$C$7,BD!$A$3:$A$5001,"&lt;="&amp;$B276,BD!$AA$3:$AA$5001,"&lt;&gt;")=0,"",SUMIFS(BD!$AA$3:$AA$5001,BD!$B$3:$B$5001,R$245,BD!$A$3:$A$5001,_xlfn.MAXIFS(BD!$A$3:$A$5001,BD!$B$3:$B$5001,R$245,BD!$A$3:$A$5001,"&gt;="&amp;$C$7,BD!$A$3:$A$5001,"&lt;="&amp;$B276,BD!$AA$3:$AA$5001,"&lt;&gt;"))))</f>
        <v/>
      </c>
      <c r="S276" s="43" t="str">
        <f>IF(OR($B276="",$A276&gt;$B$9,S$245=""),"",IF(COUNTIFS(BD!$B$3:$B$5001,S$245,BD!$A$3:$A$5001,"&gt;="&amp;$C$7,BD!$A$3:$A$5001,"&lt;="&amp;$B276,BD!$AA$3:$AA$5001,"&lt;&gt;")=0,"",SUMIFS(BD!$AA$3:$AA$5001,BD!$B$3:$B$5001,S$245,BD!$A$3:$A$5001,_xlfn.MAXIFS(BD!$A$3:$A$5001,BD!$B$3:$B$5001,S$245,BD!$A$3:$A$5001,"&gt;="&amp;$C$7,BD!$A$3:$A$5001,"&lt;="&amp;$B276,BD!$AA$3:$AA$5001,"&lt;&gt;"))))</f>
        <v/>
      </c>
      <c r="T276" s="43" t="str">
        <f>IF(OR($B276="",$A276&gt;$B$9,T$245=""),"",IF(COUNTIFS(BD!$B$3:$B$5001,T$245,BD!$A$3:$A$5001,"&gt;="&amp;$C$7,BD!$A$3:$A$5001,"&lt;="&amp;$B276,BD!$AA$3:$AA$5001,"&lt;&gt;")=0,"",SUMIFS(BD!$AA$3:$AA$5001,BD!$B$3:$B$5001,T$245,BD!$A$3:$A$5001,_xlfn.MAXIFS(BD!$A$3:$A$5001,BD!$B$3:$B$5001,T$245,BD!$A$3:$A$5001,"&gt;="&amp;$C$7,BD!$A$3:$A$5001,"&lt;="&amp;$B276,BD!$AA$3:$AA$5001,"&lt;&gt;"))))</f>
        <v/>
      </c>
      <c r="U276" s="43" t="str">
        <f>IF(OR($B276="",$A276&gt;$B$9,U$245=""),"",IF(COUNTIFS(BD!$B$3:$B$5001,U$245,BD!$A$3:$A$5001,"&gt;="&amp;$C$7,BD!$A$3:$A$5001,"&lt;="&amp;$B276,BD!$AA$3:$AA$5001,"&lt;&gt;")=0,"",SUMIFS(BD!$AA$3:$AA$5001,BD!$B$3:$B$5001,U$245,BD!$A$3:$A$5001,_xlfn.MAXIFS(BD!$A$3:$A$5001,BD!$B$3:$B$5001,U$245,BD!$A$3:$A$5001,"&gt;="&amp;$C$7,BD!$A$3:$A$5001,"&lt;="&amp;$B276,BD!$AA$3:$AA$5001,"&lt;&gt;"))))</f>
        <v/>
      </c>
      <c r="V276" s="43" t="str">
        <f>IF(OR($B276="",$A276&gt;$B$9,V$245=""),"",IF(COUNTIFS(BD!$B$3:$B$5001,V$245,BD!$A$3:$A$5001,"&gt;="&amp;$C$7,BD!$A$3:$A$5001,"&lt;="&amp;$B276,BD!$AA$3:$AA$5001,"&lt;&gt;")=0,"",SUMIFS(BD!$AA$3:$AA$5001,BD!$B$3:$B$5001,V$245,BD!$A$3:$A$5001,_xlfn.MAXIFS(BD!$A$3:$A$5001,BD!$B$3:$B$5001,V$245,BD!$A$3:$A$5001,"&gt;="&amp;$C$7,BD!$A$3:$A$5001,"&lt;="&amp;$B276,BD!$AA$3:$AA$5001,"&lt;&gt;"))))</f>
        <v/>
      </c>
    </row>
    <row r="277">
      <c r="A277" s="44" t="inlineStr">
        <is>
          <t xml:space="preserve">Mês anterior (último)</t>
        </is>
      </c>
      <c r="C277" s="45" t="str">
        <f>IF(C$245="","",IF(COUNTIFS(BD!$B$3:$B$5001,C$245,BD!$A$3:$A$5001,"&gt;="&amp;$C$8,BD!$A$3:$A$5001,"&lt;="&amp;$D$8,BD!$AA$3:$AA$5001,"&lt;&gt;")=0,"",SUMIFS(BD!$AA$3:$AA$5001,BD!$B$3:$B$5001,C$245,BD!$A$3:$A$5001,_xlfn.MAXIFS(BD!$A$3:$A$5001,BD!$B$3:$B$5001,C$245,BD!$A$3:$A$5001,"&gt;="&amp;$C$8,BD!$A$3:$A$5001,"&lt;="&amp;$D$8,BD!$AA$3:$AA$5001,"&lt;&gt;"))))</f>
        <v/>
      </c>
      <c r="D277" s="45" t="str">
        <f>IF(D$245="","",IF(COUNTIFS(BD!$B$3:$B$5001,D$245,BD!$A$3:$A$5001,"&gt;="&amp;$C$8,BD!$A$3:$A$5001,"&lt;="&amp;$D$8,BD!$AA$3:$AA$5001,"&lt;&gt;")=0,"",SUMIFS(BD!$AA$3:$AA$5001,BD!$B$3:$B$5001,D$245,BD!$A$3:$A$5001,_xlfn.MAXIFS(BD!$A$3:$A$5001,BD!$B$3:$B$5001,D$245,BD!$A$3:$A$5001,"&gt;="&amp;$C$8,BD!$A$3:$A$5001,"&lt;="&amp;$D$8,BD!$AA$3:$AA$5001,"&lt;&gt;"))))</f>
        <v/>
      </c>
      <c r="E277" s="45" t="str">
        <f>IF(E$245="","",IF(COUNTIFS(BD!$B$3:$B$5001,E$245,BD!$A$3:$A$5001,"&gt;="&amp;$C$8,BD!$A$3:$A$5001,"&lt;="&amp;$D$8,BD!$AA$3:$AA$5001,"&lt;&gt;")=0,"",SUMIFS(BD!$AA$3:$AA$5001,BD!$B$3:$B$5001,E$245,BD!$A$3:$A$5001,_xlfn.MAXIFS(BD!$A$3:$A$5001,BD!$B$3:$B$5001,E$245,BD!$A$3:$A$5001,"&gt;="&amp;$C$8,BD!$A$3:$A$5001,"&lt;="&amp;$D$8,BD!$AA$3:$AA$5001,"&lt;&gt;"))))</f>
        <v/>
      </c>
      <c r="F277" s="45" t="str">
        <f>IF(F$245="","",IF(COUNTIFS(BD!$B$3:$B$5001,F$245,BD!$A$3:$A$5001,"&gt;="&amp;$C$8,BD!$A$3:$A$5001,"&lt;="&amp;$D$8,BD!$AA$3:$AA$5001,"&lt;&gt;")=0,"",SUMIFS(BD!$AA$3:$AA$5001,BD!$B$3:$B$5001,F$245,BD!$A$3:$A$5001,_xlfn.MAXIFS(BD!$A$3:$A$5001,BD!$B$3:$B$5001,F$245,BD!$A$3:$A$5001,"&gt;="&amp;$C$8,BD!$A$3:$A$5001,"&lt;="&amp;$D$8,BD!$AA$3:$AA$5001,"&lt;&gt;"))))</f>
        <v/>
      </c>
      <c r="G277" s="45" t="str">
        <f>IF(G$245="","",IF(COUNTIFS(BD!$B$3:$B$5001,G$245,BD!$A$3:$A$5001,"&gt;="&amp;$C$8,BD!$A$3:$A$5001,"&lt;="&amp;$D$8,BD!$AA$3:$AA$5001,"&lt;&gt;")=0,"",SUMIFS(BD!$AA$3:$AA$5001,BD!$B$3:$B$5001,G$245,BD!$A$3:$A$5001,_xlfn.MAXIFS(BD!$A$3:$A$5001,BD!$B$3:$B$5001,G$245,BD!$A$3:$A$5001,"&gt;="&amp;$C$8,BD!$A$3:$A$5001,"&lt;="&amp;$D$8,BD!$AA$3:$AA$5001,"&lt;&gt;"))))</f>
        <v/>
      </c>
      <c r="H277" s="45" t="str">
        <f>IF(H$245="","",IF(COUNTIFS(BD!$B$3:$B$5001,H$245,BD!$A$3:$A$5001,"&gt;="&amp;$C$8,BD!$A$3:$A$5001,"&lt;="&amp;$D$8,BD!$AA$3:$AA$5001,"&lt;&gt;")=0,"",SUMIFS(BD!$AA$3:$AA$5001,BD!$B$3:$B$5001,H$245,BD!$A$3:$A$5001,_xlfn.MAXIFS(BD!$A$3:$A$5001,BD!$B$3:$B$5001,H$245,BD!$A$3:$A$5001,"&gt;="&amp;$C$8,BD!$A$3:$A$5001,"&lt;="&amp;$D$8,BD!$AA$3:$AA$5001,"&lt;&gt;"))))</f>
        <v/>
      </c>
      <c r="I277" s="45" t="str">
        <f>IF(I$245="","",IF(COUNTIFS(BD!$B$3:$B$5001,I$245,BD!$A$3:$A$5001,"&gt;="&amp;$C$8,BD!$A$3:$A$5001,"&lt;="&amp;$D$8,BD!$AA$3:$AA$5001,"&lt;&gt;")=0,"",SUMIFS(BD!$AA$3:$AA$5001,BD!$B$3:$B$5001,I$245,BD!$A$3:$A$5001,_xlfn.MAXIFS(BD!$A$3:$A$5001,BD!$B$3:$B$5001,I$245,BD!$A$3:$A$5001,"&gt;="&amp;$C$8,BD!$A$3:$A$5001,"&lt;="&amp;$D$8,BD!$AA$3:$AA$5001,"&lt;&gt;"))))</f>
        <v/>
      </c>
      <c r="J277" s="45" t="str">
        <f>IF(J$245="","",IF(COUNTIFS(BD!$B$3:$B$5001,J$245,BD!$A$3:$A$5001,"&gt;="&amp;$C$8,BD!$A$3:$A$5001,"&lt;="&amp;$D$8,BD!$AA$3:$AA$5001,"&lt;&gt;")=0,"",SUMIFS(BD!$AA$3:$AA$5001,BD!$B$3:$B$5001,J$245,BD!$A$3:$A$5001,_xlfn.MAXIFS(BD!$A$3:$A$5001,BD!$B$3:$B$5001,J$245,BD!$A$3:$A$5001,"&gt;="&amp;$C$8,BD!$A$3:$A$5001,"&lt;="&amp;$D$8,BD!$AA$3:$AA$5001,"&lt;&gt;"))))</f>
        <v/>
      </c>
      <c r="K277" s="45" t="str">
        <f>IF(K$245="","",IF(COUNTIFS(BD!$B$3:$B$5001,K$245,BD!$A$3:$A$5001,"&gt;="&amp;$C$8,BD!$A$3:$A$5001,"&lt;="&amp;$D$8,BD!$AA$3:$AA$5001,"&lt;&gt;")=0,"",SUMIFS(BD!$AA$3:$AA$5001,BD!$B$3:$B$5001,K$245,BD!$A$3:$A$5001,_xlfn.MAXIFS(BD!$A$3:$A$5001,BD!$B$3:$B$5001,K$245,BD!$A$3:$A$5001,"&gt;="&amp;$C$8,BD!$A$3:$A$5001,"&lt;="&amp;$D$8,BD!$AA$3:$AA$5001,"&lt;&gt;"))))</f>
        <v/>
      </c>
      <c r="L277" s="45" t="str">
        <f>IF(L$245="","",IF(COUNTIFS(BD!$B$3:$B$5001,L$245,BD!$A$3:$A$5001,"&gt;="&amp;$C$8,BD!$A$3:$A$5001,"&lt;="&amp;$D$8,BD!$AA$3:$AA$5001,"&lt;&gt;")=0,"",SUMIFS(BD!$AA$3:$AA$5001,BD!$B$3:$B$5001,L$245,BD!$A$3:$A$5001,_xlfn.MAXIFS(BD!$A$3:$A$5001,BD!$B$3:$B$5001,L$245,BD!$A$3:$A$5001,"&gt;="&amp;$C$8,BD!$A$3:$A$5001,"&lt;="&amp;$D$8,BD!$AA$3:$AA$5001,"&lt;&gt;"))))</f>
        <v/>
      </c>
      <c r="M277" s="45" t="str">
        <f>IF(M$245="","",IF(COUNTIFS(BD!$B$3:$B$5001,M$245,BD!$A$3:$A$5001,"&gt;="&amp;$C$8,BD!$A$3:$A$5001,"&lt;="&amp;$D$8,BD!$AA$3:$AA$5001,"&lt;&gt;")=0,"",SUMIFS(BD!$AA$3:$AA$5001,BD!$B$3:$B$5001,M$245,BD!$A$3:$A$5001,_xlfn.MAXIFS(BD!$A$3:$A$5001,BD!$B$3:$B$5001,M$245,BD!$A$3:$A$5001,"&gt;="&amp;$C$8,BD!$A$3:$A$5001,"&lt;="&amp;$D$8,BD!$AA$3:$AA$5001,"&lt;&gt;"))))</f>
        <v/>
      </c>
      <c r="N277" s="45" t="str">
        <f>IF(N$245="","",IF(COUNTIFS(BD!$B$3:$B$5001,N$245,BD!$A$3:$A$5001,"&gt;="&amp;$C$8,BD!$A$3:$A$5001,"&lt;="&amp;$D$8,BD!$AA$3:$AA$5001,"&lt;&gt;")=0,"",SUMIFS(BD!$AA$3:$AA$5001,BD!$B$3:$B$5001,N$245,BD!$A$3:$A$5001,_xlfn.MAXIFS(BD!$A$3:$A$5001,BD!$B$3:$B$5001,N$245,BD!$A$3:$A$5001,"&gt;="&amp;$C$8,BD!$A$3:$A$5001,"&lt;="&amp;$D$8,BD!$AA$3:$AA$5001,"&lt;&gt;"))))</f>
        <v/>
      </c>
      <c r="O277" s="45" t="str">
        <f>IF(O$245="","",IF(COUNTIFS(BD!$B$3:$B$5001,O$245,BD!$A$3:$A$5001,"&gt;="&amp;$C$8,BD!$A$3:$A$5001,"&lt;="&amp;$D$8,BD!$AA$3:$AA$5001,"&lt;&gt;")=0,"",SUMIFS(BD!$AA$3:$AA$5001,BD!$B$3:$B$5001,O$245,BD!$A$3:$A$5001,_xlfn.MAXIFS(BD!$A$3:$A$5001,BD!$B$3:$B$5001,O$245,BD!$A$3:$A$5001,"&gt;="&amp;$C$8,BD!$A$3:$A$5001,"&lt;="&amp;$D$8,BD!$AA$3:$AA$5001,"&lt;&gt;"))))</f>
        <v/>
      </c>
      <c r="P277" s="45" t="str">
        <f>IF(P$245="","",IF(COUNTIFS(BD!$B$3:$B$5001,P$245,BD!$A$3:$A$5001,"&gt;="&amp;$C$8,BD!$A$3:$A$5001,"&lt;="&amp;$D$8,BD!$AA$3:$AA$5001,"&lt;&gt;")=0,"",SUMIFS(BD!$AA$3:$AA$5001,BD!$B$3:$B$5001,P$245,BD!$A$3:$A$5001,_xlfn.MAXIFS(BD!$A$3:$A$5001,BD!$B$3:$B$5001,P$245,BD!$A$3:$A$5001,"&gt;="&amp;$C$8,BD!$A$3:$A$5001,"&lt;="&amp;$D$8,BD!$AA$3:$AA$5001,"&lt;&gt;"))))</f>
        <v/>
      </c>
      <c r="Q277" s="45" t="str">
        <f>IF(Q$245="","",IF(COUNTIFS(BD!$B$3:$B$5001,Q$245,BD!$A$3:$A$5001,"&gt;="&amp;$C$8,BD!$A$3:$A$5001,"&lt;="&amp;$D$8,BD!$AA$3:$AA$5001,"&lt;&gt;")=0,"",SUMIFS(BD!$AA$3:$AA$5001,BD!$B$3:$B$5001,Q$245,BD!$A$3:$A$5001,_xlfn.MAXIFS(BD!$A$3:$A$5001,BD!$B$3:$B$5001,Q$245,BD!$A$3:$A$5001,"&gt;="&amp;$C$8,BD!$A$3:$A$5001,"&lt;="&amp;$D$8,BD!$AA$3:$AA$5001,"&lt;&gt;"))))</f>
        <v/>
      </c>
      <c r="R277" s="45" t="str">
        <f>IF(R$245="","",IF(COUNTIFS(BD!$B$3:$B$5001,R$245,BD!$A$3:$A$5001,"&gt;="&amp;$C$8,BD!$A$3:$A$5001,"&lt;="&amp;$D$8,BD!$AA$3:$AA$5001,"&lt;&gt;")=0,"",SUMIFS(BD!$AA$3:$AA$5001,BD!$B$3:$B$5001,R$245,BD!$A$3:$A$5001,_xlfn.MAXIFS(BD!$A$3:$A$5001,BD!$B$3:$B$5001,R$245,BD!$A$3:$A$5001,"&gt;="&amp;$C$8,BD!$A$3:$A$5001,"&lt;="&amp;$D$8,BD!$AA$3:$AA$5001,"&lt;&gt;"))))</f>
        <v/>
      </c>
      <c r="S277" s="45" t="str">
        <f>IF(S$245="","",IF(COUNTIFS(BD!$B$3:$B$5001,S$245,BD!$A$3:$A$5001,"&gt;="&amp;$C$8,BD!$A$3:$A$5001,"&lt;="&amp;$D$8,BD!$AA$3:$AA$5001,"&lt;&gt;")=0,"",SUMIFS(BD!$AA$3:$AA$5001,BD!$B$3:$B$5001,S$245,BD!$A$3:$A$5001,_xlfn.MAXIFS(BD!$A$3:$A$5001,BD!$B$3:$B$5001,S$245,BD!$A$3:$A$5001,"&gt;="&amp;$C$8,BD!$A$3:$A$5001,"&lt;="&amp;$D$8,BD!$AA$3:$AA$5001,"&lt;&gt;"))))</f>
        <v/>
      </c>
      <c r="T277" s="45" t="str">
        <f>IF(T$245="","",IF(COUNTIFS(BD!$B$3:$B$5001,T$245,BD!$A$3:$A$5001,"&gt;="&amp;$C$8,BD!$A$3:$A$5001,"&lt;="&amp;$D$8,BD!$AA$3:$AA$5001,"&lt;&gt;")=0,"",SUMIFS(BD!$AA$3:$AA$5001,BD!$B$3:$B$5001,T$245,BD!$A$3:$A$5001,_xlfn.MAXIFS(BD!$A$3:$A$5001,BD!$B$3:$B$5001,T$245,BD!$A$3:$A$5001,"&gt;="&amp;$C$8,BD!$A$3:$A$5001,"&lt;="&amp;$D$8,BD!$AA$3:$AA$5001,"&lt;&gt;"))))</f>
        <v/>
      </c>
      <c r="U277" s="45" t="str">
        <f>IF(U$245="","",IF(COUNTIFS(BD!$B$3:$B$5001,U$245,BD!$A$3:$A$5001,"&gt;="&amp;$C$8,BD!$A$3:$A$5001,"&lt;="&amp;$D$8,BD!$AA$3:$AA$5001,"&lt;&gt;")=0,"",SUMIFS(BD!$AA$3:$AA$5001,BD!$B$3:$B$5001,U$245,BD!$A$3:$A$5001,_xlfn.MAXIFS(BD!$A$3:$A$5001,BD!$B$3:$B$5001,U$245,BD!$A$3:$A$5001,"&gt;="&amp;$C$8,BD!$A$3:$A$5001,"&lt;="&amp;$D$8,BD!$AA$3:$AA$5001,"&lt;&gt;"))))</f>
        <v/>
      </c>
      <c r="V277" s="45" t="str">
        <f>IF(V$245="","",IF(COUNTIFS(BD!$B$3:$B$5001,V$245,BD!$A$3:$A$5001,"&gt;="&amp;$C$8,BD!$A$3:$A$5001,"&lt;="&amp;$D$8,BD!$AA$3:$AA$5001,"&lt;&gt;")=0,"",SUMIFS(BD!$AA$3:$AA$5001,BD!$B$3:$B$5001,V$245,BD!$A$3:$A$5001,_xlfn.MAXIFS(BD!$A$3:$A$5001,BD!$B$3:$B$5001,V$245,BD!$A$3:$A$5001,"&gt;="&amp;$C$8,BD!$A$3:$A$5001,"&lt;="&amp;$D$8,BD!$AA$3:$AA$5001,"&lt;&gt;"))))</f>
        <v/>
      </c>
    </row>
    <row r="278">
      <c r="A278" s="44" t="inlineStr">
        <is>
          <t xml:space="preserve">Depósito</t>
        </is>
      </c>
      <c r="C278" s="38" t="str">
        <f>IF(Config!$C$10="","TPC",Config!$C$10)</f>
        <v>TPC</v>
      </c>
      <c r="D278" s="38" t="str">
        <f>IF(Config!$C$11="","TPC",Config!$C$11)</f>
        <v>TPC</v>
      </c>
      <c r="E278" s="38" t="str">
        <f>IF(Config!$C$12="","TPC",Config!$C$12)</f>
        <v>TPC</v>
      </c>
      <c r="F278" s="38" t="str">
        <f>IF(Config!$C$13="","TPC",Config!$C$13)</f>
        <v>TPC</v>
      </c>
      <c r="G278" s="38" t="str">
        <f>IF(Config!$C$14="","TPC",Config!$C$14)</f>
        <v>TPC</v>
      </c>
      <c r="H278" s="38" t="str">
        <f>IF(Config!$C$15="","TPC",Config!$C$15)</f>
        <v>TPC</v>
      </c>
      <c r="I278" s="38" t="str">
        <f>IF(Config!$C$16="","TPC",Config!$C$16)</f>
        <v>TPC</v>
      </c>
      <c r="J278" s="38" t="str">
        <f>IF(Config!$C$17="","TPC",Config!$C$17)</f>
        <v>TPC</v>
      </c>
      <c r="K278" s="38" t="str">
        <f>IF(Config!$C$18="","TPC",Config!$C$18)</f>
        <v>TPC</v>
      </c>
      <c r="L278" s="38" t="str">
        <f>IF(Config!$C$19="","TPC",Config!$C$19)</f>
        <v>TPC</v>
      </c>
      <c r="M278" s="38" t="str">
        <f>IF(Config!$C$20="","TPC",Config!$C$20)</f>
        <v>TPC</v>
      </c>
      <c r="N278" s="38" t="str">
        <f>IF(Config!$C$21="","TPC",Config!$C$21)</f>
        <v>TPC</v>
      </c>
      <c r="O278" s="38" t="str">
        <f>IF(Config!$C$22="","TPC",Config!$C$22)</f>
        <v>TPC</v>
      </c>
      <c r="P278" s="38" t="str">
        <f>IF(Config!$C$23="","TPC",Config!$C$23)</f>
        <v>TPC</v>
      </c>
      <c r="Q278" s="38" t="str">
        <f>IF(Config!$C$24="","TPC",Config!$C$24)</f>
        <v>TPC</v>
      </c>
      <c r="R278" s="38" t="str">
        <f>IF(Config!$C$25="","TPC",Config!$C$25)</f>
        <v>TPC</v>
      </c>
      <c r="S278" s="38" t="str">
        <f>IF(Config!$C$26="","TPC",Config!$C$26)</f>
        <v>TPC</v>
      </c>
      <c r="T278" s="38" t="str">
        <f>IF(Config!$C$27="","TPC",Config!$C$27)</f>
        <v>TPC</v>
      </c>
      <c r="U278" s="38" t="str">
        <f>IF(Config!$C$28="","TPC",Config!$C$28)</f>
        <v>TPC</v>
      </c>
      <c r="V278" s="38" t="str">
        <f>IF(Config!$C$29="","TPC",Config!$C$29)</f>
        <v>TPC</v>
      </c>
    </row>
    <row r="282">
      <c r="A282" s="19" t="inlineStr">
        <is>
          <t xml:space="preserve">RESUMO POR CLIENTE — clientes visíveis pelo filtro do Consol Mensal</t>
        </is>
      </c>
    </row>
    <row r="283">
      <c r="A283" s="37" t="inlineStr">
        <is>
          <t xml:space="preserve">Cliente</t>
        </is>
      </c>
      <c r="B283" s="37" t="inlineStr">
        <is>
          <t xml:space="preserve">Depósito</t>
        </is>
      </c>
      <c r="C283" s="37" t="inlineStr">
        <is>
          <t xml:space="preserve">Entra?</t>
        </is>
      </c>
      <c r="D283" s="37" t="inlineStr">
        <is>
          <t xml:space="preserve">Ordem</t>
        </is>
      </c>
      <c r="F283" s="37" t="inlineStr">
        <is>
          <t xml:space="preserve">Posição</t>
        </is>
      </c>
      <c r="G283" s="37" t="inlineStr">
        <is>
          <t xml:space="preserve">Cliente visível</t>
        </is>
      </c>
      <c r="H283" s="37" t="inlineStr">
        <is>
          <t xml:space="preserve">Depósito visível</t>
        </is>
      </c>
    </row>
    <row r="284">
      <c r="A284" s="65" t="str">
        <f>Config!$B$10&amp;""</f>
        <v>Alpargatas</v>
      </c>
      <c r="B284" s="38" t="str">
        <f>IF(Config!$C$10="","TPC",Config!$C$10)</f>
        <v>TPC</v>
      </c>
      <c r="C284" s="38">
        <f>IF($A284="",0,IF(OR($B$2="Todos",AND($C$2=2,$B284=$D$2),AND($C$2=1,$A284=$D$2)),1,0))</f>
        <v>1</v>
      </c>
      <c r="D284" s="38">
        <f>IF($C284=1,SUM($C$284:$C284),"")</f>
        <v>1</v>
      </c>
      <c r="F284" s="38">
        <v>1</v>
      </c>
      <c r="G284" s="65" t="str">
        <f>IFERROR(INDEX($A$284:$A$303,MATCH($F284,$D$284:$D$303,0)),"")</f>
        <v>Alpargatas</v>
      </c>
      <c r="H284" s="38" t="str">
        <f>IFERROR(INDEX($B$284:$B$303,MATCH($F284,$D$284:$D$303,0)),"")</f>
        <v>TPC</v>
      </c>
    </row>
    <row r="285">
      <c r="A285" s="65" t="str">
        <f>Config!$B$11&amp;""</f>
        <v>Basf</v>
      </c>
      <c r="B285" s="38" t="str">
        <f>IF(Config!$C$11="","TPC",Config!$C$11)</f>
        <v>TPC</v>
      </c>
      <c r="C285" s="38">
        <f>IF($A285="",0,IF(OR($B$2="Todos",AND($C$2=2,$B285=$D$2),AND($C$2=1,$A285=$D$2)),1,0))</f>
        <v>1</v>
      </c>
      <c r="D285" s="38">
        <f>IF($C285=1,SUM($C$284:$C285),"")</f>
        <v>2</v>
      </c>
      <c r="F285" s="38">
        <v>2</v>
      </c>
      <c r="G285" s="65" t="str">
        <f>IFERROR(INDEX($A$284:$A$303,MATCH($F285,$D$284:$D$303,0)),"")</f>
        <v>Basf</v>
      </c>
      <c r="H285" s="38" t="str">
        <f>IFERROR(INDEX($B$284:$B$303,MATCH($F285,$D$284:$D$303,0)),"")</f>
        <v>TPC</v>
      </c>
    </row>
    <row r="286">
      <c r="A286" s="65" t="str">
        <f>Config!$B$12&amp;""</f>
        <v>Beautybiz</v>
      </c>
      <c r="B286" s="38" t="str">
        <f>IF(Config!$C$12="","TPC",Config!$C$12)</f>
        <v>TPC</v>
      </c>
      <c r="C286" s="38">
        <f>IF($A286="",0,IF(OR($B$2="Todos",AND($C$2=2,$B286=$D$2),AND($C$2=1,$A286=$D$2)),1,0))</f>
        <v>1</v>
      </c>
      <c r="D286" s="38">
        <f>IF($C286=1,SUM($C$284:$C286),"")</f>
        <v>3</v>
      </c>
      <c r="F286" s="38">
        <v>3</v>
      </c>
      <c r="G286" s="65" t="str">
        <f>IFERROR(INDEX($A$284:$A$303,MATCH($F286,$D$284:$D$303,0)),"")</f>
        <v>Beautybiz</v>
      </c>
      <c r="H286" s="38" t="str">
        <f>IFERROR(INDEX($B$284:$B$303,MATCH($F286,$D$284:$D$303,0)),"")</f>
        <v>TPC</v>
      </c>
    </row>
    <row r="287">
      <c r="A287" s="65" t="str">
        <f>Config!$B$13&amp;""</f>
        <v>Boticário</v>
      </c>
      <c r="B287" s="38" t="str">
        <f>IF(Config!$C$13="","TPC",Config!$C$13)</f>
        <v>TPC</v>
      </c>
      <c r="C287" s="38">
        <f>IF($A287="",0,IF(OR($B$2="Todos",AND($C$2=2,$B287=$D$2),AND($C$2=1,$A287=$D$2)),1,0))</f>
        <v>1</v>
      </c>
      <c r="D287" s="38">
        <f>IF($C287=1,SUM($C$284:$C287),"")</f>
        <v>4</v>
      </c>
      <c r="F287" s="38">
        <v>4</v>
      </c>
      <c r="G287" s="65" t="str">
        <f>IFERROR(INDEX($A$284:$A$303,MATCH($F287,$D$284:$D$303,0)),"")</f>
        <v>Boticário</v>
      </c>
      <c r="H287" s="38" t="str">
        <f>IFERROR(INDEX($B$284:$B$303,MATCH($F287,$D$284:$D$303,0)),"")</f>
        <v>TPC</v>
      </c>
    </row>
    <row r="288">
      <c r="A288" s="65" t="str">
        <f>Config!$B$14&amp;""</f>
        <v>Confiance</v>
      </c>
      <c r="B288" s="38" t="str">
        <f>IF(Config!$C$14="","TPC",Config!$C$14)</f>
        <v>TPC</v>
      </c>
      <c r="C288" s="38">
        <f>IF($A288="",0,IF(OR($B$2="Todos",AND($C$2=2,$B288=$D$2),AND($C$2=1,$A288=$D$2)),1,0))</f>
        <v>1</v>
      </c>
      <c r="D288" s="38">
        <f>IF($C288=1,SUM($C$284:$C288),"")</f>
        <v>5</v>
      </c>
      <c r="F288" s="38">
        <v>5</v>
      </c>
      <c r="G288" s="65" t="str">
        <f>IFERROR(INDEX($A$284:$A$303,MATCH($F288,$D$284:$D$303,0)),"")</f>
        <v>Confiance</v>
      </c>
      <c r="H288" s="38" t="str">
        <f>IFERROR(INDEX($B$284:$B$303,MATCH($F288,$D$284:$D$303,0)),"")</f>
        <v>TPC</v>
      </c>
    </row>
    <row r="289">
      <c r="A289" s="65" t="str">
        <f>Config!$B$15&amp;""</f>
        <v>GE Vernova</v>
      </c>
      <c r="B289" s="38" t="str">
        <f>IF(Config!$C$15="","TPC",Config!$C$15)</f>
        <v>TPC</v>
      </c>
      <c r="C289" s="38">
        <f>IF($A289="",0,IF(OR($B$2="Todos",AND($C$2=2,$B289=$D$2),AND($C$2=1,$A289=$D$2)),1,0))</f>
        <v>1</v>
      </c>
      <c r="D289" s="38">
        <f>IF($C289=1,SUM($C$284:$C289),"")</f>
        <v>6</v>
      </c>
      <c r="F289" s="38">
        <v>6</v>
      </c>
      <c r="G289" s="65" t="str">
        <f>IFERROR(INDEX($A$284:$A$303,MATCH($F289,$D$284:$D$303,0)),"")</f>
        <v>GE Vernova</v>
      </c>
      <c r="H289" s="38" t="str">
        <f>IFERROR(INDEX($B$284:$B$303,MATCH($F289,$D$284:$D$303,0)),"")</f>
        <v>TPC</v>
      </c>
    </row>
    <row r="290">
      <c r="A290" s="65" t="str">
        <f>Config!$B$16&amp;""</f>
        <v>Omnilife</v>
      </c>
      <c r="B290" s="38" t="str">
        <f>IF(Config!$C$16="","TPC",Config!$C$16)</f>
        <v>TPC</v>
      </c>
      <c r="C290" s="38">
        <f>IF($A290="",0,IF(OR($B$2="Todos",AND($C$2=2,$B290=$D$2),AND($C$2=1,$A290=$D$2)),1,0))</f>
        <v>1</v>
      </c>
      <c r="D290" s="38">
        <f>IF($C290=1,SUM($C$284:$C290),"")</f>
        <v>7</v>
      </c>
      <c r="F290" s="38">
        <v>7</v>
      </c>
      <c r="G290" s="65" t="str">
        <f>IFERROR(INDEX($A$284:$A$303,MATCH($F290,$D$284:$D$303,0)),"")</f>
        <v>Omnilife</v>
      </c>
      <c r="H290" s="38" t="str">
        <f>IFERROR(INDEX($B$284:$B$303,MATCH($F290,$D$284:$D$303,0)),"")</f>
        <v>TPC</v>
      </c>
    </row>
    <row r="291">
      <c r="A291" s="65" t="str">
        <f>Config!$B$17&amp;""</f>
        <v>Supply</v>
      </c>
      <c r="B291" s="38" t="str">
        <f>IF(Config!$C$17="","TPC",Config!$C$17)</f>
        <v>TPC</v>
      </c>
      <c r="C291" s="38">
        <f>IF($A291="",0,IF(OR($B$2="Todos",AND($C$2=2,$B291=$D$2),AND($C$2=1,$A291=$D$2)),1,0))</f>
        <v>1</v>
      </c>
      <c r="D291" s="38">
        <f>IF($C291=1,SUM($C$284:$C291),"")</f>
        <v>8</v>
      </c>
      <c r="F291" s="38">
        <v>8</v>
      </c>
      <c r="G291" s="65" t="str">
        <f>IFERROR(INDEX($A$284:$A$303,MATCH($F291,$D$284:$D$303,0)),"")</f>
        <v>Supply</v>
      </c>
      <c r="H291" s="38" t="str">
        <f>IFERROR(INDEX($B$284:$B$303,MATCH($F291,$D$284:$D$303,0)),"")</f>
        <v>TPC</v>
      </c>
    </row>
    <row r="292">
      <c r="A292" s="65" t="str">
        <f>Config!$B$18&amp;""</f>
        <v>Vedacit</v>
      </c>
      <c r="B292" s="38" t="str">
        <f>IF(Config!$C$18="","TPC",Config!$C$18)</f>
        <v>TPC</v>
      </c>
      <c r="C292" s="38">
        <f>IF($A292="",0,IF(OR($B$2="Todos",AND($C$2=2,$B292=$D$2),AND($C$2=1,$A292=$D$2)),1,0))</f>
        <v>1</v>
      </c>
      <c r="D292" s="38">
        <f>IF($C292=1,SUM($C$284:$C292),"")</f>
        <v>9</v>
      </c>
      <c r="F292" s="38">
        <v>9</v>
      </c>
      <c r="G292" s="65" t="str">
        <f>IFERROR(INDEX($A$284:$A$303,MATCH($F292,$D$284:$D$303,0)),"")</f>
        <v>Vedacit</v>
      </c>
      <c r="H292" s="38" t="str">
        <f>IFERROR(INDEX($B$284:$B$303,MATCH($F292,$D$284:$D$303,0)),"")</f>
        <v>TPC</v>
      </c>
    </row>
    <row r="293">
      <c r="A293" s="65" t="str">
        <f>Config!$B$19&amp;""</f>
        <v>Vestas</v>
      </c>
      <c r="B293" s="38" t="str">
        <f>IF(Config!$C$19="","TPC",Config!$C$19)</f>
        <v>TPC</v>
      </c>
      <c r="C293" s="38">
        <f>IF($A293="",0,IF(OR($B$2="Todos",AND($C$2=2,$B293=$D$2),AND($C$2=1,$A293=$D$2)),1,0))</f>
        <v>1</v>
      </c>
      <c r="D293" s="38">
        <f>IF($C293=1,SUM($C$284:$C293),"")</f>
        <v>10</v>
      </c>
      <c r="F293" s="38">
        <v>10</v>
      </c>
      <c r="G293" s="65" t="str">
        <f>IFERROR(INDEX($A$284:$A$303,MATCH($F293,$D$284:$D$303,0)),"")</f>
        <v>Vestas</v>
      </c>
      <c r="H293" s="38" t="str">
        <f>IFERROR(INDEX($B$284:$B$303,MATCH($F293,$D$284:$D$303,0)),"")</f>
        <v>TPC</v>
      </c>
    </row>
    <row r="294">
      <c r="A294" s="65" t="str">
        <f>Config!$B$20&amp;""</f>
        <v/>
      </c>
      <c r="B294" s="38" t="str">
        <f>IF(Config!$C$20="","TPC",Config!$C$20)</f>
        <v>TPC</v>
      </c>
      <c r="C294" s="38">
        <f>IF($A294="",0,IF(OR($B$2="Todos",AND($C$2=2,$B294=$D$2),AND($C$2=1,$A294=$D$2)),1,0))</f>
        <v>0</v>
      </c>
      <c r="D294" s="38" t="str">
        <f>IF($C294=1,SUM($C$284:$C294),"")</f>
        <v/>
      </c>
      <c r="F294" s="38">
        <v>11</v>
      </c>
      <c r="G294" s="65" t="str">
        <f>IFERROR(INDEX($A$284:$A$303,MATCH($F294,$D$284:$D$303,0)),"")</f>
        <v/>
      </c>
      <c r="H294" s="38" t="str">
        <f>IFERROR(INDEX($B$284:$B$303,MATCH($F294,$D$284:$D$303,0)),"")</f>
        <v/>
      </c>
    </row>
    <row r="295">
      <c r="A295" s="65" t="str">
        <f>Config!$B$21&amp;""</f>
        <v/>
      </c>
      <c r="B295" s="38" t="str">
        <f>IF(Config!$C$21="","TPC",Config!$C$21)</f>
        <v>TPC</v>
      </c>
      <c r="C295" s="38">
        <f>IF($A295="",0,IF(OR($B$2="Todos",AND($C$2=2,$B295=$D$2),AND($C$2=1,$A295=$D$2)),1,0))</f>
        <v>0</v>
      </c>
      <c r="D295" s="38" t="str">
        <f>IF($C295=1,SUM($C$284:$C295),"")</f>
        <v/>
      </c>
      <c r="F295" s="38">
        <v>12</v>
      </c>
      <c r="G295" s="65" t="str">
        <f>IFERROR(INDEX($A$284:$A$303,MATCH($F295,$D$284:$D$303,0)),"")</f>
        <v/>
      </c>
      <c r="H295" s="38" t="str">
        <f>IFERROR(INDEX($B$284:$B$303,MATCH($F295,$D$284:$D$303,0)),"")</f>
        <v/>
      </c>
    </row>
    <row r="296">
      <c r="A296" s="65" t="str">
        <f>Config!$B$22&amp;""</f>
        <v/>
      </c>
      <c r="B296" s="38" t="str">
        <f>IF(Config!$C$22="","TPC",Config!$C$22)</f>
        <v>TPC</v>
      </c>
      <c r="C296" s="38">
        <f>IF($A296="",0,IF(OR($B$2="Todos",AND($C$2=2,$B296=$D$2),AND($C$2=1,$A296=$D$2)),1,0))</f>
        <v>0</v>
      </c>
      <c r="D296" s="38" t="str">
        <f>IF($C296=1,SUM($C$284:$C296),"")</f>
        <v/>
      </c>
      <c r="F296" s="38">
        <v>13</v>
      </c>
      <c r="G296" s="65" t="str">
        <f>IFERROR(INDEX($A$284:$A$303,MATCH($F296,$D$284:$D$303,0)),"")</f>
        <v/>
      </c>
      <c r="H296" s="38" t="str">
        <f>IFERROR(INDEX($B$284:$B$303,MATCH($F296,$D$284:$D$303,0)),"")</f>
        <v/>
      </c>
    </row>
    <row r="297">
      <c r="A297" s="65" t="str">
        <f>Config!$B$23&amp;""</f>
        <v/>
      </c>
      <c r="B297" s="38" t="str">
        <f>IF(Config!$C$23="","TPC",Config!$C$23)</f>
        <v>TPC</v>
      </c>
      <c r="C297" s="38">
        <f>IF($A297="",0,IF(OR($B$2="Todos",AND($C$2=2,$B297=$D$2),AND($C$2=1,$A297=$D$2)),1,0))</f>
        <v>0</v>
      </c>
      <c r="D297" s="38" t="str">
        <f>IF($C297=1,SUM($C$284:$C297),"")</f>
        <v/>
      </c>
      <c r="F297" s="38">
        <v>14</v>
      </c>
      <c r="G297" s="65" t="str">
        <f>IFERROR(INDEX($A$284:$A$303,MATCH($F297,$D$284:$D$303,0)),"")</f>
        <v/>
      </c>
      <c r="H297" s="38" t="str">
        <f>IFERROR(INDEX($B$284:$B$303,MATCH($F297,$D$284:$D$303,0)),"")</f>
        <v/>
      </c>
    </row>
    <row r="298">
      <c r="A298" s="65" t="str">
        <f>Config!$B$24&amp;""</f>
        <v/>
      </c>
      <c r="B298" s="38" t="str">
        <f>IF(Config!$C$24="","TPC",Config!$C$24)</f>
        <v>TPC</v>
      </c>
      <c r="C298" s="38">
        <f>IF($A298="",0,IF(OR($B$2="Todos",AND($C$2=2,$B298=$D$2),AND($C$2=1,$A298=$D$2)),1,0))</f>
        <v>0</v>
      </c>
      <c r="D298" s="38" t="str">
        <f>IF($C298=1,SUM($C$284:$C298),"")</f>
        <v/>
      </c>
      <c r="F298" s="38">
        <v>15</v>
      </c>
      <c r="G298" s="65" t="str">
        <f>IFERROR(INDEX($A$284:$A$303,MATCH($F298,$D$284:$D$303,0)),"")</f>
        <v/>
      </c>
      <c r="H298" s="38" t="str">
        <f>IFERROR(INDEX($B$284:$B$303,MATCH($F298,$D$284:$D$303,0)),"")</f>
        <v/>
      </c>
    </row>
    <row r="299">
      <c r="A299" s="65" t="str">
        <f>Config!$B$25&amp;""</f>
        <v/>
      </c>
      <c r="B299" s="38" t="str">
        <f>IF(Config!$C$25="","TPC",Config!$C$25)</f>
        <v>TPC</v>
      </c>
      <c r="C299" s="38">
        <f>IF($A299="",0,IF(OR($B$2="Todos",AND($C$2=2,$B299=$D$2),AND($C$2=1,$A299=$D$2)),1,0))</f>
        <v>0</v>
      </c>
      <c r="D299" s="38" t="str">
        <f>IF($C299=1,SUM($C$284:$C299),"")</f>
        <v/>
      </c>
      <c r="F299" s="38">
        <v>16</v>
      </c>
      <c r="G299" s="65" t="str">
        <f>IFERROR(INDEX($A$284:$A$303,MATCH($F299,$D$284:$D$303,0)),"")</f>
        <v/>
      </c>
      <c r="H299" s="38" t="str">
        <f>IFERROR(INDEX($B$284:$B$303,MATCH($F299,$D$284:$D$303,0)),"")</f>
        <v/>
      </c>
    </row>
    <row r="300">
      <c r="A300" s="65" t="str">
        <f>Config!$B$26&amp;""</f>
        <v/>
      </c>
      <c r="B300" s="38" t="str">
        <f>IF(Config!$C$26="","TPC",Config!$C$26)</f>
        <v>TPC</v>
      </c>
      <c r="C300" s="38">
        <f>IF($A300="",0,IF(OR($B$2="Todos",AND($C$2=2,$B300=$D$2),AND($C$2=1,$A300=$D$2)),1,0))</f>
        <v>0</v>
      </c>
      <c r="D300" s="38" t="str">
        <f>IF($C300=1,SUM($C$284:$C300),"")</f>
        <v/>
      </c>
      <c r="F300" s="38">
        <v>17</v>
      </c>
      <c r="G300" s="65" t="str">
        <f>IFERROR(INDEX($A$284:$A$303,MATCH($F300,$D$284:$D$303,0)),"")</f>
        <v/>
      </c>
      <c r="H300" s="38" t="str">
        <f>IFERROR(INDEX($B$284:$B$303,MATCH($F300,$D$284:$D$303,0)),"")</f>
        <v/>
      </c>
    </row>
    <row r="301">
      <c r="A301" s="65" t="str">
        <f>Config!$B$27&amp;""</f>
        <v/>
      </c>
      <c r="B301" s="38" t="str">
        <f>IF(Config!$C$27="","TPC",Config!$C$27)</f>
        <v>TPC</v>
      </c>
      <c r="C301" s="38">
        <f>IF($A301="",0,IF(OR($B$2="Todos",AND($C$2=2,$B301=$D$2),AND($C$2=1,$A301=$D$2)),1,0))</f>
        <v>0</v>
      </c>
      <c r="D301" s="38" t="str">
        <f>IF($C301=1,SUM($C$284:$C301),"")</f>
        <v/>
      </c>
      <c r="F301" s="38">
        <v>18</v>
      </c>
      <c r="G301" s="65" t="str">
        <f>IFERROR(INDEX($A$284:$A$303,MATCH($F301,$D$284:$D$303,0)),"")</f>
        <v/>
      </c>
      <c r="H301" s="38" t="str">
        <f>IFERROR(INDEX($B$284:$B$303,MATCH($F301,$D$284:$D$303,0)),"")</f>
        <v/>
      </c>
    </row>
    <row r="302">
      <c r="A302" s="65" t="str">
        <f>Config!$B$28&amp;""</f>
        <v/>
      </c>
      <c r="B302" s="38" t="str">
        <f>IF(Config!$C$28="","TPC",Config!$C$28)</f>
        <v>TPC</v>
      </c>
      <c r="C302" s="38">
        <f>IF($A302="",0,IF(OR($B$2="Todos",AND($C$2=2,$B302=$D$2),AND($C$2=1,$A302=$D$2)),1,0))</f>
        <v>0</v>
      </c>
      <c r="D302" s="38" t="str">
        <f>IF($C302=1,SUM($C$284:$C302),"")</f>
        <v/>
      </c>
      <c r="F302" s="38">
        <v>19</v>
      </c>
      <c r="G302" s="65" t="str">
        <f>IFERROR(INDEX($A$284:$A$303,MATCH($F302,$D$284:$D$303,0)),"")</f>
        <v/>
      </c>
      <c r="H302" s="38" t="str">
        <f>IFERROR(INDEX($B$284:$B$303,MATCH($F302,$D$284:$D$303,0)),"")</f>
        <v/>
      </c>
    </row>
    <row r="303">
      <c r="A303" s="65" t="str">
        <f>Config!$B$29&amp;""</f>
        <v/>
      </c>
      <c r="B303" s="38" t="str">
        <f>IF(Config!$C$29="","TPC",Config!$C$29)</f>
        <v>TPC</v>
      </c>
      <c r="C303" s="38">
        <f>IF($A303="",0,IF(OR($B$2="Todos",AND($C$2=2,$B303=$D$2),AND($C$2=1,$A303=$D$2)),1,0))</f>
        <v>0</v>
      </c>
      <c r="D303" s="38" t="str">
        <f>IF($C303=1,SUM($C$284:$C303),"")</f>
        <v/>
      </c>
      <c r="F303" s="38">
        <v>20</v>
      </c>
      <c r="G303" s="65" t="str">
        <f>IFERROR(INDEX($A$284:$A$303,MATCH($F303,$D$284:$D$303,0)),"")</f>
        <v/>
      </c>
      <c r="H303" s="38" t="str">
        <f>IFERROR(INDEX($B$284:$B$303,MATCH($F303,$D$284:$D$303,0)),"")</f>
        <v/>
      </c>
    </row>
    <row r="305">
      <c r="A305" s="19" t="inlineStr">
        <is>
          <t xml:space="preserve">INDICADORES MEDIDOS POR CLIENTE (1 = mede) — o quadro mostra "—" quando o cliente filtrado não mede</t>
        </is>
      </c>
    </row>
    <row r="306">
      <c r="A306" s="37" t="inlineStr">
        <is>
          <t xml:space="preserve">Indicador</t>
        </is>
      </c>
      <c r="B306" s="37" t="inlineStr">
        <is>
          <t xml:space="preserve">Mede (seleção)</t>
        </is>
      </c>
      <c r="C306" s="37" t="str">
        <f>Config!$B$10&amp;""</f>
        <v>Alpargatas</v>
      </c>
      <c r="D306" s="37" t="str">
        <f>Config!$B$11&amp;""</f>
        <v>Basf</v>
      </c>
      <c r="E306" s="37" t="str">
        <f>Config!$B$12&amp;""</f>
        <v>Beautybiz</v>
      </c>
      <c r="F306" s="37" t="str">
        <f>Config!$B$13&amp;""</f>
        <v>Boticário</v>
      </c>
      <c r="G306" s="37" t="str">
        <f>Config!$B$14&amp;""</f>
        <v>Confiance</v>
      </c>
      <c r="H306" s="37" t="str">
        <f>Config!$B$15&amp;""</f>
        <v>GE Vernova</v>
      </c>
      <c r="I306" s="37" t="str">
        <f>Config!$B$16&amp;""</f>
        <v>Omnilife</v>
      </c>
      <c r="J306" s="37" t="str">
        <f>Config!$B$17&amp;""</f>
        <v>Supply</v>
      </c>
      <c r="K306" s="37" t="str">
        <f>Config!$B$18&amp;""</f>
        <v>Vedacit</v>
      </c>
      <c r="L306" s="37" t="str">
        <f>Config!$B$19&amp;""</f>
        <v>Vestas</v>
      </c>
      <c r="M306" s="37" t="str">
        <f>Config!$B$20&amp;""</f>
        <v/>
      </c>
      <c r="N306" s="37" t="str">
        <f>Config!$B$21&amp;""</f>
        <v/>
      </c>
      <c r="O306" s="37" t="str">
        <f>Config!$B$22&amp;""</f>
        <v/>
      </c>
      <c r="P306" s="37" t="str">
        <f>Config!$B$23&amp;""</f>
        <v/>
      </c>
      <c r="Q306" s="37" t="str">
        <f>Config!$B$24&amp;""</f>
        <v/>
      </c>
      <c r="R306" s="37" t="str">
        <f>Config!$B$25&amp;""</f>
        <v/>
      </c>
      <c r="S306" s="37" t="str">
        <f>Config!$B$26&amp;""</f>
        <v/>
      </c>
      <c r="T306" s="37" t="str">
        <f>Config!$B$27&amp;""</f>
        <v/>
      </c>
      <c r="U306" s="37" t="str">
        <f>Config!$B$28&amp;""</f>
        <v/>
      </c>
      <c r="V306" s="37" t="str">
        <f>Config!$B$29&amp;""</f>
        <v/>
      </c>
    </row>
    <row r="307">
      <c r="A307" s="65" t="inlineStr">
        <is>
          <t xml:space="preserve">IN · Veículos Recebidos</t>
        </is>
      </c>
      <c r="B307" s="39">
        <f>IF(OR($B$2="Todos",$C$2=2),1,IFERROR(INDEX($C$307:$V$307,MATCH($D$2,$C$306:$V$306,0)),1))</f>
        <v>1</v>
      </c>
      <c r="C307" s="38">
        <f>IF(Config!$D$35&lt;&gt;"Não",1,0)</f>
        <v>1</v>
      </c>
      <c r="D307" s="38">
        <f>IF(Config!$D$36&lt;&gt;"Não",1,0)</f>
        <v>1</v>
      </c>
      <c r="E307" s="38">
        <f>IF(Config!$D$37&lt;&gt;"Não",1,0)</f>
        <v>1</v>
      </c>
      <c r="F307" s="38">
        <f>IF(Config!$D$38&lt;&gt;"Não",1,0)</f>
        <v>1</v>
      </c>
      <c r="G307" s="38">
        <f>IF(Config!$D$39&lt;&gt;"Não",1,0)</f>
        <v>1</v>
      </c>
      <c r="H307" s="38">
        <f>IF(Config!$D$40&lt;&gt;"Não",1,0)</f>
        <v>1</v>
      </c>
      <c r="I307" s="38">
        <f>IF(Config!$D$41&lt;&gt;"Não",1,0)</f>
        <v>1</v>
      </c>
      <c r="J307" s="38">
        <f>IF(Config!$D$42&lt;&gt;"Não",1,0)</f>
        <v>1</v>
      </c>
      <c r="K307" s="38">
        <f>IF(Config!$D$43&lt;&gt;"Não",1,0)</f>
        <v>1</v>
      </c>
      <c r="L307" s="38">
        <f>IF(Config!$D$44&lt;&gt;"Não",1,0)</f>
        <v>1</v>
      </c>
      <c r="M307" s="38">
        <f>IF(Config!$D$45&lt;&gt;"Não",1,0)</f>
        <v>1</v>
      </c>
      <c r="N307" s="38">
        <f>IF(Config!$D$46&lt;&gt;"Não",1,0)</f>
        <v>1</v>
      </c>
      <c r="O307" s="38">
        <f>IF(Config!$D$47&lt;&gt;"Não",1,0)</f>
        <v>1</v>
      </c>
      <c r="P307" s="38">
        <f>IF(Config!$D$48&lt;&gt;"Não",1,0)</f>
        <v>1</v>
      </c>
      <c r="Q307" s="38">
        <f>IF(Config!$D$49&lt;&gt;"Não",1,0)</f>
        <v>1</v>
      </c>
      <c r="R307" s="38">
        <f>IF(Config!$D$50&lt;&gt;"Não",1,0)</f>
        <v>1</v>
      </c>
      <c r="S307" s="38">
        <f>IF(Config!$D$51&lt;&gt;"Não",1,0)</f>
        <v>1</v>
      </c>
      <c r="T307" s="38">
        <f>IF(Config!$D$52&lt;&gt;"Não",1,0)</f>
        <v>1</v>
      </c>
      <c r="U307" s="38">
        <f>IF(Config!$D$53&lt;&gt;"Não",1,0)</f>
        <v>1</v>
      </c>
      <c r="V307" s="38">
        <f>IF(Config!$D$54&lt;&gt;"Não",1,0)</f>
        <v>1</v>
      </c>
    </row>
    <row r="308">
      <c r="A308" s="65" t="inlineStr">
        <is>
          <t xml:space="preserve">IN · Pallets Movimentados</t>
        </is>
      </c>
      <c r="B308" s="39">
        <f>IF(OR($B$2="Todos",$C$2=2),1,IFERROR(INDEX($C$308:$V$308,MATCH($D$2,$C$306:$V$306,0)),1))</f>
        <v>1</v>
      </c>
      <c r="C308" s="38">
        <f>IF(Config!$E$35&lt;&gt;"Não",1,0)</f>
        <v>0</v>
      </c>
      <c r="D308" s="38">
        <f>IF(Config!$E$36&lt;&gt;"Não",1,0)</f>
        <v>1</v>
      </c>
      <c r="E308" s="38">
        <f>IF(Config!$E$37&lt;&gt;"Não",1,0)</f>
        <v>1</v>
      </c>
      <c r="F308" s="38">
        <f>IF(Config!$E$38&lt;&gt;"Não",1,0)</f>
        <v>0</v>
      </c>
      <c r="G308" s="38">
        <f>IF(Config!$E$39&lt;&gt;"Não",1,0)</f>
        <v>1</v>
      </c>
      <c r="H308" s="38">
        <f>IF(Config!$E$40&lt;&gt;"Não",1,0)</f>
        <v>1</v>
      </c>
      <c r="I308" s="38">
        <f>IF(Config!$E$41&lt;&gt;"Não",1,0)</f>
        <v>1</v>
      </c>
      <c r="J308" s="38">
        <f>IF(Config!$E$42&lt;&gt;"Não",1,0)</f>
        <v>1</v>
      </c>
      <c r="K308" s="38">
        <f>IF(Config!$E$43&lt;&gt;"Não",1,0)</f>
        <v>1</v>
      </c>
      <c r="L308" s="38">
        <f>IF(Config!$E$44&lt;&gt;"Não",1,0)</f>
        <v>0</v>
      </c>
      <c r="M308" s="38">
        <f>IF(Config!$E$45&lt;&gt;"Não",1,0)</f>
        <v>1</v>
      </c>
      <c r="N308" s="38">
        <f>IF(Config!$E$46&lt;&gt;"Não",1,0)</f>
        <v>1</v>
      </c>
      <c r="O308" s="38">
        <f>IF(Config!$E$47&lt;&gt;"Não",1,0)</f>
        <v>1</v>
      </c>
      <c r="P308" s="38">
        <f>IF(Config!$E$48&lt;&gt;"Não",1,0)</f>
        <v>1</v>
      </c>
      <c r="Q308" s="38">
        <f>IF(Config!$E$49&lt;&gt;"Não",1,0)</f>
        <v>1</v>
      </c>
      <c r="R308" s="38">
        <f>IF(Config!$E$50&lt;&gt;"Não",1,0)</f>
        <v>1</v>
      </c>
      <c r="S308" s="38">
        <f>IF(Config!$E$51&lt;&gt;"Não",1,0)</f>
        <v>1</v>
      </c>
      <c r="T308" s="38">
        <f>IF(Config!$E$52&lt;&gt;"Não",1,0)</f>
        <v>1</v>
      </c>
      <c r="U308" s="38">
        <f>IF(Config!$E$53&lt;&gt;"Não",1,0)</f>
        <v>1</v>
      </c>
      <c r="V308" s="38">
        <f>IF(Config!$E$54&lt;&gt;"Não",1,0)</f>
        <v>1</v>
      </c>
    </row>
    <row r="309">
      <c r="A309" s="65" t="inlineStr">
        <is>
          <t xml:space="preserve">IN · Toneladas Movimentadas</t>
        </is>
      </c>
      <c r="B309" s="39">
        <f>IF(OR($B$2="Todos",$C$2=2),1,IFERROR(INDEX($C$309:$V$309,MATCH($D$2,$C$306:$V$306,0)),1))</f>
        <v>1</v>
      </c>
      <c r="C309" s="38">
        <f>IF(Config!$F$35&lt;&gt;"Não",1,0)</f>
        <v>0</v>
      </c>
      <c r="D309" s="38">
        <f>IF(Config!$F$36&lt;&gt;"Não",1,0)</f>
        <v>1</v>
      </c>
      <c r="E309" s="38">
        <f>IF(Config!$F$37&lt;&gt;"Não",1,0)</f>
        <v>0</v>
      </c>
      <c r="F309" s="38">
        <f>IF(Config!$F$38&lt;&gt;"Não",1,0)</f>
        <v>0</v>
      </c>
      <c r="G309" s="38">
        <f>IF(Config!$F$39&lt;&gt;"Não",1,0)</f>
        <v>1</v>
      </c>
      <c r="H309" s="38">
        <f>IF(Config!$F$40&lt;&gt;"Não",1,0)</f>
        <v>0</v>
      </c>
      <c r="I309" s="38">
        <f>IF(Config!$F$41&lt;&gt;"Não",1,0)</f>
        <v>0</v>
      </c>
      <c r="J309" s="38">
        <f>IF(Config!$F$42&lt;&gt;"Não",1,0)</f>
        <v>1</v>
      </c>
      <c r="K309" s="38">
        <f>IF(Config!$F$43&lt;&gt;"Não",1,0)</f>
        <v>0</v>
      </c>
      <c r="L309" s="38">
        <f>IF(Config!$F$44&lt;&gt;"Não",1,0)</f>
        <v>0</v>
      </c>
      <c r="M309" s="38">
        <f>IF(Config!$F$45&lt;&gt;"Não",1,0)</f>
        <v>1</v>
      </c>
      <c r="N309" s="38">
        <f>IF(Config!$F$46&lt;&gt;"Não",1,0)</f>
        <v>1</v>
      </c>
      <c r="O309" s="38">
        <f>IF(Config!$F$47&lt;&gt;"Não",1,0)</f>
        <v>1</v>
      </c>
      <c r="P309" s="38">
        <f>IF(Config!$F$48&lt;&gt;"Não",1,0)</f>
        <v>1</v>
      </c>
      <c r="Q309" s="38">
        <f>IF(Config!$F$49&lt;&gt;"Não",1,0)</f>
        <v>1</v>
      </c>
      <c r="R309" s="38">
        <f>IF(Config!$F$50&lt;&gt;"Não",1,0)</f>
        <v>1</v>
      </c>
      <c r="S309" s="38">
        <f>IF(Config!$F$51&lt;&gt;"Não",1,0)</f>
        <v>1</v>
      </c>
      <c r="T309" s="38">
        <f>IF(Config!$F$52&lt;&gt;"Não",1,0)</f>
        <v>1</v>
      </c>
      <c r="U309" s="38">
        <f>IF(Config!$F$53&lt;&gt;"Não",1,0)</f>
        <v>1</v>
      </c>
      <c r="V309" s="38">
        <f>IF(Config!$F$54&lt;&gt;"Não",1,0)</f>
        <v>1</v>
      </c>
    </row>
    <row r="310">
      <c r="A310" s="65" t="inlineStr">
        <is>
          <t xml:space="preserve">IN · Linhas NF</t>
        </is>
      </c>
      <c r="B310" s="39">
        <f>IF(OR($B$2="Todos",$C$2=2),1,IFERROR(INDEX($C$310:$V$310,MATCH($D$2,$C$306:$V$306,0)),1))</f>
        <v>1</v>
      </c>
      <c r="C310" s="38">
        <f>IF(Config!$G$35&lt;&gt;"Não",1,0)</f>
        <v>0</v>
      </c>
      <c r="D310" s="38">
        <f>IF(Config!$G$36&lt;&gt;"Não",1,0)</f>
        <v>0</v>
      </c>
      <c r="E310" s="38">
        <f>IF(Config!$G$37&lt;&gt;"Não",1,0)</f>
        <v>0</v>
      </c>
      <c r="F310" s="38">
        <f>IF(Config!$G$38&lt;&gt;"Não",1,0)</f>
        <v>0</v>
      </c>
      <c r="G310" s="38">
        <f>IF(Config!$G$39&lt;&gt;"Não",1,0)</f>
        <v>0</v>
      </c>
      <c r="H310" s="38">
        <f>IF(Config!$G$40&lt;&gt;"Não",1,0)</f>
        <v>1</v>
      </c>
      <c r="I310" s="38">
        <f>IF(Config!$G$41&lt;&gt;"Não",1,0)</f>
        <v>0</v>
      </c>
      <c r="J310" s="38">
        <f>IF(Config!$G$42&lt;&gt;"Não",1,0)</f>
        <v>0</v>
      </c>
      <c r="K310" s="38">
        <f>IF(Config!$G$43&lt;&gt;"Não",1,0)</f>
        <v>0</v>
      </c>
      <c r="L310" s="38">
        <f>IF(Config!$G$44&lt;&gt;"Não",1,0)</f>
        <v>1</v>
      </c>
      <c r="M310" s="38">
        <f>IF(Config!$G$45&lt;&gt;"Não",1,0)</f>
        <v>0</v>
      </c>
      <c r="N310" s="38">
        <f>IF(Config!$G$46&lt;&gt;"Não",1,0)</f>
        <v>0</v>
      </c>
      <c r="O310" s="38">
        <f>IF(Config!$G$47&lt;&gt;"Não",1,0)</f>
        <v>0</v>
      </c>
      <c r="P310" s="38">
        <f>IF(Config!$G$48&lt;&gt;"Não",1,0)</f>
        <v>0</v>
      </c>
      <c r="Q310" s="38">
        <f>IF(Config!$G$49&lt;&gt;"Não",1,0)</f>
        <v>0</v>
      </c>
      <c r="R310" s="38">
        <f>IF(Config!$G$50&lt;&gt;"Não",1,0)</f>
        <v>0</v>
      </c>
      <c r="S310" s="38">
        <f>IF(Config!$G$51&lt;&gt;"Não",1,0)</f>
        <v>0</v>
      </c>
      <c r="T310" s="38">
        <f>IF(Config!$G$52&lt;&gt;"Não",1,0)</f>
        <v>0</v>
      </c>
      <c r="U310" s="38">
        <f>IF(Config!$G$53&lt;&gt;"Não",1,0)</f>
        <v>0</v>
      </c>
      <c r="V310" s="38">
        <f>IF(Config!$G$54&lt;&gt;"Não",1,0)</f>
        <v>0</v>
      </c>
    </row>
    <row r="311">
      <c r="A311" s="65" t="inlineStr">
        <is>
          <t xml:space="preserve">IN · Caixas Movimentadas</t>
        </is>
      </c>
      <c r="B311" s="39">
        <f>IF(OR($B$2="Todos",$C$2=2),1,IFERROR(INDEX($C$311:$V$311,MATCH($D$2,$C$306:$V$306,0)),1))</f>
        <v>1</v>
      </c>
      <c r="C311" s="38">
        <f>IF(Config!$H$35&lt;&gt;"Não",1,0)</f>
        <v>1</v>
      </c>
      <c r="D311" s="38">
        <f>IF(Config!$H$36&lt;&gt;"Não",1,0)</f>
        <v>0</v>
      </c>
      <c r="E311" s="38">
        <f>IF(Config!$H$37&lt;&gt;"Não",1,0)</f>
        <v>1</v>
      </c>
      <c r="F311" s="38">
        <f>IF(Config!$H$38&lt;&gt;"Não",1,0)</f>
        <v>0</v>
      </c>
      <c r="G311" s="38">
        <f>IF(Config!$H$39&lt;&gt;"Não",1,0)</f>
        <v>0</v>
      </c>
      <c r="H311" s="38">
        <f>IF(Config!$H$40&lt;&gt;"Não",1,0)</f>
        <v>0</v>
      </c>
      <c r="I311" s="38">
        <f>IF(Config!$H$41&lt;&gt;"Não",1,0)</f>
        <v>0</v>
      </c>
      <c r="J311" s="38">
        <f>IF(Config!$H$42&lt;&gt;"Não",1,0)</f>
        <v>0</v>
      </c>
      <c r="K311" s="38">
        <f>IF(Config!$H$43&lt;&gt;"Não",1,0)</f>
        <v>0</v>
      </c>
      <c r="L311" s="38">
        <f>IF(Config!$H$44&lt;&gt;"Não",1,0)</f>
        <v>0</v>
      </c>
      <c r="M311" s="38">
        <f>IF(Config!$H$45&lt;&gt;"Não",1,0)</f>
        <v>0</v>
      </c>
      <c r="N311" s="38">
        <f>IF(Config!$H$46&lt;&gt;"Não",1,0)</f>
        <v>0</v>
      </c>
      <c r="O311" s="38">
        <f>IF(Config!$H$47&lt;&gt;"Não",1,0)</f>
        <v>0</v>
      </c>
      <c r="P311" s="38">
        <f>IF(Config!$H$48&lt;&gt;"Não",1,0)</f>
        <v>0</v>
      </c>
      <c r="Q311" s="38">
        <f>IF(Config!$H$49&lt;&gt;"Não",1,0)</f>
        <v>0</v>
      </c>
      <c r="R311" s="38">
        <f>IF(Config!$H$50&lt;&gt;"Não",1,0)</f>
        <v>0</v>
      </c>
      <c r="S311" s="38">
        <f>IF(Config!$H$51&lt;&gt;"Não",1,0)</f>
        <v>0</v>
      </c>
      <c r="T311" s="38">
        <f>IF(Config!$H$52&lt;&gt;"Não",1,0)</f>
        <v>0</v>
      </c>
      <c r="U311" s="38">
        <f>IF(Config!$H$53&lt;&gt;"Não",1,0)</f>
        <v>0</v>
      </c>
      <c r="V311" s="38">
        <f>IF(Config!$H$54&lt;&gt;"Não",1,0)</f>
        <v>0</v>
      </c>
    </row>
    <row r="312">
      <c r="A312" s="65" t="inlineStr">
        <is>
          <t xml:space="preserve">IN · Peças Movimentadas</t>
        </is>
      </c>
      <c r="B312" s="39">
        <f>IF(OR($B$2="Todos",$C$2=2),1,IFERROR(INDEX($C$312:$V$312,MATCH($D$2,$C$306:$V$306,0)),1))</f>
        <v>1</v>
      </c>
      <c r="C312" s="38">
        <f>IF(Config!$I$35&lt;&gt;"Não",1,0)</f>
        <v>0</v>
      </c>
      <c r="D312" s="38">
        <f>IF(Config!$I$36&lt;&gt;"Não",1,0)</f>
        <v>0</v>
      </c>
      <c r="E312" s="38">
        <f>IF(Config!$I$37&lt;&gt;"Não",1,0)</f>
        <v>0</v>
      </c>
      <c r="F312" s="38">
        <f>IF(Config!$I$38&lt;&gt;"Não",1,0)</f>
        <v>0</v>
      </c>
      <c r="G312" s="38">
        <f>IF(Config!$I$39&lt;&gt;"Não",1,0)</f>
        <v>0</v>
      </c>
      <c r="H312" s="38">
        <f>IF(Config!$I$40&lt;&gt;"Não",1,0)</f>
        <v>1</v>
      </c>
      <c r="I312" s="38">
        <f>IF(Config!$I$41&lt;&gt;"Não",1,0)</f>
        <v>0</v>
      </c>
      <c r="J312" s="38">
        <f>IF(Config!$I$42&lt;&gt;"Não",1,0)</f>
        <v>0</v>
      </c>
      <c r="K312" s="38">
        <f>IF(Config!$I$43&lt;&gt;"Não",1,0)</f>
        <v>0</v>
      </c>
      <c r="L312" s="38">
        <f>IF(Config!$I$44&lt;&gt;"Não",1,0)</f>
        <v>0</v>
      </c>
      <c r="M312" s="38">
        <f>IF(Config!$I$45&lt;&gt;"Não",1,0)</f>
        <v>0</v>
      </c>
      <c r="N312" s="38">
        <f>IF(Config!$I$46&lt;&gt;"Não",1,0)</f>
        <v>0</v>
      </c>
      <c r="O312" s="38">
        <f>IF(Config!$I$47&lt;&gt;"Não",1,0)</f>
        <v>0</v>
      </c>
      <c r="P312" s="38">
        <f>IF(Config!$I$48&lt;&gt;"Não",1,0)</f>
        <v>0</v>
      </c>
      <c r="Q312" s="38">
        <f>IF(Config!$I$49&lt;&gt;"Não",1,0)</f>
        <v>0</v>
      </c>
      <c r="R312" s="38">
        <f>IF(Config!$I$50&lt;&gt;"Não",1,0)</f>
        <v>0</v>
      </c>
      <c r="S312" s="38">
        <f>IF(Config!$I$51&lt;&gt;"Não",1,0)</f>
        <v>0</v>
      </c>
      <c r="T312" s="38">
        <f>IF(Config!$I$52&lt;&gt;"Não",1,0)</f>
        <v>0</v>
      </c>
      <c r="U312" s="38">
        <f>IF(Config!$I$53&lt;&gt;"Não",1,0)</f>
        <v>0</v>
      </c>
      <c r="V312" s="38">
        <f>IF(Config!$I$54&lt;&gt;"Não",1,0)</f>
        <v>0</v>
      </c>
    </row>
    <row r="313">
      <c r="A313" s="65" t="inlineStr">
        <is>
          <t xml:space="preserve">IN · Itens Recebidos</t>
        </is>
      </c>
      <c r="B313" s="39">
        <f>IF(OR($B$2="Todos",$C$2=2),1,IFERROR(INDEX($C$313:$V$313,MATCH($D$2,$C$306:$V$306,0)),1))</f>
        <v>1</v>
      </c>
      <c r="C313" s="38">
        <f>IF(Config!$J$35&lt;&gt;"Não",1,0)</f>
        <v>0</v>
      </c>
      <c r="D313" s="38">
        <f>IF(Config!$J$36&lt;&gt;"Não",1,0)</f>
        <v>0</v>
      </c>
      <c r="E313" s="38">
        <f>IF(Config!$J$37&lt;&gt;"Não",1,0)</f>
        <v>0</v>
      </c>
      <c r="F313" s="38">
        <f>IF(Config!$J$38&lt;&gt;"Não",1,0)</f>
        <v>0</v>
      </c>
      <c r="G313" s="38">
        <f>IF(Config!$J$39&lt;&gt;"Não",1,0)</f>
        <v>0</v>
      </c>
      <c r="H313" s="38">
        <f>IF(Config!$J$40&lt;&gt;"Não",1,0)</f>
        <v>0</v>
      </c>
      <c r="I313" s="38">
        <f>IF(Config!$J$41&lt;&gt;"Não",1,0)</f>
        <v>0</v>
      </c>
      <c r="J313" s="38">
        <f>IF(Config!$J$42&lt;&gt;"Não",1,0)</f>
        <v>0</v>
      </c>
      <c r="K313" s="38">
        <f>IF(Config!$J$43&lt;&gt;"Não",1,0)</f>
        <v>0</v>
      </c>
      <c r="L313" s="38">
        <f>IF(Config!$J$44&lt;&gt;"Não",1,0)</f>
        <v>0</v>
      </c>
      <c r="M313" s="38">
        <f>IF(Config!$J$45&lt;&gt;"Não",1,0)</f>
        <v>0</v>
      </c>
      <c r="N313" s="38">
        <f>IF(Config!$J$46&lt;&gt;"Não",1,0)</f>
        <v>0</v>
      </c>
      <c r="O313" s="38">
        <f>IF(Config!$J$47&lt;&gt;"Não",1,0)</f>
        <v>0</v>
      </c>
      <c r="P313" s="38">
        <f>IF(Config!$J$48&lt;&gt;"Não",1,0)</f>
        <v>0</v>
      </c>
      <c r="Q313" s="38">
        <f>IF(Config!$J$49&lt;&gt;"Não",1,0)</f>
        <v>0</v>
      </c>
      <c r="R313" s="38">
        <f>IF(Config!$J$50&lt;&gt;"Não",1,0)</f>
        <v>0</v>
      </c>
      <c r="S313" s="38">
        <f>IF(Config!$J$51&lt;&gt;"Não",1,0)</f>
        <v>0</v>
      </c>
      <c r="T313" s="38">
        <f>IF(Config!$J$52&lt;&gt;"Não",1,0)</f>
        <v>0</v>
      </c>
      <c r="U313" s="38">
        <f>IF(Config!$J$53&lt;&gt;"Não",1,0)</f>
        <v>0</v>
      </c>
      <c r="V313" s="38">
        <f>IF(Config!$J$54&lt;&gt;"Não",1,0)</f>
        <v>0</v>
      </c>
    </row>
    <row r="314">
      <c r="A314" s="65" t="inlineStr">
        <is>
          <t xml:space="preserve">IN · Itens Recebidos CX Mista</t>
        </is>
      </c>
      <c r="B314" s="39">
        <f>IF(OR($B$2="Todos",$C$2=2),1,IFERROR(INDEX($C$314:$V$314,MATCH($D$2,$C$306:$V$306,0)),1))</f>
        <v>1</v>
      </c>
      <c r="C314" s="38">
        <f>IF(Config!$K$35&lt;&gt;"Não",1,0)</f>
        <v>0</v>
      </c>
      <c r="D314" s="38">
        <f>IF(Config!$K$36&lt;&gt;"Não",1,0)</f>
        <v>0</v>
      </c>
      <c r="E314" s="38">
        <f>IF(Config!$K$37&lt;&gt;"Não",1,0)</f>
        <v>0</v>
      </c>
      <c r="F314" s="38">
        <f>IF(Config!$K$38&lt;&gt;"Não",1,0)</f>
        <v>1</v>
      </c>
      <c r="G314" s="38">
        <f>IF(Config!$K$39&lt;&gt;"Não",1,0)</f>
        <v>0</v>
      </c>
      <c r="H314" s="38">
        <f>IF(Config!$K$40&lt;&gt;"Não",1,0)</f>
        <v>0</v>
      </c>
      <c r="I314" s="38">
        <f>IF(Config!$K$41&lt;&gt;"Não",1,0)</f>
        <v>0</v>
      </c>
      <c r="J314" s="38">
        <f>IF(Config!$K$42&lt;&gt;"Não",1,0)</f>
        <v>0</v>
      </c>
      <c r="K314" s="38">
        <f>IF(Config!$K$43&lt;&gt;"Não",1,0)</f>
        <v>0</v>
      </c>
      <c r="L314" s="38">
        <f>IF(Config!$K$44&lt;&gt;"Não",1,0)</f>
        <v>0</v>
      </c>
      <c r="M314" s="38">
        <f>IF(Config!$K$45&lt;&gt;"Não",1,0)</f>
        <v>0</v>
      </c>
      <c r="N314" s="38">
        <f>IF(Config!$K$46&lt;&gt;"Não",1,0)</f>
        <v>0</v>
      </c>
      <c r="O314" s="38">
        <f>IF(Config!$K$47&lt;&gt;"Não",1,0)</f>
        <v>0</v>
      </c>
      <c r="P314" s="38">
        <f>IF(Config!$K$48&lt;&gt;"Não",1,0)</f>
        <v>0</v>
      </c>
      <c r="Q314" s="38">
        <f>IF(Config!$K$49&lt;&gt;"Não",1,0)</f>
        <v>0</v>
      </c>
      <c r="R314" s="38">
        <f>IF(Config!$K$50&lt;&gt;"Não",1,0)</f>
        <v>0</v>
      </c>
      <c r="S314" s="38">
        <f>IF(Config!$K$51&lt;&gt;"Não",1,0)</f>
        <v>0</v>
      </c>
      <c r="T314" s="38">
        <f>IF(Config!$K$52&lt;&gt;"Não",1,0)</f>
        <v>0</v>
      </c>
      <c r="U314" s="38">
        <f>IF(Config!$K$53&lt;&gt;"Não",1,0)</f>
        <v>0</v>
      </c>
      <c r="V314" s="38">
        <f>IF(Config!$K$54&lt;&gt;"Não",1,0)</f>
        <v>0</v>
      </c>
    </row>
    <row r="315">
      <c r="A315" s="65" t="inlineStr">
        <is>
          <t xml:space="preserve">IN · Caixas Fechadas</t>
        </is>
      </c>
      <c r="B315" s="39">
        <f>IF(OR($B$2="Todos",$C$2=2),1,IFERROR(INDEX($C$315:$V$315,MATCH($D$2,$C$306:$V$306,0)),1))</f>
        <v>1</v>
      </c>
      <c r="C315" s="38">
        <f>IF(Config!$L$35&lt;&gt;"Não",1,0)</f>
        <v>0</v>
      </c>
      <c r="D315" s="38">
        <f>IF(Config!$L$36&lt;&gt;"Não",1,0)</f>
        <v>0</v>
      </c>
      <c r="E315" s="38">
        <f>IF(Config!$L$37&lt;&gt;"Não",1,0)</f>
        <v>0</v>
      </c>
      <c r="F315" s="38">
        <f>IF(Config!$L$38&lt;&gt;"Não",1,0)</f>
        <v>1</v>
      </c>
      <c r="G315" s="38">
        <f>IF(Config!$L$39&lt;&gt;"Não",1,0)</f>
        <v>0</v>
      </c>
      <c r="H315" s="38">
        <f>IF(Config!$L$40&lt;&gt;"Não",1,0)</f>
        <v>0</v>
      </c>
      <c r="I315" s="38">
        <f>IF(Config!$L$41&lt;&gt;"Não",1,0)</f>
        <v>0</v>
      </c>
      <c r="J315" s="38">
        <f>IF(Config!$L$42&lt;&gt;"Não",1,0)</f>
        <v>0</v>
      </c>
      <c r="K315" s="38">
        <f>IF(Config!$L$43&lt;&gt;"Não",1,0)</f>
        <v>0</v>
      </c>
      <c r="L315" s="38">
        <f>IF(Config!$L$44&lt;&gt;"Não",1,0)</f>
        <v>0</v>
      </c>
      <c r="M315" s="38">
        <f>IF(Config!$L$45&lt;&gt;"Não",1,0)</f>
        <v>0</v>
      </c>
      <c r="N315" s="38">
        <f>IF(Config!$L$46&lt;&gt;"Não",1,0)</f>
        <v>0</v>
      </c>
      <c r="O315" s="38">
        <f>IF(Config!$L$47&lt;&gt;"Não",1,0)</f>
        <v>0</v>
      </c>
      <c r="P315" s="38">
        <f>IF(Config!$L$48&lt;&gt;"Não",1,0)</f>
        <v>0</v>
      </c>
      <c r="Q315" s="38">
        <f>IF(Config!$L$49&lt;&gt;"Não",1,0)</f>
        <v>0</v>
      </c>
      <c r="R315" s="38">
        <f>IF(Config!$L$50&lt;&gt;"Não",1,0)</f>
        <v>0</v>
      </c>
      <c r="S315" s="38">
        <f>IF(Config!$L$51&lt;&gt;"Não",1,0)</f>
        <v>0</v>
      </c>
      <c r="T315" s="38">
        <f>IF(Config!$L$52&lt;&gt;"Não",1,0)</f>
        <v>0</v>
      </c>
      <c r="U315" s="38">
        <f>IF(Config!$L$53&lt;&gt;"Não",1,0)</f>
        <v>0</v>
      </c>
      <c r="V315" s="38">
        <f>IF(Config!$L$54&lt;&gt;"Não",1,0)</f>
        <v>0</v>
      </c>
    </row>
    <row r="316">
      <c r="A316" s="65" t="inlineStr">
        <is>
          <t xml:space="preserve">IN · Caixas Mistas Recebidas</t>
        </is>
      </c>
      <c r="B316" s="39">
        <f>IF(OR($B$2="Todos",$C$2=2),1,IFERROR(INDEX($C$316:$V$316,MATCH($D$2,$C$306:$V$306,0)),1))</f>
        <v>1</v>
      </c>
      <c r="C316" s="38">
        <f>IF(Config!$M$35&lt;&gt;"Não",1,0)</f>
        <v>0</v>
      </c>
      <c r="D316" s="38">
        <f>IF(Config!$M$36&lt;&gt;"Não",1,0)</f>
        <v>0</v>
      </c>
      <c r="E316" s="38">
        <f>IF(Config!$M$37&lt;&gt;"Não",1,0)</f>
        <v>0</v>
      </c>
      <c r="F316" s="38">
        <f>IF(Config!$M$38&lt;&gt;"Não",1,0)</f>
        <v>1</v>
      </c>
      <c r="G316" s="38">
        <f>IF(Config!$M$39&lt;&gt;"Não",1,0)</f>
        <v>0</v>
      </c>
      <c r="H316" s="38">
        <f>IF(Config!$M$40&lt;&gt;"Não",1,0)</f>
        <v>0</v>
      </c>
      <c r="I316" s="38">
        <f>IF(Config!$M$41&lt;&gt;"Não",1,0)</f>
        <v>0</v>
      </c>
      <c r="J316" s="38">
        <f>IF(Config!$M$42&lt;&gt;"Não",1,0)</f>
        <v>0</v>
      </c>
      <c r="K316" s="38">
        <f>IF(Config!$M$43&lt;&gt;"Não",1,0)</f>
        <v>0</v>
      </c>
      <c r="L316" s="38">
        <f>IF(Config!$M$44&lt;&gt;"Não",1,0)</f>
        <v>0</v>
      </c>
      <c r="M316" s="38">
        <f>IF(Config!$M$45&lt;&gt;"Não",1,0)</f>
        <v>0</v>
      </c>
      <c r="N316" s="38">
        <f>IF(Config!$M$46&lt;&gt;"Não",1,0)</f>
        <v>0</v>
      </c>
      <c r="O316" s="38">
        <f>IF(Config!$M$47&lt;&gt;"Não",1,0)</f>
        <v>0</v>
      </c>
      <c r="P316" s="38">
        <f>IF(Config!$M$48&lt;&gt;"Não",1,0)</f>
        <v>0</v>
      </c>
      <c r="Q316" s="38">
        <f>IF(Config!$M$49&lt;&gt;"Não",1,0)</f>
        <v>0</v>
      </c>
      <c r="R316" s="38">
        <f>IF(Config!$M$50&lt;&gt;"Não",1,0)</f>
        <v>0</v>
      </c>
      <c r="S316" s="38">
        <f>IF(Config!$M$51&lt;&gt;"Não",1,0)</f>
        <v>0</v>
      </c>
      <c r="T316" s="38">
        <f>IF(Config!$M$52&lt;&gt;"Não",1,0)</f>
        <v>0</v>
      </c>
      <c r="U316" s="38">
        <f>IF(Config!$M$53&lt;&gt;"Não",1,0)</f>
        <v>0</v>
      </c>
      <c r="V316" s="38">
        <f>IF(Config!$M$54&lt;&gt;"Não",1,0)</f>
        <v>0</v>
      </c>
    </row>
    <row r="317">
      <c r="A317" s="65" t="inlineStr">
        <is>
          <t xml:space="preserve">OUT · Veículos Expedidos</t>
        </is>
      </c>
      <c r="B317" s="39">
        <f>IF(OR($B$2="Todos",$C$2=2),1,IFERROR(INDEX($C$317:$V$317,MATCH($D$2,$C$306:$V$306,0)),1))</f>
        <v>1</v>
      </c>
      <c r="C317" s="38">
        <f>IF(Config!$N$35&lt;&gt;"Não",1,0)</f>
        <v>1</v>
      </c>
      <c r="D317" s="38">
        <f>IF(Config!$N$36&lt;&gt;"Não",1,0)</f>
        <v>1</v>
      </c>
      <c r="E317" s="38">
        <f>IF(Config!$N$37&lt;&gt;"Não",1,0)</f>
        <v>1</v>
      </c>
      <c r="F317" s="38">
        <f>IF(Config!$N$38&lt;&gt;"Não",1,0)</f>
        <v>1</v>
      </c>
      <c r="G317" s="38">
        <f>IF(Config!$N$39&lt;&gt;"Não",1,0)</f>
        <v>1</v>
      </c>
      <c r="H317" s="38">
        <f>IF(Config!$N$40&lt;&gt;"Não",1,0)</f>
        <v>1</v>
      </c>
      <c r="I317" s="38">
        <f>IF(Config!$N$41&lt;&gt;"Não",1,0)</f>
        <v>1</v>
      </c>
      <c r="J317" s="38">
        <f>IF(Config!$N$42&lt;&gt;"Não",1,0)</f>
        <v>1</v>
      </c>
      <c r="K317" s="38">
        <f>IF(Config!$N$43&lt;&gt;"Não",1,0)</f>
        <v>1</v>
      </c>
      <c r="L317" s="38">
        <f>IF(Config!$N$44&lt;&gt;"Não",1,0)</f>
        <v>1</v>
      </c>
      <c r="M317" s="38">
        <f>IF(Config!$N$45&lt;&gt;"Não",1,0)</f>
        <v>1</v>
      </c>
      <c r="N317" s="38">
        <f>IF(Config!$N$46&lt;&gt;"Não",1,0)</f>
        <v>1</v>
      </c>
      <c r="O317" s="38">
        <f>IF(Config!$N$47&lt;&gt;"Não",1,0)</f>
        <v>1</v>
      </c>
      <c r="P317" s="38">
        <f>IF(Config!$N$48&lt;&gt;"Não",1,0)</f>
        <v>1</v>
      </c>
      <c r="Q317" s="38">
        <f>IF(Config!$N$49&lt;&gt;"Não",1,0)</f>
        <v>1</v>
      </c>
      <c r="R317" s="38">
        <f>IF(Config!$N$50&lt;&gt;"Não",1,0)</f>
        <v>1</v>
      </c>
      <c r="S317" s="38">
        <f>IF(Config!$N$51&lt;&gt;"Não",1,0)</f>
        <v>1</v>
      </c>
      <c r="T317" s="38">
        <f>IF(Config!$N$52&lt;&gt;"Não",1,0)</f>
        <v>1</v>
      </c>
      <c r="U317" s="38">
        <f>IF(Config!$N$53&lt;&gt;"Não",1,0)</f>
        <v>1</v>
      </c>
      <c r="V317" s="38">
        <f>IF(Config!$N$54&lt;&gt;"Não",1,0)</f>
        <v>1</v>
      </c>
    </row>
    <row r="318">
      <c r="A318" s="65" t="inlineStr">
        <is>
          <t xml:space="preserve">OUT · Pedidos Expedidos</t>
        </is>
      </c>
      <c r="B318" s="39">
        <f>IF(OR($B$2="Todos",$C$2=2),1,IFERROR(INDEX($C$318:$V$318,MATCH($D$2,$C$306:$V$306,0)),1))</f>
        <v>1</v>
      </c>
      <c r="C318" s="38">
        <f>IF(Config!$O$35&lt;&gt;"Não",1,0)</f>
        <v>0</v>
      </c>
      <c r="D318" s="38">
        <f>IF(Config!$O$36&lt;&gt;"Não",1,0)</f>
        <v>0</v>
      </c>
      <c r="E318" s="38">
        <f>IF(Config!$O$37&lt;&gt;"Não",1,0)</f>
        <v>1</v>
      </c>
      <c r="F318" s="38">
        <f>IF(Config!$O$38&lt;&gt;"Não",1,0)</f>
        <v>0</v>
      </c>
      <c r="G318" s="38">
        <f>IF(Config!$O$39&lt;&gt;"Não",1,0)</f>
        <v>0</v>
      </c>
      <c r="H318" s="38">
        <f>IF(Config!$O$40&lt;&gt;"Não",1,0)</f>
        <v>0</v>
      </c>
      <c r="I318" s="38">
        <f>IF(Config!$O$41&lt;&gt;"Não",1,0)</f>
        <v>0</v>
      </c>
      <c r="J318" s="38">
        <f>IF(Config!$O$42&lt;&gt;"Não",1,0)</f>
        <v>0</v>
      </c>
      <c r="K318" s="38">
        <f>IF(Config!$O$43&lt;&gt;"Não",1,0)</f>
        <v>0</v>
      </c>
      <c r="L318" s="38">
        <f>IF(Config!$O$44&lt;&gt;"Não",1,0)</f>
        <v>0</v>
      </c>
      <c r="M318" s="38">
        <f>IF(Config!$O$45&lt;&gt;"Não",1,0)</f>
        <v>0</v>
      </c>
      <c r="N318" s="38">
        <f>IF(Config!$O$46&lt;&gt;"Não",1,0)</f>
        <v>0</v>
      </c>
      <c r="O318" s="38">
        <f>IF(Config!$O$47&lt;&gt;"Não",1,0)</f>
        <v>0</v>
      </c>
      <c r="P318" s="38">
        <f>IF(Config!$O$48&lt;&gt;"Não",1,0)</f>
        <v>0</v>
      </c>
      <c r="Q318" s="38">
        <f>IF(Config!$O$49&lt;&gt;"Não",1,0)</f>
        <v>0</v>
      </c>
      <c r="R318" s="38">
        <f>IF(Config!$O$50&lt;&gt;"Não",1,0)</f>
        <v>0</v>
      </c>
      <c r="S318" s="38">
        <f>IF(Config!$O$51&lt;&gt;"Não",1,0)</f>
        <v>0</v>
      </c>
      <c r="T318" s="38">
        <f>IF(Config!$O$52&lt;&gt;"Não",1,0)</f>
        <v>0</v>
      </c>
      <c r="U318" s="38">
        <f>IF(Config!$O$53&lt;&gt;"Não",1,0)</f>
        <v>0</v>
      </c>
      <c r="V318" s="38">
        <f>IF(Config!$O$54&lt;&gt;"Não",1,0)</f>
        <v>0</v>
      </c>
    </row>
    <row r="319">
      <c r="A319" s="65" t="inlineStr">
        <is>
          <t xml:space="preserve">OUT · Pedidos Faturados</t>
        </is>
      </c>
      <c r="B319" s="39">
        <f>IF(OR($B$2="Todos",$C$2=2),1,IFERROR(INDEX($C$319:$V$319,MATCH($D$2,$C$306:$V$306,0)),1))</f>
        <v>1</v>
      </c>
      <c r="C319" s="38">
        <f>IF(Config!$P$35&lt;&gt;"Não",1,0)</f>
        <v>0</v>
      </c>
      <c r="D319" s="38">
        <f>IF(Config!$P$36&lt;&gt;"Não",1,0)</f>
        <v>0</v>
      </c>
      <c r="E319" s="38">
        <f>IF(Config!$P$37&lt;&gt;"Não",1,0)</f>
        <v>0</v>
      </c>
      <c r="F319" s="38">
        <f>IF(Config!$P$38&lt;&gt;"Não",1,0)</f>
        <v>1</v>
      </c>
      <c r="G319" s="38">
        <f>IF(Config!$P$39&lt;&gt;"Não",1,0)</f>
        <v>0</v>
      </c>
      <c r="H319" s="38">
        <f>IF(Config!$P$40&lt;&gt;"Não",1,0)</f>
        <v>0</v>
      </c>
      <c r="I319" s="38">
        <f>IF(Config!$P$41&lt;&gt;"Não",1,0)</f>
        <v>0</v>
      </c>
      <c r="J319" s="38">
        <f>IF(Config!$P$42&lt;&gt;"Não",1,0)</f>
        <v>0</v>
      </c>
      <c r="K319" s="38">
        <f>IF(Config!$P$43&lt;&gt;"Não",1,0)</f>
        <v>0</v>
      </c>
      <c r="L319" s="38">
        <f>IF(Config!$P$44&lt;&gt;"Não",1,0)</f>
        <v>0</v>
      </c>
      <c r="M319" s="38">
        <f>IF(Config!$P$45&lt;&gt;"Não",1,0)</f>
        <v>0</v>
      </c>
      <c r="N319" s="38">
        <f>IF(Config!$P$46&lt;&gt;"Não",1,0)</f>
        <v>0</v>
      </c>
      <c r="O319" s="38">
        <f>IF(Config!$P$47&lt;&gt;"Não",1,0)</f>
        <v>0</v>
      </c>
      <c r="P319" s="38">
        <f>IF(Config!$P$48&lt;&gt;"Não",1,0)</f>
        <v>0</v>
      </c>
      <c r="Q319" s="38">
        <f>IF(Config!$P$49&lt;&gt;"Não",1,0)</f>
        <v>0</v>
      </c>
      <c r="R319" s="38">
        <f>IF(Config!$P$50&lt;&gt;"Não",1,0)</f>
        <v>0</v>
      </c>
      <c r="S319" s="38">
        <f>IF(Config!$P$51&lt;&gt;"Não",1,0)</f>
        <v>0</v>
      </c>
      <c r="T319" s="38">
        <f>IF(Config!$P$52&lt;&gt;"Não",1,0)</f>
        <v>0</v>
      </c>
      <c r="U319" s="38">
        <f>IF(Config!$P$53&lt;&gt;"Não",1,0)</f>
        <v>0</v>
      </c>
      <c r="V319" s="38">
        <f>IF(Config!$P$54&lt;&gt;"Não",1,0)</f>
        <v>0</v>
      </c>
    </row>
    <row r="320">
      <c r="A320" s="65" t="inlineStr">
        <is>
          <t xml:space="preserve">OUT · Itens Expedidos</t>
        </is>
      </c>
      <c r="B320" s="39">
        <f>IF(OR($B$2="Todos",$C$2=2),1,IFERROR(INDEX($C$320:$V$320,MATCH($D$2,$C$306:$V$306,0)),1))</f>
        <v>1</v>
      </c>
      <c r="C320" s="38">
        <f>IF(Config!$Q$35&lt;&gt;"Não",1,0)</f>
        <v>0</v>
      </c>
      <c r="D320" s="38">
        <f>IF(Config!$Q$36&lt;&gt;"Não",1,0)</f>
        <v>0</v>
      </c>
      <c r="E320" s="38">
        <f>IF(Config!$Q$37&lt;&gt;"Não",1,0)</f>
        <v>0</v>
      </c>
      <c r="F320" s="38">
        <f>IF(Config!$Q$38&lt;&gt;"Não",1,0)</f>
        <v>1</v>
      </c>
      <c r="G320" s="38">
        <f>IF(Config!$Q$39&lt;&gt;"Não",1,0)</f>
        <v>0</v>
      </c>
      <c r="H320" s="38">
        <f>IF(Config!$Q$40&lt;&gt;"Não",1,0)</f>
        <v>0</v>
      </c>
      <c r="I320" s="38">
        <f>IF(Config!$Q$41&lt;&gt;"Não",1,0)</f>
        <v>0</v>
      </c>
      <c r="J320" s="38">
        <f>IF(Config!$Q$42&lt;&gt;"Não",1,0)</f>
        <v>0</v>
      </c>
      <c r="K320" s="38">
        <f>IF(Config!$Q$43&lt;&gt;"Não",1,0)</f>
        <v>0</v>
      </c>
      <c r="L320" s="38">
        <f>IF(Config!$Q$44&lt;&gt;"Não",1,0)</f>
        <v>0</v>
      </c>
      <c r="M320" s="38">
        <f>IF(Config!$Q$45&lt;&gt;"Não",1,0)</f>
        <v>0</v>
      </c>
      <c r="N320" s="38">
        <f>IF(Config!$Q$46&lt;&gt;"Não",1,0)</f>
        <v>0</v>
      </c>
      <c r="O320" s="38">
        <f>IF(Config!$Q$47&lt;&gt;"Não",1,0)</f>
        <v>0</v>
      </c>
      <c r="P320" s="38">
        <f>IF(Config!$Q$48&lt;&gt;"Não",1,0)</f>
        <v>0</v>
      </c>
      <c r="Q320" s="38">
        <f>IF(Config!$Q$49&lt;&gt;"Não",1,0)</f>
        <v>0</v>
      </c>
      <c r="R320" s="38">
        <f>IF(Config!$Q$50&lt;&gt;"Não",1,0)</f>
        <v>0</v>
      </c>
      <c r="S320" s="38">
        <f>IF(Config!$Q$51&lt;&gt;"Não",1,0)</f>
        <v>0</v>
      </c>
      <c r="T320" s="38">
        <f>IF(Config!$Q$52&lt;&gt;"Não",1,0)</f>
        <v>0</v>
      </c>
      <c r="U320" s="38">
        <f>IF(Config!$Q$53&lt;&gt;"Não",1,0)</f>
        <v>0</v>
      </c>
      <c r="V320" s="38">
        <f>IF(Config!$Q$54&lt;&gt;"Não",1,0)</f>
        <v>0</v>
      </c>
    </row>
    <row r="321">
      <c r="A321" s="65" t="inlineStr">
        <is>
          <t xml:space="preserve">OUT · Peças Movimentadas</t>
        </is>
      </c>
      <c r="B321" s="39">
        <f>IF(OR($B$2="Todos",$C$2=2),1,IFERROR(INDEX($C$321:$V$321,MATCH($D$2,$C$306:$V$306,0)),1))</f>
        <v>1</v>
      </c>
      <c r="C321" s="38">
        <f>IF(Config!$R$35&lt;&gt;"Não",1,0)</f>
        <v>0</v>
      </c>
      <c r="D321" s="38">
        <f>IF(Config!$R$36&lt;&gt;"Não",1,0)</f>
        <v>0</v>
      </c>
      <c r="E321" s="38">
        <f>IF(Config!$R$37&lt;&gt;"Não",1,0)</f>
        <v>0</v>
      </c>
      <c r="F321" s="38">
        <f>IF(Config!$R$38&lt;&gt;"Não",1,0)</f>
        <v>0</v>
      </c>
      <c r="G321" s="38">
        <f>IF(Config!$R$39&lt;&gt;"Não",1,0)</f>
        <v>0</v>
      </c>
      <c r="H321" s="38">
        <f>IF(Config!$R$40&lt;&gt;"Não",1,0)</f>
        <v>1</v>
      </c>
      <c r="I321" s="38">
        <f>IF(Config!$R$41&lt;&gt;"Não",1,0)</f>
        <v>0</v>
      </c>
      <c r="J321" s="38">
        <f>IF(Config!$R$42&lt;&gt;"Não",1,0)</f>
        <v>0</v>
      </c>
      <c r="K321" s="38">
        <f>IF(Config!$R$43&lt;&gt;"Não",1,0)</f>
        <v>0</v>
      </c>
      <c r="L321" s="38">
        <f>IF(Config!$R$44&lt;&gt;"Não",1,0)</f>
        <v>0</v>
      </c>
      <c r="M321" s="38">
        <f>IF(Config!$R$45&lt;&gt;"Não",1,0)</f>
        <v>0</v>
      </c>
      <c r="N321" s="38">
        <f>IF(Config!$R$46&lt;&gt;"Não",1,0)</f>
        <v>0</v>
      </c>
      <c r="O321" s="38">
        <f>IF(Config!$R$47&lt;&gt;"Não",1,0)</f>
        <v>0</v>
      </c>
      <c r="P321" s="38">
        <f>IF(Config!$R$48&lt;&gt;"Não",1,0)</f>
        <v>0</v>
      </c>
      <c r="Q321" s="38">
        <f>IF(Config!$R$49&lt;&gt;"Não",1,0)</f>
        <v>0</v>
      </c>
      <c r="R321" s="38">
        <f>IF(Config!$R$50&lt;&gt;"Não",1,0)</f>
        <v>0</v>
      </c>
      <c r="S321" s="38">
        <f>IF(Config!$R$51&lt;&gt;"Não",1,0)</f>
        <v>0</v>
      </c>
      <c r="T321" s="38">
        <f>IF(Config!$R$52&lt;&gt;"Não",1,0)</f>
        <v>0</v>
      </c>
      <c r="U321" s="38">
        <f>IF(Config!$R$53&lt;&gt;"Não",1,0)</f>
        <v>0</v>
      </c>
      <c r="V321" s="38">
        <f>IF(Config!$R$54&lt;&gt;"Não",1,0)</f>
        <v>0</v>
      </c>
    </row>
    <row r="322">
      <c r="A322" s="65" t="inlineStr">
        <is>
          <t xml:space="preserve">OUT · Linhas NF</t>
        </is>
      </c>
      <c r="B322" s="39">
        <f>IF(OR($B$2="Todos",$C$2=2),1,IFERROR(INDEX($C$322:$V$322,MATCH($D$2,$C$306:$V$306,0)),1))</f>
        <v>1</v>
      </c>
      <c r="C322" s="38">
        <f>IF(Config!$S$35&lt;&gt;"Não",1,0)</f>
        <v>0</v>
      </c>
      <c r="D322" s="38">
        <f>IF(Config!$S$36&lt;&gt;"Não",1,0)</f>
        <v>0</v>
      </c>
      <c r="E322" s="38">
        <f>IF(Config!$S$37&lt;&gt;"Não",1,0)</f>
        <v>0</v>
      </c>
      <c r="F322" s="38">
        <f>IF(Config!$S$38&lt;&gt;"Não",1,0)</f>
        <v>0</v>
      </c>
      <c r="G322" s="38">
        <f>IF(Config!$S$39&lt;&gt;"Não",1,0)</f>
        <v>0</v>
      </c>
      <c r="H322" s="38">
        <f>IF(Config!$S$40&lt;&gt;"Não",1,0)</f>
        <v>1</v>
      </c>
      <c r="I322" s="38">
        <f>IF(Config!$S$41&lt;&gt;"Não",1,0)</f>
        <v>0</v>
      </c>
      <c r="J322" s="38">
        <f>IF(Config!$S$42&lt;&gt;"Não",1,0)</f>
        <v>0</v>
      </c>
      <c r="K322" s="38">
        <f>IF(Config!$S$43&lt;&gt;"Não",1,0)</f>
        <v>0</v>
      </c>
      <c r="L322" s="38">
        <f>IF(Config!$S$44&lt;&gt;"Não",1,0)</f>
        <v>1</v>
      </c>
      <c r="M322" s="38">
        <f>IF(Config!$S$45&lt;&gt;"Não",1,0)</f>
        <v>0</v>
      </c>
      <c r="N322" s="38">
        <f>IF(Config!$S$46&lt;&gt;"Não",1,0)</f>
        <v>0</v>
      </c>
      <c r="O322" s="38">
        <f>IF(Config!$S$47&lt;&gt;"Não",1,0)</f>
        <v>0</v>
      </c>
      <c r="P322" s="38">
        <f>IF(Config!$S$48&lt;&gt;"Não",1,0)</f>
        <v>0</v>
      </c>
      <c r="Q322" s="38">
        <f>IF(Config!$S$49&lt;&gt;"Não",1,0)</f>
        <v>0</v>
      </c>
      <c r="R322" s="38">
        <f>IF(Config!$S$50&lt;&gt;"Não",1,0)</f>
        <v>0</v>
      </c>
      <c r="S322" s="38">
        <f>IF(Config!$S$51&lt;&gt;"Não",1,0)</f>
        <v>0</v>
      </c>
      <c r="T322" s="38">
        <f>IF(Config!$S$52&lt;&gt;"Não",1,0)</f>
        <v>0</v>
      </c>
      <c r="U322" s="38">
        <f>IF(Config!$S$53&lt;&gt;"Não",1,0)</f>
        <v>0</v>
      </c>
      <c r="V322" s="38">
        <f>IF(Config!$S$54&lt;&gt;"Não",1,0)</f>
        <v>0</v>
      </c>
    </row>
    <row r="323">
      <c r="A323" s="65" t="inlineStr">
        <is>
          <t xml:space="preserve">OUT · Caixas Expedidas</t>
        </is>
      </c>
      <c r="B323" s="39">
        <f>IF(OR($B$2="Todos",$C$2=2),1,IFERROR(INDEX($C$323:$V$323,MATCH($D$2,$C$306:$V$306,0)),1))</f>
        <v>1</v>
      </c>
      <c r="C323" s="38">
        <f>IF(Config!$T$35&lt;&gt;"Não",1,0)</f>
        <v>1</v>
      </c>
      <c r="D323" s="38">
        <f>IF(Config!$T$36&lt;&gt;"Não",1,0)</f>
        <v>0</v>
      </c>
      <c r="E323" s="38">
        <f>IF(Config!$T$37&lt;&gt;"Não",1,0)</f>
        <v>0</v>
      </c>
      <c r="F323" s="38">
        <f>IF(Config!$T$38&lt;&gt;"Não",1,0)</f>
        <v>0</v>
      </c>
      <c r="G323" s="38">
        <f>IF(Config!$T$39&lt;&gt;"Não",1,0)</f>
        <v>0</v>
      </c>
      <c r="H323" s="38">
        <f>IF(Config!$T$40&lt;&gt;"Não",1,0)</f>
        <v>0</v>
      </c>
      <c r="I323" s="38">
        <f>IF(Config!$T$41&lt;&gt;"Não",1,0)</f>
        <v>0</v>
      </c>
      <c r="J323" s="38">
        <f>IF(Config!$T$42&lt;&gt;"Não",1,0)</f>
        <v>0</v>
      </c>
      <c r="K323" s="38">
        <f>IF(Config!$T$43&lt;&gt;"Não",1,0)</f>
        <v>0</v>
      </c>
      <c r="L323" s="38">
        <f>IF(Config!$T$44&lt;&gt;"Não",1,0)</f>
        <v>0</v>
      </c>
      <c r="M323" s="38">
        <f>IF(Config!$T$45&lt;&gt;"Não",1,0)</f>
        <v>0</v>
      </c>
      <c r="N323" s="38">
        <f>IF(Config!$T$46&lt;&gt;"Não",1,0)</f>
        <v>0</v>
      </c>
      <c r="O323" s="38">
        <f>IF(Config!$T$47&lt;&gt;"Não",1,0)</f>
        <v>0</v>
      </c>
      <c r="P323" s="38">
        <f>IF(Config!$T$48&lt;&gt;"Não",1,0)</f>
        <v>0</v>
      </c>
      <c r="Q323" s="38">
        <f>IF(Config!$T$49&lt;&gt;"Não",1,0)</f>
        <v>0</v>
      </c>
      <c r="R323" s="38">
        <f>IF(Config!$T$50&lt;&gt;"Não",1,0)</f>
        <v>0</v>
      </c>
      <c r="S323" s="38">
        <f>IF(Config!$T$51&lt;&gt;"Não",1,0)</f>
        <v>0</v>
      </c>
      <c r="T323" s="38">
        <f>IF(Config!$T$52&lt;&gt;"Não",1,0)</f>
        <v>0</v>
      </c>
      <c r="U323" s="38">
        <f>IF(Config!$T$53&lt;&gt;"Não",1,0)</f>
        <v>0</v>
      </c>
      <c r="V323" s="38">
        <f>IF(Config!$T$54&lt;&gt;"Não",1,0)</f>
        <v>0</v>
      </c>
    </row>
    <row r="324">
      <c r="A324" s="65" t="inlineStr">
        <is>
          <t xml:space="preserve">OUT · Pallets Movimentados</t>
        </is>
      </c>
      <c r="B324" s="39">
        <f>IF(OR($B$2="Todos",$C$2=2),1,IFERROR(INDEX($C$324:$V$324,MATCH($D$2,$C$306:$V$306,0)),1))</f>
        <v>1</v>
      </c>
      <c r="C324" s="38">
        <f>IF(Config!$U$35&lt;&gt;"Não",1,0)</f>
        <v>0</v>
      </c>
      <c r="D324" s="38">
        <f>IF(Config!$U$36&lt;&gt;"Não",1,0)</f>
        <v>1</v>
      </c>
      <c r="E324" s="38">
        <f>IF(Config!$U$37&lt;&gt;"Não",1,0)</f>
        <v>1</v>
      </c>
      <c r="F324" s="38">
        <f>IF(Config!$U$38&lt;&gt;"Não",1,0)</f>
        <v>1</v>
      </c>
      <c r="G324" s="38">
        <f>IF(Config!$U$39&lt;&gt;"Não",1,0)</f>
        <v>1</v>
      </c>
      <c r="H324" s="38">
        <f>IF(Config!$U$40&lt;&gt;"Não",1,0)</f>
        <v>1</v>
      </c>
      <c r="I324" s="38">
        <f>IF(Config!$U$41&lt;&gt;"Não",1,0)</f>
        <v>1</v>
      </c>
      <c r="J324" s="38">
        <f>IF(Config!$U$42&lt;&gt;"Não",1,0)</f>
        <v>1</v>
      </c>
      <c r="K324" s="38">
        <f>IF(Config!$U$43&lt;&gt;"Não",1,0)</f>
        <v>1</v>
      </c>
      <c r="L324" s="38">
        <f>IF(Config!$U$44&lt;&gt;"Não",1,0)</f>
        <v>0</v>
      </c>
      <c r="M324" s="38">
        <f>IF(Config!$U$45&lt;&gt;"Não",1,0)</f>
        <v>1</v>
      </c>
      <c r="N324" s="38">
        <f>IF(Config!$U$46&lt;&gt;"Não",1,0)</f>
        <v>1</v>
      </c>
      <c r="O324" s="38">
        <f>IF(Config!$U$47&lt;&gt;"Não",1,0)</f>
        <v>1</v>
      </c>
      <c r="P324" s="38">
        <f>IF(Config!$U$48&lt;&gt;"Não",1,0)</f>
        <v>1</v>
      </c>
      <c r="Q324" s="38">
        <f>IF(Config!$U$49&lt;&gt;"Não",1,0)</f>
        <v>1</v>
      </c>
      <c r="R324" s="38">
        <f>IF(Config!$U$50&lt;&gt;"Não",1,0)</f>
        <v>1</v>
      </c>
      <c r="S324" s="38">
        <f>IF(Config!$U$51&lt;&gt;"Não",1,0)</f>
        <v>1</v>
      </c>
      <c r="T324" s="38">
        <f>IF(Config!$U$52&lt;&gt;"Não",1,0)</f>
        <v>1</v>
      </c>
      <c r="U324" s="38">
        <f>IF(Config!$U$53&lt;&gt;"Não",1,0)</f>
        <v>1</v>
      </c>
      <c r="V324" s="38">
        <f>IF(Config!$U$54&lt;&gt;"Não",1,0)</f>
        <v>1</v>
      </c>
    </row>
    <row r="325">
      <c r="A325" s="65" t="inlineStr">
        <is>
          <t xml:space="preserve">OUT · Toneladas Movimentadas</t>
        </is>
      </c>
      <c r="B325" s="39">
        <f>IF(OR($B$2="Todos",$C$2=2),1,IFERROR(INDEX($C$325:$V$325,MATCH($D$2,$C$306:$V$306,0)),1))</f>
        <v>1</v>
      </c>
      <c r="C325" s="38">
        <f>IF(Config!$V$35&lt;&gt;"Não",1,0)</f>
        <v>0</v>
      </c>
      <c r="D325" s="38">
        <f>IF(Config!$V$36&lt;&gt;"Não",1,0)</f>
        <v>1</v>
      </c>
      <c r="E325" s="38">
        <f>IF(Config!$V$37&lt;&gt;"Não",1,0)</f>
        <v>0</v>
      </c>
      <c r="F325" s="38">
        <f>IF(Config!$V$38&lt;&gt;"Não",1,0)</f>
        <v>0</v>
      </c>
      <c r="G325" s="38">
        <f>IF(Config!$V$39&lt;&gt;"Não",1,0)</f>
        <v>1</v>
      </c>
      <c r="H325" s="38">
        <f>IF(Config!$V$40&lt;&gt;"Não",1,0)</f>
        <v>0</v>
      </c>
      <c r="I325" s="38">
        <f>IF(Config!$V$41&lt;&gt;"Não",1,0)</f>
        <v>0</v>
      </c>
      <c r="J325" s="38">
        <f>IF(Config!$V$42&lt;&gt;"Não",1,0)</f>
        <v>1</v>
      </c>
      <c r="K325" s="38">
        <f>IF(Config!$V$43&lt;&gt;"Não",1,0)</f>
        <v>0</v>
      </c>
      <c r="L325" s="38">
        <f>IF(Config!$V$44&lt;&gt;"Não",1,0)</f>
        <v>0</v>
      </c>
      <c r="M325" s="38">
        <f>IF(Config!$V$45&lt;&gt;"Não",1,0)</f>
        <v>1</v>
      </c>
      <c r="N325" s="38">
        <f>IF(Config!$V$46&lt;&gt;"Não",1,0)</f>
        <v>1</v>
      </c>
      <c r="O325" s="38">
        <f>IF(Config!$V$47&lt;&gt;"Não",1,0)</f>
        <v>1</v>
      </c>
      <c r="P325" s="38">
        <f>IF(Config!$V$48&lt;&gt;"Não",1,0)</f>
        <v>1</v>
      </c>
      <c r="Q325" s="38">
        <f>IF(Config!$V$49&lt;&gt;"Não",1,0)</f>
        <v>1</v>
      </c>
      <c r="R325" s="38">
        <f>IF(Config!$V$50&lt;&gt;"Não",1,0)</f>
        <v>1</v>
      </c>
      <c r="S325" s="38">
        <f>IF(Config!$V$51&lt;&gt;"Não",1,0)</f>
        <v>1</v>
      </c>
      <c r="T325" s="38">
        <f>IF(Config!$V$52&lt;&gt;"Não",1,0)</f>
        <v>1</v>
      </c>
      <c r="U325" s="38">
        <f>IF(Config!$V$53&lt;&gt;"Não",1,0)</f>
        <v>1</v>
      </c>
      <c r="V325" s="38">
        <f>IF(Config!$V$54&lt;&gt;"Não",1,0)</f>
        <v>1</v>
      </c>
    </row>
    <row r="326">
      <c r="A326" s="65" t="inlineStr">
        <is>
          <t xml:space="preserve">NC · Incidentes</t>
        </is>
      </c>
      <c r="B326" s="39">
        <f>IF(OR($B$2="Todos",$C$2=2),1,IFERROR(INDEX($C$326:$V$326,MATCH($D$2,$C$306:$V$306,0)),1))</f>
        <v>1</v>
      </c>
      <c r="C326" s="38">
        <f>IF(Config!$W$35&lt;&gt;"Não",1,0)</f>
        <v>1</v>
      </c>
      <c r="D326" s="38">
        <f>IF(Config!$W$36&lt;&gt;"Não",1,0)</f>
        <v>1</v>
      </c>
      <c r="E326" s="38">
        <f>IF(Config!$W$37&lt;&gt;"Não",1,0)</f>
        <v>1</v>
      </c>
      <c r="F326" s="38">
        <f>IF(Config!$W$38&lt;&gt;"Não",1,0)</f>
        <v>1</v>
      </c>
      <c r="G326" s="38">
        <f>IF(Config!$W$39&lt;&gt;"Não",1,0)</f>
        <v>1</v>
      </c>
      <c r="H326" s="38">
        <f>IF(Config!$W$40&lt;&gt;"Não",1,0)</f>
        <v>1</v>
      </c>
      <c r="I326" s="38">
        <f>IF(Config!$W$41&lt;&gt;"Não",1,0)</f>
        <v>1</v>
      </c>
      <c r="J326" s="38">
        <f>IF(Config!$W$42&lt;&gt;"Não",1,0)</f>
        <v>1</v>
      </c>
      <c r="K326" s="38">
        <f>IF(Config!$W$43&lt;&gt;"Não",1,0)</f>
        <v>1</v>
      </c>
      <c r="L326" s="38">
        <f>IF(Config!$W$44&lt;&gt;"Não",1,0)</f>
        <v>1</v>
      </c>
      <c r="M326" s="38">
        <f>IF(Config!$W$45&lt;&gt;"Não",1,0)</f>
        <v>1</v>
      </c>
      <c r="N326" s="38">
        <f>IF(Config!$W$46&lt;&gt;"Não",1,0)</f>
        <v>1</v>
      </c>
      <c r="O326" s="38">
        <f>IF(Config!$W$47&lt;&gt;"Não",1,0)</f>
        <v>1</v>
      </c>
      <c r="P326" s="38">
        <f>IF(Config!$W$48&lt;&gt;"Não",1,0)</f>
        <v>1</v>
      </c>
      <c r="Q326" s="38">
        <f>IF(Config!$W$49&lt;&gt;"Não",1,0)</f>
        <v>1</v>
      </c>
      <c r="R326" s="38">
        <f>IF(Config!$W$50&lt;&gt;"Não",1,0)</f>
        <v>1</v>
      </c>
      <c r="S326" s="38">
        <f>IF(Config!$W$51&lt;&gt;"Não",1,0)</f>
        <v>1</v>
      </c>
      <c r="T326" s="38">
        <f>IF(Config!$W$52&lt;&gt;"Não",1,0)</f>
        <v>1</v>
      </c>
      <c r="U326" s="38">
        <f>IF(Config!$W$53&lt;&gt;"Não",1,0)</f>
        <v>1</v>
      </c>
      <c r="V326" s="38">
        <f>IF(Config!$W$54&lt;&gt;"Não",1,0)</f>
        <v>1</v>
      </c>
    </row>
    <row r="327">
      <c r="A327" s="65" t="inlineStr">
        <is>
          <t xml:space="preserve">NC · No show</t>
        </is>
      </c>
      <c r="B327" s="39">
        <f>IF(OR($B$2="Todos",$C$2=2),1,IFERROR(INDEX($C$327:$V$327,MATCH($D$2,$C$306:$V$306,0)),1))</f>
        <v>1</v>
      </c>
      <c r="C327" s="38">
        <f>IF(Config!$X$35&lt;&gt;"Não",1,0)</f>
        <v>1</v>
      </c>
      <c r="D327" s="38">
        <f>IF(Config!$X$36&lt;&gt;"Não",1,0)</f>
        <v>1</v>
      </c>
      <c r="E327" s="38">
        <f>IF(Config!$X$37&lt;&gt;"Não",1,0)</f>
        <v>1</v>
      </c>
      <c r="F327" s="38">
        <f>IF(Config!$X$38&lt;&gt;"Não",1,0)</f>
        <v>1</v>
      </c>
      <c r="G327" s="38">
        <f>IF(Config!$X$39&lt;&gt;"Não",1,0)</f>
        <v>1</v>
      </c>
      <c r="H327" s="38">
        <f>IF(Config!$X$40&lt;&gt;"Não",1,0)</f>
        <v>1</v>
      </c>
      <c r="I327" s="38">
        <f>IF(Config!$X$41&lt;&gt;"Não",1,0)</f>
        <v>1</v>
      </c>
      <c r="J327" s="38">
        <f>IF(Config!$X$42&lt;&gt;"Não",1,0)</f>
        <v>1</v>
      </c>
      <c r="K327" s="38">
        <f>IF(Config!$X$43&lt;&gt;"Não",1,0)</f>
        <v>1</v>
      </c>
      <c r="L327" s="38">
        <f>IF(Config!$X$44&lt;&gt;"Não",1,0)</f>
        <v>1</v>
      </c>
      <c r="M327" s="38">
        <f>IF(Config!$X$45&lt;&gt;"Não",1,0)</f>
        <v>1</v>
      </c>
      <c r="N327" s="38">
        <f>IF(Config!$X$46&lt;&gt;"Não",1,0)</f>
        <v>1</v>
      </c>
      <c r="O327" s="38">
        <f>IF(Config!$X$47&lt;&gt;"Não",1,0)</f>
        <v>1</v>
      </c>
      <c r="P327" s="38">
        <f>IF(Config!$X$48&lt;&gt;"Não",1,0)</f>
        <v>1</v>
      </c>
      <c r="Q327" s="38">
        <f>IF(Config!$X$49&lt;&gt;"Não",1,0)</f>
        <v>1</v>
      </c>
      <c r="R327" s="38">
        <f>IF(Config!$X$50&lt;&gt;"Não",1,0)</f>
        <v>1</v>
      </c>
      <c r="S327" s="38">
        <f>IF(Config!$X$51&lt;&gt;"Não",1,0)</f>
        <v>1</v>
      </c>
      <c r="T327" s="38">
        <f>IF(Config!$X$52&lt;&gt;"Não",1,0)</f>
        <v>1</v>
      </c>
      <c r="U327" s="38">
        <f>IF(Config!$X$53&lt;&gt;"Não",1,0)</f>
        <v>1</v>
      </c>
      <c r="V327" s="38">
        <f>IF(Config!$X$54&lt;&gt;"Não",1,0)</f>
        <v>1</v>
      </c>
    </row>
    <row r="328">
      <c r="A328" s="65" t="inlineStr">
        <is>
          <t xml:space="preserve">NC · Backlog</t>
        </is>
      </c>
      <c r="B328" s="39">
        <f>IF(OR($B$2="Todos",$C$2=2),1,IFERROR(INDEX($C$328:$V$328,MATCH($D$2,$C$306:$V$306,0)),1))</f>
        <v>1</v>
      </c>
      <c r="C328" s="38">
        <f>IF(Config!$Y$35&lt;&gt;"Não",1,0)</f>
        <v>1</v>
      </c>
      <c r="D328" s="38">
        <f>IF(Config!$Y$36&lt;&gt;"Não",1,0)</f>
        <v>1</v>
      </c>
      <c r="E328" s="38">
        <f>IF(Config!$Y$37&lt;&gt;"Não",1,0)</f>
        <v>1</v>
      </c>
      <c r="F328" s="38">
        <f>IF(Config!$Y$38&lt;&gt;"Não",1,0)</f>
        <v>1</v>
      </c>
      <c r="G328" s="38">
        <f>IF(Config!$Y$39&lt;&gt;"Não",1,0)</f>
        <v>1</v>
      </c>
      <c r="H328" s="38">
        <f>IF(Config!$Y$40&lt;&gt;"Não",1,0)</f>
        <v>1</v>
      </c>
      <c r="I328" s="38">
        <f>IF(Config!$Y$41&lt;&gt;"Não",1,0)</f>
        <v>1</v>
      </c>
      <c r="J328" s="38">
        <f>IF(Config!$Y$42&lt;&gt;"Não",1,0)</f>
        <v>1</v>
      </c>
      <c r="K328" s="38">
        <f>IF(Config!$Y$43&lt;&gt;"Não",1,0)</f>
        <v>1</v>
      </c>
      <c r="L328" s="38">
        <f>IF(Config!$Y$44&lt;&gt;"Não",1,0)</f>
        <v>1</v>
      </c>
      <c r="M328" s="38">
        <f>IF(Config!$Y$45&lt;&gt;"Não",1,0)</f>
        <v>1</v>
      </c>
      <c r="N328" s="38">
        <f>IF(Config!$Y$46&lt;&gt;"Não",1,0)</f>
        <v>1</v>
      </c>
      <c r="O328" s="38">
        <f>IF(Config!$Y$47&lt;&gt;"Não",1,0)</f>
        <v>1</v>
      </c>
      <c r="P328" s="38">
        <f>IF(Config!$Y$48&lt;&gt;"Não",1,0)</f>
        <v>1</v>
      </c>
      <c r="Q328" s="38">
        <f>IF(Config!$Y$49&lt;&gt;"Não",1,0)</f>
        <v>1</v>
      </c>
      <c r="R328" s="38">
        <f>IF(Config!$Y$50&lt;&gt;"Não",1,0)</f>
        <v>1</v>
      </c>
      <c r="S328" s="38">
        <f>IF(Config!$Y$51&lt;&gt;"Não",1,0)</f>
        <v>1</v>
      </c>
      <c r="T328" s="38">
        <f>IF(Config!$Y$52&lt;&gt;"Não",1,0)</f>
        <v>1</v>
      </c>
      <c r="U328" s="38">
        <f>IF(Config!$Y$53&lt;&gt;"Não",1,0)</f>
        <v>1</v>
      </c>
      <c r="V328" s="38">
        <f>IF(Config!$Y$54&lt;&gt;"Não",1,0)</f>
        <v>1</v>
      </c>
    </row>
    <row r="329">
      <c r="A329" s="65" t="inlineStr">
        <is>
          <t xml:space="preserve">OCUPAÇÃO (P.P) · Posições Disponíveis</t>
        </is>
      </c>
      <c r="B329" s="39">
        <f>IF(OR($B$2="Todos",$C$2=2),1,IFERROR(INDEX($C$329:$V$329,MATCH($D$2,$C$306:$V$306,0)),1))</f>
        <v>1</v>
      </c>
      <c r="C329" s="38">
        <f>IF(Config!$Z$35&lt;&gt;"Não",1,0)</f>
        <v>1</v>
      </c>
      <c r="D329" s="38">
        <f>IF(Config!$Z$36&lt;&gt;"Não",1,0)</f>
        <v>1</v>
      </c>
      <c r="E329" s="38">
        <f>IF(Config!$Z$37&lt;&gt;"Não",1,0)</f>
        <v>1</v>
      </c>
      <c r="F329" s="38">
        <f>IF(Config!$Z$38&lt;&gt;"Não",1,0)</f>
        <v>1</v>
      </c>
      <c r="G329" s="38">
        <f>IF(Config!$Z$39&lt;&gt;"Não",1,0)</f>
        <v>1</v>
      </c>
      <c r="H329" s="38">
        <f>IF(Config!$Z$40&lt;&gt;"Não",1,0)</f>
        <v>1</v>
      </c>
      <c r="I329" s="38">
        <f>IF(Config!$Z$41&lt;&gt;"Não",1,0)</f>
        <v>1</v>
      </c>
      <c r="J329" s="38">
        <f>IF(Config!$Z$42&lt;&gt;"Não",1,0)</f>
        <v>1</v>
      </c>
      <c r="K329" s="38">
        <f>IF(Config!$Z$43&lt;&gt;"Não",1,0)</f>
        <v>1</v>
      </c>
      <c r="L329" s="38">
        <f>IF(Config!$Z$44&lt;&gt;"Não",1,0)</f>
        <v>1</v>
      </c>
      <c r="M329" s="38">
        <f>IF(Config!$Z$45&lt;&gt;"Não",1,0)</f>
        <v>1</v>
      </c>
      <c r="N329" s="38">
        <f>IF(Config!$Z$46&lt;&gt;"Não",1,0)</f>
        <v>1</v>
      </c>
      <c r="O329" s="38">
        <f>IF(Config!$Z$47&lt;&gt;"Não",1,0)</f>
        <v>1</v>
      </c>
      <c r="P329" s="38">
        <f>IF(Config!$Z$48&lt;&gt;"Não",1,0)</f>
        <v>1</v>
      </c>
      <c r="Q329" s="38">
        <f>IF(Config!$Z$49&lt;&gt;"Não",1,0)</f>
        <v>1</v>
      </c>
      <c r="R329" s="38">
        <f>IF(Config!$Z$50&lt;&gt;"Não",1,0)</f>
        <v>1</v>
      </c>
      <c r="S329" s="38">
        <f>IF(Config!$Z$51&lt;&gt;"Não",1,0)</f>
        <v>1</v>
      </c>
      <c r="T329" s="38">
        <f>IF(Config!$Z$52&lt;&gt;"Não",1,0)</f>
        <v>1</v>
      </c>
      <c r="U329" s="38">
        <f>IF(Config!$Z$53&lt;&gt;"Não",1,0)</f>
        <v>1</v>
      </c>
      <c r="V329" s="38">
        <f>IF(Config!$Z$54&lt;&gt;"Não",1,0)</f>
        <v>1</v>
      </c>
    </row>
    <row r="330">
      <c r="A330" s="65" t="inlineStr">
        <is>
          <t xml:space="preserve">OCUPAÇÃO (P.P) · Posições Ocupadas</t>
        </is>
      </c>
      <c r="B330" s="39">
        <f>IF(OR($B$2="Todos",$C$2=2),1,IFERROR(INDEX($C$330:$V$330,MATCH($D$2,$C$306:$V$306,0)),1))</f>
        <v>1</v>
      </c>
      <c r="C330" s="38">
        <f>IF(Config!$AA$35&lt;&gt;"Não",1,0)</f>
        <v>1</v>
      </c>
      <c r="D330" s="38">
        <f>IF(Config!$AA$36&lt;&gt;"Não",1,0)</f>
        <v>1</v>
      </c>
      <c r="E330" s="38">
        <f>IF(Config!$AA$37&lt;&gt;"Não",1,0)</f>
        <v>1</v>
      </c>
      <c r="F330" s="38">
        <f>IF(Config!$AA$38&lt;&gt;"Não",1,0)</f>
        <v>1</v>
      </c>
      <c r="G330" s="38">
        <f>IF(Config!$AA$39&lt;&gt;"Não",1,0)</f>
        <v>1</v>
      </c>
      <c r="H330" s="38">
        <f>IF(Config!$AA$40&lt;&gt;"Não",1,0)</f>
        <v>1</v>
      </c>
      <c r="I330" s="38">
        <f>IF(Config!$AA$41&lt;&gt;"Não",1,0)</f>
        <v>1</v>
      </c>
      <c r="J330" s="38">
        <f>IF(Config!$AA$42&lt;&gt;"Não",1,0)</f>
        <v>1</v>
      </c>
      <c r="K330" s="38">
        <f>IF(Config!$AA$43&lt;&gt;"Não",1,0)</f>
        <v>1</v>
      </c>
      <c r="L330" s="38">
        <f>IF(Config!$AA$44&lt;&gt;"Não",1,0)</f>
        <v>1</v>
      </c>
      <c r="M330" s="38">
        <f>IF(Config!$AA$45&lt;&gt;"Não",1,0)</f>
        <v>1</v>
      </c>
      <c r="N330" s="38">
        <f>IF(Config!$AA$46&lt;&gt;"Não",1,0)</f>
        <v>1</v>
      </c>
      <c r="O330" s="38">
        <f>IF(Config!$AA$47&lt;&gt;"Não",1,0)</f>
        <v>1</v>
      </c>
      <c r="P330" s="38">
        <f>IF(Config!$AA$48&lt;&gt;"Não",1,0)</f>
        <v>1</v>
      </c>
      <c r="Q330" s="38">
        <f>IF(Config!$AA$49&lt;&gt;"Não",1,0)</f>
        <v>1</v>
      </c>
      <c r="R330" s="38">
        <f>IF(Config!$AA$50&lt;&gt;"Não",1,0)</f>
        <v>1</v>
      </c>
      <c r="S330" s="38">
        <f>IF(Config!$AA$51&lt;&gt;"Não",1,0)</f>
        <v>1</v>
      </c>
      <c r="T330" s="38">
        <f>IF(Config!$AA$52&lt;&gt;"Não",1,0)</f>
        <v>1</v>
      </c>
      <c r="U330" s="38">
        <f>IF(Config!$AA$53&lt;&gt;"Não",1,0)</f>
        <v>1</v>
      </c>
      <c r="V330" s="38">
        <f>IF(Config!$AA$54&lt;&gt;"Não",1,0)</f>
        <v>1</v>
      </c>
    </row>
    <row r="331">
      <c r="A331" s="65" t="inlineStr">
        <is>
          <t xml:space="preserve">OCUPAÇÃO (P.P) · Taxa de Ocupação</t>
        </is>
      </c>
      <c r="B331" s="39">
        <f>IF(OR($B$2="Todos",$C$2=2),1,IFERROR(INDEX($C$331:$V$331,MATCH($D$2,$C$306:$V$306,0)),1))</f>
        <v>1</v>
      </c>
      <c r="C331" s="38">
        <f>IF(AND(Config!$Z$35&lt;&gt;"Não",Config!$AA$35&lt;&gt;"Não"),1,0)</f>
        <v>1</v>
      </c>
      <c r="D331" s="38">
        <f>IF(AND(Config!$Z$36&lt;&gt;"Não",Config!$AA$36&lt;&gt;"Não"),1,0)</f>
        <v>1</v>
      </c>
      <c r="E331" s="38">
        <f>IF(AND(Config!$Z$37&lt;&gt;"Não",Config!$AA$37&lt;&gt;"Não"),1,0)</f>
        <v>1</v>
      </c>
      <c r="F331" s="38">
        <f>IF(AND(Config!$Z$38&lt;&gt;"Não",Config!$AA$38&lt;&gt;"Não"),1,0)</f>
        <v>1</v>
      </c>
      <c r="G331" s="38">
        <f>IF(AND(Config!$Z$39&lt;&gt;"Não",Config!$AA$39&lt;&gt;"Não"),1,0)</f>
        <v>1</v>
      </c>
      <c r="H331" s="38">
        <f>IF(AND(Config!$Z$40&lt;&gt;"Não",Config!$AA$40&lt;&gt;"Não"),1,0)</f>
        <v>1</v>
      </c>
      <c r="I331" s="38">
        <f>IF(AND(Config!$Z$41&lt;&gt;"Não",Config!$AA$41&lt;&gt;"Não"),1,0)</f>
        <v>1</v>
      </c>
      <c r="J331" s="38">
        <f>IF(AND(Config!$Z$42&lt;&gt;"Não",Config!$AA$42&lt;&gt;"Não"),1,0)</f>
        <v>1</v>
      </c>
      <c r="K331" s="38">
        <f>IF(AND(Config!$Z$43&lt;&gt;"Não",Config!$AA$43&lt;&gt;"Não"),1,0)</f>
        <v>1</v>
      </c>
      <c r="L331" s="38">
        <f>IF(AND(Config!$Z$44&lt;&gt;"Não",Config!$AA$44&lt;&gt;"Não"),1,0)</f>
        <v>1</v>
      </c>
      <c r="M331" s="38">
        <f>IF(AND(Config!$Z$45&lt;&gt;"Não",Config!$AA$45&lt;&gt;"Não"),1,0)</f>
        <v>1</v>
      </c>
      <c r="N331" s="38">
        <f>IF(AND(Config!$Z$46&lt;&gt;"Não",Config!$AA$46&lt;&gt;"Não"),1,0)</f>
        <v>1</v>
      </c>
      <c r="O331" s="38">
        <f>IF(AND(Config!$Z$47&lt;&gt;"Não",Config!$AA$47&lt;&gt;"Não"),1,0)</f>
        <v>1</v>
      </c>
      <c r="P331" s="38">
        <f>IF(AND(Config!$Z$48&lt;&gt;"Não",Config!$AA$48&lt;&gt;"Não"),1,0)</f>
        <v>1</v>
      </c>
      <c r="Q331" s="38">
        <f>IF(AND(Config!$Z$49&lt;&gt;"Não",Config!$AA$49&lt;&gt;"Não"),1,0)</f>
        <v>1</v>
      </c>
      <c r="R331" s="38">
        <f>IF(AND(Config!$Z$50&lt;&gt;"Não",Config!$AA$50&lt;&gt;"Não"),1,0)</f>
        <v>1</v>
      </c>
      <c r="S331" s="38">
        <f>IF(AND(Config!$Z$51&lt;&gt;"Não",Config!$AA$51&lt;&gt;"Não"),1,0)</f>
        <v>1</v>
      </c>
      <c r="T331" s="38">
        <f>IF(AND(Config!$Z$52&lt;&gt;"Não",Config!$AA$52&lt;&gt;"Não"),1,0)</f>
        <v>1</v>
      </c>
      <c r="U331" s="38">
        <f>IF(AND(Config!$Z$53&lt;&gt;"Não",Config!$AA$53&lt;&gt;"Não"),1,0)</f>
        <v>1</v>
      </c>
      <c r="V331" s="38">
        <f>IF(AND(Config!$Z$54&lt;&gt;"Não",Config!$AA$54&lt;&gt;"Não"),1,0)</f>
        <v>1</v>
      </c>
    </row>
    <row r="332">
      <c r="A332" s="65" t="inlineStr">
        <is>
          <t xml:space="preserve">GENTE · Efetivo Op.</t>
        </is>
      </c>
      <c r="B332" s="39">
        <f>IF(OR($B$2="Todos",$C$2=2),1,IFERROR(INDEX($C$332:$V$332,MATCH($D$2,$C$306:$V$306,0)),1))</f>
        <v>1</v>
      </c>
      <c r="C332" s="38">
        <f>IF(Config!$AB$35&lt;&gt;"Não",1,0)</f>
        <v>1</v>
      </c>
      <c r="D332" s="38">
        <f>IF(Config!$AB$36&lt;&gt;"Não",1,0)</f>
        <v>1</v>
      </c>
      <c r="E332" s="38">
        <f>IF(Config!$AB$37&lt;&gt;"Não",1,0)</f>
        <v>1</v>
      </c>
      <c r="F332" s="38">
        <f>IF(Config!$AB$38&lt;&gt;"Não",1,0)</f>
        <v>1</v>
      </c>
      <c r="G332" s="38">
        <f>IF(Config!$AB$39&lt;&gt;"Não",1,0)</f>
        <v>1</v>
      </c>
      <c r="H332" s="38">
        <f>IF(Config!$AB$40&lt;&gt;"Não",1,0)</f>
        <v>1</v>
      </c>
      <c r="I332" s="38">
        <f>IF(Config!$AB$41&lt;&gt;"Não",1,0)</f>
        <v>1</v>
      </c>
      <c r="J332" s="38">
        <f>IF(Config!$AB$42&lt;&gt;"Não",1,0)</f>
        <v>1</v>
      </c>
      <c r="K332" s="38">
        <f>IF(Config!$AB$43&lt;&gt;"Não",1,0)</f>
        <v>1</v>
      </c>
      <c r="L332" s="38">
        <f>IF(Config!$AB$44&lt;&gt;"Não",1,0)</f>
        <v>1</v>
      </c>
      <c r="M332" s="38">
        <f>IF(Config!$AB$45&lt;&gt;"Não",1,0)</f>
        <v>1</v>
      </c>
      <c r="N332" s="38">
        <f>IF(Config!$AB$46&lt;&gt;"Não",1,0)</f>
        <v>1</v>
      </c>
      <c r="O332" s="38">
        <f>IF(Config!$AB$47&lt;&gt;"Não",1,0)</f>
        <v>1</v>
      </c>
      <c r="P332" s="38">
        <f>IF(Config!$AB$48&lt;&gt;"Não",1,0)</f>
        <v>1</v>
      </c>
      <c r="Q332" s="38">
        <f>IF(Config!$AB$49&lt;&gt;"Não",1,0)</f>
        <v>1</v>
      </c>
      <c r="R332" s="38">
        <f>IF(Config!$AB$50&lt;&gt;"Não",1,0)</f>
        <v>1</v>
      </c>
      <c r="S332" s="38">
        <f>IF(Config!$AB$51&lt;&gt;"Não",1,0)</f>
        <v>1</v>
      </c>
      <c r="T332" s="38">
        <f>IF(Config!$AB$52&lt;&gt;"Não",1,0)</f>
        <v>1</v>
      </c>
      <c r="U332" s="38">
        <f>IF(Config!$AB$53&lt;&gt;"Não",1,0)</f>
        <v>1</v>
      </c>
      <c r="V332" s="38">
        <f>IF(Config!$AB$54&lt;&gt;"Não",1,0)</f>
        <v>1</v>
      </c>
    </row>
    <row r="333">
      <c r="A333" s="65" t="inlineStr">
        <is>
          <t xml:space="preserve">GENTE · Falta</t>
        </is>
      </c>
      <c r="B333" s="39">
        <f>IF(OR($B$2="Todos",$C$2=2),1,IFERROR(INDEX($C$333:$V$333,MATCH($D$2,$C$306:$V$306,0)),1))</f>
        <v>1</v>
      </c>
      <c r="C333" s="38">
        <f>IF(Config!$AC$35&lt;&gt;"Não",1,0)</f>
        <v>1</v>
      </c>
      <c r="D333" s="38">
        <f>IF(Config!$AC$36&lt;&gt;"Não",1,0)</f>
        <v>1</v>
      </c>
      <c r="E333" s="38">
        <f>IF(Config!$AC$37&lt;&gt;"Não",1,0)</f>
        <v>1</v>
      </c>
      <c r="F333" s="38">
        <f>IF(Config!$AC$38&lt;&gt;"Não",1,0)</f>
        <v>1</v>
      </c>
      <c r="G333" s="38">
        <f>IF(Config!$AC$39&lt;&gt;"Não",1,0)</f>
        <v>1</v>
      </c>
      <c r="H333" s="38">
        <f>IF(Config!$AC$40&lt;&gt;"Não",1,0)</f>
        <v>1</v>
      </c>
      <c r="I333" s="38">
        <f>IF(Config!$AC$41&lt;&gt;"Não",1,0)</f>
        <v>1</v>
      </c>
      <c r="J333" s="38">
        <f>IF(Config!$AC$42&lt;&gt;"Não",1,0)</f>
        <v>1</v>
      </c>
      <c r="K333" s="38">
        <f>IF(Config!$AC$43&lt;&gt;"Não",1,0)</f>
        <v>1</v>
      </c>
      <c r="L333" s="38">
        <f>IF(Config!$AC$44&lt;&gt;"Não",1,0)</f>
        <v>1</v>
      </c>
      <c r="M333" s="38">
        <f>IF(Config!$AC$45&lt;&gt;"Não",1,0)</f>
        <v>1</v>
      </c>
      <c r="N333" s="38">
        <f>IF(Config!$AC$46&lt;&gt;"Não",1,0)</f>
        <v>1</v>
      </c>
      <c r="O333" s="38">
        <f>IF(Config!$AC$47&lt;&gt;"Não",1,0)</f>
        <v>1</v>
      </c>
      <c r="P333" s="38">
        <f>IF(Config!$AC$48&lt;&gt;"Não",1,0)</f>
        <v>1</v>
      </c>
      <c r="Q333" s="38">
        <f>IF(Config!$AC$49&lt;&gt;"Não",1,0)</f>
        <v>1</v>
      </c>
      <c r="R333" s="38">
        <f>IF(Config!$AC$50&lt;&gt;"Não",1,0)</f>
        <v>1</v>
      </c>
      <c r="S333" s="38">
        <f>IF(Config!$AC$51&lt;&gt;"Não",1,0)</f>
        <v>1</v>
      </c>
      <c r="T333" s="38">
        <f>IF(Config!$AC$52&lt;&gt;"Não",1,0)</f>
        <v>1</v>
      </c>
      <c r="U333" s="38">
        <f>IF(Config!$AC$53&lt;&gt;"Não",1,0)</f>
        <v>1</v>
      </c>
      <c r="V333" s="38">
        <f>IF(Config!$AC$54&lt;&gt;"Não",1,0)</f>
        <v>1</v>
      </c>
    </row>
    <row r="334">
      <c r="A334" s="65" t="inlineStr">
        <is>
          <t xml:space="preserve">GENTE · Folga</t>
        </is>
      </c>
      <c r="B334" s="39">
        <f>IF(OR($B$2="Todos",$C$2=2),1,IFERROR(INDEX($C$334:$V$334,MATCH($D$2,$C$306:$V$306,0)),1))</f>
        <v>1</v>
      </c>
      <c r="C334" s="38">
        <f>IF(Config!$AD$35&lt;&gt;"Não",1,0)</f>
        <v>1</v>
      </c>
      <c r="D334" s="38">
        <f>IF(Config!$AD$36&lt;&gt;"Não",1,0)</f>
        <v>1</v>
      </c>
      <c r="E334" s="38">
        <f>IF(Config!$AD$37&lt;&gt;"Não",1,0)</f>
        <v>1</v>
      </c>
      <c r="F334" s="38">
        <f>IF(Config!$AD$38&lt;&gt;"Não",1,0)</f>
        <v>1</v>
      </c>
      <c r="G334" s="38">
        <f>IF(Config!$AD$39&lt;&gt;"Não",1,0)</f>
        <v>1</v>
      </c>
      <c r="H334" s="38">
        <f>IF(Config!$AD$40&lt;&gt;"Não",1,0)</f>
        <v>1</v>
      </c>
      <c r="I334" s="38">
        <f>IF(Config!$AD$41&lt;&gt;"Não",1,0)</f>
        <v>1</v>
      </c>
      <c r="J334" s="38">
        <f>IF(Config!$AD$42&lt;&gt;"Não",1,0)</f>
        <v>1</v>
      </c>
      <c r="K334" s="38">
        <f>IF(Config!$AD$43&lt;&gt;"Não",1,0)</f>
        <v>1</v>
      </c>
      <c r="L334" s="38">
        <f>IF(Config!$AD$44&lt;&gt;"Não",1,0)</f>
        <v>1</v>
      </c>
      <c r="M334" s="38">
        <f>IF(Config!$AD$45&lt;&gt;"Não",1,0)</f>
        <v>1</v>
      </c>
      <c r="N334" s="38">
        <f>IF(Config!$AD$46&lt;&gt;"Não",1,0)</f>
        <v>1</v>
      </c>
      <c r="O334" s="38">
        <f>IF(Config!$AD$47&lt;&gt;"Não",1,0)</f>
        <v>1</v>
      </c>
      <c r="P334" s="38">
        <f>IF(Config!$AD$48&lt;&gt;"Não",1,0)</f>
        <v>1</v>
      </c>
      <c r="Q334" s="38">
        <f>IF(Config!$AD$49&lt;&gt;"Não",1,0)</f>
        <v>1</v>
      </c>
      <c r="R334" s="38">
        <f>IF(Config!$AD$50&lt;&gt;"Não",1,0)</f>
        <v>1</v>
      </c>
      <c r="S334" s="38">
        <f>IF(Config!$AD$51&lt;&gt;"Não",1,0)</f>
        <v>1</v>
      </c>
      <c r="T334" s="38">
        <f>IF(Config!$AD$52&lt;&gt;"Não",1,0)</f>
        <v>1</v>
      </c>
      <c r="U334" s="38">
        <f>IF(Config!$AD$53&lt;&gt;"Não",1,0)</f>
        <v>1</v>
      </c>
      <c r="V334" s="38">
        <f>IF(Config!$AD$54&lt;&gt;"Não",1,0)</f>
        <v>1</v>
      </c>
    </row>
    <row r="335">
      <c r="A335" s="65" t="inlineStr">
        <is>
          <t xml:space="preserve">GENTE · Férias</t>
        </is>
      </c>
      <c r="B335" s="39">
        <f>IF(OR($B$2="Todos",$C$2=2),1,IFERROR(INDEX($C$335:$V$335,MATCH($D$2,$C$306:$V$306,0)),1))</f>
        <v>1</v>
      </c>
      <c r="C335" s="38">
        <f>IF(Config!$AE$35&lt;&gt;"Não",1,0)</f>
        <v>1</v>
      </c>
      <c r="D335" s="38">
        <f>IF(Config!$AE$36&lt;&gt;"Não",1,0)</f>
        <v>1</v>
      </c>
      <c r="E335" s="38">
        <f>IF(Config!$AE$37&lt;&gt;"Não",1,0)</f>
        <v>1</v>
      </c>
      <c r="F335" s="38">
        <f>IF(Config!$AE$38&lt;&gt;"Não",1,0)</f>
        <v>1</v>
      </c>
      <c r="G335" s="38">
        <f>IF(Config!$AE$39&lt;&gt;"Não",1,0)</f>
        <v>1</v>
      </c>
      <c r="H335" s="38">
        <f>IF(Config!$AE$40&lt;&gt;"Não",1,0)</f>
        <v>1</v>
      </c>
      <c r="I335" s="38">
        <f>IF(Config!$AE$41&lt;&gt;"Não",1,0)</f>
        <v>1</v>
      </c>
      <c r="J335" s="38">
        <f>IF(Config!$AE$42&lt;&gt;"Não",1,0)</f>
        <v>1</v>
      </c>
      <c r="K335" s="38">
        <f>IF(Config!$AE$43&lt;&gt;"Não",1,0)</f>
        <v>1</v>
      </c>
      <c r="L335" s="38">
        <f>IF(Config!$AE$44&lt;&gt;"Não",1,0)</f>
        <v>1</v>
      </c>
      <c r="M335" s="38">
        <f>IF(Config!$AE$45&lt;&gt;"Não",1,0)</f>
        <v>1</v>
      </c>
      <c r="N335" s="38">
        <f>IF(Config!$AE$46&lt;&gt;"Não",1,0)</f>
        <v>1</v>
      </c>
      <c r="O335" s="38">
        <f>IF(Config!$AE$47&lt;&gt;"Não",1,0)</f>
        <v>1</v>
      </c>
      <c r="P335" s="38">
        <f>IF(Config!$AE$48&lt;&gt;"Não",1,0)</f>
        <v>1</v>
      </c>
      <c r="Q335" s="38">
        <f>IF(Config!$AE$49&lt;&gt;"Não",1,0)</f>
        <v>1</v>
      </c>
      <c r="R335" s="38">
        <f>IF(Config!$AE$50&lt;&gt;"Não",1,0)</f>
        <v>1</v>
      </c>
      <c r="S335" s="38">
        <f>IF(Config!$AE$51&lt;&gt;"Não",1,0)</f>
        <v>1</v>
      </c>
      <c r="T335" s="38">
        <f>IF(Config!$AE$52&lt;&gt;"Não",1,0)</f>
        <v>1</v>
      </c>
      <c r="U335" s="38">
        <f>IF(Config!$AE$53&lt;&gt;"Não",1,0)</f>
        <v>1</v>
      </c>
      <c r="V335" s="38">
        <f>IF(Config!$AE$54&lt;&gt;"Não",1,0)</f>
        <v>1</v>
      </c>
    </row>
    <row r="336">
      <c r="A336" s="65" t="inlineStr">
        <is>
          <t xml:space="preserve">GENTE · Desligamento</t>
        </is>
      </c>
      <c r="B336" s="39">
        <f>IF(OR($B$2="Todos",$C$2=2),1,IFERROR(INDEX($C$336:$V$336,MATCH($D$2,$C$306:$V$306,0)),1))</f>
        <v>1</v>
      </c>
      <c r="C336" s="38">
        <f>IF(Config!$AF$35&lt;&gt;"Não",1,0)</f>
        <v>1</v>
      </c>
      <c r="D336" s="38">
        <f>IF(Config!$AF$36&lt;&gt;"Não",1,0)</f>
        <v>1</v>
      </c>
      <c r="E336" s="38">
        <f>IF(Config!$AF$37&lt;&gt;"Não",1,0)</f>
        <v>1</v>
      </c>
      <c r="F336" s="38">
        <f>IF(Config!$AF$38&lt;&gt;"Não",1,0)</f>
        <v>1</v>
      </c>
      <c r="G336" s="38">
        <f>IF(Config!$AF$39&lt;&gt;"Não",1,0)</f>
        <v>1</v>
      </c>
      <c r="H336" s="38">
        <f>IF(Config!$AF$40&lt;&gt;"Não",1,0)</f>
        <v>1</v>
      </c>
      <c r="I336" s="38">
        <f>IF(Config!$AF$41&lt;&gt;"Não",1,0)</f>
        <v>1</v>
      </c>
      <c r="J336" s="38">
        <f>IF(Config!$AF$42&lt;&gt;"Não",1,0)</f>
        <v>1</v>
      </c>
      <c r="K336" s="38">
        <f>IF(Config!$AF$43&lt;&gt;"Não",1,0)</f>
        <v>1</v>
      </c>
      <c r="L336" s="38">
        <f>IF(Config!$AF$44&lt;&gt;"Não",1,0)</f>
        <v>1</v>
      </c>
      <c r="M336" s="38">
        <f>IF(Config!$AF$45&lt;&gt;"Não",1,0)</f>
        <v>1</v>
      </c>
      <c r="N336" s="38">
        <f>IF(Config!$AF$46&lt;&gt;"Não",1,0)</f>
        <v>1</v>
      </c>
      <c r="O336" s="38">
        <f>IF(Config!$AF$47&lt;&gt;"Não",1,0)</f>
        <v>1</v>
      </c>
      <c r="P336" s="38">
        <f>IF(Config!$AF$48&lt;&gt;"Não",1,0)</f>
        <v>1</v>
      </c>
      <c r="Q336" s="38">
        <f>IF(Config!$AF$49&lt;&gt;"Não",1,0)</f>
        <v>1</v>
      </c>
      <c r="R336" s="38">
        <f>IF(Config!$AF$50&lt;&gt;"Não",1,0)</f>
        <v>1</v>
      </c>
      <c r="S336" s="38">
        <f>IF(Config!$AF$51&lt;&gt;"Não",1,0)</f>
        <v>1</v>
      </c>
      <c r="T336" s="38">
        <f>IF(Config!$AF$52&lt;&gt;"Não",1,0)</f>
        <v>1</v>
      </c>
      <c r="U336" s="38">
        <f>IF(Config!$AF$53&lt;&gt;"Não",1,0)</f>
        <v>1</v>
      </c>
      <c r="V336" s="38">
        <f>IF(Config!$AF$54&lt;&gt;"Não",1,0)</f>
        <v>1</v>
      </c>
    </row>
    <row r="337">
      <c r="A337" s="65" t="inlineStr">
        <is>
          <t xml:space="preserve">GENTE · Desvios Comportamentais</t>
        </is>
      </c>
      <c r="B337" s="39">
        <f>IF(OR($B$2="Todos",$C$2=2),1,IFERROR(INDEX($C$337:$V$337,MATCH($D$2,$C$306:$V$306,0)),1))</f>
        <v>1</v>
      </c>
      <c r="C337" s="38">
        <f>IF(Config!$AG$35&lt;&gt;"Não",1,0)</f>
        <v>1</v>
      </c>
      <c r="D337" s="38">
        <f>IF(Config!$AG$36&lt;&gt;"Não",1,0)</f>
        <v>1</v>
      </c>
      <c r="E337" s="38">
        <f>IF(Config!$AG$37&lt;&gt;"Não",1,0)</f>
        <v>1</v>
      </c>
      <c r="F337" s="38">
        <f>IF(Config!$AG$38&lt;&gt;"Não",1,0)</f>
        <v>1</v>
      </c>
      <c r="G337" s="38">
        <f>IF(Config!$AG$39&lt;&gt;"Não",1,0)</f>
        <v>1</v>
      </c>
      <c r="H337" s="38">
        <f>IF(Config!$AG$40&lt;&gt;"Não",1,0)</f>
        <v>1</v>
      </c>
      <c r="I337" s="38">
        <f>IF(Config!$AG$41&lt;&gt;"Não",1,0)</f>
        <v>1</v>
      </c>
      <c r="J337" s="38">
        <f>IF(Config!$AG$42&lt;&gt;"Não",1,0)</f>
        <v>1</v>
      </c>
      <c r="K337" s="38">
        <f>IF(Config!$AG$43&lt;&gt;"Não",1,0)</f>
        <v>1</v>
      </c>
      <c r="L337" s="38">
        <f>IF(Config!$AG$44&lt;&gt;"Não",1,0)</f>
        <v>1</v>
      </c>
      <c r="M337" s="38">
        <f>IF(Config!$AG$45&lt;&gt;"Não",1,0)</f>
        <v>1</v>
      </c>
      <c r="N337" s="38">
        <f>IF(Config!$AG$46&lt;&gt;"Não",1,0)</f>
        <v>1</v>
      </c>
      <c r="O337" s="38">
        <f>IF(Config!$AG$47&lt;&gt;"Não",1,0)</f>
        <v>1</v>
      </c>
      <c r="P337" s="38">
        <f>IF(Config!$AG$48&lt;&gt;"Não",1,0)</f>
        <v>1</v>
      </c>
      <c r="Q337" s="38">
        <f>IF(Config!$AG$49&lt;&gt;"Não",1,0)</f>
        <v>1</v>
      </c>
      <c r="R337" s="38">
        <f>IF(Config!$AG$50&lt;&gt;"Não",1,0)</f>
        <v>1</v>
      </c>
      <c r="S337" s="38">
        <f>IF(Config!$AG$51&lt;&gt;"Não",1,0)</f>
        <v>1</v>
      </c>
      <c r="T337" s="38">
        <f>IF(Config!$AG$52&lt;&gt;"Não",1,0)</f>
        <v>1</v>
      </c>
      <c r="U337" s="38">
        <f>IF(Config!$AG$53&lt;&gt;"Não",1,0)</f>
        <v>1</v>
      </c>
      <c r="V337" s="38">
        <f>IF(Config!$AG$54&lt;&gt;"Não",1,0)</f>
        <v>1</v>
      </c>
    </row>
    <row r="338">
      <c r="A338" s="65" t="inlineStr">
        <is>
          <t xml:space="preserve">GENTE · Acidentes CAF</t>
        </is>
      </c>
      <c r="B338" s="39">
        <f>IF(OR($B$2="Todos",$C$2=2),1,IFERROR(INDEX($C$338:$V$338,MATCH($D$2,$C$306:$V$306,0)),1))</f>
        <v>1</v>
      </c>
      <c r="C338" s="38">
        <f>IF(Config!$AH$35&lt;&gt;"Não",1,0)</f>
        <v>1</v>
      </c>
      <c r="D338" s="38">
        <f>IF(Config!$AH$36&lt;&gt;"Não",1,0)</f>
        <v>1</v>
      </c>
      <c r="E338" s="38">
        <f>IF(Config!$AH$37&lt;&gt;"Não",1,0)</f>
        <v>1</v>
      </c>
      <c r="F338" s="38">
        <f>IF(Config!$AH$38&lt;&gt;"Não",1,0)</f>
        <v>1</v>
      </c>
      <c r="G338" s="38">
        <f>IF(Config!$AH$39&lt;&gt;"Não",1,0)</f>
        <v>1</v>
      </c>
      <c r="H338" s="38">
        <f>IF(Config!$AH$40&lt;&gt;"Não",1,0)</f>
        <v>1</v>
      </c>
      <c r="I338" s="38">
        <f>IF(Config!$AH$41&lt;&gt;"Não",1,0)</f>
        <v>1</v>
      </c>
      <c r="J338" s="38">
        <f>IF(Config!$AH$42&lt;&gt;"Não",1,0)</f>
        <v>1</v>
      </c>
      <c r="K338" s="38">
        <f>IF(Config!$AH$43&lt;&gt;"Não",1,0)</f>
        <v>1</v>
      </c>
      <c r="L338" s="38">
        <f>IF(Config!$AH$44&lt;&gt;"Não",1,0)</f>
        <v>1</v>
      </c>
      <c r="M338" s="38">
        <f>IF(Config!$AH$45&lt;&gt;"Não",1,0)</f>
        <v>1</v>
      </c>
      <c r="N338" s="38">
        <f>IF(Config!$AH$46&lt;&gt;"Não",1,0)</f>
        <v>1</v>
      </c>
      <c r="O338" s="38">
        <f>IF(Config!$AH$47&lt;&gt;"Não",1,0)</f>
        <v>1</v>
      </c>
      <c r="P338" s="38">
        <f>IF(Config!$AH$48&lt;&gt;"Não",1,0)</f>
        <v>1</v>
      </c>
      <c r="Q338" s="38">
        <f>IF(Config!$AH$49&lt;&gt;"Não",1,0)</f>
        <v>1</v>
      </c>
      <c r="R338" s="38">
        <f>IF(Config!$AH$50&lt;&gt;"Não",1,0)</f>
        <v>1</v>
      </c>
      <c r="S338" s="38">
        <f>IF(Config!$AH$51&lt;&gt;"Não",1,0)</f>
        <v>1</v>
      </c>
      <c r="T338" s="38">
        <f>IF(Config!$AH$52&lt;&gt;"Não",1,0)</f>
        <v>1</v>
      </c>
      <c r="U338" s="38">
        <f>IF(Config!$AH$53&lt;&gt;"Não",1,0)</f>
        <v>1</v>
      </c>
      <c r="V338" s="38">
        <f>IF(Config!$AH$54&lt;&gt;"Não",1,0)</f>
        <v>1</v>
      </c>
    </row>
    <row r="339">
      <c r="A339" s="65" t="inlineStr">
        <is>
          <t xml:space="preserve">GENTE · Acidentes SAF</t>
        </is>
      </c>
      <c r="B339" s="39">
        <f>IF(OR($B$2="Todos",$C$2=2),1,IFERROR(INDEX($C$339:$V$339,MATCH($D$2,$C$306:$V$306,0)),1))</f>
        <v>1</v>
      </c>
      <c r="C339" s="38">
        <f>IF(Config!$AI$35&lt;&gt;"Não",1,0)</f>
        <v>1</v>
      </c>
      <c r="D339" s="38">
        <f>IF(Config!$AI$36&lt;&gt;"Não",1,0)</f>
        <v>1</v>
      </c>
      <c r="E339" s="38">
        <f>IF(Config!$AI$37&lt;&gt;"Não",1,0)</f>
        <v>1</v>
      </c>
      <c r="F339" s="38">
        <f>IF(Config!$AI$38&lt;&gt;"Não",1,0)</f>
        <v>1</v>
      </c>
      <c r="G339" s="38">
        <f>IF(Config!$AI$39&lt;&gt;"Não",1,0)</f>
        <v>1</v>
      </c>
      <c r="H339" s="38">
        <f>IF(Config!$AI$40&lt;&gt;"Não",1,0)</f>
        <v>1</v>
      </c>
      <c r="I339" s="38">
        <f>IF(Config!$AI$41&lt;&gt;"Não",1,0)</f>
        <v>1</v>
      </c>
      <c r="J339" s="38">
        <f>IF(Config!$AI$42&lt;&gt;"Não",1,0)</f>
        <v>1</v>
      </c>
      <c r="K339" s="38">
        <f>IF(Config!$AI$43&lt;&gt;"Não",1,0)</f>
        <v>1</v>
      </c>
      <c r="L339" s="38">
        <f>IF(Config!$AI$44&lt;&gt;"Não",1,0)</f>
        <v>1</v>
      </c>
      <c r="M339" s="38">
        <f>IF(Config!$AI$45&lt;&gt;"Não",1,0)</f>
        <v>1</v>
      </c>
      <c r="N339" s="38">
        <f>IF(Config!$AI$46&lt;&gt;"Não",1,0)</f>
        <v>1</v>
      </c>
      <c r="O339" s="38">
        <f>IF(Config!$AI$47&lt;&gt;"Não",1,0)</f>
        <v>1</v>
      </c>
      <c r="P339" s="38">
        <f>IF(Config!$AI$48&lt;&gt;"Não",1,0)</f>
        <v>1</v>
      </c>
      <c r="Q339" s="38">
        <f>IF(Config!$AI$49&lt;&gt;"Não",1,0)</f>
        <v>1</v>
      </c>
      <c r="R339" s="38">
        <f>IF(Config!$AI$50&lt;&gt;"Não",1,0)</f>
        <v>1</v>
      </c>
      <c r="S339" s="38">
        <f>IF(Config!$AI$51&lt;&gt;"Não",1,0)</f>
        <v>1</v>
      </c>
      <c r="T339" s="38">
        <f>IF(Config!$AI$52&lt;&gt;"Não",1,0)</f>
        <v>1</v>
      </c>
      <c r="U339" s="38">
        <f>IF(Config!$AI$53&lt;&gt;"Não",1,0)</f>
        <v>1</v>
      </c>
      <c r="V339" s="38">
        <f>IF(Config!$AI$54&lt;&gt;"Não",1,0)</f>
        <v>1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2026-10-02T14:18:49Z</dcterms:created>
</cp:coreProperties>
</file>