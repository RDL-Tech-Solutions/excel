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otection workbookPassword="CC78" lockStructure="1"/>
  <bookViews>
    <workbookView activeTab="0"/>
  </bookViews>
  <sheets>
    <sheet name="Dashboard" sheetId="1" r:id="rId1"/>
    <sheet name="Monitoramento" sheetId="2" r:id="rId2"/>
    <sheet name="Consol Mensal" sheetId="3" r:id="rId3"/>
    <sheet name="calculos" sheetId="4" state="hidden" r:id="rId4"/>
    <sheet name="BD" sheetId="5" r:id="rId5"/>
    <sheet name="Config" sheetId="6" r:id="rId6"/>
    <sheet name="calculos_quadro" sheetId="7" state="hidden" r:id="rId7"/>
  </sheets>
  <definedNames>
    <definedName name="_xlnm.Print_Area" localSheetId="0">'Dashboard'!$A$1:$Z$65</definedName>
    <definedName name="_xlnm.Print_Area" localSheetId="1">'Monitoramento'!$A$1:$AK$211</definedName>
    <definedName name="_xlnm.Print_Area" localSheetId="2">'Consol Mensal'!$A$1:$AA$75</definedName>
    <definedName name="_xlnm.Print_Area" localSheetId="5">'Config'!$A$1:$R$84</definedName>
  </definedNames>
  <calcPr calcId="191029" fullCalcOnLoad="1"/>
</workbook>
</file>

<file path=xl/styles.xml><?xml version="1.0" encoding="utf-8"?>
<styleSheet xmlns="http://schemas.openxmlformats.org/spreadsheetml/2006/main">
  <numFmts count="11">
    <numFmt numFmtId="164" formatCode="dd/mm/yyyy"/>
    <numFmt numFmtId="165" formatCode="dd/mm"/>
    <numFmt numFmtId="166" formatCode="#,##0;;"/>
    <numFmt numFmtId="167" formatCode="0.0%"/>
    <numFmt numFmtId="168" formatCode="#,##0.0"/>
    <numFmt numFmtId="169" formatCode="&quot;▲ &quot;0%&quot; vs período ant.&quot;;&quot;▼ &quot;0%&quot; vs período ant.&quot;;&quot;= período ant.&quot;"/>
    <numFmt numFmtId="170" formatCode="#,##0&quot; p.p&quot;"/>
    <numFmt numFmtId="171" formatCode="0.0%;&quot;excede &quot;0.0%"/>
    <numFmt numFmtId="172" formatCode="[$-416]d;@"/>
    <numFmt numFmtId="173" formatCode="[&gt;=1000]#,##0;#,##0.0"/>
    <numFmt numFmtId="174" formatCode="&quot;▲ &quot;0%;&quot;▼ &quot;0%;&quot;= 0%&quot;"/>
  </numFmts>
  <fonts count="33">
    <font>
      <sz val="10"/>
      <color rgb="FF000000"/>
      <name val="Calibri"/>
      <family val="2"/>
    </font>
    <font>
      <b/>
      <sz val="9"/>
      <color rgb="FF1B1B1F"/>
      <name val="Calibri"/>
      <family val="2"/>
    </font>
    <font>
      <b/>
      <sz val="9"/>
      <color rgb="FFFFFFFF"/>
      <name val="Calibri"/>
      <family val="2"/>
    </font>
    <font>
      <b/>
      <sz val="10"/>
      <color rgb="FFC00000"/>
      <name val="Calibri"/>
      <family val="2"/>
    </font>
    <font>
      <sz val="9"/>
      <color rgb="FF404040"/>
      <name val="Calibri"/>
      <family val="2"/>
    </font>
    <font>
      <b/>
      <sz val="9"/>
      <color rgb="FF000000"/>
      <name val="Calibri"/>
      <family val="2"/>
    </font>
    <font>
      <sz val="10"/>
      <color rgb="FF0000FF"/>
      <name val="Calibri"/>
      <family val="2"/>
    </font>
    <font>
      <b/>
      <sz val="11"/>
      <color rgb="FFC00000"/>
      <name val="Calibri"/>
      <family val="2"/>
    </font>
    <font>
      <b/>
      <sz val="10"/>
      <color rgb="FF000000"/>
      <name val="Calibri"/>
      <family val="2"/>
    </font>
    <font>
      <sz val="9"/>
      <color rgb="FF000000"/>
      <name val="Calibri"/>
      <family val="2"/>
    </font>
    <font>
      <i/>
      <sz val="8"/>
      <color rgb="FF7F7F7F"/>
      <name val="Calibri"/>
      <family val="2"/>
    </font>
    <font>
      <b/>
      <sz val="8"/>
      <color rgb="FFFFFFFF"/>
      <name val="Calibri"/>
      <family val="2"/>
    </font>
    <font>
      <sz val="8"/>
      <color rgb="FF000000"/>
      <name val="Calibri"/>
      <family val="2"/>
    </font>
    <font>
      <b/>
      <sz val="8"/>
      <color rgb="FF000000"/>
      <name val="Calibri"/>
      <family val="2"/>
    </font>
    <font>
      <b/>
      <sz val="14"/>
      <color rgb="FFFFFFFF"/>
      <name val="Calibri"/>
      <family val="2"/>
    </font>
    <font>
      <b/>
      <sz val="9"/>
      <color rgb="FFC00000"/>
      <name val="Calibri"/>
      <family val="2"/>
    </font>
    <font>
      <sz val="9"/>
      <color rgb="FF0000FF"/>
      <name val="Calibri"/>
      <family val="2"/>
    </font>
    <font>
      <sz val="8"/>
      <color rgb="FF9A9A9A"/>
      <name val="Calibri"/>
      <family val="2"/>
    </font>
    <font>
      <b/>
      <sz val="8"/>
      <color rgb="FF1B1B1F"/>
      <name val="Calibri"/>
      <family val="2"/>
    </font>
    <font>
      <b/>
      <sz val="16"/>
      <color rgb="FFFFFFFF"/>
      <name val="Calibri"/>
      <family val="2"/>
    </font>
    <font>
      <b/>
      <sz val="12"/>
      <color rgb="FF1B1B1F"/>
      <name val="Calibri"/>
      <family val="2"/>
    </font>
    <font>
      <b/>
      <sz val="13"/>
      <color rgb="FF000000"/>
      <name val="Calibri"/>
      <family val="2"/>
    </font>
    <font>
      <b/>
      <sz val="12"/>
      <color rgb="FF000000"/>
      <name val="Calibri"/>
      <family val="2"/>
    </font>
    <font>
      <b/>
      <sz val="11"/>
      <color rgb="FF595959"/>
      <name val="Calibri"/>
      <family val="2"/>
    </font>
    <font>
      <sz val="9"/>
      <color rgb="FF7F7F7F"/>
      <name val="Calibri"/>
      <family val="2"/>
    </font>
    <font>
      <b/>
      <sz val="11"/>
      <color rgb="FF1B1B1F"/>
      <name val="Calibri"/>
      <family val="2"/>
    </font>
    <font>
      <b/>
      <sz val="30"/>
      <color rgb="FF1B1B1F"/>
      <name val="Calibri"/>
      <family val="2"/>
    </font>
    <font>
      <b/>
      <sz val="10"/>
      <color rgb="FF595959"/>
      <name val="Calibri"/>
      <family val="2"/>
    </font>
    <font>
      <sz val="10"/>
      <color rgb="FF6E7078"/>
      <name val="Calibri"/>
      <family val="2"/>
    </font>
    <font>
      <b/>
      <sz val="10"/>
      <color rgb="FF7F7F7F"/>
      <name val="Calibri"/>
      <family val="2"/>
    </font>
    <font>
      <b/>
      <sz val="9"/>
      <color rgb="FF6E7078"/>
      <name val="Calibri"/>
      <family val="2"/>
    </font>
    <font>
      <i/>
      <sz val="8"/>
      <color rgb="FF9A9A9A"/>
      <name val="Calibri"/>
      <family val="2"/>
    </font>
    <font>
      <b/>
      <sz val="11"/>
      <color rgb="FF000000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E7E6E6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FFF2CB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1B1B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DADADA"/>
        <bgColor indexed="64"/>
      </patternFill>
    </fill>
    <fill>
      <patternFill patternType="solid">
        <fgColor rgb="FFF2F2F2"/>
        <bgColor indexed="64"/>
      </patternFill>
    </fill>
  </fills>
  <borders count="5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hair">
        <color rgb="FFBFBFBF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E01E1E"/>
      </left>
      <right/>
      <top style="medium">
        <color rgb="FFE01E1E"/>
      </top>
      <bottom style="medium">
        <color rgb="FFE01E1E"/>
      </bottom>
      <diagonal/>
    </border>
    <border>
      <left/>
      <right/>
      <top style="medium">
        <color rgb="FFE01E1E"/>
      </top>
      <bottom style="medium">
        <color rgb="FFE01E1E"/>
      </bottom>
      <diagonal/>
    </border>
    <border>
      <left/>
      <right style="medium">
        <color rgb="FFE01E1E"/>
      </right>
      <top style="medium">
        <color rgb="FFE01E1E"/>
      </top>
      <bottom style="medium">
        <color rgb="FFE01E1E"/>
      </bottom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/>
      <right/>
      <top style="thick">
        <color rgb="FFE01E1E"/>
      </top>
      <bottom/>
      <diagonal/>
    </border>
    <border>
      <left/>
      <right/>
      <top/>
      <bottom style="hair">
        <color rgb="FFC9CBD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dotted">
        <color rgb="FF7F7F7F"/>
      </right>
      <top style="medium">
        <color rgb="FF000000"/>
      </top>
      <bottom style="medium">
        <color rgb="FF000000"/>
      </bottom>
      <diagonal/>
    </border>
    <border>
      <left style="dotted">
        <color rgb="FF7F7F7F"/>
      </left>
      <right style="dotted">
        <color rgb="FF7F7F7F"/>
      </right>
      <top style="medium">
        <color rgb="FF000000"/>
      </top>
      <bottom style="medium">
        <color rgb="FF000000"/>
      </bottom>
      <diagonal/>
    </border>
    <border>
      <left style="dotted">
        <color rgb="FF7F7F7F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dotted">
        <color rgb="FF7F7F7F"/>
      </right>
      <top style="medium">
        <color rgb="FF000000"/>
      </top>
      <bottom style="dotted">
        <color rgb="FF7F7F7F"/>
      </bottom>
      <diagonal/>
    </border>
    <border>
      <left style="dotted">
        <color rgb="FF7F7F7F"/>
      </left>
      <right style="dotted">
        <color rgb="FF7F7F7F"/>
      </right>
      <top style="medium">
        <color rgb="FF000000"/>
      </top>
      <bottom style="dotted">
        <color rgb="FF7F7F7F"/>
      </bottom>
      <diagonal/>
    </border>
    <border>
      <left style="dotted">
        <color rgb="FF7F7F7F"/>
      </left>
      <right style="medium">
        <color rgb="FF000000"/>
      </right>
      <top style="medium">
        <color rgb="FF000000"/>
      </top>
      <bottom style="dotted">
        <color rgb="FF7F7F7F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dotted">
        <color rgb="FF7F7F7F"/>
      </bottom>
      <diagonal/>
    </border>
    <border>
      <left style="medium">
        <color rgb="FF000000"/>
      </left>
      <right style="dotted">
        <color rgb="FF7F7F7F"/>
      </right>
      <top/>
      <bottom style="medium">
        <color rgb="FF000000"/>
      </bottom>
      <diagonal/>
    </border>
    <border>
      <left style="dotted">
        <color rgb="FF7F7F7F"/>
      </left>
      <right style="dotted">
        <color rgb="FF7F7F7F"/>
      </right>
      <top/>
      <bottom style="medium">
        <color rgb="FF000000"/>
      </bottom>
      <diagonal/>
    </border>
    <border>
      <left style="dotted">
        <color rgb="FF7F7F7F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dotted">
        <color rgb="FF7F7F7F"/>
      </right>
      <top/>
      <bottom style="dotted">
        <color rgb="FF7F7F7F"/>
      </bottom>
      <diagonal/>
    </border>
    <border>
      <left style="dotted">
        <color rgb="FF7F7F7F"/>
      </left>
      <right style="dotted">
        <color rgb="FF7F7F7F"/>
      </right>
      <top/>
      <bottom style="dotted">
        <color rgb="FF7F7F7F"/>
      </bottom>
      <diagonal/>
    </border>
    <border>
      <left style="dotted">
        <color rgb="FF7F7F7F"/>
      </left>
      <right style="medium">
        <color rgb="FF000000"/>
      </right>
      <top/>
      <bottom style="dotted">
        <color rgb="FF7F7F7F"/>
      </bottom>
      <diagonal/>
    </border>
    <border>
      <left style="medium">
        <color rgb="FF000000"/>
      </left>
      <right style="medium">
        <color rgb="FF000000"/>
      </right>
      <top/>
      <bottom style="dotted">
        <color rgb="FF7F7F7F"/>
      </bottom>
      <diagonal/>
    </border>
    <border>
      <left/>
      <right/>
      <top/>
      <bottom style="medium">
        <color rgb="FF595959"/>
      </bottom>
      <diagonal/>
    </border>
    <border>
      <left style="hair">
        <color rgb="FF7F7F7F"/>
      </left>
      <right/>
      <top style="medium">
        <color rgb="FF000000"/>
      </top>
      <bottom/>
      <diagonal/>
    </border>
    <border>
      <left/>
      <right/>
      <top style="hair">
        <color rgb="FF7F7F7F"/>
      </top>
      <bottom/>
      <diagonal/>
    </border>
    <border>
      <left style="hair">
        <color rgb="FF7F7F7F"/>
      </left>
      <right/>
      <top style="hair">
        <color rgb="FF7F7F7F"/>
      </top>
      <bottom/>
      <diagonal/>
    </border>
    <border>
      <left/>
      <right style="medium">
        <color rgb="FF000000"/>
      </right>
      <top style="hair">
        <color rgb="FF7F7F7F"/>
      </top>
      <bottom/>
      <diagonal/>
    </border>
    <border>
      <left/>
      <right/>
      <top style="hair">
        <color rgb="FF7F7F7F"/>
      </top>
      <bottom style="medium">
        <color rgb="FF000000"/>
      </bottom>
      <diagonal/>
    </border>
    <border>
      <left style="hair">
        <color rgb="FF7F7F7F"/>
      </left>
      <right/>
      <top style="hair">
        <color rgb="FF7F7F7F"/>
      </top>
      <bottom style="medium">
        <color rgb="FF000000"/>
      </bottom>
      <diagonal/>
    </border>
    <border>
      <left/>
      <right style="medium">
        <color rgb="FF000000"/>
      </right>
      <top style="hair">
        <color rgb="FF7F7F7F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515">
    <xf numFmtId="0" fontId="0" fillId="0" borderId="0" xfId="0"/>
    <xf numFmtId="0" fontId="1" fillId="2" borderId="1" xfId="0" applyNumberFormat="1" applyFont="1" applyFill="1" applyBorder="1" applyAlignment="1">
      <alignment horizontal="center" vertical="center"/>
    </xf>
    <xf numFmtId="0" fontId="1" fillId="2" borderId="2" xfId="0" applyNumberFormat="1" applyFont="1" applyFill="1" applyBorder="1" applyAlignment="1">
      <alignment horizontal="center" vertical="center"/>
    </xf>
    <xf numFmtId="0" fontId="1" fillId="3" borderId="1" xfId="0" applyNumberFormat="1" applyFont="1" applyFill="1" applyBorder="1" applyAlignment="1">
      <alignment horizontal="center" vertical="center"/>
    </xf>
    <xf numFmtId="0" fontId="1" fillId="3" borderId="3" xfId="0" applyNumberFormat="1" applyFont="1" applyFill="1" applyBorder="1" applyAlignment="1">
      <alignment horizontal="center" vertical="center"/>
    </xf>
    <xf numFmtId="0" fontId="1" fillId="3" borderId="2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4" borderId="3" xfId="0" applyNumberFormat="1" applyFont="1" applyFill="1" applyBorder="1" applyAlignment="1">
      <alignment horizontal="center" vertical="center"/>
    </xf>
    <xf numFmtId="0" fontId="1" fillId="4" borderId="2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5" borderId="3" xfId="0" applyNumberFormat="1" applyFont="1" applyFill="1" applyBorder="1" applyAlignment="1">
      <alignment horizontal="center" vertical="center"/>
    </xf>
    <xf numFmtId="0" fontId="1" fillId="5" borderId="2" xfId="0" applyNumberFormat="1" applyFont="1" applyFill="1" applyBorder="1" applyAlignment="1">
      <alignment horizontal="center" vertical="center"/>
    </xf>
    <xf numFmtId="0" fontId="1" fillId="6" borderId="1" xfId="0" applyNumberFormat="1" applyFont="1" applyFill="1" applyBorder="1" applyAlignment="1">
      <alignment horizontal="center" vertical="center"/>
    </xf>
    <xf numFmtId="0" fontId="1" fillId="6" borderId="3" xfId="0" applyNumberFormat="1" applyFont="1" applyFill="1" applyBorder="1" applyAlignment="1">
      <alignment horizontal="center" vertical="center"/>
    </xf>
    <xf numFmtId="0" fontId="1" fillId="6" borderId="2" xfId="0" applyNumberFormat="1" applyFont="1" applyFill="1" applyBorder="1" applyAlignment="1">
      <alignment horizontal="center" vertical="center"/>
    </xf>
    <xf numFmtId="0" fontId="1" fillId="2" borderId="4" xfId="0" applyNumberFormat="1" applyFont="1" applyFill="1" applyBorder="1" applyAlignment="1">
      <alignment horizontal="center" vertical="center"/>
    </xf>
    <xf numFmtId="0" fontId="2" fillId="7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left" vertical="center" wrapText="1"/>
    </xf>
    <xf numFmtId="0" fontId="4" fillId="0" borderId="0" xfId="0" applyNumberFormat="1" applyFont="1" applyFill="1" applyBorder="1" applyAlignment="1">
      <alignment horizontal="left" vertical="center" wrapText="1"/>
    </xf>
    <xf numFmtId="0" fontId="3" fillId="0" borderId="0" xfId="0" applyNumberFormat="1" applyFont="1" applyFill="1" applyBorder="1" applyAlignment="1">
      <alignment horizontal="left" vertical="center"/>
    </xf>
    <xf numFmtId="0" fontId="5" fillId="3" borderId="5" xfId="0" applyNumberFormat="1" applyFont="1" applyFill="1" applyBorder="1" applyAlignment="1">
      <alignment horizontal="left" vertical="center" indent="1"/>
    </xf>
    <xf numFmtId="3" fontId="6" fillId="8" borderId="5" xfId="0" applyNumberFormat="1" applyFont="1" applyFill="1" applyBorder="1" applyAlignment="1">
      <alignment horizontal="center" vertical="center"/>
    </xf>
    <xf numFmtId="0" fontId="5" fillId="4" borderId="5" xfId="0" applyNumberFormat="1" applyFont="1" applyFill="1" applyBorder="1" applyAlignment="1">
      <alignment horizontal="left" vertical="center" indent="1"/>
    </xf>
    <xf numFmtId="0" fontId="5" fillId="5" borderId="5" xfId="0" applyNumberFormat="1" applyFont="1" applyFill="1" applyBorder="1" applyAlignment="1">
      <alignment horizontal="left" vertical="center" indent="1"/>
    </xf>
    <xf numFmtId="9" fontId="6" fillId="8" borderId="5" xfId="0" applyNumberFormat="1" applyFont="1" applyFill="1" applyBorder="1" applyAlignment="1">
      <alignment horizontal="center" vertical="center"/>
    </xf>
    <xf numFmtId="0" fontId="5" fillId="6" borderId="5" xfId="0" applyNumberFormat="1" applyFont="1" applyFill="1" applyBorder="1" applyAlignment="1">
      <alignment horizontal="left" vertical="center" indent="1"/>
    </xf>
    <xf numFmtId="0" fontId="7" fillId="0" borderId="0" xfId="0" applyNumberFormat="1" applyFont="1" applyFill="1" applyBorder="1" applyAlignment="1">
      <alignment horizontal="left" vertical="center"/>
    </xf>
    <xf numFmtId="0" fontId="8" fillId="0" borderId="0" xfId="0" applyNumberFormat="1" applyFont="1" applyFill="1" applyBorder="1" applyAlignment="1">
      <alignment horizontal="left" vertical="center"/>
    </xf>
    <xf numFmtId="0" fontId="9" fillId="0" borderId="0" xfId="0" applyNumberFormat="1" applyFont="1" applyFill="1" applyBorder="1" applyAlignment="1">
      <alignment horizontal="center" vertical="center"/>
    </xf>
    <xf numFmtId="0" fontId="9" fillId="0" borderId="0" xfId="0" applyNumberFormat="1" applyFont="1" applyFill="1" applyBorder="1" applyAlignment="1">
      <alignment horizontal="left" vertical="center"/>
    </xf>
    <xf numFmtId="3" fontId="8" fillId="0" borderId="0" xfId="0" applyNumberFormat="1" applyFont="1" applyFill="1" applyBorder="1" applyAlignment="1">
      <alignment horizontal="left" vertical="center"/>
    </xf>
    <xf numFmtId="0" fontId="10" fillId="0" borderId="0" xfId="0" applyNumberFormat="1" applyFont="1" applyFill="1" applyBorder="1" applyAlignment="1">
      <alignment horizontal="left" vertical="center"/>
    </xf>
    <xf numFmtId="3" fontId="9" fillId="0" borderId="0" xfId="0" applyNumberFormat="1" applyFont="1" applyFill="1" applyBorder="1" applyAlignment="1">
      <alignment horizontal="center" vertical="center"/>
    </xf>
    <xf numFmtId="9" fontId="6" fillId="8" borderId="0" xfId="0" applyNumberFormat="1" applyFont="1" applyFill="1" applyBorder="1" applyAlignment="1">
      <alignment horizontal="left" vertical="center"/>
    </xf>
    <xf numFmtId="164" fontId="9" fillId="0" borderId="0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horizontal="left" vertical="center"/>
    </xf>
    <xf numFmtId="1" fontId="8" fillId="0" borderId="0" xfId="0" applyNumberFormat="1" applyFont="1" applyFill="1" applyBorder="1" applyAlignment="1">
      <alignment horizontal="left" vertical="center"/>
    </xf>
    <xf numFmtId="0" fontId="11" fillId="7" borderId="0" xfId="0" applyNumberFormat="1" applyFont="1" applyFill="1" applyBorder="1" applyAlignment="1">
      <alignment horizontal="center" vertical="center" wrapText="1"/>
    </xf>
    <xf numFmtId="0" fontId="5" fillId="0" borderId="0" xfId="0" applyNumberFormat="1" applyFont="1" applyFill="1" applyBorder="1" applyAlignment="1">
      <alignment horizontal="left" vertical="center"/>
    </xf>
    <xf numFmtId="3" fontId="6" fillId="8" borderId="0" xfId="0" applyNumberFormat="1" applyFont="1" applyFill="1" applyBorder="1" applyAlignment="1">
      <alignment horizontal="left" vertical="center"/>
    </xf>
    <xf numFmtId="0" fontId="12" fillId="0" borderId="0" xfId="0" applyNumberFormat="1" applyFont="1" applyFill="1" applyBorder="1" applyAlignment="1">
      <alignment horizontal="center" vertical="center"/>
    </xf>
    <xf numFmtId="165" fontId="12" fillId="0" borderId="0" xfId="0" applyNumberFormat="1" applyFont="1" applyFill="1" applyBorder="1" applyAlignment="1">
      <alignment horizontal="center" vertical="center"/>
    </xf>
    <xf numFmtId="3" fontId="12" fillId="0" borderId="0" xfId="0" applyNumberFormat="1" applyFont="1" applyFill="1" applyBorder="1" applyAlignment="1">
      <alignment horizontal="center" vertical="center"/>
    </xf>
    <xf numFmtId="0" fontId="13" fillId="0" borderId="0" xfId="0" applyNumberFormat="1" applyFont="1" applyFill="1" applyBorder="1" applyAlignment="1">
      <alignment horizontal="left" vertical="center"/>
    </xf>
    <xf numFmtId="3" fontId="13" fillId="0" borderId="0" xfId="0" applyNumberFormat="1" applyFont="1" applyFill="1" applyBorder="1" applyAlignment="1">
      <alignment horizontal="center" vertical="center"/>
    </xf>
    <xf numFmtId="165" fontId="9" fillId="0" borderId="0" xfId="0" applyNumberFormat="1" applyFont="1" applyFill="1" applyBorder="1" applyAlignment="1">
      <alignment horizontal="center" vertical="center"/>
    </xf>
    <xf numFmtId="4" fontId="9" fillId="0" borderId="0" xfId="0" applyNumberFormat="1" applyFont="1" applyFill="1" applyBorder="1" applyAlignment="1">
      <alignment horizontal="center" vertical="center"/>
    </xf>
    <xf numFmtId="166" fontId="9" fillId="0" borderId="0" xfId="0" applyNumberFormat="1" applyFont="1" applyFill="1" applyBorder="1" applyAlignment="1">
      <alignment horizontal="center" vertical="center"/>
    </xf>
    <xf numFmtId="167" fontId="9" fillId="0" borderId="0" xfId="0" applyNumberFormat="1" applyFont="1" applyFill="1" applyBorder="1" applyAlignment="1">
      <alignment horizontal="center" vertical="center"/>
    </xf>
    <xf numFmtId="9" fontId="9" fillId="0" borderId="0" xfId="0" applyNumberFormat="1" applyFont="1" applyFill="1" applyBorder="1" applyAlignment="1">
      <alignment horizontal="center" vertical="center"/>
    </xf>
    <xf numFmtId="0" fontId="5" fillId="9" borderId="6" xfId="0" applyNumberFormat="1" applyFont="1" applyFill="1" applyBorder="1" applyAlignment="1">
      <alignment horizontal="left" vertical="center"/>
    </xf>
    <xf numFmtId="0" fontId="5" fillId="9" borderId="0" xfId="0" applyNumberFormat="1" applyFont="1" applyFill="1" applyBorder="1" applyAlignment="1">
      <alignment horizontal="left" vertical="center"/>
    </xf>
    <xf numFmtId="3" fontId="5" fillId="9" borderId="6" xfId="0" applyNumberFormat="1" applyFont="1" applyFill="1" applyBorder="1" applyAlignment="1">
      <alignment horizontal="center" vertical="center"/>
    </xf>
    <xf numFmtId="168" fontId="9" fillId="9" borderId="0" xfId="0" applyNumberFormat="1" applyFont="1" applyFill="1" applyBorder="1" applyAlignment="1">
      <alignment horizontal="center" vertical="center"/>
    </xf>
    <xf numFmtId="3" fontId="9" fillId="9" borderId="0" xfId="0" applyNumberFormat="1" applyFont="1" applyFill="1" applyBorder="1" applyAlignment="1">
      <alignment horizontal="center" vertical="center"/>
    </xf>
    <xf numFmtId="167" fontId="9" fillId="9" borderId="0" xfId="0" applyNumberFormat="1" applyFont="1" applyFill="1" applyBorder="1" applyAlignment="1">
      <alignment horizontal="center" vertical="center"/>
    </xf>
    <xf numFmtId="9" fontId="9" fillId="9" borderId="0" xfId="0" applyNumberFormat="1" applyFont="1" applyFill="1" applyBorder="1" applyAlignment="1">
      <alignment horizontal="center" vertical="center"/>
    </xf>
    <xf numFmtId="0" fontId="9" fillId="9" borderId="0" xfId="0" applyNumberFormat="1" applyFont="1" applyFill="1" applyBorder="1" applyAlignment="1">
      <alignment horizontal="center" vertical="center"/>
    </xf>
    <xf numFmtId="168" fontId="5" fillId="9" borderId="6" xfId="0" applyNumberFormat="1" applyFont="1" applyFill="1" applyBorder="1" applyAlignment="1">
      <alignment horizontal="center" vertical="center"/>
    </xf>
    <xf numFmtId="167" fontId="5" fillId="9" borderId="6" xfId="0" applyNumberFormat="1" applyFont="1" applyFill="1" applyBorder="1" applyAlignment="1">
      <alignment horizontal="center" vertical="center"/>
    </xf>
    <xf numFmtId="168" fontId="9" fillId="0" borderId="0" xfId="0" applyNumberFormat="1" applyFont="1" applyFill="1" applyBorder="1" applyAlignment="1">
      <alignment horizontal="center" vertical="center"/>
    </xf>
    <xf numFmtId="3" fontId="5" fillId="0" borderId="0" xfId="0" applyNumberFormat="1" applyFont="1" applyFill="1" applyBorder="1" applyAlignment="1">
      <alignment horizontal="center" vertical="center"/>
    </xf>
    <xf numFmtId="168" fontId="5" fillId="0" borderId="0" xfId="0" applyNumberFormat="1" applyFont="1" applyFill="1" applyBorder="1" applyAlignment="1">
      <alignment horizontal="center" vertical="center"/>
    </xf>
    <xf numFmtId="9" fontId="5" fillId="0" borderId="0" xfId="0" applyNumberFormat="1" applyFont="1" applyFill="1" applyBorder="1" applyAlignment="1">
      <alignment horizontal="center" vertical="center"/>
    </xf>
    <xf numFmtId="0" fontId="12" fillId="0" borderId="0" xfId="0" applyNumberFormat="1" applyFont="1" applyFill="1" applyBorder="1" applyAlignment="1">
      <alignment horizontal="left" vertical="center"/>
    </xf>
    <xf numFmtId="0" fontId="14" fillId="10" borderId="7" xfId="0" applyNumberFormat="1" applyFont="1" applyFill="1" applyBorder="1" applyAlignment="1">
      <alignment horizontal="left" vertical="center" indent="1"/>
    </xf>
    <xf numFmtId="0" fontId="14" fillId="10" borderId="8" xfId="0" applyNumberFormat="1" applyFont="1" applyFill="1" applyBorder="1" applyAlignment="1">
      <alignment horizontal="left" vertical="center" indent="1"/>
    </xf>
    <xf numFmtId="0" fontId="14" fillId="10" borderId="9" xfId="0" applyNumberFormat="1" applyFont="1" applyFill="1" applyBorder="1" applyAlignment="1">
      <alignment horizontal="left" vertical="center" indent="1"/>
    </xf>
    <xf numFmtId="0" fontId="4" fillId="0" borderId="0" xfId="0" applyNumberFormat="1" applyFont="1" applyFill="1" applyBorder="1" applyAlignment="1">
      <alignment horizontal="left" vertical="top" wrapText="1"/>
    </xf>
    <xf numFmtId="0" fontId="2" fillId="11" borderId="0" xfId="0" applyNumberFormat="1" applyFont="1" applyFill="1" applyBorder="1" applyAlignment="1">
      <alignment horizontal="center" vertical="center" wrapText="1"/>
    </xf>
    <xf numFmtId="0" fontId="15" fillId="0" borderId="0" xfId="0" applyNumberFormat="1" applyFont="1" applyFill="1" applyBorder="1" applyAlignment="1">
      <alignment horizontal="left" vertical="center"/>
    </xf>
    <xf numFmtId="0" fontId="16" fillId="8" borderId="0" xfId="0" applyNumberFormat="1" applyFont="1" applyFill="1" applyBorder="1" applyAlignment="1">
      <alignment horizontal="left" vertical="center"/>
    </xf>
    <xf numFmtId="0" fontId="16" fillId="8" borderId="0" xfId="0" applyNumberFormat="1" applyFont="1" applyFill="1" applyBorder="1" applyAlignment="1">
      <alignment horizontal="center" vertical="center"/>
    </xf>
    <xf numFmtId="0" fontId="17" fillId="0" borderId="0" xfId="0" applyNumberFormat="1" applyFont="1" applyFill="1" applyBorder="1" applyAlignment="1">
      <alignment horizontal="center" vertical="center"/>
    </xf>
    <xf numFmtId="0" fontId="8" fillId="12" borderId="5" xfId="0" applyNumberFormat="1" applyFont="1" applyFill="1" applyBorder="1" applyAlignment="1">
      <alignment horizontal="left" vertical="center"/>
    </xf>
    <xf numFmtId="0" fontId="16" fillId="8" borderId="5" xfId="0" applyNumberFormat="1" applyFont="1" applyFill="1" applyBorder="1" applyAlignment="1">
      <alignment horizontal="left" vertical="center"/>
    </xf>
    <xf numFmtId="0" fontId="8" fillId="13" borderId="5" xfId="0" applyNumberFormat="1" applyFont="1" applyFill="1" applyBorder="1" applyAlignment="1">
      <alignment horizontal="left" vertical="center"/>
    </xf>
    <xf numFmtId="0" fontId="2" fillId="7" borderId="7" xfId="0" applyNumberFormat="1" applyFont="1" applyFill="1" applyBorder="1" applyAlignment="1">
      <alignment horizontal="center" vertical="center" wrapText="1"/>
    </xf>
    <xf numFmtId="0" fontId="2" fillId="7" borderId="8" xfId="0" applyNumberFormat="1" applyFont="1" applyFill="1" applyBorder="1" applyAlignment="1">
      <alignment horizontal="center" vertical="center" wrapText="1"/>
    </xf>
    <xf numFmtId="0" fontId="2" fillId="7" borderId="9" xfId="0" applyNumberFormat="1" applyFont="1" applyFill="1" applyBorder="1" applyAlignment="1">
      <alignment horizontal="center" vertical="center" wrapText="1"/>
    </xf>
    <xf numFmtId="0" fontId="9" fillId="0" borderId="5" xfId="0" applyNumberFormat="1" applyFont="1" applyFill="1" applyBorder="1" applyAlignment="1">
      <alignment horizontal="left" vertical="center"/>
    </xf>
    <xf numFmtId="0" fontId="18" fillId="3" borderId="0" xfId="0" applyNumberFormat="1" applyFont="1" applyFill="1" applyBorder="1" applyAlignment="1">
      <alignment horizontal="center" vertical="center" wrapText="1"/>
    </xf>
    <xf numFmtId="0" fontId="18" fillId="4" borderId="0" xfId="0" applyNumberFormat="1" applyFont="1" applyFill="1" applyBorder="1" applyAlignment="1">
      <alignment horizontal="center" vertical="center" wrapText="1"/>
    </xf>
    <xf numFmtId="0" fontId="18" fillId="5" borderId="0" xfId="0" applyNumberFormat="1" applyFont="1" applyFill="1" applyBorder="1" applyAlignment="1">
      <alignment horizontal="center" vertical="center" wrapText="1"/>
    </xf>
    <xf numFmtId="0" fontId="18" fillId="6" borderId="0" xfId="0" applyNumberFormat="1" applyFont="1" applyFill="1" applyBorder="1" applyAlignment="1">
      <alignment horizontal="center" vertical="center" wrapText="1"/>
    </xf>
    <xf numFmtId="0" fontId="5" fillId="0" borderId="5" xfId="0" applyNumberFormat="1" applyFont="1" applyFill="1" applyBorder="1" applyAlignment="1">
      <alignment horizontal="left" vertical="center"/>
    </xf>
    <xf numFmtId="0" fontId="16" fillId="8" borderId="5" xfId="0" applyNumberFormat="1" applyFont="1" applyFill="1" applyBorder="1" applyAlignment="1">
      <alignment horizontal="center" vertical="center"/>
    </xf>
    <xf numFmtId="1" fontId="13" fillId="0" borderId="0" xfId="0" applyNumberFormat="1" applyFont="1" applyFill="1" applyBorder="1" applyAlignment="1">
      <alignment horizontal="center" vertical="center"/>
    </xf>
    <xf numFmtId="0" fontId="13" fillId="8" borderId="0" xfId="0" applyNumberFormat="1" applyFont="1" applyFill="1" applyBorder="1" applyAlignment="1">
      <alignment horizontal="left" vertical="center"/>
    </xf>
    <xf numFmtId="0" fontId="13" fillId="0" borderId="0" xfId="0" applyNumberFormat="1" applyFont="1" applyFill="1" applyBorder="1" applyAlignment="1">
      <alignment horizontal="center" vertical="center"/>
    </xf>
    <xf numFmtId="0" fontId="0" fillId="14" borderId="10" xfId="0" applyNumberFormat="1" applyFont="1" applyFill="1" applyBorder="1" applyAlignment="1">
      <alignment horizontal="center" vertical="center"/>
    </xf>
    <xf numFmtId="0" fontId="0" fillId="10" borderId="10" xfId="0" applyNumberFormat="1" applyFont="1" applyFill="1" applyBorder="1" applyAlignment="1">
      <alignment horizontal="center" vertical="center"/>
    </xf>
    <xf numFmtId="0" fontId="19" fillId="10" borderId="10" xfId="0" applyNumberFormat="1" applyFont="1" applyFill="1" applyBorder="1" applyAlignment="1">
      <alignment horizontal="center" vertical="center"/>
    </xf>
    <xf numFmtId="0" fontId="20" fillId="0" borderId="0" xfId="0" applyNumberFormat="1" applyFont="1" applyFill="1" applyBorder="1" applyAlignment="1">
      <alignment horizontal="right" vertical="center" indent="1"/>
    </xf>
    <xf numFmtId="0" fontId="21" fillId="8" borderId="11" xfId="0" applyNumberFormat="1" applyFont="1" applyFill="1" applyBorder="1" applyAlignment="1" applyProtection="1">
      <alignment horizontal="center" vertical="center"/>
      <protection locked="0"/>
    </xf>
    <xf numFmtId="0" fontId="21" fillId="8" borderId="12" xfId="0" applyNumberFormat="1" applyFont="1" applyFill="1" applyBorder="1" applyAlignment="1" applyProtection="1">
      <alignment horizontal="center" vertical="center"/>
      <protection locked="0"/>
    </xf>
    <xf numFmtId="0" fontId="21" fillId="8" borderId="13" xfId="0" applyNumberFormat="1" applyFont="1" applyFill="1" applyBorder="1" applyAlignment="1" applyProtection="1">
      <alignment horizontal="center" vertical="center"/>
      <protection locked="0"/>
    </xf>
    <xf numFmtId="164" fontId="22" fillId="8" borderId="11" xfId="0" applyNumberFormat="1" applyFont="1" applyFill="1" applyBorder="1" applyAlignment="1" applyProtection="1">
      <alignment horizontal="center" vertical="center"/>
      <protection locked="0"/>
    </xf>
    <xf numFmtId="164" fontId="22" fillId="8" borderId="12" xfId="0" applyNumberFormat="1" applyFont="1" applyFill="1" applyBorder="1" applyAlignment="1" applyProtection="1">
      <alignment horizontal="center" vertical="center"/>
      <protection locked="0"/>
    </xf>
    <xf numFmtId="164" fontId="22" fillId="8" borderId="13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NumberFormat="1" applyFont="1" applyFill="1" applyBorder="1" applyAlignment="1">
      <alignment horizontal="center" vertical="center"/>
    </xf>
    <xf numFmtId="0" fontId="24" fillId="0" borderId="0" xfId="0" applyNumberFormat="1" applyFont="1" applyFill="1" applyBorder="1" applyAlignment="1">
      <alignment horizontal="right" vertical="center"/>
    </xf>
    <xf numFmtId="0" fontId="0" fillId="13" borderId="14" xfId="0" applyNumberFormat="1" applyFont="1" applyFill="1" applyBorder="1" applyAlignment="1">
      <alignment horizontal="center" vertical="center"/>
    </xf>
    <xf numFmtId="0" fontId="0" fillId="13" borderId="0" xfId="0" applyNumberFormat="1" applyFont="1" applyFill="1" applyBorder="1" applyAlignment="1">
      <alignment horizontal="center" vertical="center"/>
    </xf>
    <xf numFmtId="0" fontId="0" fillId="13" borderId="15" xfId="0" applyNumberFormat="1" applyFont="1" applyFill="1" applyBorder="1" applyAlignment="1">
      <alignment horizontal="center" vertical="center"/>
    </xf>
    <xf numFmtId="0" fontId="0" fillId="13" borderId="16" xfId="0" applyNumberFormat="1" applyFont="1" applyFill="1" applyBorder="1" applyAlignment="1">
      <alignment horizontal="center" vertical="center"/>
    </xf>
    <xf numFmtId="0" fontId="0" fillId="13" borderId="17" xfId="0" applyNumberFormat="1" applyFont="1" applyFill="1" applyBorder="1" applyAlignment="1">
      <alignment horizontal="center" vertical="center"/>
    </xf>
    <xf numFmtId="0" fontId="0" fillId="13" borderId="18" xfId="0" applyNumberFormat="1" applyFont="1" applyFill="1" applyBorder="1" applyAlignment="1">
      <alignment horizontal="center" vertical="center"/>
    </xf>
    <xf numFmtId="0" fontId="0" fillId="3" borderId="19" xfId="0" applyNumberFormat="1" applyFont="1" applyFill="1" applyBorder="1" applyAlignment="1">
      <alignment horizontal="center" vertical="center"/>
    </xf>
    <xf numFmtId="0" fontId="25" fillId="3" borderId="19" xfId="0" applyNumberFormat="1" applyFont="1" applyFill="1" applyBorder="1" applyAlignment="1">
      <alignment horizontal="center" vertical="center" wrapText="1"/>
    </xf>
    <xf numFmtId="3" fontId="26" fillId="13" borderId="0" xfId="0" applyNumberFormat="1" applyFont="1" applyFill="1" applyBorder="1" applyAlignment="1">
      <alignment horizontal="center" vertical="center"/>
    </xf>
    <xf numFmtId="0" fontId="27" fillId="13" borderId="0" xfId="0" applyNumberFormat="1" applyFont="1" applyFill="1" applyBorder="1" applyAlignment="1">
      <alignment horizontal="center" vertical="center"/>
    </xf>
    <xf numFmtId="0" fontId="28" fillId="13" borderId="0" xfId="0" applyNumberFormat="1" applyFont="1" applyFill="1" applyBorder="1" applyAlignment="1">
      <alignment horizontal="center" vertical="center" wrapText="1"/>
    </xf>
    <xf numFmtId="169" fontId="29" fillId="13" borderId="17" xfId="0" applyNumberFormat="1" applyFont="1" applyFill="1" applyBorder="1" applyAlignment="1">
      <alignment horizontal="center" vertical="center"/>
    </xf>
    <xf numFmtId="0" fontId="0" fillId="4" borderId="19" xfId="0" applyNumberFormat="1" applyFont="1" applyFill="1" applyBorder="1" applyAlignment="1">
      <alignment horizontal="center" vertical="center"/>
    </xf>
    <xf numFmtId="0" fontId="25" fillId="4" borderId="19" xfId="0" applyNumberFormat="1" applyFont="1" applyFill="1" applyBorder="1" applyAlignment="1">
      <alignment horizontal="center" vertical="center" wrapText="1"/>
    </xf>
    <xf numFmtId="0" fontId="0" fillId="5" borderId="19" xfId="0" applyNumberFormat="1" applyFont="1" applyFill="1" applyBorder="1" applyAlignment="1">
      <alignment horizontal="center" vertical="center"/>
    </xf>
    <xf numFmtId="0" fontId="25" fillId="5" borderId="19" xfId="0" applyNumberFormat="1" applyFont="1" applyFill="1" applyBorder="1" applyAlignment="1">
      <alignment horizontal="center" vertical="center" wrapText="1"/>
    </xf>
    <xf numFmtId="0" fontId="30" fillId="13" borderId="20" xfId="0" applyNumberFormat="1" applyFont="1" applyFill="1" applyBorder="1" applyAlignment="1">
      <alignment horizontal="left" vertical="center" indent="1"/>
    </xf>
    <xf numFmtId="3" fontId="25" fillId="13" borderId="20" xfId="0" applyNumberFormat="1" applyFont="1" applyFill="1" applyBorder="1" applyAlignment="1">
      <alignment horizontal="right" vertical="center" indent="1"/>
    </xf>
    <xf numFmtId="0" fontId="30" fillId="13" borderId="0" xfId="0" applyNumberFormat="1" applyFont="1" applyFill="1" applyBorder="1" applyAlignment="1">
      <alignment horizontal="left" vertical="center" indent="1"/>
    </xf>
    <xf numFmtId="3" fontId="25" fillId="13" borderId="0" xfId="0" applyNumberFormat="1" applyFont="1" applyFill="1" applyBorder="1" applyAlignment="1">
      <alignment horizontal="right" vertical="center" indent="1"/>
    </xf>
    <xf numFmtId="170" fontId="25" fillId="13" borderId="20" xfId="0" applyNumberFormat="1" applyFont="1" applyFill="1" applyBorder="1" applyAlignment="1">
      <alignment horizontal="right" vertical="center" indent="1"/>
    </xf>
    <xf numFmtId="167" fontId="25" fillId="13" borderId="20" xfId="0" applyNumberFormat="1" applyFont="1" applyFill="1" applyBorder="1" applyAlignment="1">
      <alignment horizontal="right" vertical="center" indent="1"/>
    </xf>
    <xf numFmtId="171" fontId="25" fillId="13" borderId="20" xfId="0" applyNumberFormat="1" applyFont="1" applyFill="1" applyBorder="1" applyAlignment="1">
      <alignment horizontal="right" vertical="center" indent="1"/>
    </xf>
    <xf numFmtId="0" fontId="27" fillId="13" borderId="0" xfId="0" applyNumberFormat="1" applyFont="1" applyFill="1" applyBorder="1" applyAlignment="1">
      <alignment horizontal="center" vertical="center" wrapText="1"/>
    </xf>
    <xf numFmtId="0" fontId="0" fillId="6" borderId="19" xfId="0" applyNumberFormat="1" applyFont="1" applyFill="1" applyBorder="1" applyAlignment="1">
      <alignment horizontal="center" vertical="center"/>
    </xf>
    <xf numFmtId="0" fontId="25" fillId="6" borderId="19" xfId="0" applyNumberFormat="1" applyFont="1" applyFill="1" applyBorder="1" applyAlignment="1">
      <alignment horizontal="center" vertical="center" wrapText="1"/>
    </xf>
    <xf numFmtId="0" fontId="25" fillId="13" borderId="0" xfId="0" applyNumberFormat="1" applyFont="1" applyFill="1" applyBorder="1" applyAlignment="1">
      <alignment horizontal="right" vertical="center" indent="1"/>
    </xf>
    <xf numFmtId="0" fontId="31" fillId="0" borderId="0" xfId="0" applyNumberFormat="1" applyFont="1" applyFill="1" applyBorder="1" applyAlignment="1">
      <alignment horizontal="left" vertical="center"/>
    </xf>
    <xf numFmtId="0" fontId="14" fillId="10" borderId="10" xfId="0" applyNumberFormat="1" applyFont="1" applyFill="1" applyBorder="1" applyAlignment="1">
      <alignment horizontal="center" vertical="center"/>
    </xf>
    <xf numFmtId="0" fontId="14" fillId="10" borderId="10" xfId="0" applyNumberFormat="1" applyFont="1" applyFill="1" applyBorder="1" applyAlignment="1" applyProtection="1">
      <alignment horizontal="right" vertical="center" indent="1"/>
      <protection locked="0"/>
    </xf>
    <xf numFmtId="0" fontId="8" fillId="0" borderId="21" xfId="0" applyNumberFormat="1" applyFont="1" applyFill="1" applyBorder="1" applyAlignment="1">
      <alignment horizontal="center" vertical="center"/>
    </xf>
    <xf numFmtId="0" fontId="8" fillId="0" borderId="22" xfId="0" applyNumberFormat="1" applyFont="1" applyFill="1" applyBorder="1" applyAlignment="1">
      <alignment horizontal="center" vertical="center"/>
    </xf>
    <xf numFmtId="0" fontId="8" fillId="2" borderId="23" xfId="0" applyNumberFormat="1" applyFont="1" applyFill="1" applyBorder="1" applyAlignment="1">
      <alignment horizontal="center" vertical="center"/>
    </xf>
    <xf numFmtId="0" fontId="8" fillId="2" borderId="24" xfId="0" applyNumberFormat="1" applyFont="1" applyFill="1" applyBorder="1" applyAlignment="1">
      <alignment horizontal="center" vertical="center"/>
    </xf>
    <xf numFmtId="0" fontId="8" fillId="2" borderId="25" xfId="0" applyNumberFormat="1" applyFont="1" applyFill="1" applyBorder="1" applyAlignment="1">
      <alignment horizontal="center" vertical="center"/>
    </xf>
    <xf numFmtId="0" fontId="8" fillId="2" borderId="26" xfId="0" applyNumberFormat="1" applyFont="1" applyFill="1" applyBorder="1" applyAlignment="1">
      <alignment horizontal="center" vertical="center"/>
    </xf>
    <xf numFmtId="0" fontId="8" fillId="2" borderId="21" xfId="0" applyNumberFormat="1" applyFont="1" applyFill="1" applyBorder="1" applyAlignment="1">
      <alignment horizontal="center" vertical="center"/>
    </xf>
    <xf numFmtId="0" fontId="8" fillId="2" borderId="22" xfId="0" applyNumberFormat="1" applyFont="1" applyFill="1" applyBorder="1" applyAlignment="1">
      <alignment horizontal="center" vertical="center"/>
    </xf>
    <xf numFmtId="0" fontId="32" fillId="15" borderId="7" xfId="0" applyNumberFormat="1" applyFont="1" applyFill="1" applyBorder="1" applyAlignment="1">
      <alignment horizontal="center" vertical="center"/>
    </xf>
    <xf numFmtId="0" fontId="32" fillId="15" borderId="8" xfId="0" applyNumberFormat="1" applyFont="1" applyFill="1" applyBorder="1" applyAlignment="1">
      <alignment horizontal="center" vertical="center"/>
    </xf>
    <xf numFmtId="0" fontId="32" fillId="15" borderId="9" xfId="0" applyNumberFormat="1" applyFont="1" applyFill="1" applyBorder="1" applyAlignment="1">
      <alignment horizontal="center" vertical="center"/>
    </xf>
    <xf numFmtId="0" fontId="8" fillId="15" borderId="21" xfId="0" applyNumberFormat="1" applyFont="1" applyFill="1" applyBorder="1" applyAlignment="1">
      <alignment horizontal="center" vertical="center"/>
    </xf>
    <xf numFmtId="0" fontId="8" fillId="15" borderId="22" xfId="0" applyNumberFormat="1" applyFont="1" applyFill="1" applyBorder="1" applyAlignment="1">
      <alignment horizontal="center" vertical="center"/>
    </xf>
    <xf numFmtId="172" fontId="0" fillId="16" borderId="27" xfId="0" applyNumberFormat="1" applyFont="1" applyFill="1" applyBorder="1" applyAlignment="1">
      <alignment horizontal="center" vertical="center"/>
    </xf>
    <xf numFmtId="172" fontId="0" fillId="16" borderId="28" xfId="0" applyNumberFormat="1" applyFont="1" applyFill="1" applyBorder="1" applyAlignment="1">
      <alignment horizontal="center" vertical="center"/>
    </xf>
    <xf numFmtId="172" fontId="0" fillId="16" borderId="29" xfId="0" applyNumberFormat="1" applyFont="1" applyFill="1" applyBorder="1" applyAlignment="1">
      <alignment horizontal="center" vertical="center"/>
    </xf>
    <xf numFmtId="0" fontId="8" fillId="3" borderId="24" xfId="0" applyNumberFormat="1" applyFont="1" applyFill="1" applyBorder="1" applyAlignment="1">
      <alignment horizontal="center" vertical="center"/>
    </xf>
    <xf numFmtId="3" fontId="8" fillId="3" borderId="21" xfId="0" applyNumberFormat="1" applyFont="1" applyFill="1" applyBorder="1" applyAlignment="1">
      <alignment horizontal="center" vertical="center"/>
    </xf>
    <xf numFmtId="0" fontId="0" fillId="3" borderId="30" xfId="0" applyNumberFormat="1" applyFont="1" applyFill="1" applyBorder="1" applyAlignment="1">
      <alignment horizontal="center" vertical="center"/>
    </xf>
    <xf numFmtId="3" fontId="0" fillId="3" borderId="31" xfId="0" applyNumberFormat="1" applyFont="1" applyFill="1" applyBorder="1" applyAlignment="1">
      <alignment horizontal="center" vertical="center"/>
    </xf>
    <xf numFmtId="3" fontId="0" fillId="3" borderId="32" xfId="0" applyNumberFormat="1" applyFont="1" applyFill="1" applyBorder="1" applyAlignment="1">
      <alignment horizontal="center" vertical="center"/>
    </xf>
    <xf numFmtId="3" fontId="0" fillId="3" borderId="33" xfId="0" applyNumberFormat="1" applyFont="1" applyFill="1" applyBorder="1" applyAlignment="1">
      <alignment horizontal="center" vertical="center"/>
    </xf>
    <xf numFmtId="3" fontId="8" fillId="3" borderId="34" xfId="0" applyNumberFormat="1" applyFont="1" applyFill="1" applyBorder="1" applyAlignment="1">
      <alignment horizontal="center" vertical="center"/>
    </xf>
    <xf numFmtId="0" fontId="8" fillId="3" borderId="26" xfId="0" applyNumberFormat="1" applyFont="1" applyFill="1" applyBorder="1" applyAlignment="1">
      <alignment horizontal="center" vertical="center"/>
    </xf>
    <xf numFmtId="3" fontId="8" fillId="3" borderId="22" xfId="0" applyNumberFormat="1" applyFont="1" applyFill="1" applyBorder="1" applyAlignment="1">
      <alignment horizontal="center" vertical="center"/>
    </xf>
    <xf numFmtId="0" fontId="0" fillId="3" borderId="10" xfId="0" applyNumberFormat="1" applyFont="1" applyFill="1" applyBorder="1" applyAlignment="1">
      <alignment horizontal="center" vertical="center"/>
    </xf>
    <xf numFmtId="3" fontId="0" fillId="3" borderId="35" xfId="0" applyNumberFormat="1" applyFont="1" applyFill="1" applyBorder="1" applyAlignment="1">
      <alignment horizontal="center" vertical="center"/>
    </xf>
    <xf numFmtId="3" fontId="0" fillId="3" borderId="36" xfId="0" applyNumberFormat="1" applyFont="1" applyFill="1" applyBorder="1" applyAlignment="1">
      <alignment horizontal="center" vertical="center"/>
    </xf>
    <xf numFmtId="3" fontId="0" fillId="3" borderId="37" xfId="0" applyNumberFormat="1" applyFont="1" applyFill="1" applyBorder="1" applyAlignment="1">
      <alignment horizontal="center" vertical="center"/>
    </xf>
    <xf numFmtId="0" fontId="8" fillId="4" borderId="24" xfId="0" applyNumberFormat="1" applyFont="1" applyFill="1" applyBorder="1" applyAlignment="1">
      <alignment horizontal="center" vertical="center"/>
    </xf>
    <xf numFmtId="3" fontId="8" fillId="4" borderId="21" xfId="0" applyNumberFormat="1" applyFont="1" applyFill="1" applyBorder="1" applyAlignment="1">
      <alignment horizontal="center" vertical="center"/>
    </xf>
    <xf numFmtId="0" fontId="0" fillId="4" borderId="30" xfId="0" applyNumberFormat="1" applyFont="1" applyFill="1" applyBorder="1" applyAlignment="1">
      <alignment horizontal="center" vertical="center"/>
    </xf>
    <xf numFmtId="3" fontId="0" fillId="4" borderId="31" xfId="0" applyNumberFormat="1" applyFont="1" applyFill="1" applyBorder="1" applyAlignment="1">
      <alignment horizontal="center" vertical="center"/>
    </xf>
    <xf numFmtId="3" fontId="0" fillId="4" borderId="32" xfId="0" applyNumberFormat="1" applyFont="1" applyFill="1" applyBorder="1" applyAlignment="1">
      <alignment horizontal="center" vertical="center"/>
    </xf>
    <xf numFmtId="3" fontId="0" fillId="4" borderId="33" xfId="0" applyNumberFormat="1" applyFont="1" applyFill="1" applyBorder="1" applyAlignment="1">
      <alignment horizontal="center" vertical="center"/>
    </xf>
    <xf numFmtId="3" fontId="8" fillId="4" borderId="34" xfId="0" applyNumberFormat="1" applyFont="1" applyFill="1" applyBorder="1" applyAlignment="1">
      <alignment horizontal="center" vertical="center"/>
    </xf>
    <xf numFmtId="0" fontId="8" fillId="4" borderId="26" xfId="0" applyNumberFormat="1" applyFont="1" applyFill="1" applyBorder="1" applyAlignment="1">
      <alignment horizontal="center" vertical="center"/>
    </xf>
    <xf numFmtId="3" fontId="8" fillId="4" borderId="22" xfId="0" applyNumberFormat="1" applyFont="1" applyFill="1" applyBorder="1" applyAlignment="1">
      <alignment horizontal="center" vertical="center"/>
    </xf>
    <xf numFmtId="0" fontId="0" fillId="4" borderId="10" xfId="0" applyNumberFormat="1" applyFont="1" applyFill="1" applyBorder="1" applyAlignment="1">
      <alignment horizontal="center" vertical="center"/>
    </xf>
    <xf numFmtId="3" fontId="0" fillId="4" borderId="35" xfId="0" applyNumberFormat="1" applyFont="1" applyFill="1" applyBorder="1" applyAlignment="1">
      <alignment horizontal="center" vertical="center"/>
    </xf>
    <xf numFmtId="3" fontId="0" fillId="4" borderId="36" xfId="0" applyNumberFormat="1" applyFont="1" applyFill="1" applyBorder="1" applyAlignment="1">
      <alignment horizontal="center" vertical="center"/>
    </xf>
    <xf numFmtId="3" fontId="0" fillId="4" borderId="37" xfId="0" applyNumberFormat="1" applyFont="1" applyFill="1" applyBorder="1" applyAlignment="1">
      <alignment horizontal="center" vertical="center"/>
    </xf>
    <xf numFmtId="0" fontId="8" fillId="5" borderId="24" xfId="0" applyNumberFormat="1" applyFont="1" applyFill="1" applyBorder="1" applyAlignment="1">
      <alignment horizontal="center" vertical="center"/>
    </xf>
    <xf numFmtId="3" fontId="8" fillId="5" borderId="21" xfId="0" applyNumberFormat="1" applyFont="1" applyFill="1" applyBorder="1" applyAlignment="1">
      <alignment horizontal="center" vertical="center"/>
    </xf>
    <xf numFmtId="0" fontId="0" fillId="5" borderId="30" xfId="0" applyNumberFormat="1" applyFont="1" applyFill="1" applyBorder="1" applyAlignment="1">
      <alignment horizontal="center" vertical="center"/>
    </xf>
    <xf numFmtId="3" fontId="0" fillId="5" borderId="31" xfId="0" applyNumberFormat="1" applyFont="1" applyFill="1" applyBorder="1" applyAlignment="1">
      <alignment horizontal="center" vertical="center"/>
    </xf>
    <xf numFmtId="3" fontId="0" fillId="5" borderId="32" xfId="0" applyNumberFormat="1" applyFont="1" applyFill="1" applyBorder="1" applyAlignment="1">
      <alignment horizontal="center" vertical="center"/>
    </xf>
    <xf numFmtId="3" fontId="0" fillId="5" borderId="33" xfId="0" applyNumberFormat="1" applyFont="1" applyFill="1" applyBorder="1" applyAlignment="1">
      <alignment horizontal="center" vertical="center"/>
    </xf>
    <xf numFmtId="3" fontId="8" fillId="5" borderId="34" xfId="0" applyNumberFormat="1" applyFont="1" applyFill="1" applyBorder="1" applyAlignment="1">
      <alignment horizontal="center" vertical="center"/>
    </xf>
    <xf numFmtId="0" fontId="8" fillId="5" borderId="38" xfId="0" applyNumberFormat="1" applyFont="1" applyFill="1" applyBorder="1" applyAlignment="1">
      <alignment horizontal="center" vertical="center"/>
    </xf>
    <xf numFmtId="3" fontId="8" fillId="5" borderId="39" xfId="0" applyNumberFormat="1" applyFont="1" applyFill="1" applyBorder="1" applyAlignment="1">
      <alignment horizontal="center" vertical="center"/>
    </xf>
    <xf numFmtId="0" fontId="0" fillId="5" borderId="0" xfId="0" applyNumberFormat="1" applyFont="1" applyFill="1" applyBorder="1" applyAlignment="1">
      <alignment horizontal="center" vertical="center"/>
    </xf>
    <xf numFmtId="3" fontId="0" fillId="5" borderId="40" xfId="0" applyNumberFormat="1" applyFont="1" applyFill="1" applyBorder="1" applyAlignment="1">
      <alignment horizontal="center" vertical="center"/>
    </xf>
    <xf numFmtId="3" fontId="0" fillId="5" borderId="41" xfId="0" applyNumberFormat="1" applyFont="1" applyFill="1" applyBorder="1" applyAlignment="1">
      <alignment horizontal="center" vertical="center"/>
    </xf>
    <xf numFmtId="3" fontId="0" fillId="5" borderId="42" xfId="0" applyNumberFormat="1" applyFont="1" applyFill="1" applyBorder="1" applyAlignment="1">
      <alignment horizontal="center" vertical="center"/>
    </xf>
    <xf numFmtId="3" fontId="8" fillId="5" borderId="43" xfId="0" applyNumberFormat="1" applyFont="1" applyFill="1" applyBorder="1" applyAlignment="1">
      <alignment horizontal="center" vertical="center"/>
    </xf>
    <xf numFmtId="0" fontId="8" fillId="5" borderId="26" xfId="0" applyNumberFormat="1" applyFont="1" applyFill="1" applyBorder="1" applyAlignment="1">
      <alignment horizontal="center" vertical="center"/>
    </xf>
    <xf numFmtId="3" fontId="8" fillId="5" borderId="22" xfId="0" applyNumberFormat="1" applyFont="1" applyFill="1" applyBorder="1" applyAlignment="1">
      <alignment horizontal="center" vertical="center"/>
    </xf>
    <xf numFmtId="0" fontId="0" fillId="5" borderId="10" xfId="0" applyNumberFormat="1" applyFont="1" applyFill="1" applyBorder="1" applyAlignment="1">
      <alignment horizontal="center" vertical="center"/>
    </xf>
    <xf numFmtId="3" fontId="0" fillId="5" borderId="35" xfId="0" applyNumberFormat="1" applyFont="1" applyFill="1" applyBorder="1" applyAlignment="1">
      <alignment horizontal="center" vertical="center"/>
    </xf>
    <xf numFmtId="3" fontId="0" fillId="5" borderId="36" xfId="0" applyNumberFormat="1" applyFont="1" applyFill="1" applyBorder="1" applyAlignment="1">
      <alignment horizontal="center" vertical="center"/>
    </xf>
    <xf numFmtId="3" fontId="0" fillId="5" borderId="37" xfId="0" applyNumberFormat="1" applyFont="1" applyFill="1" applyBorder="1" applyAlignment="1">
      <alignment horizontal="center" vertical="center"/>
    </xf>
    <xf numFmtId="0" fontId="8" fillId="3" borderId="38" xfId="0" applyNumberFormat="1" applyFont="1" applyFill="1" applyBorder="1" applyAlignment="1">
      <alignment horizontal="center" vertical="center"/>
    </xf>
    <xf numFmtId="3" fontId="8" fillId="3" borderId="39" xfId="0" applyNumberFormat="1" applyFont="1" applyFill="1" applyBorder="1" applyAlignment="1">
      <alignment horizontal="center" vertical="center"/>
    </xf>
    <xf numFmtId="0" fontId="0" fillId="3" borderId="0" xfId="0" applyNumberFormat="1" applyFont="1" applyFill="1" applyBorder="1" applyAlignment="1">
      <alignment horizontal="center" vertical="center"/>
    </xf>
    <xf numFmtId="3" fontId="0" fillId="3" borderId="40" xfId="0" applyNumberFormat="1" applyFont="1" applyFill="1" applyBorder="1" applyAlignment="1">
      <alignment horizontal="center" vertical="center"/>
    </xf>
    <xf numFmtId="3" fontId="0" fillId="3" borderId="41" xfId="0" applyNumberFormat="1" applyFont="1" applyFill="1" applyBorder="1" applyAlignment="1">
      <alignment horizontal="center" vertical="center"/>
    </xf>
    <xf numFmtId="3" fontId="0" fillId="3" borderId="42" xfId="0" applyNumberFormat="1" applyFont="1" applyFill="1" applyBorder="1" applyAlignment="1">
      <alignment horizontal="center" vertical="center"/>
    </xf>
    <xf numFmtId="3" fontId="8" fillId="3" borderId="43" xfId="0" applyNumberFormat="1" applyFont="1" applyFill="1" applyBorder="1" applyAlignment="1">
      <alignment horizontal="center" vertical="center"/>
    </xf>
    <xf numFmtId="9" fontId="8" fillId="3" borderId="22" xfId="0" applyNumberFormat="1" applyFont="1" applyFill="1" applyBorder="1" applyAlignment="1">
      <alignment horizontal="center" vertical="center"/>
    </xf>
    <xf numFmtId="9" fontId="0" fillId="3" borderId="35" xfId="0" applyNumberFormat="1" applyFont="1" applyFill="1" applyBorder="1" applyAlignment="1">
      <alignment horizontal="center" vertical="center"/>
    </xf>
    <xf numFmtId="9" fontId="0" fillId="3" borderId="36" xfId="0" applyNumberFormat="1" applyFont="1" applyFill="1" applyBorder="1" applyAlignment="1">
      <alignment horizontal="center" vertical="center"/>
    </xf>
    <xf numFmtId="9" fontId="0" fillId="3" borderId="37" xfId="0" applyNumberFormat="1" applyFont="1" applyFill="1" applyBorder="1" applyAlignment="1">
      <alignment horizontal="center" vertical="center"/>
    </xf>
    <xf numFmtId="0" fontId="8" fillId="6" borderId="24" xfId="0" applyNumberFormat="1" applyFont="1" applyFill="1" applyBorder="1" applyAlignment="1">
      <alignment horizontal="center" vertical="center"/>
    </xf>
    <xf numFmtId="3" fontId="8" fillId="6" borderId="21" xfId="0" applyNumberFormat="1" applyFont="1" applyFill="1" applyBorder="1" applyAlignment="1">
      <alignment horizontal="center" vertical="center"/>
    </xf>
    <xf numFmtId="0" fontId="0" fillId="6" borderId="30" xfId="0" applyNumberFormat="1" applyFont="1" applyFill="1" applyBorder="1" applyAlignment="1">
      <alignment horizontal="center" vertical="center"/>
    </xf>
    <xf numFmtId="3" fontId="0" fillId="6" borderId="31" xfId="0" applyNumberFormat="1" applyFont="1" applyFill="1" applyBorder="1" applyAlignment="1">
      <alignment horizontal="center" vertical="center"/>
    </xf>
    <xf numFmtId="3" fontId="0" fillId="6" borderId="32" xfId="0" applyNumberFormat="1" applyFont="1" applyFill="1" applyBorder="1" applyAlignment="1">
      <alignment horizontal="center" vertical="center"/>
    </xf>
    <xf numFmtId="3" fontId="0" fillId="6" borderId="33" xfId="0" applyNumberFormat="1" applyFont="1" applyFill="1" applyBorder="1" applyAlignment="1">
      <alignment horizontal="center" vertical="center"/>
    </xf>
    <xf numFmtId="3" fontId="8" fillId="6" borderId="34" xfId="0" applyNumberFormat="1" applyFont="1" applyFill="1" applyBorder="1" applyAlignment="1">
      <alignment horizontal="center" vertical="center"/>
    </xf>
    <xf numFmtId="0" fontId="8" fillId="6" borderId="38" xfId="0" applyNumberFormat="1" applyFont="1" applyFill="1" applyBorder="1" applyAlignment="1">
      <alignment horizontal="center" vertical="center"/>
    </xf>
    <xf numFmtId="3" fontId="8" fillId="6" borderId="39" xfId="0" applyNumberFormat="1" applyFont="1" applyFill="1" applyBorder="1" applyAlignment="1">
      <alignment horizontal="center" vertical="center"/>
    </xf>
    <xf numFmtId="0" fontId="0" fillId="6" borderId="0" xfId="0" applyNumberFormat="1" applyFont="1" applyFill="1" applyBorder="1" applyAlignment="1">
      <alignment horizontal="center" vertical="center"/>
    </xf>
    <xf numFmtId="3" fontId="0" fillId="6" borderId="40" xfId="0" applyNumberFormat="1" applyFont="1" applyFill="1" applyBorder="1" applyAlignment="1">
      <alignment horizontal="center" vertical="center"/>
    </xf>
    <xf numFmtId="3" fontId="0" fillId="6" borderId="41" xfId="0" applyNumberFormat="1" applyFont="1" applyFill="1" applyBorder="1" applyAlignment="1">
      <alignment horizontal="center" vertical="center"/>
    </xf>
    <xf numFmtId="3" fontId="0" fillId="6" borderId="42" xfId="0" applyNumberFormat="1" applyFont="1" applyFill="1" applyBorder="1" applyAlignment="1">
      <alignment horizontal="center" vertical="center"/>
    </xf>
    <xf numFmtId="3" fontId="8" fillId="6" borderId="43" xfId="0" applyNumberFormat="1" applyFont="1" applyFill="1" applyBorder="1" applyAlignment="1">
      <alignment horizontal="center" vertical="center"/>
    </xf>
    <xf numFmtId="0" fontId="8" fillId="6" borderId="26" xfId="0" applyNumberFormat="1" applyFont="1" applyFill="1" applyBorder="1" applyAlignment="1">
      <alignment horizontal="center" vertical="center"/>
    </xf>
    <xf numFmtId="3" fontId="8" fillId="6" borderId="22" xfId="0" applyNumberFormat="1" applyFont="1" applyFill="1" applyBorder="1" applyAlignment="1">
      <alignment horizontal="center" vertical="center"/>
    </xf>
    <xf numFmtId="0" fontId="0" fillId="6" borderId="10" xfId="0" applyNumberFormat="1" applyFont="1" applyFill="1" applyBorder="1" applyAlignment="1">
      <alignment horizontal="center" vertical="center"/>
    </xf>
    <xf numFmtId="3" fontId="0" fillId="6" borderId="35" xfId="0" applyNumberFormat="1" applyFont="1" applyFill="1" applyBorder="1" applyAlignment="1">
      <alignment horizontal="center" vertical="center"/>
    </xf>
    <xf numFmtId="3" fontId="0" fillId="6" borderId="36" xfId="0" applyNumberFormat="1" applyFont="1" applyFill="1" applyBorder="1" applyAlignment="1">
      <alignment horizontal="center" vertical="center"/>
    </xf>
    <xf numFmtId="3" fontId="0" fillId="6" borderId="37" xfId="0" applyNumberFormat="1" applyFont="1" applyFill="1" applyBorder="1" applyAlignment="1">
      <alignment horizontal="center" vertical="center"/>
    </xf>
    <xf numFmtId="0" fontId="8" fillId="3" borderId="21" xfId="0" applyNumberFormat="1" applyFont="1" applyFill="1" applyBorder="1" applyAlignment="1">
      <alignment horizontal="center" vertical="center"/>
    </xf>
    <xf numFmtId="0" fontId="8" fillId="3" borderId="22" xfId="0" applyNumberFormat="1" applyFont="1" applyFill="1" applyBorder="1" applyAlignment="1">
      <alignment horizontal="center" vertical="center"/>
    </xf>
    <xf numFmtId="0" fontId="8" fillId="4" borderId="21" xfId="0" applyNumberFormat="1" applyFont="1" applyFill="1" applyBorder="1" applyAlignment="1">
      <alignment horizontal="center" vertical="center"/>
    </xf>
    <xf numFmtId="0" fontId="8" fillId="4" borderId="22" xfId="0" applyNumberFormat="1" applyFont="1" applyFill="1" applyBorder="1" applyAlignment="1">
      <alignment horizontal="center" vertical="center"/>
    </xf>
    <xf numFmtId="0" fontId="8" fillId="5" borderId="21" xfId="0" applyNumberFormat="1" applyFont="1" applyFill="1" applyBorder="1" applyAlignment="1">
      <alignment horizontal="center" vertical="center"/>
    </xf>
    <xf numFmtId="0" fontId="8" fillId="5" borderId="39" xfId="0" applyNumberFormat="1" applyFont="1" applyFill="1" applyBorder="1" applyAlignment="1">
      <alignment horizontal="center" vertical="center"/>
    </xf>
    <xf numFmtId="0" fontId="8" fillId="5" borderId="22" xfId="0" applyNumberFormat="1" applyFont="1" applyFill="1" applyBorder="1" applyAlignment="1">
      <alignment horizontal="center" vertical="center"/>
    </xf>
    <xf numFmtId="0" fontId="8" fillId="3" borderId="39" xfId="0" applyNumberFormat="1" applyFont="1" applyFill="1" applyBorder="1" applyAlignment="1">
      <alignment horizontal="center" vertical="center"/>
    </xf>
    <xf numFmtId="0" fontId="8" fillId="6" borderId="21" xfId="0" applyNumberFormat="1" applyFont="1" applyFill="1" applyBorder="1" applyAlignment="1">
      <alignment horizontal="center" vertical="center"/>
    </xf>
    <xf numFmtId="0" fontId="8" fillId="6" borderId="39" xfId="0" applyNumberFormat="1" applyFont="1" applyFill="1" applyBorder="1" applyAlignment="1">
      <alignment horizontal="center" vertical="center"/>
    </xf>
    <xf numFmtId="0" fontId="8" fillId="6" borderId="22" xfId="0" applyNumberFormat="1" applyFont="1" applyFill="1" applyBorder="1" applyAlignment="1">
      <alignment horizontal="center" vertical="center"/>
    </xf>
    <xf numFmtId="0" fontId="5" fillId="0" borderId="21" xfId="0" applyNumberFormat="1" applyFont="1" applyFill="1" applyBorder="1" applyAlignment="1">
      <alignment horizontal="center" vertical="center" wrapText="1"/>
    </xf>
    <xf numFmtId="0" fontId="5" fillId="0" borderId="39" xfId="0" applyNumberFormat="1" applyFont="1" applyFill="1" applyBorder="1" applyAlignment="1">
      <alignment horizontal="center" vertical="center" wrapText="1"/>
    </xf>
    <xf numFmtId="0" fontId="5" fillId="0" borderId="22" xfId="0" applyNumberFormat="1" applyFont="1" applyFill="1" applyBorder="1" applyAlignment="1">
      <alignment horizontal="center" vertical="center" wrapText="1"/>
    </xf>
    <xf numFmtId="173" fontId="0" fillId="3" borderId="35" xfId="0" applyNumberFormat="1" applyFont="1" applyFill="1" applyBorder="1" applyAlignment="1">
      <alignment horizontal="center" vertical="center"/>
    </xf>
    <xf numFmtId="173" fontId="0" fillId="3" borderId="36" xfId="0" applyNumberFormat="1" applyFont="1" applyFill="1" applyBorder="1" applyAlignment="1">
      <alignment horizontal="center" vertical="center"/>
    </xf>
    <xf numFmtId="173" fontId="0" fillId="3" borderId="37" xfId="0" applyNumberFormat="1" applyFont="1" applyFill="1" applyBorder="1" applyAlignment="1">
      <alignment horizontal="center" vertical="center"/>
    </xf>
    <xf numFmtId="173" fontId="8" fillId="3" borderId="22" xfId="0" applyNumberFormat="1" applyFont="1" applyFill="1" applyBorder="1" applyAlignment="1">
      <alignment horizontal="center" vertical="center"/>
    </xf>
    <xf numFmtId="0" fontId="8" fillId="4" borderId="38" xfId="0" applyNumberFormat="1" applyFont="1" applyFill="1" applyBorder="1" applyAlignment="1">
      <alignment horizontal="center" vertical="center"/>
    </xf>
    <xf numFmtId="3" fontId="8" fillId="4" borderId="39" xfId="0" applyNumberFormat="1" applyFont="1" applyFill="1" applyBorder="1" applyAlignment="1">
      <alignment horizontal="center" vertical="center"/>
    </xf>
    <xf numFmtId="0" fontId="0" fillId="4" borderId="0" xfId="0" applyNumberFormat="1" applyFont="1" applyFill="1" applyBorder="1" applyAlignment="1">
      <alignment horizontal="center" vertical="center"/>
    </xf>
    <xf numFmtId="3" fontId="0" fillId="4" borderId="40" xfId="0" applyNumberFormat="1" applyFont="1" applyFill="1" applyBorder="1" applyAlignment="1">
      <alignment horizontal="center" vertical="center"/>
    </xf>
    <xf numFmtId="3" fontId="0" fillId="4" borderId="41" xfId="0" applyNumberFormat="1" applyFont="1" applyFill="1" applyBorder="1" applyAlignment="1">
      <alignment horizontal="center" vertical="center"/>
    </xf>
    <xf numFmtId="3" fontId="0" fillId="4" borderId="42" xfId="0" applyNumberFormat="1" applyFont="1" applyFill="1" applyBorder="1" applyAlignment="1">
      <alignment horizontal="center" vertical="center"/>
    </xf>
    <xf numFmtId="3" fontId="8" fillId="4" borderId="43" xfId="0" applyNumberFormat="1" applyFont="1" applyFill="1" applyBorder="1" applyAlignment="1">
      <alignment horizontal="center" vertical="center"/>
    </xf>
    <xf numFmtId="173" fontId="0" fillId="4" borderId="35" xfId="0" applyNumberFormat="1" applyFont="1" applyFill="1" applyBorder="1" applyAlignment="1">
      <alignment horizontal="center" vertical="center"/>
    </xf>
    <xf numFmtId="173" fontId="0" fillId="4" borderId="36" xfId="0" applyNumberFormat="1" applyFont="1" applyFill="1" applyBorder="1" applyAlignment="1">
      <alignment horizontal="center" vertical="center"/>
    </xf>
    <xf numFmtId="173" fontId="0" fillId="4" borderId="37" xfId="0" applyNumberFormat="1" applyFont="1" applyFill="1" applyBorder="1" applyAlignment="1">
      <alignment horizontal="center" vertical="center"/>
    </xf>
    <xf numFmtId="173" fontId="8" fillId="4" borderId="22" xfId="0" applyNumberFormat="1" applyFont="1" applyFill="1" applyBorder="1" applyAlignment="1">
      <alignment horizontal="center" vertical="center"/>
    </xf>
    <xf numFmtId="0" fontId="8" fillId="4" borderId="39" xfId="0" applyNumberFormat="1" applyFont="1" applyFill="1" applyBorder="1" applyAlignment="1">
      <alignment horizontal="center" vertical="center"/>
    </xf>
    <xf numFmtId="0" fontId="27" fillId="0" borderId="0" xfId="0" applyNumberFormat="1" applyFont="1" applyFill="1" applyBorder="1" applyAlignment="1">
      <alignment horizontal="right" vertical="center"/>
    </xf>
    <xf numFmtId="0" fontId="25" fillId="0" borderId="44" xfId="0" applyNumberFormat="1" applyFont="1" applyFill="1" applyBorder="1" applyAlignment="1">
      <alignment horizontal="left" vertical="center"/>
    </xf>
    <xf numFmtId="0" fontId="8" fillId="2" borderId="7" xfId="0" applyNumberFormat="1" applyFont="1" applyFill="1" applyBorder="1" applyAlignment="1">
      <alignment horizontal="center" vertical="center" wrapText="1"/>
    </xf>
    <xf numFmtId="0" fontId="8" fillId="2" borderId="9" xfId="0" applyNumberFormat="1" applyFont="1" applyFill="1" applyBorder="1" applyAlignment="1">
      <alignment horizontal="center" vertical="center" wrapText="1"/>
    </xf>
    <xf numFmtId="0" fontId="8" fillId="2" borderId="8" xfId="0" applyNumberFormat="1" applyFont="1" applyFill="1" applyBorder="1" applyAlignment="1">
      <alignment horizontal="center" vertical="center" wrapText="1"/>
    </xf>
    <xf numFmtId="0" fontId="8" fillId="15" borderId="7" xfId="0" applyNumberFormat="1" applyFont="1" applyFill="1" applyBorder="1" applyAlignment="1">
      <alignment horizontal="center" vertical="center" wrapText="1"/>
    </xf>
    <xf numFmtId="0" fontId="8" fillId="15" borderId="9" xfId="0" applyNumberFormat="1" applyFont="1" applyFill="1" applyBorder="1" applyAlignment="1">
      <alignment horizontal="center" vertical="center" wrapText="1"/>
    </xf>
    <xf numFmtId="0" fontId="8" fillId="15" borderId="8" xfId="0" applyNumberFormat="1" applyFont="1" applyFill="1" applyBorder="1" applyAlignment="1">
      <alignment horizontal="center" vertical="center" wrapText="1"/>
    </xf>
    <xf numFmtId="0" fontId="8" fillId="3" borderId="30" xfId="0" applyNumberFormat="1" applyFont="1" applyFill="1" applyBorder="1" applyAlignment="1">
      <alignment horizontal="left" vertical="center" indent="1"/>
    </xf>
    <xf numFmtId="0" fontId="8" fillId="3" borderId="45" xfId="0" applyNumberFormat="1" applyFont="1" applyFill="1" applyBorder="1" applyAlignment="1">
      <alignment horizontal="left" vertical="center" indent="1"/>
    </xf>
    <xf numFmtId="3" fontId="8" fillId="3" borderId="30" xfId="0" applyNumberFormat="1" applyFont="1" applyFill="1" applyBorder="1" applyAlignment="1">
      <alignment horizontal="center" vertical="center"/>
    </xf>
    <xf numFmtId="3" fontId="8" fillId="3" borderId="45" xfId="0" applyNumberFormat="1" applyFont="1" applyFill="1" applyBorder="1" applyAlignment="1">
      <alignment horizontal="center" vertical="center"/>
    </xf>
    <xf numFmtId="3" fontId="32" fillId="3" borderId="30" xfId="0" applyNumberFormat="1" applyFont="1" applyFill="1" applyBorder="1" applyAlignment="1">
      <alignment horizontal="center" vertical="center"/>
    </xf>
    <xf numFmtId="3" fontId="32" fillId="3" borderId="45" xfId="0" applyNumberFormat="1" applyFont="1" applyFill="1" applyBorder="1" applyAlignment="1">
      <alignment horizontal="center" vertical="center"/>
    </xf>
    <xf numFmtId="168" fontId="0" fillId="3" borderId="30" xfId="0" applyNumberFormat="1" applyFont="1" applyFill="1" applyBorder="1" applyAlignment="1">
      <alignment horizontal="center" vertical="center"/>
    </xf>
    <xf numFmtId="168" fontId="0" fillId="3" borderId="45" xfId="0" applyNumberFormat="1" applyFont="1" applyFill="1" applyBorder="1" applyAlignment="1">
      <alignment horizontal="center" vertical="center"/>
    </xf>
    <xf numFmtId="3" fontId="0" fillId="3" borderId="30" xfId="0" applyNumberFormat="1" applyFont="1" applyFill="1" applyBorder="1" applyAlignment="1">
      <alignment horizontal="center" vertical="center"/>
    </xf>
    <xf numFmtId="3" fontId="0" fillId="3" borderId="45" xfId="0" applyNumberFormat="1" applyFont="1" applyFill="1" applyBorder="1" applyAlignment="1">
      <alignment horizontal="center" vertical="center"/>
    </xf>
    <xf numFmtId="174" fontId="8" fillId="3" borderId="30" xfId="0" applyNumberFormat="1" applyFont="1" applyFill="1" applyBorder="1" applyAlignment="1">
      <alignment horizontal="center" vertical="center"/>
    </xf>
    <xf numFmtId="174" fontId="8" fillId="3" borderId="45" xfId="0" applyNumberFormat="1" applyFont="1" applyFill="1" applyBorder="1" applyAlignment="1">
      <alignment horizontal="center" vertical="center"/>
    </xf>
    <xf numFmtId="9" fontId="0" fillId="3" borderId="30" xfId="0" applyNumberFormat="1" applyFont="1" applyFill="1" applyBorder="1" applyAlignment="1">
      <alignment horizontal="center" vertical="center"/>
    </xf>
    <xf numFmtId="9" fontId="0" fillId="3" borderId="45" xfId="0" applyNumberFormat="1" applyFont="1" applyFill="1" applyBorder="1" applyAlignment="1">
      <alignment horizontal="center" vertical="center"/>
    </xf>
    <xf numFmtId="0" fontId="5" fillId="3" borderId="30" xfId="0" applyNumberFormat="1" applyFont="1" applyFill="1" applyBorder="1" applyAlignment="1">
      <alignment horizontal="center" vertical="center"/>
    </xf>
    <xf numFmtId="0" fontId="5" fillId="3" borderId="45" xfId="0" applyNumberFormat="1" applyFont="1" applyFill="1" applyBorder="1" applyAlignment="1">
      <alignment horizontal="center" vertical="center"/>
    </xf>
    <xf numFmtId="0" fontId="5" fillId="3" borderId="24" xfId="0" applyNumberFormat="1" applyFont="1" applyFill="1" applyBorder="1" applyAlignment="1">
      <alignment horizontal="center" vertical="center"/>
    </xf>
    <xf numFmtId="0" fontId="8" fillId="3" borderId="46" xfId="0" applyNumberFormat="1" applyFont="1" applyFill="1" applyBorder="1" applyAlignment="1">
      <alignment horizontal="left" vertical="center" indent="1"/>
    </xf>
    <xf numFmtId="0" fontId="8" fillId="3" borderId="47" xfId="0" applyNumberFormat="1" applyFont="1" applyFill="1" applyBorder="1" applyAlignment="1">
      <alignment horizontal="left" vertical="center" indent="1"/>
    </xf>
    <xf numFmtId="3" fontId="8" fillId="3" borderId="46" xfId="0" applyNumberFormat="1" applyFont="1" applyFill="1" applyBorder="1" applyAlignment="1">
      <alignment horizontal="center" vertical="center"/>
    </xf>
    <xf numFmtId="3" fontId="8" fillId="3" borderId="47" xfId="0" applyNumberFormat="1" applyFont="1" applyFill="1" applyBorder="1" applyAlignment="1">
      <alignment horizontal="center" vertical="center"/>
    </xf>
    <xf numFmtId="3" fontId="32" fillId="3" borderId="46" xfId="0" applyNumberFormat="1" applyFont="1" applyFill="1" applyBorder="1" applyAlignment="1">
      <alignment horizontal="center" vertical="center"/>
    </xf>
    <xf numFmtId="3" fontId="32" fillId="3" borderId="47" xfId="0" applyNumberFormat="1" applyFont="1" applyFill="1" applyBorder="1" applyAlignment="1">
      <alignment horizontal="center" vertical="center"/>
    </xf>
    <xf numFmtId="168" fontId="0" fillId="3" borderId="46" xfId="0" applyNumberFormat="1" applyFont="1" applyFill="1" applyBorder="1" applyAlignment="1">
      <alignment horizontal="center" vertical="center"/>
    </xf>
    <xf numFmtId="168" fontId="0" fillId="3" borderId="47" xfId="0" applyNumberFormat="1" applyFont="1" applyFill="1" applyBorder="1" applyAlignment="1">
      <alignment horizontal="center" vertical="center"/>
    </xf>
    <xf numFmtId="3" fontId="0" fillId="3" borderId="46" xfId="0" applyNumberFormat="1" applyFont="1" applyFill="1" applyBorder="1" applyAlignment="1">
      <alignment horizontal="center" vertical="center"/>
    </xf>
    <xf numFmtId="3" fontId="0" fillId="3" borderId="47" xfId="0" applyNumberFormat="1" applyFont="1" applyFill="1" applyBorder="1" applyAlignment="1">
      <alignment horizontal="center" vertical="center"/>
    </xf>
    <xf numFmtId="174" fontId="8" fillId="3" borderId="46" xfId="0" applyNumberFormat="1" applyFont="1" applyFill="1" applyBorder="1" applyAlignment="1">
      <alignment horizontal="center" vertical="center"/>
    </xf>
    <xf numFmtId="174" fontId="8" fillId="3" borderId="47" xfId="0" applyNumberFormat="1" applyFont="1" applyFill="1" applyBorder="1" applyAlignment="1">
      <alignment horizontal="center" vertical="center"/>
    </xf>
    <xf numFmtId="9" fontId="0" fillId="3" borderId="46" xfId="0" applyNumberFormat="1" applyFont="1" applyFill="1" applyBorder="1" applyAlignment="1">
      <alignment horizontal="center" vertical="center"/>
    </xf>
    <xf numFmtId="9" fontId="0" fillId="3" borderId="47" xfId="0" applyNumberFormat="1" applyFont="1" applyFill="1" applyBorder="1" applyAlignment="1">
      <alignment horizontal="center" vertical="center"/>
    </xf>
    <xf numFmtId="0" fontId="5" fillId="3" borderId="46" xfId="0" applyNumberFormat="1" applyFont="1" applyFill="1" applyBorder="1" applyAlignment="1">
      <alignment horizontal="center" vertical="center"/>
    </xf>
    <xf numFmtId="0" fontId="5" fillId="3" borderId="47" xfId="0" applyNumberFormat="1" applyFont="1" applyFill="1" applyBorder="1" applyAlignment="1">
      <alignment horizontal="center" vertical="center"/>
    </xf>
    <xf numFmtId="0" fontId="5" fillId="3" borderId="48" xfId="0" applyNumberFormat="1" applyFont="1" applyFill="1" applyBorder="1" applyAlignment="1">
      <alignment horizontal="center" vertical="center"/>
    </xf>
    <xf numFmtId="168" fontId="32" fillId="3" borderId="46" xfId="0" applyNumberFormat="1" applyFont="1" applyFill="1" applyBorder="1" applyAlignment="1">
      <alignment horizontal="center" vertical="center"/>
    </xf>
    <xf numFmtId="168" fontId="32" fillId="3" borderId="47" xfId="0" applyNumberFormat="1" applyFont="1" applyFill="1" applyBorder="1" applyAlignment="1">
      <alignment horizontal="center" vertical="center"/>
    </xf>
    <xf numFmtId="0" fontId="8" fillId="3" borderId="49" xfId="0" applyNumberFormat="1" applyFont="1" applyFill="1" applyBorder="1" applyAlignment="1">
      <alignment horizontal="left" vertical="center" indent="1"/>
    </xf>
    <xf numFmtId="0" fontId="8" fillId="3" borderId="50" xfId="0" applyNumberFormat="1" applyFont="1" applyFill="1" applyBorder="1" applyAlignment="1">
      <alignment horizontal="left" vertical="center" indent="1"/>
    </xf>
    <xf numFmtId="3" fontId="8" fillId="3" borderId="49" xfId="0" applyNumberFormat="1" applyFont="1" applyFill="1" applyBorder="1" applyAlignment="1">
      <alignment horizontal="center" vertical="center"/>
    </xf>
    <xf numFmtId="3" fontId="8" fillId="3" borderId="50" xfId="0" applyNumberFormat="1" applyFont="1" applyFill="1" applyBorder="1" applyAlignment="1">
      <alignment horizontal="center" vertical="center"/>
    </xf>
    <xf numFmtId="3" fontId="32" fillId="3" borderId="49" xfId="0" applyNumberFormat="1" applyFont="1" applyFill="1" applyBorder="1" applyAlignment="1">
      <alignment horizontal="center" vertical="center"/>
    </xf>
    <xf numFmtId="3" fontId="32" fillId="3" borderId="50" xfId="0" applyNumberFormat="1" applyFont="1" applyFill="1" applyBorder="1" applyAlignment="1">
      <alignment horizontal="center" vertical="center"/>
    </xf>
    <xf numFmtId="168" fontId="0" fillId="3" borderId="49" xfId="0" applyNumberFormat="1" applyFont="1" applyFill="1" applyBorder="1" applyAlignment="1">
      <alignment horizontal="center" vertical="center"/>
    </xf>
    <xf numFmtId="168" fontId="0" fillId="3" borderId="50" xfId="0" applyNumberFormat="1" applyFont="1" applyFill="1" applyBorder="1" applyAlignment="1">
      <alignment horizontal="center" vertical="center"/>
    </xf>
    <xf numFmtId="3" fontId="0" fillId="3" borderId="49" xfId="0" applyNumberFormat="1" applyFont="1" applyFill="1" applyBorder="1" applyAlignment="1">
      <alignment horizontal="center" vertical="center"/>
    </xf>
    <xf numFmtId="3" fontId="0" fillId="3" borderId="50" xfId="0" applyNumberFormat="1" applyFont="1" applyFill="1" applyBorder="1" applyAlignment="1">
      <alignment horizontal="center" vertical="center"/>
    </xf>
    <xf numFmtId="174" fontId="8" fillId="3" borderId="49" xfId="0" applyNumberFormat="1" applyFont="1" applyFill="1" applyBorder="1" applyAlignment="1">
      <alignment horizontal="center" vertical="center"/>
    </xf>
    <xf numFmtId="174" fontId="8" fillId="3" borderId="50" xfId="0" applyNumberFormat="1" applyFont="1" applyFill="1" applyBorder="1" applyAlignment="1">
      <alignment horizontal="center" vertical="center"/>
    </xf>
    <xf numFmtId="9" fontId="0" fillId="3" borderId="49" xfId="0" applyNumberFormat="1" applyFont="1" applyFill="1" applyBorder="1" applyAlignment="1">
      <alignment horizontal="center" vertical="center"/>
    </xf>
    <xf numFmtId="9" fontId="0" fillId="3" borderId="50" xfId="0" applyNumberFormat="1" applyFont="1" applyFill="1" applyBorder="1" applyAlignment="1">
      <alignment horizontal="center" vertical="center"/>
    </xf>
    <xf numFmtId="0" fontId="5" fillId="3" borderId="49" xfId="0" applyNumberFormat="1" applyFont="1" applyFill="1" applyBorder="1" applyAlignment="1">
      <alignment horizontal="center" vertical="center"/>
    </xf>
    <xf numFmtId="0" fontId="5" fillId="3" borderId="50" xfId="0" applyNumberFormat="1" applyFont="1" applyFill="1" applyBorder="1" applyAlignment="1">
      <alignment horizontal="center" vertical="center"/>
    </xf>
    <xf numFmtId="0" fontId="5" fillId="3" borderId="51" xfId="0" applyNumberFormat="1" applyFont="1" applyFill="1" applyBorder="1" applyAlignment="1">
      <alignment horizontal="center" vertical="center"/>
    </xf>
    <xf numFmtId="0" fontId="8" fillId="4" borderId="30" xfId="0" applyNumberFormat="1" applyFont="1" applyFill="1" applyBorder="1" applyAlignment="1">
      <alignment horizontal="left" vertical="center" indent="1"/>
    </xf>
    <xf numFmtId="0" fontId="8" fillId="4" borderId="45" xfId="0" applyNumberFormat="1" applyFont="1" applyFill="1" applyBorder="1" applyAlignment="1">
      <alignment horizontal="left" vertical="center" indent="1"/>
    </xf>
    <xf numFmtId="3" fontId="8" fillId="4" borderId="30" xfId="0" applyNumberFormat="1" applyFont="1" applyFill="1" applyBorder="1" applyAlignment="1">
      <alignment horizontal="center" vertical="center"/>
    </xf>
    <xf numFmtId="3" fontId="8" fillId="4" borderId="45" xfId="0" applyNumberFormat="1" applyFont="1" applyFill="1" applyBorder="1" applyAlignment="1">
      <alignment horizontal="center" vertical="center"/>
    </xf>
    <xf numFmtId="3" fontId="32" fillId="4" borderId="30" xfId="0" applyNumberFormat="1" applyFont="1" applyFill="1" applyBorder="1" applyAlignment="1">
      <alignment horizontal="center" vertical="center"/>
    </xf>
    <xf numFmtId="3" fontId="32" fillId="4" borderId="45" xfId="0" applyNumberFormat="1" applyFont="1" applyFill="1" applyBorder="1" applyAlignment="1">
      <alignment horizontal="center" vertical="center"/>
    </xf>
    <xf numFmtId="168" fontId="0" fillId="4" borderId="30" xfId="0" applyNumberFormat="1" applyFont="1" applyFill="1" applyBorder="1" applyAlignment="1">
      <alignment horizontal="center" vertical="center"/>
    </xf>
    <xf numFmtId="168" fontId="0" fillId="4" borderId="45" xfId="0" applyNumberFormat="1" applyFont="1" applyFill="1" applyBorder="1" applyAlignment="1">
      <alignment horizontal="center" vertical="center"/>
    </xf>
    <xf numFmtId="3" fontId="0" fillId="4" borderId="30" xfId="0" applyNumberFormat="1" applyFont="1" applyFill="1" applyBorder="1" applyAlignment="1">
      <alignment horizontal="center" vertical="center"/>
    </xf>
    <xf numFmtId="3" fontId="0" fillId="4" borderId="45" xfId="0" applyNumberFormat="1" applyFont="1" applyFill="1" applyBorder="1" applyAlignment="1">
      <alignment horizontal="center" vertical="center"/>
    </xf>
    <xf numFmtId="174" fontId="8" fillId="4" borderId="30" xfId="0" applyNumberFormat="1" applyFont="1" applyFill="1" applyBorder="1" applyAlignment="1">
      <alignment horizontal="center" vertical="center"/>
    </xf>
    <xf numFmtId="174" fontId="8" fillId="4" borderId="45" xfId="0" applyNumberFormat="1" applyFont="1" applyFill="1" applyBorder="1" applyAlignment="1">
      <alignment horizontal="center" vertical="center"/>
    </xf>
    <xf numFmtId="9" fontId="0" fillId="4" borderId="30" xfId="0" applyNumberFormat="1" applyFont="1" applyFill="1" applyBorder="1" applyAlignment="1">
      <alignment horizontal="center" vertical="center"/>
    </xf>
    <xf numFmtId="9" fontId="0" fillId="4" borderId="45" xfId="0" applyNumberFormat="1" applyFont="1" applyFill="1" applyBorder="1" applyAlignment="1">
      <alignment horizontal="center" vertical="center"/>
    </xf>
    <xf numFmtId="0" fontId="5" fillId="4" borderId="30" xfId="0" applyNumberFormat="1" applyFont="1" applyFill="1" applyBorder="1" applyAlignment="1">
      <alignment horizontal="center" vertical="center"/>
    </xf>
    <xf numFmtId="0" fontId="5" fillId="4" borderId="45" xfId="0" applyNumberFormat="1" applyFont="1" applyFill="1" applyBorder="1" applyAlignment="1">
      <alignment horizontal="center" vertical="center"/>
    </xf>
    <xf numFmtId="0" fontId="5" fillId="4" borderId="24" xfId="0" applyNumberFormat="1" applyFont="1" applyFill="1" applyBorder="1" applyAlignment="1">
      <alignment horizontal="center" vertical="center"/>
    </xf>
    <xf numFmtId="0" fontId="8" fillId="4" borderId="46" xfId="0" applyNumberFormat="1" applyFont="1" applyFill="1" applyBorder="1" applyAlignment="1">
      <alignment horizontal="left" vertical="center" indent="1"/>
    </xf>
    <xf numFmtId="0" fontId="8" fillId="4" borderId="47" xfId="0" applyNumberFormat="1" applyFont="1" applyFill="1" applyBorder="1" applyAlignment="1">
      <alignment horizontal="left" vertical="center" indent="1"/>
    </xf>
    <xf numFmtId="3" fontId="8" fillId="4" borderId="46" xfId="0" applyNumberFormat="1" applyFont="1" applyFill="1" applyBorder="1" applyAlignment="1">
      <alignment horizontal="center" vertical="center"/>
    </xf>
    <xf numFmtId="3" fontId="8" fillId="4" borderId="47" xfId="0" applyNumberFormat="1" applyFont="1" applyFill="1" applyBorder="1" applyAlignment="1">
      <alignment horizontal="center" vertical="center"/>
    </xf>
    <xf numFmtId="3" fontId="32" fillId="4" borderId="46" xfId="0" applyNumberFormat="1" applyFont="1" applyFill="1" applyBorder="1" applyAlignment="1">
      <alignment horizontal="center" vertical="center"/>
    </xf>
    <xf numFmtId="3" fontId="32" fillId="4" borderId="47" xfId="0" applyNumberFormat="1" applyFont="1" applyFill="1" applyBorder="1" applyAlignment="1">
      <alignment horizontal="center" vertical="center"/>
    </xf>
    <xf numFmtId="168" fontId="0" fillId="4" borderId="46" xfId="0" applyNumberFormat="1" applyFont="1" applyFill="1" applyBorder="1" applyAlignment="1">
      <alignment horizontal="center" vertical="center"/>
    </xf>
    <xf numFmtId="168" fontId="0" fillId="4" borderId="47" xfId="0" applyNumberFormat="1" applyFont="1" applyFill="1" applyBorder="1" applyAlignment="1">
      <alignment horizontal="center" vertical="center"/>
    </xf>
    <xf numFmtId="3" fontId="0" fillId="4" borderId="46" xfId="0" applyNumberFormat="1" applyFont="1" applyFill="1" applyBorder="1" applyAlignment="1">
      <alignment horizontal="center" vertical="center"/>
    </xf>
    <xf numFmtId="3" fontId="0" fillId="4" borderId="47" xfId="0" applyNumberFormat="1" applyFont="1" applyFill="1" applyBorder="1" applyAlignment="1">
      <alignment horizontal="center" vertical="center"/>
    </xf>
    <xf numFmtId="174" fontId="8" fillId="4" borderId="46" xfId="0" applyNumberFormat="1" applyFont="1" applyFill="1" applyBorder="1" applyAlignment="1">
      <alignment horizontal="center" vertical="center"/>
    </xf>
    <xf numFmtId="174" fontId="8" fillId="4" borderId="47" xfId="0" applyNumberFormat="1" applyFont="1" applyFill="1" applyBorder="1" applyAlignment="1">
      <alignment horizontal="center" vertical="center"/>
    </xf>
    <xf numFmtId="9" fontId="0" fillId="4" borderId="46" xfId="0" applyNumberFormat="1" applyFont="1" applyFill="1" applyBorder="1" applyAlignment="1">
      <alignment horizontal="center" vertical="center"/>
    </xf>
    <xf numFmtId="9" fontId="0" fillId="4" borderId="47" xfId="0" applyNumberFormat="1" applyFont="1" applyFill="1" applyBorder="1" applyAlignment="1">
      <alignment horizontal="center" vertical="center"/>
    </xf>
    <xf numFmtId="0" fontId="5" fillId="4" borderId="46" xfId="0" applyNumberFormat="1" applyFont="1" applyFill="1" applyBorder="1" applyAlignment="1">
      <alignment horizontal="center" vertical="center"/>
    </xf>
    <xf numFmtId="0" fontId="5" fillId="4" borderId="47" xfId="0" applyNumberFormat="1" applyFont="1" applyFill="1" applyBorder="1" applyAlignment="1">
      <alignment horizontal="center" vertical="center"/>
    </xf>
    <xf numFmtId="0" fontId="5" fillId="4" borderId="48" xfId="0" applyNumberFormat="1" applyFont="1" applyFill="1" applyBorder="1" applyAlignment="1">
      <alignment horizontal="center" vertical="center"/>
    </xf>
    <xf numFmtId="0" fontId="8" fillId="4" borderId="49" xfId="0" applyNumberFormat="1" applyFont="1" applyFill="1" applyBorder="1" applyAlignment="1">
      <alignment horizontal="left" vertical="center" indent="1"/>
    </xf>
    <xf numFmtId="0" fontId="8" fillId="4" borderId="50" xfId="0" applyNumberFormat="1" applyFont="1" applyFill="1" applyBorder="1" applyAlignment="1">
      <alignment horizontal="left" vertical="center" indent="1"/>
    </xf>
    <xf numFmtId="3" fontId="8" fillId="4" borderId="49" xfId="0" applyNumberFormat="1" applyFont="1" applyFill="1" applyBorder="1" applyAlignment="1">
      <alignment horizontal="center" vertical="center"/>
    </xf>
    <xf numFmtId="3" fontId="8" fillId="4" borderId="50" xfId="0" applyNumberFormat="1" applyFont="1" applyFill="1" applyBorder="1" applyAlignment="1">
      <alignment horizontal="center" vertical="center"/>
    </xf>
    <xf numFmtId="168" fontId="32" fillId="4" borderId="49" xfId="0" applyNumberFormat="1" applyFont="1" applyFill="1" applyBorder="1" applyAlignment="1">
      <alignment horizontal="center" vertical="center"/>
    </xf>
    <xf numFmtId="168" fontId="32" fillId="4" borderId="50" xfId="0" applyNumberFormat="1" applyFont="1" applyFill="1" applyBorder="1" applyAlignment="1">
      <alignment horizontal="center" vertical="center"/>
    </xf>
    <xf numFmtId="168" fontId="0" fillId="4" borderId="49" xfId="0" applyNumberFormat="1" applyFont="1" applyFill="1" applyBorder="1" applyAlignment="1">
      <alignment horizontal="center" vertical="center"/>
    </xf>
    <xf numFmtId="168" fontId="0" fillId="4" borderId="50" xfId="0" applyNumberFormat="1" applyFont="1" applyFill="1" applyBorder="1" applyAlignment="1">
      <alignment horizontal="center" vertical="center"/>
    </xf>
    <xf numFmtId="174" fontId="8" fillId="4" borderId="49" xfId="0" applyNumberFormat="1" applyFont="1" applyFill="1" applyBorder="1" applyAlignment="1">
      <alignment horizontal="center" vertical="center"/>
    </xf>
    <xf numFmtId="174" fontId="8" fillId="4" borderId="50" xfId="0" applyNumberFormat="1" applyFont="1" applyFill="1" applyBorder="1" applyAlignment="1">
      <alignment horizontal="center" vertical="center"/>
    </xf>
    <xf numFmtId="9" fontId="0" fillId="4" borderId="49" xfId="0" applyNumberFormat="1" applyFont="1" applyFill="1" applyBorder="1" applyAlignment="1">
      <alignment horizontal="center" vertical="center"/>
    </xf>
    <xf numFmtId="9" fontId="0" fillId="4" borderId="50" xfId="0" applyNumberFormat="1" applyFont="1" applyFill="1" applyBorder="1" applyAlignment="1">
      <alignment horizontal="center" vertical="center"/>
    </xf>
    <xf numFmtId="0" fontId="5" fillId="4" borderId="49" xfId="0" applyNumberFormat="1" applyFont="1" applyFill="1" applyBorder="1" applyAlignment="1">
      <alignment horizontal="center" vertical="center"/>
    </xf>
    <xf numFmtId="0" fontId="5" fillId="4" borderId="50" xfId="0" applyNumberFormat="1" applyFont="1" applyFill="1" applyBorder="1" applyAlignment="1">
      <alignment horizontal="center" vertical="center"/>
    </xf>
    <xf numFmtId="0" fontId="5" fillId="4" borderId="51" xfId="0" applyNumberFormat="1" applyFont="1" applyFill="1" applyBorder="1" applyAlignment="1">
      <alignment horizontal="center" vertical="center"/>
    </xf>
    <xf numFmtId="0" fontId="8" fillId="5" borderId="30" xfId="0" applyNumberFormat="1" applyFont="1" applyFill="1" applyBorder="1" applyAlignment="1">
      <alignment horizontal="left" vertical="center" indent="1"/>
    </xf>
    <xf numFmtId="0" fontId="8" fillId="5" borderId="45" xfId="0" applyNumberFormat="1" applyFont="1" applyFill="1" applyBorder="1" applyAlignment="1">
      <alignment horizontal="left" vertical="center" indent="1"/>
    </xf>
    <xf numFmtId="3" fontId="8" fillId="5" borderId="30" xfId="0" applyNumberFormat="1" applyFont="1" applyFill="1" applyBorder="1" applyAlignment="1">
      <alignment horizontal="center" vertical="center"/>
    </xf>
    <xf numFmtId="3" fontId="8" fillId="5" borderId="45" xfId="0" applyNumberFormat="1" applyFont="1" applyFill="1" applyBorder="1" applyAlignment="1">
      <alignment horizontal="center" vertical="center"/>
    </xf>
    <xf numFmtId="3" fontId="32" fillId="5" borderId="30" xfId="0" applyNumberFormat="1" applyFont="1" applyFill="1" applyBorder="1" applyAlignment="1">
      <alignment horizontal="center" vertical="center"/>
    </xf>
    <xf numFmtId="3" fontId="32" fillId="5" borderId="45" xfId="0" applyNumberFormat="1" applyFont="1" applyFill="1" applyBorder="1" applyAlignment="1">
      <alignment horizontal="center" vertical="center"/>
    </xf>
    <xf numFmtId="168" fontId="0" fillId="5" borderId="30" xfId="0" applyNumberFormat="1" applyFont="1" applyFill="1" applyBorder="1" applyAlignment="1">
      <alignment horizontal="center" vertical="center"/>
    </xf>
    <xf numFmtId="168" fontId="0" fillId="5" borderId="45" xfId="0" applyNumberFormat="1" applyFont="1" applyFill="1" applyBorder="1" applyAlignment="1">
      <alignment horizontal="center" vertical="center"/>
    </xf>
    <xf numFmtId="3" fontId="0" fillId="5" borderId="30" xfId="0" applyNumberFormat="1" applyFont="1" applyFill="1" applyBorder="1" applyAlignment="1">
      <alignment horizontal="center" vertical="center"/>
    </xf>
    <xf numFmtId="3" fontId="0" fillId="5" borderId="45" xfId="0" applyNumberFormat="1" applyFont="1" applyFill="1" applyBorder="1" applyAlignment="1">
      <alignment horizontal="center" vertical="center"/>
    </xf>
    <xf numFmtId="174" fontId="8" fillId="5" borderId="30" xfId="0" applyNumberFormat="1" applyFont="1" applyFill="1" applyBorder="1" applyAlignment="1">
      <alignment horizontal="center" vertical="center"/>
    </xf>
    <xf numFmtId="174" fontId="8" fillId="5" borderId="45" xfId="0" applyNumberFormat="1" applyFont="1" applyFill="1" applyBorder="1" applyAlignment="1">
      <alignment horizontal="center" vertical="center"/>
    </xf>
    <xf numFmtId="9" fontId="0" fillId="5" borderId="30" xfId="0" applyNumberFormat="1" applyFont="1" applyFill="1" applyBorder="1" applyAlignment="1">
      <alignment horizontal="center" vertical="center"/>
    </xf>
    <xf numFmtId="9" fontId="0" fillId="5" borderId="45" xfId="0" applyNumberFormat="1" applyFont="1" applyFill="1" applyBorder="1" applyAlignment="1">
      <alignment horizontal="center" vertical="center"/>
    </xf>
    <xf numFmtId="0" fontId="5" fillId="5" borderId="30" xfId="0" applyNumberFormat="1" applyFont="1" applyFill="1" applyBorder="1" applyAlignment="1">
      <alignment horizontal="center" vertical="center"/>
    </xf>
    <xf numFmtId="0" fontId="5" fillId="5" borderId="45" xfId="0" applyNumberFormat="1" applyFont="1" applyFill="1" applyBorder="1" applyAlignment="1">
      <alignment horizontal="center" vertical="center"/>
    </xf>
    <xf numFmtId="0" fontId="5" fillId="5" borderId="24" xfId="0" applyNumberFormat="1" applyFont="1" applyFill="1" applyBorder="1" applyAlignment="1">
      <alignment horizontal="center" vertical="center"/>
    </xf>
    <xf numFmtId="0" fontId="8" fillId="5" borderId="46" xfId="0" applyNumberFormat="1" applyFont="1" applyFill="1" applyBorder="1" applyAlignment="1">
      <alignment horizontal="left" vertical="center" indent="1"/>
    </xf>
    <xf numFmtId="0" fontId="8" fillId="5" borderId="47" xfId="0" applyNumberFormat="1" applyFont="1" applyFill="1" applyBorder="1" applyAlignment="1">
      <alignment horizontal="left" vertical="center" indent="1"/>
    </xf>
    <xf numFmtId="3" fontId="8" fillId="5" borderId="46" xfId="0" applyNumberFormat="1" applyFont="1" applyFill="1" applyBorder="1" applyAlignment="1">
      <alignment horizontal="center" vertical="center"/>
    </xf>
    <xf numFmtId="3" fontId="8" fillId="5" borderId="47" xfId="0" applyNumberFormat="1" applyFont="1" applyFill="1" applyBorder="1" applyAlignment="1">
      <alignment horizontal="center" vertical="center"/>
    </xf>
    <xf numFmtId="3" fontId="32" fillId="5" borderId="46" xfId="0" applyNumberFormat="1" applyFont="1" applyFill="1" applyBorder="1" applyAlignment="1">
      <alignment horizontal="center" vertical="center"/>
    </xf>
    <xf numFmtId="3" fontId="32" fillId="5" borderId="47" xfId="0" applyNumberFormat="1" applyFont="1" applyFill="1" applyBorder="1" applyAlignment="1">
      <alignment horizontal="center" vertical="center"/>
    </xf>
    <xf numFmtId="168" fontId="0" fillId="5" borderId="46" xfId="0" applyNumberFormat="1" applyFont="1" applyFill="1" applyBorder="1" applyAlignment="1">
      <alignment horizontal="center" vertical="center"/>
    </xf>
    <xf numFmtId="168" fontId="0" fillId="5" borderId="47" xfId="0" applyNumberFormat="1" applyFont="1" applyFill="1" applyBorder="1" applyAlignment="1">
      <alignment horizontal="center" vertical="center"/>
    </xf>
    <xf numFmtId="3" fontId="0" fillId="5" borderId="46" xfId="0" applyNumberFormat="1" applyFont="1" applyFill="1" applyBorder="1" applyAlignment="1">
      <alignment horizontal="center" vertical="center"/>
    </xf>
    <xf numFmtId="3" fontId="0" fillId="5" borderId="47" xfId="0" applyNumberFormat="1" applyFont="1" applyFill="1" applyBorder="1" applyAlignment="1">
      <alignment horizontal="center" vertical="center"/>
    </xf>
    <xf numFmtId="174" fontId="8" fillId="5" borderId="46" xfId="0" applyNumberFormat="1" applyFont="1" applyFill="1" applyBorder="1" applyAlignment="1">
      <alignment horizontal="center" vertical="center"/>
    </xf>
    <xf numFmtId="174" fontId="8" fillId="5" borderId="47" xfId="0" applyNumberFormat="1" applyFont="1" applyFill="1" applyBorder="1" applyAlignment="1">
      <alignment horizontal="center" vertical="center"/>
    </xf>
    <xf numFmtId="9" fontId="0" fillId="5" borderId="46" xfId="0" applyNumberFormat="1" applyFont="1" applyFill="1" applyBorder="1" applyAlignment="1">
      <alignment horizontal="center" vertical="center"/>
    </xf>
    <xf numFmtId="9" fontId="0" fillId="5" borderId="47" xfId="0" applyNumberFormat="1" applyFont="1" applyFill="1" applyBorder="1" applyAlignment="1">
      <alignment horizontal="center" vertical="center"/>
    </xf>
    <xf numFmtId="0" fontId="5" fillId="5" borderId="46" xfId="0" applyNumberFormat="1" applyFont="1" applyFill="1" applyBorder="1" applyAlignment="1">
      <alignment horizontal="center" vertical="center"/>
    </xf>
    <xf numFmtId="0" fontId="5" fillId="5" borderId="47" xfId="0" applyNumberFormat="1" applyFont="1" applyFill="1" applyBorder="1" applyAlignment="1">
      <alignment horizontal="center" vertical="center"/>
    </xf>
    <xf numFmtId="0" fontId="5" fillId="5" borderId="48" xfId="0" applyNumberFormat="1" applyFont="1" applyFill="1" applyBorder="1" applyAlignment="1">
      <alignment horizontal="center" vertical="center"/>
    </xf>
    <xf numFmtId="0" fontId="8" fillId="5" borderId="49" xfId="0" applyNumberFormat="1" applyFont="1" applyFill="1" applyBorder="1" applyAlignment="1">
      <alignment horizontal="left" vertical="center" indent="1"/>
    </xf>
    <xf numFmtId="0" fontId="8" fillId="5" borderId="50" xfId="0" applyNumberFormat="1" applyFont="1" applyFill="1" applyBorder="1" applyAlignment="1">
      <alignment horizontal="left" vertical="center" indent="1"/>
    </xf>
    <xf numFmtId="3" fontId="8" fillId="5" borderId="49" xfId="0" applyNumberFormat="1" applyFont="1" applyFill="1" applyBorder="1" applyAlignment="1">
      <alignment horizontal="center" vertical="center"/>
    </xf>
    <xf numFmtId="3" fontId="8" fillId="5" borderId="50" xfId="0" applyNumberFormat="1" applyFont="1" applyFill="1" applyBorder="1" applyAlignment="1">
      <alignment horizontal="center" vertical="center"/>
    </xf>
    <xf numFmtId="3" fontId="32" fillId="5" borderId="49" xfId="0" applyNumberFormat="1" applyFont="1" applyFill="1" applyBorder="1" applyAlignment="1">
      <alignment horizontal="center" vertical="center"/>
    </xf>
    <xf numFmtId="3" fontId="32" fillId="5" borderId="50" xfId="0" applyNumberFormat="1" applyFont="1" applyFill="1" applyBorder="1" applyAlignment="1">
      <alignment horizontal="center" vertical="center"/>
    </xf>
    <xf numFmtId="168" fontId="0" fillId="5" borderId="49" xfId="0" applyNumberFormat="1" applyFont="1" applyFill="1" applyBorder="1" applyAlignment="1">
      <alignment horizontal="center" vertical="center"/>
    </xf>
    <xf numFmtId="168" fontId="0" fillId="5" borderId="50" xfId="0" applyNumberFormat="1" applyFont="1" applyFill="1" applyBorder="1" applyAlignment="1">
      <alignment horizontal="center" vertical="center"/>
    </xf>
    <xf numFmtId="3" fontId="0" fillId="5" borderId="49" xfId="0" applyNumberFormat="1" applyFont="1" applyFill="1" applyBorder="1" applyAlignment="1">
      <alignment horizontal="center" vertical="center"/>
    </xf>
    <xf numFmtId="3" fontId="0" fillId="5" borderId="50" xfId="0" applyNumberFormat="1" applyFont="1" applyFill="1" applyBorder="1" applyAlignment="1">
      <alignment horizontal="center" vertical="center"/>
    </xf>
    <xf numFmtId="174" fontId="8" fillId="5" borderId="49" xfId="0" applyNumberFormat="1" applyFont="1" applyFill="1" applyBorder="1" applyAlignment="1">
      <alignment horizontal="center" vertical="center"/>
    </xf>
    <xf numFmtId="174" fontId="8" fillId="5" borderId="50" xfId="0" applyNumberFormat="1" applyFont="1" applyFill="1" applyBorder="1" applyAlignment="1">
      <alignment horizontal="center" vertical="center"/>
    </xf>
    <xf numFmtId="9" fontId="0" fillId="5" borderId="49" xfId="0" applyNumberFormat="1" applyFont="1" applyFill="1" applyBorder="1" applyAlignment="1">
      <alignment horizontal="center" vertical="center"/>
    </xf>
    <xf numFmtId="9" fontId="0" fillId="5" borderId="50" xfId="0" applyNumberFormat="1" applyFont="1" applyFill="1" applyBorder="1" applyAlignment="1">
      <alignment horizontal="center" vertical="center"/>
    </xf>
    <xf numFmtId="0" fontId="5" fillId="5" borderId="49" xfId="0" applyNumberFormat="1" applyFont="1" applyFill="1" applyBorder="1" applyAlignment="1">
      <alignment horizontal="center" vertical="center"/>
    </xf>
    <xf numFmtId="0" fontId="5" fillId="5" borderId="50" xfId="0" applyNumberFormat="1" applyFont="1" applyFill="1" applyBorder="1" applyAlignment="1">
      <alignment horizontal="center" vertical="center"/>
    </xf>
    <xf numFmtId="0" fontId="5" fillId="5" borderId="51" xfId="0" applyNumberFormat="1" applyFont="1" applyFill="1" applyBorder="1" applyAlignment="1">
      <alignment horizontal="center" vertical="center"/>
    </xf>
    <xf numFmtId="166" fontId="32" fillId="3" borderId="30" xfId="0" applyNumberFormat="1" applyFont="1" applyFill="1" applyBorder="1" applyAlignment="1">
      <alignment horizontal="center" vertical="center"/>
    </xf>
    <xf numFmtId="166" fontId="32" fillId="3" borderId="45" xfId="0" applyNumberFormat="1" applyFont="1" applyFill="1" applyBorder="1" applyAlignment="1">
      <alignment horizontal="center" vertical="center"/>
    </xf>
    <xf numFmtId="166" fontId="0" fillId="3" borderId="30" xfId="0" applyNumberFormat="1" applyFont="1" applyFill="1" applyBorder="1" applyAlignment="1">
      <alignment horizontal="center" vertical="center"/>
    </xf>
    <xf numFmtId="166" fontId="0" fillId="3" borderId="45" xfId="0" applyNumberFormat="1" applyFont="1" applyFill="1" applyBorder="1" applyAlignment="1">
      <alignment horizontal="center" vertical="center"/>
    </xf>
    <xf numFmtId="9" fontId="8" fillId="3" borderId="49" xfId="0" applyNumberFormat="1" applyFont="1" applyFill="1" applyBorder="1" applyAlignment="1">
      <alignment horizontal="center" vertical="center"/>
    </xf>
    <xf numFmtId="9" fontId="8" fillId="3" borderId="50" xfId="0" applyNumberFormat="1" applyFont="1" applyFill="1" applyBorder="1" applyAlignment="1">
      <alignment horizontal="center" vertical="center"/>
    </xf>
    <xf numFmtId="167" fontId="32" fillId="3" borderId="49" xfId="0" applyNumberFormat="1" applyFont="1" applyFill="1" applyBorder="1" applyAlignment="1">
      <alignment horizontal="center" vertical="center"/>
    </xf>
    <xf numFmtId="167" fontId="32" fillId="3" borderId="50" xfId="0" applyNumberFormat="1" applyFont="1" applyFill="1" applyBorder="1" applyAlignment="1">
      <alignment horizontal="center" vertical="center"/>
    </xf>
    <xf numFmtId="167" fontId="0" fillId="3" borderId="49" xfId="0" applyNumberFormat="1" applyFont="1" applyFill="1" applyBorder="1" applyAlignment="1">
      <alignment horizontal="center" vertical="center"/>
    </xf>
    <xf numFmtId="167" fontId="0" fillId="3" borderId="50" xfId="0" applyNumberFormat="1" applyFont="1" applyFill="1" applyBorder="1" applyAlignment="1">
      <alignment horizontal="center" vertical="center"/>
    </xf>
    <xf numFmtId="0" fontId="8" fillId="6" borderId="30" xfId="0" applyNumberFormat="1" applyFont="1" applyFill="1" applyBorder="1" applyAlignment="1">
      <alignment horizontal="left" vertical="center" indent="1"/>
    </xf>
    <xf numFmtId="0" fontId="8" fillId="6" borderId="45" xfId="0" applyNumberFormat="1" applyFont="1" applyFill="1" applyBorder="1" applyAlignment="1">
      <alignment horizontal="left" vertical="center" indent="1"/>
    </xf>
    <xf numFmtId="3" fontId="8" fillId="6" borderId="30" xfId="0" applyNumberFormat="1" applyFont="1" applyFill="1" applyBorder="1" applyAlignment="1">
      <alignment horizontal="center" vertical="center"/>
    </xf>
    <xf numFmtId="3" fontId="8" fillId="6" borderId="45" xfId="0" applyNumberFormat="1" applyFont="1" applyFill="1" applyBorder="1" applyAlignment="1">
      <alignment horizontal="center" vertical="center"/>
    </xf>
    <xf numFmtId="3" fontId="32" fillId="6" borderId="30" xfId="0" applyNumberFormat="1" applyFont="1" applyFill="1" applyBorder="1" applyAlignment="1">
      <alignment horizontal="center" vertical="center"/>
    </xf>
    <xf numFmtId="3" fontId="32" fillId="6" borderId="45" xfId="0" applyNumberFormat="1" applyFont="1" applyFill="1" applyBorder="1" applyAlignment="1">
      <alignment horizontal="center" vertical="center"/>
    </xf>
    <xf numFmtId="168" fontId="0" fillId="6" borderId="30" xfId="0" applyNumberFormat="1" applyFont="1" applyFill="1" applyBorder="1" applyAlignment="1">
      <alignment horizontal="center" vertical="center"/>
    </xf>
    <xf numFmtId="168" fontId="0" fillId="6" borderId="45" xfId="0" applyNumberFormat="1" applyFont="1" applyFill="1" applyBorder="1" applyAlignment="1">
      <alignment horizontal="center" vertical="center"/>
    </xf>
    <xf numFmtId="3" fontId="0" fillId="6" borderId="30" xfId="0" applyNumberFormat="1" applyFont="1" applyFill="1" applyBorder="1" applyAlignment="1">
      <alignment horizontal="center" vertical="center"/>
    </xf>
    <xf numFmtId="3" fontId="0" fillId="6" borderId="45" xfId="0" applyNumberFormat="1" applyFont="1" applyFill="1" applyBorder="1" applyAlignment="1">
      <alignment horizontal="center" vertical="center"/>
    </xf>
    <xf numFmtId="174" fontId="8" fillId="6" borderId="30" xfId="0" applyNumberFormat="1" applyFont="1" applyFill="1" applyBorder="1" applyAlignment="1">
      <alignment horizontal="center" vertical="center"/>
    </xf>
    <xf numFmtId="174" fontId="8" fillId="6" borderId="45" xfId="0" applyNumberFormat="1" applyFont="1" applyFill="1" applyBorder="1" applyAlignment="1">
      <alignment horizontal="center" vertical="center"/>
    </xf>
    <xf numFmtId="9" fontId="0" fillId="6" borderId="30" xfId="0" applyNumberFormat="1" applyFont="1" applyFill="1" applyBorder="1" applyAlignment="1">
      <alignment horizontal="center" vertical="center"/>
    </xf>
    <xf numFmtId="9" fontId="0" fillId="6" borderId="45" xfId="0" applyNumberFormat="1" applyFont="1" applyFill="1" applyBorder="1" applyAlignment="1">
      <alignment horizontal="center" vertical="center"/>
    </xf>
    <xf numFmtId="0" fontId="5" fillId="6" borderId="30" xfId="0" applyNumberFormat="1" applyFont="1" applyFill="1" applyBorder="1" applyAlignment="1">
      <alignment horizontal="center" vertical="center"/>
    </xf>
    <xf numFmtId="0" fontId="5" fillId="6" borderId="45" xfId="0" applyNumberFormat="1" applyFont="1" applyFill="1" applyBorder="1" applyAlignment="1">
      <alignment horizontal="center" vertical="center"/>
    </xf>
    <xf numFmtId="0" fontId="5" fillId="6" borderId="24" xfId="0" applyNumberFormat="1" applyFont="1" applyFill="1" applyBorder="1" applyAlignment="1">
      <alignment horizontal="center" vertical="center"/>
    </xf>
    <xf numFmtId="0" fontId="8" fillId="6" borderId="46" xfId="0" applyNumberFormat="1" applyFont="1" applyFill="1" applyBorder="1" applyAlignment="1">
      <alignment horizontal="left" vertical="center" indent="1"/>
    </xf>
    <xf numFmtId="0" fontId="8" fillId="6" borderId="47" xfId="0" applyNumberFormat="1" applyFont="1" applyFill="1" applyBorder="1" applyAlignment="1">
      <alignment horizontal="left" vertical="center" indent="1"/>
    </xf>
    <xf numFmtId="3" fontId="8" fillId="6" borderId="46" xfId="0" applyNumberFormat="1" applyFont="1" applyFill="1" applyBorder="1" applyAlignment="1">
      <alignment horizontal="center" vertical="center"/>
    </xf>
    <xf numFmtId="3" fontId="8" fillId="6" borderId="47" xfId="0" applyNumberFormat="1" applyFont="1" applyFill="1" applyBorder="1" applyAlignment="1">
      <alignment horizontal="center" vertical="center"/>
    </xf>
    <xf numFmtId="3" fontId="32" fillId="6" borderId="46" xfId="0" applyNumberFormat="1" applyFont="1" applyFill="1" applyBorder="1" applyAlignment="1">
      <alignment horizontal="center" vertical="center"/>
    </xf>
    <xf numFmtId="3" fontId="32" fillId="6" borderId="47" xfId="0" applyNumberFormat="1" applyFont="1" applyFill="1" applyBorder="1" applyAlignment="1">
      <alignment horizontal="center" vertical="center"/>
    </xf>
    <xf numFmtId="168" fontId="0" fillId="6" borderId="46" xfId="0" applyNumberFormat="1" applyFont="1" applyFill="1" applyBorder="1" applyAlignment="1">
      <alignment horizontal="center" vertical="center"/>
    </xf>
    <xf numFmtId="168" fontId="0" fillId="6" borderId="47" xfId="0" applyNumberFormat="1" applyFont="1" applyFill="1" applyBorder="1" applyAlignment="1">
      <alignment horizontal="center" vertical="center"/>
    </xf>
    <xf numFmtId="3" fontId="0" fillId="6" borderId="46" xfId="0" applyNumberFormat="1" applyFont="1" applyFill="1" applyBorder="1" applyAlignment="1">
      <alignment horizontal="center" vertical="center"/>
    </xf>
    <xf numFmtId="3" fontId="0" fillId="6" borderId="47" xfId="0" applyNumberFormat="1" applyFont="1" applyFill="1" applyBorder="1" applyAlignment="1">
      <alignment horizontal="center" vertical="center"/>
    </xf>
    <xf numFmtId="174" fontId="8" fillId="6" borderId="46" xfId="0" applyNumberFormat="1" applyFont="1" applyFill="1" applyBorder="1" applyAlignment="1">
      <alignment horizontal="center" vertical="center"/>
    </xf>
    <xf numFmtId="174" fontId="8" fillId="6" borderId="47" xfId="0" applyNumberFormat="1" applyFont="1" applyFill="1" applyBorder="1" applyAlignment="1">
      <alignment horizontal="center" vertical="center"/>
    </xf>
    <xf numFmtId="9" fontId="0" fillId="6" borderId="46" xfId="0" applyNumberFormat="1" applyFont="1" applyFill="1" applyBorder="1" applyAlignment="1">
      <alignment horizontal="center" vertical="center"/>
    </xf>
    <xf numFmtId="9" fontId="0" fillId="6" borderId="47" xfId="0" applyNumberFormat="1" applyFont="1" applyFill="1" applyBorder="1" applyAlignment="1">
      <alignment horizontal="center" vertical="center"/>
    </xf>
    <xf numFmtId="0" fontId="5" fillId="6" borderId="46" xfId="0" applyNumberFormat="1" applyFont="1" applyFill="1" applyBorder="1" applyAlignment="1">
      <alignment horizontal="center" vertical="center"/>
    </xf>
    <xf numFmtId="0" fontId="5" fillId="6" borderId="47" xfId="0" applyNumberFormat="1" applyFont="1" applyFill="1" applyBorder="1" applyAlignment="1">
      <alignment horizontal="center" vertical="center"/>
    </xf>
    <xf numFmtId="0" fontId="5" fillId="6" borderId="48" xfId="0" applyNumberFormat="1" applyFont="1" applyFill="1" applyBorder="1" applyAlignment="1">
      <alignment horizontal="center" vertical="center"/>
    </xf>
    <xf numFmtId="0" fontId="8" fillId="6" borderId="49" xfId="0" applyNumberFormat="1" applyFont="1" applyFill="1" applyBorder="1" applyAlignment="1">
      <alignment horizontal="left" vertical="center" indent="1"/>
    </xf>
    <xf numFmtId="0" fontId="8" fillId="6" borderId="50" xfId="0" applyNumberFormat="1" applyFont="1" applyFill="1" applyBorder="1" applyAlignment="1">
      <alignment horizontal="left" vertical="center" indent="1"/>
    </xf>
    <xf numFmtId="3" fontId="8" fillId="6" borderId="49" xfId="0" applyNumberFormat="1" applyFont="1" applyFill="1" applyBorder="1" applyAlignment="1">
      <alignment horizontal="center" vertical="center"/>
    </xf>
    <xf numFmtId="3" fontId="8" fillId="6" borderId="50" xfId="0" applyNumberFormat="1" applyFont="1" applyFill="1" applyBorder="1" applyAlignment="1">
      <alignment horizontal="center" vertical="center"/>
    </xf>
    <xf numFmtId="3" fontId="32" fillId="6" borderId="49" xfId="0" applyNumberFormat="1" applyFont="1" applyFill="1" applyBorder="1" applyAlignment="1">
      <alignment horizontal="center" vertical="center"/>
    </xf>
    <xf numFmtId="3" fontId="32" fillId="6" borderId="50" xfId="0" applyNumberFormat="1" applyFont="1" applyFill="1" applyBorder="1" applyAlignment="1">
      <alignment horizontal="center" vertical="center"/>
    </xf>
    <xf numFmtId="168" fontId="0" fillId="6" borderId="49" xfId="0" applyNumberFormat="1" applyFont="1" applyFill="1" applyBorder="1" applyAlignment="1">
      <alignment horizontal="center" vertical="center"/>
    </xf>
    <xf numFmtId="168" fontId="0" fillId="6" borderId="50" xfId="0" applyNumberFormat="1" applyFont="1" applyFill="1" applyBorder="1" applyAlignment="1">
      <alignment horizontal="center" vertical="center"/>
    </xf>
    <xf numFmtId="3" fontId="0" fillId="6" borderId="49" xfId="0" applyNumberFormat="1" applyFont="1" applyFill="1" applyBorder="1" applyAlignment="1">
      <alignment horizontal="center" vertical="center"/>
    </xf>
    <xf numFmtId="3" fontId="0" fillId="6" borderId="50" xfId="0" applyNumberFormat="1" applyFont="1" applyFill="1" applyBorder="1" applyAlignment="1">
      <alignment horizontal="center" vertical="center"/>
    </xf>
    <xf numFmtId="174" fontId="8" fillId="6" borderId="49" xfId="0" applyNumberFormat="1" applyFont="1" applyFill="1" applyBorder="1" applyAlignment="1">
      <alignment horizontal="center" vertical="center"/>
    </xf>
    <xf numFmtId="174" fontId="8" fillId="6" borderId="50" xfId="0" applyNumberFormat="1" applyFont="1" applyFill="1" applyBorder="1" applyAlignment="1">
      <alignment horizontal="center" vertical="center"/>
    </xf>
    <xf numFmtId="9" fontId="0" fillId="6" borderId="49" xfId="0" applyNumberFormat="1" applyFont="1" applyFill="1" applyBorder="1" applyAlignment="1">
      <alignment horizontal="center" vertical="center"/>
    </xf>
    <xf numFmtId="9" fontId="0" fillId="6" borderId="50" xfId="0" applyNumberFormat="1" applyFont="1" applyFill="1" applyBorder="1" applyAlignment="1">
      <alignment horizontal="center" vertical="center"/>
    </xf>
    <xf numFmtId="0" fontId="5" fillId="6" borderId="49" xfId="0" applyNumberFormat="1" applyFont="1" applyFill="1" applyBorder="1" applyAlignment="1">
      <alignment horizontal="center" vertical="center"/>
    </xf>
    <xf numFmtId="0" fontId="5" fillId="6" borderId="50" xfId="0" applyNumberFormat="1" applyFont="1" applyFill="1" applyBorder="1" applyAlignment="1">
      <alignment horizontal="center" vertical="center"/>
    </xf>
    <xf numFmtId="0" fontId="5" fillId="6" borderId="51" xfId="0" applyNumberFormat="1" applyFont="1" applyFill="1" applyBorder="1" applyAlignment="1">
      <alignment horizontal="center" vertical="center"/>
    </xf>
    <xf numFmtId="0" fontId="8" fillId="3" borderId="23" xfId="0" applyNumberFormat="1" applyFont="1" applyFill="1" applyBorder="1" applyAlignment="1">
      <alignment horizontal="center" vertical="center"/>
    </xf>
    <xf numFmtId="0" fontId="8" fillId="3" borderId="52" xfId="0" applyNumberFormat="1" applyFont="1" applyFill="1" applyBorder="1" applyAlignment="1">
      <alignment horizontal="center" vertical="center"/>
    </xf>
    <xf numFmtId="0" fontId="8" fillId="3" borderId="25" xfId="0" applyNumberFormat="1" applyFont="1" applyFill="1" applyBorder="1" applyAlignment="1">
      <alignment horizontal="center" vertical="center"/>
    </xf>
    <xf numFmtId="0" fontId="8" fillId="4" borderId="23" xfId="0" applyNumberFormat="1" applyFont="1" applyFill="1" applyBorder="1" applyAlignment="1">
      <alignment horizontal="center" vertical="center"/>
    </xf>
    <xf numFmtId="0" fontId="8" fillId="4" borderId="52" xfId="0" applyNumberFormat="1" applyFont="1" applyFill="1" applyBorder="1" applyAlignment="1">
      <alignment horizontal="center" vertical="center"/>
    </xf>
    <xf numFmtId="0" fontId="8" fillId="4" borderId="25" xfId="0" applyNumberFormat="1" applyFont="1" applyFill="1" applyBorder="1" applyAlignment="1">
      <alignment horizontal="center" vertical="center"/>
    </xf>
    <xf numFmtId="0" fontId="8" fillId="5" borderId="23" xfId="0" applyNumberFormat="1" applyFont="1" applyFill="1" applyBorder="1" applyAlignment="1">
      <alignment horizontal="center" vertical="center"/>
    </xf>
    <xf numFmtId="0" fontId="8" fillId="5" borderId="52" xfId="0" applyNumberFormat="1" applyFont="1" applyFill="1" applyBorder="1" applyAlignment="1">
      <alignment horizontal="center" vertical="center"/>
    </xf>
    <xf numFmtId="0" fontId="8" fillId="5" borderId="25" xfId="0" applyNumberFormat="1" applyFont="1" applyFill="1" applyBorder="1" applyAlignment="1">
      <alignment horizontal="center" vertical="center"/>
    </xf>
    <xf numFmtId="0" fontId="8" fillId="6" borderId="23" xfId="0" applyNumberFormat="1" applyFont="1" applyFill="1" applyBorder="1" applyAlignment="1">
      <alignment horizontal="center" vertical="center"/>
    </xf>
    <xf numFmtId="0" fontId="8" fillId="6" borderId="52" xfId="0" applyNumberFormat="1" applyFont="1" applyFill="1" applyBorder="1" applyAlignment="1">
      <alignment horizontal="center" vertical="center"/>
    </xf>
    <xf numFmtId="0" fontId="8" fillId="6" borderId="25" xfId="0" applyNumberFormat="1" applyFont="1" applyFill="1" applyBorder="1" applyAlignment="1">
      <alignment horizontal="center" vertical="center"/>
    </xf>
    <xf numFmtId="0" fontId="5" fillId="2" borderId="7" xfId="0" applyNumberFormat="1" applyFont="1" applyFill="1" applyBorder="1" applyAlignment="1">
      <alignment horizontal="center" vertical="center" wrapText="1"/>
    </xf>
    <xf numFmtId="0" fontId="5" fillId="2" borderId="9" xfId="0" applyNumberFormat="1" applyFont="1" applyFill="1" applyBorder="1" applyAlignment="1">
      <alignment horizontal="center" vertical="center" wrapText="1"/>
    </xf>
    <xf numFmtId="0" fontId="5" fillId="2" borderId="8" xfId="0" applyNumberFormat="1" applyFont="1" applyFill="1" applyBorder="1" applyAlignment="1">
      <alignment horizontal="center" vertical="center" wrapText="1"/>
    </xf>
    <xf numFmtId="0" fontId="5" fillId="16" borderId="53" xfId="0" applyNumberFormat="1" applyFont="1" applyFill="1" applyBorder="1" applyAlignment="1">
      <alignment horizontal="center" vertical="center" wrapText="1"/>
    </xf>
    <xf numFmtId="0" fontId="5" fillId="16" borderId="7" xfId="0" applyNumberFormat="1" applyFont="1" applyFill="1" applyBorder="1" applyAlignment="1">
      <alignment horizontal="center" vertical="center" wrapText="1"/>
    </xf>
    <xf numFmtId="0" fontId="5" fillId="16" borderId="9" xfId="0" applyNumberFormat="1" applyFont="1" applyFill="1" applyBorder="1" applyAlignment="1">
      <alignment horizontal="center" vertical="center" wrapText="1"/>
    </xf>
    <xf numFmtId="0" fontId="5" fillId="15" borderId="7" xfId="0" applyNumberFormat="1" applyFont="1" applyFill="1" applyBorder="1" applyAlignment="1">
      <alignment horizontal="center" vertical="center" wrapText="1"/>
    </xf>
    <xf numFmtId="0" fontId="5" fillId="15" borderId="9" xfId="0" applyNumberFormat="1" applyFont="1" applyFill="1" applyBorder="1" applyAlignment="1">
      <alignment horizontal="center" vertical="center" wrapText="1"/>
    </xf>
    <xf numFmtId="3" fontId="8" fillId="3" borderId="24" xfId="0" applyNumberFormat="1" applyFont="1" applyFill="1" applyBorder="1" applyAlignment="1">
      <alignment horizontal="center" vertical="center"/>
    </xf>
    <xf numFmtId="3" fontId="8" fillId="3" borderId="48" xfId="0" applyNumberFormat="1" applyFont="1" applyFill="1" applyBorder="1" applyAlignment="1">
      <alignment horizontal="center" vertical="center"/>
    </xf>
    <xf numFmtId="168" fontId="8" fillId="3" borderId="46" xfId="0" applyNumberFormat="1" applyFont="1" applyFill="1" applyBorder="1" applyAlignment="1">
      <alignment horizontal="center" vertical="center"/>
    </xf>
    <xf numFmtId="168" fontId="8" fillId="3" borderId="47" xfId="0" applyNumberFormat="1" applyFont="1" applyFill="1" applyBorder="1" applyAlignment="1">
      <alignment horizontal="center" vertical="center"/>
    </xf>
    <xf numFmtId="168" fontId="8" fillId="3" borderId="48" xfId="0" applyNumberFormat="1" applyFont="1" applyFill="1" applyBorder="1" applyAlignment="1">
      <alignment horizontal="center" vertical="center"/>
    </xf>
    <xf numFmtId="3" fontId="8" fillId="3" borderId="51" xfId="0" applyNumberFormat="1" applyFont="1" applyFill="1" applyBorder="1" applyAlignment="1">
      <alignment horizontal="center" vertical="center"/>
    </xf>
    <xf numFmtId="3" fontId="8" fillId="4" borderId="24" xfId="0" applyNumberFormat="1" applyFont="1" applyFill="1" applyBorder="1" applyAlignment="1">
      <alignment horizontal="center" vertical="center"/>
    </xf>
    <xf numFmtId="3" fontId="8" fillId="4" borderId="48" xfId="0" applyNumberFormat="1" applyFont="1" applyFill="1" applyBorder="1" applyAlignment="1">
      <alignment horizontal="center" vertical="center"/>
    </xf>
    <xf numFmtId="168" fontId="8" fillId="4" borderId="49" xfId="0" applyNumberFormat="1" applyFont="1" applyFill="1" applyBorder="1" applyAlignment="1">
      <alignment horizontal="center" vertical="center"/>
    </xf>
    <xf numFmtId="168" fontId="8" fillId="4" borderId="50" xfId="0" applyNumberFormat="1" applyFont="1" applyFill="1" applyBorder="1" applyAlignment="1">
      <alignment horizontal="center" vertical="center"/>
    </xf>
    <xf numFmtId="168" fontId="8" fillId="4" borderId="51" xfId="0" applyNumberFormat="1" applyFont="1" applyFill="1" applyBorder="1" applyAlignment="1">
      <alignment horizontal="center" vertical="center"/>
    </xf>
    <xf numFmtId="3" fontId="8" fillId="5" borderId="24" xfId="0" applyNumberFormat="1" applyFont="1" applyFill="1" applyBorder="1" applyAlignment="1">
      <alignment horizontal="center" vertical="center"/>
    </xf>
    <xf numFmtId="3" fontId="8" fillId="5" borderId="48" xfId="0" applyNumberFormat="1" applyFont="1" applyFill="1" applyBorder="1" applyAlignment="1">
      <alignment horizontal="center" vertical="center"/>
    </xf>
    <xf numFmtId="3" fontId="8" fillId="5" borderId="51" xfId="0" applyNumberFormat="1" applyFont="1" applyFill="1" applyBorder="1" applyAlignment="1">
      <alignment horizontal="center" vertical="center"/>
    </xf>
    <xf numFmtId="9" fontId="8" fillId="3" borderId="51" xfId="0" applyNumberFormat="1" applyFont="1" applyFill="1" applyBorder="1" applyAlignment="1">
      <alignment horizontal="center" vertical="center"/>
    </xf>
    <xf numFmtId="3" fontId="8" fillId="6" borderId="24" xfId="0" applyNumberFormat="1" applyFont="1" applyFill="1" applyBorder="1" applyAlignment="1">
      <alignment horizontal="center" vertical="center"/>
    </xf>
    <xf numFmtId="3" fontId="8" fillId="6" borderId="48" xfId="0" applyNumberFormat="1" applyFont="1" applyFill="1" applyBorder="1" applyAlignment="1">
      <alignment horizontal="center" vertical="center"/>
    </xf>
    <xf numFmtId="3" fontId="8" fillId="6" borderId="5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18">
    <dxf>
      <font>
        <b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1F5F3A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color rgb="FFA6A6A6"/>
      </font>
      <fill>
        <patternFill>
          <bgColor rgb="FFD9D9D9"/>
        </patternFill>
      </fill>
    </dxf>
    <dxf>
      <font>
        <b/>
        <color rgb="FF2F7D4E"/>
      </font>
    </dxf>
    <dxf>
      <font>
        <b/>
        <color rgb="FFC00000"/>
      </font>
    </dxf>
    <dxf>
      <font>
        <b/>
        <color rgb="FFC98A00"/>
      </font>
    </dxf>
    <dxf>
      <font>
        <b/>
        <color rgb="FF2F7D4E"/>
      </font>
      <fill>
        <patternFill>
          <bgColor rgb="FFE2EFD9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1B1B1F"/>
      </font>
      <fill>
        <patternFill>
          <bgColor rgb="FFD9D9D9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FFFFFF"/>
      </font>
      <fill>
        <patternFill>
          <bgColor rgb="FF1F6F43"/>
        </patternFill>
      </fill>
    </dxf>
    <dxf>
      <font>
        <b/>
        <color rgb="FF1F5F3A"/>
      </font>
      <fill>
        <patternFill>
          <bgColor rgb="FFC6EF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calculos!$AR$12</c:f>
          <c:strCache>
            <c:ptCount val="1"/>
            <c:pt idx="0">
              <c:v>MOVIMENTAÇÃO VEÍCULO/DIA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Config!$B$63</c:f>
              <c:strCache>
                <c:ptCount val="1"/>
                <c:pt idx="0">
                  <c:v>Recebidos (IN)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calculos!$C$12:$C$42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ser>
          <c:idx val="1"/>
          <c:order val="1"/>
          <c:tx>
            <c:strRef>
              <c:f>Config!$B$64</c:f>
              <c:strCache>
                <c:ptCount val="1"/>
                <c:pt idx="0">
                  <c:v>Expedidos (OUT)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calculos!$L$12:$L$42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gapWidth val="6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calculos!$AR$13</c:f>
          <c:strCache>
            <c:ptCount val="1"/>
            <c:pt idx="0">
              <c:v>OCUPAÇÃO DIÁRIA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Config!$B$68</c:f>
              <c:strCache>
                <c:ptCount val="1"/>
                <c:pt idx="0">
                  <c:v>Ocupada (p.p)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calculos!$Y$12:$Y$42</c:f>
              <c:numCache>
                <c:formatCode>General</c:formatCode>
                <c:ptCount val="31"/>
              </c:numCache>
            </c:numRef>
          </c:val>
        </c:ser>
        <c:gapWidth val="40"/>
        <c:axId val="101"/>
        <c:axId val="102"/>
      </c:barChart>
      <c:lineChart>
        <c:grouping val="standard"/>
        <c:varyColors val="0"/>
        <c:ser>
          <c:idx val="1"/>
          <c:order val="1"/>
          <c:tx>
            <c:strRef>
              <c:f>calculos!$BB$336</c:f>
              <c:strCache>
                <c:ptCount val="1"/>
                <c:pt idx="0">
                  <c:v>Capacidade do armazém (p.p)</c:v>
                </c:pt>
              </c:strCache>
            </c:strRef>
          </c:tx>
          <c:spPr>
            <a:ln w="22225" cap="rnd">
              <a:solidFill>
                <a:srgbClr val="404040"/>
              </a:solidFill>
              <a:prstDash val="sysDot"/>
              <a:round/>
            </a:ln>
          </c:spPr>
          <c:marker>
            <c:symbol val="none"/>
          </c:marker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calculos!$X$12:$X$42</c:f>
              <c:numCache>
                <c:formatCode>General</c:formatCode>
                <c:ptCount val="31"/>
              </c:numCache>
            </c:numRef>
          </c:val>
          <c:smooth val="0"/>
        </c:ser>
        <c:ser>
          <c:idx val="2"/>
          <c:order val="2"/>
          <c:tx>
            <c:v>rótulo</c:v>
          </c:tx>
          <c:spPr>
            <a:ln>
              <a:noFill/>
            </a:ln>
          </c:spPr>
          <c:marker>
            <c:symbol val="none"/>
          </c:marker>
          <c:dLbls>
            <c:numFmt formatCode="#,##0&quot; p.p&quot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900" b="1">
                    <a:solidFill>
                      <a:srgbClr val="262626"/>
                    </a:solidFill>
                    <a:latin typeface="Calibri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calculos!$BD$12:$BD$42</c:f>
              <c:numCache>
                <c:formatCode>General</c:formatCode>
                <c:ptCount val="31"/>
              </c:numCache>
            </c:numRef>
          </c:val>
          <c:smooth val="0"/>
        </c:ser>
        <c:marker val="1"/>
        <c:axId val="101"/>
        <c:axId val="102"/>
      </c:line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&quot; p.p&quot;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legendEntry>
        <c:idx val="2"/>
        <c:delete val="1"/>
      </c:legendEntry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calculos!$AR$14</c:f>
          <c:strCache>
            <c:ptCount val="1"/>
            <c:pt idx="0">
              <c:v>MOVIMENTAÇÃO PALETES/DIA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calculos!$AN$336</c:f>
              <c:strCache>
                <c:ptCount val="1"/>
                <c:pt idx="0">
                  <c:v>Pallets Movimentados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calculos!$AY$12:$AY$42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calculos!$AO$336</c:f>
              <c:strCache>
                <c:ptCount val="1"/>
                <c:pt idx="0">
                  <c:v>Pallets Movimentados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calculos!$AZ$12:$AZ$42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gapWidth val="6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calculos!$AR$15</c:f>
          <c:strCache>
            <c:ptCount val="1"/>
            <c:pt idx="0">
              <c:v>MOVIMENTAÇÃO TONS/DIA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calculos!$AV$336</c:f>
              <c:strCache>
                <c:ptCount val="1"/>
                <c:pt idx="0">
                  <c:v>Toneladas Movimentadas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calculos!$BA$12:$BA$42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calculos!$AW$336</c:f>
              <c:strCache>
                <c:ptCount val="1"/>
                <c:pt idx="0">
                  <c:v>Toneladas Movimentadas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calculos!$BB$12:$BB$42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gapWidth val="6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calculos!$AR$16</c:f>
          <c:strCache>
            <c:ptCount val="1"/>
            <c:pt idx="0">
              <c:v>ACUMULADO SEMANAL PALETES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calculos!$AN$336</c:f>
              <c:strCache>
                <c:ptCount val="1"/>
                <c:pt idx="0">
                  <c:v>Pallets Movimentados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calculos!$A$92:$A$96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calculos!$AY$92:$AY$96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calculos!$AO$336</c:f>
              <c:strCache>
                <c:ptCount val="1"/>
                <c:pt idx="0">
                  <c:v>Pallets Movimentados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calculos!$A$92:$A$96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calculos!$AZ$92:$AZ$96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7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9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1"/>
        <c:axPos val="l"/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calculos!$AR$17</c:f>
          <c:strCache>
            <c:ptCount val="1"/>
            <c:pt idx="0">
              <c:v>ACUMULADO SEMANAL TONS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calculos!$AV$336</c:f>
              <c:strCache>
                <c:ptCount val="1"/>
                <c:pt idx="0">
                  <c:v>Toneladas Movimentadas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calculos!$A$92:$A$96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calculos!$BA$92:$BA$96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calculos!$AW$336</c:f>
              <c:strCache>
                <c:ptCount val="1"/>
                <c:pt idx="0">
                  <c:v>Toneladas Movimentadas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calculos!$A$92:$A$96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calculos!$BB$92:$BB$96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7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9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1"/>
        <c:axPos val="l"/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chart" Target="../charts/chart1.xml"/><Relationship Id="rId8" Type="http://schemas.openxmlformats.org/officeDocument/2006/relationships/chart" Target="../charts/chart2.xml"/><Relationship Id="rId9" Type="http://schemas.openxmlformats.org/officeDocument/2006/relationships/chart" Target="../charts/chart3.xml"/><Relationship Id="rId10" Type="http://schemas.openxmlformats.org/officeDocument/2006/relationships/chart" Target="../charts/chart4.xml"/><Relationship Id="rId11" Type="http://schemas.openxmlformats.org/officeDocument/2006/relationships/chart" Target="../charts/chart5.xml"/><Relationship Id="rId12" Type="http://schemas.openxmlformats.org/officeDocument/2006/relationships/chart" Target="../charts/chart6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</xdr:col>
      <xdr:colOff>19050</xdr:colOff>
      <xdr:row>0</xdr:row>
      <xdr:rowOff>47625</xdr:rowOff>
    </xdr:from>
    <xdr:ext cx="1152525" cy="323850"/>
    <xdr:pic>
      <xdr:nvPicPr>
        <xdr:cNvPr id="2" name="Imagem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152525" cy="323850"/>
        </a:xfrm>
        <a:prstGeom prst="rect">
          <a:avLst/>
        </a:prstGeom>
      </xdr:spPr>
    </xdr:pic>
    <xdr:clientData/>
  </xdr:oneCellAnchor>
  <xdr:oneCellAnchor>
    <xdr:from>
      <xdr:col>1</xdr:col>
      <xdr:colOff>104775</xdr:colOff>
      <xdr:row>5</xdr:row>
      <xdr:rowOff>104775</xdr:rowOff>
    </xdr:from>
    <xdr:ext cx="514350" cy="381000"/>
    <xdr:pic>
      <xdr:nvPicPr>
        <xdr:cNvPr id="3" name="Imagem 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0"/>
          <a:ext cx="514350" cy="381000"/>
        </a:xfrm>
        <a:prstGeom prst="rect">
          <a:avLst/>
        </a:prstGeom>
      </xdr:spPr>
    </xdr:pic>
    <xdr:clientData/>
  </xdr:oneCellAnchor>
  <xdr:oneCellAnchor>
    <xdr:from>
      <xdr:col>6</xdr:col>
      <xdr:colOff>142875</xdr:colOff>
      <xdr:row>5</xdr:row>
      <xdr:rowOff>104775</xdr:rowOff>
    </xdr:from>
    <xdr:ext cx="438150" cy="381000"/>
    <xdr:pic>
      <xdr:nvPicPr>
        <xdr:cNvPr id="4" name="Imagem 4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0" y="0"/>
          <a:ext cx="438150" cy="381000"/>
        </a:xfrm>
        <a:prstGeom prst="rect">
          <a:avLst/>
        </a:prstGeom>
      </xdr:spPr>
    </xdr:pic>
    <xdr:clientData/>
  </xdr:oneCellAnchor>
  <xdr:oneCellAnchor>
    <xdr:from>
      <xdr:col>11</xdr:col>
      <xdr:colOff>142875</xdr:colOff>
      <xdr:row>5</xdr:row>
      <xdr:rowOff>104775</xdr:rowOff>
    </xdr:from>
    <xdr:ext cx="438150" cy="381000"/>
    <xdr:pic>
      <xdr:nvPicPr>
        <xdr:cNvPr id="5" name="Imagem 5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0" y="0"/>
          <a:ext cx="438150" cy="381000"/>
        </a:xfrm>
        <a:prstGeom prst="rect">
          <a:avLst/>
        </a:prstGeom>
      </xdr:spPr>
    </xdr:pic>
    <xdr:clientData/>
  </xdr:oneCellAnchor>
  <xdr:oneCellAnchor>
    <xdr:from>
      <xdr:col>16</xdr:col>
      <xdr:colOff>104775</xdr:colOff>
      <xdr:row>5</xdr:row>
      <xdr:rowOff>104775</xdr:rowOff>
    </xdr:from>
    <xdr:ext cx="504825" cy="381000"/>
    <xdr:pic>
      <xdr:nvPicPr>
        <xdr:cNvPr id="6" name="Imagem 6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0" y="0"/>
          <a:ext cx="504825" cy="381000"/>
        </a:xfrm>
        <a:prstGeom prst="rect">
          <a:avLst/>
        </a:prstGeom>
      </xdr:spPr>
    </xdr:pic>
    <xdr:clientData/>
  </xdr:oneCellAnchor>
  <xdr:oneCellAnchor>
    <xdr:from>
      <xdr:col>21</xdr:col>
      <xdr:colOff>171450</xdr:colOff>
      <xdr:row>5</xdr:row>
      <xdr:rowOff>104775</xdr:rowOff>
    </xdr:from>
    <xdr:ext cx="381000" cy="381000"/>
    <xdr:pic>
      <xdr:nvPicPr>
        <xdr:cNvPr id="7" name="Imagem 7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0" y="0"/>
          <a:ext cx="381000" cy="381000"/>
        </a:xfrm>
        <a:prstGeom prst="rect">
          <a:avLst/>
        </a:prstGeom>
      </xdr:spPr>
    </xdr:pic>
    <xdr:clientData/>
  </xdr:oneCellAnchor>
  <xdr:twoCellAnchor editAs="oneCell">
    <xdr:from>
      <xdr:col>1</xdr:col>
      <xdr:colOff>0</xdr:colOff>
      <xdr:row>14</xdr:row>
      <xdr:rowOff>0</xdr:rowOff>
    </xdr:from>
    <xdr:to>
      <xdr:col>13</xdr:col>
      <xdr:colOff>0</xdr:colOff>
      <xdr:row>30</xdr:row>
      <xdr:rowOff>0</xdr:rowOff>
    </xdr:to>
    <xdr:graphicFrame macro="">
      <xdr:nvGraphicFramePr>
        <xdr:cNvPr id="8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7"/>
        </a:graphicData>
      </a:graphic>
    </xdr:graphicFrame>
    <xdr:clientData/>
  </xdr:twoCellAnchor>
  <xdr:twoCellAnchor editAs="oneCell">
    <xdr:from>
      <xdr:col>14</xdr:col>
      <xdr:colOff>0</xdr:colOff>
      <xdr:row>14</xdr:row>
      <xdr:rowOff>0</xdr:rowOff>
    </xdr:from>
    <xdr:to>
      <xdr:col>25</xdr:col>
      <xdr:colOff>0</xdr:colOff>
      <xdr:row>30</xdr:row>
      <xdr:rowOff>0</xdr:rowOff>
    </xdr:to>
    <xdr:graphicFrame macro="">
      <xdr:nvGraphicFramePr>
        <xdr:cNvPr id="9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8"/>
        </a:graphicData>
      </a:graphic>
    </xdr:graphicFrame>
    <xdr:clientData/>
  </xdr:twoCellAnchor>
  <xdr:twoCellAnchor editAs="oneCell">
    <xdr:from>
      <xdr:col>1</xdr:col>
      <xdr:colOff>0</xdr:colOff>
      <xdr:row>31</xdr:row>
      <xdr:rowOff>0</xdr:rowOff>
    </xdr:from>
    <xdr:to>
      <xdr:col>13</xdr:col>
      <xdr:colOff>0</xdr:colOff>
      <xdr:row>47</xdr:row>
      <xdr:rowOff>0</xdr:rowOff>
    </xdr:to>
    <xdr:graphicFrame macro="">
      <xdr:nvGraphicFramePr>
        <xdr:cNvPr id="10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9"/>
        </a:graphicData>
      </a:graphic>
    </xdr:graphicFrame>
    <xdr:clientData/>
  </xdr:twoCellAnchor>
  <xdr:twoCellAnchor editAs="oneCell">
    <xdr:from>
      <xdr:col>14</xdr:col>
      <xdr:colOff>0</xdr:colOff>
      <xdr:row>31</xdr:row>
      <xdr:rowOff>0</xdr:rowOff>
    </xdr:from>
    <xdr:to>
      <xdr:col>25</xdr:col>
      <xdr:colOff>0</xdr:colOff>
      <xdr:row>47</xdr:row>
      <xdr:rowOff>0</xdr:rowOff>
    </xdr:to>
    <xdr:graphicFrame macro="">
      <xdr:nvGraphicFramePr>
        <xdr:cNvPr id="11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0"/>
        </a:graphicData>
      </a:graphic>
    </xdr:graphicFrame>
    <xdr:clientData/>
  </xdr:twoCellAnchor>
  <xdr:twoCellAnchor editAs="oneCell">
    <xdr:from>
      <xdr:col>1</xdr:col>
      <xdr:colOff>0</xdr:colOff>
      <xdr:row>48</xdr:row>
      <xdr:rowOff>0</xdr:rowOff>
    </xdr:from>
    <xdr:to>
      <xdr:col>13</xdr:col>
      <xdr:colOff>0</xdr:colOff>
      <xdr:row>64</xdr:row>
      <xdr:rowOff>0</xdr:rowOff>
    </xdr:to>
    <xdr:graphicFrame macro="">
      <xdr:nvGraphicFramePr>
        <xdr:cNvPr id="12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1"/>
        </a:graphicData>
      </a:graphic>
    </xdr:graphicFrame>
    <xdr:clientData/>
  </xdr:twoCellAnchor>
  <xdr:twoCellAnchor editAs="oneCell">
    <xdr:from>
      <xdr:col>14</xdr:col>
      <xdr:colOff>0</xdr:colOff>
      <xdr:row>48</xdr:row>
      <xdr:rowOff>0</xdr:rowOff>
    </xdr:from>
    <xdr:to>
      <xdr:col>25</xdr:col>
      <xdr:colOff>0</xdr:colOff>
      <xdr:row>64</xdr:row>
      <xdr:rowOff>0</xdr:rowOff>
    </xdr:to>
    <xdr:graphicFrame macro="">
      <xdr:nvGraphicFramePr>
        <xdr:cNvPr id="13" name="Gráfico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0</xdr:col>
      <xdr:colOff>76200</xdr:colOff>
      <xdr:row>0</xdr:row>
      <xdr:rowOff>47625</xdr:rowOff>
    </xdr:from>
    <xdr:ext cx="1152525" cy="323850"/>
    <xdr:pic>
      <xdr:nvPicPr>
        <xdr:cNvPr id="2" name="Imagem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152525" cy="323850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</xdr:col>
      <xdr:colOff>19050</xdr:colOff>
      <xdr:row>0</xdr:row>
      <xdr:rowOff>47625</xdr:rowOff>
    </xdr:from>
    <xdr:ext cx="1152525" cy="323850"/>
    <xdr:pic>
      <xdr:nvPicPr>
        <xdr:cNvPr id="2" name="Imagem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152525" cy="32385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id="1" name="tbBase" displayName="tbBase" ref="A2:AH3" totalsRowShown="0">
  <autoFilter ref="A2:AH3"/>
  <tableColumns count="34">
    <tableColumn id="1" name="Data"/>
    <tableColumn id="2" name="Cliente"/>
    <tableColumn id="3" name="IN Veículos Recebidos"/>
    <tableColumn id="4" name="IN Pallets Movimentados"/>
    <tableColumn id="5" name="IN Toneladas Movimentadas"/>
    <tableColumn id="6" name="IN Linhas NF"/>
    <tableColumn id="7" name="IN Caixas Movimentadas"/>
    <tableColumn id="8" name="IN Peças Movimentadas"/>
    <tableColumn id="9" name="IN Itens Recebidos CX Mista"/>
    <tableColumn id="10" name="IN Caixas Fechadas"/>
    <tableColumn id="11" name="IN Caixas Mistas Recebidas"/>
    <tableColumn id="12" name="OUT Veículos Expedidos"/>
    <tableColumn id="13" name="OUT Pedidos Expedidos"/>
    <tableColumn id="14" name="OUT Pedidos Faturados"/>
    <tableColumn id="15" name="OUT Itens Expedidos"/>
    <tableColumn id="16" name="OUT Peças Movimentadas"/>
    <tableColumn id="17" name="OUT Linhas NF"/>
    <tableColumn id="18" name="OUT Caixas Expedidas"/>
    <tableColumn id="19" name="OUT Pallets Movimentados"/>
    <tableColumn id="20" name="OUT Toneladas Movimentadas"/>
    <tableColumn id="21" name="NC Incidentes"/>
    <tableColumn id="22" name="NC No show"/>
    <tableColumn id="23" name="NC Backlog"/>
    <tableColumn id="24" name="Posições Disponíveis"/>
    <tableColumn id="25" name="Posições Ocupadas"/>
    <tableColumn id="26" name="Efetivo Op."/>
    <tableColumn id="27" name="Falta"/>
    <tableColumn id="28" name="Folga"/>
    <tableColumn id="29" name="Férias"/>
    <tableColumn id="30" name="Desligamento"/>
    <tableColumn id="31" name="Desvios Comportamentais"/>
    <tableColumn id="32" name="Acidentes CAF"/>
    <tableColumn id="33" name="Acidentes SAF"/>
    <tableColumn id="34" name="Modalidade"/>
  </tableColumns>
  <tableStyleInfo name="TableStyleLight1" showFirstColumn="0" showLastColumn="0" showRowStripes="1" showColumnStripes="0"/>
</tabl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T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E01E1E"/>
    <pageSetUpPr fitToPage="1"/>
  </sheetPr>
  <dimension ref="A1:Z65"/>
  <sheetViews>
    <sheetView showGridLines="0" tabSelected="1" zoomScale="90" zoomScaleNormal="90" workbookViewId="0"/>
  </sheetViews>
  <sheetFormatPr defaultRowHeight="15"/>
  <cols>
    <col min="1" max="1" width="1.5" customWidth="1"/>
    <col min="2" max="2" width="10" customWidth="1"/>
    <col min="3" max="3" width="10" customWidth="1"/>
    <col min="4" max="4" width="10" customWidth="1"/>
    <col min="5" max="5" width="10" customWidth="1"/>
    <col min="6" max="6" width="1.8" customWidth="1"/>
    <col min="7" max="7" width="10" customWidth="1"/>
    <col min="8" max="8" width="10" customWidth="1"/>
    <col min="9" max="9" width="10" customWidth="1"/>
    <col min="10" max="10" width="10" customWidth="1"/>
    <col min="11" max="11" width="1.8" customWidth="1"/>
    <col min="12" max="12" width="10" customWidth="1"/>
    <col min="13" max="13" width="10" customWidth="1"/>
    <col min="14" max="14" width="10" customWidth="1"/>
    <col min="15" max="15" width="10" customWidth="1"/>
    <col min="16" max="16" width="1.8" customWidth="1"/>
    <col min="17" max="17" width="10" customWidth="1"/>
    <col min="18" max="18" width="10" customWidth="1"/>
    <col min="19" max="19" width="10" customWidth="1"/>
    <col min="20" max="20" width="10" customWidth="1"/>
    <col min="21" max="21" width="1.8" customWidth="1"/>
    <col min="22" max="22" width="10" customWidth="1"/>
    <col min="23" max="23" width="10" customWidth="1"/>
    <col min="24" max="24" width="10" customWidth="1"/>
    <col min="25" max="25" width="10" customWidth="1"/>
    <col min="26" max="26" width="1.5" customWidth="1"/>
  </cols>
  <sheetData>
    <row r="1" ht="34.5" customHeight="1">
      <c r="A1" s="90"/>
      <c r="B1" s="90"/>
      <c r="C1" s="90"/>
      <c r="D1" s="90"/>
      <c r="E1" s="90"/>
      <c r="F1" s="90"/>
      <c r="G1" s="92" t="str">
        <f>"DASHBOARD · INDICADORES OPERACIONAIS"&amp;IF(calculos!$E$2="",""," · "&amp;calculos!$E$2)</f>
        <v>DASHBOARD · INDICADORES OPERACIONAIS · TPC</v>
      </c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</row>
    <row r="3" ht="26" customHeight="1">
      <c r="B3" s="93" t="inlineStr">
        <is>
          <t xml:space="preserve">CLIENTE  ▸</t>
        </is>
      </c>
      <c r="C3" s="93"/>
      <c r="D3" s="94" t="inlineStr">
        <is>
          <t xml:space="preserve">Todos</t>
        </is>
      </c>
      <c r="E3" s="95"/>
      <c r="F3" s="95"/>
      <c r="G3" s="95"/>
      <c r="H3" s="95"/>
      <c r="I3" s="96"/>
      <c r="L3" s="93" t="inlineStr">
        <is>
          <t xml:space="preserve">PERÍODO  ▸</t>
        </is>
      </c>
      <c r="M3" s="93"/>
      <c r="N3" s="93"/>
      <c r="O3" s="93"/>
      <c r="Q3" s="97">
        <v>46296</v>
      </c>
      <c r="R3" s="98"/>
      <c r="S3" s="99"/>
      <c r="T3" s="100" t="inlineStr">
        <is>
          <t xml:space="preserve">até</t>
        </is>
      </c>
      <c r="V3" s="97">
        <v>46326</v>
      </c>
      <c r="W3" s="98"/>
      <c r="X3" s="99"/>
    </row>
    <row r="4" ht="16" customHeight="1">
      <c r="B4" s="101" t="str">
        <f>"Período "&amp;TEXT(calculos!$F$7,"dd/mm")&amp;"/"&amp;YEAR(calculos!$F$7)&amp;" a "&amp;TEXT(calculos!$G$7,"dd/mm")&amp;"/"&amp;YEAR(calculos!$G$7)&amp;"   ·   ▲▼ comparado a "&amp;TEXT(calculos!$F$8,"dd/mm")&amp;"–"&amp;TEXT(calculos!$G$8,"dd/mm")&amp;" (mesmo número de dias)   ·   gráficos diários: "&amp;calculos!$B$7</f>
        <v>Período 01/10/2026 a 31/10/2026   ·   ▲▼ comparado a 31/08–30/09 (mesmo número de dias)   ·   gráficos diários: Outubro/2026</v>
      </c>
      <c r="C4" s="101"/>
      <c r="D4" s="101"/>
      <c r="E4" s="101"/>
      <c r="F4" s="101"/>
      <c r="G4" s="101"/>
      <c r="H4" s="101"/>
      <c r="I4" s="101"/>
      <c r="J4" s="101"/>
      <c r="K4" s="101"/>
      <c r="L4" s="101"/>
      <c r="M4" s="101"/>
      <c r="N4" s="101"/>
      <c r="O4" s="101"/>
      <c r="P4" s="101"/>
      <c r="Q4" s="101"/>
      <c r="R4" s="101"/>
      <c r="S4" s="101"/>
      <c r="T4" s="101"/>
      <c r="U4" s="101"/>
      <c r="V4" s="101"/>
      <c r="W4" s="101"/>
      <c r="X4" s="101"/>
      <c r="Y4" s="101"/>
    </row>
    <row r="6" ht="46" customHeight="1">
      <c r="B6" s="108"/>
      <c r="C6" s="109" t="str">
        <f>Config!$B$41&amp;""</f>
        <v>RECEBIMENTO (IN)</v>
      </c>
      <c r="D6" s="109"/>
      <c r="E6" s="109"/>
      <c r="G6" s="114"/>
      <c r="H6" s="115" t="str">
        <f>Config!$B$43&amp;""</f>
        <v>EXPEDIÇÃO (OUT)</v>
      </c>
      <c r="I6" s="115"/>
      <c r="J6" s="115"/>
      <c r="L6" s="116"/>
      <c r="M6" s="117" t="str">
        <f>Config!$B$45&amp;""</f>
        <v>NC OPERACIONAL</v>
      </c>
      <c r="N6" s="117"/>
      <c r="O6" s="117"/>
      <c r="Q6" s="108"/>
      <c r="R6" s="109" t="str">
        <f>Config!$B$49&amp;""</f>
        <v>ÍNDICE DE OCUPAÇÃO (P.P)</v>
      </c>
      <c r="S6" s="109"/>
      <c r="T6" s="109"/>
      <c r="V6" s="126"/>
      <c r="W6" s="127" t="str">
        <f>Config!$B$55&amp;""</f>
        <v>GENTE</v>
      </c>
      <c r="X6" s="127"/>
      <c r="Y6" s="127"/>
    </row>
    <row r="7" ht="20" customHeight="1">
      <c r="B7" s="110">
        <f>IF(calculos!$AX$336="Não se aplica","—",calculos!$B$295)</f>
        <v>0</v>
      </c>
      <c r="C7" s="110"/>
      <c r="D7" s="110"/>
      <c r="E7" s="110"/>
      <c r="G7" s="110">
        <f>IF(calculos!$AY$336="Não se aplica","—",calculos!$B$298)</f>
        <v>0</v>
      </c>
      <c r="H7" s="110"/>
      <c r="I7" s="110"/>
      <c r="J7" s="110"/>
      <c r="L7" s="110">
        <f>calculos!$B$301</f>
        <v>0</v>
      </c>
      <c r="M7" s="110"/>
      <c r="N7" s="110"/>
      <c r="O7" s="110"/>
      <c r="Q7" s="118" t="str">
        <f>IF(OR(calculos!$AZ$336="Completo",calculos!$AZ$336=""),calculos!$BA$336&amp;"","")</f>
        <v>ARMAZÉM</v>
      </c>
      <c r="R7" s="118"/>
      <c r="S7" s="122" t="str">
        <f>IF(OR(calculos!$AZ$336="Completo",calculos!$AZ$336=""),calculos!$B$305,"")</f>
        <v/>
      </c>
      <c r="T7" s="122"/>
      <c r="V7" s="118" t="str">
        <f>Config!$B$56&amp;""</f>
        <v>EFETIVO</v>
      </c>
      <c r="W7" s="118"/>
      <c r="X7" s="119" t="str">
        <f>calculos!$B$308</f>
        <v/>
      </c>
      <c r="Y7" s="119"/>
    </row>
    <row r="8" ht="20" customHeight="1">
      <c r="B8" s="110"/>
      <c r="C8" s="110"/>
      <c r="D8" s="110"/>
      <c r="E8" s="110"/>
      <c r="G8" s="110"/>
      <c r="H8" s="110"/>
      <c r="I8" s="110"/>
      <c r="J8" s="110"/>
      <c r="L8" s="110"/>
      <c r="M8" s="110"/>
      <c r="N8" s="110"/>
      <c r="O8" s="110"/>
      <c r="Q8" s="118" t="str">
        <f>IF(calculos!$AZ$336="Não se aplica","",Config!$B$52&amp;"")</f>
        <v>OCUPADA</v>
      </c>
      <c r="R8" s="118"/>
      <c r="S8" s="122" t="str">
        <f>IF(calculos!$AZ$336="Não se aplica","",calculos!$B$304)</f>
        <v/>
      </c>
      <c r="T8" s="122"/>
      <c r="V8" s="118" t="str">
        <f>Config!$B$57&amp;""</f>
        <v>ABSENTEÍSMO (H/H)</v>
      </c>
      <c r="W8" s="118"/>
      <c r="X8" s="123" t="str">
        <f>calculos!$B$311</f>
        <v/>
      </c>
      <c r="Y8" s="123"/>
    </row>
    <row r="9" ht="20" customHeight="1">
      <c r="B9" s="110"/>
      <c r="C9" s="110"/>
      <c r="D9" s="110"/>
      <c r="E9" s="110"/>
      <c r="G9" s="110"/>
      <c r="H9" s="110"/>
      <c r="I9" s="110"/>
      <c r="J9" s="110"/>
      <c r="L9" s="110"/>
      <c r="M9" s="110"/>
      <c r="N9" s="110"/>
      <c r="O9" s="110"/>
      <c r="Q9" s="118" t="str">
        <f>IF(OR(calculos!$AZ$336="Completo",calculos!$AZ$336=""),Config!$B$53&amp;"","")</f>
        <v>TX OCUPAÇÃO</v>
      </c>
      <c r="R9" s="118"/>
      <c r="S9" s="123" t="str">
        <f>IF(OR(calculos!$AZ$336="Completo",calculos!$AZ$336=""),calculos!$B$306,"")</f>
        <v/>
      </c>
      <c r="T9" s="123"/>
      <c r="V9" s="118" t="str">
        <f>Config!$B$58&amp;""</f>
        <v>FÉRIAS</v>
      </c>
      <c r="W9" s="118"/>
      <c r="X9" s="119">
        <f>calculos!$B$313</f>
        <v>0</v>
      </c>
      <c r="Y9" s="119"/>
    </row>
    <row r="10" ht="20" customHeight="1">
      <c r="B10" s="111" t="str">
        <f>IF(calculos!$AX$336="Não se aplica","não se aplica a este cliente",Config!$B$42&amp;"")</f>
        <v>veículos recebidos</v>
      </c>
      <c r="C10" s="111"/>
      <c r="D10" s="111"/>
      <c r="E10" s="111"/>
      <c r="G10" s="111" t="str">
        <f>IF(calculos!$AY$336="Não se aplica","não se aplica a este cliente",Config!$B$44&amp;"")</f>
        <v>veículos expedidos</v>
      </c>
      <c r="H10" s="111"/>
      <c r="I10" s="111"/>
      <c r="J10" s="111"/>
      <c r="L10" s="111" t="str">
        <f>Config!$B$46&amp;""</f>
        <v>incidentes no período</v>
      </c>
      <c r="M10" s="111"/>
      <c r="N10" s="111"/>
      <c r="O10" s="111"/>
      <c r="Q10" s="118" t="str">
        <f>IF(OR(calculos!$AZ$336="Completo",calculos!$AZ$336=""),Config!$B$54&amp;"","")</f>
        <v>OCIOSIDADE</v>
      </c>
      <c r="R10" s="118"/>
      <c r="S10" s="124" t="str">
        <f>IF(OR(calculos!$AZ$336="Completo",calculos!$AZ$336=""),calculos!$B$307,"")</f>
        <v/>
      </c>
      <c r="T10" s="124"/>
      <c r="V10" s="118" t="str">
        <f>Config!$B$59&amp;""</f>
        <v>TURNOVER</v>
      </c>
      <c r="W10" s="118"/>
      <c r="X10" s="123" t="str">
        <f>calculos!$B$315</f>
        <v/>
      </c>
      <c r="Y10" s="123"/>
    </row>
    <row r="11" ht="20" customHeight="1">
      <c r="B11" s="112" t="str">
        <f>IF(calculos!$AX$336="Não se aplica","",calculos!$B$334)</f>
        <v>0 pallets movimentados</v>
      </c>
      <c r="C11" s="112"/>
      <c r="D11" s="112"/>
      <c r="E11" s="112"/>
      <c r="G11" s="112" t="str">
        <f>IF(calculos!$AY$336="Não se aplica","",calculos!$F$334)</f>
        <v>0 pallets movimentados</v>
      </c>
      <c r="H11" s="112"/>
      <c r="I11" s="112"/>
      <c r="J11" s="112"/>
      <c r="L11" s="118" t="str">
        <f>Config!$B$47&amp;""</f>
        <v>NO SHOW</v>
      </c>
      <c r="M11" s="118"/>
      <c r="N11" s="119">
        <f>calculos!$B$302</f>
        <v>0</v>
      </c>
      <c r="O11" s="119"/>
      <c r="Q11" s="125" t="str">
        <f>IF(calculos!$AZ$336="Não se aplica","não se aplica a este cliente",IF(calculos!$AZ$336="Só ocupadas","só posições ocupadas · sem contrato (Spot / Cross)",IF(ISNUMBER(calculos!$B$306),"taxa de ocupação · "&amp;IF(calculos!$B$306&gt;1,"excede o contratado",IF(calculos!$B$306&gt;=calculos!$B$6,"ocupação alta",IF(calculos!$B$306&gt;=calculos!$B$5,"ocupação média","ociosidade alta"))),"")))</f>
        <v/>
      </c>
      <c r="R11" s="125"/>
      <c r="S11" s="125"/>
      <c r="T11" s="125"/>
      <c r="V11" s="118" t="str">
        <f>Config!$B$60&amp;""</f>
        <v>DESVIOS COMPORTAM.</v>
      </c>
      <c r="W11" s="118"/>
      <c r="X11" s="119">
        <f>calculos!$B$316</f>
        <v>0</v>
      </c>
      <c r="Y11" s="119"/>
    </row>
    <row r="12" ht="20" customHeight="1">
      <c r="B12" s="112" t="str">
        <f>IF(calculos!$AX$336="Não se aplica","",calculos!$D$334)</f>
        <v>0,0 t movimentadas</v>
      </c>
      <c r="C12" s="112"/>
      <c r="D12" s="112"/>
      <c r="E12" s="112"/>
      <c r="G12" s="112" t="str">
        <f>IF(calculos!$AY$336="Não se aplica","",calculos!$H$334)</f>
        <v>0,0 t movimentadas</v>
      </c>
      <c r="H12" s="112"/>
      <c r="I12" s="112"/>
      <c r="J12" s="112"/>
      <c r="L12" s="120" t="str">
        <f>Config!$B$48&amp;""</f>
        <v>BACKLOG</v>
      </c>
      <c r="M12" s="120"/>
      <c r="N12" s="121" t="str">
        <f>calculos!$B$303</f>
        <v/>
      </c>
      <c r="O12" s="121"/>
      <c r="Q12" s="125"/>
      <c r="R12" s="125"/>
      <c r="S12" s="125"/>
      <c r="T12" s="125"/>
      <c r="V12" s="120" t="str">
        <f>Config!$B$61&amp;""</f>
        <v>ACIDENTES (CAF/SAF)</v>
      </c>
      <c r="W12" s="120"/>
      <c r="X12" s="128" t="str">
        <f>N(calculos!$B$317)&amp;" / "&amp;N(calculos!$B$318)</f>
        <v>0 / 0</v>
      </c>
      <c r="Y12" s="128"/>
    </row>
    <row r="13" ht="18" customHeight="1">
      <c r="B13" s="113" t="str">
        <f>IF(calculos!$AX$336="Não se aplica","",calculos!$D$295)</f>
        <v/>
      </c>
      <c r="C13" s="113"/>
      <c r="D13" s="113"/>
      <c r="E13" s="113"/>
      <c r="G13" s="113" t="str">
        <f>IF(calculos!$AY$336="Não se aplica","",calculos!$D$298)</f>
        <v/>
      </c>
      <c r="H13" s="113"/>
      <c r="I13" s="113"/>
      <c r="J13" s="113"/>
      <c r="L13" s="113" t="str">
        <f>calculos!$D$301</f>
        <v/>
      </c>
      <c r="M13" s="113"/>
      <c r="N13" s="113"/>
      <c r="O13" s="113"/>
      <c r="Q13" s="113" t="str">
        <f>IF(AND(calculos!$AZ$336&lt;&gt;"Completo",calculos!$AZ$336&lt;&gt;""),"",calculos!$D$306)</f>
        <v/>
      </c>
      <c r="R13" s="113"/>
      <c r="S13" s="113"/>
      <c r="T13" s="113"/>
      <c r="V13" s="113" t="str">
        <f>calculos!$D$308</f>
        <v/>
      </c>
      <c r="W13" s="113"/>
      <c r="X13" s="113"/>
      <c r="Y13" s="113"/>
    </row>
    <row r="65">
      <c r="B65" s="129" t="inlineStr">
        <is>
          <t xml:space="preserve">Cards: período digitado (dia inicial e final). Gráficos: mês do dia inicial. Absenteísmo (H/H) = faltas ÷ homem-dia (soma do efetivo diário) · Turnover = desligamentos ÷ efetivo · CAF/SAF = acidentes com / sem afastamento. Metas: aba BD.</t>
        </is>
      </c>
      <c r="C65" s="129"/>
      <c r="D65" s="129"/>
      <c r="E65" s="129"/>
      <c r="F65" s="129"/>
      <c r="G65" s="129"/>
      <c r="H65" s="129"/>
      <c r="I65" s="129"/>
      <c r="J65" s="129"/>
      <c r="K65" s="129"/>
      <c r="L65" s="129"/>
      <c r="M65" s="129"/>
      <c r="N65" s="129"/>
      <c r="O65" s="129"/>
      <c r="P65" s="129"/>
      <c r="Q65" s="129"/>
      <c r="R65" s="129"/>
      <c r="S65" s="129"/>
      <c r="T65" s="129"/>
      <c r="U65" s="129"/>
      <c r="V65" s="129"/>
      <c r="W65" s="129"/>
      <c r="X65" s="129"/>
      <c r="Y65" s="129"/>
    </row>
  </sheetData>
  <sheetProtection password="CC78" sheet="1" objects="1" scenarios="1"/>
  <mergeCells count="53">
    <mergeCell ref="G1:Z1"/>
    <mergeCell ref="B3:C3"/>
    <mergeCell ref="D3:I3"/>
    <mergeCell ref="L3:O3"/>
    <mergeCell ref="Q3:S3"/>
    <mergeCell ref="V3:X3"/>
    <mergeCell ref="B4:Y4"/>
    <mergeCell ref="C6:E6"/>
    <mergeCell ref="B7:E9"/>
    <mergeCell ref="B10:E10"/>
    <mergeCell ref="B11:E11"/>
    <mergeCell ref="B12:E12"/>
    <mergeCell ref="B13:E13"/>
    <mergeCell ref="H6:J6"/>
    <mergeCell ref="G7:J9"/>
    <mergeCell ref="G10:J10"/>
    <mergeCell ref="G11:J11"/>
    <mergeCell ref="G12:J12"/>
    <mergeCell ref="G13:J13"/>
    <mergeCell ref="M6:O6"/>
    <mergeCell ref="L7:O9"/>
    <mergeCell ref="L10:O10"/>
    <mergeCell ref="L11:M11"/>
    <mergeCell ref="N11:O11"/>
    <mergeCell ref="L12:M12"/>
    <mergeCell ref="N12:O12"/>
    <mergeCell ref="L13:O13"/>
    <mergeCell ref="R6:T6"/>
    <mergeCell ref="Q7:R7"/>
    <mergeCell ref="S7:T7"/>
    <mergeCell ref="Q8:R8"/>
    <mergeCell ref="S8:T8"/>
    <mergeCell ref="Q9:R9"/>
    <mergeCell ref="S9:T9"/>
    <mergeCell ref="Q10:R10"/>
    <mergeCell ref="S10:T10"/>
    <mergeCell ref="Q11:T12"/>
    <mergeCell ref="Q13:T13"/>
    <mergeCell ref="W6:Y6"/>
    <mergeCell ref="V7:W7"/>
    <mergeCell ref="X7:Y7"/>
    <mergeCell ref="V8:W8"/>
    <mergeCell ref="X8:Y8"/>
    <mergeCell ref="V9:W9"/>
    <mergeCell ref="X9:Y9"/>
    <mergeCell ref="V10:W10"/>
    <mergeCell ref="X10:Y10"/>
    <mergeCell ref="V11:W11"/>
    <mergeCell ref="X11:Y11"/>
    <mergeCell ref="V12:W12"/>
    <mergeCell ref="X12:Y12"/>
    <mergeCell ref="V13:Y13"/>
    <mergeCell ref="B65:Y65"/>
  </mergeCells>
  <conditionalFormatting sqref="B13">
    <cfRule type="expression" dxfId="6" priority="1">
      <formula>AND(ISNUMBER(B13),B13&gt;0)</formula>
    </cfRule>
  </conditionalFormatting>
  <conditionalFormatting sqref="B13">
    <cfRule type="expression" dxfId="7" priority="2">
      <formula>AND(ISNUMBER(B13),B13&lt;0)</formula>
    </cfRule>
  </conditionalFormatting>
  <conditionalFormatting sqref="G13">
    <cfRule type="expression" dxfId="6" priority="3">
      <formula>AND(ISNUMBER(G13),G13&gt;0)</formula>
    </cfRule>
  </conditionalFormatting>
  <conditionalFormatting sqref="G13">
    <cfRule type="expression" dxfId="7" priority="4">
      <formula>AND(ISNUMBER(G13),G13&lt;0)</formula>
    </cfRule>
  </conditionalFormatting>
  <conditionalFormatting sqref="L13">
    <cfRule type="expression" dxfId="6" priority="5">
      <formula>AND(ISNUMBER(L13),L13&lt;0)</formula>
    </cfRule>
  </conditionalFormatting>
  <conditionalFormatting sqref="L13">
    <cfRule type="expression" dxfId="7" priority="6">
      <formula>AND(ISNUMBER(L13),L13&gt;0)</formula>
    </cfRule>
  </conditionalFormatting>
  <conditionalFormatting sqref="S9">
    <cfRule type="expression" dxfId="6" priority="7" stopIfTrue="1">
      <formula>AND(ISNUMBER(S9),S9&gt;=calculos!$B$6)</formula>
    </cfRule>
  </conditionalFormatting>
  <conditionalFormatting sqref="S9">
    <cfRule type="expression" dxfId="8" priority="8" stopIfTrue="1">
      <formula>AND(ISNUMBER(S9),S9&gt;=calculos!$B$5)</formula>
    </cfRule>
  </conditionalFormatting>
  <conditionalFormatting sqref="S9">
    <cfRule type="expression" dxfId="7" priority="9">
      <formula>ISNUMBER(S9)</formula>
    </cfRule>
  </conditionalFormatting>
  <conditionalFormatting sqref="X11">
    <cfRule type="expression" dxfId="7" priority="10" stopIfTrue="1">
      <formula>N(calculos!$B$316)&gt;0</formula>
    </cfRule>
  </conditionalFormatting>
  <conditionalFormatting sqref="X11">
    <cfRule type="expression" dxfId="6" priority="11">
      <formula>N(calculos!$B$316)=0</formula>
    </cfRule>
  </conditionalFormatting>
  <conditionalFormatting sqref="X12">
    <cfRule type="expression" dxfId="7" priority="12" stopIfTrue="1">
      <formula>N(calculos!$B$317)+N(calculos!$B$318)&gt;0</formula>
    </cfRule>
  </conditionalFormatting>
  <conditionalFormatting sqref="X12">
    <cfRule type="expression" dxfId="6" priority="13">
      <formula>N(calculos!$B$317)+N(calculos!$B$318)=0</formula>
    </cfRule>
  </conditionalFormatting>
  <dataValidations count="3">
    <dataValidation type="list" allowBlank="1" showInputMessage="1" showErrorMessage="1" promptTitle="Cliente" prompt="Escolha na lista. Cards e gráficos se atualizam." errorTitle="Valor inválido" error="Escolha um valor da lista." sqref="D3">
      <formula1>calculos!$AO$12:$AO$22</formula1>
    </dataValidation>
    <dataValidation type="date" operator="greaterThanOrEqual" allowBlank="1" showInputMessage="1" showErrorMessage="1" promptTitle="Dia inicial" prompt="Digite a data inicial (dd/mm/aaaa)." errorTitle="Valor inválido" error="Digite uma data válida (dd/mm/aaaa)." sqref="Q3">
      <formula1>43831</formula1>
    </dataValidation>
    <dataValidation type="date" operator="greaterThanOrEqual" allowBlank="1" showInputMessage="1" showErrorMessage="1" promptTitle="Dia final" prompt="Digite a data final (dd/mm/aaaa)." errorTitle="Valor inválido" error="Digite uma data válida (dd/mm/aaaa)." sqref="V3">
      <formula1>43831</formula1>
    </dataValidation>
  </dataValidations>
  <pageMargins left="0.25" right="0.25" top="0.4" bottom="0.4" header="0.2" footer="0.2"/>
  <pageSetup paperSize="9" orientation="landscape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00000"/>
    <pageSetUpPr fitToPage="1"/>
  </sheetPr>
  <dimension ref="A1:AK211"/>
  <sheetViews>
    <sheetView showGridLines="0" zoomScale="100" zoomScaleNormal="100" workbookViewId="0">
      <pane xSplit="5" ySplit="4" topLeftCell="F5" activePane="bottomRight" state="frozen"/>
      <selection pane="bottomRight" activeCell="F5" sqref="F5"/>
    </sheetView>
  </sheetViews>
  <sheetFormatPr defaultRowHeight="15"/>
  <cols>
    <col min="1" max="1" width="13" customWidth="1"/>
    <col min="2" max="2" width="17.3" customWidth="1"/>
    <col min="3" max="3" width="24" customWidth="1"/>
    <col min="4" max="4" width="8" customWidth="1"/>
    <col min="5" max="5" width="1.6" customWidth="1"/>
    <col min="6" max="6" width="6.3" customWidth="1"/>
    <col min="7" max="7" width="6.3" customWidth="1"/>
    <col min="8" max="8" width="6.3" customWidth="1"/>
    <col min="9" max="9" width="6.3" customWidth="1"/>
    <col min="10" max="10" width="6.3" customWidth="1"/>
    <col min="11" max="11" width="6.3" customWidth="1"/>
    <col min="12" max="12" width="6.3" customWidth="1"/>
    <col min="13" max="13" width="6.3" customWidth="1"/>
    <col min="14" max="14" width="6.3" customWidth="1"/>
    <col min="15" max="15" width="6.3" customWidth="1"/>
    <col min="16" max="16" width="6.3" customWidth="1"/>
    <col min="17" max="17" width="6.3" customWidth="1"/>
    <col min="18" max="18" width="6.3" customWidth="1"/>
    <col min="19" max="19" width="6.3" customWidth="1"/>
    <col min="20" max="20" width="6.3" customWidth="1"/>
    <col min="21" max="21" width="6.3" customWidth="1"/>
    <col min="22" max="22" width="6.3" customWidth="1"/>
    <col min="23" max="23" width="6.3" customWidth="1"/>
    <col min="24" max="24" width="6.3" customWidth="1"/>
    <col min="25" max="25" width="6.3" customWidth="1"/>
    <col min="26" max="26" width="6.3" customWidth="1"/>
    <col min="27" max="27" width="6.3" customWidth="1"/>
    <col min="28" max="28" width="6.3" customWidth="1"/>
    <col min="29" max="29" width="6.3" customWidth="1"/>
    <col min="30" max="30" width="6.3" customWidth="1"/>
    <col min="31" max="31" width="6.3" customWidth="1"/>
    <col min="32" max="32" width="6.3" customWidth="1"/>
    <col min="33" max="33" width="6.3" customWidth="1"/>
    <col min="34" max="34" width="6.3" customWidth="1"/>
    <col min="35" max="35" width="6.3" customWidth="1"/>
    <col min="36" max="36" width="6.3" customWidth="1"/>
    <col min="37" max="37" width="9.5" customWidth="1"/>
  </cols>
  <sheetData>
    <row r="1" ht="34.5" customHeight="1">
      <c r="A1" s="90"/>
      <c r="B1" s="90"/>
      <c r="C1" s="90"/>
      <c r="D1" s="90"/>
      <c r="E1" s="90"/>
      <c r="F1" s="90"/>
      <c r="G1" s="130" t="inlineStr">
        <is>
          <t xml:space="preserve">MONITORAMENTO DIÁRIO DE PERFORMANCE · TPC</t>
        </is>
      </c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  <c r="AA1" s="130"/>
      <c r="AB1" s="130"/>
      <c r="AC1" s="130"/>
      <c r="AD1" s="130"/>
      <c r="AE1" s="131" t="inlineStr">
        <is>
          <t xml:space="preserve">OUTUBRO · 2026</t>
        </is>
      </c>
      <c r="AF1" s="131"/>
      <c r="AG1" s="131"/>
      <c r="AH1" s="131"/>
      <c r="AI1" s="131"/>
      <c r="AJ1" s="131"/>
      <c r="AK1" s="131"/>
    </row>
    <row r="2" ht="19.5" customHeight="1">
      <c r="A2" s="132" t="inlineStr">
        <is>
          <t xml:space="preserve">CLIENTE</t>
        </is>
      </c>
      <c r="B2" s="134" t="inlineStr">
        <is>
          <t xml:space="preserve">INDICADORES</t>
        </is>
      </c>
      <c r="C2" s="135"/>
      <c r="D2" s="138" t="inlineStr">
        <is>
          <t xml:space="preserve">META</t>
        </is>
      </c>
      <c r="F2" s="140" t="inlineStr">
        <is>
          <t xml:space="preserve">REALIZADO P/DIA</t>
        </is>
      </c>
      <c r="G2" s="141"/>
      <c r="H2" s="141"/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  <c r="AD2" s="141"/>
      <c r="AE2" s="141"/>
      <c r="AF2" s="141"/>
      <c r="AG2" s="141"/>
      <c r="AH2" s="141"/>
      <c r="AI2" s="141"/>
      <c r="AJ2" s="142"/>
      <c r="AK2" s="143" t="inlineStr">
        <is>
          <t xml:space="preserve">MÊS</t>
        </is>
      </c>
    </row>
    <row r="3" ht="13.5" customHeight="1">
      <c r="A3" s="133"/>
      <c r="B3" s="136"/>
      <c r="C3" s="137"/>
      <c r="D3" s="139"/>
      <c r="F3" s="145">
        <f>IF(ISNUMBER($AE$1),DATE(YEAR($AE$1),MONTH($AE$1),1),IFERROR(DATE(VALUE(RIGHT(TRIM($AE$1),4)),MATCH(TRIM(LEFT($AE$1,FIND("·",$AE$1)-1)),{"JANEIRO","FEVEREIRO","MARÇO","ABRIL","MAIO","JUNHO","JULHO","AGOSTO","SETEMBRO","OUTUBRO","NOVEMBRO","DEZEMBRO"},0),1),DATE(2026,10,1)))</f>
        <v>46296</v>
      </c>
      <c r="G3" s="146">
        <f>IF(F3="","",IF(MONTH(F3+1)=MONTH($F$3),F3+1,""))</f>
        <v>46297</v>
      </c>
      <c r="H3" s="146">
        <f>IF(G3="","",IF(MONTH(G3+1)=MONTH($F$3),G3+1,""))</f>
        <v>46298</v>
      </c>
      <c r="I3" s="146">
        <f>IF(H3="","",IF(MONTH(H3+1)=MONTH($F$3),H3+1,""))</f>
        <v>46299</v>
      </c>
      <c r="J3" s="146">
        <f>IF(I3="","",IF(MONTH(I3+1)=MONTH($F$3),I3+1,""))</f>
        <v>46300</v>
      </c>
      <c r="K3" s="146">
        <f>IF(J3="","",IF(MONTH(J3+1)=MONTH($F$3),J3+1,""))</f>
        <v>46301</v>
      </c>
      <c r="L3" s="146">
        <f>IF(K3="","",IF(MONTH(K3+1)=MONTH($F$3),K3+1,""))</f>
        <v>46302</v>
      </c>
      <c r="M3" s="146">
        <f>IF(L3="","",IF(MONTH(L3+1)=MONTH($F$3),L3+1,""))</f>
        <v>46303</v>
      </c>
      <c r="N3" s="146">
        <f>IF(M3="","",IF(MONTH(M3+1)=MONTH($F$3),M3+1,""))</f>
        <v>46304</v>
      </c>
      <c r="O3" s="146">
        <f>IF(N3="","",IF(MONTH(N3+1)=MONTH($F$3),N3+1,""))</f>
        <v>46305</v>
      </c>
      <c r="P3" s="146">
        <f>IF(O3="","",IF(MONTH(O3+1)=MONTH($F$3),O3+1,""))</f>
        <v>46306</v>
      </c>
      <c r="Q3" s="146">
        <f>IF(P3="","",IF(MONTH(P3+1)=MONTH($F$3),P3+1,""))</f>
        <v>46307</v>
      </c>
      <c r="R3" s="146">
        <f>IF(Q3="","",IF(MONTH(Q3+1)=MONTH($F$3),Q3+1,""))</f>
        <v>46308</v>
      </c>
      <c r="S3" s="146">
        <f>IF(R3="","",IF(MONTH(R3+1)=MONTH($F$3),R3+1,""))</f>
        <v>46309</v>
      </c>
      <c r="T3" s="146">
        <f>IF(S3="","",IF(MONTH(S3+1)=MONTH($F$3),S3+1,""))</f>
        <v>46310</v>
      </c>
      <c r="U3" s="146">
        <f>IF(T3="","",IF(MONTH(T3+1)=MONTH($F$3),T3+1,""))</f>
        <v>46311</v>
      </c>
      <c r="V3" s="146">
        <f>IF(U3="","",IF(MONTH(U3+1)=MONTH($F$3),U3+1,""))</f>
        <v>46312</v>
      </c>
      <c r="W3" s="146">
        <f>IF(V3="","",IF(MONTH(V3+1)=MONTH($F$3),V3+1,""))</f>
        <v>46313</v>
      </c>
      <c r="X3" s="146">
        <f>IF(W3="","",IF(MONTH(W3+1)=MONTH($F$3),W3+1,""))</f>
        <v>46314</v>
      </c>
      <c r="Y3" s="146">
        <f>IF(X3="","",IF(MONTH(X3+1)=MONTH($F$3),X3+1,""))</f>
        <v>46315</v>
      </c>
      <c r="Z3" s="146">
        <f>IF(Y3="","",IF(MONTH(Y3+1)=MONTH($F$3),Y3+1,""))</f>
        <v>46316</v>
      </c>
      <c r="AA3" s="146">
        <f>IF(Z3="","",IF(MONTH(Z3+1)=MONTH($F$3),Z3+1,""))</f>
        <v>46317</v>
      </c>
      <c r="AB3" s="146">
        <f>IF(AA3="","",IF(MONTH(AA3+1)=MONTH($F$3),AA3+1,""))</f>
        <v>46318</v>
      </c>
      <c r="AC3" s="146">
        <f>IF(AB3="","",IF(MONTH(AB3+1)=MONTH($F$3),AB3+1,""))</f>
        <v>46319</v>
      </c>
      <c r="AD3" s="146">
        <f>IF(AC3="","",IF(MONTH(AC3+1)=MONTH($F$3),AC3+1,""))</f>
        <v>46320</v>
      </c>
      <c r="AE3" s="146">
        <f>IF(AD3="","",IF(MONTH(AD3+1)=MONTH($F$3),AD3+1,""))</f>
        <v>46321</v>
      </c>
      <c r="AF3" s="146">
        <f>IF(AE3="","",IF(MONTH(AE3+1)=MONTH($F$3),AE3+1,""))</f>
        <v>46322</v>
      </c>
      <c r="AG3" s="146">
        <f>IF(AF3="","",IF(MONTH(AF3+1)=MONTH($F$3),AF3+1,""))</f>
        <v>46323</v>
      </c>
      <c r="AH3" s="146">
        <f>IF(AG3="","",IF(MONTH(AG3+1)=MONTH($F$3),AG3+1,""))</f>
        <v>46324</v>
      </c>
      <c r="AI3" s="146">
        <f>IF(AH3="","",IF(MONTH(AH3+1)=MONTH($F$3),AH3+1,""))</f>
        <v>46325</v>
      </c>
      <c r="AJ3" s="147">
        <f>IF(AI3="","",IF(MONTH(AI3+1)=MONTH($F$3),AI3+1,""))</f>
        <v>46326</v>
      </c>
      <c r="AK3" s="144"/>
    </row>
    <row r="5" ht="15.75" customHeight="1">
      <c r="A5" s="236" t="inlineStr">
        <is>
          <t xml:space="preserve">Alpargatas</t>
        </is>
      </c>
      <c r="B5" s="225" t="inlineStr">
        <is>
          <t xml:space="preserve">IN</t>
        </is>
      </c>
      <c r="C5" s="148" t="inlineStr">
        <is>
          <t xml:space="preserve">Veículos Recebidos</t>
        </is>
      </c>
      <c r="D5" s="149" t="str">
        <f>IFERROR(1/(1/INDEX(BD!$AK$23:$AU$23,MATCH($A$5,BD!$AK$22:$AU$22,0))),"")</f>
        <v/>
      </c>
      <c r="E5" s="150"/>
      <c r="F5" s="151" t="str">
        <f>IF(F$3="","",IF(COUNTIFS(BD!$A$3:$A$5001,F$3,BD!$B$3:$B$5001,$A$5,BD!$C$3:$C$5001,"&lt;&gt;")=0,"",SUMIFS(BD!$C$3:$C$5001,BD!$A$3:$A$5001,F$3,BD!$B$3:$B$5001,$A$5)))</f>
        <v/>
      </c>
      <c r="G5" s="152" t="str">
        <f>IF(G$3="","",IF(COUNTIFS(BD!$A$3:$A$5001,G$3,BD!$B$3:$B$5001,$A$5,BD!$C$3:$C$5001,"&lt;&gt;")=0,"",SUMIFS(BD!$C$3:$C$5001,BD!$A$3:$A$5001,G$3,BD!$B$3:$B$5001,$A$5)))</f>
        <v/>
      </c>
      <c r="H5" s="152" t="str">
        <f>IF(H$3="","",IF(COUNTIFS(BD!$A$3:$A$5001,H$3,BD!$B$3:$B$5001,$A$5,BD!$C$3:$C$5001,"&lt;&gt;")=0,"",SUMIFS(BD!$C$3:$C$5001,BD!$A$3:$A$5001,H$3,BD!$B$3:$B$5001,$A$5)))</f>
        <v/>
      </c>
      <c r="I5" s="152" t="str">
        <f>IF(I$3="","",IF(COUNTIFS(BD!$A$3:$A$5001,I$3,BD!$B$3:$B$5001,$A$5,BD!$C$3:$C$5001,"&lt;&gt;")=0,"",SUMIFS(BD!$C$3:$C$5001,BD!$A$3:$A$5001,I$3,BD!$B$3:$B$5001,$A$5)))</f>
        <v/>
      </c>
      <c r="J5" s="152" t="str">
        <f>IF(J$3="","",IF(COUNTIFS(BD!$A$3:$A$5001,J$3,BD!$B$3:$B$5001,$A$5,BD!$C$3:$C$5001,"&lt;&gt;")=0,"",SUMIFS(BD!$C$3:$C$5001,BD!$A$3:$A$5001,J$3,BD!$B$3:$B$5001,$A$5)))</f>
        <v/>
      </c>
      <c r="K5" s="152" t="str">
        <f>IF(K$3="","",IF(COUNTIFS(BD!$A$3:$A$5001,K$3,BD!$B$3:$B$5001,$A$5,BD!$C$3:$C$5001,"&lt;&gt;")=0,"",SUMIFS(BD!$C$3:$C$5001,BD!$A$3:$A$5001,K$3,BD!$B$3:$B$5001,$A$5)))</f>
        <v/>
      </c>
      <c r="L5" s="152" t="str">
        <f>IF(L$3="","",IF(COUNTIFS(BD!$A$3:$A$5001,L$3,BD!$B$3:$B$5001,$A$5,BD!$C$3:$C$5001,"&lt;&gt;")=0,"",SUMIFS(BD!$C$3:$C$5001,BD!$A$3:$A$5001,L$3,BD!$B$3:$B$5001,$A$5)))</f>
        <v/>
      </c>
      <c r="M5" s="152" t="str">
        <f>IF(M$3="","",IF(COUNTIFS(BD!$A$3:$A$5001,M$3,BD!$B$3:$B$5001,$A$5,BD!$C$3:$C$5001,"&lt;&gt;")=0,"",SUMIFS(BD!$C$3:$C$5001,BD!$A$3:$A$5001,M$3,BD!$B$3:$B$5001,$A$5)))</f>
        <v/>
      </c>
      <c r="N5" s="152" t="str">
        <f>IF(N$3="","",IF(COUNTIFS(BD!$A$3:$A$5001,N$3,BD!$B$3:$B$5001,$A$5,BD!$C$3:$C$5001,"&lt;&gt;")=0,"",SUMIFS(BD!$C$3:$C$5001,BD!$A$3:$A$5001,N$3,BD!$B$3:$B$5001,$A$5)))</f>
        <v/>
      </c>
      <c r="O5" s="152" t="str">
        <f>IF(O$3="","",IF(COUNTIFS(BD!$A$3:$A$5001,O$3,BD!$B$3:$B$5001,$A$5,BD!$C$3:$C$5001,"&lt;&gt;")=0,"",SUMIFS(BD!$C$3:$C$5001,BD!$A$3:$A$5001,O$3,BD!$B$3:$B$5001,$A$5)))</f>
        <v/>
      </c>
      <c r="P5" s="152" t="str">
        <f>IF(P$3="","",IF(COUNTIFS(BD!$A$3:$A$5001,P$3,BD!$B$3:$B$5001,$A$5,BD!$C$3:$C$5001,"&lt;&gt;")=0,"",SUMIFS(BD!$C$3:$C$5001,BD!$A$3:$A$5001,P$3,BD!$B$3:$B$5001,$A$5)))</f>
        <v/>
      </c>
      <c r="Q5" s="152" t="str">
        <f>IF(Q$3="","",IF(COUNTIFS(BD!$A$3:$A$5001,Q$3,BD!$B$3:$B$5001,$A$5,BD!$C$3:$C$5001,"&lt;&gt;")=0,"",SUMIFS(BD!$C$3:$C$5001,BD!$A$3:$A$5001,Q$3,BD!$B$3:$B$5001,$A$5)))</f>
        <v/>
      </c>
      <c r="R5" s="152" t="str">
        <f>IF(R$3="","",IF(COUNTIFS(BD!$A$3:$A$5001,R$3,BD!$B$3:$B$5001,$A$5,BD!$C$3:$C$5001,"&lt;&gt;")=0,"",SUMIFS(BD!$C$3:$C$5001,BD!$A$3:$A$5001,R$3,BD!$B$3:$B$5001,$A$5)))</f>
        <v/>
      </c>
      <c r="S5" s="152" t="str">
        <f>IF(S$3="","",IF(COUNTIFS(BD!$A$3:$A$5001,S$3,BD!$B$3:$B$5001,$A$5,BD!$C$3:$C$5001,"&lt;&gt;")=0,"",SUMIFS(BD!$C$3:$C$5001,BD!$A$3:$A$5001,S$3,BD!$B$3:$B$5001,$A$5)))</f>
        <v/>
      </c>
      <c r="T5" s="152" t="str">
        <f>IF(T$3="","",IF(COUNTIFS(BD!$A$3:$A$5001,T$3,BD!$B$3:$B$5001,$A$5,BD!$C$3:$C$5001,"&lt;&gt;")=0,"",SUMIFS(BD!$C$3:$C$5001,BD!$A$3:$A$5001,T$3,BD!$B$3:$B$5001,$A$5)))</f>
        <v/>
      </c>
      <c r="U5" s="152" t="str">
        <f>IF(U$3="","",IF(COUNTIFS(BD!$A$3:$A$5001,U$3,BD!$B$3:$B$5001,$A$5,BD!$C$3:$C$5001,"&lt;&gt;")=0,"",SUMIFS(BD!$C$3:$C$5001,BD!$A$3:$A$5001,U$3,BD!$B$3:$B$5001,$A$5)))</f>
        <v/>
      </c>
      <c r="V5" s="152" t="str">
        <f>IF(V$3="","",IF(COUNTIFS(BD!$A$3:$A$5001,V$3,BD!$B$3:$B$5001,$A$5,BD!$C$3:$C$5001,"&lt;&gt;")=0,"",SUMIFS(BD!$C$3:$C$5001,BD!$A$3:$A$5001,V$3,BD!$B$3:$B$5001,$A$5)))</f>
        <v/>
      </c>
      <c r="W5" s="152" t="str">
        <f>IF(W$3="","",IF(COUNTIFS(BD!$A$3:$A$5001,W$3,BD!$B$3:$B$5001,$A$5,BD!$C$3:$C$5001,"&lt;&gt;")=0,"",SUMIFS(BD!$C$3:$C$5001,BD!$A$3:$A$5001,W$3,BD!$B$3:$B$5001,$A$5)))</f>
        <v/>
      </c>
      <c r="X5" s="152" t="str">
        <f>IF(X$3="","",IF(COUNTIFS(BD!$A$3:$A$5001,X$3,BD!$B$3:$B$5001,$A$5,BD!$C$3:$C$5001,"&lt;&gt;")=0,"",SUMIFS(BD!$C$3:$C$5001,BD!$A$3:$A$5001,X$3,BD!$B$3:$B$5001,$A$5)))</f>
        <v/>
      </c>
      <c r="Y5" s="152" t="str">
        <f>IF(Y$3="","",IF(COUNTIFS(BD!$A$3:$A$5001,Y$3,BD!$B$3:$B$5001,$A$5,BD!$C$3:$C$5001,"&lt;&gt;")=0,"",SUMIFS(BD!$C$3:$C$5001,BD!$A$3:$A$5001,Y$3,BD!$B$3:$B$5001,$A$5)))</f>
        <v/>
      </c>
      <c r="Z5" s="152" t="str">
        <f>IF(Z$3="","",IF(COUNTIFS(BD!$A$3:$A$5001,Z$3,BD!$B$3:$B$5001,$A$5,BD!$C$3:$C$5001,"&lt;&gt;")=0,"",SUMIFS(BD!$C$3:$C$5001,BD!$A$3:$A$5001,Z$3,BD!$B$3:$B$5001,$A$5)))</f>
        <v/>
      </c>
      <c r="AA5" s="152" t="str">
        <f>IF(AA$3="","",IF(COUNTIFS(BD!$A$3:$A$5001,AA$3,BD!$B$3:$B$5001,$A$5,BD!$C$3:$C$5001,"&lt;&gt;")=0,"",SUMIFS(BD!$C$3:$C$5001,BD!$A$3:$A$5001,AA$3,BD!$B$3:$B$5001,$A$5)))</f>
        <v/>
      </c>
      <c r="AB5" s="152" t="str">
        <f>IF(AB$3="","",IF(COUNTIFS(BD!$A$3:$A$5001,AB$3,BD!$B$3:$B$5001,$A$5,BD!$C$3:$C$5001,"&lt;&gt;")=0,"",SUMIFS(BD!$C$3:$C$5001,BD!$A$3:$A$5001,AB$3,BD!$B$3:$B$5001,$A$5)))</f>
        <v/>
      </c>
      <c r="AC5" s="152" t="str">
        <f>IF(AC$3="","",IF(COUNTIFS(BD!$A$3:$A$5001,AC$3,BD!$B$3:$B$5001,$A$5,BD!$C$3:$C$5001,"&lt;&gt;")=0,"",SUMIFS(BD!$C$3:$C$5001,BD!$A$3:$A$5001,AC$3,BD!$B$3:$B$5001,$A$5)))</f>
        <v/>
      </c>
      <c r="AD5" s="152" t="str">
        <f>IF(AD$3="","",IF(COUNTIFS(BD!$A$3:$A$5001,AD$3,BD!$B$3:$B$5001,$A$5,BD!$C$3:$C$5001,"&lt;&gt;")=0,"",SUMIFS(BD!$C$3:$C$5001,BD!$A$3:$A$5001,AD$3,BD!$B$3:$B$5001,$A$5)))</f>
        <v/>
      </c>
      <c r="AE5" s="152" t="str">
        <f>IF(AE$3="","",IF(COUNTIFS(BD!$A$3:$A$5001,AE$3,BD!$B$3:$B$5001,$A$5,BD!$C$3:$C$5001,"&lt;&gt;")=0,"",SUMIFS(BD!$C$3:$C$5001,BD!$A$3:$A$5001,AE$3,BD!$B$3:$B$5001,$A$5)))</f>
        <v/>
      </c>
      <c r="AF5" s="152" t="str">
        <f>IF(AF$3="","",IF(COUNTIFS(BD!$A$3:$A$5001,AF$3,BD!$B$3:$B$5001,$A$5,BD!$C$3:$C$5001,"&lt;&gt;")=0,"",SUMIFS(BD!$C$3:$C$5001,BD!$A$3:$A$5001,AF$3,BD!$B$3:$B$5001,$A$5)))</f>
        <v/>
      </c>
      <c r="AG5" s="152" t="str">
        <f>IF(AG$3="","",IF(COUNTIFS(BD!$A$3:$A$5001,AG$3,BD!$B$3:$B$5001,$A$5,BD!$C$3:$C$5001,"&lt;&gt;")=0,"",SUMIFS(BD!$C$3:$C$5001,BD!$A$3:$A$5001,AG$3,BD!$B$3:$B$5001,$A$5)))</f>
        <v/>
      </c>
      <c r="AH5" s="152" t="str">
        <f>IF(AH$3="","",IF(COUNTIFS(BD!$A$3:$A$5001,AH$3,BD!$B$3:$B$5001,$A$5,BD!$C$3:$C$5001,"&lt;&gt;")=0,"",SUMIFS(BD!$C$3:$C$5001,BD!$A$3:$A$5001,AH$3,BD!$B$3:$B$5001,$A$5)))</f>
        <v/>
      </c>
      <c r="AI5" s="152" t="str">
        <f>IF(AI$3="","",IF(COUNTIFS(BD!$A$3:$A$5001,AI$3,BD!$B$3:$B$5001,$A$5,BD!$C$3:$C$5001,"&lt;&gt;")=0,"",SUMIFS(BD!$C$3:$C$5001,BD!$A$3:$A$5001,AI$3,BD!$B$3:$B$5001,$A$5)))</f>
        <v/>
      </c>
      <c r="AJ5" s="153" t="str">
        <f>IF(AJ$3="","",IF(COUNTIFS(BD!$A$3:$A$5001,AJ$3,BD!$B$3:$B$5001,$A$5,BD!$C$3:$C$5001,"&lt;&gt;")=0,"",SUMIFS(BD!$C$3:$C$5001,BD!$A$3:$A$5001,AJ$3,BD!$B$3:$B$5001,$A$5)))</f>
        <v/>
      </c>
      <c r="AK5" s="154" t="str">
        <f>IF(COUNT(F5:AJ5)=0,"",SUM(F5:AJ5))</f>
        <v/>
      </c>
    </row>
    <row r="6" ht="15.75" customHeight="1">
      <c r="A6" s="237"/>
      <c r="B6" s="226"/>
      <c r="C6" s="155" t="inlineStr">
        <is>
          <t xml:space="preserve">Caixas Movimentadas</t>
        </is>
      </c>
      <c r="D6" s="156" t="str">
        <f>IFERROR(1/(1/INDEX(BD!$AK$27:$AU$27,MATCH($A$5,BD!$AK$22:$AU$22,0))),"")</f>
        <v/>
      </c>
      <c r="E6" s="157"/>
      <c r="F6" s="158" t="str">
        <f>IF(F$3="","",IF(COUNTIFS(BD!$A$3:$A$5001,F$3,BD!$B$3:$B$5001,$A$5,BD!$G$3:$G$5001,"&lt;&gt;")=0,"",SUMIFS(BD!$G$3:$G$5001,BD!$A$3:$A$5001,F$3,BD!$B$3:$B$5001,$A$5)))</f>
        <v/>
      </c>
      <c r="G6" s="159" t="str">
        <f>IF(G$3="","",IF(COUNTIFS(BD!$A$3:$A$5001,G$3,BD!$B$3:$B$5001,$A$5,BD!$G$3:$G$5001,"&lt;&gt;")=0,"",SUMIFS(BD!$G$3:$G$5001,BD!$A$3:$A$5001,G$3,BD!$B$3:$B$5001,$A$5)))</f>
        <v/>
      </c>
      <c r="H6" s="159" t="str">
        <f>IF(H$3="","",IF(COUNTIFS(BD!$A$3:$A$5001,H$3,BD!$B$3:$B$5001,$A$5,BD!$G$3:$G$5001,"&lt;&gt;")=0,"",SUMIFS(BD!$G$3:$G$5001,BD!$A$3:$A$5001,H$3,BD!$B$3:$B$5001,$A$5)))</f>
        <v/>
      </c>
      <c r="I6" s="159" t="str">
        <f>IF(I$3="","",IF(COUNTIFS(BD!$A$3:$A$5001,I$3,BD!$B$3:$B$5001,$A$5,BD!$G$3:$G$5001,"&lt;&gt;")=0,"",SUMIFS(BD!$G$3:$G$5001,BD!$A$3:$A$5001,I$3,BD!$B$3:$B$5001,$A$5)))</f>
        <v/>
      </c>
      <c r="J6" s="159" t="str">
        <f>IF(J$3="","",IF(COUNTIFS(BD!$A$3:$A$5001,J$3,BD!$B$3:$B$5001,$A$5,BD!$G$3:$G$5001,"&lt;&gt;")=0,"",SUMIFS(BD!$G$3:$G$5001,BD!$A$3:$A$5001,J$3,BD!$B$3:$B$5001,$A$5)))</f>
        <v/>
      </c>
      <c r="K6" s="159" t="str">
        <f>IF(K$3="","",IF(COUNTIFS(BD!$A$3:$A$5001,K$3,BD!$B$3:$B$5001,$A$5,BD!$G$3:$G$5001,"&lt;&gt;")=0,"",SUMIFS(BD!$G$3:$G$5001,BD!$A$3:$A$5001,K$3,BD!$B$3:$B$5001,$A$5)))</f>
        <v/>
      </c>
      <c r="L6" s="159" t="str">
        <f>IF(L$3="","",IF(COUNTIFS(BD!$A$3:$A$5001,L$3,BD!$B$3:$B$5001,$A$5,BD!$G$3:$G$5001,"&lt;&gt;")=0,"",SUMIFS(BD!$G$3:$G$5001,BD!$A$3:$A$5001,L$3,BD!$B$3:$B$5001,$A$5)))</f>
        <v/>
      </c>
      <c r="M6" s="159" t="str">
        <f>IF(M$3="","",IF(COUNTIFS(BD!$A$3:$A$5001,M$3,BD!$B$3:$B$5001,$A$5,BD!$G$3:$G$5001,"&lt;&gt;")=0,"",SUMIFS(BD!$G$3:$G$5001,BD!$A$3:$A$5001,M$3,BD!$B$3:$B$5001,$A$5)))</f>
        <v/>
      </c>
      <c r="N6" s="159" t="str">
        <f>IF(N$3="","",IF(COUNTIFS(BD!$A$3:$A$5001,N$3,BD!$B$3:$B$5001,$A$5,BD!$G$3:$G$5001,"&lt;&gt;")=0,"",SUMIFS(BD!$G$3:$G$5001,BD!$A$3:$A$5001,N$3,BD!$B$3:$B$5001,$A$5)))</f>
        <v/>
      </c>
      <c r="O6" s="159" t="str">
        <f>IF(O$3="","",IF(COUNTIFS(BD!$A$3:$A$5001,O$3,BD!$B$3:$B$5001,$A$5,BD!$G$3:$G$5001,"&lt;&gt;")=0,"",SUMIFS(BD!$G$3:$G$5001,BD!$A$3:$A$5001,O$3,BD!$B$3:$B$5001,$A$5)))</f>
        <v/>
      </c>
      <c r="P6" s="159" t="str">
        <f>IF(P$3="","",IF(COUNTIFS(BD!$A$3:$A$5001,P$3,BD!$B$3:$B$5001,$A$5,BD!$G$3:$G$5001,"&lt;&gt;")=0,"",SUMIFS(BD!$G$3:$G$5001,BD!$A$3:$A$5001,P$3,BD!$B$3:$B$5001,$A$5)))</f>
        <v/>
      </c>
      <c r="Q6" s="159" t="str">
        <f>IF(Q$3="","",IF(COUNTIFS(BD!$A$3:$A$5001,Q$3,BD!$B$3:$B$5001,$A$5,BD!$G$3:$G$5001,"&lt;&gt;")=0,"",SUMIFS(BD!$G$3:$G$5001,BD!$A$3:$A$5001,Q$3,BD!$B$3:$B$5001,$A$5)))</f>
        <v/>
      </c>
      <c r="R6" s="159" t="str">
        <f>IF(R$3="","",IF(COUNTIFS(BD!$A$3:$A$5001,R$3,BD!$B$3:$B$5001,$A$5,BD!$G$3:$G$5001,"&lt;&gt;")=0,"",SUMIFS(BD!$G$3:$G$5001,BD!$A$3:$A$5001,R$3,BD!$B$3:$B$5001,$A$5)))</f>
        <v/>
      </c>
      <c r="S6" s="159" t="str">
        <f>IF(S$3="","",IF(COUNTIFS(BD!$A$3:$A$5001,S$3,BD!$B$3:$B$5001,$A$5,BD!$G$3:$G$5001,"&lt;&gt;")=0,"",SUMIFS(BD!$G$3:$G$5001,BD!$A$3:$A$5001,S$3,BD!$B$3:$B$5001,$A$5)))</f>
        <v/>
      </c>
      <c r="T6" s="159" t="str">
        <f>IF(T$3="","",IF(COUNTIFS(BD!$A$3:$A$5001,T$3,BD!$B$3:$B$5001,$A$5,BD!$G$3:$G$5001,"&lt;&gt;")=0,"",SUMIFS(BD!$G$3:$G$5001,BD!$A$3:$A$5001,T$3,BD!$B$3:$B$5001,$A$5)))</f>
        <v/>
      </c>
      <c r="U6" s="159" t="str">
        <f>IF(U$3="","",IF(COUNTIFS(BD!$A$3:$A$5001,U$3,BD!$B$3:$B$5001,$A$5,BD!$G$3:$G$5001,"&lt;&gt;")=0,"",SUMIFS(BD!$G$3:$G$5001,BD!$A$3:$A$5001,U$3,BD!$B$3:$B$5001,$A$5)))</f>
        <v/>
      </c>
      <c r="V6" s="159" t="str">
        <f>IF(V$3="","",IF(COUNTIFS(BD!$A$3:$A$5001,V$3,BD!$B$3:$B$5001,$A$5,BD!$G$3:$G$5001,"&lt;&gt;")=0,"",SUMIFS(BD!$G$3:$G$5001,BD!$A$3:$A$5001,V$3,BD!$B$3:$B$5001,$A$5)))</f>
        <v/>
      </c>
      <c r="W6" s="159" t="str">
        <f>IF(W$3="","",IF(COUNTIFS(BD!$A$3:$A$5001,W$3,BD!$B$3:$B$5001,$A$5,BD!$G$3:$G$5001,"&lt;&gt;")=0,"",SUMIFS(BD!$G$3:$G$5001,BD!$A$3:$A$5001,W$3,BD!$B$3:$B$5001,$A$5)))</f>
        <v/>
      </c>
      <c r="X6" s="159" t="str">
        <f>IF(X$3="","",IF(COUNTIFS(BD!$A$3:$A$5001,X$3,BD!$B$3:$B$5001,$A$5,BD!$G$3:$G$5001,"&lt;&gt;")=0,"",SUMIFS(BD!$G$3:$G$5001,BD!$A$3:$A$5001,X$3,BD!$B$3:$B$5001,$A$5)))</f>
        <v/>
      </c>
      <c r="Y6" s="159" t="str">
        <f>IF(Y$3="","",IF(COUNTIFS(BD!$A$3:$A$5001,Y$3,BD!$B$3:$B$5001,$A$5,BD!$G$3:$G$5001,"&lt;&gt;")=0,"",SUMIFS(BD!$G$3:$G$5001,BD!$A$3:$A$5001,Y$3,BD!$B$3:$B$5001,$A$5)))</f>
        <v/>
      </c>
      <c r="Z6" s="159" t="str">
        <f>IF(Z$3="","",IF(COUNTIFS(BD!$A$3:$A$5001,Z$3,BD!$B$3:$B$5001,$A$5,BD!$G$3:$G$5001,"&lt;&gt;")=0,"",SUMIFS(BD!$G$3:$G$5001,BD!$A$3:$A$5001,Z$3,BD!$B$3:$B$5001,$A$5)))</f>
        <v/>
      </c>
      <c r="AA6" s="159" t="str">
        <f>IF(AA$3="","",IF(COUNTIFS(BD!$A$3:$A$5001,AA$3,BD!$B$3:$B$5001,$A$5,BD!$G$3:$G$5001,"&lt;&gt;")=0,"",SUMIFS(BD!$G$3:$G$5001,BD!$A$3:$A$5001,AA$3,BD!$B$3:$B$5001,$A$5)))</f>
        <v/>
      </c>
      <c r="AB6" s="159" t="str">
        <f>IF(AB$3="","",IF(COUNTIFS(BD!$A$3:$A$5001,AB$3,BD!$B$3:$B$5001,$A$5,BD!$G$3:$G$5001,"&lt;&gt;")=0,"",SUMIFS(BD!$G$3:$G$5001,BD!$A$3:$A$5001,AB$3,BD!$B$3:$B$5001,$A$5)))</f>
        <v/>
      </c>
      <c r="AC6" s="159" t="str">
        <f>IF(AC$3="","",IF(COUNTIFS(BD!$A$3:$A$5001,AC$3,BD!$B$3:$B$5001,$A$5,BD!$G$3:$G$5001,"&lt;&gt;")=0,"",SUMIFS(BD!$G$3:$G$5001,BD!$A$3:$A$5001,AC$3,BD!$B$3:$B$5001,$A$5)))</f>
        <v/>
      </c>
      <c r="AD6" s="159" t="str">
        <f>IF(AD$3="","",IF(COUNTIFS(BD!$A$3:$A$5001,AD$3,BD!$B$3:$B$5001,$A$5,BD!$G$3:$G$5001,"&lt;&gt;")=0,"",SUMIFS(BD!$G$3:$G$5001,BD!$A$3:$A$5001,AD$3,BD!$B$3:$B$5001,$A$5)))</f>
        <v/>
      </c>
      <c r="AE6" s="159" t="str">
        <f>IF(AE$3="","",IF(COUNTIFS(BD!$A$3:$A$5001,AE$3,BD!$B$3:$B$5001,$A$5,BD!$G$3:$G$5001,"&lt;&gt;")=0,"",SUMIFS(BD!$G$3:$G$5001,BD!$A$3:$A$5001,AE$3,BD!$B$3:$B$5001,$A$5)))</f>
        <v/>
      </c>
      <c r="AF6" s="159" t="str">
        <f>IF(AF$3="","",IF(COUNTIFS(BD!$A$3:$A$5001,AF$3,BD!$B$3:$B$5001,$A$5,BD!$G$3:$G$5001,"&lt;&gt;")=0,"",SUMIFS(BD!$G$3:$G$5001,BD!$A$3:$A$5001,AF$3,BD!$B$3:$B$5001,$A$5)))</f>
        <v/>
      </c>
      <c r="AG6" s="159" t="str">
        <f>IF(AG$3="","",IF(COUNTIFS(BD!$A$3:$A$5001,AG$3,BD!$B$3:$B$5001,$A$5,BD!$G$3:$G$5001,"&lt;&gt;")=0,"",SUMIFS(BD!$G$3:$G$5001,BD!$A$3:$A$5001,AG$3,BD!$B$3:$B$5001,$A$5)))</f>
        <v/>
      </c>
      <c r="AH6" s="159" t="str">
        <f>IF(AH$3="","",IF(COUNTIFS(BD!$A$3:$A$5001,AH$3,BD!$B$3:$B$5001,$A$5,BD!$G$3:$G$5001,"&lt;&gt;")=0,"",SUMIFS(BD!$G$3:$G$5001,BD!$A$3:$A$5001,AH$3,BD!$B$3:$B$5001,$A$5)))</f>
        <v/>
      </c>
      <c r="AI6" s="159" t="str">
        <f>IF(AI$3="","",IF(COUNTIFS(BD!$A$3:$A$5001,AI$3,BD!$B$3:$B$5001,$A$5,BD!$G$3:$G$5001,"&lt;&gt;")=0,"",SUMIFS(BD!$G$3:$G$5001,BD!$A$3:$A$5001,AI$3,BD!$B$3:$B$5001,$A$5)))</f>
        <v/>
      </c>
      <c r="AJ6" s="160" t="str">
        <f>IF(AJ$3="","",IF(COUNTIFS(BD!$A$3:$A$5001,AJ$3,BD!$B$3:$B$5001,$A$5,BD!$G$3:$G$5001,"&lt;&gt;")=0,"",SUMIFS(BD!$G$3:$G$5001,BD!$A$3:$A$5001,AJ$3,BD!$B$3:$B$5001,$A$5)))</f>
        <v/>
      </c>
      <c r="AK6" s="156" t="str">
        <f>IF(COUNT(F6:AJ6)=0,"",SUM(F6:AJ6))</f>
        <v/>
      </c>
    </row>
    <row r="7" ht="15.75" customHeight="1">
      <c r="A7" s="237"/>
      <c r="B7" s="227" t="inlineStr">
        <is>
          <t xml:space="preserve">OUT</t>
        </is>
      </c>
      <c r="C7" s="161" t="inlineStr">
        <is>
          <t xml:space="preserve">Veículos Expedidos</t>
        </is>
      </c>
      <c r="D7" s="162" t="str">
        <f>IFERROR(1/(1/INDEX(BD!$AK$32:$AU$32,MATCH($A$5,BD!$AK$22:$AU$22,0))),"")</f>
        <v/>
      </c>
      <c r="E7" s="163"/>
      <c r="F7" s="164" t="str">
        <f>IF(F$3="","",IF(COUNTIFS(BD!$A$3:$A$5001,F$3,BD!$B$3:$B$5001,$A$5,BD!$L$3:$L$5001,"&lt;&gt;")=0,"",SUMIFS(BD!$L$3:$L$5001,BD!$A$3:$A$5001,F$3,BD!$B$3:$B$5001,$A$5)))</f>
        <v/>
      </c>
      <c r="G7" s="165" t="str">
        <f>IF(G$3="","",IF(COUNTIFS(BD!$A$3:$A$5001,G$3,BD!$B$3:$B$5001,$A$5,BD!$L$3:$L$5001,"&lt;&gt;")=0,"",SUMIFS(BD!$L$3:$L$5001,BD!$A$3:$A$5001,G$3,BD!$B$3:$B$5001,$A$5)))</f>
        <v/>
      </c>
      <c r="H7" s="165" t="str">
        <f>IF(H$3="","",IF(COUNTIFS(BD!$A$3:$A$5001,H$3,BD!$B$3:$B$5001,$A$5,BD!$L$3:$L$5001,"&lt;&gt;")=0,"",SUMIFS(BD!$L$3:$L$5001,BD!$A$3:$A$5001,H$3,BD!$B$3:$B$5001,$A$5)))</f>
        <v/>
      </c>
      <c r="I7" s="165" t="str">
        <f>IF(I$3="","",IF(COUNTIFS(BD!$A$3:$A$5001,I$3,BD!$B$3:$B$5001,$A$5,BD!$L$3:$L$5001,"&lt;&gt;")=0,"",SUMIFS(BD!$L$3:$L$5001,BD!$A$3:$A$5001,I$3,BD!$B$3:$B$5001,$A$5)))</f>
        <v/>
      </c>
      <c r="J7" s="165" t="str">
        <f>IF(J$3="","",IF(COUNTIFS(BD!$A$3:$A$5001,J$3,BD!$B$3:$B$5001,$A$5,BD!$L$3:$L$5001,"&lt;&gt;")=0,"",SUMIFS(BD!$L$3:$L$5001,BD!$A$3:$A$5001,J$3,BD!$B$3:$B$5001,$A$5)))</f>
        <v/>
      </c>
      <c r="K7" s="165" t="str">
        <f>IF(K$3="","",IF(COUNTIFS(BD!$A$3:$A$5001,K$3,BD!$B$3:$B$5001,$A$5,BD!$L$3:$L$5001,"&lt;&gt;")=0,"",SUMIFS(BD!$L$3:$L$5001,BD!$A$3:$A$5001,K$3,BD!$B$3:$B$5001,$A$5)))</f>
        <v/>
      </c>
      <c r="L7" s="165" t="str">
        <f>IF(L$3="","",IF(COUNTIFS(BD!$A$3:$A$5001,L$3,BD!$B$3:$B$5001,$A$5,BD!$L$3:$L$5001,"&lt;&gt;")=0,"",SUMIFS(BD!$L$3:$L$5001,BD!$A$3:$A$5001,L$3,BD!$B$3:$B$5001,$A$5)))</f>
        <v/>
      </c>
      <c r="M7" s="165" t="str">
        <f>IF(M$3="","",IF(COUNTIFS(BD!$A$3:$A$5001,M$3,BD!$B$3:$B$5001,$A$5,BD!$L$3:$L$5001,"&lt;&gt;")=0,"",SUMIFS(BD!$L$3:$L$5001,BD!$A$3:$A$5001,M$3,BD!$B$3:$B$5001,$A$5)))</f>
        <v/>
      </c>
      <c r="N7" s="165" t="str">
        <f>IF(N$3="","",IF(COUNTIFS(BD!$A$3:$A$5001,N$3,BD!$B$3:$B$5001,$A$5,BD!$L$3:$L$5001,"&lt;&gt;")=0,"",SUMIFS(BD!$L$3:$L$5001,BD!$A$3:$A$5001,N$3,BD!$B$3:$B$5001,$A$5)))</f>
        <v/>
      </c>
      <c r="O7" s="165" t="str">
        <f>IF(O$3="","",IF(COUNTIFS(BD!$A$3:$A$5001,O$3,BD!$B$3:$B$5001,$A$5,BD!$L$3:$L$5001,"&lt;&gt;")=0,"",SUMIFS(BD!$L$3:$L$5001,BD!$A$3:$A$5001,O$3,BD!$B$3:$B$5001,$A$5)))</f>
        <v/>
      </c>
      <c r="P7" s="165" t="str">
        <f>IF(P$3="","",IF(COUNTIFS(BD!$A$3:$A$5001,P$3,BD!$B$3:$B$5001,$A$5,BD!$L$3:$L$5001,"&lt;&gt;")=0,"",SUMIFS(BD!$L$3:$L$5001,BD!$A$3:$A$5001,P$3,BD!$B$3:$B$5001,$A$5)))</f>
        <v/>
      </c>
      <c r="Q7" s="165" t="str">
        <f>IF(Q$3="","",IF(COUNTIFS(BD!$A$3:$A$5001,Q$3,BD!$B$3:$B$5001,$A$5,BD!$L$3:$L$5001,"&lt;&gt;")=0,"",SUMIFS(BD!$L$3:$L$5001,BD!$A$3:$A$5001,Q$3,BD!$B$3:$B$5001,$A$5)))</f>
        <v/>
      </c>
      <c r="R7" s="165" t="str">
        <f>IF(R$3="","",IF(COUNTIFS(BD!$A$3:$A$5001,R$3,BD!$B$3:$B$5001,$A$5,BD!$L$3:$L$5001,"&lt;&gt;")=0,"",SUMIFS(BD!$L$3:$L$5001,BD!$A$3:$A$5001,R$3,BD!$B$3:$B$5001,$A$5)))</f>
        <v/>
      </c>
      <c r="S7" s="165" t="str">
        <f>IF(S$3="","",IF(COUNTIFS(BD!$A$3:$A$5001,S$3,BD!$B$3:$B$5001,$A$5,BD!$L$3:$L$5001,"&lt;&gt;")=0,"",SUMIFS(BD!$L$3:$L$5001,BD!$A$3:$A$5001,S$3,BD!$B$3:$B$5001,$A$5)))</f>
        <v/>
      </c>
      <c r="T7" s="165" t="str">
        <f>IF(T$3="","",IF(COUNTIFS(BD!$A$3:$A$5001,T$3,BD!$B$3:$B$5001,$A$5,BD!$L$3:$L$5001,"&lt;&gt;")=0,"",SUMIFS(BD!$L$3:$L$5001,BD!$A$3:$A$5001,T$3,BD!$B$3:$B$5001,$A$5)))</f>
        <v/>
      </c>
      <c r="U7" s="165" t="str">
        <f>IF(U$3="","",IF(COUNTIFS(BD!$A$3:$A$5001,U$3,BD!$B$3:$B$5001,$A$5,BD!$L$3:$L$5001,"&lt;&gt;")=0,"",SUMIFS(BD!$L$3:$L$5001,BD!$A$3:$A$5001,U$3,BD!$B$3:$B$5001,$A$5)))</f>
        <v/>
      </c>
      <c r="V7" s="165" t="str">
        <f>IF(V$3="","",IF(COUNTIFS(BD!$A$3:$A$5001,V$3,BD!$B$3:$B$5001,$A$5,BD!$L$3:$L$5001,"&lt;&gt;")=0,"",SUMIFS(BD!$L$3:$L$5001,BD!$A$3:$A$5001,V$3,BD!$B$3:$B$5001,$A$5)))</f>
        <v/>
      </c>
      <c r="W7" s="165" t="str">
        <f>IF(W$3="","",IF(COUNTIFS(BD!$A$3:$A$5001,W$3,BD!$B$3:$B$5001,$A$5,BD!$L$3:$L$5001,"&lt;&gt;")=0,"",SUMIFS(BD!$L$3:$L$5001,BD!$A$3:$A$5001,W$3,BD!$B$3:$B$5001,$A$5)))</f>
        <v/>
      </c>
      <c r="X7" s="165" t="str">
        <f>IF(X$3="","",IF(COUNTIFS(BD!$A$3:$A$5001,X$3,BD!$B$3:$B$5001,$A$5,BD!$L$3:$L$5001,"&lt;&gt;")=0,"",SUMIFS(BD!$L$3:$L$5001,BD!$A$3:$A$5001,X$3,BD!$B$3:$B$5001,$A$5)))</f>
        <v/>
      </c>
      <c r="Y7" s="165" t="str">
        <f>IF(Y$3="","",IF(COUNTIFS(BD!$A$3:$A$5001,Y$3,BD!$B$3:$B$5001,$A$5,BD!$L$3:$L$5001,"&lt;&gt;")=0,"",SUMIFS(BD!$L$3:$L$5001,BD!$A$3:$A$5001,Y$3,BD!$B$3:$B$5001,$A$5)))</f>
        <v/>
      </c>
      <c r="Z7" s="165" t="str">
        <f>IF(Z$3="","",IF(COUNTIFS(BD!$A$3:$A$5001,Z$3,BD!$B$3:$B$5001,$A$5,BD!$L$3:$L$5001,"&lt;&gt;")=0,"",SUMIFS(BD!$L$3:$L$5001,BD!$A$3:$A$5001,Z$3,BD!$B$3:$B$5001,$A$5)))</f>
        <v/>
      </c>
      <c r="AA7" s="165" t="str">
        <f>IF(AA$3="","",IF(COUNTIFS(BD!$A$3:$A$5001,AA$3,BD!$B$3:$B$5001,$A$5,BD!$L$3:$L$5001,"&lt;&gt;")=0,"",SUMIFS(BD!$L$3:$L$5001,BD!$A$3:$A$5001,AA$3,BD!$B$3:$B$5001,$A$5)))</f>
        <v/>
      </c>
      <c r="AB7" s="165" t="str">
        <f>IF(AB$3="","",IF(COUNTIFS(BD!$A$3:$A$5001,AB$3,BD!$B$3:$B$5001,$A$5,BD!$L$3:$L$5001,"&lt;&gt;")=0,"",SUMIFS(BD!$L$3:$L$5001,BD!$A$3:$A$5001,AB$3,BD!$B$3:$B$5001,$A$5)))</f>
        <v/>
      </c>
      <c r="AC7" s="165" t="str">
        <f>IF(AC$3="","",IF(COUNTIFS(BD!$A$3:$A$5001,AC$3,BD!$B$3:$B$5001,$A$5,BD!$L$3:$L$5001,"&lt;&gt;")=0,"",SUMIFS(BD!$L$3:$L$5001,BD!$A$3:$A$5001,AC$3,BD!$B$3:$B$5001,$A$5)))</f>
        <v/>
      </c>
      <c r="AD7" s="165" t="str">
        <f>IF(AD$3="","",IF(COUNTIFS(BD!$A$3:$A$5001,AD$3,BD!$B$3:$B$5001,$A$5,BD!$L$3:$L$5001,"&lt;&gt;")=0,"",SUMIFS(BD!$L$3:$L$5001,BD!$A$3:$A$5001,AD$3,BD!$B$3:$B$5001,$A$5)))</f>
        <v/>
      </c>
      <c r="AE7" s="165" t="str">
        <f>IF(AE$3="","",IF(COUNTIFS(BD!$A$3:$A$5001,AE$3,BD!$B$3:$B$5001,$A$5,BD!$L$3:$L$5001,"&lt;&gt;")=0,"",SUMIFS(BD!$L$3:$L$5001,BD!$A$3:$A$5001,AE$3,BD!$B$3:$B$5001,$A$5)))</f>
        <v/>
      </c>
      <c r="AF7" s="165" t="str">
        <f>IF(AF$3="","",IF(COUNTIFS(BD!$A$3:$A$5001,AF$3,BD!$B$3:$B$5001,$A$5,BD!$L$3:$L$5001,"&lt;&gt;")=0,"",SUMIFS(BD!$L$3:$L$5001,BD!$A$3:$A$5001,AF$3,BD!$B$3:$B$5001,$A$5)))</f>
        <v/>
      </c>
      <c r="AG7" s="165" t="str">
        <f>IF(AG$3="","",IF(COUNTIFS(BD!$A$3:$A$5001,AG$3,BD!$B$3:$B$5001,$A$5,BD!$L$3:$L$5001,"&lt;&gt;")=0,"",SUMIFS(BD!$L$3:$L$5001,BD!$A$3:$A$5001,AG$3,BD!$B$3:$B$5001,$A$5)))</f>
        <v/>
      </c>
      <c r="AH7" s="165" t="str">
        <f>IF(AH$3="","",IF(COUNTIFS(BD!$A$3:$A$5001,AH$3,BD!$B$3:$B$5001,$A$5,BD!$L$3:$L$5001,"&lt;&gt;")=0,"",SUMIFS(BD!$L$3:$L$5001,BD!$A$3:$A$5001,AH$3,BD!$B$3:$B$5001,$A$5)))</f>
        <v/>
      </c>
      <c r="AI7" s="165" t="str">
        <f>IF(AI$3="","",IF(COUNTIFS(BD!$A$3:$A$5001,AI$3,BD!$B$3:$B$5001,$A$5,BD!$L$3:$L$5001,"&lt;&gt;")=0,"",SUMIFS(BD!$L$3:$L$5001,BD!$A$3:$A$5001,AI$3,BD!$B$3:$B$5001,$A$5)))</f>
        <v/>
      </c>
      <c r="AJ7" s="166" t="str">
        <f>IF(AJ$3="","",IF(COUNTIFS(BD!$A$3:$A$5001,AJ$3,BD!$B$3:$B$5001,$A$5,BD!$L$3:$L$5001,"&lt;&gt;")=0,"",SUMIFS(BD!$L$3:$L$5001,BD!$A$3:$A$5001,AJ$3,BD!$B$3:$B$5001,$A$5)))</f>
        <v/>
      </c>
      <c r="AK7" s="167" t="str">
        <f>IF(COUNT(F7:AJ7)=0,"",SUM(F7:AJ7))</f>
        <v/>
      </c>
    </row>
    <row r="8" ht="15.75" customHeight="1">
      <c r="A8" s="237"/>
      <c r="B8" s="228"/>
      <c r="C8" s="168" t="inlineStr">
        <is>
          <t xml:space="preserve">Caixas Expedidas</t>
        </is>
      </c>
      <c r="D8" s="169" t="str">
        <f>IFERROR(1/(1/INDEX(BD!$AK$38:$AU$38,MATCH($A$5,BD!$AK$22:$AU$22,0))),"")</f>
        <v/>
      </c>
      <c r="E8" s="170"/>
      <c r="F8" s="171" t="str">
        <f>IF(F$3="","",IF(COUNTIFS(BD!$A$3:$A$5001,F$3,BD!$B$3:$B$5001,$A$5,BD!$R$3:$R$5001,"&lt;&gt;")=0,"",SUMIFS(BD!$R$3:$R$5001,BD!$A$3:$A$5001,F$3,BD!$B$3:$B$5001,$A$5)))</f>
        <v/>
      </c>
      <c r="G8" s="172" t="str">
        <f>IF(G$3="","",IF(COUNTIFS(BD!$A$3:$A$5001,G$3,BD!$B$3:$B$5001,$A$5,BD!$R$3:$R$5001,"&lt;&gt;")=0,"",SUMIFS(BD!$R$3:$R$5001,BD!$A$3:$A$5001,G$3,BD!$B$3:$B$5001,$A$5)))</f>
        <v/>
      </c>
      <c r="H8" s="172" t="str">
        <f>IF(H$3="","",IF(COUNTIFS(BD!$A$3:$A$5001,H$3,BD!$B$3:$B$5001,$A$5,BD!$R$3:$R$5001,"&lt;&gt;")=0,"",SUMIFS(BD!$R$3:$R$5001,BD!$A$3:$A$5001,H$3,BD!$B$3:$B$5001,$A$5)))</f>
        <v/>
      </c>
      <c r="I8" s="172" t="str">
        <f>IF(I$3="","",IF(COUNTIFS(BD!$A$3:$A$5001,I$3,BD!$B$3:$B$5001,$A$5,BD!$R$3:$R$5001,"&lt;&gt;")=0,"",SUMIFS(BD!$R$3:$R$5001,BD!$A$3:$A$5001,I$3,BD!$B$3:$B$5001,$A$5)))</f>
        <v/>
      </c>
      <c r="J8" s="172" t="str">
        <f>IF(J$3="","",IF(COUNTIFS(BD!$A$3:$A$5001,J$3,BD!$B$3:$B$5001,$A$5,BD!$R$3:$R$5001,"&lt;&gt;")=0,"",SUMIFS(BD!$R$3:$R$5001,BD!$A$3:$A$5001,J$3,BD!$B$3:$B$5001,$A$5)))</f>
        <v/>
      </c>
      <c r="K8" s="172" t="str">
        <f>IF(K$3="","",IF(COUNTIFS(BD!$A$3:$A$5001,K$3,BD!$B$3:$B$5001,$A$5,BD!$R$3:$R$5001,"&lt;&gt;")=0,"",SUMIFS(BD!$R$3:$R$5001,BD!$A$3:$A$5001,K$3,BD!$B$3:$B$5001,$A$5)))</f>
        <v/>
      </c>
      <c r="L8" s="172" t="str">
        <f>IF(L$3="","",IF(COUNTIFS(BD!$A$3:$A$5001,L$3,BD!$B$3:$B$5001,$A$5,BD!$R$3:$R$5001,"&lt;&gt;")=0,"",SUMIFS(BD!$R$3:$R$5001,BD!$A$3:$A$5001,L$3,BD!$B$3:$B$5001,$A$5)))</f>
        <v/>
      </c>
      <c r="M8" s="172" t="str">
        <f>IF(M$3="","",IF(COUNTIFS(BD!$A$3:$A$5001,M$3,BD!$B$3:$B$5001,$A$5,BD!$R$3:$R$5001,"&lt;&gt;")=0,"",SUMIFS(BD!$R$3:$R$5001,BD!$A$3:$A$5001,M$3,BD!$B$3:$B$5001,$A$5)))</f>
        <v/>
      </c>
      <c r="N8" s="172" t="str">
        <f>IF(N$3="","",IF(COUNTIFS(BD!$A$3:$A$5001,N$3,BD!$B$3:$B$5001,$A$5,BD!$R$3:$R$5001,"&lt;&gt;")=0,"",SUMIFS(BD!$R$3:$R$5001,BD!$A$3:$A$5001,N$3,BD!$B$3:$B$5001,$A$5)))</f>
        <v/>
      </c>
      <c r="O8" s="172" t="str">
        <f>IF(O$3="","",IF(COUNTIFS(BD!$A$3:$A$5001,O$3,BD!$B$3:$B$5001,$A$5,BD!$R$3:$R$5001,"&lt;&gt;")=0,"",SUMIFS(BD!$R$3:$R$5001,BD!$A$3:$A$5001,O$3,BD!$B$3:$B$5001,$A$5)))</f>
        <v/>
      </c>
      <c r="P8" s="172" t="str">
        <f>IF(P$3="","",IF(COUNTIFS(BD!$A$3:$A$5001,P$3,BD!$B$3:$B$5001,$A$5,BD!$R$3:$R$5001,"&lt;&gt;")=0,"",SUMIFS(BD!$R$3:$R$5001,BD!$A$3:$A$5001,P$3,BD!$B$3:$B$5001,$A$5)))</f>
        <v/>
      </c>
      <c r="Q8" s="172" t="str">
        <f>IF(Q$3="","",IF(COUNTIFS(BD!$A$3:$A$5001,Q$3,BD!$B$3:$B$5001,$A$5,BD!$R$3:$R$5001,"&lt;&gt;")=0,"",SUMIFS(BD!$R$3:$R$5001,BD!$A$3:$A$5001,Q$3,BD!$B$3:$B$5001,$A$5)))</f>
        <v/>
      </c>
      <c r="R8" s="172" t="str">
        <f>IF(R$3="","",IF(COUNTIFS(BD!$A$3:$A$5001,R$3,BD!$B$3:$B$5001,$A$5,BD!$R$3:$R$5001,"&lt;&gt;")=0,"",SUMIFS(BD!$R$3:$R$5001,BD!$A$3:$A$5001,R$3,BD!$B$3:$B$5001,$A$5)))</f>
        <v/>
      </c>
      <c r="S8" s="172" t="str">
        <f>IF(S$3="","",IF(COUNTIFS(BD!$A$3:$A$5001,S$3,BD!$B$3:$B$5001,$A$5,BD!$R$3:$R$5001,"&lt;&gt;")=0,"",SUMIFS(BD!$R$3:$R$5001,BD!$A$3:$A$5001,S$3,BD!$B$3:$B$5001,$A$5)))</f>
        <v/>
      </c>
      <c r="T8" s="172" t="str">
        <f>IF(T$3="","",IF(COUNTIFS(BD!$A$3:$A$5001,T$3,BD!$B$3:$B$5001,$A$5,BD!$R$3:$R$5001,"&lt;&gt;")=0,"",SUMIFS(BD!$R$3:$R$5001,BD!$A$3:$A$5001,T$3,BD!$B$3:$B$5001,$A$5)))</f>
        <v/>
      </c>
      <c r="U8" s="172" t="str">
        <f>IF(U$3="","",IF(COUNTIFS(BD!$A$3:$A$5001,U$3,BD!$B$3:$B$5001,$A$5,BD!$R$3:$R$5001,"&lt;&gt;")=0,"",SUMIFS(BD!$R$3:$R$5001,BD!$A$3:$A$5001,U$3,BD!$B$3:$B$5001,$A$5)))</f>
        <v/>
      </c>
      <c r="V8" s="172" t="str">
        <f>IF(V$3="","",IF(COUNTIFS(BD!$A$3:$A$5001,V$3,BD!$B$3:$B$5001,$A$5,BD!$R$3:$R$5001,"&lt;&gt;")=0,"",SUMIFS(BD!$R$3:$R$5001,BD!$A$3:$A$5001,V$3,BD!$B$3:$B$5001,$A$5)))</f>
        <v/>
      </c>
      <c r="W8" s="172" t="str">
        <f>IF(W$3="","",IF(COUNTIFS(BD!$A$3:$A$5001,W$3,BD!$B$3:$B$5001,$A$5,BD!$R$3:$R$5001,"&lt;&gt;")=0,"",SUMIFS(BD!$R$3:$R$5001,BD!$A$3:$A$5001,W$3,BD!$B$3:$B$5001,$A$5)))</f>
        <v/>
      </c>
      <c r="X8" s="172" t="str">
        <f>IF(X$3="","",IF(COUNTIFS(BD!$A$3:$A$5001,X$3,BD!$B$3:$B$5001,$A$5,BD!$R$3:$R$5001,"&lt;&gt;")=0,"",SUMIFS(BD!$R$3:$R$5001,BD!$A$3:$A$5001,X$3,BD!$B$3:$B$5001,$A$5)))</f>
        <v/>
      </c>
      <c r="Y8" s="172" t="str">
        <f>IF(Y$3="","",IF(COUNTIFS(BD!$A$3:$A$5001,Y$3,BD!$B$3:$B$5001,$A$5,BD!$R$3:$R$5001,"&lt;&gt;")=0,"",SUMIFS(BD!$R$3:$R$5001,BD!$A$3:$A$5001,Y$3,BD!$B$3:$B$5001,$A$5)))</f>
        <v/>
      </c>
      <c r="Z8" s="172" t="str">
        <f>IF(Z$3="","",IF(COUNTIFS(BD!$A$3:$A$5001,Z$3,BD!$B$3:$B$5001,$A$5,BD!$R$3:$R$5001,"&lt;&gt;")=0,"",SUMIFS(BD!$R$3:$R$5001,BD!$A$3:$A$5001,Z$3,BD!$B$3:$B$5001,$A$5)))</f>
        <v/>
      </c>
      <c r="AA8" s="172" t="str">
        <f>IF(AA$3="","",IF(COUNTIFS(BD!$A$3:$A$5001,AA$3,BD!$B$3:$B$5001,$A$5,BD!$R$3:$R$5001,"&lt;&gt;")=0,"",SUMIFS(BD!$R$3:$R$5001,BD!$A$3:$A$5001,AA$3,BD!$B$3:$B$5001,$A$5)))</f>
        <v/>
      </c>
      <c r="AB8" s="172" t="str">
        <f>IF(AB$3="","",IF(COUNTIFS(BD!$A$3:$A$5001,AB$3,BD!$B$3:$B$5001,$A$5,BD!$R$3:$R$5001,"&lt;&gt;")=0,"",SUMIFS(BD!$R$3:$R$5001,BD!$A$3:$A$5001,AB$3,BD!$B$3:$B$5001,$A$5)))</f>
        <v/>
      </c>
      <c r="AC8" s="172" t="str">
        <f>IF(AC$3="","",IF(COUNTIFS(BD!$A$3:$A$5001,AC$3,BD!$B$3:$B$5001,$A$5,BD!$R$3:$R$5001,"&lt;&gt;")=0,"",SUMIFS(BD!$R$3:$R$5001,BD!$A$3:$A$5001,AC$3,BD!$B$3:$B$5001,$A$5)))</f>
        <v/>
      </c>
      <c r="AD8" s="172" t="str">
        <f>IF(AD$3="","",IF(COUNTIFS(BD!$A$3:$A$5001,AD$3,BD!$B$3:$B$5001,$A$5,BD!$R$3:$R$5001,"&lt;&gt;")=0,"",SUMIFS(BD!$R$3:$R$5001,BD!$A$3:$A$5001,AD$3,BD!$B$3:$B$5001,$A$5)))</f>
        <v/>
      </c>
      <c r="AE8" s="172" t="str">
        <f>IF(AE$3="","",IF(COUNTIFS(BD!$A$3:$A$5001,AE$3,BD!$B$3:$B$5001,$A$5,BD!$R$3:$R$5001,"&lt;&gt;")=0,"",SUMIFS(BD!$R$3:$R$5001,BD!$A$3:$A$5001,AE$3,BD!$B$3:$B$5001,$A$5)))</f>
        <v/>
      </c>
      <c r="AF8" s="172" t="str">
        <f>IF(AF$3="","",IF(COUNTIFS(BD!$A$3:$A$5001,AF$3,BD!$B$3:$B$5001,$A$5,BD!$R$3:$R$5001,"&lt;&gt;")=0,"",SUMIFS(BD!$R$3:$R$5001,BD!$A$3:$A$5001,AF$3,BD!$B$3:$B$5001,$A$5)))</f>
        <v/>
      </c>
      <c r="AG8" s="172" t="str">
        <f>IF(AG$3="","",IF(COUNTIFS(BD!$A$3:$A$5001,AG$3,BD!$B$3:$B$5001,$A$5,BD!$R$3:$R$5001,"&lt;&gt;")=0,"",SUMIFS(BD!$R$3:$R$5001,BD!$A$3:$A$5001,AG$3,BD!$B$3:$B$5001,$A$5)))</f>
        <v/>
      </c>
      <c r="AH8" s="172" t="str">
        <f>IF(AH$3="","",IF(COUNTIFS(BD!$A$3:$A$5001,AH$3,BD!$B$3:$B$5001,$A$5,BD!$R$3:$R$5001,"&lt;&gt;")=0,"",SUMIFS(BD!$R$3:$R$5001,BD!$A$3:$A$5001,AH$3,BD!$B$3:$B$5001,$A$5)))</f>
        <v/>
      </c>
      <c r="AI8" s="172" t="str">
        <f>IF(AI$3="","",IF(COUNTIFS(BD!$A$3:$A$5001,AI$3,BD!$B$3:$B$5001,$A$5,BD!$R$3:$R$5001,"&lt;&gt;")=0,"",SUMIFS(BD!$R$3:$R$5001,BD!$A$3:$A$5001,AI$3,BD!$B$3:$B$5001,$A$5)))</f>
        <v/>
      </c>
      <c r="AJ8" s="173" t="str">
        <f>IF(AJ$3="","",IF(COUNTIFS(BD!$A$3:$A$5001,AJ$3,BD!$B$3:$B$5001,$A$5,BD!$R$3:$R$5001,"&lt;&gt;")=0,"",SUMIFS(BD!$R$3:$R$5001,BD!$A$3:$A$5001,AJ$3,BD!$B$3:$B$5001,$A$5)))</f>
        <v/>
      </c>
      <c r="AK8" s="169" t="str">
        <f>IF(COUNT(F8:AJ8)=0,"",SUM(F8:AJ8))</f>
        <v/>
      </c>
    </row>
    <row r="9" ht="15.75" customHeight="1">
      <c r="A9" s="237"/>
      <c r="B9" s="229" t="inlineStr">
        <is>
          <t xml:space="preserve">NC</t>
        </is>
      </c>
      <c r="C9" s="174" t="inlineStr">
        <is>
          <t xml:space="preserve">Incidentes</t>
        </is>
      </c>
      <c r="D9" s="175" t="str">
        <f>IFERROR(1/(1/INDEX(BD!$AK$41:$AU$41,MATCH($A$5,BD!$AK$22:$AU$22,0))),"")</f>
        <v/>
      </c>
      <c r="E9" s="176"/>
      <c r="F9" s="177" t="str">
        <f>IF(F$3="","",IF(COUNTIFS(BD!$A$3:$A$5001,F$3,BD!$B$3:$B$5001,$A$5,BD!$U$3:$U$5001,"&lt;&gt;")=0,"",SUMIFS(BD!$U$3:$U$5001,BD!$A$3:$A$5001,F$3,BD!$B$3:$B$5001,$A$5)))</f>
        <v/>
      </c>
      <c r="G9" s="178" t="str">
        <f>IF(G$3="","",IF(COUNTIFS(BD!$A$3:$A$5001,G$3,BD!$B$3:$B$5001,$A$5,BD!$U$3:$U$5001,"&lt;&gt;")=0,"",SUMIFS(BD!$U$3:$U$5001,BD!$A$3:$A$5001,G$3,BD!$B$3:$B$5001,$A$5)))</f>
        <v/>
      </c>
      <c r="H9" s="178" t="str">
        <f>IF(H$3="","",IF(COUNTIFS(BD!$A$3:$A$5001,H$3,BD!$B$3:$B$5001,$A$5,BD!$U$3:$U$5001,"&lt;&gt;")=0,"",SUMIFS(BD!$U$3:$U$5001,BD!$A$3:$A$5001,H$3,BD!$B$3:$B$5001,$A$5)))</f>
        <v/>
      </c>
      <c r="I9" s="178" t="str">
        <f>IF(I$3="","",IF(COUNTIFS(BD!$A$3:$A$5001,I$3,BD!$B$3:$B$5001,$A$5,BD!$U$3:$U$5001,"&lt;&gt;")=0,"",SUMIFS(BD!$U$3:$U$5001,BD!$A$3:$A$5001,I$3,BD!$B$3:$B$5001,$A$5)))</f>
        <v/>
      </c>
      <c r="J9" s="178" t="str">
        <f>IF(J$3="","",IF(COUNTIFS(BD!$A$3:$A$5001,J$3,BD!$B$3:$B$5001,$A$5,BD!$U$3:$U$5001,"&lt;&gt;")=0,"",SUMIFS(BD!$U$3:$U$5001,BD!$A$3:$A$5001,J$3,BD!$B$3:$B$5001,$A$5)))</f>
        <v/>
      </c>
      <c r="K9" s="178" t="str">
        <f>IF(K$3="","",IF(COUNTIFS(BD!$A$3:$A$5001,K$3,BD!$B$3:$B$5001,$A$5,BD!$U$3:$U$5001,"&lt;&gt;")=0,"",SUMIFS(BD!$U$3:$U$5001,BD!$A$3:$A$5001,K$3,BD!$B$3:$B$5001,$A$5)))</f>
        <v/>
      </c>
      <c r="L9" s="178" t="str">
        <f>IF(L$3="","",IF(COUNTIFS(BD!$A$3:$A$5001,L$3,BD!$B$3:$B$5001,$A$5,BD!$U$3:$U$5001,"&lt;&gt;")=0,"",SUMIFS(BD!$U$3:$U$5001,BD!$A$3:$A$5001,L$3,BD!$B$3:$B$5001,$A$5)))</f>
        <v/>
      </c>
      <c r="M9" s="178" t="str">
        <f>IF(M$3="","",IF(COUNTIFS(BD!$A$3:$A$5001,M$3,BD!$B$3:$B$5001,$A$5,BD!$U$3:$U$5001,"&lt;&gt;")=0,"",SUMIFS(BD!$U$3:$U$5001,BD!$A$3:$A$5001,M$3,BD!$B$3:$B$5001,$A$5)))</f>
        <v/>
      </c>
      <c r="N9" s="178" t="str">
        <f>IF(N$3="","",IF(COUNTIFS(BD!$A$3:$A$5001,N$3,BD!$B$3:$B$5001,$A$5,BD!$U$3:$U$5001,"&lt;&gt;")=0,"",SUMIFS(BD!$U$3:$U$5001,BD!$A$3:$A$5001,N$3,BD!$B$3:$B$5001,$A$5)))</f>
        <v/>
      </c>
      <c r="O9" s="178" t="str">
        <f>IF(O$3="","",IF(COUNTIFS(BD!$A$3:$A$5001,O$3,BD!$B$3:$B$5001,$A$5,BD!$U$3:$U$5001,"&lt;&gt;")=0,"",SUMIFS(BD!$U$3:$U$5001,BD!$A$3:$A$5001,O$3,BD!$B$3:$B$5001,$A$5)))</f>
        <v/>
      </c>
      <c r="P9" s="178" t="str">
        <f>IF(P$3="","",IF(COUNTIFS(BD!$A$3:$A$5001,P$3,BD!$B$3:$B$5001,$A$5,BD!$U$3:$U$5001,"&lt;&gt;")=0,"",SUMIFS(BD!$U$3:$U$5001,BD!$A$3:$A$5001,P$3,BD!$B$3:$B$5001,$A$5)))</f>
        <v/>
      </c>
      <c r="Q9" s="178" t="str">
        <f>IF(Q$3="","",IF(COUNTIFS(BD!$A$3:$A$5001,Q$3,BD!$B$3:$B$5001,$A$5,BD!$U$3:$U$5001,"&lt;&gt;")=0,"",SUMIFS(BD!$U$3:$U$5001,BD!$A$3:$A$5001,Q$3,BD!$B$3:$B$5001,$A$5)))</f>
        <v/>
      </c>
      <c r="R9" s="178" t="str">
        <f>IF(R$3="","",IF(COUNTIFS(BD!$A$3:$A$5001,R$3,BD!$B$3:$B$5001,$A$5,BD!$U$3:$U$5001,"&lt;&gt;")=0,"",SUMIFS(BD!$U$3:$U$5001,BD!$A$3:$A$5001,R$3,BD!$B$3:$B$5001,$A$5)))</f>
        <v/>
      </c>
      <c r="S9" s="178" t="str">
        <f>IF(S$3="","",IF(COUNTIFS(BD!$A$3:$A$5001,S$3,BD!$B$3:$B$5001,$A$5,BD!$U$3:$U$5001,"&lt;&gt;")=0,"",SUMIFS(BD!$U$3:$U$5001,BD!$A$3:$A$5001,S$3,BD!$B$3:$B$5001,$A$5)))</f>
        <v/>
      </c>
      <c r="T9" s="178" t="str">
        <f>IF(T$3="","",IF(COUNTIFS(BD!$A$3:$A$5001,T$3,BD!$B$3:$B$5001,$A$5,BD!$U$3:$U$5001,"&lt;&gt;")=0,"",SUMIFS(BD!$U$3:$U$5001,BD!$A$3:$A$5001,T$3,BD!$B$3:$B$5001,$A$5)))</f>
        <v/>
      </c>
      <c r="U9" s="178" t="str">
        <f>IF(U$3="","",IF(COUNTIFS(BD!$A$3:$A$5001,U$3,BD!$B$3:$B$5001,$A$5,BD!$U$3:$U$5001,"&lt;&gt;")=0,"",SUMIFS(BD!$U$3:$U$5001,BD!$A$3:$A$5001,U$3,BD!$B$3:$B$5001,$A$5)))</f>
        <v/>
      </c>
      <c r="V9" s="178" t="str">
        <f>IF(V$3="","",IF(COUNTIFS(BD!$A$3:$A$5001,V$3,BD!$B$3:$B$5001,$A$5,BD!$U$3:$U$5001,"&lt;&gt;")=0,"",SUMIFS(BD!$U$3:$U$5001,BD!$A$3:$A$5001,V$3,BD!$B$3:$B$5001,$A$5)))</f>
        <v/>
      </c>
      <c r="W9" s="178" t="str">
        <f>IF(W$3="","",IF(COUNTIFS(BD!$A$3:$A$5001,W$3,BD!$B$3:$B$5001,$A$5,BD!$U$3:$U$5001,"&lt;&gt;")=0,"",SUMIFS(BD!$U$3:$U$5001,BD!$A$3:$A$5001,W$3,BD!$B$3:$B$5001,$A$5)))</f>
        <v/>
      </c>
      <c r="X9" s="178" t="str">
        <f>IF(X$3="","",IF(COUNTIFS(BD!$A$3:$A$5001,X$3,BD!$B$3:$B$5001,$A$5,BD!$U$3:$U$5001,"&lt;&gt;")=0,"",SUMIFS(BD!$U$3:$U$5001,BD!$A$3:$A$5001,X$3,BD!$B$3:$B$5001,$A$5)))</f>
        <v/>
      </c>
      <c r="Y9" s="178" t="str">
        <f>IF(Y$3="","",IF(COUNTIFS(BD!$A$3:$A$5001,Y$3,BD!$B$3:$B$5001,$A$5,BD!$U$3:$U$5001,"&lt;&gt;")=0,"",SUMIFS(BD!$U$3:$U$5001,BD!$A$3:$A$5001,Y$3,BD!$B$3:$B$5001,$A$5)))</f>
        <v/>
      </c>
      <c r="Z9" s="178" t="str">
        <f>IF(Z$3="","",IF(COUNTIFS(BD!$A$3:$A$5001,Z$3,BD!$B$3:$B$5001,$A$5,BD!$U$3:$U$5001,"&lt;&gt;")=0,"",SUMIFS(BD!$U$3:$U$5001,BD!$A$3:$A$5001,Z$3,BD!$B$3:$B$5001,$A$5)))</f>
        <v/>
      </c>
      <c r="AA9" s="178" t="str">
        <f>IF(AA$3="","",IF(COUNTIFS(BD!$A$3:$A$5001,AA$3,BD!$B$3:$B$5001,$A$5,BD!$U$3:$U$5001,"&lt;&gt;")=0,"",SUMIFS(BD!$U$3:$U$5001,BD!$A$3:$A$5001,AA$3,BD!$B$3:$B$5001,$A$5)))</f>
        <v/>
      </c>
      <c r="AB9" s="178" t="str">
        <f>IF(AB$3="","",IF(COUNTIFS(BD!$A$3:$A$5001,AB$3,BD!$B$3:$B$5001,$A$5,BD!$U$3:$U$5001,"&lt;&gt;")=0,"",SUMIFS(BD!$U$3:$U$5001,BD!$A$3:$A$5001,AB$3,BD!$B$3:$B$5001,$A$5)))</f>
        <v/>
      </c>
      <c r="AC9" s="178" t="str">
        <f>IF(AC$3="","",IF(COUNTIFS(BD!$A$3:$A$5001,AC$3,BD!$B$3:$B$5001,$A$5,BD!$U$3:$U$5001,"&lt;&gt;")=0,"",SUMIFS(BD!$U$3:$U$5001,BD!$A$3:$A$5001,AC$3,BD!$B$3:$B$5001,$A$5)))</f>
        <v/>
      </c>
      <c r="AD9" s="178" t="str">
        <f>IF(AD$3="","",IF(COUNTIFS(BD!$A$3:$A$5001,AD$3,BD!$B$3:$B$5001,$A$5,BD!$U$3:$U$5001,"&lt;&gt;")=0,"",SUMIFS(BD!$U$3:$U$5001,BD!$A$3:$A$5001,AD$3,BD!$B$3:$B$5001,$A$5)))</f>
        <v/>
      </c>
      <c r="AE9" s="178" t="str">
        <f>IF(AE$3="","",IF(COUNTIFS(BD!$A$3:$A$5001,AE$3,BD!$B$3:$B$5001,$A$5,BD!$U$3:$U$5001,"&lt;&gt;")=0,"",SUMIFS(BD!$U$3:$U$5001,BD!$A$3:$A$5001,AE$3,BD!$B$3:$B$5001,$A$5)))</f>
        <v/>
      </c>
      <c r="AF9" s="178" t="str">
        <f>IF(AF$3="","",IF(COUNTIFS(BD!$A$3:$A$5001,AF$3,BD!$B$3:$B$5001,$A$5,BD!$U$3:$U$5001,"&lt;&gt;")=0,"",SUMIFS(BD!$U$3:$U$5001,BD!$A$3:$A$5001,AF$3,BD!$B$3:$B$5001,$A$5)))</f>
        <v/>
      </c>
      <c r="AG9" s="178" t="str">
        <f>IF(AG$3="","",IF(COUNTIFS(BD!$A$3:$A$5001,AG$3,BD!$B$3:$B$5001,$A$5,BD!$U$3:$U$5001,"&lt;&gt;")=0,"",SUMIFS(BD!$U$3:$U$5001,BD!$A$3:$A$5001,AG$3,BD!$B$3:$B$5001,$A$5)))</f>
        <v/>
      </c>
      <c r="AH9" s="178" t="str">
        <f>IF(AH$3="","",IF(COUNTIFS(BD!$A$3:$A$5001,AH$3,BD!$B$3:$B$5001,$A$5,BD!$U$3:$U$5001,"&lt;&gt;")=0,"",SUMIFS(BD!$U$3:$U$5001,BD!$A$3:$A$5001,AH$3,BD!$B$3:$B$5001,$A$5)))</f>
        <v/>
      </c>
      <c r="AI9" s="178" t="str">
        <f>IF(AI$3="","",IF(COUNTIFS(BD!$A$3:$A$5001,AI$3,BD!$B$3:$B$5001,$A$5,BD!$U$3:$U$5001,"&lt;&gt;")=0,"",SUMIFS(BD!$U$3:$U$5001,BD!$A$3:$A$5001,AI$3,BD!$B$3:$B$5001,$A$5)))</f>
        <v/>
      </c>
      <c r="AJ9" s="179" t="str">
        <f>IF(AJ$3="","",IF(COUNTIFS(BD!$A$3:$A$5001,AJ$3,BD!$B$3:$B$5001,$A$5,BD!$U$3:$U$5001,"&lt;&gt;")=0,"",SUMIFS(BD!$U$3:$U$5001,BD!$A$3:$A$5001,AJ$3,BD!$B$3:$B$5001,$A$5)))</f>
        <v/>
      </c>
      <c r="AK9" s="180" t="str">
        <f>IF(COUNT(F9:AJ9)=0,"",SUM(F9:AJ9))</f>
        <v/>
      </c>
    </row>
    <row r="10" ht="15.75" customHeight="1">
      <c r="A10" s="237"/>
      <c r="B10" s="230"/>
      <c r="C10" s="181" t="inlineStr">
        <is>
          <t xml:space="preserve">No show</t>
        </is>
      </c>
      <c r="D10" s="182" t="str">
        <f>IFERROR(1/(1/INDEX(BD!$AK$42:$AU$42,MATCH($A$5,BD!$AK$22:$AU$22,0))),"")</f>
        <v/>
      </c>
      <c r="E10" s="183"/>
      <c r="F10" s="184" t="str">
        <f>IF(F$3="","",IF(COUNTIFS(BD!$A$3:$A$5001,F$3,BD!$B$3:$B$5001,$A$5,BD!$V$3:$V$5001,"&lt;&gt;")=0,"",SUMIFS(BD!$V$3:$V$5001,BD!$A$3:$A$5001,F$3,BD!$B$3:$B$5001,$A$5)))</f>
        <v/>
      </c>
      <c r="G10" s="185" t="str">
        <f>IF(G$3="","",IF(COUNTIFS(BD!$A$3:$A$5001,G$3,BD!$B$3:$B$5001,$A$5,BD!$V$3:$V$5001,"&lt;&gt;")=0,"",SUMIFS(BD!$V$3:$V$5001,BD!$A$3:$A$5001,G$3,BD!$B$3:$B$5001,$A$5)))</f>
        <v/>
      </c>
      <c r="H10" s="185" t="str">
        <f>IF(H$3="","",IF(COUNTIFS(BD!$A$3:$A$5001,H$3,BD!$B$3:$B$5001,$A$5,BD!$V$3:$V$5001,"&lt;&gt;")=0,"",SUMIFS(BD!$V$3:$V$5001,BD!$A$3:$A$5001,H$3,BD!$B$3:$B$5001,$A$5)))</f>
        <v/>
      </c>
      <c r="I10" s="185" t="str">
        <f>IF(I$3="","",IF(COUNTIFS(BD!$A$3:$A$5001,I$3,BD!$B$3:$B$5001,$A$5,BD!$V$3:$V$5001,"&lt;&gt;")=0,"",SUMIFS(BD!$V$3:$V$5001,BD!$A$3:$A$5001,I$3,BD!$B$3:$B$5001,$A$5)))</f>
        <v/>
      </c>
      <c r="J10" s="185" t="str">
        <f>IF(J$3="","",IF(COUNTIFS(BD!$A$3:$A$5001,J$3,BD!$B$3:$B$5001,$A$5,BD!$V$3:$V$5001,"&lt;&gt;")=0,"",SUMIFS(BD!$V$3:$V$5001,BD!$A$3:$A$5001,J$3,BD!$B$3:$B$5001,$A$5)))</f>
        <v/>
      </c>
      <c r="K10" s="185" t="str">
        <f>IF(K$3="","",IF(COUNTIFS(BD!$A$3:$A$5001,K$3,BD!$B$3:$B$5001,$A$5,BD!$V$3:$V$5001,"&lt;&gt;")=0,"",SUMIFS(BD!$V$3:$V$5001,BD!$A$3:$A$5001,K$3,BD!$B$3:$B$5001,$A$5)))</f>
        <v/>
      </c>
      <c r="L10" s="185" t="str">
        <f>IF(L$3="","",IF(COUNTIFS(BD!$A$3:$A$5001,L$3,BD!$B$3:$B$5001,$A$5,BD!$V$3:$V$5001,"&lt;&gt;")=0,"",SUMIFS(BD!$V$3:$V$5001,BD!$A$3:$A$5001,L$3,BD!$B$3:$B$5001,$A$5)))</f>
        <v/>
      </c>
      <c r="M10" s="185" t="str">
        <f>IF(M$3="","",IF(COUNTIFS(BD!$A$3:$A$5001,M$3,BD!$B$3:$B$5001,$A$5,BD!$V$3:$V$5001,"&lt;&gt;")=0,"",SUMIFS(BD!$V$3:$V$5001,BD!$A$3:$A$5001,M$3,BD!$B$3:$B$5001,$A$5)))</f>
        <v/>
      </c>
      <c r="N10" s="185" t="str">
        <f>IF(N$3="","",IF(COUNTIFS(BD!$A$3:$A$5001,N$3,BD!$B$3:$B$5001,$A$5,BD!$V$3:$V$5001,"&lt;&gt;")=0,"",SUMIFS(BD!$V$3:$V$5001,BD!$A$3:$A$5001,N$3,BD!$B$3:$B$5001,$A$5)))</f>
        <v/>
      </c>
      <c r="O10" s="185" t="str">
        <f>IF(O$3="","",IF(COUNTIFS(BD!$A$3:$A$5001,O$3,BD!$B$3:$B$5001,$A$5,BD!$V$3:$V$5001,"&lt;&gt;")=0,"",SUMIFS(BD!$V$3:$V$5001,BD!$A$3:$A$5001,O$3,BD!$B$3:$B$5001,$A$5)))</f>
        <v/>
      </c>
      <c r="P10" s="185" t="str">
        <f>IF(P$3="","",IF(COUNTIFS(BD!$A$3:$A$5001,P$3,BD!$B$3:$B$5001,$A$5,BD!$V$3:$V$5001,"&lt;&gt;")=0,"",SUMIFS(BD!$V$3:$V$5001,BD!$A$3:$A$5001,P$3,BD!$B$3:$B$5001,$A$5)))</f>
        <v/>
      </c>
      <c r="Q10" s="185" t="str">
        <f>IF(Q$3="","",IF(COUNTIFS(BD!$A$3:$A$5001,Q$3,BD!$B$3:$B$5001,$A$5,BD!$V$3:$V$5001,"&lt;&gt;")=0,"",SUMIFS(BD!$V$3:$V$5001,BD!$A$3:$A$5001,Q$3,BD!$B$3:$B$5001,$A$5)))</f>
        <v/>
      </c>
      <c r="R10" s="185" t="str">
        <f>IF(R$3="","",IF(COUNTIFS(BD!$A$3:$A$5001,R$3,BD!$B$3:$B$5001,$A$5,BD!$V$3:$V$5001,"&lt;&gt;")=0,"",SUMIFS(BD!$V$3:$V$5001,BD!$A$3:$A$5001,R$3,BD!$B$3:$B$5001,$A$5)))</f>
        <v/>
      </c>
      <c r="S10" s="185" t="str">
        <f>IF(S$3="","",IF(COUNTIFS(BD!$A$3:$A$5001,S$3,BD!$B$3:$B$5001,$A$5,BD!$V$3:$V$5001,"&lt;&gt;")=0,"",SUMIFS(BD!$V$3:$V$5001,BD!$A$3:$A$5001,S$3,BD!$B$3:$B$5001,$A$5)))</f>
        <v/>
      </c>
      <c r="T10" s="185" t="str">
        <f>IF(T$3="","",IF(COUNTIFS(BD!$A$3:$A$5001,T$3,BD!$B$3:$B$5001,$A$5,BD!$V$3:$V$5001,"&lt;&gt;")=0,"",SUMIFS(BD!$V$3:$V$5001,BD!$A$3:$A$5001,T$3,BD!$B$3:$B$5001,$A$5)))</f>
        <v/>
      </c>
      <c r="U10" s="185" t="str">
        <f>IF(U$3="","",IF(COUNTIFS(BD!$A$3:$A$5001,U$3,BD!$B$3:$B$5001,$A$5,BD!$V$3:$V$5001,"&lt;&gt;")=0,"",SUMIFS(BD!$V$3:$V$5001,BD!$A$3:$A$5001,U$3,BD!$B$3:$B$5001,$A$5)))</f>
        <v/>
      </c>
      <c r="V10" s="185" t="str">
        <f>IF(V$3="","",IF(COUNTIFS(BD!$A$3:$A$5001,V$3,BD!$B$3:$B$5001,$A$5,BD!$V$3:$V$5001,"&lt;&gt;")=0,"",SUMIFS(BD!$V$3:$V$5001,BD!$A$3:$A$5001,V$3,BD!$B$3:$B$5001,$A$5)))</f>
        <v/>
      </c>
      <c r="W10" s="185" t="str">
        <f>IF(W$3="","",IF(COUNTIFS(BD!$A$3:$A$5001,W$3,BD!$B$3:$B$5001,$A$5,BD!$V$3:$V$5001,"&lt;&gt;")=0,"",SUMIFS(BD!$V$3:$V$5001,BD!$A$3:$A$5001,W$3,BD!$B$3:$B$5001,$A$5)))</f>
        <v/>
      </c>
      <c r="X10" s="185" t="str">
        <f>IF(X$3="","",IF(COUNTIFS(BD!$A$3:$A$5001,X$3,BD!$B$3:$B$5001,$A$5,BD!$V$3:$V$5001,"&lt;&gt;")=0,"",SUMIFS(BD!$V$3:$V$5001,BD!$A$3:$A$5001,X$3,BD!$B$3:$B$5001,$A$5)))</f>
        <v/>
      </c>
      <c r="Y10" s="185" t="str">
        <f>IF(Y$3="","",IF(COUNTIFS(BD!$A$3:$A$5001,Y$3,BD!$B$3:$B$5001,$A$5,BD!$V$3:$V$5001,"&lt;&gt;")=0,"",SUMIFS(BD!$V$3:$V$5001,BD!$A$3:$A$5001,Y$3,BD!$B$3:$B$5001,$A$5)))</f>
        <v/>
      </c>
      <c r="Z10" s="185" t="str">
        <f>IF(Z$3="","",IF(COUNTIFS(BD!$A$3:$A$5001,Z$3,BD!$B$3:$B$5001,$A$5,BD!$V$3:$V$5001,"&lt;&gt;")=0,"",SUMIFS(BD!$V$3:$V$5001,BD!$A$3:$A$5001,Z$3,BD!$B$3:$B$5001,$A$5)))</f>
        <v/>
      </c>
      <c r="AA10" s="185" t="str">
        <f>IF(AA$3="","",IF(COUNTIFS(BD!$A$3:$A$5001,AA$3,BD!$B$3:$B$5001,$A$5,BD!$V$3:$V$5001,"&lt;&gt;")=0,"",SUMIFS(BD!$V$3:$V$5001,BD!$A$3:$A$5001,AA$3,BD!$B$3:$B$5001,$A$5)))</f>
        <v/>
      </c>
      <c r="AB10" s="185" t="str">
        <f>IF(AB$3="","",IF(COUNTIFS(BD!$A$3:$A$5001,AB$3,BD!$B$3:$B$5001,$A$5,BD!$V$3:$V$5001,"&lt;&gt;")=0,"",SUMIFS(BD!$V$3:$V$5001,BD!$A$3:$A$5001,AB$3,BD!$B$3:$B$5001,$A$5)))</f>
        <v/>
      </c>
      <c r="AC10" s="185" t="str">
        <f>IF(AC$3="","",IF(COUNTIFS(BD!$A$3:$A$5001,AC$3,BD!$B$3:$B$5001,$A$5,BD!$V$3:$V$5001,"&lt;&gt;")=0,"",SUMIFS(BD!$V$3:$V$5001,BD!$A$3:$A$5001,AC$3,BD!$B$3:$B$5001,$A$5)))</f>
        <v/>
      </c>
      <c r="AD10" s="185" t="str">
        <f>IF(AD$3="","",IF(COUNTIFS(BD!$A$3:$A$5001,AD$3,BD!$B$3:$B$5001,$A$5,BD!$V$3:$V$5001,"&lt;&gt;")=0,"",SUMIFS(BD!$V$3:$V$5001,BD!$A$3:$A$5001,AD$3,BD!$B$3:$B$5001,$A$5)))</f>
        <v/>
      </c>
      <c r="AE10" s="185" t="str">
        <f>IF(AE$3="","",IF(COUNTIFS(BD!$A$3:$A$5001,AE$3,BD!$B$3:$B$5001,$A$5,BD!$V$3:$V$5001,"&lt;&gt;")=0,"",SUMIFS(BD!$V$3:$V$5001,BD!$A$3:$A$5001,AE$3,BD!$B$3:$B$5001,$A$5)))</f>
        <v/>
      </c>
      <c r="AF10" s="185" t="str">
        <f>IF(AF$3="","",IF(COUNTIFS(BD!$A$3:$A$5001,AF$3,BD!$B$3:$B$5001,$A$5,BD!$V$3:$V$5001,"&lt;&gt;")=0,"",SUMIFS(BD!$V$3:$V$5001,BD!$A$3:$A$5001,AF$3,BD!$B$3:$B$5001,$A$5)))</f>
        <v/>
      </c>
      <c r="AG10" s="185" t="str">
        <f>IF(AG$3="","",IF(COUNTIFS(BD!$A$3:$A$5001,AG$3,BD!$B$3:$B$5001,$A$5,BD!$V$3:$V$5001,"&lt;&gt;")=0,"",SUMIFS(BD!$V$3:$V$5001,BD!$A$3:$A$5001,AG$3,BD!$B$3:$B$5001,$A$5)))</f>
        <v/>
      </c>
      <c r="AH10" s="185" t="str">
        <f>IF(AH$3="","",IF(COUNTIFS(BD!$A$3:$A$5001,AH$3,BD!$B$3:$B$5001,$A$5,BD!$V$3:$V$5001,"&lt;&gt;")=0,"",SUMIFS(BD!$V$3:$V$5001,BD!$A$3:$A$5001,AH$3,BD!$B$3:$B$5001,$A$5)))</f>
        <v/>
      </c>
      <c r="AI10" s="185" t="str">
        <f>IF(AI$3="","",IF(COUNTIFS(BD!$A$3:$A$5001,AI$3,BD!$B$3:$B$5001,$A$5,BD!$V$3:$V$5001,"&lt;&gt;")=0,"",SUMIFS(BD!$V$3:$V$5001,BD!$A$3:$A$5001,AI$3,BD!$B$3:$B$5001,$A$5)))</f>
        <v/>
      </c>
      <c r="AJ10" s="186" t="str">
        <f>IF(AJ$3="","",IF(COUNTIFS(BD!$A$3:$A$5001,AJ$3,BD!$B$3:$B$5001,$A$5,BD!$V$3:$V$5001,"&lt;&gt;")=0,"",SUMIFS(BD!$V$3:$V$5001,BD!$A$3:$A$5001,AJ$3,BD!$B$3:$B$5001,$A$5)))</f>
        <v/>
      </c>
      <c r="AK10" s="187" t="str">
        <f>IF(COUNT(F10:AJ10)=0,"",SUM(F10:AJ10))</f>
        <v/>
      </c>
    </row>
    <row r="11" ht="15.75" customHeight="1">
      <c r="A11" s="237"/>
      <c r="B11" s="231"/>
      <c r="C11" s="188" t="inlineStr">
        <is>
          <t xml:space="preserve">Backlog</t>
        </is>
      </c>
      <c r="D11" s="189" t="str">
        <f>IFERROR(1/(1/INDEX(BD!$AK$43:$AU$43,MATCH($A$5,BD!$AK$22:$AU$22,0))),"")</f>
        <v/>
      </c>
      <c r="E11" s="190"/>
      <c r="F11" s="191" t="str">
        <f>IF(F$3="","",IF(COUNTIFS(BD!$A$3:$A$5001,F$3,BD!$B$3:$B$5001,$A$5,BD!$W$3:$W$5001,"&lt;&gt;")=0,"",SUMIFS(BD!$W$3:$W$5001,BD!$A$3:$A$5001,F$3,BD!$B$3:$B$5001,$A$5)))</f>
        <v/>
      </c>
      <c r="G11" s="192" t="str">
        <f>IF(G$3="","",IF(COUNTIFS(BD!$A$3:$A$5001,G$3,BD!$B$3:$B$5001,$A$5,BD!$W$3:$W$5001,"&lt;&gt;")=0,"",SUMIFS(BD!$W$3:$W$5001,BD!$A$3:$A$5001,G$3,BD!$B$3:$B$5001,$A$5)))</f>
        <v/>
      </c>
      <c r="H11" s="192" t="str">
        <f>IF(H$3="","",IF(COUNTIFS(BD!$A$3:$A$5001,H$3,BD!$B$3:$B$5001,$A$5,BD!$W$3:$W$5001,"&lt;&gt;")=0,"",SUMIFS(BD!$W$3:$W$5001,BD!$A$3:$A$5001,H$3,BD!$B$3:$B$5001,$A$5)))</f>
        <v/>
      </c>
      <c r="I11" s="192" t="str">
        <f>IF(I$3="","",IF(COUNTIFS(BD!$A$3:$A$5001,I$3,BD!$B$3:$B$5001,$A$5,BD!$W$3:$W$5001,"&lt;&gt;")=0,"",SUMIFS(BD!$W$3:$W$5001,BD!$A$3:$A$5001,I$3,BD!$B$3:$B$5001,$A$5)))</f>
        <v/>
      </c>
      <c r="J11" s="192" t="str">
        <f>IF(J$3="","",IF(COUNTIFS(BD!$A$3:$A$5001,J$3,BD!$B$3:$B$5001,$A$5,BD!$W$3:$W$5001,"&lt;&gt;")=0,"",SUMIFS(BD!$W$3:$W$5001,BD!$A$3:$A$5001,J$3,BD!$B$3:$B$5001,$A$5)))</f>
        <v/>
      </c>
      <c r="K11" s="192" t="str">
        <f>IF(K$3="","",IF(COUNTIFS(BD!$A$3:$A$5001,K$3,BD!$B$3:$B$5001,$A$5,BD!$W$3:$W$5001,"&lt;&gt;")=0,"",SUMIFS(BD!$W$3:$W$5001,BD!$A$3:$A$5001,K$3,BD!$B$3:$B$5001,$A$5)))</f>
        <v/>
      </c>
      <c r="L11" s="192" t="str">
        <f>IF(L$3="","",IF(COUNTIFS(BD!$A$3:$A$5001,L$3,BD!$B$3:$B$5001,$A$5,BD!$W$3:$W$5001,"&lt;&gt;")=0,"",SUMIFS(BD!$W$3:$W$5001,BD!$A$3:$A$5001,L$3,BD!$B$3:$B$5001,$A$5)))</f>
        <v/>
      </c>
      <c r="M11" s="192" t="str">
        <f>IF(M$3="","",IF(COUNTIFS(BD!$A$3:$A$5001,M$3,BD!$B$3:$B$5001,$A$5,BD!$W$3:$W$5001,"&lt;&gt;")=0,"",SUMIFS(BD!$W$3:$W$5001,BD!$A$3:$A$5001,M$3,BD!$B$3:$B$5001,$A$5)))</f>
        <v/>
      </c>
      <c r="N11" s="192" t="str">
        <f>IF(N$3="","",IF(COUNTIFS(BD!$A$3:$A$5001,N$3,BD!$B$3:$B$5001,$A$5,BD!$W$3:$W$5001,"&lt;&gt;")=0,"",SUMIFS(BD!$W$3:$W$5001,BD!$A$3:$A$5001,N$3,BD!$B$3:$B$5001,$A$5)))</f>
        <v/>
      </c>
      <c r="O11" s="192" t="str">
        <f>IF(O$3="","",IF(COUNTIFS(BD!$A$3:$A$5001,O$3,BD!$B$3:$B$5001,$A$5,BD!$W$3:$W$5001,"&lt;&gt;")=0,"",SUMIFS(BD!$W$3:$W$5001,BD!$A$3:$A$5001,O$3,BD!$B$3:$B$5001,$A$5)))</f>
        <v/>
      </c>
      <c r="P11" s="192" t="str">
        <f>IF(P$3="","",IF(COUNTIFS(BD!$A$3:$A$5001,P$3,BD!$B$3:$B$5001,$A$5,BD!$W$3:$W$5001,"&lt;&gt;")=0,"",SUMIFS(BD!$W$3:$W$5001,BD!$A$3:$A$5001,P$3,BD!$B$3:$B$5001,$A$5)))</f>
        <v/>
      </c>
      <c r="Q11" s="192" t="str">
        <f>IF(Q$3="","",IF(COUNTIFS(BD!$A$3:$A$5001,Q$3,BD!$B$3:$B$5001,$A$5,BD!$W$3:$W$5001,"&lt;&gt;")=0,"",SUMIFS(BD!$W$3:$W$5001,BD!$A$3:$A$5001,Q$3,BD!$B$3:$B$5001,$A$5)))</f>
        <v/>
      </c>
      <c r="R11" s="192" t="str">
        <f>IF(R$3="","",IF(COUNTIFS(BD!$A$3:$A$5001,R$3,BD!$B$3:$B$5001,$A$5,BD!$W$3:$W$5001,"&lt;&gt;")=0,"",SUMIFS(BD!$W$3:$W$5001,BD!$A$3:$A$5001,R$3,BD!$B$3:$B$5001,$A$5)))</f>
        <v/>
      </c>
      <c r="S11" s="192" t="str">
        <f>IF(S$3="","",IF(COUNTIFS(BD!$A$3:$A$5001,S$3,BD!$B$3:$B$5001,$A$5,BD!$W$3:$W$5001,"&lt;&gt;")=0,"",SUMIFS(BD!$W$3:$W$5001,BD!$A$3:$A$5001,S$3,BD!$B$3:$B$5001,$A$5)))</f>
        <v/>
      </c>
      <c r="T11" s="192" t="str">
        <f>IF(T$3="","",IF(COUNTIFS(BD!$A$3:$A$5001,T$3,BD!$B$3:$B$5001,$A$5,BD!$W$3:$W$5001,"&lt;&gt;")=0,"",SUMIFS(BD!$W$3:$W$5001,BD!$A$3:$A$5001,T$3,BD!$B$3:$B$5001,$A$5)))</f>
        <v/>
      </c>
      <c r="U11" s="192" t="str">
        <f>IF(U$3="","",IF(COUNTIFS(BD!$A$3:$A$5001,U$3,BD!$B$3:$B$5001,$A$5,BD!$W$3:$W$5001,"&lt;&gt;")=0,"",SUMIFS(BD!$W$3:$W$5001,BD!$A$3:$A$5001,U$3,BD!$B$3:$B$5001,$A$5)))</f>
        <v/>
      </c>
      <c r="V11" s="192" t="str">
        <f>IF(V$3="","",IF(COUNTIFS(BD!$A$3:$A$5001,V$3,BD!$B$3:$B$5001,$A$5,BD!$W$3:$W$5001,"&lt;&gt;")=0,"",SUMIFS(BD!$W$3:$W$5001,BD!$A$3:$A$5001,V$3,BD!$B$3:$B$5001,$A$5)))</f>
        <v/>
      </c>
      <c r="W11" s="192" t="str">
        <f>IF(W$3="","",IF(COUNTIFS(BD!$A$3:$A$5001,W$3,BD!$B$3:$B$5001,$A$5,BD!$W$3:$W$5001,"&lt;&gt;")=0,"",SUMIFS(BD!$W$3:$W$5001,BD!$A$3:$A$5001,W$3,BD!$B$3:$B$5001,$A$5)))</f>
        <v/>
      </c>
      <c r="X11" s="192" t="str">
        <f>IF(X$3="","",IF(COUNTIFS(BD!$A$3:$A$5001,X$3,BD!$B$3:$B$5001,$A$5,BD!$W$3:$W$5001,"&lt;&gt;")=0,"",SUMIFS(BD!$W$3:$W$5001,BD!$A$3:$A$5001,X$3,BD!$B$3:$B$5001,$A$5)))</f>
        <v/>
      </c>
      <c r="Y11" s="192" t="str">
        <f>IF(Y$3="","",IF(COUNTIFS(BD!$A$3:$A$5001,Y$3,BD!$B$3:$B$5001,$A$5,BD!$W$3:$W$5001,"&lt;&gt;")=0,"",SUMIFS(BD!$W$3:$W$5001,BD!$A$3:$A$5001,Y$3,BD!$B$3:$B$5001,$A$5)))</f>
        <v/>
      </c>
      <c r="Z11" s="192" t="str">
        <f>IF(Z$3="","",IF(COUNTIFS(BD!$A$3:$A$5001,Z$3,BD!$B$3:$B$5001,$A$5,BD!$W$3:$W$5001,"&lt;&gt;")=0,"",SUMIFS(BD!$W$3:$W$5001,BD!$A$3:$A$5001,Z$3,BD!$B$3:$B$5001,$A$5)))</f>
        <v/>
      </c>
      <c r="AA11" s="192" t="str">
        <f>IF(AA$3="","",IF(COUNTIFS(BD!$A$3:$A$5001,AA$3,BD!$B$3:$B$5001,$A$5,BD!$W$3:$W$5001,"&lt;&gt;")=0,"",SUMIFS(BD!$W$3:$W$5001,BD!$A$3:$A$5001,AA$3,BD!$B$3:$B$5001,$A$5)))</f>
        <v/>
      </c>
      <c r="AB11" s="192" t="str">
        <f>IF(AB$3="","",IF(COUNTIFS(BD!$A$3:$A$5001,AB$3,BD!$B$3:$B$5001,$A$5,BD!$W$3:$W$5001,"&lt;&gt;")=0,"",SUMIFS(BD!$W$3:$W$5001,BD!$A$3:$A$5001,AB$3,BD!$B$3:$B$5001,$A$5)))</f>
        <v/>
      </c>
      <c r="AC11" s="192" t="str">
        <f>IF(AC$3="","",IF(COUNTIFS(BD!$A$3:$A$5001,AC$3,BD!$B$3:$B$5001,$A$5,BD!$W$3:$W$5001,"&lt;&gt;")=0,"",SUMIFS(BD!$W$3:$W$5001,BD!$A$3:$A$5001,AC$3,BD!$B$3:$B$5001,$A$5)))</f>
        <v/>
      </c>
      <c r="AD11" s="192" t="str">
        <f>IF(AD$3="","",IF(COUNTIFS(BD!$A$3:$A$5001,AD$3,BD!$B$3:$B$5001,$A$5,BD!$W$3:$W$5001,"&lt;&gt;")=0,"",SUMIFS(BD!$W$3:$W$5001,BD!$A$3:$A$5001,AD$3,BD!$B$3:$B$5001,$A$5)))</f>
        <v/>
      </c>
      <c r="AE11" s="192" t="str">
        <f>IF(AE$3="","",IF(COUNTIFS(BD!$A$3:$A$5001,AE$3,BD!$B$3:$B$5001,$A$5,BD!$W$3:$W$5001,"&lt;&gt;")=0,"",SUMIFS(BD!$W$3:$W$5001,BD!$A$3:$A$5001,AE$3,BD!$B$3:$B$5001,$A$5)))</f>
        <v/>
      </c>
      <c r="AF11" s="192" t="str">
        <f>IF(AF$3="","",IF(COUNTIFS(BD!$A$3:$A$5001,AF$3,BD!$B$3:$B$5001,$A$5,BD!$W$3:$W$5001,"&lt;&gt;")=0,"",SUMIFS(BD!$W$3:$W$5001,BD!$A$3:$A$5001,AF$3,BD!$B$3:$B$5001,$A$5)))</f>
        <v/>
      </c>
      <c r="AG11" s="192" t="str">
        <f>IF(AG$3="","",IF(COUNTIFS(BD!$A$3:$A$5001,AG$3,BD!$B$3:$B$5001,$A$5,BD!$W$3:$W$5001,"&lt;&gt;")=0,"",SUMIFS(BD!$W$3:$W$5001,BD!$A$3:$A$5001,AG$3,BD!$B$3:$B$5001,$A$5)))</f>
        <v/>
      </c>
      <c r="AH11" s="192" t="str">
        <f>IF(AH$3="","",IF(COUNTIFS(BD!$A$3:$A$5001,AH$3,BD!$B$3:$B$5001,$A$5,BD!$W$3:$W$5001,"&lt;&gt;")=0,"",SUMIFS(BD!$W$3:$W$5001,BD!$A$3:$A$5001,AH$3,BD!$B$3:$B$5001,$A$5)))</f>
        <v/>
      </c>
      <c r="AI11" s="192" t="str">
        <f>IF(AI$3="","",IF(COUNTIFS(BD!$A$3:$A$5001,AI$3,BD!$B$3:$B$5001,$A$5,BD!$W$3:$W$5001,"&lt;&gt;")=0,"",SUMIFS(BD!$W$3:$W$5001,BD!$A$3:$A$5001,AI$3,BD!$B$3:$B$5001,$A$5)))</f>
        <v/>
      </c>
      <c r="AJ11" s="193" t="str">
        <f>IF(AJ$3="","",IF(COUNTIFS(BD!$A$3:$A$5001,AJ$3,BD!$B$3:$B$5001,$A$5,BD!$W$3:$W$5001,"&lt;&gt;")=0,"",SUMIFS(BD!$W$3:$W$5001,BD!$A$3:$A$5001,AJ$3,BD!$B$3:$B$5001,$A$5)))</f>
        <v/>
      </c>
      <c r="AK11" s="189" t="str">
        <f>IFERROR(LOOKUP(9.99E+307,F11:AJ11),"")</f>
        <v/>
      </c>
    </row>
    <row r="12" ht="15.75" customHeight="1">
      <c r="A12" s="237"/>
      <c r="B12" s="225" t="inlineStr">
        <is>
          <t xml:space="preserve">OCUPAÇÃO (P.P)</t>
        </is>
      </c>
      <c r="C12" s="148" t="inlineStr">
        <is>
          <t xml:space="preserve">Posições Disponíveis</t>
        </is>
      </c>
      <c r="D12" s="149" t="str">
        <f>IFERROR(1/(1/INDEX(BD!$AK$44:$AU$44,MATCH($A$5,BD!$AK$22:$AU$22,0))),"")</f>
        <v/>
      </c>
      <c r="E12" s="150"/>
      <c r="F12" s="151" t="str">
        <f>IF(F$3="","",IF(COUNTIFS(BD!$A$3:$A$5001,F$3,BD!$B$3:$B$5001,$A$5,BD!$X$3:$X$5001,"&lt;&gt;")=0,"",SUMIFS(BD!$X$3:$X$5001,BD!$A$3:$A$5001,F$3,BD!$B$3:$B$5001,$A$5)))</f>
        <v/>
      </c>
      <c r="G12" s="152" t="str">
        <f>IF(G$3="","",IF(COUNTIFS(BD!$A$3:$A$5001,G$3,BD!$B$3:$B$5001,$A$5,BD!$X$3:$X$5001,"&lt;&gt;")=0,"",SUMIFS(BD!$X$3:$X$5001,BD!$A$3:$A$5001,G$3,BD!$B$3:$B$5001,$A$5)))</f>
        <v/>
      </c>
      <c r="H12" s="152" t="str">
        <f>IF(H$3="","",IF(COUNTIFS(BD!$A$3:$A$5001,H$3,BD!$B$3:$B$5001,$A$5,BD!$X$3:$X$5001,"&lt;&gt;")=0,"",SUMIFS(BD!$X$3:$X$5001,BD!$A$3:$A$5001,H$3,BD!$B$3:$B$5001,$A$5)))</f>
        <v/>
      </c>
      <c r="I12" s="152" t="str">
        <f>IF(I$3="","",IF(COUNTIFS(BD!$A$3:$A$5001,I$3,BD!$B$3:$B$5001,$A$5,BD!$X$3:$X$5001,"&lt;&gt;")=0,"",SUMIFS(BD!$X$3:$X$5001,BD!$A$3:$A$5001,I$3,BD!$B$3:$B$5001,$A$5)))</f>
        <v/>
      </c>
      <c r="J12" s="152" t="str">
        <f>IF(J$3="","",IF(COUNTIFS(BD!$A$3:$A$5001,J$3,BD!$B$3:$B$5001,$A$5,BD!$X$3:$X$5001,"&lt;&gt;")=0,"",SUMIFS(BD!$X$3:$X$5001,BD!$A$3:$A$5001,J$3,BD!$B$3:$B$5001,$A$5)))</f>
        <v/>
      </c>
      <c r="K12" s="152" t="str">
        <f>IF(K$3="","",IF(COUNTIFS(BD!$A$3:$A$5001,K$3,BD!$B$3:$B$5001,$A$5,BD!$X$3:$X$5001,"&lt;&gt;")=0,"",SUMIFS(BD!$X$3:$X$5001,BD!$A$3:$A$5001,K$3,BD!$B$3:$B$5001,$A$5)))</f>
        <v/>
      </c>
      <c r="L12" s="152" t="str">
        <f>IF(L$3="","",IF(COUNTIFS(BD!$A$3:$A$5001,L$3,BD!$B$3:$B$5001,$A$5,BD!$X$3:$X$5001,"&lt;&gt;")=0,"",SUMIFS(BD!$X$3:$X$5001,BD!$A$3:$A$5001,L$3,BD!$B$3:$B$5001,$A$5)))</f>
        <v/>
      </c>
      <c r="M12" s="152" t="str">
        <f>IF(M$3="","",IF(COUNTIFS(BD!$A$3:$A$5001,M$3,BD!$B$3:$B$5001,$A$5,BD!$X$3:$X$5001,"&lt;&gt;")=0,"",SUMIFS(BD!$X$3:$X$5001,BD!$A$3:$A$5001,M$3,BD!$B$3:$B$5001,$A$5)))</f>
        <v/>
      </c>
      <c r="N12" s="152" t="str">
        <f>IF(N$3="","",IF(COUNTIFS(BD!$A$3:$A$5001,N$3,BD!$B$3:$B$5001,$A$5,BD!$X$3:$X$5001,"&lt;&gt;")=0,"",SUMIFS(BD!$X$3:$X$5001,BD!$A$3:$A$5001,N$3,BD!$B$3:$B$5001,$A$5)))</f>
        <v/>
      </c>
      <c r="O12" s="152" t="str">
        <f>IF(O$3="","",IF(COUNTIFS(BD!$A$3:$A$5001,O$3,BD!$B$3:$B$5001,$A$5,BD!$X$3:$X$5001,"&lt;&gt;")=0,"",SUMIFS(BD!$X$3:$X$5001,BD!$A$3:$A$5001,O$3,BD!$B$3:$B$5001,$A$5)))</f>
        <v/>
      </c>
      <c r="P12" s="152" t="str">
        <f>IF(P$3="","",IF(COUNTIFS(BD!$A$3:$A$5001,P$3,BD!$B$3:$B$5001,$A$5,BD!$X$3:$X$5001,"&lt;&gt;")=0,"",SUMIFS(BD!$X$3:$X$5001,BD!$A$3:$A$5001,P$3,BD!$B$3:$B$5001,$A$5)))</f>
        <v/>
      </c>
      <c r="Q12" s="152" t="str">
        <f>IF(Q$3="","",IF(COUNTIFS(BD!$A$3:$A$5001,Q$3,BD!$B$3:$B$5001,$A$5,BD!$X$3:$X$5001,"&lt;&gt;")=0,"",SUMIFS(BD!$X$3:$X$5001,BD!$A$3:$A$5001,Q$3,BD!$B$3:$B$5001,$A$5)))</f>
        <v/>
      </c>
      <c r="R12" s="152" t="str">
        <f>IF(R$3="","",IF(COUNTIFS(BD!$A$3:$A$5001,R$3,BD!$B$3:$B$5001,$A$5,BD!$X$3:$X$5001,"&lt;&gt;")=0,"",SUMIFS(BD!$X$3:$X$5001,BD!$A$3:$A$5001,R$3,BD!$B$3:$B$5001,$A$5)))</f>
        <v/>
      </c>
      <c r="S12" s="152" t="str">
        <f>IF(S$3="","",IF(COUNTIFS(BD!$A$3:$A$5001,S$3,BD!$B$3:$B$5001,$A$5,BD!$X$3:$X$5001,"&lt;&gt;")=0,"",SUMIFS(BD!$X$3:$X$5001,BD!$A$3:$A$5001,S$3,BD!$B$3:$B$5001,$A$5)))</f>
        <v/>
      </c>
      <c r="T12" s="152" t="str">
        <f>IF(T$3="","",IF(COUNTIFS(BD!$A$3:$A$5001,T$3,BD!$B$3:$B$5001,$A$5,BD!$X$3:$X$5001,"&lt;&gt;")=0,"",SUMIFS(BD!$X$3:$X$5001,BD!$A$3:$A$5001,T$3,BD!$B$3:$B$5001,$A$5)))</f>
        <v/>
      </c>
      <c r="U12" s="152" t="str">
        <f>IF(U$3="","",IF(COUNTIFS(BD!$A$3:$A$5001,U$3,BD!$B$3:$B$5001,$A$5,BD!$X$3:$X$5001,"&lt;&gt;")=0,"",SUMIFS(BD!$X$3:$X$5001,BD!$A$3:$A$5001,U$3,BD!$B$3:$B$5001,$A$5)))</f>
        <v/>
      </c>
      <c r="V12" s="152" t="str">
        <f>IF(V$3="","",IF(COUNTIFS(BD!$A$3:$A$5001,V$3,BD!$B$3:$B$5001,$A$5,BD!$X$3:$X$5001,"&lt;&gt;")=0,"",SUMIFS(BD!$X$3:$X$5001,BD!$A$3:$A$5001,V$3,BD!$B$3:$B$5001,$A$5)))</f>
        <v/>
      </c>
      <c r="W12" s="152" t="str">
        <f>IF(W$3="","",IF(COUNTIFS(BD!$A$3:$A$5001,W$3,BD!$B$3:$B$5001,$A$5,BD!$X$3:$X$5001,"&lt;&gt;")=0,"",SUMIFS(BD!$X$3:$X$5001,BD!$A$3:$A$5001,W$3,BD!$B$3:$B$5001,$A$5)))</f>
        <v/>
      </c>
      <c r="X12" s="152" t="str">
        <f>IF(X$3="","",IF(COUNTIFS(BD!$A$3:$A$5001,X$3,BD!$B$3:$B$5001,$A$5,BD!$X$3:$X$5001,"&lt;&gt;")=0,"",SUMIFS(BD!$X$3:$X$5001,BD!$A$3:$A$5001,X$3,BD!$B$3:$B$5001,$A$5)))</f>
        <v/>
      </c>
      <c r="Y12" s="152" t="str">
        <f>IF(Y$3="","",IF(COUNTIFS(BD!$A$3:$A$5001,Y$3,BD!$B$3:$B$5001,$A$5,BD!$X$3:$X$5001,"&lt;&gt;")=0,"",SUMIFS(BD!$X$3:$X$5001,BD!$A$3:$A$5001,Y$3,BD!$B$3:$B$5001,$A$5)))</f>
        <v/>
      </c>
      <c r="Z12" s="152" t="str">
        <f>IF(Z$3="","",IF(COUNTIFS(BD!$A$3:$A$5001,Z$3,BD!$B$3:$B$5001,$A$5,BD!$X$3:$X$5001,"&lt;&gt;")=0,"",SUMIFS(BD!$X$3:$X$5001,BD!$A$3:$A$5001,Z$3,BD!$B$3:$B$5001,$A$5)))</f>
        <v/>
      </c>
      <c r="AA12" s="152" t="str">
        <f>IF(AA$3="","",IF(COUNTIFS(BD!$A$3:$A$5001,AA$3,BD!$B$3:$B$5001,$A$5,BD!$X$3:$X$5001,"&lt;&gt;")=0,"",SUMIFS(BD!$X$3:$X$5001,BD!$A$3:$A$5001,AA$3,BD!$B$3:$B$5001,$A$5)))</f>
        <v/>
      </c>
      <c r="AB12" s="152" t="str">
        <f>IF(AB$3="","",IF(COUNTIFS(BD!$A$3:$A$5001,AB$3,BD!$B$3:$B$5001,$A$5,BD!$X$3:$X$5001,"&lt;&gt;")=0,"",SUMIFS(BD!$X$3:$X$5001,BD!$A$3:$A$5001,AB$3,BD!$B$3:$B$5001,$A$5)))</f>
        <v/>
      </c>
      <c r="AC12" s="152" t="str">
        <f>IF(AC$3="","",IF(COUNTIFS(BD!$A$3:$A$5001,AC$3,BD!$B$3:$B$5001,$A$5,BD!$X$3:$X$5001,"&lt;&gt;")=0,"",SUMIFS(BD!$X$3:$X$5001,BD!$A$3:$A$5001,AC$3,BD!$B$3:$B$5001,$A$5)))</f>
        <v/>
      </c>
      <c r="AD12" s="152" t="str">
        <f>IF(AD$3="","",IF(COUNTIFS(BD!$A$3:$A$5001,AD$3,BD!$B$3:$B$5001,$A$5,BD!$X$3:$X$5001,"&lt;&gt;")=0,"",SUMIFS(BD!$X$3:$X$5001,BD!$A$3:$A$5001,AD$3,BD!$B$3:$B$5001,$A$5)))</f>
        <v/>
      </c>
      <c r="AE12" s="152" t="str">
        <f>IF(AE$3="","",IF(COUNTIFS(BD!$A$3:$A$5001,AE$3,BD!$B$3:$B$5001,$A$5,BD!$X$3:$X$5001,"&lt;&gt;")=0,"",SUMIFS(BD!$X$3:$X$5001,BD!$A$3:$A$5001,AE$3,BD!$B$3:$B$5001,$A$5)))</f>
        <v/>
      </c>
      <c r="AF12" s="152" t="str">
        <f>IF(AF$3="","",IF(COUNTIFS(BD!$A$3:$A$5001,AF$3,BD!$B$3:$B$5001,$A$5,BD!$X$3:$X$5001,"&lt;&gt;")=0,"",SUMIFS(BD!$X$3:$X$5001,BD!$A$3:$A$5001,AF$3,BD!$B$3:$B$5001,$A$5)))</f>
        <v/>
      </c>
      <c r="AG12" s="152" t="str">
        <f>IF(AG$3="","",IF(COUNTIFS(BD!$A$3:$A$5001,AG$3,BD!$B$3:$B$5001,$A$5,BD!$X$3:$X$5001,"&lt;&gt;")=0,"",SUMIFS(BD!$X$3:$X$5001,BD!$A$3:$A$5001,AG$3,BD!$B$3:$B$5001,$A$5)))</f>
        <v/>
      </c>
      <c r="AH12" s="152" t="str">
        <f>IF(AH$3="","",IF(COUNTIFS(BD!$A$3:$A$5001,AH$3,BD!$B$3:$B$5001,$A$5,BD!$X$3:$X$5001,"&lt;&gt;")=0,"",SUMIFS(BD!$X$3:$X$5001,BD!$A$3:$A$5001,AH$3,BD!$B$3:$B$5001,$A$5)))</f>
        <v/>
      </c>
      <c r="AI12" s="152" t="str">
        <f>IF(AI$3="","",IF(COUNTIFS(BD!$A$3:$A$5001,AI$3,BD!$B$3:$B$5001,$A$5,BD!$X$3:$X$5001,"&lt;&gt;")=0,"",SUMIFS(BD!$X$3:$X$5001,BD!$A$3:$A$5001,AI$3,BD!$B$3:$B$5001,$A$5)))</f>
        <v/>
      </c>
      <c r="AJ12" s="153" t="str">
        <f>IF(AJ$3="","",IF(COUNTIFS(BD!$A$3:$A$5001,AJ$3,BD!$B$3:$B$5001,$A$5,BD!$X$3:$X$5001,"&lt;&gt;")=0,"",SUMIFS(BD!$X$3:$X$5001,BD!$A$3:$A$5001,AJ$3,BD!$B$3:$B$5001,$A$5)))</f>
        <v/>
      </c>
      <c r="AK12" s="154" t="str">
        <f>IF(COUNT(F12:AJ12)&gt;0,LOOKUP(9.99E+307,F12:AJ12),IFERROR(IF(INDEX(BD!$AH$3:$AH$5001,MATCH($A$5,BD!$B$3:$B$5001,0))&amp;""="Contrato","",INDEX(BD!$AH$3:$AH$5001,MATCH($A$5,BD!$B$3:$B$5001,0))&amp;""),""))</f>
        <v/>
      </c>
    </row>
    <row r="13" ht="15.75" customHeight="1">
      <c r="A13" s="237"/>
      <c r="B13" s="232"/>
      <c r="C13" s="194" t="inlineStr">
        <is>
          <t xml:space="preserve">Posições Ocupadas</t>
        </is>
      </c>
      <c r="D13" s="195" t="str">
        <f>IFERROR(1/(1/INDEX(BD!$AK$45:$AU$45,MATCH($A$5,BD!$AK$22:$AU$22,0))),"")</f>
        <v/>
      </c>
      <c r="E13" s="196"/>
      <c r="F13" s="197" t="str">
        <f>IF(F$3="","",IF(COUNTIFS(BD!$A$3:$A$5001,F$3,BD!$B$3:$B$5001,$A$5,BD!$Y$3:$Y$5001,"&lt;&gt;")=0,"",SUMIFS(BD!$Y$3:$Y$5001,BD!$A$3:$A$5001,F$3,BD!$B$3:$B$5001,$A$5)))</f>
        <v/>
      </c>
      <c r="G13" s="198" t="str">
        <f>IF(G$3="","",IF(COUNTIFS(BD!$A$3:$A$5001,G$3,BD!$B$3:$B$5001,$A$5,BD!$Y$3:$Y$5001,"&lt;&gt;")=0,"",SUMIFS(BD!$Y$3:$Y$5001,BD!$A$3:$A$5001,G$3,BD!$B$3:$B$5001,$A$5)))</f>
        <v/>
      </c>
      <c r="H13" s="198" t="str">
        <f>IF(H$3="","",IF(COUNTIFS(BD!$A$3:$A$5001,H$3,BD!$B$3:$B$5001,$A$5,BD!$Y$3:$Y$5001,"&lt;&gt;")=0,"",SUMIFS(BD!$Y$3:$Y$5001,BD!$A$3:$A$5001,H$3,BD!$B$3:$B$5001,$A$5)))</f>
        <v/>
      </c>
      <c r="I13" s="198" t="str">
        <f>IF(I$3="","",IF(COUNTIFS(BD!$A$3:$A$5001,I$3,BD!$B$3:$B$5001,$A$5,BD!$Y$3:$Y$5001,"&lt;&gt;")=0,"",SUMIFS(BD!$Y$3:$Y$5001,BD!$A$3:$A$5001,I$3,BD!$B$3:$B$5001,$A$5)))</f>
        <v/>
      </c>
      <c r="J13" s="198" t="str">
        <f>IF(J$3="","",IF(COUNTIFS(BD!$A$3:$A$5001,J$3,BD!$B$3:$B$5001,$A$5,BD!$Y$3:$Y$5001,"&lt;&gt;")=0,"",SUMIFS(BD!$Y$3:$Y$5001,BD!$A$3:$A$5001,J$3,BD!$B$3:$B$5001,$A$5)))</f>
        <v/>
      </c>
      <c r="K13" s="198" t="str">
        <f>IF(K$3="","",IF(COUNTIFS(BD!$A$3:$A$5001,K$3,BD!$B$3:$B$5001,$A$5,BD!$Y$3:$Y$5001,"&lt;&gt;")=0,"",SUMIFS(BD!$Y$3:$Y$5001,BD!$A$3:$A$5001,K$3,BD!$B$3:$B$5001,$A$5)))</f>
        <v/>
      </c>
      <c r="L13" s="198" t="str">
        <f>IF(L$3="","",IF(COUNTIFS(BD!$A$3:$A$5001,L$3,BD!$B$3:$B$5001,$A$5,BD!$Y$3:$Y$5001,"&lt;&gt;")=0,"",SUMIFS(BD!$Y$3:$Y$5001,BD!$A$3:$A$5001,L$3,BD!$B$3:$B$5001,$A$5)))</f>
        <v/>
      </c>
      <c r="M13" s="198" t="str">
        <f>IF(M$3="","",IF(COUNTIFS(BD!$A$3:$A$5001,M$3,BD!$B$3:$B$5001,$A$5,BD!$Y$3:$Y$5001,"&lt;&gt;")=0,"",SUMIFS(BD!$Y$3:$Y$5001,BD!$A$3:$A$5001,M$3,BD!$B$3:$B$5001,$A$5)))</f>
        <v/>
      </c>
      <c r="N13" s="198" t="str">
        <f>IF(N$3="","",IF(COUNTIFS(BD!$A$3:$A$5001,N$3,BD!$B$3:$B$5001,$A$5,BD!$Y$3:$Y$5001,"&lt;&gt;")=0,"",SUMIFS(BD!$Y$3:$Y$5001,BD!$A$3:$A$5001,N$3,BD!$B$3:$B$5001,$A$5)))</f>
        <v/>
      </c>
      <c r="O13" s="198" t="str">
        <f>IF(O$3="","",IF(COUNTIFS(BD!$A$3:$A$5001,O$3,BD!$B$3:$B$5001,$A$5,BD!$Y$3:$Y$5001,"&lt;&gt;")=0,"",SUMIFS(BD!$Y$3:$Y$5001,BD!$A$3:$A$5001,O$3,BD!$B$3:$B$5001,$A$5)))</f>
        <v/>
      </c>
      <c r="P13" s="198" t="str">
        <f>IF(P$3="","",IF(COUNTIFS(BD!$A$3:$A$5001,P$3,BD!$B$3:$B$5001,$A$5,BD!$Y$3:$Y$5001,"&lt;&gt;")=0,"",SUMIFS(BD!$Y$3:$Y$5001,BD!$A$3:$A$5001,P$3,BD!$B$3:$B$5001,$A$5)))</f>
        <v/>
      </c>
      <c r="Q13" s="198" t="str">
        <f>IF(Q$3="","",IF(COUNTIFS(BD!$A$3:$A$5001,Q$3,BD!$B$3:$B$5001,$A$5,BD!$Y$3:$Y$5001,"&lt;&gt;")=0,"",SUMIFS(BD!$Y$3:$Y$5001,BD!$A$3:$A$5001,Q$3,BD!$B$3:$B$5001,$A$5)))</f>
        <v/>
      </c>
      <c r="R13" s="198" t="str">
        <f>IF(R$3="","",IF(COUNTIFS(BD!$A$3:$A$5001,R$3,BD!$B$3:$B$5001,$A$5,BD!$Y$3:$Y$5001,"&lt;&gt;")=0,"",SUMIFS(BD!$Y$3:$Y$5001,BD!$A$3:$A$5001,R$3,BD!$B$3:$B$5001,$A$5)))</f>
        <v/>
      </c>
      <c r="S13" s="198" t="str">
        <f>IF(S$3="","",IF(COUNTIFS(BD!$A$3:$A$5001,S$3,BD!$B$3:$B$5001,$A$5,BD!$Y$3:$Y$5001,"&lt;&gt;")=0,"",SUMIFS(BD!$Y$3:$Y$5001,BD!$A$3:$A$5001,S$3,BD!$B$3:$B$5001,$A$5)))</f>
        <v/>
      </c>
      <c r="T13" s="198" t="str">
        <f>IF(T$3="","",IF(COUNTIFS(BD!$A$3:$A$5001,T$3,BD!$B$3:$B$5001,$A$5,BD!$Y$3:$Y$5001,"&lt;&gt;")=0,"",SUMIFS(BD!$Y$3:$Y$5001,BD!$A$3:$A$5001,T$3,BD!$B$3:$B$5001,$A$5)))</f>
        <v/>
      </c>
      <c r="U13" s="198" t="str">
        <f>IF(U$3="","",IF(COUNTIFS(BD!$A$3:$A$5001,U$3,BD!$B$3:$B$5001,$A$5,BD!$Y$3:$Y$5001,"&lt;&gt;")=0,"",SUMIFS(BD!$Y$3:$Y$5001,BD!$A$3:$A$5001,U$3,BD!$B$3:$B$5001,$A$5)))</f>
        <v/>
      </c>
      <c r="V13" s="198" t="str">
        <f>IF(V$3="","",IF(COUNTIFS(BD!$A$3:$A$5001,V$3,BD!$B$3:$B$5001,$A$5,BD!$Y$3:$Y$5001,"&lt;&gt;")=0,"",SUMIFS(BD!$Y$3:$Y$5001,BD!$A$3:$A$5001,V$3,BD!$B$3:$B$5001,$A$5)))</f>
        <v/>
      </c>
      <c r="W13" s="198" t="str">
        <f>IF(W$3="","",IF(COUNTIFS(BD!$A$3:$A$5001,W$3,BD!$B$3:$B$5001,$A$5,BD!$Y$3:$Y$5001,"&lt;&gt;")=0,"",SUMIFS(BD!$Y$3:$Y$5001,BD!$A$3:$A$5001,W$3,BD!$B$3:$B$5001,$A$5)))</f>
        <v/>
      </c>
      <c r="X13" s="198" t="str">
        <f>IF(X$3="","",IF(COUNTIFS(BD!$A$3:$A$5001,X$3,BD!$B$3:$B$5001,$A$5,BD!$Y$3:$Y$5001,"&lt;&gt;")=0,"",SUMIFS(BD!$Y$3:$Y$5001,BD!$A$3:$A$5001,X$3,BD!$B$3:$B$5001,$A$5)))</f>
        <v/>
      </c>
      <c r="Y13" s="198" t="str">
        <f>IF(Y$3="","",IF(COUNTIFS(BD!$A$3:$A$5001,Y$3,BD!$B$3:$B$5001,$A$5,BD!$Y$3:$Y$5001,"&lt;&gt;")=0,"",SUMIFS(BD!$Y$3:$Y$5001,BD!$A$3:$A$5001,Y$3,BD!$B$3:$B$5001,$A$5)))</f>
        <v/>
      </c>
      <c r="Z13" s="198" t="str">
        <f>IF(Z$3="","",IF(COUNTIFS(BD!$A$3:$A$5001,Z$3,BD!$B$3:$B$5001,$A$5,BD!$Y$3:$Y$5001,"&lt;&gt;")=0,"",SUMIFS(BD!$Y$3:$Y$5001,BD!$A$3:$A$5001,Z$3,BD!$B$3:$B$5001,$A$5)))</f>
        <v/>
      </c>
      <c r="AA13" s="198" t="str">
        <f>IF(AA$3="","",IF(COUNTIFS(BD!$A$3:$A$5001,AA$3,BD!$B$3:$B$5001,$A$5,BD!$Y$3:$Y$5001,"&lt;&gt;")=0,"",SUMIFS(BD!$Y$3:$Y$5001,BD!$A$3:$A$5001,AA$3,BD!$B$3:$B$5001,$A$5)))</f>
        <v/>
      </c>
      <c r="AB13" s="198" t="str">
        <f>IF(AB$3="","",IF(COUNTIFS(BD!$A$3:$A$5001,AB$3,BD!$B$3:$B$5001,$A$5,BD!$Y$3:$Y$5001,"&lt;&gt;")=0,"",SUMIFS(BD!$Y$3:$Y$5001,BD!$A$3:$A$5001,AB$3,BD!$B$3:$B$5001,$A$5)))</f>
        <v/>
      </c>
      <c r="AC13" s="198" t="str">
        <f>IF(AC$3="","",IF(COUNTIFS(BD!$A$3:$A$5001,AC$3,BD!$B$3:$B$5001,$A$5,BD!$Y$3:$Y$5001,"&lt;&gt;")=0,"",SUMIFS(BD!$Y$3:$Y$5001,BD!$A$3:$A$5001,AC$3,BD!$B$3:$B$5001,$A$5)))</f>
        <v/>
      </c>
      <c r="AD13" s="198" t="str">
        <f>IF(AD$3="","",IF(COUNTIFS(BD!$A$3:$A$5001,AD$3,BD!$B$3:$B$5001,$A$5,BD!$Y$3:$Y$5001,"&lt;&gt;")=0,"",SUMIFS(BD!$Y$3:$Y$5001,BD!$A$3:$A$5001,AD$3,BD!$B$3:$B$5001,$A$5)))</f>
        <v/>
      </c>
      <c r="AE13" s="198" t="str">
        <f>IF(AE$3="","",IF(COUNTIFS(BD!$A$3:$A$5001,AE$3,BD!$B$3:$B$5001,$A$5,BD!$Y$3:$Y$5001,"&lt;&gt;")=0,"",SUMIFS(BD!$Y$3:$Y$5001,BD!$A$3:$A$5001,AE$3,BD!$B$3:$B$5001,$A$5)))</f>
        <v/>
      </c>
      <c r="AF13" s="198" t="str">
        <f>IF(AF$3="","",IF(COUNTIFS(BD!$A$3:$A$5001,AF$3,BD!$B$3:$B$5001,$A$5,BD!$Y$3:$Y$5001,"&lt;&gt;")=0,"",SUMIFS(BD!$Y$3:$Y$5001,BD!$A$3:$A$5001,AF$3,BD!$B$3:$B$5001,$A$5)))</f>
        <v/>
      </c>
      <c r="AG13" s="198" t="str">
        <f>IF(AG$3="","",IF(COUNTIFS(BD!$A$3:$A$5001,AG$3,BD!$B$3:$B$5001,$A$5,BD!$Y$3:$Y$5001,"&lt;&gt;")=0,"",SUMIFS(BD!$Y$3:$Y$5001,BD!$A$3:$A$5001,AG$3,BD!$B$3:$B$5001,$A$5)))</f>
        <v/>
      </c>
      <c r="AH13" s="198" t="str">
        <f>IF(AH$3="","",IF(COUNTIFS(BD!$A$3:$A$5001,AH$3,BD!$B$3:$B$5001,$A$5,BD!$Y$3:$Y$5001,"&lt;&gt;")=0,"",SUMIFS(BD!$Y$3:$Y$5001,BD!$A$3:$A$5001,AH$3,BD!$B$3:$B$5001,$A$5)))</f>
        <v/>
      </c>
      <c r="AI13" s="198" t="str">
        <f>IF(AI$3="","",IF(COUNTIFS(BD!$A$3:$A$5001,AI$3,BD!$B$3:$B$5001,$A$5,BD!$Y$3:$Y$5001,"&lt;&gt;")=0,"",SUMIFS(BD!$Y$3:$Y$5001,BD!$A$3:$A$5001,AI$3,BD!$B$3:$B$5001,$A$5)))</f>
        <v/>
      </c>
      <c r="AJ13" s="199" t="str">
        <f>IF(AJ$3="","",IF(COUNTIFS(BD!$A$3:$A$5001,AJ$3,BD!$B$3:$B$5001,$A$5,BD!$Y$3:$Y$5001,"&lt;&gt;")=0,"",SUMIFS(BD!$Y$3:$Y$5001,BD!$A$3:$A$5001,AJ$3,BD!$B$3:$B$5001,$A$5)))</f>
        <v/>
      </c>
      <c r="AK13" s="200" t="str">
        <f>IFERROR(LOOKUP(9.99E+307,F13:AJ13),"")</f>
        <v/>
      </c>
    </row>
    <row r="14" ht="15.75" customHeight="1">
      <c r="A14" s="237"/>
      <c r="B14" s="226"/>
      <c r="C14" s="155" t="inlineStr">
        <is>
          <t xml:space="preserve">Taxa de Ocupação</t>
        </is>
      </c>
      <c r="D14" s="201" t="str">
        <f>IFERROR(1/(1/INDEX(BD!$AK$46:$AU$46,MATCH($A$5,BD!$AK$22:$AU$22,0))),"")</f>
        <v/>
      </c>
      <c r="E14" s="157"/>
      <c r="F14" s="202" t="str">
        <f>IF(AND(ISNUMBER(F12),ISNUMBER(F13)),IF(F12&gt;0,F13/F12,""),"")</f>
        <v/>
      </c>
      <c r="G14" s="203" t="str">
        <f>IF(AND(ISNUMBER(G12),ISNUMBER(G13)),IF(G12&gt;0,G13/G12,""),"")</f>
        <v/>
      </c>
      <c r="H14" s="203" t="str">
        <f>IF(AND(ISNUMBER(H12),ISNUMBER(H13)),IF(H12&gt;0,H13/H12,""),"")</f>
        <v/>
      </c>
      <c r="I14" s="203" t="str">
        <f>IF(AND(ISNUMBER(I12),ISNUMBER(I13)),IF(I12&gt;0,I13/I12,""),"")</f>
        <v/>
      </c>
      <c r="J14" s="203" t="str">
        <f>IF(AND(ISNUMBER(J12),ISNUMBER(J13)),IF(J12&gt;0,J13/J12,""),"")</f>
        <v/>
      </c>
      <c r="K14" s="203" t="str">
        <f>IF(AND(ISNUMBER(K12),ISNUMBER(K13)),IF(K12&gt;0,K13/K12,""),"")</f>
        <v/>
      </c>
      <c r="L14" s="203" t="str">
        <f>IF(AND(ISNUMBER(L12),ISNUMBER(L13)),IF(L12&gt;0,L13/L12,""),"")</f>
        <v/>
      </c>
      <c r="M14" s="203" t="str">
        <f>IF(AND(ISNUMBER(M12),ISNUMBER(M13)),IF(M12&gt;0,M13/M12,""),"")</f>
        <v/>
      </c>
      <c r="N14" s="203" t="str">
        <f>IF(AND(ISNUMBER(N12),ISNUMBER(N13)),IF(N12&gt;0,N13/N12,""),"")</f>
        <v/>
      </c>
      <c r="O14" s="203" t="str">
        <f>IF(AND(ISNUMBER(O12),ISNUMBER(O13)),IF(O12&gt;0,O13/O12,""),"")</f>
        <v/>
      </c>
      <c r="P14" s="203" t="str">
        <f>IF(AND(ISNUMBER(P12),ISNUMBER(P13)),IF(P12&gt;0,P13/P12,""),"")</f>
        <v/>
      </c>
      <c r="Q14" s="203" t="str">
        <f>IF(AND(ISNUMBER(Q12),ISNUMBER(Q13)),IF(Q12&gt;0,Q13/Q12,""),"")</f>
        <v/>
      </c>
      <c r="R14" s="203" t="str">
        <f>IF(AND(ISNUMBER(R12),ISNUMBER(R13)),IF(R12&gt;0,R13/R12,""),"")</f>
        <v/>
      </c>
      <c r="S14" s="203" t="str">
        <f>IF(AND(ISNUMBER(S12),ISNUMBER(S13)),IF(S12&gt;0,S13/S12,""),"")</f>
        <v/>
      </c>
      <c r="T14" s="203" t="str">
        <f>IF(AND(ISNUMBER(T12),ISNUMBER(T13)),IF(T12&gt;0,T13/T12,""),"")</f>
        <v/>
      </c>
      <c r="U14" s="203" t="str">
        <f>IF(AND(ISNUMBER(U12),ISNUMBER(U13)),IF(U12&gt;0,U13/U12,""),"")</f>
        <v/>
      </c>
      <c r="V14" s="203" t="str">
        <f>IF(AND(ISNUMBER(V12),ISNUMBER(V13)),IF(V12&gt;0,V13/V12,""),"")</f>
        <v/>
      </c>
      <c r="W14" s="203" t="str">
        <f>IF(AND(ISNUMBER(W12),ISNUMBER(W13)),IF(W12&gt;0,W13/W12,""),"")</f>
        <v/>
      </c>
      <c r="X14" s="203" t="str">
        <f>IF(AND(ISNUMBER(X12),ISNUMBER(X13)),IF(X12&gt;0,X13/X12,""),"")</f>
        <v/>
      </c>
      <c r="Y14" s="203" t="str">
        <f>IF(AND(ISNUMBER(Y12),ISNUMBER(Y13)),IF(Y12&gt;0,Y13/Y12,""),"")</f>
        <v/>
      </c>
      <c r="Z14" s="203" t="str">
        <f>IF(AND(ISNUMBER(Z12),ISNUMBER(Z13)),IF(Z12&gt;0,Z13/Z12,""),"")</f>
        <v/>
      </c>
      <c r="AA14" s="203" t="str">
        <f>IF(AND(ISNUMBER(AA12),ISNUMBER(AA13)),IF(AA12&gt;0,AA13/AA12,""),"")</f>
        <v/>
      </c>
      <c r="AB14" s="203" t="str">
        <f>IF(AND(ISNUMBER(AB12),ISNUMBER(AB13)),IF(AB12&gt;0,AB13/AB12,""),"")</f>
        <v/>
      </c>
      <c r="AC14" s="203" t="str">
        <f>IF(AND(ISNUMBER(AC12),ISNUMBER(AC13)),IF(AC12&gt;0,AC13/AC12,""),"")</f>
        <v/>
      </c>
      <c r="AD14" s="203" t="str">
        <f>IF(AND(ISNUMBER(AD12),ISNUMBER(AD13)),IF(AD12&gt;0,AD13/AD12,""),"")</f>
        <v/>
      </c>
      <c r="AE14" s="203" t="str">
        <f>IF(AND(ISNUMBER(AE12),ISNUMBER(AE13)),IF(AE12&gt;0,AE13/AE12,""),"")</f>
        <v/>
      </c>
      <c r="AF14" s="203" t="str">
        <f>IF(AND(ISNUMBER(AF12),ISNUMBER(AF13)),IF(AF12&gt;0,AF13/AF12,""),"")</f>
        <v/>
      </c>
      <c r="AG14" s="203" t="str">
        <f>IF(AND(ISNUMBER(AG12),ISNUMBER(AG13)),IF(AG12&gt;0,AG13/AG12,""),"")</f>
        <v/>
      </c>
      <c r="AH14" s="203" t="str">
        <f>IF(AND(ISNUMBER(AH12),ISNUMBER(AH13)),IF(AH12&gt;0,AH13/AH12,""),"")</f>
        <v/>
      </c>
      <c r="AI14" s="203" t="str">
        <f>IF(AND(ISNUMBER(AI12),ISNUMBER(AI13)),IF(AI12&gt;0,AI13/AI12,""),"")</f>
        <v/>
      </c>
      <c r="AJ14" s="204" t="str">
        <f>IF(AND(ISNUMBER(AJ12),ISNUMBER(AJ13)),IF(AJ12&gt;0,AJ13/AJ12,""),"")</f>
        <v/>
      </c>
      <c r="AK14" s="201" t="str">
        <f>IF(AND(ISNUMBER(AK12),ISNUMBER(AK13)),IF(AK12&gt;0,AK13/AK12,""),"")</f>
        <v/>
      </c>
    </row>
    <row r="15" ht="15.75" customHeight="1">
      <c r="A15" s="237"/>
      <c r="B15" s="233" t="inlineStr">
        <is>
          <t xml:space="preserve">GENTE</t>
        </is>
      </c>
      <c r="C15" s="205" t="inlineStr">
        <is>
          <t xml:space="preserve">Efetivo Op.</t>
        </is>
      </c>
      <c r="D15" s="206" t="str">
        <f>IFERROR(1/(1/INDEX(BD!$AK$47:$AU$47,MATCH($A$5,BD!$AK$22:$AU$22,0))),"")</f>
        <v/>
      </c>
      <c r="E15" s="207"/>
      <c r="F15" s="208" t="str">
        <f>IF(F$3="","",IF(COUNTIFS(BD!$A$3:$A$5001,F$3,BD!$B$3:$B$5001,$A$5,BD!$Z$3:$Z$5001,"&lt;&gt;")=0,"",SUMIFS(BD!$Z$3:$Z$5001,BD!$A$3:$A$5001,F$3,BD!$B$3:$B$5001,$A$5)))</f>
        <v/>
      </c>
      <c r="G15" s="209" t="str">
        <f>IF(G$3="","",IF(COUNTIFS(BD!$A$3:$A$5001,G$3,BD!$B$3:$B$5001,$A$5,BD!$Z$3:$Z$5001,"&lt;&gt;")=0,"",SUMIFS(BD!$Z$3:$Z$5001,BD!$A$3:$A$5001,G$3,BD!$B$3:$B$5001,$A$5)))</f>
        <v/>
      </c>
      <c r="H15" s="209" t="str">
        <f>IF(H$3="","",IF(COUNTIFS(BD!$A$3:$A$5001,H$3,BD!$B$3:$B$5001,$A$5,BD!$Z$3:$Z$5001,"&lt;&gt;")=0,"",SUMIFS(BD!$Z$3:$Z$5001,BD!$A$3:$A$5001,H$3,BD!$B$3:$B$5001,$A$5)))</f>
        <v/>
      </c>
      <c r="I15" s="209" t="str">
        <f>IF(I$3="","",IF(COUNTIFS(BD!$A$3:$A$5001,I$3,BD!$B$3:$B$5001,$A$5,BD!$Z$3:$Z$5001,"&lt;&gt;")=0,"",SUMIFS(BD!$Z$3:$Z$5001,BD!$A$3:$A$5001,I$3,BD!$B$3:$B$5001,$A$5)))</f>
        <v/>
      </c>
      <c r="J15" s="209" t="str">
        <f>IF(J$3="","",IF(COUNTIFS(BD!$A$3:$A$5001,J$3,BD!$B$3:$B$5001,$A$5,BD!$Z$3:$Z$5001,"&lt;&gt;")=0,"",SUMIFS(BD!$Z$3:$Z$5001,BD!$A$3:$A$5001,J$3,BD!$B$3:$B$5001,$A$5)))</f>
        <v/>
      </c>
      <c r="K15" s="209" t="str">
        <f>IF(K$3="","",IF(COUNTIFS(BD!$A$3:$A$5001,K$3,BD!$B$3:$B$5001,$A$5,BD!$Z$3:$Z$5001,"&lt;&gt;")=0,"",SUMIFS(BD!$Z$3:$Z$5001,BD!$A$3:$A$5001,K$3,BD!$B$3:$B$5001,$A$5)))</f>
        <v/>
      </c>
      <c r="L15" s="209" t="str">
        <f>IF(L$3="","",IF(COUNTIFS(BD!$A$3:$A$5001,L$3,BD!$B$3:$B$5001,$A$5,BD!$Z$3:$Z$5001,"&lt;&gt;")=0,"",SUMIFS(BD!$Z$3:$Z$5001,BD!$A$3:$A$5001,L$3,BD!$B$3:$B$5001,$A$5)))</f>
        <v/>
      </c>
      <c r="M15" s="209" t="str">
        <f>IF(M$3="","",IF(COUNTIFS(BD!$A$3:$A$5001,M$3,BD!$B$3:$B$5001,$A$5,BD!$Z$3:$Z$5001,"&lt;&gt;")=0,"",SUMIFS(BD!$Z$3:$Z$5001,BD!$A$3:$A$5001,M$3,BD!$B$3:$B$5001,$A$5)))</f>
        <v/>
      </c>
      <c r="N15" s="209" t="str">
        <f>IF(N$3="","",IF(COUNTIFS(BD!$A$3:$A$5001,N$3,BD!$B$3:$B$5001,$A$5,BD!$Z$3:$Z$5001,"&lt;&gt;")=0,"",SUMIFS(BD!$Z$3:$Z$5001,BD!$A$3:$A$5001,N$3,BD!$B$3:$B$5001,$A$5)))</f>
        <v/>
      </c>
      <c r="O15" s="209" t="str">
        <f>IF(O$3="","",IF(COUNTIFS(BD!$A$3:$A$5001,O$3,BD!$B$3:$B$5001,$A$5,BD!$Z$3:$Z$5001,"&lt;&gt;")=0,"",SUMIFS(BD!$Z$3:$Z$5001,BD!$A$3:$A$5001,O$3,BD!$B$3:$B$5001,$A$5)))</f>
        <v/>
      </c>
      <c r="P15" s="209" t="str">
        <f>IF(P$3="","",IF(COUNTIFS(BD!$A$3:$A$5001,P$3,BD!$B$3:$B$5001,$A$5,BD!$Z$3:$Z$5001,"&lt;&gt;")=0,"",SUMIFS(BD!$Z$3:$Z$5001,BD!$A$3:$A$5001,P$3,BD!$B$3:$B$5001,$A$5)))</f>
        <v/>
      </c>
      <c r="Q15" s="209" t="str">
        <f>IF(Q$3="","",IF(COUNTIFS(BD!$A$3:$A$5001,Q$3,BD!$B$3:$B$5001,$A$5,BD!$Z$3:$Z$5001,"&lt;&gt;")=0,"",SUMIFS(BD!$Z$3:$Z$5001,BD!$A$3:$A$5001,Q$3,BD!$B$3:$B$5001,$A$5)))</f>
        <v/>
      </c>
      <c r="R15" s="209" t="str">
        <f>IF(R$3="","",IF(COUNTIFS(BD!$A$3:$A$5001,R$3,BD!$B$3:$B$5001,$A$5,BD!$Z$3:$Z$5001,"&lt;&gt;")=0,"",SUMIFS(BD!$Z$3:$Z$5001,BD!$A$3:$A$5001,R$3,BD!$B$3:$B$5001,$A$5)))</f>
        <v/>
      </c>
      <c r="S15" s="209" t="str">
        <f>IF(S$3="","",IF(COUNTIFS(BD!$A$3:$A$5001,S$3,BD!$B$3:$B$5001,$A$5,BD!$Z$3:$Z$5001,"&lt;&gt;")=0,"",SUMIFS(BD!$Z$3:$Z$5001,BD!$A$3:$A$5001,S$3,BD!$B$3:$B$5001,$A$5)))</f>
        <v/>
      </c>
      <c r="T15" s="209" t="str">
        <f>IF(T$3="","",IF(COUNTIFS(BD!$A$3:$A$5001,T$3,BD!$B$3:$B$5001,$A$5,BD!$Z$3:$Z$5001,"&lt;&gt;")=0,"",SUMIFS(BD!$Z$3:$Z$5001,BD!$A$3:$A$5001,T$3,BD!$B$3:$B$5001,$A$5)))</f>
        <v/>
      </c>
      <c r="U15" s="209" t="str">
        <f>IF(U$3="","",IF(COUNTIFS(BD!$A$3:$A$5001,U$3,BD!$B$3:$B$5001,$A$5,BD!$Z$3:$Z$5001,"&lt;&gt;")=0,"",SUMIFS(BD!$Z$3:$Z$5001,BD!$A$3:$A$5001,U$3,BD!$B$3:$B$5001,$A$5)))</f>
        <v/>
      </c>
      <c r="V15" s="209" t="str">
        <f>IF(V$3="","",IF(COUNTIFS(BD!$A$3:$A$5001,V$3,BD!$B$3:$B$5001,$A$5,BD!$Z$3:$Z$5001,"&lt;&gt;")=0,"",SUMIFS(BD!$Z$3:$Z$5001,BD!$A$3:$A$5001,V$3,BD!$B$3:$B$5001,$A$5)))</f>
        <v/>
      </c>
      <c r="W15" s="209" t="str">
        <f>IF(W$3="","",IF(COUNTIFS(BD!$A$3:$A$5001,W$3,BD!$B$3:$B$5001,$A$5,BD!$Z$3:$Z$5001,"&lt;&gt;")=0,"",SUMIFS(BD!$Z$3:$Z$5001,BD!$A$3:$A$5001,W$3,BD!$B$3:$B$5001,$A$5)))</f>
        <v/>
      </c>
      <c r="X15" s="209" t="str">
        <f>IF(X$3="","",IF(COUNTIFS(BD!$A$3:$A$5001,X$3,BD!$B$3:$B$5001,$A$5,BD!$Z$3:$Z$5001,"&lt;&gt;")=0,"",SUMIFS(BD!$Z$3:$Z$5001,BD!$A$3:$A$5001,X$3,BD!$B$3:$B$5001,$A$5)))</f>
        <v/>
      </c>
      <c r="Y15" s="209" t="str">
        <f>IF(Y$3="","",IF(COUNTIFS(BD!$A$3:$A$5001,Y$3,BD!$B$3:$B$5001,$A$5,BD!$Z$3:$Z$5001,"&lt;&gt;")=0,"",SUMIFS(BD!$Z$3:$Z$5001,BD!$A$3:$A$5001,Y$3,BD!$B$3:$B$5001,$A$5)))</f>
        <v/>
      </c>
      <c r="Z15" s="209" t="str">
        <f>IF(Z$3="","",IF(COUNTIFS(BD!$A$3:$A$5001,Z$3,BD!$B$3:$B$5001,$A$5,BD!$Z$3:$Z$5001,"&lt;&gt;")=0,"",SUMIFS(BD!$Z$3:$Z$5001,BD!$A$3:$A$5001,Z$3,BD!$B$3:$B$5001,$A$5)))</f>
        <v/>
      </c>
      <c r="AA15" s="209" t="str">
        <f>IF(AA$3="","",IF(COUNTIFS(BD!$A$3:$A$5001,AA$3,BD!$B$3:$B$5001,$A$5,BD!$Z$3:$Z$5001,"&lt;&gt;")=0,"",SUMIFS(BD!$Z$3:$Z$5001,BD!$A$3:$A$5001,AA$3,BD!$B$3:$B$5001,$A$5)))</f>
        <v/>
      </c>
      <c r="AB15" s="209" t="str">
        <f>IF(AB$3="","",IF(COUNTIFS(BD!$A$3:$A$5001,AB$3,BD!$B$3:$B$5001,$A$5,BD!$Z$3:$Z$5001,"&lt;&gt;")=0,"",SUMIFS(BD!$Z$3:$Z$5001,BD!$A$3:$A$5001,AB$3,BD!$B$3:$B$5001,$A$5)))</f>
        <v/>
      </c>
      <c r="AC15" s="209" t="str">
        <f>IF(AC$3="","",IF(COUNTIFS(BD!$A$3:$A$5001,AC$3,BD!$B$3:$B$5001,$A$5,BD!$Z$3:$Z$5001,"&lt;&gt;")=0,"",SUMIFS(BD!$Z$3:$Z$5001,BD!$A$3:$A$5001,AC$3,BD!$B$3:$B$5001,$A$5)))</f>
        <v/>
      </c>
      <c r="AD15" s="209" t="str">
        <f>IF(AD$3="","",IF(COUNTIFS(BD!$A$3:$A$5001,AD$3,BD!$B$3:$B$5001,$A$5,BD!$Z$3:$Z$5001,"&lt;&gt;")=0,"",SUMIFS(BD!$Z$3:$Z$5001,BD!$A$3:$A$5001,AD$3,BD!$B$3:$B$5001,$A$5)))</f>
        <v/>
      </c>
      <c r="AE15" s="209" t="str">
        <f>IF(AE$3="","",IF(COUNTIFS(BD!$A$3:$A$5001,AE$3,BD!$B$3:$B$5001,$A$5,BD!$Z$3:$Z$5001,"&lt;&gt;")=0,"",SUMIFS(BD!$Z$3:$Z$5001,BD!$A$3:$A$5001,AE$3,BD!$B$3:$B$5001,$A$5)))</f>
        <v/>
      </c>
      <c r="AF15" s="209" t="str">
        <f>IF(AF$3="","",IF(COUNTIFS(BD!$A$3:$A$5001,AF$3,BD!$B$3:$B$5001,$A$5,BD!$Z$3:$Z$5001,"&lt;&gt;")=0,"",SUMIFS(BD!$Z$3:$Z$5001,BD!$A$3:$A$5001,AF$3,BD!$B$3:$B$5001,$A$5)))</f>
        <v/>
      </c>
      <c r="AG15" s="209" t="str">
        <f>IF(AG$3="","",IF(COUNTIFS(BD!$A$3:$A$5001,AG$3,BD!$B$3:$B$5001,$A$5,BD!$Z$3:$Z$5001,"&lt;&gt;")=0,"",SUMIFS(BD!$Z$3:$Z$5001,BD!$A$3:$A$5001,AG$3,BD!$B$3:$B$5001,$A$5)))</f>
        <v/>
      </c>
      <c r="AH15" s="209" t="str">
        <f>IF(AH$3="","",IF(COUNTIFS(BD!$A$3:$A$5001,AH$3,BD!$B$3:$B$5001,$A$5,BD!$Z$3:$Z$5001,"&lt;&gt;")=0,"",SUMIFS(BD!$Z$3:$Z$5001,BD!$A$3:$A$5001,AH$3,BD!$B$3:$B$5001,$A$5)))</f>
        <v/>
      </c>
      <c r="AI15" s="209" t="str">
        <f>IF(AI$3="","",IF(COUNTIFS(BD!$A$3:$A$5001,AI$3,BD!$B$3:$B$5001,$A$5,BD!$Z$3:$Z$5001,"&lt;&gt;")=0,"",SUMIFS(BD!$Z$3:$Z$5001,BD!$A$3:$A$5001,AI$3,BD!$B$3:$B$5001,$A$5)))</f>
        <v/>
      </c>
      <c r="AJ15" s="210" t="str">
        <f>IF(AJ$3="","",IF(COUNTIFS(BD!$A$3:$A$5001,AJ$3,BD!$B$3:$B$5001,$A$5,BD!$Z$3:$Z$5001,"&lt;&gt;")=0,"",SUMIFS(BD!$Z$3:$Z$5001,BD!$A$3:$A$5001,AJ$3,BD!$B$3:$B$5001,$A$5)))</f>
        <v/>
      </c>
      <c r="AK15" s="211" t="str">
        <f>IFERROR(LOOKUP(9.99E+307,F15:AJ15),"")</f>
        <v/>
      </c>
    </row>
    <row r="16" ht="15.75" customHeight="1">
      <c r="A16" s="237"/>
      <c r="B16" s="234"/>
      <c r="C16" s="212" t="inlineStr">
        <is>
          <t xml:space="preserve">Falta</t>
        </is>
      </c>
      <c r="D16" s="213" t="str">
        <f>IFERROR(1/(1/INDEX(BD!$AK$48:$AU$48,MATCH($A$5,BD!$AK$22:$AU$22,0))),"")</f>
        <v/>
      </c>
      <c r="E16" s="214"/>
      <c r="F16" s="215" t="str">
        <f>IF(F$3="","",IF(COUNTIFS(BD!$A$3:$A$5001,F$3,BD!$B$3:$B$5001,$A$5,BD!$AA$3:$AA$5001,"&lt;&gt;")=0,"",SUMIFS(BD!$AA$3:$AA$5001,BD!$A$3:$A$5001,F$3,BD!$B$3:$B$5001,$A$5)))</f>
        <v/>
      </c>
      <c r="G16" s="216" t="str">
        <f>IF(G$3="","",IF(COUNTIFS(BD!$A$3:$A$5001,G$3,BD!$B$3:$B$5001,$A$5,BD!$AA$3:$AA$5001,"&lt;&gt;")=0,"",SUMIFS(BD!$AA$3:$AA$5001,BD!$A$3:$A$5001,G$3,BD!$B$3:$B$5001,$A$5)))</f>
        <v/>
      </c>
      <c r="H16" s="216" t="str">
        <f>IF(H$3="","",IF(COUNTIFS(BD!$A$3:$A$5001,H$3,BD!$B$3:$B$5001,$A$5,BD!$AA$3:$AA$5001,"&lt;&gt;")=0,"",SUMIFS(BD!$AA$3:$AA$5001,BD!$A$3:$A$5001,H$3,BD!$B$3:$B$5001,$A$5)))</f>
        <v/>
      </c>
      <c r="I16" s="216" t="str">
        <f>IF(I$3="","",IF(COUNTIFS(BD!$A$3:$A$5001,I$3,BD!$B$3:$B$5001,$A$5,BD!$AA$3:$AA$5001,"&lt;&gt;")=0,"",SUMIFS(BD!$AA$3:$AA$5001,BD!$A$3:$A$5001,I$3,BD!$B$3:$B$5001,$A$5)))</f>
        <v/>
      </c>
      <c r="J16" s="216" t="str">
        <f>IF(J$3="","",IF(COUNTIFS(BD!$A$3:$A$5001,J$3,BD!$B$3:$B$5001,$A$5,BD!$AA$3:$AA$5001,"&lt;&gt;")=0,"",SUMIFS(BD!$AA$3:$AA$5001,BD!$A$3:$A$5001,J$3,BD!$B$3:$B$5001,$A$5)))</f>
        <v/>
      </c>
      <c r="K16" s="216" t="str">
        <f>IF(K$3="","",IF(COUNTIFS(BD!$A$3:$A$5001,K$3,BD!$B$3:$B$5001,$A$5,BD!$AA$3:$AA$5001,"&lt;&gt;")=0,"",SUMIFS(BD!$AA$3:$AA$5001,BD!$A$3:$A$5001,K$3,BD!$B$3:$B$5001,$A$5)))</f>
        <v/>
      </c>
      <c r="L16" s="216" t="str">
        <f>IF(L$3="","",IF(COUNTIFS(BD!$A$3:$A$5001,L$3,BD!$B$3:$B$5001,$A$5,BD!$AA$3:$AA$5001,"&lt;&gt;")=0,"",SUMIFS(BD!$AA$3:$AA$5001,BD!$A$3:$A$5001,L$3,BD!$B$3:$B$5001,$A$5)))</f>
        <v/>
      </c>
      <c r="M16" s="216" t="str">
        <f>IF(M$3="","",IF(COUNTIFS(BD!$A$3:$A$5001,M$3,BD!$B$3:$B$5001,$A$5,BD!$AA$3:$AA$5001,"&lt;&gt;")=0,"",SUMIFS(BD!$AA$3:$AA$5001,BD!$A$3:$A$5001,M$3,BD!$B$3:$B$5001,$A$5)))</f>
        <v/>
      </c>
      <c r="N16" s="216" t="str">
        <f>IF(N$3="","",IF(COUNTIFS(BD!$A$3:$A$5001,N$3,BD!$B$3:$B$5001,$A$5,BD!$AA$3:$AA$5001,"&lt;&gt;")=0,"",SUMIFS(BD!$AA$3:$AA$5001,BD!$A$3:$A$5001,N$3,BD!$B$3:$B$5001,$A$5)))</f>
        <v/>
      </c>
      <c r="O16" s="216" t="str">
        <f>IF(O$3="","",IF(COUNTIFS(BD!$A$3:$A$5001,O$3,BD!$B$3:$B$5001,$A$5,BD!$AA$3:$AA$5001,"&lt;&gt;")=0,"",SUMIFS(BD!$AA$3:$AA$5001,BD!$A$3:$A$5001,O$3,BD!$B$3:$B$5001,$A$5)))</f>
        <v/>
      </c>
      <c r="P16" s="216" t="str">
        <f>IF(P$3="","",IF(COUNTIFS(BD!$A$3:$A$5001,P$3,BD!$B$3:$B$5001,$A$5,BD!$AA$3:$AA$5001,"&lt;&gt;")=0,"",SUMIFS(BD!$AA$3:$AA$5001,BD!$A$3:$A$5001,P$3,BD!$B$3:$B$5001,$A$5)))</f>
        <v/>
      </c>
      <c r="Q16" s="216" t="str">
        <f>IF(Q$3="","",IF(COUNTIFS(BD!$A$3:$A$5001,Q$3,BD!$B$3:$B$5001,$A$5,BD!$AA$3:$AA$5001,"&lt;&gt;")=0,"",SUMIFS(BD!$AA$3:$AA$5001,BD!$A$3:$A$5001,Q$3,BD!$B$3:$B$5001,$A$5)))</f>
        <v/>
      </c>
      <c r="R16" s="216" t="str">
        <f>IF(R$3="","",IF(COUNTIFS(BD!$A$3:$A$5001,R$3,BD!$B$3:$B$5001,$A$5,BD!$AA$3:$AA$5001,"&lt;&gt;")=0,"",SUMIFS(BD!$AA$3:$AA$5001,BD!$A$3:$A$5001,R$3,BD!$B$3:$B$5001,$A$5)))</f>
        <v/>
      </c>
      <c r="S16" s="216" t="str">
        <f>IF(S$3="","",IF(COUNTIFS(BD!$A$3:$A$5001,S$3,BD!$B$3:$B$5001,$A$5,BD!$AA$3:$AA$5001,"&lt;&gt;")=0,"",SUMIFS(BD!$AA$3:$AA$5001,BD!$A$3:$A$5001,S$3,BD!$B$3:$B$5001,$A$5)))</f>
        <v/>
      </c>
      <c r="T16" s="216" t="str">
        <f>IF(T$3="","",IF(COUNTIFS(BD!$A$3:$A$5001,T$3,BD!$B$3:$B$5001,$A$5,BD!$AA$3:$AA$5001,"&lt;&gt;")=0,"",SUMIFS(BD!$AA$3:$AA$5001,BD!$A$3:$A$5001,T$3,BD!$B$3:$B$5001,$A$5)))</f>
        <v/>
      </c>
      <c r="U16" s="216" t="str">
        <f>IF(U$3="","",IF(COUNTIFS(BD!$A$3:$A$5001,U$3,BD!$B$3:$B$5001,$A$5,BD!$AA$3:$AA$5001,"&lt;&gt;")=0,"",SUMIFS(BD!$AA$3:$AA$5001,BD!$A$3:$A$5001,U$3,BD!$B$3:$B$5001,$A$5)))</f>
        <v/>
      </c>
      <c r="V16" s="216" t="str">
        <f>IF(V$3="","",IF(COUNTIFS(BD!$A$3:$A$5001,V$3,BD!$B$3:$B$5001,$A$5,BD!$AA$3:$AA$5001,"&lt;&gt;")=0,"",SUMIFS(BD!$AA$3:$AA$5001,BD!$A$3:$A$5001,V$3,BD!$B$3:$B$5001,$A$5)))</f>
        <v/>
      </c>
      <c r="W16" s="216" t="str">
        <f>IF(W$3="","",IF(COUNTIFS(BD!$A$3:$A$5001,W$3,BD!$B$3:$B$5001,$A$5,BD!$AA$3:$AA$5001,"&lt;&gt;")=0,"",SUMIFS(BD!$AA$3:$AA$5001,BD!$A$3:$A$5001,W$3,BD!$B$3:$B$5001,$A$5)))</f>
        <v/>
      </c>
      <c r="X16" s="216" t="str">
        <f>IF(X$3="","",IF(COUNTIFS(BD!$A$3:$A$5001,X$3,BD!$B$3:$B$5001,$A$5,BD!$AA$3:$AA$5001,"&lt;&gt;")=0,"",SUMIFS(BD!$AA$3:$AA$5001,BD!$A$3:$A$5001,X$3,BD!$B$3:$B$5001,$A$5)))</f>
        <v/>
      </c>
      <c r="Y16" s="216" t="str">
        <f>IF(Y$3="","",IF(COUNTIFS(BD!$A$3:$A$5001,Y$3,BD!$B$3:$B$5001,$A$5,BD!$AA$3:$AA$5001,"&lt;&gt;")=0,"",SUMIFS(BD!$AA$3:$AA$5001,BD!$A$3:$A$5001,Y$3,BD!$B$3:$B$5001,$A$5)))</f>
        <v/>
      </c>
      <c r="Z16" s="216" t="str">
        <f>IF(Z$3="","",IF(COUNTIFS(BD!$A$3:$A$5001,Z$3,BD!$B$3:$B$5001,$A$5,BD!$AA$3:$AA$5001,"&lt;&gt;")=0,"",SUMIFS(BD!$AA$3:$AA$5001,BD!$A$3:$A$5001,Z$3,BD!$B$3:$B$5001,$A$5)))</f>
        <v/>
      </c>
      <c r="AA16" s="216" t="str">
        <f>IF(AA$3="","",IF(COUNTIFS(BD!$A$3:$A$5001,AA$3,BD!$B$3:$B$5001,$A$5,BD!$AA$3:$AA$5001,"&lt;&gt;")=0,"",SUMIFS(BD!$AA$3:$AA$5001,BD!$A$3:$A$5001,AA$3,BD!$B$3:$B$5001,$A$5)))</f>
        <v/>
      </c>
      <c r="AB16" s="216" t="str">
        <f>IF(AB$3="","",IF(COUNTIFS(BD!$A$3:$A$5001,AB$3,BD!$B$3:$B$5001,$A$5,BD!$AA$3:$AA$5001,"&lt;&gt;")=0,"",SUMIFS(BD!$AA$3:$AA$5001,BD!$A$3:$A$5001,AB$3,BD!$B$3:$B$5001,$A$5)))</f>
        <v/>
      </c>
      <c r="AC16" s="216" t="str">
        <f>IF(AC$3="","",IF(COUNTIFS(BD!$A$3:$A$5001,AC$3,BD!$B$3:$B$5001,$A$5,BD!$AA$3:$AA$5001,"&lt;&gt;")=0,"",SUMIFS(BD!$AA$3:$AA$5001,BD!$A$3:$A$5001,AC$3,BD!$B$3:$B$5001,$A$5)))</f>
        <v/>
      </c>
      <c r="AD16" s="216" t="str">
        <f>IF(AD$3="","",IF(COUNTIFS(BD!$A$3:$A$5001,AD$3,BD!$B$3:$B$5001,$A$5,BD!$AA$3:$AA$5001,"&lt;&gt;")=0,"",SUMIFS(BD!$AA$3:$AA$5001,BD!$A$3:$A$5001,AD$3,BD!$B$3:$B$5001,$A$5)))</f>
        <v/>
      </c>
      <c r="AE16" s="216" t="str">
        <f>IF(AE$3="","",IF(COUNTIFS(BD!$A$3:$A$5001,AE$3,BD!$B$3:$B$5001,$A$5,BD!$AA$3:$AA$5001,"&lt;&gt;")=0,"",SUMIFS(BD!$AA$3:$AA$5001,BD!$A$3:$A$5001,AE$3,BD!$B$3:$B$5001,$A$5)))</f>
        <v/>
      </c>
      <c r="AF16" s="216" t="str">
        <f>IF(AF$3="","",IF(COUNTIFS(BD!$A$3:$A$5001,AF$3,BD!$B$3:$B$5001,$A$5,BD!$AA$3:$AA$5001,"&lt;&gt;")=0,"",SUMIFS(BD!$AA$3:$AA$5001,BD!$A$3:$A$5001,AF$3,BD!$B$3:$B$5001,$A$5)))</f>
        <v/>
      </c>
      <c r="AG16" s="216" t="str">
        <f>IF(AG$3="","",IF(COUNTIFS(BD!$A$3:$A$5001,AG$3,BD!$B$3:$B$5001,$A$5,BD!$AA$3:$AA$5001,"&lt;&gt;")=0,"",SUMIFS(BD!$AA$3:$AA$5001,BD!$A$3:$A$5001,AG$3,BD!$B$3:$B$5001,$A$5)))</f>
        <v/>
      </c>
      <c r="AH16" s="216" t="str">
        <f>IF(AH$3="","",IF(COUNTIFS(BD!$A$3:$A$5001,AH$3,BD!$B$3:$B$5001,$A$5,BD!$AA$3:$AA$5001,"&lt;&gt;")=0,"",SUMIFS(BD!$AA$3:$AA$5001,BD!$A$3:$A$5001,AH$3,BD!$B$3:$B$5001,$A$5)))</f>
        <v/>
      </c>
      <c r="AI16" s="216" t="str">
        <f>IF(AI$3="","",IF(COUNTIFS(BD!$A$3:$A$5001,AI$3,BD!$B$3:$B$5001,$A$5,BD!$AA$3:$AA$5001,"&lt;&gt;")=0,"",SUMIFS(BD!$AA$3:$AA$5001,BD!$A$3:$A$5001,AI$3,BD!$B$3:$B$5001,$A$5)))</f>
        <v/>
      </c>
      <c r="AJ16" s="217" t="str">
        <f>IF(AJ$3="","",IF(COUNTIFS(BD!$A$3:$A$5001,AJ$3,BD!$B$3:$B$5001,$A$5,BD!$AA$3:$AA$5001,"&lt;&gt;")=0,"",SUMIFS(BD!$AA$3:$AA$5001,BD!$A$3:$A$5001,AJ$3,BD!$B$3:$B$5001,$A$5)))</f>
        <v/>
      </c>
      <c r="AK16" s="218" t="str">
        <f>IF(COUNT(F16:AJ16)=0,"",SUM(F16:AJ16))</f>
        <v/>
      </c>
    </row>
    <row r="17" ht="15.75" customHeight="1">
      <c r="A17" s="237"/>
      <c r="B17" s="234"/>
      <c r="C17" s="212" t="inlineStr">
        <is>
          <t xml:space="preserve">Folga</t>
        </is>
      </c>
      <c r="D17" s="213" t="str">
        <f>IFERROR(1/(1/INDEX(BD!$AK$49:$AU$49,MATCH($A$5,BD!$AK$22:$AU$22,0))),"")</f>
        <v/>
      </c>
      <c r="E17" s="214"/>
      <c r="F17" s="215" t="str">
        <f>IF(F$3="","",IF(COUNTIFS(BD!$A$3:$A$5001,F$3,BD!$B$3:$B$5001,$A$5,BD!$AB$3:$AB$5001,"&lt;&gt;")=0,"",SUMIFS(BD!$AB$3:$AB$5001,BD!$A$3:$A$5001,F$3,BD!$B$3:$B$5001,$A$5)))</f>
        <v/>
      </c>
      <c r="G17" s="216" t="str">
        <f>IF(G$3="","",IF(COUNTIFS(BD!$A$3:$A$5001,G$3,BD!$B$3:$B$5001,$A$5,BD!$AB$3:$AB$5001,"&lt;&gt;")=0,"",SUMIFS(BD!$AB$3:$AB$5001,BD!$A$3:$A$5001,G$3,BD!$B$3:$B$5001,$A$5)))</f>
        <v/>
      </c>
      <c r="H17" s="216" t="str">
        <f>IF(H$3="","",IF(COUNTIFS(BD!$A$3:$A$5001,H$3,BD!$B$3:$B$5001,$A$5,BD!$AB$3:$AB$5001,"&lt;&gt;")=0,"",SUMIFS(BD!$AB$3:$AB$5001,BD!$A$3:$A$5001,H$3,BD!$B$3:$B$5001,$A$5)))</f>
        <v/>
      </c>
      <c r="I17" s="216" t="str">
        <f>IF(I$3="","",IF(COUNTIFS(BD!$A$3:$A$5001,I$3,BD!$B$3:$B$5001,$A$5,BD!$AB$3:$AB$5001,"&lt;&gt;")=0,"",SUMIFS(BD!$AB$3:$AB$5001,BD!$A$3:$A$5001,I$3,BD!$B$3:$B$5001,$A$5)))</f>
        <v/>
      </c>
      <c r="J17" s="216" t="str">
        <f>IF(J$3="","",IF(COUNTIFS(BD!$A$3:$A$5001,J$3,BD!$B$3:$B$5001,$A$5,BD!$AB$3:$AB$5001,"&lt;&gt;")=0,"",SUMIFS(BD!$AB$3:$AB$5001,BD!$A$3:$A$5001,J$3,BD!$B$3:$B$5001,$A$5)))</f>
        <v/>
      </c>
      <c r="K17" s="216" t="str">
        <f>IF(K$3="","",IF(COUNTIFS(BD!$A$3:$A$5001,K$3,BD!$B$3:$B$5001,$A$5,BD!$AB$3:$AB$5001,"&lt;&gt;")=0,"",SUMIFS(BD!$AB$3:$AB$5001,BD!$A$3:$A$5001,K$3,BD!$B$3:$B$5001,$A$5)))</f>
        <v/>
      </c>
      <c r="L17" s="216" t="str">
        <f>IF(L$3="","",IF(COUNTIFS(BD!$A$3:$A$5001,L$3,BD!$B$3:$B$5001,$A$5,BD!$AB$3:$AB$5001,"&lt;&gt;")=0,"",SUMIFS(BD!$AB$3:$AB$5001,BD!$A$3:$A$5001,L$3,BD!$B$3:$B$5001,$A$5)))</f>
        <v/>
      </c>
      <c r="M17" s="216" t="str">
        <f>IF(M$3="","",IF(COUNTIFS(BD!$A$3:$A$5001,M$3,BD!$B$3:$B$5001,$A$5,BD!$AB$3:$AB$5001,"&lt;&gt;")=0,"",SUMIFS(BD!$AB$3:$AB$5001,BD!$A$3:$A$5001,M$3,BD!$B$3:$B$5001,$A$5)))</f>
        <v/>
      </c>
      <c r="N17" s="216" t="str">
        <f>IF(N$3="","",IF(COUNTIFS(BD!$A$3:$A$5001,N$3,BD!$B$3:$B$5001,$A$5,BD!$AB$3:$AB$5001,"&lt;&gt;")=0,"",SUMIFS(BD!$AB$3:$AB$5001,BD!$A$3:$A$5001,N$3,BD!$B$3:$B$5001,$A$5)))</f>
        <v/>
      </c>
      <c r="O17" s="216" t="str">
        <f>IF(O$3="","",IF(COUNTIFS(BD!$A$3:$A$5001,O$3,BD!$B$3:$B$5001,$A$5,BD!$AB$3:$AB$5001,"&lt;&gt;")=0,"",SUMIFS(BD!$AB$3:$AB$5001,BD!$A$3:$A$5001,O$3,BD!$B$3:$B$5001,$A$5)))</f>
        <v/>
      </c>
      <c r="P17" s="216" t="str">
        <f>IF(P$3="","",IF(COUNTIFS(BD!$A$3:$A$5001,P$3,BD!$B$3:$B$5001,$A$5,BD!$AB$3:$AB$5001,"&lt;&gt;")=0,"",SUMIFS(BD!$AB$3:$AB$5001,BD!$A$3:$A$5001,P$3,BD!$B$3:$B$5001,$A$5)))</f>
        <v/>
      </c>
      <c r="Q17" s="216" t="str">
        <f>IF(Q$3="","",IF(COUNTIFS(BD!$A$3:$A$5001,Q$3,BD!$B$3:$B$5001,$A$5,BD!$AB$3:$AB$5001,"&lt;&gt;")=0,"",SUMIFS(BD!$AB$3:$AB$5001,BD!$A$3:$A$5001,Q$3,BD!$B$3:$B$5001,$A$5)))</f>
        <v/>
      </c>
      <c r="R17" s="216" t="str">
        <f>IF(R$3="","",IF(COUNTIFS(BD!$A$3:$A$5001,R$3,BD!$B$3:$B$5001,$A$5,BD!$AB$3:$AB$5001,"&lt;&gt;")=0,"",SUMIFS(BD!$AB$3:$AB$5001,BD!$A$3:$A$5001,R$3,BD!$B$3:$B$5001,$A$5)))</f>
        <v/>
      </c>
      <c r="S17" s="216" t="str">
        <f>IF(S$3="","",IF(COUNTIFS(BD!$A$3:$A$5001,S$3,BD!$B$3:$B$5001,$A$5,BD!$AB$3:$AB$5001,"&lt;&gt;")=0,"",SUMIFS(BD!$AB$3:$AB$5001,BD!$A$3:$A$5001,S$3,BD!$B$3:$B$5001,$A$5)))</f>
        <v/>
      </c>
      <c r="T17" s="216" t="str">
        <f>IF(T$3="","",IF(COUNTIFS(BD!$A$3:$A$5001,T$3,BD!$B$3:$B$5001,$A$5,BD!$AB$3:$AB$5001,"&lt;&gt;")=0,"",SUMIFS(BD!$AB$3:$AB$5001,BD!$A$3:$A$5001,T$3,BD!$B$3:$B$5001,$A$5)))</f>
        <v/>
      </c>
      <c r="U17" s="216" t="str">
        <f>IF(U$3="","",IF(COUNTIFS(BD!$A$3:$A$5001,U$3,BD!$B$3:$B$5001,$A$5,BD!$AB$3:$AB$5001,"&lt;&gt;")=0,"",SUMIFS(BD!$AB$3:$AB$5001,BD!$A$3:$A$5001,U$3,BD!$B$3:$B$5001,$A$5)))</f>
        <v/>
      </c>
      <c r="V17" s="216" t="str">
        <f>IF(V$3="","",IF(COUNTIFS(BD!$A$3:$A$5001,V$3,BD!$B$3:$B$5001,$A$5,BD!$AB$3:$AB$5001,"&lt;&gt;")=0,"",SUMIFS(BD!$AB$3:$AB$5001,BD!$A$3:$A$5001,V$3,BD!$B$3:$B$5001,$A$5)))</f>
        <v/>
      </c>
      <c r="W17" s="216" t="str">
        <f>IF(W$3="","",IF(COUNTIFS(BD!$A$3:$A$5001,W$3,BD!$B$3:$B$5001,$A$5,BD!$AB$3:$AB$5001,"&lt;&gt;")=0,"",SUMIFS(BD!$AB$3:$AB$5001,BD!$A$3:$A$5001,W$3,BD!$B$3:$B$5001,$A$5)))</f>
        <v/>
      </c>
      <c r="X17" s="216" t="str">
        <f>IF(X$3="","",IF(COUNTIFS(BD!$A$3:$A$5001,X$3,BD!$B$3:$B$5001,$A$5,BD!$AB$3:$AB$5001,"&lt;&gt;")=0,"",SUMIFS(BD!$AB$3:$AB$5001,BD!$A$3:$A$5001,X$3,BD!$B$3:$B$5001,$A$5)))</f>
        <v/>
      </c>
      <c r="Y17" s="216" t="str">
        <f>IF(Y$3="","",IF(COUNTIFS(BD!$A$3:$A$5001,Y$3,BD!$B$3:$B$5001,$A$5,BD!$AB$3:$AB$5001,"&lt;&gt;")=0,"",SUMIFS(BD!$AB$3:$AB$5001,BD!$A$3:$A$5001,Y$3,BD!$B$3:$B$5001,$A$5)))</f>
        <v/>
      </c>
      <c r="Z17" s="216" t="str">
        <f>IF(Z$3="","",IF(COUNTIFS(BD!$A$3:$A$5001,Z$3,BD!$B$3:$B$5001,$A$5,BD!$AB$3:$AB$5001,"&lt;&gt;")=0,"",SUMIFS(BD!$AB$3:$AB$5001,BD!$A$3:$A$5001,Z$3,BD!$B$3:$B$5001,$A$5)))</f>
        <v/>
      </c>
      <c r="AA17" s="216" t="str">
        <f>IF(AA$3="","",IF(COUNTIFS(BD!$A$3:$A$5001,AA$3,BD!$B$3:$B$5001,$A$5,BD!$AB$3:$AB$5001,"&lt;&gt;")=0,"",SUMIFS(BD!$AB$3:$AB$5001,BD!$A$3:$A$5001,AA$3,BD!$B$3:$B$5001,$A$5)))</f>
        <v/>
      </c>
      <c r="AB17" s="216" t="str">
        <f>IF(AB$3="","",IF(COUNTIFS(BD!$A$3:$A$5001,AB$3,BD!$B$3:$B$5001,$A$5,BD!$AB$3:$AB$5001,"&lt;&gt;")=0,"",SUMIFS(BD!$AB$3:$AB$5001,BD!$A$3:$A$5001,AB$3,BD!$B$3:$B$5001,$A$5)))</f>
        <v/>
      </c>
      <c r="AC17" s="216" t="str">
        <f>IF(AC$3="","",IF(COUNTIFS(BD!$A$3:$A$5001,AC$3,BD!$B$3:$B$5001,$A$5,BD!$AB$3:$AB$5001,"&lt;&gt;")=0,"",SUMIFS(BD!$AB$3:$AB$5001,BD!$A$3:$A$5001,AC$3,BD!$B$3:$B$5001,$A$5)))</f>
        <v/>
      </c>
      <c r="AD17" s="216" t="str">
        <f>IF(AD$3="","",IF(COUNTIFS(BD!$A$3:$A$5001,AD$3,BD!$B$3:$B$5001,$A$5,BD!$AB$3:$AB$5001,"&lt;&gt;")=0,"",SUMIFS(BD!$AB$3:$AB$5001,BD!$A$3:$A$5001,AD$3,BD!$B$3:$B$5001,$A$5)))</f>
        <v/>
      </c>
      <c r="AE17" s="216" t="str">
        <f>IF(AE$3="","",IF(COUNTIFS(BD!$A$3:$A$5001,AE$3,BD!$B$3:$B$5001,$A$5,BD!$AB$3:$AB$5001,"&lt;&gt;")=0,"",SUMIFS(BD!$AB$3:$AB$5001,BD!$A$3:$A$5001,AE$3,BD!$B$3:$B$5001,$A$5)))</f>
        <v/>
      </c>
      <c r="AF17" s="216" t="str">
        <f>IF(AF$3="","",IF(COUNTIFS(BD!$A$3:$A$5001,AF$3,BD!$B$3:$B$5001,$A$5,BD!$AB$3:$AB$5001,"&lt;&gt;")=0,"",SUMIFS(BD!$AB$3:$AB$5001,BD!$A$3:$A$5001,AF$3,BD!$B$3:$B$5001,$A$5)))</f>
        <v/>
      </c>
      <c r="AG17" s="216" t="str">
        <f>IF(AG$3="","",IF(COUNTIFS(BD!$A$3:$A$5001,AG$3,BD!$B$3:$B$5001,$A$5,BD!$AB$3:$AB$5001,"&lt;&gt;")=0,"",SUMIFS(BD!$AB$3:$AB$5001,BD!$A$3:$A$5001,AG$3,BD!$B$3:$B$5001,$A$5)))</f>
        <v/>
      </c>
      <c r="AH17" s="216" t="str">
        <f>IF(AH$3="","",IF(COUNTIFS(BD!$A$3:$A$5001,AH$3,BD!$B$3:$B$5001,$A$5,BD!$AB$3:$AB$5001,"&lt;&gt;")=0,"",SUMIFS(BD!$AB$3:$AB$5001,BD!$A$3:$A$5001,AH$3,BD!$B$3:$B$5001,$A$5)))</f>
        <v/>
      </c>
      <c r="AI17" s="216" t="str">
        <f>IF(AI$3="","",IF(COUNTIFS(BD!$A$3:$A$5001,AI$3,BD!$B$3:$B$5001,$A$5,BD!$AB$3:$AB$5001,"&lt;&gt;")=0,"",SUMIFS(BD!$AB$3:$AB$5001,BD!$A$3:$A$5001,AI$3,BD!$B$3:$B$5001,$A$5)))</f>
        <v/>
      </c>
      <c r="AJ17" s="217" t="str">
        <f>IF(AJ$3="","",IF(COUNTIFS(BD!$A$3:$A$5001,AJ$3,BD!$B$3:$B$5001,$A$5,BD!$AB$3:$AB$5001,"&lt;&gt;")=0,"",SUMIFS(BD!$AB$3:$AB$5001,BD!$A$3:$A$5001,AJ$3,BD!$B$3:$B$5001,$A$5)))</f>
        <v/>
      </c>
      <c r="AK17" s="218" t="str">
        <f>IF(COUNT(F17:AJ17)=0,"",SUM(F17:AJ17))</f>
        <v/>
      </c>
    </row>
    <row r="18" ht="15.75" customHeight="1">
      <c r="A18" s="237"/>
      <c r="B18" s="234"/>
      <c r="C18" s="212" t="inlineStr">
        <is>
          <t xml:space="preserve">Férias</t>
        </is>
      </c>
      <c r="D18" s="213" t="str">
        <f>IFERROR(1/(1/INDEX(BD!$AK$50:$AU$50,MATCH($A$5,BD!$AK$22:$AU$22,0))),"")</f>
        <v/>
      </c>
      <c r="E18" s="214"/>
      <c r="F18" s="215" t="str">
        <f>IF(F$3="","",IF(COUNTIFS(BD!$A$3:$A$5001,F$3,BD!$B$3:$B$5001,$A$5,BD!$AC$3:$AC$5001,"&lt;&gt;")=0,"",SUMIFS(BD!$AC$3:$AC$5001,BD!$A$3:$A$5001,F$3,BD!$B$3:$B$5001,$A$5)))</f>
        <v/>
      </c>
      <c r="G18" s="216" t="str">
        <f>IF(G$3="","",IF(COUNTIFS(BD!$A$3:$A$5001,G$3,BD!$B$3:$B$5001,$A$5,BD!$AC$3:$AC$5001,"&lt;&gt;")=0,"",SUMIFS(BD!$AC$3:$AC$5001,BD!$A$3:$A$5001,G$3,BD!$B$3:$B$5001,$A$5)))</f>
        <v/>
      </c>
      <c r="H18" s="216" t="str">
        <f>IF(H$3="","",IF(COUNTIFS(BD!$A$3:$A$5001,H$3,BD!$B$3:$B$5001,$A$5,BD!$AC$3:$AC$5001,"&lt;&gt;")=0,"",SUMIFS(BD!$AC$3:$AC$5001,BD!$A$3:$A$5001,H$3,BD!$B$3:$B$5001,$A$5)))</f>
        <v/>
      </c>
      <c r="I18" s="216" t="str">
        <f>IF(I$3="","",IF(COUNTIFS(BD!$A$3:$A$5001,I$3,BD!$B$3:$B$5001,$A$5,BD!$AC$3:$AC$5001,"&lt;&gt;")=0,"",SUMIFS(BD!$AC$3:$AC$5001,BD!$A$3:$A$5001,I$3,BD!$B$3:$B$5001,$A$5)))</f>
        <v/>
      </c>
      <c r="J18" s="216" t="str">
        <f>IF(J$3="","",IF(COUNTIFS(BD!$A$3:$A$5001,J$3,BD!$B$3:$B$5001,$A$5,BD!$AC$3:$AC$5001,"&lt;&gt;")=0,"",SUMIFS(BD!$AC$3:$AC$5001,BD!$A$3:$A$5001,J$3,BD!$B$3:$B$5001,$A$5)))</f>
        <v/>
      </c>
      <c r="K18" s="216" t="str">
        <f>IF(K$3="","",IF(COUNTIFS(BD!$A$3:$A$5001,K$3,BD!$B$3:$B$5001,$A$5,BD!$AC$3:$AC$5001,"&lt;&gt;")=0,"",SUMIFS(BD!$AC$3:$AC$5001,BD!$A$3:$A$5001,K$3,BD!$B$3:$B$5001,$A$5)))</f>
        <v/>
      </c>
      <c r="L18" s="216" t="str">
        <f>IF(L$3="","",IF(COUNTIFS(BD!$A$3:$A$5001,L$3,BD!$B$3:$B$5001,$A$5,BD!$AC$3:$AC$5001,"&lt;&gt;")=0,"",SUMIFS(BD!$AC$3:$AC$5001,BD!$A$3:$A$5001,L$3,BD!$B$3:$B$5001,$A$5)))</f>
        <v/>
      </c>
      <c r="M18" s="216" t="str">
        <f>IF(M$3="","",IF(COUNTIFS(BD!$A$3:$A$5001,M$3,BD!$B$3:$B$5001,$A$5,BD!$AC$3:$AC$5001,"&lt;&gt;")=0,"",SUMIFS(BD!$AC$3:$AC$5001,BD!$A$3:$A$5001,M$3,BD!$B$3:$B$5001,$A$5)))</f>
        <v/>
      </c>
      <c r="N18" s="216" t="str">
        <f>IF(N$3="","",IF(COUNTIFS(BD!$A$3:$A$5001,N$3,BD!$B$3:$B$5001,$A$5,BD!$AC$3:$AC$5001,"&lt;&gt;")=0,"",SUMIFS(BD!$AC$3:$AC$5001,BD!$A$3:$A$5001,N$3,BD!$B$3:$B$5001,$A$5)))</f>
        <v/>
      </c>
      <c r="O18" s="216" t="str">
        <f>IF(O$3="","",IF(COUNTIFS(BD!$A$3:$A$5001,O$3,BD!$B$3:$B$5001,$A$5,BD!$AC$3:$AC$5001,"&lt;&gt;")=0,"",SUMIFS(BD!$AC$3:$AC$5001,BD!$A$3:$A$5001,O$3,BD!$B$3:$B$5001,$A$5)))</f>
        <v/>
      </c>
      <c r="P18" s="216" t="str">
        <f>IF(P$3="","",IF(COUNTIFS(BD!$A$3:$A$5001,P$3,BD!$B$3:$B$5001,$A$5,BD!$AC$3:$AC$5001,"&lt;&gt;")=0,"",SUMIFS(BD!$AC$3:$AC$5001,BD!$A$3:$A$5001,P$3,BD!$B$3:$B$5001,$A$5)))</f>
        <v/>
      </c>
      <c r="Q18" s="216" t="str">
        <f>IF(Q$3="","",IF(COUNTIFS(BD!$A$3:$A$5001,Q$3,BD!$B$3:$B$5001,$A$5,BD!$AC$3:$AC$5001,"&lt;&gt;")=0,"",SUMIFS(BD!$AC$3:$AC$5001,BD!$A$3:$A$5001,Q$3,BD!$B$3:$B$5001,$A$5)))</f>
        <v/>
      </c>
      <c r="R18" s="216" t="str">
        <f>IF(R$3="","",IF(COUNTIFS(BD!$A$3:$A$5001,R$3,BD!$B$3:$B$5001,$A$5,BD!$AC$3:$AC$5001,"&lt;&gt;")=0,"",SUMIFS(BD!$AC$3:$AC$5001,BD!$A$3:$A$5001,R$3,BD!$B$3:$B$5001,$A$5)))</f>
        <v/>
      </c>
      <c r="S18" s="216" t="str">
        <f>IF(S$3="","",IF(COUNTIFS(BD!$A$3:$A$5001,S$3,BD!$B$3:$B$5001,$A$5,BD!$AC$3:$AC$5001,"&lt;&gt;")=0,"",SUMIFS(BD!$AC$3:$AC$5001,BD!$A$3:$A$5001,S$3,BD!$B$3:$B$5001,$A$5)))</f>
        <v/>
      </c>
      <c r="T18" s="216" t="str">
        <f>IF(T$3="","",IF(COUNTIFS(BD!$A$3:$A$5001,T$3,BD!$B$3:$B$5001,$A$5,BD!$AC$3:$AC$5001,"&lt;&gt;")=0,"",SUMIFS(BD!$AC$3:$AC$5001,BD!$A$3:$A$5001,T$3,BD!$B$3:$B$5001,$A$5)))</f>
        <v/>
      </c>
      <c r="U18" s="216" t="str">
        <f>IF(U$3="","",IF(COUNTIFS(BD!$A$3:$A$5001,U$3,BD!$B$3:$B$5001,$A$5,BD!$AC$3:$AC$5001,"&lt;&gt;")=0,"",SUMIFS(BD!$AC$3:$AC$5001,BD!$A$3:$A$5001,U$3,BD!$B$3:$B$5001,$A$5)))</f>
        <v/>
      </c>
      <c r="V18" s="216" t="str">
        <f>IF(V$3="","",IF(COUNTIFS(BD!$A$3:$A$5001,V$3,BD!$B$3:$B$5001,$A$5,BD!$AC$3:$AC$5001,"&lt;&gt;")=0,"",SUMIFS(BD!$AC$3:$AC$5001,BD!$A$3:$A$5001,V$3,BD!$B$3:$B$5001,$A$5)))</f>
        <v/>
      </c>
      <c r="W18" s="216" t="str">
        <f>IF(W$3="","",IF(COUNTIFS(BD!$A$3:$A$5001,W$3,BD!$B$3:$B$5001,$A$5,BD!$AC$3:$AC$5001,"&lt;&gt;")=0,"",SUMIFS(BD!$AC$3:$AC$5001,BD!$A$3:$A$5001,W$3,BD!$B$3:$B$5001,$A$5)))</f>
        <v/>
      </c>
      <c r="X18" s="216" t="str">
        <f>IF(X$3="","",IF(COUNTIFS(BD!$A$3:$A$5001,X$3,BD!$B$3:$B$5001,$A$5,BD!$AC$3:$AC$5001,"&lt;&gt;")=0,"",SUMIFS(BD!$AC$3:$AC$5001,BD!$A$3:$A$5001,X$3,BD!$B$3:$B$5001,$A$5)))</f>
        <v/>
      </c>
      <c r="Y18" s="216" t="str">
        <f>IF(Y$3="","",IF(COUNTIFS(BD!$A$3:$A$5001,Y$3,BD!$B$3:$B$5001,$A$5,BD!$AC$3:$AC$5001,"&lt;&gt;")=0,"",SUMIFS(BD!$AC$3:$AC$5001,BD!$A$3:$A$5001,Y$3,BD!$B$3:$B$5001,$A$5)))</f>
        <v/>
      </c>
      <c r="Z18" s="216" t="str">
        <f>IF(Z$3="","",IF(COUNTIFS(BD!$A$3:$A$5001,Z$3,BD!$B$3:$B$5001,$A$5,BD!$AC$3:$AC$5001,"&lt;&gt;")=0,"",SUMIFS(BD!$AC$3:$AC$5001,BD!$A$3:$A$5001,Z$3,BD!$B$3:$B$5001,$A$5)))</f>
        <v/>
      </c>
      <c r="AA18" s="216" t="str">
        <f>IF(AA$3="","",IF(COUNTIFS(BD!$A$3:$A$5001,AA$3,BD!$B$3:$B$5001,$A$5,BD!$AC$3:$AC$5001,"&lt;&gt;")=0,"",SUMIFS(BD!$AC$3:$AC$5001,BD!$A$3:$A$5001,AA$3,BD!$B$3:$B$5001,$A$5)))</f>
        <v/>
      </c>
      <c r="AB18" s="216" t="str">
        <f>IF(AB$3="","",IF(COUNTIFS(BD!$A$3:$A$5001,AB$3,BD!$B$3:$B$5001,$A$5,BD!$AC$3:$AC$5001,"&lt;&gt;")=0,"",SUMIFS(BD!$AC$3:$AC$5001,BD!$A$3:$A$5001,AB$3,BD!$B$3:$B$5001,$A$5)))</f>
        <v/>
      </c>
      <c r="AC18" s="216" t="str">
        <f>IF(AC$3="","",IF(COUNTIFS(BD!$A$3:$A$5001,AC$3,BD!$B$3:$B$5001,$A$5,BD!$AC$3:$AC$5001,"&lt;&gt;")=0,"",SUMIFS(BD!$AC$3:$AC$5001,BD!$A$3:$A$5001,AC$3,BD!$B$3:$B$5001,$A$5)))</f>
        <v/>
      </c>
      <c r="AD18" s="216" t="str">
        <f>IF(AD$3="","",IF(COUNTIFS(BD!$A$3:$A$5001,AD$3,BD!$B$3:$B$5001,$A$5,BD!$AC$3:$AC$5001,"&lt;&gt;")=0,"",SUMIFS(BD!$AC$3:$AC$5001,BD!$A$3:$A$5001,AD$3,BD!$B$3:$B$5001,$A$5)))</f>
        <v/>
      </c>
      <c r="AE18" s="216" t="str">
        <f>IF(AE$3="","",IF(COUNTIFS(BD!$A$3:$A$5001,AE$3,BD!$B$3:$B$5001,$A$5,BD!$AC$3:$AC$5001,"&lt;&gt;")=0,"",SUMIFS(BD!$AC$3:$AC$5001,BD!$A$3:$A$5001,AE$3,BD!$B$3:$B$5001,$A$5)))</f>
        <v/>
      </c>
      <c r="AF18" s="216" t="str">
        <f>IF(AF$3="","",IF(COUNTIFS(BD!$A$3:$A$5001,AF$3,BD!$B$3:$B$5001,$A$5,BD!$AC$3:$AC$5001,"&lt;&gt;")=0,"",SUMIFS(BD!$AC$3:$AC$5001,BD!$A$3:$A$5001,AF$3,BD!$B$3:$B$5001,$A$5)))</f>
        <v/>
      </c>
      <c r="AG18" s="216" t="str">
        <f>IF(AG$3="","",IF(COUNTIFS(BD!$A$3:$A$5001,AG$3,BD!$B$3:$B$5001,$A$5,BD!$AC$3:$AC$5001,"&lt;&gt;")=0,"",SUMIFS(BD!$AC$3:$AC$5001,BD!$A$3:$A$5001,AG$3,BD!$B$3:$B$5001,$A$5)))</f>
        <v/>
      </c>
      <c r="AH18" s="216" t="str">
        <f>IF(AH$3="","",IF(COUNTIFS(BD!$A$3:$A$5001,AH$3,BD!$B$3:$B$5001,$A$5,BD!$AC$3:$AC$5001,"&lt;&gt;")=0,"",SUMIFS(BD!$AC$3:$AC$5001,BD!$A$3:$A$5001,AH$3,BD!$B$3:$B$5001,$A$5)))</f>
        <v/>
      </c>
      <c r="AI18" s="216" t="str">
        <f>IF(AI$3="","",IF(COUNTIFS(BD!$A$3:$A$5001,AI$3,BD!$B$3:$B$5001,$A$5,BD!$AC$3:$AC$5001,"&lt;&gt;")=0,"",SUMIFS(BD!$AC$3:$AC$5001,BD!$A$3:$A$5001,AI$3,BD!$B$3:$B$5001,$A$5)))</f>
        <v/>
      </c>
      <c r="AJ18" s="217" t="str">
        <f>IF(AJ$3="","",IF(COUNTIFS(BD!$A$3:$A$5001,AJ$3,BD!$B$3:$B$5001,$A$5,BD!$AC$3:$AC$5001,"&lt;&gt;")=0,"",SUMIFS(BD!$AC$3:$AC$5001,BD!$A$3:$A$5001,AJ$3,BD!$B$3:$B$5001,$A$5)))</f>
        <v/>
      </c>
      <c r="AK18" s="218" t="str">
        <f>IF(COUNT(F18:AJ18)=0,"",SUM(F18:AJ18))</f>
        <v/>
      </c>
    </row>
    <row r="19" ht="15.75" customHeight="1">
      <c r="A19" s="237"/>
      <c r="B19" s="234"/>
      <c r="C19" s="212" t="inlineStr">
        <is>
          <t xml:space="preserve">Desligamento</t>
        </is>
      </c>
      <c r="D19" s="213" t="str">
        <f>IFERROR(1/(1/INDEX(BD!$AK$51:$AU$51,MATCH($A$5,BD!$AK$22:$AU$22,0))),"")</f>
        <v/>
      </c>
      <c r="E19" s="214"/>
      <c r="F19" s="215" t="str">
        <f>IF(F$3="","",IF(COUNTIFS(BD!$A$3:$A$5001,F$3,BD!$B$3:$B$5001,$A$5,BD!$AD$3:$AD$5001,"&lt;&gt;")=0,"",SUMIFS(BD!$AD$3:$AD$5001,BD!$A$3:$A$5001,F$3,BD!$B$3:$B$5001,$A$5)))</f>
        <v/>
      </c>
      <c r="G19" s="216" t="str">
        <f>IF(G$3="","",IF(COUNTIFS(BD!$A$3:$A$5001,G$3,BD!$B$3:$B$5001,$A$5,BD!$AD$3:$AD$5001,"&lt;&gt;")=0,"",SUMIFS(BD!$AD$3:$AD$5001,BD!$A$3:$A$5001,G$3,BD!$B$3:$B$5001,$A$5)))</f>
        <v/>
      </c>
      <c r="H19" s="216" t="str">
        <f>IF(H$3="","",IF(COUNTIFS(BD!$A$3:$A$5001,H$3,BD!$B$3:$B$5001,$A$5,BD!$AD$3:$AD$5001,"&lt;&gt;")=0,"",SUMIFS(BD!$AD$3:$AD$5001,BD!$A$3:$A$5001,H$3,BD!$B$3:$B$5001,$A$5)))</f>
        <v/>
      </c>
      <c r="I19" s="216" t="str">
        <f>IF(I$3="","",IF(COUNTIFS(BD!$A$3:$A$5001,I$3,BD!$B$3:$B$5001,$A$5,BD!$AD$3:$AD$5001,"&lt;&gt;")=0,"",SUMIFS(BD!$AD$3:$AD$5001,BD!$A$3:$A$5001,I$3,BD!$B$3:$B$5001,$A$5)))</f>
        <v/>
      </c>
      <c r="J19" s="216" t="str">
        <f>IF(J$3="","",IF(COUNTIFS(BD!$A$3:$A$5001,J$3,BD!$B$3:$B$5001,$A$5,BD!$AD$3:$AD$5001,"&lt;&gt;")=0,"",SUMIFS(BD!$AD$3:$AD$5001,BD!$A$3:$A$5001,J$3,BD!$B$3:$B$5001,$A$5)))</f>
        <v/>
      </c>
      <c r="K19" s="216" t="str">
        <f>IF(K$3="","",IF(COUNTIFS(BD!$A$3:$A$5001,K$3,BD!$B$3:$B$5001,$A$5,BD!$AD$3:$AD$5001,"&lt;&gt;")=0,"",SUMIFS(BD!$AD$3:$AD$5001,BD!$A$3:$A$5001,K$3,BD!$B$3:$B$5001,$A$5)))</f>
        <v/>
      </c>
      <c r="L19" s="216" t="str">
        <f>IF(L$3="","",IF(COUNTIFS(BD!$A$3:$A$5001,L$3,BD!$B$3:$B$5001,$A$5,BD!$AD$3:$AD$5001,"&lt;&gt;")=0,"",SUMIFS(BD!$AD$3:$AD$5001,BD!$A$3:$A$5001,L$3,BD!$B$3:$B$5001,$A$5)))</f>
        <v/>
      </c>
      <c r="M19" s="216" t="str">
        <f>IF(M$3="","",IF(COUNTIFS(BD!$A$3:$A$5001,M$3,BD!$B$3:$B$5001,$A$5,BD!$AD$3:$AD$5001,"&lt;&gt;")=0,"",SUMIFS(BD!$AD$3:$AD$5001,BD!$A$3:$A$5001,M$3,BD!$B$3:$B$5001,$A$5)))</f>
        <v/>
      </c>
      <c r="N19" s="216" t="str">
        <f>IF(N$3="","",IF(COUNTIFS(BD!$A$3:$A$5001,N$3,BD!$B$3:$B$5001,$A$5,BD!$AD$3:$AD$5001,"&lt;&gt;")=0,"",SUMIFS(BD!$AD$3:$AD$5001,BD!$A$3:$A$5001,N$3,BD!$B$3:$B$5001,$A$5)))</f>
        <v/>
      </c>
      <c r="O19" s="216" t="str">
        <f>IF(O$3="","",IF(COUNTIFS(BD!$A$3:$A$5001,O$3,BD!$B$3:$B$5001,$A$5,BD!$AD$3:$AD$5001,"&lt;&gt;")=0,"",SUMIFS(BD!$AD$3:$AD$5001,BD!$A$3:$A$5001,O$3,BD!$B$3:$B$5001,$A$5)))</f>
        <v/>
      </c>
      <c r="P19" s="216" t="str">
        <f>IF(P$3="","",IF(COUNTIFS(BD!$A$3:$A$5001,P$3,BD!$B$3:$B$5001,$A$5,BD!$AD$3:$AD$5001,"&lt;&gt;")=0,"",SUMIFS(BD!$AD$3:$AD$5001,BD!$A$3:$A$5001,P$3,BD!$B$3:$B$5001,$A$5)))</f>
        <v/>
      </c>
      <c r="Q19" s="216" t="str">
        <f>IF(Q$3="","",IF(COUNTIFS(BD!$A$3:$A$5001,Q$3,BD!$B$3:$B$5001,$A$5,BD!$AD$3:$AD$5001,"&lt;&gt;")=0,"",SUMIFS(BD!$AD$3:$AD$5001,BD!$A$3:$A$5001,Q$3,BD!$B$3:$B$5001,$A$5)))</f>
        <v/>
      </c>
      <c r="R19" s="216" t="str">
        <f>IF(R$3="","",IF(COUNTIFS(BD!$A$3:$A$5001,R$3,BD!$B$3:$B$5001,$A$5,BD!$AD$3:$AD$5001,"&lt;&gt;")=0,"",SUMIFS(BD!$AD$3:$AD$5001,BD!$A$3:$A$5001,R$3,BD!$B$3:$B$5001,$A$5)))</f>
        <v/>
      </c>
      <c r="S19" s="216" t="str">
        <f>IF(S$3="","",IF(COUNTIFS(BD!$A$3:$A$5001,S$3,BD!$B$3:$B$5001,$A$5,BD!$AD$3:$AD$5001,"&lt;&gt;")=0,"",SUMIFS(BD!$AD$3:$AD$5001,BD!$A$3:$A$5001,S$3,BD!$B$3:$B$5001,$A$5)))</f>
        <v/>
      </c>
      <c r="T19" s="216" t="str">
        <f>IF(T$3="","",IF(COUNTIFS(BD!$A$3:$A$5001,T$3,BD!$B$3:$B$5001,$A$5,BD!$AD$3:$AD$5001,"&lt;&gt;")=0,"",SUMIFS(BD!$AD$3:$AD$5001,BD!$A$3:$A$5001,T$3,BD!$B$3:$B$5001,$A$5)))</f>
        <v/>
      </c>
      <c r="U19" s="216" t="str">
        <f>IF(U$3="","",IF(COUNTIFS(BD!$A$3:$A$5001,U$3,BD!$B$3:$B$5001,$A$5,BD!$AD$3:$AD$5001,"&lt;&gt;")=0,"",SUMIFS(BD!$AD$3:$AD$5001,BD!$A$3:$A$5001,U$3,BD!$B$3:$B$5001,$A$5)))</f>
        <v/>
      </c>
      <c r="V19" s="216" t="str">
        <f>IF(V$3="","",IF(COUNTIFS(BD!$A$3:$A$5001,V$3,BD!$B$3:$B$5001,$A$5,BD!$AD$3:$AD$5001,"&lt;&gt;")=0,"",SUMIFS(BD!$AD$3:$AD$5001,BD!$A$3:$A$5001,V$3,BD!$B$3:$B$5001,$A$5)))</f>
        <v/>
      </c>
      <c r="W19" s="216" t="str">
        <f>IF(W$3="","",IF(COUNTIFS(BD!$A$3:$A$5001,W$3,BD!$B$3:$B$5001,$A$5,BD!$AD$3:$AD$5001,"&lt;&gt;")=0,"",SUMIFS(BD!$AD$3:$AD$5001,BD!$A$3:$A$5001,W$3,BD!$B$3:$B$5001,$A$5)))</f>
        <v/>
      </c>
      <c r="X19" s="216" t="str">
        <f>IF(X$3="","",IF(COUNTIFS(BD!$A$3:$A$5001,X$3,BD!$B$3:$B$5001,$A$5,BD!$AD$3:$AD$5001,"&lt;&gt;")=0,"",SUMIFS(BD!$AD$3:$AD$5001,BD!$A$3:$A$5001,X$3,BD!$B$3:$B$5001,$A$5)))</f>
        <v/>
      </c>
      <c r="Y19" s="216" t="str">
        <f>IF(Y$3="","",IF(COUNTIFS(BD!$A$3:$A$5001,Y$3,BD!$B$3:$B$5001,$A$5,BD!$AD$3:$AD$5001,"&lt;&gt;")=0,"",SUMIFS(BD!$AD$3:$AD$5001,BD!$A$3:$A$5001,Y$3,BD!$B$3:$B$5001,$A$5)))</f>
        <v/>
      </c>
      <c r="Z19" s="216" t="str">
        <f>IF(Z$3="","",IF(COUNTIFS(BD!$A$3:$A$5001,Z$3,BD!$B$3:$B$5001,$A$5,BD!$AD$3:$AD$5001,"&lt;&gt;")=0,"",SUMIFS(BD!$AD$3:$AD$5001,BD!$A$3:$A$5001,Z$3,BD!$B$3:$B$5001,$A$5)))</f>
        <v/>
      </c>
      <c r="AA19" s="216" t="str">
        <f>IF(AA$3="","",IF(COUNTIFS(BD!$A$3:$A$5001,AA$3,BD!$B$3:$B$5001,$A$5,BD!$AD$3:$AD$5001,"&lt;&gt;")=0,"",SUMIFS(BD!$AD$3:$AD$5001,BD!$A$3:$A$5001,AA$3,BD!$B$3:$B$5001,$A$5)))</f>
        <v/>
      </c>
      <c r="AB19" s="216" t="str">
        <f>IF(AB$3="","",IF(COUNTIFS(BD!$A$3:$A$5001,AB$3,BD!$B$3:$B$5001,$A$5,BD!$AD$3:$AD$5001,"&lt;&gt;")=0,"",SUMIFS(BD!$AD$3:$AD$5001,BD!$A$3:$A$5001,AB$3,BD!$B$3:$B$5001,$A$5)))</f>
        <v/>
      </c>
      <c r="AC19" s="216" t="str">
        <f>IF(AC$3="","",IF(COUNTIFS(BD!$A$3:$A$5001,AC$3,BD!$B$3:$B$5001,$A$5,BD!$AD$3:$AD$5001,"&lt;&gt;")=0,"",SUMIFS(BD!$AD$3:$AD$5001,BD!$A$3:$A$5001,AC$3,BD!$B$3:$B$5001,$A$5)))</f>
        <v/>
      </c>
      <c r="AD19" s="216" t="str">
        <f>IF(AD$3="","",IF(COUNTIFS(BD!$A$3:$A$5001,AD$3,BD!$B$3:$B$5001,$A$5,BD!$AD$3:$AD$5001,"&lt;&gt;")=0,"",SUMIFS(BD!$AD$3:$AD$5001,BD!$A$3:$A$5001,AD$3,BD!$B$3:$B$5001,$A$5)))</f>
        <v/>
      </c>
      <c r="AE19" s="216" t="str">
        <f>IF(AE$3="","",IF(COUNTIFS(BD!$A$3:$A$5001,AE$3,BD!$B$3:$B$5001,$A$5,BD!$AD$3:$AD$5001,"&lt;&gt;")=0,"",SUMIFS(BD!$AD$3:$AD$5001,BD!$A$3:$A$5001,AE$3,BD!$B$3:$B$5001,$A$5)))</f>
        <v/>
      </c>
      <c r="AF19" s="216" t="str">
        <f>IF(AF$3="","",IF(COUNTIFS(BD!$A$3:$A$5001,AF$3,BD!$B$3:$B$5001,$A$5,BD!$AD$3:$AD$5001,"&lt;&gt;")=0,"",SUMIFS(BD!$AD$3:$AD$5001,BD!$A$3:$A$5001,AF$3,BD!$B$3:$B$5001,$A$5)))</f>
        <v/>
      </c>
      <c r="AG19" s="216" t="str">
        <f>IF(AG$3="","",IF(COUNTIFS(BD!$A$3:$A$5001,AG$3,BD!$B$3:$B$5001,$A$5,BD!$AD$3:$AD$5001,"&lt;&gt;")=0,"",SUMIFS(BD!$AD$3:$AD$5001,BD!$A$3:$A$5001,AG$3,BD!$B$3:$B$5001,$A$5)))</f>
        <v/>
      </c>
      <c r="AH19" s="216" t="str">
        <f>IF(AH$3="","",IF(COUNTIFS(BD!$A$3:$A$5001,AH$3,BD!$B$3:$B$5001,$A$5,BD!$AD$3:$AD$5001,"&lt;&gt;")=0,"",SUMIFS(BD!$AD$3:$AD$5001,BD!$A$3:$A$5001,AH$3,BD!$B$3:$B$5001,$A$5)))</f>
        <v/>
      </c>
      <c r="AI19" s="216" t="str">
        <f>IF(AI$3="","",IF(COUNTIFS(BD!$A$3:$A$5001,AI$3,BD!$B$3:$B$5001,$A$5,BD!$AD$3:$AD$5001,"&lt;&gt;")=0,"",SUMIFS(BD!$AD$3:$AD$5001,BD!$A$3:$A$5001,AI$3,BD!$B$3:$B$5001,$A$5)))</f>
        <v/>
      </c>
      <c r="AJ19" s="217" t="str">
        <f>IF(AJ$3="","",IF(COUNTIFS(BD!$A$3:$A$5001,AJ$3,BD!$B$3:$B$5001,$A$5,BD!$AD$3:$AD$5001,"&lt;&gt;")=0,"",SUMIFS(BD!$AD$3:$AD$5001,BD!$A$3:$A$5001,AJ$3,BD!$B$3:$B$5001,$A$5)))</f>
        <v/>
      </c>
      <c r="AK19" s="218" t="str">
        <f>IF(COUNT(F19:AJ19)=0,"",SUM(F19:AJ19))</f>
        <v/>
      </c>
    </row>
    <row r="20" ht="15.75" customHeight="1">
      <c r="A20" s="237"/>
      <c r="B20" s="234"/>
      <c r="C20" s="212" t="inlineStr">
        <is>
          <t xml:space="preserve">Desvios Comportamentais</t>
        </is>
      </c>
      <c r="D20" s="213" t="str">
        <f>IFERROR(1/(1/INDEX(BD!$AK$52:$AU$52,MATCH($A$5,BD!$AK$22:$AU$22,0))),"")</f>
        <v/>
      </c>
      <c r="E20" s="214"/>
      <c r="F20" s="215" t="str">
        <f>IF(F$3="","",IF(COUNTIFS(BD!$A$3:$A$5001,F$3,BD!$B$3:$B$5001,$A$5,BD!$AE$3:$AE$5001,"&lt;&gt;")=0,"",SUMIFS(BD!$AE$3:$AE$5001,BD!$A$3:$A$5001,F$3,BD!$B$3:$B$5001,$A$5)))</f>
        <v/>
      </c>
      <c r="G20" s="216" t="str">
        <f>IF(G$3="","",IF(COUNTIFS(BD!$A$3:$A$5001,G$3,BD!$B$3:$B$5001,$A$5,BD!$AE$3:$AE$5001,"&lt;&gt;")=0,"",SUMIFS(BD!$AE$3:$AE$5001,BD!$A$3:$A$5001,G$3,BD!$B$3:$B$5001,$A$5)))</f>
        <v/>
      </c>
      <c r="H20" s="216" t="str">
        <f>IF(H$3="","",IF(COUNTIFS(BD!$A$3:$A$5001,H$3,BD!$B$3:$B$5001,$A$5,BD!$AE$3:$AE$5001,"&lt;&gt;")=0,"",SUMIFS(BD!$AE$3:$AE$5001,BD!$A$3:$A$5001,H$3,BD!$B$3:$B$5001,$A$5)))</f>
        <v/>
      </c>
      <c r="I20" s="216" t="str">
        <f>IF(I$3="","",IF(COUNTIFS(BD!$A$3:$A$5001,I$3,BD!$B$3:$B$5001,$A$5,BD!$AE$3:$AE$5001,"&lt;&gt;")=0,"",SUMIFS(BD!$AE$3:$AE$5001,BD!$A$3:$A$5001,I$3,BD!$B$3:$B$5001,$A$5)))</f>
        <v/>
      </c>
      <c r="J20" s="216" t="str">
        <f>IF(J$3="","",IF(COUNTIFS(BD!$A$3:$A$5001,J$3,BD!$B$3:$B$5001,$A$5,BD!$AE$3:$AE$5001,"&lt;&gt;")=0,"",SUMIFS(BD!$AE$3:$AE$5001,BD!$A$3:$A$5001,J$3,BD!$B$3:$B$5001,$A$5)))</f>
        <v/>
      </c>
      <c r="K20" s="216" t="str">
        <f>IF(K$3="","",IF(COUNTIFS(BD!$A$3:$A$5001,K$3,BD!$B$3:$B$5001,$A$5,BD!$AE$3:$AE$5001,"&lt;&gt;")=0,"",SUMIFS(BD!$AE$3:$AE$5001,BD!$A$3:$A$5001,K$3,BD!$B$3:$B$5001,$A$5)))</f>
        <v/>
      </c>
      <c r="L20" s="216" t="str">
        <f>IF(L$3="","",IF(COUNTIFS(BD!$A$3:$A$5001,L$3,BD!$B$3:$B$5001,$A$5,BD!$AE$3:$AE$5001,"&lt;&gt;")=0,"",SUMIFS(BD!$AE$3:$AE$5001,BD!$A$3:$A$5001,L$3,BD!$B$3:$B$5001,$A$5)))</f>
        <v/>
      </c>
      <c r="M20" s="216" t="str">
        <f>IF(M$3="","",IF(COUNTIFS(BD!$A$3:$A$5001,M$3,BD!$B$3:$B$5001,$A$5,BD!$AE$3:$AE$5001,"&lt;&gt;")=0,"",SUMIFS(BD!$AE$3:$AE$5001,BD!$A$3:$A$5001,M$3,BD!$B$3:$B$5001,$A$5)))</f>
        <v/>
      </c>
      <c r="N20" s="216" t="str">
        <f>IF(N$3="","",IF(COUNTIFS(BD!$A$3:$A$5001,N$3,BD!$B$3:$B$5001,$A$5,BD!$AE$3:$AE$5001,"&lt;&gt;")=0,"",SUMIFS(BD!$AE$3:$AE$5001,BD!$A$3:$A$5001,N$3,BD!$B$3:$B$5001,$A$5)))</f>
        <v/>
      </c>
      <c r="O20" s="216" t="str">
        <f>IF(O$3="","",IF(COUNTIFS(BD!$A$3:$A$5001,O$3,BD!$B$3:$B$5001,$A$5,BD!$AE$3:$AE$5001,"&lt;&gt;")=0,"",SUMIFS(BD!$AE$3:$AE$5001,BD!$A$3:$A$5001,O$3,BD!$B$3:$B$5001,$A$5)))</f>
        <v/>
      </c>
      <c r="P20" s="216" t="str">
        <f>IF(P$3="","",IF(COUNTIFS(BD!$A$3:$A$5001,P$3,BD!$B$3:$B$5001,$A$5,BD!$AE$3:$AE$5001,"&lt;&gt;")=0,"",SUMIFS(BD!$AE$3:$AE$5001,BD!$A$3:$A$5001,P$3,BD!$B$3:$B$5001,$A$5)))</f>
        <v/>
      </c>
      <c r="Q20" s="216" t="str">
        <f>IF(Q$3="","",IF(COUNTIFS(BD!$A$3:$A$5001,Q$3,BD!$B$3:$B$5001,$A$5,BD!$AE$3:$AE$5001,"&lt;&gt;")=0,"",SUMIFS(BD!$AE$3:$AE$5001,BD!$A$3:$A$5001,Q$3,BD!$B$3:$B$5001,$A$5)))</f>
        <v/>
      </c>
      <c r="R20" s="216" t="str">
        <f>IF(R$3="","",IF(COUNTIFS(BD!$A$3:$A$5001,R$3,BD!$B$3:$B$5001,$A$5,BD!$AE$3:$AE$5001,"&lt;&gt;")=0,"",SUMIFS(BD!$AE$3:$AE$5001,BD!$A$3:$A$5001,R$3,BD!$B$3:$B$5001,$A$5)))</f>
        <v/>
      </c>
      <c r="S20" s="216" t="str">
        <f>IF(S$3="","",IF(COUNTIFS(BD!$A$3:$A$5001,S$3,BD!$B$3:$B$5001,$A$5,BD!$AE$3:$AE$5001,"&lt;&gt;")=0,"",SUMIFS(BD!$AE$3:$AE$5001,BD!$A$3:$A$5001,S$3,BD!$B$3:$B$5001,$A$5)))</f>
        <v/>
      </c>
      <c r="T20" s="216" t="str">
        <f>IF(T$3="","",IF(COUNTIFS(BD!$A$3:$A$5001,T$3,BD!$B$3:$B$5001,$A$5,BD!$AE$3:$AE$5001,"&lt;&gt;")=0,"",SUMIFS(BD!$AE$3:$AE$5001,BD!$A$3:$A$5001,T$3,BD!$B$3:$B$5001,$A$5)))</f>
        <v/>
      </c>
      <c r="U20" s="216" t="str">
        <f>IF(U$3="","",IF(COUNTIFS(BD!$A$3:$A$5001,U$3,BD!$B$3:$B$5001,$A$5,BD!$AE$3:$AE$5001,"&lt;&gt;")=0,"",SUMIFS(BD!$AE$3:$AE$5001,BD!$A$3:$A$5001,U$3,BD!$B$3:$B$5001,$A$5)))</f>
        <v/>
      </c>
      <c r="V20" s="216" t="str">
        <f>IF(V$3="","",IF(COUNTIFS(BD!$A$3:$A$5001,V$3,BD!$B$3:$B$5001,$A$5,BD!$AE$3:$AE$5001,"&lt;&gt;")=0,"",SUMIFS(BD!$AE$3:$AE$5001,BD!$A$3:$A$5001,V$3,BD!$B$3:$B$5001,$A$5)))</f>
        <v/>
      </c>
      <c r="W20" s="216" t="str">
        <f>IF(W$3="","",IF(COUNTIFS(BD!$A$3:$A$5001,W$3,BD!$B$3:$B$5001,$A$5,BD!$AE$3:$AE$5001,"&lt;&gt;")=0,"",SUMIFS(BD!$AE$3:$AE$5001,BD!$A$3:$A$5001,W$3,BD!$B$3:$B$5001,$A$5)))</f>
        <v/>
      </c>
      <c r="X20" s="216" t="str">
        <f>IF(X$3="","",IF(COUNTIFS(BD!$A$3:$A$5001,X$3,BD!$B$3:$B$5001,$A$5,BD!$AE$3:$AE$5001,"&lt;&gt;")=0,"",SUMIFS(BD!$AE$3:$AE$5001,BD!$A$3:$A$5001,X$3,BD!$B$3:$B$5001,$A$5)))</f>
        <v/>
      </c>
      <c r="Y20" s="216" t="str">
        <f>IF(Y$3="","",IF(COUNTIFS(BD!$A$3:$A$5001,Y$3,BD!$B$3:$B$5001,$A$5,BD!$AE$3:$AE$5001,"&lt;&gt;")=0,"",SUMIFS(BD!$AE$3:$AE$5001,BD!$A$3:$A$5001,Y$3,BD!$B$3:$B$5001,$A$5)))</f>
        <v/>
      </c>
      <c r="Z20" s="216" t="str">
        <f>IF(Z$3="","",IF(COUNTIFS(BD!$A$3:$A$5001,Z$3,BD!$B$3:$B$5001,$A$5,BD!$AE$3:$AE$5001,"&lt;&gt;")=0,"",SUMIFS(BD!$AE$3:$AE$5001,BD!$A$3:$A$5001,Z$3,BD!$B$3:$B$5001,$A$5)))</f>
        <v/>
      </c>
      <c r="AA20" s="216" t="str">
        <f>IF(AA$3="","",IF(COUNTIFS(BD!$A$3:$A$5001,AA$3,BD!$B$3:$B$5001,$A$5,BD!$AE$3:$AE$5001,"&lt;&gt;")=0,"",SUMIFS(BD!$AE$3:$AE$5001,BD!$A$3:$A$5001,AA$3,BD!$B$3:$B$5001,$A$5)))</f>
        <v/>
      </c>
      <c r="AB20" s="216" t="str">
        <f>IF(AB$3="","",IF(COUNTIFS(BD!$A$3:$A$5001,AB$3,BD!$B$3:$B$5001,$A$5,BD!$AE$3:$AE$5001,"&lt;&gt;")=0,"",SUMIFS(BD!$AE$3:$AE$5001,BD!$A$3:$A$5001,AB$3,BD!$B$3:$B$5001,$A$5)))</f>
        <v/>
      </c>
      <c r="AC20" s="216" t="str">
        <f>IF(AC$3="","",IF(COUNTIFS(BD!$A$3:$A$5001,AC$3,BD!$B$3:$B$5001,$A$5,BD!$AE$3:$AE$5001,"&lt;&gt;")=0,"",SUMIFS(BD!$AE$3:$AE$5001,BD!$A$3:$A$5001,AC$3,BD!$B$3:$B$5001,$A$5)))</f>
        <v/>
      </c>
      <c r="AD20" s="216" t="str">
        <f>IF(AD$3="","",IF(COUNTIFS(BD!$A$3:$A$5001,AD$3,BD!$B$3:$B$5001,$A$5,BD!$AE$3:$AE$5001,"&lt;&gt;")=0,"",SUMIFS(BD!$AE$3:$AE$5001,BD!$A$3:$A$5001,AD$3,BD!$B$3:$B$5001,$A$5)))</f>
        <v/>
      </c>
      <c r="AE20" s="216" t="str">
        <f>IF(AE$3="","",IF(COUNTIFS(BD!$A$3:$A$5001,AE$3,BD!$B$3:$B$5001,$A$5,BD!$AE$3:$AE$5001,"&lt;&gt;")=0,"",SUMIFS(BD!$AE$3:$AE$5001,BD!$A$3:$A$5001,AE$3,BD!$B$3:$B$5001,$A$5)))</f>
        <v/>
      </c>
      <c r="AF20" s="216" t="str">
        <f>IF(AF$3="","",IF(COUNTIFS(BD!$A$3:$A$5001,AF$3,BD!$B$3:$B$5001,$A$5,BD!$AE$3:$AE$5001,"&lt;&gt;")=0,"",SUMIFS(BD!$AE$3:$AE$5001,BD!$A$3:$A$5001,AF$3,BD!$B$3:$B$5001,$A$5)))</f>
        <v/>
      </c>
      <c r="AG20" s="216" t="str">
        <f>IF(AG$3="","",IF(COUNTIFS(BD!$A$3:$A$5001,AG$3,BD!$B$3:$B$5001,$A$5,BD!$AE$3:$AE$5001,"&lt;&gt;")=0,"",SUMIFS(BD!$AE$3:$AE$5001,BD!$A$3:$A$5001,AG$3,BD!$B$3:$B$5001,$A$5)))</f>
        <v/>
      </c>
      <c r="AH20" s="216" t="str">
        <f>IF(AH$3="","",IF(COUNTIFS(BD!$A$3:$A$5001,AH$3,BD!$B$3:$B$5001,$A$5,BD!$AE$3:$AE$5001,"&lt;&gt;")=0,"",SUMIFS(BD!$AE$3:$AE$5001,BD!$A$3:$A$5001,AH$3,BD!$B$3:$B$5001,$A$5)))</f>
        <v/>
      </c>
      <c r="AI20" s="216" t="str">
        <f>IF(AI$3="","",IF(COUNTIFS(BD!$A$3:$A$5001,AI$3,BD!$B$3:$B$5001,$A$5,BD!$AE$3:$AE$5001,"&lt;&gt;")=0,"",SUMIFS(BD!$AE$3:$AE$5001,BD!$A$3:$A$5001,AI$3,BD!$B$3:$B$5001,$A$5)))</f>
        <v/>
      </c>
      <c r="AJ20" s="217" t="str">
        <f>IF(AJ$3="","",IF(COUNTIFS(BD!$A$3:$A$5001,AJ$3,BD!$B$3:$B$5001,$A$5,BD!$AE$3:$AE$5001,"&lt;&gt;")=0,"",SUMIFS(BD!$AE$3:$AE$5001,BD!$A$3:$A$5001,AJ$3,BD!$B$3:$B$5001,$A$5)))</f>
        <v/>
      </c>
      <c r="AK20" s="218" t="str">
        <f>IF(COUNT(F20:AJ20)=0,"",SUM(F20:AJ20))</f>
        <v/>
      </c>
    </row>
    <row r="21" ht="15.75" customHeight="1">
      <c r="A21" s="237"/>
      <c r="B21" s="234"/>
      <c r="C21" s="212" t="inlineStr">
        <is>
          <t xml:space="preserve">Acidentes CAF</t>
        </is>
      </c>
      <c r="D21" s="213" t="str">
        <f>IFERROR(1/(1/INDEX(BD!$AK$53:$AU$53,MATCH($A$5,BD!$AK$22:$AU$22,0))),"")</f>
        <v/>
      </c>
      <c r="E21" s="214"/>
      <c r="F21" s="215" t="str">
        <f>IF(F$3="","",IF(COUNTIFS(BD!$A$3:$A$5001,F$3,BD!$B$3:$B$5001,$A$5,BD!$AF$3:$AF$5001,"&lt;&gt;")=0,"",SUMIFS(BD!$AF$3:$AF$5001,BD!$A$3:$A$5001,F$3,BD!$B$3:$B$5001,$A$5)))</f>
        <v/>
      </c>
      <c r="G21" s="216" t="str">
        <f>IF(G$3="","",IF(COUNTIFS(BD!$A$3:$A$5001,G$3,BD!$B$3:$B$5001,$A$5,BD!$AF$3:$AF$5001,"&lt;&gt;")=0,"",SUMIFS(BD!$AF$3:$AF$5001,BD!$A$3:$A$5001,G$3,BD!$B$3:$B$5001,$A$5)))</f>
        <v/>
      </c>
      <c r="H21" s="216" t="str">
        <f>IF(H$3="","",IF(COUNTIFS(BD!$A$3:$A$5001,H$3,BD!$B$3:$B$5001,$A$5,BD!$AF$3:$AF$5001,"&lt;&gt;")=0,"",SUMIFS(BD!$AF$3:$AF$5001,BD!$A$3:$A$5001,H$3,BD!$B$3:$B$5001,$A$5)))</f>
        <v/>
      </c>
      <c r="I21" s="216" t="str">
        <f>IF(I$3="","",IF(COUNTIFS(BD!$A$3:$A$5001,I$3,BD!$B$3:$B$5001,$A$5,BD!$AF$3:$AF$5001,"&lt;&gt;")=0,"",SUMIFS(BD!$AF$3:$AF$5001,BD!$A$3:$A$5001,I$3,BD!$B$3:$B$5001,$A$5)))</f>
        <v/>
      </c>
      <c r="J21" s="216" t="str">
        <f>IF(J$3="","",IF(COUNTIFS(BD!$A$3:$A$5001,J$3,BD!$B$3:$B$5001,$A$5,BD!$AF$3:$AF$5001,"&lt;&gt;")=0,"",SUMIFS(BD!$AF$3:$AF$5001,BD!$A$3:$A$5001,J$3,BD!$B$3:$B$5001,$A$5)))</f>
        <v/>
      </c>
      <c r="K21" s="216" t="str">
        <f>IF(K$3="","",IF(COUNTIFS(BD!$A$3:$A$5001,K$3,BD!$B$3:$B$5001,$A$5,BD!$AF$3:$AF$5001,"&lt;&gt;")=0,"",SUMIFS(BD!$AF$3:$AF$5001,BD!$A$3:$A$5001,K$3,BD!$B$3:$B$5001,$A$5)))</f>
        <v/>
      </c>
      <c r="L21" s="216" t="str">
        <f>IF(L$3="","",IF(COUNTIFS(BD!$A$3:$A$5001,L$3,BD!$B$3:$B$5001,$A$5,BD!$AF$3:$AF$5001,"&lt;&gt;")=0,"",SUMIFS(BD!$AF$3:$AF$5001,BD!$A$3:$A$5001,L$3,BD!$B$3:$B$5001,$A$5)))</f>
        <v/>
      </c>
      <c r="M21" s="216" t="str">
        <f>IF(M$3="","",IF(COUNTIFS(BD!$A$3:$A$5001,M$3,BD!$B$3:$B$5001,$A$5,BD!$AF$3:$AF$5001,"&lt;&gt;")=0,"",SUMIFS(BD!$AF$3:$AF$5001,BD!$A$3:$A$5001,M$3,BD!$B$3:$B$5001,$A$5)))</f>
        <v/>
      </c>
      <c r="N21" s="216" t="str">
        <f>IF(N$3="","",IF(COUNTIFS(BD!$A$3:$A$5001,N$3,BD!$B$3:$B$5001,$A$5,BD!$AF$3:$AF$5001,"&lt;&gt;")=0,"",SUMIFS(BD!$AF$3:$AF$5001,BD!$A$3:$A$5001,N$3,BD!$B$3:$B$5001,$A$5)))</f>
        <v/>
      </c>
      <c r="O21" s="216" t="str">
        <f>IF(O$3="","",IF(COUNTIFS(BD!$A$3:$A$5001,O$3,BD!$B$3:$B$5001,$A$5,BD!$AF$3:$AF$5001,"&lt;&gt;")=0,"",SUMIFS(BD!$AF$3:$AF$5001,BD!$A$3:$A$5001,O$3,BD!$B$3:$B$5001,$A$5)))</f>
        <v/>
      </c>
      <c r="P21" s="216" t="str">
        <f>IF(P$3="","",IF(COUNTIFS(BD!$A$3:$A$5001,P$3,BD!$B$3:$B$5001,$A$5,BD!$AF$3:$AF$5001,"&lt;&gt;")=0,"",SUMIFS(BD!$AF$3:$AF$5001,BD!$A$3:$A$5001,P$3,BD!$B$3:$B$5001,$A$5)))</f>
        <v/>
      </c>
      <c r="Q21" s="216" t="str">
        <f>IF(Q$3="","",IF(COUNTIFS(BD!$A$3:$A$5001,Q$3,BD!$B$3:$B$5001,$A$5,BD!$AF$3:$AF$5001,"&lt;&gt;")=0,"",SUMIFS(BD!$AF$3:$AF$5001,BD!$A$3:$A$5001,Q$3,BD!$B$3:$B$5001,$A$5)))</f>
        <v/>
      </c>
      <c r="R21" s="216" t="str">
        <f>IF(R$3="","",IF(COUNTIFS(BD!$A$3:$A$5001,R$3,BD!$B$3:$B$5001,$A$5,BD!$AF$3:$AF$5001,"&lt;&gt;")=0,"",SUMIFS(BD!$AF$3:$AF$5001,BD!$A$3:$A$5001,R$3,BD!$B$3:$B$5001,$A$5)))</f>
        <v/>
      </c>
      <c r="S21" s="216" t="str">
        <f>IF(S$3="","",IF(COUNTIFS(BD!$A$3:$A$5001,S$3,BD!$B$3:$B$5001,$A$5,BD!$AF$3:$AF$5001,"&lt;&gt;")=0,"",SUMIFS(BD!$AF$3:$AF$5001,BD!$A$3:$A$5001,S$3,BD!$B$3:$B$5001,$A$5)))</f>
        <v/>
      </c>
      <c r="T21" s="216" t="str">
        <f>IF(T$3="","",IF(COUNTIFS(BD!$A$3:$A$5001,T$3,BD!$B$3:$B$5001,$A$5,BD!$AF$3:$AF$5001,"&lt;&gt;")=0,"",SUMIFS(BD!$AF$3:$AF$5001,BD!$A$3:$A$5001,T$3,BD!$B$3:$B$5001,$A$5)))</f>
        <v/>
      </c>
      <c r="U21" s="216" t="str">
        <f>IF(U$3="","",IF(COUNTIFS(BD!$A$3:$A$5001,U$3,BD!$B$3:$B$5001,$A$5,BD!$AF$3:$AF$5001,"&lt;&gt;")=0,"",SUMIFS(BD!$AF$3:$AF$5001,BD!$A$3:$A$5001,U$3,BD!$B$3:$B$5001,$A$5)))</f>
        <v/>
      </c>
      <c r="V21" s="216" t="str">
        <f>IF(V$3="","",IF(COUNTIFS(BD!$A$3:$A$5001,V$3,BD!$B$3:$B$5001,$A$5,BD!$AF$3:$AF$5001,"&lt;&gt;")=0,"",SUMIFS(BD!$AF$3:$AF$5001,BD!$A$3:$A$5001,V$3,BD!$B$3:$B$5001,$A$5)))</f>
        <v/>
      </c>
      <c r="W21" s="216" t="str">
        <f>IF(W$3="","",IF(COUNTIFS(BD!$A$3:$A$5001,W$3,BD!$B$3:$B$5001,$A$5,BD!$AF$3:$AF$5001,"&lt;&gt;")=0,"",SUMIFS(BD!$AF$3:$AF$5001,BD!$A$3:$A$5001,W$3,BD!$B$3:$B$5001,$A$5)))</f>
        <v/>
      </c>
      <c r="X21" s="216" t="str">
        <f>IF(X$3="","",IF(COUNTIFS(BD!$A$3:$A$5001,X$3,BD!$B$3:$B$5001,$A$5,BD!$AF$3:$AF$5001,"&lt;&gt;")=0,"",SUMIFS(BD!$AF$3:$AF$5001,BD!$A$3:$A$5001,X$3,BD!$B$3:$B$5001,$A$5)))</f>
        <v/>
      </c>
      <c r="Y21" s="216" t="str">
        <f>IF(Y$3="","",IF(COUNTIFS(BD!$A$3:$A$5001,Y$3,BD!$B$3:$B$5001,$A$5,BD!$AF$3:$AF$5001,"&lt;&gt;")=0,"",SUMIFS(BD!$AF$3:$AF$5001,BD!$A$3:$A$5001,Y$3,BD!$B$3:$B$5001,$A$5)))</f>
        <v/>
      </c>
      <c r="Z21" s="216" t="str">
        <f>IF(Z$3="","",IF(COUNTIFS(BD!$A$3:$A$5001,Z$3,BD!$B$3:$B$5001,$A$5,BD!$AF$3:$AF$5001,"&lt;&gt;")=0,"",SUMIFS(BD!$AF$3:$AF$5001,BD!$A$3:$A$5001,Z$3,BD!$B$3:$B$5001,$A$5)))</f>
        <v/>
      </c>
      <c r="AA21" s="216" t="str">
        <f>IF(AA$3="","",IF(COUNTIFS(BD!$A$3:$A$5001,AA$3,BD!$B$3:$B$5001,$A$5,BD!$AF$3:$AF$5001,"&lt;&gt;")=0,"",SUMIFS(BD!$AF$3:$AF$5001,BD!$A$3:$A$5001,AA$3,BD!$B$3:$B$5001,$A$5)))</f>
        <v/>
      </c>
      <c r="AB21" s="216" t="str">
        <f>IF(AB$3="","",IF(COUNTIFS(BD!$A$3:$A$5001,AB$3,BD!$B$3:$B$5001,$A$5,BD!$AF$3:$AF$5001,"&lt;&gt;")=0,"",SUMIFS(BD!$AF$3:$AF$5001,BD!$A$3:$A$5001,AB$3,BD!$B$3:$B$5001,$A$5)))</f>
        <v/>
      </c>
      <c r="AC21" s="216" t="str">
        <f>IF(AC$3="","",IF(COUNTIFS(BD!$A$3:$A$5001,AC$3,BD!$B$3:$B$5001,$A$5,BD!$AF$3:$AF$5001,"&lt;&gt;")=0,"",SUMIFS(BD!$AF$3:$AF$5001,BD!$A$3:$A$5001,AC$3,BD!$B$3:$B$5001,$A$5)))</f>
        <v/>
      </c>
      <c r="AD21" s="216" t="str">
        <f>IF(AD$3="","",IF(COUNTIFS(BD!$A$3:$A$5001,AD$3,BD!$B$3:$B$5001,$A$5,BD!$AF$3:$AF$5001,"&lt;&gt;")=0,"",SUMIFS(BD!$AF$3:$AF$5001,BD!$A$3:$A$5001,AD$3,BD!$B$3:$B$5001,$A$5)))</f>
        <v/>
      </c>
      <c r="AE21" s="216" t="str">
        <f>IF(AE$3="","",IF(COUNTIFS(BD!$A$3:$A$5001,AE$3,BD!$B$3:$B$5001,$A$5,BD!$AF$3:$AF$5001,"&lt;&gt;")=0,"",SUMIFS(BD!$AF$3:$AF$5001,BD!$A$3:$A$5001,AE$3,BD!$B$3:$B$5001,$A$5)))</f>
        <v/>
      </c>
      <c r="AF21" s="216" t="str">
        <f>IF(AF$3="","",IF(COUNTIFS(BD!$A$3:$A$5001,AF$3,BD!$B$3:$B$5001,$A$5,BD!$AF$3:$AF$5001,"&lt;&gt;")=0,"",SUMIFS(BD!$AF$3:$AF$5001,BD!$A$3:$A$5001,AF$3,BD!$B$3:$B$5001,$A$5)))</f>
        <v/>
      </c>
      <c r="AG21" s="216" t="str">
        <f>IF(AG$3="","",IF(COUNTIFS(BD!$A$3:$A$5001,AG$3,BD!$B$3:$B$5001,$A$5,BD!$AF$3:$AF$5001,"&lt;&gt;")=0,"",SUMIFS(BD!$AF$3:$AF$5001,BD!$A$3:$A$5001,AG$3,BD!$B$3:$B$5001,$A$5)))</f>
        <v/>
      </c>
      <c r="AH21" s="216" t="str">
        <f>IF(AH$3="","",IF(COUNTIFS(BD!$A$3:$A$5001,AH$3,BD!$B$3:$B$5001,$A$5,BD!$AF$3:$AF$5001,"&lt;&gt;")=0,"",SUMIFS(BD!$AF$3:$AF$5001,BD!$A$3:$A$5001,AH$3,BD!$B$3:$B$5001,$A$5)))</f>
        <v/>
      </c>
      <c r="AI21" s="216" t="str">
        <f>IF(AI$3="","",IF(COUNTIFS(BD!$A$3:$A$5001,AI$3,BD!$B$3:$B$5001,$A$5,BD!$AF$3:$AF$5001,"&lt;&gt;")=0,"",SUMIFS(BD!$AF$3:$AF$5001,BD!$A$3:$A$5001,AI$3,BD!$B$3:$B$5001,$A$5)))</f>
        <v/>
      </c>
      <c r="AJ21" s="217" t="str">
        <f>IF(AJ$3="","",IF(COUNTIFS(BD!$A$3:$A$5001,AJ$3,BD!$B$3:$B$5001,$A$5,BD!$AF$3:$AF$5001,"&lt;&gt;")=0,"",SUMIFS(BD!$AF$3:$AF$5001,BD!$A$3:$A$5001,AJ$3,BD!$B$3:$B$5001,$A$5)))</f>
        <v/>
      </c>
      <c r="AK21" s="218" t="str">
        <f>IF(COUNT(F21:AJ21)=0,"",SUM(F21:AJ21))</f>
        <v/>
      </c>
    </row>
    <row r="22" ht="15.75" customHeight="1">
      <c r="A22" s="238"/>
      <c r="B22" s="235"/>
      <c r="C22" s="219" t="inlineStr">
        <is>
          <t xml:space="preserve">Acidentes SAF</t>
        </is>
      </c>
      <c r="D22" s="220" t="str">
        <f>IFERROR(1/(1/INDEX(BD!$AK$54:$AU$54,MATCH($A$5,BD!$AK$22:$AU$22,0))),"")</f>
        <v/>
      </c>
      <c r="E22" s="221"/>
      <c r="F22" s="222" t="str">
        <f>IF(F$3="","",IF(COUNTIFS(BD!$A$3:$A$5001,F$3,BD!$B$3:$B$5001,$A$5,BD!$AG$3:$AG$5001,"&lt;&gt;")=0,"",SUMIFS(BD!$AG$3:$AG$5001,BD!$A$3:$A$5001,F$3,BD!$B$3:$B$5001,$A$5)))</f>
        <v/>
      </c>
      <c r="G22" s="223" t="str">
        <f>IF(G$3="","",IF(COUNTIFS(BD!$A$3:$A$5001,G$3,BD!$B$3:$B$5001,$A$5,BD!$AG$3:$AG$5001,"&lt;&gt;")=0,"",SUMIFS(BD!$AG$3:$AG$5001,BD!$A$3:$A$5001,G$3,BD!$B$3:$B$5001,$A$5)))</f>
        <v/>
      </c>
      <c r="H22" s="223" t="str">
        <f>IF(H$3="","",IF(COUNTIFS(BD!$A$3:$A$5001,H$3,BD!$B$3:$B$5001,$A$5,BD!$AG$3:$AG$5001,"&lt;&gt;")=0,"",SUMIFS(BD!$AG$3:$AG$5001,BD!$A$3:$A$5001,H$3,BD!$B$3:$B$5001,$A$5)))</f>
        <v/>
      </c>
      <c r="I22" s="223" t="str">
        <f>IF(I$3="","",IF(COUNTIFS(BD!$A$3:$A$5001,I$3,BD!$B$3:$B$5001,$A$5,BD!$AG$3:$AG$5001,"&lt;&gt;")=0,"",SUMIFS(BD!$AG$3:$AG$5001,BD!$A$3:$A$5001,I$3,BD!$B$3:$B$5001,$A$5)))</f>
        <v/>
      </c>
      <c r="J22" s="223" t="str">
        <f>IF(J$3="","",IF(COUNTIFS(BD!$A$3:$A$5001,J$3,BD!$B$3:$B$5001,$A$5,BD!$AG$3:$AG$5001,"&lt;&gt;")=0,"",SUMIFS(BD!$AG$3:$AG$5001,BD!$A$3:$A$5001,J$3,BD!$B$3:$B$5001,$A$5)))</f>
        <v/>
      </c>
      <c r="K22" s="223" t="str">
        <f>IF(K$3="","",IF(COUNTIFS(BD!$A$3:$A$5001,K$3,BD!$B$3:$B$5001,$A$5,BD!$AG$3:$AG$5001,"&lt;&gt;")=0,"",SUMIFS(BD!$AG$3:$AG$5001,BD!$A$3:$A$5001,K$3,BD!$B$3:$B$5001,$A$5)))</f>
        <v/>
      </c>
      <c r="L22" s="223" t="str">
        <f>IF(L$3="","",IF(COUNTIFS(BD!$A$3:$A$5001,L$3,BD!$B$3:$B$5001,$A$5,BD!$AG$3:$AG$5001,"&lt;&gt;")=0,"",SUMIFS(BD!$AG$3:$AG$5001,BD!$A$3:$A$5001,L$3,BD!$B$3:$B$5001,$A$5)))</f>
        <v/>
      </c>
      <c r="M22" s="223" t="str">
        <f>IF(M$3="","",IF(COUNTIFS(BD!$A$3:$A$5001,M$3,BD!$B$3:$B$5001,$A$5,BD!$AG$3:$AG$5001,"&lt;&gt;")=0,"",SUMIFS(BD!$AG$3:$AG$5001,BD!$A$3:$A$5001,M$3,BD!$B$3:$B$5001,$A$5)))</f>
        <v/>
      </c>
      <c r="N22" s="223" t="str">
        <f>IF(N$3="","",IF(COUNTIFS(BD!$A$3:$A$5001,N$3,BD!$B$3:$B$5001,$A$5,BD!$AG$3:$AG$5001,"&lt;&gt;")=0,"",SUMIFS(BD!$AG$3:$AG$5001,BD!$A$3:$A$5001,N$3,BD!$B$3:$B$5001,$A$5)))</f>
        <v/>
      </c>
      <c r="O22" s="223" t="str">
        <f>IF(O$3="","",IF(COUNTIFS(BD!$A$3:$A$5001,O$3,BD!$B$3:$B$5001,$A$5,BD!$AG$3:$AG$5001,"&lt;&gt;")=0,"",SUMIFS(BD!$AG$3:$AG$5001,BD!$A$3:$A$5001,O$3,BD!$B$3:$B$5001,$A$5)))</f>
        <v/>
      </c>
      <c r="P22" s="223" t="str">
        <f>IF(P$3="","",IF(COUNTIFS(BD!$A$3:$A$5001,P$3,BD!$B$3:$B$5001,$A$5,BD!$AG$3:$AG$5001,"&lt;&gt;")=0,"",SUMIFS(BD!$AG$3:$AG$5001,BD!$A$3:$A$5001,P$3,BD!$B$3:$B$5001,$A$5)))</f>
        <v/>
      </c>
      <c r="Q22" s="223" t="str">
        <f>IF(Q$3="","",IF(COUNTIFS(BD!$A$3:$A$5001,Q$3,BD!$B$3:$B$5001,$A$5,BD!$AG$3:$AG$5001,"&lt;&gt;")=0,"",SUMIFS(BD!$AG$3:$AG$5001,BD!$A$3:$A$5001,Q$3,BD!$B$3:$B$5001,$A$5)))</f>
        <v/>
      </c>
      <c r="R22" s="223" t="str">
        <f>IF(R$3="","",IF(COUNTIFS(BD!$A$3:$A$5001,R$3,BD!$B$3:$B$5001,$A$5,BD!$AG$3:$AG$5001,"&lt;&gt;")=0,"",SUMIFS(BD!$AG$3:$AG$5001,BD!$A$3:$A$5001,R$3,BD!$B$3:$B$5001,$A$5)))</f>
        <v/>
      </c>
      <c r="S22" s="223" t="str">
        <f>IF(S$3="","",IF(COUNTIFS(BD!$A$3:$A$5001,S$3,BD!$B$3:$B$5001,$A$5,BD!$AG$3:$AG$5001,"&lt;&gt;")=0,"",SUMIFS(BD!$AG$3:$AG$5001,BD!$A$3:$A$5001,S$3,BD!$B$3:$B$5001,$A$5)))</f>
        <v/>
      </c>
      <c r="T22" s="223" t="str">
        <f>IF(T$3="","",IF(COUNTIFS(BD!$A$3:$A$5001,T$3,BD!$B$3:$B$5001,$A$5,BD!$AG$3:$AG$5001,"&lt;&gt;")=0,"",SUMIFS(BD!$AG$3:$AG$5001,BD!$A$3:$A$5001,T$3,BD!$B$3:$B$5001,$A$5)))</f>
        <v/>
      </c>
      <c r="U22" s="223" t="str">
        <f>IF(U$3="","",IF(COUNTIFS(BD!$A$3:$A$5001,U$3,BD!$B$3:$B$5001,$A$5,BD!$AG$3:$AG$5001,"&lt;&gt;")=0,"",SUMIFS(BD!$AG$3:$AG$5001,BD!$A$3:$A$5001,U$3,BD!$B$3:$B$5001,$A$5)))</f>
        <v/>
      </c>
      <c r="V22" s="223" t="str">
        <f>IF(V$3="","",IF(COUNTIFS(BD!$A$3:$A$5001,V$3,BD!$B$3:$B$5001,$A$5,BD!$AG$3:$AG$5001,"&lt;&gt;")=0,"",SUMIFS(BD!$AG$3:$AG$5001,BD!$A$3:$A$5001,V$3,BD!$B$3:$B$5001,$A$5)))</f>
        <v/>
      </c>
      <c r="W22" s="223" t="str">
        <f>IF(W$3="","",IF(COUNTIFS(BD!$A$3:$A$5001,W$3,BD!$B$3:$B$5001,$A$5,BD!$AG$3:$AG$5001,"&lt;&gt;")=0,"",SUMIFS(BD!$AG$3:$AG$5001,BD!$A$3:$A$5001,W$3,BD!$B$3:$B$5001,$A$5)))</f>
        <v/>
      </c>
      <c r="X22" s="223" t="str">
        <f>IF(X$3="","",IF(COUNTIFS(BD!$A$3:$A$5001,X$3,BD!$B$3:$B$5001,$A$5,BD!$AG$3:$AG$5001,"&lt;&gt;")=0,"",SUMIFS(BD!$AG$3:$AG$5001,BD!$A$3:$A$5001,X$3,BD!$B$3:$B$5001,$A$5)))</f>
        <v/>
      </c>
      <c r="Y22" s="223" t="str">
        <f>IF(Y$3="","",IF(COUNTIFS(BD!$A$3:$A$5001,Y$3,BD!$B$3:$B$5001,$A$5,BD!$AG$3:$AG$5001,"&lt;&gt;")=0,"",SUMIFS(BD!$AG$3:$AG$5001,BD!$A$3:$A$5001,Y$3,BD!$B$3:$B$5001,$A$5)))</f>
        <v/>
      </c>
      <c r="Z22" s="223" t="str">
        <f>IF(Z$3="","",IF(COUNTIFS(BD!$A$3:$A$5001,Z$3,BD!$B$3:$B$5001,$A$5,BD!$AG$3:$AG$5001,"&lt;&gt;")=0,"",SUMIFS(BD!$AG$3:$AG$5001,BD!$A$3:$A$5001,Z$3,BD!$B$3:$B$5001,$A$5)))</f>
        <v/>
      </c>
      <c r="AA22" s="223" t="str">
        <f>IF(AA$3="","",IF(COUNTIFS(BD!$A$3:$A$5001,AA$3,BD!$B$3:$B$5001,$A$5,BD!$AG$3:$AG$5001,"&lt;&gt;")=0,"",SUMIFS(BD!$AG$3:$AG$5001,BD!$A$3:$A$5001,AA$3,BD!$B$3:$B$5001,$A$5)))</f>
        <v/>
      </c>
      <c r="AB22" s="223" t="str">
        <f>IF(AB$3="","",IF(COUNTIFS(BD!$A$3:$A$5001,AB$3,BD!$B$3:$B$5001,$A$5,BD!$AG$3:$AG$5001,"&lt;&gt;")=0,"",SUMIFS(BD!$AG$3:$AG$5001,BD!$A$3:$A$5001,AB$3,BD!$B$3:$B$5001,$A$5)))</f>
        <v/>
      </c>
      <c r="AC22" s="223" t="str">
        <f>IF(AC$3="","",IF(COUNTIFS(BD!$A$3:$A$5001,AC$3,BD!$B$3:$B$5001,$A$5,BD!$AG$3:$AG$5001,"&lt;&gt;")=0,"",SUMIFS(BD!$AG$3:$AG$5001,BD!$A$3:$A$5001,AC$3,BD!$B$3:$B$5001,$A$5)))</f>
        <v/>
      </c>
      <c r="AD22" s="223" t="str">
        <f>IF(AD$3="","",IF(COUNTIFS(BD!$A$3:$A$5001,AD$3,BD!$B$3:$B$5001,$A$5,BD!$AG$3:$AG$5001,"&lt;&gt;")=0,"",SUMIFS(BD!$AG$3:$AG$5001,BD!$A$3:$A$5001,AD$3,BD!$B$3:$B$5001,$A$5)))</f>
        <v/>
      </c>
      <c r="AE22" s="223" t="str">
        <f>IF(AE$3="","",IF(COUNTIFS(BD!$A$3:$A$5001,AE$3,BD!$B$3:$B$5001,$A$5,BD!$AG$3:$AG$5001,"&lt;&gt;")=0,"",SUMIFS(BD!$AG$3:$AG$5001,BD!$A$3:$A$5001,AE$3,BD!$B$3:$B$5001,$A$5)))</f>
        <v/>
      </c>
      <c r="AF22" s="223" t="str">
        <f>IF(AF$3="","",IF(COUNTIFS(BD!$A$3:$A$5001,AF$3,BD!$B$3:$B$5001,$A$5,BD!$AG$3:$AG$5001,"&lt;&gt;")=0,"",SUMIFS(BD!$AG$3:$AG$5001,BD!$A$3:$A$5001,AF$3,BD!$B$3:$B$5001,$A$5)))</f>
        <v/>
      </c>
      <c r="AG22" s="223" t="str">
        <f>IF(AG$3="","",IF(COUNTIFS(BD!$A$3:$A$5001,AG$3,BD!$B$3:$B$5001,$A$5,BD!$AG$3:$AG$5001,"&lt;&gt;")=0,"",SUMIFS(BD!$AG$3:$AG$5001,BD!$A$3:$A$5001,AG$3,BD!$B$3:$B$5001,$A$5)))</f>
        <v/>
      </c>
      <c r="AH22" s="223" t="str">
        <f>IF(AH$3="","",IF(COUNTIFS(BD!$A$3:$A$5001,AH$3,BD!$B$3:$B$5001,$A$5,BD!$AG$3:$AG$5001,"&lt;&gt;")=0,"",SUMIFS(BD!$AG$3:$AG$5001,BD!$A$3:$A$5001,AH$3,BD!$B$3:$B$5001,$A$5)))</f>
        <v/>
      </c>
      <c r="AI22" s="223" t="str">
        <f>IF(AI$3="","",IF(COUNTIFS(BD!$A$3:$A$5001,AI$3,BD!$B$3:$B$5001,$A$5,BD!$AG$3:$AG$5001,"&lt;&gt;")=0,"",SUMIFS(BD!$AG$3:$AG$5001,BD!$A$3:$A$5001,AI$3,BD!$B$3:$B$5001,$A$5)))</f>
        <v/>
      </c>
      <c r="AJ22" s="224" t="str">
        <f>IF(AJ$3="","",IF(COUNTIFS(BD!$A$3:$A$5001,AJ$3,BD!$B$3:$B$5001,$A$5,BD!$AG$3:$AG$5001,"&lt;&gt;")=0,"",SUMIFS(BD!$AG$3:$AG$5001,BD!$A$3:$A$5001,AJ$3,BD!$B$3:$B$5001,$A$5)))</f>
        <v/>
      </c>
      <c r="AK22" s="220" t="str">
        <f>IF(COUNT(F22:AJ22)=0,"",SUM(F22:AJ22))</f>
        <v/>
      </c>
    </row>
    <row r="24" ht="15.75" customHeight="1">
      <c r="A24" s="236" t="inlineStr">
        <is>
          <t xml:space="preserve">Basf</t>
        </is>
      </c>
      <c r="B24" s="225" t="inlineStr">
        <is>
          <t xml:space="preserve">IN</t>
        </is>
      </c>
      <c r="C24" s="148" t="inlineStr">
        <is>
          <t xml:space="preserve">Veículos Recebidos</t>
        </is>
      </c>
      <c r="D24" s="149" t="str">
        <f>IFERROR(1/(1/INDEX(BD!$AK$23:$AU$23,MATCH($A$24,BD!$AK$22:$AU$22,0))),"")</f>
        <v/>
      </c>
      <c r="E24" s="150"/>
      <c r="F24" s="151" t="str">
        <f>IF(F$3="","",IF(COUNTIFS(BD!$A$3:$A$5001,F$3,BD!$B$3:$B$5001,$A$24,BD!$C$3:$C$5001,"&lt;&gt;")=0,"",SUMIFS(BD!$C$3:$C$5001,BD!$A$3:$A$5001,F$3,BD!$B$3:$B$5001,$A$24)))</f>
        <v/>
      </c>
      <c r="G24" s="152" t="str">
        <f>IF(G$3="","",IF(COUNTIFS(BD!$A$3:$A$5001,G$3,BD!$B$3:$B$5001,$A$24,BD!$C$3:$C$5001,"&lt;&gt;")=0,"",SUMIFS(BD!$C$3:$C$5001,BD!$A$3:$A$5001,G$3,BD!$B$3:$B$5001,$A$24)))</f>
        <v/>
      </c>
      <c r="H24" s="152" t="str">
        <f>IF(H$3="","",IF(COUNTIFS(BD!$A$3:$A$5001,H$3,BD!$B$3:$B$5001,$A$24,BD!$C$3:$C$5001,"&lt;&gt;")=0,"",SUMIFS(BD!$C$3:$C$5001,BD!$A$3:$A$5001,H$3,BD!$B$3:$B$5001,$A$24)))</f>
        <v/>
      </c>
      <c r="I24" s="152" t="str">
        <f>IF(I$3="","",IF(COUNTIFS(BD!$A$3:$A$5001,I$3,BD!$B$3:$B$5001,$A$24,BD!$C$3:$C$5001,"&lt;&gt;")=0,"",SUMIFS(BD!$C$3:$C$5001,BD!$A$3:$A$5001,I$3,BD!$B$3:$B$5001,$A$24)))</f>
        <v/>
      </c>
      <c r="J24" s="152" t="str">
        <f>IF(J$3="","",IF(COUNTIFS(BD!$A$3:$A$5001,J$3,BD!$B$3:$B$5001,$A$24,BD!$C$3:$C$5001,"&lt;&gt;")=0,"",SUMIFS(BD!$C$3:$C$5001,BD!$A$3:$A$5001,J$3,BD!$B$3:$B$5001,$A$24)))</f>
        <v/>
      </c>
      <c r="K24" s="152" t="str">
        <f>IF(K$3="","",IF(COUNTIFS(BD!$A$3:$A$5001,K$3,BD!$B$3:$B$5001,$A$24,BD!$C$3:$C$5001,"&lt;&gt;")=0,"",SUMIFS(BD!$C$3:$C$5001,BD!$A$3:$A$5001,K$3,BD!$B$3:$B$5001,$A$24)))</f>
        <v/>
      </c>
      <c r="L24" s="152" t="str">
        <f>IF(L$3="","",IF(COUNTIFS(BD!$A$3:$A$5001,L$3,BD!$B$3:$B$5001,$A$24,BD!$C$3:$C$5001,"&lt;&gt;")=0,"",SUMIFS(BD!$C$3:$C$5001,BD!$A$3:$A$5001,L$3,BD!$B$3:$B$5001,$A$24)))</f>
        <v/>
      </c>
      <c r="M24" s="152" t="str">
        <f>IF(M$3="","",IF(COUNTIFS(BD!$A$3:$A$5001,M$3,BD!$B$3:$B$5001,$A$24,BD!$C$3:$C$5001,"&lt;&gt;")=0,"",SUMIFS(BD!$C$3:$C$5001,BD!$A$3:$A$5001,M$3,BD!$B$3:$B$5001,$A$24)))</f>
        <v/>
      </c>
      <c r="N24" s="152" t="str">
        <f>IF(N$3="","",IF(COUNTIFS(BD!$A$3:$A$5001,N$3,BD!$B$3:$B$5001,$A$24,BD!$C$3:$C$5001,"&lt;&gt;")=0,"",SUMIFS(BD!$C$3:$C$5001,BD!$A$3:$A$5001,N$3,BD!$B$3:$B$5001,$A$24)))</f>
        <v/>
      </c>
      <c r="O24" s="152" t="str">
        <f>IF(O$3="","",IF(COUNTIFS(BD!$A$3:$A$5001,O$3,BD!$B$3:$B$5001,$A$24,BD!$C$3:$C$5001,"&lt;&gt;")=0,"",SUMIFS(BD!$C$3:$C$5001,BD!$A$3:$A$5001,O$3,BD!$B$3:$B$5001,$A$24)))</f>
        <v/>
      </c>
      <c r="P24" s="152" t="str">
        <f>IF(P$3="","",IF(COUNTIFS(BD!$A$3:$A$5001,P$3,BD!$B$3:$B$5001,$A$24,BD!$C$3:$C$5001,"&lt;&gt;")=0,"",SUMIFS(BD!$C$3:$C$5001,BD!$A$3:$A$5001,P$3,BD!$B$3:$B$5001,$A$24)))</f>
        <v/>
      </c>
      <c r="Q24" s="152" t="str">
        <f>IF(Q$3="","",IF(COUNTIFS(BD!$A$3:$A$5001,Q$3,BD!$B$3:$B$5001,$A$24,BD!$C$3:$C$5001,"&lt;&gt;")=0,"",SUMIFS(BD!$C$3:$C$5001,BD!$A$3:$A$5001,Q$3,BD!$B$3:$B$5001,$A$24)))</f>
        <v/>
      </c>
      <c r="R24" s="152" t="str">
        <f>IF(R$3="","",IF(COUNTIFS(BD!$A$3:$A$5001,R$3,BD!$B$3:$B$5001,$A$24,BD!$C$3:$C$5001,"&lt;&gt;")=0,"",SUMIFS(BD!$C$3:$C$5001,BD!$A$3:$A$5001,R$3,BD!$B$3:$B$5001,$A$24)))</f>
        <v/>
      </c>
      <c r="S24" s="152" t="str">
        <f>IF(S$3="","",IF(COUNTIFS(BD!$A$3:$A$5001,S$3,BD!$B$3:$B$5001,$A$24,BD!$C$3:$C$5001,"&lt;&gt;")=0,"",SUMIFS(BD!$C$3:$C$5001,BD!$A$3:$A$5001,S$3,BD!$B$3:$B$5001,$A$24)))</f>
        <v/>
      </c>
      <c r="T24" s="152" t="str">
        <f>IF(T$3="","",IF(COUNTIFS(BD!$A$3:$A$5001,T$3,BD!$B$3:$B$5001,$A$24,BD!$C$3:$C$5001,"&lt;&gt;")=0,"",SUMIFS(BD!$C$3:$C$5001,BD!$A$3:$A$5001,T$3,BD!$B$3:$B$5001,$A$24)))</f>
        <v/>
      </c>
      <c r="U24" s="152" t="str">
        <f>IF(U$3="","",IF(COUNTIFS(BD!$A$3:$A$5001,U$3,BD!$B$3:$B$5001,$A$24,BD!$C$3:$C$5001,"&lt;&gt;")=0,"",SUMIFS(BD!$C$3:$C$5001,BD!$A$3:$A$5001,U$3,BD!$B$3:$B$5001,$A$24)))</f>
        <v/>
      </c>
      <c r="V24" s="152" t="str">
        <f>IF(V$3="","",IF(COUNTIFS(BD!$A$3:$A$5001,V$3,BD!$B$3:$B$5001,$A$24,BD!$C$3:$C$5001,"&lt;&gt;")=0,"",SUMIFS(BD!$C$3:$C$5001,BD!$A$3:$A$5001,V$3,BD!$B$3:$B$5001,$A$24)))</f>
        <v/>
      </c>
      <c r="W24" s="152" t="str">
        <f>IF(W$3="","",IF(COUNTIFS(BD!$A$3:$A$5001,W$3,BD!$B$3:$B$5001,$A$24,BD!$C$3:$C$5001,"&lt;&gt;")=0,"",SUMIFS(BD!$C$3:$C$5001,BD!$A$3:$A$5001,W$3,BD!$B$3:$B$5001,$A$24)))</f>
        <v/>
      </c>
      <c r="X24" s="152" t="str">
        <f>IF(X$3="","",IF(COUNTIFS(BD!$A$3:$A$5001,X$3,BD!$B$3:$B$5001,$A$24,BD!$C$3:$C$5001,"&lt;&gt;")=0,"",SUMIFS(BD!$C$3:$C$5001,BD!$A$3:$A$5001,X$3,BD!$B$3:$B$5001,$A$24)))</f>
        <v/>
      </c>
      <c r="Y24" s="152" t="str">
        <f>IF(Y$3="","",IF(COUNTIFS(BD!$A$3:$A$5001,Y$3,BD!$B$3:$B$5001,$A$24,BD!$C$3:$C$5001,"&lt;&gt;")=0,"",SUMIFS(BD!$C$3:$C$5001,BD!$A$3:$A$5001,Y$3,BD!$B$3:$B$5001,$A$24)))</f>
        <v/>
      </c>
      <c r="Z24" s="152" t="str">
        <f>IF(Z$3="","",IF(COUNTIFS(BD!$A$3:$A$5001,Z$3,BD!$B$3:$B$5001,$A$24,BD!$C$3:$C$5001,"&lt;&gt;")=0,"",SUMIFS(BD!$C$3:$C$5001,BD!$A$3:$A$5001,Z$3,BD!$B$3:$B$5001,$A$24)))</f>
        <v/>
      </c>
      <c r="AA24" s="152" t="str">
        <f>IF(AA$3="","",IF(COUNTIFS(BD!$A$3:$A$5001,AA$3,BD!$B$3:$B$5001,$A$24,BD!$C$3:$C$5001,"&lt;&gt;")=0,"",SUMIFS(BD!$C$3:$C$5001,BD!$A$3:$A$5001,AA$3,BD!$B$3:$B$5001,$A$24)))</f>
        <v/>
      </c>
      <c r="AB24" s="152" t="str">
        <f>IF(AB$3="","",IF(COUNTIFS(BD!$A$3:$A$5001,AB$3,BD!$B$3:$B$5001,$A$24,BD!$C$3:$C$5001,"&lt;&gt;")=0,"",SUMIFS(BD!$C$3:$C$5001,BD!$A$3:$A$5001,AB$3,BD!$B$3:$B$5001,$A$24)))</f>
        <v/>
      </c>
      <c r="AC24" s="152" t="str">
        <f>IF(AC$3="","",IF(COUNTIFS(BD!$A$3:$A$5001,AC$3,BD!$B$3:$B$5001,$A$24,BD!$C$3:$C$5001,"&lt;&gt;")=0,"",SUMIFS(BD!$C$3:$C$5001,BD!$A$3:$A$5001,AC$3,BD!$B$3:$B$5001,$A$24)))</f>
        <v/>
      </c>
      <c r="AD24" s="152" t="str">
        <f>IF(AD$3="","",IF(COUNTIFS(BD!$A$3:$A$5001,AD$3,BD!$B$3:$B$5001,$A$24,BD!$C$3:$C$5001,"&lt;&gt;")=0,"",SUMIFS(BD!$C$3:$C$5001,BD!$A$3:$A$5001,AD$3,BD!$B$3:$B$5001,$A$24)))</f>
        <v/>
      </c>
      <c r="AE24" s="152" t="str">
        <f>IF(AE$3="","",IF(COUNTIFS(BD!$A$3:$A$5001,AE$3,BD!$B$3:$B$5001,$A$24,BD!$C$3:$C$5001,"&lt;&gt;")=0,"",SUMIFS(BD!$C$3:$C$5001,BD!$A$3:$A$5001,AE$3,BD!$B$3:$B$5001,$A$24)))</f>
        <v/>
      </c>
      <c r="AF24" s="152" t="str">
        <f>IF(AF$3="","",IF(COUNTIFS(BD!$A$3:$A$5001,AF$3,BD!$B$3:$B$5001,$A$24,BD!$C$3:$C$5001,"&lt;&gt;")=0,"",SUMIFS(BD!$C$3:$C$5001,BD!$A$3:$A$5001,AF$3,BD!$B$3:$B$5001,$A$24)))</f>
        <v/>
      </c>
      <c r="AG24" s="152" t="str">
        <f>IF(AG$3="","",IF(COUNTIFS(BD!$A$3:$A$5001,AG$3,BD!$B$3:$B$5001,$A$24,BD!$C$3:$C$5001,"&lt;&gt;")=0,"",SUMIFS(BD!$C$3:$C$5001,BD!$A$3:$A$5001,AG$3,BD!$B$3:$B$5001,$A$24)))</f>
        <v/>
      </c>
      <c r="AH24" s="152" t="str">
        <f>IF(AH$3="","",IF(COUNTIFS(BD!$A$3:$A$5001,AH$3,BD!$B$3:$B$5001,$A$24,BD!$C$3:$C$5001,"&lt;&gt;")=0,"",SUMIFS(BD!$C$3:$C$5001,BD!$A$3:$A$5001,AH$3,BD!$B$3:$B$5001,$A$24)))</f>
        <v/>
      </c>
      <c r="AI24" s="152" t="str">
        <f>IF(AI$3="","",IF(COUNTIFS(BD!$A$3:$A$5001,AI$3,BD!$B$3:$B$5001,$A$24,BD!$C$3:$C$5001,"&lt;&gt;")=0,"",SUMIFS(BD!$C$3:$C$5001,BD!$A$3:$A$5001,AI$3,BD!$B$3:$B$5001,$A$24)))</f>
        <v/>
      </c>
      <c r="AJ24" s="153" t="str">
        <f>IF(AJ$3="","",IF(COUNTIFS(BD!$A$3:$A$5001,AJ$3,BD!$B$3:$B$5001,$A$24,BD!$C$3:$C$5001,"&lt;&gt;")=0,"",SUMIFS(BD!$C$3:$C$5001,BD!$A$3:$A$5001,AJ$3,BD!$B$3:$B$5001,$A$24)))</f>
        <v/>
      </c>
      <c r="AK24" s="154" t="str">
        <f>IF(COUNT(F24:AJ24)=0,"",SUM(F24:AJ24))</f>
        <v/>
      </c>
    </row>
    <row r="25" ht="15.75" customHeight="1">
      <c r="A25" s="237"/>
      <c r="B25" s="232"/>
      <c r="C25" s="194" t="inlineStr">
        <is>
          <t xml:space="preserve">Pallets Movimentados</t>
        </is>
      </c>
      <c r="D25" s="195" t="str">
        <f>IFERROR(1/(1/INDEX(BD!$AK$24:$AU$24,MATCH($A$24,BD!$AK$22:$AU$22,0))),"")</f>
        <v/>
      </c>
      <c r="E25" s="196"/>
      <c r="F25" s="197" t="str">
        <f>IF(F$3="","",IF(COUNTIFS(BD!$A$3:$A$5001,F$3,BD!$B$3:$B$5001,$A$24,BD!$D$3:$D$5001,"&lt;&gt;")=0,"",SUMIFS(BD!$D$3:$D$5001,BD!$A$3:$A$5001,F$3,BD!$B$3:$B$5001,$A$24)))</f>
        <v/>
      </c>
      <c r="G25" s="198" t="str">
        <f>IF(G$3="","",IF(COUNTIFS(BD!$A$3:$A$5001,G$3,BD!$B$3:$B$5001,$A$24,BD!$D$3:$D$5001,"&lt;&gt;")=0,"",SUMIFS(BD!$D$3:$D$5001,BD!$A$3:$A$5001,G$3,BD!$B$3:$B$5001,$A$24)))</f>
        <v/>
      </c>
      <c r="H25" s="198" t="str">
        <f>IF(H$3="","",IF(COUNTIFS(BD!$A$3:$A$5001,H$3,BD!$B$3:$B$5001,$A$24,BD!$D$3:$D$5001,"&lt;&gt;")=0,"",SUMIFS(BD!$D$3:$D$5001,BD!$A$3:$A$5001,H$3,BD!$B$3:$B$5001,$A$24)))</f>
        <v/>
      </c>
      <c r="I25" s="198" t="str">
        <f>IF(I$3="","",IF(COUNTIFS(BD!$A$3:$A$5001,I$3,BD!$B$3:$B$5001,$A$24,BD!$D$3:$D$5001,"&lt;&gt;")=0,"",SUMIFS(BD!$D$3:$D$5001,BD!$A$3:$A$5001,I$3,BD!$B$3:$B$5001,$A$24)))</f>
        <v/>
      </c>
      <c r="J25" s="198" t="str">
        <f>IF(J$3="","",IF(COUNTIFS(BD!$A$3:$A$5001,J$3,BD!$B$3:$B$5001,$A$24,BD!$D$3:$D$5001,"&lt;&gt;")=0,"",SUMIFS(BD!$D$3:$D$5001,BD!$A$3:$A$5001,J$3,BD!$B$3:$B$5001,$A$24)))</f>
        <v/>
      </c>
      <c r="K25" s="198" t="str">
        <f>IF(K$3="","",IF(COUNTIFS(BD!$A$3:$A$5001,K$3,BD!$B$3:$B$5001,$A$24,BD!$D$3:$D$5001,"&lt;&gt;")=0,"",SUMIFS(BD!$D$3:$D$5001,BD!$A$3:$A$5001,K$3,BD!$B$3:$B$5001,$A$24)))</f>
        <v/>
      </c>
      <c r="L25" s="198" t="str">
        <f>IF(L$3="","",IF(COUNTIFS(BD!$A$3:$A$5001,L$3,BD!$B$3:$B$5001,$A$24,BD!$D$3:$D$5001,"&lt;&gt;")=0,"",SUMIFS(BD!$D$3:$D$5001,BD!$A$3:$A$5001,L$3,BD!$B$3:$B$5001,$A$24)))</f>
        <v/>
      </c>
      <c r="M25" s="198" t="str">
        <f>IF(M$3="","",IF(COUNTIFS(BD!$A$3:$A$5001,M$3,BD!$B$3:$B$5001,$A$24,BD!$D$3:$D$5001,"&lt;&gt;")=0,"",SUMIFS(BD!$D$3:$D$5001,BD!$A$3:$A$5001,M$3,BD!$B$3:$B$5001,$A$24)))</f>
        <v/>
      </c>
      <c r="N25" s="198" t="str">
        <f>IF(N$3="","",IF(COUNTIFS(BD!$A$3:$A$5001,N$3,BD!$B$3:$B$5001,$A$24,BD!$D$3:$D$5001,"&lt;&gt;")=0,"",SUMIFS(BD!$D$3:$D$5001,BD!$A$3:$A$5001,N$3,BD!$B$3:$B$5001,$A$24)))</f>
        <v/>
      </c>
      <c r="O25" s="198" t="str">
        <f>IF(O$3="","",IF(COUNTIFS(BD!$A$3:$A$5001,O$3,BD!$B$3:$B$5001,$A$24,BD!$D$3:$D$5001,"&lt;&gt;")=0,"",SUMIFS(BD!$D$3:$D$5001,BD!$A$3:$A$5001,O$3,BD!$B$3:$B$5001,$A$24)))</f>
        <v/>
      </c>
      <c r="P25" s="198" t="str">
        <f>IF(P$3="","",IF(COUNTIFS(BD!$A$3:$A$5001,P$3,BD!$B$3:$B$5001,$A$24,BD!$D$3:$D$5001,"&lt;&gt;")=0,"",SUMIFS(BD!$D$3:$D$5001,BD!$A$3:$A$5001,P$3,BD!$B$3:$B$5001,$A$24)))</f>
        <v/>
      </c>
      <c r="Q25" s="198" t="str">
        <f>IF(Q$3="","",IF(COUNTIFS(BD!$A$3:$A$5001,Q$3,BD!$B$3:$B$5001,$A$24,BD!$D$3:$D$5001,"&lt;&gt;")=0,"",SUMIFS(BD!$D$3:$D$5001,BD!$A$3:$A$5001,Q$3,BD!$B$3:$B$5001,$A$24)))</f>
        <v/>
      </c>
      <c r="R25" s="198" t="str">
        <f>IF(R$3="","",IF(COUNTIFS(BD!$A$3:$A$5001,R$3,BD!$B$3:$B$5001,$A$24,BD!$D$3:$D$5001,"&lt;&gt;")=0,"",SUMIFS(BD!$D$3:$D$5001,BD!$A$3:$A$5001,R$3,BD!$B$3:$B$5001,$A$24)))</f>
        <v/>
      </c>
      <c r="S25" s="198" t="str">
        <f>IF(S$3="","",IF(COUNTIFS(BD!$A$3:$A$5001,S$3,BD!$B$3:$B$5001,$A$24,BD!$D$3:$D$5001,"&lt;&gt;")=0,"",SUMIFS(BD!$D$3:$D$5001,BD!$A$3:$A$5001,S$3,BD!$B$3:$B$5001,$A$24)))</f>
        <v/>
      </c>
      <c r="T25" s="198" t="str">
        <f>IF(T$3="","",IF(COUNTIFS(BD!$A$3:$A$5001,T$3,BD!$B$3:$B$5001,$A$24,BD!$D$3:$D$5001,"&lt;&gt;")=0,"",SUMIFS(BD!$D$3:$D$5001,BD!$A$3:$A$5001,T$3,BD!$B$3:$B$5001,$A$24)))</f>
        <v/>
      </c>
      <c r="U25" s="198" t="str">
        <f>IF(U$3="","",IF(COUNTIFS(BD!$A$3:$A$5001,U$3,BD!$B$3:$B$5001,$A$24,BD!$D$3:$D$5001,"&lt;&gt;")=0,"",SUMIFS(BD!$D$3:$D$5001,BD!$A$3:$A$5001,U$3,BD!$B$3:$B$5001,$A$24)))</f>
        <v/>
      </c>
      <c r="V25" s="198" t="str">
        <f>IF(V$3="","",IF(COUNTIFS(BD!$A$3:$A$5001,V$3,BD!$B$3:$B$5001,$A$24,BD!$D$3:$D$5001,"&lt;&gt;")=0,"",SUMIFS(BD!$D$3:$D$5001,BD!$A$3:$A$5001,V$3,BD!$B$3:$B$5001,$A$24)))</f>
        <v/>
      </c>
      <c r="W25" s="198" t="str">
        <f>IF(W$3="","",IF(COUNTIFS(BD!$A$3:$A$5001,W$3,BD!$B$3:$B$5001,$A$24,BD!$D$3:$D$5001,"&lt;&gt;")=0,"",SUMIFS(BD!$D$3:$D$5001,BD!$A$3:$A$5001,W$3,BD!$B$3:$B$5001,$A$24)))</f>
        <v/>
      </c>
      <c r="X25" s="198" t="str">
        <f>IF(X$3="","",IF(COUNTIFS(BD!$A$3:$A$5001,X$3,BD!$B$3:$B$5001,$A$24,BD!$D$3:$D$5001,"&lt;&gt;")=0,"",SUMIFS(BD!$D$3:$D$5001,BD!$A$3:$A$5001,X$3,BD!$B$3:$B$5001,$A$24)))</f>
        <v/>
      </c>
      <c r="Y25" s="198" t="str">
        <f>IF(Y$3="","",IF(COUNTIFS(BD!$A$3:$A$5001,Y$3,BD!$B$3:$B$5001,$A$24,BD!$D$3:$D$5001,"&lt;&gt;")=0,"",SUMIFS(BD!$D$3:$D$5001,BD!$A$3:$A$5001,Y$3,BD!$B$3:$B$5001,$A$24)))</f>
        <v/>
      </c>
      <c r="Z25" s="198" t="str">
        <f>IF(Z$3="","",IF(COUNTIFS(BD!$A$3:$A$5001,Z$3,BD!$B$3:$B$5001,$A$24,BD!$D$3:$D$5001,"&lt;&gt;")=0,"",SUMIFS(BD!$D$3:$D$5001,BD!$A$3:$A$5001,Z$3,BD!$B$3:$B$5001,$A$24)))</f>
        <v/>
      </c>
      <c r="AA25" s="198" t="str">
        <f>IF(AA$3="","",IF(COUNTIFS(BD!$A$3:$A$5001,AA$3,BD!$B$3:$B$5001,$A$24,BD!$D$3:$D$5001,"&lt;&gt;")=0,"",SUMIFS(BD!$D$3:$D$5001,BD!$A$3:$A$5001,AA$3,BD!$B$3:$B$5001,$A$24)))</f>
        <v/>
      </c>
      <c r="AB25" s="198" t="str">
        <f>IF(AB$3="","",IF(COUNTIFS(BD!$A$3:$A$5001,AB$3,BD!$B$3:$B$5001,$A$24,BD!$D$3:$D$5001,"&lt;&gt;")=0,"",SUMIFS(BD!$D$3:$D$5001,BD!$A$3:$A$5001,AB$3,BD!$B$3:$B$5001,$A$24)))</f>
        <v/>
      </c>
      <c r="AC25" s="198" t="str">
        <f>IF(AC$3="","",IF(COUNTIFS(BD!$A$3:$A$5001,AC$3,BD!$B$3:$B$5001,$A$24,BD!$D$3:$D$5001,"&lt;&gt;")=0,"",SUMIFS(BD!$D$3:$D$5001,BD!$A$3:$A$5001,AC$3,BD!$B$3:$B$5001,$A$24)))</f>
        <v/>
      </c>
      <c r="AD25" s="198" t="str">
        <f>IF(AD$3="","",IF(COUNTIFS(BD!$A$3:$A$5001,AD$3,BD!$B$3:$B$5001,$A$24,BD!$D$3:$D$5001,"&lt;&gt;")=0,"",SUMIFS(BD!$D$3:$D$5001,BD!$A$3:$A$5001,AD$3,BD!$B$3:$B$5001,$A$24)))</f>
        <v/>
      </c>
      <c r="AE25" s="198" t="str">
        <f>IF(AE$3="","",IF(COUNTIFS(BD!$A$3:$A$5001,AE$3,BD!$B$3:$B$5001,$A$24,BD!$D$3:$D$5001,"&lt;&gt;")=0,"",SUMIFS(BD!$D$3:$D$5001,BD!$A$3:$A$5001,AE$3,BD!$B$3:$B$5001,$A$24)))</f>
        <v/>
      </c>
      <c r="AF25" s="198" t="str">
        <f>IF(AF$3="","",IF(COUNTIFS(BD!$A$3:$A$5001,AF$3,BD!$B$3:$B$5001,$A$24,BD!$D$3:$D$5001,"&lt;&gt;")=0,"",SUMIFS(BD!$D$3:$D$5001,BD!$A$3:$A$5001,AF$3,BD!$B$3:$B$5001,$A$24)))</f>
        <v/>
      </c>
      <c r="AG25" s="198" t="str">
        <f>IF(AG$3="","",IF(COUNTIFS(BD!$A$3:$A$5001,AG$3,BD!$B$3:$B$5001,$A$24,BD!$D$3:$D$5001,"&lt;&gt;")=0,"",SUMIFS(BD!$D$3:$D$5001,BD!$A$3:$A$5001,AG$3,BD!$B$3:$B$5001,$A$24)))</f>
        <v/>
      </c>
      <c r="AH25" s="198" t="str">
        <f>IF(AH$3="","",IF(COUNTIFS(BD!$A$3:$A$5001,AH$3,BD!$B$3:$B$5001,$A$24,BD!$D$3:$D$5001,"&lt;&gt;")=0,"",SUMIFS(BD!$D$3:$D$5001,BD!$A$3:$A$5001,AH$3,BD!$B$3:$B$5001,$A$24)))</f>
        <v/>
      </c>
      <c r="AI25" s="198" t="str">
        <f>IF(AI$3="","",IF(COUNTIFS(BD!$A$3:$A$5001,AI$3,BD!$B$3:$B$5001,$A$24,BD!$D$3:$D$5001,"&lt;&gt;")=0,"",SUMIFS(BD!$D$3:$D$5001,BD!$A$3:$A$5001,AI$3,BD!$B$3:$B$5001,$A$24)))</f>
        <v/>
      </c>
      <c r="AJ25" s="199" t="str">
        <f>IF(AJ$3="","",IF(COUNTIFS(BD!$A$3:$A$5001,AJ$3,BD!$B$3:$B$5001,$A$24,BD!$D$3:$D$5001,"&lt;&gt;")=0,"",SUMIFS(BD!$D$3:$D$5001,BD!$A$3:$A$5001,AJ$3,BD!$B$3:$B$5001,$A$24)))</f>
        <v/>
      </c>
      <c r="AK25" s="200" t="str">
        <f>IF(COUNT(F25:AJ25)=0,"",SUM(F25:AJ25))</f>
        <v/>
      </c>
    </row>
    <row r="26" ht="15.75" customHeight="1">
      <c r="A26" s="237"/>
      <c r="B26" s="226"/>
      <c r="C26" s="155" t="inlineStr">
        <is>
          <t xml:space="preserve">Toneladas Movimentadas</t>
        </is>
      </c>
      <c r="D26" s="156" t="str">
        <f>IFERROR(1/(1/INDEX(BD!$AK$25:$AU$25,MATCH($A$24,BD!$AK$22:$AU$22,0))),"")</f>
        <v/>
      </c>
      <c r="E26" s="157"/>
      <c r="F26" s="239" t="str">
        <f>IF(F$3="","",IF(COUNTIFS(BD!$A$3:$A$5001,F$3,BD!$B$3:$B$5001,$A$24,BD!$E$3:$E$5001,"&lt;&gt;")=0,"",SUMIFS(BD!$E$3:$E$5001,BD!$A$3:$A$5001,F$3,BD!$B$3:$B$5001,$A$24)))</f>
        <v/>
      </c>
      <c r="G26" s="240" t="str">
        <f>IF(G$3="","",IF(COUNTIFS(BD!$A$3:$A$5001,G$3,BD!$B$3:$B$5001,$A$24,BD!$E$3:$E$5001,"&lt;&gt;")=0,"",SUMIFS(BD!$E$3:$E$5001,BD!$A$3:$A$5001,G$3,BD!$B$3:$B$5001,$A$24)))</f>
        <v/>
      </c>
      <c r="H26" s="240" t="str">
        <f>IF(H$3="","",IF(COUNTIFS(BD!$A$3:$A$5001,H$3,BD!$B$3:$B$5001,$A$24,BD!$E$3:$E$5001,"&lt;&gt;")=0,"",SUMIFS(BD!$E$3:$E$5001,BD!$A$3:$A$5001,H$3,BD!$B$3:$B$5001,$A$24)))</f>
        <v/>
      </c>
      <c r="I26" s="240" t="str">
        <f>IF(I$3="","",IF(COUNTIFS(BD!$A$3:$A$5001,I$3,BD!$B$3:$B$5001,$A$24,BD!$E$3:$E$5001,"&lt;&gt;")=0,"",SUMIFS(BD!$E$3:$E$5001,BD!$A$3:$A$5001,I$3,BD!$B$3:$B$5001,$A$24)))</f>
        <v/>
      </c>
      <c r="J26" s="240" t="str">
        <f>IF(J$3="","",IF(COUNTIFS(BD!$A$3:$A$5001,J$3,BD!$B$3:$B$5001,$A$24,BD!$E$3:$E$5001,"&lt;&gt;")=0,"",SUMIFS(BD!$E$3:$E$5001,BD!$A$3:$A$5001,J$3,BD!$B$3:$B$5001,$A$24)))</f>
        <v/>
      </c>
      <c r="K26" s="240" t="str">
        <f>IF(K$3="","",IF(COUNTIFS(BD!$A$3:$A$5001,K$3,BD!$B$3:$B$5001,$A$24,BD!$E$3:$E$5001,"&lt;&gt;")=0,"",SUMIFS(BD!$E$3:$E$5001,BD!$A$3:$A$5001,K$3,BD!$B$3:$B$5001,$A$24)))</f>
        <v/>
      </c>
      <c r="L26" s="240" t="str">
        <f>IF(L$3="","",IF(COUNTIFS(BD!$A$3:$A$5001,L$3,BD!$B$3:$B$5001,$A$24,BD!$E$3:$E$5001,"&lt;&gt;")=0,"",SUMIFS(BD!$E$3:$E$5001,BD!$A$3:$A$5001,L$3,BD!$B$3:$B$5001,$A$24)))</f>
        <v/>
      </c>
      <c r="M26" s="240" t="str">
        <f>IF(M$3="","",IF(COUNTIFS(BD!$A$3:$A$5001,M$3,BD!$B$3:$B$5001,$A$24,BD!$E$3:$E$5001,"&lt;&gt;")=0,"",SUMIFS(BD!$E$3:$E$5001,BD!$A$3:$A$5001,M$3,BD!$B$3:$B$5001,$A$24)))</f>
        <v/>
      </c>
      <c r="N26" s="240" t="str">
        <f>IF(N$3="","",IF(COUNTIFS(BD!$A$3:$A$5001,N$3,BD!$B$3:$B$5001,$A$24,BD!$E$3:$E$5001,"&lt;&gt;")=0,"",SUMIFS(BD!$E$3:$E$5001,BD!$A$3:$A$5001,N$3,BD!$B$3:$B$5001,$A$24)))</f>
        <v/>
      </c>
      <c r="O26" s="240" t="str">
        <f>IF(O$3="","",IF(COUNTIFS(BD!$A$3:$A$5001,O$3,BD!$B$3:$B$5001,$A$24,BD!$E$3:$E$5001,"&lt;&gt;")=0,"",SUMIFS(BD!$E$3:$E$5001,BD!$A$3:$A$5001,O$3,BD!$B$3:$B$5001,$A$24)))</f>
        <v/>
      </c>
      <c r="P26" s="240" t="str">
        <f>IF(P$3="","",IF(COUNTIFS(BD!$A$3:$A$5001,P$3,BD!$B$3:$B$5001,$A$24,BD!$E$3:$E$5001,"&lt;&gt;")=0,"",SUMIFS(BD!$E$3:$E$5001,BD!$A$3:$A$5001,P$3,BD!$B$3:$B$5001,$A$24)))</f>
        <v/>
      </c>
      <c r="Q26" s="240" t="str">
        <f>IF(Q$3="","",IF(COUNTIFS(BD!$A$3:$A$5001,Q$3,BD!$B$3:$B$5001,$A$24,BD!$E$3:$E$5001,"&lt;&gt;")=0,"",SUMIFS(BD!$E$3:$E$5001,BD!$A$3:$A$5001,Q$3,BD!$B$3:$B$5001,$A$24)))</f>
        <v/>
      </c>
      <c r="R26" s="240" t="str">
        <f>IF(R$3="","",IF(COUNTIFS(BD!$A$3:$A$5001,R$3,BD!$B$3:$B$5001,$A$24,BD!$E$3:$E$5001,"&lt;&gt;")=0,"",SUMIFS(BD!$E$3:$E$5001,BD!$A$3:$A$5001,R$3,BD!$B$3:$B$5001,$A$24)))</f>
        <v/>
      </c>
      <c r="S26" s="240" t="str">
        <f>IF(S$3="","",IF(COUNTIFS(BD!$A$3:$A$5001,S$3,BD!$B$3:$B$5001,$A$24,BD!$E$3:$E$5001,"&lt;&gt;")=0,"",SUMIFS(BD!$E$3:$E$5001,BD!$A$3:$A$5001,S$3,BD!$B$3:$B$5001,$A$24)))</f>
        <v/>
      </c>
      <c r="T26" s="240" t="str">
        <f>IF(T$3="","",IF(COUNTIFS(BD!$A$3:$A$5001,T$3,BD!$B$3:$B$5001,$A$24,BD!$E$3:$E$5001,"&lt;&gt;")=0,"",SUMIFS(BD!$E$3:$E$5001,BD!$A$3:$A$5001,T$3,BD!$B$3:$B$5001,$A$24)))</f>
        <v/>
      </c>
      <c r="U26" s="240" t="str">
        <f>IF(U$3="","",IF(COUNTIFS(BD!$A$3:$A$5001,U$3,BD!$B$3:$B$5001,$A$24,BD!$E$3:$E$5001,"&lt;&gt;")=0,"",SUMIFS(BD!$E$3:$E$5001,BD!$A$3:$A$5001,U$3,BD!$B$3:$B$5001,$A$24)))</f>
        <v/>
      </c>
      <c r="V26" s="240" t="str">
        <f>IF(V$3="","",IF(COUNTIFS(BD!$A$3:$A$5001,V$3,BD!$B$3:$B$5001,$A$24,BD!$E$3:$E$5001,"&lt;&gt;")=0,"",SUMIFS(BD!$E$3:$E$5001,BD!$A$3:$A$5001,V$3,BD!$B$3:$B$5001,$A$24)))</f>
        <v/>
      </c>
      <c r="W26" s="240" t="str">
        <f>IF(W$3="","",IF(COUNTIFS(BD!$A$3:$A$5001,W$3,BD!$B$3:$B$5001,$A$24,BD!$E$3:$E$5001,"&lt;&gt;")=0,"",SUMIFS(BD!$E$3:$E$5001,BD!$A$3:$A$5001,W$3,BD!$B$3:$B$5001,$A$24)))</f>
        <v/>
      </c>
      <c r="X26" s="240" t="str">
        <f>IF(X$3="","",IF(COUNTIFS(BD!$A$3:$A$5001,X$3,BD!$B$3:$B$5001,$A$24,BD!$E$3:$E$5001,"&lt;&gt;")=0,"",SUMIFS(BD!$E$3:$E$5001,BD!$A$3:$A$5001,X$3,BD!$B$3:$B$5001,$A$24)))</f>
        <v/>
      </c>
      <c r="Y26" s="240" t="str">
        <f>IF(Y$3="","",IF(COUNTIFS(BD!$A$3:$A$5001,Y$3,BD!$B$3:$B$5001,$A$24,BD!$E$3:$E$5001,"&lt;&gt;")=0,"",SUMIFS(BD!$E$3:$E$5001,BD!$A$3:$A$5001,Y$3,BD!$B$3:$B$5001,$A$24)))</f>
        <v/>
      </c>
      <c r="Z26" s="240" t="str">
        <f>IF(Z$3="","",IF(COUNTIFS(BD!$A$3:$A$5001,Z$3,BD!$B$3:$B$5001,$A$24,BD!$E$3:$E$5001,"&lt;&gt;")=0,"",SUMIFS(BD!$E$3:$E$5001,BD!$A$3:$A$5001,Z$3,BD!$B$3:$B$5001,$A$24)))</f>
        <v/>
      </c>
      <c r="AA26" s="240" t="str">
        <f>IF(AA$3="","",IF(COUNTIFS(BD!$A$3:$A$5001,AA$3,BD!$B$3:$B$5001,$A$24,BD!$E$3:$E$5001,"&lt;&gt;")=0,"",SUMIFS(BD!$E$3:$E$5001,BD!$A$3:$A$5001,AA$3,BD!$B$3:$B$5001,$A$24)))</f>
        <v/>
      </c>
      <c r="AB26" s="240" t="str">
        <f>IF(AB$3="","",IF(COUNTIFS(BD!$A$3:$A$5001,AB$3,BD!$B$3:$B$5001,$A$24,BD!$E$3:$E$5001,"&lt;&gt;")=0,"",SUMIFS(BD!$E$3:$E$5001,BD!$A$3:$A$5001,AB$3,BD!$B$3:$B$5001,$A$24)))</f>
        <v/>
      </c>
      <c r="AC26" s="240" t="str">
        <f>IF(AC$3="","",IF(COUNTIFS(BD!$A$3:$A$5001,AC$3,BD!$B$3:$B$5001,$A$24,BD!$E$3:$E$5001,"&lt;&gt;")=0,"",SUMIFS(BD!$E$3:$E$5001,BD!$A$3:$A$5001,AC$3,BD!$B$3:$B$5001,$A$24)))</f>
        <v/>
      </c>
      <c r="AD26" s="240" t="str">
        <f>IF(AD$3="","",IF(COUNTIFS(BD!$A$3:$A$5001,AD$3,BD!$B$3:$B$5001,$A$24,BD!$E$3:$E$5001,"&lt;&gt;")=0,"",SUMIFS(BD!$E$3:$E$5001,BD!$A$3:$A$5001,AD$3,BD!$B$3:$B$5001,$A$24)))</f>
        <v/>
      </c>
      <c r="AE26" s="240" t="str">
        <f>IF(AE$3="","",IF(COUNTIFS(BD!$A$3:$A$5001,AE$3,BD!$B$3:$B$5001,$A$24,BD!$E$3:$E$5001,"&lt;&gt;")=0,"",SUMIFS(BD!$E$3:$E$5001,BD!$A$3:$A$5001,AE$3,BD!$B$3:$B$5001,$A$24)))</f>
        <v/>
      </c>
      <c r="AF26" s="240" t="str">
        <f>IF(AF$3="","",IF(COUNTIFS(BD!$A$3:$A$5001,AF$3,BD!$B$3:$B$5001,$A$24,BD!$E$3:$E$5001,"&lt;&gt;")=0,"",SUMIFS(BD!$E$3:$E$5001,BD!$A$3:$A$5001,AF$3,BD!$B$3:$B$5001,$A$24)))</f>
        <v/>
      </c>
      <c r="AG26" s="240" t="str">
        <f>IF(AG$3="","",IF(COUNTIFS(BD!$A$3:$A$5001,AG$3,BD!$B$3:$B$5001,$A$24,BD!$E$3:$E$5001,"&lt;&gt;")=0,"",SUMIFS(BD!$E$3:$E$5001,BD!$A$3:$A$5001,AG$3,BD!$B$3:$B$5001,$A$24)))</f>
        <v/>
      </c>
      <c r="AH26" s="240" t="str">
        <f>IF(AH$3="","",IF(COUNTIFS(BD!$A$3:$A$5001,AH$3,BD!$B$3:$B$5001,$A$24,BD!$E$3:$E$5001,"&lt;&gt;")=0,"",SUMIFS(BD!$E$3:$E$5001,BD!$A$3:$A$5001,AH$3,BD!$B$3:$B$5001,$A$24)))</f>
        <v/>
      </c>
      <c r="AI26" s="240" t="str">
        <f>IF(AI$3="","",IF(COUNTIFS(BD!$A$3:$A$5001,AI$3,BD!$B$3:$B$5001,$A$24,BD!$E$3:$E$5001,"&lt;&gt;")=0,"",SUMIFS(BD!$E$3:$E$5001,BD!$A$3:$A$5001,AI$3,BD!$B$3:$B$5001,$A$24)))</f>
        <v/>
      </c>
      <c r="AJ26" s="241" t="str">
        <f>IF(AJ$3="","",IF(COUNTIFS(BD!$A$3:$A$5001,AJ$3,BD!$B$3:$B$5001,$A$24,BD!$E$3:$E$5001,"&lt;&gt;")=0,"",SUMIFS(BD!$E$3:$E$5001,BD!$A$3:$A$5001,AJ$3,BD!$B$3:$B$5001,$A$24)))</f>
        <v/>
      </c>
      <c r="AK26" s="242" t="str">
        <f>IF(COUNT(F26:AJ26)=0,"",SUM(F26:AJ26))</f>
        <v/>
      </c>
    </row>
    <row r="27" ht="15.75" customHeight="1">
      <c r="A27" s="237"/>
      <c r="B27" s="227" t="inlineStr">
        <is>
          <t xml:space="preserve">OUT</t>
        </is>
      </c>
      <c r="C27" s="161" t="inlineStr">
        <is>
          <t xml:space="preserve">Veículos Expedidos</t>
        </is>
      </c>
      <c r="D27" s="162" t="str">
        <f>IFERROR(1/(1/INDEX(BD!$AK$32:$AU$32,MATCH($A$24,BD!$AK$22:$AU$22,0))),"")</f>
        <v/>
      </c>
      <c r="E27" s="163"/>
      <c r="F27" s="164" t="str">
        <f>IF(F$3="","",IF(COUNTIFS(BD!$A$3:$A$5001,F$3,BD!$B$3:$B$5001,$A$24,BD!$L$3:$L$5001,"&lt;&gt;")=0,"",SUMIFS(BD!$L$3:$L$5001,BD!$A$3:$A$5001,F$3,BD!$B$3:$B$5001,$A$24)))</f>
        <v/>
      </c>
      <c r="G27" s="165" t="str">
        <f>IF(G$3="","",IF(COUNTIFS(BD!$A$3:$A$5001,G$3,BD!$B$3:$B$5001,$A$24,BD!$L$3:$L$5001,"&lt;&gt;")=0,"",SUMIFS(BD!$L$3:$L$5001,BD!$A$3:$A$5001,G$3,BD!$B$3:$B$5001,$A$24)))</f>
        <v/>
      </c>
      <c r="H27" s="165" t="str">
        <f>IF(H$3="","",IF(COUNTIFS(BD!$A$3:$A$5001,H$3,BD!$B$3:$B$5001,$A$24,BD!$L$3:$L$5001,"&lt;&gt;")=0,"",SUMIFS(BD!$L$3:$L$5001,BD!$A$3:$A$5001,H$3,BD!$B$3:$B$5001,$A$24)))</f>
        <v/>
      </c>
      <c r="I27" s="165" t="str">
        <f>IF(I$3="","",IF(COUNTIFS(BD!$A$3:$A$5001,I$3,BD!$B$3:$B$5001,$A$24,BD!$L$3:$L$5001,"&lt;&gt;")=0,"",SUMIFS(BD!$L$3:$L$5001,BD!$A$3:$A$5001,I$3,BD!$B$3:$B$5001,$A$24)))</f>
        <v/>
      </c>
      <c r="J27" s="165" t="str">
        <f>IF(J$3="","",IF(COUNTIFS(BD!$A$3:$A$5001,J$3,BD!$B$3:$B$5001,$A$24,BD!$L$3:$L$5001,"&lt;&gt;")=0,"",SUMIFS(BD!$L$3:$L$5001,BD!$A$3:$A$5001,J$3,BD!$B$3:$B$5001,$A$24)))</f>
        <v/>
      </c>
      <c r="K27" s="165" t="str">
        <f>IF(K$3="","",IF(COUNTIFS(BD!$A$3:$A$5001,K$3,BD!$B$3:$B$5001,$A$24,BD!$L$3:$L$5001,"&lt;&gt;")=0,"",SUMIFS(BD!$L$3:$L$5001,BD!$A$3:$A$5001,K$3,BD!$B$3:$B$5001,$A$24)))</f>
        <v/>
      </c>
      <c r="L27" s="165" t="str">
        <f>IF(L$3="","",IF(COUNTIFS(BD!$A$3:$A$5001,L$3,BD!$B$3:$B$5001,$A$24,BD!$L$3:$L$5001,"&lt;&gt;")=0,"",SUMIFS(BD!$L$3:$L$5001,BD!$A$3:$A$5001,L$3,BD!$B$3:$B$5001,$A$24)))</f>
        <v/>
      </c>
      <c r="M27" s="165" t="str">
        <f>IF(M$3="","",IF(COUNTIFS(BD!$A$3:$A$5001,M$3,BD!$B$3:$B$5001,$A$24,BD!$L$3:$L$5001,"&lt;&gt;")=0,"",SUMIFS(BD!$L$3:$L$5001,BD!$A$3:$A$5001,M$3,BD!$B$3:$B$5001,$A$24)))</f>
        <v/>
      </c>
      <c r="N27" s="165" t="str">
        <f>IF(N$3="","",IF(COUNTIFS(BD!$A$3:$A$5001,N$3,BD!$B$3:$B$5001,$A$24,BD!$L$3:$L$5001,"&lt;&gt;")=0,"",SUMIFS(BD!$L$3:$L$5001,BD!$A$3:$A$5001,N$3,BD!$B$3:$B$5001,$A$24)))</f>
        <v/>
      </c>
      <c r="O27" s="165" t="str">
        <f>IF(O$3="","",IF(COUNTIFS(BD!$A$3:$A$5001,O$3,BD!$B$3:$B$5001,$A$24,BD!$L$3:$L$5001,"&lt;&gt;")=0,"",SUMIFS(BD!$L$3:$L$5001,BD!$A$3:$A$5001,O$3,BD!$B$3:$B$5001,$A$24)))</f>
        <v/>
      </c>
      <c r="P27" s="165" t="str">
        <f>IF(P$3="","",IF(COUNTIFS(BD!$A$3:$A$5001,P$3,BD!$B$3:$B$5001,$A$24,BD!$L$3:$L$5001,"&lt;&gt;")=0,"",SUMIFS(BD!$L$3:$L$5001,BD!$A$3:$A$5001,P$3,BD!$B$3:$B$5001,$A$24)))</f>
        <v/>
      </c>
      <c r="Q27" s="165" t="str">
        <f>IF(Q$3="","",IF(COUNTIFS(BD!$A$3:$A$5001,Q$3,BD!$B$3:$B$5001,$A$24,BD!$L$3:$L$5001,"&lt;&gt;")=0,"",SUMIFS(BD!$L$3:$L$5001,BD!$A$3:$A$5001,Q$3,BD!$B$3:$B$5001,$A$24)))</f>
        <v/>
      </c>
      <c r="R27" s="165" t="str">
        <f>IF(R$3="","",IF(COUNTIFS(BD!$A$3:$A$5001,R$3,BD!$B$3:$B$5001,$A$24,BD!$L$3:$L$5001,"&lt;&gt;")=0,"",SUMIFS(BD!$L$3:$L$5001,BD!$A$3:$A$5001,R$3,BD!$B$3:$B$5001,$A$24)))</f>
        <v/>
      </c>
      <c r="S27" s="165" t="str">
        <f>IF(S$3="","",IF(COUNTIFS(BD!$A$3:$A$5001,S$3,BD!$B$3:$B$5001,$A$24,BD!$L$3:$L$5001,"&lt;&gt;")=0,"",SUMIFS(BD!$L$3:$L$5001,BD!$A$3:$A$5001,S$3,BD!$B$3:$B$5001,$A$24)))</f>
        <v/>
      </c>
      <c r="T27" s="165" t="str">
        <f>IF(T$3="","",IF(COUNTIFS(BD!$A$3:$A$5001,T$3,BD!$B$3:$B$5001,$A$24,BD!$L$3:$L$5001,"&lt;&gt;")=0,"",SUMIFS(BD!$L$3:$L$5001,BD!$A$3:$A$5001,T$3,BD!$B$3:$B$5001,$A$24)))</f>
        <v/>
      </c>
      <c r="U27" s="165" t="str">
        <f>IF(U$3="","",IF(COUNTIFS(BD!$A$3:$A$5001,U$3,BD!$B$3:$B$5001,$A$24,BD!$L$3:$L$5001,"&lt;&gt;")=0,"",SUMIFS(BD!$L$3:$L$5001,BD!$A$3:$A$5001,U$3,BD!$B$3:$B$5001,$A$24)))</f>
        <v/>
      </c>
      <c r="V27" s="165" t="str">
        <f>IF(V$3="","",IF(COUNTIFS(BD!$A$3:$A$5001,V$3,BD!$B$3:$B$5001,$A$24,BD!$L$3:$L$5001,"&lt;&gt;")=0,"",SUMIFS(BD!$L$3:$L$5001,BD!$A$3:$A$5001,V$3,BD!$B$3:$B$5001,$A$24)))</f>
        <v/>
      </c>
      <c r="W27" s="165" t="str">
        <f>IF(W$3="","",IF(COUNTIFS(BD!$A$3:$A$5001,W$3,BD!$B$3:$B$5001,$A$24,BD!$L$3:$L$5001,"&lt;&gt;")=0,"",SUMIFS(BD!$L$3:$L$5001,BD!$A$3:$A$5001,W$3,BD!$B$3:$B$5001,$A$24)))</f>
        <v/>
      </c>
      <c r="X27" s="165" t="str">
        <f>IF(X$3="","",IF(COUNTIFS(BD!$A$3:$A$5001,X$3,BD!$B$3:$B$5001,$A$24,BD!$L$3:$L$5001,"&lt;&gt;")=0,"",SUMIFS(BD!$L$3:$L$5001,BD!$A$3:$A$5001,X$3,BD!$B$3:$B$5001,$A$24)))</f>
        <v/>
      </c>
      <c r="Y27" s="165" t="str">
        <f>IF(Y$3="","",IF(COUNTIFS(BD!$A$3:$A$5001,Y$3,BD!$B$3:$B$5001,$A$24,BD!$L$3:$L$5001,"&lt;&gt;")=0,"",SUMIFS(BD!$L$3:$L$5001,BD!$A$3:$A$5001,Y$3,BD!$B$3:$B$5001,$A$24)))</f>
        <v/>
      </c>
      <c r="Z27" s="165" t="str">
        <f>IF(Z$3="","",IF(COUNTIFS(BD!$A$3:$A$5001,Z$3,BD!$B$3:$B$5001,$A$24,BD!$L$3:$L$5001,"&lt;&gt;")=0,"",SUMIFS(BD!$L$3:$L$5001,BD!$A$3:$A$5001,Z$3,BD!$B$3:$B$5001,$A$24)))</f>
        <v/>
      </c>
      <c r="AA27" s="165" t="str">
        <f>IF(AA$3="","",IF(COUNTIFS(BD!$A$3:$A$5001,AA$3,BD!$B$3:$B$5001,$A$24,BD!$L$3:$L$5001,"&lt;&gt;")=0,"",SUMIFS(BD!$L$3:$L$5001,BD!$A$3:$A$5001,AA$3,BD!$B$3:$B$5001,$A$24)))</f>
        <v/>
      </c>
      <c r="AB27" s="165" t="str">
        <f>IF(AB$3="","",IF(COUNTIFS(BD!$A$3:$A$5001,AB$3,BD!$B$3:$B$5001,$A$24,BD!$L$3:$L$5001,"&lt;&gt;")=0,"",SUMIFS(BD!$L$3:$L$5001,BD!$A$3:$A$5001,AB$3,BD!$B$3:$B$5001,$A$24)))</f>
        <v/>
      </c>
      <c r="AC27" s="165" t="str">
        <f>IF(AC$3="","",IF(COUNTIFS(BD!$A$3:$A$5001,AC$3,BD!$B$3:$B$5001,$A$24,BD!$L$3:$L$5001,"&lt;&gt;")=0,"",SUMIFS(BD!$L$3:$L$5001,BD!$A$3:$A$5001,AC$3,BD!$B$3:$B$5001,$A$24)))</f>
        <v/>
      </c>
      <c r="AD27" s="165" t="str">
        <f>IF(AD$3="","",IF(COUNTIFS(BD!$A$3:$A$5001,AD$3,BD!$B$3:$B$5001,$A$24,BD!$L$3:$L$5001,"&lt;&gt;")=0,"",SUMIFS(BD!$L$3:$L$5001,BD!$A$3:$A$5001,AD$3,BD!$B$3:$B$5001,$A$24)))</f>
        <v/>
      </c>
      <c r="AE27" s="165" t="str">
        <f>IF(AE$3="","",IF(COUNTIFS(BD!$A$3:$A$5001,AE$3,BD!$B$3:$B$5001,$A$24,BD!$L$3:$L$5001,"&lt;&gt;")=0,"",SUMIFS(BD!$L$3:$L$5001,BD!$A$3:$A$5001,AE$3,BD!$B$3:$B$5001,$A$24)))</f>
        <v/>
      </c>
      <c r="AF27" s="165" t="str">
        <f>IF(AF$3="","",IF(COUNTIFS(BD!$A$3:$A$5001,AF$3,BD!$B$3:$B$5001,$A$24,BD!$L$3:$L$5001,"&lt;&gt;")=0,"",SUMIFS(BD!$L$3:$L$5001,BD!$A$3:$A$5001,AF$3,BD!$B$3:$B$5001,$A$24)))</f>
        <v/>
      </c>
      <c r="AG27" s="165" t="str">
        <f>IF(AG$3="","",IF(COUNTIFS(BD!$A$3:$A$5001,AG$3,BD!$B$3:$B$5001,$A$24,BD!$L$3:$L$5001,"&lt;&gt;")=0,"",SUMIFS(BD!$L$3:$L$5001,BD!$A$3:$A$5001,AG$3,BD!$B$3:$B$5001,$A$24)))</f>
        <v/>
      </c>
      <c r="AH27" s="165" t="str">
        <f>IF(AH$3="","",IF(COUNTIFS(BD!$A$3:$A$5001,AH$3,BD!$B$3:$B$5001,$A$24,BD!$L$3:$L$5001,"&lt;&gt;")=0,"",SUMIFS(BD!$L$3:$L$5001,BD!$A$3:$A$5001,AH$3,BD!$B$3:$B$5001,$A$24)))</f>
        <v/>
      </c>
      <c r="AI27" s="165" t="str">
        <f>IF(AI$3="","",IF(COUNTIFS(BD!$A$3:$A$5001,AI$3,BD!$B$3:$B$5001,$A$24,BD!$L$3:$L$5001,"&lt;&gt;")=0,"",SUMIFS(BD!$L$3:$L$5001,BD!$A$3:$A$5001,AI$3,BD!$B$3:$B$5001,$A$24)))</f>
        <v/>
      </c>
      <c r="AJ27" s="166" t="str">
        <f>IF(AJ$3="","",IF(COUNTIFS(BD!$A$3:$A$5001,AJ$3,BD!$B$3:$B$5001,$A$24,BD!$L$3:$L$5001,"&lt;&gt;")=0,"",SUMIFS(BD!$L$3:$L$5001,BD!$A$3:$A$5001,AJ$3,BD!$B$3:$B$5001,$A$24)))</f>
        <v/>
      </c>
      <c r="AK27" s="167" t="str">
        <f>IF(COUNT(F27:AJ27)=0,"",SUM(F27:AJ27))</f>
        <v/>
      </c>
    </row>
    <row r="28" ht="15.75" customHeight="1">
      <c r="A28" s="237"/>
      <c r="B28" s="254"/>
      <c r="C28" s="243" t="inlineStr">
        <is>
          <t xml:space="preserve">Pallets Movimentados</t>
        </is>
      </c>
      <c r="D28" s="244" t="str">
        <f>IFERROR(1/(1/INDEX(BD!$AK$39:$AU$39,MATCH($A$24,BD!$AK$22:$AU$22,0))),"")</f>
        <v/>
      </c>
      <c r="E28" s="245"/>
      <c r="F28" s="246" t="str">
        <f>IF(F$3="","",IF(COUNTIFS(BD!$A$3:$A$5001,F$3,BD!$B$3:$B$5001,$A$24,BD!$S$3:$S$5001,"&lt;&gt;")=0,"",SUMIFS(BD!$S$3:$S$5001,BD!$A$3:$A$5001,F$3,BD!$B$3:$B$5001,$A$24)))</f>
        <v/>
      </c>
      <c r="G28" s="247" t="str">
        <f>IF(G$3="","",IF(COUNTIFS(BD!$A$3:$A$5001,G$3,BD!$B$3:$B$5001,$A$24,BD!$S$3:$S$5001,"&lt;&gt;")=0,"",SUMIFS(BD!$S$3:$S$5001,BD!$A$3:$A$5001,G$3,BD!$B$3:$B$5001,$A$24)))</f>
        <v/>
      </c>
      <c r="H28" s="247" t="str">
        <f>IF(H$3="","",IF(COUNTIFS(BD!$A$3:$A$5001,H$3,BD!$B$3:$B$5001,$A$24,BD!$S$3:$S$5001,"&lt;&gt;")=0,"",SUMIFS(BD!$S$3:$S$5001,BD!$A$3:$A$5001,H$3,BD!$B$3:$B$5001,$A$24)))</f>
        <v/>
      </c>
      <c r="I28" s="247" t="str">
        <f>IF(I$3="","",IF(COUNTIFS(BD!$A$3:$A$5001,I$3,BD!$B$3:$B$5001,$A$24,BD!$S$3:$S$5001,"&lt;&gt;")=0,"",SUMIFS(BD!$S$3:$S$5001,BD!$A$3:$A$5001,I$3,BD!$B$3:$B$5001,$A$24)))</f>
        <v/>
      </c>
      <c r="J28" s="247" t="str">
        <f>IF(J$3="","",IF(COUNTIFS(BD!$A$3:$A$5001,J$3,BD!$B$3:$B$5001,$A$24,BD!$S$3:$S$5001,"&lt;&gt;")=0,"",SUMIFS(BD!$S$3:$S$5001,BD!$A$3:$A$5001,J$3,BD!$B$3:$B$5001,$A$24)))</f>
        <v/>
      </c>
      <c r="K28" s="247" t="str">
        <f>IF(K$3="","",IF(COUNTIFS(BD!$A$3:$A$5001,K$3,BD!$B$3:$B$5001,$A$24,BD!$S$3:$S$5001,"&lt;&gt;")=0,"",SUMIFS(BD!$S$3:$S$5001,BD!$A$3:$A$5001,K$3,BD!$B$3:$B$5001,$A$24)))</f>
        <v/>
      </c>
      <c r="L28" s="247" t="str">
        <f>IF(L$3="","",IF(COUNTIFS(BD!$A$3:$A$5001,L$3,BD!$B$3:$B$5001,$A$24,BD!$S$3:$S$5001,"&lt;&gt;")=0,"",SUMIFS(BD!$S$3:$S$5001,BD!$A$3:$A$5001,L$3,BD!$B$3:$B$5001,$A$24)))</f>
        <v/>
      </c>
      <c r="M28" s="247" t="str">
        <f>IF(M$3="","",IF(COUNTIFS(BD!$A$3:$A$5001,M$3,BD!$B$3:$B$5001,$A$24,BD!$S$3:$S$5001,"&lt;&gt;")=0,"",SUMIFS(BD!$S$3:$S$5001,BD!$A$3:$A$5001,M$3,BD!$B$3:$B$5001,$A$24)))</f>
        <v/>
      </c>
      <c r="N28" s="247" t="str">
        <f>IF(N$3="","",IF(COUNTIFS(BD!$A$3:$A$5001,N$3,BD!$B$3:$B$5001,$A$24,BD!$S$3:$S$5001,"&lt;&gt;")=0,"",SUMIFS(BD!$S$3:$S$5001,BD!$A$3:$A$5001,N$3,BD!$B$3:$B$5001,$A$24)))</f>
        <v/>
      </c>
      <c r="O28" s="247" t="str">
        <f>IF(O$3="","",IF(COUNTIFS(BD!$A$3:$A$5001,O$3,BD!$B$3:$B$5001,$A$24,BD!$S$3:$S$5001,"&lt;&gt;")=0,"",SUMIFS(BD!$S$3:$S$5001,BD!$A$3:$A$5001,O$3,BD!$B$3:$B$5001,$A$24)))</f>
        <v/>
      </c>
      <c r="P28" s="247" t="str">
        <f>IF(P$3="","",IF(COUNTIFS(BD!$A$3:$A$5001,P$3,BD!$B$3:$B$5001,$A$24,BD!$S$3:$S$5001,"&lt;&gt;")=0,"",SUMIFS(BD!$S$3:$S$5001,BD!$A$3:$A$5001,P$3,BD!$B$3:$B$5001,$A$24)))</f>
        <v/>
      </c>
      <c r="Q28" s="247" t="str">
        <f>IF(Q$3="","",IF(COUNTIFS(BD!$A$3:$A$5001,Q$3,BD!$B$3:$B$5001,$A$24,BD!$S$3:$S$5001,"&lt;&gt;")=0,"",SUMIFS(BD!$S$3:$S$5001,BD!$A$3:$A$5001,Q$3,BD!$B$3:$B$5001,$A$24)))</f>
        <v/>
      </c>
      <c r="R28" s="247" t="str">
        <f>IF(R$3="","",IF(COUNTIFS(BD!$A$3:$A$5001,R$3,BD!$B$3:$B$5001,$A$24,BD!$S$3:$S$5001,"&lt;&gt;")=0,"",SUMIFS(BD!$S$3:$S$5001,BD!$A$3:$A$5001,R$3,BD!$B$3:$B$5001,$A$24)))</f>
        <v/>
      </c>
      <c r="S28" s="247" t="str">
        <f>IF(S$3="","",IF(COUNTIFS(BD!$A$3:$A$5001,S$3,BD!$B$3:$B$5001,$A$24,BD!$S$3:$S$5001,"&lt;&gt;")=0,"",SUMIFS(BD!$S$3:$S$5001,BD!$A$3:$A$5001,S$3,BD!$B$3:$B$5001,$A$24)))</f>
        <v/>
      </c>
      <c r="T28" s="247" t="str">
        <f>IF(T$3="","",IF(COUNTIFS(BD!$A$3:$A$5001,T$3,BD!$B$3:$B$5001,$A$24,BD!$S$3:$S$5001,"&lt;&gt;")=0,"",SUMIFS(BD!$S$3:$S$5001,BD!$A$3:$A$5001,T$3,BD!$B$3:$B$5001,$A$24)))</f>
        <v/>
      </c>
      <c r="U28" s="247" t="str">
        <f>IF(U$3="","",IF(COUNTIFS(BD!$A$3:$A$5001,U$3,BD!$B$3:$B$5001,$A$24,BD!$S$3:$S$5001,"&lt;&gt;")=0,"",SUMIFS(BD!$S$3:$S$5001,BD!$A$3:$A$5001,U$3,BD!$B$3:$B$5001,$A$24)))</f>
        <v/>
      </c>
      <c r="V28" s="247" t="str">
        <f>IF(V$3="","",IF(COUNTIFS(BD!$A$3:$A$5001,V$3,BD!$B$3:$B$5001,$A$24,BD!$S$3:$S$5001,"&lt;&gt;")=0,"",SUMIFS(BD!$S$3:$S$5001,BD!$A$3:$A$5001,V$3,BD!$B$3:$B$5001,$A$24)))</f>
        <v/>
      </c>
      <c r="W28" s="247" t="str">
        <f>IF(W$3="","",IF(COUNTIFS(BD!$A$3:$A$5001,W$3,BD!$B$3:$B$5001,$A$24,BD!$S$3:$S$5001,"&lt;&gt;")=0,"",SUMIFS(BD!$S$3:$S$5001,BD!$A$3:$A$5001,W$3,BD!$B$3:$B$5001,$A$24)))</f>
        <v/>
      </c>
      <c r="X28" s="247" t="str">
        <f>IF(X$3="","",IF(COUNTIFS(BD!$A$3:$A$5001,X$3,BD!$B$3:$B$5001,$A$24,BD!$S$3:$S$5001,"&lt;&gt;")=0,"",SUMIFS(BD!$S$3:$S$5001,BD!$A$3:$A$5001,X$3,BD!$B$3:$B$5001,$A$24)))</f>
        <v/>
      </c>
      <c r="Y28" s="247" t="str">
        <f>IF(Y$3="","",IF(COUNTIFS(BD!$A$3:$A$5001,Y$3,BD!$B$3:$B$5001,$A$24,BD!$S$3:$S$5001,"&lt;&gt;")=0,"",SUMIFS(BD!$S$3:$S$5001,BD!$A$3:$A$5001,Y$3,BD!$B$3:$B$5001,$A$24)))</f>
        <v/>
      </c>
      <c r="Z28" s="247" t="str">
        <f>IF(Z$3="","",IF(COUNTIFS(BD!$A$3:$A$5001,Z$3,BD!$B$3:$B$5001,$A$24,BD!$S$3:$S$5001,"&lt;&gt;")=0,"",SUMIFS(BD!$S$3:$S$5001,BD!$A$3:$A$5001,Z$3,BD!$B$3:$B$5001,$A$24)))</f>
        <v/>
      </c>
      <c r="AA28" s="247" t="str">
        <f>IF(AA$3="","",IF(COUNTIFS(BD!$A$3:$A$5001,AA$3,BD!$B$3:$B$5001,$A$24,BD!$S$3:$S$5001,"&lt;&gt;")=0,"",SUMIFS(BD!$S$3:$S$5001,BD!$A$3:$A$5001,AA$3,BD!$B$3:$B$5001,$A$24)))</f>
        <v/>
      </c>
      <c r="AB28" s="247" t="str">
        <f>IF(AB$3="","",IF(COUNTIFS(BD!$A$3:$A$5001,AB$3,BD!$B$3:$B$5001,$A$24,BD!$S$3:$S$5001,"&lt;&gt;")=0,"",SUMIFS(BD!$S$3:$S$5001,BD!$A$3:$A$5001,AB$3,BD!$B$3:$B$5001,$A$24)))</f>
        <v/>
      </c>
      <c r="AC28" s="247" t="str">
        <f>IF(AC$3="","",IF(COUNTIFS(BD!$A$3:$A$5001,AC$3,BD!$B$3:$B$5001,$A$24,BD!$S$3:$S$5001,"&lt;&gt;")=0,"",SUMIFS(BD!$S$3:$S$5001,BD!$A$3:$A$5001,AC$3,BD!$B$3:$B$5001,$A$24)))</f>
        <v/>
      </c>
      <c r="AD28" s="247" t="str">
        <f>IF(AD$3="","",IF(COUNTIFS(BD!$A$3:$A$5001,AD$3,BD!$B$3:$B$5001,$A$24,BD!$S$3:$S$5001,"&lt;&gt;")=0,"",SUMIFS(BD!$S$3:$S$5001,BD!$A$3:$A$5001,AD$3,BD!$B$3:$B$5001,$A$24)))</f>
        <v/>
      </c>
      <c r="AE28" s="247" t="str">
        <f>IF(AE$3="","",IF(COUNTIFS(BD!$A$3:$A$5001,AE$3,BD!$B$3:$B$5001,$A$24,BD!$S$3:$S$5001,"&lt;&gt;")=0,"",SUMIFS(BD!$S$3:$S$5001,BD!$A$3:$A$5001,AE$3,BD!$B$3:$B$5001,$A$24)))</f>
        <v/>
      </c>
      <c r="AF28" s="247" t="str">
        <f>IF(AF$3="","",IF(COUNTIFS(BD!$A$3:$A$5001,AF$3,BD!$B$3:$B$5001,$A$24,BD!$S$3:$S$5001,"&lt;&gt;")=0,"",SUMIFS(BD!$S$3:$S$5001,BD!$A$3:$A$5001,AF$3,BD!$B$3:$B$5001,$A$24)))</f>
        <v/>
      </c>
      <c r="AG28" s="247" t="str">
        <f>IF(AG$3="","",IF(COUNTIFS(BD!$A$3:$A$5001,AG$3,BD!$B$3:$B$5001,$A$24,BD!$S$3:$S$5001,"&lt;&gt;")=0,"",SUMIFS(BD!$S$3:$S$5001,BD!$A$3:$A$5001,AG$3,BD!$B$3:$B$5001,$A$24)))</f>
        <v/>
      </c>
      <c r="AH28" s="247" t="str">
        <f>IF(AH$3="","",IF(COUNTIFS(BD!$A$3:$A$5001,AH$3,BD!$B$3:$B$5001,$A$24,BD!$S$3:$S$5001,"&lt;&gt;")=0,"",SUMIFS(BD!$S$3:$S$5001,BD!$A$3:$A$5001,AH$3,BD!$B$3:$B$5001,$A$24)))</f>
        <v/>
      </c>
      <c r="AI28" s="247" t="str">
        <f>IF(AI$3="","",IF(COUNTIFS(BD!$A$3:$A$5001,AI$3,BD!$B$3:$B$5001,$A$24,BD!$S$3:$S$5001,"&lt;&gt;")=0,"",SUMIFS(BD!$S$3:$S$5001,BD!$A$3:$A$5001,AI$3,BD!$B$3:$B$5001,$A$24)))</f>
        <v/>
      </c>
      <c r="AJ28" s="248" t="str">
        <f>IF(AJ$3="","",IF(COUNTIFS(BD!$A$3:$A$5001,AJ$3,BD!$B$3:$B$5001,$A$24,BD!$S$3:$S$5001,"&lt;&gt;")=0,"",SUMIFS(BD!$S$3:$S$5001,BD!$A$3:$A$5001,AJ$3,BD!$B$3:$B$5001,$A$24)))</f>
        <v/>
      </c>
      <c r="AK28" s="249" t="str">
        <f>IF(COUNT(F28:AJ28)=0,"",SUM(F28:AJ28))</f>
        <v/>
      </c>
    </row>
    <row r="29" ht="15.75" customHeight="1">
      <c r="A29" s="237"/>
      <c r="B29" s="228"/>
      <c r="C29" s="168" t="inlineStr">
        <is>
          <t xml:space="preserve">Toneladas Movimentadas</t>
        </is>
      </c>
      <c r="D29" s="169" t="str">
        <f>IFERROR(1/(1/INDEX(BD!$AK$40:$AU$40,MATCH($A$24,BD!$AK$22:$AU$22,0))),"")</f>
        <v/>
      </c>
      <c r="E29" s="170"/>
      <c r="F29" s="250" t="str">
        <f>IF(F$3="","",IF(COUNTIFS(BD!$A$3:$A$5001,F$3,BD!$B$3:$B$5001,$A$24,BD!$T$3:$T$5001,"&lt;&gt;")=0,"",SUMIFS(BD!$T$3:$T$5001,BD!$A$3:$A$5001,F$3,BD!$B$3:$B$5001,$A$24)))</f>
        <v/>
      </c>
      <c r="G29" s="251" t="str">
        <f>IF(G$3="","",IF(COUNTIFS(BD!$A$3:$A$5001,G$3,BD!$B$3:$B$5001,$A$24,BD!$T$3:$T$5001,"&lt;&gt;")=0,"",SUMIFS(BD!$T$3:$T$5001,BD!$A$3:$A$5001,G$3,BD!$B$3:$B$5001,$A$24)))</f>
        <v/>
      </c>
      <c r="H29" s="251" t="str">
        <f>IF(H$3="","",IF(COUNTIFS(BD!$A$3:$A$5001,H$3,BD!$B$3:$B$5001,$A$24,BD!$T$3:$T$5001,"&lt;&gt;")=0,"",SUMIFS(BD!$T$3:$T$5001,BD!$A$3:$A$5001,H$3,BD!$B$3:$B$5001,$A$24)))</f>
        <v/>
      </c>
      <c r="I29" s="251" t="str">
        <f>IF(I$3="","",IF(COUNTIFS(BD!$A$3:$A$5001,I$3,BD!$B$3:$B$5001,$A$24,BD!$T$3:$T$5001,"&lt;&gt;")=0,"",SUMIFS(BD!$T$3:$T$5001,BD!$A$3:$A$5001,I$3,BD!$B$3:$B$5001,$A$24)))</f>
        <v/>
      </c>
      <c r="J29" s="251" t="str">
        <f>IF(J$3="","",IF(COUNTIFS(BD!$A$3:$A$5001,J$3,BD!$B$3:$B$5001,$A$24,BD!$T$3:$T$5001,"&lt;&gt;")=0,"",SUMIFS(BD!$T$3:$T$5001,BD!$A$3:$A$5001,J$3,BD!$B$3:$B$5001,$A$24)))</f>
        <v/>
      </c>
      <c r="K29" s="251" t="str">
        <f>IF(K$3="","",IF(COUNTIFS(BD!$A$3:$A$5001,K$3,BD!$B$3:$B$5001,$A$24,BD!$T$3:$T$5001,"&lt;&gt;")=0,"",SUMIFS(BD!$T$3:$T$5001,BD!$A$3:$A$5001,K$3,BD!$B$3:$B$5001,$A$24)))</f>
        <v/>
      </c>
      <c r="L29" s="251" t="str">
        <f>IF(L$3="","",IF(COUNTIFS(BD!$A$3:$A$5001,L$3,BD!$B$3:$B$5001,$A$24,BD!$T$3:$T$5001,"&lt;&gt;")=0,"",SUMIFS(BD!$T$3:$T$5001,BD!$A$3:$A$5001,L$3,BD!$B$3:$B$5001,$A$24)))</f>
        <v/>
      </c>
      <c r="M29" s="251" t="str">
        <f>IF(M$3="","",IF(COUNTIFS(BD!$A$3:$A$5001,M$3,BD!$B$3:$B$5001,$A$24,BD!$T$3:$T$5001,"&lt;&gt;")=0,"",SUMIFS(BD!$T$3:$T$5001,BD!$A$3:$A$5001,M$3,BD!$B$3:$B$5001,$A$24)))</f>
        <v/>
      </c>
      <c r="N29" s="251" t="str">
        <f>IF(N$3="","",IF(COUNTIFS(BD!$A$3:$A$5001,N$3,BD!$B$3:$B$5001,$A$24,BD!$T$3:$T$5001,"&lt;&gt;")=0,"",SUMIFS(BD!$T$3:$T$5001,BD!$A$3:$A$5001,N$3,BD!$B$3:$B$5001,$A$24)))</f>
        <v/>
      </c>
      <c r="O29" s="251" t="str">
        <f>IF(O$3="","",IF(COUNTIFS(BD!$A$3:$A$5001,O$3,BD!$B$3:$B$5001,$A$24,BD!$T$3:$T$5001,"&lt;&gt;")=0,"",SUMIFS(BD!$T$3:$T$5001,BD!$A$3:$A$5001,O$3,BD!$B$3:$B$5001,$A$24)))</f>
        <v/>
      </c>
      <c r="P29" s="251" t="str">
        <f>IF(P$3="","",IF(COUNTIFS(BD!$A$3:$A$5001,P$3,BD!$B$3:$B$5001,$A$24,BD!$T$3:$T$5001,"&lt;&gt;")=0,"",SUMIFS(BD!$T$3:$T$5001,BD!$A$3:$A$5001,P$3,BD!$B$3:$B$5001,$A$24)))</f>
        <v/>
      </c>
      <c r="Q29" s="251" t="str">
        <f>IF(Q$3="","",IF(COUNTIFS(BD!$A$3:$A$5001,Q$3,BD!$B$3:$B$5001,$A$24,BD!$T$3:$T$5001,"&lt;&gt;")=0,"",SUMIFS(BD!$T$3:$T$5001,BD!$A$3:$A$5001,Q$3,BD!$B$3:$B$5001,$A$24)))</f>
        <v/>
      </c>
      <c r="R29" s="251" t="str">
        <f>IF(R$3="","",IF(COUNTIFS(BD!$A$3:$A$5001,R$3,BD!$B$3:$B$5001,$A$24,BD!$T$3:$T$5001,"&lt;&gt;")=0,"",SUMIFS(BD!$T$3:$T$5001,BD!$A$3:$A$5001,R$3,BD!$B$3:$B$5001,$A$24)))</f>
        <v/>
      </c>
      <c r="S29" s="251" t="str">
        <f>IF(S$3="","",IF(COUNTIFS(BD!$A$3:$A$5001,S$3,BD!$B$3:$B$5001,$A$24,BD!$T$3:$T$5001,"&lt;&gt;")=0,"",SUMIFS(BD!$T$3:$T$5001,BD!$A$3:$A$5001,S$3,BD!$B$3:$B$5001,$A$24)))</f>
        <v/>
      </c>
      <c r="T29" s="251" t="str">
        <f>IF(T$3="","",IF(COUNTIFS(BD!$A$3:$A$5001,T$3,BD!$B$3:$B$5001,$A$24,BD!$T$3:$T$5001,"&lt;&gt;")=0,"",SUMIFS(BD!$T$3:$T$5001,BD!$A$3:$A$5001,T$3,BD!$B$3:$B$5001,$A$24)))</f>
        <v/>
      </c>
      <c r="U29" s="251" t="str">
        <f>IF(U$3="","",IF(COUNTIFS(BD!$A$3:$A$5001,U$3,BD!$B$3:$B$5001,$A$24,BD!$T$3:$T$5001,"&lt;&gt;")=0,"",SUMIFS(BD!$T$3:$T$5001,BD!$A$3:$A$5001,U$3,BD!$B$3:$B$5001,$A$24)))</f>
        <v/>
      </c>
      <c r="V29" s="251" t="str">
        <f>IF(V$3="","",IF(COUNTIFS(BD!$A$3:$A$5001,V$3,BD!$B$3:$B$5001,$A$24,BD!$T$3:$T$5001,"&lt;&gt;")=0,"",SUMIFS(BD!$T$3:$T$5001,BD!$A$3:$A$5001,V$3,BD!$B$3:$B$5001,$A$24)))</f>
        <v/>
      </c>
      <c r="W29" s="251" t="str">
        <f>IF(W$3="","",IF(COUNTIFS(BD!$A$3:$A$5001,W$3,BD!$B$3:$B$5001,$A$24,BD!$T$3:$T$5001,"&lt;&gt;")=0,"",SUMIFS(BD!$T$3:$T$5001,BD!$A$3:$A$5001,W$3,BD!$B$3:$B$5001,$A$24)))</f>
        <v/>
      </c>
      <c r="X29" s="251" t="str">
        <f>IF(X$3="","",IF(COUNTIFS(BD!$A$3:$A$5001,X$3,BD!$B$3:$B$5001,$A$24,BD!$T$3:$T$5001,"&lt;&gt;")=0,"",SUMIFS(BD!$T$3:$T$5001,BD!$A$3:$A$5001,X$3,BD!$B$3:$B$5001,$A$24)))</f>
        <v/>
      </c>
      <c r="Y29" s="251" t="str">
        <f>IF(Y$3="","",IF(COUNTIFS(BD!$A$3:$A$5001,Y$3,BD!$B$3:$B$5001,$A$24,BD!$T$3:$T$5001,"&lt;&gt;")=0,"",SUMIFS(BD!$T$3:$T$5001,BD!$A$3:$A$5001,Y$3,BD!$B$3:$B$5001,$A$24)))</f>
        <v/>
      </c>
      <c r="Z29" s="251" t="str">
        <f>IF(Z$3="","",IF(COUNTIFS(BD!$A$3:$A$5001,Z$3,BD!$B$3:$B$5001,$A$24,BD!$T$3:$T$5001,"&lt;&gt;")=0,"",SUMIFS(BD!$T$3:$T$5001,BD!$A$3:$A$5001,Z$3,BD!$B$3:$B$5001,$A$24)))</f>
        <v/>
      </c>
      <c r="AA29" s="251" t="str">
        <f>IF(AA$3="","",IF(COUNTIFS(BD!$A$3:$A$5001,AA$3,BD!$B$3:$B$5001,$A$24,BD!$T$3:$T$5001,"&lt;&gt;")=0,"",SUMIFS(BD!$T$3:$T$5001,BD!$A$3:$A$5001,AA$3,BD!$B$3:$B$5001,$A$24)))</f>
        <v/>
      </c>
      <c r="AB29" s="251" t="str">
        <f>IF(AB$3="","",IF(COUNTIFS(BD!$A$3:$A$5001,AB$3,BD!$B$3:$B$5001,$A$24,BD!$T$3:$T$5001,"&lt;&gt;")=0,"",SUMIFS(BD!$T$3:$T$5001,BD!$A$3:$A$5001,AB$3,BD!$B$3:$B$5001,$A$24)))</f>
        <v/>
      </c>
      <c r="AC29" s="251" t="str">
        <f>IF(AC$3="","",IF(COUNTIFS(BD!$A$3:$A$5001,AC$3,BD!$B$3:$B$5001,$A$24,BD!$T$3:$T$5001,"&lt;&gt;")=0,"",SUMIFS(BD!$T$3:$T$5001,BD!$A$3:$A$5001,AC$3,BD!$B$3:$B$5001,$A$24)))</f>
        <v/>
      </c>
      <c r="AD29" s="251" t="str">
        <f>IF(AD$3="","",IF(COUNTIFS(BD!$A$3:$A$5001,AD$3,BD!$B$3:$B$5001,$A$24,BD!$T$3:$T$5001,"&lt;&gt;")=0,"",SUMIFS(BD!$T$3:$T$5001,BD!$A$3:$A$5001,AD$3,BD!$B$3:$B$5001,$A$24)))</f>
        <v/>
      </c>
      <c r="AE29" s="251" t="str">
        <f>IF(AE$3="","",IF(COUNTIFS(BD!$A$3:$A$5001,AE$3,BD!$B$3:$B$5001,$A$24,BD!$T$3:$T$5001,"&lt;&gt;")=0,"",SUMIFS(BD!$T$3:$T$5001,BD!$A$3:$A$5001,AE$3,BD!$B$3:$B$5001,$A$24)))</f>
        <v/>
      </c>
      <c r="AF29" s="251" t="str">
        <f>IF(AF$3="","",IF(COUNTIFS(BD!$A$3:$A$5001,AF$3,BD!$B$3:$B$5001,$A$24,BD!$T$3:$T$5001,"&lt;&gt;")=0,"",SUMIFS(BD!$T$3:$T$5001,BD!$A$3:$A$5001,AF$3,BD!$B$3:$B$5001,$A$24)))</f>
        <v/>
      </c>
      <c r="AG29" s="251" t="str">
        <f>IF(AG$3="","",IF(COUNTIFS(BD!$A$3:$A$5001,AG$3,BD!$B$3:$B$5001,$A$24,BD!$T$3:$T$5001,"&lt;&gt;")=0,"",SUMIFS(BD!$T$3:$T$5001,BD!$A$3:$A$5001,AG$3,BD!$B$3:$B$5001,$A$24)))</f>
        <v/>
      </c>
      <c r="AH29" s="251" t="str">
        <f>IF(AH$3="","",IF(COUNTIFS(BD!$A$3:$A$5001,AH$3,BD!$B$3:$B$5001,$A$24,BD!$T$3:$T$5001,"&lt;&gt;")=0,"",SUMIFS(BD!$T$3:$T$5001,BD!$A$3:$A$5001,AH$3,BD!$B$3:$B$5001,$A$24)))</f>
        <v/>
      </c>
      <c r="AI29" s="251" t="str">
        <f>IF(AI$3="","",IF(COUNTIFS(BD!$A$3:$A$5001,AI$3,BD!$B$3:$B$5001,$A$24,BD!$T$3:$T$5001,"&lt;&gt;")=0,"",SUMIFS(BD!$T$3:$T$5001,BD!$A$3:$A$5001,AI$3,BD!$B$3:$B$5001,$A$24)))</f>
        <v/>
      </c>
      <c r="AJ29" s="252" t="str">
        <f>IF(AJ$3="","",IF(COUNTIFS(BD!$A$3:$A$5001,AJ$3,BD!$B$3:$B$5001,$A$24,BD!$T$3:$T$5001,"&lt;&gt;")=0,"",SUMIFS(BD!$T$3:$T$5001,BD!$A$3:$A$5001,AJ$3,BD!$B$3:$B$5001,$A$24)))</f>
        <v/>
      </c>
      <c r="AK29" s="253" t="str">
        <f>IF(COUNT(F29:AJ29)=0,"",SUM(F29:AJ29))</f>
        <v/>
      </c>
    </row>
    <row r="30" ht="15.75" customHeight="1">
      <c r="A30" s="237"/>
      <c r="B30" s="229" t="inlineStr">
        <is>
          <t xml:space="preserve">NC</t>
        </is>
      </c>
      <c r="C30" s="174" t="inlineStr">
        <is>
          <t xml:space="preserve">Incidentes</t>
        </is>
      </c>
      <c r="D30" s="175" t="str">
        <f>IFERROR(1/(1/INDEX(BD!$AK$41:$AU$41,MATCH($A$24,BD!$AK$22:$AU$22,0))),"")</f>
        <v/>
      </c>
      <c r="E30" s="176"/>
      <c r="F30" s="177" t="str">
        <f>IF(F$3="","",IF(COUNTIFS(BD!$A$3:$A$5001,F$3,BD!$B$3:$B$5001,$A$24,BD!$U$3:$U$5001,"&lt;&gt;")=0,"",SUMIFS(BD!$U$3:$U$5001,BD!$A$3:$A$5001,F$3,BD!$B$3:$B$5001,$A$24)))</f>
        <v/>
      </c>
      <c r="G30" s="178" t="str">
        <f>IF(G$3="","",IF(COUNTIFS(BD!$A$3:$A$5001,G$3,BD!$B$3:$B$5001,$A$24,BD!$U$3:$U$5001,"&lt;&gt;")=0,"",SUMIFS(BD!$U$3:$U$5001,BD!$A$3:$A$5001,G$3,BD!$B$3:$B$5001,$A$24)))</f>
        <v/>
      </c>
      <c r="H30" s="178" t="str">
        <f>IF(H$3="","",IF(COUNTIFS(BD!$A$3:$A$5001,H$3,BD!$B$3:$B$5001,$A$24,BD!$U$3:$U$5001,"&lt;&gt;")=0,"",SUMIFS(BD!$U$3:$U$5001,BD!$A$3:$A$5001,H$3,BD!$B$3:$B$5001,$A$24)))</f>
        <v/>
      </c>
      <c r="I30" s="178" t="str">
        <f>IF(I$3="","",IF(COUNTIFS(BD!$A$3:$A$5001,I$3,BD!$B$3:$B$5001,$A$24,BD!$U$3:$U$5001,"&lt;&gt;")=0,"",SUMIFS(BD!$U$3:$U$5001,BD!$A$3:$A$5001,I$3,BD!$B$3:$B$5001,$A$24)))</f>
        <v/>
      </c>
      <c r="J30" s="178" t="str">
        <f>IF(J$3="","",IF(COUNTIFS(BD!$A$3:$A$5001,J$3,BD!$B$3:$B$5001,$A$24,BD!$U$3:$U$5001,"&lt;&gt;")=0,"",SUMIFS(BD!$U$3:$U$5001,BD!$A$3:$A$5001,J$3,BD!$B$3:$B$5001,$A$24)))</f>
        <v/>
      </c>
      <c r="K30" s="178" t="str">
        <f>IF(K$3="","",IF(COUNTIFS(BD!$A$3:$A$5001,K$3,BD!$B$3:$B$5001,$A$24,BD!$U$3:$U$5001,"&lt;&gt;")=0,"",SUMIFS(BD!$U$3:$U$5001,BD!$A$3:$A$5001,K$3,BD!$B$3:$B$5001,$A$24)))</f>
        <v/>
      </c>
      <c r="L30" s="178" t="str">
        <f>IF(L$3="","",IF(COUNTIFS(BD!$A$3:$A$5001,L$3,BD!$B$3:$B$5001,$A$24,BD!$U$3:$U$5001,"&lt;&gt;")=0,"",SUMIFS(BD!$U$3:$U$5001,BD!$A$3:$A$5001,L$3,BD!$B$3:$B$5001,$A$24)))</f>
        <v/>
      </c>
      <c r="M30" s="178" t="str">
        <f>IF(M$3="","",IF(COUNTIFS(BD!$A$3:$A$5001,M$3,BD!$B$3:$B$5001,$A$24,BD!$U$3:$U$5001,"&lt;&gt;")=0,"",SUMIFS(BD!$U$3:$U$5001,BD!$A$3:$A$5001,M$3,BD!$B$3:$B$5001,$A$24)))</f>
        <v/>
      </c>
      <c r="N30" s="178" t="str">
        <f>IF(N$3="","",IF(COUNTIFS(BD!$A$3:$A$5001,N$3,BD!$B$3:$B$5001,$A$24,BD!$U$3:$U$5001,"&lt;&gt;")=0,"",SUMIFS(BD!$U$3:$U$5001,BD!$A$3:$A$5001,N$3,BD!$B$3:$B$5001,$A$24)))</f>
        <v/>
      </c>
      <c r="O30" s="178" t="str">
        <f>IF(O$3="","",IF(COUNTIFS(BD!$A$3:$A$5001,O$3,BD!$B$3:$B$5001,$A$24,BD!$U$3:$U$5001,"&lt;&gt;")=0,"",SUMIFS(BD!$U$3:$U$5001,BD!$A$3:$A$5001,O$3,BD!$B$3:$B$5001,$A$24)))</f>
        <v/>
      </c>
      <c r="P30" s="178" t="str">
        <f>IF(P$3="","",IF(COUNTIFS(BD!$A$3:$A$5001,P$3,BD!$B$3:$B$5001,$A$24,BD!$U$3:$U$5001,"&lt;&gt;")=0,"",SUMIFS(BD!$U$3:$U$5001,BD!$A$3:$A$5001,P$3,BD!$B$3:$B$5001,$A$24)))</f>
        <v/>
      </c>
      <c r="Q30" s="178" t="str">
        <f>IF(Q$3="","",IF(COUNTIFS(BD!$A$3:$A$5001,Q$3,BD!$B$3:$B$5001,$A$24,BD!$U$3:$U$5001,"&lt;&gt;")=0,"",SUMIFS(BD!$U$3:$U$5001,BD!$A$3:$A$5001,Q$3,BD!$B$3:$B$5001,$A$24)))</f>
        <v/>
      </c>
      <c r="R30" s="178" t="str">
        <f>IF(R$3="","",IF(COUNTIFS(BD!$A$3:$A$5001,R$3,BD!$B$3:$B$5001,$A$24,BD!$U$3:$U$5001,"&lt;&gt;")=0,"",SUMIFS(BD!$U$3:$U$5001,BD!$A$3:$A$5001,R$3,BD!$B$3:$B$5001,$A$24)))</f>
        <v/>
      </c>
      <c r="S30" s="178" t="str">
        <f>IF(S$3="","",IF(COUNTIFS(BD!$A$3:$A$5001,S$3,BD!$B$3:$B$5001,$A$24,BD!$U$3:$U$5001,"&lt;&gt;")=0,"",SUMIFS(BD!$U$3:$U$5001,BD!$A$3:$A$5001,S$3,BD!$B$3:$B$5001,$A$24)))</f>
        <v/>
      </c>
      <c r="T30" s="178" t="str">
        <f>IF(T$3="","",IF(COUNTIFS(BD!$A$3:$A$5001,T$3,BD!$B$3:$B$5001,$A$24,BD!$U$3:$U$5001,"&lt;&gt;")=0,"",SUMIFS(BD!$U$3:$U$5001,BD!$A$3:$A$5001,T$3,BD!$B$3:$B$5001,$A$24)))</f>
        <v/>
      </c>
      <c r="U30" s="178" t="str">
        <f>IF(U$3="","",IF(COUNTIFS(BD!$A$3:$A$5001,U$3,BD!$B$3:$B$5001,$A$24,BD!$U$3:$U$5001,"&lt;&gt;")=0,"",SUMIFS(BD!$U$3:$U$5001,BD!$A$3:$A$5001,U$3,BD!$B$3:$B$5001,$A$24)))</f>
        <v/>
      </c>
      <c r="V30" s="178" t="str">
        <f>IF(V$3="","",IF(COUNTIFS(BD!$A$3:$A$5001,V$3,BD!$B$3:$B$5001,$A$24,BD!$U$3:$U$5001,"&lt;&gt;")=0,"",SUMIFS(BD!$U$3:$U$5001,BD!$A$3:$A$5001,V$3,BD!$B$3:$B$5001,$A$24)))</f>
        <v/>
      </c>
      <c r="W30" s="178" t="str">
        <f>IF(W$3="","",IF(COUNTIFS(BD!$A$3:$A$5001,W$3,BD!$B$3:$B$5001,$A$24,BD!$U$3:$U$5001,"&lt;&gt;")=0,"",SUMIFS(BD!$U$3:$U$5001,BD!$A$3:$A$5001,W$3,BD!$B$3:$B$5001,$A$24)))</f>
        <v/>
      </c>
      <c r="X30" s="178" t="str">
        <f>IF(X$3="","",IF(COUNTIFS(BD!$A$3:$A$5001,X$3,BD!$B$3:$B$5001,$A$24,BD!$U$3:$U$5001,"&lt;&gt;")=0,"",SUMIFS(BD!$U$3:$U$5001,BD!$A$3:$A$5001,X$3,BD!$B$3:$B$5001,$A$24)))</f>
        <v/>
      </c>
      <c r="Y30" s="178" t="str">
        <f>IF(Y$3="","",IF(COUNTIFS(BD!$A$3:$A$5001,Y$3,BD!$B$3:$B$5001,$A$24,BD!$U$3:$U$5001,"&lt;&gt;")=0,"",SUMIFS(BD!$U$3:$U$5001,BD!$A$3:$A$5001,Y$3,BD!$B$3:$B$5001,$A$24)))</f>
        <v/>
      </c>
      <c r="Z30" s="178" t="str">
        <f>IF(Z$3="","",IF(COUNTIFS(BD!$A$3:$A$5001,Z$3,BD!$B$3:$B$5001,$A$24,BD!$U$3:$U$5001,"&lt;&gt;")=0,"",SUMIFS(BD!$U$3:$U$5001,BD!$A$3:$A$5001,Z$3,BD!$B$3:$B$5001,$A$24)))</f>
        <v/>
      </c>
      <c r="AA30" s="178" t="str">
        <f>IF(AA$3="","",IF(COUNTIFS(BD!$A$3:$A$5001,AA$3,BD!$B$3:$B$5001,$A$24,BD!$U$3:$U$5001,"&lt;&gt;")=0,"",SUMIFS(BD!$U$3:$U$5001,BD!$A$3:$A$5001,AA$3,BD!$B$3:$B$5001,$A$24)))</f>
        <v/>
      </c>
      <c r="AB30" s="178" t="str">
        <f>IF(AB$3="","",IF(COUNTIFS(BD!$A$3:$A$5001,AB$3,BD!$B$3:$B$5001,$A$24,BD!$U$3:$U$5001,"&lt;&gt;")=0,"",SUMIFS(BD!$U$3:$U$5001,BD!$A$3:$A$5001,AB$3,BD!$B$3:$B$5001,$A$24)))</f>
        <v/>
      </c>
      <c r="AC30" s="178" t="str">
        <f>IF(AC$3="","",IF(COUNTIFS(BD!$A$3:$A$5001,AC$3,BD!$B$3:$B$5001,$A$24,BD!$U$3:$U$5001,"&lt;&gt;")=0,"",SUMIFS(BD!$U$3:$U$5001,BD!$A$3:$A$5001,AC$3,BD!$B$3:$B$5001,$A$24)))</f>
        <v/>
      </c>
      <c r="AD30" s="178" t="str">
        <f>IF(AD$3="","",IF(COUNTIFS(BD!$A$3:$A$5001,AD$3,BD!$B$3:$B$5001,$A$24,BD!$U$3:$U$5001,"&lt;&gt;")=0,"",SUMIFS(BD!$U$3:$U$5001,BD!$A$3:$A$5001,AD$3,BD!$B$3:$B$5001,$A$24)))</f>
        <v/>
      </c>
      <c r="AE30" s="178" t="str">
        <f>IF(AE$3="","",IF(COUNTIFS(BD!$A$3:$A$5001,AE$3,BD!$B$3:$B$5001,$A$24,BD!$U$3:$U$5001,"&lt;&gt;")=0,"",SUMIFS(BD!$U$3:$U$5001,BD!$A$3:$A$5001,AE$3,BD!$B$3:$B$5001,$A$24)))</f>
        <v/>
      </c>
      <c r="AF30" s="178" t="str">
        <f>IF(AF$3="","",IF(COUNTIFS(BD!$A$3:$A$5001,AF$3,BD!$B$3:$B$5001,$A$24,BD!$U$3:$U$5001,"&lt;&gt;")=0,"",SUMIFS(BD!$U$3:$U$5001,BD!$A$3:$A$5001,AF$3,BD!$B$3:$B$5001,$A$24)))</f>
        <v/>
      </c>
      <c r="AG30" s="178" t="str">
        <f>IF(AG$3="","",IF(COUNTIFS(BD!$A$3:$A$5001,AG$3,BD!$B$3:$B$5001,$A$24,BD!$U$3:$U$5001,"&lt;&gt;")=0,"",SUMIFS(BD!$U$3:$U$5001,BD!$A$3:$A$5001,AG$3,BD!$B$3:$B$5001,$A$24)))</f>
        <v/>
      </c>
      <c r="AH30" s="178" t="str">
        <f>IF(AH$3="","",IF(COUNTIFS(BD!$A$3:$A$5001,AH$3,BD!$B$3:$B$5001,$A$24,BD!$U$3:$U$5001,"&lt;&gt;")=0,"",SUMIFS(BD!$U$3:$U$5001,BD!$A$3:$A$5001,AH$3,BD!$B$3:$B$5001,$A$24)))</f>
        <v/>
      </c>
      <c r="AI30" s="178" t="str">
        <f>IF(AI$3="","",IF(COUNTIFS(BD!$A$3:$A$5001,AI$3,BD!$B$3:$B$5001,$A$24,BD!$U$3:$U$5001,"&lt;&gt;")=0,"",SUMIFS(BD!$U$3:$U$5001,BD!$A$3:$A$5001,AI$3,BD!$B$3:$B$5001,$A$24)))</f>
        <v/>
      </c>
      <c r="AJ30" s="179" t="str">
        <f>IF(AJ$3="","",IF(COUNTIFS(BD!$A$3:$A$5001,AJ$3,BD!$B$3:$B$5001,$A$24,BD!$U$3:$U$5001,"&lt;&gt;")=0,"",SUMIFS(BD!$U$3:$U$5001,BD!$A$3:$A$5001,AJ$3,BD!$B$3:$B$5001,$A$24)))</f>
        <v/>
      </c>
      <c r="AK30" s="180" t="str">
        <f>IF(COUNT(F30:AJ30)=0,"",SUM(F30:AJ30))</f>
        <v/>
      </c>
    </row>
    <row r="31" ht="15.75" customHeight="1">
      <c r="A31" s="237"/>
      <c r="B31" s="230"/>
      <c r="C31" s="181" t="inlineStr">
        <is>
          <t xml:space="preserve">No show</t>
        </is>
      </c>
      <c r="D31" s="182" t="str">
        <f>IFERROR(1/(1/INDEX(BD!$AK$42:$AU$42,MATCH($A$24,BD!$AK$22:$AU$22,0))),"")</f>
        <v/>
      </c>
      <c r="E31" s="183"/>
      <c r="F31" s="184" t="str">
        <f>IF(F$3="","",IF(COUNTIFS(BD!$A$3:$A$5001,F$3,BD!$B$3:$B$5001,$A$24,BD!$V$3:$V$5001,"&lt;&gt;")=0,"",SUMIFS(BD!$V$3:$V$5001,BD!$A$3:$A$5001,F$3,BD!$B$3:$B$5001,$A$24)))</f>
        <v/>
      </c>
      <c r="G31" s="185" t="str">
        <f>IF(G$3="","",IF(COUNTIFS(BD!$A$3:$A$5001,G$3,BD!$B$3:$B$5001,$A$24,BD!$V$3:$V$5001,"&lt;&gt;")=0,"",SUMIFS(BD!$V$3:$V$5001,BD!$A$3:$A$5001,G$3,BD!$B$3:$B$5001,$A$24)))</f>
        <v/>
      </c>
      <c r="H31" s="185" t="str">
        <f>IF(H$3="","",IF(COUNTIFS(BD!$A$3:$A$5001,H$3,BD!$B$3:$B$5001,$A$24,BD!$V$3:$V$5001,"&lt;&gt;")=0,"",SUMIFS(BD!$V$3:$V$5001,BD!$A$3:$A$5001,H$3,BD!$B$3:$B$5001,$A$24)))</f>
        <v/>
      </c>
      <c r="I31" s="185" t="str">
        <f>IF(I$3="","",IF(COUNTIFS(BD!$A$3:$A$5001,I$3,BD!$B$3:$B$5001,$A$24,BD!$V$3:$V$5001,"&lt;&gt;")=0,"",SUMIFS(BD!$V$3:$V$5001,BD!$A$3:$A$5001,I$3,BD!$B$3:$B$5001,$A$24)))</f>
        <v/>
      </c>
      <c r="J31" s="185" t="str">
        <f>IF(J$3="","",IF(COUNTIFS(BD!$A$3:$A$5001,J$3,BD!$B$3:$B$5001,$A$24,BD!$V$3:$V$5001,"&lt;&gt;")=0,"",SUMIFS(BD!$V$3:$V$5001,BD!$A$3:$A$5001,J$3,BD!$B$3:$B$5001,$A$24)))</f>
        <v/>
      </c>
      <c r="K31" s="185" t="str">
        <f>IF(K$3="","",IF(COUNTIFS(BD!$A$3:$A$5001,K$3,BD!$B$3:$B$5001,$A$24,BD!$V$3:$V$5001,"&lt;&gt;")=0,"",SUMIFS(BD!$V$3:$V$5001,BD!$A$3:$A$5001,K$3,BD!$B$3:$B$5001,$A$24)))</f>
        <v/>
      </c>
      <c r="L31" s="185" t="str">
        <f>IF(L$3="","",IF(COUNTIFS(BD!$A$3:$A$5001,L$3,BD!$B$3:$B$5001,$A$24,BD!$V$3:$V$5001,"&lt;&gt;")=0,"",SUMIFS(BD!$V$3:$V$5001,BD!$A$3:$A$5001,L$3,BD!$B$3:$B$5001,$A$24)))</f>
        <v/>
      </c>
      <c r="M31" s="185" t="str">
        <f>IF(M$3="","",IF(COUNTIFS(BD!$A$3:$A$5001,M$3,BD!$B$3:$B$5001,$A$24,BD!$V$3:$V$5001,"&lt;&gt;")=0,"",SUMIFS(BD!$V$3:$V$5001,BD!$A$3:$A$5001,M$3,BD!$B$3:$B$5001,$A$24)))</f>
        <v/>
      </c>
      <c r="N31" s="185" t="str">
        <f>IF(N$3="","",IF(COUNTIFS(BD!$A$3:$A$5001,N$3,BD!$B$3:$B$5001,$A$24,BD!$V$3:$V$5001,"&lt;&gt;")=0,"",SUMIFS(BD!$V$3:$V$5001,BD!$A$3:$A$5001,N$3,BD!$B$3:$B$5001,$A$24)))</f>
        <v/>
      </c>
      <c r="O31" s="185" t="str">
        <f>IF(O$3="","",IF(COUNTIFS(BD!$A$3:$A$5001,O$3,BD!$B$3:$B$5001,$A$24,BD!$V$3:$V$5001,"&lt;&gt;")=0,"",SUMIFS(BD!$V$3:$V$5001,BD!$A$3:$A$5001,O$3,BD!$B$3:$B$5001,$A$24)))</f>
        <v/>
      </c>
      <c r="P31" s="185" t="str">
        <f>IF(P$3="","",IF(COUNTIFS(BD!$A$3:$A$5001,P$3,BD!$B$3:$B$5001,$A$24,BD!$V$3:$V$5001,"&lt;&gt;")=0,"",SUMIFS(BD!$V$3:$V$5001,BD!$A$3:$A$5001,P$3,BD!$B$3:$B$5001,$A$24)))</f>
        <v/>
      </c>
      <c r="Q31" s="185" t="str">
        <f>IF(Q$3="","",IF(COUNTIFS(BD!$A$3:$A$5001,Q$3,BD!$B$3:$B$5001,$A$24,BD!$V$3:$V$5001,"&lt;&gt;")=0,"",SUMIFS(BD!$V$3:$V$5001,BD!$A$3:$A$5001,Q$3,BD!$B$3:$B$5001,$A$24)))</f>
        <v/>
      </c>
      <c r="R31" s="185" t="str">
        <f>IF(R$3="","",IF(COUNTIFS(BD!$A$3:$A$5001,R$3,BD!$B$3:$B$5001,$A$24,BD!$V$3:$V$5001,"&lt;&gt;")=0,"",SUMIFS(BD!$V$3:$V$5001,BD!$A$3:$A$5001,R$3,BD!$B$3:$B$5001,$A$24)))</f>
        <v/>
      </c>
      <c r="S31" s="185" t="str">
        <f>IF(S$3="","",IF(COUNTIFS(BD!$A$3:$A$5001,S$3,BD!$B$3:$B$5001,$A$24,BD!$V$3:$V$5001,"&lt;&gt;")=0,"",SUMIFS(BD!$V$3:$V$5001,BD!$A$3:$A$5001,S$3,BD!$B$3:$B$5001,$A$24)))</f>
        <v/>
      </c>
      <c r="T31" s="185" t="str">
        <f>IF(T$3="","",IF(COUNTIFS(BD!$A$3:$A$5001,T$3,BD!$B$3:$B$5001,$A$24,BD!$V$3:$V$5001,"&lt;&gt;")=0,"",SUMIFS(BD!$V$3:$V$5001,BD!$A$3:$A$5001,T$3,BD!$B$3:$B$5001,$A$24)))</f>
        <v/>
      </c>
      <c r="U31" s="185" t="str">
        <f>IF(U$3="","",IF(COUNTIFS(BD!$A$3:$A$5001,U$3,BD!$B$3:$B$5001,$A$24,BD!$V$3:$V$5001,"&lt;&gt;")=0,"",SUMIFS(BD!$V$3:$V$5001,BD!$A$3:$A$5001,U$3,BD!$B$3:$B$5001,$A$24)))</f>
        <v/>
      </c>
      <c r="V31" s="185" t="str">
        <f>IF(V$3="","",IF(COUNTIFS(BD!$A$3:$A$5001,V$3,BD!$B$3:$B$5001,$A$24,BD!$V$3:$V$5001,"&lt;&gt;")=0,"",SUMIFS(BD!$V$3:$V$5001,BD!$A$3:$A$5001,V$3,BD!$B$3:$B$5001,$A$24)))</f>
        <v/>
      </c>
      <c r="W31" s="185" t="str">
        <f>IF(W$3="","",IF(COUNTIFS(BD!$A$3:$A$5001,W$3,BD!$B$3:$B$5001,$A$24,BD!$V$3:$V$5001,"&lt;&gt;")=0,"",SUMIFS(BD!$V$3:$V$5001,BD!$A$3:$A$5001,W$3,BD!$B$3:$B$5001,$A$24)))</f>
        <v/>
      </c>
      <c r="X31" s="185" t="str">
        <f>IF(X$3="","",IF(COUNTIFS(BD!$A$3:$A$5001,X$3,BD!$B$3:$B$5001,$A$24,BD!$V$3:$V$5001,"&lt;&gt;")=0,"",SUMIFS(BD!$V$3:$V$5001,BD!$A$3:$A$5001,X$3,BD!$B$3:$B$5001,$A$24)))</f>
        <v/>
      </c>
      <c r="Y31" s="185" t="str">
        <f>IF(Y$3="","",IF(COUNTIFS(BD!$A$3:$A$5001,Y$3,BD!$B$3:$B$5001,$A$24,BD!$V$3:$V$5001,"&lt;&gt;")=0,"",SUMIFS(BD!$V$3:$V$5001,BD!$A$3:$A$5001,Y$3,BD!$B$3:$B$5001,$A$24)))</f>
        <v/>
      </c>
      <c r="Z31" s="185" t="str">
        <f>IF(Z$3="","",IF(COUNTIFS(BD!$A$3:$A$5001,Z$3,BD!$B$3:$B$5001,$A$24,BD!$V$3:$V$5001,"&lt;&gt;")=0,"",SUMIFS(BD!$V$3:$V$5001,BD!$A$3:$A$5001,Z$3,BD!$B$3:$B$5001,$A$24)))</f>
        <v/>
      </c>
      <c r="AA31" s="185" t="str">
        <f>IF(AA$3="","",IF(COUNTIFS(BD!$A$3:$A$5001,AA$3,BD!$B$3:$B$5001,$A$24,BD!$V$3:$V$5001,"&lt;&gt;")=0,"",SUMIFS(BD!$V$3:$V$5001,BD!$A$3:$A$5001,AA$3,BD!$B$3:$B$5001,$A$24)))</f>
        <v/>
      </c>
      <c r="AB31" s="185" t="str">
        <f>IF(AB$3="","",IF(COUNTIFS(BD!$A$3:$A$5001,AB$3,BD!$B$3:$B$5001,$A$24,BD!$V$3:$V$5001,"&lt;&gt;")=0,"",SUMIFS(BD!$V$3:$V$5001,BD!$A$3:$A$5001,AB$3,BD!$B$3:$B$5001,$A$24)))</f>
        <v/>
      </c>
      <c r="AC31" s="185" t="str">
        <f>IF(AC$3="","",IF(COUNTIFS(BD!$A$3:$A$5001,AC$3,BD!$B$3:$B$5001,$A$24,BD!$V$3:$V$5001,"&lt;&gt;")=0,"",SUMIFS(BD!$V$3:$V$5001,BD!$A$3:$A$5001,AC$3,BD!$B$3:$B$5001,$A$24)))</f>
        <v/>
      </c>
      <c r="AD31" s="185" t="str">
        <f>IF(AD$3="","",IF(COUNTIFS(BD!$A$3:$A$5001,AD$3,BD!$B$3:$B$5001,$A$24,BD!$V$3:$V$5001,"&lt;&gt;")=0,"",SUMIFS(BD!$V$3:$V$5001,BD!$A$3:$A$5001,AD$3,BD!$B$3:$B$5001,$A$24)))</f>
        <v/>
      </c>
      <c r="AE31" s="185" t="str">
        <f>IF(AE$3="","",IF(COUNTIFS(BD!$A$3:$A$5001,AE$3,BD!$B$3:$B$5001,$A$24,BD!$V$3:$V$5001,"&lt;&gt;")=0,"",SUMIFS(BD!$V$3:$V$5001,BD!$A$3:$A$5001,AE$3,BD!$B$3:$B$5001,$A$24)))</f>
        <v/>
      </c>
      <c r="AF31" s="185" t="str">
        <f>IF(AF$3="","",IF(COUNTIFS(BD!$A$3:$A$5001,AF$3,BD!$B$3:$B$5001,$A$24,BD!$V$3:$V$5001,"&lt;&gt;")=0,"",SUMIFS(BD!$V$3:$V$5001,BD!$A$3:$A$5001,AF$3,BD!$B$3:$B$5001,$A$24)))</f>
        <v/>
      </c>
      <c r="AG31" s="185" t="str">
        <f>IF(AG$3="","",IF(COUNTIFS(BD!$A$3:$A$5001,AG$3,BD!$B$3:$B$5001,$A$24,BD!$V$3:$V$5001,"&lt;&gt;")=0,"",SUMIFS(BD!$V$3:$V$5001,BD!$A$3:$A$5001,AG$3,BD!$B$3:$B$5001,$A$24)))</f>
        <v/>
      </c>
      <c r="AH31" s="185" t="str">
        <f>IF(AH$3="","",IF(COUNTIFS(BD!$A$3:$A$5001,AH$3,BD!$B$3:$B$5001,$A$24,BD!$V$3:$V$5001,"&lt;&gt;")=0,"",SUMIFS(BD!$V$3:$V$5001,BD!$A$3:$A$5001,AH$3,BD!$B$3:$B$5001,$A$24)))</f>
        <v/>
      </c>
      <c r="AI31" s="185" t="str">
        <f>IF(AI$3="","",IF(COUNTIFS(BD!$A$3:$A$5001,AI$3,BD!$B$3:$B$5001,$A$24,BD!$V$3:$V$5001,"&lt;&gt;")=0,"",SUMIFS(BD!$V$3:$V$5001,BD!$A$3:$A$5001,AI$3,BD!$B$3:$B$5001,$A$24)))</f>
        <v/>
      </c>
      <c r="AJ31" s="186" t="str">
        <f>IF(AJ$3="","",IF(COUNTIFS(BD!$A$3:$A$5001,AJ$3,BD!$B$3:$B$5001,$A$24,BD!$V$3:$V$5001,"&lt;&gt;")=0,"",SUMIFS(BD!$V$3:$V$5001,BD!$A$3:$A$5001,AJ$3,BD!$B$3:$B$5001,$A$24)))</f>
        <v/>
      </c>
      <c r="AK31" s="187" t="str">
        <f>IF(COUNT(F31:AJ31)=0,"",SUM(F31:AJ31))</f>
        <v/>
      </c>
    </row>
    <row r="32" ht="15.75" customHeight="1">
      <c r="A32" s="237"/>
      <c r="B32" s="231"/>
      <c r="C32" s="188" t="inlineStr">
        <is>
          <t xml:space="preserve">Backlog</t>
        </is>
      </c>
      <c r="D32" s="189" t="str">
        <f>IFERROR(1/(1/INDEX(BD!$AK$43:$AU$43,MATCH($A$24,BD!$AK$22:$AU$22,0))),"")</f>
        <v/>
      </c>
      <c r="E32" s="190"/>
      <c r="F32" s="191" t="str">
        <f>IF(F$3="","",IF(COUNTIFS(BD!$A$3:$A$5001,F$3,BD!$B$3:$B$5001,$A$24,BD!$W$3:$W$5001,"&lt;&gt;")=0,"",SUMIFS(BD!$W$3:$W$5001,BD!$A$3:$A$5001,F$3,BD!$B$3:$B$5001,$A$24)))</f>
        <v/>
      </c>
      <c r="G32" s="192" t="str">
        <f>IF(G$3="","",IF(COUNTIFS(BD!$A$3:$A$5001,G$3,BD!$B$3:$B$5001,$A$24,BD!$W$3:$W$5001,"&lt;&gt;")=0,"",SUMIFS(BD!$W$3:$W$5001,BD!$A$3:$A$5001,G$3,BD!$B$3:$B$5001,$A$24)))</f>
        <v/>
      </c>
      <c r="H32" s="192" t="str">
        <f>IF(H$3="","",IF(COUNTIFS(BD!$A$3:$A$5001,H$3,BD!$B$3:$B$5001,$A$24,BD!$W$3:$W$5001,"&lt;&gt;")=0,"",SUMIFS(BD!$W$3:$W$5001,BD!$A$3:$A$5001,H$3,BD!$B$3:$B$5001,$A$24)))</f>
        <v/>
      </c>
      <c r="I32" s="192" t="str">
        <f>IF(I$3="","",IF(COUNTIFS(BD!$A$3:$A$5001,I$3,BD!$B$3:$B$5001,$A$24,BD!$W$3:$W$5001,"&lt;&gt;")=0,"",SUMIFS(BD!$W$3:$W$5001,BD!$A$3:$A$5001,I$3,BD!$B$3:$B$5001,$A$24)))</f>
        <v/>
      </c>
      <c r="J32" s="192" t="str">
        <f>IF(J$3="","",IF(COUNTIFS(BD!$A$3:$A$5001,J$3,BD!$B$3:$B$5001,$A$24,BD!$W$3:$W$5001,"&lt;&gt;")=0,"",SUMIFS(BD!$W$3:$W$5001,BD!$A$3:$A$5001,J$3,BD!$B$3:$B$5001,$A$24)))</f>
        <v/>
      </c>
      <c r="K32" s="192" t="str">
        <f>IF(K$3="","",IF(COUNTIFS(BD!$A$3:$A$5001,K$3,BD!$B$3:$B$5001,$A$24,BD!$W$3:$W$5001,"&lt;&gt;")=0,"",SUMIFS(BD!$W$3:$W$5001,BD!$A$3:$A$5001,K$3,BD!$B$3:$B$5001,$A$24)))</f>
        <v/>
      </c>
      <c r="L32" s="192" t="str">
        <f>IF(L$3="","",IF(COUNTIFS(BD!$A$3:$A$5001,L$3,BD!$B$3:$B$5001,$A$24,BD!$W$3:$W$5001,"&lt;&gt;")=0,"",SUMIFS(BD!$W$3:$W$5001,BD!$A$3:$A$5001,L$3,BD!$B$3:$B$5001,$A$24)))</f>
        <v/>
      </c>
      <c r="M32" s="192" t="str">
        <f>IF(M$3="","",IF(COUNTIFS(BD!$A$3:$A$5001,M$3,BD!$B$3:$B$5001,$A$24,BD!$W$3:$W$5001,"&lt;&gt;")=0,"",SUMIFS(BD!$W$3:$W$5001,BD!$A$3:$A$5001,M$3,BD!$B$3:$B$5001,$A$24)))</f>
        <v/>
      </c>
      <c r="N32" s="192" t="str">
        <f>IF(N$3="","",IF(COUNTIFS(BD!$A$3:$A$5001,N$3,BD!$B$3:$B$5001,$A$24,BD!$W$3:$W$5001,"&lt;&gt;")=0,"",SUMIFS(BD!$W$3:$W$5001,BD!$A$3:$A$5001,N$3,BD!$B$3:$B$5001,$A$24)))</f>
        <v/>
      </c>
      <c r="O32" s="192" t="str">
        <f>IF(O$3="","",IF(COUNTIFS(BD!$A$3:$A$5001,O$3,BD!$B$3:$B$5001,$A$24,BD!$W$3:$W$5001,"&lt;&gt;")=0,"",SUMIFS(BD!$W$3:$W$5001,BD!$A$3:$A$5001,O$3,BD!$B$3:$B$5001,$A$24)))</f>
        <v/>
      </c>
      <c r="P32" s="192" t="str">
        <f>IF(P$3="","",IF(COUNTIFS(BD!$A$3:$A$5001,P$3,BD!$B$3:$B$5001,$A$24,BD!$W$3:$W$5001,"&lt;&gt;")=0,"",SUMIFS(BD!$W$3:$W$5001,BD!$A$3:$A$5001,P$3,BD!$B$3:$B$5001,$A$24)))</f>
        <v/>
      </c>
      <c r="Q32" s="192" t="str">
        <f>IF(Q$3="","",IF(COUNTIFS(BD!$A$3:$A$5001,Q$3,BD!$B$3:$B$5001,$A$24,BD!$W$3:$W$5001,"&lt;&gt;")=0,"",SUMIFS(BD!$W$3:$W$5001,BD!$A$3:$A$5001,Q$3,BD!$B$3:$B$5001,$A$24)))</f>
        <v/>
      </c>
      <c r="R32" s="192" t="str">
        <f>IF(R$3="","",IF(COUNTIFS(BD!$A$3:$A$5001,R$3,BD!$B$3:$B$5001,$A$24,BD!$W$3:$W$5001,"&lt;&gt;")=0,"",SUMIFS(BD!$W$3:$W$5001,BD!$A$3:$A$5001,R$3,BD!$B$3:$B$5001,$A$24)))</f>
        <v/>
      </c>
      <c r="S32" s="192" t="str">
        <f>IF(S$3="","",IF(COUNTIFS(BD!$A$3:$A$5001,S$3,BD!$B$3:$B$5001,$A$24,BD!$W$3:$W$5001,"&lt;&gt;")=0,"",SUMIFS(BD!$W$3:$W$5001,BD!$A$3:$A$5001,S$3,BD!$B$3:$B$5001,$A$24)))</f>
        <v/>
      </c>
      <c r="T32" s="192" t="str">
        <f>IF(T$3="","",IF(COUNTIFS(BD!$A$3:$A$5001,T$3,BD!$B$3:$B$5001,$A$24,BD!$W$3:$W$5001,"&lt;&gt;")=0,"",SUMIFS(BD!$W$3:$W$5001,BD!$A$3:$A$5001,T$3,BD!$B$3:$B$5001,$A$24)))</f>
        <v/>
      </c>
      <c r="U32" s="192" t="str">
        <f>IF(U$3="","",IF(COUNTIFS(BD!$A$3:$A$5001,U$3,BD!$B$3:$B$5001,$A$24,BD!$W$3:$W$5001,"&lt;&gt;")=0,"",SUMIFS(BD!$W$3:$W$5001,BD!$A$3:$A$5001,U$3,BD!$B$3:$B$5001,$A$24)))</f>
        <v/>
      </c>
      <c r="V32" s="192" t="str">
        <f>IF(V$3="","",IF(COUNTIFS(BD!$A$3:$A$5001,V$3,BD!$B$3:$B$5001,$A$24,BD!$W$3:$W$5001,"&lt;&gt;")=0,"",SUMIFS(BD!$W$3:$W$5001,BD!$A$3:$A$5001,V$3,BD!$B$3:$B$5001,$A$24)))</f>
        <v/>
      </c>
      <c r="W32" s="192" t="str">
        <f>IF(W$3="","",IF(COUNTIFS(BD!$A$3:$A$5001,W$3,BD!$B$3:$B$5001,$A$24,BD!$W$3:$W$5001,"&lt;&gt;")=0,"",SUMIFS(BD!$W$3:$W$5001,BD!$A$3:$A$5001,W$3,BD!$B$3:$B$5001,$A$24)))</f>
        <v/>
      </c>
      <c r="X32" s="192" t="str">
        <f>IF(X$3="","",IF(COUNTIFS(BD!$A$3:$A$5001,X$3,BD!$B$3:$B$5001,$A$24,BD!$W$3:$W$5001,"&lt;&gt;")=0,"",SUMIFS(BD!$W$3:$W$5001,BD!$A$3:$A$5001,X$3,BD!$B$3:$B$5001,$A$24)))</f>
        <v/>
      </c>
      <c r="Y32" s="192" t="str">
        <f>IF(Y$3="","",IF(COUNTIFS(BD!$A$3:$A$5001,Y$3,BD!$B$3:$B$5001,$A$24,BD!$W$3:$W$5001,"&lt;&gt;")=0,"",SUMIFS(BD!$W$3:$W$5001,BD!$A$3:$A$5001,Y$3,BD!$B$3:$B$5001,$A$24)))</f>
        <v/>
      </c>
      <c r="Z32" s="192" t="str">
        <f>IF(Z$3="","",IF(COUNTIFS(BD!$A$3:$A$5001,Z$3,BD!$B$3:$B$5001,$A$24,BD!$W$3:$W$5001,"&lt;&gt;")=0,"",SUMIFS(BD!$W$3:$W$5001,BD!$A$3:$A$5001,Z$3,BD!$B$3:$B$5001,$A$24)))</f>
        <v/>
      </c>
      <c r="AA32" s="192" t="str">
        <f>IF(AA$3="","",IF(COUNTIFS(BD!$A$3:$A$5001,AA$3,BD!$B$3:$B$5001,$A$24,BD!$W$3:$W$5001,"&lt;&gt;")=0,"",SUMIFS(BD!$W$3:$W$5001,BD!$A$3:$A$5001,AA$3,BD!$B$3:$B$5001,$A$24)))</f>
        <v/>
      </c>
      <c r="AB32" s="192" t="str">
        <f>IF(AB$3="","",IF(COUNTIFS(BD!$A$3:$A$5001,AB$3,BD!$B$3:$B$5001,$A$24,BD!$W$3:$W$5001,"&lt;&gt;")=0,"",SUMIFS(BD!$W$3:$W$5001,BD!$A$3:$A$5001,AB$3,BD!$B$3:$B$5001,$A$24)))</f>
        <v/>
      </c>
      <c r="AC32" s="192" t="str">
        <f>IF(AC$3="","",IF(COUNTIFS(BD!$A$3:$A$5001,AC$3,BD!$B$3:$B$5001,$A$24,BD!$W$3:$W$5001,"&lt;&gt;")=0,"",SUMIFS(BD!$W$3:$W$5001,BD!$A$3:$A$5001,AC$3,BD!$B$3:$B$5001,$A$24)))</f>
        <v/>
      </c>
      <c r="AD32" s="192" t="str">
        <f>IF(AD$3="","",IF(COUNTIFS(BD!$A$3:$A$5001,AD$3,BD!$B$3:$B$5001,$A$24,BD!$W$3:$W$5001,"&lt;&gt;")=0,"",SUMIFS(BD!$W$3:$W$5001,BD!$A$3:$A$5001,AD$3,BD!$B$3:$B$5001,$A$24)))</f>
        <v/>
      </c>
      <c r="AE32" s="192" t="str">
        <f>IF(AE$3="","",IF(COUNTIFS(BD!$A$3:$A$5001,AE$3,BD!$B$3:$B$5001,$A$24,BD!$W$3:$W$5001,"&lt;&gt;")=0,"",SUMIFS(BD!$W$3:$W$5001,BD!$A$3:$A$5001,AE$3,BD!$B$3:$B$5001,$A$24)))</f>
        <v/>
      </c>
      <c r="AF32" s="192" t="str">
        <f>IF(AF$3="","",IF(COUNTIFS(BD!$A$3:$A$5001,AF$3,BD!$B$3:$B$5001,$A$24,BD!$W$3:$W$5001,"&lt;&gt;")=0,"",SUMIFS(BD!$W$3:$W$5001,BD!$A$3:$A$5001,AF$3,BD!$B$3:$B$5001,$A$24)))</f>
        <v/>
      </c>
      <c r="AG32" s="192" t="str">
        <f>IF(AG$3="","",IF(COUNTIFS(BD!$A$3:$A$5001,AG$3,BD!$B$3:$B$5001,$A$24,BD!$W$3:$W$5001,"&lt;&gt;")=0,"",SUMIFS(BD!$W$3:$W$5001,BD!$A$3:$A$5001,AG$3,BD!$B$3:$B$5001,$A$24)))</f>
        <v/>
      </c>
      <c r="AH32" s="192" t="str">
        <f>IF(AH$3="","",IF(COUNTIFS(BD!$A$3:$A$5001,AH$3,BD!$B$3:$B$5001,$A$24,BD!$W$3:$W$5001,"&lt;&gt;")=0,"",SUMIFS(BD!$W$3:$W$5001,BD!$A$3:$A$5001,AH$3,BD!$B$3:$B$5001,$A$24)))</f>
        <v/>
      </c>
      <c r="AI32" s="192" t="str">
        <f>IF(AI$3="","",IF(COUNTIFS(BD!$A$3:$A$5001,AI$3,BD!$B$3:$B$5001,$A$24,BD!$W$3:$W$5001,"&lt;&gt;")=0,"",SUMIFS(BD!$W$3:$W$5001,BD!$A$3:$A$5001,AI$3,BD!$B$3:$B$5001,$A$24)))</f>
        <v/>
      </c>
      <c r="AJ32" s="193" t="str">
        <f>IF(AJ$3="","",IF(COUNTIFS(BD!$A$3:$A$5001,AJ$3,BD!$B$3:$B$5001,$A$24,BD!$W$3:$W$5001,"&lt;&gt;")=0,"",SUMIFS(BD!$W$3:$W$5001,BD!$A$3:$A$5001,AJ$3,BD!$B$3:$B$5001,$A$24)))</f>
        <v/>
      </c>
      <c r="AK32" s="189" t="str">
        <f>IFERROR(LOOKUP(9.99E+307,F32:AJ32),"")</f>
        <v/>
      </c>
    </row>
    <row r="33" ht="15.75" customHeight="1">
      <c r="A33" s="237"/>
      <c r="B33" s="225" t="inlineStr">
        <is>
          <t xml:space="preserve">OCUPAÇÃO (P.P)</t>
        </is>
      </c>
      <c r="C33" s="148" t="inlineStr">
        <is>
          <t xml:space="preserve">Posições Disponíveis</t>
        </is>
      </c>
      <c r="D33" s="149" t="str">
        <f>IFERROR(1/(1/INDEX(BD!$AK$44:$AU$44,MATCH($A$24,BD!$AK$22:$AU$22,0))),"")</f>
        <v/>
      </c>
      <c r="E33" s="150"/>
      <c r="F33" s="151" t="str">
        <f>IF(F$3="","",IF(COUNTIFS(BD!$A$3:$A$5001,F$3,BD!$B$3:$B$5001,$A$24,BD!$X$3:$X$5001,"&lt;&gt;")=0,"",SUMIFS(BD!$X$3:$X$5001,BD!$A$3:$A$5001,F$3,BD!$B$3:$B$5001,$A$24)))</f>
        <v/>
      </c>
      <c r="G33" s="152" t="str">
        <f>IF(G$3="","",IF(COUNTIFS(BD!$A$3:$A$5001,G$3,BD!$B$3:$B$5001,$A$24,BD!$X$3:$X$5001,"&lt;&gt;")=0,"",SUMIFS(BD!$X$3:$X$5001,BD!$A$3:$A$5001,G$3,BD!$B$3:$B$5001,$A$24)))</f>
        <v/>
      </c>
      <c r="H33" s="152" t="str">
        <f>IF(H$3="","",IF(COUNTIFS(BD!$A$3:$A$5001,H$3,BD!$B$3:$B$5001,$A$24,BD!$X$3:$X$5001,"&lt;&gt;")=0,"",SUMIFS(BD!$X$3:$X$5001,BD!$A$3:$A$5001,H$3,BD!$B$3:$B$5001,$A$24)))</f>
        <v/>
      </c>
      <c r="I33" s="152" t="str">
        <f>IF(I$3="","",IF(COUNTIFS(BD!$A$3:$A$5001,I$3,BD!$B$3:$B$5001,$A$24,BD!$X$3:$X$5001,"&lt;&gt;")=0,"",SUMIFS(BD!$X$3:$X$5001,BD!$A$3:$A$5001,I$3,BD!$B$3:$B$5001,$A$24)))</f>
        <v/>
      </c>
      <c r="J33" s="152" t="str">
        <f>IF(J$3="","",IF(COUNTIFS(BD!$A$3:$A$5001,J$3,BD!$B$3:$B$5001,$A$24,BD!$X$3:$X$5001,"&lt;&gt;")=0,"",SUMIFS(BD!$X$3:$X$5001,BD!$A$3:$A$5001,J$3,BD!$B$3:$B$5001,$A$24)))</f>
        <v/>
      </c>
      <c r="K33" s="152" t="str">
        <f>IF(K$3="","",IF(COUNTIFS(BD!$A$3:$A$5001,K$3,BD!$B$3:$B$5001,$A$24,BD!$X$3:$X$5001,"&lt;&gt;")=0,"",SUMIFS(BD!$X$3:$X$5001,BD!$A$3:$A$5001,K$3,BD!$B$3:$B$5001,$A$24)))</f>
        <v/>
      </c>
      <c r="L33" s="152" t="str">
        <f>IF(L$3="","",IF(COUNTIFS(BD!$A$3:$A$5001,L$3,BD!$B$3:$B$5001,$A$24,BD!$X$3:$X$5001,"&lt;&gt;")=0,"",SUMIFS(BD!$X$3:$X$5001,BD!$A$3:$A$5001,L$3,BD!$B$3:$B$5001,$A$24)))</f>
        <v/>
      </c>
      <c r="M33" s="152" t="str">
        <f>IF(M$3="","",IF(COUNTIFS(BD!$A$3:$A$5001,M$3,BD!$B$3:$B$5001,$A$24,BD!$X$3:$X$5001,"&lt;&gt;")=0,"",SUMIFS(BD!$X$3:$X$5001,BD!$A$3:$A$5001,M$3,BD!$B$3:$B$5001,$A$24)))</f>
        <v/>
      </c>
      <c r="N33" s="152" t="str">
        <f>IF(N$3="","",IF(COUNTIFS(BD!$A$3:$A$5001,N$3,BD!$B$3:$B$5001,$A$24,BD!$X$3:$X$5001,"&lt;&gt;")=0,"",SUMIFS(BD!$X$3:$X$5001,BD!$A$3:$A$5001,N$3,BD!$B$3:$B$5001,$A$24)))</f>
        <v/>
      </c>
      <c r="O33" s="152" t="str">
        <f>IF(O$3="","",IF(COUNTIFS(BD!$A$3:$A$5001,O$3,BD!$B$3:$B$5001,$A$24,BD!$X$3:$X$5001,"&lt;&gt;")=0,"",SUMIFS(BD!$X$3:$X$5001,BD!$A$3:$A$5001,O$3,BD!$B$3:$B$5001,$A$24)))</f>
        <v/>
      </c>
      <c r="P33" s="152" t="str">
        <f>IF(P$3="","",IF(COUNTIFS(BD!$A$3:$A$5001,P$3,BD!$B$3:$B$5001,$A$24,BD!$X$3:$X$5001,"&lt;&gt;")=0,"",SUMIFS(BD!$X$3:$X$5001,BD!$A$3:$A$5001,P$3,BD!$B$3:$B$5001,$A$24)))</f>
        <v/>
      </c>
      <c r="Q33" s="152" t="str">
        <f>IF(Q$3="","",IF(COUNTIFS(BD!$A$3:$A$5001,Q$3,BD!$B$3:$B$5001,$A$24,BD!$X$3:$X$5001,"&lt;&gt;")=0,"",SUMIFS(BD!$X$3:$X$5001,BD!$A$3:$A$5001,Q$3,BD!$B$3:$B$5001,$A$24)))</f>
        <v/>
      </c>
      <c r="R33" s="152" t="str">
        <f>IF(R$3="","",IF(COUNTIFS(BD!$A$3:$A$5001,R$3,BD!$B$3:$B$5001,$A$24,BD!$X$3:$X$5001,"&lt;&gt;")=0,"",SUMIFS(BD!$X$3:$X$5001,BD!$A$3:$A$5001,R$3,BD!$B$3:$B$5001,$A$24)))</f>
        <v/>
      </c>
      <c r="S33" s="152" t="str">
        <f>IF(S$3="","",IF(COUNTIFS(BD!$A$3:$A$5001,S$3,BD!$B$3:$B$5001,$A$24,BD!$X$3:$X$5001,"&lt;&gt;")=0,"",SUMIFS(BD!$X$3:$X$5001,BD!$A$3:$A$5001,S$3,BD!$B$3:$B$5001,$A$24)))</f>
        <v/>
      </c>
      <c r="T33" s="152" t="str">
        <f>IF(T$3="","",IF(COUNTIFS(BD!$A$3:$A$5001,T$3,BD!$B$3:$B$5001,$A$24,BD!$X$3:$X$5001,"&lt;&gt;")=0,"",SUMIFS(BD!$X$3:$X$5001,BD!$A$3:$A$5001,T$3,BD!$B$3:$B$5001,$A$24)))</f>
        <v/>
      </c>
      <c r="U33" s="152" t="str">
        <f>IF(U$3="","",IF(COUNTIFS(BD!$A$3:$A$5001,U$3,BD!$B$3:$B$5001,$A$24,BD!$X$3:$X$5001,"&lt;&gt;")=0,"",SUMIFS(BD!$X$3:$X$5001,BD!$A$3:$A$5001,U$3,BD!$B$3:$B$5001,$A$24)))</f>
        <v/>
      </c>
      <c r="V33" s="152" t="str">
        <f>IF(V$3="","",IF(COUNTIFS(BD!$A$3:$A$5001,V$3,BD!$B$3:$B$5001,$A$24,BD!$X$3:$X$5001,"&lt;&gt;")=0,"",SUMIFS(BD!$X$3:$X$5001,BD!$A$3:$A$5001,V$3,BD!$B$3:$B$5001,$A$24)))</f>
        <v/>
      </c>
      <c r="W33" s="152" t="str">
        <f>IF(W$3="","",IF(COUNTIFS(BD!$A$3:$A$5001,W$3,BD!$B$3:$B$5001,$A$24,BD!$X$3:$X$5001,"&lt;&gt;")=0,"",SUMIFS(BD!$X$3:$X$5001,BD!$A$3:$A$5001,W$3,BD!$B$3:$B$5001,$A$24)))</f>
        <v/>
      </c>
      <c r="X33" s="152" t="str">
        <f>IF(X$3="","",IF(COUNTIFS(BD!$A$3:$A$5001,X$3,BD!$B$3:$B$5001,$A$24,BD!$X$3:$X$5001,"&lt;&gt;")=0,"",SUMIFS(BD!$X$3:$X$5001,BD!$A$3:$A$5001,X$3,BD!$B$3:$B$5001,$A$24)))</f>
        <v/>
      </c>
      <c r="Y33" s="152" t="str">
        <f>IF(Y$3="","",IF(COUNTIFS(BD!$A$3:$A$5001,Y$3,BD!$B$3:$B$5001,$A$24,BD!$X$3:$X$5001,"&lt;&gt;")=0,"",SUMIFS(BD!$X$3:$X$5001,BD!$A$3:$A$5001,Y$3,BD!$B$3:$B$5001,$A$24)))</f>
        <v/>
      </c>
      <c r="Z33" s="152" t="str">
        <f>IF(Z$3="","",IF(COUNTIFS(BD!$A$3:$A$5001,Z$3,BD!$B$3:$B$5001,$A$24,BD!$X$3:$X$5001,"&lt;&gt;")=0,"",SUMIFS(BD!$X$3:$X$5001,BD!$A$3:$A$5001,Z$3,BD!$B$3:$B$5001,$A$24)))</f>
        <v/>
      </c>
      <c r="AA33" s="152" t="str">
        <f>IF(AA$3="","",IF(COUNTIFS(BD!$A$3:$A$5001,AA$3,BD!$B$3:$B$5001,$A$24,BD!$X$3:$X$5001,"&lt;&gt;")=0,"",SUMIFS(BD!$X$3:$X$5001,BD!$A$3:$A$5001,AA$3,BD!$B$3:$B$5001,$A$24)))</f>
        <v/>
      </c>
      <c r="AB33" s="152" t="str">
        <f>IF(AB$3="","",IF(COUNTIFS(BD!$A$3:$A$5001,AB$3,BD!$B$3:$B$5001,$A$24,BD!$X$3:$X$5001,"&lt;&gt;")=0,"",SUMIFS(BD!$X$3:$X$5001,BD!$A$3:$A$5001,AB$3,BD!$B$3:$B$5001,$A$24)))</f>
        <v/>
      </c>
      <c r="AC33" s="152" t="str">
        <f>IF(AC$3="","",IF(COUNTIFS(BD!$A$3:$A$5001,AC$3,BD!$B$3:$B$5001,$A$24,BD!$X$3:$X$5001,"&lt;&gt;")=0,"",SUMIFS(BD!$X$3:$X$5001,BD!$A$3:$A$5001,AC$3,BD!$B$3:$B$5001,$A$24)))</f>
        <v/>
      </c>
      <c r="AD33" s="152" t="str">
        <f>IF(AD$3="","",IF(COUNTIFS(BD!$A$3:$A$5001,AD$3,BD!$B$3:$B$5001,$A$24,BD!$X$3:$X$5001,"&lt;&gt;")=0,"",SUMIFS(BD!$X$3:$X$5001,BD!$A$3:$A$5001,AD$3,BD!$B$3:$B$5001,$A$24)))</f>
        <v/>
      </c>
      <c r="AE33" s="152" t="str">
        <f>IF(AE$3="","",IF(COUNTIFS(BD!$A$3:$A$5001,AE$3,BD!$B$3:$B$5001,$A$24,BD!$X$3:$X$5001,"&lt;&gt;")=0,"",SUMIFS(BD!$X$3:$X$5001,BD!$A$3:$A$5001,AE$3,BD!$B$3:$B$5001,$A$24)))</f>
        <v/>
      </c>
      <c r="AF33" s="152" t="str">
        <f>IF(AF$3="","",IF(COUNTIFS(BD!$A$3:$A$5001,AF$3,BD!$B$3:$B$5001,$A$24,BD!$X$3:$X$5001,"&lt;&gt;")=0,"",SUMIFS(BD!$X$3:$X$5001,BD!$A$3:$A$5001,AF$3,BD!$B$3:$B$5001,$A$24)))</f>
        <v/>
      </c>
      <c r="AG33" s="152" t="str">
        <f>IF(AG$3="","",IF(COUNTIFS(BD!$A$3:$A$5001,AG$3,BD!$B$3:$B$5001,$A$24,BD!$X$3:$X$5001,"&lt;&gt;")=0,"",SUMIFS(BD!$X$3:$X$5001,BD!$A$3:$A$5001,AG$3,BD!$B$3:$B$5001,$A$24)))</f>
        <v/>
      </c>
      <c r="AH33" s="152" t="str">
        <f>IF(AH$3="","",IF(COUNTIFS(BD!$A$3:$A$5001,AH$3,BD!$B$3:$B$5001,$A$24,BD!$X$3:$X$5001,"&lt;&gt;")=0,"",SUMIFS(BD!$X$3:$X$5001,BD!$A$3:$A$5001,AH$3,BD!$B$3:$B$5001,$A$24)))</f>
        <v/>
      </c>
      <c r="AI33" s="152" t="str">
        <f>IF(AI$3="","",IF(COUNTIFS(BD!$A$3:$A$5001,AI$3,BD!$B$3:$B$5001,$A$24,BD!$X$3:$X$5001,"&lt;&gt;")=0,"",SUMIFS(BD!$X$3:$X$5001,BD!$A$3:$A$5001,AI$3,BD!$B$3:$B$5001,$A$24)))</f>
        <v/>
      </c>
      <c r="AJ33" s="153" t="str">
        <f>IF(AJ$3="","",IF(COUNTIFS(BD!$A$3:$A$5001,AJ$3,BD!$B$3:$B$5001,$A$24,BD!$X$3:$X$5001,"&lt;&gt;")=0,"",SUMIFS(BD!$X$3:$X$5001,BD!$A$3:$A$5001,AJ$3,BD!$B$3:$B$5001,$A$24)))</f>
        <v/>
      </c>
      <c r="AK33" s="154" t="str">
        <f>IF(COUNT(F33:AJ33)&gt;0,LOOKUP(9.99E+307,F33:AJ33),IFERROR(IF(INDEX(BD!$AH$3:$AH$5001,MATCH($A$24,BD!$B$3:$B$5001,0))&amp;""="Contrato","",INDEX(BD!$AH$3:$AH$5001,MATCH($A$24,BD!$B$3:$B$5001,0))&amp;""),""))</f>
        <v/>
      </c>
    </row>
    <row r="34" ht="15.75" customHeight="1">
      <c r="A34" s="237"/>
      <c r="B34" s="232"/>
      <c r="C34" s="194" t="inlineStr">
        <is>
          <t xml:space="preserve">Posições Ocupadas</t>
        </is>
      </c>
      <c r="D34" s="195" t="str">
        <f>IFERROR(1/(1/INDEX(BD!$AK$45:$AU$45,MATCH($A$24,BD!$AK$22:$AU$22,0))),"")</f>
        <v/>
      </c>
      <c r="E34" s="196"/>
      <c r="F34" s="197" t="str">
        <f>IF(F$3="","",IF(COUNTIFS(BD!$A$3:$A$5001,F$3,BD!$B$3:$B$5001,$A$24,BD!$Y$3:$Y$5001,"&lt;&gt;")=0,"",SUMIFS(BD!$Y$3:$Y$5001,BD!$A$3:$A$5001,F$3,BD!$B$3:$B$5001,$A$24)))</f>
        <v/>
      </c>
      <c r="G34" s="198" t="str">
        <f>IF(G$3="","",IF(COUNTIFS(BD!$A$3:$A$5001,G$3,BD!$B$3:$B$5001,$A$24,BD!$Y$3:$Y$5001,"&lt;&gt;")=0,"",SUMIFS(BD!$Y$3:$Y$5001,BD!$A$3:$A$5001,G$3,BD!$B$3:$B$5001,$A$24)))</f>
        <v/>
      </c>
      <c r="H34" s="198" t="str">
        <f>IF(H$3="","",IF(COUNTIFS(BD!$A$3:$A$5001,H$3,BD!$B$3:$B$5001,$A$24,BD!$Y$3:$Y$5001,"&lt;&gt;")=0,"",SUMIFS(BD!$Y$3:$Y$5001,BD!$A$3:$A$5001,H$3,BD!$B$3:$B$5001,$A$24)))</f>
        <v/>
      </c>
      <c r="I34" s="198" t="str">
        <f>IF(I$3="","",IF(COUNTIFS(BD!$A$3:$A$5001,I$3,BD!$B$3:$B$5001,$A$24,BD!$Y$3:$Y$5001,"&lt;&gt;")=0,"",SUMIFS(BD!$Y$3:$Y$5001,BD!$A$3:$A$5001,I$3,BD!$B$3:$B$5001,$A$24)))</f>
        <v/>
      </c>
      <c r="J34" s="198" t="str">
        <f>IF(J$3="","",IF(COUNTIFS(BD!$A$3:$A$5001,J$3,BD!$B$3:$B$5001,$A$24,BD!$Y$3:$Y$5001,"&lt;&gt;")=0,"",SUMIFS(BD!$Y$3:$Y$5001,BD!$A$3:$A$5001,J$3,BD!$B$3:$B$5001,$A$24)))</f>
        <v/>
      </c>
      <c r="K34" s="198" t="str">
        <f>IF(K$3="","",IF(COUNTIFS(BD!$A$3:$A$5001,K$3,BD!$B$3:$B$5001,$A$24,BD!$Y$3:$Y$5001,"&lt;&gt;")=0,"",SUMIFS(BD!$Y$3:$Y$5001,BD!$A$3:$A$5001,K$3,BD!$B$3:$B$5001,$A$24)))</f>
        <v/>
      </c>
      <c r="L34" s="198" t="str">
        <f>IF(L$3="","",IF(COUNTIFS(BD!$A$3:$A$5001,L$3,BD!$B$3:$B$5001,$A$24,BD!$Y$3:$Y$5001,"&lt;&gt;")=0,"",SUMIFS(BD!$Y$3:$Y$5001,BD!$A$3:$A$5001,L$3,BD!$B$3:$B$5001,$A$24)))</f>
        <v/>
      </c>
      <c r="M34" s="198" t="str">
        <f>IF(M$3="","",IF(COUNTIFS(BD!$A$3:$A$5001,M$3,BD!$B$3:$B$5001,$A$24,BD!$Y$3:$Y$5001,"&lt;&gt;")=0,"",SUMIFS(BD!$Y$3:$Y$5001,BD!$A$3:$A$5001,M$3,BD!$B$3:$B$5001,$A$24)))</f>
        <v/>
      </c>
      <c r="N34" s="198" t="str">
        <f>IF(N$3="","",IF(COUNTIFS(BD!$A$3:$A$5001,N$3,BD!$B$3:$B$5001,$A$24,BD!$Y$3:$Y$5001,"&lt;&gt;")=0,"",SUMIFS(BD!$Y$3:$Y$5001,BD!$A$3:$A$5001,N$3,BD!$B$3:$B$5001,$A$24)))</f>
        <v/>
      </c>
      <c r="O34" s="198" t="str">
        <f>IF(O$3="","",IF(COUNTIFS(BD!$A$3:$A$5001,O$3,BD!$B$3:$B$5001,$A$24,BD!$Y$3:$Y$5001,"&lt;&gt;")=0,"",SUMIFS(BD!$Y$3:$Y$5001,BD!$A$3:$A$5001,O$3,BD!$B$3:$B$5001,$A$24)))</f>
        <v/>
      </c>
      <c r="P34" s="198" t="str">
        <f>IF(P$3="","",IF(COUNTIFS(BD!$A$3:$A$5001,P$3,BD!$B$3:$B$5001,$A$24,BD!$Y$3:$Y$5001,"&lt;&gt;")=0,"",SUMIFS(BD!$Y$3:$Y$5001,BD!$A$3:$A$5001,P$3,BD!$B$3:$B$5001,$A$24)))</f>
        <v/>
      </c>
      <c r="Q34" s="198" t="str">
        <f>IF(Q$3="","",IF(COUNTIFS(BD!$A$3:$A$5001,Q$3,BD!$B$3:$B$5001,$A$24,BD!$Y$3:$Y$5001,"&lt;&gt;")=0,"",SUMIFS(BD!$Y$3:$Y$5001,BD!$A$3:$A$5001,Q$3,BD!$B$3:$B$5001,$A$24)))</f>
        <v/>
      </c>
      <c r="R34" s="198" t="str">
        <f>IF(R$3="","",IF(COUNTIFS(BD!$A$3:$A$5001,R$3,BD!$B$3:$B$5001,$A$24,BD!$Y$3:$Y$5001,"&lt;&gt;")=0,"",SUMIFS(BD!$Y$3:$Y$5001,BD!$A$3:$A$5001,R$3,BD!$B$3:$B$5001,$A$24)))</f>
        <v/>
      </c>
      <c r="S34" s="198" t="str">
        <f>IF(S$3="","",IF(COUNTIFS(BD!$A$3:$A$5001,S$3,BD!$B$3:$B$5001,$A$24,BD!$Y$3:$Y$5001,"&lt;&gt;")=0,"",SUMIFS(BD!$Y$3:$Y$5001,BD!$A$3:$A$5001,S$3,BD!$B$3:$B$5001,$A$24)))</f>
        <v/>
      </c>
      <c r="T34" s="198" t="str">
        <f>IF(T$3="","",IF(COUNTIFS(BD!$A$3:$A$5001,T$3,BD!$B$3:$B$5001,$A$24,BD!$Y$3:$Y$5001,"&lt;&gt;")=0,"",SUMIFS(BD!$Y$3:$Y$5001,BD!$A$3:$A$5001,T$3,BD!$B$3:$B$5001,$A$24)))</f>
        <v/>
      </c>
      <c r="U34" s="198" t="str">
        <f>IF(U$3="","",IF(COUNTIFS(BD!$A$3:$A$5001,U$3,BD!$B$3:$B$5001,$A$24,BD!$Y$3:$Y$5001,"&lt;&gt;")=0,"",SUMIFS(BD!$Y$3:$Y$5001,BD!$A$3:$A$5001,U$3,BD!$B$3:$B$5001,$A$24)))</f>
        <v/>
      </c>
      <c r="V34" s="198" t="str">
        <f>IF(V$3="","",IF(COUNTIFS(BD!$A$3:$A$5001,V$3,BD!$B$3:$B$5001,$A$24,BD!$Y$3:$Y$5001,"&lt;&gt;")=0,"",SUMIFS(BD!$Y$3:$Y$5001,BD!$A$3:$A$5001,V$3,BD!$B$3:$B$5001,$A$24)))</f>
        <v/>
      </c>
      <c r="W34" s="198" t="str">
        <f>IF(W$3="","",IF(COUNTIFS(BD!$A$3:$A$5001,W$3,BD!$B$3:$B$5001,$A$24,BD!$Y$3:$Y$5001,"&lt;&gt;")=0,"",SUMIFS(BD!$Y$3:$Y$5001,BD!$A$3:$A$5001,W$3,BD!$B$3:$B$5001,$A$24)))</f>
        <v/>
      </c>
      <c r="X34" s="198" t="str">
        <f>IF(X$3="","",IF(COUNTIFS(BD!$A$3:$A$5001,X$3,BD!$B$3:$B$5001,$A$24,BD!$Y$3:$Y$5001,"&lt;&gt;")=0,"",SUMIFS(BD!$Y$3:$Y$5001,BD!$A$3:$A$5001,X$3,BD!$B$3:$B$5001,$A$24)))</f>
        <v/>
      </c>
      <c r="Y34" s="198" t="str">
        <f>IF(Y$3="","",IF(COUNTIFS(BD!$A$3:$A$5001,Y$3,BD!$B$3:$B$5001,$A$24,BD!$Y$3:$Y$5001,"&lt;&gt;")=0,"",SUMIFS(BD!$Y$3:$Y$5001,BD!$A$3:$A$5001,Y$3,BD!$B$3:$B$5001,$A$24)))</f>
        <v/>
      </c>
      <c r="Z34" s="198" t="str">
        <f>IF(Z$3="","",IF(COUNTIFS(BD!$A$3:$A$5001,Z$3,BD!$B$3:$B$5001,$A$24,BD!$Y$3:$Y$5001,"&lt;&gt;")=0,"",SUMIFS(BD!$Y$3:$Y$5001,BD!$A$3:$A$5001,Z$3,BD!$B$3:$B$5001,$A$24)))</f>
        <v/>
      </c>
      <c r="AA34" s="198" t="str">
        <f>IF(AA$3="","",IF(COUNTIFS(BD!$A$3:$A$5001,AA$3,BD!$B$3:$B$5001,$A$24,BD!$Y$3:$Y$5001,"&lt;&gt;")=0,"",SUMIFS(BD!$Y$3:$Y$5001,BD!$A$3:$A$5001,AA$3,BD!$B$3:$B$5001,$A$24)))</f>
        <v/>
      </c>
      <c r="AB34" s="198" t="str">
        <f>IF(AB$3="","",IF(COUNTIFS(BD!$A$3:$A$5001,AB$3,BD!$B$3:$B$5001,$A$24,BD!$Y$3:$Y$5001,"&lt;&gt;")=0,"",SUMIFS(BD!$Y$3:$Y$5001,BD!$A$3:$A$5001,AB$3,BD!$B$3:$B$5001,$A$24)))</f>
        <v/>
      </c>
      <c r="AC34" s="198" t="str">
        <f>IF(AC$3="","",IF(COUNTIFS(BD!$A$3:$A$5001,AC$3,BD!$B$3:$B$5001,$A$24,BD!$Y$3:$Y$5001,"&lt;&gt;")=0,"",SUMIFS(BD!$Y$3:$Y$5001,BD!$A$3:$A$5001,AC$3,BD!$B$3:$B$5001,$A$24)))</f>
        <v/>
      </c>
      <c r="AD34" s="198" t="str">
        <f>IF(AD$3="","",IF(COUNTIFS(BD!$A$3:$A$5001,AD$3,BD!$B$3:$B$5001,$A$24,BD!$Y$3:$Y$5001,"&lt;&gt;")=0,"",SUMIFS(BD!$Y$3:$Y$5001,BD!$A$3:$A$5001,AD$3,BD!$B$3:$B$5001,$A$24)))</f>
        <v/>
      </c>
      <c r="AE34" s="198" t="str">
        <f>IF(AE$3="","",IF(COUNTIFS(BD!$A$3:$A$5001,AE$3,BD!$B$3:$B$5001,$A$24,BD!$Y$3:$Y$5001,"&lt;&gt;")=0,"",SUMIFS(BD!$Y$3:$Y$5001,BD!$A$3:$A$5001,AE$3,BD!$B$3:$B$5001,$A$24)))</f>
        <v/>
      </c>
      <c r="AF34" s="198" t="str">
        <f>IF(AF$3="","",IF(COUNTIFS(BD!$A$3:$A$5001,AF$3,BD!$B$3:$B$5001,$A$24,BD!$Y$3:$Y$5001,"&lt;&gt;")=0,"",SUMIFS(BD!$Y$3:$Y$5001,BD!$A$3:$A$5001,AF$3,BD!$B$3:$B$5001,$A$24)))</f>
        <v/>
      </c>
      <c r="AG34" s="198" t="str">
        <f>IF(AG$3="","",IF(COUNTIFS(BD!$A$3:$A$5001,AG$3,BD!$B$3:$B$5001,$A$24,BD!$Y$3:$Y$5001,"&lt;&gt;")=0,"",SUMIFS(BD!$Y$3:$Y$5001,BD!$A$3:$A$5001,AG$3,BD!$B$3:$B$5001,$A$24)))</f>
        <v/>
      </c>
      <c r="AH34" s="198" t="str">
        <f>IF(AH$3="","",IF(COUNTIFS(BD!$A$3:$A$5001,AH$3,BD!$B$3:$B$5001,$A$24,BD!$Y$3:$Y$5001,"&lt;&gt;")=0,"",SUMIFS(BD!$Y$3:$Y$5001,BD!$A$3:$A$5001,AH$3,BD!$B$3:$B$5001,$A$24)))</f>
        <v/>
      </c>
      <c r="AI34" s="198" t="str">
        <f>IF(AI$3="","",IF(COUNTIFS(BD!$A$3:$A$5001,AI$3,BD!$B$3:$B$5001,$A$24,BD!$Y$3:$Y$5001,"&lt;&gt;")=0,"",SUMIFS(BD!$Y$3:$Y$5001,BD!$A$3:$A$5001,AI$3,BD!$B$3:$B$5001,$A$24)))</f>
        <v/>
      </c>
      <c r="AJ34" s="199" t="str">
        <f>IF(AJ$3="","",IF(COUNTIFS(BD!$A$3:$A$5001,AJ$3,BD!$B$3:$B$5001,$A$24,BD!$Y$3:$Y$5001,"&lt;&gt;")=0,"",SUMIFS(BD!$Y$3:$Y$5001,BD!$A$3:$A$5001,AJ$3,BD!$B$3:$B$5001,$A$24)))</f>
        <v/>
      </c>
      <c r="AK34" s="200" t="str">
        <f>IFERROR(LOOKUP(9.99E+307,F34:AJ34),"")</f>
        <v/>
      </c>
    </row>
    <row r="35" ht="15.75" customHeight="1">
      <c r="A35" s="237"/>
      <c r="B35" s="226"/>
      <c r="C35" s="155" t="inlineStr">
        <is>
          <t xml:space="preserve">Taxa de Ocupação</t>
        </is>
      </c>
      <c r="D35" s="201" t="str">
        <f>IFERROR(1/(1/INDEX(BD!$AK$46:$AU$46,MATCH($A$24,BD!$AK$22:$AU$22,0))),"")</f>
        <v/>
      </c>
      <c r="E35" s="157"/>
      <c r="F35" s="202" t="str">
        <f>IF(AND(ISNUMBER(F33),ISNUMBER(F34)),IF(F33&gt;0,F34/F33,""),"")</f>
        <v/>
      </c>
      <c r="G35" s="203" t="str">
        <f>IF(AND(ISNUMBER(G33),ISNUMBER(G34)),IF(G33&gt;0,G34/G33,""),"")</f>
        <v/>
      </c>
      <c r="H35" s="203" t="str">
        <f>IF(AND(ISNUMBER(H33),ISNUMBER(H34)),IF(H33&gt;0,H34/H33,""),"")</f>
        <v/>
      </c>
      <c r="I35" s="203" t="str">
        <f>IF(AND(ISNUMBER(I33),ISNUMBER(I34)),IF(I33&gt;0,I34/I33,""),"")</f>
        <v/>
      </c>
      <c r="J35" s="203" t="str">
        <f>IF(AND(ISNUMBER(J33),ISNUMBER(J34)),IF(J33&gt;0,J34/J33,""),"")</f>
        <v/>
      </c>
      <c r="K35" s="203" t="str">
        <f>IF(AND(ISNUMBER(K33),ISNUMBER(K34)),IF(K33&gt;0,K34/K33,""),"")</f>
        <v/>
      </c>
      <c r="L35" s="203" t="str">
        <f>IF(AND(ISNUMBER(L33),ISNUMBER(L34)),IF(L33&gt;0,L34/L33,""),"")</f>
        <v/>
      </c>
      <c r="M35" s="203" t="str">
        <f>IF(AND(ISNUMBER(M33),ISNUMBER(M34)),IF(M33&gt;0,M34/M33,""),"")</f>
        <v/>
      </c>
      <c r="N35" s="203" t="str">
        <f>IF(AND(ISNUMBER(N33),ISNUMBER(N34)),IF(N33&gt;0,N34/N33,""),"")</f>
        <v/>
      </c>
      <c r="O35" s="203" t="str">
        <f>IF(AND(ISNUMBER(O33),ISNUMBER(O34)),IF(O33&gt;0,O34/O33,""),"")</f>
        <v/>
      </c>
      <c r="P35" s="203" t="str">
        <f>IF(AND(ISNUMBER(P33),ISNUMBER(P34)),IF(P33&gt;0,P34/P33,""),"")</f>
        <v/>
      </c>
      <c r="Q35" s="203" t="str">
        <f>IF(AND(ISNUMBER(Q33),ISNUMBER(Q34)),IF(Q33&gt;0,Q34/Q33,""),"")</f>
        <v/>
      </c>
      <c r="R35" s="203" t="str">
        <f>IF(AND(ISNUMBER(R33),ISNUMBER(R34)),IF(R33&gt;0,R34/R33,""),"")</f>
        <v/>
      </c>
      <c r="S35" s="203" t="str">
        <f>IF(AND(ISNUMBER(S33),ISNUMBER(S34)),IF(S33&gt;0,S34/S33,""),"")</f>
        <v/>
      </c>
      <c r="T35" s="203" t="str">
        <f>IF(AND(ISNUMBER(T33),ISNUMBER(T34)),IF(T33&gt;0,T34/T33,""),"")</f>
        <v/>
      </c>
      <c r="U35" s="203" t="str">
        <f>IF(AND(ISNUMBER(U33),ISNUMBER(U34)),IF(U33&gt;0,U34/U33,""),"")</f>
        <v/>
      </c>
      <c r="V35" s="203" t="str">
        <f>IF(AND(ISNUMBER(V33),ISNUMBER(V34)),IF(V33&gt;0,V34/V33,""),"")</f>
        <v/>
      </c>
      <c r="W35" s="203" t="str">
        <f>IF(AND(ISNUMBER(W33),ISNUMBER(W34)),IF(W33&gt;0,W34/W33,""),"")</f>
        <v/>
      </c>
      <c r="X35" s="203" t="str">
        <f>IF(AND(ISNUMBER(X33),ISNUMBER(X34)),IF(X33&gt;0,X34/X33,""),"")</f>
        <v/>
      </c>
      <c r="Y35" s="203" t="str">
        <f>IF(AND(ISNUMBER(Y33),ISNUMBER(Y34)),IF(Y33&gt;0,Y34/Y33,""),"")</f>
        <v/>
      </c>
      <c r="Z35" s="203" t="str">
        <f>IF(AND(ISNUMBER(Z33),ISNUMBER(Z34)),IF(Z33&gt;0,Z34/Z33,""),"")</f>
        <v/>
      </c>
      <c r="AA35" s="203" t="str">
        <f>IF(AND(ISNUMBER(AA33),ISNUMBER(AA34)),IF(AA33&gt;0,AA34/AA33,""),"")</f>
        <v/>
      </c>
      <c r="AB35" s="203" t="str">
        <f>IF(AND(ISNUMBER(AB33),ISNUMBER(AB34)),IF(AB33&gt;0,AB34/AB33,""),"")</f>
        <v/>
      </c>
      <c r="AC35" s="203" t="str">
        <f>IF(AND(ISNUMBER(AC33),ISNUMBER(AC34)),IF(AC33&gt;0,AC34/AC33,""),"")</f>
        <v/>
      </c>
      <c r="AD35" s="203" t="str">
        <f>IF(AND(ISNUMBER(AD33),ISNUMBER(AD34)),IF(AD33&gt;0,AD34/AD33,""),"")</f>
        <v/>
      </c>
      <c r="AE35" s="203" t="str">
        <f>IF(AND(ISNUMBER(AE33),ISNUMBER(AE34)),IF(AE33&gt;0,AE34/AE33,""),"")</f>
        <v/>
      </c>
      <c r="AF35" s="203" t="str">
        <f>IF(AND(ISNUMBER(AF33),ISNUMBER(AF34)),IF(AF33&gt;0,AF34/AF33,""),"")</f>
        <v/>
      </c>
      <c r="AG35" s="203" t="str">
        <f>IF(AND(ISNUMBER(AG33),ISNUMBER(AG34)),IF(AG33&gt;0,AG34/AG33,""),"")</f>
        <v/>
      </c>
      <c r="AH35" s="203" t="str">
        <f>IF(AND(ISNUMBER(AH33),ISNUMBER(AH34)),IF(AH33&gt;0,AH34/AH33,""),"")</f>
        <v/>
      </c>
      <c r="AI35" s="203" t="str">
        <f>IF(AND(ISNUMBER(AI33),ISNUMBER(AI34)),IF(AI33&gt;0,AI34/AI33,""),"")</f>
        <v/>
      </c>
      <c r="AJ35" s="204" t="str">
        <f>IF(AND(ISNUMBER(AJ33),ISNUMBER(AJ34)),IF(AJ33&gt;0,AJ34/AJ33,""),"")</f>
        <v/>
      </c>
      <c r="AK35" s="201" t="str">
        <f>IF(AND(ISNUMBER(AK33),ISNUMBER(AK34)),IF(AK33&gt;0,AK34/AK33,""),"")</f>
        <v/>
      </c>
    </row>
    <row r="36" ht="15.75" customHeight="1">
      <c r="A36" s="237"/>
      <c r="B36" s="233" t="inlineStr">
        <is>
          <t xml:space="preserve">GENTE</t>
        </is>
      </c>
      <c r="C36" s="205" t="inlineStr">
        <is>
          <t xml:space="preserve">Efetivo Op.</t>
        </is>
      </c>
      <c r="D36" s="206" t="str">
        <f>IFERROR(1/(1/INDEX(BD!$AK$47:$AU$47,MATCH($A$24,BD!$AK$22:$AU$22,0))),"")</f>
        <v/>
      </c>
      <c r="E36" s="207"/>
      <c r="F36" s="208" t="str">
        <f>IF(F$3="","",IF(COUNTIFS(BD!$A$3:$A$5001,F$3,BD!$B$3:$B$5001,$A$24,BD!$Z$3:$Z$5001,"&lt;&gt;")=0,"",SUMIFS(BD!$Z$3:$Z$5001,BD!$A$3:$A$5001,F$3,BD!$B$3:$B$5001,$A$24)))</f>
        <v/>
      </c>
      <c r="G36" s="209" t="str">
        <f>IF(G$3="","",IF(COUNTIFS(BD!$A$3:$A$5001,G$3,BD!$B$3:$B$5001,$A$24,BD!$Z$3:$Z$5001,"&lt;&gt;")=0,"",SUMIFS(BD!$Z$3:$Z$5001,BD!$A$3:$A$5001,G$3,BD!$B$3:$B$5001,$A$24)))</f>
        <v/>
      </c>
      <c r="H36" s="209" t="str">
        <f>IF(H$3="","",IF(COUNTIFS(BD!$A$3:$A$5001,H$3,BD!$B$3:$B$5001,$A$24,BD!$Z$3:$Z$5001,"&lt;&gt;")=0,"",SUMIFS(BD!$Z$3:$Z$5001,BD!$A$3:$A$5001,H$3,BD!$B$3:$B$5001,$A$24)))</f>
        <v/>
      </c>
      <c r="I36" s="209" t="str">
        <f>IF(I$3="","",IF(COUNTIFS(BD!$A$3:$A$5001,I$3,BD!$B$3:$B$5001,$A$24,BD!$Z$3:$Z$5001,"&lt;&gt;")=0,"",SUMIFS(BD!$Z$3:$Z$5001,BD!$A$3:$A$5001,I$3,BD!$B$3:$B$5001,$A$24)))</f>
        <v/>
      </c>
      <c r="J36" s="209" t="str">
        <f>IF(J$3="","",IF(COUNTIFS(BD!$A$3:$A$5001,J$3,BD!$B$3:$B$5001,$A$24,BD!$Z$3:$Z$5001,"&lt;&gt;")=0,"",SUMIFS(BD!$Z$3:$Z$5001,BD!$A$3:$A$5001,J$3,BD!$B$3:$B$5001,$A$24)))</f>
        <v/>
      </c>
      <c r="K36" s="209" t="str">
        <f>IF(K$3="","",IF(COUNTIFS(BD!$A$3:$A$5001,K$3,BD!$B$3:$B$5001,$A$24,BD!$Z$3:$Z$5001,"&lt;&gt;")=0,"",SUMIFS(BD!$Z$3:$Z$5001,BD!$A$3:$A$5001,K$3,BD!$B$3:$B$5001,$A$24)))</f>
        <v/>
      </c>
      <c r="L36" s="209" t="str">
        <f>IF(L$3="","",IF(COUNTIFS(BD!$A$3:$A$5001,L$3,BD!$B$3:$B$5001,$A$24,BD!$Z$3:$Z$5001,"&lt;&gt;")=0,"",SUMIFS(BD!$Z$3:$Z$5001,BD!$A$3:$A$5001,L$3,BD!$B$3:$B$5001,$A$24)))</f>
        <v/>
      </c>
      <c r="M36" s="209" t="str">
        <f>IF(M$3="","",IF(COUNTIFS(BD!$A$3:$A$5001,M$3,BD!$B$3:$B$5001,$A$24,BD!$Z$3:$Z$5001,"&lt;&gt;")=0,"",SUMIFS(BD!$Z$3:$Z$5001,BD!$A$3:$A$5001,M$3,BD!$B$3:$B$5001,$A$24)))</f>
        <v/>
      </c>
      <c r="N36" s="209" t="str">
        <f>IF(N$3="","",IF(COUNTIFS(BD!$A$3:$A$5001,N$3,BD!$B$3:$B$5001,$A$24,BD!$Z$3:$Z$5001,"&lt;&gt;")=0,"",SUMIFS(BD!$Z$3:$Z$5001,BD!$A$3:$A$5001,N$3,BD!$B$3:$B$5001,$A$24)))</f>
        <v/>
      </c>
      <c r="O36" s="209" t="str">
        <f>IF(O$3="","",IF(COUNTIFS(BD!$A$3:$A$5001,O$3,BD!$B$3:$B$5001,$A$24,BD!$Z$3:$Z$5001,"&lt;&gt;")=0,"",SUMIFS(BD!$Z$3:$Z$5001,BD!$A$3:$A$5001,O$3,BD!$B$3:$B$5001,$A$24)))</f>
        <v/>
      </c>
      <c r="P36" s="209" t="str">
        <f>IF(P$3="","",IF(COUNTIFS(BD!$A$3:$A$5001,P$3,BD!$B$3:$B$5001,$A$24,BD!$Z$3:$Z$5001,"&lt;&gt;")=0,"",SUMIFS(BD!$Z$3:$Z$5001,BD!$A$3:$A$5001,P$3,BD!$B$3:$B$5001,$A$24)))</f>
        <v/>
      </c>
      <c r="Q36" s="209" t="str">
        <f>IF(Q$3="","",IF(COUNTIFS(BD!$A$3:$A$5001,Q$3,BD!$B$3:$B$5001,$A$24,BD!$Z$3:$Z$5001,"&lt;&gt;")=0,"",SUMIFS(BD!$Z$3:$Z$5001,BD!$A$3:$A$5001,Q$3,BD!$B$3:$B$5001,$A$24)))</f>
        <v/>
      </c>
      <c r="R36" s="209" t="str">
        <f>IF(R$3="","",IF(COUNTIFS(BD!$A$3:$A$5001,R$3,BD!$B$3:$B$5001,$A$24,BD!$Z$3:$Z$5001,"&lt;&gt;")=0,"",SUMIFS(BD!$Z$3:$Z$5001,BD!$A$3:$A$5001,R$3,BD!$B$3:$B$5001,$A$24)))</f>
        <v/>
      </c>
      <c r="S36" s="209" t="str">
        <f>IF(S$3="","",IF(COUNTIFS(BD!$A$3:$A$5001,S$3,BD!$B$3:$B$5001,$A$24,BD!$Z$3:$Z$5001,"&lt;&gt;")=0,"",SUMIFS(BD!$Z$3:$Z$5001,BD!$A$3:$A$5001,S$3,BD!$B$3:$B$5001,$A$24)))</f>
        <v/>
      </c>
      <c r="T36" s="209" t="str">
        <f>IF(T$3="","",IF(COUNTIFS(BD!$A$3:$A$5001,T$3,BD!$B$3:$B$5001,$A$24,BD!$Z$3:$Z$5001,"&lt;&gt;")=0,"",SUMIFS(BD!$Z$3:$Z$5001,BD!$A$3:$A$5001,T$3,BD!$B$3:$B$5001,$A$24)))</f>
        <v/>
      </c>
      <c r="U36" s="209" t="str">
        <f>IF(U$3="","",IF(COUNTIFS(BD!$A$3:$A$5001,U$3,BD!$B$3:$B$5001,$A$24,BD!$Z$3:$Z$5001,"&lt;&gt;")=0,"",SUMIFS(BD!$Z$3:$Z$5001,BD!$A$3:$A$5001,U$3,BD!$B$3:$B$5001,$A$24)))</f>
        <v/>
      </c>
      <c r="V36" s="209" t="str">
        <f>IF(V$3="","",IF(COUNTIFS(BD!$A$3:$A$5001,V$3,BD!$B$3:$B$5001,$A$24,BD!$Z$3:$Z$5001,"&lt;&gt;")=0,"",SUMIFS(BD!$Z$3:$Z$5001,BD!$A$3:$A$5001,V$3,BD!$B$3:$B$5001,$A$24)))</f>
        <v/>
      </c>
      <c r="W36" s="209" t="str">
        <f>IF(W$3="","",IF(COUNTIFS(BD!$A$3:$A$5001,W$3,BD!$B$3:$B$5001,$A$24,BD!$Z$3:$Z$5001,"&lt;&gt;")=0,"",SUMIFS(BD!$Z$3:$Z$5001,BD!$A$3:$A$5001,W$3,BD!$B$3:$B$5001,$A$24)))</f>
        <v/>
      </c>
      <c r="X36" s="209" t="str">
        <f>IF(X$3="","",IF(COUNTIFS(BD!$A$3:$A$5001,X$3,BD!$B$3:$B$5001,$A$24,BD!$Z$3:$Z$5001,"&lt;&gt;")=0,"",SUMIFS(BD!$Z$3:$Z$5001,BD!$A$3:$A$5001,X$3,BD!$B$3:$B$5001,$A$24)))</f>
        <v/>
      </c>
      <c r="Y36" s="209" t="str">
        <f>IF(Y$3="","",IF(COUNTIFS(BD!$A$3:$A$5001,Y$3,BD!$B$3:$B$5001,$A$24,BD!$Z$3:$Z$5001,"&lt;&gt;")=0,"",SUMIFS(BD!$Z$3:$Z$5001,BD!$A$3:$A$5001,Y$3,BD!$B$3:$B$5001,$A$24)))</f>
        <v/>
      </c>
      <c r="Z36" s="209" t="str">
        <f>IF(Z$3="","",IF(COUNTIFS(BD!$A$3:$A$5001,Z$3,BD!$B$3:$B$5001,$A$24,BD!$Z$3:$Z$5001,"&lt;&gt;")=0,"",SUMIFS(BD!$Z$3:$Z$5001,BD!$A$3:$A$5001,Z$3,BD!$B$3:$B$5001,$A$24)))</f>
        <v/>
      </c>
      <c r="AA36" s="209" t="str">
        <f>IF(AA$3="","",IF(COUNTIFS(BD!$A$3:$A$5001,AA$3,BD!$B$3:$B$5001,$A$24,BD!$Z$3:$Z$5001,"&lt;&gt;")=0,"",SUMIFS(BD!$Z$3:$Z$5001,BD!$A$3:$A$5001,AA$3,BD!$B$3:$B$5001,$A$24)))</f>
        <v/>
      </c>
      <c r="AB36" s="209" t="str">
        <f>IF(AB$3="","",IF(COUNTIFS(BD!$A$3:$A$5001,AB$3,BD!$B$3:$B$5001,$A$24,BD!$Z$3:$Z$5001,"&lt;&gt;")=0,"",SUMIFS(BD!$Z$3:$Z$5001,BD!$A$3:$A$5001,AB$3,BD!$B$3:$B$5001,$A$24)))</f>
        <v/>
      </c>
      <c r="AC36" s="209" t="str">
        <f>IF(AC$3="","",IF(COUNTIFS(BD!$A$3:$A$5001,AC$3,BD!$B$3:$B$5001,$A$24,BD!$Z$3:$Z$5001,"&lt;&gt;")=0,"",SUMIFS(BD!$Z$3:$Z$5001,BD!$A$3:$A$5001,AC$3,BD!$B$3:$B$5001,$A$24)))</f>
        <v/>
      </c>
      <c r="AD36" s="209" t="str">
        <f>IF(AD$3="","",IF(COUNTIFS(BD!$A$3:$A$5001,AD$3,BD!$B$3:$B$5001,$A$24,BD!$Z$3:$Z$5001,"&lt;&gt;")=0,"",SUMIFS(BD!$Z$3:$Z$5001,BD!$A$3:$A$5001,AD$3,BD!$B$3:$B$5001,$A$24)))</f>
        <v/>
      </c>
      <c r="AE36" s="209" t="str">
        <f>IF(AE$3="","",IF(COUNTIFS(BD!$A$3:$A$5001,AE$3,BD!$B$3:$B$5001,$A$24,BD!$Z$3:$Z$5001,"&lt;&gt;")=0,"",SUMIFS(BD!$Z$3:$Z$5001,BD!$A$3:$A$5001,AE$3,BD!$B$3:$B$5001,$A$24)))</f>
        <v/>
      </c>
      <c r="AF36" s="209" t="str">
        <f>IF(AF$3="","",IF(COUNTIFS(BD!$A$3:$A$5001,AF$3,BD!$B$3:$B$5001,$A$24,BD!$Z$3:$Z$5001,"&lt;&gt;")=0,"",SUMIFS(BD!$Z$3:$Z$5001,BD!$A$3:$A$5001,AF$3,BD!$B$3:$B$5001,$A$24)))</f>
        <v/>
      </c>
      <c r="AG36" s="209" t="str">
        <f>IF(AG$3="","",IF(COUNTIFS(BD!$A$3:$A$5001,AG$3,BD!$B$3:$B$5001,$A$24,BD!$Z$3:$Z$5001,"&lt;&gt;")=0,"",SUMIFS(BD!$Z$3:$Z$5001,BD!$A$3:$A$5001,AG$3,BD!$B$3:$B$5001,$A$24)))</f>
        <v/>
      </c>
      <c r="AH36" s="209" t="str">
        <f>IF(AH$3="","",IF(COUNTIFS(BD!$A$3:$A$5001,AH$3,BD!$B$3:$B$5001,$A$24,BD!$Z$3:$Z$5001,"&lt;&gt;")=0,"",SUMIFS(BD!$Z$3:$Z$5001,BD!$A$3:$A$5001,AH$3,BD!$B$3:$B$5001,$A$24)))</f>
        <v/>
      </c>
      <c r="AI36" s="209" t="str">
        <f>IF(AI$3="","",IF(COUNTIFS(BD!$A$3:$A$5001,AI$3,BD!$B$3:$B$5001,$A$24,BD!$Z$3:$Z$5001,"&lt;&gt;")=0,"",SUMIFS(BD!$Z$3:$Z$5001,BD!$A$3:$A$5001,AI$3,BD!$B$3:$B$5001,$A$24)))</f>
        <v/>
      </c>
      <c r="AJ36" s="210" t="str">
        <f>IF(AJ$3="","",IF(COUNTIFS(BD!$A$3:$A$5001,AJ$3,BD!$B$3:$B$5001,$A$24,BD!$Z$3:$Z$5001,"&lt;&gt;")=0,"",SUMIFS(BD!$Z$3:$Z$5001,BD!$A$3:$A$5001,AJ$3,BD!$B$3:$B$5001,$A$24)))</f>
        <v/>
      </c>
      <c r="AK36" s="211" t="str">
        <f>IFERROR(LOOKUP(9.99E+307,F36:AJ36),"")</f>
        <v/>
      </c>
    </row>
    <row r="37" ht="15.75" customHeight="1">
      <c r="A37" s="237"/>
      <c r="B37" s="234"/>
      <c r="C37" s="212" t="inlineStr">
        <is>
          <t xml:space="preserve">Falta</t>
        </is>
      </c>
      <c r="D37" s="213" t="str">
        <f>IFERROR(1/(1/INDEX(BD!$AK$48:$AU$48,MATCH($A$24,BD!$AK$22:$AU$22,0))),"")</f>
        <v/>
      </c>
      <c r="E37" s="214"/>
      <c r="F37" s="215" t="str">
        <f>IF(F$3="","",IF(COUNTIFS(BD!$A$3:$A$5001,F$3,BD!$B$3:$B$5001,$A$24,BD!$AA$3:$AA$5001,"&lt;&gt;")=0,"",SUMIFS(BD!$AA$3:$AA$5001,BD!$A$3:$A$5001,F$3,BD!$B$3:$B$5001,$A$24)))</f>
        <v/>
      </c>
      <c r="G37" s="216" t="str">
        <f>IF(G$3="","",IF(COUNTIFS(BD!$A$3:$A$5001,G$3,BD!$B$3:$B$5001,$A$24,BD!$AA$3:$AA$5001,"&lt;&gt;")=0,"",SUMIFS(BD!$AA$3:$AA$5001,BD!$A$3:$A$5001,G$3,BD!$B$3:$B$5001,$A$24)))</f>
        <v/>
      </c>
      <c r="H37" s="216" t="str">
        <f>IF(H$3="","",IF(COUNTIFS(BD!$A$3:$A$5001,H$3,BD!$B$3:$B$5001,$A$24,BD!$AA$3:$AA$5001,"&lt;&gt;")=0,"",SUMIFS(BD!$AA$3:$AA$5001,BD!$A$3:$A$5001,H$3,BD!$B$3:$B$5001,$A$24)))</f>
        <v/>
      </c>
      <c r="I37" s="216" t="str">
        <f>IF(I$3="","",IF(COUNTIFS(BD!$A$3:$A$5001,I$3,BD!$B$3:$B$5001,$A$24,BD!$AA$3:$AA$5001,"&lt;&gt;")=0,"",SUMIFS(BD!$AA$3:$AA$5001,BD!$A$3:$A$5001,I$3,BD!$B$3:$B$5001,$A$24)))</f>
        <v/>
      </c>
      <c r="J37" s="216" t="str">
        <f>IF(J$3="","",IF(COUNTIFS(BD!$A$3:$A$5001,J$3,BD!$B$3:$B$5001,$A$24,BD!$AA$3:$AA$5001,"&lt;&gt;")=0,"",SUMIFS(BD!$AA$3:$AA$5001,BD!$A$3:$A$5001,J$3,BD!$B$3:$B$5001,$A$24)))</f>
        <v/>
      </c>
      <c r="K37" s="216" t="str">
        <f>IF(K$3="","",IF(COUNTIFS(BD!$A$3:$A$5001,K$3,BD!$B$3:$B$5001,$A$24,BD!$AA$3:$AA$5001,"&lt;&gt;")=0,"",SUMIFS(BD!$AA$3:$AA$5001,BD!$A$3:$A$5001,K$3,BD!$B$3:$B$5001,$A$24)))</f>
        <v/>
      </c>
      <c r="L37" s="216" t="str">
        <f>IF(L$3="","",IF(COUNTIFS(BD!$A$3:$A$5001,L$3,BD!$B$3:$B$5001,$A$24,BD!$AA$3:$AA$5001,"&lt;&gt;")=0,"",SUMIFS(BD!$AA$3:$AA$5001,BD!$A$3:$A$5001,L$3,BD!$B$3:$B$5001,$A$24)))</f>
        <v/>
      </c>
      <c r="M37" s="216" t="str">
        <f>IF(M$3="","",IF(COUNTIFS(BD!$A$3:$A$5001,M$3,BD!$B$3:$B$5001,$A$24,BD!$AA$3:$AA$5001,"&lt;&gt;")=0,"",SUMIFS(BD!$AA$3:$AA$5001,BD!$A$3:$A$5001,M$3,BD!$B$3:$B$5001,$A$24)))</f>
        <v/>
      </c>
      <c r="N37" s="216" t="str">
        <f>IF(N$3="","",IF(COUNTIFS(BD!$A$3:$A$5001,N$3,BD!$B$3:$B$5001,$A$24,BD!$AA$3:$AA$5001,"&lt;&gt;")=0,"",SUMIFS(BD!$AA$3:$AA$5001,BD!$A$3:$A$5001,N$3,BD!$B$3:$B$5001,$A$24)))</f>
        <v/>
      </c>
      <c r="O37" s="216" t="str">
        <f>IF(O$3="","",IF(COUNTIFS(BD!$A$3:$A$5001,O$3,BD!$B$3:$B$5001,$A$24,BD!$AA$3:$AA$5001,"&lt;&gt;")=0,"",SUMIFS(BD!$AA$3:$AA$5001,BD!$A$3:$A$5001,O$3,BD!$B$3:$B$5001,$A$24)))</f>
        <v/>
      </c>
      <c r="P37" s="216" t="str">
        <f>IF(P$3="","",IF(COUNTIFS(BD!$A$3:$A$5001,P$3,BD!$B$3:$B$5001,$A$24,BD!$AA$3:$AA$5001,"&lt;&gt;")=0,"",SUMIFS(BD!$AA$3:$AA$5001,BD!$A$3:$A$5001,P$3,BD!$B$3:$B$5001,$A$24)))</f>
        <v/>
      </c>
      <c r="Q37" s="216" t="str">
        <f>IF(Q$3="","",IF(COUNTIFS(BD!$A$3:$A$5001,Q$3,BD!$B$3:$B$5001,$A$24,BD!$AA$3:$AA$5001,"&lt;&gt;")=0,"",SUMIFS(BD!$AA$3:$AA$5001,BD!$A$3:$A$5001,Q$3,BD!$B$3:$B$5001,$A$24)))</f>
        <v/>
      </c>
      <c r="R37" s="216" t="str">
        <f>IF(R$3="","",IF(COUNTIFS(BD!$A$3:$A$5001,R$3,BD!$B$3:$B$5001,$A$24,BD!$AA$3:$AA$5001,"&lt;&gt;")=0,"",SUMIFS(BD!$AA$3:$AA$5001,BD!$A$3:$A$5001,R$3,BD!$B$3:$B$5001,$A$24)))</f>
        <v/>
      </c>
      <c r="S37" s="216" t="str">
        <f>IF(S$3="","",IF(COUNTIFS(BD!$A$3:$A$5001,S$3,BD!$B$3:$B$5001,$A$24,BD!$AA$3:$AA$5001,"&lt;&gt;")=0,"",SUMIFS(BD!$AA$3:$AA$5001,BD!$A$3:$A$5001,S$3,BD!$B$3:$B$5001,$A$24)))</f>
        <v/>
      </c>
      <c r="T37" s="216" t="str">
        <f>IF(T$3="","",IF(COUNTIFS(BD!$A$3:$A$5001,T$3,BD!$B$3:$B$5001,$A$24,BD!$AA$3:$AA$5001,"&lt;&gt;")=0,"",SUMIFS(BD!$AA$3:$AA$5001,BD!$A$3:$A$5001,T$3,BD!$B$3:$B$5001,$A$24)))</f>
        <v/>
      </c>
      <c r="U37" s="216" t="str">
        <f>IF(U$3="","",IF(COUNTIFS(BD!$A$3:$A$5001,U$3,BD!$B$3:$B$5001,$A$24,BD!$AA$3:$AA$5001,"&lt;&gt;")=0,"",SUMIFS(BD!$AA$3:$AA$5001,BD!$A$3:$A$5001,U$3,BD!$B$3:$B$5001,$A$24)))</f>
        <v/>
      </c>
      <c r="V37" s="216" t="str">
        <f>IF(V$3="","",IF(COUNTIFS(BD!$A$3:$A$5001,V$3,BD!$B$3:$B$5001,$A$24,BD!$AA$3:$AA$5001,"&lt;&gt;")=0,"",SUMIFS(BD!$AA$3:$AA$5001,BD!$A$3:$A$5001,V$3,BD!$B$3:$B$5001,$A$24)))</f>
        <v/>
      </c>
      <c r="W37" s="216" t="str">
        <f>IF(W$3="","",IF(COUNTIFS(BD!$A$3:$A$5001,W$3,BD!$B$3:$B$5001,$A$24,BD!$AA$3:$AA$5001,"&lt;&gt;")=0,"",SUMIFS(BD!$AA$3:$AA$5001,BD!$A$3:$A$5001,W$3,BD!$B$3:$B$5001,$A$24)))</f>
        <v/>
      </c>
      <c r="X37" s="216" t="str">
        <f>IF(X$3="","",IF(COUNTIFS(BD!$A$3:$A$5001,X$3,BD!$B$3:$B$5001,$A$24,BD!$AA$3:$AA$5001,"&lt;&gt;")=0,"",SUMIFS(BD!$AA$3:$AA$5001,BD!$A$3:$A$5001,X$3,BD!$B$3:$B$5001,$A$24)))</f>
        <v/>
      </c>
      <c r="Y37" s="216" t="str">
        <f>IF(Y$3="","",IF(COUNTIFS(BD!$A$3:$A$5001,Y$3,BD!$B$3:$B$5001,$A$24,BD!$AA$3:$AA$5001,"&lt;&gt;")=0,"",SUMIFS(BD!$AA$3:$AA$5001,BD!$A$3:$A$5001,Y$3,BD!$B$3:$B$5001,$A$24)))</f>
        <v/>
      </c>
      <c r="Z37" s="216" t="str">
        <f>IF(Z$3="","",IF(COUNTIFS(BD!$A$3:$A$5001,Z$3,BD!$B$3:$B$5001,$A$24,BD!$AA$3:$AA$5001,"&lt;&gt;")=0,"",SUMIFS(BD!$AA$3:$AA$5001,BD!$A$3:$A$5001,Z$3,BD!$B$3:$B$5001,$A$24)))</f>
        <v/>
      </c>
      <c r="AA37" s="216" t="str">
        <f>IF(AA$3="","",IF(COUNTIFS(BD!$A$3:$A$5001,AA$3,BD!$B$3:$B$5001,$A$24,BD!$AA$3:$AA$5001,"&lt;&gt;")=0,"",SUMIFS(BD!$AA$3:$AA$5001,BD!$A$3:$A$5001,AA$3,BD!$B$3:$B$5001,$A$24)))</f>
        <v/>
      </c>
      <c r="AB37" s="216" t="str">
        <f>IF(AB$3="","",IF(COUNTIFS(BD!$A$3:$A$5001,AB$3,BD!$B$3:$B$5001,$A$24,BD!$AA$3:$AA$5001,"&lt;&gt;")=0,"",SUMIFS(BD!$AA$3:$AA$5001,BD!$A$3:$A$5001,AB$3,BD!$B$3:$B$5001,$A$24)))</f>
        <v/>
      </c>
      <c r="AC37" s="216" t="str">
        <f>IF(AC$3="","",IF(COUNTIFS(BD!$A$3:$A$5001,AC$3,BD!$B$3:$B$5001,$A$24,BD!$AA$3:$AA$5001,"&lt;&gt;")=0,"",SUMIFS(BD!$AA$3:$AA$5001,BD!$A$3:$A$5001,AC$3,BD!$B$3:$B$5001,$A$24)))</f>
        <v/>
      </c>
      <c r="AD37" s="216" t="str">
        <f>IF(AD$3="","",IF(COUNTIFS(BD!$A$3:$A$5001,AD$3,BD!$B$3:$B$5001,$A$24,BD!$AA$3:$AA$5001,"&lt;&gt;")=0,"",SUMIFS(BD!$AA$3:$AA$5001,BD!$A$3:$A$5001,AD$3,BD!$B$3:$B$5001,$A$24)))</f>
        <v/>
      </c>
      <c r="AE37" s="216" t="str">
        <f>IF(AE$3="","",IF(COUNTIFS(BD!$A$3:$A$5001,AE$3,BD!$B$3:$B$5001,$A$24,BD!$AA$3:$AA$5001,"&lt;&gt;")=0,"",SUMIFS(BD!$AA$3:$AA$5001,BD!$A$3:$A$5001,AE$3,BD!$B$3:$B$5001,$A$24)))</f>
        <v/>
      </c>
      <c r="AF37" s="216" t="str">
        <f>IF(AF$3="","",IF(COUNTIFS(BD!$A$3:$A$5001,AF$3,BD!$B$3:$B$5001,$A$24,BD!$AA$3:$AA$5001,"&lt;&gt;")=0,"",SUMIFS(BD!$AA$3:$AA$5001,BD!$A$3:$A$5001,AF$3,BD!$B$3:$B$5001,$A$24)))</f>
        <v/>
      </c>
      <c r="AG37" s="216" t="str">
        <f>IF(AG$3="","",IF(COUNTIFS(BD!$A$3:$A$5001,AG$3,BD!$B$3:$B$5001,$A$24,BD!$AA$3:$AA$5001,"&lt;&gt;")=0,"",SUMIFS(BD!$AA$3:$AA$5001,BD!$A$3:$A$5001,AG$3,BD!$B$3:$B$5001,$A$24)))</f>
        <v/>
      </c>
      <c r="AH37" s="216" t="str">
        <f>IF(AH$3="","",IF(COUNTIFS(BD!$A$3:$A$5001,AH$3,BD!$B$3:$B$5001,$A$24,BD!$AA$3:$AA$5001,"&lt;&gt;")=0,"",SUMIFS(BD!$AA$3:$AA$5001,BD!$A$3:$A$5001,AH$3,BD!$B$3:$B$5001,$A$24)))</f>
        <v/>
      </c>
      <c r="AI37" s="216" t="str">
        <f>IF(AI$3="","",IF(COUNTIFS(BD!$A$3:$A$5001,AI$3,BD!$B$3:$B$5001,$A$24,BD!$AA$3:$AA$5001,"&lt;&gt;")=0,"",SUMIFS(BD!$AA$3:$AA$5001,BD!$A$3:$A$5001,AI$3,BD!$B$3:$B$5001,$A$24)))</f>
        <v/>
      </c>
      <c r="AJ37" s="217" t="str">
        <f>IF(AJ$3="","",IF(COUNTIFS(BD!$A$3:$A$5001,AJ$3,BD!$B$3:$B$5001,$A$24,BD!$AA$3:$AA$5001,"&lt;&gt;")=0,"",SUMIFS(BD!$AA$3:$AA$5001,BD!$A$3:$A$5001,AJ$3,BD!$B$3:$B$5001,$A$24)))</f>
        <v/>
      </c>
      <c r="AK37" s="218" t="str">
        <f>IF(COUNT(F37:AJ37)=0,"",SUM(F37:AJ37))</f>
        <v/>
      </c>
    </row>
    <row r="38" ht="15.75" customHeight="1">
      <c r="A38" s="237"/>
      <c r="B38" s="234"/>
      <c r="C38" s="212" t="inlineStr">
        <is>
          <t xml:space="preserve">Folga</t>
        </is>
      </c>
      <c r="D38" s="213" t="str">
        <f>IFERROR(1/(1/INDEX(BD!$AK$49:$AU$49,MATCH($A$24,BD!$AK$22:$AU$22,0))),"")</f>
        <v/>
      </c>
      <c r="E38" s="214"/>
      <c r="F38" s="215" t="str">
        <f>IF(F$3="","",IF(COUNTIFS(BD!$A$3:$A$5001,F$3,BD!$B$3:$B$5001,$A$24,BD!$AB$3:$AB$5001,"&lt;&gt;")=0,"",SUMIFS(BD!$AB$3:$AB$5001,BD!$A$3:$A$5001,F$3,BD!$B$3:$B$5001,$A$24)))</f>
        <v/>
      </c>
      <c r="G38" s="216" t="str">
        <f>IF(G$3="","",IF(COUNTIFS(BD!$A$3:$A$5001,G$3,BD!$B$3:$B$5001,$A$24,BD!$AB$3:$AB$5001,"&lt;&gt;")=0,"",SUMIFS(BD!$AB$3:$AB$5001,BD!$A$3:$A$5001,G$3,BD!$B$3:$B$5001,$A$24)))</f>
        <v/>
      </c>
      <c r="H38" s="216" t="str">
        <f>IF(H$3="","",IF(COUNTIFS(BD!$A$3:$A$5001,H$3,BD!$B$3:$B$5001,$A$24,BD!$AB$3:$AB$5001,"&lt;&gt;")=0,"",SUMIFS(BD!$AB$3:$AB$5001,BD!$A$3:$A$5001,H$3,BD!$B$3:$B$5001,$A$24)))</f>
        <v/>
      </c>
      <c r="I38" s="216" t="str">
        <f>IF(I$3="","",IF(COUNTIFS(BD!$A$3:$A$5001,I$3,BD!$B$3:$B$5001,$A$24,BD!$AB$3:$AB$5001,"&lt;&gt;")=0,"",SUMIFS(BD!$AB$3:$AB$5001,BD!$A$3:$A$5001,I$3,BD!$B$3:$B$5001,$A$24)))</f>
        <v/>
      </c>
      <c r="J38" s="216" t="str">
        <f>IF(J$3="","",IF(COUNTIFS(BD!$A$3:$A$5001,J$3,BD!$B$3:$B$5001,$A$24,BD!$AB$3:$AB$5001,"&lt;&gt;")=0,"",SUMIFS(BD!$AB$3:$AB$5001,BD!$A$3:$A$5001,J$3,BD!$B$3:$B$5001,$A$24)))</f>
        <v/>
      </c>
      <c r="K38" s="216" t="str">
        <f>IF(K$3="","",IF(COUNTIFS(BD!$A$3:$A$5001,K$3,BD!$B$3:$B$5001,$A$24,BD!$AB$3:$AB$5001,"&lt;&gt;")=0,"",SUMIFS(BD!$AB$3:$AB$5001,BD!$A$3:$A$5001,K$3,BD!$B$3:$B$5001,$A$24)))</f>
        <v/>
      </c>
      <c r="L38" s="216" t="str">
        <f>IF(L$3="","",IF(COUNTIFS(BD!$A$3:$A$5001,L$3,BD!$B$3:$B$5001,$A$24,BD!$AB$3:$AB$5001,"&lt;&gt;")=0,"",SUMIFS(BD!$AB$3:$AB$5001,BD!$A$3:$A$5001,L$3,BD!$B$3:$B$5001,$A$24)))</f>
        <v/>
      </c>
      <c r="M38" s="216" t="str">
        <f>IF(M$3="","",IF(COUNTIFS(BD!$A$3:$A$5001,M$3,BD!$B$3:$B$5001,$A$24,BD!$AB$3:$AB$5001,"&lt;&gt;")=0,"",SUMIFS(BD!$AB$3:$AB$5001,BD!$A$3:$A$5001,M$3,BD!$B$3:$B$5001,$A$24)))</f>
        <v/>
      </c>
      <c r="N38" s="216" t="str">
        <f>IF(N$3="","",IF(COUNTIFS(BD!$A$3:$A$5001,N$3,BD!$B$3:$B$5001,$A$24,BD!$AB$3:$AB$5001,"&lt;&gt;")=0,"",SUMIFS(BD!$AB$3:$AB$5001,BD!$A$3:$A$5001,N$3,BD!$B$3:$B$5001,$A$24)))</f>
        <v/>
      </c>
      <c r="O38" s="216" t="str">
        <f>IF(O$3="","",IF(COUNTIFS(BD!$A$3:$A$5001,O$3,BD!$B$3:$B$5001,$A$24,BD!$AB$3:$AB$5001,"&lt;&gt;")=0,"",SUMIFS(BD!$AB$3:$AB$5001,BD!$A$3:$A$5001,O$3,BD!$B$3:$B$5001,$A$24)))</f>
        <v/>
      </c>
      <c r="P38" s="216" t="str">
        <f>IF(P$3="","",IF(COUNTIFS(BD!$A$3:$A$5001,P$3,BD!$B$3:$B$5001,$A$24,BD!$AB$3:$AB$5001,"&lt;&gt;")=0,"",SUMIFS(BD!$AB$3:$AB$5001,BD!$A$3:$A$5001,P$3,BD!$B$3:$B$5001,$A$24)))</f>
        <v/>
      </c>
      <c r="Q38" s="216" t="str">
        <f>IF(Q$3="","",IF(COUNTIFS(BD!$A$3:$A$5001,Q$3,BD!$B$3:$B$5001,$A$24,BD!$AB$3:$AB$5001,"&lt;&gt;")=0,"",SUMIFS(BD!$AB$3:$AB$5001,BD!$A$3:$A$5001,Q$3,BD!$B$3:$B$5001,$A$24)))</f>
        <v/>
      </c>
      <c r="R38" s="216" t="str">
        <f>IF(R$3="","",IF(COUNTIFS(BD!$A$3:$A$5001,R$3,BD!$B$3:$B$5001,$A$24,BD!$AB$3:$AB$5001,"&lt;&gt;")=0,"",SUMIFS(BD!$AB$3:$AB$5001,BD!$A$3:$A$5001,R$3,BD!$B$3:$B$5001,$A$24)))</f>
        <v/>
      </c>
      <c r="S38" s="216" t="str">
        <f>IF(S$3="","",IF(COUNTIFS(BD!$A$3:$A$5001,S$3,BD!$B$3:$B$5001,$A$24,BD!$AB$3:$AB$5001,"&lt;&gt;")=0,"",SUMIFS(BD!$AB$3:$AB$5001,BD!$A$3:$A$5001,S$3,BD!$B$3:$B$5001,$A$24)))</f>
        <v/>
      </c>
      <c r="T38" s="216" t="str">
        <f>IF(T$3="","",IF(COUNTIFS(BD!$A$3:$A$5001,T$3,BD!$B$3:$B$5001,$A$24,BD!$AB$3:$AB$5001,"&lt;&gt;")=0,"",SUMIFS(BD!$AB$3:$AB$5001,BD!$A$3:$A$5001,T$3,BD!$B$3:$B$5001,$A$24)))</f>
        <v/>
      </c>
      <c r="U38" s="216" t="str">
        <f>IF(U$3="","",IF(COUNTIFS(BD!$A$3:$A$5001,U$3,BD!$B$3:$B$5001,$A$24,BD!$AB$3:$AB$5001,"&lt;&gt;")=0,"",SUMIFS(BD!$AB$3:$AB$5001,BD!$A$3:$A$5001,U$3,BD!$B$3:$B$5001,$A$24)))</f>
        <v/>
      </c>
      <c r="V38" s="216" t="str">
        <f>IF(V$3="","",IF(COUNTIFS(BD!$A$3:$A$5001,V$3,BD!$B$3:$B$5001,$A$24,BD!$AB$3:$AB$5001,"&lt;&gt;")=0,"",SUMIFS(BD!$AB$3:$AB$5001,BD!$A$3:$A$5001,V$3,BD!$B$3:$B$5001,$A$24)))</f>
        <v/>
      </c>
      <c r="W38" s="216" t="str">
        <f>IF(W$3="","",IF(COUNTIFS(BD!$A$3:$A$5001,W$3,BD!$B$3:$B$5001,$A$24,BD!$AB$3:$AB$5001,"&lt;&gt;")=0,"",SUMIFS(BD!$AB$3:$AB$5001,BD!$A$3:$A$5001,W$3,BD!$B$3:$B$5001,$A$24)))</f>
        <v/>
      </c>
      <c r="X38" s="216" t="str">
        <f>IF(X$3="","",IF(COUNTIFS(BD!$A$3:$A$5001,X$3,BD!$B$3:$B$5001,$A$24,BD!$AB$3:$AB$5001,"&lt;&gt;")=0,"",SUMIFS(BD!$AB$3:$AB$5001,BD!$A$3:$A$5001,X$3,BD!$B$3:$B$5001,$A$24)))</f>
        <v/>
      </c>
      <c r="Y38" s="216" t="str">
        <f>IF(Y$3="","",IF(COUNTIFS(BD!$A$3:$A$5001,Y$3,BD!$B$3:$B$5001,$A$24,BD!$AB$3:$AB$5001,"&lt;&gt;")=0,"",SUMIFS(BD!$AB$3:$AB$5001,BD!$A$3:$A$5001,Y$3,BD!$B$3:$B$5001,$A$24)))</f>
        <v/>
      </c>
      <c r="Z38" s="216" t="str">
        <f>IF(Z$3="","",IF(COUNTIFS(BD!$A$3:$A$5001,Z$3,BD!$B$3:$B$5001,$A$24,BD!$AB$3:$AB$5001,"&lt;&gt;")=0,"",SUMIFS(BD!$AB$3:$AB$5001,BD!$A$3:$A$5001,Z$3,BD!$B$3:$B$5001,$A$24)))</f>
        <v/>
      </c>
      <c r="AA38" s="216" t="str">
        <f>IF(AA$3="","",IF(COUNTIFS(BD!$A$3:$A$5001,AA$3,BD!$B$3:$B$5001,$A$24,BD!$AB$3:$AB$5001,"&lt;&gt;")=0,"",SUMIFS(BD!$AB$3:$AB$5001,BD!$A$3:$A$5001,AA$3,BD!$B$3:$B$5001,$A$24)))</f>
        <v/>
      </c>
      <c r="AB38" s="216" t="str">
        <f>IF(AB$3="","",IF(COUNTIFS(BD!$A$3:$A$5001,AB$3,BD!$B$3:$B$5001,$A$24,BD!$AB$3:$AB$5001,"&lt;&gt;")=0,"",SUMIFS(BD!$AB$3:$AB$5001,BD!$A$3:$A$5001,AB$3,BD!$B$3:$B$5001,$A$24)))</f>
        <v/>
      </c>
      <c r="AC38" s="216" t="str">
        <f>IF(AC$3="","",IF(COUNTIFS(BD!$A$3:$A$5001,AC$3,BD!$B$3:$B$5001,$A$24,BD!$AB$3:$AB$5001,"&lt;&gt;")=0,"",SUMIFS(BD!$AB$3:$AB$5001,BD!$A$3:$A$5001,AC$3,BD!$B$3:$B$5001,$A$24)))</f>
        <v/>
      </c>
      <c r="AD38" s="216" t="str">
        <f>IF(AD$3="","",IF(COUNTIFS(BD!$A$3:$A$5001,AD$3,BD!$B$3:$B$5001,$A$24,BD!$AB$3:$AB$5001,"&lt;&gt;")=0,"",SUMIFS(BD!$AB$3:$AB$5001,BD!$A$3:$A$5001,AD$3,BD!$B$3:$B$5001,$A$24)))</f>
        <v/>
      </c>
      <c r="AE38" s="216" t="str">
        <f>IF(AE$3="","",IF(COUNTIFS(BD!$A$3:$A$5001,AE$3,BD!$B$3:$B$5001,$A$24,BD!$AB$3:$AB$5001,"&lt;&gt;")=0,"",SUMIFS(BD!$AB$3:$AB$5001,BD!$A$3:$A$5001,AE$3,BD!$B$3:$B$5001,$A$24)))</f>
        <v/>
      </c>
      <c r="AF38" s="216" t="str">
        <f>IF(AF$3="","",IF(COUNTIFS(BD!$A$3:$A$5001,AF$3,BD!$B$3:$B$5001,$A$24,BD!$AB$3:$AB$5001,"&lt;&gt;")=0,"",SUMIFS(BD!$AB$3:$AB$5001,BD!$A$3:$A$5001,AF$3,BD!$B$3:$B$5001,$A$24)))</f>
        <v/>
      </c>
      <c r="AG38" s="216" t="str">
        <f>IF(AG$3="","",IF(COUNTIFS(BD!$A$3:$A$5001,AG$3,BD!$B$3:$B$5001,$A$24,BD!$AB$3:$AB$5001,"&lt;&gt;")=0,"",SUMIFS(BD!$AB$3:$AB$5001,BD!$A$3:$A$5001,AG$3,BD!$B$3:$B$5001,$A$24)))</f>
        <v/>
      </c>
      <c r="AH38" s="216" t="str">
        <f>IF(AH$3="","",IF(COUNTIFS(BD!$A$3:$A$5001,AH$3,BD!$B$3:$B$5001,$A$24,BD!$AB$3:$AB$5001,"&lt;&gt;")=0,"",SUMIFS(BD!$AB$3:$AB$5001,BD!$A$3:$A$5001,AH$3,BD!$B$3:$B$5001,$A$24)))</f>
        <v/>
      </c>
      <c r="AI38" s="216" t="str">
        <f>IF(AI$3="","",IF(COUNTIFS(BD!$A$3:$A$5001,AI$3,BD!$B$3:$B$5001,$A$24,BD!$AB$3:$AB$5001,"&lt;&gt;")=0,"",SUMIFS(BD!$AB$3:$AB$5001,BD!$A$3:$A$5001,AI$3,BD!$B$3:$B$5001,$A$24)))</f>
        <v/>
      </c>
      <c r="AJ38" s="217" t="str">
        <f>IF(AJ$3="","",IF(COUNTIFS(BD!$A$3:$A$5001,AJ$3,BD!$B$3:$B$5001,$A$24,BD!$AB$3:$AB$5001,"&lt;&gt;")=0,"",SUMIFS(BD!$AB$3:$AB$5001,BD!$A$3:$A$5001,AJ$3,BD!$B$3:$B$5001,$A$24)))</f>
        <v/>
      </c>
      <c r="AK38" s="218" t="str">
        <f>IF(COUNT(F38:AJ38)=0,"",SUM(F38:AJ38))</f>
        <v/>
      </c>
    </row>
    <row r="39" ht="15.75" customHeight="1">
      <c r="A39" s="237"/>
      <c r="B39" s="234"/>
      <c r="C39" s="212" t="inlineStr">
        <is>
          <t xml:space="preserve">Férias</t>
        </is>
      </c>
      <c r="D39" s="213" t="str">
        <f>IFERROR(1/(1/INDEX(BD!$AK$50:$AU$50,MATCH($A$24,BD!$AK$22:$AU$22,0))),"")</f>
        <v/>
      </c>
      <c r="E39" s="214"/>
      <c r="F39" s="215" t="str">
        <f>IF(F$3="","",IF(COUNTIFS(BD!$A$3:$A$5001,F$3,BD!$B$3:$B$5001,$A$24,BD!$AC$3:$AC$5001,"&lt;&gt;")=0,"",SUMIFS(BD!$AC$3:$AC$5001,BD!$A$3:$A$5001,F$3,BD!$B$3:$B$5001,$A$24)))</f>
        <v/>
      </c>
      <c r="G39" s="216" t="str">
        <f>IF(G$3="","",IF(COUNTIFS(BD!$A$3:$A$5001,G$3,BD!$B$3:$B$5001,$A$24,BD!$AC$3:$AC$5001,"&lt;&gt;")=0,"",SUMIFS(BD!$AC$3:$AC$5001,BD!$A$3:$A$5001,G$3,BD!$B$3:$B$5001,$A$24)))</f>
        <v/>
      </c>
      <c r="H39" s="216" t="str">
        <f>IF(H$3="","",IF(COUNTIFS(BD!$A$3:$A$5001,H$3,BD!$B$3:$B$5001,$A$24,BD!$AC$3:$AC$5001,"&lt;&gt;")=0,"",SUMIFS(BD!$AC$3:$AC$5001,BD!$A$3:$A$5001,H$3,BD!$B$3:$B$5001,$A$24)))</f>
        <v/>
      </c>
      <c r="I39" s="216" t="str">
        <f>IF(I$3="","",IF(COUNTIFS(BD!$A$3:$A$5001,I$3,BD!$B$3:$B$5001,$A$24,BD!$AC$3:$AC$5001,"&lt;&gt;")=0,"",SUMIFS(BD!$AC$3:$AC$5001,BD!$A$3:$A$5001,I$3,BD!$B$3:$B$5001,$A$24)))</f>
        <v/>
      </c>
      <c r="J39" s="216" t="str">
        <f>IF(J$3="","",IF(COUNTIFS(BD!$A$3:$A$5001,J$3,BD!$B$3:$B$5001,$A$24,BD!$AC$3:$AC$5001,"&lt;&gt;")=0,"",SUMIFS(BD!$AC$3:$AC$5001,BD!$A$3:$A$5001,J$3,BD!$B$3:$B$5001,$A$24)))</f>
        <v/>
      </c>
      <c r="K39" s="216" t="str">
        <f>IF(K$3="","",IF(COUNTIFS(BD!$A$3:$A$5001,K$3,BD!$B$3:$B$5001,$A$24,BD!$AC$3:$AC$5001,"&lt;&gt;")=0,"",SUMIFS(BD!$AC$3:$AC$5001,BD!$A$3:$A$5001,K$3,BD!$B$3:$B$5001,$A$24)))</f>
        <v/>
      </c>
      <c r="L39" s="216" t="str">
        <f>IF(L$3="","",IF(COUNTIFS(BD!$A$3:$A$5001,L$3,BD!$B$3:$B$5001,$A$24,BD!$AC$3:$AC$5001,"&lt;&gt;")=0,"",SUMIFS(BD!$AC$3:$AC$5001,BD!$A$3:$A$5001,L$3,BD!$B$3:$B$5001,$A$24)))</f>
        <v/>
      </c>
      <c r="M39" s="216" t="str">
        <f>IF(M$3="","",IF(COUNTIFS(BD!$A$3:$A$5001,M$3,BD!$B$3:$B$5001,$A$24,BD!$AC$3:$AC$5001,"&lt;&gt;")=0,"",SUMIFS(BD!$AC$3:$AC$5001,BD!$A$3:$A$5001,M$3,BD!$B$3:$B$5001,$A$24)))</f>
        <v/>
      </c>
      <c r="N39" s="216" t="str">
        <f>IF(N$3="","",IF(COUNTIFS(BD!$A$3:$A$5001,N$3,BD!$B$3:$B$5001,$A$24,BD!$AC$3:$AC$5001,"&lt;&gt;")=0,"",SUMIFS(BD!$AC$3:$AC$5001,BD!$A$3:$A$5001,N$3,BD!$B$3:$B$5001,$A$24)))</f>
        <v/>
      </c>
      <c r="O39" s="216" t="str">
        <f>IF(O$3="","",IF(COUNTIFS(BD!$A$3:$A$5001,O$3,BD!$B$3:$B$5001,$A$24,BD!$AC$3:$AC$5001,"&lt;&gt;")=0,"",SUMIFS(BD!$AC$3:$AC$5001,BD!$A$3:$A$5001,O$3,BD!$B$3:$B$5001,$A$24)))</f>
        <v/>
      </c>
      <c r="P39" s="216" t="str">
        <f>IF(P$3="","",IF(COUNTIFS(BD!$A$3:$A$5001,P$3,BD!$B$3:$B$5001,$A$24,BD!$AC$3:$AC$5001,"&lt;&gt;")=0,"",SUMIFS(BD!$AC$3:$AC$5001,BD!$A$3:$A$5001,P$3,BD!$B$3:$B$5001,$A$24)))</f>
        <v/>
      </c>
      <c r="Q39" s="216" t="str">
        <f>IF(Q$3="","",IF(COUNTIFS(BD!$A$3:$A$5001,Q$3,BD!$B$3:$B$5001,$A$24,BD!$AC$3:$AC$5001,"&lt;&gt;")=0,"",SUMIFS(BD!$AC$3:$AC$5001,BD!$A$3:$A$5001,Q$3,BD!$B$3:$B$5001,$A$24)))</f>
        <v/>
      </c>
      <c r="R39" s="216" t="str">
        <f>IF(R$3="","",IF(COUNTIFS(BD!$A$3:$A$5001,R$3,BD!$B$3:$B$5001,$A$24,BD!$AC$3:$AC$5001,"&lt;&gt;")=0,"",SUMIFS(BD!$AC$3:$AC$5001,BD!$A$3:$A$5001,R$3,BD!$B$3:$B$5001,$A$24)))</f>
        <v/>
      </c>
      <c r="S39" s="216" t="str">
        <f>IF(S$3="","",IF(COUNTIFS(BD!$A$3:$A$5001,S$3,BD!$B$3:$B$5001,$A$24,BD!$AC$3:$AC$5001,"&lt;&gt;")=0,"",SUMIFS(BD!$AC$3:$AC$5001,BD!$A$3:$A$5001,S$3,BD!$B$3:$B$5001,$A$24)))</f>
        <v/>
      </c>
      <c r="T39" s="216" t="str">
        <f>IF(T$3="","",IF(COUNTIFS(BD!$A$3:$A$5001,T$3,BD!$B$3:$B$5001,$A$24,BD!$AC$3:$AC$5001,"&lt;&gt;")=0,"",SUMIFS(BD!$AC$3:$AC$5001,BD!$A$3:$A$5001,T$3,BD!$B$3:$B$5001,$A$24)))</f>
        <v/>
      </c>
      <c r="U39" s="216" t="str">
        <f>IF(U$3="","",IF(COUNTIFS(BD!$A$3:$A$5001,U$3,BD!$B$3:$B$5001,$A$24,BD!$AC$3:$AC$5001,"&lt;&gt;")=0,"",SUMIFS(BD!$AC$3:$AC$5001,BD!$A$3:$A$5001,U$3,BD!$B$3:$B$5001,$A$24)))</f>
        <v/>
      </c>
      <c r="V39" s="216" t="str">
        <f>IF(V$3="","",IF(COUNTIFS(BD!$A$3:$A$5001,V$3,BD!$B$3:$B$5001,$A$24,BD!$AC$3:$AC$5001,"&lt;&gt;")=0,"",SUMIFS(BD!$AC$3:$AC$5001,BD!$A$3:$A$5001,V$3,BD!$B$3:$B$5001,$A$24)))</f>
        <v/>
      </c>
      <c r="W39" s="216" t="str">
        <f>IF(W$3="","",IF(COUNTIFS(BD!$A$3:$A$5001,W$3,BD!$B$3:$B$5001,$A$24,BD!$AC$3:$AC$5001,"&lt;&gt;")=0,"",SUMIFS(BD!$AC$3:$AC$5001,BD!$A$3:$A$5001,W$3,BD!$B$3:$B$5001,$A$24)))</f>
        <v/>
      </c>
      <c r="X39" s="216" t="str">
        <f>IF(X$3="","",IF(COUNTIFS(BD!$A$3:$A$5001,X$3,BD!$B$3:$B$5001,$A$24,BD!$AC$3:$AC$5001,"&lt;&gt;")=0,"",SUMIFS(BD!$AC$3:$AC$5001,BD!$A$3:$A$5001,X$3,BD!$B$3:$B$5001,$A$24)))</f>
        <v/>
      </c>
      <c r="Y39" s="216" t="str">
        <f>IF(Y$3="","",IF(COUNTIFS(BD!$A$3:$A$5001,Y$3,BD!$B$3:$B$5001,$A$24,BD!$AC$3:$AC$5001,"&lt;&gt;")=0,"",SUMIFS(BD!$AC$3:$AC$5001,BD!$A$3:$A$5001,Y$3,BD!$B$3:$B$5001,$A$24)))</f>
        <v/>
      </c>
      <c r="Z39" s="216" t="str">
        <f>IF(Z$3="","",IF(COUNTIFS(BD!$A$3:$A$5001,Z$3,BD!$B$3:$B$5001,$A$24,BD!$AC$3:$AC$5001,"&lt;&gt;")=0,"",SUMIFS(BD!$AC$3:$AC$5001,BD!$A$3:$A$5001,Z$3,BD!$B$3:$B$5001,$A$24)))</f>
        <v/>
      </c>
      <c r="AA39" s="216" t="str">
        <f>IF(AA$3="","",IF(COUNTIFS(BD!$A$3:$A$5001,AA$3,BD!$B$3:$B$5001,$A$24,BD!$AC$3:$AC$5001,"&lt;&gt;")=0,"",SUMIFS(BD!$AC$3:$AC$5001,BD!$A$3:$A$5001,AA$3,BD!$B$3:$B$5001,$A$24)))</f>
        <v/>
      </c>
      <c r="AB39" s="216" t="str">
        <f>IF(AB$3="","",IF(COUNTIFS(BD!$A$3:$A$5001,AB$3,BD!$B$3:$B$5001,$A$24,BD!$AC$3:$AC$5001,"&lt;&gt;")=0,"",SUMIFS(BD!$AC$3:$AC$5001,BD!$A$3:$A$5001,AB$3,BD!$B$3:$B$5001,$A$24)))</f>
        <v/>
      </c>
      <c r="AC39" s="216" t="str">
        <f>IF(AC$3="","",IF(COUNTIFS(BD!$A$3:$A$5001,AC$3,BD!$B$3:$B$5001,$A$24,BD!$AC$3:$AC$5001,"&lt;&gt;")=0,"",SUMIFS(BD!$AC$3:$AC$5001,BD!$A$3:$A$5001,AC$3,BD!$B$3:$B$5001,$A$24)))</f>
        <v/>
      </c>
      <c r="AD39" s="216" t="str">
        <f>IF(AD$3="","",IF(COUNTIFS(BD!$A$3:$A$5001,AD$3,BD!$B$3:$B$5001,$A$24,BD!$AC$3:$AC$5001,"&lt;&gt;")=0,"",SUMIFS(BD!$AC$3:$AC$5001,BD!$A$3:$A$5001,AD$3,BD!$B$3:$B$5001,$A$24)))</f>
        <v/>
      </c>
      <c r="AE39" s="216" t="str">
        <f>IF(AE$3="","",IF(COUNTIFS(BD!$A$3:$A$5001,AE$3,BD!$B$3:$B$5001,$A$24,BD!$AC$3:$AC$5001,"&lt;&gt;")=0,"",SUMIFS(BD!$AC$3:$AC$5001,BD!$A$3:$A$5001,AE$3,BD!$B$3:$B$5001,$A$24)))</f>
        <v/>
      </c>
      <c r="AF39" s="216" t="str">
        <f>IF(AF$3="","",IF(COUNTIFS(BD!$A$3:$A$5001,AF$3,BD!$B$3:$B$5001,$A$24,BD!$AC$3:$AC$5001,"&lt;&gt;")=0,"",SUMIFS(BD!$AC$3:$AC$5001,BD!$A$3:$A$5001,AF$3,BD!$B$3:$B$5001,$A$24)))</f>
        <v/>
      </c>
      <c r="AG39" s="216" t="str">
        <f>IF(AG$3="","",IF(COUNTIFS(BD!$A$3:$A$5001,AG$3,BD!$B$3:$B$5001,$A$24,BD!$AC$3:$AC$5001,"&lt;&gt;")=0,"",SUMIFS(BD!$AC$3:$AC$5001,BD!$A$3:$A$5001,AG$3,BD!$B$3:$B$5001,$A$24)))</f>
        <v/>
      </c>
      <c r="AH39" s="216" t="str">
        <f>IF(AH$3="","",IF(COUNTIFS(BD!$A$3:$A$5001,AH$3,BD!$B$3:$B$5001,$A$24,BD!$AC$3:$AC$5001,"&lt;&gt;")=0,"",SUMIFS(BD!$AC$3:$AC$5001,BD!$A$3:$A$5001,AH$3,BD!$B$3:$B$5001,$A$24)))</f>
        <v/>
      </c>
      <c r="AI39" s="216" t="str">
        <f>IF(AI$3="","",IF(COUNTIFS(BD!$A$3:$A$5001,AI$3,BD!$B$3:$B$5001,$A$24,BD!$AC$3:$AC$5001,"&lt;&gt;")=0,"",SUMIFS(BD!$AC$3:$AC$5001,BD!$A$3:$A$5001,AI$3,BD!$B$3:$B$5001,$A$24)))</f>
        <v/>
      </c>
      <c r="AJ39" s="217" t="str">
        <f>IF(AJ$3="","",IF(COUNTIFS(BD!$A$3:$A$5001,AJ$3,BD!$B$3:$B$5001,$A$24,BD!$AC$3:$AC$5001,"&lt;&gt;")=0,"",SUMIFS(BD!$AC$3:$AC$5001,BD!$A$3:$A$5001,AJ$3,BD!$B$3:$B$5001,$A$24)))</f>
        <v/>
      </c>
      <c r="AK39" s="218" t="str">
        <f>IF(COUNT(F39:AJ39)=0,"",SUM(F39:AJ39))</f>
        <v/>
      </c>
    </row>
    <row r="40" ht="15.75" customHeight="1">
      <c r="A40" s="237"/>
      <c r="B40" s="234"/>
      <c r="C40" s="212" t="inlineStr">
        <is>
          <t xml:space="preserve">Desligamento</t>
        </is>
      </c>
      <c r="D40" s="213" t="str">
        <f>IFERROR(1/(1/INDEX(BD!$AK$51:$AU$51,MATCH($A$24,BD!$AK$22:$AU$22,0))),"")</f>
        <v/>
      </c>
      <c r="E40" s="214"/>
      <c r="F40" s="215" t="str">
        <f>IF(F$3="","",IF(COUNTIFS(BD!$A$3:$A$5001,F$3,BD!$B$3:$B$5001,$A$24,BD!$AD$3:$AD$5001,"&lt;&gt;")=0,"",SUMIFS(BD!$AD$3:$AD$5001,BD!$A$3:$A$5001,F$3,BD!$B$3:$B$5001,$A$24)))</f>
        <v/>
      </c>
      <c r="G40" s="216" t="str">
        <f>IF(G$3="","",IF(COUNTIFS(BD!$A$3:$A$5001,G$3,BD!$B$3:$B$5001,$A$24,BD!$AD$3:$AD$5001,"&lt;&gt;")=0,"",SUMIFS(BD!$AD$3:$AD$5001,BD!$A$3:$A$5001,G$3,BD!$B$3:$B$5001,$A$24)))</f>
        <v/>
      </c>
      <c r="H40" s="216" t="str">
        <f>IF(H$3="","",IF(COUNTIFS(BD!$A$3:$A$5001,H$3,BD!$B$3:$B$5001,$A$24,BD!$AD$3:$AD$5001,"&lt;&gt;")=0,"",SUMIFS(BD!$AD$3:$AD$5001,BD!$A$3:$A$5001,H$3,BD!$B$3:$B$5001,$A$24)))</f>
        <v/>
      </c>
      <c r="I40" s="216" t="str">
        <f>IF(I$3="","",IF(COUNTIFS(BD!$A$3:$A$5001,I$3,BD!$B$3:$B$5001,$A$24,BD!$AD$3:$AD$5001,"&lt;&gt;")=0,"",SUMIFS(BD!$AD$3:$AD$5001,BD!$A$3:$A$5001,I$3,BD!$B$3:$B$5001,$A$24)))</f>
        <v/>
      </c>
      <c r="J40" s="216" t="str">
        <f>IF(J$3="","",IF(COUNTIFS(BD!$A$3:$A$5001,J$3,BD!$B$3:$B$5001,$A$24,BD!$AD$3:$AD$5001,"&lt;&gt;")=0,"",SUMIFS(BD!$AD$3:$AD$5001,BD!$A$3:$A$5001,J$3,BD!$B$3:$B$5001,$A$24)))</f>
        <v/>
      </c>
      <c r="K40" s="216" t="str">
        <f>IF(K$3="","",IF(COUNTIFS(BD!$A$3:$A$5001,K$3,BD!$B$3:$B$5001,$A$24,BD!$AD$3:$AD$5001,"&lt;&gt;")=0,"",SUMIFS(BD!$AD$3:$AD$5001,BD!$A$3:$A$5001,K$3,BD!$B$3:$B$5001,$A$24)))</f>
        <v/>
      </c>
      <c r="L40" s="216" t="str">
        <f>IF(L$3="","",IF(COUNTIFS(BD!$A$3:$A$5001,L$3,BD!$B$3:$B$5001,$A$24,BD!$AD$3:$AD$5001,"&lt;&gt;")=0,"",SUMIFS(BD!$AD$3:$AD$5001,BD!$A$3:$A$5001,L$3,BD!$B$3:$B$5001,$A$24)))</f>
        <v/>
      </c>
      <c r="M40" s="216" t="str">
        <f>IF(M$3="","",IF(COUNTIFS(BD!$A$3:$A$5001,M$3,BD!$B$3:$B$5001,$A$24,BD!$AD$3:$AD$5001,"&lt;&gt;")=0,"",SUMIFS(BD!$AD$3:$AD$5001,BD!$A$3:$A$5001,M$3,BD!$B$3:$B$5001,$A$24)))</f>
        <v/>
      </c>
      <c r="N40" s="216" t="str">
        <f>IF(N$3="","",IF(COUNTIFS(BD!$A$3:$A$5001,N$3,BD!$B$3:$B$5001,$A$24,BD!$AD$3:$AD$5001,"&lt;&gt;")=0,"",SUMIFS(BD!$AD$3:$AD$5001,BD!$A$3:$A$5001,N$3,BD!$B$3:$B$5001,$A$24)))</f>
        <v/>
      </c>
      <c r="O40" s="216" t="str">
        <f>IF(O$3="","",IF(COUNTIFS(BD!$A$3:$A$5001,O$3,BD!$B$3:$B$5001,$A$24,BD!$AD$3:$AD$5001,"&lt;&gt;")=0,"",SUMIFS(BD!$AD$3:$AD$5001,BD!$A$3:$A$5001,O$3,BD!$B$3:$B$5001,$A$24)))</f>
        <v/>
      </c>
      <c r="P40" s="216" t="str">
        <f>IF(P$3="","",IF(COUNTIFS(BD!$A$3:$A$5001,P$3,BD!$B$3:$B$5001,$A$24,BD!$AD$3:$AD$5001,"&lt;&gt;")=0,"",SUMIFS(BD!$AD$3:$AD$5001,BD!$A$3:$A$5001,P$3,BD!$B$3:$B$5001,$A$24)))</f>
        <v/>
      </c>
      <c r="Q40" s="216" t="str">
        <f>IF(Q$3="","",IF(COUNTIFS(BD!$A$3:$A$5001,Q$3,BD!$B$3:$B$5001,$A$24,BD!$AD$3:$AD$5001,"&lt;&gt;")=0,"",SUMIFS(BD!$AD$3:$AD$5001,BD!$A$3:$A$5001,Q$3,BD!$B$3:$B$5001,$A$24)))</f>
        <v/>
      </c>
      <c r="R40" s="216" t="str">
        <f>IF(R$3="","",IF(COUNTIFS(BD!$A$3:$A$5001,R$3,BD!$B$3:$B$5001,$A$24,BD!$AD$3:$AD$5001,"&lt;&gt;")=0,"",SUMIFS(BD!$AD$3:$AD$5001,BD!$A$3:$A$5001,R$3,BD!$B$3:$B$5001,$A$24)))</f>
        <v/>
      </c>
      <c r="S40" s="216" t="str">
        <f>IF(S$3="","",IF(COUNTIFS(BD!$A$3:$A$5001,S$3,BD!$B$3:$B$5001,$A$24,BD!$AD$3:$AD$5001,"&lt;&gt;")=0,"",SUMIFS(BD!$AD$3:$AD$5001,BD!$A$3:$A$5001,S$3,BD!$B$3:$B$5001,$A$24)))</f>
        <v/>
      </c>
      <c r="T40" s="216" t="str">
        <f>IF(T$3="","",IF(COUNTIFS(BD!$A$3:$A$5001,T$3,BD!$B$3:$B$5001,$A$24,BD!$AD$3:$AD$5001,"&lt;&gt;")=0,"",SUMIFS(BD!$AD$3:$AD$5001,BD!$A$3:$A$5001,T$3,BD!$B$3:$B$5001,$A$24)))</f>
        <v/>
      </c>
      <c r="U40" s="216" t="str">
        <f>IF(U$3="","",IF(COUNTIFS(BD!$A$3:$A$5001,U$3,BD!$B$3:$B$5001,$A$24,BD!$AD$3:$AD$5001,"&lt;&gt;")=0,"",SUMIFS(BD!$AD$3:$AD$5001,BD!$A$3:$A$5001,U$3,BD!$B$3:$B$5001,$A$24)))</f>
        <v/>
      </c>
      <c r="V40" s="216" t="str">
        <f>IF(V$3="","",IF(COUNTIFS(BD!$A$3:$A$5001,V$3,BD!$B$3:$B$5001,$A$24,BD!$AD$3:$AD$5001,"&lt;&gt;")=0,"",SUMIFS(BD!$AD$3:$AD$5001,BD!$A$3:$A$5001,V$3,BD!$B$3:$B$5001,$A$24)))</f>
        <v/>
      </c>
      <c r="W40" s="216" t="str">
        <f>IF(W$3="","",IF(COUNTIFS(BD!$A$3:$A$5001,W$3,BD!$B$3:$B$5001,$A$24,BD!$AD$3:$AD$5001,"&lt;&gt;")=0,"",SUMIFS(BD!$AD$3:$AD$5001,BD!$A$3:$A$5001,W$3,BD!$B$3:$B$5001,$A$24)))</f>
        <v/>
      </c>
      <c r="X40" s="216" t="str">
        <f>IF(X$3="","",IF(COUNTIFS(BD!$A$3:$A$5001,X$3,BD!$B$3:$B$5001,$A$24,BD!$AD$3:$AD$5001,"&lt;&gt;")=0,"",SUMIFS(BD!$AD$3:$AD$5001,BD!$A$3:$A$5001,X$3,BD!$B$3:$B$5001,$A$24)))</f>
        <v/>
      </c>
      <c r="Y40" s="216" t="str">
        <f>IF(Y$3="","",IF(COUNTIFS(BD!$A$3:$A$5001,Y$3,BD!$B$3:$B$5001,$A$24,BD!$AD$3:$AD$5001,"&lt;&gt;")=0,"",SUMIFS(BD!$AD$3:$AD$5001,BD!$A$3:$A$5001,Y$3,BD!$B$3:$B$5001,$A$24)))</f>
        <v/>
      </c>
      <c r="Z40" s="216" t="str">
        <f>IF(Z$3="","",IF(COUNTIFS(BD!$A$3:$A$5001,Z$3,BD!$B$3:$B$5001,$A$24,BD!$AD$3:$AD$5001,"&lt;&gt;")=0,"",SUMIFS(BD!$AD$3:$AD$5001,BD!$A$3:$A$5001,Z$3,BD!$B$3:$B$5001,$A$24)))</f>
        <v/>
      </c>
      <c r="AA40" s="216" t="str">
        <f>IF(AA$3="","",IF(COUNTIFS(BD!$A$3:$A$5001,AA$3,BD!$B$3:$B$5001,$A$24,BD!$AD$3:$AD$5001,"&lt;&gt;")=0,"",SUMIFS(BD!$AD$3:$AD$5001,BD!$A$3:$A$5001,AA$3,BD!$B$3:$B$5001,$A$24)))</f>
        <v/>
      </c>
      <c r="AB40" s="216" t="str">
        <f>IF(AB$3="","",IF(COUNTIFS(BD!$A$3:$A$5001,AB$3,BD!$B$3:$B$5001,$A$24,BD!$AD$3:$AD$5001,"&lt;&gt;")=0,"",SUMIFS(BD!$AD$3:$AD$5001,BD!$A$3:$A$5001,AB$3,BD!$B$3:$B$5001,$A$24)))</f>
        <v/>
      </c>
      <c r="AC40" s="216" t="str">
        <f>IF(AC$3="","",IF(COUNTIFS(BD!$A$3:$A$5001,AC$3,BD!$B$3:$B$5001,$A$24,BD!$AD$3:$AD$5001,"&lt;&gt;")=0,"",SUMIFS(BD!$AD$3:$AD$5001,BD!$A$3:$A$5001,AC$3,BD!$B$3:$B$5001,$A$24)))</f>
        <v/>
      </c>
      <c r="AD40" s="216" t="str">
        <f>IF(AD$3="","",IF(COUNTIFS(BD!$A$3:$A$5001,AD$3,BD!$B$3:$B$5001,$A$24,BD!$AD$3:$AD$5001,"&lt;&gt;")=0,"",SUMIFS(BD!$AD$3:$AD$5001,BD!$A$3:$A$5001,AD$3,BD!$B$3:$B$5001,$A$24)))</f>
        <v/>
      </c>
      <c r="AE40" s="216" t="str">
        <f>IF(AE$3="","",IF(COUNTIFS(BD!$A$3:$A$5001,AE$3,BD!$B$3:$B$5001,$A$24,BD!$AD$3:$AD$5001,"&lt;&gt;")=0,"",SUMIFS(BD!$AD$3:$AD$5001,BD!$A$3:$A$5001,AE$3,BD!$B$3:$B$5001,$A$24)))</f>
        <v/>
      </c>
      <c r="AF40" s="216" t="str">
        <f>IF(AF$3="","",IF(COUNTIFS(BD!$A$3:$A$5001,AF$3,BD!$B$3:$B$5001,$A$24,BD!$AD$3:$AD$5001,"&lt;&gt;")=0,"",SUMIFS(BD!$AD$3:$AD$5001,BD!$A$3:$A$5001,AF$3,BD!$B$3:$B$5001,$A$24)))</f>
        <v/>
      </c>
      <c r="AG40" s="216" t="str">
        <f>IF(AG$3="","",IF(COUNTIFS(BD!$A$3:$A$5001,AG$3,BD!$B$3:$B$5001,$A$24,BD!$AD$3:$AD$5001,"&lt;&gt;")=0,"",SUMIFS(BD!$AD$3:$AD$5001,BD!$A$3:$A$5001,AG$3,BD!$B$3:$B$5001,$A$24)))</f>
        <v/>
      </c>
      <c r="AH40" s="216" t="str">
        <f>IF(AH$3="","",IF(COUNTIFS(BD!$A$3:$A$5001,AH$3,BD!$B$3:$B$5001,$A$24,BD!$AD$3:$AD$5001,"&lt;&gt;")=0,"",SUMIFS(BD!$AD$3:$AD$5001,BD!$A$3:$A$5001,AH$3,BD!$B$3:$B$5001,$A$24)))</f>
        <v/>
      </c>
      <c r="AI40" s="216" t="str">
        <f>IF(AI$3="","",IF(COUNTIFS(BD!$A$3:$A$5001,AI$3,BD!$B$3:$B$5001,$A$24,BD!$AD$3:$AD$5001,"&lt;&gt;")=0,"",SUMIFS(BD!$AD$3:$AD$5001,BD!$A$3:$A$5001,AI$3,BD!$B$3:$B$5001,$A$24)))</f>
        <v/>
      </c>
      <c r="AJ40" s="217" t="str">
        <f>IF(AJ$3="","",IF(COUNTIFS(BD!$A$3:$A$5001,AJ$3,BD!$B$3:$B$5001,$A$24,BD!$AD$3:$AD$5001,"&lt;&gt;")=0,"",SUMIFS(BD!$AD$3:$AD$5001,BD!$A$3:$A$5001,AJ$3,BD!$B$3:$B$5001,$A$24)))</f>
        <v/>
      </c>
      <c r="AK40" s="218" t="str">
        <f>IF(COUNT(F40:AJ40)=0,"",SUM(F40:AJ40))</f>
        <v/>
      </c>
    </row>
    <row r="41" ht="15.75" customHeight="1">
      <c r="A41" s="237"/>
      <c r="B41" s="234"/>
      <c r="C41" s="212" t="inlineStr">
        <is>
          <t xml:space="preserve">Desvios Comportamentais</t>
        </is>
      </c>
      <c r="D41" s="213" t="str">
        <f>IFERROR(1/(1/INDEX(BD!$AK$52:$AU$52,MATCH($A$24,BD!$AK$22:$AU$22,0))),"")</f>
        <v/>
      </c>
      <c r="E41" s="214"/>
      <c r="F41" s="215" t="str">
        <f>IF(F$3="","",IF(COUNTIFS(BD!$A$3:$A$5001,F$3,BD!$B$3:$B$5001,$A$24,BD!$AE$3:$AE$5001,"&lt;&gt;")=0,"",SUMIFS(BD!$AE$3:$AE$5001,BD!$A$3:$A$5001,F$3,BD!$B$3:$B$5001,$A$24)))</f>
        <v/>
      </c>
      <c r="G41" s="216" t="str">
        <f>IF(G$3="","",IF(COUNTIFS(BD!$A$3:$A$5001,G$3,BD!$B$3:$B$5001,$A$24,BD!$AE$3:$AE$5001,"&lt;&gt;")=0,"",SUMIFS(BD!$AE$3:$AE$5001,BD!$A$3:$A$5001,G$3,BD!$B$3:$B$5001,$A$24)))</f>
        <v/>
      </c>
      <c r="H41" s="216" t="str">
        <f>IF(H$3="","",IF(COUNTIFS(BD!$A$3:$A$5001,H$3,BD!$B$3:$B$5001,$A$24,BD!$AE$3:$AE$5001,"&lt;&gt;")=0,"",SUMIFS(BD!$AE$3:$AE$5001,BD!$A$3:$A$5001,H$3,BD!$B$3:$B$5001,$A$24)))</f>
        <v/>
      </c>
      <c r="I41" s="216" t="str">
        <f>IF(I$3="","",IF(COUNTIFS(BD!$A$3:$A$5001,I$3,BD!$B$3:$B$5001,$A$24,BD!$AE$3:$AE$5001,"&lt;&gt;")=0,"",SUMIFS(BD!$AE$3:$AE$5001,BD!$A$3:$A$5001,I$3,BD!$B$3:$B$5001,$A$24)))</f>
        <v/>
      </c>
      <c r="J41" s="216" t="str">
        <f>IF(J$3="","",IF(COUNTIFS(BD!$A$3:$A$5001,J$3,BD!$B$3:$B$5001,$A$24,BD!$AE$3:$AE$5001,"&lt;&gt;")=0,"",SUMIFS(BD!$AE$3:$AE$5001,BD!$A$3:$A$5001,J$3,BD!$B$3:$B$5001,$A$24)))</f>
        <v/>
      </c>
      <c r="K41" s="216" t="str">
        <f>IF(K$3="","",IF(COUNTIFS(BD!$A$3:$A$5001,K$3,BD!$B$3:$B$5001,$A$24,BD!$AE$3:$AE$5001,"&lt;&gt;")=0,"",SUMIFS(BD!$AE$3:$AE$5001,BD!$A$3:$A$5001,K$3,BD!$B$3:$B$5001,$A$24)))</f>
        <v/>
      </c>
      <c r="L41" s="216" t="str">
        <f>IF(L$3="","",IF(COUNTIFS(BD!$A$3:$A$5001,L$3,BD!$B$3:$B$5001,$A$24,BD!$AE$3:$AE$5001,"&lt;&gt;")=0,"",SUMIFS(BD!$AE$3:$AE$5001,BD!$A$3:$A$5001,L$3,BD!$B$3:$B$5001,$A$24)))</f>
        <v/>
      </c>
      <c r="M41" s="216" t="str">
        <f>IF(M$3="","",IF(COUNTIFS(BD!$A$3:$A$5001,M$3,BD!$B$3:$B$5001,$A$24,BD!$AE$3:$AE$5001,"&lt;&gt;")=0,"",SUMIFS(BD!$AE$3:$AE$5001,BD!$A$3:$A$5001,M$3,BD!$B$3:$B$5001,$A$24)))</f>
        <v/>
      </c>
      <c r="N41" s="216" t="str">
        <f>IF(N$3="","",IF(COUNTIFS(BD!$A$3:$A$5001,N$3,BD!$B$3:$B$5001,$A$24,BD!$AE$3:$AE$5001,"&lt;&gt;")=0,"",SUMIFS(BD!$AE$3:$AE$5001,BD!$A$3:$A$5001,N$3,BD!$B$3:$B$5001,$A$24)))</f>
        <v/>
      </c>
      <c r="O41" s="216" t="str">
        <f>IF(O$3="","",IF(COUNTIFS(BD!$A$3:$A$5001,O$3,BD!$B$3:$B$5001,$A$24,BD!$AE$3:$AE$5001,"&lt;&gt;")=0,"",SUMIFS(BD!$AE$3:$AE$5001,BD!$A$3:$A$5001,O$3,BD!$B$3:$B$5001,$A$24)))</f>
        <v/>
      </c>
      <c r="P41" s="216" t="str">
        <f>IF(P$3="","",IF(COUNTIFS(BD!$A$3:$A$5001,P$3,BD!$B$3:$B$5001,$A$24,BD!$AE$3:$AE$5001,"&lt;&gt;")=0,"",SUMIFS(BD!$AE$3:$AE$5001,BD!$A$3:$A$5001,P$3,BD!$B$3:$B$5001,$A$24)))</f>
        <v/>
      </c>
      <c r="Q41" s="216" t="str">
        <f>IF(Q$3="","",IF(COUNTIFS(BD!$A$3:$A$5001,Q$3,BD!$B$3:$B$5001,$A$24,BD!$AE$3:$AE$5001,"&lt;&gt;")=0,"",SUMIFS(BD!$AE$3:$AE$5001,BD!$A$3:$A$5001,Q$3,BD!$B$3:$B$5001,$A$24)))</f>
        <v/>
      </c>
      <c r="R41" s="216" t="str">
        <f>IF(R$3="","",IF(COUNTIFS(BD!$A$3:$A$5001,R$3,BD!$B$3:$B$5001,$A$24,BD!$AE$3:$AE$5001,"&lt;&gt;")=0,"",SUMIFS(BD!$AE$3:$AE$5001,BD!$A$3:$A$5001,R$3,BD!$B$3:$B$5001,$A$24)))</f>
        <v/>
      </c>
      <c r="S41" s="216" t="str">
        <f>IF(S$3="","",IF(COUNTIFS(BD!$A$3:$A$5001,S$3,BD!$B$3:$B$5001,$A$24,BD!$AE$3:$AE$5001,"&lt;&gt;")=0,"",SUMIFS(BD!$AE$3:$AE$5001,BD!$A$3:$A$5001,S$3,BD!$B$3:$B$5001,$A$24)))</f>
        <v/>
      </c>
      <c r="T41" s="216" t="str">
        <f>IF(T$3="","",IF(COUNTIFS(BD!$A$3:$A$5001,T$3,BD!$B$3:$B$5001,$A$24,BD!$AE$3:$AE$5001,"&lt;&gt;")=0,"",SUMIFS(BD!$AE$3:$AE$5001,BD!$A$3:$A$5001,T$3,BD!$B$3:$B$5001,$A$24)))</f>
        <v/>
      </c>
      <c r="U41" s="216" t="str">
        <f>IF(U$3="","",IF(COUNTIFS(BD!$A$3:$A$5001,U$3,BD!$B$3:$B$5001,$A$24,BD!$AE$3:$AE$5001,"&lt;&gt;")=0,"",SUMIFS(BD!$AE$3:$AE$5001,BD!$A$3:$A$5001,U$3,BD!$B$3:$B$5001,$A$24)))</f>
        <v/>
      </c>
      <c r="V41" s="216" t="str">
        <f>IF(V$3="","",IF(COUNTIFS(BD!$A$3:$A$5001,V$3,BD!$B$3:$B$5001,$A$24,BD!$AE$3:$AE$5001,"&lt;&gt;")=0,"",SUMIFS(BD!$AE$3:$AE$5001,BD!$A$3:$A$5001,V$3,BD!$B$3:$B$5001,$A$24)))</f>
        <v/>
      </c>
      <c r="W41" s="216" t="str">
        <f>IF(W$3="","",IF(COUNTIFS(BD!$A$3:$A$5001,W$3,BD!$B$3:$B$5001,$A$24,BD!$AE$3:$AE$5001,"&lt;&gt;")=0,"",SUMIFS(BD!$AE$3:$AE$5001,BD!$A$3:$A$5001,W$3,BD!$B$3:$B$5001,$A$24)))</f>
        <v/>
      </c>
      <c r="X41" s="216" t="str">
        <f>IF(X$3="","",IF(COUNTIFS(BD!$A$3:$A$5001,X$3,BD!$B$3:$B$5001,$A$24,BD!$AE$3:$AE$5001,"&lt;&gt;")=0,"",SUMIFS(BD!$AE$3:$AE$5001,BD!$A$3:$A$5001,X$3,BD!$B$3:$B$5001,$A$24)))</f>
        <v/>
      </c>
      <c r="Y41" s="216" t="str">
        <f>IF(Y$3="","",IF(COUNTIFS(BD!$A$3:$A$5001,Y$3,BD!$B$3:$B$5001,$A$24,BD!$AE$3:$AE$5001,"&lt;&gt;")=0,"",SUMIFS(BD!$AE$3:$AE$5001,BD!$A$3:$A$5001,Y$3,BD!$B$3:$B$5001,$A$24)))</f>
        <v/>
      </c>
      <c r="Z41" s="216" t="str">
        <f>IF(Z$3="","",IF(COUNTIFS(BD!$A$3:$A$5001,Z$3,BD!$B$3:$B$5001,$A$24,BD!$AE$3:$AE$5001,"&lt;&gt;")=0,"",SUMIFS(BD!$AE$3:$AE$5001,BD!$A$3:$A$5001,Z$3,BD!$B$3:$B$5001,$A$24)))</f>
        <v/>
      </c>
      <c r="AA41" s="216" t="str">
        <f>IF(AA$3="","",IF(COUNTIFS(BD!$A$3:$A$5001,AA$3,BD!$B$3:$B$5001,$A$24,BD!$AE$3:$AE$5001,"&lt;&gt;")=0,"",SUMIFS(BD!$AE$3:$AE$5001,BD!$A$3:$A$5001,AA$3,BD!$B$3:$B$5001,$A$24)))</f>
        <v/>
      </c>
      <c r="AB41" s="216" t="str">
        <f>IF(AB$3="","",IF(COUNTIFS(BD!$A$3:$A$5001,AB$3,BD!$B$3:$B$5001,$A$24,BD!$AE$3:$AE$5001,"&lt;&gt;")=0,"",SUMIFS(BD!$AE$3:$AE$5001,BD!$A$3:$A$5001,AB$3,BD!$B$3:$B$5001,$A$24)))</f>
        <v/>
      </c>
      <c r="AC41" s="216" t="str">
        <f>IF(AC$3="","",IF(COUNTIFS(BD!$A$3:$A$5001,AC$3,BD!$B$3:$B$5001,$A$24,BD!$AE$3:$AE$5001,"&lt;&gt;")=0,"",SUMIFS(BD!$AE$3:$AE$5001,BD!$A$3:$A$5001,AC$3,BD!$B$3:$B$5001,$A$24)))</f>
        <v/>
      </c>
      <c r="AD41" s="216" t="str">
        <f>IF(AD$3="","",IF(COUNTIFS(BD!$A$3:$A$5001,AD$3,BD!$B$3:$B$5001,$A$24,BD!$AE$3:$AE$5001,"&lt;&gt;")=0,"",SUMIFS(BD!$AE$3:$AE$5001,BD!$A$3:$A$5001,AD$3,BD!$B$3:$B$5001,$A$24)))</f>
        <v/>
      </c>
      <c r="AE41" s="216" t="str">
        <f>IF(AE$3="","",IF(COUNTIFS(BD!$A$3:$A$5001,AE$3,BD!$B$3:$B$5001,$A$24,BD!$AE$3:$AE$5001,"&lt;&gt;")=0,"",SUMIFS(BD!$AE$3:$AE$5001,BD!$A$3:$A$5001,AE$3,BD!$B$3:$B$5001,$A$24)))</f>
        <v/>
      </c>
      <c r="AF41" s="216" t="str">
        <f>IF(AF$3="","",IF(COUNTIFS(BD!$A$3:$A$5001,AF$3,BD!$B$3:$B$5001,$A$24,BD!$AE$3:$AE$5001,"&lt;&gt;")=0,"",SUMIFS(BD!$AE$3:$AE$5001,BD!$A$3:$A$5001,AF$3,BD!$B$3:$B$5001,$A$24)))</f>
        <v/>
      </c>
      <c r="AG41" s="216" t="str">
        <f>IF(AG$3="","",IF(COUNTIFS(BD!$A$3:$A$5001,AG$3,BD!$B$3:$B$5001,$A$24,BD!$AE$3:$AE$5001,"&lt;&gt;")=0,"",SUMIFS(BD!$AE$3:$AE$5001,BD!$A$3:$A$5001,AG$3,BD!$B$3:$B$5001,$A$24)))</f>
        <v/>
      </c>
      <c r="AH41" s="216" t="str">
        <f>IF(AH$3="","",IF(COUNTIFS(BD!$A$3:$A$5001,AH$3,BD!$B$3:$B$5001,$A$24,BD!$AE$3:$AE$5001,"&lt;&gt;")=0,"",SUMIFS(BD!$AE$3:$AE$5001,BD!$A$3:$A$5001,AH$3,BD!$B$3:$B$5001,$A$24)))</f>
        <v/>
      </c>
      <c r="AI41" s="216" t="str">
        <f>IF(AI$3="","",IF(COUNTIFS(BD!$A$3:$A$5001,AI$3,BD!$B$3:$B$5001,$A$24,BD!$AE$3:$AE$5001,"&lt;&gt;")=0,"",SUMIFS(BD!$AE$3:$AE$5001,BD!$A$3:$A$5001,AI$3,BD!$B$3:$B$5001,$A$24)))</f>
        <v/>
      </c>
      <c r="AJ41" s="217" t="str">
        <f>IF(AJ$3="","",IF(COUNTIFS(BD!$A$3:$A$5001,AJ$3,BD!$B$3:$B$5001,$A$24,BD!$AE$3:$AE$5001,"&lt;&gt;")=0,"",SUMIFS(BD!$AE$3:$AE$5001,BD!$A$3:$A$5001,AJ$3,BD!$B$3:$B$5001,$A$24)))</f>
        <v/>
      </c>
      <c r="AK41" s="218" t="str">
        <f>IF(COUNT(F41:AJ41)=0,"",SUM(F41:AJ41))</f>
        <v/>
      </c>
    </row>
    <row r="42" ht="15.75" customHeight="1">
      <c r="A42" s="237"/>
      <c r="B42" s="234"/>
      <c r="C42" s="212" t="inlineStr">
        <is>
          <t xml:space="preserve">Acidentes CAF</t>
        </is>
      </c>
      <c r="D42" s="213" t="str">
        <f>IFERROR(1/(1/INDEX(BD!$AK$53:$AU$53,MATCH($A$24,BD!$AK$22:$AU$22,0))),"")</f>
        <v/>
      </c>
      <c r="E42" s="214"/>
      <c r="F42" s="215" t="str">
        <f>IF(F$3="","",IF(COUNTIFS(BD!$A$3:$A$5001,F$3,BD!$B$3:$B$5001,$A$24,BD!$AF$3:$AF$5001,"&lt;&gt;")=0,"",SUMIFS(BD!$AF$3:$AF$5001,BD!$A$3:$A$5001,F$3,BD!$B$3:$B$5001,$A$24)))</f>
        <v/>
      </c>
      <c r="G42" s="216" t="str">
        <f>IF(G$3="","",IF(COUNTIFS(BD!$A$3:$A$5001,G$3,BD!$B$3:$B$5001,$A$24,BD!$AF$3:$AF$5001,"&lt;&gt;")=0,"",SUMIFS(BD!$AF$3:$AF$5001,BD!$A$3:$A$5001,G$3,BD!$B$3:$B$5001,$A$24)))</f>
        <v/>
      </c>
      <c r="H42" s="216" t="str">
        <f>IF(H$3="","",IF(COUNTIFS(BD!$A$3:$A$5001,H$3,BD!$B$3:$B$5001,$A$24,BD!$AF$3:$AF$5001,"&lt;&gt;")=0,"",SUMIFS(BD!$AF$3:$AF$5001,BD!$A$3:$A$5001,H$3,BD!$B$3:$B$5001,$A$24)))</f>
        <v/>
      </c>
      <c r="I42" s="216" t="str">
        <f>IF(I$3="","",IF(COUNTIFS(BD!$A$3:$A$5001,I$3,BD!$B$3:$B$5001,$A$24,BD!$AF$3:$AF$5001,"&lt;&gt;")=0,"",SUMIFS(BD!$AF$3:$AF$5001,BD!$A$3:$A$5001,I$3,BD!$B$3:$B$5001,$A$24)))</f>
        <v/>
      </c>
      <c r="J42" s="216" t="str">
        <f>IF(J$3="","",IF(COUNTIFS(BD!$A$3:$A$5001,J$3,BD!$B$3:$B$5001,$A$24,BD!$AF$3:$AF$5001,"&lt;&gt;")=0,"",SUMIFS(BD!$AF$3:$AF$5001,BD!$A$3:$A$5001,J$3,BD!$B$3:$B$5001,$A$24)))</f>
        <v/>
      </c>
      <c r="K42" s="216" t="str">
        <f>IF(K$3="","",IF(COUNTIFS(BD!$A$3:$A$5001,K$3,BD!$B$3:$B$5001,$A$24,BD!$AF$3:$AF$5001,"&lt;&gt;")=0,"",SUMIFS(BD!$AF$3:$AF$5001,BD!$A$3:$A$5001,K$3,BD!$B$3:$B$5001,$A$24)))</f>
        <v/>
      </c>
      <c r="L42" s="216" t="str">
        <f>IF(L$3="","",IF(COUNTIFS(BD!$A$3:$A$5001,L$3,BD!$B$3:$B$5001,$A$24,BD!$AF$3:$AF$5001,"&lt;&gt;")=0,"",SUMIFS(BD!$AF$3:$AF$5001,BD!$A$3:$A$5001,L$3,BD!$B$3:$B$5001,$A$24)))</f>
        <v/>
      </c>
      <c r="M42" s="216" t="str">
        <f>IF(M$3="","",IF(COUNTIFS(BD!$A$3:$A$5001,M$3,BD!$B$3:$B$5001,$A$24,BD!$AF$3:$AF$5001,"&lt;&gt;")=0,"",SUMIFS(BD!$AF$3:$AF$5001,BD!$A$3:$A$5001,M$3,BD!$B$3:$B$5001,$A$24)))</f>
        <v/>
      </c>
      <c r="N42" s="216" t="str">
        <f>IF(N$3="","",IF(COUNTIFS(BD!$A$3:$A$5001,N$3,BD!$B$3:$B$5001,$A$24,BD!$AF$3:$AF$5001,"&lt;&gt;")=0,"",SUMIFS(BD!$AF$3:$AF$5001,BD!$A$3:$A$5001,N$3,BD!$B$3:$B$5001,$A$24)))</f>
        <v/>
      </c>
      <c r="O42" s="216" t="str">
        <f>IF(O$3="","",IF(COUNTIFS(BD!$A$3:$A$5001,O$3,BD!$B$3:$B$5001,$A$24,BD!$AF$3:$AF$5001,"&lt;&gt;")=0,"",SUMIFS(BD!$AF$3:$AF$5001,BD!$A$3:$A$5001,O$3,BD!$B$3:$B$5001,$A$24)))</f>
        <v/>
      </c>
      <c r="P42" s="216" t="str">
        <f>IF(P$3="","",IF(COUNTIFS(BD!$A$3:$A$5001,P$3,BD!$B$3:$B$5001,$A$24,BD!$AF$3:$AF$5001,"&lt;&gt;")=0,"",SUMIFS(BD!$AF$3:$AF$5001,BD!$A$3:$A$5001,P$3,BD!$B$3:$B$5001,$A$24)))</f>
        <v/>
      </c>
      <c r="Q42" s="216" t="str">
        <f>IF(Q$3="","",IF(COUNTIFS(BD!$A$3:$A$5001,Q$3,BD!$B$3:$B$5001,$A$24,BD!$AF$3:$AF$5001,"&lt;&gt;")=0,"",SUMIFS(BD!$AF$3:$AF$5001,BD!$A$3:$A$5001,Q$3,BD!$B$3:$B$5001,$A$24)))</f>
        <v/>
      </c>
      <c r="R42" s="216" t="str">
        <f>IF(R$3="","",IF(COUNTIFS(BD!$A$3:$A$5001,R$3,BD!$B$3:$B$5001,$A$24,BD!$AF$3:$AF$5001,"&lt;&gt;")=0,"",SUMIFS(BD!$AF$3:$AF$5001,BD!$A$3:$A$5001,R$3,BD!$B$3:$B$5001,$A$24)))</f>
        <v/>
      </c>
      <c r="S42" s="216" t="str">
        <f>IF(S$3="","",IF(COUNTIFS(BD!$A$3:$A$5001,S$3,BD!$B$3:$B$5001,$A$24,BD!$AF$3:$AF$5001,"&lt;&gt;")=0,"",SUMIFS(BD!$AF$3:$AF$5001,BD!$A$3:$A$5001,S$3,BD!$B$3:$B$5001,$A$24)))</f>
        <v/>
      </c>
      <c r="T42" s="216" t="str">
        <f>IF(T$3="","",IF(COUNTIFS(BD!$A$3:$A$5001,T$3,BD!$B$3:$B$5001,$A$24,BD!$AF$3:$AF$5001,"&lt;&gt;")=0,"",SUMIFS(BD!$AF$3:$AF$5001,BD!$A$3:$A$5001,T$3,BD!$B$3:$B$5001,$A$24)))</f>
        <v/>
      </c>
      <c r="U42" s="216" t="str">
        <f>IF(U$3="","",IF(COUNTIFS(BD!$A$3:$A$5001,U$3,BD!$B$3:$B$5001,$A$24,BD!$AF$3:$AF$5001,"&lt;&gt;")=0,"",SUMIFS(BD!$AF$3:$AF$5001,BD!$A$3:$A$5001,U$3,BD!$B$3:$B$5001,$A$24)))</f>
        <v/>
      </c>
      <c r="V42" s="216" t="str">
        <f>IF(V$3="","",IF(COUNTIFS(BD!$A$3:$A$5001,V$3,BD!$B$3:$B$5001,$A$24,BD!$AF$3:$AF$5001,"&lt;&gt;")=0,"",SUMIFS(BD!$AF$3:$AF$5001,BD!$A$3:$A$5001,V$3,BD!$B$3:$B$5001,$A$24)))</f>
        <v/>
      </c>
      <c r="W42" s="216" t="str">
        <f>IF(W$3="","",IF(COUNTIFS(BD!$A$3:$A$5001,W$3,BD!$B$3:$B$5001,$A$24,BD!$AF$3:$AF$5001,"&lt;&gt;")=0,"",SUMIFS(BD!$AF$3:$AF$5001,BD!$A$3:$A$5001,W$3,BD!$B$3:$B$5001,$A$24)))</f>
        <v/>
      </c>
      <c r="X42" s="216" t="str">
        <f>IF(X$3="","",IF(COUNTIFS(BD!$A$3:$A$5001,X$3,BD!$B$3:$B$5001,$A$24,BD!$AF$3:$AF$5001,"&lt;&gt;")=0,"",SUMIFS(BD!$AF$3:$AF$5001,BD!$A$3:$A$5001,X$3,BD!$B$3:$B$5001,$A$24)))</f>
        <v/>
      </c>
      <c r="Y42" s="216" t="str">
        <f>IF(Y$3="","",IF(COUNTIFS(BD!$A$3:$A$5001,Y$3,BD!$B$3:$B$5001,$A$24,BD!$AF$3:$AF$5001,"&lt;&gt;")=0,"",SUMIFS(BD!$AF$3:$AF$5001,BD!$A$3:$A$5001,Y$3,BD!$B$3:$B$5001,$A$24)))</f>
        <v/>
      </c>
      <c r="Z42" s="216" t="str">
        <f>IF(Z$3="","",IF(COUNTIFS(BD!$A$3:$A$5001,Z$3,BD!$B$3:$B$5001,$A$24,BD!$AF$3:$AF$5001,"&lt;&gt;")=0,"",SUMIFS(BD!$AF$3:$AF$5001,BD!$A$3:$A$5001,Z$3,BD!$B$3:$B$5001,$A$24)))</f>
        <v/>
      </c>
      <c r="AA42" s="216" t="str">
        <f>IF(AA$3="","",IF(COUNTIFS(BD!$A$3:$A$5001,AA$3,BD!$B$3:$B$5001,$A$24,BD!$AF$3:$AF$5001,"&lt;&gt;")=0,"",SUMIFS(BD!$AF$3:$AF$5001,BD!$A$3:$A$5001,AA$3,BD!$B$3:$B$5001,$A$24)))</f>
        <v/>
      </c>
      <c r="AB42" s="216" t="str">
        <f>IF(AB$3="","",IF(COUNTIFS(BD!$A$3:$A$5001,AB$3,BD!$B$3:$B$5001,$A$24,BD!$AF$3:$AF$5001,"&lt;&gt;")=0,"",SUMIFS(BD!$AF$3:$AF$5001,BD!$A$3:$A$5001,AB$3,BD!$B$3:$B$5001,$A$24)))</f>
        <v/>
      </c>
      <c r="AC42" s="216" t="str">
        <f>IF(AC$3="","",IF(COUNTIFS(BD!$A$3:$A$5001,AC$3,BD!$B$3:$B$5001,$A$24,BD!$AF$3:$AF$5001,"&lt;&gt;")=0,"",SUMIFS(BD!$AF$3:$AF$5001,BD!$A$3:$A$5001,AC$3,BD!$B$3:$B$5001,$A$24)))</f>
        <v/>
      </c>
      <c r="AD42" s="216" t="str">
        <f>IF(AD$3="","",IF(COUNTIFS(BD!$A$3:$A$5001,AD$3,BD!$B$3:$B$5001,$A$24,BD!$AF$3:$AF$5001,"&lt;&gt;")=0,"",SUMIFS(BD!$AF$3:$AF$5001,BD!$A$3:$A$5001,AD$3,BD!$B$3:$B$5001,$A$24)))</f>
        <v/>
      </c>
      <c r="AE42" s="216" t="str">
        <f>IF(AE$3="","",IF(COUNTIFS(BD!$A$3:$A$5001,AE$3,BD!$B$3:$B$5001,$A$24,BD!$AF$3:$AF$5001,"&lt;&gt;")=0,"",SUMIFS(BD!$AF$3:$AF$5001,BD!$A$3:$A$5001,AE$3,BD!$B$3:$B$5001,$A$24)))</f>
        <v/>
      </c>
      <c r="AF42" s="216" t="str">
        <f>IF(AF$3="","",IF(COUNTIFS(BD!$A$3:$A$5001,AF$3,BD!$B$3:$B$5001,$A$24,BD!$AF$3:$AF$5001,"&lt;&gt;")=0,"",SUMIFS(BD!$AF$3:$AF$5001,BD!$A$3:$A$5001,AF$3,BD!$B$3:$B$5001,$A$24)))</f>
        <v/>
      </c>
      <c r="AG42" s="216" t="str">
        <f>IF(AG$3="","",IF(COUNTIFS(BD!$A$3:$A$5001,AG$3,BD!$B$3:$B$5001,$A$24,BD!$AF$3:$AF$5001,"&lt;&gt;")=0,"",SUMIFS(BD!$AF$3:$AF$5001,BD!$A$3:$A$5001,AG$3,BD!$B$3:$B$5001,$A$24)))</f>
        <v/>
      </c>
      <c r="AH42" s="216" t="str">
        <f>IF(AH$3="","",IF(COUNTIFS(BD!$A$3:$A$5001,AH$3,BD!$B$3:$B$5001,$A$24,BD!$AF$3:$AF$5001,"&lt;&gt;")=0,"",SUMIFS(BD!$AF$3:$AF$5001,BD!$A$3:$A$5001,AH$3,BD!$B$3:$B$5001,$A$24)))</f>
        <v/>
      </c>
      <c r="AI42" s="216" t="str">
        <f>IF(AI$3="","",IF(COUNTIFS(BD!$A$3:$A$5001,AI$3,BD!$B$3:$B$5001,$A$24,BD!$AF$3:$AF$5001,"&lt;&gt;")=0,"",SUMIFS(BD!$AF$3:$AF$5001,BD!$A$3:$A$5001,AI$3,BD!$B$3:$B$5001,$A$24)))</f>
        <v/>
      </c>
      <c r="AJ42" s="217" t="str">
        <f>IF(AJ$3="","",IF(COUNTIFS(BD!$A$3:$A$5001,AJ$3,BD!$B$3:$B$5001,$A$24,BD!$AF$3:$AF$5001,"&lt;&gt;")=0,"",SUMIFS(BD!$AF$3:$AF$5001,BD!$A$3:$A$5001,AJ$3,BD!$B$3:$B$5001,$A$24)))</f>
        <v/>
      </c>
      <c r="AK42" s="218" t="str">
        <f>IF(COUNT(F42:AJ42)=0,"",SUM(F42:AJ42))</f>
        <v/>
      </c>
    </row>
    <row r="43" ht="15.75" customHeight="1">
      <c r="A43" s="238"/>
      <c r="B43" s="235"/>
      <c r="C43" s="219" t="inlineStr">
        <is>
          <t xml:space="preserve">Acidentes SAF</t>
        </is>
      </c>
      <c r="D43" s="220" t="str">
        <f>IFERROR(1/(1/INDEX(BD!$AK$54:$AU$54,MATCH($A$24,BD!$AK$22:$AU$22,0))),"")</f>
        <v/>
      </c>
      <c r="E43" s="221"/>
      <c r="F43" s="222" t="str">
        <f>IF(F$3="","",IF(COUNTIFS(BD!$A$3:$A$5001,F$3,BD!$B$3:$B$5001,$A$24,BD!$AG$3:$AG$5001,"&lt;&gt;")=0,"",SUMIFS(BD!$AG$3:$AG$5001,BD!$A$3:$A$5001,F$3,BD!$B$3:$B$5001,$A$24)))</f>
        <v/>
      </c>
      <c r="G43" s="223" t="str">
        <f>IF(G$3="","",IF(COUNTIFS(BD!$A$3:$A$5001,G$3,BD!$B$3:$B$5001,$A$24,BD!$AG$3:$AG$5001,"&lt;&gt;")=0,"",SUMIFS(BD!$AG$3:$AG$5001,BD!$A$3:$A$5001,G$3,BD!$B$3:$B$5001,$A$24)))</f>
        <v/>
      </c>
      <c r="H43" s="223" t="str">
        <f>IF(H$3="","",IF(COUNTIFS(BD!$A$3:$A$5001,H$3,BD!$B$3:$B$5001,$A$24,BD!$AG$3:$AG$5001,"&lt;&gt;")=0,"",SUMIFS(BD!$AG$3:$AG$5001,BD!$A$3:$A$5001,H$3,BD!$B$3:$B$5001,$A$24)))</f>
        <v/>
      </c>
      <c r="I43" s="223" t="str">
        <f>IF(I$3="","",IF(COUNTIFS(BD!$A$3:$A$5001,I$3,BD!$B$3:$B$5001,$A$24,BD!$AG$3:$AG$5001,"&lt;&gt;")=0,"",SUMIFS(BD!$AG$3:$AG$5001,BD!$A$3:$A$5001,I$3,BD!$B$3:$B$5001,$A$24)))</f>
        <v/>
      </c>
      <c r="J43" s="223" t="str">
        <f>IF(J$3="","",IF(COUNTIFS(BD!$A$3:$A$5001,J$3,BD!$B$3:$B$5001,$A$24,BD!$AG$3:$AG$5001,"&lt;&gt;")=0,"",SUMIFS(BD!$AG$3:$AG$5001,BD!$A$3:$A$5001,J$3,BD!$B$3:$B$5001,$A$24)))</f>
        <v/>
      </c>
      <c r="K43" s="223" t="str">
        <f>IF(K$3="","",IF(COUNTIFS(BD!$A$3:$A$5001,K$3,BD!$B$3:$B$5001,$A$24,BD!$AG$3:$AG$5001,"&lt;&gt;")=0,"",SUMIFS(BD!$AG$3:$AG$5001,BD!$A$3:$A$5001,K$3,BD!$B$3:$B$5001,$A$24)))</f>
        <v/>
      </c>
      <c r="L43" s="223" t="str">
        <f>IF(L$3="","",IF(COUNTIFS(BD!$A$3:$A$5001,L$3,BD!$B$3:$B$5001,$A$24,BD!$AG$3:$AG$5001,"&lt;&gt;")=0,"",SUMIFS(BD!$AG$3:$AG$5001,BD!$A$3:$A$5001,L$3,BD!$B$3:$B$5001,$A$24)))</f>
        <v/>
      </c>
      <c r="M43" s="223" t="str">
        <f>IF(M$3="","",IF(COUNTIFS(BD!$A$3:$A$5001,M$3,BD!$B$3:$B$5001,$A$24,BD!$AG$3:$AG$5001,"&lt;&gt;")=0,"",SUMIFS(BD!$AG$3:$AG$5001,BD!$A$3:$A$5001,M$3,BD!$B$3:$B$5001,$A$24)))</f>
        <v/>
      </c>
      <c r="N43" s="223" t="str">
        <f>IF(N$3="","",IF(COUNTIFS(BD!$A$3:$A$5001,N$3,BD!$B$3:$B$5001,$A$24,BD!$AG$3:$AG$5001,"&lt;&gt;")=0,"",SUMIFS(BD!$AG$3:$AG$5001,BD!$A$3:$A$5001,N$3,BD!$B$3:$B$5001,$A$24)))</f>
        <v/>
      </c>
      <c r="O43" s="223" t="str">
        <f>IF(O$3="","",IF(COUNTIFS(BD!$A$3:$A$5001,O$3,BD!$B$3:$B$5001,$A$24,BD!$AG$3:$AG$5001,"&lt;&gt;")=0,"",SUMIFS(BD!$AG$3:$AG$5001,BD!$A$3:$A$5001,O$3,BD!$B$3:$B$5001,$A$24)))</f>
        <v/>
      </c>
      <c r="P43" s="223" t="str">
        <f>IF(P$3="","",IF(COUNTIFS(BD!$A$3:$A$5001,P$3,BD!$B$3:$B$5001,$A$24,BD!$AG$3:$AG$5001,"&lt;&gt;")=0,"",SUMIFS(BD!$AG$3:$AG$5001,BD!$A$3:$A$5001,P$3,BD!$B$3:$B$5001,$A$24)))</f>
        <v/>
      </c>
      <c r="Q43" s="223" t="str">
        <f>IF(Q$3="","",IF(COUNTIFS(BD!$A$3:$A$5001,Q$3,BD!$B$3:$B$5001,$A$24,BD!$AG$3:$AG$5001,"&lt;&gt;")=0,"",SUMIFS(BD!$AG$3:$AG$5001,BD!$A$3:$A$5001,Q$3,BD!$B$3:$B$5001,$A$24)))</f>
        <v/>
      </c>
      <c r="R43" s="223" t="str">
        <f>IF(R$3="","",IF(COUNTIFS(BD!$A$3:$A$5001,R$3,BD!$B$3:$B$5001,$A$24,BD!$AG$3:$AG$5001,"&lt;&gt;")=0,"",SUMIFS(BD!$AG$3:$AG$5001,BD!$A$3:$A$5001,R$3,BD!$B$3:$B$5001,$A$24)))</f>
        <v/>
      </c>
      <c r="S43" s="223" t="str">
        <f>IF(S$3="","",IF(COUNTIFS(BD!$A$3:$A$5001,S$3,BD!$B$3:$B$5001,$A$24,BD!$AG$3:$AG$5001,"&lt;&gt;")=0,"",SUMIFS(BD!$AG$3:$AG$5001,BD!$A$3:$A$5001,S$3,BD!$B$3:$B$5001,$A$24)))</f>
        <v/>
      </c>
      <c r="T43" s="223" t="str">
        <f>IF(T$3="","",IF(COUNTIFS(BD!$A$3:$A$5001,T$3,BD!$B$3:$B$5001,$A$24,BD!$AG$3:$AG$5001,"&lt;&gt;")=0,"",SUMIFS(BD!$AG$3:$AG$5001,BD!$A$3:$A$5001,T$3,BD!$B$3:$B$5001,$A$24)))</f>
        <v/>
      </c>
      <c r="U43" s="223" t="str">
        <f>IF(U$3="","",IF(COUNTIFS(BD!$A$3:$A$5001,U$3,BD!$B$3:$B$5001,$A$24,BD!$AG$3:$AG$5001,"&lt;&gt;")=0,"",SUMIFS(BD!$AG$3:$AG$5001,BD!$A$3:$A$5001,U$3,BD!$B$3:$B$5001,$A$24)))</f>
        <v/>
      </c>
      <c r="V43" s="223" t="str">
        <f>IF(V$3="","",IF(COUNTIFS(BD!$A$3:$A$5001,V$3,BD!$B$3:$B$5001,$A$24,BD!$AG$3:$AG$5001,"&lt;&gt;")=0,"",SUMIFS(BD!$AG$3:$AG$5001,BD!$A$3:$A$5001,V$3,BD!$B$3:$B$5001,$A$24)))</f>
        <v/>
      </c>
      <c r="W43" s="223" t="str">
        <f>IF(W$3="","",IF(COUNTIFS(BD!$A$3:$A$5001,W$3,BD!$B$3:$B$5001,$A$24,BD!$AG$3:$AG$5001,"&lt;&gt;")=0,"",SUMIFS(BD!$AG$3:$AG$5001,BD!$A$3:$A$5001,W$3,BD!$B$3:$B$5001,$A$24)))</f>
        <v/>
      </c>
      <c r="X43" s="223" t="str">
        <f>IF(X$3="","",IF(COUNTIFS(BD!$A$3:$A$5001,X$3,BD!$B$3:$B$5001,$A$24,BD!$AG$3:$AG$5001,"&lt;&gt;")=0,"",SUMIFS(BD!$AG$3:$AG$5001,BD!$A$3:$A$5001,X$3,BD!$B$3:$B$5001,$A$24)))</f>
        <v/>
      </c>
      <c r="Y43" s="223" t="str">
        <f>IF(Y$3="","",IF(COUNTIFS(BD!$A$3:$A$5001,Y$3,BD!$B$3:$B$5001,$A$24,BD!$AG$3:$AG$5001,"&lt;&gt;")=0,"",SUMIFS(BD!$AG$3:$AG$5001,BD!$A$3:$A$5001,Y$3,BD!$B$3:$B$5001,$A$24)))</f>
        <v/>
      </c>
      <c r="Z43" s="223" t="str">
        <f>IF(Z$3="","",IF(COUNTIFS(BD!$A$3:$A$5001,Z$3,BD!$B$3:$B$5001,$A$24,BD!$AG$3:$AG$5001,"&lt;&gt;")=0,"",SUMIFS(BD!$AG$3:$AG$5001,BD!$A$3:$A$5001,Z$3,BD!$B$3:$B$5001,$A$24)))</f>
        <v/>
      </c>
      <c r="AA43" s="223" t="str">
        <f>IF(AA$3="","",IF(COUNTIFS(BD!$A$3:$A$5001,AA$3,BD!$B$3:$B$5001,$A$24,BD!$AG$3:$AG$5001,"&lt;&gt;")=0,"",SUMIFS(BD!$AG$3:$AG$5001,BD!$A$3:$A$5001,AA$3,BD!$B$3:$B$5001,$A$24)))</f>
        <v/>
      </c>
      <c r="AB43" s="223" t="str">
        <f>IF(AB$3="","",IF(COUNTIFS(BD!$A$3:$A$5001,AB$3,BD!$B$3:$B$5001,$A$24,BD!$AG$3:$AG$5001,"&lt;&gt;")=0,"",SUMIFS(BD!$AG$3:$AG$5001,BD!$A$3:$A$5001,AB$3,BD!$B$3:$B$5001,$A$24)))</f>
        <v/>
      </c>
      <c r="AC43" s="223" t="str">
        <f>IF(AC$3="","",IF(COUNTIFS(BD!$A$3:$A$5001,AC$3,BD!$B$3:$B$5001,$A$24,BD!$AG$3:$AG$5001,"&lt;&gt;")=0,"",SUMIFS(BD!$AG$3:$AG$5001,BD!$A$3:$A$5001,AC$3,BD!$B$3:$B$5001,$A$24)))</f>
        <v/>
      </c>
      <c r="AD43" s="223" t="str">
        <f>IF(AD$3="","",IF(COUNTIFS(BD!$A$3:$A$5001,AD$3,BD!$B$3:$B$5001,$A$24,BD!$AG$3:$AG$5001,"&lt;&gt;")=0,"",SUMIFS(BD!$AG$3:$AG$5001,BD!$A$3:$A$5001,AD$3,BD!$B$3:$B$5001,$A$24)))</f>
        <v/>
      </c>
      <c r="AE43" s="223" t="str">
        <f>IF(AE$3="","",IF(COUNTIFS(BD!$A$3:$A$5001,AE$3,BD!$B$3:$B$5001,$A$24,BD!$AG$3:$AG$5001,"&lt;&gt;")=0,"",SUMIFS(BD!$AG$3:$AG$5001,BD!$A$3:$A$5001,AE$3,BD!$B$3:$B$5001,$A$24)))</f>
        <v/>
      </c>
      <c r="AF43" s="223" t="str">
        <f>IF(AF$3="","",IF(COUNTIFS(BD!$A$3:$A$5001,AF$3,BD!$B$3:$B$5001,$A$24,BD!$AG$3:$AG$5001,"&lt;&gt;")=0,"",SUMIFS(BD!$AG$3:$AG$5001,BD!$A$3:$A$5001,AF$3,BD!$B$3:$B$5001,$A$24)))</f>
        <v/>
      </c>
      <c r="AG43" s="223" t="str">
        <f>IF(AG$3="","",IF(COUNTIFS(BD!$A$3:$A$5001,AG$3,BD!$B$3:$B$5001,$A$24,BD!$AG$3:$AG$5001,"&lt;&gt;")=0,"",SUMIFS(BD!$AG$3:$AG$5001,BD!$A$3:$A$5001,AG$3,BD!$B$3:$B$5001,$A$24)))</f>
        <v/>
      </c>
      <c r="AH43" s="223" t="str">
        <f>IF(AH$3="","",IF(COUNTIFS(BD!$A$3:$A$5001,AH$3,BD!$B$3:$B$5001,$A$24,BD!$AG$3:$AG$5001,"&lt;&gt;")=0,"",SUMIFS(BD!$AG$3:$AG$5001,BD!$A$3:$A$5001,AH$3,BD!$B$3:$B$5001,$A$24)))</f>
        <v/>
      </c>
      <c r="AI43" s="223" t="str">
        <f>IF(AI$3="","",IF(COUNTIFS(BD!$A$3:$A$5001,AI$3,BD!$B$3:$B$5001,$A$24,BD!$AG$3:$AG$5001,"&lt;&gt;")=0,"",SUMIFS(BD!$AG$3:$AG$5001,BD!$A$3:$A$5001,AI$3,BD!$B$3:$B$5001,$A$24)))</f>
        <v/>
      </c>
      <c r="AJ43" s="224" t="str">
        <f>IF(AJ$3="","",IF(COUNTIFS(BD!$A$3:$A$5001,AJ$3,BD!$B$3:$B$5001,$A$24,BD!$AG$3:$AG$5001,"&lt;&gt;")=0,"",SUMIFS(BD!$AG$3:$AG$5001,BD!$A$3:$A$5001,AJ$3,BD!$B$3:$B$5001,$A$24)))</f>
        <v/>
      </c>
      <c r="AK43" s="220" t="str">
        <f>IF(COUNT(F43:AJ43)=0,"",SUM(F43:AJ43))</f>
        <v/>
      </c>
    </row>
    <row r="45" ht="15.75" customHeight="1">
      <c r="A45" s="236" t="inlineStr">
        <is>
          <t xml:space="preserve">Beautybiz</t>
        </is>
      </c>
      <c r="B45" s="225" t="inlineStr">
        <is>
          <t xml:space="preserve">IN</t>
        </is>
      </c>
      <c r="C45" s="148" t="inlineStr">
        <is>
          <t xml:space="preserve">Veículos Recebidos</t>
        </is>
      </c>
      <c r="D45" s="149" t="str">
        <f>IFERROR(1/(1/INDEX(BD!$AK$23:$AU$23,MATCH($A$45,BD!$AK$22:$AU$22,0))),"")</f>
        <v/>
      </c>
      <c r="E45" s="150"/>
      <c r="F45" s="151" t="str">
        <f>IF(F$3="","",IF(COUNTIFS(BD!$A$3:$A$5001,F$3,BD!$B$3:$B$5001,$A$45,BD!$C$3:$C$5001,"&lt;&gt;")=0,"",SUMIFS(BD!$C$3:$C$5001,BD!$A$3:$A$5001,F$3,BD!$B$3:$B$5001,$A$45)))</f>
        <v/>
      </c>
      <c r="G45" s="152" t="str">
        <f>IF(G$3="","",IF(COUNTIFS(BD!$A$3:$A$5001,G$3,BD!$B$3:$B$5001,$A$45,BD!$C$3:$C$5001,"&lt;&gt;")=0,"",SUMIFS(BD!$C$3:$C$5001,BD!$A$3:$A$5001,G$3,BD!$B$3:$B$5001,$A$45)))</f>
        <v/>
      </c>
      <c r="H45" s="152" t="str">
        <f>IF(H$3="","",IF(COUNTIFS(BD!$A$3:$A$5001,H$3,BD!$B$3:$B$5001,$A$45,BD!$C$3:$C$5001,"&lt;&gt;")=0,"",SUMIFS(BD!$C$3:$C$5001,BD!$A$3:$A$5001,H$3,BD!$B$3:$B$5001,$A$45)))</f>
        <v/>
      </c>
      <c r="I45" s="152" t="str">
        <f>IF(I$3="","",IF(COUNTIFS(BD!$A$3:$A$5001,I$3,BD!$B$3:$B$5001,$A$45,BD!$C$3:$C$5001,"&lt;&gt;")=0,"",SUMIFS(BD!$C$3:$C$5001,BD!$A$3:$A$5001,I$3,BD!$B$3:$B$5001,$A$45)))</f>
        <v/>
      </c>
      <c r="J45" s="152" t="str">
        <f>IF(J$3="","",IF(COUNTIFS(BD!$A$3:$A$5001,J$3,BD!$B$3:$B$5001,$A$45,BD!$C$3:$C$5001,"&lt;&gt;")=0,"",SUMIFS(BD!$C$3:$C$5001,BD!$A$3:$A$5001,J$3,BD!$B$3:$B$5001,$A$45)))</f>
        <v/>
      </c>
      <c r="K45" s="152" t="str">
        <f>IF(K$3="","",IF(COUNTIFS(BD!$A$3:$A$5001,K$3,BD!$B$3:$B$5001,$A$45,BD!$C$3:$C$5001,"&lt;&gt;")=0,"",SUMIFS(BD!$C$3:$C$5001,BD!$A$3:$A$5001,K$3,BD!$B$3:$B$5001,$A$45)))</f>
        <v/>
      </c>
      <c r="L45" s="152" t="str">
        <f>IF(L$3="","",IF(COUNTIFS(BD!$A$3:$A$5001,L$3,BD!$B$3:$B$5001,$A$45,BD!$C$3:$C$5001,"&lt;&gt;")=0,"",SUMIFS(BD!$C$3:$C$5001,BD!$A$3:$A$5001,L$3,BD!$B$3:$B$5001,$A$45)))</f>
        <v/>
      </c>
      <c r="M45" s="152" t="str">
        <f>IF(M$3="","",IF(COUNTIFS(BD!$A$3:$A$5001,M$3,BD!$B$3:$B$5001,$A$45,BD!$C$3:$C$5001,"&lt;&gt;")=0,"",SUMIFS(BD!$C$3:$C$5001,BD!$A$3:$A$5001,M$3,BD!$B$3:$B$5001,$A$45)))</f>
        <v/>
      </c>
      <c r="N45" s="152" t="str">
        <f>IF(N$3="","",IF(COUNTIFS(BD!$A$3:$A$5001,N$3,BD!$B$3:$B$5001,$A$45,BD!$C$3:$C$5001,"&lt;&gt;")=0,"",SUMIFS(BD!$C$3:$C$5001,BD!$A$3:$A$5001,N$3,BD!$B$3:$B$5001,$A$45)))</f>
        <v/>
      </c>
      <c r="O45" s="152" t="str">
        <f>IF(O$3="","",IF(COUNTIFS(BD!$A$3:$A$5001,O$3,BD!$B$3:$B$5001,$A$45,BD!$C$3:$C$5001,"&lt;&gt;")=0,"",SUMIFS(BD!$C$3:$C$5001,BD!$A$3:$A$5001,O$3,BD!$B$3:$B$5001,$A$45)))</f>
        <v/>
      </c>
      <c r="P45" s="152" t="str">
        <f>IF(P$3="","",IF(COUNTIFS(BD!$A$3:$A$5001,P$3,BD!$B$3:$B$5001,$A$45,BD!$C$3:$C$5001,"&lt;&gt;")=0,"",SUMIFS(BD!$C$3:$C$5001,BD!$A$3:$A$5001,P$3,BD!$B$3:$B$5001,$A$45)))</f>
        <v/>
      </c>
      <c r="Q45" s="152" t="str">
        <f>IF(Q$3="","",IF(COUNTIFS(BD!$A$3:$A$5001,Q$3,BD!$B$3:$B$5001,$A$45,BD!$C$3:$C$5001,"&lt;&gt;")=0,"",SUMIFS(BD!$C$3:$C$5001,BD!$A$3:$A$5001,Q$3,BD!$B$3:$B$5001,$A$45)))</f>
        <v/>
      </c>
      <c r="R45" s="152" t="str">
        <f>IF(R$3="","",IF(COUNTIFS(BD!$A$3:$A$5001,R$3,BD!$B$3:$B$5001,$A$45,BD!$C$3:$C$5001,"&lt;&gt;")=0,"",SUMIFS(BD!$C$3:$C$5001,BD!$A$3:$A$5001,R$3,BD!$B$3:$B$5001,$A$45)))</f>
        <v/>
      </c>
      <c r="S45" s="152" t="str">
        <f>IF(S$3="","",IF(COUNTIFS(BD!$A$3:$A$5001,S$3,BD!$B$3:$B$5001,$A$45,BD!$C$3:$C$5001,"&lt;&gt;")=0,"",SUMIFS(BD!$C$3:$C$5001,BD!$A$3:$A$5001,S$3,BD!$B$3:$B$5001,$A$45)))</f>
        <v/>
      </c>
      <c r="T45" s="152" t="str">
        <f>IF(T$3="","",IF(COUNTIFS(BD!$A$3:$A$5001,T$3,BD!$B$3:$B$5001,$A$45,BD!$C$3:$C$5001,"&lt;&gt;")=0,"",SUMIFS(BD!$C$3:$C$5001,BD!$A$3:$A$5001,T$3,BD!$B$3:$B$5001,$A$45)))</f>
        <v/>
      </c>
      <c r="U45" s="152" t="str">
        <f>IF(U$3="","",IF(COUNTIFS(BD!$A$3:$A$5001,U$3,BD!$B$3:$B$5001,$A$45,BD!$C$3:$C$5001,"&lt;&gt;")=0,"",SUMIFS(BD!$C$3:$C$5001,BD!$A$3:$A$5001,U$3,BD!$B$3:$B$5001,$A$45)))</f>
        <v/>
      </c>
      <c r="V45" s="152" t="str">
        <f>IF(V$3="","",IF(COUNTIFS(BD!$A$3:$A$5001,V$3,BD!$B$3:$B$5001,$A$45,BD!$C$3:$C$5001,"&lt;&gt;")=0,"",SUMIFS(BD!$C$3:$C$5001,BD!$A$3:$A$5001,V$3,BD!$B$3:$B$5001,$A$45)))</f>
        <v/>
      </c>
      <c r="W45" s="152" t="str">
        <f>IF(W$3="","",IF(COUNTIFS(BD!$A$3:$A$5001,W$3,BD!$B$3:$B$5001,$A$45,BD!$C$3:$C$5001,"&lt;&gt;")=0,"",SUMIFS(BD!$C$3:$C$5001,BD!$A$3:$A$5001,W$3,BD!$B$3:$B$5001,$A$45)))</f>
        <v/>
      </c>
      <c r="X45" s="152" t="str">
        <f>IF(X$3="","",IF(COUNTIFS(BD!$A$3:$A$5001,X$3,BD!$B$3:$B$5001,$A$45,BD!$C$3:$C$5001,"&lt;&gt;")=0,"",SUMIFS(BD!$C$3:$C$5001,BD!$A$3:$A$5001,X$3,BD!$B$3:$B$5001,$A$45)))</f>
        <v/>
      </c>
      <c r="Y45" s="152" t="str">
        <f>IF(Y$3="","",IF(COUNTIFS(BD!$A$3:$A$5001,Y$3,BD!$B$3:$B$5001,$A$45,BD!$C$3:$C$5001,"&lt;&gt;")=0,"",SUMIFS(BD!$C$3:$C$5001,BD!$A$3:$A$5001,Y$3,BD!$B$3:$B$5001,$A$45)))</f>
        <v/>
      </c>
      <c r="Z45" s="152" t="str">
        <f>IF(Z$3="","",IF(COUNTIFS(BD!$A$3:$A$5001,Z$3,BD!$B$3:$B$5001,$A$45,BD!$C$3:$C$5001,"&lt;&gt;")=0,"",SUMIFS(BD!$C$3:$C$5001,BD!$A$3:$A$5001,Z$3,BD!$B$3:$B$5001,$A$45)))</f>
        <v/>
      </c>
      <c r="AA45" s="152" t="str">
        <f>IF(AA$3="","",IF(COUNTIFS(BD!$A$3:$A$5001,AA$3,BD!$B$3:$B$5001,$A$45,BD!$C$3:$C$5001,"&lt;&gt;")=0,"",SUMIFS(BD!$C$3:$C$5001,BD!$A$3:$A$5001,AA$3,BD!$B$3:$B$5001,$A$45)))</f>
        <v/>
      </c>
      <c r="AB45" s="152" t="str">
        <f>IF(AB$3="","",IF(COUNTIFS(BD!$A$3:$A$5001,AB$3,BD!$B$3:$B$5001,$A$45,BD!$C$3:$C$5001,"&lt;&gt;")=0,"",SUMIFS(BD!$C$3:$C$5001,BD!$A$3:$A$5001,AB$3,BD!$B$3:$B$5001,$A$45)))</f>
        <v/>
      </c>
      <c r="AC45" s="152" t="str">
        <f>IF(AC$3="","",IF(COUNTIFS(BD!$A$3:$A$5001,AC$3,BD!$B$3:$B$5001,$A$45,BD!$C$3:$C$5001,"&lt;&gt;")=0,"",SUMIFS(BD!$C$3:$C$5001,BD!$A$3:$A$5001,AC$3,BD!$B$3:$B$5001,$A$45)))</f>
        <v/>
      </c>
      <c r="AD45" s="152" t="str">
        <f>IF(AD$3="","",IF(COUNTIFS(BD!$A$3:$A$5001,AD$3,BD!$B$3:$B$5001,$A$45,BD!$C$3:$C$5001,"&lt;&gt;")=0,"",SUMIFS(BD!$C$3:$C$5001,BD!$A$3:$A$5001,AD$3,BD!$B$3:$B$5001,$A$45)))</f>
        <v/>
      </c>
      <c r="AE45" s="152" t="str">
        <f>IF(AE$3="","",IF(COUNTIFS(BD!$A$3:$A$5001,AE$3,BD!$B$3:$B$5001,$A$45,BD!$C$3:$C$5001,"&lt;&gt;")=0,"",SUMIFS(BD!$C$3:$C$5001,BD!$A$3:$A$5001,AE$3,BD!$B$3:$B$5001,$A$45)))</f>
        <v/>
      </c>
      <c r="AF45" s="152" t="str">
        <f>IF(AF$3="","",IF(COUNTIFS(BD!$A$3:$A$5001,AF$3,BD!$B$3:$B$5001,$A$45,BD!$C$3:$C$5001,"&lt;&gt;")=0,"",SUMIFS(BD!$C$3:$C$5001,BD!$A$3:$A$5001,AF$3,BD!$B$3:$B$5001,$A$45)))</f>
        <v/>
      </c>
      <c r="AG45" s="152" t="str">
        <f>IF(AG$3="","",IF(COUNTIFS(BD!$A$3:$A$5001,AG$3,BD!$B$3:$B$5001,$A$45,BD!$C$3:$C$5001,"&lt;&gt;")=0,"",SUMIFS(BD!$C$3:$C$5001,BD!$A$3:$A$5001,AG$3,BD!$B$3:$B$5001,$A$45)))</f>
        <v/>
      </c>
      <c r="AH45" s="152" t="str">
        <f>IF(AH$3="","",IF(COUNTIFS(BD!$A$3:$A$5001,AH$3,BD!$B$3:$B$5001,$A$45,BD!$C$3:$C$5001,"&lt;&gt;")=0,"",SUMIFS(BD!$C$3:$C$5001,BD!$A$3:$A$5001,AH$3,BD!$B$3:$B$5001,$A$45)))</f>
        <v/>
      </c>
      <c r="AI45" s="152" t="str">
        <f>IF(AI$3="","",IF(COUNTIFS(BD!$A$3:$A$5001,AI$3,BD!$B$3:$B$5001,$A$45,BD!$C$3:$C$5001,"&lt;&gt;")=0,"",SUMIFS(BD!$C$3:$C$5001,BD!$A$3:$A$5001,AI$3,BD!$B$3:$B$5001,$A$45)))</f>
        <v/>
      </c>
      <c r="AJ45" s="153" t="str">
        <f>IF(AJ$3="","",IF(COUNTIFS(BD!$A$3:$A$5001,AJ$3,BD!$B$3:$B$5001,$A$45,BD!$C$3:$C$5001,"&lt;&gt;")=0,"",SUMIFS(BD!$C$3:$C$5001,BD!$A$3:$A$5001,AJ$3,BD!$B$3:$B$5001,$A$45)))</f>
        <v/>
      </c>
      <c r="AK45" s="154" t="str">
        <f>IF(COUNT(F45:AJ45)=0,"",SUM(F45:AJ45))</f>
        <v/>
      </c>
    </row>
    <row r="46" ht="15.75" customHeight="1">
      <c r="A46" s="237"/>
      <c r="B46" s="232"/>
      <c r="C46" s="194" t="inlineStr">
        <is>
          <t xml:space="preserve">Pallets Movimentados</t>
        </is>
      </c>
      <c r="D46" s="195" t="str">
        <f>IFERROR(1/(1/INDEX(BD!$AK$24:$AU$24,MATCH($A$45,BD!$AK$22:$AU$22,0))),"")</f>
        <v/>
      </c>
      <c r="E46" s="196"/>
      <c r="F46" s="197" t="str">
        <f>IF(F$3="","",IF(COUNTIFS(BD!$A$3:$A$5001,F$3,BD!$B$3:$B$5001,$A$45,BD!$D$3:$D$5001,"&lt;&gt;")=0,"",SUMIFS(BD!$D$3:$D$5001,BD!$A$3:$A$5001,F$3,BD!$B$3:$B$5001,$A$45)))</f>
        <v/>
      </c>
      <c r="G46" s="198" t="str">
        <f>IF(G$3="","",IF(COUNTIFS(BD!$A$3:$A$5001,G$3,BD!$B$3:$B$5001,$A$45,BD!$D$3:$D$5001,"&lt;&gt;")=0,"",SUMIFS(BD!$D$3:$D$5001,BD!$A$3:$A$5001,G$3,BD!$B$3:$B$5001,$A$45)))</f>
        <v/>
      </c>
      <c r="H46" s="198" t="str">
        <f>IF(H$3="","",IF(COUNTIFS(BD!$A$3:$A$5001,H$3,BD!$B$3:$B$5001,$A$45,BD!$D$3:$D$5001,"&lt;&gt;")=0,"",SUMIFS(BD!$D$3:$D$5001,BD!$A$3:$A$5001,H$3,BD!$B$3:$B$5001,$A$45)))</f>
        <v/>
      </c>
      <c r="I46" s="198" t="str">
        <f>IF(I$3="","",IF(COUNTIFS(BD!$A$3:$A$5001,I$3,BD!$B$3:$B$5001,$A$45,BD!$D$3:$D$5001,"&lt;&gt;")=0,"",SUMIFS(BD!$D$3:$D$5001,BD!$A$3:$A$5001,I$3,BD!$B$3:$B$5001,$A$45)))</f>
        <v/>
      </c>
      <c r="J46" s="198" t="str">
        <f>IF(J$3="","",IF(COUNTIFS(BD!$A$3:$A$5001,J$3,BD!$B$3:$B$5001,$A$45,BD!$D$3:$D$5001,"&lt;&gt;")=0,"",SUMIFS(BD!$D$3:$D$5001,BD!$A$3:$A$5001,J$3,BD!$B$3:$B$5001,$A$45)))</f>
        <v/>
      </c>
      <c r="K46" s="198" t="str">
        <f>IF(K$3="","",IF(COUNTIFS(BD!$A$3:$A$5001,K$3,BD!$B$3:$B$5001,$A$45,BD!$D$3:$D$5001,"&lt;&gt;")=0,"",SUMIFS(BD!$D$3:$D$5001,BD!$A$3:$A$5001,K$3,BD!$B$3:$B$5001,$A$45)))</f>
        <v/>
      </c>
      <c r="L46" s="198" t="str">
        <f>IF(L$3="","",IF(COUNTIFS(BD!$A$3:$A$5001,L$3,BD!$B$3:$B$5001,$A$45,BD!$D$3:$D$5001,"&lt;&gt;")=0,"",SUMIFS(BD!$D$3:$D$5001,BD!$A$3:$A$5001,L$3,BD!$B$3:$B$5001,$A$45)))</f>
        <v/>
      </c>
      <c r="M46" s="198" t="str">
        <f>IF(M$3="","",IF(COUNTIFS(BD!$A$3:$A$5001,M$3,BD!$B$3:$B$5001,$A$45,BD!$D$3:$D$5001,"&lt;&gt;")=0,"",SUMIFS(BD!$D$3:$D$5001,BD!$A$3:$A$5001,M$3,BD!$B$3:$B$5001,$A$45)))</f>
        <v/>
      </c>
      <c r="N46" s="198" t="str">
        <f>IF(N$3="","",IF(COUNTIFS(BD!$A$3:$A$5001,N$3,BD!$B$3:$B$5001,$A$45,BD!$D$3:$D$5001,"&lt;&gt;")=0,"",SUMIFS(BD!$D$3:$D$5001,BD!$A$3:$A$5001,N$3,BD!$B$3:$B$5001,$A$45)))</f>
        <v/>
      </c>
      <c r="O46" s="198" t="str">
        <f>IF(O$3="","",IF(COUNTIFS(BD!$A$3:$A$5001,O$3,BD!$B$3:$B$5001,$A$45,BD!$D$3:$D$5001,"&lt;&gt;")=0,"",SUMIFS(BD!$D$3:$D$5001,BD!$A$3:$A$5001,O$3,BD!$B$3:$B$5001,$A$45)))</f>
        <v/>
      </c>
      <c r="P46" s="198" t="str">
        <f>IF(P$3="","",IF(COUNTIFS(BD!$A$3:$A$5001,P$3,BD!$B$3:$B$5001,$A$45,BD!$D$3:$D$5001,"&lt;&gt;")=0,"",SUMIFS(BD!$D$3:$D$5001,BD!$A$3:$A$5001,P$3,BD!$B$3:$B$5001,$A$45)))</f>
        <v/>
      </c>
      <c r="Q46" s="198" t="str">
        <f>IF(Q$3="","",IF(COUNTIFS(BD!$A$3:$A$5001,Q$3,BD!$B$3:$B$5001,$A$45,BD!$D$3:$D$5001,"&lt;&gt;")=0,"",SUMIFS(BD!$D$3:$D$5001,BD!$A$3:$A$5001,Q$3,BD!$B$3:$B$5001,$A$45)))</f>
        <v/>
      </c>
      <c r="R46" s="198" t="str">
        <f>IF(R$3="","",IF(COUNTIFS(BD!$A$3:$A$5001,R$3,BD!$B$3:$B$5001,$A$45,BD!$D$3:$D$5001,"&lt;&gt;")=0,"",SUMIFS(BD!$D$3:$D$5001,BD!$A$3:$A$5001,R$3,BD!$B$3:$B$5001,$A$45)))</f>
        <v/>
      </c>
      <c r="S46" s="198" t="str">
        <f>IF(S$3="","",IF(COUNTIFS(BD!$A$3:$A$5001,S$3,BD!$B$3:$B$5001,$A$45,BD!$D$3:$D$5001,"&lt;&gt;")=0,"",SUMIFS(BD!$D$3:$D$5001,BD!$A$3:$A$5001,S$3,BD!$B$3:$B$5001,$A$45)))</f>
        <v/>
      </c>
      <c r="T46" s="198" t="str">
        <f>IF(T$3="","",IF(COUNTIFS(BD!$A$3:$A$5001,T$3,BD!$B$3:$B$5001,$A$45,BD!$D$3:$D$5001,"&lt;&gt;")=0,"",SUMIFS(BD!$D$3:$D$5001,BD!$A$3:$A$5001,T$3,BD!$B$3:$B$5001,$A$45)))</f>
        <v/>
      </c>
      <c r="U46" s="198" t="str">
        <f>IF(U$3="","",IF(COUNTIFS(BD!$A$3:$A$5001,U$3,BD!$B$3:$B$5001,$A$45,BD!$D$3:$D$5001,"&lt;&gt;")=0,"",SUMIFS(BD!$D$3:$D$5001,BD!$A$3:$A$5001,U$3,BD!$B$3:$B$5001,$A$45)))</f>
        <v/>
      </c>
      <c r="V46" s="198" t="str">
        <f>IF(V$3="","",IF(COUNTIFS(BD!$A$3:$A$5001,V$3,BD!$B$3:$B$5001,$A$45,BD!$D$3:$D$5001,"&lt;&gt;")=0,"",SUMIFS(BD!$D$3:$D$5001,BD!$A$3:$A$5001,V$3,BD!$B$3:$B$5001,$A$45)))</f>
        <v/>
      </c>
      <c r="W46" s="198" t="str">
        <f>IF(W$3="","",IF(COUNTIFS(BD!$A$3:$A$5001,W$3,BD!$B$3:$B$5001,$A$45,BD!$D$3:$D$5001,"&lt;&gt;")=0,"",SUMIFS(BD!$D$3:$D$5001,BD!$A$3:$A$5001,W$3,BD!$B$3:$B$5001,$A$45)))</f>
        <v/>
      </c>
      <c r="X46" s="198" t="str">
        <f>IF(X$3="","",IF(COUNTIFS(BD!$A$3:$A$5001,X$3,BD!$B$3:$B$5001,$A$45,BD!$D$3:$D$5001,"&lt;&gt;")=0,"",SUMIFS(BD!$D$3:$D$5001,BD!$A$3:$A$5001,X$3,BD!$B$3:$B$5001,$A$45)))</f>
        <v/>
      </c>
      <c r="Y46" s="198" t="str">
        <f>IF(Y$3="","",IF(COUNTIFS(BD!$A$3:$A$5001,Y$3,BD!$B$3:$B$5001,$A$45,BD!$D$3:$D$5001,"&lt;&gt;")=0,"",SUMIFS(BD!$D$3:$D$5001,BD!$A$3:$A$5001,Y$3,BD!$B$3:$B$5001,$A$45)))</f>
        <v/>
      </c>
      <c r="Z46" s="198" t="str">
        <f>IF(Z$3="","",IF(COUNTIFS(BD!$A$3:$A$5001,Z$3,BD!$B$3:$B$5001,$A$45,BD!$D$3:$D$5001,"&lt;&gt;")=0,"",SUMIFS(BD!$D$3:$D$5001,BD!$A$3:$A$5001,Z$3,BD!$B$3:$B$5001,$A$45)))</f>
        <v/>
      </c>
      <c r="AA46" s="198" t="str">
        <f>IF(AA$3="","",IF(COUNTIFS(BD!$A$3:$A$5001,AA$3,BD!$B$3:$B$5001,$A$45,BD!$D$3:$D$5001,"&lt;&gt;")=0,"",SUMIFS(BD!$D$3:$D$5001,BD!$A$3:$A$5001,AA$3,BD!$B$3:$B$5001,$A$45)))</f>
        <v/>
      </c>
      <c r="AB46" s="198" t="str">
        <f>IF(AB$3="","",IF(COUNTIFS(BD!$A$3:$A$5001,AB$3,BD!$B$3:$B$5001,$A$45,BD!$D$3:$D$5001,"&lt;&gt;")=0,"",SUMIFS(BD!$D$3:$D$5001,BD!$A$3:$A$5001,AB$3,BD!$B$3:$B$5001,$A$45)))</f>
        <v/>
      </c>
      <c r="AC46" s="198" t="str">
        <f>IF(AC$3="","",IF(COUNTIFS(BD!$A$3:$A$5001,AC$3,BD!$B$3:$B$5001,$A$45,BD!$D$3:$D$5001,"&lt;&gt;")=0,"",SUMIFS(BD!$D$3:$D$5001,BD!$A$3:$A$5001,AC$3,BD!$B$3:$B$5001,$A$45)))</f>
        <v/>
      </c>
      <c r="AD46" s="198" t="str">
        <f>IF(AD$3="","",IF(COUNTIFS(BD!$A$3:$A$5001,AD$3,BD!$B$3:$B$5001,$A$45,BD!$D$3:$D$5001,"&lt;&gt;")=0,"",SUMIFS(BD!$D$3:$D$5001,BD!$A$3:$A$5001,AD$3,BD!$B$3:$B$5001,$A$45)))</f>
        <v/>
      </c>
      <c r="AE46" s="198" t="str">
        <f>IF(AE$3="","",IF(COUNTIFS(BD!$A$3:$A$5001,AE$3,BD!$B$3:$B$5001,$A$45,BD!$D$3:$D$5001,"&lt;&gt;")=0,"",SUMIFS(BD!$D$3:$D$5001,BD!$A$3:$A$5001,AE$3,BD!$B$3:$B$5001,$A$45)))</f>
        <v/>
      </c>
      <c r="AF46" s="198" t="str">
        <f>IF(AF$3="","",IF(COUNTIFS(BD!$A$3:$A$5001,AF$3,BD!$B$3:$B$5001,$A$45,BD!$D$3:$D$5001,"&lt;&gt;")=0,"",SUMIFS(BD!$D$3:$D$5001,BD!$A$3:$A$5001,AF$3,BD!$B$3:$B$5001,$A$45)))</f>
        <v/>
      </c>
      <c r="AG46" s="198" t="str">
        <f>IF(AG$3="","",IF(COUNTIFS(BD!$A$3:$A$5001,AG$3,BD!$B$3:$B$5001,$A$45,BD!$D$3:$D$5001,"&lt;&gt;")=0,"",SUMIFS(BD!$D$3:$D$5001,BD!$A$3:$A$5001,AG$3,BD!$B$3:$B$5001,$A$45)))</f>
        <v/>
      </c>
      <c r="AH46" s="198" t="str">
        <f>IF(AH$3="","",IF(COUNTIFS(BD!$A$3:$A$5001,AH$3,BD!$B$3:$B$5001,$A$45,BD!$D$3:$D$5001,"&lt;&gt;")=0,"",SUMIFS(BD!$D$3:$D$5001,BD!$A$3:$A$5001,AH$3,BD!$B$3:$B$5001,$A$45)))</f>
        <v/>
      </c>
      <c r="AI46" s="198" t="str">
        <f>IF(AI$3="","",IF(COUNTIFS(BD!$A$3:$A$5001,AI$3,BD!$B$3:$B$5001,$A$45,BD!$D$3:$D$5001,"&lt;&gt;")=0,"",SUMIFS(BD!$D$3:$D$5001,BD!$A$3:$A$5001,AI$3,BD!$B$3:$B$5001,$A$45)))</f>
        <v/>
      </c>
      <c r="AJ46" s="199" t="str">
        <f>IF(AJ$3="","",IF(COUNTIFS(BD!$A$3:$A$5001,AJ$3,BD!$B$3:$B$5001,$A$45,BD!$D$3:$D$5001,"&lt;&gt;")=0,"",SUMIFS(BD!$D$3:$D$5001,BD!$A$3:$A$5001,AJ$3,BD!$B$3:$B$5001,$A$45)))</f>
        <v/>
      </c>
      <c r="AK46" s="200" t="str">
        <f>IF(COUNT(F46:AJ46)=0,"",SUM(F46:AJ46))</f>
        <v/>
      </c>
    </row>
    <row r="47" ht="15.75" customHeight="1">
      <c r="A47" s="237"/>
      <c r="B47" s="226"/>
      <c r="C47" s="155" t="inlineStr">
        <is>
          <t xml:space="preserve">Caixas Movimentadas</t>
        </is>
      </c>
      <c r="D47" s="156" t="str">
        <f>IFERROR(1/(1/INDEX(BD!$AK$27:$AU$27,MATCH($A$45,BD!$AK$22:$AU$22,0))),"")</f>
        <v/>
      </c>
      <c r="E47" s="157"/>
      <c r="F47" s="158" t="str">
        <f>IF(F$3="","",IF(COUNTIFS(BD!$A$3:$A$5001,F$3,BD!$B$3:$B$5001,$A$45,BD!$G$3:$G$5001,"&lt;&gt;")=0,"",SUMIFS(BD!$G$3:$G$5001,BD!$A$3:$A$5001,F$3,BD!$B$3:$B$5001,$A$45)))</f>
        <v/>
      </c>
      <c r="G47" s="159" t="str">
        <f>IF(G$3="","",IF(COUNTIFS(BD!$A$3:$A$5001,G$3,BD!$B$3:$B$5001,$A$45,BD!$G$3:$G$5001,"&lt;&gt;")=0,"",SUMIFS(BD!$G$3:$G$5001,BD!$A$3:$A$5001,G$3,BD!$B$3:$B$5001,$A$45)))</f>
        <v/>
      </c>
      <c r="H47" s="159" t="str">
        <f>IF(H$3="","",IF(COUNTIFS(BD!$A$3:$A$5001,H$3,BD!$B$3:$B$5001,$A$45,BD!$G$3:$G$5001,"&lt;&gt;")=0,"",SUMIFS(BD!$G$3:$G$5001,BD!$A$3:$A$5001,H$3,BD!$B$3:$B$5001,$A$45)))</f>
        <v/>
      </c>
      <c r="I47" s="159" t="str">
        <f>IF(I$3="","",IF(COUNTIFS(BD!$A$3:$A$5001,I$3,BD!$B$3:$B$5001,$A$45,BD!$G$3:$G$5001,"&lt;&gt;")=0,"",SUMIFS(BD!$G$3:$G$5001,BD!$A$3:$A$5001,I$3,BD!$B$3:$B$5001,$A$45)))</f>
        <v/>
      </c>
      <c r="J47" s="159" t="str">
        <f>IF(J$3="","",IF(COUNTIFS(BD!$A$3:$A$5001,J$3,BD!$B$3:$B$5001,$A$45,BD!$G$3:$G$5001,"&lt;&gt;")=0,"",SUMIFS(BD!$G$3:$G$5001,BD!$A$3:$A$5001,J$3,BD!$B$3:$B$5001,$A$45)))</f>
        <v/>
      </c>
      <c r="K47" s="159" t="str">
        <f>IF(K$3="","",IF(COUNTIFS(BD!$A$3:$A$5001,K$3,BD!$B$3:$B$5001,$A$45,BD!$G$3:$G$5001,"&lt;&gt;")=0,"",SUMIFS(BD!$G$3:$G$5001,BD!$A$3:$A$5001,K$3,BD!$B$3:$B$5001,$A$45)))</f>
        <v/>
      </c>
      <c r="L47" s="159" t="str">
        <f>IF(L$3="","",IF(COUNTIFS(BD!$A$3:$A$5001,L$3,BD!$B$3:$B$5001,$A$45,BD!$G$3:$G$5001,"&lt;&gt;")=0,"",SUMIFS(BD!$G$3:$G$5001,BD!$A$3:$A$5001,L$3,BD!$B$3:$B$5001,$A$45)))</f>
        <v/>
      </c>
      <c r="M47" s="159" t="str">
        <f>IF(M$3="","",IF(COUNTIFS(BD!$A$3:$A$5001,M$3,BD!$B$3:$B$5001,$A$45,BD!$G$3:$G$5001,"&lt;&gt;")=0,"",SUMIFS(BD!$G$3:$G$5001,BD!$A$3:$A$5001,M$3,BD!$B$3:$B$5001,$A$45)))</f>
        <v/>
      </c>
      <c r="N47" s="159" t="str">
        <f>IF(N$3="","",IF(COUNTIFS(BD!$A$3:$A$5001,N$3,BD!$B$3:$B$5001,$A$45,BD!$G$3:$G$5001,"&lt;&gt;")=0,"",SUMIFS(BD!$G$3:$G$5001,BD!$A$3:$A$5001,N$3,BD!$B$3:$B$5001,$A$45)))</f>
        <v/>
      </c>
      <c r="O47" s="159" t="str">
        <f>IF(O$3="","",IF(COUNTIFS(BD!$A$3:$A$5001,O$3,BD!$B$3:$B$5001,$A$45,BD!$G$3:$G$5001,"&lt;&gt;")=0,"",SUMIFS(BD!$G$3:$G$5001,BD!$A$3:$A$5001,O$3,BD!$B$3:$B$5001,$A$45)))</f>
        <v/>
      </c>
      <c r="P47" s="159" t="str">
        <f>IF(P$3="","",IF(COUNTIFS(BD!$A$3:$A$5001,P$3,BD!$B$3:$B$5001,$A$45,BD!$G$3:$G$5001,"&lt;&gt;")=0,"",SUMIFS(BD!$G$3:$G$5001,BD!$A$3:$A$5001,P$3,BD!$B$3:$B$5001,$A$45)))</f>
        <v/>
      </c>
      <c r="Q47" s="159" t="str">
        <f>IF(Q$3="","",IF(COUNTIFS(BD!$A$3:$A$5001,Q$3,BD!$B$3:$B$5001,$A$45,BD!$G$3:$G$5001,"&lt;&gt;")=0,"",SUMIFS(BD!$G$3:$G$5001,BD!$A$3:$A$5001,Q$3,BD!$B$3:$B$5001,$A$45)))</f>
        <v/>
      </c>
      <c r="R47" s="159" t="str">
        <f>IF(R$3="","",IF(COUNTIFS(BD!$A$3:$A$5001,R$3,BD!$B$3:$B$5001,$A$45,BD!$G$3:$G$5001,"&lt;&gt;")=0,"",SUMIFS(BD!$G$3:$G$5001,BD!$A$3:$A$5001,R$3,BD!$B$3:$B$5001,$A$45)))</f>
        <v/>
      </c>
      <c r="S47" s="159" t="str">
        <f>IF(S$3="","",IF(COUNTIFS(BD!$A$3:$A$5001,S$3,BD!$B$3:$B$5001,$A$45,BD!$G$3:$G$5001,"&lt;&gt;")=0,"",SUMIFS(BD!$G$3:$G$5001,BD!$A$3:$A$5001,S$3,BD!$B$3:$B$5001,$A$45)))</f>
        <v/>
      </c>
      <c r="T47" s="159" t="str">
        <f>IF(T$3="","",IF(COUNTIFS(BD!$A$3:$A$5001,T$3,BD!$B$3:$B$5001,$A$45,BD!$G$3:$G$5001,"&lt;&gt;")=0,"",SUMIFS(BD!$G$3:$G$5001,BD!$A$3:$A$5001,T$3,BD!$B$3:$B$5001,$A$45)))</f>
        <v/>
      </c>
      <c r="U47" s="159" t="str">
        <f>IF(U$3="","",IF(COUNTIFS(BD!$A$3:$A$5001,U$3,BD!$B$3:$B$5001,$A$45,BD!$G$3:$G$5001,"&lt;&gt;")=0,"",SUMIFS(BD!$G$3:$G$5001,BD!$A$3:$A$5001,U$3,BD!$B$3:$B$5001,$A$45)))</f>
        <v/>
      </c>
      <c r="V47" s="159" t="str">
        <f>IF(V$3="","",IF(COUNTIFS(BD!$A$3:$A$5001,V$3,BD!$B$3:$B$5001,$A$45,BD!$G$3:$G$5001,"&lt;&gt;")=0,"",SUMIFS(BD!$G$3:$G$5001,BD!$A$3:$A$5001,V$3,BD!$B$3:$B$5001,$A$45)))</f>
        <v/>
      </c>
      <c r="W47" s="159" t="str">
        <f>IF(W$3="","",IF(COUNTIFS(BD!$A$3:$A$5001,W$3,BD!$B$3:$B$5001,$A$45,BD!$G$3:$G$5001,"&lt;&gt;")=0,"",SUMIFS(BD!$G$3:$G$5001,BD!$A$3:$A$5001,W$3,BD!$B$3:$B$5001,$A$45)))</f>
        <v/>
      </c>
      <c r="X47" s="159" t="str">
        <f>IF(X$3="","",IF(COUNTIFS(BD!$A$3:$A$5001,X$3,BD!$B$3:$B$5001,$A$45,BD!$G$3:$G$5001,"&lt;&gt;")=0,"",SUMIFS(BD!$G$3:$G$5001,BD!$A$3:$A$5001,X$3,BD!$B$3:$B$5001,$A$45)))</f>
        <v/>
      </c>
      <c r="Y47" s="159" t="str">
        <f>IF(Y$3="","",IF(COUNTIFS(BD!$A$3:$A$5001,Y$3,BD!$B$3:$B$5001,$A$45,BD!$G$3:$G$5001,"&lt;&gt;")=0,"",SUMIFS(BD!$G$3:$G$5001,BD!$A$3:$A$5001,Y$3,BD!$B$3:$B$5001,$A$45)))</f>
        <v/>
      </c>
      <c r="Z47" s="159" t="str">
        <f>IF(Z$3="","",IF(COUNTIFS(BD!$A$3:$A$5001,Z$3,BD!$B$3:$B$5001,$A$45,BD!$G$3:$G$5001,"&lt;&gt;")=0,"",SUMIFS(BD!$G$3:$G$5001,BD!$A$3:$A$5001,Z$3,BD!$B$3:$B$5001,$A$45)))</f>
        <v/>
      </c>
      <c r="AA47" s="159" t="str">
        <f>IF(AA$3="","",IF(COUNTIFS(BD!$A$3:$A$5001,AA$3,BD!$B$3:$B$5001,$A$45,BD!$G$3:$G$5001,"&lt;&gt;")=0,"",SUMIFS(BD!$G$3:$G$5001,BD!$A$3:$A$5001,AA$3,BD!$B$3:$B$5001,$A$45)))</f>
        <v/>
      </c>
      <c r="AB47" s="159" t="str">
        <f>IF(AB$3="","",IF(COUNTIFS(BD!$A$3:$A$5001,AB$3,BD!$B$3:$B$5001,$A$45,BD!$G$3:$G$5001,"&lt;&gt;")=0,"",SUMIFS(BD!$G$3:$G$5001,BD!$A$3:$A$5001,AB$3,BD!$B$3:$B$5001,$A$45)))</f>
        <v/>
      </c>
      <c r="AC47" s="159" t="str">
        <f>IF(AC$3="","",IF(COUNTIFS(BD!$A$3:$A$5001,AC$3,BD!$B$3:$B$5001,$A$45,BD!$G$3:$G$5001,"&lt;&gt;")=0,"",SUMIFS(BD!$G$3:$G$5001,BD!$A$3:$A$5001,AC$3,BD!$B$3:$B$5001,$A$45)))</f>
        <v/>
      </c>
      <c r="AD47" s="159" t="str">
        <f>IF(AD$3="","",IF(COUNTIFS(BD!$A$3:$A$5001,AD$3,BD!$B$3:$B$5001,$A$45,BD!$G$3:$G$5001,"&lt;&gt;")=0,"",SUMIFS(BD!$G$3:$G$5001,BD!$A$3:$A$5001,AD$3,BD!$B$3:$B$5001,$A$45)))</f>
        <v/>
      </c>
      <c r="AE47" s="159" t="str">
        <f>IF(AE$3="","",IF(COUNTIFS(BD!$A$3:$A$5001,AE$3,BD!$B$3:$B$5001,$A$45,BD!$G$3:$G$5001,"&lt;&gt;")=0,"",SUMIFS(BD!$G$3:$G$5001,BD!$A$3:$A$5001,AE$3,BD!$B$3:$B$5001,$A$45)))</f>
        <v/>
      </c>
      <c r="AF47" s="159" t="str">
        <f>IF(AF$3="","",IF(COUNTIFS(BD!$A$3:$A$5001,AF$3,BD!$B$3:$B$5001,$A$45,BD!$G$3:$G$5001,"&lt;&gt;")=0,"",SUMIFS(BD!$G$3:$G$5001,BD!$A$3:$A$5001,AF$3,BD!$B$3:$B$5001,$A$45)))</f>
        <v/>
      </c>
      <c r="AG47" s="159" t="str">
        <f>IF(AG$3="","",IF(COUNTIFS(BD!$A$3:$A$5001,AG$3,BD!$B$3:$B$5001,$A$45,BD!$G$3:$G$5001,"&lt;&gt;")=0,"",SUMIFS(BD!$G$3:$G$5001,BD!$A$3:$A$5001,AG$3,BD!$B$3:$B$5001,$A$45)))</f>
        <v/>
      </c>
      <c r="AH47" s="159" t="str">
        <f>IF(AH$3="","",IF(COUNTIFS(BD!$A$3:$A$5001,AH$3,BD!$B$3:$B$5001,$A$45,BD!$G$3:$G$5001,"&lt;&gt;")=0,"",SUMIFS(BD!$G$3:$G$5001,BD!$A$3:$A$5001,AH$3,BD!$B$3:$B$5001,$A$45)))</f>
        <v/>
      </c>
      <c r="AI47" s="159" t="str">
        <f>IF(AI$3="","",IF(COUNTIFS(BD!$A$3:$A$5001,AI$3,BD!$B$3:$B$5001,$A$45,BD!$G$3:$G$5001,"&lt;&gt;")=0,"",SUMIFS(BD!$G$3:$G$5001,BD!$A$3:$A$5001,AI$3,BD!$B$3:$B$5001,$A$45)))</f>
        <v/>
      </c>
      <c r="AJ47" s="160" t="str">
        <f>IF(AJ$3="","",IF(COUNTIFS(BD!$A$3:$A$5001,AJ$3,BD!$B$3:$B$5001,$A$45,BD!$G$3:$G$5001,"&lt;&gt;")=0,"",SUMIFS(BD!$G$3:$G$5001,BD!$A$3:$A$5001,AJ$3,BD!$B$3:$B$5001,$A$45)))</f>
        <v/>
      </c>
      <c r="AK47" s="156" t="str">
        <f>IF(COUNT(F47:AJ47)=0,"",SUM(F47:AJ47))</f>
        <v/>
      </c>
    </row>
    <row r="48" ht="15.75" customHeight="1">
      <c r="A48" s="237"/>
      <c r="B48" s="227" t="inlineStr">
        <is>
          <t xml:space="preserve">OUT</t>
        </is>
      </c>
      <c r="C48" s="161" t="inlineStr">
        <is>
          <t xml:space="preserve">Veículos Expedidos</t>
        </is>
      </c>
      <c r="D48" s="162" t="str">
        <f>IFERROR(1/(1/INDEX(BD!$AK$32:$AU$32,MATCH($A$45,BD!$AK$22:$AU$22,0))),"")</f>
        <v/>
      </c>
      <c r="E48" s="163"/>
      <c r="F48" s="164" t="str">
        <f>IF(F$3="","",IF(COUNTIFS(BD!$A$3:$A$5001,F$3,BD!$B$3:$B$5001,$A$45,BD!$L$3:$L$5001,"&lt;&gt;")=0,"",SUMIFS(BD!$L$3:$L$5001,BD!$A$3:$A$5001,F$3,BD!$B$3:$B$5001,$A$45)))</f>
        <v/>
      </c>
      <c r="G48" s="165" t="str">
        <f>IF(G$3="","",IF(COUNTIFS(BD!$A$3:$A$5001,G$3,BD!$B$3:$B$5001,$A$45,BD!$L$3:$L$5001,"&lt;&gt;")=0,"",SUMIFS(BD!$L$3:$L$5001,BD!$A$3:$A$5001,G$3,BD!$B$3:$B$5001,$A$45)))</f>
        <v/>
      </c>
      <c r="H48" s="165" t="str">
        <f>IF(H$3="","",IF(COUNTIFS(BD!$A$3:$A$5001,H$3,BD!$B$3:$B$5001,$A$45,BD!$L$3:$L$5001,"&lt;&gt;")=0,"",SUMIFS(BD!$L$3:$L$5001,BD!$A$3:$A$5001,H$3,BD!$B$3:$B$5001,$A$45)))</f>
        <v/>
      </c>
      <c r="I48" s="165" t="str">
        <f>IF(I$3="","",IF(COUNTIFS(BD!$A$3:$A$5001,I$3,BD!$B$3:$B$5001,$A$45,BD!$L$3:$L$5001,"&lt;&gt;")=0,"",SUMIFS(BD!$L$3:$L$5001,BD!$A$3:$A$5001,I$3,BD!$B$3:$B$5001,$A$45)))</f>
        <v/>
      </c>
      <c r="J48" s="165" t="str">
        <f>IF(J$3="","",IF(COUNTIFS(BD!$A$3:$A$5001,J$3,BD!$B$3:$B$5001,$A$45,BD!$L$3:$L$5001,"&lt;&gt;")=0,"",SUMIFS(BD!$L$3:$L$5001,BD!$A$3:$A$5001,J$3,BD!$B$3:$B$5001,$A$45)))</f>
        <v/>
      </c>
      <c r="K48" s="165" t="str">
        <f>IF(K$3="","",IF(COUNTIFS(BD!$A$3:$A$5001,K$3,BD!$B$3:$B$5001,$A$45,BD!$L$3:$L$5001,"&lt;&gt;")=0,"",SUMIFS(BD!$L$3:$L$5001,BD!$A$3:$A$5001,K$3,BD!$B$3:$B$5001,$A$45)))</f>
        <v/>
      </c>
      <c r="L48" s="165" t="str">
        <f>IF(L$3="","",IF(COUNTIFS(BD!$A$3:$A$5001,L$3,BD!$B$3:$B$5001,$A$45,BD!$L$3:$L$5001,"&lt;&gt;")=0,"",SUMIFS(BD!$L$3:$L$5001,BD!$A$3:$A$5001,L$3,BD!$B$3:$B$5001,$A$45)))</f>
        <v/>
      </c>
      <c r="M48" s="165" t="str">
        <f>IF(M$3="","",IF(COUNTIFS(BD!$A$3:$A$5001,M$3,BD!$B$3:$B$5001,$A$45,BD!$L$3:$L$5001,"&lt;&gt;")=0,"",SUMIFS(BD!$L$3:$L$5001,BD!$A$3:$A$5001,M$3,BD!$B$3:$B$5001,$A$45)))</f>
        <v/>
      </c>
      <c r="N48" s="165" t="str">
        <f>IF(N$3="","",IF(COUNTIFS(BD!$A$3:$A$5001,N$3,BD!$B$3:$B$5001,$A$45,BD!$L$3:$L$5001,"&lt;&gt;")=0,"",SUMIFS(BD!$L$3:$L$5001,BD!$A$3:$A$5001,N$3,BD!$B$3:$B$5001,$A$45)))</f>
        <v/>
      </c>
      <c r="O48" s="165" t="str">
        <f>IF(O$3="","",IF(COUNTIFS(BD!$A$3:$A$5001,O$3,BD!$B$3:$B$5001,$A$45,BD!$L$3:$L$5001,"&lt;&gt;")=0,"",SUMIFS(BD!$L$3:$L$5001,BD!$A$3:$A$5001,O$3,BD!$B$3:$B$5001,$A$45)))</f>
        <v/>
      </c>
      <c r="P48" s="165" t="str">
        <f>IF(P$3="","",IF(COUNTIFS(BD!$A$3:$A$5001,P$3,BD!$B$3:$B$5001,$A$45,BD!$L$3:$L$5001,"&lt;&gt;")=0,"",SUMIFS(BD!$L$3:$L$5001,BD!$A$3:$A$5001,P$3,BD!$B$3:$B$5001,$A$45)))</f>
        <v/>
      </c>
      <c r="Q48" s="165" t="str">
        <f>IF(Q$3="","",IF(COUNTIFS(BD!$A$3:$A$5001,Q$3,BD!$B$3:$B$5001,$A$45,BD!$L$3:$L$5001,"&lt;&gt;")=0,"",SUMIFS(BD!$L$3:$L$5001,BD!$A$3:$A$5001,Q$3,BD!$B$3:$B$5001,$A$45)))</f>
        <v/>
      </c>
      <c r="R48" s="165" t="str">
        <f>IF(R$3="","",IF(COUNTIFS(BD!$A$3:$A$5001,R$3,BD!$B$3:$B$5001,$A$45,BD!$L$3:$L$5001,"&lt;&gt;")=0,"",SUMIFS(BD!$L$3:$L$5001,BD!$A$3:$A$5001,R$3,BD!$B$3:$B$5001,$A$45)))</f>
        <v/>
      </c>
      <c r="S48" s="165" t="str">
        <f>IF(S$3="","",IF(COUNTIFS(BD!$A$3:$A$5001,S$3,BD!$B$3:$B$5001,$A$45,BD!$L$3:$L$5001,"&lt;&gt;")=0,"",SUMIFS(BD!$L$3:$L$5001,BD!$A$3:$A$5001,S$3,BD!$B$3:$B$5001,$A$45)))</f>
        <v/>
      </c>
      <c r="T48" s="165" t="str">
        <f>IF(T$3="","",IF(COUNTIFS(BD!$A$3:$A$5001,T$3,BD!$B$3:$B$5001,$A$45,BD!$L$3:$L$5001,"&lt;&gt;")=0,"",SUMIFS(BD!$L$3:$L$5001,BD!$A$3:$A$5001,T$3,BD!$B$3:$B$5001,$A$45)))</f>
        <v/>
      </c>
      <c r="U48" s="165" t="str">
        <f>IF(U$3="","",IF(COUNTIFS(BD!$A$3:$A$5001,U$3,BD!$B$3:$B$5001,$A$45,BD!$L$3:$L$5001,"&lt;&gt;")=0,"",SUMIFS(BD!$L$3:$L$5001,BD!$A$3:$A$5001,U$3,BD!$B$3:$B$5001,$A$45)))</f>
        <v/>
      </c>
      <c r="V48" s="165" t="str">
        <f>IF(V$3="","",IF(COUNTIFS(BD!$A$3:$A$5001,V$3,BD!$B$3:$B$5001,$A$45,BD!$L$3:$L$5001,"&lt;&gt;")=0,"",SUMIFS(BD!$L$3:$L$5001,BD!$A$3:$A$5001,V$3,BD!$B$3:$B$5001,$A$45)))</f>
        <v/>
      </c>
      <c r="W48" s="165" t="str">
        <f>IF(W$3="","",IF(COUNTIFS(BD!$A$3:$A$5001,W$3,BD!$B$3:$B$5001,$A$45,BD!$L$3:$L$5001,"&lt;&gt;")=0,"",SUMIFS(BD!$L$3:$L$5001,BD!$A$3:$A$5001,W$3,BD!$B$3:$B$5001,$A$45)))</f>
        <v/>
      </c>
      <c r="X48" s="165" t="str">
        <f>IF(X$3="","",IF(COUNTIFS(BD!$A$3:$A$5001,X$3,BD!$B$3:$B$5001,$A$45,BD!$L$3:$L$5001,"&lt;&gt;")=0,"",SUMIFS(BD!$L$3:$L$5001,BD!$A$3:$A$5001,X$3,BD!$B$3:$B$5001,$A$45)))</f>
        <v/>
      </c>
      <c r="Y48" s="165" t="str">
        <f>IF(Y$3="","",IF(COUNTIFS(BD!$A$3:$A$5001,Y$3,BD!$B$3:$B$5001,$A$45,BD!$L$3:$L$5001,"&lt;&gt;")=0,"",SUMIFS(BD!$L$3:$L$5001,BD!$A$3:$A$5001,Y$3,BD!$B$3:$B$5001,$A$45)))</f>
        <v/>
      </c>
      <c r="Z48" s="165" t="str">
        <f>IF(Z$3="","",IF(COUNTIFS(BD!$A$3:$A$5001,Z$3,BD!$B$3:$B$5001,$A$45,BD!$L$3:$L$5001,"&lt;&gt;")=0,"",SUMIFS(BD!$L$3:$L$5001,BD!$A$3:$A$5001,Z$3,BD!$B$3:$B$5001,$A$45)))</f>
        <v/>
      </c>
      <c r="AA48" s="165" t="str">
        <f>IF(AA$3="","",IF(COUNTIFS(BD!$A$3:$A$5001,AA$3,BD!$B$3:$B$5001,$A$45,BD!$L$3:$L$5001,"&lt;&gt;")=0,"",SUMIFS(BD!$L$3:$L$5001,BD!$A$3:$A$5001,AA$3,BD!$B$3:$B$5001,$A$45)))</f>
        <v/>
      </c>
      <c r="AB48" s="165" t="str">
        <f>IF(AB$3="","",IF(COUNTIFS(BD!$A$3:$A$5001,AB$3,BD!$B$3:$B$5001,$A$45,BD!$L$3:$L$5001,"&lt;&gt;")=0,"",SUMIFS(BD!$L$3:$L$5001,BD!$A$3:$A$5001,AB$3,BD!$B$3:$B$5001,$A$45)))</f>
        <v/>
      </c>
      <c r="AC48" s="165" t="str">
        <f>IF(AC$3="","",IF(COUNTIFS(BD!$A$3:$A$5001,AC$3,BD!$B$3:$B$5001,$A$45,BD!$L$3:$L$5001,"&lt;&gt;")=0,"",SUMIFS(BD!$L$3:$L$5001,BD!$A$3:$A$5001,AC$3,BD!$B$3:$B$5001,$A$45)))</f>
        <v/>
      </c>
      <c r="AD48" s="165" t="str">
        <f>IF(AD$3="","",IF(COUNTIFS(BD!$A$3:$A$5001,AD$3,BD!$B$3:$B$5001,$A$45,BD!$L$3:$L$5001,"&lt;&gt;")=0,"",SUMIFS(BD!$L$3:$L$5001,BD!$A$3:$A$5001,AD$3,BD!$B$3:$B$5001,$A$45)))</f>
        <v/>
      </c>
      <c r="AE48" s="165" t="str">
        <f>IF(AE$3="","",IF(COUNTIFS(BD!$A$3:$A$5001,AE$3,BD!$B$3:$B$5001,$A$45,BD!$L$3:$L$5001,"&lt;&gt;")=0,"",SUMIFS(BD!$L$3:$L$5001,BD!$A$3:$A$5001,AE$3,BD!$B$3:$B$5001,$A$45)))</f>
        <v/>
      </c>
      <c r="AF48" s="165" t="str">
        <f>IF(AF$3="","",IF(COUNTIFS(BD!$A$3:$A$5001,AF$3,BD!$B$3:$B$5001,$A$45,BD!$L$3:$L$5001,"&lt;&gt;")=0,"",SUMIFS(BD!$L$3:$L$5001,BD!$A$3:$A$5001,AF$3,BD!$B$3:$B$5001,$A$45)))</f>
        <v/>
      </c>
      <c r="AG48" s="165" t="str">
        <f>IF(AG$3="","",IF(COUNTIFS(BD!$A$3:$A$5001,AG$3,BD!$B$3:$B$5001,$A$45,BD!$L$3:$L$5001,"&lt;&gt;")=0,"",SUMIFS(BD!$L$3:$L$5001,BD!$A$3:$A$5001,AG$3,BD!$B$3:$B$5001,$A$45)))</f>
        <v/>
      </c>
      <c r="AH48" s="165" t="str">
        <f>IF(AH$3="","",IF(COUNTIFS(BD!$A$3:$A$5001,AH$3,BD!$B$3:$B$5001,$A$45,BD!$L$3:$L$5001,"&lt;&gt;")=0,"",SUMIFS(BD!$L$3:$L$5001,BD!$A$3:$A$5001,AH$3,BD!$B$3:$B$5001,$A$45)))</f>
        <v/>
      </c>
      <c r="AI48" s="165" t="str">
        <f>IF(AI$3="","",IF(COUNTIFS(BD!$A$3:$A$5001,AI$3,BD!$B$3:$B$5001,$A$45,BD!$L$3:$L$5001,"&lt;&gt;")=0,"",SUMIFS(BD!$L$3:$L$5001,BD!$A$3:$A$5001,AI$3,BD!$B$3:$B$5001,$A$45)))</f>
        <v/>
      </c>
      <c r="AJ48" s="166" t="str">
        <f>IF(AJ$3="","",IF(COUNTIFS(BD!$A$3:$A$5001,AJ$3,BD!$B$3:$B$5001,$A$45,BD!$L$3:$L$5001,"&lt;&gt;")=0,"",SUMIFS(BD!$L$3:$L$5001,BD!$A$3:$A$5001,AJ$3,BD!$B$3:$B$5001,$A$45)))</f>
        <v/>
      </c>
      <c r="AK48" s="167" t="str">
        <f>IF(COUNT(F48:AJ48)=0,"",SUM(F48:AJ48))</f>
        <v/>
      </c>
    </row>
    <row r="49" ht="15.75" customHeight="1">
      <c r="A49" s="237"/>
      <c r="B49" s="254"/>
      <c r="C49" s="243" t="inlineStr">
        <is>
          <t xml:space="preserve">Pallets Movimentados</t>
        </is>
      </c>
      <c r="D49" s="244" t="str">
        <f>IFERROR(1/(1/INDEX(BD!$AK$39:$AU$39,MATCH($A$45,BD!$AK$22:$AU$22,0))),"")</f>
        <v/>
      </c>
      <c r="E49" s="245"/>
      <c r="F49" s="246" t="str">
        <f>IF(F$3="","",IF(COUNTIFS(BD!$A$3:$A$5001,F$3,BD!$B$3:$B$5001,$A$45,BD!$S$3:$S$5001,"&lt;&gt;")=0,"",SUMIFS(BD!$S$3:$S$5001,BD!$A$3:$A$5001,F$3,BD!$B$3:$B$5001,$A$45)))</f>
        <v/>
      </c>
      <c r="G49" s="247" t="str">
        <f>IF(G$3="","",IF(COUNTIFS(BD!$A$3:$A$5001,G$3,BD!$B$3:$B$5001,$A$45,BD!$S$3:$S$5001,"&lt;&gt;")=0,"",SUMIFS(BD!$S$3:$S$5001,BD!$A$3:$A$5001,G$3,BD!$B$3:$B$5001,$A$45)))</f>
        <v/>
      </c>
      <c r="H49" s="247" t="str">
        <f>IF(H$3="","",IF(COUNTIFS(BD!$A$3:$A$5001,H$3,BD!$B$3:$B$5001,$A$45,BD!$S$3:$S$5001,"&lt;&gt;")=0,"",SUMIFS(BD!$S$3:$S$5001,BD!$A$3:$A$5001,H$3,BD!$B$3:$B$5001,$A$45)))</f>
        <v/>
      </c>
      <c r="I49" s="247" t="str">
        <f>IF(I$3="","",IF(COUNTIFS(BD!$A$3:$A$5001,I$3,BD!$B$3:$B$5001,$A$45,BD!$S$3:$S$5001,"&lt;&gt;")=0,"",SUMIFS(BD!$S$3:$S$5001,BD!$A$3:$A$5001,I$3,BD!$B$3:$B$5001,$A$45)))</f>
        <v/>
      </c>
      <c r="J49" s="247" t="str">
        <f>IF(J$3="","",IF(COUNTIFS(BD!$A$3:$A$5001,J$3,BD!$B$3:$B$5001,$A$45,BD!$S$3:$S$5001,"&lt;&gt;")=0,"",SUMIFS(BD!$S$3:$S$5001,BD!$A$3:$A$5001,J$3,BD!$B$3:$B$5001,$A$45)))</f>
        <v/>
      </c>
      <c r="K49" s="247" t="str">
        <f>IF(K$3="","",IF(COUNTIFS(BD!$A$3:$A$5001,K$3,BD!$B$3:$B$5001,$A$45,BD!$S$3:$S$5001,"&lt;&gt;")=0,"",SUMIFS(BD!$S$3:$S$5001,BD!$A$3:$A$5001,K$3,BD!$B$3:$B$5001,$A$45)))</f>
        <v/>
      </c>
      <c r="L49" s="247" t="str">
        <f>IF(L$3="","",IF(COUNTIFS(BD!$A$3:$A$5001,L$3,BD!$B$3:$B$5001,$A$45,BD!$S$3:$S$5001,"&lt;&gt;")=0,"",SUMIFS(BD!$S$3:$S$5001,BD!$A$3:$A$5001,L$3,BD!$B$3:$B$5001,$A$45)))</f>
        <v/>
      </c>
      <c r="M49" s="247" t="str">
        <f>IF(M$3="","",IF(COUNTIFS(BD!$A$3:$A$5001,M$3,BD!$B$3:$B$5001,$A$45,BD!$S$3:$S$5001,"&lt;&gt;")=0,"",SUMIFS(BD!$S$3:$S$5001,BD!$A$3:$A$5001,M$3,BD!$B$3:$B$5001,$A$45)))</f>
        <v/>
      </c>
      <c r="N49" s="247" t="str">
        <f>IF(N$3="","",IF(COUNTIFS(BD!$A$3:$A$5001,N$3,BD!$B$3:$B$5001,$A$45,BD!$S$3:$S$5001,"&lt;&gt;")=0,"",SUMIFS(BD!$S$3:$S$5001,BD!$A$3:$A$5001,N$3,BD!$B$3:$B$5001,$A$45)))</f>
        <v/>
      </c>
      <c r="O49" s="247" t="str">
        <f>IF(O$3="","",IF(COUNTIFS(BD!$A$3:$A$5001,O$3,BD!$B$3:$B$5001,$A$45,BD!$S$3:$S$5001,"&lt;&gt;")=0,"",SUMIFS(BD!$S$3:$S$5001,BD!$A$3:$A$5001,O$3,BD!$B$3:$B$5001,$A$45)))</f>
        <v/>
      </c>
      <c r="P49" s="247" t="str">
        <f>IF(P$3="","",IF(COUNTIFS(BD!$A$3:$A$5001,P$3,BD!$B$3:$B$5001,$A$45,BD!$S$3:$S$5001,"&lt;&gt;")=0,"",SUMIFS(BD!$S$3:$S$5001,BD!$A$3:$A$5001,P$3,BD!$B$3:$B$5001,$A$45)))</f>
        <v/>
      </c>
      <c r="Q49" s="247" t="str">
        <f>IF(Q$3="","",IF(COUNTIFS(BD!$A$3:$A$5001,Q$3,BD!$B$3:$B$5001,$A$45,BD!$S$3:$S$5001,"&lt;&gt;")=0,"",SUMIFS(BD!$S$3:$S$5001,BD!$A$3:$A$5001,Q$3,BD!$B$3:$B$5001,$A$45)))</f>
        <v/>
      </c>
      <c r="R49" s="247" t="str">
        <f>IF(R$3="","",IF(COUNTIFS(BD!$A$3:$A$5001,R$3,BD!$B$3:$B$5001,$A$45,BD!$S$3:$S$5001,"&lt;&gt;")=0,"",SUMIFS(BD!$S$3:$S$5001,BD!$A$3:$A$5001,R$3,BD!$B$3:$B$5001,$A$45)))</f>
        <v/>
      </c>
      <c r="S49" s="247" t="str">
        <f>IF(S$3="","",IF(COUNTIFS(BD!$A$3:$A$5001,S$3,BD!$B$3:$B$5001,$A$45,BD!$S$3:$S$5001,"&lt;&gt;")=0,"",SUMIFS(BD!$S$3:$S$5001,BD!$A$3:$A$5001,S$3,BD!$B$3:$B$5001,$A$45)))</f>
        <v/>
      </c>
      <c r="T49" s="247" t="str">
        <f>IF(T$3="","",IF(COUNTIFS(BD!$A$3:$A$5001,T$3,BD!$B$3:$B$5001,$A$45,BD!$S$3:$S$5001,"&lt;&gt;")=0,"",SUMIFS(BD!$S$3:$S$5001,BD!$A$3:$A$5001,T$3,BD!$B$3:$B$5001,$A$45)))</f>
        <v/>
      </c>
      <c r="U49" s="247" t="str">
        <f>IF(U$3="","",IF(COUNTIFS(BD!$A$3:$A$5001,U$3,BD!$B$3:$B$5001,$A$45,BD!$S$3:$S$5001,"&lt;&gt;")=0,"",SUMIFS(BD!$S$3:$S$5001,BD!$A$3:$A$5001,U$3,BD!$B$3:$B$5001,$A$45)))</f>
        <v/>
      </c>
      <c r="V49" s="247" t="str">
        <f>IF(V$3="","",IF(COUNTIFS(BD!$A$3:$A$5001,V$3,BD!$B$3:$B$5001,$A$45,BD!$S$3:$S$5001,"&lt;&gt;")=0,"",SUMIFS(BD!$S$3:$S$5001,BD!$A$3:$A$5001,V$3,BD!$B$3:$B$5001,$A$45)))</f>
        <v/>
      </c>
      <c r="W49" s="247" t="str">
        <f>IF(W$3="","",IF(COUNTIFS(BD!$A$3:$A$5001,W$3,BD!$B$3:$B$5001,$A$45,BD!$S$3:$S$5001,"&lt;&gt;")=0,"",SUMIFS(BD!$S$3:$S$5001,BD!$A$3:$A$5001,W$3,BD!$B$3:$B$5001,$A$45)))</f>
        <v/>
      </c>
      <c r="X49" s="247" t="str">
        <f>IF(X$3="","",IF(COUNTIFS(BD!$A$3:$A$5001,X$3,BD!$B$3:$B$5001,$A$45,BD!$S$3:$S$5001,"&lt;&gt;")=0,"",SUMIFS(BD!$S$3:$S$5001,BD!$A$3:$A$5001,X$3,BD!$B$3:$B$5001,$A$45)))</f>
        <v/>
      </c>
      <c r="Y49" s="247" t="str">
        <f>IF(Y$3="","",IF(COUNTIFS(BD!$A$3:$A$5001,Y$3,BD!$B$3:$B$5001,$A$45,BD!$S$3:$S$5001,"&lt;&gt;")=0,"",SUMIFS(BD!$S$3:$S$5001,BD!$A$3:$A$5001,Y$3,BD!$B$3:$B$5001,$A$45)))</f>
        <v/>
      </c>
      <c r="Z49" s="247" t="str">
        <f>IF(Z$3="","",IF(COUNTIFS(BD!$A$3:$A$5001,Z$3,BD!$B$3:$B$5001,$A$45,BD!$S$3:$S$5001,"&lt;&gt;")=0,"",SUMIFS(BD!$S$3:$S$5001,BD!$A$3:$A$5001,Z$3,BD!$B$3:$B$5001,$A$45)))</f>
        <v/>
      </c>
      <c r="AA49" s="247" t="str">
        <f>IF(AA$3="","",IF(COUNTIFS(BD!$A$3:$A$5001,AA$3,BD!$B$3:$B$5001,$A$45,BD!$S$3:$S$5001,"&lt;&gt;")=0,"",SUMIFS(BD!$S$3:$S$5001,BD!$A$3:$A$5001,AA$3,BD!$B$3:$B$5001,$A$45)))</f>
        <v/>
      </c>
      <c r="AB49" s="247" t="str">
        <f>IF(AB$3="","",IF(COUNTIFS(BD!$A$3:$A$5001,AB$3,BD!$B$3:$B$5001,$A$45,BD!$S$3:$S$5001,"&lt;&gt;")=0,"",SUMIFS(BD!$S$3:$S$5001,BD!$A$3:$A$5001,AB$3,BD!$B$3:$B$5001,$A$45)))</f>
        <v/>
      </c>
      <c r="AC49" s="247" t="str">
        <f>IF(AC$3="","",IF(COUNTIFS(BD!$A$3:$A$5001,AC$3,BD!$B$3:$B$5001,$A$45,BD!$S$3:$S$5001,"&lt;&gt;")=0,"",SUMIFS(BD!$S$3:$S$5001,BD!$A$3:$A$5001,AC$3,BD!$B$3:$B$5001,$A$45)))</f>
        <v/>
      </c>
      <c r="AD49" s="247" t="str">
        <f>IF(AD$3="","",IF(COUNTIFS(BD!$A$3:$A$5001,AD$3,BD!$B$3:$B$5001,$A$45,BD!$S$3:$S$5001,"&lt;&gt;")=0,"",SUMIFS(BD!$S$3:$S$5001,BD!$A$3:$A$5001,AD$3,BD!$B$3:$B$5001,$A$45)))</f>
        <v/>
      </c>
      <c r="AE49" s="247" t="str">
        <f>IF(AE$3="","",IF(COUNTIFS(BD!$A$3:$A$5001,AE$3,BD!$B$3:$B$5001,$A$45,BD!$S$3:$S$5001,"&lt;&gt;")=0,"",SUMIFS(BD!$S$3:$S$5001,BD!$A$3:$A$5001,AE$3,BD!$B$3:$B$5001,$A$45)))</f>
        <v/>
      </c>
      <c r="AF49" s="247" t="str">
        <f>IF(AF$3="","",IF(COUNTIFS(BD!$A$3:$A$5001,AF$3,BD!$B$3:$B$5001,$A$45,BD!$S$3:$S$5001,"&lt;&gt;")=0,"",SUMIFS(BD!$S$3:$S$5001,BD!$A$3:$A$5001,AF$3,BD!$B$3:$B$5001,$A$45)))</f>
        <v/>
      </c>
      <c r="AG49" s="247" t="str">
        <f>IF(AG$3="","",IF(COUNTIFS(BD!$A$3:$A$5001,AG$3,BD!$B$3:$B$5001,$A$45,BD!$S$3:$S$5001,"&lt;&gt;")=0,"",SUMIFS(BD!$S$3:$S$5001,BD!$A$3:$A$5001,AG$3,BD!$B$3:$B$5001,$A$45)))</f>
        <v/>
      </c>
      <c r="AH49" s="247" t="str">
        <f>IF(AH$3="","",IF(COUNTIFS(BD!$A$3:$A$5001,AH$3,BD!$B$3:$B$5001,$A$45,BD!$S$3:$S$5001,"&lt;&gt;")=0,"",SUMIFS(BD!$S$3:$S$5001,BD!$A$3:$A$5001,AH$3,BD!$B$3:$B$5001,$A$45)))</f>
        <v/>
      </c>
      <c r="AI49" s="247" t="str">
        <f>IF(AI$3="","",IF(COUNTIFS(BD!$A$3:$A$5001,AI$3,BD!$B$3:$B$5001,$A$45,BD!$S$3:$S$5001,"&lt;&gt;")=0,"",SUMIFS(BD!$S$3:$S$5001,BD!$A$3:$A$5001,AI$3,BD!$B$3:$B$5001,$A$45)))</f>
        <v/>
      </c>
      <c r="AJ49" s="248" t="str">
        <f>IF(AJ$3="","",IF(COUNTIFS(BD!$A$3:$A$5001,AJ$3,BD!$B$3:$B$5001,$A$45,BD!$S$3:$S$5001,"&lt;&gt;")=0,"",SUMIFS(BD!$S$3:$S$5001,BD!$A$3:$A$5001,AJ$3,BD!$B$3:$B$5001,$A$45)))</f>
        <v/>
      </c>
      <c r="AK49" s="249" t="str">
        <f>IF(COUNT(F49:AJ49)=0,"",SUM(F49:AJ49))</f>
        <v/>
      </c>
    </row>
    <row r="50" ht="15.75" customHeight="1">
      <c r="A50" s="237"/>
      <c r="B50" s="228"/>
      <c r="C50" s="168" t="inlineStr">
        <is>
          <t xml:space="preserve">Pedidos Expedidos</t>
        </is>
      </c>
      <c r="D50" s="169" t="str">
        <f>IFERROR(1/(1/INDEX(BD!$AK$33:$AU$33,MATCH($A$45,BD!$AK$22:$AU$22,0))),"")</f>
        <v/>
      </c>
      <c r="E50" s="170"/>
      <c r="F50" s="171" t="str">
        <f>IF(F$3="","",IF(COUNTIFS(BD!$A$3:$A$5001,F$3,BD!$B$3:$B$5001,$A$45,BD!$M$3:$M$5001,"&lt;&gt;")=0,"",SUMIFS(BD!$M$3:$M$5001,BD!$A$3:$A$5001,F$3,BD!$B$3:$B$5001,$A$45)))</f>
        <v/>
      </c>
      <c r="G50" s="172" t="str">
        <f>IF(G$3="","",IF(COUNTIFS(BD!$A$3:$A$5001,G$3,BD!$B$3:$B$5001,$A$45,BD!$M$3:$M$5001,"&lt;&gt;")=0,"",SUMIFS(BD!$M$3:$M$5001,BD!$A$3:$A$5001,G$3,BD!$B$3:$B$5001,$A$45)))</f>
        <v/>
      </c>
      <c r="H50" s="172" t="str">
        <f>IF(H$3="","",IF(COUNTIFS(BD!$A$3:$A$5001,H$3,BD!$B$3:$B$5001,$A$45,BD!$M$3:$M$5001,"&lt;&gt;")=0,"",SUMIFS(BD!$M$3:$M$5001,BD!$A$3:$A$5001,H$3,BD!$B$3:$B$5001,$A$45)))</f>
        <v/>
      </c>
      <c r="I50" s="172" t="str">
        <f>IF(I$3="","",IF(COUNTIFS(BD!$A$3:$A$5001,I$3,BD!$B$3:$B$5001,$A$45,BD!$M$3:$M$5001,"&lt;&gt;")=0,"",SUMIFS(BD!$M$3:$M$5001,BD!$A$3:$A$5001,I$3,BD!$B$3:$B$5001,$A$45)))</f>
        <v/>
      </c>
      <c r="J50" s="172" t="str">
        <f>IF(J$3="","",IF(COUNTIFS(BD!$A$3:$A$5001,J$3,BD!$B$3:$B$5001,$A$45,BD!$M$3:$M$5001,"&lt;&gt;")=0,"",SUMIFS(BD!$M$3:$M$5001,BD!$A$3:$A$5001,J$3,BD!$B$3:$B$5001,$A$45)))</f>
        <v/>
      </c>
      <c r="K50" s="172" t="str">
        <f>IF(K$3="","",IF(COUNTIFS(BD!$A$3:$A$5001,K$3,BD!$B$3:$B$5001,$A$45,BD!$M$3:$M$5001,"&lt;&gt;")=0,"",SUMIFS(BD!$M$3:$M$5001,BD!$A$3:$A$5001,K$3,BD!$B$3:$B$5001,$A$45)))</f>
        <v/>
      </c>
      <c r="L50" s="172" t="str">
        <f>IF(L$3="","",IF(COUNTIFS(BD!$A$3:$A$5001,L$3,BD!$B$3:$B$5001,$A$45,BD!$M$3:$M$5001,"&lt;&gt;")=0,"",SUMIFS(BD!$M$3:$M$5001,BD!$A$3:$A$5001,L$3,BD!$B$3:$B$5001,$A$45)))</f>
        <v/>
      </c>
      <c r="M50" s="172" t="str">
        <f>IF(M$3="","",IF(COUNTIFS(BD!$A$3:$A$5001,M$3,BD!$B$3:$B$5001,$A$45,BD!$M$3:$M$5001,"&lt;&gt;")=0,"",SUMIFS(BD!$M$3:$M$5001,BD!$A$3:$A$5001,M$3,BD!$B$3:$B$5001,$A$45)))</f>
        <v/>
      </c>
      <c r="N50" s="172" t="str">
        <f>IF(N$3="","",IF(COUNTIFS(BD!$A$3:$A$5001,N$3,BD!$B$3:$B$5001,$A$45,BD!$M$3:$M$5001,"&lt;&gt;")=0,"",SUMIFS(BD!$M$3:$M$5001,BD!$A$3:$A$5001,N$3,BD!$B$3:$B$5001,$A$45)))</f>
        <v/>
      </c>
      <c r="O50" s="172" t="str">
        <f>IF(O$3="","",IF(COUNTIFS(BD!$A$3:$A$5001,O$3,BD!$B$3:$B$5001,$A$45,BD!$M$3:$M$5001,"&lt;&gt;")=0,"",SUMIFS(BD!$M$3:$M$5001,BD!$A$3:$A$5001,O$3,BD!$B$3:$B$5001,$A$45)))</f>
        <v/>
      </c>
      <c r="P50" s="172" t="str">
        <f>IF(P$3="","",IF(COUNTIFS(BD!$A$3:$A$5001,P$3,BD!$B$3:$B$5001,$A$45,BD!$M$3:$M$5001,"&lt;&gt;")=0,"",SUMIFS(BD!$M$3:$M$5001,BD!$A$3:$A$5001,P$3,BD!$B$3:$B$5001,$A$45)))</f>
        <v/>
      </c>
      <c r="Q50" s="172" t="str">
        <f>IF(Q$3="","",IF(COUNTIFS(BD!$A$3:$A$5001,Q$3,BD!$B$3:$B$5001,$A$45,BD!$M$3:$M$5001,"&lt;&gt;")=0,"",SUMIFS(BD!$M$3:$M$5001,BD!$A$3:$A$5001,Q$3,BD!$B$3:$B$5001,$A$45)))</f>
        <v/>
      </c>
      <c r="R50" s="172" t="str">
        <f>IF(R$3="","",IF(COUNTIFS(BD!$A$3:$A$5001,R$3,BD!$B$3:$B$5001,$A$45,BD!$M$3:$M$5001,"&lt;&gt;")=0,"",SUMIFS(BD!$M$3:$M$5001,BD!$A$3:$A$5001,R$3,BD!$B$3:$B$5001,$A$45)))</f>
        <v/>
      </c>
      <c r="S50" s="172" t="str">
        <f>IF(S$3="","",IF(COUNTIFS(BD!$A$3:$A$5001,S$3,BD!$B$3:$B$5001,$A$45,BD!$M$3:$M$5001,"&lt;&gt;")=0,"",SUMIFS(BD!$M$3:$M$5001,BD!$A$3:$A$5001,S$3,BD!$B$3:$B$5001,$A$45)))</f>
        <v/>
      </c>
      <c r="T50" s="172" t="str">
        <f>IF(T$3="","",IF(COUNTIFS(BD!$A$3:$A$5001,T$3,BD!$B$3:$B$5001,$A$45,BD!$M$3:$M$5001,"&lt;&gt;")=0,"",SUMIFS(BD!$M$3:$M$5001,BD!$A$3:$A$5001,T$3,BD!$B$3:$B$5001,$A$45)))</f>
        <v/>
      </c>
      <c r="U50" s="172" t="str">
        <f>IF(U$3="","",IF(COUNTIFS(BD!$A$3:$A$5001,U$3,BD!$B$3:$B$5001,$A$45,BD!$M$3:$M$5001,"&lt;&gt;")=0,"",SUMIFS(BD!$M$3:$M$5001,BD!$A$3:$A$5001,U$3,BD!$B$3:$B$5001,$A$45)))</f>
        <v/>
      </c>
      <c r="V50" s="172" t="str">
        <f>IF(V$3="","",IF(COUNTIFS(BD!$A$3:$A$5001,V$3,BD!$B$3:$B$5001,$A$45,BD!$M$3:$M$5001,"&lt;&gt;")=0,"",SUMIFS(BD!$M$3:$M$5001,BD!$A$3:$A$5001,V$3,BD!$B$3:$B$5001,$A$45)))</f>
        <v/>
      </c>
      <c r="W50" s="172" t="str">
        <f>IF(W$3="","",IF(COUNTIFS(BD!$A$3:$A$5001,W$3,BD!$B$3:$B$5001,$A$45,BD!$M$3:$M$5001,"&lt;&gt;")=0,"",SUMIFS(BD!$M$3:$M$5001,BD!$A$3:$A$5001,W$3,BD!$B$3:$B$5001,$A$45)))</f>
        <v/>
      </c>
      <c r="X50" s="172" t="str">
        <f>IF(X$3="","",IF(COUNTIFS(BD!$A$3:$A$5001,X$3,BD!$B$3:$B$5001,$A$45,BD!$M$3:$M$5001,"&lt;&gt;")=0,"",SUMIFS(BD!$M$3:$M$5001,BD!$A$3:$A$5001,X$3,BD!$B$3:$B$5001,$A$45)))</f>
        <v/>
      </c>
      <c r="Y50" s="172" t="str">
        <f>IF(Y$3="","",IF(COUNTIFS(BD!$A$3:$A$5001,Y$3,BD!$B$3:$B$5001,$A$45,BD!$M$3:$M$5001,"&lt;&gt;")=0,"",SUMIFS(BD!$M$3:$M$5001,BD!$A$3:$A$5001,Y$3,BD!$B$3:$B$5001,$A$45)))</f>
        <v/>
      </c>
      <c r="Z50" s="172" t="str">
        <f>IF(Z$3="","",IF(COUNTIFS(BD!$A$3:$A$5001,Z$3,BD!$B$3:$B$5001,$A$45,BD!$M$3:$M$5001,"&lt;&gt;")=0,"",SUMIFS(BD!$M$3:$M$5001,BD!$A$3:$A$5001,Z$3,BD!$B$3:$B$5001,$A$45)))</f>
        <v/>
      </c>
      <c r="AA50" s="172" t="str">
        <f>IF(AA$3="","",IF(COUNTIFS(BD!$A$3:$A$5001,AA$3,BD!$B$3:$B$5001,$A$45,BD!$M$3:$M$5001,"&lt;&gt;")=0,"",SUMIFS(BD!$M$3:$M$5001,BD!$A$3:$A$5001,AA$3,BD!$B$3:$B$5001,$A$45)))</f>
        <v/>
      </c>
      <c r="AB50" s="172" t="str">
        <f>IF(AB$3="","",IF(COUNTIFS(BD!$A$3:$A$5001,AB$3,BD!$B$3:$B$5001,$A$45,BD!$M$3:$M$5001,"&lt;&gt;")=0,"",SUMIFS(BD!$M$3:$M$5001,BD!$A$3:$A$5001,AB$3,BD!$B$3:$B$5001,$A$45)))</f>
        <v/>
      </c>
      <c r="AC50" s="172" t="str">
        <f>IF(AC$3="","",IF(COUNTIFS(BD!$A$3:$A$5001,AC$3,BD!$B$3:$B$5001,$A$45,BD!$M$3:$M$5001,"&lt;&gt;")=0,"",SUMIFS(BD!$M$3:$M$5001,BD!$A$3:$A$5001,AC$3,BD!$B$3:$B$5001,$A$45)))</f>
        <v/>
      </c>
      <c r="AD50" s="172" t="str">
        <f>IF(AD$3="","",IF(COUNTIFS(BD!$A$3:$A$5001,AD$3,BD!$B$3:$B$5001,$A$45,BD!$M$3:$M$5001,"&lt;&gt;")=0,"",SUMIFS(BD!$M$3:$M$5001,BD!$A$3:$A$5001,AD$3,BD!$B$3:$B$5001,$A$45)))</f>
        <v/>
      </c>
      <c r="AE50" s="172" t="str">
        <f>IF(AE$3="","",IF(COUNTIFS(BD!$A$3:$A$5001,AE$3,BD!$B$3:$B$5001,$A$45,BD!$M$3:$M$5001,"&lt;&gt;")=0,"",SUMIFS(BD!$M$3:$M$5001,BD!$A$3:$A$5001,AE$3,BD!$B$3:$B$5001,$A$45)))</f>
        <v/>
      </c>
      <c r="AF50" s="172" t="str">
        <f>IF(AF$3="","",IF(COUNTIFS(BD!$A$3:$A$5001,AF$3,BD!$B$3:$B$5001,$A$45,BD!$M$3:$M$5001,"&lt;&gt;")=0,"",SUMIFS(BD!$M$3:$M$5001,BD!$A$3:$A$5001,AF$3,BD!$B$3:$B$5001,$A$45)))</f>
        <v/>
      </c>
      <c r="AG50" s="172" t="str">
        <f>IF(AG$3="","",IF(COUNTIFS(BD!$A$3:$A$5001,AG$3,BD!$B$3:$B$5001,$A$45,BD!$M$3:$M$5001,"&lt;&gt;")=0,"",SUMIFS(BD!$M$3:$M$5001,BD!$A$3:$A$5001,AG$3,BD!$B$3:$B$5001,$A$45)))</f>
        <v/>
      </c>
      <c r="AH50" s="172" t="str">
        <f>IF(AH$3="","",IF(COUNTIFS(BD!$A$3:$A$5001,AH$3,BD!$B$3:$B$5001,$A$45,BD!$M$3:$M$5001,"&lt;&gt;")=0,"",SUMIFS(BD!$M$3:$M$5001,BD!$A$3:$A$5001,AH$3,BD!$B$3:$B$5001,$A$45)))</f>
        <v/>
      </c>
      <c r="AI50" s="172" t="str">
        <f>IF(AI$3="","",IF(COUNTIFS(BD!$A$3:$A$5001,AI$3,BD!$B$3:$B$5001,$A$45,BD!$M$3:$M$5001,"&lt;&gt;")=0,"",SUMIFS(BD!$M$3:$M$5001,BD!$A$3:$A$5001,AI$3,BD!$B$3:$B$5001,$A$45)))</f>
        <v/>
      </c>
      <c r="AJ50" s="173" t="str">
        <f>IF(AJ$3="","",IF(COUNTIFS(BD!$A$3:$A$5001,AJ$3,BD!$B$3:$B$5001,$A$45,BD!$M$3:$M$5001,"&lt;&gt;")=0,"",SUMIFS(BD!$M$3:$M$5001,BD!$A$3:$A$5001,AJ$3,BD!$B$3:$B$5001,$A$45)))</f>
        <v/>
      </c>
      <c r="AK50" s="169" t="str">
        <f>IF(COUNT(F50:AJ50)=0,"",SUM(F50:AJ50))</f>
        <v/>
      </c>
    </row>
    <row r="51" ht="15.75" customHeight="1">
      <c r="A51" s="237"/>
      <c r="B51" s="229" t="inlineStr">
        <is>
          <t xml:space="preserve">NC</t>
        </is>
      </c>
      <c r="C51" s="174" t="inlineStr">
        <is>
          <t xml:space="preserve">Incidentes</t>
        </is>
      </c>
      <c r="D51" s="175" t="str">
        <f>IFERROR(1/(1/INDEX(BD!$AK$41:$AU$41,MATCH($A$45,BD!$AK$22:$AU$22,0))),"")</f>
        <v/>
      </c>
      <c r="E51" s="176"/>
      <c r="F51" s="177" t="str">
        <f>IF(F$3="","",IF(COUNTIFS(BD!$A$3:$A$5001,F$3,BD!$B$3:$B$5001,$A$45,BD!$U$3:$U$5001,"&lt;&gt;")=0,"",SUMIFS(BD!$U$3:$U$5001,BD!$A$3:$A$5001,F$3,BD!$B$3:$B$5001,$A$45)))</f>
        <v/>
      </c>
      <c r="G51" s="178" t="str">
        <f>IF(G$3="","",IF(COUNTIFS(BD!$A$3:$A$5001,G$3,BD!$B$3:$B$5001,$A$45,BD!$U$3:$U$5001,"&lt;&gt;")=0,"",SUMIFS(BD!$U$3:$U$5001,BD!$A$3:$A$5001,G$3,BD!$B$3:$B$5001,$A$45)))</f>
        <v/>
      </c>
      <c r="H51" s="178" t="str">
        <f>IF(H$3="","",IF(COUNTIFS(BD!$A$3:$A$5001,H$3,BD!$B$3:$B$5001,$A$45,BD!$U$3:$U$5001,"&lt;&gt;")=0,"",SUMIFS(BD!$U$3:$U$5001,BD!$A$3:$A$5001,H$3,BD!$B$3:$B$5001,$A$45)))</f>
        <v/>
      </c>
      <c r="I51" s="178" t="str">
        <f>IF(I$3="","",IF(COUNTIFS(BD!$A$3:$A$5001,I$3,BD!$B$3:$B$5001,$A$45,BD!$U$3:$U$5001,"&lt;&gt;")=0,"",SUMIFS(BD!$U$3:$U$5001,BD!$A$3:$A$5001,I$3,BD!$B$3:$B$5001,$A$45)))</f>
        <v/>
      </c>
      <c r="J51" s="178" t="str">
        <f>IF(J$3="","",IF(COUNTIFS(BD!$A$3:$A$5001,J$3,BD!$B$3:$B$5001,$A$45,BD!$U$3:$U$5001,"&lt;&gt;")=0,"",SUMIFS(BD!$U$3:$U$5001,BD!$A$3:$A$5001,J$3,BD!$B$3:$B$5001,$A$45)))</f>
        <v/>
      </c>
      <c r="K51" s="178" t="str">
        <f>IF(K$3="","",IF(COUNTIFS(BD!$A$3:$A$5001,K$3,BD!$B$3:$B$5001,$A$45,BD!$U$3:$U$5001,"&lt;&gt;")=0,"",SUMIFS(BD!$U$3:$U$5001,BD!$A$3:$A$5001,K$3,BD!$B$3:$B$5001,$A$45)))</f>
        <v/>
      </c>
      <c r="L51" s="178" t="str">
        <f>IF(L$3="","",IF(COUNTIFS(BD!$A$3:$A$5001,L$3,BD!$B$3:$B$5001,$A$45,BD!$U$3:$U$5001,"&lt;&gt;")=0,"",SUMIFS(BD!$U$3:$U$5001,BD!$A$3:$A$5001,L$3,BD!$B$3:$B$5001,$A$45)))</f>
        <v/>
      </c>
      <c r="M51" s="178" t="str">
        <f>IF(M$3="","",IF(COUNTIFS(BD!$A$3:$A$5001,M$3,BD!$B$3:$B$5001,$A$45,BD!$U$3:$U$5001,"&lt;&gt;")=0,"",SUMIFS(BD!$U$3:$U$5001,BD!$A$3:$A$5001,M$3,BD!$B$3:$B$5001,$A$45)))</f>
        <v/>
      </c>
      <c r="N51" s="178" t="str">
        <f>IF(N$3="","",IF(COUNTIFS(BD!$A$3:$A$5001,N$3,BD!$B$3:$B$5001,$A$45,BD!$U$3:$U$5001,"&lt;&gt;")=0,"",SUMIFS(BD!$U$3:$U$5001,BD!$A$3:$A$5001,N$3,BD!$B$3:$B$5001,$A$45)))</f>
        <v/>
      </c>
      <c r="O51" s="178" t="str">
        <f>IF(O$3="","",IF(COUNTIFS(BD!$A$3:$A$5001,O$3,BD!$B$3:$B$5001,$A$45,BD!$U$3:$U$5001,"&lt;&gt;")=0,"",SUMIFS(BD!$U$3:$U$5001,BD!$A$3:$A$5001,O$3,BD!$B$3:$B$5001,$A$45)))</f>
        <v/>
      </c>
      <c r="P51" s="178" t="str">
        <f>IF(P$3="","",IF(COUNTIFS(BD!$A$3:$A$5001,P$3,BD!$B$3:$B$5001,$A$45,BD!$U$3:$U$5001,"&lt;&gt;")=0,"",SUMIFS(BD!$U$3:$U$5001,BD!$A$3:$A$5001,P$3,BD!$B$3:$B$5001,$A$45)))</f>
        <v/>
      </c>
      <c r="Q51" s="178" t="str">
        <f>IF(Q$3="","",IF(COUNTIFS(BD!$A$3:$A$5001,Q$3,BD!$B$3:$B$5001,$A$45,BD!$U$3:$U$5001,"&lt;&gt;")=0,"",SUMIFS(BD!$U$3:$U$5001,BD!$A$3:$A$5001,Q$3,BD!$B$3:$B$5001,$A$45)))</f>
        <v/>
      </c>
      <c r="R51" s="178" t="str">
        <f>IF(R$3="","",IF(COUNTIFS(BD!$A$3:$A$5001,R$3,BD!$B$3:$B$5001,$A$45,BD!$U$3:$U$5001,"&lt;&gt;")=0,"",SUMIFS(BD!$U$3:$U$5001,BD!$A$3:$A$5001,R$3,BD!$B$3:$B$5001,$A$45)))</f>
        <v/>
      </c>
      <c r="S51" s="178" t="str">
        <f>IF(S$3="","",IF(COUNTIFS(BD!$A$3:$A$5001,S$3,BD!$B$3:$B$5001,$A$45,BD!$U$3:$U$5001,"&lt;&gt;")=0,"",SUMIFS(BD!$U$3:$U$5001,BD!$A$3:$A$5001,S$3,BD!$B$3:$B$5001,$A$45)))</f>
        <v/>
      </c>
      <c r="T51" s="178" t="str">
        <f>IF(T$3="","",IF(COUNTIFS(BD!$A$3:$A$5001,T$3,BD!$B$3:$B$5001,$A$45,BD!$U$3:$U$5001,"&lt;&gt;")=0,"",SUMIFS(BD!$U$3:$U$5001,BD!$A$3:$A$5001,T$3,BD!$B$3:$B$5001,$A$45)))</f>
        <v/>
      </c>
      <c r="U51" s="178" t="str">
        <f>IF(U$3="","",IF(COUNTIFS(BD!$A$3:$A$5001,U$3,BD!$B$3:$B$5001,$A$45,BD!$U$3:$U$5001,"&lt;&gt;")=0,"",SUMIFS(BD!$U$3:$U$5001,BD!$A$3:$A$5001,U$3,BD!$B$3:$B$5001,$A$45)))</f>
        <v/>
      </c>
      <c r="V51" s="178" t="str">
        <f>IF(V$3="","",IF(COUNTIFS(BD!$A$3:$A$5001,V$3,BD!$B$3:$B$5001,$A$45,BD!$U$3:$U$5001,"&lt;&gt;")=0,"",SUMIFS(BD!$U$3:$U$5001,BD!$A$3:$A$5001,V$3,BD!$B$3:$B$5001,$A$45)))</f>
        <v/>
      </c>
      <c r="W51" s="178" t="str">
        <f>IF(W$3="","",IF(COUNTIFS(BD!$A$3:$A$5001,W$3,BD!$B$3:$B$5001,$A$45,BD!$U$3:$U$5001,"&lt;&gt;")=0,"",SUMIFS(BD!$U$3:$U$5001,BD!$A$3:$A$5001,W$3,BD!$B$3:$B$5001,$A$45)))</f>
        <v/>
      </c>
      <c r="X51" s="178" t="str">
        <f>IF(X$3="","",IF(COUNTIFS(BD!$A$3:$A$5001,X$3,BD!$B$3:$B$5001,$A$45,BD!$U$3:$U$5001,"&lt;&gt;")=0,"",SUMIFS(BD!$U$3:$U$5001,BD!$A$3:$A$5001,X$3,BD!$B$3:$B$5001,$A$45)))</f>
        <v/>
      </c>
      <c r="Y51" s="178" t="str">
        <f>IF(Y$3="","",IF(COUNTIFS(BD!$A$3:$A$5001,Y$3,BD!$B$3:$B$5001,$A$45,BD!$U$3:$U$5001,"&lt;&gt;")=0,"",SUMIFS(BD!$U$3:$U$5001,BD!$A$3:$A$5001,Y$3,BD!$B$3:$B$5001,$A$45)))</f>
        <v/>
      </c>
      <c r="Z51" s="178" t="str">
        <f>IF(Z$3="","",IF(COUNTIFS(BD!$A$3:$A$5001,Z$3,BD!$B$3:$B$5001,$A$45,BD!$U$3:$U$5001,"&lt;&gt;")=0,"",SUMIFS(BD!$U$3:$U$5001,BD!$A$3:$A$5001,Z$3,BD!$B$3:$B$5001,$A$45)))</f>
        <v/>
      </c>
      <c r="AA51" s="178" t="str">
        <f>IF(AA$3="","",IF(COUNTIFS(BD!$A$3:$A$5001,AA$3,BD!$B$3:$B$5001,$A$45,BD!$U$3:$U$5001,"&lt;&gt;")=0,"",SUMIFS(BD!$U$3:$U$5001,BD!$A$3:$A$5001,AA$3,BD!$B$3:$B$5001,$A$45)))</f>
        <v/>
      </c>
      <c r="AB51" s="178" t="str">
        <f>IF(AB$3="","",IF(COUNTIFS(BD!$A$3:$A$5001,AB$3,BD!$B$3:$B$5001,$A$45,BD!$U$3:$U$5001,"&lt;&gt;")=0,"",SUMIFS(BD!$U$3:$U$5001,BD!$A$3:$A$5001,AB$3,BD!$B$3:$B$5001,$A$45)))</f>
        <v/>
      </c>
      <c r="AC51" s="178" t="str">
        <f>IF(AC$3="","",IF(COUNTIFS(BD!$A$3:$A$5001,AC$3,BD!$B$3:$B$5001,$A$45,BD!$U$3:$U$5001,"&lt;&gt;")=0,"",SUMIFS(BD!$U$3:$U$5001,BD!$A$3:$A$5001,AC$3,BD!$B$3:$B$5001,$A$45)))</f>
        <v/>
      </c>
      <c r="AD51" s="178" t="str">
        <f>IF(AD$3="","",IF(COUNTIFS(BD!$A$3:$A$5001,AD$3,BD!$B$3:$B$5001,$A$45,BD!$U$3:$U$5001,"&lt;&gt;")=0,"",SUMIFS(BD!$U$3:$U$5001,BD!$A$3:$A$5001,AD$3,BD!$B$3:$B$5001,$A$45)))</f>
        <v/>
      </c>
      <c r="AE51" s="178" t="str">
        <f>IF(AE$3="","",IF(COUNTIFS(BD!$A$3:$A$5001,AE$3,BD!$B$3:$B$5001,$A$45,BD!$U$3:$U$5001,"&lt;&gt;")=0,"",SUMIFS(BD!$U$3:$U$5001,BD!$A$3:$A$5001,AE$3,BD!$B$3:$B$5001,$A$45)))</f>
        <v/>
      </c>
      <c r="AF51" s="178" t="str">
        <f>IF(AF$3="","",IF(COUNTIFS(BD!$A$3:$A$5001,AF$3,BD!$B$3:$B$5001,$A$45,BD!$U$3:$U$5001,"&lt;&gt;")=0,"",SUMIFS(BD!$U$3:$U$5001,BD!$A$3:$A$5001,AF$3,BD!$B$3:$B$5001,$A$45)))</f>
        <v/>
      </c>
      <c r="AG51" s="178" t="str">
        <f>IF(AG$3="","",IF(COUNTIFS(BD!$A$3:$A$5001,AG$3,BD!$B$3:$B$5001,$A$45,BD!$U$3:$U$5001,"&lt;&gt;")=0,"",SUMIFS(BD!$U$3:$U$5001,BD!$A$3:$A$5001,AG$3,BD!$B$3:$B$5001,$A$45)))</f>
        <v/>
      </c>
      <c r="AH51" s="178" t="str">
        <f>IF(AH$3="","",IF(COUNTIFS(BD!$A$3:$A$5001,AH$3,BD!$B$3:$B$5001,$A$45,BD!$U$3:$U$5001,"&lt;&gt;")=0,"",SUMIFS(BD!$U$3:$U$5001,BD!$A$3:$A$5001,AH$3,BD!$B$3:$B$5001,$A$45)))</f>
        <v/>
      </c>
      <c r="AI51" s="178" t="str">
        <f>IF(AI$3="","",IF(COUNTIFS(BD!$A$3:$A$5001,AI$3,BD!$B$3:$B$5001,$A$45,BD!$U$3:$U$5001,"&lt;&gt;")=0,"",SUMIFS(BD!$U$3:$U$5001,BD!$A$3:$A$5001,AI$3,BD!$B$3:$B$5001,$A$45)))</f>
        <v/>
      </c>
      <c r="AJ51" s="179" t="str">
        <f>IF(AJ$3="","",IF(COUNTIFS(BD!$A$3:$A$5001,AJ$3,BD!$B$3:$B$5001,$A$45,BD!$U$3:$U$5001,"&lt;&gt;")=0,"",SUMIFS(BD!$U$3:$U$5001,BD!$A$3:$A$5001,AJ$3,BD!$B$3:$B$5001,$A$45)))</f>
        <v/>
      </c>
      <c r="AK51" s="180" t="str">
        <f>IF(COUNT(F51:AJ51)=0,"",SUM(F51:AJ51))</f>
        <v/>
      </c>
    </row>
    <row r="52" ht="15.75" customHeight="1">
      <c r="A52" s="237"/>
      <c r="B52" s="230"/>
      <c r="C52" s="181" t="inlineStr">
        <is>
          <t xml:space="preserve">No show</t>
        </is>
      </c>
      <c r="D52" s="182" t="str">
        <f>IFERROR(1/(1/INDEX(BD!$AK$42:$AU$42,MATCH($A$45,BD!$AK$22:$AU$22,0))),"")</f>
        <v/>
      </c>
      <c r="E52" s="183"/>
      <c r="F52" s="184" t="str">
        <f>IF(F$3="","",IF(COUNTIFS(BD!$A$3:$A$5001,F$3,BD!$B$3:$B$5001,$A$45,BD!$V$3:$V$5001,"&lt;&gt;")=0,"",SUMIFS(BD!$V$3:$V$5001,BD!$A$3:$A$5001,F$3,BD!$B$3:$B$5001,$A$45)))</f>
        <v/>
      </c>
      <c r="G52" s="185" t="str">
        <f>IF(G$3="","",IF(COUNTIFS(BD!$A$3:$A$5001,G$3,BD!$B$3:$B$5001,$A$45,BD!$V$3:$V$5001,"&lt;&gt;")=0,"",SUMIFS(BD!$V$3:$V$5001,BD!$A$3:$A$5001,G$3,BD!$B$3:$B$5001,$A$45)))</f>
        <v/>
      </c>
      <c r="H52" s="185" t="str">
        <f>IF(H$3="","",IF(COUNTIFS(BD!$A$3:$A$5001,H$3,BD!$B$3:$B$5001,$A$45,BD!$V$3:$V$5001,"&lt;&gt;")=0,"",SUMIFS(BD!$V$3:$V$5001,BD!$A$3:$A$5001,H$3,BD!$B$3:$B$5001,$A$45)))</f>
        <v/>
      </c>
      <c r="I52" s="185" t="str">
        <f>IF(I$3="","",IF(COUNTIFS(BD!$A$3:$A$5001,I$3,BD!$B$3:$B$5001,$A$45,BD!$V$3:$V$5001,"&lt;&gt;")=0,"",SUMIFS(BD!$V$3:$V$5001,BD!$A$3:$A$5001,I$3,BD!$B$3:$B$5001,$A$45)))</f>
        <v/>
      </c>
      <c r="J52" s="185" t="str">
        <f>IF(J$3="","",IF(COUNTIFS(BD!$A$3:$A$5001,J$3,BD!$B$3:$B$5001,$A$45,BD!$V$3:$V$5001,"&lt;&gt;")=0,"",SUMIFS(BD!$V$3:$V$5001,BD!$A$3:$A$5001,J$3,BD!$B$3:$B$5001,$A$45)))</f>
        <v/>
      </c>
      <c r="K52" s="185" t="str">
        <f>IF(K$3="","",IF(COUNTIFS(BD!$A$3:$A$5001,K$3,BD!$B$3:$B$5001,$A$45,BD!$V$3:$V$5001,"&lt;&gt;")=0,"",SUMIFS(BD!$V$3:$V$5001,BD!$A$3:$A$5001,K$3,BD!$B$3:$B$5001,$A$45)))</f>
        <v/>
      </c>
      <c r="L52" s="185" t="str">
        <f>IF(L$3="","",IF(COUNTIFS(BD!$A$3:$A$5001,L$3,BD!$B$3:$B$5001,$A$45,BD!$V$3:$V$5001,"&lt;&gt;")=0,"",SUMIFS(BD!$V$3:$V$5001,BD!$A$3:$A$5001,L$3,BD!$B$3:$B$5001,$A$45)))</f>
        <v/>
      </c>
      <c r="M52" s="185" t="str">
        <f>IF(M$3="","",IF(COUNTIFS(BD!$A$3:$A$5001,M$3,BD!$B$3:$B$5001,$A$45,BD!$V$3:$V$5001,"&lt;&gt;")=0,"",SUMIFS(BD!$V$3:$V$5001,BD!$A$3:$A$5001,M$3,BD!$B$3:$B$5001,$A$45)))</f>
        <v/>
      </c>
      <c r="N52" s="185" t="str">
        <f>IF(N$3="","",IF(COUNTIFS(BD!$A$3:$A$5001,N$3,BD!$B$3:$B$5001,$A$45,BD!$V$3:$V$5001,"&lt;&gt;")=0,"",SUMIFS(BD!$V$3:$V$5001,BD!$A$3:$A$5001,N$3,BD!$B$3:$B$5001,$A$45)))</f>
        <v/>
      </c>
      <c r="O52" s="185" t="str">
        <f>IF(O$3="","",IF(COUNTIFS(BD!$A$3:$A$5001,O$3,BD!$B$3:$B$5001,$A$45,BD!$V$3:$V$5001,"&lt;&gt;")=0,"",SUMIFS(BD!$V$3:$V$5001,BD!$A$3:$A$5001,O$3,BD!$B$3:$B$5001,$A$45)))</f>
        <v/>
      </c>
      <c r="P52" s="185" t="str">
        <f>IF(P$3="","",IF(COUNTIFS(BD!$A$3:$A$5001,P$3,BD!$B$3:$B$5001,$A$45,BD!$V$3:$V$5001,"&lt;&gt;")=0,"",SUMIFS(BD!$V$3:$V$5001,BD!$A$3:$A$5001,P$3,BD!$B$3:$B$5001,$A$45)))</f>
        <v/>
      </c>
      <c r="Q52" s="185" t="str">
        <f>IF(Q$3="","",IF(COUNTIFS(BD!$A$3:$A$5001,Q$3,BD!$B$3:$B$5001,$A$45,BD!$V$3:$V$5001,"&lt;&gt;")=0,"",SUMIFS(BD!$V$3:$V$5001,BD!$A$3:$A$5001,Q$3,BD!$B$3:$B$5001,$A$45)))</f>
        <v/>
      </c>
      <c r="R52" s="185" t="str">
        <f>IF(R$3="","",IF(COUNTIFS(BD!$A$3:$A$5001,R$3,BD!$B$3:$B$5001,$A$45,BD!$V$3:$V$5001,"&lt;&gt;")=0,"",SUMIFS(BD!$V$3:$V$5001,BD!$A$3:$A$5001,R$3,BD!$B$3:$B$5001,$A$45)))</f>
        <v/>
      </c>
      <c r="S52" s="185" t="str">
        <f>IF(S$3="","",IF(COUNTIFS(BD!$A$3:$A$5001,S$3,BD!$B$3:$B$5001,$A$45,BD!$V$3:$V$5001,"&lt;&gt;")=0,"",SUMIFS(BD!$V$3:$V$5001,BD!$A$3:$A$5001,S$3,BD!$B$3:$B$5001,$A$45)))</f>
        <v/>
      </c>
      <c r="T52" s="185" t="str">
        <f>IF(T$3="","",IF(COUNTIFS(BD!$A$3:$A$5001,T$3,BD!$B$3:$B$5001,$A$45,BD!$V$3:$V$5001,"&lt;&gt;")=0,"",SUMIFS(BD!$V$3:$V$5001,BD!$A$3:$A$5001,T$3,BD!$B$3:$B$5001,$A$45)))</f>
        <v/>
      </c>
      <c r="U52" s="185" t="str">
        <f>IF(U$3="","",IF(COUNTIFS(BD!$A$3:$A$5001,U$3,BD!$B$3:$B$5001,$A$45,BD!$V$3:$V$5001,"&lt;&gt;")=0,"",SUMIFS(BD!$V$3:$V$5001,BD!$A$3:$A$5001,U$3,BD!$B$3:$B$5001,$A$45)))</f>
        <v/>
      </c>
      <c r="V52" s="185" t="str">
        <f>IF(V$3="","",IF(COUNTIFS(BD!$A$3:$A$5001,V$3,BD!$B$3:$B$5001,$A$45,BD!$V$3:$V$5001,"&lt;&gt;")=0,"",SUMIFS(BD!$V$3:$V$5001,BD!$A$3:$A$5001,V$3,BD!$B$3:$B$5001,$A$45)))</f>
        <v/>
      </c>
      <c r="W52" s="185" t="str">
        <f>IF(W$3="","",IF(COUNTIFS(BD!$A$3:$A$5001,W$3,BD!$B$3:$B$5001,$A$45,BD!$V$3:$V$5001,"&lt;&gt;")=0,"",SUMIFS(BD!$V$3:$V$5001,BD!$A$3:$A$5001,W$3,BD!$B$3:$B$5001,$A$45)))</f>
        <v/>
      </c>
      <c r="X52" s="185" t="str">
        <f>IF(X$3="","",IF(COUNTIFS(BD!$A$3:$A$5001,X$3,BD!$B$3:$B$5001,$A$45,BD!$V$3:$V$5001,"&lt;&gt;")=0,"",SUMIFS(BD!$V$3:$V$5001,BD!$A$3:$A$5001,X$3,BD!$B$3:$B$5001,$A$45)))</f>
        <v/>
      </c>
      <c r="Y52" s="185" t="str">
        <f>IF(Y$3="","",IF(COUNTIFS(BD!$A$3:$A$5001,Y$3,BD!$B$3:$B$5001,$A$45,BD!$V$3:$V$5001,"&lt;&gt;")=0,"",SUMIFS(BD!$V$3:$V$5001,BD!$A$3:$A$5001,Y$3,BD!$B$3:$B$5001,$A$45)))</f>
        <v/>
      </c>
      <c r="Z52" s="185" t="str">
        <f>IF(Z$3="","",IF(COUNTIFS(BD!$A$3:$A$5001,Z$3,BD!$B$3:$B$5001,$A$45,BD!$V$3:$V$5001,"&lt;&gt;")=0,"",SUMIFS(BD!$V$3:$V$5001,BD!$A$3:$A$5001,Z$3,BD!$B$3:$B$5001,$A$45)))</f>
        <v/>
      </c>
      <c r="AA52" s="185" t="str">
        <f>IF(AA$3="","",IF(COUNTIFS(BD!$A$3:$A$5001,AA$3,BD!$B$3:$B$5001,$A$45,BD!$V$3:$V$5001,"&lt;&gt;")=0,"",SUMIFS(BD!$V$3:$V$5001,BD!$A$3:$A$5001,AA$3,BD!$B$3:$B$5001,$A$45)))</f>
        <v/>
      </c>
      <c r="AB52" s="185" t="str">
        <f>IF(AB$3="","",IF(COUNTIFS(BD!$A$3:$A$5001,AB$3,BD!$B$3:$B$5001,$A$45,BD!$V$3:$V$5001,"&lt;&gt;")=0,"",SUMIFS(BD!$V$3:$V$5001,BD!$A$3:$A$5001,AB$3,BD!$B$3:$B$5001,$A$45)))</f>
        <v/>
      </c>
      <c r="AC52" s="185" t="str">
        <f>IF(AC$3="","",IF(COUNTIFS(BD!$A$3:$A$5001,AC$3,BD!$B$3:$B$5001,$A$45,BD!$V$3:$V$5001,"&lt;&gt;")=0,"",SUMIFS(BD!$V$3:$V$5001,BD!$A$3:$A$5001,AC$3,BD!$B$3:$B$5001,$A$45)))</f>
        <v/>
      </c>
      <c r="AD52" s="185" t="str">
        <f>IF(AD$3="","",IF(COUNTIFS(BD!$A$3:$A$5001,AD$3,BD!$B$3:$B$5001,$A$45,BD!$V$3:$V$5001,"&lt;&gt;")=0,"",SUMIFS(BD!$V$3:$V$5001,BD!$A$3:$A$5001,AD$3,BD!$B$3:$B$5001,$A$45)))</f>
        <v/>
      </c>
      <c r="AE52" s="185" t="str">
        <f>IF(AE$3="","",IF(COUNTIFS(BD!$A$3:$A$5001,AE$3,BD!$B$3:$B$5001,$A$45,BD!$V$3:$V$5001,"&lt;&gt;")=0,"",SUMIFS(BD!$V$3:$V$5001,BD!$A$3:$A$5001,AE$3,BD!$B$3:$B$5001,$A$45)))</f>
        <v/>
      </c>
      <c r="AF52" s="185" t="str">
        <f>IF(AF$3="","",IF(COUNTIFS(BD!$A$3:$A$5001,AF$3,BD!$B$3:$B$5001,$A$45,BD!$V$3:$V$5001,"&lt;&gt;")=0,"",SUMIFS(BD!$V$3:$V$5001,BD!$A$3:$A$5001,AF$3,BD!$B$3:$B$5001,$A$45)))</f>
        <v/>
      </c>
      <c r="AG52" s="185" t="str">
        <f>IF(AG$3="","",IF(COUNTIFS(BD!$A$3:$A$5001,AG$3,BD!$B$3:$B$5001,$A$45,BD!$V$3:$V$5001,"&lt;&gt;")=0,"",SUMIFS(BD!$V$3:$V$5001,BD!$A$3:$A$5001,AG$3,BD!$B$3:$B$5001,$A$45)))</f>
        <v/>
      </c>
      <c r="AH52" s="185" t="str">
        <f>IF(AH$3="","",IF(COUNTIFS(BD!$A$3:$A$5001,AH$3,BD!$B$3:$B$5001,$A$45,BD!$V$3:$V$5001,"&lt;&gt;")=0,"",SUMIFS(BD!$V$3:$V$5001,BD!$A$3:$A$5001,AH$3,BD!$B$3:$B$5001,$A$45)))</f>
        <v/>
      </c>
      <c r="AI52" s="185" t="str">
        <f>IF(AI$3="","",IF(COUNTIFS(BD!$A$3:$A$5001,AI$3,BD!$B$3:$B$5001,$A$45,BD!$V$3:$V$5001,"&lt;&gt;")=0,"",SUMIFS(BD!$V$3:$V$5001,BD!$A$3:$A$5001,AI$3,BD!$B$3:$B$5001,$A$45)))</f>
        <v/>
      </c>
      <c r="AJ52" s="186" t="str">
        <f>IF(AJ$3="","",IF(COUNTIFS(BD!$A$3:$A$5001,AJ$3,BD!$B$3:$B$5001,$A$45,BD!$V$3:$V$5001,"&lt;&gt;")=0,"",SUMIFS(BD!$V$3:$V$5001,BD!$A$3:$A$5001,AJ$3,BD!$B$3:$B$5001,$A$45)))</f>
        <v/>
      </c>
      <c r="AK52" s="187" t="str">
        <f>IF(COUNT(F52:AJ52)=0,"",SUM(F52:AJ52))</f>
        <v/>
      </c>
    </row>
    <row r="53" ht="15.75" customHeight="1">
      <c r="A53" s="237"/>
      <c r="B53" s="231"/>
      <c r="C53" s="188" t="inlineStr">
        <is>
          <t xml:space="preserve">Backlog</t>
        </is>
      </c>
      <c r="D53" s="189" t="str">
        <f>IFERROR(1/(1/INDEX(BD!$AK$43:$AU$43,MATCH($A$45,BD!$AK$22:$AU$22,0))),"")</f>
        <v/>
      </c>
      <c r="E53" s="190"/>
      <c r="F53" s="191" t="str">
        <f>IF(F$3="","",IF(COUNTIFS(BD!$A$3:$A$5001,F$3,BD!$B$3:$B$5001,$A$45,BD!$W$3:$W$5001,"&lt;&gt;")=0,"",SUMIFS(BD!$W$3:$W$5001,BD!$A$3:$A$5001,F$3,BD!$B$3:$B$5001,$A$45)))</f>
        <v/>
      </c>
      <c r="G53" s="192" t="str">
        <f>IF(G$3="","",IF(COUNTIFS(BD!$A$3:$A$5001,G$3,BD!$B$3:$B$5001,$A$45,BD!$W$3:$W$5001,"&lt;&gt;")=0,"",SUMIFS(BD!$W$3:$W$5001,BD!$A$3:$A$5001,G$3,BD!$B$3:$B$5001,$A$45)))</f>
        <v/>
      </c>
      <c r="H53" s="192" t="str">
        <f>IF(H$3="","",IF(COUNTIFS(BD!$A$3:$A$5001,H$3,BD!$B$3:$B$5001,$A$45,BD!$W$3:$W$5001,"&lt;&gt;")=0,"",SUMIFS(BD!$W$3:$W$5001,BD!$A$3:$A$5001,H$3,BD!$B$3:$B$5001,$A$45)))</f>
        <v/>
      </c>
      <c r="I53" s="192" t="str">
        <f>IF(I$3="","",IF(COUNTIFS(BD!$A$3:$A$5001,I$3,BD!$B$3:$B$5001,$A$45,BD!$W$3:$W$5001,"&lt;&gt;")=0,"",SUMIFS(BD!$W$3:$W$5001,BD!$A$3:$A$5001,I$3,BD!$B$3:$B$5001,$A$45)))</f>
        <v/>
      </c>
      <c r="J53" s="192" t="str">
        <f>IF(J$3="","",IF(COUNTIFS(BD!$A$3:$A$5001,J$3,BD!$B$3:$B$5001,$A$45,BD!$W$3:$W$5001,"&lt;&gt;")=0,"",SUMIFS(BD!$W$3:$W$5001,BD!$A$3:$A$5001,J$3,BD!$B$3:$B$5001,$A$45)))</f>
        <v/>
      </c>
      <c r="K53" s="192" t="str">
        <f>IF(K$3="","",IF(COUNTIFS(BD!$A$3:$A$5001,K$3,BD!$B$3:$B$5001,$A$45,BD!$W$3:$W$5001,"&lt;&gt;")=0,"",SUMIFS(BD!$W$3:$W$5001,BD!$A$3:$A$5001,K$3,BD!$B$3:$B$5001,$A$45)))</f>
        <v/>
      </c>
      <c r="L53" s="192" t="str">
        <f>IF(L$3="","",IF(COUNTIFS(BD!$A$3:$A$5001,L$3,BD!$B$3:$B$5001,$A$45,BD!$W$3:$W$5001,"&lt;&gt;")=0,"",SUMIFS(BD!$W$3:$W$5001,BD!$A$3:$A$5001,L$3,BD!$B$3:$B$5001,$A$45)))</f>
        <v/>
      </c>
      <c r="M53" s="192" t="str">
        <f>IF(M$3="","",IF(COUNTIFS(BD!$A$3:$A$5001,M$3,BD!$B$3:$B$5001,$A$45,BD!$W$3:$W$5001,"&lt;&gt;")=0,"",SUMIFS(BD!$W$3:$W$5001,BD!$A$3:$A$5001,M$3,BD!$B$3:$B$5001,$A$45)))</f>
        <v/>
      </c>
      <c r="N53" s="192" t="str">
        <f>IF(N$3="","",IF(COUNTIFS(BD!$A$3:$A$5001,N$3,BD!$B$3:$B$5001,$A$45,BD!$W$3:$W$5001,"&lt;&gt;")=0,"",SUMIFS(BD!$W$3:$W$5001,BD!$A$3:$A$5001,N$3,BD!$B$3:$B$5001,$A$45)))</f>
        <v/>
      </c>
      <c r="O53" s="192" t="str">
        <f>IF(O$3="","",IF(COUNTIFS(BD!$A$3:$A$5001,O$3,BD!$B$3:$B$5001,$A$45,BD!$W$3:$W$5001,"&lt;&gt;")=0,"",SUMIFS(BD!$W$3:$W$5001,BD!$A$3:$A$5001,O$3,BD!$B$3:$B$5001,$A$45)))</f>
        <v/>
      </c>
      <c r="P53" s="192" t="str">
        <f>IF(P$3="","",IF(COUNTIFS(BD!$A$3:$A$5001,P$3,BD!$B$3:$B$5001,$A$45,BD!$W$3:$W$5001,"&lt;&gt;")=0,"",SUMIFS(BD!$W$3:$W$5001,BD!$A$3:$A$5001,P$3,BD!$B$3:$B$5001,$A$45)))</f>
        <v/>
      </c>
      <c r="Q53" s="192" t="str">
        <f>IF(Q$3="","",IF(COUNTIFS(BD!$A$3:$A$5001,Q$3,BD!$B$3:$B$5001,$A$45,BD!$W$3:$W$5001,"&lt;&gt;")=0,"",SUMIFS(BD!$W$3:$W$5001,BD!$A$3:$A$5001,Q$3,BD!$B$3:$B$5001,$A$45)))</f>
        <v/>
      </c>
      <c r="R53" s="192" t="str">
        <f>IF(R$3="","",IF(COUNTIFS(BD!$A$3:$A$5001,R$3,BD!$B$3:$B$5001,$A$45,BD!$W$3:$W$5001,"&lt;&gt;")=0,"",SUMIFS(BD!$W$3:$W$5001,BD!$A$3:$A$5001,R$3,BD!$B$3:$B$5001,$A$45)))</f>
        <v/>
      </c>
      <c r="S53" s="192" t="str">
        <f>IF(S$3="","",IF(COUNTIFS(BD!$A$3:$A$5001,S$3,BD!$B$3:$B$5001,$A$45,BD!$W$3:$W$5001,"&lt;&gt;")=0,"",SUMIFS(BD!$W$3:$W$5001,BD!$A$3:$A$5001,S$3,BD!$B$3:$B$5001,$A$45)))</f>
        <v/>
      </c>
      <c r="T53" s="192" t="str">
        <f>IF(T$3="","",IF(COUNTIFS(BD!$A$3:$A$5001,T$3,BD!$B$3:$B$5001,$A$45,BD!$W$3:$W$5001,"&lt;&gt;")=0,"",SUMIFS(BD!$W$3:$W$5001,BD!$A$3:$A$5001,T$3,BD!$B$3:$B$5001,$A$45)))</f>
        <v/>
      </c>
      <c r="U53" s="192" t="str">
        <f>IF(U$3="","",IF(COUNTIFS(BD!$A$3:$A$5001,U$3,BD!$B$3:$B$5001,$A$45,BD!$W$3:$W$5001,"&lt;&gt;")=0,"",SUMIFS(BD!$W$3:$W$5001,BD!$A$3:$A$5001,U$3,BD!$B$3:$B$5001,$A$45)))</f>
        <v/>
      </c>
      <c r="V53" s="192" t="str">
        <f>IF(V$3="","",IF(COUNTIFS(BD!$A$3:$A$5001,V$3,BD!$B$3:$B$5001,$A$45,BD!$W$3:$W$5001,"&lt;&gt;")=0,"",SUMIFS(BD!$W$3:$W$5001,BD!$A$3:$A$5001,V$3,BD!$B$3:$B$5001,$A$45)))</f>
        <v/>
      </c>
      <c r="W53" s="192" t="str">
        <f>IF(W$3="","",IF(COUNTIFS(BD!$A$3:$A$5001,W$3,BD!$B$3:$B$5001,$A$45,BD!$W$3:$W$5001,"&lt;&gt;")=0,"",SUMIFS(BD!$W$3:$W$5001,BD!$A$3:$A$5001,W$3,BD!$B$3:$B$5001,$A$45)))</f>
        <v/>
      </c>
      <c r="X53" s="192" t="str">
        <f>IF(X$3="","",IF(COUNTIFS(BD!$A$3:$A$5001,X$3,BD!$B$3:$B$5001,$A$45,BD!$W$3:$W$5001,"&lt;&gt;")=0,"",SUMIFS(BD!$W$3:$W$5001,BD!$A$3:$A$5001,X$3,BD!$B$3:$B$5001,$A$45)))</f>
        <v/>
      </c>
      <c r="Y53" s="192" t="str">
        <f>IF(Y$3="","",IF(COUNTIFS(BD!$A$3:$A$5001,Y$3,BD!$B$3:$B$5001,$A$45,BD!$W$3:$W$5001,"&lt;&gt;")=0,"",SUMIFS(BD!$W$3:$W$5001,BD!$A$3:$A$5001,Y$3,BD!$B$3:$B$5001,$A$45)))</f>
        <v/>
      </c>
      <c r="Z53" s="192" t="str">
        <f>IF(Z$3="","",IF(COUNTIFS(BD!$A$3:$A$5001,Z$3,BD!$B$3:$B$5001,$A$45,BD!$W$3:$W$5001,"&lt;&gt;")=0,"",SUMIFS(BD!$W$3:$W$5001,BD!$A$3:$A$5001,Z$3,BD!$B$3:$B$5001,$A$45)))</f>
        <v/>
      </c>
      <c r="AA53" s="192" t="str">
        <f>IF(AA$3="","",IF(COUNTIFS(BD!$A$3:$A$5001,AA$3,BD!$B$3:$B$5001,$A$45,BD!$W$3:$W$5001,"&lt;&gt;")=0,"",SUMIFS(BD!$W$3:$W$5001,BD!$A$3:$A$5001,AA$3,BD!$B$3:$B$5001,$A$45)))</f>
        <v/>
      </c>
      <c r="AB53" s="192" t="str">
        <f>IF(AB$3="","",IF(COUNTIFS(BD!$A$3:$A$5001,AB$3,BD!$B$3:$B$5001,$A$45,BD!$W$3:$W$5001,"&lt;&gt;")=0,"",SUMIFS(BD!$W$3:$W$5001,BD!$A$3:$A$5001,AB$3,BD!$B$3:$B$5001,$A$45)))</f>
        <v/>
      </c>
      <c r="AC53" s="192" t="str">
        <f>IF(AC$3="","",IF(COUNTIFS(BD!$A$3:$A$5001,AC$3,BD!$B$3:$B$5001,$A$45,BD!$W$3:$W$5001,"&lt;&gt;")=0,"",SUMIFS(BD!$W$3:$W$5001,BD!$A$3:$A$5001,AC$3,BD!$B$3:$B$5001,$A$45)))</f>
        <v/>
      </c>
      <c r="AD53" s="192" t="str">
        <f>IF(AD$3="","",IF(COUNTIFS(BD!$A$3:$A$5001,AD$3,BD!$B$3:$B$5001,$A$45,BD!$W$3:$W$5001,"&lt;&gt;")=0,"",SUMIFS(BD!$W$3:$W$5001,BD!$A$3:$A$5001,AD$3,BD!$B$3:$B$5001,$A$45)))</f>
        <v/>
      </c>
      <c r="AE53" s="192" t="str">
        <f>IF(AE$3="","",IF(COUNTIFS(BD!$A$3:$A$5001,AE$3,BD!$B$3:$B$5001,$A$45,BD!$W$3:$W$5001,"&lt;&gt;")=0,"",SUMIFS(BD!$W$3:$W$5001,BD!$A$3:$A$5001,AE$3,BD!$B$3:$B$5001,$A$45)))</f>
        <v/>
      </c>
      <c r="AF53" s="192" t="str">
        <f>IF(AF$3="","",IF(COUNTIFS(BD!$A$3:$A$5001,AF$3,BD!$B$3:$B$5001,$A$45,BD!$W$3:$W$5001,"&lt;&gt;")=0,"",SUMIFS(BD!$W$3:$W$5001,BD!$A$3:$A$5001,AF$3,BD!$B$3:$B$5001,$A$45)))</f>
        <v/>
      </c>
      <c r="AG53" s="192" t="str">
        <f>IF(AG$3="","",IF(COUNTIFS(BD!$A$3:$A$5001,AG$3,BD!$B$3:$B$5001,$A$45,BD!$W$3:$W$5001,"&lt;&gt;")=0,"",SUMIFS(BD!$W$3:$W$5001,BD!$A$3:$A$5001,AG$3,BD!$B$3:$B$5001,$A$45)))</f>
        <v/>
      </c>
      <c r="AH53" s="192" t="str">
        <f>IF(AH$3="","",IF(COUNTIFS(BD!$A$3:$A$5001,AH$3,BD!$B$3:$B$5001,$A$45,BD!$W$3:$W$5001,"&lt;&gt;")=0,"",SUMIFS(BD!$W$3:$W$5001,BD!$A$3:$A$5001,AH$3,BD!$B$3:$B$5001,$A$45)))</f>
        <v/>
      </c>
      <c r="AI53" s="192" t="str">
        <f>IF(AI$3="","",IF(COUNTIFS(BD!$A$3:$A$5001,AI$3,BD!$B$3:$B$5001,$A$45,BD!$W$3:$W$5001,"&lt;&gt;")=0,"",SUMIFS(BD!$W$3:$W$5001,BD!$A$3:$A$5001,AI$3,BD!$B$3:$B$5001,$A$45)))</f>
        <v/>
      </c>
      <c r="AJ53" s="193" t="str">
        <f>IF(AJ$3="","",IF(COUNTIFS(BD!$A$3:$A$5001,AJ$3,BD!$B$3:$B$5001,$A$45,BD!$W$3:$W$5001,"&lt;&gt;")=0,"",SUMIFS(BD!$W$3:$W$5001,BD!$A$3:$A$5001,AJ$3,BD!$B$3:$B$5001,$A$45)))</f>
        <v/>
      </c>
      <c r="AK53" s="189" t="str">
        <f>IFERROR(LOOKUP(9.99E+307,F53:AJ53),"")</f>
        <v/>
      </c>
    </row>
    <row r="54" ht="15.75" customHeight="1">
      <c r="A54" s="237"/>
      <c r="B54" s="225" t="inlineStr">
        <is>
          <t xml:space="preserve">OCUPAÇÃO (P.P)</t>
        </is>
      </c>
      <c r="C54" s="148" t="inlineStr">
        <is>
          <t xml:space="preserve">Posições Disponíveis</t>
        </is>
      </c>
      <c r="D54" s="149" t="str">
        <f>IFERROR(1/(1/INDEX(BD!$AK$44:$AU$44,MATCH($A$45,BD!$AK$22:$AU$22,0))),"")</f>
        <v/>
      </c>
      <c r="E54" s="150"/>
      <c r="F54" s="151" t="str">
        <f>IF(F$3="","",IF(COUNTIFS(BD!$A$3:$A$5001,F$3,BD!$B$3:$B$5001,$A$45,BD!$X$3:$X$5001,"&lt;&gt;")=0,"",SUMIFS(BD!$X$3:$X$5001,BD!$A$3:$A$5001,F$3,BD!$B$3:$B$5001,$A$45)))</f>
        <v/>
      </c>
      <c r="G54" s="152" t="str">
        <f>IF(G$3="","",IF(COUNTIFS(BD!$A$3:$A$5001,G$3,BD!$B$3:$B$5001,$A$45,BD!$X$3:$X$5001,"&lt;&gt;")=0,"",SUMIFS(BD!$X$3:$X$5001,BD!$A$3:$A$5001,G$3,BD!$B$3:$B$5001,$A$45)))</f>
        <v/>
      </c>
      <c r="H54" s="152" t="str">
        <f>IF(H$3="","",IF(COUNTIFS(BD!$A$3:$A$5001,H$3,BD!$B$3:$B$5001,$A$45,BD!$X$3:$X$5001,"&lt;&gt;")=0,"",SUMIFS(BD!$X$3:$X$5001,BD!$A$3:$A$5001,H$3,BD!$B$3:$B$5001,$A$45)))</f>
        <v/>
      </c>
      <c r="I54" s="152" t="str">
        <f>IF(I$3="","",IF(COUNTIFS(BD!$A$3:$A$5001,I$3,BD!$B$3:$B$5001,$A$45,BD!$X$3:$X$5001,"&lt;&gt;")=0,"",SUMIFS(BD!$X$3:$X$5001,BD!$A$3:$A$5001,I$3,BD!$B$3:$B$5001,$A$45)))</f>
        <v/>
      </c>
      <c r="J54" s="152" t="str">
        <f>IF(J$3="","",IF(COUNTIFS(BD!$A$3:$A$5001,J$3,BD!$B$3:$B$5001,$A$45,BD!$X$3:$X$5001,"&lt;&gt;")=0,"",SUMIFS(BD!$X$3:$X$5001,BD!$A$3:$A$5001,J$3,BD!$B$3:$B$5001,$A$45)))</f>
        <v/>
      </c>
      <c r="K54" s="152" t="str">
        <f>IF(K$3="","",IF(COUNTIFS(BD!$A$3:$A$5001,K$3,BD!$B$3:$B$5001,$A$45,BD!$X$3:$X$5001,"&lt;&gt;")=0,"",SUMIFS(BD!$X$3:$X$5001,BD!$A$3:$A$5001,K$3,BD!$B$3:$B$5001,$A$45)))</f>
        <v/>
      </c>
      <c r="L54" s="152" t="str">
        <f>IF(L$3="","",IF(COUNTIFS(BD!$A$3:$A$5001,L$3,BD!$B$3:$B$5001,$A$45,BD!$X$3:$X$5001,"&lt;&gt;")=0,"",SUMIFS(BD!$X$3:$X$5001,BD!$A$3:$A$5001,L$3,BD!$B$3:$B$5001,$A$45)))</f>
        <v/>
      </c>
      <c r="M54" s="152" t="str">
        <f>IF(M$3="","",IF(COUNTIFS(BD!$A$3:$A$5001,M$3,BD!$B$3:$B$5001,$A$45,BD!$X$3:$X$5001,"&lt;&gt;")=0,"",SUMIFS(BD!$X$3:$X$5001,BD!$A$3:$A$5001,M$3,BD!$B$3:$B$5001,$A$45)))</f>
        <v/>
      </c>
      <c r="N54" s="152" t="str">
        <f>IF(N$3="","",IF(COUNTIFS(BD!$A$3:$A$5001,N$3,BD!$B$3:$B$5001,$A$45,BD!$X$3:$X$5001,"&lt;&gt;")=0,"",SUMIFS(BD!$X$3:$X$5001,BD!$A$3:$A$5001,N$3,BD!$B$3:$B$5001,$A$45)))</f>
        <v/>
      </c>
      <c r="O54" s="152" t="str">
        <f>IF(O$3="","",IF(COUNTIFS(BD!$A$3:$A$5001,O$3,BD!$B$3:$B$5001,$A$45,BD!$X$3:$X$5001,"&lt;&gt;")=0,"",SUMIFS(BD!$X$3:$X$5001,BD!$A$3:$A$5001,O$3,BD!$B$3:$B$5001,$A$45)))</f>
        <v/>
      </c>
      <c r="P54" s="152" t="str">
        <f>IF(P$3="","",IF(COUNTIFS(BD!$A$3:$A$5001,P$3,BD!$B$3:$B$5001,$A$45,BD!$X$3:$X$5001,"&lt;&gt;")=0,"",SUMIFS(BD!$X$3:$X$5001,BD!$A$3:$A$5001,P$3,BD!$B$3:$B$5001,$A$45)))</f>
        <v/>
      </c>
      <c r="Q54" s="152" t="str">
        <f>IF(Q$3="","",IF(COUNTIFS(BD!$A$3:$A$5001,Q$3,BD!$B$3:$B$5001,$A$45,BD!$X$3:$X$5001,"&lt;&gt;")=0,"",SUMIFS(BD!$X$3:$X$5001,BD!$A$3:$A$5001,Q$3,BD!$B$3:$B$5001,$A$45)))</f>
        <v/>
      </c>
      <c r="R54" s="152" t="str">
        <f>IF(R$3="","",IF(COUNTIFS(BD!$A$3:$A$5001,R$3,BD!$B$3:$B$5001,$A$45,BD!$X$3:$X$5001,"&lt;&gt;")=0,"",SUMIFS(BD!$X$3:$X$5001,BD!$A$3:$A$5001,R$3,BD!$B$3:$B$5001,$A$45)))</f>
        <v/>
      </c>
      <c r="S54" s="152" t="str">
        <f>IF(S$3="","",IF(COUNTIFS(BD!$A$3:$A$5001,S$3,BD!$B$3:$B$5001,$A$45,BD!$X$3:$X$5001,"&lt;&gt;")=0,"",SUMIFS(BD!$X$3:$X$5001,BD!$A$3:$A$5001,S$3,BD!$B$3:$B$5001,$A$45)))</f>
        <v/>
      </c>
      <c r="T54" s="152" t="str">
        <f>IF(T$3="","",IF(COUNTIFS(BD!$A$3:$A$5001,T$3,BD!$B$3:$B$5001,$A$45,BD!$X$3:$X$5001,"&lt;&gt;")=0,"",SUMIFS(BD!$X$3:$X$5001,BD!$A$3:$A$5001,T$3,BD!$B$3:$B$5001,$A$45)))</f>
        <v/>
      </c>
      <c r="U54" s="152" t="str">
        <f>IF(U$3="","",IF(COUNTIFS(BD!$A$3:$A$5001,U$3,BD!$B$3:$B$5001,$A$45,BD!$X$3:$X$5001,"&lt;&gt;")=0,"",SUMIFS(BD!$X$3:$X$5001,BD!$A$3:$A$5001,U$3,BD!$B$3:$B$5001,$A$45)))</f>
        <v/>
      </c>
      <c r="V54" s="152" t="str">
        <f>IF(V$3="","",IF(COUNTIFS(BD!$A$3:$A$5001,V$3,BD!$B$3:$B$5001,$A$45,BD!$X$3:$X$5001,"&lt;&gt;")=0,"",SUMIFS(BD!$X$3:$X$5001,BD!$A$3:$A$5001,V$3,BD!$B$3:$B$5001,$A$45)))</f>
        <v/>
      </c>
      <c r="W54" s="152" t="str">
        <f>IF(W$3="","",IF(COUNTIFS(BD!$A$3:$A$5001,W$3,BD!$B$3:$B$5001,$A$45,BD!$X$3:$X$5001,"&lt;&gt;")=0,"",SUMIFS(BD!$X$3:$X$5001,BD!$A$3:$A$5001,W$3,BD!$B$3:$B$5001,$A$45)))</f>
        <v/>
      </c>
      <c r="X54" s="152" t="str">
        <f>IF(X$3="","",IF(COUNTIFS(BD!$A$3:$A$5001,X$3,BD!$B$3:$B$5001,$A$45,BD!$X$3:$X$5001,"&lt;&gt;")=0,"",SUMIFS(BD!$X$3:$X$5001,BD!$A$3:$A$5001,X$3,BD!$B$3:$B$5001,$A$45)))</f>
        <v/>
      </c>
      <c r="Y54" s="152" t="str">
        <f>IF(Y$3="","",IF(COUNTIFS(BD!$A$3:$A$5001,Y$3,BD!$B$3:$B$5001,$A$45,BD!$X$3:$X$5001,"&lt;&gt;")=0,"",SUMIFS(BD!$X$3:$X$5001,BD!$A$3:$A$5001,Y$3,BD!$B$3:$B$5001,$A$45)))</f>
        <v/>
      </c>
      <c r="Z54" s="152" t="str">
        <f>IF(Z$3="","",IF(COUNTIFS(BD!$A$3:$A$5001,Z$3,BD!$B$3:$B$5001,$A$45,BD!$X$3:$X$5001,"&lt;&gt;")=0,"",SUMIFS(BD!$X$3:$X$5001,BD!$A$3:$A$5001,Z$3,BD!$B$3:$B$5001,$A$45)))</f>
        <v/>
      </c>
      <c r="AA54" s="152" t="str">
        <f>IF(AA$3="","",IF(COUNTIFS(BD!$A$3:$A$5001,AA$3,BD!$B$3:$B$5001,$A$45,BD!$X$3:$X$5001,"&lt;&gt;")=0,"",SUMIFS(BD!$X$3:$X$5001,BD!$A$3:$A$5001,AA$3,BD!$B$3:$B$5001,$A$45)))</f>
        <v/>
      </c>
      <c r="AB54" s="152" t="str">
        <f>IF(AB$3="","",IF(COUNTIFS(BD!$A$3:$A$5001,AB$3,BD!$B$3:$B$5001,$A$45,BD!$X$3:$X$5001,"&lt;&gt;")=0,"",SUMIFS(BD!$X$3:$X$5001,BD!$A$3:$A$5001,AB$3,BD!$B$3:$B$5001,$A$45)))</f>
        <v/>
      </c>
      <c r="AC54" s="152" t="str">
        <f>IF(AC$3="","",IF(COUNTIFS(BD!$A$3:$A$5001,AC$3,BD!$B$3:$B$5001,$A$45,BD!$X$3:$X$5001,"&lt;&gt;")=0,"",SUMIFS(BD!$X$3:$X$5001,BD!$A$3:$A$5001,AC$3,BD!$B$3:$B$5001,$A$45)))</f>
        <v/>
      </c>
      <c r="AD54" s="152" t="str">
        <f>IF(AD$3="","",IF(COUNTIFS(BD!$A$3:$A$5001,AD$3,BD!$B$3:$B$5001,$A$45,BD!$X$3:$X$5001,"&lt;&gt;")=0,"",SUMIFS(BD!$X$3:$X$5001,BD!$A$3:$A$5001,AD$3,BD!$B$3:$B$5001,$A$45)))</f>
        <v/>
      </c>
      <c r="AE54" s="152" t="str">
        <f>IF(AE$3="","",IF(COUNTIFS(BD!$A$3:$A$5001,AE$3,BD!$B$3:$B$5001,$A$45,BD!$X$3:$X$5001,"&lt;&gt;")=0,"",SUMIFS(BD!$X$3:$X$5001,BD!$A$3:$A$5001,AE$3,BD!$B$3:$B$5001,$A$45)))</f>
        <v/>
      </c>
      <c r="AF54" s="152" t="str">
        <f>IF(AF$3="","",IF(COUNTIFS(BD!$A$3:$A$5001,AF$3,BD!$B$3:$B$5001,$A$45,BD!$X$3:$X$5001,"&lt;&gt;")=0,"",SUMIFS(BD!$X$3:$X$5001,BD!$A$3:$A$5001,AF$3,BD!$B$3:$B$5001,$A$45)))</f>
        <v/>
      </c>
      <c r="AG54" s="152" t="str">
        <f>IF(AG$3="","",IF(COUNTIFS(BD!$A$3:$A$5001,AG$3,BD!$B$3:$B$5001,$A$45,BD!$X$3:$X$5001,"&lt;&gt;")=0,"",SUMIFS(BD!$X$3:$X$5001,BD!$A$3:$A$5001,AG$3,BD!$B$3:$B$5001,$A$45)))</f>
        <v/>
      </c>
      <c r="AH54" s="152" t="str">
        <f>IF(AH$3="","",IF(COUNTIFS(BD!$A$3:$A$5001,AH$3,BD!$B$3:$B$5001,$A$45,BD!$X$3:$X$5001,"&lt;&gt;")=0,"",SUMIFS(BD!$X$3:$X$5001,BD!$A$3:$A$5001,AH$3,BD!$B$3:$B$5001,$A$45)))</f>
        <v/>
      </c>
      <c r="AI54" s="152" t="str">
        <f>IF(AI$3="","",IF(COUNTIFS(BD!$A$3:$A$5001,AI$3,BD!$B$3:$B$5001,$A$45,BD!$X$3:$X$5001,"&lt;&gt;")=0,"",SUMIFS(BD!$X$3:$X$5001,BD!$A$3:$A$5001,AI$3,BD!$B$3:$B$5001,$A$45)))</f>
        <v/>
      </c>
      <c r="AJ54" s="153" t="str">
        <f>IF(AJ$3="","",IF(COUNTIFS(BD!$A$3:$A$5001,AJ$3,BD!$B$3:$B$5001,$A$45,BD!$X$3:$X$5001,"&lt;&gt;")=0,"",SUMIFS(BD!$X$3:$X$5001,BD!$A$3:$A$5001,AJ$3,BD!$B$3:$B$5001,$A$45)))</f>
        <v/>
      </c>
      <c r="AK54" s="154" t="str">
        <f>IF(COUNT(F54:AJ54)&gt;0,LOOKUP(9.99E+307,F54:AJ54),IFERROR(IF(INDEX(BD!$AH$3:$AH$5001,MATCH($A$45,BD!$B$3:$B$5001,0))&amp;""="Contrato","",INDEX(BD!$AH$3:$AH$5001,MATCH($A$45,BD!$B$3:$B$5001,0))&amp;""),""))</f>
        <v/>
      </c>
    </row>
    <row r="55" ht="15.75" customHeight="1">
      <c r="A55" s="237"/>
      <c r="B55" s="232"/>
      <c r="C55" s="194" t="inlineStr">
        <is>
          <t xml:space="preserve">Posições Ocupadas</t>
        </is>
      </c>
      <c r="D55" s="195" t="str">
        <f>IFERROR(1/(1/INDEX(BD!$AK$45:$AU$45,MATCH($A$45,BD!$AK$22:$AU$22,0))),"")</f>
        <v/>
      </c>
      <c r="E55" s="196"/>
      <c r="F55" s="197" t="str">
        <f>IF(F$3="","",IF(COUNTIFS(BD!$A$3:$A$5001,F$3,BD!$B$3:$B$5001,$A$45,BD!$Y$3:$Y$5001,"&lt;&gt;")=0,"",SUMIFS(BD!$Y$3:$Y$5001,BD!$A$3:$A$5001,F$3,BD!$B$3:$B$5001,$A$45)))</f>
        <v/>
      </c>
      <c r="G55" s="198" t="str">
        <f>IF(G$3="","",IF(COUNTIFS(BD!$A$3:$A$5001,G$3,BD!$B$3:$B$5001,$A$45,BD!$Y$3:$Y$5001,"&lt;&gt;")=0,"",SUMIFS(BD!$Y$3:$Y$5001,BD!$A$3:$A$5001,G$3,BD!$B$3:$B$5001,$A$45)))</f>
        <v/>
      </c>
      <c r="H55" s="198" t="str">
        <f>IF(H$3="","",IF(COUNTIFS(BD!$A$3:$A$5001,H$3,BD!$B$3:$B$5001,$A$45,BD!$Y$3:$Y$5001,"&lt;&gt;")=0,"",SUMIFS(BD!$Y$3:$Y$5001,BD!$A$3:$A$5001,H$3,BD!$B$3:$B$5001,$A$45)))</f>
        <v/>
      </c>
      <c r="I55" s="198" t="str">
        <f>IF(I$3="","",IF(COUNTIFS(BD!$A$3:$A$5001,I$3,BD!$B$3:$B$5001,$A$45,BD!$Y$3:$Y$5001,"&lt;&gt;")=0,"",SUMIFS(BD!$Y$3:$Y$5001,BD!$A$3:$A$5001,I$3,BD!$B$3:$B$5001,$A$45)))</f>
        <v/>
      </c>
      <c r="J55" s="198" t="str">
        <f>IF(J$3="","",IF(COUNTIFS(BD!$A$3:$A$5001,J$3,BD!$B$3:$B$5001,$A$45,BD!$Y$3:$Y$5001,"&lt;&gt;")=0,"",SUMIFS(BD!$Y$3:$Y$5001,BD!$A$3:$A$5001,J$3,BD!$B$3:$B$5001,$A$45)))</f>
        <v/>
      </c>
      <c r="K55" s="198" t="str">
        <f>IF(K$3="","",IF(COUNTIFS(BD!$A$3:$A$5001,K$3,BD!$B$3:$B$5001,$A$45,BD!$Y$3:$Y$5001,"&lt;&gt;")=0,"",SUMIFS(BD!$Y$3:$Y$5001,BD!$A$3:$A$5001,K$3,BD!$B$3:$B$5001,$A$45)))</f>
        <v/>
      </c>
      <c r="L55" s="198" t="str">
        <f>IF(L$3="","",IF(COUNTIFS(BD!$A$3:$A$5001,L$3,BD!$B$3:$B$5001,$A$45,BD!$Y$3:$Y$5001,"&lt;&gt;")=0,"",SUMIFS(BD!$Y$3:$Y$5001,BD!$A$3:$A$5001,L$3,BD!$B$3:$B$5001,$A$45)))</f>
        <v/>
      </c>
      <c r="M55" s="198" t="str">
        <f>IF(M$3="","",IF(COUNTIFS(BD!$A$3:$A$5001,M$3,BD!$B$3:$B$5001,$A$45,BD!$Y$3:$Y$5001,"&lt;&gt;")=0,"",SUMIFS(BD!$Y$3:$Y$5001,BD!$A$3:$A$5001,M$3,BD!$B$3:$B$5001,$A$45)))</f>
        <v/>
      </c>
      <c r="N55" s="198" t="str">
        <f>IF(N$3="","",IF(COUNTIFS(BD!$A$3:$A$5001,N$3,BD!$B$3:$B$5001,$A$45,BD!$Y$3:$Y$5001,"&lt;&gt;")=0,"",SUMIFS(BD!$Y$3:$Y$5001,BD!$A$3:$A$5001,N$3,BD!$B$3:$B$5001,$A$45)))</f>
        <v/>
      </c>
      <c r="O55" s="198" t="str">
        <f>IF(O$3="","",IF(COUNTIFS(BD!$A$3:$A$5001,O$3,BD!$B$3:$B$5001,$A$45,BD!$Y$3:$Y$5001,"&lt;&gt;")=0,"",SUMIFS(BD!$Y$3:$Y$5001,BD!$A$3:$A$5001,O$3,BD!$B$3:$B$5001,$A$45)))</f>
        <v/>
      </c>
      <c r="P55" s="198" t="str">
        <f>IF(P$3="","",IF(COUNTIFS(BD!$A$3:$A$5001,P$3,BD!$B$3:$B$5001,$A$45,BD!$Y$3:$Y$5001,"&lt;&gt;")=0,"",SUMIFS(BD!$Y$3:$Y$5001,BD!$A$3:$A$5001,P$3,BD!$B$3:$B$5001,$A$45)))</f>
        <v/>
      </c>
      <c r="Q55" s="198" t="str">
        <f>IF(Q$3="","",IF(COUNTIFS(BD!$A$3:$A$5001,Q$3,BD!$B$3:$B$5001,$A$45,BD!$Y$3:$Y$5001,"&lt;&gt;")=0,"",SUMIFS(BD!$Y$3:$Y$5001,BD!$A$3:$A$5001,Q$3,BD!$B$3:$B$5001,$A$45)))</f>
        <v/>
      </c>
      <c r="R55" s="198" t="str">
        <f>IF(R$3="","",IF(COUNTIFS(BD!$A$3:$A$5001,R$3,BD!$B$3:$B$5001,$A$45,BD!$Y$3:$Y$5001,"&lt;&gt;")=0,"",SUMIFS(BD!$Y$3:$Y$5001,BD!$A$3:$A$5001,R$3,BD!$B$3:$B$5001,$A$45)))</f>
        <v/>
      </c>
      <c r="S55" s="198" t="str">
        <f>IF(S$3="","",IF(COUNTIFS(BD!$A$3:$A$5001,S$3,BD!$B$3:$B$5001,$A$45,BD!$Y$3:$Y$5001,"&lt;&gt;")=0,"",SUMIFS(BD!$Y$3:$Y$5001,BD!$A$3:$A$5001,S$3,BD!$B$3:$B$5001,$A$45)))</f>
        <v/>
      </c>
      <c r="T55" s="198" t="str">
        <f>IF(T$3="","",IF(COUNTIFS(BD!$A$3:$A$5001,T$3,BD!$B$3:$B$5001,$A$45,BD!$Y$3:$Y$5001,"&lt;&gt;")=0,"",SUMIFS(BD!$Y$3:$Y$5001,BD!$A$3:$A$5001,T$3,BD!$B$3:$B$5001,$A$45)))</f>
        <v/>
      </c>
      <c r="U55" s="198" t="str">
        <f>IF(U$3="","",IF(COUNTIFS(BD!$A$3:$A$5001,U$3,BD!$B$3:$B$5001,$A$45,BD!$Y$3:$Y$5001,"&lt;&gt;")=0,"",SUMIFS(BD!$Y$3:$Y$5001,BD!$A$3:$A$5001,U$3,BD!$B$3:$B$5001,$A$45)))</f>
        <v/>
      </c>
      <c r="V55" s="198" t="str">
        <f>IF(V$3="","",IF(COUNTIFS(BD!$A$3:$A$5001,V$3,BD!$B$3:$B$5001,$A$45,BD!$Y$3:$Y$5001,"&lt;&gt;")=0,"",SUMIFS(BD!$Y$3:$Y$5001,BD!$A$3:$A$5001,V$3,BD!$B$3:$B$5001,$A$45)))</f>
        <v/>
      </c>
      <c r="W55" s="198" t="str">
        <f>IF(W$3="","",IF(COUNTIFS(BD!$A$3:$A$5001,W$3,BD!$B$3:$B$5001,$A$45,BD!$Y$3:$Y$5001,"&lt;&gt;")=0,"",SUMIFS(BD!$Y$3:$Y$5001,BD!$A$3:$A$5001,W$3,BD!$B$3:$B$5001,$A$45)))</f>
        <v/>
      </c>
      <c r="X55" s="198" t="str">
        <f>IF(X$3="","",IF(COUNTIFS(BD!$A$3:$A$5001,X$3,BD!$B$3:$B$5001,$A$45,BD!$Y$3:$Y$5001,"&lt;&gt;")=0,"",SUMIFS(BD!$Y$3:$Y$5001,BD!$A$3:$A$5001,X$3,BD!$B$3:$B$5001,$A$45)))</f>
        <v/>
      </c>
      <c r="Y55" s="198" t="str">
        <f>IF(Y$3="","",IF(COUNTIFS(BD!$A$3:$A$5001,Y$3,BD!$B$3:$B$5001,$A$45,BD!$Y$3:$Y$5001,"&lt;&gt;")=0,"",SUMIFS(BD!$Y$3:$Y$5001,BD!$A$3:$A$5001,Y$3,BD!$B$3:$B$5001,$A$45)))</f>
        <v/>
      </c>
      <c r="Z55" s="198" t="str">
        <f>IF(Z$3="","",IF(COUNTIFS(BD!$A$3:$A$5001,Z$3,BD!$B$3:$B$5001,$A$45,BD!$Y$3:$Y$5001,"&lt;&gt;")=0,"",SUMIFS(BD!$Y$3:$Y$5001,BD!$A$3:$A$5001,Z$3,BD!$B$3:$B$5001,$A$45)))</f>
        <v/>
      </c>
      <c r="AA55" s="198" t="str">
        <f>IF(AA$3="","",IF(COUNTIFS(BD!$A$3:$A$5001,AA$3,BD!$B$3:$B$5001,$A$45,BD!$Y$3:$Y$5001,"&lt;&gt;")=0,"",SUMIFS(BD!$Y$3:$Y$5001,BD!$A$3:$A$5001,AA$3,BD!$B$3:$B$5001,$A$45)))</f>
        <v/>
      </c>
      <c r="AB55" s="198" t="str">
        <f>IF(AB$3="","",IF(COUNTIFS(BD!$A$3:$A$5001,AB$3,BD!$B$3:$B$5001,$A$45,BD!$Y$3:$Y$5001,"&lt;&gt;")=0,"",SUMIFS(BD!$Y$3:$Y$5001,BD!$A$3:$A$5001,AB$3,BD!$B$3:$B$5001,$A$45)))</f>
        <v/>
      </c>
      <c r="AC55" s="198" t="str">
        <f>IF(AC$3="","",IF(COUNTIFS(BD!$A$3:$A$5001,AC$3,BD!$B$3:$B$5001,$A$45,BD!$Y$3:$Y$5001,"&lt;&gt;")=0,"",SUMIFS(BD!$Y$3:$Y$5001,BD!$A$3:$A$5001,AC$3,BD!$B$3:$B$5001,$A$45)))</f>
        <v/>
      </c>
      <c r="AD55" s="198" t="str">
        <f>IF(AD$3="","",IF(COUNTIFS(BD!$A$3:$A$5001,AD$3,BD!$B$3:$B$5001,$A$45,BD!$Y$3:$Y$5001,"&lt;&gt;")=0,"",SUMIFS(BD!$Y$3:$Y$5001,BD!$A$3:$A$5001,AD$3,BD!$B$3:$B$5001,$A$45)))</f>
        <v/>
      </c>
      <c r="AE55" s="198" t="str">
        <f>IF(AE$3="","",IF(COUNTIFS(BD!$A$3:$A$5001,AE$3,BD!$B$3:$B$5001,$A$45,BD!$Y$3:$Y$5001,"&lt;&gt;")=0,"",SUMIFS(BD!$Y$3:$Y$5001,BD!$A$3:$A$5001,AE$3,BD!$B$3:$B$5001,$A$45)))</f>
        <v/>
      </c>
      <c r="AF55" s="198" t="str">
        <f>IF(AF$3="","",IF(COUNTIFS(BD!$A$3:$A$5001,AF$3,BD!$B$3:$B$5001,$A$45,BD!$Y$3:$Y$5001,"&lt;&gt;")=0,"",SUMIFS(BD!$Y$3:$Y$5001,BD!$A$3:$A$5001,AF$3,BD!$B$3:$B$5001,$A$45)))</f>
        <v/>
      </c>
      <c r="AG55" s="198" t="str">
        <f>IF(AG$3="","",IF(COUNTIFS(BD!$A$3:$A$5001,AG$3,BD!$B$3:$B$5001,$A$45,BD!$Y$3:$Y$5001,"&lt;&gt;")=0,"",SUMIFS(BD!$Y$3:$Y$5001,BD!$A$3:$A$5001,AG$3,BD!$B$3:$B$5001,$A$45)))</f>
        <v/>
      </c>
      <c r="AH55" s="198" t="str">
        <f>IF(AH$3="","",IF(COUNTIFS(BD!$A$3:$A$5001,AH$3,BD!$B$3:$B$5001,$A$45,BD!$Y$3:$Y$5001,"&lt;&gt;")=0,"",SUMIFS(BD!$Y$3:$Y$5001,BD!$A$3:$A$5001,AH$3,BD!$B$3:$B$5001,$A$45)))</f>
        <v/>
      </c>
      <c r="AI55" s="198" t="str">
        <f>IF(AI$3="","",IF(COUNTIFS(BD!$A$3:$A$5001,AI$3,BD!$B$3:$B$5001,$A$45,BD!$Y$3:$Y$5001,"&lt;&gt;")=0,"",SUMIFS(BD!$Y$3:$Y$5001,BD!$A$3:$A$5001,AI$3,BD!$B$3:$B$5001,$A$45)))</f>
        <v/>
      </c>
      <c r="AJ55" s="199" t="str">
        <f>IF(AJ$3="","",IF(COUNTIFS(BD!$A$3:$A$5001,AJ$3,BD!$B$3:$B$5001,$A$45,BD!$Y$3:$Y$5001,"&lt;&gt;")=0,"",SUMIFS(BD!$Y$3:$Y$5001,BD!$A$3:$A$5001,AJ$3,BD!$B$3:$B$5001,$A$45)))</f>
        <v/>
      </c>
      <c r="AK55" s="200" t="str">
        <f>IFERROR(LOOKUP(9.99E+307,F55:AJ55),"")</f>
        <v/>
      </c>
    </row>
    <row r="56" ht="15.75" customHeight="1">
      <c r="A56" s="237"/>
      <c r="B56" s="226"/>
      <c r="C56" s="155" t="inlineStr">
        <is>
          <t xml:space="preserve">Taxa de Ocupação</t>
        </is>
      </c>
      <c r="D56" s="201" t="str">
        <f>IFERROR(1/(1/INDEX(BD!$AK$46:$AU$46,MATCH($A$45,BD!$AK$22:$AU$22,0))),"")</f>
        <v/>
      </c>
      <c r="E56" s="157"/>
      <c r="F56" s="202" t="str">
        <f>IF(AND(ISNUMBER(F54),ISNUMBER(F55)),IF(F54&gt;0,F55/F54,""),"")</f>
        <v/>
      </c>
      <c r="G56" s="203" t="str">
        <f>IF(AND(ISNUMBER(G54),ISNUMBER(G55)),IF(G54&gt;0,G55/G54,""),"")</f>
        <v/>
      </c>
      <c r="H56" s="203" t="str">
        <f>IF(AND(ISNUMBER(H54),ISNUMBER(H55)),IF(H54&gt;0,H55/H54,""),"")</f>
        <v/>
      </c>
      <c r="I56" s="203" t="str">
        <f>IF(AND(ISNUMBER(I54),ISNUMBER(I55)),IF(I54&gt;0,I55/I54,""),"")</f>
        <v/>
      </c>
      <c r="J56" s="203" t="str">
        <f>IF(AND(ISNUMBER(J54),ISNUMBER(J55)),IF(J54&gt;0,J55/J54,""),"")</f>
        <v/>
      </c>
      <c r="K56" s="203" t="str">
        <f>IF(AND(ISNUMBER(K54),ISNUMBER(K55)),IF(K54&gt;0,K55/K54,""),"")</f>
        <v/>
      </c>
      <c r="L56" s="203" t="str">
        <f>IF(AND(ISNUMBER(L54),ISNUMBER(L55)),IF(L54&gt;0,L55/L54,""),"")</f>
        <v/>
      </c>
      <c r="M56" s="203" t="str">
        <f>IF(AND(ISNUMBER(M54),ISNUMBER(M55)),IF(M54&gt;0,M55/M54,""),"")</f>
        <v/>
      </c>
      <c r="N56" s="203" t="str">
        <f>IF(AND(ISNUMBER(N54),ISNUMBER(N55)),IF(N54&gt;0,N55/N54,""),"")</f>
        <v/>
      </c>
      <c r="O56" s="203" t="str">
        <f>IF(AND(ISNUMBER(O54),ISNUMBER(O55)),IF(O54&gt;0,O55/O54,""),"")</f>
        <v/>
      </c>
      <c r="P56" s="203" t="str">
        <f>IF(AND(ISNUMBER(P54),ISNUMBER(P55)),IF(P54&gt;0,P55/P54,""),"")</f>
        <v/>
      </c>
      <c r="Q56" s="203" t="str">
        <f>IF(AND(ISNUMBER(Q54),ISNUMBER(Q55)),IF(Q54&gt;0,Q55/Q54,""),"")</f>
        <v/>
      </c>
      <c r="R56" s="203" t="str">
        <f>IF(AND(ISNUMBER(R54),ISNUMBER(R55)),IF(R54&gt;0,R55/R54,""),"")</f>
        <v/>
      </c>
      <c r="S56" s="203" t="str">
        <f>IF(AND(ISNUMBER(S54),ISNUMBER(S55)),IF(S54&gt;0,S55/S54,""),"")</f>
        <v/>
      </c>
      <c r="T56" s="203" t="str">
        <f>IF(AND(ISNUMBER(T54),ISNUMBER(T55)),IF(T54&gt;0,T55/T54,""),"")</f>
        <v/>
      </c>
      <c r="U56" s="203" t="str">
        <f>IF(AND(ISNUMBER(U54),ISNUMBER(U55)),IF(U54&gt;0,U55/U54,""),"")</f>
        <v/>
      </c>
      <c r="V56" s="203" t="str">
        <f>IF(AND(ISNUMBER(V54),ISNUMBER(V55)),IF(V54&gt;0,V55/V54,""),"")</f>
        <v/>
      </c>
      <c r="W56" s="203" t="str">
        <f>IF(AND(ISNUMBER(W54),ISNUMBER(W55)),IF(W54&gt;0,W55/W54,""),"")</f>
        <v/>
      </c>
      <c r="X56" s="203" t="str">
        <f>IF(AND(ISNUMBER(X54),ISNUMBER(X55)),IF(X54&gt;0,X55/X54,""),"")</f>
        <v/>
      </c>
      <c r="Y56" s="203" t="str">
        <f>IF(AND(ISNUMBER(Y54),ISNUMBER(Y55)),IF(Y54&gt;0,Y55/Y54,""),"")</f>
        <v/>
      </c>
      <c r="Z56" s="203" t="str">
        <f>IF(AND(ISNUMBER(Z54),ISNUMBER(Z55)),IF(Z54&gt;0,Z55/Z54,""),"")</f>
        <v/>
      </c>
      <c r="AA56" s="203" t="str">
        <f>IF(AND(ISNUMBER(AA54),ISNUMBER(AA55)),IF(AA54&gt;0,AA55/AA54,""),"")</f>
        <v/>
      </c>
      <c r="AB56" s="203" t="str">
        <f>IF(AND(ISNUMBER(AB54),ISNUMBER(AB55)),IF(AB54&gt;0,AB55/AB54,""),"")</f>
        <v/>
      </c>
      <c r="AC56" s="203" t="str">
        <f>IF(AND(ISNUMBER(AC54),ISNUMBER(AC55)),IF(AC54&gt;0,AC55/AC54,""),"")</f>
        <v/>
      </c>
      <c r="AD56" s="203" t="str">
        <f>IF(AND(ISNUMBER(AD54),ISNUMBER(AD55)),IF(AD54&gt;0,AD55/AD54,""),"")</f>
        <v/>
      </c>
      <c r="AE56" s="203" t="str">
        <f>IF(AND(ISNUMBER(AE54),ISNUMBER(AE55)),IF(AE54&gt;0,AE55/AE54,""),"")</f>
        <v/>
      </c>
      <c r="AF56" s="203" t="str">
        <f>IF(AND(ISNUMBER(AF54),ISNUMBER(AF55)),IF(AF54&gt;0,AF55/AF54,""),"")</f>
        <v/>
      </c>
      <c r="AG56" s="203" t="str">
        <f>IF(AND(ISNUMBER(AG54),ISNUMBER(AG55)),IF(AG54&gt;0,AG55/AG54,""),"")</f>
        <v/>
      </c>
      <c r="AH56" s="203" t="str">
        <f>IF(AND(ISNUMBER(AH54),ISNUMBER(AH55)),IF(AH54&gt;0,AH55/AH54,""),"")</f>
        <v/>
      </c>
      <c r="AI56" s="203" t="str">
        <f>IF(AND(ISNUMBER(AI54),ISNUMBER(AI55)),IF(AI54&gt;0,AI55/AI54,""),"")</f>
        <v/>
      </c>
      <c r="AJ56" s="204" t="str">
        <f>IF(AND(ISNUMBER(AJ54),ISNUMBER(AJ55)),IF(AJ54&gt;0,AJ55/AJ54,""),"")</f>
        <v/>
      </c>
      <c r="AK56" s="201" t="str">
        <f>IF(AND(ISNUMBER(AK54),ISNUMBER(AK55)),IF(AK54&gt;0,AK55/AK54,""),"")</f>
        <v/>
      </c>
    </row>
    <row r="57" ht="15.75" customHeight="1">
      <c r="A57" s="237"/>
      <c r="B57" s="233" t="inlineStr">
        <is>
          <t xml:space="preserve">GENTE</t>
        </is>
      </c>
      <c r="C57" s="205" t="inlineStr">
        <is>
          <t xml:space="preserve">Efetivo Op.</t>
        </is>
      </c>
      <c r="D57" s="206" t="str">
        <f>IFERROR(1/(1/INDEX(BD!$AK$47:$AU$47,MATCH($A$45,BD!$AK$22:$AU$22,0))),"")</f>
        <v/>
      </c>
      <c r="E57" s="207"/>
      <c r="F57" s="208" t="str">
        <f>IF(F$3="","",IF(COUNTIFS(BD!$A$3:$A$5001,F$3,BD!$B$3:$B$5001,$A$45,BD!$Z$3:$Z$5001,"&lt;&gt;")=0,"",SUMIFS(BD!$Z$3:$Z$5001,BD!$A$3:$A$5001,F$3,BD!$B$3:$B$5001,$A$45)))</f>
        <v/>
      </c>
      <c r="G57" s="209" t="str">
        <f>IF(G$3="","",IF(COUNTIFS(BD!$A$3:$A$5001,G$3,BD!$B$3:$B$5001,$A$45,BD!$Z$3:$Z$5001,"&lt;&gt;")=0,"",SUMIFS(BD!$Z$3:$Z$5001,BD!$A$3:$A$5001,G$3,BD!$B$3:$B$5001,$A$45)))</f>
        <v/>
      </c>
      <c r="H57" s="209" t="str">
        <f>IF(H$3="","",IF(COUNTIFS(BD!$A$3:$A$5001,H$3,BD!$B$3:$B$5001,$A$45,BD!$Z$3:$Z$5001,"&lt;&gt;")=0,"",SUMIFS(BD!$Z$3:$Z$5001,BD!$A$3:$A$5001,H$3,BD!$B$3:$B$5001,$A$45)))</f>
        <v/>
      </c>
      <c r="I57" s="209" t="str">
        <f>IF(I$3="","",IF(COUNTIFS(BD!$A$3:$A$5001,I$3,BD!$B$3:$B$5001,$A$45,BD!$Z$3:$Z$5001,"&lt;&gt;")=0,"",SUMIFS(BD!$Z$3:$Z$5001,BD!$A$3:$A$5001,I$3,BD!$B$3:$B$5001,$A$45)))</f>
        <v/>
      </c>
      <c r="J57" s="209" t="str">
        <f>IF(J$3="","",IF(COUNTIFS(BD!$A$3:$A$5001,J$3,BD!$B$3:$B$5001,$A$45,BD!$Z$3:$Z$5001,"&lt;&gt;")=0,"",SUMIFS(BD!$Z$3:$Z$5001,BD!$A$3:$A$5001,J$3,BD!$B$3:$B$5001,$A$45)))</f>
        <v/>
      </c>
      <c r="K57" s="209" t="str">
        <f>IF(K$3="","",IF(COUNTIFS(BD!$A$3:$A$5001,K$3,BD!$B$3:$B$5001,$A$45,BD!$Z$3:$Z$5001,"&lt;&gt;")=0,"",SUMIFS(BD!$Z$3:$Z$5001,BD!$A$3:$A$5001,K$3,BD!$B$3:$B$5001,$A$45)))</f>
        <v/>
      </c>
      <c r="L57" s="209" t="str">
        <f>IF(L$3="","",IF(COUNTIFS(BD!$A$3:$A$5001,L$3,BD!$B$3:$B$5001,$A$45,BD!$Z$3:$Z$5001,"&lt;&gt;")=0,"",SUMIFS(BD!$Z$3:$Z$5001,BD!$A$3:$A$5001,L$3,BD!$B$3:$B$5001,$A$45)))</f>
        <v/>
      </c>
      <c r="M57" s="209" t="str">
        <f>IF(M$3="","",IF(COUNTIFS(BD!$A$3:$A$5001,M$3,BD!$B$3:$B$5001,$A$45,BD!$Z$3:$Z$5001,"&lt;&gt;")=0,"",SUMIFS(BD!$Z$3:$Z$5001,BD!$A$3:$A$5001,M$3,BD!$B$3:$B$5001,$A$45)))</f>
        <v/>
      </c>
      <c r="N57" s="209" t="str">
        <f>IF(N$3="","",IF(COUNTIFS(BD!$A$3:$A$5001,N$3,BD!$B$3:$B$5001,$A$45,BD!$Z$3:$Z$5001,"&lt;&gt;")=0,"",SUMIFS(BD!$Z$3:$Z$5001,BD!$A$3:$A$5001,N$3,BD!$B$3:$B$5001,$A$45)))</f>
        <v/>
      </c>
      <c r="O57" s="209" t="str">
        <f>IF(O$3="","",IF(COUNTIFS(BD!$A$3:$A$5001,O$3,BD!$B$3:$B$5001,$A$45,BD!$Z$3:$Z$5001,"&lt;&gt;")=0,"",SUMIFS(BD!$Z$3:$Z$5001,BD!$A$3:$A$5001,O$3,BD!$B$3:$B$5001,$A$45)))</f>
        <v/>
      </c>
      <c r="P57" s="209" t="str">
        <f>IF(P$3="","",IF(COUNTIFS(BD!$A$3:$A$5001,P$3,BD!$B$3:$B$5001,$A$45,BD!$Z$3:$Z$5001,"&lt;&gt;")=0,"",SUMIFS(BD!$Z$3:$Z$5001,BD!$A$3:$A$5001,P$3,BD!$B$3:$B$5001,$A$45)))</f>
        <v/>
      </c>
      <c r="Q57" s="209" t="str">
        <f>IF(Q$3="","",IF(COUNTIFS(BD!$A$3:$A$5001,Q$3,BD!$B$3:$B$5001,$A$45,BD!$Z$3:$Z$5001,"&lt;&gt;")=0,"",SUMIFS(BD!$Z$3:$Z$5001,BD!$A$3:$A$5001,Q$3,BD!$B$3:$B$5001,$A$45)))</f>
        <v/>
      </c>
      <c r="R57" s="209" t="str">
        <f>IF(R$3="","",IF(COUNTIFS(BD!$A$3:$A$5001,R$3,BD!$B$3:$B$5001,$A$45,BD!$Z$3:$Z$5001,"&lt;&gt;")=0,"",SUMIFS(BD!$Z$3:$Z$5001,BD!$A$3:$A$5001,R$3,BD!$B$3:$B$5001,$A$45)))</f>
        <v/>
      </c>
      <c r="S57" s="209" t="str">
        <f>IF(S$3="","",IF(COUNTIFS(BD!$A$3:$A$5001,S$3,BD!$B$3:$B$5001,$A$45,BD!$Z$3:$Z$5001,"&lt;&gt;")=0,"",SUMIFS(BD!$Z$3:$Z$5001,BD!$A$3:$A$5001,S$3,BD!$B$3:$B$5001,$A$45)))</f>
        <v/>
      </c>
      <c r="T57" s="209" t="str">
        <f>IF(T$3="","",IF(COUNTIFS(BD!$A$3:$A$5001,T$3,BD!$B$3:$B$5001,$A$45,BD!$Z$3:$Z$5001,"&lt;&gt;")=0,"",SUMIFS(BD!$Z$3:$Z$5001,BD!$A$3:$A$5001,T$3,BD!$B$3:$B$5001,$A$45)))</f>
        <v/>
      </c>
      <c r="U57" s="209" t="str">
        <f>IF(U$3="","",IF(COUNTIFS(BD!$A$3:$A$5001,U$3,BD!$B$3:$B$5001,$A$45,BD!$Z$3:$Z$5001,"&lt;&gt;")=0,"",SUMIFS(BD!$Z$3:$Z$5001,BD!$A$3:$A$5001,U$3,BD!$B$3:$B$5001,$A$45)))</f>
        <v/>
      </c>
      <c r="V57" s="209" t="str">
        <f>IF(V$3="","",IF(COUNTIFS(BD!$A$3:$A$5001,V$3,BD!$B$3:$B$5001,$A$45,BD!$Z$3:$Z$5001,"&lt;&gt;")=0,"",SUMIFS(BD!$Z$3:$Z$5001,BD!$A$3:$A$5001,V$3,BD!$B$3:$B$5001,$A$45)))</f>
        <v/>
      </c>
      <c r="W57" s="209" t="str">
        <f>IF(W$3="","",IF(COUNTIFS(BD!$A$3:$A$5001,W$3,BD!$B$3:$B$5001,$A$45,BD!$Z$3:$Z$5001,"&lt;&gt;")=0,"",SUMIFS(BD!$Z$3:$Z$5001,BD!$A$3:$A$5001,W$3,BD!$B$3:$B$5001,$A$45)))</f>
        <v/>
      </c>
      <c r="X57" s="209" t="str">
        <f>IF(X$3="","",IF(COUNTIFS(BD!$A$3:$A$5001,X$3,BD!$B$3:$B$5001,$A$45,BD!$Z$3:$Z$5001,"&lt;&gt;")=0,"",SUMIFS(BD!$Z$3:$Z$5001,BD!$A$3:$A$5001,X$3,BD!$B$3:$B$5001,$A$45)))</f>
        <v/>
      </c>
      <c r="Y57" s="209" t="str">
        <f>IF(Y$3="","",IF(COUNTIFS(BD!$A$3:$A$5001,Y$3,BD!$B$3:$B$5001,$A$45,BD!$Z$3:$Z$5001,"&lt;&gt;")=0,"",SUMIFS(BD!$Z$3:$Z$5001,BD!$A$3:$A$5001,Y$3,BD!$B$3:$B$5001,$A$45)))</f>
        <v/>
      </c>
      <c r="Z57" s="209" t="str">
        <f>IF(Z$3="","",IF(COUNTIFS(BD!$A$3:$A$5001,Z$3,BD!$B$3:$B$5001,$A$45,BD!$Z$3:$Z$5001,"&lt;&gt;")=0,"",SUMIFS(BD!$Z$3:$Z$5001,BD!$A$3:$A$5001,Z$3,BD!$B$3:$B$5001,$A$45)))</f>
        <v/>
      </c>
      <c r="AA57" s="209" t="str">
        <f>IF(AA$3="","",IF(COUNTIFS(BD!$A$3:$A$5001,AA$3,BD!$B$3:$B$5001,$A$45,BD!$Z$3:$Z$5001,"&lt;&gt;")=0,"",SUMIFS(BD!$Z$3:$Z$5001,BD!$A$3:$A$5001,AA$3,BD!$B$3:$B$5001,$A$45)))</f>
        <v/>
      </c>
      <c r="AB57" s="209" t="str">
        <f>IF(AB$3="","",IF(COUNTIFS(BD!$A$3:$A$5001,AB$3,BD!$B$3:$B$5001,$A$45,BD!$Z$3:$Z$5001,"&lt;&gt;")=0,"",SUMIFS(BD!$Z$3:$Z$5001,BD!$A$3:$A$5001,AB$3,BD!$B$3:$B$5001,$A$45)))</f>
        <v/>
      </c>
      <c r="AC57" s="209" t="str">
        <f>IF(AC$3="","",IF(COUNTIFS(BD!$A$3:$A$5001,AC$3,BD!$B$3:$B$5001,$A$45,BD!$Z$3:$Z$5001,"&lt;&gt;")=0,"",SUMIFS(BD!$Z$3:$Z$5001,BD!$A$3:$A$5001,AC$3,BD!$B$3:$B$5001,$A$45)))</f>
        <v/>
      </c>
      <c r="AD57" s="209" t="str">
        <f>IF(AD$3="","",IF(COUNTIFS(BD!$A$3:$A$5001,AD$3,BD!$B$3:$B$5001,$A$45,BD!$Z$3:$Z$5001,"&lt;&gt;")=0,"",SUMIFS(BD!$Z$3:$Z$5001,BD!$A$3:$A$5001,AD$3,BD!$B$3:$B$5001,$A$45)))</f>
        <v/>
      </c>
      <c r="AE57" s="209" t="str">
        <f>IF(AE$3="","",IF(COUNTIFS(BD!$A$3:$A$5001,AE$3,BD!$B$3:$B$5001,$A$45,BD!$Z$3:$Z$5001,"&lt;&gt;")=0,"",SUMIFS(BD!$Z$3:$Z$5001,BD!$A$3:$A$5001,AE$3,BD!$B$3:$B$5001,$A$45)))</f>
        <v/>
      </c>
      <c r="AF57" s="209" t="str">
        <f>IF(AF$3="","",IF(COUNTIFS(BD!$A$3:$A$5001,AF$3,BD!$B$3:$B$5001,$A$45,BD!$Z$3:$Z$5001,"&lt;&gt;")=0,"",SUMIFS(BD!$Z$3:$Z$5001,BD!$A$3:$A$5001,AF$3,BD!$B$3:$B$5001,$A$45)))</f>
        <v/>
      </c>
      <c r="AG57" s="209" t="str">
        <f>IF(AG$3="","",IF(COUNTIFS(BD!$A$3:$A$5001,AG$3,BD!$B$3:$B$5001,$A$45,BD!$Z$3:$Z$5001,"&lt;&gt;")=0,"",SUMIFS(BD!$Z$3:$Z$5001,BD!$A$3:$A$5001,AG$3,BD!$B$3:$B$5001,$A$45)))</f>
        <v/>
      </c>
      <c r="AH57" s="209" t="str">
        <f>IF(AH$3="","",IF(COUNTIFS(BD!$A$3:$A$5001,AH$3,BD!$B$3:$B$5001,$A$45,BD!$Z$3:$Z$5001,"&lt;&gt;")=0,"",SUMIFS(BD!$Z$3:$Z$5001,BD!$A$3:$A$5001,AH$3,BD!$B$3:$B$5001,$A$45)))</f>
        <v/>
      </c>
      <c r="AI57" s="209" t="str">
        <f>IF(AI$3="","",IF(COUNTIFS(BD!$A$3:$A$5001,AI$3,BD!$B$3:$B$5001,$A$45,BD!$Z$3:$Z$5001,"&lt;&gt;")=0,"",SUMIFS(BD!$Z$3:$Z$5001,BD!$A$3:$A$5001,AI$3,BD!$B$3:$B$5001,$A$45)))</f>
        <v/>
      </c>
      <c r="AJ57" s="210" t="str">
        <f>IF(AJ$3="","",IF(COUNTIFS(BD!$A$3:$A$5001,AJ$3,BD!$B$3:$B$5001,$A$45,BD!$Z$3:$Z$5001,"&lt;&gt;")=0,"",SUMIFS(BD!$Z$3:$Z$5001,BD!$A$3:$A$5001,AJ$3,BD!$B$3:$B$5001,$A$45)))</f>
        <v/>
      </c>
      <c r="AK57" s="211" t="str">
        <f>IFERROR(LOOKUP(9.99E+307,F57:AJ57),"")</f>
        <v/>
      </c>
    </row>
    <row r="58" ht="15.75" customHeight="1">
      <c r="A58" s="237"/>
      <c r="B58" s="234"/>
      <c r="C58" s="212" t="inlineStr">
        <is>
          <t xml:space="preserve">Falta</t>
        </is>
      </c>
      <c r="D58" s="213" t="str">
        <f>IFERROR(1/(1/INDEX(BD!$AK$48:$AU$48,MATCH($A$45,BD!$AK$22:$AU$22,0))),"")</f>
        <v/>
      </c>
      <c r="E58" s="214"/>
      <c r="F58" s="215" t="str">
        <f>IF(F$3="","",IF(COUNTIFS(BD!$A$3:$A$5001,F$3,BD!$B$3:$B$5001,$A$45,BD!$AA$3:$AA$5001,"&lt;&gt;")=0,"",SUMIFS(BD!$AA$3:$AA$5001,BD!$A$3:$A$5001,F$3,BD!$B$3:$B$5001,$A$45)))</f>
        <v/>
      </c>
      <c r="G58" s="216" t="str">
        <f>IF(G$3="","",IF(COUNTIFS(BD!$A$3:$A$5001,G$3,BD!$B$3:$B$5001,$A$45,BD!$AA$3:$AA$5001,"&lt;&gt;")=0,"",SUMIFS(BD!$AA$3:$AA$5001,BD!$A$3:$A$5001,G$3,BD!$B$3:$B$5001,$A$45)))</f>
        <v/>
      </c>
      <c r="H58" s="216" t="str">
        <f>IF(H$3="","",IF(COUNTIFS(BD!$A$3:$A$5001,H$3,BD!$B$3:$B$5001,$A$45,BD!$AA$3:$AA$5001,"&lt;&gt;")=0,"",SUMIFS(BD!$AA$3:$AA$5001,BD!$A$3:$A$5001,H$3,BD!$B$3:$B$5001,$A$45)))</f>
        <v/>
      </c>
      <c r="I58" s="216" t="str">
        <f>IF(I$3="","",IF(COUNTIFS(BD!$A$3:$A$5001,I$3,BD!$B$3:$B$5001,$A$45,BD!$AA$3:$AA$5001,"&lt;&gt;")=0,"",SUMIFS(BD!$AA$3:$AA$5001,BD!$A$3:$A$5001,I$3,BD!$B$3:$B$5001,$A$45)))</f>
        <v/>
      </c>
      <c r="J58" s="216" t="str">
        <f>IF(J$3="","",IF(COUNTIFS(BD!$A$3:$A$5001,J$3,BD!$B$3:$B$5001,$A$45,BD!$AA$3:$AA$5001,"&lt;&gt;")=0,"",SUMIFS(BD!$AA$3:$AA$5001,BD!$A$3:$A$5001,J$3,BD!$B$3:$B$5001,$A$45)))</f>
        <v/>
      </c>
      <c r="K58" s="216" t="str">
        <f>IF(K$3="","",IF(COUNTIFS(BD!$A$3:$A$5001,K$3,BD!$B$3:$B$5001,$A$45,BD!$AA$3:$AA$5001,"&lt;&gt;")=0,"",SUMIFS(BD!$AA$3:$AA$5001,BD!$A$3:$A$5001,K$3,BD!$B$3:$B$5001,$A$45)))</f>
        <v/>
      </c>
      <c r="L58" s="216" t="str">
        <f>IF(L$3="","",IF(COUNTIFS(BD!$A$3:$A$5001,L$3,BD!$B$3:$B$5001,$A$45,BD!$AA$3:$AA$5001,"&lt;&gt;")=0,"",SUMIFS(BD!$AA$3:$AA$5001,BD!$A$3:$A$5001,L$3,BD!$B$3:$B$5001,$A$45)))</f>
        <v/>
      </c>
      <c r="M58" s="216" t="str">
        <f>IF(M$3="","",IF(COUNTIFS(BD!$A$3:$A$5001,M$3,BD!$B$3:$B$5001,$A$45,BD!$AA$3:$AA$5001,"&lt;&gt;")=0,"",SUMIFS(BD!$AA$3:$AA$5001,BD!$A$3:$A$5001,M$3,BD!$B$3:$B$5001,$A$45)))</f>
        <v/>
      </c>
      <c r="N58" s="216" t="str">
        <f>IF(N$3="","",IF(COUNTIFS(BD!$A$3:$A$5001,N$3,BD!$B$3:$B$5001,$A$45,BD!$AA$3:$AA$5001,"&lt;&gt;")=0,"",SUMIFS(BD!$AA$3:$AA$5001,BD!$A$3:$A$5001,N$3,BD!$B$3:$B$5001,$A$45)))</f>
        <v/>
      </c>
      <c r="O58" s="216" t="str">
        <f>IF(O$3="","",IF(COUNTIFS(BD!$A$3:$A$5001,O$3,BD!$B$3:$B$5001,$A$45,BD!$AA$3:$AA$5001,"&lt;&gt;")=0,"",SUMIFS(BD!$AA$3:$AA$5001,BD!$A$3:$A$5001,O$3,BD!$B$3:$B$5001,$A$45)))</f>
        <v/>
      </c>
      <c r="P58" s="216" t="str">
        <f>IF(P$3="","",IF(COUNTIFS(BD!$A$3:$A$5001,P$3,BD!$B$3:$B$5001,$A$45,BD!$AA$3:$AA$5001,"&lt;&gt;")=0,"",SUMIFS(BD!$AA$3:$AA$5001,BD!$A$3:$A$5001,P$3,BD!$B$3:$B$5001,$A$45)))</f>
        <v/>
      </c>
      <c r="Q58" s="216" t="str">
        <f>IF(Q$3="","",IF(COUNTIFS(BD!$A$3:$A$5001,Q$3,BD!$B$3:$B$5001,$A$45,BD!$AA$3:$AA$5001,"&lt;&gt;")=0,"",SUMIFS(BD!$AA$3:$AA$5001,BD!$A$3:$A$5001,Q$3,BD!$B$3:$B$5001,$A$45)))</f>
        <v/>
      </c>
      <c r="R58" s="216" t="str">
        <f>IF(R$3="","",IF(COUNTIFS(BD!$A$3:$A$5001,R$3,BD!$B$3:$B$5001,$A$45,BD!$AA$3:$AA$5001,"&lt;&gt;")=0,"",SUMIFS(BD!$AA$3:$AA$5001,BD!$A$3:$A$5001,R$3,BD!$B$3:$B$5001,$A$45)))</f>
        <v/>
      </c>
      <c r="S58" s="216" t="str">
        <f>IF(S$3="","",IF(COUNTIFS(BD!$A$3:$A$5001,S$3,BD!$B$3:$B$5001,$A$45,BD!$AA$3:$AA$5001,"&lt;&gt;")=0,"",SUMIFS(BD!$AA$3:$AA$5001,BD!$A$3:$A$5001,S$3,BD!$B$3:$B$5001,$A$45)))</f>
        <v/>
      </c>
      <c r="T58" s="216" t="str">
        <f>IF(T$3="","",IF(COUNTIFS(BD!$A$3:$A$5001,T$3,BD!$B$3:$B$5001,$A$45,BD!$AA$3:$AA$5001,"&lt;&gt;")=0,"",SUMIFS(BD!$AA$3:$AA$5001,BD!$A$3:$A$5001,T$3,BD!$B$3:$B$5001,$A$45)))</f>
        <v/>
      </c>
      <c r="U58" s="216" t="str">
        <f>IF(U$3="","",IF(COUNTIFS(BD!$A$3:$A$5001,U$3,BD!$B$3:$B$5001,$A$45,BD!$AA$3:$AA$5001,"&lt;&gt;")=0,"",SUMIFS(BD!$AA$3:$AA$5001,BD!$A$3:$A$5001,U$3,BD!$B$3:$B$5001,$A$45)))</f>
        <v/>
      </c>
      <c r="V58" s="216" t="str">
        <f>IF(V$3="","",IF(COUNTIFS(BD!$A$3:$A$5001,V$3,BD!$B$3:$B$5001,$A$45,BD!$AA$3:$AA$5001,"&lt;&gt;")=0,"",SUMIFS(BD!$AA$3:$AA$5001,BD!$A$3:$A$5001,V$3,BD!$B$3:$B$5001,$A$45)))</f>
        <v/>
      </c>
      <c r="W58" s="216" t="str">
        <f>IF(W$3="","",IF(COUNTIFS(BD!$A$3:$A$5001,W$3,BD!$B$3:$B$5001,$A$45,BD!$AA$3:$AA$5001,"&lt;&gt;")=0,"",SUMIFS(BD!$AA$3:$AA$5001,BD!$A$3:$A$5001,W$3,BD!$B$3:$B$5001,$A$45)))</f>
        <v/>
      </c>
      <c r="X58" s="216" t="str">
        <f>IF(X$3="","",IF(COUNTIFS(BD!$A$3:$A$5001,X$3,BD!$B$3:$B$5001,$A$45,BD!$AA$3:$AA$5001,"&lt;&gt;")=0,"",SUMIFS(BD!$AA$3:$AA$5001,BD!$A$3:$A$5001,X$3,BD!$B$3:$B$5001,$A$45)))</f>
        <v/>
      </c>
      <c r="Y58" s="216" t="str">
        <f>IF(Y$3="","",IF(COUNTIFS(BD!$A$3:$A$5001,Y$3,BD!$B$3:$B$5001,$A$45,BD!$AA$3:$AA$5001,"&lt;&gt;")=0,"",SUMIFS(BD!$AA$3:$AA$5001,BD!$A$3:$A$5001,Y$3,BD!$B$3:$B$5001,$A$45)))</f>
        <v/>
      </c>
      <c r="Z58" s="216" t="str">
        <f>IF(Z$3="","",IF(COUNTIFS(BD!$A$3:$A$5001,Z$3,BD!$B$3:$B$5001,$A$45,BD!$AA$3:$AA$5001,"&lt;&gt;")=0,"",SUMIFS(BD!$AA$3:$AA$5001,BD!$A$3:$A$5001,Z$3,BD!$B$3:$B$5001,$A$45)))</f>
        <v/>
      </c>
      <c r="AA58" s="216" t="str">
        <f>IF(AA$3="","",IF(COUNTIFS(BD!$A$3:$A$5001,AA$3,BD!$B$3:$B$5001,$A$45,BD!$AA$3:$AA$5001,"&lt;&gt;")=0,"",SUMIFS(BD!$AA$3:$AA$5001,BD!$A$3:$A$5001,AA$3,BD!$B$3:$B$5001,$A$45)))</f>
        <v/>
      </c>
      <c r="AB58" s="216" t="str">
        <f>IF(AB$3="","",IF(COUNTIFS(BD!$A$3:$A$5001,AB$3,BD!$B$3:$B$5001,$A$45,BD!$AA$3:$AA$5001,"&lt;&gt;")=0,"",SUMIFS(BD!$AA$3:$AA$5001,BD!$A$3:$A$5001,AB$3,BD!$B$3:$B$5001,$A$45)))</f>
        <v/>
      </c>
      <c r="AC58" s="216" t="str">
        <f>IF(AC$3="","",IF(COUNTIFS(BD!$A$3:$A$5001,AC$3,BD!$B$3:$B$5001,$A$45,BD!$AA$3:$AA$5001,"&lt;&gt;")=0,"",SUMIFS(BD!$AA$3:$AA$5001,BD!$A$3:$A$5001,AC$3,BD!$B$3:$B$5001,$A$45)))</f>
        <v/>
      </c>
      <c r="AD58" s="216" t="str">
        <f>IF(AD$3="","",IF(COUNTIFS(BD!$A$3:$A$5001,AD$3,BD!$B$3:$B$5001,$A$45,BD!$AA$3:$AA$5001,"&lt;&gt;")=0,"",SUMIFS(BD!$AA$3:$AA$5001,BD!$A$3:$A$5001,AD$3,BD!$B$3:$B$5001,$A$45)))</f>
        <v/>
      </c>
      <c r="AE58" s="216" t="str">
        <f>IF(AE$3="","",IF(COUNTIFS(BD!$A$3:$A$5001,AE$3,BD!$B$3:$B$5001,$A$45,BD!$AA$3:$AA$5001,"&lt;&gt;")=0,"",SUMIFS(BD!$AA$3:$AA$5001,BD!$A$3:$A$5001,AE$3,BD!$B$3:$B$5001,$A$45)))</f>
        <v/>
      </c>
      <c r="AF58" s="216" t="str">
        <f>IF(AF$3="","",IF(COUNTIFS(BD!$A$3:$A$5001,AF$3,BD!$B$3:$B$5001,$A$45,BD!$AA$3:$AA$5001,"&lt;&gt;")=0,"",SUMIFS(BD!$AA$3:$AA$5001,BD!$A$3:$A$5001,AF$3,BD!$B$3:$B$5001,$A$45)))</f>
        <v/>
      </c>
      <c r="AG58" s="216" t="str">
        <f>IF(AG$3="","",IF(COUNTIFS(BD!$A$3:$A$5001,AG$3,BD!$B$3:$B$5001,$A$45,BD!$AA$3:$AA$5001,"&lt;&gt;")=0,"",SUMIFS(BD!$AA$3:$AA$5001,BD!$A$3:$A$5001,AG$3,BD!$B$3:$B$5001,$A$45)))</f>
        <v/>
      </c>
      <c r="AH58" s="216" t="str">
        <f>IF(AH$3="","",IF(COUNTIFS(BD!$A$3:$A$5001,AH$3,BD!$B$3:$B$5001,$A$45,BD!$AA$3:$AA$5001,"&lt;&gt;")=0,"",SUMIFS(BD!$AA$3:$AA$5001,BD!$A$3:$A$5001,AH$3,BD!$B$3:$B$5001,$A$45)))</f>
        <v/>
      </c>
      <c r="AI58" s="216" t="str">
        <f>IF(AI$3="","",IF(COUNTIFS(BD!$A$3:$A$5001,AI$3,BD!$B$3:$B$5001,$A$45,BD!$AA$3:$AA$5001,"&lt;&gt;")=0,"",SUMIFS(BD!$AA$3:$AA$5001,BD!$A$3:$A$5001,AI$3,BD!$B$3:$B$5001,$A$45)))</f>
        <v/>
      </c>
      <c r="AJ58" s="217" t="str">
        <f>IF(AJ$3="","",IF(COUNTIFS(BD!$A$3:$A$5001,AJ$3,BD!$B$3:$B$5001,$A$45,BD!$AA$3:$AA$5001,"&lt;&gt;")=0,"",SUMIFS(BD!$AA$3:$AA$5001,BD!$A$3:$A$5001,AJ$3,BD!$B$3:$B$5001,$A$45)))</f>
        <v/>
      </c>
      <c r="AK58" s="218" t="str">
        <f>IF(COUNT(F58:AJ58)=0,"",SUM(F58:AJ58))</f>
        <v/>
      </c>
    </row>
    <row r="59" ht="15.75" customHeight="1">
      <c r="A59" s="237"/>
      <c r="B59" s="234"/>
      <c r="C59" s="212" t="inlineStr">
        <is>
          <t xml:space="preserve">Folga</t>
        </is>
      </c>
      <c r="D59" s="213" t="str">
        <f>IFERROR(1/(1/INDEX(BD!$AK$49:$AU$49,MATCH($A$45,BD!$AK$22:$AU$22,0))),"")</f>
        <v/>
      </c>
      <c r="E59" s="214"/>
      <c r="F59" s="215" t="str">
        <f>IF(F$3="","",IF(COUNTIFS(BD!$A$3:$A$5001,F$3,BD!$B$3:$B$5001,$A$45,BD!$AB$3:$AB$5001,"&lt;&gt;")=0,"",SUMIFS(BD!$AB$3:$AB$5001,BD!$A$3:$A$5001,F$3,BD!$B$3:$B$5001,$A$45)))</f>
        <v/>
      </c>
      <c r="G59" s="216" t="str">
        <f>IF(G$3="","",IF(COUNTIFS(BD!$A$3:$A$5001,G$3,BD!$B$3:$B$5001,$A$45,BD!$AB$3:$AB$5001,"&lt;&gt;")=0,"",SUMIFS(BD!$AB$3:$AB$5001,BD!$A$3:$A$5001,G$3,BD!$B$3:$B$5001,$A$45)))</f>
        <v/>
      </c>
      <c r="H59" s="216" t="str">
        <f>IF(H$3="","",IF(COUNTIFS(BD!$A$3:$A$5001,H$3,BD!$B$3:$B$5001,$A$45,BD!$AB$3:$AB$5001,"&lt;&gt;")=0,"",SUMIFS(BD!$AB$3:$AB$5001,BD!$A$3:$A$5001,H$3,BD!$B$3:$B$5001,$A$45)))</f>
        <v/>
      </c>
      <c r="I59" s="216" t="str">
        <f>IF(I$3="","",IF(COUNTIFS(BD!$A$3:$A$5001,I$3,BD!$B$3:$B$5001,$A$45,BD!$AB$3:$AB$5001,"&lt;&gt;")=0,"",SUMIFS(BD!$AB$3:$AB$5001,BD!$A$3:$A$5001,I$3,BD!$B$3:$B$5001,$A$45)))</f>
        <v/>
      </c>
      <c r="J59" s="216" t="str">
        <f>IF(J$3="","",IF(COUNTIFS(BD!$A$3:$A$5001,J$3,BD!$B$3:$B$5001,$A$45,BD!$AB$3:$AB$5001,"&lt;&gt;")=0,"",SUMIFS(BD!$AB$3:$AB$5001,BD!$A$3:$A$5001,J$3,BD!$B$3:$B$5001,$A$45)))</f>
        <v/>
      </c>
      <c r="K59" s="216" t="str">
        <f>IF(K$3="","",IF(COUNTIFS(BD!$A$3:$A$5001,K$3,BD!$B$3:$B$5001,$A$45,BD!$AB$3:$AB$5001,"&lt;&gt;")=0,"",SUMIFS(BD!$AB$3:$AB$5001,BD!$A$3:$A$5001,K$3,BD!$B$3:$B$5001,$A$45)))</f>
        <v/>
      </c>
      <c r="L59" s="216" t="str">
        <f>IF(L$3="","",IF(COUNTIFS(BD!$A$3:$A$5001,L$3,BD!$B$3:$B$5001,$A$45,BD!$AB$3:$AB$5001,"&lt;&gt;")=0,"",SUMIFS(BD!$AB$3:$AB$5001,BD!$A$3:$A$5001,L$3,BD!$B$3:$B$5001,$A$45)))</f>
        <v/>
      </c>
      <c r="M59" s="216" t="str">
        <f>IF(M$3="","",IF(COUNTIFS(BD!$A$3:$A$5001,M$3,BD!$B$3:$B$5001,$A$45,BD!$AB$3:$AB$5001,"&lt;&gt;")=0,"",SUMIFS(BD!$AB$3:$AB$5001,BD!$A$3:$A$5001,M$3,BD!$B$3:$B$5001,$A$45)))</f>
        <v/>
      </c>
      <c r="N59" s="216" t="str">
        <f>IF(N$3="","",IF(COUNTIFS(BD!$A$3:$A$5001,N$3,BD!$B$3:$B$5001,$A$45,BD!$AB$3:$AB$5001,"&lt;&gt;")=0,"",SUMIFS(BD!$AB$3:$AB$5001,BD!$A$3:$A$5001,N$3,BD!$B$3:$B$5001,$A$45)))</f>
        <v/>
      </c>
      <c r="O59" s="216" t="str">
        <f>IF(O$3="","",IF(COUNTIFS(BD!$A$3:$A$5001,O$3,BD!$B$3:$B$5001,$A$45,BD!$AB$3:$AB$5001,"&lt;&gt;")=0,"",SUMIFS(BD!$AB$3:$AB$5001,BD!$A$3:$A$5001,O$3,BD!$B$3:$B$5001,$A$45)))</f>
        <v/>
      </c>
      <c r="P59" s="216" t="str">
        <f>IF(P$3="","",IF(COUNTIFS(BD!$A$3:$A$5001,P$3,BD!$B$3:$B$5001,$A$45,BD!$AB$3:$AB$5001,"&lt;&gt;")=0,"",SUMIFS(BD!$AB$3:$AB$5001,BD!$A$3:$A$5001,P$3,BD!$B$3:$B$5001,$A$45)))</f>
        <v/>
      </c>
      <c r="Q59" s="216" t="str">
        <f>IF(Q$3="","",IF(COUNTIFS(BD!$A$3:$A$5001,Q$3,BD!$B$3:$B$5001,$A$45,BD!$AB$3:$AB$5001,"&lt;&gt;")=0,"",SUMIFS(BD!$AB$3:$AB$5001,BD!$A$3:$A$5001,Q$3,BD!$B$3:$B$5001,$A$45)))</f>
        <v/>
      </c>
      <c r="R59" s="216" t="str">
        <f>IF(R$3="","",IF(COUNTIFS(BD!$A$3:$A$5001,R$3,BD!$B$3:$B$5001,$A$45,BD!$AB$3:$AB$5001,"&lt;&gt;")=0,"",SUMIFS(BD!$AB$3:$AB$5001,BD!$A$3:$A$5001,R$3,BD!$B$3:$B$5001,$A$45)))</f>
        <v/>
      </c>
      <c r="S59" s="216" t="str">
        <f>IF(S$3="","",IF(COUNTIFS(BD!$A$3:$A$5001,S$3,BD!$B$3:$B$5001,$A$45,BD!$AB$3:$AB$5001,"&lt;&gt;")=0,"",SUMIFS(BD!$AB$3:$AB$5001,BD!$A$3:$A$5001,S$3,BD!$B$3:$B$5001,$A$45)))</f>
        <v/>
      </c>
      <c r="T59" s="216" t="str">
        <f>IF(T$3="","",IF(COUNTIFS(BD!$A$3:$A$5001,T$3,BD!$B$3:$B$5001,$A$45,BD!$AB$3:$AB$5001,"&lt;&gt;")=0,"",SUMIFS(BD!$AB$3:$AB$5001,BD!$A$3:$A$5001,T$3,BD!$B$3:$B$5001,$A$45)))</f>
        <v/>
      </c>
      <c r="U59" s="216" t="str">
        <f>IF(U$3="","",IF(COUNTIFS(BD!$A$3:$A$5001,U$3,BD!$B$3:$B$5001,$A$45,BD!$AB$3:$AB$5001,"&lt;&gt;")=0,"",SUMIFS(BD!$AB$3:$AB$5001,BD!$A$3:$A$5001,U$3,BD!$B$3:$B$5001,$A$45)))</f>
        <v/>
      </c>
      <c r="V59" s="216" t="str">
        <f>IF(V$3="","",IF(COUNTIFS(BD!$A$3:$A$5001,V$3,BD!$B$3:$B$5001,$A$45,BD!$AB$3:$AB$5001,"&lt;&gt;")=0,"",SUMIFS(BD!$AB$3:$AB$5001,BD!$A$3:$A$5001,V$3,BD!$B$3:$B$5001,$A$45)))</f>
        <v/>
      </c>
      <c r="W59" s="216" t="str">
        <f>IF(W$3="","",IF(COUNTIFS(BD!$A$3:$A$5001,W$3,BD!$B$3:$B$5001,$A$45,BD!$AB$3:$AB$5001,"&lt;&gt;")=0,"",SUMIFS(BD!$AB$3:$AB$5001,BD!$A$3:$A$5001,W$3,BD!$B$3:$B$5001,$A$45)))</f>
        <v/>
      </c>
      <c r="X59" s="216" t="str">
        <f>IF(X$3="","",IF(COUNTIFS(BD!$A$3:$A$5001,X$3,BD!$B$3:$B$5001,$A$45,BD!$AB$3:$AB$5001,"&lt;&gt;")=0,"",SUMIFS(BD!$AB$3:$AB$5001,BD!$A$3:$A$5001,X$3,BD!$B$3:$B$5001,$A$45)))</f>
        <v/>
      </c>
      <c r="Y59" s="216" t="str">
        <f>IF(Y$3="","",IF(COUNTIFS(BD!$A$3:$A$5001,Y$3,BD!$B$3:$B$5001,$A$45,BD!$AB$3:$AB$5001,"&lt;&gt;")=0,"",SUMIFS(BD!$AB$3:$AB$5001,BD!$A$3:$A$5001,Y$3,BD!$B$3:$B$5001,$A$45)))</f>
        <v/>
      </c>
      <c r="Z59" s="216" t="str">
        <f>IF(Z$3="","",IF(COUNTIFS(BD!$A$3:$A$5001,Z$3,BD!$B$3:$B$5001,$A$45,BD!$AB$3:$AB$5001,"&lt;&gt;")=0,"",SUMIFS(BD!$AB$3:$AB$5001,BD!$A$3:$A$5001,Z$3,BD!$B$3:$B$5001,$A$45)))</f>
        <v/>
      </c>
      <c r="AA59" s="216" t="str">
        <f>IF(AA$3="","",IF(COUNTIFS(BD!$A$3:$A$5001,AA$3,BD!$B$3:$B$5001,$A$45,BD!$AB$3:$AB$5001,"&lt;&gt;")=0,"",SUMIFS(BD!$AB$3:$AB$5001,BD!$A$3:$A$5001,AA$3,BD!$B$3:$B$5001,$A$45)))</f>
        <v/>
      </c>
      <c r="AB59" s="216" t="str">
        <f>IF(AB$3="","",IF(COUNTIFS(BD!$A$3:$A$5001,AB$3,BD!$B$3:$B$5001,$A$45,BD!$AB$3:$AB$5001,"&lt;&gt;")=0,"",SUMIFS(BD!$AB$3:$AB$5001,BD!$A$3:$A$5001,AB$3,BD!$B$3:$B$5001,$A$45)))</f>
        <v/>
      </c>
      <c r="AC59" s="216" t="str">
        <f>IF(AC$3="","",IF(COUNTIFS(BD!$A$3:$A$5001,AC$3,BD!$B$3:$B$5001,$A$45,BD!$AB$3:$AB$5001,"&lt;&gt;")=0,"",SUMIFS(BD!$AB$3:$AB$5001,BD!$A$3:$A$5001,AC$3,BD!$B$3:$B$5001,$A$45)))</f>
        <v/>
      </c>
      <c r="AD59" s="216" t="str">
        <f>IF(AD$3="","",IF(COUNTIFS(BD!$A$3:$A$5001,AD$3,BD!$B$3:$B$5001,$A$45,BD!$AB$3:$AB$5001,"&lt;&gt;")=0,"",SUMIFS(BD!$AB$3:$AB$5001,BD!$A$3:$A$5001,AD$3,BD!$B$3:$B$5001,$A$45)))</f>
        <v/>
      </c>
      <c r="AE59" s="216" t="str">
        <f>IF(AE$3="","",IF(COUNTIFS(BD!$A$3:$A$5001,AE$3,BD!$B$3:$B$5001,$A$45,BD!$AB$3:$AB$5001,"&lt;&gt;")=0,"",SUMIFS(BD!$AB$3:$AB$5001,BD!$A$3:$A$5001,AE$3,BD!$B$3:$B$5001,$A$45)))</f>
        <v/>
      </c>
      <c r="AF59" s="216" t="str">
        <f>IF(AF$3="","",IF(COUNTIFS(BD!$A$3:$A$5001,AF$3,BD!$B$3:$B$5001,$A$45,BD!$AB$3:$AB$5001,"&lt;&gt;")=0,"",SUMIFS(BD!$AB$3:$AB$5001,BD!$A$3:$A$5001,AF$3,BD!$B$3:$B$5001,$A$45)))</f>
        <v/>
      </c>
      <c r="AG59" s="216" t="str">
        <f>IF(AG$3="","",IF(COUNTIFS(BD!$A$3:$A$5001,AG$3,BD!$B$3:$B$5001,$A$45,BD!$AB$3:$AB$5001,"&lt;&gt;")=0,"",SUMIFS(BD!$AB$3:$AB$5001,BD!$A$3:$A$5001,AG$3,BD!$B$3:$B$5001,$A$45)))</f>
        <v/>
      </c>
      <c r="AH59" s="216" t="str">
        <f>IF(AH$3="","",IF(COUNTIFS(BD!$A$3:$A$5001,AH$3,BD!$B$3:$B$5001,$A$45,BD!$AB$3:$AB$5001,"&lt;&gt;")=0,"",SUMIFS(BD!$AB$3:$AB$5001,BD!$A$3:$A$5001,AH$3,BD!$B$3:$B$5001,$A$45)))</f>
        <v/>
      </c>
      <c r="AI59" s="216" t="str">
        <f>IF(AI$3="","",IF(COUNTIFS(BD!$A$3:$A$5001,AI$3,BD!$B$3:$B$5001,$A$45,BD!$AB$3:$AB$5001,"&lt;&gt;")=0,"",SUMIFS(BD!$AB$3:$AB$5001,BD!$A$3:$A$5001,AI$3,BD!$B$3:$B$5001,$A$45)))</f>
        <v/>
      </c>
      <c r="AJ59" s="217" t="str">
        <f>IF(AJ$3="","",IF(COUNTIFS(BD!$A$3:$A$5001,AJ$3,BD!$B$3:$B$5001,$A$45,BD!$AB$3:$AB$5001,"&lt;&gt;")=0,"",SUMIFS(BD!$AB$3:$AB$5001,BD!$A$3:$A$5001,AJ$3,BD!$B$3:$B$5001,$A$45)))</f>
        <v/>
      </c>
      <c r="AK59" s="218" t="str">
        <f>IF(COUNT(F59:AJ59)=0,"",SUM(F59:AJ59))</f>
        <v/>
      </c>
    </row>
    <row r="60" ht="15.75" customHeight="1">
      <c r="A60" s="237"/>
      <c r="B60" s="234"/>
      <c r="C60" s="212" t="inlineStr">
        <is>
          <t xml:space="preserve">Férias</t>
        </is>
      </c>
      <c r="D60" s="213" t="str">
        <f>IFERROR(1/(1/INDEX(BD!$AK$50:$AU$50,MATCH($A$45,BD!$AK$22:$AU$22,0))),"")</f>
        <v/>
      </c>
      <c r="E60" s="214"/>
      <c r="F60" s="215" t="str">
        <f>IF(F$3="","",IF(COUNTIFS(BD!$A$3:$A$5001,F$3,BD!$B$3:$B$5001,$A$45,BD!$AC$3:$AC$5001,"&lt;&gt;")=0,"",SUMIFS(BD!$AC$3:$AC$5001,BD!$A$3:$A$5001,F$3,BD!$B$3:$B$5001,$A$45)))</f>
        <v/>
      </c>
      <c r="G60" s="216" t="str">
        <f>IF(G$3="","",IF(COUNTIFS(BD!$A$3:$A$5001,G$3,BD!$B$3:$B$5001,$A$45,BD!$AC$3:$AC$5001,"&lt;&gt;")=0,"",SUMIFS(BD!$AC$3:$AC$5001,BD!$A$3:$A$5001,G$3,BD!$B$3:$B$5001,$A$45)))</f>
        <v/>
      </c>
      <c r="H60" s="216" t="str">
        <f>IF(H$3="","",IF(COUNTIFS(BD!$A$3:$A$5001,H$3,BD!$B$3:$B$5001,$A$45,BD!$AC$3:$AC$5001,"&lt;&gt;")=0,"",SUMIFS(BD!$AC$3:$AC$5001,BD!$A$3:$A$5001,H$3,BD!$B$3:$B$5001,$A$45)))</f>
        <v/>
      </c>
      <c r="I60" s="216" t="str">
        <f>IF(I$3="","",IF(COUNTIFS(BD!$A$3:$A$5001,I$3,BD!$B$3:$B$5001,$A$45,BD!$AC$3:$AC$5001,"&lt;&gt;")=0,"",SUMIFS(BD!$AC$3:$AC$5001,BD!$A$3:$A$5001,I$3,BD!$B$3:$B$5001,$A$45)))</f>
        <v/>
      </c>
      <c r="J60" s="216" t="str">
        <f>IF(J$3="","",IF(COUNTIFS(BD!$A$3:$A$5001,J$3,BD!$B$3:$B$5001,$A$45,BD!$AC$3:$AC$5001,"&lt;&gt;")=0,"",SUMIFS(BD!$AC$3:$AC$5001,BD!$A$3:$A$5001,J$3,BD!$B$3:$B$5001,$A$45)))</f>
        <v/>
      </c>
      <c r="K60" s="216" t="str">
        <f>IF(K$3="","",IF(COUNTIFS(BD!$A$3:$A$5001,K$3,BD!$B$3:$B$5001,$A$45,BD!$AC$3:$AC$5001,"&lt;&gt;")=0,"",SUMIFS(BD!$AC$3:$AC$5001,BD!$A$3:$A$5001,K$3,BD!$B$3:$B$5001,$A$45)))</f>
        <v/>
      </c>
      <c r="L60" s="216" t="str">
        <f>IF(L$3="","",IF(COUNTIFS(BD!$A$3:$A$5001,L$3,BD!$B$3:$B$5001,$A$45,BD!$AC$3:$AC$5001,"&lt;&gt;")=0,"",SUMIFS(BD!$AC$3:$AC$5001,BD!$A$3:$A$5001,L$3,BD!$B$3:$B$5001,$A$45)))</f>
        <v/>
      </c>
      <c r="M60" s="216" t="str">
        <f>IF(M$3="","",IF(COUNTIFS(BD!$A$3:$A$5001,M$3,BD!$B$3:$B$5001,$A$45,BD!$AC$3:$AC$5001,"&lt;&gt;")=0,"",SUMIFS(BD!$AC$3:$AC$5001,BD!$A$3:$A$5001,M$3,BD!$B$3:$B$5001,$A$45)))</f>
        <v/>
      </c>
      <c r="N60" s="216" t="str">
        <f>IF(N$3="","",IF(COUNTIFS(BD!$A$3:$A$5001,N$3,BD!$B$3:$B$5001,$A$45,BD!$AC$3:$AC$5001,"&lt;&gt;")=0,"",SUMIFS(BD!$AC$3:$AC$5001,BD!$A$3:$A$5001,N$3,BD!$B$3:$B$5001,$A$45)))</f>
        <v/>
      </c>
      <c r="O60" s="216" t="str">
        <f>IF(O$3="","",IF(COUNTIFS(BD!$A$3:$A$5001,O$3,BD!$B$3:$B$5001,$A$45,BD!$AC$3:$AC$5001,"&lt;&gt;")=0,"",SUMIFS(BD!$AC$3:$AC$5001,BD!$A$3:$A$5001,O$3,BD!$B$3:$B$5001,$A$45)))</f>
        <v/>
      </c>
      <c r="P60" s="216" t="str">
        <f>IF(P$3="","",IF(COUNTIFS(BD!$A$3:$A$5001,P$3,BD!$B$3:$B$5001,$A$45,BD!$AC$3:$AC$5001,"&lt;&gt;")=0,"",SUMIFS(BD!$AC$3:$AC$5001,BD!$A$3:$A$5001,P$3,BD!$B$3:$B$5001,$A$45)))</f>
        <v/>
      </c>
      <c r="Q60" s="216" t="str">
        <f>IF(Q$3="","",IF(COUNTIFS(BD!$A$3:$A$5001,Q$3,BD!$B$3:$B$5001,$A$45,BD!$AC$3:$AC$5001,"&lt;&gt;")=0,"",SUMIFS(BD!$AC$3:$AC$5001,BD!$A$3:$A$5001,Q$3,BD!$B$3:$B$5001,$A$45)))</f>
        <v/>
      </c>
      <c r="R60" s="216" t="str">
        <f>IF(R$3="","",IF(COUNTIFS(BD!$A$3:$A$5001,R$3,BD!$B$3:$B$5001,$A$45,BD!$AC$3:$AC$5001,"&lt;&gt;")=0,"",SUMIFS(BD!$AC$3:$AC$5001,BD!$A$3:$A$5001,R$3,BD!$B$3:$B$5001,$A$45)))</f>
        <v/>
      </c>
      <c r="S60" s="216" t="str">
        <f>IF(S$3="","",IF(COUNTIFS(BD!$A$3:$A$5001,S$3,BD!$B$3:$B$5001,$A$45,BD!$AC$3:$AC$5001,"&lt;&gt;")=0,"",SUMIFS(BD!$AC$3:$AC$5001,BD!$A$3:$A$5001,S$3,BD!$B$3:$B$5001,$A$45)))</f>
        <v/>
      </c>
      <c r="T60" s="216" t="str">
        <f>IF(T$3="","",IF(COUNTIFS(BD!$A$3:$A$5001,T$3,BD!$B$3:$B$5001,$A$45,BD!$AC$3:$AC$5001,"&lt;&gt;")=0,"",SUMIFS(BD!$AC$3:$AC$5001,BD!$A$3:$A$5001,T$3,BD!$B$3:$B$5001,$A$45)))</f>
        <v/>
      </c>
      <c r="U60" s="216" t="str">
        <f>IF(U$3="","",IF(COUNTIFS(BD!$A$3:$A$5001,U$3,BD!$B$3:$B$5001,$A$45,BD!$AC$3:$AC$5001,"&lt;&gt;")=0,"",SUMIFS(BD!$AC$3:$AC$5001,BD!$A$3:$A$5001,U$3,BD!$B$3:$B$5001,$A$45)))</f>
        <v/>
      </c>
      <c r="V60" s="216" t="str">
        <f>IF(V$3="","",IF(COUNTIFS(BD!$A$3:$A$5001,V$3,BD!$B$3:$B$5001,$A$45,BD!$AC$3:$AC$5001,"&lt;&gt;")=0,"",SUMIFS(BD!$AC$3:$AC$5001,BD!$A$3:$A$5001,V$3,BD!$B$3:$B$5001,$A$45)))</f>
        <v/>
      </c>
      <c r="W60" s="216" t="str">
        <f>IF(W$3="","",IF(COUNTIFS(BD!$A$3:$A$5001,W$3,BD!$B$3:$B$5001,$A$45,BD!$AC$3:$AC$5001,"&lt;&gt;")=0,"",SUMIFS(BD!$AC$3:$AC$5001,BD!$A$3:$A$5001,W$3,BD!$B$3:$B$5001,$A$45)))</f>
        <v/>
      </c>
      <c r="X60" s="216" t="str">
        <f>IF(X$3="","",IF(COUNTIFS(BD!$A$3:$A$5001,X$3,BD!$B$3:$B$5001,$A$45,BD!$AC$3:$AC$5001,"&lt;&gt;")=0,"",SUMIFS(BD!$AC$3:$AC$5001,BD!$A$3:$A$5001,X$3,BD!$B$3:$B$5001,$A$45)))</f>
        <v/>
      </c>
      <c r="Y60" s="216" t="str">
        <f>IF(Y$3="","",IF(COUNTIFS(BD!$A$3:$A$5001,Y$3,BD!$B$3:$B$5001,$A$45,BD!$AC$3:$AC$5001,"&lt;&gt;")=0,"",SUMIFS(BD!$AC$3:$AC$5001,BD!$A$3:$A$5001,Y$3,BD!$B$3:$B$5001,$A$45)))</f>
        <v/>
      </c>
      <c r="Z60" s="216" t="str">
        <f>IF(Z$3="","",IF(COUNTIFS(BD!$A$3:$A$5001,Z$3,BD!$B$3:$B$5001,$A$45,BD!$AC$3:$AC$5001,"&lt;&gt;")=0,"",SUMIFS(BD!$AC$3:$AC$5001,BD!$A$3:$A$5001,Z$3,BD!$B$3:$B$5001,$A$45)))</f>
        <v/>
      </c>
      <c r="AA60" s="216" t="str">
        <f>IF(AA$3="","",IF(COUNTIFS(BD!$A$3:$A$5001,AA$3,BD!$B$3:$B$5001,$A$45,BD!$AC$3:$AC$5001,"&lt;&gt;")=0,"",SUMIFS(BD!$AC$3:$AC$5001,BD!$A$3:$A$5001,AA$3,BD!$B$3:$B$5001,$A$45)))</f>
        <v/>
      </c>
      <c r="AB60" s="216" t="str">
        <f>IF(AB$3="","",IF(COUNTIFS(BD!$A$3:$A$5001,AB$3,BD!$B$3:$B$5001,$A$45,BD!$AC$3:$AC$5001,"&lt;&gt;")=0,"",SUMIFS(BD!$AC$3:$AC$5001,BD!$A$3:$A$5001,AB$3,BD!$B$3:$B$5001,$A$45)))</f>
        <v/>
      </c>
      <c r="AC60" s="216" t="str">
        <f>IF(AC$3="","",IF(COUNTIFS(BD!$A$3:$A$5001,AC$3,BD!$B$3:$B$5001,$A$45,BD!$AC$3:$AC$5001,"&lt;&gt;")=0,"",SUMIFS(BD!$AC$3:$AC$5001,BD!$A$3:$A$5001,AC$3,BD!$B$3:$B$5001,$A$45)))</f>
        <v/>
      </c>
      <c r="AD60" s="216" t="str">
        <f>IF(AD$3="","",IF(COUNTIFS(BD!$A$3:$A$5001,AD$3,BD!$B$3:$B$5001,$A$45,BD!$AC$3:$AC$5001,"&lt;&gt;")=0,"",SUMIFS(BD!$AC$3:$AC$5001,BD!$A$3:$A$5001,AD$3,BD!$B$3:$B$5001,$A$45)))</f>
        <v/>
      </c>
      <c r="AE60" s="216" t="str">
        <f>IF(AE$3="","",IF(COUNTIFS(BD!$A$3:$A$5001,AE$3,BD!$B$3:$B$5001,$A$45,BD!$AC$3:$AC$5001,"&lt;&gt;")=0,"",SUMIFS(BD!$AC$3:$AC$5001,BD!$A$3:$A$5001,AE$3,BD!$B$3:$B$5001,$A$45)))</f>
        <v/>
      </c>
      <c r="AF60" s="216" t="str">
        <f>IF(AF$3="","",IF(COUNTIFS(BD!$A$3:$A$5001,AF$3,BD!$B$3:$B$5001,$A$45,BD!$AC$3:$AC$5001,"&lt;&gt;")=0,"",SUMIFS(BD!$AC$3:$AC$5001,BD!$A$3:$A$5001,AF$3,BD!$B$3:$B$5001,$A$45)))</f>
        <v/>
      </c>
      <c r="AG60" s="216" t="str">
        <f>IF(AG$3="","",IF(COUNTIFS(BD!$A$3:$A$5001,AG$3,BD!$B$3:$B$5001,$A$45,BD!$AC$3:$AC$5001,"&lt;&gt;")=0,"",SUMIFS(BD!$AC$3:$AC$5001,BD!$A$3:$A$5001,AG$3,BD!$B$3:$B$5001,$A$45)))</f>
        <v/>
      </c>
      <c r="AH60" s="216" t="str">
        <f>IF(AH$3="","",IF(COUNTIFS(BD!$A$3:$A$5001,AH$3,BD!$B$3:$B$5001,$A$45,BD!$AC$3:$AC$5001,"&lt;&gt;")=0,"",SUMIFS(BD!$AC$3:$AC$5001,BD!$A$3:$A$5001,AH$3,BD!$B$3:$B$5001,$A$45)))</f>
        <v/>
      </c>
      <c r="AI60" s="216" t="str">
        <f>IF(AI$3="","",IF(COUNTIFS(BD!$A$3:$A$5001,AI$3,BD!$B$3:$B$5001,$A$45,BD!$AC$3:$AC$5001,"&lt;&gt;")=0,"",SUMIFS(BD!$AC$3:$AC$5001,BD!$A$3:$A$5001,AI$3,BD!$B$3:$B$5001,$A$45)))</f>
        <v/>
      </c>
      <c r="AJ60" s="217" t="str">
        <f>IF(AJ$3="","",IF(COUNTIFS(BD!$A$3:$A$5001,AJ$3,BD!$B$3:$B$5001,$A$45,BD!$AC$3:$AC$5001,"&lt;&gt;")=0,"",SUMIFS(BD!$AC$3:$AC$5001,BD!$A$3:$A$5001,AJ$3,BD!$B$3:$B$5001,$A$45)))</f>
        <v/>
      </c>
      <c r="AK60" s="218" t="str">
        <f>IF(COUNT(F60:AJ60)=0,"",SUM(F60:AJ60))</f>
        <v/>
      </c>
    </row>
    <row r="61" ht="15.75" customHeight="1">
      <c r="A61" s="237"/>
      <c r="B61" s="234"/>
      <c r="C61" s="212" t="inlineStr">
        <is>
          <t xml:space="preserve">Desligamento</t>
        </is>
      </c>
      <c r="D61" s="213" t="str">
        <f>IFERROR(1/(1/INDEX(BD!$AK$51:$AU$51,MATCH($A$45,BD!$AK$22:$AU$22,0))),"")</f>
        <v/>
      </c>
      <c r="E61" s="214"/>
      <c r="F61" s="215" t="str">
        <f>IF(F$3="","",IF(COUNTIFS(BD!$A$3:$A$5001,F$3,BD!$B$3:$B$5001,$A$45,BD!$AD$3:$AD$5001,"&lt;&gt;")=0,"",SUMIFS(BD!$AD$3:$AD$5001,BD!$A$3:$A$5001,F$3,BD!$B$3:$B$5001,$A$45)))</f>
        <v/>
      </c>
      <c r="G61" s="216" t="str">
        <f>IF(G$3="","",IF(COUNTIFS(BD!$A$3:$A$5001,G$3,BD!$B$3:$B$5001,$A$45,BD!$AD$3:$AD$5001,"&lt;&gt;")=0,"",SUMIFS(BD!$AD$3:$AD$5001,BD!$A$3:$A$5001,G$3,BD!$B$3:$B$5001,$A$45)))</f>
        <v/>
      </c>
      <c r="H61" s="216" t="str">
        <f>IF(H$3="","",IF(COUNTIFS(BD!$A$3:$A$5001,H$3,BD!$B$3:$B$5001,$A$45,BD!$AD$3:$AD$5001,"&lt;&gt;")=0,"",SUMIFS(BD!$AD$3:$AD$5001,BD!$A$3:$A$5001,H$3,BD!$B$3:$B$5001,$A$45)))</f>
        <v/>
      </c>
      <c r="I61" s="216" t="str">
        <f>IF(I$3="","",IF(COUNTIFS(BD!$A$3:$A$5001,I$3,BD!$B$3:$B$5001,$A$45,BD!$AD$3:$AD$5001,"&lt;&gt;")=0,"",SUMIFS(BD!$AD$3:$AD$5001,BD!$A$3:$A$5001,I$3,BD!$B$3:$B$5001,$A$45)))</f>
        <v/>
      </c>
      <c r="J61" s="216" t="str">
        <f>IF(J$3="","",IF(COUNTIFS(BD!$A$3:$A$5001,J$3,BD!$B$3:$B$5001,$A$45,BD!$AD$3:$AD$5001,"&lt;&gt;")=0,"",SUMIFS(BD!$AD$3:$AD$5001,BD!$A$3:$A$5001,J$3,BD!$B$3:$B$5001,$A$45)))</f>
        <v/>
      </c>
      <c r="K61" s="216" t="str">
        <f>IF(K$3="","",IF(COUNTIFS(BD!$A$3:$A$5001,K$3,BD!$B$3:$B$5001,$A$45,BD!$AD$3:$AD$5001,"&lt;&gt;")=0,"",SUMIFS(BD!$AD$3:$AD$5001,BD!$A$3:$A$5001,K$3,BD!$B$3:$B$5001,$A$45)))</f>
        <v/>
      </c>
      <c r="L61" s="216" t="str">
        <f>IF(L$3="","",IF(COUNTIFS(BD!$A$3:$A$5001,L$3,BD!$B$3:$B$5001,$A$45,BD!$AD$3:$AD$5001,"&lt;&gt;")=0,"",SUMIFS(BD!$AD$3:$AD$5001,BD!$A$3:$A$5001,L$3,BD!$B$3:$B$5001,$A$45)))</f>
        <v/>
      </c>
      <c r="M61" s="216" t="str">
        <f>IF(M$3="","",IF(COUNTIFS(BD!$A$3:$A$5001,M$3,BD!$B$3:$B$5001,$A$45,BD!$AD$3:$AD$5001,"&lt;&gt;")=0,"",SUMIFS(BD!$AD$3:$AD$5001,BD!$A$3:$A$5001,M$3,BD!$B$3:$B$5001,$A$45)))</f>
        <v/>
      </c>
      <c r="N61" s="216" t="str">
        <f>IF(N$3="","",IF(COUNTIFS(BD!$A$3:$A$5001,N$3,BD!$B$3:$B$5001,$A$45,BD!$AD$3:$AD$5001,"&lt;&gt;")=0,"",SUMIFS(BD!$AD$3:$AD$5001,BD!$A$3:$A$5001,N$3,BD!$B$3:$B$5001,$A$45)))</f>
        <v/>
      </c>
      <c r="O61" s="216" t="str">
        <f>IF(O$3="","",IF(COUNTIFS(BD!$A$3:$A$5001,O$3,BD!$B$3:$B$5001,$A$45,BD!$AD$3:$AD$5001,"&lt;&gt;")=0,"",SUMIFS(BD!$AD$3:$AD$5001,BD!$A$3:$A$5001,O$3,BD!$B$3:$B$5001,$A$45)))</f>
        <v/>
      </c>
      <c r="P61" s="216" t="str">
        <f>IF(P$3="","",IF(COUNTIFS(BD!$A$3:$A$5001,P$3,BD!$B$3:$B$5001,$A$45,BD!$AD$3:$AD$5001,"&lt;&gt;")=0,"",SUMIFS(BD!$AD$3:$AD$5001,BD!$A$3:$A$5001,P$3,BD!$B$3:$B$5001,$A$45)))</f>
        <v/>
      </c>
      <c r="Q61" s="216" t="str">
        <f>IF(Q$3="","",IF(COUNTIFS(BD!$A$3:$A$5001,Q$3,BD!$B$3:$B$5001,$A$45,BD!$AD$3:$AD$5001,"&lt;&gt;")=0,"",SUMIFS(BD!$AD$3:$AD$5001,BD!$A$3:$A$5001,Q$3,BD!$B$3:$B$5001,$A$45)))</f>
        <v/>
      </c>
      <c r="R61" s="216" t="str">
        <f>IF(R$3="","",IF(COUNTIFS(BD!$A$3:$A$5001,R$3,BD!$B$3:$B$5001,$A$45,BD!$AD$3:$AD$5001,"&lt;&gt;")=0,"",SUMIFS(BD!$AD$3:$AD$5001,BD!$A$3:$A$5001,R$3,BD!$B$3:$B$5001,$A$45)))</f>
        <v/>
      </c>
      <c r="S61" s="216" t="str">
        <f>IF(S$3="","",IF(COUNTIFS(BD!$A$3:$A$5001,S$3,BD!$B$3:$B$5001,$A$45,BD!$AD$3:$AD$5001,"&lt;&gt;")=0,"",SUMIFS(BD!$AD$3:$AD$5001,BD!$A$3:$A$5001,S$3,BD!$B$3:$B$5001,$A$45)))</f>
        <v/>
      </c>
      <c r="T61" s="216" t="str">
        <f>IF(T$3="","",IF(COUNTIFS(BD!$A$3:$A$5001,T$3,BD!$B$3:$B$5001,$A$45,BD!$AD$3:$AD$5001,"&lt;&gt;")=0,"",SUMIFS(BD!$AD$3:$AD$5001,BD!$A$3:$A$5001,T$3,BD!$B$3:$B$5001,$A$45)))</f>
        <v/>
      </c>
      <c r="U61" s="216" t="str">
        <f>IF(U$3="","",IF(COUNTIFS(BD!$A$3:$A$5001,U$3,BD!$B$3:$B$5001,$A$45,BD!$AD$3:$AD$5001,"&lt;&gt;")=0,"",SUMIFS(BD!$AD$3:$AD$5001,BD!$A$3:$A$5001,U$3,BD!$B$3:$B$5001,$A$45)))</f>
        <v/>
      </c>
      <c r="V61" s="216" t="str">
        <f>IF(V$3="","",IF(COUNTIFS(BD!$A$3:$A$5001,V$3,BD!$B$3:$B$5001,$A$45,BD!$AD$3:$AD$5001,"&lt;&gt;")=0,"",SUMIFS(BD!$AD$3:$AD$5001,BD!$A$3:$A$5001,V$3,BD!$B$3:$B$5001,$A$45)))</f>
        <v/>
      </c>
      <c r="W61" s="216" t="str">
        <f>IF(W$3="","",IF(COUNTIFS(BD!$A$3:$A$5001,W$3,BD!$B$3:$B$5001,$A$45,BD!$AD$3:$AD$5001,"&lt;&gt;")=0,"",SUMIFS(BD!$AD$3:$AD$5001,BD!$A$3:$A$5001,W$3,BD!$B$3:$B$5001,$A$45)))</f>
        <v/>
      </c>
      <c r="X61" s="216" t="str">
        <f>IF(X$3="","",IF(COUNTIFS(BD!$A$3:$A$5001,X$3,BD!$B$3:$B$5001,$A$45,BD!$AD$3:$AD$5001,"&lt;&gt;")=0,"",SUMIFS(BD!$AD$3:$AD$5001,BD!$A$3:$A$5001,X$3,BD!$B$3:$B$5001,$A$45)))</f>
        <v/>
      </c>
      <c r="Y61" s="216" t="str">
        <f>IF(Y$3="","",IF(COUNTIFS(BD!$A$3:$A$5001,Y$3,BD!$B$3:$B$5001,$A$45,BD!$AD$3:$AD$5001,"&lt;&gt;")=0,"",SUMIFS(BD!$AD$3:$AD$5001,BD!$A$3:$A$5001,Y$3,BD!$B$3:$B$5001,$A$45)))</f>
        <v/>
      </c>
      <c r="Z61" s="216" t="str">
        <f>IF(Z$3="","",IF(COUNTIFS(BD!$A$3:$A$5001,Z$3,BD!$B$3:$B$5001,$A$45,BD!$AD$3:$AD$5001,"&lt;&gt;")=0,"",SUMIFS(BD!$AD$3:$AD$5001,BD!$A$3:$A$5001,Z$3,BD!$B$3:$B$5001,$A$45)))</f>
        <v/>
      </c>
      <c r="AA61" s="216" t="str">
        <f>IF(AA$3="","",IF(COUNTIFS(BD!$A$3:$A$5001,AA$3,BD!$B$3:$B$5001,$A$45,BD!$AD$3:$AD$5001,"&lt;&gt;")=0,"",SUMIFS(BD!$AD$3:$AD$5001,BD!$A$3:$A$5001,AA$3,BD!$B$3:$B$5001,$A$45)))</f>
        <v/>
      </c>
      <c r="AB61" s="216" t="str">
        <f>IF(AB$3="","",IF(COUNTIFS(BD!$A$3:$A$5001,AB$3,BD!$B$3:$B$5001,$A$45,BD!$AD$3:$AD$5001,"&lt;&gt;")=0,"",SUMIFS(BD!$AD$3:$AD$5001,BD!$A$3:$A$5001,AB$3,BD!$B$3:$B$5001,$A$45)))</f>
        <v/>
      </c>
      <c r="AC61" s="216" t="str">
        <f>IF(AC$3="","",IF(COUNTIFS(BD!$A$3:$A$5001,AC$3,BD!$B$3:$B$5001,$A$45,BD!$AD$3:$AD$5001,"&lt;&gt;")=0,"",SUMIFS(BD!$AD$3:$AD$5001,BD!$A$3:$A$5001,AC$3,BD!$B$3:$B$5001,$A$45)))</f>
        <v/>
      </c>
      <c r="AD61" s="216" t="str">
        <f>IF(AD$3="","",IF(COUNTIFS(BD!$A$3:$A$5001,AD$3,BD!$B$3:$B$5001,$A$45,BD!$AD$3:$AD$5001,"&lt;&gt;")=0,"",SUMIFS(BD!$AD$3:$AD$5001,BD!$A$3:$A$5001,AD$3,BD!$B$3:$B$5001,$A$45)))</f>
        <v/>
      </c>
      <c r="AE61" s="216" t="str">
        <f>IF(AE$3="","",IF(COUNTIFS(BD!$A$3:$A$5001,AE$3,BD!$B$3:$B$5001,$A$45,BD!$AD$3:$AD$5001,"&lt;&gt;")=0,"",SUMIFS(BD!$AD$3:$AD$5001,BD!$A$3:$A$5001,AE$3,BD!$B$3:$B$5001,$A$45)))</f>
        <v/>
      </c>
      <c r="AF61" s="216" t="str">
        <f>IF(AF$3="","",IF(COUNTIFS(BD!$A$3:$A$5001,AF$3,BD!$B$3:$B$5001,$A$45,BD!$AD$3:$AD$5001,"&lt;&gt;")=0,"",SUMIFS(BD!$AD$3:$AD$5001,BD!$A$3:$A$5001,AF$3,BD!$B$3:$B$5001,$A$45)))</f>
        <v/>
      </c>
      <c r="AG61" s="216" t="str">
        <f>IF(AG$3="","",IF(COUNTIFS(BD!$A$3:$A$5001,AG$3,BD!$B$3:$B$5001,$A$45,BD!$AD$3:$AD$5001,"&lt;&gt;")=0,"",SUMIFS(BD!$AD$3:$AD$5001,BD!$A$3:$A$5001,AG$3,BD!$B$3:$B$5001,$A$45)))</f>
        <v/>
      </c>
      <c r="AH61" s="216" t="str">
        <f>IF(AH$3="","",IF(COUNTIFS(BD!$A$3:$A$5001,AH$3,BD!$B$3:$B$5001,$A$45,BD!$AD$3:$AD$5001,"&lt;&gt;")=0,"",SUMIFS(BD!$AD$3:$AD$5001,BD!$A$3:$A$5001,AH$3,BD!$B$3:$B$5001,$A$45)))</f>
        <v/>
      </c>
      <c r="AI61" s="216" t="str">
        <f>IF(AI$3="","",IF(COUNTIFS(BD!$A$3:$A$5001,AI$3,BD!$B$3:$B$5001,$A$45,BD!$AD$3:$AD$5001,"&lt;&gt;")=0,"",SUMIFS(BD!$AD$3:$AD$5001,BD!$A$3:$A$5001,AI$3,BD!$B$3:$B$5001,$A$45)))</f>
        <v/>
      </c>
      <c r="AJ61" s="217" t="str">
        <f>IF(AJ$3="","",IF(COUNTIFS(BD!$A$3:$A$5001,AJ$3,BD!$B$3:$B$5001,$A$45,BD!$AD$3:$AD$5001,"&lt;&gt;")=0,"",SUMIFS(BD!$AD$3:$AD$5001,BD!$A$3:$A$5001,AJ$3,BD!$B$3:$B$5001,$A$45)))</f>
        <v/>
      </c>
      <c r="AK61" s="218" t="str">
        <f>IF(COUNT(F61:AJ61)=0,"",SUM(F61:AJ61))</f>
        <v/>
      </c>
    </row>
    <row r="62" ht="15.75" customHeight="1">
      <c r="A62" s="237"/>
      <c r="B62" s="234"/>
      <c r="C62" s="212" t="inlineStr">
        <is>
          <t xml:space="preserve">Desvios Comportamentais</t>
        </is>
      </c>
      <c r="D62" s="213" t="str">
        <f>IFERROR(1/(1/INDEX(BD!$AK$52:$AU$52,MATCH($A$45,BD!$AK$22:$AU$22,0))),"")</f>
        <v/>
      </c>
      <c r="E62" s="214"/>
      <c r="F62" s="215" t="str">
        <f>IF(F$3="","",IF(COUNTIFS(BD!$A$3:$A$5001,F$3,BD!$B$3:$B$5001,$A$45,BD!$AE$3:$AE$5001,"&lt;&gt;")=0,"",SUMIFS(BD!$AE$3:$AE$5001,BD!$A$3:$A$5001,F$3,BD!$B$3:$B$5001,$A$45)))</f>
        <v/>
      </c>
      <c r="G62" s="216" t="str">
        <f>IF(G$3="","",IF(COUNTIFS(BD!$A$3:$A$5001,G$3,BD!$B$3:$B$5001,$A$45,BD!$AE$3:$AE$5001,"&lt;&gt;")=0,"",SUMIFS(BD!$AE$3:$AE$5001,BD!$A$3:$A$5001,G$3,BD!$B$3:$B$5001,$A$45)))</f>
        <v/>
      </c>
      <c r="H62" s="216" t="str">
        <f>IF(H$3="","",IF(COUNTIFS(BD!$A$3:$A$5001,H$3,BD!$B$3:$B$5001,$A$45,BD!$AE$3:$AE$5001,"&lt;&gt;")=0,"",SUMIFS(BD!$AE$3:$AE$5001,BD!$A$3:$A$5001,H$3,BD!$B$3:$B$5001,$A$45)))</f>
        <v/>
      </c>
      <c r="I62" s="216" t="str">
        <f>IF(I$3="","",IF(COUNTIFS(BD!$A$3:$A$5001,I$3,BD!$B$3:$B$5001,$A$45,BD!$AE$3:$AE$5001,"&lt;&gt;")=0,"",SUMIFS(BD!$AE$3:$AE$5001,BD!$A$3:$A$5001,I$3,BD!$B$3:$B$5001,$A$45)))</f>
        <v/>
      </c>
      <c r="J62" s="216" t="str">
        <f>IF(J$3="","",IF(COUNTIFS(BD!$A$3:$A$5001,J$3,BD!$B$3:$B$5001,$A$45,BD!$AE$3:$AE$5001,"&lt;&gt;")=0,"",SUMIFS(BD!$AE$3:$AE$5001,BD!$A$3:$A$5001,J$3,BD!$B$3:$B$5001,$A$45)))</f>
        <v/>
      </c>
      <c r="K62" s="216" t="str">
        <f>IF(K$3="","",IF(COUNTIFS(BD!$A$3:$A$5001,K$3,BD!$B$3:$B$5001,$A$45,BD!$AE$3:$AE$5001,"&lt;&gt;")=0,"",SUMIFS(BD!$AE$3:$AE$5001,BD!$A$3:$A$5001,K$3,BD!$B$3:$B$5001,$A$45)))</f>
        <v/>
      </c>
      <c r="L62" s="216" t="str">
        <f>IF(L$3="","",IF(COUNTIFS(BD!$A$3:$A$5001,L$3,BD!$B$3:$B$5001,$A$45,BD!$AE$3:$AE$5001,"&lt;&gt;")=0,"",SUMIFS(BD!$AE$3:$AE$5001,BD!$A$3:$A$5001,L$3,BD!$B$3:$B$5001,$A$45)))</f>
        <v/>
      </c>
      <c r="M62" s="216" t="str">
        <f>IF(M$3="","",IF(COUNTIFS(BD!$A$3:$A$5001,M$3,BD!$B$3:$B$5001,$A$45,BD!$AE$3:$AE$5001,"&lt;&gt;")=0,"",SUMIFS(BD!$AE$3:$AE$5001,BD!$A$3:$A$5001,M$3,BD!$B$3:$B$5001,$A$45)))</f>
        <v/>
      </c>
      <c r="N62" s="216" t="str">
        <f>IF(N$3="","",IF(COUNTIFS(BD!$A$3:$A$5001,N$3,BD!$B$3:$B$5001,$A$45,BD!$AE$3:$AE$5001,"&lt;&gt;")=0,"",SUMIFS(BD!$AE$3:$AE$5001,BD!$A$3:$A$5001,N$3,BD!$B$3:$B$5001,$A$45)))</f>
        <v/>
      </c>
      <c r="O62" s="216" t="str">
        <f>IF(O$3="","",IF(COUNTIFS(BD!$A$3:$A$5001,O$3,BD!$B$3:$B$5001,$A$45,BD!$AE$3:$AE$5001,"&lt;&gt;")=0,"",SUMIFS(BD!$AE$3:$AE$5001,BD!$A$3:$A$5001,O$3,BD!$B$3:$B$5001,$A$45)))</f>
        <v/>
      </c>
      <c r="P62" s="216" t="str">
        <f>IF(P$3="","",IF(COUNTIFS(BD!$A$3:$A$5001,P$3,BD!$B$3:$B$5001,$A$45,BD!$AE$3:$AE$5001,"&lt;&gt;")=0,"",SUMIFS(BD!$AE$3:$AE$5001,BD!$A$3:$A$5001,P$3,BD!$B$3:$B$5001,$A$45)))</f>
        <v/>
      </c>
      <c r="Q62" s="216" t="str">
        <f>IF(Q$3="","",IF(COUNTIFS(BD!$A$3:$A$5001,Q$3,BD!$B$3:$B$5001,$A$45,BD!$AE$3:$AE$5001,"&lt;&gt;")=0,"",SUMIFS(BD!$AE$3:$AE$5001,BD!$A$3:$A$5001,Q$3,BD!$B$3:$B$5001,$A$45)))</f>
        <v/>
      </c>
      <c r="R62" s="216" t="str">
        <f>IF(R$3="","",IF(COUNTIFS(BD!$A$3:$A$5001,R$3,BD!$B$3:$B$5001,$A$45,BD!$AE$3:$AE$5001,"&lt;&gt;")=0,"",SUMIFS(BD!$AE$3:$AE$5001,BD!$A$3:$A$5001,R$3,BD!$B$3:$B$5001,$A$45)))</f>
        <v/>
      </c>
      <c r="S62" s="216" t="str">
        <f>IF(S$3="","",IF(COUNTIFS(BD!$A$3:$A$5001,S$3,BD!$B$3:$B$5001,$A$45,BD!$AE$3:$AE$5001,"&lt;&gt;")=0,"",SUMIFS(BD!$AE$3:$AE$5001,BD!$A$3:$A$5001,S$3,BD!$B$3:$B$5001,$A$45)))</f>
        <v/>
      </c>
      <c r="T62" s="216" t="str">
        <f>IF(T$3="","",IF(COUNTIFS(BD!$A$3:$A$5001,T$3,BD!$B$3:$B$5001,$A$45,BD!$AE$3:$AE$5001,"&lt;&gt;")=0,"",SUMIFS(BD!$AE$3:$AE$5001,BD!$A$3:$A$5001,T$3,BD!$B$3:$B$5001,$A$45)))</f>
        <v/>
      </c>
      <c r="U62" s="216" t="str">
        <f>IF(U$3="","",IF(COUNTIFS(BD!$A$3:$A$5001,U$3,BD!$B$3:$B$5001,$A$45,BD!$AE$3:$AE$5001,"&lt;&gt;")=0,"",SUMIFS(BD!$AE$3:$AE$5001,BD!$A$3:$A$5001,U$3,BD!$B$3:$B$5001,$A$45)))</f>
        <v/>
      </c>
      <c r="V62" s="216" t="str">
        <f>IF(V$3="","",IF(COUNTIFS(BD!$A$3:$A$5001,V$3,BD!$B$3:$B$5001,$A$45,BD!$AE$3:$AE$5001,"&lt;&gt;")=0,"",SUMIFS(BD!$AE$3:$AE$5001,BD!$A$3:$A$5001,V$3,BD!$B$3:$B$5001,$A$45)))</f>
        <v/>
      </c>
      <c r="W62" s="216" t="str">
        <f>IF(W$3="","",IF(COUNTIFS(BD!$A$3:$A$5001,W$3,BD!$B$3:$B$5001,$A$45,BD!$AE$3:$AE$5001,"&lt;&gt;")=0,"",SUMIFS(BD!$AE$3:$AE$5001,BD!$A$3:$A$5001,W$3,BD!$B$3:$B$5001,$A$45)))</f>
        <v/>
      </c>
      <c r="X62" s="216" t="str">
        <f>IF(X$3="","",IF(COUNTIFS(BD!$A$3:$A$5001,X$3,BD!$B$3:$B$5001,$A$45,BD!$AE$3:$AE$5001,"&lt;&gt;")=0,"",SUMIFS(BD!$AE$3:$AE$5001,BD!$A$3:$A$5001,X$3,BD!$B$3:$B$5001,$A$45)))</f>
        <v/>
      </c>
      <c r="Y62" s="216" t="str">
        <f>IF(Y$3="","",IF(COUNTIFS(BD!$A$3:$A$5001,Y$3,BD!$B$3:$B$5001,$A$45,BD!$AE$3:$AE$5001,"&lt;&gt;")=0,"",SUMIFS(BD!$AE$3:$AE$5001,BD!$A$3:$A$5001,Y$3,BD!$B$3:$B$5001,$A$45)))</f>
        <v/>
      </c>
      <c r="Z62" s="216" t="str">
        <f>IF(Z$3="","",IF(COUNTIFS(BD!$A$3:$A$5001,Z$3,BD!$B$3:$B$5001,$A$45,BD!$AE$3:$AE$5001,"&lt;&gt;")=0,"",SUMIFS(BD!$AE$3:$AE$5001,BD!$A$3:$A$5001,Z$3,BD!$B$3:$B$5001,$A$45)))</f>
        <v/>
      </c>
      <c r="AA62" s="216" t="str">
        <f>IF(AA$3="","",IF(COUNTIFS(BD!$A$3:$A$5001,AA$3,BD!$B$3:$B$5001,$A$45,BD!$AE$3:$AE$5001,"&lt;&gt;")=0,"",SUMIFS(BD!$AE$3:$AE$5001,BD!$A$3:$A$5001,AA$3,BD!$B$3:$B$5001,$A$45)))</f>
        <v/>
      </c>
      <c r="AB62" s="216" t="str">
        <f>IF(AB$3="","",IF(COUNTIFS(BD!$A$3:$A$5001,AB$3,BD!$B$3:$B$5001,$A$45,BD!$AE$3:$AE$5001,"&lt;&gt;")=0,"",SUMIFS(BD!$AE$3:$AE$5001,BD!$A$3:$A$5001,AB$3,BD!$B$3:$B$5001,$A$45)))</f>
        <v/>
      </c>
      <c r="AC62" s="216" t="str">
        <f>IF(AC$3="","",IF(COUNTIFS(BD!$A$3:$A$5001,AC$3,BD!$B$3:$B$5001,$A$45,BD!$AE$3:$AE$5001,"&lt;&gt;")=0,"",SUMIFS(BD!$AE$3:$AE$5001,BD!$A$3:$A$5001,AC$3,BD!$B$3:$B$5001,$A$45)))</f>
        <v/>
      </c>
      <c r="AD62" s="216" t="str">
        <f>IF(AD$3="","",IF(COUNTIFS(BD!$A$3:$A$5001,AD$3,BD!$B$3:$B$5001,$A$45,BD!$AE$3:$AE$5001,"&lt;&gt;")=0,"",SUMIFS(BD!$AE$3:$AE$5001,BD!$A$3:$A$5001,AD$3,BD!$B$3:$B$5001,$A$45)))</f>
        <v/>
      </c>
      <c r="AE62" s="216" t="str">
        <f>IF(AE$3="","",IF(COUNTIFS(BD!$A$3:$A$5001,AE$3,BD!$B$3:$B$5001,$A$45,BD!$AE$3:$AE$5001,"&lt;&gt;")=0,"",SUMIFS(BD!$AE$3:$AE$5001,BD!$A$3:$A$5001,AE$3,BD!$B$3:$B$5001,$A$45)))</f>
        <v/>
      </c>
      <c r="AF62" s="216" t="str">
        <f>IF(AF$3="","",IF(COUNTIFS(BD!$A$3:$A$5001,AF$3,BD!$B$3:$B$5001,$A$45,BD!$AE$3:$AE$5001,"&lt;&gt;")=0,"",SUMIFS(BD!$AE$3:$AE$5001,BD!$A$3:$A$5001,AF$3,BD!$B$3:$B$5001,$A$45)))</f>
        <v/>
      </c>
      <c r="AG62" s="216" t="str">
        <f>IF(AG$3="","",IF(COUNTIFS(BD!$A$3:$A$5001,AG$3,BD!$B$3:$B$5001,$A$45,BD!$AE$3:$AE$5001,"&lt;&gt;")=0,"",SUMIFS(BD!$AE$3:$AE$5001,BD!$A$3:$A$5001,AG$3,BD!$B$3:$B$5001,$A$45)))</f>
        <v/>
      </c>
      <c r="AH62" s="216" t="str">
        <f>IF(AH$3="","",IF(COUNTIFS(BD!$A$3:$A$5001,AH$3,BD!$B$3:$B$5001,$A$45,BD!$AE$3:$AE$5001,"&lt;&gt;")=0,"",SUMIFS(BD!$AE$3:$AE$5001,BD!$A$3:$A$5001,AH$3,BD!$B$3:$B$5001,$A$45)))</f>
        <v/>
      </c>
      <c r="AI62" s="216" t="str">
        <f>IF(AI$3="","",IF(COUNTIFS(BD!$A$3:$A$5001,AI$3,BD!$B$3:$B$5001,$A$45,BD!$AE$3:$AE$5001,"&lt;&gt;")=0,"",SUMIFS(BD!$AE$3:$AE$5001,BD!$A$3:$A$5001,AI$3,BD!$B$3:$B$5001,$A$45)))</f>
        <v/>
      </c>
      <c r="AJ62" s="217" t="str">
        <f>IF(AJ$3="","",IF(COUNTIFS(BD!$A$3:$A$5001,AJ$3,BD!$B$3:$B$5001,$A$45,BD!$AE$3:$AE$5001,"&lt;&gt;")=0,"",SUMIFS(BD!$AE$3:$AE$5001,BD!$A$3:$A$5001,AJ$3,BD!$B$3:$B$5001,$A$45)))</f>
        <v/>
      </c>
      <c r="AK62" s="218" t="str">
        <f>IF(COUNT(F62:AJ62)=0,"",SUM(F62:AJ62))</f>
        <v/>
      </c>
    </row>
    <row r="63" ht="15.75" customHeight="1">
      <c r="A63" s="237"/>
      <c r="B63" s="234"/>
      <c r="C63" s="212" t="inlineStr">
        <is>
          <t xml:space="preserve">Acidentes CAF</t>
        </is>
      </c>
      <c r="D63" s="213" t="str">
        <f>IFERROR(1/(1/INDEX(BD!$AK$53:$AU$53,MATCH($A$45,BD!$AK$22:$AU$22,0))),"")</f>
        <v/>
      </c>
      <c r="E63" s="214"/>
      <c r="F63" s="215" t="str">
        <f>IF(F$3="","",IF(COUNTIFS(BD!$A$3:$A$5001,F$3,BD!$B$3:$B$5001,$A$45,BD!$AF$3:$AF$5001,"&lt;&gt;")=0,"",SUMIFS(BD!$AF$3:$AF$5001,BD!$A$3:$A$5001,F$3,BD!$B$3:$B$5001,$A$45)))</f>
        <v/>
      </c>
      <c r="G63" s="216" t="str">
        <f>IF(G$3="","",IF(COUNTIFS(BD!$A$3:$A$5001,G$3,BD!$B$3:$B$5001,$A$45,BD!$AF$3:$AF$5001,"&lt;&gt;")=0,"",SUMIFS(BD!$AF$3:$AF$5001,BD!$A$3:$A$5001,G$3,BD!$B$3:$B$5001,$A$45)))</f>
        <v/>
      </c>
      <c r="H63" s="216" t="str">
        <f>IF(H$3="","",IF(COUNTIFS(BD!$A$3:$A$5001,H$3,BD!$B$3:$B$5001,$A$45,BD!$AF$3:$AF$5001,"&lt;&gt;")=0,"",SUMIFS(BD!$AF$3:$AF$5001,BD!$A$3:$A$5001,H$3,BD!$B$3:$B$5001,$A$45)))</f>
        <v/>
      </c>
      <c r="I63" s="216" t="str">
        <f>IF(I$3="","",IF(COUNTIFS(BD!$A$3:$A$5001,I$3,BD!$B$3:$B$5001,$A$45,BD!$AF$3:$AF$5001,"&lt;&gt;")=0,"",SUMIFS(BD!$AF$3:$AF$5001,BD!$A$3:$A$5001,I$3,BD!$B$3:$B$5001,$A$45)))</f>
        <v/>
      </c>
      <c r="J63" s="216" t="str">
        <f>IF(J$3="","",IF(COUNTIFS(BD!$A$3:$A$5001,J$3,BD!$B$3:$B$5001,$A$45,BD!$AF$3:$AF$5001,"&lt;&gt;")=0,"",SUMIFS(BD!$AF$3:$AF$5001,BD!$A$3:$A$5001,J$3,BD!$B$3:$B$5001,$A$45)))</f>
        <v/>
      </c>
      <c r="K63" s="216" t="str">
        <f>IF(K$3="","",IF(COUNTIFS(BD!$A$3:$A$5001,K$3,BD!$B$3:$B$5001,$A$45,BD!$AF$3:$AF$5001,"&lt;&gt;")=0,"",SUMIFS(BD!$AF$3:$AF$5001,BD!$A$3:$A$5001,K$3,BD!$B$3:$B$5001,$A$45)))</f>
        <v/>
      </c>
      <c r="L63" s="216" t="str">
        <f>IF(L$3="","",IF(COUNTIFS(BD!$A$3:$A$5001,L$3,BD!$B$3:$B$5001,$A$45,BD!$AF$3:$AF$5001,"&lt;&gt;")=0,"",SUMIFS(BD!$AF$3:$AF$5001,BD!$A$3:$A$5001,L$3,BD!$B$3:$B$5001,$A$45)))</f>
        <v/>
      </c>
      <c r="M63" s="216" t="str">
        <f>IF(M$3="","",IF(COUNTIFS(BD!$A$3:$A$5001,M$3,BD!$B$3:$B$5001,$A$45,BD!$AF$3:$AF$5001,"&lt;&gt;")=0,"",SUMIFS(BD!$AF$3:$AF$5001,BD!$A$3:$A$5001,M$3,BD!$B$3:$B$5001,$A$45)))</f>
        <v/>
      </c>
      <c r="N63" s="216" t="str">
        <f>IF(N$3="","",IF(COUNTIFS(BD!$A$3:$A$5001,N$3,BD!$B$3:$B$5001,$A$45,BD!$AF$3:$AF$5001,"&lt;&gt;")=0,"",SUMIFS(BD!$AF$3:$AF$5001,BD!$A$3:$A$5001,N$3,BD!$B$3:$B$5001,$A$45)))</f>
        <v/>
      </c>
      <c r="O63" s="216" t="str">
        <f>IF(O$3="","",IF(COUNTIFS(BD!$A$3:$A$5001,O$3,BD!$B$3:$B$5001,$A$45,BD!$AF$3:$AF$5001,"&lt;&gt;")=0,"",SUMIFS(BD!$AF$3:$AF$5001,BD!$A$3:$A$5001,O$3,BD!$B$3:$B$5001,$A$45)))</f>
        <v/>
      </c>
      <c r="P63" s="216" t="str">
        <f>IF(P$3="","",IF(COUNTIFS(BD!$A$3:$A$5001,P$3,BD!$B$3:$B$5001,$A$45,BD!$AF$3:$AF$5001,"&lt;&gt;")=0,"",SUMIFS(BD!$AF$3:$AF$5001,BD!$A$3:$A$5001,P$3,BD!$B$3:$B$5001,$A$45)))</f>
        <v/>
      </c>
      <c r="Q63" s="216" t="str">
        <f>IF(Q$3="","",IF(COUNTIFS(BD!$A$3:$A$5001,Q$3,BD!$B$3:$B$5001,$A$45,BD!$AF$3:$AF$5001,"&lt;&gt;")=0,"",SUMIFS(BD!$AF$3:$AF$5001,BD!$A$3:$A$5001,Q$3,BD!$B$3:$B$5001,$A$45)))</f>
        <v/>
      </c>
      <c r="R63" s="216" t="str">
        <f>IF(R$3="","",IF(COUNTIFS(BD!$A$3:$A$5001,R$3,BD!$B$3:$B$5001,$A$45,BD!$AF$3:$AF$5001,"&lt;&gt;")=0,"",SUMIFS(BD!$AF$3:$AF$5001,BD!$A$3:$A$5001,R$3,BD!$B$3:$B$5001,$A$45)))</f>
        <v/>
      </c>
      <c r="S63" s="216" t="str">
        <f>IF(S$3="","",IF(COUNTIFS(BD!$A$3:$A$5001,S$3,BD!$B$3:$B$5001,$A$45,BD!$AF$3:$AF$5001,"&lt;&gt;")=0,"",SUMIFS(BD!$AF$3:$AF$5001,BD!$A$3:$A$5001,S$3,BD!$B$3:$B$5001,$A$45)))</f>
        <v/>
      </c>
      <c r="T63" s="216" t="str">
        <f>IF(T$3="","",IF(COUNTIFS(BD!$A$3:$A$5001,T$3,BD!$B$3:$B$5001,$A$45,BD!$AF$3:$AF$5001,"&lt;&gt;")=0,"",SUMIFS(BD!$AF$3:$AF$5001,BD!$A$3:$A$5001,T$3,BD!$B$3:$B$5001,$A$45)))</f>
        <v/>
      </c>
      <c r="U63" s="216" t="str">
        <f>IF(U$3="","",IF(COUNTIFS(BD!$A$3:$A$5001,U$3,BD!$B$3:$B$5001,$A$45,BD!$AF$3:$AF$5001,"&lt;&gt;")=0,"",SUMIFS(BD!$AF$3:$AF$5001,BD!$A$3:$A$5001,U$3,BD!$B$3:$B$5001,$A$45)))</f>
        <v/>
      </c>
      <c r="V63" s="216" t="str">
        <f>IF(V$3="","",IF(COUNTIFS(BD!$A$3:$A$5001,V$3,BD!$B$3:$B$5001,$A$45,BD!$AF$3:$AF$5001,"&lt;&gt;")=0,"",SUMIFS(BD!$AF$3:$AF$5001,BD!$A$3:$A$5001,V$3,BD!$B$3:$B$5001,$A$45)))</f>
        <v/>
      </c>
      <c r="W63" s="216" t="str">
        <f>IF(W$3="","",IF(COUNTIFS(BD!$A$3:$A$5001,W$3,BD!$B$3:$B$5001,$A$45,BD!$AF$3:$AF$5001,"&lt;&gt;")=0,"",SUMIFS(BD!$AF$3:$AF$5001,BD!$A$3:$A$5001,W$3,BD!$B$3:$B$5001,$A$45)))</f>
        <v/>
      </c>
      <c r="X63" s="216" t="str">
        <f>IF(X$3="","",IF(COUNTIFS(BD!$A$3:$A$5001,X$3,BD!$B$3:$B$5001,$A$45,BD!$AF$3:$AF$5001,"&lt;&gt;")=0,"",SUMIFS(BD!$AF$3:$AF$5001,BD!$A$3:$A$5001,X$3,BD!$B$3:$B$5001,$A$45)))</f>
        <v/>
      </c>
      <c r="Y63" s="216" t="str">
        <f>IF(Y$3="","",IF(COUNTIFS(BD!$A$3:$A$5001,Y$3,BD!$B$3:$B$5001,$A$45,BD!$AF$3:$AF$5001,"&lt;&gt;")=0,"",SUMIFS(BD!$AF$3:$AF$5001,BD!$A$3:$A$5001,Y$3,BD!$B$3:$B$5001,$A$45)))</f>
        <v/>
      </c>
      <c r="Z63" s="216" t="str">
        <f>IF(Z$3="","",IF(COUNTIFS(BD!$A$3:$A$5001,Z$3,BD!$B$3:$B$5001,$A$45,BD!$AF$3:$AF$5001,"&lt;&gt;")=0,"",SUMIFS(BD!$AF$3:$AF$5001,BD!$A$3:$A$5001,Z$3,BD!$B$3:$B$5001,$A$45)))</f>
        <v/>
      </c>
      <c r="AA63" s="216" t="str">
        <f>IF(AA$3="","",IF(COUNTIFS(BD!$A$3:$A$5001,AA$3,BD!$B$3:$B$5001,$A$45,BD!$AF$3:$AF$5001,"&lt;&gt;")=0,"",SUMIFS(BD!$AF$3:$AF$5001,BD!$A$3:$A$5001,AA$3,BD!$B$3:$B$5001,$A$45)))</f>
        <v/>
      </c>
      <c r="AB63" s="216" t="str">
        <f>IF(AB$3="","",IF(COUNTIFS(BD!$A$3:$A$5001,AB$3,BD!$B$3:$B$5001,$A$45,BD!$AF$3:$AF$5001,"&lt;&gt;")=0,"",SUMIFS(BD!$AF$3:$AF$5001,BD!$A$3:$A$5001,AB$3,BD!$B$3:$B$5001,$A$45)))</f>
        <v/>
      </c>
      <c r="AC63" s="216" t="str">
        <f>IF(AC$3="","",IF(COUNTIFS(BD!$A$3:$A$5001,AC$3,BD!$B$3:$B$5001,$A$45,BD!$AF$3:$AF$5001,"&lt;&gt;")=0,"",SUMIFS(BD!$AF$3:$AF$5001,BD!$A$3:$A$5001,AC$3,BD!$B$3:$B$5001,$A$45)))</f>
        <v/>
      </c>
      <c r="AD63" s="216" t="str">
        <f>IF(AD$3="","",IF(COUNTIFS(BD!$A$3:$A$5001,AD$3,BD!$B$3:$B$5001,$A$45,BD!$AF$3:$AF$5001,"&lt;&gt;")=0,"",SUMIFS(BD!$AF$3:$AF$5001,BD!$A$3:$A$5001,AD$3,BD!$B$3:$B$5001,$A$45)))</f>
        <v/>
      </c>
      <c r="AE63" s="216" t="str">
        <f>IF(AE$3="","",IF(COUNTIFS(BD!$A$3:$A$5001,AE$3,BD!$B$3:$B$5001,$A$45,BD!$AF$3:$AF$5001,"&lt;&gt;")=0,"",SUMIFS(BD!$AF$3:$AF$5001,BD!$A$3:$A$5001,AE$3,BD!$B$3:$B$5001,$A$45)))</f>
        <v/>
      </c>
      <c r="AF63" s="216" t="str">
        <f>IF(AF$3="","",IF(COUNTIFS(BD!$A$3:$A$5001,AF$3,BD!$B$3:$B$5001,$A$45,BD!$AF$3:$AF$5001,"&lt;&gt;")=0,"",SUMIFS(BD!$AF$3:$AF$5001,BD!$A$3:$A$5001,AF$3,BD!$B$3:$B$5001,$A$45)))</f>
        <v/>
      </c>
      <c r="AG63" s="216" t="str">
        <f>IF(AG$3="","",IF(COUNTIFS(BD!$A$3:$A$5001,AG$3,BD!$B$3:$B$5001,$A$45,BD!$AF$3:$AF$5001,"&lt;&gt;")=0,"",SUMIFS(BD!$AF$3:$AF$5001,BD!$A$3:$A$5001,AG$3,BD!$B$3:$B$5001,$A$45)))</f>
        <v/>
      </c>
      <c r="AH63" s="216" t="str">
        <f>IF(AH$3="","",IF(COUNTIFS(BD!$A$3:$A$5001,AH$3,BD!$B$3:$B$5001,$A$45,BD!$AF$3:$AF$5001,"&lt;&gt;")=0,"",SUMIFS(BD!$AF$3:$AF$5001,BD!$A$3:$A$5001,AH$3,BD!$B$3:$B$5001,$A$45)))</f>
        <v/>
      </c>
      <c r="AI63" s="216" t="str">
        <f>IF(AI$3="","",IF(COUNTIFS(BD!$A$3:$A$5001,AI$3,BD!$B$3:$B$5001,$A$45,BD!$AF$3:$AF$5001,"&lt;&gt;")=0,"",SUMIFS(BD!$AF$3:$AF$5001,BD!$A$3:$A$5001,AI$3,BD!$B$3:$B$5001,$A$45)))</f>
        <v/>
      </c>
      <c r="AJ63" s="217" t="str">
        <f>IF(AJ$3="","",IF(COUNTIFS(BD!$A$3:$A$5001,AJ$3,BD!$B$3:$B$5001,$A$45,BD!$AF$3:$AF$5001,"&lt;&gt;")=0,"",SUMIFS(BD!$AF$3:$AF$5001,BD!$A$3:$A$5001,AJ$3,BD!$B$3:$B$5001,$A$45)))</f>
        <v/>
      </c>
      <c r="AK63" s="218" t="str">
        <f>IF(COUNT(F63:AJ63)=0,"",SUM(F63:AJ63))</f>
        <v/>
      </c>
    </row>
    <row r="64" ht="15.75" customHeight="1">
      <c r="A64" s="238"/>
      <c r="B64" s="235"/>
      <c r="C64" s="219" t="inlineStr">
        <is>
          <t xml:space="preserve">Acidentes SAF</t>
        </is>
      </c>
      <c r="D64" s="220" t="str">
        <f>IFERROR(1/(1/INDEX(BD!$AK$54:$AU$54,MATCH($A$45,BD!$AK$22:$AU$22,0))),"")</f>
        <v/>
      </c>
      <c r="E64" s="221"/>
      <c r="F64" s="222" t="str">
        <f>IF(F$3="","",IF(COUNTIFS(BD!$A$3:$A$5001,F$3,BD!$B$3:$B$5001,$A$45,BD!$AG$3:$AG$5001,"&lt;&gt;")=0,"",SUMIFS(BD!$AG$3:$AG$5001,BD!$A$3:$A$5001,F$3,BD!$B$3:$B$5001,$A$45)))</f>
        <v/>
      </c>
      <c r="G64" s="223" t="str">
        <f>IF(G$3="","",IF(COUNTIFS(BD!$A$3:$A$5001,G$3,BD!$B$3:$B$5001,$A$45,BD!$AG$3:$AG$5001,"&lt;&gt;")=0,"",SUMIFS(BD!$AG$3:$AG$5001,BD!$A$3:$A$5001,G$3,BD!$B$3:$B$5001,$A$45)))</f>
        <v/>
      </c>
      <c r="H64" s="223" t="str">
        <f>IF(H$3="","",IF(COUNTIFS(BD!$A$3:$A$5001,H$3,BD!$B$3:$B$5001,$A$45,BD!$AG$3:$AG$5001,"&lt;&gt;")=0,"",SUMIFS(BD!$AG$3:$AG$5001,BD!$A$3:$A$5001,H$3,BD!$B$3:$B$5001,$A$45)))</f>
        <v/>
      </c>
      <c r="I64" s="223" t="str">
        <f>IF(I$3="","",IF(COUNTIFS(BD!$A$3:$A$5001,I$3,BD!$B$3:$B$5001,$A$45,BD!$AG$3:$AG$5001,"&lt;&gt;")=0,"",SUMIFS(BD!$AG$3:$AG$5001,BD!$A$3:$A$5001,I$3,BD!$B$3:$B$5001,$A$45)))</f>
        <v/>
      </c>
      <c r="J64" s="223" t="str">
        <f>IF(J$3="","",IF(COUNTIFS(BD!$A$3:$A$5001,J$3,BD!$B$3:$B$5001,$A$45,BD!$AG$3:$AG$5001,"&lt;&gt;")=0,"",SUMIFS(BD!$AG$3:$AG$5001,BD!$A$3:$A$5001,J$3,BD!$B$3:$B$5001,$A$45)))</f>
        <v/>
      </c>
      <c r="K64" s="223" t="str">
        <f>IF(K$3="","",IF(COUNTIFS(BD!$A$3:$A$5001,K$3,BD!$B$3:$B$5001,$A$45,BD!$AG$3:$AG$5001,"&lt;&gt;")=0,"",SUMIFS(BD!$AG$3:$AG$5001,BD!$A$3:$A$5001,K$3,BD!$B$3:$B$5001,$A$45)))</f>
        <v/>
      </c>
      <c r="L64" s="223" t="str">
        <f>IF(L$3="","",IF(COUNTIFS(BD!$A$3:$A$5001,L$3,BD!$B$3:$B$5001,$A$45,BD!$AG$3:$AG$5001,"&lt;&gt;")=0,"",SUMIFS(BD!$AG$3:$AG$5001,BD!$A$3:$A$5001,L$3,BD!$B$3:$B$5001,$A$45)))</f>
        <v/>
      </c>
      <c r="M64" s="223" t="str">
        <f>IF(M$3="","",IF(COUNTIFS(BD!$A$3:$A$5001,M$3,BD!$B$3:$B$5001,$A$45,BD!$AG$3:$AG$5001,"&lt;&gt;")=0,"",SUMIFS(BD!$AG$3:$AG$5001,BD!$A$3:$A$5001,M$3,BD!$B$3:$B$5001,$A$45)))</f>
        <v/>
      </c>
      <c r="N64" s="223" t="str">
        <f>IF(N$3="","",IF(COUNTIFS(BD!$A$3:$A$5001,N$3,BD!$B$3:$B$5001,$A$45,BD!$AG$3:$AG$5001,"&lt;&gt;")=0,"",SUMIFS(BD!$AG$3:$AG$5001,BD!$A$3:$A$5001,N$3,BD!$B$3:$B$5001,$A$45)))</f>
        <v/>
      </c>
      <c r="O64" s="223" t="str">
        <f>IF(O$3="","",IF(COUNTIFS(BD!$A$3:$A$5001,O$3,BD!$B$3:$B$5001,$A$45,BD!$AG$3:$AG$5001,"&lt;&gt;")=0,"",SUMIFS(BD!$AG$3:$AG$5001,BD!$A$3:$A$5001,O$3,BD!$B$3:$B$5001,$A$45)))</f>
        <v/>
      </c>
      <c r="P64" s="223" t="str">
        <f>IF(P$3="","",IF(COUNTIFS(BD!$A$3:$A$5001,P$3,BD!$B$3:$B$5001,$A$45,BD!$AG$3:$AG$5001,"&lt;&gt;")=0,"",SUMIFS(BD!$AG$3:$AG$5001,BD!$A$3:$A$5001,P$3,BD!$B$3:$B$5001,$A$45)))</f>
        <v/>
      </c>
      <c r="Q64" s="223" t="str">
        <f>IF(Q$3="","",IF(COUNTIFS(BD!$A$3:$A$5001,Q$3,BD!$B$3:$B$5001,$A$45,BD!$AG$3:$AG$5001,"&lt;&gt;")=0,"",SUMIFS(BD!$AG$3:$AG$5001,BD!$A$3:$A$5001,Q$3,BD!$B$3:$B$5001,$A$45)))</f>
        <v/>
      </c>
      <c r="R64" s="223" t="str">
        <f>IF(R$3="","",IF(COUNTIFS(BD!$A$3:$A$5001,R$3,BD!$B$3:$B$5001,$A$45,BD!$AG$3:$AG$5001,"&lt;&gt;")=0,"",SUMIFS(BD!$AG$3:$AG$5001,BD!$A$3:$A$5001,R$3,BD!$B$3:$B$5001,$A$45)))</f>
        <v/>
      </c>
      <c r="S64" s="223" t="str">
        <f>IF(S$3="","",IF(COUNTIFS(BD!$A$3:$A$5001,S$3,BD!$B$3:$B$5001,$A$45,BD!$AG$3:$AG$5001,"&lt;&gt;")=0,"",SUMIFS(BD!$AG$3:$AG$5001,BD!$A$3:$A$5001,S$3,BD!$B$3:$B$5001,$A$45)))</f>
        <v/>
      </c>
      <c r="T64" s="223" t="str">
        <f>IF(T$3="","",IF(COUNTIFS(BD!$A$3:$A$5001,T$3,BD!$B$3:$B$5001,$A$45,BD!$AG$3:$AG$5001,"&lt;&gt;")=0,"",SUMIFS(BD!$AG$3:$AG$5001,BD!$A$3:$A$5001,T$3,BD!$B$3:$B$5001,$A$45)))</f>
        <v/>
      </c>
      <c r="U64" s="223" t="str">
        <f>IF(U$3="","",IF(COUNTIFS(BD!$A$3:$A$5001,U$3,BD!$B$3:$B$5001,$A$45,BD!$AG$3:$AG$5001,"&lt;&gt;")=0,"",SUMIFS(BD!$AG$3:$AG$5001,BD!$A$3:$A$5001,U$3,BD!$B$3:$B$5001,$A$45)))</f>
        <v/>
      </c>
      <c r="V64" s="223" t="str">
        <f>IF(V$3="","",IF(COUNTIFS(BD!$A$3:$A$5001,V$3,BD!$B$3:$B$5001,$A$45,BD!$AG$3:$AG$5001,"&lt;&gt;")=0,"",SUMIFS(BD!$AG$3:$AG$5001,BD!$A$3:$A$5001,V$3,BD!$B$3:$B$5001,$A$45)))</f>
        <v/>
      </c>
      <c r="W64" s="223" t="str">
        <f>IF(W$3="","",IF(COUNTIFS(BD!$A$3:$A$5001,W$3,BD!$B$3:$B$5001,$A$45,BD!$AG$3:$AG$5001,"&lt;&gt;")=0,"",SUMIFS(BD!$AG$3:$AG$5001,BD!$A$3:$A$5001,W$3,BD!$B$3:$B$5001,$A$45)))</f>
        <v/>
      </c>
      <c r="X64" s="223" t="str">
        <f>IF(X$3="","",IF(COUNTIFS(BD!$A$3:$A$5001,X$3,BD!$B$3:$B$5001,$A$45,BD!$AG$3:$AG$5001,"&lt;&gt;")=0,"",SUMIFS(BD!$AG$3:$AG$5001,BD!$A$3:$A$5001,X$3,BD!$B$3:$B$5001,$A$45)))</f>
        <v/>
      </c>
      <c r="Y64" s="223" t="str">
        <f>IF(Y$3="","",IF(COUNTIFS(BD!$A$3:$A$5001,Y$3,BD!$B$3:$B$5001,$A$45,BD!$AG$3:$AG$5001,"&lt;&gt;")=0,"",SUMIFS(BD!$AG$3:$AG$5001,BD!$A$3:$A$5001,Y$3,BD!$B$3:$B$5001,$A$45)))</f>
        <v/>
      </c>
      <c r="Z64" s="223" t="str">
        <f>IF(Z$3="","",IF(COUNTIFS(BD!$A$3:$A$5001,Z$3,BD!$B$3:$B$5001,$A$45,BD!$AG$3:$AG$5001,"&lt;&gt;")=0,"",SUMIFS(BD!$AG$3:$AG$5001,BD!$A$3:$A$5001,Z$3,BD!$B$3:$B$5001,$A$45)))</f>
        <v/>
      </c>
      <c r="AA64" s="223" t="str">
        <f>IF(AA$3="","",IF(COUNTIFS(BD!$A$3:$A$5001,AA$3,BD!$B$3:$B$5001,$A$45,BD!$AG$3:$AG$5001,"&lt;&gt;")=0,"",SUMIFS(BD!$AG$3:$AG$5001,BD!$A$3:$A$5001,AA$3,BD!$B$3:$B$5001,$A$45)))</f>
        <v/>
      </c>
      <c r="AB64" s="223" t="str">
        <f>IF(AB$3="","",IF(COUNTIFS(BD!$A$3:$A$5001,AB$3,BD!$B$3:$B$5001,$A$45,BD!$AG$3:$AG$5001,"&lt;&gt;")=0,"",SUMIFS(BD!$AG$3:$AG$5001,BD!$A$3:$A$5001,AB$3,BD!$B$3:$B$5001,$A$45)))</f>
        <v/>
      </c>
      <c r="AC64" s="223" t="str">
        <f>IF(AC$3="","",IF(COUNTIFS(BD!$A$3:$A$5001,AC$3,BD!$B$3:$B$5001,$A$45,BD!$AG$3:$AG$5001,"&lt;&gt;")=0,"",SUMIFS(BD!$AG$3:$AG$5001,BD!$A$3:$A$5001,AC$3,BD!$B$3:$B$5001,$A$45)))</f>
        <v/>
      </c>
      <c r="AD64" s="223" t="str">
        <f>IF(AD$3="","",IF(COUNTIFS(BD!$A$3:$A$5001,AD$3,BD!$B$3:$B$5001,$A$45,BD!$AG$3:$AG$5001,"&lt;&gt;")=0,"",SUMIFS(BD!$AG$3:$AG$5001,BD!$A$3:$A$5001,AD$3,BD!$B$3:$B$5001,$A$45)))</f>
        <v/>
      </c>
      <c r="AE64" s="223" t="str">
        <f>IF(AE$3="","",IF(COUNTIFS(BD!$A$3:$A$5001,AE$3,BD!$B$3:$B$5001,$A$45,BD!$AG$3:$AG$5001,"&lt;&gt;")=0,"",SUMIFS(BD!$AG$3:$AG$5001,BD!$A$3:$A$5001,AE$3,BD!$B$3:$B$5001,$A$45)))</f>
        <v/>
      </c>
      <c r="AF64" s="223" t="str">
        <f>IF(AF$3="","",IF(COUNTIFS(BD!$A$3:$A$5001,AF$3,BD!$B$3:$B$5001,$A$45,BD!$AG$3:$AG$5001,"&lt;&gt;")=0,"",SUMIFS(BD!$AG$3:$AG$5001,BD!$A$3:$A$5001,AF$3,BD!$B$3:$B$5001,$A$45)))</f>
        <v/>
      </c>
      <c r="AG64" s="223" t="str">
        <f>IF(AG$3="","",IF(COUNTIFS(BD!$A$3:$A$5001,AG$3,BD!$B$3:$B$5001,$A$45,BD!$AG$3:$AG$5001,"&lt;&gt;")=0,"",SUMIFS(BD!$AG$3:$AG$5001,BD!$A$3:$A$5001,AG$3,BD!$B$3:$B$5001,$A$45)))</f>
        <v/>
      </c>
      <c r="AH64" s="223" t="str">
        <f>IF(AH$3="","",IF(COUNTIFS(BD!$A$3:$A$5001,AH$3,BD!$B$3:$B$5001,$A$45,BD!$AG$3:$AG$5001,"&lt;&gt;")=0,"",SUMIFS(BD!$AG$3:$AG$5001,BD!$A$3:$A$5001,AH$3,BD!$B$3:$B$5001,$A$45)))</f>
        <v/>
      </c>
      <c r="AI64" s="223" t="str">
        <f>IF(AI$3="","",IF(COUNTIFS(BD!$A$3:$A$5001,AI$3,BD!$B$3:$B$5001,$A$45,BD!$AG$3:$AG$5001,"&lt;&gt;")=0,"",SUMIFS(BD!$AG$3:$AG$5001,BD!$A$3:$A$5001,AI$3,BD!$B$3:$B$5001,$A$45)))</f>
        <v/>
      </c>
      <c r="AJ64" s="224" t="str">
        <f>IF(AJ$3="","",IF(COUNTIFS(BD!$A$3:$A$5001,AJ$3,BD!$B$3:$B$5001,$A$45,BD!$AG$3:$AG$5001,"&lt;&gt;")=0,"",SUMIFS(BD!$AG$3:$AG$5001,BD!$A$3:$A$5001,AJ$3,BD!$B$3:$B$5001,$A$45)))</f>
        <v/>
      </c>
      <c r="AK64" s="220" t="str">
        <f>IF(COUNT(F64:AJ64)=0,"",SUM(F64:AJ64))</f>
        <v/>
      </c>
    </row>
    <row r="66" ht="15.75" customHeight="1">
      <c r="A66" s="236" t="inlineStr">
        <is>
          <t xml:space="preserve">Boticário</t>
        </is>
      </c>
      <c r="B66" s="225" t="inlineStr">
        <is>
          <t xml:space="preserve">IN</t>
        </is>
      </c>
      <c r="C66" s="148" t="inlineStr">
        <is>
          <t xml:space="preserve">Veículos Recebidos</t>
        </is>
      </c>
      <c r="D66" s="149" t="str">
        <f>IFERROR(1/(1/INDEX(BD!$AK$23:$AU$23,MATCH($A$66,BD!$AK$22:$AU$22,0))),"")</f>
        <v/>
      </c>
      <c r="E66" s="150"/>
      <c r="F66" s="151" t="str">
        <f>IF(F$3="","",IF(COUNTIFS(BD!$A$3:$A$5001,F$3,BD!$B$3:$B$5001,$A$66,BD!$C$3:$C$5001,"&lt;&gt;")=0,"",SUMIFS(BD!$C$3:$C$5001,BD!$A$3:$A$5001,F$3,BD!$B$3:$B$5001,$A$66)))</f>
        <v/>
      </c>
      <c r="G66" s="152" t="str">
        <f>IF(G$3="","",IF(COUNTIFS(BD!$A$3:$A$5001,G$3,BD!$B$3:$B$5001,$A$66,BD!$C$3:$C$5001,"&lt;&gt;")=0,"",SUMIFS(BD!$C$3:$C$5001,BD!$A$3:$A$5001,G$3,BD!$B$3:$B$5001,$A$66)))</f>
        <v/>
      </c>
      <c r="H66" s="152" t="str">
        <f>IF(H$3="","",IF(COUNTIFS(BD!$A$3:$A$5001,H$3,BD!$B$3:$B$5001,$A$66,BD!$C$3:$C$5001,"&lt;&gt;")=0,"",SUMIFS(BD!$C$3:$C$5001,BD!$A$3:$A$5001,H$3,BD!$B$3:$B$5001,$A$66)))</f>
        <v/>
      </c>
      <c r="I66" s="152" t="str">
        <f>IF(I$3="","",IF(COUNTIFS(BD!$A$3:$A$5001,I$3,BD!$B$3:$B$5001,$A$66,BD!$C$3:$C$5001,"&lt;&gt;")=0,"",SUMIFS(BD!$C$3:$C$5001,BD!$A$3:$A$5001,I$3,BD!$B$3:$B$5001,$A$66)))</f>
        <v/>
      </c>
      <c r="J66" s="152" t="str">
        <f>IF(J$3="","",IF(COUNTIFS(BD!$A$3:$A$5001,J$3,BD!$B$3:$B$5001,$A$66,BD!$C$3:$C$5001,"&lt;&gt;")=0,"",SUMIFS(BD!$C$3:$C$5001,BD!$A$3:$A$5001,J$3,BD!$B$3:$B$5001,$A$66)))</f>
        <v/>
      </c>
      <c r="K66" s="152" t="str">
        <f>IF(K$3="","",IF(COUNTIFS(BD!$A$3:$A$5001,K$3,BD!$B$3:$B$5001,$A$66,BD!$C$3:$C$5001,"&lt;&gt;")=0,"",SUMIFS(BD!$C$3:$C$5001,BD!$A$3:$A$5001,K$3,BD!$B$3:$B$5001,$A$66)))</f>
        <v/>
      </c>
      <c r="L66" s="152" t="str">
        <f>IF(L$3="","",IF(COUNTIFS(BD!$A$3:$A$5001,L$3,BD!$B$3:$B$5001,$A$66,BD!$C$3:$C$5001,"&lt;&gt;")=0,"",SUMIFS(BD!$C$3:$C$5001,BD!$A$3:$A$5001,L$3,BD!$B$3:$B$5001,$A$66)))</f>
        <v/>
      </c>
      <c r="M66" s="152" t="str">
        <f>IF(M$3="","",IF(COUNTIFS(BD!$A$3:$A$5001,M$3,BD!$B$3:$B$5001,$A$66,BD!$C$3:$C$5001,"&lt;&gt;")=0,"",SUMIFS(BD!$C$3:$C$5001,BD!$A$3:$A$5001,M$3,BD!$B$3:$B$5001,$A$66)))</f>
        <v/>
      </c>
      <c r="N66" s="152" t="str">
        <f>IF(N$3="","",IF(COUNTIFS(BD!$A$3:$A$5001,N$3,BD!$B$3:$B$5001,$A$66,BD!$C$3:$C$5001,"&lt;&gt;")=0,"",SUMIFS(BD!$C$3:$C$5001,BD!$A$3:$A$5001,N$3,BD!$B$3:$B$5001,$A$66)))</f>
        <v/>
      </c>
      <c r="O66" s="152" t="str">
        <f>IF(O$3="","",IF(COUNTIFS(BD!$A$3:$A$5001,O$3,BD!$B$3:$B$5001,$A$66,BD!$C$3:$C$5001,"&lt;&gt;")=0,"",SUMIFS(BD!$C$3:$C$5001,BD!$A$3:$A$5001,O$3,BD!$B$3:$B$5001,$A$66)))</f>
        <v/>
      </c>
      <c r="P66" s="152" t="str">
        <f>IF(P$3="","",IF(COUNTIFS(BD!$A$3:$A$5001,P$3,BD!$B$3:$B$5001,$A$66,BD!$C$3:$C$5001,"&lt;&gt;")=0,"",SUMIFS(BD!$C$3:$C$5001,BD!$A$3:$A$5001,P$3,BD!$B$3:$B$5001,$A$66)))</f>
        <v/>
      </c>
      <c r="Q66" s="152" t="str">
        <f>IF(Q$3="","",IF(COUNTIFS(BD!$A$3:$A$5001,Q$3,BD!$B$3:$B$5001,$A$66,BD!$C$3:$C$5001,"&lt;&gt;")=0,"",SUMIFS(BD!$C$3:$C$5001,BD!$A$3:$A$5001,Q$3,BD!$B$3:$B$5001,$A$66)))</f>
        <v/>
      </c>
      <c r="R66" s="152" t="str">
        <f>IF(R$3="","",IF(COUNTIFS(BD!$A$3:$A$5001,R$3,BD!$B$3:$B$5001,$A$66,BD!$C$3:$C$5001,"&lt;&gt;")=0,"",SUMIFS(BD!$C$3:$C$5001,BD!$A$3:$A$5001,R$3,BD!$B$3:$B$5001,$A$66)))</f>
        <v/>
      </c>
      <c r="S66" s="152" t="str">
        <f>IF(S$3="","",IF(COUNTIFS(BD!$A$3:$A$5001,S$3,BD!$B$3:$B$5001,$A$66,BD!$C$3:$C$5001,"&lt;&gt;")=0,"",SUMIFS(BD!$C$3:$C$5001,BD!$A$3:$A$5001,S$3,BD!$B$3:$B$5001,$A$66)))</f>
        <v/>
      </c>
      <c r="T66" s="152" t="str">
        <f>IF(T$3="","",IF(COUNTIFS(BD!$A$3:$A$5001,T$3,BD!$B$3:$B$5001,$A$66,BD!$C$3:$C$5001,"&lt;&gt;")=0,"",SUMIFS(BD!$C$3:$C$5001,BD!$A$3:$A$5001,T$3,BD!$B$3:$B$5001,$A$66)))</f>
        <v/>
      </c>
      <c r="U66" s="152" t="str">
        <f>IF(U$3="","",IF(COUNTIFS(BD!$A$3:$A$5001,U$3,BD!$B$3:$B$5001,$A$66,BD!$C$3:$C$5001,"&lt;&gt;")=0,"",SUMIFS(BD!$C$3:$C$5001,BD!$A$3:$A$5001,U$3,BD!$B$3:$B$5001,$A$66)))</f>
        <v/>
      </c>
      <c r="V66" s="152" t="str">
        <f>IF(V$3="","",IF(COUNTIFS(BD!$A$3:$A$5001,V$3,BD!$B$3:$B$5001,$A$66,BD!$C$3:$C$5001,"&lt;&gt;")=0,"",SUMIFS(BD!$C$3:$C$5001,BD!$A$3:$A$5001,V$3,BD!$B$3:$B$5001,$A$66)))</f>
        <v/>
      </c>
      <c r="W66" s="152" t="str">
        <f>IF(W$3="","",IF(COUNTIFS(BD!$A$3:$A$5001,W$3,BD!$B$3:$B$5001,$A$66,BD!$C$3:$C$5001,"&lt;&gt;")=0,"",SUMIFS(BD!$C$3:$C$5001,BD!$A$3:$A$5001,W$3,BD!$B$3:$B$5001,$A$66)))</f>
        <v/>
      </c>
      <c r="X66" s="152" t="str">
        <f>IF(X$3="","",IF(COUNTIFS(BD!$A$3:$A$5001,X$3,BD!$B$3:$B$5001,$A$66,BD!$C$3:$C$5001,"&lt;&gt;")=0,"",SUMIFS(BD!$C$3:$C$5001,BD!$A$3:$A$5001,X$3,BD!$B$3:$B$5001,$A$66)))</f>
        <v/>
      </c>
      <c r="Y66" s="152" t="str">
        <f>IF(Y$3="","",IF(COUNTIFS(BD!$A$3:$A$5001,Y$3,BD!$B$3:$B$5001,$A$66,BD!$C$3:$C$5001,"&lt;&gt;")=0,"",SUMIFS(BD!$C$3:$C$5001,BD!$A$3:$A$5001,Y$3,BD!$B$3:$B$5001,$A$66)))</f>
        <v/>
      </c>
      <c r="Z66" s="152" t="str">
        <f>IF(Z$3="","",IF(COUNTIFS(BD!$A$3:$A$5001,Z$3,BD!$B$3:$B$5001,$A$66,BD!$C$3:$C$5001,"&lt;&gt;")=0,"",SUMIFS(BD!$C$3:$C$5001,BD!$A$3:$A$5001,Z$3,BD!$B$3:$B$5001,$A$66)))</f>
        <v/>
      </c>
      <c r="AA66" s="152" t="str">
        <f>IF(AA$3="","",IF(COUNTIFS(BD!$A$3:$A$5001,AA$3,BD!$B$3:$B$5001,$A$66,BD!$C$3:$C$5001,"&lt;&gt;")=0,"",SUMIFS(BD!$C$3:$C$5001,BD!$A$3:$A$5001,AA$3,BD!$B$3:$B$5001,$A$66)))</f>
        <v/>
      </c>
      <c r="AB66" s="152" t="str">
        <f>IF(AB$3="","",IF(COUNTIFS(BD!$A$3:$A$5001,AB$3,BD!$B$3:$B$5001,$A$66,BD!$C$3:$C$5001,"&lt;&gt;")=0,"",SUMIFS(BD!$C$3:$C$5001,BD!$A$3:$A$5001,AB$3,BD!$B$3:$B$5001,$A$66)))</f>
        <v/>
      </c>
      <c r="AC66" s="152" t="str">
        <f>IF(AC$3="","",IF(COUNTIFS(BD!$A$3:$A$5001,AC$3,BD!$B$3:$B$5001,$A$66,BD!$C$3:$C$5001,"&lt;&gt;")=0,"",SUMIFS(BD!$C$3:$C$5001,BD!$A$3:$A$5001,AC$3,BD!$B$3:$B$5001,$A$66)))</f>
        <v/>
      </c>
      <c r="AD66" s="152" t="str">
        <f>IF(AD$3="","",IF(COUNTIFS(BD!$A$3:$A$5001,AD$3,BD!$B$3:$B$5001,$A$66,BD!$C$3:$C$5001,"&lt;&gt;")=0,"",SUMIFS(BD!$C$3:$C$5001,BD!$A$3:$A$5001,AD$3,BD!$B$3:$B$5001,$A$66)))</f>
        <v/>
      </c>
      <c r="AE66" s="152" t="str">
        <f>IF(AE$3="","",IF(COUNTIFS(BD!$A$3:$A$5001,AE$3,BD!$B$3:$B$5001,$A$66,BD!$C$3:$C$5001,"&lt;&gt;")=0,"",SUMIFS(BD!$C$3:$C$5001,BD!$A$3:$A$5001,AE$3,BD!$B$3:$B$5001,$A$66)))</f>
        <v/>
      </c>
      <c r="AF66" s="152" t="str">
        <f>IF(AF$3="","",IF(COUNTIFS(BD!$A$3:$A$5001,AF$3,BD!$B$3:$B$5001,$A$66,BD!$C$3:$C$5001,"&lt;&gt;")=0,"",SUMIFS(BD!$C$3:$C$5001,BD!$A$3:$A$5001,AF$3,BD!$B$3:$B$5001,$A$66)))</f>
        <v/>
      </c>
      <c r="AG66" s="152" t="str">
        <f>IF(AG$3="","",IF(COUNTIFS(BD!$A$3:$A$5001,AG$3,BD!$B$3:$B$5001,$A$66,BD!$C$3:$C$5001,"&lt;&gt;")=0,"",SUMIFS(BD!$C$3:$C$5001,BD!$A$3:$A$5001,AG$3,BD!$B$3:$B$5001,$A$66)))</f>
        <v/>
      </c>
      <c r="AH66" s="152" t="str">
        <f>IF(AH$3="","",IF(COUNTIFS(BD!$A$3:$A$5001,AH$3,BD!$B$3:$B$5001,$A$66,BD!$C$3:$C$5001,"&lt;&gt;")=0,"",SUMIFS(BD!$C$3:$C$5001,BD!$A$3:$A$5001,AH$3,BD!$B$3:$B$5001,$A$66)))</f>
        <v/>
      </c>
      <c r="AI66" s="152" t="str">
        <f>IF(AI$3="","",IF(COUNTIFS(BD!$A$3:$A$5001,AI$3,BD!$B$3:$B$5001,$A$66,BD!$C$3:$C$5001,"&lt;&gt;")=0,"",SUMIFS(BD!$C$3:$C$5001,BD!$A$3:$A$5001,AI$3,BD!$B$3:$B$5001,$A$66)))</f>
        <v/>
      </c>
      <c r="AJ66" s="153" t="str">
        <f>IF(AJ$3="","",IF(COUNTIFS(BD!$A$3:$A$5001,AJ$3,BD!$B$3:$B$5001,$A$66,BD!$C$3:$C$5001,"&lt;&gt;")=0,"",SUMIFS(BD!$C$3:$C$5001,BD!$A$3:$A$5001,AJ$3,BD!$B$3:$B$5001,$A$66)))</f>
        <v/>
      </c>
      <c r="AK66" s="154" t="str">
        <f>IF(COUNT(F66:AJ66)=0,"",SUM(F66:AJ66))</f>
        <v/>
      </c>
    </row>
    <row r="67" ht="15.75" customHeight="1">
      <c r="A67" s="237"/>
      <c r="B67" s="232"/>
      <c r="C67" s="194" t="inlineStr">
        <is>
          <t xml:space="preserve">Itens Recebidos CX Mista</t>
        </is>
      </c>
      <c r="D67" s="195" t="str">
        <f>IFERROR(1/(1/INDEX(BD!$AK$29:$AU$29,MATCH($A$66,BD!$AK$22:$AU$22,0))),"")</f>
        <v/>
      </c>
      <c r="E67" s="196"/>
      <c r="F67" s="197" t="str">
        <f>IF(F$3="","",IF(COUNTIFS(BD!$A$3:$A$5001,F$3,BD!$B$3:$B$5001,$A$66,BD!$I$3:$I$5001,"&lt;&gt;")=0,"",SUMIFS(BD!$I$3:$I$5001,BD!$A$3:$A$5001,F$3,BD!$B$3:$B$5001,$A$66)))</f>
        <v/>
      </c>
      <c r="G67" s="198" t="str">
        <f>IF(G$3="","",IF(COUNTIFS(BD!$A$3:$A$5001,G$3,BD!$B$3:$B$5001,$A$66,BD!$I$3:$I$5001,"&lt;&gt;")=0,"",SUMIFS(BD!$I$3:$I$5001,BD!$A$3:$A$5001,G$3,BD!$B$3:$B$5001,$A$66)))</f>
        <v/>
      </c>
      <c r="H67" s="198" t="str">
        <f>IF(H$3="","",IF(COUNTIFS(BD!$A$3:$A$5001,H$3,BD!$B$3:$B$5001,$A$66,BD!$I$3:$I$5001,"&lt;&gt;")=0,"",SUMIFS(BD!$I$3:$I$5001,BD!$A$3:$A$5001,H$3,BD!$B$3:$B$5001,$A$66)))</f>
        <v/>
      </c>
      <c r="I67" s="198" t="str">
        <f>IF(I$3="","",IF(COUNTIFS(BD!$A$3:$A$5001,I$3,BD!$B$3:$B$5001,$A$66,BD!$I$3:$I$5001,"&lt;&gt;")=0,"",SUMIFS(BD!$I$3:$I$5001,BD!$A$3:$A$5001,I$3,BD!$B$3:$B$5001,$A$66)))</f>
        <v/>
      </c>
      <c r="J67" s="198" t="str">
        <f>IF(J$3="","",IF(COUNTIFS(BD!$A$3:$A$5001,J$3,BD!$B$3:$B$5001,$A$66,BD!$I$3:$I$5001,"&lt;&gt;")=0,"",SUMIFS(BD!$I$3:$I$5001,BD!$A$3:$A$5001,J$3,BD!$B$3:$B$5001,$A$66)))</f>
        <v/>
      </c>
      <c r="K67" s="198" t="str">
        <f>IF(K$3="","",IF(COUNTIFS(BD!$A$3:$A$5001,K$3,BD!$B$3:$B$5001,$A$66,BD!$I$3:$I$5001,"&lt;&gt;")=0,"",SUMIFS(BD!$I$3:$I$5001,BD!$A$3:$A$5001,K$3,BD!$B$3:$B$5001,$A$66)))</f>
        <v/>
      </c>
      <c r="L67" s="198" t="str">
        <f>IF(L$3="","",IF(COUNTIFS(BD!$A$3:$A$5001,L$3,BD!$B$3:$B$5001,$A$66,BD!$I$3:$I$5001,"&lt;&gt;")=0,"",SUMIFS(BD!$I$3:$I$5001,BD!$A$3:$A$5001,L$3,BD!$B$3:$B$5001,$A$66)))</f>
        <v/>
      </c>
      <c r="M67" s="198" t="str">
        <f>IF(M$3="","",IF(COUNTIFS(BD!$A$3:$A$5001,M$3,BD!$B$3:$B$5001,$A$66,BD!$I$3:$I$5001,"&lt;&gt;")=0,"",SUMIFS(BD!$I$3:$I$5001,BD!$A$3:$A$5001,M$3,BD!$B$3:$B$5001,$A$66)))</f>
        <v/>
      </c>
      <c r="N67" s="198" t="str">
        <f>IF(N$3="","",IF(COUNTIFS(BD!$A$3:$A$5001,N$3,BD!$B$3:$B$5001,$A$66,BD!$I$3:$I$5001,"&lt;&gt;")=0,"",SUMIFS(BD!$I$3:$I$5001,BD!$A$3:$A$5001,N$3,BD!$B$3:$B$5001,$A$66)))</f>
        <v/>
      </c>
      <c r="O67" s="198" t="str">
        <f>IF(O$3="","",IF(COUNTIFS(BD!$A$3:$A$5001,O$3,BD!$B$3:$B$5001,$A$66,BD!$I$3:$I$5001,"&lt;&gt;")=0,"",SUMIFS(BD!$I$3:$I$5001,BD!$A$3:$A$5001,O$3,BD!$B$3:$B$5001,$A$66)))</f>
        <v/>
      </c>
      <c r="P67" s="198" t="str">
        <f>IF(P$3="","",IF(COUNTIFS(BD!$A$3:$A$5001,P$3,BD!$B$3:$B$5001,$A$66,BD!$I$3:$I$5001,"&lt;&gt;")=0,"",SUMIFS(BD!$I$3:$I$5001,BD!$A$3:$A$5001,P$3,BD!$B$3:$B$5001,$A$66)))</f>
        <v/>
      </c>
      <c r="Q67" s="198" t="str">
        <f>IF(Q$3="","",IF(COUNTIFS(BD!$A$3:$A$5001,Q$3,BD!$B$3:$B$5001,$A$66,BD!$I$3:$I$5001,"&lt;&gt;")=0,"",SUMIFS(BD!$I$3:$I$5001,BD!$A$3:$A$5001,Q$3,BD!$B$3:$B$5001,$A$66)))</f>
        <v/>
      </c>
      <c r="R67" s="198" t="str">
        <f>IF(R$3="","",IF(COUNTIFS(BD!$A$3:$A$5001,R$3,BD!$B$3:$B$5001,$A$66,BD!$I$3:$I$5001,"&lt;&gt;")=0,"",SUMIFS(BD!$I$3:$I$5001,BD!$A$3:$A$5001,R$3,BD!$B$3:$B$5001,$A$66)))</f>
        <v/>
      </c>
      <c r="S67" s="198" t="str">
        <f>IF(S$3="","",IF(COUNTIFS(BD!$A$3:$A$5001,S$3,BD!$B$3:$B$5001,$A$66,BD!$I$3:$I$5001,"&lt;&gt;")=0,"",SUMIFS(BD!$I$3:$I$5001,BD!$A$3:$A$5001,S$3,BD!$B$3:$B$5001,$A$66)))</f>
        <v/>
      </c>
      <c r="T67" s="198" t="str">
        <f>IF(T$3="","",IF(COUNTIFS(BD!$A$3:$A$5001,T$3,BD!$B$3:$B$5001,$A$66,BD!$I$3:$I$5001,"&lt;&gt;")=0,"",SUMIFS(BD!$I$3:$I$5001,BD!$A$3:$A$5001,T$3,BD!$B$3:$B$5001,$A$66)))</f>
        <v/>
      </c>
      <c r="U67" s="198" t="str">
        <f>IF(U$3="","",IF(COUNTIFS(BD!$A$3:$A$5001,U$3,BD!$B$3:$B$5001,$A$66,BD!$I$3:$I$5001,"&lt;&gt;")=0,"",SUMIFS(BD!$I$3:$I$5001,BD!$A$3:$A$5001,U$3,BD!$B$3:$B$5001,$A$66)))</f>
        <v/>
      </c>
      <c r="V67" s="198" t="str">
        <f>IF(V$3="","",IF(COUNTIFS(BD!$A$3:$A$5001,V$3,BD!$B$3:$B$5001,$A$66,BD!$I$3:$I$5001,"&lt;&gt;")=0,"",SUMIFS(BD!$I$3:$I$5001,BD!$A$3:$A$5001,V$3,BD!$B$3:$B$5001,$A$66)))</f>
        <v/>
      </c>
      <c r="W67" s="198" t="str">
        <f>IF(W$3="","",IF(COUNTIFS(BD!$A$3:$A$5001,W$3,BD!$B$3:$B$5001,$A$66,BD!$I$3:$I$5001,"&lt;&gt;")=0,"",SUMIFS(BD!$I$3:$I$5001,BD!$A$3:$A$5001,W$3,BD!$B$3:$B$5001,$A$66)))</f>
        <v/>
      </c>
      <c r="X67" s="198" t="str">
        <f>IF(X$3="","",IF(COUNTIFS(BD!$A$3:$A$5001,X$3,BD!$B$3:$B$5001,$A$66,BD!$I$3:$I$5001,"&lt;&gt;")=0,"",SUMIFS(BD!$I$3:$I$5001,BD!$A$3:$A$5001,X$3,BD!$B$3:$B$5001,$A$66)))</f>
        <v/>
      </c>
      <c r="Y67" s="198" t="str">
        <f>IF(Y$3="","",IF(COUNTIFS(BD!$A$3:$A$5001,Y$3,BD!$B$3:$B$5001,$A$66,BD!$I$3:$I$5001,"&lt;&gt;")=0,"",SUMIFS(BD!$I$3:$I$5001,BD!$A$3:$A$5001,Y$3,BD!$B$3:$B$5001,$A$66)))</f>
        <v/>
      </c>
      <c r="Z67" s="198" t="str">
        <f>IF(Z$3="","",IF(COUNTIFS(BD!$A$3:$A$5001,Z$3,BD!$B$3:$B$5001,$A$66,BD!$I$3:$I$5001,"&lt;&gt;")=0,"",SUMIFS(BD!$I$3:$I$5001,BD!$A$3:$A$5001,Z$3,BD!$B$3:$B$5001,$A$66)))</f>
        <v/>
      </c>
      <c r="AA67" s="198" t="str">
        <f>IF(AA$3="","",IF(COUNTIFS(BD!$A$3:$A$5001,AA$3,BD!$B$3:$B$5001,$A$66,BD!$I$3:$I$5001,"&lt;&gt;")=0,"",SUMIFS(BD!$I$3:$I$5001,BD!$A$3:$A$5001,AA$3,BD!$B$3:$B$5001,$A$66)))</f>
        <v/>
      </c>
      <c r="AB67" s="198" t="str">
        <f>IF(AB$3="","",IF(COUNTIFS(BD!$A$3:$A$5001,AB$3,BD!$B$3:$B$5001,$A$66,BD!$I$3:$I$5001,"&lt;&gt;")=0,"",SUMIFS(BD!$I$3:$I$5001,BD!$A$3:$A$5001,AB$3,BD!$B$3:$B$5001,$A$66)))</f>
        <v/>
      </c>
      <c r="AC67" s="198" t="str">
        <f>IF(AC$3="","",IF(COUNTIFS(BD!$A$3:$A$5001,AC$3,BD!$B$3:$B$5001,$A$66,BD!$I$3:$I$5001,"&lt;&gt;")=0,"",SUMIFS(BD!$I$3:$I$5001,BD!$A$3:$A$5001,AC$3,BD!$B$3:$B$5001,$A$66)))</f>
        <v/>
      </c>
      <c r="AD67" s="198" t="str">
        <f>IF(AD$3="","",IF(COUNTIFS(BD!$A$3:$A$5001,AD$3,BD!$B$3:$B$5001,$A$66,BD!$I$3:$I$5001,"&lt;&gt;")=0,"",SUMIFS(BD!$I$3:$I$5001,BD!$A$3:$A$5001,AD$3,BD!$B$3:$B$5001,$A$66)))</f>
        <v/>
      </c>
      <c r="AE67" s="198" t="str">
        <f>IF(AE$3="","",IF(COUNTIFS(BD!$A$3:$A$5001,AE$3,BD!$B$3:$B$5001,$A$66,BD!$I$3:$I$5001,"&lt;&gt;")=0,"",SUMIFS(BD!$I$3:$I$5001,BD!$A$3:$A$5001,AE$3,BD!$B$3:$B$5001,$A$66)))</f>
        <v/>
      </c>
      <c r="AF67" s="198" t="str">
        <f>IF(AF$3="","",IF(COUNTIFS(BD!$A$3:$A$5001,AF$3,BD!$B$3:$B$5001,$A$66,BD!$I$3:$I$5001,"&lt;&gt;")=0,"",SUMIFS(BD!$I$3:$I$5001,BD!$A$3:$A$5001,AF$3,BD!$B$3:$B$5001,$A$66)))</f>
        <v/>
      </c>
      <c r="AG67" s="198" t="str">
        <f>IF(AG$3="","",IF(COUNTIFS(BD!$A$3:$A$5001,AG$3,BD!$B$3:$B$5001,$A$66,BD!$I$3:$I$5001,"&lt;&gt;")=0,"",SUMIFS(BD!$I$3:$I$5001,BD!$A$3:$A$5001,AG$3,BD!$B$3:$B$5001,$A$66)))</f>
        <v/>
      </c>
      <c r="AH67" s="198" t="str">
        <f>IF(AH$3="","",IF(COUNTIFS(BD!$A$3:$A$5001,AH$3,BD!$B$3:$B$5001,$A$66,BD!$I$3:$I$5001,"&lt;&gt;")=0,"",SUMIFS(BD!$I$3:$I$5001,BD!$A$3:$A$5001,AH$3,BD!$B$3:$B$5001,$A$66)))</f>
        <v/>
      </c>
      <c r="AI67" s="198" t="str">
        <f>IF(AI$3="","",IF(COUNTIFS(BD!$A$3:$A$5001,AI$3,BD!$B$3:$B$5001,$A$66,BD!$I$3:$I$5001,"&lt;&gt;")=0,"",SUMIFS(BD!$I$3:$I$5001,BD!$A$3:$A$5001,AI$3,BD!$B$3:$B$5001,$A$66)))</f>
        <v/>
      </c>
      <c r="AJ67" s="199" t="str">
        <f>IF(AJ$3="","",IF(COUNTIFS(BD!$A$3:$A$5001,AJ$3,BD!$B$3:$B$5001,$A$66,BD!$I$3:$I$5001,"&lt;&gt;")=0,"",SUMIFS(BD!$I$3:$I$5001,BD!$A$3:$A$5001,AJ$3,BD!$B$3:$B$5001,$A$66)))</f>
        <v/>
      </c>
      <c r="AK67" s="200" t="str">
        <f>IF(COUNT(F67:AJ67)=0,"",SUM(F67:AJ67))</f>
        <v/>
      </c>
    </row>
    <row r="68" ht="15.75" customHeight="1">
      <c r="A68" s="237"/>
      <c r="B68" s="232"/>
      <c r="C68" s="194" t="inlineStr">
        <is>
          <t xml:space="preserve">Caixas Mistas Recebidas</t>
        </is>
      </c>
      <c r="D68" s="195" t="str">
        <f>IFERROR(1/(1/INDEX(BD!$AK$31:$AU$31,MATCH($A$66,BD!$AK$22:$AU$22,0))),"")</f>
        <v/>
      </c>
      <c r="E68" s="196"/>
      <c r="F68" s="197" t="str">
        <f>IF(F$3="","",IF(COUNTIFS(BD!$A$3:$A$5001,F$3,BD!$B$3:$B$5001,$A$66,BD!$K$3:$K$5001,"&lt;&gt;")=0,"",SUMIFS(BD!$K$3:$K$5001,BD!$A$3:$A$5001,F$3,BD!$B$3:$B$5001,$A$66)))</f>
        <v/>
      </c>
      <c r="G68" s="198" t="str">
        <f>IF(G$3="","",IF(COUNTIFS(BD!$A$3:$A$5001,G$3,BD!$B$3:$B$5001,$A$66,BD!$K$3:$K$5001,"&lt;&gt;")=0,"",SUMIFS(BD!$K$3:$K$5001,BD!$A$3:$A$5001,G$3,BD!$B$3:$B$5001,$A$66)))</f>
        <v/>
      </c>
      <c r="H68" s="198" t="str">
        <f>IF(H$3="","",IF(COUNTIFS(BD!$A$3:$A$5001,H$3,BD!$B$3:$B$5001,$A$66,BD!$K$3:$K$5001,"&lt;&gt;")=0,"",SUMIFS(BD!$K$3:$K$5001,BD!$A$3:$A$5001,H$3,BD!$B$3:$B$5001,$A$66)))</f>
        <v/>
      </c>
      <c r="I68" s="198" t="str">
        <f>IF(I$3="","",IF(COUNTIFS(BD!$A$3:$A$5001,I$3,BD!$B$3:$B$5001,$A$66,BD!$K$3:$K$5001,"&lt;&gt;")=0,"",SUMIFS(BD!$K$3:$K$5001,BD!$A$3:$A$5001,I$3,BD!$B$3:$B$5001,$A$66)))</f>
        <v/>
      </c>
      <c r="J68" s="198" t="str">
        <f>IF(J$3="","",IF(COUNTIFS(BD!$A$3:$A$5001,J$3,BD!$B$3:$B$5001,$A$66,BD!$K$3:$K$5001,"&lt;&gt;")=0,"",SUMIFS(BD!$K$3:$K$5001,BD!$A$3:$A$5001,J$3,BD!$B$3:$B$5001,$A$66)))</f>
        <v/>
      </c>
      <c r="K68" s="198" t="str">
        <f>IF(K$3="","",IF(COUNTIFS(BD!$A$3:$A$5001,K$3,BD!$B$3:$B$5001,$A$66,BD!$K$3:$K$5001,"&lt;&gt;")=0,"",SUMIFS(BD!$K$3:$K$5001,BD!$A$3:$A$5001,K$3,BD!$B$3:$B$5001,$A$66)))</f>
        <v/>
      </c>
      <c r="L68" s="198" t="str">
        <f>IF(L$3="","",IF(COUNTIFS(BD!$A$3:$A$5001,L$3,BD!$B$3:$B$5001,$A$66,BD!$K$3:$K$5001,"&lt;&gt;")=0,"",SUMIFS(BD!$K$3:$K$5001,BD!$A$3:$A$5001,L$3,BD!$B$3:$B$5001,$A$66)))</f>
        <v/>
      </c>
      <c r="M68" s="198" t="str">
        <f>IF(M$3="","",IF(COUNTIFS(BD!$A$3:$A$5001,M$3,BD!$B$3:$B$5001,$A$66,BD!$K$3:$K$5001,"&lt;&gt;")=0,"",SUMIFS(BD!$K$3:$K$5001,BD!$A$3:$A$5001,M$3,BD!$B$3:$B$5001,$A$66)))</f>
        <v/>
      </c>
      <c r="N68" s="198" t="str">
        <f>IF(N$3="","",IF(COUNTIFS(BD!$A$3:$A$5001,N$3,BD!$B$3:$B$5001,$A$66,BD!$K$3:$K$5001,"&lt;&gt;")=0,"",SUMIFS(BD!$K$3:$K$5001,BD!$A$3:$A$5001,N$3,BD!$B$3:$B$5001,$A$66)))</f>
        <v/>
      </c>
      <c r="O68" s="198" t="str">
        <f>IF(O$3="","",IF(COUNTIFS(BD!$A$3:$A$5001,O$3,BD!$B$3:$B$5001,$A$66,BD!$K$3:$K$5001,"&lt;&gt;")=0,"",SUMIFS(BD!$K$3:$K$5001,BD!$A$3:$A$5001,O$3,BD!$B$3:$B$5001,$A$66)))</f>
        <v/>
      </c>
      <c r="P68" s="198" t="str">
        <f>IF(P$3="","",IF(COUNTIFS(BD!$A$3:$A$5001,P$3,BD!$B$3:$B$5001,$A$66,BD!$K$3:$K$5001,"&lt;&gt;")=0,"",SUMIFS(BD!$K$3:$K$5001,BD!$A$3:$A$5001,P$3,BD!$B$3:$B$5001,$A$66)))</f>
        <v/>
      </c>
      <c r="Q68" s="198" t="str">
        <f>IF(Q$3="","",IF(COUNTIFS(BD!$A$3:$A$5001,Q$3,BD!$B$3:$B$5001,$A$66,BD!$K$3:$K$5001,"&lt;&gt;")=0,"",SUMIFS(BD!$K$3:$K$5001,BD!$A$3:$A$5001,Q$3,BD!$B$3:$B$5001,$A$66)))</f>
        <v/>
      </c>
      <c r="R68" s="198" t="str">
        <f>IF(R$3="","",IF(COUNTIFS(BD!$A$3:$A$5001,R$3,BD!$B$3:$B$5001,$A$66,BD!$K$3:$K$5001,"&lt;&gt;")=0,"",SUMIFS(BD!$K$3:$K$5001,BD!$A$3:$A$5001,R$3,BD!$B$3:$B$5001,$A$66)))</f>
        <v/>
      </c>
      <c r="S68" s="198" t="str">
        <f>IF(S$3="","",IF(COUNTIFS(BD!$A$3:$A$5001,S$3,BD!$B$3:$B$5001,$A$66,BD!$K$3:$K$5001,"&lt;&gt;")=0,"",SUMIFS(BD!$K$3:$K$5001,BD!$A$3:$A$5001,S$3,BD!$B$3:$B$5001,$A$66)))</f>
        <v/>
      </c>
      <c r="T68" s="198" t="str">
        <f>IF(T$3="","",IF(COUNTIFS(BD!$A$3:$A$5001,T$3,BD!$B$3:$B$5001,$A$66,BD!$K$3:$K$5001,"&lt;&gt;")=0,"",SUMIFS(BD!$K$3:$K$5001,BD!$A$3:$A$5001,T$3,BD!$B$3:$B$5001,$A$66)))</f>
        <v/>
      </c>
      <c r="U68" s="198" t="str">
        <f>IF(U$3="","",IF(COUNTIFS(BD!$A$3:$A$5001,U$3,BD!$B$3:$B$5001,$A$66,BD!$K$3:$K$5001,"&lt;&gt;")=0,"",SUMIFS(BD!$K$3:$K$5001,BD!$A$3:$A$5001,U$3,BD!$B$3:$B$5001,$A$66)))</f>
        <v/>
      </c>
      <c r="V68" s="198" t="str">
        <f>IF(V$3="","",IF(COUNTIFS(BD!$A$3:$A$5001,V$3,BD!$B$3:$B$5001,$A$66,BD!$K$3:$K$5001,"&lt;&gt;")=0,"",SUMIFS(BD!$K$3:$K$5001,BD!$A$3:$A$5001,V$3,BD!$B$3:$B$5001,$A$66)))</f>
        <v/>
      </c>
      <c r="W68" s="198" t="str">
        <f>IF(W$3="","",IF(COUNTIFS(BD!$A$3:$A$5001,W$3,BD!$B$3:$B$5001,$A$66,BD!$K$3:$K$5001,"&lt;&gt;")=0,"",SUMIFS(BD!$K$3:$K$5001,BD!$A$3:$A$5001,W$3,BD!$B$3:$B$5001,$A$66)))</f>
        <v/>
      </c>
      <c r="X68" s="198" t="str">
        <f>IF(X$3="","",IF(COUNTIFS(BD!$A$3:$A$5001,X$3,BD!$B$3:$B$5001,$A$66,BD!$K$3:$K$5001,"&lt;&gt;")=0,"",SUMIFS(BD!$K$3:$K$5001,BD!$A$3:$A$5001,X$3,BD!$B$3:$B$5001,$A$66)))</f>
        <v/>
      </c>
      <c r="Y68" s="198" t="str">
        <f>IF(Y$3="","",IF(COUNTIFS(BD!$A$3:$A$5001,Y$3,BD!$B$3:$B$5001,$A$66,BD!$K$3:$K$5001,"&lt;&gt;")=0,"",SUMIFS(BD!$K$3:$K$5001,BD!$A$3:$A$5001,Y$3,BD!$B$3:$B$5001,$A$66)))</f>
        <v/>
      </c>
      <c r="Z68" s="198" t="str">
        <f>IF(Z$3="","",IF(COUNTIFS(BD!$A$3:$A$5001,Z$3,BD!$B$3:$B$5001,$A$66,BD!$K$3:$K$5001,"&lt;&gt;")=0,"",SUMIFS(BD!$K$3:$K$5001,BD!$A$3:$A$5001,Z$3,BD!$B$3:$B$5001,$A$66)))</f>
        <v/>
      </c>
      <c r="AA68" s="198" t="str">
        <f>IF(AA$3="","",IF(COUNTIFS(BD!$A$3:$A$5001,AA$3,BD!$B$3:$B$5001,$A$66,BD!$K$3:$K$5001,"&lt;&gt;")=0,"",SUMIFS(BD!$K$3:$K$5001,BD!$A$3:$A$5001,AA$3,BD!$B$3:$B$5001,$A$66)))</f>
        <v/>
      </c>
      <c r="AB68" s="198" t="str">
        <f>IF(AB$3="","",IF(COUNTIFS(BD!$A$3:$A$5001,AB$3,BD!$B$3:$B$5001,$A$66,BD!$K$3:$K$5001,"&lt;&gt;")=0,"",SUMIFS(BD!$K$3:$K$5001,BD!$A$3:$A$5001,AB$3,BD!$B$3:$B$5001,$A$66)))</f>
        <v/>
      </c>
      <c r="AC68" s="198" t="str">
        <f>IF(AC$3="","",IF(COUNTIFS(BD!$A$3:$A$5001,AC$3,BD!$B$3:$B$5001,$A$66,BD!$K$3:$K$5001,"&lt;&gt;")=0,"",SUMIFS(BD!$K$3:$K$5001,BD!$A$3:$A$5001,AC$3,BD!$B$3:$B$5001,$A$66)))</f>
        <v/>
      </c>
      <c r="AD68" s="198" t="str">
        <f>IF(AD$3="","",IF(COUNTIFS(BD!$A$3:$A$5001,AD$3,BD!$B$3:$B$5001,$A$66,BD!$K$3:$K$5001,"&lt;&gt;")=0,"",SUMIFS(BD!$K$3:$K$5001,BD!$A$3:$A$5001,AD$3,BD!$B$3:$B$5001,$A$66)))</f>
        <v/>
      </c>
      <c r="AE68" s="198" t="str">
        <f>IF(AE$3="","",IF(COUNTIFS(BD!$A$3:$A$5001,AE$3,BD!$B$3:$B$5001,$A$66,BD!$K$3:$K$5001,"&lt;&gt;")=0,"",SUMIFS(BD!$K$3:$K$5001,BD!$A$3:$A$5001,AE$3,BD!$B$3:$B$5001,$A$66)))</f>
        <v/>
      </c>
      <c r="AF68" s="198" t="str">
        <f>IF(AF$3="","",IF(COUNTIFS(BD!$A$3:$A$5001,AF$3,BD!$B$3:$B$5001,$A$66,BD!$K$3:$K$5001,"&lt;&gt;")=0,"",SUMIFS(BD!$K$3:$K$5001,BD!$A$3:$A$5001,AF$3,BD!$B$3:$B$5001,$A$66)))</f>
        <v/>
      </c>
      <c r="AG68" s="198" t="str">
        <f>IF(AG$3="","",IF(COUNTIFS(BD!$A$3:$A$5001,AG$3,BD!$B$3:$B$5001,$A$66,BD!$K$3:$K$5001,"&lt;&gt;")=0,"",SUMIFS(BD!$K$3:$K$5001,BD!$A$3:$A$5001,AG$3,BD!$B$3:$B$5001,$A$66)))</f>
        <v/>
      </c>
      <c r="AH68" s="198" t="str">
        <f>IF(AH$3="","",IF(COUNTIFS(BD!$A$3:$A$5001,AH$3,BD!$B$3:$B$5001,$A$66,BD!$K$3:$K$5001,"&lt;&gt;")=0,"",SUMIFS(BD!$K$3:$K$5001,BD!$A$3:$A$5001,AH$3,BD!$B$3:$B$5001,$A$66)))</f>
        <v/>
      </c>
      <c r="AI68" s="198" t="str">
        <f>IF(AI$3="","",IF(COUNTIFS(BD!$A$3:$A$5001,AI$3,BD!$B$3:$B$5001,$A$66,BD!$K$3:$K$5001,"&lt;&gt;")=0,"",SUMIFS(BD!$K$3:$K$5001,BD!$A$3:$A$5001,AI$3,BD!$B$3:$B$5001,$A$66)))</f>
        <v/>
      </c>
      <c r="AJ68" s="199" t="str">
        <f>IF(AJ$3="","",IF(COUNTIFS(BD!$A$3:$A$5001,AJ$3,BD!$B$3:$B$5001,$A$66,BD!$K$3:$K$5001,"&lt;&gt;")=0,"",SUMIFS(BD!$K$3:$K$5001,BD!$A$3:$A$5001,AJ$3,BD!$B$3:$B$5001,$A$66)))</f>
        <v/>
      </c>
      <c r="AK68" s="200" t="str">
        <f>IF(COUNT(F68:AJ68)=0,"",SUM(F68:AJ68))</f>
        <v/>
      </c>
    </row>
    <row r="69" ht="15.75" customHeight="1">
      <c r="A69" s="237"/>
      <c r="B69" s="226"/>
      <c r="C69" s="155" t="inlineStr">
        <is>
          <t xml:space="preserve">Caixas Fechadas</t>
        </is>
      </c>
      <c r="D69" s="156" t="str">
        <f>IFERROR(1/(1/INDEX(BD!$AK$30:$AU$30,MATCH($A$66,BD!$AK$22:$AU$22,0))),"")</f>
        <v/>
      </c>
      <c r="E69" s="157"/>
      <c r="F69" s="158" t="str">
        <f>IF(F$3="","",IF(COUNTIFS(BD!$A$3:$A$5001,F$3,BD!$B$3:$B$5001,$A$66,BD!$J$3:$J$5001,"&lt;&gt;")=0,"",SUMIFS(BD!$J$3:$J$5001,BD!$A$3:$A$5001,F$3,BD!$B$3:$B$5001,$A$66)))</f>
        <v/>
      </c>
      <c r="G69" s="159" t="str">
        <f>IF(G$3="","",IF(COUNTIFS(BD!$A$3:$A$5001,G$3,BD!$B$3:$B$5001,$A$66,BD!$J$3:$J$5001,"&lt;&gt;")=0,"",SUMIFS(BD!$J$3:$J$5001,BD!$A$3:$A$5001,G$3,BD!$B$3:$B$5001,$A$66)))</f>
        <v/>
      </c>
      <c r="H69" s="159" t="str">
        <f>IF(H$3="","",IF(COUNTIFS(BD!$A$3:$A$5001,H$3,BD!$B$3:$B$5001,$A$66,BD!$J$3:$J$5001,"&lt;&gt;")=0,"",SUMIFS(BD!$J$3:$J$5001,BD!$A$3:$A$5001,H$3,BD!$B$3:$B$5001,$A$66)))</f>
        <v/>
      </c>
      <c r="I69" s="159" t="str">
        <f>IF(I$3="","",IF(COUNTIFS(BD!$A$3:$A$5001,I$3,BD!$B$3:$B$5001,$A$66,BD!$J$3:$J$5001,"&lt;&gt;")=0,"",SUMIFS(BD!$J$3:$J$5001,BD!$A$3:$A$5001,I$3,BD!$B$3:$B$5001,$A$66)))</f>
        <v/>
      </c>
      <c r="J69" s="159" t="str">
        <f>IF(J$3="","",IF(COUNTIFS(BD!$A$3:$A$5001,J$3,BD!$B$3:$B$5001,$A$66,BD!$J$3:$J$5001,"&lt;&gt;")=0,"",SUMIFS(BD!$J$3:$J$5001,BD!$A$3:$A$5001,J$3,BD!$B$3:$B$5001,$A$66)))</f>
        <v/>
      </c>
      <c r="K69" s="159" t="str">
        <f>IF(K$3="","",IF(COUNTIFS(BD!$A$3:$A$5001,K$3,BD!$B$3:$B$5001,$A$66,BD!$J$3:$J$5001,"&lt;&gt;")=0,"",SUMIFS(BD!$J$3:$J$5001,BD!$A$3:$A$5001,K$3,BD!$B$3:$B$5001,$A$66)))</f>
        <v/>
      </c>
      <c r="L69" s="159" t="str">
        <f>IF(L$3="","",IF(COUNTIFS(BD!$A$3:$A$5001,L$3,BD!$B$3:$B$5001,$A$66,BD!$J$3:$J$5001,"&lt;&gt;")=0,"",SUMIFS(BD!$J$3:$J$5001,BD!$A$3:$A$5001,L$3,BD!$B$3:$B$5001,$A$66)))</f>
        <v/>
      </c>
      <c r="M69" s="159" t="str">
        <f>IF(M$3="","",IF(COUNTIFS(BD!$A$3:$A$5001,M$3,BD!$B$3:$B$5001,$A$66,BD!$J$3:$J$5001,"&lt;&gt;")=0,"",SUMIFS(BD!$J$3:$J$5001,BD!$A$3:$A$5001,M$3,BD!$B$3:$B$5001,$A$66)))</f>
        <v/>
      </c>
      <c r="N69" s="159" t="str">
        <f>IF(N$3="","",IF(COUNTIFS(BD!$A$3:$A$5001,N$3,BD!$B$3:$B$5001,$A$66,BD!$J$3:$J$5001,"&lt;&gt;")=0,"",SUMIFS(BD!$J$3:$J$5001,BD!$A$3:$A$5001,N$3,BD!$B$3:$B$5001,$A$66)))</f>
        <v/>
      </c>
      <c r="O69" s="159" t="str">
        <f>IF(O$3="","",IF(COUNTIFS(BD!$A$3:$A$5001,O$3,BD!$B$3:$B$5001,$A$66,BD!$J$3:$J$5001,"&lt;&gt;")=0,"",SUMIFS(BD!$J$3:$J$5001,BD!$A$3:$A$5001,O$3,BD!$B$3:$B$5001,$A$66)))</f>
        <v/>
      </c>
      <c r="P69" s="159" t="str">
        <f>IF(P$3="","",IF(COUNTIFS(BD!$A$3:$A$5001,P$3,BD!$B$3:$B$5001,$A$66,BD!$J$3:$J$5001,"&lt;&gt;")=0,"",SUMIFS(BD!$J$3:$J$5001,BD!$A$3:$A$5001,P$3,BD!$B$3:$B$5001,$A$66)))</f>
        <v/>
      </c>
      <c r="Q69" s="159" t="str">
        <f>IF(Q$3="","",IF(COUNTIFS(BD!$A$3:$A$5001,Q$3,BD!$B$3:$B$5001,$A$66,BD!$J$3:$J$5001,"&lt;&gt;")=0,"",SUMIFS(BD!$J$3:$J$5001,BD!$A$3:$A$5001,Q$3,BD!$B$3:$B$5001,$A$66)))</f>
        <v/>
      </c>
      <c r="R69" s="159" t="str">
        <f>IF(R$3="","",IF(COUNTIFS(BD!$A$3:$A$5001,R$3,BD!$B$3:$B$5001,$A$66,BD!$J$3:$J$5001,"&lt;&gt;")=0,"",SUMIFS(BD!$J$3:$J$5001,BD!$A$3:$A$5001,R$3,BD!$B$3:$B$5001,$A$66)))</f>
        <v/>
      </c>
      <c r="S69" s="159" t="str">
        <f>IF(S$3="","",IF(COUNTIFS(BD!$A$3:$A$5001,S$3,BD!$B$3:$B$5001,$A$66,BD!$J$3:$J$5001,"&lt;&gt;")=0,"",SUMIFS(BD!$J$3:$J$5001,BD!$A$3:$A$5001,S$3,BD!$B$3:$B$5001,$A$66)))</f>
        <v/>
      </c>
      <c r="T69" s="159" t="str">
        <f>IF(T$3="","",IF(COUNTIFS(BD!$A$3:$A$5001,T$3,BD!$B$3:$B$5001,$A$66,BD!$J$3:$J$5001,"&lt;&gt;")=0,"",SUMIFS(BD!$J$3:$J$5001,BD!$A$3:$A$5001,T$3,BD!$B$3:$B$5001,$A$66)))</f>
        <v/>
      </c>
      <c r="U69" s="159" t="str">
        <f>IF(U$3="","",IF(COUNTIFS(BD!$A$3:$A$5001,U$3,BD!$B$3:$B$5001,$A$66,BD!$J$3:$J$5001,"&lt;&gt;")=0,"",SUMIFS(BD!$J$3:$J$5001,BD!$A$3:$A$5001,U$3,BD!$B$3:$B$5001,$A$66)))</f>
        <v/>
      </c>
      <c r="V69" s="159" t="str">
        <f>IF(V$3="","",IF(COUNTIFS(BD!$A$3:$A$5001,V$3,BD!$B$3:$B$5001,$A$66,BD!$J$3:$J$5001,"&lt;&gt;")=0,"",SUMIFS(BD!$J$3:$J$5001,BD!$A$3:$A$5001,V$3,BD!$B$3:$B$5001,$A$66)))</f>
        <v/>
      </c>
      <c r="W69" s="159" t="str">
        <f>IF(W$3="","",IF(COUNTIFS(BD!$A$3:$A$5001,W$3,BD!$B$3:$B$5001,$A$66,BD!$J$3:$J$5001,"&lt;&gt;")=0,"",SUMIFS(BD!$J$3:$J$5001,BD!$A$3:$A$5001,W$3,BD!$B$3:$B$5001,$A$66)))</f>
        <v/>
      </c>
      <c r="X69" s="159" t="str">
        <f>IF(X$3="","",IF(COUNTIFS(BD!$A$3:$A$5001,X$3,BD!$B$3:$B$5001,$A$66,BD!$J$3:$J$5001,"&lt;&gt;")=0,"",SUMIFS(BD!$J$3:$J$5001,BD!$A$3:$A$5001,X$3,BD!$B$3:$B$5001,$A$66)))</f>
        <v/>
      </c>
      <c r="Y69" s="159" t="str">
        <f>IF(Y$3="","",IF(COUNTIFS(BD!$A$3:$A$5001,Y$3,BD!$B$3:$B$5001,$A$66,BD!$J$3:$J$5001,"&lt;&gt;")=0,"",SUMIFS(BD!$J$3:$J$5001,BD!$A$3:$A$5001,Y$3,BD!$B$3:$B$5001,$A$66)))</f>
        <v/>
      </c>
      <c r="Z69" s="159" t="str">
        <f>IF(Z$3="","",IF(COUNTIFS(BD!$A$3:$A$5001,Z$3,BD!$B$3:$B$5001,$A$66,BD!$J$3:$J$5001,"&lt;&gt;")=0,"",SUMIFS(BD!$J$3:$J$5001,BD!$A$3:$A$5001,Z$3,BD!$B$3:$B$5001,$A$66)))</f>
        <v/>
      </c>
      <c r="AA69" s="159" t="str">
        <f>IF(AA$3="","",IF(COUNTIFS(BD!$A$3:$A$5001,AA$3,BD!$B$3:$B$5001,$A$66,BD!$J$3:$J$5001,"&lt;&gt;")=0,"",SUMIFS(BD!$J$3:$J$5001,BD!$A$3:$A$5001,AA$3,BD!$B$3:$B$5001,$A$66)))</f>
        <v/>
      </c>
      <c r="AB69" s="159" t="str">
        <f>IF(AB$3="","",IF(COUNTIFS(BD!$A$3:$A$5001,AB$3,BD!$B$3:$B$5001,$A$66,BD!$J$3:$J$5001,"&lt;&gt;")=0,"",SUMIFS(BD!$J$3:$J$5001,BD!$A$3:$A$5001,AB$3,BD!$B$3:$B$5001,$A$66)))</f>
        <v/>
      </c>
      <c r="AC69" s="159" t="str">
        <f>IF(AC$3="","",IF(COUNTIFS(BD!$A$3:$A$5001,AC$3,BD!$B$3:$B$5001,$A$66,BD!$J$3:$J$5001,"&lt;&gt;")=0,"",SUMIFS(BD!$J$3:$J$5001,BD!$A$3:$A$5001,AC$3,BD!$B$3:$B$5001,$A$66)))</f>
        <v/>
      </c>
      <c r="AD69" s="159" t="str">
        <f>IF(AD$3="","",IF(COUNTIFS(BD!$A$3:$A$5001,AD$3,BD!$B$3:$B$5001,$A$66,BD!$J$3:$J$5001,"&lt;&gt;")=0,"",SUMIFS(BD!$J$3:$J$5001,BD!$A$3:$A$5001,AD$3,BD!$B$3:$B$5001,$A$66)))</f>
        <v/>
      </c>
      <c r="AE69" s="159" t="str">
        <f>IF(AE$3="","",IF(COUNTIFS(BD!$A$3:$A$5001,AE$3,BD!$B$3:$B$5001,$A$66,BD!$J$3:$J$5001,"&lt;&gt;")=0,"",SUMIFS(BD!$J$3:$J$5001,BD!$A$3:$A$5001,AE$3,BD!$B$3:$B$5001,$A$66)))</f>
        <v/>
      </c>
      <c r="AF69" s="159" t="str">
        <f>IF(AF$3="","",IF(COUNTIFS(BD!$A$3:$A$5001,AF$3,BD!$B$3:$B$5001,$A$66,BD!$J$3:$J$5001,"&lt;&gt;")=0,"",SUMIFS(BD!$J$3:$J$5001,BD!$A$3:$A$5001,AF$3,BD!$B$3:$B$5001,$A$66)))</f>
        <v/>
      </c>
      <c r="AG69" s="159" t="str">
        <f>IF(AG$3="","",IF(COUNTIFS(BD!$A$3:$A$5001,AG$3,BD!$B$3:$B$5001,$A$66,BD!$J$3:$J$5001,"&lt;&gt;")=0,"",SUMIFS(BD!$J$3:$J$5001,BD!$A$3:$A$5001,AG$3,BD!$B$3:$B$5001,$A$66)))</f>
        <v/>
      </c>
      <c r="AH69" s="159" t="str">
        <f>IF(AH$3="","",IF(COUNTIFS(BD!$A$3:$A$5001,AH$3,BD!$B$3:$B$5001,$A$66,BD!$J$3:$J$5001,"&lt;&gt;")=0,"",SUMIFS(BD!$J$3:$J$5001,BD!$A$3:$A$5001,AH$3,BD!$B$3:$B$5001,$A$66)))</f>
        <v/>
      </c>
      <c r="AI69" s="159" t="str">
        <f>IF(AI$3="","",IF(COUNTIFS(BD!$A$3:$A$5001,AI$3,BD!$B$3:$B$5001,$A$66,BD!$J$3:$J$5001,"&lt;&gt;")=0,"",SUMIFS(BD!$J$3:$J$5001,BD!$A$3:$A$5001,AI$3,BD!$B$3:$B$5001,$A$66)))</f>
        <v/>
      </c>
      <c r="AJ69" s="160" t="str">
        <f>IF(AJ$3="","",IF(COUNTIFS(BD!$A$3:$A$5001,AJ$3,BD!$B$3:$B$5001,$A$66,BD!$J$3:$J$5001,"&lt;&gt;")=0,"",SUMIFS(BD!$J$3:$J$5001,BD!$A$3:$A$5001,AJ$3,BD!$B$3:$B$5001,$A$66)))</f>
        <v/>
      </c>
      <c r="AK69" s="156" t="str">
        <f>IF(COUNT(F69:AJ69)=0,"",SUM(F69:AJ69))</f>
        <v/>
      </c>
    </row>
    <row r="70" ht="15.75" customHeight="1">
      <c r="A70" s="237"/>
      <c r="B70" s="227" t="inlineStr">
        <is>
          <t xml:space="preserve">OUT</t>
        </is>
      </c>
      <c r="C70" s="161" t="inlineStr">
        <is>
          <t xml:space="preserve">Veículos Expedidos</t>
        </is>
      </c>
      <c r="D70" s="162" t="str">
        <f>IFERROR(1/(1/INDEX(BD!$AK$32:$AU$32,MATCH($A$66,BD!$AK$22:$AU$22,0))),"")</f>
        <v/>
      </c>
      <c r="E70" s="163"/>
      <c r="F70" s="164" t="str">
        <f>IF(F$3="","",IF(COUNTIFS(BD!$A$3:$A$5001,F$3,BD!$B$3:$B$5001,$A$66,BD!$L$3:$L$5001,"&lt;&gt;")=0,"",SUMIFS(BD!$L$3:$L$5001,BD!$A$3:$A$5001,F$3,BD!$B$3:$B$5001,$A$66)))</f>
        <v/>
      </c>
      <c r="G70" s="165" t="str">
        <f>IF(G$3="","",IF(COUNTIFS(BD!$A$3:$A$5001,G$3,BD!$B$3:$B$5001,$A$66,BD!$L$3:$L$5001,"&lt;&gt;")=0,"",SUMIFS(BD!$L$3:$L$5001,BD!$A$3:$A$5001,G$3,BD!$B$3:$B$5001,$A$66)))</f>
        <v/>
      </c>
      <c r="H70" s="165" t="str">
        <f>IF(H$3="","",IF(COUNTIFS(BD!$A$3:$A$5001,H$3,BD!$B$3:$B$5001,$A$66,BD!$L$3:$L$5001,"&lt;&gt;")=0,"",SUMIFS(BD!$L$3:$L$5001,BD!$A$3:$A$5001,H$3,BD!$B$3:$B$5001,$A$66)))</f>
        <v/>
      </c>
      <c r="I70" s="165" t="str">
        <f>IF(I$3="","",IF(COUNTIFS(BD!$A$3:$A$5001,I$3,BD!$B$3:$B$5001,$A$66,BD!$L$3:$L$5001,"&lt;&gt;")=0,"",SUMIFS(BD!$L$3:$L$5001,BD!$A$3:$A$5001,I$3,BD!$B$3:$B$5001,$A$66)))</f>
        <v/>
      </c>
      <c r="J70" s="165" t="str">
        <f>IF(J$3="","",IF(COUNTIFS(BD!$A$3:$A$5001,J$3,BD!$B$3:$B$5001,$A$66,BD!$L$3:$L$5001,"&lt;&gt;")=0,"",SUMIFS(BD!$L$3:$L$5001,BD!$A$3:$A$5001,J$3,BD!$B$3:$B$5001,$A$66)))</f>
        <v/>
      </c>
      <c r="K70" s="165" t="str">
        <f>IF(K$3="","",IF(COUNTIFS(BD!$A$3:$A$5001,K$3,BD!$B$3:$B$5001,$A$66,BD!$L$3:$L$5001,"&lt;&gt;")=0,"",SUMIFS(BD!$L$3:$L$5001,BD!$A$3:$A$5001,K$3,BD!$B$3:$B$5001,$A$66)))</f>
        <v/>
      </c>
      <c r="L70" s="165" t="str">
        <f>IF(L$3="","",IF(COUNTIFS(BD!$A$3:$A$5001,L$3,BD!$B$3:$B$5001,$A$66,BD!$L$3:$L$5001,"&lt;&gt;")=0,"",SUMIFS(BD!$L$3:$L$5001,BD!$A$3:$A$5001,L$3,BD!$B$3:$B$5001,$A$66)))</f>
        <v/>
      </c>
      <c r="M70" s="165" t="str">
        <f>IF(M$3="","",IF(COUNTIFS(BD!$A$3:$A$5001,M$3,BD!$B$3:$B$5001,$A$66,BD!$L$3:$L$5001,"&lt;&gt;")=0,"",SUMIFS(BD!$L$3:$L$5001,BD!$A$3:$A$5001,M$3,BD!$B$3:$B$5001,$A$66)))</f>
        <v/>
      </c>
      <c r="N70" s="165" t="str">
        <f>IF(N$3="","",IF(COUNTIFS(BD!$A$3:$A$5001,N$3,BD!$B$3:$B$5001,$A$66,BD!$L$3:$L$5001,"&lt;&gt;")=0,"",SUMIFS(BD!$L$3:$L$5001,BD!$A$3:$A$5001,N$3,BD!$B$3:$B$5001,$A$66)))</f>
        <v/>
      </c>
      <c r="O70" s="165" t="str">
        <f>IF(O$3="","",IF(COUNTIFS(BD!$A$3:$A$5001,O$3,BD!$B$3:$B$5001,$A$66,BD!$L$3:$L$5001,"&lt;&gt;")=0,"",SUMIFS(BD!$L$3:$L$5001,BD!$A$3:$A$5001,O$3,BD!$B$3:$B$5001,$A$66)))</f>
        <v/>
      </c>
      <c r="P70" s="165" t="str">
        <f>IF(P$3="","",IF(COUNTIFS(BD!$A$3:$A$5001,P$3,BD!$B$3:$B$5001,$A$66,BD!$L$3:$L$5001,"&lt;&gt;")=0,"",SUMIFS(BD!$L$3:$L$5001,BD!$A$3:$A$5001,P$3,BD!$B$3:$B$5001,$A$66)))</f>
        <v/>
      </c>
      <c r="Q70" s="165" t="str">
        <f>IF(Q$3="","",IF(COUNTIFS(BD!$A$3:$A$5001,Q$3,BD!$B$3:$B$5001,$A$66,BD!$L$3:$L$5001,"&lt;&gt;")=0,"",SUMIFS(BD!$L$3:$L$5001,BD!$A$3:$A$5001,Q$3,BD!$B$3:$B$5001,$A$66)))</f>
        <v/>
      </c>
      <c r="R70" s="165" t="str">
        <f>IF(R$3="","",IF(COUNTIFS(BD!$A$3:$A$5001,R$3,BD!$B$3:$B$5001,$A$66,BD!$L$3:$L$5001,"&lt;&gt;")=0,"",SUMIFS(BD!$L$3:$L$5001,BD!$A$3:$A$5001,R$3,BD!$B$3:$B$5001,$A$66)))</f>
        <v/>
      </c>
      <c r="S70" s="165" t="str">
        <f>IF(S$3="","",IF(COUNTIFS(BD!$A$3:$A$5001,S$3,BD!$B$3:$B$5001,$A$66,BD!$L$3:$L$5001,"&lt;&gt;")=0,"",SUMIFS(BD!$L$3:$L$5001,BD!$A$3:$A$5001,S$3,BD!$B$3:$B$5001,$A$66)))</f>
        <v/>
      </c>
      <c r="T70" s="165" t="str">
        <f>IF(T$3="","",IF(COUNTIFS(BD!$A$3:$A$5001,T$3,BD!$B$3:$B$5001,$A$66,BD!$L$3:$L$5001,"&lt;&gt;")=0,"",SUMIFS(BD!$L$3:$L$5001,BD!$A$3:$A$5001,T$3,BD!$B$3:$B$5001,$A$66)))</f>
        <v/>
      </c>
      <c r="U70" s="165" t="str">
        <f>IF(U$3="","",IF(COUNTIFS(BD!$A$3:$A$5001,U$3,BD!$B$3:$B$5001,$A$66,BD!$L$3:$L$5001,"&lt;&gt;")=0,"",SUMIFS(BD!$L$3:$L$5001,BD!$A$3:$A$5001,U$3,BD!$B$3:$B$5001,$A$66)))</f>
        <v/>
      </c>
      <c r="V70" s="165" t="str">
        <f>IF(V$3="","",IF(COUNTIFS(BD!$A$3:$A$5001,V$3,BD!$B$3:$B$5001,$A$66,BD!$L$3:$L$5001,"&lt;&gt;")=0,"",SUMIFS(BD!$L$3:$L$5001,BD!$A$3:$A$5001,V$3,BD!$B$3:$B$5001,$A$66)))</f>
        <v/>
      </c>
      <c r="W70" s="165" t="str">
        <f>IF(W$3="","",IF(COUNTIFS(BD!$A$3:$A$5001,W$3,BD!$B$3:$B$5001,$A$66,BD!$L$3:$L$5001,"&lt;&gt;")=0,"",SUMIFS(BD!$L$3:$L$5001,BD!$A$3:$A$5001,W$3,BD!$B$3:$B$5001,$A$66)))</f>
        <v/>
      </c>
      <c r="X70" s="165" t="str">
        <f>IF(X$3="","",IF(COUNTIFS(BD!$A$3:$A$5001,X$3,BD!$B$3:$B$5001,$A$66,BD!$L$3:$L$5001,"&lt;&gt;")=0,"",SUMIFS(BD!$L$3:$L$5001,BD!$A$3:$A$5001,X$3,BD!$B$3:$B$5001,$A$66)))</f>
        <v/>
      </c>
      <c r="Y70" s="165" t="str">
        <f>IF(Y$3="","",IF(COUNTIFS(BD!$A$3:$A$5001,Y$3,BD!$B$3:$B$5001,$A$66,BD!$L$3:$L$5001,"&lt;&gt;")=0,"",SUMIFS(BD!$L$3:$L$5001,BD!$A$3:$A$5001,Y$3,BD!$B$3:$B$5001,$A$66)))</f>
        <v/>
      </c>
      <c r="Z70" s="165" t="str">
        <f>IF(Z$3="","",IF(COUNTIFS(BD!$A$3:$A$5001,Z$3,BD!$B$3:$B$5001,$A$66,BD!$L$3:$L$5001,"&lt;&gt;")=0,"",SUMIFS(BD!$L$3:$L$5001,BD!$A$3:$A$5001,Z$3,BD!$B$3:$B$5001,$A$66)))</f>
        <v/>
      </c>
      <c r="AA70" s="165" t="str">
        <f>IF(AA$3="","",IF(COUNTIFS(BD!$A$3:$A$5001,AA$3,BD!$B$3:$B$5001,$A$66,BD!$L$3:$L$5001,"&lt;&gt;")=0,"",SUMIFS(BD!$L$3:$L$5001,BD!$A$3:$A$5001,AA$3,BD!$B$3:$B$5001,$A$66)))</f>
        <v/>
      </c>
      <c r="AB70" s="165" t="str">
        <f>IF(AB$3="","",IF(COUNTIFS(BD!$A$3:$A$5001,AB$3,BD!$B$3:$B$5001,$A$66,BD!$L$3:$L$5001,"&lt;&gt;")=0,"",SUMIFS(BD!$L$3:$L$5001,BD!$A$3:$A$5001,AB$3,BD!$B$3:$B$5001,$A$66)))</f>
        <v/>
      </c>
      <c r="AC70" s="165" t="str">
        <f>IF(AC$3="","",IF(COUNTIFS(BD!$A$3:$A$5001,AC$3,BD!$B$3:$B$5001,$A$66,BD!$L$3:$L$5001,"&lt;&gt;")=0,"",SUMIFS(BD!$L$3:$L$5001,BD!$A$3:$A$5001,AC$3,BD!$B$3:$B$5001,$A$66)))</f>
        <v/>
      </c>
      <c r="AD70" s="165" t="str">
        <f>IF(AD$3="","",IF(COUNTIFS(BD!$A$3:$A$5001,AD$3,BD!$B$3:$B$5001,$A$66,BD!$L$3:$L$5001,"&lt;&gt;")=0,"",SUMIFS(BD!$L$3:$L$5001,BD!$A$3:$A$5001,AD$3,BD!$B$3:$B$5001,$A$66)))</f>
        <v/>
      </c>
      <c r="AE70" s="165" t="str">
        <f>IF(AE$3="","",IF(COUNTIFS(BD!$A$3:$A$5001,AE$3,BD!$B$3:$B$5001,$A$66,BD!$L$3:$L$5001,"&lt;&gt;")=0,"",SUMIFS(BD!$L$3:$L$5001,BD!$A$3:$A$5001,AE$3,BD!$B$3:$B$5001,$A$66)))</f>
        <v/>
      </c>
      <c r="AF70" s="165" t="str">
        <f>IF(AF$3="","",IF(COUNTIFS(BD!$A$3:$A$5001,AF$3,BD!$B$3:$B$5001,$A$66,BD!$L$3:$L$5001,"&lt;&gt;")=0,"",SUMIFS(BD!$L$3:$L$5001,BD!$A$3:$A$5001,AF$3,BD!$B$3:$B$5001,$A$66)))</f>
        <v/>
      </c>
      <c r="AG70" s="165" t="str">
        <f>IF(AG$3="","",IF(COUNTIFS(BD!$A$3:$A$5001,AG$3,BD!$B$3:$B$5001,$A$66,BD!$L$3:$L$5001,"&lt;&gt;")=0,"",SUMIFS(BD!$L$3:$L$5001,BD!$A$3:$A$5001,AG$3,BD!$B$3:$B$5001,$A$66)))</f>
        <v/>
      </c>
      <c r="AH70" s="165" t="str">
        <f>IF(AH$3="","",IF(COUNTIFS(BD!$A$3:$A$5001,AH$3,BD!$B$3:$B$5001,$A$66,BD!$L$3:$L$5001,"&lt;&gt;")=0,"",SUMIFS(BD!$L$3:$L$5001,BD!$A$3:$A$5001,AH$3,BD!$B$3:$B$5001,$A$66)))</f>
        <v/>
      </c>
      <c r="AI70" s="165" t="str">
        <f>IF(AI$3="","",IF(COUNTIFS(BD!$A$3:$A$5001,AI$3,BD!$B$3:$B$5001,$A$66,BD!$L$3:$L$5001,"&lt;&gt;")=0,"",SUMIFS(BD!$L$3:$L$5001,BD!$A$3:$A$5001,AI$3,BD!$B$3:$B$5001,$A$66)))</f>
        <v/>
      </c>
      <c r="AJ70" s="166" t="str">
        <f>IF(AJ$3="","",IF(COUNTIFS(BD!$A$3:$A$5001,AJ$3,BD!$B$3:$B$5001,$A$66,BD!$L$3:$L$5001,"&lt;&gt;")=0,"",SUMIFS(BD!$L$3:$L$5001,BD!$A$3:$A$5001,AJ$3,BD!$B$3:$B$5001,$A$66)))</f>
        <v/>
      </c>
      <c r="AK70" s="167" t="str">
        <f>IF(COUNT(F70:AJ70)=0,"",SUM(F70:AJ70))</f>
        <v/>
      </c>
    </row>
    <row r="71" ht="15.75" customHeight="1">
      <c r="A71" s="237"/>
      <c r="B71" s="254"/>
      <c r="C71" s="243" t="inlineStr">
        <is>
          <t xml:space="preserve">Pedidos Faturados</t>
        </is>
      </c>
      <c r="D71" s="244" t="str">
        <f>IFERROR(1/(1/INDEX(BD!$AK$34:$AU$34,MATCH($A$66,BD!$AK$22:$AU$22,0))),"")</f>
        <v/>
      </c>
      <c r="E71" s="245"/>
      <c r="F71" s="246" t="str">
        <f>IF(F$3="","",IF(COUNTIFS(BD!$A$3:$A$5001,F$3,BD!$B$3:$B$5001,$A$66,BD!$N$3:$N$5001,"&lt;&gt;")=0,"",SUMIFS(BD!$N$3:$N$5001,BD!$A$3:$A$5001,F$3,BD!$B$3:$B$5001,$A$66)))</f>
        <v/>
      </c>
      <c r="G71" s="247" t="str">
        <f>IF(G$3="","",IF(COUNTIFS(BD!$A$3:$A$5001,G$3,BD!$B$3:$B$5001,$A$66,BD!$N$3:$N$5001,"&lt;&gt;")=0,"",SUMIFS(BD!$N$3:$N$5001,BD!$A$3:$A$5001,G$3,BD!$B$3:$B$5001,$A$66)))</f>
        <v/>
      </c>
      <c r="H71" s="247" t="str">
        <f>IF(H$3="","",IF(COUNTIFS(BD!$A$3:$A$5001,H$3,BD!$B$3:$B$5001,$A$66,BD!$N$3:$N$5001,"&lt;&gt;")=0,"",SUMIFS(BD!$N$3:$N$5001,BD!$A$3:$A$5001,H$3,BD!$B$3:$B$5001,$A$66)))</f>
        <v/>
      </c>
      <c r="I71" s="247" t="str">
        <f>IF(I$3="","",IF(COUNTIFS(BD!$A$3:$A$5001,I$3,BD!$B$3:$B$5001,$A$66,BD!$N$3:$N$5001,"&lt;&gt;")=0,"",SUMIFS(BD!$N$3:$N$5001,BD!$A$3:$A$5001,I$3,BD!$B$3:$B$5001,$A$66)))</f>
        <v/>
      </c>
      <c r="J71" s="247" t="str">
        <f>IF(J$3="","",IF(COUNTIFS(BD!$A$3:$A$5001,J$3,BD!$B$3:$B$5001,$A$66,BD!$N$3:$N$5001,"&lt;&gt;")=0,"",SUMIFS(BD!$N$3:$N$5001,BD!$A$3:$A$5001,J$3,BD!$B$3:$B$5001,$A$66)))</f>
        <v/>
      </c>
      <c r="K71" s="247" t="str">
        <f>IF(K$3="","",IF(COUNTIFS(BD!$A$3:$A$5001,K$3,BD!$B$3:$B$5001,$A$66,BD!$N$3:$N$5001,"&lt;&gt;")=0,"",SUMIFS(BD!$N$3:$N$5001,BD!$A$3:$A$5001,K$3,BD!$B$3:$B$5001,$A$66)))</f>
        <v/>
      </c>
      <c r="L71" s="247" t="str">
        <f>IF(L$3="","",IF(COUNTIFS(BD!$A$3:$A$5001,L$3,BD!$B$3:$B$5001,$A$66,BD!$N$3:$N$5001,"&lt;&gt;")=0,"",SUMIFS(BD!$N$3:$N$5001,BD!$A$3:$A$5001,L$3,BD!$B$3:$B$5001,$A$66)))</f>
        <v/>
      </c>
      <c r="M71" s="247" t="str">
        <f>IF(M$3="","",IF(COUNTIFS(BD!$A$3:$A$5001,M$3,BD!$B$3:$B$5001,$A$66,BD!$N$3:$N$5001,"&lt;&gt;")=0,"",SUMIFS(BD!$N$3:$N$5001,BD!$A$3:$A$5001,M$3,BD!$B$3:$B$5001,$A$66)))</f>
        <v/>
      </c>
      <c r="N71" s="247" t="str">
        <f>IF(N$3="","",IF(COUNTIFS(BD!$A$3:$A$5001,N$3,BD!$B$3:$B$5001,$A$66,BD!$N$3:$N$5001,"&lt;&gt;")=0,"",SUMIFS(BD!$N$3:$N$5001,BD!$A$3:$A$5001,N$3,BD!$B$3:$B$5001,$A$66)))</f>
        <v/>
      </c>
      <c r="O71" s="247" t="str">
        <f>IF(O$3="","",IF(COUNTIFS(BD!$A$3:$A$5001,O$3,BD!$B$3:$B$5001,$A$66,BD!$N$3:$N$5001,"&lt;&gt;")=0,"",SUMIFS(BD!$N$3:$N$5001,BD!$A$3:$A$5001,O$3,BD!$B$3:$B$5001,$A$66)))</f>
        <v/>
      </c>
      <c r="P71" s="247" t="str">
        <f>IF(P$3="","",IF(COUNTIFS(BD!$A$3:$A$5001,P$3,BD!$B$3:$B$5001,$A$66,BD!$N$3:$N$5001,"&lt;&gt;")=0,"",SUMIFS(BD!$N$3:$N$5001,BD!$A$3:$A$5001,P$3,BD!$B$3:$B$5001,$A$66)))</f>
        <v/>
      </c>
      <c r="Q71" s="247" t="str">
        <f>IF(Q$3="","",IF(COUNTIFS(BD!$A$3:$A$5001,Q$3,BD!$B$3:$B$5001,$A$66,BD!$N$3:$N$5001,"&lt;&gt;")=0,"",SUMIFS(BD!$N$3:$N$5001,BD!$A$3:$A$5001,Q$3,BD!$B$3:$B$5001,$A$66)))</f>
        <v/>
      </c>
      <c r="R71" s="247" t="str">
        <f>IF(R$3="","",IF(COUNTIFS(BD!$A$3:$A$5001,R$3,BD!$B$3:$B$5001,$A$66,BD!$N$3:$N$5001,"&lt;&gt;")=0,"",SUMIFS(BD!$N$3:$N$5001,BD!$A$3:$A$5001,R$3,BD!$B$3:$B$5001,$A$66)))</f>
        <v/>
      </c>
      <c r="S71" s="247" t="str">
        <f>IF(S$3="","",IF(COUNTIFS(BD!$A$3:$A$5001,S$3,BD!$B$3:$B$5001,$A$66,BD!$N$3:$N$5001,"&lt;&gt;")=0,"",SUMIFS(BD!$N$3:$N$5001,BD!$A$3:$A$5001,S$3,BD!$B$3:$B$5001,$A$66)))</f>
        <v/>
      </c>
      <c r="T71" s="247" t="str">
        <f>IF(T$3="","",IF(COUNTIFS(BD!$A$3:$A$5001,T$3,BD!$B$3:$B$5001,$A$66,BD!$N$3:$N$5001,"&lt;&gt;")=0,"",SUMIFS(BD!$N$3:$N$5001,BD!$A$3:$A$5001,T$3,BD!$B$3:$B$5001,$A$66)))</f>
        <v/>
      </c>
      <c r="U71" s="247" t="str">
        <f>IF(U$3="","",IF(COUNTIFS(BD!$A$3:$A$5001,U$3,BD!$B$3:$B$5001,$A$66,BD!$N$3:$N$5001,"&lt;&gt;")=0,"",SUMIFS(BD!$N$3:$N$5001,BD!$A$3:$A$5001,U$3,BD!$B$3:$B$5001,$A$66)))</f>
        <v/>
      </c>
      <c r="V71" s="247" t="str">
        <f>IF(V$3="","",IF(COUNTIFS(BD!$A$3:$A$5001,V$3,BD!$B$3:$B$5001,$A$66,BD!$N$3:$N$5001,"&lt;&gt;")=0,"",SUMIFS(BD!$N$3:$N$5001,BD!$A$3:$A$5001,V$3,BD!$B$3:$B$5001,$A$66)))</f>
        <v/>
      </c>
      <c r="W71" s="247" t="str">
        <f>IF(W$3="","",IF(COUNTIFS(BD!$A$3:$A$5001,W$3,BD!$B$3:$B$5001,$A$66,BD!$N$3:$N$5001,"&lt;&gt;")=0,"",SUMIFS(BD!$N$3:$N$5001,BD!$A$3:$A$5001,W$3,BD!$B$3:$B$5001,$A$66)))</f>
        <v/>
      </c>
      <c r="X71" s="247" t="str">
        <f>IF(X$3="","",IF(COUNTIFS(BD!$A$3:$A$5001,X$3,BD!$B$3:$B$5001,$A$66,BD!$N$3:$N$5001,"&lt;&gt;")=0,"",SUMIFS(BD!$N$3:$N$5001,BD!$A$3:$A$5001,X$3,BD!$B$3:$B$5001,$A$66)))</f>
        <v/>
      </c>
      <c r="Y71" s="247" t="str">
        <f>IF(Y$3="","",IF(COUNTIFS(BD!$A$3:$A$5001,Y$3,BD!$B$3:$B$5001,$A$66,BD!$N$3:$N$5001,"&lt;&gt;")=0,"",SUMIFS(BD!$N$3:$N$5001,BD!$A$3:$A$5001,Y$3,BD!$B$3:$B$5001,$A$66)))</f>
        <v/>
      </c>
      <c r="Z71" s="247" t="str">
        <f>IF(Z$3="","",IF(COUNTIFS(BD!$A$3:$A$5001,Z$3,BD!$B$3:$B$5001,$A$66,BD!$N$3:$N$5001,"&lt;&gt;")=0,"",SUMIFS(BD!$N$3:$N$5001,BD!$A$3:$A$5001,Z$3,BD!$B$3:$B$5001,$A$66)))</f>
        <v/>
      </c>
      <c r="AA71" s="247" t="str">
        <f>IF(AA$3="","",IF(COUNTIFS(BD!$A$3:$A$5001,AA$3,BD!$B$3:$B$5001,$A$66,BD!$N$3:$N$5001,"&lt;&gt;")=0,"",SUMIFS(BD!$N$3:$N$5001,BD!$A$3:$A$5001,AA$3,BD!$B$3:$B$5001,$A$66)))</f>
        <v/>
      </c>
      <c r="AB71" s="247" t="str">
        <f>IF(AB$3="","",IF(COUNTIFS(BD!$A$3:$A$5001,AB$3,BD!$B$3:$B$5001,$A$66,BD!$N$3:$N$5001,"&lt;&gt;")=0,"",SUMIFS(BD!$N$3:$N$5001,BD!$A$3:$A$5001,AB$3,BD!$B$3:$B$5001,$A$66)))</f>
        <v/>
      </c>
      <c r="AC71" s="247" t="str">
        <f>IF(AC$3="","",IF(COUNTIFS(BD!$A$3:$A$5001,AC$3,BD!$B$3:$B$5001,$A$66,BD!$N$3:$N$5001,"&lt;&gt;")=0,"",SUMIFS(BD!$N$3:$N$5001,BD!$A$3:$A$5001,AC$3,BD!$B$3:$B$5001,$A$66)))</f>
        <v/>
      </c>
      <c r="AD71" s="247" t="str">
        <f>IF(AD$3="","",IF(COUNTIFS(BD!$A$3:$A$5001,AD$3,BD!$B$3:$B$5001,$A$66,BD!$N$3:$N$5001,"&lt;&gt;")=0,"",SUMIFS(BD!$N$3:$N$5001,BD!$A$3:$A$5001,AD$3,BD!$B$3:$B$5001,$A$66)))</f>
        <v/>
      </c>
      <c r="AE71" s="247" t="str">
        <f>IF(AE$3="","",IF(COUNTIFS(BD!$A$3:$A$5001,AE$3,BD!$B$3:$B$5001,$A$66,BD!$N$3:$N$5001,"&lt;&gt;")=0,"",SUMIFS(BD!$N$3:$N$5001,BD!$A$3:$A$5001,AE$3,BD!$B$3:$B$5001,$A$66)))</f>
        <v/>
      </c>
      <c r="AF71" s="247" t="str">
        <f>IF(AF$3="","",IF(COUNTIFS(BD!$A$3:$A$5001,AF$3,BD!$B$3:$B$5001,$A$66,BD!$N$3:$N$5001,"&lt;&gt;")=0,"",SUMIFS(BD!$N$3:$N$5001,BD!$A$3:$A$5001,AF$3,BD!$B$3:$B$5001,$A$66)))</f>
        <v/>
      </c>
      <c r="AG71" s="247" t="str">
        <f>IF(AG$3="","",IF(COUNTIFS(BD!$A$3:$A$5001,AG$3,BD!$B$3:$B$5001,$A$66,BD!$N$3:$N$5001,"&lt;&gt;")=0,"",SUMIFS(BD!$N$3:$N$5001,BD!$A$3:$A$5001,AG$3,BD!$B$3:$B$5001,$A$66)))</f>
        <v/>
      </c>
      <c r="AH71" s="247" t="str">
        <f>IF(AH$3="","",IF(COUNTIFS(BD!$A$3:$A$5001,AH$3,BD!$B$3:$B$5001,$A$66,BD!$N$3:$N$5001,"&lt;&gt;")=0,"",SUMIFS(BD!$N$3:$N$5001,BD!$A$3:$A$5001,AH$3,BD!$B$3:$B$5001,$A$66)))</f>
        <v/>
      </c>
      <c r="AI71" s="247" t="str">
        <f>IF(AI$3="","",IF(COUNTIFS(BD!$A$3:$A$5001,AI$3,BD!$B$3:$B$5001,$A$66,BD!$N$3:$N$5001,"&lt;&gt;")=0,"",SUMIFS(BD!$N$3:$N$5001,BD!$A$3:$A$5001,AI$3,BD!$B$3:$B$5001,$A$66)))</f>
        <v/>
      </c>
      <c r="AJ71" s="248" t="str">
        <f>IF(AJ$3="","",IF(COUNTIFS(BD!$A$3:$A$5001,AJ$3,BD!$B$3:$B$5001,$A$66,BD!$N$3:$N$5001,"&lt;&gt;")=0,"",SUMIFS(BD!$N$3:$N$5001,BD!$A$3:$A$5001,AJ$3,BD!$B$3:$B$5001,$A$66)))</f>
        <v/>
      </c>
      <c r="AK71" s="249" t="str">
        <f>IF(COUNT(F71:AJ71)=0,"",SUM(F71:AJ71))</f>
        <v/>
      </c>
    </row>
    <row r="72" ht="15.75" customHeight="1">
      <c r="A72" s="237"/>
      <c r="B72" s="254"/>
      <c r="C72" s="243" t="inlineStr">
        <is>
          <t xml:space="preserve">Itens Expedidos</t>
        </is>
      </c>
      <c r="D72" s="244" t="str">
        <f>IFERROR(1/(1/INDEX(BD!$AK$35:$AU$35,MATCH($A$66,BD!$AK$22:$AU$22,0))),"")</f>
        <v/>
      </c>
      <c r="E72" s="245"/>
      <c r="F72" s="246" t="str">
        <f>IF(F$3="","",IF(COUNTIFS(BD!$A$3:$A$5001,F$3,BD!$B$3:$B$5001,$A$66,BD!$O$3:$O$5001,"&lt;&gt;")=0,"",SUMIFS(BD!$O$3:$O$5001,BD!$A$3:$A$5001,F$3,BD!$B$3:$B$5001,$A$66)))</f>
        <v/>
      </c>
      <c r="G72" s="247" t="str">
        <f>IF(G$3="","",IF(COUNTIFS(BD!$A$3:$A$5001,G$3,BD!$B$3:$B$5001,$A$66,BD!$O$3:$O$5001,"&lt;&gt;")=0,"",SUMIFS(BD!$O$3:$O$5001,BD!$A$3:$A$5001,G$3,BD!$B$3:$B$5001,$A$66)))</f>
        <v/>
      </c>
      <c r="H72" s="247" t="str">
        <f>IF(H$3="","",IF(COUNTIFS(BD!$A$3:$A$5001,H$3,BD!$B$3:$B$5001,$A$66,BD!$O$3:$O$5001,"&lt;&gt;")=0,"",SUMIFS(BD!$O$3:$O$5001,BD!$A$3:$A$5001,H$3,BD!$B$3:$B$5001,$A$66)))</f>
        <v/>
      </c>
      <c r="I72" s="247" t="str">
        <f>IF(I$3="","",IF(COUNTIFS(BD!$A$3:$A$5001,I$3,BD!$B$3:$B$5001,$A$66,BD!$O$3:$O$5001,"&lt;&gt;")=0,"",SUMIFS(BD!$O$3:$O$5001,BD!$A$3:$A$5001,I$3,BD!$B$3:$B$5001,$A$66)))</f>
        <v/>
      </c>
      <c r="J72" s="247" t="str">
        <f>IF(J$3="","",IF(COUNTIFS(BD!$A$3:$A$5001,J$3,BD!$B$3:$B$5001,$A$66,BD!$O$3:$O$5001,"&lt;&gt;")=0,"",SUMIFS(BD!$O$3:$O$5001,BD!$A$3:$A$5001,J$3,BD!$B$3:$B$5001,$A$66)))</f>
        <v/>
      </c>
      <c r="K72" s="247" t="str">
        <f>IF(K$3="","",IF(COUNTIFS(BD!$A$3:$A$5001,K$3,BD!$B$3:$B$5001,$A$66,BD!$O$3:$O$5001,"&lt;&gt;")=0,"",SUMIFS(BD!$O$3:$O$5001,BD!$A$3:$A$5001,K$3,BD!$B$3:$B$5001,$A$66)))</f>
        <v/>
      </c>
      <c r="L72" s="247" t="str">
        <f>IF(L$3="","",IF(COUNTIFS(BD!$A$3:$A$5001,L$3,BD!$B$3:$B$5001,$A$66,BD!$O$3:$O$5001,"&lt;&gt;")=0,"",SUMIFS(BD!$O$3:$O$5001,BD!$A$3:$A$5001,L$3,BD!$B$3:$B$5001,$A$66)))</f>
        <v/>
      </c>
      <c r="M72" s="247" t="str">
        <f>IF(M$3="","",IF(COUNTIFS(BD!$A$3:$A$5001,M$3,BD!$B$3:$B$5001,$A$66,BD!$O$3:$O$5001,"&lt;&gt;")=0,"",SUMIFS(BD!$O$3:$O$5001,BD!$A$3:$A$5001,M$3,BD!$B$3:$B$5001,$A$66)))</f>
        <v/>
      </c>
      <c r="N72" s="247" t="str">
        <f>IF(N$3="","",IF(COUNTIFS(BD!$A$3:$A$5001,N$3,BD!$B$3:$B$5001,$A$66,BD!$O$3:$O$5001,"&lt;&gt;")=0,"",SUMIFS(BD!$O$3:$O$5001,BD!$A$3:$A$5001,N$3,BD!$B$3:$B$5001,$A$66)))</f>
        <v/>
      </c>
      <c r="O72" s="247" t="str">
        <f>IF(O$3="","",IF(COUNTIFS(BD!$A$3:$A$5001,O$3,BD!$B$3:$B$5001,$A$66,BD!$O$3:$O$5001,"&lt;&gt;")=0,"",SUMIFS(BD!$O$3:$O$5001,BD!$A$3:$A$5001,O$3,BD!$B$3:$B$5001,$A$66)))</f>
        <v/>
      </c>
      <c r="P72" s="247" t="str">
        <f>IF(P$3="","",IF(COUNTIFS(BD!$A$3:$A$5001,P$3,BD!$B$3:$B$5001,$A$66,BD!$O$3:$O$5001,"&lt;&gt;")=0,"",SUMIFS(BD!$O$3:$O$5001,BD!$A$3:$A$5001,P$3,BD!$B$3:$B$5001,$A$66)))</f>
        <v/>
      </c>
      <c r="Q72" s="247" t="str">
        <f>IF(Q$3="","",IF(COUNTIFS(BD!$A$3:$A$5001,Q$3,BD!$B$3:$B$5001,$A$66,BD!$O$3:$O$5001,"&lt;&gt;")=0,"",SUMIFS(BD!$O$3:$O$5001,BD!$A$3:$A$5001,Q$3,BD!$B$3:$B$5001,$A$66)))</f>
        <v/>
      </c>
      <c r="R72" s="247" t="str">
        <f>IF(R$3="","",IF(COUNTIFS(BD!$A$3:$A$5001,R$3,BD!$B$3:$B$5001,$A$66,BD!$O$3:$O$5001,"&lt;&gt;")=0,"",SUMIFS(BD!$O$3:$O$5001,BD!$A$3:$A$5001,R$3,BD!$B$3:$B$5001,$A$66)))</f>
        <v/>
      </c>
      <c r="S72" s="247" t="str">
        <f>IF(S$3="","",IF(COUNTIFS(BD!$A$3:$A$5001,S$3,BD!$B$3:$B$5001,$A$66,BD!$O$3:$O$5001,"&lt;&gt;")=0,"",SUMIFS(BD!$O$3:$O$5001,BD!$A$3:$A$5001,S$3,BD!$B$3:$B$5001,$A$66)))</f>
        <v/>
      </c>
      <c r="T72" s="247" t="str">
        <f>IF(T$3="","",IF(COUNTIFS(BD!$A$3:$A$5001,T$3,BD!$B$3:$B$5001,$A$66,BD!$O$3:$O$5001,"&lt;&gt;")=0,"",SUMIFS(BD!$O$3:$O$5001,BD!$A$3:$A$5001,T$3,BD!$B$3:$B$5001,$A$66)))</f>
        <v/>
      </c>
      <c r="U72" s="247" t="str">
        <f>IF(U$3="","",IF(COUNTIFS(BD!$A$3:$A$5001,U$3,BD!$B$3:$B$5001,$A$66,BD!$O$3:$O$5001,"&lt;&gt;")=0,"",SUMIFS(BD!$O$3:$O$5001,BD!$A$3:$A$5001,U$3,BD!$B$3:$B$5001,$A$66)))</f>
        <v/>
      </c>
      <c r="V72" s="247" t="str">
        <f>IF(V$3="","",IF(COUNTIFS(BD!$A$3:$A$5001,V$3,BD!$B$3:$B$5001,$A$66,BD!$O$3:$O$5001,"&lt;&gt;")=0,"",SUMIFS(BD!$O$3:$O$5001,BD!$A$3:$A$5001,V$3,BD!$B$3:$B$5001,$A$66)))</f>
        <v/>
      </c>
      <c r="W72" s="247" t="str">
        <f>IF(W$3="","",IF(COUNTIFS(BD!$A$3:$A$5001,W$3,BD!$B$3:$B$5001,$A$66,BD!$O$3:$O$5001,"&lt;&gt;")=0,"",SUMIFS(BD!$O$3:$O$5001,BD!$A$3:$A$5001,W$3,BD!$B$3:$B$5001,$A$66)))</f>
        <v/>
      </c>
      <c r="X72" s="247" t="str">
        <f>IF(X$3="","",IF(COUNTIFS(BD!$A$3:$A$5001,X$3,BD!$B$3:$B$5001,$A$66,BD!$O$3:$O$5001,"&lt;&gt;")=0,"",SUMIFS(BD!$O$3:$O$5001,BD!$A$3:$A$5001,X$3,BD!$B$3:$B$5001,$A$66)))</f>
        <v/>
      </c>
      <c r="Y72" s="247" t="str">
        <f>IF(Y$3="","",IF(COUNTIFS(BD!$A$3:$A$5001,Y$3,BD!$B$3:$B$5001,$A$66,BD!$O$3:$O$5001,"&lt;&gt;")=0,"",SUMIFS(BD!$O$3:$O$5001,BD!$A$3:$A$5001,Y$3,BD!$B$3:$B$5001,$A$66)))</f>
        <v/>
      </c>
      <c r="Z72" s="247" t="str">
        <f>IF(Z$3="","",IF(COUNTIFS(BD!$A$3:$A$5001,Z$3,BD!$B$3:$B$5001,$A$66,BD!$O$3:$O$5001,"&lt;&gt;")=0,"",SUMIFS(BD!$O$3:$O$5001,BD!$A$3:$A$5001,Z$3,BD!$B$3:$B$5001,$A$66)))</f>
        <v/>
      </c>
      <c r="AA72" s="247" t="str">
        <f>IF(AA$3="","",IF(COUNTIFS(BD!$A$3:$A$5001,AA$3,BD!$B$3:$B$5001,$A$66,BD!$O$3:$O$5001,"&lt;&gt;")=0,"",SUMIFS(BD!$O$3:$O$5001,BD!$A$3:$A$5001,AA$3,BD!$B$3:$B$5001,$A$66)))</f>
        <v/>
      </c>
      <c r="AB72" s="247" t="str">
        <f>IF(AB$3="","",IF(COUNTIFS(BD!$A$3:$A$5001,AB$3,BD!$B$3:$B$5001,$A$66,BD!$O$3:$O$5001,"&lt;&gt;")=0,"",SUMIFS(BD!$O$3:$O$5001,BD!$A$3:$A$5001,AB$3,BD!$B$3:$B$5001,$A$66)))</f>
        <v/>
      </c>
      <c r="AC72" s="247" t="str">
        <f>IF(AC$3="","",IF(COUNTIFS(BD!$A$3:$A$5001,AC$3,BD!$B$3:$B$5001,$A$66,BD!$O$3:$O$5001,"&lt;&gt;")=0,"",SUMIFS(BD!$O$3:$O$5001,BD!$A$3:$A$5001,AC$3,BD!$B$3:$B$5001,$A$66)))</f>
        <v/>
      </c>
      <c r="AD72" s="247" t="str">
        <f>IF(AD$3="","",IF(COUNTIFS(BD!$A$3:$A$5001,AD$3,BD!$B$3:$B$5001,$A$66,BD!$O$3:$O$5001,"&lt;&gt;")=0,"",SUMIFS(BD!$O$3:$O$5001,BD!$A$3:$A$5001,AD$3,BD!$B$3:$B$5001,$A$66)))</f>
        <v/>
      </c>
      <c r="AE72" s="247" t="str">
        <f>IF(AE$3="","",IF(COUNTIFS(BD!$A$3:$A$5001,AE$3,BD!$B$3:$B$5001,$A$66,BD!$O$3:$O$5001,"&lt;&gt;")=0,"",SUMIFS(BD!$O$3:$O$5001,BD!$A$3:$A$5001,AE$3,BD!$B$3:$B$5001,$A$66)))</f>
        <v/>
      </c>
      <c r="AF72" s="247" t="str">
        <f>IF(AF$3="","",IF(COUNTIFS(BD!$A$3:$A$5001,AF$3,BD!$B$3:$B$5001,$A$66,BD!$O$3:$O$5001,"&lt;&gt;")=0,"",SUMIFS(BD!$O$3:$O$5001,BD!$A$3:$A$5001,AF$3,BD!$B$3:$B$5001,$A$66)))</f>
        <v/>
      </c>
      <c r="AG72" s="247" t="str">
        <f>IF(AG$3="","",IF(COUNTIFS(BD!$A$3:$A$5001,AG$3,BD!$B$3:$B$5001,$A$66,BD!$O$3:$O$5001,"&lt;&gt;")=0,"",SUMIFS(BD!$O$3:$O$5001,BD!$A$3:$A$5001,AG$3,BD!$B$3:$B$5001,$A$66)))</f>
        <v/>
      </c>
      <c r="AH72" s="247" t="str">
        <f>IF(AH$3="","",IF(COUNTIFS(BD!$A$3:$A$5001,AH$3,BD!$B$3:$B$5001,$A$66,BD!$O$3:$O$5001,"&lt;&gt;")=0,"",SUMIFS(BD!$O$3:$O$5001,BD!$A$3:$A$5001,AH$3,BD!$B$3:$B$5001,$A$66)))</f>
        <v/>
      </c>
      <c r="AI72" s="247" t="str">
        <f>IF(AI$3="","",IF(COUNTIFS(BD!$A$3:$A$5001,AI$3,BD!$B$3:$B$5001,$A$66,BD!$O$3:$O$5001,"&lt;&gt;")=0,"",SUMIFS(BD!$O$3:$O$5001,BD!$A$3:$A$5001,AI$3,BD!$B$3:$B$5001,$A$66)))</f>
        <v/>
      </c>
      <c r="AJ72" s="248" t="str">
        <f>IF(AJ$3="","",IF(COUNTIFS(BD!$A$3:$A$5001,AJ$3,BD!$B$3:$B$5001,$A$66,BD!$O$3:$O$5001,"&lt;&gt;")=0,"",SUMIFS(BD!$O$3:$O$5001,BD!$A$3:$A$5001,AJ$3,BD!$B$3:$B$5001,$A$66)))</f>
        <v/>
      </c>
      <c r="AK72" s="249" t="str">
        <f>IF(COUNT(F72:AJ72)=0,"",SUM(F72:AJ72))</f>
        <v/>
      </c>
    </row>
    <row r="73" ht="15.75" customHeight="1">
      <c r="A73" s="237"/>
      <c r="B73" s="228"/>
      <c r="C73" s="168" t="inlineStr">
        <is>
          <t xml:space="preserve">Pallets Movimentados</t>
        </is>
      </c>
      <c r="D73" s="169" t="str">
        <f>IFERROR(1/(1/INDEX(BD!$AK$39:$AU$39,MATCH($A$66,BD!$AK$22:$AU$22,0))),"")</f>
        <v/>
      </c>
      <c r="E73" s="170"/>
      <c r="F73" s="171" t="str">
        <f>IF(F$3="","",IF(COUNTIFS(BD!$A$3:$A$5001,F$3,BD!$B$3:$B$5001,$A$66,BD!$S$3:$S$5001,"&lt;&gt;")=0,"",SUMIFS(BD!$S$3:$S$5001,BD!$A$3:$A$5001,F$3,BD!$B$3:$B$5001,$A$66)))</f>
        <v/>
      </c>
      <c r="G73" s="172" t="str">
        <f>IF(G$3="","",IF(COUNTIFS(BD!$A$3:$A$5001,G$3,BD!$B$3:$B$5001,$A$66,BD!$S$3:$S$5001,"&lt;&gt;")=0,"",SUMIFS(BD!$S$3:$S$5001,BD!$A$3:$A$5001,G$3,BD!$B$3:$B$5001,$A$66)))</f>
        <v/>
      </c>
      <c r="H73" s="172" t="str">
        <f>IF(H$3="","",IF(COUNTIFS(BD!$A$3:$A$5001,H$3,BD!$B$3:$B$5001,$A$66,BD!$S$3:$S$5001,"&lt;&gt;")=0,"",SUMIFS(BD!$S$3:$S$5001,BD!$A$3:$A$5001,H$3,BD!$B$3:$B$5001,$A$66)))</f>
        <v/>
      </c>
      <c r="I73" s="172" t="str">
        <f>IF(I$3="","",IF(COUNTIFS(BD!$A$3:$A$5001,I$3,BD!$B$3:$B$5001,$A$66,BD!$S$3:$S$5001,"&lt;&gt;")=0,"",SUMIFS(BD!$S$3:$S$5001,BD!$A$3:$A$5001,I$3,BD!$B$3:$B$5001,$A$66)))</f>
        <v/>
      </c>
      <c r="J73" s="172" t="str">
        <f>IF(J$3="","",IF(COUNTIFS(BD!$A$3:$A$5001,J$3,BD!$B$3:$B$5001,$A$66,BD!$S$3:$S$5001,"&lt;&gt;")=0,"",SUMIFS(BD!$S$3:$S$5001,BD!$A$3:$A$5001,J$3,BD!$B$3:$B$5001,$A$66)))</f>
        <v/>
      </c>
      <c r="K73" s="172" t="str">
        <f>IF(K$3="","",IF(COUNTIFS(BD!$A$3:$A$5001,K$3,BD!$B$3:$B$5001,$A$66,BD!$S$3:$S$5001,"&lt;&gt;")=0,"",SUMIFS(BD!$S$3:$S$5001,BD!$A$3:$A$5001,K$3,BD!$B$3:$B$5001,$A$66)))</f>
        <v/>
      </c>
      <c r="L73" s="172" t="str">
        <f>IF(L$3="","",IF(COUNTIFS(BD!$A$3:$A$5001,L$3,BD!$B$3:$B$5001,$A$66,BD!$S$3:$S$5001,"&lt;&gt;")=0,"",SUMIFS(BD!$S$3:$S$5001,BD!$A$3:$A$5001,L$3,BD!$B$3:$B$5001,$A$66)))</f>
        <v/>
      </c>
      <c r="M73" s="172" t="str">
        <f>IF(M$3="","",IF(COUNTIFS(BD!$A$3:$A$5001,M$3,BD!$B$3:$B$5001,$A$66,BD!$S$3:$S$5001,"&lt;&gt;")=0,"",SUMIFS(BD!$S$3:$S$5001,BD!$A$3:$A$5001,M$3,BD!$B$3:$B$5001,$A$66)))</f>
        <v/>
      </c>
      <c r="N73" s="172" t="str">
        <f>IF(N$3="","",IF(COUNTIFS(BD!$A$3:$A$5001,N$3,BD!$B$3:$B$5001,$A$66,BD!$S$3:$S$5001,"&lt;&gt;")=0,"",SUMIFS(BD!$S$3:$S$5001,BD!$A$3:$A$5001,N$3,BD!$B$3:$B$5001,$A$66)))</f>
        <v/>
      </c>
      <c r="O73" s="172" t="str">
        <f>IF(O$3="","",IF(COUNTIFS(BD!$A$3:$A$5001,O$3,BD!$B$3:$B$5001,$A$66,BD!$S$3:$S$5001,"&lt;&gt;")=0,"",SUMIFS(BD!$S$3:$S$5001,BD!$A$3:$A$5001,O$3,BD!$B$3:$B$5001,$A$66)))</f>
        <v/>
      </c>
      <c r="P73" s="172" t="str">
        <f>IF(P$3="","",IF(COUNTIFS(BD!$A$3:$A$5001,P$3,BD!$B$3:$B$5001,$A$66,BD!$S$3:$S$5001,"&lt;&gt;")=0,"",SUMIFS(BD!$S$3:$S$5001,BD!$A$3:$A$5001,P$3,BD!$B$3:$B$5001,$A$66)))</f>
        <v/>
      </c>
      <c r="Q73" s="172" t="str">
        <f>IF(Q$3="","",IF(COUNTIFS(BD!$A$3:$A$5001,Q$3,BD!$B$3:$B$5001,$A$66,BD!$S$3:$S$5001,"&lt;&gt;")=0,"",SUMIFS(BD!$S$3:$S$5001,BD!$A$3:$A$5001,Q$3,BD!$B$3:$B$5001,$A$66)))</f>
        <v/>
      </c>
      <c r="R73" s="172" t="str">
        <f>IF(R$3="","",IF(COUNTIFS(BD!$A$3:$A$5001,R$3,BD!$B$3:$B$5001,$A$66,BD!$S$3:$S$5001,"&lt;&gt;")=0,"",SUMIFS(BD!$S$3:$S$5001,BD!$A$3:$A$5001,R$3,BD!$B$3:$B$5001,$A$66)))</f>
        <v/>
      </c>
      <c r="S73" s="172" t="str">
        <f>IF(S$3="","",IF(COUNTIFS(BD!$A$3:$A$5001,S$3,BD!$B$3:$B$5001,$A$66,BD!$S$3:$S$5001,"&lt;&gt;")=0,"",SUMIFS(BD!$S$3:$S$5001,BD!$A$3:$A$5001,S$3,BD!$B$3:$B$5001,$A$66)))</f>
        <v/>
      </c>
      <c r="T73" s="172" t="str">
        <f>IF(T$3="","",IF(COUNTIFS(BD!$A$3:$A$5001,T$3,BD!$B$3:$B$5001,$A$66,BD!$S$3:$S$5001,"&lt;&gt;")=0,"",SUMIFS(BD!$S$3:$S$5001,BD!$A$3:$A$5001,T$3,BD!$B$3:$B$5001,$A$66)))</f>
        <v/>
      </c>
      <c r="U73" s="172" t="str">
        <f>IF(U$3="","",IF(COUNTIFS(BD!$A$3:$A$5001,U$3,BD!$B$3:$B$5001,$A$66,BD!$S$3:$S$5001,"&lt;&gt;")=0,"",SUMIFS(BD!$S$3:$S$5001,BD!$A$3:$A$5001,U$3,BD!$B$3:$B$5001,$A$66)))</f>
        <v/>
      </c>
      <c r="V73" s="172" t="str">
        <f>IF(V$3="","",IF(COUNTIFS(BD!$A$3:$A$5001,V$3,BD!$B$3:$B$5001,$A$66,BD!$S$3:$S$5001,"&lt;&gt;")=0,"",SUMIFS(BD!$S$3:$S$5001,BD!$A$3:$A$5001,V$3,BD!$B$3:$B$5001,$A$66)))</f>
        <v/>
      </c>
      <c r="W73" s="172" t="str">
        <f>IF(W$3="","",IF(COUNTIFS(BD!$A$3:$A$5001,W$3,BD!$B$3:$B$5001,$A$66,BD!$S$3:$S$5001,"&lt;&gt;")=0,"",SUMIFS(BD!$S$3:$S$5001,BD!$A$3:$A$5001,W$3,BD!$B$3:$B$5001,$A$66)))</f>
        <v/>
      </c>
      <c r="X73" s="172" t="str">
        <f>IF(X$3="","",IF(COUNTIFS(BD!$A$3:$A$5001,X$3,BD!$B$3:$B$5001,$A$66,BD!$S$3:$S$5001,"&lt;&gt;")=0,"",SUMIFS(BD!$S$3:$S$5001,BD!$A$3:$A$5001,X$3,BD!$B$3:$B$5001,$A$66)))</f>
        <v/>
      </c>
      <c r="Y73" s="172" t="str">
        <f>IF(Y$3="","",IF(COUNTIFS(BD!$A$3:$A$5001,Y$3,BD!$B$3:$B$5001,$A$66,BD!$S$3:$S$5001,"&lt;&gt;")=0,"",SUMIFS(BD!$S$3:$S$5001,BD!$A$3:$A$5001,Y$3,BD!$B$3:$B$5001,$A$66)))</f>
        <v/>
      </c>
      <c r="Z73" s="172" t="str">
        <f>IF(Z$3="","",IF(COUNTIFS(BD!$A$3:$A$5001,Z$3,BD!$B$3:$B$5001,$A$66,BD!$S$3:$S$5001,"&lt;&gt;")=0,"",SUMIFS(BD!$S$3:$S$5001,BD!$A$3:$A$5001,Z$3,BD!$B$3:$B$5001,$A$66)))</f>
        <v/>
      </c>
      <c r="AA73" s="172" t="str">
        <f>IF(AA$3="","",IF(COUNTIFS(BD!$A$3:$A$5001,AA$3,BD!$B$3:$B$5001,$A$66,BD!$S$3:$S$5001,"&lt;&gt;")=0,"",SUMIFS(BD!$S$3:$S$5001,BD!$A$3:$A$5001,AA$3,BD!$B$3:$B$5001,$A$66)))</f>
        <v/>
      </c>
      <c r="AB73" s="172" t="str">
        <f>IF(AB$3="","",IF(COUNTIFS(BD!$A$3:$A$5001,AB$3,BD!$B$3:$B$5001,$A$66,BD!$S$3:$S$5001,"&lt;&gt;")=0,"",SUMIFS(BD!$S$3:$S$5001,BD!$A$3:$A$5001,AB$3,BD!$B$3:$B$5001,$A$66)))</f>
        <v/>
      </c>
      <c r="AC73" s="172" t="str">
        <f>IF(AC$3="","",IF(COUNTIFS(BD!$A$3:$A$5001,AC$3,BD!$B$3:$B$5001,$A$66,BD!$S$3:$S$5001,"&lt;&gt;")=0,"",SUMIFS(BD!$S$3:$S$5001,BD!$A$3:$A$5001,AC$3,BD!$B$3:$B$5001,$A$66)))</f>
        <v/>
      </c>
      <c r="AD73" s="172" t="str">
        <f>IF(AD$3="","",IF(COUNTIFS(BD!$A$3:$A$5001,AD$3,BD!$B$3:$B$5001,$A$66,BD!$S$3:$S$5001,"&lt;&gt;")=0,"",SUMIFS(BD!$S$3:$S$5001,BD!$A$3:$A$5001,AD$3,BD!$B$3:$B$5001,$A$66)))</f>
        <v/>
      </c>
      <c r="AE73" s="172" t="str">
        <f>IF(AE$3="","",IF(COUNTIFS(BD!$A$3:$A$5001,AE$3,BD!$B$3:$B$5001,$A$66,BD!$S$3:$S$5001,"&lt;&gt;")=0,"",SUMIFS(BD!$S$3:$S$5001,BD!$A$3:$A$5001,AE$3,BD!$B$3:$B$5001,$A$66)))</f>
        <v/>
      </c>
      <c r="AF73" s="172" t="str">
        <f>IF(AF$3="","",IF(COUNTIFS(BD!$A$3:$A$5001,AF$3,BD!$B$3:$B$5001,$A$66,BD!$S$3:$S$5001,"&lt;&gt;")=0,"",SUMIFS(BD!$S$3:$S$5001,BD!$A$3:$A$5001,AF$3,BD!$B$3:$B$5001,$A$66)))</f>
        <v/>
      </c>
      <c r="AG73" s="172" t="str">
        <f>IF(AG$3="","",IF(COUNTIFS(BD!$A$3:$A$5001,AG$3,BD!$B$3:$B$5001,$A$66,BD!$S$3:$S$5001,"&lt;&gt;")=0,"",SUMIFS(BD!$S$3:$S$5001,BD!$A$3:$A$5001,AG$3,BD!$B$3:$B$5001,$A$66)))</f>
        <v/>
      </c>
      <c r="AH73" s="172" t="str">
        <f>IF(AH$3="","",IF(COUNTIFS(BD!$A$3:$A$5001,AH$3,BD!$B$3:$B$5001,$A$66,BD!$S$3:$S$5001,"&lt;&gt;")=0,"",SUMIFS(BD!$S$3:$S$5001,BD!$A$3:$A$5001,AH$3,BD!$B$3:$B$5001,$A$66)))</f>
        <v/>
      </c>
      <c r="AI73" s="172" t="str">
        <f>IF(AI$3="","",IF(COUNTIFS(BD!$A$3:$A$5001,AI$3,BD!$B$3:$B$5001,$A$66,BD!$S$3:$S$5001,"&lt;&gt;")=0,"",SUMIFS(BD!$S$3:$S$5001,BD!$A$3:$A$5001,AI$3,BD!$B$3:$B$5001,$A$66)))</f>
        <v/>
      </c>
      <c r="AJ73" s="173" t="str">
        <f>IF(AJ$3="","",IF(COUNTIFS(BD!$A$3:$A$5001,AJ$3,BD!$B$3:$B$5001,$A$66,BD!$S$3:$S$5001,"&lt;&gt;")=0,"",SUMIFS(BD!$S$3:$S$5001,BD!$A$3:$A$5001,AJ$3,BD!$B$3:$B$5001,$A$66)))</f>
        <v/>
      </c>
      <c r="AK73" s="169" t="str">
        <f>IF(COUNT(F73:AJ73)=0,"",SUM(F73:AJ73))</f>
        <v/>
      </c>
    </row>
    <row r="74" ht="15.75" customHeight="1">
      <c r="A74" s="237"/>
      <c r="B74" s="229" t="inlineStr">
        <is>
          <t xml:space="preserve">NC</t>
        </is>
      </c>
      <c r="C74" s="174" t="inlineStr">
        <is>
          <t xml:space="preserve">Incidentes</t>
        </is>
      </c>
      <c r="D74" s="175" t="str">
        <f>IFERROR(1/(1/INDEX(BD!$AK$41:$AU$41,MATCH($A$66,BD!$AK$22:$AU$22,0))),"")</f>
        <v/>
      </c>
      <c r="E74" s="176"/>
      <c r="F74" s="177" t="str">
        <f>IF(F$3="","",IF(COUNTIFS(BD!$A$3:$A$5001,F$3,BD!$B$3:$B$5001,$A$66,BD!$U$3:$U$5001,"&lt;&gt;")=0,"",SUMIFS(BD!$U$3:$U$5001,BD!$A$3:$A$5001,F$3,BD!$B$3:$B$5001,$A$66)))</f>
        <v/>
      </c>
      <c r="G74" s="178" t="str">
        <f>IF(G$3="","",IF(COUNTIFS(BD!$A$3:$A$5001,G$3,BD!$B$3:$B$5001,$A$66,BD!$U$3:$U$5001,"&lt;&gt;")=0,"",SUMIFS(BD!$U$3:$U$5001,BD!$A$3:$A$5001,G$3,BD!$B$3:$B$5001,$A$66)))</f>
        <v/>
      </c>
      <c r="H74" s="178" t="str">
        <f>IF(H$3="","",IF(COUNTIFS(BD!$A$3:$A$5001,H$3,BD!$B$3:$B$5001,$A$66,BD!$U$3:$U$5001,"&lt;&gt;")=0,"",SUMIFS(BD!$U$3:$U$5001,BD!$A$3:$A$5001,H$3,BD!$B$3:$B$5001,$A$66)))</f>
        <v/>
      </c>
      <c r="I74" s="178" t="str">
        <f>IF(I$3="","",IF(COUNTIFS(BD!$A$3:$A$5001,I$3,BD!$B$3:$B$5001,$A$66,BD!$U$3:$U$5001,"&lt;&gt;")=0,"",SUMIFS(BD!$U$3:$U$5001,BD!$A$3:$A$5001,I$3,BD!$B$3:$B$5001,$A$66)))</f>
        <v/>
      </c>
      <c r="J74" s="178" t="str">
        <f>IF(J$3="","",IF(COUNTIFS(BD!$A$3:$A$5001,J$3,BD!$B$3:$B$5001,$A$66,BD!$U$3:$U$5001,"&lt;&gt;")=0,"",SUMIFS(BD!$U$3:$U$5001,BD!$A$3:$A$5001,J$3,BD!$B$3:$B$5001,$A$66)))</f>
        <v/>
      </c>
      <c r="K74" s="178" t="str">
        <f>IF(K$3="","",IF(COUNTIFS(BD!$A$3:$A$5001,K$3,BD!$B$3:$B$5001,$A$66,BD!$U$3:$U$5001,"&lt;&gt;")=0,"",SUMIFS(BD!$U$3:$U$5001,BD!$A$3:$A$5001,K$3,BD!$B$3:$B$5001,$A$66)))</f>
        <v/>
      </c>
      <c r="L74" s="178" t="str">
        <f>IF(L$3="","",IF(COUNTIFS(BD!$A$3:$A$5001,L$3,BD!$B$3:$B$5001,$A$66,BD!$U$3:$U$5001,"&lt;&gt;")=0,"",SUMIFS(BD!$U$3:$U$5001,BD!$A$3:$A$5001,L$3,BD!$B$3:$B$5001,$A$66)))</f>
        <v/>
      </c>
      <c r="M74" s="178" t="str">
        <f>IF(M$3="","",IF(COUNTIFS(BD!$A$3:$A$5001,M$3,BD!$B$3:$B$5001,$A$66,BD!$U$3:$U$5001,"&lt;&gt;")=0,"",SUMIFS(BD!$U$3:$U$5001,BD!$A$3:$A$5001,M$3,BD!$B$3:$B$5001,$A$66)))</f>
        <v/>
      </c>
      <c r="N74" s="178" t="str">
        <f>IF(N$3="","",IF(COUNTIFS(BD!$A$3:$A$5001,N$3,BD!$B$3:$B$5001,$A$66,BD!$U$3:$U$5001,"&lt;&gt;")=0,"",SUMIFS(BD!$U$3:$U$5001,BD!$A$3:$A$5001,N$3,BD!$B$3:$B$5001,$A$66)))</f>
        <v/>
      </c>
      <c r="O74" s="178" t="str">
        <f>IF(O$3="","",IF(COUNTIFS(BD!$A$3:$A$5001,O$3,BD!$B$3:$B$5001,$A$66,BD!$U$3:$U$5001,"&lt;&gt;")=0,"",SUMIFS(BD!$U$3:$U$5001,BD!$A$3:$A$5001,O$3,BD!$B$3:$B$5001,$A$66)))</f>
        <v/>
      </c>
      <c r="P74" s="178" t="str">
        <f>IF(P$3="","",IF(COUNTIFS(BD!$A$3:$A$5001,P$3,BD!$B$3:$B$5001,$A$66,BD!$U$3:$U$5001,"&lt;&gt;")=0,"",SUMIFS(BD!$U$3:$U$5001,BD!$A$3:$A$5001,P$3,BD!$B$3:$B$5001,$A$66)))</f>
        <v/>
      </c>
      <c r="Q74" s="178" t="str">
        <f>IF(Q$3="","",IF(COUNTIFS(BD!$A$3:$A$5001,Q$3,BD!$B$3:$B$5001,$A$66,BD!$U$3:$U$5001,"&lt;&gt;")=0,"",SUMIFS(BD!$U$3:$U$5001,BD!$A$3:$A$5001,Q$3,BD!$B$3:$B$5001,$A$66)))</f>
        <v/>
      </c>
      <c r="R74" s="178" t="str">
        <f>IF(R$3="","",IF(COUNTIFS(BD!$A$3:$A$5001,R$3,BD!$B$3:$B$5001,$A$66,BD!$U$3:$U$5001,"&lt;&gt;")=0,"",SUMIFS(BD!$U$3:$U$5001,BD!$A$3:$A$5001,R$3,BD!$B$3:$B$5001,$A$66)))</f>
        <v/>
      </c>
      <c r="S74" s="178" t="str">
        <f>IF(S$3="","",IF(COUNTIFS(BD!$A$3:$A$5001,S$3,BD!$B$3:$B$5001,$A$66,BD!$U$3:$U$5001,"&lt;&gt;")=0,"",SUMIFS(BD!$U$3:$U$5001,BD!$A$3:$A$5001,S$3,BD!$B$3:$B$5001,$A$66)))</f>
        <v/>
      </c>
      <c r="T74" s="178" t="str">
        <f>IF(T$3="","",IF(COUNTIFS(BD!$A$3:$A$5001,T$3,BD!$B$3:$B$5001,$A$66,BD!$U$3:$U$5001,"&lt;&gt;")=0,"",SUMIFS(BD!$U$3:$U$5001,BD!$A$3:$A$5001,T$3,BD!$B$3:$B$5001,$A$66)))</f>
        <v/>
      </c>
      <c r="U74" s="178" t="str">
        <f>IF(U$3="","",IF(COUNTIFS(BD!$A$3:$A$5001,U$3,BD!$B$3:$B$5001,$A$66,BD!$U$3:$U$5001,"&lt;&gt;")=0,"",SUMIFS(BD!$U$3:$U$5001,BD!$A$3:$A$5001,U$3,BD!$B$3:$B$5001,$A$66)))</f>
        <v/>
      </c>
      <c r="V74" s="178" t="str">
        <f>IF(V$3="","",IF(COUNTIFS(BD!$A$3:$A$5001,V$3,BD!$B$3:$B$5001,$A$66,BD!$U$3:$U$5001,"&lt;&gt;")=0,"",SUMIFS(BD!$U$3:$U$5001,BD!$A$3:$A$5001,V$3,BD!$B$3:$B$5001,$A$66)))</f>
        <v/>
      </c>
      <c r="W74" s="178" t="str">
        <f>IF(W$3="","",IF(COUNTIFS(BD!$A$3:$A$5001,W$3,BD!$B$3:$B$5001,$A$66,BD!$U$3:$U$5001,"&lt;&gt;")=0,"",SUMIFS(BD!$U$3:$U$5001,BD!$A$3:$A$5001,W$3,BD!$B$3:$B$5001,$A$66)))</f>
        <v/>
      </c>
      <c r="X74" s="178" t="str">
        <f>IF(X$3="","",IF(COUNTIFS(BD!$A$3:$A$5001,X$3,BD!$B$3:$B$5001,$A$66,BD!$U$3:$U$5001,"&lt;&gt;")=0,"",SUMIFS(BD!$U$3:$U$5001,BD!$A$3:$A$5001,X$3,BD!$B$3:$B$5001,$A$66)))</f>
        <v/>
      </c>
      <c r="Y74" s="178" t="str">
        <f>IF(Y$3="","",IF(COUNTIFS(BD!$A$3:$A$5001,Y$3,BD!$B$3:$B$5001,$A$66,BD!$U$3:$U$5001,"&lt;&gt;")=0,"",SUMIFS(BD!$U$3:$U$5001,BD!$A$3:$A$5001,Y$3,BD!$B$3:$B$5001,$A$66)))</f>
        <v/>
      </c>
      <c r="Z74" s="178" t="str">
        <f>IF(Z$3="","",IF(COUNTIFS(BD!$A$3:$A$5001,Z$3,BD!$B$3:$B$5001,$A$66,BD!$U$3:$U$5001,"&lt;&gt;")=0,"",SUMIFS(BD!$U$3:$U$5001,BD!$A$3:$A$5001,Z$3,BD!$B$3:$B$5001,$A$66)))</f>
        <v/>
      </c>
      <c r="AA74" s="178" t="str">
        <f>IF(AA$3="","",IF(COUNTIFS(BD!$A$3:$A$5001,AA$3,BD!$B$3:$B$5001,$A$66,BD!$U$3:$U$5001,"&lt;&gt;")=0,"",SUMIFS(BD!$U$3:$U$5001,BD!$A$3:$A$5001,AA$3,BD!$B$3:$B$5001,$A$66)))</f>
        <v/>
      </c>
      <c r="AB74" s="178" t="str">
        <f>IF(AB$3="","",IF(COUNTIFS(BD!$A$3:$A$5001,AB$3,BD!$B$3:$B$5001,$A$66,BD!$U$3:$U$5001,"&lt;&gt;")=0,"",SUMIFS(BD!$U$3:$U$5001,BD!$A$3:$A$5001,AB$3,BD!$B$3:$B$5001,$A$66)))</f>
        <v/>
      </c>
      <c r="AC74" s="178" t="str">
        <f>IF(AC$3="","",IF(COUNTIFS(BD!$A$3:$A$5001,AC$3,BD!$B$3:$B$5001,$A$66,BD!$U$3:$U$5001,"&lt;&gt;")=0,"",SUMIFS(BD!$U$3:$U$5001,BD!$A$3:$A$5001,AC$3,BD!$B$3:$B$5001,$A$66)))</f>
        <v/>
      </c>
      <c r="AD74" s="178" t="str">
        <f>IF(AD$3="","",IF(COUNTIFS(BD!$A$3:$A$5001,AD$3,BD!$B$3:$B$5001,$A$66,BD!$U$3:$U$5001,"&lt;&gt;")=0,"",SUMIFS(BD!$U$3:$U$5001,BD!$A$3:$A$5001,AD$3,BD!$B$3:$B$5001,$A$66)))</f>
        <v/>
      </c>
      <c r="AE74" s="178" t="str">
        <f>IF(AE$3="","",IF(COUNTIFS(BD!$A$3:$A$5001,AE$3,BD!$B$3:$B$5001,$A$66,BD!$U$3:$U$5001,"&lt;&gt;")=0,"",SUMIFS(BD!$U$3:$U$5001,BD!$A$3:$A$5001,AE$3,BD!$B$3:$B$5001,$A$66)))</f>
        <v/>
      </c>
      <c r="AF74" s="178" t="str">
        <f>IF(AF$3="","",IF(COUNTIFS(BD!$A$3:$A$5001,AF$3,BD!$B$3:$B$5001,$A$66,BD!$U$3:$U$5001,"&lt;&gt;")=0,"",SUMIFS(BD!$U$3:$U$5001,BD!$A$3:$A$5001,AF$3,BD!$B$3:$B$5001,$A$66)))</f>
        <v/>
      </c>
      <c r="AG74" s="178" t="str">
        <f>IF(AG$3="","",IF(COUNTIFS(BD!$A$3:$A$5001,AG$3,BD!$B$3:$B$5001,$A$66,BD!$U$3:$U$5001,"&lt;&gt;")=0,"",SUMIFS(BD!$U$3:$U$5001,BD!$A$3:$A$5001,AG$3,BD!$B$3:$B$5001,$A$66)))</f>
        <v/>
      </c>
      <c r="AH74" s="178" t="str">
        <f>IF(AH$3="","",IF(COUNTIFS(BD!$A$3:$A$5001,AH$3,BD!$B$3:$B$5001,$A$66,BD!$U$3:$U$5001,"&lt;&gt;")=0,"",SUMIFS(BD!$U$3:$U$5001,BD!$A$3:$A$5001,AH$3,BD!$B$3:$B$5001,$A$66)))</f>
        <v/>
      </c>
      <c r="AI74" s="178" t="str">
        <f>IF(AI$3="","",IF(COUNTIFS(BD!$A$3:$A$5001,AI$3,BD!$B$3:$B$5001,$A$66,BD!$U$3:$U$5001,"&lt;&gt;")=0,"",SUMIFS(BD!$U$3:$U$5001,BD!$A$3:$A$5001,AI$3,BD!$B$3:$B$5001,$A$66)))</f>
        <v/>
      </c>
      <c r="AJ74" s="179" t="str">
        <f>IF(AJ$3="","",IF(COUNTIFS(BD!$A$3:$A$5001,AJ$3,BD!$B$3:$B$5001,$A$66,BD!$U$3:$U$5001,"&lt;&gt;")=0,"",SUMIFS(BD!$U$3:$U$5001,BD!$A$3:$A$5001,AJ$3,BD!$B$3:$B$5001,$A$66)))</f>
        <v/>
      </c>
      <c r="AK74" s="180" t="str">
        <f>IF(COUNT(F74:AJ74)=0,"",SUM(F74:AJ74))</f>
        <v/>
      </c>
    </row>
    <row r="75" ht="15.75" customHeight="1">
      <c r="A75" s="237"/>
      <c r="B75" s="230"/>
      <c r="C75" s="181" t="inlineStr">
        <is>
          <t xml:space="preserve">No show</t>
        </is>
      </c>
      <c r="D75" s="182" t="str">
        <f>IFERROR(1/(1/INDEX(BD!$AK$42:$AU$42,MATCH($A$66,BD!$AK$22:$AU$22,0))),"")</f>
        <v/>
      </c>
      <c r="E75" s="183"/>
      <c r="F75" s="184" t="str">
        <f>IF(F$3="","",IF(COUNTIFS(BD!$A$3:$A$5001,F$3,BD!$B$3:$B$5001,$A$66,BD!$V$3:$V$5001,"&lt;&gt;")=0,"",SUMIFS(BD!$V$3:$V$5001,BD!$A$3:$A$5001,F$3,BD!$B$3:$B$5001,$A$66)))</f>
        <v/>
      </c>
      <c r="G75" s="185" t="str">
        <f>IF(G$3="","",IF(COUNTIFS(BD!$A$3:$A$5001,G$3,BD!$B$3:$B$5001,$A$66,BD!$V$3:$V$5001,"&lt;&gt;")=0,"",SUMIFS(BD!$V$3:$V$5001,BD!$A$3:$A$5001,G$3,BD!$B$3:$B$5001,$A$66)))</f>
        <v/>
      </c>
      <c r="H75" s="185" t="str">
        <f>IF(H$3="","",IF(COUNTIFS(BD!$A$3:$A$5001,H$3,BD!$B$3:$B$5001,$A$66,BD!$V$3:$V$5001,"&lt;&gt;")=0,"",SUMIFS(BD!$V$3:$V$5001,BD!$A$3:$A$5001,H$3,BD!$B$3:$B$5001,$A$66)))</f>
        <v/>
      </c>
      <c r="I75" s="185" t="str">
        <f>IF(I$3="","",IF(COUNTIFS(BD!$A$3:$A$5001,I$3,BD!$B$3:$B$5001,$A$66,BD!$V$3:$V$5001,"&lt;&gt;")=0,"",SUMIFS(BD!$V$3:$V$5001,BD!$A$3:$A$5001,I$3,BD!$B$3:$B$5001,$A$66)))</f>
        <v/>
      </c>
      <c r="J75" s="185" t="str">
        <f>IF(J$3="","",IF(COUNTIFS(BD!$A$3:$A$5001,J$3,BD!$B$3:$B$5001,$A$66,BD!$V$3:$V$5001,"&lt;&gt;")=0,"",SUMIFS(BD!$V$3:$V$5001,BD!$A$3:$A$5001,J$3,BD!$B$3:$B$5001,$A$66)))</f>
        <v/>
      </c>
      <c r="K75" s="185" t="str">
        <f>IF(K$3="","",IF(COUNTIFS(BD!$A$3:$A$5001,K$3,BD!$B$3:$B$5001,$A$66,BD!$V$3:$V$5001,"&lt;&gt;")=0,"",SUMIFS(BD!$V$3:$V$5001,BD!$A$3:$A$5001,K$3,BD!$B$3:$B$5001,$A$66)))</f>
        <v/>
      </c>
      <c r="L75" s="185" t="str">
        <f>IF(L$3="","",IF(COUNTIFS(BD!$A$3:$A$5001,L$3,BD!$B$3:$B$5001,$A$66,BD!$V$3:$V$5001,"&lt;&gt;")=0,"",SUMIFS(BD!$V$3:$V$5001,BD!$A$3:$A$5001,L$3,BD!$B$3:$B$5001,$A$66)))</f>
        <v/>
      </c>
      <c r="M75" s="185" t="str">
        <f>IF(M$3="","",IF(COUNTIFS(BD!$A$3:$A$5001,M$3,BD!$B$3:$B$5001,$A$66,BD!$V$3:$V$5001,"&lt;&gt;")=0,"",SUMIFS(BD!$V$3:$V$5001,BD!$A$3:$A$5001,M$3,BD!$B$3:$B$5001,$A$66)))</f>
        <v/>
      </c>
      <c r="N75" s="185" t="str">
        <f>IF(N$3="","",IF(COUNTIFS(BD!$A$3:$A$5001,N$3,BD!$B$3:$B$5001,$A$66,BD!$V$3:$V$5001,"&lt;&gt;")=0,"",SUMIFS(BD!$V$3:$V$5001,BD!$A$3:$A$5001,N$3,BD!$B$3:$B$5001,$A$66)))</f>
        <v/>
      </c>
      <c r="O75" s="185" t="str">
        <f>IF(O$3="","",IF(COUNTIFS(BD!$A$3:$A$5001,O$3,BD!$B$3:$B$5001,$A$66,BD!$V$3:$V$5001,"&lt;&gt;")=0,"",SUMIFS(BD!$V$3:$V$5001,BD!$A$3:$A$5001,O$3,BD!$B$3:$B$5001,$A$66)))</f>
        <v/>
      </c>
      <c r="P75" s="185" t="str">
        <f>IF(P$3="","",IF(COUNTIFS(BD!$A$3:$A$5001,P$3,BD!$B$3:$B$5001,$A$66,BD!$V$3:$V$5001,"&lt;&gt;")=0,"",SUMIFS(BD!$V$3:$V$5001,BD!$A$3:$A$5001,P$3,BD!$B$3:$B$5001,$A$66)))</f>
        <v/>
      </c>
      <c r="Q75" s="185" t="str">
        <f>IF(Q$3="","",IF(COUNTIFS(BD!$A$3:$A$5001,Q$3,BD!$B$3:$B$5001,$A$66,BD!$V$3:$V$5001,"&lt;&gt;")=0,"",SUMIFS(BD!$V$3:$V$5001,BD!$A$3:$A$5001,Q$3,BD!$B$3:$B$5001,$A$66)))</f>
        <v/>
      </c>
      <c r="R75" s="185" t="str">
        <f>IF(R$3="","",IF(COUNTIFS(BD!$A$3:$A$5001,R$3,BD!$B$3:$B$5001,$A$66,BD!$V$3:$V$5001,"&lt;&gt;")=0,"",SUMIFS(BD!$V$3:$V$5001,BD!$A$3:$A$5001,R$3,BD!$B$3:$B$5001,$A$66)))</f>
        <v/>
      </c>
      <c r="S75" s="185" t="str">
        <f>IF(S$3="","",IF(COUNTIFS(BD!$A$3:$A$5001,S$3,BD!$B$3:$B$5001,$A$66,BD!$V$3:$V$5001,"&lt;&gt;")=0,"",SUMIFS(BD!$V$3:$V$5001,BD!$A$3:$A$5001,S$3,BD!$B$3:$B$5001,$A$66)))</f>
        <v/>
      </c>
      <c r="T75" s="185" t="str">
        <f>IF(T$3="","",IF(COUNTIFS(BD!$A$3:$A$5001,T$3,BD!$B$3:$B$5001,$A$66,BD!$V$3:$V$5001,"&lt;&gt;")=0,"",SUMIFS(BD!$V$3:$V$5001,BD!$A$3:$A$5001,T$3,BD!$B$3:$B$5001,$A$66)))</f>
        <v/>
      </c>
      <c r="U75" s="185" t="str">
        <f>IF(U$3="","",IF(COUNTIFS(BD!$A$3:$A$5001,U$3,BD!$B$3:$B$5001,$A$66,BD!$V$3:$V$5001,"&lt;&gt;")=0,"",SUMIFS(BD!$V$3:$V$5001,BD!$A$3:$A$5001,U$3,BD!$B$3:$B$5001,$A$66)))</f>
        <v/>
      </c>
      <c r="V75" s="185" t="str">
        <f>IF(V$3="","",IF(COUNTIFS(BD!$A$3:$A$5001,V$3,BD!$B$3:$B$5001,$A$66,BD!$V$3:$V$5001,"&lt;&gt;")=0,"",SUMIFS(BD!$V$3:$V$5001,BD!$A$3:$A$5001,V$3,BD!$B$3:$B$5001,$A$66)))</f>
        <v/>
      </c>
      <c r="W75" s="185" t="str">
        <f>IF(W$3="","",IF(COUNTIFS(BD!$A$3:$A$5001,W$3,BD!$B$3:$B$5001,$A$66,BD!$V$3:$V$5001,"&lt;&gt;")=0,"",SUMIFS(BD!$V$3:$V$5001,BD!$A$3:$A$5001,W$3,BD!$B$3:$B$5001,$A$66)))</f>
        <v/>
      </c>
      <c r="X75" s="185" t="str">
        <f>IF(X$3="","",IF(COUNTIFS(BD!$A$3:$A$5001,X$3,BD!$B$3:$B$5001,$A$66,BD!$V$3:$V$5001,"&lt;&gt;")=0,"",SUMIFS(BD!$V$3:$V$5001,BD!$A$3:$A$5001,X$3,BD!$B$3:$B$5001,$A$66)))</f>
        <v/>
      </c>
      <c r="Y75" s="185" t="str">
        <f>IF(Y$3="","",IF(COUNTIFS(BD!$A$3:$A$5001,Y$3,BD!$B$3:$B$5001,$A$66,BD!$V$3:$V$5001,"&lt;&gt;")=0,"",SUMIFS(BD!$V$3:$V$5001,BD!$A$3:$A$5001,Y$3,BD!$B$3:$B$5001,$A$66)))</f>
        <v/>
      </c>
      <c r="Z75" s="185" t="str">
        <f>IF(Z$3="","",IF(COUNTIFS(BD!$A$3:$A$5001,Z$3,BD!$B$3:$B$5001,$A$66,BD!$V$3:$V$5001,"&lt;&gt;")=0,"",SUMIFS(BD!$V$3:$V$5001,BD!$A$3:$A$5001,Z$3,BD!$B$3:$B$5001,$A$66)))</f>
        <v/>
      </c>
      <c r="AA75" s="185" t="str">
        <f>IF(AA$3="","",IF(COUNTIFS(BD!$A$3:$A$5001,AA$3,BD!$B$3:$B$5001,$A$66,BD!$V$3:$V$5001,"&lt;&gt;")=0,"",SUMIFS(BD!$V$3:$V$5001,BD!$A$3:$A$5001,AA$3,BD!$B$3:$B$5001,$A$66)))</f>
        <v/>
      </c>
      <c r="AB75" s="185" t="str">
        <f>IF(AB$3="","",IF(COUNTIFS(BD!$A$3:$A$5001,AB$3,BD!$B$3:$B$5001,$A$66,BD!$V$3:$V$5001,"&lt;&gt;")=0,"",SUMIFS(BD!$V$3:$V$5001,BD!$A$3:$A$5001,AB$3,BD!$B$3:$B$5001,$A$66)))</f>
        <v/>
      </c>
      <c r="AC75" s="185" t="str">
        <f>IF(AC$3="","",IF(COUNTIFS(BD!$A$3:$A$5001,AC$3,BD!$B$3:$B$5001,$A$66,BD!$V$3:$V$5001,"&lt;&gt;")=0,"",SUMIFS(BD!$V$3:$V$5001,BD!$A$3:$A$5001,AC$3,BD!$B$3:$B$5001,$A$66)))</f>
        <v/>
      </c>
      <c r="AD75" s="185" t="str">
        <f>IF(AD$3="","",IF(COUNTIFS(BD!$A$3:$A$5001,AD$3,BD!$B$3:$B$5001,$A$66,BD!$V$3:$V$5001,"&lt;&gt;")=0,"",SUMIFS(BD!$V$3:$V$5001,BD!$A$3:$A$5001,AD$3,BD!$B$3:$B$5001,$A$66)))</f>
        <v/>
      </c>
      <c r="AE75" s="185" t="str">
        <f>IF(AE$3="","",IF(COUNTIFS(BD!$A$3:$A$5001,AE$3,BD!$B$3:$B$5001,$A$66,BD!$V$3:$V$5001,"&lt;&gt;")=0,"",SUMIFS(BD!$V$3:$V$5001,BD!$A$3:$A$5001,AE$3,BD!$B$3:$B$5001,$A$66)))</f>
        <v/>
      </c>
      <c r="AF75" s="185" t="str">
        <f>IF(AF$3="","",IF(COUNTIFS(BD!$A$3:$A$5001,AF$3,BD!$B$3:$B$5001,$A$66,BD!$V$3:$V$5001,"&lt;&gt;")=0,"",SUMIFS(BD!$V$3:$V$5001,BD!$A$3:$A$5001,AF$3,BD!$B$3:$B$5001,$A$66)))</f>
        <v/>
      </c>
      <c r="AG75" s="185" t="str">
        <f>IF(AG$3="","",IF(COUNTIFS(BD!$A$3:$A$5001,AG$3,BD!$B$3:$B$5001,$A$66,BD!$V$3:$V$5001,"&lt;&gt;")=0,"",SUMIFS(BD!$V$3:$V$5001,BD!$A$3:$A$5001,AG$3,BD!$B$3:$B$5001,$A$66)))</f>
        <v/>
      </c>
      <c r="AH75" s="185" t="str">
        <f>IF(AH$3="","",IF(COUNTIFS(BD!$A$3:$A$5001,AH$3,BD!$B$3:$B$5001,$A$66,BD!$V$3:$V$5001,"&lt;&gt;")=0,"",SUMIFS(BD!$V$3:$V$5001,BD!$A$3:$A$5001,AH$3,BD!$B$3:$B$5001,$A$66)))</f>
        <v/>
      </c>
      <c r="AI75" s="185" t="str">
        <f>IF(AI$3="","",IF(COUNTIFS(BD!$A$3:$A$5001,AI$3,BD!$B$3:$B$5001,$A$66,BD!$V$3:$V$5001,"&lt;&gt;")=0,"",SUMIFS(BD!$V$3:$V$5001,BD!$A$3:$A$5001,AI$3,BD!$B$3:$B$5001,$A$66)))</f>
        <v/>
      </c>
      <c r="AJ75" s="186" t="str">
        <f>IF(AJ$3="","",IF(COUNTIFS(BD!$A$3:$A$5001,AJ$3,BD!$B$3:$B$5001,$A$66,BD!$V$3:$V$5001,"&lt;&gt;")=0,"",SUMIFS(BD!$V$3:$V$5001,BD!$A$3:$A$5001,AJ$3,BD!$B$3:$B$5001,$A$66)))</f>
        <v/>
      </c>
      <c r="AK75" s="187" t="str">
        <f>IF(COUNT(F75:AJ75)=0,"",SUM(F75:AJ75))</f>
        <v/>
      </c>
    </row>
    <row r="76" ht="15.75" customHeight="1">
      <c r="A76" s="237"/>
      <c r="B76" s="231"/>
      <c r="C76" s="188" t="inlineStr">
        <is>
          <t xml:space="preserve">Backlog</t>
        </is>
      </c>
      <c r="D76" s="189" t="str">
        <f>IFERROR(1/(1/INDEX(BD!$AK$43:$AU$43,MATCH($A$66,BD!$AK$22:$AU$22,0))),"")</f>
        <v/>
      </c>
      <c r="E76" s="190"/>
      <c r="F76" s="191" t="str">
        <f>IF(F$3="","",IF(COUNTIFS(BD!$A$3:$A$5001,F$3,BD!$B$3:$B$5001,$A$66,BD!$W$3:$W$5001,"&lt;&gt;")=0,"",SUMIFS(BD!$W$3:$W$5001,BD!$A$3:$A$5001,F$3,BD!$B$3:$B$5001,$A$66)))</f>
        <v/>
      </c>
      <c r="G76" s="192" t="str">
        <f>IF(G$3="","",IF(COUNTIFS(BD!$A$3:$A$5001,G$3,BD!$B$3:$B$5001,$A$66,BD!$W$3:$W$5001,"&lt;&gt;")=0,"",SUMIFS(BD!$W$3:$W$5001,BD!$A$3:$A$5001,G$3,BD!$B$3:$B$5001,$A$66)))</f>
        <v/>
      </c>
      <c r="H76" s="192" t="str">
        <f>IF(H$3="","",IF(COUNTIFS(BD!$A$3:$A$5001,H$3,BD!$B$3:$B$5001,$A$66,BD!$W$3:$W$5001,"&lt;&gt;")=0,"",SUMIFS(BD!$W$3:$W$5001,BD!$A$3:$A$5001,H$3,BD!$B$3:$B$5001,$A$66)))</f>
        <v/>
      </c>
      <c r="I76" s="192" t="str">
        <f>IF(I$3="","",IF(COUNTIFS(BD!$A$3:$A$5001,I$3,BD!$B$3:$B$5001,$A$66,BD!$W$3:$W$5001,"&lt;&gt;")=0,"",SUMIFS(BD!$W$3:$W$5001,BD!$A$3:$A$5001,I$3,BD!$B$3:$B$5001,$A$66)))</f>
        <v/>
      </c>
      <c r="J76" s="192" t="str">
        <f>IF(J$3="","",IF(COUNTIFS(BD!$A$3:$A$5001,J$3,BD!$B$3:$B$5001,$A$66,BD!$W$3:$W$5001,"&lt;&gt;")=0,"",SUMIFS(BD!$W$3:$W$5001,BD!$A$3:$A$5001,J$3,BD!$B$3:$B$5001,$A$66)))</f>
        <v/>
      </c>
      <c r="K76" s="192" t="str">
        <f>IF(K$3="","",IF(COUNTIFS(BD!$A$3:$A$5001,K$3,BD!$B$3:$B$5001,$A$66,BD!$W$3:$W$5001,"&lt;&gt;")=0,"",SUMIFS(BD!$W$3:$W$5001,BD!$A$3:$A$5001,K$3,BD!$B$3:$B$5001,$A$66)))</f>
        <v/>
      </c>
      <c r="L76" s="192" t="str">
        <f>IF(L$3="","",IF(COUNTIFS(BD!$A$3:$A$5001,L$3,BD!$B$3:$B$5001,$A$66,BD!$W$3:$W$5001,"&lt;&gt;")=0,"",SUMIFS(BD!$W$3:$W$5001,BD!$A$3:$A$5001,L$3,BD!$B$3:$B$5001,$A$66)))</f>
        <v/>
      </c>
      <c r="M76" s="192" t="str">
        <f>IF(M$3="","",IF(COUNTIFS(BD!$A$3:$A$5001,M$3,BD!$B$3:$B$5001,$A$66,BD!$W$3:$W$5001,"&lt;&gt;")=0,"",SUMIFS(BD!$W$3:$W$5001,BD!$A$3:$A$5001,M$3,BD!$B$3:$B$5001,$A$66)))</f>
        <v/>
      </c>
      <c r="N76" s="192" t="str">
        <f>IF(N$3="","",IF(COUNTIFS(BD!$A$3:$A$5001,N$3,BD!$B$3:$B$5001,$A$66,BD!$W$3:$W$5001,"&lt;&gt;")=0,"",SUMIFS(BD!$W$3:$W$5001,BD!$A$3:$A$5001,N$3,BD!$B$3:$B$5001,$A$66)))</f>
        <v/>
      </c>
      <c r="O76" s="192" t="str">
        <f>IF(O$3="","",IF(COUNTIFS(BD!$A$3:$A$5001,O$3,BD!$B$3:$B$5001,$A$66,BD!$W$3:$W$5001,"&lt;&gt;")=0,"",SUMIFS(BD!$W$3:$W$5001,BD!$A$3:$A$5001,O$3,BD!$B$3:$B$5001,$A$66)))</f>
        <v/>
      </c>
      <c r="P76" s="192" t="str">
        <f>IF(P$3="","",IF(COUNTIFS(BD!$A$3:$A$5001,P$3,BD!$B$3:$B$5001,$A$66,BD!$W$3:$W$5001,"&lt;&gt;")=0,"",SUMIFS(BD!$W$3:$W$5001,BD!$A$3:$A$5001,P$3,BD!$B$3:$B$5001,$A$66)))</f>
        <v/>
      </c>
      <c r="Q76" s="192" t="str">
        <f>IF(Q$3="","",IF(COUNTIFS(BD!$A$3:$A$5001,Q$3,BD!$B$3:$B$5001,$A$66,BD!$W$3:$W$5001,"&lt;&gt;")=0,"",SUMIFS(BD!$W$3:$W$5001,BD!$A$3:$A$5001,Q$3,BD!$B$3:$B$5001,$A$66)))</f>
        <v/>
      </c>
      <c r="R76" s="192" t="str">
        <f>IF(R$3="","",IF(COUNTIFS(BD!$A$3:$A$5001,R$3,BD!$B$3:$B$5001,$A$66,BD!$W$3:$W$5001,"&lt;&gt;")=0,"",SUMIFS(BD!$W$3:$W$5001,BD!$A$3:$A$5001,R$3,BD!$B$3:$B$5001,$A$66)))</f>
        <v/>
      </c>
      <c r="S76" s="192" t="str">
        <f>IF(S$3="","",IF(COUNTIFS(BD!$A$3:$A$5001,S$3,BD!$B$3:$B$5001,$A$66,BD!$W$3:$W$5001,"&lt;&gt;")=0,"",SUMIFS(BD!$W$3:$W$5001,BD!$A$3:$A$5001,S$3,BD!$B$3:$B$5001,$A$66)))</f>
        <v/>
      </c>
      <c r="T76" s="192" t="str">
        <f>IF(T$3="","",IF(COUNTIFS(BD!$A$3:$A$5001,T$3,BD!$B$3:$B$5001,$A$66,BD!$W$3:$W$5001,"&lt;&gt;")=0,"",SUMIFS(BD!$W$3:$W$5001,BD!$A$3:$A$5001,T$3,BD!$B$3:$B$5001,$A$66)))</f>
        <v/>
      </c>
      <c r="U76" s="192" t="str">
        <f>IF(U$3="","",IF(COUNTIFS(BD!$A$3:$A$5001,U$3,BD!$B$3:$B$5001,$A$66,BD!$W$3:$W$5001,"&lt;&gt;")=0,"",SUMIFS(BD!$W$3:$W$5001,BD!$A$3:$A$5001,U$3,BD!$B$3:$B$5001,$A$66)))</f>
        <v/>
      </c>
      <c r="V76" s="192" t="str">
        <f>IF(V$3="","",IF(COUNTIFS(BD!$A$3:$A$5001,V$3,BD!$B$3:$B$5001,$A$66,BD!$W$3:$W$5001,"&lt;&gt;")=0,"",SUMIFS(BD!$W$3:$W$5001,BD!$A$3:$A$5001,V$3,BD!$B$3:$B$5001,$A$66)))</f>
        <v/>
      </c>
      <c r="W76" s="192" t="str">
        <f>IF(W$3="","",IF(COUNTIFS(BD!$A$3:$A$5001,W$3,BD!$B$3:$B$5001,$A$66,BD!$W$3:$W$5001,"&lt;&gt;")=0,"",SUMIFS(BD!$W$3:$W$5001,BD!$A$3:$A$5001,W$3,BD!$B$3:$B$5001,$A$66)))</f>
        <v/>
      </c>
      <c r="X76" s="192" t="str">
        <f>IF(X$3="","",IF(COUNTIFS(BD!$A$3:$A$5001,X$3,BD!$B$3:$B$5001,$A$66,BD!$W$3:$W$5001,"&lt;&gt;")=0,"",SUMIFS(BD!$W$3:$W$5001,BD!$A$3:$A$5001,X$3,BD!$B$3:$B$5001,$A$66)))</f>
        <v/>
      </c>
      <c r="Y76" s="192" t="str">
        <f>IF(Y$3="","",IF(COUNTIFS(BD!$A$3:$A$5001,Y$3,BD!$B$3:$B$5001,$A$66,BD!$W$3:$W$5001,"&lt;&gt;")=0,"",SUMIFS(BD!$W$3:$W$5001,BD!$A$3:$A$5001,Y$3,BD!$B$3:$B$5001,$A$66)))</f>
        <v/>
      </c>
      <c r="Z76" s="192" t="str">
        <f>IF(Z$3="","",IF(COUNTIFS(BD!$A$3:$A$5001,Z$3,BD!$B$3:$B$5001,$A$66,BD!$W$3:$W$5001,"&lt;&gt;")=0,"",SUMIFS(BD!$W$3:$W$5001,BD!$A$3:$A$5001,Z$3,BD!$B$3:$B$5001,$A$66)))</f>
        <v/>
      </c>
      <c r="AA76" s="192" t="str">
        <f>IF(AA$3="","",IF(COUNTIFS(BD!$A$3:$A$5001,AA$3,BD!$B$3:$B$5001,$A$66,BD!$W$3:$W$5001,"&lt;&gt;")=0,"",SUMIFS(BD!$W$3:$W$5001,BD!$A$3:$A$5001,AA$3,BD!$B$3:$B$5001,$A$66)))</f>
        <v/>
      </c>
      <c r="AB76" s="192" t="str">
        <f>IF(AB$3="","",IF(COUNTIFS(BD!$A$3:$A$5001,AB$3,BD!$B$3:$B$5001,$A$66,BD!$W$3:$W$5001,"&lt;&gt;")=0,"",SUMIFS(BD!$W$3:$W$5001,BD!$A$3:$A$5001,AB$3,BD!$B$3:$B$5001,$A$66)))</f>
        <v/>
      </c>
      <c r="AC76" s="192" t="str">
        <f>IF(AC$3="","",IF(COUNTIFS(BD!$A$3:$A$5001,AC$3,BD!$B$3:$B$5001,$A$66,BD!$W$3:$W$5001,"&lt;&gt;")=0,"",SUMIFS(BD!$W$3:$W$5001,BD!$A$3:$A$5001,AC$3,BD!$B$3:$B$5001,$A$66)))</f>
        <v/>
      </c>
      <c r="AD76" s="192" t="str">
        <f>IF(AD$3="","",IF(COUNTIFS(BD!$A$3:$A$5001,AD$3,BD!$B$3:$B$5001,$A$66,BD!$W$3:$W$5001,"&lt;&gt;")=0,"",SUMIFS(BD!$W$3:$W$5001,BD!$A$3:$A$5001,AD$3,BD!$B$3:$B$5001,$A$66)))</f>
        <v/>
      </c>
      <c r="AE76" s="192" t="str">
        <f>IF(AE$3="","",IF(COUNTIFS(BD!$A$3:$A$5001,AE$3,BD!$B$3:$B$5001,$A$66,BD!$W$3:$W$5001,"&lt;&gt;")=0,"",SUMIFS(BD!$W$3:$W$5001,BD!$A$3:$A$5001,AE$3,BD!$B$3:$B$5001,$A$66)))</f>
        <v/>
      </c>
      <c r="AF76" s="192" t="str">
        <f>IF(AF$3="","",IF(COUNTIFS(BD!$A$3:$A$5001,AF$3,BD!$B$3:$B$5001,$A$66,BD!$W$3:$W$5001,"&lt;&gt;")=0,"",SUMIFS(BD!$W$3:$W$5001,BD!$A$3:$A$5001,AF$3,BD!$B$3:$B$5001,$A$66)))</f>
        <v/>
      </c>
      <c r="AG76" s="192" t="str">
        <f>IF(AG$3="","",IF(COUNTIFS(BD!$A$3:$A$5001,AG$3,BD!$B$3:$B$5001,$A$66,BD!$W$3:$W$5001,"&lt;&gt;")=0,"",SUMIFS(BD!$W$3:$W$5001,BD!$A$3:$A$5001,AG$3,BD!$B$3:$B$5001,$A$66)))</f>
        <v/>
      </c>
      <c r="AH76" s="192" t="str">
        <f>IF(AH$3="","",IF(COUNTIFS(BD!$A$3:$A$5001,AH$3,BD!$B$3:$B$5001,$A$66,BD!$W$3:$W$5001,"&lt;&gt;")=0,"",SUMIFS(BD!$W$3:$W$5001,BD!$A$3:$A$5001,AH$3,BD!$B$3:$B$5001,$A$66)))</f>
        <v/>
      </c>
      <c r="AI76" s="192" t="str">
        <f>IF(AI$3="","",IF(COUNTIFS(BD!$A$3:$A$5001,AI$3,BD!$B$3:$B$5001,$A$66,BD!$W$3:$W$5001,"&lt;&gt;")=0,"",SUMIFS(BD!$W$3:$W$5001,BD!$A$3:$A$5001,AI$3,BD!$B$3:$B$5001,$A$66)))</f>
        <v/>
      </c>
      <c r="AJ76" s="193" t="str">
        <f>IF(AJ$3="","",IF(COUNTIFS(BD!$A$3:$A$5001,AJ$3,BD!$B$3:$B$5001,$A$66,BD!$W$3:$W$5001,"&lt;&gt;")=0,"",SUMIFS(BD!$W$3:$W$5001,BD!$A$3:$A$5001,AJ$3,BD!$B$3:$B$5001,$A$66)))</f>
        <v/>
      </c>
      <c r="AK76" s="189" t="str">
        <f>IFERROR(LOOKUP(9.99E+307,F76:AJ76),"")</f>
        <v/>
      </c>
    </row>
    <row r="77" ht="15.75" customHeight="1">
      <c r="A77" s="237"/>
      <c r="B77" s="225" t="inlineStr">
        <is>
          <t xml:space="preserve">OCUPAÇÃO (P.P)</t>
        </is>
      </c>
      <c r="C77" s="148" t="inlineStr">
        <is>
          <t xml:space="preserve">Posições Disponíveis</t>
        </is>
      </c>
      <c r="D77" s="149" t="str">
        <f>IFERROR(1/(1/INDEX(BD!$AK$44:$AU$44,MATCH($A$66,BD!$AK$22:$AU$22,0))),"")</f>
        <v/>
      </c>
      <c r="E77" s="150"/>
      <c r="F77" s="151" t="str">
        <f>IF(F$3="","",IF(COUNTIFS(BD!$A$3:$A$5001,F$3,BD!$B$3:$B$5001,$A$66,BD!$X$3:$X$5001,"&lt;&gt;")=0,"",SUMIFS(BD!$X$3:$X$5001,BD!$A$3:$A$5001,F$3,BD!$B$3:$B$5001,$A$66)))</f>
        <v/>
      </c>
      <c r="G77" s="152" t="str">
        <f>IF(G$3="","",IF(COUNTIFS(BD!$A$3:$A$5001,G$3,BD!$B$3:$B$5001,$A$66,BD!$X$3:$X$5001,"&lt;&gt;")=0,"",SUMIFS(BD!$X$3:$X$5001,BD!$A$3:$A$5001,G$3,BD!$B$3:$B$5001,$A$66)))</f>
        <v/>
      </c>
      <c r="H77" s="152" t="str">
        <f>IF(H$3="","",IF(COUNTIFS(BD!$A$3:$A$5001,H$3,BD!$B$3:$B$5001,$A$66,BD!$X$3:$X$5001,"&lt;&gt;")=0,"",SUMIFS(BD!$X$3:$X$5001,BD!$A$3:$A$5001,H$3,BD!$B$3:$B$5001,$A$66)))</f>
        <v/>
      </c>
      <c r="I77" s="152" t="str">
        <f>IF(I$3="","",IF(COUNTIFS(BD!$A$3:$A$5001,I$3,BD!$B$3:$B$5001,$A$66,BD!$X$3:$X$5001,"&lt;&gt;")=0,"",SUMIFS(BD!$X$3:$X$5001,BD!$A$3:$A$5001,I$3,BD!$B$3:$B$5001,$A$66)))</f>
        <v/>
      </c>
      <c r="J77" s="152" t="str">
        <f>IF(J$3="","",IF(COUNTIFS(BD!$A$3:$A$5001,J$3,BD!$B$3:$B$5001,$A$66,BD!$X$3:$X$5001,"&lt;&gt;")=0,"",SUMIFS(BD!$X$3:$X$5001,BD!$A$3:$A$5001,J$3,BD!$B$3:$B$5001,$A$66)))</f>
        <v/>
      </c>
      <c r="K77" s="152" t="str">
        <f>IF(K$3="","",IF(COUNTIFS(BD!$A$3:$A$5001,K$3,BD!$B$3:$B$5001,$A$66,BD!$X$3:$X$5001,"&lt;&gt;")=0,"",SUMIFS(BD!$X$3:$X$5001,BD!$A$3:$A$5001,K$3,BD!$B$3:$B$5001,$A$66)))</f>
        <v/>
      </c>
      <c r="L77" s="152" t="str">
        <f>IF(L$3="","",IF(COUNTIFS(BD!$A$3:$A$5001,L$3,BD!$B$3:$B$5001,$A$66,BD!$X$3:$X$5001,"&lt;&gt;")=0,"",SUMIFS(BD!$X$3:$X$5001,BD!$A$3:$A$5001,L$3,BD!$B$3:$B$5001,$A$66)))</f>
        <v/>
      </c>
      <c r="M77" s="152" t="str">
        <f>IF(M$3="","",IF(COUNTIFS(BD!$A$3:$A$5001,M$3,BD!$B$3:$B$5001,$A$66,BD!$X$3:$X$5001,"&lt;&gt;")=0,"",SUMIFS(BD!$X$3:$X$5001,BD!$A$3:$A$5001,M$3,BD!$B$3:$B$5001,$A$66)))</f>
        <v/>
      </c>
      <c r="N77" s="152" t="str">
        <f>IF(N$3="","",IF(COUNTIFS(BD!$A$3:$A$5001,N$3,BD!$B$3:$B$5001,$A$66,BD!$X$3:$X$5001,"&lt;&gt;")=0,"",SUMIFS(BD!$X$3:$X$5001,BD!$A$3:$A$5001,N$3,BD!$B$3:$B$5001,$A$66)))</f>
        <v/>
      </c>
      <c r="O77" s="152" t="str">
        <f>IF(O$3="","",IF(COUNTIFS(BD!$A$3:$A$5001,O$3,BD!$B$3:$B$5001,$A$66,BD!$X$3:$X$5001,"&lt;&gt;")=0,"",SUMIFS(BD!$X$3:$X$5001,BD!$A$3:$A$5001,O$3,BD!$B$3:$B$5001,$A$66)))</f>
        <v/>
      </c>
      <c r="P77" s="152" t="str">
        <f>IF(P$3="","",IF(COUNTIFS(BD!$A$3:$A$5001,P$3,BD!$B$3:$B$5001,$A$66,BD!$X$3:$X$5001,"&lt;&gt;")=0,"",SUMIFS(BD!$X$3:$X$5001,BD!$A$3:$A$5001,P$3,BD!$B$3:$B$5001,$A$66)))</f>
        <v/>
      </c>
      <c r="Q77" s="152" t="str">
        <f>IF(Q$3="","",IF(COUNTIFS(BD!$A$3:$A$5001,Q$3,BD!$B$3:$B$5001,$A$66,BD!$X$3:$X$5001,"&lt;&gt;")=0,"",SUMIFS(BD!$X$3:$X$5001,BD!$A$3:$A$5001,Q$3,BD!$B$3:$B$5001,$A$66)))</f>
        <v/>
      </c>
      <c r="R77" s="152" t="str">
        <f>IF(R$3="","",IF(COUNTIFS(BD!$A$3:$A$5001,R$3,BD!$B$3:$B$5001,$A$66,BD!$X$3:$X$5001,"&lt;&gt;")=0,"",SUMIFS(BD!$X$3:$X$5001,BD!$A$3:$A$5001,R$3,BD!$B$3:$B$5001,$A$66)))</f>
        <v/>
      </c>
      <c r="S77" s="152" t="str">
        <f>IF(S$3="","",IF(COUNTIFS(BD!$A$3:$A$5001,S$3,BD!$B$3:$B$5001,$A$66,BD!$X$3:$X$5001,"&lt;&gt;")=0,"",SUMIFS(BD!$X$3:$X$5001,BD!$A$3:$A$5001,S$3,BD!$B$3:$B$5001,$A$66)))</f>
        <v/>
      </c>
      <c r="T77" s="152" t="str">
        <f>IF(T$3="","",IF(COUNTIFS(BD!$A$3:$A$5001,T$3,BD!$B$3:$B$5001,$A$66,BD!$X$3:$X$5001,"&lt;&gt;")=0,"",SUMIFS(BD!$X$3:$X$5001,BD!$A$3:$A$5001,T$3,BD!$B$3:$B$5001,$A$66)))</f>
        <v/>
      </c>
      <c r="U77" s="152" t="str">
        <f>IF(U$3="","",IF(COUNTIFS(BD!$A$3:$A$5001,U$3,BD!$B$3:$B$5001,$A$66,BD!$X$3:$X$5001,"&lt;&gt;")=0,"",SUMIFS(BD!$X$3:$X$5001,BD!$A$3:$A$5001,U$3,BD!$B$3:$B$5001,$A$66)))</f>
        <v/>
      </c>
      <c r="V77" s="152" t="str">
        <f>IF(V$3="","",IF(COUNTIFS(BD!$A$3:$A$5001,V$3,BD!$B$3:$B$5001,$A$66,BD!$X$3:$X$5001,"&lt;&gt;")=0,"",SUMIFS(BD!$X$3:$X$5001,BD!$A$3:$A$5001,V$3,BD!$B$3:$B$5001,$A$66)))</f>
        <v/>
      </c>
      <c r="W77" s="152" t="str">
        <f>IF(W$3="","",IF(COUNTIFS(BD!$A$3:$A$5001,W$3,BD!$B$3:$B$5001,$A$66,BD!$X$3:$X$5001,"&lt;&gt;")=0,"",SUMIFS(BD!$X$3:$X$5001,BD!$A$3:$A$5001,W$3,BD!$B$3:$B$5001,$A$66)))</f>
        <v/>
      </c>
      <c r="X77" s="152" t="str">
        <f>IF(X$3="","",IF(COUNTIFS(BD!$A$3:$A$5001,X$3,BD!$B$3:$B$5001,$A$66,BD!$X$3:$X$5001,"&lt;&gt;")=0,"",SUMIFS(BD!$X$3:$X$5001,BD!$A$3:$A$5001,X$3,BD!$B$3:$B$5001,$A$66)))</f>
        <v/>
      </c>
      <c r="Y77" s="152" t="str">
        <f>IF(Y$3="","",IF(COUNTIFS(BD!$A$3:$A$5001,Y$3,BD!$B$3:$B$5001,$A$66,BD!$X$3:$X$5001,"&lt;&gt;")=0,"",SUMIFS(BD!$X$3:$X$5001,BD!$A$3:$A$5001,Y$3,BD!$B$3:$B$5001,$A$66)))</f>
        <v/>
      </c>
      <c r="Z77" s="152" t="str">
        <f>IF(Z$3="","",IF(COUNTIFS(BD!$A$3:$A$5001,Z$3,BD!$B$3:$B$5001,$A$66,BD!$X$3:$X$5001,"&lt;&gt;")=0,"",SUMIFS(BD!$X$3:$X$5001,BD!$A$3:$A$5001,Z$3,BD!$B$3:$B$5001,$A$66)))</f>
        <v/>
      </c>
      <c r="AA77" s="152" t="str">
        <f>IF(AA$3="","",IF(COUNTIFS(BD!$A$3:$A$5001,AA$3,BD!$B$3:$B$5001,$A$66,BD!$X$3:$X$5001,"&lt;&gt;")=0,"",SUMIFS(BD!$X$3:$X$5001,BD!$A$3:$A$5001,AA$3,BD!$B$3:$B$5001,$A$66)))</f>
        <v/>
      </c>
      <c r="AB77" s="152" t="str">
        <f>IF(AB$3="","",IF(COUNTIFS(BD!$A$3:$A$5001,AB$3,BD!$B$3:$B$5001,$A$66,BD!$X$3:$X$5001,"&lt;&gt;")=0,"",SUMIFS(BD!$X$3:$X$5001,BD!$A$3:$A$5001,AB$3,BD!$B$3:$B$5001,$A$66)))</f>
        <v/>
      </c>
      <c r="AC77" s="152" t="str">
        <f>IF(AC$3="","",IF(COUNTIFS(BD!$A$3:$A$5001,AC$3,BD!$B$3:$B$5001,$A$66,BD!$X$3:$X$5001,"&lt;&gt;")=0,"",SUMIFS(BD!$X$3:$X$5001,BD!$A$3:$A$5001,AC$3,BD!$B$3:$B$5001,$A$66)))</f>
        <v/>
      </c>
      <c r="AD77" s="152" t="str">
        <f>IF(AD$3="","",IF(COUNTIFS(BD!$A$3:$A$5001,AD$3,BD!$B$3:$B$5001,$A$66,BD!$X$3:$X$5001,"&lt;&gt;")=0,"",SUMIFS(BD!$X$3:$X$5001,BD!$A$3:$A$5001,AD$3,BD!$B$3:$B$5001,$A$66)))</f>
        <v/>
      </c>
      <c r="AE77" s="152" t="str">
        <f>IF(AE$3="","",IF(COUNTIFS(BD!$A$3:$A$5001,AE$3,BD!$B$3:$B$5001,$A$66,BD!$X$3:$X$5001,"&lt;&gt;")=0,"",SUMIFS(BD!$X$3:$X$5001,BD!$A$3:$A$5001,AE$3,BD!$B$3:$B$5001,$A$66)))</f>
        <v/>
      </c>
      <c r="AF77" s="152" t="str">
        <f>IF(AF$3="","",IF(COUNTIFS(BD!$A$3:$A$5001,AF$3,BD!$B$3:$B$5001,$A$66,BD!$X$3:$X$5001,"&lt;&gt;")=0,"",SUMIFS(BD!$X$3:$X$5001,BD!$A$3:$A$5001,AF$3,BD!$B$3:$B$5001,$A$66)))</f>
        <v/>
      </c>
      <c r="AG77" s="152" t="str">
        <f>IF(AG$3="","",IF(COUNTIFS(BD!$A$3:$A$5001,AG$3,BD!$B$3:$B$5001,$A$66,BD!$X$3:$X$5001,"&lt;&gt;")=0,"",SUMIFS(BD!$X$3:$X$5001,BD!$A$3:$A$5001,AG$3,BD!$B$3:$B$5001,$A$66)))</f>
        <v/>
      </c>
      <c r="AH77" s="152" t="str">
        <f>IF(AH$3="","",IF(COUNTIFS(BD!$A$3:$A$5001,AH$3,BD!$B$3:$B$5001,$A$66,BD!$X$3:$X$5001,"&lt;&gt;")=0,"",SUMIFS(BD!$X$3:$X$5001,BD!$A$3:$A$5001,AH$3,BD!$B$3:$B$5001,$A$66)))</f>
        <v/>
      </c>
      <c r="AI77" s="152" t="str">
        <f>IF(AI$3="","",IF(COUNTIFS(BD!$A$3:$A$5001,AI$3,BD!$B$3:$B$5001,$A$66,BD!$X$3:$X$5001,"&lt;&gt;")=0,"",SUMIFS(BD!$X$3:$X$5001,BD!$A$3:$A$5001,AI$3,BD!$B$3:$B$5001,$A$66)))</f>
        <v/>
      </c>
      <c r="AJ77" s="153" t="str">
        <f>IF(AJ$3="","",IF(COUNTIFS(BD!$A$3:$A$5001,AJ$3,BD!$B$3:$B$5001,$A$66,BD!$X$3:$X$5001,"&lt;&gt;")=0,"",SUMIFS(BD!$X$3:$X$5001,BD!$A$3:$A$5001,AJ$3,BD!$B$3:$B$5001,$A$66)))</f>
        <v/>
      </c>
      <c r="AK77" s="154" t="str">
        <f>IF(COUNT(F77:AJ77)&gt;0,LOOKUP(9.99E+307,F77:AJ77),IFERROR(IF(INDEX(BD!$AH$3:$AH$5001,MATCH($A$66,BD!$B$3:$B$5001,0))&amp;""="Contrato","",INDEX(BD!$AH$3:$AH$5001,MATCH($A$66,BD!$B$3:$B$5001,0))&amp;""),""))</f>
        <v/>
      </c>
    </row>
    <row r="78" ht="15.75" customHeight="1">
      <c r="A78" s="237"/>
      <c r="B78" s="232"/>
      <c r="C78" s="194" t="inlineStr">
        <is>
          <t xml:space="preserve">Posições Ocupadas</t>
        </is>
      </c>
      <c r="D78" s="195" t="str">
        <f>IFERROR(1/(1/INDEX(BD!$AK$45:$AU$45,MATCH($A$66,BD!$AK$22:$AU$22,0))),"")</f>
        <v/>
      </c>
      <c r="E78" s="196"/>
      <c r="F78" s="197" t="str">
        <f>IF(F$3="","",IF(COUNTIFS(BD!$A$3:$A$5001,F$3,BD!$B$3:$B$5001,$A$66,BD!$Y$3:$Y$5001,"&lt;&gt;")=0,"",SUMIFS(BD!$Y$3:$Y$5001,BD!$A$3:$A$5001,F$3,BD!$B$3:$B$5001,$A$66)))</f>
        <v/>
      </c>
      <c r="G78" s="198" t="str">
        <f>IF(G$3="","",IF(COUNTIFS(BD!$A$3:$A$5001,G$3,BD!$B$3:$B$5001,$A$66,BD!$Y$3:$Y$5001,"&lt;&gt;")=0,"",SUMIFS(BD!$Y$3:$Y$5001,BD!$A$3:$A$5001,G$3,BD!$B$3:$B$5001,$A$66)))</f>
        <v/>
      </c>
      <c r="H78" s="198" t="str">
        <f>IF(H$3="","",IF(COUNTIFS(BD!$A$3:$A$5001,H$3,BD!$B$3:$B$5001,$A$66,BD!$Y$3:$Y$5001,"&lt;&gt;")=0,"",SUMIFS(BD!$Y$3:$Y$5001,BD!$A$3:$A$5001,H$3,BD!$B$3:$B$5001,$A$66)))</f>
        <v/>
      </c>
      <c r="I78" s="198" t="str">
        <f>IF(I$3="","",IF(COUNTIFS(BD!$A$3:$A$5001,I$3,BD!$B$3:$B$5001,$A$66,BD!$Y$3:$Y$5001,"&lt;&gt;")=0,"",SUMIFS(BD!$Y$3:$Y$5001,BD!$A$3:$A$5001,I$3,BD!$B$3:$B$5001,$A$66)))</f>
        <v/>
      </c>
      <c r="J78" s="198" t="str">
        <f>IF(J$3="","",IF(COUNTIFS(BD!$A$3:$A$5001,J$3,BD!$B$3:$B$5001,$A$66,BD!$Y$3:$Y$5001,"&lt;&gt;")=0,"",SUMIFS(BD!$Y$3:$Y$5001,BD!$A$3:$A$5001,J$3,BD!$B$3:$B$5001,$A$66)))</f>
        <v/>
      </c>
      <c r="K78" s="198" t="str">
        <f>IF(K$3="","",IF(COUNTIFS(BD!$A$3:$A$5001,K$3,BD!$B$3:$B$5001,$A$66,BD!$Y$3:$Y$5001,"&lt;&gt;")=0,"",SUMIFS(BD!$Y$3:$Y$5001,BD!$A$3:$A$5001,K$3,BD!$B$3:$B$5001,$A$66)))</f>
        <v/>
      </c>
      <c r="L78" s="198" t="str">
        <f>IF(L$3="","",IF(COUNTIFS(BD!$A$3:$A$5001,L$3,BD!$B$3:$B$5001,$A$66,BD!$Y$3:$Y$5001,"&lt;&gt;")=0,"",SUMIFS(BD!$Y$3:$Y$5001,BD!$A$3:$A$5001,L$3,BD!$B$3:$B$5001,$A$66)))</f>
        <v/>
      </c>
      <c r="M78" s="198" t="str">
        <f>IF(M$3="","",IF(COUNTIFS(BD!$A$3:$A$5001,M$3,BD!$B$3:$B$5001,$A$66,BD!$Y$3:$Y$5001,"&lt;&gt;")=0,"",SUMIFS(BD!$Y$3:$Y$5001,BD!$A$3:$A$5001,M$3,BD!$B$3:$B$5001,$A$66)))</f>
        <v/>
      </c>
      <c r="N78" s="198" t="str">
        <f>IF(N$3="","",IF(COUNTIFS(BD!$A$3:$A$5001,N$3,BD!$B$3:$B$5001,$A$66,BD!$Y$3:$Y$5001,"&lt;&gt;")=0,"",SUMIFS(BD!$Y$3:$Y$5001,BD!$A$3:$A$5001,N$3,BD!$B$3:$B$5001,$A$66)))</f>
        <v/>
      </c>
      <c r="O78" s="198" t="str">
        <f>IF(O$3="","",IF(COUNTIFS(BD!$A$3:$A$5001,O$3,BD!$B$3:$B$5001,$A$66,BD!$Y$3:$Y$5001,"&lt;&gt;")=0,"",SUMIFS(BD!$Y$3:$Y$5001,BD!$A$3:$A$5001,O$3,BD!$B$3:$B$5001,$A$66)))</f>
        <v/>
      </c>
      <c r="P78" s="198" t="str">
        <f>IF(P$3="","",IF(COUNTIFS(BD!$A$3:$A$5001,P$3,BD!$B$3:$B$5001,$A$66,BD!$Y$3:$Y$5001,"&lt;&gt;")=0,"",SUMIFS(BD!$Y$3:$Y$5001,BD!$A$3:$A$5001,P$3,BD!$B$3:$B$5001,$A$66)))</f>
        <v/>
      </c>
      <c r="Q78" s="198" t="str">
        <f>IF(Q$3="","",IF(COUNTIFS(BD!$A$3:$A$5001,Q$3,BD!$B$3:$B$5001,$A$66,BD!$Y$3:$Y$5001,"&lt;&gt;")=0,"",SUMIFS(BD!$Y$3:$Y$5001,BD!$A$3:$A$5001,Q$3,BD!$B$3:$B$5001,$A$66)))</f>
        <v/>
      </c>
      <c r="R78" s="198" t="str">
        <f>IF(R$3="","",IF(COUNTIFS(BD!$A$3:$A$5001,R$3,BD!$B$3:$B$5001,$A$66,BD!$Y$3:$Y$5001,"&lt;&gt;")=0,"",SUMIFS(BD!$Y$3:$Y$5001,BD!$A$3:$A$5001,R$3,BD!$B$3:$B$5001,$A$66)))</f>
        <v/>
      </c>
      <c r="S78" s="198" t="str">
        <f>IF(S$3="","",IF(COUNTIFS(BD!$A$3:$A$5001,S$3,BD!$B$3:$B$5001,$A$66,BD!$Y$3:$Y$5001,"&lt;&gt;")=0,"",SUMIFS(BD!$Y$3:$Y$5001,BD!$A$3:$A$5001,S$3,BD!$B$3:$B$5001,$A$66)))</f>
        <v/>
      </c>
      <c r="T78" s="198" t="str">
        <f>IF(T$3="","",IF(COUNTIFS(BD!$A$3:$A$5001,T$3,BD!$B$3:$B$5001,$A$66,BD!$Y$3:$Y$5001,"&lt;&gt;")=0,"",SUMIFS(BD!$Y$3:$Y$5001,BD!$A$3:$A$5001,T$3,BD!$B$3:$B$5001,$A$66)))</f>
        <v/>
      </c>
      <c r="U78" s="198" t="str">
        <f>IF(U$3="","",IF(COUNTIFS(BD!$A$3:$A$5001,U$3,BD!$B$3:$B$5001,$A$66,BD!$Y$3:$Y$5001,"&lt;&gt;")=0,"",SUMIFS(BD!$Y$3:$Y$5001,BD!$A$3:$A$5001,U$3,BD!$B$3:$B$5001,$A$66)))</f>
        <v/>
      </c>
      <c r="V78" s="198" t="str">
        <f>IF(V$3="","",IF(COUNTIFS(BD!$A$3:$A$5001,V$3,BD!$B$3:$B$5001,$A$66,BD!$Y$3:$Y$5001,"&lt;&gt;")=0,"",SUMIFS(BD!$Y$3:$Y$5001,BD!$A$3:$A$5001,V$3,BD!$B$3:$B$5001,$A$66)))</f>
        <v/>
      </c>
      <c r="W78" s="198" t="str">
        <f>IF(W$3="","",IF(COUNTIFS(BD!$A$3:$A$5001,W$3,BD!$B$3:$B$5001,$A$66,BD!$Y$3:$Y$5001,"&lt;&gt;")=0,"",SUMIFS(BD!$Y$3:$Y$5001,BD!$A$3:$A$5001,W$3,BD!$B$3:$B$5001,$A$66)))</f>
        <v/>
      </c>
      <c r="X78" s="198" t="str">
        <f>IF(X$3="","",IF(COUNTIFS(BD!$A$3:$A$5001,X$3,BD!$B$3:$B$5001,$A$66,BD!$Y$3:$Y$5001,"&lt;&gt;")=0,"",SUMIFS(BD!$Y$3:$Y$5001,BD!$A$3:$A$5001,X$3,BD!$B$3:$B$5001,$A$66)))</f>
        <v/>
      </c>
      <c r="Y78" s="198" t="str">
        <f>IF(Y$3="","",IF(COUNTIFS(BD!$A$3:$A$5001,Y$3,BD!$B$3:$B$5001,$A$66,BD!$Y$3:$Y$5001,"&lt;&gt;")=0,"",SUMIFS(BD!$Y$3:$Y$5001,BD!$A$3:$A$5001,Y$3,BD!$B$3:$B$5001,$A$66)))</f>
        <v/>
      </c>
      <c r="Z78" s="198" t="str">
        <f>IF(Z$3="","",IF(COUNTIFS(BD!$A$3:$A$5001,Z$3,BD!$B$3:$B$5001,$A$66,BD!$Y$3:$Y$5001,"&lt;&gt;")=0,"",SUMIFS(BD!$Y$3:$Y$5001,BD!$A$3:$A$5001,Z$3,BD!$B$3:$B$5001,$A$66)))</f>
        <v/>
      </c>
      <c r="AA78" s="198" t="str">
        <f>IF(AA$3="","",IF(COUNTIFS(BD!$A$3:$A$5001,AA$3,BD!$B$3:$B$5001,$A$66,BD!$Y$3:$Y$5001,"&lt;&gt;")=0,"",SUMIFS(BD!$Y$3:$Y$5001,BD!$A$3:$A$5001,AA$3,BD!$B$3:$B$5001,$A$66)))</f>
        <v/>
      </c>
      <c r="AB78" s="198" t="str">
        <f>IF(AB$3="","",IF(COUNTIFS(BD!$A$3:$A$5001,AB$3,BD!$B$3:$B$5001,$A$66,BD!$Y$3:$Y$5001,"&lt;&gt;")=0,"",SUMIFS(BD!$Y$3:$Y$5001,BD!$A$3:$A$5001,AB$3,BD!$B$3:$B$5001,$A$66)))</f>
        <v/>
      </c>
      <c r="AC78" s="198" t="str">
        <f>IF(AC$3="","",IF(COUNTIFS(BD!$A$3:$A$5001,AC$3,BD!$B$3:$B$5001,$A$66,BD!$Y$3:$Y$5001,"&lt;&gt;")=0,"",SUMIFS(BD!$Y$3:$Y$5001,BD!$A$3:$A$5001,AC$3,BD!$B$3:$B$5001,$A$66)))</f>
        <v/>
      </c>
      <c r="AD78" s="198" t="str">
        <f>IF(AD$3="","",IF(COUNTIFS(BD!$A$3:$A$5001,AD$3,BD!$B$3:$B$5001,$A$66,BD!$Y$3:$Y$5001,"&lt;&gt;")=0,"",SUMIFS(BD!$Y$3:$Y$5001,BD!$A$3:$A$5001,AD$3,BD!$B$3:$B$5001,$A$66)))</f>
        <v/>
      </c>
      <c r="AE78" s="198" t="str">
        <f>IF(AE$3="","",IF(COUNTIFS(BD!$A$3:$A$5001,AE$3,BD!$B$3:$B$5001,$A$66,BD!$Y$3:$Y$5001,"&lt;&gt;")=0,"",SUMIFS(BD!$Y$3:$Y$5001,BD!$A$3:$A$5001,AE$3,BD!$B$3:$B$5001,$A$66)))</f>
        <v/>
      </c>
      <c r="AF78" s="198" t="str">
        <f>IF(AF$3="","",IF(COUNTIFS(BD!$A$3:$A$5001,AF$3,BD!$B$3:$B$5001,$A$66,BD!$Y$3:$Y$5001,"&lt;&gt;")=0,"",SUMIFS(BD!$Y$3:$Y$5001,BD!$A$3:$A$5001,AF$3,BD!$B$3:$B$5001,$A$66)))</f>
        <v/>
      </c>
      <c r="AG78" s="198" t="str">
        <f>IF(AG$3="","",IF(COUNTIFS(BD!$A$3:$A$5001,AG$3,BD!$B$3:$B$5001,$A$66,BD!$Y$3:$Y$5001,"&lt;&gt;")=0,"",SUMIFS(BD!$Y$3:$Y$5001,BD!$A$3:$A$5001,AG$3,BD!$B$3:$B$5001,$A$66)))</f>
        <v/>
      </c>
      <c r="AH78" s="198" t="str">
        <f>IF(AH$3="","",IF(COUNTIFS(BD!$A$3:$A$5001,AH$3,BD!$B$3:$B$5001,$A$66,BD!$Y$3:$Y$5001,"&lt;&gt;")=0,"",SUMIFS(BD!$Y$3:$Y$5001,BD!$A$3:$A$5001,AH$3,BD!$B$3:$B$5001,$A$66)))</f>
        <v/>
      </c>
      <c r="AI78" s="198" t="str">
        <f>IF(AI$3="","",IF(COUNTIFS(BD!$A$3:$A$5001,AI$3,BD!$B$3:$B$5001,$A$66,BD!$Y$3:$Y$5001,"&lt;&gt;")=0,"",SUMIFS(BD!$Y$3:$Y$5001,BD!$A$3:$A$5001,AI$3,BD!$B$3:$B$5001,$A$66)))</f>
        <v/>
      </c>
      <c r="AJ78" s="199" t="str">
        <f>IF(AJ$3="","",IF(COUNTIFS(BD!$A$3:$A$5001,AJ$3,BD!$B$3:$B$5001,$A$66,BD!$Y$3:$Y$5001,"&lt;&gt;")=0,"",SUMIFS(BD!$Y$3:$Y$5001,BD!$A$3:$A$5001,AJ$3,BD!$B$3:$B$5001,$A$66)))</f>
        <v/>
      </c>
      <c r="AK78" s="200" t="str">
        <f>IFERROR(LOOKUP(9.99E+307,F78:AJ78),"")</f>
        <v/>
      </c>
    </row>
    <row r="79" ht="15.75" customHeight="1">
      <c r="A79" s="237"/>
      <c r="B79" s="226"/>
      <c r="C79" s="155" t="inlineStr">
        <is>
          <t xml:space="preserve">Taxa de Ocupação</t>
        </is>
      </c>
      <c r="D79" s="201" t="str">
        <f>IFERROR(1/(1/INDEX(BD!$AK$46:$AU$46,MATCH($A$66,BD!$AK$22:$AU$22,0))),"")</f>
        <v/>
      </c>
      <c r="E79" s="157"/>
      <c r="F79" s="202" t="str">
        <f>IF(AND(ISNUMBER(F77),ISNUMBER(F78)),IF(F77&gt;0,F78/F77,""),"")</f>
        <v/>
      </c>
      <c r="G79" s="203" t="str">
        <f>IF(AND(ISNUMBER(G77),ISNUMBER(G78)),IF(G77&gt;0,G78/G77,""),"")</f>
        <v/>
      </c>
      <c r="H79" s="203" t="str">
        <f>IF(AND(ISNUMBER(H77),ISNUMBER(H78)),IF(H77&gt;0,H78/H77,""),"")</f>
        <v/>
      </c>
      <c r="I79" s="203" t="str">
        <f>IF(AND(ISNUMBER(I77),ISNUMBER(I78)),IF(I77&gt;0,I78/I77,""),"")</f>
        <v/>
      </c>
      <c r="J79" s="203" t="str">
        <f>IF(AND(ISNUMBER(J77),ISNUMBER(J78)),IF(J77&gt;0,J78/J77,""),"")</f>
        <v/>
      </c>
      <c r="K79" s="203" t="str">
        <f>IF(AND(ISNUMBER(K77),ISNUMBER(K78)),IF(K77&gt;0,K78/K77,""),"")</f>
        <v/>
      </c>
      <c r="L79" s="203" t="str">
        <f>IF(AND(ISNUMBER(L77),ISNUMBER(L78)),IF(L77&gt;0,L78/L77,""),"")</f>
        <v/>
      </c>
      <c r="M79" s="203" t="str">
        <f>IF(AND(ISNUMBER(M77),ISNUMBER(M78)),IF(M77&gt;0,M78/M77,""),"")</f>
        <v/>
      </c>
      <c r="N79" s="203" t="str">
        <f>IF(AND(ISNUMBER(N77),ISNUMBER(N78)),IF(N77&gt;0,N78/N77,""),"")</f>
        <v/>
      </c>
      <c r="O79" s="203" t="str">
        <f>IF(AND(ISNUMBER(O77),ISNUMBER(O78)),IF(O77&gt;0,O78/O77,""),"")</f>
        <v/>
      </c>
      <c r="P79" s="203" t="str">
        <f>IF(AND(ISNUMBER(P77),ISNUMBER(P78)),IF(P77&gt;0,P78/P77,""),"")</f>
        <v/>
      </c>
      <c r="Q79" s="203" t="str">
        <f>IF(AND(ISNUMBER(Q77),ISNUMBER(Q78)),IF(Q77&gt;0,Q78/Q77,""),"")</f>
        <v/>
      </c>
      <c r="R79" s="203" t="str">
        <f>IF(AND(ISNUMBER(R77),ISNUMBER(R78)),IF(R77&gt;0,R78/R77,""),"")</f>
        <v/>
      </c>
      <c r="S79" s="203" t="str">
        <f>IF(AND(ISNUMBER(S77),ISNUMBER(S78)),IF(S77&gt;0,S78/S77,""),"")</f>
        <v/>
      </c>
      <c r="T79" s="203" t="str">
        <f>IF(AND(ISNUMBER(T77),ISNUMBER(T78)),IF(T77&gt;0,T78/T77,""),"")</f>
        <v/>
      </c>
      <c r="U79" s="203" t="str">
        <f>IF(AND(ISNUMBER(U77),ISNUMBER(U78)),IF(U77&gt;0,U78/U77,""),"")</f>
        <v/>
      </c>
      <c r="V79" s="203" t="str">
        <f>IF(AND(ISNUMBER(V77),ISNUMBER(V78)),IF(V77&gt;0,V78/V77,""),"")</f>
        <v/>
      </c>
      <c r="W79" s="203" t="str">
        <f>IF(AND(ISNUMBER(W77),ISNUMBER(W78)),IF(W77&gt;0,W78/W77,""),"")</f>
        <v/>
      </c>
      <c r="X79" s="203" t="str">
        <f>IF(AND(ISNUMBER(X77),ISNUMBER(X78)),IF(X77&gt;0,X78/X77,""),"")</f>
        <v/>
      </c>
      <c r="Y79" s="203" t="str">
        <f>IF(AND(ISNUMBER(Y77),ISNUMBER(Y78)),IF(Y77&gt;0,Y78/Y77,""),"")</f>
        <v/>
      </c>
      <c r="Z79" s="203" t="str">
        <f>IF(AND(ISNUMBER(Z77),ISNUMBER(Z78)),IF(Z77&gt;0,Z78/Z77,""),"")</f>
        <v/>
      </c>
      <c r="AA79" s="203" t="str">
        <f>IF(AND(ISNUMBER(AA77),ISNUMBER(AA78)),IF(AA77&gt;0,AA78/AA77,""),"")</f>
        <v/>
      </c>
      <c r="AB79" s="203" t="str">
        <f>IF(AND(ISNUMBER(AB77),ISNUMBER(AB78)),IF(AB77&gt;0,AB78/AB77,""),"")</f>
        <v/>
      </c>
      <c r="AC79" s="203" t="str">
        <f>IF(AND(ISNUMBER(AC77),ISNUMBER(AC78)),IF(AC77&gt;0,AC78/AC77,""),"")</f>
        <v/>
      </c>
      <c r="AD79" s="203" t="str">
        <f>IF(AND(ISNUMBER(AD77),ISNUMBER(AD78)),IF(AD77&gt;0,AD78/AD77,""),"")</f>
        <v/>
      </c>
      <c r="AE79" s="203" t="str">
        <f>IF(AND(ISNUMBER(AE77),ISNUMBER(AE78)),IF(AE77&gt;0,AE78/AE77,""),"")</f>
        <v/>
      </c>
      <c r="AF79" s="203" t="str">
        <f>IF(AND(ISNUMBER(AF77),ISNUMBER(AF78)),IF(AF77&gt;0,AF78/AF77,""),"")</f>
        <v/>
      </c>
      <c r="AG79" s="203" t="str">
        <f>IF(AND(ISNUMBER(AG77),ISNUMBER(AG78)),IF(AG77&gt;0,AG78/AG77,""),"")</f>
        <v/>
      </c>
      <c r="AH79" s="203" t="str">
        <f>IF(AND(ISNUMBER(AH77),ISNUMBER(AH78)),IF(AH77&gt;0,AH78/AH77,""),"")</f>
        <v/>
      </c>
      <c r="AI79" s="203" t="str">
        <f>IF(AND(ISNUMBER(AI77),ISNUMBER(AI78)),IF(AI77&gt;0,AI78/AI77,""),"")</f>
        <v/>
      </c>
      <c r="AJ79" s="204" t="str">
        <f>IF(AND(ISNUMBER(AJ77),ISNUMBER(AJ78)),IF(AJ77&gt;0,AJ78/AJ77,""),"")</f>
        <v/>
      </c>
      <c r="AK79" s="201" t="str">
        <f>IF(AND(ISNUMBER(AK77),ISNUMBER(AK78)),IF(AK77&gt;0,AK78/AK77,""),"")</f>
        <v/>
      </c>
    </row>
    <row r="80" ht="15.75" customHeight="1">
      <c r="A80" s="237"/>
      <c r="B80" s="233" t="inlineStr">
        <is>
          <t xml:space="preserve">GENTE</t>
        </is>
      </c>
      <c r="C80" s="205" t="inlineStr">
        <is>
          <t xml:space="preserve">Efetivo Op.</t>
        </is>
      </c>
      <c r="D80" s="206" t="str">
        <f>IFERROR(1/(1/INDEX(BD!$AK$47:$AU$47,MATCH($A$66,BD!$AK$22:$AU$22,0))),"")</f>
        <v/>
      </c>
      <c r="E80" s="207"/>
      <c r="F80" s="208" t="str">
        <f>IF(F$3="","",IF(COUNTIFS(BD!$A$3:$A$5001,F$3,BD!$B$3:$B$5001,$A$66,BD!$Z$3:$Z$5001,"&lt;&gt;")=0,"",SUMIFS(BD!$Z$3:$Z$5001,BD!$A$3:$A$5001,F$3,BD!$B$3:$B$5001,$A$66)))</f>
        <v/>
      </c>
      <c r="G80" s="209" t="str">
        <f>IF(G$3="","",IF(COUNTIFS(BD!$A$3:$A$5001,G$3,BD!$B$3:$B$5001,$A$66,BD!$Z$3:$Z$5001,"&lt;&gt;")=0,"",SUMIFS(BD!$Z$3:$Z$5001,BD!$A$3:$A$5001,G$3,BD!$B$3:$B$5001,$A$66)))</f>
        <v/>
      </c>
      <c r="H80" s="209" t="str">
        <f>IF(H$3="","",IF(COUNTIFS(BD!$A$3:$A$5001,H$3,BD!$B$3:$B$5001,$A$66,BD!$Z$3:$Z$5001,"&lt;&gt;")=0,"",SUMIFS(BD!$Z$3:$Z$5001,BD!$A$3:$A$5001,H$3,BD!$B$3:$B$5001,$A$66)))</f>
        <v/>
      </c>
      <c r="I80" s="209" t="str">
        <f>IF(I$3="","",IF(COUNTIFS(BD!$A$3:$A$5001,I$3,BD!$B$3:$B$5001,$A$66,BD!$Z$3:$Z$5001,"&lt;&gt;")=0,"",SUMIFS(BD!$Z$3:$Z$5001,BD!$A$3:$A$5001,I$3,BD!$B$3:$B$5001,$A$66)))</f>
        <v/>
      </c>
      <c r="J80" s="209" t="str">
        <f>IF(J$3="","",IF(COUNTIFS(BD!$A$3:$A$5001,J$3,BD!$B$3:$B$5001,$A$66,BD!$Z$3:$Z$5001,"&lt;&gt;")=0,"",SUMIFS(BD!$Z$3:$Z$5001,BD!$A$3:$A$5001,J$3,BD!$B$3:$B$5001,$A$66)))</f>
        <v/>
      </c>
      <c r="K80" s="209" t="str">
        <f>IF(K$3="","",IF(COUNTIFS(BD!$A$3:$A$5001,K$3,BD!$B$3:$B$5001,$A$66,BD!$Z$3:$Z$5001,"&lt;&gt;")=0,"",SUMIFS(BD!$Z$3:$Z$5001,BD!$A$3:$A$5001,K$3,BD!$B$3:$B$5001,$A$66)))</f>
        <v/>
      </c>
      <c r="L80" s="209" t="str">
        <f>IF(L$3="","",IF(COUNTIFS(BD!$A$3:$A$5001,L$3,BD!$B$3:$B$5001,$A$66,BD!$Z$3:$Z$5001,"&lt;&gt;")=0,"",SUMIFS(BD!$Z$3:$Z$5001,BD!$A$3:$A$5001,L$3,BD!$B$3:$B$5001,$A$66)))</f>
        <v/>
      </c>
      <c r="M80" s="209" t="str">
        <f>IF(M$3="","",IF(COUNTIFS(BD!$A$3:$A$5001,M$3,BD!$B$3:$B$5001,$A$66,BD!$Z$3:$Z$5001,"&lt;&gt;")=0,"",SUMIFS(BD!$Z$3:$Z$5001,BD!$A$3:$A$5001,M$3,BD!$B$3:$B$5001,$A$66)))</f>
        <v/>
      </c>
      <c r="N80" s="209" t="str">
        <f>IF(N$3="","",IF(COUNTIFS(BD!$A$3:$A$5001,N$3,BD!$B$3:$B$5001,$A$66,BD!$Z$3:$Z$5001,"&lt;&gt;")=0,"",SUMIFS(BD!$Z$3:$Z$5001,BD!$A$3:$A$5001,N$3,BD!$B$3:$B$5001,$A$66)))</f>
        <v/>
      </c>
      <c r="O80" s="209" t="str">
        <f>IF(O$3="","",IF(COUNTIFS(BD!$A$3:$A$5001,O$3,BD!$B$3:$B$5001,$A$66,BD!$Z$3:$Z$5001,"&lt;&gt;")=0,"",SUMIFS(BD!$Z$3:$Z$5001,BD!$A$3:$A$5001,O$3,BD!$B$3:$B$5001,$A$66)))</f>
        <v/>
      </c>
      <c r="P80" s="209" t="str">
        <f>IF(P$3="","",IF(COUNTIFS(BD!$A$3:$A$5001,P$3,BD!$B$3:$B$5001,$A$66,BD!$Z$3:$Z$5001,"&lt;&gt;")=0,"",SUMIFS(BD!$Z$3:$Z$5001,BD!$A$3:$A$5001,P$3,BD!$B$3:$B$5001,$A$66)))</f>
        <v/>
      </c>
      <c r="Q80" s="209" t="str">
        <f>IF(Q$3="","",IF(COUNTIFS(BD!$A$3:$A$5001,Q$3,BD!$B$3:$B$5001,$A$66,BD!$Z$3:$Z$5001,"&lt;&gt;")=0,"",SUMIFS(BD!$Z$3:$Z$5001,BD!$A$3:$A$5001,Q$3,BD!$B$3:$B$5001,$A$66)))</f>
        <v/>
      </c>
      <c r="R80" s="209" t="str">
        <f>IF(R$3="","",IF(COUNTIFS(BD!$A$3:$A$5001,R$3,BD!$B$3:$B$5001,$A$66,BD!$Z$3:$Z$5001,"&lt;&gt;")=0,"",SUMIFS(BD!$Z$3:$Z$5001,BD!$A$3:$A$5001,R$3,BD!$B$3:$B$5001,$A$66)))</f>
        <v/>
      </c>
      <c r="S80" s="209" t="str">
        <f>IF(S$3="","",IF(COUNTIFS(BD!$A$3:$A$5001,S$3,BD!$B$3:$B$5001,$A$66,BD!$Z$3:$Z$5001,"&lt;&gt;")=0,"",SUMIFS(BD!$Z$3:$Z$5001,BD!$A$3:$A$5001,S$3,BD!$B$3:$B$5001,$A$66)))</f>
        <v/>
      </c>
      <c r="T80" s="209" t="str">
        <f>IF(T$3="","",IF(COUNTIFS(BD!$A$3:$A$5001,T$3,BD!$B$3:$B$5001,$A$66,BD!$Z$3:$Z$5001,"&lt;&gt;")=0,"",SUMIFS(BD!$Z$3:$Z$5001,BD!$A$3:$A$5001,T$3,BD!$B$3:$B$5001,$A$66)))</f>
        <v/>
      </c>
      <c r="U80" s="209" t="str">
        <f>IF(U$3="","",IF(COUNTIFS(BD!$A$3:$A$5001,U$3,BD!$B$3:$B$5001,$A$66,BD!$Z$3:$Z$5001,"&lt;&gt;")=0,"",SUMIFS(BD!$Z$3:$Z$5001,BD!$A$3:$A$5001,U$3,BD!$B$3:$B$5001,$A$66)))</f>
        <v/>
      </c>
      <c r="V80" s="209" t="str">
        <f>IF(V$3="","",IF(COUNTIFS(BD!$A$3:$A$5001,V$3,BD!$B$3:$B$5001,$A$66,BD!$Z$3:$Z$5001,"&lt;&gt;")=0,"",SUMIFS(BD!$Z$3:$Z$5001,BD!$A$3:$A$5001,V$3,BD!$B$3:$B$5001,$A$66)))</f>
        <v/>
      </c>
      <c r="W80" s="209" t="str">
        <f>IF(W$3="","",IF(COUNTIFS(BD!$A$3:$A$5001,W$3,BD!$B$3:$B$5001,$A$66,BD!$Z$3:$Z$5001,"&lt;&gt;")=0,"",SUMIFS(BD!$Z$3:$Z$5001,BD!$A$3:$A$5001,W$3,BD!$B$3:$B$5001,$A$66)))</f>
        <v/>
      </c>
      <c r="X80" s="209" t="str">
        <f>IF(X$3="","",IF(COUNTIFS(BD!$A$3:$A$5001,X$3,BD!$B$3:$B$5001,$A$66,BD!$Z$3:$Z$5001,"&lt;&gt;")=0,"",SUMIFS(BD!$Z$3:$Z$5001,BD!$A$3:$A$5001,X$3,BD!$B$3:$B$5001,$A$66)))</f>
        <v/>
      </c>
      <c r="Y80" s="209" t="str">
        <f>IF(Y$3="","",IF(COUNTIFS(BD!$A$3:$A$5001,Y$3,BD!$B$3:$B$5001,$A$66,BD!$Z$3:$Z$5001,"&lt;&gt;")=0,"",SUMIFS(BD!$Z$3:$Z$5001,BD!$A$3:$A$5001,Y$3,BD!$B$3:$B$5001,$A$66)))</f>
        <v/>
      </c>
      <c r="Z80" s="209" t="str">
        <f>IF(Z$3="","",IF(COUNTIFS(BD!$A$3:$A$5001,Z$3,BD!$B$3:$B$5001,$A$66,BD!$Z$3:$Z$5001,"&lt;&gt;")=0,"",SUMIFS(BD!$Z$3:$Z$5001,BD!$A$3:$A$5001,Z$3,BD!$B$3:$B$5001,$A$66)))</f>
        <v/>
      </c>
      <c r="AA80" s="209" t="str">
        <f>IF(AA$3="","",IF(COUNTIFS(BD!$A$3:$A$5001,AA$3,BD!$B$3:$B$5001,$A$66,BD!$Z$3:$Z$5001,"&lt;&gt;")=0,"",SUMIFS(BD!$Z$3:$Z$5001,BD!$A$3:$A$5001,AA$3,BD!$B$3:$B$5001,$A$66)))</f>
        <v/>
      </c>
      <c r="AB80" s="209" t="str">
        <f>IF(AB$3="","",IF(COUNTIFS(BD!$A$3:$A$5001,AB$3,BD!$B$3:$B$5001,$A$66,BD!$Z$3:$Z$5001,"&lt;&gt;")=0,"",SUMIFS(BD!$Z$3:$Z$5001,BD!$A$3:$A$5001,AB$3,BD!$B$3:$B$5001,$A$66)))</f>
        <v/>
      </c>
      <c r="AC80" s="209" t="str">
        <f>IF(AC$3="","",IF(COUNTIFS(BD!$A$3:$A$5001,AC$3,BD!$B$3:$B$5001,$A$66,BD!$Z$3:$Z$5001,"&lt;&gt;")=0,"",SUMIFS(BD!$Z$3:$Z$5001,BD!$A$3:$A$5001,AC$3,BD!$B$3:$B$5001,$A$66)))</f>
        <v/>
      </c>
      <c r="AD80" s="209" t="str">
        <f>IF(AD$3="","",IF(COUNTIFS(BD!$A$3:$A$5001,AD$3,BD!$B$3:$B$5001,$A$66,BD!$Z$3:$Z$5001,"&lt;&gt;")=0,"",SUMIFS(BD!$Z$3:$Z$5001,BD!$A$3:$A$5001,AD$3,BD!$B$3:$B$5001,$A$66)))</f>
        <v/>
      </c>
      <c r="AE80" s="209" t="str">
        <f>IF(AE$3="","",IF(COUNTIFS(BD!$A$3:$A$5001,AE$3,BD!$B$3:$B$5001,$A$66,BD!$Z$3:$Z$5001,"&lt;&gt;")=0,"",SUMIFS(BD!$Z$3:$Z$5001,BD!$A$3:$A$5001,AE$3,BD!$B$3:$B$5001,$A$66)))</f>
        <v/>
      </c>
      <c r="AF80" s="209" t="str">
        <f>IF(AF$3="","",IF(COUNTIFS(BD!$A$3:$A$5001,AF$3,BD!$B$3:$B$5001,$A$66,BD!$Z$3:$Z$5001,"&lt;&gt;")=0,"",SUMIFS(BD!$Z$3:$Z$5001,BD!$A$3:$A$5001,AF$3,BD!$B$3:$B$5001,$A$66)))</f>
        <v/>
      </c>
      <c r="AG80" s="209" t="str">
        <f>IF(AG$3="","",IF(COUNTIFS(BD!$A$3:$A$5001,AG$3,BD!$B$3:$B$5001,$A$66,BD!$Z$3:$Z$5001,"&lt;&gt;")=0,"",SUMIFS(BD!$Z$3:$Z$5001,BD!$A$3:$A$5001,AG$3,BD!$B$3:$B$5001,$A$66)))</f>
        <v/>
      </c>
      <c r="AH80" s="209" t="str">
        <f>IF(AH$3="","",IF(COUNTIFS(BD!$A$3:$A$5001,AH$3,BD!$B$3:$B$5001,$A$66,BD!$Z$3:$Z$5001,"&lt;&gt;")=0,"",SUMIFS(BD!$Z$3:$Z$5001,BD!$A$3:$A$5001,AH$3,BD!$B$3:$B$5001,$A$66)))</f>
        <v/>
      </c>
      <c r="AI80" s="209" t="str">
        <f>IF(AI$3="","",IF(COUNTIFS(BD!$A$3:$A$5001,AI$3,BD!$B$3:$B$5001,$A$66,BD!$Z$3:$Z$5001,"&lt;&gt;")=0,"",SUMIFS(BD!$Z$3:$Z$5001,BD!$A$3:$A$5001,AI$3,BD!$B$3:$B$5001,$A$66)))</f>
        <v/>
      </c>
      <c r="AJ80" s="210" t="str">
        <f>IF(AJ$3="","",IF(COUNTIFS(BD!$A$3:$A$5001,AJ$3,BD!$B$3:$B$5001,$A$66,BD!$Z$3:$Z$5001,"&lt;&gt;")=0,"",SUMIFS(BD!$Z$3:$Z$5001,BD!$A$3:$A$5001,AJ$3,BD!$B$3:$B$5001,$A$66)))</f>
        <v/>
      </c>
      <c r="AK80" s="211" t="str">
        <f>IFERROR(LOOKUP(9.99E+307,F80:AJ80),"")</f>
        <v/>
      </c>
    </row>
    <row r="81" ht="15.75" customHeight="1">
      <c r="A81" s="237"/>
      <c r="B81" s="234"/>
      <c r="C81" s="212" t="inlineStr">
        <is>
          <t xml:space="preserve">Falta</t>
        </is>
      </c>
      <c r="D81" s="213" t="str">
        <f>IFERROR(1/(1/INDEX(BD!$AK$48:$AU$48,MATCH($A$66,BD!$AK$22:$AU$22,0))),"")</f>
        <v/>
      </c>
      <c r="E81" s="214"/>
      <c r="F81" s="215" t="str">
        <f>IF(F$3="","",IF(COUNTIFS(BD!$A$3:$A$5001,F$3,BD!$B$3:$B$5001,$A$66,BD!$AA$3:$AA$5001,"&lt;&gt;")=0,"",SUMIFS(BD!$AA$3:$AA$5001,BD!$A$3:$A$5001,F$3,BD!$B$3:$B$5001,$A$66)))</f>
        <v/>
      </c>
      <c r="G81" s="216" t="str">
        <f>IF(G$3="","",IF(COUNTIFS(BD!$A$3:$A$5001,G$3,BD!$B$3:$B$5001,$A$66,BD!$AA$3:$AA$5001,"&lt;&gt;")=0,"",SUMIFS(BD!$AA$3:$AA$5001,BD!$A$3:$A$5001,G$3,BD!$B$3:$B$5001,$A$66)))</f>
        <v/>
      </c>
      <c r="H81" s="216" t="str">
        <f>IF(H$3="","",IF(COUNTIFS(BD!$A$3:$A$5001,H$3,BD!$B$3:$B$5001,$A$66,BD!$AA$3:$AA$5001,"&lt;&gt;")=0,"",SUMIFS(BD!$AA$3:$AA$5001,BD!$A$3:$A$5001,H$3,BD!$B$3:$B$5001,$A$66)))</f>
        <v/>
      </c>
      <c r="I81" s="216" t="str">
        <f>IF(I$3="","",IF(COUNTIFS(BD!$A$3:$A$5001,I$3,BD!$B$3:$B$5001,$A$66,BD!$AA$3:$AA$5001,"&lt;&gt;")=0,"",SUMIFS(BD!$AA$3:$AA$5001,BD!$A$3:$A$5001,I$3,BD!$B$3:$B$5001,$A$66)))</f>
        <v/>
      </c>
      <c r="J81" s="216" t="str">
        <f>IF(J$3="","",IF(COUNTIFS(BD!$A$3:$A$5001,J$3,BD!$B$3:$B$5001,$A$66,BD!$AA$3:$AA$5001,"&lt;&gt;")=0,"",SUMIFS(BD!$AA$3:$AA$5001,BD!$A$3:$A$5001,J$3,BD!$B$3:$B$5001,$A$66)))</f>
        <v/>
      </c>
      <c r="K81" s="216" t="str">
        <f>IF(K$3="","",IF(COUNTIFS(BD!$A$3:$A$5001,K$3,BD!$B$3:$B$5001,$A$66,BD!$AA$3:$AA$5001,"&lt;&gt;")=0,"",SUMIFS(BD!$AA$3:$AA$5001,BD!$A$3:$A$5001,K$3,BD!$B$3:$B$5001,$A$66)))</f>
        <v/>
      </c>
      <c r="L81" s="216" t="str">
        <f>IF(L$3="","",IF(COUNTIFS(BD!$A$3:$A$5001,L$3,BD!$B$3:$B$5001,$A$66,BD!$AA$3:$AA$5001,"&lt;&gt;")=0,"",SUMIFS(BD!$AA$3:$AA$5001,BD!$A$3:$A$5001,L$3,BD!$B$3:$B$5001,$A$66)))</f>
        <v/>
      </c>
      <c r="M81" s="216" t="str">
        <f>IF(M$3="","",IF(COUNTIFS(BD!$A$3:$A$5001,M$3,BD!$B$3:$B$5001,$A$66,BD!$AA$3:$AA$5001,"&lt;&gt;")=0,"",SUMIFS(BD!$AA$3:$AA$5001,BD!$A$3:$A$5001,M$3,BD!$B$3:$B$5001,$A$66)))</f>
        <v/>
      </c>
      <c r="N81" s="216" t="str">
        <f>IF(N$3="","",IF(COUNTIFS(BD!$A$3:$A$5001,N$3,BD!$B$3:$B$5001,$A$66,BD!$AA$3:$AA$5001,"&lt;&gt;")=0,"",SUMIFS(BD!$AA$3:$AA$5001,BD!$A$3:$A$5001,N$3,BD!$B$3:$B$5001,$A$66)))</f>
        <v/>
      </c>
      <c r="O81" s="216" t="str">
        <f>IF(O$3="","",IF(COUNTIFS(BD!$A$3:$A$5001,O$3,BD!$B$3:$B$5001,$A$66,BD!$AA$3:$AA$5001,"&lt;&gt;")=0,"",SUMIFS(BD!$AA$3:$AA$5001,BD!$A$3:$A$5001,O$3,BD!$B$3:$B$5001,$A$66)))</f>
        <v/>
      </c>
      <c r="P81" s="216" t="str">
        <f>IF(P$3="","",IF(COUNTIFS(BD!$A$3:$A$5001,P$3,BD!$B$3:$B$5001,$A$66,BD!$AA$3:$AA$5001,"&lt;&gt;")=0,"",SUMIFS(BD!$AA$3:$AA$5001,BD!$A$3:$A$5001,P$3,BD!$B$3:$B$5001,$A$66)))</f>
        <v/>
      </c>
      <c r="Q81" s="216" t="str">
        <f>IF(Q$3="","",IF(COUNTIFS(BD!$A$3:$A$5001,Q$3,BD!$B$3:$B$5001,$A$66,BD!$AA$3:$AA$5001,"&lt;&gt;")=0,"",SUMIFS(BD!$AA$3:$AA$5001,BD!$A$3:$A$5001,Q$3,BD!$B$3:$B$5001,$A$66)))</f>
        <v/>
      </c>
      <c r="R81" s="216" t="str">
        <f>IF(R$3="","",IF(COUNTIFS(BD!$A$3:$A$5001,R$3,BD!$B$3:$B$5001,$A$66,BD!$AA$3:$AA$5001,"&lt;&gt;")=0,"",SUMIFS(BD!$AA$3:$AA$5001,BD!$A$3:$A$5001,R$3,BD!$B$3:$B$5001,$A$66)))</f>
        <v/>
      </c>
      <c r="S81" s="216" t="str">
        <f>IF(S$3="","",IF(COUNTIFS(BD!$A$3:$A$5001,S$3,BD!$B$3:$B$5001,$A$66,BD!$AA$3:$AA$5001,"&lt;&gt;")=0,"",SUMIFS(BD!$AA$3:$AA$5001,BD!$A$3:$A$5001,S$3,BD!$B$3:$B$5001,$A$66)))</f>
        <v/>
      </c>
      <c r="T81" s="216" t="str">
        <f>IF(T$3="","",IF(COUNTIFS(BD!$A$3:$A$5001,T$3,BD!$B$3:$B$5001,$A$66,BD!$AA$3:$AA$5001,"&lt;&gt;")=0,"",SUMIFS(BD!$AA$3:$AA$5001,BD!$A$3:$A$5001,T$3,BD!$B$3:$B$5001,$A$66)))</f>
        <v/>
      </c>
      <c r="U81" s="216" t="str">
        <f>IF(U$3="","",IF(COUNTIFS(BD!$A$3:$A$5001,U$3,BD!$B$3:$B$5001,$A$66,BD!$AA$3:$AA$5001,"&lt;&gt;")=0,"",SUMIFS(BD!$AA$3:$AA$5001,BD!$A$3:$A$5001,U$3,BD!$B$3:$B$5001,$A$66)))</f>
        <v/>
      </c>
      <c r="V81" s="216" t="str">
        <f>IF(V$3="","",IF(COUNTIFS(BD!$A$3:$A$5001,V$3,BD!$B$3:$B$5001,$A$66,BD!$AA$3:$AA$5001,"&lt;&gt;")=0,"",SUMIFS(BD!$AA$3:$AA$5001,BD!$A$3:$A$5001,V$3,BD!$B$3:$B$5001,$A$66)))</f>
        <v/>
      </c>
      <c r="W81" s="216" t="str">
        <f>IF(W$3="","",IF(COUNTIFS(BD!$A$3:$A$5001,W$3,BD!$B$3:$B$5001,$A$66,BD!$AA$3:$AA$5001,"&lt;&gt;")=0,"",SUMIFS(BD!$AA$3:$AA$5001,BD!$A$3:$A$5001,W$3,BD!$B$3:$B$5001,$A$66)))</f>
        <v/>
      </c>
      <c r="X81" s="216" t="str">
        <f>IF(X$3="","",IF(COUNTIFS(BD!$A$3:$A$5001,X$3,BD!$B$3:$B$5001,$A$66,BD!$AA$3:$AA$5001,"&lt;&gt;")=0,"",SUMIFS(BD!$AA$3:$AA$5001,BD!$A$3:$A$5001,X$3,BD!$B$3:$B$5001,$A$66)))</f>
        <v/>
      </c>
      <c r="Y81" s="216" t="str">
        <f>IF(Y$3="","",IF(COUNTIFS(BD!$A$3:$A$5001,Y$3,BD!$B$3:$B$5001,$A$66,BD!$AA$3:$AA$5001,"&lt;&gt;")=0,"",SUMIFS(BD!$AA$3:$AA$5001,BD!$A$3:$A$5001,Y$3,BD!$B$3:$B$5001,$A$66)))</f>
        <v/>
      </c>
      <c r="Z81" s="216" t="str">
        <f>IF(Z$3="","",IF(COUNTIFS(BD!$A$3:$A$5001,Z$3,BD!$B$3:$B$5001,$A$66,BD!$AA$3:$AA$5001,"&lt;&gt;")=0,"",SUMIFS(BD!$AA$3:$AA$5001,BD!$A$3:$A$5001,Z$3,BD!$B$3:$B$5001,$A$66)))</f>
        <v/>
      </c>
      <c r="AA81" s="216" t="str">
        <f>IF(AA$3="","",IF(COUNTIFS(BD!$A$3:$A$5001,AA$3,BD!$B$3:$B$5001,$A$66,BD!$AA$3:$AA$5001,"&lt;&gt;")=0,"",SUMIFS(BD!$AA$3:$AA$5001,BD!$A$3:$A$5001,AA$3,BD!$B$3:$B$5001,$A$66)))</f>
        <v/>
      </c>
      <c r="AB81" s="216" t="str">
        <f>IF(AB$3="","",IF(COUNTIFS(BD!$A$3:$A$5001,AB$3,BD!$B$3:$B$5001,$A$66,BD!$AA$3:$AA$5001,"&lt;&gt;")=0,"",SUMIFS(BD!$AA$3:$AA$5001,BD!$A$3:$A$5001,AB$3,BD!$B$3:$B$5001,$A$66)))</f>
        <v/>
      </c>
      <c r="AC81" s="216" t="str">
        <f>IF(AC$3="","",IF(COUNTIFS(BD!$A$3:$A$5001,AC$3,BD!$B$3:$B$5001,$A$66,BD!$AA$3:$AA$5001,"&lt;&gt;")=0,"",SUMIFS(BD!$AA$3:$AA$5001,BD!$A$3:$A$5001,AC$3,BD!$B$3:$B$5001,$A$66)))</f>
        <v/>
      </c>
      <c r="AD81" s="216" t="str">
        <f>IF(AD$3="","",IF(COUNTIFS(BD!$A$3:$A$5001,AD$3,BD!$B$3:$B$5001,$A$66,BD!$AA$3:$AA$5001,"&lt;&gt;")=0,"",SUMIFS(BD!$AA$3:$AA$5001,BD!$A$3:$A$5001,AD$3,BD!$B$3:$B$5001,$A$66)))</f>
        <v/>
      </c>
      <c r="AE81" s="216" t="str">
        <f>IF(AE$3="","",IF(COUNTIFS(BD!$A$3:$A$5001,AE$3,BD!$B$3:$B$5001,$A$66,BD!$AA$3:$AA$5001,"&lt;&gt;")=0,"",SUMIFS(BD!$AA$3:$AA$5001,BD!$A$3:$A$5001,AE$3,BD!$B$3:$B$5001,$A$66)))</f>
        <v/>
      </c>
      <c r="AF81" s="216" t="str">
        <f>IF(AF$3="","",IF(COUNTIFS(BD!$A$3:$A$5001,AF$3,BD!$B$3:$B$5001,$A$66,BD!$AA$3:$AA$5001,"&lt;&gt;")=0,"",SUMIFS(BD!$AA$3:$AA$5001,BD!$A$3:$A$5001,AF$3,BD!$B$3:$B$5001,$A$66)))</f>
        <v/>
      </c>
      <c r="AG81" s="216" t="str">
        <f>IF(AG$3="","",IF(COUNTIFS(BD!$A$3:$A$5001,AG$3,BD!$B$3:$B$5001,$A$66,BD!$AA$3:$AA$5001,"&lt;&gt;")=0,"",SUMIFS(BD!$AA$3:$AA$5001,BD!$A$3:$A$5001,AG$3,BD!$B$3:$B$5001,$A$66)))</f>
        <v/>
      </c>
      <c r="AH81" s="216" t="str">
        <f>IF(AH$3="","",IF(COUNTIFS(BD!$A$3:$A$5001,AH$3,BD!$B$3:$B$5001,$A$66,BD!$AA$3:$AA$5001,"&lt;&gt;")=0,"",SUMIFS(BD!$AA$3:$AA$5001,BD!$A$3:$A$5001,AH$3,BD!$B$3:$B$5001,$A$66)))</f>
        <v/>
      </c>
      <c r="AI81" s="216" t="str">
        <f>IF(AI$3="","",IF(COUNTIFS(BD!$A$3:$A$5001,AI$3,BD!$B$3:$B$5001,$A$66,BD!$AA$3:$AA$5001,"&lt;&gt;")=0,"",SUMIFS(BD!$AA$3:$AA$5001,BD!$A$3:$A$5001,AI$3,BD!$B$3:$B$5001,$A$66)))</f>
        <v/>
      </c>
      <c r="AJ81" s="217" t="str">
        <f>IF(AJ$3="","",IF(COUNTIFS(BD!$A$3:$A$5001,AJ$3,BD!$B$3:$B$5001,$A$66,BD!$AA$3:$AA$5001,"&lt;&gt;")=0,"",SUMIFS(BD!$AA$3:$AA$5001,BD!$A$3:$A$5001,AJ$3,BD!$B$3:$B$5001,$A$66)))</f>
        <v/>
      </c>
      <c r="AK81" s="218" t="str">
        <f>IF(COUNT(F81:AJ81)=0,"",SUM(F81:AJ81))</f>
        <v/>
      </c>
    </row>
    <row r="82" ht="15.75" customHeight="1">
      <c r="A82" s="237"/>
      <c r="B82" s="234"/>
      <c r="C82" s="212" t="inlineStr">
        <is>
          <t xml:space="preserve">Folga</t>
        </is>
      </c>
      <c r="D82" s="213" t="str">
        <f>IFERROR(1/(1/INDEX(BD!$AK$49:$AU$49,MATCH($A$66,BD!$AK$22:$AU$22,0))),"")</f>
        <v/>
      </c>
      <c r="E82" s="214"/>
      <c r="F82" s="215" t="str">
        <f>IF(F$3="","",IF(COUNTIFS(BD!$A$3:$A$5001,F$3,BD!$B$3:$B$5001,$A$66,BD!$AB$3:$AB$5001,"&lt;&gt;")=0,"",SUMIFS(BD!$AB$3:$AB$5001,BD!$A$3:$A$5001,F$3,BD!$B$3:$B$5001,$A$66)))</f>
        <v/>
      </c>
      <c r="G82" s="216" t="str">
        <f>IF(G$3="","",IF(COUNTIFS(BD!$A$3:$A$5001,G$3,BD!$B$3:$B$5001,$A$66,BD!$AB$3:$AB$5001,"&lt;&gt;")=0,"",SUMIFS(BD!$AB$3:$AB$5001,BD!$A$3:$A$5001,G$3,BD!$B$3:$B$5001,$A$66)))</f>
        <v/>
      </c>
      <c r="H82" s="216" t="str">
        <f>IF(H$3="","",IF(COUNTIFS(BD!$A$3:$A$5001,H$3,BD!$B$3:$B$5001,$A$66,BD!$AB$3:$AB$5001,"&lt;&gt;")=0,"",SUMIFS(BD!$AB$3:$AB$5001,BD!$A$3:$A$5001,H$3,BD!$B$3:$B$5001,$A$66)))</f>
        <v/>
      </c>
      <c r="I82" s="216" t="str">
        <f>IF(I$3="","",IF(COUNTIFS(BD!$A$3:$A$5001,I$3,BD!$B$3:$B$5001,$A$66,BD!$AB$3:$AB$5001,"&lt;&gt;")=0,"",SUMIFS(BD!$AB$3:$AB$5001,BD!$A$3:$A$5001,I$3,BD!$B$3:$B$5001,$A$66)))</f>
        <v/>
      </c>
      <c r="J82" s="216" t="str">
        <f>IF(J$3="","",IF(COUNTIFS(BD!$A$3:$A$5001,J$3,BD!$B$3:$B$5001,$A$66,BD!$AB$3:$AB$5001,"&lt;&gt;")=0,"",SUMIFS(BD!$AB$3:$AB$5001,BD!$A$3:$A$5001,J$3,BD!$B$3:$B$5001,$A$66)))</f>
        <v/>
      </c>
      <c r="K82" s="216" t="str">
        <f>IF(K$3="","",IF(COUNTIFS(BD!$A$3:$A$5001,K$3,BD!$B$3:$B$5001,$A$66,BD!$AB$3:$AB$5001,"&lt;&gt;")=0,"",SUMIFS(BD!$AB$3:$AB$5001,BD!$A$3:$A$5001,K$3,BD!$B$3:$B$5001,$A$66)))</f>
        <v/>
      </c>
      <c r="L82" s="216" t="str">
        <f>IF(L$3="","",IF(COUNTIFS(BD!$A$3:$A$5001,L$3,BD!$B$3:$B$5001,$A$66,BD!$AB$3:$AB$5001,"&lt;&gt;")=0,"",SUMIFS(BD!$AB$3:$AB$5001,BD!$A$3:$A$5001,L$3,BD!$B$3:$B$5001,$A$66)))</f>
        <v/>
      </c>
      <c r="M82" s="216" t="str">
        <f>IF(M$3="","",IF(COUNTIFS(BD!$A$3:$A$5001,M$3,BD!$B$3:$B$5001,$A$66,BD!$AB$3:$AB$5001,"&lt;&gt;")=0,"",SUMIFS(BD!$AB$3:$AB$5001,BD!$A$3:$A$5001,M$3,BD!$B$3:$B$5001,$A$66)))</f>
        <v/>
      </c>
      <c r="N82" s="216" t="str">
        <f>IF(N$3="","",IF(COUNTIFS(BD!$A$3:$A$5001,N$3,BD!$B$3:$B$5001,$A$66,BD!$AB$3:$AB$5001,"&lt;&gt;")=0,"",SUMIFS(BD!$AB$3:$AB$5001,BD!$A$3:$A$5001,N$3,BD!$B$3:$B$5001,$A$66)))</f>
        <v/>
      </c>
      <c r="O82" s="216" t="str">
        <f>IF(O$3="","",IF(COUNTIFS(BD!$A$3:$A$5001,O$3,BD!$B$3:$B$5001,$A$66,BD!$AB$3:$AB$5001,"&lt;&gt;")=0,"",SUMIFS(BD!$AB$3:$AB$5001,BD!$A$3:$A$5001,O$3,BD!$B$3:$B$5001,$A$66)))</f>
        <v/>
      </c>
      <c r="P82" s="216" t="str">
        <f>IF(P$3="","",IF(COUNTIFS(BD!$A$3:$A$5001,P$3,BD!$B$3:$B$5001,$A$66,BD!$AB$3:$AB$5001,"&lt;&gt;")=0,"",SUMIFS(BD!$AB$3:$AB$5001,BD!$A$3:$A$5001,P$3,BD!$B$3:$B$5001,$A$66)))</f>
        <v/>
      </c>
      <c r="Q82" s="216" t="str">
        <f>IF(Q$3="","",IF(COUNTIFS(BD!$A$3:$A$5001,Q$3,BD!$B$3:$B$5001,$A$66,BD!$AB$3:$AB$5001,"&lt;&gt;")=0,"",SUMIFS(BD!$AB$3:$AB$5001,BD!$A$3:$A$5001,Q$3,BD!$B$3:$B$5001,$A$66)))</f>
        <v/>
      </c>
      <c r="R82" s="216" t="str">
        <f>IF(R$3="","",IF(COUNTIFS(BD!$A$3:$A$5001,R$3,BD!$B$3:$B$5001,$A$66,BD!$AB$3:$AB$5001,"&lt;&gt;")=0,"",SUMIFS(BD!$AB$3:$AB$5001,BD!$A$3:$A$5001,R$3,BD!$B$3:$B$5001,$A$66)))</f>
        <v/>
      </c>
      <c r="S82" s="216" t="str">
        <f>IF(S$3="","",IF(COUNTIFS(BD!$A$3:$A$5001,S$3,BD!$B$3:$B$5001,$A$66,BD!$AB$3:$AB$5001,"&lt;&gt;")=0,"",SUMIFS(BD!$AB$3:$AB$5001,BD!$A$3:$A$5001,S$3,BD!$B$3:$B$5001,$A$66)))</f>
        <v/>
      </c>
      <c r="T82" s="216" t="str">
        <f>IF(T$3="","",IF(COUNTIFS(BD!$A$3:$A$5001,T$3,BD!$B$3:$B$5001,$A$66,BD!$AB$3:$AB$5001,"&lt;&gt;")=0,"",SUMIFS(BD!$AB$3:$AB$5001,BD!$A$3:$A$5001,T$3,BD!$B$3:$B$5001,$A$66)))</f>
        <v/>
      </c>
      <c r="U82" s="216" t="str">
        <f>IF(U$3="","",IF(COUNTIFS(BD!$A$3:$A$5001,U$3,BD!$B$3:$B$5001,$A$66,BD!$AB$3:$AB$5001,"&lt;&gt;")=0,"",SUMIFS(BD!$AB$3:$AB$5001,BD!$A$3:$A$5001,U$3,BD!$B$3:$B$5001,$A$66)))</f>
        <v/>
      </c>
      <c r="V82" s="216" t="str">
        <f>IF(V$3="","",IF(COUNTIFS(BD!$A$3:$A$5001,V$3,BD!$B$3:$B$5001,$A$66,BD!$AB$3:$AB$5001,"&lt;&gt;")=0,"",SUMIFS(BD!$AB$3:$AB$5001,BD!$A$3:$A$5001,V$3,BD!$B$3:$B$5001,$A$66)))</f>
        <v/>
      </c>
      <c r="W82" s="216" t="str">
        <f>IF(W$3="","",IF(COUNTIFS(BD!$A$3:$A$5001,W$3,BD!$B$3:$B$5001,$A$66,BD!$AB$3:$AB$5001,"&lt;&gt;")=0,"",SUMIFS(BD!$AB$3:$AB$5001,BD!$A$3:$A$5001,W$3,BD!$B$3:$B$5001,$A$66)))</f>
        <v/>
      </c>
      <c r="X82" s="216" t="str">
        <f>IF(X$3="","",IF(COUNTIFS(BD!$A$3:$A$5001,X$3,BD!$B$3:$B$5001,$A$66,BD!$AB$3:$AB$5001,"&lt;&gt;")=0,"",SUMIFS(BD!$AB$3:$AB$5001,BD!$A$3:$A$5001,X$3,BD!$B$3:$B$5001,$A$66)))</f>
        <v/>
      </c>
      <c r="Y82" s="216" t="str">
        <f>IF(Y$3="","",IF(COUNTIFS(BD!$A$3:$A$5001,Y$3,BD!$B$3:$B$5001,$A$66,BD!$AB$3:$AB$5001,"&lt;&gt;")=0,"",SUMIFS(BD!$AB$3:$AB$5001,BD!$A$3:$A$5001,Y$3,BD!$B$3:$B$5001,$A$66)))</f>
        <v/>
      </c>
      <c r="Z82" s="216" t="str">
        <f>IF(Z$3="","",IF(COUNTIFS(BD!$A$3:$A$5001,Z$3,BD!$B$3:$B$5001,$A$66,BD!$AB$3:$AB$5001,"&lt;&gt;")=0,"",SUMIFS(BD!$AB$3:$AB$5001,BD!$A$3:$A$5001,Z$3,BD!$B$3:$B$5001,$A$66)))</f>
        <v/>
      </c>
      <c r="AA82" s="216" t="str">
        <f>IF(AA$3="","",IF(COUNTIFS(BD!$A$3:$A$5001,AA$3,BD!$B$3:$B$5001,$A$66,BD!$AB$3:$AB$5001,"&lt;&gt;")=0,"",SUMIFS(BD!$AB$3:$AB$5001,BD!$A$3:$A$5001,AA$3,BD!$B$3:$B$5001,$A$66)))</f>
        <v/>
      </c>
      <c r="AB82" s="216" t="str">
        <f>IF(AB$3="","",IF(COUNTIFS(BD!$A$3:$A$5001,AB$3,BD!$B$3:$B$5001,$A$66,BD!$AB$3:$AB$5001,"&lt;&gt;")=0,"",SUMIFS(BD!$AB$3:$AB$5001,BD!$A$3:$A$5001,AB$3,BD!$B$3:$B$5001,$A$66)))</f>
        <v/>
      </c>
      <c r="AC82" s="216" t="str">
        <f>IF(AC$3="","",IF(COUNTIFS(BD!$A$3:$A$5001,AC$3,BD!$B$3:$B$5001,$A$66,BD!$AB$3:$AB$5001,"&lt;&gt;")=0,"",SUMIFS(BD!$AB$3:$AB$5001,BD!$A$3:$A$5001,AC$3,BD!$B$3:$B$5001,$A$66)))</f>
        <v/>
      </c>
      <c r="AD82" s="216" t="str">
        <f>IF(AD$3="","",IF(COUNTIFS(BD!$A$3:$A$5001,AD$3,BD!$B$3:$B$5001,$A$66,BD!$AB$3:$AB$5001,"&lt;&gt;")=0,"",SUMIFS(BD!$AB$3:$AB$5001,BD!$A$3:$A$5001,AD$3,BD!$B$3:$B$5001,$A$66)))</f>
        <v/>
      </c>
      <c r="AE82" s="216" t="str">
        <f>IF(AE$3="","",IF(COUNTIFS(BD!$A$3:$A$5001,AE$3,BD!$B$3:$B$5001,$A$66,BD!$AB$3:$AB$5001,"&lt;&gt;")=0,"",SUMIFS(BD!$AB$3:$AB$5001,BD!$A$3:$A$5001,AE$3,BD!$B$3:$B$5001,$A$66)))</f>
        <v/>
      </c>
      <c r="AF82" s="216" t="str">
        <f>IF(AF$3="","",IF(COUNTIFS(BD!$A$3:$A$5001,AF$3,BD!$B$3:$B$5001,$A$66,BD!$AB$3:$AB$5001,"&lt;&gt;")=0,"",SUMIFS(BD!$AB$3:$AB$5001,BD!$A$3:$A$5001,AF$3,BD!$B$3:$B$5001,$A$66)))</f>
        <v/>
      </c>
      <c r="AG82" s="216" t="str">
        <f>IF(AG$3="","",IF(COUNTIFS(BD!$A$3:$A$5001,AG$3,BD!$B$3:$B$5001,$A$66,BD!$AB$3:$AB$5001,"&lt;&gt;")=0,"",SUMIFS(BD!$AB$3:$AB$5001,BD!$A$3:$A$5001,AG$3,BD!$B$3:$B$5001,$A$66)))</f>
        <v/>
      </c>
      <c r="AH82" s="216" t="str">
        <f>IF(AH$3="","",IF(COUNTIFS(BD!$A$3:$A$5001,AH$3,BD!$B$3:$B$5001,$A$66,BD!$AB$3:$AB$5001,"&lt;&gt;")=0,"",SUMIFS(BD!$AB$3:$AB$5001,BD!$A$3:$A$5001,AH$3,BD!$B$3:$B$5001,$A$66)))</f>
        <v/>
      </c>
      <c r="AI82" s="216" t="str">
        <f>IF(AI$3="","",IF(COUNTIFS(BD!$A$3:$A$5001,AI$3,BD!$B$3:$B$5001,$A$66,BD!$AB$3:$AB$5001,"&lt;&gt;")=0,"",SUMIFS(BD!$AB$3:$AB$5001,BD!$A$3:$A$5001,AI$3,BD!$B$3:$B$5001,$A$66)))</f>
        <v/>
      </c>
      <c r="AJ82" s="217" t="str">
        <f>IF(AJ$3="","",IF(COUNTIFS(BD!$A$3:$A$5001,AJ$3,BD!$B$3:$B$5001,$A$66,BD!$AB$3:$AB$5001,"&lt;&gt;")=0,"",SUMIFS(BD!$AB$3:$AB$5001,BD!$A$3:$A$5001,AJ$3,BD!$B$3:$B$5001,$A$66)))</f>
        <v/>
      </c>
      <c r="AK82" s="218" t="str">
        <f>IF(COUNT(F82:AJ82)=0,"",SUM(F82:AJ82))</f>
        <v/>
      </c>
    </row>
    <row r="83" ht="15.75" customHeight="1">
      <c r="A83" s="237"/>
      <c r="B83" s="234"/>
      <c r="C83" s="212" t="inlineStr">
        <is>
          <t xml:space="preserve">Férias</t>
        </is>
      </c>
      <c r="D83" s="213" t="str">
        <f>IFERROR(1/(1/INDEX(BD!$AK$50:$AU$50,MATCH($A$66,BD!$AK$22:$AU$22,0))),"")</f>
        <v/>
      </c>
      <c r="E83" s="214"/>
      <c r="F83" s="215" t="str">
        <f>IF(F$3="","",IF(COUNTIFS(BD!$A$3:$A$5001,F$3,BD!$B$3:$B$5001,$A$66,BD!$AC$3:$AC$5001,"&lt;&gt;")=0,"",SUMIFS(BD!$AC$3:$AC$5001,BD!$A$3:$A$5001,F$3,BD!$B$3:$B$5001,$A$66)))</f>
        <v/>
      </c>
      <c r="G83" s="216" t="str">
        <f>IF(G$3="","",IF(COUNTIFS(BD!$A$3:$A$5001,G$3,BD!$B$3:$B$5001,$A$66,BD!$AC$3:$AC$5001,"&lt;&gt;")=0,"",SUMIFS(BD!$AC$3:$AC$5001,BD!$A$3:$A$5001,G$3,BD!$B$3:$B$5001,$A$66)))</f>
        <v/>
      </c>
      <c r="H83" s="216" t="str">
        <f>IF(H$3="","",IF(COUNTIFS(BD!$A$3:$A$5001,H$3,BD!$B$3:$B$5001,$A$66,BD!$AC$3:$AC$5001,"&lt;&gt;")=0,"",SUMIFS(BD!$AC$3:$AC$5001,BD!$A$3:$A$5001,H$3,BD!$B$3:$B$5001,$A$66)))</f>
        <v/>
      </c>
      <c r="I83" s="216" t="str">
        <f>IF(I$3="","",IF(COUNTIFS(BD!$A$3:$A$5001,I$3,BD!$B$3:$B$5001,$A$66,BD!$AC$3:$AC$5001,"&lt;&gt;")=0,"",SUMIFS(BD!$AC$3:$AC$5001,BD!$A$3:$A$5001,I$3,BD!$B$3:$B$5001,$A$66)))</f>
        <v/>
      </c>
      <c r="J83" s="216" t="str">
        <f>IF(J$3="","",IF(COUNTIFS(BD!$A$3:$A$5001,J$3,BD!$B$3:$B$5001,$A$66,BD!$AC$3:$AC$5001,"&lt;&gt;")=0,"",SUMIFS(BD!$AC$3:$AC$5001,BD!$A$3:$A$5001,J$3,BD!$B$3:$B$5001,$A$66)))</f>
        <v/>
      </c>
      <c r="K83" s="216" t="str">
        <f>IF(K$3="","",IF(COUNTIFS(BD!$A$3:$A$5001,K$3,BD!$B$3:$B$5001,$A$66,BD!$AC$3:$AC$5001,"&lt;&gt;")=0,"",SUMIFS(BD!$AC$3:$AC$5001,BD!$A$3:$A$5001,K$3,BD!$B$3:$B$5001,$A$66)))</f>
        <v/>
      </c>
      <c r="L83" s="216" t="str">
        <f>IF(L$3="","",IF(COUNTIFS(BD!$A$3:$A$5001,L$3,BD!$B$3:$B$5001,$A$66,BD!$AC$3:$AC$5001,"&lt;&gt;")=0,"",SUMIFS(BD!$AC$3:$AC$5001,BD!$A$3:$A$5001,L$3,BD!$B$3:$B$5001,$A$66)))</f>
        <v/>
      </c>
      <c r="M83" s="216" t="str">
        <f>IF(M$3="","",IF(COUNTIFS(BD!$A$3:$A$5001,M$3,BD!$B$3:$B$5001,$A$66,BD!$AC$3:$AC$5001,"&lt;&gt;")=0,"",SUMIFS(BD!$AC$3:$AC$5001,BD!$A$3:$A$5001,M$3,BD!$B$3:$B$5001,$A$66)))</f>
        <v/>
      </c>
      <c r="N83" s="216" t="str">
        <f>IF(N$3="","",IF(COUNTIFS(BD!$A$3:$A$5001,N$3,BD!$B$3:$B$5001,$A$66,BD!$AC$3:$AC$5001,"&lt;&gt;")=0,"",SUMIFS(BD!$AC$3:$AC$5001,BD!$A$3:$A$5001,N$3,BD!$B$3:$B$5001,$A$66)))</f>
        <v/>
      </c>
      <c r="O83" s="216" t="str">
        <f>IF(O$3="","",IF(COUNTIFS(BD!$A$3:$A$5001,O$3,BD!$B$3:$B$5001,$A$66,BD!$AC$3:$AC$5001,"&lt;&gt;")=0,"",SUMIFS(BD!$AC$3:$AC$5001,BD!$A$3:$A$5001,O$3,BD!$B$3:$B$5001,$A$66)))</f>
        <v/>
      </c>
      <c r="P83" s="216" t="str">
        <f>IF(P$3="","",IF(COUNTIFS(BD!$A$3:$A$5001,P$3,BD!$B$3:$B$5001,$A$66,BD!$AC$3:$AC$5001,"&lt;&gt;")=0,"",SUMIFS(BD!$AC$3:$AC$5001,BD!$A$3:$A$5001,P$3,BD!$B$3:$B$5001,$A$66)))</f>
        <v/>
      </c>
      <c r="Q83" s="216" t="str">
        <f>IF(Q$3="","",IF(COUNTIFS(BD!$A$3:$A$5001,Q$3,BD!$B$3:$B$5001,$A$66,BD!$AC$3:$AC$5001,"&lt;&gt;")=0,"",SUMIFS(BD!$AC$3:$AC$5001,BD!$A$3:$A$5001,Q$3,BD!$B$3:$B$5001,$A$66)))</f>
        <v/>
      </c>
      <c r="R83" s="216" t="str">
        <f>IF(R$3="","",IF(COUNTIFS(BD!$A$3:$A$5001,R$3,BD!$B$3:$B$5001,$A$66,BD!$AC$3:$AC$5001,"&lt;&gt;")=0,"",SUMIFS(BD!$AC$3:$AC$5001,BD!$A$3:$A$5001,R$3,BD!$B$3:$B$5001,$A$66)))</f>
        <v/>
      </c>
      <c r="S83" s="216" t="str">
        <f>IF(S$3="","",IF(COUNTIFS(BD!$A$3:$A$5001,S$3,BD!$B$3:$B$5001,$A$66,BD!$AC$3:$AC$5001,"&lt;&gt;")=0,"",SUMIFS(BD!$AC$3:$AC$5001,BD!$A$3:$A$5001,S$3,BD!$B$3:$B$5001,$A$66)))</f>
        <v/>
      </c>
      <c r="T83" s="216" t="str">
        <f>IF(T$3="","",IF(COUNTIFS(BD!$A$3:$A$5001,T$3,BD!$B$3:$B$5001,$A$66,BD!$AC$3:$AC$5001,"&lt;&gt;")=0,"",SUMIFS(BD!$AC$3:$AC$5001,BD!$A$3:$A$5001,T$3,BD!$B$3:$B$5001,$A$66)))</f>
        <v/>
      </c>
      <c r="U83" s="216" t="str">
        <f>IF(U$3="","",IF(COUNTIFS(BD!$A$3:$A$5001,U$3,BD!$B$3:$B$5001,$A$66,BD!$AC$3:$AC$5001,"&lt;&gt;")=0,"",SUMIFS(BD!$AC$3:$AC$5001,BD!$A$3:$A$5001,U$3,BD!$B$3:$B$5001,$A$66)))</f>
        <v/>
      </c>
      <c r="V83" s="216" t="str">
        <f>IF(V$3="","",IF(COUNTIFS(BD!$A$3:$A$5001,V$3,BD!$B$3:$B$5001,$A$66,BD!$AC$3:$AC$5001,"&lt;&gt;")=0,"",SUMIFS(BD!$AC$3:$AC$5001,BD!$A$3:$A$5001,V$3,BD!$B$3:$B$5001,$A$66)))</f>
        <v/>
      </c>
      <c r="W83" s="216" t="str">
        <f>IF(W$3="","",IF(COUNTIFS(BD!$A$3:$A$5001,W$3,BD!$B$3:$B$5001,$A$66,BD!$AC$3:$AC$5001,"&lt;&gt;")=0,"",SUMIFS(BD!$AC$3:$AC$5001,BD!$A$3:$A$5001,W$3,BD!$B$3:$B$5001,$A$66)))</f>
        <v/>
      </c>
      <c r="X83" s="216" t="str">
        <f>IF(X$3="","",IF(COUNTIFS(BD!$A$3:$A$5001,X$3,BD!$B$3:$B$5001,$A$66,BD!$AC$3:$AC$5001,"&lt;&gt;")=0,"",SUMIFS(BD!$AC$3:$AC$5001,BD!$A$3:$A$5001,X$3,BD!$B$3:$B$5001,$A$66)))</f>
        <v/>
      </c>
      <c r="Y83" s="216" t="str">
        <f>IF(Y$3="","",IF(COUNTIFS(BD!$A$3:$A$5001,Y$3,BD!$B$3:$B$5001,$A$66,BD!$AC$3:$AC$5001,"&lt;&gt;")=0,"",SUMIFS(BD!$AC$3:$AC$5001,BD!$A$3:$A$5001,Y$3,BD!$B$3:$B$5001,$A$66)))</f>
        <v/>
      </c>
      <c r="Z83" s="216" t="str">
        <f>IF(Z$3="","",IF(COUNTIFS(BD!$A$3:$A$5001,Z$3,BD!$B$3:$B$5001,$A$66,BD!$AC$3:$AC$5001,"&lt;&gt;")=0,"",SUMIFS(BD!$AC$3:$AC$5001,BD!$A$3:$A$5001,Z$3,BD!$B$3:$B$5001,$A$66)))</f>
        <v/>
      </c>
      <c r="AA83" s="216" t="str">
        <f>IF(AA$3="","",IF(COUNTIFS(BD!$A$3:$A$5001,AA$3,BD!$B$3:$B$5001,$A$66,BD!$AC$3:$AC$5001,"&lt;&gt;")=0,"",SUMIFS(BD!$AC$3:$AC$5001,BD!$A$3:$A$5001,AA$3,BD!$B$3:$B$5001,$A$66)))</f>
        <v/>
      </c>
      <c r="AB83" s="216" t="str">
        <f>IF(AB$3="","",IF(COUNTIFS(BD!$A$3:$A$5001,AB$3,BD!$B$3:$B$5001,$A$66,BD!$AC$3:$AC$5001,"&lt;&gt;")=0,"",SUMIFS(BD!$AC$3:$AC$5001,BD!$A$3:$A$5001,AB$3,BD!$B$3:$B$5001,$A$66)))</f>
        <v/>
      </c>
      <c r="AC83" s="216" t="str">
        <f>IF(AC$3="","",IF(COUNTIFS(BD!$A$3:$A$5001,AC$3,BD!$B$3:$B$5001,$A$66,BD!$AC$3:$AC$5001,"&lt;&gt;")=0,"",SUMIFS(BD!$AC$3:$AC$5001,BD!$A$3:$A$5001,AC$3,BD!$B$3:$B$5001,$A$66)))</f>
        <v/>
      </c>
      <c r="AD83" s="216" t="str">
        <f>IF(AD$3="","",IF(COUNTIFS(BD!$A$3:$A$5001,AD$3,BD!$B$3:$B$5001,$A$66,BD!$AC$3:$AC$5001,"&lt;&gt;")=0,"",SUMIFS(BD!$AC$3:$AC$5001,BD!$A$3:$A$5001,AD$3,BD!$B$3:$B$5001,$A$66)))</f>
        <v/>
      </c>
      <c r="AE83" s="216" t="str">
        <f>IF(AE$3="","",IF(COUNTIFS(BD!$A$3:$A$5001,AE$3,BD!$B$3:$B$5001,$A$66,BD!$AC$3:$AC$5001,"&lt;&gt;")=0,"",SUMIFS(BD!$AC$3:$AC$5001,BD!$A$3:$A$5001,AE$3,BD!$B$3:$B$5001,$A$66)))</f>
        <v/>
      </c>
      <c r="AF83" s="216" t="str">
        <f>IF(AF$3="","",IF(COUNTIFS(BD!$A$3:$A$5001,AF$3,BD!$B$3:$B$5001,$A$66,BD!$AC$3:$AC$5001,"&lt;&gt;")=0,"",SUMIFS(BD!$AC$3:$AC$5001,BD!$A$3:$A$5001,AF$3,BD!$B$3:$B$5001,$A$66)))</f>
        <v/>
      </c>
      <c r="AG83" s="216" t="str">
        <f>IF(AG$3="","",IF(COUNTIFS(BD!$A$3:$A$5001,AG$3,BD!$B$3:$B$5001,$A$66,BD!$AC$3:$AC$5001,"&lt;&gt;")=0,"",SUMIFS(BD!$AC$3:$AC$5001,BD!$A$3:$A$5001,AG$3,BD!$B$3:$B$5001,$A$66)))</f>
        <v/>
      </c>
      <c r="AH83" s="216" t="str">
        <f>IF(AH$3="","",IF(COUNTIFS(BD!$A$3:$A$5001,AH$3,BD!$B$3:$B$5001,$A$66,BD!$AC$3:$AC$5001,"&lt;&gt;")=0,"",SUMIFS(BD!$AC$3:$AC$5001,BD!$A$3:$A$5001,AH$3,BD!$B$3:$B$5001,$A$66)))</f>
        <v/>
      </c>
      <c r="AI83" s="216" t="str">
        <f>IF(AI$3="","",IF(COUNTIFS(BD!$A$3:$A$5001,AI$3,BD!$B$3:$B$5001,$A$66,BD!$AC$3:$AC$5001,"&lt;&gt;")=0,"",SUMIFS(BD!$AC$3:$AC$5001,BD!$A$3:$A$5001,AI$3,BD!$B$3:$B$5001,$A$66)))</f>
        <v/>
      </c>
      <c r="AJ83" s="217" t="str">
        <f>IF(AJ$3="","",IF(COUNTIFS(BD!$A$3:$A$5001,AJ$3,BD!$B$3:$B$5001,$A$66,BD!$AC$3:$AC$5001,"&lt;&gt;")=0,"",SUMIFS(BD!$AC$3:$AC$5001,BD!$A$3:$A$5001,AJ$3,BD!$B$3:$B$5001,$A$66)))</f>
        <v/>
      </c>
      <c r="AK83" s="218" t="str">
        <f>IF(COUNT(F83:AJ83)=0,"",SUM(F83:AJ83))</f>
        <v/>
      </c>
    </row>
    <row r="84" ht="15.75" customHeight="1">
      <c r="A84" s="237"/>
      <c r="B84" s="234"/>
      <c r="C84" s="212" t="inlineStr">
        <is>
          <t xml:space="preserve">Desligamento</t>
        </is>
      </c>
      <c r="D84" s="213" t="str">
        <f>IFERROR(1/(1/INDEX(BD!$AK$51:$AU$51,MATCH($A$66,BD!$AK$22:$AU$22,0))),"")</f>
        <v/>
      </c>
      <c r="E84" s="214"/>
      <c r="F84" s="215" t="str">
        <f>IF(F$3="","",IF(COUNTIFS(BD!$A$3:$A$5001,F$3,BD!$B$3:$B$5001,$A$66,BD!$AD$3:$AD$5001,"&lt;&gt;")=0,"",SUMIFS(BD!$AD$3:$AD$5001,BD!$A$3:$A$5001,F$3,BD!$B$3:$B$5001,$A$66)))</f>
        <v/>
      </c>
      <c r="G84" s="216" t="str">
        <f>IF(G$3="","",IF(COUNTIFS(BD!$A$3:$A$5001,G$3,BD!$B$3:$B$5001,$A$66,BD!$AD$3:$AD$5001,"&lt;&gt;")=0,"",SUMIFS(BD!$AD$3:$AD$5001,BD!$A$3:$A$5001,G$3,BD!$B$3:$B$5001,$A$66)))</f>
        <v/>
      </c>
      <c r="H84" s="216" t="str">
        <f>IF(H$3="","",IF(COUNTIFS(BD!$A$3:$A$5001,H$3,BD!$B$3:$B$5001,$A$66,BD!$AD$3:$AD$5001,"&lt;&gt;")=0,"",SUMIFS(BD!$AD$3:$AD$5001,BD!$A$3:$A$5001,H$3,BD!$B$3:$B$5001,$A$66)))</f>
        <v/>
      </c>
      <c r="I84" s="216" t="str">
        <f>IF(I$3="","",IF(COUNTIFS(BD!$A$3:$A$5001,I$3,BD!$B$3:$B$5001,$A$66,BD!$AD$3:$AD$5001,"&lt;&gt;")=0,"",SUMIFS(BD!$AD$3:$AD$5001,BD!$A$3:$A$5001,I$3,BD!$B$3:$B$5001,$A$66)))</f>
        <v/>
      </c>
      <c r="J84" s="216" t="str">
        <f>IF(J$3="","",IF(COUNTIFS(BD!$A$3:$A$5001,J$3,BD!$B$3:$B$5001,$A$66,BD!$AD$3:$AD$5001,"&lt;&gt;")=0,"",SUMIFS(BD!$AD$3:$AD$5001,BD!$A$3:$A$5001,J$3,BD!$B$3:$B$5001,$A$66)))</f>
        <v/>
      </c>
      <c r="K84" s="216" t="str">
        <f>IF(K$3="","",IF(COUNTIFS(BD!$A$3:$A$5001,K$3,BD!$B$3:$B$5001,$A$66,BD!$AD$3:$AD$5001,"&lt;&gt;")=0,"",SUMIFS(BD!$AD$3:$AD$5001,BD!$A$3:$A$5001,K$3,BD!$B$3:$B$5001,$A$66)))</f>
        <v/>
      </c>
      <c r="L84" s="216" t="str">
        <f>IF(L$3="","",IF(COUNTIFS(BD!$A$3:$A$5001,L$3,BD!$B$3:$B$5001,$A$66,BD!$AD$3:$AD$5001,"&lt;&gt;")=0,"",SUMIFS(BD!$AD$3:$AD$5001,BD!$A$3:$A$5001,L$3,BD!$B$3:$B$5001,$A$66)))</f>
        <v/>
      </c>
      <c r="M84" s="216" t="str">
        <f>IF(M$3="","",IF(COUNTIFS(BD!$A$3:$A$5001,M$3,BD!$B$3:$B$5001,$A$66,BD!$AD$3:$AD$5001,"&lt;&gt;")=0,"",SUMIFS(BD!$AD$3:$AD$5001,BD!$A$3:$A$5001,M$3,BD!$B$3:$B$5001,$A$66)))</f>
        <v/>
      </c>
      <c r="N84" s="216" t="str">
        <f>IF(N$3="","",IF(COUNTIFS(BD!$A$3:$A$5001,N$3,BD!$B$3:$B$5001,$A$66,BD!$AD$3:$AD$5001,"&lt;&gt;")=0,"",SUMIFS(BD!$AD$3:$AD$5001,BD!$A$3:$A$5001,N$3,BD!$B$3:$B$5001,$A$66)))</f>
        <v/>
      </c>
      <c r="O84" s="216" t="str">
        <f>IF(O$3="","",IF(COUNTIFS(BD!$A$3:$A$5001,O$3,BD!$B$3:$B$5001,$A$66,BD!$AD$3:$AD$5001,"&lt;&gt;")=0,"",SUMIFS(BD!$AD$3:$AD$5001,BD!$A$3:$A$5001,O$3,BD!$B$3:$B$5001,$A$66)))</f>
        <v/>
      </c>
      <c r="P84" s="216" t="str">
        <f>IF(P$3="","",IF(COUNTIFS(BD!$A$3:$A$5001,P$3,BD!$B$3:$B$5001,$A$66,BD!$AD$3:$AD$5001,"&lt;&gt;")=0,"",SUMIFS(BD!$AD$3:$AD$5001,BD!$A$3:$A$5001,P$3,BD!$B$3:$B$5001,$A$66)))</f>
        <v/>
      </c>
      <c r="Q84" s="216" t="str">
        <f>IF(Q$3="","",IF(COUNTIFS(BD!$A$3:$A$5001,Q$3,BD!$B$3:$B$5001,$A$66,BD!$AD$3:$AD$5001,"&lt;&gt;")=0,"",SUMIFS(BD!$AD$3:$AD$5001,BD!$A$3:$A$5001,Q$3,BD!$B$3:$B$5001,$A$66)))</f>
        <v/>
      </c>
      <c r="R84" s="216" t="str">
        <f>IF(R$3="","",IF(COUNTIFS(BD!$A$3:$A$5001,R$3,BD!$B$3:$B$5001,$A$66,BD!$AD$3:$AD$5001,"&lt;&gt;")=0,"",SUMIFS(BD!$AD$3:$AD$5001,BD!$A$3:$A$5001,R$3,BD!$B$3:$B$5001,$A$66)))</f>
        <v/>
      </c>
      <c r="S84" s="216" t="str">
        <f>IF(S$3="","",IF(COUNTIFS(BD!$A$3:$A$5001,S$3,BD!$B$3:$B$5001,$A$66,BD!$AD$3:$AD$5001,"&lt;&gt;")=0,"",SUMIFS(BD!$AD$3:$AD$5001,BD!$A$3:$A$5001,S$3,BD!$B$3:$B$5001,$A$66)))</f>
        <v/>
      </c>
      <c r="T84" s="216" t="str">
        <f>IF(T$3="","",IF(COUNTIFS(BD!$A$3:$A$5001,T$3,BD!$B$3:$B$5001,$A$66,BD!$AD$3:$AD$5001,"&lt;&gt;")=0,"",SUMIFS(BD!$AD$3:$AD$5001,BD!$A$3:$A$5001,T$3,BD!$B$3:$B$5001,$A$66)))</f>
        <v/>
      </c>
      <c r="U84" s="216" t="str">
        <f>IF(U$3="","",IF(COUNTIFS(BD!$A$3:$A$5001,U$3,BD!$B$3:$B$5001,$A$66,BD!$AD$3:$AD$5001,"&lt;&gt;")=0,"",SUMIFS(BD!$AD$3:$AD$5001,BD!$A$3:$A$5001,U$3,BD!$B$3:$B$5001,$A$66)))</f>
        <v/>
      </c>
      <c r="V84" s="216" t="str">
        <f>IF(V$3="","",IF(COUNTIFS(BD!$A$3:$A$5001,V$3,BD!$B$3:$B$5001,$A$66,BD!$AD$3:$AD$5001,"&lt;&gt;")=0,"",SUMIFS(BD!$AD$3:$AD$5001,BD!$A$3:$A$5001,V$3,BD!$B$3:$B$5001,$A$66)))</f>
        <v/>
      </c>
      <c r="W84" s="216" t="str">
        <f>IF(W$3="","",IF(COUNTIFS(BD!$A$3:$A$5001,W$3,BD!$B$3:$B$5001,$A$66,BD!$AD$3:$AD$5001,"&lt;&gt;")=0,"",SUMIFS(BD!$AD$3:$AD$5001,BD!$A$3:$A$5001,W$3,BD!$B$3:$B$5001,$A$66)))</f>
        <v/>
      </c>
      <c r="X84" s="216" t="str">
        <f>IF(X$3="","",IF(COUNTIFS(BD!$A$3:$A$5001,X$3,BD!$B$3:$B$5001,$A$66,BD!$AD$3:$AD$5001,"&lt;&gt;")=0,"",SUMIFS(BD!$AD$3:$AD$5001,BD!$A$3:$A$5001,X$3,BD!$B$3:$B$5001,$A$66)))</f>
        <v/>
      </c>
      <c r="Y84" s="216" t="str">
        <f>IF(Y$3="","",IF(COUNTIFS(BD!$A$3:$A$5001,Y$3,BD!$B$3:$B$5001,$A$66,BD!$AD$3:$AD$5001,"&lt;&gt;")=0,"",SUMIFS(BD!$AD$3:$AD$5001,BD!$A$3:$A$5001,Y$3,BD!$B$3:$B$5001,$A$66)))</f>
        <v/>
      </c>
      <c r="Z84" s="216" t="str">
        <f>IF(Z$3="","",IF(COUNTIFS(BD!$A$3:$A$5001,Z$3,BD!$B$3:$B$5001,$A$66,BD!$AD$3:$AD$5001,"&lt;&gt;")=0,"",SUMIFS(BD!$AD$3:$AD$5001,BD!$A$3:$A$5001,Z$3,BD!$B$3:$B$5001,$A$66)))</f>
        <v/>
      </c>
      <c r="AA84" s="216" t="str">
        <f>IF(AA$3="","",IF(COUNTIFS(BD!$A$3:$A$5001,AA$3,BD!$B$3:$B$5001,$A$66,BD!$AD$3:$AD$5001,"&lt;&gt;")=0,"",SUMIFS(BD!$AD$3:$AD$5001,BD!$A$3:$A$5001,AA$3,BD!$B$3:$B$5001,$A$66)))</f>
        <v/>
      </c>
      <c r="AB84" s="216" t="str">
        <f>IF(AB$3="","",IF(COUNTIFS(BD!$A$3:$A$5001,AB$3,BD!$B$3:$B$5001,$A$66,BD!$AD$3:$AD$5001,"&lt;&gt;")=0,"",SUMIFS(BD!$AD$3:$AD$5001,BD!$A$3:$A$5001,AB$3,BD!$B$3:$B$5001,$A$66)))</f>
        <v/>
      </c>
      <c r="AC84" s="216" t="str">
        <f>IF(AC$3="","",IF(COUNTIFS(BD!$A$3:$A$5001,AC$3,BD!$B$3:$B$5001,$A$66,BD!$AD$3:$AD$5001,"&lt;&gt;")=0,"",SUMIFS(BD!$AD$3:$AD$5001,BD!$A$3:$A$5001,AC$3,BD!$B$3:$B$5001,$A$66)))</f>
        <v/>
      </c>
      <c r="AD84" s="216" t="str">
        <f>IF(AD$3="","",IF(COUNTIFS(BD!$A$3:$A$5001,AD$3,BD!$B$3:$B$5001,$A$66,BD!$AD$3:$AD$5001,"&lt;&gt;")=0,"",SUMIFS(BD!$AD$3:$AD$5001,BD!$A$3:$A$5001,AD$3,BD!$B$3:$B$5001,$A$66)))</f>
        <v/>
      </c>
      <c r="AE84" s="216" t="str">
        <f>IF(AE$3="","",IF(COUNTIFS(BD!$A$3:$A$5001,AE$3,BD!$B$3:$B$5001,$A$66,BD!$AD$3:$AD$5001,"&lt;&gt;")=0,"",SUMIFS(BD!$AD$3:$AD$5001,BD!$A$3:$A$5001,AE$3,BD!$B$3:$B$5001,$A$66)))</f>
        <v/>
      </c>
      <c r="AF84" s="216" t="str">
        <f>IF(AF$3="","",IF(COUNTIFS(BD!$A$3:$A$5001,AF$3,BD!$B$3:$B$5001,$A$66,BD!$AD$3:$AD$5001,"&lt;&gt;")=0,"",SUMIFS(BD!$AD$3:$AD$5001,BD!$A$3:$A$5001,AF$3,BD!$B$3:$B$5001,$A$66)))</f>
        <v/>
      </c>
      <c r="AG84" s="216" t="str">
        <f>IF(AG$3="","",IF(COUNTIFS(BD!$A$3:$A$5001,AG$3,BD!$B$3:$B$5001,$A$66,BD!$AD$3:$AD$5001,"&lt;&gt;")=0,"",SUMIFS(BD!$AD$3:$AD$5001,BD!$A$3:$A$5001,AG$3,BD!$B$3:$B$5001,$A$66)))</f>
        <v/>
      </c>
      <c r="AH84" s="216" t="str">
        <f>IF(AH$3="","",IF(COUNTIFS(BD!$A$3:$A$5001,AH$3,BD!$B$3:$B$5001,$A$66,BD!$AD$3:$AD$5001,"&lt;&gt;")=0,"",SUMIFS(BD!$AD$3:$AD$5001,BD!$A$3:$A$5001,AH$3,BD!$B$3:$B$5001,$A$66)))</f>
        <v/>
      </c>
      <c r="AI84" s="216" t="str">
        <f>IF(AI$3="","",IF(COUNTIFS(BD!$A$3:$A$5001,AI$3,BD!$B$3:$B$5001,$A$66,BD!$AD$3:$AD$5001,"&lt;&gt;")=0,"",SUMIFS(BD!$AD$3:$AD$5001,BD!$A$3:$A$5001,AI$3,BD!$B$3:$B$5001,$A$66)))</f>
        <v/>
      </c>
      <c r="AJ84" s="217" t="str">
        <f>IF(AJ$3="","",IF(COUNTIFS(BD!$A$3:$A$5001,AJ$3,BD!$B$3:$B$5001,$A$66,BD!$AD$3:$AD$5001,"&lt;&gt;")=0,"",SUMIFS(BD!$AD$3:$AD$5001,BD!$A$3:$A$5001,AJ$3,BD!$B$3:$B$5001,$A$66)))</f>
        <v/>
      </c>
      <c r="AK84" s="218" t="str">
        <f>IF(COUNT(F84:AJ84)=0,"",SUM(F84:AJ84))</f>
        <v/>
      </c>
    </row>
    <row r="85" ht="15.75" customHeight="1">
      <c r="A85" s="237"/>
      <c r="B85" s="234"/>
      <c r="C85" s="212" t="inlineStr">
        <is>
          <t xml:space="preserve">Desvios Comportamentais</t>
        </is>
      </c>
      <c r="D85" s="213" t="str">
        <f>IFERROR(1/(1/INDEX(BD!$AK$52:$AU$52,MATCH($A$66,BD!$AK$22:$AU$22,0))),"")</f>
        <v/>
      </c>
      <c r="E85" s="214"/>
      <c r="F85" s="215" t="str">
        <f>IF(F$3="","",IF(COUNTIFS(BD!$A$3:$A$5001,F$3,BD!$B$3:$B$5001,$A$66,BD!$AE$3:$AE$5001,"&lt;&gt;")=0,"",SUMIFS(BD!$AE$3:$AE$5001,BD!$A$3:$A$5001,F$3,BD!$B$3:$B$5001,$A$66)))</f>
        <v/>
      </c>
      <c r="G85" s="216" t="str">
        <f>IF(G$3="","",IF(COUNTIFS(BD!$A$3:$A$5001,G$3,BD!$B$3:$B$5001,$A$66,BD!$AE$3:$AE$5001,"&lt;&gt;")=0,"",SUMIFS(BD!$AE$3:$AE$5001,BD!$A$3:$A$5001,G$3,BD!$B$3:$B$5001,$A$66)))</f>
        <v/>
      </c>
      <c r="H85" s="216" t="str">
        <f>IF(H$3="","",IF(COUNTIFS(BD!$A$3:$A$5001,H$3,BD!$B$3:$B$5001,$A$66,BD!$AE$3:$AE$5001,"&lt;&gt;")=0,"",SUMIFS(BD!$AE$3:$AE$5001,BD!$A$3:$A$5001,H$3,BD!$B$3:$B$5001,$A$66)))</f>
        <v/>
      </c>
      <c r="I85" s="216" t="str">
        <f>IF(I$3="","",IF(COUNTIFS(BD!$A$3:$A$5001,I$3,BD!$B$3:$B$5001,$A$66,BD!$AE$3:$AE$5001,"&lt;&gt;")=0,"",SUMIFS(BD!$AE$3:$AE$5001,BD!$A$3:$A$5001,I$3,BD!$B$3:$B$5001,$A$66)))</f>
        <v/>
      </c>
      <c r="J85" s="216" t="str">
        <f>IF(J$3="","",IF(COUNTIFS(BD!$A$3:$A$5001,J$3,BD!$B$3:$B$5001,$A$66,BD!$AE$3:$AE$5001,"&lt;&gt;")=0,"",SUMIFS(BD!$AE$3:$AE$5001,BD!$A$3:$A$5001,J$3,BD!$B$3:$B$5001,$A$66)))</f>
        <v/>
      </c>
      <c r="K85" s="216" t="str">
        <f>IF(K$3="","",IF(COUNTIFS(BD!$A$3:$A$5001,K$3,BD!$B$3:$B$5001,$A$66,BD!$AE$3:$AE$5001,"&lt;&gt;")=0,"",SUMIFS(BD!$AE$3:$AE$5001,BD!$A$3:$A$5001,K$3,BD!$B$3:$B$5001,$A$66)))</f>
        <v/>
      </c>
      <c r="L85" s="216" t="str">
        <f>IF(L$3="","",IF(COUNTIFS(BD!$A$3:$A$5001,L$3,BD!$B$3:$B$5001,$A$66,BD!$AE$3:$AE$5001,"&lt;&gt;")=0,"",SUMIFS(BD!$AE$3:$AE$5001,BD!$A$3:$A$5001,L$3,BD!$B$3:$B$5001,$A$66)))</f>
        <v/>
      </c>
      <c r="M85" s="216" t="str">
        <f>IF(M$3="","",IF(COUNTIFS(BD!$A$3:$A$5001,M$3,BD!$B$3:$B$5001,$A$66,BD!$AE$3:$AE$5001,"&lt;&gt;")=0,"",SUMIFS(BD!$AE$3:$AE$5001,BD!$A$3:$A$5001,M$3,BD!$B$3:$B$5001,$A$66)))</f>
        <v/>
      </c>
      <c r="N85" s="216" t="str">
        <f>IF(N$3="","",IF(COUNTIFS(BD!$A$3:$A$5001,N$3,BD!$B$3:$B$5001,$A$66,BD!$AE$3:$AE$5001,"&lt;&gt;")=0,"",SUMIFS(BD!$AE$3:$AE$5001,BD!$A$3:$A$5001,N$3,BD!$B$3:$B$5001,$A$66)))</f>
        <v/>
      </c>
      <c r="O85" s="216" t="str">
        <f>IF(O$3="","",IF(COUNTIFS(BD!$A$3:$A$5001,O$3,BD!$B$3:$B$5001,$A$66,BD!$AE$3:$AE$5001,"&lt;&gt;")=0,"",SUMIFS(BD!$AE$3:$AE$5001,BD!$A$3:$A$5001,O$3,BD!$B$3:$B$5001,$A$66)))</f>
        <v/>
      </c>
      <c r="P85" s="216" t="str">
        <f>IF(P$3="","",IF(COUNTIFS(BD!$A$3:$A$5001,P$3,BD!$B$3:$B$5001,$A$66,BD!$AE$3:$AE$5001,"&lt;&gt;")=0,"",SUMIFS(BD!$AE$3:$AE$5001,BD!$A$3:$A$5001,P$3,BD!$B$3:$B$5001,$A$66)))</f>
        <v/>
      </c>
      <c r="Q85" s="216" t="str">
        <f>IF(Q$3="","",IF(COUNTIFS(BD!$A$3:$A$5001,Q$3,BD!$B$3:$B$5001,$A$66,BD!$AE$3:$AE$5001,"&lt;&gt;")=0,"",SUMIFS(BD!$AE$3:$AE$5001,BD!$A$3:$A$5001,Q$3,BD!$B$3:$B$5001,$A$66)))</f>
        <v/>
      </c>
      <c r="R85" s="216" t="str">
        <f>IF(R$3="","",IF(COUNTIFS(BD!$A$3:$A$5001,R$3,BD!$B$3:$B$5001,$A$66,BD!$AE$3:$AE$5001,"&lt;&gt;")=0,"",SUMIFS(BD!$AE$3:$AE$5001,BD!$A$3:$A$5001,R$3,BD!$B$3:$B$5001,$A$66)))</f>
        <v/>
      </c>
      <c r="S85" s="216" t="str">
        <f>IF(S$3="","",IF(COUNTIFS(BD!$A$3:$A$5001,S$3,BD!$B$3:$B$5001,$A$66,BD!$AE$3:$AE$5001,"&lt;&gt;")=0,"",SUMIFS(BD!$AE$3:$AE$5001,BD!$A$3:$A$5001,S$3,BD!$B$3:$B$5001,$A$66)))</f>
        <v/>
      </c>
      <c r="T85" s="216" t="str">
        <f>IF(T$3="","",IF(COUNTIFS(BD!$A$3:$A$5001,T$3,BD!$B$3:$B$5001,$A$66,BD!$AE$3:$AE$5001,"&lt;&gt;")=0,"",SUMIFS(BD!$AE$3:$AE$5001,BD!$A$3:$A$5001,T$3,BD!$B$3:$B$5001,$A$66)))</f>
        <v/>
      </c>
      <c r="U85" s="216" t="str">
        <f>IF(U$3="","",IF(COUNTIFS(BD!$A$3:$A$5001,U$3,BD!$B$3:$B$5001,$A$66,BD!$AE$3:$AE$5001,"&lt;&gt;")=0,"",SUMIFS(BD!$AE$3:$AE$5001,BD!$A$3:$A$5001,U$3,BD!$B$3:$B$5001,$A$66)))</f>
        <v/>
      </c>
      <c r="V85" s="216" t="str">
        <f>IF(V$3="","",IF(COUNTIFS(BD!$A$3:$A$5001,V$3,BD!$B$3:$B$5001,$A$66,BD!$AE$3:$AE$5001,"&lt;&gt;")=0,"",SUMIFS(BD!$AE$3:$AE$5001,BD!$A$3:$A$5001,V$3,BD!$B$3:$B$5001,$A$66)))</f>
        <v/>
      </c>
      <c r="W85" s="216" t="str">
        <f>IF(W$3="","",IF(COUNTIFS(BD!$A$3:$A$5001,W$3,BD!$B$3:$B$5001,$A$66,BD!$AE$3:$AE$5001,"&lt;&gt;")=0,"",SUMIFS(BD!$AE$3:$AE$5001,BD!$A$3:$A$5001,W$3,BD!$B$3:$B$5001,$A$66)))</f>
        <v/>
      </c>
      <c r="X85" s="216" t="str">
        <f>IF(X$3="","",IF(COUNTIFS(BD!$A$3:$A$5001,X$3,BD!$B$3:$B$5001,$A$66,BD!$AE$3:$AE$5001,"&lt;&gt;")=0,"",SUMIFS(BD!$AE$3:$AE$5001,BD!$A$3:$A$5001,X$3,BD!$B$3:$B$5001,$A$66)))</f>
        <v/>
      </c>
      <c r="Y85" s="216" t="str">
        <f>IF(Y$3="","",IF(COUNTIFS(BD!$A$3:$A$5001,Y$3,BD!$B$3:$B$5001,$A$66,BD!$AE$3:$AE$5001,"&lt;&gt;")=0,"",SUMIFS(BD!$AE$3:$AE$5001,BD!$A$3:$A$5001,Y$3,BD!$B$3:$B$5001,$A$66)))</f>
        <v/>
      </c>
      <c r="Z85" s="216" t="str">
        <f>IF(Z$3="","",IF(COUNTIFS(BD!$A$3:$A$5001,Z$3,BD!$B$3:$B$5001,$A$66,BD!$AE$3:$AE$5001,"&lt;&gt;")=0,"",SUMIFS(BD!$AE$3:$AE$5001,BD!$A$3:$A$5001,Z$3,BD!$B$3:$B$5001,$A$66)))</f>
        <v/>
      </c>
      <c r="AA85" s="216" t="str">
        <f>IF(AA$3="","",IF(COUNTIFS(BD!$A$3:$A$5001,AA$3,BD!$B$3:$B$5001,$A$66,BD!$AE$3:$AE$5001,"&lt;&gt;")=0,"",SUMIFS(BD!$AE$3:$AE$5001,BD!$A$3:$A$5001,AA$3,BD!$B$3:$B$5001,$A$66)))</f>
        <v/>
      </c>
      <c r="AB85" s="216" t="str">
        <f>IF(AB$3="","",IF(COUNTIFS(BD!$A$3:$A$5001,AB$3,BD!$B$3:$B$5001,$A$66,BD!$AE$3:$AE$5001,"&lt;&gt;")=0,"",SUMIFS(BD!$AE$3:$AE$5001,BD!$A$3:$A$5001,AB$3,BD!$B$3:$B$5001,$A$66)))</f>
        <v/>
      </c>
      <c r="AC85" s="216" t="str">
        <f>IF(AC$3="","",IF(COUNTIFS(BD!$A$3:$A$5001,AC$3,BD!$B$3:$B$5001,$A$66,BD!$AE$3:$AE$5001,"&lt;&gt;")=0,"",SUMIFS(BD!$AE$3:$AE$5001,BD!$A$3:$A$5001,AC$3,BD!$B$3:$B$5001,$A$66)))</f>
        <v/>
      </c>
      <c r="AD85" s="216" t="str">
        <f>IF(AD$3="","",IF(COUNTIFS(BD!$A$3:$A$5001,AD$3,BD!$B$3:$B$5001,$A$66,BD!$AE$3:$AE$5001,"&lt;&gt;")=0,"",SUMIFS(BD!$AE$3:$AE$5001,BD!$A$3:$A$5001,AD$3,BD!$B$3:$B$5001,$A$66)))</f>
        <v/>
      </c>
      <c r="AE85" s="216" t="str">
        <f>IF(AE$3="","",IF(COUNTIFS(BD!$A$3:$A$5001,AE$3,BD!$B$3:$B$5001,$A$66,BD!$AE$3:$AE$5001,"&lt;&gt;")=0,"",SUMIFS(BD!$AE$3:$AE$5001,BD!$A$3:$A$5001,AE$3,BD!$B$3:$B$5001,$A$66)))</f>
        <v/>
      </c>
      <c r="AF85" s="216" t="str">
        <f>IF(AF$3="","",IF(COUNTIFS(BD!$A$3:$A$5001,AF$3,BD!$B$3:$B$5001,$A$66,BD!$AE$3:$AE$5001,"&lt;&gt;")=0,"",SUMIFS(BD!$AE$3:$AE$5001,BD!$A$3:$A$5001,AF$3,BD!$B$3:$B$5001,$A$66)))</f>
        <v/>
      </c>
      <c r="AG85" s="216" t="str">
        <f>IF(AG$3="","",IF(COUNTIFS(BD!$A$3:$A$5001,AG$3,BD!$B$3:$B$5001,$A$66,BD!$AE$3:$AE$5001,"&lt;&gt;")=0,"",SUMIFS(BD!$AE$3:$AE$5001,BD!$A$3:$A$5001,AG$3,BD!$B$3:$B$5001,$A$66)))</f>
        <v/>
      </c>
      <c r="AH85" s="216" t="str">
        <f>IF(AH$3="","",IF(COUNTIFS(BD!$A$3:$A$5001,AH$3,BD!$B$3:$B$5001,$A$66,BD!$AE$3:$AE$5001,"&lt;&gt;")=0,"",SUMIFS(BD!$AE$3:$AE$5001,BD!$A$3:$A$5001,AH$3,BD!$B$3:$B$5001,$A$66)))</f>
        <v/>
      </c>
      <c r="AI85" s="216" t="str">
        <f>IF(AI$3="","",IF(COUNTIFS(BD!$A$3:$A$5001,AI$3,BD!$B$3:$B$5001,$A$66,BD!$AE$3:$AE$5001,"&lt;&gt;")=0,"",SUMIFS(BD!$AE$3:$AE$5001,BD!$A$3:$A$5001,AI$3,BD!$B$3:$B$5001,$A$66)))</f>
        <v/>
      </c>
      <c r="AJ85" s="217" t="str">
        <f>IF(AJ$3="","",IF(COUNTIFS(BD!$A$3:$A$5001,AJ$3,BD!$B$3:$B$5001,$A$66,BD!$AE$3:$AE$5001,"&lt;&gt;")=0,"",SUMIFS(BD!$AE$3:$AE$5001,BD!$A$3:$A$5001,AJ$3,BD!$B$3:$B$5001,$A$66)))</f>
        <v/>
      </c>
      <c r="AK85" s="218" t="str">
        <f>IF(COUNT(F85:AJ85)=0,"",SUM(F85:AJ85))</f>
        <v/>
      </c>
    </row>
    <row r="86" ht="15.75" customHeight="1">
      <c r="A86" s="237"/>
      <c r="B86" s="234"/>
      <c r="C86" s="212" t="inlineStr">
        <is>
          <t xml:space="preserve">Acidentes CAF</t>
        </is>
      </c>
      <c r="D86" s="213" t="str">
        <f>IFERROR(1/(1/INDEX(BD!$AK$53:$AU$53,MATCH($A$66,BD!$AK$22:$AU$22,0))),"")</f>
        <v/>
      </c>
      <c r="E86" s="214"/>
      <c r="F86" s="215" t="str">
        <f>IF(F$3="","",IF(COUNTIFS(BD!$A$3:$A$5001,F$3,BD!$B$3:$B$5001,$A$66,BD!$AF$3:$AF$5001,"&lt;&gt;")=0,"",SUMIFS(BD!$AF$3:$AF$5001,BD!$A$3:$A$5001,F$3,BD!$B$3:$B$5001,$A$66)))</f>
        <v/>
      </c>
      <c r="G86" s="216" t="str">
        <f>IF(G$3="","",IF(COUNTIFS(BD!$A$3:$A$5001,G$3,BD!$B$3:$B$5001,$A$66,BD!$AF$3:$AF$5001,"&lt;&gt;")=0,"",SUMIFS(BD!$AF$3:$AF$5001,BD!$A$3:$A$5001,G$3,BD!$B$3:$B$5001,$A$66)))</f>
        <v/>
      </c>
      <c r="H86" s="216" t="str">
        <f>IF(H$3="","",IF(COUNTIFS(BD!$A$3:$A$5001,H$3,BD!$B$3:$B$5001,$A$66,BD!$AF$3:$AF$5001,"&lt;&gt;")=0,"",SUMIFS(BD!$AF$3:$AF$5001,BD!$A$3:$A$5001,H$3,BD!$B$3:$B$5001,$A$66)))</f>
        <v/>
      </c>
      <c r="I86" s="216" t="str">
        <f>IF(I$3="","",IF(COUNTIFS(BD!$A$3:$A$5001,I$3,BD!$B$3:$B$5001,$A$66,BD!$AF$3:$AF$5001,"&lt;&gt;")=0,"",SUMIFS(BD!$AF$3:$AF$5001,BD!$A$3:$A$5001,I$3,BD!$B$3:$B$5001,$A$66)))</f>
        <v/>
      </c>
      <c r="J86" s="216" t="str">
        <f>IF(J$3="","",IF(COUNTIFS(BD!$A$3:$A$5001,J$3,BD!$B$3:$B$5001,$A$66,BD!$AF$3:$AF$5001,"&lt;&gt;")=0,"",SUMIFS(BD!$AF$3:$AF$5001,BD!$A$3:$A$5001,J$3,BD!$B$3:$B$5001,$A$66)))</f>
        <v/>
      </c>
      <c r="K86" s="216" t="str">
        <f>IF(K$3="","",IF(COUNTIFS(BD!$A$3:$A$5001,K$3,BD!$B$3:$B$5001,$A$66,BD!$AF$3:$AF$5001,"&lt;&gt;")=0,"",SUMIFS(BD!$AF$3:$AF$5001,BD!$A$3:$A$5001,K$3,BD!$B$3:$B$5001,$A$66)))</f>
        <v/>
      </c>
      <c r="L86" s="216" t="str">
        <f>IF(L$3="","",IF(COUNTIFS(BD!$A$3:$A$5001,L$3,BD!$B$3:$B$5001,$A$66,BD!$AF$3:$AF$5001,"&lt;&gt;")=0,"",SUMIFS(BD!$AF$3:$AF$5001,BD!$A$3:$A$5001,L$3,BD!$B$3:$B$5001,$A$66)))</f>
        <v/>
      </c>
      <c r="M86" s="216" t="str">
        <f>IF(M$3="","",IF(COUNTIFS(BD!$A$3:$A$5001,M$3,BD!$B$3:$B$5001,$A$66,BD!$AF$3:$AF$5001,"&lt;&gt;")=0,"",SUMIFS(BD!$AF$3:$AF$5001,BD!$A$3:$A$5001,M$3,BD!$B$3:$B$5001,$A$66)))</f>
        <v/>
      </c>
      <c r="N86" s="216" t="str">
        <f>IF(N$3="","",IF(COUNTIFS(BD!$A$3:$A$5001,N$3,BD!$B$3:$B$5001,$A$66,BD!$AF$3:$AF$5001,"&lt;&gt;")=0,"",SUMIFS(BD!$AF$3:$AF$5001,BD!$A$3:$A$5001,N$3,BD!$B$3:$B$5001,$A$66)))</f>
        <v/>
      </c>
      <c r="O86" s="216" t="str">
        <f>IF(O$3="","",IF(COUNTIFS(BD!$A$3:$A$5001,O$3,BD!$B$3:$B$5001,$A$66,BD!$AF$3:$AF$5001,"&lt;&gt;")=0,"",SUMIFS(BD!$AF$3:$AF$5001,BD!$A$3:$A$5001,O$3,BD!$B$3:$B$5001,$A$66)))</f>
        <v/>
      </c>
      <c r="P86" s="216" t="str">
        <f>IF(P$3="","",IF(COUNTIFS(BD!$A$3:$A$5001,P$3,BD!$B$3:$B$5001,$A$66,BD!$AF$3:$AF$5001,"&lt;&gt;")=0,"",SUMIFS(BD!$AF$3:$AF$5001,BD!$A$3:$A$5001,P$3,BD!$B$3:$B$5001,$A$66)))</f>
        <v/>
      </c>
      <c r="Q86" s="216" t="str">
        <f>IF(Q$3="","",IF(COUNTIFS(BD!$A$3:$A$5001,Q$3,BD!$B$3:$B$5001,$A$66,BD!$AF$3:$AF$5001,"&lt;&gt;")=0,"",SUMIFS(BD!$AF$3:$AF$5001,BD!$A$3:$A$5001,Q$3,BD!$B$3:$B$5001,$A$66)))</f>
        <v/>
      </c>
      <c r="R86" s="216" t="str">
        <f>IF(R$3="","",IF(COUNTIFS(BD!$A$3:$A$5001,R$3,BD!$B$3:$B$5001,$A$66,BD!$AF$3:$AF$5001,"&lt;&gt;")=0,"",SUMIFS(BD!$AF$3:$AF$5001,BD!$A$3:$A$5001,R$3,BD!$B$3:$B$5001,$A$66)))</f>
        <v/>
      </c>
      <c r="S86" s="216" t="str">
        <f>IF(S$3="","",IF(COUNTIFS(BD!$A$3:$A$5001,S$3,BD!$B$3:$B$5001,$A$66,BD!$AF$3:$AF$5001,"&lt;&gt;")=0,"",SUMIFS(BD!$AF$3:$AF$5001,BD!$A$3:$A$5001,S$3,BD!$B$3:$B$5001,$A$66)))</f>
        <v/>
      </c>
      <c r="T86" s="216" t="str">
        <f>IF(T$3="","",IF(COUNTIFS(BD!$A$3:$A$5001,T$3,BD!$B$3:$B$5001,$A$66,BD!$AF$3:$AF$5001,"&lt;&gt;")=0,"",SUMIFS(BD!$AF$3:$AF$5001,BD!$A$3:$A$5001,T$3,BD!$B$3:$B$5001,$A$66)))</f>
        <v/>
      </c>
      <c r="U86" s="216" t="str">
        <f>IF(U$3="","",IF(COUNTIFS(BD!$A$3:$A$5001,U$3,BD!$B$3:$B$5001,$A$66,BD!$AF$3:$AF$5001,"&lt;&gt;")=0,"",SUMIFS(BD!$AF$3:$AF$5001,BD!$A$3:$A$5001,U$3,BD!$B$3:$B$5001,$A$66)))</f>
        <v/>
      </c>
      <c r="V86" s="216" t="str">
        <f>IF(V$3="","",IF(COUNTIFS(BD!$A$3:$A$5001,V$3,BD!$B$3:$B$5001,$A$66,BD!$AF$3:$AF$5001,"&lt;&gt;")=0,"",SUMIFS(BD!$AF$3:$AF$5001,BD!$A$3:$A$5001,V$3,BD!$B$3:$B$5001,$A$66)))</f>
        <v/>
      </c>
      <c r="W86" s="216" t="str">
        <f>IF(W$3="","",IF(COUNTIFS(BD!$A$3:$A$5001,W$3,BD!$B$3:$B$5001,$A$66,BD!$AF$3:$AF$5001,"&lt;&gt;")=0,"",SUMIFS(BD!$AF$3:$AF$5001,BD!$A$3:$A$5001,W$3,BD!$B$3:$B$5001,$A$66)))</f>
        <v/>
      </c>
      <c r="X86" s="216" t="str">
        <f>IF(X$3="","",IF(COUNTIFS(BD!$A$3:$A$5001,X$3,BD!$B$3:$B$5001,$A$66,BD!$AF$3:$AF$5001,"&lt;&gt;")=0,"",SUMIFS(BD!$AF$3:$AF$5001,BD!$A$3:$A$5001,X$3,BD!$B$3:$B$5001,$A$66)))</f>
        <v/>
      </c>
      <c r="Y86" s="216" t="str">
        <f>IF(Y$3="","",IF(COUNTIFS(BD!$A$3:$A$5001,Y$3,BD!$B$3:$B$5001,$A$66,BD!$AF$3:$AF$5001,"&lt;&gt;")=0,"",SUMIFS(BD!$AF$3:$AF$5001,BD!$A$3:$A$5001,Y$3,BD!$B$3:$B$5001,$A$66)))</f>
        <v/>
      </c>
      <c r="Z86" s="216" t="str">
        <f>IF(Z$3="","",IF(COUNTIFS(BD!$A$3:$A$5001,Z$3,BD!$B$3:$B$5001,$A$66,BD!$AF$3:$AF$5001,"&lt;&gt;")=0,"",SUMIFS(BD!$AF$3:$AF$5001,BD!$A$3:$A$5001,Z$3,BD!$B$3:$B$5001,$A$66)))</f>
        <v/>
      </c>
      <c r="AA86" s="216" t="str">
        <f>IF(AA$3="","",IF(COUNTIFS(BD!$A$3:$A$5001,AA$3,BD!$B$3:$B$5001,$A$66,BD!$AF$3:$AF$5001,"&lt;&gt;")=0,"",SUMIFS(BD!$AF$3:$AF$5001,BD!$A$3:$A$5001,AA$3,BD!$B$3:$B$5001,$A$66)))</f>
        <v/>
      </c>
      <c r="AB86" s="216" t="str">
        <f>IF(AB$3="","",IF(COUNTIFS(BD!$A$3:$A$5001,AB$3,BD!$B$3:$B$5001,$A$66,BD!$AF$3:$AF$5001,"&lt;&gt;")=0,"",SUMIFS(BD!$AF$3:$AF$5001,BD!$A$3:$A$5001,AB$3,BD!$B$3:$B$5001,$A$66)))</f>
        <v/>
      </c>
      <c r="AC86" s="216" t="str">
        <f>IF(AC$3="","",IF(COUNTIFS(BD!$A$3:$A$5001,AC$3,BD!$B$3:$B$5001,$A$66,BD!$AF$3:$AF$5001,"&lt;&gt;")=0,"",SUMIFS(BD!$AF$3:$AF$5001,BD!$A$3:$A$5001,AC$3,BD!$B$3:$B$5001,$A$66)))</f>
        <v/>
      </c>
      <c r="AD86" s="216" t="str">
        <f>IF(AD$3="","",IF(COUNTIFS(BD!$A$3:$A$5001,AD$3,BD!$B$3:$B$5001,$A$66,BD!$AF$3:$AF$5001,"&lt;&gt;")=0,"",SUMIFS(BD!$AF$3:$AF$5001,BD!$A$3:$A$5001,AD$3,BD!$B$3:$B$5001,$A$66)))</f>
        <v/>
      </c>
      <c r="AE86" s="216" t="str">
        <f>IF(AE$3="","",IF(COUNTIFS(BD!$A$3:$A$5001,AE$3,BD!$B$3:$B$5001,$A$66,BD!$AF$3:$AF$5001,"&lt;&gt;")=0,"",SUMIFS(BD!$AF$3:$AF$5001,BD!$A$3:$A$5001,AE$3,BD!$B$3:$B$5001,$A$66)))</f>
        <v/>
      </c>
      <c r="AF86" s="216" t="str">
        <f>IF(AF$3="","",IF(COUNTIFS(BD!$A$3:$A$5001,AF$3,BD!$B$3:$B$5001,$A$66,BD!$AF$3:$AF$5001,"&lt;&gt;")=0,"",SUMIFS(BD!$AF$3:$AF$5001,BD!$A$3:$A$5001,AF$3,BD!$B$3:$B$5001,$A$66)))</f>
        <v/>
      </c>
      <c r="AG86" s="216" t="str">
        <f>IF(AG$3="","",IF(COUNTIFS(BD!$A$3:$A$5001,AG$3,BD!$B$3:$B$5001,$A$66,BD!$AF$3:$AF$5001,"&lt;&gt;")=0,"",SUMIFS(BD!$AF$3:$AF$5001,BD!$A$3:$A$5001,AG$3,BD!$B$3:$B$5001,$A$66)))</f>
        <v/>
      </c>
      <c r="AH86" s="216" t="str">
        <f>IF(AH$3="","",IF(COUNTIFS(BD!$A$3:$A$5001,AH$3,BD!$B$3:$B$5001,$A$66,BD!$AF$3:$AF$5001,"&lt;&gt;")=0,"",SUMIFS(BD!$AF$3:$AF$5001,BD!$A$3:$A$5001,AH$3,BD!$B$3:$B$5001,$A$66)))</f>
        <v/>
      </c>
      <c r="AI86" s="216" t="str">
        <f>IF(AI$3="","",IF(COUNTIFS(BD!$A$3:$A$5001,AI$3,BD!$B$3:$B$5001,$A$66,BD!$AF$3:$AF$5001,"&lt;&gt;")=0,"",SUMIFS(BD!$AF$3:$AF$5001,BD!$A$3:$A$5001,AI$3,BD!$B$3:$B$5001,$A$66)))</f>
        <v/>
      </c>
      <c r="AJ86" s="217" t="str">
        <f>IF(AJ$3="","",IF(COUNTIFS(BD!$A$3:$A$5001,AJ$3,BD!$B$3:$B$5001,$A$66,BD!$AF$3:$AF$5001,"&lt;&gt;")=0,"",SUMIFS(BD!$AF$3:$AF$5001,BD!$A$3:$A$5001,AJ$3,BD!$B$3:$B$5001,$A$66)))</f>
        <v/>
      </c>
      <c r="AK86" s="218" t="str">
        <f>IF(COUNT(F86:AJ86)=0,"",SUM(F86:AJ86))</f>
        <v/>
      </c>
    </row>
    <row r="87" ht="15.75" customHeight="1">
      <c r="A87" s="238"/>
      <c r="B87" s="235"/>
      <c r="C87" s="219" t="inlineStr">
        <is>
          <t xml:space="preserve">Acidentes SAF</t>
        </is>
      </c>
      <c r="D87" s="220" t="str">
        <f>IFERROR(1/(1/INDEX(BD!$AK$54:$AU$54,MATCH($A$66,BD!$AK$22:$AU$22,0))),"")</f>
        <v/>
      </c>
      <c r="E87" s="221"/>
      <c r="F87" s="222" t="str">
        <f>IF(F$3="","",IF(COUNTIFS(BD!$A$3:$A$5001,F$3,BD!$B$3:$B$5001,$A$66,BD!$AG$3:$AG$5001,"&lt;&gt;")=0,"",SUMIFS(BD!$AG$3:$AG$5001,BD!$A$3:$A$5001,F$3,BD!$B$3:$B$5001,$A$66)))</f>
        <v/>
      </c>
      <c r="G87" s="223" t="str">
        <f>IF(G$3="","",IF(COUNTIFS(BD!$A$3:$A$5001,G$3,BD!$B$3:$B$5001,$A$66,BD!$AG$3:$AG$5001,"&lt;&gt;")=0,"",SUMIFS(BD!$AG$3:$AG$5001,BD!$A$3:$A$5001,G$3,BD!$B$3:$B$5001,$A$66)))</f>
        <v/>
      </c>
      <c r="H87" s="223" t="str">
        <f>IF(H$3="","",IF(COUNTIFS(BD!$A$3:$A$5001,H$3,BD!$B$3:$B$5001,$A$66,BD!$AG$3:$AG$5001,"&lt;&gt;")=0,"",SUMIFS(BD!$AG$3:$AG$5001,BD!$A$3:$A$5001,H$3,BD!$B$3:$B$5001,$A$66)))</f>
        <v/>
      </c>
      <c r="I87" s="223" t="str">
        <f>IF(I$3="","",IF(COUNTIFS(BD!$A$3:$A$5001,I$3,BD!$B$3:$B$5001,$A$66,BD!$AG$3:$AG$5001,"&lt;&gt;")=0,"",SUMIFS(BD!$AG$3:$AG$5001,BD!$A$3:$A$5001,I$3,BD!$B$3:$B$5001,$A$66)))</f>
        <v/>
      </c>
      <c r="J87" s="223" t="str">
        <f>IF(J$3="","",IF(COUNTIFS(BD!$A$3:$A$5001,J$3,BD!$B$3:$B$5001,$A$66,BD!$AG$3:$AG$5001,"&lt;&gt;")=0,"",SUMIFS(BD!$AG$3:$AG$5001,BD!$A$3:$A$5001,J$3,BD!$B$3:$B$5001,$A$66)))</f>
        <v/>
      </c>
      <c r="K87" s="223" t="str">
        <f>IF(K$3="","",IF(COUNTIFS(BD!$A$3:$A$5001,K$3,BD!$B$3:$B$5001,$A$66,BD!$AG$3:$AG$5001,"&lt;&gt;")=0,"",SUMIFS(BD!$AG$3:$AG$5001,BD!$A$3:$A$5001,K$3,BD!$B$3:$B$5001,$A$66)))</f>
        <v/>
      </c>
      <c r="L87" s="223" t="str">
        <f>IF(L$3="","",IF(COUNTIFS(BD!$A$3:$A$5001,L$3,BD!$B$3:$B$5001,$A$66,BD!$AG$3:$AG$5001,"&lt;&gt;")=0,"",SUMIFS(BD!$AG$3:$AG$5001,BD!$A$3:$A$5001,L$3,BD!$B$3:$B$5001,$A$66)))</f>
        <v/>
      </c>
      <c r="M87" s="223" t="str">
        <f>IF(M$3="","",IF(COUNTIFS(BD!$A$3:$A$5001,M$3,BD!$B$3:$B$5001,$A$66,BD!$AG$3:$AG$5001,"&lt;&gt;")=0,"",SUMIFS(BD!$AG$3:$AG$5001,BD!$A$3:$A$5001,M$3,BD!$B$3:$B$5001,$A$66)))</f>
        <v/>
      </c>
      <c r="N87" s="223" t="str">
        <f>IF(N$3="","",IF(COUNTIFS(BD!$A$3:$A$5001,N$3,BD!$B$3:$B$5001,$A$66,BD!$AG$3:$AG$5001,"&lt;&gt;")=0,"",SUMIFS(BD!$AG$3:$AG$5001,BD!$A$3:$A$5001,N$3,BD!$B$3:$B$5001,$A$66)))</f>
        <v/>
      </c>
      <c r="O87" s="223" t="str">
        <f>IF(O$3="","",IF(COUNTIFS(BD!$A$3:$A$5001,O$3,BD!$B$3:$B$5001,$A$66,BD!$AG$3:$AG$5001,"&lt;&gt;")=0,"",SUMIFS(BD!$AG$3:$AG$5001,BD!$A$3:$A$5001,O$3,BD!$B$3:$B$5001,$A$66)))</f>
        <v/>
      </c>
      <c r="P87" s="223" t="str">
        <f>IF(P$3="","",IF(COUNTIFS(BD!$A$3:$A$5001,P$3,BD!$B$3:$B$5001,$A$66,BD!$AG$3:$AG$5001,"&lt;&gt;")=0,"",SUMIFS(BD!$AG$3:$AG$5001,BD!$A$3:$A$5001,P$3,BD!$B$3:$B$5001,$A$66)))</f>
        <v/>
      </c>
      <c r="Q87" s="223" t="str">
        <f>IF(Q$3="","",IF(COUNTIFS(BD!$A$3:$A$5001,Q$3,BD!$B$3:$B$5001,$A$66,BD!$AG$3:$AG$5001,"&lt;&gt;")=0,"",SUMIFS(BD!$AG$3:$AG$5001,BD!$A$3:$A$5001,Q$3,BD!$B$3:$B$5001,$A$66)))</f>
        <v/>
      </c>
      <c r="R87" s="223" t="str">
        <f>IF(R$3="","",IF(COUNTIFS(BD!$A$3:$A$5001,R$3,BD!$B$3:$B$5001,$A$66,BD!$AG$3:$AG$5001,"&lt;&gt;")=0,"",SUMIFS(BD!$AG$3:$AG$5001,BD!$A$3:$A$5001,R$3,BD!$B$3:$B$5001,$A$66)))</f>
        <v/>
      </c>
      <c r="S87" s="223" t="str">
        <f>IF(S$3="","",IF(COUNTIFS(BD!$A$3:$A$5001,S$3,BD!$B$3:$B$5001,$A$66,BD!$AG$3:$AG$5001,"&lt;&gt;")=0,"",SUMIFS(BD!$AG$3:$AG$5001,BD!$A$3:$A$5001,S$3,BD!$B$3:$B$5001,$A$66)))</f>
        <v/>
      </c>
      <c r="T87" s="223" t="str">
        <f>IF(T$3="","",IF(COUNTIFS(BD!$A$3:$A$5001,T$3,BD!$B$3:$B$5001,$A$66,BD!$AG$3:$AG$5001,"&lt;&gt;")=0,"",SUMIFS(BD!$AG$3:$AG$5001,BD!$A$3:$A$5001,T$3,BD!$B$3:$B$5001,$A$66)))</f>
        <v/>
      </c>
      <c r="U87" s="223" t="str">
        <f>IF(U$3="","",IF(COUNTIFS(BD!$A$3:$A$5001,U$3,BD!$B$3:$B$5001,$A$66,BD!$AG$3:$AG$5001,"&lt;&gt;")=0,"",SUMIFS(BD!$AG$3:$AG$5001,BD!$A$3:$A$5001,U$3,BD!$B$3:$B$5001,$A$66)))</f>
        <v/>
      </c>
      <c r="V87" s="223" t="str">
        <f>IF(V$3="","",IF(COUNTIFS(BD!$A$3:$A$5001,V$3,BD!$B$3:$B$5001,$A$66,BD!$AG$3:$AG$5001,"&lt;&gt;")=0,"",SUMIFS(BD!$AG$3:$AG$5001,BD!$A$3:$A$5001,V$3,BD!$B$3:$B$5001,$A$66)))</f>
        <v/>
      </c>
      <c r="W87" s="223" t="str">
        <f>IF(W$3="","",IF(COUNTIFS(BD!$A$3:$A$5001,W$3,BD!$B$3:$B$5001,$A$66,BD!$AG$3:$AG$5001,"&lt;&gt;")=0,"",SUMIFS(BD!$AG$3:$AG$5001,BD!$A$3:$A$5001,W$3,BD!$B$3:$B$5001,$A$66)))</f>
        <v/>
      </c>
      <c r="X87" s="223" t="str">
        <f>IF(X$3="","",IF(COUNTIFS(BD!$A$3:$A$5001,X$3,BD!$B$3:$B$5001,$A$66,BD!$AG$3:$AG$5001,"&lt;&gt;")=0,"",SUMIFS(BD!$AG$3:$AG$5001,BD!$A$3:$A$5001,X$3,BD!$B$3:$B$5001,$A$66)))</f>
        <v/>
      </c>
      <c r="Y87" s="223" t="str">
        <f>IF(Y$3="","",IF(COUNTIFS(BD!$A$3:$A$5001,Y$3,BD!$B$3:$B$5001,$A$66,BD!$AG$3:$AG$5001,"&lt;&gt;")=0,"",SUMIFS(BD!$AG$3:$AG$5001,BD!$A$3:$A$5001,Y$3,BD!$B$3:$B$5001,$A$66)))</f>
        <v/>
      </c>
      <c r="Z87" s="223" t="str">
        <f>IF(Z$3="","",IF(COUNTIFS(BD!$A$3:$A$5001,Z$3,BD!$B$3:$B$5001,$A$66,BD!$AG$3:$AG$5001,"&lt;&gt;")=0,"",SUMIFS(BD!$AG$3:$AG$5001,BD!$A$3:$A$5001,Z$3,BD!$B$3:$B$5001,$A$66)))</f>
        <v/>
      </c>
      <c r="AA87" s="223" t="str">
        <f>IF(AA$3="","",IF(COUNTIFS(BD!$A$3:$A$5001,AA$3,BD!$B$3:$B$5001,$A$66,BD!$AG$3:$AG$5001,"&lt;&gt;")=0,"",SUMIFS(BD!$AG$3:$AG$5001,BD!$A$3:$A$5001,AA$3,BD!$B$3:$B$5001,$A$66)))</f>
        <v/>
      </c>
      <c r="AB87" s="223" t="str">
        <f>IF(AB$3="","",IF(COUNTIFS(BD!$A$3:$A$5001,AB$3,BD!$B$3:$B$5001,$A$66,BD!$AG$3:$AG$5001,"&lt;&gt;")=0,"",SUMIFS(BD!$AG$3:$AG$5001,BD!$A$3:$A$5001,AB$3,BD!$B$3:$B$5001,$A$66)))</f>
        <v/>
      </c>
      <c r="AC87" s="223" t="str">
        <f>IF(AC$3="","",IF(COUNTIFS(BD!$A$3:$A$5001,AC$3,BD!$B$3:$B$5001,$A$66,BD!$AG$3:$AG$5001,"&lt;&gt;")=0,"",SUMIFS(BD!$AG$3:$AG$5001,BD!$A$3:$A$5001,AC$3,BD!$B$3:$B$5001,$A$66)))</f>
        <v/>
      </c>
      <c r="AD87" s="223" t="str">
        <f>IF(AD$3="","",IF(COUNTIFS(BD!$A$3:$A$5001,AD$3,BD!$B$3:$B$5001,$A$66,BD!$AG$3:$AG$5001,"&lt;&gt;")=0,"",SUMIFS(BD!$AG$3:$AG$5001,BD!$A$3:$A$5001,AD$3,BD!$B$3:$B$5001,$A$66)))</f>
        <v/>
      </c>
      <c r="AE87" s="223" t="str">
        <f>IF(AE$3="","",IF(COUNTIFS(BD!$A$3:$A$5001,AE$3,BD!$B$3:$B$5001,$A$66,BD!$AG$3:$AG$5001,"&lt;&gt;")=0,"",SUMIFS(BD!$AG$3:$AG$5001,BD!$A$3:$A$5001,AE$3,BD!$B$3:$B$5001,$A$66)))</f>
        <v/>
      </c>
      <c r="AF87" s="223" t="str">
        <f>IF(AF$3="","",IF(COUNTIFS(BD!$A$3:$A$5001,AF$3,BD!$B$3:$B$5001,$A$66,BD!$AG$3:$AG$5001,"&lt;&gt;")=0,"",SUMIFS(BD!$AG$3:$AG$5001,BD!$A$3:$A$5001,AF$3,BD!$B$3:$B$5001,$A$66)))</f>
        <v/>
      </c>
      <c r="AG87" s="223" t="str">
        <f>IF(AG$3="","",IF(COUNTIFS(BD!$A$3:$A$5001,AG$3,BD!$B$3:$B$5001,$A$66,BD!$AG$3:$AG$5001,"&lt;&gt;")=0,"",SUMIFS(BD!$AG$3:$AG$5001,BD!$A$3:$A$5001,AG$3,BD!$B$3:$B$5001,$A$66)))</f>
        <v/>
      </c>
      <c r="AH87" s="223" t="str">
        <f>IF(AH$3="","",IF(COUNTIFS(BD!$A$3:$A$5001,AH$3,BD!$B$3:$B$5001,$A$66,BD!$AG$3:$AG$5001,"&lt;&gt;")=0,"",SUMIFS(BD!$AG$3:$AG$5001,BD!$A$3:$A$5001,AH$3,BD!$B$3:$B$5001,$A$66)))</f>
        <v/>
      </c>
      <c r="AI87" s="223" t="str">
        <f>IF(AI$3="","",IF(COUNTIFS(BD!$A$3:$A$5001,AI$3,BD!$B$3:$B$5001,$A$66,BD!$AG$3:$AG$5001,"&lt;&gt;")=0,"",SUMIFS(BD!$AG$3:$AG$5001,BD!$A$3:$A$5001,AI$3,BD!$B$3:$B$5001,$A$66)))</f>
        <v/>
      </c>
      <c r="AJ87" s="224" t="str">
        <f>IF(AJ$3="","",IF(COUNTIFS(BD!$A$3:$A$5001,AJ$3,BD!$B$3:$B$5001,$A$66,BD!$AG$3:$AG$5001,"&lt;&gt;")=0,"",SUMIFS(BD!$AG$3:$AG$5001,BD!$A$3:$A$5001,AJ$3,BD!$B$3:$B$5001,$A$66)))</f>
        <v/>
      </c>
      <c r="AK87" s="220" t="str">
        <f>IF(COUNT(F87:AJ87)=0,"",SUM(F87:AJ87))</f>
        <v/>
      </c>
    </row>
    <row r="89" ht="15.75" customHeight="1">
      <c r="A89" s="236" t="inlineStr">
        <is>
          <t xml:space="preserve">Confiance</t>
        </is>
      </c>
      <c r="B89" s="225" t="inlineStr">
        <is>
          <t xml:space="preserve">IN</t>
        </is>
      </c>
      <c r="C89" s="148" t="inlineStr">
        <is>
          <t xml:space="preserve">Veículos Recebidos</t>
        </is>
      </c>
      <c r="D89" s="149" t="str">
        <f>IFERROR(1/(1/INDEX(BD!$AK$23:$AU$23,MATCH($A$89,BD!$AK$22:$AU$22,0))),"")</f>
        <v/>
      </c>
      <c r="E89" s="150"/>
      <c r="F89" s="151" t="str">
        <f>IF(F$3="","",IF(COUNTIFS(BD!$A$3:$A$5001,F$3,BD!$B$3:$B$5001,$A$89,BD!$C$3:$C$5001,"&lt;&gt;")=0,"",SUMIFS(BD!$C$3:$C$5001,BD!$A$3:$A$5001,F$3,BD!$B$3:$B$5001,$A$89)))</f>
        <v/>
      </c>
      <c r="G89" s="152" t="str">
        <f>IF(G$3="","",IF(COUNTIFS(BD!$A$3:$A$5001,G$3,BD!$B$3:$B$5001,$A$89,BD!$C$3:$C$5001,"&lt;&gt;")=0,"",SUMIFS(BD!$C$3:$C$5001,BD!$A$3:$A$5001,G$3,BD!$B$3:$B$5001,$A$89)))</f>
        <v/>
      </c>
      <c r="H89" s="152" t="str">
        <f>IF(H$3="","",IF(COUNTIFS(BD!$A$3:$A$5001,H$3,BD!$B$3:$B$5001,$A$89,BD!$C$3:$C$5001,"&lt;&gt;")=0,"",SUMIFS(BD!$C$3:$C$5001,BD!$A$3:$A$5001,H$3,BD!$B$3:$B$5001,$A$89)))</f>
        <v/>
      </c>
      <c r="I89" s="152" t="str">
        <f>IF(I$3="","",IF(COUNTIFS(BD!$A$3:$A$5001,I$3,BD!$B$3:$B$5001,$A$89,BD!$C$3:$C$5001,"&lt;&gt;")=0,"",SUMIFS(BD!$C$3:$C$5001,BD!$A$3:$A$5001,I$3,BD!$B$3:$B$5001,$A$89)))</f>
        <v/>
      </c>
      <c r="J89" s="152" t="str">
        <f>IF(J$3="","",IF(COUNTIFS(BD!$A$3:$A$5001,J$3,BD!$B$3:$B$5001,$A$89,BD!$C$3:$C$5001,"&lt;&gt;")=0,"",SUMIFS(BD!$C$3:$C$5001,BD!$A$3:$A$5001,J$3,BD!$B$3:$B$5001,$A$89)))</f>
        <v/>
      </c>
      <c r="K89" s="152" t="str">
        <f>IF(K$3="","",IF(COUNTIFS(BD!$A$3:$A$5001,K$3,BD!$B$3:$B$5001,$A$89,BD!$C$3:$C$5001,"&lt;&gt;")=0,"",SUMIFS(BD!$C$3:$C$5001,BD!$A$3:$A$5001,K$3,BD!$B$3:$B$5001,$A$89)))</f>
        <v/>
      </c>
      <c r="L89" s="152" t="str">
        <f>IF(L$3="","",IF(COUNTIFS(BD!$A$3:$A$5001,L$3,BD!$B$3:$B$5001,$A$89,BD!$C$3:$C$5001,"&lt;&gt;")=0,"",SUMIFS(BD!$C$3:$C$5001,BD!$A$3:$A$5001,L$3,BD!$B$3:$B$5001,$A$89)))</f>
        <v/>
      </c>
      <c r="M89" s="152" t="str">
        <f>IF(M$3="","",IF(COUNTIFS(BD!$A$3:$A$5001,M$3,BD!$B$3:$B$5001,$A$89,BD!$C$3:$C$5001,"&lt;&gt;")=0,"",SUMIFS(BD!$C$3:$C$5001,BD!$A$3:$A$5001,M$3,BD!$B$3:$B$5001,$A$89)))</f>
        <v/>
      </c>
      <c r="N89" s="152" t="str">
        <f>IF(N$3="","",IF(COUNTIFS(BD!$A$3:$A$5001,N$3,BD!$B$3:$B$5001,$A$89,BD!$C$3:$C$5001,"&lt;&gt;")=0,"",SUMIFS(BD!$C$3:$C$5001,BD!$A$3:$A$5001,N$3,BD!$B$3:$B$5001,$A$89)))</f>
        <v/>
      </c>
      <c r="O89" s="152" t="str">
        <f>IF(O$3="","",IF(COUNTIFS(BD!$A$3:$A$5001,O$3,BD!$B$3:$B$5001,$A$89,BD!$C$3:$C$5001,"&lt;&gt;")=0,"",SUMIFS(BD!$C$3:$C$5001,BD!$A$3:$A$5001,O$3,BD!$B$3:$B$5001,$A$89)))</f>
        <v/>
      </c>
      <c r="P89" s="152" t="str">
        <f>IF(P$3="","",IF(COUNTIFS(BD!$A$3:$A$5001,P$3,BD!$B$3:$B$5001,$A$89,BD!$C$3:$C$5001,"&lt;&gt;")=0,"",SUMIFS(BD!$C$3:$C$5001,BD!$A$3:$A$5001,P$3,BD!$B$3:$B$5001,$A$89)))</f>
        <v/>
      </c>
      <c r="Q89" s="152" t="str">
        <f>IF(Q$3="","",IF(COUNTIFS(BD!$A$3:$A$5001,Q$3,BD!$B$3:$B$5001,$A$89,BD!$C$3:$C$5001,"&lt;&gt;")=0,"",SUMIFS(BD!$C$3:$C$5001,BD!$A$3:$A$5001,Q$3,BD!$B$3:$B$5001,$A$89)))</f>
        <v/>
      </c>
      <c r="R89" s="152" t="str">
        <f>IF(R$3="","",IF(COUNTIFS(BD!$A$3:$A$5001,R$3,BD!$B$3:$B$5001,$A$89,BD!$C$3:$C$5001,"&lt;&gt;")=0,"",SUMIFS(BD!$C$3:$C$5001,BD!$A$3:$A$5001,R$3,BD!$B$3:$B$5001,$A$89)))</f>
        <v/>
      </c>
      <c r="S89" s="152" t="str">
        <f>IF(S$3="","",IF(COUNTIFS(BD!$A$3:$A$5001,S$3,BD!$B$3:$B$5001,$A$89,BD!$C$3:$C$5001,"&lt;&gt;")=0,"",SUMIFS(BD!$C$3:$C$5001,BD!$A$3:$A$5001,S$3,BD!$B$3:$B$5001,$A$89)))</f>
        <v/>
      </c>
      <c r="T89" s="152" t="str">
        <f>IF(T$3="","",IF(COUNTIFS(BD!$A$3:$A$5001,T$3,BD!$B$3:$B$5001,$A$89,BD!$C$3:$C$5001,"&lt;&gt;")=0,"",SUMIFS(BD!$C$3:$C$5001,BD!$A$3:$A$5001,T$3,BD!$B$3:$B$5001,$A$89)))</f>
        <v/>
      </c>
      <c r="U89" s="152" t="str">
        <f>IF(U$3="","",IF(COUNTIFS(BD!$A$3:$A$5001,U$3,BD!$B$3:$B$5001,$A$89,BD!$C$3:$C$5001,"&lt;&gt;")=0,"",SUMIFS(BD!$C$3:$C$5001,BD!$A$3:$A$5001,U$3,BD!$B$3:$B$5001,$A$89)))</f>
        <v/>
      </c>
      <c r="V89" s="152" t="str">
        <f>IF(V$3="","",IF(COUNTIFS(BD!$A$3:$A$5001,V$3,BD!$B$3:$B$5001,$A$89,BD!$C$3:$C$5001,"&lt;&gt;")=0,"",SUMIFS(BD!$C$3:$C$5001,BD!$A$3:$A$5001,V$3,BD!$B$3:$B$5001,$A$89)))</f>
        <v/>
      </c>
      <c r="W89" s="152" t="str">
        <f>IF(W$3="","",IF(COUNTIFS(BD!$A$3:$A$5001,W$3,BD!$B$3:$B$5001,$A$89,BD!$C$3:$C$5001,"&lt;&gt;")=0,"",SUMIFS(BD!$C$3:$C$5001,BD!$A$3:$A$5001,W$3,BD!$B$3:$B$5001,$A$89)))</f>
        <v/>
      </c>
      <c r="X89" s="152" t="str">
        <f>IF(X$3="","",IF(COUNTIFS(BD!$A$3:$A$5001,X$3,BD!$B$3:$B$5001,$A$89,BD!$C$3:$C$5001,"&lt;&gt;")=0,"",SUMIFS(BD!$C$3:$C$5001,BD!$A$3:$A$5001,X$3,BD!$B$3:$B$5001,$A$89)))</f>
        <v/>
      </c>
      <c r="Y89" s="152" t="str">
        <f>IF(Y$3="","",IF(COUNTIFS(BD!$A$3:$A$5001,Y$3,BD!$B$3:$B$5001,$A$89,BD!$C$3:$C$5001,"&lt;&gt;")=0,"",SUMIFS(BD!$C$3:$C$5001,BD!$A$3:$A$5001,Y$3,BD!$B$3:$B$5001,$A$89)))</f>
        <v/>
      </c>
      <c r="Z89" s="152" t="str">
        <f>IF(Z$3="","",IF(COUNTIFS(BD!$A$3:$A$5001,Z$3,BD!$B$3:$B$5001,$A$89,BD!$C$3:$C$5001,"&lt;&gt;")=0,"",SUMIFS(BD!$C$3:$C$5001,BD!$A$3:$A$5001,Z$3,BD!$B$3:$B$5001,$A$89)))</f>
        <v/>
      </c>
      <c r="AA89" s="152" t="str">
        <f>IF(AA$3="","",IF(COUNTIFS(BD!$A$3:$A$5001,AA$3,BD!$B$3:$B$5001,$A$89,BD!$C$3:$C$5001,"&lt;&gt;")=0,"",SUMIFS(BD!$C$3:$C$5001,BD!$A$3:$A$5001,AA$3,BD!$B$3:$B$5001,$A$89)))</f>
        <v/>
      </c>
      <c r="AB89" s="152" t="str">
        <f>IF(AB$3="","",IF(COUNTIFS(BD!$A$3:$A$5001,AB$3,BD!$B$3:$B$5001,$A$89,BD!$C$3:$C$5001,"&lt;&gt;")=0,"",SUMIFS(BD!$C$3:$C$5001,BD!$A$3:$A$5001,AB$3,BD!$B$3:$B$5001,$A$89)))</f>
        <v/>
      </c>
      <c r="AC89" s="152" t="str">
        <f>IF(AC$3="","",IF(COUNTIFS(BD!$A$3:$A$5001,AC$3,BD!$B$3:$B$5001,$A$89,BD!$C$3:$C$5001,"&lt;&gt;")=0,"",SUMIFS(BD!$C$3:$C$5001,BD!$A$3:$A$5001,AC$3,BD!$B$3:$B$5001,$A$89)))</f>
        <v/>
      </c>
      <c r="AD89" s="152" t="str">
        <f>IF(AD$3="","",IF(COUNTIFS(BD!$A$3:$A$5001,AD$3,BD!$B$3:$B$5001,$A$89,BD!$C$3:$C$5001,"&lt;&gt;")=0,"",SUMIFS(BD!$C$3:$C$5001,BD!$A$3:$A$5001,AD$3,BD!$B$3:$B$5001,$A$89)))</f>
        <v/>
      </c>
      <c r="AE89" s="152" t="str">
        <f>IF(AE$3="","",IF(COUNTIFS(BD!$A$3:$A$5001,AE$3,BD!$B$3:$B$5001,$A$89,BD!$C$3:$C$5001,"&lt;&gt;")=0,"",SUMIFS(BD!$C$3:$C$5001,BD!$A$3:$A$5001,AE$3,BD!$B$3:$B$5001,$A$89)))</f>
        <v/>
      </c>
      <c r="AF89" s="152" t="str">
        <f>IF(AF$3="","",IF(COUNTIFS(BD!$A$3:$A$5001,AF$3,BD!$B$3:$B$5001,$A$89,BD!$C$3:$C$5001,"&lt;&gt;")=0,"",SUMIFS(BD!$C$3:$C$5001,BD!$A$3:$A$5001,AF$3,BD!$B$3:$B$5001,$A$89)))</f>
        <v/>
      </c>
      <c r="AG89" s="152" t="str">
        <f>IF(AG$3="","",IF(COUNTIFS(BD!$A$3:$A$5001,AG$3,BD!$B$3:$B$5001,$A$89,BD!$C$3:$C$5001,"&lt;&gt;")=0,"",SUMIFS(BD!$C$3:$C$5001,BD!$A$3:$A$5001,AG$3,BD!$B$3:$B$5001,$A$89)))</f>
        <v/>
      </c>
      <c r="AH89" s="152" t="str">
        <f>IF(AH$3="","",IF(COUNTIFS(BD!$A$3:$A$5001,AH$3,BD!$B$3:$B$5001,$A$89,BD!$C$3:$C$5001,"&lt;&gt;")=0,"",SUMIFS(BD!$C$3:$C$5001,BD!$A$3:$A$5001,AH$3,BD!$B$3:$B$5001,$A$89)))</f>
        <v/>
      </c>
      <c r="AI89" s="152" t="str">
        <f>IF(AI$3="","",IF(COUNTIFS(BD!$A$3:$A$5001,AI$3,BD!$B$3:$B$5001,$A$89,BD!$C$3:$C$5001,"&lt;&gt;")=0,"",SUMIFS(BD!$C$3:$C$5001,BD!$A$3:$A$5001,AI$3,BD!$B$3:$B$5001,$A$89)))</f>
        <v/>
      </c>
      <c r="AJ89" s="153" t="str">
        <f>IF(AJ$3="","",IF(COUNTIFS(BD!$A$3:$A$5001,AJ$3,BD!$B$3:$B$5001,$A$89,BD!$C$3:$C$5001,"&lt;&gt;")=0,"",SUMIFS(BD!$C$3:$C$5001,BD!$A$3:$A$5001,AJ$3,BD!$B$3:$B$5001,$A$89)))</f>
        <v/>
      </c>
      <c r="AK89" s="154" t="str">
        <f>IF(COUNT(F89:AJ89)=0,"",SUM(F89:AJ89))</f>
        <v/>
      </c>
    </row>
    <row r="90" ht="15.75" customHeight="1">
      <c r="A90" s="237"/>
      <c r="B90" s="232"/>
      <c r="C90" s="194" t="inlineStr">
        <is>
          <t xml:space="preserve">Pallets Movimentados</t>
        </is>
      </c>
      <c r="D90" s="195" t="str">
        <f>IFERROR(1/(1/INDEX(BD!$AK$24:$AU$24,MATCH($A$89,BD!$AK$22:$AU$22,0))),"")</f>
        <v/>
      </c>
      <c r="E90" s="196"/>
      <c r="F90" s="197" t="str">
        <f>IF(F$3="","",IF(COUNTIFS(BD!$A$3:$A$5001,F$3,BD!$B$3:$B$5001,$A$89,BD!$D$3:$D$5001,"&lt;&gt;")=0,"",SUMIFS(BD!$D$3:$D$5001,BD!$A$3:$A$5001,F$3,BD!$B$3:$B$5001,$A$89)))</f>
        <v/>
      </c>
      <c r="G90" s="198" t="str">
        <f>IF(G$3="","",IF(COUNTIFS(BD!$A$3:$A$5001,G$3,BD!$B$3:$B$5001,$A$89,BD!$D$3:$D$5001,"&lt;&gt;")=0,"",SUMIFS(BD!$D$3:$D$5001,BD!$A$3:$A$5001,G$3,BD!$B$3:$B$5001,$A$89)))</f>
        <v/>
      </c>
      <c r="H90" s="198" t="str">
        <f>IF(H$3="","",IF(COUNTIFS(BD!$A$3:$A$5001,H$3,BD!$B$3:$B$5001,$A$89,BD!$D$3:$D$5001,"&lt;&gt;")=0,"",SUMIFS(BD!$D$3:$D$5001,BD!$A$3:$A$5001,H$3,BD!$B$3:$B$5001,$A$89)))</f>
        <v/>
      </c>
      <c r="I90" s="198" t="str">
        <f>IF(I$3="","",IF(COUNTIFS(BD!$A$3:$A$5001,I$3,BD!$B$3:$B$5001,$A$89,BD!$D$3:$D$5001,"&lt;&gt;")=0,"",SUMIFS(BD!$D$3:$D$5001,BD!$A$3:$A$5001,I$3,BD!$B$3:$B$5001,$A$89)))</f>
        <v/>
      </c>
      <c r="J90" s="198" t="str">
        <f>IF(J$3="","",IF(COUNTIFS(BD!$A$3:$A$5001,J$3,BD!$B$3:$B$5001,$A$89,BD!$D$3:$D$5001,"&lt;&gt;")=0,"",SUMIFS(BD!$D$3:$D$5001,BD!$A$3:$A$5001,J$3,BD!$B$3:$B$5001,$A$89)))</f>
        <v/>
      </c>
      <c r="K90" s="198" t="str">
        <f>IF(K$3="","",IF(COUNTIFS(BD!$A$3:$A$5001,K$3,BD!$B$3:$B$5001,$A$89,BD!$D$3:$D$5001,"&lt;&gt;")=0,"",SUMIFS(BD!$D$3:$D$5001,BD!$A$3:$A$5001,K$3,BD!$B$3:$B$5001,$A$89)))</f>
        <v/>
      </c>
      <c r="L90" s="198" t="str">
        <f>IF(L$3="","",IF(COUNTIFS(BD!$A$3:$A$5001,L$3,BD!$B$3:$B$5001,$A$89,BD!$D$3:$D$5001,"&lt;&gt;")=0,"",SUMIFS(BD!$D$3:$D$5001,BD!$A$3:$A$5001,L$3,BD!$B$3:$B$5001,$A$89)))</f>
        <v/>
      </c>
      <c r="M90" s="198" t="str">
        <f>IF(M$3="","",IF(COUNTIFS(BD!$A$3:$A$5001,M$3,BD!$B$3:$B$5001,$A$89,BD!$D$3:$D$5001,"&lt;&gt;")=0,"",SUMIFS(BD!$D$3:$D$5001,BD!$A$3:$A$5001,M$3,BD!$B$3:$B$5001,$A$89)))</f>
        <v/>
      </c>
      <c r="N90" s="198" t="str">
        <f>IF(N$3="","",IF(COUNTIFS(BD!$A$3:$A$5001,N$3,BD!$B$3:$B$5001,$A$89,BD!$D$3:$D$5001,"&lt;&gt;")=0,"",SUMIFS(BD!$D$3:$D$5001,BD!$A$3:$A$5001,N$3,BD!$B$3:$B$5001,$A$89)))</f>
        <v/>
      </c>
      <c r="O90" s="198" t="str">
        <f>IF(O$3="","",IF(COUNTIFS(BD!$A$3:$A$5001,O$3,BD!$B$3:$B$5001,$A$89,BD!$D$3:$D$5001,"&lt;&gt;")=0,"",SUMIFS(BD!$D$3:$D$5001,BD!$A$3:$A$5001,O$3,BD!$B$3:$B$5001,$A$89)))</f>
        <v/>
      </c>
      <c r="P90" s="198" t="str">
        <f>IF(P$3="","",IF(COUNTIFS(BD!$A$3:$A$5001,P$3,BD!$B$3:$B$5001,$A$89,BD!$D$3:$D$5001,"&lt;&gt;")=0,"",SUMIFS(BD!$D$3:$D$5001,BD!$A$3:$A$5001,P$3,BD!$B$3:$B$5001,$A$89)))</f>
        <v/>
      </c>
      <c r="Q90" s="198" t="str">
        <f>IF(Q$3="","",IF(COUNTIFS(BD!$A$3:$A$5001,Q$3,BD!$B$3:$B$5001,$A$89,BD!$D$3:$D$5001,"&lt;&gt;")=0,"",SUMIFS(BD!$D$3:$D$5001,BD!$A$3:$A$5001,Q$3,BD!$B$3:$B$5001,$A$89)))</f>
        <v/>
      </c>
      <c r="R90" s="198" t="str">
        <f>IF(R$3="","",IF(COUNTIFS(BD!$A$3:$A$5001,R$3,BD!$B$3:$B$5001,$A$89,BD!$D$3:$D$5001,"&lt;&gt;")=0,"",SUMIFS(BD!$D$3:$D$5001,BD!$A$3:$A$5001,R$3,BD!$B$3:$B$5001,$A$89)))</f>
        <v/>
      </c>
      <c r="S90" s="198" t="str">
        <f>IF(S$3="","",IF(COUNTIFS(BD!$A$3:$A$5001,S$3,BD!$B$3:$B$5001,$A$89,BD!$D$3:$D$5001,"&lt;&gt;")=0,"",SUMIFS(BD!$D$3:$D$5001,BD!$A$3:$A$5001,S$3,BD!$B$3:$B$5001,$A$89)))</f>
        <v/>
      </c>
      <c r="T90" s="198" t="str">
        <f>IF(T$3="","",IF(COUNTIFS(BD!$A$3:$A$5001,T$3,BD!$B$3:$B$5001,$A$89,BD!$D$3:$D$5001,"&lt;&gt;")=0,"",SUMIFS(BD!$D$3:$D$5001,BD!$A$3:$A$5001,T$3,BD!$B$3:$B$5001,$A$89)))</f>
        <v/>
      </c>
      <c r="U90" s="198" t="str">
        <f>IF(U$3="","",IF(COUNTIFS(BD!$A$3:$A$5001,U$3,BD!$B$3:$B$5001,$A$89,BD!$D$3:$D$5001,"&lt;&gt;")=0,"",SUMIFS(BD!$D$3:$D$5001,BD!$A$3:$A$5001,U$3,BD!$B$3:$B$5001,$A$89)))</f>
        <v/>
      </c>
      <c r="V90" s="198" t="str">
        <f>IF(V$3="","",IF(COUNTIFS(BD!$A$3:$A$5001,V$3,BD!$B$3:$B$5001,$A$89,BD!$D$3:$D$5001,"&lt;&gt;")=0,"",SUMIFS(BD!$D$3:$D$5001,BD!$A$3:$A$5001,V$3,BD!$B$3:$B$5001,$A$89)))</f>
        <v/>
      </c>
      <c r="W90" s="198" t="str">
        <f>IF(W$3="","",IF(COUNTIFS(BD!$A$3:$A$5001,W$3,BD!$B$3:$B$5001,$A$89,BD!$D$3:$D$5001,"&lt;&gt;")=0,"",SUMIFS(BD!$D$3:$D$5001,BD!$A$3:$A$5001,W$3,BD!$B$3:$B$5001,$A$89)))</f>
        <v/>
      </c>
      <c r="X90" s="198" t="str">
        <f>IF(X$3="","",IF(COUNTIFS(BD!$A$3:$A$5001,X$3,BD!$B$3:$B$5001,$A$89,BD!$D$3:$D$5001,"&lt;&gt;")=0,"",SUMIFS(BD!$D$3:$D$5001,BD!$A$3:$A$5001,X$3,BD!$B$3:$B$5001,$A$89)))</f>
        <v/>
      </c>
      <c r="Y90" s="198" t="str">
        <f>IF(Y$3="","",IF(COUNTIFS(BD!$A$3:$A$5001,Y$3,BD!$B$3:$B$5001,$A$89,BD!$D$3:$D$5001,"&lt;&gt;")=0,"",SUMIFS(BD!$D$3:$D$5001,BD!$A$3:$A$5001,Y$3,BD!$B$3:$B$5001,$A$89)))</f>
        <v/>
      </c>
      <c r="Z90" s="198" t="str">
        <f>IF(Z$3="","",IF(COUNTIFS(BD!$A$3:$A$5001,Z$3,BD!$B$3:$B$5001,$A$89,BD!$D$3:$D$5001,"&lt;&gt;")=0,"",SUMIFS(BD!$D$3:$D$5001,BD!$A$3:$A$5001,Z$3,BD!$B$3:$B$5001,$A$89)))</f>
        <v/>
      </c>
      <c r="AA90" s="198" t="str">
        <f>IF(AA$3="","",IF(COUNTIFS(BD!$A$3:$A$5001,AA$3,BD!$B$3:$B$5001,$A$89,BD!$D$3:$D$5001,"&lt;&gt;")=0,"",SUMIFS(BD!$D$3:$D$5001,BD!$A$3:$A$5001,AA$3,BD!$B$3:$B$5001,$A$89)))</f>
        <v/>
      </c>
      <c r="AB90" s="198" t="str">
        <f>IF(AB$3="","",IF(COUNTIFS(BD!$A$3:$A$5001,AB$3,BD!$B$3:$B$5001,$A$89,BD!$D$3:$D$5001,"&lt;&gt;")=0,"",SUMIFS(BD!$D$3:$D$5001,BD!$A$3:$A$5001,AB$3,BD!$B$3:$B$5001,$A$89)))</f>
        <v/>
      </c>
      <c r="AC90" s="198" t="str">
        <f>IF(AC$3="","",IF(COUNTIFS(BD!$A$3:$A$5001,AC$3,BD!$B$3:$B$5001,$A$89,BD!$D$3:$D$5001,"&lt;&gt;")=0,"",SUMIFS(BD!$D$3:$D$5001,BD!$A$3:$A$5001,AC$3,BD!$B$3:$B$5001,$A$89)))</f>
        <v/>
      </c>
      <c r="AD90" s="198" t="str">
        <f>IF(AD$3="","",IF(COUNTIFS(BD!$A$3:$A$5001,AD$3,BD!$B$3:$B$5001,$A$89,BD!$D$3:$D$5001,"&lt;&gt;")=0,"",SUMIFS(BD!$D$3:$D$5001,BD!$A$3:$A$5001,AD$3,BD!$B$3:$B$5001,$A$89)))</f>
        <v/>
      </c>
      <c r="AE90" s="198" t="str">
        <f>IF(AE$3="","",IF(COUNTIFS(BD!$A$3:$A$5001,AE$3,BD!$B$3:$B$5001,$A$89,BD!$D$3:$D$5001,"&lt;&gt;")=0,"",SUMIFS(BD!$D$3:$D$5001,BD!$A$3:$A$5001,AE$3,BD!$B$3:$B$5001,$A$89)))</f>
        <v/>
      </c>
      <c r="AF90" s="198" t="str">
        <f>IF(AF$3="","",IF(COUNTIFS(BD!$A$3:$A$5001,AF$3,BD!$B$3:$B$5001,$A$89,BD!$D$3:$D$5001,"&lt;&gt;")=0,"",SUMIFS(BD!$D$3:$D$5001,BD!$A$3:$A$5001,AF$3,BD!$B$3:$B$5001,$A$89)))</f>
        <v/>
      </c>
      <c r="AG90" s="198" t="str">
        <f>IF(AG$3="","",IF(COUNTIFS(BD!$A$3:$A$5001,AG$3,BD!$B$3:$B$5001,$A$89,BD!$D$3:$D$5001,"&lt;&gt;")=0,"",SUMIFS(BD!$D$3:$D$5001,BD!$A$3:$A$5001,AG$3,BD!$B$3:$B$5001,$A$89)))</f>
        <v/>
      </c>
      <c r="AH90" s="198" t="str">
        <f>IF(AH$3="","",IF(COUNTIFS(BD!$A$3:$A$5001,AH$3,BD!$B$3:$B$5001,$A$89,BD!$D$3:$D$5001,"&lt;&gt;")=0,"",SUMIFS(BD!$D$3:$D$5001,BD!$A$3:$A$5001,AH$3,BD!$B$3:$B$5001,$A$89)))</f>
        <v/>
      </c>
      <c r="AI90" s="198" t="str">
        <f>IF(AI$3="","",IF(COUNTIFS(BD!$A$3:$A$5001,AI$3,BD!$B$3:$B$5001,$A$89,BD!$D$3:$D$5001,"&lt;&gt;")=0,"",SUMIFS(BD!$D$3:$D$5001,BD!$A$3:$A$5001,AI$3,BD!$B$3:$B$5001,$A$89)))</f>
        <v/>
      </c>
      <c r="AJ90" s="199" t="str">
        <f>IF(AJ$3="","",IF(COUNTIFS(BD!$A$3:$A$5001,AJ$3,BD!$B$3:$B$5001,$A$89,BD!$D$3:$D$5001,"&lt;&gt;")=0,"",SUMIFS(BD!$D$3:$D$5001,BD!$A$3:$A$5001,AJ$3,BD!$B$3:$B$5001,$A$89)))</f>
        <v/>
      </c>
      <c r="AK90" s="200" t="str">
        <f>IF(COUNT(F90:AJ90)=0,"",SUM(F90:AJ90))</f>
        <v/>
      </c>
    </row>
    <row r="91" ht="15.75" customHeight="1">
      <c r="A91" s="237"/>
      <c r="B91" s="226"/>
      <c r="C91" s="155" t="inlineStr">
        <is>
          <t xml:space="preserve">Toneladas Movimentadas</t>
        </is>
      </c>
      <c r="D91" s="156" t="str">
        <f>IFERROR(1/(1/INDEX(BD!$AK$25:$AU$25,MATCH($A$89,BD!$AK$22:$AU$22,0))),"")</f>
        <v/>
      </c>
      <c r="E91" s="157"/>
      <c r="F91" s="239" t="str">
        <f>IF(F$3="","",IF(COUNTIFS(BD!$A$3:$A$5001,F$3,BD!$B$3:$B$5001,$A$89,BD!$E$3:$E$5001,"&lt;&gt;")=0,"",SUMIFS(BD!$E$3:$E$5001,BD!$A$3:$A$5001,F$3,BD!$B$3:$B$5001,$A$89)))</f>
        <v/>
      </c>
      <c r="G91" s="240" t="str">
        <f>IF(G$3="","",IF(COUNTIFS(BD!$A$3:$A$5001,G$3,BD!$B$3:$B$5001,$A$89,BD!$E$3:$E$5001,"&lt;&gt;")=0,"",SUMIFS(BD!$E$3:$E$5001,BD!$A$3:$A$5001,G$3,BD!$B$3:$B$5001,$A$89)))</f>
        <v/>
      </c>
      <c r="H91" s="240" t="str">
        <f>IF(H$3="","",IF(COUNTIFS(BD!$A$3:$A$5001,H$3,BD!$B$3:$B$5001,$A$89,BD!$E$3:$E$5001,"&lt;&gt;")=0,"",SUMIFS(BD!$E$3:$E$5001,BD!$A$3:$A$5001,H$3,BD!$B$3:$B$5001,$A$89)))</f>
        <v/>
      </c>
      <c r="I91" s="240" t="str">
        <f>IF(I$3="","",IF(COUNTIFS(BD!$A$3:$A$5001,I$3,BD!$B$3:$B$5001,$A$89,BD!$E$3:$E$5001,"&lt;&gt;")=0,"",SUMIFS(BD!$E$3:$E$5001,BD!$A$3:$A$5001,I$3,BD!$B$3:$B$5001,$A$89)))</f>
        <v/>
      </c>
      <c r="J91" s="240" t="str">
        <f>IF(J$3="","",IF(COUNTIFS(BD!$A$3:$A$5001,J$3,BD!$B$3:$B$5001,$A$89,BD!$E$3:$E$5001,"&lt;&gt;")=0,"",SUMIFS(BD!$E$3:$E$5001,BD!$A$3:$A$5001,J$3,BD!$B$3:$B$5001,$A$89)))</f>
        <v/>
      </c>
      <c r="K91" s="240" t="str">
        <f>IF(K$3="","",IF(COUNTIFS(BD!$A$3:$A$5001,K$3,BD!$B$3:$B$5001,$A$89,BD!$E$3:$E$5001,"&lt;&gt;")=0,"",SUMIFS(BD!$E$3:$E$5001,BD!$A$3:$A$5001,K$3,BD!$B$3:$B$5001,$A$89)))</f>
        <v/>
      </c>
      <c r="L91" s="240" t="str">
        <f>IF(L$3="","",IF(COUNTIFS(BD!$A$3:$A$5001,L$3,BD!$B$3:$B$5001,$A$89,BD!$E$3:$E$5001,"&lt;&gt;")=0,"",SUMIFS(BD!$E$3:$E$5001,BD!$A$3:$A$5001,L$3,BD!$B$3:$B$5001,$A$89)))</f>
        <v/>
      </c>
      <c r="M91" s="240" t="str">
        <f>IF(M$3="","",IF(COUNTIFS(BD!$A$3:$A$5001,M$3,BD!$B$3:$B$5001,$A$89,BD!$E$3:$E$5001,"&lt;&gt;")=0,"",SUMIFS(BD!$E$3:$E$5001,BD!$A$3:$A$5001,M$3,BD!$B$3:$B$5001,$A$89)))</f>
        <v/>
      </c>
      <c r="N91" s="240" t="str">
        <f>IF(N$3="","",IF(COUNTIFS(BD!$A$3:$A$5001,N$3,BD!$B$3:$B$5001,$A$89,BD!$E$3:$E$5001,"&lt;&gt;")=0,"",SUMIFS(BD!$E$3:$E$5001,BD!$A$3:$A$5001,N$3,BD!$B$3:$B$5001,$A$89)))</f>
        <v/>
      </c>
      <c r="O91" s="240" t="str">
        <f>IF(O$3="","",IF(COUNTIFS(BD!$A$3:$A$5001,O$3,BD!$B$3:$B$5001,$A$89,BD!$E$3:$E$5001,"&lt;&gt;")=0,"",SUMIFS(BD!$E$3:$E$5001,BD!$A$3:$A$5001,O$3,BD!$B$3:$B$5001,$A$89)))</f>
        <v/>
      </c>
      <c r="P91" s="240" t="str">
        <f>IF(P$3="","",IF(COUNTIFS(BD!$A$3:$A$5001,P$3,BD!$B$3:$B$5001,$A$89,BD!$E$3:$E$5001,"&lt;&gt;")=0,"",SUMIFS(BD!$E$3:$E$5001,BD!$A$3:$A$5001,P$3,BD!$B$3:$B$5001,$A$89)))</f>
        <v/>
      </c>
      <c r="Q91" s="240" t="str">
        <f>IF(Q$3="","",IF(COUNTIFS(BD!$A$3:$A$5001,Q$3,BD!$B$3:$B$5001,$A$89,BD!$E$3:$E$5001,"&lt;&gt;")=0,"",SUMIFS(BD!$E$3:$E$5001,BD!$A$3:$A$5001,Q$3,BD!$B$3:$B$5001,$A$89)))</f>
        <v/>
      </c>
      <c r="R91" s="240" t="str">
        <f>IF(R$3="","",IF(COUNTIFS(BD!$A$3:$A$5001,R$3,BD!$B$3:$B$5001,$A$89,BD!$E$3:$E$5001,"&lt;&gt;")=0,"",SUMIFS(BD!$E$3:$E$5001,BD!$A$3:$A$5001,R$3,BD!$B$3:$B$5001,$A$89)))</f>
        <v/>
      </c>
      <c r="S91" s="240" t="str">
        <f>IF(S$3="","",IF(COUNTIFS(BD!$A$3:$A$5001,S$3,BD!$B$3:$B$5001,$A$89,BD!$E$3:$E$5001,"&lt;&gt;")=0,"",SUMIFS(BD!$E$3:$E$5001,BD!$A$3:$A$5001,S$3,BD!$B$3:$B$5001,$A$89)))</f>
        <v/>
      </c>
      <c r="T91" s="240" t="str">
        <f>IF(T$3="","",IF(COUNTIFS(BD!$A$3:$A$5001,T$3,BD!$B$3:$B$5001,$A$89,BD!$E$3:$E$5001,"&lt;&gt;")=0,"",SUMIFS(BD!$E$3:$E$5001,BD!$A$3:$A$5001,T$3,BD!$B$3:$B$5001,$A$89)))</f>
        <v/>
      </c>
      <c r="U91" s="240" t="str">
        <f>IF(U$3="","",IF(COUNTIFS(BD!$A$3:$A$5001,U$3,BD!$B$3:$B$5001,$A$89,BD!$E$3:$E$5001,"&lt;&gt;")=0,"",SUMIFS(BD!$E$3:$E$5001,BD!$A$3:$A$5001,U$3,BD!$B$3:$B$5001,$A$89)))</f>
        <v/>
      </c>
      <c r="V91" s="240" t="str">
        <f>IF(V$3="","",IF(COUNTIFS(BD!$A$3:$A$5001,V$3,BD!$B$3:$B$5001,$A$89,BD!$E$3:$E$5001,"&lt;&gt;")=0,"",SUMIFS(BD!$E$3:$E$5001,BD!$A$3:$A$5001,V$3,BD!$B$3:$B$5001,$A$89)))</f>
        <v/>
      </c>
      <c r="W91" s="240" t="str">
        <f>IF(W$3="","",IF(COUNTIFS(BD!$A$3:$A$5001,W$3,BD!$B$3:$B$5001,$A$89,BD!$E$3:$E$5001,"&lt;&gt;")=0,"",SUMIFS(BD!$E$3:$E$5001,BD!$A$3:$A$5001,W$3,BD!$B$3:$B$5001,$A$89)))</f>
        <v/>
      </c>
      <c r="X91" s="240" t="str">
        <f>IF(X$3="","",IF(COUNTIFS(BD!$A$3:$A$5001,X$3,BD!$B$3:$B$5001,$A$89,BD!$E$3:$E$5001,"&lt;&gt;")=0,"",SUMIFS(BD!$E$3:$E$5001,BD!$A$3:$A$5001,X$3,BD!$B$3:$B$5001,$A$89)))</f>
        <v/>
      </c>
      <c r="Y91" s="240" t="str">
        <f>IF(Y$3="","",IF(COUNTIFS(BD!$A$3:$A$5001,Y$3,BD!$B$3:$B$5001,$A$89,BD!$E$3:$E$5001,"&lt;&gt;")=0,"",SUMIFS(BD!$E$3:$E$5001,BD!$A$3:$A$5001,Y$3,BD!$B$3:$B$5001,$A$89)))</f>
        <v/>
      </c>
      <c r="Z91" s="240" t="str">
        <f>IF(Z$3="","",IF(COUNTIFS(BD!$A$3:$A$5001,Z$3,BD!$B$3:$B$5001,$A$89,BD!$E$3:$E$5001,"&lt;&gt;")=0,"",SUMIFS(BD!$E$3:$E$5001,BD!$A$3:$A$5001,Z$3,BD!$B$3:$B$5001,$A$89)))</f>
        <v/>
      </c>
      <c r="AA91" s="240" t="str">
        <f>IF(AA$3="","",IF(COUNTIFS(BD!$A$3:$A$5001,AA$3,BD!$B$3:$B$5001,$A$89,BD!$E$3:$E$5001,"&lt;&gt;")=0,"",SUMIFS(BD!$E$3:$E$5001,BD!$A$3:$A$5001,AA$3,BD!$B$3:$B$5001,$A$89)))</f>
        <v/>
      </c>
      <c r="AB91" s="240" t="str">
        <f>IF(AB$3="","",IF(COUNTIFS(BD!$A$3:$A$5001,AB$3,BD!$B$3:$B$5001,$A$89,BD!$E$3:$E$5001,"&lt;&gt;")=0,"",SUMIFS(BD!$E$3:$E$5001,BD!$A$3:$A$5001,AB$3,BD!$B$3:$B$5001,$A$89)))</f>
        <v/>
      </c>
      <c r="AC91" s="240" t="str">
        <f>IF(AC$3="","",IF(COUNTIFS(BD!$A$3:$A$5001,AC$3,BD!$B$3:$B$5001,$A$89,BD!$E$3:$E$5001,"&lt;&gt;")=0,"",SUMIFS(BD!$E$3:$E$5001,BD!$A$3:$A$5001,AC$3,BD!$B$3:$B$5001,$A$89)))</f>
        <v/>
      </c>
      <c r="AD91" s="240" t="str">
        <f>IF(AD$3="","",IF(COUNTIFS(BD!$A$3:$A$5001,AD$3,BD!$B$3:$B$5001,$A$89,BD!$E$3:$E$5001,"&lt;&gt;")=0,"",SUMIFS(BD!$E$3:$E$5001,BD!$A$3:$A$5001,AD$3,BD!$B$3:$B$5001,$A$89)))</f>
        <v/>
      </c>
      <c r="AE91" s="240" t="str">
        <f>IF(AE$3="","",IF(COUNTIFS(BD!$A$3:$A$5001,AE$3,BD!$B$3:$B$5001,$A$89,BD!$E$3:$E$5001,"&lt;&gt;")=0,"",SUMIFS(BD!$E$3:$E$5001,BD!$A$3:$A$5001,AE$3,BD!$B$3:$B$5001,$A$89)))</f>
        <v/>
      </c>
      <c r="AF91" s="240" t="str">
        <f>IF(AF$3="","",IF(COUNTIFS(BD!$A$3:$A$5001,AF$3,BD!$B$3:$B$5001,$A$89,BD!$E$3:$E$5001,"&lt;&gt;")=0,"",SUMIFS(BD!$E$3:$E$5001,BD!$A$3:$A$5001,AF$3,BD!$B$3:$B$5001,$A$89)))</f>
        <v/>
      </c>
      <c r="AG91" s="240" t="str">
        <f>IF(AG$3="","",IF(COUNTIFS(BD!$A$3:$A$5001,AG$3,BD!$B$3:$B$5001,$A$89,BD!$E$3:$E$5001,"&lt;&gt;")=0,"",SUMIFS(BD!$E$3:$E$5001,BD!$A$3:$A$5001,AG$3,BD!$B$3:$B$5001,$A$89)))</f>
        <v/>
      </c>
      <c r="AH91" s="240" t="str">
        <f>IF(AH$3="","",IF(COUNTIFS(BD!$A$3:$A$5001,AH$3,BD!$B$3:$B$5001,$A$89,BD!$E$3:$E$5001,"&lt;&gt;")=0,"",SUMIFS(BD!$E$3:$E$5001,BD!$A$3:$A$5001,AH$3,BD!$B$3:$B$5001,$A$89)))</f>
        <v/>
      </c>
      <c r="AI91" s="240" t="str">
        <f>IF(AI$3="","",IF(COUNTIFS(BD!$A$3:$A$5001,AI$3,BD!$B$3:$B$5001,$A$89,BD!$E$3:$E$5001,"&lt;&gt;")=0,"",SUMIFS(BD!$E$3:$E$5001,BD!$A$3:$A$5001,AI$3,BD!$B$3:$B$5001,$A$89)))</f>
        <v/>
      </c>
      <c r="AJ91" s="241" t="str">
        <f>IF(AJ$3="","",IF(COUNTIFS(BD!$A$3:$A$5001,AJ$3,BD!$B$3:$B$5001,$A$89,BD!$E$3:$E$5001,"&lt;&gt;")=0,"",SUMIFS(BD!$E$3:$E$5001,BD!$A$3:$A$5001,AJ$3,BD!$B$3:$B$5001,$A$89)))</f>
        <v/>
      </c>
      <c r="AK91" s="242" t="str">
        <f>IF(COUNT(F91:AJ91)=0,"",SUM(F91:AJ91))</f>
        <v/>
      </c>
    </row>
    <row r="92" ht="15.75" customHeight="1">
      <c r="A92" s="237"/>
      <c r="B92" s="227" t="inlineStr">
        <is>
          <t xml:space="preserve">OUT</t>
        </is>
      </c>
      <c r="C92" s="161" t="inlineStr">
        <is>
          <t xml:space="preserve">Veículos Expedidos</t>
        </is>
      </c>
      <c r="D92" s="162" t="str">
        <f>IFERROR(1/(1/INDEX(BD!$AK$32:$AU$32,MATCH($A$89,BD!$AK$22:$AU$22,0))),"")</f>
        <v/>
      </c>
      <c r="E92" s="163"/>
      <c r="F92" s="164" t="str">
        <f>IF(F$3="","",IF(COUNTIFS(BD!$A$3:$A$5001,F$3,BD!$B$3:$B$5001,$A$89,BD!$L$3:$L$5001,"&lt;&gt;")=0,"",SUMIFS(BD!$L$3:$L$5001,BD!$A$3:$A$5001,F$3,BD!$B$3:$B$5001,$A$89)))</f>
        <v/>
      </c>
      <c r="G92" s="165" t="str">
        <f>IF(G$3="","",IF(COUNTIFS(BD!$A$3:$A$5001,G$3,BD!$B$3:$B$5001,$A$89,BD!$L$3:$L$5001,"&lt;&gt;")=0,"",SUMIFS(BD!$L$3:$L$5001,BD!$A$3:$A$5001,G$3,BD!$B$3:$B$5001,$A$89)))</f>
        <v/>
      </c>
      <c r="H92" s="165" t="str">
        <f>IF(H$3="","",IF(COUNTIFS(BD!$A$3:$A$5001,H$3,BD!$B$3:$B$5001,$A$89,BD!$L$3:$L$5001,"&lt;&gt;")=0,"",SUMIFS(BD!$L$3:$L$5001,BD!$A$3:$A$5001,H$3,BD!$B$3:$B$5001,$A$89)))</f>
        <v/>
      </c>
      <c r="I92" s="165" t="str">
        <f>IF(I$3="","",IF(COUNTIFS(BD!$A$3:$A$5001,I$3,BD!$B$3:$B$5001,$A$89,BD!$L$3:$L$5001,"&lt;&gt;")=0,"",SUMIFS(BD!$L$3:$L$5001,BD!$A$3:$A$5001,I$3,BD!$B$3:$B$5001,$A$89)))</f>
        <v/>
      </c>
      <c r="J92" s="165" t="str">
        <f>IF(J$3="","",IF(COUNTIFS(BD!$A$3:$A$5001,J$3,BD!$B$3:$B$5001,$A$89,BD!$L$3:$L$5001,"&lt;&gt;")=0,"",SUMIFS(BD!$L$3:$L$5001,BD!$A$3:$A$5001,J$3,BD!$B$3:$B$5001,$A$89)))</f>
        <v/>
      </c>
      <c r="K92" s="165" t="str">
        <f>IF(K$3="","",IF(COUNTIFS(BD!$A$3:$A$5001,K$3,BD!$B$3:$B$5001,$A$89,BD!$L$3:$L$5001,"&lt;&gt;")=0,"",SUMIFS(BD!$L$3:$L$5001,BD!$A$3:$A$5001,K$3,BD!$B$3:$B$5001,$A$89)))</f>
        <v/>
      </c>
      <c r="L92" s="165" t="str">
        <f>IF(L$3="","",IF(COUNTIFS(BD!$A$3:$A$5001,L$3,BD!$B$3:$B$5001,$A$89,BD!$L$3:$L$5001,"&lt;&gt;")=0,"",SUMIFS(BD!$L$3:$L$5001,BD!$A$3:$A$5001,L$3,BD!$B$3:$B$5001,$A$89)))</f>
        <v/>
      </c>
      <c r="M92" s="165" t="str">
        <f>IF(M$3="","",IF(COUNTIFS(BD!$A$3:$A$5001,M$3,BD!$B$3:$B$5001,$A$89,BD!$L$3:$L$5001,"&lt;&gt;")=0,"",SUMIFS(BD!$L$3:$L$5001,BD!$A$3:$A$5001,M$3,BD!$B$3:$B$5001,$A$89)))</f>
        <v/>
      </c>
      <c r="N92" s="165" t="str">
        <f>IF(N$3="","",IF(COUNTIFS(BD!$A$3:$A$5001,N$3,BD!$B$3:$B$5001,$A$89,BD!$L$3:$L$5001,"&lt;&gt;")=0,"",SUMIFS(BD!$L$3:$L$5001,BD!$A$3:$A$5001,N$3,BD!$B$3:$B$5001,$A$89)))</f>
        <v/>
      </c>
      <c r="O92" s="165" t="str">
        <f>IF(O$3="","",IF(COUNTIFS(BD!$A$3:$A$5001,O$3,BD!$B$3:$B$5001,$A$89,BD!$L$3:$L$5001,"&lt;&gt;")=0,"",SUMIFS(BD!$L$3:$L$5001,BD!$A$3:$A$5001,O$3,BD!$B$3:$B$5001,$A$89)))</f>
        <v/>
      </c>
      <c r="P92" s="165" t="str">
        <f>IF(P$3="","",IF(COUNTIFS(BD!$A$3:$A$5001,P$3,BD!$B$3:$B$5001,$A$89,BD!$L$3:$L$5001,"&lt;&gt;")=0,"",SUMIFS(BD!$L$3:$L$5001,BD!$A$3:$A$5001,P$3,BD!$B$3:$B$5001,$A$89)))</f>
        <v/>
      </c>
      <c r="Q92" s="165" t="str">
        <f>IF(Q$3="","",IF(COUNTIFS(BD!$A$3:$A$5001,Q$3,BD!$B$3:$B$5001,$A$89,BD!$L$3:$L$5001,"&lt;&gt;")=0,"",SUMIFS(BD!$L$3:$L$5001,BD!$A$3:$A$5001,Q$3,BD!$B$3:$B$5001,$A$89)))</f>
        <v/>
      </c>
      <c r="R92" s="165" t="str">
        <f>IF(R$3="","",IF(COUNTIFS(BD!$A$3:$A$5001,R$3,BD!$B$3:$B$5001,$A$89,BD!$L$3:$L$5001,"&lt;&gt;")=0,"",SUMIFS(BD!$L$3:$L$5001,BD!$A$3:$A$5001,R$3,BD!$B$3:$B$5001,$A$89)))</f>
        <v/>
      </c>
      <c r="S92" s="165" t="str">
        <f>IF(S$3="","",IF(COUNTIFS(BD!$A$3:$A$5001,S$3,BD!$B$3:$B$5001,$A$89,BD!$L$3:$L$5001,"&lt;&gt;")=0,"",SUMIFS(BD!$L$3:$L$5001,BD!$A$3:$A$5001,S$3,BD!$B$3:$B$5001,$A$89)))</f>
        <v/>
      </c>
      <c r="T92" s="165" t="str">
        <f>IF(T$3="","",IF(COUNTIFS(BD!$A$3:$A$5001,T$3,BD!$B$3:$B$5001,$A$89,BD!$L$3:$L$5001,"&lt;&gt;")=0,"",SUMIFS(BD!$L$3:$L$5001,BD!$A$3:$A$5001,T$3,BD!$B$3:$B$5001,$A$89)))</f>
        <v/>
      </c>
      <c r="U92" s="165" t="str">
        <f>IF(U$3="","",IF(COUNTIFS(BD!$A$3:$A$5001,U$3,BD!$B$3:$B$5001,$A$89,BD!$L$3:$L$5001,"&lt;&gt;")=0,"",SUMIFS(BD!$L$3:$L$5001,BD!$A$3:$A$5001,U$3,BD!$B$3:$B$5001,$A$89)))</f>
        <v/>
      </c>
      <c r="V92" s="165" t="str">
        <f>IF(V$3="","",IF(COUNTIFS(BD!$A$3:$A$5001,V$3,BD!$B$3:$B$5001,$A$89,BD!$L$3:$L$5001,"&lt;&gt;")=0,"",SUMIFS(BD!$L$3:$L$5001,BD!$A$3:$A$5001,V$3,BD!$B$3:$B$5001,$A$89)))</f>
        <v/>
      </c>
      <c r="W92" s="165" t="str">
        <f>IF(W$3="","",IF(COUNTIFS(BD!$A$3:$A$5001,W$3,BD!$B$3:$B$5001,$A$89,BD!$L$3:$L$5001,"&lt;&gt;")=0,"",SUMIFS(BD!$L$3:$L$5001,BD!$A$3:$A$5001,W$3,BD!$B$3:$B$5001,$A$89)))</f>
        <v/>
      </c>
      <c r="X92" s="165" t="str">
        <f>IF(X$3="","",IF(COUNTIFS(BD!$A$3:$A$5001,X$3,BD!$B$3:$B$5001,$A$89,BD!$L$3:$L$5001,"&lt;&gt;")=0,"",SUMIFS(BD!$L$3:$L$5001,BD!$A$3:$A$5001,X$3,BD!$B$3:$B$5001,$A$89)))</f>
        <v/>
      </c>
      <c r="Y92" s="165" t="str">
        <f>IF(Y$3="","",IF(COUNTIFS(BD!$A$3:$A$5001,Y$3,BD!$B$3:$B$5001,$A$89,BD!$L$3:$L$5001,"&lt;&gt;")=0,"",SUMIFS(BD!$L$3:$L$5001,BD!$A$3:$A$5001,Y$3,BD!$B$3:$B$5001,$A$89)))</f>
        <v/>
      </c>
      <c r="Z92" s="165" t="str">
        <f>IF(Z$3="","",IF(COUNTIFS(BD!$A$3:$A$5001,Z$3,BD!$B$3:$B$5001,$A$89,BD!$L$3:$L$5001,"&lt;&gt;")=0,"",SUMIFS(BD!$L$3:$L$5001,BD!$A$3:$A$5001,Z$3,BD!$B$3:$B$5001,$A$89)))</f>
        <v/>
      </c>
      <c r="AA92" s="165" t="str">
        <f>IF(AA$3="","",IF(COUNTIFS(BD!$A$3:$A$5001,AA$3,BD!$B$3:$B$5001,$A$89,BD!$L$3:$L$5001,"&lt;&gt;")=0,"",SUMIFS(BD!$L$3:$L$5001,BD!$A$3:$A$5001,AA$3,BD!$B$3:$B$5001,$A$89)))</f>
        <v/>
      </c>
      <c r="AB92" s="165" t="str">
        <f>IF(AB$3="","",IF(COUNTIFS(BD!$A$3:$A$5001,AB$3,BD!$B$3:$B$5001,$A$89,BD!$L$3:$L$5001,"&lt;&gt;")=0,"",SUMIFS(BD!$L$3:$L$5001,BD!$A$3:$A$5001,AB$3,BD!$B$3:$B$5001,$A$89)))</f>
        <v/>
      </c>
      <c r="AC92" s="165" t="str">
        <f>IF(AC$3="","",IF(COUNTIFS(BD!$A$3:$A$5001,AC$3,BD!$B$3:$B$5001,$A$89,BD!$L$3:$L$5001,"&lt;&gt;")=0,"",SUMIFS(BD!$L$3:$L$5001,BD!$A$3:$A$5001,AC$3,BD!$B$3:$B$5001,$A$89)))</f>
        <v/>
      </c>
      <c r="AD92" s="165" t="str">
        <f>IF(AD$3="","",IF(COUNTIFS(BD!$A$3:$A$5001,AD$3,BD!$B$3:$B$5001,$A$89,BD!$L$3:$L$5001,"&lt;&gt;")=0,"",SUMIFS(BD!$L$3:$L$5001,BD!$A$3:$A$5001,AD$3,BD!$B$3:$B$5001,$A$89)))</f>
        <v/>
      </c>
      <c r="AE92" s="165" t="str">
        <f>IF(AE$3="","",IF(COUNTIFS(BD!$A$3:$A$5001,AE$3,BD!$B$3:$B$5001,$A$89,BD!$L$3:$L$5001,"&lt;&gt;")=0,"",SUMIFS(BD!$L$3:$L$5001,BD!$A$3:$A$5001,AE$3,BD!$B$3:$B$5001,$A$89)))</f>
        <v/>
      </c>
      <c r="AF92" s="165" t="str">
        <f>IF(AF$3="","",IF(COUNTIFS(BD!$A$3:$A$5001,AF$3,BD!$B$3:$B$5001,$A$89,BD!$L$3:$L$5001,"&lt;&gt;")=0,"",SUMIFS(BD!$L$3:$L$5001,BD!$A$3:$A$5001,AF$3,BD!$B$3:$B$5001,$A$89)))</f>
        <v/>
      </c>
      <c r="AG92" s="165" t="str">
        <f>IF(AG$3="","",IF(COUNTIFS(BD!$A$3:$A$5001,AG$3,BD!$B$3:$B$5001,$A$89,BD!$L$3:$L$5001,"&lt;&gt;")=0,"",SUMIFS(BD!$L$3:$L$5001,BD!$A$3:$A$5001,AG$3,BD!$B$3:$B$5001,$A$89)))</f>
        <v/>
      </c>
      <c r="AH92" s="165" t="str">
        <f>IF(AH$3="","",IF(COUNTIFS(BD!$A$3:$A$5001,AH$3,BD!$B$3:$B$5001,$A$89,BD!$L$3:$L$5001,"&lt;&gt;")=0,"",SUMIFS(BD!$L$3:$L$5001,BD!$A$3:$A$5001,AH$3,BD!$B$3:$B$5001,$A$89)))</f>
        <v/>
      </c>
      <c r="AI92" s="165" t="str">
        <f>IF(AI$3="","",IF(COUNTIFS(BD!$A$3:$A$5001,AI$3,BD!$B$3:$B$5001,$A$89,BD!$L$3:$L$5001,"&lt;&gt;")=0,"",SUMIFS(BD!$L$3:$L$5001,BD!$A$3:$A$5001,AI$3,BD!$B$3:$B$5001,$A$89)))</f>
        <v/>
      </c>
      <c r="AJ92" s="166" t="str">
        <f>IF(AJ$3="","",IF(COUNTIFS(BD!$A$3:$A$5001,AJ$3,BD!$B$3:$B$5001,$A$89,BD!$L$3:$L$5001,"&lt;&gt;")=0,"",SUMIFS(BD!$L$3:$L$5001,BD!$A$3:$A$5001,AJ$3,BD!$B$3:$B$5001,$A$89)))</f>
        <v/>
      </c>
      <c r="AK92" s="167" t="str">
        <f>IF(COUNT(F92:AJ92)=0,"",SUM(F92:AJ92))</f>
        <v/>
      </c>
    </row>
    <row r="93" ht="15.75" customHeight="1">
      <c r="A93" s="237"/>
      <c r="B93" s="254"/>
      <c r="C93" s="243" t="inlineStr">
        <is>
          <t xml:space="preserve">Pallets Movimentados</t>
        </is>
      </c>
      <c r="D93" s="244" t="str">
        <f>IFERROR(1/(1/INDEX(BD!$AK$39:$AU$39,MATCH($A$89,BD!$AK$22:$AU$22,0))),"")</f>
        <v/>
      </c>
      <c r="E93" s="245"/>
      <c r="F93" s="246" t="str">
        <f>IF(F$3="","",IF(COUNTIFS(BD!$A$3:$A$5001,F$3,BD!$B$3:$B$5001,$A$89,BD!$S$3:$S$5001,"&lt;&gt;")=0,"",SUMIFS(BD!$S$3:$S$5001,BD!$A$3:$A$5001,F$3,BD!$B$3:$B$5001,$A$89)))</f>
        <v/>
      </c>
      <c r="G93" s="247" t="str">
        <f>IF(G$3="","",IF(COUNTIFS(BD!$A$3:$A$5001,G$3,BD!$B$3:$B$5001,$A$89,BD!$S$3:$S$5001,"&lt;&gt;")=0,"",SUMIFS(BD!$S$3:$S$5001,BD!$A$3:$A$5001,G$3,BD!$B$3:$B$5001,$A$89)))</f>
        <v/>
      </c>
      <c r="H93" s="247" t="str">
        <f>IF(H$3="","",IF(COUNTIFS(BD!$A$3:$A$5001,H$3,BD!$B$3:$B$5001,$A$89,BD!$S$3:$S$5001,"&lt;&gt;")=0,"",SUMIFS(BD!$S$3:$S$5001,BD!$A$3:$A$5001,H$3,BD!$B$3:$B$5001,$A$89)))</f>
        <v/>
      </c>
      <c r="I93" s="247" t="str">
        <f>IF(I$3="","",IF(COUNTIFS(BD!$A$3:$A$5001,I$3,BD!$B$3:$B$5001,$A$89,BD!$S$3:$S$5001,"&lt;&gt;")=0,"",SUMIFS(BD!$S$3:$S$5001,BD!$A$3:$A$5001,I$3,BD!$B$3:$B$5001,$A$89)))</f>
        <v/>
      </c>
      <c r="J93" s="247" t="str">
        <f>IF(J$3="","",IF(COUNTIFS(BD!$A$3:$A$5001,J$3,BD!$B$3:$B$5001,$A$89,BD!$S$3:$S$5001,"&lt;&gt;")=0,"",SUMIFS(BD!$S$3:$S$5001,BD!$A$3:$A$5001,J$3,BD!$B$3:$B$5001,$A$89)))</f>
        <v/>
      </c>
      <c r="K93" s="247" t="str">
        <f>IF(K$3="","",IF(COUNTIFS(BD!$A$3:$A$5001,K$3,BD!$B$3:$B$5001,$A$89,BD!$S$3:$S$5001,"&lt;&gt;")=0,"",SUMIFS(BD!$S$3:$S$5001,BD!$A$3:$A$5001,K$3,BD!$B$3:$B$5001,$A$89)))</f>
        <v/>
      </c>
      <c r="L93" s="247" t="str">
        <f>IF(L$3="","",IF(COUNTIFS(BD!$A$3:$A$5001,L$3,BD!$B$3:$B$5001,$A$89,BD!$S$3:$S$5001,"&lt;&gt;")=0,"",SUMIFS(BD!$S$3:$S$5001,BD!$A$3:$A$5001,L$3,BD!$B$3:$B$5001,$A$89)))</f>
        <v/>
      </c>
      <c r="M93" s="247" t="str">
        <f>IF(M$3="","",IF(COUNTIFS(BD!$A$3:$A$5001,M$3,BD!$B$3:$B$5001,$A$89,BD!$S$3:$S$5001,"&lt;&gt;")=0,"",SUMIFS(BD!$S$3:$S$5001,BD!$A$3:$A$5001,M$3,BD!$B$3:$B$5001,$A$89)))</f>
        <v/>
      </c>
      <c r="N93" s="247" t="str">
        <f>IF(N$3="","",IF(COUNTIFS(BD!$A$3:$A$5001,N$3,BD!$B$3:$B$5001,$A$89,BD!$S$3:$S$5001,"&lt;&gt;")=0,"",SUMIFS(BD!$S$3:$S$5001,BD!$A$3:$A$5001,N$3,BD!$B$3:$B$5001,$A$89)))</f>
        <v/>
      </c>
      <c r="O93" s="247" t="str">
        <f>IF(O$3="","",IF(COUNTIFS(BD!$A$3:$A$5001,O$3,BD!$B$3:$B$5001,$A$89,BD!$S$3:$S$5001,"&lt;&gt;")=0,"",SUMIFS(BD!$S$3:$S$5001,BD!$A$3:$A$5001,O$3,BD!$B$3:$B$5001,$A$89)))</f>
        <v/>
      </c>
      <c r="P93" s="247" t="str">
        <f>IF(P$3="","",IF(COUNTIFS(BD!$A$3:$A$5001,P$3,BD!$B$3:$B$5001,$A$89,BD!$S$3:$S$5001,"&lt;&gt;")=0,"",SUMIFS(BD!$S$3:$S$5001,BD!$A$3:$A$5001,P$3,BD!$B$3:$B$5001,$A$89)))</f>
        <v/>
      </c>
      <c r="Q93" s="247" t="str">
        <f>IF(Q$3="","",IF(COUNTIFS(BD!$A$3:$A$5001,Q$3,BD!$B$3:$B$5001,$A$89,BD!$S$3:$S$5001,"&lt;&gt;")=0,"",SUMIFS(BD!$S$3:$S$5001,BD!$A$3:$A$5001,Q$3,BD!$B$3:$B$5001,$A$89)))</f>
        <v/>
      </c>
      <c r="R93" s="247" t="str">
        <f>IF(R$3="","",IF(COUNTIFS(BD!$A$3:$A$5001,R$3,BD!$B$3:$B$5001,$A$89,BD!$S$3:$S$5001,"&lt;&gt;")=0,"",SUMIFS(BD!$S$3:$S$5001,BD!$A$3:$A$5001,R$3,BD!$B$3:$B$5001,$A$89)))</f>
        <v/>
      </c>
      <c r="S93" s="247" t="str">
        <f>IF(S$3="","",IF(COUNTIFS(BD!$A$3:$A$5001,S$3,BD!$B$3:$B$5001,$A$89,BD!$S$3:$S$5001,"&lt;&gt;")=0,"",SUMIFS(BD!$S$3:$S$5001,BD!$A$3:$A$5001,S$3,BD!$B$3:$B$5001,$A$89)))</f>
        <v/>
      </c>
      <c r="T93" s="247" t="str">
        <f>IF(T$3="","",IF(COUNTIFS(BD!$A$3:$A$5001,T$3,BD!$B$3:$B$5001,$A$89,BD!$S$3:$S$5001,"&lt;&gt;")=0,"",SUMIFS(BD!$S$3:$S$5001,BD!$A$3:$A$5001,T$3,BD!$B$3:$B$5001,$A$89)))</f>
        <v/>
      </c>
      <c r="U93" s="247" t="str">
        <f>IF(U$3="","",IF(COUNTIFS(BD!$A$3:$A$5001,U$3,BD!$B$3:$B$5001,$A$89,BD!$S$3:$S$5001,"&lt;&gt;")=0,"",SUMIFS(BD!$S$3:$S$5001,BD!$A$3:$A$5001,U$3,BD!$B$3:$B$5001,$A$89)))</f>
        <v/>
      </c>
      <c r="V93" s="247" t="str">
        <f>IF(V$3="","",IF(COUNTIFS(BD!$A$3:$A$5001,V$3,BD!$B$3:$B$5001,$A$89,BD!$S$3:$S$5001,"&lt;&gt;")=0,"",SUMIFS(BD!$S$3:$S$5001,BD!$A$3:$A$5001,V$3,BD!$B$3:$B$5001,$A$89)))</f>
        <v/>
      </c>
      <c r="W93" s="247" t="str">
        <f>IF(W$3="","",IF(COUNTIFS(BD!$A$3:$A$5001,W$3,BD!$B$3:$B$5001,$A$89,BD!$S$3:$S$5001,"&lt;&gt;")=0,"",SUMIFS(BD!$S$3:$S$5001,BD!$A$3:$A$5001,W$3,BD!$B$3:$B$5001,$A$89)))</f>
        <v/>
      </c>
      <c r="X93" s="247" t="str">
        <f>IF(X$3="","",IF(COUNTIFS(BD!$A$3:$A$5001,X$3,BD!$B$3:$B$5001,$A$89,BD!$S$3:$S$5001,"&lt;&gt;")=0,"",SUMIFS(BD!$S$3:$S$5001,BD!$A$3:$A$5001,X$3,BD!$B$3:$B$5001,$A$89)))</f>
        <v/>
      </c>
      <c r="Y93" s="247" t="str">
        <f>IF(Y$3="","",IF(COUNTIFS(BD!$A$3:$A$5001,Y$3,BD!$B$3:$B$5001,$A$89,BD!$S$3:$S$5001,"&lt;&gt;")=0,"",SUMIFS(BD!$S$3:$S$5001,BD!$A$3:$A$5001,Y$3,BD!$B$3:$B$5001,$A$89)))</f>
        <v/>
      </c>
      <c r="Z93" s="247" t="str">
        <f>IF(Z$3="","",IF(COUNTIFS(BD!$A$3:$A$5001,Z$3,BD!$B$3:$B$5001,$A$89,BD!$S$3:$S$5001,"&lt;&gt;")=0,"",SUMIFS(BD!$S$3:$S$5001,BD!$A$3:$A$5001,Z$3,BD!$B$3:$B$5001,$A$89)))</f>
        <v/>
      </c>
      <c r="AA93" s="247" t="str">
        <f>IF(AA$3="","",IF(COUNTIFS(BD!$A$3:$A$5001,AA$3,BD!$B$3:$B$5001,$A$89,BD!$S$3:$S$5001,"&lt;&gt;")=0,"",SUMIFS(BD!$S$3:$S$5001,BD!$A$3:$A$5001,AA$3,BD!$B$3:$B$5001,$A$89)))</f>
        <v/>
      </c>
      <c r="AB93" s="247" t="str">
        <f>IF(AB$3="","",IF(COUNTIFS(BD!$A$3:$A$5001,AB$3,BD!$B$3:$B$5001,$A$89,BD!$S$3:$S$5001,"&lt;&gt;")=0,"",SUMIFS(BD!$S$3:$S$5001,BD!$A$3:$A$5001,AB$3,BD!$B$3:$B$5001,$A$89)))</f>
        <v/>
      </c>
      <c r="AC93" s="247" t="str">
        <f>IF(AC$3="","",IF(COUNTIFS(BD!$A$3:$A$5001,AC$3,BD!$B$3:$B$5001,$A$89,BD!$S$3:$S$5001,"&lt;&gt;")=0,"",SUMIFS(BD!$S$3:$S$5001,BD!$A$3:$A$5001,AC$3,BD!$B$3:$B$5001,$A$89)))</f>
        <v/>
      </c>
      <c r="AD93" s="247" t="str">
        <f>IF(AD$3="","",IF(COUNTIFS(BD!$A$3:$A$5001,AD$3,BD!$B$3:$B$5001,$A$89,BD!$S$3:$S$5001,"&lt;&gt;")=0,"",SUMIFS(BD!$S$3:$S$5001,BD!$A$3:$A$5001,AD$3,BD!$B$3:$B$5001,$A$89)))</f>
        <v/>
      </c>
      <c r="AE93" s="247" t="str">
        <f>IF(AE$3="","",IF(COUNTIFS(BD!$A$3:$A$5001,AE$3,BD!$B$3:$B$5001,$A$89,BD!$S$3:$S$5001,"&lt;&gt;")=0,"",SUMIFS(BD!$S$3:$S$5001,BD!$A$3:$A$5001,AE$3,BD!$B$3:$B$5001,$A$89)))</f>
        <v/>
      </c>
      <c r="AF93" s="247" t="str">
        <f>IF(AF$3="","",IF(COUNTIFS(BD!$A$3:$A$5001,AF$3,BD!$B$3:$B$5001,$A$89,BD!$S$3:$S$5001,"&lt;&gt;")=0,"",SUMIFS(BD!$S$3:$S$5001,BD!$A$3:$A$5001,AF$3,BD!$B$3:$B$5001,$A$89)))</f>
        <v/>
      </c>
      <c r="AG93" s="247" t="str">
        <f>IF(AG$3="","",IF(COUNTIFS(BD!$A$3:$A$5001,AG$3,BD!$B$3:$B$5001,$A$89,BD!$S$3:$S$5001,"&lt;&gt;")=0,"",SUMIFS(BD!$S$3:$S$5001,BD!$A$3:$A$5001,AG$3,BD!$B$3:$B$5001,$A$89)))</f>
        <v/>
      </c>
      <c r="AH93" s="247" t="str">
        <f>IF(AH$3="","",IF(COUNTIFS(BD!$A$3:$A$5001,AH$3,BD!$B$3:$B$5001,$A$89,BD!$S$3:$S$5001,"&lt;&gt;")=0,"",SUMIFS(BD!$S$3:$S$5001,BD!$A$3:$A$5001,AH$3,BD!$B$3:$B$5001,$A$89)))</f>
        <v/>
      </c>
      <c r="AI93" s="247" t="str">
        <f>IF(AI$3="","",IF(COUNTIFS(BD!$A$3:$A$5001,AI$3,BD!$B$3:$B$5001,$A$89,BD!$S$3:$S$5001,"&lt;&gt;")=0,"",SUMIFS(BD!$S$3:$S$5001,BD!$A$3:$A$5001,AI$3,BD!$B$3:$B$5001,$A$89)))</f>
        <v/>
      </c>
      <c r="AJ93" s="248" t="str">
        <f>IF(AJ$3="","",IF(COUNTIFS(BD!$A$3:$A$5001,AJ$3,BD!$B$3:$B$5001,$A$89,BD!$S$3:$S$5001,"&lt;&gt;")=0,"",SUMIFS(BD!$S$3:$S$5001,BD!$A$3:$A$5001,AJ$3,BD!$B$3:$B$5001,$A$89)))</f>
        <v/>
      </c>
      <c r="AK93" s="249" t="str">
        <f>IF(COUNT(F93:AJ93)=0,"",SUM(F93:AJ93))</f>
        <v/>
      </c>
    </row>
    <row r="94" ht="15.75" customHeight="1">
      <c r="A94" s="237"/>
      <c r="B94" s="228"/>
      <c r="C94" s="168" t="inlineStr">
        <is>
          <t xml:space="preserve">Toneladas Movimentadas</t>
        </is>
      </c>
      <c r="D94" s="169" t="str">
        <f>IFERROR(1/(1/INDEX(BD!$AK$40:$AU$40,MATCH($A$89,BD!$AK$22:$AU$22,0))),"")</f>
        <v/>
      </c>
      <c r="E94" s="170"/>
      <c r="F94" s="250" t="str">
        <f>IF(F$3="","",IF(COUNTIFS(BD!$A$3:$A$5001,F$3,BD!$B$3:$B$5001,$A$89,BD!$T$3:$T$5001,"&lt;&gt;")=0,"",SUMIFS(BD!$T$3:$T$5001,BD!$A$3:$A$5001,F$3,BD!$B$3:$B$5001,$A$89)))</f>
        <v/>
      </c>
      <c r="G94" s="251" t="str">
        <f>IF(G$3="","",IF(COUNTIFS(BD!$A$3:$A$5001,G$3,BD!$B$3:$B$5001,$A$89,BD!$T$3:$T$5001,"&lt;&gt;")=0,"",SUMIFS(BD!$T$3:$T$5001,BD!$A$3:$A$5001,G$3,BD!$B$3:$B$5001,$A$89)))</f>
        <v/>
      </c>
      <c r="H94" s="251" t="str">
        <f>IF(H$3="","",IF(COUNTIFS(BD!$A$3:$A$5001,H$3,BD!$B$3:$B$5001,$A$89,BD!$T$3:$T$5001,"&lt;&gt;")=0,"",SUMIFS(BD!$T$3:$T$5001,BD!$A$3:$A$5001,H$3,BD!$B$3:$B$5001,$A$89)))</f>
        <v/>
      </c>
      <c r="I94" s="251" t="str">
        <f>IF(I$3="","",IF(COUNTIFS(BD!$A$3:$A$5001,I$3,BD!$B$3:$B$5001,$A$89,BD!$T$3:$T$5001,"&lt;&gt;")=0,"",SUMIFS(BD!$T$3:$T$5001,BD!$A$3:$A$5001,I$3,BD!$B$3:$B$5001,$A$89)))</f>
        <v/>
      </c>
      <c r="J94" s="251" t="str">
        <f>IF(J$3="","",IF(COUNTIFS(BD!$A$3:$A$5001,J$3,BD!$B$3:$B$5001,$A$89,BD!$T$3:$T$5001,"&lt;&gt;")=0,"",SUMIFS(BD!$T$3:$T$5001,BD!$A$3:$A$5001,J$3,BD!$B$3:$B$5001,$A$89)))</f>
        <v/>
      </c>
      <c r="K94" s="251" t="str">
        <f>IF(K$3="","",IF(COUNTIFS(BD!$A$3:$A$5001,K$3,BD!$B$3:$B$5001,$A$89,BD!$T$3:$T$5001,"&lt;&gt;")=0,"",SUMIFS(BD!$T$3:$T$5001,BD!$A$3:$A$5001,K$3,BD!$B$3:$B$5001,$A$89)))</f>
        <v/>
      </c>
      <c r="L94" s="251" t="str">
        <f>IF(L$3="","",IF(COUNTIFS(BD!$A$3:$A$5001,L$3,BD!$B$3:$B$5001,$A$89,BD!$T$3:$T$5001,"&lt;&gt;")=0,"",SUMIFS(BD!$T$3:$T$5001,BD!$A$3:$A$5001,L$3,BD!$B$3:$B$5001,$A$89)))</f>
        <v/>
      </c>
      <c r="M94" s="251" t="str">
        <f>IF(M$3="","",IF(COUNTIFS(BD!$A$3:$A$5001,M$3,BD!$B$3:$B$5001,$A$89,BD!$T$3:$T$5001,"&lt;&gt;")=0,"",SUMIFS(BD!$T$3:$T$5001,BD!$A$3:$A$5001,M$3,BD!$B$3:$B$5001,$A$89)))</f>
        <v/>
      </c>
      <c r="N94" s="251" t="str">
        <f>IF(N$3="","",IF(COUNTIFS(BD!$A$3:$A$5001,N$3,BD!$B$3:$B$5001,$A$89,BD!$T$3:$T$5001,"&lt;&gt;")=0,"",SUMIFS(BD!$T$3:$T$5001,BD!$A$3:$A$5001,N$3,BD!$B$3:$B$5001,$A$89)))</f>
        <v/>
      </c>
      <c r="O94" s="251" t="str">
        <f>IF(O$3="","",IF(COUNTIFS(BD!$A$3:$A$5001,O$3,BD!$B$3:$B$5001,$A$89,BD!$T$3:$T$5001,"&lt;&gt;")=0,"",SUMIFS(BD!$T$3:$T$5001,BD!$A$3:$A$5001,O$3,BD!$B$3:$B$5001,$A$89)))</f>
        <v/>
      </c>
      <c r="P94" s="251" t="str">
        <f>IF(P$3="","",IF(COUNTIFS(BD!$A$3:$A$5001,P$3,BD!$B$3:$B$5001,$A$89,BD!$T$3:$T$5001,"&lt;&gt;")=0,"",SUMIFS(BD!$T$3:$T$5001,BD!$A$3:$A$5001,P$3,BD!$B$3:$B$5001,$A$89)))</f>
        <v/>
      </c>
      <c r="Q94" s="251" t="str">
        <f>IF(Q$3="","",IF(COUNTIFS(BD!$A$3:$A$5001,Q$3,BD!$B$3:$B$5001,$A$89,BD!$T$3:$T$5001,"&lt;&gt;")=0,"",SUMIFS(BD!$T$3:$T$5001,BD!$A$3:$A$5001,Q$3,BD!$B$3:$B$5001,$A$89)))</f>
        <v/>
      </c>
      <c r="R94" s="251" t="str">
        <f>IF(R$3="","",IF(COUNTIFS(BD!$A$3:$A$5001,R$3,BD!$B$3:$B$5001,$A$89,BD!$T$3:$T$5001,"&lt;&gt;")=0,"",SUMIFS(BD!$T$3:$T$5001,BD!$A$3:$A$5001,R$3,BD!$B$3:$B$5001,$A$89)))</f>
        <v/>
      </c>
      <c r="S94" s="251" t="str">
        <f>IF(S$3="","",IF(COUNTIFS(BD!$A$3:$A$5001,S$3,BD!$B$3:$B$5001,$A$89,BD!$T$3:$T$5001,"&lt;&gt;")=0,"",SUMIFS(BD!$T$3:$T$5001,BD!$A$3:$A$5001,S$3,BD!$B$3:$B$5001,$A$89)))</f>
        <v/>
      </c>
      <c r="T94" s="251" t="str">
        <f>IF(T$3="","",IF(COUNTIFS(BD!$A$3:$A$5001,T$3,BD!$B$3:$B$5001,$A$89,BD!$T$3:$T$5001,"&lt;&gt;")=0,"",SUMIFS(BD!$T$3:$T$5001,BD!$A$3:$A$5001,T$3,BD!$B$3:$B$5001,$A$89)))</f>
        <v/>
      </c>
      <c r="U94" s="251" t="str">
        <f>IF(U$3="","",IF(COUNTIFS(BD!$A$3:$A$5001,U$3,BD!$B$3:$B$5001,$A$89,BD!$T$3:$T$5001,"&lt;&gt;")=0,"",SUMIFS(BD!$T$3:$T$5001,BD!$A$3:$A$5001,U$3,BD!$B$3:$B$5001,$A$89)))</f>
        <v/>
      </c>
      <c r="V94" s="251" t="str">
        <f>IF(V$3="","",IF(COUNTIFS(BD!$A$3:$A$5001,V$3,BD!$B$3:$B$5001,$A$89,BD!$T$3:$T$5001,"&lt;&gt;")=0,"",SUMIFS(BD!$T$3:$T$5001,BD!$A$3:$A$5001,V$3,BD!$B$3:$B$5001,$A$89)))</f>
        <v/>
      </c>
      <c r="W94" s="251" t="str">
        <f>IF(W$3="","",IF(COUNTIFS(BD!$A$3:$A$5001,W$3,BD!$B$3:$B$5001,$A$89,BD!$T$3:$T$5001,"&lt;&gt;")=0,"",SUMIFS(BD!$T$3:$T$5001,BD!$A$3:$A$5001,W$3,BD!$B$3:$B$5001,$A$89)))</f>
        <v/>
      </c>
      <c r="X94" s="251" t="str">
        <f>IF(X$3="","",IF(COUNTIFS(BD!$A$3:$A$5001,X$3,BD!$B$3:$B$5001,$A$89,BD!$T$3:$T$5001,"&lt;&gt;")=0,"",SUMIFS(BD!$T$3:$T$5001,BD!$A$3:$A$5001,X$3,BD!$B$3:$B$5001,$A$89)))</f>
        <v/>
      </c>
      <c r="Y94" s="251" t="str">
        <f>IF(Y$3="","",IF(COUNTIFS(BD!$A$3:$A$5001,Y$3,BD!$B$3:$B$5001,$A$89,BD!$T$3:$T$5001,"&lt;&gt;")=0,"",SUMIFS(BD!$T$3:$T$5001,BD!$A$3:$A$5001,Y$3,BD!$B$3:$B$5001,$A$89)))</f>
        <v/>
      </c>
      <c r="Z94" s="251" t="str">
        <f>IF(Z$3="","",IF(COUNTIFS(BD!$A$3:$A$5001,Z$3,BD!$B$3:$B$5001,$A$89,BD!$T$3:$T$5001,"&lt;&gt;")=0,"",SUMIFS(BD!$T$3:$T$5001,BD!$A$3:$A$5001,Z$3,BD!$B$3:$B$5001,$A$89)))</f>
        <v/>
      </c>
      <c r="AA94" s="251" t="str">
        <f>IF(AA$3="","",IF(COUNTIFS(BD!$A$3:$A$5001,AA$3,BD!$B$3:$B$5001,$A$89,BD!$T$3:$T$5001,"&lt;&gt;")=0,"",SUMIFS(BD!$T$3:$T$5001,BD!$A$3:$A$5001,AA$3,BD!$B$3:$B$5001,$A$89)))</f>
        <v/>
      </c>
      <c r="AB94" s="251" t="str">
        <f>IF(AB$3="","",IF(COUNTIFS(BD!$A$3:$A$5001,AB$3,BD!$B$3:$B$5001,$A$89,BD!$T$3:$T$5001,"&lt;&gt;")=0,"",SUMIFS(BD!$T$3:$T$5001,BD!$A$3:$A$5001,AB$3,BD!$B$3:$B$5001,$A$89)))</f>
        <v/>
      </c>
      <c r="AC94" s="251" t="str">
        <f>IF(AC$3="","",IF(COUNTIFS(BD!$A$3:$A$5001,AC$3,BD!$B$3:$B$5001,$A$89,BD!$T$3:$T$5001,"&lt;&gt;")=0,"",SUMIFS(BD!$T$3:$T$5001,BD!$A$3:$A$5001,AC$3,BD!$B$3:$B$5001,$A$89)))</f>
        <v/>
      </c>
      <c r="AD94" s="251" t="str">
        <f>IF(AD$3="","",IF(COUNTIFS(BD!$A$3:$A$5001,AD$3,BD!$B$3:$B$5001,$A$89,BD!$T$3:$T$5001,"&lt;&gt;")=0,"",SUMIFS(BD!$T$3:$T$5001,BD!$A$3:$A$5001,AD$3,BD!$B$3:$B$5001,$A$89)))</f>
        <v/>
      </c>
      <c r="AE94" s="251" t="str">
        <f>IF(AE$3="","",IF(COUNTIFS(BD!$A$3:$A$5001,AE$3,BD!$B$3:$B$5001,$A$89,BD!$T$3:$T$5001,"&lt;&gt;")=0,"",SUMIFS(BD!$T$3:$T$5001,BD!$A$3:$A$5001,AE$3,BD!$B$3:$B$5001,$A$89)))</f>
        <v/>
      </c>
      <c r="AF94" s="251" t="str">
        <f>IF(AF$3="","",IF(COUNTIFS(BD!$A$3:$A$5001,AF$3,BD!$B$3:$B$5001,$A$89,BD!$T$3:$T$5001,"&lt;&gt;")=0,"",SUMIFS(BD!$T$3:$T$5001,BD!$A$3:$A$5001,AF$3,BD!$B$3:$B$5001,$A$89)))</f>
        <v/>
      </c>
      <c r="AG94" s="251" t="str">
        <f>IF(AG$3="","",IF(COUNTIFS(BD!$A$3:$A$5001,AG$3,BD!$B$3:$B$5001,$A$89,BD!$T$3:$T$5001,"&lt;&gt;")=0,"",SUMIFS(BD!$T$3:$T$5001,BD!$A$3:$A$5001,AG$3,BD!$B$3:$B$5001,$A$89)))</f>
        <v/>
      </c>
      <c r="AH94" s="251" t="str">
        <f>IF(AH$3="","",IF(COUNTIFS(BD!$A$3:$A$5001,AH$3,BD!$B$3:$B$5001,$A$89,BD!$T$3:$T$5001,"&lt;&gt;")=0,"",SUMIFS(BD!$T$3:$T$5001,BD!$A$3:$A$5001,AH$3,BD!$B$3:$B$5001,$A$89)))</f>
        <v/>
      </c>
      <c r="AI94" s="251" t="str">
        <f>IF(AI$3="","",IF(COUNTIFS(BD!$A$3:$A$5001,AI$3,BD!$B$3:$B$5001,$A$89,BD!$T$3:$T$5001,"&lt;&gt;")=0,"",SUMIFS(BD!$T$3:$T$5001,BD!$A$3:$A$5001,AI$3,BD!$B$3:$B$5001,$A$89)))</f>
        <v/>
      </c>
      <c r="AJ94" s="252" t="str">
        <f>IF(AJ$3="","",IF(COUNTIFS(BD!$A$3:$A$5001,AJ$3,BD!$B$3:$B$5001,$A$89,BD!$T$3:$T$5001,"&lt;&gt;")=0,"",SUMIFS(BD!$T$3:$T$5001,BD!$A$3:$A$5001,AJ$3,BD!$B$3:$B$5001,$A$89)))</f>
        <v/>
      </c>
      <c r="AK94" s="253" t="str">
        <f>IF(COUNT(F94:AJ94)=0,"",SUM(F94:AJ94))</f>
        <v/>
      </c>
    </row>
    <row r="95" ht="15.75" customHeight="1">
      <c r="A95" s="237"/>
      <c r="B95" s="229" t="inlineStr">
        <is>
          <t xml:space="preserve">NC</t>
        </is>
      </c>
      <c r="C95" s="174" t="inlineStr">
        <is>
          <t xml:space="preserve">Incidentes</t>
        </is>
      </c>
      <c r="D95" s="175" t="str">
        <f>IFERROR(1/(1/INDEX(BD!$AK$41:$AU$41,MATCH($A$89,BD!$AK$22:$AU$22,0))),"")</f>
        <v/>
      </c>
      <c r="E95" s="176"/>
      <c r="F95" s="177" t="str">
        <f>IF(F$3="","",IF(COUNTIFS(BD!$A$3:$A$5001,F$3,BD!$B$3:$B$5001,$A$89,BD!$U$3:$U$5001,"&lt;&gt;")=0,"",SUMIFS(BD!$U$3:$U$5001,BD!$A$3:$A$5001,F$3,BD!$B$3:$B$5001,$A$89)))</f>
        <v/>
      </c>
      <c r="G95" s="178" t="str">
        <f>IF(G$3="","",IF(COUNTIFS(BD!$A$3:$A$5001,G$3,BD!$B$3:$B$5001,$A$89,BD!$U$3:$U$5001,"&lt;&gt;")=0,"",SUMIFS(BD!$U$3:$U$5001,BD!$A$3:$A$5001,G$3,BD!$B$3:$B$5001,$A$89)))</f>
        <v/>
      </c>
      <c r="H95" s="178" t="str">
        <f>IF(H$3="","",IF(COUNTIFS(BD!$A$3:$A$5001,H$3,BD!$B$3:$B$5001,$A$89,BD!$U$3:$U$5001,"&lt;&gt;")=0,"",SUMIFS(BD!$U$3:$U$5001,BD!$A$3:$A$5001,H$3,BD!$B$3:$B$5001,$A$89)))</f>
        <v/>
      </c>
      <c r="I95" s="178" t="str">
        <f>IF(I$3="","",IF(COUNTIFS(BD!$A$3:$A$5001,I$3,BD!$B$3:$B$5001,$A$89,BD!$U$3:$U$5001,"&lt;&gt;")=0,"",SUMIFS(BD!$U$3:$U$5001,BD!$A$3:$A$5001,I$3,BD!$B$3:$B$5001,$A$89)))</f>
        <v/>
      </c>
      <c r="J95" s="178" t="str">
        <f>IF(J$3="","",IF(COUNTIFS(BD!$A$3:$A$5001,J$3,BD!$B$3:$B$5001,$A$89,BD!$U$3:$U$5001,"&lt;&gt;")=0,"",SUMIFS(BD!$U$3:$U$5001,BD!$A$3:$A$5001,J$3,BD!$B$3:$B$5001,$A$89)))</f>
        <v/>
      </c>
      <c r="K95" s="178" t="str">
        <f>IF(K$3="","",IF(COUNTIFS(BD!$A$3:$A$5001,K$3,BD!$B$3:$B$5001,$A$89,BD!$U$3:$U$5001,"&lt;&gt;")=0,"",SUMIFS(BD!$U$3:$U$5001,BD!$A$3:$A$5001,K$3,BD!$B$3:$B$5001,$A$89)))</f>
        <v/>
      </c>
      <c r="L95" s="178" t="str">
        <f>IF(L$3="","",IF(COUNTIFS(BD!$A$3:$A$5001,L$3,BD!$B$3:$B$5001,$A$89,BD!$U$3:$U$5001,"&lt;&gt;")=0,"",SUMIFS(BD!$U$3:$U$5001,BD!$A$3:$A$5001,L$3,BD!$B$3:$B$5001,$A$89)))</f>
        <v/>
      </c>
      <c r="M95" s="178" t="str">
        <f>IF(M$3="","",IF(COUNTIFS(BD!$A$3:$A$5001,M$3,BD!$B$3:$B$5001,$A$89,BD!$U$3:$U$5001,"&lt;&gt;")=0,"",SUMIFS(BD!$U$3:$U$5001,BD!$A$3:$A$5001,M$3,BD!$B$3:$B$5001,$A$89)))</f>
        <v/>
      </c>
      <c r="N95" s="178" t="str">
        <f>IF(N$3="","",IF(COUNTIFS(BD!$A$3:$A$5001,N$3,BD!$B$3:$B$5001,$A$89,BD!$U$3:$U$5001,"&lt;&gt;")=0,"",SUMIFS(BD!$U$3:$U$5001,BD!$A$3:$A$5001,N$3,BD!$B$3:$B$5001,$A$89)))</f>
        <v/>
      </c>
      <c r="O95" s="178" t="str">
        <f>IF(O$3="","",IF(COUNTIFS(BD!$A$3:$A$5001,O$3,BD!$B$3:$B$5001,$A$89,BD!$U$3:$U$5001,"&lt;&gt;")=0,"",SUMIFS(BD!$U$3:$U$5001,BD!$A$3:$A$5001,O$3,BD!$B$3:$B$5001,$A$89)))</f>
        <v/>
      </c>
      <c r="P95" s="178" t="str">
        <f>IF(P$3="","",IF(COUNTIFS(BD!$A$3:$A$5001,P$3,BD!$B$3:$B$5001,$A$89,BD!$U$3:$U$5001,"&lt;&gt;")=0,"",SUMIFS(BD!$U$3:$U$5001,BD!$A$3:$A$5001,P$3,BD!$B$3:$B$5001,$A$89)))</f>
        <v/>
      </c>
      <c r="Q95" s="178" t="str">
        <f>IF(Q$3="","",IF(COUNTIFS(BD!$A$3:$A$5001,Q$3,BD!$B$3:$B$5001,$A$89,BD!$U$3:$U$5001,"&lt;&gt;")=0,"",SUMIFS(BD!$U$3:$U$5001,BD!$A$3:$A$5001,Q$3,BD!$B$3:$B$5001,$A$89)))</f>
        <v/>
      </c>
      <c r="R95" s="178" t="str">
        <f>IF(R$3="","",IF(COUNTIFS(BD!$A$3:$A$5001,R$3,BD!$B$3:$B$5001,$A$89,BD!$U$3:$U$5001,"&lt;&gt;")=0,"",SUMIFS(BD!$U$3:$U$5001,BD!$A$3:$A$5001,R$3,BD!$B$3:$B$5001,$A$89)))</f>
        <v/>
      </c>
      <c r="S95" s="178" t="str">
        <f>IF(S$3="","",IF(COUNTIFS(BD!$A$3:$A$5001,S$3,BD!$B$3:$B$5001,$A$89,BD!$U$3:$U$5001,"&lt;&gt;")=0,"",SUMIFS(BD!$U$3:$U$5001,BD!$A$3:$A$5001,S$3,BD!$B$3:$B$5001,$A$89)))</f>
        <v/>
      </c>
      <c r="T95" s="178" t="str">
        <f>IF(T$3="","",IF(COUNTIFS(BD!$A$3:$A$5001,T$3,BD!$B$3:$B$5001,$A$89,BD!$U$3:$U$5001,"&lt;&gt;")=0,"",SUMIFS(BD!$U$3:$U$5001,BD!$A$3:$A$5001,T$3,BD!$B$3:$B$5001,$A$89)))</f>
        <v/>
      </c>
      <c r="U95" s="178" t="str">
        <f>IF(U$3="","",IF(COUNTIFS(BD!$A$3:$A$5001,U$3,BD!$B$3:$B$5001,$A$89,BD!$U$3:$U$5001,"&lt;&gt;")=0,"",SUMIFS(BD!$U$3:$U$5001,BD!$A$3:$A$5001,U$3,BD!$B$3:$B$5001,$A$89)))</f>
        <v/>
      </c>
      <c r="V95" s="178" t="str">
        <f>IF(V$3="","",IF(COUNTIFS(BD!$A$3:$A$5001,V$3,BD!$B$3:$B$5001,$A$89,BD!$U$3:$U$5001,"&lt;&gt;")=0,"",SUMIFS(BD!$U$3:$U$5001,BD!$A$3:$A$5001,V$3,BD!$B$3:$B$5001,$A$89)))</f>
        <v/>
      </c>
      <c r="W95" s="178" t="str">
        <f>IF(W$3="","",IF(COUNTIFS(BD!$A$3:$A$5001,W$3,BD!$B$3:$B$5001,$A$89,BD!$U$3:$U$5001,"&lt;&gt;")=0,"",SUMIFS(BD!$U$3:$U$5001,BD!$A$3:$A$5001,W$3,BD!$B$3:$B$5001,$A$89)))</f>
        <v/>
      </c>
      <c r="X95" s="178" t="str">
        <f>IF(X$3="","",IF(COUNTIFS(BD!$A$3:$A$5001,X$3,BD!$B$3:$B$5001,$A$89,BD!$U$3:$U$5001,"&lt;&gt;")=0,"",SUMIFS(BD!$U$3:$U$5001,BD!$A$3:$A$5001,X$3,BD!$B$3:$B$5001,$A$89)))</f>
        <v/>
      </c>
      <c r="Y95" s="178" t="str">
        <f>IF(Y$3="","",IF(COUNTIFS(BD!$A$3:$A$5001,Y$3,BD!$B$3:$B$5001,$A$89,BD!$U$3:$U$5001,"&lt;&gt;")=0,"",SUMIFS(BD!$U$3:$U$5001,BD!$A$3:$A$5001,Y$3,BD!$B$3:$B$5001,$A$89)))</f>
        <v/>
      </c>
      <c r="Z95" s="178" t="str">
        <f>IF(Z$3="","",IF(COUNTIFS(BD!$A$3:$A$5001,Z$3,BD!$B$3:$B$5001,$A$89,BD!$U$3:$U$5001,"&lt;&gt;")=0,"",SUMIFS(BD!$U$3:$U$5001,BD!$A$3:$A$5001,Z$3,BD!$B$3:$B$5001,$A$89)))</f>
        <v/>
      </c>
      <c r="AA95" s="178" t="str">
        <f>IF(AA$3="","",IF(COUNTIFS(BD!$A$3:$A$5001,AA$3,BD!$B$3:$B$5001,$A$89,BD!$U$3:$U$5001,"&lt;&gt;")=0,"",SUMIFS(BD!$U$3:$U$5001,BD!$A$3:$A$5001,AA$3,BD!$B$3:$B$5001,$A$89)))</f>
        <v/>
      </c>
      <c r="AB95" s="178" t="str">
        <f>IF(AB$3="","",IF(COUNTIFS(BD!$A$3:$A$5001,AB$3,BD!$B$3:$B$5001,$A$89,BD!$U$3:$U$5001,"&lt;&gt;")=0,"",SUMIFS(BD!$U$3:$U$5001,BD!$A$3:$A$5001,AB$3,BD!$B$3:$B$5001,$A$89)))</f>
        <v/>
      </c>
      <c r="AC95" s="178" t="str">
        <f>IF(AC$3="","",IF(COUNTIFS(BD!$A$3:$A$5001,AC$3,BD!$B$3:$B$5001,$A$89,BD!$U$3:$U$5001,"&lt;&gt;")=0,"",SUMIFS(BD!$U$3:$U$5001,BD!$A$3:$A$5001,AC$3,BD!$B$3:$B$5001,$A$89)))</f>
        <v/>
      </c>
      <c r="AD95" s="178" t="str">
        <f>IF(AD$3="","",IF(COUNTIFS(BD!$A$3:$A$5001,AD$3,BD!$B$3:$B$5001,$A$89,BD!$U$3:$U$5001,"&lt;&gt;")=0,"",SUMIFS(BD!$U$3:$U$5001,BD!$A$3:$A$5001,AD$3,BD!$B$3:$B$5001,$A$89)))</f>
        <v/>
      </c>
      <c r="AE95" s="178" t="str">
        <f>IF(AE$3="","",IF(COUNTIFS(BD!$A$3:$A$5001,AE$3,BD!$B$3:$B$5001,$A$89,BD!$U$3:$U$5001,"&lt;&gt;")=0,"",SUMIFS(BD!$U$3:$U$5001,BD!$A$3:$A$5001,AE$3,BD!$B$3:$B$5001,$A$89)))</f>
        <v/>
      </c>
      <c r="AF95" s="178" t="str">
        <f>IF(AF$3="","",IF(COUNTIFS(BD!$A$3:$A$5001,AF$3,BD!$B$3:$B$5001,$A$89,BD!$U$3:$U$5001,"&lt;&gt;")=0,"",SUMIFS(BD!$U$3:$U$5001,BD!$A$3:$A$5001,AF$3,BD!$B$3:$B$5001,$A$89)))</f>
        <v/>
      </c>
      <c r="AG95" s="178" t="str">
        <f>IF(AG$3="","",IF(COUNTIFS(BD!$A$3:$A$5001,AG$3,BD!$B$3:$B$5001,$A$89,BD!$U$3:$U$5001,"&lt;&gt;")=0,"",SUMIFS(BD!$U$3:$U$5001,BD!$A$3:$A$5001,AG$3,BD!$B$3:$B$5001,$A$89)))</f>
        <v/>
      </c>
      <c r="AH95" s="178" t="str">
        <f>IF(AH$3="","",IF(COUNTIFS(BD!$A$3:$A$5001,AH$3,BD!$B$3:$B$5001,$A$89,BD!$U$3:$U$5001,"&lt;&gt;")=0,"",SUMIFS(BD!$U$3:$U$5001,BD!$A$3:$A$5001,AH$3,BD!$B$3:$B$5001,$A$89)))</f>
        <v/>
      </c>
      <c r="AI95" s="178" t="str">
        <f>IF(AI$3="","",IF(COUNTIFS(BD!$A$3:$A$5001,AI$3,BD!$B$3:$B$5001,$A$89,BD!$U$3:$U$5001,"&lt;&gt;")=0,"",SUMIFS(BD!$U$3:$U$5001,BD!$A$3:$A$5001,AI$3,BD!$B$3:$B$5001,$A$89)))</f>
        <v/>
      </c>
      <c r="AJ95" s="179" t="str">
        <f>IF(AJ$3="","",IF(COUNTIFS(BD!$A$3:$A$5001,AJ$3,BD!$B$3:$B$5001,$A$89,BD!$U$3:$U$5001,"&lt;&gt;")=0,"",SUMIFS(BD!$U$3:$U$5001,BD!$A$3:$A$5001,AJ$3,BD!$B$3:$B$5001,$A$89)))</f>
        <v/>
      </c>
      <c r="AK95" s="180" t="str">
        <f>IF(COUNT(F95:AJ95)=0,"",SUM(F95:AJ95))</f>
        <v/>
      </c>
    </row>
    <row r="96" ht="15.75" customHeight="1">
      <c r="A96" s="237"/>
      <c r="B96" s="230"/>
      <c r="C96" s="181" t="inlineStr">
        <is>
          <t xml:space="preserve">No show</t>
        </is>
      </c>
      <c r="D96" s="182" t="str">
        <f>IFERROR(1/(1/INDEX(BD!$AK$42:$AU$42,MATCH($A$89,BD!$AK$22:$AU$22,0))),"")</f>
        <v/>
      </c>
      <c r="E96" s="183"/>
      <c r="F96" s="184" t="str">
        <f>IF(F$3="","",IF(COUNTIFS(BD!$A$3:$A$5001,F$3,BD!$B$3:$B$5001,$A$89,BD!$V$3:$V$5001,"&lt;&gt;")=0,"",SUMIFS(BD!$V$3:$V$5001,BD!$A$3:$A$5001,F$3,BD!$B$3:$B$5001,$A$89)))</f>
        <v/>
      </c>
      <c r="G96" s="185" t="str">
        <f>IF(G$3="","",IF(COUNTIFS(BD!$A$3:$A$5001,G$3,BD!$B$3:$B$5001,$A$89,BD!$V$3:$V$5001,"&lt;&gt;")=0,"",SUMIFS(BD!$V$3:$V$5001,BD!$A$3:$A$5001,G$3,BD!$B$3:$B$5001,$A$89)))</f>
        <v/>
      </c>
      <c r="H96" s="185" t="str">
        <f>IF(H$3="","",IF(COUNTIFS(BD!$A$3:$A$5001,H$3,BD!$B$3:$B$5001,$A$89,BD!$V$3:$V$5001,"&lt;&gt;")=0,"",SUMIFS(BD!$V$3:$V$5001,BD!$A$3:$A$5001,H$3,BD!$B$3:$B$5001,$A$89)))</f>
        <v/>
      </c>
      <c r="I96" s="185" t="str">
        <f>IF(I$3="","",IF(COUNTIFS(BD!$A$3:$A$5001,I$3,BD!$B$3:$B$5001,$A$89,BD!$V$3:$V$5001,"&lt;&gt;")=0,"",SUMIFS(BD!$V$3:$V$5001,BD!$A$3:$A$5001,I$3,BD!$B$3:$B$5001,$A$89)))</f>
        <v/>
      </c>
      <c r="J96" s="185" t="str">
        <f>IF(J$3="","",IF(COUNTIFS(BD!$A$3:$A$5001,J$3,BD!$B$3:$B$5001,$A$89,BD!$V$3:$V$5001,"&lt;&gt;")=0,"",SUMIFS(BD!$V$3:$V$5001,BD!$A$3:$A$5001,J$3,BD!$B$3:$B$5001,$A$89)))</f>
        <v/>
      </c>
      <c r="K96" s="185" t="str">
        <f>IF(K$3="","",IF(COUNTIFS(BD!$A$3:$A$5001,K$3,BD!$B$3:$B$5001,$A$89,BD!$V$3:$V$5001,"&lt;&gt;")=0,"",SUMIFS(BD!$V$3:$V$5001,BD!$A$3:$A$5001,K$3,BD!$B$3:$B$5001,$A$89)))</f>
        <v/>
      </c>
      <c r="L96" s="185" t="str">
        <f>IF(L$3="","",IF(COUNTIFS(BD!$A$3:$A$5001,L$3,BD!$B$3:$B$5001,$A$89,BD!$V$3:$V$5001,"&lt;&gt;")=0,"",SUMIFS(BD!$V$3:$V$5001,BD!$A$3:$A$5001,L$3,BD!$B$3:$B$5001,$A$89)))</f>
        <v/>
      </c>
      <c r="M96" s="185" t="str">
        <f>IF(M$3="","",IF(COUNTIFS(BD!$A$3:$A$5001,M$3,BD!$B$3:$B$5001,$A$89,BD!$V$3:$V$5001,"&lt;&gt;")=0,"",SUMIFS(BD!$V$3:$V$5001,BD!$A$3:$A$5001,M$3,BD!$B$3:$B$5001,$A$89)))</f>
        <v/>
      </c>
      <c r="N96" s="185" t="str">
        <f>IF(N$3="","",IF(COUNTIFS(BD!$A$3:$A$5001,N$3,BD!$B$3:$B$5001,$A$89,BD!$V$3:$V$5001,"&lt;&gt;")=0,"",SUMIFS(BD!$V$3:$V$5001,BD!$A$3:$A$5001,N$3,BD!$B$3:$B$5001,$A$89)))</f>
        <v/>
      </c>
      <c r="O96" s="185" t="str">
        <f>IF(O$3="","",IF(COUNTIFS(BD!$A$3:$A$5001,O$3,BD!$B$3:$B$5001,$A$89,BD!$V$3:$V$5001,"&lt;&gt;")=0,"",SUMIFS(BD!$V$3:$V$5001,BD!$A$3:$A$5001,O$3,BD!$B$3:$B$5001,$A$89)))</f>
        <v/>
      </c>
      <c r="P96" s="185" t="str">
        <f>IF(P$3="","",IF(COUNTIFS(BD!$A$3:$A$5001,P$3,BD!$B$3:$B$5001,$A$89,BD!$V$3:$V$5001,"&lt;&gt;")=0,"",SUMIFS(BD!$V$3:$V$5001,BD!$A$3:$A$5001,P$3,BD!$B$3:$B$5001,$A$89)))</f>
        <v/>
      </c>
      <c r="Q96" s="185" t="str">
        <f>IF(Q$3="","",IF(COUNTIFS(BD!$A$3:$A$5001,Q$3,BD!$B$3:$B$5001,$A$89,BD!$V$3:$V$5001,"&lt;&gt;")=0,"",SUMIFS(BD!$V$3:$V$5001,BD!$A$3:$A$5001,Q$3,BD!$B$3:$B$5001,$A$89)))</f>
        <v/>
      </c>
      <c r="R96" s="185" t="str">
        <f>IF(R$3="","",IF(COUNTIFS(BD!$A$3:$A$5001,R$3,BD!$B$3:$B$5001,$A$89,BD!$V$3:$V$5001,"&lt;&gt;")=0,"",SUMIFS(BD!$V$3:$V$5001,BD!$A$3:$A$5001,R$3,BD!$B$3:$B$5001,$A$89)))</f>
        <v/>
      </c>
      <c r="S96" s="185" t="str">
        <f>IF(S$3="","",IF(COUNTIFS(BD!$A$3:$A$5001,S$3,BD!$B$3:$B$5001,$A$89,BD!$V$3:$V$5001,"&lt;&gt;")=0,"",SUMIFS(BD!$V$3:$V$5001,BD!$A$3:$A$5001,S$3,BD!$B$3:$B$5001,$A$89)))</f>
        <v/>
      </c>
      <c r="T96" s="185" t="str">
        <f>IF(T$3="","",IF(COUNTIFS(BD!$A$3:$A$5001,T$3,BD!$B$3:$B$5001,$A$89,BD!$V$3:$V$5001,"&lt;&gt;")=0,"",SUMIFS(BD!$V$3:$V$5001,BD!$A$3:$A$5001,T$3,BD!$B$3:$B$5001,$A$89)))</f>
        <v/>
      </c>
      <c r="U96" s="185" t="str">
        <f>IF(U$3="","",IF(COUNTIFS(BD!$A$3:$A$5001,U$3,BD!$B$3:$B$5001,$A$89,BD!$V$3:$V$5001,"&lt;&gt;")=0,"",SUMIFS(BD!$V$3:$V$5001,BD!$A$3:$A$5001,U$3,BD!$B$3:$B$5001,$A$89)))</f>
        <v/>
      </c>
      <c r="V96" s="185" t="str">
        <f>IF(V$3="","",IF(COUNTIFS(BD!$A$3:$A$5001,V$3,BD!$B$3:$B$5001,$A$89,BD!$V$3:$V$5001,"&lt;&gt;")=0,"",SUMIFS(BD!$V$3:$V$5001,BD!$A$3:$A$5001,V$3,BD!$B$3:$B$5001,$A$89)))</f>
        <v/>
      </c>
      <c r="W96" s="185" t="str">
        <f>IF(W$3="","",IF(COUNTIFS(BD!$A$3:$A$5001,W$3,BD!$B$3:$B$5001,$A$89,BD!$V$3:$V$5001,"&lt;&gt;")=0,"",SUMIFS(BD!$V$3:$V$5001,BD!$A$3:$A$5001,W$3,BD!$B$3:$B$5001,$A$89)))</f>
        <v/>
      </c>
      <c r="X96" s="185" t="str">
        <f>IF(X$3="","",IF(COUNTIFS(BD!$A$3:$A$5001,X$3,BD!$B$3:$B$5001,$A$89,BD!$V$3:$V$5001,"&lt;&gt;")=0,"",SUMIFS(BD!$V$3:$V$5001,BD!$A$3:$A$5001,X$3,BD!$B$3:$B$5001,$A$89)))</f>
        <v/>
      </c>
      <c r="Y96" s="185" t="str">
        <f>IF(Y$3="","",IF(COUNTIFS(BD!$A$3:$A$5001,Y$3,BD!$B$3:$B$5001,$A$89,BD!$V$3:$V$5001,"&lt;&gt;")=0,"",SUMIFS(BD!$V$3:$V$5001,BD!$A$3:$A$5001,Y$3,BD!$B$3:$B$5001,$A$89)))</f>
        <v/>
      </c>
      <c r="Z96" s="185" t="str">
        <f>IF(Z$3="","",IF(COUNTIFS(BD!$A$3:$A$5001,Z$3,BD!$B$3:$B$5001,$A$89,BD!$V$3:$V$5001,"&lt;&gt;")=0,"",SUMIFS(BD!$V$3:$V$5001,BD!$A$3:$A$5001,Z$3,BD!$B$3:$B$5001,$A$89)))</f>
        <v/>
      </c>
      <c r="AA96" s="185" t="str">
        <f>IF(AA$3="","",IF(COUNTIFS(BD!$A$3:$A$5001,AA$3,BD!$B$3:$B$5001,$A$89,BD!$V$3:$V$5001,"&lt;&gt;")=0,"",SUMIFS(BD!$V$3:$V$5001,BD!$A$3:$A$5001,AA$3,BD!$B$3:$B$5001,$A$89)))</f>
        <v/>
      </c>
      <c r="AB96" s="185" t="str">
        <f>IF(AB$3="","",IF(COUNTIFS(BD!$A$3:$A$5001,AB$3,BD!$B$3:$B$5001,$A$89,BD!$V$3:$V$5001,"&lt;&gt;")=0,"",SUMIFS(BD!$V$3:$V$5001,BD!$A$3:$A$5001,AB$3,BD!$B$3:$B$5001,$A$89)))</f>
        <v/>
      </c>
      <c r="AC96" s="185" t="str">
        <f>IF(AC$3="","",IF(COUNTIFS(BD!$A$3:$A$5001,AC$3,BD!$B$3:$B$5001,$A$89,BD!$V$3:$V$5001,"&lt;&gt;")=0,"",SUMIFS(BD!$V$3:$V$5001,BD!$A$3:$A$5001,AC$3,BD!$B$3:$B$5001,$A$89)))</f>
        <v/>
      </c>
      <c r="AD96" s="185" t="str">
        <f>IF(AD$3="","",IF(COUNTIFS(BD!$A$3:$A$5001,AD$3,BD!$B$3:$B$5001,$A$89,BD!$V$3:$V$5001,"&lt;&gt;")=0,"",SUMIFS(BD!$V$3:$V$5001,BD!$A$3:$A$5001,AD$3,BD!$B$3:$B$5001,$A$89)))</f>
        <v/>
      </c>
      <c r="AE96" s="185" t="str">
        <f>IF(AE$3="","",IF(COUNTIFS(BD!$A$3:$A$5001,AE$3,BD!$B$3:$B$5001,$A$89,BD!$V$3:$V$5001,"&lt;&gt;")=0,"",SUMIFS(BD!$V$3:$V$5001,BD!$A$3:$A$5001,AE$3,BD!$B$3:$B$5001,$A$89)))</f>
        <v/>
      </c>
      <c r="AF96" s="185" t="str">
        <f>IF(AF$3="","",IF(COUNTIFS(BD!$A$3:$A$5001,AF$3,BD!$B$3:$B$5001,$A$89,BD!$V$3:$V$5001,"&lt;&gt;")=0,"",SUMIFS(BD!$V$3:$V$5001,BD!$A$3:$A$5001,AF$3,BD!$B$3:$B$5001,$A$89)))</f>
        <v/>
      </c>
      <c r="AG96" s="185" t="str">
        <f>IF(AG$3="","",IF(COUNTIFS(BD!$A$3:$A$5001,AG$3,BD!$B$3:$B$5001,$A$89,BD!$V$3:$V$5001,"&lt;&gt;")=0,"",SUMIFS(BD!$V$3:$V$5001,BD!$A$3:$A$5001,AG$3,BD!$B$3:$B$5001,$A$89)))</f>
        <v/>
      </c>
      <c r="AH96" s="185" t="str">
        <f>IF(AH$3="","",IF(COUNTIFS(BD!$A$3:$A$5001,AH$3,BD!$B$3:$B$5001,$A$89,BD!$V$3:$V$5001,"&lt;&gt;")=0,"",SUMIFS(BD!$V$3:$V$5001,BD!$A$3:$A$5001,AH$3,BD!$B$3:$B$5001,$A$89)))</f>
        <v/>
      </c>
      <c r="AI96" s="185" t="str">
        <f>IF(AI$3="","",IF(COUNTIFS(BD!$A$3:$A$5001,AI$3,BD!$B$3:$B$5001,$A$89,BD!$V$3:$V$5001,"&lt;&gt;")=0,"",SUMIFS(BD!$V$3:$V$5001,BD!$A$3:$A$5001,AI$3,BD!$B$3:$B$5001,$A$89)))</f>
        <v/>
      </c>
      <c r="AJ96" s="186" t="str">
        <f>IF(AJ$3="","",IF(COUNTIFS(BD!$A$3:$A$5001,AJ$3,BD!$B$3:$B$5001,$A$89,BD!$V$3:$V$5001,"&lt;&gt;")=0,"",SUMIFS(BD!$V$3:$V$5001,BD!$A$3:$A$5001,AJ$3,BD!$B$3:$B$5001,$A$89)))</f>
        <v/>
      </c>
      <c r="AK96" s="187" t="str">
        <f>IF(COUNT(F96:AJ96)=0,"",SUM(F96:AJ96))</f>
        <v/>
      </c>
    </row>
    <row r="97" ht="15.75" customHeight="1">
      <c r="A97" s="237"/>
      <c r="B97" s="231"/>
      <c r="C97" s="188" t="inlineStr">
        <is>
          <t xml:space="preserve">Backlog</t>
        </is>
      </c>
      <c r="D97" s="189" t="str">
        <f>IFERROR(1/(1/INDEX(BD!$AK$43:$AU$43,MATCH($A$89,BD!$AK$22:$AU$22,0))),"")</f>
        <v/>
      </c>
      <c r="E97" s="190"/>
      <c r="F97" s="191" t="str">
        <f>IF(F$3="","",IF(COUNTIFS(BD!$A$3:$A$5001,F$3,BD!$B$3:$B$5001,$A$89,BD!$W$3:$W$5001,"&lt;&gt;")=0,"",SUMIFS(BD!$W$3:$W$5001,BD!$A$3:$A$5001,F$3,BD!$B$3:$B$5001,$A$89)))</f>
        <v/>
      </c>
      <c r="G97" s="192" t="str">
        <f>IF(G$3="","",IF(COUNTIFS(BD!$A$3:$A$5001,G$3,BD!$B$3:$B$5001,$A$89,BD!$W$3:$W$5001,"&lt;&gt;")=0,"",SUMIFS(BD!$W$3:$W$5001,BD!$A$3:$A$5001,G$3,BD!$B$3:$B$5001,$A$89)))</f>
        <v/>
      </c>
      <c r="H97" s="192" t="str">
        <f>IF(H$3="","",IF(COUNTIFS(BD!$A$3:$A$5001,H$3,BD!$B$3:$B$5001,$A$89,BD!$W$3:$W$5001,"&lt;&gt;")=0,"",SUMIFS(BD!$W$3:$W$5001,BD!$A$3:$A$5001,H$3,BD!$B$3:$B$5001,$A$89)))</f>
        <v/>
      </c>
      <c r="I97" s="192" t="str">
        <f>IF(I$3="","",IF(COUNTIFS(BD!$A$3:$A$5001,I$3,BD!$B$3:$B$5001,$A$89,BD!$W$3:$W$5001,"&lt;&gt;")=0,"",SUMIFS(BD!$W$3:$W$5001,BD!$A$3:$A$5001,I$3,BD!$B$3:$B$5001,$A$89)))</f>
        <v/>
      </c>
      <c r="J97" s="192" t="str">
        <f>IF(J$3="","",IF(COUNTIFS(BD!$A$3:$A$5001,J$3,BD!$B$3:$B$5001,$A$89,BD!$W$3:$W$5001,"&lt;&gt;")=0,"",SUMIFS(BD!$W$3:$W$5001,BD!$A$3:$A$5001,J$3,BD!$B$3:$B$5001,$A$89)))</f>
        <v/>
      </c>
      <c r="K97" s="192" t="str">
        <f>IF(K$3="","",IF(COUNTIFS(BD!$A$3:$A$5001,K$3,BD!$B$3:$B$5001,$A$89,BD!$W$3:$W$5001,"&lt;&gt;")=0,"",SUMIFS(BD!$W$3:$W$5001,BD!$A$3:$A$5001,K$3,BD!$B$3:$B$5001,$A$89)))</f>
        <v/>
      </c>
      <c r="L97" s="192" t="str">
        <f>IF(L$3="","",IF(COUNTIFS(BD!$A$3:$A$5001,L$3,BD!$B$3:$B$5001,$A$89,BD!$W$3:$W$5001,"&lt;&gt;")=0,"",SUMIFS(BD!$W$3:$W$5001,BD!$A$3:$A$5001,L$3,BD!$B$3:$B$5001,$A$89)))</f>
        <v/>
      </c>
      <c r="M97" s="192" t="str">
        <f>IF(M$3="","",IF(COUNTIFS(BD!$A$3:$A$5001,M$3,BD!$B$3:$B$5001,$A$89,BD!$W$3:$W$5001,"&lt;&gt;")=0,"",SUMIFS(BD!$W$3:$W$5001,BD!$A$3:$A$5001,M$3,BD!$B$3:$B$5001,$A$89)))</f>
        <v/>
      </c>
      <c r="N97" s="192" t="str">
        <f>IF(N$3="","",IF(COUNTIFS(BD!$A$3:$A$5001,N$3,BD!$B$3:$B$5001,$A$89,BD!$W$3:$W$5001,"&lt;&gt;")=0,"",SUMIFS(BD!$W$3:$W$5001,BD!$A$3:$A$5001,N$3,BD!$B$3:$B$5001,$A$89)))</f>
        <v/>
      </c>
      <c r="O97" s="192" t="str">
        <f>IF(O$3="","",IF(COUNTIFS(BD!$A$3:$A$5001,O$3,BD!$B$3:$B$5001,$A$89,BD!$W$3:$W$5001,"&lt;&gt;")=0,"",SUMIFS(BD!$W$3:$W$5001,BD!$A$3:$A$5001,O$3,BD!$B$3:$B$5001,$A$89)))</f>
        <v/>
      </c>
      <c r="P97" s="192" t="str">
        <f>IF(P$3="","",IF(COUNTIFS(BD!$A$3:$A$5001,P$3,BD!$B$3:$B$5001,$A$89,BD!$W$3:$W$5001,"&lt;&gt;")=0,"",SUMIFS(BD!$W$3:$W$5001,BD!$A$3:$A$5001,P$3,BD!$B$3:$B$5001,$A$89)))</f>
        <v/>
      </c>
      <c r="Q97" s="192" t="str">
        <f>IF(Q$3="","",IF(COUNTIFS(BD!$A$3:$A$5001,Q$3,BD!$B$3:$B$5001,$A$89,BD!$W$3:$W$5001,"&lt;&gt;")=0,"",SUMIFS(BD!$W$3:$W$5001,BD!$A$3:$A$5001,Q$3,BD!$B$3:$B$5001,$A$89)))</f>
        <v/>
      </c>
      <c r="R97" s="192" t="str">
        <f>IF(R$3="","",IF(COUNTIFS(BD!$A$3:$A$5001,R$3,BD!$B$3:$B$5001,$A$89,BD!$W$3:$W$5001,"&lt;&gt;")=0,"",SUMIFS(BD!$W$3:$W$5001,BD!$A$3:$A$5001,R$3,BD!$B$3:$B$5001,$A$89)))</f>
        <v/>
      </c>
      <c r="S97" s="192" t="str">
        <f>IF(S$3="","",IF(COUNTIFS(BD!$A$3:$A$5001,S$3,BD!$B$3:$B$5001,$A$89,BD!$W$3:$W$5001,"&lt;&gt;")=0,"",SUMIFS(BD!$W$3:$W$5001,BD!$A$3:$A$5001,S$3,BD!$B$3:$B$5001,$A$89)))</f>
        <v/>
      </c>
      <c r="T97" s="192" t="str">
        <f>IF(T$3="","",IF(COUNTIFS(BD!$A$3:$A$5001,T$3,BD!$B$3:$B$5001,$A$89,BD!$W$3:$W$5001,"&lt;&gt;")=0,"",SUMIFS(BD!$W$3:$W$5001,BD!$A$3:$A$5001,T$3,BD!$B$3:$B$5001,$A$89)))</f>
        <v/>
      </c>
      <c r="U97" s="192" t="str">
        <f>IF(U$3="","",IF(COUNTIFS(BD!$A$3:$A$5001,U$3,BD!$B$3:$B$5001,$A$89,BD!$W$3:$W$5001,"&lt;&gt;")=0,"",SUMIFS(BD!$W$3:$W$5001,BD!$A$3:$A$5001,U$3,BD!$B$3:$B$5001,$A$89)))</f>
        <v/>
      </c>
      <c r="V97" s="192" t="str">
        <f>IF(V$3="","",IF(COUNTIFS(BD!$A$3:$A$5001,V$3,BD!$B$3:$B$5001,$A$89,BD!$W$3:$W$5001,"&lt;&gt;")=0,"",SUMIFS(BD!$W$3:$W$5001,BD!$A$3:$A$5001,V$3,BD!$B$3:$B$5001,$A$89)))</f>
        <v/>
      </c>
      <c r="W97" s="192" t="str">
        <f>IF(W$3="","",IF(COUNTIFS(BD!$A$3:$A$5001,W$3,BD!$B$3:$B$5001,$A$89,BD!$W$3:$W$5001,"&lt;&gt;")=0,"",SUMIFS(BD!$W$3:$W$5001,BD!$A$3:$A$5001,W$3,BD!$B$3:$B$5001,$A$89)))</f>
        <v/>
      </c>
      <c r="X97" s="192" t="str">
        <f>IF(X$3="","",IF(COUNTIFS(BD!$A$3:$A$5001,X$3,BD!$B$3:$B$5001,$A$89,BD!$W$3:$W$5001,"&lt;&gt;")=0,"",SUMIFS(BD!$W$3:$W$5001,BD!$A$3:$A$5001,X$3,BD!$B$3:$B$5001,$A$89)))</f>
        <v/>
      </c>
      <c r="Y97" s="192" t="str">
        <f>IF(Y$3="","",IF(COUNTIFS(BD!$A$3:$A$5001,Y$3,BD!$B$3:$B$5001,$A$89,BD!$W$3:$W$5001,"&lt;&gt;")=0,"",SUMIFS(BD!$W$3:$W$5001,BD!$A$3:$A$5001,Y$3,BD!$B$3:$B$5001,$A$89)))</f>
        <v/>
      </c>
      <c r="Z97" s="192" t="str">
        <f>IF(Z$3="","",IF(COUNTIFS(BD!$A$3:$A$5001,Z$3,BD!$B$3:$B$5001,$A$89,BD!$W$3:$W$5001,"&lt;&gt;")=0,"",SUMIFS(BD!$W$3:$W$5001,BD!$A$3:$A$5001,Z$3,BD!$B$3:$B$5001,$A$89)))</f>
        <v/>
      </c>
      <c r="AA97" s="192" t="str">
        <f>IF(AA$3="","",IF(COUNTIFS(BD!$A$3:$A$5001,AA$3,BD!$B$3:$B$5001,$A$89,BD!$W$3:$W$5001,"&lt;&gt;")=0,"",SUMIFS(BD!$W$3:$W$5001,BD!$A$3:$A$5001,AA$3,BD!$B$3:$B$5001,$A$89)))</f>
        <v/>
      </c>
      <c r="AB97" s="192" t="str">
        <f>IF(AB$3="","",IF(COUNTIFS(BD!$A$3:$A$5001,AB$3,BD!$B$3:$B$5001,$A$89,BD!$W$3:$W$5001,"&lt;&gt;")=0,"",SUMIFS(BD!$W$3:$W$5001,BD!$A$3:$A$5001,AB$3,BD!$B$3:$B$5001,$A$89)))</f>
        <v/>
      </c>
      <c r="AC97" s="192" t="str">
        <f>IF(AC$3="","",IF(COUNTIFS(BD!$A$3:$A$5001,AC$3,BD!$B$3:$B$5001,$A$89,BD!$W$3:$W$5001,"&lt;&gt;")=0,"",SUMIFS(BD!$W$3:$W$5001,BD!$A$3:$A$5001,AC$3,BD!$B$3:$B$5001,$A$89)))</f>
        <v/>
      </c>
      <c r="AD97" s="192" t="str">
        <f>IF(AD$3="","",IF(COUNTIFS(BD!$A$3:$A$5001,AD$3,BD!$B$3:$B$5001,$A$89,BD!$W$3:$W$5001,"&lt;&gt;")=0,"",SUMIFS(BD!$W$3:$W$5001,BD!$A$3:$A$5001,AD$3,BD!$B$3:$B$5001,$A$89)))</f>
        <v/>
      </c>
      <c r="AE97" s="192" t="str">
        <f>IF(AE$3="","",IF(COUNTIFS(BD!$A$3:$A$5001,AE$3,BD!$B$3:$B$5001,$A$89,BD!$W$3:$W$5001,"&lt;&gt;")=0,"",SUMIFS(BD!$W$3:$W$5001,BD!$A$3:$A$5001,AE$3,BD!$B$3:$B$5001,$A$89)))</f>
        <v/>
      </c>
      <c r="AF97" s="192" t="str">
        <f>IF(AF$3="","",IF(COUNTIFS(BD!$A$3:$A$5001,AF$3,BD!$B$3:$B$5001,$A$89,BD!$W$3:$W$5001,"&lt;&gt;")=0,"",SUMIFS(BD!$W$3:$W$5001,BD!$A$3:$A$5001,AF$3,BD!$B$3:$B$5001,$A$89)))</f>
        <v/>
      </c>
      <c r="AG97" s="192" t="str">
        <f>IF(AG$3="","",IF(COUNTIFS(BD!$A$3:$A$5001,AG$3,BD!$B$3:$B$5001,$A$89,BD!$W$3:$W$5001,"&lt;&gt;")=0,"",SUMIFS(BD!$W$3:$W$5001,BD!$A$3:$A$5001,AG$3,BD!$B$3:$B$5001,$A$89)))</f>
        <v/>
      </c>
      <c r="AH97" s="192" t="str">
        <f>IF(AH$3="","",IF(COUNTIFS(BD!$A$3:$A$5001,AH$3,BD!$B$3:$B$5001,$A$89,BD!$W$3:$W$5001,"&lt;&gt;")=0,"",SUMIFS(BD!$W$3:$W$5001,BD!$A$3:$A$5001,AH$3,BD!$B$3:$B$5001,$A$89)))</f>
        <v/>
      </c>
      <c r="AI97" s="192" t="str">
        <f>IF(AI$3="","",IF(COUNTIFS(BD!$A$3:$A$5001,AI$3,BD!$B$3:$B$5001,$A$89,BD!$W$3:$W$5001,"&lt;&gt;")=0,"",SUMIFS(BD!$W$3:$W$5001,BD!$A$3:$A$5001,AI$3,BD!$B$3:$B$5001,$A$89)))</f>
        <v/>
      </c>
      <c r="AJ97" s="193" t="str">
        <f>IF(AJ$3="","",IF(COUNTIFS(BD!$A$3:$A$5001,AJ$3,BD!$B$3:$B$5001,$A$89,BD!$W$3:$W$5001,"&lt;&gt;")=0,"",SUMIFS(BD!$W$3:$W$5001,BD!$A$3:$A$5001,AJ$3,BD!$B$3:$B$5001,$A$89)))</f>
        <v/>
      </c>
      <c r="AK97" s="189" t="str">
        <f>IFERROR(LOOKUP(9.99E+307,F97:AJ97),"")</f>
        <v/>
      </c>
    </row>
    <row r="98" ht="15.75" customHeight="1">
      <c r="A98" s="237"/>
      <c r="B98" s="225" t="inlineStr">
        <is>
          <t xml:space="preserve">OCUPAÇÃO (P.P)</t>
        </is>
      </c>
      <c r="C98" s="148" t="inlineStr">
        <is>
          <t xml:space="preserve">Posições Disponíveis</t>
        </is>
      </c>
      <c r="D98" s="149" t="str">
        <f>IFERROR(1/(1/INDEX(BD!$AK$44:$AU$44,MATCH($A$89,BD!$AK$22:$AU$22,0))),"")</f>
        <v/>
      </c>
      <c r="E98" s="150"/>
      <c r="F98" s="151" t="str">
        <f>IF(F$3="","",IF(COUNTIFS(BD!$A$3:$A$5001,F$3,BD!$B$3:$B$5001,$A$89,BD!$X$3:$X$5001,"&lt;&gt;")=0,"",SUMIFS(BD!$X$3:$X$5001,BD!$A$3:$A$5001,F$3,BD!$B$3:$B$5001,$A$89)))</f>
        <v/>
      </c>
      <c r="G98" s="152" t="str">
        <f>IF(G$3="","",IF(COUNTIFS(BD!$A$3:$A$5001,G$3,BD!$B$3:$B$5001,$A$89,BD!$X$3:$X$5001,"&lt;&gt;")=0,"",SUMIFS(BD!$X$3:$X$5001,BD!$A$3:$A$5001,G$3,BD!$B$3:$B$5001,$A$89)))</f>
        <v/>
      </c>
      <c r="H98" s="152" t="str">
        <f>IF(H$3="","",IF(COUNTIFS(BD!$A$3:$A$5001,H$3,BD!$B$3:$B$5001,$A$89,BD!$X$3:$X$5001,"&lt;&gt;")=0,"",SUMIFS(BD!$X$3:$X$5001,BD!$A$3:$A$5001,H$3,BD!$B$3:$B$5001,$A$89)))</f>
        <v/>
      </c>
      <c r="I98" s="152" t="str">
        <f>IF(I$3="","",IF(COUNTIFS(BD!$A$3:$A$5001,I$3,BD!$B$3:$B$5001,$A$89,BD!$X$3:$X$5001,"&lt;&gt;")=0,"",SUMIFS(BD!$X$3:$X$5001,BD!$A$3:$A$5001,I$3,BD!$B$3:$B$5001,$A$89)))</f>
        <v/>
      </c>
      <c r="J98" s="152" t="str">
        <f>IF(J$3="","",IF(COUNTIFS(BD!$A$3:$A$5001,J$3,BD!$B$3:$B$5001,$A$89,BD!$X$3:$X$5001,"&lt;&gt;")=0,"",SUMIFS(BD!$X$3:$X$5001,BD!$A$3:$A$5001,J$3,BD!$B$3:$B$5001,$A$89)))</f>
        <v/>
      </c>
      <c r="K98" s="152" t="str">
        <f>IF(K$3="","",IF(COUNTIFS(BD!$A$3:$A$5001,K$3,BD!$B$3:$B$5001,$A$89,BD!$X$3:$X$5001,"&lt;&gt;")=0,"",SUMIFS(BD!$X$3:$X$5001,BD!$A$3:$A$5001,K$3,BD!$B$3:$B$5001,$A$89)))</f>
        <v/>
      </c>
      <c r="L98" s="152" t="str">
        <f>IF(L$3="","",IF(COUNTIFS(BD!$A$3:$A$5001,L$3,BD!$B$3:$B$5001,$A$89,BD!$X$3:$X$5001,"&lt;&gt;")=0,"",SUMIFS(BD!$X$3:$X$5001,BD!$A$3:$A$5001,L$3,BD!$B$3:$B$5001,$A$89)))</f>
        <v/>
      </c>
      <c r="M98" s="152" t="str">
        <f>IF(M$3="","",IF(COUNTIFS(BD!$A$3:$A$5001,M$3,BD!$B$3:$B$5001,$A$89,BD!$X$3:$X$5001,"&lt;&gt;")=0,"",SUMIFS(BD!$X$3:$X$5001,BD!$A$3:$A$5001,M$3,BD!$B$3:$B$5001,$A$89)))</f>
        <v/>
      </c>
      <c r="N98" s="152" t="str">
        <f>IF(N$3="","",IF(COUNTIFS(BD!$A$3:$A$5001,N$3,BD!$B$3:$B$5001,$A$89,BD!$X$3:$X$5001,"&lt;&gt;")=0,"",SUMIFS(BD!$X$3:$X$5001,BD!$A$3:$A$5001,N$3,BD!$B$3:$B$5001,$A$89)))</f>
        <v/>
      </c>
      <c r="O98" s="152" t="str">
        <f>IF(O$3="","",IF(COUNTIFS(BD!$A$3:$A$5001,O$3,BD!$B$3:$B$5001,$A$89,BD!$X$3:$X$5001,"&lt;&gt;")=0,"",SUMIFS(BD!$X$3:$X$5001,BD!$A$3:$A$5001,O$3,BD!$B$3:$B$5001,$A$89)))</f>
        <v/>
      </c>
      <c r="P98" s="152" t="str">
        <f>IF(P$3="","",IF(COUNTIFS(BD!$A$3:$A$5001,P$3,BD!$B$3:$B$5001,$A$89,BD!$X$3:$X$5001,"&lt;&gt;")=0,"",SUMIFS(BD!$X$3:$X$5001,BD!$A$3:$A$5001,P$3,BD!$B$3:$B$5001,$A$89)))</f>
        <v/>
      </c>
      <c r="Q98" s="152" t="str">
        <f>IF(Q$3="","",IF(COUNTIFS(BD!$A$3:$A$5001,Q$3,BD!$B$3:$B$5001,$A$89,BD!$X$3:$X$5001,"&lt;&gt;")=0,"",SUMIFS(BD!$X$3:$X$5001,BD!$A$3:$A$5001,Q$3,BD!$B$3:$B$5001,$A$89)))</f>
        <v/>
      </c>
      <c r="R98" s="152" t="str">
        <f>IF(R$3="","",IF(COUNTIFS(BD!$A$3:$A$5001,R$3,BD!$B$3:$B$5001,$A$89,BD!$X$3:$X$5001,"&lt;&gt;")=0,"",SUMIFS(BD!$X$3:$X$5001,BD!$A$3:$A$5001,R$3,BD!$B$3:$B$5001,$A$89)))</f>
        <v/>
      </c>
      <c r="S98" s="152" t="str">
        <f>IF(S$3="","",IF(COUNTIFS(BD!$A$3:$A$5001,S$3,BD!$B$3:$B$5001,$A$89,BD!$X$3:$X$5001,"&lt;&gt;")=0,"",SUMIFS(BD!$X$3:$X$5001,BD!$A$3:$A$5001,S$3,BD!$B$3:$B$5001,$A$89)))</f>
        <v/>
      </c>
      <c r="T98" s="152" t="str">
        <f>IF(T$3="","",IF(COUNTIFS(BD!$A$3:$A$5001,T$3,BD!$B$3:$B$5001,$A$89,BD!$X$3:$X$5001,"&lt;&gt;")=0,"",SUMIFS(BD!$X$3:$X$5001,BD!$A$3:$A$5001,T$3,BD!$B$3:$B$5001,$A$89)))</f>
        <v/>
      </c>
      <c r="U98" s="152" t="str">
        <f>IF(U$3="","",IF(COUNTIFS(BD!$A$3:$A$5001,U$3,BD!$B$3:$B$5001,$A$89,BD!$X$3:$X$5001,"&lt;&gt;")=0,"",SUMIFS(BD!$X$3:$X$5001,BD!$A$3:$A$5001,U$3,BD!$B$3:$B$5001,$A$89)))</f>
        <v/>
      </c>
      <c r="V98" s="152" t="str">
        <f>IF(V$3="","",IF(COUNTIFS(BD!$A$3:$A$5001,V$3,BD!$B$3:$B$5001,$A$89,BD!$X$3:$X$5001,"&lt;&gt;")=0,"",SUMIFS(BD!$X$3:$X$5001,BD!$A$3:$A$5001,V$3,BD!$B$3:$B$5001,$A$89)))</f>
        <v/>
      </c>
      <c r="W98" s="152" t="str">
        <f>IF(W$3="","",IF(COUNTIFS(BD!$A$3:$A$5001,W$3,BD!$B$3:$B$5001,$A$89,BD!$X$3:$X$5001,"&lt;&gt;")=0,"",SUMIFS(BD!$X$3:$X$5001,BD!$A$3:$A$5001,W$3,BD!$B$3:$B$5001,$A$89)))</f>
        <v/>
      </c>
      <c r="X98" s="152" t="str">
        <f>IF(X$3="","",IF(COUNTIFS(BD!$A$3:$A$5001,X$3,BD!$B$3:$B$5001,$A$89,BD!$X$3:$X$5001,"&lt;&gt;")=0,"",SUMIFS(BD!$X$3:$X$5001,BD!$A$3:$A$5001,X$3,BD!$B$3:$B$5001,$A$89)))</f>
        <v/>
      </c>
      <c r="Y98" s="152" t="str">
        <f>IF(Y$3="","",IF(COUNTIFS(BD!$A$3:$A$5001,Y$3,BD!$B$3:$B$5001,$A$89,BD!$X$3:$X$5001,"&lt;&gt;")=0,"",SUMIFS(BD!$X$3:$X$5001,BD!$A$3:$A$5001,Y$3,BD!$B$3:$B$5001,$A$89)))</f>
        <v/>
      </c>
      <c r="Z98" s="152" t="str">
        <f>IF(Z$3="","",IF(COUNTIFS(BD!$A$3:$A$5001,Z$3,BD!$B$3:$B$5001,$A$89,BD!$X$3:$X$5001,"&lt;&gt;")=0,"",SUMIFS(BD!$X$3:$X$5001,BD!$A$3:$A$5001,Z$3,BD!$B$3:$B$5001,$A$89)))</f>
        <v/>
      </c>
      <c r="AA98" s="152" t="str">
        <f>IF(AA$3="","",IF(COUNTIFS(BD!$A$3:$A$5001,AA$3,BD!$B$3:$B$5001,$A$89,BD!$X$3:$X$5001,"&lt;&gt;")=0,"",SUMIFS(BD!$X$3:$X$5001,BD!$A$3:$A$5001,AA$3,BD!$B$3:$B$5001,$A$89)))</f>
        <v/>
      </c>
      <c r="AB98" s="152" t="str">
        <f>IF(AB$3="","",IF(COUNTIFS(BD!$A$3:$A$5001,AB$3,BD!$B$3:$B$5001,$A$89,BD!$X$3:$X$5001,"&lt;&gt;")=0,"",SUMIFS(BD!$X$3:$X$5001,BD!$A$3:$A$5001,AB$3,BD!$B$3:$B$5001,$A$89)))</f>
        <v/>
      </c>
      <c r="AC98" s="152" t="str">
        <f>IF(AC$3="","",IF(COUNTIFS(BD!$A$3:$A$5001,AC$3,BD!$B$3:$B$5001,$A$89,BD!$X$3:$X$5001,"&lt;&gt;")=0,"",SUMIFS(BD!$X$3:$X$5001,BD!$A$3:$A$5001,AC$3,BD!$B$3:$B$5001,$A$89)))</f>
        <v/>
      </c>
      <c r="AD98" s="152" t="str">
        <f>IF(AD$3="","",IF(COUNTIFS(BD!$A$3:$A$5001,AD$3,BD!$B$3:$B$5001,$A$89,BD!$X$3:$X$5001,"&lt;&gt;")=0,"",SUMIFS(BD!$X$3:$X$5001,BD!$A$3:$A$5001,AD$3,BD!$B$3:$B$5001,$A$89)))</f>
        <v/>
      </c>
      <c r="AE98" s="152" t="str">
        <f>IF(AE$3="","",IF(COUNTIFS(BD!$A$3:$A$5001,AE$3,BD!$B$3:$B$5001,$A$89,BD!$X$3:$X$5001,"&lt;&gt;")=0,"",SUMIFS(BD!$X$3:$X$5001,BD!$A$3:$A$5001,AE$3,BD!$B$3:$B$5001,$A$89)))</f>
        <v/>
      </c>
      <c r="AF98" s="152" t="str">
        <f>IF(AF$3="","",IF(COUNTIFS(BD!$A$3:$A$5001,AF$3,BD!$B$3:$B$5001,$A$89,BD!$X$3:$X$5001,"&lt;&gt;")=0,"",SUMIFS(BD!$X$3:$X$5001,BD!$A$3:$A$5001,AF$3,BD!$B$3:$B$5001,$A$89)))</f>
        <v/>
      </c>
      <c r="AG98" s="152" t="str">
        <f>IF(AG$3="","",IF(COUNTIFS(BD!$A$3:$A$5001,AG$3,BD!$B$3:$B$5001,$A$89,BD!$X$3:$X$5001,"&lt;&gt;")=0,"",SUMIFS(BD!$X$3:$X$5001,BD!$A$3:$A$5001,AG$3,BD!$B$3:$B$5001,$A$89)))</f>
        <v/>
      </c>
      <c r="AH98" s="152" t="str">
        <f>IF(AH$3="","",IF(COUNTIFS(BD!$A$3:$A$5001,AH$3,BD!$B$3:$B$5001,$A$89,BD!$X$3:$X$5001,"&lt;&gt;")=0,"",SUMIFS(BD!$X$3:$X$5001,BD!$A$3:$A$5001,AH$3,BD!$B$3:$B$5001,$A$89)))</f>
        <v/>
      </c>
      <c r="AI98" s="152" t="str">
        <f>IF(AI$3="","",IF(COUNTIFS(BD!$A$3:$A$5001,AI$3,BD!$B$3:$B$5001,$A$89,BD!$X$3:$X$5001,"&lt;&gt;")=0,"",SUMIFS(BD!$X$3:$X$5001,BD!$A$3:$A$5001,AI$3,BD!$B$3:$B$5001,$A$89)))</f>
        <v/>
      </c>
      <c r="AJ98" s="153" t="str">
        <f>IF(AJ$3="","",IF(COUNTIFS(BD!$A$3:$A$5001,AJ$3,BD!$B$3:$B$5001,$A$89,BD!$X$3:$X$5001,"&lt;&gt;")=0,"",SUMIFS(BD!$X$3:$X$5001,BD!$A$3:$A$5001,AJ$3,BD!$B$3:$B$5001,$A$89)))</f>
        <v/>
      </c>
      <c r="AK98" s="154" t="str">
        <f>IF(COUNT(F98:AJ98)&gt;0,LOOKUP(9.99E+307,F98:AJ98),IFERROR(IF(INDEX(BD!$AH$3:$AH$5001,MATCH($A$89,BD!$B$3:$B$5001,0))&amp;""="Contrato","",INDEX(BD!$AH$3:$AH$5001,MATCH($A$89,BD!$B$3:$B$5001,0))&amp;""),""))</f>
        <v/>
      </c>
    </row>
    <row r="99" ht="15.75" customHeight="1">
      <c r="A99" s="237"/>
      <c r="B99" s="232"/>
      <c r="C99" s="194" t="inlineStr">
        <is>
          <t xml:space="preserve">Posições Ocupadas</t>
        </is>
      </c>
      <c r="D99" s="195" t="str">
        <f>IFERROR(1/(1/INDEX(BD!$AK$45:$AU$45,MATCH($A$89,BD!$AK$22:$AU$22,0))),"")</f>
        <v/>
      </c>
      <c r="E99" s="196"/>
      <c r="F99" s="197" t="str">
        <f>IF(F$3="","",IF(COUNTIFS(BD!$A$3:$A$5001,F$3,BD!$B$3:$B$5001,$A$89,BD!$Y$3:$Y$5001,"&lt;&gt;")=0,"",SUMIFS(BD!$Y$3:$Y$5001,BD!$A$3:$A$5001,F$3,BD!$B$3:$B$5001,$A$89)))</f>
        <v/>
      </c>
      <c r="G99" s="198" t="str">
        <f>IF(G$3="","",IF(COUNTIFS(BD!$A$3:$A$5001,G$3,BD!$B$3:$B$5001,$A$89,BD!$Y$3:$Y$5001,"&lt;&gt;")=0,"",SUMIFS(BD!$Y$3:$Y$5001,BD!$A$3:$A$5001,G$3,BD!$B$3:$B$5001,$A$89)))</f>
        <v/>
      </c>
      <c r="H99" s="198" t="str">
        <f>IF(H$3="","",IF(COUNTIFS(BD!$A$3:$A$5001,H$3,BD!$B$3:$B$5001,$A$89,BD!$Y$3:$Y$5001,"&lt;&gt;")=0,"",SUMIFS(BD!$Y$3:$Y$5001,BD!$A$3:$A$5001,H$3,BD!$B$3:$B$5001,$A$89)))</f>
        <v/>
      </c>
      <c r="I99" s="198" t="str">
        <f>IF(I$3="","",IF(COUNTIFS(BD!$A$3:$A$5001,I$3,BD!$B$3:$B$5001,$A$89,BD!$Y$3:$Y$5001,"&lt;&gt;")=0,"",SUMIFS(BD!$Y$3:$Y$5001,BD!$A$3:$A$5001,I$3,BD!$B$3:$B$5001,$A$89)))</f>
        <v/>
      </c>
      <c r="J99" s="198" t="str">
        <f>IF(J$3="","",IF(COUNTIFS(BD!$A$3:$A$5001,J$3,BD!$B$3:$B$5001,$A$89,BD!$Y$3:$Y$5001,"&lt;&gt;")=0,"",SUMIFS(BD!$Y$3:$Y$5001,BD!$A$3:$A$5001,J$3,BD!$B$3:$B$5001,$A$89)))</f>
        <v/>
      </c>
      <c r="K99" s="198" t="str">
        <f>IF(K$3="","",IF(COUNTIFS(BD!$A$3:$A$5001,K$3,BD!$B$3:$B$5001,$A$89,BD!$Y$3:$Y$5001,"&lt;&gt;")=0,"",SUMIFS(BD!$Y$3:$Y$5001,BD!$A$3:$A$5001,K$3,BD!$B$3:$B$5001,$A$89)))</f>
        <v/>
      </c>
      <c r="L99" s="198" t="str">
        <f>IF(L$3="","",IF(COUNTIFS(BD!$A$3:$A$5001,L$3,BD!$B$3:$B$5001,$A$89,BD!$Y$3:$Y$5001,"&lt;&gt;")=0,"",SUMIFS(BD!$Y$3:$Y$5001,BD!$A$3:$A$5001,L$3,BD!$B$3:$B$5001,$A$89)))</f>
        <v/>
      </c>
      <c r="M99" s="198" t="str">
        <f>IF(M$3="","",IF(COUNTIFS(BD!$A$3:$A$5001,M$3,BD!$B$3:$B$5001,$A$89,BD!$Y$3:$Y$5001,"&lt;&gt;")=0,"",SUMIFS(BD!$Y$3:$Y$5001,BD!$A$3:$A$5001,M$3,BD!$B$3:$B$5001,$A$89)))</f>
        <v/>
      </c>
      <c r="N99" s="198" t="str">
        <f>IF(N$3="","",IF(COUNTIFS(BD!$A$3:$A$5001,N$3,BD!$B$3:$B$5001,$A$89,BD!$Y$3:$Y$5001,"&lt;&gt;")=0,"",SUMIFS(BD!$Y$3:$Y$5001,BD!$A$3:$A$5001,N$3,BD!$B$3:$B$5001,$A$89)))</f>
        <v/>
      </c>
      <c r="O99" s="198" t="str">
        <f>IF(O$3="","",IF(COUNTIFS(BD!$A$3:$A$5001,O$3,BD!$B$3:$B$5001,$A$89,BD!$Y$3:$Y$5001,"&lt;&gt;")=0,"",SUMIFS(BD!$Y$3:$Y$5001,BD!$A$3:$A$5001,O$3,BD!$B$3:$B$5001,$A$89)))</f>
        <v/>
      </c>
      <c r="P99" s="198" t="str">
        <f>IF(P$3="","",IF(COUNTIFS(BD!$A$3:$A$5001,P$3,BD!$B$3:$B$5001,$A$89,BD!$Y$3:$Y$5001,"&lt;&gt;")=0,"",SUMIFS(BD!$Y$3:$Y$5001,BD!$A$3:$A$5001,P$3,BD!$B$3:$B$5001,$A$89)))</f>
        <v/>
      </c>
      <c r="Q99" s="198" t="str">
        <f>IF(Q$3="","",IF(COUNTIFS(BD!$A$3:$A$5001,Q$3,BD!$B$3:$B$5001,$A$89,BD!$Y$3:$Y$5001,"&lt;&gt;")=0,"",SUMIFS(BD!$Y$3:$Y$5001,BD!$A$3:$A$5001,Q$3,BD!$B$3:$B$5001,$A$89)))</f>
        <v/>
      </c>
      <c r="R99" s="198" t="str">
        <f>IF(R$3="","",IF(COUNTIFS(BD!$A$3:$A$5001,R$3,BD!$B$3:$B$5001,$A$89,BD!$Y$3:$Y$5001,"&lt;&gt;")=0,"",SUMIFS(BD!$Y$3:$Y$5001,BD!$A$3:$A$5001,R$3,BD!$B$3:$B$5001,$A$89)))</f>
        <v/>
      </c>
      <c r="S99" s="198" t="str">
        <f>IF(S$3="","",IF(COUNTIFS(BD!$A$3:$A$5001,S$3,BD!$B$3:$B$5001,$A$89,BD!$Y$3:$Y$5001,"&lt;&gt;")=0,"",SUMIFS(BD!$Y$3:$Y$5001,BD!$A$3:$A$5001,S$3,BD!$B$3:$B$5001,$A$89)))</f>
        <v/>
      </c>
      <c r="T99" s="198" t="str">
        <f>IF(T$3="","",IF(COUNTIFS(BD!$A$3:$A$5001,T$3,BD!$B$3:$B$5001,$A$89,BD!$Y$3:$Y$5001,"&lt;&gt;")=0,"",SUMIFS(BD!$Y$3:$Y$5001,BD!$A$3:$A$5001,T$3,BD!$B$3:$B$5001,$A$89)))</f>
        <v/>
      </c>
      <c r="U99" s="198" t="str">
        <f>IF(U$3="","",IF(COUNTIFS(BD!$A$3:$A$5001,U$3,BD!$B$3:$B$5001,$A$89,BD!$Y$3:$Y$5001,"&lt;&gt;")=0,"",SUMIFS(BD!$Y$3:$Y$5001,BD!$A$3:$A$5001,U$3,BD!$B$3:$B$5001,$A$89)))</f>
        <v/>
      </c>
      <c r="V99" s="198" t="str">
        <f>IF(V$3="","",IF(COUNTIFS(BD!$A$3:$A$5001,V$3,BD!$B$3:$B$5001,$A$89,BD!$Y$3:$Y$5001,"&lt;&gt;")=0,"",SUMIFS(BD!$Y$3:$Y$5001,BD!$A$3:$A$5001,V$3,BD!$B$3:$B$5001,$A$89)))</f>
        <v/>
      </c>
      <c r="W99" s="198" t="str">
        <f>IF(W$3="","",IF(COUNTIFS(BD!$A$3:$A$5001,W$3,BD!$B$3:$B$5001,$A$89,BD!$Y$3:$Y$5001,"&lt;&gt;")=0,"",SUMIFS(BD!$Y$3:$Y$5001,BD!$A$3:$A$5001,W$3,BD!$B$3:$B$5001,$A$89)))</f>
        <v/>
      </c>
      <c r="X99" s="198" t="str">
        <f>IF(X$3="","",IF(COUNTIFS(BD!$A$3:$A$5001,X$3,BD!$B$3:$B$5001,$A$89,BD!$Y$3:$Y$5001,"&lt;&gt;")=0,"",SUMIFS(BD!$Y$3:$Y$5001,BD!$A$3:$A$5001,X$3,BD!$B$3:$B$5001,$A$89)))</f>
        <v/>
      </c>
      <c r="Y99" s="198" t="str">
        <f>IF(Y$3="","",IF(COUNTIFS(BD!$A$3:$A$5001,Y$3,BD!$B$3:$B$5001,$A$89,BD!$Y$3:$Y$5001,"&lt;&gt;")=0,"",SUMIFS(BD!$Y$3:$Y$5001,BD!$A$3:$A$5001,Y$3,BD!$B$3:$B$5001,$A$89)))</f>
        <v/>
      </c>
      <c r="Z99" s="198" t="str">
        <f>IF(Z$3="","",IF(COUNTIFS(BD!$A$3:$A$5001,Z$3,BD!$B$3:$B$5001,$A$89,BD!$Y$3:$Y$5001,"&lt;&gt;")=0,"",SUMIFS(BD!$Y$3:$Y$5001,BD!$A$3:$A$5001,Z$3,BD!$B$3:$B$5001,$A$89)))</f>
        <v/>
      </c>
      <c r="AA99" s="198" t="str">
        <f>IF(AA$3="","",IF(COUNTIFS(BD!$A$3:$A$5001,AA$3,BD!$B$3:$B$5001,$A$89,BD!$Y$3:$Y$5001,"&lt;&gt;")=0,"",SUMIFS(BD!$Y$3:$Y$5001,BD!$A$3:$A$5001,AA$3,BD!$B$3:$B$5001,$A$89)))</f>
        <v/>
      </c>
      <c r="AB99" s="198" t="str">
        <f>IF(AB$3="","",IF(COUNTIFS(BD!$A$3:$A$5001,AB$3,BD!$B$3:$B$5001,$A$89,BD!$Y$3:$Y$5001,"&lt;&gt;")=0,"",SUMIFS(BD!$Y$3:$Y$5001,BD!$A$3:$A$5001,AB$3,BD!$B$3:$B$5001,$A$89)))</f>
        <v/>
      </c>
      <c r="AC99" s="198" t="str">
        <f>IF(AC$3="","",IF(COUNTIFS(BD!$A$3:$A$5001,AC$3,BD!$B$3:$B$5001,$A$89,BD!$Y$3:$Y$5001,"&lt;&gt;")=0,"",SUMIFS(BD!$Y$3:$Y$5001,BD!$A$3:$A$5001,AC$3,BD!$B$3:$B$5001,$A$89)))</f>
        <v/>
      </c>
      <c r="AD99" s="198" t="str">
        <f>IF(AD$3="","",IF(COUNTIFS(BD!$A$3:$A$5001,AD$3,BD!$B$3:$B$5001,$A$89,BD!$Y$3:$Y$5001,"&lt;&gt;")=0,"",SUMIFS(BD!$Y$3:$Y$5001,BD!$A$3:$A$5001,AD$3,BD!$B$3:$B$5001,$A$89)))</f>
        <v/>
      </c>
      <c r="AE99" s="198" t="str">
        <f>IF(AE$3="","",IF(COUNTIFS(BD!$A$3:$A$5001,AE$3,BD!$B$3:$B$5001,$A$89,BD!$Y$3:$Y$5001,"&lt;&gt;")=0,"",SUMIFS(BD!$Y$3:$Y$5001,BD!$A$3:$A$5001,AE$3,BD!$B$3:$B$5001,$A$89)))</f>
        <v/>
      </c>
      <c r="AF99" s="198" t="str">
        <f>IF(AF$3="","",IF(COUNTIFS(BD!$A$3:$A$5001,AF$3,BD!$B$3:$B$5001,$A$89,BD!$Y$3:$Y$5001,"&lt;&gt;")=0,"",SUMIFS(BD!$Y$3:$Y$5001,BD!$A$3:$A$5001,AF$3,BD!$B$3:$B$5001,$A$89)))</f>
        <v/>
      </c>
      <c r="AG99" s="198" t="str">
        <f>IF(AG$3="","",IF(COUNTIFS(BD!$A$3:$A$5001,AG$3,BD!$B$3:$B$5001,$A$89,BD!$Y$3:$Y$5001,"&lt;&gt;")=0,"",SUMIFS(BD!$Y$3:$Y$5001,BD!$A$3:$A$5001,AG$3,BD!$B$3:$B$5001,$A$89)))</f>
        <v/>
      </c>
      <c r="AH99" s="198" t="str">
        <f>IF(AH$3="","",IF(COUNTIFS(BD!$A$3:$A$5001,AH$3,BD!$B$3:$B$5001,$A$89,BD!$Y$3:$Y$5001,"&lt;&gt;")=0,"",SUMIFS(BD!$Y$3:$Y$5001,BD!$A$3:$A$5001,AH$3,BD!$B$3:$B$5001,$A$89)))</f>
        <v/>
      </c>
      <c r="AI99" s="198" t="str">
        <f>IF(AI$3="","",IF(COUNTIFS(BD!$A$3:$A$5001,AI$3,BD!$B$3:$B$5001,$A$89,BD!$Y$3:$Y$5001,"&lt;&gt;")=0,"",SUMIFS(BD!$Y$3:$Y$5001,BD!$A$3:$A$5001,AI$3,BD!$B$3:$B$5001,$A$89)))</f>
        <v/>
      </c>
      <c r="AJ99" s="199" t="str">
        <f>IF(AJ$3="","",IF(COUNTIFS(BD!$A$3:$A$5001,AJ$3,BD!$B$3:$B$5001,$A$89,BD!$Y$3:$Y$5001,"&lt;&gt;")=0,"",SUMIFS(BD!$Y$3:$Y$5001,BD!$A$3:$A$5001,AJ$3,BD!$B$3:$B$5001,$A$89)))</f>
        <v/>
      </c>
      <c r="AK99" s="200" t="str">
        <f>IFERROR(LOOKUP(9.99E+307,F99:AJ99),"")</f>
        <v/>
      </c>
    </row>
    <row r="100" ht="15.75" customHeight="1">
      <c r="A100" s="237"/>
      <c r="B100" s="226"/>
      <c r="C100" s="155" t="inlineStr">
        <is>
          <t xml:space="preserve">Taxa de Ocupação</t>
        </is>
      </c>
      <c r="D100" s="201" t="str">
        <f>IFERROR(1/(1/INDEX(BD!$AK$46:$AU$46,MATCH($A$89,BD!$AK$22:$AU$22,0))),"")</f>
        <v/>
      </c>
      <c r="E100" s="157"/>
      <c r="F100" s="202" t="str">
        <f>IF(AND(ISNUMBER(F98),ISNUMBER(F99)),IF(F98&gt;0,F99/F98,""),"")</f>
        <v/>
      </c>
      <c r="G100" s="203" t="str">
        <f>IF(AND(ISNUMBER(G98),ISNUMBER(G99)),IF(G98&gt;0,G99/G98,""),"")</f>
        <v/>
      </c>
      <c r="H100" s="203" t="str">
        <f>IF(AND(ISNUMBER(H98),ISNUMBER(H99)),IF(H98&gt;0,H99/H98,""),"")</f>
        <v/>
      </c>
      <c r="I100" s="203" t="str">
        <f>IF(AND(ISNUMBER(I98),ISNUMBER(I99)),IF(I98&gt;0,I99/I98,""),"")</f>
        <v/>
      </c>
      <c r="J100" s="203" t="str">
        <f>IF(AND(ISNUMBER(J98),ISNUMBER(J99)),IF(J98&gt;0,J99/J98,""),"")</f>
        <v/>
      </c>
      <c r="K100" s="203" t="str">
        <f>IF(AND(ISNUMBER(K98),ISNUMBER(K99)),IF(K98&gt;0,K99/K98,""),"")</f>
        <v/>
      </c>
      <c r="L100" s="203" t="str">
        <f>IF(AND(ISNUMBER(L98),ISNUMBER(L99)),IF(L98&gt;0,L99/L98,""),"")</f>
        <v/>
      </c>
      <c r="M100" s="203" t="str">
        <f>IF(AND(ISNUMBER(M98),ISNUMBER(M99)),IF(M98&gt;0,M99/M98,""),"")</f>
        <v/>
      </c>
      <c r="N100" s="203" t="str">
        <f>IF(AND(ISNUMBER(N98),ISNUMBER(N99)),IF(N98&gt;0,N99/N98,""),"")</f>
        <v/>
      </c>
      <c r="O100" s="203" t="str">
        <f>IF(AND(ISNUMBER(O98),ISNUMBER(O99)),IF(O98&gt;0,O99/O98,""),"")</f>
        <v/>
      </c>
      <c r="P100" s="203" t="str">
        <f>IF(AND(ISNUMBER(P98),ISNUMBER(P99)),IF(P98&gt;0,P99/P98,""),"")</f>
        <v/>
      </c>
      <c r="Q100" s="203" t="str">
        <f>IF(AND(ISNUMBER(Q98),ISNUMBER(Q99)),IF(Q98&gt;0,Q99/Q98,""),"")</f>
        <v/>
      </c>
      <c r="R100" s="203" t="str">
        <f>IF(AND(ISNUMBER(R98),ISNUMBER(R99)),IF(R98&gt;0,R99/R98,""),"")</f>
        <v/>
      </c>
      <c r="S100" s="203" t="str">
        <f>IF(AND(ISNUMBER(S98),ISNUMBER(S99)),IF(S98&gt;0,S99/S98,""),"")</f>
        <v/>
      </c>
      <c r="T100" s="203" t="str">
        <f>IF(AND(ISNUMBER(T98),ISNUMBER(T99)),IF(T98&gt;0,T99/T98,""),"")</f>
        <v/>
      </c>
      <c r="U100" s="203" t="str">
        <f>IF(AND(ISNUMBER(U98),ISNUMBER(U99)),IF(U98&gt;0,U99/U98,""),"")</f>
        <v/>
      </c>
      <c r="V100" s="203" t="str">
        <f>IF(AND(ISNUMBER(V98),ISNUMBER(V99)),IF(V98&gt;0,V99/V98,""),"")</f>
        <v/>
      </c>
      <c r="W100" s="203" t="str">
        <f>IF(AND(ISNUMBER(W98),ISNUMBER(W99)),IF(W98&gt;0,W99/W98,""),"")</f>
        <v/>
      </c>
      <c r="X100" s="203" t="str">
        <f>IF(AND(ISNUMBER(X98),ISNUMBER(X99)),IF(X98&gt;0,X99/X98,""),"")</f>
        <v/>
      </c>
      <c r="Y100" s="203" t="str">
        <f>IF(AND(ISNUMBER(Y98),ISNUMBER(Y99)),IF(Y98&gt;0,Y99/Y98,""),"")</f>
        <v/>
      </c>
      <c r="Z100" s="203" t="str">
        <f>IF(AND(ISNUMBER(Z98),ISNUMBER(Z99)),IF(Z98&gt;0,Z99/Z98,""),"")</f>
        <v/>
      </c>
      <c r="AA100" s="203" t="str">
        <f>IF(AND(ISNUMBER(AA98),ISNUMBER(AA99)),IF(AA98&gt;0,AA99/AA98,""),"")</f>
        <v/>
      </c>
      <c r="AB100" s="203" t="str">
        <f>IF(AND(ISNUMBER(AB98),ISNUMBER(AB99)),IF(AB98&gt;0,AB99/AB98,""),"")</f>
        <v/>
      </c>
      <c r="AC100" s="203" t="str">
        <f>IF(AND(ISNUMBER(AC98),ISNUMBER(AC99)),IF(AC98&gt;0,AC99/AC98,""),"")</f>
        <v/>
      </c>
      <c r="AD100" s="203" t="str">
        <f>IF(AND(ISNUMBER(AD98),ISNUMBER(AD99)),IF(AD98&gt;0,AD99/AD98,""),"")</f>
        <v/>
      </c>
      <c r="AE100" s="203" t="str">
        <f>IF(AND(ISNUMBER(AE98),ISNUMBER(AE99)),IF(AE98&gt;0,AE99/AE98,""),"")</f>
        <v/>
      </c>
      <c r="AF100" s="203" t="str">
        <f>IF(AND(ISNUMBER(AF98),ISNUMBER(AF99)),IF(AF98&gt;0,AF99/AF98,""),"")</f>
        <v/>
      </c>
      <c r="AG100" s="203" t="str">
        <f>IF(AND(ISNUMBER(AG98),ISNUMBER(AG99)),IF(AG98&gt;0,AG99/AG98,""),"")</f>
        <v/>
      </c>
      <c r="AH100" s="203" t="str">
        <f>IF(AND(ISNUMBER(AH98),ISNUMBER(AH99)),IF(AH98&gt;0,AH99/AH98,""),"")</f>
        <v/>
      </c>
      <c r="AI100" s="203" t="str">
        <f>IF(AND(ISNUMBER(AI98),ISNUMBER(AI99)),IF(AI98&gt;0,AI99/AI98,""),"")</f>
        <v/>
      </c>
      <c r="AJ100" s="204" t="str">
        <f>IF(AND(ISNUMBER(AJ98),ISNUMBER(AJ99)),IF(AJ98&gt;0,AJ99/AJ98,""),"")</f>
        <v/>
      </c>
      <c r="AK100" s="201" t="str">
        <f>IF(AND(ISNUMBER(AK98),ISNUMBER(AK99)),IF(AK98&gt;0,AK99/AK98,""),"")</f>
        <v/>
      </c>
    </row>
    <row r="101" ht="15.75" customHeight="1">
      <c r="A101" s="237"/>
      <c r="B101" s="233" t="inlineStr">
        <is>
          <t xml:space="preserve">GENTE</t>
        </is>
      </c>
      <c r="C101" s="205" t="inlineStr">
        <is>
          <t xml:space="preserve">Efetivo Op.</t>
        </is>
      </c>
      <c r="D101" s="206" t="str">
        <f>IFERROR(1/(1/INDEX(BD!$AK$47:$AU$47,MATCH($A$89,BD!$AK$22:$AU$22,0))),"")</f>
        <v/>
      </c>
      <c r="E101" s="207"/>
      <c r="F101" s="208" t="str">
        <f>IF(F$3="","",IF(COUNTIFS(BD!$A$3:$A$5001,F$3,BD!$B$3:$B$5001,$A$89,BD!$Z$3:$Z$5001,"&lt;&gt;")=0,"",SUMIFS(BD!$Z$3:$Z$5001,BD!$A$3:$A$5001,F$3,BD!$B$3:$B$5001,$A$89)))</f>
        <v/>
      </c>
      <c r="G101" s="209" t="str">
        <f>IF(G$3="","",IF(COUNTIFS(BD!$A$3:$A$5001,G$3,BD!$B$3:$B$5001,$A$89,BD!$Z$3:$Z$5001,"&lt;&gt;")=0,"",SUMIFS(BD!$Z$3:$Z$5001,BD!$A$3:$A$5001,G$3,BD!$B$3:$B$5001,$A$89)))</f>
        <v/>
      </c>
      <c r="H101" s="209" t="str">
        <f>IF(H$3="","",IF(COUNTIFS(BD!$A$3:$A$5001,H$3,BD!$B$3:$B$5001,$A$89,BD!$Z$3:$Z$5001,"&lt;&gt;")=0,"",SUMIFS(BD!$Z$3:$Z$5001,BD!$A$3:$A$5001,H$3,BD!$B$3:$B$5001,$A$89)))</f>
        <v/>
      </c>
      <c r="I101" s="209" t="str">
        <f>IF(I$3="","",IF(COUNTIFS(BD!$A$3:$A$5001,I$3,BD!$B$3:$B$5001,$A$89,BD!$Z$3:$Z$5001,"&lt;&gt;")=0,"",SUMIFS(BD!$Z$3:$Z$5001,BD!$A$3:$A$5001,I$3,BD!$B$3:$B$5001,$A$89)))</f>
        <v/>
      </c>
      <c r="J101" s="209" t="str">
        <f>IF(J$3="","",IF(COUNTIFS(BD!$A$3:$A$5001,J$3,BD!$B$3:$B$5001,$A$89,BD!$Z$3:$Z$5001,"&lt;&gt;")=0,"",SUMIFS(BD!$Z$3:$Z$5001,BD!$A$3:$A$5001,J$3,BD!$B$3:$B$5001,$A$89)))</f>
        <v/>
      </c>
      <c r="K101" s="209" t="str">
        <f>IF(K$3="","",IF(COUNTIFS(BD!$A$3:$A$5001,K$3,BD!$B$3:$B$5001,$A$89,BD!$Z$3:$Z$5001,"&lt;&gt;")=0,"",SUMIFS(BD!$Z$3:$Z$5001,BD!$A$3:$A$5001,K$3,BD!$B$3:$B$5001,$A$89)))</f>
        <v/>
      </c>
      <c r="L101" s="209" t="str">
        <f>IF(L$3="","",IF(COUNTIFS(BD!$A$3:$A$5001,L$3,BD!$B$3:$B$5001,$A$89,BD!$Z$3:$Z$5001,"&lt;&gt;")=0,"",SUMIFS(BD!$Z$3:$Z$5001,BD!$A$3:$A$5001,L$3,BD!$B$3:$B$5001,$A$89)))</f>
        <v/>
      </c>
      <c r="M101" s="209" t="str">
        <f>IF(M$3="","",IF(COUNTIFS(BD!$A$3:$A$5001,M$3,BD!$B$3:$B$5001,$A$89,BD!$Z$3:$Z$5001,"&lt;&gt;")=0,"",SUMIFS(BD!$Z$3:$Z$5001,BD!$A$3:$A$5001,M$3,BD!$B$3:$B$5001,$A$89)))</f>
        <v/>
      </c>
      <c r="N101" s="209" t="str">
        <f>IF(N$3="","",IF(COUNTIFS(BD!$A$3:$A$5001,N$3,BD!$B$3:$B$5001,$A$89,BD!$Z$3:$Z$5001,"&lt;&gt;")=0,"",SUMIFS(BD!$Z$3:$Z$5001,BD!$A$3:$A$5001,N$3,BD!$B$3:$B$5001,$A$89)))</f>
        <v/>
      </c>
      <c r="O101" s="209" t="str">
        <f>IF(O$3="","",IF(COUNTIFS(BD!$A$3:$A$5001,O$3,BD!$B$3:$B$5001,$A$89,BD!$Z$3:$Z$5001,"&lt;&gt;")=0,"",SUMIFS(BD!$Z$3:$Z$5001,BD!$A$3:$A$5001,O$3,BD!$B$3:$B$5001,$A$89)))</f>
        <v/>
      </c>
      <c r="P101" s="209" t="str">
        <f>IF(P$3="","",IF(COUNTIFS(BD!$A$3:$A$5001,P$3,BD!$B$3:$B$5001,$A$89,BD!$Z$3:$Z$5001,"&lt;&gt;")=0,"",SUMIFS(BD!$Z$3:$Z$5001,BD!$A$3:$A$5001,P$3,BD!$B$3:$B$5001,$A$89)))</f>
        <v/>
      </c>
      <c r="Q101" s="209" t="str">
        <f>IF(Q$3="","",IF(COUNTIFS(BD!$A$3:$A$5001,Q$3,BD!$B$3:$B$5001,$A$89,BD!$Z$3:$Z$5001,"&lt;&gt;")=0,"",SUMIFS(BD!$Z$3:$Z$5001,BD!$A$3:$A$5001,Q$3,BD!$B$3:$B$5001,$A$89)))</f>
        <v/>
      </c>
      <c r="R101" s="209" t="str">
        <f>IF(R$3="","",IF(COUNTIFS(BD!$A$3:$A$5001,R$3,BD!$B$3:$B$5001,$A$89,BD!$Z$3:$Z$5001,"&lt;&gt;")=0,"",SUMIFS(BD!$Z$3:$Z$5001,BD!$A$3:$A$5001,R$3,BD!$B$3:$B$5001,$A$89)))</f>
        <v/>
      </c>
      <c r="S101" s="209" t="str">
        <f>IF(S$3="","",IF(COUNTIFS(BD!$A$3:$A$5001,S$3,BD!$B$3:$B$5001,$A$89,BD!$Z$3:$Z$5001,"&lt;&gt;")=0,"",SUMIFS(BD!$Z$3:$Z$5001,BD!$A$3:$A$5001,S$3,BD!$B$3:$B$5001,$A$89)))</f>
        <v/>
      </c>
      <c r="T101" s="209" t="str">
        <f>IF(T$3="","",IF(COUNTIFS(BD!$A$3:$A$5001,T$3,BD!$B$3:$B$5001,$A$89,BD!$Z$3:$Z$5001,"&lt;&gt;")=0,"",SUMIFS(BD!$Z$3:$Z$5001,BD!$A$3:$A$5001,T$3,BD!$B$3:$B$5001,$A$89)))</f>
        <v/>
      </c>
      <c r="U101" s="209" t="str">
        <f>IF(U$3="","",IF(COUNTIFS(BD!$A$3:$A$5001,U$3,BD!$B$3:$B$5001,$A$89,BD!$Z$3:$Z$5001,"&lt;&gt;")=0,"",SUMIFS(BD!$Z$3:$Z$5001,BD!$A$3:$A$5001,U$3,BD!$B$3:$B$5001,$A$89)))</f>
        <v/>
      </c>
      <c r="V101" s="209" t="str">
        <f>IF(V$3="","",IF(COUNTIFS(BD!$A$3:$A$5001,V$3,BD!$B$3:$B$5001,$A$89,BD!$Z$3:$Z$5001,"&lt;&gt;")=0,"",SUMIFS(BD!$Z$3:$Z$5001,BD!$A$3:$A$5001,V$3,BD!$B$3:$B$5001,$A$89)))</f>
        <v/>
      </c>
      <c r="W101" s="209" t="str">
        <f>IF(W$3="","",IF(COUNTIFS(BD!$A$3:$A$5001,W$3,BD!$B$3:$B$5001,$A$89,BD!$Z$3:$Z$5001,"&lt;&gt;")=0,"",SUMIFS(BD!$Z$3:$Z$5001,BD!$A$3:$A$5001,W$3,BD!$B$3:$B$5001,$A$89)))</f>
        <v/>
      </c>
      <c r="X101" s="209" t="str">
        <f>IF(X$3="","",IF(COUNTIFS(BD!$A$3:$A$5001,X$3,BD!$B$3:$B$5001,$A$89,BD!$Z$3:$Z$5001,"&lt;&gt;")=0,"",SUMIFS(BD!$Z$3:$Z$5001,BD!$A$3:$A$5001,X$3,BD!$B$3:$B$5001,$A$89)))</f>
        <v/>
      </c>
      <c r="Y101" s="209" t="str">
        <f>IF(Y$3="","",IF(COUNTIFS(BD!$A$3:$A$5001,Y$3,BD!$B$3:$B$5001,$A$89,BD!$Z$3:$Z$5001,"&lt;&gt;")=0,"",SUMIFS(BD!$Z$3:$Z$5001,BD!$A$3:$A$5001,Y$3,BD!$B$3:$B$5001,$A$89)))</f>
        <v/>
      </c>
      <c r="Z101" s="209" t="str">
        <f>IF(Z$3="","",IF(COUNTIFS(BD!$A$3:$A$5001,Z$3,BD!$B$3:$B$5001,$A$89,BD!$Z$3:$Z$5001,"&lt;&gt;")=0,"",SUMIFS(BD!$Z$3:$Z$5001,BD!$A$3:$A$5001,Z$3,BD!$B$3:$B$5001,$A$89)))</f>
        <v/>
      </c>
      <c r="AA101" s="209" t="str">
        <f>IF(AA$3="","",IF(COUNTIFS(BD!$A$3:$A$5001,AA$3,BD!$B$3:$B$5001,$A$89,BD!$Z$3:$Z$5001,"&lt;&gt;")=0,"",SUMIFS(BD!$Z$3:$Z$5001,BD!$A$3:$A$5001,AA$3,BD!$B$3:$B$5001,$A$89)))</f>
        <v/>
      </c>
      <c r="AB101" s="209" t="str">
        <f>IF(AB$3="","",IF(COUNTIFS(BD!$A$3:$A$5001,AB$3,BD!$B$3:$B$5001,$A$89,BD!$Z$3:$Z$5001,"&lt;&gt;")=0,"",SUMIFS(BD!$Z$3:$Z$5001,BD!$A$3:$A$5001,AB$3,BD!$B$3:$B$5001,$A$89)))</f>
        <v/>
      </c>
      <c r="AC101" s="209" t="str">
        <f>IF(AC$3="","",IF(COUNTIFS(BD!$A$3:$A$5001,AC$3,BD!$B$3:$B$5001,$A$89,BD!$Z$3:$Z$5001,"&lt;&gt;")=0,"",SUMIFS(BD!$Z$3:$Z$5001,BD!$A$3:$A$5001,AC$3,BD!$B$3:$B$5001,$A$89)))</f>
        <v/>
      </c>
      <c r="AD101" s="209" t="str">
        <f>IF(AD$3="","",IF(COUNTIFS(BD!$A$3:$A$5001,AD$3,BD!$B$3:$B$5001,$A$89,BD!$Z$3:$Z$5001,"&lt;&gt;")=0,"",SUMIFS(BD!$Z$3:$Z$5001,BD!$A$3:$A$5001,AD$3,BD!$B$3:$B$5001,$A$89)))</f>
        <v/>
      </c>
      <c r="AE101" s="209" t="str">
        <f>IF(AE$3="","",IF(COUNTIFS(BD!$A$3:$A$5001,AE$3,BD!$B$3:$B$5001,$A$89,BD!$Z$3:$Z$5001,"&lt;&gt;")=0,"",SUMIFS(BD!$Z$3:$Z$5001,BD!$A$3:$A$5001,AE$3,BD!$B$3:$B$5001,$A$89)))</f>
        <v/>
      </c>
      <c r="AF101" s="209" t="str">
        <f>IF(AF$3="","",IF(COUNTIFS(BD!$A$3:$A$5001,AF$3,BD!$B$3:$B$5001,$A$89,BD!$Z$3:$Z$5001,"&lt;&gt;")=0,"",SUMIFS(BD!$Z$3:$Z$5001,BD!$A$3:$A$5001,AF$3,BD!$B$3:$B$5001,$A$89)))</f>
        <v/>
      </c>
      <c r="AG101" s="209" t="str">
        <f>IF(AG$3="","",IF(COUNTIFS(BD!$A$3:$A$5001,AG$3,BD!$B$3:$B$5001,$A$89,BD!$Z$3:$Z$5001,"&lt;&gt;")=0,"",SUMIFS(BD!$Z$3:$Z$5001,BD!$A$3:$A$5001,AG$3,BD!$B$3:$B$5001,$A$89)))</f>
        <v/>
      </c>
      <c r="AH101" s="209" t="str">
        <f>IF(AH$3="","",IF(COUNTIFS(BD!$A$3:$A$5001,AH$3,BD!$B$3:$B$5001,$A$89,BD!$Z$3:$Z$5001,"&lt;&gt;")=0,"",SUMIFS(BD!$Z$3:$Z$5001,BD!$A$3:$A$5001,AH$3,BD!$B$3:$B$5001,$A$89)))</f>
        <v/>
      </c>
      <c r="AI101" s="209" t="str">
        <f>IF(AI$3="","",IF(COUNTIFS(BD!$A$3:$A$5001,AI$3,BD!$B$3:$B$5001,$A$89,BD!$Z$3:$Z$5001,"&lt;&gt;")=0,"",SUMIFS(BD!$Z$3:$Z$5001,BD!$A$3:$A$5001,AI$3,BD!$B$3:$B$5001,$A$89)))</f>
        <v/>
      </c>
      <c r="AJ101" s="210" t="str">
        <f>IF(AJ$3="","",IF(COUNTIFS(BD!$A$3:$A$5001,AJ$3,BD!$B$3:$B$5001,$A$89,BD!$Z$3:$Z$5001,"&lt;&gt;")=0,"",SUMIFS(BD!$Z$3:$Z$5001,BD!$A$3:$A$5001,AJ$3,BD!$B$3:$B$5001,$A$89)))</f>
        <v/>
      </c>
      <c r="AK101" s="211" t="str">
        <f>IFERROR(LOOKUP(9.99E+307,F101:AJ101),"")</f>
        <v/>
      </c>
    </row>
    <row r="102" ht="15.75" customHeight="1">
      <c r="A102" s="237"/>
      <c r="B102" s="234"/>
      <c r="C102" s="212" t="inlineStr">
        <is>
          <t xml:space="preserve">Falta</t>
        </is>
      </c>
      <c r="D102" s="213" t="str">
        <f>IFERROR(1/(1/INDEX(BD!$AK$48:$AU$48,MATCH($A$89,BD!$AK$22:$AU$22,0))),"")</f>
        <v/>
      </c>
      <c r="E102" s="214"/>
      <c r="F102" s="215" t="str">
        <f>IF(F$3="","",IF(COUNTIFS(BD!$A$3:$A$5001,F$3,BD!$B$3:$B$5001,$A$89,BD!$AA$3:$AA$5001,"&lt;&gt;")=0,"",SUMIFS(BD!$AA$3:$AA$5001,BD!$A$3:$A$5001,F$3,BD!$B$3:$B$5001,$A$89)))</f>
        <v/>
      </c>
      <c r="G102" s="216" t="str">
        <f>IF(G$3="","",IF(COUNTIFS(BD!$A$3:$A$5001,G$3,BD!$B$3:$B$5001,$A$89,BD!$AA$3:$AA$5001,"&lt;&gt;")=0,"",SUMIFS(BD!$AA$3:$AA$5001,BD!$A$3:$A$5001,G$3,BD!$B$3:$B$5001,$A$89)))</f>
        <v/>
      </c>
      <c r="H102" s="216" t="str">
        <f>IF(H$3="","",IF(COUNTIFS(BD!$A$3:$A$5001,H$3,BD!$B$3:$B$5001,$A$89,BD!$AA$3:$AA$5001,"&lt;&gt;")=0,"",SUMIFS(BD!$AA$3:$AA$5001,BD!$A$3:$A$5001,H$3,BD!$B$3:$B$5001,$A$89)))</f>
        <v/>
      </c>
      <c r="I102" s="216" t="str">
        <f>IF(I$3="","",IF(COUNTIFS(BD!$A$3:$A$5001,I$3,BD!$B$3:$B$5001,$A$89,BD!$AA$3:$AA$5001,"&lt;&gt;")=0,"",SUMIFS(BD!$AA$3:$AA$5001,BD!$A$3:$A$5001,I$3,BD!$B$3:$B$5001,$A$89)))</f>
        <v/>
      </c>
      <c r="J102" s="216" t="str">
        <f>IF(J$3="","",IF(COUNTIFS(BD!$A$3:$A$5001,J$3,BD!$B$3:$B$5001,$A$89,BD!$AA$3:$AA$5001,"&lt;&gt;")=0,"",SUMIFS(BD!$AA$3:$AA$5001,BD!$A$3:$A$5001,J$3,BD!$B$3:$B$5001,$A$89)))</f>
        <v/>
      </c>
      <c r="K102" s="216" t="str">
        <f>IF(K$3="","",IF(COUNTIFS(BD!$A$3:$A$5001,K$3,BD!$B$3:$B$5001,$A$89,BD!$AA$3:$AA$5001,"&lt;&gt;")=0,"",SUMIFS(BD!$AA$3:$AA$5001,BD!$A$3:$A$5001,K$3,BD!$B$3:$B$5001,$A$89)))</f>
        <v/>
      </c>
      <c r="L102" s="216" t="str">
        <f>IF(L$3="","",IF(COUNTIFS(BD!$A$3:$A$5001,L$3,BD!$B$3:$B$5001,$A$89,BD!$AA$3:$AA$5001,"&lt;&gt;")=0,"",SUMIFS(BD!$AA$3:$AA$5001,BD!$A$3:$A$5001,L$3,BD!$B$3:$B$5001,$A$89)))</f>
        <v/>
      </c>
      <c r="M102" s="216" t="str">
        <f>IF(M$3="","",IF(COUNTIFS(BD!$A$3:$A$5001,M$3,BD!$B$3:$B$5001,$A$89,BD!$AA$3:$AA$5001,"&lt;&gt;")=0,"",SUMIFS(BD!$AA$3:$AA$5001,BD!$A$3:$A$5001,M$3,BD!$B$3:$B$5001,$A$89)))</f>
        <v/>
      </c>
      <c r="N102" s="216" t="str">
        <f>IF(N$3="","",IF(COUNTIFS(BD!$A$3:$A$5001,N$3,BD!$B$3:$B$5001,$A$89,BD!$AA$3:$AA$5001,"&lt;&gt;")=0,"",SUMIFS(BD!$AA$3:$AA$5001,BD!$A$3:$A$5001,N$3,BD!$B$3:$B$5001,$A$89)))</f>
        <v/>
      </c>
      <c r="O102" s="216" t="str">
        <f>IF(O$3="","",IF(COUNTIFS(BD!$A$3:$A$5001,O$3,BD!$B$3:$B$5001,$A$89,BD!$AA$3:$AA$5001,"&lt;&gt;")=0,"",SUMIFS(BD!$AA$3:$AA$5001,BD!$A$3:$A$5001,O$3,BD!$B$3:$B$5001,$A$89)))</f>
        <v/>
      </c>
      <c r="P102" s="216" t="str">
        <f>IF(P$3="","",IF(COUNTIFS(BD!$A$3:$A$5001,P$3,BD!$B$3:$B$5001,$A$89,BD!$AA$3:$AA$5001,"&lt;&gt;")=0,"",SUMIFS(BD!$AA$3:$AA$5001,BD!$A$3:$A$5001,P$3,BD!$B$3:$B$5001,$A$89)))</f>
        <v/>
      </c>
      <c r="Q102" s="216" t="str">
        <f>IF(Q$3="","",IF(COUNTIFS(BD!$A$3:$A$5001,Q$3,BD!$B$3:$B$5001,$A$89,BD!$AA$3:$AA$5001,"&lt;&gt;")=0,"",SUMIFS(BD!$AA$3:$AA$5001,BD!$A$3:$A$5001,Q$3,BD!$B$3:$B$5001,$A$89)))</f>
        <v/>
      </c>
      <c r="R102" s="216" t="str">
        <f>IF(R$3="","",IF(COUNTIFS(BD!$A$3:$A$5001,R$3,BD!$B$3:$B$5001,$A$89,BD!$AA$3:$AA$5001,"&lt;&gt;")=0,"",SUMIFS(BD!$AA$3:$AA$5001,BD!$A$3:$A$5001,R$3,BD!$B$3:$B$5001,$A$89)))</f>
        <v/>
      </c>
      <c r="S102" s="216" t="str">
        <f>IF(S$3="","",IF(COUNTIFS(BD!$A$3:$A$5001,S$3,BD!$B$3:$B$5001,$A$89,BD!$AA$3:$AA$5001,"&lt;&gt;")=0,"",SUMIFS(BD!$AA$3:$AA$5001,BD!$A$3:$A$5001,S$3,BD!$B$3:$B$5001,$A$89)))</f>
        <v/>
      </c>
      <c r="T102" s="216" t="str">
        <f>IF(T$3="","",IF(COUNTIFS(BD!$A$3:$A$5001,T$3,BD!$B$3:$B$5001,$A$89,BD!$AA$3:$AA$5001,"&lt;&gt;")=0,"",SUMIFS(BD!$AA$3:$AA$5001,BD!$A$3:$A$5001,T$3,BD!$B$3:$B$5001,$A$89)))</f>
        <v/>
      </c>
      <c r="U102" s="216" t="str">
        <f>IF(U$3="","",IF(COUNTIFS(BD!$A$3:$A$5001,U$3,BD!$B$3:$B$5001,$A$89,BD!$AA$3:$AA$5001,"&lt;&gt;")=0,"",SUMIFS(BD!$AA$3:$AA$5001,BD!$A$3:$A$5001,U$3,BD!$B$3:$B$5001,$A$89)))</f>
        <v/>
      </c>
      <c r="V102" s="216" t="str">
        <f>IF(V$3="","",IF(COUNTIFS(BD!$A$3:$A$5001,V$3,BD!$B$3:$B$5001,$A$89,BD!$AA$3:$AA$5001,"&lt;&gt;")=0,"",SUMIFS(BD!$AA$3:$AA$5001,BD!$A$3:$A$5001,V$3,BD!$B$3:$B$5001,$A$89)))</f>
        <v/>
      </c>
      <c r="W102" s="216" t="str">
        <f>IF(W$3="","",IF(COUNTIFS(BD!$A$3:$A$5001,W$3,BD!$B$3:$B$5001,$A$89,BD!$AA$3:$AA$5001,"&lt;&gt;")=0,"",SUMIFS(BD!$AA$3:$AA$5001,BD!$A$3:$A$5001,W$3,BD!$B$3:$B$5001,$A$89)))</f>
        <v/>
      </c>
      <c r="X102" s="216" t="str">
        <f>IF(X$3="","",IF(COUNTIFS(BD!$A$3:$A$5001,X$3,BD!$B$3:$B$5001,$A$89,BD!$AA$3:$AA$5001,"&lt;&gt;")=0,"",SUMIFS(BD!$AA$3:$AA$5001,BD!$A$3:$A$5001,X$3,BD!$B$3:$B$5001,$A$89)))</f>
        <v/>
      </c>
      <c r="Y102" s="216" t="str">
        <f>IF(Y$3="","",IF(COUNTIFS(BD!$A$3:$A$5001,Y$3,BD!$B$3:$B$5001,$A$89,BD!$AA$3:$AA$5001,"&lt;&gt;")=0,"",SUMIFS(BD!$AA$3:$AA$5001,BD!$A$3:$A$5001,Y$3,BD!$B$3:$B$5001,$A$89)))</f>
        <v/>
      </c>
      <c r="Z102" s="216" t="str">
        <f>IF(Z$3="","",IF(COUNTIFS(BD!$A$3:$A$5001,Z$3,BD!$B$3:$B$5001,$A$89,BD!$AA$3:$AA$5001,"&lt;&gt;")=0,"",SUMIFS(BD!$AA$3:$AA$5001,BD!$A$3:$A$5001,Z$3,BD!$B$3:$B$5001,$A$89)))</f>
        <v/>
      </c>
      <c r="AA102" s="216" t="str">
        <f>IF(AA$3="","",IF(COUNTIFS(BD!$A$3:$A$5001,AA$3,BD!$B$3:$B$5001,$A$89,BD!$AA$3:$AA$5001,"&lt;&gt;")=0,"",SUMIFS(BD!$AA$3:$AA$5001,BD!$A$3:$A$5001,AA$3,BD!$B$3:$B$5001,$A$89)))</f>
        <v/>
      </c>
      <c r="AB102" s="216" t="str">
        <f>IF(AB$3="","",IF(COUNTIFS(BD!$A$3:$A$5001,AB$3,BD!$B$3:$B$5001,$A$89,BD!$AA$3:$AA$5001,"&lt;&gt;")=0,"",SUMIFS(BD!$AA$3:$AA$5001,BD!$A$3:$A$5001,AB$3,BD!$B$3:$B$5001,$A$89)))</f>
        <v/>
      </c>
      <c r="AC102" s="216" t="str">
        <f>IF(AC$3="","",IF(COUNTIFS(BD!$A$3:$A$5001,AC$3,BD!$B$3:$B$5001,$A$89,BD!$AA$3:$AA$5001,"&lt;&gt;")=0,"",SUMIFS(BD!$AA$3:$AA$5001,BD!$A$3:$A$5001,AC$3,BD!$B$3:$B$5001,$A$89)))</f>
        <v/>
      </c>
      <c r="AD102" s="216" t="str">
        <f>IF(AD$3="","",IF(COUNTIFS(BD!$A$3:$A$5001,AD$3,BD!$B$3:$B$5001,$A$89,BD!$AA$3:$AA$5001,"&lt;&gt;")=0,"",SUMIFS(BD!$AA$3:$AA$5001,BD!$A$3:$A$5001,AD$3,BD!$B$3:$B$5001,$A$89)))</f>
        <v/>
      </c>
      <c r="AE102" s="216" t="str">
        <f>IF(AE$3="","",IF(COUNTIFS(BD!$A$3:$A$5001,AE$3,BD!$B$3:$B$5001,$A$89,BD!$AA$3:$AA$5001,"&lt;&gt;")=0,"",SUMIFS(BD!$AA$3:$AA$5001,BD!$A$3:$A$5001,AE$3,BD!$B$3:$B$5001,$A$89)))</f>
        <v/>
      </c>
      <c r="AF102" s="216" t="str">
        <f>IF(AF$3="","",IF(COUNTIFS(BD!$A$3:$A$5001,AF$3,BD!$B$3:$B$5001,$A$89,BD!$AA$3:$AA$5001,"&lt;&gt;")=0,"",SUMIFS(BD!$AA$3:$AA$5001,BD!$A$3:$A$5001,AF$3,BD!$B$3:$B$5001,$A$89)))</f>
        <v/>
      </c>
      <c r="AG102" s="216" t="str">
        <f>IF(AG$3="","",IF(COUNTIFS(BD!$A$3:$A$5001,AG$3,BD!$B$3:$B$5001,$A$89,BD!$AA$3:$AA$5001,"&lt;&gt;")=0,"",SUMIFS(BD!$AA$3:$AA$5001,BD!$A$3:$A$5001,AG$3,BD!$B$3:$B$5001,$A$89)))</f>
        <v/>
      </c>
      <c r="AH102" s="216" t="str">
        <f>IF(AH$3="","",IF(COUNTIFS(BD!$A$3:$A$5001,AH$3,BD!$B$3:$B$5001,$A$89,BD!$AA$3:$AA$5001,"&lt;&gt;")=0,"",SUMIFS(BD!$AA$3:$AA$5001,BD!$A$3:$A$5001,AH$3,BD!$B$3:$B$5001,$A$89)))</f>
        <v/>
      </c>
      <c r="AI102" s="216" t="str">
        <f>IF(AI$3="","",IF(COUNTIFS(BD!$A$3:$A$5001,AI$3,BD!$B$3:$B$5001,$A$89,BD!$AA$3:$AA$5001,"&lt;&gt;")=0,"",SUMIFS(BD!$AA$3:$AA$5001,BD!$A$3:$A$5001,AI$3,BD!$B$3:$B$5001,$A$89)))</f>
        <v/>
      </c>
      <c r="AJ102" s="217" t="str">
        <f>IF(AJ$3="","",IF(COUNTIFS(BD!$A$3:$A$5001,AJ$3,BD!$B$3:$B$5001,$A$89,BD!$AA$3:$AA$5001,"&lt;&gt;")=0,"",SUMIFS(BD!$AA$3:$AA$5001,BD!$A$3:$A$5001,AJ$3,BD!$B$3:$B$5001,$A$89)))</f>
        <v/>
      </c>
      <c r="AK102" s="218" t="str">
        <f>IF(COUNT(F102:AJ102)=0,"",SUM(F102:AJ102))</f>
        <v/>
      </c>
    </row>
    <row r="103" ht="15.75" customHeight="1">
      <c r="A103" s="237"/>
      <c r="B103" s="234"/>
      <c r="C103" s="212" t="inlineStr">
        <is>
          <t xml:space="preserve">Folga</t>
        </is>
      </c>
      <c r="D103" s="213" t="str">
        <f>IFERROR(1/(1/INDEX(BD!$AK$49:$AU$49,MATCH($A$89,BD!$AK$22:$AU$22,0))),"")</f>
        <v/>
      </c>
      <c r="E103" s="214"/>
      <c r="F103" s="215" t="str">
        <f>IF(F$3="","",IF(COUNTIFS(BD!$A$3:$A$5001,F$3,BD!$B$3:$B$5001,$A$89,BD!$AB$3:$AB$5001,"&lt;&gt;")=0,"",SUMIFS(BD!$AB$3:$AB$5001,BD!$A$3:$A$5001,F$3,BD!$B$3:$B$5001,$A$89)))</f>
        <v/>
      </c>
      <c r="G103" s="216" t="str">
        <f>IF(G$3="","",IF(COUNTIFS(BD!$A$3:$A$5001,G$3,BD!$B$3:$B$5001,$A$89,BD!$AB$3:$AB$5001,"&lt;&gt;")=0,"",SUMIFS(BD!$AB$3:$AB$5001,BD!$A$3:$A$5001,G$3,BD!$B$3:$B$5001,$A$89)))</f>
        <v/>
      </c>
      <c r="H103" s="216" t="str">
        <f>IF(H$3="","",IF(COUNTIFS(BD!$A$3:$A$5001,H$3,BD!$B$3:$B$5001,$A$89,BD!$AB$3:$AB$5001,"&lt;&gt;")=0,"",SUMIFS(BD!$AB$3:$AB$5001,BD!$A$3:$A$5001,H$3,BD!$B$3:$B$5001,$A$89)))</f>
        <v/>
      </c>
      <c r="I103" s="216" t="str">
        <f>IF(I$3="","",IF(COUNTIFS(BD!$A$3:$A$5001,I$3,BD!$B$3:$B$5001,$A$89,BD!$AB$3:$AB$5001,"&lt;&gt;")=0,"",SUMIFS(BD!$AB$3:$AB$5001,BD!$A$3:$A$5001,I$3,BD!$B$3:$B$5001,$A$89)))</f>
        <v/>
      </c>
      <c r="J103" s="216" t="str">
        <f>IF(J$3="","",IF(COUNTIFS(BD!$A$3:$A$5001,J$3,BD!$B$3:$B$5001,$A$89,BD!$AB$3:$AB$5001,"&lt;&gt;")=0,"",SUMIFS(BD!$AB$3:$AB$5001,BD!$A$3:$A$5001,J$3,BD!$B$3:$B$5001,$A$89)))</f>
        <v/>
      </c>
      <c r="K103" s="216" t="str">
        <f>IF(K$3="","",IF(COUNTIFS(BD!$A$3:$A$5001,K$3,BD!$B$3:$B$5001,$A$89,BD!$AB$3:$AB$5001,"&lt;&gt;")=0,"",SUMIFS(BD!$AB$3:$AB$5001,BD!$A$3:$A$5001,K$3,BD!$B$3:$B$5001,$A$89)))</f>
        <v/>
      </c>
      <c r="L103" s="216" t="str">
        <f>IF(L$3="","",IF(COUNTIFS(BD!$A$3:$A$5001,L$3,BD!$B$3:$B$5001,$A$89,BD!$AB$3:$AB$5001,"&lt;&gt;")=0,"",SUMIFS(BD!$AB$3:$AB$5001,BD!$A$3:$A$5001,L$3,BD!$B$3:$B$5001,$A$89)))</f>
        <v/>
      </c>
      <c r="M103" s="216" t="str">
        <f>IF(M$3="","",IF(COUNTIFS(BD!$A$3:$A$5001,M$3,BD!$B$3:$B$5001,$A$89,BD!$AB$3:$AB$5001,"&lt;&gt;")=0,"",SUMIFS(BD!$AB$3:$AB$5001,BD!$A$3:$A$5001,M$3,BD!$B$3:$B$5001,$A$89)))</f>
        <v/>
      </c>
      <c r="N103" s="216" t="str">
        <f>IF(N$3="","",IF(COUNTIFS(BD!$A$3:$A$5001,N$3,BD!$B$3:$B$5001,$A$89,BD!$AB$3:$AB$5001,"&lt;&gt;")=0,"",SUMIFS(BD!$AB$3:$AB$5001,BD!$A$3:$A$5001,N$3,BD!$B$3:$B$5001,$A$89)))</f>
        <v/>
      </c>
      <c r="O103" s="216" t="str">
        <f>IF(O$3="","",IF(COUNTIFS(BD!$A$3:$A$5001,O$3,BD!$B$3:$B$5001,$A$89,BD!$AB$3:$AB$5001,"&lt;&gt;")=0,"",SUMIFS(BD!$AB$3:$AB$5001,BD!$A$3:$A$5001,O$3,BD!$B$3:$B$5001,$A$89)))</f>
        <v/>
      </c>
      <c r="P103" s="216" t="str">
        <f>IF(P$3="","",IF(COUNTIFS(BD!$A$3:$A$5001,P$3,BD!$B$3:$B$5001,$A$89,BD!$AB$3:$AB$5001,"&lt;&gt;")=0,"",SUMIFS(BD!$AB$3:$AB$5001,BD!$A$3:$A$5001,P$3,BD!$B$3:$B$5001,$A$89)))</f>
        <v/>
      </c>
      <c r="Q103" s="216" t="str">
        <f>IF(Q$3="","",IF(COUNTIFS(BD!$A$3:$A$5001,Q$3,BD!$B$3:$B$5001,$A$89,BD!$AB$3:$AB$5001,"&lt;&gt;")=0,"",SUMIFS(BD!$AB$3:$AB$5001,BD!$A$3:$A$5001,Q$3,BD!$B$3:$B$5001,$A$89)))</f>
        <v/>
      </c>
      <c r="R103" s="216" t="str">
        <f>IF(R$3="","",IF(COUNTIFS(BD!$A$3:$A$5001,R$3,BD!$B$3:$B$5001,$A$89,BD!$AB$3:$AB$5001,"&lt;&gt;")=0,"",SUMIFS(BD!$AB$3:$AB$5001,BD!$A$3:$A$5001,R$3,BD!$B$3:$B$5001,$A$89)))</f>
        <v/>
      </c>
      <c r="S103" s="216" t="str">
        <f>IF(S$3="","",IF(COUNTIFS(BD!$A$3:$A$5001,S$3,BD!$B$3:$B$5001,$A$89,BD!$AB$3:$AB$5001,"&lt;&gt;")=0,"",SUMIFS(BD!$AB$3:$AB$5001,BD!$A$3:$A$5001,S$3,BD!$B$3:$B$5001,$A$89)))</f>
        <v/>
      </c>
      <c r="T103" s="216" t="str">
        <f>IF(T$3="","",IF(COUNTIFS(BD!$A$3:$A$5001,T$3,BD!$B$3:$B$5001,$A$89,BD!$AB$3:$AB$5001,"&lt;&gt;")=0,"",SUMIFS(BD!$AB$3:$AB$5001,BD!$A$3:$A$5001,T$3,BD!$B$3:$B$5001,$A$89)))</f>
        <v/>
      </c>
      <c r="U103" s="216" t="str">
        <f>IF(U$3="","",IF(COUNTIFS(BD!$A$3:$A$5001,U$3,BD!$B$3:$B$5001,$A$89,BD!$AB$3:$AB$5001,"&lt;&gt;")=0,"",SUMIFS(BD!$AB$3:$AB$5001,BD!$A$3:$A$5001,U$3,BD!$B$3:$B$5001,$A$89)))</f>
        <v/>
      </c>
      <c r="V103" s="216" t="str">
        <f>IF(V$3="","",IF(COUNTIFS(BD!$A$3:$A$5001,V$3,BD!$B$3:$B$5001,$A$89,BD!$AB$3:$AB$5001,"&lt;&gt;")=0,"",SUMIFS(BD!$AB$3:$AB$5001,BD!$A$3:$A$5001,V$3,BD!$B$3:$B$5001,$A$89)))</f>
        <v/>
      </c>
      <c r="W103" s="216" t="str">
        <f>IF(W$3="","",IF(COUNTIFS(BD!$A$3:$A$5001,W$3,BD!$B$3:$B$5001,$A$89,BD!$AB$3:$AB$5001,"&lt;&gt;")=0,"",SUMIFS(BD!$AB$3:$AB$5001,BD!$A$3:$A$5001,W$3,BD!$B$3:$B$5001,$A$89)))</f>
        <v/>
      </c>
      <c r="X103" s="216" t="str">
        <f>IF(X$3="","",IF(COUNTIFS(BD!$A$3:$A$5001,X$3,BD!$B$3:$B$5001,$A$89,BD!$AB$3:$AB$5001,"&lt;&gt;")=0,"",SUMIFS(BD!$AB$3:$AB$5001,BD!$A$3:$A$5001,X$3,BD!$B$3:$B$5001,$A$89)))</f>
        <v/>
      </c>
      <c r="Y103" s="216" t="str">
        <f>IF(Y$3="","",IF(COUNTIFS(BD!$A$3:$A$5001,Y$3,BD!$B$3:$B$5001,$A$89,BD!$AB$3:$AB$5001,"&lt;&gt;")=0,"",SUMIFS(BD!$AB$3:$AB$5001,BD!$A$3:$A$5001,Y$3,BD!$B$3:$B$5001,$A$89)))</f>
        <v/>
      </c>
      <c r="Z103" s="216" t="str">
        <f>IF(Z$3="","",IF(COUNTIFS(BD!$A$3:$A$5001,Z$3,BD!$B$3:$B$5001,$A$89,BD!$AB$3:$AB$5001,"&lt;&gt;")=0,"",SUMIFS(BD!$AB$3:$AB$5001,BD!$A$3:$A$5001,Z$3,BD!$B$3:$B$5001,$A$89)))</f>
        <v/>
      </c>
      <c r="AA103" s="216" t="str">
        <f>IF(AA$3="","",IF(COUNTIFS(BD!$A$3:$A$5001,AA$3,BD!$B$3:$B$5001,$A$89,BD!$AB$3:$AB$5001,"&lt;&gt;")=0,"",SUMIFS(BD!$AB$3:$AB$5001,BD!$A$3:$A$5001,AA$3,BD!$B$3:$B$5001,$A$89)))</f>
        <v/>
      </c>
      <c r="AB103" s="216" t="str">
        <f>IF(AB$3="","",IF(COUNTIFS(BD!$A$3:$A$5001,AB$3,BD!$B$3:$B$5001,$A$89,BD!$AB$3:$AB$5001,"&lt;&gt;")=0,"",SUMIFS(BD!$AB$3:$AB$5001,BD!$A$3:$A$5001,AB$3,BD!$B$3:$B$5001,$A$89)))</f>
        <v/>
      </c>
      <c r="AC103" s="216" t="str">
        <f>IF(AC$3="","",IF(COUNTIFS(BD!$A$3:$A$5001,AC$3,BD!$B$3:$B$5001,$A$89,BD!$AB$3:$AB$5001,"&lt;&gt;")=0,"",SUMIFS(BD!$AB$3:$AB$5001,BD!$A$3:$A$5001,AC$3,BD!$B$3:$B$5001,$A$89)))</f>
        <v/>
      </c>
      <c r="AD103" s="216" t="str">
        <f>IF(AD$3="","",IF(COUNTIFS(BD!$A$3:$A$5001,AD$3,BD!$B$3:$B$5001,$A$89,BD!$AB$3:$AB$5001,"&lt;&gt;")=0,"",SUMIFS(BD!$AB$3:$AB$5001,BD!$A$3:$A$5001,AD$3,BD!$B$3:$B$5001,$A$89)))</f>
        <v/>
      </c>
      <c r="AE103" s="216" t="str">
        <f>IF(AE$3="","",IF(COUNTIFS(BD!$A$3:$A$5001,AE$3,BD!$B$3:$B$5001,$A$89,BD!$AB$3:$AB$5001,"&lt;&gt;")=0,"",SUMIFS(BD!$AB$3:$AB$5001,BD!$A$3:$A$5001,AE$3,BD!$B$3:$B$5001,$A$89)))</f>
        <v/>
      </c>
      <c r="AF103" s="216" t="str">
        <f>IF(AF$3="","",IF(COUNTIFS(BD!$A$3:$A$5001,AF$3,BD!$B$3:$B$5001,$A$89,BD!$AB$3:$AB$5001,"&lt;&gt;")=0,"",SUMIFS(BD!$AB$3:$AB$5001,BD!$A$3:$A$5001,AF$3,BD!$B$3:$B$5001,$A$89)))</f>
        <v/>
      </c>
      <c r="AG103" s="216" t="str">
        <f>IF(AG$3="","",IF(COUNTIFS(BD!$A$3:$A$5001,AG$3,BD!$B$3:$B$5001,$A$89,BD!$AB$3:$AB$5001,"&lt;&gt;")=0,"",SUMIFS(BD!$AB$3:$AB$5001,BD!$A$3:$A$5001,AG$3,BD!$B$3:$B$5001,$A$89)))</f>
        <v/>
      </c>
      <c r="AH103" s="216" t="str">
        <f>IF(AH$3="","",IF(COUNTIFS(BD!$A$3:$A$5001,AH$3,BD!$B$3:$B$5001,$A$89,BD!$AB$3:$AB$5001,"&lt;&gt;")=0,"",SUMIFS(BD!$AB$3:$AB$5001,BD!$A$3:$A$5001,AH$3,BD!$B$3:$B$5001,$A$89)))</f>
        <v/>
      </c>
      <c r="AI103" s="216" t="str">
        <f>IF(AI$3="","",IF(COUNTIFS(BD!$A$3:$A$5001,AI$3,BD!$B$3:$B$5001,$A$89,BD!$AB$3:$AB$5001,"&lt;&gt;")=0,"",SUMIFS(BD!$AB$3:$AB$5001,BD!$A$3:$A$5001,AI$3,BD!$B$3:$B$5001,$A$89)))</f>
        <v/>
      </c>
      <c r="AJ103" s="217" t="str">
        <f>IF(AJ$3="","",IF(COUNTIFS(BD!$A$3:$A$5001,AJ$3,BD!$B$3:$B$5001,$A$89,BD!$AB$3:$AB$5001,"&lt;&gt;")=0,"",SUMIFS(BD!$AB$3:$AB$5001,BD!$A$3:$A$5001,AJ$3,BD!$B$3:$B$5001,$A$89)))</f>
        <v/>
      </c>
      <c r="AK103" s="218" t="str">
        <f>IF(COUNT(F103:AJ103)=0,"",SUM(F103:AJ103))</f>
        <v/>
      </c>
    </row>
    <row r="104" ht="15.75" customHeight="1">
      <c r="A104" s="237"/>
      <c r="B104" s="234"/>
      <c r="C104" s="212" t="inlineStr">
        <is>
          <t xml:space="preserve">Férias</t>
        </is>
      </c>
      <c r="D104" s="213" t="str">
        <f>IFERROR(1/(1/INDEX(BD!$AK$50:$AU$50,MATCH($A$89,BD!$AK$22:$AU$22,0))),"")</f>
        <v/>
      </c>
      <c r="E104" s="214"/>
      <c r="F104" s="215" t="str">
        <f>IF(F$3="","",IF(COUNTIFS(BD!$A$3:$A$5001,F$3,BD!$B$3:$B$5001,$A$89,BD!$AC$3:$AC$5001,"&lt;&gt;")=0,"",SUMIFS(BD!$AC$3:$AC$5001,BD!$A$3:$A$5001,F$3,BD!$B$3:$B$5001,$A$89)))</f>
        <v/>
      </c>
      <c r="G104" s="216" t="str">
        <f>IF(G$3="","",IF(COUNTIFS(BD!$A$3:$A$5001,G$3,BD!$B$3:$B$5001,$A$89,BD!$AC$3:$AC$5001,"&lt;&gt;")=0,"",SUMIFS(BD!$AC$3:$AC$5001,BD!$A$3:$A$5001,G$3,BD!$B$3:$B$5001,$A$89)))</f>
        <v/>
      </c>
      <c r="H104" s="216" t="str">
        <f>IF(H$3="","",IF(COUNTIFS(BD!$A$3:$A$5001,H$3,BD!$B$3:$B$5001,$A$89,BD!$AC$3:$AC$5001,"&lt;&gt;")=0,"",SUMIFS(BD!$AC$3:$AC$5001,BD!$A$3:$A$5001,H$3,BD!$B$3:$B$5001,$A$89)))</f>
        <v/>
      </c>
      <c r="I104" s="216" t="str">
        <f>IF(I$3="","",IF(COUNTIFS(BD!$A$3:$A$5001,I$3,BD!$B$3:$B$5001,$A$89,BD!$AC$3:$AC$5001,"&lt;&gt;")=0,"",SUMIFS(BD!$AC$3:$AC$5001,BD!$A$3:$A$5001,I$3,BD!$B$3:$B$5001,$A$89)))</f>
        <v/>
      </c>
      <c r="J104" s="216" t="str">
        <f>IF(J$3="","",IF(COUNTIFS(BD!$A$3:$A$5001,J$3,BD!$B$3:$B$5001,$A$89,BD!$AC$3:$AC$5001,"&lt;&gt;")=0,"",SUMIFS(BD!$AC$3:$AC$5001,BD!$A$3:$A$5001,J$3,BD!$B$3:$B$5001,$A$89)))</f>
        <v/>
      </c>
      <c r="K104" s="216" t="str">
        <f>IF(K$3="","",IF(COUNTIFS(BD!$A$3:$A$5001,K$3,BD!$B$3:$B$5001,$A$89,BD!$AC$3:$AC$5001,"&lt;&gt;")=0,"",SUMIFS(BD!$AC$3:$AC$5001,BD!$A$3:$A$5001,K$3,BD!$B$3:$B$5001,$A$89)))</f>
        <v/>
      </c>
      <c r="L104" s="216" t="str">
        <f>IF(L$3="","",IF(COUNTIFS(BD!$A$3:$A$5001,L$3,BD!$B$3:$B$5001,$A$89,BD!$AC$3:$AC$5001,"&lt;&gt;")=0,"",SUMIFS(BD!$AC$3:$AC$5001,BD!$A$3:$A$5001,L$3,BD!$B$3:$B$5001,$A$89)))</f>
        <v/>
      </c>
      <c r="M104" s="216" t="str">
        <f>IF(M$3="","",IF(COUNTIFS(BD!$A$3:$A$5001,M$3,BD!$B$3:$B$5001,$A$89,BD!$AC$3:$AC$5001,"&lt;&gt;")=0,"",SUMIFS(BD!$AC$3:$AC$5001,BD!$A$3:$A$5001,M$3,BD!$B$3:$B$5001,$A$89)))</f>
        <v/>
      </c>
      <c r="N104" s="216" t="str">
        <f>IF(N$3="","",IF(COUNTIFS(BD!$A$3:$A$5001,N$3,BD!$B$3:$B$5001,$A$89,BD!$AC$3:$AC$5001,"&lt;&gt;")=0,"",SUMIFS(BD!$AC$3:$AC$5001,BD!$A$3:$A$5001,N$3,BD!$B$3:$B$5001,$A$89)))</f>
        <v/>
      </c>
      <c r="O104" s="216" t="str">
        <f>IF(O$3="","",IF(COUNTIFS(BD!$A$3:$A$5001,O$3,BD!$B$3:$B$5001,$A$89,BD!$AC$3:$AC$5001,"&lt;&gt;")=0,"",SUMIFS(BD!$AC$3:$AC$5001,BD!$A$3:$A$5001,O$3,BD!$B$3:$B$5001,$A$89)))</f>
        <v/>
      </c>
      <c r="P104" s="216" t="str">
        <f>IF(P$3="","",IF(COUNTIFS(BD!$A$3:$A$5001,P$3,BD!$B$3:$B$5001,$A$89,BD!$AC$3:$AC$5001,"&lt;&gt;")=0,"",SUMIFS(BD!$AC$3:$AC$5001,BD!$A$3:$A$5001,P$3,BD!$B$3:$B$5001,$A$89)))</f>
        <v/>
      </c>
      <c r="Q104" s="216" t="str">
        <f>IF(Q$3="","",IF(COUNTIFS(BD!$A$3:$A$5001,Q$3,BD!$B$3:$B$5001,$A$89,BD!$AC$3:$AC$5001,"&lt;&gt;")=0,"",SUMIFS(BD!$AC$3:$AC$5001,BD!$A$3:$A$5001,Q$3,BD!$B$3:$B$5001,$A$89)))</f>
        <v/>
      </c>
      <c r="R104" s="216" t="str">
        <f>IF(R$3="","",IF(COUNTIFS(BD!$A$3:$A$5001,R$3,BD!$B$3:$B$5001,$A$89,BD!$AC$3:$AC$5001,"&lt;&gt;")=0,"",SUMIFS(BD!$AC$3:$AC$5001,BD!$A$3:$A$5001,R$3,BD!$B$3:$B$5001,$A$89)))</f>
        <v/>
      </c>
      <c r="S104" s="216" t="str">
        <f>IF(S$3="","",IF(COUNTIFS(BD!$A$3:$A$5001,S$3,BD!$B$3:$B$5001,$A$89,BD!$AC$3:$AC$5001,"&lt;&gt;")=0,"",SUMIFS(BD!$AC$3:$AC$5001,BD!$A$3:$A$5001,S$3,BD!$B$3:$B$5001,$A$89)))</f>
        <v/>
      </c>
      <c r="T104" s="216" t="str">
        <f>IF(T$3="","",IF(COUNTIFS(BD!$A$3:$A$5001,T$3,BD!$B$3:$B$5001,$A$89,BD!$AC$3:$AC$5001,"&lt;&gt;")=0,"",SUMIFS(BD!$AC$3:$AC$5001,BD!$A$3:$A$5001,T$3,BD!$B$3:$B$5001,$A$89)))</f>
        <v/>
      </c>
      <c r="U104" s="216" t="str">
        <f>IF(U$3="","",IF(COUNTIFS(BD!$A$3:$A$5001,U$3,BD!$B$3:$B$5001,$A$89,BD!$AC$3:$AC$5001,"&lt;&gt;")=0,"",SUMIFS(BD!$AC$3:$AC$5001,BD!$A$3:$A$5001,U$3,BD!$B$3:$B$5001,$A$89)))</f>
        <v/>
      </c>
      <c r="V104" s="216" t="str">
        <f>IF(V$3="","",IF(COUNTIFS(BD!$A$3:$A$5001,V$3,BD!$B$3:$B$5001,$A$89,BD!$AC$3:$AC$5001,"&lt;&gt;")=0,"",SUMIFS(BD!$AC$3:$AC$5001,BD!$A$3:$A$5001,V$3,BD!$B$3:$B$5001,$A$89)))</f>
        <v/>
      </c>
      <c r="W104" s="216" t="str">
        <f>IF(W$3="","",IF(COUNTIFS(BD!$A$3:$A$5001,W$3,BD!$B$3:$B$5001,$A$89,BD!$AC$3:$AC$5001,"&lt;&gt;")=0,"",SUMIFS(BD!$AC$3:$AC$5001,BD!$A$3:$A$5001,W$3,BD!$B$3:$B$5001,$A$89)))</f>
        <v/>
      </c>
      <c r="X104" s="216" t="str">
        <f>IF(X$3="","",IF(COUNTIFS(BD!$A$3:$A$5001,X$3,BD!$B$3:$B$5001,$A$89,BD!$AC$3:$AC$5001,"&lt;&gt;")=0,"",SUMIFS(BD!$AC$3:$AC$5001,BD!$A$3:$A$5001,X$3,BD!$B$3:$B$5001,$A$89)))</f>
        <v/>
      </c>
      <c r="Y104" s="216" t="str">
        <f>IF(Y$3="","",IF(COUNTIFS(BD!$A$3:$A$5001,Y$3,BD!$B$3:$B$5001,$A$89,BD!$AC$3:$AC$5001,"&lt;&gt;")=0,"",SUMIFS(BD!$AC$3:$AC$5001,BD!$A$3:$A$5001,Y$3,BD!$B$3:$B$5001,$A$89)))</f>
        <v/>
      </c>
      <c r="Z104" s="216" t="str">
        <f>IF(Z$3="","",IF(COUNTIFS(BD!$A$3:$A$5001,Z$3,BD!$B$3:$B$5001,$A$89,BD!$AC$3:$AC$5001,"&lt;&gt;")=0,"",SUMIFS(BD!$AC$3:$AC$5001,BD!$A$3:$A$5001,Z$3,BD!$B$3:$B$5001,$A$89)))</f>
        <v/>
      </c>
      <c r="AA104" s="216" t="str">
        <f>IF(AA$3="","",IF(COUNTIFS(BD!$A$3:$A$5001,AA$3,BD!$B$3:$B$5001,$A$89,BD!$AC$3:$AC$5001,"&lt;&gt;")=0,"",SUMIFS(BD!$AC$3:$AC$5001,BD!$A$3:$A$5001,AA$3,BD!$B$3:$B$5001,$A$89)))</f>
        <v/>
      </c>
      <c r="AB104" s="216" t="str">
        <f>IF(AB$3="","",IF(COUNTIFS(BD!$A$3:$A$5001,AB$3,BD!$B$3:$B$5001,$A$89,BD!$AC$3:$AC$5001,"&lt;&gt;")=0,"",SUMIFS(BD!$AC$3:$AC$5001,BD!$A$3:$A$5001,AB$3,BD!$B$3:$B$5001,$A$89)))</f>
        <v/>
      </c>
      <c r="AC104" s="216" t="str">
        <f>IF(AC$3="","",IF(COUNTIFS(BD!$A$3:$A$5001,AC$3,BD!$B$3:$B$5001,$A$89,BD!$AC$3:$AC$5001,"&lt;&gt;")=0,"",SUMIFS(BD!$AC$3:$AC$5001,BD!$A$3:$A$5001,AC$3,BD!$B$3:$B$5001,$A$89)))</f>
        <v/>
      </c>
      <c r="AD104" s="216" t="str">
        <f>IF(AD$3="","",IF(COUNTIFS(BD!$A$3:$A$5001,AD$3,BD!$B$3:$B$5001,$A$89,BD!$AC$3:$AC$5001,"&lt;&gt;")=0,"",SUMIFS(BD!$AC$3:$AC$5001,BD!$A$3:$A$5001,AD$3,BD!$B$3:$B$5001,$A$89)))</f>
        <v/>
      </c>
      <c r="AE104" s="216" t="str">
        <f>IF(AE$3="","",IF(COUNTIFS(BD!$A$3:$A$5001,AE$3,BD!$B$3:$B$5001,$A$89,BD!$AC$3:$AC$5001,"&lt;&gt;")=0,"",SUMIFS(BD!$AC$3:$AC$5001,BD!$A$3:$A$5001,AE$3,BD!$B$3:$B$5001,$A$89)))</f>
        <v/>
      </c>
      <c r="AF104" s="216" t="str">
        <f>IF(AF$3="","",IF(COUNTIFS(BD!$A$3:$A$5001,AF$3,BD!$B$3:$B$5001,$A$89,BD!$AC$3:$AC$5001,"&lt;&gt;")=0,"",SUMIFS(BD!$AC$3:$AC$5001,BD!$A$3:$A$5001,AF$3,BD!$B$3:$B$5001,$A$89)))</f>
        <v/>
      </c>
      <c r="AG104" s="216" t="str">
        <f>IF(AG$3="","",IF(COUNTIFS(BD!$A$3:$A$5001,AG$3,BD!$B$3:$B$5001,$A$89,BD!$AC$3:$AC$5001,"&lt;&gt;")=0,"",SUMIFS(BD!$AC$3:$AC$5001,BD!$A$3:$A$5001,AG$3,BD!$B$3:$B$5001,$A$89)))</f>
        <v/>
      </c>
      <c r="AH104" s="216" t="str">
        <f>IF(AH$3="","",IF(COUNTIFS(BD!$A$3:$A$5001,AH$3,BD!$B$3:$B$5001,$A$89,BD!$AC$3:$AC$5001,"&lt;&gt;")=0,"",SUMIFS(BD!$AC$3:$AC$5001,BD!$A$3:$A$5001,AH$3,BD!$B$3:$B$5001,$A$89)))</f>
        <v/>
      </c>
      <c r="AI104" s="216" t="str">
        <f>IF(AI$3="","",IF(COUNTIFS(BD!$A$3:$A$5001,AI$3,BD!$B$3:$B$5001,$A$89,BD!$AC$3:$AC$5001,"&lt;&gt;")=0,"",SUMIFS(BD!$AC$3:$AC$5001,BD!$A$3:$A$5001,AI$3,BD!$B$3:$B$5001,$A$89)))</f>
        <v/>
      </c>
      <c r="AJ104" s="217" t="str">
        <f>IF(AJ$3="","",IF(COUNTIFS(BD!$A$3:$A$5001,AJ$3,BD!$B$3:$B$5001,$A$89,BD!$AC$3:$AC$5001,"&lt;&gt;")=0,"",SUMIFS(BD!$AC$3:$AC$5001,BD!$A$3:$A$5001,AJ$3,BD!$B$3:$B$5001,$A$89)))</f>
        <v/>
      </c>
      <c r="AK104" s="218" t="str">
        <f>IF(COUNT(F104:AJ104)=0,"",SUM(F104:AJ104))</f>
        <v/>
      </c>
    </row>
    <row r="105" ht="15.75" customHeight="1">
      <c r="A105" s="237"/>
      <c r="B105" s="234"/>
      <c r="C105" s="212" t="inlineStr">
        <is>
          <t xml:space="preserve">Desligamento</t>
        </is>
      </c>
      <c r="D105" s="213" t="str">
        <f>IFERROR(1/(1/INDEX(BD!$AK$51:$AU$51,MATCH($A$89,BD!$AK$22:$AU$22,0))),"")</f>
        <v/>
      </c>
      <c r="E105" s="214"/>
      <c r="F105" s="215" t="str">
        <f>IF(F$3="","",IF(COUNTIFS(BD!$A$3:$A$5001,F$3,BD!$B$3:$B$5001,$A$89,BD!$AD$3:$AD$5001,"&lt;&gt;")=0,"",SUMIFS(BD!$AD$3:$AD$5001,BD!$A$3:$A$5001,F$3,BD!$B$3:$B$5001,$A$89)))</f>
        <v/>
      </c>
      <c r="G105" s="216" t="str">
        <f>IF(G$3="","",IF(COUNTIFS(BD!$A$3:$A$5001,G$3,BD!$B$3:$B$5001,$A$89,BD!$AD$3:$AD$5001,"&lt;&gt;")=0,"",SUMIFS(BD!$AD$3:$AD$5001,BD!$A$3:$A$5001,G$3,BD!$B$3:$B$5001,$A$89)))</f>
        <v/>
      </c>
      <c r="H105" s="216" t="str">
        <f>IF(H$3="","",IF(COUNTIFS(BD!$A$3:$A$5001,H$3,BD!$B$3:$B$5001,$A$89,BD!$AD$3:$AD$5001,"&lt;&gt;")=0,"",SUMIFS(BD!$AD$3:$AD$5001,BD!$A$3:$A$5001,H$3,BD!$B$3:$B$5001,$A$89)))</f>
        <v/>
      </c>
      <c r="I105" s="216" t="str">
        <f>IF(I$3="","",IF(COUNTIFS(BD!$A$3:$A$5001,I$3,BD!$B$3:$B$5001,$A$89,BD!$AD$3:$AD$5001,"&lt;&gt;")=0,"",SUMIFS(BD!$AD$3:$AD$5001,BD!$A$3:$A$5001,I$3,BD!$B$3:$B$5001,$A$89)))</f>
        <v/>
      </c>
      <c r="J105" s="216" t="str">
        <f>IF(J$3="","",IF(COUNTIFS(BD!$A$3:$A$5001,J$3,BD!$B$3:$B$5001,$A$89,BD!$AD$3:$AD$5001,"&lt;&gt;")=0,"",SUMIFS(BD!$AD$3:$AD$5001,BD!$A$3:$A$5001,J$3,BD!$B$3:$B$5001,$A$89)))</f>
        <v/>
      </c>
      <c r="K105" s="216" t="str">
        <f>IF(K$3="","",IF(COUNTIFS(BD!$A$3:$A$5001,K$3,BD!$B$3:$B$5001,$A$89,BD!$AD$3:$AD$5001,"&lt;&gt;")=0,"",SUMIFS(BD!$AD$3:$AD$5001,BD!$A$3:$A$5001,K$3,BD!$B$3:$B$5001,$A$89)))</f>
        <v/>
      </c>
      <c r="L105" s="216" t="str">
        <f>IF(L$3="","",IF(COUNTIFS(BD!$A$3:$A$5001,L$3,BD!$B$3:$B$5001,$A$89,BD!$AD$3:$AD$5001,"&lt;&gt;")=0,"",SUMIFS(BD!$AD$3:$AD$5001,BD!$A$3:$A$5001,L$3,BD!$B$3:$B$5001,$A$89)))</f>
        <v/>
      </c>
      <c r="M105" s="216" t="str">
        <f>IF(M$3="","",IF(COUNTIFS(BD!$A$3:$A$5001,M$3,BD!$B$3:$B$5001,$A$89,BD!$AD$3:$AD$5001,"&lt;&gt;")=0,"",SUMIFS(BD!$AD$3:$AD$5001,BD!$A$3:$A$5001,M$3,BD!$B$3:$B$5001,$A$89)))</f>
        <v/>
      </c>
      <c r="N105" s="216" t="str">
        <f>IF(N$3="","",IF(COUNTIFS(BD!$A$3:$A$5001,N$3,BD!$B$3:$B$5001,$A$89,BD!$AD$3:$AD$5001,"&lt;&gt;")=0,"",SUMIFS(BD!$AD$3:$AD$5001,BD!$A$3:$A$5001,N$3,BD!$B$3:$B$5001,$A$89)))</f>
        <v/>
      </c>
      <c r="O105" s="216" t="str">
        <f>IF(O$3="","",IF(COUNTIFS(BD!$A$3:$A$5001,O$3,BD!$B$3:$B$5001,$A$89,BD!$AD$3:$AD$5001,"&lt;&gt;")=0,"",SUMIFS(BD!$AD$3:$AD$5001,BD!$A$3:$A$5001,O$3,BD!$B$3:$B$5001,$A$89)))</f>
        <v/>
      </c>
      <c r="P105" s="216" t="str">
        <f>IF(P$3="","",IF(COUNTIFS(BD!$A$3:$A$5001,P$3,BD!$B$3:$B$5001,$A$89,BD!$AD$3:$AD$5001,"&lt;&gt;")=0,"",SUMIFS(BD!$AD$3:$AD$5001,BD!$A$3:$A$5001,P$3,BD!$B$3:$B$5001,$A$89)))</f>
        <v/>
      </c>
      <c r="Q105" s="216" t="str">
        <f>IF(Q$3="","",IF(COUNTIFS(BD!$A$3:$A$5001,Q$3,BD!$B$3:$B$5001,$A$89,BD!$AD$3:$AD$5001,"&lt;&gt;")=0,"",SUMIFS(BD!$AD$3:$AD$5001,BD!$A$3:$A$5001,Q$3,BD!$B$3:$B$5001,$A$89)))</f>
        <v/>
      </c>
      <c r="R105" s="216" t="str">
        <f>IF(R$3="","",IF(COUNTIFS(BD!$A$3:$A$5001,R$3,BD!$B$3:$B$5001,$A$89,BD!$AD$3:$AD$5001,"&lt;&gt;")=0,"",SUMIFS(BD!$AD$3:$AD$5001,BD!$A$3:$A$5001,R$3,BD!$B$3:$B$5001,$A$89)))</f>
        <v/>
      </c>
      <c r="S105" s="216" t="str">
        <f>IF(S$3="","",IF(COUNTIFS(BD!$A$3:$A$5001,S$3,BD!$B$3:$B$5001,$A$89,BD!$AD$3:$AD$5001,"&lt;&gt;")=0,"",SUMIFS(BD!$AD$3:$AD$5001,BD!$A$3:$A$5001,S$3,BD!$B$3:$B$5001,$A$89)))</f>
        <v/>
      </c>
      <c r="T105" s="216" t="str">
        <f>IF(T$3="","",IF(COUNTIFS(BD!$A$3:$A$5001,T$3,BD!$B$3:$B$5001,$A$89,BD!$AD$3:$AD$5001,"&lt;&gt;")=0,"",SUMIFS(BD!$AD$3:$AD$5001,BD!$A$3:$A$5001,T$3,BD!$B$3:$B$5001,$A$89)))</f>
        <v/>
      </c>
      <c r="U105" s="216" t="str">
        <f>IF(U$3="","",IF(COUNTIFS(BD!$A$3:$A$5001,U$3,BD!$B$3:$B$5001,$A$89,BD!$AD$3:$AD$5001,"&lt;&gt;")=0,"",SUMIFS(BD!$AD$3:$AD$5001,BD!$A$3:$A$5001,U$3,BD!$B$3:$B$5001,$A$89)))</f>
        <v/>
      </c>
      <c r="V105" s="216" t="str">
        <f>IF(V$3="","",IF(COUNTIFS(BD!$A$3:$A$5001,V$3,BD!$B$3:$B$5001,$A$89,BD!$AD$3:$AD$5001,"&lt;&gt;")=0,"",SUMIFS(BD!$AD$3:$AD$5001,BD!$A$3:$A$5001,V$3,BD!$B$3:$B$5001,$A$89)))</f>
        <v/>
      </c>
      <c r="W105" s="216" t="str">
        <f>IF(W$3="","",IF(COUNTIFS(BD!$A$3:$A$5001,W$3,BD!$B$3:$B$5001,$A$89,BD!$AD$3:$AD$5001,"&lt;&gt;")=0,"",SUMIFS(BD!$AD$3:$AD$5001,BD!$A$3:$A$5001,W$3,BD!$B$3:$B$5001,$A$89)))</f>
        <v/>
      </c>
      <c r="X105" s="216" t="str">
        <f>IF(X$3="","",IF(COUNTIFS(BD!$A$3:$A$5001,X$3,BD!$B$3:$B$5001,$A$89,BD!$AD$3:$AD$5001,"&lt;&gt;")=0,"",SUMIFS(BD!$AD$3:$AD$5001,BD!$A$3:$A$5001,X$3,BD!$B$3:$B$5001,$A$89)))</f>
        <v/>
      </c>
      <c r="Y105" s="216" t="str">
        <f>IF(Y$3="","",IF(COUNTIFS(BD!$A$3:$A$5001,Y$3,BD!$B$3:$B$5001,$A$89,BD!$AD$3:$AD$5001,"&lt;&gt;")=0,"",SUMIFS(BD!$AD$3:$AD$5001,BD!$A$3:$A$5001,Y$3,BD!$B$3:$B$5001,$A$89)))</f>
        <v/>
      </c>
      <c r="Z105" s="216" t="str">
        <f>IF(Z$3="","",IF(COUNTIFS(BD!$A$3:$A$5001,Z$3,BD!$B$3:$B$5001,$A$89,BD!$AD$3:$AD$5001,"&lt;&gt;")=0,"",SUMIFS(BD!$AD$3:$AD$5001,BD!$A$3:$A$5001,Z$3,BD!$B$3:$B$5001,$A$89)))</f>
        <v/>
      </c>
      <c r="AA105" s="216" t="str">
        <f>IF(AA$3="","",IF(COUNTIFS(BD!$A$3:$A$5001,AA$3,BD!$B$3:$B$5001,$A$89,BD!$AD$3:$AD$5001,"&lt;&gt;")=0,"",SUMIFS(BD!$AD$3:$AD$5001,BD!$A$3:$A$5001,AA$3,BD!$B$3:$B$5001,$A$89)))</f>
        <v/>
      </c>
      <c r="AB105" s="216" t="str">
        <f>IF(AB$3="","",IF(COUNTIFS(BD!$A$3:$A$5001,AB$3,BD!$B$3:$B$5001,$A$89,BD!$AD$3:$AD$5001,"&lt;&gt;")=0,"",SUMIFS(BD!$AD$3:$AD$5001,BD!$A$3:$A$5001,AB$3,BD!$B$3:$B$5001,$A$89)))</f>
        <v/>
      </c>
      <c r="AC105" s="216" t="str">
        <f>IF(AC$3="","",IF(COUNTIFS(BD!$A$3:$A$5001,AC$3,BD!$B$3:$B$5001,$A$89,BD!$AD$3:$AD$5001,"&lt;&gt;")=0,"",SUMIFS(BD!$AD$3:$AD$5001,BD!$A$3:$A$5001,AC$3,BD!$B$3:$B$5001,$A$89)))</f>
        <v/>
      </c>
      <c r="AD105" s="216" t="str">
        <f>IF(AD$3="","",IF(COUNTIFS(BD!$A$3:$A$5001,AD$3,BD!$B$3:$B$5001,$A$89,BD!$AD$3:$AD$5001,"&lt;&gt;")=0,"",SUMIFS(BD!$AD$3:$AD$5001,BD!$A$3:$A$5001,AD$3,BD!$B$3:$B$5001,$A$89)))</f>
        <v/>
      </c>
      <c r="AE105" s="216" t="str">
        <f>IF(AE$3="","",IF(COUNTIFS(BD!$A$3:$A$5001,AE$3,BD!$B$3:$B$5001,$A$89,BD!$AD$3:$AD$5001,"&lt;&gt;")=0,"",SUMIFS(BD!$AD$3:$AD$5001,BD!$A$3:$A$5001,AE$3,BD!$B$3:$B$5001,$A$89)))</f>
        <v/>
      </c>
      <c r="AF105" s="216" t="str">
        <f>IF(AF$3="","",IF(COUNTIFS(BD!$A$3:$A$5001,AF$3,BD!$B$3:$B$5001,$A$89,BD!$AD$3:$AD$5001,"&lt;&gt;")=0,"",SUMIFS(BD!$AD$3:$AD$5001,BD!$A$3:$A$5001,AF$3,BD!$B$3:$B$5001,$A$89)))</f>
        <v/>
      </c>
      <c r="AG105" s="216" t="str">
        <f>IF(AG$3="","",IF(COUNTIFS(BD!$A$3:$A$5001,AG$3,BD!$B$3:$B$5001,$A$89,BD!$AD$3:$AD$5001,"&lt;&gt;")=0,"",SUMIFS(BD!$AD$3:$AD$5001,BD!$A$3:$A$5001,AG$3,BD!$B$3:$B$5001,$A$89)))</f>
        <v/>
      </c>
      <c r="AH105" s="216" t="str">
        <f>IF(AH$3="","",IF(COUNTIFS(BD!$A$3:$A$5001,AH$3,BD!$B$3:$B$5001,$A$89,BD!$AD$3:$AD$5001,"&lt;&gt;")=0,"",SUMIFS(BD!$AD$3:$AD$5001,BD!$A$3:$A$5001,AH$3,BD!$B$3:$B$5001,$A$89)))</f>
        <v/>
      </c>
      <c r="AI105" s="216" t="str">
        <f>IF(AI$3="","",IF(COUNTIFS(BD!$A$3:$A$5001,AI$3,BD!$B$3:$B$5001,$A$89,BD!$AD$3:$AD$5001,"&lt;&gt;")=0,"",SUMIFS(BD!$AD$3:$AD$5001,BD!$A$3:$A$5001,AI$3,BD!$B$3:$B$5001,$A$89)))</f>
        <v/>
      </c>
      <c r="AJ105" s="217" t="str">
        <f>IF(AJ$3="","",IF(COUNTIFS(BD!$A$3:$A$5001,AJ$3,BD!$B$3:$B$5001,$A$89,BD!$AD$3:$AD$5001,"&lt;&gt;")=0,"",SUMIFS(BD!$AD$3:$AD$5001,BD!$A$3:$A$5001,AJ$3,BD!$B$3:$B$5001,$A$89)))</f>
        <v/>
      </c>
      <c r="AK105" s="218" t="str">
        <f>IF(COUNT(F105:AJ105)=0,"",SUM(F105:AJ105))</f>
        <v/>
      </c>
    </row>
    <row r="106" ht="15.75" customHeight="1">
      <c r="A106" s="237"/>
      <c r="B106" s="234"/>
      <c r="C106" s="212" t="inlineStr">
        <is>
          <t xml:space="preserve">Desvios Comportamentais</t>
        </is>
      </c>
      <c r="D106" s="213" t="str">
        <f>IFERROR(1/(1/INDEX(BD!$AK$52:$AU$52,MATCH($A$89,BD!$AK$22:$AU$22,0))),"")</f>
        <v/>
      </c>
      <c r="E106" s="214"/>
      <c r="F106" s="215" t="str">
        <f>IF(F$3="","",IF(COUNTIFS(BD!$A$3:$A$5001,F$3,BD!$B$3:$B$5001,$A$89,BD!$AE$3:$AE$5001,"&lt;&gt;")=0,"",SUMIFS(BD!$AE$3:$AE$5001,BD!$A$3:$A$5001,F$3,BD!$B$3:$B$5001,$A$89)))</f>
        <v/>
      </c>
      <c r="G106" s="216" t="str">
        <f>IF(G$3="","",IF(COUNTIFS(BD!$A$3:$A$5001,G$3,BD!$B$3:$B$5001,$A$89,BD!$AE$3:$AE$5001,"&lt;&gt;")=0,"",SUMIFS(BD!$AE$3:$AE$5001,BD!$A$3:$A$5001,G$3,BD!$B$3:$B$5001,$A$89)))</f>
        <v/>
      </c>
      <c r="H106" s="216" t="str">
        <f>IF(H$3="","",IF(COUNTIFS(BD!$A$3:$A$5001,H$3,BD!$B$3:$B$5001,$A$89,BD!$AE$3:$AE$5001,"&lt;&gt;")=0,"",SUMIFS(BD!$AE$3:$AE$5001,BD!$A$3:$A$5001,H$3,BD!$B$3:$B$5001,$A$89)))</f>
        <v/>
      </c>
      <c r="I106" s="216" t="str">
        <f>IF(I$3="","",IF(COUNTIFS(BD!$A$3:$A$5001,I$3,BD!$B$3:$B$5001,$A$89,BD!$AE$3:$AE$5001,"&lt;&gt;")=0,"",SUMIFS(BD!$AE$3:$AE$5001,BD!$A$3:$A$5001,I$3,BD!$B$3:$B$5001,$A$89)))</f>
        <v/>
      </c>
      <c r="J106" s="216" t="str">
        <f>IF(J$3="","",IF(COUNTIFS(BD!$A$3:$A$5001,J$3,BD!$B$3:$B$5001,$A$89,BD!$AE$3:$AE$5001,"&lt;&gt;")=0,"",SUMIFS(BD!$AE$3:$AE$5001,BD!$A$3:$A$5001,J$3,BD!$B$3:$B$5001,$A$89)))</f>
        <v/>
      </c>
      <c r="K106" s="216" t="str">
        <f>IF(K$3="","",IF(COUNTIFS(BD!$A$3:$A$5001,K$3,BD!$B$3:$B$5001,$A$89,BD!$AE$3:$AE$5001,"&lt;&gt;")=0,"",SUMIFS(BD!$AE$3:$AE$5001,BD!$A$3:$A$5001,K$3,BD!$B$3:$B$5001,$A$89)))</f>
        <v/>
      </c>
      <c r="L106" s="216" t="str">
        <f>IF(L$3="","",IF(COUNTIFS(BD!$A$3:$A$5001,L$3,BD!$B$3:$B$5001,$A$89,BD!$AE$3:$AE$5001,"&lt;&gt;")=0,"",SUMIFS(BD!$AE$3:$AE$5001,BD!$A$3:$A$5001,L$3,BD!$B$3:$B$5001,$A$89)))</f>
        <v/>
      </c>
      <c r="M106" s="216" t="str">
        <f>IF(M$3="","",IF(COUNTIFS(BD!$A$3:$A$5001,M$3,BD!$B$3:$B$5001,$A$89,BD!$AE$3:$AE$5001,"&lt;&gt;")=0,"",SUMIFS(BD!$AE$3:$AE$5001,BD!$A$3:$A$5001,M$3,BD!$B$3:$B$5001,$A$89)))</f>
        <v/>
      </c>
      <c r="N106" s="216" t="str">
        <f>IF(N$3="","",IF(COUNTIFS(BD!$A$3:$A$5001,N$3,BD!$B$3:$B$5001,$A$89,BD!$AE$3:$AE$5001,"&lt;&gt;")=0,"",SUMIFS(BD!$AE$3:$AE$5001,BD!$A$3:$A$5001,N$3,BD!$B$3:$B$5001,$A$89)))</f>
        <v/>
      </c>
      <c r="O106" s="216" t="str">
        <f>IF(O$3="","",IF(COUNTIFS(BD!$A$3:$A$5001,O$3,BD!$B$3:$B$5001,$A$89,BD!$AE$3:$AE$5001,"&lt;&gt;")=0,"",SUMIFS(BD!$AE$3:$AE$5001,BD!$A$3:$A$5001,O$3,BD!$B$3:$B$5001,$A$89)))</f>
        <v/>
      </c>
      <c r="P106" s="216" t="str">
        <f>IF(P$3="","",IF(COUNTIFS(BD!$A$3:$A$5001,P$3,BD!$B$3:$B$5001,$A$89,BD!$AE$3:$AE$5001,"&lt;&gt;")=0,"",SUMIFS(BD!$AE$3:$AE$5001,BD!$A$3:$A$5001,P$3,BD!$B$3:$B$5001,$A$89)))</f>
        <v/>
      </c>
      <c r="Q106" s="216" t="str">
        <f>IF(Q$3="","",IF(COUNTIFS(BD!$A$3:$A$5001,Q$3,BD!$B$3:$B$5001,$A$89,BD!$AE$3:$AE$5001,"&lt;&gt;")=0,"",SUMIFS(BD!$AE$3:$AE$5001,BD!$A$3:$A$5001,Q$3,BD!$B$3:$B$5001,$A$89)))</f>
        <v/>
      </c>
      <c r="R106" s="216" t="str">
        <f>IF(R$3="","",IF(COUNTIFS(BD!$A$3:$A$5001,R$3,BD!$B$3:$B$5001,$A$89,BD!$AE$3:$AE$5001,"&lt;&gt;")=0,"",SUMIFS(BD!$AE$3:$AE$5001,BD!$A$3:$A$5001,R$3,BD!$B$3:$B$5001,$A$89)))</f>
        <v/>
      </c>
      <c r="S106" s="216" t="str">
        <f>IF(S$3="","",IF(COUNTIFS(BD!$A$3:$A$5001,S$3,BD!$B$3:$B$5001,$A$89,BD!$AE$3:$AE$5001,"&lt;&gt;")=0,"",SUMIFS(BD!$AE$3:$AE$5001,BD!$A$3:$A$5001,S$3,BD!$B$3:$B$5001,$A$89)))</f>
        <v/>
      </c>
      <c r="T106" s="216" t="str">
        <f>IF(T$3="","",IF(COUNTIFS(BD!$A$3:$A$5001,T$3,BD!$B$3:$B$5001,$A$89,BD!$AE$3:$AE$5001,"&lt;&gt;")=0,"",SUMIFS(BD!$AE$3:$AE$5001,BD!$A$3:$A$5001,T$3,BD!$B$3:$B$5001,$A$89)))</f>
        <v/>
      </c>
      <c r="U106" s="216" t="str">
        <f>IF(U$3="","",IF(COUNTIFS(BD!$A$3:$A$5001,U$3,BD!$B$3:$B$5001,$A$89,BD!$AE$3:$AE$5001,"&lt;&gt;")=0,"",SUMIFS(BD!$AE$3:$AE$5001,BD!$A$3:$A$5001,U$3,BD!$B$3:$B$5001,$A$89)))</f>
        <v/>
      </c>
      <c r="V106" s="216" t="str">
        <f>IF(V$3="","",IF(COUNTIFS(BD!$A$3:$A$5001,V$3,BD!$B$3:$B$5001,$A$89,BD!$AE$3:$AE$5001,"&lt;&gt;")=0,"",SUMIFS(BD!$AE$3:$AE$5001,BD!$A$3:$A$5001,V$3,BD!$B$3:$B$5001,$A$89)))</f>
        <v/>
      </c>
      <c r="W106" s="216" t="str">
        <f>IF(W$3="","",IF(COUNTIFS(BD!$A$3:$A$5001,W$3,BD!$B$3:$B$5001,$A$89,BD!$AE$3:$AE$5001,"&lt;&gt;")=0,"",SUMIFS(BD!$AE$3:$AE$5001,BD!$A$3:$A$5001,W$3,BD!$B$3:$B$5001,$A$89)))</f>
        <v/>
      </c>
      <c r="X106" s="216" t="str">
        <f>IF(X$3="","",IF(COUNTIFS(BD!$A$3:$A$5001,X$3,BD!$B$3:$B$5001,$A$89,BD!$AE$3:$AE$5001,"&lt;&gt;")=0,"",SUMIFS(BD!$AE$3:$AE$5001,BD!$A$3:$A$5001,X$3,BD!$B$3:$B$5001,$A$89)))</f>
        <v/>
      </c>
      <c r="Y106" s="216" t="str">
        <f>IF(Y$3="","",IF(COUNTIFS(BD!$A$3:$A$5001,Y$3,BD!$B$3:$B$5001,$A$89,BD!$AE$3:$AE$5001,"&lt;&gt;")=0,"",SUMIFS(BD!$AE$3:$AE$5001,BD!$A$3:$A$5001,Y$3,BD!$B$3:$B$5001,$A$89)))</f>
        <v/>
      </c>
      <c r="Z106" s="216" t="str">
        <f>IF(Z$3="","",IF(COUNTIFS(BD!$A$3:$A$5001,Z$3,BD!$B$3:$B$5001,$A$89,BD!$AE$3:$AE$5001,"&lt;&gt;")=0,"",SUMIFS(BD!$AE$3:$AE$5001,BD!$A$3:$A$5001,Z$3,BD!$B$3:$B$5001,$A$89)))</f>
        <v/>
      </c>
      <c r="AA106" s="216" t="str">
        <f>IF(AA$3="","",IF(COUNTIFS(BD!$A$3:$A$5001,AA$3,BD!$B$3:$B$5001,$A$89,BD!$AE$3:$AE$5001,"&lt;&gt;")=0,"",SUMIFS(BD!$AE$3:$AE$5001,BD!$A$3:$A$5001,AA$3,BD!$B$3:$B$5001,$A$89)))</f>
        <v/>
      </c>
      <c r="AB106" s="216" t="str">
        <f>IF(AB$3="","",IF(COUNTIFS(BD!$A$3:$A$5001,AB$3,BD!$B$3:$B$5001,$A$89,BD!$AE$3:$AE$5001,"&lt;&gt;")=0,"",SUMIFS(BD!$AE$3:$AE$5001,BD!$A$3:$A$5001,AB$3,BD!$B$3:$B$5001,$A$89)))</f>
        <v/>
      </c>
      <c r="AC106" s="216" t="str">
        <f>IF(AC$3="","",IF(COUNTIFS(BD!$A$3:$A$5001,AC$3,BD!$B$3:$B$5001,$A$89,BD!$AE$3:$AE$5001,"&lt;&gt;")=0,"",SUMIFS(BD!$AE$3:$AE$5001,BD!$A$3:$A$5001,AC$3,BD!$B$3:$B$5001,$A$89)))</f>
        <v/>
      </c>
      <c r="AD106" s="216" t="str">
        <f>IF(AD$3="","",IF(COUNTIFS(BD!$A$3:$A$5001,AD$3,BD!$B$3:$B$5001,$A$89,BD!$AE$3:$AE$5001,"&lt;&gt;")=0,"",SUMIFS(BD!$AE$3:$AE$5001,BD!$A$3:$A$5001,AD$3,BD!$B$3:$B$5001,$A$89)))</f>
        <v/>
      </c>
      <c r="AE106" s="216" t="str">
        <f>IF(AE$3="","",IF(COUNTIFS(BD!$A$3:$A$5001,AE$3,BD!$B$3:$B$5001,$A$89,BD!$AE$3:$AE$5001,"&lt;&gt;")=0,"",SUMIFS(BD!$AE$3:$AE$5001,BD!$A$3:$A$5001,AE$3,BD!$B$3:$B$5001,$A$89)))</f>
        <v/>
      </c>
      <c r="AF106" s="216" t="str">
        <f>IF(AF$3="","",IF(COUNTIFS(BD!$A$3:$A$5001,AF$3,BD!$B$3:$B$5001,$A$89,BD!$AE$3:$AE$5001,"&lt;&gt;")=0,"",SUMIFS(BD!$AE$3:$AE$5001,BD!$A$3:$A$5001,AF$3,BD!$B$3:$B$5001,$A$89)))</f>
        <v/>
      </c>
      <c r="AG106" s="216" t="str">
        <f>IF(AG$3="","",IF(COUNTIFS(BD!$A$3:$A$5001,AG$3,BD!$B$3:$B$5001,$A$89,BD!$AE$3:$AE$5001,"&lt;&gt;")=0,"",SUMIFS(BD!$AE$3:$AE$5001,BD!$A$3:$A$5001,AG$3,BD!$B$3:$B$5001,$A$89)))</f>
        <v/>
      </c>
      <c r="AH106" s="216" t="str">
        <f>IF(AH$3="","",IF(COUNTIFS(BD!$A$3:$A$5001,AH$3,BD!$B$3:$B$5001,$A$89,BD!$AE$3:$AE$5001,"&lt;&gt;")=0,"",SUMIFS(BD!$AE$3:$AE$5001,BD!$A$3:$A$5001,AH$3,BD!$B$3:$B$5001,$A$89)))</f>
        <v/>
      </c>
      <c r="AI106" s="216" t="str">
        <f>IF(AI$3="","",IF(COUNTIFS(BD!$A$3:$A$5001,AI$3,BD!$B$3:$B$5001,$A$89,BD!$AE$3:$AE$5001,"&lt;&gt;")=0,"",SUMIFS(BD!$AE$3:$AE$5001,BD!$A$3:$A$5001,AI$3,BD!$B$3:$B$5001,$A$89)))</f>
        <v/>
      </c>
      <c r="AJ106" s="217" t="str">
        <f>IF(AJ$3="","",IF(COUNTIFS(BD!$A$3:$A$5001,AJ$3,BD!$B$3:$B$5001,$A$89,BD!$AE$3:$AE$5001,"&lt;&gt;")=0,"",SUMIFS(BD!$AE$3:$AE$5001,BD!$A$3:$A$5001,AJ$3,BD!$B$3:$B$5001,$A$89)))</f>
        <v/>
      </c>
      <c r="AK106" s="218" t="str">
        <f>IF(COUNT(F106:AJ106)=0,"",SUM(F106:AJ106))</f>
        <v/>
      </c>
    </row>
    <row r="107" ht="15.75" customHeight="1">
      <c r="A107" s="237"/>
      <c r="B107" s="234"/>
      <c r="C107" s="212" t="inlineStr">
        <is>
          <t xml:space="preserve">Acidentes CAF</t>
        </is>
      </c>
      <c r="D107" s="213" t="str">
        <f>IFERROR(1/(1/INDEX(BD!$AK$53:$AU$53,MATCH($A$89,BD!$AK$22:$AU$22,0))),"")</f>
        <v/>
      </c>
      <c r="E107" s="214"/>
      <c r="F107" s="215" t="str">
        <f>IF(F$3="","",IF(COUNTIFS(BD!$A$3:$A$5001,F$3,BD!$B$3:$B$5001,$A$89,BD!$AF$3:$AF$5001,"&lt;&gt;")=0,"",SUMIFS(BD!$AF$3:$AF$5001,BD!$A$3:$A$5001,F$3,BD!$B$3:$B$5001,$A$89)))</f>
        <v/>
      </c>
      <c r="G107" s="216" t="str">
        <f>IF(G$3="","",IF(COUNTIFS(BD!$A$3:$A$5001,G$3,BD!$B$3:$B$5001,$A$89,BD!$AF$3:$AF$5001,"&lt;&gt;")=0,"",SUMIFS(BD!$AF$3:$AF$5001,BD!$A$3:$A$5001,G$3,BD!$B$3:$B$5001,$A$89)))</f>
        <v/>
      </c>
      <c r="H107" s="216" t="str">
        <f>IF(H$3="","",IF(COUNTIFS(BD!$A$3:$A$5001,H$3,BD!$B$3:$B$5001,$A$89,BD!$AF$3:$AF$5001,"&lt;&gt;")=0,"",SUMIFS(BD!$AF$3:$AF$5001,BD!$A$3:$A$5001,H$3,BD!$B$3:$B$5001,$A$89)))</f>
        <v/>
      </c>
      <c r="I107" s="216" t="str">
        <f>IF(I$3="","",IF(COUNTIFS(BD!$A$3:$A$5001,I$3,BD!$B$3:$B$5001,$A$89,BD!$AF$3:$AF$5001,"&lt;&gt;")=0,"",SUMIFS(BD!$AF$3:$AF$5001,BD!$A$3:$A$5001,I$3,BD!$B$3:$B$5001,$A$89)))</f>
        <v/>
      </c>
      <c r="J107" s="216" t="str">
        <f>IF(J$3="","",IF(COUNTIFS(BD!$A$3:$A$5001,J$3,BD!$B$3:$B$5001,$A$89,BD!$AF$3:$AF$5001,"&lt;&gt;")=0,"",SUMIFS(BD!$AF$3:$AF$5001,BD!$A$3:$A$5001,J$3,BD!$B$3:$B$5001,$A$89)))</f>
        <v/>
      </c>
      <c r="K107" s="216" t="str">
        <f>IF(K$3="","",IF(COUNTIFS(BD!$A$3:$A$5001,K$3,BD!$B$3:$B$5001,$A$89,BD!$AF$3:$AF$5001,"&lt;&gt;")=0,"",SUMIFS(BD!$AF$3:$AF$5001,BD!$A$3:$A$5001,K$3,BD!$B$3:$B$5001,$A$89)))</f>
        <v/>
      </c>
      <c r="L107" s="216" t="str">
        <f>IF(L$3="","",IF(COUNTIFS(BD!$A$3:$A$5001,L$3,BD!$B$3:$B$5001,$A$89,BD!$AF$3:$AF$5001,"&lt;&gt;")=0,"",SUMIFS(BD!$AF$3:$AF$5001,BD!$A$3:$A$5001,L$3,BD!$B$3:$B$5001,$A$89)))</f>
        <v/>
      </c>
      <c r="M107" s="216" t="str">
        <f>IF(M$3="","",IF(COUNTIFS(BD!$A$3:$A$5001,M$3,BD!$B$3:$B$5001,$A$89,BD!$AF$3:$AF$5001,"&lt;&gt;")=0,"",SUMIFS(BD!$AF$3:$AF$5001,BD!$A$3:$A$5001,M$3,BD!$B$3:$B$5001,$A$89)))</f>
        <v/>
      </c>
      <c r="N107" s="216" t="str">
        <f>IF(N$3="","",IF(COUNTIFS(BD!$A$3:$A$5001,N$3,BD!$B$3:$B$5001,$A$89,BD!$AF$3:$AF$5001,"&lt;&gt;")=0,"",SUMIFS(BD!$AF$3:$AF$5001,BD!$A$3:$A$5001,N$3,BD!$B$3:$B$5001,$A$89)))</f>
        <v/>
      </c>
      <c r="O107" s="216" t="str">
        <f>IF(O$3="","",IF(COUNTIFS(BD!$A$3:$A$5001,O$3,BD!$B$3:$B$5001,$A$89,BD!$AF$3:$AF$5001,"&lt;&gt;")=0,"",SUMIFS(BD!$AF$3:$AF$5001,BD!$A$3:$A$5001,O$3,BD!$B$3:$B$5001,$A$89)))</f>
        <v/>
      </c>
      <c r="P107" s="216" t="str">
        <f>IF(P$3="","",IF(COUNTIFS(BD!$A$3:$A$5001,P$3,BD!$B$3:$B$5001,$A$89,BD!$AF$3:$AF$5001,"&lt;&gt;")=0,"",SUMIFS(BD!$AF$3:$AF$5001,BD!$A$3:$A$5001,P$3,BD!$B$3:$B$5001,$A$89)))</f>
        <v/>
      </c>
      <c r="Q107" s="216" t="str">
        <f>IF(Q$3="","",IF(COUNTIFS(BD!$A$3:$A$5001,Q$3,BD!$B$3:$B$5001,$A$89,BD!$AF$3:$AF$5001,"&lt;&gt;")=0,"",SUMIFS(BD!$AF$3:$AF$5001,BD!$A$3:$A$5001,Q$3,BD!$B$3:$B$5001,$A$89)))</f>
        <v/>
      </c>
      <c r="R107" s="216" t="str">
        <f>IF(R$3="","",IF(COUNTIFS(BD!$A$3:$A$5001,R$3,BD!$B$3:$B$5001,$A$89,BD!$AF$3:$AF$5001,"&lt;&gt;")=0,"",SUMIFS(BD!$AF$3:$AF$5001,BD!$A$3:$A$5001,R$3,BD!$B$3:$B$5001,$A$89)))</f>
        <v/>
      </c>
      <c r="S107" s="216" t="str">
        <f>IF(S$3="","",IF(COUNTIFS(BD!$A$3:$A$5001,S$3,BD!$B$3:$B$5001,$A$89,BD!$AF$3:$AF$5001,"&lt;&gt;")=0,"",SUMIFS(BD!$AF$3:$AF$5001,BD!$A$3:$A$5001,S$3,BD!$B$3:$B$5001,$A$89)))</f>
        <v/>
      </c>
      <c r="T107" s="216" t="str">
        <f>IF(T$3="","",IF(COUNTIFS(BD!$A$3:$A$5001,T$3,BD!$B$3:$B$5001,$A$89,BD!$AF$3:$AF$5001,"&lt;&gt;")=0,"",SUMIFS(BD!$AF$3:$AF$5001,BD!$A$3:$A$5001,T$3,BD!$B$3:$B$5001,$A$89)))</f>
        <v/>
      </c>
      <c r="U107" s="216" t="str">
        <f>IF(U$3="","",IF(COUNTIFS(BD!$A$3:$A$5001,U$3,BD!$B$3:$B$5001,$A$89,BD!$AF$3:$AF$5001,"&lt;&gt;")=0,"",SUMIFS(BD!$AF$3:$AF$5001,BD!$A$3:$A$5001,U$3,BD!$B$3:$B$5001,$A$89)))</f>
        <v/>
      </c>
      <c r="V107" s="216" t="str">
        <f>IF(V$3="","",IF(COUNTIFS(BD!$A$3:$A$5001,V$3,BD!$B$3:$B$5001,$A$89,BD!$AF$3:$AF$5001,"&lt;&gt;")=0,"",SUMIFS(BD!$AF$3:$AF$5001,BD!$A$3:$A$5001,V$3,BD!$B$3:$B$5001,$A$89)))</f>
        <v/>
      </c>
      <c r="W107" s="216" t="str">
        <f>IF(W$3="","",IF(COUNTIFS(BD!$A$3:$A$5001,W$3,BD!$B$3:$B$5001,$A$89,BD!$AF$3:$AF$5001,"&lt;&gt;")=0,"",SUMIFS(BD!$AF$3:$AF$5001,BD!$A$3:$A$5001,W$3,BD!$B$3:$B$5001,$A$89)))</f>
        <v/>
      </c>
      <c r="X107" s="216" t="str">
        <f>IF(X$3="","",IF(COUNTIFS(BD!$A$3:$A$5001,X$3,BD!$B$3:$B$5001,$A$89,BD!$AF$3:$AF$5001,"&lt;&gt;")=0,"",SUMIFS(BD!$AF$3:$AF$5001,BD!$A$3:$A$5001,X$3,BD!$B$3:$B$5001,$A$89)))</f>
        <v/>
      </c>
      <c r="Y107" s="216" t="str">
        <f>IF(Y$3="","",IF(COUNTIFS(BD!$A$3:$A$5001,Y$3,BD!$B$3:$B$5001,$A$89,BD!$AF$3:$AF$5001,"&lt;&gt;")=0,"",SUMIFS(BD!$AF$3:$AF$5001,BD!$A$3:$A$5001,Y$3,BD!$B$3:$B$5001,$A$89)))</f>
        <v/>
      </c>
      <c r="Z107" s="216" t="str">
        <f>IF(Z$3="","",IF(COUNTIFS(BD!$A$3:$A$5001,Z$3,BD!$B$3:$B$5001,$A$89,BD!$AF$3:$AF$5001,"&lt;&gt;")=0,"",SUMIFS(BD!$AF$3:$AF$5001,BD!$A$3:$A$5001,Z$3,BD!$B$3:$B$5001,$A$89)))</f>
        <v/>
      </c>
      <c r="AA107" s="216" t="str">
        <f>IF(AA$3="","",IF(COUNTIFS(BD!$A$3:$A$5001,AA$3,BD!$B$3:$B$5001,$A$89,BD!$AF$3:$AF$5001,"&lt;&gt;")=0,"",SUMIFS(BD!$AF$3:$AF$5001,BD!$A$3:$A$5001,AA$3,BD!$B$3:$B$5001,$A$89)))</f>
        <v/>
      </c>
      <c r="AB107" s="216" t="str">
        <f>IF(AB$3="","",IF(COUNTIFS(BD!$A$3:$A$5001,AB$3,BD!$B$3:$B$5001,$A$89,BD!$AF$3:$AF$5001,"&lt;&gt;")=0,"",SUMIFS(BD!$AF$3:$AF$5001,BD!$A$3:$A$5001,AB$3,BD!$B$3:$B$5001,$A$89)))</f>
        <v/>
      </c>
      <c r="AC107" s="216" t="str">
        <f>IF(AC$3="","",IF(COUNTIFS(BD!$A$3:$A$5001,AC$3,BD!$B$3:$B$5001,$A$89,BD!$AF$3:$AF$5001,"&lt;&gt;")=0,"",SUMIFS(BD!$AF$3:$AF$5001,BD!$A$3:$A$5001,AC$3,BD!$B$3:$B$5001,$A$89)))</f>
        <v/>
      </c>
      <c r="AD107" s="216" t="str">
        <f>IF(AD$3="","",IF(COUNTIFS(BD!$A$3:$A$5001,AD$3,BD!$B$3:$B$5001,$A$89,BD!$AF$3:$AF$5001,"&lt;&gt;")=0,"",SUMIFS(BD!$AF$3:$AF$5001,BD!$A$3:$A$5001,AD$3,BD!$B$3:$B$5001,$A$89)))</f>
        <v/>
      </c>
      <c r="AE107" s="216" t="str">
        <f>IF(AE$3="","",IF(COUNTIFS(BD!$A$3:$A$5001,AE$3,BD!$B$3:$B$5001,$A$89,BD!$AF$3:$AF$5001,"&lt;&gt;")=0,"",SUMIFS(BD!$AF$3:$AF$5001,BD!$A$3:$A$5001,AE$3,BD!$B$3:$B$5001,$A$89)))</f>
        <v/>
      </c>
      <c r="AF107" s="216" t="str">
        <f>IF(AF$3="","",IF(COUNTIFS(BD!$A$3:$A$5001,AF$3,BD!$B$3:$B$5001,$A$89,BD!$AF$3:$AF$5001,"&lt;&gt;")=0,"",SUMIFS(BD!$AF$3:$AF$5001,BD!$A$3:$A$5001,AF$3,BD!$B$3:$B$5001,$A$89)))</f>
        <v/>
      </c>
      <c r="AG107" s="216" t="str">
        <f>IF(AG$3="","",IF(COUNTIFS(BD!$A$3:$A$5001,AG$3,BD!$B$3:$B$5001,$A$89,BD!$AF$3:$AF$5001,"&lt;&gt;")=0,"",SUMIFS(BD!$AF$3:$AF$5001,BD!$A$3:$A$5001,AG$3,BD!$B$3:$B$5001,$A$89)))</f>
        <v/>
      </c>
      <c r="AH107" s="216" t="str">
        <f>IF(AH$3="","",IF(COUNTIFS(BD!$A$3:$A$5001,AH$3,BD!$B$3:$B$5001,$A$89,BD!$AF$3:$AF$5001,"&lt;&gt;")=0,"",SUMIFS(BD!$AF$3:$AF$5001,BD!$A$3:$A$5001,AH$3,BD!$B$3:$B$5001,$A$89)))</f>
        <v/>
      </c>
      <c r="AI107" s="216" t="str">
        <f>IF(AI$3="","",IF(COUNTIFS(BD!$A$3:$A$5001,AI$3,BD!$B$3:$B$5001,$A$89,BD!$AF$3:$AF$5001,"&lt;&gt;")=0,"",SUMIFS(BD!$AF$3:$AF$5001,BD!$A$3:$A$5001,AI$3,BD!$B$3:$B$5001,$A$89)))</f>
        <v/>
      </c>
      <c r="AJ107" s="217" t="str">
        <f>IF(AJ$3="","",IF(COUNTIFS(BD!$A$3:$A$5001,AJ$3,BD!$B$3:$B$5001,$A$89,BD!$AF$3:$AF$5001,"&lt;&gt;")=0,"",SUMIFS(BD!$AF$3:$AF$5001,BD!$A$3:$A$5001,AJ$3,BD!$B$3:$B$5001,$A$89)))</f>
        <v/>
      </c>
      <c r="AK107" s="218" t="str">
        <f>IF(COUNT(F107:AJ107)=0,"",SUM(F107:AJ107))</f>
        <v/>
      </c>
    </row>
    <row r="108" ht="15.75" customHeight="1">
      <c r="A108" s="238"/>
      <c r="B108" s="235"/>
      <c r="C108" s="219" t="inlineStr">
        <is>
          <t xml:space="preserve">Acidentes SAF</t>
        </is>
      </c>
      <c r="D108" s="220" t="str">
        <f>IFERROR(1/(1/INDEX(BD!$AK$54:$AU$54,MATCH($A$89,BD!$AK$22:$AU$22,0))),"")</f>
        <v/>
      </c>
      <c r="E108" s="221"/>
      <c r="F108" s="222" t="str">
        <f>IF(F$3="","",IF(COUNTIFS(BD!$A$3:$A$5001,F$3,BD!$B$3:$B$5001,$A$89,BD!$AG$3:$AG$5001,"&lt;&gt;")=0,"",SUMIFS(BD!$AG$3:$AG$5001,BD!$A$3:$A$5001,F$3,BD!$B$3:$B$5001,$A$89)))</f>
        <v/>
      </c>
      <c r="G108" s="223" t="str">
        <f>IF(G$3="","",IF(COUNTIFS(BD!$A$3:$A$5001,G$3,BD!$B$3:$B$5001,$A$89,BD!$AG$3:$AG$5001,"&lt;&gt;")=0,"",SUMIFS(BD!$AG$3:$AG$5001,BD!$A$3:$A$5001,G$3,BD!$B$3:$B$5001,$A$89)))</f>
        <v/>
      </c>
      <c r="H108" s="223" t="str">
        <f>IF(H$3="","",IF(COUNTIFS(BD!$A$3:$A$5001,H$3,BD!$B$3:$B$5001,$A$89,BD!$AG$3:$AG$5001,"&lt;&gt;")=0,"",SUMIFS(BD!$AG$3:$AG$5001,BD!$A$3:$A$5001,H$3,BD!$B$3:$B$5001,$A$89)))</f>
        <v/>
      </c>
      <c r="I108" s="223" t="str">
        <f>IF(I$3="","",IF(COUNTIFS(BD!$A$3:$A$5001,I$3,BD!$B$3:$B$5001,$A$89,BD!$AG$3:$AG$5001,"&lt;&gt;")=0,"",SUMIFS(BD!$AG$3:$AG$5001,BD!$A$3:$A$5001,I$3,BD!$B$3:$B$5001,$A$89)))</f>
        <v/>
      </c>
      <c r="J108" s="223" t="str">
        <f>IF(J$3="","",IF(COUNTIFS(BD!$A$3:$A$5001,J$3,BD!$B$3:$B$5001,$A$89,BD!$AG$3:$AG$5001,"&lt;&gt;")=0,"",SUMIFS(BD!$AG$3:$AG$5001,BD!$A$3:$A$5001,J$3,BD!$B$3:$B$5001,$A$89)))</f>
        <v/>
      </c>
      <c r="K108" s="223" t="str">
        <f>IF(K$3="","",IF(COUNTIFS(BD!$A$3:$A$5001,K$3,BD!$B$3:$B$5001,$A$89,BD!$AG$3:$AG$5001,"&lt;&gt;")=0,"",SUMIFS(BD!$AG$3:$AG$5001,BD!$A$3:$A$5001,K$3,BD!$B$3:$B$5001,$A$89)))</f>
        <v/>
      </c>
      <c r="L108" s="223" t="str">
        <f>IF(L$3="","",IF(COUNTIFS(BD!$A$3:$A$5001,L$3,BD!$B$3:$B$5001,$A$89,BD!$AG$3:$AG$5001,"&lt;&gt;")=0,"",SUMIFS(BD!$AG$3:$AG$5001,BD!$A$3:$A$5001,L$3,BD!$B$3:$B$5001,$A$89)))</f>
        <v/>
      </c>
      <c r="M108" s="223" t="str">
        <f>IF(M$3="","",IF(COUNTIFS(BD!$A$3:$A$5001,M$3,BD!$B$3:$B$5001,$A$89,BD!$AG$3:$AG$5001,"&lt;&gt;")=0,"",SUMIFS(BD!$AG$3:$AG$5001,BD!$A$3:$A$5001,M$3,BD!$B$3:$B$5001,$A$89)))</f>
        <v/>
      </c>
      <c r="N108" s="223" t="str">
        <f>IF(N$3="","",IF(COUNTIFS(BD!$A$3:$A$5001,N$3,BD!$B$3:$B$5001,$A$89,BD!$AG$3:$AG$5001,"&lt;&gt;")=0,"",SUMIFS(BD!$AG$3:$AG$5001,BD!$A$3:$A$5001,N$3,BD!$B$3:$B$5001,$A$89)))</f>
        <v/>
      </c>
      <c r="O108" s="223" t="str">
        <f>IF(O$3="","",IF(COUNTIFS(BD!$A$3:$A$5001,O$3,BD!$B$3:$B$5001,$A$89,BD!$AG$3:$AG$5001,"&lt;&gt;")=0,"",SUMIFS(BD!$AG$3:$AG$5001,BD!$A$3:$A$5001,O$3,BD!$B$3:$B$5001,$A$89)))</f>
        <v/>
      </c>
      <c r="P108" s="223" t="str">
        <f>IF(P$3="","",IF(COUNTIFS(BD!$A$3:$A$5001,P$3,BD!$B$3:$B$5001,$A$89,BD!$AG$3:$AG$5001,"&lt;&gt;")=0,"",SUMIFS(BD!$AG$3:$AG$5001,BD!$A$3:$A$5001,P$3,BD!$B$3:$B$5001,$A$89)))</f>
        <v/>
      </c>
      <c r="Q108" s="223" t="str">
        <f>IF(Q$3="","",IF(COUNTIFS(BD!$A$3:$A$5001,Q$3,BD!$B$3:$B$5001,$A$89,BD!$AG$3:$AG$5001,"&lt;&gt;")=0,"",SUMIFS(BD!$AG$3:$AG$5001,BD!$A$3:$A$5001,Q$3,BD!$B$3:$B$5001,$A$89)))</f>
        <v/>
      </c>
      <c r="R108" s="223" t="str">
        <f>IF(R$3="","",IF(COUNTIFS(BD!$A$3:$A$5001,R$3,BD!$B$3:$B$5001,$A$89,BD!$AG$3:$AG$5001,"&lt;&gt;")=0,"",SUMIFS(BD!$AG$3:$AG$5001,BD!$A$3:$A$5001,R$3,BD!$B$3:$B$5001,$A$89)))</f>
        <v/>
      </c>
      <c r="S108" s="223" t="str">
        <f>IF(S$3="","",IF(COUNTIFS(BD!$A$3:$A$5001,S$3,BD!$B$3:$B$5001,$A$89,BD!$AG$3:$AG$5001,"&lt;&gt;")=0,"",SUMIFS(BD!$AG$3:$AG$5001,BD!$A$3:$A$5001,S$3,BD!$B$3:$B$5001,$A$89)))</f>
        <v/>
      </c>
      <c r="T108" s="223" t="str">
        <f>IF(T$3="","",IF(COUNTIFS(BD!$A$3:$A$5001,T$3,BD!$B$3:$B$5001,$A$89,BD!$AG$3:$AG$5001,"&lt;&gt;")=0,"",SUMIFS(BD!$AG$3:$AG$5001,BD!$A$3:$A$5001,T$3,BD!$B$3:$B$5001,$A$89)))</f>
        <v/>
      </c>
      <c r="U108" s="223" t="str">
        <f>IF(U$3="","",IF(COUNTIFS(BD!$A$3:$A$5001,U$3,BD!$B$3:$B$5001,$A$89,BD!$AG$3:$AG$5001,"&lt;&gt;")=0,"",SUMIFS(BD!$AG$3:$AG$5001,BD!$A$3:$A$5001,U$3,BD!$B$3:$B$5001,$A$89)))</f>
        <v/>
      </c>
      <c r="V108" s="223" t="str">
        <f>IF(V$3="","",IF(COUNTIFS(BD!$A$3:$A$5001,V$3,BD!$B$3:$B$5001,$A$89,BD!$AG$3:$AG$5001,"&lt;&gt;")=0,"",SUMIFS(BD!$AG$3:$AG$5001,BD!$A$3:$A$5001,V$3,BD!$B$3:$B$5001,$A$89)))</f>
        <v/>
      </c>
      <c r="W108" s="223" t="str">
        <f>IF(W$3="","",IF(COUNTIFS(BD!$A$3:$A$5001,W$3,BD!$B$3:$B$5001,$A$89,BD!$AG$3:$AG$5001,"&lt;&gt;")=0,"",SUMIFS(BD!$AG$3:$AG$5001,BD!$A$3:$A$5001,W$3,BD!$B$3:$B$5001,$A$89)))</f>
        <v/>
      </c>
      <c r="X108" s="223" t="str">
        <f>IF(X$3="","",IF(COUNTIFS(BD!$A$3:$A$5001,X$3,BD!$B$3:$B$5001,$A$89,BD!$AG$3:$AG$5001,"&lt;&gt;")=0,"",SUMIFS(BD!$AG$3:$AG$5001,BD!$A$3:$A$5001,X$3,BD!$B$3:$B$5001,$A$89)))</f>
        <v/>
      </c>
      <c r="Y108" s="223" t="str">
        <f>IF(Y$3="","",IF(COUNTIFS(BD!$A$3:$A$5001,Y$3,BD!$B$3:$B$5001,$A$89,BD!$AG$3:$AG$5001,"&lt;&gt;")=0,"",SUMIFS(BD!$AG$3:$AG$5001,BD!$A$3:$A$5001,Y$3,BD!$B$3:$B$5001,$A$89)))</f>
        <v/>
      </c>
      <c r="Z108" s="223" t="str">
        <f>IF(Z$3="","",IF(COUNTIFS(BD!$A$3:$A$5001,Z$3,BD!$B$3:$B$5001,$A$89,BD!$AG$3:$AG$5001,"&lt;&gt;")=0,"",SUMIFS(BD!$AG$3:$AG$5001,BD!$A$3:$A$5001,Z$3,BD!$B$3:$B$5001,$A$89)))</f>
        <v/>
      </c>
      <c r="AA108" s="223" t="str">
        <f>IF(AA$3="","",IF(COUNTIFS(BD!$A$3:$A$5001,AA$3,BD!$B$3:$B$5001,$A$89,BD!$AG$3:$AG$5001,"&lt;&gt;")=0,"",SUMIFS(BD!$AG$3:$AG$5001,BD!$A$3:$A$5001,AA$3,BD!$B$3:$B$5001,$A$89)))</f>
        <v/>
      </c>
      <c r="AB108" s="223" t="str">
        <f>IF(AB$3="","",IF(COUNTIFS(BD!$A$3:$A$5001,AB$3,BD!$B$3:$B$5001,$A$89,BD!$AG$3:$AG$5001,"&lt;&gt;")=0,"",SUMIFS(BD!$AG$3:$AG$5001,BD!$A$3:$A$5001,AB$3,BD!$B$3:$B$5001,$A$89)))</f>
        <v/>
      </c>
      <c r="AC108" s="223" t="str">
        <f>IF(AC$3="","",IF(COUNTIFS(BD!$A$3:$A$5001,AC$3,BD!$B$3:$B$5001,$A$89,BD!$AG$3:$AG$5001,"&lt;&gt;")=0,"",SUMIFS(BD!$AG$3:$AG$5001,BD!$A$3:$A$5001,AC$3,BD!$B$3:$B$5001,$A$89)))</f>
        <v/>
      </c>
      <c r="AD108" s="223" t="str">
        <f>IF(AD$3="","",IF(COUNTIFS(BD!$A$3:$A$5001,AD$3,BD!$B$3:$B$5001,$A$89,BD!$AG$3:$AG$5001,"&lt;&gt;")=0,"",SUMIFS(BD!$AG$3:$AG$5001,BD!$A$3:$A$5001,AD$3,BD!$B$3:$B$5001,$A$89)))</f>
        <v/>
      </c>
      <c r="AE108" s="223" t="str">
        <f>IF(AE$3="","",IF(COUNTIFS(BD!$A$3:$A$5001,AE$3,BD!$B$3:$B$5001,$A$89,BD!$AG$3:$AG$5001,"&lt;&gt;")=0,"",SUMIFS(BD!$AG$3:$AG$5001,BD!$A$3:$A$5001,AE$3,BD!$B$3:$B$5001,$A$89)))</f>
        <v/>
      </c>
      <c r="AF108" s="223" t="str">
        <f>IF(AF$3="","",IF(COUNTIFS(BD!$A$3:$A$5001,AF$3,BD!$B$3:$B$5001,$A$89,BD!$AG$3:$AG$5001,"&lt;&gt;")=0,"",SUMIFS(BD!$AG$3:$AG$5001,BD!$A$3:$A$5001,AF$3,BD!$B$3:$B$5001,$A$89)))</f>
        <v/>
      </c>
      <c r="AG108" s="223" t="str">
        <f>IF(AG$3="","",IF(COUNTIFS(BD!$A$3:$A$5001,AG$3,BD!$B$3:$B$5001,$A$89,BD!$AG$3:$AG$5001,"&lt;&gt;")=0,"",SUMIFS(BD!$AG$3:$AG$5001,BD!$A$3:$A$5001,AG$3,BD!$B$3:$B$5001,$A$89)))</f>
        <v/>
      </c>
      <c r="AH108" s="223" t="str">
        <f>IF(AH$3="","",IF(COUNTIFS(BD!$A$3:$A$5001,AH$3,BD!$B$3:$B$5001,$A$89,BD!$AG$3:$AG$5001,"&lt;&gt;")=0,"",SUMIFS(BD!$AG$3:$AG$5001,BD!$A$3:$A$5001,AH$3,BD!$B$3:$B$5001,$A$89)))</f>
        <v/>
      </c>
      <c r="AI108" s="223" t="str">
        <f>IF(AI$3="","",IF(COUNTIFS(BD!$A$3:$A$5001,AI$3,BD!$B$3:$B$5001,$A$89,BD!$AG$3:$AG$5001,"&lt;&gt;")=0,"",SUMIFS(BD!$AG$3:$AG$5001,BD!$A$3:$A$5001,AI$3,BD!$B$3:$B$5001,$A$89)))</f>
        <v/>
      </c>
      <c r="AJ108" s="224" t="str">
        <f>IF(AJ$3="","",IF(COUNTIFS(BD!$A$3:$A$5001,AJ$3,BD!$B$3:$B$5001,$A$89,BD!$AG$3:$AG$5001,"&lt;&gt;")=0,"",SUMIFS(BD!$AG$3:$AG$5001,BD!$A$3:$A$5001,AJ$3,BD!$B$3:$B$5001,$A$89)))</f>
        <v/>
      </c>
      <c r="AK108" s="220" t="str">
        <f>IF(COUNT(F108:AJ108)=0,"",SUM(F108:AJ108))</f>
        <v/>
      </c>
    </row>
    <row r="110" ht="15.75" customHeight="1">
      <c r="A110" s="236" t="inlineStr">
        <is>
          <t xml:space="preserve">GE Vernova</t>
        </is>
      </c>
      <c r="B110" s="225" t="inlineStr">
        <is>
          <t xml:space="preserve">IN</t>
        </is>
      </c>
      <c r="C110" s="148" t="inlineStr">
        <is>
          <t xml:space="preserve">Veículos Recebidos</t>
        </is>
      </c>
      <c r="D110" s="149" t="str">
        <f>IFERROR(1/(1/INDEX(BD!$AK$23:$AU$23,MATCH($A$110,BD!$AK$22:$AU$22,0))),"")</f>
        <v/>
      </c>
      <c r="E110" s="150"/>
      <c r="F110" s="151" t="str">
        <f>IF(F$3="","",IF(COUNTIFS(BD!$A$3:$A$5001,F$3,BD!$B$3:$B$5001,$A$110,BD!$C$3:$C$5001,"&lt;&gt;")=0,"",SUMIFS(BD!$C$3:$C$5001,BD!$A$3:$A$5001,F$3,BD!$B$3:$B$5001,$A$110)))</f>
        <v/>
      </c>
      <c r="G110" s="152" t="str">
        <f>IF(G$3="","",IF(COUNTIFS(BD!$A$3:$A$5001,G$3,BD!$B$3:$B$5001,$A$110,BD!$C$3:$C$5001,"&lt;&gt;")=0,"",SUMIFS(BD!$C$3:$C$5001,BD!$A$3:$A$5001,G$3,BD!$B$3:$B$5001,$A$110)))</f>
        <v/>
      </c>
      <c r="H110" s="152" t="str">
        <f>IF(H$3="","",IF(COUNTIFS(BD!$A$3:$A$5001,H$3,BD!$B$3:$B$5001,$A$110,BD!$C$3:$C$5001,"&lt;&gt;")=0,"",SUMIFS(BD!$C$3:$C$5001,BD!$A$3:$A$5001,H$3,BD!$B$3:$B$5001,$A$110)))</f>
        <v/>
      </c>
      <c r="I110" s="152" t="str">
        <f>IF(I$3="","",IF(COUNTIFS(BD!$A$3:$A$5001,I$3,BD!$B$3:$B$5001,$A$110,BD!$C$3:$C$5001,"&lt;&gt;")=0,"",SUMIFS(BD!$C$3:$C$5001,BD!$A$3:$A$5001,I$3,BD!$B$3:$B$5001,$A$110)))</f>
        <v/>
      </c>
      <c r="J110" s="152" t="str">
        <f>IF(J$3="","",IF(COUNTIFS(BD!$A$3:$A$5001,J$3,BD!$B$3:$B$5001,$A$110,BD!$C$3:$C$5001,"&lt;&gt;")=0,"",SUMIFS(BD!$C$3:$C$5001,BD!$A$3:$A$5001,J$3,BD!$B$3:$B$5001,$A$110)))</f>
        <v/>
      </c>
      <c r="K110" s="152" t="str">
        <f>IF(K$3="","",IF(COUNTIFS(BD!$A$3:$A$5001,K$3,BD!$B$3:$B$5001,$A$110,BD!$C$3:$C$5001,"&lt;&gt;")=0,"",SUMIFS(BD!$C$3:$C$5001,BD!$A$3:$A$5001,K$3,BD!$B$3:$B$5001,$A$110)))</f>
        <v/>
      </c>
      <c r="L110" s="152" t="str">
        <f>IF(L$3="","",IF(COUNTIFS(BD!$A$3:$A$5001,L$3,BD!$B$3:$B$5001,$A$110,BD!$C$3:$C$5001,"&lt;&gt;")=0,"",SUMIFS(BD!$C$3:$C$5001,BD!$A$3:$A$5001,L$3,BD!$B$3:$B$5001,$A$110)))</f>
        <v/>
      </c>
      <c r="M110" s="152" t="str">
        <f>IF(M$3="","",IF(COUNTIFS(BD!$A$3:$A$5001,M$3,BD!$B$3:$B$5001,$A$110,BD!$C$3:$C$5001,"&lt;&gt;")=0,"",SUMIFS(BD!$C$3:$C$5001,BD!$A$3:$A$5001,M$3,BD!$B$3:$B$5001,$A$110)))</f>
        <v/>
      </c>
      <c r="N110" s="152" t="str">
        <f>IF(N$3="","",IF(COUNTIFS(BD!$A$3:$A$5001,N$3,BD!$B$3:$B$5001,$A$110,BD!$C$3:$C$5001,"&lt;&gt;")=0,"",SUMIFS(BD!$C$3:$C$5001,BD!$A$3:$A$5001,N$3,BD!$B$3:$B$5001,$A$110)))</f>
        <v/>
      </c>
      <c r="O110" s="152" t="str">
        <f>IF(O$3="","",IF(COUNTIFS(BD!$A$3:$A$5001,O$3,BD!$B$3:$B$5001,$A$110,BD!$C$3:$C$5001,"&lt;&gt;")=0,"",SUMIFS(BD!$C$3:$C$5001,BD!$A$3:$A$5001,O$3,BD!$B$3:$B$5001,$A$110)))</f>
        <v/>
      </c>
      <c r="P110" s="152" t="str">
        <f>IF(P$3="","",IF(COUNTIFS(BD!$A$3:$A$5001,P$3,BD!$B$3:$B$5001,$A$110,BD!$C$3:$C$5001,"&lt;&gt;")=0,"",SUMIFS(BD!$C$3:$C$5001,BD!$A$3:$A$5001,P$3,BD!$B$3:$B$5001,$A$110)))</f>
        <v/>
      </c>
      <c r="Q110" s="152" t="str">
        <f>IF(Q$3="","",IF(COUNTIFS(BD!$A$3:$A$5001,Q$3,BD!$B$3:$B$5001,$A$110,BD!$C$3:$C$5001,"&lt;&gt;")=0,"",SUMIFS(BD!$C$3:$C$5001,BD!$A$3:$A$5001,Q$3,BD!$B$3:$B$5001,$A$110)))</f>
        <v/>
      </c>
      <c r="R110" s="152" t="str">
        <f>IF(R$3="","",IF(COUNTIFS(BD!$A$3:$A$5001,R$3,BD!$B$3:$B$5001,$A$110,BD!$C$3:$C$5001,"&lt;&gt;")=0,"",SUMIFS(BD!$C$3:$C$5001,BD!$A$3:$A$5001,R$3,BD!$B$3:$B$5001,$A$110)))</f>
        <v/>
      </c>
      <c r="S110" s="152" t="str">
        <f>IF(S$3="","",IF(COUNTIFS(BD!$A$3:$A$5001,S$3,BD!$B$3:$B$5001,$A$110,BD!$C$3:$C$5001,"&lt;&gt;")=0,"",SUMIFS(BD!$C$3:$C$5001,BD!$A$3:$A$5001,S$3,BD!$B$3:$B$5001,$A$110)))</f>
        <v/>
      </c>
      <c r="T110" s="152" t="str">
        <f>IF(T$3="","",IF(COUNTIFS(BD!$A$3:$A$5001,T$3,BD!$B$3:$B$5001,$A$110,BD!$C$3:$C$5001,"&lt;&gt;")=0,"",SUMIFS(BD!$C$3:$C$5001,BD!$A$3:$A$5001,T$3,BD!$B$3:$B$5001,$A$110)))</f>
        <v/>
      </c>
      <c r="U110" s="152" t="str">
        <f>IF(U$3="","",IF(COUNTIFS(BD!$A$3:$A$5001,U$3,BD!$B$3:$B$5001,$A$110,BD!$C$3:$C$5001,"&lt;&gt;")=0,"",SUMIFS(BD!$C$3:$C$5001,BD!$A$3:$A$5001,U$3,BD!$B$3:$B$5001,$A$110)))</f>
        <v/>
      </c>
      <c r="V110" s="152" t="str">
        <f>IF(V$3="","",IF(COUNTIFS(BD!$A$3:$A$5001,V$3,BD!$B$3:$B$5001,$A$110,BD!$C$3:$C$5001,"&lt;&gt;")=0,"",SUMIFS(BD!$C$3:$C$5001,BD!$A$3:$A$5001,V$3,BD!$B$3:$B$5001,$A$110)))</f>
        <v/>
      </c>
      <c r="W110" s="152" t="str">
        <f>IF(W$3="","",IF(COUNTIFS(BD!$A$3:$A$5001,W$3,BD!$B$3:$B$5001,$A$110,BD!$C$3:$C$5001,"&lt;&gt;")=0,"",SUMIFS(BD!$C$3:$C$5001,BD!$A$3:$A$5001,W$3,BD!$B$3:$B$5001,$A$110)))</f>
        <v/>
      </c>
      <c r="X110" s="152" t="str">
        <f>IF(X$3="","",IF(COUNTIFS(BD!$A$3:$A$5001,X$3,BD!$B$3:$B$5001,$A$110,BD!$C$3:$C$5001,"&lt;&gt;")=0,"",SUMIFS(BD!$C$3:$C$5001,BD!$A$3:$A$5001,X$3,BD!$B$3:$B$5001,$A$110)))</f>
        <v/>
      </c>
      <c r="Y110" s="152" t="str">
        <f>IF(Y$3="","",IF(COUNTIFS(BD!$A$3:$A$5001,Y$3,BD!$B$3:$B$5001,$A$110,BD!$C$3:$C$5001,"&lt;&gt;")=0,"",SUMIFS(BD!$C$3:$C$5001,BD!$A$3:$A$5001,Y$3,BD!$B$3:$B$5001,$A$110)))</f>
        <v/>
      </c>
      <c r="Z110" s="152" t="str">
        <f>IF(Z$3="","",IF(COUNTIFS(BD!$A$3:$A$5001,Z$3,BD!$B$3:$B$5001,$A$110,BD!$C$3:$C$5001,"&lt;&gt;")=0,"",SUMIFS(BD!$C$3:$C$5001,BD!$A$3:$A$5001,Z$3,BD!$B$3:$B$5001,$A$110)))</f>
        <v/>
      </c>
      <c r="AA110" s="152" t="str">
        <f>IF(AA$3="","",IF(COUNTIFS(BD!$A$3:$A$5001,AA$3,BD!$B$3:$B$5001,$A$110,BD!$C$3:$C$5001,"&lt;&gt;")=0,"",SUMIFS(BD!$C$3:$C$5001,BD!$A$3:$A$5001,AA$3,BD!$B$3:$B$5001,$A$110)))</f>
        <v/>
      </c>
      <c r="AB110" s="152" t="str">
        <f>IF(AB$3="","",IF(COUNTIFS(BD!$A$3:$A$5001,AB$3,BD!$B$3:$B$5001,$A$110,BD!$C$3:$C$5001,"&lt;&gt;")=0,"",SUMIFS(BD!$C$3:$C$5001,BD!$A$3:$A$5001,AB$3,BD!$B$3:$B$5001,$A$110)))</f>
        <v/>
      </c>
      <c r="AC110" s="152" t="str">
        <f>IF(AC$3="","",IF(COUNTIFS(BD!$A$3:$A$5001,AC$3,BD!$B$3:$B$5001,$A$110,BD!$C$3:$C$5001,"&lt;&gt;")=0,"",SUMIFS(BD!$C$3:$C$5001,BD!$A$3:$A$5001,AC$3,BD!$B$3:$B$5001,$A$110)))</f>
        <v/>
      </c>
      <c r="AD110" s="152" t="str">
        <f>IF(AD$3="","",IF(COUNTIFS(BD!$A$3:$A$5001,AD$3,BD!$B$3:$B$5001,$A$110,BD!$C$3:$C$5001,"&lt;&gt;")=0,"",SUMIFS(BD!$C$3:$C$5001,BD!$A$3:$A$5001,AD$3,BD!$B$3:$B$5001,$A$110)))</f>
        <v/>
      </c>
      <c r="AE110" s="152" t="str">
        <f>IF(AE$3="","",IF(COUNTIFS(BD!$A$3:$A$5001,AE$3,BD!$B$3:$B$5001,$A$110,BD!$C$3:$C$5001,"&lt;&gt;")=0,"",SUMIFS(BD!$C$3:$C$5001,BD!$A$3:$A$5001,AE$3,BD!$B$3:$B$5001,$A$110)))</f>
        <v/>
      </c>
      <c r="AF110" s="152" t="str">
        <f>IF(AF$3="","",IF(COUNTIFS(BD!$A$3:$A$5001,AF$3,BD!$B$3:$B$5001,$A$110,BD!$C$3:$C$5001,"&lt;&gt;")=0,"",SUMIFS(BD!$C$3:$C$5001,BD!$A$3:$A$5001,AF$3,BD!$B$3:$B$5001,$A$110)))</f>
        <v/>
      </c>
      <c r="AG110" s="152" t="str">
        <f>IF(AG$3="","",IF(COUNTIFS(BD!$A$3:$A$5001,AG$3,BD!$B$3:$B$5001,$A$110,BD!$C$3:$C$5001,"&lt;&gt;")=0,"",SUMIFS(BD!$C$3:$C$5001,BD!$A$3:$A$5001,AG$3,BD!$B$3:$B$5001,$A$110)))</f>
        <v/>
      </c>
      <c r="AH110" s="152" t="str">
        <f>IF(AH$3="","",IF(COUNTIFS(BD!$A$3:$A$5001,AH$3,BD!$B$3:$B$5001,$A$110,BD!$C$3:$C$5001,"&lt;&gt;")=0,"",SUMIFS(BD!$C$3:$C$5001,BD!$A$3:$A$5001,AH$3,BD!$B$3:$B$5001,$A$110)))</f>
        <v/>
      </c>
      <c r="AI110" s="152" t="str">
        <f>IF(AI$3="","",IF(COUNTIFS(BD!$A$3:$A$5001,AI$3,BD!$B$3:$B$5001,$A$110,BD!$C$3:$C$5001,"&lt;&gt;")=0,"",SUMIFS(BD!$C$3:$C$5001,BD!$A$3:$A$5001,AI$3,BD!$B$3:$B$5001,$A$110)))</f>
        <v/>
      </c>
      <c r="AJ110" s="153" t="str">
        <f>IF(AJ$3="","",IF(COUNTIFS(BD!$A$3:$A$5001,AJ$3,BD!$B$3:$B$5001,$A$110,BD!$C$3:$C$5001,"&lt;&gt;")=0,"",SUMIFS(BD!$C$3:$C$5001,BD!$A$3:$A$5001,AJ$3,BD!$B$3:$B$5001,$A$110)))</f>
        <v/>
      </c>
      <c r="AK110" s="154" t="str">
        <f>IF(COUNT(F110:AJ110)=0,"",SUM(F110:AJ110))</f>
        <v/>
      </c>
    </row>
    <row r="111" ht="15.75" customHeight="1">
      <c r="A111" s="237"/>
      <c r="B111" s="232"/>
      <c r="C111" s="194" t="inlineStr">
        <is>
          <t xml:space="preserve">Pallets Movimentados</t>
        </is>
      </c>
      <c r="D111" s="195" t="str">
        <f>IFERROR(1/(1/INDEX(BD!$AK$24:$AU$24,MATCH($A$110,BD!$AK$22:$AU$22,0))),"")</f>
        <v/>
      </c>
      <c r="E111" s="196"/>
      <c r="F111" s="197" t="str">
        <f>IF(F$3="","",IF(COUNTIFS(BD!$A$3:$A$5001,F$3,BD!$B$3:$B$5001,$A$110,BD!$D$3:$D$5001,"&lt;&gt;")=0,"",SUMIFS(BD!$D$3:$D$5001,BD!$A$3:$A$5001,F$3,BD!$B$3:$B$5001,$A$110)))</f>
        <v/>
      </c>
      <c r="G111" s="198" t="str">
        <f>IF(G$3="","",IF(COUNTIFS(BD!$A$3:$A$5001,G$3,BD!$B$3:$B$5001,$A$110,BD!$D$3:$D$5001,"&lt;&gt;")=0,"",SUMIFS(BD!$D$3:$D$5001,BD!$A$3:$A$5001,G$3,BD!$B$3:$B$5001,$A$110)))</f>
        <v/>
      </c>
      <c r="H111" s="198" t="str">
        <f>IF(H$3="","",IF(COUNTIFS(BD!$A$3:$A$5001,H$3,BD!$B$3:$B$5001,$A$110,BD!$D$3:$D$5001,"&lt;&gt;")=0,"",SUMIFS(BD!$D$3:$D$5001,BD!$A$3:$A$5001,H$3,BD!$B$3:$B$5001,$A$110)))</f>
        <v/>
      </c>
      <c r="I111" s="198" t="str">
        <f>IF(I$3="","",IF(COUNTIFS(BD!$A$3:$A$5001,I$3,BD!$B$3:$B$5001,$A$110,BD!$D$3:$D$5001,"&lt;&gt;")=0,"",SUMIFS(BD!$D$3:$D$5001,BD!$A$3:$A$5001,I$3,BD!$B$3:$B$5001,$A$110)))</f>
        <v/>
      </c>
      <c r="J111" s="198" t="str">
        <f>IF(J$3="","",IF(COUNTIFS(BD!$A$3:$A$5001,J$3,BD!$B$3:$B$5001,$A$110,BD!$D$3:$D$5001,"&lt;&gt;")=0,"",SUMIFS(BD!$D$3:$D$5001,BD!$A$3:$A$5001,J$3,BD!$B$3:$B$5001,$A$110)))</f>
        <v/>
      </c>
      <c r="K111" s="198" t="str">
        <f>IF(K$3="","",IF(COUNTIFS(BD!$A$3:$A$5001,K$3,BD!$B$3:$B$5001,$A$110,BD!$D$3:$D$5001,"&lt;&gt;")=0,"",SUMIFS(BD!$D$3:$D$5001,BD!$A$3:$A$5001,K$3,BD!$B$3:$B$5001,$A$110)))</f>
        <v/>
      </c>
      <c r="L111" s="198" t="str">
        <f>IF(L$3="","",IF(COUNTIFS(BD!$A$3:$A$5001,L$3,BD!$B$3:$B$5001,$A$110,BD!$D$3:$D$5001,"&lt;&gt;")=0,"",SUMIFS(BD!$D$3:$D$5001,BD!$A$3:$A$5001,L$3,BD!$B$3:$B$5001,$A$110)))</f>
        <v/>
      </c>
      <c r="M111" s="198" t="str">
        <f>IF(M$3="","",IF(COUNTIFS(BD!$A$3:$A$5001,M$3,BD!$B$3:$B$5001,$A$110,BD!$D$3:$D$5001,"&lt;&gt;")=0,"",SUMIFS(BD!$D$3:$D$5001,BD!$A$3:$A$5001,M$3,BD!$B$3:$B$5001,$A$110)))</f>
        <v/>
      </c>
      <c r="N111" s="198" t="str">
        <f>IF(N$3="","",IF(COUNTIFS(BD!$A$3:$A$5001,N$3,BD!$B$3:$B$5001,$A$110,BD!$D$3:$D$5001,"&lt;&gt;")=0,"",SUMIFS(BD!$D$3:$D$5001,BD!$A$3:$A$5001,N$3,BD!$B$3:$B$5001,$A$110)))</f>
        <v/>
      </c>
      <c r="O111" s="198" t="str">
        <f>IF(O$3="","",IF(COUNTIFS(BD!$A$3:$A$5001,O$3,BD!$B$3:$B$5001,$A$110,BD!$D$3:$D$5001,"&lt;&gt;")=0,"",SUMIFS(BD!$D$3:$D$5001,BD!$A$3:$A$5001,O$3,BD!$B$3:$B$5001,$A$110)))</f>
        <v/>
      </c>
      <c r="P111" s="198" t="str">
        <f>IF(P$3="","",IF(COUNTIFS(BD!$A$3:$A$5001,P$3,BD!$B$3:$B$5001,$A$110,BD!$D$3:$D$5001,"&lt;&gt;")=0,"",SUMIFS(BD!$D$3:$D$5001,BD!$A$3:$A$5001,P$3,BD!$B$3:$B$5001,$A$110)))</f>
        <v/>
      </c>
      <c r="Q111" s="198" t="str">
        <f>IF(Q$3="","",IF(COUNTIFS(BD!$A$3:$A$5001,Q$3,BD!$B$3:$B$5001,$A$110,BD!$D$3:$D$5001,"&lt;&gt;")=0,"",SUMIFS(BD!$D$3:$D$5001,BD!$A$3:$A$5001,Q$3,BD!$B$3:$B$5001,$A$110)))</f>
        <v/>
      </c>
      <c r="R111" s="198" t="str">
        <f>IF(R$3="","",IF(COUNTIFS(BD!$A$3:$A$5001,R$3,BD!$B$3:$B$5001,$A$110,BD!$D$3:$D$5001,"&lt;&gt;")=0,"",SUMIFS(BD!$D$3:$D$5001,BD!$A$3:$A$5001,R$3,BD!$B$3:$B$5001,$A$110)))</f>
        <v/>
      </c>
      <c r="S111" s="198" t="str">
        <f>IF(S$3="","",IF(COUNTIFS(BD!$A$3:$A$5001,S$3,BD!$B$3:$B$5001,$A$110,BD!$D$3:$D$5001,"&lt;&gt;")=0,"",SUMIFS(BD!$D$3:$D$5001,BD!$A$3:$A$5001,S$3,BD!$B$3:$B$5001,$A$110)))</f>
        <v/>
      </c>
      <c r="T111" s="198" t="str">
        <f>IF(T$3="","",IF(COUNTIFS(BD!$A$3:$A$5001,T$3,BD!$B$3:$B$5001,$A$110,BD!$D$3:$D$5001,"&lt;&gt;")=0,"",SUMIFS(BD!$D$3:$D$5001,BD!$A$3:$A$5001,T$3,BD!$B$3:$B$5001,$A$110)))</f>
        <v/>
      </c>
      <c r="U111" s="198" t="str">
        <f>IF(U$3="","",IF(COUNTIFS(BD!$A$3:$A$5001,U$3,BD!$B$3:$B$5001,$A$110,BD!$D$3:$D$5001,"&lt;&gt;")=0,"",SUMIFS(BD!$D$3:$D$5001,BD!$A$3:$A$5001,U$3,BD!$B$3:$B$5001,$A$110)))</f>
        <v/>
      </c>
      <c r="V111" s="198" t="str">
        <f>IF(V$3="","",IF(COUNTIFS(BD!$A$3:$A$5001,V$3,BD!$B$3:$B$5001,$A$110,BD!$D$3:$D$5001,"&lt;&gt;")=0,"",SUMIFS(BD!$D$3:$D$5001,BD!$A$3:$A$5001,V$3,BD!$B$3:$B$5001,$A$110)))</f>
        <v/>
      </c>
      <c r="W111" s="198" t="str">
        <f>IF(W$3="","",IF(COUNTIFS(BD!$A$3:$A$5001,W$3,BD!$B$3:$B$5001,$A$110,BD!$D$3:$D$5001,"&lt;&gt;")=0,"",SUMIFS(BD!$D$3:$D$5001,BD!$A$3:$A$5001,W$3,BD!$B$3:$B$5001,$A$110)))</f>
        <v/>
      </c>
      <c r="X111" s="198" t="str">
        <f>IF(X$3="","",IF(COUNTIFS(BD!$A$3:$A$5001,X$3,BD!$B$3:$B$5001,$A$110,BD!$D$3:$D$5001,"&lt;&gt;")=0,"",SUMIFS(BD!$D$3:$D$5001,BD!$A$3:$A$5001,X$3,BD!$B$3:$B$5001,$A$110)))</f>
        <v/>
      </c>
      <c r="Y111" s="198" t="str">
        <f>IF(Y$3="","",IF(COUNTIFS(BD!$A$3:$A$5001,Y$3,BD!$B$3:$B$5001,$A$110,BD!$D$3:$D$5001,"&lt;&gt;")=0,"",SUMIFS(BD!$D$3:$D$5001,BD!$A$3:$A$5001,Y$3,BD!$B$3:$B$5001,$A$110)))</f>
        <v/>
      </c>
      <c r="Z111" s="198" t="str">
        <f>IF(Z$3="","",IF(COUNTIFS(BD!$A$3:$A$5001,Z$3,BD!$B$3:$B$5001,$A$110,BD!$D$3:$D$5001,"&lt;&gt;")=0,"",SUMIFS(BD!$D$3:$D$5001,BD!$A$3:$A$5001,Z$3,BD!$B$3:$B$5001,$A$110)))</f>
        <v/>
      </c>
      <c r="AA111" s="198" t="str">
        <f>IF(AA$3="","",IF(COUNTIFS(BD!$A$3:$A$5001,AA$3,BD!$B$3:$B$5001,$A$110,BD!$D$3:$D$5001,"&lt;&gt;")=0,"",SUMIFS(BD!$D$3:$D$5001,BD!$A$3:$A$5001,AA$3,BD!$B$3:$B$5001,$A$110)))</f>
        <v/>
      </c>
      <c r="AB111" s="198" t="str">
        <f>IF(AB$3="","",IF(COUNTIFS(BD!$A$3:$A$5001,AB$3,BD!$B$3:$B$5001,$A$110,BD!$D$3:$D$5001,"&lt;&gt;")=0,"",SUMIFS(BD!$D$3:$D$5001,BD!$A$3:$A$5001,AB$3,BD!$B$3:$B$5001,$A$110)))</f>
        <v/>
      </c>
      <c r="AC111" s="198" t="str">
        <f>IF(AC$3="","",IF(COUNTIFS(BD!$A$3:$A$5001,AC$3,BD!$B$3:$B$5001,$A$110,BD!$D$3:$D$5001,"&lt;&gt;")=0,"",SUMIFS(BD!$D$3:$D$5001,BD!$A$3:$A$5001,AC$3,BD!$B$3:$B$5001,$A$110)))</f>
        <v/>
      </c>
      <c r="AD111" s="198" t="str">
        <f>IF(AD$3="","",IF(COUNTIFS(BD!$A$3:$A$5001,AD$3,BD!$B$3:$B$5001,$A$110,BD!$D$3:$D$5001,"&lt;&gt;")=0,"",SUMIFS(BD!$D$3:$D$5001,BD!$A$3:$A$5001,AD$3,BD!$B$3:$B$5001,$A$110)))</f>
        <v/>
      </c>
      <c r="AE111" s="198" t="str">
        <f>IF(AE$3="","",IF(COUNTIFS(BD!$A$3:$A$5001,AE$3,BD!$B$3:$B$5001,$A$110,BD!$D$3:$D$5001,"&lt;&gt;")=0,"",SUMIFS(BD!$D$3:$D$5001,BD!$A$3:$A$5001,AE$3,BD!$B$3:$B$5001,$A$110)))</f>
        <v/>
      </c>
      <c r="AF111" s="198" t="str">
        <f>IF(AF$3="","",IF(COUNTIFS(BD!$A$3:$A$5001,AF$3,BD!$B$3:$B$5001,$A$110,BD!$D$3:$D$5001,"&lt;&gt;")=0,"",SUMIFS(BD!$D$3:$D$5001,BD!$A$3:$A$5001,AF$3,BD!$B$3:$B$5001,$A$110)))</f>
        <v/>
      </c>
      <c r="AG111" s="198" t="str">
        <f>IF(AG$3="","",IF(COUNTIFS(BD!$A$3:$A$5001,AG$3,BD!$B$3:$B$5001,$A$110,BD!$D$3:$D$5001,"&lt;&gt;")=0,"",SUMIFS(BD!$D$3:$D$5001,BD!$A$3:$A$5001,AG$3,BD!$B$3:$B$5001,$A$110)))</f>
        <v/>
      </c>
      <c r="AH111" s="198" t="str">
        <f>IF(AH$3="","",IF(COUNTIFS(BD!$A$3:$A$5001,AH$3,BD!$B$3:$B$5001,$A$110,BD!$D$3:$D$5001,"&lt;&gt;")=0,"",SUMIFS(BD!$D$3:$D$5001,BD!$A$3:$A$5001,AH$3,BD!$B$3:$B$5001,$A$110)))</f>
        <v/>
      </c>
      <c r="AI111" s="198" t="str">
        <f>IF(AI$3="","",IF(COUNTIFS(BD!$A$3:$A$5001,AI$3,BD!$B$3:$B$5001,$A$110,BD!$D$3:$D$5001,"&lt;&gt;")=0,"",SUMIFS(BD!$D$3:$D$5001,BD!$A$3:$A$5001,AI$3,BD!$B$3:$B$5001,$A$110)))</f>
        <v/>
      </c>
      <c r="AJ111" s="199" t="str">
        <f>IF(AJ$3="","",IF(COUNTIFS(BD!$A$3:$A$5001,AJ$3,BD!$B$3:$B$5001,$A$110,BD!$D$3:$D$5001,"&lt;&gt;")=0,"",SUMIFS(BD!$D$3:$D$5001,BD!$A$3:$A$5001,AJ$3,BD!$B$3:$B$5001,$A$110)))</f>
        <v/>
      </c>
      <c r="AK111" s="200" t="str">
        <f>IF(COUNT(F111:AJ111)=0,"",SUM(F111:AJ111))</f>
        <v/>
      </c>
    </row>
    <row r="112" ht="15.75" customHeight="1">
      <c r="A112" s="237"/>
      <c r="B112" s="232"/>
      <c r="C112" s="194" t="inlineStr">
        <is>
          <t xml:space="preserve">Peças Movimentadas</t>
        </is>
      </c>
      <c r="D112" s="195" t="str">
        <f>IFERROR(1/(1/INDEX(BD!$AK$28:$AU$28,MATCH($A$110,BD!$AK$22:$AU$22,0))),"")</f>
        <v/>
      </c>
      <c r="E112" s="196"/>
      <c r="F112" s="197" t="str">
        <f>IF(F$3="","",IF(COUNTIFS(BD!$A$3:$A$5001,F$3,BD!$B$3:$B$5001,$A$110,BD!$H$3:$H$5001,"&lt;&gt;")=0,"",SUMIFS(BD!$H$3:$H$5001,BD!$A$3:$A$5001,F$3,BD!$B$3:$B$5001,$A$110)))</f>
        <v/>
      </c>
      <c r="G112" s="198" t="str">
        <f>IF(G$3="","",IF(COUNTIFS(BD!$A$3:$A$5001,G$3,BD!$B$3:$B$5001,$A$110,BD!$H$3:$H$5001,"&lt;&gt;")=0,"",SUMIFS(BD!$H$3:$H$5001,BD!$A$3:$A$5001,G$3,BD!$B$3:$B$5001,$A$110)))</f>
        <v/>
      </c>
      <c r="H112" s="198" t="str">
        <f>IF(H$3="","",IF(COUNTIFS(BD!$A$3:$A$5001,H$3,BD!$B$3:$B$5001,$A$110,BD!$H$3:$H$5001,"&lt;&gt;")=0,"",SUMIFS(BD!$H$3:$H$5001,BD!$A$3:$A$5001,H$3,BD!$B$3:$B$5001,$A$110)))</f>
        <v/>
      </c>
      <c r="I112" s="198" t="str">
        <f>IF(I$3="","",IF(COUNTIFS(BD!$A$3:$A$5001,I$3,BD!$B$3:$B$5001,$A$110,BD!$H$3:$H$5001,"&lt;&gt;")=0,"",SUMIFS(BD!$H$3:$H$5001,BD!$A$3:$A$5001,I$3,BD!$B$3:$B$5001,$A$110)))</f>
        <v/>
      </c>
      <c r="J112" s="198" t="str">
        <f>IF(J$3="","",IF(COUNTIFS(BD!$A$3:$A$5001,J$3,BD!$B$3:$B$5001,$A$110,BD!$H$3:$H$5001,"&lt;&gt;")=0,"",SUMIFS(BD!$H$3:$H$5001,BD!$A$3:$A$5001,J$3,BD!$B$3:$B$5001,$A$110)))</f>
        <v/>
      </c>
      <c r="K112" s="198" t="str">
        <f>IF(K$3="","",IF(COUNTIFS(BD!$A$3:$A$5001,K$3,BD!$B$3:$B$5001,$A$110,BD!$H$3:$H$5001,"&lt;&gt;")=0,"",SUMIFS(BD!$H$3:$H$5001,BD!$A$3:$A$5001,K$3,BD!$B$3:$B$5001,$A$110)))</f>
        <v/>
      </c>
      <c r="L112" s="198" t="str">
        <f>IF(L$3="","",IF(COUNTIFS(BD!$A$3:$A$5001,L$3,BD!$B$3:$B$5001,$A$110,BD!$H$3:$H$5001,"&lt;&gt;")=0,"",SUMIFS(BD!$H$3:$H$5001,BD!$A$3:$A$5001,L$3,BD!$B$3:$B$5001,$A$110)))</f>
        <v/>
      </c>
      <c r="M112" s="198" t="str">
        <f>IF(M$3="","",IF(COUNTIFS(BD!$A$3:$A$5001,M$3,BD!$B$3:$B$5001,$A$110,BD!$H$3:$H$5001,"&lt;&gt;")=0,"",SUMIFS(BD!$H$3:$H$5001,BD!$A$3:$A$5001,M$3,BD!$B$3:$B$5001,$A$110)))</f>
        <v/>
      </c>
      <c r="N112" s="198" t="str">
        <f>IF(N$3="","",IF(COUNTIFS(BD!$A$3:$A$5001,N$3,BD!$B$3:$B$5001,$A$110,BD!$H$3:$H$5001,"&lt;&gt;")=0,"",SUMIFS(BD!$H$3:$H$5001,BD!$A$3:$A$5001,N$3,BD!$B$3:$B$5001,$A$110)))</f>
        <v/>
      </c>
      <c r="O112" s="198" t="str">
        <f>IF(O$3="","",IF(COUNTIFS(BD!$A$3:$A$5001,O$3,BD!$B$3:$B$5001,$A$110,BD!$H$3:$H$5001,"&lt;&gt;")=0,"",SUMIFS(BD!$H$3:$H$5001,BD!$A$3:$A$5001,O$3,BD!$B$3:$B$5001,$A$110)))</f>
        <v/>
      </c>
      <c r="P112" s="198" t="str">
        <f>IF(P$3="","",IF(COUNTIFS(BD!$A$3:$A$5001,P$3,BD!$B$3:$B$5001,$A$110,BD!$H$3:$H$5001,"&lt;&gt;")=0,"",SUMIFS(BD!$H$3:$H$5001,BD!$A$3:$A$5001,P$3,BD!$B$3:$B$5001,$A$110)))</f>
        <v/>
      </c>
      <c r="Q112" s="198" t="str">
        <f>IF(Q$3="","",IF(COUNTIFS(BD!$A$3:$A$5001,Q$3,BD!$B$3:$B$5001,$A$110,BD!$H$3:$H$5001,"&lt;&gt;")=0,"",SUMIFS(BD!$H$3:$H$5001,BD!$A$3:$A$5001,Q$3,BD!$B$3:$B$5001,$A$110)))</f>
        <v/>
      </c>
      <c r="R112" s="198" t="str">
        <f>IF(R$3="","",IF(COUNTIFS(BD!$A$3:$A$5001,R$3,BD!$B$3:$B$5001,$A$110,BD!$H$3:$H$5001,"&lt;&gt;")=0,"",SUMIFS(BD!$H$3:$H$5001,BD!$A$3:$A$5001,R$3,BD!$B$3:$B$5001,$A$110)))</f>
        <v/>
      </c>
      <c r="S112" s="198" t="str">
        <f>IF(S$3="","",IF(COUNTIFS(BD!$A$3:$A$5001,S$3,BD!$B$3:$B$5001,$A$110,BD!$H$3:$H$5001,"&lt;&gt;")=0,"",SUMIFS(BD!$H$3:$H$5001,BD!$A$3:$A$5001,S$3,BD!$B$3:$B$5001,$A$110)))</f>
        <v/>
      </c>
      <c r="T112" s="198" t="str">
        <f>IF(T$3="","",IF(COUNTIFS(BD!$A$3:$A$5001,T$3,BD!$B$3:$B$5001,$A$110,BD!$H$3:$H$5001,"&lt;&gt;")=0,"",SUMIFS(BD!$H$3:$H$5001,BD!$A$3:$A$5001,T$3,BD!$B$3:$B$5001,$A$110)))</f>
        <v/>
      </c>
      <c r="U112" s="198" t="str">
        <f>IF(U$3="","",IF(COUNTIFS(BD!$A$3:$A$5001,U$3,BD!$B$3:$B$5001,$A$110,BD!$H$3:$H$5001,"&lt;&gt;")=0,"",SUMIFS(BD!$H$3:$H$5001,BD!$A$3:$A$5001,U$3,BD!$B$3:$B$5001,$A$110)))</f>
        <v/>
      </c>
      <c r="V112" s="198" t="str">
        <f>IF(V$3="","",IF(COUNTIFS(BD!$A$3:$A$5001,V$3,BD!$B$3:$B$5001,$A$110,BD!$H$3:$H$5001,"&lt;&gt;")=0,"",SUMIFS(BD!$H$3:$H$5001,BD!$A$3:$A$5001,V$3,BD!$B$3:$B$5001,$A$110)))</f>
        <v/>
      </c>
      <c r="W112" s="198" t="str">
        <f>IF(W$3="","",IF(COUNTIFS(BD!$A$3:$A$5001,W$3,BD!$B$3:$B$5001,$A$110,BD!$H$3:$H$5001,"&lt;&gt;")=0,"",SUMIFS(BD!$H$3:$H$5001,BD!$A$3:$A$5001,W$3,BD!$B$3:$B$5001,$A$110)))</f>
        <v/>
      </c>
      <c r="X112" s="198" t="str">
        <f>IF(X$3="","",IF(COUNTIFS(BD!$A$3:$A$5001,X$3,BD!$B$3:$B$5001,$A$110,BD!$H$3:$H$5001,"&lt;&gt;")=0,"",SUMIFS(BD!$H$3:$H$5001,BD!$A$3:$A$5001,X$3,BD!$B$3:$B$5001,$A$110)))</f>
        <v/>
      </c>
      <c r="Y112" s="198" t="str">
        <f>IF(Y$3="","",IF(COUNTIFS(BD!$A$3:$A$5001,Y$3,BD!$B$3:$B$5001,$A$110,BD!$H$3:$H$5001,"&lt;&gt;")=0,"",SUMIFS(BD!$H$3:$H$5001,BD!$A$3:$A$5001,Y$3,BD!$B$3:$B$5001,$A$110)))</f>
        <v/>
      </c>
      <c r="Z112" s="198" t="str">
        <f>IF(Z$3="","",IF(COUNTIFS(BD!$A$3:$A$5001,Z$3,BD!$B$3:$B$5001,$A$110,BD!$H$3:$H$5001,"&lt;&gt;")=0,"",SUMIFS(BD!$H$3:$H$5001,BD!$A$3:$A$5001,Z$3,BD!$B$3:$B$5001,$A$110)))</f>
        <v/>
      </c>
      <c r="AA112" s="198" t="str">
        <f>IF(AA$3="","",IF(COUNTIFS(BD!$A$3:$A$5001,AA$3,BD!$B$3:$B$5001,$A$110,BD!$H$3:$H$5001,"&lt;&gt;")=0,"",SUMIFS(BD!$H$3:$H$5001,BD!$A$3:$A$5001,AA$3,BD!$B$3:$B$5001,$A$110)))</f>
        <v/>
      </c>
      <c r="AB112" s="198" t="str">
        <f>IF(AB$3="","",IF(COUNTIFS(BD!$A$3:$A$5001,AB$3,BD!$B$3:$B$5001,$A$110,BD!$H$3:$H$5001,"&lt;&gt;")=0,"",SUMIFS(BD!$H$3:$H$5001,BD!$A$3:$A$5001,AB$3,BD!$B$3:$B$5001,$A$110)))</f>
        <v/>
      </c>
      <c r="AC112" s="198" t="str">
        <f>IF(AC$3="","",IF(COUNTIFS(BD!$A$3:$A$5001,AC$3,BD!$B$3:$B$5001,$A$110,BD!$H$3:$H$5001,"&lt;&gt;")=0,"",SUMIFS(BD!$H$3:$H$5001,BD!$A$3:$A$5001,AC$3,BD!$B$3:$B$5001,$A$110)))</f>
        <v/>
      </c>
      <c r="AD112" s="198" t="str">
        <f>IF(AD$3="","",IF(COUNTIFS(BD!$A$3:$A$5001,AD$3,BD!$B$3:$B$5001,$A$110,BD!$H$3:$H$5001,"&lt;&gt;")=0,"",SUMIFS(BD!$H$3:$H$5001,BD!$A$3:$A$5001,AD$3,BD!$B$3:$B$5001,$A$110)))</f>
        <v/>
      </c>
      <c r="AE112" s="198" t="str">
        <f>IF(AE$3="","",IF(COUNTIFS(BD!$A$3:$A$5001,AE$3,BD!$B$3:$B$5001,$A$110,BD!$H$3:$H$5001,"&lt;&gt;")=0,"",SUMIFS(BD!$H$3:$H$5001,BD!$A$3:$A$5001,AE$3,BD!$B$3:$B$5001,$A$110)))</f>
        <v/>
      </c>
      <c r="AF112" s="198" t="str">
        <f>IF(AF$3="","",IF(COUNTIFS(BD!$A$3:$A$5001,AF$3,BD!$B$3:$B$5001,$A$110,BD!$H$3:$H$5001,"&lt;&gt;")=0,"",SUMIFS(BD!$H$3:$H$5001,BD!$A$3:$A$5001,AF$3,BD!$B$3:$B$5001,$A$110)))</f>
        <v/>
      </c>
      <c r="AG112" s="198" t="str">
        <f>IF(AG$3="","",IF(COUNTIFS(BD!$A$3:$A$5001,AG$3,BD!$B$3:$B$5001,$A$110,BD!$H$3:$H$5001,"&lt;&gt;")=0,"",SUMIFS(BD!$H$3:$H$5001,BD!$A$3:$A$5001,AG$3,BD!$B$3:$B$5001,$A$110)))</f>
        <v/>
      </c>
      <c r="AH112" s="198" t="str">
        <f>IF(AH$3="","",IF(COUNTIFS(BD!$A$3:$A$5001,AH$3,BD!$B$3:$B$5001,$A$110,BD!$H$3:$H$5001,"&lt;&gt;")=0,"",SUMIFS(BD!$H$3:$H$5001,BD!$A$3:$A$5001,AH$3,BD!$B$3:$B$5001,$A$110)))</f>
        <v/>
      </c>
      <c r="AI112" s="198" t="str">
        <f>IF(AI$3="","",IF(COUNTIFS(BD!$A$3:$A$5001,AI$3,BD!$B$3:$B$5001,$A$110,BD!$H$3:$H$5001,"&lt;&gt;")=0,"",SUMIFS(BD!$H$3:$H$5001,BD!$A$3:$A$5001,AI$3,BD!$B$3:$B$5001,$A$110)))</f>
        <v/>
      </c>
      <c r="AJ112" s="199" t="str">
        <f>IF(AJ$3="","",IF(COUNTIFS(BD!$A$3:$A$5001,AJ$3,BD!$B$3:$B$5001,$A$110,BD!$H$3:$H$5001,"&lt;&gt;")=0,"",SUMIFS(BD!$H$3:$H$5001,BD!$A$3:$A$5001,AJ$3,BD!$B$3:$B$5001,$A$110)))</f>
        <v/>
      </c>
      <c r="AK112" s="200" t="str">
        <f>IF(COUNT(F112:AJ112)=0,"",SUM(F112:AJ112))</f>
        <v/>
      </c>
    </row>
    <row r="113" ht="15.75" customHeight="1">
      <c r="A113" s="237"/>
      <c r="B113" s="226"/>
      <c r="C113" s="155" t="inlineStr">
        <is>
          <t xml:space="preserve">Linhas NF</t>
        </is>
      </c>
      <c r="D113" s="156" t="str">
        <f>IFERROR(1/(1/INDEX(BD!$AK$26:$AU$26,MATCH($A$110,BD!$AK$22:$AU$22,0))),"")</f>
        <v/>
      </c>
      <c r="E113" s="157"/>
      <c r="F113" s="158" t="str">
        <f>IF(F$3="","",IF(COUNTIFS(BD!$A$3:$A$5001,F$3,BD!$B$3:$B$5001,$A$110,BD!$F$3:$F$5001,"&lt;&gt;")=0,"",SUMIFS(BD!$F$3:$F$5001,BD!$A$3:$A$5001,F$3,BD!$B$3:$B$5001,$A$110)))</f>
        <v/>
      </c>
      <c r="G113" s="159" t="str">
        <f>IF(G$3="","",IF(COUNTIFS(BD!$A$3:$A$5001,G$3,BD!$B$3:$B$5001,$A$110,BD!$F$3:$F$5001,"&lt;&gt;")=0,"",SUMIFS(BD!$F$3:$F$5001,BD!$A$3:$A$5001,G$3,BD!$B$3:$B$5001,$A$110)))</f>
        <v/>
      </c>
      <c r="H113" s="159" t="str">
        <f>IF(H$3="","",IF(COUNTIFS(BD!$A$3:$A$5001,H$3,BD!$B$3:$B$5001,$A$110,BD!$F$3:$F$5001,"&lt;&gt;")=0,"",SUMIFS(BD!$F$3:$F$5001,BD!$A$3:$A$5001,H$3,BD!$B$3:$B$5001,$A$110)))</f>
        <v/>
      </c>
      <c r="I113" s="159" t="str">
        <f>IF(I$3="","",IF(COUNTIFS(BD!$A$3:$A$5001,I$3,BD!$B$3:$B$5001,$A$110,BD!$F$3:$F$5001,"&lt;&gt;")=0,"",SUMIFS(BD!$F$3:$F$5001,BD!$A$3:$A$5001,I$3,BD!$B$3:$B$5001,$A$110)))</f>
        <v/>
      </c>
      <c r="J113" s="159" t="str">
        <f>IF(J$3="","",IF(COUNTIFS(BD!$A$3:$A$5001,J$3,BD!$B$3:$B$5001,$A$110,BD!$F$3:$F$5001,"&lt;&gt;")=0,"",SUMIFS(BD!$F$3:$F$5001,BD!$A$3:$A$5001,J$3,BD!$B$3:$B$5001,$A$110)))</f>
        <v/>
      </c>
      <c r="K113" s="159" t="str">
        <f>IF(K$3="","",IF(COUNTIFS(BD!$A$3:$A$5001,K$3,BD!$B$3:$B$5001,$A$110,BD!$F$3:$F$5001,"&lt;&gt;")=0,"",SUMIFS(BD!$F$3:$F$5001,BD!$A$3:$A$5001,K$3,BD!$B$3:$B$5001,$A$110)))</f>
        <v/>
      </c>
      <c r="L113" s="159" t="str">
        <f>IF(L$3="","",IF(COUNTIFS(BD!$A$3:$A$5001,L$3,BD!$B$3:$B$5001,$A$110,BD!$F$3:$F$5001,"&lt;&gt;")=0,"",SUMIFS(BD!$F$3:$F$5001,BD!$A$3:$A$5001,L$3,BD!$B$3:$B$5001,$A$110)))</f>
        <v/>
      </c>
      <c r="M113" s="159" t="str">
        <f>IF(M$3="","",IF(COUNTIFS(BD!$A$3:$A$5001,M$3,BD!$B$3:$B$5001,$A$110,BD!$F$3:$F$5001,"&lt;&gt;")=0,"",SUMIFS(BD!$F$3:$F$5001,BD!$A$3:$A$5001,M$3,BD!$B$3:$B$5001,$A$110)))</f>
        <v/>
      </c>
      <c r="N113" s="159" t="str">
        <f>IF(N$3="","",IF(COUNTIFS(BD!$A$3:$A$5001,N$3,BD!$B$3:$B$5001,$A$110,BD!$F$3:$F$5001,"&lt;&gt;")=0,"",SUMIFS(BD!$F$3:$F$5001,BD!$A$3:$A$5001,N$3,BD!$B$3:$B$5001,$A$110)))</f>
        <v/>
      </c>
      <c r="O113" s="159" t="str">
        <f>IF(O$3="","",IF(COUNTIFS(BD!$A$3:$A$5001,O$3,BD!$B$3:$B$5001,$A$110,BD!$F$3:$F$5001,"&lt;&gt;")=0,"",SUMIFS(BD!$F$3:$F$5001,BD!$A$3:$A$5001,O$3,BD!$B$3:$B$5001,$A$110)))</f>
        <v/>
      </c>
      <c r="P113" s="159" t="str">
        <f>IF(P$3="","",IF(COUNTIFS(BD!$A$3:$A$5001,P$3,BD!$B$3:$B$5001,$A$110,BD!$F$3:$F$5001,"&lt;&gt;")=0,"",SUMIFS(BD!$F$3:$F$5001,BD!$A$3:$A$5001,P$3,BD!$B$3:$B$5001,$A$110)))</f>
        <v/>
      </c>
      <c r="Q113" s="159" t="str">
        <f>IF(Q$3="","",IF(COUNTIFS(BD!$A$3:$A$5001,Q$3,BD!$B$3:$B$5001,$A$110,BD!$F$3:$F$5001,"&lt;&gt;")=0,"",SUMIFS(BD!$F$3:$F$5001,BD!$A$3:$A$5001,Q$3,BD!$B$3:$B$5001,$A$110)))</f>
        <v/>
      </c>
      <c r="R113" s="159" t="str">
        <f>IF(R$3="","",IF(COUNTIFS(BD!$A$3:$A$5001,R$3,BD!$B$3:$B$5001,$A$110,BD!$F$3:$F$5001,"&lt;&gt;")=0,"",SUMIFS(BD!$F$3:$F$5001,BD!$A$3:$A$5001,R$3,BD!$B$3:$B$5001,$A$110)))</f>
        <v/>
      </c>
      <c r="S113" s="159" t="str">
        <f>IF(S$3="","",IF(COUNTIFS(BD!$A$3:$A$5001,S$3,BD!$B$3:$B$5001,$A$110,BD!$F$3:$F$5001,"&lt;&gt;")=0,"",SUMIFS(BD!$F$3:$F$5001,BD!$A$3:$A$5001,S$3,BD!$B$3:$B$5001,$A$110)))</f>
        <v/>
      </c>
      <c r="T113" s="159" t="str">
        <f>IF(T$3="","",IF(COUNTIFS(BD!$A$3:$A$5001,T$3,BD!$B$3:$B$5001,$A$110,BD!$F$3:$F$5001,"&lt;&gt;")=0,"",SUMIFS(BD!$F$3:$F$5001,BD!$A$3:$A$5001,T$3,BD!$B$3:$B$5001,$A$110)))</f>
        <v/>
      </c>
      <c r="U113" s="159" t="str">
        <f>IF(U$3="","",IF(COUNTIFS(BD!$A$3:$A$5001,U$3,BD!$B$3:$B$5001,$A$110,BD!$F$3:$F$5001,"&lt;&gt;")=0,"",SUMIFS(BD!$F$3:$F$5001,BD!$A$3:$A$5001,U$3,BD!$B$3:$B$5001,$A$110)))</f>
        <v/>
      </c>
      <c r="V113" s="159" t="str">
        <f>IF(V$3="","",IF(COUNTIFS(BD!$A$3:$A$5001,V$3,BD!$B$3:$B$5001,$A$110,BD!$F$3:$F$5001,"&lt;&gt;")=0,"",SUMIFS(BD!$F$3:$F$5001,BD!$A$3:$A$5001,V$3,BD!$B$3:$B$5001,$A$110)))</f>
        <v/>
      </c>
      <c r="W113" s="159" t="str">
        <f>IF(W$3="","",IF(COUNTIFS(BD!$A$3:$A$5001,W$3,BD!$B$3:$B$5001,$A$110,BD!$F$3:$F$5001,"&lt;&gt;")=0,"",SUMIFS(BD!$F$3:$F$5001,BD!$A$3:$A$5001,W$3,BD!$B$3:$B$5001,$A$110)))</f>
        <v/>
      </c>
      <c r="X113" s="159" t="str">
        <f>IF(X$3="","",IF(COUNTIFS(BD!$A$3:$A$5001,X$3,BD!$B$3:$B$5001,$A$110,BD!$F$3:$F$5001,"&lt;&gt;")=0,"",SUMIFS(BD!$F$3:$F$5001,BD!$A$3:$A$5001,X$3,BD!$B$3:$B$5001,$A$110)))</f>
        <v/>
      </c>
      <c r="Y113" s="159" t="str">
        <f>IF(Y$3="","",IF(COUNTIFS(BD!$A$3:$A$5001,Y$3,BD!$B$3:$B$5001,$A$110,BD!$F$3:$F$5001,"&lt;&gt;")=0,"",SUMIFS(BD!$F$3:$F$5001,BD!$A$3:$A$5001,Y$3,BD!$B$3:$B$5001,$A$110)))</f>
        <v/>
      </c>
      <c r="Z113" s="159" t="str">
        <f>IF(Z$3="","",IF(COUNTIFS(BD!$A$3:$A$5001,Z$3,BD!$B$3:$B$5001,$A$110,BD!$F$3:$F$5001,"&lt;&gt;")=0,"",SUMIFS(BD!$F$3:$F$5001,BD!$A$3:$A$5001,Z$3,BD!$B$3:$B$5001,$A$110)))</f>
        <v/>
      </c>
      <c r="AA113" s="159" t="str">
        <f>IF(AA$3="","",IF(COUNTIFS(BD!$A$3:$A$5001,AA$3,BD!$B$3:$B$5001,$A$110,BD!$F$3:$F$5001,"&lt;&gt;")=0,"",SUMIFS(BD!$F$3:$F$5001,BD!$A$3:$A$5001,AA$3,BD!$B$3:$B$5001,$A$110)))</f>
        <v/>
      </c>
      <c r="AB113" s="159" t="str">
        <f>IF(AB$3="","",IF(COUNTIFS(BD!$A$3:$A$5001,AB$3,BD!$B$3:$B$5001,$A$110,BD!$F$3:$F$5001,"&lt;&gt;")=0,"",SUMIFS(BD!$F$3:$F$5001,BD!$A$3:$A$5001,AB$3,BD!$B$3:$B$5001,$A$110)))</f>
        <v/>
      </c>
      <c r="AC113" s="159" t="str">
        <f>IF(AC$3="","",IF(COUNTIFS(BD!$A$3:$A$5001,AC$3,BD!$B$3:$B$5001,$A$110,BD!$F$3:$F$5001,"&lt;&gt;")=0,"",SUMIFS(BD!$F$3:$F$5001,BD!$A$3:$A$5001,AC$3,BD!$B$3:$B$5001,$A$110)))</f>
        <v/>
      </c>
      <c r="AD113" s="159" t="str">
        <f>IF(AD$3="","",IF(COUNTIFS(BD!$A$3:$A$5001,AD$3,BD!$B$3:$B$5001,$A$110,BD!$F$3:$F$5001,"&lt;&gt;")=0,"",SUMIFS(BD!$F$3:$F$5001,BD!$A$3:$A$5001,AD$3,BD!$B$3:$B$5001,$A$110)))</f>
        <v/>
      </c>
      <c r="AE113" s="159" t="str">
        <f>IF(AE$3="","",IF(COUNTIFS(BD!$A$3:$A$5001,AE$3,BD!$B$3:$B$5001,$A$110,BD!$F$3:$F$5001,"&lt;&gt;")=0,"",SUMIFS(BD!$F$3:$F$5001,BD!$A$3:$A$5001,AE$3,BD!$B$3:$B$5001,$A$110)))</f>
        <v/>
      </c>
      <c r="AF113" s="159" t="str">
        <f>IF(AF$3="","",IF(COUNTIFS(BD!$A$3:$A$5001,AF$3,BD!$B$3:$B$5001,$A$110,BD!$F$3:$F$5001,"&lt;&gt;")=0,"",SUMIFS(BD!$F$3:$F$5001,BD!$A$3:$A$5001,AF$3,BD!$B$3:$B$5001,$A$110)))</f>
        <v/>
      </c>
      <c r="AG113" s="159" t="str">
        <f>IF(AG$3="","",IF(COUNTIFS(BD!$A$3:$A$5001,AG$3,BD!$B$3:$B$5001,$A$110,BD!$F$3:$F$5001,"&lt;&gt;")=0,"",SUMIFS(BD!$F$3:$F$5001,BD!$A$3:$A$5001,AG$3,BD!$B$3:$B$5001,$A$110)))</f>
        <v/>
      </c>
      <c r="AH113" s="159" t="str">
        <f>IF(AH$3="","",IF(COUNTIFS(BD!$A$3:$A$5001,AH$3,BD!$B$3:$B$5001,$A$110,BD!$F$3:$F$5001,"&lt;&gt;")=0,"",SUMIFS(BD!$F$3:$F$5001,BD!$A$3:$A$5001,AH$3,BD!$B$3:$B$5001,$A$110)))</f>
        <v/>
      </c>
      <c r="AI113" s="159" t="str">
        <f>IF(AI$3="","",IF(COUNTIFS(BD!$A$3:$A$5001,AI$3,BD!$B$3:$B$5001,$A$110,BD!$F$3:$F$5001,"&lt;&gt;")=0,"",SUMIFS(BD!$F$3:$F$5001,BD!$A$3:$A$5001,AI$3,BD!$B$3:$B$5001,$A$110)))</f>
        <v/>
      </c>
      <c r="AJ113" s="160" t="str">
        <f>IF(AJ$3="","",IF(COUNTIFS(BD!$A$3:$A$5001,AJ$3,BD!$B$3:$B$5001,$A$110,BD!$F$3:$F$5001,"&lt;&gt;")=0,"",SUMIFS(BD!$F$3:$F$5001,BD!$A$3:$A$5001,AJ$3,BD!$B$3:$B$5001,$A$110)))</f>
        <v/>
      </c>
      <c r="AK113" s="156" t="str">
        <f>IF(COUNT(F113:AJ113)=0,"",SUM(F113:AJ113))</f>
        <v/>
      </c>
    </row>
    <row r="114" ht="15.75" customHeight="1">
      <c r="A114" s="237"/>
      <c r="B114" s="227" t="inlineStr">
        <is>
          <t xml:space="preserve">OUT</t>
        </is>
      </c>
      <c r="C114" s="161" t="inlineStr">
        <is>
          <t xml:space="preserve">Veículos Expedidos</t>
        </is>
      </c>
      <c r="D114" s="162" t="str">
        <f>IFERROR(1/(1/INDEX(BD!$AK$32:$AU$32,MATCH($A$110,BD!$AK$22:$AU$22,0))),"")</f>
        <v/>
      </c>
      <c r="E114" s="163"/>
      <c r="F114" s="164" t="str">
        <f>IF(F$3="","",IF(COUNTIFS(BD!$A$3:$A$5001,F$3,BD!$B$3:$B$5001,$A$110,BD!$L$3:$L$5001,"&lt;&gt;")=0,"",SUMIFS(BD!$L$3:$L$5001,BD!$A$3:$A$5001,F$3,BD!$B$3:$B$5001,$A$110)))</f>
        <v/>
      </c>
      <c r="G114" s="165" t="str">
        <f>IF(G$3="","",IF(COUNTIFS(BD!$A$3:$A$5001,G$3,BD!$B$3:$B$5001,$A$110,BD!$L$3:$L$5001,"&lt;&gt;")=0,"",SUMIFS(BD!$L$3:$L$5001,BD!$A$3:$A$5001,G$3,BD!$B$3:$B$5001,$A$110)))</f>
        <v/>
      </c>
      <c r="H114" s="165" t="str">
        <f>IF(H$3="","",IF(COUNTIFS(BD!$A$3:$A$5001,H$3,BD!$B$3:$B$5001,$A$110,BD!$L$3:$L$5001,"&lt;&gt;")=0,"",SUMIFS(BD!$L$3:$L$5001,BD!$A$3:$A$5001,H$3,BD!$B$3:$B$5001,$A$110)))</f>
        <v/>
      </c>
      <c r="I114" s="165" t="str">
        <f>IF(I$3="","",IF(COUNTIFS(BD!$A$3:$A$5001,I$3,BD!$B$3:$B$5001,$A$110,BD!$L$3:$L$5001,"&lt;&gt;")=0,"",SUMIFS(BD!$L$3:$L$5001,BD!$A$3:$A$5001,I$3,BD!$B$3:$B$5001,$A$110)))</f>
        <v/>
      </c>
      <c r="J114" s="165" t="str">
        <f>IF(J$3="","",IF(COUNTIFS(BD!$A$3:$A$5001,J$3,BD!$B$3:$B$5001,$A$110,BD!$L$3:$L$5001,"&lt;&gt;")=0,"",SUMIFS(BD!$L$3:$L$5001,BD!$A$3:$A$5001,J$3,BD!$B$3:$B$5001,$A$110)))</f>
        <v/>
      </c>
      <c r="K114" s="165" t="str">
        <f>IF(K$3="","",IF(COUNTIFS(BD!$A$3:$A$5001,K$3,BD!$B$3:$B$5001,$A$110,BD!$L$3:$L$5001,"&lt;&gt;")=0,"",SUMIFS(BD!$L$3:$L$5001,BD!$A$3:$A$5001,K$3,BD!$B$3:$B$5001,$A$110)))</f>
        <v/>
      </c>
      <c r="L114" s="165" t="str">
        <f>IF(L$3="","",IF(COUNTIFS(BD!$A$3:$A$5001,L$3,BD!$B$3:$B$5001,$A$110,BD!$L$3:$L$5001,"&lt;&gt;")=0,"",SUMIFS(BD!$L$3:$L$5001,BD!$A$3:$A$5001,L$3,BD!$B$3:$B$5001,$A$110)))</f>
        <v/>
      </c>
      <c r="M114" s="165" t="str">
        <f>IF(M$3="","",IF(COUNTIFS(BD!$A$3:$A$5001,M$3,BD!$B$3:$B$5001,$A$110,BD!$L$3:$L$5001,"&lt;&gt;")=0,"",SUMIFS(BD!$L$3:$L$5001,BD!$A$3:$A$5001,M$3,BD!$B$3:$B$5001,$A$110)))</f>
        <v/>
      </c>
      <c r="N114" s="165" t="str">
        <f>IF(N$3="","",IF(COUNTIFS(BD!$A$3:$A$5001,N$3,BD!$B$3:$B$5001,$A$110,BD!$L$3:$L$5001,"&lt;&gt;")=0,"",SUMIFS(BD!$L$3:$L$5001,BD!$A$3:$A$5001,N$3,BD!$B$3:$B$5001,$A$110)))</f>
        <v/>
      </c>
      <c r="O114" s="165" t="str">
        <f>IF(O$3="","",IF(COUNTIFS(BD!$A$3:$A$5001,O$3,BD!$B$3:$B$5001,$A$110,BD!$L$3:$L$5001,"&lt;&gt;")=0,"",SUMIFS(BD!$L$3:$L$5001,BD!$A$3:$A$5001,O$3,BD!$B$3:$B$5001,$A$110)))</f>
        <v/>
      </c>
      <c r="P114" s="165" t="str">
        <f>IF(P$3="","",IF(COUNTIFS(BD!$A$3:$A$5001,P$3,BD!$B$3:$B$5001,$A$110,BD!$L$3:$L$5001,"&lt;&gt;")=0,"",SUMIFS(BD!$L$3:$L$5001,BD!$A$3:$A$5001,P$3,BD!$B$3:$B$5001,$A$110)))</f>
        <v/>
      </c>
      <c r="Q114" s="165" t="str">
        <f>IF(Q$3="","",IF(COUNTIFS(BD!$A$3:$A$5001,Q$3,BD!$B$3:$B$5001,$A$110,BD!$L$3:$L$5001,"&lt;&gt;")=0,"",SUMIFS(BD!$L$3:$L$5001,BD!$A$3:$A$5001,Q$3,BD!$B$3:$B$5001,$A$110)))</f>
        <v/>
      </c>
      <c r="R114" s="165" t="str">
        <f>IF(R$3="","",IF(COUNTIFS(BD!$A$3:$A$5001,R$3,BD!$B$3:$B$5001,$A$110,BD!$L$3:$L$5001,"&lt;&gt;")=0,"",SUMIFS(BD!$L$3:$L$5001,BD!$A$3:$A$5001,R$3,BD!$B$3:$B$5001,$A$110)))</f>
        <v/>
      </c>
      <c r="S114" s="165" t="str">
        <f>IF(S$3="","",IF(COUNTIFS(BD!$A$3:$A$5001,S$3,BD!$B$3:$B$5001,$A$110,BD!$L$3:$L$5001,"&lt;&gt;")=0,"",SUMIFS(BD!$L$3:$L$5001,BD!$A$3:$A$5001,S$3,BD!$B$3:$B$5001,$A$110)))</f>
        <v/>
      </c>
      <c r="T114" s="165" t="str">
        <f>IF(T$3="","",IF(COUNTIFS(BD!$A$3:$A$5001,T$3,BD!$B$3:$B$5001,$A$110,BD!$L$3:$L$5001,"&lt;&gt;")=0,"",SUMIFS(BD!$L$3:$L$5001,BD!$A$3:$A$5001,T$3,BD!$B$3:$B$5001,$A$110)))</f>
        <v/>
      </c>
      <c r="U114" s="165" t="str">
        <f>IF(U$3="","",IF(COUNTIFS(BD!$A$3:$A$5001,U$3,BD!$B$3:$B$5001,$A$110,BD!$L$3:$L$5001,"&lt;&gt;")=0,"",SUMIFS(BD!$L$3:$L$5001,BD!$A$3:$A$5001,U$3,BD!$B$3:$B$5001,$A$110)))</f>
        <v/>
      </c>
      <c r="V114" s="165" t="str">
        <f>IF(V$3="","",IF(COUNTIFS(BD!$A$3:$A$5001,V$3,BD!$B$3:$B$5001,$A$110,BD!$L$3:$L$5001,"&lt;&gt;")=0,"",SUMIFS(BD!$L$3:$L$5001,BD!$A$3:$A$5001,V$3,BD!$B$3:$B$5001,$A$110)))</f>
        <v/>
      </c>
      <c r="W114" s="165" t="str">
        <f>IF(W$3="","",IF(COUNTIFS(BD!$A$3:$A$5001,W$3,BD!$B$3:$B$5001,$A$110,BD!$L$3:$L$5001,"&lt;&gt;")=0,"",SUMIFS(BD!$L$3:$L$5001,BD!$A$3:$A$5001,W$3,BD!$B$3:$B$5001,$A$110)))</f>
        <v/>
      </c>
      <c r="X114" s="165" t="str">
        <f>IF(X$3="","",IF(COUNTIFS(BD!$A$3:$A$5001,X$3,BD!$B$3:$B$5001,$A$110,BD!$L$3:$L$5001,"&lt;&gt;")=0,"",SUMIFS(BD!$L$3:$L$5001,BD!$A$3:$A$5001,X$3,BD!$B$3:$B$5001,$A$110)))</f>
        <v/>
      </c>
      <c r="Y114" s="165" t="str">
        <f>IF(Y$3="","",IF(COUNTIFS(BD!$A$3:$A$5001,Y$3,BD!$B$3:$B$5001,$A$110,BD!$L$3:$L$5001,"&lt;&gt;")=0,"",SUMIFS(BD!$L$3:$L$5001,BD!$A$3:$A$5001,Y$3,BD!$B$3:$B$5001,$A$110)))</f>
        <v/>
      </c>
      <c r="Z114" s="165" t="str">
        <f>IF(Z$3="","",IF(COUNTIFS(BD!$A$3:$A$5001,Z$3,BD!$B$3:$B$5001,$A$110,BD!$L$3:$L$5001,"&lt;&gt;")=0,"",SUMIFS(BD!$L$3:$L$5001,BD!$A$3:$A$5001,Z$3,BD!$B$3:$B$5001,$A$110)))</f>
        <v/>
      </c>
      <c r="AA114" s="165" t="str">
        <f>IF(AA$3="","",IF(COUNTIFS(BD!$A$3:$A$5001,AA$3,BD!$B$3:$B$5001,$A$110,BD!$L$3:$L$5001,"&lt;&gt;")=0,"",SUMIFS(BD!$L$3:$L$5001,BD!$A$3:$A$5001,AA$3,BD!$B$3:$B$5001,$A$110)))</f>
        <v/>
      </c>
      <c r="AB114" s="165" t="str">
        <f>IF(AB$3="","",IF(COUNTIFS(BD!$A$3:$A$5001,AB$3,BD!$B$3:$B$5001,$A$110,BD!$L$3:$L$5001,"&lt;&gt;")=0,"",SUMIFS(BD!$L$3:$L$5001,BD!$A$3:$A$5001,AB$3,BD!$B$3:$B$5001,$A$110)))</f>
        <v/>
      </c>
      <c r="AC114" s="165" t="str">
        <f>IF(AC$3="","",IF(COUNTIFS(BD!$A$3:$A$5001,AC$3,BD!$B$3:$B$5001,$A$110,BD!$L$3:$L$5001,"&lt;&gt;")=0,"",SUMIFS(BD!$L$3:$L$5001,BD!$A$3:$A$5001,AC$3,BD!$B$3:$B$5001,$A$110)))</f>
        <v/>
      </c>
      <c r="AD114" s="165" t="str">
        <f>IF(AD$3="","",IF(COUNTIFS(BD!$A$3:$A$5001,AD$3,BD!$B$3:$B$5001,$A$110,BD!$L$3:$L$5001,"&lt;&gt;")=0,"",SUMIFS(BD!$L$3:$L$5001,BD!$A$3:$A$5001,AD$3,BD!$B$3:$B$5001,$A$110)))</f>
        <v/>
      </c>
      <c r="AE114" s="165" t="str">
        <f>IF(AE$3="","",IF(COUNTIFS(BD!$A$3:$A$5001,AE$3,BD!$B$3:$B$5001,$A$110,BD!$L$3:$L$5001,"&lt;&gt;")=0,"",SUMIFS(BD!$L$3:$L$5001,BD!$A$3:$A$5001,AE$3,BD!$B$3:$B$5001,$A$110)))</f>
        <v/>
      </c>
      <c r="AF114" s="165" t="str">
        <f>IF(AF$3="","",IF(COUNTIFS(BD!$A$3:$A$5001,AF$3,BD!$B$3:$B$5001,$A$110,BD!$L$3:$L$5001,"&lt;&gt;")=0,"",SUMIFS(BD!$L$3:$L$5001,BD!$A$3:$A$5001,AF$3,BD!$B$3:$B$5001,$A$110)))</f>
        <v/>
      </c>
      <c r="AG114" s="165" t="str">
        <f>IF(AG$3="","",IF(COUNTIFS(BD!$A$3:$A$5001,AG$3,BD!$B$3:$B$5001,$A$110,BD!$L$3:$L$5001,"&lt;&gt;")=0,"",SUMIFS(BD!$L$3:$L$5001,BD!$A$3:$A$5001,AG$3,BD!$B$3:$B$5001,$A$110)))</f>
        <v/>
      </c>
      <c r="AH114" s="165" t="str">
        <f>IF(AH$3="","",IF(COUNTIFS(BD!$A$3:$A$5001,AH$3,BD!$B$3:$B$5001,$A$110,BD!$L$3:$L$5001,"&lt;&gt;")=0,"",SUMIFS(BD!$L$3:$L$5001,BD!$A$3:$A$5001,AH$3,BD!$B$3:$B$5001,$A$110)))</f>
        <v/>
      </c>
      <c r="AI114" s="165" t="str">
        <f>IF(AI$3="","",IF(COUNTIFS(BD!$A$3:$A$5001,AI$3,BD!$B$3:$B$5001,$A$110,BD!$L$3:$L$5001,"&lt;&gt;")=0,"",SUMIFS(BD!$L$3:$L$5001,BD!$A$3:$A$5001,AI$3,BD!$B$3:$B$5001,$A$110)))</f>
        <v/>
      </c>
      <c r="AJ114" s="166" t="str">
        <f>IF(AJ$3="","",IF(COUNTIFS(BD!$A$3:$A$5001,AJ$3,BD!$B$3:$B$5001,$A$110,BD!$L$3:$L$5001,"&lt;&gt;")=0,"",SUMIFS(BD!$L$3:$L$5001,BD!$A$3:$A$5001,AJ$3,BD!$B$3:$B$5001,$A$110)))</f>
        <v/>
      </c>
      <c r="AK114" s="167" t="str">
        <f>IF(COUNT(F114:AJ114)=0,"",SUM(F114:AJ114))</f>
        <v/>
      </c>
    </row>
    <row r="115" ht="15.75" customHeight="1">
      <c r="A115" s="237"/>
      <c r="B115" s="254"/>
      <c r="C115" s="243" t="inlineStr">
        <is>
          <t xml:space="preserve">Pallets Movimentados</t>
        </is>
      </c>
      <c r="D115" s="244" t="str">
        <f>IFERROR(1/(1/INDEX(BD!$AK$39:$AU$39,MATCH($A$110,BD!$AK$22:$AU$22,0))),"")</f>
        <v/>
      </c>
      <c r="E115" s="245"/>
      <c r="F115" s="246" t="str">
        <f>IF(F$3="","",IF(COUNTIFS(BD!$A$3:$A$5001,F$3,BD!$B$3:$B$5001,$A$110,BD!$S$3:$S$5001,"&lt;&gt;")=0,"",SUMIFS(BD!$S$3:$S$5001,BD!$A$3:$A$5001,F$3,BD!$B$3:$B$5001,$A$110)))</f>
        <v/>
      </c>
      <c r="G115" s="247" t="str">
        <f>IF(G$3="","",IF(COUNTIFS(BD!$A$3:$A$5001,G$3,BD!$B$3:$B$5001,$A$110,BD!$S$3:$S$5001,"&lt;&gt;")=0,"",SUMIFS(BD!$S$3:$S$5001,BD!$A$3:$A$5001,G$3,BD!$B$3:$B$5001,$A$110)))</f>
        <v/>
      </c>
      <c r="H115" s="247" t="str">
        <f>IF(H$3="","",IF(COUNTIFS(BD!$A$3:$A$5001,H$3,BD!$B$3:$B$5001,$A$110,BD!$S$3:$S$5001,"&lt;&gt;")=0,"",SUMIFS(BD!$S$3:$S$5001,BD!$A$3:$A$5001,H$3,BD!$B$3:$B$5001,$A$110)))</f>
        <v/>
      </c>
      <c r="I115" s="247" t="str">
        <f>IF(I$3="","",IF(COUNTIFS(BD!$A$3:$A$5001,I$3,BD!$B$3:$B$5001,$A$110,BD!$S$3:$S$5001,"&lt;&gt;")=0,"",SUMIFS(BD!$S$3:$S$5001,BD!$A$3:$A$5001,I$3,BD!$B$3:$B$5001,$A$110)))</f>
        <v/>
      </c>
      <c r="J115" s="247" t="str">
        <f>IF(J$3="","",IF(COUNTIFS(BD!$A$3:$A$5001,J$3,BD!$B$3:$B$5001,$A$110,BD!$S$3:$S$5001,"&lt;&gt;")=0,"",SUMIFS(BD!$S$3:$S$5001,BD!$A$3:$A$5001,J$3,BD!$B$3:$B$5001,$A$110)))</f>
        <v/>
      </c>
      <c r="K115" s="247" t="str">
        <f>IF(K$3="","",IF(COUNTIFS(BD!$A$3:$A$5001,K$3,BD!$B$3:$B$5001,$A$110,BD!$S$3:$S$5001,"&lt;&gt;")=0,"",SUMIFS(BD!$S$3:$S$5001,BD!$A$3:$A$5001,K$3,BD!$B$3:$B$5001,$A$110)))</f>
        <v/>
      </c>
      <c r="L115" s="247" t="str">
        <f>IF(L$3="","",IF(COUNTIFS(BD!$A$3:$A$5001,L$3,BD!$B$3:$B$5001,$A$110,BD!$S$3:$S$5001,"&lt;&gt;")=0,"",SUMIFS(BD!$S$3:$S$5001,BD!$A$3:$A$5001,L$3,BD!$B$3:$B$5001,$A$110)))</f>
        <v/>
      </c>
      <c r="M115" s="247" t="str">
        <f>IF(M$3="","",IF(COUNTIFS(BD!$A$3:$A$5001,M$3,BD!$B$3:$B$5001,$A$110,BD!$S$3:$S$5001,"&lt;&gt;")=0,"",SUMIFS(BD!$S$3:$S$5001,BD!$A$3:$A$5001,M$3,BD!$B$3:$B$5001,$A$110)))</f>
        <v/>
      </c>
      <c r="N115" s="247" t="str">
        <f>IF(N$3="","",IF(COUNTIFS(BD!$A$3:$A$5001,N$3,BD!$B$3:$B$5001,$A$110,BD!$S$3:$S$5001,"&lt;&gt;")=0,"",SUMIFS(BD!$S$3:$S$5001,BD!$A$3:$A$5001,N$3,BD!$B$3:$B$5001,$A$110)))</f>
        <v/>
      </c>
      <c r="O115" s="247" t="str">
        <f>IF(O$3="","",IF(COUNTIFS(BD!$A$3:$A$5001,O$3,BD!$B$3:$B$5001,$A$110,BD!$S$3:$S$5001,"&lt;&gt;")=0,"",SUMIFS(BD!$S$3:$S$5001,BD!$A$3:$A$5001,O$3,BD!$B$3:$B$5001,$A$110)))</f>
        <v/>
      </c>
      <c r="P115" s="247" t="str">
        <f>IF(P$3="","",IF(COUNTIFS(BD!$A$3:$A$5001,P$3,BD!$B$3:$B$5001,$A$110,BD!$S$3:$S$5001,"&lt;&gt;")=0,"",SUMIFS(BD!$S$3:$S$5001,BD!$A$3:$A$5001,P$3,BD!$B$3:$B$5001,$A$110)))</f>
        <v/>
      </c>
      <c r="Q115" s="247" t="str">
        <f>IF(Q$3="","",IF(COUNTIFS(BD!$A$3:$A$5001,Q$3,BD!$B$3:$B$5001,$A$110,BD!$S$3:$S$5001,"&lt;&gt;")=0,"",SUMIFS(BD!$S$3:$S$5001,BD!$A$3:$A$5001,Q$3,BD!$B$3:$B$5001,$A$110)))</f>
        <v/>
      </c>
      <c r="R115" s="247" t="str">
        <f>IF(R$3="","",IF(COUNTIFS(BD!$A$3:$A$5001,R$3,BD!$B$3:$B$5001,$A$110,BD!$S$3:$S$5001,"&lt;&gt;")=0,"",SUMIFS(BD!$S$3:$S$5001,BD!$A$3:$A$5001,R$3,BD!$B$3:$B$5001,$A$110)))</f>
        <v/>
      </c>
      <c r="S115" s="247" t="str">
        <f>IF(S$3="","",IF(COUNTIFS(BD!$A$3:$A$5001,S$3,BD!$B$3:$B$5001,$A$110,BD!$S$3:$S$5001,"&lt;&gt;")=0,"",SUMIFS(BD!$S$3:$S$5001,BD!$A$3:$A$5001,S$3,BD!$B$3:$B$5001,$A$110)))</f>
        <v/>
      </c>
      <c r="T115" s="247" t="str">
        <f>IF(T$3="","",IF(COUNTIFS(BD!$A$3:$A$5001,T$3,BD!$B$3:$B$5001,$A$110,BD!$S$3:$S$5001,"&lt;&gt;")=0,"",SUMIFS(BD!$S$3:$S$5001,BD!$A$3:$A$5001,T$3,BD!$B$3:$B$5001,$A$110)))</f>
        <v/>
      </c>
      <c r="U115" s="247" t="str">
        <f>IF(U$3="","",IF(COUNTIFS(BD!$A$3:$A$5001,U$3,BD!$B$3:$B$5001,$A$110,BD!$S$3:$S$5001,"&lt;&gt;")=0,"",SUMIFS(BD!$S$3:$S$5001,BD!$A$3:$A$5001,U$3,BD!$B$3:$B$5001,$A$110)))</f>
        <v/>
      </c>
      <c r="V115" s="247" t="str">
        <f>IF(V$3="","",IF(COUNTIFS(BD!$A$3:$A$5001,V$3,BD!$B$3:$B$5001,$A$110,BD!$S$3:$S$5001,"&lt;&gt;")=0,"",SUMIFS(BD!$S$3:$S$5001,BD!$A$3:$A$5001,V$3,BD!$B$3:$B$5001,$A$110)))</f>
        <v/>
      </c>
      <c r="W115" s="247" t="str">
        <f>IF(W$3="","",IF(COUNTIFS(BD!$A$3:$A$5001,W$3,BD!$B$3:$B$5001,$A$110,BD!$S$3:$S$5001,"&lt;&gt;")=0,"",SUMIFS(BD!$S$3:$S$5001,BD!$A$3:$A$5001,W$3,BD!$B$3:$B$5001,$A$110)))</f>
        <v/>
      </c>
      <c r="X115" s="247" t="str">
        <f>IF(X$3="","",IF(COUNTIFS(BD!$A$3:$A$5001,X$3,BD!$B$3:$B$5001,$A$110,BD!$S$3:$S$5001,"&lt;&gt;")=0,"",SUMIFS(BD!$S$3:$S$5001,BD!$A$3:$A$5001,X$3,BD!$B$3:$B$5001,$A$110)))</f>
        <v/>
      </c>
      <c r="Y115" s="247" t="str">
        <f>IF(Y$3="","",IF(COUNTIFS(BD!$A$3:$A$5001,Y$3,BD!$B$3:$B$5001,$A$110,BD!$S$3:$S$5001,"&lt;&gt;")=0,"",SUMIFS(BD!$S$3:$S$5001,BD!$A$3:$A$5001,Y$3,BD!$B$3:$B$5001,$A$110)))</f>
        <v/>
      </c>
      <c r="Z115" s="247" t="str">
        <f>IF(Z$3="","",IF(COUNTIFS(BD!$A$3:$A$5001,Z$3,BD!$B$3:$B$5001,$A$110,BD!$S$3:$S$5001,"&lt;&gt;")=0,"",SUMIFS(BD!$S$3:$S$5001,BD!$A$3:$A$5001,Z$3,BD!$B$3:$B$5001,$A$110)))</f>
        <v/>
      </c>
      <c r="AA115" s="247" t="str">
        <f>IF(AA$3="","",IF(COUNTIFS(BD!$A$3:$A$5001,AA$3,BD!$B$3:$B$5001,$A$110,BD!$S$3:$S$5001,"&lt;&gt;")=0,"",SUMIFS(BD!$S$3:$S$5001,BD!$A$3:$A$5001,AA$3,BD!$B$3:$B$5001,$A$110)))</f>
        <v/>
      </c>
      <c r="AB115" s="247" t="str">
        <f>IF(AB$3="","",IF(COUNTIFS(BD!$A$3:$A$5001,AB$3,BD!$B$3:$B$5001,$A$110,BD!$S$3:$S$5001,"&lt;&gt;")=0,"",SUMIFS(BD!$S$3:$S$5001,BD!$A$3:$A$5001,AB$3,BD!$B$3:$B$5001,$A$110)))</f>
        <v/>
      </c>
      <c r="AC115" s="247" t="str">
        <f>IF(AC$3="","",IF(COUNTIFS(BD!$A$3:$A$5001,AC$3,BD!$B$3:$B$5001,$A$110,BD!$S$3:$S$5001,"&lt;&gt;")=0,"",SUMIFS(BD!$S$3:$S$5001,BD!$A$3:$A$5001,AC$3,BD!$B$3:$B$5001,$A$110)))</f>
        <v/>
      </c>
      <c r="AD115" s="247" t="str">
        <f>IF(AD$3="","",IF(COUNTIFS(BD!$A$3:$A$5001,AD$3,BD!$B$3:$B$5001,$A$110,BD!$S$3:$S$5001,"&lt;&gt;")=0,"",SUMIFS(BD!$S$3:$S$5001,BD!$A$3:$A$5001,AD$3,BD!$B$3:$B$5001,$A$110)))</f>
        <v/>
      </c>
      <c r="AE115" s="247" t="str">
        <f>IF(AE$3="","",IF(COUNTIFS(BD!$A$3:$A$5001,AE$3,BD!$B$3:$B$5001,$A$110,BD!$S$3:$S$5001,"&lt;&gt;")=0,"",SUMIFS(BD!$S$3:$S$5001,BD!$A$3:$A$5001,AE$3,BD!$B$3:$B$5001,$A$110)))</f>
        <v/>
      </c>
      <c r="AF115" s="247" t="str">
        <f>IF(AF$3="","",IF(COUNTIFS(BD!$A$3:$A$5001,AF$3,BD!$B$3:$B$5001,$A$110,BD!$S$3:$S$5001,"&lt;&gt;")=0,"",SUMIFS(BD!$S$3:$S$5001,BD!$A$3:$A$5001,AF$3,BD!$B$3:$B$5001,$A$110)))</f>
        <v/>
      </c>
      <c r="AG115" s="247" t="str">
        <f>IF(AG$3="","",IF(COUNTIFS(BD!$A$3:$A$5001,AG$3,BD!$B$3:$B$5001,$A$110,BD!$S$3:$S$5001,"&lt;&gt;")=0,"",SUMIFS(BD!$S$3:$S$5001,BD!$A$3:$A$5001,AG$3,BD!$B$3:$B$5001,$A$110)))</f>
        <v/>
      </c>
      <c r="AH115" s="247" t="str">
        <f>IF(AH$3="","",IF(COUNTIFS(BD!$A$3:$A$5001,AH$3,BD!$B$3:$B$5001,$A$110,BD!$S$3:$S$5001,"&lt;&gt;")=0,"",SUMIFS(BD!$S$3:$S$5001,BD!$A$3:$A$5001,AH$3,BD!$B$3:$B$5001,$A$110)))</f>
        <v/>
      </c>
      <c r="AI115" s="247" t="str">
        <f>IF(AI$3="","",IF(COUNTIFS(BD!$A$3:$A$5001,AI$3,BD!$B$3:$B$5001,$A$110,BD!$S$3:$S$5001,"&lt;&gt;")=0,"",SUMIFS(BD!$S$3:$S$5001,BD!$A$3:$A$5001,AI$3,BD!$B$3:$B$5001,$A$110)))</f>
        <v/>
      </c>
      <c r="AJ115" s="248" t="str">
        <f>IF(AJ$3="","",IF(COUNTIFS(BD!$A$3:$A$5001,AJ$3,BD!$B$3:$B$5001,$A$110,BD!$S$3:$S$5001,"&lt;&gt;")=0,"",SUMIFS(BD!$S$3:$S$5001,BD!$A$3:$A$5001,AJ$3,BD!$B$3:$B$5001,$A$110)))</f>
        <v/>
      </c>
      <c r="AK115" s="249" t="str">
        <f>IF(COUNT(F115:AJ115)=0,"",SUM(F115:AJ115))</f>
        <v/>
      </c>
    </row>
    <row r="116" ht="15.75" customHeight="1">
      <c r="A116" s="237"/>
      <c r="B116" s="254"/>
      <c r="C116" s="243" t="inlineStr">
        <is>
          <t xml:space="preserve">Peças Movimentadas</t>
        </is>
      </c>
      <c r="D116" s="244" t="str">
        <f>IFERROR(1/(1/INDEX(BD!$AK$36:$AU$36,MATCH($A$110,BD!$AK$22:$AU$22,0))),"")</f>
        <v/>
      </c>
      <c r="E116" s="245"/>
      <c r="F116" s="246" t="str">
        <f>IF(F$3="","",IF(COUNTIFS(BD!$A$3:$A$5001,F$3,BD!$B$3:$B$5001,$A$110,BD!$P$3:$P$5001,"&lt;&gt;")=0,"",SUMIFS(BD!$P$3:$P$5001,BD!$A$3:$A$5001,F$3,BD!$B$3:$B$5001,$A$110)))</f>
        <v/>
      </c>
      <c r="G116" s="247" t="str">
        <f>IF(G$3="","",IF(COUNTIFS(BD!$A$3:$A$5001,G$3,BD!$B$3:$B$5001,$A$110,BD!$P$3:$P$5001,"&lt;&gt;")=0,"",SUMIFS(BD!$P$3:$P$5001,BD!$A$3:$A$5001,G$3,BD!$B$3:$B$5001,$A$110)))</f>
        <v/>
      </c>
      <c r="H116" s="247" t="str">
        <f>IF(H$3="","",IF(COUNTIFS(BD!$A$3:$A$5001,H$3,BD!$B$3:$B$5001,$A$110,BD!$P$3:$P$5001,"&lt;&gt;")=0,"",SUMIFS(BD!$P$3:$P$5001,BD!$A$3:$A$5001,H$3,BD!$B$3:$B$5001,$A$110)))</f>
        <v/>
      </c>
      <c r="I116" s="247" t="str">
        <f>IF(I$3="","",IF(COUNTIFS(BD!$A$3:$A$5001,I$3,BD!$B$3:$B$5001,$A$110,BD!$P$3:$P$5001,"&lt;&gt;")=0,"",SUMIFS(BD!$P$3:$P$5001,BD!$A$3:$A$5001,I$3,BD!$B$3:$B$5001,$A$110)))</f>
        <v/>
      </c>
      <c r="J116" s="247" t="str">
        <f>IF(J$3="","",IF(COUNTIFS(BD!$A$3:$A$5001,J$3,BD!$B$3:$B$5001,$A$110,BD!$P$3:$P$5001,"&lt;&gt;")=0,"",SUMIFS(BD!$P$3:$P$5001,BD!$A$3:$A$5001,J$3,BD!$B$3:$B$5001,$A$110)))</f>
        <v/>
      </c>
      <c r="K116" s="247" t="str">
        <f>IF(K$3="","",IF(COUNTIFS(BD!$A$3:$A$5001,K$3,BD!$B$3:$B$5001,$A$110,BD!$P$3:$P$5001,"&lt;&gt;")=0,"",SUMIFS(BD!$P$3:$P$5001,BD!$A$3:$A$5001,K$3,BD!$B$3:$B$5001,$A$110)))</f>
        <v/>
      </c>
      <c r="L116" s="247" t="str">
        <f>IF(L$3="","",IF(COUNTIFS(BD!$A$3:$A$5001,L$3,BD!$B$3:$B$5001,$A$110,BD!$P$3:$P$5001,"&lt;&gt;")=0,"",SUMIFS(BD!$P$3:$P$5001,BD!$A$3:$A$5001,L$3,BD!$B$3:$B$5001,$A$110)))</f>
        <v/>
      </c>
      <c r="M116" s="247" t="str">
        <f>IF(M$3="","",IF(COUNTIFS(BD!$A$3:$A$5001,M$3,BD!$B$3:$B$5001,$A$110,BD!$P$3:$P$5001,"&lt;&gt;")=0,"",SUMIFS(BD!$P$3:$P$5001,BD!$A$3:$A$5001,M$3,BD!$B$3:$B$5001,$A$110)))</f>
        <v/>
      </c>
      <c r="N116" s="247" t="str">
        <f>IF(N$3="","",IF(COUNTIFS(BD!$A$3:$A$5001,N$3,BD!$B$3:$B$5001,$A$110,BD!$P$3:$P$5001,"&lt;&gt;")=0,"",SUMIFS(BD!$P$3:$P$5001,BD!$A$3:$A$5001,N$3,BD!$B$3:$B$5001,$A$110)))</f>
        <v/>
      </c>
      <c r="O116" s="247" t="str">
        <f>IF(O$3="","",IF(COUNTIFS(BD!$A$3:$A$5001,O$3,BD!$B$3:$B$5001,$A$110,BD!$P$3:$P$5001,"&lt;&gt;")=0,"",SUMIFS(BD!$P$3:$P$5001,BD!$A$3:$A$5001,O$3,BD!$B$3:$B$5001,$A$110)))</f>
        <v/>
      </c>
      <c r="P116" s="247" t="str">
        <f>IF(P$3="","",IF(COUNTIFS(BD!$A$3:$A$5001,P$3,BD!$B$3:$B$5001,$A$110,BD!$P$3:$P$5001,"&lt;&gt;")=0,"",SUMIFS(BD!$P$3:$P$5001,BD!$A$3:$A$5001,P$3,BD!$B$3:$B$5001,$A$110)))</f>
        <v/>
      </c>
      <c r="Q116" s="247" t="str">
        <f>IF(Q$3="","",IF(COUNTIFS(BD!$A$3:$A$5001,Q$3,BD!$B$3:$B$5001,$A$110,BD!$P$3:$P$5001,"&lt;&gt;")=0,"",SUMIFS(BD!$P$3:$P$5001,BD!$A$3:$A$5001,Q$3,BD!$B$3:$B$5001,$A$110)))</f>
        <v/>
      </c>
      <c r="R116" s="247" t="str">
        <f>IF(R$3="","",IF(COUNTIFS(BD!$A$3:$A$5001,R$3,BD!$B$3:$B$5001,$A$110,BD!$P$3:$P$5001,"&lt;&gt;")=0,"",SUMIFS(BD!$P$3:$P$5001,BD!$A$3:$A$5001,R$3,BD!$B$3:$B$5001,$A$110)))</f>
        <v/>
      </c>
      <c r="S116" s="247" t="str">
        <f>IF(S$3="","",IF(COUNTIFS(BD!$A$3:$A$5001,S$3,BD!$B$3:$B$5001,$A$110,BD!$P$3:$P$5001,"&lt;&gt;")=0,"",SUMIFS(BD!$P$3:$P$5001,BD!$A$3:$A$5001,S$3,BD!$B$3:$B$5001,$A$110)))</f>
        <v/>
      </c>
      <c r="T116" s="247" t="str">
        <f>IF(T$3="","",IF(COUNTIFS(BD!$A$3:$A$5001,T$3,BD!$B$3:$B$5001,$A$110,BD!$P$3:$P$5001,"&lt;&gt;")=0,"",SUMIFS(BD!$P$3:$P$5001,BD!$A$3:$A$5001,T$3,BD!$B$3:$B$5001,$A$110)))</f>
        <v/>
      </c>
      <c r="U116" s="247" t="str">
        <f>IF(U$3="","",IF(COUNTIFS(BD!$A$3:$A$5001,U$3,BD!$B$3:$B$5001,$A$110,BD!$P$3:$P$5001,"&lt;&gt;")=0,"",SUMIFS(BD!$P$3:$P$5001,BD!$A$3:$A$5001,U$3,BD!$B$3:$B$5001,$A$110)))</f>
        <v/>
      </c>
      <c r="V116" s="247" t="str">
        <f>IF(V$3="","",IF(COUNTIFS(BD!$A$3:$A$5001,V$3,BD!$B$3:$B$5001,$A$110,BD!$P$3:$P$5001,"&lt;&gt;")=0,"",SUMIFS(BD!$P$3:$P$5001,BD!$A$3:$A$5001,V$3,BD!$B$3:$B$5001,$A$110)))</f>
        <v/>
      </c>
      <c r="W116" s="247" t="str">
        <f>IF(W$3="","",IF(COUNTIFS(BD!$A$3:$A$5001,W$3,BD!$B$3:$B$5001,$A$110,BD!$P$3:$P$5001,"&lt;&gt;")=0,"",SUMIFS(BD!$P$3:$P$5001,BD!$A$3:$A$5001,W$3,BD!$B$3:$B$5001,$A$110)))</f>
        <v/>
      </c>
      <c r="X116" s="247" t="str">
        <f>IF(X$3="","",IF(COUNTIFS(BD!$A$3:$A$5001,X$3,BD!$B$3:$B$5001,$A$110,BD!$P$3:$P$5001,"&lt;&gt;")=0,"",SUMIFS(BD!$P$3:$P$5001,BD!$A$3:$A$5001,X$3,BD!$B$3:$B$5001,$A$110)))</f>
        <v/>
      </c>
      <c r="Y116" s="247" t="str">
        <f>IF(Y$3="","",IF(COUNTIFS(BD!$A$3:$A$5001,Y$3,BD!$B$3:$B$5001,$A$110,BD!$P$3:$P$5001,"&lt;&gt;")=0,"",SUMIFS(BD!$P$3:$P$5001,BD!$A$3:$A$5001,Y$3,BD!$B$3:$B$5001,$A$110)))</f>
        <v/>
      </c>
      <c r="Z116" s="247" t="str">
        <f>IF(Z$3="","",IF(COUNTIFS(BD!$A$3:$A$5001,Z$3,BD!$B$3:$B$5001,$A$110,BD!$P$3:$P$5001,"&lt;&gt;")=0,"",SUMIFS(BD!$P$3:$P$5001,BD!$A$3:$A$5001,Z$3,BD!$B$3:$B$5001,$A$110)))</f>
        <v/>
      </c>
      <c r="AA116" s="247" t="str">
        <f>IF(AA$3="","",IF(COUNTIFS(BD!$A$3:$A$5001,AA$3,BD!$B$3:$B$5001,$A$110,BD!$P$3:$P$5001,"&lt;&gt;")=0,"",SUMIFS(BD!$P$3:$P$5001,BD!$A$3:$A$5001,AA$3,BD!$B$3:$B$5001,$A$110)))</f>
        <v/>
      </c>
      <c r="AB116" s="247" t="str">
        <f>IF(AB$3="","",IF(COUNTIFS(BD!$A$3:$A$5001,AB$3,BD!$B$3:$B$5001,$A$110,BD!$P$3:$P$5001,"&lt;&gt;")=0,"",SUMIFS(BD!$P$3:$P$5001,BD!$A$3:$A$5001,AB$3,BD!$B$3:$B$5001,$A$110)))</f>
        <v/>
      </c>
      <c r="AC116" s="247" t="str">
        <f>IF(AC$3="","",IF(COUNTIFS(BD!$A$3:$A$5001,AC$3,BD!$B$3:$B$5001,$A$110,BD!$P$3:$P$5001,"&lt;&gt;")=0,"",SUMIFS(BD!$P$3:$P$5001,BD!$A$3:$A$5001,AC$3,BD!$B$3:$B$5001,$A$110)))</f>
        <v/>
      </c>
      <c r="AD116" s="247" t="str">
        <f>IF(AD$3="","",IF(COUNTIFS(BD!$A$3:$A$5001,AD$3,BD!$B$3:$B$5001,$A$110,BD!$P$3:$P$5001,"&lt;&gt;")=0,"",SUMIFS(BD!$P$3:$P$5001,BD!$A$3:$A$5001,AD$3,BD!$B$3:$B$5001,$A$110)))</f>
        <v/>
      </c>
      <c r="AE116" s="247" t="str">
        <f>IF(AE$3="","",IF(COUNTIFS(BD!$A$3:$A$5001,AE$3,BD!$B$3:$B$5001,$A$110,BD!$P$3:$P$5001,"&lt;&gt;")=0,"",SUMIFS(BD!$P$3:$P$5001,BD!$A$3:$A$5001,AE$3,BD!$B$3:$B$5001,$A$110)))</f>
        <v/>
      </c>
      <c r="AF116" s="247" t="str">
        <f>IF(AF$3="","",IF(COUNTIFS(BD!$A$3:$A$5001,AF$3,BD!$B$3:$B$5001,$A$110,BD!$P$3:$P$5001,"&lt;&gt;")=0,"",SUMIFS(BD!$P$3:$P$5001,BD!$A$3:$A$5001,AF$3,BD!$B$3:$B$5001,$A$110)))</f>
        <v/>
      </c>
      <c r="AG116" s="247" t="str">
        <f>IF(AG$3="","",IF(COUNTIFS(BD!$A$3:$A$5001,AG$3,BD!$B$3:$B$5001,$A$110,BD!$P$3:$P$5001,"&lt;&gt;")=0,"",SUMIFS(BD!$P$3:$P$5001,BD!$A$3:$A$5001,AG$3,BD!$B$3:$B$5001,$A$110)))</f>
        <v/>
      </c>
      <c r="AH116" s="247" t="str">
        <f>IF(AH$3="","",IF(COUNTIFS(BD!$A$3:$A$5001,AH$3,BD!$B$3:$B$5001,$A$110,BD!$P$3:$P$5001,"&lt;&gt;")=0,"",SUMIFS(BD!$P$3:$P$5001,BD!$A$3:$A$5001,AH$3,BD!$B$3:$B$5001,$A$110)))</f>
        <v/>
      </c>
      <c r="AI116" s="247" t="str">
        <f>IF(AI$3="","",IF(COUNTIFS(BD!$A$3:$A$5001,AI$3,BD!$B$3:$B$5001,$A$110,BD!$P$3:$P$5001,"&lt;&gt;")=0,"",SUMIFS(BD!$P$3:$P$5001,BD!$A$3:$A$5001,AI$3,BD!$B$3:$B$5001,$A$110)))</f>
        <v/>
      </c>
      <c r="AJ116" s="248" t="str">
        <f>IF(AJ$3="","",IF(COUNTIFS(BD!$A$3:$A$5001,AJ$3,BD!$B$3:$B$5001,$A$110,BD!$P$3:$P$5001,"&lt;&gt;")=0,"",SUMIFS(BD!$P$3:$P$5001,BD!$A$3:$A$5001,AJ$3,BD!$B$3:$B$5001,$A$110)))</f>
        <v/>
      </c>
      <c r="AK116" s="249" t="str">
        <f>IF(COUNT(F116:AJ116)=0,"",SUM(F116:AJ116))</f>
        <v/>
      </c>
    </row>
    <row r="117" ht="15.75" customHeight="1">
      <c r="A117" s="237"/>
      <c r="B117" s="228"/>
      <c r="C117" s="168" t="inlineStr">
        <is>
          <t xml:space="preserve">Linhas NF</t>
        </is>
      </c>
      <c r="D117" s="169" t="str">
        <f>IFERROR(1/(1/INDEX(BD!$AK$37:$AU$37,MATCH($A$110,BD!$AK$22:$AU$22,0))),"")</f>
        <v/>
      </c>
      <c r="E117" s="170"/>
      <c r="F117" s="171" t="str">
        <f>IF(F$3="","",IF(COUNTIFS(BD!$A$3:$A$5001,F$3,BD!$B$3:$B$5001,$A$110,BD!$Q$3:$Q$5001,"&lt;&gt;")=0,"",SUMIFS(BD!$Q$3:$Q$5001,BD!$A$3:$A$5001,F$3,BD!$B$3:$B$5001,$A$110)))</f>
        <v/>
      </c>
      <c r="G117" s="172" t="str">
        <f>IF(G$3="","",IF(COUNTIFS(BD!$A$3:$A$5001,G$3,BD!$B$3:$B$5001,$A$110,BD!$Q$3:$Q$5001,"&lt;&gt;")=0,"",SUMIFS(BD!$Q$3:$Q$5001,BD!$A$3:$A$5001,G$3,BD!$B$3:$B$5001,$A$110)))</f>
        <v/>
      </c>
      <c r="H117" s="172" t="str">
        <f>IF(H$3="","",IF(COUNTIFS(BD!$A$3:$A$5001,H$3,BD!$B$3:$B$5001,$A$110,BD!$Q$3:$Q$5001,"&lt;&gt;")=0,"",SUMIFS(BD!$Q$3:$Q$5001,BD!$A$3:$A$5001,H$3,BD!$B$3:$B$5001,$A$110)))</f>
        <v/>
      </c>
      <c r="I117" s="172" t="str">
        <f>IF(I$3="","",IF(COUNTIFS(BD!$A$3:$A$5001,I$3,BD!$B$3:$B$5001,$A$110,BD!$Q$3:$Q$5001,"&lt;&gt;")=0,"",SUMIFS(BD!$Q$3:$Q$5001,BD!$A$3:$A$5001,I$3,BD!$B$3:$B$5001,$A$110)))</f>
        <v/>
      </c>
      <c r="J117" s="172" t="str">
        <f>IF(J$3="","",IF(COUNTIFS(BD!$A$3:$A$5001,J$3,BD!$B$3:$B$5001,$A$110,BD!$Q$3:$Q$5001,"&lt;&gt;")=0,"",SUMIFS(BD!$Q$3:$Q$5001,BD!$A$3:$A$5001,J$3,BD!$B$3:$B$5001,$A$110)))</f>
        <v/>
      </c>
      <c r="K117" s="172" t="str">
        <f>IF(K$3="","",IF(COUNTIFS(BD!$A$3:$A$5001,K$3,BD!$B$3:$B$5001,$A$110,BD!$Q$3:$Q$5001,"&lt;&gt;")=0,"",SUMIFS(BD!$Q$3:$Q$5001,BD!$A$3:$A$5001,K$3,BD!$B$3:$B$5001,$A$110)))</f>
        <v/>
      </c>
      <c r="L117" s="172" t="str">
        <f>IF(L$3="","",IF(COUNTIFS(BD!$A$3:$A$5001,L$3,BD!$B$3:$B$5001,$A$110,BD!$Q$3:$Q$5001,"&lt;&gt;")=0,"",SUMIFS(BD!$Q$3:$Q$5001,BD!$A$3:$A$5001,L$3,BD!$B$3:$B$5001,$A$110)))</f>
        <v/>
      </c>
      <c r="M117" s="172" t="str">
        <f>IF(M$3="","",IF(COUNTIFS(BD!$A$3:$A$5001,M$3,BD!$B$3:$B$5001,$A$110,BD!$Q$3:$Q$5001,"&lt;&gt;")=0,"",SUMIFS(BD!$Q$3:$Q$5001,BD!$A$3:$A$5001,M$3,BD!$B$3:$B$5001,$A$110)))</f>
        <v/>
      </c>
      <c r="N117" s="172" t="str">
        <f>IF(N$3="","",IF(COUNTIFS(BD!$A$3:$A$5001,N$3,BD!$B$3:$B$5001,$A$110,BD!$Q$3:$Q$5001,"&lt;&gt;")=0,"",SUMIFS(BD!$Q$3:$Q$5001,BD!$A$3:$A$5001,N$3,BD!$B$3:$B$5001,$A$110)))</f>
        <v/>
      </c>
      <c r="O117" s="172" t="str">
        <f>IF(O$3="","",IF(COUNTIFS(BD!$A$3:$A$5001,O$3,BD!$B$3:$B$5001,$A$110,BD!$Q$3:$Q$5001,"&lt;&gt;")=0,"",SUMIFS(BD!$Q$3:$Q$5001,BD!$A$3:$A$5001,O$3,BD!$B$3:$B$5001,$A$110)))</f>
        <v/>
      </c>
      <c r="P117" s="172" t="str">
        <f>IF(P$3="","",IF(COUNTIFS(BD!$A$3:$A$5001,P$3,BD!$B$3:$B$5001,$A$110,BD!$Q$3:$Q$5001,"&lt;&gt;")=0,"",SUMIFS(BD!$Q$3:$Q$5001,BD!$A$3:$A$5001,P$3,BD!$B$3:$B$5001,$A$110)))</f>
        <v/>
      </c>
      <c r="Q117" s="172" t="str">
        <f>IF(Q$3="","",IF(COUNTIFS(BD!$A$3:$A$5001,Q$3,BD!$B$3:$B$5001,$A$110,BD!$Q$3:$Q$5001,"&lt;&gt;")=0,"",SUMIFS(BD!$Q$3:$Q$5001,BD!$A$3:$A$5001,Q$3,BD!$B$3:$B$5001,$A$110)))</f>
        <v/>
      </c>
      <c r="R117" s="172" t="str">
        <f>IF(R$3="","",IF(COUNTIFS(BD!$A$3:$A$5001,R$3,BD!$B$3:$B$5001,$A$110,BD!$Q$3:$Q$5001,"&lt;&gt;")=0,"",SUMIFS(BD!$Q$3:$Q$5001,BD!$A$3:$A$5001,R$3,BD!$B$3:$B$5001,$A$110)))</f>
        <v/>
      </c>
      <c r="S117" s="172" t="str">
        <f>IF(S$3="","",IF(COUNTIFS(BD!$A$3:$A$5001,S$3,BD!$B$3:$B$5001,$A$110,BD!$Q$3:$Q$5001,"&lt;&gt;")=0,"",SUMIFS(BD!$Q$3:$Q$5001,BD!$A$3:$A$5001,S$3,BD!$B$3:$B$5001,$A$110)))</f>
        <v/>
      </c>
      <c r="T117" s="172" t="str">
        <f>IF(T$3="","",IF(COUNTIFS(BD!$A$3:$A$5001,T$3,BD!$B$3:$B$5001,$A$110,BD!$Q$3:$Q$5001,"&lt;&gt;")=0,"",SUMIFS(BD!$Q$3:$Q$5001,BD!$A$3:$A$5001,T$3,BD!$B$3:$B$5001,$A$110)))</f>
        <v/>
      </c>
      <c r="U117" s="172" t="str">
        <f>IF(U$3="","",IF(COUNTIFS(BD!$A$3:$A$5001,U$3,BD!$B$3:$B$5001,$A$110,BD!$Q$3:$Q$5001,"&lt;&gt;")=0,"",SUMIFS(BD!$Q$3:$Q$5001,BD!$A$3:$A$5001,U$3,BD!$B$3:$B$5001,$A$110)))</f>
        <v/>
      </c>
      <c r="V117" s="172" t="str">
        <f>IF(V$3="","",IF(COUNTIFS(BD!$A$3:$A$5001,V$3,BD!$B$3:$B$5001,$A$110,BD!$Q$3:$Q$5001,"&lt;&gt;")=0,"",SUMIFS(BD!$Q$3:$Q$5001,BD!$A$3:$A$5001,V$3,BD!$B$3:$B$5001,$A$110)))</f>
        <v/>
      </c>
      <c r="W117" s="172" t="str">
        <f>IF(W$3="","",IF(COUNTIFS(BD!$A$3:$A$5001,W$3,BD!$B$3:$B$5001,$A$110,BD!$Q$3:$Q$5001,"&lt;&gt;")=0,"",SUMIFS(BD!$Q$3:$Q$5001,BD!$A$3:$A$5001,W$3,BD!$B$3:$B$5001,$A$110)))</f>
        <v/>
      </c>
      <c r="X117" s="172" t="str">
        <f>IF(X$3="","",IF(COUNTIFS(BD!$A$3:$A$5001,X$3,BD!$B$3:$B$5001,$A$110,BD!$Q$3:$Q$5001,"&lt;&gt;")=0,"",SUMIFS(BD!$Q$3:$Q$5001,BD!$A$3:$A$5001,X$3,BD!$B$3:$B$5001,$A$110)))</f>
        <v/>
      </c>
      <c r="Y117" s="172" t="str">
        <f>IF(Y$3="","",IF(COUNTIFS(BD!$A$3:$A$5001,Y$3,BD!$B$3:$B$5001,$A$110,BD!$Q$3:$Q$5001,"&lt;&gt;")=0,"",SUMIFS(BD!$Q$3:$Q$5001,BD!$A$3:$A$5001,Y$3,BD!$B$3:$B$5001,$A$110)))</f>
        <v/>
      </c>
      <c r="Z117" s="172" t="str">
        <f>IF(Z$3="","",IF(COUNTIFS(BD!$A$3:$A$5001,Z$3,BD!$B$3:$B$5001,$A$110,BD!$Q$3:$Q$5001,"&lt;&gt;")=0,"",SUMIFS(BD!$Q$3:$Q$5001,BD!$A$3:$A$5001,Z$3,BD!$B$3:$B$5001,$A$110)))</f>
        <v/>
      </c>
      <c r="AA117" s="172" t="str">
        <f>IF(AA$3="","",IF(COUNTIFS(BD!$A$3:$A$5001,AA$3,BD!$B$3:$B$5001,$A$110,BD!$Q$3:$Q$5001,"&lt;&gt;")=0,"",SUMIFS(BD!$Q$3:$Q$5001,BD!$A$3:$A$5001,AA$3,BD!$B$3:$B$5001,$A$110)))</f>
        <v/>
      </c>
      <c r="AB117" s="172" t="str">
        <f>IF(AB$3="","",IF(COUNTIFS(BD!$A$3:$A$5001,AB$3,BD!$B$3:$B$5001,$A$110,BD!$Q$3:$Q$5001,"&lt;&gt;")=0,"",SUMIFS(BD!$Q$3:$Q$5001,BD!$A$3:$A$5001,AB$3,BD!$B$3:$B$5001,$A$110)))</f>
        <v/>
      </c>
      <c r="AC117" s="172" t="str">
        <f>IF(AC$3="","",IF(COUNTIFS(BD!$A$3:$A$5001,AC$3,BD!$B$3:$B$5001,$A$110,BD!$Q$3:$Q$5001,"&lt;&gt;")=0,"",SUMIFS(BD!$Q$3:$Q$5001,BD!$A$3:$A$5001,AC$3,BD!$B$3:$B$5001,$A$110)))</f>
        <v/>
      </c>
      <c r="AD117" s="172" t="str">
        <f>IF(AD$3="","",IF(COUNTIFS(BD!$A$3:$A$5001,AD$3,BD!$B$3:$B$5001,$A$110,BD!$Q$3:$Q$5001,"&lt;&gt;")=0,"",SUMIFS(BD!$Q$3:$Q$5001,BD!$A$3:$A$5001,AD$3,BD!$B$3:$B$5001,$A$110)))</f>
        <v/>
      </c>
      <c r="AE117" s="172" t="str">
        <f>IF(AE$3="","",IF(COUNTIFS(BD!$A$3:$A$5001,AE$3,BD!$B$3:$B$5001,$A$110,BD!$Q$3:$Q$5001,"&lt;&gt;")=0,"",SUMIFS(BD!$Q$3:$Q$5001,BD!$A$3:$A$5001,AE$3,BD!$B$3:$B$5001,$A$110)))</f>
        <v/>
      </c>
      <c r="AF117" s="172" t="str">
        <f>IF(AF$3="","",IF(COUNTIFS(BD!$A$3:$A$5001,AF$3,BD!$B$3:$B$5001,$A$110,BD!$Q$3:$Q$5001,"&lt;&gt;")=0,"",SUMIFS(BD!$Q$3:$Q$5001,BD!$A$3:$A$5001,AF$3,BD!$B$3:$B$5001,$A$110)))</f>
        <v/>
      </c>
      <c r="AG117" s="172" t="str">
        <f>IF(AG$3="","",IF(COUNTIFS(BD!$A$3:$A$5001,AG$3,BD!$B$3:$B$5001,$A$110,BD!$Q$3:$Q$5001,"&lt;&gt;")=0,"",SUMIFS(BD!$Q$3:$Q$5001,BD!$A$3:$A$5001,AG$3,BD!$B$3:$B$5001,$A$110)))</f>
        <v/>
      </c>
      <c r="AH117" s="172" t="str">
        <f>IF(AH$3="","",IF(COUNTIFS(BD!$A$3:$A$5001,AH$3,BD!$B$3:$B$5001,$A$110,BD!$Q$3:$Q$5001,"&lt;&gt;")=0,"",SUMIFS(BD!$Q$3:$Q$5001,BD!$A$3:$A$5001,AH$3,BD!$B$3:$B$5001,$A$110)))</f>
        <v/>
      </c>
      <c r="AI117" s="172" t="str">
        <f>IF(AI$3="","",IF(COUNTIFS(BD!$A$3:$A$5001,AI$3,BD!$B$3:$B$5001,$A$110,BD!$Q$3:$Q$5001,"&lt;&gt;")=0,"",SUMIFS(BD!$Q$3:$Q$5001,BD!$A$3:$A$5001,AI$3,BD!$B$3:$B$5001,$A$110)))</f>
        <v/>
      </c>
      <c r="AJ117" s="173" t="str">
        <f>IF(AJ$3="","",IF(COUNTIFS(BD!$A$3:$A$5001,AJ$3,BD!$B$3:$B$5001,$A$110,BD!$Q$3:$Q$5001,"&lt;&gt;")=0,"",SUMIFS(BD!$Q$3:$Q$5001,BD!$A$3:$A$5001,AJ$3,BD!$B$3:$B$5001,$A$110)))</f>
        <v/>
      </c>
      <c r="AK117" s="169" t="str">
        <f>IF(COUNT(F117:AJ117)=0,"",SUM(F117:AJ117))</f>
        <v/>
      </c>
    </row>
    <row r="118" ht="15.75" customHeight="1">
      <c r="A118" s="237"/>
      <c r="B118" s="229" t="inlineStr">
        <is>
          <t xml:space="preserve">NC</t>
        </is>
      </c>
      <c r="C118" s="174" t="inlineStr">
        <is>
          <t xml:space="preserve">Incidentes</t>
        </is>
      </c>
      <c r="D118" s="175" t="str">
        <f>IFERROR(1/(1/INDEX(BD!$AK$41:$AU$41,MATCH($A$110,BD!$AK$22:$AU$22,0))),"")</f>
        <v/>
      </c>
      <c r="E118" s="176"/>
      <c r="F118" s="177" t="str">
        <f>IF(F$3="","",IF(COUNTIFS(BD!$A$3:$A$5001,F$3,BD!$B$3:$B$5001,$A$110,BD!$U$3:$U$5001,"&lt;&gt;")=0,"",SUMIFS(BD!$U$3:$U$5001,BD!$A$3:$A$5001,F$3,BD!$B$3:$B$5001,$A$110)))</f>
        <v/>
      </c>
      <c r="G118" s="178" t="str">
        <f>IF(G$3="","",IF(COUNTIFS(BD!$A$3:$A$5001,G$3,BD!$B$3:$B$5001,$A$110,BD!$U$3:$U$5001,"&lt;&gt;")=0,"",SUMIFS(BD!$U$3:$U$5001,BD!$A$3:$A$5001,G$3,BD!$B$3:$B$5001,$A$110)))</f>
        <v/>
      </c>
      <c r="H118" s="178" t="str">
        <f>IF(H$3="","",IF(COUNTIFS(BD!$A$3:$A$5001,H$3,BD!$B$3:$B$5001,$A$110,BD!$U$3:$U$5001,"&lt;&gt;")=0,"",SUMIFS(BD!$U$3:$U$5001,BD!$A$3:$A$5001,H$3,BD!$B$3:$B$5001,$A$110)))</f>
        <v/>
      </c>
      <c r="I118" s="178" t="str">
        <f>IF(I$3="","",IF(COUNTIFS(BD!$A$3:$A$5001,I$3,BD!$B$3:$B$5001,$A$110,BD!$U$3:$U$5001,"&lt;&gt;")=0,"",SUMIFS(BD!$U$3:$U$5001,BD!$A$3:$A$5001,I$3,BD!$B$3:$B$5001,$A$110)))</f>
        <v/>
      </c>
      <c r="J118" s="178" t="str">
        <f>IF(J$3="","",IF(COUNTIFS(BD!$A$3:$A$5001,J$3,BD!$B$3:$B$5001,$A$110,BD!$U$3:$U$5001,"&lt;&gt;")=0,"",SUMIFS(BD!$U$3:$U$5001,BD!$A$3:$A$5001,J$3,BD!$B$3:$B$5001,$A$110)))</f>
        <v/>
      </c>
      <c r="K118" s="178" t="str">
        <f>IF(K$3="","",IF(COUNTIFS(BD!$A$3:$A$5001,K$3,BD!$B$3:$B$5001,$A$110,BD!$U$3:$U$5001,"&lt;&gt;")=0,"",SUMIFS(BD!$U$3:$U$5001,BD!$A$3:$A$5001,K$3,BD!$B$3:$B$5001,$A$110)))</f>
        <v/>
      </c>
      <c r="L118" s="178" t="str">
        <f>IF(L$3="","",IF(COUNTIFS(BD!$A$3:$A$5001,L$3,BD!$B$3:$B$5001,$A$110,BD!$U$3:$U$5001,"&lt;&gt;")=0,"",SUMIFS(BD!$U$3:$U$5001,BD!$A$3:$A$5001,L$3,BD!$B$3:$B$5001,$A$110)))</f>
        <v/>
      </c>
      <c r="M118" s="178" t="str">
        <f>IF(M$3="","",IF(COUNTIFS(BD!$A$3:$A$5001,M$3,BD!$B$3:$B$5001,$A$110,BD!$U$3:$U$5001,"&lt;&gt;")=0,"",SUMIFS(BD!$U$3:$U$5001,BD!$A$3:$A$5001,M$3,BD!$B$3:$B$5001,$A$110)))</f>
        <v/>
      </c>
      <c r="N118" s="178" t="str">
        <f>IF(N$3="","",IF(COUNTIFS(BD!$A$3:$A$5001,N$3,BD!$B$3:$B$5001,$A$110,BD!$U$3:$U$5001,"&lt;&gt;")=0,"",SUMIFS(BD!$U$3:$U$5001,BD!$A$3:$A$5001,N$3,BD!$B$3:$B$5001,$A$110)))</f>
        <v/>
      </c>
      <c r="O118" s="178" t="str">
        <f>IF(O$3="","",IF(COUNTIFS(BD!$A$3:$A$5001,O$3,BD!$B$3:$B$5001,$A$110,BD!$U$3:$U$5001,"&lt;&gt;")=0,"",SUMIFS(BD!$U$3:$U$5001,BD!$A$3:$A$5001,O$3,BD!$B$3:$B$5001,$A$110)))</f>
        <v/>
      </c>
      <c r="P118" s="178" t="str">
        <f>IF(P$3="","",IF(COUNTIFS(BD!$A$3:$A$5001,P$3,BD!$B$3:$B$5001,$A$110,BD!$U$3:$U$5001,"&lt;&gt;")=0,"",SUMIFS(BD!$U$3:$U$5001,BD!$A$3:$A$5001,P$3,BD!$B$3:$B$5001,$A$110)))</f>
        <v/>
      </c>
      <c r="Q118" s="178" t="str">
        <f>IF(Q$3="","",IF(COUNTIFS(BD!$A$3:$A$5001,Q$3,BD!$B$3:$B$5001,$A$110,BD!$U$3:$U$5001,"&lt;&gt;")=0,"",SUMIFS(BD!$U$3:$U$5001,BD!$A$3:$A$5001,Q$3,BD!$B$3:$B$5001,$A$110)))</f>
        <v/>
      </c>
      <c r="R118" s="178" t="str">
        <f>IF(R$3="","",IF(COUNTIFS(BD!$A$3:$A$5001,R$3,BD!$B$3:$B$5001,$A$110,BD!$U$3:$U$5001,"&lt;&gt;")=0,"",SUMIFS(BD!$U$3:$U$5001,BD!$A$3:$A$5001,R$3,BD!$B$3:$B$5001,$A$110)))</f>
        <v/>
      </c>
      <c r="S118" s="178" t="str">
        <f>IF(S$3="","",IF(COUNTIFS(BD!$A$3:$A$5001,S$3,BD!$B$3:$B$5001,$A$110,BD!$U$3:$U$5001,"&lt;&gt;")=0,"",SUMIFS(BD!$U$3:$U$5001,BD!$A$3:$A$5001,S$3,BD!$B$3:$B$5001,$A$110)))</f>
        <v/>
      </c>
      <c r="T118" s="178" t="str">
        <f>IF(T$3="","",IF(COUNTIFS(BD!$A$3:$A$5001,T$3,BD!$B$3:$B$5001,$A$110,BD!$U$3:$U$5001,"&lt;&gt;")=0,"",SUMIFS(BD!$U$3:$U$5001,BD!$A$3:$A$5001,T$3,BD!$B$3:$B$5001,$A$110)))</f>
        <v/>
      </c>
      <c r="U118" s="178" t="str">
        <f>IF(U$3="","",IF(COUNTIFS(BD!$A$3:$A$5001,U$3,BD!$B$3:$B$5001,$A$110,BD!$U$3:$U$5001,"&lt;&gt;")=0,"",SUMIFS(BD!$U$3:$U$5001,BD!$A$3:$A$5001,U$3,BD!$B$3:$B$5001,$A$110)))</f>
        <v/>
      </c>
      <c r="V118" s="178" t="str">
        <f>IF(V$3="","",IF(COUNTIFS(BD!$A$3:$A$5001,V$3,BD!$B$3:$B$5001,$A$110,BD!$U$3:$U$5001,"&lt;&gt;")=0,"",SUMIFS(BD!$U$3:$U$5001,BD!$A$3:$A$5001,V$3,BD!$B$3:$B$5001,$A$110)))</f>
        <v/>
      </c>
      <c r="W118" s="178" t="str">
        <f>IF(W$3="","",IF(COUNTIFS(BD!$A$3:$A$5001,W$3,BD!$B$3:$B$5001,$A$110,BD!$U$3:$U$5001,"&lt;&gt;")=0,"",SUMIFS(BD!$U$3:$U$5001,BD!$A$3:$A$5001,W$3,BD!$B$3:$B$5001,$A$110)))</f>
        <v/>
      </c>
      <c r="X118" s="178" t="str">
        <f>IF(X$3="","",IF(COUNTIFS(BD!$A$3:$A$5001,X$3,BD!$B$3:$B$5001,$A$110,BD!$U$3:$U$5001,"&lt;&gt;")=0,"",SUMIFS(BD!$U$3:$U$5001,BD!$A$3:$A$5001,X$3,BD!$B$3:$B$5001,$A$110)))</f>
        <v/>
      </c>
      <c r="Y118" s="178" t="str">
        <f>IF(Y$3="","",IF(COUNTIFS(BD!$A$3:$A$5001,Y$3,BD!$B$3:$B$5001,$A$110,BD!$U$3:$U$5001,"&lt;&gt;")=0,"",SUMIFS(BD!$U$3:$U$5001,BD!$A$3:$A$5001,Y$3,BD!$B$3:$B$5001,$A$110)))</f>
        <v/>
      </c>
      <c r="Z118" s="178" t="str">
        <f>IF(Z$3="","",IF(COUNTIFS(BD!$A$3:$A$5001,Z$3,BD!$B$3:$B$5001,$A$110,BD!$U$3:$U$5001,"&lt;&gt;")=0,"",SUMIFS(BD!$U$3:$U$5001,BD!$A$3:$A$5001,Z$3,BD!$B$3:$B$5001,$A$110)))</f>
        <v/>
      </c>
      <c r="AA118" s="178" t="str">
        <f>IF(AA$3="","",IF(COUNTIFS(BD!$A$3:$A$5001,AA$3,BD!$B$3:$B$5001,$A$110,BD!$U$3:$U$5001,"&lt;&gt;")=0,"",SUMIFS(BD!$U$3:$U$5001,BD!$A$3:$A$5001,AA$3,BD!$B$3:$B$5001,$A$110)))</f>
        <v/>
      </c>
      <c r="AB118" s="178" t="str">
        <f>IF(AB$3="","",IF(COUNTIFS(BD!$A$3:$A$5001,AB$3,BD!$B$3:$B$5001,$A$110,BD!$U$3:$U$5001,"&lt;&gt;")=0,"",SUMIFS(BD!$U$3:$U$5001,BD!$A$3:$A$5001,AB$3,BD!$B$3:$B$5001,$A$110)))</f>
        <v/>
      </c>
      <c r="AC118" s="178" t="str">
        <f>IF(AC$3="","",IF(COUNTIFS(BD!$A$3:$A$5001,AC$3,BD!$B$3:$B$5001,$A$110,BD!$U$3:$U$5001,"&lt;&gt;")=0,"",SUMIFS(BD!$U$3:$U$5001,BD!$A$3:$A$5001,AC$3,BD!$B$3:$B$5001,$A$110)))</f>
        <v/>
      </c>
      <c r="AD118" s="178" t="str">
        <f>IF(AD$3="","",IF(COUNTIFS(BD!$A$3:$A$5001,AD$3,BD!$B$3:$B$5001,$A$110,BD!$U$3:$U$5001,"&lt;&gt;")=0,"",SUMIFS(BD!$U$3:$U$5001,BD!$A$3:$A$5001,AD$3,BD!$B$3:$B$5001,$A$110)))</f>
        <v/>
      </c>
      <c r="AE118" s="178" t="str">
        <f>IF(AE$3="","",IF(COUNTIFS(BD!$A$3:$A$5001,AE$3,BD!$B$3:$B$5001,$A$110,BD!$U$3:$U$5001,"&lt;&gt;")=0,"",SUMIFS(BD!$U$3:$U$5001,BD!$A$3:$A$5001,AE$3,BD!$B$3:$B$5001,$A$110)))</f>
        <v/>
      </c>
      <c r="AF118" s="178" t="str">
        <f>IF(AF$3="","",IF(COUNTIFS(BD!$A$3:$A$5001,AF$3,BD!$B$3:$B$5001,$A$110,BD!$U$3:$U$5001,"&lt;&gt;")=0,"",SUMIFS(BD!$U$3:$U$5001,BD!$A$3:$A$5001,AF$3,BD!$B$3:$B$5001,$A$110)))</f>
        <v/>
      </c>
      <c r="AG118" s="178" t="str">
        <f>IF(AG$3="","",IF(COUNTIFS(BD!$A$3:$A$5001,AG$3,BD!$B$3:$B$5001,$A$110,BD!$U$3:$U$5001,"&lt;&gt;")=0,"",SUMIFS(BD!$U$3:$U$5001,BD!$A$3:$A$5001,AG$3,BD!$B$3:$B$5001,$A$110)))</f>
        <v/>
      </c>
      <c r="AH118" s="178" t="str">
        <f>IF(AH$3="","",IF(COUNTIFS(BD!$A$3:$A$5001,AH$3,BD!$B$3:$B$5001,$A$110,BD!$U$3:$U$5001,"&lt;&gt;")=0,"",SUMIFS(BD!$U$3:$U$5001,BD!$A$3:$A$5001,AH$3,BD!$B$3:$B$5001,$A$110)))</f>
        <v/>
      </c>
      <c r="AI118" s="178" t="str">
        <f>IF(AI$3="","",IF(COUNTIFS(BD!$A$3:$A$5001,AI$3,BD!$B$3:$B$5001,$A$110,BD!$U$3:$U$5001,"&lt;&gt;")=0,"",SUMIFS(BD!$U$3:$U$5001,BD!$A$3:$A$5001,AI$3,BD!$B$3:$B$5001,$A$110)))</f>
        <v/>
      </c>
      <c r="AJ118" s="179" t="str">
        <f>IF(AJ$3="","",IF(COUNTIFS(BD!$A$3:$A$5001,AJ$3,BD!$B$3:$B$5001,$A$110,BD!$U$3:$U$5001,"&lt;&gt;")=0,"",SUMIFS(BD!$U$3:$U$5001,BD!$A$3:$A$5001,AJ$3,BD!$B$3:$B$5001,$A$110)))</f>
        <v/>
      </c>
      <c r="AK118" s="180" t="str">
        <f>IF(COUNT(F118:AJ118)=0,"",SUM(F118:AJ118))</f>
        <v/>
      </c>
    </row>
    <row r="119" ht="15.75" customHeight="1">
      <c r="A119" s="237"/>
      <c r="B119" s="230"/>
      <c r="C119" s="181" t="inlineStr">
        <is>
          <t xml:space="preserve">No show</t>
        </is>
      </c>
      <c r="D119" s="182" t="str">
        <f>IFERROR(1/(1/INDEX(BD!$AK$42:$AU$42,MATCH($A$110,BD!$AK$22:$AU$22,0))),"")</f>
        <v/>
      </c>
      <c r="E119" s="183"/>
      <c r="F119" s="184" t="str">
        <f>IF(F$3="","",IF(COUNTIFS(BD!$A$3:$A$5001,F$3,BD!$B$3:$B$5001,$A$110,BD!$V$3:$V$5001,"&lt;&gt;")=0,"",SUMIFS(BD!$V$3:$V$5001,BD!$A$3:$A$5001,F$3,BD!$B$3:$B$5001,$A$110)))</f>
        <v/>
      </c>
      <c r="G119" s="185" t="str">
        <f>IF(G$3="","",IF(COUNTIFS(BD!$A$3:$A$5001,G$3,BD!$B$3:$B$5001,$A$110,BD!$V$3:$V$5001,"&lt;&gt;")=0,"",SUMIFS(BD!$V$3:$V$5001,BD!$A$3:$A$5001,G$3,BD!$B$3:$B$5001,$A$110)))</f>
        <v/>
      </c>
      <c r="H119" s="185" t="str">
        <f>IF(H$3="","",IF(COUNTIFS(BD!$A$3:$A$5001,H$3,BD!$B$3:$B$5001,$A$110,BD!$V$3:$V$5001,"&lt;&gt;")=0,"",SUMIFS(BD!$V$3:$V$5001,BD!$A$3:$A$5001,H$3,BD!$B$3:$B$5001,$A$110)))</f>
        <v/>
      </c>
      <c r="I119" s="185" t="str">
        <f>IF(I$3="","",IF(COUNTIFS(BD!$A$3:$A$5001,I$3,BD!$B$3:$B$5001,$A$110,BD!$V$3:$V$5001,"&lt;&gt;")=0,"",SUMIFS(BD!$V$3:$V$5001,BD!$A$3:$A$5001,I$3,BD!$B$3:$B$5001,$A$110)))</f>
        <v/>
      </c>
      <c r="J119" s="185" t="str">
        <f>IF(J$3="","",IF(COUNTIFS(BD!$A$3:$A$5001,J$3,BD!$B$3:$B$5001,$A$110,BD!$V$3:$V$5001,"&lt;&gt;")=0,"",SUMIFS(BD!$V$3:$V$5001,BD!$A$3:$A$5001,J$3,BD!$B$3:$B$5001,$A$110)))</f>
        <v/>
      </c>
      <c r="K119" s="185" t="str">
        <f>IF(K$3="","",IF(COUNTIFS(BD!$A$3:$A$5001,K$3,BD!$B$3:$B$5001,$A$110,BD!$V$3:$V$5001,"&lt;&gt;")=0,"",SUMIFS(BD!$V$3:$V$5001,BD!$A$3:$A$5001,K$3,BD!$B$3:$B$5001,$A$110)))</f>
        <v/>
      </c>
      <c r="L119" s="185" t="str">
        <f>IF(L$3="","",IF(COUNTIFS(BD!$A$3:$A$5001,L$3,BD!$B$3:$B$5001,$A$110,BD!$V$3:$V$5001,"&lt;&gt;")=0,"",SUMIFS(BD!$V$3:$V$5001,BD!$A$3:$A$5001,L$3,BD!$B$3:$B$5001,$A$110)))</f>
        <v/>
      </c>
      <c r="M119" s="185" t="str">
        <f>IF(M$3="","",IF(COUNTIFS(BD!$A$3:$A$5001,M$3,BD!$B$3:$B$5001,$A$110,BD!$V$3:$V$5001,"&lt;&gt;")=0,"",SUMIFS(BD!$V$3:$V$5001,BD!$A$3:$A$5001,M$3,BD!$B$3:$B$5001,$A$110)))</f>
        <v/>
      </c>
      <c r="N119" s="185" t="str">
        <f>IF(N$3="","",IF(COUNTIFS(BD!$A$3:$A$5001,N$3,BD!$B$3:$B$5001,$A$110,BD!$V$3:$V$5001,"&lt;&gt;")=0,"",SUMIFS(BD!$V$3:$V$5001,BD!$A$3:$A$5001,N$3,BD!$B$3:$B$5001,$A$110)))</f>
        <v/>
      </c>
      <c r="O119" s="185" t="str">
        <f>IF(O$3="","",IF(COUNTIFS(BD!$A$3:$A$5001,O$3,BD!$B$3:$B$5001,$A$110,BD!$V$3:$V$5001,"&lt;&gt;")=0,"",SUMIFS(BD!$V$3:$V$5001,BD!$A$3:$A$5001,O$3,BD!$B$3:$B$5001,$A$110)))</f>
        <v/>
      </c>
      <c r="P119" s="185" t="str">
        <f>IF(P$3="","",IF(COUNTIFS(BD!$A$3:$A$5001,P$3,BD!$B$3:$B$5001,$A$110,BD!$V$3:$V$5001,"&lt;&gt;")=0,"",SUMIFS(BD!$V$3:$V$5001,BD!$A$3:$A$5001,P$3,BD!$B$3:$B$5001,$A$110)))</f>
        <v/>
      </c>
      <c r="Q119" s="185" t="str">
        <f>IF(Q$3="","",IF(COUNTIFS(BD!$A$3:$A$5001,Q$3,BD!$B$3:$B$5001,$A$110,BD!$V$3:$V$5001,"&lt;&gt;")=0,"",SUMIFS(BD!$V$3:$V$5001,BD!$A$3:$A$5001,Q$3,BD!$B$3:$B$5001,$A$110)))</f>
        <v/>
      </c>
      <c r="R119" s="185" t="str">
        <f>IF(R$3="","",IF(COUNTIFS(BD!$A$3:$A$5001,R$3,BD!$B$3:$B$5001,$A$110,BD!$V$3:$V$5001,"&lt;&gt;")=0,"",SUMIFS(BD!$V$3:$V$5001,BD!$A$3:$A$5001,R$3,BD!$B$3:$B$5001,$A$110)))</f>
        <v/>
      </c>
      <c r="S119" s="185" t="str">
        <f>IF(S$3="","",IF(COUNTIFS(BD!$A$3:$A$5001,S$3,BD!$B$3:$B$5001,$A$110,BD!$V$3:$V$5001,"&lt;&gt;")=0,"",SUMIFS(BD!$V$3:$V$5001,BD!$A$3:$A$5001,S$3,BD!$B$3:$B$5001,$A$110)))</f>
        <v/>
      </c>
      <c r="T119" s="185" t="str">
        <f>IF(T$3="","",IF(COUNTIFS(BD!$A$3:$A$5001,T$3,BD!$B$3:$B$5001,$A$110,BD!$V$3:$V$5001,"&lt;&gt;")=0,"",SUMIFS(BD!$V$3:$V$5001,BD!$A$3:$A$5001,T$3,BD!$B$3:$B$5001,$A$110)))</f>
        <v/>
      </c>
      <c r="U119" s="185" t="str">
        <f>IF(U$3="","",IF(COUNTIFS(BD!$A$3:$A$5001,U$3,BD!$B$3:$B$5001,$A$110,BD!$V$3:$V$5001,"&lt;&gt;")=0,"",SUMIFS(BD!$V$3:$V$5001,BD!$A$3:$A$5001,U$3,BD!$B$3:$B$5001,$A$110)))</f>
        <v/>
      </c>
      <c r="V119" s="185" t="str">
        <f>IF(V$3="","",IF(COUNTIFS(BD!$A$3:$A$5001,V$3,BD!$B$3:$B$5001,$A$110,BD!$V$3:$V$5001,"&lt;&gt;")=0,"",SUMIFS(BD!$V$3:$V$5001,BD!$A$3:$A$5001,V$3,BD!$B$3:$B$5001,$A$110)))</f>
        <v/>
      </c>
      <c r="W119" s="185" t="str">
        <f>IF(W$3="","",IF(COUNTIFS(BD!$A$3:$A$5001,W$3,BD!$B$3:$B$5001,$A$110,BD!$V$3:$V$5001,"&lt;&gt;")=0,"",SUMIFS(BD!$V$3:$V$5001,BD!$A$3:$A$5001,W$3,BD!$B$3:$B$5001,$A$110)))</f>
        <v/>
      </c>
      <c r="X119" s="185" t="str">
        <f>IF(X$3="","",IF(COUNTIFS(BD!$A$3:$A$5001,X$3,BD!$B$3:$B$5001,$A$110,BD!$V$3:$V$5001,"&lt;&gt;")=0,"",SUMIFS(BD!$V$3:$V$5001,BD!$A$3:$A$5001,X$3,BD!$B$3:$B$5001,$A$110)))</f>
        <v/>
      </c>
      <c r="Y119" s="185" t="str">
        <f>IF(Y$3="","",IF(COUNTIFS(BD!$A$3:$A$5001,Y$3,BD!$B$3:$B$5001,$A$110,BD!$V$3:$V$5001,"&lt;&gt;")=0,"",SUMIFS(BD!$V$3:$V$5001,BD!$A$3:$A$5001,Y$3,BD!$B$3:$B$5001,$A$110)))</f>
        <v/>
      </c>
      <c r="Z119" s="185" t="str">
        <f>IF(Z$3="","",IF(COUNTIFS(BD!$A$3:$A$5001,Z$3,BD!$B$3:$B$5001,$A$110,BD!$V$3:$V$5001,"&lt;&gt;")=0,"",SUMIFS(BD!$V$3:$V$5001,BD!$A$3:$A$5001,Z$3,BD!$B$3:$B$5001,$A$110)))</f>
        <v/>
      </c>
      <c r="AA119" s="185" t="str">
        <f>IF(AA$3="","",IF(COUNTIFS(BD!$A$3:$A$5001,AA$3,BD!$B$3:$B$5001,$A$110,BD!$V$3:$V$5001,"&lt;&gt;")=0,"",SUMIFS(BD!$V$3:$V$5001,BD!$A$3:$A$5001,AA$3,BD!$B$3:$B$5001,$A$110)))</f>
        <v/>
      </c>
      <c r="AB119" s="185" t="str">
        <f>IF(AB$3="","",IF(COUNTIFS(BD!$A$3:$A$5001,AB$3,BD!$B$3:$B$5001,$A$110,BD!$V$3:$V$5001,"&lt;&gt;")=0,"",SUMIFS(BD!$V$3:$V$5001,BD!$A$3:$A$5001,AB$3,BD!$B$3:$B$5001,$A$110)))</f>
        <v/>
      </c>
      <c r="AC119" s="185" t="str">
        <f>IF(AC$3="","",IF(COUNTIFS(BD!$A$3:$A$5001,AC$3,BD!$B$3:$B$5001,$A$110,BD!$V$3:$V$5001,"&lt;&gt;")=0,"",SUMIFS(BD!$V$3:$V$5001,BD!$A$3:$A$5001,AC$3,BD!$B$3:$B$5001,$A$110)))</f>
        <v/>
      </c>
      <c r="AD119" s="185" t="str">
        <f>IF(AD$3="","",IF(COUNTIFS(BD!$A$3:$A$5001,AD$3,BD!$B$3:$B$5001,$A$110,BD!$V$3:$V$5001,"&lt;&gt;")=0,"",SUMIFS(BD!$V$3:$V$5001,BD!$A$3:$A$5001,AD$3,BD!$B$3:$B$5001,$A$110)))</f>
        <v/>
      </c>
      <c r="AE119" s="185" t="str">
        <f>IF(AE$3="","",IF(COUNTIFS(BD!$A$3:$A$5001,AE$3,BD!$B$3:$B$5001,$A$110,BD!$V$3:$V$5001,"&lt;&gt;")=0,"",SUMIFS(BD!$V$3:$V$5001,BD!$A$3:$A$5001,AE$3,BD!$B$3:$B$5001,$A$110)))</f>
        <v/>
      </c>
      <c r="AF119" s="185" t="str">
        <f>IF(AF$3="","",IF(COUNTIFS(BD!$A$3:$A$5001,AF$3,BD!$B$3:$B$5001,$A$110,BD!$V$3:$V$5001,"&lt;&gt;")=0,"",SUMIFS(BD!$V$3:$V$5001,BD!$A$3:$A$5001,AF$3,BD!$B$3:$B$5001,$A$110)))</f>
        <v/>
      </c>
      <c r="AG119" s="185" t="str">
        <f>IF(AG$3="","",IF(COUNTIFS(BD!$A$3:$A$5001,AG$3,BD!$B$3:$B$5001,$A$110,BD!$V$3:$V$5001,"&lt;&gt;")=0,"",SUMIFS(BD!$V$3:$V$5001,BD!$A$3:$A$5001,AG$3,BD!$B$3:$B$5001,$A$110)))</f>
        <v/>
      </c>
      <c r="AH119" s="185" t="str">
        <f>IF(AH$3="","",IF(COUNTIFS(BD!$A$3:$A$5001,AH$3,BD!$B$3:$B$5001,$A$110,BD!$V$3:$V$5001,"&lt;&gt;")=0,"",SUMIFS(BD!$V$3:$V$5001,BD!$A$3:$A$5001,AH$3,BD!$B$3:$B$5001,$A$110)))</f>
        <v/>
      </c>
      <c r="AI119" s="185" t="str">
        <f>IF(AI$3="","",IF(COUNTIFS(BD!$A$3:$A$5001,AI$3,BD!$B$3:$B$5001,$A$110,BD!$V$3:$V$5001,"&lt;&gt;")=0,"",SUMIFS(BD!$V$3:$V$5001,BD!$A$3:$A$5001,AI$3,BD!$B$3:$B$5001,$A$110)))</f>
        <v/>
      </c>
      <c r="AJ119" s="186" t="str">
        <f>IF(AJ$3="","",IF(COUNTIFS(BD!$A$3:$A$5001,AJ$3,BD!$B$3:$B$5001,$A$110,BD!$V$3:$V$5001,"&lt;&gt;")=0,"",SUMIFS(BD!$V$3:$V$5001,BD!$A$3:$A$5001,AJ$3,BD!$B$3:$B$5001,$A$110)))</f>
        <v/>
      </c>
      <c r="AK119" s="187" t="str">
        <f>IF(COUNT(F119:AJ119)=0,"",SUM(F119:AJ119))</f>
        <v/>
      </c>
    </row>
    <row r="120" ht="15.75" customHeight="1">
      <c r="A120" s="237"/>
      <c r="B120" s="231"/>
      <c r="C120" s="188" t="inlineStr">
        <is>
          <t xml:space="preserve">Backlog</t>
        </is>
      </c>
      <c r="D120" s="189" t="str">
        <f>IFERROR(1/(1/INDEX(BD!$AK$43:$AU$43,MATCH($A$110,BD!$AK$22:$AU$22,0))),"")</f>
        <v/>
      </c>
      <c r="E120" s="190"/>
      <c r="F120" s="191" t="str">
        <f>IF(F$3="","",IF(COUNTIFS(BD!$A$3:$A$5001,F$3,BD!$B$3:$B$5001,$A$110,BD!$W$3:$W$5001,"&lt;&gt;")=0,"",SUMIFS(BD!$W$3:$W$5001,BD!$A$3:$A$5001,F$3,BD!$B$3:$B$5001,$A$110)))</f>
        <v/>
      </c>
      <c r="G120" s="192" t="str">
        <f>IF(G$3="","",IF(COUNTIFS(BD!$A$3:$A$5001,G$3,BD!$B$3:$B$5001,$A$110,BD!$W$3:$W$5001,"&lt;&gt;")=0,"",SUMIFS(BD!$W$3:$W$5001,BD!$A$3:$A$5001,G$3,BD!$B$3:$B$5001,$A$110)))</f>
        <v/>
      </c>
      <c r="H120" s="192" t="str">
        <f>IF(H$3="","",IF(COUNTIFS(BD!$A$3:$A$5001,H$3,BD!$B$3:$B$5001,$A$110,BD!$W$3:$W$5001,"&lt;&gt;")=0,"",SUMIFS(BD!$W$3:$W$5001,BD!$A$3:$A$5001,H$3,BD!$B$3:$B$5001,$A$110)))</f>
        <v/>
      </c>
      <c r="I120" s="192" t="str">
        <f>IF(I$3="","",IF(COUNTIFS(BD!$A$3:$A$5001,I$3,BD!$B$3:$B$5001,$A$110,BD!$W$3:$W$5001,"&lt;&gt;")=0,"",SUMIFS(BD!$W$3:$W$5001,BD!$A$3:$A$5001,I$3,BD!$B$3:$B$5001,$A$110)))</f>
        <v/>
      </c>
      <c r="J120" s="192" t="str">
        <f>IF(J$3="","",IF(COUNTIFS(BD!$A$3:$A$5001,J$3,BD!$B$3:$B$5001,$A$110,BD!$W$3:$W$5001,"&lt;&gt;")=0,"",SUMIFS(BD!$W$3:$W$5001,BD!$A$3:$A$5001,J$3,BD!$B$3:$B$5001,$A$110)))</f>
        <v/>
      </c>
      <c r="K120" s="192" t="str">
        <f>IF(K$3="","",IF(COUNTIFS(BD!$A$3:$A$5001,K$3,BD!$B$3:$B$5001,$A$110,BD!$W$3:$W$5001,"&lt;&gt;")=0,"",SUMIFS(BD!$W$3:$W$5001,BD!$A$3:$A$5001,K$3,BD!$B$3:$B$5001,$A$110)))</f>
        <v/>
      </c>
      <c r="L120" s="192" t="str">
        <f>IF(L$3="","",IF(COUNTIFS(BD!$A$3:$A$5001,L$3,BD!$B$3:$B$5001,$A$110,BD!$W$3:$W$5001,"&lt;&gt;")=0,"",SUMIFS(BD!$W$3:$W$5001,BD!$A$3:$A$5001,L$3,BD!$B$3:$B$5001,$A$110)))</f>
        <v/>
      </c>
      <c r="M120" s="192" t="str">
        <f>IF(M$3="","",IF(COUNTIFS(BD!$A$3:$A$5001,M$3,BD!$B$3:$B$5001,$A$110,BD!$W$3:$W$5001,"&lt;&gt;")=0,"",SUMIFS(BD!$W$3:$W$5001,BD!$A$3:$A$5001,M$3,BD!$B$3:$B$5001,$A$110)))</f>
        <v/>
      </c>
      <c r="N120" s="192" t="str">
        <f>IF(N$3="","",IF(COUNTIFS(BD!$A$3:$A$5001,N$3,BD!$B$3:$B$5001,$A$110,BD!$W$3:$W$5001,"&lt;&gt;")=0,"",SUMIFS(BD!$W$3:$W$5001,BD!$A$3:$A$5001,N$3,BD!$B$3:$B$5001,$A$110)))</f>
        <v/>
      </c>
      <c r="O120" s="192" t="str">
        <f>IF(O$3="","",IF(COUNTIFS(BD!$A$3:$A$5001,O$3,BD!$B$3:$B$5001,$A$110,BD!$W$3:$W$5001,"&lt;&gt;")=0,"",SUMIFS(BD!$W$3:$W$5001,BD!$A$3:$A$5001,O$3,BD!$B$3:$B$5001,$A$110)))</f>
        <v/>
      </c>
      <c r="P120" s="192" t="str">
        <f>IF(P$3="","",IF(COUNTIFS(BD!$A$3:$A$5001,P$3,BD!$B$3:$B$5001,$A$110,BD!$W$3:$W$5001,"&lt;&gt;")=0,"",SUMIFS(BD!$W$3:$W$5001,BD!$A$3:$A$5001,P$3,BD!$B$3:$B$5001,$A$110)))</f>
        <v/>
      </c>
      <c r="Q120" s="192" t="str">
        <f>IF(Q$3="","",IF(COUNTIFS(BD!$A$3:$A$5001,Q$3,BD!$B$3:$B$5001,$A$110,BD!$W$3:$W$5001,"&lt;&gt;")=0,"",SUMIFS(BD!$W$3:$W$5001,BD!$A$3:$A$5001,Q$3,BD!$B$3:$B$5001,$A$110)))</f>
        <v/>
      </c>
      <c r="R120" s="192" t="str">
        <f>IF(R$3="","",IF(COUNTIFS(BD!$A$3:$A$5001,R$3,BD!$B$3:$B$5001,$A$110,BD!$W$3:$W$5001,"&lt;&gt;")=0,"",SUMIFS(BD!$W$3:$W$5001,BD!$A$3:$A$5001,R$3,BD!$B$3:$B$5001,$A$110)))</f>
        <v/>
      </c>
      <c r="S120" s="192" t="str">
        <f>IF(S$3="","",IF(COUNTIFS(BD!$A$3:$A$5001,S$3,BD!$B$3:$B$5001,$A$110,BD!$W$3:$W$5001,"&lt;&gt;")=0,"",SUMIFS(BD!$W$3:$W$5001,BD!$A$3:$A$5001,S$3,BD!$B$3:$B$5001,$A$110)))</f>
        <v/>
      </c>
      <c r="T120" s="192" t="str">
        <f>IF(T$3="","",IF(COUNTIFS(BD!$A$3:$A$5001,T$3,BD!$B$3:$B$5001,$A$110,BD!$W$3:$W$5001,"&lt;&gt;")=0,"",SUMIFS(BD!$W$3:$W$5001,BD!$A$3:$A$5001,T$3,BD!$B$3:$B$5001,$A$110)))</f>
        <v/>
      </c>
      <c r="U120" s="192" t="str">
        <f>IF(U$3="","",IF(COUNTIFS(BD!$A$3:$A$5001,U$3,BD!$B$3:$B$5001,$A$110,BD!$W$3:$W$5001,"&lt;&gt;")=0,"",SUMIFS(BD!$W$3:$W$5001,BD!$A$3:$A$5001,U$3,BD!$B$3:$B$5001,$A$110)))</f>
        <v/>
      </c>
      <c r="V120" s="192" t="str">
        <f>IF(V$3="","",IF(COUNTIFS(BD!$A$3:$A$5001,V$3,BD!$B$3:$B$5001,$A$110,BD!$W$3:$W$5001,"&lt;&gt;")=0,"",SUMIFS(BD!$W$3:$W$5001,BD!$A$3:$A$5001,V$3,BD!$B$3:$B$5001,$A$110)))</f>
        <v/>
      </c>
      <c r="W120" s="192" t="str">
        <f>IF(W$3="","",IF(COUNTIFS(BD!$A$3:$A$5001,W$3,BD!$B$3:$B$5001,$A$110,BD!$W$3:$W$5001,"&lt;&gt;")=0,"",SUMIFS(BD!$W$3:$W$5001,BD!$A$3:$A$5001,W$3,BD!$B$3:$B$5001,$A$110)))</f>
        <v/>
      </c>
      <c r="X120" s="192" t="str">
        <f>IF(X$3="","",IF(COUNTIFS(BD!$A$3:$A$5001,X$3,BD!$B$3:$B$5001,$A$110,BD!$W$3:$W$5001,"&lt;&gt;")=0,"",SUMIFS(BD!$W$3:$W$5001,BD!$A$3:$A$5001,X$3,BD!$B$3:$B$5001,$A$110)))</f>
        <v/>
      </c>
      <c r="Y120" s="192" t="str">
        <f>IF(Y$3="","",IF(COUNTIFS(BD!$A$3:$A$5001,Y$3,BD!$B$3:$B$5001,$A$110,BD!$W$3:$W$5001,"&lt;&gt;")=0,"",SUMIFS(BD!$W$3:$W$5001,BD!$A$3:$A$5001,Y$3,BD!$B$3:$B$5001,$A$110)))</f>
        <v/>
      </c>
      <c r="Z120" s="192" t="str">
        <f>IF(Z$3="","",IF(COUNTIFS(BD!$A$3:$A$5001,Z$3,BD!$B$3:$B$5001,$A$110,BD!$W$3:$W$5001,"&lt;&gt;")=0,"",SUMIFS(BD!$W$3:$W$5001,BD!$A$3:$A$5001,Z$3,BD!$B$3:$B$5001,$A$110)))</f>
        <v/>
      </c>
      <c r="AA120" s="192" t="str">
        <f>IF(AA$3="","",IF(COUNTIFS(BD!$A$3:$A$5001,AA$3,BD!$B$3:$B$5001,$A$110,BD!$W$3:$W$5001,"&lt;&gt;")=0,"",SUMIFS(BD!$W$3:$W$5001,BD!$A$3:$A$5001,AA$3,BD!$B$3:$B$5001,$A$110)))</f>
        <v/>
      </c>
      <c r="AB120" s="192" t="str">
        <f>IF(AB$3="","",IF(COUNTIFS(BD!$A$3:$A$5001,AB$3,BD!$B$3:$B$5001,$A$110,BD!$W$3:$W$5001,"&lt;&gt;")=0,"",SUMIFS(BD!$W$3:$W$5001,BD!$A$3:$A$5001,AB$3,BD!$B$3:$B$5001,$A$110)))</f>
        <v/>
      </c>
      <c r="AC120" s="192" t="str">
        <f>IF(AC$3="","",IF(COUNTIFS(BD!$A$3:$A$5001,AC$3,BD!$B$3:$B$5001,$A$110,BD!$W$3:$W$5001,"&lt;&gt;")=0,"",SUMIFS(BD!$W$3:$W$5001,BD!$A$3:$A$5001,AC$3,BD!$B$3:$B$5001,$A$110)))</f>
        <v/>
      </c>
      <c r="AD120" s="192" t="str">
        <f>IF(AD$3="","",IF(COUNTIFS(BD!$A$3:$A$5001,AD$3,BD!$B$3:$B$5001,$A$110,BD!$W$3:$W$5001,"&lt;&gt;")=0,"",SUMIFS(BD!$W$3:$W$5001,BD!$A$3:$A$5001,AD$3,BD!$B$3:$B$5001,$A$110)))</f>
        <v/>
      </c>
      <c r="AE120" s="192" t="str">
        <f>IF(AE$3="","",IF(COUNTIFS(BD!$A$3:$A$5001,AE$3,BD!$B$3:$B$5001,$A$110,BD!$W$3:$W$5001,"&lt;&gt;")=0,"",SUMIFS(BD!$W$3:$W$5001,BD!$A$3:$A$5001,AE$3,BD!$B$3:$B$5001,$A$110)))</f>
        <v/>
      </c>
      <c r="AF120" s="192" t="str">
        <f>IF(AF$3="","",IF(COUNTIFS(BD!$A$3:$A$5001,AF$3,BD!$B$3:$B$5001,$A$110,BD!$W$3:$W$5001,"&lt;&gt;")=0,"",SUMIFS(BD!$W$3:$W$5001,BD!$A$3:$A$5001,AF$3,BD!$B$3:$B$5001,$A$110)))</f>
        <v/>
      </c>
      <c r="AG120" s="192" t="str">
        <f>IF(AG$3="","",IF(COUNTIFS(BD!$A$3:$A$5001,AG$3,BD!$B$3:$B$5001,$A$110,BD!$W$3:$W$5001,"&lt;&gt;")=0,"",SUMIFS(BD!$W$3:$W$5001,BD!$A$3:$A$5001,AG$3,BD!$B$3:$B$5001,$A$110)))</f>
        <v/>
      </c>
      <c r="AH120" s="192" t="str">
        <f>IF(AH$3="","",IF(COUNTIFS(BD!$A$3:$A$5001,AH$3,BD!$B$3:$B$5001,$A$110,BD!$W$3:$W$5001,"&lt;&gt;")=0,"",SUMIFS(BD!$W$3:$W$5001,BD!$A$3:$A$5001,AH$3,BD!$B$3:$B$5001,$A$110)))</f>
        <v/>
      </c>
      <c r="AI120" s="192" t="str">
        <f>IF(AI$3="","",IF(COUNTIFS(BD!$A$3:$A$5001,AI$3,BD!$B$3:$B$5001,$A$110,BD!$W$3:$W$5001,"&lt;&gt;")=0,"",SUMIFS(BD!$W$3:$W$5001,BD!$A$3:$A$5001,AI$3,BD!$B$3:$B$5001,$A$110)))</f>
        <v/>
      </c>
      <c r="AJ120" s="193" t="str">
        <f>IF(AJ$3="","",IF(COUNTIFS(BD!$A$3:$A$5001,AJ$3,BD!$B$3:$B$5001,$A$110,BD!$W$3:$W$5001,"&lt;&gt;")=0,"",SUMIFS(BD!$W$3:$W$5001,BD!$A$3:$A$5001,AJ$3,BD!$B$3:$B$5001,$A$110)))</f>
        <v/>
      </c>
      <c r="AK120" s="189" t="str">
        <f>IFERROR(LOOKUP(9.99E+307,F120:AJ120),"")</f>
        <v/>
      </c>
    </row>
    <row r="121" ht="15.75" customHeight="1">
      <c r="A121" s="237"/>
      <c r="B121" s="225" t="inlineStr">
        <is>
          <t xml:space="preserve">OCUPAÇÃO (P.P)</t>
        </is>
      </c>
      <c r="C121" s="148" t="inlineStr">
        <is>
          <t xml:space="preserve">Posições Disponíveis</t>
        </is>
      </c>
      <c r="D121" s="149" t="str">
        <f>IFERROR(1/(1/INDEX(BD!$AK$44:$AU$44,MATCH($A$110,BD!$AK$22:$AU$22,0))),"")</f>
        <v/>
      </c>
      <c r="E121" s="150"/>
      <c r="F121" s="151" t="str">
        <f>IF(F$3="","",IF(COUNTIFS(BD!$A$3:$A$5001,F$3,BD!$B$3:$B$5001,$A$110,BD!$X$3:$X$5001,"&lt;&gt;")=0,"",SUMIFS(BD!$X$3:$X$5001,BD!$A$3:$A$5001,F$3,BD!$B$3:$B$5001,$A$110)))</f>
        <v/>
      </c>
      <c r="G121" s="152" t="str">
        <f>IF(G$3="","",IF(COUNTIFS(BD!$A$3:$A$5001,G$3,BD!$B$3:$B$5001,$A$110,BD!$X$3:$X$5001,"&lt;&gt;")=0,"",SUMIFS(BD!$X$3:$X$5001,BD!$A$3:$A$5001,G$3,BD!$B$3:$B$5001,$A$110)))</f>
        <v/>
      </c>
      <c r="H121" s="152" t="str">
        <f>IF(H$3="","",IF(COUNTIFS(BD!$A$3:$A$5001,H$3,BD!$B$3:$B$5001,$A$110,BD!$X$3:$X$5001,"&lt;&gt;")=0,"",SUMIFS(BD!$X$3:$X$5001,BD!$A$3:$A$5001,H$3,BD!$B$3:$B$5001,$A$110)))</f>
        <v/>
      </c>
      <c r="I121" s="152" t="str">
        <f>IF(I$3="","",IF(COUNTIFS(BD!$A$3:$A$5001,I$3,BD!$B$3:$B$5001,$A$110,BD!$X$3:$X$5001,"&lt;&gt;")=0,"",SUMIFS(BD!$X$3:$X$5001,BD!$A$3:$A$5001,I$3,BD!$B$3:$B$5001,$A$110)))</f>
        <v/>
      </c>
      <c r="J121" s="152" t="str">
        <f>IF(J$3="","",IF(COUNTIFS(BD!$A$3:$A$5001,J$3,BD!$B$3:$B$5001,$A$110,BD!$X$3:$X$5001,"&lt;&gt;")=0,"",SUMIFS(BD!$X$3:$X$5001,BD!$A$3:$A$5001,J$3,BD!$B$3:$B$5001,$A$110)))</f>
        <v/>
      </c>
      <c r="K121" s="152" t="str">
        <f>IF(K$3="","",IF(COUNTIFS(BD!$A$3:$A$5001,K$3,BD!$B$3:$B$5001,$A$110,BD!$X$3:$X$5001,"&lt;&gt;")=0,"",SUMIFS(BD!$X$3:$X$5001,BD!$A$3:$A$5001,K$3,BD!$B$3:$B$5001,$A$110)))</f>
        <v/>
      </c>
      <c r="L121" s="152" t="str">
        <f>IF(L$3="","",IF(COUNTIFS(BD!$A$3:$A$5001,L$3,BD!$B$3:$B$5001,$A$110,BD!$X$3:$X$5001,"&lt;&gt;")=0,"",SUMIFS(BD!$X$3:$X$5001,BD!$A$3:$A$5001,L$3,BD!$B$3:$B$5001,$A$110)))</f>
        <v/>
      </c>
      <c r="M121" s="152" t="str">
        <f>IF(M$3="","",IF(COUNTIFS(BD!$A$3:$A$5001,M$3,BD!$B$3:$B$5001,$A$110,BD!$X$3:$X$5001,"&lt;&gt;")=0,"",SUMIFS(BD!$X$3:$X$5001,BD!$A$3:$A$5001,M$3,BD!$B$3:$B$5001,$A$110)))</f>
        <v/>
      </c>
      <c r="N121" s="152" t="str">
        <f>IF(N$3="","",IF(COUNTIFS(BD!$A$3:$A$5001,N$3,BD!$B$3:$B$5001,$A$110,BD!$X$3:$X$5001,"&lt;&gt;")=0,"",SUMIFS(BD!$X$3:$X$5001,BD!$A$3:$A$5001,N$3,BD!$B$3:$B$5001,$A$110)))</f>
        <v/>
      </c>
      <c r="O121" s="152" t="str">
        <f>IF(O$3="","",IF(COUNTIFS(BD!$A$3:$A$5001,O$3,BD!$B$3:$B$5001,$A$110,BD!$X$3:$X$5001,"&lt;&gt;")=0,"",SUMIFS(BD!$X$3:$X$5001,BD!$A$3:$A$5001,O$3,BD!$B$3:$B$5001,$A$110)))</f>
        <v/>
      </c>
      <c r="P121" s="152" t="str">
        <f>IF(P$3="","",IF(COUNTIFS(BD!$A$3:$A$5001,P$3,BD!$B$3:$B$5001,$A$110,BD!$X$3:$X$5001,"&lt;&gt;")=0,"",SUMIFS(BD!$X$3:$X$5001,BD!$A$3:$A$5001,P$3,BD!$B$3:$B$5001,$A$110)))</f>
        <v/>
      </c>
      <c r="Q121" s="152" t="str">
        <f>IF(Q$3="","",IF(COUNTIFS(BD!$A$3:$A$5001,Q$3,BD!$B$3:$B$5001,$A$110,BD!$X$3:$X$5001,"&lt;&gt;")=0,"",SUMIFS(BD!$X$3:$X$5001,BD!$A$3:$A$5001,Q$3,BD!$B$3:$B$5001,$A$110)))</f>
        <v/>
      </c>
      <c r="R121" s="152" t="str">
        <f>IF(R$3="","",IF(COUNTIFS(BD!$A$3:$A$5001,R$3,BD!$B$3:$B$5001,$A$110,BD!$X$3:$X$5001,"&lt;&gt;")=0,"",SUMIFS(BD!$X$3:$X$5001,BD!$A$3:$A$5001,R$3,BD!$B$3:$B$5001,$A$110)))</f>
        <v/>
      </c>
      <c r="S121" s="152" t="str">
        <f>IF(S$3="","",IF(COUNTIFS(BD!$A$3:$A$5001,S$3,BD!$B$3:$B$5001,$A$110,BD!$X$3:$X$5001,"&lt;&gt;")=0,"",SUMIFS(BD!$X$3:$X$5001,BD!$A$3:$A$5001,S$3,BD!$B$3:$B$5001,$A$110)))</f>
        <v/>
      </c>
      <c r="T121" s="152" t="str">
        <f>IF(T$3="","",IF(COUNTIFS(BD!$A$3:$A$5001,T$3,BD!$B$3:$B$5001,$A$110,BD!$X$3:$X$5001,"&lt;&gt;")=0,"",SUMIFS(BD!$X$3:$X$5001,BD!$A$3:$A$5001,T$3,BD!$B$3:$B$5001,$A$110)))</f>
        <v/>
      </c>
      <c r="U121" s="152" t="str">
        <f>IF(U$3="","",IF(COUNTIFS(BD!$A$3:$A$5001,U$3,BD!$B$3:$B$5001,$A$110,BD!$X$3:$X$5001,"&lt;&gt;")=0,"",SUMIFS(BD!$X$3:$X$5001,BD!$A$3:$A$5001,U$3,BD!$B$3:$B$5001,$A$110)))</f>
        <v/>
      </c>
      <c r="V121" s="152" t="str">
        <f>IF(V$3="","",IF(COUNTIFS(BD!$A$3:$A$5001,V$3,BD!$B$3:$B$5001,$A$110,BD!$X$3:$X$5001,"&lt;&gt;")=0,"",SUMIFS(BD!$X$3:$X$5001,BD!$A$3:$A$5001,V$3,BD!$B$3:$B$5001,$A$110)))</f>
        <v/>
      </c>
      <c r="W121" s="152" t="str">
        <f>IF(W$3="","",IF(COUNTIFS(BD!$A$3:$A$5001,W$3,BD!$B$3:$B$5001,$A$110,BD!$X$3:$X$5001,"&lt;&gt;")=0,"",SUMIFS(BD!$X$3:$X$5001,BD!$A$3:$A$5001,W$3,BD!$B$3:$B$5001,$A$110)))</f>
        <v/>
      </c>
      <c r="X121" s="152" t="str">
        <f>IF(X$3="","",IF(COUNTIFS(BD!$A$3:$A$5001,X$3,BD!$B$3:$B$5001,$A$110,BD!$X$3:$X$5001,"&lt;&gt;")=0,"",SUMIFS(BD!$X$3:$X$5001,BD!$A$3:$A$5001,X$3,BD!$B$3:$B$5001,$A$110)))</f>
        <v/>
      </c>
      <c r="Y121" s="152" t="str">
        <f>IF(Y$3="","",IF(COUNTIFS(BD!$A$3:$A$5001,Y$3,BD!$B$3:$B$5001,$A$110,BD!$X$3:$X$5001,"&lt;&gt;")=0,"",SUMIFS(BD!$X$3:$X$5001,BD!$A$3:$A$5001,Y$3,BD!$B$3:$B$5001,$A$110)))</f>
        <v/>
      </c>
      <c r="Z121" s="152" t="str">
        <f>IF(Z$3="","",IF(COUNTIFS(BD!$A$3:$A$5001,Z$3,BD!$B$3:$B$5001,$A$110,BD!$X$3:$X$5001,"&lt;&gt;")=0,"",SUMIFS(BD!$X$3:$X$5001,BD!$A$3:$A$5001,Z$3,BD!$B$3:$B$5001,$A$110)))</f>
        <v/>
      </c>
      <c r="AA121" s="152" t="str">
        <f>IF(AA$3="","",IF(COUNTIFS(BD!$A$3:$A$5001,AA$3,BD!$B$3:$B$5001,$A$110,BD!$X$3:$X$5001,"&lt;&gt;")=0,"",SUMIFS(BD!$X$3:$X$5001,BD!$A$3:$A$5001,AA$3,BD!$B$3:$B$5001,$A$110)))</f>
        <v/>
      </c>
      <c r="AB121" s="152" t="str">
        <f>IF(AB$3="","",IF(COUNTIFS(BD!$A$3:$A$5001,AB$3,BD!$B$3:$B$5001,$A$110,BD!$X$3:$X$5001,"&lt;&gt;")=0,"",SUMIFS(BD!$X$3:$X$5001,BD!$A$3:$A$5001,AB$3,BD!$B$3:$B$5001,$A$110)))</f>
        <v/>
      </c>
      <c r="AC121" s="152" t="str">
        <f>IF(AC$3="","",IF(COUNTIFS(BD!$A$3:$A$5001,AC$3,BD!$B$3:$B$5001,$A$110,BD!$X$3:$X$5001,"&lt;&gt;")=0,"",SUMIFS(BD!$X$3:$X$5001,BD!$A$3:$A$5001,AC$3,BD!$B$3:$B$5001,$A$110)))</f>
        <v/>
      </c>
      <c r="AD121" s="152" t="str">
        <f>IF(AD$3="","",IF(COUNTIFS(BD!$A$3:$A$5001,AD$3,BD!$B$3:$B$5001,$A$110,BD!$X$3:$X$5001,"&lt;&gt;")=0,"",SUMIFS(BD!$X$3:$X$5001,BD!$A$3:$A$5001,AD$3,BD!$B$3:$B$5001,$A$110)))</f>
        <v/>
      </c>
      <c r="AE121" s="152" t="str">
        <f>IF(AE$3="","",IF(COUNTIFS(BD!$A$3:$A$5001,AE$3,BD!$B$3:$B$5001,$A$110,BD!$X$3:$X$5001,"&lt;&gt;")=0,"",SUMIFS(BD!$X$3:$X$5001,BD!$A$3:$A$5001,AE$3,BD!$B$3:$B$5001,$A$110)))</f>
        <v/>
      </c>
      <c r="AF121" s="152" t="str">
        <f>IF(AF$3="","",IF(COUNTIFS(BD!$A$3:$A$5001,AF$3,BD!$B$3:$B$5001,$A$110,BD!$X$3:$X$5001,"&lt;&gt;")=0,"",SUMIFS(BD!$X$3:$X$5001,BD!$A$3:$A$5001,AF$3,BD!$B$3:$B$5001,$A$110)))</f>
        <v/>
      </c>
      <c r="AG121" s="152" t="str">
        <f>IF(AG$3="","",IF(COUNTIFS(BD!$A$3:$A$5001,AG$3,BD!$B$3:$B$5001,$A$110,BD!$X$3:$X$5001,"&lt;&gt;")=0,"",SUMIFS(BD!$X$3:$X$5001,BD!$A$3:$A$5001,AG$3,BD!$B$3:$B$5001,$A$110)))</f>
        <v/>
      </c>
      <c r="AH121" s="152" t="str">
        <f>IF(AH$3="","",IF(COUNTIFS(BD!$A$3:$A$5001,AH$3,BD!$B$3:$B$5001,$A$110,BD!$X$3:$X$5001,"&lt;&gt;")=0,"",SUMIFS(BD!$X$3:$X$5001,BD!$A$3:$A$5001,AH$3,BD!$B$3:$B$5001,$A$110)))</f>
        <v/>
      </c>
      <c r="AI121" s="152" t="str">
        <f>IF(AI$3="","",IF(COUNTIFS(BD!$A$3:$A$5001,AI$3,BD!$B$3:$B$5001,$A$110,BD!$X$3:$X$5001,"&lt;&gt;")=0,"",SUMIFS(BD!$X$3:$X$5001,BD!$A$3:$A$5001,AI$3,BD!$B$3:$B$5001,$A$110)))</f>
        <v/>
      </c>
      <c r="AJ121" s="153" t="str">
        <f>IF(AJ$3="","",IF(COUNTIFS(BD!$A$3:$A$5001,AJ$3,BD!$B$3:$B$5001,$A$110,BD!$X$3:$X$5001,"&lt;&gt;")=0,"",SUMIFS(BD!$X$3:$X$5001,BD!$A$3:$A$5001,AJ$3,BD!$B$3:$B$5001,$A$110)))</f>
        <v/>
      </c>
      <c r="AK121" s="154" t="str">
        <f>IF(COUNT(F121:AJ121)&gt;0,LOOKUP(9.99E+307,F121:AJ121),IFERROR(IF(INDEX(BD!$AH$3:$AH$5001,MATCH($A$110,BD!$B$3:$B$5001,0))&amp;""="Contrato","",INDEX(BD!$AH$3:$AH$5001,MATCH($A$110,BD!$B$3:$B$5001,0))&amp;""),""))</f>
        <v/>
      </c>
    </row>
    <row r="122" ht="15.75" customHeight="1">
      <c r="A122" s="237"/>
      <c r="B122" s="232"/>
      <c r="C122" s="194" t="inlineStr">
        <is>
          <t xml:space="preserve">Posições Ocupadas</t>
        </is>
      </c>
      <c r="D122" s="195" t="str">
        <f>IFERROR(1/(1/INDEX(BD!$AK$45:$AU$45,MATCH($A$110,BD!$AK$22:$AU$22,0))),"")</f>
        <v/>
      </c>
      <c r="E122" s="196"/>
      <c r="F122" s="197" t="str">
        <f>IF(F$3="","",IF(COUNTIFS(BD!$A$3:$A$5001,F$3,BD!$B$3:$B$5001,$A$110,BD!$Y$3:$Y$5001,"&lt;&gt;")=0,"",SUMIFS(BD!$Y$3:$Y$5001,BD!$A$3:$A$5001,F$3,BD!$B$3:$B$5001,$A$110)))</f>
        <v/>
      </c>
      <c r="G122" s="198" t="str">
        <f>IF(G$3="","",IF(COUNTIFS(BD!$A$3:$A$5001,G$3,BD!$B$3:$B$5001,$A$110,BD!$Y$3:$Y$5001,"&lt;&gt;")=0,"",SUMIFS(BD!$Y$3:$Y$5001,BD!$A$3:$A$5001,G$3,BD!$B$3:$B$5001,$A$110)))</f>
        <v/>
      </c>
      <c r="H122" s="198" t="str">
        <f>IF(H$3="","",IF(COUNTIFS(BD!$A$3:$A$5001,H$3,BD!$B$3:$B$5001,$A$110,BD!$Y$3:$Y$5001,"&lt;&gt;")=0,"",SUMIFS(BD!$Y$3:$Y$5001,BD!$A$3:$A$5001,H$3,BD!$B$3:$B$5001,$A$110)))</f>
        <v/>
      </c>
      <c r="I122" s="198" t="str">
        <f>IF(I$3="","",IF(COUNTIFS(BD!$A$3:$A$5001,I$3,BD!$B$3:$B$5001,$A$110,BD!$Y$3:$Y$5001,"&lt;&gt;")=0,"",SUMIFS(BD!$Y$3:$Y$5001,BD!$A$3:$A$5001,I$3,BD!$B$3:$B$5001,$A$110)))</f>
        <v/>
      </c>
      <c r="J122" s="198" t="str">
        <f>IF(J$3="","",IF(COUNTIFS(BD!$A$3:$A$5001,J$3,BD!$B$3:$B$5001,$A$110,BD!$Y$3:$Y$5001,"&lt;&gt;")=0,"",SUMIFS(BD!$Y$3:$Y$5001,BD!$A$3:$A$5001,J$3,BD!$B$3:$B$5001,$A$110)))</f>
        <v/>
      </c>
      <c r="K122" s="198" t="str">
        <f>IF(K$3="","",IF(COUNTIFS(BD!$A$3:$A$5001,K$3,BD!$B$3:$B$5001,$A$110,BD!$Y$3:$Y$5001,"&lt;&gt;")=0,"",SUMIFS(BD!$Y$3:$Y$5001,BD!$A$3:$A$5001,K$3,BD!$B$3:$B$5001,$A$110)))</f>
        <v/>
      </c>
      <c r="L122" s="198" t="str">
        <f>IF(L$3="","",IF(COUNTIFS(BD!$A$3:$A$5001,L$3,BD!$B$3:$B$5001,$A$110,BD!$Y$3:$Y$5001,"&lt;&gt;")=0,"",SUMIFS(BD!$Y$3:$Y$5001,BD!$A$3:$A$5001,L$3,BD!$B$3:$B$5001,$A$110)))</f>
        <v/>
      </c>
      <c r="M122" s="198" t="str">
        <f>IF(M$3="","",IF(COUNTIFS(BD!$A$3:$A$5001,M$3,BD!$B$3:$B$5001,$A$110,BD!$Y$3:$Y$5001,"&lt;&gt;")=0,"",SUMIFS(BD!$Y$3:$Y$5001,BD!$A$3:$A$5001,M$3,BD!$B$3:$B$5001,$A$110)))</f>
        <v/>
      </c>
      <c r="N122" s="198" t="str">
        <f>IF(N$3="","",IF(COUNTIFS(BD!$A$3:$A$5001,N$3,BD!$B$3:$B$5001,$A$110,BD!$Y$3:$Y$5001,"&lt;&gt;")=0,"",SUMIFS(BD!$Y$3:$Y$5001,BD!$A$3:$A$5001,N$3,BD!$B$3:$B$5001,$A$110)))</f>
        <v/>
      </c>
      <c r="O122" s="198" t="str">
        <f>IF(O$3="","",IF(COUNTIFS(BD!$A$3:$A$5001,O$3,BD!$B$3:$B$5001,$A$110,BD!$Y$3:$Y$5001,"&lt;&gt;")=0,"",SUMIFS(BD!$Y$3:$Y$5001,BD!$A$3:$A$5001,O$3,BD!$B$3:$B$5001,$A$110)))</f>
        <v/>
      </c>
      <c r="P122" s="198" t="str">
        <f>IF(P$3="","",IF(COUNTIFS(BD!$A$3:$A$5001,P$3,BD!$B$3:$B$5001,$A$110,BD!$Y$3:$Y$5001,"&lt;&gt;")=0,"",SUMIFS(BD!$Y$3:$Y$5001,BD!$A$3:$A$5001,P$3,BD!$B$3:$B$5001,$A$110)))</f>
        <v/>
      </c>
      <c r="Q122" s="198" t="str">
        <f>IF(Q$3="","",IF(COUNTIFS(BD!$A$3:$A$5001,Q$3,BD!$B$3:$B$5001,$A$110,BD!$Y$3:$Y$5001,"&lt;&gt;")=0,"",SUMIFS(BD!$Y$3:$Y$5001,BD!$A$3:$A$5001,Q$3,BD!$B$3:$B$5001,$A$110)))</f>
        <v/>
      </c>
      <c r="R122" s="198" t="str">
        <f>IF(R$3="","",IF(COUNTIFS(BD!$A$3:$A$5001,R$3,BD!$B$3:$B$5001,$A$110,BD!$Y$3:$Y$5001,"&lt;&gt;")=0,"",SUMIFS(BD!$Y$3:$Y$5001,BD!$A$3:$A$5001,R$3,BD!$B$3:$B$5001,$A$110)))</f>
        <v/>
      </c>
      <c r="S122" s="198" t="str">
        <f>IF(S$3="","",IF(COUNTIFS(BD!$A$3:$A$5001,S$3,BD!$B$3:$B$5001,$A$110,BD!$Y$3:$Y$5001,"&lt;&gt;")=0,"",SUMIFS(BD!$Y$3:$Y$5001,BD!$A$3:$A$5001,S$3,BD!$B$3:$B$5001,$A$110)))</f>
        <v/>
      </c>
      <c r="T122" s="198" t="str">
        <f>IF(T$3="","",IF(COUNTIFS(BD!$A$3:$A$5001,T$3,BD!$B$3:$B$5001,$A$110,BD!$Y$3:$Y$5001,"&lt;&gt;")=0,"",SUMIFS(BD!$Y$3:$Y$5001,BD!$A$3:$A$5001,T$3,BD!$B$3:$B$5001,$A$110)))</f>
        <v/>
      </c>
      <c r="U122" s="198" t="str">
        <f>IF(U$3="","",IF(COUNTIFS(BD!$A$3:$A$5001,U$3,BD!$B$3:$B$5001,$A$110,BD!$Y$3:$Y$5001,"&lt;&gt;")=0,"",SUMIFS(BD!$Y$3:$Y$5001,BD!$A$3:$A$5001,U$3,BD!$B$3:$B$5001,$A$110)))</f>
        <v/>
      </c>
      <c r="V122" s="198" t="str">
        <f>IF(V$3="","",IF(COUNTIFS(BD!$A$3:$A$5001,V$3,BD!$B$3:$B$5001,$A$110,BD!$Y$3:$Y$5001,"&lt;&gt;")=0,"",SUMIFS(BD!$Y$3:$Y$5001,BD!$A$3:$A$5001,V$3,BD!$B$3:$B$5001,$A$110)))</f>
        <v/>
      </c>
      <c r="W122" s="198" t="str">
        <f>IF(W$3="","",IF(COUNTIFS(BD!$A$3:$A$5001,W$3,BD!$B$3:$B$5001,$A$110,BD!$Y$3:$Y$5001,"&lt;&gt;")=0,"",SUMIFS(BD!$Y$3:$Y$5001,BD!$A$3:$A$5001,W$3,BD!$B$3:$B$5001,$A$110)))</f>
        <v/>
      </c>
      <c r="X122" s="198" t="str">
        <f>IF(X$3="","",IF(COUNTIFS(BD!$A$3:$A$5001,X$3,BD!$B$3:$B$5001,$A$110,BD!$Y$3:$Y$5001,"&lt;&gt;")=0,"",SUMIFS(BD!$Y$3:$Y$5001,BD!$A$3:$A$5001,X$3,BD!$B$3:$B$5001,$A$110)))</f>
        <v/>
      </c>
      <c r="Y122" s="198" t="str">
        <f>IF(Y$3="","",IF(COUNTIFS(BD!$A$3:$A$5001,Y$3,BD!$B$3:$B$5001,$A$110,BD!$Y$3:$Y$5001,"&lt;&gt;")=0,"",SUMIFS(BD!$Y$3:$Y$5001,BD!$A$3:$A$5001,Y$3,BD!$B$3:$B$5001,$A$110)))</f>
        <v/>
      </c>
      <c r="Z122" s="198" t="str">
        <f>IF(Z$3="","",IF(COUNTIFS(BD!$A$3:$A$5001,Z$3,BD!$B$3:$B$5001,$A$110,BD!$Y$3:$Y$5001,"&lt;&gt;")=0,"",SUMIFS(BD!$Y$3:$Y$5001,BD!$A$3:$A$5001,Z$3,BD!$B$3:$B$5001,$A$110)))</f>
        <v/>
      </c>
      <c r="AA122" s="198" t="str">
        <f>IF(AA$3="","",IF(COUNTIFS(BD!$A$3:$A$5001,AA$3,BD!$B$3:$B$5001,$A$110,BD!$Y$3:$Y$5001,"&lt;&gt;")=0,"",SUMIFS(BD!$Y$3:$Y$5001,BD!$A$3:$A$5001,AA$3,BD!$B$3:$B$5001,$A$110)))</f>
        <v/>
      </c>
      <c r="AB122" s="198" t="str">
        <f>IF(AB$3="","",IF(COUNTIFS(BD!$A$3:$A$5001,AB$3,BD!$B$3:$B$5001,$A$110,BD!$Y$3:$Y$5001,"&lt;&gt;")=0,"",SUMIFS(BD!$Y$3:$Y$5001,BD!$A$3:$A$5001,AB$3,BD!$B$3:$B$5001,$A$110)))</f>
        <v/>
      </c>
      <c r="AC122" s="198" t="str">
        <f>IF(AC$3="","",IF(COUNTIFS(BD!$A$3:$A$5001,AC$3,BD!$B$3:$B$5001,$A$110,BD!$Y$3:$Y$5001,"&lt;&gt;")=0,"",SUMIFS(BD!$Y$3:$Y$5001,BD!$A$3:$A$5001,AC$3,BD!$B$3:$B$5001,$A$110)))</f>
        <v/>
      </c>
      <c r="AD122" s="198" t="str">
        <f>IF(AD$3="","",IF(COUNTIFS(BD!$A$3:$A$5001,AD$3,BD!$B$3:$B$5001,$A$110,BD!$Y$3:$Y$5001,"&lt;&gt;")=0,"",SUMIFS(BD!$Y$3:$Y$5001,BD!$A$3:$A$5001,AD$3,BD!$B$3:$B$5001,$A$110)))</f>
        <v/>
      </c>
      <c r="AE122" s="198" t="str">
        <f>IF(AE$3="","",IF(COUNTIFS(BD!$A$3:$A$5001,AE$3,BD!$B$3:$B$5001,$A$110,BD!$Y$3:$Y$5001,"&lt;&gt;")=0,"",SUMIFS(BD!$Y$3:$Y$5001,BD!$A$3:$A$5001,AE$3,BD!$B$3:$B$5001,$A$110)))</f>
        <v/>
      </c>
      <c r="AF122" s="198" t="str">
        <f>IF(AF$3="","",IF(COUNTIFS(BD!$A$3:$A$5001,AF$3,BD!$B$3:$B$5001,$A$110,BD!$Y$3:$Y$5001,"&lt;&gt;")=0,"",SUMIFS(BD!$Y$3:$Y$5001,BD!$A$3:$A$5001,AF$3,BD!$B$3:$B$5001,$A$110)))</f>
        <v/>
      </c>
      <c r="AG122" s="198" t="str">
        <f>IF(AG$3="","",IF(COUNTIFS(BD!$A$3:$A$5001,AG$3,BD!$B$3:$B$5001,$A$110,BD!$Y$3:$Y$5001,"&lt;&gt;")=0,"",SUMIFS(BD!$Y$3:$Y$5001,BD!$A$3:$A$5001,AG$3,BD!$B$3:$B$5001,$A$110)))</f>
        <v/>
      </c>
      <c r="AH122" s="198" t="str">
        <f>IF(AH$3="","",IF(COUNTIFS(BD!$A$3:$A$5001,AH$3,BD!$B$3:$B$5001,$A$110,BD!$Y$3:$Y$5001,"&lt;&gt;")=0,"",SUMIFS(BD!$Y$3:$Y$5001,BD!$A$3:$A$5001,AH$3,BD!$B$3:$B$5001,$A$110)))</f>
        <v/>
      </c>
      <c r="AI122" s="198" t="str">
        <f>IF(AI$3="","",IF(COUNTIFS(BD!$A$3:$A$5001,AI$3,BD!$B$3:$B$5001,$A$110,BD!$Y$3:$Y$5001,"&lt;&gt;")=0,"",SUMIFS(BD!$Y$3:$Y$5001,BD!$A$3:$A$5001,AI$3,BD!$B$3:$B$5001,$A$110)))</f>
        <v/>
      </c>
      <c r="AJ122" s="199" t="str">
        <f>IF(AJ$3="","",IF(COUNTIFS(BD!$A$3:$A$5001,AJ$3,BD!$B$3:$B$5001,$A$110,BD!$Y$3:$Y$5001,"&lt;&gt;")=0,"",SUMIFS(BD!$Y$3:$Y$5001,BD!$A$3:$A$5001,AJ$3,BD!$B$3:$B$5001,$A$110)))</f>
        <v/>
      </c>
      <c r="AK122" s="200" t="str">
        <f>IFERROR(LOOKUP(9.99E+307,F122:AJ122),"")</f>
        <v/>
      </c>
    </row>
    <row r="123" ht="15.75" customHeight="1">
      <c r="A123" s="237"/>
      <c r="B123" s="226"/>
      <c r="C123" s="155" t="inlineStr">
        <is>
          <t xml:space="preserve">Taxa de Ocupação</t>
        </is>
      </c>
      <c r="D123" s="201" t="str">
        <f>IFERROR(1/(1/INDEX(BD!$AK$46:$AU$46,MATCH($A$110,BD!$AK$22:$AU$22,0))),"")</f>
        <v/>
      </c>
      <c r="E123" s="157"/>
      <c r="F123" s="202" t="str">
        <f>IF(AND(ISNUMBER(F121),ISNUMBER(F122)),IF(F121&gt;0,F122/F121,""),"")</f>
        <v/>
      </c>
      <c r="G123" s="203" t="str">
        <f>IF(AND(ISNUMBER(G121),ISNUMBER(G122)),IF(G121&gt;0,G122/G121,""),"")</f>
        <v/>
      </c>
      <c r="H123" s="203" t="str">
        <f>IF(AND(ISNUMBER(H121),ISNUMBER(H122)),IF(H121&gt;0,H122/H121,""),"")</f>
        <v/>
      </c>
      <c r="I123" s="203" t="str">
        <f>IF(AND(ISNUMBER(I121),ISNUMBER(I122)),IF(I121&gt;0,I122/I121,""),"")</f>
        <v/>
      </c>
      <c r="J123" s="203" t="str">
        <f>IF(AND(ISNUMBER(J121),ISNUMBER(J122)),IF(J121&gt;0,J122/J121,""),"")</f>
        <v/>
      </c>
      <c r="K123" s="203" t="str">
        <f>IF(AND(ISNUMBER(K121),ISNUMBER(K122)),IF(K121&gt;0,K122/K121,""),"")</f>
        <v/>
      </c>
      <c r="L123" s="203" t="str">
        <f>IF(AND(ISNUMBER(L121),ISNUMBER(L122)),IF(L121&gt;0,L122/L121,""),"")</f>
        <v/>
      </c>
      <c r="M123" s="203" t="str">
        <f>IF(AND(ISNUMBER(M121),ISNUMBER(M122)),IF(M121&gt;0,M122/M121,""),"")</f>
        <v/>
      </c>
      <c r="N123" s="203" t="str">
        <f>IF(AND(ISNUMBER(N121),ISNUMBER(N122)),IF(N121&gt;0,N122/N121,""),"")</f>
        <v/>
      </c>
      <c r="O123" s="203" t="str">
        <f>IF(AND(ISNUMBER(O121),ISNUMBER(O122)),IF(O121&gt;0,O122/O121,""),"")</f>
        <v/>
      </c>
      <c r="P123" s="203" t="str">
        <f>IF(AND(ISNUMBER(P121),ISNUMBER(P122)),IF(P121&gt;0,P122/P121,""),"")</f>
        <v/>
      </c>
      <c r="Q123" s="203" t="str">
        <f>IF(AND(ISNUMBER(Q121),ISNUMBER(Q122)),IF(Q121&gt;0,Q122/Q121,""),"")</f>
        <v/>
      </c>
      <c r="R123" s="203" t="str">
        <f>IF(AND(ISNUMBER(R121),ISNUMBER(R122)),IF(R121&gt;0,R122/R121,""),"")</f>
        <v/>
      </c>
      <c r="S123" s="203" t="str">
        <f>IF(AND(ISNUMBER(S121),ISNUMBER(S122)),IF(S121&gt;0,S122/S121,""),"")</f>
        <v/>
      </c>
      <c r="T123" s="203" t="str">
        <f>IF(AND(ISNUMBER(T121),ISNUMBER(T122)),IF(T121&gt;0,T122/T121,""),"")</f>
        <v/>
      </c>
      <c r="U123" s="203" t="str">
        <f>IF(AND(ISNUMBER(U121),ISNUMBER(U122)),IF(U121&gt;0,U122/U121,""),"")</f>
        <v/>
      </c>
      <c r="V123" s="203" t="str">
        <f>IF(AND(ISNUMBER(V121),ISNUMBER(V122)),IF(V121&gt;0,V122/V121,""),"")</f>
        <v/>
      </c>
      <c r="W123" s="203" t="str">
        <f>IF(AND(ISNUMBER(W121),ISNUMBER(W122)),IF(W121&gt;0,W122/W121,""),"")</f>
        <v/>
      </c>
      <c r="X123" s="203" t="str">
        <f>IF(AND(ISNUMBER(X121),ISNUMBER(X122)),IF(X121&gt;0,X122/X121,""),"")</f>
        <v/>
      </c>
      <c r="Y123" s="203" t="str">
        <f>IF(AND(ISNUMBER(Y121),ISNUMBER(Y122)),IF(Y121&gt;0,Y122/Y121,""),"")</f>
        <v/>
      </c>
      <c r="Z123" s="203" t="str">
        <f>IF(AND(ISNUMBER(Z121),ISNUMBER(Z122)),IF(Z121&gt;0,Z122/Z121,""),"")</f>
        <v/>
      </c>
      <c r="AA123" s="203" t="str">
        <f>IF(AND(ISNUMBER(AA121),ISNUMBER(AA122)),IF(AA121&gt;0,AA122/AA121,""),"")</f>
        <v/>
      </c>
      <c r="AB123" s="203" t="str">
        <f>IF(AND(ISNUMBER(AB121),ISNUMBER(AB122)),IF(AB121&gt;0,AB122/AB121,""),"")</f>
        <v/>
      </c>
      <c r="AC123" s="203" t="str">
        <f>IF(AND(ISNUMBER(AC121),ISNUMBER(AC122)),IF(AC121&gt;0,AC122/AC121,""),"")</f>
        <v/>
      </c>
      <c r="AD123" s="203" t="str">
        <f>IF(AND(ISNUMBER(AD121),ISNUMBER(AD122)),IF(AD121&gt;0,AD122/AD121,""),"")</f>
        <v/>
      </c>
      <c r="AE123" s="203" t="str">
        <f>IF(AND(ISNUMBER(AE121),ISNUMBER(AE122)),IF(AE121&gt;0,AE122/AE121,""),"")</f>
        <v/>
      </c>
      <c r="AF123" s="203" t="str">
        <f>IF(AND(ISNUMBER(AF121),ISNUMBER(AF122)),IF(AF121&gt;0,AF122/AF121,""),"")</f>
        <v/>
      </c>
      <c r="AG123" s="203" t="str">
        <f>IF(AND(ISNUMBER(AG121),ISNUMBER(AG122)),IF(AG121&gt;0,AG122/AG121,""),"")</f>
        <v/>
      </c>
      <c r="AH123" s="203" t="str">
        <f>IF(AND(ISNUMBER(AH121),ISNUMBER(AH122)),IF(AH121&gt;0,AH122/AH121,""),"")</f>
        <v/>
      </c>
      <c r="AI123" s="203" t="str">
        <f>IF(AND(ISNUMBER(AI121),ISNUMBER(AI122)),IF(AI121&gt;0,AI122/AI121,""),"")</f>
        <v/>
      </c>
      <c r="AJ123" s="204" t="str">
        <f>IF(AND(ISNUMBER(AJ121),ISNUMBER(AJ122)),IF(AJ121&gt;0,AJ122/AJ121,""),"")</f>
        <v/>
      </c>
      <c r="AK123" s="201" t="str">
        <f>IF(AND(ISNUMBER(AK121),ISNUMBER(AK122)),IF(AK121&gt;0,AK122/AK121,""),"")</f>
        <v/>
      </c>
    </row>
    <row r="124" ht="15.75" customHeight="1">
      <c r="A124" s="237"/>
      <c r="B124" s="233" t="inlineStr">
        <is>
          <t xml:space="preserve">GENTE</t>
        </is>
      </c>
      <c r="C124" s="205" t="inlineStr">
        <is>
          <t xml:space="preserve">Efetivo Op.</t>
        </is>
      </c>
      <c r="D124" s="206" t="str">
        <f>IFERROR(1/(1/INDEX(BD!$AK$47:$AU$47,MATCH($A$110,BD!$AK$22:$AU$22,0))),"")</f>
        <v/>
      </c>
      <c r="E124" s="207"/>
      <c r="F124" s="208" t="str">
        <f>IF(F$3="","",IF(COUNTIFS(BD!$A$3:$A$5001,F$3,BD!$B$3:$B$5001,$A$110,BD!$Z$3:$Z$5001,"&lt;&gt;")=0,"",SUMIFS(BD!$Z$3:$Z$5001,BD!$A$3:$A$5001,F$3,BD!$B$3:$B$5001,$A$110)))</f>
        <v/>
      </c>
      <c r="G124" s="209" t="str">
        <f>IF(G$3="","",IF(COUNTIFS(BD!$A$3:$A$5001,G$3,BD!$B$3:$B$5001,$A$110,BD!$Z$3:$Z$5001,"&lt;&gt;")=0,"",SUMIFS(BD!$Z$3:$Z$5001,BD!$A$3:$A$5001,G$3,BD!$B$3:$B$5001,$A$110)))</f>
        <v/>
      </c>
      <c r="H124" s="209" t="str">
        <f>IF(H$3="","",IF(COUNTIFS(BD!$A$3:$A$5001,H$3,BD!$B$3:$B$5001,$A$110,BD!$Z$3:$Z$5001,"&lt;&gt;")=0,"",SUMIFS(BD!$Z$3:$Z$5001,BD!$A$3:$A$5001,H$3,BD!$B$3:$B$5001,$A$110)))</f>
        <v/>
      </c>
      <c r="I124" s="209" t="str">
        <f>IF(I$3="","",IF(COUNTIFS(BD!$A$3:$A$5001,I$3,BD!$B$3:$B$5001,$A$110,BD!$Z$3:$Z$5001,"&lt;&gt;")=0,"",SUMIFS(BD!$Z$3:$Z$5001,BD!$A$3:$A$5001,I$3,BD!$B$3:$B$5001,$A$110)))</f>
        <v/>
      </c>
      <c r="J124" s="209" t="str">
        <f>IF(J$3="","",IF(COUNTIFS(BD!$A$3:$A$5001,J$3,BD!$B$3:$B$5001,$A$110,BD!$Z$3:$Z$5001,"&lt;&gt;")=0,"",SUMIFS(BD!$Z$3:$Z$5001,BD!$A$3:$A$5001,J$3,BD!$B$3:$B$5001,$A$110)))</f>
        <v/>
      </c>
      <c r="K124" s="209" t="str">
        <f>IF(K$3="","",IF(COUNTIFS(BD!$A$3:$A$5001,K$3,BD!$B$3:$B$5001,$A$110,BD!$Z$3:$Z$5001,"&lt;&gt;")=0,"",SUMIFS(BD!$Z$3:$Z$5001,BD!$A$3:$A$5001,K$3,BD!$B$3:$B$5001,$A$110)))</f>
        <v/>
      </c>
      <c r="L124" s="209" t="str">
        <f>IF(L$3="","",IF(COUNTIFS(BD!$A$3:$A$5001,L$3,BD!$B$3:$B$5001,$A$110,BD!$Z$3:$Z$5001,"&lt;&gt;")=0,"",SUMIFS(BD!$Z$3:$Z$5001,BD!$A$3:$A$5001,L$3,BD!$B$3:$B$5001,$A$110)))</f>
        <v/>
      </c>
      <c r="M124" s="209" t="str">
        <f>IF(M$3="","",IF(COUNTIFS(BD!$A$3:$A$5001,M$3,BD!$B$3:$B$5001,$A$110,BD!$Z$3:$Z$5001,"&lt;&gt;")=0,"",SUMIFS(BD!$Z$3:$Z$5001,BD!$A$3:$A$5001,M$3,BD!$B$3:$B$5001,$A$110)))</f>
        <v/>
      </c>
      <c r="N124" s="209" t="str">
        <f>IF(N$3="","",IF(COUNTIFS(BD!$A$3:$A$5001,N$3,BD!$B$3:$B$5001,$A$110,BD!$Z$3:$Z$5001,"&lt;&gt;")=0,"",SUMIFS(BD!$Z$3:$Z$5001,BD!$A$3:$A$5001,N$3,BD!$B$3:$B$5001,$A$110)))</f>
        <v/>
      </c>
      <c r="O124" s="209" t="str">
        <f>IF(O$3="","",IF(COUNTIFS(BD!$A$3:$A$5001,O$3,BD!$B$3:$B$5001,$A$110,BD!$Z$3:$Z$5001,"&lt;&gt;")=0,"",SUMIFS(BD!$Z$3:$Z$5001,BD!$A$3:$A$5001,O$3,BD!$B$3:$B$5001,$A$110)))</f>
        <v/>
      </c>
      <c r="P124" s="209" t="str">
        <f>IF(P$3="","",IF(COUNTIFS(BD!$A$3:$A$5001,P$3,BD!$B$3:$B$5001,$A$110,BD!$Z$3:$Z$5001,"&lt;&gt;")=0,"",SUMIFS(BD!$Z$3:$Z$5001,BD!$A$3:$A$5001,P$3,BD!$B$3:$B$5001,$A$110)))</f>
        <v/>
      </c>
      <c r="Q124" s="209" t="str">
        <f>IF(Q$3="","",IF(COUNTIFS(BD!$A$3:$A$5001,Q$3,BD!$B$3:$B$5001,$A$110,BD!$Z$3:$Z$5001,"&lt;&gt;")=0,"",SUMIFS(BD!$Z$3:$Z$5001,BD!$A$3:$A$5001,Q$3,BD!$B$3:$B$5001,$A$110)))</f>
        <v/>
      </c>
      <c r="R124" s="209" t="str">
        <f>IF(R$3="","",IF(COUNTIFS(BD!$A$3:$A$5001,R$3,BD!$B$3:$B$5001,$A$110,BD!$Z$3:$Z$5001,"&lt;&gt;")=0,"",SUMIFS(BD!$Z$3:$Z$5001,BD!$A$3:$A$5001,R$3,BD!$B$3:$B$5001,$A$110)))</f>
        <v/>
      </c>
      <c r="S124" s="209" t="str">
        <f>IF(S$3="","",IF(COUNTIFS(BD!$A$3:$A$5001,S$3,BD!$B$3:$B$5001,$A$110,BD!$Z$3:$Z$5001,"&lt;&gt;")=0,"",SUMIFS(BD!$Z$3:$Z$5001,BD!$A$3:$A$5001,S$3,BD!$B$3:$B$5001,$A$110)))</f>
        <v/>
      </c>
      <c r="T124" s="209" t="str">
        <f>IF(T$3="","",IF(COUNTIFS(BD!$A$3:$A$5001,T$3,BD!$B$3:$B$5001,$A$110,BD!$Z$3:$Z$5001,"&lt;&gt;")=0,"",SUMIFS(BD!$Z$3:$Z$5001,BD!$A$3:$A$5001,T$3,BD!$B$3:$B$5001,$A$110)))</f>
        <v/>
      </c>
      <c r="U124" s="209" t="str">
        <f>IF(U$3="","",IF(COUNTIFS(BD!$A$3:$A$5001,U$3,BD!$B$3:$B$5001,$A$110,BD!$Z$3:$Z$5001,"&lt;&gt;")=0,"",SUMIFS(BD!$Z$3:$Z$5001,BD!$A$3:$A$5001,U$3,BD!$B$3:$B$5001,$A$110)))</f>
        <v/>
      </c>
      <c r="V124" s="209" t="str">
        <f>IF(V$3="","",IF(COUNTIFS(BD!$A$3:$A$5001,V$3,BD!$B$3:$B$5001,$A$110,BD!$Z$3:$Z$5001,"&lt;&gt;")=0,"",SUMIFS(BD!$Z$3:$Z$5001,BD!$A$3:$A$5001,V$3,BD!$B$3:$B$5001,$A$110)))</f>
        <v/>
      </c>
      <c r="W124" s="209" t="str">
        <f>IF(W$3="","",IF(COUNTIFS(BD!$A$3:$A$5001,W$3,BD!$B$3:$B$5001,$A$110,BD!$Z$3:$Z$5001,"&lt;&gt;")=0,"",SUMIFS(BD!$Z$3:$Z$5001,BD!$A$3:$A$5001,W$3,BD!$B$3:$B$5001,$A$110)))</f>
        <v/>
      </c>
      <c r="X124" s="209" t="str">
        <f>IF(X$3="","",IF(COUNTIFS(BD!$A$3:$A$5001,X$3,BD!$B$3:$B$5001,$A$110,BD!$Z$3:$Z$5001,"&lt;&gt;")=0,"",SUMIFS(BD!$Z$3:$Z$5001,BD!$A$3:$A$5001,X$3,BD!$B$3:$B$5001,$A$110)))</f>
        <v/>
      </c>
      <c r="Y124" s="209" t="str">
        <f>IF(Y$3="","",IF(COUNTIFS(BD!$A$3:$A$5001,Y$3,BD!$B$3:$B$5001,$A$110,BD!$Z$3:$Z$5001,"&lt;&gt;")=0,"",SUMIFS(BD!$Z$3:$Z$5001,BD!$A$3:$A$5001,Y$3,BD!$B$3:$B$5001,$A$110)))</f>
        <v/>
      </c>
      <c r="Z124" s="209" t="str">
        <f>IF(Z$3="","",IF(COUNTIFS(BD!$A$3:$A$5001,Z$3,BD!$B$3:$B$5001,$A$110,BD!$Z$3:$Z$5001,"&lt;&gt;")=0,"",SUMIFS(BD!$Z$3:$Z$5001,BD!$A$3:$A$5001,Z$3,BD!$B$3:$B$5001,$A$110)))</f>
        <v/>
      </c>
      <c r="AA124" s="209" t="str">
        <f>IF(AA$3="","",IF(COUNTIFS(BD!$A$3:$A$5001,AA$3,BD!$B$3:$B$5001,$A$110,BD!$Z$3:$Z$5001,"&lt;&gt;")=0,"",SUMIFS(BD!$Z$3:$Z$5001,BD!$A$3:$A$5001,AA$3,BD!$B$3:$B$5001,$A$110)))</f>
        <v/>
      </c>
      <c r="AB124" s="209" t="str">
        <f>IF(AB$3="","",IF(COUNTIFS(BD!$A$3:$A$5001,AB$3,BD!$B$3:$B$5001,$A$110,BD!$Z$3:$Z$5001,"&lt;&gt;")=0,"",SUMIFS(BD!$Z$3:$Z$5001,BD!$A$3:$A$5001,AB$3,BD!$B$3:$B$5001,$A$110)))</f>
        <v/>
      </c>
      <c r="AC124" s="209" t="str">
        <f>IF(AC$3="","",IF(COUNTIFS(BD!$A$3:$A$5001,AC$3,BD!$B$3:$B$5001,$A$110,BD!$Z$3:$Z$5001,"&lt;&gt;")=0,"",SUMIFS(BD!$Z$3:$Z$5001,BD!$A$3:$A$5001,AC$3,BD!$B$3:$B$5001,$A$110)))</f>
        <v/>
      </c>
      <c r="AD124" s="209" t="str">
        <f>IF(AD$3="","",IF(COUNTIFS(BD!$A$3:$A$5001,AD$3,BD!$B$3:$B$5001,$A$110,BD!$Z$3:$Z$5001,"&lt;&gt;")=0,"",SUMIFS(BD!$Z$3:$Z$5001,BD!$A$3:$A$5001,AD$3,BD!$B$3:$B$5001,$A$110)))</f>
        <v/>
      </c>
      <c r="AE124" s="209" t="str">
        <f>IF(AE$3="","",IF(COUNTIFS(BD!$A$3:$A$5001,AE$3,BD!$B$3:$B$5001,$A$110,BD!$Z$3:$Z$5001,"&lt;&gt;")=0,"",SUMIFS(BD!$Z$3:$Z$5001,BD!$A$3:$A$5001,AE$3,BD!$B$3:$B$5001,$A$110)))</f>
        <v/>
      </c>
      <c r="AF124" s="209" t="str">
        <f>IF(AF$3="","",IF(COUNTIFS(BD!$A$3:$A$5001,AF$3,BD!$B$3:$B$5001,$A$110,BD!$Z$3:$Z$5001,"&lt;&gt;")=0,"",SUMIFS(BD!$Z$3:$Z$5001,BD!$A$3:$A$5001,AF$3,BD!$B$3:$B$5001,$A$110)))</f>
        <v/>
      </c>
      <c r="AG124" s="209" t="str">
        <f>IF(AG$3="","",IF(COUNTIFS(BD!$A$3:$A$5001,AG$3,BD!$B$3:$B$5001,$A$110,BD!$Z$3:$Z$5001,"&lt;&gt;")=0,"",SUMIFS(BD!$Z$3:$Z$5001,BD!$A$3:$A$5001,AG$3,BD!$B$3:$B$5001,$A$110)))</f>
        <v/>
      </c>
      <c r="AH124" s="209" t="str">
        <f>IF(AH$3="","",IF(COUNTIFS(BD!$A$3:$A$5001,AH$3,BD!$B$3:$B$5001,$A$110,BD!$Z$3:$Z$5001,"&lt;&gt;")=0,"",SUMIFS(BD!$Z$3:$Z$5001,BD!$A$3:$A$5001,AH$3,BD!$B$3:$B$5001,$A$110)))</f>
        <v/>
      </c>
      <c r="AI124" s="209" t="str">
        <f>IF(AI$3="","",IF(COUNTIFS(BD!$A$3:$A$5001,AI$3,BD!$B$3:$B$5001,$A$110,BD!$Z$3:$Z$5001,"&lt;&gt;")=0,"",SUMIFS(BD!$Z$3:$Z$5001,BD!$A$3:$A$5001,AI$3,BD!$B$3:$B$5001,$A$110)))</f>
        <v/>
      </c>
      <c r="AJ124" s="210" t="str">
        <f>IF(AJ$3="","",IF(COUNTIFS(BD!$A$3:$A$5001,AJ$3,BD!$B$3:$B$5001,$A$110,BD!$Z$3:$Z$5001,"&lt;&gt;")=0,"",SUMIFS(BD!$Z$3:$Z$5001,BD!$A$3:$A$5001,AJ$3,BD!$B$3:$B$5001,$A$110)))</f>
        <v/>
      </c>
      <c r="AK124" s="211" t="str">
        <f>IFERROR(LOOKUP(9.99E+307,F124:AJ124),"")</f>
        <v/>
      </c>
    </row>
    <row r="125" ht="15.75" customHeight="1">
      <c r="A125" s="237"/>
      <c r="B125" s="234"/>
      <c r="C125" s="212" t="inlineStr">
        <is>
          <t xml:space="preserve">Falta</t>
        </is>
      </c>
      <c r="D125" s="213" t="str">
        <f>IFERROR(1/(1/INDEX(BD!$AK$48:$AU$48,MATCH($A$110,BD!$AK$22:$AU$22,0))),"")</f>
        <v/>
      </c>
      <c r="E125" s="214"/>
      <c r="F125" s="215" t="str">
        <f>IF(F$3="","",IF(COUNTIFS(BD!$A$3:$A$5001,F$3,BD!$B$3:$B$5001,$A$110,BD!$AA$3:$AA$5001,"&lt;&gt;")=0,"",SUMIFS(BD!$AA$3:$AA$5001,BD!$A$3:$A$5001,F$3,BD!$B$3:$B$5001,$A$110)))</f>
        <v/>
      </c>
      <c r="G125" s="216" t="str">
        <f>IF(G$3="","",IF(COUNTIFS(BD!$A$3:$A$5001,G$3,BD!$B$3:$B$5001,$A$110,BD!$AA$3:$AA$5001,"&lt;&gt;")=0,"",SUMIFS(BD!$AA$3:$AA$5001,BD!$A$3:$A$5001,G$3,BD!$B$3:$B$5001,$A$110)))</f>
        <v/>
      </c>
      <c r="H125" s="216" t="str">
        <f>IF(H$3="","",IF(COUNTIFS(BD!$A$3:$A$5001,H$3,BD!$B$3:$B$5001,$A$110,BD!$AA$3:$AA$5001,"&lt;&gt;")=0,"",SUMIFS(BD!$AA$3:$AA$5001,BD!$A$3:$A$5001,H$3,BD!$B$3:$B$5001,$A$110)))</f>
        <v/>
      </c>
      <c r="I125" s="216" t="str">
        <f>IF(I$3="","",IF(COUNTIFS(BD!$A$3:$A$5001,I$3,BD!$B$3:$B$5001,$A$110,BD!$AA$3:$AA$5001,"&lt;&gt;")=0,"",SUMIFS(BD!$AA$3:$AA$5001,BD!$A$3:$A$5001,I$3,BD!$B$3:$B$5001,$A$110)))</f>
        <v/>
      </c>
      <c r="J125" s="216" t="str">
        <f>IF(J$3="","",IF(COUNTIFS(BD!$A$3:$A$5001,J$3,BD!$B$3:$B$5001,$A$110,BD!$AA$3:$AA$5001,"&lt;&gt;")=0,"",SUMIFS(BD!$AA$3:$AA$5001,BD!$A$3:$A$5001,J$3,BD!$B$3:$B$5001,$A$110)))</f>
        <v/>
      </c>
      <c r="K125" s="216" t="str">
        <f>IF(K$3="","",IF(COUNTIFS(BD!$A$3:$A$5001,K$3,BD!$B$3:$B$5001,$A$110,BD!$AA$3:$AA$5001,"&lt;&gt;")=0,"",SUMIFS(BD!$AA$3:$AA$5001,BD!$A$3:$A$5001,K$3,BD!$B$3:$B$5001,$A$110)))</f>
        <v/>
      </c>
      <c r="L125" s="216" t="str">
        <f>IF(L$3="","",IF(COUNTIFS(BD!$A$3:$A$5001,L$3,BD!$B$3:$B$5001,$A$110,BD!$AA$3:$AA$5001,"&lt;&gt;")=0,"",SUMIFS(BD!$AA$3:$AA$5001,BD!$A$3:$A$5001,L$3,BD!$B$3:$B$5001,$A$110)))</f>
        <v/>
      </c>
      <c r="M125" s="216" t="str">
        <f>IF(M$3="","",IF(COUNTIFS(BD!$A$3:$A$5001,M$3,BD!$B$3:$B$5001,$A$110,BD!$AA$3:$AA$5001,"&lt;&gt;")=0,"",SUMIFS(BD!$AA$3:$AA$5001,BD!$A$3:$A$5001,M$3,BD!$B$3:$B$5001,$A$110)))</f>
        <v/>
      </c>
      <c r="N125" s="216" t="str">
        <f>IF(N$3="","",IF(COUNTIFS(BD!$A$3:$A$5001,N$3,BD!$B$3:$B$5001,$A$110,BD!$AA$3:$AA$5001,"&lt;&gt;")=0,"",SUMIFS(BD!$AA$3:$AA$5001,BD!$A$3:$A$5001,N$3,BD!$B$3:$B$5001,$A$110)))</f>
        <v/>
      </c>
      <c r="O125" s="216" t="str">
        <f>IF(O$3="","",IF(COUNTIFS(BD!$A$3:$A$5001,O$3,BD!$B$3:$B$5001,$A$110,BD!$AA$3:$AA$5001,"&lt;&gt;")=0,"",SUMIFS(BD!$AA$3:$AA$5001,BD!$A$3:$A$5001,O$3,BD!$B$3:$B$5001,$A$110)))</f>
        <v/>
      </c>
      <c r="P125" s="216" t="str">
        <f>IF(P$3="","",IF(COUNTIFS(BD!$A$3:$A$5001,P$3,BD!$B$3:$B$5001,$A$110,BD!$AA$3:$AA$5001,"&lt;&gt;")=0,"",SUMIFS(BD!$AA$3:$AA$5001,BD!$A$3:$A$5001,P$3,BD!$B$3:$B$5001,$A$110)))</f>
        <v/>
      </c>
      <c r="Q125" s="216" t="str">
        <f>IF(Q$3="","",IF(COUNTIFS(BD!$A$3:$A$5001,Q$3,BD!$B$3:$B$5001,$A$110,BD!$AA$3:$AA$5001,"&lt;&gt;")=0,"",SUMIFS(BD!$AA$3:$AA$5001,BD!$A$3:$A$5001,Q$3,BD!$B$3:$B$5001,$A$110)))</f>
        <v/>
      </c>
      <c r="R125" s="216" t="str">
        <f>IF(R$3="","",IF(COUNTIFS(BD!$A$3:$A$5001,R$3,BD!$B$3:$B$5001,$A$110,BD!$AA$3:$AA$5001,"&lt;&gt;")=0,"",SUMIFS(BD!$AA$3:$AA$5001,BD!$A$3:$A$5001,R$3,BD!$B$3:$B$5001,$A$110)))</f>
        <v/>
      </c>
      <c r="S125" s="216" t="str">
        <f>IF(S$3="","",IF(COUNTIFS(BD!$A$3:$A$5001,S$3,BD!$B$3:$B$5001,$A$110,BD!$AA$3:$AA$5001,"&lt;&gt;")=0,"",SUMIFS(BD!$AA$3:$AA$5001,BD!$A$3:$A$5001,S$3,BD!$B$3:$B$5001,$A$110)))</f>
        <v/>
      </c>
      <c r="T125" s="216" t="str">
        <f>IF(T$3="","",IF(COUNTIFS(BD!$A$3:$A$5001,T$3,BD!$B$3:$B$5001,$A$110,BD!$AA$3:$AA$5001,"&lt;&gt;")=0,"",SUMIFS(BD!$AA$3:$AA$5001,BD!$A$3:$A$5001,T$3,BD!$B$3:$B$5001,$A$110)))</f>
        <v/>
      </c>
      <c r="U125" s="216" t="str">
        <f>IF(U$3="","",IF(COUNTIFS(BD!$A$3:$A$5001,U$3,BD!$B$3:$B$5001,$A$110,BD!$AA$3:$AA$5001,"&lt;&gt;")=0,"",SUMIFS(BD!$AA$3:$AA$5001,BD!$A$3:$A$5001,U$3,BD!$B$3:$B$5001,$A$110)))</f>
        <v/>
      </c>
      <c r="V125" s="216" t="str">
        <f>IF(V$3="","",IF(COUNTIFS(BD!$A$3:$A$5001,V$3,BD!$B$3:$B$5001,$A$110,BD!$AA$3:$AA$5001,"&lt;&gt;")=0,"",SUMIFS(BD!$AA$3:$AA$5001,BD!$A$3:$A$5001,V$3,BD!$B$3:$B$5001,$A$110)))</f>
        <v/>
      </c>
      <c r="W125" s="216" t="str">
        <f>IF(W$3="","",IF(COUNTIFS(BD!$A$3:$A$5001,W$3,BD!$B$3:$B$5001,$A$110,BD!$AA$3:$AA$5001,"&lt;&gt;")=0,"",SUMIFS(BD!$AA$3:$AA$5001,BD!$A$3:$A$5001,W$3,BD!$B$3:$B$5001,$A$110)))</f>
        <v/>
      </c>
      <c r="X125" s="216" t="str">
        <f>IF(X$3="","",IF(COUNTIFS(BD!$A$3:$A$5001,X$3,BD!$B$3:$B$5001,$A$110,BD!$AA$3:$AA$5001,"&lt;&gt;")=0,"",SUMIFS(BD!$AA$3:$AA$5001,BD!$A$3:$A$5001,X$3,BD!$B$3:$B$5001,$A$110)))</f>
        <v/>
      </c>
      <c r="Y125" s="216" t="str">
        <f>IF(Y$3="","",IF(COUNTIFS(BD!$A$3:$A$5001,Y$3,BD!$B$3:$B$5001,$A$110,BD!$AA$3:$AA$5001,"&lt;&gt;")=0,"",SUMIFS(BD!$AA$3:$AA$5001,BD!$A$3:$A$5001,Y$3,BD!$B$3:$B$5001,$A$110)))</f>
        <v/>
      </c>
      <c r="Z125" s="216" t="str">
        <f>IF(Z$3="","",IF(COUNTIFS(BD!$A$3:$A$5001,Z$3,BD!$B$3:$B$5001,$A$110,BD!$AA$3:$AA$5001,"&lt;&gt;")=0,"",SUMIFS(BD!$AA$3:$AA$5001,BD!$A$3:$A$5001,Z$3,BD!$B$3:$B$5001,$A$110)))</f>
        <v/>
      </c>
      <c r="AA125" s="216" t="str">
        <f>IF(AA$3="","",IF(COUNTIFS(BD!$A$3:$A$5001,AA$3,BD!$B$3:$B$5001,$A$110,BD!$AA$3:$AA$5001,"&lt;&gt;")=0,"",SUMIFS(BD!$AA$3:$AA$5001,BD!$A$3:$A$5001,AA$3,BD!$B$3:$B$5001,$A$110)))</f>
        <v/>
      </c>
      <c r="AB125" s="216" t="str">
        <f>IF(AB$3="","",IF(COUNTIFS(BD!$A$3:$A$5001,AB$3,BD!$B$3:$B$5001,$A$110,BD!$AA$3:$AA$5001,"&lt;&gt;")=0,"",SUMIFS(BD!$AA$3:$AA$5001,BD!$A$3:$A$5001,AB$3,BD!$B$3:$B$5001,$A$110)))</f>
        <v/>
      </c>
      <c r="AC125" s="216" t="str">
        <f>IF(AC$3="","",IF(COUNTIFS(BD!$A$3:$A$5001,AC$3,BD!$B$3:$B$5001,$A$110,BD!$AA$3:$AA$5001,"&lt;&gt;")=0,"",SUMIFS(BD!$AA$3:$AA$5001,BD!$A$3:$A$5001,AC$3,BD!$B$3:$B$5001,$A$110)))</f>
        <v/>
      </c>
      <c r="AD125" s="216" t="str">
        <f>IF(AD$3="","",IF(COUNTIFS(BD!$A$3:$A$5001,AD$3,BD!$B$3:$B$5001,$A$110,BD!$AA$3:$AA$5001,"&lt;&gt;")=0,"",SUMIFS(BD!$AA$3:$AA$5001,BD!$A$3:$A$5001,AD$3,BD!$B$3:$B$5001,$A$110)))</f>
        <v/>
      </c>
      <c r="AE125" s="216" t="str">
        <f>IF(AE$3="","",IF(COUNTIFS(BD!$A$3:$A$5001,AE$3,BD!$B$3:$B$5001,$A$110,BD!$AA$3:$AA$5001,"&lt;&gt;")=0,"",SUMIFS(BD!$AA$3:$AA$5001,BD!$A$3:$A$5001,AE$3,BD!$B$3:$B$5001,$A$110)))</f>
        <v/>
      </c>
      <c r="AF125" s="216" t="str">
        <f>IF(AF$3="","",IF(COUNTIFS(BD!$A$3:$A$5001,AF$3,BD!$B$3:$B$5001,$A$110,BD!$AA$3:$AA$5001,"&lt;&gt;")=0,"",SUMIFS(BD!$AA$3:$AA$5001,BD!$A$3:$A$5001,AF$3,BD!$B$3:$B$5001,$A$110)))</f>
        <v/>
      </c>
      <c r="AG125" s="216" t="str">
        <f>IF(AG$3="","",IF(COUNTIFS(BD!$A$3:$A$5001,AG$3,BD!$B$3:$B$5001,$A$110,BD!$AA$3:$AA$5001,"&lt;&gt;")=0,"",SUMIFS(BD!$AA$3:$AA$5001,BD!$A$3:$A$5001,AG$3,BD!$B$3:$B$5001,$A$110)))</f>
        <v/>
      </c>
      <c r="AH125" s="216" t="str">
        <f>IF(AH$3="","",IF(COUNTIFS(BD!$A$3:$A$5001,AH$3,BD!$B$3:$B$5001,$A$110,BD!$AA$3:$AA$5001,"&lt;&gt;")=0,"",SUMIFS(BD!$AA$3:$AA$5001,BD!$A$3:$A$5001,AH$3,BD!$B$3:$B$5001,$A$110)))</f>
        <v/>
      </c>
      <c r="AI125" s="216" t="str">
        <f>IF(AI$3="","",IF(COUNTIFS(BD!$A$3:$A$5001,AI$3,BD!$B$3:$B$5001,$A$110,BD!$AA$3:$AA$5001,"&lt;&gt;")=0,"",SUMIFS(BD!$AA$3:$AA$5001,BD!$A$3:$A$5001,AI$3,BD!$B$3:$B$5001,$A$110)))</f>
        <v/>
      </c>
      <c r="AJ125" s="217" t="str">
        <f>IF(AJ$3="","",IF(COUNTIFS(BD!$A$3:$A$5001,AJ$3,BD!$B$3:$B$5001,$A$110,BD!$AA$3:$AA$5001,"&lt;&gt;")=0,"",SUMIFS(BD!$AA$3:$AA$5001,BD!$A$3:$A$5001,AJ$3,BD!$B$3:$B$5001,$A$110)))</f>
        <v/>
      </c>
      <c r="AK125" s="218" t="str">
        <f>IF(COUNT(F125:AJ125)=0,"",SUM(F125:AJ125))</f>
        <v/>
      </c>
    </row>
    <row r="126" ht="15.75" customHeight="1">
      <c r="A126" s="237"/>
      <c r="B126" s="234"/>
      <c r="C126" s="212" t="inlineStr">
        <is>
          <t xml:space="preserve">Folga</t>
        </is>
      </c>
      <c r="D126" s="213" t="str">
        <f>IFERROR(1/(1/INDEX(BD!$AK$49:$AU$49,MATCH($A$110,BD!$AK$22:$AU$22,0))),"")</f>
        <v/>
      </c>
      <c r="E126" s="214"/>
      <c r="F126" s="215" t="str">
        <f>IF(F$3="","",IF(COUNTIFS(BD!$A$3:$A$5001,F$3,BD!$B$3:$B$5001,$A$110,BD!$AB$3:$AB$5001,"&lt;&gt;")=0,"",SUMIFS(BD!$AB$3:$AB$5001,BD!$A$3:$A$5001,F$3,BD!$B$3:$B$5001,$A$110)))</f>
        <v/>
      </c>
      <c r="G126" s="216" t="str">
        <f>IF(G$3="","",IF(COUNTIFS(BD!$A$3:$A$5001,G$3,BD!$B$3:$B$5001,$A$110,BD!$AB$3:$AB$5001,"&lt;&gt;")=0,"",SUMIFS(BD!$AB$3:$AB$5001,BD!$A$3:$A$5001,G$3,BD!$B$3:$B$5001,$A$110)))</f>
        <v/>
      </c>
      <c r="H126" s="216" t="str">
        <f>IF(H$3="","",IF(COUNTIFS(BD!$A$3:$A$5001,H$3,BD!$B$3:$B$5001,$A$110,BD!$AB$3:$AB$5001,"&lt;&gt;")=0,"",SUMIFS(BD!$AB$3:$AB$5001,BD!$A$3:$A$5001,H$3,BD!$B$3:$B$5001,$A$110)))</f>
        <v/>
      </c>
      <c r="I126" s="216" t="str">
        <f>IF(I$3="","",IF(COUNTIFS(BD!$A$3:$A$5001,I$3,BD!$B$3:$B$5001,$A$110,BD!$AB$3:$AB$5001,"&lt;&gt;")=0,"",SUMIFS(BD!$AB$3:$AB$5001,BD!$A$3:$A$5001,I$3,BD!$B$3:$B$5001,$A$110)))</f>
        <v/>
      </c>
      <c r="J126" s="216" t="str">
        <f>IF(J$3="","",IF(COUNTIFS(BD!$A$3:$A$5001,J$3,BD!$B$3:$B$5001,$A$110,BD!$AB$3:$AB$5001,"&lt;&gt;")=0,"",SUMIFS(BD!$AB$3:$AB$5001,BD!$A$3:$A$5001,J$3,BD!$B$3:$B$5001,$A$110)))</f>
        <v/>
      </c>
      <c r="K126" s="216" t="str">
        <f>IF(K$3="","",IF(COUNTIFS(BD!$A$3:$A$5001,K$3,BD!$B$3:$B$5001,$A$110,BD!$AB$3:$AB$5001,"&lt;&gt;")=0,"",SUMIFS(BD!$AB$3:$AB$5001,BD!$A$3:$A$5001,K$3,BD!$B$3:$B$5001,$A$110)))</f>
        <v/>
      </c>
      <c r="L126" s="216" t="str">
        <f>IF(L$3="","",IF(COUNTIFS(BD!$A$3:$A$5001,L$3,BD!$B$3:$B$5001,$A$110,BD!$AB$3:$AB$5001,"&lt;&gt;")=0,"",SUMIFS(BD!$AB$3:$AB$5001,BD!$A$3:$A$5001,L$3,BD!$B$3:$B$5001,$A$110)))</f>
        <v/>
      </c>
      <c r="M126" s="216" t="str">
        <f>IF(M$3="","",IF(COUNTIFS(BD!$A$3:$A$5001,M$3,BD!$B$3:$B$5001,$A$110,BD!$AB$3:$AB$5001,"&lt;&gt;")=0,"",SUMIFS(BD!$AB$3:$AB$5001,BD!$A$3:$A$5001,M$3,BD!$B$3:$B$5001,$A$110)))</f>
        <v/>
      </c>
      <c r="N126" s="216" t="str">
        <f>IF(N$3="","",IF(COUNTIFS(BD!$A$3:$A$5001,N$3,BD!$B$3:$B$5001,$A$110,BD!$AB$3:$AB$5001,"&lt;&gt;")=0,"",SUMIFS(BD!$AB$3:$AB$5001,BD!$A$3:$A$5001,N$3,BD!$B$3:$B$5001,$A$110)))</f>
        <v/>
      </c>
      <c r="O126" s="216" t="str">
        <f>IF(O$3="","",IF(COUNTIFS(BD!$A$3:$A$5001,O$3,BD!$B$3:$B$5001,$A$110,BD!$AB$3:$AB$5001,"&lt;&gt;")=0,"",SUMIFS(BD!$AB$3:$AB$5001,BD!$A$3:$A$5001,O$3,BD!$B$3:$B$5001,$A$110)))</f>
        <v/>
      </c>
      <c r="P126" s="216" t="str">
        <f>IF(P$3="","",IF(COUNTIFS(BD!$A$3:$A$5001,P$3,BD!$B$3:$B$5001,$A$110,BD!$AB$3:$AB$5001,"&lt;&gt;")=0,"",SUMIFS(BD!$AB$3:$AB$5001,BD!$A$3:$A$5001,P$3,BD!$B$3:$B$5001,$A$110)))</f>
        <v/>
      </c>
      <c r="Q126" s="216" t="str">
        <f>IF(Q$3="","",IF(COUNTIFS(BD!$A$3:$A$5001,Q$3,BD!$B$3:$B$5001,$A$110,BD!$AB$3:$AB$5001,"&lt;&gt;")=0,"",SUMIFS(BD!$AB$3:$AB$5001,BD!$A$3:$A$5001,Q$3,BD!$B$3:$B$5001,$A$110)))</f>
        <v/>
      </c>
      <c r="R126" s="216" t="str">
        <f>IF(R$3="","",IF(COUNTIFS(BD!$A$3:$A$5001,R$3,BD!$B$3:$B$5001,$A$110,BD!$AB$3:$AB$5001,"&lt;&gt;")=0,"",SUMIFS(BD!$AB$3:$AB$5001,BD!$A$3:$A$5001,R$3,BD!$B$3:$B$5001,$A$110)))</f>
        <v/>
      </c>
      <c r="S126" s="216" t="str">
        <f>IF(S$3="","",IF(COUNTIFS(BD!$A$3:$A$5001,S$3,BD!$B$3:$B$5001,$A$110,BD!$AB$3:$AB$5001,"&lt;&gt;")=0,"",SUMIFS(BD!$AB$3:$AB$5001,BD!$A$3:$A$5001,S$3,BD!$B$3:$B$5001,$A$110)))</f>
        <v/>
      </c>
      <c r="T126" s="216" t="str">
        <f>IF(T$3="","",IF(COUNTIFS(BD!$A$3:$A$5001,T$3,BD!$B$3:$B$5001,$A$110,BD!$AB$3:$AB$5001,"&lt;&gt;")=0,"",SUMIFS(BD!$AB$3:$AB$5001,BD!$A$3:$A$5001,T$3,BD!$B$3:$B$5001,$A$110)))</f>
        <v/>
      </c>
      <c r="U126" s="216" t="str">
        <f>IF(U$3="","",IF(COUNTIFS(BD!$A$3:$A$5001,U$3,BD!$B$3:$B$5001,$A$110,BD!$AB$3:$AB$5001,"&lt;&gt;")=0,"",SUMIFS(BD!$AB$3:$AB$5001,BD!$A$3:$A$5001,U$3,BD!$B$3:$B$5001,$A$110)))</f>
        <v/>
      </c>
      <c r="V126" s="216" t="str">
        <f>IF(V$3="","",IF(COUNTIFS(BD!$A$3:$A$5001,V$3,BD!$B$3:$B$5001,$A$110,BD!$AB$3:$AB$5001,"&lt;&gt;")=0,"",SUMIFS(BD!$AB$3:$AB$5001,BD!$A$3:$A$5001,V$3,BD!$B$3:$B$5001,$A$110)))</f>
        <v/>
      </c>
      <c r="W126" s="216" t="str">
        <f>IF(W$3="","",IF(COUNTIFS(BD!$A$3:$A$5001,W$3,BD!$B$3:$B$5001,$A$110,BD!$AB$3:$AB$5001,"&lt;&gt;")=0,"",SUMIFS(BD!$AB$3:$AB$5001,BD!$A$3:$A$5001,W$3,BD!$B$3:$B$5001,$A$110)))</f>
        <v/>
      </c>
      <c r="X126" s="216" t="str">
        <f>IF(X$3="","",IF(COUNTIFS(BD!$A$3:$A$5001,X$3,BD!$B$3:$B$5001,$A$110,BD!$AB$3:$AB$5001,"&lt;&gt;")=0,"",SUMIFS(BD!$AB$3:$AB$5001,BD!$A$3:$A$5001,X$3,BD!$B$3:$B$5001,$A$110)))</f>
        <v/>
      </c>
      <c r="Y126" s="216" t="str">
        <f>IF(Y$3="","",IF(COUNTIFS(BD!$A$3:$A$5001,Y$3,BD!$B$3:$B$5001,$A$110,BD!$AB$3:$AB$5001,"&lt;&gt;")=0,"",SUMIFS(BD!$AB$3:$AB$5001,BD!$A$3:$A$5001,Y$3,BD!$B$3:$B$5001,$A$110)))</f>
        <v/>
      </c>
      <c r="Z126" s="216" t="str">
        <f>IF(Z$3="","",IF(COUNTIFS(BD!$A$3:$A$5001,Z$3,BD!$B$3:$B$5001,$A$110,BD!$AB$3:$AB$5001,"&lt;&gt;")=0,"",SUMIFS(BD!$AB$3:$AB$5001,BD!$A$3:$A$5001,Z$3,BD!$B$3:$B$5001,$A$110)))</f>
        <v/>
      </c>
      <c r="AA126" s="216" t="str">
        <f>IF(AA$3="","",IF(COUNTIFS(BD!$A$3:$A$5001,AA$3,BD!$B$3:$B$5001,$A$110,BD!$AB$3:$AB$5001,"&lt;&gt;")=0,"",SUMIFS(BD!$AB$3:$AB$5001,BD!$A$3:$A$5001,AA$3,BD!$B$3:$B$5001,$A$110)))</f>
        <v/>
      </c>
      <c r="AB126" s="216" t="str">
        <f>IF(AB$3="","",IF(COUNTIFS(BD!$A$3:$A$5001,AB$3,BD!$B$3:$B$5001,$A$110,BD!$AB$3:$AB$5001,"&lt;&gt;")=0,"",SUMIFS(BD!$AB$3:$AB$5001,BD!$A$3:$A$5001,AB$3,BD!$B$3:$B$5001,$A$110)))</f>
        <v/>
      </c>
      <c r="AC126" s="216" t="str">
        <f>IF(AC$3="","",IF(COUNTIFS(BD!$A$3:$A$5001,AC$3,BD!$B$3:$B$5001,$A$110,BD!$AB$3:$AB$5001,"&lt;&gt;")=0,"",SUMIFS(BD!$AB$3:$AB$5001,BD!$A$3:$A$5001,AC$3,BD!$B$3:$B$5001,$A$110)))</f>
        <v/>
      </c>
      <c r="AD126" s="216" t="str">
        <f>IF(AD$3="","",IF(COUNTIFS(BD!$A$3:$A$5001,AD$3,BD!$B$3:$B$5001,$A$110,BD!$AB$3:$AB$5001,"&lt;&gt;")=0,"",SUMIFS(BD!$AB$3:$AB$5001,BD!$A$3:$A$5001,AD$3,BD!$B$3:$B$5001,$A$110)))</f>
        <v/>
      </c>
      <c r="AE126" s="216" t="str">
        <f>IF(AE$3="","",IF(COUNTIFS(BD!$A$3:$A$5001,AE$3,BD!$B$3:$B$5001,$A$110,BD!$AB$3:$AB$5001,"&lt;&gt;")=0,"",SUMIFS(BD!$AB$3:$AB$5001,BD!$A$3:$A$5001,AE$3,BD!$B$3:$B$5001,$A$110)))</f>
        <v/>
      </c>
      <c r="AF126" s="216" t="str">
        <f>IF(AF$3="","",IF(COUNTIFS(BD!$A$3:$A$5001,AF$3,BD!$B$3:$B$5001,$A$110,BD!$AB$3:$AB$5001,"&lt;&gt;")=0,"",SUMIFS(BD!$AB$3:$AB$5001,BD!$A$3:$A$5001,AF$3,BD!$B$3:$B$5001,$A$110)))</f>
        <v/>
      </c>
      <c r="AG126" s="216" t="str">
        <f>IF(AG$3="","",IF(COUNTIFS(BD!$A$3:$A$5001,AG$3,BD!$B$3:$B$5001,$A$110,BD!$AB$3:$AB$5001,"&lt;&gt;")=0,"",SUMIFS(BD!$AB$3:$AB$5001,BD!$A$3:$A$5001,AG$3,BD!$B$3:$B$5001,$A$110)))</f>
        <v/>
      </c>
      <c r="AH126" s="216" t="str">
        <f>IF(AH$3="","",IF(COUNTIFS(BD!$A$3:$A$5001,AH$3,BD!$B$3:$B$5001,$A$110,BD!$AB$3:$AB$5001,"&lt;&gt;")=0,"",SUMIFS(BD!$AB$3:$AB$5001,BD!$A$3:$A$5001,AH$3,BD!$B$3:$B$5001,$A$110)))</f>
        <v/>
      </c>
      <c r="AI126" s="216" t="str">
        <f>IF(AI$3="","",IF(COUNTIFS(BD!$A$3:$A$5001,AI$3,BD!$B$3:$B$5001,$A$110,BD!$AB$3:$AB$5001,"&lt;&gt;")=0,"",SUMIFS(BD!$AB$3:$AB$5001,BD!$A$3:$A$5001,AI$3,BD!$B$3:$B$5001,$A$110)))</f>
        <v/>
      </c>
      <c r="AJ126" s="217" t="str">
        <f>IF(AJ$3="","",IF(COUNTIFS(BD!$A$3:$A$5001,AJ$3,BD!$B$3:$B$5001,$A$110,BD!$AB$3:$AB$5001,"&lt;&gt;")=0,"",SUMIFS(BD!$AB$3:$AB$5001,BD!$A$3:$A$5001,AJ$3,BD!$B$3:$B$5001,$A$110)))</f>
        <v/>
      </c>
      <c r="AK126" s="218" t="str">
        <f>IF(COUNT(F126:AJ126)=0,"",SUM(F126:AJ126))</f>
        <v/>
      </c>
    </row>
    <row r="127" ht="15.75" customHeight="1">
      <c r="A127" s="237"/>
      <c r="B127" s="234"/>
      <c r="C127" s="212" t="inlineStr">
        <is>
          <t xml:space="preserve">Férias</t>
        </is>
      </c>
      <c r="D127" s="213" t="str">
        <f>IFERROR(1/(1/INDEX(BD!$AK$50:$AU$50,MATCH($A$110,BD!$AK$22:$AU$22,0))),"")</f>
        <v/>
      </c>
      <c r="E127" s="214"/>
      <c r="F127" s="215" t="str">
        <f>IF(F$3="","",IF(COUNTIFS(BD!$A$3:$A$5001,F$3,BD!$B$3:$B$5001,$A$110,BD!$AC$3:$AC$5001,"&lt;&gt;")=0,"",SUMIFS(BD!$AC$3:$AC$5001,BD!$A$3:$A$5001,F$3,BD!$B$3:$B$5001,$A$110)))</f>
        <v/>
      </c>
      <c r="G127" s="216" t="str">
        <f>IF(G$3="","",IF(COUNTIFS(BD!$A$3:$A$5001,G$3,BD!$B$3:$B$5001,$A$110,BD!$AC$3:$AC$5001,"&lt;&gt;")=0,"",SUMIFS(BD!$AC$3:$AC$5001,BD!$A$3:$A$5001,G$3,BD!$B$3:$B$5001,$A$110)))</f>
        <v/>
      </c>
      <c r="H127" s="216" t="str">
        <f>IF(H$3="","",IF(COUNTIFS(BD!$A$3:$A$5001,H$3,BD!$B$3:$B$5001,$A$110,BD!$AC$3:$AC$5001,"&lt;&gt;")=0,"",SUMIFS(BD!$AC$3:$AC$5001,BD!$A$3:$A$5001,H$3,BD!$B$3:$B$5001,$A$110)))</f>
        <v/>
      </c>
      <c r="I127" s="216" t="str">
        <f>IF(I$3="","",IF(COUNTIFS(BD!$A$3:$A$5001,I$3,BD!$B$3:$B$5001,$A$110,BD!$AC$3:$AC$5001,"&lt;&gt;")=0,"",SUMIFS(BD!$AC$3:$AC$5001,BD!$A$3:$A$5001,I$3,BD!$B$3:$B$5001,$A$110)))</f>
        <v/>
      </c>
      <c r="J127" s="216" t="str">
        <f>IF(J$3="","",IF(COUNTIFS(BD!$A$3:$A$5001,J$3,BD!$B$3:$B$5001,$A$110,BD!$AC$3:$AC$5001,"&lt;&gt;")=0,"",SUMIFS(BD!$AC$3:$AC$5001,BD!$A$3:$A$5001,J$3,BD!$B$3:$B$5001,$A$110)))</f>
        <v/>
      </c>
      <c r="K127" s="216" t="str">
        <f>IF(K$3="","",IF(COUNTIFS(BD!$A$3:$A$5001,K$3,BD!$B$3:$B$5001,$A$110,BD!$AC$3:$AC$5001,"&lt;&gt;")=0,"",SUMIFS(BD!$AC$3:$AC$5001,BD!$A$3:$A$5001,K$3,BD!$B$3:$B$5001,$A$110)))</f>
        <v/>
      </c>
      <c r="L127" s="216" t="str">
        <f>IF(L$3="","",IF(COUNTIFS(BD!$A$3:$A$5001,L$3,BD!$B$3:$B$5001,$A$110,BD!$AC$3:$AC$5001,"&lt;&gt;")=0,"",SUMIFS(BD!$AC$3:$AC$5001,BD!$A$3:$A$5001,L$3,BD!$B$3:$B$5001,$A$110)))</f>
        <v/>
      </c>
      <c r="M127" s="216" t="str">
        <f>IF(M$3="","",IF(COUNTIFS(BD!$A$3:$A$5001,M$3,BD!$B$3:$B$5001,$A$110,BD!$AC$3:$AC$5001,"&lt;&gt;")=0,"",SUMIFS(BD!$AC$3:$AC$5001,BD!$A$3:$A$5001,M$3,BD!$B$3:$B$5001,$A$110)))</f>
        <v/>
      </c>
      <c r="N127" s="216" t="str">
        <f>IF(N$3="","",IF(COUNTIFS(BD!$A$3:$A$5001,N$3,BD!$B$3:$B$5001,$A$110,BD!$AC$3:$AC$5001,"&lt;&gt;")=0,"",SUMIFS(BD!$AC$3:$AC$5001,BD!$A$3:$A$5001,N$3,BD!$B$3:$B$5001,$A$110)))</f>
        <v/>
      </c>
      <c r="O127" s="216" t="str">
        <f>IF(O$3="","",IF(COUNTIFS(BD!$A$3:$A$5001,O$3,BD!$B$3:$B$5001,$A$110,BD!$AC$3:$AC$5001,"&lt;&gt;")=0,"",SUMIFS(BD!$AC$3:$AC$5001,BD!$A$3:$A$5001,O$3,BD!$B$3:$B$5001,$A$110)))</f>
        <v/>
      </c>
      <c r="P127" s="216" t="str">
        <f>IF(P$3="","",IF(COUNTIFS(BD!$A$3:$A$5001,P$3,BD!$B$3:$B$5001,$A$110,BD!$AC$3:$AC$5001,"&lt;&gt;")=0,"",SUMIFS(BD!$AC$3:$AC$5001,BD!$A$3:$A$5001,P$3,BD!$B$3:$B$5001,$A$110)))</f>
        <v/>
      </c>
      <c r="Q127" s="216" t="str">
        <f>IF(Q$3="","",IF(COUNTIFS(BD!$A$3:$A$5001,Q$3,BD!$B$3:$B$5001,$A$110,BD!$AC$3:$AC$5001,"&lt;&gt;")=0,"",SUMIFS(BD!$AC$3:$AC$5001,BD!$A$3:$A$5001,Q$3,BD!$B$3:$B$5001,$A$110)))</f>
        <v/>
      </c>
      <c r="R127" s="216" t="str">
        <f>IF(R$3="","",IF(COUNTIFS(BD!$A$3:$A$5001,R$3,BD!$B$3:$B$5001,$A$110,BD!$AC$3:$AC$5001,"&lt;&gt;")=0,"",SUMIFS(BD!$AC$3:$AC$5001,BD!$A$3:$A$5001,R$3,BD!$B$3:$B$5001,$A$110)))</f>
        <v/>
      </c>
      <c r="S127" s="216" t="str">
        <f>IF(S$3="","",IF(COUNTIFS(BD!$A$3:$A$5001,S$3,BD!$B$3:$B$5001,$A$110,BD!$AC$3:$AC$5001,"&lt;&gt;")=0,"",SUMIFS(BD!$AC$3:$AC$5001,BD!$A$3:$A$5001,S$3,BD!$B$3:$B$5001,$A$110)))</f>
        <v/>
      </c>
      <c r="T127" s="216" t="str">
        <f>IF(T$3="","",IF(COUNTIFS(BD!$A$3:$A$5001,T$3,BD!$B$3:$B$5001,$A$110,BD!$AC$3:$AC$5001,"&lt;&gt;")=0,"",SUMIFS(BD!$AC$3:$AC$5001,BD!$A$3:$A$5001,T$3,BD!$B$3:$B$5001,$A$110)))</f>
        <v/>
      </c>
      <c r="U127" s="216" t="str">
        <f>IF(U$3="","",IF(COUNTIFS(BD!$A$3:$A$5001,U$3,BD!$B$3:$B$5001,$A$110,BD!$AC$3:$AC$5001,"&lt;&gt;")=0,"",SUMIFS(BD!$AC$3:$AC$5001,BD!$A$3:$A$5001,U$3,BD!$B$3:$B$5001,$A$110)))</f>
        <v/>
      </c>
      <c r="V127" s="216" t="str">
        <f>IF(V$3="","",IF(COUNTIFS(BD!$A$3:$A$5001,V$3,BD!$B$3:$B$5001,$A$110,BD!$AC$3:$AC$5001,"&lt;&gt;")=0,"",SUMIFS(BD!$AC$3:$AC$5001,BD!$A$3:$A$5001,V$3,BD!$B$3:$B$5001,$A$110)))</f>
        <v/>
      </c>
      <c r="W127" s="216" t="str">
        <f>IF(W$3="","",IF(COUNTIFS(BD!$A$3:$A$5001,W$3,BD!$B$3:$B$5001,$A$110,BD!$AC$3:$AC$5001,"&lt;&gt;")=0,"",SUMIFS(BD!$AC$3:$AC$5001,BD!$A$3:$A$5001,W$3,BD!$B$3:$B$5001,$A$110)))</f>
        <v/>
      </c>
      <c r="X127" s="216" t="str">
        <f>IF(X$3="","",IF(COUNTIFS(BD!$A$3:$A$5001,X$3,BD!$B$3:$B$5001,$A$110,BD!$AC$3:$AC$5001,"&lt;&gt;")=0,"",SUMIFS(BD!$AC$3:$AC$5001,BD!$A$3:$A$5001,X$3,BD!$B$3:$B$5001,$A$110)))</f>
        <v/>
      </c>
      <c r="Y127" s="216" t="str">
        <f>IF(Y$3="","",IF(COUNTIFS(BD!$A$3:$A$5001,Y$3,BD!$B$3:$B$5001,$A$110,BD!$AC$3:$AC$5001,"&lt;&gt;")=0,"",SUMIFS(BD!$AC$3:$AC$5001,BD!$A$3:$A$5001,Y$3,BD!$B$3:$B$5001,$A$110)))</f>
        <v/>
      </c>
      <c r="Z127" s="216" t="str">
        <f>IF(Z$3="","",IF(COUNTIFS(BD!$A$3:$A$5001,Z$3,BD!$B$3:$B$5001,$A$110,BD!$AC$3:$AC$5001,"&lt;&gt;")=0,"",SUMIFS(BD!$AC$3:$AC$5001,BD!$A$3:$A$5001,Z$3,BD!$B$3:$B$5001,$A$110)))</f>
        <v/>
      </c>
      <c r="AA127" s="216" t="str">
        <f>IF(AA$3="","",IF(COUNTIFS(BD!$A$3:$A$5001,AA$3,BD!$B$3:$B$5001,$A$110,BD!$AC$3:$AC$5001,"&lt;&gt;")=0,"",SUMIFS(BD!$AC$3:$AC$5001,BD!$A$3:$A$5001,AA$3,BD!$B$3:$B$5001,$A$110)))</f>
        <v/>
      </c>
      <c r="AB127" s="216" t="str">
        <f>IF(AB$3="","",IF(COUNTIFS(BD!$A$3:$A$5001,AB$3,BD!$B$3:$B$5001,$A$110,BD!$AC$3:$AC$5001,"&lt;&gt;")=0,"",SUMIFS(BD!$AC$3:$AC$5001,BD!$A$3:$A$5001,AB$3,BD!$B$3:$B$5001,$A$110)))</f>
        <v/>
      </c>
      <c r="AC127" s="216" t="str">
        <f>IF(AC$3="","",IF(COUNTIFS(BD!$A$3:$A$5001,AC$3,BD!$B$3:$B$5001,$A$110,BD!$AC$3:$AC$5001,"&lt;&gt;")=0,"",SUMIFS(BD!$AC$3:$AC$5001,BD!$A$3:$A$5001,AC$3,BD!$B$3:$B$5001,$A$110)))</f>
        <v/>
      </c>
      <c r="AD127" s="216" t="str">
        <f>IF(AD$3="","",IF(COUNTIFS(BD!$A$3:$A$5001,AD$3,BD!$B$3:$B$5001,$A$110,BD!$AC$3:$AC$5001,"&lt;&gt;")=0,"",SUMIFS(BD!$AC$3:$AC$5001,BD!$A$3:$A$5001,AD$3,BD!$B$3:$B$5001,$A$110)))</f>
        <v/>
      </c>
      <c r="AE127" s="216" t="str">
        <f>IF(AE$3="","",IF(COUNTIFS(BD!$A$3:$A$5001,AE$3,BD!$B$3:$B$5001,$A$110,BD!$AC$3:$AC$5001,"&lt;&gt;")=0,"",SUMIFS(BD!$AC$3:$AC$5001,BD!$A$3:$A$5001,AE$3,BD!$B$3:$B$5001,$A$110)))</f>
        <v/>
      </c>
      <c r="AF127" s="216" t="str">
        <f>IF(AF$3="","",IF(COUNTIFS(BD!$A$3:$A$5001,AF$3,BD!$B$3:$B$5001,$A$110,BD!$AC$3:$AC$5001,"&lt;&gt;")=0,"",SUMIFS(BD!$AC$3:$AC$5001,BD!$A$3:$A$5001,AF$3,BD!$B$3:$B$5001,$A$110)))</f>
        <v/>
      </c>
      <c r="AG127" s="216" t="str">
        <f>IF(AG$3="","",IF(COUNTIFS(BD!$A$3:$A$5001,AG$3,BD!$B$3:$B$5001,$A$110,BD!$AC$3:$AC$5001,"&lt;&gt;")=0,"",SUMIFS(BD!$AC$3:$AC$5001,BD!$A$3:$A$5001,AG$3,BD!$B$3:$B$5001,$A$110)))</f>
        <v/>
      </c>
      <c r="AH127" s="216" t="str">
        <f>IF(AH$3="","",IF(COUNTIFS(BD!$A$3:$A$5001,AH$3,BD!$B$3:$B$5001,$A$110,BD!$AC$3:$AC$5001,"&lt;&gt;")=0,"",SUMIFS(BD!$AC$3:$AC$5001,BD!$A$3:$A$5001,AH$3,BD!$B$3:$B$5001,$A$110)))</f>
        <v/>
      </c>
      <c r="AI127" s="216" t="str">
        <f>IF(AI$3="","",IF(COUNTIFS(BD!$A$3:$A$5001,AI$3,BD!$B$3:$B$5001,$A$110,BD!$AC$3:$AC$5001,"&lt;&gt;")=0,"",SUMIFS(BD!$AC$3:$AC$5001,BD!$A$3:$A$5001,AI$3,BD!$B$3:$B$5001,$A$110)))</f>
        <v/>
      </c>
      <c r="AJ127" s="217" t="str">
        <f>IF(AJ$3="","",IF(COUNTIFS(BD!$A$3:$A$5001,AJ$3,BD!$B$3:$B$5001,$A$110,BD!$AC$3:$AC$5001,"&lt;&gt;")=0,"",SUMIFS(BD!$AC$3:$AC$5001,BD!$A$3:$A$5001,AJ$3,BD!$B$3:$B$5001,$A$110)))</f>
        <v/>
      </c>
      <c r="AK127" s="218" t="str">
        <f>IF(COUNT(F127:AJ127)=0,"",SUM(F127:AJ127))</f>
        <v/>
      </c>
    </row>
    <row r="128" ht="15.75" customHeight="1">
      <c r="A128" s="237"/>
      <c r="B128" s="234"/>
      <c r="C128" s="212" t="inlineStr">
        <is>
          <t xml:space="preserve">Desligamento</t>
        </is>
      </c>
      <c r="D128" s="213" t="str">
        <f>IFERROR(1/(1/INDEX(BD!$AK$51:$AU$51,MATCH($A$110,BD!$AK$22:$AU$22,0))),"")</f>
        <v/>
      </c>
      <c r="E128" s="214"/>
      <c r="F128" s="215" t="str">
        <f>IF(F$3="","",IF(COUNTIFS(BD!$A$3:$A$5001,F$3,BD!$B$3:$B$5001,$A$110,BD!$AD$3:$AD$5001,"&lt;&gt;")=0,"",SUMIFS(BD!$AD$3:$AD$5001,BD!$A$3:$A$5001,F$3,BD!$B$3:$B$5001,$A$110)))</f>
        <v/>
      </c>
      <c r="G128" s="216" t="str">
        <f>IF(G$3="","",IF(COUNTIFS(BD!$A$3:$A$5001,G$3,BD!$B$3:$B$5001,$A$110,BD!$AD$3:$AD$5001,"&lt;&gt;")=0,"",SUMIFS(BD!$AD$3:$AD$5001,BD!$A$3:$A$5001,G$3,BD!$B$3:$B$5001,$A$110)))</f>
        <v/>
      </c>
      <c r="H128" s="216" t="str">
        <f>IF(H$3="","",IF(COUNTIFS(BD!$A$3:$A$5001,H$3,BD!$B$3:$B$5001,$A$110,BD!$AD$3:$AD$5001,"&lt;&gt;")=0,"",SUMIFS(BD!$AD$3:$AD$5001,BD!$A$3:$A$5001,H$3,BD!$B$3:$B$5001,$A$110)))</f>
        <v/>
      </c>
      <c r="I128" s="216" t="str">
        <f>IF(I$3="","",IF(COUNTIFS(BD!$A$3:$A$5001,I$3,BD!$B$3:$B$5001,$A$110,BD!$AD$3:$AD$5001,"&lt;&gt;")=0,"",SUMIFS(BD!$AD$3:$AD$5001,BD!$A$3:$A$5001,I$3,BD!$B$3:$B$5001,$A$110)))</f>
        <v/>
      </c>
      <c r="J128" s="216" t="str">
        <f>IF(J$3="","",IF(COUNTIFS(BD!$A$3:$A$5001,J$3,BD!$B$3:$B$5001,$A$110,BD!$AD$3:$AD$5001,"&lt;&gt;")=0,"",SUMIFS(BD!$AD$3:$AD$5001,BD!$A$3:$A$5001,J$3,BD!$B$3:$B$5001,$A$110)))</f>
        <v/>
      </c>
      <c r="K128" s="216" t="str">
        <f>IF(K$3="","",IF(COUNTIFS(BD!$A$3:$A$5001,K$3,BD!$B$3:$B$5001,$A$110,BD!$AD$3:$AD$5001,"&lt;&gt;")=0,"",SUMIFS(BD!$AD$3:$AD$5001,BD!$A$3:$A$5001,K$3,BD!$B$3:$B$5001,$A$110)))</f>
        <v/>
      </c>
      <c r="L128" s="216" t="str">
        <f>IF(L$3="","",IF(COUNTIFS(BD!$A$3:$A$5001,L$3,BD!$B$3:$B$5001,$A$110,BD!$AD$3:$AD$5001,"&lt;&gt;")=0,"",SUMIFS(BD!$AD$3:$AD$5001,BD!$A$3:$A$5001,L$3,BD!$B$3:$B$5001,$A$110)))</f>
        <v/>
      </c>
      <c r="M128" s="216" t="str">
        <f>IF(M$3="","",IF(COUNTIFS(BD!$A$3:$A$5001,M$3,BD!$B$3:$B$5001,$A$110,BD!$AD$3:$AD$5001,"&lt;&gt;")=0,"",SUMIFS(BD!$AD$3:$AD$5001,BD!$A$3:$A$5001,M$3,BD!$B$3:$B$5001,$A$110)))</f>
        <v/>
      </c>
      <c r="N128" s="216" t="str">
        <f>IF(N$3="","",IF(COUNTIFS(BD!$A$3:$A$5001,N$3,BD!$B$3:$B$5001,$A$110,BD!$AD$3:$AD$5001,"&lt;&gt;")=0,"",SUMIFS(BD!$AD$3:$AD$5001,BD!$A$3:$A$5001,N$3,BD!$B$3:$B$5001,$A$110)))</f>
        <v/>
      </c>
      <c r="O128" s="216" t="str">
        <f>IF(O$3="","",IF(COUNTIFS(BD!$A$3:$A$5001,O$3,BD!$B$3:$B$5001,$A$110,BD!$AD$3:$AD$5001,"&lt;&gt;")=0,"",SUMIFS(BD!$AD$3:$AD$5001,BD!$A$3:$A$5001,O$3,BD!$B$3:$B$5001,$A$110)))</f>
        <v/>
      </c>
      <c r="P128" s="216" t="str">
        <f>IF(P$3="","",IF(COUNTIFS(BD!$A$3:$A$5001,P$3,BD!$B$3:$B$5001,$A$110,BD!$AD$3:$AD$5001,"&lt;&gt;")=0,"",SUMIFS(BD!$AD$3:$AD$5001,BD!$A$3:$A$5001,P$3,BD!$B$3:$B$5001,$A$110)))</f>
        <v/>
      </c>
      <c r="Q128" s="216" t="str">
        <f>IF(Q$3="","",IF(COUNTIFS(BD!$A$3:$A$5001,Q$3,BD!$B$3:$B$5001,$A$110,BD!$AD$3:$AD$5001,"&lt;&gt;")=0,"",SUMIFS(BD!$AD$3:$AD$5001,BD!$A$3:$A$5001,Q$3,BD!$B$3:$B$5001,$A$110)))</f>
        <v/>
      </c>
      <c r="R128" s="216" t="str">
        <f>IF(R$3="","",IF(COUNTIFS(BD!$A$3:$A$5001,R$3,BD!$B$3:$B$5001,$A$110,BD!$AD$3:$AD$5001,"&lt;&gt;")=0,"",SUMIFS(BD!$AD$3:$AD$5001,BD!$A$3:$A$5001,R$3,BD!$B$3:$B$5001,$A$110)))</f>
        <v/>
      </c>
      <c r="S128" s="216" t="str">
        <f>IF(S$3="","",IF(COUNTIFS(BD!$A$3:$A$5001,S$3,BD!$B$3:$B$5001,$A$110,BD!$AD$3:$AD$5001,"&lt;&gt;")=0,"",SUMIFS(BD!$AD$3:$AD$5001,BD!$A$3:$A$5001,S$3,BD!$B$3:$B$5001,$A$110)))</f>
        <v/>
      </c>
      <c r="T128" s="216" t="str">
        <f>IF(T$3="","",IF(COUNTIFS(BD!$A$3:$A$5001,T$3,BD!$B$3:$B$5001,$A$110,BD!$AD$3:$AD$5001,"&lt;&gt;")=0,"",SUMIFS(BD!$AD$3:$AD$5001,BD!$A$3:$A$5001,T$3,BD!$B$3:$B$5001,$A$110)))</f>
        <v/>
      </c>
      <c r="U128" s="216" t="str">
        <f>IF(U$3="","",IF(COUNTIFS(BD!$A$3:$A$5001,U$3,BD!$B$3:$B$5001,$A$110,BD!$AD$3:$AD$5001,"&lt;&gt;")=0,"",SUMIFS(BD!$AD$3:$AD$5001,BD!$A$3:$A$5001,U$3,BD!$B$3:$B$5001,$A$110)))</f>
        <v/>
      </c>
      <c r="V128" s="216" t="str">
        <f>IF(V$3="","",IF(COUNTIFS(BD!$A$3:$A$5001,V$3,BD!$B$3:$B$5001,$A$110,BD!$AD$3:$AD$5001,"&lt;&gt;")=0,"",SUMIFS(BD!$AD$3:$AD$5001,BD!$A$3:$A$5001,V$3,BD!$B$3:$B$5001,$A$110)))</f>
        <v/>
      </c>
      <c r="W128" s="216" t="str">
        <f>IF(W$3="","",IF(COUNTIFS(BD!$A$3:$A$5001,W$3,BD!$B$3:$B$5001,$A$110,BD!$AD$3:$AD$5001,"&lt;&gt;")=0,"",SUMIFS(BD!$AD$3:$AD$5001,BD!$A$3:$A$5001,W$3,BD!$B$3:$B$5001,$A$110)))</f>
        <v/>
      </c>
      <c r="X128" s="216" t="str">
        <f>IF(X$3="","",IF(COUNTIFS(BD!$A$3:$A$5001,X$3,BD!$B$3:$B$5001,$A$110,BD!$AD$3:$AD$5001,"&lt;&gt;")=0,"",SUMIFS(BD!$AD$3:$AD$5001,BD!$A$3:$A$5001,X$3,BD!$B$3:$B$5001,$A$110)))</f>
        <v/>
      </c>
      <c r="Y128" s="216" t="str">
        <f>IF(Y$3="","",IF(COUNTIFS(BD!$A$3:$A$5001,Y$3,BD!$B$3:$B$5001,$A$110,BD!$AD$3:$AD$5001,"&lt;&gt;")=0,"",SUMIFS(BD!$AD$3:$AD$5001,BD!$A$3:$A$5001,Y$3,BD!$B$3:$B$5001,$A$110)))</f>
        <v/>
      </c>
      <c r="Z128" s="216" t="str">
        <f>IF(Z$3="","",IF(COUNTIFS(BD!$A$3:$A$5001,Z$3,BD!$B$3:$B$5001,$A$110,BD!$AD$3:$AD$5001,"&lt;&gt;")=0,"",SUMIFS(BD!$AD$3:$AD$5001,BD!$A$3:$A$5001,Z$3,BD!$B$3:$B$5001,$A$110)))</f>
        <v/>
      </c>
      <c r="AA128" s="216" t="str">
        <f>IF(AA$3="","",IF(COUNTIFS(BD!$A$3:$A$5001,AA$3,BD!$B$3:$B$5001,$A$110,BD!$AD$3:$AD$5001,"&lt;&gt;")=0,"",SUMIFS(BD!$AD$3:$AD$5001,BD!$A$3:$A$5001,AA$3,BD!$B$3:$B$5001,$A$110)))</f>
        <v/>
      </c>
      <c r="AB128" s="216" t="str">
        <f>IF(AB$3="","",IF(COUNTIFS(BD!$A$3:$A$5001,AB$3,BD!$B$3:$B$5001,$A$110,BD!$AD$3:$AD$5001,"&lt;&gt;")=0,"",SUMIFS(BD!$AD$3:$AD$5001,BD!$A$3:$A$5001,AB$3,BD!$B$3:$B$5001,$A$110)))</f>
        <v/>
      </c>
      <c r="AC128" s="216" t="str">
        <f>IF(AC$3="","",IF(COUNTIFS(BD!$A$3:$A$5001,AC$3,BD!$B$3:$B$5001,$A$110,BD!$AD$3:$AD$5001,"&lt;&gt;")=0,"",SUMIFS(BD!$AD$3:$AD$5001,BD!$A$3:$A$5001,AC$3,BD!$B$3:$B$5001,$A$110)))</f>
        <v/>
      </c>
      <c r="AD128" s="216" t="str">
        <f>IF(AD$3="","",IF(COUNTIFS(BD!$A$3:$A$5001,AD$3,BD!$B$3:$B$5001,$A$110,BD!$AD$3:$AD$5001,"&lt;&gt;")=0,"",SUMIFS(BD!$AD$3:$AD$5001,BD!$A$3:$A$5001,AD$3,BD!$B$3:$B$5001,$A$110)))</f>
        <v/>
      </c>
      <c r="AE128" s="216" t="str">
        <f>IF(AE$3="","",IF(COUNTIFS(BD!$A$3:$A$5001,AE$3,BD!$B$3:$B$5001,$A$110,BD!$AD$3:$AD$5001,"&lt;&gt;")=0,"",SUMIFS(BD!$AD$3:$AD$5001,BD!$A$3:$A$5001,AE$3,BD!$B$3:$B$5001,$A$110)))</f>
        <v/>
      </c>
      <c r="AF128" s="216" t="str">
        <f>IF(AF$3="","",IF(COUNTIFS(BD!$A$3:$A$5001,AF$3,BD!$B$3:$B$5001,$A$110,BD!$AD$3:$AD$5001,"&lt;&gt;")=0,"",SUMIFS(BD!$AD$3:$AD$5001,BD!$A$3:$A$5001,AF$3,BD!$B$3:$B$5001,$A$110)))</f>
        <v/>
      </c>
      <c r="AG128" s="216" t="str">
        <f>IF(AG$3="","",IF(COUNTIFS(BD!$A$3:$A$5001,AG$3,BD!$B$3:$B$5001,$A$110,BD!$AD$3:$AD$5001,"&lt;&gt;")=0,"",SUMIFS(BD!$AD$3:$AD$5001,BD!$A$3:$A$5001,AG$3,BD!$B$3:$B$5001,$A$110)))</f>
        <v/>
      </c>
      <c r="AH128" s="216" t="str">
        <f>IF(AH$3="","",IF(COUNTIFS(BD!$A$3:$A$5001,AH$3,BD!$B$3:$B$5001,$A$110,BD!$AD$3:$AD$5001,"&lt;&gt;")=0,"",SUMIFS(BD!$AD$3:$AD$5001,BD!$A$3:$A$5001,AH$3,BD!$B$3:$B$5001,$A$110)))</f>
        <v/>
      </c>
      <c r="AI128" s="216" t="str">
        <f>IF(AI$3="","",IF(COUNTIFS(BD!$A$3:$A$5001,AI$3,BD!$B$3:$B$5001,$A$110,BD!$AD$3:$AD$5001,"&lt;&gt;")=0,"",SUMIFS(BD!$AD$3:$AD$5001,BD!$A$3:$A$5001,AI$3,BD!$B$3:$B$5001,$A$110)))</f>
        <v/>
      </c>
      <c r="AJ128" s="217" t="str">
        <f>IF(AJ$3="","",IF(COUNTIFS(BD!$A$3:$A$5001,AJ$3,BD!$B$3:$B$5001,$A$110,BD!$AD$3:$AD$5001,"&lt;&gt;")=0,"",SUMIFS(BD!$AD$3:$AD$5001,BD!$A$3:$A$5001,AJ$3,BD!$B$3:$B$5001,$A$110)))</f>
        <v/>
      </c>
      <c r="AK128" s="218" t="str">
        <f>IF(COUNT(F128:AJ128)=0,"",SUM(F128:AJ128))</f>
        <v/>
      </c>
    </row>
    <row r="129" ht="15.75" customHeight="1">
      <c r="A129" s="237"/>
      <c r="B129" s="234"/>
      <c r="C129" s="212" t="inlineStr">
        <is>
          <t xml:space="preserve">Desvios Comportamentais</t>
        </is>
      </c>
      <c r="D129" s="213" t="str">
        <f>IFERROR(1/(1/INDEX(BD!$AK$52:$AU$52,MATCH($A$110,BD!$AK$22:$AU$22,0))),"")</f>
        <v/>
      </c>
      <c r="E129" s="214"/>
      <c r="F129" s="215" t="str">
        <f>IF(F$3="","",IF(COUNTIFS(BD!$A$3:$A$5001,F$3,BD!$B$3:$B$5001,$A$110,BD!$AE$3:$AE$5001,"&lt;&gt;")=0,"",SUMIFS(BD!$AE$3:$AE$5001,BD!$A$3:$A$5001,F$3,BD!$B$3:$B$5001,$A$110)))</f>
        <v/>
      </c>
      <c r="G129" s="216" t="str">
        <f>IF(G$3="","",IF(COUNTIFS(BD!$A$3:$A$5001,G$3,BD!$B$3:$B$5001,$A$110,BD!$AE$3:$AE$5001,"&lt;&gt;")=0,"",SUMIFS(BD!$AE$3:$AE$5001,BD!$A$3:$A$5001,G$3,BD!$B$3:$B$5001,$A$110)))</f>
        <v/>
      </c>
      <c r="H129" s="216" t="str">
        <f>IF(H$3="","",IF(COUNTIFS(BD!$A$3:$A$5001,H$3,BD!$B$3:$B$5001,$A$110,BD!$AE$3:$AE$5001,"&lt;&gt;")=0,"",SUMIFS(BD!$AE$3:$AE$5001,BD!$A$3:$A$5001,H$3,BD!$B$3:$B$5001,$A$110)))</f>
        <v/>
      </c>
      <c r="I129" s="216" t="str">
        <f>IF(I$3="","",IF(COUNTIFS(BD!$A$3:$A$5001,I$3,BD!$B$3:$B$5001,$A$110,BD!$AE$3:$AE$5001,"&lt;&gt;")=0,"",SUMIFS(BD!$AE$3:$AE$5001,BD!$A$3:$A$5001,I$3,BD!$B$3:$B$5001,$A$110)))</f>
        <v/>
      </c>
      <c r="J129" s="216" t="str">
        <f>IF(J$3="","",IF(COUNTIFS(BD!$A$3:$A$5001,J$3,BD!$B$3:$B$5001,$A$110,BD!$AE$3:$AE$5001,"&lt;&gt;")=0,"",SUMIFS(BD!$AE$3:$AE$5001,BD!$A$3:$A$5001,J$3,BD!$B$3:$B$5001,$A$110)))</f>
        <v/>
      </c>
      <c r="K129" s="216" t="str">
        <f>IF(K$3="","",IF(COUNTIFS(BD!$A$3:$A$5001,K$3,BD!$B$3:$B$5001,$A$110,BD!$AE$3:$AE$5001,"&lt;&gt;")=0,"",SUMIFS(BD!$AE$3:$AE$5001,BD!$A$3:$A$5001,K$3,BD!$B$3:$B$5001,$A$110)))</f>
        <v/>
      </c>
      <c r="L129" s="216" t="str">
        <f>IF(L$3="","",IF(COUNTIFS(BD!$A$3:$A$5001,L$3,BD!$B$3:$B$5001,$A$110,BD!$AE$3:$AE$5001,"&lt;&gt;")=0,"",SUMIFS(BD!$AE$3:$AE$5001,BD!$A$3:$A$5001,L$3,BD!$B$3:$B$5001,$A$110)))</f>
        <v/>
      </c>
      <c r="M129" s="216" t="str">
        <f>IF(M$3="","",IF(COUNTIFS(BD!$A$3:$A$5001,M$3,BD!$B$3:$B$5001,$A$110,BD!$AE$3:$AE$5001,"&lt;&gt;")=0,"",SUMIFS(BD!$AE$3:$AE$5001,BD!$A$3:$A$5001,M$3,BD!$B$3:$B$5001,$A$110)))</f>
        <v/>
      </c>
      <c r="N129" s="216" t="str">
        <f>IF(N$3="","",IF(COUNTIFS(BD!$A$3:$A$5001,N$3,BD!$B$3:$B$5001,$A$110,BD!$AE$3:$AE$5001,"&lt;&gt;")=0,"",SUMIFS(BD!$AE$3:$AE$5001,BD!$A$3:$A$5001,N$3,BD!$B$3:$B$5001,$A$110)))</f>
        <v/>
      </c>
      <c r="O129" s="216" t="str">
        <f>IF(O$3="","",IF(COUNTIFS(BD!$A$3:$A$5001,O$3,BD!$B$3:$B$5001,$A$110,BD!$AE$3:$AE$5001,"&lt;&gt;")=0,"",SUMIFS(BD!$AE$3:$AE$5001,BD!$A$3:$A$5001,O$3,BD!$B$3:$B$5001,$A$110)))</f>
        <v/>
      </c>
      <c r="P129" s="216" t="str">
        <f>IF(P$3="","",IF(COUNTIFS(BD!$A$3:$A$5001,P$3,BD!$B$3:$B$5001,$A$110,BD!$AE$3:$AE$5001,"&lt;&gt;")=0,"",SUMIFS(BD!$AE$3:$AE$5001,BD!$A$3:$A$5001,P$3,BD!$B$3:$B$5001,$A$110)))</f>
        <v/>
      </c>
      <c r="Q129" s="216" t="str">
        <f>IF(Q$3="","",IF(COUNTIFS(BD!$A$3:$A$5001,Q$3,BD!$B$3:$B$5001,$A$110,BD!$AE$3:$AE$5001,"&lt;&gt;")=0,"",SUMIFS(BD!$AE$3:$AE$5001,BD!$A$3:$A$5001,Q$3,BD!$B$3:$B$5001,$A$110)))</f>
        <v/>
      </c>
      <c r="R129" s="216" t="str">
        <f>IF(R$3="","",IF(COUNTIFS(BD!$A$3:$A$5001,R$3,BD!$B$3:$B$5001,$A$110,BD!$AE$3:$AE$5001,"&lt;&gt;")=0,"",SUMIFS(BD!$AE$3:$AE$5001,BD!$A$3:$A$5001,R$3,BD!$B$3:$B$5001,$A$110)))</f>
        <v/>
      </c>
      <c r="S129" s="216" t="str">
        <f>IF(S$3="","",IF(COUNTIFS(BD!$A$3:$A$5001,S$3,BD!$B$3:$B$5001,$A$110,BD!$AE$3:$AE$5001,"&lt;&gt;")=0,"",SUMIFS(BD!$AE$3:$AE$5001,BD!$A$3:$A$5001,S$3,BD!$B$3:$B$5001,$A$110)))</f>
        <v/>
      </c>
      <c r="T129" s="216" t="str">
        <f>IF(T$3="","",IF(COUNTIFS(BD!$A$3:$A$5001,T$3,BD!$B$3:$B$5001,$A$110,BD!$AE$3:$AE$5001,"&lt;&gt;")=0,"",SUMIFS(BD!$AE$3:$AE$5001,BD!$A$3:$A$5001,T$3,BD!$B$3:$B$5001,$A$110)))</f>
        <v/>
      </c>
      <c r="U129" s="216" t="str">
        <f>IF(U$3="","",IF(COUNTIFS(BD!$A$3:$A$5001,U$3,BD!$B$3:$B$5001,$A$110,BD!$AE$3:$AE$5001,"&lt;&gt;")=0,"",SUMIFS(BD!$AE$3:$AE$5001,BD!$A$3:$A$5001,U$3,BD!$B$3:$B$5001,$A$110)))</f>
        <v/>
      </c>
      <c r="V129" s="216" t="str">
        <f>IF(V$3="","",IF(COUNTIFS(BD!$A$3:$A$5001,V$3,BD!$B$3:$B$5001,$A$110,BD!$AE$3:$AE$5001,"&lt;&gt;")=0,"",SUMIFS(BD!$AE$3:$AE$5001,BD!$A$3:$A$5001,V$3,BD!$B$3:$B$5001,$A$110)))</f>
        <v/>
      </c>
      <c r="W129" s="216" t="str">
        <f>IF(W$3="","",IF(COUNTIFS(BD!$A$3:$A$5001,W$3,BD!$B$3:$B$5001,$A$110,BD!$AE$3:$AE$5001,"&lt;&gt;")=0,"",SUMIFS(BD!$AE$3:$AE$5001,BD!$A$3:$A$5001,W$3,BD!$B$3:$B$5001,$A$110)))</f>
        <v/>
      </c>
      <c r="X129" s="216" t="str">
        <f>IF(X$3="","",IF(COUNTIFS(BD!$A$3:$A$5001,X$3,BD!$B$3:$B$5001,$A$110,BD!$AE$3:$AE$5001,"&lt;&gt;")=0,"",SUMIFS(BD!$AE$3:$AE$5001,BD!$A$3:$A$5001,X$3,BD!$B$3:$B$5001,$A$110)))</f>
        <v/>
      </c>
      <c r="Y129" s="216" t="str">
        <f>IF(Y$3="","",IF(COUNTIFS(BD!$A$3:$A$5001,Y$3,BD!$B$3:$B$5001,$A$110,BD!$AE$3:$AE$5001,"&lt;&gt;")=0,"",SUMIFS(BD!$AE$3:$AE$5001,BD!$A$3:$A$5001,Y$3,BD!$B$3:$B$5001,$A$110)))</f>
        <v/>
      </c>
      <c r="Z129" s="216" t="str">
        <f>IF(Z$3="","",IF(COUNTIFS(BD!$A$3:$A$5001,Z$3,BD!$B$3:$B$5001,$A$110,BD!$AE$3:$AE$5001,"&lt;&gt;")=0,"",SUMIFS(BD!$AE$3:$AE$5001,BD!$A$3:$A$5001,Z$3,BD!$B$3:$B$5001,$A$110)))</f>
        <v/>
      </c>
      <c r="AA129" s="216" t="str">
        <f>IF(AA$3="","",IF(COUNTIFS(BD!$A$3:$A$5001,AA$3,BD!$B$3:$B$5001,$A$110,BD!$AE$3:$AE$5001,"&lt;&gt;")=0,"",SUMIFS(BD!$AE$3:$AE$5001,BD!$A$3:$A$5001,AA$3,BD!$B$3:$B$5001,$A$110)))</f>
        <v/>
      </c>
      <c r="AB129" s="216" t="str">
        <f>IF(AB$3="","",IF(COUNTIFS(BD!$A$3:$A$5001,AB$3,BD!$B$3:$B$5001,$A$110,BD!$AE$3:$AE$5001,"&lt;&gt;")=0,"",SUMIFS(BD!$AE$3:$AE$5001,BD!$A$3:$A$5001,AB$3,BD!$B$3:$B$5001,$A$110)))</f>
        <v/>
      </c>
      <c r="AC129" s="216" t="str">
        <f>IF(AC$3="","",IF(COUNTIFS(BD!$A$3:$A$5001,AC$3,BD!$B$3:$B$5001,$A$110,BD!$AE$3:$AE$5001,"&lt;&gt;")=0,"",SUMIFS(BD!$AE$3:$AE$5001,BD!$A$3:$A$5001,AC$3,BD!$B$3:$B$5001,$A$110)))</f>
        <v/>
      </c>
      <c r="AD129" s="216" t="str">
        <f>IF(AD$3="","",IF(COUNTIFS(BD!$A$3:$A$5001,AD$3,BD!$B$3:$B$5001,$A$110,BD!$AE$3:$AE$5001,"&lt;&gt;")=0,"",SUMIFS(BD!$AE$3:$AE$5001,BD!$A$3:$A$5001,AD$3,BD!$B$3:$B$5001,$A$110)))</f>
        <v/>
      </c>
      <c r="AE129" s="216" t="str">
        <f>IF(AE$3="","",IF(COUNTIFS(BD!$A$3:$A$5001,AE$3,BD!$B$3:$B$5001,$A$110,BD!$AE$3:$AE$5001,"&lt;&gt;")=0,"",SUMIFS(BD!$AE$3:$AE$5001,BD!$A$3:$A$5001,AE$3,BD!$B$3:$B$5001,$A$110)))</f>
        <v/>
      </c>
      <c r="AF129" s="216" t="str">
        <f>IF(AF$3="","",IF(COUNTIFS(BD!$A$3:$A$5001,AF$3,BD!$B$3:$B$5001,$A$110,BD!$AE$3:$AE$5001,"&lt;&gt;")=0,"",SUMIFS(BD!$AE$3:$AE$5001,BD!$A$3:$A$5001,AF$3,BD!$B$3:$B$5001,$A$110)))</f>
        <v/>
      </c>
      <c r="AG129" s="216" t="str">
        <f>IF(AG$3="","",IF(COUNTIFS(BD!$A$3:$A$5001,AG$3,BD!$B$3:$B$5001,$A$110,BD!$AE$3:$AE$5001,"&lt;&gt;")=0,"",SUMIFS(BD!$AE$3:$AE$5001,BD!$A$3:$A$5001,AG$3,BD!$B$3:$B$5001,$A$110)))</f>
        <v/>
      </c>
      <c r="AH129" s="216" t="str">
        <f>IF(AH$3="","",IF(COUNTIFS(BD!$A$3:$A$5001,AH$3,BD!$B$3:$B$5001,$A$110,BD!$AE$3:$AE$5001,"&lt;&gt;")=0,"",SUMIFS(BD!$AE$3:$AE$5001,BD!$A$3:$A$5001,AH$3,BD!$B$3:$B$5001,$A$110)))</f>
        <v/>
      </c>
      <c r="AI129" s="216" t="str">
        <f>IF(AI$3="","",IF(COUNTIFS(BD!$A$3:$A$5001,AI$3,BD!$B$3:$B$5001,$A$110,BD!$AE$3:$AE$5001,"&lt;&gt;")=0,"",SUMIFS(BD!$AE$3:$AE$5001,BD!$A$3:$A$5001,AI$3,BD!$B$3:$B$5001,$A$110)))</f>
        <v/>
      </c>
      <c r="AJ129" s="217" t="str">
        <f>IF(AJ$3="","",IF(COUNTIFS(BD!$A$3:$A$5001,AJ$3,BD!$B$3:$B$5001,$A$110,BD!$AE$3:$AE$5001,"&lt;&gt;")=0,"",SUMIFS(BD!$AE$3:$AE$5001,BD!$A$3:$A$5001,AJ$3,BD!$B$3:$B$5001,$A$110)))</f>
        <v/>
      </c>
      <c r="AK129" s="218" t="str">
        <f>IF(COUNT(F129:AJ129)=0,"",SUM(F129:AJ129))</f>
        <v/>
      </c>
    </row>
    <row r="130" ht="15.75" customHeight="1">
      <c r="A130" s="237"/>
      <c r="B130" s="234"/>
      <c r="C130" s="212" t="inlineStr">
        <is>
          <t xml:space="preserve">Acidentes CAF</t>
        </is>
      </c>
      <c r="D130" s="213" t="str">
        <f>IFERROR(1/(1/INDEX(BD!$AK$53:$AU$53,MATCH($A$110,BD!$AK$22:$AU$22,0))),"")</f>
        <v/>
      </c>
      <c r="E130" s="214"/>
      <c r="F130" s="215" t="str">
        <f>IF(F$3="","",IF(COUNTIFS(BD!$A$3:$A$5001,F$3,BD!$B$3:$B$5001,$A$110,BD!$AF$3:$AF$5001,"&lt;&gt;")=0,"",SUMIFS(BD!$AF$3:$AF$5001,BD!$A$3:$A$5001,F$3,BD!$B$3:$B$5001,$A$110)))</f>
        <v/>
      </c>
      <c r="G130" s="216" t="str">
        <f>IF(G$3="","",IF(COUNTIFS(BD!$A$3:$A$5001,G$3,BD!$B$3:$B$5001,$A$110,BD!$AF$3:$AF$5001,"&lt;&gt;")=0,"",SUMIFS(BD!$AF$3:$AF$5001,BD!$A$3:$A$5001,G$3,BD!$B$3:$B$5001,$A$110)))</f>
        <v/>
      </c>
      <c r="H130" s="216" t="str">
        <f>IF(H$3="","",IF(COUNTIFS(BD!$A$3:$A$5001,H$3,BD!$B$3:$B$5001,$A$110,BD!$AF$3:$AF$5001,"&lt;&gt;")=0,"",SUMIFS(BD!$AF$3:$AF$5001,BD!$A$3:$A$5001,H$3,BD!$B$3:$B$5001,$A$110)))</f>
        <v/>
      </c>
      <c r="I130" s="216" t="str">
        <f>IF(I$3="","",IF(COUNTIFS(BD!$A$3:$A$5001,I$3,BD!$B$3:$B$5001,$A$110,BD!$AF$3:$AF$5001,"&lt;&gt;")=0,"",SUMIFS(BD!$AF$3:$AF$5001,BD!$A$3:$A$5001,I$3,BD!$B$3:$B$5001,$A$110)))</f>
        <v/>
      </c>
      <c r="J130" s="216" t="str">
        <f>IF(J$3="","",IF(COUNTIFS(BD!$A$3:$A$5001,J$3,BD!$B$3:$B$5001,$A$110,BD!$AF$3:$AF$5001,"&lt;&gt;")=0,"",SUMIFS(BD!$AF$3:$AF$5001,BD!$A$3:$A$5001,J$3,BD!$B$3:$B$5001,$A$110)))</f>
        <v/>
      </c>
      <c r="K130" s="216" t="str">
        <f>IF(K$3="","",IF(COUNTIFS(BD!$A$3:$A$5001,K$3,BD!$B$3:$B$5001,$A$110,BD!$AF$3:$AF$5001,"&lt;&gt;")=0,"",SUMIFS(BD!$AF$3:$AF$5001,BD!$A$3:$A$5001,K$3,BD!$B$3:$B$5001,$A$110)))</f>
        <v/>
      </c>
      <c r="L130" s="216" t="str">
        <f>IF(L$3="","",IF(COUNTIFS(BD!$A$3:$A$5001,L$3,BD!$B$3:$B$5001,$A$110,BD!$AF$3:$AF$5001,"&lt;&gt;")=0,"",SUMIFS(BD!$AF$3:$AF$5001,BD!$A$3:$A$5001,L$3,BD!$B$3:$B$5001,$A$110)))</f>
        <v/>
      </c>
      <c r="M130" s="216" t="str">
        <f>IF(M$3="","",IF(COUNTIFS(BD!$A$3:$A$5001,M$3,BD!$B$3:$B$5001,$A$110,BD!$AF$3:$AF$5001,"&lt;&gt;")=0,"",SUMIFS(BD!$AF$3:$AF$5001,BD!$A$3:$A$5001,M$3,BD!$B$3:$B$5001,$A$110)))</f>
        <v/>
      </c>
      <c r="N130" s="216" t="str">
        <f>IF(N$3="","",IF(COUNTIFS(BD!$A$3:$A$5001,N$3,BD!$B$3:$B$5001,$A$110,BD!$AF$3:$AF$5001,"&lt;&gt;")=0,"",SUMIFS(BD!$AF$3:$AF$5001,BD!$A$3:$A$5001,N$3,BD!$B$3:$B$5001,$A$110)))</f>
        <v/>
      </c>
      <c r="O130" s="216" t="str">
        <f>IF(O$3="","",IF(COUNTIFS(BD!$A$3:$A$5001,O$3,BD!$B$3:$B$5001,$A$110,BD!$AF$3:$AF$5001,"&lt;&gt;")=0,"",SUMIFS(BD!$AF$3:$AF$5001,BD!$A$3:$A$5001,O$3,BD!$B$3:$B$5001,$A$110)))</f>
        <v/>
      </c>
      <c r="P130" s="216" t="str">
        <f>IF(P$3="","",IF(COUNTIFS(BD!$A$3:$A$5001,P$3,BD!$B$3:$B$5001,$A$110,BD!$AF$3:$AF$5001,"&lt;&gt;")=0,"",SUMIFS(BD!$AF$3:$AF$5001,BD!$A$3:$A$5001,P$3,BD!$B$3:$B$5001,$A$110)))</f>
        <v/>
      </c>
      <c r="Q130" s="216" t="str">
        <f>IF(Q$3="","",IF(COUNTIFS(BD!$A$3:$A$5001,Q$3,BD!$B$3:$B$5001,$A$110,BD!$AF$3:$AF$5001,"&lt;&gt;")=0,"",SUMIFS(BD!$AF$3:$AF$5001,BD!$A$3:$A$5001,Q$3,BD!$B$3:$B$5001,$A$110)))</f>
        <v/>
      </c>
      <c r="R130" s="216" t="str">
        <f>IF(R$3="","",IF(COUNTIFS(BD!$A$3:$A$5001,R$3,BD!$B$3:$B$5001,$A$110,BD!$AF$3:$AF$5001,"&lt;&gt;")=0,"",SUMIFS(BD!$AF$3:$AF$5001,BD!$A$3:$A$5001,R$3,BD!$B$3:$B$5001,$A$110)))</f>
        <v/>
      </c>
      <c r="S130" s="216" t="str">
        <f>IF(S$3="","",IF(COUNTIFS(BD!$A$3:$A$5001,S$3,BD!$B$3:$B$5001,$A$110,BD!$AF$3:$AF$5001,"&lt;&gt;")=0,"",SUMIFS(BD!$AF$3:$AF$5001,BD!$A$3:$A$5001,S$3,BD!$B$3:$B$5001,$A$110)))</f>
        <v/>
      </c>
      <c r="T130" s="216" t="str">
        <f>IF(T$3="","",IF(COUNTIFS(BD!$A$3:$A$5001,T$3,BD!$B$3:$B$5001,$A$110,BD!$AF$3:$AF$5001,"&lt;&gt;")=0,"",SUMIFS(BD!$AF$3:$AF$5001,BD!$A$3:$A$5001,T$3,BD!$B$3:$B$5001,$A$110)))</f>
        <v/>
      </c>
      <c r="U130" s="216" t="str">
        <f>IF(U$3="","",IF(COUNTIFS(BD!$A$3:$A$5001,U$3,BD!$B$3:$B$5001,$A$110,BD!$AF$3:$AF$5001,"&lt;&gt;")=0,"",SUMIFS(BD!$AF$3:$AF$5001,BD!$A$3:$A$5001,U$3,BD!$B$3:$B$5001,$A$110)))</f>
        <v/>
      </c>
      <c r="V130" s="216" t="str">
        <f>IF(V$3="","",IF(COUNTIFS(BD!$A$3:$A$5001,V$3,BD!$B$3:$B$5001,$A$110,BD!$AF$3:$AF$5001,"&lt;&gt;")=0,"",SUMIFS(BD!$AF$3:$AF$5001,BD!$A$3:$A$5001,V$3,BD!$B$3:$B$5001,$A$110)))</f>
        <v/>
      </c>
      <c r="W130" s="216" t="str">
        <f>IF(W$3="","",IF(COUNTIFS(BD!$A$3:$A$5001,W$3,BD!$B$3:$B$5001,$A$110,BD!$AF$3:$AF$5001,"&lt;&gt;")=0,"",SUMIFS(BD!$AF$3:$AF$5001,BD!$A$3:$A$5001,W$3,BD!$B$3:$B$5001,$A$110)))</f>
        <v/>
      </c>
      <c r="X130" s="216" t="str">
        <f>IF(X$3="","",IF(COUNTIFS(BD!$A$3:$A$5001,X$3,BD!$B$3:$B$5001,$A$110,BD!$AF$3:$AF$5001,"&lt;&gt;")=0,"",SUMIFS(BD!$AF$3:$AF$5001,BD!$A$3:$A$5001,X$3,BD!$B$3:$B$5001,$A$110)))</f>
        <v/>
      </c>
      <c r="Y130" s="216" t="str">
        <f>IF(Y$3="","",IF(COUNTIFS(BD!$A$3:$A$5001,Y$3,BD!$B$3:$B$5001,$A$110,BD!$AF$3:$AF$5001,"&lt;&gt;")=0,"",SUMIFS(BD!$AF$3:$AF$5001,BD!$A$3:$A$5001,Y$3,BD!$B$3:$B$5001,$A$110)))</f>
        <v/>
      </c>
      <c r="Z130" s="216" t="str">
        <f>IF(Z$3="","",IF(COUNTIFS(BD!$A$3:$A$5001,Z$3,BD!$B$3:$B$5001,$A$110,BD!$AF$3:$AF$5001,"&lt;&gt;")=0,"",SUMIFS(BD!$AF$3:$AF$5001,BD!$A$3:$A$5001,Z$3,BD!$B$3:$B$5001,$A$110)))</f>
        <v/>
      </c>
      <c r="AA130" s="216" t="str">
        <f>IF(AA$3="","",IF(COUNTIFS(BD!$A$3:$A$5001,AA$3,BD!$B$3:$B$5001,$A$110,BD!$AF$3:$AF$5001,"&lt;&gt;")=0,"",SUMIFS(BD!$AF$3:$AF$5001,BD!$A$3:$A$5001,AA$3,BD!$B$3:$B$5001,$A$110)))</f>
        <v/>
      </c>
      <c r="AB130" s="216" t="str">
        <f>IF(AB$3="","",IF(COUNTIFS(BD!$A$3:$A$5001,AB$3,BD!$B$3:$B$5001,$A$110,BD!$AF$3:$AF$5001,"&lt;&gt;")=0,"",SUMIFS(BD!$AF$3:$AF$5001,BD!$A$3:$A$5001,AB$3,BD!$B$3:$B$5001,$A$110)))</f>
        <v/>
      </c>
      <c r="AC130" s="216" t="str">
        <f>IF(AC$3="","",IF(COUNTIFS(BD!$A$3:$A$5001,AC$3,BD!$B$3:$B$5001,$A$110,BD!$AF$3:$AF$5001,"&lt;&gt;")=0,"",SUMIFS(BD!$AF$3:$AF$5001,BD!$A$3:$A$5001,AC$3,BD!$B$3:$B$5001,$A$110)))</f>
        <v/>
      </c>
      <c r="AD130" s="216" t="str">
        <f>IF(AD$3="","",IF(COUNTIFS(BD!$A$3:$A$5001,AD$3,BD!$B$3:$B$5001,$A$110,BD!$AF$3:$AF$5001,"&lt;&gt;")=0,"",SUMIFS(BD!$AF$3:$AF$5001,BD!$A$3:$A$5001,AD$3,BD!$B$3:$B$5001,$A$110)))</f>
        <v/>
      </c>
      <c r="AE130" s="216" t="str">
        <f>IF(AE$3="","",IF(COUNTIFS(BD!$A$3:$A$5001,AE$3,BD!$B$3:$B$5001,$A$110,BD!$AF$3:$AF$5001,"&lt;&gt;")=0,"",SUMIFS(BD!$AF$3:$AF$5001,BD!$A$3:$A$5001,AE$3,BD!$B$3:$B$5001,$A$110)))</f>
        <v/>
      </c>
      <c r="AF130" s="216" t="str">
        <f>IF(AF$3="","",IF(COUNTIFS(BD!$A$3:$A$5001,AF$3,BD!$B$3:$B$5001,$A$110,BD!$AF$3:$AF$5001,"&lt;&gt;")=0,"",SUMIFS(BD!$AF$3:$AF$5001,BD!$A$3:$A$5001,AF$3,BD!$B$3:$B$5001,$A$110)))</f>
        <v/>
      </c>
      <c r="AG130" s="216" t="str">
        <f>IF(AG$3="","",IF(COUNTIFS(BD!$A$3:$A$5001,AG$3,BD!$B$3:$B$5001,$A$110,BD!$AF$3:$AF$5001,"&lt;&gt;")=0,"",SUMIFS(BD!$AF$3:$AF$5001,BD!$A$3:$A$5001,AG$3,BD!$B$3:$B$5001,$A$110)))</f>
        <v/>
      </c>
      <c r="AH130" s="216" t="str">
        <f>IF(AH$3="","",IF(COUNTIFS(BD!$A$3:$A$5001,AH$3,BD!$B$3:$B$5001,$A$110,BD!$AF$3:$AF$5001,"&lt;&gt;")=0,"",SUMIFS(BD!$AF$3:$AF$5001,BD!$A$3:$A$5001,AH$3,BD!$B$3:$B$5001,$A$110)))</f>
        <v/>
      </c>
      <c r="AI130" s="216" t="str">
        <f>IF(AI$3="","",IF(COUNTIFS(BD!$A$3:$A$5001,AI$3,BD!$B$3:$B$5001,$A$110,BD!$AF$3:$AF$5001,"&lt;&gt;")=0,"",SUMIFS(BD!$AF$3:$AF$5001,BD!$A$3:$A$5001,AI$3,BD!$B$3:$B$5001,$A$110)))</f>
        <v/>
      </c>
      <c r="AJ130" s="217" t="str">
        <f>IF(AJ$3="","",IF(COUNTIFS(BD!$A$3:$A$5001,AJ$3,BD!$B$3:$B$5001,$A$110,BD!$AF$3:$AF$5001,"&lt;&gt;")=0,"",SUMIFS(BD!$AF$3:$AF$5001,BD!$A$3:$A$5001,AJ$3,BD!$B$3:$B$5001,$A$110)))</f>
        <v/>
      </c>
      <c r="AK130" s="218" t="str">
        <f>IF(COUNT(F130:AJ130)=0,"",SUM(F130:AJ130))</f>
        <v/>
      </c>
    </row>
    <row r="131" ht="15.75" customHeight="1">
      <c r="A131" s="238"/>
      <c r="B131" s="235"/>
      <c r="C131" s="219" t="inlineStr">
        <is>
          <t xml:space="preserve">Acidentes SAF</t>
        </is>
      </c>
      <c r="D131" s="220" t="str">
        <f>IFERROR(1/(1/INDEX(BD!$AK$54:$AU$54,MATCH($A$110,BD!$AK$22:$AU$22,0))),"")</f>
        <v/>
      </c>
      <c r="E131" s="221"/>
      <c r="F131" s="222" t="str">
        <f>IF(F$3="","",IF(COUNTIFS(BD!$A$3:$A$5001,F$3,BD!$B$3:$B$5001,$A$110,BD!$AG$3:$AG$5001,"&lt;&gt;")=0,"",SUMIFS(BD!$AG$3:$AG$5001,BD!$A$3:$A$5001,F$3,BD!$B$3:$B$5001,$A$110)))</f>
        <v/>
      </c>
      <c r="G131" s="223" t="str">
        <f>IF(G$3="","",IF(COUNTIFS(BD!$A$3:$A$5001,G$3,BD!$B$3:$B$5001,$A$110,BD!$AG$3:$AG$5001,"&lt;&gt;")=0,"",SUMIFS(BD!$AG$3:$AG$5001,BD!$A$3:$A$5001,G$3,BD!$B$3:$B$5001,$A$110)))</f>
        <v/>
      </c>
      <c r="H131" s="223" t="str">
        <f>IF(H$3="","",IF(COUNTIFS(BD!$A$3:$A$5001,H$3,BD!$B$3:$B$5001,$A$110,BD!$AG$3:$AG$5001,"&lt;&gt;")=0,"",SUMIFS(BD!$AG$3:$AG$5001,BD!$A$3:$A$5001,H$3,BD!$B$3:$B$5001,$A$110)))</f>
        <v/>
      </c>
      <c r="I131" s="223" t="str">
        <f>IF(I$3="","",IF(COUNTIFS(BD!$A$3:$A$5001,I$3,BD!$B$3:$B$5001,$A$110,BD!$AG$3:$AG$5001,"&lt;&gt;")=0,"",SUMIFS(BD!$AG$3:$AG$5001,BD!$A$3:$A$5001,I$3,BD!$B$3:$B$5001,$A$110)))</f>
        <v/>
      </c>
      <c r="J131" s="223" t="str">
        <f>IF(J$3="","",IF(COUNTIFS(BD!$A$3:$A$5001,J$3,BD!$B$3:$B$5001,$A$110,BD!$AG$3:$AG$5001,"&lt;&gt;")=0,"",SUMIFS(BD!$AG$3:$AG$5001,BD!$A$3:$A$5001,J$3,BD!$B$3:$B$5001,$A$110)))</f>
        <v/>
      </c>
      <c r="K131" s="223" t="str">
        <f>IF(K$3="","",IF(COUNTIFS(BD!$A$3:$A$5001,K$3,BD!$B$3:$B$5001,$A$110,BD!$AG$3:$AG$5001,"&lt;&gt;")=0,"",SUMIFS(BD!$AG$3:$AG$5001,BD!$A$3:$A$5001,K$3,BD!$B$3:$B$5001,$A$110)))</f>
        <v/>
      </c>
      <c r="L131" s="223" t="str">
        <f>IF(L$3="","",IF(COUNTIFS(BD!$A$3:$A$5001,L$3,BD!$B$3:$B$5001,$A$110,BD!$AG$3:$AG$5001,"&lt;&gt;")=0,"",SUMIFS(BD!$AG$3:$AG$5001,BD!$A$3:$A$5001,L$3,BD!$B$3:$B$5001,$A$110)))</f>
        <v/>
      </c>
      <c r="M131" s="223" t="str">
        <f>IF(M$3="","",IF(COUNTIFS(BD!$A$3:$A$5001,M$3,BD!$B$3:$B$5001,$A$110,BD!$AG$3:$AG$5001,"&lt;&gt;")=0,"",SUMIFS(BD!$AG$3:$AG$5001,BD!$A$3:$A$5001,M$3,BD!$B$3:$B$5001,$A$110)))</f>
        <v/>
      </c>
      <c r="N131" s="223" t="str">
        <f>IF(N$3="","",IF(COUNTIFS(BD!$A$3:$A$5001,N$3,BD!$B$3:$B$5001,$A$110,BD!$AG$3:$AG$5001,"&lt;&gt;")=0,"",SUMIFS(BD!$AG$3:$AG$5001,BD!$A$3:$A$5001,N$3,BD!$B$3:$B$5001,$A$110)))</f>
        <v/>
      </c>
      <c r="O131" s="223" t="str">
        <f>IF(O$3="","",IF(COUNTIFS(BD!$A$3:$A$5001,O$3,BD!$B$3:$B$5001,$A$110,BD!$AG$3:$AG$5001,"&lt;&gt;")=0,"",SUMIFS(BD!$AG$3:$AG$5001,BD!$A$3:$A$5001,O$3,BD!$B$3:$B$5001,$A$110)))</f>
        <v/>
      </c>
      <c r="P131" s="223" t="str">
        <f>IF(P$3="","",IF(COUNTIFS(BD!$A$3:$A$5001,P$3,BD!$B$3:$B$5001,$A$110,BD!$AG$3:$AG$5001,"&lt;&gt;")=0,"",SUMIFS(BD!$AG$3:$AG$5001,BD!$A$3:$A$5001,P$3,BD!$B$3:$B$5001,$A$110)))</f>
        <v/>
      </c>
      <c r="Q131" s="223" t="str">
        <f>IF(Q$3="","",IF(COUNTIFS(BD!$A$3:$A$5001,Q$3,BD!$B$3:$B$5001,$A$110,BD!$AG$3:$AG$5001,"&lt;&gt;")=0,"",SUMIFS(BD!$AG$3:$AG$5001,BD!$A$3:$A$5001,Q$3,BD!$B$3:$B$5001,$A$110)))</f>
        <v/>
      </c>
      <c r="R131" s="223" t="str">
        <f>IF(R$3="","",IF(COUNTIFS(BD!$A$3:$A$5001,R$3,BD!$B$3:$B$5001,$A$110,BD!$AG$3:$AG$5001,"&lt;&gt;")=0,"",SUMIFS(BD!$AG$3:$AG$5001,BD!$A$3:$A$5001,R$3,BD!$B$3:$B$5001,$A$110)))</f>
        <v/>
      </c>
      <c r="S131" s="223" t="str">
        <f>IF(S$3="","",IF(COUNTIFS(BD!$A$3:$A$5001,S$3,BD!$B$3:$B$5001,$A$110,BD!$AG$3:$AG$5001,"&lt;&gt;")=0,"",SUMIFS(BD!$AG$3:$AG$5001,BD!$A$3:$A$5001,S$3,BD!$B$3:$B$5001,$A$110)))</f>
        <v/>
      </c>
      <c r="T131" s="223" t="str">
        <f>IF(T$3="","",IF(COUNTIFS(BD!$A$3:$A$5001,T$3,BD!$B$3:$B$5001,$A$110,BD!$AG$3:$AG$5001,"&lt;&gt;")=0,"",SUMIFS(BD!$AG$3:$AG$5001,BD!$A$3:$A$5001,T$3,BD!$B$3:$B$5001,$A$110)))</f>
        <v/>
      </c>
      <c r="U131" s="223" t="str">
        <f>IF(U$3="","",IF(COUNTIFS(BD!$A$3:$A$5001,U$3,BD!$B$3:$B$5001,$A$110,BD!$AG$3:$AG$5001,"&lt;&gt;")=0,"",SUMIFS(BD!$AG$3:$AG$5001,BD!$A$3:$A$5001,U$3,BD!$B$3:$B$5001,$A$110)))</f>
        <v/>
      </c>
      <c r="V131" s="223" t="str">
        <f>IF(V$3="","",IF(COUNTIFS(BD!$A$3:$A$5001,V$3,BD!$B$3:$B$5001,$A$110,BD!$AG$3:$AG$5001,"&lt;&gt;")=0,"",SUMIFS(BD!$AG$3:$AG$5001,BD!$A$3:$A$5001,V$3,BD!$B$3:$B$5001,$A$110)))</f>
        <v/>
      </c>
      <c r="W131" s="223" t="str">
        <f>IF(W$3="","",IF(COUNTIFS(BD!$A$3:$A$5001,W$3,BD!$B$3:$B$5001,$A$110,BD!$AG$3:$AG$5001,"&lt;&gt;")=0,"",SUMIFS(BD!$AG$3:$AG$5001,BD!$A$3:$A$5001,W$3,BD!$B$3:$B$5001,$A$110)))</f>
        <v/>
      </c>
      <c r="X131" s="223" t="str">
        <f>IF(X$3="","",IF(COUNTIFS(BD!$A$3:$A$5001,X$3,BD!$B$3:$B$5001,$A$110,BD!$AG$3:$AG$5001,"&lt;&gt;")=0,"",SUMIFS(BD!$AG$3:$AG$5001,BD!$A$3:$A$5001,X$3,BD!$B$3:$B$5001,$A$110)))</f>
        <v/>
      </c>
      <c r="Y131" s="223" t="str">
        <f>IF(Y$3="","",IF(COUNTIFS(BD!$A$3:$A$5001,Y$3,BD!$B$3:$B$5001,$A$110,BD!$AG$3:$AG$5001,"&lt;&gt;")=0,"",SUMIFS(BD!$AG$3:$AG$5001,BD!$A$3:$A$5001,Y$3,BD!$B$3:$B$5001,$A$110)))</f>
        <v/>
      </c>
      <c r="Z131" s="223" t="str">
        <f>IF(Z$3="","",IF(COUNTIFS(BD!$A$3:$A$5001,Z$3,BD!$B$3:$B$5001,$A$110,BD!$AG$3:$AG$5001,"&lt;&gt;")=0,"",SUMIFS(BD!$AG$3:$AG$5001,BD!$A$3:$A$5001,Z$3,BD!$B$3:$B$5001,$A$110)))</f>
        <v/>
      </c>
      <c r="AA131" s="223" t="str">
        <f>IF(AA$3="","",IF(COUNTIFS(BD!$A$3:$A$5001,AA$3,BD!$B$3:$B$5001,$A$110,BD!$AG$3:$AG$5001,"&lt;&gt;")=0,"",SUMIFS(BD!$AG$3:$AG$5001,BD!$A$3:$A$5001,AA$3,BD!$B$3:$B$5001,$A$110)))</f>
        <v/>
      </c>
      <c r="AB131" s="223" t="str">
        <f>IF(AB$3="","",IF(COUNTIFS(BD!$A$3:$A$5001,AB$3,BD!$B$3:$B$5001,$A$110,BD!$AG$3:$AG$5001,"&lt;&gt;")=0,"",SUMIFS(BD!$AG$3:$AG$5001,BD!$A$3:$A$5001,AB$3,BD!$B$3:$B$5001,$A$110)))</f>
        <v/>
      </c>
      <c r="AC131" s="223" t="str">
        <f>IF(AC$3="","",IF(COUNTIFS(BD!$A$3:$A$5001,AC$3,BD!$B$3:$B$5001,$A$110,BD!$AG$3:$AG$5001,"&lt;&gt;")=0,"",SUMIFS(BD!$AG$3:$AG$5001,BD!$A$3:$A$5001,AC$3,BD!$B$3:$B$5001,$A$110)))</f>
        <v/>
      </c>
      <c r="AD131" s="223" t="str">
        <f>IF(AD$3="","",IF(COUNTIFS(BD!$A$3:$A$5001,AD$3,BD!$B$3:$B$5001,$A$110,BD!$AG$3:$AG$5001,"&lt;&gt;")=0,"",SUMIFS(BD!$AG$3:$AG$5001,BD!$A$3:$A$5001,AD$3,BD!$B$3:$B$5001,$A$110)))</f>
        <v/>
      </c>
      <c r="AE131" s="223" t="str">
        <f>IF(AE$3="","",IF(COUNTIFS(BD!$A$3:$A$5001,AE$3,BD!$B$3:$B$5001,$A$110,BD!$AG$3:$AG$5001,"&lt;&gt;")=0,"",SUMIFS(BD!$AG$3:$AG$5001,BD!$A$3:$A$5001,AE$3,BD!$B$3:$B$5001,$A$110)))</f>
        <v/>
      </c>
      <c r="AF131" s="223" t="str">
        <f>IF(AF$3="","",IF(COUNTIFS(BD!$A$3:$A$5001,AF$3,BD!$B$3:$B$5001,$A$110,BD!$AG$3:$AG$5001,"&lt;&gt;")=0,"",SUMIFS(BD!$AG$3:$AG$5001,BD!$A$3:$A$5001,AF$3,BD!$B$3:$B$5001,$A$110)))</f>
        <v/>
      </c>
      <c r="AG131" s="223" t="str">
        <f>IF(AG$3="","",IF(COUNTIFS(BD!$A$3:$A$5001,AG$3,BD!$B$3:$B$5001,$A$110,BD!$AG$3:$AG$5001,"&lt;&gt;")=0,"",SUMIFS(BD!$AG$3:$AG$5001,BD!$A$3:$A$5001,AG$3,BD!$B$3:$B$5001,$A$110)))</f>
        <v/>
      </c>
      <c r="AH131" s="223" t="str">
        <f>IF(AH$3="","",IF(COUNTIFS(BD!$A$3:$A$5001,AH$3,BD!$B$3:$B$5001,$A$110,BD!$AG$3:$AG$5001,"&lt;&gt;")=0,"",SUMIFS(BD!$AG$3:$AG$5001,BD!$A$3:$A$5001,AH$3,BD!$B$3:$B$5001,$A$110)))</f>
        <v/>
      </c>
      <c r="AI131" s="223" t="str">
        <f>IF(AI$3="","",IF(COUNTIFS(BD!$A$3:$A$5001,AI$3,BD!$B$3:$B$5001,$A$110,BD!$AG$3:$AG$5001,"&lt;&gt;")=0,"",SUMIFS(BD!$AG$3:$AG$5001,BD!$A$3:$A$5001,AI$3,BD!$B$3:$B$5001,$A$110)))</f>
        <v/>
      </c>
      <c r="AJ131" s="224" t="str">
        <f>IF(AJ$3="","",IF(COUNTIFS(BD!$A$3:$A$5001,AJ$3,BD!$B$3:$B$5001,$A$110,BD!$AG$3:$AG$5001,"&lt;&gt;")=0,"",SUMIFS(BD!$AG$3:$AG$5001,BD!$A$3:$A$5001,AJ$3,BD!$B$3:$B$5001,$A$110)))</f>
        <v/>
      </c>
      <c r="AK131" s="220" t="str">
        <f>IF(COUNT(F131:AJ131)=0,"",SUM(F131:AJ131))</f>
        <v/>
      </c>
    </row>
    <row r="133" ht="15.75" customHeight="1">
      <c r="A133" s="236" t="inlineStr">
        <is>
          <t xml:space="preserve">Omnilife</t>
        </is>
      </c>
      <c r="B133" s="225" t="inlineStr">
        <is>
          <t xml:space="preserve">IN</t>
        </is>
      </c>
      <c r="C133" s="148" t="inlineStr">
        <is>
          <t xml:space="preserve">Veículos Recebidos</t>
        </is>
      </c>
      <c r="D133" s="149" t="str">
        <f>IFERROR(1/(1/INDEX(BD!$AK$23:$AU$23,MATCH($A$133,BD!$AK$22:$AU$22,0))),"")</f>
        <v/>
      </c>
      <c r="E133" s="150"/>
      <c r="F133" s="151" t="str">
        <f>IF(F$3="","",IF(COUNTIFS(BD!$A$3:$A$5001,F$3,BD!$B$3:$B$5001,$A$133,BD!$C$3:$C$5001,"&lt;&gt;")=0,"",SUMIFS(BD!$C$3:$C$5001,BD!$A$3:$A$5001,F$3,BD!$B$3:$B$5001,$A$133)))</f>
        <v/>
      </c>
      <c r="G133" s="152" t="str">
        <f>IF(G$3="","",IF(COUNTIFS(BD!$A$3:$A$5001,G$3,BD!$B$3:$B$5001,$A$133,BD!$C$3:$C$5001,"&lt;&gt;")=0,"",SUMIFS(BD!$C$3:$C$5001,BD!$A$3:$A$5001,G$3,BD!$B$3:$B$5001,$A$133)))</f>
        <v/>
      </c>
      <c r="H133" s="152" t="str">
        <f>IF(H$3="","",IF(COUNTIFS(BD!$A$3:$A$5001,H$3,BD!$B$3:$B$5001,$A$133,BD!$C$3:$C$5001,"&lt;&gt;")=0,"",SUMIFS(BD!$C$3:$C$5001,BD!$A$3:$A$5001,H$3,BD!$B$3:$B$5001,$A$133)))</f>
        <v/>
      </c>
      <c r="I133" s="152" t="str">
        <f>IF(I$3="","",IF(COUNTIFS(BD!$A$3:$A$5001,I$3,BD!$B$3:$B$5001,$A$133,BD!$C$3:$C$5001,"&lt;&gt;")=0,"",SUMIFS(BD!$C$3:$C$5001,BD!$A$3:$A$5001,I$3,BD!$B$3:$B$5001,$A$133)))</f>
        <v/>
      </c>
      <c r="J133" s="152" t="str">
        <f>IF(J$3="","",IF(COUNTIFS(BD!$A$3:$A$5001,J$3,BD!$B$3:$B$5001,$A$133,BD!$C$3:$C$5001,"&lt;&gt;")=0,"",SUMIFS(BD!$C$3:$C$5001,BD!$A$3:$A$5001,J$3,BD!$B$3:$B$5001,$A$133)))</f>
        <v/>
      </c>
      <c r="K133" s="152" t="str">
        <f>IF(K$3="","",IF(COUNTIFS(BD!$A$3:$A$5001,K$3,BD!$B$3:$B$5001,$A$133,BD!$C$3:$C$5001,"&lt;&gt;")=0,"",SUMIFS(BD!$C$3:$C$5001,BD!$A$3:$A$5001,K$3,BD!$B$3:$B$5001,$A$133)))</f>
        <v/>
      </c>
      <c r="L133" s="152" t="str">
        <f>IF(L$3="","",IF(COUNTIFS(BD!$A$3:$A$5001,L$3,BD!$B$3:$B$5001,$A$133,BD!$C$3:$C$5001,"&lt;&gt;")=0,"",SUMIFS(BD!$C$3:$C$5001,BD!$A$3:$A$5001,L$3,BD!$B$3:$B$5001,$A$133)))</f>
        <v/>
      </c>
      <c r="M133" s="152" t="str">
        <f>IF(M$3="","",IF(COUNTIFS(BD!$A$3:$A$5001,M$3,BD!$B$3:$B$5001,$A$133,BD!$C$3:$C$5001,"&lt;&gt;")=0,"",SUMIFS(BD!$C$3:$C$5001,BD!$A$3:$A$5001,M$3,BD!$B$3:$B$5001,$A$133)))</f>
        <v/>
      </c>
      <c r="N133" s="152" t="str">
        <f>IF(N$3="","",IF(COUNTIFS(BD!$A$3:$A$5001,N$3,BD!$B$3:$B$5001,$A$133,BD!$C$3:$C$5001,"&lt;&gt;")=0,"",SUMIFS(BD!$C$3:$C$5001,BD!$A$3:$A$5001,N$3,BD!$B$3:$B$5001,$A$133)))</f>
        <v/>
      </c>
      <c r="O133" s="152" t="str">
        <f>IF(O$3="","",IF(COUNTIFS(BD!$A$3:$A$5001,O$3,BD!$B$3:$B$5001,$A$133,BD!$C$3:$C$5001,"&lt;&gt;")=0,"",SUMIFS(BD!$C$3:$C$5001,BD!$A$3:$A$5001,O$3,BD!$B$3:$B$5001,$A$133)))</f>
        <v/>
      </c>
      <c r="P133" s="152" t="str">
        <f>IF(P$3="","",IF(COUNTIFS(BD!$A$3:$A$5001,P$3,BD!$B$3:$B$5001,$A$133,BD!$C$3:$C$5001,"&lt;&gt;")=0,"",SUMIFS(BD!$C$3:$C$5001,BD!$A$3:$A$5001,P$3,BD!$B$3:$B$5001,$A$133)))</f>
        <v/>
      </c>
      <c r="Q133" s="152" t="str">
        <f>IF(Q$3="","",IF(COUNTIFS(BD!$A$3:$A$5001,Q$3,BD!$B$3:$B$5001,$A$133,BD!$C$3:$C$5001,"&lt;&gt;")=0,"",SUMIFS(BD!$C$3:$C$5001,BD!$A$3:$A$5001,Q$3,BD!$B$3:$B$5001,$A$133)))</f>
        <v/>
      </c>
      <c r="R133" s="152" t="str">
        <f>IF(R$3="","",IF(COUNTIFS(BD!$A$3:$A$5001,R$3,BD!$B$3:$B$5001,$A$133,BD!$C$3:$C$5001,"&lt;&gt;")=0,"",SUMIFS(BD!$C$3:$C$5001,BD!$A$3:$A$5001,R$3,BD!$B$3:$B$5001,$A$133)))</f>
        <v/>
      </c>
      <c r="S133" s="152" t="str">
        <f>IF(S$3="","",IF(COUNTIFS(BD!$A$3:$A$5001,S$3,BD!$B$3:$B$5001,$A$133,BD!$C$3:$C$5001,"&lt;&gt;")=0,"",SUMIFS(BD!$C$3:$C$5001,BD!$A$3:$A$5001,S$3,BD!$B$3:$B$5001,$A$133)))</f>
        <v/>
      </c>
      <c r="T133" s="152" t="str">
        <f>IF(T$3="","",IF(COUNTIFS(BD!$A$3:$A$5001,T$3,BD!$B$3:$B$5001,$A$133,BD!$C$3:$C$5001,"&lt;&gt;")=0,"",SUMIFS(BD!$C$3:$C$5001,BD!$A$3:$A$5001,T$3,BD!$B$3:$B$5001,$A$133)))</f>
        <v/>
      </c>
      <c r="U133" s="152" t="str">
        <f>IF(U$3="","",IF(COUNTIFS(BD!$A$3:$A$5001,U$3,BD!$B$3:$B$5001,$A$133,BD!$C$3:$C$5001,"&lt;&gt;")=0,"",SUMIFS(BD!$C$3:$C$5001,BD!$A$3:$A$5001,U$3,BD!$B$3:$B$5001,$A$133)))</f>
        <v/>
      </c>
      <c r="V133" s="152" t="str">
        <f>IF(V$3="","",IF(COUNTIFS(BD!$A$3:$A$5001,V$3,BD!$B$3:$B$5001,$A$133,BD!$C$3:$C$5001,"&lt;&gt;")=0,"",SUMIFS(BD!$C$3:$C$5001,BD!$A$3:$A$5001,V$3,BD!$B$3:$B$5001,$A$133)))</f>
        <v/>
      </c>
      <c r="W133" s="152" t="str">
        <f>IF(W$3="","",IF(COUNTIFS(BD!$A$3:$A$5001,W$3,BD!$B$3:$B$5001,$A$133,BD!$C$3:$C$5001,"&lt;&gt;")=0,"",SUMIFS(BD!$C$3:$C$5001,BD!$A$3:$A$5001,W$3,BD!$B$3:$B$5001,$A$133)))</f>
        <v/>
      </c>
      <c r="X133" s="152" t="str">
        <f>IF(X$3="","",IF(COUNTIFS(BD!$A$3:$A$5001,X$3,BD!$B$3:$B$5001,$A$133,BD!$C$3:$C$5001,"&lt;&gt;")=0,"",SUMIFS(BD!$C$3:$C$5001,BD!$A$3:$A$5001,X$3,BD!$B$3:$B$5001,$A$133)))</f>
        <v/>
      </c>
      <c r="Y133" s="152" t="str">
        <f>IF(Y$3="","",IF(COUNTIFS(BD!$A$3:$A$5001,Y$3,BD!$B$3:$B$5001,$A$133,BD!$C$3:$C$5001,"&lt;&gt;")=0,"",SUMIFS(BD!$C$3:$C$5001,BD!$A$3:$A$5001,Y$3,BD!$B$3:$B$5001,$A$133)))</f>
        <v/>
      </c>
      <c r="Z133" s="152" t="str">
        <f>IF(Z$3="","",IF(COUNTIFS(BD!$A$3:$A$5001,Z$3,BD!$B$3:$B$5001,$A$133,BD!$C$3:$C$5001,"&lt;&gt;")=0,"",SUMIFS(BD!$C$3:$C$5001,BD!$A$3:$A$5001,Z$3,BD!$B$3:$B$5001,$A$133)))</f>
        <v/>
      </c>
      <c r="AA133" s="152" t="str">
        <f>IF(AA$3="","",IF(COUNTIFS(BD!$A$3:$A$5001,AA$3,BD!$B$3:$B$5001,$A$133,BD!$C$3:$C$5001,"&lt;&gt;")=0,"",SUMIFS(BD!$C$3:$C$5001,BD!$A$3:$A$5001,AA$3,BD!$B$3:$B$5001,$A$133)))</f>
        <v/>
      </c>
      <c r="AB133" s="152" t="str">
        <f>IF(AB$3="","",IF(COUNTIFS(BD!$A$3:$A$5001,AB$3,BD!$B$3:$B$5001,$A$133,BD!$C$3:$C$5001,"&lt;&gt;")=0,"",SUMIFS(BD!$C$3:$C$5001,BD!$A$3:$A$5001,AB$3,BD!$B$3:$B$5001,$A$133)))</f>
        <v/>
      </c>
      <c r="AC133" s="152" t="str">
        <f>IF(AC$3="","",IF(COUNTIFS(BD!$A$3:$A$5001,AC$3,BD!$B$3:$B$5001,$A$133,BD!$C$3:$C$5001,"&lt;&gt;")=0,"",SUMIFS(BD!$C$3:$C$5001,BD!$A$3:$A$5001,AC$3,BD!$B$3:$B$5001,$A$133)))</f>
        <v/>
      </c>
      <c r="AD133" s="152" t="str">
        <f>IF(AD$3="","",IF(COUNTIFS(BD!$A$3:$A$5001,AD$3,BD!$B$3:$B$5001,$A$133,BD!$C$3:$C$5001,"&lt;&gt;")=0,"",SUMIFS(BD!$C$3:$C$5001,BD!$A$3:$A$5001,AD$3,BD!$B$3:$B$5001,$A$133)))</f>
        <v/>
      </c>
      <c r="AE133" s="152" t="str">
        <f>IF(AE$3="","",IF(COUNTIFS(BD!$A$3:$A$5001,AE$3,BD!$B$3:$B$5001,$A$133,BD!$C$3:$C$5001,"&lt;&gt;")=0,"",SUMIFS(BD!$C$3:$C$5001,BD!$A$3:$A$5001,AE$3,BD!$B$3:$B$5001,$A$133)))</f>
        <v/>
      </c>
      <c r="AF133" s="152" t="str">
        <f>IF(AF$3="","",IF(COUNTIFS(BD!$A$3:$A$5001,AF$3,BD!$B$3:$B$5001,$A$133,BD!$C$3:$C$5001,"&lt;&gt;")=0,"",SUMIFS(BD!$C$3:$C$5001,BD!$A$3:$A$5001,AF$3,BD!$B$3:$B$5001,$A$133)))</f>
        <v/>
      </c>
      <c r="AG133" s="152" t="str">
        <f>IF(AG$3="","",IF(COUNTIFS(BD!$A$3:$A$5001,AG$3,BD!$B$3:$B$5001,$A$133,BD!$C$3:$C$5001,"&lt;&gt;")=0,"",SUMIFS(BD!$C$3:$C$5001,BD!$A$3:$A$5001,AG$3,BD!$B$3:$B$5001,$A$133)))</f>
        <v/>
      </c>
      <c r="AH133" s="152" t="str">
        <f>IF(AH$3="","",IF(COUNTIFS(BD!$A$3:$A$5001,AH$3,BD!$B$3:$B$5001,$A$133,BD!$C$3:$C$5001,"&lt;&gt;")=0,"",SUMIFS(BD!$C$3:$C$5001,BD!$A$3:$A$5001,AH$3,BD!$B$3:$B$5001,$A$133)))</f>
        <v/>
      </c>
      <c r="AI133" s="152" t="str">
        <f>IF(AI$3="","",IF(COUNTIFS(BD!$A$3:$A$5001,AI$3,BD!$B$3:$B$5001,$A$133,BD!$C$3:$C$5001,"&lt;&gt;")=0,"",SUMIFS(BD!$C$3:$C$5001,BD!$A$3:$A$5001,AI$3,BD!$B$3:$B$5001,$A$133)))</f>
        <v/>
      </c>
      <c r="AJ133" s="153" t="str">
        <f>IF(AJ$3="","",IF(COUNTIFS(BD!$A$3:$A$5001,AJ$3,BD!$B$3:$B$5001,$A$133,BD!$C$3:$C$5001,"&lt;&gt;")=0,"",SUMIFS(BD!$C$3:$C$5001,BD!$A$3:$A$5001,AJ$3,BD!$B$3:$B$5001,$A$133)))</f>
        <v/>
      </c>
      <c r="AK133" s="154" t="str">
        <f>IF(COUNT(F133:AJ133)=0,"",SUM(F133:AJ133))</f>
        <v/>
      </c>
    </row>
    <row r="134" ht="15.75" customHeight="1">
      <c r="A134" s="237"/>
      <c r="B134" s="226"/>
      <c r="C134" s="155" t="inlineStr">
        <is>
          <t xml:space="preserve">Pallets Movimentados</t>
        </is>
      </c>
      <c r="D134" s="156" t="str">
        <f>IFERROR(1/(1/INDEX(BD!$AK$24:$AU$24,MATCH($A$133,BD!$AK$22:$AU$22,0))),"")</f>
        <v/>
      </c>
      <c r="E134" s="157"/>
      <c r="F134" s="158" t="str">
        <f>IF(F$3="","",IF(COUNTIFS(BD!$A$3:$A$5001,F$3,BD!$B$3:$B$5001,$A$133,BD!$D$3:$D$5001,"&lt;&gt;")=0,"",SUMIFS(BD!$D$3:$D$5001,BD!$A$3:$A$5001,F$3,BD!$B$3:$B$5001,$A$133)))</f>
        <v/>
      </c>
      <c r="G134" s="159" t="str">
        <f>IF(G$3="","",IF(COUNTIFS(BD!$A$3:$A$5001,G$3,BD!$B$3:$B$5001,$A$133,BD!$D$3:$D$5001,"&lt;&gt;")=0,"",SUMIFS(BD!$D$3:$D$5001,BD!$A$3:$A$5001,G$3,BD!$B$3:$B$5001,$A$133)))</f>
        <v/>
      </c>
      <c r="H134" s="159" t="str">
        <f>IF(H$3="","",IF(COUNTIFS(BD!$A$3:$A$5001,H$3,BD!$B$3:$B$5001,$A$133,BD!$D$3:$D$5001,"&lt;&gt;")=0,"",SUMIFS(BD!$D$3:$D$5001,BD!$A$3:$A$5001,H$3,BD!$B$3:$B$5001,$A$133)))</f>
        <v/>
      </c>
      <c r="I134" s="159" t="str">
        <f>IF(I$3="","",IF(COUNTIFS(BD!$A$3:$A$5001,I$3,BD!$B$3:$B$5001,$A$133,BD!$D$3:$D$5001,"&lt;&gt;")=0,"",SUMIFS(BD!$D$3:$D$5001,BD!$A$3:$A$5001,I$3,BD!$B$3:$B$5001,$A$133)))</f>
        <v/>
      </c>
      <c r="J134" s="159" t="str">
        <f>IF(J$3="","",IF(COUNTIFS(BD!$A$3:$A$5001,J$3,BD!$B$3:$B$5001,$A$133,BD!$D$3:$D$5001,"&lt;&gt;")=0,"",SUMIFS(BD!$D$3:$D$5001,BD!$A$3:$A$5001,J$3,BD!$B$3:$B$5001,$A$133)))</f>
        <v/>
      </c>
      <c r="K134" s="159" t="str">
        <f>IF(K$3="","",IF(COUNTIFS(BD!$A$3:$A$5001,K$3,BD!$B$3:$B$5001,$A$133,BD!$D$3:$D$5001,"&lt;&gt;")=0,"",SUMIFS(BD!$D$3:$D$5001,BD!$A$3:$A$5001,K$3,BD!$B$3:$B$5001,$A$133)))</f>
        <v/>
      </c>
      <c r="L134" s="159" t="str">
        <f>IF(L$3="","",IF(COUNTIFS(BD!$A$3:$A$5001,L$3,BD!$B$3:$B$5001,$A$133,BD!$D$3:$D$5001,"&lt;&gt;")=0,"",SUMIFS(BD!$D$3:$D$5001,BD!$A$3:$A$5001,L$3,BD!$B$3:$B$5001,$A$133)))</f>
        <v/>
      </c>
      <c r="M134" s="159" t="str">
        <f>IF(M$3="","",IF(COUNTIFS(BD!$A$3:$A$5001,M$3,BD!$B$3:$B$5001,$A$133,BD!$D$3:$D$5001,"&lt;&gt;")=0,"",SUMIFS(BD!$D$3:$D$5001,BD!$A$3:$A$5001,M$3,BD!$B$3:$B$5001,$A$133)))</f>
        <v/>
      </c>
      <c r="N134" s="159" t="str">
        <f>IF(N$3="","",IF(COUNTIFS(BD!$A$3:$A$5001,N$3,BD!$B$3:$B$5001,$A$133,BD!$D$3:$D$5001,"&lt;&gt;")=0,"",SUMIFS(BD!$D$3:$D$5001,BD!$A$3:$A$5001,N$3,BD!$B$3:$B$5001,$A$133)))</f>
        <v/>
      </c>
      <c r="O134" s="159" t="str">
        <f>IF(O$3="","",IF(COUNTIFS(BD!$A$3:$A$5001,O$3,BD!$B$3:$B$5001,$A$133,BD!$D$3:$D$5001,"&lt;&gt;")=0,"",SUMIFS(BD!$D$3:$D$5001,BD!$A$3:$A$5001,O$3,BD!$B$3:$B$5001,$A$133)))</f>
        <v/>
      </c>
      <c r="P134" s="159" t="str">
        <f>IF(P$3="","",IF(COUNTIFS(BD!$A$3:$A$5001,P$3,BD!$B$3:$B$5001,$A$133,BD!$D$3:$D$5001,"&lt;&gt;")=0,"",SUMIFS(BD!$D$3:$D$5001,BD!$A$3:$A$5001,P$3,BD!$B$3:$B$5001,$A$133)))</f>
        <v/>
      </c>
      <c r="Q134" s="159" t="str">
        <f>IF(Q$3="","",IF(COUNTIFS(BD!$A$3:$A$5001,Q$3,BD!$B$3:$B$5001,$A$133,BD!$D$3:$D$5001,"&lt;&gt;")=0,"",SUMIFS(BD!$D$3:$D$5001,BD!$A$3:$A$5001,Q$3,BD!$B$3:$B$5001,$A$133)))</f>
        <v/>
      </c>
      <c r="R134" s="159" t="str">
        <f>IF(R$3="","",IF(COUNTIFS(BD!$A$3:$A$5001,R$3,BD!$B$3:$B$5001,$A$133,BD!$D$3:$D$5001,"&lt;&gt;")=0,"",SUMIFS(BD!$D$3:$D$5001,BD!$A$3:$A$5001,R$3,BD!$B$3:$B$5001,$A$133)))</f>
        <v/>
      </c>
      <c r="S134" s="159" t="str">
        <f>IF(S$3="","",IF(COUNTIFS(BD!$A$3:$A$5001,S$3,BD!$B$3:$B$5001,$A$133,BD!$D$3:$D$5001,"&lt;&gt;")=0,"",SUMIFS(BD!$D$3:$D$5001,BD!$A$3:$A$5001,S$3,BD!$B$3:$B$5001,$A$133)))</f>
        <v/>
      </c>
      <c r="T134" s="159" t="str">
        <f>IF(T$3="","",IF(COUNTIFS(BD!$A$3:$A$5001,T$3,BD!$B$3:$B$5001,$A$133,BD!$D$3:$D$5001,"&lt;&gt;")=0,"",SUMIFS(BD!$D$3:$D$5001,BD!$A$3:$A$5001,T$3,BD!$B$3:$B$5001,$A$133)))</f>
        <v/>
      </c>
      <c r="U134" s="159" t="str">
        <f>IF(U$3="","",IF(COUNTIFS(BD!$A$3:$A$5001,U$3,BD!$B$3:$B$5001,$A$133,BD!$D$3:$D$5001,"&lt;&gt;")=0,"",SUMIFS(BD!$D$3:$D$5001,BD!$A$3:$A$5001,U$3,BD!$B$3:$B$5001,$A$133)))</f>
        <v/>
      </c>
      <c r="V134" s="159" t="str">
        <f>IF(V$3="","",IF(COUNTIFS(BD!$A$3:$A$5001,V$3,BD!$B$3:$B$5001,$A$133,BD!$D$3:$D$5001,"&lt;&gt;")=0,"",SUMIFS(BD!$D$3:$D$5001,BD!$A$3:$A$5001,V$3,BD!$B$3:$B$5001,$A$133)))</f>
        <v/>
      </c>
      <c r="W134" s="159" t="str">
        <f>IF(W$3="","",IF(COUNTIFS(BD!$A$3:$A$5001,W$3,BD!$B$3:$B$5001,$A$133,BD!$D$3:$D$5001,"&lt;&gt;")=0,"",SUMIFS(BD!$D$3:$D$5001,BD!$A$3:$A$5001,W$3,BD!$B$3:$B$5001,$A$133)))</f>
        <v/>
      </c>
      <c r="X134" s="159" t="str">
        <f>IF(X$3="","",IF(COUNTIFS(BD!$A$3:$A$5001,X$3,BD!$B$3:$B$5001,$A$133,BD!$D$3:$D$5001,"&lt;&gt;")=0,"",SUMIFS(BD!$D$3:$D$5001,BD!$A$3:$A$5001,X$3,BD!$B$3:$B$5001,$A$133)))</f>
        <v/>
      </c>
      <c r="Y134" s="159" t="str">
        <f>IF(Y$3="","",IF(COUNTIFS(BD!$A$3:$A$5001,Y$3,BD!$B$3:$B$5001,$A$133,BD!$D$3:$D$5001,"&lt;&gt;")=0,"",SUMIFS(BD!$D$3:$D$5001,BD!$A$3:$A$5001,Y$3,BD!$B$3:$B$5001,$A$133)))</f>
        <v/>
      </c>
      <c r="Z134" s="159" t="str">
        <f>IF(Z$3="","",IF(COUNTIFS(BD!$A$3:$A$5001,Z$3,BD!$B$3:$B$5001,$A$133,BD!$D$3:$D$5001,"&lt;&gt;")=0,"",SUMIFS(BD!$D$3:$D$5001,BD!$A$3:$A$5001,Z$3,BD!$B$3:$B$5001,$A$133)))</f>
        <v/>
      </c>
      <c r="AA134" s="159" t="str">
        <f>IF(AA$3="","",IF(COUNTIFS(BD!$A$3:$A$5001,AA$3,BD!$B$3:$B$5001,$A$133,BD!$D$3:$D$5001,"&lt;&gt;")=0,"",SUMIFS(BD!$D$3:$D$5001,BD!$A$3:$A$5001,AA$3,BD!$B$3:$B$5001,$A$133)))</f>
        <v/>
      </c>
      <c r="AB134" s="159" t="str">
        <f>IF(AB$3="","",IF(COUNTIFS(BD!$A$3:$A$5001,AB$3,BD!$B$3:$B$5001,$A$133,BD!$D$3:$D$5001,"&lt;&gt;")=0,"",SUMIFS(BD!$D$3:$D$5001,BD!$A$3:$A$5001,AB$3,BD!$B$3:$B$5001,$A$133)))</f>
        <v/>
      </c>
      <c r="AC134" s="159" t="str">
        <f>IF(AC$3="","",IF(COUNTIFS(BD!$A$3:$A$5001,AC$3,BD!$B$3:$B$5001,$A$133,BD!$D$3:$D$5001,"&lt;&gt;")=0,"",SUMIFS(BD!$D$3:$D$5001,BD!$A$3:$A$5001,AC$3,BD!$B$3:$B$5001,$A$133)))</f>
        <v/>
      </c>
      <c r="AD134" s="159" t="str">
        <f>IF(AD$3="","",IF(COUNTIFS(BD!$A$3:$A$5001,AD$3,BD!$B$3:$B$5001,$A$133,BD!$D$3:$D$5001,"&lt;&gt;")=0,"",SUMIFS(BD!$D$3:$D$5001,BD!$A$3:$A$5001,AD$3,BD!$B$3:$B$5001,$A$133)))</f>
        <v/>
      </c>
      <c r="AE134" s="159" t="str">
        <f>IF(AE$3="","",IF(COUNTIFS(BD!$A$3:$A$5001,AE$3,BD!$B$3:$B$5001,$A$133,BD!$D$3:$D$5001,"&lt;&gt;")=0,"",SUMIFS(BD!$D$3:$D$5001,BD!$A$3:$A$5001,AE$3,BD!$B$3:$B$5001,$A$133)))</f>
        <v/>
      </c>
      <c r="AF134" s="159" t="str">
        <f>IF(AF$3="","",IF(COUNTIFS(BD!$A$3:$A$5001,AF$3,BD!$B$3:$B$5001,$A$133,BD!$D$3:$D$5001,"&lt;&gt;")=0,"",SUMIFS(BD!$D$3:$D$5001,BD!$A$3:$A$5001,AF$3,BD!$B$3:$B$5001,$A$133)))</f>
        <v/>
      </c>
      <c r="AG134" s="159" t="str">
        <f>IF(AG$3="","",IF(COUNTIFS(BD!$A$3:$A$5001,AG$3,BD!$B$3:$B$5001,$A$133,BD!$D$3:$D$5001,"&lt;&gt;")=0,"",SUMIFS(BD!$D$3:$D$5001,BD!$A$3:$A$5001,AG$3,BD!$B$3:$B$5001,$A$133)))</f>
        <v/>
      </c>
      <c r="AH134" s="159" t="str">
        <f>IF(AH$3="","",IF(COUNTIFS(BD!$A$3:$A$5001,AH$3,BD!$B$3:$B$5001,$A$133,BD!$D$3:$D$5001,"&lt;&gt;")=0,"",SUMIFS(BD!$D$3:$D$5001,BD!$A$3:$A$5001,AH$3,BD!$B$3:$B$5001,$A$133)))</f>
        <v/>
      </c>
      <c r="AI134" s="159" t="str">
        <f>IF(AI$3="","",IF(COUNTIFS(BD!$A$3:$A$5001,AI$3,BD!$B$3:$B$5001,$A$133,BD!$D$3:$D$5001,"&lt;&gt;")=0,"",SUMIFS(BD!$D$3:$D$5001,BD!$A$3:$A$5001,AI$3,BD!$B$3:$B$5001,$A$133)))</f>
        <v/>
      </c>
      <c r="AJ134" s="160" t="str">
        <f>IF(AJ$3="","",IF(COUNTIFS(BD!$A$3:$A$5001,AJ$3,BD!$B$3:$B$5001,$A$133,BD!$D$3:$D$5001,"&lt;&gt;")=0,"",SUMIFS(BD!$D$3:$D$5001,BD!$A$3:$A$5001,AJ$3,BD!$B$3:$B$5001,$A$133)))</f>
        <v/>
      </c>
      <c r="AK134" s="156" t="str">
        <f>IF(COUNT(F134:AJ134)=0,"",SUM(F134:AJ134))</f>
        <v/>
      </c>
    </row>
    <row r="135" ht="15.75" customHeight="1">
      <c r="A135" s="237"/>
      <c r="B135" s="227" t="inlineStr">
        <is>
          <t xml:space="preserve">OUT</t>
        </is>
      </c>
      <c r="C135" s="161" t="inlineStr">
        <is>
          <t xml:space="preserve">Veículos Expedidos</t>
        </is>
      </c>
      <c r="D135" s="162" t="str">
        <f>IFERROR(1/(1/INDEX(BD!$AK$32:$AU$32,MATCH($A$133,BD!$AK$22:$AU$22,0))),"")</f>
        <v/>
      </c>
      <c r="E135" s="163"/>
      <c r="F135" s="164" t="str">
        <f>IF(F$3="","",IF(COUNTIFS(BD!$A$3:$A$5001,F$3,BD!$B$3:$B$5001,$A$133,BD!$L$3:$L$5001,"&lt;&gt;")=0,"",SUMIFS(BD!$L$3:$L$5001,BD!$A$3:$A$5001,F$3,BD!$B$3:$B$5001,$A$133)))</f>
        <v/>
      </c>
      <c r="G135" s="165" t="str">
        <f>IF(G$3="","",IF(COUNTIFS(BD!$A$3:$A$5001,G$3,BD!$B$3:$B$5001,$A$133,BD!$L$3:$L$5001,"&lt;&gt;")=0,"",SUMIFS(BD!$L$3:$L$5001,BD!$A$3:$A$5001,G$3,BD!$B$3:$B$5001,$A$133)))</f>
        <v/>
      </c>
      <c r="H135" s="165" t="str">
        <f>IF(H$3="","",IF(COUNTIFS(BD!$A$3:$A$5001,H$3,BD!$B$3:$B$5001,$A$133,BD!$L$3:$L$5001,"&lt;&gt;")=0,"",SUMIFS(BD!$L$3:$L$5001,BD!$A$3:$A$5001,H$3,BD!$B$3:$B$5001,$A$133)))</f>
        <v/>
      </c>
      <c r="I135" s="165" t="str">
        <f>IF(I$3="","",IF(COUNTIFS(BD!$A$3:$A$5001,I$3,BD!$B$3:$B$5001,$A$133,BD!$L$3:$L$5001,"&lt;&gt;")=0,"",SUMIFS(BD!$L$3:$L$5001,BD!$A$3:$A$5001,I$3,BD!$B$3:$B$5001,$A$133)))</f>
        <v/>
      </c>
      <c r="J135" s="165" t="str">
        <f>IF(J$3="","",IF(COUNTIFS(BD!$A$3:$A$5001,J$3,BD!$B$3:$B$5001,$A$133,BD!$L$3:$L$5001,"&lt;&gt;")=0,"",SUMIFS(BD!$L$3:$L$5001,BD!$A$3:$A$5001,J$3,BD!$B$3:$B$5001,$A$133)))</f>
        <v/>
      </c>
      <c r="K135" s="165" t="str">
        <f>IF(K$3="","",IF(COUNTIFS(BD!$A$3:$A$5001,K$3,BD!$B$3:$B$5001,$A$133,BD!$L$3:$L$5001,"&lt;&gt;")=0,"",SUMIFS(BD!$L$3:$L$5001,BD!$A$3:$A$5001,K$3,BD!$B$3:$B$5001,$A$133)))</f>
        <v/>
      </c>
      <c r="L135" s="165" t="str">
        <f>IF(L$3="","",IF(COUNTIFS(BD!$A$3:$A$5001,L$3,BD!$B$3:$B$5001,$A$133,BD!$L$3:$L$5001,"&lt;&gt;")=0,"",SUMIFS(BD!$L$3:$L$5001,BD!$A$3:$A$5001,L$3,BD!$B$3:$B$5001,$A$133)))</f>
        <v/>
      </c>
      <c r="M135" s="165" t="str">
        <f>IF(M$3="","",IF(COUNTIFS(BD!$A$3:$A$5001,M$3,BD!$B$3:$B$5001,$A$133,BD!$L$3:$L$5001,"&lt;&gt;")=0,"",SUMIFS(BD!$L$3:$L$5001,BD!$A$3:$A$5001,M$3,BD!$B$3:$B$5001,$A$133)))</f>
        <v/>
      </c>
      <c r="N135" s="165" t="str">
        <f>IF(N$3="","",IF(COUNTIFS(BD!$A$3:$A$5001,N$3,BD!$B$3:$B$5001,$A$133,BD!$L$3:$L$5001,"&lt;&gt;")=0,"",SUMIFS(BD!$L$3:$L$5001,BD!$A$3:$A$5001,N$3,BD!$B$3:$B$5001,$A$133)))</f>
        <v/>
      </c>
      <c r="O135" s="165" t="str">
        <f>IF(O$3="","",IF(COUNTIFS(BD!$A$3:$A$5001,O$3,BD!$B$3:$B$5001,$A$133,BD!$L$3:$L$5001,"&lt;&gt;")=0,"",SUMIFS(BD!$L$3:$L$5001,BD!$A$3:$A$5001,O$3,BD!$B$3:$B$5001,$A$133)))</f>
        <v/>
      </c>
      <c r="P135" s="165" t="str">
        <f>IF(P$3="","",IF(COUNTIFS(BD!$A$3:$A$5001,P$3,BD!$B$3:$B$5001,$A$133,BD!$L$3:$L$5001,"&lt;&gt;")=0,"",SUMIFS(BD!$L$3:$L$5001,BD!$A$3:$A$5001,P$3,BD!$B$3:$B$5001,$A$133)))</f>
        <v/>
      </c>
      <c r="Q135" s="165" t="str">
        <f>IF(Q$3="","",IF(COUNTIFS(BD!$A$3:$A$5001,Q$3,BD!$B$3:$B$5001,$A$133,BD!$L$3:$L$5001,"&lt;&gt;")=0,"",SUMIFS(BD!$L$3:$L$5001,BD!$A$3:$A$5001,Q$3,BD!$B$3:$B$5001,$A$133)))</f>
        <v/>
      </c>
      <c r="R135" s="165" t="str">
        <f>IF(R$3="","",IF(COUNTIFS(BD!$A$3:$A$5001,R$3,BD!$B$3:$B$5001,$A$133,BD!$L$3:$L$5001,"&lt;&gt;")=0,"",SUMIFS(BD!$L$3:$L$5001,BD!$A$3:$A$5001,R$3,BD!$B$3:$B$5001,$A$133)))</f>
        <v/>
      </c>
      <c r="S135" s="165" t="str">
        <f>IF(S$3="","",IF(COUNTIFS(BD!$A$3:$A$5001,S$3,BD!$B$3:$B$5001,$A$133,BD!$L$3:$L$5001,"&lt;&gt;")=0,"",SUMIFS(BD!$L$3:$L$5001,BD!$A$3:$A$5001,S$3,BD!$B$3:$B$5001,$A$133)))</f>
        <v/>
      </c>
      <c r="T135" s="165" t="str">
        <f>IF(T$3="","",IF(COUNTIFS(BD!$A$3:$A$5001,T$3,BD!$B$3:$B$5001,$A$133,BD!$L$3:$L$5001,"&lt;&gt;")=0,"",SUMIFS(BD!$L$3:$L$5001,BD!$A$3:$A$5001,T$3,BD!$B$3:$B$5001,$A$133)))</f>
        <v/>
      </c>
      <c r="U135" s="165" t="str">
        <f>IF(U$3="","",IF(COUNTIFS(BD!$A$3:$A$5001,U$3,BD!$B$3:$B$5001,$A$133,BD!$L$3:$L$5001,"&lt;&gt;")=0,"",SUMIFS(BD!$L$3:$L$5001,BD!$A$3:$A$5001,U$3,BD!$B$3:$B$5001,$A$133)))</f>
        <v/>
      </c>
      <c r="V135" s="165" t="str">
        <f>IF(V$3="","",IF(COUNTIFS(BD!$A$3:$A$5001,V$3,BD!$B$3:$B$5001,$A$133,BD!$L$3:$L$5001,"&lt;&gt;")=0,"",SUMIFS(BD!$L$3:$L$5001,BD!$A$3:$A$5001,V$3,BD!$B$3:$B$5001,$A$133)))</f>
        <v/>
      </c>
      <c r="W135" s="165" t="str">
        <f>IF(W$3="","",IF(COUNTIFS(BD!$A$3:$A$5001,W$3,BD!$B$3:$B$5001,$A$133,BD!$L$3:$L$5001,"&lt;&gt;")=0,"",SUMIFS(BD!$L$3:$L$5001,BD!$A$3:$A$5001,W$3,BD!$B$3:$B$5001,$A$133)))</f>
        <v/>
      </c>
      <c r="X135" s="165" t="str">
        <f>IF(X$3="","",IF(COUNTIFS(BD!$A$3:$A$5001,X$3,BD!$B$3:$B$5001,$A$133,BD!$L$3:$L$5001,"&lt;&gt;")=0,"",SUMIFS(BD!$L$3:$L$5001,BD!$A$3:$A$5001,X$3,BD!$B$3:$B$5001,$A$133)))</f>
        <v/>
      </c>
      <c r="Y135" s="165" t="str">
        <f>IF(Y$3="","",IF(COUNTIFS(BD!$A$3:$A$5001,Y$3,BD!$B$3:$B$5001,$A$133,BD!$L$3:$L$5001,"&lt;&gt;")=0,"",SUMIFS(BD!$L$3:$L$5001,BD!$A$3:$A$5001,Y$3,BD!$B$3:$B$5001,$A$133)))</f>
        <v/>
      </c>
      <c r="Z135" s="165" t="str">
        <f>IF(Z$3="","",IF(COUNTIFS(BD!$A$3:$A$5001,Z$3,BD!$B$3:$B$5001,$A$133,BD!$L$3:$L$5001,"&lt;&gt;")=0,"",SUMIFS(BD!$L$3:$L$5001,BD!$A$3:$A$5001,Z$3,BD!$B$3:$B$5001,$A$133)))</f>
        <v/>
      </c>
      <c r="AA135" s="165" t="str">
        <f>IF(AA$3="","",IF(COUNTIFS(BD!$A$3:$A$5001,AA$3,BD!$B$3:$B$5001,$A$133,BD!$L$3:$L$5001,"&lt;&gt;")=0,"",SUMIFS(BD!$L$3:$L$5001,BD!$A$3:$A$5001,AA$3,BD!$B$3:$B$5001,$A$133)))</f>
        <v/>
      </c>
      <c r="AB135" s="165" t="str">
        <f>IF(AB$3="","",IF(COUNTIFS(BD!$A$3:$A$5001,AB$3,BD!$B$3:$B$5001,$A$133,BD!$L$3:$L$5001,"&lt;&gt;")=0,"",SUMIFS(BD!$L$3:$L$5001,BD!$A$3:$A$5001,AB$3,BD!$B$3:$B$5001,$A$133)))</f>
        <v/>
      </c>
      <c r="AC135" s="165" t="str">
        <f>IF(AC$3="","",IF(COUNTIFS(BD!$A$3:$A$5001,AC$3,BD!$B$3:$B$5001,$A$133,BD!$L$3:$L$5001,"&lt;&gt;")=0,"",SUMIFS(BD!$L$3:$L$5001,BD!$A$3:$A$5001,AC$3,BD!$B$3:$B$5001,$A$133)))</f>
        <v/>
      </c>
      <c r="AD135" s="165" t="str">
        <f>IF(AD$3="","",IF(COUNTIFS(BD!$A$3:$A$5001,AD$3,BD!$B$3:$B$5001,$A$133,BD!$L$3:$L$5001,"&lt;&gt;")=0,"",SUMIFS(BD!$L$3:$L$5001,BD!$A$3:$A$5001,AD$3,BD!$B$3:$B$5001,$A$133)))</f>
        <v/>
      </c>
      <c r="AE135" s="165" t="str">
        <f>IF(AE$3="","",IF(COUNTIFS(BD!$A$3:$A$5001,AE$3,BD!$B$3:$B$5001,$A$133,BD!$L$3:$L$5001,"&lt;&gt;")=0,"",SUMIFS(BD!$L$3:$L$5001,BD!$A$3:$A$5001,AE$3,BD!$B$3:$B$5001,$A$133)))</f>
        <v/>
      </c>
      <c r="AF135" s="165" t="str">
        <f>IF(AF$3="","",IF(COUNTIFS(BD!$A$3:$A$5001,AF$3,BD!$B$3:$B$5001,$A$133,BD!$L$3:$L$5001,"&lt;&gt;")=0,"",SUMIFS(BD!$L$3:$L$5001,BD!$A$3:$A$5001,AF$3,BD!$B$3:$B$5001,$A$133)))</f>
        <v/>
      </c>
      <c r="AG135" s="165" t="str">
        <f>IF(AG$3="","",IF(COUNTIFS(BD!$A$3:$A$5001,AG$3,BD!$B$3:$B$5001,$A$133,BD!$L$3:$L$5001,"&lt;&gt;")=0,"",SUMIFS(BD!$L$3:$L$5001,BD!$A$3:$A$5001,AG$3,BD!$B$3:$B$5001,$A$133)))</f>
        <v/>
      </c>
      <c r="AH135" s="165" t="str">
        <f>IF(AH$3="","",IF(COUNTIFS(BD!$A$3:$A$5001,AH$3,BD!$B$3:$B$5001,$A$133,BD!$L$3:$L$5001,"&lt;&gt;")=0,"",SUMIFS(BD!$L$3:$L$5001,BD!$A$3:$A$5001,AH$3,BD!$B$3:$B$5001,$A$133)))</f>
        <v/>
      </c>
      <c r="AI135" s="165" t="str">
        <f>IF(AI$3="","",IF(COUNTIFS(BD!$A$3:$A$5001,AI$3,BD!$B$3:$B$5001,$A$133,BD!$L$3:$L$5001,"&lt;&gt;")=0,"",SUMIFS(BD!$L$3:$L$5001,BD!$A$3:$A$5001,AI$3,BD!$B$3:$B$5001,$A$133)))</f>
        <v/>
      </c>
      <c r="AJ135" s="166" t="str">
        <f>IF(AJ$3="","",IF(COUNTIFS(BD!$A$3:$A$5001,AJ$3,BD!$B$3:$B$5001,$A$133,BD!$L$3:$L$5001,"&lt;&gt;")=0,"",SUMIFS(BD!$L$3:$L$5001,BD!$A$3:$A$5001,AJ$3,BD!$B$3:$B$5001,$A$133)))</f>
        <v/>
      </c>
      <c r="AK135" s="167" t="str">
        <f>IF(COUNT(F135:AJ135)=0,"",SUM(F135:AJ135))</f>
        <v/>
      </c>
    </row>
    <row r="136" ht="15.75" customHeight="1">
      <c r="A136" s="237"/>
      <c r="B136" s="228"/>
      <c r="C136" s="168" t="inlineStr">
        <is>
          <t xml:space="preserve">Pallets Movimentados</t>
        </is>
      </c>
      <c r="D136" s="169" t="str">
        <f>IFERROR(1/(1/INDEX(BD!$AK$39:$AU$39,MATCH($A$133,BD!$AK$22:$AU$22,0))),"")</f>
        <v/>
      </c>
      <c r="E136" s="170"/>
      <c r="F136" s="171" t="str">
        <f>IF(F$3="","",IF(COUNTIFS(BD!$A$3:$A$5001,F$3,BD!$B$3:$B$5001,$A$133,BD!$S$3:$S$5001,"&lt;&gt;")=0,"",SUMIFS(BD!$S$3:$S$5001,BD!$A$3:$A$5001,F$3,BD!$B$3:$B$5001,$A$133)))</f>
        <v/>
      </c>
      <c r="G136" s="172" t="str">
        <f>IF(G$3="","",IF(COUNTIFS(BD!$A$3:$A$5001,G$3,BD!$B$3:$B$5001,$A$133,BD!$S$3:$S$5001,"&lt;&gt;")=0,"",SUMIFS(BD!$S$3:$S$5001,BD!$A$3:$A$5001,G$3,BD!$B$3:$B$5001,$A$133)))</f>
        <v/>
      </c>
      <c r="H136" s="172" t="str">
        <f>IF(H$3="","",IF(COUNTIFS(BD!$A$3:$A$5001,H$3,BD!$B$3:$B$5001,$A$133,BD!$S$3:$S$5001,"&lt;&gt;")=0,"",SUMIFS(BD!$S$3:$S$5001,BD!$A$3:$A$5001,H$3,BD!$B$3:$B$5001,$A$133)))</f>
        <v/>
      </c>
      <c r="I136" s="172" t="str">
        <f>IF(I$3="","",IF(COUNTIFS(BD!$A$3:$A$5001,I$3,BD!$B$3:$B$5001,$A$133,BD!$S$3:$S$5001,"&lt;&gt;")=0,"",SUMIFS(BD!$S$3:$S$5001,BD!$A$3:$A$5001,I$3,BD!$B$3:$B$5001,$A$133)))</f>
        <v/>
      </c>
      <c r="J136" s="172" t="str">
        <f>IF(J$3="","",IF(COUNTIFS(BD!$A$3:$A$5001,J$3,BD!$B$3:$B$5001,$A$133,BD!$S$3:$S$5001,"&lt;&gt;")=0,"",SUMIFS(BD!$S$3:$S$5001,BD!$A$3:$A$5001,J$3,BD!$B$3:$B$5001,$A$133)))</f>
        <v/>
      </c>
      <c r="K136" s="172" t="str">
        <f>IF(K$3="","",IF(COUNTIFS(BD!$A$3:$A$5001,K$3,BD!$B$3:$B$5001,$A$133,BD!$S$3:$S$5001,"&lt;&gt;")=0,"",SUMIFS(BD!$S$3:$S$5001,BD!$A$3:$A$5001,K$3,BD!$B$3:$B$5001,$A$133)))</f>
        <v/>
      </c>
      <c r="L136" s="172" t="str">
        <f>IF(L$3="","",IF(COUNTIFS(BD!$A$3:$A$5001,L$3,BD!$B$3:$B$5001,$A$133,BD!$S$3:$S$5001,"&lt;&gt;")=0,"",SUMIFS(BD!$S$3:$S$5001,BD!$A$3:$A$5001,L$3,BD!$B$3:$B$5001,$A$133)))</f>
        <v/>
      </c>
      <c r="M136" s="172" t="str">
        <f>IF(M$3="","",IF(COUNTIFS(BD!$A$3:$A$5001,M$3,BD!$B$3:$B$5001,$A$133,BD!$S$3:$S$5001,"&lt;&gt;")=0,"",SUMIFS(BD!$S$3:$S$5001,BD!$A$3:$A$5001,M$3,BD!$B$3:$B$5001,$A$133)))</f>
        <v/>
      </c>
      <c r="N136" s="172" t="str">
        <f>IF(N$3="","",IF(COUNTIFS(BD!$A$3:$A$5001,N$3,BD!$B$3:$B$5001,$A$133,BD!$S$3:$S$5001,"&lt;&gt;")=0,"",SUMIFS(BD!$S$3:$S$5001,BD!$A$3:$A$5001,N$3,BD!$B$3:$B$5001,$A$133)))</f>
        <v/>
      </c>
      <c r="O136" s="172" t="str">
        <f>IF(O$3="","",IF(COUNTIFS(BD!$A$3:$A$5001,O$3,BD!$B$3:$B$5001,$A$133,BD!$S$3:$S$5001,"&lt;&gt;")=0,"",SUMIFS(BD!$S$3:$S$5001,BD!$A$3:$A$5001,O$3,BD!$B$3:$B$5001,$A$133)))</f>
        <v/>
      </c>
      <c r="P136" s="172" t="str">
        <f>IF(P$3="","",IF(COUNTIFS(BD!$A$3:$A$5001,P$3,BD!$B$3:$B$5001,$A$133,BD!$S$3:$S$5001,"&lt;&gt;")=0,"",SUMIFS(BD!$S$3:$S$5001,BD!$A$3:$A$5001,P$3,BD!$B$3:$B$5001,$A$133)))</f>
        <v/>
      </c>
      <c r="Q136" s="172" t="str">
        <f>IF(Q$3="","",IF(COUNTIFS(BD!$A$3:$A$5001,Q$3,BD!$B$3:$B$5001,$A$133,BD!$S$3:$S$5001,"&lt;&gt;")=0,"",SUMIFS(BD!$S$3:$S$5001,BD!$A$3:$A$5001,Q$3,BD!$B$3:$B$5001,$A$133)))</f>
        <v/>
      </c>
      <c r="R136" s="172" t="str">
        <f>IF(R$3="","",IF(COUNTIFS(BD!$A$3:$A$5001,R$3,BD!$B$3:$B$5001,$A$133,BD!$S$3:$S$5001,"&lt;&gt;")=0,"",SUMIFS(BD!$S$3:$S$5001,BD!$A$3:$A$5001,R$3,BD!$B$3:$B$5001,$A$133)))</f>
        <v/>
      </c>
      <c r="S136" s="172" t="str">
        <f>IF(S$3="","",IF(COUNTIFS(BD!$A$3:$A$5001,S$3,BD!$B$3:$B$5001,$A$133,BD!$S$3:$S$5001,"&lt;&gt;")=0,"",SUMIFS(BD!$S$3:$S$5001,BD!$A$3:$A$5001,S$3,BD!$B$3:$B$5001,$A$133)))</f>
        <v/>
      </c>
      <c r="T136" s="172" t="str">
        <f>IF(T$3="","",IF(COUNTIFS(BD!$A$3:$A$5001,T$3,BD!$B$3:$B$5001,$A$133,BD!$S$3:$S$5001,"&lt;&gt;")=0,"",SUMIFS(BD!$S$3:$S$5001,BD!$A$3:$A$5001,T$3,BD!$B$3:$B$5001,$A$133)))</f>
        <v/>
      </c>
      <c r="U136" s="172" t="str">
        <f>IF(U$3="","",IF(COUNTIFS(BD!$A$3:$A$5001,U$3,BD!$B$3:$B$5001,$A$133,BD!$S$3:$S$5001,"&lt;&gt;")=0,"",SUMIFS(BD!$S$3:$S$5001,BD!$A$3:$A$5001,U$3,BD!$B$3:$B$5001,$A$133)))</f>
        <v/>
      </c>
      <c r="V136" s="172" t="str">
        <f>IF(V$3="","",IF(COUNTIFS(BD!$A$3:$A$5001,V$3,BD!$B$3:$B$5001,$A$133,BD!$S$3:$S$5001,"&lt;&gt;")=0,"",SUMIFS(BD!$S$3:$S$5001,BD!$A$3:$A$5001,V$3,BD!$B$3:$B$5001,$A$133)))</f>
        <v/>
      </c>
      <c r="W136" s="172" t="str">
        <f>IF(W$3="","",IF(COUNTIFS(BD!$A$3:$A$5001,W$3,BD!$B$3:$B$5001,$A$133,BD!$S$3:$S$5001,"&lt;&gt;")=0,"",SUMIFS(BD!$S$3:$S$5001,BD!$A$3:$A$5001,W$3,BD!$B$3:$B$5001,$A$133)))</f>
        <v/>
      </c>
      <c r="X136" s="172" t="str">
        <f>IF(X$3="","",IF(COUNTIFS(BD!$A$3:$A$5001,X$3,BD!$B$3:$B$5001,$A$133,BD!$S$3:$S$5001,"&lt;&gt;")=0,"",SUMIFS(BD!$S$3:$S$5001,BD!$A$3:$A$5001,X$3,BD!$B$3:$B$5001,$A$133)))</f>
        <v/>
      </c>
      <c r="Y136" s="172" t="str">
        <f>IF(Y$3="","",IF(COUNTIFS(BD!$A$3:$A$5001,Y$3,BD!$B$3:$B$5001,$A$133,BD!$S$3:$S$5001,"&lt;&gt;")=0,"",SUMIFS(BD!$S$3:$S$5001,BD!$A$3:$A$5001,Y$3,BD!$B$3:$B$5001,$A$133)))</f>
        <v/>
      </c>
      <c r="Z136" s="172" t="str">
        <f>IF(Z$3="","",IF(COUNTIFS(BD!$A$3:$A$5001,Z$3,BD!$B$3:$B$5001,$A$133,BD!$S$3:$S$5001,"&lt;&gt;")=0,"",SUMIFS(BD!$S$3:$S$5001,BD!$A$3:$A$5001,Z$3,BD!$B$3:$B$5001,$A$133)))</f>
        <v/>
      </c>
      <c r="AA136" s="172" t="str">
        <f>IF(AA$3="","",IF(COUNTIFS(BD!$A$3:$A$5001,AA$3,BD!$B$3:$B$5001,$A$133,BD!$S$3:$S$5001,"&lt;&gt;")=0,"",SUMIFS(BD!$S$3:$S$5001,BD!$A$3:$A$5001,AA$3,BD!$B$3:$B$5001,$A$133)))</f>
        <v/>
      </c>
      <c r="AB136" s="172" t="str">
        <f>IF(AB$3="","",IF(COUNTIFS(BD!$A$3:$A$5001,AB$3,BD!$B$3:$B$5001,$A$133,BD!$S$3:$S$5001,"&lt;&gt;")=0,"",SUMIFS(BD!$S$3:$S$5001,BD!$A$3:$A$5001,AB$3,BD!$B$3:$B$5001,$A$133)))</f>
        <v/>
      </c>
      <c r="AC136" s="172" t="str">
        <f>IF(AC$3="","",IF(COUNTIFS(BD!$A$3:$A$5001,AC$3,BD!$B$3:$B$5001,$A$133,BD!$S$3:$S$5001,"&lt;&gt;")=0,"",SUMIFS(BD!$S$3:$S$5001,BD!$A$3:$A$5001,AC$3,BD!$B$3:$B$5001,$A$133)))</f>
        <v/>
      </c>
      <c r="AD136" s="172" t="str">
        <f>IF(AD$3="","",IF(COUNTIFS(BD!$A$3:$A$5001,AD$3,BD!$B$3:$B$5001,$A$133,BD!$S$3:$S$5001,"&lt;&gt;")=0,"",SUMIFS(BD!$S$3:$S$5001,BD!$A$3:$A$5001,AD$3,BD!$B$3:$B$5001,$A$133)))</f>
        <v/>
      </c>
      <c r="AE136" s="172" t="str">
        <f>IF(AE$3="","",IF(COUNTIFS(BD!$A$3:$A$5001,AE$3,BD!$B$3:$B$5001,$A$133,BD!$S$3:$S$5001,"&lt;&gt;")=0,"",SUMIFS(BD!$S$3:$S$5001,BD!$A$3:$A$5001,AE$3,BD!$B$3:$B$5001,$A$133)))</f>
        <v/>
      </c>
      <c r="AF136" s="172" t="str">
        <f>IF(AF$3="","",IF(COUNTIFS(BD!$A$3:$A$5001,AF$3,BD!$B$3:$B$5001,$A$133,BD!$S$3:$S$5001,"&lt;&gt;")=0,"",SUMIFS(BD!$S$3:$S$5001,BD!$A$3:$A$5001,AF$3,BD!$B$3:$B$5001,$A$133)))</f>
        <v/>
      </c>
      <c r="AG136" s="172" t="str">
        <f>IF(AG$3="","",IF(COUNTIFS(BD!$A$3:$A$5001,AG$3,BD!$B$3:$B$5001,$A$133,BD!$S$3:$S$5001,"&lt;&gt;")=0,"",SUMIFS(BD!$S$3:$S$5001,BD!$A$3:$A$5001,AG$3,BD!$B$3:$B$5001,$A$133)))</f>
        <v/>
      </c>
      <c r="AH136" s="172" t="str">
        <f>IF(AH$3="","",IF(COUNTIFS(BD!$A$3:$A$5001,AH$3,BD!$B$3:$B$5001,$A$133,BD!$S$3:$S$5001,"&lt;&gt;")=0,"",SUMIFS(BD!$S$3:$S$5001,BD!$A$3:$A$5001,AH$3,BD!$B$3:$B$5001,$A$133)))</f>
        <v/>
      </c>
      <c r="AI136" s="172" t="str">
        <f>IF(AI$3="","",IF(COUNTIFS(BD!$A$3:$A$5001,AI$3,BD!$B$3:$B$5001,$A$133,BD!$S$3:$S$5001,"&lt;&gt;")=0,"",SUMIFS(BD!$S$3:$S$5001,BD!$A$3:$A$5001,AI$3,BD!$B$3:$B$5001,$A$133)))</f>
        <v/>
      </c>
      <c r="AJ136" s="173" t="str">
        <f>IF(AJ$3="","",IF(COUNTIFS(BD!$A$3:$A$5001,AJ$3,BD!$B$3:$B$5001,$A$133,BD!$S$3:$S$5001,"&lt;&gt;")=0,"",SUMIFS(BD!$S$3:$S$5001,BD!$A$3:$A$5001,AJ$3,BD!$B$3:$B$5001,$A$133)))</f>
        <v/>
      </c>
      <c r="AK136" s="169" t="str">
        <f>IF(COUNT(F136:AJ136)=0,"",SUM(F136:AJ136))</f>
        <v/>
      </c>
    </row>
    <row r="137" ht="15.75" customHeight="1">
      <c r="A137" s="237"/>
      <c r="B137" s="229" t="inlineStr">
        <is>
          <t xml:space="preserve">NC</t>
        </is>
      </c>
      <c r="C137" s="174" t="inlineStr">
        <is>
          <t xml:space="preserve">Incidentes</t>
        </is>
      </c>
      <c r="D137" s="175" t="str">
        <f>IFERROR(1/(1/INDEX(BD!$AK$41:$AU$41,MATCH($A$133,BD!$AK$22:$AU$22,0))),"")</f>
        <v/>
      </c>
      <c r="E137" s="176"/>
      <c r="F137" s="177" t="str">
        <f>IF(F$3="","",IF(COUNTIFS(BD!$A$3:$A$5001,F$3,BD!$B$3:$B$5001,$A$133,BD!$U$3:$U$5001,"&lt;&gt;")=0,"",SUMIFS(BD!$U$3:$U$5001,BD!$A$3:$A$5001,F$3,BD!$B$3:$B$5001,$A$133)))</f>
        <v/>
      </c>
      <c r="G137" s="178" t="str">
        <f>IF(G$3="","",IF(COUNTIFS(BD!$A$3:$A$5001,G$3,BD!$B$3:$B$5001,$A$133,BD!$U$3:$U$5001,"&lt;&gt;")=0,"",SUMIFS(BD!$U$3:$U$5001,BD!$A$3:$A$5001,G$3,BD!$B$3:$B$5001,$A$133)))</f>
        <v/>
      </c>
      <c r="H137" s="178" t="str">
        <f>IF(H$3="","",IF(COUNTIFS(BD!$A$3:$A$5001,H$3,BD!$B$3:$B$5001,$A$133,BD!$U$3:$U$5001,"&lt;&gt;")=0,"",SUMIFS(BD!$U$3:$U$5001,BD!$A$3:$A$5001,H$3,BD!$B$3:$B$5001,$A$133)))</f>
        <v/>
      </c>
      <c r="I137" s="178" t="str">
        <f>IF(I$3="","",IF(COUNTIFS(BD!$A$3:$A$5001,I$3,BD!$B$3:$B$5001,$A$133,BD!$U$3:$U$5001,"&lt;&gt;")=0,"",SUMIFS(BD!$U$3:$U$5001,BD!$A$3:$A$5001,I$3,BD!$B$3:$B$5001,$A$133)))</f>
        <v/>
      </c>
      <c r="J137" s="178" t="str">
        <f>IF(J$3="","",IF(COUNTIFS(BD!$A$3:$A$5001,J$3,BD!$B$3:$B$5001,$A$133,BD!$U$3:$U$5001,"&lt;&gt;")=0,"",SUMIFS(BD!$U$3:$U$5001,BD!$A$3:$A$5001,J$3,BD!$B$3:$B$5001,$A$133)))</f>
        <v/>
      </c>
      <c r="K137" s="178" t="str">
        <f>IF(K$3="","",IF(COUNTIFS(BD!$A$3:$A$5001,K$3,BD!$B$3:$B$5001,$A$133,BD!$U$3:$U$5001,"&lt;&gt;")=0,"",SUMIFS(BD!$U$3:$U$5001,BD!$A$3:$A$5001,K$3,BD!$B$3:$B$5001,$A$133)))</f>
        <v/>
      </c>
      <c r="L137" s="178" t="str">
        <f>IF(L$3="","",IF(COUNTIFS(BD!$A$3:$A$5001,L$3,BD!$B$3:$B$5001,$A$133,BD!$U$3:$U$5001,"&lt;&gt;")=0,"",SUMIFS(BD!$U$3:$U$5001,BD!$A$3:$A$5001,L$3,BD!$B$3:$B$5001,$A$133)))</f>
        <v/>
      </c>
      <c r="M137" s="178" t="str">
        <f>IF(M$3="","",IF(COUNTIFS(BD!$A$3:$A$5001,M$3,BD!$B$3:$B$5001,$A$133,BD!$U$3:$U$5001,"&lt;&gt;")=0,"",SUMIFS(BD!$U$3:$U$5001,BD!$A$3:$A$5001,M$3,BD!$B$3:$B$5001,$A$133)))</f>
        <v/>
      </c>
      <c r="N137" s="178" t="str">
        <f>IF(N$3="","",IF(COUNTIFS(BD!$A$3:$A$5001,N$3,BD!$B$3:$B$5001,$A$133,BD!$U$3:$U$5001,"&lt;&gt;")=0,"",SUMIFS(BD!$U$3:$U$5001,BD!$A$3:$A$5001,N$3,BD!$B$3:$B$5001,$A$133)))</f>
        <v/>
      </c>
      <c r="O137" s="178" t="str">
        <f>IF(O$3="","",IF(COUNTIFS(BD!$A$3:$A$5001,O$3,BD!$B$3:$B$5001,$A$133,BD!$U$3:$U$5001,"&lt;&gt;")=0,"",SUMIFS(BD!$U$3:$U$5001,BD!$A$3:$A$5001,O$3,BD!$B$3:$B$5001,$A$133)))</f>
        <v/>
      </c>
      <c r="P137" s="178" t="str">
        <f>IF(P$3="","",IF(COUNTIFS(BD!$A$3:$A$5001,P$3,BD!$B$3:$B$5001,$A$133,BD!$U$3:$U$5001,"&lt;&gt;")=0,"",SUMIFS(BD!$U$3:$U$5001,BD!$A$3:$A$5001,P$3,BD!$B$3:$B$5001,$A$133)))</f>
        <v/>
      </c>
      <c r="Q137" s="178" t="str">
        <f>IF(Q$3="","",IF(COUNTIFS(BD!$A$3:$A$5001,Q$3,BD!$B$3:$B$5001,$A$133,BD!$U$3:$U$5001,"&lt;&gt;")=0,"",SUMIFS(BD!$U$3:$U$5001,BD!$A$3:$A$5001,Q$3,BD!$B$3:$B$5001,$A$133)))</f>
        <v/>
      </c>
      <c r="R137" s="178" t="str">
        <f>IF(R$3="","",IF(COUNTIFS(BD!$A$3:$A$5001,R$3,BD!$B$3:$B$5001,$A$133,BD!$U$3:$U$5001,"&lt;&gt;")=0,"",SUMIFS(BD!$U$3:$U$5001,BD!$A$3:$A$5001,R$3,BD!$B$3:$B$5001,$A$133)))</f>
        <v/>
      </c>
      <c r="S137" s="178" t="str">
        <f>IF(S$3="","",IF(COUNTIFS(BD!$A$3:$A$5001,S$3,BD!$B$3:$B$5001,$A$133,BD!$U$3:$U$5001,"&lt;&gt;")=0,"",SUMIFS(BD!$U$3:$U$5001,BD!$A$3:$A$5001,S$3,BD!$B$3:$B$5001,$A$133)))</f>
        <v/>
      </c>
      <c r="T137" s="178" t="str">
        <f>IF(T$3="","",IF(COUNTIFS(BD!$A$3:$A$5001,T$3,BD!$B$3:$B$5001,$A$133,BD!$U$3:$U$5001,"&lt;&gt;")=0,"",SUMIFS(BD!$U$3:$U$5001,BD!$A$3:$A$5001,T$3,BD!$B$3:$B$5001,$A$133)))</f>
        <v/>
      </c>
      <c r="U137" s="178" t="str">
        <f>IF(U$3="","",IF(COUNTIFS(BD!$A$3:$A$5001,U$3,BD!$B$3:$B$5001,$A$133,BD!$U$3:$U$5001,"&lt;&gt;")=0,"",SUMIFS(BD!$U$3:$U$5001,BD!$A$3:$A$5001,U$3,BD!$B$3:$B$5001,$A$133)))</f>
        <v/>
      </c>
      <c r="V137" s="178" t="str">
        <f>IF(V$3="","",IF(COUNTIFS(BD!$A$3:$A$5001,V$3,BD!$B$3:$B$5001,$A$133,BD!$U$3:$U$5001,"&lt;&gt;")=0,"",SUMIFS(BD!$U$3:$U$5001,BD!$A$3:$A$5001,V$3,BD!$B$3:$B$5001,$A$133)))</f>
        <v/>
      </c>
      <c r="W137" s="178" t="str">
        <f>IF(W$3="","",IF(COUNTIFS(BD!$A$3:$A$5001,W$3,BD!$B$3:$B$5001,$A$133,BD!$U$3:$U$5001,"&lt;&gt;")=0,"",SUMIFS(BD!$U$3:$U$5001,BD!$A$3:$A$5001,W$3,BD!$B$3:$B$5001,$A$133)))</f>
        <v/>
      </c>
      <c r="X137" s="178" t="str">
        <f>IF(X$3="","",IF(COUNTIFS(BD!$A$3:$A$5001,X$3,BD!$B$3:$B$5001,$A$133,BD!$U$3:$U$5001,"&lt;&gt;")=0,"",SUMIFS(BD!$U$3:$U$5001,BD!$A$3:$A$5001,X$3,BD!$B$3:$B$5001,$A$133)))</f>
        <v/>
      </c>
      <c r="Y137" s="178" t="str">
        <f>IF(Y$3="","",IF(COUNTIFS(BD!$A$3:$A$5001,Y$3,BD!$B$3:$B$5001,$A$133,BD!$U$3:$U$5001,"&lt;&gt;")=0,"",SUMIFS(BD!$U$3:$U$5001,BD!$A$3:$A$5001,Y$3,BD!$B$3:$B$5001,$A$133)))</f>
        <v/>
      </c>
      <c r="Z137" s="178" t="str">
        <f>IF(Z$3="","",IF(COUNTIFS(BD!$A$3:$A$5001,Z$3,BD!$B$3:$B$5001,$A$133,BD!$U$3:$U$5001,"&lt;&gt;")=0,"",SUMIFS(BD!$U$3:$U$5001,BD!$A$3:$A$5001,Z$3,BD!$B$3:$B$5001,$A$133)))</f>
        <v/>
      </c>
      <c r="AA137" s="178" t="str">
        <f>IF(AA$3="","",IF(COUNTIFS(BD!$A$3:$A$5001,AA$3,BD!$B$3:$B$5001,$A$133,BD!$U$3:$U$5001,"&lt;&gt;")=0,"",SUMIFS(BD!$U$3:$U$5001,BD!$A$3:$A$5001,AA$3,BD!$B$3:$B$5001,$A$133)))</f>
        <v/>
      </c>
      <c r="AB137" s="178" t="str">
        <f>IF(AB$3="","",IF(COUNTIFS(BD!$A$3:$A$5001,AB$3,BD!$B$3:$B$5001,$A$133,BD!$U$3:$U$5001,"&lt;&gt;")=0,"",SUMIFS(BD!$U$3:$U$5001,BD!$A$3:$A$5001,AB$3,BD!$B$3:$B$5001,$A$133)))</f>
        <v/>
      </c>
      <c r="AC137" s="178" t="str">
        <f>IF(AC$3="","",IF(COUNTIFS(BD!$A$3:$A$5001,AC$3,BD!$B$3:$B$5001,$A$133,BD!$U$3:$U$5001,"&lt;&gt;")=0,"",SUMIFS(BD!$U$3:$U$5001,BD!$A$3:$A$5001,AC$3,BD!$B$3:$B$5001,$A$133)))</f>
        <v/>
      </c>
      <c r="AD137" s="178" t="str">
        <f>IF(AD$3="","",IF(COUNTIFS(BD!$A$3:$A$5001,AD$3,BD!$B$3:$B$5001,$A$133,BD!$U$3:$U$5001,"&lt;&gt;")=0,"",SUMIFS(BD!$U$3:$U$5001,BD!$A$3:$A$5001,AD$3,BD!$B$3:$B$5001,$A$133)))</f>
        <v/>
      </c>
      <c r="AE137" s="178" t="str">
        <f>IF(AE$3="","",IF(COUNTIFS(BD!$A$3:$A$5001,AE$3,BD!$B$3:$B$5001,$A$133,BD!$U$3:$U$5001,"&lt;&gt;")=0,"",SUMIFS(BD!$U$3:$U$5001,BD!$A$3:$A$5001,AE$3,BD!$B$3:$B$5001,$A$133)))</f>
        <v/>
      </c>
      <c r="AF137" s="178" t="str">
        <f>IF(AF$3="","",IF(COUNTIFS(BD!$A$3:$A$5001,AF$3,BD!$B$3:$B$5001,$A$133,BD!$U$3:$U$5001,"&lt;&gt;")=0,"",SUMIFS(BD!$U$3:$U$5001,BD!$A$3:$A$5001,AF$3,BD!$B$3:$B$5001,$A$133)))</f>
        <v/>
      </c>
      <c r="AG137" s="178" t="str">
        <f>IF(AG$3="","",IF(COUNTIFS(BD!$A$3:$A$5001,AG$3,BD!$B$3:$B$5001,$A$133,BD!$U$3:$U$5001,"&lt;&gt;")=0,"",SUMIFS(BD!$U$3:$U$5001,BD!$A$3:$A$5001,AG$3,BD!$B$3:$B$5001,$A$133)))</f>
        <v/>
      </c>
      <c r="AH137" s="178" t="str">
        <f>IF(AH$3="","",IF(COUNTIFS(BD!$A$3:$A$5001,AH$3,BD!$B$3:$B$5001,$A$133,BD!$U$3:$U$5001,"&lt;&gt;")=0,"",SUMIFS(BD!$U$3:$U$5001,BD!$A$3:$A$5001,AH$3,BD!$B$3:$B$5001,$A$133)))</f>
        <v/>
      </c>
      <c r="AI137" s="178" t="str">
        <f>IF(AI$3="","",IF(COUNTIFS(BD!$A$3:$A$5001,AI$3,BD!$B$3:$B$5001,$A$133,BD!$U$3:$U$5001,"&lt;&gt;")=0,"",SUMIFS(BD!$U$3:$U$5001,BD!$A$3:$A$5001,AI$3,BD!$B$3:$B$5001,$A$133)))</f>
        <v/>
      </c>
      <c r="AJ137" s="179" t="str">
        <f>IF(AJ$3="","",IF(COUNTIFS(BD!$A$3:$A$5001,AJ$3,BD!$B$3:$B$5001,$A$133,BD!$U$3:$U$5001,"&lt;&gt;")=0,"",SUMIFS(BD!$U$3:$U$5001,BD!$A$3:$A$5001,AJ$3,BD!$B$3:$B$5001,$A$133)))</f>
        <v/>
      </c>
      <c r="AK137" s="180" t="str">
        <f>IF(COUNT(F137:AJ137)=0,"",SUM(F137:AJ137))</f>
        <v/>
      </c>
    </row>
    <row r="138" ht="15.75" customHeight="1">
      <c r="A138" s="237"/>
      <c r="B138" s="230"/>
      <c r="C138" s="181" t="inlineStr">
        <is>
          <t xml:space="preserve">No show</t>
        </is>
      </c>
      <c r="D138" s="182" t="str">
        <f>IFERROR(1/(1/INDEX(BD!$AK$42:$AU$42,MATCH($A$133,BD!$AK$22:$AU$22,0))),"")</f>
        <v/>
      </c>
      <c r="E138" s="183"/>
      <c r="F138" s="184" t="str">
        <f>IF(F$3="","",IF(COUNTIFS(BD!$A$3:$A$5001,F$3,BD!$B$3:$B$5001,$A$133,BD!$V$3:$V$5001,"&lt;&gt;")=0,"",SUMIFS(BD!$V$3:$V$5001,BD!$A$3:$A$5001,F$3,BD!$B$3:$B$5001,$A$133)))</f>
        <v/>
      </c>
      <c r="G138" s="185" t="str">
        <f>IF(G$3="","",IF(COUNTIFS(BD!$A$3:$A$5001,G$3,BD!$B$3:$B$5001,$A$133,BD!$V$3:$V$5001,"&lt;&gt;")=0,"",SUMIFS(BD!$V$3:$V$5001,BD!$A$3:$A$5001,G$3,BD!$B$3:$B$5001,$A$133)))</f>
        <v/>
      </c>
      <c r="H138" s="185" t="str">
        <f>IF(H$3="","",IF(COUNTIFS(BD!$A$3:$A$5001,H$3,BD!$B$3:$B$5001,$A$133,BD!$V$3:$V$5001,"&lt;&gt;")=0,"",SUMIFS(BD!$V$3:$V$5001,BD!$A$3:$A$5001,H$3,BD!$B$3:$B$5001,$A$133)))</f>
        <v/>
      </c>
      <c r="I138" s="185" t="str">
        <f>IF(I$3="","",IF(COUNTIFS(BD!$A$3:$A$5001,I$3,BD!$B$3:$B$5001,$A$133,BD!$V$3:$V$5001,"&lt;&gt;")=0,"",SUMIFS(BD!$V$3:$V$5001,BD!$A$3:$A$5001,I$3,BD!$B$3:$B$5001,$A$133)))</f>
        <v/>
      </c>
      <c r="J138" s="185" t="str">
        <f>IF(J$3="","",IF(COUNTIFS(BD!$A$3:$A$5001,J$3,BD!$B$3:$B$5001,$A$133,BD!$V$3:$V$5001,"&lt;&gt;")=0,"",SUMIFS(BD!$V$3:$V$5001,BD!$A$3:$A$5001,J$3,BD!$B$3:$B$5001,$A$133)))</f>
        <v/>
      </c>
      <c r="K138" s="185" t="str">
        <f>IF(K$3="","",IF(COUNTIFS(BD!$A$3:$A$5001,K$3,BD!$B$3:$B$5001,$A$133,BD!$V$3:$V$5001,"&lt;&gt;")=0,"",SUMIFS(BD!$V$3:$V$5001,BD!$A$3:$A$5001,K$3,BD!$B$3:$B$5001,$A$133)))</f>
        <v/>
      </c>
      <c r="L138" s="185" t="str">
        <f>IF(L$3="","",IF(COUNTIFS(BD!$A$3:$A$5001,L$3,BD!$B$3:$B$5001,$A$133,BD!$V$3:$V$5001,"&lt;&gt;")=0,"",SUMIFS(BD!$V$3:$V$5001,BD!$A$3:$A$5001,L$3,BD!$B$3:$B$5001,$A$133)))</f>
        <v/>
      </c>
      <c r="M138" s="185" t="str">
        <f>IF(M$3="","",IF(COUNTIFS(BD!$A$3:$A$5001,M$3,BD!$B$3:$B$5001,$A$133,BD!$V$3:$V$5001,"&lt;&gt;")=0,"",SUMIFS(BD!$V$3:$V$5001,BD!$A$3:$A$5001,M$3,BD!$B$3:$B$5001,$A$133)))</f>
        <v/>
      </c>
      <c r="N138" s="185" t="str">
        <f>IF(N$3="","",IF(COUNTIFS(BD!$A$3:$A$5001,N$3,BD!$B$3:$B$5001,$A$133,BD!$V$3:$V$5001,"&lt;&gt;")=0,"",SUMIFS(BD!$V$3:$V$5001,BD!$A$3:$A$5001,N$3,BD!$B$3:$B$5001,$A$133)))</f>
        <v/>
      </c>
      <c r="O138" s="185" t="str">
        <f>IF(O$3="","",IF(COUNTIFS(BD!$A$3:$A$5001,O$3,BD!$B$3:$B$5001,$A$133,BD!$V$3:$V$5001,"&lt;&gt;")=0,"",SUMIFS(BD!$V$3:$V$5001,BD!$A$3:$A$5001,O$3,BD!$B$3:$B$5001,$A$133)))</f>
        <v/>
      </c>
      <c r="P138" s="185" t="str">
        <f>IF(P$3="","",IF(COUNTIFS(BD!$A$3:$A$5001,P$3,BD!$B$3:$B$5001,$A$133,BD!$V$3:$V$5001,"&lt;&gt;")=0,"",SUMIFS(BD!$V$3:$V$5001,BD!$A$3:$A$5001,P$3,BD!$B$3:$B$5001,$A$133)))</f>
        <v/>
      </c>
      <c r="Q138" s="185" t="str">
        <f>IF(Q$3="","",IF(COUNTIFS(BD!$A$3:$A$5001,Q$3,BD!$B$3:$B$5001,$A$133,BD!$V$3:$V$5001,"&lt;&gt;")=0,"",SUMIFS(BD!$V$3:$V$5001,BD!$A$3:$A$5001,Q$3,BD!$B$3:$B$5001,$A$133)))</f>
        <v/>
      </c>
      <c r="R138" s="185" t="str">
        <f>IF(R$3="","",IF(COUNTIFS(BD!$A$3:$A$5001,R$3,BD!$B$3:$B$5001,$A$133,BD!$V$3:$V$5001,"&lt;&gt;")=0,"",SUMIFS(BD!$V$3:$V$5001,BD!$A$3:$A$5001,R$3,BD!$B$3:$B$5001,$A$133)))</f>
        <v/>
      </c>
      <c r="S138" s="185" t="str">
        <f>IF(S$3="","",IF(COUNTIFS(BD!$A$3:$A$5001,S$3,BD!$B$3:$B$5001,$A$133,BD!$V$3:$V$5001,"&lt;&gt;")=0,"",SUMIFS(BD!$V$3:$V$5001,BD!$A$3:$A$5001,S$3,BD!$B$3:$B$5001,$A$133)))</f>
        <v/>
      </c>
      <c r="T138" s="185" t="str">
        <f>IF(T$3="","",IF(COUNTIFS(BD!$A$3:$A$5001,T$3,BD!$B$3:$B$5001,$A$133,BD!$V$3:$V$5001,"&lt;&gt;")=0,"",SUMIFS(BD!$V$3:$V$5001,BD!$A$3:$A$5001,T$3,BD!$B$3:$B$5001,$A$133)))</f>
        <v/>
      </c>
      <c r="U138" s="185" t="str">
        <f>IF(U$3="","",IF(COUNTIFS(BD!$A$3:$A$5001,U$3,BD!$B$3:$B$5001,$A$133,BD!$V$3:$V$5001,"&lt;&gt;")=0,"",SUMIFS(BD!$V$3:$V$5001,BD!$A$3:$A$5001,U$3,BD!$B$3:$B$5001,$A$133)))</f>
        <v/>
      </c>
      <c r="V138" s="185" t="str">
        <f>IF(V$3="","",IF(COUNTIFS(BD!$A$3:$A$5001,V$3,BD!$B$3:$B$5001,$A$133,BD!$V$3:$V$5001,"&lt;&gt;")=0,"",SUMIFS(BD!$V$3:$V$5001,BD!$A$3:$A$5001,V$3,BD!$B$3:$B$5001,$A$133)))</f>
        <v/>
      </c>
      <c r="W138" s="185" t="str">
        <f>IF(W$3="","",IF(COUNTIFS(BD!$A$3:$A$5001,W$3,BD!$B$3:$B$5001,$A$133,BD!$V$3:$V$5001,"&lt;&gt;")=0,"",SUMIFS(BD!$V$3:$V$5001,BD!$A$3:$A$5001,W$3,BD!$B$3:$B$5001,$A$133)))</f>
        <v/>
      </c>
      <c r="X138" s="185" t="str">
        <f>IF(X$3="","",IF(COUNTIFS(BD!$A$3:$A$5001,X$3,BD!$B$3:$B$5001,$A$133,BD!$V$3:$V$5001,"&lt;&gt;")=0,"",SUMIFS(BD!$V$3:$V$5001,BD!$A$3:$A$5001,X$3,BD!$B$3:$B$5001,$A$133)))</f>
        <v/>
      </c>
      <c r="Y138" s="185" t="str">
        <f>IF(Y$3="","",IF(COUNTIFS(BD!$A$3:$A$5001,Y$3,BD!$B$3:$B$5001,$A$133,BD!$V$3:$V$5001,"&lt;&gt;")=0,"",SUMIFS(BD!$V$3:$V$5001,BD!$A$3:$A$5001,Y$3,BD!$B$3:$B$5001,$A$133)))</f>
        <v/>
      </c>
      <c r="Z138" s="185" t="str">
        <f>IF(Z$3="","",IF(COUNTIFS(BD!$A$3:$A$5001,Z$3,BD!$B$3:$B$5001,$A$133,BD!$V$3:$V$5001,"&lt;&gt;")=0,"",SUMIFS(BD!$V$3:$V$5001,BD!$A$3:$A$5001,Z$3,BD!$B$3:$B$5001,$A$133)))</f>
        <v/>
      </c>
      <c r="AA138" s="185" t="str">
        <f>IF(AA$3="","",IF(COUNTIFS(BD!$A$3:$A$5001,AA$3,BD!$B$3:$B$5001,$A$133,BD!$V$3:$V$5001,"&lt;&gt;")=0,"",SUMIFS(BD!$V$3:$V$5001,BD!$A$3:$A$5001,AA$3,BD!$B$3:$B$5001,$A$133)))</f>
        <v/>
      </c>
      <c r="AB138" s="185" t="str">
        <f>IF(AB$3="","",IF(COUNTIFS(BD!$A$3:$A$5001,AB$3,BD!$B$3:$B$5001,$A$133,BD!$V$3:$V$5001,"&lt;&gt;")=0,"",SUMIFS(BD!$V$3:$V$5001,BD!$A$3:$A$5001,AB$3,BD!$B$3:$B$5001,$A$133)))</f>
        <v/>
      </c>
      <c r="AC138" s="185" t="str">
        <f>IF(AC$3="","",IF(COUNTIFS(BD!$A$3:$A$5001,AC$3,BD!$B$3:$B$5001,$A$133,BD!$V$3:$V$5001,"&lt;&gt;")=0,"",SUMIFS(BD!$V$3:$V$5001,BD!$A$3:$A$5001,AC$3,BD!$B$3:$B$5001,$A$133)))</f>
        <v/>
      </c>
      <c r="AD138" s="185" t="str">
        <f>IF(AD$3="","",IF(COUNTIFS(BD!$A$3:$A$5001,AD$3,BD!$B$3:$B$5001,$A$133,BD!$V$3:$V$5001,"&lt;&gt;")=0,"",SUMIFS(BD!$V$3:$V$5001,BD!$A$3:$A$5001,AD$3,BD!$B$3:$B$5001,$A$133)))</f>
        <v/>
      </c>
      <c r="AE138" s="185" t="str">
        <f>IF(AE$3="","",IF(COUNTIFS(BD!$A$3:$A$5001,AE$3,BD!$B$3:$B$5001,$A$133,BD!$V$3:$V$5001,"&lt;&gt;")=0,"",SUMIFS(BD!$V$3:$V$5001,BD!$A$3:$A$5001,AE$3,BD!$B$3:$B$5001,$A$133)))</f>
        <v/>
      </c>
      <c r="AF138" s="185" t="str">
        <f>IF(AF$3="","",IF(COUNTIFS(BD!$A$3:$A$5001,AF$3,BD!$B$3:$B$5001,$A$133,BD!$V$3:$V$5001,"&lt;&gt;")=0,"",SUMIFS(BD!$V$3:$V$5001,BD!$A$3:$A$5001,AF$3,BD!$B$3:$B$5001,$A$133)))</f>
        <v/>
      </c>
      <c r="AG138" s="185" t="str">
        <f>IF(AG$3="","",IF(COUNTIFS(BD!$A$3:$A$5001,AG$3,BD!$B$3:$B$5001,$A$133,BD!$V$3:$V$5001,"&lt;&gt;")=0,"",SUMIFS(BD!$V$3:$V$5001,BD!$A$3:$A$5001,AG$3,BD!$B$3:$B$5001,$A$133)))</f>
        <v/>
      </c>
      <c r="AH138" s="185" t="str">
        <f>IF(AH$3="","",IF(COUNTIFS(BD!$A$3:$A$5001,AH$3,BD!$B$3:$B$5001,$A$133,BD!$V$3:$V$5001,"&lt;&gt;")=0,"",SUMIFS(BD!$V$3:$V$5001,BD!$A$3:$A$5001,AH$3,BD!$B$3:$B$5001,$A$133)))</f>
        <v/>
      </c>
      <c r="AI138" s="185" t="str">
        <f>IF(AI$3="","",IF(COUNTIFS(BD!$A$3:$A$5001,AI$3,BD!$B$3:$B$5001,$A$133,BD!$V$3:$V$5001,"&lt;&gt;")=0,"",SUMIFS(BD!$V$3:$V$5001,BD!$A$3:$A$5001,AI$3,BD!$B$3:$B$5001,$A$133)))</f>
        <v/>
      </c>
      <c r="AJ138" s="186" t="str">
        <f>IF(AJ$3="","",IF(COUNTIFS(BD!$A$3:$A$5001,AJ$3,BD!$B$3:$B$5001,$A$133,BD!$V$3:$V$5001,"&lt;&gt;")=0,"",SUMIFS(BD!$V$3:$V$5001,BD!$A$3:$A$5001,AJ$3,BD!$B$3:$B$5001,$A$133)))</f>
        <v/>
      </c>
      <c r="AK138" s="187" t="str">
        <f>IF(COUNT(F138:AJ138)=0,"",SUM(F138:AJ138))</f>
        <v/>
      </c>
    </row>
    <row r="139" ht="15.75" customHeight="1">
      <c r="A139" s="237"/>
      <c r="B139" s="231"/>
      <c r="C139" s="188" t="inlineStr">
        <is>
          <t xml:space="preserve">Backlog</t>
        </is>
      </c>
      <c r="D139" s="189" t="str">
        <f>IFERROR(1/(1/INDEX(BD!$AK$43:$AU$43,MATCH($A$133,BD!$AK$22:$AU$22,0))),"")</f>
        <v/>
      </c>
      <c r="E139" s="190"/>
      <c r="F139" s="191" t="str">
        <f>IF(F$3="","",IF(COUNTIFS(BD!$A$3:$A$5001,F$3,BD!$B$3:$B$5001,$A$133,BD!$W$3:$W$5001,"&lt;&gt;")=0,"",SUMIFS(BD!$W$3:$W$5001,BD!$A$3:$A$5001,F$3,BD!$B$3:$B$5001,$A$133)))</f>
        <v/>
      </c>
      <c r="G139" s="192" t="str">
        <f>IF(G$3="","",IF(COUNTIFS(BD!$A$3:$A$5001,G$3,BD!$B$3:$B$5001,$A$133,BD!$W$3:$W$5001,"&lt;&gt;")=0,"",SUMIFS(BD!$W$3:$W$5001,BD!$A$3:$A$5001,G$3,BD!$B$3:$B$5001,$A$133)))</f>
        <v/>
      </c>
      <c r="H139" s="192" t="str">
        <f>IF(H$3="","",IF(COUNTIFS(BD!$A$3:$A$5001,H$3,BD!$B$3:$B$5001,$A$133,BD!$W$3:$W$5001,"&lt;&gt;")=0,"",SUMIFS(BD!$W$3:$W$5001,BD!$A$3:$A$5001,H$3,BD!$B$3:$B$5001,$A$133)))</f>
        <v/>
      </c>
      <c r="I139" s="192" t="str">
        <f>IF(I$3="","",IF(COUNTIFS(BD!$A$3:$A$5001,I$3,BD!$B$3:$B$5001,$A$133,BD!$W$3:$W$5001,"&lt;&gt;")=0,"",SUMIFS(BD!$W$3:$W$5001,BD!$A$3:$A$5001,I$3,BD!$B$3:$B$5001,$A$133)))</f>
        <v/>
      </c>
      <c r="J139" s="192" t="str">
        <f>IF(J$3="","",IF(COUNTIFS(BD!$A$3:$A$5001,J$3,BD!$B$3:$B$5001,$A$133,BD!$W$3:$W$5001,"&lt;&gt;")=0,"",SUMIFS(BD!$W$3:$W$5001,BD!$A$3:$A$5001,J$3,BD!$B$3:$B$5001,$A$133)))</f>
        <v/>
      </c>
      <c r="K139" s="192" t="str">
        <f>IF(K$3="","",IF(COUNTIFS(BD!$A$3:$A$5001,K$3,BD!$B$3:$B$5001,$A$133,BD!$W$3:$W$5001,"&lt;&gt;")=0,"",SUMIFS(BD!$W$3:$W$5001,BD!$A$3:$A$5001,K$3,BD!$B$3:$B$5001,$A$133)))</f>
        <v/>
      </c>
      <c r="L139" s="192" t="str">
        <f>IF(L$3="","",IF(COUNTIFS(BD!$A$3:$A$5001,L$3,BD!$B$3:$B$5001,$A$133,BD!$W$3:$W$5001,"&lt;&gt;")=0,"",SUMIFS(BD!$W$3:$W$5001,BD!$A$3:$A$5001,L$3,BD!$B$3:$B$5001,$A$133)))</f>
        <v/>
      </c>
      <c r="M139" s="192" t="str">
        <f>IF(M$3="","",IF(COUNTIFS(BD!$A$3:$A$5001,M$3,BD!$B$3:$B$5001,$A$133,BD!$W$3:$W$5001,"&lt;&gt;")=0,"",SUMIFS(BD!$W$3:$W$5001,BD!$A$3:$A$5001,M$3,BD!$B$3:$B$5001,$A$133)))</f>
        <v/>
      </c>
      <c r="N139" s="192" t="str">
        <f>IF(N$3="","",IF(COUNTIFS(BD!$A$3:$A$5001,N$3,BD!$B$3:$B$5001,$A$133,BD!$W$3:$W$5001,"&lt;&gt;")=0,"",SUMIFS(BD!$W$3:$W$5001,BD!$A$3:$A$5001,N$3,BD!$B$3:$B$5001,$A$133)))</f>
        <v/>
      </c>
      <c r="O139" s="192" t="str">
        <f>IF(O$3="","",IF(COUNTIFS(BD!$A$3:$A$5001,O$3,BD!$B$3:$B$5001,$A$133,BD!$W$3:$W$5001,"&lt;&gt;")=0,"",SUMIFS(BD!$W$3:$W$5001,BD!$A$3:$A$5001,O$3,BD!$B$3:$B$5001,$A$133)))</f>
        <v/>
      </c>
      <c r="P139" s="192" t="str">
        <f>IF(P$3="","",IF(COUNTIFS(BD!$A$3:$A$5001,P$3,BD!$B$3:$B$5001,$A$133,BD!$W$3:$W$5001,"&lt;&gt;")=0,"",SUMIFS(BD!$W$3:$W$5001,BD!$A$3:$A$5001,P$3,BD!$B$3:$B$5001,$A$133)))</f>
        <v/>
      </c>
      <c r="Q139" s="192" t="str">
        <f>IF(Q$3="","",IF(COUNTIFS(BD!$A$3:$A$5001,Q$3,BD!$B$3:$B$5001,$A$133,BD!$W$3:$W$5001,"&lt;&gt;")=0,"",SUMIFS(BD!$W$3:$W$5001,BD!$A$3:$A$5001,Q$3,BD!$B$3:$B$5001,$A$133)))</f>
        <v/>
      </c>
      <c r="R139" s="192" t="str">
        <f>IF(R$3="","",IF(COUNTIFS(BD!$A$3:$A$5001,R$3,BD!$B$3:$B$5001,$A$133,BD!$W$3:$W$5001,"&lt;&gt;")=0,"",SUMIFS(BD!$W$3:$W$5001,BD!$A$3:$A$5001,R$3,BD!$B$3:$B$5001,$A$133)))</f>
        <v/>
      </c>
      <c r="S139" s="192" t="str">
        <f>IF(S$3="","",IF(COUNTIFS(BD!$A$3:$A$5001,S$3,BD!$B$3:$B$5001,$A$133,BD!$W$3:$W$5001,"&lt;&gt;")=0,"",SUMIFS(BD!$W$3:$W$5001,BD!$A$3:$A$5001,S$3,BD!$B$3:$B$5001,$A$133)))</f>
        <v/>
      </c>
      <c r="T139" s="192" t="str">
        <f>IF(T$3="","",IF(COUNTIFS(BD!$A$3:$A$5001,T$3,BD!$B$3:$B$5001,$A$133,BD!$W$3:$W$5001,"&lt;&gt;")=0,"",SUMIFS(BD!$W$3:$W$5001,BD!$A$3:$A$5001,T$3,BD!$B$3:$B$5001,$A$133)))</f>
        <v/>
      </c>
      <c r="U139" s="192" t="str">
        <f>IF(U$3="","",IF(COUNTIFS(BD!$A$3:$A$5001,U$3,BD!$B$3:$B$5001,$A$133,BD!$W$3:$W$5001,"&lt;&gt;")=0,"",SUMIFS(BD!$W$3:$W$5001,BD!$A$3:$A$5001,U$3,BD!$B$3:$B$5001,$A$133)))</f>
        <v/>
      </c>
      <c r="V139" s="192" t="str">
        <f>IF(V$3="","",IF(COUNTIFS(BD!$A$3:$A$5001,V$3,BD!$B$3:$B$5001,$A$133,BD!$W$3:$W$5001,"&lt;&gt;")=0,"",SUMIFS(BD!$W$3:$W$5001,BD!$A$3:$A$5001,V$3,BD!$B$3:$B$5001,$A$133)))</f>
        <v/>
      </c>
      <c r="W139" s="192" t="str">
        <f>IF(W$3="","",IF(COUNTIFS(BD!$A$3:$A$5001,W$3,BD!$B$3:$B$5001,$A$133,BD!$W$3:$W$5001,"&lt;&gt;")=0,"",SUMIFS(BD!$W$3:$W$5001,BD!$A$3:$A$5001,W$3,BD!$B$3:$B$5001,$A$133)))</f>
        <v/>
      </c>
      <c r="X139" s="192" t="str">
        <f>IF(X$3="","",IF(COUNTIFS(BD!$A$3:$A$5001,X$3,BD!$B$3:$B$5001,$A$133,BD!$W$3:$W$5001,"&lt;&gt;")=0,"",SUMIFS(BD!$W$3:$W$5001,BD!$A$3:$A$5001,X$3,BD!$B$3:$B$5001,$A$133)))</f>
        <v/>
      </c>
      <c r="Y139" s="192" t="str">
        <f>IF(Y$3="","",IF(COUNTIFS(BD!$A$3:$A$5001,Y$3,BD!$B$3:$B$5001,$A$133,BD!$W$3:$W$5001,"&lt;&gt;")=0,"",SUMIFS(BD!$W$3:$W$5001,BD!$A$3:$A$5001,Y$3,BD!$B$3:$B$5001,$A$133)))</f>
        <v/>
      </c>
      <c r="Z139" s="192" t="str">
        <f>IF(Z$3="","",IF(COUNTIFS(BD!$A$3:$A$5001,Z$3,BD!$B$3:$B$5001,$A$133,BD!$W$3:$W$5001,"&lt;&gt;")=0,"",SUMIFS(BD!$W$3:$W$5001,BD!$A$3:$A$5001,Z$3,BD!$B$3:$B$5001,$A$133)))</f>
        <v/>
      </c>
      <c r="AA139" s="192" t="str">
        <f>IF(AA$3="","",IF(COUNTIFS(BD!$A$3:$A$5001,AA$3,BD!$B$3:$B$5001,$A$133,BD!$W$3:$W$5001,"&lt;&gt;")=0,"",SUMIFS(BD!$W$3:$W$5001,BD!$A$3:$A$5001,AA$3,BD!$B$3:$B$5001,$A$133)))</f>
        <v/>
      </c>
      <c r="AB139" s="192" t="str">
        <f>IF(AB$3="","",IF(COUNTIFS(BD!$A$3:$A$5001,AB$3,BD!$B$3:$B$5001,$A$133,BD!$W$3:$W$5001,"&lt;&gt;")=0,"",SUMIFS(BD!$W$3:$W$5001,BD!$A$3:$A$5001,AB$3,BD!$B$3:$B$5001,$A$133)))</f>
        <v/>
      </c>
      <c r="AC139" s="192" t="str">
        <f>IF(AC$3="","",IF(COUNTIFS(BD!$A$3:$A$5001,AC$3,BD!$B$3:$B$5001,$A$133,BD!$W$3:$W$5001,"&lt;&gt;")=0,"",SUMIFS(BD!$W$3:$W$5001,BD!$A$3:$A$5001,AC$3,BD!$B$3:$B$5001,$A$133)))</f>
        <v/>
      </c>
      <c r="AD139" s="192" t="str">
        <f>IF(AD$3="","",IF(COUNTIFS(BD!$A$3:$A$5001,AD$3,BD!$B$3:$B$5001,$A$133,BD!$W$3:$W$5001,"&lt;&gt;")=0,"",SUMIFS(BD!$W$3:$W$5001,BD!$A$3:$A$5001,AD$3,BD!$B$3:$B$5001,$A$133)))</f>
        <v/>
      </c>
      <c r="AE139" s="192" t="str">
        <f>IF(AE$3="","",IF(COUNTIFS(BD!$A$3:$A$5001,AE$3,BD!$B$3:$B$5001,$A$133,BD!$W$3:$W$5001,"&lt;&gt;")=0,"",SUMIFS(BD!$W$3:$W$5001,BD!$A$3:$A$5001,AE$3,BD!$B$3:$B$5001,$A$133)))</f>
        <v/>
      </c>
      <c r="AF139" s="192" t="str">
        <f>IF(AF$3="","",IF(COUNTIFS(BD!$A$3:$A$5001,AF$3,BD!$B$3:$B$5001,$A$133,BD!$W$3:$W$5001,"&lt;&gt;")=0,"",SUMIFS(BD!$W$3:$W$5001,BD!$A$3:$A$5001,AF$3,BD!$B$3:$B$5001,$A$133)))</f>
        <v/>
      </c>
      <c r="AG139" s="192" t="str">
        <f>IF(AG$3="","",IF(COUNTIFS(BD!$A$3:$A$5001,AG$3,BD!$B$3:$B$5001,$A$133,BD!$W$3:$W$5001,"&lt;&gt;")=0,"",SUMIFS(BD!$W$3:$W$5001,BD!$A$3:$A$5001,AG$3,BD!$B$3:$B$5001,$A$133)))</f>
        <v/>
      </c>
      <c r="AH139" s="192" t="str">
        <f>IF(AH$3="","",IF(COUNTIFS(BD!$A$3:$A$5001,AH$3,BD!$B$3:$B$5001,$A$133,BD!$W$3:$W$5001,"&lt;&gt;")=0,"",SUMIFS(BD!$W$3:$W$5001,BD!$A$3:$A$5001,AH$3,BD!$B$3:$B$5001,$A$133)))</f>
        <v/>
      </c>
      <c r="AI139" s="192" t="str">
        <f>IF(AI$3="","",IF(COUNTIFS(BD!$A$3:$A$5001,AI$3,BD!$B$3:$B$5001,$A$133,BD!$W$3:$W$5001,"&lt;&gt;")=0,"",SUMIFS(BD!$W$3:$W$5001,BD!$A$3:$A$5001,AI$3,BD!$B$3:$B$5001,$A$133)))</f>
        <v/>
      </c>
      <c r="AJ139" s="193" t="str">
        <f>IF(AJ$3="","",IF(COUNTIFS(BD!$A$3:$A$5001,AJ$3,BD!$B$3:$B$5001,$A$133,BD!$W$3:$W$5001,"&lt;&gt;")=0,"",SUMIFS(BD!$W$3:$W$5001,BD!$A$3:$A$5001,AJ$3,BD!$B$3:$B$5001,$A$133)))</f>
        <v/>
      </c>
      <c r="AK139" s="189" t="str">
        <f>IFERROR(LOOKUP(9.99E+307,F139:AJ139),"")</f>
        <v/>
      </c>
    </row>
    <row r="140" ht="15.75" customHeight="1">
      <c r="A140" s="237"/>
      <c r="B140" s="225" t="inlineStr">
        <is>
          <t xml:space="preserve">OCUPAÇÃO (P.P)</t>
        </is>
      </c>
      <c r="C140" s="148" t="inlineStr">
        <is>
          <t xml:space="preserve">Posições Disponíveis</t>
        </is>
      </c>
      <c r="D140" s="149" t="str">
        <f>IFERROR(1/(1/INDEX(BD!$AK$44:$AU$44,MATCH($A$133,BD!$AK$22:$AU$22,0))),"")</f>
        <v/>
      </c>
      <c r="E140" s="150"/>
      <c r="F140" s="151" t="str">
        <f>IF(F$3="","",IF(COUNTIFS(BD!$A$3:$A$5001,F$3,BD!$B$3:$B$5001,$A$133,BD!$X$3:$X$5001,"&lt;&gt;")=0,"",SUMIFS(BD!$X$3:$X$5001,BD!$A$3:$A$5001,F$3,BD!$B$3:$B$5001,$A$133)))</f>
        <v/>
      </c>
      <c r="G140" s="152" t="str">
        <f>IF(G$3="","",IF(COUNTIFS(BD!$A$3:$A$5001,G$3,BD!$B$3:$B$5001,$A$133,BD!$X$3:$X$5001,"&lt;&gt;")=0,"",SUMIFS(BD!$X$3:$X$5001,BD!$A$3:$A$5001,G$3,BD!$B$3:$B$5001,$A$133)))</f>
        <v/>
      </c>
      <c r="H140" s="152" t="str">
        <f>IF(H$3="","",IF(COUNTIFS(BD!$A$3:$A$5001,H$3,BD!$B$3:$B$5001,$A$133,BD!$X$3:$X$5001,"&lt;&gt;")=0,"",SUMIFS(BD!$X$3:$X$5001,BD!$A$3:$A$5001,H$3,BD!$B$3:$B$5001,$A$133)))</f>
        <v/>
      </c>
      <c r="I140" s="152" t="str">
        <f>IF(I$3="","",IF(COUNTIFS(BD!$A$3:$A$5001,I$3,BD!$B$3:$B$5001,$A$133,BD!$X$3:$X$5001,"&lt;&gt;")=0,"",SUMIFS(BD!$X$3:$X$5001,BD!$A$3:$A$5001,I$3,BD!$B$3:$B$5001,$A$133)))</f>
        <v/>
      </c>
      <c r="J140" s="152" t="str">
        <f>IF(J$3="","",IF(COUNTIFS(BD!$A$3:$A$5001,J$3,BD!$B$3:$B$5001,$A$133,BD!$X$3:$X$5001,"&lt;&gt;")=0,"",SUMIFS(BD!$X$3:$X$5001,BD!$A$3:$A$5001,J$3,BD!$B$3:$B$5001,$A$133)))</f>
        <v/>
      </c>
      <c r="K140" s="152" t="str">
        <f>IF(K$3="","",IF(COUNTIFS(BD!$A$3:$A$5001,K$3,BD!$B$3:$B$5001,$A$133,BD!$X$3:$X$5001,"&lt;&gt;")=0,"",SUMIFS(BD!$X$3:$X$5001,BD!$A$3:$A$5001,K$3,BD!$B$3:$B$5001,$A$133)))</f>
        <v/>
      </c>
      <c r="L140" s="152" t="str">
        <f>IF(L$3="","",IF(COUNTIFS(BD!$A$3:$A$5001,L$3,BD!$B$3:$B$5001,$A$133,BD!$X$3:$X$5001,"&lt;&gt;")=0,"",SUMIFS(BD!$X$3:$X$5001,BD!$A$3:$A$5001,L$3,BD!$B$3:$B$5001,$A$133)))</f>
        <v/>
      </c>
      <c r="M140" s="152" t="str">
        <f>IF(M$3="","",IF(COUNTIFS(BD!$A$3:$A$5001,M$3,BD!$B$3:$B$5001,$A$133,BD!$X$3:$X$5001,"&lt;&gt;")=0,"",SUMIFS(BD!$X$3:$X$5001,BD!$A$3:$A$5001,M$3,BD!$B$3:$B$5001,$A$133)))</f>
        <v/>
      </c>
      <c r="N140" s="152" t="str">
        <f>IF(N$3="","",IF(COUNTIFS(BD!$A$3:$A$5001,N$3,BD!$B$3:$B$5001,$A$133,BD!$X$3:$X$5001,"&lt;&gt;")=0,"",SUMIFS(BD!$X$3:$X$5001,BD!$A$3:$A$5001,N$3,BD!$B$3:$B$5001,$A$133)))</f>
        <v/>
      </c>
      <c r="O140" s="152" t="str">
        <f>IF(O$3="","",IF(COUNTIFS(BD!$A$3:$A$5001,O$3,BD!$B$3:$B$5001,$A$133,BD!$X$3:$X$5001,"&lt;&gt;")=0,"",SUMIFS(BD!$X$3:$X$5001,BD!$A$3:$A$5001,O$3,BD!$B$3:$B$5001,$A$133)))</f>
        <v/>
      </c>
      <c r="P140" s="152" t="str">
        <f>IF(P$3="","",IF(COUNTIFS(BD!$A$3:$A$5001,P$3,BD!$B$3:$B$5001,$A$133,BD!$X$3:$X$5001,"&lt;&gt;")=0,"",SUMIFS(BD!$X$3:$X$5001,BD!$A$3:$A$5001,P$3,BD!$B$3:$B$5001,$A$133)))</f>
        <v/>
      </c>
      <c r="Q140" s="152" t="str">
        <f>IF(Q$3="","",IF(COUNTIFS(BD!$A$3:$A$5001,Q$3,BD!$B$3:$B$5001,$A$133,BD!$X$3:$X$5001,"&lt;&gt;")=0,"",SUMIFS(BD!$X$3:$X$5001,BD!$A$3:$A$5001,Q$3,BD!$B$3:$B$5001,$A$133)))</f>
        <v/>
      </c>
      <c r="R140" s="152" t="str">
        <f>IF(R$3="","",IF(COUNTIFS(BD!$A$3:$A$5001,R$3,BD!$B$3:$B$5001,$A$133,BD!$X$3:$X$5001,"&lt;&gt;")=0,"",SUMIFS(BD!$X$3:$X$5001,BD!$A$3:$A$5001,R$3,BD!$B$3:$B$5001,$A$133)))</f>
        <v/>
      </c>
      <c r="S140" s="152" t="str">
        <f>IF(S$3="","",IF(COUNTIFS(BD!$A$3:$A$5001,S$3,BD!$B$3:$B$5001,$A$133,BD!$X$3:$X$5001,"&lt;&gt;")=0,"",SUMIFS(BD!$X$3:$X$5001,BD!$A$3:$A$5001,S$3,BD!$B$3:$B$5001,$A$133)))</f>
        <v/>
      </c>
      <c r="T140" s="152" t="str">
        <f>IF(T$3="","",IF(COUNTIFS(BD!$A$3:$A$5001,T$3,BD!$B$3:$B$5001,$A$133,BD!$X$3:$X$5001,"&lt;&gt;")=0,"",SUMIFS(BD!$X$3:$X$5001,BD!$A$3:$A$5001,T$3,BD!$B$3:$B$5001,$A$133)))</f>
        <v/>
      </c>
      <c r="U140" s="152" t="str">
        <f>IF(U$3="","",IF(COUNTIFS(BD!$A$3:$A$5001,U$3,BD!$B$3:$B$5001,$A$133,BD!$X$3:$X$5001,"&lt;&gt;")=0,"",SUMIFS(BD!$X$3:$X$5001,BD!$A$3:$A$5001,U$3,BD!$B$3:$B$5001,$A$133)))</f>
        <v/>
      </c>
      <c r="V140" s="152" t="str">
        <f>IF(V$3="","",IF(COUNTIFS(BD!$A$3:$A$5001,V$3,BD!$B$3:$B$5001,$A$133,BD!$X$3:$X$5001,"&lt;&gt;")=0,"",SUMIFS(BD!$X$3:$X$5001,BD!$A$3:$A$5001,V$3,BD!$B$3:$B$5001,$A$133)))</f>
        <v/>
      </c>
      <c r="W140" s="152" t="str">
        <f>IF(W$3="","",IF(COUNTIFS(BD!$A$3:$A$5001,W$3,BD!$B$3:$B$5001,$A$133,BD!$X$3:$X$5001,"&lt;&gt;")=0,"",SUMIFS(BD!$X$3:$X$5001,BD!$A$3:$A$5001,W$3,BD!$B$3:$B$5001,$A$133)))</f>
        <v/>
      </c>
      <c r="X140" s="152" t="str">
        <f>IF(X$3="","",IF(COUNTIFS(BD!$A$3:$A$5001,X$3,BD!$B$3:$B$5001,$A$133,BD!$X$3:$X$5001,"&lt;&gt;")=0,"",SUMIFS(BD!$X$3:$X$5001,BD!$A$3:$A$5001,X$3,BD!$B$3:$B$5001,$A$133)))</f>
        <v/>
      </c>
      <c r="Y140" s="152" t="str">
        <f>IF(Y$3="","",IF(COUNTIFS(BD!$A$3:$A$5001,Y$3,BD!$B$3:$B$5001,$A$133,BD!$X$3:$X$5001,"&lt;&gt;")=0,"",SUMIFS(BD!$X$3:$X$5001,BD!$A$3:$A$5001,Y$3,BD!$B$3:$B$5001,$A$133)))</f>
        <v/>
      </c>
      <c r="Z140" s="152" t="str">
        <f>IF(Z$3="","",IF(COUNTIFS(BD!$A$3:$A$5001,Z$3,BD!$B$3:$B$5001,$A$133,BD!$X$3:$X$5001,"&lt;&gt;")=0,"",SUMIFS(BD!$X$3:$X$5001,BD!$A$3:$A$5001,Z$3,BD!$B$3:$B$5001,$A$133)))</f>
        <v/>
      </c>
      <c r="AA140" s="152" t="str">
        <f>IF(AA$3="","",IF(COUNTIFS(BD!$A$3:$A$5001,AA$3,BD!$B$3:$B$5001,$A$133,BD!$X$3:$X$5001,"&lt;&gt;")=0,"",SUMIFS(BD!$X$3:$X$5001,BD!$A$3:$A$5001,AA$3,BD!$B$3:$B$5001,$A$133)))</f>
        <v/>
      </c>
      <c r="AB140" s="152" t="str">
        <f>IF(AB$3="","",IF(COUNTIFS(BD!$A$3:$A$5001,AB$3,BD!$B$3:$B$5001,$A$133,BD!$X$3:$X$5001,"&lt;&gt;")=0,"",SUMIFS(BD!$X$3:$X$5001,BD!$A$3:$A$5001,AB$3,BD!$B$3:$B$5001,$A$133)))</f>
        <v/>
      </c>
      <c r="AC140" s="152" t="str">
        <f>IF(AC$3="","",IF(COUNTIFS(BD!$A$3:$A$5001,AC$3,BD!$B$3:$B$5001,$A$133,BD!$X$3:$X$5001,"&lt;&gt;")=0,"",SUMIFS(BD!$X$3:$X$5001,BD!$A$3:$A$5001,AC$3,BD!$B$3:$B$5001,$A$133)))</f>
        <v/>
      </c>
      <c r="AD140" s="152" t="str">
        <f>IF(AD$3="","",IF(COUNTIFS(BD!$A$3:$A$5001,AD$3,BD!$B$3:$B$5001,$A$133,BD!$X$3:$X$5001,"&lt;&gt;")=0,"",SUMIFS(BD!$X$3:$X$5001,BD!$A$3:$A$5001,AD$3,BD!$B$3:$B$5001,$A$133)))</f>
        <v/>
      </c>
      <c r="AE140" s="152" t="str">
        <f>IF(AE$3="","",IF(COUNTIFS(BD!$A$3:$A$5001,AE$3,BD!$B$3:$B$5001,$A$133,BD!$X$3:$X$5001,"&lt;&gt;")=0,"",SUMIFS(BD!$X$3:$X$5001,BD!$A$3:$A$5001,AE$3,BD!$B$3:$B$5001,$A$133)))</f>
        <v/>
      </c>
      <c r="AF140" s="152" t="str">
        <f>IF(AF$3="","",IF(COUNTIFS(BD!$A$3:$A$5001,AF$3,BD!$B$3:$B$5001,$A$133,BD!$X$3:$X$5001,"&lt;&gt;")=0,"",SUMIFS(BD!$X$3:$X$5001,BD!$A$3:$A$5001,AF$3,BD!$B$3:$B$5001,$A$133)))</f>
        <v/>
      </c>
      <c r="AG140" s="152" t="str">
        <f>IF(AG$3="","",IF(COUNTIFS(BD!$A$3:$A$5001,AG$3,BD!$B$3:$B$5001,$A$133,BD!$X$3:$X$5001,"&lt;&gt;")=0,"",SUMIFS(BD!$X$3:$X$5001,BD!$A$3:$A$5001,AG$3,BD!$B$3:$B$5001,$A$133)))</f>
        <v/>
      </c>
      <c r="AH140" s="152" t="str">
        <f>IF(AH$3="","",IF(COUNTIFS(BD!$A$3:$A$5001,AH$3,BD!$B$3:$B$5001,$A$133,BD!$X$3:$X$5001,"&lt;&gt;")=0,"",SUMIFS(BD!$X$3:$X$5001,BD!$A$3:$A$5001,AH$3,BD!$B$3:$B$5001,$A$133)))</f>
        <v/>
      </c>
      <c r="AI140" s="152" t="str">
        <f>IF(AI$3="","",IF(COUNTIFS(BD!$A$3:$A$5001,AI$3,BD!$B$3:$B$5001,$A$133,BD!$X$3:$X$5001,"&lt;&gt;")=0,"",SUMIFS(BD!$X$3:$X$5001,BD!$A$3:$A$5001,AI$3,BD!$B$3:$B$5001,$A$133)))</f>
        <v/>
      </c>
      <c r="AJ140" s="153" t="str">
        <f>IF(AJ$3="","",IF(COUNTIFS(BD!$A$3:$A$5001,AJ$3,BD!$B$3:$B$5001,$A$133,BD!$X$3:$X$5001,"&lt;&gt;")=0,"",SUMIFS(BD!$X$3:$X$5001,BD!$A$3:$A$5001,AJ$3,BD!$B$3:$B$5001,$A$133)))</f>
        <v/>
      </c>
      <c r="AK140" s="154" t="str">
        <f>IF(COUNT(F140:AJ140)&gt;0,LOOKUP(9.99E+307,F140:AJ140),IFERROR(IF(INDEX(BD!$AH$3:$AH$5001,MATCH($A$133,BD!$B$3:$B$5001,0))&amp;""="Contrato","",INDEX(BD!$AH$3:$AH$5001,MATCH($A$133,BD!$B$3:$B$5001,0))&amp;""),""))</f>
        <v/>
      </c>
    </row>
    <row r="141" ht="15.75" customHeight="1">
      <c r="A141" s="237"/>
      <c r="B141" s="232"/>
      <c r="C141" s="194" t="inlineStr">
        <is>
          <t xml:space="preserve">Posições Ocupadas</t>
        </is>
      </c>
      <c r="D141" s="195" t="str">
        <f>IFERROR(1/(1/INDEX(BD!$AK$45:$AU$45,MATCH($A$133,BD!$AK$22:$AU$22,0))),"")</f>
        <v/>
      </c>
      <c r="E141" s="196"/>
      <c r="F141" s="197" t="str">
        <f>IF(F$3="","",IF(COUNTIFS(BD!$A$3:$A$5001,F$3,BD!$B$3:$B$5001,$A$133,BD!$Y$3:$Y$5001,"&lt;&gt;")=0,"",SUMIFS(BD!$Y$3:$Y$5001,BD!$A$3:$A$5001,F$3,BD!$B$3:$B$5001,$A$133)))</f>
        <v/>
      </c>
      <c r="G141" s="198" t="str">
        <f>IF(G$3="","",IF(COUNTIFS(BD!$A$3:$A$5001,G$3,BD!$B$3:$B$5001,$A$133,BD!$Y$3:$Y$5001,"&lt;&gt;")=0,"",SUMIFS(BD!$Y$3:$Y$5001,BD!$A$3:$A$5001,G$3,BD!$B$3:$B$5001,$A$133)))</f>
        <v/>
      </c>
      <c r="H141" s="198" t="str">
        <f>IF(H$3="","",IF(COUNTIFS(BD!$A$3:$A$5001,H$3,BD!$B$3:$B$5001,$A$133,BD!$Y$3:$Y$5001,"&lt;&gt;")=0,"",SUMIFS(BD!$Y$3:$Y$5001,BD!$A$3:$A$5001,H$3,BD!$B$3:$B$5001,$A$133)))</f>
        <v/>
      </c>
      <c r="I141" s="198" t="str">
        <f>IF(I$3="","",IF(COUNTIFS(BD!$A$3:$A$5001,I$3,BD!$B$3:$B$5001,$A$133,BD!$Y$3:$Y$5001,"&lt;&gt;")=0,"",SUMIFS(BD!$Y$3:$Y$5001,BD!$A$3:$A$5001,I$3,BD!$B$3:$B$5001,$A$133)))</f>
        <v/>
      </c>
      <c r="J141" s="198" t="str">
        <f>IF(J$3="","",IF(COUNTIFS(BD!$A$3:$A$5001,J$3,BD!$B$3:$B$5001,$A$133,BD!$Y$3:$Y$5001,"&lt;&gt;")=0,"",SUMIFS(BD!$Y$3:$Y$5001,BD!$A$3:$A$5001,J$3,BD!$B$3:$B$5001,$A$133)))</f>
        <v/>
      </c>
      <c r="K141" s="198" t="str">
        <f>IF(K$3="","",IF(COUNTIFS(BD!$A$3:$A$5001,K$3,BD!$B$3:$B$5001,$A$133,BD!$Y$3:$Y$5001,"&lt;&gt;")=0,"",SUMIFS(BD!$Y$3:$Y$5001,BD!$A$3:$A$5001,K$3,BD!$B$3:$B$5001,$A$133)))</f>
        <v/>
      </c>
      <c r="L141" s="198" t="str">
        <f>IF(L$3="","",IF(COUNTIFS(BD!$A$3:$A$5001,L$3,BD!$B$3:$B$5001,$A$133,BD!$Y$3:$Y$5001,"&lt;&gt;")=0,"",SUMIFS(BD!$Y$3:$Y$5001,BD!$A$3:$A$5001,L$3,BD!$B$3:$B$5001,$A$133)))</f>
        <v/>
      </c>
      <c r="M141" s="198" t="str">
        <f>IF(M$3="","",IF(COUNTIFS(BD!$A$3:$A$5001,M$3,BD!$B$3:$B$5001,$A$133,BD!$Y$3:$Y$5001,"&lt;&gt;")=0,"",SUMIFS(BD!$Y$3:$Y$5001,BD!$A$3:$A$5001,M$3,BD!$B$3:$B$5001,$A$133)))</f>
        <v/>
      </c>
      <c r="N141" s="198" t="str">
        <f>IF(N$3="","",IF(COUNTIFS(BD!$A$3:$A$5001,N$3,BD!$B$3:$B$5001,$A$133,BD!$Y$3:$Y$5001,"&lt;&gt;")=0,"",SUMIFS(BD!$Y$3:$Y$5001,BD!$A$3:$A$5001,N$3,BD!$B$3:$B$5001,$A$133)))</f>
        <v/>
      </c>
      <c r="O141" s="198" t="str">
        <f>IF(O$3="","",IF(COUNTIFS(BD!$A$3:$A$5001,O$3,BD!$B$3:$B$5001,$A$133,BD!$Y$3:$Y$5001,"&lt;&gt;")=0,"",SUMIFS(BD!$Y$3:$Y$5001,BD!$A$3:$A$5001,O$3,BD!$B$3:$B$5001,$A$133)))</f>
        <v/>
      </c>
      <c r="P141" s="198" t="str">
        <f>IF(P$3="","",IF(COUNTIFS(BD!$A$3:$A$5001,P$3,BD!$B$3:$B$5001,$A$133,BD!$Y$3:$Y$5001,"&lt;&gt;")=0,"",SUMIFS(BD!$Y$3:$Y$5001,BD!$A$3:$A$5001,P$3,BD!$B$3:$B$5001,$A$133)))</f>
        <v/>
      </c>
      <c r="Q141" s="198" t="str">
        <f>IF(Q$3="","",IF(COUNTIFS(BD!$A$3:$A$5001,Q$3,BD!$B$3:$B$5001,$A$133,BD!$Y$3:$Y$5001,"&lt;&gt;")=0,"",SUMIFS(BD!$Y$3:$Y$5001,BD!$A$3:$A$5001,Q$3,BD!$B$3:$B$5001,$A$133)))</f>
        <v/>
      </c>
      <c r="R141" s="198" t="str">
        <f>IF(R$3="","",IF(COUNTIFS(BD!$A$3:$A$5001,R$3,BD!$B$3:$B$5001,$A$133,BD!$Y$3:$Y$5001,"&lt;&gt;")=0,"",SUMIFS(BD!$Y$3:$Y$5001,BD!$A$3:$A$5001,R$3,BD!$B$3:$B$5001,$A$133)))</f>
        <v/>
      </c>
      <c r="S141" s="198" t="str">
        <f>IF(S$3="","",IF(COUNTIFS(BD!$A$3:$A$5001,S$3,BD!$B$3:$B$5001,$A$133,BD!$Y$3:$Y$5001,"&lt;&gt;")=0,"",SUMIFS(BD!$Y$3:$Y$5001,BD!$A$3:$A$5001,S$3,BD!$B$3:$B$5001,$A$133)))</f>
        <v/>
      </c>
      <c r="T141" s="198" t="str">
        <f>IF(T$3="","",IF(COUNTIFS(BD!$A$3:$A$5001,T$3,BD!$B$3:$B$5001,$A$133,BD!$Y$3:$Y$5001,"&lt;&gt;")=0,"",SUMIFS(BD!$Y$3:$Y$5001,BD!$A$3:$A$5001,T$3,BD!$B$3:$B$5001,$A$133)))</f>
        <v/>
      </c>
      <c r="U141" s="198" t="str">
        <f>IF(U$3="","",IF(COUNTIFS(BD!$A$3:$A$5001,U$3,BD!$B$3:$B$5001,$A$133,BD!$Y$3:$Y$5001,"&lt;&gt;")=0,"",SUMIFS(BD!$Y$3:$Y$5001,BD!$A$3:$A$5001,U$3,BD!$B$3:$B$5001,$A$133)))</f>
        <v/>
      </c>
      <c r="V141" s="198" t="str">
        <f>IF(V$3="","",IF(COUNTIFS(BD!$A$3:$A$5001,V$3,BD!$B$3:$B$5001,$A$133,BD!$Y$3:$Y$5001,"&lt;&gt;")=0,"",SUMIFS(BD!$Y$3:$Y$5001,BD!$A$3:$A$5001,V$3,BD!$B$3:$B$5001,$A$133)))</f>
        <v/>
      </c>
      <c r="W141" s="198" t="str">
        <f>IF(W$3="","",IF(COUNTIFS(BD!$A$3:$A$5001,W$3,BD!$B$3:$B$5001,$A$133,BD!$Y$3:$Y$5001,"&lt;&gt;")=0,"",SUMIFS(BD!$Y$3:$Y$5001,BD!$A$3:$A$5001,W$3,BD!$B$3:$B$5001,$A$133)))</f>
        <v/>
      </c>
      <c r="X141" s="198" t="str">
        <f>IF(X$3="","",IF(COUNTIFS(BD!$A$3:$A$5001,X$3,BD!$B$3:$B$5001,$A$133,BD!$Y$3:$Y$5001,"&lt;&gt;")=0,"",SUMIFS(BD!$Y$3:$Y$5001,BD!$A$3:$A$5001,X$3,BD!$B$3:$B$5001,$A$133)))</f>
        <v/>
      </c>
      <c r="Y141" s="198" t="str">
        <f>IF(Y$3="","",IF(COUNTIFS(BD!$A$3:$A$5001,Y$3,BD!$B$3:$B$5001,$A$133,BD!$Y$3:$Y$5001,"&lt;&gt;")=0,"",SUMIFS(BD!$Y$3:$Y$5001,BD!$A$3:$A$5001,Y$3,BD!$B$3:$B$5001,$A$133)))</f>
        <v/>
      </c>
      <c r="Z141" s="198" t="str">
        <f>IF(Z$3="","",IF(COUNTIFS(BD!$A$3:$A$5001,Z$3,BD!$B$3:$B$5001,$A$133,BD!$Y$3:$Y$5001,"&lt;&gt;")=0,"",SUMIFS(BD!$Y$3:$Y$5001,BD!$A$3:$A$5001,Z$3,BD!$B$3:$B$5001,$A$133)))</f>
        <v/>
      </c>
      <c r="AA141" s="198" t="str">
        <f>IF(AA$3="","",IF(COUNTIFS(BD!$A$3:$A$5001,AA$3,BD!$B$3:$B$5001,$A$133,BD!$Y$3:$Y$5001,"&lt;&gt;")=0,"",SUMIFS(BD!$Y$3:$Y$5001,BD!$A$3:$A$5001,AA$3,BD!$B$3:$B$5001,$A$133)))</f>
        <v/>
      </c>
      <c r="AB141" s="198" t="str">
        <f>IF(AB$3="","",IF(COUNTIFS(BD!$A$3:$A$5001,AB$3,BD!$B$3:$B$5001,$A$133,BD!$Y$3:$Y$5001,"&lt;&gt;")=0,"",SUMIFS(BD!$Y$3:$Y$5001,BD!$A$3:$A$5001,AB$3,BD!$B$3:$B$5001,$A$133)))</f>
        <v/>
      </c>
      <c r="AC141" s="198" t="str">
        <f>IF(AC$3="","",IF(COUNTIFS(BD!$A$3:$A$5001,AC$3,BD!$B$3:$B$5001,$A$133,BD!$Y$3:$Y$5001,"&lt;&gt;")=0,"",SUMIFS(BD!$Y$3:$Y$5001,BD!$A$3:$A$5001,AC$3,BD!$B$3:$B$5001,$A$133)))</f>
        <v/>
      </c>
      <c r="AD141" s="198" t="str">
        <f>IF(AD$3="","",IF(COUNTIFS(BD!$A$3:$A$5001,AD$3,BD!$B$3:$B$5001,$A$133,BD!$Y$3:$Y$5001,"&lt;&gt;")=0,"",SUMIFS(BD!$Y$3:$Y$5001,BD!$A$3:$A$5001,AD$3,BD!$B$3:$B$5001,$A$133)))</f>
        <v/>
      </c>
      <c r="AE141" s="198" t="str">
        <f>IF(AE$3="","",IF(COUNTIFS(BD!$A$3:$A$5001,AE$3,BD!$B$3:$B$5001,$A$133,BD!$Y$3:$Y$5001,"&lt;&gt;")=0,"",SUMIFS(BD!$Y$3:$Y$5001,BD!$A$3:$A$5001,AE$3,BD!$B$3:$B$5001,$A$133)))</f>
        <v/>
      </c>
      <c r="AF141" s="198" t="str">
        <f>IF(AF$3="","",IF(COUNTIFS(BD!$A$3:$A$5001,AF$3,BD!$B$3:$B$5001,$A$133,BD!$Y$3:$Y$5001,"&lt;&gt;")=0,"",SUMIFS(BD!$Y$3:$Y$5001,BD!$A$3:$A$5001,AF$3,BD!$B$3:$B$5001,$A$133)))</f>
        <v/>
      </c>
      <c r="AG141" s="198" t="str">
        <f>IF(AG$3="","",IF(COUNTIFS(BD!$A$3:$A$5001,AG$3,BD!$B$3:$B$5001,$A$133,BD!$Y$3:$Y$5001,"&lt;&gt;")=0,"",SUMIFS(BD!$Y$3:$Y$5001,BD!$A$3:$A$5001,AG$3,BD!$B$3:$B$5001,$A$133)))</f>
        <v/>
      </c>
      <c r="AH141" s="198" t="str">
        <f>IF(AH$3="","",IF(COUNTIFS(BD!$A$3:$A$5001,AH$3,BD!$B$3:$B$5001,$A$133,BD!$Y$3:$Y$5001,"&lt;&gt;")=0,"",SUMIFS(BD!$Y$3:$Y$5001,BD!$A$3:$A$5001,AH$3,BD!$B$3:$B$5001,$A$133)))</f>
        <v/>
      </c>
      <c r="AI141" s="198" t="str">
        <f>IF(AI$3="","",IF(COUNTIFS(BD!$A$3:$A$5001,AI$3,BD!$B$3:$B$5001,$A$133,BD!$Y$3:$Y$5001,"&lt;&gt;")=0,"",SUMIFS(BD!$Y$3:$Y$5001,BD!$A$3:$A$5001,AI$3,BD!$B$3:$B$5001,$A$133)))</f>
        <v/>
      </c>
      <c r="AJ141" s="199" t="str">
        <f>IF(AJ$3="","",IF(COUNTIFS(BD!$A$3:$A$5001,AJ$3,BD!$B$3:$B$5001,$A$133,BD!$Y$3:$Y$5001,"&lt;&gt;")=0,"",SUMIFS(BD!$Y$3:$Y$5001,BD!$A$3:$A$5001,AJ$3,BD!$B$3:$B$5001,$A$133)))</f>
        <v/>
      </c>
      <c r="AK141" s="200" t="str">
        <f>IFERROR(LOOKUP(9.99E+307,F141:AJ141),"")</f>
        <v/>
      </c>
    </row>
    <row r="142" ht="15.75" customHeight="1">
      <c r="A142" s="237"/>
      <c r="B142" s="226"/>
      <c r="C142" s="155" t="inlineStr">
        <is>
          <t xml:space="preserve">Taxa de Ocupação</t>
        </is>
      </c>
      <c r="D142" s="201" t="str">
        <f>IFERROR(1/(1/INDEX(BD!$AK$46:$AU$46,MATCH($A$133,BD!$AK$22:$AU$22,0))),"")</f>
        <v/>
      </c>
      <c r="E142" s="157"/>
      <c r="F142" s="202" t="str">
        <f>IF(AND(ISNUMBER(F140),ISNUMBER(F141)),IF(F140&gt;0,F141/F140,""),"")</f>
        <v/>
      </c>
      <c r="G142" s="203" t="str">
        <f>IF(AND(ISNUMBER(G140),ISNUMBER(G141)),IF(G140&gt;0,G141/G140,""),"")</f>
        <v/>
      </c>
      <c r="H142" s="203" t="str">
        <f>IF(AND(ISNUMBER(H140),ISNUMBER(H141)),IF(H140&gt;0,H141/H140,""),"")</f>
        <v/>
      </c>
      <c r="I142" s="203" t="str">
        <f>IF(AND(ISNUMBER(I140),ISNUMBER(I141)),IF(I140&gt;0,I141/I140,""),"")</f>
        <v/>
      </c>
      <c r="J142" s="203" t="str">
        <f>IF(AND(ISNUMBER(J140),ISNUMBER(J141)),IF(J140&gt;0,J141/J140,""),"")</f>
        <v/>
      </c>
      <c r="K142" s="203" t="str">
        <f>IF(AND(ISNUMBER(K140),ISNUMBER(K141)),IF(K140&gt;0,K141/K140,""),"")</f>
        <v/>
      </c>
      <c r="L142" s="203" t="str">
        <f>IF(AND(ISNUMBER(L140),ISNUMBER(L141)),IF(L140&gt;0,L141/L140,""),"")</f>
        <v/>
      </c>
      <c r="M142" s="203" t="str">
        <f>IF(AND(ISNUMBER(M140),ISNUMBER(M141)),IF(M140&gt;0,M141/M140,""),"")</f>
        <v/>
      </c>
      <c r="N142" s="203" t="str">
        <f>IF(AND(ISNUMBER(N140),ISNUMBER(N141)),IF(N140&gt;0,N141/N140,""),"")</f>
        <v/>
      </c>
      <c r="O142" s="203" t="str">
        <f>IF(AND(ISNUMBER(O140),ISNUMBER(O141)),IF(O140&gt;0,O141/O140,""),"")</f>
        <v/>
      </c>
      <c r="P142" s="203" t="str">
        <f>IF(AND(ISNUMBER(P140),ISNUMBER(P141)),IF(P140&gt;0,P141/P140,""),"")</f>
        <v/>
      </c>
      <c r="Q142" s="203" t="str">
        <f>IF(AND(ISNUMBER(Q140),ISNUMBER(Q141)),IF(Q140&gt;0,Q141/Q140,""),"")</f>
        <v/>
      </c>
      <c r="R142" s="203" t="str">
        <f>IF(AND(ISNUMBER(R140),ISNUMBER(R141)),IF(R140&gt;0,R141/R140,""),"")</f>
        <v/>
      </c>
      <c r="S142" s="203" t="str">
        <f>IF(AND(ISNUMBER(S140),ISNUMBER(S141)),IF(S140&gt;0,S141/S140,""),"")</f>
        <v/>
      </c>
      <c r="T142" s="203" t="str">
        <f>IF(AND(ISNUMBER(T140),ISNUMBER(T141)),IF(T140&gt;0,T141/T140,""),"")</f>
        <v/>
      </c>
      <c r="U142" s="203" t="str">
        <f>IF(AND(ISNUMBER(U140),ISNUMBER(U141)),IF(U140&gt;0,U141/U140,""),"")</f>
        <v/>
      </c>
      <c r="V142" s="203" t="str">
        <f>IF(AND(ISNUMBER(V140),ISNUMBER(V141)),IF(V140&gt;0,V141/V140,""),"")</f>
        <v/>
      </c>
      <c r="W142" s="203" t="str">
        <f>IF(AND(ISNUMBER(W140),ISNUMBER(W141)),IF(W140&gt;0,W141/W140,""),"")</f>
        <v/>
      </c>
      <c r="X142" s="203" t="str">
        <f>IF(AND(ISNUMBER(X140),ISNUMBER(X141)),IF(X140&gt;0,X141/X140,""),"")</f>
        <v/>
      </c>
      <c r="Y142" s="203" t="str">
        <f>IF(AND(ISNUMBER(Y140),ISNUMBER(Y141)),IF(Y140&gt;0,Y141/Y140,""),"")</f>
        <v/>
      </c>
      <c r="Z142" s="203" t="str">
        <f>IF(AND(ISNUMBER(Z140),ISNUMBER(Z141)),IF(Z140&gt;0,Z141/Z140,""),"")</f>
        <v/>
      </c>
      <c r="AA142" s="203" t="str">
        <f>IF(AND(ISNUMBER(AA140),ISNUMBER(AA141)),IF(AA140&gt;0,AA141/AA140,""),"")</f>
        <v/>
      </c>
      <c r="AB142" s="203" t="str">
        <f>IF(AND(ISNUMBER(AB140),ISNUMBER(AB141)),IF(AB140&gt;0,AB141/AB140,""),"")</f>
        <v/>
      </c>
      <c r="AC142" s="203" t="str">
        <f>IF(AND(ISNUMBER(AC140),ISNUMBER(AC141)),IF(AC140&gt;0,AC141/AC140,""),"")</f>
        <v/>
      </c>
      <c r="AD142" s="203" t="str">
        <f>IF(AND(ISNUMBER(AD140),ISNUMBER(AD141)),IF(AD140&gt;0,AD141/AD140,""),"")</f>
        <v/>
      </c>
      <c r="AE142" s="203" t="str">
        <f>IF(AND(ISNUMBER(AE140),ISNUMBER(AE141)),IF(AE140&gt;0,AE141/AE140,""),"")</f>
        <v/>
      </c>
      <c r="AF142" s="203" t="str">
        <f>IF(AND(ISNUMBER(AF140),ISNUMBER(AF141)),IF(AF140&gt;0,AF141/AF140,""),"")</f>
        <v/>
      </c>
      <c r="AG142" s="203" t="str">
        <f>IF(AND(ISNUMBER(AG140),ISNUMBER(AG141)),IF(AG140&gt;0,AG141/AG140,""),"")</f>
        <v/>
      </c>
      <c r="AH142" s="203" t="str">
        <f>IF(AND(ISNUMBER(AH140),ISNUMBER(AH141)),IF(AH140&gt;0,AH141/AH140,""),"")</f>
        <v/>
      </c>
      <c r="AI142" s="203" t="str">
        <f>IF(AND(ISNUMBER(AI140),ISNUMBER(AI141)),IF(AI140&gt;0,AI141/AI140,""),"")</f>
        <v/>
      </c>
      <c r="AJ142" s="204" t="str">
        <f>IF(AND(ISNUMBER(AJ140),ISNUMBER(AJ141)),IF(AJ140&gt;0,AJ141/AJ140,""),"")</f>
        <v/>
      </c>
      <c r="AK142" s="201" t="str">
        <f>IF(AND(ISNUMBER(AK140),ISNUMBER(AK141)),IF(AK140&gt;0,AK141/AK140,""),"")</f>
        <v/>
      </c>
    </row>
    <row r="143" ht="15.75" customHeight="1">
      <c r="A143" s="237"/>
      <c r="B143" s="233" t="inlineStr">
        <is>
          <t xml:space="preserve">GENTE</t>
        </is>
      </c>
      <c r="C143" s="205" t="inlineStr">
        <is>
          <t xml:space="preserve">Efetivo Op.</t>
        </is>
      </c>
      <c r="D143" s="206" t="str">
        <f>IFERROR(1/(1/INDEX(BD!$AK$47:$AU$47,MATCH($A$133,BD!$AK$22:$AU$22,0))),"")</f>
        <v/>
      </c>
      <c r="E143" s="207"/>
      <c r="F143" s="208" t="str">
        <f>IF(F$3="","",IF(COUNTIFS(BD!$A$3:$A$5001,F$3,BD!$B$3:$B$5001,$A$133,BD!$Z$3:$Z$5001,"&lt;&gt;")=0,"",SUMIFS(BD!$Z$3:$Z$5001,BD!$A$3:$A$5001,F$3,BD!$B$3:$B$5001,$A$133)))</f>
        <v/>
      </c>
      <c r="G143" s="209" t="str">
        <f>IF(G$3="","",IF(COUNTIFS(BD!$A$3:$A$5001,G$3,BD!$B$3:$B$5001,$A$133,BD!$Z$3:$Z$5001,"&lt;&gt;")=0,"",SUMIFS(BD!$Z$3:$Z$5001,BD!$A$3:$A$5001,G$3,BD!$B$3:$B$5001,$A$133)))</f>
        <v/>
      </c>
      <c r="H143" s="209" t="str">
        <f>IF(H$3="","",IF(COUNTIFS(BD!$A$3:$A$5001,H$3,BD!$B$3:$B$5001,$A$133,BD!$Z$3:$Z$5001,"&lt;&gt;")=0,"",SUMIFS(BD!$Z$3:$Z$5001,BD!$A$3:$A$5001,H$3,BD!$B$3:$B$5001,$A$133)))</f>
        <v/>
      </c>
      <c r="I143" s="209" t="str">
        <f>IF(I$3="","",IF(COUNTIFS(BD!$A$3:$A$5001,I$3,BD!$B$3:$B$5001,$A$133,BD!$Z$3:$Z$5001,"&lt;&gt;")=0,"",SUMIFS(BD!$Z$3:$Z$5001,BD!$A$3:$A$5001,I$3,BD!$B$3:$B$5001,$A$133)))</f>
        <v/>
      </c>
      <c r="J143" s="209" t="str">
        <f>IF(J$3="","",IF(COUNTIFS(BD!$A$3:$A$5001,J$3,BD!$B$3:$B$5001,$A$133,BD!$Z$3:$Z$5001,"&lt;&gt;")=0,"",SUMIFS(BD!$Z$3:$Z$5001,BD!$A$3:$A$5001,J$3,BD!$B$3:$B$5001,$A$133)))</f>
        <v/>
      </c>
      <c r="K143" s="209" t="str">
        <f>IF(K$3="","",IF(COUNTIFS(BD!$A$3:$A$5001,K$3,BD!$B$3:$B$5001,$A$133,BD!$Z$3:$Z$5001,"&lt;&gt;")=0,"",SUMIFS(BD!$Z$3:$Z$5001,BD!$A$3:$A$5001,K$3,BD!$B$3:$B$5001,$A$133)))</f>
        <v/>
      </c>
      <c r="L143" s="209" t="str">
        <f>IF(L$3="","",IF(COUNTIFS(BD!$A$3:$A$5001,L$3,BD!$B$3:$B$5001,$A$133,BD!$Z$3:$Z$5001,"&lt;&gt;")=0,"",SUMIFS(BD!$Z$3:$Z$5001,BD!$A$3:$A$5001,L$3,BD!$B$3:$B$5001,$A$133)))</f>
        <v/>
      </c>
      <c r="M143" s="209" t="str">
        <f>IF(M$3="","",IF(COUNTIFS(BD!$A$3:$A$5001,M$3,BD!$B$3:$B$5001,$A$133,BD!$Z$3:$Z$5001,"&lt;&gt;")=0,"",SUMIFS(BD!$Z$3:$Z$5001,BD!$A$3:$A$5001,M$3,BD!$B$3:$B$5001,$A$133)))</f>
        <v/>
      </c>
      <c r="N143" s="209" t="str">
        <f>IF(N$3="","",IF(COUNTIFS(BD!$A$3:$A$5001,N$3,BD!$B$3:$B$5001,$A$133,BD!$Z$3:$Z$5001,"&lt;&gt;")=0,"",SUMIFS(BD!$Z$3:$Z$5001,BD!$A$3:$A$5001,N$3,BD!$B$3:$B$5001,$A$133)))</f>
        <v/>
      </c>
      <c r="O143" s="209" t="str">
        <f>IF(O$3="","",IF(COUNTIFS(BD!$A$3:$A$5001,O$3,BD!$B$3:$B$5001,$A$133,BD!$Z$3:$Z$5001,"&lt;&gt;")=0,"",SUMIFS(BD!$Z$3:$Z$5001,BD!$A$3:$A$5001,O$3,BD!$B$3:$B$5001,$A$133)))</f>
        <v/>
      </c>
      <c r="P143" s="209" t="str">
        <f>IF(P$3="","",IF(COUNTIFS(BD!$A$3:$A$5001,P$3,BD!$B$3:$B$5001,$A$133,BD!$Z$3:$Z$5001,"&lt;&gt;")=0,"",SUMIFS(BD!$Z$3:$Z$5001,BD!$A$3:$A$5001,P$3,BD!$B$3:$B$5001,$A$133)))</f>
        <v/>
      </c>
      <c r="Q143" s="209" t="str">
        <f>IF(Q$3="","",IF(COUNTIFS(BD!$A$3:$A$5001,Q$3,BD!$B$3:$B$5001,$A$133,BD!$Z$3:$Z$5001,"&lt;&gt;")=0,"",SUMIFS(BD!$Z$3:$Z$5001,BD!$A$3:$A$5001,Q$3,BD!$B$3:$B$5001,$A$133)))</f>
        <v/>
      </c>
      <c r="R143" s="209" t="str">
        <f>IF(R$3="","",IF(COUNTIFS(BD!$A$3:$A$5001,R$3,BD!$B$3:$B$5001,$A$133,BD!$Z$3:$Z$5001,"&lt;&gt;")=0,"",SUMIFS(BD!$Z$3:$Z$5001,BD!$A$3:$A$5001,R$3,BD!$B$3:$B$5001,$A$133)))</f>
        <v/>
      </c>
      <c r="S143" s="209" t="str">
        <f>IF(S$3="","",IF(COUNTIFS(BD!$A$3:$A$5001,S$3,BD!$B$3:$B$5001,$A$133,BD!$Z$3:$Z$5001,"&lt;&gt;")=0,"",SUMIFS(BD!$Z$3:$Z$5001,BD!$A$3:$A$5001,S$3,BD!$B$3:$B$5001,$A$133)))</f>
        <v/>
      </c>
      <c r="T143" s="209" t="str">
        <f>IF(T$3="","",IF(COUNTIFS(BD!$A$3:$A$5001,T$3,BD!$B$3:$B$5001,$A$133,BD!$Z$3:$Z$5001,"&lt;&gt;")=0,"",SUMIFS(BD!$Z$3:$Z$5001,BD!$A$3:$A$5001,T$3,BD!$B$3:$B$5001,$A$133)))</f>
        <v/>
      </c>
      <c r="U143" s="209" t="str">
        <f>IF(U$3="","",IF(COUNTIFS(BD!$A$3:$A$5001,U$3,BD!$B$3:$B$5001,$A$133,BD!$Z$3:$Z$5001,"&lt;&gt;")=0,"",SUMIFS(BD!$Z$3:$Z$5001,BD!$A$3:$A$5001,U$3,BD!$B$3:$B$5001,$A$133)))</f>
        <v/>
      </c>
      <c r="V143" s="209" t="str">
        <f>IF(V$3="","",IF(COUNTIFS(BD!$A$3:$A$5001,V$3,BD!$B$3:$B$5001,$A$133,BD!$Z$3:$Z$5001,"&lt;&gt;")=0,"",SUMIFS(BD!$Z$3:$Z$5001,BD!$A$3:$A$5001,V$3,BD!$B$3:$B$5001,$A$133)))</f>
        <v/>
      </c>
      <c r="W143" s="209" t="str">
        <f>IF(W$3="","",IF(COUNTIFS(BD!$A$3:$A$5001,W$3,BD!$B$3:$B$5001,$A$133,BD!$Z$3:$Z$5001,"&lt;&gt;")=0,"",SUMIFS(BD!$Z$3:$Z$5001,BD!$A$3:$A$5001,W$3,BD!$B$3:$B$5001,$A$133)))</f>
        <v/>
      </c>
      <c r="X143" s="209" t="str">
        <f>IF(X$3="","",IF(COUNTIFS(BD!$A$3:$A$5001,X$3,BD!$B$3:$B$5001,$A$133,BD!$Z$3:$Z$5001,"&lt;&gt;")=0,"",SUMIFS(BD!$Z$3:$Z$5001,BD!$A$3:$A$5001,X$3,BD!$B$3:$B$5001,$A$133)))</f>
        <v/>
      </c>
      <c r="Y143" s="209" t="str">
        <f>IF(Y$3="","",IF(COUNTIFS(BD!$A$3:$A$5001,Y$3,BD!$B$3:$B$5001,$A$133,BD!$Z$3:$Z$5001,"&lt;&gt;")=0,"",SUMIFS(BD!$Z$3:$Z$5001,BD!$A$3:$A$5001,Y$3,BD!$B$3:$B$5001,$A$133)))</f>
        <v/>
      </c>
      <c r="Z143" s="209" t="str">
        <f>IF(Z$3="","",IF(COUNTIFS(BD!$A$3:$A$5001,Z$3,BD!$B$3:$B$5001,$A$133,BD!$Z$3:$Z$5001,"&lt;&gt;")=0,"",SUMIFS(BD!$Z$3:$Z$5001,BD!$A$3:$A$5001,Z$3,BD!$B$3:$B$5001,$A$133)))</f>
        <v/>
      </c>
      <c r="AA143" s="209" t="str">
        <f>IF(AA$3="","",IF(COUNTIFS(BD!$A$3:$A$5001,AA$3,BD!$B$3:$B$5001,$A$133,BD!$Z$3:$Z$5001,"&lt;&gt;")=0,"",SUMIFS(BD!$Z$3:$Z$5001,BD!$A$3:$A$5001,AA$3,BD!$B$3:$B$5001,$A$133)))</f>
        <v/>
      </c>
      <c r="AB143" s="209" t="str">
        <f>IF(AB$3="","",IF(COUNTIFS(BD!$A$3:$A$5001,AB$3,BD!$B$3:$B$5001,$A$133,BD!$Z$3:$Z$5001,"&lt;&gt;")=0,"",SUMIFS(BD!$Z$3:$Z$5001,BD!$A$3:$A$5001,AB$3,BD!$B$3:$B$5001,$A$133)))</f>
        <v/>
      </c>
      <c r="AC143" s="209" t="str">
        <f>IF(AC$3="","",IF(COUNTIFS(BD!$A$3:$A$5001,AC$3,BD!$B$3:$B$5001,$A$133,BD!$Z$3:$Z$5001,"&lt;&gt;")=0,"",SUMIFS(BD!$Z$3:$Z$5001,BD!$A$3:$A$5001,AC$3,BD!$B$3:$B$5001,$A$133)))</f>
        <v/>
      </c>
      <c r="AD143" s="209" t="str">
        <f>IF(AD$3="","",IF(COUNTIFS(BD!$A$3:$A$5001,AD$3,BD!$B$3:$B$5001,$A$133,BD!$Z$3:$Z$5001,"&lt;&gt;")=0,"",SUMIFS(BD!$Z$3:$Z$5001,BD!$A$3:$A$5001,AD$3,BD!$B$3:$B$5001,$A$133)))</f>
        <v/>
      </c>
      <c r="AE143" s="209" t="str">
        <f>IF(AE$3="","",IF(COUNTIFS(BD!$A$3:$A$5001,AE$3,BD!$B$3:$B$5001,$A$133,BD!$Z$3:$Z$5001,"&lt;&gt;")=0,"",SUMIFS(BD!$Z$3:$Z$5001,BD!$A$3:$A$5001,AE$3,BD!$B$3:$B$5001,$A$133)))</f>
        <v/>
      </c>
      <c r="AF143" s="209" t="str">
        <f>IF(AF$3="","",IF(COUNTIFS(BD!$A$3:$A$5001,AF$3,BD!$B$3:$B$5001,$A$133,BD!$Z$3:$Z$5001,"&lt;&gt;")=0,"",SUMIFS(BD!$Z$3:$Z$5001,BD!$A$3:$A$5001,AF$3,BD!$B$3:$B$5001,$A$133)))</f>
        <v/>
      </c>
      <c r="AG143" s="209" t="str">
        <f>IF(AG$3="","",IF(COUNTIFS(BD!$A$3:$A$5001,AG$3,BD!$B$3:$B$5001,$A$133,BD!$Z$3:$Z$5001,"&lt;&gt;")=0,"",SUMIFS(BD!$Z$3:$Z$5001,BD!$A$3:$A$5001,AG$3,BD!$B$3:$B$5001,$A$133)))</f>
        <v/>
      </c>
      <c r="AH143" s="209" t="str">
        <f>IF(AH$3="","",IF(COUNTIFS(BD!$A$3:$A$5001,AH$3,BD!$B$3:$B$5001,$A$133,BD!$Z$3:$Z$5001,"&lt;&gt;")=0,"",SUMIFS(BD!$Z$3:$Z$5001,BD!$A$3:$A$5001,AH$3,BD!$B$3:$B$5001,$A$133)))</f>
        <v/>
      </c>
      <c r="AI143" s="209" t="str">
        <f>IF(AI$3="","",IF(COUNTIFS(BD!$A$3:$A$5001,AI$3,BD!$B$3:$B$5001,$A$133,BD!$Z$3:$Z$5001,"&lt;&gt;")=0,"",SUMIFS(BD!$Z$3:$Z$5001,BD!$A$3:$A$5001,AI$3,BD!$B$3:$B$5001,$A$133)))</f>
        <v/>
      </c>
      <c r="AJ143" s="210" t="str">
        <f>IF(AJ$3="","",IF(COUNTIFS(BD!$A$3:$A$5001,AJ$3,BD!$B$3:$B$5001,$A$133,BD!$Z$3:$Z$5001,"&lt;&gt;")=0,"",SUMIFS(BD!$Z$3:$Z$5001,BD!$A$3:$A$5001,AJ$3,BD!$B$3:$B$5001,$A$133)))</f>
        <v/>
      </c>
      <c r="AK143" s="211" t="str">
        <f>IFERROR(LOOKUP(9.99E+307,F143:AJ143),"")</f>
        <v/>
      </c>
    </row>
    <row r="144" ht="15.75" customHeight="1">
      <c r="A144" s="237"/>
      <c r="B144" s="234"/>
      <c r="C144" s="212" t="inlineStr">
        <is>
          <t xml:space="preserve">Falta</t>
        </is>
      </c>
      <c r="D144" s="213" t="str">
        <f>IFERROR(1/(1/INDEX(BD!$AK$48:$AU$48,MATCH($A$133,BD!$AK$22:$AU$22,0))),"")</f>
        <v/>
      </c>
      <c r="E144" s="214"/>
      <c r="F144" s="215" t="str">
        <f>IF(F$3="","",IF(COUNTIFS(BD!$A$3:$A$5001,F$3,BD!$B$3:$B$5001,$A$133,BD!$AA$3:$AA$5001,"&lt;&gt;")=0,"",SUMIFS(BD!$AA$3:$AA$5001,BD!$A$3:$A$5001,F$3,BD!$B$3:$B$5001,$A$133)))</f>
        <v/>
      </c>
      <c r="G144" s="216" t="str">
        <f>IF(G$3="","",IF(COUNTIFS(BD!$A$3:$A$5001,G$3,BD!$B$3:$B$5001,$A$133,BD!$AA$3:$AA$5001,"&lt;&gt;")=0,"",SUMIFS(BD!$AA$3:$AA$5001,BD!$A$3:$A$5001,G$3,BD!$B$3:$B$5001,$A$133)))</f>
        <v/>
      </c>
      <c r="H144" s="216" t="str">
        <f>IF(H$3="","",IF(COUNTIFS(BD!$A$3:$A$5001,H$3,BD!$B$3:$B$5001,$A$133,BD!$AA$3:$AA$5001,"&lt;&gt;")=0,"",SUMIFS(BD!$AA$3:$AA$5001,BD!$A$3:$A$5001,H$3,BD!$B$3:$B$5001,$A$133)))</f>
        <v/>
      </c>
      <c r="I144" s="216" t="str">
        <f>IF(I$3="","",IF(COUNTIFS(BD!$A$3:$A$5001,I$3,BD!$B$3:$B$5001,$A$133,BD!$AA$3:$AA$5001,"&lt;&gt;")=0,"",SUMIFS(BD!$AA$3:$AA$5001,BD!$A$3:$A$5001,I$3,BD!$B$3:$B$5001,$A$133)))</f>
        <v/>
      </c>
      <c r="J144" s="216" t="str">
        <f>IF(J$3="","",IF(COUNTIFS(BD!$A$3:$A$5001,J$3,BD!$B$3:$B$5001,$A$133,BD!$AA$3:$AA$5001,"&lt;&gt;")=0,"",SUMIFS(BD!$AA$3:$AA$5001,BD!$A$3:$A$5001,J$3,BD!$B$3:$B$5001,$A$133)))</f>
        <v/>
      </c>
      <c r="K144" s="216" t="str">
        <f>IF(K$3="","",IF(COUNTIFS(BD!$A$3:$A$5001,K$3,BD!$B$3:$B$5001,$A$133,BD!$AA$3:$AA$5001,"&lt;&gt;")=0,"",SUMIFS(BD!$AA$3:$AA$5001,BD!$A$3:$A$5001,K$3,BD!$B$3:$B$5001,$A$133)))</f>
        <v/>
      </c>
      <c r="L144" s="216" t="str">
        <f>IF(L$3="","",IF(COUNTIFS(BD!$A$3:$A$5001,L$3,BD!$B$3:$B$5001,$A$133,BD!$AA$3:$AA$5001,"&lt;&gt;")=0,"",SUMIFS(BD!$AA$3:$AA$5001,BD!$A$3:$A$5001,L$3,BD!$B$3:$B$5001,$A$133)))</f>
        <v/>
      </c>
      <c r="M144" s="216" t="str">
        <f>IF(M$3="","",IF(COUNTIFS(BD!$A$3:$A$5001,M$3,BD!$B$3:$B$5001,$A$133,BD!$AA$3:$AA$5001,"&lt;&gt;")=0,"",SUMIFS(BD!$AA$3:$AA$5001,BD!$A$3:$A$5001,M$3,BD!$B$3:$B$5001,$A$133)))</f>
        <v/>
      </c>
      <c r="N144" s="216" t="str">
        <f>IF(N$3="","",IF(COUNTIFS(BD!$A$3:$A$5001,N$3,BD!$B$3:$B$5001,$A$133,BD!$AA$3:$AA$5001,"&lt;&gt;")=0,"",SUMIFS(BD!$AA$3:$AA$5001,BD!$A$3:$A$5001,N$3,BD!$B$3:$B$5001,$A$133)))</f>
        <v/>
      </c>
      <c r="O144" s="216" t="str">
        <f>IF(O$3="","",IF(COUNTIFS(BD!$A$3:$A$5001,O$3,BD!$B$3:$B$5001,$A$133,BD!$AA$3:$AA$5001,"&lt;&gt;")=0,"",SUMIFS(BD!$AA$3:$AA$5001,BD!$A$3:$A$5001,O$3,BD!$B$3:$B$5001,$A$133)))</f>
        <v/>
      </c>
      <c r="P144" s="216" t="str">
        <f>IF(P$3="","",IF(COUNTIFS(BD!$A$3:$A$5001,P$3,BD!$B$3:$B$5001,$A$133,BD!$AA$3:$AA$5001,"&lt;&gt;")=0,"",SUMIFS(BD!$AA$3:$AA$5001,BD!$A$3:$A$5001,P$3,BD!$B$3:$B$5001,$A$133)))</f>
        <v/>
      </c>
      <c r="Q144" s="216" t="str">
        <f>IF(Q$3="","",IF(COUNTIFS(BD!$A$3:$A$5001,Q$3,BD!$B$3:$B$5001,$A$133,BD!$AA$3:$AA$5001,"&lt;&gt;")=0,"",SUMIFS(BD!$AA$3:$AA$5001,BD!$A$3:$A$5001,Q$3,BD!$B$3:$B$5001,$A$133)))</f>
        <v/>
      </c>
      <c r="R144" s="216" t="str">
        <f>IF(R$3="","",IF(COUNTIFS(BD!$A$3:$A$5001,R$3,BD!$B$3:$B$5001,$A$133,BD!$AA$3:$AA$5001,"&lt;&gt;")=0,"",SUMIFS(BD!$AA$3:$AA$5001,BD!$A$3:$A$5001,R$3,BD!$B$3:$B$5001,$A$133)))</f>
        <v/>
      </c>
      <c r="S144" s="216" t="str">
        <f>IF(S$3="","",IF(COUNTIFS(BD!$A$3:$A$5001,S$3,BD!$B$3:$B$5001,$A$133,BD!$AA$3:$AA$5001,"&lt;&gt;")=0,"",SUMIFS(BD!$AA$3:$AA$5001,BD!$A$3:$A$5001,S$3,BD!$B$3:$B$5001,$A$133)))</f>
        <v/>
      </c>
      <c r="T144" s="216" t="str">
        <f>IF(T$3="","",IF(COUNTIFS(BD!$A$3:$A$5001,T$3,BD!$B$3:$B$5001,$A$133,BD!$AA$3:$AA$5001,"&lt;&gt;")=0,"",SUMIFS(BD!$AA$3:$AA$5001,BD!$A$3:$A$5001,T$3,BD!$B$3:$B$5001,$A$133)))</f>
        <v/>
      </c>
      <c r="U144" s="216" t="str">
        <f>IF(U$3="","",IF(COUNTIFS(BD!$A$3:$A$5001,U$3,BD!$B$3:$B$5001,$A$133,BD!$AA$3:$AA$5001,"&lt;&gt;")=0,"",SUMIFS(BD!$AA$3:$AA$5001,BD!$A$3:$A$5001,U$3,BD!$B$3:$B$5001,$A$133)))</f>
        <v/>
      </c>
      <c r="V144" s="216" t="str">
        <f>IF(V$3="","",IF(COUNTIFS(BD!$A$3:$A$5001,V$3,BD!$B$3:$B$5001,$A$133,BD!$AA$3:$AA$5001,"&lt;&gt;")=0,"",SUMIFS(BD!$AA$3:$AA$5001,BD!$A$3:$A$5001,V$3,BD!$B$3:$B$5001,$A$133)))</f>
        <v/>
      </c>
      <c r="W144" s="216" t="str">
        <f>IF(W$3="","",IF(COUNTIFS(BD!$A$3:$A$5001,W$3,BD!$B$3:$B$5001,$A$133,BD!$AA$3:$AA$5001,"&lt;&gt;")=0,"",SUMIFS(BD!$AA$3:$AA$5001,BD!$A$3:$A$5001,W$3,BD!$B$3:$B$5001,$A$133)))</f>
        <v/>
      </c>
      <c r="X144" s="216" t="str">
        <f>IF(X$3="","",IF(COUNTIFS(BD!$A$3:$A$5001,X$3,BD!$B$3:$B$5001,$A$133,BD!$AA$3:$AA$5001,"&lt;&gt;")=0,"",SUMIFS(BD!$AA$3:$AA$5001,BD!$A$3:$A$5001,X$3,BD!$B$3:$B$5001,$A$133)))</f>
        <v/>
      </c>
      <c r="Y144" s="216" t="str">
        <f>IF(Y$3="","",IF(COUNTIFS(BD!$A$3:$A$5001,Y$3,BD!$B$3:$B$5001,$A$133,BD!$AA$3:$AA$5001,"&lt;&gt;")=0,"",SUMIFS(BD!$AA$3:$AA$5001,BD!$A$3:$A$5001,Y$3,BD!$B$3:$B$5001,$A$133)))</f>
        <v/>
      </c>
      <c r="Z144" s="216" t="str">
        <f>IF(Z$3="","",IF(COUNTIFS(BD!$A$3:$A$5001,Z$3,BD!$B$3:$B$5001,$A$133,BD!$AA$3:$AA$5001,"&lt;&gt;")=0,"",SUMIFS(BD!$AA$3:$AA$5001,BD!$A$3:$A$5001,Z$3,BD!$B$3:$B$5001,$A$133)))</f>
        <v/>
      </c>
      <c r="AA144" s="216" t="str">
        <f>IF(AA$3="","",IF(COUNTIFS(BD!$A$3:$A$5001,AA$3,BD!$B$3:$B$5001,$A$133,BD!$AA$3:$AA$5001,"&lt;&gt;")=0,"",SUMIFS(BD!$AA$3:$AA$5001,BD!$A$3:$A$5001,AA$3,BD!$B$3:$B$5001,$A$133)))</f>
        <v/>
      </c>
      <c r="AB144" s="216" t="str">
        <f>IF(AB$3="","",IF(COUNTIFS(BD!$A$3:$A$5001,AB$3,BD!$B$3:$B$5001,$A$133,BD!$AA$3:$AA$5001,"&lt;&gt;")=0,"",SUMIFS(BD!$AA$3:$AA$5001,BD!$A$3:$A$5001,AB$3,BD!$B$3:$B$5001,$A$133)))</f>
        <v/>
      </c>
      <c r="AC144" s="216" t="str">
        <f>IF(AC$3="","",IF(COUNTIFS(BD!$A$3:$A$5001,AC$3,BD!$B$3:$B$5001,$A$133,BD!$AA$3:$AA$5001,"&lt;&gt;")=0,"",SUMIFS(BD!$AA$3:$AA$5001,BD!$A$3:$A$5001,AC$3,BD!$B$3:$B$5001,$A$133)))</f>
        <v/>
      </c>
      <c r="AD144" s="216" t="str">
        <f>IF(AD$3="","",IF(COUNTIFS(BD!$A$3:$A$5001,AD$3,BD!$B$3:$B$5001,$A$133,BD!$AA$3:$AA$5001,"&lt;&gt;")=0,"",SUMIFS(BD!$AA$3:$AA$5001,BD!$A$3:$A$5001,AD$3,BD!$B$3:$B$5001,$A$133)))</f>
        <v/>
      </c>
      <c r="AE144" s="216" t="str">
        <f>IF(AE$3="","",IF(COUNTIFS(BD!$A$3:$A$5001,AE$3,BD!$B$3:$B$5001,$A$133,BD!$AA$3:$AA$5001,"&lt;&gt;")=0,"",SUMIFS(BD!$AA$3:$AA$5001,BD!$A$3:$A$5001,AE$3,BD!$B$3:$B$5001,$A$133)))</f>
        <v/>
      </c>
      <c r="AF144" s="216" t="str">
        <f>IF(AF$3="","",IF(COUNTIFS(BD!$A$3:$A$5001,AF$3,BD!$B$3:$B$5001,$A$133,BD!$AA$3:$AA$5001,"&lt;&gt;")=0,"",SUMIFS(BD!$AA$3:$AA$5001,BD!$A$3:$A$5001,AF$3,BD!$B$3:$B$5001,$A$133)))</f>
        <v/>
      </c>
      <c r="AG144" s="216" t="str">
        <f>IF(AG$3="","",IF(COUNTIFS(BD!$A$3:$A$5001,AG$3,BD!$B$3:$B$5001,$A$133,BD!$AA$3:$AA$5001,"&lt;&gt;")=0,"",SUMIFS(BD!$AA$3:$AA$5001,BD!$A$3:$A$5001,AG$3,BD!$B$3:$B$5001,$A$133)))</f>
        <v/>
      </c>
      <c r="AH144" s="216" t="str">
        <f>IF(AH$3="","",IF(COUNTIFS(BD!$A$3:$A$5001,AH$3,BD!$B$3:$B$5001,$A$133,BD!$AA$3:$AA$5001,"&lt;&gt;")=0,"",SUMIFS(BD!$AA$3:$AA$5001,BD!$A$3:$A$5001,AH$3,BD!$B$3:$B$5001,$A$133)))</f>
        <v/>
      </c>
      <c r="AI144" s="216" t="str">
        <f>IF(AI$3="","",IF(COUNTIFS(BD!$A$3:$A$5001,AI$3,BD!$B$3:$B$5001,$A$133,BD!$AA$3:$AA$5001,"&lt;&gt;")=0,"",SUMIFS(BD!$AA$3:$AA$5001,BD!$A$3:$A$5001,AI$3,BD!$B$3:$B$5001,$A$133)))</f>
        <v/>
      </c>
      <c r="AJ144" s="217" t="str">
        <f>IF(AJ$3="","",IF(COUNTIFS(BD!$A$3:$A$5001,AJ$3,BD!$B$3:$B$5001,$A$133,BD!$AA$3:$AA$5001,"&lt;&gt;")=0,"",SUMIFS(BD!$AA$3:$AA$5001,BD!$A$3:$A$5001,AJ$3,BD!$B$3:$B$5001,$A$133)))</f>
        <v/>
      </c>
      <c r="AK144" s="218" t="str">
        <f>IF(COUNT(F144:AJ144)=0,"",SUM(F144:AJ144))</f>
        <v/>
      </c>
    </row>
    <row r="145" ht="15.75" customHeight="1">
      <c r="A145" s="237"/>
      <c r="B145" s="234"/>
      <c r="C145" s="212" t="inlineStr">
        <is>
          <t xml:space="preserve">Folga</t>
        </is>
      </c>
      <c r="D145" s="213" t="str">
        <f>IFERROR(1/(1/INDEX(BD!$AK$49:$AU$49,MATCH($A$133,BD!$AK$22:$AU$22,0))),"")</f>
        <v/>
      </c>
      <c r="E145" s="214"/>
      <c r="F145" s="215" t="str">
        <f>IF(F$3="","",IF(COUNTIFS(BD!$A$3:$A$5001,F$3,BD!$B$3:$B$5001,$A$133,BD!$AB$3:$AB$5001,"&lt;&gt;")=0,"",SUMIFS(BD!$AB$3:$AB$5001,BD!$A$3:$A$5001,F$3,BD!$B$3:$B$5001,$A$133)))</f>
        <v/>
      </c>
      <c r="G145" s="216" t="str">
        <f>IF(G$3="","",IF(COUNTIFS(BD!$A$3:$A$5001,G$3,BD!$B$3:$B$5001,$A$133,BD!$AB$3:$AB$5001,"&lt;&gt;")=0,"",SUMIFS(BD!$AB$3:$AB$5001,BD!$A$3:$A$5001,G$3,BD!$B$3:$B$5001,$A$133)))</f>
        <v/>
      </c>
      <c r="H145" s="216" t="str">
        <f>IF(H$3="","",IF(COUNTIFS(BD!$A$3:$A$5001,H$3,BD!$B$3:$B$5001,$A$133,BD!$AB$3:$AB$5001,"&lt;&gt;")=0,"",SUMIFS(BD!$AB$3:$AB$5001,BD!$A$3:$A$5001,H$3,BD!$B$3:$B$5001,$A$133)))</f>
        <v/>
      </c>
      <c r="I145" s="216" t="str">
        <f>IF(I$3="","",IF(COUNTIFS(BD!$A$3:$A$5001,I$3,BD!$B$3:$B$5001,$A$133,BD!$AB$3:$AB$5001,"&lt;&gt;")=0,"",SUMIFS(BD!$AB$3:$AB$5001,BD!$A$3:$A$5001,I$3,BD!$B$3:$B$5001,$A$133)))</f>
        <v/>
      </c>
      <c r="J145" s="216" t="str">
        <f>IF(J$3="","",IF(COUNTIFS(BD!$A$3:$A$5001,J$3,BD!$B$3:$B$5001,$A$133,BD!$AB$3:$AB$5001,"&lt;&gt;")=0,"",SUMIFS(BD!$AB$3:$AB$5001,BD!$A$3:$A$5001,J$3,BD!$B$3:$B$5001,$A$133)))</f>
        <v/>
      </c>
      <c r="K145" s="216" t="str">
        <f>IF(K$3="","",IF(COUNTIFS(BD!$A$3:$A$5001,K$3,BD!$B$3:$B$5001,$A$133,BD!$AB$3:$AB$5001,"&lt;&gt;")=0,"",SUMIFS(BD!$AB$3:$AB$5001,BD!$A$3:$A$5001,K$3,BD!$B$3:$B$5001,$A$133)))</f>
        <v/>
      </c>
      <c r="L145" s="216" t="str">
        <f>IF(L$3="","",IF(COUNTIFS(BD!$A$3:$A$5001,L$3,BD!$B$3:$B$5001,$A$133,BD!$AB$3:$AB$5001,"&lt;&gt;")=0,"",SUMIFS(BD!$AB$3:$AB$5001,BD!$A$3:$A$5001,L$3,BD!$B$3:$B$5001,$A$133)))</f>
        <v/>
      </c>
      <c r="M145" s="216" t="str">
        <f>IF(M$3="","",IF(COUNTIFS(BD!$A$3:$A$5001,M$3,BD!$B$3:$B$5001,$A$133,BD!$AB$3:$AB$5001,"&lt;&gt;")=0,"",SUMIFS(BD!$AB$3:$AB$5001,BD!$A$3:$A$5001,M$3,BD!$B$3:$B$5001,$A$133)))</f>
        <v/>
      </c>
      <c r="N145" s="216" t="str">
        <f>IF(N$3="","",IF(COUNTIFS(BD!$A$3:$A$5001,N$3,BD!$B$3:$B$5001,$A$133,BD!$AB$3:$AB$5001,"&lt;&gt;")=0,"",SUMIFS(BD!$AB$3:$AB$5001,BD!$A$3:$A$5001,N$3,BD!$B$3:$B$5001,$A$133)))</f>
        <v/>
      </c>
      <c r="O145" s="216" t="str">
        <f>IF(O$3="","",IF(COUNTIFS(BD!$A$3:$A$5001,O$3,BD!$B$3:$B$5001,$A$133,BD!$AB$3:$AB$5001,"&lt;&gt;")=0,"",SUMIFS(BD!$AB$3:$AB$5001,BD!$A$3:$A$5001,O$3,BD!$B$3:$B$5001,$A$133)))</f>
        <v/>
      </c>
      <c r="P145" s="216" t="str">
        <f>IF(P$3="","",IF(COUNTIFS(BD!$A$3:$A$5001,P$3,BD!$B$3:$B$5001,$A$133,BD!$AB$3:$AB$5001,"&lt;&gt;")=0,"",SUMIFS(BD!$AB$3:$AB$5001,BD!$A$3:$A$5001,P$3,BD!$B$3:$B$5001,$A$133)))</f>
        <v/>
      </c>
      <c r="Q145" s="216" t="str">
        <f>IF(Q$3="","",IF(COUNTIFS(BD!$A$3:$A$5001,Q$3,BD!$B$3:$B$5001,$A$133,BD!$AB$3:$AB$5001,"&lt;&gt;")=0,"",SUMIFS(BD!$AB$3:$AB$5001,BD!$A$3:$A$5001,Q$3,BD!$B$3:$B$5001,$A$133)))</f>
        <v/>
      </c>
      <c r="R145" s="216" t="str">
        <f>IF(R$3="","",IF(COUNTIFS(BD!$A$3:$A$5001,R$3,BD!$B$3:$B$5001,$A$133,BD!$AB$3:$AB$5001,"&lt;&gt;")=0,"",SUMIFS(BD!$AB$3:$AB$5001,BD!$A$3:$A$5001,R$3,BD!$B$3:$B$5001,$A$133)))</f>
        <v/>
      </c>
      <c r="S145" s="216" t="str">
        <f>IF(S$3="","",IF(COUNTIFS(BD!$A$3:$A$5001,S$3,BD!$B$3:$B$5001,$A$133,BD!$AB$3:$AB$5001,"&lt;&gt;")=0,"",SUMIFS(BD!$AB$3:$AB$5001,BD!$A$3:$A$5001,S$3,BD!$B$3:$B$5001,$A$133)))</f>
        <v/>
      </c>
      <c r="T145" s="216" t="str">
        <f>IF(T$3="","",IF(COUNTIFS(BD!$A$3:$A$5001,T$3,BD!$B$3:$B$5001,$A$133,BD!$AB$3:$AB$5001,"&lt;&gt;")=0,"",SUMIFS(BD!$AB$3:$AB$5001,BD!$A$3:$A$5001,T$3,BD!$B$3:$B$5001,$A$133)))</f>
        <v/>
      </c>
      <c r="U145" s="216" t="str">
        <f>IF(U$3="","",IF(COUNTIFS(BD!$A$3:$A$5001,U$3,BD!$B$3:$B$5001,$A$133,BD!$AB$3:$AB$5001,"&lt;&gt;")=0,"",SUMIFS(BD!$AB$3:$AB$5001,BD!$A$3:$A$5001,U$3,BD!$B$3:$B$5001,$A$133)))</f>
        <v/>
      </c>
      <c r="V145" s="216" t="str">
        <f>IF(V$3="","",IF(COUNTIFS(BD!$A$3:$A$5001,V$3,BD!$B$3:$B$5001,$A$133,BD!$AB$3:$AB$5001,"&lt;&gt;")=0,"",SUMIFS(BD!$AB$3:$AB$5001,BD!$A$3:$A$5001,V$3,BD!$B$3:$B$5001,$A$133)))</f>
        <v/>
      </c>
      <c r="W145" s="216" t="str">
        <f>IF(W$3="","",IF(COUNTIFS(BD!$A$3:$A$5001,W$3,BD!$B$3:$B$5001,$A$133,BD!$AB$3:$AB$5001,"&lt;&gt;")=0,"",SUMIFS(BD!$AB$3:$AB$5001,BD!$A$3:$A$5001,W$3,BD!$B$3:$B$5001,$A$133)))</f>
        <v/>
      </c>
      <c r="X145" s="216" t="str">
        <f>IF(X$3="","",IF(COUNTIFS(BD!$A$3:$A$5001,X$3,BD!$B$3:$B$5001,$A$133,BD!$AB$3:$AB$5001,"&lt;&gt;")=0,"",SUMIFS(BD!$AB$3:$AB$5001,BD!$A$3:$A$5001,X$3,BD!$B$3:$B$5001,$A$133)))</f>
        <v/>
      </c>
      <c r="Y145" s="216" t="str">
        <f>IF(Y$3="","",IF(COUNTIFS(BD!$A$3:$A$5001,Y$3,BD!$B$3:$B$5001,$A$133,BD!$AB$3:$AB$5001,"&lt;&gt;")=0,"",SUMIFS(BD!$AB$3:$AB$5001,BD!$A$3:$A$5001,Y$3,BD!$B$3:$B$5001,$A$133)))</f>
        <v/>
      </c>
      <c r="Z145" s="216" t="str">
        <f>IF(Z$3="","",IF(COUNTIFS(BD!$A$3:$A$5001,Z$3,BD!$B$3:$B$5001,$A$133,BD!$AB$3:$AB$5001,"&lt;&gt;")=0,"",SUMIFS(BD!$AB$3:$AB$5001,BD!$A$3:$A$5001,Z$3,BD!$B$3:$B$5001,$A$133)))</f>
        <v/>
      </c>
      <c r="AA145" s="216" t="str">
        <f>IF(AA$3="","",IF(COUNTIFS(BD!$A$3:$A$5001,AA$3,BD!$B$3:$B$5001,$A$133,BD!$AB$3:$AB$5001,"&lt;&gt;")=0,"",SUMIFS(BD!$AB$3:$AB$5001,BD!$A$3:$A$5001,AA$3,BD!$B$3:$B$5001,$A$133)))</f>
        <v/>
      </c>
      <c r="AB145" s="216" t="str">
        <f>IF(AB$3="","",IF(COUNTIFS(BD!$A$3:$A$5001,AB$3,BD!$B$3:$B$5001,$A$133,BD!$AB$3:$AB$5001,"&lt;&gt;")=0,"",SUMIFS(BD!$AB$3:$AB$5001,BD!$A$3:$A$5001,AB$3,BD!$B$3:$B$5001,$A$133)))</f>
        <v/>
      </c>
      <c r="AC145" s="216" t="str">
        <f>IF(AC$3="","",IF(COUNTIFS(BD!$A$3:$A$5001,AC$3,BD!$B$3:$B$5001,$A$133,BD!$AB$3:$AB$5001,"&lt;&gt;")=0,"",SUMIFS(BD!$AB$3:$AB$5001,BD!$A$3:$A$5001,AC$3,BD!$B$3:$B$5001,$A$133)))</f>
        <v/>
      </c>
      <c r="AD145" s="216" t="str">
        <f>IF(AD$3="","",IF(COUNTIFS(BD!$A$3:$A$5001,AD$3,BD!$B$3:$B$5001,$A$133,BD!$AB$3:$AB$5001,"&lt;&gt;")=0,"",SUMIFS(BD!$AB$3:$AB$5001,BD!$A$3:$A$5001,AD$3,BD!$B$3:$B$5001,$A$133)))</f>
        <v/>
      </c>
      <c r="AE145" s="216" t="str">
        <f>IF(AE$3="","",IF(COUNTIFS(BD!$A$3:$A$5001,AE$3,BD!$B$3:$B$5001,$A$133,BD!$AB$3:$AB$5001,"&lt;&gt;")=0,"",SUMIFS(BD!$AB$3:$AB$5001,BD!$A$3:$A$5001,AE$3,BD!$B$3:$B$5001,$A$133)))</f>
        <v/>
      </c>
      <c r="AF145" s="216" t="str">
        <f>IF(AF$3="","",IF(COUNTIFS(BD!$A$3:$A$5001,AF$3,BD!$B$3:$B$5001,$A$133,BD!$AB$3:$AB$5001,"&lt;&gt;")=0,"",SUMIFS(BD!$AB$3:$AB$5001,BD!$A$3:$A$5001,AF$3,BD!$B$3:$B$5001,$A$133)))</f>
        <v/>
      </c>
      <c r="AG145" s="216" t="str">
        <f>IF(AG$3="","",IF(COUNTIFS(BD!$A$3:$A$5001,AG$3,BD!$B$3:$B$5001,$A$133,BD!$AB$3:$AB$5001,"&lt;&gt;")=0,"",SUMIFS(BD!$AB$3:$AB$5001,BD!$A$3:$A$5001,AG$3,BD!$B$3:$B$5001,$A$133)))</f>
        <v/>
      </c>
      <c r="AH145" s="216" t="str">
        <f>IF(AH$3="","",IF(COUNTIFS(BD!$A$3:$A$5001,AH$3,BD!$B$3:$B$5001,$A$133,BD!$AB$3:$AB$5001,"&lt;&gt;")=0,"",SUMIFS(BD!$AB$3:$AB$5001,BD!$A$3:$A$5001,AH$3,BD!$B$3:$B$5001,$A$133)))</f>
        <v/>
      </c>
      <c r="AI145" s="216" t="str">
        <f>IF(AI$3="","",IF(COUNTIFS(BD!$A$3:$A$5001,AI$3,BD!$B$3:$B$5001,$A$133,BD!$AB$3:$AB$5001,"&lt;&gt;")=0,"",SUMIFS(BD!$AB$3:$AB$5001,BD!$A$3:$A$5001,AI$3,BD!$B$3:$B$5001,$A$133)))</f>
        <v/>
      </c>
      <c r="AJ145" s="217" t="str">
        <f>IF(AJ$3="","",IF(COUNTIFS(BD!$A$3:$A$5001,AJ$3,BD!$B$3:$B$5001,$A$133,BD!$AB$3:$AB$5001,"&lt;&gt;")=0,"",SUMIFS(BD!$AB$3:$AB$5001,BD!$A$3:$A$5001,AJ$3,BD!$B$3:$B$5001,$A$133)))</f>
        <v/>
      </c>
      <c r="AK145" s="218" t="str">
        <f>IF(COUNT(F145:AJ145)=0,"",SUM(F145:AJ145))</f>
        <v/>
      </c>
    </row>
    <row r="146" ht="15.75" customHeight="1">
      <c r="A146" s="237"/>
      <c r="B146" s="234"/>
      <c r="C146" s="212" t="inlineStr">
        <is>
          <t xml:space="preserve">Férias</t>
        </is>
      </c>
      <c r="D146" s="213" t="str">
        <f>IFERROR(1/(1/INDEX(BD!$AK$50:$AU$50,MATCH($A$133,BD!$AK$22:$AU$22,0))),"")</f>
        <v/>
      </c>
      <c r="E146" s="214"/>
      <c r="F146" s="215" t="str">
        <f>IF(F$3="","",IF(COUNTIFS(BD!$A$3:$A$5001,F$3,BD!$B$3:$B$5001,$A$133,BD!$AC$3:$AC$5001,"&lt;&gt;")=0,"",SUMIFS(BD!$AC$3:$AC$5001,BD!$A$3:$A$5001,F$3,BD!$B$3:$B$5001,$A$133)))</f>
        <v/>
      </c>
      <c r="G146" s="216" t="str">
        <f>IF(G$3="","",IF(COUNTIFS(BD!$A$3:$A$5001,G$3,BD!$B$3:$B$5001,$A$133,BD!$AC$3:$AC$5001,"&lt;&gt;")=0,"",SUMIFS(BD!$AC$3:$AC$5001,BD!$A$3:$A$5001,G$3,BD!$B$3:$B$5001,$A$133)))</f>
        <v/>
      </c>
      <c r="H146" s="216" t="str">
        <f>IF(H$3="","",IF(COUNTIFS(BD!$A$3:$A$5001,H$3,BD!$B$3:$B$5001,$A$133,BD!$AC$3:$AC$5001,"&lt;&gt;")=0,"",SUMIFS(BD!$AC$3:$AC$5001,BD!$A$3:$A$5001,H$3,BD!$B$3:$B$5001,$A$133)))</f>
        <v/>
      </c>
      <c r="I146" s="216" t="str">
        <f>IF(I$3="","",IF(COUNTIFS(BD!$A$3:$A$5001,I$3,BD!$B$3:$B$5001,$A$133,BD!$AC$3:$AC$5001,"&lt;&gt;")=0,"",SUMIFS(BD!$AC$3:$AC$5001,BD!$A$3:$A$5001,I$3,BD!$B$3:$B$5001,$A$133)))</f>
        <v/>
      </c>
      <c r="J146" s="216" t="str">
        <f>IF(J$3="","",IF(COUNTIFS(BD!$A$3:$A$5001,J$3,BD!$B$3:$B$5001,$A$133,BD!$AC$3:$AC$5001,"&lt;&gt;")=0,"",SUMIFS(BD!$AC$3:$AC$5001,BD!$A$3:$A$5001,J$3,BD!$B$3:$B$5001,$A$133)))</f>
        <v/>
      </c>
      <c r="K146" s="216" t="str">
        <f>IF(K$3="","",IF(COUNTIFS(BD!$A$3:$A$5001,K$3,BD!$B$3:$B$5001,$A$133,BD!$AC$3:$AC$5001,"&lt;&gt;")=0,"",SUMIFS(BD!$AC$3:$AC$5001,BD!$A$3:$A$5001,K$3,BD!$B$3:$B$5001,$A$133)))</f>
        <v/>
      </c>
      <c r="L146" s="216" t="str">
        <f>IF(L$3="","",IF(COUNTIFS(BD!$A$3:$A$5001,L$3,BD!$B$3:$B$5001,$A$133,BD!$AC$3:$AC$5001,"&lt;&gt;")=0,"",SUMIFS(BD!$AC$3:$AC$5001,BD!$A$3:$A$5001,L$3,BD!$B$3:$B$5001,$A$133)))</f>
        <v/>
      </c>
      <c r="M146" s="216" t="str">
        <f>IF(M$3="","",IF(COUNTIFS(BD!$A$3:$A$5001,M$3,BD!$B$3:$B$5001,$A$133,BD!$AC$3:$AC$5001,"&lt;&gt;")=0,"",SUMIFS(BD!$AC$3:$AC$5001,BD!$A$3:$A$5001,M$3,BD!$B$3:$B$5001,$A$133)))</f>
        <v/>
      </c>
      <c r="N146" s="216" t="str">
        <f>IF(N$3="","",IF(COUNTIFS(BD!$A$3:$A$5001,N$3,BD!$B$3:$B$5001,$A$133,BD!$AC$3:$AC$5001,"&lt;&gt;")=0,"",SUMIFS(BD!$AC$3:$AC$5001,BD!$A$3:$A$5001,N$3,BD!$B$3:$B$5001,$A$133)))</f>
        <v/>
      </c>
      <c r="O146" s="216" t="str">
        <f>IF(O$3="","",IF(COUNTIFS(BD!$A$3:$A$5001,O$3,BD!$B$3:$B$5001,$A$133,BD!$AC$3:$AC$5001,"&lt;&gt;")=0,"",SUMIFS(BD!$AC$3:$AC$5001,BD!$A$3:$A$5001,O$3,BD!$B$3:$B$5001,$A$133)))</f>
        <v/>
      </c>
      <c r="P146" s="216" t="str">
        <f>IF(P$3="","",IF(COUNTIFS(BD!$A$3:$A$5001,P$3,BD!$B$3:$B$5001,$A$133,BD!$AC$3:$AC$5001,"&lt;&gt;")=0,"",SUMIFS(BD!$AC$3:$AC$5001,BD!$A$3:$A$5001,P$3,BD!$B$3:$B$5001,$A$133)))</f>
        <v/>
      </c>
      <c r="Q146" s="216" t="str">
        <f>IF(Q$3="","",IF(COUNTIFS(BD!$A$3:$A$5001,Q$3,BD!$B$3:$B$5001,$A$133,BD!$AC$3:$AC$5001,"&lt;&gt;")=0,"",SUMIFS(BD!$AC$3:$AC$5001,BD!$A$3:$A$5001,Q$3,BD!$B$3:$B$5001,$A$133)))</f>
        <v/>
      </c>
      <c r="R146" s="216" t="str">
        <f>IF(R$3="","",IF(COUNTIFS(BD!$A$3:$A$5001,R$3,BD!$B$3:$B$5001,$A$133,BD!$AC$3:$AC$5001,"&lt;&gt;")=0,"",SUMIFS(BD!$AC$3:$AC$5001,BD!$A$3:$A$5001,R$3,BD!$B$3:$B$5001,$A$133)))</f>
        <v/>
      </c>
      <c r="S146" s="216" t="str">
        <f>IF(S$3="","",IF(COUNTIFS(BD!$A$3:$A$5001,S$3,BD!$B$3:$B$5001,$A$133,BD!$AC$3:$AC$5001,"&lt;&gt;")=0,"",SUMIFS(BD!$AC$3:$AC$5001,BD!$A$3:$A$5001,S$3,BD!$B$3:$B$5001,$A$133)))</f>
        <v/>
      </c>
      <c r="T146" s="216" t="str">
        <f>IF(T$3="","",IF(COUNTIFS(BD!$A$3:$A$5001,T$3,BD!$B$3:$B$5001,$A$133,BD!$AC$3:$AC$5001,"&lt;&gt;")=0,"",SUMIFS(BD!$AC$3:$AC$5001,BD!$A$3:$A$5001,T$3,BD!$B$3:$B$5001,$A$133)))</f>
        <v/>
      </c>
      <c r="U146" s="216" t="str">
        <f>IF(U$3="","",IF(COUNTIFS(BD!$A$3:$A$5001,U$3,BD!$B$3:$B$5001,$A$133,BD!$AC$3:$AC$5001,"&lt;&gt;")=0,"",SUMIFS(BD!$AC$3:$AC$5001,BD!$A$3:$A$5001,U$3,BD!$B$3:$B$5001,$A$133)))</f>
        <v/>
      </c>
      <c r="V146" s="216" t="str">
        <f>IF(V$3="","",IF(COUNTIFS(BD!$A$3:$A$5001,V$3,BD!$B$3:$B$5001,$A$133,BD!$AC$3:$AC$5001,"&lt;&gt;")=0,"",SUMIFS(BD!$AC$3:$AC$5001,BD!$A$3:$A$5001,V$3,BD!$B$3:$B$5001,$A$133)))</f>
        <v/>
      </c>
      <c r="W146" s="216" t="str">
        <f>IF(W$3="","",IF(COUNTIFS(BD!$A$3:$A$5001,W$3,BD!$B$3:$B$5001,$A$133,BD!$AC$3:$AC$5001,"&lt;&gt;")=0,"",SUMIFS(BD!$AC$3:$AC$5001,BD!$A$3:$A$5001,W$3,BD!$B$3:$B$5001,$A$133)))</f>
        <v/>
      </c>
      <c r="X146" s="216" t="str">
        <f>IF(X$3="","",IF(COUNTIFS(BD!$A$3:$A$5001,X$3,BD!$B$3:$B$5001,$A$133,BD!$AC$3:$AC$5001,"&lt;&gt;")=0,"",SUMIFS(BD!$AC$3:$AC$5001,BD!$A$3:$A$5001,X$3,BD!$B$3:$B$5001,$A$133)))</f>
        <v/>
      </c>
      <c r="Y146" s="216" t="str">
        <f>IF(Y$3="","",IF(COUNTIFS(BD!$A$3:$A$5001,Y$3,BD!$B$3:$B$5001,$A$133,BD!$AC$3:$AC$5001,"&lt;&gt;")=0,"",SUMIFS(BD!$AC$3:$AC$5001,BD!$A$3:$A$5001,Y$3,BD!$B$3:$B$5001,$A$133)))</f>
        <v/>
      </c>
      <c r="Z146" s="216" t="str">
        <f>IF(Z$3="","",IF(COUNTIFS(BD!$A$3:$A$5001,Z$3,BD!$B$3:$B$5001,$A$133,BD!$AC$3:$AC$5001,"&lt;&gt;")=0,"",SUMIFS(BD!$AC$3:$AC$5001,BD!$A$3:$A$5001,Z$3,BD!$B$3:$B$5001,$A$133)))</f>
        <v/>
      </c>
      <c r="AA146" s="216" t="str">
        <f>IF(AA$3="","",IF(COUNTIFS(BD!$A$3:$A$5001,AA$3,BD!$B$3:$B$5001,$A$133,BD!$AC$3:$AC$5001,"&lt;&gt;")=0,"",SUMIFS(BD!$AC$3:$AC$5001,BD!$A$3:$A$5001,AA$3,BD!$B$3:$B$5001,$A$133)))</f>
        <v/>
      </c>
      <c r="AB146" s="216" t="str">
        <f>IF(AB$3="","",IF(COUNTIFS(BD!$A$3:$A$5001,AB$3,BD!$B$3:$B$5001,$A$133,BD!$AC$3:$AC$5001,"&lt;&gt;")=0,"",SUMIFS(BD!$AC$3:$AC$5001,BD!$A$3:$A$5001,AB$3,BD!$B$3:$B$5001,$A$133)))</f>
        <v/>
      </c>
      <c r="AC146" s="216" t="str">
        <f>IF(AC$3="","",IF(COUNTIFS(BD!$A$3:$A$5001,AC$3,BD!$B$3:$B$5001,$A$133,BD!$AC$3:$AC$5001,"&lt;&gt;")=0,"",SUMIFS(BD!$AC$3:$AC$5001,BD!$A$3:$A$5001,AC$3,BD!$B$3:$B$5001,$A$133)))</f>
        <v/>
      </c>
      <c r="AD146" s="216" t="str">
        <f>IF(AD$3="","",IF(COUNTIFS(BD!$A$3:$A$5001,AD$3,BD!$B$3:$B$5001,$A$133,BD!$AC$3:$AC$5001,"&lt;&gt;")=0,"",SUMIFS(BD!$AC$3:$AC$5001,BD!$A$3:$A$5001,AD$3,BD!$B$3:$B$5001,$A$133)))</f>
        <v/>
      </c>
      <c r="AE146" s="216" t="str">
        <f>IF(AE$3="","",IF(COUNTIFS(BD!$A$3:$A$5001,AE$3,BD!$B$3:$B$5001,$A$133,BD!$AC$3:$AC$5001,"&lt;&gt;")=0,"",SUMIFS(BD!$AC$3:$AC$5001,BD!$A$3:$A$5001,AE$3,BD!$B$3:$B$5001,$A$133)))</f>
        <v/>
      </c>
      <c r="AF146" s="216" t="str">
        <f>IF(AF$3="","",IF(COUNTIFS(BD!$A$3:$A$5001,AF$3,BD!$B$3:$B$5001,$A$133,BD!$AC$3:$AC$5001,"&lt;&gt;")=0,"",SUMIFS(BD!$AC$3:$AC$5001,BD!$A$3:$A$5001,AF$3,BD!$B$3:$B$5001,$A$133)))</f>
        <v/>
      </c>
      <c r="AG146" s="216" t="str">
        <f>IF(AG$3="","",IF(COUNTIFS(BD!$A$3:$A$5001,AG$3,BD!$B$3:$B$5001,$A$133,BD!$AC$3:$AC$5001,"&lt;&gt;")=0,"",SUMIFS(BD!$AC$3:$AC$5001,BD!$A$3:$A$5001,AG$3,BD!$B$3:$B$5001,$A$133)))</f>
        <v/>
      </c>
      <c r="AH146" s="216" t="str">
        <f>IF(AH$3="","",IF(COUNTIFS(BD!$A$3:$A$5001,AH$3,BD!$B$3:$B$5001,$A$133,BD!$AC$3:$AC$5001,"&lt;&gt;")=0,"",SUMIFS(BD!$AC$3:$AC$5001,BD!$A$3:$A$5001,AH$3,BD!$B$3:$B$5001,$A$133)))</f>
        <v/>
      </c>
      <c r="AI146" s="216" t="str">
        <f>IF(AI$3="","",IF(COUNTIFS(BD!$A$3:$A$5001,AI$3,BD!$B$3:$B$5001,$A$133,BD!$AC$3:$AC$5001,"&lt;&gt;")=0,"",SUMIFS(BD!$AC$3:$AC$5001,BD!$A$3:$A$5001,AI$3,BD!$B$3:$B$5001,$A$133)))</f>
        <v/>
      </c>
      <c r="AJ146" s="217" t="str">
        <f>IF(AJ$3="","",IF(COUNTIFS(BD!$A$3:$A$5001,AJ$3,BD!$B$3:$B$5001,$A$133,BD!$AC$3:$AC$5001,"&lt;&gt;")=0,"",SUMIFS(BD!$AC$3:$AC$5001,BD!$A$3:$A$5001,AJ$3,BD!$B$3:$B$5001,$A$133)))</f>
        <v/>
      </c>
      <c r="AK146" s="218" t="str">
        <f>IF(COUNT(F146:AJ146)=0,"",SUM(F146:AJ146))</f>
        <v/>
      </c>
    </row>
    <row r="147" ht="15.75" customHeight="1">
      <c r="A147" s="237"/>
      <c r="B147" s="234"/>
      <c r="C147" s="212" t="inlineStr">
        <is>
          <t xml:space="preserve">Desligamento</t>
        </is>
      </c>
      <c r="D147" s="213" t="str">
        <f>IFERROR(1/(1/INDEX(BD!$AK$51:$AU$51,MATCH($A$133,BD!$AK$22:$AU$22,0))),"")</f>
        <v/>
      </c>
      <c r="E147" s="214"/>
      <c r="F147" s="215" t="str">
        <f>IF(F$3="","",IF(COUNTIFS(BD!$A$3:$A$5001,F$3,BD!$B$3:$B$5001,$A$133,BD!$AD$3:$AD$5001,"&lt;&gt;")=0,"",SUMIFS(BD!$AD$3:$AD$5001,BD!$A$3:$A$5001,F$3,BD!$B$3:$B$5001,$A$133)))</f>
        <v/>
      </c>
      <c r="G147" s="216" t="str">
        <f>IF(G$3="","",IF(COUNTIFS(BD!$A$3:$A$5001,G$3,BD!$B$3:$B$5001,$A$133,BD!$AD$3:$AD$5001,"&lt;&gt;")=0,"",SUMIFS(BD!$AD$3:$AD$5001,BD!$A$3:$A$5001,G$3,BD!$B$3:$B$5001,$A$133)))</f>
        <v/>
      </c>
      <c r="H147" s="216" t="str">
        <f>IF(H$3="","",IF(COUNTIFS(BD!$A$3:$A$5001,H$3,BD!$B$3:$B$5001,$A$133,BD!$AD$3:$AD$5001,"&lt;&gt;")=0,"",SUMIFS(BD!$AD$3:$AD$5001,BD!$A$3:$A$5001,H$3,BD!$B$3:$B$5001,$A$133)))</f>
        <v/>
      </c>
      <c r="I147" s="216" t="str">
        <f>IF(I$3="","",IF(COUNTIFS(BD!$A$3:$A$5001,I$3,BD!$B$3:$B$5001,$A$133,BD!$AD$3:$AD$5001,"&lt;&gt;")=0,"",SUMIFS(BD!$AD$3:$AD$5001,BD!$A$3:$A$5001,I$3,BD!$B$3:$B$5001,$A$133)))</f>
        <v/>
      </c>
      <c r="J147" s="216" t="str">
        <f>IF(J$3="","",IF(COUNTIFS(BD!$A$3:$A$5001,J$3,BD!$B$3:$B$5001,$A$133,BD!$AD$3:$AD$5001,"&lt;&gt;")=0,"",SUMIFS(BD!$AD$3:$AD$5001,BD!$A$3:$A$5001,J$3,BD!$B$3:$B$5001,$A$133)))</f>
        <v/>
      </c>
      <c r="K147" s="216" t="str">
        <f>IF(K$3="","",IF(COUNTIFS(BD!$A$3:$A$5001,K$3,BD!$B$3:$B$5001,$A$133,BD!$AD$3:$AD$5001,"&lt;&gt;")=0,"",SUMIFS(BD!$AD$3:$AD$5001,BD!$A$3:$A$5001,K$3,BD!$B$3:$B$5001,$A$133)))</f>
        <v/>
      </c>
      <c r="L147" s="216" t="str">
        <f>IF(L$3="","",IF(COUNTIFS(BD!$A$3:$A$5001,L$3,BD!$B$3:$B$5001,$A$133,BD!$AD$3:$AD$5001,"&lt;&gt;")=0,"",SUMIFS(BD!$AD$3:$AD$5001,BD!$A$3:$A$5001,L$3,BD!$B$3:$B$5001,$A$133)))</f>
        <v/>
      </c>
      <c r="M147" s="216" t="str">
        <f>IF(M$3="","",IF(COUNTIFS(BD!$A$3:$A$5001,M$3,BD!$B$3:$B$5001,$A$133,BD!$AD$3:$AD$5001,"&lt;&gt;")=0,"",SUMIFS(BD!$AD$3:$AD$5001,BD!$A$3:$A$5001,M$3,BD!$B$3:$B$5001,$A$133)))</f>
        <v/>
      </c>
      <c r="N147" s="216" t="str">
        <f>IF(N$3="","",IF(COUNTIFS(BD!$A$3:$A$5001,N$3,BD!$B$3:$B$5001,$A$133,BD!$AD$3:$AD$5001,"&lt;&gt;")=0,"",SUMIFS(BD!$AD$3:$AD$5001,BD!$A$3:$A$5001,N$3,BD!$B$3:$B$5001,$A$133)))</f>
        <v/>
      </c>
      <c r="O147" s="216" t="str">
        <f>IF(O$3="","",IF(COUNTIFS(BD!$A$3:$A$5001,O$3,BD!$B$3:$B$5001,$A$133,BD!$AD$3:$AD$5001,"&lt;&gt;")=0,"",SUMIFS(BD!$AD$3:$AD$5001,BD!$A$3:$A$5001,O$3,BD!$B$3:$B$5001,$A$133)))</f>
        <v/>
      </c>
      <c r="P147" s="216" t="str">
        <f>IF(P$3="","",IF(COUNTIFS(BD!$A$3:$A$5001,P$3,BD!$B$3:$B$5001,$A$133,BD!$AD$3:$AD$5001,"&lt;&gt;")=0,"",SUMIFS(BD!$AD$3:$AD$5001,BD!$A$3:$A$5001,P$3,BD!$B$3:$B$5001,$A$133)))</f>
        <v/>
      </c>
      <c r="Q147" s="216" t="str">
        <f>IF(Q$3="","",IF(COUNTIFS(BD!$A$3:$A$5001,Q$3,BD!$B$3:$B$5001,$A$133,BD!$AD$3:$AD$5001,"&lt;&gt;")=0,"",SUMIFS(BD!$AD$3:$AD$5001,BD!$A$3:$A$5001,Q$3,BD!$B$3:$B$5001,$A$133)))</f>
        <v/>
      </c>
      <c r="R147" s="216" t="str">
        <f>IF(R$3="","",IF(COUNTIFS(BD!$A$3:$A$5001,R$3,BD!$B$3:$B$5001,$A$133,BD!$AD$3:$AD$5001,"&lt;&gt;")=0,"",SUMIFS(BD!$AD$3:$AD$5001,BD!$A$3:$A$5001,R$3,BD!$B$3:$B$5001,$A$133)))</f>
        <v/>
      </c>
      <c r="S147" s="216" t="str">
        <f>IF(S$3="","",IF(COUNTIFS(BD!$A$3:$A$5001,S$3,BD!$B$3:$B$5001,$A$133,BD!$AD$3:$AD$5001,"&lt;&gt;")=0,"",SUMIFS(BD!$AD$3:$AD$5001,BD!$A$3:$A$5001,S$3,BD!$B$3:$B$5001,$A$133)))</f>
        <v/>
      </c>
      <c r="T147" s="216" t="str">
        <f>IF(T$3="","",IF(COUNTIFS(BD!$A$3:$A$5001,T$3,BD!$B$3:$B$5001,$A$133,BD!$AD$3:$AD$5001,"&lt;&gt;")=0,"",SUMIFS(BD!$AD$3:$AD$5001,BD!$A$3:$A$5001,T$3,BD!$B$3:$B$5001,$A$133)))</f>
        <v/>
      </c>
      <c r="U147" s="216" t="str">
        <f>IF(U$3="","",IF(COUNTIFS(BD!$A$3:$A$5001,U$3,BD!$B$3:$B$5001,$A$133,BD!$AD$3:$AD$5001,"&lt;&gt;")=0,"",SUMIFS(BD!$AD$3:$AD$5001,BD!$A$3:$A$5001,U$3,BD!$B$3:$B$5001,$A$133)))</f>
        <v/>
      </c>
      <c r="V147" s="216" t="str">
        <f>IF(V$3="","",IF(COUNTIFS(BD!$A$3:$A$5001,V$3,BD!$B$3:$B$5001,$A$133,BD!$AD$3:$AD$5001,"&lt;&gt;")=0,"",SUMIFS(BD!$AD$3:$AD$5001,BD!$A$3:$A$5001,V$3,BD!$B$3:$B$5001,$A$133)))</f>
        <v/>
      </c>
      <c r="W147" s="216" t="str">
        <f>IF(W$3="","",IF(COUNTIFS(BD!$A$3:$A$5001,W$3,BD!$B$3:$B$5001,$A$133,BD!$AD$3:$AD$5001,"&lt;&gt;")=0,"",SUMIFS(BD!$AD$3:$AD$5001,BD!$A$3:$A$5001,W$3,BD!$B$3:$B$5001,$A$133)))</f>
        <v/>
      </c>
      <c r="X147" s="216" t="str">
        <f>IF(X$3="","",IF(COUNTIFS(BD!$A$3:$A$5001,X$3,BD!$B$3:$B$5001,$A$133,BD!$AD$3:$AD$5001,"&lt;&gt;")=0,"",SUMIFS(BD!$AD$3:$AD$5001,BD!$A$3:$A$5001,X$3,BD!$B$3:$B$5001,$A$133)))</f>
        <v/>
      </c>
      <c r="Y147" s="216" t="str">
        <f>IF(Y$3="","",IF(COUNTIFS(BD!$A$3:$A$5001,Y$3,BD!$B$3:$B$5001,$A$133,BD!$AD$3:$AD$5001,"&lt;&gt;")=0,"",SUMIFS(BD!$AD$3:$AD$5001,BD!$A$3:$A$5001,Y$3,BD!$B$3:$B$5001,$A$133)))</f>
        <v/>
      </c>
      <c r="Z147" s="216" t="str">
        <f>IF(Z$3="","",IF(COUNTIFS(BD!$A$3:$A$5001,Z$3,BD!$B$3:$B$5001,$A$133,BD!$AD$3:$AD$5001,"&lt;&gt;")=0,"",SUMIFS(BD!$AD$3:$AD$5001,BD!$A$3:$A$5001,Z$3,BD!$B$3:$B$5001,$A$133)))</f>
        <v/>
      </c>
      <c r="AA147" s="216" t="str">
        <f>IF(AA$3="","",IF(COUNTIFS(BD!$A$3:$A$5001,AA$3,BD!$B$3:$B$5001,$A$133,BD!$AD$3:$AD$5001,"&lt;&gt;")=0,"",SUMIFS(BD!$AD$3:$AD$5001,BD!$A$3:$A$5001,AA$3,BD!$B$3:$B$5001,$A$133)))</f>
        <v/>
      </c>
      <c r="AB147" s="216" t="str">
        <f>IF(AB$3="","",IF(COUNTIFS(BD!$A$3:$A$5001,AB$3,BD!$B$3:$B$5001,$A$133,BD!$AD$3:$AD$5001,"&lt;&gt;")=0,"",SUMIFS(BD!$AD$3:$AD$5001,BD!$A$3:$A$5001,AB$3,BD!$B$3:$B$5001,$A$133)))</f>
        <v/>
      </c>
      <c r="AC147" s="216" t="str">
        <f>IF(AC$3="","",IF(COUNTIFS(BD!$A$3:$A$5001,AC$3,BD!$B$3:$B$5001,$A$133,BD!$AD$3:$AD$5001,"&lt;&gt;")=0,"",SUMIFS(BD!$AD$3:$AD$5001,BD!$A$3:$A$5001,AC$3,BD!$B$3:$B$5001,$A$133)))</f>
        <v/>
      </c>
      <c r="AD147" s="216" t="str">
        <f>IF(AD$3="","",IF(COUNTIFS(BD!$A$3:$A$5001,AD$3,BD!$B$3:$B$5001,$A$133,BD!$AD$3:$AD$5001,"&lt;&gt;")=0,"",SUMIFS(BD!$AD$3:$AD$5001,BD!$A$3:$A$5001,AD$3,BD!$B$3:$B$5001,$A$133)))</f>
        <v/>
      </c>
      <c r="AE147" s="216" t="str">
        <f>IF(AE$3="","",IF(COUNTIFS(BD!$A$3:$A$5001,AE$3,BD!$B$3:$B$5001,$A$133,BD!$AD$3:$AD$5001,"&lt;&gt;")=0,"",SUMIFS(BD!$AD$3:$AD$5001,BD!$A$3:$A$5001,AE$3,BD!$B$3:$B$5001,$A$133)))</f>
        <v/>
      </c>
      <c r="AF147" s="216" t="str">
        <f>IF(AF$3="","",IF(COUNTIFS(BD!$A$3:$A$5001,AF$3,BD!$B$3:$B$5001,$A$133,BD!$AD$3:$AD$5001,"&lt;&gt;")=0,"",SUMIFS(BD!$AD$3:$AD$5001,BD!$A$3:$A$5001,AF$3,BD!$B$3:$B$5001,$A$133)))</f>
        <v/>
      </c>
      <c r="AG147" s="216" t="str">
        <f>IF(AG$3="","",IF(COUNTIFS(BD!$A$3:$A$5001,AG$3,BD!$B$3:$B$5001,$A$133,BD!$AD$3:$AD$5001,"&lt;&gt;")=0,"",SUMIFS(BD!$AD$3:$AD$5001,BD!$A$3:$A$5001,AG$3,BD!$B$3:$B$5001,$A$133)))</f>
        <v/>
      </c>
      <c r="AH147" s="216" t="str">
        <f>IF(AH$3="","",IF(COUNTIFS(BD!$A$3:$A$5001,AH$3,BD!$B$3:$B$5001,$A$133,BD!$AD$3:$AD$5001,"&lt;&gt;")=0,"",SUMIFS(BD!$AD$3:$AD$5001,BD!$A$3:$A$5001,AH$3,BD!$B$3:$B$5001,$A$133)))</f>
        <v/>
      </c>
      <c r="AI147" s="216" t="str">
        <f>IF(AI$3="","",IF(COUNTIFS(BD!$A$3:$A$5001,AI$3,BD!$B$3:$B$5001,$A$133,BD!$AD$3:$AD$5001,"&lt;&gt;")=0,"",SUMIFS(BD!$AD$3:$AD$5001,BD!$A$3:$A$5001,AI$3,BD!$B$3:$B$5001,$A$133)))</f>
        <v/>
      </c>
      <c r="AJ147" s="217" t="str">
        <f>IF(AJ$3="","",IF(COUNTIFS(BD!$A$3:$A$5001,AJ$3,BD!$B$3:$B$5001,$A$133,BD!$AD$3:$AD$5001,"&lt;&gt;")=0,"",SUMIFS(BD!$AD$3:$AD$5001,BD!$A$3:$A$5001,AJ$3,BD!$B$3:$B$5001,$A$133)))</f>
        <v/>
      </c>
      <c r="AK147" s="218" t="str">
        <f>IF(COUNT(F147:AJ147)=0,"",SUM(F147:AJ147))</f>
        <v/>
      </c>
    </row>
    <row r="148" ht="15.75" customHeight="1">
      <c r="A148" s="237"/>
      <c r="B148" s="234"/>
      <c r="C148" s="212" t="inlineStr">
        <is>
          <t xml:space="preserve">Desvios Comportamentais</t>
        </is>
      </c>
      <c r="D148" s="213" t="str">
        <f>IFERROR(1/(1/INDEX(BD!$AK$52:$AU$52,MATCH($A$133,BD!$AK$22:$AU$22,0))),"")</f>
        <v/>
      </c>
      <c r="E148" s="214"/>
      <c r="F148" s="215" t="str">
        <f>IF(F$3="","",IF(COUNTIFS(BD!$A$3:$A$5001,F$3,BD!$B$3:$B$5001,$A$133,BD!$AE$3:$AE$5001,"&lt;&gt;")=0,"",SUMIFS(BD!$AE$3:$AE$5001,BD!$A$3:$A$5001,F$3,BD!$B$3:$B$5001,$A$133)))</f>
        <v/>
      </c>
      <c r="G148" s="216" t="str">
        <f>IF(G$3="","",IF(COUNTIFS(BD!$A$3:$A$5001,G$3,BD!$B$3:$B$5001,$A$133,BD!$AE$3:$AE$5001,"&lt;&gt;")=0,"",SUMIFS(BD!$AE$3:$AE$5001,BD!$A$3:$A$5001,G$3,BD!$B$3:$B$5001,$A$133)))</f>
        <v/>
      </c>
      <c r="H148" s="216" t="str">
        <f>IF(H$3="","",IF(COUNTIFS(BD!$A$3:$A$5001,H$3,BD!$B$3:$B$5001,$A$133,BD!$AE$3:$AE$5001,"&lt;&gt;")=0,"",SUMIFS(BD!$AE$3:$AE$5001,BD!$A$3:$A$5001,H$3,BD!$B$3:$B$5001,$A$133)))</f>
        <v/>
      </c>
      <c r="I148" s="216" t="str">
        <f>IF(I$3="","",IF(COUNTIFS(BD!$A$3:$A$5001,I$3,BD!$B$3:$B$5001,$A$133,BD!$AE$3:$AE$5001,"&lt;&gt;")=0,"",SUMIFS(BD!$AE$3:$AE$5001,BD!$A$3:$A$5001,I$3,BD!$B$3:$B$5001,$A$133)))</f>
        <v/>
      </c>
      <c r="J148" s="216" t="str">
        <f>IF(J$3="","",IF(COUNTIFS(BD!$A$3:$A$5001,J$3,BD!$B$3:$B$5001,$A$133,BD!$AE$3:$AE$5001,"&lt;&gt;")=0,"",SUMIFS(BD!$AE$3:$AE$5001,BD!$A$3:$A$5001,J$3,BD!$B$3:$B$5001,$A$133)))</f>
        <v/>
      </c>
      <c r="K148" s="216" t="str">
        <f>IF(K$3="","",IF(COUNTIFS(BD!$A$3:$A$5001,K$3,BD!$B$3:$B$5001,$A$133,BD!$AE$3:$AE$5001,"&lt;&gt;")=0,"",SUMIFS(BD!$AE$3:$AE$5001,BD!$A$3:$A$5001,K$3,BD!$B$3:$B$5001,$A$133)))</f>
        <v/>
      </c>
      <c r="L148" s="216" t="str">
        <f>IF(L$3="","",IF(COUNTIFS(BD!$A$3:$A$5001,L$3,BD!$B$3:$B$5001,$A$133,BD!$AE$3:$AE$5001,"&lt;&gt;")=0,"",SUMIFS(BD!$AE$3:$AE$5001,BD!$A$3:$A$5001,L$3,BD!$B$3:$B$5001,$A$133)))</f>
        <v/>
      </c>
      <c r="M148" s="216" t="str">
        <f>IF(M$3="","",IF(COUNTIFS(BD!$A$3:$A$5001,M$3,BD!$B$3:$B$5001,$A$133,BD!$AE$3:$AE$5001,"&lt;&gt;")=0,"",SUMIFS(BD!$AE$3:$AE$5001,BD!$A$3:$A$5001,M$3,BD!$B$3:$B$5001,$A$133)))</f>
        <v/>
      </c>
      <c r="N148" s="216" t="str">
        <f>IF(N$3="","",IF(COUNTIFS(BD!$A$3:$A$5001,N$3,BD!$B$3:$B$5001,$A$133,BD!$AE$3:$AE$5001,"&lt;&gt;")=0,"",SUMIFS(BD!$AE$3:$AE$5001,BD!$A$3:$A$5001,N$3,BD!$B$3:$B$5001,$A$133)))</f>
        <v/>
      </c>
      <c r="O148" s="216" t="str">
        <f>IF(O$3="","",IF(COUNTIFS(BD!$A$3:$A$5001,O$3,BD!$B$3:$B$5001,$A$133,BD!$AE$3:$AE$5001,"&lt;&gt;")=0,"",SUMIFS(BD!$AE$3:$AE$5001,BD!$A$3:$A$5001,O$3,BD!$B$3:$B$5001,$A$133)))</f>
        <v/>
      </c>
      <c r="P148" s="216" t="str">
        <f>IF(P$3="","",IF(COUNTIFS(BD!$A$3:$A$5001,P$3,BD!$B$3:$B$5001,$A$133,BD!$AE$3:$AE$5001,"&lt;&gt;")=0,"",SUMIFS(BD!$AE$3:$AE$5001,BD!$A$3:$A$5001,P$3,BD!$B$3:$B$5001,$A$133)))</f>
        <v/>
      </c>
      <c r="Q148" s="216" t="str">
        <f>IF(Q$3="","",IF(COUNTIFS(BD!$A$3:$A$5001,Q$3,BD!$B$3:$B$5001,$A$133,BD!$AE$3:$AE$5001,"&lt;&gt;")=0,"",SUMIFS(BD!$AE$3:$AE$5001,BD!$A$3:$A$5001,Q$3,BD!$B$3:$B$5001,$A$133)))</f>
        <v/>
      </c>
      <c r="R148" s="216" t="str">
        <f>IF(R$3="","",IF(COUNTIFS(BD!$A$3:$A$5001,R$3,BD!$B$3:$B$5001,$A$133,BD!$AE$3:$AE$5001,"&lt;&gt;")=0,"",SUMIFS(BD!$AE$3:$AE$5001,BD!$A$3:$A$5001,R$3,BD!$B$3:$B$5001,$A$133)))</f>
        <v/>
      </c>
      <c r="S148" s="216" t="str">
        <f>IF(S$3="","",IF(COUNTIFS(BD!$A$3:$A$5001,S$3,BD!$B$3:$B$5001,$A$133,BD!$AE$3:$AE$5001,"&lt;&gt;")=0,"",SUMIFS(BD!$AE$3:$AE$5001,BD!$A$3:$A$5001,S$3,BD!$B$3:$B$5001,$A$133)))</f>
        <v/>
      </c>
      <c r="T148" s="216" t="str">
        <f>IF(T$3="","",IF(COUNTIFS(BD!$A$3:$A$5001,T$3,BD!$B$3:$B$5001,$A$133,BD!$AE$3:$AE$5001,"&lt;&gt;")=0,"",SUMIFS(BD!$AE$3:$AE$5001,BD!$A$3:$A$5001,T$3,BD!$B$3:$B$5001,$A$133)))</f>
        <v/>
      </c>
      <c r="U148" s="216" t="str">
        <f>IF(U$3="","",IF(COUNTIFS(BD!$A$3:$A$5001,U$3,BD!$B$3:$B$5001,$A$133,BD!$AE$3:$AE$5001,"&lt;&gt;")=0,"",SUMIFS(BD!$AE$3:$AE$5001,BD!$A$3:$A$5001,U$3,BD!$B$3:$B$5001,$A$133)))</f>
        <v/>
      </c>
      <c r="V148" s="216" t="str">
        <f>IF(V$3="","",IF(COUNTIFS(BD!$A$3:$A$5001,V$3,BD!$B$3:$B$5001,$A$133,BD!$AE$3:$AE$5001,"&lt;&gt;")=0,"",SUMIFS(BD!$AE$3:$AE$5001,BD!$A$3:$A$5001,V$3,BD!$B$3:$B$5001,$A$133)))</f>
        <v/>
      </c>
      <c r="W148" s="216" t="str">
        <f>IF(W$3="","",IF(COUNTIFS(BD!$A$3:$A$5001,W$3,BD!$B$3:$B$5001,$A$133,BD!$AE$3:$AE$5001,"&lt;&gt;")=0,"",SUMIFS(BD!$AE$3:$AE$5001,BD!$A$3:$A$5001,W$3,BD!$B$3:$B$5001,$A$133)))</f>
        <v/>
      </c>
      <c r="X148" s="216" t="str">
        <f>IF(X$3="","",IF(COUNTIFS(BD!$A$3:$A$5001,X$3,BD!$B$3:$B$5001,$A$133,BD!$AE$3:$AE$5001,"&lt;&gt;")=0,"",SUMIFS(BD!$AE$3:$AE$5001,BD!$A$3:$A$5001,X$3,BD!$B$3:$B$5001,$A$133)))</f>
        <v/>
      </c>
      <c r="Y148" s="216" t="str">
        <f>IF(Y$3="","",IF(COUNTIFS(BD!$A$3:$A$5001,Y$3,BD!$B$3:$B$5001,$A$133,BD!$AE$3:$AE$5001,"&lt;&gt;")=0,"",SUMIFS(BD!$AE$3:$AE$5001,BD!$A$3:$A$5001,Y$3,BD!$B$3:$B$5001,$A$133)))</f>
        <v/>
      </c>
      <c r="Z148" s="216" t="str">
        <f>IF(Z$3="","",IF(COUNTIFS(BD!$A$3:$A$5001,Z$3,BD!$B$3:$B$5001,$A$133,BD!$AE$3:$AE$5001,"&lt;&gt;")=0,"",SUMIFS(BD!$AE$3:$AE$5001,BD!$A$3:$A$5001,Z$3,BD!$B$3:$B$5001,$A$133)))</f>
        <v/>
      </c>
      <c r="AA148" s="216" t="str">
        <f>IF(AA$3="","",IF(COUNTIFS(BD!$A$3:$A$5001,AA$3,BD!$B$3:$B$5001,$A$133,BD!$AE$3:$AE$5001,"&lt;&gt;")=0,"",SUMIFS(BD!$AE$3:$AE$5001,BD!$A$3:$A$5001,AA$3,BD!$B$3:$B$5001,$A$133)))</f>
        <v/>
      </c>
      <c r="AB148" s="216" t="str">
        <f>IF(AB$3="","",IF(COUNTIFS(BD!$A$3:$A$5001,AB$3,BD!$B$3:$B$5001,$A$133,BD!$AE$3:$AE$5001,"&lt;&gt;")=0,"",SUMIFS(BD!$AE$3:$AE$5001,BD!$A$3:$A$5001,AB$3,BD!$B$3:$B$5001,$A$133)))</f>
        <v/>
      </c>
      <c r="AC148" s="216" t="str">
        <f>IF(AC$3="","",IF(COUNTIFS(BD!$A$3:$A$5001,AC$3,BD!$B$3:$B$5001,$A$133,BD!$AE$3:$AE$5001,"&lt;&gt;")=0,"",SUMIFS(BD!$AE$3:$AE$5001,BD!$A$3:$A$5001,AC$3,BD!$B$3:$B$5001,$A$133)))</f>
        <v/>
      </c>
      <c r="AD148" s="216" t="str">
        <f>IF(AD$3="","",IF(COUNTIFS(BD!$A$3:$A$5001,AD$3,BD!$B$3:$B$5001,$A$133,BD!$AE$3:$AE$5001,"&lt;&gt;")=0,"",SUMIFS(BD!$AE$3:$AE$5001,BD!$A$3:$A$5001,AD$3,BD!$B$3:$B$5001,$A$133)))</f>
        <v/>
      </c>
      <c r="AE148" s="216" t="str">
        <f>IF(AE$3="","",IF(COUNTIFS(BD!$A$3:$A$5001,AE$3,BD!$B$3:$B$5001,$A$133,BD!$AE$3:$AE$5001,"&lt;&gt;")=0,"",SUMIFS(BD!$AE$3:$AE$5001,BD!$A$3:$A$5001,AE$3,BD!$B$3:$B$5001,$A$133)))</f>
        <v/>
      </c>
      <c r="AF148" s="216" t="str">
        <f>IF(AF$3="","",IF(COUNTIFS(BD!$A$3:$A$5001,AF$3,BD!$B$3:$B$5001,$A$133,BD!$AE$3:$AE$5001,"&lt;&gt;")=0,"",SUMIFS(BD!$AE$3:$AE$5001,BD!$A$3:$A$5001,AF$3,BD!$B$3:$B$5001,$A$133)))</f>
        <v/>
      </c>
      <c r="AG148" s="216" t="str">
        <f>IF(AG$3="","",IF(COUNTIFS(BD!$A$3:$A$5001,AG$3,BD!$B$3:$B$5001,$A$133,BD!$AE$3:$AE$5001,"&lt;&gt;")=0,"",SUMIFS(BD!$AE$3:$AE$5001,BD!$A$3:$A$5001,AG$3,BD!$B$3:$B$5001,$A$133)))</f>
        <v/>
      </c>
      <c r="AH148" s="216" t="str">
        <f>IF(AH$3="","",IF(COUNTIFS(BD!$A$3:$A$5001,AH$3,BD!$B$3:$B$5001,$A$133,BD!$AE$3:$AE$5001,"&lt;&gt;")=0,"",SUMIFS(BD!$AE$3:$AE$5001,BD!$A$3:$A$5001,AH$3,BD!$B$3:$B$5001,$A$133)))</f>
        <v/>
      </c>
      <c r="AI148" s="216" t="str">
        <f>IF(AI$3="","",IF(COUNTIFS(BD!$A$3:$A$5001,AI$3,BD!$B$3:$B$5001,$A$133,BD!$AE$3:$AE$5001,"&lt;&gt;")=0,"",SUMIFS(BD!$AE$3:$AE$5001,BD!$A$3:$A$5001,AI$3,BD!$B$3:$B$5001,$A$133)))</f>
        <v/>
      </c>
      <c r="AJ148" s="217" t="str">
        <f>IF(AJ$3="","",IF(COUNTIFS(BD!$A$3:$A$5001,AJ$3,BD!$B$3:$B$5001,$A$133,BD!$AE$3:$AE$5001,"&lt;&gt;")=0,"",SUMIFS(BD!$AE$3:$AE$5001,BD!$A$3:$A$5001,AJ$3,BD!$B$3:$B$5001,$A$133)))</f>
        <v/>
      </c>
      <c r="AK148" s="218" t="str">
        <f>IF(COUNT(F148:AJ148)=0,"",SUM(F148:AJ148))</f>
        <v/>
      </c>
    </row>
    <row r="149" ht="15.75" customHeight="1">
      <c r="A149" s="237"/>
      <c r="B149" s="234"/>
      <c r="C149" s="212" t="inlineStr">
        <is>
          <t xml:space="preserve">Acidentes CAF</t>
        </is>
      </c>
      <c r="D149" s="213" t="str">
        <f>IFERROR(1/(1/INDEX(BD!$AK$53:$AU$53,MATCH($A$133,BD!$AK$22:$AU$22,0))),"")</f>
        <v/>
      </c>
      <c r="E149" s="214"/>
      <c r="F149" s="215" t="str">
        <f>IF(F$3="","",IF(COUNTIFS(BD!$A$3:$A$5001,F$3,BD!$B$3:$B$5001,$A$133,BD!$AF$3:$AF$5001,"&lt;&gt;")=0,"",SUMIFS(BD!$AF$3:$AF$5001,BD!$A$3:$A$5001,F$3,BD!$B$3:$B$5001,$A$133)))</f>
        <v/>
      </c>
      <c r="G149" s="216" t="str">
        <f>IF(G$3="","",IF(COUNTIFS(BD!$A$3:$A$5001,G$3,BD!$B$3:$B$5001,$A$133,BD!$AF$3:$AF$5001,"&lt;&gt;")=0,"",SUMIFS(BD!$AF$3:$AF$5001,BD!$A$3:$A$5001,G$3,BD!$B$3:$B$5001,$A$133)))</f>
        <v/>
      </c>
      <c r="H149" s="216" t="str">
        <f>IF(H$3="","",IF(COUNTIFS(BD!$A$3:$A$5001,H$3,BD!$B$3:$B$5001,$A$133,BD!$AF$3:$AF$5001,"&lt;&gt;")=0,"",SUMIFS(BD!$AF$3:$AF$5001,BD!$A$3:$A$5001,H$3,BD!$B$3:$B$5001,$A$133)))</f>
        <v/>
      </c>
      <c r="I149" s="216" t="str">
        <f>IF(I$3="","",IF(COUNTIFS(BD!$A$3:$A$5001,I$3,BD!$B$3:$B$5001,$A$133,BD!$AF$3:$AF$5001,"&lt;&gt;")=0,"",SUMIFS(BD!$AF$3:$AF$5001,BD!$A$3:$A$5001,I$3,BD!$B$3:$B$5001,$A$133)))</f>
        <v/>
      </c>
      <c r="J149" s="216" t="str">
        <f>IF(J$3="","",IF(COUNTIFS(BD!$A$3:$A$5001,J$3,BD!$B$3:$B$5001,$A$133,BD!$AF$3:$AF$5001,"&lt;&gt;")=0,"",SUMIFS(BD!$AF$3:$AF$5001,BD!$A$3:$A$5001,J$3,BD!$B$3:$B$5001,$A$133)))</f>
        <v/>
      </c>
      <c r="K149" s="216" t="str">
        <f>IF(K$3="","",IF(COUNTIFS(BD!$A$3:$A$5001,K$3,BD!$B$3:$B$5001,$A$133,BD!$AF$3:$AF$5001,"&lt;&gt;")=0,"",SUMIFS(BD!$AF$3:$AF$5001,BD!$A$3:$A$5001,K$3,BD!$B$3:$B$5001,$A$133)))</f>
        <v/>
      </c>
      <c r="L149" s="216" t="str">
        <f>IF(L$3="","",IF(COUNTIFS(BD!$A$3:$A$5001,L$3,BD!$B$3:$B$5001,$A$133,BD!$AF$3:$AF$5001,"&lt;&gt;")=0,"",SUMIFS(BD!$AF$3:$AF$5001,BD!$A$3:$A$5001,L$3,BD!$B$3:$B$5001,$A$133)))</f>
        <v/>
      </c>
      <c r="M149" s="216" t="str">
        <f>IF(M$3="","",IF(COUNTIFS(BD!$A$3:$A$5001,M$3,BD!$B$3:$B$5001,$A$133,BD!$AF$3:$AF$5001,"&lt;&gt;")=0,"",SUMIFS(BD!$AF$3:$AF$5001,BD!$A$3:$A$5001,M$3,BD!$B$3:$B$5001,$A$133)))</f>
        <v/>
      </c>
      <c r="N149" s="216" t="str">
        <f>IF(N$3="","",IF(COUNTIFS(BD!$A$3:$A$5001,N$3,BD!$B$3:$B$5001,$A$133,BD!$AF$3:$AF$5001,"&lt;&gt;")=0,"",SUMIFS(BD!$AF$3:$AF$5001,BD!$A$3:$A$5001,N$3,BD!$B$3:$B$5001,$A$133)))</f>
        <v/>
      </c>
      <c r="O149" s="216" t="str">
        <f>IF(O$3="","",IF(COUNTIFS(BD!$A$3:$A$5001,O$3,BD!$B$3:$B$5001,$A$133,BD!$AF$3:$AF$5001,"&lt;&gt;")=0,"",SUMIFS(BD!$AF$3:$AF$5001,BD!$A$3:$A$5001,O$3,BD!$B$3:$B$5001,$A$133)))</f>
        <v/>
      </c>
      <c r="P149" s="216" t="str">
        <f>IF(P$3="","",IF(COUNTIFS(BD!$A$3:$A$5001,P$3,BD!$B$3:$B$5001,$A$133,BD!$AF$3:$AF$5001,"&lt;&gt;")=0,"",SUMIFS(BD!$AF$3:$AF$5001,BD!$A$3:$A$5001,P$3,BD!$B$3:$B$5001,$A$133)))</f>
        <v/>
      </c>
      <c r="Q149" s="216" t="str">
        <f>IF(Q$3="","",IF(COUNTIFS(BD!$A$3:$A$5001,Q$3,BD!$B$3:$B$5001,$A$133,BD!$AF$3:$AF$5001,"&lt;&gt;")=0,"",SUMIFS(BD!$AF$3:$AF$5001,BD!$A$3:$A$5001,Q$3,BD!$B$3:$B$5001,$A$133)))</f>
        <v/>
      </c>
      <c r="R149" s="216" t="str">
        <f>IF(R$3="","",IF(COUNTIFS(BD!$A$3:$A$5001,R$3,BD!$B$3:$B$5001,$A$133,BD!$AF$3:$AF$5001,"&lt;&gt;")=0,"",SUMIFS(BD!$AF$3:$AF$5001,BD!$A$3:$A$5001,R$3,BD!$B$3:$B$5001,$A$133)))</f>
        <v/>
      </c>
      <c r="S149" s="216" t="str">
        <f>IF(S$3="","",IF(COUNTIFS(BD!$A$3:$A$5001,S$3,BD!$B$3:$B$5001,$A$133,BD!$AF$3:$AF$5001,"&lt;&gt;")=0,"",SUMIFS(BD!$AF$3:$AF$5001,BD!$A$3:$A$5001,S$3,BD!$B$3:$B$5001,$A$133)))</f>
        <v/>
      </c>
      <c r="T149" s="216" t="str">
        <f>IF(T$3="","",IF(COUNTIFS(BD!$A$3:$A$5001,T$3,BD!$B$3:$B$5001,$A$133,BD!$AF$3:$AF$5001,"&lt;&gt;")=0,"",SUMIFS(BD!$AF$3:$AF$5001,BD!$A$3:$A$5001,T$3,BD!$B$3:$B$5001,$A$133)))</f>
        <v/>
      </c>
      <c r="U149" s="216" t="str">
        <f>IF(U$3="","",IF(COUNTIFS(BD!$A$3:$A$5001,U$3,BD!$B$3:$B$5001,$A$133,BD!$AF$3:$AF$5001,"&lt;&gt;")=0,"",SUMIFS(BD!$AF$3:$AF$5001,BD!$A$3:$A$5001,U$3,BD!$B$3:$B$5001,$A$133)))</f>
        <v/>
      </c>
      <c r="V149" s="216" t="str">
        <f>IF(V$3="","",IF(COUNTIFS(BD!$A$3:$A$5001,V$3,BD!$B$3:$B$5001,$A$133,BD!$AF$3:$AF$5001,"&lt;&gt;")=0,"",SUMIFS(BD!$AF$3:$AF$5001,BD!$A$3:$A$5001,V$3,BD!$B$3:$B$5001,$A$133)))</f>
        <v/>
      </c>
      <c r="W149" s="216" t="str">
        <f>IF(W$3="","",IF(COUNTIFS(BD!$A$3:$A$5001,W$3,BD!$B$3:$B$5001,$A$133,BD!$AF$3:$AF$5001,"&lt;&gt;")=0,"",SUMIFS(BD!$AF$3:$AF$5001,BD!$A$3:$A$5001,W$3,BD!$B$3:$B$5001,$A$133)))</f>
        <v/>
      </c>
      <c r="X149" s="216" t="str">
        <f>IF(X$3="","",IF(COUNTIFS(BD!$A$3:$A$5001,X$3,BD!$B$3:$B$5001,$A$133,BD!$AF$3:$AF$5001,"&lt;&gt;")=0,"",SUMIFS(BD!$AF$3:$AF$5001,BD!$A$3:$A$5001,X$3,BD!$B$3:$B$5001,$A$133)))</f>
        <v/>
      </c>
      <c r="Y149" s="216" t="str">
        <f>IF(Y$3="","",IF(COUNTIFS(BD!$A$3:$A$5001,Y$3,BD!$B$3:$B$5001,$A$133,BD!$AF$3:$AF$5001,"&lt;&gt;")=0,"",SUMIFS(BD!$AF$3:$AF$5001,BD!$A$3:$A$5001,Y$3,BD!$B$3:$B$5001,$A$133)))</f>
        <v/>
      </c>
      <c r="Z149" s="216" t="str">
        <f>IF(Z$3="","",IF(COUNTIFS(BD!$A$3:$A$5001,Z$3,BD!$B$3:$B$5001,$A$133,BD!$AF$3:$AF$5001,"&lt;&gt;")=0,"",SUMIFS(BD!$AF$3:$AF$5001,BD!$A$3:$A$5001,Z$3,BD!$B$3:$B$5001,$A$133)))</f>
        <v/>
      </c>
      <c r="AA149" s="216" t="str">
        <f>IF(AA$3="","",IF(COUNTIFS(BD!$A$3:$A$5001,AA$3,BD!$B$3:$B$5001,$A$133,BD!$AF$3:$AF$5001,"&lt;&gt;")=0,"",SUMIFS(BD!$AF$3:$AF$5001,BD!$A$3:$A$5001,AA$3,BD!$B$3:$B$5001,$A$133)))</f>
        <v/>
      </c>
      <c r="AB149" s="216" t="str">
        <f>IF(AB$3="","",IF(COUNTIFS(BD!$A$3:$A$5001,AB$3,BD!$B$3:$B$5001,$A$133,BD!$AF$3:$AF$5001,"&lt;&gt;")=0,"",SUMIFS(BD!$AF$3:$AF$5001,BD!$A$3:$A$5001,AB$3,BD!$B$3:$B$5001,$A$133)))</f>
        <v/>
      </c>
      <c r="AC149" s="216" t="str">
        <f>IF(AC$3="","",IF(COUNTIFS(BD!$A$3:$A$5001,AC$3,BD!$B$3:$B$5001,$A$133,BD!$AF$3:$AF$5001,"&lt;&gt;")=0,"",SUMIFS(BD!$AF$3:$AF$5001,BD!$A$3:$A$5001,AC$3,BD!$B$3:$B$5001,$A$133)))</f>
        <v/>
      </c>
      <c r="AD149" s="216" t="str">
        <f>IF(AD$3="","",IF(COUNTIFS(BD!$A$3:$A$5001,AD$3,BD!$B$3:$B$5001,$A$133,BD!$AF$3:$AF$5001,"&lt;&gt;")=0,"",SUMIFS(BD!$AF$3:$AF$5001,BD!$A$3:$A$5001,AD$3,BD!$B$3:$B$5001,$A$133)))</f>
        <v/>
      </c>
      <c r="AE149" s="216" t="str">
        <f>IF(AE$3="","",IF(COUNTIFS(BD!$A$3:$A$5001,AE$3,BD!$B$3:$B$5001,$A$133,BD!$AF$3:$AF$5001,"&lt;&gt;")=0,"",SUMIFS(BD!$AF$3:$AF$5001,BD!$A$3:$A$5001,AE$3,BD!$B$3:$B$5001,$A$133)))</f>
        <v/>
      </c>
      <c r="AF149" s="216" t="str">
        <f>IF(AF$3="","",IF(COUNTIFS(BD!$A$3:$A$5001,AF$3,BD!$B$3:$B$5001,$A$133,BD!$AF$3:$AF$5001,"&lt;&gt;")=0,"",SUMIFS(BD!$AF$3:$AF$5001,BD!$A$3:$A$5001,AF$3,BD!$B$3:$B$5001,$A$133)))</f>
        <v/>
      </c>
      <c r="AG149" s="216" t="str">
        <f>IF(AG$3="","",IF(COUNTIFS(BD!$A$3:$A$5001,AG$3,BD!$B$3:$B$5001,$A$133,BD!$AF$3:$AF$5001,"&lt;&gt;")=0,"",SUMIFS(BD!$AF$3:$AF$5001,BD!$A$3:$A$5001,AG$3,BD!$B$3:$B$5001,$A$133)))</f>
        <v/>
      </c>
      <c r="AH149" s="216" t="str">
        <f>IF(AH$3="","",IF(COUNTIFS(BD!$A$3:$A$5001,AH$3,BD!$B$3:$B$5001,$A$133,BD!$AF$3:$AF$5001,"&lt;&gt;")=0,"",SUMIFS(BD!$AF$3:$AF$5001,BD!$A$3:$A$5001,AH$3,BD!$B$3:$B$5001,$A$133)))</f>
        <v/>
      </c>
      <c r="AI149" s="216" t="str">
        <f>IF(AI$3="","",IF(COUNTIFS(BD!$A$3:$A$5001,AI$3,BD!$B$3:$B$5001,$A$133,BD!$AF$3:$AF$5001,"&lt;&gt;")=0,"",SUMIFS(BD!$AF$3:$AF$5001,BD!$A$3:$A$5001,AI$3,BD!$B$3:$B$5001,$A$133)))</f>
        <v/>
      </c>
      <c r="AJ149" s="217" t="str">
        <f>IF(AJ$3="","",IF(COUNTIFS(BD!$A$3:$A$5001,AJ$3,BD!$B$3:$B$5001,$A$133,BD!$AF$3:$AF$5001,"&lt;&gt;")=0,"",SUMIFS(BD!$AF$3:$AF$5001,BD!$A$3:$A$5001,AJ$3,BD!$B$3:$B$5001,$A$133)))</f>
        <v/>
      </c>
      <c r="AK149" s="218" t="str">
        <f>IF(COUNT(F149:AJ149)=0,"",SUM(F149:AJ149))</f>
        <v/>
      </c>
    </row>
    <row r="150" ht="15.75" customHeight="1">
      <c r="A150" s="238"/>
      <c r="B150" s="235"/>
      <c r="C150" s="219" t="inlineStr">
        <is>
          <t xml:space="preserve">Acidentes SAF</t>
        </is>
      </c>
      <c r="D150" s="220" t="str">
        <f>IFERROR(1/(1/INDEX(BD!$AK$54:$AU$54,MATCH($A$133,BD!$AK$22:$AU$22,0))),"")</f>
        <v/>
      </c>
      <c r="E150" s="221"/>
      <c r="F150" s="222" t="str">
        <f>IF(F$3="","",IF(COUNTIFS(BD!$A$3:$A$5001,F$3,BD!$B$3:$B$5001,$A$133,BD!$AG$3:$AG$5001,"&lt;&gt;")=0,"",SUMIFS(BD!$AG$3:$AG$5001,BD!$A$3:$A$5001,F$3,BD!$B$3:$B$5001,$A$133)))</f>
        <v/>
      </c>
      <c r="G150" s="223" t="str">
        <f>IF(G$3="","",IF(COUNTIFS(BD!$A$3:$A$5001,G$3,BD!$B$3:$B$5001,$A$133,BD!$AG$3:$AG$5001,"&lt;&gt;")=0,"",SUMIFS(BD!$AG$3:$AG$5001,BD!$A$3:$A$5001,G$3,BD!$B$3:$B$5001,$A$133)))</f>
        <v/>
      </c>
      <c r="H150" s="223" t="str">
        <f>IF(H$3="","",IF(COUNTIFS(BD!$A$3:$A$5001,H$3,BD!$B$3:$B$5001,$A$133,BD!$AG$3:$AG$5001,"&lt;&gt;")=0,"",SUMIFS(BD!$AG$3:$AG$5001,BD!$A$3:$A$5001,H$3,BD!$B$3:$B$5001,$A$133)))</f>
        <v/>
      </c>
      <c r="I150" s="223" t="str">
        <f>IF(I$3="","",IF(COUNTIFS(BD!$A$3:$A$5001,I$3,BD!$B$3:$B$5001,$A$133,BD!$AG$3:$AG$5001,"&lt;&gt;")=0,"",SUMIFS(BD!$AG$3:$AG$5001,BD!$A$3:$A$5001,I$3,BD!$B$3:$B$5001,$A$133)))</f>
        <v/>
      </c>
      <c r="J150" s="223" t="str">
        <f>IF(J$3="","",IF(COUNTIFS(BD!$A$3:$A$5001,J$3,BD!$B$3:$B$5001,$A$133,BD!$AG$3:$AG$5001,"&lt;&gt;")=0,"",SUMIFS(BD!$AG$3:$AG$5001,BD!$A$3:$A$5001,J$3,BD!$B$3:$B$5001,$A$133)))</f>
        <v/>
      </c>
      <c r="K150" s="223" t="str">
        <f>IF(K$3="","",IF(COUNTIFS(BD!$A$3:$A$5001,K$3,BD!$B$3:$B$5001,$A$133,BD!$AG$3:$AG$5001,"&lt;&gt;")=0,"",SUMIFS(BD!$AG$3:$AG$5001,BD!$A$3:$A$5001,K$3,BD!$B$3:$B$5001,$A$133)))</f>
        <v/>
      </c>
      <c r="L150" s="223" t="str">
        <f>IF(L$3="","",IF(COUNTIFS(BD!$A$3:$A$5001,L$3,BD!$B$3:$B$5001,$A$133,BD!$AG$3:$AG$5001,"&lt;&gt;")=0,"",SUMIFS(BD!$AG$3:$AG$5001,BD!$A$3:$A$5001,L$3,BD!$B$3:$B$5001,$A$133)))</f>
        <v/>
      </c>
      <c r="M150" s="223" t="str">
        <f>IF(M$3="","",IF(COUNTIFS(BD!$A$3:$A$5001,M$3,BD!$B$3:$B$5001,$A$133,BD!$AG$3:$AG$5001,"&lt;&gt;")=0,"",SUMIFS(BD!$AG$3:$AG$5001,BD!$A$3:$A$5001,M$3,BD!$B$3:$B$5001,$A$133)))</f>
        <v/>
      </c>
      <c r="N150" s="223" t="str">
        <f>IF(N$3="","",IF(COUNTIFS(BD!$A$3:$A$5001,N$3,BD!$B$3:$B$5001,$A$133,BD!$AG$3:$AG$5001,"&lt;&gt;")=0,"",SUMIFS(BD!$AG$3:$AG$5001,BD!$A$3:$A$5001,N$3,BD!$B$3:$B$5001,$A$133)))</f>
        <v/>
      </c>
      <c r="O150" s="223" t="str">
        <f>IF(O$3="","",IF(COUNTIFS(BD!$A$3:$A$5001,O$3,BD!$B$3:$B$5001,$A$133,BD!$AG$3:$AG$5001,"&lt;&gt;")=0,"",SUMIFS(BD!$AG$3:$AG$5001,BD!$A$3:$A$5001,O$3,BD!$B$3:$B$5001,$A$133)))</f>
        <v/>
      </c>
      <c r="P150" s="223" t="str">
        <f>IF(P$3="","",IF(COUNTIFS(BD!$A$3:$A$5001,P$3,BD!$B$3:$B$5001,$A$133,BD!$AG$3:$AG$5001,"&lt;&gt;")=0,"",SUMIFS(BD!$AG$3:$AG$5001,BD!$A$3:$A$5001,P$3,BD!$B$3:$B$5001,$A$133)))</f>
        <v/>
      </c>
      <c r="Q150" s="223" t="str">
        <f>IF(Q$3="","",IF(COUNTIFS(BD!$A$3:$A$5001,Q$3,BD!$B$3:$B$5001,$A$133,BD!$AG$3:$AG$5001,"&lt;&gt;")=0,"",SUMIFS(BD!$AG$3:$AG$5001,BD!$A$3:$A$5001,Q$3,BD!$B$3:$B$5001,$A$133)))</f>
        <v/>
      </c>
      <c r="R150" s="223" t="str">
        <f>IF(R$3="","",IF(COUNTIFS(BD!$A$3:$A$5001,R$3,BD!$B$3:$B$5001,$A$133,BD!$AG$3:$AG$5001,"&lt;&gt;")=0,"",SUMIFS(BD!$AG$3:$AG$5001,BD!$A$3:$A$5001,R$3,BD!$B$3:$B$5001,$A$133)))</f>
        <v/>
      </c>
      <c r="S150" s="223" t="str">
        <f>IF(S$3="","",IF(COUNTIFS(BD!$A$3:$A$5001,S$3,BD!$B$3:$B$5001,$A$133,BD!$AG$3:$AG$5001,"&lt;&gt;")=0,"",SUMIFS(BD!$AG$3:$AG$5001,BD!$A$3:$A$5001,S$3,BD!$B$3:$B$5001,$A$133)))</f>
        <v/>
      </c>
      <c r="T150" s="223" t="str">
        <f>IF(T$3="","",IF(COUNTIFS(BD!$A$3:$A$5001,T$3,BD!$B$3:$B$5001,$A$133,BD!$AG$3:$AG$5001,"&lt;&gt;")=0,"",SUMIFS(BD!$AG$3:$AG$5001,BD!$A$3:$A$5001,T$3,BD!$B$3:$B$5001,$A$133)))</f>
        <v/>
      </c>
      <c r="U150" s="223" t="str">
        <f>IF(U$3="","",IF(COUNTIFS(BD!$A$3:$A$5001,U$3,BD!$B$3:$B$5001,$A$133,BD!$AG$3:$AG$5001,"&lt;&gt;")=0,"",SUMIFS(BD!$AG$3:$AG$5001,BD!$A$3:$A$5001,U$3,BD!$B$3:$B$5001,$A$133)))</f>
        <v/>
      </c>
      <c r="V150" s="223" t="str">
        <f>IF(V$3="","",IF(COUNTIFS(BD!$A$3:$A$5001,V$3,BD!$B$3:$B$5001,$A$133,BD!$AG$3:$AG$5001,"&lt;&gt;")=0,"",SUMIFS(BD!$AG$3:$AG$5001,BD!$A$3:$A$5001,V$3,BD!$B$3:$B$5001,$A$133)))</f>
        <v/>
      </c>
      <c r="W150" s="223" t="str">
        <f>IF(W$3="","",IF(COUNTIFS(BD!$A$3:$A$5001,W$3,BD!$B$3:$B$5001,$A$133,BD!$AG$3:$AG$5001,"&lt;&gt;")=0,"",SUMIFS(BD!$AG$3:$AG$5001,BD!$A$3:$A$5001,W$3,BD!$B$3:$B$5001,$A$133)))</f>
        <v/>
      </c>
      <c r="X150" s="223" t="str">
        <f>IF(X$3="","",IF(COUNTIFS(BD!$A$3:$A$5001,X$3,BD!$B$3:$B$5001,$A$133,BD!$AG$3:$AG$5001,"&lt;&gt;")=0,"",SUMIFS(BD!$AG$3:$AG$5001,BD!$A$3:$A$5001,X$3,BD!$B$3:$B$5001,$A$133)))</f>
        <v/>
      </c>
      <c r="Y150" s="223" t="str">
        <f>IF(Y$3="","",IF(COUNTIFS(BD!$A$3:$A$5001,Y$3,BD!$B$3:$B$5001,$A$133,BD!$AG$3:$AG$5001,"&lt;&gt;")=0,"",SUMIFS(BD!$AG$3:$AG$5001,BD!$A$3:$A$5001,Y$3,BD!$B$3:$B$5001,$A$133)))</f>
        <v/>
      </c>
      <c r="Z150" s="223" t="str">
        <f>IF(Z$3="","",IF(COUNTIFS(BD!$A$3:$A$5001,Z$3,BD!$B$3:$B$5001,$A$133,BD!$AG$3:$AG$5001,"&lt;&gt;")=0,"",SUMIFS(BD!$AG$3:$AG$5001,BD!$A$3:$A$5001,Z$3,BD!$B$3:$B$5001,$A$133)))</f>
        <v/>
      </c>
      <c r="AA150" s="223" t="str">
        <f>IF(AA$3="","",IF(COUNTIFS(BD!$A$3:$A$5001,AA$3,BD!$B$3:$B$5001,$A$133,BD!$AG$3:$AG$5001,"&lt;&gt;")=0,"",SUMIFS(BD!$AG$3:$AG$5001,BD!$A$3:$A$5001,AA$3,BD!$B$3:$B$5001,$A$133)))</f>
        <v/>
      </c>
      <c r="AB150" s="223" t="str">
        <f>IF(AB$3="","",IF(COUNTIFS(BD!$A$3:$A$5001,AB$3,BD!$B$3:$B$5001,$A$133,BD!$AG$3:$AG$5001,"&lt;&gt;")=0,"",SUMIFS(BD!$AG$3:$AG$5001,BD!$A$3:$A$5001,AB$3,BD!$B$3:$B$5001,$A$133)))</f>
        <v/>
      </c>
      <c r="AC150" s="223" t="str">
        <f>IF(AC$3="","",IF(COUNTIFS(BD!$A$3:$A$5001,AC$3,BD!$B$3:$B$5001,$A$133,BD!$AG$3:$AG$5001,"&lt;&gt;")=0,"",SUMIFS(BD!$AG$3:$AG$5001,BD!$A$3:$A$5001,AC$3,BD!$B$3:$B$5001,$A$133)))</f>
        <v/>
      </c>
      <c r="AD150" s="223" t="str">
        <f>IF(AD$3="","",IF(COUNTIFS(BD!$A$3:$A$5001,AD$3,BD!$B$3:$B$5001,$A$133,BD!$AG$3:$AG$5001,"&lt;&gt;")=0,"",SUMIFS(BD!$AG$3:$AG$5001,BD!$A$3:$A$5001,AD$3,BD!$B$3:$B$5001,$A$133)))</f>
        <v/>
      </c>
      <c r="AE150" s="223" t="str">
        <f>IF(AE$3="","",IF(COUNTIFS(BD!$A$3:$A$5001,AE$3,BD!$B$3:$B$5001,$A$133,BD!$AG$3:$AG$5001,"&lt;&gt;")=0,"",SUMIFS(BD!$AG$3:$AG$5001,BD!$A$3:$A$5001,AE$3,BD!$B$3:$B$5001,$A$133)))</f>
        <v/>
      </c>
      <c r="AF150" s="223" t="str">
        <f>IF(AF$3="","",IF(COUNTIFS(BD!$A$3:$A$5001,AF$3,BD!$B$3:$B$5001,$A$133,BD!$AG$3:$AG$5001,"&lt;&gt;")=0,"",SUMIFS(BD!$AG$3:$AG$5001,BD!$A$3:$A$5001,AF$3,BD!$B$3:$B$5001,$A$133)))</f>
        <v/>
      </c>
      <c r="AG150" s="223" t="str">
        <f>IF(AG$3="","",IF(COUNTIFS(BD!$A$3:$A$5001,AG$3,BD!$B$3:$B$5001,$A$133,BD!$AG$3:$AG$5001,"&lt;&gt;")=0,"",SUMIFS(BD!$AG$3:$AG$5001,BD!$A$3:$A$5001,AG$3,BD!$B$3:$B$5001,$A$133)))</f>
        <v/>
      </c>
      <c r="AH150" s="223" t="str">
        <f>IF(AH$3="","",IF(COUNTIFS(BD!$A$3:$A$5001,AH$3,BD!$B$3:$B$5001,$A$133,BD!$AG$3:$AG$5001,"&lt;&gt;")=0,"",SUMIFS(BD!$AG$3:$AG$5001,BD!$A$3:$A$5001,AH$3,BD!$B$3:$B$5001,$A$133)))</f>
        <v/>
      </c>
      <c r="AI150" s="223" t="str">
        <f>IF(AI$3="","",IF(COUNTIFS(BD!$A$3:$A$5001,AI$3,BD!$B$3:$B$5001,$A$133,BD!$AG$3:$AG$5001,"&lt;&gt;")=0,"",SUMIFS(BD!$AG$3:$AG$5001,BD!$A$3:$A$5001,AI$3,BD!$B$3:$B$5001,$A$133)))</f>
        <v/>
      </c>
      <c r="AJ150" s="224" t="str">
        <f>IF(AJ$3="","",IF(COUNTIFS(BD!$A$3:$A$5001,AJ$3,BD!$B$3:$B$5001,$A$133,BD!$AG$3:$AG$5001,"&lt;&gt;")=0,"",SUMIFS(BD!$AG$3:$AG$5001,BD!$A$3:$A$5001,AJ$3,BD!$B$3:$B$5001,$A$133)))</f>
        <v/>
      </c>
      <c r="AK150" s="220" t="str">
        <f>IF(COUNT(F150:AJ150)=0,"",SUM(F150:AJ150))</f>
        <v/>
      </c>
    </row>
    <row r="152" ht="15.75" customHeight="1">
      <c r="A152" s="236" t="inlineStr">
        <is>
          <t xml:space="preserve">Supply</t>
        </is>
      </c>
      <c r="B152" s="225" t="inlineStr">
        <is>
          <t xml:space="preserve">IN</t>
        </is>
      </c>
      <c r="C152" s="148" t="inlineStr">
        <is>
          <t xml:space="preserve">Veículos Recebidos</t>
        </is>
      </c>
      <c r="D152" s="149" t="str">
        <f>IFERROR(1/(1/INDEX(BD!$AK$23:$AU$23,MATCH($A$152,BD!$AK$22:$AU$22,0))),"")</f>
        <v/>
      </c>
      <c r="E152" s="150"/>
      <c r="F152" s="151" t="str">
        <f>IF(F$3="","",IF(COUNTIFS(BD!$A$3:$A$5001,F$3,BD!$B$3:$B$5001,$A$152,BD!$C$3:$C$5001,"&lt;&gt;")=0,"",SUMIFS(BD!$C$3:$C$5001,BD!$A$3:$A$5001,F$3,BD!$B$3:$B$5001,$A$152)))</f>
        <v/>
      </c>
      <c r="G152" s="152" t="str">
        <f>IF(G$3="","",IF(COUNTIFS(BD!$A$3:$A$5001,G$3,BD!$B$3:$B$5001,$A$152,BD!$C$3:$C$5001,"&lt;&gt;")=0,"",SUMIFS(BD!$C$3:$C$5001,BD!$A$3:$A$5001,G$3,BD!$B$3:$B$5001,$A$152)))</f>
        <v/>
      </c>
      <c r="H152" s="152" t="str">
        <f>IF(H$3="","",IF(COUNTIFS(BD!$A$3:$A$5001,H$3,BD!$B$3:$B$5001,$A$152,BD!$C$3:$C$5001,"&lt;&gt;")=0,"",SUMIFS(BD!$C$3:$C$5001,BD!$A$3:$A$5001,H$3,BD!$B$3:$B$5001,$A$152)))</f>
        <v/>
      </c>
      <c r="I152" s="152" t="str">
        <f>IF(I$3="","",IF(COUNTIFS(BD!$A$3:$A$5001,I$3,BD!$B$3:$B$5001,$A$152,BD!$C$3:$C$5001,"&lt;&gt;")=0,"",SUMIFS(BD!$C$3:$C$5001,BD!$A$3:$A$5001,I$3,BD!$B$3:$B$5001,$A$152)))</f>
        <v/>
      </c>
      <c r="J152" s="152" t="str">
        <f>IF(J$3="","",IF(COUNTIFS(BD!$A$3:$A$5001,J$3,BD!$B$3:$B$5001,$A$152,BD!$C$3:$C$5001,"&lt;&gt;")=0,"",SUMIFS(BD!$C$3:$C$5001,BD!$A$3:$A$5001,J$3,BD!$B$3:$B$5001,$A$152)))</f>
        <v/>
      </c>
      <c r="K152" s="152" t="str">
        <f>IF(K$3="","",IF(COUNTIFS(BD!$A$3:$A$5001,K$3,BD!$B$3:$B$5001,$A$152,BD!$C$3:$C$5001,"&lt;&gt;")=0,"",SUMIFS(BD!$C$3:$C$5001,BD!$A$3:$A$5001,K$3,BD!$B$3:$B$5001,$A$152)))</f>
        <v/>
      </c>
      <c r="L152" s="152" t="str">
        <f>IF(L$3="","",IF(COUNTIFS(BD!$A$3:$A$5001,L$3,BD!$B$3:$B$5001,$A$152,BD!$C$3:$C$5001,"&lt;&gt;")=0,"",SUMIFS(BD!$C$3:$C$5001,BD!$A$3:$A$5001,L$3,BD!$B$3:$B$5001,$A$152)))</f>
        <v/>
      </c>
      <c r="M152" s="152" t="str">
        <f>IF(M$3="","",IF(COUNTIFS(BD!$A$3:$A$5001,M$3,BD!$B$3:$B$5001,$A$152,BD!$C$3:$C$5001,"&lt;&gt;")=0,"",SUMIFS(BD!$C$3:$C$5001,BD!$A$3:$A$5001,M$3,BD!$B$3:$B$5001,$A$152)))</f>
        <v/>
      </c>
      <c r="N152" s="152" t="str">
        <f>IF(N$3="","",IF(COUNTIFS(BD!$A$3:$A$5001,N$3,BD!$B$3:$B$5001,$A$152,BD!$C$3:$C$5001,"&lt;&gt;")=0,"",SUMIFS(BD!$C$3:$C$5001,BD!$A$3:$A$5001,N$3,BD!$B$3:$B$5001,$A$152)))</f>
        <v/>
      </c>
      <c r="O152" s="152" t="str">
        <f>IF(O$3="","",IF(COUNTIFS(BD!$A$3:$A$5001,O$3,BD!$B$3:$B$5001,$A$152,BD!$C$3:$C$5001,"&lt;&gt;")=0,"",SUMIFS(BD!$C$3:$C$5001,BD!$A$3:$A$5001,O$3,BD!$B$3:$B$5001,$A$152)))</f>
        <v/>
      </c>
      <c r="P152" s="152" t="str">
        <f>IF(P$3="","",IF(COUNTIFS(BD!$A$3:$A$5001,P$3,BD!$B$3:$B$5001,$A$152,BD!$C$3:$C$5001,"&lt;&gt;")=0,"",SUMIFS(BD!$C$3:$C$5001,BD!$A$3:$A$5001,P$3,BD!$B$3:$B$5001,$A$152)))</f>
        <v/>
      </c>
      <c r="Q152" s="152" t="str">
        <f>IF(Q$3="","",IF(COUNTIFS(BD!$A$3:$A$5001,Q$3,BD!$B$3:$B$5001,$A$152,BD!$C$3:$C$5001,"&lt;&gt;")=0,"",SUMIFS(BD!$C$3:$C$5001,BD!$A$3:$A$5001,Q$3,BD!$B$3:$B$5001,$A$152)))</f>
        <v/>
      </c>
      <c r="R152" s="152" t="str">
        <f>IF(R$3="","",IF(COUNTIFS(BD!$A$3:$A$5001,R$3,BD!$B$3:$B$5001,$A$152,BD!$C$3:$C$5001,"&lt;&gt;")=0,"",SUMIFS(BD!$C$3:$C$5001,BD!$A$3:$A$5001,R$3,BD!$B$3:$B$5001,$A$152)))</f>
        <v/>
      </c>
      <c r="S152" s="152" t="str">
        <f>IF(S$3="","",IF(COUNTIFS(BD!$A$3:$A$5001,S$3,BD!$B$3:$B$5001,$A$152,BD!$C$3:$C$5001,"&lt;&gt;")=0,"",SUMIFS(BD!$C$3:$C$5001,BD!$A$3:$A$5001,S$3,BD!$B$3:$B$5001,$A$152)))</f>
        <v/>
      </c>
      <c r="T152" s="152" t="str">
        <f>IF(T$3="","",IF(COUNTIFS(BD!$A$3:$A$5001,T$3,BD!$B$3:$B$5001,$A$152,BD!$C$3:$C$5001,"&lt;&gt;")=0,"",SUMIFS(BD!$C$3:$C$5001,BD!$A$3:$A$5001,T$3,BD!$B$3:$B$5001,$A$152)))</f>
        <v/>
      </c>
      <c r="U152" s="152" t="str">
        <f>IF(U$3="","",IF(COUNTIFS(BD!$A$3:$A$5001,U$3,BD!$B$3:$B$5001,$A$152,BD!$C$3:$C$5001,"&lt;&gt;")=0,"",SUMIFS(BD!$C$3:$C$5001,BD!$A$3:$A$5001,U$3,BD!$B$3:$B$5001,$A$152)))</f>
        <v/>
      </c>
      <c r="V152" s="152" t="str">
        <f>IF(V$3="","",IF(COUNTIFS(BD!$A$3:$A$5001,V$3,BD!$B$3:$B$5001,$A$152,BD!$C$3:$C$5001,"&lt;&gt;")=0,"",SUMIFS(BD!$C$3:$C$5001,BD!$A$3:$A$5001,V$3,BD!$B$3:$B$5001,$A$152)))</f>
        <v/>
      </c>
      <c r="W152" s="152" t="str">
        <f>IF(W$3="","",IF(COUNTIFS(BD!$A$3:$A$5001,W$3,BD!$B$3:$B$5001,$A$152,BD!$C$3:$C$5001,"&lt;&gt;")=0,"",SUMIFS(BD!$C$3:$C$5001,BD!$A$3:$A$5001,W$3,BD!$B$3:$B$5001,$A$152)))</f>
        <v/>
      </c>
      <c r="X152" s="152" t="str">
        <f>IF(X$3="","",IF(COUNTIFS(BD!$A$3:$A$5001,X$3,BD!$B$3:$B$5001,$A$152,BD!$C$3:$C$5001,"&lt;&gt;")=0,"",SUMIFS(BD!$C$3:$C$5001,BD!$A$3:$A$5001,X$3,BD!$B$3:$B$5001,$A$152)))</f>
        <v/>
      </c>
      <c r="Y152" s="152" t="str">
        <f>IF(Y$3="","",IF(COUNTIFS(BD!$A$3:$A$5001,Y$3,BD!$B$3:$B$5001,$A$152,BD!$C$3:$C$5001,"&lt;&gt;")=0,"",SUMIFS(BD!$C$3:$C$5001,BD!$A$3:$A$5001,Y$3,BD!$B$3:$B$5001,$A$152)))</f>
        <v/>
      </c>
      <c r="Z152" s="152" t="str">
        <f>IF(Z$3="","",IF(COUNTIFS(BD!$A$3:$A$5001,Z$3,BD!$B$3:$B$5001,$A$152,BD!$C$3:$C$5001,"&lt;&gt;")=0,"",SUMIFS(BD!$C$3:$C$5001,BD!$A$3:$A$5001,Z$3,BD!$B$3:$B$5001,$A$152)))</f>
        <v/>
      </c>
      <c r="AA152" s="152" t="str">
        <f>IF(AA$3="","",IF(COUNTIFS(BD!$A$3:$A$5001,AA$3,BD!$B$3:$B$5001,$A$152,BD!$C$3:$C$5001,"&lt;&gt;")=0,"",SUMIFS(BD!$C$3:$C$5001,BD!$A$3:$A$5001,AA$3,BD!$B$3:$B$5001,$A$152)))</f>
        <v/>
      </c>
      <c r="AB152" s="152" t="str">
        <f>IF(AB$3="","",IF(COUNTIFS(BD!$A$3:$A$5001,AB$3,BD!$B$3:$B$5001,$A$152,BD!$C$3:$C$5001,"&lt;&gt;")=0,"",SUMIFS(BD!$C$3:$C$5001,BD!$A$3:$A$5001,AB$3,BD!$B$3:$B$5001,$A$152)))</f>
        <v/>
      </c>
      <c r="AC152" s="152" t="str">
        <f>IF(AC$3="","",IF(COUNTIFS(BD!$A$3:$A$5001,AC$3,BD!$B$3:$B$5001,$A$152,BD!$C$3:$C$5001,"&lt;&gt;")=0,"",SUMIFS(BD!$C$3:$C$5001,BD!$A$3:$A$5001,AC$3,BD!$B$3:$B$5001,$A$152)))</f>
        <v/>
      </c>
      <c r="AD152" s="152" t="str">
        <f>IF(AD$3="","",IF(COUNTIFS(BD!$A$3:$A$5001,AD$3,BD!$B$3:$B$5001,$A$152,BD!$C$3:$C$5001,"&lt;&gt;")=0,"",SUMIFS(BD!$C$3:$C$5001,BD!$A$3:$A$5001,AD$3,BD!$B$3:$B$5001,$A$152)))</f>
        <v/>
      </c>
      <c r="AE152" s="152" t="str">
        <f>IF(AE$3="","",IF(COUNTIFS(BD!$A$3:$A$5001,AE$3,BD!$B$3:$B$5001,$A$152,BD!$C$3:$C$5001,"&lt;&gt;")=0,"",SUMIFS(BD!$C$3:$C$5001,BD!$A$3:$A$5001,AE$3,BD!$B$3:$B$5001,$A$152)))</f>
        <v/>
      </c>
      <c r="AF152" s="152" t="str">
        <f>IF(AF$3="","",IF(COUNTIFS(BD!$A$3:$A$5001,AF$3,BD!$B$3:$B$5001,$A$152,BD!$C$3:$C$5001,"&lt;&gt;")=0,"",SUMIFS(BD!$C$3:$C$5001,BD!$A$3:$A$5001,AF$3,BD!$B$3:$B$5001,$A$152)))</f>
        <v/>
      </c>
      <c r="AG152" s="152" t="str">
        <f>IF(AG$3="","",IF(COUNTIFS(BD!$A$3:$A$5001,AG$3,BD!$B$3:$B$5001,$A$152,BD!$C$3:$C$5001,"&lt;&gt;")=0,"",SUMIFS(BD!$C$3:$C$5001,BD!$A$3:$A$5001,AG$3,BD!$B$3:$B$5001,$A$152)))</f>
        <v/>
      </c>
      <c r="AH152" s="152" t="str">
        <f>IF(AH$3="","",IF(COUNTIFS(BD!$A$3:$A$5001,AH$3,BD!$B$3:$B$5001,$A$152,BD!$C$3:$C$5001,"&lt;&gt;")=0,"",SUMIFS(BD!$C$3:$C$5001,BD!$A$3:$A$5001,AH$3,BD!$B$3:$B$5001,$A$152)))</f>
        <v/>
      </c>
      <c r="AI152" s="152" t="str">
        <f>IF(AI$3="","",IF(COUNTIFS(BD!$A$3:$A$5001,AI$3,BD!$B$3:$B$5001,$A$152,BD!$C$3:$C$5001,"&lt;&gt;")=0,"",SUMIFS(BD!$C$3:$C$5001,BD!$A$3:$A$5001,AI$3,BD!$B$3:$B$5001,$A$152)))</f>
        <v/>
      </c>
      <c r="AJ152" s="153" t="str">
        <f>IF(AJ$3="","",IF(COUNTIFS(BD!$A$3:$A$5001,AJ$3,BD!$B$3:$B$5001,$A$152,BD!$C$3:$C$5001,"&lt;&gt;")=0,"",SUMIFS(BD!$C$3:$C$5001,BD!$A$3:$A$5001,AJ$3,BD!$B$3:$B$5001,$A$152)))</f>
        <v/>
      </c>
      <c r="AK152" s="154" t="str">
        <f>IF(COUNT(F152:AJ152)=0,"",SUM(F152:AJ152))</f>
        <v/>
      </c>
    </row>
    <row r="153" ht="15.75" customHeight="1">
      <c r="A153" s="237"/>
      <c r="B153" s="232"/>
      <c r="C153" s="194" t="inlineStr">
        <is>
          <t xml:space="preserve">Pallets Movimentados</t>
        </is>
      </c>
      <c r="D153" s="195" t="str">
        <f>IFERROR(1/(1/INDEX(BD!$AK$24:$AU$24,MATCH($A$152,BD!$AK$22:$AU$22,0))),"")</f>
        <v/>
      </c>
      <c r="E153" s="196"/>
      <c r="F153" s="197" t="str">
        <f>IF(F$3="","",IF(COUNTIFS(BD!$A$3:$A$5001,F$3,BD!$B$3:$B$5001,$A$152,BD!$D$3:$D$5001,"&lt;&gt;")=0,"",SUMIFS(BD!$D$3:$D$5001,BD!$A$3:$A$5001,F$3,BD!$B$3:$B$5001,$A$152)))</f>
        <v/>
      </c>
      <c r="G153" s="198" t="str">
        <f>IF(G$3="","",IF(COUNTIFS(BD!$A$3:$A$5001,G$3,BD!$B$3:$B$5001,$A$152,BD!$D$3:$D$5001,"&lt;&gt;")=0,"",SUMIFS(BD!$D$3:$D$5001,BD!$A$3:$A$5001,G$3,BD!$B$3:$B$5001,$A$152)))</f>
        <v/>
      </c>
      <c r="H153" s="198" t="str">
        <f>IF(H$3="","",IF(COUNTIFS(BD!$A$3:$A$5001,H$3,BD!$B$3:$B$5001,$A$152,BD!$D$3:$D$5001,"&lt;&gt;")=0,"",SUMIFS(BD!$D$3:$D$5001,BD!$A$3:$A$5001,H$3,BD!$B$3:$B$5001,$A$152)))</f>
        <v/>
      </c>
      <c r="I153" s="198" t="str">
        <f>IF(I$3="","",IF(COUNTIFS(BD!$A$3:$A$5001,I$3,BD!$B$3:$B$5001,$A$152,BD!$D$3:$D$5001,"&lt;&gt;")=0,"",SUMIFS(BD!$D$3:$D$5001,BD!$A$3:$A$5001,I$3,BD!$B$3:$B$5001,$A$152)))</f>
        <v/>
      </c>
      <c r="J153" s="198" t="str">
        <f>IF(J$3="","",IF(COUNTIFS(BD!$A$3:$A$5001,J$3,BD!$B$3:$B$5001,$A$152,BD!$D$3:$D$5001,"&lt;&gt;")=0,"",SUMIFS(BD!$D$3:$D$5001,BD!$A$3:$A$5001,J$3,BD!$B$3:$B$5001,$A$152)))</f>
        <v/>
      </c>
      <c r="K153" s="198" t="str">
        <f>IF(K$3="","",IF(COUNTIFS(BD!$A$3:$A$5001,K$3,BD!$B$3:$B$5001,$A$152,BD!$D$3:$D$5001,"&lt;&gt;")=0,"",SUMIFS(BD!$D$3:$D$5001,BD!$A$3:$A$5001,K$3,BD!$B$3:$B$5001,$A$152)))</f>
        <v/>
      </c>
      <c r="L153" s="198" t="str">
        <f>IF(L$3="","",IF(COUNTIFS(BD!$A$3:$A$5001,L$3,BD!$B$3:$B$5001,$A$152,BD!$D$3:$D$5001,"&lt;&gt;")=0,"",SUMIFS(BD!$D$3:$D$5001,BD!$A$3:$A$5001,L$3,BD!$B$3:$B$5001,$A$152)))</f>
        <v/>
      </c>
      <c r="M153" s="198" t="str">
        <f>IF(M$3="","",IF(COUNTIFS(BD!$A$3:$A$5001,M$3,BD!$B$3:$B$5001,$A$152,BD!$D$3:$D$5001,"&lt;&gt;")=0,"",SUMIFS(BD!$D$3:$D$5001,BD!$A$3:$A$5001,M$3,BD!$B$3:$B$5001,$A$152)))</f>
        <v/>
      </c>
      <c r="N153" s="198" t="str">
        <f>IF(N$3="","",IF(COUNTIFS(BD!$A$3:$A$5001,N$3,BD!$B$3:$B$5001,$A$152,BD!$D$3:$D$5001,"&lt;&gt;")=0,"",SUMIFS(BD!$D$3:$D$5001,BD!$A$3:$A$5001,N$3,BD!$B$3:$B$5001,$A$152)))</f>
        <v/>
      </c>
      <c r="O153" s="198" t="str">
        <f>IF(O$3="","",IF(COUNTIFS(BD!$A$3:$A$5001,O$3,BD!$B$3:$B$5001,$A$152,BD!$D$3:$D$5001,"&lt;&gt;")=0,"",SUMIFS(BD!$D$3:$D$5001,BD!$A$3:$A$5001,O$3,BD!$B$3:$B$5001,$A$152)))</f>
        <v/>
      </c>
      <c r="P153" s="198" t="str">
        <f>IF(P$3="","",IF(COUNTIFS(BD!$A$3:$A$5001,P$3,BD!$B$3:$B$5001,$A$152,BD!$D$3:$D$5001,"&lt;&gt;")=0,"",SUMIFS(BD!$D$3:$D$5001,BD!$A$3:$A$5001,P$3,BD!$B$3:$B$5001,$A$152)))</f>
        <v/>
      </c>
      <c r="Q153" s="198" t="str">
        <f>IF(Q$3="","",IF(COUNTIFS(BD!$A$3:$A$5001,Q$3,BD!$B$3:$B$5001,$A$152,BD!$D$3:$D$5001,"&lt;&gt;")=0,"",SUMIFS(BD!$D$3:$D$5001,BD!$A$3:$A$5001,Q$3,BD!$B$3:$B$5001,$A$152)))</f>
        <v/>
      </c>
      <c r="R153" s="198" t="str">
        <f>IF(R$3="","",IF(COUNTIFS(BD!$A$3:$A$5001,R$3,BD!$B$3:$B$5001,$A$152,BD!$D$3:$D$5001,"&lt;&gt;")=0,"",SUMIFS(BD!$D$3:$D$5001,BD!$A$3:$A$5001,R$3,BD!$B$3:$B$5001,$A$152)))</f>
        <v/>
      </c>
      <c r="S153" s="198" t="str">
        <f>IF(S$3="","",IF(COUNTIFS(BD!$A$3:$A$5001,S$3,BD!$B$3:$B$5001,$A$152,BD!$D$3:$D$5001,"&lt;&gt;")=0,"",SUMIFS(BD!$D$3:$D$5001,BD!$A$3:$A$5001,S$3,BD!$B$3:$B$5001,$A$152)))</f>
        <v/>
      </c>
      <c r="T153" s="198" t="str">
        <f>IF(T$3="","",IF(COUNTIFS(BD!$A$3:$A$5001,T$3,BD!$B$3:$B$5001,$A$152,BD!$D$3:$D$5001,"&lt;&gt;")=0,"",SUMIFS(BD!$D$3:$D$5001,BD!$A$3:$A$5001,T$3,BD!$B$3:$B$5001,$A$152)))</f>
        <v/>
      </c>
      <c r="U153" s="198" t="str">
        <f>IF(U$3="","",IF(COUNTIFS(BD!$A$3:$A$5001,U$3,BD!$B$3:$B$5001,$A$152,BD!$D$3:$D$5001,"&lt;&gt;")=0,"",SUMIFS(BD!$D$3:$D$5001,BD!$A$3:$A$5001,U$3,BD!$B$3:$B$5001,$A$152)))</f>
        <v/>
      </c>
      <c r="V153" s="198" t="str">
        <f>IF(V$3="","",IF(COUNTIFS(BD!$A$3:$A$5001,V$3,BD!$B$3:$B$5001,$A$152,BD!$D$3:$D$5001,"&lt;&gt;")=0,"",SUMIFS(BD!$D$3:$D$5001,BD!$A$3:$A$5001,V$3,BD!$B$3:$B$5001,$A$152)))</f>
        <v/>
      </c>
      <c r="W153" s="198" t="str">
        <f>IF(W$3="","",IF(COUNTIFS(BD!$A$3:$A$5001,W$3,BD!$B$3:$B$5001,$A$152,BD!$D$3:$D$5001,"&lt;&gt;")=0,"",SUMIFS(BD!$D$3:$D$5001,BD!$A$3:$A$5001,W$3,BD!$B$3:$B$5001,$A$152)))</f>
        <v/>
      </c>
      <c r="X153" s="198" t="str">
        <f>IF(X$3="","",IF(COUNTIFS(BD!$A$3:$A$5001,X$3,BD!$B$3:$B$5001,$A$152,BD!$D$3:$D$5001,"&lt;&gt;")=0,"",SUMIFS(BD!$D$3:$D$5001,BD!$A$3:$A$5001,X$3,BD!$B$3:$B$5001,$A$152)))</f>
        <v/>
      </c>
      <c r="Y153" s="198" t="str">
        <f>IF(Y$3="","",IF(COUNTIFS(BD!$A$3:$A$5001,Y$3,BD!$B$3:$B$5001,$A$152,BD!$D$3:$D$5001,"&lt;&gt;")=0,"",SUMIFS(BD!$D$3:$D$5001,BD!$A$3:$A$5001,Y$3,BD!$B$3:$B$5001,$A$152)))</f>
        <v/>
      </c>
      <c r="Z153" s="198" t="str">
        <f>IF(Z$3="","",IF(COUNTIFS(BD!$A$3:$A$5001,Z$3,BD!$B$3:$B$5001,$A$152,BD!$D$3:$D$5001,"&lt;&gt;")=0,"",SUMIFS(BD!$D$3:$D$5001,BD!$A$3:$A$5001,Z$3,BD!$B$3:$B$5001,$A$152)))</f>
        <v/>
      </c>
      <c r="AA153" s="198" t="str">
        <f>IF(AA$3="","",IF(COUNTIFS(BD!$A$3:$A$5001,AA$3,BD!$B$3:$B$5001,$A$152,BD!$D$3:$D$5001,"&lt;&gt;")=0,"",SUMIFS(BD!$D$3:$D$5001,BD!$A$3:$A$5001,AA$3,BD!$B$3:$B$5001,$A$152)))</f>
        <v/>
      </c>
      <c r="AB153" s="198" t="str">
        <f>IF(AB$3="","",IF(COUNTIFS(BD!$A$3:$A$5001,AB$3,BD!$B$3:$B$5001,$A$152,BD!$D$3:$D$5001,"&lt;&gt;")=0,"",SUMIFS(BD!$D$3:$D$5001,BD!$A$3:$A$5001,AB$3,BD!$B$3:$B$5001,$A$152)))</f>
        <v/>
      </c>
      <c r="AC153" s="198" t="str">
        <f>IF(AC$3="","",IF(COUNTIFS(BD!$A$3:$A$5001,AC$3,BD!$B$3:$B$5001,$A$152,BD!$D$3:$D$5001,"&lt;&gt;")=0,"",SUMIFS(BD!$D$3:$D$5001,BD!$A$3:$A$5001,AC$3,BD!$B$3:$B$5001,$A$152)))</f>
        <v/>
      </c>
      <c r="AD153" s="198" t="str">
        <f>IF(AD$3="","",IF(COUNTIFS(BD!$A$3:$A$5001,AD$3,BD!$B$3:$B$5001,$A$152,BD!$D$3:$D$5001,"&lt;&gt;")=0,"",SUMIFS(BD!$D$3:$D$5001,BD!$A$3:$A$5001,AD$3,BD!$B$3:$B$5001,$A$152)))</f>
        <v/>
      </c>
      <c r="AE153" s="198" t="str">
        <f>IF(AE$3="","",IF(COUNTIFS(BD!$A$3:$A$5001,AE$3,BD!$B$3:$B$5001,$A$152,BD!$D$3:$D$5001,"&lt;&gt;")=0,"",SUMIFS(BD!$D$3:$D$5001,BD!$A$3:$A$5001,AE$3,BD!$B$3:$B$5001,$A$152)))</f>
        <v/>
      </c>
      <c r="AF153" s="198" t="str">
        <f>IF(AF$3="","",IF(COUNTIFS(BD!$A$3:$A$5001,AF$3,BD!$B$3:$B$5001,$A$152,BD!$D$3:$D$5001,"&lt;&gt;")=0,"",SUMIFS(BD!$D$3:$D$5001,BD!$A$3:$A$5001,AF$3,BD!$B$3:$B$5001,$A$152)))</f>
        <v/>
      </c>
      <c r="AG153" s="198" t="str">
        <f>IF(AG$3="","",IF(COUNTIFS(BD!$A$3:$A$5001,AG$3,BD!$B$3:$B$5001,$A$152,BD!$D$3:$D$5001,"&lt;&gt;")=0,"",SUMIFS(BD!$D$3:$D$5001,BD!$A$3:$A$5001,AG$3,BD!$B$3:$B$5001,$A$152)))</f>
        <v/>
      </c>
      <c r="AH153" s="198" t="str">
        <f>IF(AH$3="","",IF(COUNTIFS(BD!$A$3:$A$5001,AH$3,BD!$B$3:$B$5001,$A$152,BD!$D$3:$D$5001,"&lt;&gt;")=0,"",SUMIFS(BD!$D$3:$D$5001,BD!$A$3:$A$5001,AH$3,BD!$B$3:$B$5001,$A$152)))</f>
        <v/>
      </c>
      <c r="AI153" s="198" t="str">
        <f>IF(AI$3="","",IF(COUNTIFS(BD!$A$3:$A$5001,AI$3,BD!$B$3:$B$5001,$A$152,BD!$D$3:$D$5001,"&lt;&gt;")=0,"",SUMIFS(BD!$D$3:$D$5001,BD!$A$3:$A$5001,AI$3,BD!$B$3:$B$5001,$A$152)))</f>
        <v/>
      </c>
      <c r="AJ153" s="199" t="str">
        <f>IF(AJ$3="","",IF(COUNTIFS(BD!$A$3:$A$5001,AJ$3,BD!$B$3:$B$5001,$A$152,BD!$D$3:$D$5001,"&lt;&gt;")=0,"",SUMIFS(BD!$D$3:$D$5001,BD!$A$3:$A$5001,AJ$3,BD!$B$3:$B$5001,$A$152)))</f>
        <v/>
      </c>
      <c r="AK153" s="200" t="str">
        <f>IF(COUNT(F153:AJ153)=0,"",SUM(F153:AJ153))</f>
        <v/>
      </c>
    </row>
    <row r="154" ht="15.75" customHeight="1">
      <c r="A154" s="237"/>
      <c r="B154" s="226"/>
      <c r="C154" s="155" t="inlineStr">
        <is>
          <t xml:space="preserve">Toneladas Movimentadas</t>
        </is>
      </c>
      <c r="D154" s="156" t="str">
        <f>IFERROR(1/(1/INDEX(BD!$AK$25:$AU$25,MATCH($A$152,BD!$AK$22:$AU$22,0))),"")</f>
        <v/>
      </c>
      <c r="E154" s="157"/>
      <c r="F154" s="239" t="str">
        <f>IF(F$3="","",IF(COUNTIFS(BD!$A$3:$A$5001,F$3,BD!$B$3:$B$5001,$A$152,BD!$E$3:$E$5001,"&lt;&gt;")=0,"",SUMIFS(BD!$E$3:$E$5001,BD!$A$3:$A$5001,F$3,BD!$B$3:$B$5001,$A$152)))</f>
        <v/>
      </c>
      <c r="G154" s="240" t="str">
        <f>IF(G$3="","",IF(COUNTIFS(BD!$A$3:$A$5001,G$3,BD!$B$3:$B$5001,$A$152,BD!$E$3:$E$5001,"&lt;&gt;")=0,"",SUMIFS(BD!$E$3:$E$5001,BD!$A$3:$A$5001,G$3,BD!$B$3:$B$5001,$A$152)))</f>
        <v/>
      </c>
      <c r="H154" s="240" t="str">
        <f>IF(H$3="","",IF(COUNTIFS(BD!$A$3:$A$5001,H$3,BD!$B$3:$B$5001,$A$152,BD!$E$3:$E$5001,"&lt;&gt;")=0,"",SUMIFS(BD!$E$3:$E$5001,BD!$A$3:$A$5001,H$3,BD!$B$3:$B$5001,$A$152)))</f>
        <v/>
      </c>
      <c r="I154" s="240" t="str">
        <f>IF(I$3="","",IF(COUNTIFS(BD!$A$3:$A$5001,I$3,BD!$B$3:$B$5001,$A$152,BD!$E$3:$E$5001,"&lt;&gt;")=0,"",SUMIFS(BD!$E$3:$E$5001,BD!$A$3:$A$5001,I$3,BD!$B$3:$B$5001,$A$152)))</f>
        <v/>
      </c>
      <c r="J154" s="240" t="str">
        <f>IF(J$3="","",IF(COUNTIFS(BD!$A$3:$A$5001,J$3,BD!$B$3:$B$5001,$A$152,BD!$E$3:$E$5001,"&lt;&gt;")=0,"",SUMIFS(BD!$E$3:$E$5001,BD!$A$3:$A$5001,J$3,BD!$B$3:$B$5001,$A$152)))</f>
        <v/>
      </c>
      <c r="K154" s="240" t="str">
        <f>IF(K$3="","",IF(COUNTIFS(BD!$A$3:$A$5001,K$3,BD!$B$3:$B$5001,$A$152,BD!$E$3:$E$5001,"&lt;&gt;")=0,"",SUMIFS(BD!$E$3:$E$5001,BD!$A$3:$A$5001,K$3,BD!$B$3:$B$5001,$A$152)))</f>
        <v/>
      </c>
      <c r="L154" s="240" t="str">
        <f>IF(L$3="","",IF(COUNTIFS(BD!$A$3:$A$5001,L$3,BD!$B$3:$B$5001,$A$152,BD!$E$3:$E$5001,"&lt;&gt;")=0,"",SUMIFS(BD!$E$3:$E$5001,BD!$A$3:$A$5001,L$3,BD!$B$3:$B$5001,$A$152)))</f>
        <v/>
      </c>
      <c r="M154" s="240" t="str">
        <f>IF(M$3="","",IF(COUNTIFS(BD!$A$3:$A$5001,M$3,BD!$B$3:$B$5001,$A$152,BD!$E$3:$E$5001,"&lt;&gt;")=0,"",SUMIFS(BD!$E$3:$E$5001,BD!$A$3:$A$5001,M$3,BD!$B$3:$B$5001,$A$152)))</f>
        <v/>
      </c>
      <c r="N154" s="240" t="str">
        <f>IF(N$3="","",IF(COUNTIFS(BD!$A$3:$A$5001,N$3,BD!$B$3:$B$5001,$A$152,BD!$E$3:$E$5001,"&lt;&gt;")=0,"",SUMIFS(BD!$E$3:$E$5001,BD!$A$3:$A$5001,N$3,BD!$B$3:$B$5001,$A$152)))</f>
        <v/>
      </c>
      <c r="O154" s="240" t="str">
        <f>IF(O$3="","",IF(COUNTIFS(BD!$A$3:$A$5001,O$3,BD!$B$3:$B$5001,$A$152,BD!$E$3:$E$5001,"&lt;&gt;")=0,"",SUMIFS(BD!$E$3:$E$5001,BD!$A$3:$A$5001,O$3,BD!$B$3:$B$5001,$A$152)))</f>
        <v/>
      </c>
      <c r="P154" s="240" t="str">
        <f>IF(P$3="","",IF(COUNTIFS(BD!$A$3:$A$5001,P$3,BD!$B$3:$B$5001,$A$152,BD!$E$3:$E$5001,"&lt;&gt;")=0,"",SUMIFS(BD!$E$3:$E$5001,BD!$A$3:$A$5001,P$3,BD!$B$3:$B$5001,$A$152)))</f>
        <v/>
      </c>
      <c r="Q154" s="240" t="str">
        <f>IF(Q$3="","",IF(COUNTIFS(BD!$A$3:$A$5001,Q$3,BD!$B$3:$B$5001,$A$152,BD!$E$3:$E$5001,"&lt;&gt;")=0,"",SUMIFS(BD!$E$3:$E$5001,BD!$A$3:$A$5001,Q$3,BD!$B$3:$B$5001,$A$152)))</f>
        <v/>
      </c>
      <c r="R154" s="240" t="str">
        <f>IF(R$3="","",IF(COUNTIFS(BD!$A$3:$A$5001,R$3,BD!$B$3:$B$5001,$A$152,BD!$E$3:$E$5001,"&lt;&gt;")=0,"",SUMIFS(BD!$E$3:$E$5001,BD!$A$3:$A$5001,R$3,BD!$B$3:$B$5001,$A$152)))</f>
        <v/>
      </c>
      <c r="S154" s="240" t="str">
        <f>IF(S$3="","",IF(COUNTIFS(BD!$A$3:$A$5001,S$3,BD!$B$3:$B$5001,$A$152,BD!$E$3:$E$5001,"&lt;&gt;")=0,"",SUMIFS(BD!$E$3:$E$5001,BD!$A$3:$A$5001,S$3,BD!$B$3:$B$5001,$A$152)))</f>
        <v/>
      </c>
      <c r="T154" s="240" t="str">
        <f>IF(T$3="","",IF(COUNTIFS(BD!$A$3:$A$5001,T$3,BD!$B$3:$B$5001,$A$152,BD!$E$3:$E$5001,"&lt;&gt;")=0,"",SUMIFS(BD!$E$3:$E$5001,BD!$A$3:$A$5001,T$3,BD!$B$3:$B$5001,$A$152)))</f>
        <v/>
      </c>
      <c r="U154" s="240" t="str">
        <f>IF(U$3="","",IF(COUNTIFS(BD!$A$3:$A$5001,U$3,BD!$B$3:$B$5001,$A$152,BD!$E$3:$E$5001,"&lt;&gt;")=0,"",SUMIFS(BD!$E$3:$E$5001,BD!$A$3:$A$5001,U$3,BD!$B$3:$B$5001,$A$152)))</f>
        <v/>
      </c>
      <c r="V154" s="240" t="str">
        <f>IF(V$3="","",IF(COUNTIFS(BD!$A$3:$A$5001,V$3,BD!$B$3:$B$5001,$A$152,BD!$E$3:$E$5001,"&lt;&gt;")=0,"",SUMIFS(BD!$E$3:$E$5001,BD!$A$3:$A$5001,V$3,BD!$B$3:$B$5001,$A$152)))</f>
        <v/>
      </c>
      <c r="W154" s="240" t="str">
        <f>IF(W$3="","",IF(COUNTIFS(BD!$A$3:$A$5001,W$3,BD!$B$3:$B$5001,$A$152,BD!$E$3:$E$5001,"&lt;&gt;")=0,"",SUMIFS(BD!$E$3:$E$5001,BD!$A$3:$A$5001,W$3,BD!$B$3:$B$5001,$A$152)))</f>
        <v/>
      </c>
      <c r="X154" s="240" t="str">
        <f>IF(X$3="","",IF(COUNTIFS(BD!$A$3:$A$5001,X$3,BD!$B$3:$B$5001,$A$152,BD!$E$3:$E$5001,"&lt;&gt;")=0,"",SUMIFS(BD!$E$3:$E$5001,BD!$A$3:$A$5001,X$3,BD!$B$3:$B$5001,$A$152)))</f>
        <v/>
      </c>
      <c r="Y154" s="240" t="str">
        <f>IF(Y$3="","",IF(COUNTIFS(BD!$A$3:$A$5001,Y$3,BD!$B$3:$B$5001,$A$152,BD!$E$3:$E$5001,"&lt;&gt;")=0,"",SUMIFS(BD!$E$3:$E$5001,BD!$A$3:$A$5001,Y$3,BD!$B$3:$B$5001,$A$152)))</f>
        <v/>
      </c>
      <c r="Z154" s="240" t="str">
        <f>IF(Z$3="","",IF(COUNTIFS(BD!$A$3:$A$5001,Z$3,BD!$B$3:$B$5001,$A$152,BD!$E$3:$E$5001,"&lt;&gt;")=0,"",SUMIFS(BD!$E$3:$E$5001,BD!$A$3:$A$5001,Z$3,BD!$B$3:$B$5001,$A$152)))</f>
        <v/>
      </c>
      <c r="AA154" s="240" t="str">
        <f>IF(AA$3="","",IF(COUNTIFS(BD!$A$3:$A$5001,AA$3,BD!$B$3:$B$5001,$A$152,BD!$E$3:$E$5001,"&lt;&gt;")=0,"",SUMIFS(BD!$E$3:$E$5001,BD!$A$3:$A$5001,AA$3,BD!$B$3:$B$5001,$A$152)))</f>
        <v/>
      </c>
      <c r="AB154" s="240" t="str">
        <f>IF(AB$3="","",IF(COUNTIFS(BD!$A$3:$A$5001,AB$3,BD!$B$3:$B$5001,$A$152,BD!$E$3:$E$5001,"&lt;&gt;")=0,"",SUMIFS(BD!$E$3:$E$5001,BD!$A$3:$A$5001,AB$3,BD!$B$3:$B$5001,$A$152)))</f>
        <v/>
      </c>
      <c r="AC154" s="240" t="str">
        <f>IF(AC$3="","",IF(COUNTIFS(BD!$A$3:$A$5001,AC$3,BD!$B$3:$B$5001,$A$152,BD!$E$3:$E$5001,"&lt;&gt;")=0,"",SUMIFS(BD!$E$3:$E$5001,BD!$A$3:$A$5001,AC$3,BD!$B$3:$B$5001,$A$152)))</f>
        <v/>
      </c>
      <c r="AD154" s="240" t="str">
        <f>IF(AD$3="","",IF(COUNTIFS(BD!$A$3:$A$5001,AD$3,BD!$B$3:$B$5001,$A$152,BD!$E$3:$E$5001,"&lt;&gt;")=0,"",SUMIFS(BD!$E$3:$E$5001,BD!$A$3:$A$5001,AD$3,BD!$B$3:$B$5001,$A$152)))</f>
        <v/>
      </c>
      <c r="AE154" s="240" t="str">
        <f>IF(AE$3="","",IF(COUNTIFS(BD!$A$3:$A$5001,AE$3,BD!$B$3:$B$5001,$A$152,BD!$E$3:$E$5001,"&lt;&gt;")=0,"",SUMIFS(BD!$E$3:$E$5001,BD!$A$3:$A$5001,AE$3,BD!$B$3:$B$5001,$A$152)))</f>
        <v/>
      </c>
      <c r="AF154" s="240" t="str">
        <f>IF(AF$3="","",IF(COUNTIFS(BD!$A$3:$A$5001,AF$3,BD!$B$3:$B$5001,$A$152,BD!$E$3:$E$5001,"&lt;&gt;")=0,"",SUMIFS(BD!$E$3:$E$5001,BD!$A$3:$A$5001,AF$3,BD!$B$3:$B$5001,$A$152)))</f>
        <v/>
      </c>
      <c r="AG154" s="240" t="str">
        <f>IF(AG$3="","",IF(COUNTIFS(BD!$A$3:$A$5001,AG$3,BD!$B$3:$B$5001,$A$152,BD!$E$3:$E$5001,"&lt;&gt;")=0,"",SUMIFS(BD!$E$3:$E$5001,BD!$A$3:$A$5001,AG$3,BD!$B$3:$B$5001,$A$152)))</f>
        <v/>
      </c>
      <c r="AH154" s="240" t="str">
        <f>IF(AH$3="","",IF(COUNTIFS(BD!$A$3:$A$5001,AH$3,BD!$B$3:$B$5001,$A$152,BD!$E$3:$E$5001,"&lt;&gt;")=0,"",SUMIFS(BD!$E$3:$E$5001,BD!$A$3:$A$5001,AH$3,BD!$B$3:$B$5001,$A$152)))</f>
        <v/>
      </c>
      <c r="AI154" s="240" t="str">
        <f>IF(AI$3="","",IF(COUNTIFS(BD!$A$3:$A$5001,AI$3,BD!$B$3:$B$5001,$A$152,BD!$E$3:$E$5001,"&lt;&gt;")=0,"",SUMIFS(BD!$E$3:$E$5001,BD!$A$3:$A$5001,AI$3,BD!$B$3:$B$5001,$A$152)))</f>
        <v/>
      </c>
      <c r="AJ154" s="241" t="str">
        <f>IF(AJ$3="","",IF(COUNTIFS(BD!$A$3:$A$5001,AJ$3,BD!$B$3:$B$5001,$A$152,BD!$E$3:$E$5001,"&lt;&gt;")=0,"",SUMIFS(BD!$E$3:$E$5001,BD!$A$3:$A$5001,AJ$3,BD!$B$3:$B$5001,$A$152)))</f>
        <v/>
      </c>
      <c r="AK154" s="242" t="str">
        <f>IF(COUNT(F154:AJ154)=0,"",SUM(F154:AJ154))</f>
        <v/>
      </c>
    </row>
    <row r="155" ht="15.75" customHeight="1">
      <c r="A155" s="237"/>
      <c r="B155" s="227" t="inlineStr">
        <is>
          <t xml:space="preserve">OUT</t>
        </is>
      </c>
      <c r="C155" s="161" t="inlineStr">
        <is>
          <t xml:space="preserve">Veículos Expedidos</t>
        </is>
      </c>
      <c r="D155" s="162" t="str">
        <f>IFERROR(1/(1/INDEX(BD!$AK$32:$AU$32,MATCH($A$152,BD!$AK$22:$AU$22,0))),"")</f>
        <v/>
      </c>
      <c r="E155" s="163"/>
      <c r="F155" s="164" t="str">
        <f>IF(F$3="","",IF(COUNTIFS(BD!$A$3:$A$5001,F$3,BD!$B$3:$B$5001,$A$152,BD!$L$3:$L$5001,"&lt;&gt;")=0,"",SUMIFS(BD!$L$3:$L$5001,BD!$A$3:$A$5001,F$3,BD!$B$3:$B$5001,$A$152)))</f>
        <v/>
      </c>
      <c r="G155" s="165" t="str">
        <f>IF(G$3="","",IF(COUNTIFS(BD!$A$3:$A$5001,G$3,BD!$B$3:$B$5001,$A$152,BD!$L$3:$L$5001,"&lt;&gt;")=0,"",SUMIFS(BD!$L$3:$L$5001,BD!$A$3:$A$5001,G$3,BD!$B$3:$B$5001,$A$152)))</f>
        <v/>
      </c>
      <c r="H155" s="165" t="str">
        <f>IF(H$3="","",IF(COUNTIFS(BD!$A$3:$A$5001,H$3,BD!$B$3:$B$5001,$A$152,BD!$L$3:$L$5001,"&lt;&gt;")=0,"",SUMIFS(BD!$L$3:$L$5001,BD!$A$3:$A$5001,H$3,BD!$B$3:$B$5001,$A$152)))</f>
        <v/>
      </c>
      <c r="I155" s="165" t="str">
        <f>IF(I$3="","",IF(COUNTIFS(BD!$A$3:$A$5001,I$3,BD!$B$3:$B$5001,$A$152,BD!$L$3:$L$5001,"&lt;&gt;")=0,"",SUMIFS(BD!$L$3:$L$5001,BD!$A$3:$A$5001,I$3,BD!$B$3:$B$5001,$A$152)))</f>
        <v/>
      </c>
      <c r="J155" s="165" t="str">
        <f>IF(J$3="","",IF(COUNTIFS(BD!$A$3:$A$5001,J$3,BD!$B$3:$B$5001,$A$152,BD!$L$3:$L$5001,"&lt;&gt;")=0,"",SUMIFS(BD!$L$3:$L$5001,BD!$A$3:$A$5001,J$3,BD!$B$3:$B$5001,$A$152)))</f>
        <v/>
      </c>
      <c r="K155" s="165" t="str">
        <f>IF(K$3="","",IF(COUNTIFS(BD!$A$3:$A$5001,K$3,BD!$B$3:$B$5001,$A$152,BD!$L$3:$L$5001,"&lt;&gt;")=0,"",SUMIFS(BD!$L$3:$L$5001,BD!$A$3:$A$5001,K$3,BD!$B$3:$B$5001,$A$152)))</f>
        <v/>
      </c>
      <c r="L155" s="165" t="str">
        <f>IF(L$3="","",IF(COUNTIFS(BD!$A$3:$A$5001,L$3,BD!$B$3:$B$5001,$A$152,BD!$L$3:$L$5001,"&lt;&gt;")=0,"",SUMIFS(BD!$L$3:$L$5001,BD!$A$3:$A$5001,L$3,BD!$B$3:$B$5001,$A$152)))</f>
        <v/>
      </c>
      <c r="M155" s="165" t="str">
        <f>IF(M$3="","",IF(COUNTIFS(BD!$A$3:$A$5001,M$3,BD!$B$3:$B$5001,$A$152,BD!$L$3:$L$5001,"&lt;&gt;")=0,"",SUMIFS(BD!$L$3:$L$5001,BD!$A$3:$A$5001,M$3,BD!$B$3:$B$5001,$A$152)))</f>
        <v/>
      </c>
      <c r="N155" s="165" t="str">
        <f>IF(N$3="","",IF(COUNTIFS(BD!$A$3:$A$5001,N$3,BD!$B$3:$B$5001,$A$152,BD!$L$3:$L$5001,"&lt;&gt;")=0,"",SUMIFS(BD!$L$3:$L$5001,BD!$A$3:$A$5001,N$3,BD!$B$3:$B$5001,$A$152)))</f>
        <v/>
      </c>
      <c r="O155" s="165" t="str">
        <f>IF(O$3="","",IF(COUNTIFS(BD!$A$3:$A$5001,O$3,BD!$B$3:$B$5001,$A$152,BD!$L$3:$L$5001,"&lt;&gt;")=0,"",SUMIFS(BD!$L$3:$L$5001,BD!$A$3:$A$5001,O$3,BD!$B$3:$B$5001,$A$152)))</f>
        <v/>
      </c>
      <c r="P155" s="165" t="str">
        <f>IF(P$3="","",IF(COUNTIFS(BD!$A$3:$A$5001,P$3,BD!$B$3:$B$5001,$A$152,BD!$L$3:$L$5001,"&lt;&gt;")=0,"",SUMIFS(BD!$L$3:$L$5001,BD!$A$3:$A$5001,P$3,BD!$B$3:$B$5001,$A$152)))</f>
        <v/>
      </c>
      <c r="Q155" s="165" t="str">
        <f>IF(Q$3="","",IF(COUNTIFS(BD!$A$3:$A$5001,Q$3,BD!$B$3:$B$5001,$A$152,BD!$L$3:$L$5001,"&lt;&gt;")=0,"",SUMIFS(BD!$L$3:$L$5001,BD!$A$3:$A$5001,Q$3,BD!$B$3:$B$5001,$A$152)))</f>
        <v/>
      </c>
      <c r="R155" s="165" t="str">
        <f>IF(R$3="","",IF(COUNTIFS(BD!$A$3:$A$5001,R$3,BD!$B$3:$B$5001,$A$152,BD!$L$3:$L$5001,"&lt;&gt;")=0,"",SUMIFS(BD!$L$3:$L$5001,BD!$A$3:$A$5001,R$3,BD!$B$3:$B$5001,$A$152)))</f>
        <v/>
      </c>
      <c r="S155" s="165" t="str">
        <f>IF(S$3="","",IF(COUNTIFS(BD!$A$3:$A$5001,S$3,BD!$B$3:$B$5001,$A$152,BD!$L$3:$L$5001,"&lt;&gt;")=0,"",SUMIFS(BD!$L$3:$L$5001,BD!$A$3:$A$5001,S$3,BD!$B$3:$B$5001,$A$152)))</f>
        <v/>
      </c>
      <c r="T155" s="165" t="str">
        <f>IF(T$3="","",IF(COUNTIFS(BD!$A$3:$A$5001,T$3,BD!$B$3:$B$5001,$A$152,BD!$L$3:$L$5001,"&lt;&gt;")=0,"",SUMIFS(BD!$L$3:$L$5001,BD!$A$3:$A$5001,T$3,BD!$B$3:$B$5001,$A$152)))</f>
        <v/>
      </c>
      <c r="U155" s="165" t="str">
        <f>IF(U$3="","",IF(COUNTIFS(BD!$A$3:$A$5001,U$3,BD!$B$3:$B$5001,$A$152,BD!$L$3:$L$5001,"&lt;&gt;")=0,"",SUMIFS(BD!$L$3:$L$5001,BD!$A$3:$A$5001,U$3,BD!$B$3:$B$5001,$A$152)))</f>
        <v/>
      </c>
      <c r="V155" s="165" t="str">
        <f>IF(V$3="","",IF(COUNTIFS(BD!$A$3:$A$5001,V$3,BD!$B$3:$B$5001,$A$152,BD!$L$3:$L$5001,"&lt;&gt;")=0,"",SUMIFS(BD!$L$3:$L$5001,BD!$A$3:$A$5001,V$3,BD!$B$3:$B$5001,$A$152)))</f>
        <v/>
      </c>
      <c r="W155" s="165" t="str">
        <f>IF(W$3="","",IF(COUNTIFS(BD!$A$3:$A$5001,W$3,BD!$B$3:$B$5001,$A$152,BD!$L$3:$L$5001,"&lt;&gt;")=0,"",SUMIFS(BD!$L$3:$L$5001,BD!$A$3:$A$5001,W$3,BD!$B$3:$B$5001,$A$152)))</f>
        <v/>
      </c>
      <c r="X155" s="165" t="str">
        <f>IF(X$3="","",IF(COUNTIFS(BD!$A$3:$A$5001,X$3,BD!$B$3:$B$5001,$A$152,BD!$L$3:$L$5001,"&lt;&gt;")=0,"",SUMIFS(BD!$L$3:$L$5001,BD!$A$3:$A$5001,X$3,BD!$B$3:$B$5001,$A$152)))</f>
        <v/>
      </c>
      <c r="Y155" s="165" t="str">
        <f>IF(Y$3="","",IF(COUNTIFS(BD!$A$3:$A$5001,Y$3,BD!$B$3:$B$5001,$A$152,BD!$L$3:$L$5001,"&lt;&gt;")=0,"",SUMIFS(BD!$L$3:$L$5001,BD!$A$3:$A$5001,Y$3,BD!$B$3:$B$5001,$A$152)))</f>
        <v/>
      </c>
      <c r="Z155" s="165" t="str">
        <f>IF(Z$3="","",IF(COUNTIFS(BD!$A$3:$A$5001,Z$3,BD!$B$3:$B$5001,$A$152,BD!$L$3:$L$5001,"&lt;&gt;")=0,"",SUMIFS(BD!$L$3:$L$5001,BD!$A$3:$A$5001,Z$3,BD!$B$3:$B$5001,$A$152)))</f>
        <v/>
      </c>
      <c r="AA155" s="165" t="str">
        <f>IF(AA$3="","",IF(COUNTIFS(BD!$A$3:$A$5001,AA$3,BD!$B$3:$B$5001,$A$152,BD!$L$3:$L$5001,"&lt;&gt;")=0,"",SUMIFS(BD!$L$3:$L$5001,BD!$A$3:$A$5001,AA$3,BD!$B$3:$B$5001,$A$152)))</f>
        <v/>
      </c>
      <c r="AB155" s="165" t="str">
        <f>IF(AB$3="","",IF(COUNTIFS(BD!$A$3:$A$5001,AB$3,BD!$B$3:$B$5001,$A$152,BD!$L$3:$L$5001,"&lt;&gt;")=0,"",SUMIFS(BD!$L$3:$L$5001,BD!$A$3:$A$5001,AB$3,BD!$B$3:$B$5001,$A$152)))</f>
        <v/>
      </c>
      <c r="AC155" s="165" t="str">
        <f>IF(AC$3="","",IF(COUNTIFS(BD!$A$3:$A$5001,AC$3,BD!$B$3:$B$5001,$A$152,BD!$L$3:$L$5001,"&lt;&gt;")=0,"",SUMIFS(BD!$L$3:$L$5001,BD!$A$3:$A$5001,AC$3,BD!$B$3:$B$5001,$A$152)))</f>
        <v/>
      </c>
      <c r="AD155" s="165" t="str">
        <f>IF(AD$3="","",IF(COUNTIFS(BD!$A$3:$A$5001,AD$3,BD!$B$3:$B$5001,$A$152,BD!$L$3:$L$5001,"&lt;&gt;")=0,"",SUMIFS(BD!$L$3:$L$5001,BD!$A$3:$A$5001,AD$3,BD!$B$3:$B$5001,$A$152)))</f>
        <v/>
      </c>
      <c r="AE155" s="165" t="str">
        <f>IF(AE$3="","",IF(COUNTIFS(BD!$A$3:$A$5001,AE$3,BD!$B$3:$B$5001,$A$152,BD!$L$3:$L$5001,"&lt;&gt;")=0,"",SUMIFS(BD!$L$3:$L$5001,BD!$A$3:$A$5001,AE$3,BD!$B$3:$B$5001,$A$152)))</f>
        <v/>
      </c>
      <c r="AF155" s="165" t="str">
        <f>IF(AF$3="","",IF(COUNTIFS(BD!$A$3:$A$5001,AF$3,BD!$B$3:$B$5001,$A$152,BD!$L$3:$L$5001,"&lt;&gt;")=0,"",SUMIFS(BD!$L$3:$L$5001,BD!$A$3:$A$5001,AF$3,BD!$B$3:$B$5001,$A$152)))</f>
        <v/>
      </c>
      <c r="AG155" s="165" t="str">
        <f>IF(AG$3="","",IF(COUNTIFS(BD!$A$3:$A$5001,AG$3,BD!$B$3:$B$5001,$A$152,BD!$L$3:$L$5001,"&lt;&gt;")=0,"",SUMIFS(BD!$L$3:$L$5001,BD!$A$3:$A$5001,AG$3,BD!$B$3:$B$5001,$A$152)))</f>
        <v/>
      </c>
      <c r="AH155" s="165" t="str">
        <f>IF(AH$3="","",IF(COUNTIFS(BD!$A$3:$A$5001,AH$3,BD!$B$3:$B$5001,$A$152,BD!$L$3:$L$5001,"&lt;&gt;")=0,"",SUMIFS(BD!$L$3:$L$5001,BD!$A$3:$A$5001,AH$3,BD!$B$3:$B$5001,$A$152)))</f>
        <v/>
      </c>
      <c r="AI155" s="165" t="str">
        <f>IF(AI$3="","",IF(COUNTIFS(BD!$A$3:$A$5001,AI$3,BD!$B$3:$B$5001,$A$152,BD!$L$3:$L$5001,"&lt;&gt;")=0,"",SUMIFS(BD!$L$3:$L$5001,BD!$A$3:$A$5001,AI$3,BD!$B$3:$B$5001,$A$152)))</f>
        <v/>
      </c>
      <c r="AJ155" s="166" t="str">
        <f>IF(AJ$3="","",IF(COUNTIFS(BD!$A$3:$A$5001,AJ$3,BD!$B$3:$B$5001,$A$152,BD!$L$3:$L$5001,"&lt;&gt;")=0,"",SUMIFS(BD!$L$3:$L$5001,BD!$A$3:$A$5001,AJ$3,BD!$B$3:$B$5001,$A$152)))</f>
        <v/>
      </c>
      <c r="AK155" s="167" t="str">
        <f>IF(COUNT(F155:AJ155)=0,"",SUM(F155:AJ155))</f>
        <v/>
      </c>
    </row>
    <row r="156" ht="15.75" customHeight="1">
      <c r="A156" s="237"/>
      <c r="B156" s="254"/>
      <c r="C156" s="243" t="inlineStr">
        <is>
          <t xml:space="preserve">Pallets Movimentados</t>
        </is>
      </c>
      <c r="D156" s="244" t="str">
        <f>IFERROR(1/(1/INDEX(BD!$AK$39:$AU$39,MATCH($A$152,BD!$AK$22:$AU$22,0))),"")</f>
        <v/>
      </c>
      <c r="E156" s="245"/>
      <c r="F156" s="246" t="str">
        <f>IF(F$3="","",IF(COUNTIFS(BD!$A$3:$A$5001,F$3,BD!$B$3:$B$5001,$A$152,BD!$S$3:$S$5001,"&lt;&gt;")=0,"",SUMIFS(BD!$S$3:$S$5001,BD!$A$3:$A$5001,F$3,BD!$B$3:$B$5001,$A$152)))</f>
        <v/>
      </c>
      <c r="G156" s="247" t="str">
        <f>IF(G$3="","",IF(COUNTIFS(BD!$A$3:$A$5001,G$3,BD!$B$3:$B$5001,$A$152,BD!$S$3:$S$5001,"&lt;&gt;")=0,"",SUMIFS(BD!$S$3:$S$5001,BD!$A$3:$A$5001,G$3,BD!$B$3:$B$5001,$A$152)))</f>
        <v/>
      </c>
      <c r="H156" s="247" t="str">
        <f>IF(H$3="","",IF(COUNTIFS(BD!$A$3:$A$5001,H$3,BD!$B$3:$B$5001,$A$152,BD!$S$3:$S$5001,"&lt;&gt;")=0,"",SUMIFS(BD!$S$3:$S$5001,BD!$A$3:$A$5001,H$3,BD!$B$3:$B$5001,$A$152)))</f>
        <v/>
      </c>
      <c r="I156" s="247" t="str">
        <f>IF(I$3="","",IF(COUNTIFS(BD!$A$3:$A$5001,I$3,BD!$B$3:$B$5001,$A$152,BD!$S$3:$S$5001,"&lt;&gt;")=0,"",SUMIFS(BD!$S$3:$S$5001,BD!$A$3:$A$5001,I$3,BD!$B$3:$B$5001,$A$152)))</f>
        <v/>
      </c>
      <c r="J156" s="247" t="str">
        <f>IF(J$3="","",IF(COUNTIFS(BD!$A$3:$A$5001,J$3,BD!$B$3:$B$5001,$A$152,BD!$S$3:$S$5001,"&lt;&gt;")=0,"",SUMIFS(BD!$S$3:$S$5001,BD!$A$3:$A$5001,J$3,BD!$B$3:$B$5001,$A$152)))</f>
        <v/>
      </c>
      <c r="K156" s="247" t="str">
        <f>IF(K$3="","",IF(COUNTIFS(BD!$A$3:$A$5001,K$3,BD!$B$3:$B$5001,$A$152,BD!$S$3:$S$5001,"&lt;&gt;")=0,"",SUMIFS(BD!$S$3:$S$5001,BD!$A$3:$A$5001,K$3,BD!$B$3:$B$5001,$A$152)))</f>
        <v/>
      </c>
      <c r="L156" s="247" t="str">
        <f>IF(L$3="","",IF(COUNTIFS(BD!$A$3:$A$5001,L$3,BD!$B$3:$B$5001,$A$152,BD!$S$3:$S$5001,"&lt;&gt;")=0,"",SUMIFS(BD!$S$3:$S$5001,BD!$A$3:$A$5001,L$3,BD!$B$3:$B$5001,$A$152)))</f>
        <v/>
      </c>
      <c r="M156" s="247" t="str">
        <f>IF(M$3="","",IF(COUNTIFS(BD!$A$3:$A$5001,M$3,BD!$B$3:$B$5001,$A$152,BD!$S$3:$S$5001,"&lt;&gt;")=0,"",SUMIFS(BD!$S$3:$S$5001,BD!$A$3:$A$5001,M$3,BD!$B$3:$B$5001,$A$152)))</f>
        <v/>
      </c>
      <c r="N156" s="247" t="str">
        <f>IF(N$3="","",IF(COUNTIFS(BD!$A$3:$A$5001,N$3,BD!$B$3:$B$5001,$A$152,BD!$S$3:$S$5001,"&lt;&gt;")=0,"",SUMIFS(BD!$S$3:$S$5001,BD!$A$3:$A$5001,N$3,BD!$B$3:$B$5001,$A$152)))</f>
        <v/>
      </c>
      <c r="O156" s="247" t="str">
        <f>IF(O$3="","",IF(COUNTIFS(BD!$A$3:$A$5001,O$3,BD!$B$3:$B$5001,$A$152,BD!$S$3:$S$5001,"&lt;&gt;")=0,"",SUMIFS(BD!$S$3:$S$5001,BD!$A$3:$A$5001,O$3,BD!$B$3:$B$5001,$A$152)))</f>
        <v/>
      </c>
      <c r="P156" s="247" t="str">
        <f>IF(P$3="","",IF(COUNTIFS(BD!$A$3:$A$5001,P$3,BD!$B$3:$B$5001,$A$152,BD!$S$3:$S$5001,"&lt;&gt;")=0,"",SUMIFS(BD!$S$3:$S$5001,BD!$A$3:$A$5001,P$3,BD!$B$3:$B$5001,$A$152)))</f>
        <v/>
      </c>
      <c r="Q156" s="247" t="str">
        <f>IF(Q$3="","",IF(COUNTIFS(BD!$A$3:$A$5001,Q$3,BD!$B$3:$B$5001,$A$152,BD!$S$3:$S$5001,"&lt;&gt;")=0,"",SUMIFS(BD!$S$3:$S$5001,BD!$A$3:$A$5001,Q$3,BD!$B$3:$B$5001,$A$152)))</f>
        <v/>
      </c>
      <c r="R156" s="247" t="str">
        <f>IF(R$3="","",IF(COUNTIFS(BD!$A$3:$A$5001,R$3,BD!$B$3:$B$5001,$A$152,BD!$S$3:$S$5001,"&lt;&gt;")=0,"",SUMIFS(BD!$S$3:$S$5001,BD!$A$3:$A$5001,R$3,BD!$B$3:$B$5001,$A$152)))</f>
        <v/>
      </c>
      <c r="S156" s="247" t="str">
        <f>IF(S$3="","",IF(COUNTIFS(BD!$A$3:$A$5001,S$3,BD!$B$3:$B$5001,$A$152,BD!$S$3:$S$5001,"&lt;&gt;")=0,"",SUMIFS(BD!$S$3:$S$5001,BD!$A$3:$A$5001,S$3,BD!$B$3:$B$5001,$A$152)))</f>
        <v/>
      </c>
      <c r="T156" s="247" t="str">
        <f>IF(T$3="","",IF(COUNTIFS(BD!$A$3:$A$5001,T$3,BD!$B$3:$B$5001,$A$152,BD!$S$3:$S$5001,"&lt;&gt;")=0,"",SUMIFS(BD!$S$3:$S$5001,BD!$A$3:$A$5001,T$3,BD!$B$3:$B$5001,$A$152)))</f>
        <v/>
      </c>
      <c r="U156" s="247" t="str">
        <f>IF(U$3="","",IF(COUNTIFS(BD!$A$3:$A$5001,U$3,BD!$B$3:$B$5001,$A$152,BD!$S$3:$S$5001,"&lt;&gt;")=0,"",SUMIFS(BD!$S$3:$S$5001,BD!$A$3:$A$5001,U$3,BD!$B$3:$B$5001,$A$152)))</f>
        <v/>
      </c>
      <c r="V156" s="247" t="str">
        <f>IF(V$3="","",IF(COUNTIFS(BD!$A$3:$A$5001,V$3,BD!$B$3:$B$5001,$A$152,BD!$S$3:$S$5001,"&lt;&gt;")=0,"",SUMIFS(BD!$S$3:$S$5001,BD!$A$3:$A$5001,V$3,BD!$B$3:$B$5001,$A$152)))</f>
        <v/>
      </c>
      <c r="W156" s="247" t="str">
        <f>IF(W$3="","",IF(COUNTIFS(BD!$A$3:$A$5001,W$3,BD!$B$3:$B$5001,$A$152,BD!$S$3:$S$5001,"&lt;&gt;")=0,"",SUMIFS(BD!$S$3:$S$5001,BD!$A$3:$A$5001,W$3,BD!$B$3:$B$5001,$A$152)))</f>
        <v/>
      </c>
      <c r="X156" s="247" t="str">
        <f>IF(X$3="","",IF(COUNTIFS(BD!$A$3:$A$5001,X$3,BD!$B$3:$B$5001,$A$152,BD!$S$3:$S$5001,"&lt;&gt;")=0,"",SUMIFS(BD!$S$3:$S$5001,BD!$A$3:$A$5001,X$3,BD!$B$3:$B$5001,$A$152)))</f>
        <v/>
      </c>
      <c r="Y156" s="247" t="str">
        <f>IF(Y$3="","",IF(COUNTIFS(BD!$A$3:$A$5001,Y$3,BD!$B$3:$B$5001,$A$152,BD!$S$3:$S$5001,"&lt;&gt;")=0,"",SUMIFS(BD!$S$3:$S$5001,BD!$A$3:$A$5001,Y$3,BD!$B$3:$B$5001,$A$152)))</f>
        <v/>
      </c>
      <c r="Z156" s="247" t="str">
        <f>IF(Z$3="","",IF(COUNTIFS(BD!$A$3:$A$5001,Z$3,BD!$B$3:$B$5001,$A$152,BD!$S$3:$S$5001,"&lt;&gt;")=0,"",SUMIFS(BD!$S$3:$S$5001,BD!$A$3:$A$5001,Z$3,BD!$B$3:$B$5001,$A$152)))</f>
        <v/>
      </c>
      <c r="AA156" s="247" t="str">
        <f>IF(AA$3="","",IF(COUNTIFS(BD!$A$3:$A$5001,AA$3,BD!$B$3:$B$5001,$A$152,BD!$S$3:$S$5001,"&lt;&gt;")=0,"",SUMIFS(BD!$S$3:$S$5001,BD!$A$3:$A$5001,AA$3,BD!$B$3:$B$5001,$A$152)))</f>
        <v/>
      </c>
      <c r="AB156" s="247" t="str">
        <f>IF(AB$3="","",IF(COUNTIFS(BD!$A$3:$A$5001,AB$3,BD!$B$3:$B$5001,$A$152,BD!$S$3:$S$5001,"&lt;&gt;")=0,"",SUMIFS(BD!$S$3:$S$5001,BD!$A$3:$A$5001,AB$3,BD!$B$3:$B$5001,$A$152)))</f>
        <v/>
      </c>
      <c r="AC156" s="247" t="str">
        <f>IF(AC$3="","",IF(COUNTIFS(BD!$A$3:$A$5001,AC$3,BD!$B$3:$B$5001,$A$152,BD!$S$3:$S$5001,"&lt;&gt;")=0,"",SUMIFS(BD!$S$3:$S$5001,BD!$A$3:$A$5001,AC$3,BD!$B$3:$B$5001,$A$152)))</f>
        <v/>
      </c>
      <c r="AD156" s="247" t="str">
        <f>IF(AD$3="","",IF(COUNTIFS(BD!$A$3:$A$5001,AD$3,BD!$B$3:$B$5001,$A$152,BD!$S$3:$S$5001,"&lt;&gt;")=0,"",SUMIFS(BD!$S$3:$S$5001,BD!$A$3:$A$5001,AD$3,BD!$B$3:$B$5001,$A$152)))</f>
        <v/>
      </c>
      <c r="AE156" s="247" t="str">
        <f>IF(AE$3="","",IF(COUNTIFS(BD!$A$3:$A$5001,AE$3,BD!$B$3:$B$5001,$A$152,BD!$S$3:$S$5001,"&lt;&gt;")=0,"",SUMIFS(BD!$S$3:$S$5001,BD!$A$3:$A$5001,AE$3,BD!$B$3:$B$5001,$A$152)))</f>
        <v/>
      </c>
      <c r="AF156" s="247" t="str">
        <f>IF(AF$3="","",IF(COUNTIFS(BD!$A$3:$A$5001,AF$3,BD!$B$3:$B$5001,$A$152,BD!$S$3:$S$5001,"&lt;&gt;")=0,"",SUMIFS(BD!$S$3:$S$5001,BD!$A$3:$A$5001,AF$3,BD!$B$3:$B$5001,$A$152)))</f>
        <v/>
      </c>
      <c r="AG156" s="247" t="str">
        <f>IF(AG$3="","",IF(COUNTIFS(BD!$A$3:$A$5001,AG$3,BD!$B$3:$B$5001,$A$152,BD!$S$3:$S$5001,"&lt;&gt;")=0,"",SUMIFS(BD!$S$3:$S$5001,BD!$A$3:$A$5001,AG$3,BD!$B$3:$B$5001,$A$152)))</f>
        <v/>
      </c>
      <c r="AH156" s="247" t="str">
        <f>IF(AH$3="","",IF(COUNTIFS(BD!$A$3:$A$5001,AH$3,BD!$B$3:$B$5001,$A$152,BD!$S$3:$S$5001,"&lt;&gt;")=0,"",SUMIFS(BD!$S$3:$S$5001,BD!$A$3:$A$5001,AH$3,BD!$B$3:$B$5001,$A$152)))</f>
        <v/>
      </c>
      <c r="AI156" s="247" t="str">
        <f>IF(AI$3="","",IF(COUNTIFS(BD!$A$3:$A$5001,AI$3,BD!$B$3:$B$5001,$A$152,BD!$S$3:$S$5001,"&lt;&gt;")=0,"",SUMIFS(BD!$S$3:$S$5001,BD!$A$3:$A$5001,AI$3,BD!$B$3:$B$5001,$A$152)))</f>
        <v/>
      </c>
      <c r="AJ156" s="248" t="str">
        <f>IF(AJ$3="","",IF(COUNTIFS(BD!$A$3:$A$5001,AJ$3,BD!$B$3:$B$5001,$A$152,BD!$S$3:$S$5001,"&lt;&gt;")=0,"",SUMIFS(BD!$S$3:$S$5001,BD!$A$3:$A$5001,AJ$3,BD!$B$3:$B$5001,$A$152)))</f>
        <v/>
      </c>
      <c r="AK156" s="249" t="str">
        <f>IF(COUNT(F156:AJ156)=0,"",SUM(F156:AJ156))</f>
        <v/>
      </c>
    </row>
    <row r="157" ht="15.75" customHeight="1">
      <c r="A157" s="237"/>
      <c r="B157" s="228"/>
      <c r="C157" s="168" t="inlineStr">
        <is>
          <t xml:space="preserve">Toneladas Movimentadas</t>
        </is>
      </c>
      <c r="D157" s="169" t="str">
        <f>IFERROR(1/(1/INDEX(BD!$AK$40:$AU$40,MATCH($A$152,BD!$AK$22:$AU$22,0))),"")</f>
        <v/>
      </c>
      <c r="E157" s="170"/>
      <c r="F157" s="250" t="str">
        <f>IF(F$3="","",IF(COUNTIFS(BD!$A$3:$A$5001,F$3,BD!$B$3:$B$5001,$A$152,BD!$T$3:$T$5001,"&lt;&gt;")=0,"",SUMIFS(BD!$T$3:$T$5001,BD!$A$3:$A$5001,F$3,BD!$B$3:$B$5001,$A$152)))</f>
        <v/>
      </c>
      <c r="G157" s="251" t="str">
        <f>IF(G$3="","",IF(COUNTIFS(BD!$A$3:$A$5001,G$3,BD!$B$3:$B$5001,$A$152,BD!$T$3:$T$5001,"&lt;&gt;")=0,"",SUMIFS(BD!$T$3:$T$5001,BD!$A$3:$A$5001,G$3,BD!$B$3:$B$5001,$A$152)))</f>
        <v/>
      </c>
      <c r="H157" s="251" t="str">
        <f>IF(H$3="","",IF(COUNTIFS(BD!$A$3:$A$5001,H$3,BD!$B$3:$B$5001,$A$152,BD!$T$3:$T$5001,"&lt;&gt;")=0,"",SUMIFS(BD!$T$3:$T$5001,BD!$A$3:$A$5001,H$3,BD!$B$3:$B$5001,$A$152)))</f>
        <v/>
      </c>
      <c r="I157" s="251" t="str">
        <f>IF(I$3="","",IF(COUNTIFS(BD!$A$3:$A$5001,I$3,BD!$B$3:$B$5001,$A$152,BD!$T$3:$T$5001,"&lt;&gt;")=0,"",SUMIFS(BD!$T$3:$T$5001,BD!$A$3:$A$5001,I$3,BD!$B$3:$B$5001,$A$152)))</f>
        <v/>
      </c>
      <c r="J157" s="251" t="str">
        <f>IF(J$3="","",IF(COUNTIFS(BD!$A$3:$A$5001,J$3,BD!$B$3:$B$5001,$A$152,BD!$T$3:$T$5001,"&lt;&gt;")=0,"",SUMIFS(BD!$T$3:$T$5001,BD!$A$3:$A$5001,J$3,BD!$B$3:$B$5001,$A$152)))</f>
        <v/>
      </c>
      <c r="K157" s="251" t="str">
        <f>IF(K$3="","",IF(COUNTIFS(BD!$A$3:$A$5001,K$3,BD!$B$3:$B$5001,$A$152,BD!$T$3:$T$5001,"&lt;&gt;")=0,"",SUMIFS(BD!$T$3:$T$5001,BD!$A$3:$A$5001,K$3,BD!$B$3:$B$5001,$A$152)))</f>
        <v/>
      </c>
      <c r="L157" s="251" t="str">
        <f>IF(L$3="","",IF(COUNTIFS(BD!$A$3:$A$5001,L$3,BD!$B$3:$B$5001,$A$152,BD!$T$3:$T$5001,"&lt;&gt;")=0,"",SUMIFS(BD!$T$3:$T$5001,BD!$A$3:$A$5001,L$3,BD!$B$3:$B$5001,$A$152)))</f>
        <v/>
      </c>
      <c r="M157" s="251" t="str">
        <f>IF(M$3="","",IF(COUNTIFS(BD!$A$3:$A$5001,M$3,BD!$B$3:$B$5001,$A$152,BD!$T$3:$T$5001,"&lt;&gt;")=0,"",SUMIFS(BD!$T$3:$T$5001,BD!$A$3:$A$5001,M$3,BD!$B$3:$B$5001,$A$152)))</f>
        <v/>
      </c>
      <c r="N157" s="251" t="str">
        <f>IF(N$3="","",IF(COUNTIFS(BD!$A$3:$A$5001,N$3,BD!$B$3:$B$5001,$A$152,BD!$T$3:$T$5001,"&lt;&gt;")=0,"",SUMIFS(BD!$T$3:$T$5001,BD!$A$3:$A$5001,N$3,BD!$B$3:$B$5001,$A$152)))</f>
        <v/>
      </c>
      <c r="O157" s="251" t="str">
        <f>IF(O$3="","",IF(COUNTIFS(BD!$A$3:$A$5001,O$3,BD!$B$3:$B$5001,$A$152,BD!$T$3:$T$5001,"&lt;&gt;")=0,"",SUMIFS(BD!$T$3:$T$5001,BD!$A$3:$A$5001,O$3,BD!$B$3:$B$5001,$A$152)))</f>
        <v/>
      </c>
      <c r="P157" s="251" t="str">
        <f>IF(P$3="","",IF(COUNTIFS(BD!$A$3:$A$5001,P$3,BD!$B$3:$B$5001,$A$152,BD!$T$3:$T$5001,"&lt;&gt;")=0,"",SUMIFS(BD!$T$3:$T$5001,BD!$A$3:$A$5001,P$3,BD!$B$3:$B$5001,$A$152)))</f>
        <v/>
      </c>
      <c r="Q157" s="251" t="str">
        <f>IF(Q$3="","",IF(COUNTIFS(BD!$A$3:$A$5001,Q$3,BD!$B$3:$B$5001,$A$152,BD!$T$3:$T$5001,"&lt;&gt;")=0,"",SUMIFS(BD!$T$3:$T$5001,BD!$A$3:$A$5001,Q$3,BD!$B$3:$B$5001,$A$152)))</f>
        <v/>
      </c>
      <c r="R157" s="251" t="str">
        <f>IF(R$3="","",IF(COUNTIFS(BD!$A$3:$A$5001,R$3,BD!$B$3:$B$5001,$A$152,BD!$T$3:$T$5001,"&lt;&gt;")=0,"",SUMIFS(BD!$T$3:$T$5001,BD!$A$3:$A$5001,R$3,BD!$B$3:$B$5001,$A$152)))</f>
        <v/>
      </c>
      <c r="S157" s="251" t="str">
        <f>IF(S$3="","",IF(COUNTIFS(BD!$A$3:$A$5001,S$3,BD!$B$3:$B$5001,$A$152,BD!$T$3:$T$5001,"&lt;&gt;")=0,"",SUMIFS(BD!$T$3:$T$5001,BD!$A$3:$A$5001,S$3,BD!$B$3:$B$5001,$A$152)))</f>
        <v/>
      </c>
      <c r="T157" s="251" t="str">
        <f>IF(T$3="","",IF(COUNTIFS(BD!$A$3:$A$5001,T$3,BD!$B$3:$B$5001,$A$152,BD!$T$3:$T$5001,"&lt;&gt;")=0,"",SUMIFS(BD!$T$3:$T$5001,BD!$A$3:$A$5001,T$3,BD!$B$3:$B$5001,$A$152)))</f>
        <v/>
      </c>
      <c r="U157" s="251" t="str">
        <f>IF(U$3="","",IF(COUNTIFS(BD!$A$3:$A$5001,U$3,BD!$B$3:$B$5001,$A$152,BD!$T$3:$T$5001,"&lt;&gt;")=0,"",SUMIFS(BD!$T$3:$T$5001,BD!$A$3:$A$5001,U$3,BD!$B$3:$B$5001,$A$152)))</f>
        <v/>
      </c>
      <c r="V157" s="251" t="str">
        <f>IF(V$3="","",IF(COUNTIFS(BD!$A$3:$A$5001,V$3,BD!$B$3:$B$5001,$A$152,BD!$T$3:$T$5001,"&lt;&gt;")=0,"",SUMIFS(BD!$T$3:$T$5001,BD!$A$3:$A$5001,V$3,BD!$B$3:$B$5001,$A$152)))</f>
        <v/>
      </c>
      <c r="W157" s="251" t="str">
        <f>IF(W$3="","",IF(COUNTIFS(BD!$A$3:$A$5001,W$3,BD!$B$3:$B$5001,$A$152,BD!$T$3:$T$5001,"&lt;&gt;")=0,"",SUMIFS(BD!$T$3:$T$5001,BD!$A$3:$A$5001,W$3,BD!$B$3:$B$5001,$A$152)))</f>
        <v/>
      </c>
      <c r="X157" s="251" t="str">
        <f>IF(X$3="","",IF(COUNTIFS(BD!$A$3:$A$5001,X$3,BD!$B$3:$B$5001,$A$152,BD!$T$3:$T$5001,"&lt;&gt;")=0,"",SUMIFS(BD!$T$3:$T$5001,BD!$A$3:$A$5001,X$3,BD!$B$3:$B$5001,$A$152)))</f>
        <v/>
      </c>
      <c r="Y157" s="251" t="str">
        <f>IF(Y$3="","",IF(COUNTIFS(BD!$A$3:$A$5001,Y$3,BD!$B$3:$B$5001,$A$152,BD!$T$3:$T$5001,"&lt;&gt;")=0,"",SUMIFS(BD!$T$3:$T$5001,BD!$A$3:$A$5001,Y$3,BD!$B$3:$B$5001,$A$152)))</f>
        <v/>
      </c>
      <c r="Z157" s="251" t="str">
        <f>IF(Z$3="","",IF(COUNTIFS(BD!$A$3:$A$5001,Z$3,BD!$B$3:$B$5001,$A$152,BD!$T$3:$T$5001,"&lt;&gt;")=0,"",SUMIFS(BD!$T$3:$T$5001,BD!$A$3:$A$5001,Z$3,BD!$B$3:$B$5001,$A$152)))</f>
        <v/>
      </c>
      <c r="AA157" s="251" t="str">
        <f>IF(AA$3="","",IF(COUNTIFS(BD!$A$3:$A$5001,AA$3,BD!$B$3:$B$5001,$A$152,BD!$T$3:$T$5001,"&lt;&gt;")=0,"",SUMIFS(BD!$T$3:$T$5001,BD!$A$3:$A$5001,AA$3,BD!$B$3:$B$5001,$A$152)))</f>
        <v/>
      </c>
      <c r="AB157" s="251" t="str">
        <f>IF(AB$3="","",IF(COUNTIFS(BD!$A$3:$A$5001,AB$3,BD!$B$3:$B$5001,$A$152,BD!$T$3:$T$5001,"&lt;&gt;")=0,"",SUMIFS(BD!$T$3:$T$5001,BD!$A$3:$A$5001,AB$3,BD!$B$3:$B$5001,$A$152)))</f>
        <v/>
      </c>
      <c r="AC157" s="251" t="str">
        <f>IF(AC$3="","",IF(COUNTIFS(BD!$A$3:$A$5001,AC$3,BD!$B$3:$B$5001,$A$152,BD!$T$3:$T$5001,"&lt;&gt;")=0,"",SUMIFS(BD!$T$3:$T$5001,BD!$A$3:$A$5001,AC$3,BD!$B$3:$B$5001,$A$152)))</f>
        <v/>
      </c>
      <c r="AD157" s="251" t="str">
        <f>IF(AD$3="","",IF(COUNTIFS(BD!$A$3:$A$5001,AD$3,BD!$B$3:$B$5001,$A$152,BD!$T$3:$T$5001,"&lt;&gt;")=0,"",SUMIFS(BD!$T$3:$T$5001,BD!$A$3:$A$5001,AD$3,BD!$B$3:$B$5001,$A$152)))</f>
        <v/>
      </c>
      <c r="AE157" s="251" t="str">
        <f>IF(AE$3="","",IF(COUNTIFS(BD!$A$3:$A$5001,AE$3,BD!$B$3:$B$5001,$A$152,BD!$T$3:$T$5001,"&lt;&gt;")=0,"",SUMIFS(BD!$T$3:$T$5001,BD!$A$3:$A$5001,AE$3,BD!$B$3:$B$5001,$A$152)))</f>
        <v/>
      </c>
      <c r="AF157" s="251" t="str">
        <f>IF(AF$3="","",IF(COUNTIFS(BD!$A$3:$A$5001,AF$3,BD!$B$3:$B$5001,$A$152,BD!$T$3:$T$5001,"&lt;&gt;")=0,"",SUMIFS(BD!$T$3:$T$5001,BD!$A$3:$A$5001,AF$3,BD!$B$3:$B$5001,$A$152)))</f>
        <v/>
      </c>
      <c r="AG157" s="251" t="str">
        <f>IF(AG$3="","",IF(COUNTIFS(BD!$A$3:$A$5001,AG$3,BD!$B$3:$B$5001,$A$152,BD!$T$3:$T$5001,"&lt;&gt;")=0,"",SUMIFS(BD!$T$3:$T$5001,BD!$A$3:$A$5001,AG$3,BD!$B$3:$B$5001,$A$152)))</f>
        <v/>
      </c>
      <c r="AH157" s="251" t="str">
        <f>IF(AH$3="","",IF(COUNTIFS(BD!$A$3:$A$5001,AH$3,BD!$B$3:$B$5001,$A$152,BD!$T$3:$T$5001,"&lt;&gt;")=0,"",SUMIFS(BD!$T$3:$T$5001,BD!$A$3:$A$5001,AH$3,BD!$B$3:$B$5001,$A$152)))</f>
        <v/>
      </c>
      <c r="AI157" s="251" t="str">
        <f>IF(AI$3="","",IF(COUNTIFS(BD!$A$3:$A$5001,AI$3,BD!$B$3:$B$5001,$A$152,BD!$T$3:$T$5001,"&lt;&gt;")=0,"",SUMIFS(BD!$T$3:$T$5001,BD!$A$3:$A$5001,AI$3,BD!$B$3:$B$5001,$A$152)))</f>
        <v/>
      </c>
      <c r="AJ157" s="252" t="str">
        <f>IF(AJ$3="","",IF(COUNTIFS(BD!$A$3:$A$5001,AJ$3,BD!$B$3:$B$5001,$A$152,BD!$T$3:$T$5001,"&lt;&gt;")=0,"",SUMIFS(BD!$T$3:$T$5001,BD!$A$3:$A$5001,AJ$3,BD!$B$3:$B$5001,$A$152)))</f>
        <v/>
      </c>
      <c r="AK157" s="253" t="str">
        <f>IF(COUNT(F157:AJ157)=0,"",SUM(F157:AJ157))</f>
        <v/>
      </c>
    </row>
    <row r="158" ht="15.75" customHeight="1">
      <c r="A158" s="237"/>
      <c r="B158" s="229" t="inlineStr">
        <is>
          <t xml:space="preserve">NC</t>
        </is>
      </c>
      <c r="C158" s="174" t="inlineStr">
        <is>
          <t xml:space="preserve">Incidentes</t>
        </is>
      </c>
      <c r="D158" s="175" t="str">
        <f>IFERROR(1/(1/INDEX(BD!$AK$41:$AU$41,MATCH($A$152,BD!$AK$22:$AU$22,0))),"")</f>
        <v/>
      </c>
      <c r="E158" s="176"/>
      <c r="F158" s="177" t="str">
        <f>IF(F$3="","",IF(COUNTIFS(BD!$A$3:$A$5001,F$3,BD!$B$3:$B$5001,$A$152,BD!$U$3:$U$5001,"&lt;&gt;")=0,"",SUMIFS(BD!$U$3:$U$5001,BD!$A$3:$A$5001,F$3,BD!$B$3:$B$5001,$A$152)))</f>
        <v/>
      </c>
      <c r="G158" s="178" t="str">
        <f>IF(G$3="","",IF(COUNTIFS(BD!$A$3:$A$5001,G$3,BD!$B$3:$B$5001,$A$152,BD!$U$3:$U$5001,"&lt;&gt;")=0,"",SUMIFS(BD!$U$3:$U$5001,BD!$A$3:$A$5001,G$3,BD!$B$3:$B$5001,$A$152)))</f>
        <v/>
      </c>
      <c r="H158" s="178" t="str">
        <f>IF(H$3="","",IF(COUNTIFS(BD!$A$3:$A$5001,H$3,BD!$B$3:$B$5001,$A$152,BD!$U$3:$U$5001,"&lt;&gt;")=0,"",SUMIFS(BD!$U$3:$U$5001,BD!$A$3:$A$5001,H$3,BD!$B$3:$B$5001,$A$152)))</f>
        <v/>
      </c>
      <c r="I158" s="178" t="str">
        <f>IF(I$3="","",IF(COUNTIFS(BD!$A$3:$A$5001,I$3,BD!$B$3:$B$5001,$A$152,BD!$U$3:$U$5001,"&lt;&gt;")=0,"",SUMIFS(BD!$U$3:$U$5001,BD!$A$3:$A$5001,I$3,BD!$B$3:$B$5001,$A$152)))</f>
        <v/>
      </c>
      <c r="J158" s="178" t="str">
        <f>IF(J$3="","",IF(COUNTIFS(BD!$A$3:$A$5001,J$3,BD!$B$3:$B$5001,$A$152,BD!$U$3:$U$5001,"&lt;&gt;")=0,"",SUMIFS(BD!$U$3:$U$5001,BD!$A$3:$A$5001,J$3,BD!$B$3:$B$5001,$A$152)))</f>
        <v/>
      </c>
      <c r="K158" s="178" t="str">
        <f>IF(K$3="","",IF(COUNTIFS(BD!$A$3:$A$5001,K$3,BD!$B$3:$B$5001,$A$152,BD!$U$3:$U$5001,"&lt;&gt;")=0,"",SUMIFS(BD!$U$3:$U$5001,BD!$A$3:$A$5001,K$3,BD!$B$3:$B$5001,$A$152)))</f>
        <v/>
      </c>
      <c r="L158" s="178" t="str">
        <f>IF(L$3="","",IF(COUNTIFS(BD!$A$3:$A$5001,L$3,BD!$B$3:$B$5001,$A$152,BD!$U$3:$U$5001,"&lt;&gt;")=0,"",SUMIFS(BD!$U$3:$U$5001,BD!$A$3:$A$5001,L$3,BD!$B$3:$B$5001,$A$152)))</f>
        <v/>
      </c>
      <c r="M158" s="178" t="str">
        <f>IF(M$3="","",IF(COUNTIFS(BD!$A$3:$A$5001,M$3,BD!$B$3:$B$5001,$A$152,BD!$U$3:$U$5001,"&lt;&gt;")=0,"",SUMIFS(BD!$U$3:$U$5001,BD!$A$3:$A$5001,M$3,BD!$B$3:$B$5001,$A$152)))</f>
        <v/>
      </c>
      <c r="N158" s="178" t="str">
        <f>IF(N$3="","",IF(COUNTIFS(BD!$A$3:$A$5001,N$3,BD!$B$3:$B$5001,$A$152,BD!$U$3:$U$5001,"&lt;&gt;")=0,"",SUMIFS(BD!$U$3:$U$5001,BD!$A$3:$A$5001,N$3,BD!$B$3:$B$5001,$A$152)))</f>
        <v/>
      </c>
      <c r="O158" s="178" t="str">
        <f>IF(O$3="","",IF(COUNTIFS(BD!$A$3:$A$5001,O$3,BD!$B$3:$B$5001,$A$152,BD!$U$3:$U$5001,"&lt;&gt;")=0,"",SUMIFS(BD!$U$3:$U$5001,BD!$A$3:$A$5001,O$3,BD!$B$3:$B$5001,$A$152)))</f>
        <v/>
      </c>
      <c r="P158" s="178" t="str">
        <f>IF(P$3="","",IF(COUNTIFS(BD!$A$3:$A$5001,P$3,BD!$B$3:$B$5001,$A$152,BD!$U$3:$U$5001,"&lt;&gt;")=0,"",SUMIFS(BD!$U$3:$U$5001,BD!$A$3:$A$5001,P$3,BD!$B$3:$B$5001,$A$152)))</f>
        <v/>
      </c>
      <c r="Q158" s="178" t="str">
        <f>IF(Q$3="","",IF(COUNTIFS(BD!$A$3:$A$5001,Q$3,BD!$B$3:$B$5001,$A$152,BD!$U$3:$U$5001,"&lt;&gt;")=0,"",SUMIFS(BD!$U$3:$U$5001,BD!$A$3:$A$5001,Q$3,BD!$B$3:$B$5001,$A$152)))</f>
        <v/>
      </c>
      <c r="R158" s="178" t="str">
        <f>IF(R$3="","",IF(COUNTIFS(BD!$A$3:$A$5001,R$3,BD!$B$3:$B$5001,$A$152,BD!$U$3:$U$5001,"&lt;&gt;")=0,"",SUMIFS(BD!$U$3:$U$5001,BD!$A$3:$A$5001,R$3,BD!$B$3:$B$5001,$A$152)))</f>
        <v/>
      </c>
      <c r="S158" s="178" t="str">
        <f>IF(S$3="","",IF(COUNTIFS(BD!$A$3:$A$5001,S$3,BD!$B$3:$B$5001,$A$152,BD!$U$3:$U$5001,"&lt;&gt;")=0,"",SUMIFS(BD!$U$3:$U$5001,BD!$A$3:$A$5001,S$3,BD!$B$3:$B$5001,$A$152)))</f>
        <v/>
      </c>
      <c r="T158" s="178" t="str">
        <f>IF(T$3="","",IF(COUNTIFS(BD!$A$3:$A$5001,T$3,BD!$B$3:$B$5001,$A$152,BD!$U$3:$U$5001,"&lt;&gt;")=0,"",SUMIFS(BD!$U$3:$U$5001,BD!$A$3:$A$5001,T$3,BD!$B$3:$B$5001,$A$152)))</f>
        <v/>
      </c>
      <c r="U158" s="178" t="str">
        <f>IF(U$3="","",IF(COUNTIFS(BD!$A$3:$A$5001,U$3,BD!$B$3:$B$5001,$A$152,BD!$U$3:$U$5001,"&lt;&gt;")=0,"",SUMIFS(BD!$U$3:$U$5001,BD!$A$3:$A$5001,U$3,BD!$B$3:$B$5001,$A$152)))</f>
        <v/>
      </c>
      <c r="V158" s="178" t="str">
        <f>IF(V$3="","",IF(COUNTIFS(BD!$A$3:$A$5001,V$3,BD!$B$3:$B$5001,$A$152,BD!$U$3:$U$5001,"&lt;&gt;")=0,"",SUMIFS(BD!$U$3:$U$5001,BD!$A$3:$A$5001,V$3,BD!$B$3:$B$5001,$A$152)))</f>
        <v/>
      </c>
      <c r="W158" s="178" t="str">
        <f>IF(W$3="","",IF(COUNTIFS(BD!$A$3:$A$5001,W$3,BD!$B$3:$B$5001,$A$152,BD!$U$3:$U$5001,"&lt;&gt;")=0,"",SUMIFS(BD!$U$3:$U$5001,BD!$A$3:$A$5001,W$3,BD!$B$3:$B$5001,$A$152)))</f>
        <v/>
      </c>
      <c r="X158" s="178" t="str">
        <f>IF(X$3="","",IF(COUNTIFS(BD!$A$3:$A$5001,X$3,BD!$B$3:$B$5001,$A$152,BD!$U$3:$U$5001,"&lt;&gt;")=0,"",SUMIFS(BD!$U$3:$U$5001,BD!$A$3:$A$5001,X$3,BD!$B$3:$B$5001,$A$152)))</f>
        <v/>
      </c>
      <c r="Y158" s="178" t="str">
        <f>IF(Y$3="","",IF(COUNTIFS(BD!$A$3:$A$5001,Y$3,BD!$B$3:$B$5001,$A$152,BD!$U$3:$U$5001,"&lt;&gt;")=0,"",SUMIFS(BD!$U$3:$U$5001,BD!$A$3:$A$5001,Y$3,BD!$B$3:$B$5001,$A$152)))</f>
        <v/>
      </c>
      <c r="Z158" s="178" t="str">
        <f>IF(Z$3="","",IF(COUNTIFS(BD!$A$3:$A$5001,Z$3,BD!$B$3:$B$5001,$A$152,BD!$U$3:$U$5001,"&lt;&gt;")=0,"",SUMIFS(BD!$U$3:$U$5001,BD!$A$3:$A$5001,Z$3,BD!$B$3:$B$5001,$A$152)))</f>
        <v/>
      </c>
      <c r="AA158" s="178" t="str">
        <f>IF(AA$3="","",IF(COUNTIFS(BD!$A$3:$A$5001,AA$3,BD!$B$3:$B$5001,$A$152,BD!$U$3:$U$5001,"&lt;&gt;")=0,"",SUMIFS(BD!$U$3:$U$5001,BD!$A$3:$A$5001,AA$3,BD!$B$3:$B$5001,$A$152)))</f>
        <v/>
      </c>
      <c r="AB158" s="178" t="str">
        <f>IF(AB$3="","",IF(COUNTIFS(BD!$A$3:$A$5001,AB$3,BD!$B$3:$B$5001,$A$152,BD!$U$3:$U$5001,"&lt;&gt;")=0,"",SUMIFS(BD!$U$3:$U$5001,BD!$A$3:$A$5001,AB$3,BD!$B$3:$B$5001,$A$152)))</f>
        <v/>
      </c>
      <c r="AC158" s="178" t="str">
        <f>IF(AC$3="","",IF(COUNTIFS(BD!$A$3:$A$5001,AC$3,BD!$B$3:$B$5001,$A$152,BD!$U$3:$U$5001,"&lt;&gt;")=0,"",SUMIFS(BD!$U$3:$U$5001,BD!$A$3:$A$5001,AC$3,BD!$B$3:$B$5001,$A$152)))</f>
        <v/>
      </c>
      <c r="AD158" s="178" t="str">
        <f>IF(AD$3="","",IF(COUNTIFS(BD!$A$3:$A$5001,AD$3,BD!$B$3:$B$5001,$A$152,BD!$U$3:$U$5001,"&lt;&gt;")=0,"",SUMIFS(BD!$U$3:$U$5001,BD!$A$3:$A$5001,AD$3,BD!$B$3:$B$5001,$A$152)))</f>
        <v/>
      </c>
      <c r="AE158" s="178" t="str">
        <f>IF(AE$3="","",IF(COUNTIFS(BD!$A$3:$A$5001,AE$3,BD!$B$3:$B$5001,$A$152,BD!$U$3:$U$5001,"&lt;&gt;")=0,"",SUMIFS(BD!$U$3:$U$5001,BD!$A$3:$A$5001,AE$3,BD!$B$3:$B$5001,$A$152)))</f>
        <v/>
      </c>
      <c r="AF158" s="178" t="str">
        <f>IF(AF$3="","",IF(COUNTIFS(BD!$A$3:$A$5001,AF$3,BD!$B$3:$B$5001,$A$152,BD!$U$3:$U$5001,"&lt;&gt;")=0,"",SUMIFS(BD!$U$3:$U$5001,BD!$A$3:$A$5001,AF$3,BD!$B$3:$B$5001,$A$152)))</f>
        <v/>
      </c>
      <c r="AG158" s="178" t="str">
        <f>IF(AG$3="","",IF(COUNTIFS(BD!$A$3:$A$5001,AG$3,BD!$B$3:$B$5001,$A$152,BD!$U$3:$U$5001,"&lt;&gt;")=0,"",SUMIFS(BD!$U$3:$U$5001,BD!$A$3:$A$5001,AG$3,BD!$B$3:$B$5001,$A$152)))</f>
        <v/>
      </c>
      <c r="AH158" s="178" t="str">
        <f>IF(AH$3="","",IF(COUNTIFS(BD!$A$3:$A$5001,AH$3,BD!$B$3:$B$5001,$A$152,BD!$U$3:$U$5001,"&lt;&gt;")=0,"",SUMIFS(BD!$U$3:$U$5001,BD!$A$3:$A$5001,AH$3,BD!$B$3:$B$5001,$A$152)))</f>
        <v/>
      </c>
      <c r="AI158" s="178" t="str">
        <f>IF(AI$3="","",IF(COUNTIFS(BD!$A$3:$A$5001,AI$3,BD!$B$3:$B$5001,$A$152,BD!$U$3:$U$5001,"&lt;&gt;")=0,"",SUMIFS(BD!$U$3:$U$5001,BD!$A$3:$A$5001,AI$3,BD!$B$3:$B$5001,$A$152)))</f>
        <v/>
      </c>
      <c r="AJ158" s="179" t="str">
        <f>IF(AJ$3="","",IF(COUNTIFS(BD!$A$3:$A$5001,AJ$3,BD!$B$3:$B$5001,$A$152,BD!$U$3:$U$5001,"&lt;&gt;")=0,"",SUMIFS(BD!$U$3:$U$5001,BD!$A$3:$A$5001,AJ$3,BD!$B$3:$B$5001,$A$152)))</f>
        <v/>
      </c>
      <c r="AK158" s="180" t="str">
        <f>IF(COUNT(F158:AJ158)=0,"",SUM(F158:AJ158))</f>
        <v/>
      </c>
    </row>
    <row r="159" ht="15.75" customHeight="1">
      <c r="A159" s="237"/>
      <c r="B159" s="230"/>
      <c r="C159" s="181" t="inlineStr">
        <is>
          <t xml:space="preserve">No show</t>
        </is>
      </c>
      <c r="D159" s="182" t="str">
        <f>IFERROR(1/(1/INDEX(BD!$AK$42:$AU$42,MATCH($A$152,BD!$AK$22:$AU$22,0))),"")</f>
        <v/>
      </c>
      <c r="E159" s="183"/>
      <c r="F159" s="184" t="str">
        <f>IF(F$3="","",IF(COUNTIFS(BD!$A$3:$A$5001,F$3,BD!$B$3:$B$5001,$A$152,BD!$V$3:$V$5001,"&lt;&gt;")=0,"",SUMIFS(BD!$V$3:$V$5001,BD!$A$3:$A$5001,F$3,BD!$B$3:$B$5001,$A$152)))</f>
        <v/>
      </c>
      <c r="G159" s="185" t="str">
        <f>IF(G$3="","",IF(COUNTIFS(BD!$A$3:$A$5001,G$3,BD!$B$3:$B$5001,$A$152,BD!$V$3:$V$5001,"&lt;&gt;")=0,"",SUMIFS(BD!$V$3:$V$5001,BD!$A$3:$A$5001,G$3,BD!$B$3:$B$5001,$A$152)))</f>
        <v/>
      </c>
      <c r="H159" s="185" t="str">
        <f>IF(H$3="","",IF(COUNTIFS(BD!$A$3:$A$5001,H$3,BD!$B$3:$B$5001,$A$152,BD!$V$3:$V$5001,"&lt;&gt;")=0,"",SUMIFS(BD!$V$3:$V$5001,BD!$A$3:$A$5001,H$3,BD!$B$3:$B$5001,$A$152)))</f>
        <v/>
      </c>
      <c r="I159" s="185" t="str">
        <f>IF(I$3="","",IF(COUNTIFS(BD!$A$3:$A$5001,I$3,BD!$B$3:$B$5001,$A$152,BD!$V$3:$V$5001,"&lt;&gt;")=0,"",SUMIFS(BD!$V$3:$V$5001,BD!$A$3:$A$5001,I$3,BD!$B$3:$B$5001,$A$152)))</f>
        <v/>
      </c>
      <c r="J159" s="185" t="str">
        <f>IF(J$3="","",IF(COUNTIFS(BD!$A$3:$A$5001,J$3,BD!$B$3:$B$5001,$A$152,BD!$V$3:$V$5001,"&lt;&gt;")=0,"",SUMIFS(BD!$V$3:$V$5001,BD!$A$3:$A$5001,J$3,BD!$B$3:$B$5001,$A$152)))</f>
        <v/>
      </c>
      <c r="K159" s="185" t="str">
        <f>IF(K$3="","",IF(COUNTIFS(BD!$A$3:$A$5001,K$3,BD!$B$3:$B$5001,$A$152,BD!$V$3:$V$5001,"&lt;&gt;")=0,"",SUMIFS(BD!$V$3:$V$5001,BD!$A$3:$A$5001,K$3,BD!$B$3:$B$5001,$A$152)))</f>
        <v/>
      </c>
      <c r="L159" s="185" t="str">
        <f>IF(L$3="","",IF(COUNTIFS(BD!$A$3:$A$5001,L$3,BD!$B$3:$B$5001,$A$152,BD!$V$3:$V$5001,"&lt;&gt;")=0,"",SUMIFS(BD!$V$3:$V$5001,BD!$A$3:$A$5001,L$3,BD!$B$3:$B$5001,$A$152)))</f>
        <v/>
      </c>
      <c r="M159" s="185" t="str">
        <f>IF(M$3="","",IF(COUNTIFS(BD!$A$3:$A$5001,M$3,BD!$B$3:$B$5001,$A$152,BD!$V$3:$V$5001,"&lt;&gt;")=0,"",SUMIFS(BD!$V$3:$V$5001,BD!$A$3:$A$5001,M$3,BD!$B$3:$B$5001,$A$152)))</f>
        <v/>
      </c>
      <c r="N159" s="185" t="str">
        <f>IF(N$3="","",IF(COUNTIFS(BD!$A$3:$A$5001,N$3,BD!$B$3:$B$5001,$A$152,BD!$V$3:$V$5001,"&lt;&gt;")=0,"",SUMIFS(BD!$V$3:$V$5001,BD!$A$3:$A$5001,N$3,BD!$B$3:$B$5001,$A$152)))</f>
        <v/>
      </c>
      <c r="O159" s="185" t="str">
        <f>IF(O$3="","",IF(COUNTIFS(BD!$A$3:$A$5001,O$3,BD!$B$3:$B$5001,$A$152,BD!$V$3:$V$5001,"&lt;&gt;")=0,"",SUMIFS(BD!$V$3:$V$5001,BD!$A$3:$A$5001,O$3,BD!$B$3:$B$5001,$A$152)))</f>
        <v/>
      </c>
      <c r="P159" s="185" t="str">
        <f>IF(P$3="","",IF(COUNTIFS(BD!$A$3:$A$5001,P$3,BD!$B$3:$B$5001,$A$152,BD!$V$3:$V$5001,"&lt;&gt;")=0,"",SUMIFS(BD!$V$3:$V$5001,BD!$A$3:$A$5001,P$3,BD!$B$3:$B$5001,$A$152)))</f>
        <v/>
      </c>
      <c r="Q159" s="185" t="str">
        <f>IF(Q$3="","",IF(COUNTIFS(BD!$A$3:$A$5001,Q$3,BD!$B$3:$B$5001,$A$152,BD!$V$3:$V$5001,"&lt;&gt;")=0,"",SUMIFS(BD!$V$3:$V$5001,BD!$A$3:$A$5001,Q$3,BD!$B$3:$B$5001,$A$152)))</f>
        <v/>
      </c>
      <c r="R159" s="185" t="str">
        <f>IF(R$3="","",IF(COUNTIFS(BD!$A$3:$A$5001,R$3,BD!$B$3:$B$5001,$A$152,BD!$V$3:$V$5001,"&lt;&gt;")=0,"",SUMIFS(BD!$V$3:$V$5001,BD!$A$3:$A$5001,R$3,BD!$B$3:$B$5001,$A$152)))</f>
        <v/>
      </c>
      <c r="S159" s="185" t="str">
        <f>IF(S$3="","",IF(COUNTIFS(BD!$A$3:$A$5001,S$3,BD!$B$3:$B$5001,$A$152,BD!$V$3:$V$5001,"&lt;&gt;")=0,"",SUMIFS(BD!$V$3:$V$5001,BD!$A$3:$A$5001,S$3,BD!$B$3:$B$5001,$A$152)))</f>
        <v/>
      </c>
      <c r="T159" s="185" t="str">
        <f>IF(T$3="","",IF(COUNTIFS(BD!$A$3:$A$5001,T$3,BD!$B$3:$B$5001,$A$152,BD!$V$3:$V$5001,"&lt;&gt;")=0,"",SUMIFS(BD!$V$3:$V$5001,BD!$A$3:$A$5001,T$3,BD!$B$3:$B$5001,$A$152)))</f>
        <v/>
      </c>
      <c r="U159" s="185" t="str">
        <f>IF(U$3="","",IF(COUNTIFS(BD!$A$3:$A$5001,U$3,BD!$B$3:$B$5001,$A$152,BD!$V$3:$V$5001,"&lt;&gt;")=0,"",SUMIFS(BD!$V$3:$V$5001,BD!$A$3:$A$5001,U$3,BD!$B$3:$B$5001,$A$152)))</f>
        <v/>
      </c>
      <c r="V159" s="185" t="str">
        <f>IF(V$3="","",IF(COUNTIFS(BD!$A$3:$A$5001,V$3,BD!$B$3:$B$5001,$A$152,BD!$V$3:$V$5001,"&lt;&gt;")=0,"",SUMIFS(BD!$V$3:$V$5001,BD!$A$3:$A$5001,V$3,BD!$B$3:$B$5001,$A$152)))</f>
        <v/>
      </c>
      <c r="W159" s="185" t="str">
        <f>IF(W$3="","",IF(COUNTIFS(BD!$A$3:$A$5001,W$3,BD!$B$3:$B$5001,$A$152,BD!$V$3:$V$5001,"&lt;&gt;")=0,"",SUMIFS(BD!$V$3:$V$5001,BD!$A$3:$A$5001,W$3,BD!$B$3:$B$5001,$A$152)))</f>
        <v/>
      </c>
      <c r="X159" s="185" t="str">
        <f>IF(X$3="","",IF(COUNTIFS(BD!$A$3:$A$5001,X$3,BD!$B$3:$B$5001,$A$152,BD!$V$3:$V$5001,"&lt;&gt;")=0,"",SUMIFS(BD!$V$3:$V$5001,BD!$A$3:$A$5001,X$3,BD!$B$3:$B$5001,$A$152)))</f>
        <v/>
      </c>
      <c r="Y159" s="185" t="str">
        <f>IF(Y$3="","",IF(COUNTIFS(BD!$A$3:$A$5001,Y$3,BD!$B$3:$B$5001,$A$152,BD!$V$3:$V$5001,"&lt;&gt;")=0,"",SUMIFS(BD!$V$3:$V$5001,BD!$A$3:$A$5001,Y$3,BD!$B$3:$B$5001,$A$152)))</f>
        <v/>
      </c>
      <c r="Z159" s="185" t="str">
        <f>IF(Z$3="","",IF(COUNTIFS(BD!$A$3:$A$5001,Z$3,BD!$B$3:$B$5001,$A$152,BD!$V$3:$V$5001,"&lt;&gt;")=0,"",SUMIFS(BD!$V$3:$V$5001,BD!$A$3:$A$5001,Z$3,BD!$B$3:$B$5001,$A$152)))</f>
        <v/>
      </c>
      <c r="AA159" s="185" t="str">
        <f>IF(AA$3="","",IF(COUNTIFS(BD!$A$3:$A$5001,AA$3,BD!$B$3:$B$5001,$A$152,BD!$V$3:$V$5001,"&lt;&gt;")=0,"",SUMIFS(BD!$V$3:$V$5001,BD!$A$3:$A$5001,AA$3,BD!$B$3:$B$5001,$A$152)))</f>
        <v/>
      </c>
      <c r="AB159" s="185" t="str">
        <f>IF(AB$3="","",IF(COUNTIFS(BD!$A$3:$A$5001,AB$3,BD!$B$3:$B$5001,$A$152,BD!$V$3:$V$5001,"&lt;&gt;")=0,"",SUMIFS(BD!$V$3:$V$5001,BD!$A$3:$A$5001,AB$3,BD!$B$3:$B$5001,$A$152)))</f>
        <v/>
      </c>
      <c r="AC159" s="185" t="str">
        <f>IF(AC$3="","",IF(COUNTIFS(BD!$A$3:$A$5001,AC$3,BD!$B$3:$B$5001,$A$152,BD!$V$3:$V$5001,"&lt;&gt;")=0,"",SUMIFS(BD!$V$3:$V$5001,BD!$A$3:$A$5001,AC$3,BD!$B$3:$B$5001,$A$152)))</f>
        <v/>
      </c>
      <c r="AD159" s="185" t="str">
        <f>IF(AD$3="","",IF(COUNTIFS(BD!$A$3:$A$5001,AD$3,BD!$B$3:$B$5001,$A$152,BD!$V$3:$V$5001,"&lt;&gt;")=0,"",SUMIFS(BD!$V$3:$V$5001,BD!$A$3:$A$5001,AD$3,BD!$B$3:$B$5001,$A$152)))</f>
        <v/>
      </c>
      <c r="AE159" s="185" t="str">
        <f>IF(AE$3="","",IF(COUNTIFS(BD!$A$3:$A$5001,AE$3,BD!$B$3:$B$5001,$A$152,BD!$V$3:$V$5001,"&lt;&gt;")=0,"",SUMIFS(BD!$V$3:$V$5001,BD!$A$3:$A$5001,AE$3,BD!$B$3:$B$5001,$A$152)))</f>
        <v/>
      </c>
      <c r="AF159" s="185" t="str">
        <f>IF(AF$3="","",IF(COUNTIFS(BD!$A$3:$A$5001,AF$3,BD!$B$3:$B$5001,$A$152,BD!$V$3:$V$5001,"&lt;&gt;")=0,"",SUMIFS(BD!$V$3:$V$5001,BD!$A$3:$A$5001,AF$3,BD!$B$3:$B$5001,$A$152)))</f>
        <v/>
      </c>
      <c r="AG159" s="185" t="str">
        <f>IF(AG$3="","",IF(COUNTIFS(BD!$A$3:$A$5001,AG$3,BD!$B$3:$B$5001,$A$152,BD!$V$3:$V$5001,"&lt;&gt;")=0,"",SUMIFS(BD!$V$3:$V$5001,BD!$A$3:$A$5001,AG$3,BD!$B$3:$B$5001,$A$152)))</f>
        <v/>
      </c>
      <c r="AH159" s="185" t="str">
        <f>IF(AH$3="","",IF(COUNTIFS(BD!$A$3:$A$5001,AH$3,BD!$B$3:$B$5001,$A$152,BD!$V$3:$V$5001,"&lt;&gt;")=0,"",SUMIFS(BD!$V$3:$V$5001,BD!$A$3:$A$5001,AH$3,BD!$B$3:$B$5001,$A$152)))</f>
        <v/>
      </c>
      <c r="AI159" s="185" t="str">
        <f>IF(AI$3="","",IF(COUNTIFS(BD!$A$3:$A$5001,AI$3,BD!$B$3:$B$5001,$A$152,BD!$V$3:$V$5001,"&lt;&gt;")=0,"",SUMIFS(BD!$V$3:$V$5001,BD!$A$3:$A$5001,AI$3,BD!$B$3:$B$5001,$A$152)))</f>
        <v/>
      </c>
      <c r="AJ159" s="186" t="str">
        <f>IF(AJ$3="","",IF(COUNTIFS(BD!$A$3:$A$5001,AJ$3,BD!$B$3:$B$5001,$A$152,BD!$V$3:$V$5001,"&lt;&gt;")=0,"",SUMIFS(BD!$V$3:$V$5001,BD!$A$3:$A$5001,AJ$3,BD!$B$3:$B$5001,$A$152)))</f>
        <v/>
      </c>
      <c r="AK159" s="187" t="str">
        <f>IF(COUNT(F159:AJ159)=0,"",SUM(F159:AJ159))</f>
        <v/>
      </c>
    </row>
    <row r="160" ht="15.75" customHeight="1">
      <c r="A160" s="237"/>
      <c r="B160" s="231"/>
      <c r="C160" s="188" t="inlineStr">
        <is>
          <t xml:space="preserve">Backlog</t>
        </is>
      </c>
      <c r="D160" s="189" t="str">
        <f>IFERROR(1/(1/INDEX(BD!$AK$43:$AU$43,MATCH($A$152,BD!$AK$22:$AU$22,0))),"")</f>
        <v/>
      </c>
      <c r="E160" s="190"/>
      <c r="F160" s="191" t="str">
        <f>IF(F$3="","",IF(COUNTIFS(BD!$A$3:$A$5001,F$3,BD!$B$3:$B$5001,$A$152,BD!$W$3:$W$5001,"&lt;&gt;")=0,"",SUMIFS(BD!$W$3:$W$5001,BD!$A$3:$A$5001,F$3,BD!$B$3:$B$5001,$A$152)))</f>
        <v/>
      </c>
      <c r="G160" s="192" t="str">
        <f>IF(G$3="","",IF(COUNTIFS(BD!$A$3:$A$5001,G$3,BD!$B$3:$B$5001,$A$152,BD!$W$3:$W$5001,"&lt;&gt;")=0,"",SUMIFS(BD!$W$3:$W$5001,BD!$A$3:$A$5001,G$3,BD!$B$3:$B$5001,$A$152)))</f>
        <v/>
      </c>
      <c r="H160" s="192" t="str">
        <f>IF(H$3="","",IF(COUNTIFS(BD!$A$3:$A$5001,H$3,BD!$B$3:$B$5001,$A$152,BD!$W$3:$W$5001,"&lt;&gt;")=0,"",SUMIFS(BD!$W$3:$W$5001,BD!$A$3:$A$5001,H$3,BD!$B$3:$B$5001,$A$152)))</f>
        <v/>
      </c>
      <c r="I160" s="192" t="str">
        <f>IF(I$3="","",IF(COUNTIFS(BD!$A$3:$A$5001,I$3,BD!$B$3:$B$5001,$A$152,BD!$W$3:$W$5001,"&lt;&gt;")=0,"",SUMIFS(BD!$W$3:$W$5001,BD!$A$3:$A$5001,I$3,BD!$B$3:$B$5001,$A$152)))</f>
        <v/>
      </c>
      <c r="J160" s="192" t="str">
        <f>IF(J$3="","",IF(COUNTIFS(BD!$A$3:$A$5001,J$3,BD!$B$3:$B$5001,$A$152,BD!$W$3:$W$5001,"&lt;&gt;")=0,"",SUMIFS(BD!$W$3:$W$5001,BD!$A$3:$A$5001,J$3,BD!$B$3:$B$5001,$A$152)))</f>
        <v/>
      </c>
      <c r="K160" s="192" t="str">
        <f>IF(K$3="","",IF(COUNTIFS(BD!$A$3:$A$5001,K$3,BD!$B$3:$B$5001,$A$152,BD!$W$3:$W$5001,"&lt;&gt;")=0,"",SUMIFS(BD!$W$3:$W$5001,BD!$A$3:$A$5001,K$3,BD!$B$3:$B$5001,$A$152)))</f>
        <v/>
      </c>
      <c r="L160" s="192" t="str">
        <f>IF(L$3="","",IF(COUNTIFS(BD!$A$3:$A$5001,L$3,BD!$B$3:$B$5001,$A$152,BD!$W$3:$W$5001,"&lt;&gt;")=0,"",SUMIFS(BD!$W$3:$W$5001,BD!$A$3:$A$5001,L$3,BD!$B$3:$B$5001,$A$152)))</f>
        <v/>
      </c>
      <c r="M160" s="192" t="str">
        <f>IF(M$3="","",IF(COUNTIFS(BD!$A$3:$A$5001,M$3,BD!$B$3:$B$5001,$A$152,BD!$W$3:$W$5001,"&lt;&gt;")=0,"",SUMIFS(BD!$W$3:$W$5001,BD!$A$3:$A$5001,M$3,BD!$B$3:$B$5001,$A$152)))</f>
        <v/>
      </c>
      <c r="N160" s="192" t="str">
        <f>IF(N$3="","",IF(COUNTIFS(BD!$A$3:$A$5001,N$3,BD!$B$3:$B$5001,$A$152,BD!$W$3:$W$5001,"&lt;&gt;")=0,"",SUMIFS(BD!$W$3:$W$5001,BD!$A$3:$A$5001,N$3,BD!$B$3:$B$5001,$A$152)))</f>
        <v/>
      </c>
      <c r="O160" s="192" t="str">
        <f>IF(O$3="","",IF(COUNTIFS(BD!$A$3:$A$5001,O$3,BD!$B$3:$B$5001,$A$152,BD!$W$3:$W$5001,"&lt;&gt;")=0,"",SUMIFS(BD!$W$3:$W$5001,BD!$A$3:$A$5001,O$3,BD!$B$3:$B$5001,$A$152)))</f>
        <v/>
      </c>
      <c r="P160" s="192" t="str">
        <f>IF(P$3="","",IF(COUNTIFS(BD!$A$3:$A$5001,P$3,BD!$B$3:$B$5001,$A$152,BD!$W$3:$W$5001,"&lt;&gt;")=0,"",SUMIFS(BD!$W$3:$W$5001,BD!$A$3:$A$5001,P$3,BD!$B$3:$B$5001,$A$152)))</f>
        <v/>
      </c>
      <c r="Q160" s="192" t="str">
        <f>IF(Q$3="","",IF(COUNTIFS(BD!$A$3:$A$5001,Q$3,BD!$B$3:$B$5001,$A$152,BD!$W$3:$W$5001,"&lt;&gt;")=0,"",SUMIFS(BD!$W$3:$W$5001,BD!$A$3:$A$5001,Q$3,BD!$B$3:$B$5001,$A$152)))</f>
        <v/>
      </c>
      <c r="R160" s="192" t="str">
        <f>IF(R$3="","",IF(COUNTIFS(BD!$A$3:$A$5001,R$3,BD!$B$3:$B$5001,$A$152,BD!$W$3:$W$5001,"&lt;&gt;")=0,"",SUMIFS(BD!$W$3:$W$5001,BD!$A$3:$A$5001,R$3,BD!$B$3:$B$5001,$A$152)))</f>
        <v/>
      </c>
      <c r="S160" s="192" t="str">
        <f>IF(S$3="","",IF(COUNTIFS(BD!$A$3:$A$5001,S$3,BD!$B$3:$B$5001,$A$152,BD!$W$3:$W$5001,"&lt;&gt;")=0,"",SUMIFS(BD!$W$3:$W$5001,BD!$A$3:$A$5001,S$3,BD!$B$3:$B$5001,$A$152)))</f>
        <v/>
      </c>
      <c r="T160" s="192" t="str">
        <f>IF(T$3="","",IF(COUNTIFS(BD!$A$3:$A$5001,T$3,BD!$B$3:$B$5001,$A$152,BD!$W$3:$W$5001,"&lt;&gt;")=0,"",SUMIFS(BD!$W$3:$W$5001,BD!$A$3:$A$5001,T$3,BD!$B$3:$B$5001,$A$152)))</f>
        <v/>
      </c>
      <c r="U160" s="192" t="str">
        <f>IF(U$3="","",IF(COUNTIFS(BD!$A$3:$A$5001,U$3,BD!$B$3:$B$5001,$A$152,BD!$W$3:$W$5001,"&lt;&gt;")=0,"",SUMIFS(BD!$W$3:$W$5001,BD!$A$3:$A$5001,U$3,BD!$B$3:$B$5001,$A$152)))</f>
        <v/>
      </c>
      <c r="V160" s="192" t="str">
        <f>IF(V$3="","",IF(COUNTIFS(BD!$A$3:$A$5001,V$3,BD!$B$3:$B$5001,$A$152,BD!$W$3:$W$5001,"&lt;&gt;")=0,"",SUMIFS(BD!$W$3:$W$5001,BD!$A$3:$A$5001,V$3,BD!$B$3:$B$5001,$A$152)))</f>
        <v/>
      </c>
      <c r="W160" s="192" t="str">
        <f>IF(W$3="","",IF(COUNTIFS(BD!$A$3:$A$5001,W$3,BD!$B$3:$B$5001,$A$152,BD!$W$3:$W$5001,"&lt;&gt;")=0,"",SUMIFS(BD!$W$3:$W$5001,BD!$A$3:$A$5001,W$3,BD!$B$3:$B$5001,$A$152)))</f>
        <v/>
      </c>
      <c r="X160" s="192" t="str">
        <f>IF(X$3="","",IF(COUNTIFS(BD!$A$3:$A$5001,X$3,BD!$B$3:$B$5001,$A$152,BD!$W$3:$W$5001,"&lt;&gt;")=0,"",SUMIFS(BD!$W$3:$W$5001,BD!$A$3:$A$5001,X$3,BD!$B$3:$B$5001,$A$152)))</f>
        <v/>
      </c>
      <c r="Y160" s="192" t="str">
        <f>IF(Y$3="","",IF(COUNTIFS(BD!$A$3:$A$5001,Y$3,BD!$B$3:$B$5001,$A$152,BD!$W$3:$W$5001,"&lt;&gt;")=0,"",SUMIFS(BD!$W$3:$W$5001,BD!$A$3:$A$5001,Y$3,BD!$B$3:$B$5001,$A$152)))</f>
        <v/>
      </c>
      <c r="Z160" s="192" t="str">
        <f>IF(Z$3="","",IF(COUNTIFS(BD!$A$3:$A$5001,Z$3,BD!$B$3:$B$5001,$A$152,BD!$W$3:$W$5001,"&lt;&gt;")=0,"",SUMIFS(BD!$W$3:$W$5001,BD!$A$3:$A$5001,Z$3,BD!$B$3:$B$5001,$A$152)))</f>
        <v/>
      </c>
      <c r="AA160" s="192" t="str">
        <f>IF(AA$3="","",IF(COUNTIFS(BD!$A$3:$A$5001,AA$3,BD!$B$3:$B$5001,$A$152,BD!$W$3:$W$5001,"&lt;&gt;")=0,"",SUMIFS(BD!$W$3:$W$5001,BD!$A$3:$A$5001,AA$3,BD!$B$3:$B$5001,$A$152)))</f>
        <v/>
      </c>
      <c r="AB160" s="192" t="str">
        <f>IF(AB$3="","",IF(COUNTIFS(BD!$A$3:$A$5001,AB$3,BD!$B$3:$B$5001,$A$152,BD!$W$3:$W$5001,"&lt;&gt;")=0,"",SUMIFS(BD!$W$3:$W$5001,BD!$A$3:$A$5001,AB$3,BD!$B$3:$B$5001,$A$152)))</f>
        <v/>
      </c>
      <c r="AC160" s="192" t="str">
        <f>IF(AC$3="","",IF(COUNTIFS(BD!$A$3:$A$5001,AC$3,BD!$B$3:$B$5001,$A$152,BD!$W$3:$W$5001,"&lt;&gt;")=0,"",SUMIFS(BD!$W$3:$W$5001,BD!$A$3:$A$5001,AC$3,BD!$B$3:$B$5001,$A$152)))</f>
        <v/>
      </c>
      <c r="AD160" s="192" t="str">
        <f>IF(AD$3="","",IF(COUNTIFS(BD!$A$3:$A$5001,AD$3,BD!$B$3:$B$5001,$A$152,BD!$W$3:$W$5001,"&lt;&gt;")=0,"",SUMIFS(BD!$W$3:$W$5001,BD!$A$3:$A$5001,AD$3,BD!$B$3:$B$5001,$A$152)))</f>
        <v/>
      </c>
      <c r="AE160" s="192" t="str">
        <f>IF(AE$3="","",IF(COUNTIFS(BD!$A$3:$A$5001,AE$3,BD!$B$3:$B$5001,$A$152,BD!$W$3:$W$5001,"&lt;&gt;")=0,"",SUMIFS(BD!$W$3:$W$5001,BD!$A$3:$A$5001,AE$3,BD!$B$3:$B$5001,$A$152)))</f>
        <v/>
      </c>
      <c r="AF160" s="192" t="str">
        <f>IF(AF$3="","",IF(COUNTIFS(BD!$A$3:$A$5001,AF$3,BD!$B$3:$B$5001,$A$152,BD!$W$3:$W$5001,"&lt;&gt;")=0,"",SUMIFS(BD!$W$3:$W$5001,BD!$A$3:$A$5001,AF$3,BD!$B$3:$B$5001,$A$152)))</f>
        <v/>
      </c>
      <c r="AG160" s="192" t="str">
        <f>IF(AG$3="","",IF(COUNTIFS(BD!$A$3:$A$5001,AG$3,BD!$B$3:$B$5001,$A$152,BD!$W$3:$W$5001,"&lt;&gt;")=0,"",SUMIFS(BD!$W$3:$W$5001,BD!$A$3:$A$5001,AG$3,BD!$B$3:$B$5001,$A$152)))</f>
        <v/>
      </c>
      <c r="AH160" s="192" t="str">
        <f>IF(AH$3="","",IF(COUNTIFS(BD!$A$3:$A$5001,AH$3,BD!$B$3:$B$5001,$A$152,BD!$W$3:$W$5001,"&lt;&gt;")=0,"",SUMIFS(BD!$W$3:$W$5001,BD!$A$3:$A$5001,AH$3,BD!$B$3:$B$5001,$A$152)))</f>
        <v/>
      </c>
      <c r="AI160" s="192" t="str">
        <f>IF(AI$3="","",IF(COUNTIFS(BD!$A$3:$A$5001,AI$3,BD!$B$3:$B$5001,$A$152,BD!$W$3:$W$5001,"&lt;&gt;")=0,"",SUMIFS(BD!$W$3:$W$5001,BD!$A$3:$A$5001,AI$3,BD!$B$3:$B$5001,$A$152)))</f>
        <v/>
      </c>
      <c r="AJ160" s="193" t="str">
        <f>IF(AJ$3="","",IF(COUNTIFS(BD!$A$3:$A$5001,AJ$3,BD!$B$3:$B$5001,$A$152,BD!$W$3:$W$5001,"&lt;&gt;")=0,"",SUMIFS(BD!$W$3:$W$5001,BD!$A$3:$A$5001,AJ$3,BD!$B$3:$B$5001,$A$152)))</f>
        <v/>
      </c>
      <c r="AK160" s="189" t="str">
        <f>IFERROR(LOOKUP(9.99E+307,F160:AJ160),"")</f>
        <v/>
      </c>
    </row>
    <row r="161" ht="15.75" customHeight="1">
      <c r="A161" s="237"/>
      <c r="B161" s="225" t="inlineStr">
        <is>
          <t xml:space="preserve">OCUPAÇÃO (P.P)</t>
        </is>
      </c>
      <c r="C161" s="148" t="inlineStr">
        <is>
          <t xml:space="preserve">Posições Disponíveis</t>
        </is>
      </c>
      <c r="D161" s="149" t="str">
        <f>IFERROR(1/(1/INDEX(BD!$AK$44:$AU$44,MATCH($A$152,BD!$AK$22:$AU$22,0))),"")</f>
        <v/>
      </c>
      <c r="E161" s="150"/>
      <c r="F161" s="151" t="str">
        <f>IF(F$3="","",IF(COUNTIFS(BD!$A$3:$A$5001,F$3,BD!$B$3:$B$5001,$A$152,BD!$X$3:$X$5001,"&lt;&gt;")=0,"",SUMIFS(BD!$X$3:$X$5001,BD!$A$3:$A$5001,F$3,BD!$B$3:$B$5001,$A$152)))</f>
        <v/>
      </c>
      <c r="G161" s="152" t="str">
        <f>IF(G$3="","",IF(COUNTIFS(BD!$A$3:$A$5001,G$3,BD!$B$3:$B$5001,$A$152,BD!$X$3:$X$5001,"&lt;&gt;")=0,"",SUMIFS(BD!$X$3:$X$5001,BD!$A$3:$A$5001,G$3,BD!$B$3:$B$5001,$A$152)))</f>
        <v/>
      </c>
      <c r="H161" s="152" t="str">
        <f>IF(H$3="","",IF(COUNTIFS(BD!$A$3:$A$5001,H$3,BD!$B$3:$B$5001,$A$152,BD!$X$3:$X$5001,"&lt;&gt;")=0,"",SUMIFS(BD!$X$3:$X$5001,BD!$A$3:$A$5001,H$3,BD!$B$3:$B$5001,$A$152)))</f>
        <v/>
      </c>
      <c r="I161" s="152" t="str">
        <f>IF(I$3="","",IF(COUNTIFS(BD!$A$3:$A$5001,I$3,BD!$B$3:$B$5001,$A$152,BD!$X$3:$X$5001,"&lt;&gt;")=0,"",SUMIFS(BD!$X$3:$X$5001,BD!$A$3:$A$5001,I$3,BD!$B$3:$B$5001,$A$152)))</f>
        <v/>
      </c>
      <c r="J161" s="152" t="str">
        <f>IF(J$3="","",IF(COUNTIFS(BD!$A$3:$A$5001,J$3,BD!$B$3:$B$5001,$A$152,BD!$X$3:$X$5001,"&lt;&gt;")=0,"",SUMIFS(BD!$X$3:$X$5001,BD!$A$3:$A$5001,J$3,BD!$B$3:$B$5001,$A$152)))</f>
        <v/>
      </c>
      <c r="K161" s="152" t="str">
        <f>IF(K$3="","",IF(COUNTIFS(BD!$A$3:$A$5001,K$3,BD!$B$3:$B$5001,$A$152,BD!$X$3:$X$5001,"&lt;&gt;")=0,"",SUMIFS(BD!$X$3:$X$5001,BD!$A$3:$A$5001,K$3,BD!$B$3:$B$5001,$A$152)))</f>
        <v/>
      </c>
      <c r="L161" s="152" t="str">
        <f>IF(L$3="","",IF(COUNTIFS(BD!$A$3:$A$5001,L$3,BD!$B$3:$B$5001,$A$152,BD!$X$3:$X$5001,"&lt;&gt;")=0,"",SUMIFS(BD!$X$3:$X$5001,BD!$A$3:$A$5001,L$3,BD!$B$3:$B$5001,$A$152)))</f>
        <v/>
      </c>
      <c r="M161" s="152" t="str">
        <f>IF(M$3="","",IF(COUNTIFS(BD!$A$3:$A$5001,M$3,BD!$B$3:$B$5001,$A$152,BD!$X$3:$X$5001,"&lt;&gt;")=0,"",SUMIFS(BD!$X$3:$X$5001,BD!$A$3:$A$5001,M$3,BD!$B$3:$B$5001,$A$152)))</f>
        <v/>
      </c>
      <c r="N161" s="152" t="str">
        <f>IF(N$3="","",IF(COUNTIFS(BD!$A$3:$A$5001,N$3,BD!$B$3:$B$5001,$A$152,BD!$X$3:$X$5001,"&lt;&gt;")=0,"",SUMIFS(BD!$X$3:$X$5001,BD!$A$3:$A$5001,N$3,BD!$B$3:$B$5001,$A$152)))</f>
        <v/>
      </c>
      <c r="O161" s="152" t="str">
        <f>IF(O$3="","",IF(COUNTIFS(BD!$A$3:$A$5001,O$3,BD!$B$3:$B$5001,$A$152,BD!$X$3:$X$5001,"&lt;&gt;")=0,"",SUMIFS(BD!$X$3:$X$5001,BD!$A$3:$A$5001,O$3,BD!$B$3:$B$5001,$A$152)))</f>
        <v/>
      </c>
      <c r="P161" s="152" t="str">
        <f>IF(P$3="","",IF(COUNTIFS(BD!$A$3:$A$5001,P$3,BD!$B$3:$B$5001,$A$152,BD!$X$3:$X$5001,"&lt;&gt;")=0,"",SUMIFS(BD!$X$3:$X$5001,BD!$A$3:$A$5001,P$3,BD!$B$3:$B$5001,$A$152)))</f>
        <v/>
      </c>
      <c r="Q161" s="152" t="str">
        <f>IF(Q$3="","",IF(COUNTIFS(BD!$A$3:$A$5001,Q$3,BD!$B$3:$B$5001,$A$152,BD!$X$3:$X$5001,"&lt;&gt;")=0,"",SUMIFS(BD!$X$3:$X$5001,BD!$A$3:$A$5001,Q$3,BD!$B$3:$B$5001,$A$152)))</f>
        <v/>
      </c>
      <c r="R161" s="152" t="str">
        <f>IF(R$3="","",IF(COUNTIFS(BD!$A$3:$A$5001,R$3,BD!$B$3:$B$5001,$A$152,BD!$X$3:$X$5001,"&lt;&gt;")=0,"",SUMIFS(BD!$X$3:$X$5001,BD!$A$3:$A$5001,R$3,BD!$B$3:$B$5001,$A$152)))</f>
        <v/>
      </c>
      <c r="S161" s="152" t="str">
        <f>IF(S$3="","",IF(COUNTIFS(BD!$A$3:$A$5001,S$3,BD!$B$3:$B$5001,$A$152,BD!$X$3:$X$5001,"&lt;&gt;")=0,"",SUMIFS(BD!$X$3:$X$5001,BD!$A$3:$A$5001,S$3,BD!$B$3:$B$5001,$A$152)))</f>
        <v/>
      </c>
      <c r="T161" s="152" t="str">
        <f>IF(T$3="","",IF(COUNTIFS(BD!$A$3:$A$5001,T$3,BD!$B$3:$B$5001,$A$152,BD!$X$3:$X$5001,"&lt;&gt;")=0,"",SUMIFS(BD!$X$3:$X$5001,BD!$A$3:$A$5001,T$3,BD!$B$3:$B$5001,$A$152)))</f>
        <v/>
      </c>
      <c r="U161" s="152" t="str">
        <f>IF(U$3="","",IF(COUNTIFS(BD!$A$3:$A$5001,U$3,BD!$B$3:$B$5001,$A$152,BD!$X$3:$X$5001,"&lt;&gt;")=0,"",SUMIFS(BD!$X$3:$X$5001,BD!$A$3:$A$5001,U$3,BD!$B$3:$B$5001,$A$152)))</f>
        <v/>
      </c>
      <c r="V161" s="152" t="str">
        <f>IF(V$3="","",IF(COUNTIFS(BD!$A$3:$A$5001,V$3,BD!$B$3:$B$5001,$A$152,BD!$X$3:$X$5001,"&lt;&gt;")=0,"",SUMIFS(BD!$X$3:$X$5001,BD!$A$3:$A$5001,V$3,BD!$B$3:$B$5001,$A$152)))</f>
        <v/>
      </c>
      <c r="W161" s="152" t="str">
        <f>IF(W$3="","",IF(COUNTIFS(BD!$A$3:$A$5001,W$3,BD!$B$3:$B$5001,$A$152,BD!$X$3:$X$5001,"&lt;&gt;")=0,"",SUMIFS(BD!$X$3:$X$5001,BD!$A$3:$A$5001,W$3,BD!$B$3:$B$5001,$A$152)))</f>
        <v/>
      </c>
      <c r="X161" s="152" t="str">
        <f>IF(X$3="","",IF(COUNTIFS(BD!$A$3:$A$5001,X$3,BD!$B$3:$B$5001,$A$152,BD!$X$3:$X$5001,"&lt;&gt;")=0,"",SUMIFS(BD!$X$3:$X$5001,BD!$A$3:$A$5001,X$3,BD!$B$3:$B$5001,$A$152)))</f>
        <v/>
      </c>
      <c r="Y161" s="152" t="str">
        <f>IF(Y$3="","",IF(COUNTIFS(BD!$A$3:$A$5001,Y$3,BD!$B$3:$B$5001,$A$152,BD!$X$3:$X$5001,"&lt;&gt;")=0,"",SUMIFS(BD!$X$3:$X$5001,BD!$A$3:$A$5001,Y$3,BD!$B$3:$B$5001,$A$152)))</f>
        <v/>
      </c>
      <c r="Z161" s="152" t="str">
        <f>IF(Z$3="","",IF(COUNTIFS(BD!$A$3:$A$5001,Z$3,BD!$B$3:$B$5001,$A$152,BD!$X$3:$X$5001,"&lt;&gt;")=0,"",SUMIFS(BD!$X$3:$X$5001,BD!$A$3:$A$5001,Z$3,BD!$B$3:$B$5001,$A$152)))</f>
        <v/>
      </c>
      <c r="AA161" s="152" t="str">
        <f>IF(AA$3="","",IF(COUNTIFS(BD!$A$3:$A$5001,AA$3,BD!$B$3:$B$5001,$A$152,BD!$X$3:$X$5001,"&lt;&gt;")=0,"",SUMIFS(BD!$X$3:$X$5001,BD!$A$3:$A$5001,AA$3,BD!$B$3:$B$5001,$A$152)))</f>
        <v/>
      </c>
      <c r="AB161" s="152" t="str">
        <f>IF(AB$3="","",IF(COUNTIFS(BD!$A$3:$A$5001,AB$3,BD!$B$3:$B$5001,$A$152,BD!$X$3:$X$5001,"&lt;&gt;")=0,"",SUMIFS(BD!$X$3:$X$5001,BD!$A$3:$A$5001,AB$3,BD!$B$3:$B$5001,$A$152)))</f>
        <v/>
      </c>
      <c r="AC161" s="152" t="str">
        <f>IF(AC$3="","",IF(COUNTIFS(BD!$A$3:$A$5001,AC$3,BD!$B$3:$B$5001,$A$152,BD!$X$3:$X$5001,"&lt;&gt;")=0,"",SUMIFS(BD!$X$3:$X$5001,BD!$A$3:$A$5001,AC$3,BD!$B$3:$B$5001,$A$152)))</f>
        <v/>
      </c>
      <c r="AD161" s="152" t="str">
        <f>IF(AD$3="","",IF(COUNTIFS(BD!$A$3:$A$5001,AD$3,BD!$B$3:$B$5001,$A$152,BD!$X$3:$X$5001,"&lt;&gt;")=0,"",SUMIFS(BD!$X$3:$X$5001,BD!$A$3:$A$5001,AD$3,BD!$B$3:$B$5001,$A$152)))</f>
        <v/>
      </c>
      <c r="AE161" s="152" t="str">
        <f>IF(AE$3="","",IF(COUNTIFS(BD!$A$3:$A$5001,AE$3,BD!$B$3:$B$5001,$A$152,BD!$X$3:$X$5001,"&lt;&gt;")=0,"",SUMIFS(BD!$X$3:$X$5001,BD!$A$3:$A$5001,AE$3,BD!$B$3:$B$5001,$A$152)))</f>
        <v/>
      </c>
      <c r="AF161" s="152" t="str">
        <f>IF(AF$3="","",IF(COUNTIFS(BD!$A$3:$A$5001,AF$3,BD!$B$3:$B$5001,$A$152,BD!$X$3:$X$5001,"&lt;&gt;")=0,"",SUMIFS(BD!$X$3:$X$5001,BD!$A$3:$A$5001,AF$3,BD!$B$3:$B$5001,$A$152)))</f>
        <v/>
      </c>
      <c r="AG161" s="152" t="str">
        <f>IF(AG$3="","",IF(COUNTIFS(BD!$A$3:$A$5001,AG$3,BD!$B$3:$B$5001,$A$152,BD!$X$3:$X$5001,"&lt;&gt;")=0,"",SUMIFS(BD!$X$3:$X$5001,BD!$A$3:$A$5001,AG$3,BD!$B$3:$B$5001,$A$152)))</f>
        <v/>
      </c>
      <c r="AH161" s="152" t="str">
        <f>IF(AH$3="","",IF(COUNTIFS(BD!$A$3:$A$5001,AH$3,BD!$B$3:$B$5001,$A$152,BD!$X$3:$X$5001,"&lt;&gt;")=0,"",SUMIFS(BD!$X$3:$X$5001,BD!$A$3:$A$5001,AH$3,BD!$B$3:$B$5001,$A$152)))</f>
        <v/>
      </c>
      <c r="AI161" s="152" t="str">
        <f>IF(AI$3="","",IF(COUNTIFS(BD!$A$3:$A$5001,AI$3,BD!$B$3:$B$5001,$A$152,BD!$X$3:$X$5001,"&lt;&gt;")=0,"",SUMIFS(BD!$X$3:$X$5001,BD!$A$3:$A$5001,AI$3,BD!$B$3:$B$5001,$A$152)))</f>
        <v/>
      </c>
      <c r="AJ161" s="153" t="str">
        <f>IF(AJ$3="","",IF(COUNTIFS(BD!$A$3:$A$5001,AJ$3,BD!$B$3:$B$5001,$A$152,BD!$X$3:$X$5001,"&lt;&gt;")=0,"",SUMIFS(BD!$X$3:$X$5001,BD!$A$3:$A$5001,AJ$3,BD!$B$3:$B$5001,$A$152)))</f>
        <v/>
      </c>
      <c r="AK161" s="154" t="str">
        <f>IF(COUNT(F161:AJ161)&gt;0,LOOKUP(9.99E+307,F161:AJ161),IFERROR(IF(INDEX(BD!$AH$3:$AH$5001,MATCH($A$152,BD!$B$3:$B$5001,0))&amp;""="Contrato","",INDEX(BD!$AH$3:$AH$5001,MATCH($A$152,BD!$B$3:$B$5001,0))&amp;""),""))</f>
        <v/>
      </c>
    </row>
    <row r="162" ht="15.75" customHeight="1">
      <c r="A162" s="237"/>
      <c r="B162" s="232"/>
      <c r="C162" s="194" t="inlineStr">
        <is>
          <t xml:space="preserve">Posições Ocupadas</t>
        </is>
      </c>
      <c r="D162" s="195" t="str">
        <f>IFERROR(1/(1/INDEX(BD!$AK$45:$AU$45,MATCH($A$152,BD!$AK$22:$AU$22,0))),"")</f>
        <v/>
      </c>
      <c r="E162" s="196"/>
      <c r="F162" s="197" t="str">
        <f>IF(F$3="","",IF(COUNTIFS(BD!$A$3:$A$5001,F$3,BD!$B$3:$B$5001,$A$152,BD!$Y$3:$Y$5001,"&lt;&gt;")=0,"",SUMIFS(BD!$Y$3:$Y$5001,BD!$A$3:$A$5001,F$3,BD!$B$3:$B$5001,$A$152)))</f>
        <v/>
      </c>
      <c r="G162" s="198" t="str">
        <f>IF(G$3="","",IF(COUNTIFS(BD!$A$3:$A$5001,G$3,BD!$B$3:$B$5001,$A$152,BD!$Y$3:$Y$5001,"&lt;&gt;")=0,"",SUMIFS(BD!$Y$3:$Y$5001,BD!$A$3:$A$5001,G$3,BD!$B$3:$B$5001,$A$152)))</f>
        <v/>
      </c>
      <c r="H162" s="198" t="str">
        <f>IF(H$3="","",IF(COUNTIFS(BD!$A$3:$A$5001,H$3,BD!$B$3:$B$5001,$A$152,BD!$Y$3:$Y$5001,"&lt;&gt;")=0,"",SUMIFS(BD!$Y$3:$Y$5001,BD!$A$3:$A$5001,H$3,BD!$B$3:$B$5001,$A$152)))</f>
        <v/>
      </c>
      <c r="I162" s="198" t="str">
        <f>IF(I$3="","",IF(COUNTIFS(BD!$A$3:$A$5001,I$3,BD!$B$3:$B$5001,$A$152,BD!$Y$3:$Y$5001,"&lt;&gt;")=0,"",SUMIFS(BD!$Y$3:$Y$5001,BD!$A$3:$A$5001,I$3,BD!$B$3:$B$5001,$A$152)))</f>
        <v/>
      </c>
      <c r="J162" s="198" t="str">
        <f>IF(J$3="","",IF(COUNTIFS(BD!$A$3:$A$5001,J$3,BD!$B$3:$B$5001,$A$152,BD!$Y$3:$Y$5001,"&lt;&gt;")=0,"",SUMIFS(BD!$Y$3:$Y$5001,BD!$A$3:$A$5001,J$3,BD!$B$3:$B$5001,$A$152)))</f>
        <v/>
      </c>
      <c r="K162" s="198" t="str">
        <f>IF(K$3="","",IF(COUNTIFS(BD!$A$3:$A$5001,K$3,BD!$B$3:$B$5001,$A$152,BD!$Y$3:$Y$5001,"&lt;&gt;")=0,"",SUMIFS(BD!$Y$3:$Y$5001,BD!$A$3:$A$5001,K$3,BD!$B$3:$B$5001,$A$152)))</f>
        <v/>
      </c>
      <c r="L162" s="198" t="str">
        <f>IF(L$3="","",IF(COUNTIFS(BD!$A$3:$A$5001,L$3,BD!$B$3:$B$5001,$A$152,BD!$Y$3:$Y$5001,"&lt;&gt;")=0,"",SUMIFS(BD!$Y$3:$Y$5001,BD!$A$3:$A$5001,L$3,BD!$B$3:$B$5001,$A$152)))</f>
        <v/>
      </c>
      <c r="M162" s="198" t="str">
        <f>IF(M$3="","",IF(COUNTIFS(BD!$A$3:$A$5001,M$3,BD!$B$3:$B$5001,$A$152,BD!$Y$3:$Y$5001,"&lt;&gt;")=0,"",SUMIFS(BD!$Y$3:$Y$5001,BD!$A$3:$A$5001,M$3,BD!$B$3:$B$5001,$A$152)))</f>
        <v/>
      </c>
      <c r="N162" s="198" t="str">
        <f>IF(N$3="","",IF(COUNTIFS(BD!$A$3:$A$5001,N$3,BD!$B$3:$B$5001,$A$152,BD!$Y$3:$Y$5001,"&lt;&gt;")=0,"",SUMIFS(BD!$Y$3:$Y$5001,BD!$A$3:$A$5001,N$3,BD!$B$3:$B$5001,$A$152)))</f>
        <v/>
      </c>
      <c r="O162" s="198" t="str">
        <f>IF(O$3="","",IF(COUNTIFS(BD!$A$3:$A$5001,O$3,BD!$B$3:$B$5001,$A$152,BD!$Y$3:$Y$5001,"&lt;&gt;")=0,"",SUMIFS(BD!$Y$3:$Y$5001,BD!$A$3:$A$5001,O$3,BD!$B$3:$B$5001,$A$152)))</f>
        <v/>
      </c>
      <c r="P162" s="198" t="str">
        <f>IF(P$3="","",IF(COUNTIFS(BD!$A$3:$A$5001,P$3,BD!$B$3:$B$5001,$A$152,BD!$Y$3:$Y$5001,"&lt;&gt;")=0,"",SUMIFS(BD!$Y$3:$Y$5001,BD!$A$3:$A$5001,P$3,BD!$B$3:$B$5001,$A$152)))</f>
        <v/>
      </c>
      <c r="Q162" s="198" t="str">
        <f>IF(Q$3="","",IF(COUNTIFS(BD!$A$3:$A$5001,Q$3,BD!$B$3:$B$5001,$A$152,BD!$Y$3:$Y$5001,"&lt;&gt;")=0,"",SUMIFS(BD!$Y$3:$Y$5001,BD!$A$3:$A$5001,Q$3,BD!$B$3:$B$5001,$A$152)))</f>
        <v/>
      </c>
      <c r="R162" s="198" t="str">
        <f>IF(R$3="","",IF(COUNTIFS(BD!$A$3:$A$5001,R$3,BD!$B$3:$B$5001,$A$152,BD!$Y$3:$Y$5001,"&lt;&gt;")=0,"",SUMIFS(BD!$Y$3:$Y$5001,BD!$A$3:$A$5001,R$3,BD!$B$3:$B$5001,$A$152)))</f>
        <v/>
      </c>
      <c r="S162" s="198" t="str">
        <f>IF(S$3="","",IF(COUNTIFS(BD!$A$3:$A$5001,S$3,BD!$B$3:$B$5001,$A$152,BD!$Y$3:$Y$5001,"&lt;&gt;")=0,"",SUMIFS(BD!$Y$3:$Y$5001,BD!$A$3:$A$5001,S$3,BD!$B$3:$B$5001,$A$152)))</f>
        <v/>
      </c>
      <c r="T162" s="198" t="str">
        <f>IF(T$3="","",IF(COUNTIFS(BD!$A$3:$A$5001,T$3,BD!$B$3:$B$5001,$A$152,BD!$Y$3:$Y$5001,"&lt;&gt;")=0,"",SUMIFS(BD!$Y$3:$Y$5001,BD!$A$3:$A$5001,T$3,BD!$B$3:$B$5001,$A$152)))</f>
        <v/>
      </c>
      <c r="U162" s="198" t="str">
        <f>IF(U$3="","",IF(COUNTIFS(BD!$A$3:$A$5001,U$3,BD!$B$3:$B$5001,$A$152,BD!$Y$3:$Y$5001,"&lt;&gt;")=0,"",SUMIFS(BD!$Y$3:$Y$5001,BD!$A$3:$A$5001,U$3,BD!$B$3:$B$5001,$A$152)))</f>
        <v/>
      </c>
      <c r="V162" s="198" t="str">
        <f>IF(V$3="","",IF(COUNTIFS(BD!$A$3:$A$5001,V$3,BD!$B$3:$B$5001,$A$152,BD!$Y$3:$Y$5001,"&lt;&gt;")=0,"",SUMIFS(BD!$Y$3:$Y$5001,BD!$A$3:$A$5001,V$3,BD!$B$3:$B$5001,$A$152)))</f>
        <v/>
      </c>
      <c r="W162" s="198" t="str">
        <f>IF(W$3="","",IF(COUNTIFS(BD!$A$3:$A$5001,W$3,BD!$B$3:$B$5001,$A$152,BD!$Y$3:$Y$5001,"&lt;&gt;")=0,"",SUMIFS(BD!$Y$3:$Y$5001,BD!$A$3:$A$5001,W$3,BD!$B$3:$B$5001,$A$152)))</f>
        <v/>
      </c>
      <c r="X162" s="198" t="str">
        <f>IF(X$3="","",IF(COUNTIFS(BD!$A$3:$A$5001,X$3,BD!$B$3:$B$5001,$A$152,BD!$Y$3:$Y$5001,"&lt;&gt;")=0,"",SUMIFS(BD!$Y$3:$Y$5001,BD!$A$3:$A$5001,X$3,BD!$B$3:$B$5001,$A$152)))</f>
        <v/>
      </c>
      <c r="Y162" s="198" t="str">
        <f>IF(Y$3="","",IF(COUNTIFS(BD!$A$3:$A$5001,Y$3,BD!$B$3:$B$5001,$A$152,BD!$Y$3:$Y$5001,"&lt;&gt;")=0,"",SUMIFS(BD!$Y$3:$Y$5001,BD!$A$3:$A$5001,Y$3,BD!$B$3:$B$5001,$A$152)))</f>
        <v/>
      </c>
      <c r="Z162" s="198" t="str">
        <f>IF(Z$3="","",IF(COUNTIFS(BD!$A$3:$A$5001,Z$3,BD!$B$3:$B$5001,$A$152,BD!$Y$3:$Y$5001,"&lt;&gt;")=0,"",SUMIFS(BD!$Y$3:$Y$5001,BD!$A$3:$A$5001,Z$3,BD!$B$3:$B$5001,$A$152)))</f>
        <v/>
      </c>
      <c r="AA162" s="198" t="str">
        <f>IF(AA$3="","",IF(COUNTIFS(BD!$A$3:$A$5001,AA$3,BD!$B$3:$B$5001,$A$152,BD!$Y$3:$Y$5001,"&lt;&gt;")=0,"",SUMIFS(BD!$Y$3:$Y$5001,BD!$A$3:$A$5001,AA$3,BD!$B$3:$B$5001,$A$152)))</f>
        <v/>
      </c>
      <c r="AB162" s="198" t="str">
        <f>IF(AB$3="","",IF(COUNTIFS(BD!$A$3:$A$5001,AB$3,BD!$B$3:$B$5001,$A$152,BD!$Y$3:$Y$5001,"&lt;&gt;")=0,"",SUMIFS(BD!$Y$3:$Y$5001,BD!$A$3:$A$5001,AB$3,BD!$B$3:$B$5001,$A$152)))</f>
        <v/>
      </c>
      <c r="AC162" s="198" t="str">
        <f>IF(AC$3="","",IF(COUNTIFS(BD!$A$3:$A$5001,AC$3,BD!$B$3:$B$5001,$A$152,BD!$Y$3:$Y$5001,"&lt;&gt;")=0,"",SUMIFS(BD!$Y$3:$Y$5001,BD!$A$3:$A$5001,AC$3,BD!$B$3:$B$5001,$A$152)))</f>
        <v/>
      </c>
      <c r="AD162" s="198" t="str">
        <f>IF(AD$3="","",IF(COUNTIFS(BD!$A$3:$A$5001,AD$3,BD!$B$3:$B$5001,$A$152,BD!$Y$3:$Y$5001,"&lt;&gt;")=0,"",SUMIFS(BD!$Y$3:$Y$5001,BD!$A$3:$A$5001,AD$3,BD!$B$3:$B$5001,$A$152)))</f>
        <v/>
      </c>
      <c r="AE162" s="198" t="str">
        <f>IF(AE$3="","",IF(COUNTIFS(BD!$A$3:$A$5001,AE$3,BD!$B$3:$B$5001,$A$152,BD!$Y$3:$Y$5001,"&lt;&gt;")=0,"",SUMIFS(BD!$Y$3:$Y$5001,BD!$A$3:$A$5001,AE$3,BD!$B$3:$B$5001,$A$152)))</f>
        <v/>
      </c>
      <c r="AF162" s="198" t="str">
        <f>IF(AF$3="","",IF(COUNTIFS(BD!$A$3:$A$5001,AF$3,BD!$B$3:$B$5001,$A$152,BD!$Y$3:$Y$5001,"&lt;&gt;")=0,"",SUMIFS(BD!$Y$3:$Y$5001,BD!$A$3:$A$5001,AF$3,BD!$B$3:$B$5001,$A$152)))</f>
        <v/>
      </c>
      <c r="AG162" s="198" t="str">
        <f>IF(AG$3="","",IF(COUNTIFS(BD!$A$3:$A$5001,AG$3,BD!$B$3:$B$5001,$A$152,BD!$Y$3:$Y$5001,"&lt;&gt;")=0,"",SUMIFS(BD!$Y$3:$Y$5001,BD!$A$3:$A$5001,AG$3,BD!$B$3:$B$5001,$A$152)))</f>
        <v/>
      </c>
      <c r="AH162" s="198" t="str">
        <f>IF(AH$3="","",IF(COUNTIFS(BD!$A$3:$A$5001,AH$3,BD!$B$3:$B$5001,$A$152,BD!$Y$3:$Y$5001,"&lt;&gt;")=0,"",SUMIFS(BD!$Y$3:$Y$5001,BD!$A$3:$A$5001,AH$3,BD!$B$3:$B$5001,$A$152)))</f>
        <v/>
      </c>
      <c r="AI162" s="198" t="str">
        <f>IF(AI$3="","",IF(COUNTIFS(BD!$A$3:$A$5001,AI$3,BD!$B$3:$B$5001,$A$152,BD!$Y$3:$Y$5001,"&lt;&gt;")=0,"",SUMIFS(BD!$Y$3:$Y$5001,BD!$A$3:$A$5001,AI$3,BD!$B$3:$B$5001,$A$152)))</f>
        <v/>
      </c>
      <c r="AJ162" s="199" t="str">
        <f>IF(AJ$3="","",IF(COUNTIFS(BD!$A$3:$A$5001,AJ$3,BD!$B$3:$B$5001,$A$152,BD!$Y$3:$Y$5001,"&lt;&gt;")=0,"",SUMIFS(BD!$Y$3:$Y$5001,BD!$A$3:$A$5001,AJ$3,BD!$B$3:$B$5001,$A$152)))</f>
        <v/>
      </c>
      <c r="AK162" s="200" t="str">
        <f>IFERROR(LOOKUP(9.99E+307,F162:AJ162),"")</f>
        <v/>
      </c>
    </row>
    <row r="163" ht="15.75" customHeight="1">
      <c r="A163" s="237"/>
      <c r="B163" s="226"/>
      <c r="C163" s="155" t="inlineStr">
        <is>
          <t xml:space="preserve">Taxa de Ocupação</t>
        </is>
      </c>
      <c r="D163" s="201" t="str">
        <f>IFERROR(1/(1/INDEX(BD!$AK$46:$AU$46,MATCH($A$152,BD!$AK$22:$AU$22,0))),"")</f>
        <v/>
      </c>
      <c r="E163" s="157"/>
      <c r="F163" s="202" t="str">
        <f>IF(AND(ISNUMBER(F161),ISNUMBER(F162)),IF(F161&gt;0,F162/F161,""),"")</f>
        <v/>
      </c>
      <c r="G163" s="203" t="str">
        <f>IF(AND(ISNUMBER(G161),ISNUMBER(G162)),IF(G161&gt;0,G162/G161,""),"")</f>
        <v/>
      </c>
      <c r="H163" s="203" t="str">
        <f>IF(AND(ISNUMBER(H161),ISNUMBER(H162)),IF(H161&gt;0,H162/H161,""),"")</f>
        <v/>
      </c>
      <c r="I163" s="203" t="str">
        <f>IF(AND(ISNUMBER(I161),ISNUMBER(I162)),IF(I161&gt;0,I162/I161,""),"")</f>
        <v/>
      </c>
      <c r="J163" s="203" t="str">
        <f>IF(AND(ISNUMBER(J161),ISNUMBER(J162)),IF(J161&gt;0,J162/J161,""),"")</f>
        <v/>
      </c>
      <c r="K163" s="203" t="str">
        <f>IF(AND(ISNUMBER(K161),ISNUMBER(K162)),IF(K161&gt;0,K162/K161,""),"")</f>
        <v/>
      </c>
      <c r="L163" s="203" t="str">
        <f>IF(AND(ISNUMBER(L161),ISNUMBER(L162)),IF(L161&gt;0,L162/L161,""),"")</f>
        <v/>
      </c>
      <c r="M163" s="203" t="str">
        <f>IF(AND(ISNUMBER(M161),ISNUMBER(M162)),IF(M161&gt;0,M162/M161,""),"")</f>
        <v/>
      </c>
      <c r="N163" s="203" t="str">
        <f>IF(AND(ISNUMBER(N161),ISNUMBER(N162)),IF(N161&gt;0,N162/N161,""),"")</f>
        <v/>
      </c>
      <c r="O163" s="203" t="str">
        <f>IF(AND(ISNUMBER(O161),ISNUMBER(O162)),IF(O161&gt;0,O162/O161,""),"")</f>
        <v/>
      </c>
      <c r="P163" s="203" t="str">
        <f>IF(AND(ISNUMBER(P161),ISNUMBER(P162)),IF(P161&gt;0,P162/P161,""),"")</f>
        <v/>
      </c>
      <c r="Q163" s="203" t="str">
        <f>IF(AND(ISNUMBER(Q161),ISNUMBER(Q162)),IF(Q161&gt;0,Q162/Q161,""),"")</f>
        <v/>
      </c>
      <c r="R163" s="203" t="str">
        <f>IF(AND(ISNUMBER(R161),ISNUMBER(R162)),IF(R161&gt;0,R162/R161,""),"")</f>
        <v/>
      </c>
      <c r="S163" s="203" t="str">
        <f>IF(AND(ISNUMBER(S161),ISNUMBER(S162)),IF(S161&gt;0,S162/S161,""),"")</f>
        <v/>
      </c>
      <c r="T163" s="203" t="str">
        <f>IF(AND(ISNUMBER(T161),ISNUMBER(T162)),IF(T161&gt;0,T162/T161,""),"")</f>
        <v/>
      </c>
      <c r="U163" s="203" t="str">
        <f>IF(AND(ISNUMBER(U161),ISNUMBER(U162)),IF(U161&gt;0,U162/U161,""),"")</f>
        <v/>
      </c>
      <c r="V163" s="203" t="str">
        <f>IF(AND(ISNUMBER(V161),ISNUMBER(V162)),IF(V161&gt;0,V162/V161,""),"")</f>
        <v/>
      </c>
      <c r="W163" s="203" t="str">
        <f>IF(AND(ISNUMBER(W161),ISNUMBER(W162)),IF(W161&gt;0,W162/W161,""),"")</f>
        <v/>
      </c>
      <c r="X163" s="203" t="str">
        <f>IF(AND(ISNUMBER(X161),ISNUMBER(X162)),IF(X161&gt;0,X162/X161,""),"")</f>
        <v/>
      </c>
      <c r="Y163" s="203" t="str">
        <f>IF(AND(ISNUMBER(Y161),ISNUMBER(Y162)),IF(Y161&gt;0,Y162/Y161,""),"")</f>
        <v/>
      </c>
      <c r="Z163" s="203" t="str">
        <f>IF(AND(ISNUMBER(Z161),ISNUMBER(Z162)),IF(Z161&gt;0,Z162/Z161,""),"")</f>
        <v/>
      </c>
      <c r="AA163" s="203" t="str">
        <f>IF(AND(ISNUMBER(AA161),ISNUMBER(AA162)),IF(AA161&gt;0,AA162/AA161,""),"")</f>
        <v/>
      </c>
      <c r="AB163" s="203" t="str">
        <f>IF(AND(ISNUMBER(AB161),ISNUMBER(AB162)),IF(AB161&gt;0,AB162/AB161,""),"")</f>
        <v/>
      </c>
      <c r="AC163" s="203" t="str">
        <f>IF(AND(ISNUMBER(AC161),ISNUMBER(AC162)),IF(AC161&gt;0,AC162/AC161,""),"")</f>
        <v/>
      </c>
      <c r="AD163" s="203" t="str">
        <f>IF(AND(ISNUMBER(AD161),ISNUMBER(AD162)),IF(AD161&gt;0,AD162/AD161,""),"")</f>
        <v/>
      </c>
      <c r="AE163" s="203" t="str">
        <f>IF(AND(ISNUMBER(AE161),ISNUMBER(AE162)),IF(AE161&gt;0,AE162/AE161,""),"")</f>
        <v/>
      </c>
      <c r="AF163" s="203" t="str">
        <f>IF(AND(ISNUMBER(AF161),ISNUMBER(AF162)),IF(AF161&gt;0,AF162/AF161,""),"")</f>
        <v/>
      </c>
      <c r="AG163" s="203" t="str">
        <f>IF(AND(ISNUMBER(AG161),ISNUMBER(AG162)),IF(AG161&gt;0,AG162/AG161,""),"")</f>
        <v/>
      </c>
      <c r="AH163" s="203" t="str">
        <f>IF(AND(ISNUMBER(AH161),ISNUMBER(AH162)),IF(AH161&gt;0,AH162/AH161,""),"")</f>
        <v/>
      </c>
      <c r="AI163" s="203" t="str">
        <f>IF(AND(ISNUMBER(AI161),ISNUMBER(AI162)),IF(AI161&gt;0,AI162/AI161,""),"")</f>
        <v/>
      </c>
      <c r="AJ163" s="204" t="str">
        <f>IF(AND(ISNUMBER(AJ161),ISNUMBER(AJ162)),IF(AJ161&gt;0,AJ162/AJ161,""),"")</f>
        <v/>
      </c>
      <c r="AK163" s="201" t="str">
        <f>IF(AND(ISNUMBER(AK161),ISNUMBER(AK162)),IF(AK161&gt;0,AK162/AK161,""),"")</f>
        <v/>
      </c>
    </row>
    <row r="164" ht="15.75" customHeight="1">
      <c r="A164" s="237"/>
      <c r="B164" s="233" t="inlineStr">
        <is>
          <t xml:space="preserve">GENTE</t>
        </is>
      </c>
      <c r="C164" s="205" t="inlineStr">
        <is>
          <t xml:space="preserve">Efetivo Op.</t>
        </is>
      </c>
      <c r="D164" s="206" t="str">
        <f>IFERROR(1/(1/INDEX(BD!$AK$47:$AU$47,MATCH($A$152,BD!$AK$22:$AU$22,0))),"")</f>
        <v/>
      </c>
      <c r="E164" s="207"/>
      <c r="F164" s="208" t="str">
        <f>IF(F$3="","",IF(COUNTIFS(BD!$A$3:$A$5001,F$3,BD!$B$3:$B$5001,$A$152,BD!$Z$3:$Z$5001,"&lt;&gt;")=0,"",SUMIFS(BD!$Z$3:$Z$5001,BD!$A$3:$A$5001,F$3,BD!$B$3:$B$5001,$A$152)))</f>
        <v/>
      </c>
      <c r="G164" s="209" t="str">
        <f>IF(G$3="","",IF(COUNTIFS(BD!$A$3:$A$5001,G$3,BD!$B$3:$B$5001,$A$152,BD!$Z$3:$Z$5001,"&lt;&gt;")=0,"",SUMIFS(BD!$Z$3:$Z$5001,BD!$A$3:$A$5001,G$3,BD!$B$3:$B$5001,$A$152)))</f>
        <v/>
      </c>
      <c r="H164" s="209" t="str">
        <f>IF(H$3="","",IF(COUNTIFS(BD!$A$3:$A$5001,H$3,BD!$B$3:$B$5001,$A$152,BD!$Z$3:$Z$5001,"&lt;&gt;")=0,"",SUMIFS(BD!$Z$3:$Z$5001,BD!$A$3:$A$5001,H$3,BD!$B$3:$B$5001,$A$152)))</f>
        <v/>
      </c>
      <c r="I164" s="209" t="str">
        <f>IF(I$3="","",IF(COUNTIFS(BD!$A$3:$A$5001,I$3,BD!$B$3:$B$5001,$A$152,BD!$Z$3:$Z$5001,"&lt;&gt;")=0,"",SUMIFS(BD!$Z$3:$Z$5001,BD!$A$3:$A$5001,I$3,BD!$B$3:$B$5001,$A$152)))</f>
        <v/>
      </c>
      <c r="J164" s="209" t="str">
        <f>IF(J$3="","",IF(COUNTIFS(BD!$A$3:$A$5001,J$3,BD!$B$3:$B$5001,$A$152,BD!$Z$3:$Z$5001,"&lt;&gt;")=0,"",SUMIFS(BD!$Z$3:$Z$5001,BD!$A$3:$A$5001,J$3,BD!$B$3:$B$5001,$A$152)))</f>
        <v/>
      </c>
      <c r="K164" s="209" t="str">
        <f>IF(K$3="","",IF(COUNTIFS(BD!$A$3:$A$5001,K$3,BD!$B$3:$B$5001,$A$152,BD!$Z$3:$Z$5001,"&lt;&gt;")=0,"",SUMIFS(BD!$Z$3:$Z$5001,BD!$A$3:$A$5001,K$3,BD!$B$3:$B$5001,$A$152)))</f>
        <v/>
      </c>
      <c r="L164" s="209" t="str">
        <f>IF(L$3="","",IF(COUNTIFS(BD!$A$3:$A$5001,L$3,BD!$B$3:$B$5001,$A$152,BD!$Z$3:$Z$5001,"&lt;&gt;")=0,"",SUMIFS(BD!$Z$3:$Z$5001,BD!$A$3:$A$5001,L$3,BD!$B$3:$B$5001,$A$152)))</f>
        <v/>
      </c>
      <c r="M164" s="209" t="str">
        <f>IF(M$3="","",IF(COUNTIFS(BD!$A$3:$A$5001,M$3,BD!$B$3:$B$5001,$A$152,BD!$Z$3:$Z$5001,"&lt;&gt;")=0,"",SUMIFS(BD!$Z$3:$Z$5001,BD!$A$3:$A$5001,M$3,BD!$B$3:$B$5001,$A$152)))</f>
        <v/>
      </c>
      <c r="N164" s="209" t="str">
        <f>IF(N$3="","",IF(COUNTIFS(BD!$A$3:$A$5001,N$3,BD!$B$3:$B$5001,$A$152,BD!$Z$3:$Z$5001,"&lt;&gt;")=0,"",SUMIFS(BD!$Z$3:$Z$5001,BD!$A$3:$A$5001,N$3,BD!$B$3:$B$5001,$A$152)))</f>
        <v/>
      </c>
      <c r="O164" s="209" t="str">
        <f>IF(O$3="","",IF(COUNTIFS(BD!$A$3:$A$5001,O$3,BD!$B$3:$B$5001,$A$152,BD!$Z$3:$Z$5001,"&lt;&gt;")=0,"",SUMIFS(BD!$Z$3:$Z$5001,BD!$A$3:$A$5001,O$3,BD!$B$3:$B$5001,$A$152)))</f>
        <v/>
      </c>
      <c r="P164" s="209" t="str">
        <f>IF(P$3="","",IF(COUNTIFS(BD!$A$3:$A$5001,P$3,BD!$B$3:$B$5001,$A$152,BD!$Z$3:$Z$5001,"&lt;&gt;")=0,"",SUMIFS(BD!$Z$3:$Z$5001,BD!$A$3:$A$5001,P$3,BD!$B$3:$B$5001,$A$152)))</f>
        <v/>
      </c>
      <c r="Q164" s="209" t="str">
        <f>IF(Q$3="","",IF(COUNTIFS(BD!$A$3:$A$5001,Q$3,BD!$B$3:$B$5001,$A$152,BD!$Z$3:$Z$5001,"&lt;&gt;")=0,"",SUMIFS(BD!$Z$3:$Z$5001,BD!$A$3:$A$5001,Q$3,BD!$B$3:$B$5001,$A$152)))</f>
        <v/>
      </c>
      <c r="R164" s="209" t="str">
        <f>IF(R$3="","",IF(COUNTIFS(BD!$A$3:$A$5001,R$3,BD!$B$3:$B$5001,$A$152,BD!$Z$3:$Z$5001,"&lt;&gt;")=0,"",SUMIFS(BD!$Z$3:$Z$5001,BD!$A$3:$A$5001,R$3,BD!$B$3:$B$5001,$A$152)))</f>
        <v/>
      </c>
      <c r="S164" s="209" t="str">
        <f>IF(S$3="","",IF(COUNTIFS(BD!$A$3:$A$5001,S$3,BD!$B$3:$B$5001,$A$152,BD!$Z$3:$Z$5001,"&lt;&gt;")=0,"",SUMIFS(BD!$Z$3:$Z$5001,BD!$A$3:$A$5001,S$3,BD!$B$3:$B$5001,$A$152)))</f>
        <v/>
      </c>
      <c r="T164" s="209" t="str">
        <f>IF(T$3="","",IF(COUNTIFS(BD!$A$3:$A$5001,T$3,BD!$B$3:$B$5001,$A$152,BD!$Z$3:$Z$5001,"&lt;&gt;")=0,"",SUMIFS(BD!$Z$3:$Z$5001,BD!$A$3:$A$5001,T$3,BD!$B$3:$B$5001,$A$152)))</f>
        <v/>
      </c>
      <c r="U164" s="209" t="str">
        <f>IF(U$3="","",IF(COUNTIFS(BD!$A$3:$A$5001,U$3,BD!$B$3:$B$5001,$A$152,BD!$Z$3:$Z$5001,"&lt;&gt;")=0,"",SUMIFS(BD!$Z$3:$Z$5001,BD!$A$3:$A$5001,U$3,BD!$B$3:$B$5001,$A$152)))</f>
        <v/>
      </c>
      <c r="V164" s="209" t="str">
        <f>IF(V$3="","",IF(COUNTIFS(BD!$A$3:$A$5001,V$3,BD!$B$3:$B$5001,$A$152,BD!$Z$3:$Z$5001,"&lt;&gt;")=0,"",SUMIFS(BD!$Z$3:$Z$5001,BD!$A$3:$A$5001,V$3,BD!$B$3:$B$5001,$A$152)))</f>
        <v/>
      </c>
      <c r="W164" s="209" t="str">
        <f>IF(W$3="","",IF(COUNTIFS(BD!$A$3:$A$5001,W$3,BD!$B$3:$B$5001,$A$152,BD!$Z$3:$Z$5001,"&lt;&gt;")=0,"",SUMIFS(BD!$Z$3:$Z$5001,BD!$A$3:$A$5001,W$3,BD!$B$3:$B$5001,$A$152)))</f>
        <v/>
      </c>
      <c r="X164" s="209" t="str">
        <f>IF(X$3="","",IF(COUNTIFS(BD!$A$3:$A$5001,X$3,BD!$B$3:$B$5001,$A$152,BD!$Z$3:$Z$5001,"&lt;&gt;")=0,"",SUMIFS(BD!$Z$3:$Z$5001,BD!$A$3:$A$5001,X$3,BD!$B$3:$B$5001,$A$152)))</f>
        <v/>
      </c>
      <c r="Y164" s="209" t="str">
        <f>IF(Y$3="","",IF(COUNTIFS(BD!$A$3:$A$5001,Y$3,BD!$B$3:$B$5001,$A$152,BD!$Z$3:$Z$5001,"&lt;&gt;")=0,"",SUMIFS(BD!$Z$3:$Z$5001,BD!$A$3:$A$5001,Y$3,BD!$B$3:$B$5001,$A$152)))</f>
        <v/>
      </c>
      <c r="Z164" s="209" t="str">
        <f>IF(Z$3="","",IF(COUNTIFS(BD!$A$3:$A$5001,Z$3,BD!$B$3:$B$5001,$A$152,BD!$Z$3:$Z$5001,"&lt;&gt;")=0,"",SUMIFS(BD!$Z$3:$Z$5001,BD!$A$3:$A$5001,Z$3,BD!$B$3:$B$5001,$A$152)))</f>
        <v/>
      </c>
      <c r="AA164" s="209" t="str">
        <f>IF(AA$3="","",IF(COUNTIFS(BD!$A$3:$A$5001,AA$3,BD!$B$3:$B$5001,$A$152,BD!$Z$3:$Z$5001,"&lt;&gt;")=0,"",SUMIFS(BD!$Z$3:$Z$5001,BD!$A$3:$A$5001,AA$3,BD!$B$3:$B$5001,$A$152)))</f>
        <v/>
      </c>
      <c r="AB164" s="209" t="str">
        <f>IF(AB$3="","",IF(COUNTIFS(BD!$A$3:$A$5001,AB$3,BD!$B$3:$B$5001,$A$152,BD!$Z$3:$Z$5001,"&lt;&gt;")=0,"",SUMIFS(BD!$Z$3:$Z$5001,BD!$A$3:$A$5001,AB$3,BD!$B$3:$B$5001,$A$152)))</f>
        <v/>
      </c>
      <c r="AC164" s="209" t="str">
        <f>IF(AC$3="","",IF(COUNTIFS(BD!$A$3:$A$5001,AC$3,BD!$B$3:$B$5001,$A$152,BD!$Z$3:$Z$5001,"&lt;&gt;")=0,"",SUMIFS(BD!$Z$3:$Z$5001,BD!$A$3:$A$5001,AC$3,BD!$B$3:$B$5001,$A$152)))</f>
        <v/>
      </c>
      <c r="AD164" s="209" t="str">
        <f>IF(AD$3="","",IF(COUNTIFS(BD!$A$3:$A$5001,AD$3,BD!$B$3:$B$5001,$A$152,BD!$Z$3:$Z$5001,"&lt;&gt;")=0,"",SUMIFS(BD!$Z$3:$Z$5001,BD!$A$3:$A$5001,AD$3,BD!$B$3:$B$5001,$A$152)))</f>
        <v/>
      </c>
      <c r="AE164" s="209" t="str">
        <f>IF(AE$3="","",IF(COUNTIFS(BD!$A$3:$A$5001,AE$3,BD!$B$3:$B$5001,$A$152,BD!$Z$3:$Z$5001,"&lt;&gt;")=0,"",SUMIFS(BD!$Z$3:$Z$5001,BD!$A$3:$A$5001,AE$3,BD!$B$3:$B$5001,$A$152)))</f>
        <v/>
      </c>
      <c r="AF164" s="209" t="str">
        <f>IF(AF$3="","",IF(COUNTIFS(BD!$A$3:$A$5001,AF$3,BD!$B$3:$B$5001,$A$152,BD!$Z$3:$Z$5001,"&lt;&gt;")=0,"",SUMIFS(BD!$Z$3:$Z$5001,BD!$A$3:$A$5001,AF$3,BD!$B$3:$B$5001,$A$152)))</f>
        <v/>
      </c>
      <c r="AG164" s="209" t="str">
        <f>IF(AG$3="","",IF(COUNTIFS(BD!$A$3:$A$5001,AG$3,BD!$B$3:$B$5001,$A$152,BD!$Z$3:$Z$5001,"&lt;&gt;")=0,"",SUMIFS(BD!$Z$3:$Z$5001,BD!$A$3:$A$5001,AG$3,BD!$B$3:$B$5001,$A$152)))</f>
        <v/>
      </c>
      <c r="AH164" s="209" t="str">
        <f>IF(AH$3="","",IF(COUNTIFS(BD!$A$3:$A$5001,AH$3,BD!$B$3:$B$5001,$A$152,BD!$Z$3:$Z$5001,"&lt;&gt;")=0,"",SUMIFS(BD!$Z$3:$Z$5001,BD!$A$3:$A$5001,AH$3,BD!$B$3:$B$5001,$A$152)))</f>
        <v/>
      </c>
      <c r="AI164" s="209" t="str">
        <f>IF(AI$3="","",IF(COUNTIFS(BD!$A$3:$A$5001,AI$3,BD!$B$3:$B$5001,$A$152,BD!$Z$3:$Z$5001,"&lt;&gt;")=0,"",SUMIFS(BD!$Z$3:$Z$5001,BD!$A$3:$A$5001,AI$3,BD!$B$3:$B$5001,$A$152)))</f>
        <v/>
      </c>
      <c r="AJ164" s="210" t="str">
        <f>IF(AJ$3="","",IF(COUNTIFS(BD!$A$3:$A$5001,AJ$3,BD!$B$3:$B$5001,$A$152,BD!$Z$3:$Z$5001,"&lt;&gt;")=0,"",SUMIFS(BD!$Z$3:$Z$5001,BD!$A$3:$A$5001,AJ$3,BD!$B$3:$B$5001,$A$152)))</f>
        <v/>
      </c>
      <c r="AK164" s="211" t="str">
        <f>IFERROR(LOOKUP(9.99E+307,F164:AJ164),"")</f>
        <v/>
      </c>
    </row>
    <row r="165" ht="15.75" customHeight="1">
      <c r="A165" s="237"/>
      <c r="B165" s="234"/>
      <c r="C165" s="212" t="inlineStr">
        <is>
          <t xml:space="preserve">Falta</t>
        </is>
      </c>
      <c r="D165" s="213" t="str">
        <f>IFERROR(1/(1/INDEX(BD!$AK$48:$AU$48,MATCH($A$152,BD!$AK$22:$AU$22,0))),"")</f>
        <v/>
      </c>
      <c r="E165" s="214"/>
      <c r="F165" s="215" t="str">
        <f>IF(F$3="","",IF(COUNTIFS(BD!$A$3:$A$5001,F$3,BD!$B$3:$B$5001,$A$152,BD!$AA$3:$AA$5001,"&lt;&gt;")=0,"",SUMIFS(BD!$AA$3:$AA$5001,BD!$A$3:$A$5001,F$3,BD!$B$3:$B$5001,$A$152)))</f>
        <v/>
      </c>
      <c r="G165" s="216" t="str">
        <f>IF(G$3="","",IF(COUNTIFS(BD!$A$3:$A$5001,G$3,BD!$B$3:$B$5001,$A$152,BD!$AA$3:$AA$5001,"&lt;&gt;")=0,"",SUMIFS(BD!$AA$3:$AA$5001,BD!$A$3:$A$5001,G$3,BD!$B$3:$B$5001,$A$152)))</f>
        <v/>
      </c>
      <c r="H165" s="216" t="str">
        <f>IF(H$3="","",IF(COUNTIFS(BD!$A$3:$A$5001,H$3,BD!$B$3:$B$5001,$A$152,BD!$AA$3:$AA$5001,"&lt;&gt;")=0,"",SUMIFS(BD!$AA$3:$AA$5001,BD!$A$3:$A$5001,H$3,BD!$B$3:$B$5001,$A$152)))</f>
        <v/>
      </c>
      <c r="I165" s="216" t="str">
        <f>IF(I$3="","",IF(COUNTIFS(BD!$A$3:$A$5001,I$3,BD!$B$3:$B$5001,$A$152,BD!$AA$3:$AA$5001,"&lt;&gt;")=0,"",SUMIFS(BD!$AA$3:$AA$5001,BD!$A$3:$A$5001,I$3,BD!$B$3:$B$5001,$A$152)))</f>
        <v/>
      </c>
      <c r="J165" s="216" t="str">
        <f>IF(J$3="","",IF(COUNTIFS(BD!$A$3:$A$5001,J$3,BD!$B$3:$B$5001,$A$152,BD!$AA$3:$AA$5001,"&lt;&gt;")=0,"",SUMIFS(BD!$AA$3:$AA$5001,BD!$A$3:$A$5001,J$3,BD!$B$3:$B$5001,$A$152)))</f>
        <v/>
      </c>
      <c r="K165" s="216" t="str">
        <f>IF(K$3="","",IF(COUNTIFS(BD!$A$3:$A$5001,K$3,BD!$B$3:$B$5001,$A$152,BD!$AA$3:$AA$5001,"&lt;&gt;")=0,"",SUMIFS(BD!$AA$3:$AA$5001,BD!$A$3:$A$5001,K$3,BD!$B$3:$B$5001,$A$152)))</f>
        <v/>
      </c>
      <c r="L165" s="216" t="str">
        <f>IF(L$3="","",IF(COUNTIFS(BD!$A$3:$A$5001,L$3,BD!$B$3:$B$5001,$A$152,BD!$AA$3:$AA$5001,"&lt;&gt;")=0,"",SUMIFS(BD!$AA$3:$AA$5001,BD!$A$3:$A$5001,L$3,BD!$B$3:$B$5001,$A$152)))</f>
        <v/>
      </c>
      <c r="M165" s="216" t="str">
        <f>IF(M$3="","",IF(COUNTIFS(BD!$A$3:$A$5001,M$3,BD!$B$3:$B$5001,$A$152,BD!$AA$3:$AA$5001,"&lt;&gt;")=0,"",SUMIFS(BD!$AA$3:$AA$5001,BD!$A$3:$A$5001,M$3,BD!$B$3:$B$5001,$A$152)))</f>
        <v/>
      </c>
      <c r="N165" s="216" t="str">
        <f>IF(N$3="","",IF(COUNTIFS(BD!$A$3:$A$5001,N$3,BD!$B$3:$B$5001,$A$152,BD!$AA$3:$AA$5001,"&lt;&gt;")=0,"",SUMIFS(BD!$AA$3:$AA$5001,BD!$A$3:$A$5001,N$3,BD!$B$3:$B$5001,$A$152)))</f>
        <v/>
      </c>
      <c r="O165" s="216" t="str">
        <f>IF(O$3="","",IF(COUNTIFS(BD!$A$3:$A$5001,O$3,BD!$B$3:$B$5001,$A$152,BD!$AA$3:$AA$5001,"&lt;&gt;")=0,"",SUMIFS(BD!$AA$3:$AA$5001,BD!$A$3:$A$5001,O$3,BD!$B$3:$B$5001,$A$152)))</f>
        <v/>
      </c>
      <c r="P165" s="216" t="str">
        <f>IF(P$3="","",IF(COUNTIFS(BD!$A$3:$A$5001,P$3,BD!$B$3:$B$5001,$A$152,BD!$AA$3:$AA$5001,"&lt;&gt;")=0,"",SUMIFS(BD!$AA$3:$AA$5001,BD!$A$3:$A$5001,P$3,BD!$B$3:$B$5001,$A$152)))</f>
        <v/>
      </c>
      <c r="Q165" s="216" t="str">
        <f>IF(Q$3="","",IF(COUNTIFS(BD!$A$3:$A$5001,Q$3,BD!$B$3:$B$5001,$A$152,BD!$AA$3:$AA$5001,"&lt;&gt;")=0,"",SUMIFS(BD!$AA$3:$AA$5001,BD!$A$3:$A$5001,Q$3,BD!$B$3:$B$5001,$A$152)))</f>
        <v/>
      </c>
      <c r="R165" s="216" t="str">
        <f>IF(R$3="","",IF(COUNTIFS(BD!$A$3:$A$5001,R$3,BD!$B$3:$B$5001,$A$152,BD!$AA$3:$AA$5001,"&lt;&gt;")=0,"",SUMIFS(BD!$AA$3:$AA$5001,BD!$A$3:$A$5001,R$3,BD!$B$3:$B$5001,$A$152)))</f>
        <v/>
      </c>
      <c r="S165" s="216" t="str">
        <f>IF(S$3="","",IF(COUNTIFS(BD!$A$3:$A$5001,S$3,BD!$B$3:$B$5001,$A$152,BD!$AA$3:$AA$5001,"&lt;&gt;")=0,"",SUMIFS(BD!$AA$3:$AA$5001,BD!$A$3:$A$5001,S$3,BD!$B$3:$B$5001,$A$152)))</f>
        <v/>
      </c>
      <c r="T165" s="216" t="str">
        <f>IF(T$3="","",IF(COUNTIFS(BD!$A$3:$A$5001,T$3,BD!$B$3:$B$5001,$A$152,BD!$AA$3:$AA$5001,"&lt;&gt;")=0,"",SUMIFS(BD!$AA$3:$AA$5001,BD!$A$3:$A$5001,T$3,BD!$B$3:$B$5001,$A$152)))</f>
        <v/>
      </c>
      <c r="U165" s="216" t="str">
        <f>IF(U$3="","",IF(COUNTIFS(BD!$A$3:$A$5001,U$3,BD!$B$3:$B$5001,$A$152,BD!$AA$3:$AA$5001,"&lt;&gt;")=0,"",SUMIFS(BD!$AA$3:$AA$5001,BD!$A$3:$A$5001,U$3,BD!$B$3:$B$5001,$A$152)))</f>
        <v/>
      </c>
      <c r="V165" s="216" t="str">
        <f>IF(V$3="","",IF(COUNTIFS(BD!$A$3:$A$5001,V$3,BD!$B$3:$B$5001,$A$152,BD!$AA$3:$AA$5001,"&lt;&gt;")=0,"",SUMIFS(BD!$AA$3:$AA$5001,BD!$A$3:$A$5001,V$3,BD!$B$3:$B$5001,$A$152)))</f>
        <v/>
      </c>
      <c r="W165" s="216" t="str">
        <f>IF(W$3="","",IF(COUNTIFS(BD!$A$3:$A$5001,W$3,BD!$B$3:$B$5001,$A$152,BD!$AA$3:$AA$5001,"&lt;&gt;")=0,"",SUMIFS(BD!$AA$3:$AA$5001,BD!$A$3:$A$5001,W$3,BD!$B$3:$B$5001,$A$152)))</f>
        <v/>
      </c>
      <c r="X165" s="216" t="str">
        <f>IF(X$3="","",IF(COUNTIFS(BD!$A$3:$A$5001,X$3,BD!$B$3:$B$5001,$A$152,BD!$AA$3:$AA$5001,"&lt;&gt;")=0,"",SUMIFS(BD!$AA$3:$AA$5001,BD!$A$3:$A$5001,X$3,BD!$B$3:$B$5001,$A$152)))</f>
        <v/>
      </c>
      <c r="Y165" s="216" t="str">
        <f>IF(Y$3="","",IF(COUNTIFS(BD!$A$3:$A$5001,Y$3,BD!$B$3:$B$5001,$A$152,BD!$AA$3:$AA$5001,"&lt;&gt;")=0,"",SUMIFS(BD!$AA$3:$AA$5001,BD!$A$3:$A$5001,Y$3,BD!$B$3:$B$5001,$A$152)))</f>
        <v/>
      </c>
      <c r="Z165" s="216" t="str">
        <f>IF(Z$3="","",IF(COUNTIFS(BD!$A$3:$A$5001,Z$3,BD!$B$3:$B$5001,$A$152,BD!$AA$3:$AA$5001,"&lt;&gt;")=0,"",SUMIFS(BD!$AA$3:$AA$5001,BD!$A$3:$A$5001,Z$3,BD!$B$3:$B$5001,$A$152)))</f>
        <v/>
      </c>
      <c r="AA165" s="216" t="str">
        <f>IF(AA$3="","",IF(COUNTIFS(BD!$A$3:$A$5001,AA$3,BD!$B$3:$B$5001,$A$152,BD!$AA$3:$AA$5001,"&lt;&gt;")=0,"",SUMIFS(BD!$AA$3:$AA$5001,BD!$A$3:$A$5001,AA$3,BD!$B$3:$B$5001,$A$152)))</f>
        <v/>
      </c>
      <c r="AB165" s="216" t="str">
        <f>IF(AB$3="","",IF(COUNTIFS(BD!$A$3:$A$5001,AB$3,BD!$B$3:$B$5001,$A$152,BD!$AA$3:$AA$5001,"&lt;&gt;")=0,"",SUMIFS(BD!$AA$3:$AA$5001,BD!$A$3:$A$5001,AB$3,BD!$B$3:$B$5001,$A$152)))</f>
        <v/>
      </c>
      <c r="AC165" s="216" t="str">
        <f>IF(AC$3="","",IF(COUNTIFS(BD!$A$3:$A$5001,AC$3,BD!$B$3:$B$5001,$A$152,BD!$AA$3:$AA$5001,"&lt;&gt;")=0,"",SUMIFS(BD!$AA$3:$AA$5001,BD!$A$3:$A$5001,AC$3,BD!$B$3:$B$5001,$A$152)))</f>
        <v/>
      </c>
      <c r="AD165" s="216" t="str">
        <f>IF(AD$3="","",IF(COUNTIFS(BD!$A$3:$A$5001,AD$3,BD!$B$3:$B$5001,$A$152,BD!$AA$3:$AA$5001,"&lt;&gt;")=0,"",SUMIFS(BD!$AA$3:$AA$5001,BD!$A$3:$A$5001,AD$3,BD!$B$3:$B$5001,$A$152)))</f>
        <v/>
      </c>
      <c r="AE165" s="216" t="str">
        <f>IF(AE$3="","",IF(COUNTIFS(BD!$A$3:$A$5001,AE$3,BD!$B$3:$B$5001,$A$152,BD!$AA$3:$AA$5001,"&lt;&gt;")=0,"",SUMIFS(BD!$AA$3:$AA$5001,BD!$A$3:$A$5001,AE$3,BD!$B$3:$B$5001,$A$152)))</f>
        <v/>
      </c>
      <c r="AF165" s="216" t="str">
        <f>IF(AF$3="","",IF(COUNTIFS(BD!$A$3:$A$5001,AF$3,BD!$B$3:$B$5001,$A$152,BD!$AA$3:$AA$5001,"&lt;&gt;")=0,"",SUMIFS(BD!$AA$3:$AA$5001,BD!$A$3:$A$5001,AF$3,BD!$B$3:$B$5001,$A$152)))</f>
        <v/>
      </c>
      <c r="AG165" s="216" t="str">
        <f>IF(AG$3="","",IF(COUNTIFS(BD!$A$3:$A$5001,AG$3,BD!$B$3:$B$5001,$A$152,BD!$AA$3:$AA$5001,"&lt;&gt;")=0,"",SUMIFS(BD!$AA$3:$AA$5001,BD!$A$3:$A$5001,AG$3,BD!$B$3:$B$5001,$A$152)))</f>
        <v/>
      </c>
      <c r="AH165" s="216" t="str">
        <f>IF(AH$3="","",IF(COUNTIFS(BD!$A$3:$A$5001,AH$3,BD!$B$3:$B$5001,$A$152,BD!$AA$3:$AA$5001,"&lt;&gt;")=0,"",SUMIFS(BD!$AA$3:$AA$5001,BD!$A$3:$A$5001,AH$3,BD!$B$3:$B$5001,$A$152)))</f>
        <v/>
      </c>
      <c r="AI165" s="216" t="str">
        <f>IF(AI$3="","",IF(COUNTIFS(BD!$A$3:$A$5001,AI$3,BD!$B$3:$B$5001,$A$152,BD!$AA$3:$AA$5001,"&lt;&gt;")=0,"",SUMIFS(BD!$AA$3:$AA$5001,BD!$A$3:$A$5001,AI$3,BD!$B$3:$B$5001,$A$152)))</f>
        <v/>
      </c>
      <c r="AJ165" s="217" t="str">
        <f>IF(AJ$3="","",IF(COUNTIFS(BD!$A$3:$A$5001,AJ$3,BD!$B$3:$B$5001,$A$152,BD!$AA$3:$AA$5001,"&lt;&gt;")=0,"",SUMIFS(BD!$AA$3:$AA$5001,BD!$A$3:$A$5001,AJ$3,BD!$B$3:$B$5001,$A$152)))</f>
        <v/>
      </c>
      <c r="AK165" s="218" t="str">
        <f>IF(COUNT(F165:AJ165)=0,"",SUM(F165:AJ165))</f>
        <v/>
      </c>
    </row>
    <row r="166" ht="15.75" customHeight="1">
      <c r="A166" s="237"/>
      <c r="B166" s="234"/>
      <c r="C166" s="212" t="inlineStr">
        <is>
          <t xml:space="preserve">Folga</t>
        </is>
      </c>
      <c r="D166" s="213" t="str">
        <f>IFERROR(1/(1/INDEX(BD!$AK$49:$AU$49,MATCH($A$152,BD!$AK$22:$AU$22,0))),"")</f>
        <v/>
      </c>
      <c r="E166" s="214"/>
      <c r="F166" s="215" t="str">
        <f>IF(F$3="","",IF(COUNTIFS(BD!$A$3:$A$5001,F$3,BD!$B$3:$B$5001,$A$152,BD!$AB$3:$AB$5001,"&lt;&gt;")=0,"",SUMIFS(BD!$AB$3:$AB$5001,BD!$A$3:$A$5001,F$3,BD!$B$3:$B$5001,$A$152)))</f>
        <v/>
      </c>
      <c r="G166" s="216" t="str">
        <f>IF(G$3="","",IF(COUNTIFS(BD!$A$3:$A$5001,G$3,BD!$B$3:$B$5001,$A$152,BD!$AB$3:$AB$5001,"&lt;&gt;")=0,"",SUMIFS(BD!$AB$3:$AB$5001,BD!$A$3:$A$5001,G$3,BD!$B$3:$B$5001,$A$152)))</f>
        <v/>
      </c>
      <c r="H166" s="216" t="str">
        <f>IF(H$3="","",IF(COUNTIFS(BD!$A$3:$A$5001,H$3,BD!$B$3:$B$5001,$A$152,BD!$AB$3:$AB$5001,"&lt;&gt;")=0,"",SUMIFS(BD!$AB$3:$AB$5001,BD!$A$3:$A$5001,H$3,BD!$B$3:$B$5001,$A$152)))</f>
        <v/>
      </c>
      <c r="I166" s="216" t="str">
        <f>IF(I$3="","",IF(COUNTIFS(BD!$A$3:$A$5001,I$3,BD!$B$3:$B$5001,$A$152,BD!$AB$3:$AB$5001,"&lt;&gt;")=0,"",SUMIFS(BD!$AB$3:$AB$5001,BD!$A$3:$A$5001,I$3,BD!$B$3:$B$5001,$A$152)))</f>
        <v/>
      </c>
      <c r="J166" s="216" t="str">
        <f>IF(J$3="","",IF(COUNTIFS(BD!$A$3:$A$5001,J$3,BD!$B$3:$B$5001,$A$152,BD!$AB$3:$AB$5001,"&lt;&gt;")=0,"",SUMIFS(BD!$AB$3:$AB$5001,BD!$A$3:$A$5001,J$3,BD!$B$3:$B$5001,$A$152)))</f>
        <v/>
      </c>
      <c r="K166" s="216" t="str">
        <f>IF(K$3="","",IF(COUNTIFS(BD!$A$3:$A$5001,K$3,BD!$B$3:$B$5001,$A$152,BD!$AB$3:$AB$5001,"&lt;&gt;")=0,"",SUMIFS(BD!$AB$3:$AB$5001,BD!$A$3:$A$5001,K$3,BD!$B$3:$B$5001,$A$152)))</f>
        <v/>
      </c>
      <c r="L166" s="216" t="str">
        <f>IF(L$3="","",IF(COUNTIFS(BD!$A$3:$A$5001,L$3,BD!$B$3:$B$5001,$A$152,BD!$AB$3:$AB$5001,"&lt;&gt;")=0,"",SUMIFS(BD!$AB$3:$AB$5001,BD!$A$3:$A$5001,L$3,BD!$B$3:$B$5001,$A$152)))</f>
        <v/>
      </c>
      <c r="M166" s="216" t="str">
        <f>IF(M$3="","",IF(COUNTIFS(BD!$A$3:$A$5001,M$3,BD!$B$3:$B$5001,$A$152,BD!$AB$3:$AB$5001,"&lt;&gt;")=0,"",SUMIFS(BD!$AB$3:$AB$5001,BD!$A$3:$A$5001,M$3,BD!$B$3:$B$5001,$A$152)))</f>
        <v/>
      </c>
      <c r="N166" s="216" t="str">
        <f>IF(N$3="","",IF(COUNTIFS(BD!$A$3:$A$5001,N$3,BD!$B$3:$B$5001,$A$152,BD!$AB$3:$AB$5001,"&lt;&gt;")=0,"",SUMIFS(BD!$AB$3:$AB$5001,BD!$A$3:$A$5001,N$3,BD!$B$3:$B$5001,$A$152)))</f>
        <v/>
      </c>
      <c r="O166" s="216" t="str">
        <f>IF(O$3="","",IF(COUNTIFS(BD!$A$3:$A$5001,O$3,BD!$B$3:$B$5001,$A$152,BD!$AB$3:$AB$5001,"&lt;&gt;")=0,"",SUMIFS(BD!$AB$3:$AB$5001,BD!$A$3:$A$5001,O$3,BD!$B$3:$B$5001,$A$152)))</f>
        <v/>
      </c>
      <c r="P166" s="216" t="str">
        <f>IF(P$3="","",IF(COUNTIFS(BD!$A$3:$A$5001,P$3,BD!$B$3:$B$5001,$A$152,BD!$AB$3:$AB$5001,"&lt;&gt;")=0,"",SUMIFS(BD!$AB$3:$AB$5001,BD!$A$3:$A$5001,P$3,BD!$B$3:$B$5001,$A$152)))</f>
        <v/>
      </c>
      <c r="Q166" s="216" t="str">
        <f>IF(Q$3="","",IF(COUNTIFS(BD!$A$3:$A$5001,Q$3,BD!$B$3:$B$5001,$A$152,BD!$AB$3:$AB$5001,"&lt;&gt;")=0,"",SUMIFS(BD!$AB$3:$AB$5001,BD!$A$3:$A$5001,Q$3,BD!$B$3:$B$5001,$A$152)))</f>
        <v/>
      </c>
      <c r="R166" s="216" t="str">
        <f>IF(R$3="","",IF(COUNTIFS(BD!$A$3:$A$5001,R$3,BD!$B$3:$B$5001,$A$152,BD!$AB$3:$AB$5001,"&lt;&gt;")=0,"",SUMIFS(BD!$AB$3:$AB$5001,BD!$A$3:$A$5001,R$3,BD!$B$3:$B$5001,$A$152)))</f>
        <v/>
      </c>
      <c r="S166" s="216" t="str">
        <f>IF(S$3="","",IF(COUNTIFS(BD!$A$3:$A$5001,S$3,BD!$B$3:$B$5001,$A$152,BD!$AB$3:$AB$5001,"&lt;&gt;")=0,"",SUMIFS(BD!$AB$3:$AB$5001,BD!$A$3:$A$5001,S$3,BD!$B$3:$B$5001,$A$152)))</f>
        <v/>
      </c>
      <c r="T166" s="216" t="str">
        <f>IF(T$3="","",IF(COUNTIFS(BD!$A$3:$A$5001,T$3,BD!$B$3:$B$5001,$A$152,BD!$AB$3:$AB$5001,"&lt;&gt;")=0,"",SUMIFS(BD!$AB$3:$AB$5001,BD!$A$3:$A$5001,T$3,BD!$B$3:$B$5001,$A$152)))</f>
        <v/>
      </c>
      <c r="U166" s="216" t="str">
        <f>IF(U$3="","",IF(COUNTIFS(BD!$A$3:$A$5001,U$3,BD!$B$3:$B$5001,$A$152,BD!$AB$3:$AB$5001,"&lt;&gt;")=0,"",SUMIFS(BD!$AB$3:$AB$5001,BD!$A$3:$A$5001,U$3,BD!$B$3:$B$5001,$A$152)))</f>
        <v/>
      </c>
      <c r="V166" s="216" t="str">
        <f>IF(V$3="","",IF(COUNTIFS(BD!$A$3:$A$5001,V$3,BD!$B$3:$B$5001,$A$152,BD!$AB$3:$AB$5001,"&lt;&gt;")=0,"",SUMIFS(BD!$AB$3:$AB$5001,BD!$A$3:$A$5001,V$3,BD!$B$3:$B$5001,$A$152)))</f>
        <v/>
      </c>
      <c r="W166" s="216" t="str">
        <f>IF(W$3="","",IF(COUNTIFS(BD!$A$3:$A$5001,W$3,BD!$B$3:$B$5001,$A$152,BD!$AB$3:$AB$5001,"&lt;&gt;")=0,"",SUMIFS(BD!$AB$3:$AB$5001,BD!$A$3:$A$5001,W$3,BD!$B$3:$B$5001,$A$152)))</f>
        <v/>
      </c>
      <c r="X166" s="216" t="str">
        <f>IF(X$3="","",IF(COUNTIFS(BD!$A$3:$A$5001,X$3,BD!$B$3:$B$5001,$A$152,BD!$AB$3:$AB$5001,"&lt;&gt;")=0,"",SUMIFS(BD!$AB$3:$AB$5001,BD!$A$3:$A$5001,X$3,BD!$B$3:$B$5001,$A$152)))</f>
        <v/>
      </c>
      <c r="Y166" s="216" t="str">
        <f>IF(Y$3="","",IF(COUNTIFS(BD!$A$3:$A$5001,Y$3,BD!$B$3:$B$5001,$A$152,BD!$AB$3:$AB$5001,"&lt;&gt;")=0,"",SUMIFS(BD!$AB$3:$AB$5001,BD!$A$3:$A$5001,Y$3,BD!$B$3:$B$5001,$A$152)))</f>
        <v/>
      </c>
      <c r="Z166" s="216" t="str">
        <f>IF(Z$3="","",IF(COUNTIFS(BD!$A$3:$A$5001,Z$3,BD!$B$3:$B$5001,$A$152,BD!$AB$3:$AB$5001,"&lt;&gt;")=0,"",SUMIFS(BD!$AB$3:$AB$5001,BD!$A$3:$A$5001,Z$3,BD!$B$3:$B$5001,$A$152)))</f>
        <v/>
      </c>
      <c r="AA166" s="216" t="str">
        <f>IF(AA$3="","",IF(COUNTIFS(BD!$A$3:$A$5001,AA$3,BD!$B$3:$B$5001,$A$152,BD!$AB$3:$AB$5001,"&lt;&gt;")=0,"",SUMIFS(BD!$AB$3:$AB$5001,BD!$A$3:$A$5001,AA$3,BD!$B$3:$B$5001,$A$152)))</f>
        <v/>
      </c>
      <c r="AB166" s="216" t="str">
        <f>IF(AB$3="","",IF(COUNTIFS(BD!$A$3:$A$5001,AB$3,BD!$B$3:$B$5001,$A$152,BD!$AB$3:$AB$5001,"&lt;&gt;")=0,"",SUMIFS(BD!$AB$3:$AB$5001,BD!$A$3:$A$5001,AB$3,BD!$B$3:$B$5001,$A$152)))</f>
        <v/>
      </c>
      <c r="AC166" s="216" t="str">
        <f>IF(AC$3="","",IF(COUNTIFS(BD!$A$3:$A$5001,AC$3,BD!$B$3:$B$5001,$A$152,BD!$AB$3:$AB$5001,"&lt;&gt;")=0,"",SUMIFS(BD!$AB$3:$AB$5001,BD!$A$3:$A$5001,AC$3,BD!$B$3:$B$5001,$A$152)))</f>
        <v/>
      </c>
      <c r="AD166" s="216" t="str">
        <f>IF(AD$3="","",IF(COUNTIFS(BD!$A$3:$A$5001,AD$3,BD!$B$3:$B$5001,$A$152,BD!$AB$3:$AB$5001,"&lt;&gt;")=0,"",SUMIFS(BD!$AB$3:$AB$5001,BD!$A$3:$A$5001,AD$3,BD!$B$3:$B$5001,$A$152)))</f>
        <v/>
      </c>
      <c r="AE166" s="216" t="str">
        <f>IF(AE$3="","",IF(COUNTIFS(BD!$A$3:$A$5001,AE$3,BD!$B$3:$B$5001,$A$152,BD!$AB$3:$AB$5001,"&lt;&gt;")=0,"",SUMIFS(BD!$AB$3:$AB$5001,BD!$A$3:$A$5001,AE$3,BD!$B$3:$B$5001,$A$152)))</f>
        <v/>
      </c>
      <c r="AF166" s="216" t="str">
        <f>IF(AF$3="","",IF(COUNTIFS(BD!$A$3:$A$5001,AF$3,BD!$B$3:$B$5001,$A$152,BD!$AB$3:$AB$5001,"&lt;&gt;")=0,"",SUMIFS(BD!$AB$3:$AB$5001,BD!$A$3:$A$5001,AF$3,BD!$B$3:$B$5001,$A$152)))</f>
        <v/>
      </c>
      <c r="AG166" s="216" t="str">
        <f>IF(AG$3="","",IF(COUNTIFS(BD!$A$3:$A$5001,AG$3,BD!$B$3:$B$5001,$A$152,BD!$AB$3:$AB$5001,"&lt;&gt;")=0,"",SUMIFS(BD!$AB$3:$AB$5001,BD!$A$3:$A$5001,AG$3,BD!$B$3:$B$5001,$A$152)))</f>
        <v/>
      </c>
      <c r="AH166" s="216" t="str">
        <f>IF(AH$3="","",IF(COUNTIFS(BD!$A$3:$A$5001,AH$3,BD!$B$3:$B$5001,$A$152,BD!$AB$3:$AB$5001,"&lt;&gt;")=0,"",SUMIFS(BD!$AB$3:$AB$5001,BD!$A$3:$A$5001,AH$3,BD!$B$3:$B$5001,$A$152)))</f>
        <v/>
      </c>
      <c r="AI166" s="216" t="str">
        <f>IF(AI$3="","",IF(COUNTIFS(BD!$A$3:$A$5001,AI$3,BD!$B$3:$B$5001,$A$152,BD!$AB$3:$AB$5001,"&lt;&gt;")=0,"",SUMIFS(BD!$AB$3:$AB$5001,BD!$A$3:$A$5001,AI$3,BD!$B$3:$B$5001,$A$152)))</f>
        <v/>
      </c>
      <c r="AJ166" s="217" t="str">
        <f>IF(AJ$3="","",IF(COUNTIFS(BD!$A$3:$A$5001,AJ$3,BD!$B$3:$B$5001,$A$152,BD!$AB$3:$AB$5001,"&lt;&gt;")=0,"",SUMIFS(BD!$AB$3:$AB$5001,BD!$A$3:$A$5001,AJ$3,BD!$B$3:$B$5001,$A$152)))</f>
        <v/>
      </c>
      <c r="AK166" s="218" t="str">
        <f>IF(COUNT(F166:AJ166)=0,"",SUM(F166:AJ166))</f>
        <v/>
      </c>
    </row>
    <row r="167" ht="15.75" customHeight="1">
      <c r="A167" s="237"/>
      <c r="B167" s="234"/>
      <c r="C167" s="212" t="inlineStr">
        <is>
          <t xml:space="preserve">Férias</t>
        </is>
      </c>
      <c r="D167" s="213" t="str">
        <f>IFERROR(1/(1/INDEX(BD!$AK$50:$AU$50,MATCH($A$152,BD!$AK$22:$AU$22,0))),"")</f>
        <v/>
      </c>
      <c r="E167" s="214"/>
      <c r="F167" s="215" t="str">
        <f>IF(F$3="","",IF(COUNTIFS(BD!$A$3:$A$5001,F$3,BD!$B$3:$B$5001,$A$152,BD!$AC$3:$AC$5001,"&lt;&gt;")=0,"",SUMIFS(BD!$AC$3:$AC$5001,BD!$A$3:$A$5001,F$3,BD!$B$3:$B$5001,$A$152)))</f>
        <v/>
      </c>
      <c r="G167" s="216" t="str">
        <f>IF(G$3="","",IF(COUNTIFS(BD!$A$3:$A$5001,G$3,BD!$B$3:$B$5001,$A$152,BD!$AC$3:$AC$5001,"&lt;&gt;")=0,"",SUMIFS(BD!$AC$3:$AC$5001,BD!$A$3:$A$5001,G$3,BD!$B$3:$B$5001,$A$152)))</f>
        <v/>
      </c>
      <c r="H167" s="216" t="str">
        <f>IF(H$3="","",IF(COUNTIFS(BD!$A$3:$A$5001,H$3,BD!$B$3:$B$5001,$A$152,BD!$AC$3:$AC$5001,"&lt;&gt;")=0,"",SUMIFS(BD!$AC$3:$AC$5001,BD!$A$3:$A$5001,H$3,BD!$B$3:$B$5001,$A$152)))</f>
        <v/>
      </c>
      <c r="I167" s="216" t="str">
        <f>IF(I$3="","",IF(COUNTIFS(BD!$A$3:$A$5001,I$3,BD!$B$3:$B$5001,$A$152,BD!$AC$3:$AC$5001,"&lt;&gt;")=0,"",SUMIFS(BD!$AC$3:$AC$5001,BD!$A$3:$A$5001,I$3,BD!$B$3:$B$5001,$A$152)))</f>
        <v/>
      </c>
      <c r="J167" s="216" t="str">
        <f>IF(J$3="","",IF(COUNTIFS(BD!$A$3:$A$5001,J$3,BD!$B$3:$B$5001,$A$152,BD!$AC$3:$AC$5001,"&lt;&gt;")=0,"",SUMIFS(BD!$AC$3:$AC$5001,BD!$A$3:$A$5001,J$3,BD!$B$3:$B$5001,$A$152)))</f>
        <v/>
      </c>
      <c r="K167" s="216" t="str">
        <f>IF(K$3="","",IF(COUNTIFS(BD!$A$3:$A$5001,K$3,BD!$B$3:$B$5001,$A$152,BD!$AC$3:$AC$5001,"&lt;&gt;")=0,"",SUMIFS(BD!$AC$3:$AC$5001,BD!$A$3:$A$5001,K$3,BD!$B$3:$B$5001,$A$152)))</f>
        <v/>
      </c>
      <c r="L167" s="216" t="str">
        <f>IF(L$3="","",IF(COUNTIFS(BD!$A$3:$A$5001,L$3,BD!$B$3:$B$5001,$A$152,BD!$AC$3:$AC$5001,"&lt;&gt;")=0,"",SUMIFS(BD!$AC$3:$AC$5001,BD!$A$3:$A$5001,L$3,BD!$B$3:$B$5001,$A$152)))</f>
        <v/>
      </c>
      <c r="M167" s="216" t="str">
        <f>IF(M$3="","",IF(COUNTIFS(BD!$A$3:$A$5001,M$3,BD!$B$3:$B$5001,$A$152,BD!$AC$3:$AC$5001,"&lt;&gt;")=0,"",SUMIFS(BD!$AC$3:$AC$5001,BD!$A$3:$A$5001,M$3,BD!$B$3:$B$5001,$A$152)))</f>
        <v/>
      </c>
      <c r="N167" s="216" t="str">
        <f>IF(N$3="","",IF(COUNTIFS(BD!$A$3:$A$5001,N$3,BD!$B$3:$B$5001,$A$152,BD!$AC$3:$AC$5001,"&lt;&gt;")=0,"",SUMIFS(BD!$AC$3:$AC$5001,BD!$A$3:$A$5001,N$3,BD!$B$3:$B$5001,$A$152)))</f>
        <v/>
      </c>
      <c r="O167" s="216" t="str">
        <f>IF(O$3="","",IF(COUNTIFS(BD!$A$3:$A$5001,O$3,BD!$B$3:$B$5001,$A$152,BD!$AC$3:$AC$5001,"&lt;&gt;")=0,"",SUMIFS(BD!$AC$3:$AC$5001,BD!$A$3:$A$5001,O$3,BD!$B$3:$B$5001,$A$152)))</f>
        <v/>
      </c>
      <c r="P167" s="216" t="str">
        <f>IF(P$3="","",IF(COUNTIFS(BD!$A$3:$A$5001,P$3,BD!$B$3:$B$5001,$A$152,BD!$AC$3:$AC$5001,"&lt;&gt;")=0,"",SUMIFS(BD!$AC$3:$AC$5001,BD!$A$3:$A$5001,P$3,BD!$B$3:$B$5001,$A$152)))</f>
        <v/>
      </c>
      <c r="Q167" s="216" t="str">
        <f>IF(Q$3="","",IF(COUNTIFS(BD!$A$3:$A$5001,Q$3,BD!$B$3:$B$5001,$A$152,BD!$AC$3:$AC$5001,"&lt;&gt;")=0,"",SUMIFS(BD!$AC$3:$AC$5001,BD!$A$3:$A$5001,Q$3,BD!$B$3:$B$5001,$A$152)))</f>
        <v/>
      </c>
      <c r="R167" s="216" t="str">
        <f>IF(R$3="","",IF(COUNTIFS(BD!$A$3:$A$5001,R$3,BD!$B$3:$B$5001,$A$152,BD!$AC$3:$AC$5001,"&lt;&gt;")=0,"",SUMIFS(BD!$AC$3:$AC$5001,BD!$A$3:$A$5001,R$3,BD!$B$3:$B$5001,$A$152)))</f>
        <v/>
      </c>
      <c r="S167" s="216" t="str">
        <f>IF(S$3="","",IF(COUNTIFS(BD!$A$3:$A$5001,S$3,BD!$B$3:$B$5001,$A$152,BD!$AC$3:$AC$5001,"&lt;&gt;")=0,"",SUMIFS(BD!$AC$3:$AC$5001,BD!$A$3:$A$5001,S$3,BD!$B$3:$B$5001,$A$152)))</f>
        <v/>
      </c>
      <c r="T167" s="216" t="str">
        <f>IF(T$3="","",IF(COUNTIFS(BD!$A$3:$A$5001,T$3,BD!$B$3:$B$5001,$A$152,BD!$AC$3:$AC$5001,"&lt;&gt;")=0,"",SUMIFS(BD!$AC$3:$AC$5001,BD!$A$3:$A$5001,T$3,BD!$B$3:$B$5001,$A$152)))</f>
        <v/>
      </c>
      <c r="U167" s="216" t="str">
        <f>IF(U$3="","",IF(COUNTIFS(BD!$A$3:$A$5001,U$3,BD!$B$3:$B$5001,$A$152,BD!$AC$3:$AC$5001,"&lt;&gt;")=0,"",SUMIFS(BD!$AC$3:$AC$5001,BD!$A$3:$A$5001,U$3,BD!$B$3:$B$5001,$A$152)))</f>
        <v/>
      </c>
      <c r="V167" s="216" t="str">
        <f>IF(V$3="","",IF(COUNTIFS(BD!$A$3:$A$5001,V$3,BD!$B$3:$B$5001,$A$152,BD!$AC$3:$AC$5001,"&lt;&gt;")=0,"",SUMIFS(BD!$AC$3:$AC$5001,BD!$A$3:$A$5001,V$3,BD!$B$3:$B$5001,$A$152)))</f>
        <v/>
      </c>
      <c r="W167" s="216" t="str">
        <f>IF(W$3="","",IF(COUNTIFS(BD!$A$3:$A$5001,W$3,BD!$B$3:$B$5001,$A$152,BD!$AC$3:$AC$5001,"&lt;&gt;")=0,"",SUMIFS(BD!$AC$3:$AC$5001,BD!$A$3:$A$5001,W$3,BD!$B$3:$B$5001,$A$152)))</f>
        <v/>
      </c>
      <c r="X167" s="216" t="str">
        <f>IF(X$3="","",IF(COUNTIFS(BD!$A$3:$A$5001,X$3,BD!$B$3:$B$5001,$A$152,BD!$AC$3:$AC$5001,"&lt;&gt;")=0,"",SUMIFS(BD!$AC$3:$AC$5001,BD!$A$3:$A$5001,X$3,BD!$B$3:$B$5001,$A$152)))</f>
        <v/>
      </c>
      <c r="Y167" s="216" t="str">
        <f>IF(Y$3="","",IF(COUNTIFS(BD!$A$3:$A$5001,Y$3,BD!$B$3:$B$5001,$A$152,BD!$AC$3:$AC$5001,"&lt;&gt;")=0,"",SUMIFS(BD!$AC$3:$AC$5001,BD!$A$3:$A$5001,Y$3,BD!$B$3:$B$5001,$A$152)))</f>
        <v/>
      </c>
      <c r="Z167" s="216" t="str">
        <f>IF(Z$3="","",IF(COUNTIFS(BD!$A$3:$A$5001,Z$3,BD!$B$3:$B$5001,$A$152,BD!$AC$3:$AC$5001,"&lt;&gt;")=0,"",SUMIFS(BD!$AC$3:$AC$5001,BD!$A$3:$A$5001,Z$3,BD!$B$3:$B$5001,$A$152)))</f>
        <v/>
      </c>
      <c r="AA167" s="216" t="str">
        <f>IF(AA$3="","",IF(COUNTIFS(BD!$A$3:$A$5001,AA$3,BD!$B$3:$B$5001,$A$152,BD!$AC$3:$AC$5001,"&lt;&gt;")=0,"",SUMIFS(BD!$AC$3:$AC$5001,BD!$A$3:$A$5001,AA$3,BD!$B$3:$B$5001,$A$152)))</f>
        <v/>
      </c>
      <c r="AB167" s="216" t="str">
        <f>IF(AB$3="","",IF(COUNTIFS(BD!$A$3:$A$5001,AB$3,BD!$B$3:$B$5001,$A$152,BD!$AC$3:$AC$5001,"&lt;&gt;")=0,"",SUMIFS(BD!$AC$3:$AC$5001,BD!$A$3:$A$5001,AB$3,BD!$B$3:$B$5001,$A$152)))</f>
        <v/>
      </c>
      <c r="AC167" s="216" t="str">
        <f>IF(AC$3="","",IF(COUNTIFS(BD!$A$3:$A$5001,AC$3,BD!$B$3:$B$5001,$A$152,BD!$AC$3:$AC$5001,"&lt;&gt;")=0,"",SUMIFS(BD!$AC$3:$AC$5001,BD!$A$3:$A$5001,AC$3,BD!$B$3:$B$5001,$A$152)))</f>
        <v/>
      </c>
      <c r="AD167" s="216" t="str">
        <f>IF(AD$3="","",IF(COUNTIFS(BD!$A$3:$A$5001,AD$3,BD!$B$3:$B$5001,$A$152,BD!$AC$3:$AC$5001,"&lt;&gt;")=0,"",SUMIFS(BD!$AC$3:$AC$5001,BD!$A$3:$A$5001,AD$3,BD!$B$3:$B$5001,$A$152)))</f>
        <v/>
      </c>
      <c r="AE167" s="216" t="str">
        <f>IF(AE$3="","",IF(COUNTIFS(BD!$A$3:$A$5001,AE$3,BD!$B$3:$B$5001,$A$152,BD!$AC$3:$AC$5001,"&lt;&gt;")=0,"",SUMIFS(BD!$AC$3:$AC$5001,BD!$A$3:$A$5001,AE$3,BD!$B$3:$B$5001,$A$152)))</f>
        <v/>
      </c>
      <c r="AF167" s="216" t="str">
        <f>IF(AF$3="","",IF(COUNTIFS(BD!$A$3:$A$5001,AF$3,BD!$B$3:$B$5001,$A$152,BD!$AC$3:$AC$5001,"&lt;&gt;")=0,"",SUMIFS(BD!$AC$3:$AC$5001,BD!$A$3:$A$5001,AF$3,BD!$B$3:$B$5001,$A$152)))</f>
        <v/>
      </c>
      <c r="AG167" s="216" t="str">
        <f>IF(AG$3="","",IF(COUNTIFS(BD!$A$3:$A$5001,AG$3,BD!$B$3:$B$5001,$A$152,BD!$AC$3:$AC$5001,"&lt;&gt;")=0,"",SUMIFS(BD!$AC$3:$AC$5001,BD!$A$3:$A$5001,AG$3,BD!$B$3:$B$5001,$A$152)))</f>
        <v/>
      </c>
      <c r="AH167" s="216" t="str">
        <f>IF(AH$3="","",IF(COUNTIFS(BD!$A$3:$A$5001,AH$3,BD!$B$3:$B$5001,$A$152,BD!$AC$3:$AC$5001,"&lt;&gt;")=0,"",SUMIFS(BD!$AC$3:$AC$5001,BD!$A$3:$A$5001,AH$3,BD!$B$3:$B$5001,$A$152)))</f>
        <v/>
      </c>
      <c r="AI167" s="216" t="str">
        <f>IF(AI$3="","",IF(COUNTIFS(BD!$A$3:$A$5001,AI$3,BD!$B$3:$B$5001,$A$152,BD!$AC$3:$AC$5001,"&lt;&gt;")=0,"",SUMIFS(BD!$AC$3:$AC$5001,BD!$A$3:$A$5001,AI$3,BD!$B$3:$B$5001,$A$152)))</f>
        <v/>
      </c>
      <c r="AJ167" s="217" t="str">
        <f>IF(AJ$3="","",IF(COUNTIFS(BD!$A$3:$A$5001,AJ$3,BD!$B$3:$B$5001,$A$152,BD!$AC$3:$AC$5001,"&lt;&gt;")=0,"",SUMIFS(BD!$AC$3:$AC$5001,BD!$A$3:$A$5001,AJ$3,BD!$B$3:$B$5001,$A$152)))</f>
        <v/>
      </c>
      <c r="AK167" s="218" t="str">
        <f>IF(COUNT(F167:AJ167)=0,"",SUM(F167:AJ167))</f>
        <v/>
      </c>
    </row>
    <row r="168" ht="15.75" customHeight="1">
      <c r="A168" s="237"/>
      <c r="B168" s="234"/>
      <c r="C168" s="212" t="inlineStr">
        <is>
          <t xml:space="preserve">Desligamento</t>
        </is>
      </c>
      <c r="D168" s="213" t="str">
        <f>IFERROR(1/(1/INDEX(BD!$AK$51:$AU$51,MATCH($A$152,BD!$AK$22:$AU$22,0))),"")</f>
        <v/>
      </c>
      <c r="E168" s="214"/>
      <c r="F168" s="215" t="str">
        <f>IF(F$3="","",IF(COUNTIFS(BD!$A$3:$A$5001,F$3,BD!$B$3:$B$5001,$A$152,BD!$AD$3:$AD$5001,"&lt;&gt;")=0,"",SUMIFS(BD!$AD$3:$AD$5001,BD!$A$3:$A$5001,F$3,BD!$B$3:$B$5001,$A$152)))</f>
        <v/>
      </c>
      <c r="G168" s="216" t="str">
        <f>IF(G$3="","",IF(COUNTIFS(BD!$A$3:$A$5001,G$3,BD!$B$3:$B$5001,$A$152,BD!$AD$3:$AD$5001,"&lt;&gt;")=0,"",SUMIFS(BD!$AD$3:$AD$5001,BD!$A$3:$A$5001,G$3,BD!$B$3:$B$5001,$A$152)))</f>
        <v/>
      </c>
      <c r="H168" s="216" t="str">
        <f>IF(H$3="","",IF(COUNTIFS(BD!$A$3:$A$5001,H$3,BD!$B$3:$B$5001,$A$152,BD!$AD$3:$AD$5001,"&lt;&gt;")=0,"",SUMIFS(BD!$AD$3:$AD$5001,BD!$A$3:$A$5001,H$3,BD!$B$3:$B$5001,$A$152)))</f>
        <v/>
      </c>
      <c r="I168" s="216" t="str">
        <f>IF(I$3="","",IF(COUNTIFS(BD!$A$3:$A$5001,I$3,BD!$B$3:$B$5001,$A$152,BD!$AD$3:$AD$5001,"&lt;&gt;")=0,"",SUMIFS(BD!$AD$3:$AD$5001,BD!$A$3:$A$5001,I$3,BD!$B$3:$B$5001,$A$152)))</f>
        <v/>
      </c>
      <c r="J168" s="216" t="str">
        <f>IF(J$3="","",IF(COUNTIFS(BD!$A$3:$A$5001,J$3,BD!$B$3:$B$5001,$A$152,BD!$AD$3:$AD$5001,"&lt;&gt;")=0,"",SUMIFS(BD!$AD$3:$AD$5001,BD!$A$3:$A$5001,J$3,BD!$B$3:$B$5001,$A$152)))</f>
        <v/>
      </c>
      <c r="K168" s="216" t="str">
        <f>IF(K$3="","",IF(COUNTIFS(BD!$A$3:$A$5001,K$3,BD!$B$3:$B$5001,$A$152,BD!$AD$3:$AD$5001,"&lt;&gt;")=0,"",SUMIFS(BD!$AD$3:$AD$5001,BD!$A$3:$A$5001,K$3,BD!$B$3:$B$5001,$A$152)))</f>
        <v/>
      </c>
      <c r="L168" s="216" t="str">
        <f>IF(L$3="","",IF(COUNTIFS(BD!$A$3:$A$5001,L$3,BD!$B$3:$B$5001,$A$152,BD!$AD$3:$AD$5001,"&lt;&gt;")=0,"",SUMIFS(BD!$AD$3:$AD$5001,BD!$A$3:$A$5001,L$3,BD!$B$3:$B$5001,$A$152)))</f>
        <v/>
      </c>
      <c r="M168" s="216" t="str">
        <f>IF(M$3="","",IF(COUNTIFS(BD!$A$3:$A$5001,M$3,BD!$B$3:$B$5001,$A$152,BD!$AD$3:$AD$5001,"&lt;&gt;")=0,"",SUMIFS(BD!$AD$3:$AD$5001,BD!$A$3:$A$5001,M$3,BD!$B$3:$B$5001,$A$152)))</f>
        <v/>
      </c>
      <c r="N168" s="216" t="str">
        <f>IF(N$3="","",IF(COUNTIFS(BD!$A$3:$A$5001,N$3,BD!$B$3:$B$5001,$A$152,BD!$AD$3:$AD$5001,"&lt;&gt;")=0,"",SUMIFS(BD!$AD$3:$AD$5001,BD!$A$3:$A$5001,N$3,BD!$B$3:$B$5001,$A$152)))</f>
        <v/>
      </c>
      <c r="O168" s="216" t="str">
        <f>IF(O$3="","",IF(COUNTIFS(BD!$A$3:$A$5001,O$3,BD!$B$3:$B$5001,$A$152,BD!$AD$3:$AD$5001,"&lt;&gt;")=0,"",SUMIFS(BD!$AD$3:$AD$5001,BD!$A$3:$A$5001,O$3,BD!$B$3:$B$5001,$A$152)))</f>
        <v/>
      </c>
      <c r="P168" s="216" t="str">
        <f>IF(P$3="","",IF(COUNTIFS(BD!$A$3:$A$5001,P$3,BD!$B$3:$B$5001,$A$152,BD!$AD$3:$AD$5001,"&lt;&gt;")=0,"",SUMIFS(BD!$AD$3:$AD$5001,BD!$A$3:$A$5001,P$3,BD!$B$3:$B$5001,$A$152)))</f>
        <v/>
      </c>
      <c r="Q168" s="216" t="str">
        <f>IF(Q$3="","",IF(COUNTIFS(BD!$A$3:$A$5001,Q$3,BD!$B$3:$B$5001,$A$152,BD!$AD$3:$AD$5001,"&lt;&gt;")=0,"",SUMIFS(BD!$AD$3:$AD$5001,BD!$A$3:$A$5001,Q$3,BD!$B$3:$B$5001,$A$152)))</f>
        <v/>
      </c>
      <c r="R168" s="216" t="str">
        <f>IF(R$3="","",IF(COUNTIFS(BD!$A$3:$A$5001,R$3,BD!$B$3:$B$5001,$A$152,BD!$AD$3:$AD$5001,"&lt;&gt;")=0,"",SUMIFS(BD!$AD$3:$AD$5001,BD!$A$3:$A$5001,R$3,BD!$B$3:$B$5001,$A$152)))</f>
        <v/>
      </c>
      <c r="S168" s="216" t="str">
        <f>IF(S$3="","",IF(COUNTIFS(BD!$A$3:$A$5001,S$3,BD!$B$3:$B$5001,$A$152,BD!$AD$3:$AD$5001,"&lt;&gt;")=0,"",SUMIFS(BD!$AD$3:$AD$5001,BD!$A$3:$A$5001,S$3,BD!$B$3:$B$5001,$A$152)))</f>
        <v/>
      </c>
      <c r="T168" s="216" t="str">
        <f>IF(T$3="","",IF(COUNTIFS(BD!$A$3:$A$5001,T$3,BD!$B$3:$B$5001,$A$152,BD!$AD$3:$AD$5001,"&lt;&gt;")=0,"",SUMIFS(BD!$AD$3:$AD$5001,BD!$A$3:$A$5001,T$3,BD!$B$3:$B$5001,$A$152)))</f>
        <v/>
      </c>
      <c r="U168" s="216" t="str">
        <f>IF(U$3="","",IF(COUNTIFS(BD!$A$3:$A$5001,U$3,BD!$B$3:$B$5001,$A$152,BD!$AD$3:$AD$5001,"&lt;&gt;")=0,"",SUMIFS(BD!$AD$3:$AD$5001,BD!$A$3:$A$5001,U$3,BD!$B$3:$B$5001,$A$152)))</f>
        <v/>
      </c>
      <c r="V168" s="216" t="str">
        <f>IF(V$3="","",IF(COUNTIFS(BD!$A$3:$A$5001,V$3,BD!$B$3:$B$5001,$A$152,BD!$AD$3:$AD$5001,"&lt;&gt;")=0,"",SUMIFS(BD!$AD$3:$AD$5001,BD!$A$3:$A$5001,V$3,BD!$B$3:$B$5001,$A$152)))</f>
        <v/>
      </c>
      <c r="W168" s="216" t="str">
        <f>IF(W$3="","",IF(COUNTIFS(BD!$A$3:$A$5001,W$3,BD!$B$3:$B$5001,$A$152,BD!$AD$3:$AD$5001,"&lt;&gt;")=0,"",SUMIFS(BD!$AD$3:$AD$5001,BD!$A$3:$A$5001,W$3,BD!$B$3:$B$5001,$A$152)))</f>
        <v/>
      </c>
      <c r="X168" s="216" t="str">
        <f>IF(X$3="","",IF(COUNTIFS(BD!$A$3:$A$5001,X$3,BD!$B$3:$B$5001,$A$152,BD!$AD$3:$AD$5001,"&lt;&gt;")=0,"",SUMIFS(BD!$AD$3:$AD$5001,BD!$A$3:$A$5001,X$3,BD!$B$3:$B$5001,$A$152)))</f>
        <v/>
      </c>
      <c r="Y168" s="216" t="str">
        <f>IF(Y$3="","",IF(COUNTIFS(BD!$A$3:$A$5001,Y$3,BD!$B$3:$B$5001,$A$152,BD!$AD$3:$AD$5001,"&lt;&gt;")=0,"",SUMIFS(BD!$AD$3:$AD$5001,BD!$A$3:$A$5001,Y$3,BD!$B$3:$B$5001,$A$152)))</f>
        <v/>
      </c>
      <c r="Z168" s="216" t="str">
        <f>IF(Z$3="","",IF(COUNTIFS(BD!$A$3:$A$5001,Z$3,BD!$B$3:$B$5001,$A$152,BD!$AD$3:$AD$5001,"&lt;&gt;")=0,"",SUMIFS(BD!$AD$3:$AD$5001,BD!$A$3:$A$5001,Z$3,BD!$B$3:$B$5001,$A$152)))</f>
        <v/>
      </c>
      <c r="AA168" s="216" t="str">
        <f>IF(AA$3="","",IF(COUNTIFS(BD!$A$3:$A$5001,AA$3,BD!$B$3:$B$5001,$A$152,BD!$AD$3:$AD$5001,"&lt;&gt;")=0,"",SUMIFS(BD!$AD$3:$AD$5001,BD!$A$3:$A$5001,AA$3,BD!$B$3:$B$5001,$A$152)))</f>
        <v/>
      </c>
      <c r="AB168" s="216" t="str">
        <f>IF(AB$3="","",IF(COUNTIFS(BD!$A$3:$A$5001,AB$3,BD!$B$3:$B$5001,$A$152,BD!$AD$3:$AD$5001,"&lt;&gt;")=0,"",SUMIFS(BD!$AD$3:$AD$5001,BD!$A$3:$A$5001,AB$3,BD!$B$3:$B$5001,$A$152)))</f>
        <v/>
      </c>
      <c r="AC168" s="216" t="str">
        <f>IF(AC$3="","",IF(COUNTIFS(BD!$A$3:$A$5001,AC$3,BD!$B$3:$B$5001,$A$152,BD!$AD$3:$AD$5001,"&lt;&gt;")=0,"",SUMIFS(BD!$AD$3:$AD$5001,BD!$A$3:$A$5001,AC$3,BD!$B$3:$B$5001,$A$152)))</f>
        <v/>
      </c>
      <c r="AD168" s="216" t="str">
        <f>IF(AD$3="","",IF(COUNTIFS(BD!$A$3:$A$5001,AD$3,BD!$B$3:$B$5001,$A$152,BD!$AD$3:$AD$5001,"&lt;&gt;")=0,"",SUMIFS(BD!$AD$3:$AD$5001,BD!$A$3:$A$5001,AD$3,BD!$B$3:$B$5001,$A$152)))</f>
        <v/>
      </c>
      <c r="AE168" s="216" t="str">
        <f>IF(AE$3="","",IF(COUNTIFS(BD!$A$3:$A$5001,AE$3,BD!$B$3:$B$5001,$A$152,BD!$AD$3:$AD$5001,"&lt;&gt;")=0,"",SUMIFS(BD!$AD$3:$AD$5001,BD!$A$3:$A$5001,AE$3,BD!$B$3:$B$5001,$A$152)))</f>
        <v/>
      </c>
      <c r="AF168" s="216" t="str">
        <f>IF(AF$3="","",IF(COUNTIFS(BD!$A$3:$A$5001,AF$3,BD!$B$3:$B$5001,$A$152,BD!$AD$3:$AD$5001,"&lt;&gt;")=0,"",SUMIFS(BD!$AD$3:$AD$5001,BD!$A$3:$A$5001,AF$3,BD!$B$3:$B$5001,$A$152)))</f>
        <v/>
      </c>
      <c r="AG168" s="216" t="str">
        <f>IF(AG$3="","",IF(COUNTIFS(BD!$A$3:$A$5001,AG$3,BD!$B$3:$B$5001,$A$152,BD!$AD$3:$AD$5001,"&lt;&gt;")=0,"",SUMIFS(BD!$AD$3:$AD$5001,BD!$A$3:$A$5001,AG$3,BD!$B$3:$B$5001,$A$152)))</f>
        <v/>
      </c>
      <c r="AH168" s="216" t="str">
        <f>IF(AH$3="","",IF(COUNTIFS(BD!$A$3:$A$5001,AH$3,BD!$B$3:$B$5001,$A$152,BD!$AD$3:$AD$5001,"&lt;&gt;")=0,"",SUMIFS(BD!$AD$3:$AD$5001,BD!$A$3:$A$5001,AH$3,BD!$B$3:$B$5001,$A$152)))</f>
        <v/>
      </c>
      <c r="AI168" s="216" t="str">
        <f>IF(AI$3="","",IF(COUNTIFS(BD!$A$3:$A$5001,AI$3,BD!$B$3:$B$5001,$A$152,BD!$AD$3:$AD$5001,"&lt;&gt;")=0,"",SUMIFS(BD!$AD$3:$AD$5001,BD!$A$3:$A$5001,AI$3,BD!$B$3:$B$5001,$A$152)))</f>
        <v/>
      </c>
      <c r="AJ168" s="217" t="str">
        <f>IF(AJ$3="","",IF(COUNTIFS(BD!$A$3:$A$5001,AJ$3,BD!$B$3:$B$5001,$A$152,BD!$AD$3:$AD$5001,"&lt;&gt;")=0,"",SUMIFS(BD!$AD$3:$AD$5001,BD!$A$3:$A$5001,AJ$3,BD!$B$3:$B$5001,$A$152)))</f>
        <v/>
      </c>
      <c r="AK168" s="218" t="str">
        <f>IF(COUNT(F168:AJ168)=0,"",SUM(F168:AJ168))</f>
        <v/>
      </c>
    </row>
    <row r="169" ht="15.75" customHeight="1">
      <c r="A169" s="237"/>
      <c r="B169" s="234"/>
      <c r="C169" s="212" t="inlineStr">
        <is>
          <t xml:space="preserve">Desvios Comportamentais</t>
        </is>
      </c>
      <c r="D169" s="213" t="str">
        <f>IFERROR(1/(1/INDEX(BD!$AK$52:$AU$52,MATCH($A$152,BD!$AK$22:$AU$22,0))),"")</f>
        <v/>
      </c>
      <c r="E169" s="214"/>
      <c r="F169" s="215" t="str">
        <f>IF(F$3="","",IF(COUNTIFS(BD!$A$3:$A$5001,F$3,BD!$B$3:$B$5001,$A$152,BD!$AE$3:$AE$5001,"&lt;&gt;")=0,"",SUMIFS(BD!$AE$3:$AE$5001,BD!$A$3:$A$5001,F$3,BD!$B$3:$B$5001,$A$152)))</f>
        <v/>
      </c>
      <c r="G169" s="216" t="str">
        <f>IF(G$3="","",IF(COUNTIFS(BD!$A$3:$A$5001,G$3,BD!$B$3:$B$5001,$A$152,BD!$AE$3:$AE$5001,"&lt;&gt;")=0,"",SUMIFS(BD!$AE$3:$AE$5001,BD!$A$3:$A$5001,G$3,BD!$B$3:$B$5001,$A$152)))</f>
        <v/>
      </c>
      <c r="H169" s="216" t="str">
        <f>IF(H$3="","",IF(COUNTIFS(BD!$A$3:$A$5001,H$3,BD!$B$3:$B$5001,$A$152,BD!$AE$3:$AE$5001,"&lt;&gt;")=0,"",SUMIFS(BD!$AE$3:$AE$5001,BD!$A$3:$A$5001,H$3,BD!$B$3:$B$5001,$A$152)))</f>
        <v/>
      </c>
      <c r="I169" s="216" t="str">
        <f>IF(I$3="","",IF(COUNTIFS(BD!$A$3:$A$5001,I$3,BD!$B$3:$B$5001,$A$152,BD!$AE$3:$AE$5001,"&lt;&gt;")=0,"",SUMIFS(BD!$AE$3:$AE$5001,BD!$A$3:$A$5001,I$3,BD!$B$3:$B$5001,$A$152)))</f>
        <v/>
      </c>
      <c r="J169" s="216" t="str">
        <f>IF(J$3="","",IF(COUNTIFS(BD!$A$3:$A$5001,J$3,BD!$B$3:$B$5001,$A$152,BD!$AE$3:$AE$5001,"&lt;&gt;")=0,"",SUMIFS(BD!$AE$3:$AE$5001,BD!$A$3:$A$5001,J$3,BD!$B$3:$B$5001,$A$152)))</f>
        <v/>
      </c>
      <c r="K169" s="216" t="str">
        <f>IF(K$3="","",IF(COUNTIFS(BD!$A$3:$A$5001,K$3,BD!$B$3:$B$5001,$A$152,BD!$AE$3:$AE$5001,"&lt;&gt;")=0,"",SUMIFS(BD!$AE$3:$AE$5001,BD!$A$3:$A$5001,K$3,BD!$B$3:$B$5001,$A$152)))</f>
        <v/>
      </c>
      <c r="L169" s="216" t="str">
        <f>IF(L$3="","",IF(COUNTIFS(BD!$A$3:$A$5001,L$3,BD!$B$3:$B$5001,$A$152,BD!$AE$3:$AE$5001,"&lt;&gt;")=0,"",SUMIFS(BD!$AE$3:$AE$5001,BD!$A$3:$A$5001,L$3,BD!$B$3:$B$5001,$A$152)))</f>
        <v/>
      </c>
      <c r="M169" s="216" t="str">
        <f>IF(M$3="","",IF(COUNTIFS(BD!$A$3:$A$5001,M$3,BD!$B$3:$B$5001,$A$152,BD!$AE$3:$AE$5001,"&lt;&gt;")=0,"",SUMIFS(BD!$AE$3:$AE$5001,BD!$A$3:$A$5001,M$3,BD!$B$3:$B$5001,$A$152)))</f>
        <v/>
      </c>
      <c r="N169" s="216" t="str">
        <f>IF(N$3="","",IF(COUNTIFS(BD!$A$3:$A$5001,N$3,BD!$B$3:$B$5001,$A$152,BD!$AE$3:$AE$5001,"&lt;&gt;")=0,"",SUMIFS(BD!$AE$3:$AE$5001,BD!$A$3:$A$5001,N$3,BD!$B$3:$B$5001,$A$152)))</f>
        <v/>
      </c>
      <c r="O169" s="216" t="str">
        <f>IF(O$3="","",IF(COUNTIFS(BD!$A$3:$A$5001,O$3,BD!$B$3:$B$5001,$A$152,BD!$AE$3:$AE$5001,"&lt;&gt;")=0,"",SUMIFS(BD!$AE$3:$AE$5001,BD!$A$3:$A$5001,O$3,BD!$B$3:$B$5001,$A$152)))</f>
        <v/>
      </c>
      <c r="P169" s="216" t="str">
        <f>IF(P$3="","",IF(COUNTIFS(BD!$A$3:$A$5001,P$3,BD!$B$3:$B$5001,$A$152,BD!$AE$3:$AE$5001,"&lt;&gt;")=0,"",SUMIFS(BD!$AE$3:$AE$5001,BD!$A$3:$A$5001,P$3,BD!$B$3:$B$5001,$A$152)))</f>
        <v/>
      </c>
      <c r="Q169" s="216" t="str">
        <f>IF(Q$3="","",IF(COUNTIFS(BD!$A$3:$A$5001,Q$3,BD!$B$3:$B$5001,$A$152,BD!$AE$3:$AE$5001,"&lt;&gt;")=0,"",SUMIFS(BD!$AE$3:$AE$5001,BD!$A$3:$A$5001,Q$3,BD!$B$3:$B$5001,$A$152)))</f>
        <v/>
      </c>
      <c r="R169" s="216" t="str">
        <f>IF(R$3="","",IF(COUNTIFS(BD!$A$3:$A$5001,R$3,BD!$B$3:$B$5001,$A$152,BD!$AE$3:$AE$5001,"&lt;&gt;")=0,"",SUMIFS(BD!$AE$3:$AE$5001,BD!$A$3:$A$5001,R$3,BD!$B$3:$B$5001,$A$152)))</f>
        <v/>
      </c>
      <c r="S169" s="216" t="str">
        <f>IF(S$3="","",IF(COUNTIFS(BD!$A$3:$A$5001,S$3,BD!$B$3:$B$5001,$A$152,BD!$AE$3:$AE$5001,"&lt;&gt;")=0,"",SUMIFS(BD!$AE$3:$AE$5001,BD!$A$3:$A$5001,S$3,BD!$B$3:$B$5001,$A$152)))</f>
        <v/>
      </c>
      <c r="T169" s="216" t="str">
        <f>IF(T$3="","",IF(COUNTIFS(BD!$A$3:$A$5001,T$3,BD!$B$3:$B$5001,$A$152,BD!$AE$3:$AE$5001,"&lt;&gt;")=0,"",SUMIFS(BD!$AE$3:$AE$5001,BD!$A$3:$A$5001,T$3,BD!$B$3:$B$5001,$A$152)))</f>
        <v/>
      </c>
      <c r="U169" s="216" t="str">
        <f>IF(U$3="","",IF(COUNTIFS(BD!$A$3:$A$5001,U$3,BD!$B$3:$B$5001,$A$152,BD!$AE$3:$AE$5001,"&lt;&gt;")=0,"",SUMIFS(BD!$AE$3:$AE$5001,BD!$A$3:$A$5001,U$3,BD!$B$3:$B$5001,$A$152)))</f>
        <v/>
      </c>
      <c r="V169" s="216" t="str">
        <f>IF(V$3="","",IF(COUNTIFS(BD!$A$3:$A$5001,V$3,BD!$B$3:$B$5001,$A$152,BD!$AE$3:$AE$5001,"&lt;&gt;")=0,"",SUMIFS(BD!$AE$3:$AE$5001,BD!$A$3:$A$5001,V$3,BD!$B$3:$B$5001,$A$152)))</f>
        <v/>
      </c>
      <c r="W169" s="216" t="str">
        <f>IF(W$3="","",IF(COUNTIFS(BD!$A$3:$A$5001,W$3,BD!$B$3:$B$5001,$A$152,BD!$AE$3:$AE$5001,"&lt;&gt;")=0,"",SUMIFS(BD!$AE$3:$AE$5001,BD!$A$3:$A$5001,W$3,BD!$B$3:$B$5001,$A$152)))</f>
        <v/>
      </c>
      <c r="X169" s="216" t="str">
        <f>IF(X$3="","",IF(COUNTIFS(BD!$A$3:$A$5001,X$3,BD!$B$3:$B$5001,$A$152,BD!$AE$3:$AE$5001,"&lt;&gt;")=0,"",SUMIFS(BD!$AE$3:$AE$5001,BD!$A$3:$A$5001,X$3,BD!$B$3:$B$5001,$A$152)))</f>
        <v/>
      </c>
      <c r="Y169" s="216" t="str">
        <f>IF(Y$3="","",IF(COUNTIFS(BD!$A$3:$A$5001,Y$3,BD!$B$3:$B$5001,$A$152,BD!$AE$3:$AE$5001,"&lt;&gt;")=0,"",SUMIFS(BD!$AE$3:$AE$5001,BD!$A$3:$A$5001,Y$3,BD!$B$3:$B$5001,$A$152)))</f>
        <v/>
      </c>
      <c r="Z169" s="216" t="str">
        <f>IF(Z$3="","",IF(COUNTIFS(BD!$A$3:$A$5001,Z$3,BD!$B$3:$B$5001,$A$152,BD!$AE$3:$AE$5001,"&lt;&gt;")=0,"",SUMIFS(BD!$AE$3:$AE$5001,BD!$A$3:$A$5001,Z$3,BD!$B$3:$B$5001,$A$152)))</f>
        <v/>
      </c>
      <c r="AA169" s="216" t="str">
        <f>IF(AA$3="","",IF(COUNTIFS(BD!$A$3:$A$5001,AA$3,BD!$B$3:$B$5001,$A$152,BD!$AE$3:$AE$5001,"&lt;&gt;")=0,"",SUMIFS(BD!$AE$3:$AE$5001,BD!$A$3:$A$5001,AA$3,BD!$B$3:$B$5001,$A$152)))</f>
        <v/>
      </c>
      <c r="AB169" s="216" t="str">
        <f>IF(AB$3="","",IF(COUNTIFS(BD!$A$3:$A$5001,AB$3,BD!$B$3:$B$5001,$A$152,BD!$AE$3:$AE$5001,"&lt;&gt;")=0,"",SUMIFS(BD!$AE$3:$AE$5001,BD!$A$3:$A$5001,AB$3,BD!$B$3:$B$5001,$A$152)))</f>
        <v/>
      </c>
      <c r="AC169" s="216" t="str">
        <f>IF(AC$3="","",IF(COUNTIFS(BD!$A$3:$A$5001,AC$3,BD!$B$3:$B$5001,$A$152,BD!$AE$3:$AE$5001,"&lt;&gt;")=0,"",SUMIFS(BD!$AE$3:$AE$5001,BD!$A$3:$A$5001,AC$3,BD!$B$3:$B$5001,$A$152)))</f>
        <v/>
      </c>
      <c r="AD169" s="216" t="str">
        <f>IF(AD$3="","",IF(COUNTIFS(BD!$A$3:$A$5001,AD$3,BD!$B$3:$B$5001,$A$152,BD!$AE$3:$AE$5001,"&lt;&gt;")=0,"",SUMIFS(BD!$AE$3:$AE$5001,BD!$A$3:$A$5001,AD$3,BD!$B$3:$B$5001,$A$152)))</f>
        <v/>
      </c>
      <c r="AE169" s="216" t="str">
        <f>IF(AE$3="","",IF(COUNTIFS(BD!$A$3:$A$5001,AE$3,BD!$B$3:$B$5001,$A$152,BD!$AE$3:$AE$5001,"&lt;&gt;")=0,"",SUMIFS(BD!$AE$3:$AE$5001,BD!$A$3:$A$5001,AE$3,BD!$B$3:$B$5001,$A$152)))</f>
        <v/>
      </c>
      <c r="AF169" s="216" t="str">
        <f>IF(AF$3="","",IF(COUNTIFS(BD!$A$3:$A$5001,AF$3,BD!$B$3:$B$5001,$A$152,BD!$AE$3:$AE$5001,"&lt;&gt;")=0,"",SUMIFS(BD!$AE$3:$AE$5001,BD!$A$3:$A$5001,AF$3,BD!$B$3:$B$5001,$A$152)))</f>
        <v/>
      </c>
      <c r="AG169" s="216" t="str">
        <f>IF(AG$3="","",IF(COUNTIFS(BD!$A$3:$A$5001,AG$3,BD!$B$3:$B$5001,$A$152,BD!$AE$3:$AE$5001,"&lt;&gt;")=0,"",SUMIFS(BD!$AE$3:$AE$5001,BD!$A$3:$A$5001,AG$3,BD!$B$3:$B$5001,$A$152)))</f>
        <v/>
      </c>
      <c r="AH169" s="216" t="str">
        <f>IF(AH$3="","",IF(COUNTIFS(BD!$A$3:$A$5001,AH$3,BD!$B$3:$B$5001,$A$152,BD!$AE$3:$AE$5001,"&lt;&gt;")=0,"",SUMIFS(BD!$AE$3:$AE$5001,BD!$A$3:$A$5001,AH$3,BD!$B$3:$B$5001,$A$152)))</f>
        <v/>
      </c>
      <c r="AI169" s="216" t="str">
        <f>IF(AI$3="","",IF(COUNTIFS(BD!$A$3:$A$5001,AI$3,BD!$B$3:$B$5001,$A$152,BD!$AE$3:$AE$5001,"&lt;&gt;")=0,"",SUMIFS(BD!$AE$3:$AE$5001,BD!$A$3:$A$5001,AI$3,BD!$B$3:$B$5001,$A$152)))</f>
        <v/>
      </c>
      <c r="AJ169" s="217" t="str">
        <f>IF(AJ$3="","",IF(COUNTIFS(BD!$A$3:$A$5001,AJ$3,BD!$B$3:$B$5001,$A$152,BD!$AE$3:$AE$5001,"&lt;&gt;")=0,"",SUMIFS(BD!$AE$3:$AE$5001,BD!$A$3:$A$5001,AJ$3,BD!$B$3:$B$5001,$A$152)))</f>
        <v/>
      </c>
      <c r="AK169" s="218" t="str">
        <f>IF(COUNT(F169:AJ169)=0,"",SUM(F169:AJ169))</f>
        <v/>
      </c>
    </row>
    <row r="170" ht="15.75" customHeight="1">
      <c r="A170" s="237"/>
      <c r="B170" s="234"/>
      <c r="C170" s="212" t="inlineStr">
        <is>
          <t xml:space="preserve">Acidentes CAF</t>
        </is>
      </c>
      <c r="D170" s="213" t="str">
        <f>IFERROR(1/(1/INDEX(BD!$AK$53:$AU$53,MATCH($A$152,BD!$AK$22:$AU$22,0))),"")</f>
        <v/>
      </c>
      <c r="E170" s="214"/>
      <c r="F170" s="215" t="str">
        <f>IF(F$3="","",IF(COUNTIFS(BD!$A$3:$A$5001,F$3,BD!$B$3:$B$5001,$A$152,BD!$AF$3:$AF$5001,"&lt;&gt;")=0,"",SUMIFS(BD!$AF$3:$AF$5001,BD!$A$3:$A$5001,F$3,BD!$B$3:$B$5001,$A$152)))</f>
        <v/>
      </c>
      <c r="G170" s="216" t="str">
        <f>IF(G$3="","",IF(COUNTIFS(BD!$A$3:$A$5001,G$3,BD!$B$3:$B$5001,$A$152,BD!$AF$3:$AF$5001,"&lt;&gt;")=0,"",SUMIFS(BD!$AF$3:$AF$5001,BD!$A$3:$A$5001,G$3,BD!$B$3:$B$5001,$A$152)))</f>
        <v/>
      </c>
      <c r="H170" s="216" t="str">
        <f>IF(H$3="","",IF(COUNTIFS(BD!$A$3:$A$5001,H$3,BD!$B$3:$B$5001,$A$152,BD!$AF$3:$AF$5001,"&lt;&gt;")=0,"",SUMIFS(BD!$AF$3:$AF$5001,BD!$A$3:$A$5001,H$3,BD!$B$3:$B$5001,$A$152)))</f>
        <v/>
      </c>
      <c r="I170" s="216" t="str">
        <f>IF(I$3="","",IF(COUNTIFS(BD!$A$3:$A$5001,I$3,BD!$B$3:$B$5001,$A$152,BD!$AF$3:$AF$5001,"&lt;&gt;")=0,"",SUMIFS(BD!$AF$3:$AF$5001,BD!$A$3:$A$5001,I$3,BD!$B$3:$B$5001,$A$152)))</f>
        <v/>
      </c>
      <c r="J170" s="216" t="str">
        <f>IF(J$3="","",IF(COUNTIFS(BD!$A$3:$A$5001,J$3,BD!$B$3:$B$5001,$A$152,BD!$AF$3:$AF$5001,"&lt;&gt;")=0,"",SUMIFS(BD!$AF$3:$AF$5001,BD!$A$3:$A$5001,J$3,BD!$B$3:$B$5001,$A$152)))</f>
        <v/>
      </c>
      <c r="K170" s="216" t="str">
        <f>IF(K$3="","",IF(COUNTIFS(BD!$A$3:$A$5001,K$3,BD!$B$3:$B$5001,$A$152,BD!$AF$3:$AF$5001,"&lt;&gt;")=0,"",SUMIFS(BD!$AF$3:$AF$5001,BD!$A$3:$A$5001,K$3,BD!$B$3:$B$5001,$A$152)))</f>
        <v/>
      </c>
      <c r="L170" s="216" t="str">
        <f>IF(L$3="","",IF(COUNTIFS(BD!$A$3:$A$5001,L$3,BD!$B$3:$B$5001,$A$152,BD!$AF$3:$AF$5001,"&lt;&gt;")=0,"",SUMIFS(BD!$AF$3:$AF$5001,BD!$A$3:$A$5001,L$3,BD!$B$3:$B$5001,$A$152)))</f>
        <v/>
      </c>
      <c r="M170" s="216" t="str">
        <f>IF(M$3="","",IF(COUNTIFS(BD!$A$3:$A$5001,M$3,BD!$B$3:$B$5001,$A$152,BD!$AF$3:$AF$5001,"&lt;&gt;")=0,"",SUMIFS(BD!$AF$3:$AF$5001,BD!$A$3:$A$5001,M$3,BD!$B$3:$B$5001,$A$152)))</f>
        <v/>
      </c>
      <c r="N170" s="216" t="str">
        <f>IF(N$3="","",IF(COUNTIFS(BD!$A$3:$A$5001,N$3,BD!$B$3:$B$5001,$A$152,BD!$AF$3:$AF$5001,"&lt;&gt;")=0,"",SUMIFS(BD!$AF$3:$AF$5001,BD!$A$3:$A$5001,N$3,BD!$B$3:$B$5001,$A$152)))</f>
        <v/>
      </c>
      <c r="O170" s="216" t="str">
        <f>IF(O$3="","",IF(COUNTIFS(BD!$A$3:$A$5001,O$3,BD!$B$3:$B$5001,$A$152,BD!$AF$3:$AF$5001,"&lt;&gt;")=0,"",SUMIFS(BD!$AF$3:$AF$5001,BD!$A$3:$A$5001,O$3,BD!$B$3:$B$5001,$A$152)))</f>
        <v/>
      </c>
      <c r="P170" s="216" t="str">
        <f>IF(P$3="","",IF(COUNTIFS(BD!$A$3:$A$5001,P$3,BD!$B$3:$B$5001,$A$152,BD!$AF$3:$AF$5001,"&lt;&gt;")=0,"",SUMIFS(BD!$AF$3:$AF$5001,BD!$A$3:$A$5001,P$3,BD!$B$3:$B$5001,$A$152)))</f>
        <v/>
      </c>
      <c r="Q170" s="216" t="str">
        <f>IF(Q$3="","",IF(COUNTIFS(BD!$A$3:$A$5001,Q$3,BD!$B$3:$B$5001,$A$152,BD!$AF$3:$AF$5001,"&lt;&gt;")=0,"",SUMIFS(BD!$AF$3:$AF$5001,BD!$A$3:$A$5001,Q$3,BD!$B$3:$B$5001,$A$152)))</f>
        <v/>
      </c>
      <c r="R170" s="216" t="str">
        <f>IF(R$3="","",IF(COUNTIFS(BD!$A$3:$A$5001,R$3,BD!$B$3:$B$5001,$A$152,BD!$AF$3:$AF$5001,"&lt;&gt;")=0,"",SUMIFS(BD!$AF$3:$AF$5001,BD!$A$3:$A$5001,R$3,BD!$B$3:$B$5001,$A$152)))</f>
        <v/>
      </c>
      <c r="S170" s="216" t="str">
        <f>IF(S$3="","",IF(COUNTIFS(BD!$A$3:$A$5001,S$3,BD!$B$3:$B$5001,$A$152,BD!$AF$3:$AF$5001,"&lt;&gt;")=0,"",SUMIFS(BD!$AF$3:$AF$5001,BD!$A$3:$A$5001,S$3,BD!$B$3:$B$5001,$A$152)))</f>
        <v/>
      </c>
      <c r="T170" s="216" t="str">
        <f>IF(T$3="","",IF(COUNTIFS(BD!$A$3:$A$5001,T$3,BD!$B$3:$B$5001,$A$152,BD!$AF$3:$AF$5001,"&lt;&gt;")=0,"",SUMIFS(BD!$AF$3:$AF$5001,BD!$A$3:$A$5001,T$3,BD!$B$3:$B$5001,$A$152)))</f>
        <v/>
      </c>
      <c r="U170" s="216" t="str">
        <f>IF(U$3="","",IF(COUNTIFS(BD!$A$3:$A$5001,U$3,BD!$B$3:$B$5001,$A$152,BD!$AF$3:$AF$5001,"&lt;&gt;")=0,"",SUMIFS(BD!$AF$3:$AF$5001,BD!$A$3:$A$5001,U$3,BD!$B$3:$B$5001,$A$152)))</f>
        <v/>
      </c>
      <c r="V170" s="216" t="str">
        <f>IF(V$3="","",IF(COUNTIFS(BD!$A$3:$A$5001,V$3,BD!$B$3:$B$5001,$A$152,BD!$AF$3:$AF$5001,"&lt;&gt;")=0,"",SUMIFS(BD!$AF$3:$AF$5001,BD!$A$3:$A$5001,V$3,BD!$B$3:$B$5001,$A$152)))</f>
        <v/>
      </c>
      <c r="W170" s="216" t="str">
        <f>IF(W$3="","",IF(COUNTIFS(BD!$A$3:$A$5001,W$3,BD!$B$3:$B$5001,$A$152,BD!$AF$3:$AF$5001,"&lt;&gt;")=0,"",SUMIFS(BD!$AF$3:$AF$5001,BD!$A$3:$A$5001,W$3,BD!$B$3:$B$5001,$A$152)))</f>
        <v/>
      </c>
      <c r="X170" s="216" t="str">
        <f>IF(X$3="","",IF(COUNTIFS(BD!$A$3:$A$5001,X$3,BD!$B$3:$B$5001,$A$152,BD!$AF$3:$AF$5001,"&lt;&gt;")=0,"",SUMIFS(BD!$AF$3:$AF$5001,BD!$A$3:$A$5001,X$3,BD!$B$3:$B$5001,$A$152)))</f>
        <v/>
      </c>
      <c r="Y170" s="216" t="str">
        <f>IF(Y$3="","",IF(COUNTIFS(BD!$A$3:$A$5001,Y$3,BD!$B$3:$B$5001,$A$152,BD!$AF$3:$AF$5001,"&lt;&gt;")=0,"",SUMIFS(BD!$AF$3:$AF$5001,BD!$A$3:$A$5001,Y$3,BD!$B$3:$B$5001,$A$152)))</f>
        <v/>
      </c>
      <c r="Z170" s="216" t="str">
        <f>IF(Z$3="","",IF(COUNTIFS(BD!$A$3:$A$5001,Z$3,BD!$B$3:$B$5001,$A$152,BD!$AF$3:$AF$5001,"&lt;&gt;")=0,"",SUMIFS(BD!$AF$3:$AF$5001,BD!$A$3:$A$5001,Z$3,BD!$B$3:$B$5001,$A$152)))</f>
        <v/>
      </c>
      <c r="AA170" s="216" t="str">
        <f>IF(AA$3="","",IF(COUNTIFS(BD!$A$3:$A$5001,AA$3,BD!$B$3:$B$5001,$A$152,BD!$AF$3:$AF$5001,"&lt;&gt;")=0,"",SUMIFS(BD!$AF$3:$AF$5001,BD!$A$3:$A$5001,AA$3,BD!$B$3:$B$5001,$A$152)))</f>
        <v/>
      </c>
      <c r="AB170" s="216" t="str">
        <f>IF(AB$3="","",IF(COUNTIFS(BD!$A$3:$A$5001,AB$3,BD!$B$3:$B$5001,$A$152,BD!$AF$3:$AF$5001,"&lt;&gt;")=0,"",SUMIFS(BD!$AF$3:$AF$5001,BD!$A$3:$A$5001,AB$3,BD!$B$3:$B$5001,$A$152)))</f>
        <v/>
      </c>
      <c r="AC170" s="216" t="str">
        <f>IF(AC$3="","",IF(COUNTIFS(BD!$A$3:$A$5001,AC$3,BD!$B$3:$B$5001,$A$152,BD!$AF$3:$AF$5001,"&lt;&gt;")=0,"",SUMIFS(BD!$AF$3:$AF$5001,BD!$A$3:$A$5001,AC$3,BD!$B$3:$B$5001,$A$152)))</f>
        <v/>
      </c>
      <c r="AD170" s="216" t="str">
        <f>IF(AD$3="","",IF(COUNTIFS(BD!$A$3:$A$5001,AD$3,BD!$B$3:$B$5001,$A$152,BD!$AF$3:$AF$5001,"&lt;&gt;")=0,"",SUMIFS(BD!$AF$3:$AF$5001,BD!$A$3:$A$5001,AD$3,BD!$B$3:$B$5001,$A$152)))</f>
        <v/>
      </c>
      <c r="AE170" s="216" t="str">
        <f>IF(AE$3="","",IF(COUNTIFS(BD!$A$3:$A$5001,AE$3,BD!$B$3:$B$5001,$A$152,BD!$AF$3:$AF$5001,"&lt;&gt;")=0,"",SUMIFS(BD!$AF$3:$AF$5001,BD!$A$3:$A$5001,AE$3,BD!$B$3:$B$5001,$A$152)))</f>
        <v/>
      </c>
      <c r="AF170" s="216" t="str">
        <f>IF(AF$3="","",IF(COUNTIFS(BD!$A$3:$A$5001,AF$3,BD!$B$3:$B$5001,$A$152,BD!$AF$3:$AF$5001,"&lt;&gt;")=0,"",SUMIFS(BD!$AF$3:$AF$5001,BD!$A$3:$A$5001,AF$3,BD!$B$3:$B$5001,$A$152)))</f>
        <v/>
      </c>
      <c r="AG170" s="216" t="str">
        <f>IF(AG$3="","",IF(COUNTIFS(BD!$A$3:$A$5001,AG$3,BD!$B$3:$B$5001,$A$152,BD!$AF$3:$AF$5001,"&lt;&gt;")=0,"",SUMIFS(BD!$AF$3:$AF$5001,BD!$A$3:$A$5001,AG$3,BD!$B$3:$B$5001,$A$152)))</f>
        <v/>
      </c>
      <c r="AH170" s="216" t="str">
        <f>IF(AH$3="","",IF(COUNTIFS(BD!$A$3:$A$5001,AH$3,BD!$B$3:$B$5001,$A$152,BD!$AF$3:$AF$5001,"&lt;&gt;")=0,"",SUMIFS(BD!$AF$3:$AF$5001,BD!$A$3:$A$5001,AH$3,BD!$B$3:$B$5001,$A$152)))</f>
        <v/>
      </c>
      <c r="AI170" s="216" t="str">
        <f>IF(AI$3="","",IF(COUNTIFS(BD!$A$3:$A$5001,AI$3,BD!$B$3:$B$5001,$A$152,BD!$AF$3:$AF$5001,"&lt;&gt;")=0,"",SUMIFS(BD!$AF$3:$AF$5001,BD!$A$3:$A$5001,AI$3,BD!$B$3:$B$5001,$A$152)))</f>
        <v/>
      </c>
      <c r="AJ170" s="217" t="str">
        <f>IF(AJ$3="","",IF(COUNTIFS(BD!$A$3:$A$5001,AJ$3,BD!$B$3:$B$5001,$A$152,BD!$AF$3:$AF$5001,"&lt;&gt;")=0,"",SUMIFS(BD!$AF$3:$AF$5001,BD!$A$3:$A$5001,AJ$3,BD!$B$3:$B$5001,$A$152)))</f>
        <v/>
      </c>
      <c r="AK170" s="218" t="str">
        <f>IF(COUNT(F170:AJ170)=0,"",SUM(F170:AJ170))</f>
        <v/>
      </c>
    </row>
    <row r="171" ht="15.75" customHeight="1">
      <c r="A171" s="238"/>
      <c r="B171" s="235"/>
      <c r="C171" s="219" t="inlineStr">
        <is>
          <t xml:space="preserve">Acidentes SAF</t>
        </is>
      </c>
      <c r="D171" s="220" t="str">
        <f>IFERROR(1/(1/INDEX(BD!$AK$54:$AU$54,MATCH($A$152,BD!$AK$22:$AU$22,0))),"")</f>
        <v/>
      </c>
      <c r="E171" s="221"/>
      <c r="F171" s="222" t="str">
        <f>IF(F$3="","",IF(COUNTIFS(BD!$A$3:$A$5001,F$3,BD!$B$3:$B$5001,$A$152,BD!$AG$3:$AG$5001,"&lt;&gt;")=0,"",SUMIFS(BD!$AG$3:$AG$5001,BD!$A$3:$A$5001,F$3,BD!$B$3:$B$5001,$A$152)))</f>
        <v/>
      </c>
      <c r="G171" s="223" t="str">
        <f>IF(G$3="","",IF(COUNTIFS(BD!$A$3:$A$5001,G$3,BD!$B$3:$B$5001,$A$152,BD!$AG$3:$AG$5001,"&lt;&gt;")=0,"",SUMIFS(BD!$AG$3:$AG$5001,BD!$A$3:$A$5001,G$3,BD!$B$3:$B$5001,$A$152)))</f>
        <v/>
      </c>
      <c r="H171" s="223" t="str">
        <f>IF(H$3="","",IF(COUNTIFS(BD!$A$3:$A$5001,H$3,BD!$B$3:$B$5001,$A$152,BD!$AG$3:$AG$5001,"&lt;&gt;")=0,"",SUMIFS(BD!$AG$3:$AG$5001,BD!$A$3:$A$5001,H$3,BD!$B$3:$B$5001,$A$152)))</f>
        <v/>
      </c>
      <c r="I171" s="223" t="str">
        <f>IF(I$3="","",IF(COUNTIFS(BD!$A$3:$A$5001,I$3,BD!$B$3:$B$5001,$A$152,BD!$AG$3:$AG$5001,"&lt;&gt;")=0,"",SUMIFS(BD!$AG$3:$AG$5001,BD!$A$3:$A$5001,I$3,BD!$B$3:$B$5001,$A$152)))</f>
        <v/>
      </c>
      <c r="J171" s="223" t="str">
        <f>IF(J$3="","",IF(COUNTIFS(BD!$A$3:$A$5001,J$3,BD!$B$3:$B$5001,$A$152,BD!$AG$3:$AG$5001,"&lt;&gt;")=0,"",SUMIFS(BD!$AG$3:$AG$5001,BD!$A$3:$A$5001,J$3,BD!$B$3:$B$5001,$A$152)))</f>
        <v/>
      </c>
      <c r="K171" s="223" t="str">
        <f>IF(K$3="","",IF(COUNTIFS(BD!$A$3:$A$5001,K$3,BD!$B$3:$B$5001,$A$152,BD!$AG$3:$AG$5001,"&lt;&gt;")=0,"",SUMIFS(BD!$AG$3:$AG$5001,BD!$A$3:$A$5001,K$3,BD!$B$3:$B$5001,$A$152)))</f>
        <v/>
      </c>
      <c r="L171" s="223" t="str">
        <f>IF(L$3="","",IF(COUNTIFS(BD!$A$3:$A$5001,L$3,BD!$B$3:$B$5001,$A$152,BD!$AG$3:$AG$5001,"&lt;&gt;")=0,"",SUMIFS(BD!$AG$3:$AG$5001,BD!$A$3:$A$5001,L$3,BD!$B$3:$B$5001,$A$152)))</f>
        <v/>
      </c>
      <c r="M171" s="223" t="str">
        <f>IF(M$3="","",IF(COUNTIFS(BD!$A$3:$A$5001,M$3,BD!$B$3:$B$5001,$A$152,BD!$AG$3:$AG$5001,"&lt;&gt;")=0,"",SUMIFS(BD!$AG$3:$AG$5001,BD!$A$3:$A$5001,M$3,BD!$B$3:$B$5001,$A$152)))</f>
        <v/>
      </c>
      <c r="N171" s="223" t="str">
        <f>IF(N$3="","",IF(COUNTIFS(BD!$A$3:$A$5001,N$3,BD!$B$3:$B$5001,$A$152,BD!$AG$3:$AG$5001,"&lt;&gt;")=0,"",SUMIFS(BD!$AG$3:$AG$5001,BD!$A$3:$A$5001,N$3,BD!$B$3:$B$5001,$A$152)))</f>
        <v/>
      </c>
      <c r="O171" s="223" t="str">
        <f>IF(O$3="","",IF(COUNTIFS(BD!$A$3:$A$5001,O$3,BD!$B$3:$B$5001,$A$152,BD!$AG$3:$AG$5001,"&lt;&gt;")=0,"",SUMIFS(BD!$AG$3:$AG$5001,BD!$A$3:$A$5001,O$3,BD!$B$3:$B$5001,$A$152)))</f>
        <v/>
      </c>
      <c r="P171" s="223" t="str">
        <f>IF(P$3="","",IF(COUNTIFS(BD!$A$3:$A$5001,P$3,BD!$B$3:$B$5001,$A$152,BD!$AG$3:$AG$5001,"&lt;&gt;")=0,"",SUMIFS(BD!$AG$3:$AG$5001,BD!$A$3:$A$5001,P$3,BD!$B$3:$B$5001,$A$152)))</f>
        <v/>
      </c>
      <c r="Q171" s="223" t="str">
        <f>IF(Q$3="","",IF(COUNTIFS(BD!$A$3:$A$5001,Q$3,BD!$B$3:$B$5001,$A$152,BD!$AG$3:$AG$5001,"&lt;&gt;")=0,"",SUMIFS(BD!$AG$3:$AG$5001,BD!$A$3:$A$5001,Q$3,BD!$B$3:$B$5001,$A$152)))</f>
        <v/>
      </c>
      <c r="R171" s="223" t="str">
        <f>IF(R$3="","",IF(COUNTIFS(BD!$A$3:$A$5001,R$3,BD!$B$3:$B$5001,$A$152,BD!$AG$3:$AG$5001,"&lt;&gt;")=0,"",SUMIFS(BD!$AG$3:$AG$5001,BD!$A$3:$A$5001,R$3,BD!$B$3:$B$5001,$A$152)))</f>
        <v/>
      </c>
      <c r="S171" s="223" t="str">
        <f>IF(S$3="","",IF(COUNTIFS(BD!$A$3:$A$5001,S$3,BD!$B$3:$B$5001,$A$152,BD!$AG$3:$AG$5001,"&lt;&gt;")=0,"",SUMIFS(BD!$AG$3:$AG$5001,BD!$A$3:$A$5001,S$3,BD!$B$3:$B$5001,$A$152)))</f>
        <v/>
      </c>
      <c r="T171" s="223" t="str">
        <f>IF(T$3="","",IF(COUNTIFS(BD!$A$3:$A$5001,T$3,BD!$B$3:$B$5001,$A$152,BD!$AG$3:$AG$5001,"&lt;&gt;")=0,"",SUMIFS(BD!$AG$3:$AG$5001,BD!$A$3:$A$5001,T$3,BD!$B$3:$B$5001,$A$152)))</f>
        <v/>
      </c>
      <c r="U171" s="223" t="str">
        <f>IF(U$3="","",IF(COUNTIFS(BD!$A$3:$A$5001,U$3,BD!$B$3:$B$5001,$A$152,BD!$AG$3:$AG$5001,"&lt;&gt;")=0,"",SUMIFS(BD!$AG$3:$AG$5001,BD!$A$3:$A$5001,U$3,BD!$B$3:$B$5001,$A$152)))</f>
        <v/>
      </c>
      <c r="V171" s="223" t="str">
        <f>IF(V$3="","",IF(COUNTIFS(BD!$A$3:$A$5001,V$3,BD!$B$3:$B$5001,$A$152,BD!$AG$3:$AG$5001,"&lt;&gt;")=0,"",SUMIFS(BD!$AG$3:$AG$5001,BD!$A$3:$A$5001,V$3,BD!$B$3:$B$5001,$A$152)))</f>
        <v/>
      </c>
      <c r="W171" s="223" t="str">
        <f>IF(W$3="","",IF(COUNTIFS(BD!$A$3:$A$5001,W$3,BD!$B$3:$B$5001,$A$152,BD!$AG$3:$AG$5001,"&lt;&gt;")=0,"",SUMIFS(BD!$AG$3:$AG$5001,BD!$A$3:$A$5001,W$3,BD!$B$3:$B$5001,$A$152)))</f>
        <v/>
      </c>
      <c r="X171" s="223" t="str">
        <f>IF(X$3="","",IF(COUNTIFS(BD!$A$3:$A$5001,X$3,BD!$B$3:$B$5001,$A$152,BD!$AG$3:$AG$5001,"&lt;&gt;")=0,"",SUMIFS(BD!$AG$3:$AG$5001,BD!$A$3:$A$5001,X$3,BD!$B$3:$B$5001,$A$152)))</f>
        <v/>
      </c>
      <c r="Y171" s="223" t="str">
        <f>IF(Y$3="","",IF(COUNTIFS(BD!$A$3:$A$5001,Y$3,BD!$B$3:$B$5001,$A$152,BD!$AG$3:$AG$5001,"&lt;&gt;")=0,"",SUMIFS(BD!$AG$3:$AG$5001,BD!$A$3:$A$5001,Y$3,BD!$B$3:$B$5001,$A$152)))</f>
        <v/>
      </c>
      <c r="Z171" s="223" t="str">
        <f>IF(Z$3="","",IF(COUNTIFS(BD!$A$3:$A$5001,Z$3,BD!$B$3:$B$5001,$A$152,BD!$AG$3:$AG$5001,"&lt;&gt;")=0,"",SUMIFS(BD!$AG$3:$AG$5001,BD!$A$3:$A$5001,Z$3,BD!$B$3:$B$5001,$A$152)))</f>
        <v/>
      </c>
      <c r="AA171" s="223" t="str">
        <f>IF(AA$3="","",IF(COUNTIFS(BD!$A$3:$A$5001,AA$3,BD!$B$3:$B$5001,$A$152,BD!$AG$3:$AG$5001,"&lt;&gt;")=0,"",SUMIFS(BD!$AG$3:$AG$5001,BD!$A$3:$A$5001,AA$3,BD!$B$3:$B$5001,$A$152)))</f>
        <v/>
      </c>
      <c r="AB171" s="223" t="str">
        <f>IF(AB$3="","",IF(COUNTIFS(BD!$A$3:$A$5001,AB$3,BD!$B$3:$B$5001,$A$152,BD!$AG$3:$AG$5001,"&lt;&gt;")=0,"",SUMIFS(BD!$AG$3:$AG$5001,BD!$A$3:$A$5001,AB$3,BD!$B$3:$B$5001,$A$152)))</f>
        <v/>
      </c>
      <c r="AC171" s="223" t="str">
        <f>IF(AC$3="","",IF(COUNTIFS(BD!$A$3:$A$5001,AC$3,BD!$B$3:$B$5001,$A$152,BD!$AG$3:$AG$5001,"&lt;&gt;")=0,"",SUMIFS(BD!$AG$3:$AG$5001,BD!$A$3:$A$5001,AC$3,BD!$B$3:$B$5001,$A$152)))</f>
        <v/>
      </c>
      <c r="AD171" s="223" t="str">
        <f>IF(AD$3="","",IF(COUNTIFS(BD!$A$3:$A$5001,AD$3,BD!$B$3:$B$5001,$A$152,BD!$AG$3:$AG$5001,"&lt;&gt;")=0,"",SUMIFS(BD!$AG$3:$AG$5001,BD!$A$3:$A$5001,AD$3,BD!$B$3:$B$5001,$A$152)))</f>
        <v/>
      </c>
      <c r="AE171" s="223" t="str">
        <f>IF(AE$3="","",IF(COUNTIFS(BD!$A$3:$A$5001,AE$3,BD!$B$3:$B$5001,$A$152,BD!$AG$3:$AG$5001,"&lt;&gt;")=0,"",SUMIFS(BD!$AG$3:$AG$5001,BD!$A$3:$A$5001,AE$3,BD!$B$3:$B$5001,$A$152)))</f>
        <v/>
      </c>
      <c r="AF171" s="223" t="str">
        <f>IF(AF$3="","",IF(COUNTIFS(BD!$A$3:$A$5001,AF$3,BD!$B$3:$B$5001,$A$152,BD!$AG$3:$AG$5001,"&lt;&gt;")=0,"",SUMIFS(BD!$AG$3:$AG$5001,BD!$A$3:$A$5001,AF$3,BD!$B$3:$B$5001,$A$152)))</f>
        <v/>
      </c>
      <c r="AG171" s="223" t="str">
        <f>IF(AG$3="","",IF(COUNTIFS(BD!$A$3:$A$5001,AG$3,BD!$B$3:$B$5001,$A$152,BD!$AG$3:$AG$5001,"&lt;&gt;")=0,"",SUMIFS(BD!$AG$3:$AG$5001,BD!$A$3:$A$5001,AG$3,BD!$B$3:$B$5001,$A$152)))</f>
        <v/>
      </c>
      <c r="AH171" s="223" t="str">
        <f>IF(AH$3="","",IF(COUNTIFS(BD!$A$3:$A$5001,AH$3,BD!$B$3:$B$5001,$A$152,BD!$AG$3:$AG$5001,"&lt;&gt;")=0,"",SUMIFS(BD!$AG$3:$AG$5001,BD!$A$3:$A$5001,AH$3,BD!$B$3:$B$5001,$A$152)))</f>
        <v/>
      </c>
      <c r="AI171" s="223" t="str">
        <f>IF(AI$3="","",IF(COUNTIFS(BD!$A$3:$A$5001,AI$3,BD!$B$3:$B$5001,$A$152,BD!$AG$3:$AG$5001,"&lt;&gt;")=0,"",SUMIFS(BD!$AG$3:$AG$5001,BD!$A$3:$A$5001,AI$3,BD!$B$3:$B$5001,$A$152)))</f>
        <v/>
      </c>
      <c r="AJ171" s="224" t="str">
        <f>IF(AJ$3="","",IF(COUNTIFS(BD!$A$3:$A$5001,AJ$3,BD!$B$3:$B$5001,$A$152,BD!$AG$3:$AG$5001,"&lt;&gt;")=0,"",SUMIFS(BD!$AG$3:$AG$5001,BD!$A$3:$A$5001,AJ$3,BD!$B$3:$B$5001,$A$152)))</f>
        <v/>
      </c>
      <c r="AK171" s="220" t="str">
        <f>IF(COUNT(F171:AJ171)=0,"",SUM(F171:AJ171))</f>
        <v/>
      </c>
    </row>
    <row r="173" ht="15.75" customHeight="1">
      <c r="A173" s="236" t="inlineStr">
        <is>
          <t xml:space="preserve">Vedacit</t>
        </is>
      </c>
      <c r="B173" s="225" t="inlineStr">
        <is>
          <t xml:space="preserve">IN</t>
        </is>
      </c>
      <c r="C173" s="148" t="inlineStr">
        <is>
          <t xml:space="preserve">Veículos Recebidos</t>
        </is>
      </c>
      <c r="D173" s="149" t="str">
        <f>IFERROR(1/(1/INDEX(BD!$AK$23:$AU$23,MATCH($A$173,BD!$AK$22:$AU$22,0))),"")</f>
        <v/>
      </c>
      <c r="E173" s="150"/>
      <c r="F173" s="151" t="str">
        <f>IF(F$3="","",IF(COUNTIFS(BD!$A$3:$A$5001,F$3,BD!$B$3:$B$5001,$A$173,BD!$C$3:$C$5001,"&lt;&gt;")=0,"",SUMIFS(BD!$C$3:$C$5001,BD!$A$3:$A$5001,F$3,BD!$B$3:$B$5001,$A$173)))</f>
        <v/>
      </c>
      <c r="G173" s="152" t="str">
        <f>IF(G$3="","",IF(COUNTIFS(BD!$A$3:$A$5001,G$3,BD!$B$3:$B$5001,$A$173,BD!$C$3:$C$5001,"&lt;&gt;")=0,"",SUMIFS(BD!$C$3:$C$5001,BD!$A$3:$A$5001,G$3,BD!$B$3:$B$5001,$A$173)))</f>
        <v/>
      </c>
      <c r="H173" s="152" t="str">
        <f>IF(H$3="","",IF(COUNTIFS(BD!$A$3:$A$5001,H$3,BD!$B$3:$B$5001,$A$173,BD!$C$3:$C$5001,"&lt;&gt;")=0,"",SUMIFS(BD!$C$3:$C$5001,BD!$A$3:$A$5001,H$3,BD!$B$3:$B$5001,$A$173)))</f>
        <v/>
      </c>
      <c r="I173" s="152" t="str">
        <f>IF(I$3="","",IF(COUNTIFS(BD!$A$3:$A$5001,I$3,BD!$B$3:$B$5001,$A$173,BD!$C$3:$C$5001,"&lt;&gt;")=0,"",SUMIFS(BD!$C$3:$C$5001,BD!$A$3:$A$5001,I$3,BD!$B$3:$B$5001,$A$173)))</f>
        <v/>
      </c>
      <c r="J173" s="152" t="str">
        <f>IF(J$3="","",IF(COUNTIFS(BD!$A$3:$A$5001,J$3,BD!$B$3:$B$5001,$A$173,BD!$C$3:$C$5001,"&lt;&gt;")=0,"",SUMIFS(BD!$C$3:$C$5001,BD!$A$3:$A$5001,J$3,BD!$B$3:$B$5001,$A$173)))</f>
        <v/>
      </c>
      <c r="K173" s="152" t="str">
        <f>IF(K$3="","",IF(COUNTIFS(BD!$A$3:$A$5001,K$3,BD!$B$3:$B$5001,$A$173,BD!$C$3:$C$5001,"&lt;&gt;")=0,"",SUMIFS(BD!$C$3:$C$5001,BD!$A$3:$A$5001,K$3,BD!$B$3:$B$5001,$A$173)))</f>
        <v/>
      </c>
      <c r="L173" s="152" t="str">
        <f>IF(L$3="","",IF(COUNTIFS(BD!$A$3:$A$5001,L$3,BD!$B$3:$B$5001,$A$173,BD!$C$3:$C$5001,"&lt;&gt;")=0,"",SUMIFS(BD!$C$3:$C$5001,BD!$A$3:$A$5001,L$3,BD!$B$3:$B$5001,$A$173)))</f>
        <v/>
      </c>
      <c r="M173" s="152" t="str">
        <f>IF(M$3="","",IF(COUNTIFS(BD!$A$3:$A$5001,M$3,BD!$B$3:$B$5001,$A$173,BD!$C$3:$C$5001,"&lt;&gt;")=0,"",SUMIFS(BD!$C$3:$C$5001,BD!$A$3:$A$5001,M$3,BD!$B$3:$B$5001,$A$173)))</f>
        <v/>
      </c>
      <c r="N173" s="152" t="str">
        <f>IF(N$3="","",IF(COUNTIFS(BD!$A$3:$A$5001,N$3,BD!$B$3:$B$5001,$A$173,BD!$C$3:$C$5001,"&lt;&gt;")=0,"",SUMIFS(BD!$C$3:$C$5001,BD!$A$3:$A$5001,N$3,BD!$B$3:$B$5001,$A$173)))</f>
        <v/>
      </c>
      <c r="O173" s="152" t="str">
        <f>IF(O$3="","",IF(COUNTIFS(BD!$A$3:$A$5001,O$3,BD!$B$3:$B$5001,$A$173,BD!$C$3:$C$5001,"&lt;&gt;")=0,"",SUMIFS(BD!$C$3:$C$5001,BD!$A$3:$A$5001,O$3,BD!$B$3:$B$5001,$A$173)))</f>
        <v/>
      </c>
      <c r="P173" s="152" t="str">
        <f>IF(P$3="","",IF(COUNTIFS(BD!$A$3:$A$5001,P$3,BD!$B$3:$B$5001,$A$173,BD!$C$3:$C$5001,"&lt;&gt;")=0,"",SUMIFS(BD!$C$3:$C$5001,BD!$A$3:$A$5001,P$3,BD!$B$3:$B$5001,$A$173)))</f>
        <v/>
      </c>
      <c r="Q173" s="152" t="str">
        <f>IF(Q$3="","",IF(COUNTIFS(BD!$A$3:$A$5001,Q$3,BD!$B$3:$B$5001,$A$173,BD!$C$3:$C$5001,"&lt;&gt;")=0,"",SUMIFS(BD!$C$3:$C$5001,BD!$A$3:$A$5001,Q$3,BD!$B$3:$B$5001,$A$173)))</f>
        <v/>
      </c>
      <c r="R173" s="152" t="str">
        <f>IF(R$3="","",IF(COUNTIFS(BD!$A$3:$A$5001,R$3,BD!$B$3:$B$5001,$A$173,BD!$C$3:$C$5001,"&lt;&gt;")=0,"",SUMIFS(BD!$C$3:$C$5001,BD!$A$3:$A$5001,R$3,BD!$B$3:$B$5001,$A$173)))</f>
        <v/>
      </c>
      <c r="S173" s="152" t="str">
        <f>IF(S$3="","",IF(COUNTIFS(BD!$A$3:$A$5001,S$3,BD!$B$3:$B$5001,$A$173,BD!$C$3:$C$5001,"&lt;&gt;")=0,"",SUMIFS(BD!$C$3:$C$5001,BD!$A$3:$A$5001,S$3,BD!$B$3:$B$5001,$A$173)))</f>
        <v/>
      </c>
      <c r="T173" s="152" t="str">
        <f>IF(T$3="","",IF(COUNTIFS(BD!$A$3:$A$5001,T$3,BD!$B$3:$B$5001,$A$173,BD!$C$3:$C$5001,"&lt;&gt;")=0,"",SUMIFS(BD!$C$3:$C$5001,BD!$A$3:$A$5001,T$3,BD!$B$3:$B$5001,$A$173)))</f>
        <v/>
      </c>
      <c r="U173" s="152" t="str">
        <f>IF(U$3="","",IF(COUNTIFS(BD!$A$3:$A$5001,U$3,BD!$B$3:$B$5001,$A$173,BD!$C$3:$C$5001,"&lt;&gt;")=0,"",SUMIFS(BD!$C$3:$C$5001,BD!$A$3:$A$5001,U$3,BD!$B$3:$B$5001,$A$173)))</f>
        <v/>
      </c>
      <c r="V173" s="152" t="str">
        <f>IF(V$3="","",IF(COUNTIFS(BD!$A$3:$A$5001,V$3,BD!$B$3:$B$5001,$A$173,BD!$C$3:$C$5001,"&lt;&gt;")=0,"",SUMIFS(BD!$C$3:$C$5001,BD!$A$3:$A$5001,V$3,BD!$B$3:$B$5001,$A$173)))</f>
        <v/>
      </c>
      <c r="W173" s="152" t="str">
        <f>IF(W$3="","",IF(COUNTIFS(BD!$A$3:$A$5001,W$3,BD!$B$3:$B$5001,$A$173,BD!$C$3:$C$5001,"&lt;&gt;")=0,"",SUMIFS(BD!$C$3:$C$5001,BD!$A$3:$A$5001,W$3,BD!$B$3:$B$5001,$A$173)))</f>
        <v/>
      </c>
      <c r="X173" s="152" t="str">
        <f>IF(X$3="","",IF(COUNTIFS(BD!$A$3:$A$5001,X$3,BD!$B$3:$B$5001,$A$173,BD!$C$3:$C$5001,"&lt;&gt;")=0,"",SUMIFS(BD!$C$3:$C$5001,BD!$A$3:$A$5001,X$3,BD!$B$3:$B$5001,$A$173)))</f>
        <v/>
      </c>
      <c r="Y173" s="152" t="str">
        <f>IF(Y$3="","",IF(COUNTIFS(BD!$A$3:$A$5001,Y$3,BD!$B$3:$B$5001,$A$173,BD!$C$3:$C$5001,"&lt;&gt;")=0,"",SUMIFS(BD!$C$3:$C$5001,BD!$A$3:$A$5001,Y$3,BD!$B$3:$B$5001,$A$173)))</f>
        <v/>
      </c>
      <c r="Z173" s="152" t="str">
        <f>IF(Z$3="","",IF(COUNTIFS(BD!$A$3:$A$5001,Z$3,BD!$B$3:$B$5001,$A$173,BD!$C$3:$C$5001,"&lt;&gt;")=0,"",SUMIFS(BD!$C$3:$C$5001,BD!$A$3:$A$5001,Z$3,BD!$B$3:$B$5001,$A$173)))</f>
        <v/>
      </c>
      <c r="AA173" s="152" t="str">
        <f>IF(AA$3="","",IF(COUNTIFS(BD!$A$3:$A$5001,AA$3,BD!$B$3:$B$5001,$A$173,BD!$C$3:$C$5001,"&lt;&gt;")=0,"",SUMIFS(BD!$C$3:$C$5001,BD!$A$3:$A$5001,AA$3,BD!$B$3:$B$5001,$A$173)))</f>
        <v/>
      </c>
      <c r="AB173" s="152" t="str">
        <f>IF(AB$3="","",IF(COUNTIFS(BD!$A$3:$A$5001,AB$3,BD!$B$3:$B$5001,$A$173,BD!$C$3:$C$5001,"&lt;&gt;")=0,"",SUMIFS(BD!$C$3:$C$5001,BD!$A$3:$A$5001,AB$3,BD!$B$3:$B$5001,$A$173)))</f>
        <v/>
      </c>
      <c r="AC173" s="152" t="str">
        <f>IF(AC$3="","",IF(COUNTIFS(BD!$A$3:$A$5001,AC$3,BD!$B$3:$B$5001,$A$173,BD!$C$3:$C$5001,"&lt;&gt;")=0,"",SUMIFS(BD!$C$3:$C$5001,BD!$A$3:$A$5001,AC$3,BD!$B$3:$B$5001,$A$173)))</f>
        <v/>
      </c>
      <c r="AD173" s="152" t="str">
        <f>IF(AD$3="","",IF(COUNTIFS(BD!$A$3:$A$5001,AD$3,BD!$B$3:$B$5001,$A$173,BD!$C$3:$C$5001,"&lt;&gt;")=0,"",SUMIFS(BD!$C$3:$C$5001,BD!$A$3:$A$5001,AD$3,BD!$B$3:$B$5001,$A$173)))</f>
        <v/>
      </c>
      <c r="AE173" s="152" t="str">
        <f>IF(AE$3="","",IF(COUNTIFS(BD!$A$3:$A$5001,AE$3,BD!$B$3:$B$5001,$A$173,BD!$C$3:$C$5001,"&lt;&gt;")=0,"",SUMIFS(BD!$C$3:$C$5001,BD!$A$3:$A$5001,AE$3,BD!$B$3:$B$5001,$A$173)))</f>
        <v/>
      </c>
      <c r="AF173" s="152" t="str">
        <f>IF(AF$3="","",IF(COUNTIFS(BD!$A$3:$A$5001,AF$3,BD!$B$3:$B$5001,$A$173,BD!$C$3:$C$5001,"&lt;&gt;")=0,"",SUMIFS(BD!$C$3:$C$5001,BD!$A$3:$A$5001,AF$3,BD!$B$3:$B$5001,$A$173)))</f>
        <v/>
      </c>
      <c r="AG173" s="152" t="str">
        <f>IF(AG$3="","",IF(COUNTIFS(BD!$A$3:$A$5001,AG$3,BD!$B$3:$B$5001,$A$173,BD!$C$3:$C$5001,"&lt;&gt;")=0,"",SUMIFS(BD!$C$3:$C$5001,BD!$A$3:$A$5001,AG$3,BD!$B$3:$B$5001,$A$173)))</f>
        <v/>
      </c>
      <c r="AH173" s="152" t="str">
        <f>IF(AH$3="","",IF(COUNTIFS(BD!$A$3:$A$5001,AH$3,BD!$B$3:$B$5001,$A$173,BD!$C$3:$C$5001,"&lt;&gt;")=0,"",SUMIFS(BD!$C$3:$C$5001,BD!$A$3:$A$5001,AH$3,BD!$B$3:$B$5001,$A$173)))</f>
        <v/>
      </c>
      <c r="AI173" s="152" t="str">
        <f>IF(AI$3="","",IF(COUNTIFS(BD!$A$3:$A$5001,AI$3,BD!$B$3:$B$5001,$A$173,BD!$C$3:$C$5001,"&lt;&gt;")=0,"",SUMIFS(BD!$C$3:$C$5001,BD!$A$3:$A$5001,AI$3,BD!$B$3:$B$5001,$A$173)))</f>
        <v/>
      </c>
      <c r="AJ173" s="153" t="str">
        <f>IF(AJ$3="","",IF(COUNTIFS(BD!$A$3:$A$5001,AJ$3,BD!$B$3:$B$5001,$A$173,BD!$C$3:$C$5001,"&lt;&gt;")=0,"",SUMIFS(BD!$C$3:$C$5001,BD!$A$3:$A$5001,AJ$3,BD!$B$3:$B$5001,$A$173)))</f>
        <v/>
      </c>
      <c r="AK173" s="154" t="str">
        <f>IF(COUNT(F173:AJ173)=0,"",SUM(F173:AJ173))</f>
        <v/>
      </c>
    </row>
    <row r="174" ht="15.75" customHeight="1">
      <c r="A174" s="237"/>
      <c r="B174" s="226"/>
      <c r="C174" s="155" t="inlineStr">
        <is>
          <t xml:space="preserve">Pallets Movimentados</t>
        </is>
      </c>
      <c r="D174" s="156" t="str">
        <f>IFERROR(1/(1/INDEX(BD!$AK$24:$AU$24,MATCH($A$173,BD!$AK$22:$AU$22,0))),"")</f>
        <v/>
      </c>
      <c r="E174" s="157"/>
      <c r="F174" s="158" t="str">
        <f>IF(F$3="","",IF(COUNTIFS(BD!$A$3:$A$5001,F$3,BD!$B$3:$B$5001,$A$173,BD!$D$3:$D$5001,"&lt;&gt;")=0,"",SUMIFS(BD!$D$3:$D$5001,BD!$A$3:$A$5001,F$3,BD!$B$3:$B$5001,$A$173)))</f>
        <v/>
      </c>
      <c r="G174" s="159" t="str">
        <f>IF(G$3="","",IF(COUNTIFS(BD!$A$3:$A$5001,G$3,BD!$B$3:$B$5001,$A$173,BD!$D$3:$D$5001,"&lt;&gt;")=0,"",SUMIFS(BD!$D$3:$D$5001,BD!$A$3:$A$5001,G$3,BD!$B$3:$B$5001,$A$173)))</f>
        <v/>
      </c>
      <c r="H174" s="159" t="str">
        <f>IF(H$3="","",IF(COUNTIFS(BD!$A$3:$A$5001,H$3,BD!$B$3:$B$5001,$A$173,BD!$D$3:$D$5001,"&lt;&gt;")=0,"",SUMIFS(BD!$D$3:$D$5001,BD!$A$3:$A$5001,H$3,BD!$B$3:$B$5001,$A$173)))</f>
        <v/>
      </c>
      <c r="I174" s="159" t="str">
        <f>IF(I$3="","",IF(COUNTIFS(BD!$A$3:$A$5001,I$3,BD!$B$3:$B$5001,$A$173,BD!$D$3:$D$5001,"&lt;&gt;")=0,"",SUMIFS(BD!$D$3:$D$5001,BD!$A$3:$A$5001,I$3,BD!$B$3:$B$5001,$A$173)))</f>
        <v/>
      </c>
      <c r="J174" s="159" t="str">
        <f>IF(J$3="","",IF(COUNTIFS(BD!$A$3:$A$5001,J$3,BD!$B$3:$B$5001,$A$173,BD!$D$3:$D$5001,"&lt;&gt;")=0,"",SUMIFS(BD!$D$3:$D$5001,BD!$A$3:$A$5001,J$3,BD!$B$3:$B$5001,$A$173)))</f>
        <v/>
      </c>
      <c r="K174" s="159" t="str">
        <f>IF(K$3="","",IF(COUNTIFS(BD!$A$3:$A$5001,K$3,BD!$B$3:$B$5001,$A$173,BD!$D$3:$D$5001,"&lt;&gt;")=0,"",SUMIFS(BD!$D$3:$D$5001,BD!$A$3:$A$5001,K$3,BD!$B$3:$B$5001,$A$173)))</f>
        <v/>
      </c>
      <c r="L174" s="159" t="str">
        <f>IF(L$3="","",IF(COUNTIFS(BD!$A$3:$A$5001,L$3,BD!$B$3:$B$5001,$A$173,BD!$D$3:$D$5001,"&lt;&gt;")=0,"",SUMIFS(BD!$D$3:$D$5001,BD!$A$3:$A$5001,L$3,BD!$B$3:$B$5001,$A$173)))</f>
        <v/>
      </c>
      <c r="M174" s="159" t="str">
        <f>IF(M$3="","",IF(COUNTIFS(BD!$A$3:$A$5001,M$3,BD!$B$3:$B$5001,$A$173,BD!$D$3:$D$5001,"&lt;&gt;")=0,"",SUMIFS(BD!$D$3:$D$5001,BD!$A$3:$A$5001,M$3,BD!$B$3:$B$5001,$A$173)))</f>
        <v/>
      </c>
      <c r="N174" s="159" t="str">
        <f>IF(N$3="","",IF(COUNTIFS(BD!$A$3:$A$5001,N$3,BD!$B$3:$B$5001,$A$173,BD!$D$3:$D$5001,"&lt;&gt;")=0,"",SUMIFS(BD!$D$3:$D$5001,BD!$A$3:$A$5001,N$3,BD!$B$3:$B$5001,$A$173)))</f>
        <v/>
      </c>
      <c r="O174" s="159" t="str">
        <f>IF(O$3="","",IF(COUNTIFS(BD!$A$3:$A$5001,O$3,BD!$B$3:$B$5001,$A$173,BD!$D$3:$D$5001,"&lt;&gt;")=0,"",SUMIFS(BD!$D$3:$D$5001,BD!$A$3:$A$5001,O$3,BD!$B$3:$B$5001,$A$173)))</f>
        <v/>
      </c>
      <c r="P174" s="159" t="str">
        <f>IF(P$3="","",IF(COUNTIFS(BD!$A$3:$A$5001,P$3,BD!$B$3:$B$5001,$A$173,BD!$D$3:$D$5001,"&lt;&gt;")=0,"",SUMIFS(BD!$D$3:$D$5001,BD!$A$3:$A$5001,P$3,BD!$B$3:$B$5001,$A$173)))</f>
        <v/>
      </c>
      <c r="Q174" s="159" t="str">
        <f>IF(Q$3="","",IF(COUNTIFS(BD!$A$3:$A$5001,Q$3,BD!$B$3:$B$5001,$A$173,BD!$D$3:$D$5001,"&lt;&gt;")=0,"",SUMIFS(BD!$D$3:$D$5001,BD!$A$3:$A$5001,Q$3,BD!$B$3:$B$5001,$A$173)))</f>
        <v/>
      </c>
      <c r="R174" s="159" t="str">
        <f>IF(R$3="","",IF(COUNTIFS(BD!$A$3:$A$5001,R$3,BD!$B$3:$B$5001,$A$173,BD!$D$3:$D$5001,"&lt;&gt;")=0,"",SUMIFS(BD!$D$3:$D$5001,BD!$A$3:$A$5001,R$3,BD!$B$3:$B$5001,$A$173)))</f>
        <v/>
      </c>
      <c r="S174" s="159" t="str">
        <f>IF(S$3="","",IF(COUNTIFS(BD!$A$3:$A$5001,S$3,BD!$B$3:$B$5001,$A$173,BD!$D$3:$D$5001,"&lt;&gt;")=0,"",SUMIFS(BD!$D$3:$D$5001,BD!$A$3:$A$5001,S$3,BD!$B$3:$B$5001,$A$173)))</f>
        <v/>
      </c>
      <c r="T174" s="159" t="str">
        <f>IF(T$3="","",IF(COUNTIFS(BD!$A$3:$A$5001,T$3,BD!$B$3:$B$5001,$A$173,BD!$D$3:$D$5001,"&lt;&gt;")=0,"",SUMIFS(BD!$D$3:$D$5001,BD!$A$3:$A$5001,T$3,BD!$B$3:$B$5001,$A$173)))</f>
        <v/>
      </c>
      <c r="U174" s="159" t="str">
        <f>IF(U$3="","",IF(COUNTIFS(BD!$A$3:$A$5001,U$3,BD!$B$3:$B$5001,$A$173,BD!$D$3:$D$5001,"&lt;&gt;")=0,"",SUMIFS(BD!$D$3:$D$5001,BD!$A$3:$A$5001,U$3,BD!$B$3:$B$5001,$A$173)))</f>
        <v/>
      </c>
      <c r="V174" s="159" t="str">
        <f>IF(V$3="","",IF(COUNTIFS(BD!$A$3:$A$5001,V$3,BD!$B$3:$B$5001,$A$173,BD!$D$3:$D$5001,"&lt;&gt;")=0,"",SUMIFS(BD!$D$3:$D$5001,BD!$A$3:$A$5001,V$3,BD!$B$3:$B$5001,$A$173)))</f>
        <v/>
      </c>
      <c r="W174" s="159" t="str">
        <f>IF(W$3="","",IF(COUNTIFS(BD!$A$3:$A$5001,W$3,BD!$B$3:$B$5001,$A$173,BD!$D$3:$D$5001,"&lt;&gt;")=0,"",SUMIFS(BD!$D$3:$D$5001,BD!$A$3:$A$5001,W$3,BD!$B$3:$B$5001,$A$173)))</f>
        <v/>
      </c>
      <c r="X174" s="159" t="str">
        <f>IF(X$3="","",IF(COUNTIFS(BD!$A$3:$A$5001,X$3,BD!$B$3:$B$5001,$A$173,BD!$D$3:$D$5001,"&lt;&gt;")=0,"",SUMIFS(BD!$D$3:$D$5001,BD!$A$3:$A$5001,X$3,BD!$B$3:$B$5001,$A$173)))</f>
        <v/>
      </c>
      <c r="Y174" s="159" t="str">
        <f>IF(Y$3="","",IF(COUNTIFS(BD!$A$3:$A$5001,Y$3,BD!$B$3:$B$5001,$A$173,BD!$D$3:$D$5001,"&lt;&gt;")=0,"",SUMIFS(BD!$D$3:$D$5001,BD!$A$3:$A$5001,Y$3,BD!$B$3:$B$5001,$A$173)))</f>
        <v/>
      </c>
      <c r="Z174" s="159" t="str">
        <f>IF(Z$3="","",IF(COUNTIFS(BD!$A$3:$A$5001,Z$3,BD!$B$3:$B$5001,$A$173,BD!$D$3:$D$5001,"&lt;&gt;")=0,"",SUMIFS(BD!$D$3:$D$5001,BD!$A$3:$A$5001,Z$3,BD!$B$3:$B$5001,$A$173)))</f>
        <v/>
      </c>
      <c r="AA174" s="159" t="str">
        <f>IF(AA$3="","",IF(COUNTIFS(BD!$A$3:$A$5001,AA$3,BD!$B$3:$B$5001,$A$173,BD!$D$3:$D$5001,"&lt;&gt;")=0,"",SUMIFS(BD!$D$3:$D$5001,BD!$A$3:$A$5001,AA$3,BD!$B$3:$B$5001,$A$173)))</f>
        <v/>
      </c>
      <c r="AB174" s="159" t="str">
        <f>IF(AB$3="","",IF(COUNTIFS(BD!$A$3:$A$5001,AB$3,BD!$B$3:$B$5001,$A$173,BD!$D$3:$D$5001,"&lt;&gt;")=0,"",SUMIFS(BD!$D$3:$D$5001,BD!$A$3:$A$5001,AB$3,BD!$B$3:$B$5001,$A$173)))</f>
        <v/>
      </c>
      <c r="AC174" s="159" t="str">
        <f>IF(AC$3="","",IF(COUNTIFS(BD!$A$3:$A$5001,AC$3,BD!$B$3:$B$5001,$A$173,BD!$D$3:$D$5001,"&lt;&gt;")=0,"",SUMIFS(BD!$D$3:$D$5001,BD!$A$3:$A$5001,AC$3,BD!$B$3:$B$5001,$A$173)))</f>
        <v/>
      </c>
      <c r="AD174" s="159" t="str">
        <f>IF(AD$3="","",IF(COUNTIFS(BD!$A$3:$A$5001,AD$3,BD!$B$3:$B$5001,$A$173,BD!$D$3:$D$5001,"&lt;&gt;")=0,"",SUMIFS(BD!$D$3:$D$5001,BD!$A$3:$A$5001,AD$3,BD!$B$3:$B$5001,$A$173)))</f>
        <v/>
      </c>
      <c r="AE174" s="159" t="str">
        <f>IF(AE$3="","",IF(COUNTIFS(BD!$A$3:$A$5001,AE$3,BD!$B$3:$B$5001,$A$173,BD!$D$3:$D$5001,"&lt;&gt;")=0,"",SUMIFS(BD!$D$3:$D$5001,BD!$A$3:$A$5001,AE$3,BD!$B$3:$B$5001,$A$173)))</f>
        <v/>
      </c>
      <c r="AF174" s="159" t="str">
        <f>IF(AF$3="","",IF(COUNTIFS(BD!$A$3:$A$5001,AF$3,BD!$B$3:$B$5001,$A$173,BD!$D$3:$D$5001,"&lt;&gt;")=0,"",SUMIFS(BD!$D$3:$D$5001,BD!$A$3:$A$5001,AF$3,BD!$B$3:$B$5001,$A$173)))</f>
        <v/>
      </c>
      <c r="AG174" s="159" t="str">
        <f>IF(AG$3="","",IF(COUNTIFS(BD!$A$3:$A$5001,AG$3,BD!$B$3:$B$5001,$A$173,BD!$D$3:$D$5001,"&lt;&gt;")=0,"",SUMIFS(BD!$D$3:$D$5001,BD!$A$3:$A$5001,AG$3,BD!$B$3:$B$5001,$A$173)))</f>
        <v/>
      </c>
      <c r="AH174" s="159" t="str">
        <f>IF(AH$3="","",IF(COUNTIFS(BD!$A$3:$A$5001,AH$3,BD!$B$3:$B$5001,$A$173,BD!$D$3:$D$5001,"&lt;&gt;")=0,"",SUMIFS(BD!$D$3:$D$5001,BD!$A$3:$A$5001,AH$3,BD!$B$3:$B$5001,$A$173)))</f>
        <v/>
      </c>
      <c r="AI174" s="159" t="str">
        <f>IF(AI$3="","",IF(COUNTIFS(BD!$A$3:$A$5001,AI$3,BD!$B$3:$B$5001,$A$173,BD!$D$3:$D$5001,"&lt;&gt;")=0,"",SUMIFS(BD!$D$3:$D$5001,BD!$A$3:$A$5001,AI$3,BD!$B$3:$B$5001,$A$173)))</f>
        <v/>
      </c>
      <c r="AJ174" s="160" t="str">
        <f>IF(AJ$3="","",IF(COUNTIFS(BD!$A$3:$A$5001,AJ$3,BD!$B$3:$B$5001,$A$173,BD!$D$3:$D$5001,"&lt;&gt;")=0,"",SUMIFS(BD!$D$3:$D$5001,BD!$A$3:$A$5001,AJ$3,BD!$B$3:$B$5001,$A$173)))</f>
        <v/>
      </c>
      <c r="AK174" s="156" t="str">
        <f>IF(COUNT(F174:AJ174)=0,"",SUM(F174:AJ174))</f>
        <v/>
      </c>
    </row>
    <row r="175" ht="15.75" customHeight="1">
      <c r="A175" s="237"/>
      <c r="B175" s="227" t="inlineStr">
        <is>
          <t xml:space="preserve">OUT</t>
        </is>
      </c>
      <c r="C175" s="161" t="inlineStr">
        <is>
          <t xml:space="preserve">Veículos Expedidos</t>
        </is>
      </c>
      <c r="D175" s="162" t="str">
        <f>IFERROR(1/(1/INDEX(BD!$AK$32:$AU$32,MATCH($A$173,BD!$AK$22:$AU$22,0))),"")</f>
        <v/>
      </c>
      <c r="E175" s="163"/>
      <c r="F175" s="164" t="str">
        <f>IF(F$3="","",IF(COUNTIFS(BD!$A$3:$A$5001,F$3,BD!$B$3:$B$5001,$A$173,BD!$L$3:$L$5001,"&lt;&gt;")=0,"",SUMIFS(BD!$L$3:$L$5001,BD!$A$3:$A$5001,F$3,BD!$B$3:$B$5001,$A$173)))</f>
        <v/>
      </c>
      <c r="G175" s="165" t="str">
        <f>IF(G$3="","",IF(COUNTIFS(BD!$A$3:$A$5001,G$3,BD!$B$3:$B$5001,$A$173,BD!$L$3:$L$5001,"&lt;&gt;")=0,"",SUMIFS(BD!$L$3:$L$5001,BD!$A$3:$A$5001,G$3,BD!$B$3:$B$5001,$A$173)))</f>
        <v/>
      </c>
      <c r="H175" s="165" t="str">
        <f>IF(H$3="","",IF(COUNTIFS(BD!$A$3:$A$5001,H$3,BD!$B$3:$B$5001,$A$173,BD!$L$3:$L$5001,"&lt;&gt;")=0,"",SUMIFS(BD!$L$3:$L$5001,BD!$A$3:$A$5001,H$3,BD!$B$3:$B$5001,$A$173)))</f>
        <v/>
      </c>
      <c r="I175" s="165" t="str">
        <f>IF(I$3="","",IF(COUNTIFS(BD!$A$3:$A$5001,I$3,BD!$B$3:$B$5001,$A$173,BD!$L$3:$L$5001,"&lt;&gt;")=0,"",SUMIFS(BD!$L$3:$L$5001,BD!$A$3:$A$5001,I$3,BD!$B$3:$B$5001,$A$173)))</f>
        <v/>
      </c>
      <c r="J175" s="165" t="str">
        <f>IF(J$3="","",IF(COUNTIFS(BD!$A$3:$A$5001,J$3,BD!$B$3:$B$5001,$A$173,BD!$L$3:$L$5001,"&lt;&gt;")=0,"",SUMIFS(BD!$L$3:$L$5001,BD!$A$3:$A$5001,J$3,BD!$B$3:$B$5001,$A$173)))</f>
        <v/>
      </c>
      <c r="K175" s="165" t="str">
        <f>IF(K$3="","",IF(COUNTIFS(BD!$A$3:$A$5001,K$3,BD!$B$3:$B$5001,$A$173,BD!$L$3:$L$5001,"&lt;&gt;")=0,"",SUMIFS(BD!$L$3:$L$5001,BD!$A$3:$A$5001,K$3,BD!$B$3:$B$5001,$A$173)))</f>
        <v/>
      </c>
      <c r="L175" s="165" t="str">
        <f>IF(L$3="","",IF(COUNTIFS(BD!$A$3:$A$5001,L$3,BD!$B$3:$B$5001,$A$173,BD!$L$3:$L$5001,"&lt;&gt;")=0,"",SUMIFS(BD!$L$3:$L$5001,BD!$A$3:$A$5001,L$3,BD!$B$3:$B$5001,$A$173)))</f>
        <v/>
      </c>
      <c r="M175" s="165" t="str">
        <f>IF(M$3="","",IF(COUNTIFS(BD!$A$3:$A$5001,M$3,BD!$B$3:$B$5001,$A$173,BD!$L$3:$L$5001,"&lt;&gt;")=0,"",SUMIFS(BD!$L$3:$L$5001,BD!$A$3:$A$5001,M$3,BD!$B$3:$B$5001,$A$173)))</f>
        <v/>
      </c>
      <c r="N175" s="165" t="str">
        <f>IF(N$3="","",IF(COUNTIFS(BD!$A$3:$A$5001,N$3,BD!$B$3:$B$5001,$A$173,BD!$L$3:$L$5001,"&lt;&gt;")=0,"",SUMIFS(BD!$L$3:$L$5001,BD!$A$3:$A$5001,N$3,BD!$B$3:$B$5001,$A$173)))</f>
        <v/>
      </c>
      <c r="O175" s="165" t="str">
        <f>IF(O$3="","",IF(COUNTIFS(BD!$A$3:$A$5001,O$3,BD!$B$3:$B$5001,$A$173,BD!$L$3:$L$5001,"&lt;&gt;")=0,"",SUMIFS(BD!$L$3:$L$5001,BD!$A$3:$A$5001,O$3,BD!$B$3:$B$5001,$A$173)))</f>
        <v/>
      </c>
      <c r="P175" s="165" t="str">
        <f>IF(P$3="","",IF(COUNTIFS(BD!$A$3:$A$5001,P$3,BD!$B$3:$B$5001,$A$173,BD!$L$3:$L$5001,"&lt;&gt;")=0,"",SUMIFS(BD!$L$3:$L$5001,BD!$A$3:$A$5001,P$3,BD!$B$3:$B$5001,$A$173)))</f>
        <v/>
      </c>
      <c r="Q175" s="165" t="str">
        <f>IF(Q$3="","",IF(COUNTIFS(BD!$A$3:$A$5001,Q$3,BD!$B$3:$B$5001,$A$173,BD!$L$3:$L$5001,"&lt;&gt;")=0,"",SUMIFS(BD!$L$3:$L$5001,BD!$A$3:$A$5001,Q$3,BD!$B$3:$B$5001,$A$173)))</f>
        <v/>
      </c>
      <c r="R175" s="165" t="str">
        <f>IF(R$3="","",IF(COUNTIFS(BD!$A$3:$A$5001,R$3,BD!$B$3:$B$5001,$A$173,BD!$L$3:$L$5001,"&lt;&gt;")=0,"",SUMIFS(BD!$L$3:$L$5001,BD!$A$3:$A$5001,R$3,BD!$B$3:$B$5001,$A$173)))</f>
        <v/>
      </c>
      <c r="S175" s="165" t="str">
        <f>IF(S$3="","",IF(COUNTIFS(BD!$A$3:$A$5001,S$3,BD!$B$3:$B$5001,$A$173,BD!$L$3:$L$5001,"&lt;&gt;")=0,"",SUMIFS(BD!$L$3:$L$5001,BD!$A$3:$A$5001,S$3,BD!$B$3:$B$5001,$A$173)))</f>
        <v/>
      </c>
      <c r="T175" s="165" t="str">
        <f>IF(T$3="","",IF(COUNTIFS(BD!$A$3:$A$5001,T$3,BD!$B$3:$B$5001,$A$173,BD!$L$3:$L$5001,"&lt;&gt;")=0,"",SUMIFS(BD!$L$3:$L$5001,BD!$A$3:$A$5001,T$3,BD!$B$3:$B$5001,$A$173)))</f>
        <v/>
      </c>
      <c r="U175" s="165" t="str">
        <f>IF(U$3="","",IF(COUNTIFS(BD!$A$3:$A$5001,U$3,BD!$B$3:$B$5001,$A$173,BD!$L$3:$L$5001,"&lt;&gt;")=0,"",SUMIFS(BD!$L$3:$L$5001,BD!$A$3:$A$5001,U$3,BD!$B$3:$B$5001,$A$173)))</f>
        <v/>
      </c>
      <c r="V175" s="165" t="str">
        <f>IF(V$3="","",IF(COUNTIFS(BD!$A$3:$A$5001,V$3,BD!$B$3:$B$5001,$A$173,BD!$L$3:$L$5001,"&lt;&gt;")=0,"",SUMIFS(BD!$L$3:$L$5001,BD!$A$3:$A$5001,V$3,BD!$B$3:$B$5001,$A$173)))</f>
        <v/>
      </c>
      <c r="W175" s="165" t="str">
        <f>IF(W$3="","",IF(COUNTIFS(BD!$A$3:$A$5001,W$3,BD!$B$3:$B$5001,$A$173,BD!$L$3:$L$5001,"&lt;&gt;")=0,"",SUMIFS(BD!$L$3:$L$5001,BD!$A$3:$A$5001,W$3,BD!$B$3:$B$5001,$A$173)))</f>
        <v/>
      </c>
      <c r="X175" s="165" t="str">
        <f>IF(X$3="","",IF(COUNTIFS(BD!$A$3:$A$5001,X$3,BD!$B$3:$B$5001,$A$173,BD!$L$3:$L$5001,"&lt;&gt;")=0,"",SUMIFS(BD!$L$3:$L$5001,BD!$A$3:$A$5001,X$3,BD!$B$3:$B$5001,$A$173)))</f>
        <v/>
      </c>
      <c r="Y175" s="165" t="str">
        <f>IF(Y$3="","",IF(COUNTIFS(BD!$A$3:$A$5001,Y$3,BD!$B$3:$B$5001,$A$173,BD!$L$3:$L$5001,"&lt;&gt;")=0,"",SUMIFS(BD!$L$3:$L$5001,BD!$A$3:$A$5001,Y$3,BD!$B$3:$B$5001,$A$173)))</f>
        <v/>
      </c>
      <c r="Z175" s="165" t="str">
        <f>IF(Z$3="","",IF(COUNTIFS(BD!$A$3:$A$5001,Z$3,BD!$B$3:$B$5001,$A$173,BD!$L$3:$L$5001,"&lt;&gt;")=0,"",SUMIFS(BD!$L$3:$L$5001,BD!$A$3:$A$5001,Z$3,BD!$B$3:$B$5001,$A$173)))</f>
        <v/>
      </c>
      <c r="AA175" s="165" t="str">
        <f>IF(AA$3="","",IF(COUNTIFS(BD!$A$3:$A$5001,AA$3,BD!$B$3:$B$5001,$A$173,BD!$L$3:$L$5001,"&lt;&gt;")=0,"",SUMIFS(BD!$L$3:$L$5001,BD!$A$3:$A$5001,AA$3,BD!$B$3:$B$5001,$A$173)))</f>
        <v/>
      </c>
      <c r="AB175" s="165" t="str">
        <f>IF(AB$3="","",IF(COUNTIFS(BD!$A$3:$A$5001,AB$3,BD!$B$3:$B$5001,$A$173,BD!$L$3:$L$5001,"&lt;&gt;")=0,"",SUMIFS(BD!$L$3:$L$5001,BD!$A$3:$A$5001,AB$3,BD!$B$3:$B$5001,$A$173)))</f>
        <v/>
      </c>
      <c r="AC175" s="165" t="str">
        <f>IF(AC$3="","",IF(COUNTIFS(BD!$A$3:$A$5001,AC$3,BD!$B$3:$B$5001,$A$173,BD!$L$3:$L$5001,"&lt;&gt;")=0,"",SUMIFS(BD!$L$3:$L$5001,BD!$A$3:$A$5001,AC$3,BD!$B$3:$B$5001,$A$173)))</f>
        <v/>
      </c>
      <c r="AD175" s="165" t="str">
        <f>IF(AD$3="","",IF(COUNTIFS(BD!$A$3:$A$5001,AD$3,BD!$B$3:$B$5001,$A$173,BD!$L$3:$L$5001,"&lt;&gt;")=0,"",SUMIFS(BD!$L$3:$L$5001,BD!$A$3:$A$5001,AD$3,BD!$B$3:$B$5001,$A$173)))</f>
        <v/>
      </c>
      <c r="AE175" s="165" t="str">
        <f>IF(AE$3="","",IF(COUNTIFS(BD!$A$3:$A$5001,AE$3,BD!$B$3:$B$5001,$A$173,BD!$L$3:$L$5001,"&lt;&gt;")=0,"",SUMIFS(BD!$L$3:$L$5001,BD!$A$3:$A$5001,AE$3,BD!$B$3:$B$5001,$A$173)))</f>
        <v/>
      </c>
      <c r="AF175" s="165" t="str">
        <f>IF(AF$3="","",IF(COUNTIFS(BD!$A$3:$A$5001,AF$3,BD!$B$3:$B$5001,$A$173,BD!$L$3:$L$5001,"&lt;&gt;")=0,"",SUMIFS(BD!$L$3:$L$5001,BD!$A$3:$A$5001,AF$3,BD!$B$3:$B$5001,$A$173)))</f>
        <v/>
      </c>
      <c r="AG175" s="165" t="str">
        <f>IF(AG$3="","",IF(COUNTIFS(BD!$A$3:$A$5001,AG$3,BD!$B$3:$B$5001,$A$173,BD!$L$3:$L$5001,"&lt;&gt;")=0,"",SUMIFS(BD!$L$3:$L$5001,BD!$A$3:$A$5001,AG$3,BD!$B$3:$B$5001,$A$173)))</f>
        <v/>
      </c>
      <c r="AH175" s="165" t="str">
        <f>IF(AH$3="","",IF(COUNTIFS(BD!$A$3:$A$5001,AH$3,BD!$B$3:$B$5001,$A$173,BD!$L$3:$L$5001,"&lt;&gt;")=0,"",SUMIFS(BD!$L$3:$L$5001,BD!$A$3:$A$5001,AH$3,BD!$B$3:$B$5001,$A$173)))</f>
        <v/>
      </c>
      <c r="AI175" s="165" t="str">
        <f>IF(AI$3="","",IF(COUNTIFS(BD!$A$3:$A$5001,AI$3,BD!$B$3:$B$5001,$A$173,BD!$L$3:$L$5001,"&lt;&gt;")=0,"",SUMIFS(BD!$L$3:$L$5001,BD!$A$3:$A$5001,AI$3,BD!$B$3:$B$5001,$A$173)))</f>
        <v/>
      </c>
      <c r="AJ175" s="166" t="str">
        <f>IF(AJ$3="","",IF(COUNTIFS(BD!$A$3:$A$5001,AJ$3,BD!$B$3:$B$5001,$A$173,BD!$L$3:$L$5001,"&lt;&gt;")=0,"",SUMIFS(BD!$L$3:$L$5001,BD!$A$3:$A$5001,AJ$3,BD!$B$3:$B$5001,$A$173)))</f>
        <v/>
      </c>
      <c r="AK175" s="167" t="str">
        <f>IF(COUNT(F175:AJ175)=0,"",SUM(F175:AJ175))</f>
        <v/>
      </c>
    </row>
    <row r="176" ht="15.75" customHeight="1">
      <c r="A176" s="237"/>
      <c r="B176" s="228"/>
      <c r="C176" s="168" t="inlineStr">
        <is>
          <t xml:space="preserve">Pallets Movimentados</t>
        </is>
      </c>
      <c r="D176" s="169" t="str">
        <f>IFERROR(1/(1/INDEX(BD!$AK$39:$AU$39,MATCH($A$173,BD!$AK$22:$AU$22,0))),"")</f>
        <v/>
      </c>
      <c r="E176" s="170"/>
      <c r="F176" s="171" t="str">
        <f>IF(F$3="","",IF(COUNTIFS(BD!$A$3:$A$5001,F$3,BD!$B$3:$B$5001,$A$173,BD!$S$3:$S$5001,"&lt;&gt;")=0,"",SUMIFS(BD!$S$3:$S$5001,BD!$A$3:$A$5001,F$3,BD!$B$3:$B$5001,$A$173)))</f>
        <v/>
      </c>
      <c r="G176" s="172" t="str">
        <f>IF(G$3="","",IF(COUNTIFS(BD!$A$3:$A$5001,G$3,BD!$B$3:$B$5001,$A$173,BD!$S$3:$S$5001,"&lt;&gt;")=0,"",SUMIFS(BD!$S$3:$S$5001,BD!$A$3:$A$5001,G$3,BD!$B$3:$B$5001,$A$173)))</f>
        <v/>
      </c>
      <c r="H176" s="172" t="str">
        <f>IF(H$3="","",IF(COUNTIFS(BD!$A$3:$A$5001,H$3,BD!$B$3:$B$5001,$A$173,BD!$S$3:$S$5001,"&lt;&gt;")=0,"",SUMIFS(BD!$S$3:$S$5001,BD!$A$3:$A$5001,H$3,BD!$B$3:$B$5001,$A$173)))</f>
        <v/>
      </c>
      <c r="I176" s="172" t="str">
        <f>IF(I$3="","",IF(COUNTIFS(BD!$A$3:$A$5001,I$3,BD!$B$3:$B$5001,$A$173,BD!$S$3:$S$5001,"&lt;&gt;")=0,"",SUMIFS(BD!$S$3:$S$5001,BD!$A$3:$A$5001,I$3,BD!$B$3:$B$5001,$A$173)))</f>
        <v/>
      </c>
      <c r="J176" s="172" t="str">
        <f>IF(J$3="","",IF(COUNTIFS(BD!$A$3:$A$5001,J$3,BD!$B$3:$B$5001,$A$173,BD!$S$3:$S$5001,"&lt;&gt;")=0,"",SUMIFS(BD!$S$3:$S$5001,BD!$A$3:$A$5001,J$3,BD!$B$3:$B$5001,$A$173)))</f>
        <v/>
      </c>
      <c r="K176" s="172" t="str">
        <f>IF(K$3="","",IF(COUNTIFS(BD!$A$3:$A$5001,K$3,BD!$B$3:$B$5001,$A$173,BD!$S$3:$S$5001,"&lt;&gt;")=0,"",SUMIFS(BD!$S$3:$S$5001,BD!$A$3:$A$5001,K$3,BD!$B$3:$B$5001,$A$173)))</f>
        <v/>
      </c>
      <c r="L176" s="172" t="str">
        <f>IF(L$3="","",IF(COUNTIFS(BD!$A$3:$A$5001,L$3,BD!$B$3:$B$5001,$A$173,BD!$S$3:$S$5001,"&lt;&gt;")=0,"",SUMIFS(BD!$S$3:$S$5001,BD!$A$3:$A$5001,L$3,BD!$B$3:$B$5001,$A$173)))</f>
        <v/>
      </c>
      <c r="M176" s="172" t="str">
        <f>IF(M$3="","",IF(COUNTIFS(BD!$A$3:$A$5001,M$3,BD!$B$3:$B$5001,$A$173,BD!$S$3:$S$5001,"&lt;&gt;")=0,"",SUMIFS(BD!$S$3:$S$5001,BD!$A$3:$A$5001,M$3,BD!$B$3:$B$5001,$A$173)))</f>
        <v/>
      </c>
      <c r="N176" s="172" t="str">
        <f>IF(N$3="","",IF(COUNTIFS(BD!$A$3:$A$5001,N$3,BD!$B$3:$B$5001,$A$173,BD!$S$3:$S$5001,"&lt;&gt;")=0,"",SUMIFS(BD!$S$3:$S$5001,BD!$A$3:$A$5001,N$3,BD!$B$3:$B$5001,$A$173)))</f>
        <v/>
      </c>
      <c r="O176" s="172" t="str">
        <f>IF(O$3="","",IF(COUNTIFS(BD!$A$3:$A$5001,O$3,BD!$B$3:$B$5001,$A$173,BD!$S$3:$S$5001,"&lt;&gt;")=0,"",SUMIFS(BD!$S$3:$S$5001,BD!$A$3:$A$5001,O$3,BD!$B$3:$B$5001,$A$173)))</f>
        <v/>
      </c>
      <c r="P176" s="172" t="str">
        <f>IF(P$3="","",IF(COUNTIFS(BD!$A$3:$A$5001,P$3,BD!$B$3:$B$5001,$A$173,BD!$S$3:$S$5001,"&lt;&gt;")=0,"",SUMIFS(BD!$S$3:$S$5001,BD!$A$3:$A$5001,P$3,BD!$B$3:$B$5001,$A$173)))</f>
        <v/>
      </c>
      <c r="Q176" s="172" t="str">
        <f>IF(Q$3="","",IF(COUNTIFS(BD!$A$3:$A$5001,Q$3,BD!$B$3:$B$5001,$A$173,BD!$S$3:$S$5001,"&lt;&gt;")=0,"",SUMIFS(BD!$S$3:$S$5001,BD!$A$3:$A$5001,Q$3,BD!$B$3:$B$5001,$A$173)))</f>
        <v/>
      </c>
      <c r="R176" s="172" t="str">
        <f>IF(R$3="","",IF(COUNTIFS(BD!$A$3:$A$5001,R$3,BD!$B$3:$B$5001,$A$173,BD!$S$3:$S$5001,"&lt;&gt;")=0,"",SUMIFS(BD!$S$3:$S$5001,BD!$A$3:$A$5001,R$3,BD!$B$3:$B$5001,$A$173)))</f>
        <v/>
      </c>
      <c r="S176" s="172" t="str">
        <f>IF(S$3="","",IF(COUNTIFS(BD!$A$3:$A$5001,S$3,BD!$B$3:$B$5001,$A$173,BD!$S$3:$S$5001,"&lt;&gt;")=0,"",SUMIFS(BD!$S$3:$S$5001,BD!$A$3:$A$5001,S$3,BD!$B$3:$B$5001,$A$173)))</f>
        <v/>
      </c>
      <c r="T176" s="172" t="str">
        <f>IF(T$3="","",IF(COUNTIFS(BD!$A$3:$A$5001,T$3,BD!$B$3:$B$5001,$A$173,BD!$S$3:$S$5001,"&lt;&gt;")=0,"",SUMIFS(BD!$S$3:$S$5001,BD!$A$3:$A$5001,T$3,BD!$B$3:$B$5001,$A$173)))</f>
        <v/>
      </c>
      <c r="U176" s="172" t="str">
        <f>IF(U$3="","",IF(COUNTIFS(BD!$A$3:$A$5001,U$3,BD!$B$3:$B$5001,$A$173,BD!$S$3:$S$5001,"&lt;&gt;")=0,"",SUMIFS(BD!$S$3:$S$5001,BD!$A$3:$A$5001,U$3,BD!$B$3:$B$5001,$A$173)))</f>
        <v/>
      </c>
      <c r="V176" s="172" t="str">
        <f>IF(V$3="","",IF(COUNTIFS(BD!$A$3:$A$5001,V$3,BD!$B$3:$B$5001,$A$173,BD!$S$3:$S$5001,"&lt;&gt;")=0,"",SUMIFS(BD!$S$3:$S$5001,BD!$A$3:$A$5001,V$3,BD!$B$3:$B$5001,$A$173)))</f>
        <v/>
      </c>
      <c r="W176" s="172" t="str">
        <f>IF(W$3="","",IF(COUNTIFS(BD!$A$3:$A$5001,W$3,BD!$B$3:$B$5001,$A$173,BD!$S$3:$S$5001,"&lt;&gt;")=0,"",SUMIFS(BD!$S$3:$S$5001,BD!$A$3:$A$5001,W$3,BD!$B$3:$B$5001,$A$173)))</f>
        <v/>
      </c>
      <c r="X176" s="172" t="str">
        <f>IF(X$3="","",IF(COUNTIFS(BD!$A$3:$A$5001,X$3,BD!$B$3:$B$5001,$A$173,BD!$S$3:$S$5001,"&lt;&gt;")=0,"",SUMIFS(BD!$S$3:$S$5001,BD!$A$3:$A$5001,X$3,BD!$B$3:$B$5001,$A$173)))</f>
        <v/>
      </c>
      <c r="Y176" s="172" t="str">
        <f>IF(Y$3="","",IF(COUNTIFS(BD!$A$3:$A$5001,Y$3,BD!$B$3:$B$5001,$A$173,BD!$S$3:$S$5001,"&lt;&gt;")=0,"",SUMIFS(BD!$S$3:$S$5001,BD!$A$3:$A$5001,Y$3,BD!$B$3:$B$5001,$A$173)))</f>
        <v/>
      </c>
      <c r="Z176" s="172" t="str">
        <f>IF(Z$3="","",IF(COUNTIFS(BD!$A$3:$A$5001,Z$3,BD!$B$3:$B$5001,$A$173,BD!$S$3:$S$5001,"&lt;&gt;")=0,"",SUMIFS(BD!$S$3:$S$5001,BD!$A$3:$A$5001,Z$3,BD!$B$3:$B$5001,$A$173)))</f>
        <v/>
      </c>
      <c r="AA176" s="172" t="str">
        <f>IF(AA$3="","",IF(COUNTIFS(BD!$A$3:$A$5001,AA$3,BD!$B$3:$B$5001,$A$173,BD!$S$3:$S$5001,"&lt;&gt;")=0,"",SUMIFS(BD!$S$3:$S$5001,BD!$A$3:$A$5001,AA$3,BD!$B$3:$B$5001,$A$173)))</f>
        <v/>
      </c>
      <c r="AB176" s="172" t="str">
        <f>IF(AB$3="","",IF(COUNTIFS(BD!$A$3:$A$5001,AB$3,BD!$B$3:$B$5001,$A$173,BD!$S$3:$S$5001,"&lt;&gt;")=0,"",SUMIFS(BD!$S$3:$S$5001,BD!$A$3:$A$5001,AB$3,BD!$B$3:$B$5001,$A$173)))</f>
        <v/>
      </c>
      <c r="AC176" s="172" t="str">
        <f>IF(AC$3="","",IF(COUNTIFS(BD!$A$3:$A$5001,AC$3,BD!$B$3:$B$5001,$A$173,BD!$S$3:$S$5001,"&lt;&gt;")=0,"",SUMIFS(BD!$S$3:$S$5001,BD!$A$3:$A$5001,AC$3,BD!$B$3:$B$5001,$A$173)))</f>
        <v/>
      </c>
      <c r="AD176" s="172" t="str">
        <f>IF(AD$3="","",IF(COUNTIFS(BD!$A$3:$A$5001,AD$3,BD!$B$3:$B$5001,$A$173,BD!$S$3:$S$5001,"&lt;&gt;")=0,"",SUMIFS(BD!$S$3:$S$5001,BD!$A$3:$A$5001,AD$3,BD!$B$3:$B$5001,$A$173)))</f>
        <v/>
      </c>
      <c r="AE176" s="172" t="str">
        <f>IF(AE$3="","",IF(COUNTIFS(BD!$A$3:$A$5001,AE$3,BD!$B$3:$B$5001,$A$173,BD!$S$3:$S$5001,"&lt;&gt;")=0,"",SUMIFS(BD!$S$3:$S$5001,BD!$A$3:$A$5001,AE$3,BD!$B$3:$B$5001,$A$173)))</f>
        <v/>
      </c>
      <c r="AF176" s="172" t="str">
        <f>IF(AF$3="","",IF(COUNTIFS(BD!$A$3:$A$5001,AF$3,BD!$B$3:$B$5001,$A$173,BD!$S$3:$S$5001,"&lt;&gt;")=0,"",SUMIFS(BD!$S$3:$S$5001,BD!$A$3:$A$5001,AF$3,BD!$B$3:$B$5001,$A$173)))</f>
        <v/>
      </c>
      <c r="AG176" s="172" t="str">
        <f>IF(AG$3="","",IF(COUNTIFS(BD!$A$3:$A$5001,AG$3,BD!$B$3:$B$5001,$A$173,BD!$S$3:$S$5001,"&lt;&gt;")=0,"",SUMIFS(BD!$S$3:$S$5001,BD!$A$3:$A$5001,AG$3,BD!$B$3:$B$5001,$A$173)))</f>
        <v/>
      </c>
      <c r="AH176" s="172" t="str">
        <f>IF(AH$3="","",IF(COUNTIFS(BD!$A$3:$A$5001,AH$3,BD!$B$3:$B$5001,$A$173,BD!$S$3:$S$5001,"&lt;&gt;")=0,"",SUMIFS(BD!$S$3:$S$5001,BD!$A$3:$A$5001,AH$3,BD!$B$3:$B$5001,$A$173)))</f>
        <v/>
      </c>
      <c r="AI176" s="172" t="str">
        <f>IF(AI$3="","",IF(COUNTIFS(BD!$A$3:$A$5001,AI$3,BD!$B$3:$B$5001,$A$173,BD!$S$3:$S$5001,"&lt;&gt;")=0,"",SUMIFS(BD!$S$3:$S$5001,BD!$A$3:$A$5001,AI$3,BD!$B$3:$B$5001,$A$173)))</f>
        <v/>
      </c>
      <c r="AJ176" s="173" t="str">
        <f>IF(AJ$3="","",IF(COUNTIFS(BD!$A$3:$A$5001,AJ$3,BD!$B$3:$B$5001,$A$173,BD!$S$3:$S$5001,"&lt;&gt;")=0,"",SUMIFS(BD!$S$3:$S$5001,BD!$A$3:$A$5001,AJ$3,BD!$B$3:$B$5001,$A$173)))</f>
        <v/>
      </c>
      <c r="AK176" s="169" t="str">
        <f>IF(COUNT(F176:AJ176)=0,"",SUM(F176:AJ176))</f>
        <v/>
      </c>
    </row>
    <row r="177" ht="15.75" customHeight="1">
      <c r="A177" s="237"/>
      <c r="B177" s="229" t="inlineStr">
        <is>
          <t xml:space="preserve">NC</t>
        </is>
      </c>
      <c r="C177" s="174" t="inlineStr">
        <is>
          <t xml:space="preserve">Incidentes</t>
        </is>
      </c>
      <c r="D177" s="175" t="str">
        <f>IFERROR(1/(1/INDEX(BD!$AK$41:$AU$41,MATCH($A$173,BD!$AK$22:$AU$22,0))),"")</f>
        <v/>
      </c>
      <c r="E177" s="176"/>
      <c r="F177" s="177" t="str">
        <f>IF(F$3="","",IF(COUNTIFS(BD!$A$3:$A$5001,F$3,BD!$B$3:$B$5001,$A$173,BD!$U$3:$U$5001,"&lt;&gt;")=0,"",SUMIFS(BD!$U$3:$U$5001,BD!$A$3:$A$5001,F$3,BD!$B$3:$B$5001,$A$173)))</f>
        <v/>
      </c>
      <c r="G177" s="178" t="str">
        <f>IF(G$3="","",IF(COUNTIFS(BD!$A$3:$A$5001,G$3,BD!$B$3:$B$5001,$A$173,BD!$U$3:$U$5001,"&lt;&gt;")=0,"",SUMIFS(BD!$U$3:$U$5001,BD!$A$3:$A$5001,G$3,BD!$B$3:$B$5001,$A$173)))</f>
        <v/>
      </c>
      <c r="H177" s="178" t="str">
        <f>IF(H$3="","",IF(COUNTIFS(BD!$A$3:$A$5001,H$3,BD!$B$3:$B$5001,$A$173,BD!$U$3:$U$5001,"&lt;&gt;")=0,"",SUMIFS(BD!$U$3:$U$5001,BD!$A$3:$A$5001,H$3,BD!$B$3:$B$5001,$A$173)))</f>
        <v/>
      </c>
      <c r="I177" s="178" t="str">
        <f>IF(I$3="","",IF(COUNTIFS(BD!$A$3:$A$5001,I$3,BD!$B$3:$B$5001,$A$173,BD!$U$3:$U$5001,"&lt;&gt;")=0,"",SUMIFS(BD!$U$3:$U$5001,BD!$A$3:$A$5001,I$3,BD!$B$3:$B$5001,$A$173)))</f>
        <v/>
      </c>
      <c r="J177" s="178" t="str">
        <f>IF(J$3="","",IF(COUNTIFS(BD!$A$3:$A$5001,J$3,BD!$B$3:$B$5001,$A$173,BD!$U$3:$U$5001,"&lt;&gt;")=0,"",SUMIFS(BD!$U$3:$U$5001,BD!$A$3:$A$5001,J$3,BD!$B$3:$B$5001,$A$173)))</f>
        <v/>
      </c>
      <c r="K177" s="178" t="str">
        <f>IF(K$3="","",IF(COUNTIFS(BD!$A$3:$A$5001,K$3,BD!$B$3:$B$5001,$A$173,BD!$U$3:$U$5001,"&lt;&gt;")=0,"",SUMIFS(BD!$U$3:$U$5001,BD!$A$3:$A$5001,K$3,BD!$B$3:$B$5001,$A$173)))</f>
        <v/>
      </c>
      <c r="L177" s="178" t="str">
        <f>IF(L$3="","",IF(COUNTIFS(BD!$A$3:$A$5001,L$3,BD!$B$3:$B$5001,$A$173,BD!$U$3:$U$5001,"&lt;&gt;")=0,"",SUMIFS(BD!$U$3:$U$5001,BD!$A$3:$A$5001,L$3,BD!$B$3:$B$5001,$A$173)))</f>
        <v/>
      </c>
      <c r="M177" s="178" t="str">
        <f>IF(M$3="","",IF(COUNTIFS(BD!$A$3:$A$5001,M$3,BD!$B$3:$B$5001,$A$173,BD!$U$3:$U$5001,"&lt;&gt;")=0,"",SUMIFS(BD!$U$3:$U$5001,BD!$A$3:$A$5001,M$3,BD!$B$3:$B$5001,$A$173)))</f>
        <v/>
      </c>
      <c r="N177" s="178" t="str">
        <f>IF(N$3="","",IF(COUNTIFS(BD!$A$3:$A$5001,N$3,BD!$B$3:$B$5001,$A$173,BD!$U$3:$U$5001,"&lt;&gt;")=0,"",SUMIFS(BD!$U$3:$U$5001,BD!$A$3:$A$5001,N$3,BD!$B$3:$B$5001,$A$173)))</f>
        <v/>
      </c>
      <c r="O177" s="178" t="str">
        <f>IF(O$3="","",IF(COUNTIFS(BD!$A$3:$A$5001,O$3,BD!$B$3:$B$5001,$A$173,BD!$U$3:$U$5001,"&lt;&gt;")=0,"",SUMIFS(BD!$U$3:$U$5001,BD!$A$3:$A$5001,O$3,BD!$B$3:$B$5001,$A$173)))</f>
        <v/>
      </c>
      <c r="P177" s="178" t="str">
        <f>IF(P$3="","",IF(COUNTIFS(BD!$A$3:$A$5001,P$3,BD!$B$3:$B$5001,$A$173,BD!$U$3:$U$5001,"&lt;&gt;")=0,"",SUMIFS(BD!$U$3:$U$5001,BD!$A$3:$A$5001,P$3,BD!$B$3:$B$5001,$A$173)))</f>
        <v/>
      </c>
      <c r="Q177" s="178" t="str">
        <f>IF(Q$3="","",IF(COUNTIFS(BD!$A$3:$A$5001,Q$3,BD!$B$3:$B$5001,$A$173,BD!$U$3:$U$5001,"&lt;&gt;")=0,"",SUMIFS(BD!$U$3:$U$5001,BD!$A$3:$A$5001,Q$3,BD!$B$3:$B$5001,$A$173)))</f>
        <v/>
      </c>
      <c r="R177" s="178" t="str">
        <f>IF(R$3="","",IF(COUNTIFS(BD!$A$3:$A$5001,R$3,BD!$B$3:$B$5001,$A$173,BD!$U$3:$U$5001,"&lt;&gt;")=0,"",SUMIFS(BD!$U$3:$U$5001,BD!$A$3:$A$5001,R$3,BD!$B$3:$B$5001,$A$173)))</f>
        <v/>
      </c>
      <c r="S177" s="178" t="str">
        <f>IF(S$3="","",IF(COUNTIFS(BD!$A$3:$A$5001,S$3,BD!$B$3:$B$5001,$A$173,BD!$U$3:$U$5001,"&lt;&gt;")=0,"",SUMIFS(BD!$U$3:$U$5001,BD!$A$3:$A$5001,S$3,BD!$B$3:$B$5001,$A$173)))</f>
        <v/>
      </c>
      <c r="T177" s="178" t="str">
        <f>IF(T$3="","",IF(COUNTIFS(BD!$A$3:$A$5001,T$3,BD!$B$3:$B$5001,$A$173,BD!$U$3:$U$5001,"&lt;&gt;")=0,"",SUMIFS(BD!$U$3:$U$5001,BD!$A$3:$A$5001,T$3,BD!$B$3:$B$5001,$A$173)))</f>
        <v/>
      </c>
      <c r="U177" s="178" t="str">
        <f>IF(U$3="","",IF(COUNTIFS(BD!$A$3:$A$5001,U$3,BD!$B$3:$B$5001,$A$173,BD!$U$3:$U$5001,"&lt;&gt;")=0,"",SUMIFS(BD!$U$3:$U$5001,BD!$A$3:$A$5001,U$3,BD!$B$3:$B$5001,$A$173)))</f>
        <v/>
      </c>
      <c r="V177" s="178" t="str">
        <f>IF(V$3="","",IF(COUNTIFS(BD!$A$3:$A$5001,V$3,BD!$B$3:$B$5001,$A$173,BD!$U$3:$U$5001,"&lt;&gt;")=0,"",SUMIFS(BD!$U$3:$U$5001,BD!$A$3:$A$5001,V$3,BD!$B$3:$B$5001,$A$173)))</f>
        <v/>
      </c>
      <c r="W177" s="178" t="str">
        <f>IF(W$3="","",IF(COUNTIFS(BD!$A$3:$A$5001,W$3,BD!$B$3:$B$5001,$A$173,BD!$U$3:$U$5001,"&lt;&gt;")=0,"",SUMIFS(BD!$U$3:$U$5001,BD!$A$3:$A$5001,W$3,BD!$B$3:$B$5001,$A$173)))</f>
        <v/>
      </c>
      <c r="X177" s="178" t="str">
        <f>IF(X$3="","",IF(COUNTIFS(BD!$A$3:$A$5001,X$3,BD!$B$3:$B$5001,$A$173,BD!$U$3:$U$5001,"&lt;&gt;")=0,"",SUMIFS(BD!$U$3:$U$5001,BD!$A$3:$A$5001,X$3,BD!$B$3:$B$5001,$A$173)))</f>
        <v/>
      </c>
      <c r="Y177" s="178" t="str">
        <f>IF(Y$3="","",IF(COUNTIFS(BD!$A$3:$A$5001,Y$3,BD!$B$3:$B$5001,$A$173,BD!$U$3:$U$5001,"&lt;&gt;")=0,"",SUMIFS(BD!$U$3:$U$5001,BD!$A$3:$A$5001,Y$3,BD!$B$3:$B$5001,$A$173)))</f>
        <v/>
      </c>
      <c r="Z177" s="178" t="str">
        <f>IF(Z$3="","",IF(COUNTIFS(BD!$A$3:$A$5001,Z$3,BD!$B$3:$B$5001,$A$173,BD!$U$3:$U$5001,"&lt;&gt;")=0,"",SUMIFS(BD!$U$3:$U$5001,BD!$A$3:$A$5001,Z$3,BD!$B$3:$B$5001,$A$173)))</f>
        <v/>
      </c>
      <c r="AA177" s="178" t="str">
        <f>IF(AA$3="","",IF(COUNTIFS(BD!$A$3:$A$5001,AA$3,BD!$B$3:$B$5001,$A$173,BD!$U$3:$U$5001,"&lt;&gt;")=0,"",SUMIFS(BD!$U$3:$U$5001,BD!$A$3:$A$5001,AA$3,BD!$B$3:$B$5001,$A$173)))</f>
        <v/>
      </c>
      <c r="AB177" s="178" t="str">
        <f>IF(AB$3="","",IF(COUNTIFS(BD!$A$3:$A$5001,AB$3,BD!$B$3:$B$5001,$A$173,BD!$U$3:$U$5001,"&lt;&gt;")=0,"",SUMIFS(BD!$U$3:$U$5001,BD!$A$3:$A$5001,AB$3,BD!$B$3:$B$5001,$A$173)))</f>
        <v/>
      </c>
      <c r="AC177" s="178" t="str">
        <f>IF(AC$3="","",IF(COUNTIFS(BD!$A$3:$A$5001,AC$3,BD!$B$3:$B$5001,$A$173,BD!$U$3:$U$5001,"&lt;&gt;")=0,"",SUMIFS(BD!$U$3:$U$5001,BD!$A$3:$A$5001,AC$3,BD!$B$3:$B$5001,$A$173)))</f>
        <v/>
      </c>
      <c r="AD177" s="178" t="str">
        <f>IF(AD$3="","",IF(COUNTIFS(BD!$A$3:$A$5001,AD$3,BD!$B$3:$B$5001,$A$173,BD!$U$3:$U$5001,"&lt;&gt;")=0,"",SUMIFS(BD!$U$3:$U$5001,BD!$A$3:$A$5001,AD$3,BD!$B$3:$B$5001,$A$173)))</f>
        <v/>
      </c>
      <c r="AE177" s="178" t="str">
        <f>IF(AE$3="","",IF(COUNTIFS(BD!$A$3:$A$5001,AE$3,BD!$B$3:$B$5001,$A$173,BD!$U$3:$U$5001,"&lt;&gt;")=0,"",SUMIFS(BD!$U$3:$U$5001,BD!$A$3:$A$5001,AE$3,BD!$B$3:$B$5001,$A$173)))</f>
        <v/>
      </c>
      <c r="AF177" s="178" t="str">
        <f>IF(AF$3="","",IF(COUNTIFS(BD!$A$3:$A$5001,AF$3,BD!$B$3:$B$5001,$A$173,BD!$U$3:$U$5001,"&lt;&gt;")=0,"",SUMIFS(BD!$U$3:$U$5001,BD!$A$3:$A$5001,AF$3,BD!$B$3:$B$5001,$A$173)))</f>
        <v/>
      </c>
      <c r="AG177" s="178" t="str">
        <f>IF(AG$3="","",IF(COUNTIFS(BD!$A$3:$A$5001,AG$3,BD!$B$3:$B$5001,$A$173,BD!$U$3:$U$5001,"&lt;&gt;")=0,"",SUMIFS(BD!$U$3:$U$5001,BD!$A$3:$A$5001,AG$3,BD!$B$3:$B$5001,$A$173)))</f>
        <v/>
      </c>
      <c r="AH177" s="178" t="str">
        <f>IF(AH$3="","",IF(COUNTIFS(BD!$A$3:$A$5001,AH$3,BD!$B$3:$B$5001,$A$173,BD!$U$3:$U$5001,"&lt;&gt;")=0,"",SUMIFS(BD!$U$3:$U$5001,BD!$A$3:$A$5001,AH$3,BD!$B$3:$B$5001,$A$173)))</f>
        <v/>
      </c>
      <c r="AI177" s="178" t="str">
        <f>IF(AI$3="","",IF(COUNTIFS(BD!$A$3:$A$5001,AI$3,BD!$B$3:$B$5001,$A$173,BD!$U$3:$U$5001,"&lt;&gt;")=0,"",SUMIFS(BD!$U$3:$U$5001,BD!$A$3:$A$5001,AI$3,BD!$B$3:$B$5001,$A$173)))</f>
        <v/>
      </c>
      <c r="AJ177" s="179" t="str">
        <f>IF(AJ$3="","",IF(COUNTIFS(BD!$A$3:$A$5001,AJ$3,BD!$B$3:$B$5001,$A$173,BD!$U$3:$U$5001,"&lt;&gt;")=0,"",SUMIFS(BD!$U$3:$U$5001,BD!$A$3:$A$5001,AJ$3,BD!$B$3:$B$5001,$A$173)))</f>
        <v/>
      </c>
      <c r="AK177" s="180" t="str">
        <f>IF(COUNT(F177:AJ177)=0,"",SUM(F177:AJ177))</f>
        <v/>
      </c>
    </row>
    <row r="178" ht="15.75" customHeight="1">
      <c r="A178" s="237"/>
      <c r="B178" s="230"/>
      <c r="C178" s="181" t="inlineStr">
        <is>
          <t xml:space="preserve">No show</t>
        </is>
      </c>
      <c r="D178" s="182" t="str">
        <f>IFERROR(1/(1/INDEX(BD!$AK$42:$AU$42,MATCH($A$173,BD!$AK$22:$AU$22,0))),"")</f>
        <v/>
      </c>
      <c r="E178" s="183"/>
      <c r="F178" s="184" t="str">
        <f>IF(F$3="","",IF(COUNTIFS(BD!$A$3:$A$5001,F$3,BD!$B$3:$B$5001,$A$173,BD!$V$3:$V$5001,"&lt;&gt;")=0,"",SUMIFS(BD!$V$3:$V$5001,BD!$A$3:$A$5001,F$3,BD!$B$3:$B$5001,$A$173)))</f>
        <v/>
      </c>
      <c r="G178" s="185" t="str">
        <f>IF(G$3="","",IF(COUNTIFS(BD!$A$3:$A$5001,G$3,BD!$B$3:$B$5001,$A$173,BD!$V$3:$V$5001,"&lt;&gt;")=0,"",SUMIFS(BD!$V$3:$V$5001,BD!$A$3:$A$5001,G$3,BD!$B$3:$B$5001,$A$173)))</f>
        <v/>
      </c>
      <c r="H178" s="185" t="str">
        <f>IF(H$3="","",IF(COUNTIFS(BD!$A$3:$A$5001,H$3,BD!$B$3:$B$5001,$A$173,BD!$V$3:$V$5001,"&lt;&gt;")=0,"",SUMIFS(BD!$V$3:$V$5001,BD!$A$3:$A$5001,H$3,BD!$B$3:$B$5001,$A$173)))</f>
        <v/>
      </c>
      <c r="I178" s="185" t="str">
        <f>IF(I$3="","",IF(COUNTIFS(BD!$A$3:$A$5001,I$3,BD!$B$3:$B$5001,$A$173,BD!$V$3:$V$5001,"&lt;&gt;")=0,"",SUMIFS(BD!$V$3:$V$5001,BD!$A$3:$A$5001,I$3,BD!$B$3:$B$5001,$A$173)))</f>
        <v/>
      </c>
      <c r="J178" s="185" t="str">
        <f>IF(J$3="","",IF(COUNTIFS(BD!$A$3:$A$5001,J$3,BD!$B$3:$B$5001,$A$173,BD!$V$3:$V$5001,"&lt;&gt;")=0,"",SUMIFS(BD!$V$3:$V$5001,BD!$A$3:$A$5001,J$3,BD!$B$3:$B$5001,$A$173)))</f>
        <v/>
      </c>
      <c r="K178" s="185" t="str">
        <f>IF(K$3="","",IF(COUNTIFS(BD!$A$3:$A$5001,K$3,BD!$B$3:$B$5001,$A$173,BD!$V$3:$V$5001,"&lt;&gt;")=0,"",SUMIFS(BD!$V$3:$V$5001,BD!$A$3:$A$5001,K$3,BD!$B$3:$B$5001,$A$173)))</f>
        <v/>
      </c>
      <c r="L178" s="185" t="str">
        <f>IF(L$3="","",IF(COUNTIFS(BD!$A$3:$A$5001,L$3,BD!$B$3:$B$5001,$A$173,BD!$V$3:$V$5001,"&lt;&gt;")=0,"",SUMIFS(BD!$V$3:$V$5001,BD!$A$3:$A$5001,L$3,BD!$B$3:$B$5001,$A$173)))</f>
        <v/>
      </c>
      <c r="M178" s="185" t="str">
        <f>IF(M$3="","",IF(COUNTIFS(BD!$A$3:$A$5001,M$3,BD!$B$3:$B$5001,$A$173,BD!$V$3:$V$5001,"&lt;&gt;")=0,"",SUMIFS(BD!$V$3:$V$5001,BD!$A$3:$A$5001,M$3,BD!$B$3:$B$5001,$A$173)))</f>
        <v/>
      </c>
      <c r="N178" s="185" t="str">
        <f>IF(N$3="","",IF(COUNTIFS(BD!$A$3:$A$5001,N$3,BD!$B$3:$B$5001,$A$173,BD!$V$3:$V$5001,"&lt;&gt;")=0,"",SUMIFS(BD!$V$3:$V$5001,BD!$A$3:$A$5001,N$3,BD!$B$3:$B$5001,$A$173)))</f>
        <v/>
      </c>
      <c r="O178" s="185" t="str">
        <f>IF(O$3="","",IF(COUNTIFS(BD!$A$3:$A$5001,O$3,BD!$B$3:$B$5001,$A$173,BD!$V$3:$V$5001,"&lt;&gt;")=0,"",SUMIFS(BD!$V$3:$V$5001,BD!$A$3:$A$5001,O$3,BD!$B$3:$B$5001,$A$173)))</f>
        <v/>
      </c>
      <c r="P178" s="185" t="str">
        <f>IF(P$3="","",IF(COUNTIFS(BD!$A$3:$A$5001,P$3,BD!$B$3:$B$5001,$A$173,BD!$V$3:$V$5001,"&lt;&gt;")=0,"",SUMIFS(BD!$V$3:$V$5001,BD!$A$3:$A$5001,P$3,BD!$B$3:$B$5001,$A$173)))</f>
        <v/>
      </c>
      <c r="Q178" s="185" t="str">
        <f>IF(Q$3="","",IF(COUNTIFS(BD!$A$3:$A$5001,Q$3,BD!$B$3:$B$5001,$A$173,BD!$V$3:$V$5001,"&lt;&gt;")=0,"",SUMIFS(BD!$V$3:$V$5001,BD!$A$3:$A$5001,Q$3,BD!$B$3:$B$5001,$A$173)))</f>
        <v/>
      </c>
      <c r="R178" s="185" t="str">
        <f>IF(R$3="","",IF(COUNTIFS(BD!$A$3:$A$5001,R$3,BD!$B$3:$B$5001,$A$173,BD!$V$3:$V$5001,"&lt;&gt;")=0,"",SUMIFS(BD!$V$3:$V$5001,BD!$A$3:$A$5001,R$3,BD!$B$3:$B$5001,$A$173)))</f>
        <v/>
      </c>
      <c r="S178" s="185" t="str">
        <f>IF(S$3="","",IF(COUNTIFS(BD!$A$3:$A$5001,S$3,BD!$B$3:$B$5001,$A$173,BD!$V$3:$V$5001,"&lt;&gt;")=0,"",SUMIFS(BD!$V$3:$V$5001,BD!$A$3:$A$5001,S$3,BD!$B$3:$B$5001,$A$173)))</f>
        <v/>
      </c>
      <c r="T178" s="185" t="str">
        <f>IF(T$3="","",IF(COUNTIFS(BD!$A$3:$A$5001,T$3,BD!$B$3:$B$5001,$A$173,BD!$V$3:$V$5001,"&lt;&gt;")=0,"",SUMIFS(BD!$V$3:$V$5001,BD!$A$3:$A$5001,T$3,BD!$B$3:$B$5001,$A$173)))</f>
        <v/>
      </c>
      <c r="U178" s="185" t="str">
        <f>IF(U$3="","",IF(COUNTIFS(BD!$A$3:$A$5001,U$3,BD!$B$3:$B$5001,$A$173,BD!$V$3:$V$5001,"&lt;&gt;")=0,"",SUMIFS(BD!$V$3:$V$5001,BD!$A$3:$A$5001,U$3,BD!$B$3:$B$5001,$A$173)))</f>
        <v/>
      </c>
      <c r="V178" s="185" t="str">
        <f>IF(V$3="","",IF(COUNTIFS(BD!$A$3:$A$5001,V$3,BD!$B$3:$B$5001,$A$173,BD!$V$3:$V$5001,"&lt;&gt;")=0,"",SUMIFS(BD!$V$3:$V$5001,BD!$A$3:$A$5001,V$3,BD!$B$3:$B$5001,$A$173)))</f>
        <v/>
      </c>
      <c r="W178" s="185" t="str">
        <f>IF(W$3="","",IF(COUNTIFS(BD!$A$3:$A$5001,W$3,BD!$B$3:$B$5001,$A$173,BD!$V$3:$V$5001,"&lt;&gt;")=0,"",SUMIFS(BD!$V$3:$V$5001,BD!$A$3:$A$5001,W$3,BD!$B$3:$B$5001,$A$173)))</f>
        <v/>
      </c>
      <c r="X178" s="185" t="str">
        <f>IF(X$3="","",IF(COUNTIFS(BD!$A$3:$A$5001,X$3,BD!$B$3:$B$5001,$A$173,BD!$V$3:$V$5001,"&lt;&gt;")=0,"",SUMIFS(BD!$V$3:$V$5001,BD!$A$3:$A$5001,X$3,BD!$B$3:$B$5001,$A$173)))</f>
        <v/>
      </c>
      <c r="Y178" s="185" t="str">
        <f>IF(Y$3="","",IF(COUNTIFS(BD!$A$3:$A$5001,Y$3,BD!$B$3:$B$5001,$A$173,BD!$V$3:$V$5001,"&lt;&gt;")=0,"",SUMIFS(BD!$V$3:$V$5001,BD!$A$3:$A$5001,Y$3,BD!$B$3:$B$5001,$A$173)))</f>
        <v/>
      </c>
      <c r="Z178" s="185" t="str">
        <f>IF(Z$3="","",IF(COUNTIFS(BD!$A$3:$A$5001,Z$3,BD!$B$3:$B$5001,$A$173,BD!$V$3:$V$5001,"&lt;&gt;")=0,"",SUMIFS(BD!$V$3:$V$5001,BD!$A$3:$A$5001,Z$3,BD!$B$3:$B$5001,$A$173)))</f>
        <v/>
      </c>
      <c r="AA178" s="185" t="str">
        <f>IF(AA$3="","",IF(COUNTIFS(BD!$A$3:$A$5001,AA$3,BD!$B$3:$B$5001,$A$173,BD!$V$3:$V$5001,"&lt;&gt;")=0,"",SUMIFS(BD!$V$3:$V$5001,BD!$A$3:$A$5001,AA$3,BD!$B$3:$B$5001,$A$173)))</f>
        <v/>
      </c>
      <c r="AB178" s="185" t="str">
        <f>IF(AB$3="","",IF(COUNTIFS(BD!$A$3:$A$5001,AB$3,BD!$B$3:$B$5001,$A$173,BD!$V$3:$V$5001,"&lt;&gt;")=0,"",SUMIFS(BD!$V$3:$V$5001,BD!$A$3:$A$5001,AB$3,BD!$B$3:$B$5001,$A$173)))</f>
        <v/>
      </c>
      <c r="AC178" s="185" t="str">
        <f>IF(AC$3="","",IF(COUNTIFS(BD!$A$3:$A$5001,AC$3,BD!$B$3:$B$5001,$A$173,BD!$V$3:$V$5001,"&lt;&gt;")=0,"",SUMIFS(BD!$V$3:$V$5001,BD!$A$3:$A$5001,AC$3,BD!$B$3:$B$5001,$A$173)))</f>
        <v/>
      </c>
      <c r="AD178" s="185" t="str">
        <f>IF(AD$3="","",IF(COUNTIFS(BD!$A$3:$A$5001,AD$3,BD!$B$3:$B$5001,$A$173,BD!$V$3:$V$5001,"&lt;&gt;")=0,"",SUMIFS(BD!$V$3:$V$5001,BD!$A$3:$A$5001,AD$3,BD!$B$3:$B$5001,$A$173)))</f>
        <v/>
      </c>
      <c r="AE178" s="185" t="str">
        <f>IF(AE$3="","",IF(COUNTIFS(BD!$A$3:$A$5001,AE$3,BD!$B$3:$B$5001,$A$173,BD!$V$3:$V$5001,"&lt;&gt;")=0,"",SUMIFS(BD!$V$3:$V$5001,BD!$A$3:$A$5001,AE$3,BD!$B$3:$B$5001,$A$173)))</f>
        <v/>
      </c>
      <c r="AF178" s="185" t="str">
        <f>IF(AF$3="","",IF(COUNTIFS(BD!$A$3:$A$5001,AF$3,BD!$B$3:$B$5001,$A$173,BD!$V$3:$V$5001,"&lt;&gt;")=0,"",SUMIFS(BD!$V$3:$V$5001,BD!$A$3:$A$5001,AF$3,BD!$B$3:$B$5001,$A$173)))</f>
        <v/>
      </c>
      <c r="AG178" s="185" t="str">
        <f>IF(AG$3="","",IF(COUNTIFS(BD!$A$3:$A$5001,AG$3,BD!$B$3:$B$5001,$A$173,BD!$V$3:$V$5001,"&lt;&gt;")=0,"",SUMIFS(BD!$V$3:$V$5001,BD!$A$3:$A$5001,AG$3,BD!$B$3:$B$5001,$A$173)))</f>
        <v/>
      </c>
      <c r="AH178" s="185" t="str">
        <f>IF(AH$3="","",IF(COUNTIFS(BD!$A$3:$A$5001,AH$3,BD!$B$3:$B$5001,$A$173,BD!$V$3:$V$5001,"&lt;&gt;")=0,"",SUMIFS(BD!$V$3:$V$5001,BD!$A$3:$A$5001,AH$3,BD!$B$3:$B$5001,$A$173)))</f>
        <v/>
      </c>
      <c r="AI178" s="185" t="str">
        <f>IF(AI$3="","",IF(COUNTIFS(BD!$A$3:$A$5001,AI$3,BD!$B$3:$B$5001,$A$173,BD!$V$3:$V$5001,"&lt;&gt;")=0,"",SUMIFS(BD!$V$3:$V$5001,BD!$A$3:$A$5001,AI$3,BD!$B$3:$B$5001,$A$173)))</f>
        <v/>
      </c>
      <c r="AJ178" s="186" t="str">
        <f>IF(AJ$3="","",IF(COUNTIFS(BD!$A$3:$A$5001,AJ$3,BD!$B$3:$B$5001,$A$173,BD!$V$3:$V$5001,"&lt;&gt;")=0,"",SUMIFS(BD!$V$3:$V$5001,BD!$A$3:$A$5001,AJ$3,BD!$B$3:$B$5001,$A$173)))</f>
        <v/>
      </c>
      <c r="AK178" s="187" t="str">
        <f>IF(COUNT(F178:AJ178)=0,"",SUM(F178:AJ178))</f>
        <v/>
      </c>
    </row>
    <row r="179" ht="15.75" customHeight="1">
      <c r="A179" s="237"/>
      <c r="B179" s="231"/>
      <c r="C179" s="188" t="inlineStr">
        <is>
          <t xml:space="preserve">Backlog</t>
        </is>
      </c>
      <c r="D179" s="189" t="str">
        <f>IFERROR(1/(1/INDEX(BD!$AK$43:$AU$43,MATCH($A$173,BD!$AK$22:$AU$22,0))),"")</f>
        <v/>
      </c>
      <c r="E179" s="190"/>
      <c r="F179" s="191" t="str">
        <f>IF(F$3="","",IF(COUNTIFS(BD!$A$3:$A$5001,F$3,BD!$B$3:$B$5001,$A$173,BD!$W$3:$W$5001,"&lt;&gt;")=0,"",SUMIFS(BD!$W$3:$W$5001,BD!$A$3:$A$5001,F$3,BD!$B$3:$B$5001,$A$173)))</f>
        <v/>
      </c>
      <c r="G179" s="192" t="str">
        <f>IF(G$3="","",IF(COUNTIFS(BD!$A$3:$A$5001,G$3,BD!$B$3:$B$5001,$A$173,BD!$W$3:$W$5001,"&lt;&gt;")=0,"",SUMIFS(BD!$W$3:$W$5001,BD!$A$3:$A$5001,G$3,BD!$B$3:$B$5001,$A$173)))</f>
        <v/>
      </c>
      <c r="H179" s="192" t="str">
        <f>IF(H$3="","",IF(COUNTIFS(BD!$A$3:$A$5001,H$3,BD!$B$3:$B$5001,$A$173,BD!$W$3:$W$5001,"&lt;&gt;")=0,"",SUMIFS(BD!$W$3:$W$5001,BD!$A$3:$A$5001,H$3,BD!$B$3:$B$5001,$A$173)))</f>
        <v/>
      </c>
      <c r="I179" s="192" t="str">
        <f>IF(I$3="","",IF(COUNTIFS(BD!$A$3:$A$5001,I$3,BD!$B$3:$B$5001,$A$173,BD!$W$3:$W$5001,"&lt;&gt;")=0,"",SUMIFS(BD!$W$3:$W$5001,BD!$A$3:$A$5001,I$3,BD!$B$3:$B$5001,$A$173)))</f>
        <v/>
      </c>
      <c r="J179" s="192" t="str">
        <f>IF(J$3="","",IF(COUNTIFS(BD!$A$3:$A$5001,J$3,BD!$B$3:$B$5001,$A$173,BD!$W$3:$W$5001,"&lt;&gt;")=0,"",SUMIFS(BD!$W$3:$W$5001,BD!$A$3:$A$5001,J$3,BD!$B$3:$B$5001,$A$173)))</f>
        <v/>
      </c>
      <c r="K179" s="192" t="str">
        <f>IF(K$3="","",IF(COUNTIFS(BD!$A$3:$A$5001,K$3,BD!$B$3:$B$5001,$A$173,BD!$W$3:$W$5001,"&lt;&gt;")=0,"",SUMIFS(BD!$W$3:$W$5001,BD!$A$3:$A$5001,K$3,BD!$B$3:$B$5001,$A$173)))</f>
        <v/>
      </c>
      <c r="L179" s="192" t="str">
        <f>IF(L$3="","",IF(COUNTIFS(BD!$A$3:$A$5001,L$3,BD!$B$3:$B$5001,$A$173,BD!$W$3:$W$5001,"&lt;&gt;")=0,"",SUMIFS(BD!$W$3:$W$5001,BD!$A$3:$A$5001,L$3,BD!$B$3:$B$5001,$A$173)))</f>
        <v/>
      </c>
      <c r="M179" s="192" t="str">
        <f>IF(M$3="","",IF(COUNTIFS(BD!$A$3:$A$5001,M$3,BD!$B$3:$B$5001,$A$173,BD!$W$3:$W$5001,"&lt;&gt;")=0,"",SUMIFS(BD!$W$3:$W$5001,BD!$A$3:$A$5001,M$3,BD!$B$3:$B$5001,$A$173)))</f>
        <v/>
      </c>
      <c r="N179" s="192" t="str">
        <f>IF(N$3="","",IF(COUNTIFS(BD!$A$3:$A$5001,N$3,BD!$B$3:$B$5001,$A$173,BD!$W$3:$W$5001,"&lt;&gt;")=0,"",SUMIFS(BD!$W$3:$W$5001,BD!$A$3:$A$5001,N$3,BD!$B$3:$B$5001,$A$173)))</f>
        <v/>
      </c>
      <c r="O179" s="192" t="str">
        <f>IF(O$3="","",IF(COUNTIFS(BD!$A$3:$A$5001,O$3,BD!$B$3:$B$5001,$A$173,BD!$W$3:$W$5001,"&lt;&gt;")=0,"",SUMIFS(BD!$W$3:$W$5001,BD!$A$3:$A$5001,O$3,BD!$B$3:$B$5001,$A$173)))</f>
        <v/>
      </c>
      <c r="P179" s="192" t="str">
        <f>IF(P$3="","",IF(COUNTIFS(BD!$A$3:$A$5001,P$3,BD!$B$3:$B$5001,$A$173,BD!$W$3:$W$5001,"&lt;&gt;")=0,"",SUMIFS(BD!$W$3:$W$5001,BD!$A$3:$A$5001,P$3,BD!$B$3:$B$5001,$A$173)))</f>
        <v/>
      </c>
      <c r="Q179" s="192" t="str">
        <f>IF(Q$3="","",IF(COUNTIFS(BD!$A$3:$A$5001,Q$3,BD!$B$3:$B$5001,$A$173,BD!$W$3:$W$5001,"&lt;&gt;")=0,"",SUMIFS(BD!$W$3:$W$5001,BD!$A$3:$A$5001,Q$3,BD!$B$3:$B$5001,$A$173)))</f>
        <v/>
      </c>
      <c r="R179" s="192" t="str">
        <f>IF(R$3="","",IF(COUNTIFS(BD!$A$3:$A$5001,R$3,BD!$B$3:$B$5001,$A$173,BD!$W$3:$W$5001,"&lt;&gt;")=0,"",SUMIFS(BD!$W$3:$W$5001,BD!$A$3:$A$5001,R$3,BD!$B$3:$B$5001,$A$173)))</f>
        <v/>
      </c>
      <c r="S179" s="192" t="str">
        <f>IF(S$3="","",IF(COUNTIFS(BD!$A$3:$A$5001,S$3,BD!$B$3:$B$5001,$A$173,BD!$W$3:$W$5001,"&lt;&gt;")=0,"",SUMIFS(BD!$W$3:$W$5001,BD!$A$3:$A$5001,S$3,BD!$B$3:$B$5001,$A$173)))</f>
        <v/>
      </c>
      <c r="T179" s="192" t="str">
        <f>IF(T$3="","",IF(COUNTIFS(BD!$A$3:$A$5001,T$3,BD!$B$3:$B$5001,$A$173,BD!$W$3:$W$5001,"&lt;&gt;")=0,"",SUMIFS(BD!$W$3:$W$5001,BD!$A$3:$A$5001,T$3,BD!$B$3:$B$5001,$A$173)))</f>
        <v/>
      </c>
      <c r="U179" s="192" t="str">
        <f>IF(U$3="","",IF(COUNTIFS(BD!$A$3:$A$5001,U$3,BD!$B$3:$B$5001,$A$173,BD!$W$3:$W$5001,"&lt;&gt;")=0,"",SUMIFS(BD!$W$3:$W$5001,BD!$A$3:$A$5001,U$3,BD!$B$3:$B$5001,$A$173)))</f>
        <v/>
      </c>
      <c r="V179" s="192" t="str">
        <f>IF(V$3="","",IF(COUNTIFS(BD!$A$3:$A$5001,V$3,BD!$B$3:$B$5001,$A$173,BD!$W$3:$W$5001,"&lt;&gt;")=0,"",SUMIFS(BD!$W$3:$W$5001,BD!$A$3:$A$5001,V$3,BD!$B$3:$B$5001,$A$173)))</f>
        <v/>
      </c>
      <c r="W179" s="192" t="str">
        <f>IF(W$3="","",IF(COUNTIFS(BD!$A$3:$A$5001,W$3,BD!$B$3:$B$5001,$A$173,BD!$W$3:$W$5001,"&lt;&gt;")=0,"",SUMIFS(BD!$W$3:$W$5001,BD!$A$3:$A$5001,W$3,BD!$B$3:$B$5001,$A$173)))</f>
        <v/>
      </c>
      <c r="X179" s="192" t="str">
        <f>IF(X$3="","",IF(COUNTIFS(BD!$A$3:$A$5001,X$3,BD!$B$3:$B$5001,$A$173,BD!$W$3:$W$5001,"&lt;&gt;")=0,"",SUMIFS(BD!$W$3:$W$5001,BD!$A$3:$A$5001,X$3,BD!$B$3:$B$5001,$A$173)))</f>
        <v/>
      </c>
      <c r="Y179" s="192" t="str">
        <f>IF(Y$3="","",IF(COUNTIFS(BD!$A$3:$A$5001,Y$3,BD!$B$3:$B$5001,$A$173,BD!$W$3:$W$5001,"&lt;&gt;")=0,"",SUMIFS(BD!$W$3:$W$5001,BD!$A$3:$A$5001,Y$3,BD!$B$3:$B$5001,$A$173)))</f>
        <v/>
      </c>
      <c r="Z179" s="192" t="str">
        <f>IF(Z$3="","",IF(COUNTIFS(BD!$A$3:$A$5001,Z$3,BD!$B$3:$B$5001,$A$173,BD!$W$3:$W$5001,"&lt;&gt;")=0,"",SUMIFS(BD!$W$3:$W$5001,BD!$A$3:$A$5001,Z$3,BD!$B$3:$B$5001,$A$173)))</f>
        <v/>
      </c>
      <c r="AA179" s="192" t="str">
        <f>IF(AA$3="","",IF(COUNTIFS(BD!$A$3:$A$5001,AA$3,BD!$B$3:$B$5001,$A$173,BD!$W$3:$W$5001,"&lt;&gt;")=0,"",SUMIFS(BD!$W$3:$W$5001,BD!$A$3:$A$5001,AA$3,BD!$B$3:$B$5001,$A$173)))</f>
        <v/>
      </c>
      <c r="AB179" s="192" t="str">
        <f>IF(AB$3="","",IF(COUNTIFS(BD!$A$3:$A$5001,AB$3,BD!$B$3:$B$5001,$A$173,BD!$W$3:$W$5001,"&lt;&gt;")=0,"",SUMIFS(BD!$W$3:$W$5001,BD!$A$3:$A$5001,AB$3,BD!$B$3:$B$5001,$A$173)))</f>
        <v/>
      </c>
      <c r="AC179" s="192" t="str">
        <f>IF(AC$3="","",IF(COUNTIFS(BD!$A$3:$A$5001,AC$3,BD!$B$3:$B$5001,$A$173,BD!$W$3:$W$5001,"&lt;&gt;")=0,"",SUMIFS(BD!$W$3:$W$5001,BD!$A$3:$A$5001,AC$3,BD!$B$3:$B$5001,$A$173)))</f>
        <v/>
      </c>
      <c r="AD179" s="192" t="str">
        <f>IF(AD$3="","",IF(COUNTIFS(BD!$A$3:$A$5001,AD$3,BD!$B$3:$B$5001,$A$173,BD!$W$3:$W$5001,"&lt;&gt;")=0,"",SUMIFS(BD!$W$3:$W$5001,BD!$A$3:$A$5001,AD$3,BD!$B$3:$B$5001,$A$173)))</f>
        <v/>
      </c>
      <c r="AE179" s="192" t="str">
        <f>IF(AE$3="","",IF(COUNTIFS(BD!$A$3:$A$5001,AE$3,BD!$B$3:$B$5001,$A$173,BD!$W$3:$W$5001,"&lt;&gt;")=0,"",SUMIFS(BD!$W$3:$W$5001,BD!$A$3:$A$5001,AE$3,BD!$B$3:$B$5001,$A$173)))</f>
        <v/>
      </c>
      <c r="AF179" s="192" t="str">
        <f>IF(AF$3="","",IF(COUNTIFS(BD!$A$3:$A$5001,AF$3,BD!$B$3:$B$5001,$A$173,BD!$W$3:$W$5001,"&lt;&gt;")=0,"",SUMIFS(BD!$W$3:$W$5001,BD!$A$3:$A$5001,AF$3,BD!$B$3:$B$5001,$A$173)))</f>
        <v/>
      </c>
      <c r="AG179" s="192" t="str">
        <f>IF(AG$3="","",IF(COUNTIFS(BD!$A$3:$A$5001,AG$3,BD!$B$3:$B$5001,$A$173,BD!$W$3:$W$5001,"&lt;&gt;")=0,"",SUMIFS(BD!$W$3:$W$5001,BD!$A$3:$A$5001,AG$3,BD!$B$3:$B$5001,$A$173)))</f>
        <v/>
      </c>
      <c r="AH179" s="192" t="str">
        <f>IF(AH$3="","",IF(COUNTIFS(BD!$A$3:$A$5001,AH$3,BD!$B$3:$B$5001,$A$173,BD!$W$3:$W$5001,"&lt;&gt;")=0,"",SUMIFS(BD!$W$3:$W$5001,BD!$A$3:$A$5001,AH$3,BD!$B$3:$B$5001,$A$173)))</f>
        <v/>
      </c>
      <c r="AI179" s="192" t="str">
        <f>IF(AI$3="","",IF(COUNTIFS(BD!$A$3:$A$5001,AI$3,BD!$B$3:$B$5001,$A$173,BD!$W$3:$W$5001,"&lt;&gt;")=0,"",SUMIFS(BD!$W$3:$W$5001,BD!$A$3:$A$5001,AI$3,BD!$B$3:$B$5001,$A$173)))</f>
        <v/>
      </c>
      <c r="AJ179" s="193" t="str">
        <f>IF(AJ$3="","",IF(COUNTIFS(BD!$A$3:$A$5001,AJ$3,BD!$B$3:$B$5001,$A$173,BD!$W$3:$W$5001,"&lt;&gt;")=0,"",SUMIFS(BD!$W$3:$W$5001,BD!$A$3:$A$5001,AJ$3,BD!$B$3:$B$5001,$A$173)))</f>
        <v/>
      </c>
      <c r="AK179" s="189" t="str">
        <f>IFERROR(LOOKUP(9.99E+307,F179:AJ179),"")</f>
        <v/>
      </c>
    </row>
    <row r="180" ht="15.75" customHeight="1">
      <c r="A180" s="237"/>
      <c r="B180" s="225" t="inlineStr">
        <is>
          <t xml:space="preserve">OCUPAÇÃO (P.P)</t>
        </is>
      </c>
      <c r="C180" s="148" t="inlineStr">
        <is>
          <t xml:space="preserve">Posições Disponíveis</t>
        </is>
      </c>
      <c r="D180" s="149" t="str">
        <f>IFERROR(1/(1/INDEX(BD!$AK$44:$AU$44,MATCH($A$173,BD!$AK$22:$AU$22,0))),"")</f>
        <v/>
      </c>
      <c r="E180" s="150"/>
      <c r="F180" s="151" t="str">
        <f>IF(F$3="","",IF(COUNTIFS(BD!$A$3:$A$5001,F$3,BD!$B$3:$B$5001,$A$173,BD!$X$3:$X$5001,"&lt;&gt;")=0,"",SUMIFS(BD!$X$3:$X$5001,BD!$A$3:$A$5001,F$3,BD!$B$3:$B$5001,$A$173)))</f>
        <v/>
      </c>
      <c r="G180" s="152" t="str">
        <f>IF(G$3="","",IF(COUNTIFS(BD!$A$3:$A$5001,G$3,BD!$B$3:$B$5001,$A$173,BD!$X$3:$X$5001,"&lt;&gt;")=0,"",SUMIFS(BD!$X$3:$X$5001,BD!$A$3:$A$5001,G$3,BD!$B$3:$B$5001,$A$173)))</f>
        <v/>
      </c>
      <c r="H180" s="152" t="str">
        <f>IF(H$3="","",IF(COUNTIFS(BD!$A$3:$A$5001,H$3,BD!$B$3:$B$5001,$A$173,BD!$X$3:$X$5001,"&lt;&gt;")=0,"",SUMIFS(BD!$X$3:$X$5001,BD!$A$3:$A$5001,H$3,BD!$B$3:$B$5001,$A$173)))</f>
        <v/>
      </c>
      <c r="I180" s="152" t="str">
        <f>IF(I$3="","",IF(COUNTIFS(BD!$A$3:$A$5001,I$3,BD!$B$3:$B$5001,$A$173,BD!$X$3:$X$5001,"&lt;&gt;")=0,"",SUMIFS(BD!$X$3:$X$5001,BD!$A$3:$A$5001,I$3,BD!$B$3:$B$5001,$A$173)))</f>
        <v/>
      </c>
      <c r="J180" s="152" t="str">
        <f>IF(J$3="","",IF(COUNTIFS(BD!$A$3:$A$5001,J$3,BD!$B$3:$B$5001,$A$173,BD!$X$3:$X$5001,"&lt;&gt;")=0,"",SUMIFS(BD!$X$3:$X$5001,BD!$A$3:$A$5001,J$3,BD!$B$3:$B$5001,$A$173)))</f>
        <v/>
      </c>
      <c r="K180" s="152" t="str">
        <f>IF(K$3="","",IF(COUNTIFS(BD!$A$3:$A$5001,K$3,BD!$B$3:$B$5001,$A$173,BD!$X$3:$X$5001,"&lt;&gt;")=0,"",SUMIFS(BD!$X$3:$X$5001,BD!$A$3:$A$5001,K$3,BD!$B$3:$B$5001,$A$173)))</f>
        <v/>
      </c>
      <c r="L180" s="152" t="str">
        <f>IF(L$3="","",IF(COUNTIFS(BD!$A$3:$A$5001,L$3,BD!$B$3:$B$5001,$A$173,BD!$X$3:$X$5001,"&lt;&gt;")=0,"",SUMIFS(BD!$X$3:$X$5001,BD!$A$3:$A$5001,L$3,BD!$B$3:$B$5001,$A$173)))</f>
        <v/>
      </c>
      <c r="M180" s="152" t="str">
        <f>IF(M$3="","",IF(COUNTIFS(BD!$A$3:$A$5001,M$3,BD!$B$3:$B$5001,$A$173,BD!$X$3:$X$5001,"&lt;&gt;")=0,"",SUMIFS(BD!$X$3:$X$5001,BD!$A$3:$A$5001,M$3,BD!$B$3:$B$5001,$A$173)))</f>
        <v/>
      </c>
      <c r="N180" s="152" t="str">
        <f>IF(N$3="","",IF(COUNTIFS(BD!$A$3:$A$5001,N$3,BD!$B$3:$B$5001,$A$173,BD!$X$3:$X$5001,"&lt;&gt;")=0,"",SUMIFS(BD!$X$3:$X$5001,BD!$A$3:$A$5001,N$3,BD!$B$3:$B$5001,$A$173)))</f>
        <v/>
      </c>
      <c r="O180" s="152" t="str">
        <f>IF(O$3="","",IF(COUNTIFS(BD!$A$3:$A$5001,O$3,BD!$B$3:$B$5001,$A$173,BD!$X$3:$X$5001,"&lt;&gt;")=0,"",SUMIFS(BD!$X$3:$X$5001,BD!$A$3:$A$5001,O$3,BD!$B$3:$B$5001,$A$173)))</f>
        <v/>
      </c>
      <c r="P180" s="152" t="str">
        <f>IF(P$3="","",IF(COUNTIFS(BD!$A$3:$A$5001,P$3,BD!$B$3:$B$5001,$A$173,BD!$X$3:$X$5001,"&lt;&gt;")=0,"",SUMIFS(BD!$X$3:$X$5001,BD!$A$3:$A$5001,P$3,BD!$B$3:$B$5001,$A$173)))</f>
        <v/>
      </c>
      <c r="Q180" s="152" t="str">
        <f>IF(Q$3="","",IF(COUNTIFS(BD!$A$3:$A$5001,Q$3,BD!$B$3:$B$5001,$A$173,BD!$X$3:$X$5001,"&lt;&gt;")=0,"",SUMIFS(BD!$X$3:$X$5001,BD!$A$3:$A$5001,Q$3,BD!$B$3:$B$5001,$A$173)))</f>
        <v/>
      </c>
      <c r="R180" s="152" t="str">
        <f>IF(R$3="","",IF(COUNTIFS(BD!$A$3:$A$5001,R$3,BD!$B$3:$B$5001,$A$173,BD!$X$3:$X$5001,"&lt;&gt;")=0,"",SUMIFS(BD!$X$3:$X$5001,BD!$A$3:$A$5001,R$3,BD!$B$3:$B$5001,$A$173)))</f>
        <v/>
      </c>
      <c r="S180" s="152" t="str">
        <f>IF(S$3="","",IF(COUNTIFS(BD!$A$3:$A$5001,S$3,BD!$B$3:$B$5001,$A$173,BD!$X$3:$X$5001,"&lt;&gt;")=0,"",SUMIFS(BD!$X$3:$X$5001,BD!$A$3:$A$5001,S$3,BD!$B$3:$B$5001,$A$173)))</f>
        <v/>
      </c>
      <c r="T180" s="152" t="str">
        <f>IF(T$3="","",IF(COUNTIFS(BD!$A$3:$A$5001,T$3,BD!$B$3:$B$5001,$A$173,BD!$X$3:$X$5001,"&lt;&gt;")=0,"",SUMIFS(BD!$X$3:$X$5001,BD!$A$3:$A$5001,T$3,BD!$B$3:$B$5001,$A$173)))</f>
        <v/>
      </c>
      <c r="U180" s="152" t="str">
        <f>IF(U$3="","",IF(COUNTIFS(BD!$A$3:$A$5001,U$3,BD!$B$3:$B$5001,$A$173,BD!$X$3:$X$5001,"&lt;&gt;")=0,"",SUMIFS(BD!$X$3:$X$5001,BD!$A$3:$A$5001,U$3,BD!$B$3:$B$5001,$A$173)))</f>
        <v/>
      </c>
      <c r="V180" s="152" t="str">
        <f>IF(V$3="","",IF(COUNTIFS(BD!$A$3:$A$5001,V$3,BD!$B$3:$B$5001,$A$173,BD!$X$3:$X$5001,"&lt;&gt;")=0,"",SUMIFS(BD!$X$3:$X$5001,BD!$A$3:$A$5001,V$3,BD!$B$3:$B$5001,$A$173)))</f>
        <v/>
      </c>
      <c r="W180" s="152" t="str">
        <f>IF(W$3="","",IF(COUNTIFS(BD!$A$3:$A$5001,W$3,BD!$B$3:$B$5001,$A$173,BD!$X$3:$X$5001,"&lt;&gt;")=0,"",SUMIFS(BD!$X$3:$X$5001,BD!$A$3:$A$5001,W$3,BD!$B$3:$B$5001,$A$173)))</f>
        <v/>
      </c>
      <c r="X180" s="152" t="str">
        <f>IF(X$3="","",IF(COUNTIFS(BD!$A$3:$A$5001,X$3,BD!$B$3:$B$5001,$A$173,BD!$X$3:$X$5001,"&lt;&gt;")=0,"",SUMIFS(BD!$X$3:$X$5001,BD!$A$3:$A$5001,X$3,BD!$B$3:$B$5001,$A$173)))</f>
        <v/>
      </c>
      <c r="Y180" s="152" t="str">
        <f>IF(Y$3="","",IF(COUNTIFS(BD!$A$3:$A$5001,Y$3,BD!$B$3:$B$5001,$A$173,BD!$X$3:$X$5001,"&lt;&gt;")=0,"",SUMIFS(BD!$X$3:$X$5001,BD!$A$3:$A$5001,Y$3,BD!$B$3:$B$5001,$A$173)))</f>
        <v/>
      </c>
      <c r="Z180" s="152" t="str">
        <f>IF(Z$3="","",IF(COUNTIFS(BD!$A$3:$A$5001,Z$3,BD!$B$3:$B$5001,$A$173,BD!$X$3:$X$5001,"&lt;&gt;")=0,"",SUMIFS(BD!$X$3:$X$5001,BD!$A$3:$A$5001,Z$3,BD!$B$3:$B$5001,$A$173)))</f>
        <v/>
      </c>
      <c r="AA180" s="152" t="str">
        <f>IF(AA$3="","",IF(COUNTIFS(BD!$A$3:$A$5001,AA$3,BD!$B$3:$B$5001,$A$173,BD!$X$3:$X$5001,"&lt;&gt;")=0,"",SUMIFS(BD!$X$3:$X$5001,BD!$A$3:$A$5001,AA$3,BD!$B$3:$B$5001,$A$173)))</f>
        <v/>
      </c>
      <c r="AB180" s="152" t="str">
        <f>IF(AB$3="","",IF(COUNTIFS(BD!$A$3:$A$5001,AB$3,BD!$B$3:$B$5001,$A$173,BD!$X$3:$X$5001,"&lt;&gt;")=0,"",SUMIFS(BD!$X$3:$X$5001,BD!$A$3:$A$5001,AB$3,BD!$B$3:$B$5001,$A$173)))</f>
        <v/>
      </c>
      <c r="AC180" s="152" t="str">
        <f>IF(AC$3="","",IF(COUNTIFS(BD!$A$3:$A$5001,AC$3,BD!$B$3:$B$5001,$A$173,BD!$X$3:$X$5001,"&lt;&gt;")=0,"",SUMIFS(BD!$X$3:$X$5001,BD!$A$3:$A$5001,AC$3,BD!$B$3:$B$5001,$A$173)))</f>
        <v/>
      </c>
      <c r="AD180" s="152" t="str">
        <f>IF(AD$3="","",IF(COUNTIFS(BD!$A$3:$A$5001,AD$3,BD!$B$3:$B$5001,$A$173,BD!$X$3:$X$5001,"&lt;&gt;")=0,"",SUMIFS(BD!$X$3:$X$5001,BD!$A$3:$A$5001,AD$3,BD!$B$3:$B$5001,$A$173)))</f>
        <v/>
      </c>
      <c r="AE180" s="152" t="str">
        <f>IF(AE$3="","",IF(COUNTIFS(BD!$A$3:$A$5001,AE$3,BD!$B$3:$B$5001,$A$173,BD!$X$3:$X$5001,"&lt;&gt;")=0,"",SUMIFS(BD!$X$3:$X$5001,BD!$A$3:$A$5001,AE$3,BD!$B$3:$B$5001,$A$173)))</f>
        <v/>
      </c>
      <c r="AF180" s="152" t="str">
        <f>IF(AF$3="","",IF(COUNTIFS(BD!$A$3:$A$5001,AF$3,BD!$B$3:$B$5001,$A$173,BD!$X$3:$X$5001,"&lt;&gt;")=0,"",SUMIFS(BD!$X$3:$X$5001,BD!$A$3:$A$5001,AF$3,BD!$B$3:$B$5001,$A$173)))</f>
        <v/>
      </c>
      <c r="AG180" s="152" t="str">
        <f>IF(AG$3="","",IF(COUNTIFS(BD!$A$3:$A$5001,AG$3,BD!$B$3:$B$5001,$A$173,BD!$X$3:$X$5001,"&lt;&gt;")=0,"",SUMIFS(BD!$X$3:$X$5001,BD!$A$3:$A$5001,AG$3,BD!$B$3:$B$5001,$A$173)))</f>
        <v/>
      </c>
      <c r="AH180" s="152" t="str">
        <f>IF(AH$3="","",IF(COUNTIFS(BD!$A$3:$A$5001,AH$3,BD!$B$3:$B$5001,$A$173,BD!$X$3:$X$5001,"&lt;&gt;")=0,"",SUMIFS(BD!$X$3:$X$5001,BD!$A$3:$A$5001,AH$3,BD!$B$3:$B$5001,$A$173)))</f>
        <v/>
      </c>
      <c r="AI180" s="152" t="str">
        <f>IF(AI$3="","",IF(COUNTIFS(BD!$A$3:$A$5001,AI$3,BD!$B$3:$B$5001,$A$173,BD!$X$3:$X$5001,"&lt;&gt;")=0,"",SUMIFS(BD!$X$3:$X$5001,BD!$A$3:$A$5001,AI$3,BD!$B$3:$B$5001,$A$173)))</f>
        <v/>
      </c>
      <c r="AJ180" s="153" t="str">
        <f>IF(AJ$3="","",IF(COUNTIFS(BD!$A$3:$A$5001,AJ$3,BD!$B$3:$B$5001,$A$173,BD!$X$3:$X$5001,"&lt;&gt;")=0,"",SUMIFS(BD!$X$3:$X$5001,BD!$A$3:$A$5001,AJ$3,BD!$B$3:$B$5001,$A$173)))</f>
        <v/>
      </c>
      <c r="AK180" s="154" t="str">
        <f>IF(COUNT(F180:AJ180)&gt;0,LOOKUP(9.99E+307,F180:AJ180),IFERROR(IF(INDEX(BD!$AH$3:$AH$5001,MATCH($A$173,BD!$B$3:$B$5001,0))&amp;""="Contrato","",INDEX(BD!$AH$3:$AH$5001,MATCH($A$173,BD!$B$3:$B$5001,0))&amp;""),""))</f>
        <v/>
      </c>
    </row>
    <row r="181" ht="15.75" customHeight="1">
      <c r="A181" s="237"/>
      <c r="B181" s="232"/>
      <c r="C181" s="194" t="inlineStr">
        <is>
          <t xml:space="preserve">Posições Ocupadas</t>
        </is>
      </c>
      <c r="D181" s="195" t="str">
        <f>IFERROR(1/(1/INDEX(BD!$AK$45:$AU$45,MATCH($A$173,BD!$AK$22:$AU$22,0))),"")</f>
        <v/>
      </c>
      <c r="E181" s="196"/>
      <c r="F181" s="197" t="str">
        <f>IF(F$3="","",IF(COUNTIFS(BD!$A$3:$A$5001,F$3,BD!$B$3:$B$5001,$A$173,BD!$Y$3:$Y$5001,"&lt;&gt;")=0,"",SUMIFS(BD!$Y$3:$Y$5001,BD!$A$3:$A$5001,F$3,BD!$B$3:$B$5001,$A$173)))</f>
        <v/>
      </c>
      <c r="G181" s="198" t="str">
        <f>IF(G$3="","",IF(COUNTIFS(BD!$A$3:$A$5001,G$3,BD!$B$3:$B$5001,$A$173,BD!$Y$3:$Y$5001,"&lt;&gt;")=0,"",SUMIFS(BD!$Y$3:$Y$5001,BD!$A$3:$A$5001,G$3,BD!$B$3:$B$5001,$A$173)))</f>
        <v/>
      </c>
      <c r="H181" s="198" t="str">
        <f>IF(H$3="","",IF(COUNTIFS(BD!$A$3:$A$5001,H$3,BD!$B$3:$B$5001,$A$173,BD!$Y$3:$Y$5001,"&lt;&gt;")=0,"",SUMIFS(BD!$Y$3:$Y$5001,BD!$A$3:$A$5001,H$3,BD!$B$3:$B$5001,$A$173)))</f>
        <v/>
      </c>
      <c r="I181" s="198" t="str">
        <f>IF(I$3="","",IF(COUNTIFS(BD!$A$3:$A$5001,I$3,BD!$B$3:$B$5001,$A$173,BD!$Y$3:$Y$5001,"&lt;&gt;")=0,"",SUMIFS(BD!$Y$3:$Y$5001,BD!$A$3:$A$5001,I$3,BD!$B$3:$B$5001,$A$173)))</f>
        <v/>
      </c>
      <c r="J181" s="198" t="str">
        <f>IF(J$3="","",IF(COUNTIFS(BD!$A$3:$A$5001,J$3,BD!$B$3:$B$5001,$A$173,BD!$Y$3:$Y$5001,"&lt;&gt;")=0,"",SUMIFS(BD!$Y$3:$Y$5001,BD!$A$3:$A$5001,J$3,BD!$B$3:$B$5001,$A$173)))</f>
        <v/>
      </c>
      <c r="K181" s="198" t="str">
        <f>IF(K$3="","",IF(COUNTIFS(BD!$A$3:$A$5001,K$3,BD!$B$3:$B$5001,$A$173,BD!$Y$3:$Y$5001,"&lt;&gt;")=0,"",SUMIFS(BD!$Y$3:$Y$5001,BD!$A$3:$A$5001,K$3,BD!$B$3:$B$5001,$A$173)))</f>
        <v/>
      </c>
      <c r="L181" s="198" t="str">
        <f>IF(L$3="","",IF(COUNTIFS(BD!$A$3:$A$5001,L$3,BD!$B$3:$B$5001,$A$173,BD!$Y$3:$Y$5001,"&lt;&gt;")=0,"",SUMIFS(BD!$Y$3:$Y$5001,BD!$A$3:$A$5001,L$3,BD!$B$3:$B$5001,$A$173)))</f>
        <v/>
      </c>
      <c r="M181" s="198" t="str">
        <f>IF(M$3="","",IF(COUNTIFS(BD!$A$3:$A$5001,M$3,BD!$B$3:$B$5001,$A$173,BD!$Y$3:$Y$5001,"&lt;&gt;")=0,"",SUMIFS(BD!$Y$3:$Y$5001,BD!$A$3:$A$5001,M$3,BD!$B$3:$B$5001,$A$173)))</f>
        <v/>
      </c>
      <c r="N181" s="198" t="str">
        <f>IF(N$3="","",IF(COUNTIFS(BD!$A$3:$A$5001,N$3,BD!$B$3:$B$5001,$A$173,BD!$Y$3:$Y$5001,"&lt;&gt;")=0,"",SUMIFS(BD!$Y$3:$Y$5001,BD!$A$3:$A$5001,N$3,BD!$B$3:$B$5001,$A$173)))</f>
        <v/>
      </c>
      <c r="O181" s="198" t="str">
        <f>IF(O$3="","",IF(COUNTIFS(BD!$A$3:$A$5001,O$3,BD!$B$3:$B$5001,$A$173,BD!$Y$3:$Y$5001,"&lt;&gt;")=0,"",SUMIFS(BD!$Y$3:$Y$5001,BD!$A$3:$A$5001,O$3,BD!$B$3:$B$5001,$A$173)))</f>
        <v/>
      </c>
      <c r="P181" s="198" t="str">
        <f>IF(P$3="","",IF(COUNTIFS(BD!$A$3:$A$5001,P$3,BD!$B$3:$B$5001,$A$173,BD!$Y$3:$Y$5001,"&lt;&gt;")=0,"",SUMIFS(BD!$Y$3:$Y$5001,BD!$A$3:$A$5001,P$3,BD!$B$3:$B$5001,$A$173)))</f>
        <v/>
      </c>
      <c r="Q181" s="198" t="str">
        <f>IF(Q$3="","",IF(COUNTIFS(BD!$A$3:$A$5001,Q$3,BD!$B$3:$B$5001,$A$173,BD!$Y$3:$Y$5001,"&lt;&gt;")=0,"",SUMIFS(BD!$Y$3:$Y$5001,BD!$A$3:$A$5001,Q$3,BD!$B$3:$B$5001,$A$173)))</f>
        <v/>
      </c>
      <c r="R181" s="198" t="str">
        <f>IF(R$3="","",IF(COUNTIFS(BD!$A$3:$A$5001,R$3,BD!$B$3:$B$5001,$A$173,BD!$Y$3:$Y$5001,"&lt;&gt;")=0,"",SUMIFS(BD!$Y$3:$Y$5001,BD!$A$3:$A$5001,R$3,BD!$B$3:$B$5001,$A$173)))</f>
        <v/>
      </c>
      <c r="S181" s="198" t="str">
        <f>IF(S$3="","",IF(COUNTIFS(BD!$A$3:$A$5001,S$3,BD!$B$3:$B$5001,$A$173,BD!$Y$3:$Y$5001,"&lt;&gt;")=0,"",SUMIFS(BD!$Y$3:$Y$5001,BD!$A$3:$A$5001,S$3,BD!$B$3:$B$5001,$A$173)))</f>
        <v/>
      </c>
      <c r="T181" s="198" t="str">
        <f>IF(T$3="","",IF(COUNTIFS(BD!$A$3:$A$5001,T$3,BD!$B$3:$B$5001,$A$173,BD!$Y$3:$Y$5001,"&lt;&gt;")=0,"",SUMIFS(BD!$Y$3:$Y$5001,BD!$A$3:$A$5001,T$3,BD!$B$3:$B$5001,$A$173)))</f>
        <v/>
      </c>
      <c r="U181" s="198" t="str">
        <f>IF(U$3="","",IF(COUNTIFS(BD!$A$3:$A$5001,U$3,BD!$B$3:$B$5001,$A$173,BD!$Y$3:$Y$5001,"&lt;&gt;")=0,"",SUMIFS(BD!$Y$3:$Y$5001,BD!$A$3:$A$5001,U$3,BD!$B$3:$B$5001,$A$173)))</f>
        <v/>
      </c>
      <c r="V181" s="198" t="str">
        <f>IF(V$3="","",IF(COUNTIFS(BD!$A$3:$A$5001,V$3,BD!$B$3:$B$5001,$A$173,BD!$Y$3:$Y$5001,"&lt;&gt;")=0,"",SUMIFS(BD!$Y$3:$Y$5001,BD!$A$3:$A$5001,V$3,BD!$B$3:$B$5001,$A$173)))</f>
        <v/>
      </c>
      <c r="W181" s="198" t="str">
        <f>IF(W$3="","",IF(COUNTIFS(BD!$A$3:$A$5001,W$3,BD!$B$3:$B$5001,$A$173,BD!$Y$3:$Y$5001,"&lt;&gt;")=0,"",SUMIFS(BD!$Y$3:$Y$5001,BD!$A$3:$A$5001,W$3,BD!$B$3:$B$5001,$A$173)))</f>
        <v/>
      </c>
      <c r="X181" s="198" t="str">
        <f>IF(X$3="","",IF(COUNTIFS(BD!$A$3:$A$5001,X$3,BD!$B$3:$B$5001,$A$173,BD!$Y$3:$Y$5001,"&lt;&gt;")=0,"",SUMIFS(BD!$Y$3:$Y$5001,BD!$A$3:$A$5001,X$3,BD!$B$3:$B$5001,$A$173)))</f>
        <v/>
      </c>
      <c r="Y181" s="198" t="str">
        <f>IF(Y$3="","",IF(COUNTIFS(BD!$A$3:$A$5001,Y$3,BD!$B$3:$B$5001,$A$173,BD!$Y$3:$Y$5001,"&lt;&gt;")=0,"",SUMIFS(BD!$Y$3:$Y$5001,BD!$A$3:$A$5001,Y$3,BD!$B$3:$B$5001,$A$173)))</f>
        <v/>
      </c>
      <c r="Z181" s="198" t="str">
        <f>IF(Z$3="","",IF(COUNTIFS(BD!$A$3:$A$5001,Z$3,BD!$B$3:$B$5001,$A$173,BD!$Y$3:$Y$5001,"&lt;&gt;")=0,"",SUMIFS(BD!$Y$3:$Y$5001,BD!$A$3:$A$5001,Z$3,BD!$B$3:$B$5001,$A$173)))</f>
        <v/>
      </c>
      <c r="AA181" s="198" t="str">
        <f>IF(AA$3="","",IF(COUNTIFS(BD!$A$3:$A$5001,AA$3,BD!$B$3:$B$5001,$A$173,BD!$Y$3:$Y$5001,"&lt;&gt;")=0,"",SUMIFS(BD!$Y$3:$Y$5001,BD!$A$3:$A$5001,AA$3,BD!$B$3:$B$5001,$A$173)))</f>
        <v/>
      </c>
      <c r="AB181" s="198" t="str">
        <f>IF(AB$3="","",IF(COUNTIFS(BD!$A$3:$A$5001,AB$3,BD!$B$3:$B$5001,$A$173,BD!$Y$3:$Y$5001,"&lt;&gt;")=0,"",SUMIFS(BD!$Y$3:$Y$5001,BD!$A$3:$A$5001,AB$3,BD!$B$3:$B$5001,$A$173)))</f>
        <v/>
      </c>
      <c r="AC181" s="198" t="str">
        <f>IF(AC$3="","",IF(COUNTIFS(BD!$A$3:$A$5001,AC$3,BD!$B$3:$B$5001,$A$173,BD!$Y$3:$Y$5001,"&lt;&gt;")=0,"",SUMIFS(BD!$Y$3:$Y$5001,BD!$A$3:$A$5001,AC$3,BD!$B$3:$B$5001,$A$173)))</f>
        <v/>
      </c>
      <c r="AD181" s="198" t="str">
        <f>IF(AD$3="","",IF(COUNTIFS(BD!$A$3:$A$5001,AD$3,BD!$B$3:$B$5001,$A$173,BD!$Y$3:$Y$5001,"&lt;&gt;")=0,"",SUMIFS(BD!$Y$3:$Y$5001,BD!$A$3:$A$5001,AD$3,BD!$B$3:$B$5001,$A$173)))</f>
        <v/>
      </c>
      <c r="AE181" s="198" t="str">
        <f>IF(AE$3="","",IF(COUNTIFS(BD!$A$3:$A$5001,AE$3,BD!$B$3:$B$5001,$A$173,BD!$Y$3:$Y$5001,"&lt;&gt;")=0,"",SUMIFS(BD!$Y$3:$Y$5001,BD!$A$3:$A$5001,AE$3,BD!$B$3:$B$5001,$A$173)))</f>
        <v/>
      </c>
      <c r="AF181" s="198" t="str">
        <f>IF(AF$3="","",IF(COUNTIFS(BD!$A$3:$A$5001,AF$3,BD!$B$3:$B$5001,$A$173,BD!$Y$3:$Y$5001,"&lt;&gt;")=0,"",SUMIFS(BD!$Y$3:$Y$5001,BD!$A$3:$A$5001,AF$3,BD!$B$3:$B$5001,$A$173)))</f>
        <v/>
      </c>
      <c r="AG181" s="198" t="str">
        <f>IF(AG$3="","",IF(COUNTIFS(BD!$A$3:$A$5001,AG$3,BD!$B$3:$B$5001,$A$173,BD!$Y$3:$Y$5001,"&lt;&gt;")=0,"",SUMIFS(BD!$Y$3:$Y$5001,BD!$A$3:$A$5001,AG$3,BD!$B$3:$B$5001,$A$173)))</f>
        <v/>
      </c>
      <c r="AH181" s="198" t="str">
        <f>IF(AH$3="","",IF(COUNTIFS(BD!$A$3:$A$5001,AH$3,BD!$B$3:$B$5001,$A$173,BD!$Y$3:$Y$5001,"&lt;&gt;")=0,"",SUMIFS(BD!$Y$3:$Y$5001,BD!$A$3:$A$5001,AH$3,BD!$B$3:$B$5001,$A$173)))</f>
        <v/>
      </c>
      <c r="AI181" s="198" t="str">
        <f>IF(AI$3="","",IF(COUNTIFS(BD!$A$3:$A$5001,AI$3,BD!$B$3:$B$5001,$A$173,BD!$Y$3:$Y$5001,"&lt;&gt;")=0,"",SUMIFS(BD!$Y$3:$Y$5001,BD!$A$3:$A$5001,AI$3,BD!$B$3:$B$5001,$A$173)))</f>
        <v/>
      </c>
      <c r="AJ181" s="199" t="str">
        <f>IF(AJ$3="","",IF(COUNTIFS(BD!$A$3:$A$5001,AJ$3,BD!$B$3:$B$5001,$A$173,BD!$Y$3:$Y$5001,"&lt;&gt;")=0,"",SUMIFS(BD!$Y$3:$Y$5001,BD!$A$3:$A$5001,AJ$3,BD!$B$3:$B$5001,$A$173)))</f>
        <v/>
      </c>
      <c r="AK181" s="200" t="str">
        <f>IFERROR(LOOKUP(9.99E+307,F181:AJ181),"")</f>
        <v/>
      </c>
    </row>
    <row r="182" ht="15.75" customHeight="1">
      <c r="A182" s="237"/>
      <c r="B182" s="226"/>
      <c r="C182" s="155" t="inlineStr">
        <is>
          <t xml:space="preserve">Taxa de Ocupação</t>
        </is>
      </c>
      <c r="D182" s="201" t="str">
        <f>IFERROR(1/(1/INDEX(BD!$AK$46:$AU$46,MATCH($A$173,BD!$AK$22:$AU$22,0))),"")</f>
        <v/>
      </c>
      <c r="E182" s="157"/>
      <c r="F182" s="202" t="str">
        <f>IF(AND(ISNUMBER(F180),ISNUMBER(F181)),IF(F180&gt;0,F181/F180,""),"")</f>
        <v/>
      </c>
      <c r="G182" s="203" t="str">
        <f>IF(AND(ISNUMBER(G180),ISNUMBER(G181)),IF(G180&gt;0,G181/G180,""),"")</f>
        <v/>
      </c>
      <c r="H182" s="203" t="str">
        <f>IF(AND(ISNUMBER(H180),ISNUMBER(H181)),IF(H180&gt;0,H181/H180,""),"")</f>
        <v/>
      </c>
      <c r="I182" s="203" t="str">
        <f>IF(AND(ISNUMBER(I180),ISNUMBER(I181)),IF(I180&gt;0,I181/I180,""),"")</f>
        <v/>
      </c>
      <c r="J182" s="203" t="str">
        <f>IF(AND(ISNUMBER(J180),ISNUMBER(J181)),IF(J180&gt;0,J181/J180,""),"")</f>
        <v/>
      </c>
      <c r="K182" s="203" t="str">
        <f>IF(AND(ISNUMBER(K180),ISNUMBER(K181)),IF(K180&gt;0,K181/K180,""),"")</f>
        <v/>
      </c>
      <c r="L182" s="203" t="str">
        <f>IF(AND(ISNUMBER(L180),ISNUMBER(L181)),IF(L180&gt;0,L181/L180,""),"")</f>
        <v/>
      </c>
      <c r="M182" s="203" t="str">
        <f>IF(AND(ISNUMBER(M180),ISNUMBER(M181)),IF(M180&gt;0,M181/M180,""),"")</f>
        <v/>
      </c>
      <c r="N182" s="203" t="str">
        <f>IF(AND(ISNUMBER(N180),ISNUMBER(N181)),IF(N180&gt;0,N181/N180,""),"")</f>
        <v/>
      </c>
      <c r="O182" s="203" t="str">
        <f>IF(AND(ISNUMBER(O180),ISNUMBER(O181)),IF(O180&gt;0,O181/O180,""),"")</f>
        <v/>
      </c>
      <c r="P182" s="203" t="str">
        <f>IF(AND(ISNUMBER(P180),ISNUMBER(P181)),IF(P180&gt;0,P181/P180,""),"")</f>
        <v/>
      </c>
      <c r="Q182" s="203" t="str">
        <f>IF(AND(ISNUMBER(Q180),ISNUMBER(Q181)),IF(Q180&gt;0,Q181/Q180,""),"")</f>
        <v/>
      </c>
      <c r="R182" s="203" t="str">
        <f>IF(AND(ISNUMBER(R180),ISNUMBER(R181)),IF(R180&gt;0,R181/R180,""),"")</f>
        <v/>
      </c>
      <c r="S182" s="203" t="str">
        <f>IF(AND(ISNUMBER(S180),ISNUMBER(S181)),IF(S180&gt;0,S181/S180,""),"")</f>
        <v/>
      </c>
      <c r="T182" s="203" t="str">
        <f>IF(AND(ISNUMBER(T180),ISNUMBER(T181)),IF(T180&gt;0,T181/T180,""),"")</f>
        <v/>
      </c>
      <c r="U182" s="203" t="str">
        <f>IF(AND(ISNUMBER(U180),ISNUMBER(U181)),IF(U180&gt;0,U181/U180,""),"")</f>
        <v/>
      </c>
      <c r="V182" s="203" t="str">
        <f>IF(AND(ISNUMBER(V180),ISNUMBER(V181)),IF(V180&gt;0,V181/V180,""),"")</f>
        <v/>
      </c>
      <c r="W182" s="203" t="str">
        <f>IF(AND(ISNUMBER(W180),ISNUMBER(W181)),IF(W180&gt;0,W181/W180,""),"")</f>
        <v/>
      </c>
      <c r="X182" s="203" t="str">
        <f>IF(AND(ISNUMBER(X180),ISNUMBER(X181)),IF(X180&gt;0,X181/X180,""),"")</f>
        <v/>
      </c>
      <c r="Y182" s="203" t="str">
        <f>IF(AND(ISNUMBER(Y180),ISNUMBER(Y181)),IF(Y180&gt;0,Y181/Y180,""),"")</f>
        <v/>
      </c>
      <c r="Z182" s="203" t="str">
        <f>IF(AND(ISNUMBER(Z180),ISNUMBER(Z181)),IF(Z180&gt;0,Z181/Z180,""),"")</f>
        <v/>
      </c>
      <c r="AA182" s="203" t="str">
        <f>IF(AND(ISNUMBER(AA180),ISNUMBER(AA181)),IF(AA180&gt;0,AA181/AA180,""),"")</f>
        <v/>
      </c>
      <c r="AB182" s="203" t="str">
        <f>IF(AND(ISNUMBER(AB180),ISNUMBER(AB181)),IF(AB180&gt;0,AB181/AB180,""),"")</f>
        <v/>
      </c>
      <c r="AC182" s="203" t="str">
        <f>IF(AND(ISNUMBER(AC180),ISNUMBER(AC181)),IF(AC180&gt;0,AC181/AC180,""),"")</f>
        <v/>
      </c>
      <c r="AD182" s="203" t="str">
        <f>IF(AND(ISNUMBER(AD180),ISNUMBER(AD181)),IF(AD180&gt;0,AD181/AD180,""),"")</f>
        <v/>
      </c>
      <c r="AE182" s="203" t="str">
        <f>IF(AND(ISNUMBER(AE180),ISNUMBER(AE181)),IF(AE180&gt;0,AE181/AE180,""),"")</f>
        <v/>
      </c>
      <c r="AF182" s="203" t="str">
        <f>IF(AND(ISNUMBER(AF180),ISNUMBER(AF181)),IF(AF180&gt;0,AF181/AF180,""),"")</f>
        <v/>
      </c>
      <c r="AG182" s="203" t="str">
        <f>IF(AND(ISNUMBER(AG180),ISNUMBER(AG181)),IF(AG180&gt;0,AG181/AG180,""),"")</f>
        <v/>
      </c>
      <c r="AH182" s="203" t="str">
        <f>IF(AND(ISNUMBER(AH180),ISNUMBER(AH181)),IF(AH180&gt;0,AH181/AH180,""),"")</f>
        <v/>
      </c>
      <c r="AI182" s="203" t="str">
        <f>IF(AND(ISNUMBER(AI180),ISNUMBER(AI181)),IF(AI180&gt;0,AI181/AI180,""),"")</f>
        <v/>
      </c>
      <c r="AJ182" s="204" t="str">
        <f>IF(AND(ISNUMBER(AJ180),ISNUMBER(AJ181)),IF(AJ180&gt;0,AJ181/AJ180,""),"")</f>
        <v/>
      </c>
      <c r="AK182" s="201" t="str">
        <f>IF(AND(ISNUMBER(AK180),ISNUMBER(AK181)),IF(AK180&gt;0,AK181/AK180,""),"")</f>
        <v/>
      </c>
    </row>
    <row r="183" ht="15.75" customHeight="1">
      <c r="A183" s="237"/>
      <c r="B183" s="233" t="inlineStr">
        <is>
          <t xml:space="preserve">GENTE</t>
        </is>
      </c>
      <c r="C183" s="205" t="inlineStr">
        <is>
          <t xml:space="preserve">Efetivo Op.</t>
        </is>
      </c>
      <c r="D183" s="206" t="str">
        <f>IFERROR(1/(1/INDEX(BD!$AK$47:$AU$47,MATCH($A$173,BD!$AK$22:$AU$22,0))),"")</f>
        <v/>
      </c>
      <c r="E183" s="207"/>
      <c r="F183" s="208" t="str">
        <f>IF(F$3="","",IF(COUNTIFS(BD!$A$3:$A$5001,F$3,BD!$B$3:$B$5001,$A$173,BD!$Z$3:$Z$5001,"&lt;&gt;")=0,"",SUMIFS(BD!$Z$3:$Z$5001,BD!$A$3:$A$5001,F$3,BD!$B$3:$B$5001,$A$173)))</f>
        <v/>
      </c>
      <c r="G183" s="209" t="str">
        <f>IF(G$3="","",IF(COUNTIFS(BD!$A$3:$A$5001,G$3,BD!$B$3:$B$5001,$A$173,BD!$Z$3:$Z$5001,"&lt;&gt;")=0,"",SUMIFS(BD!$Z$3:$Z$5001,BD!$A$3:$A$5001,G$3,BD!$B$3:$B$5001,$A$173)))</f>
        <v/>
      </c>
      <c r="H183" s="209" t="str">
        <f>IF(H$3="","",IF(COUNTIFS(BD!$A$3:$A$5001,H$3,BD!$B$3:$B$5001,$A$173,BD!$Z$3:$Z$5001,"&lt;&gt;")=0,"",SUMIFS(BD!$Z$3:$Z$5001,BD!$A$3:$A$5001,H$3,BD!$B$3:$B$5001,$A$173)))</f>
        <v/>
      </c>
      <c r="I183" s="209" t="str">
        <f>IF(I$3="","",IF(COUNTIFS(BD!$A$3:$A$5001,I$3,BD!$B$3:$B$5001,$A$173,BD!$Z$3:$Z$5001,"&lt;&gt;")=0,"",SUMIFS(BD!$Z$3:$Z$5001,BD!$A$3:$A$5001,I$3,BD!$B$3:$B$5001,$A$173)))</f>
        <v/>
      </c>
      <c r="J183" s="209" t="str">
        <f>IF(J$3="","",IF(COUNTIFS(BD!$A$3:$A$5001,J$3,BD!$B$3:$B$5001,$A$173,BD!$Z$3:$Z$5001,"&lt;&gt;")=0,"",SUMIFS(BD!$Z$3:$Z$5001,BD!$A$3:$A$5001,J$3,BD!$B$3:$B$5001,$A$173)))</f>
        <v/>
      </c>
      <c r="K183" s="209" t="str">
        <f>IF(K$3="","",IF(COUNTIFS(BD!$A$3:$A$5001,K$3,BD!$B$3:$B$5001,$A$173,BD!$Z$3:$Z$5001,"&lt;&gt;")=0,"",SUMIFS(BD!$Z$3:$Z$5001,BD!$A$3:$A$5001,K$3,BD!$B$3:$B$5001,$A$173)))</f>
        <v/>
      </c>
      <c r="L183" s="209" t="str">
        <f>IF(L$3="","",IF(COUNTIFS(BD!$A$3:$A$5001,L$3,BD!$B$3:$B$5001,$A$173,BD!$Z$3:$Z$5001,"&lt;&gt;")=0,"",SUMIFS(BD!$Z$3:$Z$5001,BD!$A$3:$A$5001,L$3,BD!$B$3:$B$5001,$A$173)))</f>
        <v/>
      </c>
      <c r="M183" s="209" t="str">
        <f>IF(M$3="","",IF(COUNTIFS(BD!$A$3:$A$5001,M$3,BD!$B$3:$B$5001,$A$173,BD!$Z$3:$Z$5001,"&lt;&gt;")=0,"",SUMIFS(BD!$Z$3:$Z$5001,BD!$A$3:$A$5001,M$3,BD!$B$3:$B$5001,$A$173)))</f>
        <v/>
      </c>
      <c r="N183" s="209" t="str">
        <f>IF(N$3="","",IF(COUNTIFS(BD!$A$3:$A$5001,N$3,BD!$B$3:$B$5001,$A$173,BD!$Z$3:$Z$5001,"&lt;&gt;")=0,"",SUMIFS(BD!$Z$3:$Z$5001,BD!$A$3:$A$5001,N$3,BD!$B$3:$B$5001,$A$173)))</f>
        <v/>
      </c>
      <c r="O183" s="209" t="str">
        <f>IF(O$3="","",IF(COUNTIFS(BD!$A$3:$A$5001,O$3,BD!$B$3:$B$5001,$A$173,BD!$Z$3:$Z$5001,"&lt;&gt;")=0,"",SUMIFS(BD!$Z$3:$Z$5001,BD!$A$3:$A$5001,O$3,BD!$B$3:$B$5001,$A$173)))</f>
        <v/>
      </c>
      <c r="P183" s="209" t="str">
        <f>IF(P$3="","",IF(COUNTIFS(BD!$A$3:$A$5001,P$3,BD!$B$3:$B$5001,$A$173,BD!$Z$3:$Z$5001,"&lt;&gt;")=0,"",SUMIFS(BD!$Z$3:$Z$5001,BD!$A$3:$A$5001,P$3,BD!$B$3:$B$5001,$A$173)))</f>
        <v/>
      </c>
      <c r="Q183" s="209" t="str">
        <f>IF(Q$3="","",IF(COUNTIFS(BD!$A$3:$A$5001,Q$3,BD!$B$3:$B$5001,$A$173,BD!$Z$3:$Z$5001,"&lt;&gt;")=0,"",SUMIFS(BD!$Z$3:$Z$5001,BD!$A$3:$A$5001,Q$3,BD!$B$3:$B$5001,$A$173)))</f>
        <v/>
      </c>
      <c r="R183" s="209" t="str">
        <f>IF(R$3="","",IF(COUNTIFS(BD!$A$3:$A$5001,R$3,BD!$B$3:$B$5001,$A$173,BD!$Z$3:$Z$5001,"&lt;&gt;")=0,"",SUMIFS(BD!$Z$3:$Z$5001,BD!$A$3:$A$5001,R$3,BD!$B$3:$B$5001,$A$173)))</f>
        <v/>
      </c>
      <c r="S183" s="209" t="str">
        <f>IF(S$3="","",IF(COUNTIFS(BD!$A$3:$A$5001,S$3,BD!$B$3:$B$5001,$A$173,BD!$Z$3:$Z$5001,"&lt;&gt;")=0,"",SUMIFS(BD!$Z$3:$Z$5001,BD!$A$3:$A$5001,S$3,BD!$B$3:$B$5001,$A$173)))</f>
        <v/>
      </c>
      <c r="T183" s="209" t="str">
        <f>IF(T$3="","",IF(COUNTIFS(BD!$A$3:$A$5001,T$3,BD!$B$3:$B$5001,$A$173,BD!$Z$3:$Z$5001,"&lt;&gt;")=0,"",SUMIFS(BD!$Z$3:$Z$5001,BD!$A$3:$A$5001,T$3,BD!$B$3:$B$5001,$A$173)))</f>
        <v/>
      </c>
      <c r="U183" s="209" t="str">
        <f>IF(U$3="","",IF(COUNTIFS(BD!$A$3:$A$5001,U$3,BD!$B$3:$B$5001,$A$173,BD!$Z$3:$Z$5001,"&lt;&gt;")=0,"",SUMIFS(BD!$Z$3:$Z$5001,BD!$A$3:$A$5001,U$3,BD!$B$3:$B$5001,$A$173)))</f>
        <v/>
      </c>
      <c r="V183" s="209" t="str">
        <f>IF(V$3="","",IF(COUNTIFS(BD!$A$3:$A$5001,V$3,BD!$B$3:$B$5001,$A$173,BD!$Z$3:$Z$5001,"&lt;&gt;")=0,"",SUMIFS(BD!$Z$3:$Z$5001,BD!$A$3:$A$5001,V$3,BD!$B$3:$B$5001,$A$173)))</f>
        <v/>
      </c>
      <c r="W183" s="209" t="str">
        <f>IF(W$3="","",IF(COUNTIFS(BD!$A$3:$A$5001,W$3,BD!$B$3:$B$5001,$A$173,BD!$Z$3:$Z$5001,"&lt;&gt;")=0,"",SUMIFS(BD!$Z$3:$Z$5001,BD!$A$3:$A$5001,W$3,BD!$B$3:$B$5001,$A$173)))</f>
        <v/>
      </c>
      <c r="X183" s="209" t="str">
        <f>IF(X$3="","",IF(COUNTIFS(BD!$A$3:$A$5001,X$3,BD!$B$3:$B$5001,$A$173,BD!$Z$3:$Z$5001,"&lt;&gt;")=0,"",SUMIFS(BD!$Z$3:$Z$5001,BD!$A$3:$A$5001,X$3,BD!$B$3:$B$5001,$A$173)))</f>
        <v/>
      </c>
      <c r="Y183" s="209" t="str">
        <f>IF(Y$3="","",IF(COUNTIFS(BD!$A$3:$A$5001,Y$3,BD!$B$3:$B$5001,$A$173,BD!$Z$3:$Z$5001,"&lt;&gt;")=0,"",SUMIFS(BD!$Z$3:$Z$5001,BD!$A$3:$A$5001,Y$3,BD!$B$3:$B$5001,$A$173)))</f>
        <v/>
      </c>
      <c r="Z183" s="209" t="str">
        <f>IF(Z$3="","",IF(COUNTIFS(BD!$A$3:$A$5001,Z$3,BD!$B$3:$B$5001,$A$173,BD!$Z$3:$Z$5001,"&lt;&gt;")=0,"",SUMIFS(BD!$Z$3:$Z$5001,BD!$A$3:$A$5001,Z$3,BD!$B$3:$B$5001,$A$173)))</f>
        <v/>
      </c>
      <c r="AA183" s="209" t="str">
        <f>IF(AA$3="","",IF(COUNTIFS(BD!$A$3:$A$5001,AA$3,BD!$B$3:$B$5001,$A$173,BD!$Z$3:$Z$5001,"&lt;&gt;")=0,"",SUMIFS(BD!$Z$3:$Z$5001,BD!$A$3:$A$5001,AA$3,BD!$B$3:$B$5001,$A$173)))</f>
        <v/>
      </c>
      <c r="AB183" s="209" t="str">
        <f>IF(AB$3="","",IF(COUNTIFS(BD!$A$3:$A$5001,AB$3,BD!$B$3:$B$5001,$A$173,BD!$Z$3:$Z$5001,"&lt;&gt;")=0,"",SUMIFS(BD!$Z$3:$Z$5001,BD!$A$3:$A$5001,AB$3,BD!$B$3:$B$5001,$A$173)))</f>
        <v/>
      </c>
      <c r="AC183" s="209" t="str">
        <f>IF(AC$3="","",IF(COUNTIFS(BD!$A$3:$A$5001,AC$3,BD!$B$3:$B$5001,$A$173,BD!$Z$3:$Z$5001,"&lt;&gt;")=0,"",SUMIFS(BD!$Z$3:$Z$5001,BD!$A$3:$A$5001,AC$3,BD!$B$3:$B$5001,$A$173)))</f>
        <v/>
      </c>
      <c r="AD183" s="209" t="str">
        <f>IF(AD$3="","",IF(COUNTIFS(BD!$A$3:$A$5001,AD$3,BD!$B$3:$B$5001,$A$173,BD!$Z$3:$Z$5001,"&lt;&gt;")=0,"",SUMIFS(BD!$Z$3:$Z$5001,BD!$A$3:$A$5001,AD$3,BD!$B$3:$B$5001,$A$173)))</f>
        <v/>
      </c>
      <c r="AE183" s="209" t="str">
        <f>IF(AE$3="","",IF(COUNTIFS(BD!$A$3:$A$5001,AE$3,BD!$B$3:$B$5001,$A$173,BD!$Z$3:$Z$5001,"&lt;&gt;")=0,"",SUMIFS(BD!$Z$3:$Z$5001,BD!$A$3:$A$5001,AE$3,BD!$B$3:$B$5001,$A$173)))</f>
        <v/>
      </c>
      <c r="AF183" s="209" t="str">
        <f>IF(AF$3="","",IF(COUNTIFS(BD!$A$3:$A$5001,AF$3,BD!$B$3:$B$5001,$A$173,BD!$Z$3:$Z$5001,"&lt;&gt;")=0,"",SUMIFS(BD!$Z$3:$Z$5001,BD!$A$3:$A$5001,AF$3,BD!$B$3:$B$5001,$A$173)))</f>
        <v/>
      </c>
      <c r="AG183" s="209" t="str">
        <f>IF(AG$3="","",IF(COUNTIFS(BD!$A$3:$A$5001,AG$3,BD!$B$3:$B$5001,$A$173,BD!$Z$3:$Z$5001,"&lt;&gt;")=0,"",SUMIFS(BD!$Z$3:$Z$5001,BD!$A$3:$A$5001,AG$3,BD!$B$3:$B$5001,$A$173)))</f>
        <v/>
      </c>
      <c r="AH183" s="209" t="str">
        <f>IF(AH$3="","",IF(COUNTIFS(BD!$A$3:$A$5001,AH$3,BD!$B$3:$B$5001,$A$173,BD!$Z$3:$Z$5001,"&lt;&gt;")=0,"",SUMIFS(BD!$Z$3:$Z$5001,BD!$A$3:$A$5001,AH$3,BD!$B$3:$B$5001,$A$173)))</f>
        <v/>
      </c>
      <c r="AI183" s="209" t="str">
        <f>IF(AI$3="","",IF(COUNTIFS(BD!$A$3:$A$5001,AI$3,BD!$B$3:$B$5001,$A$173,BD!$Z$3:$Z$5001,"&lt;&gt;")=0,"",SUMIFS(BD!$Z$3:$Z$5001,BD!$A$3:$A$5001,AI$3,BD!$B$3:$B$5001,$A$173)))</f>
        <v/>
      </c>
      <c r="AJ183" s="210" t="str">
        <f>IF(AJ$3="","",IF(COUNTIFS(BD!$A$3:$A$5001,AJ$3,BD!$B$3:$B$5001,$A$173,BD!$Z$3:$Z$5001,"&lt;&gt;")=0,"",SUMIFS(BD!$Z$3:$Z$5001,BD!$A$3:$A$5001,AJ$3,BD!$B$3:$B$5001,$A$173)))</f>
        <v/>
      </c>
      <c r="AK183" s="211" t="str">
        <f>IFERROR(LOOKUP(9.99E+307,F183:AJ183),"")</f>
        <v/>
      </c>
    </row>
    <row r="184" ht="15.75" customHeight="1">
      <c r="A184" s="237"/>
      <c r="B184" s="234"/>
      <c r="C184" s="212" t="inlineStr">
        <is>
          <t xml:space="preserve">Falta</t>
        </is>
      </c>
      <c r="D184" s="213" t="str">
        <f>IFERROR(1/(1/INDEX(BD!$AK$48:$AU$48,MATCH($A$173,BD!$AK$22:$AU$22,0))),"")</f>
        <v/>
      </c>
      <c r="E184" s="214"/>
      <c r="F184" s="215" t="str">
        <f>IF(F$3="","",IF(COUNTIFS(BD!$A$3:$A$5001,F$3,BD!$B$3:$B$5001,$A$173,BD!$AA$3:$AA$5001,"&lt;&gt;")=0,"",SUMIFS(BD!$AA$3:$AA$5001,BD!$A$3:$A$5001,F$3,BD!$B$3:$B$5001,$A$173)))</f>
        <v/>
      </c>
      <c r="G184" s="216" t="str">
        <f>IF(G$3="","",IF(COUNTIFS(BD!$A$3:$A$5001,G$3,BD!$B$3:$B$5001,$A$173,BD!$AA$3:$AA$5001,"&lt;&gt;")=0,"",SUMIFS(BD!$AA$3:$AA$5001,BD!$A$3:$A$5001,G$3,BD!$B$3:$B$5001,$A$173)))</f>
        <v/>
      </c>
      <c r="H184" s="216" t="str">
        <f>IF(H$3="","",IF(COUNTIFS(BD!$A$3:$A$5001,H$3,BD!$B$3:$B$5001,$A$173,BD!$AA$3:$AA$5001,"&lt;&gt;")=0,"",SUMIFS(BD!$AA$3:$AA$5001,BD!$A$3:$A$5001,H$3,BD!$B$3:$B$5001,$A$173)))</f>
        <v/>
      </c>
      <c r="I184" s="216" t="str">
        <f>IF(I$3="","",IF(COUNTIFS(BD!$A$3:$A$5001,I$3,BD!$B$3:$B$5001,$A$173,BD!$AA$3:$AA$5001,"&lt;&gt;")=0,"",SUMIFS(BD!$AA$3:$AA$5001,BD!$A$3:$A$5001,I$3,BD!$B$3:$B$5001,$A$173)))</f>
        <v/>
      </c>
      <c r="J184" s="216" t="str">
        <f>IF(J$3="","",IF(COUNTIFS(BD!$A$3:$A$5001,J$3,BD!$B$3:$B$5001,$A$173,BD!$AA$3:$AA$5001,"&lt;&gt;")=0,"",SUMIFS(BD!$AA$3:$AA$5001,BD!$A$3:$A$5001,J$3,BD!$B$3:$B$5001,$A$173)))</f>
        <v/>
      </c>
      <c r="K184" s="216" t="str">
        <f>IF(K$3="","",IF(COUNTIFS(BD!$A$3:$A$5001,K$3,BD!$B$3:$B$5001,$A$173,BD!$AA$3:$AA$5001,"&lt;&gt;")=0,"",SUMIFS(BD!$AA$3:$AA$5001,BD!$A$3:$A$5001,K$3,BD!$B$3:$B$5001,$A$173)))</f>
        <v/>
      </c>
      <c r="L184" s="216" t="str">
        <f>IF(L$3="","",IF(COUNTIFS(BD!$A$3:$A$5001,L$3,BD!$B$3:$B$5001,$A$173,BD!$AA$3:$AA$5001,"&lt;&gt;")=0,"",SUMIFS(BD!$AA$3:$AA$5001,BD!$A$3:$A$5001,L$3,BD!$B$3:$B$5001,$A$173)))</f>
        <v/>
      </c>
      <c r="M184" s="216" t="str">
        <f>IF(M$3="","",IF(COUNTIFS(BD!$A$3:$A$5001,M$3,BD!$B$3:$B$5001,$A$173,BD!$AA$3:$AA$5001,"&lt;&gt;")=0,"",SUMIFS(BD!$AA$3:$AA$5001,BD!$A$3:$A$5001,M$3,BD!$B$3:$B$5001,$A$173)))</f>
        <v/>
      </c>
      <c r="N184" s="216" t="str">
        <f>IF(N$3="","",IF(COUNTIFS(BD!$A$3:$A$5001,N$3,BD!$B$3:$B$5001,$A$173,BD!$AA$3:$AA$5001,"&lt;&gt;")=0,"",SUMIFS(BD!$AA$3:$AA$5001,BD!$A$3:$A$5001,N$3,BD!$B$3:$B$5001,$A$173)))</f>
        <v/>
      </c>
      <c r="O184" s="216" t="str">
        <f>IF(O$3="","",IF(COUNTIFS(BD!$A$3:$A$5001,O$3,BD!$B$3:$B$5001,$A$173,BD!$AA$3:$AA$5001,"&lt;&gt;")=0,"",SUMIFS(BD!$AA$3:$AA$5001,BD!$A$3:$A$5001,O$3,BD!$B$3:$B$5001,$A$173)))</f>
        <v/>
      </c>
      <c r="P184" s="216" t="str">
        <f>IF(P$3="","",IF(COUNTIFS(BD!$A$3:$A$5001,P$3,BD!$B$3:$B$5001,$A$173,BD!$AA$3:$AA$5001,"&lt;&gt;")=0,"",SUMIFS(BD!$AA$3:$AA$5001,BD!$A$3:$A$5001,P$3,BD!$B$3:$B$5001,$A$173)))</f>
        <v/>
      </c>
      <c r="Q184" s="216" t="str">
        <f>IF(Q$3="","",IF(COUNTIFS(BD!$A$3:$A$5001,Q$3,BD!$B$3:$B$5001,$A$173,BD!$AA$3:$AA$5001,"&lt;&gt;")=0,"",SUMIFS(BD!$AA$3:$AA$5001,BD!$A$3:$A$5001,Q$3,BD!$B$3:$B$5001,$A$173)))</f>
        <v/>
      </c>
      <c r="R184" s="216" t="str">
        <f>IF(R$3="","",IF(COUNTIFS(BD!$A$3:$A$5001,R$3,BD!$B$3:$B$5001,$A$173,BD!$AA$3:$AA$5001,"&lt;&gt;")=0,"",SUMIFS(BD!$AA$3:$AA$5001,BD!$A$3:$A$5001,R$3,BD!$B$3:$B$5001,$A$173)))</f>
        <v/>
      </c>
      <c r="S184" s="216" t="str">
        <f>IF(S$3="","",IF(COUNTIFS(BD!$A$3:$A$5001,S$3,BD!$B$3:$B$5001,$A$173,BD!$AA$3:$AA$5001,"&lt;&gt;")=0,"",SUMIFS(BD!$AA$3:$AA$5001,BD!$A$3:$A$5001,S$3,BD!$B$3:$B$5001,$A$173)))</f>
        <v/>
      </c>
      <c r="T184" s="216" t="str">
        <f>IF(T$3="","",IF(COUNTIFS(BD!$A$3:$A$5001,T$3,BD!$B$3:$B$5001,$A$173,BD!$AA$3:$AA$5001,"&lt;&gt;")=0,"",SUMIFS(BD!$AA$3:$AA$5001,BD!$A$3:$A$5001,T$3,BD!$B$3:$B$5001,$A$173)))</f>
        <v/>
      </c>
      <c r="U184" s="216" t="str">
        <f>IF(U$3="","",IF(COUNTIFS(BD!$A$3:$A$5001,U$3,BD!$B$3:$B$5001,$A$173,BD!$AA$3:$AA$5001,"&lt;&gt;")=0,"",SUMIFS(BD!$AA$3:$AA$5001,BD!$A$3:$A$5001,U$3,BD!$B$3:$B$5001,$A$173)))</f>
        <v/>
      </c>
      <c r="V184" s="216" t="str">
        <f>IF(V$3="","",IF(COUNTIFS(BD!$A$3:$A$5001,V$3,BD!$B$3:$B$5001,$A$173,BD!$AA$3:$AA$5001,"&lt;&gt;")=0,"",SUMIFS(BD!$AA$3:$AA$5001,BD!$A$3:$A$5001,V$3,BD!$B$3:$B$5001,$A$173)))</f>
        <v/>
      </c>
      <c r="W184" s="216" t="str">
        <f>IF(W$3="","",IF(COUNTIFS(BD!$A$3:$A$5001,W$3,BD!$B$3:$B$5001,$A$173,BD!$AA$3:$AA$5001,"&lt;&gt;")=0,"",SUMIFS(BD!$AA$3:$AA$5001,BD!$A$3:$A$5001,W$3,BD!$B$3:$B$5001,$A$173)))</f>
        <v/>
      </c>
      <c r="X184" s="216" t="str">
        <f>IF(X$3="","",IF(COUNTIFS(BD!$A$3:$A$5001,X$3,BD!$B$3:$B$5001,$A$173,BD!$AA$3:$AA$5001,"&lt;&gt;")=0,"",SUMIFS(BD!$AA$3:$AA$5001,BD!$A$3:$A$5001,X$3,BD!$B$3:$B$5001,$A$173)))</f>
        <v/>
      </c>
      <c r="Y184" s="216" t="str">
        <f>IF(Y$3="","",IF(COUNTIFS(BD!$A$3:$A$5001,Y$3,BD!$B$3:$B$5001,$A$173,BD!$AA$3:$AA$5001,"&lt;&gt;")=0,"",SUMIFS(BD!$AA$3:$AA$5001,BD!$A$3:$A$5001,Y$3,BD!$B$3:$B$5001,$A$173)))</f>
        <v/>
      </c>
      <c r="Z184" s="216" t="str">
        <f>IF(Z$3="","",IF(COUNTIFS(BD!$A$3:$A$5001,Z$3,BD!$B$3:$B$5001,$A$173,BD!$AA$3:$AA$5001,"&lt;&gt;")=0,"",SUMIFS(BD!$AA$3:$AA$5001,BD!$A$3:$A$5001,Z$3,BD!$B$3:$B$5001,$A$173)))</f>
        <v/>
      </c>
      <c r="AA184" s="216" t="str">
        <f>IF(AA$3="","",IF(COUNTIFS(BD!$A$3:$A$5001,AA$3,BD!$B$3:$B$5001,$A$173,BD!$AA$3:$AA$5001,"&lt;&gt;")=0,"",SUMIFS(BD!$AA$3:$AA$5001,BD!$A$3:$A$5001,AA$3,BD!$B$3:$B$5001,$A$173)))</f>
        <v/>
      </c>
      <c r="AB184" s="216" t="str">
        <f>IF(AB$3="","",IF(COUNTIFS(BD!$A$3:$A$5001,AB$3,BD!$B$3:$B$5001,$A$173,BD!$AA$3:$AA$5001,"&lt;&gt;")=0,"",SUMIFS(BD!$AA$3:$AA$5001,BD!$A$3:$A$5001,AB$3,BD!$B$3:$B$5001,$A$173)))</f>
        <v/>
      </c>
      <c r="AC184" s="216" t="str">
        <f>IF(AC$3="","",IF(COUNTIFS(BD!$A$3:$A$5001,AC$3,BD!$B$3:$B$5001,$A$173,BD!$AA$3:$AA$5001,"&lt;&gt;")=0,"",SUMIFS(BD!$AA$3:$AA$5001,BD!$A$3:$A$5001,AC$3,BD!$B$3:$B$5001,$A$173)))</f>
        <v/>
      </c>
      <c r="AD184" s="216" t="str">
        <f>IF(AD$3="","",IF(COUNTIFS(BD!$A$3:$A$5001,AD$3,BD!$B$3:$B$5001,$A$173,BD!$AA$3:$AA$5001,"&lt;&gt;")=0,"",SUMIFS(BD!$AA$3:$AA$5001,BD!$A$3:$A$5001,AD$3,BD!$B$3:$B$5001,$A$173)))</f>
        <v/>
      </c>
      <c r="AE184" s="216" t="str">
        <f>IF(AE$3="","",IF(COUNTIFS(BD!$A$3:$A$5001,AE$3,BD!$B$3:$B$5001,$A$173,BD!$AA$3:$AA$5001,"&lt;&gt;")=0,"",SUMIFS(BD!$AA$3:$AA$5001,BD!$A$3:$A$5001,AE$3,BD!$B$3:$B$5001,$A$173)))</f>
        <v/>
      </c>
      <c r="AF184" s="216" t="str">
        <f>IF(AF$3="","",IF(COUNTIFS(BD!$A$3:$A$5001,AF$3,BD!$B$3:$B$5001,$A$173,BD!$AA$3:$AA$5001,"&lt;&gt;")=0,"",SUMIFS(BD!$AA$3:$AA$5001,BD!$A$3:$A$5001,AF$3,BD!$B$3:$B$5001,$A$173)))</f>
        <v/>
      </c>
      <c r="AG184" s="216" t="str">
        <f>IF(AG$3="","",IF(COUNTIFS(BD!$A$3:$A$5001,AG$3,BD!$B$3:$B$5001,$A$173,BD!$AA$3:$AA$5001,"&lt;&gt;")=0,"",SUMIFS(BD!$AA$3:$AA$5001,BD!$A$3:$A$5001,AG$3,BD!$B$3:$B$5001,$A$173)))</f>
        <v/>
      </c>
      <c r="AH184" s="216" t="str">
        <f>IF(AH$3="","",IF(COUNTIFS(BD!$A$3:$A$5001,AH$3,BD!$B$3:$B$5001,$A$173,BD!$AA$3:$AA$5001,"&lt;&gt;")=0,"",SUMIFS(BD!$AA$3:$AA$5001,BD!$A$3:$A$5001,AH$3,BD!$B$3:$B$5001,$A$173)))</f>
        <v/>
      </c>
      <c r="AI184" s="216" t="str">
        <f>IF(AI$3="","",IF(COUNTIFS(BD!$A$3:$A$5001,AI$3,BD!$B$3:$B$5001,$A$173,BD!$AA$3:$AA$5001,"&lt;&gt;")=0,"",SUMIFS(BD!$AA$3:$AA$5001,BD!$A$3:$A$5001,AI$3,BD!$B$3:$B$5001,$A$173)))</f>
        <v/>
      </c>
      <c r="AJ184" s="217" t="str">
        <f>IF(AJ$3="","",IF(COUNTIFS(BD!$A$3:$A$5001,AJ$3,BD!$B$3:$B$5001,$A$173,BD!$AA$3:$AA$5001,"&lt;&gt;")=0,"",SUMIFS(BD!$AA$3:$AA$5001,BD!$A$3:$A$5001,AJ$3,BD!$B$3:$B$5001,$A$173)))</f>
        <v/>
      </c>
      <c r="AK184" s="218" t="str">
        <f>IF(COUNT(F184:AJ184)=0,"",SUM(F184:AJ184))</f>
        <v/>
      </c>
    </row>
    <row r="185" ht="15.75" customHeight="1">
      <c r="A185" s="237"/>
      <c r="B185" s="234"/>
      <c r="C185" s="212" t="inlineStr">
        <is>
          <t xml:space="preserve">Folga</t>
        </is>
      </c>
      <c r="D185" s="213" t="str">
        <f>IFERROR(1/(1/INDEX(BD!$AK$49:$AU$49,MATCH($A$173,BD!$AK$22:$AU$22,0))),"")</f>
        <v/>
      </c>
      <c r="E185" s="214"/>
      <c r="F185" s="215" t="str">
        <f>IF(F$3="","",IF(COUNTIFS(BD!$A$3:$A$5001,F$3,BD!$B$3:$B$5001,$A$173,BD!$AB$3:$AB$5001,"&lt;&gt;")=0,"",SUMIFS(BD!$AB$3:$AB$5001,BD!$A$3:$A$5001,F$3,BD!$B$3:$B$5001,$A$173)))</f>
        <v/>
      </c>
      <c r="G185" s="216" t="str">
        <f>IF(G$3="","",IF(COUNTIFS(BD!$A$3:$A$5001,G$3,BD!$B$3:$B$5001,$A$173,BD!$AB$3:$AB$5001,"&lt;&gt;")=0,"",SUMIFS(BD!$AB$3:$AB$5001,BD!$A$3:$A$5001,G$3,BD!$B$3:$B$5001,$A$173)))</f>
        <v/>
      </c>
      <c r="H185" s="216" t="str">
        <f>IF(H$3="","",IF(COUNTIFS(BD!$A$3:$A$5001,H$3,BD!$B$3:$B$5001,$A$173,BD!$AB$3:$AB$5001,"&lt;&gt;")=0,"",SUMIFS(BD!$AB$3:$AB$5001,BD!$A$3:$A$5001,H$3,BD!$B$3:$B$5001,$A$173)))</f>
        <v/>
      </c>
      <c r="I185" s="216" t="str">
        <f>IF(I$3="","",IF(COUNTIFS(BD!$A$3:$A$5001,I$3,BD!$B$3:$B$5001,$A$173,BD!$AB$3:$AB$5001,"&lt;&gt;")=0,"",SUMIFS(BD!$AB$3:$AB$5001,BD!$A$3:$A$5001,I$3,BD!$B$3:$B$5001,$A$173)))</f>
        <v/>
      </c>
      <c r="J185" s="216" t="str">
        <f>IF(J$3="","",IF(COUNTIFS(BD!$A$3:$A$5001,J$3,BD!$B$3:$B$5001,$A$173,BD!$AB$3:$AB$5001,"&lt;&gt;")=0,"",SUMIFS(BD!$AB$3:$AB$5001,BD!$A$3:$A$5001,J$3,BD!$B$3:$B$5001,$A$173)))</f>
        <v/>
      </c>
      <c r="K185" s="216" t="str">
        <f>IF(K$3="","",IF(COUNTIFS(BD!$A$3:$A$5001,K$3,BD!$B$3:$B$5001,$A$173,BD!$AB$3:$AB$5001,"&lt;&gt;")=0,"",SUMIFS(BD!$AB$3:$AB$5001,BD!$A$3:$A$5001,K$3,BD!$B$3:$B$5001,$A$173)))</f>
        <v/>
      </c>
      <c r="L185" s="216" t="str">
        <f>IF(L$3="","",IF(COUNTIFS(BD!$A$3:$A$5001,L$3,BD!$B$3:$B$5001,$A$173,BD!$AB$3:$AB$5001,"&lt;&gt;")=0,"",SUMIFS(BD!$AB$3:$AB$5001,BD!$A$3:$A$5001,L$3,BD!$B$3:$B$5001,$A$173)))</f>
        <v/>
      </c>
      <c r="M185" s="216" t="str">
        <f>IF(M$3="","",IF(COUNTIFS(BD!$A$3:$A$5001,M$3,BD!$B$3:$B$5001,$A$173,BD!$AB$3:$AB$5001,"&lt;&gt;")=0,"",SUMIFS(BD!$AB$3:$AB$5001,BD!$A$3:$A$5001,M$3,BD!$B$3:$B$5001,$A$173)))</f>
        <v/>
      </c>
      <c r="N185" s="216" t="str">
        <f>IF(N$3="","",IF(COUNTIFS(BD!$A$3:$A$5001,N$3,BD!$B$3:$B$5001,$A$173,BD!$AB$3:$AB$5001,"&lt;&gt;")=0,"",SUMIFS(BD!$AB$3:$AB$5001,BD!$A$3:$A$5001,N$3,BD!$B$3:$B$5001,$A$173)))</f>
        <v/>
      </c>
      <c r="O185" s="216" t="str">
        <f>IF(O$3="","",IF(COUNTIFS(BD!$A$3:$A$5001,O$3,BD!$B$3:$B$5001,$A$173,BD!$AB$3:$AB$5001,"&lt;&gt;")=0,"",SUMIFS(BD!$AB$3:$AB$5001,BD!$A$3:$A$5001,O$3,BD!$B$3:$B$5001,$A$173)))</f>
        <v/>
      </c>
      <c r="P185" s="216" t="str">
        <f>IF(P$3="","",IF(COUNTIFS(BD!$A$3:$A$5001,P$3,BD!$B$3:$B$5001,$A$173,BD!$AB$3:$AB$5001,"&lt;&gt;")=0,"",SUMIFS(BD!$AB$3:$AB$5001,BD!$A$3:$A$5001,P$3,BD!$B$3:$B$5001,$A$173)))</f>
        <v/>
      </c>
      <c r="Q185" s="216" t="str">
        <f>IF(Q$3="","",IF(COUNTIFS(BD!$A$3:$A$5001,Q$3,BD!$B$3:$B$5001,$A$173,BD!$AB$3:$AB$5001,"&lt;&gt;")=0,"",SUMIFS(BD!$AB$3:$AB$5001,BD!$A$3:$A$5001,Q$3,BD!$B$3:$B$5001,$A$173)))</f>
        <v/>
      </c>
      <c r="R185" s="216" t="str">
        <f>IF(R$3="","",IF(COUNTIFS(BD!$A$3:$A$5001,R$3,BD!$B$3:$B$5001,$A$173,BD!$AB$3:$AB$5001,"&lt;&gt;")=0,"",SUMIFS(BD!$AB$3:$AB$5001,BD!$A$3:$A$5001,R$3,BD!$B$3:$B$5001,$A$173)))</f>
        <v/>
      </c>
      <c r="S185" s="216" t="str">
        <f>IF(S$3="","",IF(COUNTIFS(BD!$A$3:$A$5001,S$3,BD!$B$3:$B$5001,$A$173,BD!$AB$3:$AB$5001,"&lt;&gt;")=0,"",SUMIFS(BD!$AB$3:$AB$5001,BD!$A$3:$A$5001,S$3,BD!$B$3:$B$5001,$A$173)))</f>
        <v/>
      </c>
      <c r="T185" s="216" t="str">
        <f>IF(T$3="","",IF(COUNTIFS(BD!$A$3:$A$5001,T$3,BD!$B$3:$B$5001,$A$173,BD!$AB$3:$AB$5001,"&lt;&gt;")=0,"",SUMIFS(BD!$AB$3:$AB$5001,BD!$A$3:$A$5001,T$3,BD!$B$3:$B$5001,$A$173)))</f>
        <v/>
      </c>
      <c r="U185" s="216" t="str">
        <f>IF(U$3="","",IF(COUNTIFS(BD!$A$3:$A$5001,U$3,BD!$B$3:$B$5001,$A$173,BD!$AB$3:$AB$5001,"&lt;&gt;")=0,"",SUMIFS(BD!$AB$3:$AB$5001,BD!$A$3:$A$5001,U$3,BD!$B$3:$B$5001,$A$173)))</f>
        <v/>
      </c>
      <c r="V185" s="216" t="str">
        <f>IF(V$3="","",IF(COUNTIFS(BD!$A$3:$A$5001,V$3,BD!$B$3:$B$5001,$A$173,BD!$AB$3:$AB$5001,"&lt;&gt;")=0,"",SUMIFS(BD!$AB$3:$AB$5001,BD!$A$3:$A$5001,V$3,BD!$B$3:$B$5001,$A$173)))</f>
        <v/>
      </c>
      <c r="W185" s="216" t="str">
        <f>IF(W$3="","",IF(COUNTIFS(BD!$A$3:$A$5001,W$3,BD!$B$3:$B$5001,$A$173,BD!$AB$3:$AB$5001,"&lt;&gt;")=0,"",SUMIFS(BD!$AB$3:$AB$5001,BD!$A$3:$A$5001,W$3,BD!$B$3:$B$5001,$A$173)))</f>
        <v/>
      </c>
      <c r="X185" s="216" t="str">
        <f>IF(X$3="","",IF(COUNTIFS(BD!$A$3:$A$5001,X$3,BD!$B$3:$B$5001,$A$173,BD!$AB$3:$AB$5001,"&lt;&gt;")=0,"",SUMIFS(BD!$AB$3:$AB$5001,BD!$A$3:$A$5001,X$3,BD!$B$3:$B$5001,$A$173)))</f>
        <v/>
      </c>
      <c r="Y185" s="216" t="str">
        <f>IF(Y$3="","",IF(COUNTIFS(BD!$A$3:$A$5001,Y$3,BD!$B$3:$B$5001,$A$173,BD!$AB$3:$AB$5001,"&lt;&gt;")=0,"",SUMIFS(BD!$AB$3:$AB$5001,BD!$A$3:$A$5001,Y$3,BD!$B$3:$B$5001,$A$173)))</f>
        <v/>
      </c>
      <c r="Z185" s="216" t="str">
        <f>IF(Z$3="","",IF(COUNTIFS(BD!$A$3:$A$5001,Z$3,BD!$B$3:$B$5001,$A$173,BD!$AB$3:$AB$5001,"&lt;&gt;")=0,"",SUMIFS(BD!$AB$3:$AB$5001,BD!$A$3:$A$5001,Z$3,BD!$B$3:$B$5001,$A$173)))</f>
        <v/>
      </c>
      <c r="AA185" s="216" t="str">
        <f>IF(AA$3="","",IF(COUNTIFS(BD!$A$3:$A$5001,AA$3,BD!$B$3:$B$5001,$A$173,BD!$AB$3:$AB$5001,"&lt;&gt;")=0,"",SUMIFS(BD!$AB$3:$AB$5001,BD!$A$3:$A$5001,AA$3,BD!$B$3:$B$5001,$A$173)))</f>
        <v/>
      </c>
      <c r="AB185" s="216" t="str">
        <f>IF(AB$3="","",IF(COUNTIFS(BD!$A$3:$A$5001,AB$3,BD!$B$3:$B$5001,$A$173,BD!$AB$3:$AB$5001,"&lt;&gt;")=0,"",SUMIFS(BD!$AB$3:$AB$5001,BD!$A$3:$A$5001,AB$3,BD!$B$3:$B$5001,$A$173)))</f>
        <v/>
      </c>
      <c r="AC185" s="216" t="str">
        <f>IF(AC$3="","",IF(COUNTIFS(BD!$A$3:$A$5001,AC$3,BD!$B$3:$B$5001,$A$173,BD!$AB$3:$AB$5001,"&lt;&gt;")=0,"",SUMIFS(BD!$AB$3:$AB$5001,BD!$A$3:$A$5001,AC$3,BD!$B$3:$B$5001,$A$173)))</f>
        <v/>
      </c>
      <c r="AD185" s="216" t="str">
        <f>IF(AD$3="","",IF(COUNTIFS(BD!$A$3:$A$5001,AD$3,BD!$B$3:$B$5001,$A$173,BD!$AB$3:$AB$5001,"&lt;&gt;")=0,"",SUMIFS(BD!$AB$3:$AB$5001,BD!$A$3:$A$5001,AD$3,BD!$B$3:$B$5001,$A$173)))</f>
        <v/>
      </c>
      <c r="AE185" s="216" t="str">
        <f>IF(AE$3="","",IF(COUNTIFS(BD!$A$3:$A$5001,AE$3,BD!$B$3:$B$5001,$A$173,BD!$AB$3:$AB$5001,"&lt;&gt;")=0,"",SUMIFS(BD!$AB$3:$AB$5001,BD!$A$3:$A$5001,AE$3,BD!$B$3:$B$5001,$A$173)))</f>
        <v/>
      </c>
      <c r="AF185" s="216" t="str">
        <f>IF(AF$3="","",IF(COUNTIFS(BD!$A$3:$A$5001,AF$3,BD!$B$3:$B$5001,$A$173,BD!$AB$3:$AB$5001,"&lt;&gt;")=0,"",SUMIFS(BD!$AB$3:$AB$5001,BD!$A$3:$A$5001,AF$3,BD!$B$3:$B$5001,$A$173)))</f>
        <v/>
      </c>
      <c r="AG185" s="216" t="str">
        <f>IF(AG$3="","",IF(COUNTIFS(BD!$A$3:$A$5001,AG$3,BD!$B$3:$B$5001,$A$173,BD!$AB$3:$AB$5001,"&lt;&gt;")=0,"",SUMIFS(BD!$AB$3:$AB$5001,BD!$A$3:$A$5001,AG$3,BD!$B$3:$B$5001,$A$173)))</f>
        <v/>
      </c>
      <c r="AH185" s="216" t="str">
        <f>IF(AH$3="","",IF(COUNTIFS(BD!$A$3:$A$5001,AH$3,BD!$B$3:$B$5001,$A$173,BD!$AB$3:$AB$5001,"&lt;&gt;")=0,"",SUMIFS(BD!$AB$3:$AB$5001,BD!$A$3:$A$5001,AH$3,BD!$B$3:$B$5001,$A$173)))</f>
        <v/>
      </c>
      <c r="AI185" s="216" t="str">
        <f>IF(AI$3="","",IF(COUNTIFS(BD!$A$3:$A$5001,AI$3,BD!$B$3:$B$5001,$A$173,BD!$AB$3:$AB$5001,"&lt;&gt;")=0,"",SUMIFS(BD!$AB$3:$AB$5001,BD!$A$3:$A$5001,AI$3,BD!$B$3:$B$5001,$A$173)))</f>
        <v/>
      </c>
      <c r="AJ185" s="217" t="str">
        <f>IF(AJ$3="","",IF(COUNTIFS(BD!$A$3:$A$5001,AJ$3,BD!$B$3:$B$5001,$A$173,BD!$AB$3:$AB$5001,"&lt;&gt;")=0,"",SUMIFS(BD!$AB$3:$AB$5001,BD!$A$3:$A$5001,AJ$3,BD!$B$3:$B$5001,$A$173)))</f>
        <v/>
      </c>
      <c r="AK185" s="218" t="str">
        <f>IF(COUNT(F185:AJ185)=0,"",SUM(F185:AJ185))</f>
        <v/>
      </c>
    </row>
    <row r="186" ht="15.75" customHeight="1">
      <c r="A186" s="237"/>
      <c r="B186" s="234"/>
      <c r="C186" s="212" t="inlineStr">
        <is>
          <t xml:space="preserve">Férias</t>
        </is>
      </c>
      <c r="D186" s="213" t="str">
        <f>IFERROR(1/(1/INDEX(BD!$AK$50:$AU$50,MATCH($A$173,BD!$AK$22:$AU$22,0))),"")</f>
        <v/>
      </c>
      <c r="E186" s="214"/>
      <c r="F186" s="215" t="str">
        <f>IF(F$3="","",IF(COUNTIFS(BD!$A$3:$A$5001,F$3,BD!$B$3:$B$5001,$A$173,BD!$AC$3:$AC$5001,"&lt;&gt;")=0,"",SUMIFS(BD!$AC$3:$AC$5001,BD!$A$3:$A$5001,F$3,BD!$B$3:$B$5001,$A$173)))</f>
        <v/>
      </c>
      <c r="G186" s="216" t="str">
        <f>IF(G$3="","",IF(COUNTIFS(BD!$A$3:$A$5001,G$3,BD!$B$3:$B$5001,$A$173,BD!$AC$3:$AC$5001,"&lt;&gt;")=0,"",SUMIFS(BD!$AC$3:$AC$5001,BD!$A$3:$A$5001,G$3,BD!$B$3:$B$5001,$A$173)))</f>
        <v/>
      </c>
      <c r="H186" s="216" t="str">
        <f>IF(H$3="","",IF(COUNTIFS(BD!$A$3:$A$5001,H$3,BD!$B$3:$B$5001,$A$173,BD!$AC$3:$AC$5001,"&lt;&gt;")=0,"",SUMIFS(BD!$AC$3:$AC$5001,BD!$A$3:$A$5001,H$3,BD!$B$3:$B$5001,$A$173)))</f>
        <v/>
      </c>
      <c r="I186" s="216" t="str">
        <f>IF(I$3="","",IF(COUNTIFS(BD!$A$3:$A$5001,I$3,BD!$B$3:$B$5001,$A$173,BD!$AC$3:$AC$5001,"&lt;&gt;")=0,"",SUMIFS(BD!$AC$3:$AC$5001,BD!$A$3:$A$5001,I$3,BD!$B$3:$B$5001,$A$173)))</f>
        <v/>
      </c>
      <c r="J186" s="216" t="str">
        <f>IF(J$3="","",IF(COUNTIFS(BD!$A$3:$A$5001,J$3,BD!$B$3:$B$5001,$A$173,BD!$AC$3:$AC$5001,"&lt;&gt;")=0,"",SUMIFS(BD!$AC$3:$AC$5001,BD!$A$3:$A$5001,J$3,BD!$B$3:$B$5001,$A$173)))</f>
        <v/>
      </c>
      <c r="K186" s="216" t="str">
        <f>IF(K$3="","",IF(COUNTIFS(BD!$A$3:$A$5001,K$3,BD!$B$3:$B$5001,$A$173,BD!$AC$3:$AC$5001,"&lt;&gt;")=0,"",SUMIFS(BD!$AC$3:$AC$5001,BD!$A$3:$A$5001,K$3,BD!$B$3:$B$5001,$A$173)))</f>
        <v/>
      </c>
      <c r="L186" s="216" t="str">
        <f>IF(L$3="","",IF(COUNTIFS(BD!$A$3:$A$5001,L$3,BD!$B$3:$B$5001,$A$173,BD!$AC$3:$AC$5001,"&lt;&gt;")=0,"",SUMIFS(BD!$AC$3:$AC$5001,BD!$A$3:$A$5001,L$3,BD!$B$3:$B$5001,$A$173)))</f>
        <v/>
      </c>
      <c r="M186" s="216" t="str">
        <f>IF(M$3="","",IF(COUNTIFS(BD!$A$3:$A$5001,M$3,BD!$B$3:$B$5001,$A$173,BD!$AC$3:$AC$5001,"&lt;&gt;")=0,"",SUMIFS(BD!$AC$3:$AC$5001,BD!$A$3:$A$5001,M$3,BD!$B$3:$B$5001,$A$173)))</f>
        <v/>
      </c>
      <c r="N186" s="216" t="str">
        <f>IF(N$3="","",IF(COUNTIFS(BD!$A$3:$A$5001,N$3,BD!$B$3:$B$5001,$A$173,BD!$AC$3:$AC$5001,"&lt;&gt;")=0,"",SUMIFS(BD!$AC$3:$AC$5001,BD!$A$3:$A$5001,N$3,BD!$B$3:$B$5001,$A$173)))</f>
        <v/>
      </c>
      <c r="O186" s="216" t="str">
        <f>IF(O$3="","",IF(COUNTIFS(BD!$A$3:$A$5001,O$3,BD!$B$3:$B$5001,$A$173,BD!$AC$3:$AC$5001,"&lt;&gt;")=0,"",SUMIFS(BD!$AC$3:$AC$5001,BD!$A$3:$A$5001,O$3,BD!$B$3:$B$5001,$A$173)))</f>
        <v/>
      </c>
      <c r="P186" s="216" t="str">
        <f>IF(P$3="","",IF(COUNTIFS(BD!$A$3:$A$5001,P$3,BD!$B$3:$B$5001,$A$173,BD!$AC$3:$AC$5001,"&lt;&gt;")=0,"",SUMIFS(BD!$AC$3:$AC$5001,BD!$A$3:$A$5001,P$3,BD!$B$3:$B$5001,$A$173)))</f>
        <v/>
      </c>
      <c r="Q186" s="216" t="str">
        <f>IF(Q$3="","",IF(COUNTIFS(BD!$A$3:$A$5001,Q$3,BD!$B$3:$B$5001,$A$173,BD!$AC$3:$AC$5001,"&lt;&gt;")=0,"",SUMIFS(BD!$AC$3:$AC$5001,BD!$A$3:$A$5001,Q$3,BD!$B$3:$B$5001,$A$173)))</f>
        <v/>
      </c>
      <c r="R186" s="216" t="str">
        <f>IF(R$3="","",IF(COUNTIFS(BD!$A$3:$A$5001,R$3,BD!$B$3:$B$5001,$A$173,BD!$AC$3:$AC$5001,"&lt;&gt;")=0,"",SUMIFS(BD!$AC$3:$AC$5001,BD!$A$3:$A$5001,R$3,BD!$B$3:$B$5001,$A$173)))</f>
        <v/>
      </c>
      <c r="S186" s="216" t="str">
        <f>IF(S$3="","",IF(COUNTIFS(BD!$A$3:$A$5001,S$3,BD!$B$3:$B$5001,$A$173,BD!$AC$3:$AC$5001,"&lt;&gt;")=0,"",SUMIFS(BD!$AC$3:$AC$5001,BD!$A$3:$A$5001,S$3,BD!$B$3:$B$5001,$A$173)))</f>
        <v/>
      </c>
      <c r="T186" s="216" t="str">
        <f>IF(T$3="","",IF(COUNTIFS(BD!$A$3:$A$5001,T$3,BD!$B$3:$B$5001,$A$173,BD!$AC$3:$AC$5001,"&lt;&gt;")=0,"",SUMIFS(BD!$AC$3:$AC$5001,BD!$A$3:$A$5001,T$3,BD!$B$3:$B$5001,$A$173)))</f>
        <v/>
      </c>
      <c r="U186" s="216" t="str">
        <f>IF(U$3="","",IF(COUNTIFS(BD!$A$3:$A$5001,U$3,BD!$B$3:$B$5001,$A$173,BD!$AC$3:$AC$5001,"&lt;&gt;")=0,"",SUMIFS(BD!$AC$3:$AC$5001,BD!$A$3:$A$5001,U$3,BD!$B$3:$B$5001,$A$173)))</f>
        <v/>
      </c>
      <c r="V186" s="216" t="str">
        <f>IF(V$3="","",IF(COUNTIFS(BD!$A$3:$A$5001,V$3,BD!$B$3:$B$5001,$A$173,BD!$AC$3:$AC$5001,"&lt;&gt;")=0,"",SUMIFS(BD!$AC$3:$AC$5001,BD!$A$3:$A$5001,V$3,BD!$B$3:$B$5001,$A$173)))</f>
        <v/>
      </c>
      <c r="W186" s="216" t="str">
        <f>IF(W$3="","",IF(COUNTIFS(BD!$A$3:$A$5001,W$3,BD!$B$3:$B$5001,$A$173,BD!$AC$3:$AC$5001,"&lt;&gt;")=0,"",SUMIFS(BD!$AC$3:$AC$5001,BD!$A$3:$A$5001,W$3,BD!$B$3:$B$5001,$A$173)))</f>
        <v/>
      </c>
      <c r="X186" s="216" t="str">
        <f>IF(X$3="","",IF(COUNTIFS(BD!$A$3:$A$5001,X$3,BD!$B$3:$B$5001,$A$173,BD!$AC$3:$AC$5001,"&lt;&gt;")=0,"",SUMIFS(BD!$AC$3:$AC$5001,BD!$A$3:$A$5001,X$3,BD!$B$3:$B$5001,$A$173)))</f>
        <v/>
      </c>
      <c r="Y186" s="216" t="str">
        <f>IF(Y$3="","",IF(COUNTIFS(BD!$A$3:$A$5001,Y$3,BD!$B$3:$B$5001,$A$173,BD!$AC$3:$AC$5001,"&lt;&gt;")=0,"",SUMIFS(BD!$AC$3:$AC$5001,BD!$A$3:$A$5001,Y$3,BD!$B$3:$B$5001,$A$173)))</f>
        <v/>
      </c>
      <c r="Z186" s="216" t="str">
        <f>IF(Z$3="","",IF(COUNTIFS(BD!$A$3:$A$5001,Z$3,BD!$B$3:$B$5001,$A$173,BD!$AC$3:$AC$5001,"&lt;&gt;")=0,"",SUMIFS(BD!$AC$3:$AC$5001,BD!$A$3:$A$5001,Z$3,BD!$B$3:$B$5001,$A$173)))</f>
        <v/>
      </c>
      <c r="AA186" s="216" t="str">
        <f>IF(AA$3="","",IF(COUNTIFS(BD!$A$3:$A$5001,AA$3,BD!$B$3:$B$5001,$A$173,BD!$AC$3:$AC$5001,"&lt;&gt;")=0,"",SUMIFS(BD!$AC$3:$AC$5001,BD!$A$3:$A$5001,AA$3,BD!$B$3:$B$5001,$A$173)))</f>
        <v/>
      </c>
      <c r="AB186" s="216" t="str">
        <f>IF(AB$3="","",IF(COUNTIFS(BD!$A$3:$A$5001,AB$3,BD!$B$3:$B$5001,$A$173,BD!$AC$3:$AC$5001,"&lt;&gt;")=0,"",SUMIFS(BD!$AC$3:$AC$5001,BD!$A$3:$A$5001,AB$3,BD!$B$3:$B$5001,$A$173)))</f>
        <v/>
      </c>
      <c r="AC186" s="216" t="str">
        <f>IF(AC$3="","",IF(COUNTIFS(BD!$A$3:$A$5001,AC$3,BD!$B$3:$B$5001,$A$173,BD!$AC$3:$AC$5001,"&lt;&gt;")=0,"",SUMIFS(BD!$AC$3:$AC$5001,BD!$A$3:$A$5001,AC$3,BD!$B$3:$B$5001,$A$173)))</f>
        <v/>
      </c>
      <c r="AD186" s="216" t="str">
        <f>IF(AD$3="","",IF(COUNTIFS(BD!$A$3:$A$5001,AD$3,BD!$B$3:$B$5001,$A$173,BD!$AC$3:$AC$5001,"&lt;&gt;")=0,"",SUMIFS(BD!$AC$3:$AC$5001,BD!$A$3:$A$5001,AD$3,BD!$B$3:$B$5001,$A$173)))</f>
        <v/>
      </c>
      <c r="AE186" s="216" t="str">
        <f>IF(AE$3="","",IF(COUNTIFS(BD!$A$3:$A$5001,AE$3,BD!$B$3:$B$5001,$A$173,BD!$AC$3:$AC$5001,"&lt;&gt;")=0,"",SUMIFS(BD!$AC$3:$AC$5001,BD!$A$3:$A$5001,AE$3,BD!$B$3:$B$5001,$A$173)))</f>
        <v/>
      </c>
      <c r="AF186" s="216" t="str">
        <f>IF(AF$3="","",IF(COUNTIFS(BD!$A$3:$A$5001,AF$3,BD!$B$3:$B$5001,$A$173,BD!$AC$3:$AC$5001,"&lt;&gt;")=0,"",SUMIFS(BD!$AC$3:$AC$5001,BD!$A$3:$A$5001,AF$3,BD!$B$3:$B$5001,$A$173)))</f>
        <v/>
      </c>
      <c r="AG186" s="216" t="str">
        <f>IF(AG$3="","",IF(COUNTIFS(BD!$A$3:$A$5001,AG$3,BD!$B$3:$B$5001,$A$173,BD!$AC$3:$AC$5001,"&lt;&gt;")=0,"",SUMIFS(BD!$AC$3:$AC$5001,BD!$A$3:$A$5001,AG$3,BD!$B$3:$B$5001,$A$173)))</f>
        <v/>
      </c>
      <c r="AH186" s="216" t="str">
        <f>IF(AH$3="","",IF(COUNTIFS(BD!$A$3:$A$5001,AH$3,BD!$B$3:$B$5001,$A$173,BD!$AC$3:$AC$5001,"&lt;&gt;")=0,"",SUMIFS(BD!$AC$3:$AC$5001,BD!$A$3:$A$5001,AH$3,BD!$B$3:$B$5001,$A$173)))</f>
        <v/>
      </c>
      <c r="AI186" s="216" t="str">
        <f>IF(AI$3="","",IF(COUNTIFS(BD!$A$3:$A$5001,AI$3,BD!$B$3:$B$5001,$A$173,BD!$AC$3:$AC$5001,"&lt;&gt;")=0,"",SUMIFS(BD!$AC$3:$AC$5001,BD!$A$3:$A$5001,AI$3,BD!$B$3:$B$5001,$A$173)))</f>
        <v/>
      </c>
      <c r="AJ186" s="217" t="str">
        <f>IF(AJ$3="","",IF(COUNTIFS(BD!$A$3:$A$5001,AJ$3,BD!$B$3:$B$5001,$A$173,BD!$AC$3:$AC$5001,"&lt;&gt;")=0,"",SUMIFS(BD!$AC$3:$AC$5001,BD!$A$3:$A$5001,AJ$3,BD!$B$3:$B$5001,$A$173)))</f>
        <v/>
      </c>
      <c r="AK186" s="218" t="str">
        <f>IF(COUNT(F186:AJ186)=0,"",SUM(F186:AJ186))</f>
        <v/>
      </c>
    </row>
    <row r="187" ht="15.75" customHeight="1">
      <c r="A187" s="237"/>
      <c r="B187" s="234"/>
      <c r="C187" s="212" t="inlineStr">
        <is>
          <t xml:space="preserve">Desligamento</t>
        </is>
      </c>
      <c r="D187" s="213" t="str">
        <f>IFERROR(1/(1/INDEX(BD!$AK$51:$AU$51,MATCH($A$173,BD!$AK$22:$AU$22,0))),"")</f>
        <v/>
      </c>
      <c r="E187" s="214"/>
      <c r="F187" s="215" t="str">
        <f>IF(F$3="","",IF(COUNTIFS(BD!$A$3:$A$5001,F$3,BD!$B$3:$B$5001,$A$173,BD!$AD$3:$AD$5001,"&lt;&gt;")=0,"",SUMIFS(BD!$AD$3:$AD$5001,BD!$A$3:$A$5001,F$3,BD!$B$3:$B$5001,$A$173)))</f>
        <v/>
      </c>
      <c r="G187" s="216" t="str">
        <f>IF(G$3="","",IF(COUNTIFS(BD!$A$3:$A$5001,G$3,BD!$B$3:$B$5001,$A$173,BD!$AD$3:$AD$5001,"&lt;&gt;")=0,"",SUMIFS(BD!$AD$3:$AD$5001,BD!$A$3:$A$5001,G$3,BD!$B$3:$B$5001,$A$173)))</f>
        <v/>
      </c>
      <c r="H187" s="216" t="str">
        <f>IF(H$3="","",IF(COUNTIFS(BD!$A$3:$A$5001,H$3,BD!$B$3:$B$5001,$A$173,BD!$AD$3:$AD$5001,"&lt;&gt;")=0,"",SUMIFS(BD!$AD$3:$AD$5001,BD!$A$3:$A$5001,H$3,BD!$B$3:$B$5001,$A$173)))</f>
        <v/>
      </c>
      <c r="I187" s="216" t="str">
        <f>IF(I$3="","",IF(COUNTIFS(BD!$A$3:$A$5001,I$3,BD!$B$3:$B$5001,$A$173,BD!$AD$3:$AD$5001,"&lt;&gt;")=0,"",SUMIFS(BD!$AD$3:$AD$5001,BD!$A$3:$A$5001,I$3,BD!$B$3:$B$5001,$A$173)))</f>
        <v/>
      </c>
      <c r="J187" s="216" t="str">
        <f>IF(J$3="","",IF(COUNTIFS(BD!$A$3:$A$5001,J$3,BD!$B$3:$B$5001,$A$173,BD!$AD$3:$AD$5001,"&lt;&gt;")=0,"",SUMIFS(BD!$AD$3:$AD$5001,BD!$A$3:$A$5001,J$3,BD!$B$3:$B$5001,$A$173)))</f>
        <v/>
      </c>
      <c r="K187" s="216" t="str">
        <f>IF(K$3="","",IF(COUNTIFS(BD!$A$3:$A$5001,K$3,BD!$B$3:$B$5001,$A$173,BD!$AD$3:$AD$5001,"&lt;&gt;")=0,"",SUMIFS(BD!$AD$3:$AD$5001,BD!$A$3:$A$5001,K$3,BD!$B$3:$B$5001,$A$173)))</f>
        <v/>
      </c>
      <c r="L187" s="216" t="str">
        <f>IF(L$3="","",IF(COUNTIFS(BD!$A$3:$A$5001,L$3,BD!$B$3:$B$5001,$A$173,BD!$AD$3:$AD$5001,"&lt;&gt;")=0,"",SUMIFS(BD!$AD$3:$AD$5001,BD!$A$3:$A$5001,L$3,BD!$B$3:$B$5001,$A$173)))</f>
        <v/>
      </c>
      <c r="M187" s="216" t="str">
        <f>IF(M$3="","",IF(COUNTIFS(BD!$A$3:$A$5001,M$3,BD!$B$3:$B$5001,$A$173,BD!$AD$3:$AD$5001,"&lt;&gt;")=0,"",SUMIFS(BD!$AD$3:$AD$5001,BD!$A$3:$A$5001,M$3,BD!$B$3:$B$5001,$A$173)))</f>
        <v/>
      </c>
      <c r="N187" s="216" t="str">
        <f>IF(N$3="","",IF(COUNTIFS(BD!$A$3:$A$5001,N$3,BD!$B$3:$B$5001,$A$173,BD!$AD$3:$AD$5001,"&lt;&gt;")=0,"",SUMIFS(BD!$AD$3:$AD$5001,BD!$A$3:$A$5001,N$3,BD!$B$3:$B$5001,$A$173)))</f>
        <v/>
      </c>
      <c r="O187" s="216" t="str">
        <f>IF(O$3="","",IF(COUNTIFS(BD!$A$3:$A$5001,O$3,BD!$B$3:$B$5001,$A$173,BD!$AD$3:$AD$5001,"&lt;&gt;")=0,"",SUMIFS(BD!$AD$3:$AD$5001,BD!$A$3:$A$5001,O$3,BD!$B$3:$B$5001,$A$173)))</f>
        <v/>
      </c>
      <c r="P187" s="216" t="str">
        <f>IF(P$3="","",IF(COUNTIFS(BD!$A$3:$A$5001,P$3,BD!$B$3:$B$5001,$A$173,BD!$AD$3:$AD$5001,"&lt;&gt;")=0,"",SUMIFS(BD!$AD$3:$AD$5001,BD!$A$3:$A$5001,P$3,BD!$B$3:$B$5001,$A$173)))</f>
        <v/>
      </c>
      <c r="Q187" s="216" t="str">
        <f>IF(Q$3="","",IF(COUNTIFS(BD!$A$3:$A$5001,Q$3,BD!$B$3:$B$5001,$A$173,BD!$AD$3:$AD$5001,"&lt;&gt;")=0,"",SUMIFS(BD!$AD$3:$AD$5001,BD!$A$3:$A$5001,Q$3,BD!$B$3:$B$5001,$A$173)))</f>
        <v/>
      </c>
      <c r="R187" s="216" t="str">
        <f>IF(R$3="","",IF(COUNTIFS(BD!$A$3:$A$5001,R$3,BD!$B$3:$B$5001,$A$173,BD!$AD$3:$AD$5001,"&lt;&gt;")=0,"",SUMIFS(BD!$AD$3:$AD$5001,BD!$A$3:$A$5001,R$3,BD!$B$3:$B$5001,$A$173)))</f>
        <v/>
      </c>
      <c r="S187" s="216" t="str">
        <f>IF(S$3="","",IF(COUNTIFS(BD!$A$3:$A$5001,S$3,BD!$B$3:$B$5001,$A$173,BD!$AD$3:$AD$5001,"&lt;&gt;")=0,"",SUMIFS(BD!$AD$3:$AD$5001,BD!$A$3:$A$5001,S$3,BD!$B$3:$B$5001,$A$173)))</f>
        <v/>
      </c>
      <c r="T187" s="216" t="str">
        <f>IF(T$3="","",IF(COUNTIFS(BD!$A$3:$A$5001,T$3,BD!$B$3:$B$5001,$A$173,BD!$AD$3:$AD$5001,"&lt;&gt;")=0,"",SUMIFS(BD!$AD$3:$AD$5001,BD!$A$3:$A$5001,T$3,BD!$B$3:$B$5001,$A$173)))</f>
        <v/>
      </c>
      <c r="U187" s="216" t="str">
        <f>IF(U$3="","",IF(COUNTIFS(BD!$A$3:$A$5001,U$3,BD!$B$3:$B$5001,$A$173,BD!$AD$3:$AD$5001,"&lt;&gt;")=0,"",SUMIFS(BD!$AD$3:$AD$5001,BD!$A$3:$A$5001,U$3,BD!$B$3:$B$5001,$A$173)))</f>
        <v/>
      </c>
      <c r="V187" s="216" t="str">
        <f>IF(V$3="","",IF(COUNTIFS(BD!$A$3:$A$5001,V$3,BD!$B$3:$B$5001,$A$173,BD!$AD$3:$AD$5001,"&lt;&gt;")=0,"",SUMIFS(BD!$AD$3:$AD$5001,BD!$A$3:$A$5001,V$3,BD!$B$3:$B$5001,$A$173)))</f>
        <v/>
      </c>
      <c r="W187" s="216" t="str">
        <f>IF(W$3="","",IF(COUNTIFS(BD!$A$3:$A$5001,W$3,BD!$B$3:$B$5001,$A$173,BD!$AD$3:$AD$5001,"&lt;&gt;")=0,"",SUMIFS(BD!$AD$3:$AD$5001,BD!$A$3:$A$5001,W$3,BD!$B$3:$B$5001,$A$173)))</f>
        <v/>
      </c>
      <c r="X187" s="216" t="str">
        <f>IF(X$3="","",IF(COUNTIFS(BD!$A$3:$A$5001,X$3,BD!$B$3:$B$5001,$A$173,BD!$AD$3:$AD$5001,"&lt;&gt;")=0,"",SUMIFS(BD!$AD$3:$AD$5001,BD!$A$3:$A$5001,X$3,BD!$B$3:$B$5001,$A$173)))</f>
        <v/>
      </c>
      <c r="Y187" s="216" t="str">
        <f>IF(Y$3="","",IF(COUNTIFS(BD!$A$3:$A$5001,Y$3,BD!$B$3:$B$5001,$A$173,BD!$AD$3:$AD$5001,"&lt;&gt;")=0,"",SUMIFS(BD!$AD$3:$AD$5001,BD!$A$3:$A$5001,Y$3,BD!$B$3:$B$5001,$A$173)))</f>
        <v/>
      </c>
      <c r="Z187" s="216" t="str">
        <f>IF(Z$3="","",IF(COUNTIFS(BD!$A$3:$A$5001,Z$3,BD!$B$3:$B$5001,$A$173,BD!$AD$3:$AD$5001,"&lt;&gt;")=0,"",SUMIFS(BD!$AD$3:$AD$5001,BD!$A$3:$A$5001,Z$3,BD!$B$3:$B$5001,$A$173)))</f>
        <v/>
      </c>
      <c r="AA187" s="216" t="str">
        <f>IF(AA$3="","",IF(COUNTIFS(BD!$A$3:$A$5001,AA$3,BD!$B$3:$B$5001,$A$173,BD!$AD$3:$AD$5001,"&lt;&gt;")=0,"",SUMIFS(BD!$AD$3:$AD$5001,BD!$A$3:$A$5001,AA$3,BD!$B$3:$B$5001,$A$173)))</f>
        <v/>
      </c>
      <c r="AB187" s="216" t="str">
        <f>IF(AB$3="","",IF(COUNTIFS(BD!$A$3:$A$5001,AB$3,BD!$B$3:$B$5001,$A$173,BD!$AD$3:$AD$5001,"&lt;&gt;")=0,"",SUMIFS(BD!$AD$3:$AD$5001,BD!$A$3:$A$5001,AB$3,BD!$B$3:$B$5001,$A$173)))</f>
        <v/>
      </c>
      <c r="AC187" s="216" t="str">
        <f>IF(AC$3="","",IF(COUNTIFS(BD!$A$3:$A$5001,AC$3,BD!$B$3:$B$5001,$A$173,BD!$AD$3:$AD$5001,"&lt;&gt;")=0,"",SUMIFS(BD!$AD$3:$AD$5001,BD!$A$3:$A$5001,AC$3,BD!$B$3:$B$5001,$A$173)))</f>
        <v/>
      </c>
      <c r="AD187" s="216" t="str">
        <f>IF(AD$3="","",IF(COUNTIFS(BD!$A$3:$A$5001,AD$3,BD!$B$3:$B$5001,$A$173,BD!$AD$3:$AD$5001,"&lt;&gt;")=0,"",SUMIFS(BD!$AD$3:$AD$5001,BD!$A$3:$A$5001,AD$3,BD!$B$3:$B$5001,$A$173)))</f>
        <v/>
      </c>
      <c r="AE187" s="216" t="str">
        <f>IF(AE$3="","",IF(COUNTIFS(BD!$A$3:$A$5001,AE$3,BD!$B$3:$B$5001,$A$173,BD!$AD$3:$AD$5001,"&lt;&gt;")=0,"",SUMIFS(BD!$AD$3:$AD$5001,BD!$A$3:$A$5001,AE$3,BD!$B$3:$B$5001,$A$173)))</f>
        <v/>
      </c>
      <c r="AF187" s="216" t="str">
        <f>IF(AF$3="","",IF(COUNTIFS(BD!$A$3:$A$5001,AF$3,BD!$B$3:$B$5001,$A$173,BD!$AD$3:$AD$5001,"&lt;&gt;")=0,"",SUMIFS(BD!$AD$3:$AD$5001,BD!$A$3:$A$5001,AF$3,BD!$B$3:$B$5001,$A$173)))</f>
        <v/>
      </c>
      <c r="AG187" s="216" t="str">
        <f>IF(AG$3="","",IF(COUNTIFS(BD!$A$3:$A$5001,AG$3,BD!$B$3:$B$5001,$A$173,BD!$AD$3:$AD$5001,"&lt;&gt;")=0,"",SUMIFS(BD!$AD$3:$AD$5001,BD!$A$3:$A$5001,AG$3,BD!$B$3:$B$5001,$A$173)))</f>
        <v/>
      </c>
      <c r="AH187" s="216" t="str">
        <f>IF(AH$3="","",IF(COUNTIFS(BD!$A$3:$A$5001,AH$3,BD!$B$3:$B$5001,$A$173,BD!$AD$3:$AD$5001,"&lt;&gt;")=0,"",SUMIFS(BD!$AD$3:$AD$5001,BD!$A$3:$A$5001,AH$3,BD!$B$3:$B$5001,$A$173)))</f>
        <v/>
      </c>
      <c r="AI187" s="216" t="str">
        <f>IF(AI$3="","",IF(COUNTIFS(BD!$A$3:$A$5001,AI$3,BD!$B$3:$B$5001,$A$173,BD!$AD$3:$AD$5001,"&lt;&gt;")=0,"",SUMIFS(BD!$AD$3:$AD$5001,BD!$A$3:$A$5001,AI$3,BD!$B$3:$B$5001,$A$173)))</f>
        <v/>
      </c>
      <c r="AJ187" s="217" t="str">
        <f>IF(AJ$3="","",IF(COUNTIFS(BD!$A$3:$A$5001,AJ$3,BD!$B$3:$B$5001,$A$173,BD!$AD$3:$AD$5001,"&lt;&gt;")=0,"",SUMIFS(BD!$AD$3:$AD$5001,BD!$A$3:$A$5001,AJ$3,BD!$B$3:$B$5001,$A$173)))</f>
        <v/>
      </c>
      <c r="AK187" s="218" t="str">
        <f>IF(COUNT(F187:AJ187)=0,"",SUM(F187:AJ187))</f>
        <v/>
      </c>
    </row>
    <row r="188" ht="15.75" customHeight="1">
      <c r="A188" s="237"/>
      <c r="B188" s="234"/>
      <c r="C188" s="212" t="inlineStr">
        <is>
          <t xml:space="preserve">Desvios Comportamentais</t>
        </is>
      </c>
      <c r="D188" s="213" t="str">
        <f>IFERROR(1/(1/INDEX(BD!$AK$52:$AU$52,MATCH($A$173,BD!$AK$22:$AU$22,0))),"")</f>
        <v/>
      </c>
      <c r="E188" s="214"/>
      <c r="F188" s="215" t="str">
        <f>IF(F$3="","",IF(COUNTIFS(BD!$A$3:$A$5001,F$3,BD!$B$3:$B$5001,$A$173,BD!$AE$3:$AE$5001,"&lt;&gt;")=0,"",SUMIFS(BD!$AE$3:$AE$5001,BD!$A$3:$A$5001,F$3,BD!$B$3:$B$5001,$A$173)))</f>
        <v/>
      </c>
      <c r="G188" s="216" t="str">
        <f>IF(G$3="","",IF(COUNTIFS(BD!$A$3:$A$5001,G$3,BD!$B$3:$B$5001,$A$173,BD!$AE$3:$AE$5001,"&lt;&gt;")=0,"",SUMIFS(BD!$AE$3:$AE$5001,BD!$A$3:$A$5001,G$3,BD!$B$3:$B$5001,$A$173)))</f>
        <v/>
      </c>
      <c r="H188" s="216" t="str">
        <f>IF(H$3="","",IF(COUNTIFS(BD!$A$3:$A$5001,H$3,BD!$B$3:$B$5001,$A$173,BD!$AE$3:$AE$5001,"&lt;&gt;")=0,"",SUMIFS(BD!$AE$3:$AE$5001,BD!$A$3:$A$5001,H$3,BD!$B$3:$B$5001,$A$173)))</f>
        <v/>
      </c>
      <c r="I188" s="216" t="str">
        <f>IF(I$3="","",IF(COUNTIFS(BD!$A$3:$A$5001,I$3,BD!$B$3:$B$5001,$A$173,BD!$AE$3:$AE$5001,"&lt;&gt;")=0,"",SUMIFS(BD!$AE$3:$AE$5001,BD!$A$3:$A$5001,I$3,BD!$B$3:$B$5001,$A$173)))</f>
        <v/>
      </c>
      <c r="J188" s="216" t="str">
        <f>IF(J$3="","",IF(COUNTIFS(BD!$A$3:$A$5001,J$3,BD!$B$3:$B$5001,$A$173,BD!$AE$3:$AE$5001,"&lt;&gt;")=0,"",SUMIFS(BD!$AE$3:$AE$5001,BD!$A$3:$A$5001,J$3,BD!$B$3:$B$5001,$A$173)))</f>
        <v/>
      </c>
      <c r="K188" s="216" t="str">
        <f>IF(K$3="","",IF(COUNTIFS(BD!$A$3:$A$5001,K$3,BD!$B$3:$B$5001,$A$173,BD!$AE$3:$AE$5001,"&lt;&gt;")=0,"",SUMIFS(BD!$AE$3:$AE$5001,BD!$A$3:$A$5001,K$3,BD!$B$3:$B$5001,$A$173)))</f>
        <v/>
      </c>
      <c r="L188" s="216" t="str">
        <f>IF(L$3="","",IF(COUNTIFS(BD!$A$3:$A$5001,L$3,BD!$B$3:$B$5001,$A$173,BD!$AE$3:$AE$5001,"&lt;&gt;")=0,"",SUMIFS(BD!$AE$3:$AE$5001,BD!$A$3:$A$5001,L$3,BD!$B$3:$B$5001,$A$173)))</f>
        <v/>
      </c>
      <c r="M188" s="216" t="str">
        <f>IF(M$3="","",IF(COUNTIFS(BD!$A$3:$A$5001,M$3,BD!$B$3:$B$5001,$A$173,BD!$AE$3:$AE$5001,"&lt;&gt;")=0,"",SUMIFS(BD!$AE$3:$AE$5001,BD!$A$3:$A$5001,M$3,BD!$B$3:$B$5001,$A$173)))</f>
        <v/>
      </c>
      <c r="N188" s="216" t="str">
        <f>IF(N$3="","",IF(COUNTIFS(BD!$A$3:$A$5001,N$3,BD!$B$3:$B$5001,$A$173,BD!$AE$3:$AE$5001,"&lt;&gt;")=0,"",SUMIFS(BD!$AE$3:$AE$5001,BD!$A$3:$A$5001,N$3,BD!$B$3:$B$5001,$A$173)))</f>
        <v/>
      </c>
      <c r="O188" s="216" t="str">
        <f>IF(O$3="","",IF(COUNTIFS(BD!$A$3:$A$5001,O$3,BD!$B$3:$B$5001,$A$173,BD!$AE$3:$AE$5001,"&lt;&gt;")=0,"",SUMIFS(BD!$AE$3:$AE$5001,BD!$A$3:$A$5001,O$3,BD!$B$3:$B$5001,$A$173)))</f>
        <v/>
      </c>
      <c r="P188" s="216" t="str">
        <f>IF(P$3="","",IF(COUNTIFS(BD!$A$3:$A$5001,P$3,BD!$B$3:$B$5001,$A$173,BD!$AE$3:$AE$5001,"&lt;&gt;")=0,"",SUMIFS(BD!$AE$3:$AE$5001,BD!$A$3:$A$5001,P$3,BD!$B$3:$B$5001,$A$173)))</f>
        <v/>
      </c>
      <c r="Q188" s="216" t="str">
        <f>IF(Q$3="","",IF(COUNTIFS(BD!$A$3:$A$5001,Q$3,BD!$B$3:$B$5001,$A$173,BD!$AE$3:$AE$5001,"&lt;&gt;")=0,"",SUMIFS(BD!$AE$3:$AE$5001,BD!$A$3:$A$5001,Q$3,BD!$B$3:$B$5001,$A$173)))</f>
        <v/>
      </c>
      <c r="R188" s="216" t="str">
        <f>IF(R$3="","",IF(COUNTIFS(BD!$A$3:$A$5001,R$3,BD!$B$3:$B$5001,$A$173,BD!$AE$3:$AE$5001,"&lt;&gt;")=0,"",SUMIFS(BD!$AE$3:$AE$5001,BD!$A$3:$A$5001,R$3,BD!$B$3:$B$5001,$A$173)))</f>
        <v/>
      </c>
      <c r="S188" s="216" t="str">
        <f>IF(S$3="","",IF(COUNTIFS(BD!$A$3:$A$5001,S$3,BD!$B$3:$B$5001,$A$173,BD!$AE$3:$AE$5001,"&lt;&gt;")=0,"",SUMIFS(BD!$AE$3:$AE$5001,BD!$A$3:$A$5001,S$3,BD!$B$3:$B$5001,$A$173)))</f>
        <v/>
      </c>
      <c r="T188" s="216" t="str">
        <f>IF(T$3="","",IF(COUNTIFS(BD!$A$3:$A$5001,T$3,BD!$B$3:$B$5001,$A$173,BD!$AE$3:$AE$5001,"&lt;&gt;")=0,"",SUMIFS(BD!$AE$3:$AE$5001,BD!$A$3:$A$5001,T$3,BD!$B$3:$B$5001,$A$173)))</f>
        <v/>
      </c>
      <c r="U188" s="216" t="str">
        <f>IF(U$3="","",IF(COUNTIFS(BD!$A$3:$A$5001,U$3,BD!$B$3:$B$5001,$A$173,BD!$AE$3:$AE$5001,"&lt;&gt;")=0,"",SUMIFS(BD!$AE$3:$AE$5001,BD!$A$3:$A$5001,U$3,BD!$B$3:$B$5001,$A$173)))</f>
        <v/>
      </c>
      <c r="V188" s="216" t="str">
        <f>IF(V$3="","",IF(COUNTIFS(BD!$A$3:$A$5001,V$3,BD!$B$3:$B$5001,$A$173,BD!$AE$3:$AE$5001,"&lt;&gt;")=0,"",SUMIFS(BD!$AE$3:$AE$5001,BD!$A$3:$A$5001,V$3,BD!$B$3:$B$5001,$A$173)))</f>
        <v/>
      </c>
      <c r="W188" s="216" t="str">
        <f>IF(W$3="","",IF(COUNTIFS(BD!$A$3:$A$5001,W$3,BD!$B$3:$B$5001,$A$173,BD!$AE$3:$AE$5001,"&lt;&gt;")=0,"",SUMIFS(BD!$AE$3:$AE$5001,BD!$A$3:$A$5001,W$3,BD!$B$3:$B$5001,$A$173)))</f>
        <v/>
      </c>
      <c r="X188" s="216" t="str">
        <f>IF(X$3="","",IF(COUNTIFS(BD!$A$3:$A$5001,X$3,BD!$B$3:$B$5001,$A$173,BD!$AE$3:$AE$5001,"&lt;&gt;")=0,"",SUMIFS(BD!$AE$3:$AE$5001,BD!$A$3:$A$5001,X$3,BD!$B$3:$B$5001,$A$173)))</f>
        <v/>
      </c>
      <c r="Y188" s="216" t="str">
        <f>IF(Y$3="","",IF(COUNTIFS(BD!$A$3:$A$5001,Y$3,BD!$B$3:$B$5001,$A$173,BD!$AE$3:$AE$5001,"&lt;&gt;")=0,"",SUMIFS(BD!$AE$3:$AE$5001,BD!$A$3:$A$5001,Y$3,BD!$B$3:$B$5001,$A$173)))</f>
        <v/>
      </c>
      <c r="Z188" s="216" t="str">
        <f>IF(Z$3="","",IF(COUNTIFS(BD!$A$3:$A$5001,Z$3,BD!$B$3:$B$5001,$A$173,BD!$AE$3:$AE$5001,"&lt;&gt;")=0,"",SUMIFS(BD!$AE$3:$AE$5001,BD!$A$3:$A$5001,Z$3,BD!$B$3:$B$5001,$A$173)))</f>
        <v/>
      </c>
      <c r="AA188" s="216" t="str">
        <f>IF(AA$3="","",IF(COUNTIFS(BD!$A$3:$A$5001,AA$3,BD!$B$3:$B$5001,$A$173,BD!$AE$3:$AE$5001,"&lt;&gt;")=0,"",SUMIFS(BD!$AE$3:$AE$5001,BD!$A$3:$A$5001,AA$3,BD!$B$3:$B$5001,$A$173)))</f>
        <v/>
      </c>
      <c r="AB188" s="216" t="str">
        <f>IF(AB$3="","",IF(COUNTIFS(BD!$A$3:$A$5001,AB$3,BD!$B$3:$B$5001,$A$173,BD!$AE$3:$AE$5001,"&lt;&gt;")=0,"",SUMIFS(BD!$AE$3:$AE$5001,BD!$A$3:$A$5001,AB$3,BD!$B$3:$B$5001,$A$173)))</f>
        <v/>
      </c>
      <c r="AC188" s="216" t="str">
        <f>IF(AC$3="","",IF(COUNTIFS(BD!$A$3:$A$5001,AC$3,BD!$B$3:$B$5001,$A$173,BD!$AE$3:$AE$5001,"&lt;&gt;")=0,"",SUMIFS(BD!$AE$3:$AE$5001,BD!$A$3:$A$5001,AC$3,BD!$B$3:$B$5001,$A$173)))</f>
        <v/>
      </c>
      <c r="AD188" s="216" t="str">
        <f>IF(AD$3="","",IF(COUNTIFS(BD!$A$3:$A$5001,AD$3,BD!$B$3:$B$5001,$A$173,BD!$AE$3:$AE$5001,"&lt;&gt;")=0,"",SUMIFS(BD!$AE$3:$AE$5001,BD!$A$3:$A$5001,AD$3,BD!$B$3:$B$5001,$A$173)))</f>
        <v/>
      </c>
      <c r="AE188" s="216" t="str">
        <f>IF(AE$3="","",IF(COUNTIFS(BD!$A$3:$A$5001,AE$3,BD!$B$3:$B$5001,$A$173,BD!$AE$3:$AE$5001,"&lt;&gt;")=0,"",SUMIFS(BD!$AE$3:$AE$5001,BD!$A$3:$A$5001,AE$3,BD!$B$3:$B$5001,$A$173)))</f>
        <v/>
      </c>
      <c r="AF188" s="216" t="str">
        <f>IF(AF$3="","",IF(COUNTIFS(BD!$A$3:$A$5001,AF$3,BD!$B$3:$B$5001,$A$173,BD!$AE$3:$AE$5001,"&lt;&gt;")=0,"",SUMIFS(BD!$AE$3:$AE$5001,BD!$A$3:$A$5001,AF$3,BD!$B$3:$B$5001,$A$173)))</f>
        <v/>
      </c>
      <c r="AG188" s="216" t="str">
        <f>IF(AG$3="","",IF(COUNTIFS(BD!$A$3:$A$5001,AG$3,BD!$B$3:$B$5001,$A$173,BD!$AE$3:$AE$5001,"&lt;&gt;")=0,"",SUMIFS(BD!$AE$3:$AE$5001,BD!$A$3:$A$5001,AG$3,BD!$B$3:$B$5001,$A$173)))</f>
        <v/>
      </c>
      <c r="AH188" s="216" t="str">
        <f>IF(AH$3="","",IF(COUNTIFS(BD!$A$3:$A$5001,AH$3,BD!$B$3:$B$5001,$A$173,BD!$AE$3:$AE$5001,"&lt;&gt;")=0,"",SUMIFS(BD!$AE$3:$AE$5001,BD!$A$3:$A$5001,AH$3,BD!$B$3:$B$5001,$A$173)))</f>
        <v/>
      </c>
      <c r="AI188" s="216" t="str">
        <f>IF(AI$3="","",IF(COUNTIFS(BD!$A$3:$A$5001,AI$3,BD!$B$3:$B$5001,$A$173,BD!$AE$3:$AE$5001,"&lt;&gt;")=0,"",SUMIFS(BD!$AE$3:$AE$5001,BD!$A$3:$A$5001,AI$3,BD!$B$3:$B$5001,$A$173)))</f>
        <v/>
      </c>
      <c r="AJ188" s="217" t="str">
        <f>IF(AJ$3="","",IF(COUNTIFS(BD!$A$3:$A$5001,AJ$3,BD!$B$3:$B$5001,$A$173,BD!$AE$3:$AE$5001,"&lt;&gt;")=0,"",SUMIFS(BD!$AE$3:$AE$5001,BD!$A$3:$A$5001,AJ$3,BD!$B$3:$B$5001,$A$173)))</f>
        <v/>
      </c>
      <c r="AK188" s="218" t="str">
        <f>IF(COUNT(F188:AJ188)=0,"",SUM(F188:AJ188))</f>
        <v/>
      </c>
    </row>
    <row r="189" ht="15.75" customHeight="1">
      <c r="A189" s="237"/>
      <c r="B189" s="234"/>
      <c r="C189" s="212" t="inlineStr">
        <is>
          <t xml:space="preserve">Acidentes CAF</t>
        </is>
      </c>
      <c r="D189" s="213" t="str">
        <f>IFERROR(1/(1/INDEX(BD!$AK$53:$AU$53,MATCH($A$173,BD!$AK$22:$AU$22,0))),"")</f>
        <v/>
      </c>
      <c r="E189" s="214"/>
      <c r="F189" s="215" t="str">
        <f>IF(F$3="","",IF(COUNTIFS(BD!$A$3:$A$5001,F$3,BD!$B$3:$B$5001,$A$173,BD!$AF$3:$AF$5001,"&lt;&gt;")=0,"",SUMIFS(BD!$AF$3:$AF$5001,BD!$A$3:$A$5001,F$3,BD!$B$3:$B$5001,$A$173)))</f>
        <v/>
      </c>
      <c r="G189" s="216" t="str">
        <f>IF(G$3="","",IF(COUNTIFS(BD!$A$3:$A$5001,G$3,BD!$B$3:$B$5001,$A$173,BD!$AF$3:$AF$5001,"&lt;&gt;")=0,"",SUMIFS(BD!$AF$3:$AF$5001,BD!$A$3:$A$5001,G$3,BD!$B$3:$B$5001,$A$173)))</f>
        <v/>
      </c>
      <c r="H189" s="216" t="str">
        <f>IF(H$3="","",IF(COUNTIFS(BD!$A$3:$A$5001,H$3,BD!$B$3:$B$5001,$A$173,BD!$AF$3:$AF$5001,"&lt;&gt;")=0,"",SUMIFS(BD!$AF$3:$AF$5001,BD!$A$3:$A$5001,H$3,BD!$B$3:$B$5001,$A$173)))</f>
        <v/>
      </c>
      <c r="I189" s="216" t="str">
        <f>IF(I$3="","",IF(COUNTIFS(BD!$A$3:$A$5001,I$3,BD!$B$3:$B$5001,$A$173,BD!$AF$3:$AF$5001,"&lt;&gt;")=0,"",SUMIFS(BD!$AF$3:$AF$5001,BD!$A$3:$A$5001,I$3,BD!$B$3:$B$5001,$A$173)))</f>
        <v/>
      </c>
      <c r="J189" s="216" t="str">
        <f>IF(J$3="","",IF(COUNTIFS(BD!$A$3:$A$5001,J$3,BD!$B$3:$B$5001,$A$173,BD!$AF$3:$AF$5001,"&lt;&gt;")=0,"",SUMIFS(BD!$AF$3:$AF$5001,BD!$A$3:$A$5001,J$3,BD!$B$3:$B$5001,$A$173)))</f>
        <v/>
      </c>
      <c r="K189" s="216" t="str">
        <f>IF(K$3="","",IF(COUNTIFS(BD!$A$3:$A$5001,K$3,BD!$B$3:$B$5001,$A$173,BD!$AF$3:$AF$5001,"&lt;&gt;")=0,"",SUMIFS(BD!$AF$3:$AF$5001,BD!$A$3:$A$5001,K$3,BD!$B$3:$B$5001,$A$173)))</f>
        <v/>
      </c>
      <c r="L189" s="216" t="str">
        <f>IF(L$3="","",IF(COUNTIFS(BD!$A$3:$A$5001,L$3,BD!$B$3:$B$5001,$A$173,BD!$AF$3:$AF$5001,"&lt;&gt;")=0,"",SUMIFS(BD!$AF$3:$AF$5001,BD!$A$3:$A$5001,L$3,BD!$B$3:$B$5001,$A$173)))</f>
        <v/>
      </c>
      <c r="M189" s="216" t="str">
        <f>IF(M$3="","",IF(COUNTIFS(BD!$A$3:$A$5001,M$3,BD!$B$3:$B$5001,$A$173,BD!$AF$3:$AF$5001,"&lt;&gt;")=0,"",SUMIFS(BD!$AF$3:$AF$5001,BD!$A$3:$A$5001,M$3,BD!$B$3:$B$5001,$A$173)))</f>
        <v/>
      </c>
      <c r="N189" s="216" t="str">
        <f>IF(N$3="","",IF(COUNTIFS(BD!$A$3:$A$5001,N$3,BD!$B$3:$B$5001,$A$173,BD!$AF$3:$AF$5001,"&lt;&gt;")=0,"",SUMIFS(BD!$AF$3:$AF$5001,BD!$A$3:$A$5001,N$3,BD!$B$3:$B$5001,$A$173)))</f>
        <v/>
      </c>
      <c r="O189" s="216" t="str">
        <f>IF(O$3="","",IF(COUNTIFS(BD!$A$3:$A$5001,O$3,BD!$B$3:$B$5001,$A$173,BD!$AF$3:$AF$5001,"&lt;&gt;")=0,"",SUMIFS(BD!$AF$3:$AF$5001,BD!$A$3:$A$5001,O$3,BD!$B$3:$B$5001,$A$173)))</f>
        <v/>
      </c>
      <c r="P189" s="216" t="str">
        <f>IF(P$3="","",IF(COUNTIFS(BD!$A$3:$A$5001,P$3,BD!$B$3:$B$5001,$A$173,BD!$AF$3:$AF$5001,"&lt;&gt;")=0,"",SUMIFS(BD!$AF$3:$AF$5001,BD!$A$3:$A$5001,P$3,BD!$B$3:$B$5001,$A$173)))</f>
        <v/>
      </c>
      <c r="Q189" s="216" t="str">
        <f>IF(Q$3="","",IF(COUNTIFS(BD!$A$3:$A$5001,Q$3,BD!$B$3:$B$5001,$A$173,BD!$AF$3:$AF$5001,"&lt;&gt;")=0,"",SUMIFS(BD!$AF$3:$AF$5001,BD!$A$3:$A$5001,Q$3,BD!$B$3:$B$5001,$A$173)))</f>
        <v/>
      </c>
      <c r="R189" s="216" t="str">
        <f>IF(R$3="","",IF(COUNTIFS(BD!$A$3:$A$5001,R$3,BD!$B$3:$B$5001,$A$173,BD!$AF$3:$AF$5001,"&lt;&gt;")=0,"",SUMIFS(BD!$AF$3:$AF$5001,BD!$A$3:$A$5001,R$3,BD!$B$3:$B$5001,$A$173)))</f>
        <v/>
      </c>
      <c r="S189" s="216" t="str">
        <f>IF(S$3="","",IF(COUNTIFS(BD!$A$3:$A$5001,S$3,BD!$B$3:$B$5001,$A$173,BD!$AF$3:$AF$5001,"&lt;&gt;")=0,"",SUMIFS(BD!$AF$3:$AF$5001,BD!$A$3:$A$5001,S$3,BD!$B$3:$B$5001,$A$173)))</f>
        <v/>
      </c>
      <c r="T189" s="216" t="str">
        <f>IF(T$3="","",IF(COUNTIFS(BD!$A$3:$A$5001,T$3,BD!$B$3:$B$5001,$A$173,BD!$AF$3:$AF$5001,"&lt;&gt;")=0,"",SUMIFS(BD!$AF$3:$AF$5001,BD!$A$3:$A$5001,T$3,BD!$B$3:$B$5001,$A$173)))</f>
        <v/>
      </c>
      <c r="U189" s="216" t="str">
        <f>IF(U$3="","",IF(COUNTIFS(BD!$A$3:$A$5001,U$3,BD!$B$3:$B$5001,$A$173,BD!$AF$3:$AF$5001,"&lt;&gt;")=0,"",SUMIFS(BD!$AF$3:$AF$5001,BD!$A$3:$A$5001,U$3,BD!$B$3:$B$5001,$A$173)))</f>
        <v/>
      </c>
      <c r="V189" s="216" t="str">
        <f>IF(V$3="","",IF(COUNTIFS(BD!$A$3:$A$5001,V$3,BD!$B$3:$B$5001,$A$173,BD!$AF$3:$AF$5001,"&lt;&gt;")=0,"",SUMIFS(BD!$AF$3:$AF$5001,BD!$A$3:$A$5001,V$3,BD!$B$3:$B$5001,$A$173)))</f>
        <v/>
      </c>
      <c r="W189" s="216" t="str">
        <f>IF(W$3="","",IF(COUNTIFS(BD!$A$3:$A$5001,W$3,BD!$B$3:$B$5001,$A$173,BD!$AF$3:$AF$5001,"&lt;&gt;")=0,"",SUMIFS(BD!$AF$3:$AF$5001,BD!$A$3:$A$5001,W$3,BD!$B$3:$B$5001,$A$173)))</f>
        <v/>
      </c>
      <c r="X189" s="216" t="str">
        <f>IF(X$3="","",IF(COUNTIFS(BD!$A$3:$A$5001,X$3,BD!$B$3:$B$5001,$A$173,BD!$AF$3:$AF$5001,"&lt;&gt;")=0,"",SUMIFS(BD!$AF$3:$AF$5001,BD!$A$3:$A$5001,X$3,BD!$B$3:$B$5001,$A$173)))</f>
        <v/>
      </c>
      <c r="Y189" s="216" t="str">
        <f>IF(Y$3="","",IF(COUNTIFS(BD!$A$3:$A$5001,Y$3,BD!$B$3:$B$5001,$A$173,BD!$AF$3:$AF$5001,"&lt;&gt;")=0,"",SUMIFS(BD!$AF$3:$AF$5001,BD!$A$3:$A$5001,Y$3,BD!$B$3:$B$5001,$A$173)))</f>
        <v/>
      </c>
      <c r="Z189" s="216" t="str">
        <f>IF(Z$3="","",IF(COUNTIFS(BD!$A$3:$A$5001,Z$3,BD!$B$3:$B$5001,$A$173,BD!$AF$3:$AF$5001,"&lt;&gt;")=0,"",SUMIFS(BD!$AF$3:$AF$5001,BD!$A$3:$A$5001,Z$3,BD!$B$3:$B$5001,$A$173)))</f>
        <v/>
      </c>
      <c r="AA189" s="216" t="str">
        <f>IF(AA$3="","",IF(COUNTIFS(BD!$A$3:$A$5001,AA$3,BD!$B$3:$B$5001,$A$173,BD!$AF$3:$AF$5001,"&lt;&gt;")=0,"",SUMIFS(BD!$AF$3:$AF$5001,BD!$A$3:$A$5001,AA$3,BD!$B$3:$B$5001,$A$173)))</f>
        <v/>
      </c>
      <c r="AB189" s="216" t="str">
        <f>IF(AB$3="","",IF(COUNTIFS(BD!$A$3:$A$5001,AB$3,BD!$B$3:$B$5001,$A$173,BD!$AF$3:$AF$5001,"&lt;&gt;")=0,"",SUMIFS(BD!$AF$3:$AF$5001,BD!$A$3:$A$5001,AB$3,BD!$B$3:$B$5001,$A$173)))</f>
        <v/>
      </c>
      <c r="AC189" s="216" t="str">
        <f>IF(AC$3="","",IF(COUNTIFS(BD!$A$3:$A$5001,AC$3,BD!$B$3:$B$5001,$A$173,BD!$AF$3:$AF$5001,"&lt;&gt;")=0,"",SUMIFS(BD!$AF$3:$AF$5001,BD!$A$3:$A$5001,AC$3,BD!$B$3:$B$5001,$A$173)))</f>
        <v/>
      </c>
      <c r="AD189" s="216" t="str">
        <f>IF(AD$3="","",IF(COUNTIFS(BD!$A$3:$A$5001,AD$3,BD!$B$3:$B$5001,$A$173,BD!$AF$3:$AF$5001,"&lt;&gt;")=0,"",SUMIFS(BD!$AF$3:$AF$5001,BD!$A$3:$A$5001,AD$3,BD!$B$3:$B$5001,$A$173)))</f>
        <v/>
      </c>
      <c r="AE189" s="216" t="str">
        <f>IF(AE$3="","",IF(COUNTIFS(BD!$A$3:$A$5001,AE$3,BD!$B$3:$B$5001,$A$173,BD!$AF$3:$AF$5001,"&lt;&gt;")=0,"",SUMIFS(BD!$AF$3:$AF$5001,BD!$A$3:$A$5001,AE$3,BD!$B$3:$B$5001,$A$173)))</f>
        <v/>
      </c>
      <c r="AF189" s="216" t="str">
        <f>IF(AF$3="","",IF(COUNTIFS(BD!$A$3:$A$5001,AF$3,BD!$B$3:$B$5001,$A$173,BD!$AF$3:$AF$5001,"&lt;&gt;")=0,"",SUMIFS(BD!$AF$3:$AF$5001,BD!$A$3:$A$5001,AF$3,BD!$B$3:$B$5001,$A$173)))</f>
        <v/>
      </c>
      <c r="AG189" s="216" t="str">
        <f>IF(AG$3="","",IF(COUNTIFS(BD!$A$3:$A$5001,AG$3,BD!$B$3:$B$5001,$A$173,BD!$AF$3:$AF$5001,"&lt;&gt;")=0,"",SUMIFS(BD!$AF$3:$AF$5001,BD!$A$3:$A$5001,AG$3,BD!$B$3:$B$5001,$A$173)))</f>
        <v/>
      </c>
      <c r="AH189" s="216" t="str">
        <f>IF(AH$3="","",IF(COUNTIFS(BD!$A$3:$A$5001,AH$3,BD!$B$3:$B$5001,$A$173,BD!$AF$3:$AF$5001,"&lt;&gt;")=0,"",SUMIFS(BD!$AF$3:$AF$5001,BD!$A$3:$A$5001,AH$3,BD!$B$3:$B$5001,$A$173)))</f>
        <v/>
      </c>
      <c r="AI189" s="216" t="str">
        <f>IF(AI$3="","",IF(COUNTIFS(BD!$A$3:$A$5001,AI$3,BD!$B$3:$B$5001,$A$173,BD!$AF$3:$AF$5001,"&lt;&gt;")=0,"",SUMIFS(BD!$AF$3:$AF$5001,BD!$A$3:$A$5001,AI$3,BD!$B$3:$B$5001,$A$173)))</f>
        <v/>
      </c>
      <c r="AJ189" s="217" t="str">
        <f>IF(AJ$3="","",IF(COUNTIFS(BD!$A$3:$A$5001,AJ$3,BD!$B$3:$B$5001,$A$173,BD!$AF$3:$AF$5001,"&lt;&gt;")=0,"",SUMIFS(BD!$AF$3:$AF$5001,BD!$A$3:$A$5001,AJ$3,BD!$B$3:$B$5001,$A$173)))</f>
        <v/>
      </c>
      <c r="AK189" s="218" t="str">
        <f>IF(COUNT(F189:AJ189)=0,"",SUM(F189:AJ189))</f>
        <v/>
      </c>
    </row>
    <row r="190" ht="15.75" customHeight="1">
      <c r="A190" s="238"/>
      <c r="B190" s="235"/>
      <c r="C190" s="219" t="inlineStr">
        <is>
          <t xml:space="preserve">Acidentes SAF</t>
        </is>
      </c>
      <c r="D190" s="220" t="str">
        <f>IFERROR(1/(1/INDEX(BD!$AK$54:$AU$54,MATCH($A$173,BD!$AK$22:$AU$22,0))),"")</f>
        <v/>
      </c>
      <c r="E190" s="221"/>
      <c r="F190" s="222" t="str">
        <f>IF(F$3="","",IF(COUNTIFS(BD!$A$3:$A$5001,F$3,BD!$B$3:$B$5001,$A$173,BD!$AG$3:$AG$5001,"&lt;&gt;")=0,"",SUMIFS(BD!$AG$3:$AG$5001,BD!$A$3:$A$5001,F$3,BD!$B$3:$B$5001,$A$173)))</f>
        <v/>
      </c>
      <c r="G190" s="223" t="str">
        <f>IF(G$3="","",IF(COUNTIFS(BD!$A$3:$A$5001,G$3,BD!$B$3:$B$5001,$A$173,BD!$AG$3:$AG$5001,"&lt;&gt;")=0,"",SUMIFS(BD!$AG$3:$AG$5001,BD!$A$3:$A$5001,G$3,BD!$B$3:$B$5001,$A$173)))</f>
        <v/>
      </c>
      <c r="H190" s="223" t="str">
        <f>IF(H$3="","",IF(COUNTIFS(BD!$A$3:$A$5001,H$3,BD!$B$3:$B$5001,$A$173,BD!$AG$3:$AG$5001,"&lt;&gt;")=0,"",SUMIFS(BD!$AG$3:$AG$5001,BD!$A$3:$A$5001,H$3,BD!$B$3:$B$5001,$A$173)))</f>
        <v/>
      </c>
      <c r="I190" s="223" t="str">
        <f>IF(I$3="","",IF(COUNTIFS(BD!$A$3:$A$5001,I$3,BD!$B$3:$B$5001,$A$173,BD!$AG$3:$AG$5001,"&lt;&gt;")=0,"",SUMIFS(BD!$AG$3:$AG$5001,BD!$A$3:$A$5001,I$3,BD!$B$3:$B$5001,$A$173)))</f>
        <v/>
      </c>
      <c r="J190" s="223" t="str">
        <f>IF(J$3="","",IF(COUNTIFS(BD!$A$3:$A$5001,J$3,BD!$B$3:$B$5001,$A$173,BD!$AG$3:$AG$5001,"&lt;&gt;")=0,"",SUMIFS(BD!$AG$3:$AG$5001,BD!$A$3:$A$5001,J$3,BD!$B$3:$B$5001,$A$173)))</f>
        <v/>
      </c>
      <c r="K190" s="223" t="str">
        <f>IF(K$3="","",IF(COUNTIFS(BD!$A$3:$A$5001,K$3,BD!$B$3:$B$5001,$A$173,BD!$AG$3:$AG$5001,"&lt;&gt;")=0,"",SUMIFS(BD!$AG$3:$AG$5001,BD!$A$3:$A$5001,K$3,BD!$B$3:$B$5001,$A$173)))</f>
        <v/>
      </c>
      <c r="L190" s="223" t="str">
        <f>IF(L$3="","",IF(COUNTIFS(BD!$A$3:$A$5001,L$3,BD!$B$3:$B$5001,$A$173,BD!$AG$3:$AG$5001,"&lt;&gt;")=0,"",SUMIFS(BD!$AG$3:$AG$5001,BD!$A$3:$A$5001,L$3,BD!$B$3:$B$5001,$A$173)))</f>
        <v/>
      </c>
      <c r="M190" s="223" t="str">
        <f>IF(M$3="","",IF(COUNTIFS(BD!$A$3:$A$5001,M$3,BD!$B$3:$B$5001,$A$173,BD!$AG$3:$AG$5001,"&lt;&gt;")=0,"",SUMIFS(BD!$AG$3:$AG$5001,BD!$A$3:$A$5001,M$3,BD!$B$3:$B$5001,$A$173)))</f>
        <v/>
      </c>
      <c r="N190" s="223" t="str">
        <f>IF(N$3="","",IF(COUNTIFS(BD!$A$3:$A$5001,N$3,BD!$B$3:$B$5001,$A$173,BD!$AG$3:$AG$5001,"&lt;&gt;")=0,"",SUMIFS(BD!$AG$3:$AG$5001,BD!$A$3:$A$5001,N$3,BD!$B$3:$B$5001,$A$173)))</f>
        <v/>
      </c>
      <c r="O190" s="223" t="str">
        <f>IF(O$3="","",IF(COUNTIFS(BD!$A$3:$A$5001,O$3,BD!$B$3:$B$5001,$A$173,BD!$AG$3:$AG$5001,"&lt;&gt;")=0,"",SUMIFS(BD!$AG$3:$AG$5001,BD!$A$3:$A$5001,O$3,BD!$B$3:$B$5001,$A$173)))</f>
        <v/>
      </c>
      <c r="P190" s="223" t="str">
        <f>IF(P$3="","",IF(COUNTIFS(BD!$A$3:$A$5001,P$3,BD!$B$3:$B$5001,$A$173,BD!$AG$3:$AG$5001,"&lt;&gt;")=0,"",SUMIFS(BD!$AG$3:$AG$5001,BD!$A$3:$A$5001,P$3,BD!$B$3:$B$5001,$A$173)))</f>
        <v/>
      </c>
      <c r="Q190" s="223" t="str">
        <f>IF(Q$3="","",IF(COUNTIFS(BD!$A$3:$A$5001,Q$3,BD!$B$3:$B$5001,$A$173,BD!$AG$3:$AG$5001,"&lt;&gt;")=0,"",SUMIFS(BD!$AG$3:$AG$5001,BD!$A$3:$A$5001,Q$3,BD!$B$3:$B$5001,$A$173)))</f>
        <v/>
      </c>
      <c r="R190" s="223" t="str">
        <f>IF(R$3="","",IF(COUNTIFS(BD!$A$3:$A$5001,R$3,BD!$B$3:$B$5001,$A$173,BD!$AG$3:$AG$5001,"&lt;&gt;")=0,"",SUMIFS(BD!$AG$3:$AG$5001,BD!$A$3:$A$5001,R$3,BD!$B$3:$B$5001,$A$173)))</f>
        <v/>
      </c>
      <c r="S190" s="223" t="str">
        <f>IF(S$3="","",IF(COUNTIFS(BD!$A$3:$A$5001,S$3,BD!$B$3:$B$5001,$A$173,BD!$AG$3:$AG$5001,"&lt;&gt;")=0,"",SUMIFS(BD!$AG$3:$AG$5001,BD!$A$3:$A$5001,S$3,BD!$B$3:$B$5001,$A$173)))</f>
        <v/>
      </c>
      <c r="T190" s="223" t="str">
        <f>IF(T$3="","",IF(COUNTIFS(BD!$A$3:$A$5001,T$3,BD!$B$3:$B$5001,$A$173,BD!$AG$3:$AG$5001,"&lt;&gt;")=0,"",SUMIFS(BD!$AG$3:$AG$5001,BD!$A$3:$A$5001,T$3,BD!$B$3:$B$5001,$A$173)))</f>
        <v/>
      </c>
      <c r="U190" s="223" t="str">
        <f>IF(U$3="","",IF(COUNTIFS(BD!$A$3:$A$5001,U$3,BD!$B$3:$B$5001,$A$173,BD!$AG$3:$AG$5001,"&lt;&gt;")=0,"",SUMIFS(BD!$AG$3:$AG$5001,BD!$A$3:$A$5001,U$3,BD!$B$3:$B$5001,$A$173)))</f>
        <v/>
      </c>
      <c r="V190" s="223" t="str">
        <f>IF(V$3="","",IF(COUNTIFS(BD!$A$3:$A$5001,V$3,BD!$B$3:$B$5001,$A$173,BD!$AG$3:$AG$5001,"&lt;&gt;")=0,"",SUMIFS(BD!$AG$3:$AG$5001,BD!$A$3:$A$5001,V$3,BD!$B$3:$B$5001,$A$173)))</f>
        <v/>
      </c>
      <c r="W190" s="223" t="str">
        <f>IF(W$3="","",IF(COUNTIFS(BD!$A$3:$A$5001,W$3,BD!$B$3:$B$5001,$A$173,BD!$AG$3:$AG$5001,"&lt;&gt;")=0,"",SUMIFS(BD!$AG$3:$AG$5001,BD!$A$3:$A$5001,W$3,BD!$B$3:$B$5001,$A$173)))</f>
        <v/>
      </c>
      <c r="X190" s="223" t="str">
        <f>IF(X$3="","",IF(COUNTIFS(BD!$A$3:$A$5001,X$3,BD!$B$3:$B$5001,$A$173,BD!$AG$3:$AG$5001,"&lt;&gt;")=0,"",SUMIFS(BD!$AG$3:$AG$5001,BD!$A$3:$A$5001,X$3,BD!$B$3:$B$5001,$A$173)))</f>
        <v/>
      </c>
      <c r="Y190" s="223" t="str">
        <f>IF(Y$3="","",IF(COUNTIFS(BD!$A$3:$A$5001,Y$3,BD!$B$3:$B$5001,$A$173,BD!$AG$3:$AG$5001,"&lt;&gt;")=0,"",SUMIFS(BD!$AG$3:$AG$5001,BD!$A$3:$A$5001,Y$3,BD!$B$3:$B$5001,$A$173)))</f>
        <v/>
      </c>
      <c r="Z190" s="223" t="str">
        <f>IF(Z$3="","",IF(COUNTIFS(BD!$A$3:$A$5001,Z$3,BD!$B$3:$B$5001,$A$173,BD!$AG$3:$AG$5001,"&lt;&gt;")=0,"",SUMIFS(BD!$AG$3:$AG$5001,BD!$A$3:$A$5001,Z$3,BD!$B$3:$B$5001,$A$173)))</f>
        <v/>
      </c>
      <c r="AA190" s="223" t="str">
        <f>IF(AA$3="","",IF(COUNTIFS(BD!$A$3:$A$5001,AA$3,BD!$B$3:$B$5001,$A$173,BD!$AG$3:$AG$5001,"&lt;&gt;")=0,"",SUMIFS(BD!$AG$3:$AG$5001,BD!$A$3:$A$5001,AA$3,BD!$B$3:$B$5001,$A$173)))</f>
        <v/>
      </c>
      <c r="AB190" s="223" t="str">
        <f>IF(AB$3="","",IF(COUNTIFS(BD!$A$3:$A$5001,AB$3,BD!$B$3:$B$5001,$A$173,BD!$AG$3:$AG$5001,"&lt;&gt;")=0,"",SUMIFS(BD!$AG$3:$AG$5001,BD!$A$3:$A$5001,AB$3,BD!$B$3:$B$5001,$A$173)))</f>
        <v/>
      </c>
      <c r="AC190" s="223" t="str">
        <f>IF(AC$3="","",IF(COUNTIFS(BD!$A$3:$A$5001,AC$3,BD!$B$3:$B$5001,$A$173,BD!$AG$3:$AG$5001,"&lt;&gt;")=0,"",SUMIFS(BD!$AG$3:$AG$5001,BD!$A$3:$A$5001,AC$3,BD!$B$3:$B$5001,$A$173)))</f>
        <v/>
      </c>
      <c r="AD190" s="223" t="str">
        <f>IF(AD$3="","",IF(COUNTIFS(BD!$A$3:$A$5001,AD$3,BD!$B$3:$B$5001,$A$173,BD!$AG$3:$AG$5001,"&lt;&gt;")=0,"",SUMIFS(BD!$AG$3:$AG$5001,BD!$A$3:$A$5001,AD$3,BD!$B$3:$B$5001,$A$173)))</f>
        <v/>
      </c>
      <c r="AE190" s="223" t="str">
        <f>IF(AE$3="","",IF(COUNTIFS(BD!$A$3:$A$5001,AE$3,BD!$B$3:$B$5001,$A$173,BD!$AG$3:$AG$5001,"&lt;&gt;")=0,"",SUMIFS(BD!$AG$3:$AG$5001,BD!$A$3:$A$5001,AE$3,BD!$B$3:$B$5001,$A$173)))</f>
        <v/>
      </c>
      <c r="AF190" s="223" t="str">
        <f>IF(AF$3="","",IF(COUNTIFS(BD!$A$3:$A$5001,AF$3,BD!$B$3:$B$5001,$A$173,BD!$AG$3:$AG$5001,"&lt;&gt;")=0,"",SUMIFS(BD!$AG$3:$AG$5001,BD!$A$3:$A$5001,AF$3,BD!$B$3:$B$5001,$A$173)))</f>
        <v/>
      </c>
      <c r="AG190" s="223" t="str">
        <f>IF(AG$3="","",IF(COUNTIFS(BD!$A$3:$A$5001,AG$3,BD!$B$3:$B$5001,$A$173,BD!$AG$3:$AG$5001,"&lt;&gt;")=0,"",SUMIFS(BD!$AG$3:$AG$5001,BD!$A$3:$A$5001,AG$3,BD!$B$3:$B$5001,$A$173)))</f>
        <v/>
      </c>
      <c r="AH190" s="223" t="str">
        <f>IF(AH$3="","",IF(COUNTIFS(BD!$A$3:$A$5001,AH$3,BD!$B$3:$B$5001,$A$173,BD!$AG$3:$AG$5001,"&lt;&gt;")=0,"",SUMIFS(BD!$AG$3:$AG$5001,BD!$A$3:$A$5001,AH$3,BD!$B$3:$B$5001,$A$173)))</f>
        <v/>
      </c>
      <c r="AI190" s="223" t="str">
        <f>IF(AI$3="","",IF(COUNTIFS(BD!$A$3:$A$5001,AI$3,BD!$B$3:$B$5001,$A$173,BD!$AG$3:$AG$5001,"&lt;&gt;")=0,"",SUMIFS(BD!$AG$3:$AG$5001,BD!$A$3:$A$5001,AI$3,BD!$B$3:$B$5001,$A$173)))</f>
        <v/>
      </c>
      <c r="AJ190" s="224" t="str">
        <f>IF(AJ$3="","",IF(COUNTIFS(BD!$A$3:$A$5001,AJ$3,BD!$B$3:$B$5001,$A$173,BD!$AG$3:$AG$5001,"&lt;&gt;")=0,"",SUMIFS(BD!$AG$3:$AG$5001,BD!$A$3:$A$5001,AJ$3,BD!$B$3:$B$5001,$A$173)))</f>
        <v/>
      </c>
      <c r="AK190" s="220" t="str">
        <f>IF(COUNT(F190:AJ190)=0,"",SUM(F190:AJ190))</f>
        <v/>
      </c>
    </row>
    <row r="192" ht="15.75" customHeight="1">
      <c r="A192" s="236" t="inlineStr">
        <is>
          <t xml:space="preserve">Vestas</t>
        </is>
      </c>
      <c r="B192" s="225" t="inlineStr">
        <is>
          <t xml:space="preserve">IN</t>
        </is>
      </c>
      <c r="C192" s="148" t="inlineStr">
        <is>
          <t xml:space="preserve">Veículos Recebidos</t>
        </is>
      </c>
      <c r="D192" s="149" t="str">
        <f>IFERROR(1/(1/INDEX(BD!$AK$23:$AU$23,MATCH($A$192,BD!$AK$22:$AU$22,0))),"")</f>
        <v/>
      </c>
      <c r="E192" s="150"/>
      <c r="F192" s="151" t="str">
        <f>IF(F$3="","",IF(COUNTIFS(BD!$A$3:$A$5001,F$3,BD!$B$3:$B$5001,$A$192,BD!$C$3:$C$5001,"&lt;&gt;")=0,"",SUMIFS(BD!$C$3:$C$5001,BD!$A$3:$A$5001,F$3,BD!$B$3:$B$5001,$A$192)))</f>
        <v/>
      </c>
      <c r="G192" s="152" t="str">
        <f>IF(G$3="","",IF(COUNTIFS(BD!$A$3:$A$5001,G$3,BD!$B$3:$B$5001,$A$192,BD!$C$3:$C$5001,"&lt;&gt;")=0,"",SUMIFS(BD!$C$3:$C$5001,BD!$A$3:$A$5001,G$3,BD!$B$3:$B$5001,$A$192)))</f>
        <v/>
      </c>
      <c r="H192" s="152" t="str">
        <f>IF(H$3="","",IF(COUNTIFS(BD!$A$3:$A$5001,H$3,BD!$B$3:$B$5001,$A$192,BD!$C$3:$C$5001,"&lt;&gt;")=0,"",SUMIFS(BD!$C$3:$C$5001,BD!$A$3:$A$5001,H$3,BD!$B$3:$B$5001,$A$192)))</f>
        <v/>
      </c>
      <c r="I192" s="152" t="str">
        <f>IF(I$3="","",IF(COUNTIFS(BD!$A$3:$A$5001,I$3,BD!$B$3:$B$5001,$A$192,BD!$C$3:$C$5001,"&lt;&gt;")=0,"",SUMIFS(BD!$C$3:$C$5001,BD!$A$3:$A$5001,I$3,BD!$B$3:$B$5001,$A$192)))</f>
        <v/>
      </c>
      <c r="J192" s="152" t="str">
        <f>IF(J$3="","",IF(COUNTIFS(BD!$A$3:$A$5001,J$3,BD!$B$3:$B$5001,$A$192,BD!$C$3:$C$5001,"&lt;&gt;")=0,"",SUMIFS(BD!$C$3:$C$5001,BD!$A$3:$A$5001,J$3,BD!$B$3:$B$5001,$A$192)))</f>
        <v/>
      </c>
      <c r="K192" s="152" t="str">
        <f>IF(K$3="","",IF(COUNTIFS(BD!$A$3:$A$5001,K$3,BD!$B$3:$B$5001,$A$192,BD!$C$3:$C$5001,"&lt;&gt;")=0,"",SUMIFS(BD!$C$3:$C$5001,BD!$A$3:$A$5001,K$3,BD!$B$3:$B$5001,$A$192)))</f>
        <v/>
      </c>
      <c r="L192" s="152" t="str">
        <f>IF(L$3="","",IF(COUNTIFS(BD!$A$3:$A$5001,L$3,BD!$B$3:$B$5001,$A$192,BD!$C$3:$C$5001,"&lt;&gt;")=0,"",SUMIFS(BD!$C$3:$C$5001,BD!$A$3:$A$5001,L$3,BD!$B$3:$B$5001,$A$192)))</f>
        <v/>
      </c>
      <c r="M192" s="152" t="str">
        <f>IF(M$3="","",IF(COUNTIFS(BD!$A$3:$A$5001,M$3,BD!$B$3:$B$5001,$A$192,BD!$C$3:$C$5001,"&lt;&gt;")=0,"",SUMIFS(BD!$C$3:$C$5001,BD!$A$3:$A$5001,M$3,BD!$B$3:$B$5001,$A$192)))</f>
        <v/>
      </c>
      <c r="N192" s="152" t="str">
        <f>IF(N$3="","",IF(COUNTIFS(BD!$A$3:$A$5001,N$3,BD!$B$3:$B$5001,$A$192,BD!$C$3:$C$5001,"&lt;&gt;")=0,"",SUMIFS(BD!$C$3:$C$5001,BD!$A$3:$A$5001,N$3,BD!$B$3:$B$5001,$A$192)))</f>
        <v/>
      </c>
      <c r="O192" s="152" t="str">
        <f>IF(O$3="","",IF(COUNTIFS(BD!$A$3:$A$5001,O$3,BD!$B$3:$B$5001,$A$192,BD!$C$3:$C$5001,"&lt;&gt;")=0,"",SUMIFS(BD!$C$3:$C$5001,BD!$A$3:$A$5001,O$3,BD!$B$3:$B$5001,$A$192)))</f>
        <v/>
      </c>
      <c r="P192" s="152" t="str">
        <f>IF(P$3="","",IF(COUNTIFS(BD!$A$3:$A$5001,P$3,BD!$B$3:$B$5001,$A$192,BD!$C$3:$C$5001,"&lt;&gt;")=0,"",SUMIFS(BD!$C$3:$C$5001,BD!$A$3:$A$5001,P$3,BD!$B$3:$B$5001,$A$192)))</f>
        <v/>
      </c>
      <c r="Q192" s="152" t="str">
        <f>IF(Q$3="","",IF(COUNTIFS(BD!$A$3:$A$5001,Q$3,BD!$B$3:$B$5001,$A$192,BD!$C$3:$C$5001,"&lt;&gt;")=0,"",SUMIFS(BD!$C$3:$C$5001,BD!$A$3:$A$5001,Q$3,BD!$B$3:$B$5001,$A$192)))</f>
        <v/>
      </c>
      <c r="R192" s="152" t="str">
        <f>IF(R$3="","",IF(COUNTIFS(BD!$A$3:$A$5001,R$3,BD!$B$3:$B$5001,$A$192,BD!$C$3:$C$5001,"&lt;&gt;")=0,"",SUMIFS(BD!$C$3:$C$5001,BD!$A$3:$A$5001,R$3,BD!$B$3:$B$5001,$A$192)))</f>
        <v/>
      </c>
      <c r="S192" s="152" t="str">
        <f>IF(S$3="","",IF(COUNTIFS(BD!$A$3:$A$5001,S$3,BD!$B$3:$B$5001,$A$192,BD!$C$3:$C$5001,"&lt;&gt;")=0,"",SUMIFS(BD!$C$3:$C$5001,BD!$A$3:$A$5001,S$3,BD!$B$3:$B$5001,$A$192)))</f>
        <v/>
      </c>
      <c r="T192" s="152" t="str">
        <f>IF(T$3="","",IF(COUNTIFS(BD!$A$3:$A$5001,T$3,BD!$B$3:$B$5001,$A$192,BD!$C$3:$C$5001,"&lt;&gt;")=0,"",SUMIFS(BD!$C$3:$C$5001,BD!$A$3:$A$5001,T$3,BD!$B$3:$B$5001,$A$192)))</f>
        <v/>
      </c>
      <c r="U192" s="152" t="str">
        <f>IF(U$3="","",IF(COUNTIFS(BD!$A$3:$A$5001,U$3,BD!$B$3:$B$5001,$A$192,BD!$C$3:$C$5001,"&lt;&gt;")=0,"",SUMIFS(BD!$C$3:$C$5001,BD!$A$3:$A$5001,U$3,BD!$B$3:$B$5001,$A$192)))</f>
        <v/>
      </c>
      <c r="V192" s="152" t="str">
        <f>IF(V$3="","",IF(COUNTIFS(BD!$A$3:$A$5001,V$3,BD!$B$3:$B$5001,$A$192,BD!$C$3:$C$5001,"&lt;&gt;")=0,"",SUMIFS(BD!$C$3:$C$5001,BD!$A$3:$A$5001,V$3,BD!$B$3:$B$5001,$A$192)))</f>
        <v/>
      </c>
      <c r="W192" s="152" t="str">
        <f>IF(W$3="","",IF(COUNTIFS(BD!$A$3:$A$5001,W$3,BD!$B$3:$B$5001,$A$192,BD!$C$3:$C$5001,"&lt;&gt;")=0,"",SUMIFS(BD!$C$3:$C$5001,BD!$A$3:$A$5001,W$3,BD!$B$3:$B$5001,$A$192)))</f>
        <v/>
      </c>
      <c r="X192" s="152" t="str">
        <f>IF(X$3="","",IF(COUNTIFS(BD!$A$3:$A$5001,X$3,BD!$B$3:$B$5001,$A$192,BD!$C$3:$C$5001,"&lt;&gt;")=0,"",SUMIFS(BD!$C$3:$C$5001,BD!$A$3:$A$5001,X$3,BD!$B$3:$B$5001,$A$192)))</f>
        <v/>
      </c>
      <c r="Y192" s="152" t="str">
        <f>IF(Y$3="","",IF(COUNTIFS(BD!$A$3:$A$5001,Y$3,BD!$B$3:$B$5001,$A$192,BD!$C$3:$C$5001,"&lt;&gt;")=0,"",SUMIFS(BD!$C$3:$C$5001,BD!$A$3:$A$5001,Y$3,BD!$B$3:$B$5001,$A$192)))</f>
        <v/>
      </c>
      <c r="Z192" s="152" t="str">
        <f>IF(Z$3="","",IF(COUNTIFS(BD!$A$3:$A$5001,Z$3,BD!$B$3:$B$5001,$A$192,BD!$C$3:$C$5001,"&lt;&gt;")=0,"",SUMIFS(BD!$C$3:$C$5001,BD!$A$3:$A$5001,Z$3,BD!$B$3:$B$5001,$A$192)))</f>
        <v/>
      </c>
      <c r="AA192" s="152" t="str">
        <f>IF(AA$3="","",IF(COUNTIFS(BD!$A$3:$A$5001,AA$3,BD!$B$3:$B$5001,$A$192,BD!$C$3:$C$5001,"&lt;&gt;")=0,"",SUMIFS(BD!$C$3:$C$5001,BD!$A$3:$A$5001,AA$3,BD!$B$3:$B$5001,$A$192)))</f>
        <v/>
      </c>
      <c r="AB192" s="152" t="str">
        <f>IF(AB$3="","",IF(COUNTIFS(BD!$A$3:$A$5001,AB$3,BD!$B$3:$B$5001,$A$192,BD!$C$3:$C$5001,"&lt;&gt;")=0,"",SUMIFS(BD!$C$3:$C$5001,BD!$A$3:$A$5001,AB$3,BD!$B$3:$B$5001,$A$192)))</f>
        <v/>
      </c>
      <c r="AC192" s="152" t="str">
        <f>IF(AC$3="","",IF(COUNTIFS(BD!$A$3:$A$5001,AC$3,BD!$B$3:$B$5001,$A$192,BD!$C$3:$C$5001,"&lt;&gt;")=0,"",SUMIFS(BD!$C$3:$C$5001,BD!$A$3:$A$5001,AC$3,BD!$B$3:$B$5001,$A$192)))</f>
        <v/>
      </c>
      <c r="AD192" s="152" t="str">
        <f>IF(AD$3="","",IF(COUNTIFS(BD!$A$3:$A$5001,AD$3,BD!$B$3:$B$5001,$A$192,BD!$C$3:$C$5001,"&lt;&gt;")=0,"",SUMIFS(BD!$C$3:$C$5001,BD!$A$3:$A$5001,AD$3,BD!$B$3:$B$5001,$A$192)))</f>
        <v/>
      </c>
      <c r="AE192" s="152" t="str">
        <f>IF(AE$3="","",IF(COUNTIFS(BD!$A$3:$A$5001,AE$3,BD!$B$3:$B$5001,$A$192,BD!$C$3:$C$5001,"&lt;&gt;")=0,"",SUMIFS(BD!$C$3:$C$5001,BD!$A$3:$A$5001,AE$3,BD!$B$3:$B$5001,$A$192)))</f>
        <v/>
      </c>
      <c r="AF192" s="152" t="str">
        <f>IF(AF$3="","",IF(COUNTIFS(BD!$A$3:$A$5001,AF$3,BD!$B$3:$B$5001,$A$192,BD!$C$3:$C$5001,"&lt;&gt;")=0,"",SUMIFS(BD!$C$3:$C$5001,BD!$A$3:$A$5001,AF$3,BD!$B$3:$B$5001,$A$192)))</f>
        <v/>
      </c>
      <c r="AG192" s="152" t="str">
        <f>IF(AG$3="","",IF(COUNTIFS(BD!$A$3:$A$5001,AG$3,BD!$B$3:$B$5001,$A$192,BD!$C$3:$C$5001,"&lt;&gt;")=0,"",SUMIFS(BD!$C$3:$C$5001,BD!$A$3:$A$5001,AG$3,BD!$B$3:$B$5001,$A$192)))</f>
        <v/>
      </c>
      <c r="AH192" s="152" t="str">
        <f>IF(AH$3="","",IF(COUNTIFS(BD!$A$3:$A$5001,AH$3,BD!$B$3:$B$5001,$A$192,BD!$C$3:$C$5001,"&lt;&gt;")=0,"",SUMIFS(BD!$C$3:$C$5001,BD!$A$3:$A$5001,AH$3,BD!$B$3:$B$5001,$A$192)))</f>
        <v/>
      </c>
      <c r="AI192" s="152" t="str">
        <f>IF(AI$3="","",IF(COUNTIFS(BD!$A$3:$A$5001,AI$3,BD!$B$3:$B$5001,$A$192,BD!$C$3:$C$5001,"&lt;&gt;")=0,"",SUMIFS(BD!$C$3:$C$5001,BD!$A$3:$A$5001,AI$3,BD!$B$3:$B$5001,$A$192)))</f>
        <v/>
      </c>
      <c r="AJ192" s="153" t="str">
        <f>IF(AJ$3="","",IF(COUNTIFS(BD!$A$3:$A$5001,AJ$3,BD!$B$3:$B$5001,$A$192,BD!$C$3:$C$5001,"&lt;&gt;")=0,"",SUMIFS(BD!$C$3:$C$5001,BD!$A$3:$A$5001,AJ$3,BD!$B$3:$B$5001,$A$192)))</f>
        <v/>
      </c>
      <c r="AK192" s="154" t="str">
        <f>IF(COUNT(F192:AJ192)=0,"",SUM(F192:AJ192))</f>
        <v/>
      </c>
    </row>
    <row r="193" ht="15.75" customHeight="1">
      <c r="A193" s="237"/>
      <c r="B193" s="226"/>
      <c r="C193" s="155" t="inlineStr">
        <is>
          <t xml:space="preserve">Linhas NF</t>
        </is>
      </c>
      <c r="D193" s="156" t="str">
        <f>IFERROR(1/(1/INDEX(BD!$AK$26:$AU$26,MATCH($A$192,BD!$AK$22:$AU$22,0))),"")</f>
        <v/>
      </c>
      <c r="E193" s="157"/>
      <c r="F193" s="158" t="str">
        <f>IF(F$3="","",IF(COUNTIFS(BD!$A$3:$A$5001,F$3,BD!$B$3:$B$5001,$A$192,BD!$F$3:$F$5001,"&lt;&gt;")=0,"",SUMIFS(BD!$F$3:$F$5001,BD!$A$3:$A$5001,F$3,BD!$B$3:$B$5001,$A$192)))</f>
        <v/>
      </c>
      <c r="G193" s="159" t="str">
        <f>IF(G$3="","",IF(COUNTIFS(BD!$A$3:$A$5001,G$3,BD!$B$3:$B$5001,$A$192,BD!$F$3:$F$5001,"&lt;&gt;")=0,"",SUMIFS(BD!$F$3:$F$5001,BD!$A$3:$A$5001,G$3,BD!$B$3:$B$5001,$A$192)))</f>
        <v/>
      </c>
      <c r="H193" s="159" t="str">
        <f>IF(H$3="","",IF(COUNTIFS(BD!$A$3:$A$5001,H$3,BD!$B$3:$B$5001,$A$192,BD!$F$3:$F$5001,"&lt;&gt;")=0,"",SUMIFS(BD!$F$3:$F$5001,BD!$A$3:$A$5001,H$3,BD!$B$3:$B$5001,$A$192)))</f>
        <v/>
      </c>
      <c r="I193" s="159" t="str">
        <f>IF(I$3="","",IF(COUNTIFS(BD!$A$3:$A$5001,I$3,BD!$B$3:$B$5001,$A$192,BD!$F$3:$F$5001,"&lt;&gt;")=0,"",SUMIFS(BD!$F$3:$F$5001,BD!$A$3:$A$5001,I$3,BD!$B$3:$B$5001,$A$192)))</f>
        <v/>
      </c>
      <c r="J193" s="159" t="str">
        <f>IF(J$3="","",IF(COUNTIFS(BD!$A$3:$A$5001,J$3,BD!$B$3:$B$5001,$A$192,BD!$F$3:$F$5001,"&lt;&gt;")=0,"",SUMIFS(BD!$F$3:$F$5001,BD!$A$3:$A$5001,J$3,BD!$B$3:$B$5001,$A$192)))</f>
        <v/>
      </c>
      <c r="K193" s="159" t="str">
        <f>IF(K$3="","",IF(COUNTIFS(BD!$A$3:$A$5001,K$3,BD!$B$3:$B$5001,$A$192,BD!$F$3:$F$5001,"&lt;&gt;")=0,"",SUMIFS(BD!$F$3:$F$5001,BD!$A$3:$A$5001,K$3,BD!$B$3:$B$5001,$A$192)))</f>
        <v/>
      </c>
      <c r="L193" s="159" t="str">
        <f>IF(L$3="","",IF(COUNTIFS(BD!$A$3:$A$5001,L$3,BD!$B$3:$B$5001,$A$192,BD!$F$3:$F$5001,"&lt;&gt;")=0,"",SUMIFS(BD!$F$3:$F$5001,BD!$A$3:$A$5001,L$3,BD!$B$3:$B$5001,$A$192)))</f>
        <v/>
      </c>
      <c r="M193" s="159" t="str">
        <f>IF(M$3="","",IF(COUNTIFS(BD!$A$3:$A$5001,M$3,BD!$B$3:$B$5001,$A$192,BD!$F$3:$F$5001,"&lt;&gt;")=0,"",SUMIFS(BD!$F$3:$F$5001,BD!$A$3:$A$5001,M$3,BD!$B$3:$B$5001,$A$192)))</f>
        <v/>
      </c>
      <c r="N193" s="159" t="str">
        <f>IF(N$3="","",IF(COUNTIFS(BD!$A$3:$A$5001,N$3,BD!$B$3:$B$5001,$A$192,BD!$F$3:$F$5001,"&lt;&gt;")=0,"",SUMIFS(BD!$F$3:$F$5001,BD!$A$3:$A$5001,N$3,BD!$B$3:$B$5001,$A$192)))</f>
        <v/>
      </c>
      <c r="O193" s="159" t="str">
        <f>IF(O$3="","",IF(COUNTIFS(BD!$A$3:$A$5001,O$3,BD!$B$3:$B$5001,$A$192,BD!$F$3:$F$5001,"&lt;&gt;")=0,"",SUMIFS(BD!$F$3:$F$5001,BD!$A$3:$A$5001,O$3,BD!$B$3:$B$5001,$A$192)))</f>
        <v/>
      </c>
      <c r="P193" s="159" t="str">
        <f>IF(P$3="","",IF(COUNTIFS(BD!$A$3:$A$5001,P$3,BD!$B$3:$B$5001,$A$192,BD!$F$3:$F$5001,"&lt;&gt;")=0,"",SUMIFS(BD!$F$3:$F$5001,BD!$A$3:$A$5001,P$3,BD!$B$3:$B$5001,$A$192)))</f>
        <v/>
      </c>
      <c r="Q193" s="159" t="str">
        <f>IF(Q$3="","",IF(COUNTIFS(BD!$A$3:$A$5001,Q$3,BD!$B$3:$B$5001,$A$192,BD!$F$3:$F$5001,"&lt;&gt;")=0,"",SUMIFS(BD!$F$3:$F$5001,BD!$A$3:$A$5001,Q$3,BD!$B$3:$B$5001,$A$192)))</f>
        <v/>
      </c>
      <c r="R193" s="159" t="str">
        <f>IF(R$3="","",IF(COUNTIFS(BD!$A$3:$A$5001,R$3,BD!$B$3:$B$5001,$A$192,BD!$F$3:$F$5001,"&lt;&gt;")=0,"",SUMIFS(BD!$F$3:$F$5001,BD!$A$3:$A$5001,R$3,BD!$B$3:$B$5001,$A$192)))</f>
        <v/>
      </c>
      <c r="S193" s="159" t="str">
        <f>IF(S$3="","",IF(COUNTIFS(BD!$A$3:$A$5001,S$3,BD!$B$3:$B$5001,$A$192,BD!$F$3:$F$5001,"&lt;&gt;")=0,"",SUMIFS(BD!$F$3:$F$5001,BD!$A$3:$A$5001,S$3,BD!$B$3:$B$5001,$A$192)))</f>
        <v/>
      </c>
      <c r="T193" s="159" t="str">
        <f>IF(T$3="","",IF(COUNTIFS(BD!$A$3:$A$5001,T$3,BD!$B$3:$B$5001,$A$192,BD!$F$3:$F$5001,"&lt;&gt;")=0,"",SUMIFS(BD!$F$3:$F$5001,BD!$A$3:$A$5001,T$3,BD!$B$3:$B$5001,$A$192)))</f>
        <v/>
      </c>
      <c r="U193" s="159" t="str">
        <f>IF(U$3="","",IF(COUNTIFS(BD!$A$3:$A$5001,U$3,BD!$B$3:$B$5001,$A$192,BD!$F$3:$F$5001,"&lt;&gt;")=0,"",SUMIFS(BD!$F$3:$F$5001,BD!$A$3:$A$5001,U$3,BD!$B$3:$B$5001,$A$192)))</f>
        <v/>
      </c>
      <c r="V193" s="159" t="str">
        <f>IF(V$3="","",IF(COUNTIFS(BD!$A$3:$A$5001,V$3,BD!$B$3:$B$5001,$A$192,BD!$F$3:$F$5001,"&lt;&gt;")=0,"",SUMIFS(BD!$F$3:$F$5001,BD!$A$3:$A$5001,V$3,BD!$B$3:$B$5001,$A$192)))</f>
        <v/>
      </c>
      <c r="W193" s="159" t="str">
        <f>IF(W$3="","",IF(COUNTIFS(BD!$A$3:$A$5001,W$3,BD!$B$3:$B$5001,$A$192,BD!$F$3:$F$5001,"&lt;&gt;")=0,"",SUMIFS(BD!$F$3:$F$5001,BD!$A$3:$A$5001,W$3,BD!$B$3:$B$5001,$A$192)))</f>
        <v/>
      </c>
      <c r="X193" s="159" t="str">
        <f>IF(X$3="","",IF(COUNTIFS(BD!$A$3:$A$5001,X$3,BD!$B$3:$B$5001,$A$192,BD!$F$3:$F$5001,"&lt;&gt;")=0,"",SUMIFS(BD!$F$3:$F$5001,BD!$A$3:$A$5001,X$3,BD!$B$3:$B$5001,$A$192)))</f>
        <v/>
      </c>
      <c r="Y193" s="159" t="str">
        <f>IF(Y$3="","",IF(COUNTIFS(BD!$A$3:$A$5001,Y$3,BD!$B$3:$B$5001,$A$192,BD!$F$3:$F$5001,"&lt;&gt;")=0,"",SUMIFS(BD!$F$3:$F$5001,BD!$A$3:$A$5001,Y$3,BD!$B$3:$B$5001,$A$192)))</f>
        <v/>
      </c>
      <c r="Z193" s="159" t="str">
        <f>IF(Z$3="","",IF(COUNTIFS(BD!$A$3:$A$5001,Z$3,BD!$B$3:$B$5001,$A$192,BD!$F$3:$F$5001,"&lt;&gt;")=0,"",SUMIFS(BD!$F$3:$F$5001,BD!$A$3:$A$5001,Z$3,BD!$B$3:$B$5001,$A$192)))</f>
        <v/>
      </c>
      <c r="AA193" s="159" t="str">
        <f>IF(AA$3="","",IF(COUNTIFS(BD!$A$3:$A$5001,AA$3,BD!$B$3:$B$5001,$A$192,BD!$F$3:$F$5001,"&lt;&gt;")=0,"",SUMIFS(BD!$F$3:$F$5001,BD!$A$3:$A$5001,AA$3,BD!$B$3:$B$5001,$A$192)))</f>
        <v/>
      </c>
      <c r="AB193" s="159" t="str">
        <f>IF(AB$3="","",IF(COUNTIFS(BD!$A$3:$A$5001,AB$3,BD!$B$3:$B$5001,$A$192,BD!$F$3:$F$5001,"&lt;&gt;")=0,"",SUMIFS(BD!$F$3:$F$5001,BD!$A$3:$A$5001,AB$3,BD!$B$3:$B$5001,$A$192)))</f>
        <v/>
      </c>
      <c r="AC193" s="159" t="str">
        <f>IF(AC$3="","",IF(COUNTIFS(BD!$A$3:$A$5001,AC$3,BD!$B$3:$B$5001,$A$192,BD!$F$3:$F$5001,"&lt;&gt;")=0,"",SUMIFS(BD!$F$3:$F$5001,BD!$A$3:$A$5001,AC$3,BD!$B$3:$B$5001,$A$192)))</f>
        <v/>
      </c>
      <c r="AD193" s="159" t="str">
        <f>IF(AD$3="","",IF(COUNTIFS(BD!$A$3:$A$5001,AD$3,BD!$B$3:$B$5001,$A$192,BD!$F$3:$F$5001,"&lt;&gt;")=0,"",SUMIFS(BD!$F$3:$F$5001,BD!$A$3:$A$5001,AD$3,BD!$B$3:$B$5001,$A$192)))</f>
        <v/>
      </c>
      <c r="AE193" s="159" t="str">
        <f>IF(AE$3="","",IF(COUNTIFS(BD!$A$3:$A$5001,AE$3,BD!$B$3:$B$5001,$A$192,BD!$F$3:$F$5001,"&lt;&gt;")=0,"",SUMIFS(BD!$F$3:$F$5001,BD!$A$3:$A$5001,AE$3,BD!$B$3:$B$5001,$A$192)))</f>
        <v/>
      </c>
      <c r="AF193" s="159" t="str">
        <f>IF(AF$3="","",IF(COUNTIFS(BD!$A$3:$A$5001,AF$3,BD!$B$3:$B$5001,$A$192,BD!$F$3:$F$5001,"&lt;&gt;")=0,"",SUMIFS(BD!$F$3:$F$5001,BD!$A$3:$A$5001,AF$3,BD!$B$3:$B$5001,$A$192)))</f>
        <v/>
      </c>
      <c r="AG193" s="159" t="str">
        <f>IF(AG$3="","",IF(COUNTIFS(BD!$A$3:$A$5001,AG$3,BD!$B$3:$B$5001,$A$192,BD!$F$3:$F$5001,"&lt;&gt;")=0,"",SUMIFS(BD!$F$3:$F$5001,BD!$A$3:$A$5001,AG$3,BD!$B$3:$B$5001,$A$192)))</f>
        <v/>
      </c>
      <c r="AH193" s="159" t="str">
        <f>IF(AH$3="","",IF(COUNTIFS(BD!$A$3:$A$5001,AH$3,BD!$B$3:$B$5001,$A$192,BD!$F$3:$F$5001,"&lt;&gt;")=0,"",SUMIFS(BD!$F$3:$F$5001,BD!$A$3:$A$5001,AH$3,BD!$B$3:$B$5001,$A$192)))</f>
        <v/>
      </c>
      <c r="AI193" s="159" t="str">
        <f>IF(AI$3="","",IF(COUNTIFS(BD!$A$3:$A$5001,AI$3,BD!$B$3:$B$5001,$A$192,BD!$F$3:$F$5001,"&lt;&gt;")=0,"",SUMIFS(BD!$F$3:$F$5001,BD!$A$3:$A$5001,AI$3,BD!$B$3:$B$5001,$A$192)))</f>
        <v/>
      </c>
      <c r="AJ193" s="160" t="str">
        <f>IF(AJ$3="","",IF(COUNTIFS(BD!$A$3:$A$5001,AJ$3,BD!$B$3:$B$5001,$A$192,BD!$F$3:$F$5001,"&lt;&gt;")=0,"",SUMIFS(BD!$F$3:$F$5001,BD!$A$3:$A$5001,AJ$3,BD!$B$3:$B$5001,$A$192)))</f>
        <v/>
      </c>
      <c r="AK193" s="156" t="str">
        <f>IF(COUNT(F193:AJ193)=0,"",SUM(F193:AJ193))</f>
        <v/>
      </c>
    </row>
    <row r="194" ht="15.75" customHeight="1">
      <c r="A194" s="237"/>
      <c r="B194" s="227" t="inlineStr">
        <is>
          <t xml:space="preserve">OUT</t>
        </is>
      </c>
      <c r="C194" s="161" t="inlineStr">
        <is>
          <t xml:space="preserve">Veículos Expedidos</t>
        </is>
      </c>
      <c r="D194" s="162" t="str">
        <f>IFERROR(1/(1/INDEX(BD!$AK$32:$AU$32,MATCH($A$192,BD!$AK$22:$AU$22,0))),"")</f>
        <v/>
      </c>
      <c r="E194" s="163"/>
      <c r="F194" s="164" t="str">
        <f>IF(F$3="","",IF(COUNTIFS(BD!$A$3:$A$5001,F$3,BD!$B$3:$B$5001,$A$192,BD!$L$3:$L$5001,"&lt;&gt;")=0,"",SUMIFS(BD!$L$3:$L$5001,BD!$A$3:$A$5001,F$3,BD!$B$3:$B$5001,$A$192)))</f>
        <v/>
      </c>
      <c r="G194" s="165" t="str">
        <f>IF(G$3="","",IF(COUNTIFS(BD!$A$3:$A$5001,G$3,BD!$B$3:$B$5001,$A$192,BD!$L$3:$L$5001,"&lt;&gt;")=0,"",SUMIFS(BD!$L$3:$L$5001,BD!$A$3:$A$5001,G$3,BD!$B$3:$B$5001,$A$192)))</f>
        <v/>
      </c>
      <c r="H194" s="165" t="str">
        <f>IF(H$3="","",IF(COUNTIFS(BD!$A$3:$A$5001,H$3,BD!$B$3:$B$5001,$A$192,BD!$L$3:$L$5001,"&lt;&gt;")=0,"",SUMIFS(BD!$L$3:$L$5001,BD!$A$3:$A$5001,H$3,BD!$B$3:$B$5001,$A$192)))</f>
        <v/>
      </c>
      <c r="I194" s="165" t="str">
        <f>IF(I$3="","",IF(COUNTIFS(BD!$A$3:$A$5001,I$3,BD!$B$3:$B$5001,$A$192,BD!$L$3:$L$5001,"&lt;&gt;")=0,"",SUMIFS(BD!$L$3:$L$5001,BD!$A$3:$A$5001,I$3,BD!$B$3:$B$5001,$A$192)))</f>
        <v/>
      </c>
      <c r="J194" s="165" t="str">
        <f>IF(J$3="","",IF(COUNTIFS(BD!$A$3:$A$5001,J$3,BD!$B$3:$B$5001,$A$192,BD!$L$3:$L$5001,"&lt;&gt;")=0,"",SUMIFS(BD!$L$3:$L$5001,BD!$A$3:$A$5001,J$3,BD!$B$3:$B$5001,$A$192)))</f>
        <v/>
      </c>
      <c r="K194" s="165" t="str">
        <f>IF(K$3="","",IF(COUNTIFS(BD!$A$3:$A$5001,K$3,BD!$B$3:$B$5001,$A$192,BD!$L$3:$L$5001,"&lt;&gt;")=0,"",SUMIFS(BD!$L$3:$L$5001,BD!$A$3:$A$5001,K$3,BD!$B$3:$B$5001,$A$192)))</f>
        <v/>
      </c>
      <c r="L194" s="165" t="str">
        <f>IF(L$3="","",IF(COUNTIFS(BD!$A$3:$A$5001,L$3,BD!$B$3:$B$5001,$A$192,BD!$L$3:$L$5001,"&lt;&gt;")=0,"",SUMIFS(BD!$L$3:$L$5001,BD!$A$3:$A$5001,L$3,BD!$B$3:$B$5001,$A$192)))</f>
        <v/>
      </c>
      <c r="M194" s="165" t="str">
        <f>IF(M$3="","",IF(COUNTIFS(BD!$A$3:$A$5001,M$3,BD!$B$3:$B$5001,$A$192,BD!$L$3:$L$5001,"&lt;&gt;")=0,"",SUMIFS(BD!$L$3:$L$5001,BD!$A$3:$A$5001,M$3,BD!$B$3:$B$5001,$A$192)))</f>
        <v/>
      </c>
      <c r="N194" s="165" t="str">
        <f>IF(N$3="","",IF(COUNTIFS(BD!$A$3:$A$5001,N$3,BD!$B$3:$B$5001,$A$192,BD!$L$3:$L$5001,"&lt;&gt;")=0,"",SUMIFS(BD!$L$3:$L$5001,BD!$A$3:$A$5001,N$3,BD!$B$3:$B$5001,$A$192)))</f>
        <v/>
      </c>
      <c r="O194" s="165" t="str">
        <f>IF(O$3="","",IF(COUNTIFS(BD!$A$3:$A$5001,O$3,BD!$B$3:$B$5001,$A$192,BD!$L$3:$L$5001,"&lt;&gt;")=0,"",SUMIFS(BD!$L$3:$L$5001,BD!$A$3:$A$5001,O$3,BD!$B$3:$B$5001,$A$192)))</f>
        <v/>
      </c>
      <c r="P194" s="165" t="str">
        <f>IF(P$3="","",IF(COUNTIFS(BD!$A$3:$A$5001,P$3,BD!$B$3:$B$5001,$A$192,BD!$L$3:$L$5001,"&lt;&gt;")=0,"",SUMIFS(BD!$L$3:$L$5001,BD!$A$3:$A$5001,P$3,BD!$B$3:$B$5001,$A$192)))</f>
        <v/>
      </c>
      <c r="Q194" s="165" t="str">
        <f>IF(Q$3="","",IF(COUNTIFS(BD!$A$3:$A$5001,Q$3,BD!$B$3:$B$5001,$A$192,BD!$L$3:$L$5001,"&lt;&gt;")=0,"",SUMIFS(BD!$L$3:$L$5001,BD!$A$3:$A$5001,Q$3,BD!$B$3:$B$5001,$A$192)))</f>
        <v/>
      </c>
      <c r="R194" s="165" t="str">
        <f>IF(R$3="","",IF(COUNTIFS(BD!$A$3:$A$5001,R$3,BD!$B$3:$B$5001,$A$192,BD!$L$3:$L$5001,"&lt;&gt;")=0,"",SUMIFS(BD!$L$3:$L$5001,BD!$A$3:$A$5001,R$3,BD!$B$3:$B$5001,$A$192)))</f>
        <v/>
      </c>
      <c r="S194" s="165" t="str">
        <f>IF(S$3="","",IF(COUNTIFS(BD!$A$3:$A$5001,S$3,BD!$B$3:$B$5001,$A$192,BD!$L$3:$L$5001,"&lt;&gt;")=0,"",SUMIFS(BD!$L$3:$L$5001,BD!$A$3:$A$5001,S$3,BD!$B$3:$B$5001,$A$192)))</f>
        <v/>
      </c>
      <c r="T194" s="165" t="str">
        <f>IF(T$3="","",IF(COUNTIFS(BD!$A$3:$A$5001,T$3,BD!$B$3:$B$5001,$A$192,BD!$L$3:$L$5001,"&lt;&gt;")=0,"",SUMIFS(BD!$L$3:$L$5001,BD!$A$3:$A$5001,T$3,BD!$B$3:$B$5001,$A$192)))</f>
        <v/>
      </c>
      <c r="U194" s="165" t="str">
        <f>IF(U$3="","",IF(COUNTIFS(BD!$A$3:$A$5001,U$3,BD!$B$3:$B$5001,$A$192,BD!$L$3:$L$5001,"&lt;&gt;")=0,"",SUMIFS(BD!$L$3:$L$5001,BD!$A$3:$A$5001,U$3,BD!$B$3:$B$5001,$A$192)))</f>
        <v/>
      </c>
      <c r="V194" s="165" t="str">
        <f>IF(V$3="","",IF(COUNTIFS(BD!$A$3:$A$5001,V$3,BD!$B$3:$B$5001,$A$192,BD!$L$3:$L$5001,"&lt;&gt;")=0,"",SUMIFS(BD!$L$3:$L$5001,BD!$A$3:$A$5001,V$3,BD!$B$3:$B$5001,$A$192)))</f>
        <v/>
      </c>
      <c r="W194" s="165" t="str">
        <f>IF(W$3="","",IF(COUNTIFS(BD!$A$3:$A$5001,W$3,BD!$B$3:$B$5001,$A$192,BD!$L$3:$L$5001,"&lt;&gt;")=0,"",SUMIFS(BD!$L$3:$L$5001,BD!$A$3:$A$5001,W$3,BD!$B$3:$B$5001,$A$192)))</f>
        <v/>
      </c>
      <c r="X194" s="165" t="str">
        <f>IF(X$3="","",IF(COUNTIFS(BD!$A$3:$A$5001,X$3,BD!$B$3:$B$5001,$A$192,BD!$L$3:$L$5001,"&lt;&gt;")=0,"",SUMIFS(BD!$L$3:$L$5001,BD!$A$3:$A$5001,X$3,BD!$B$3:$B$5001,$A$192)))</f>
        <v/>
      </c>
      <c r="Y194" s="165" t="str">
        <f>IF(Y$3="","",IF(COUNTIFS(BD!$A$3:$A$5001,Y$3,BD!$B$3:$B$5001,$A$192,BD!$L$3:$L$5001,"&lt;&gt;")=0,"",SUMIFS(BD!$L$3:$L$5001,BD!$A$3:$A$5001,Y$3,BD!$B$3:$B$5001,$A$192)))</f>
        <v/>
      </c>
      <c r="Z194" s="165" t="str">
        <f>IF(Z$3="","",IF(COUNTIFS(BD!$A$3:$A$5001,Z$3,BD!$B$3:$B$5001,$A$192,BD!$L$3:$L$5001,"&lt;&gt;")=0,"",SUMIFS(BD!$L$3:$L$5001,BD!$A$3:$A$5001,Z$3,BD!$B$3:$B$5001,$A$192)))</f>
        <v/>
      </c>
      <c r="AA194" s="165" t="str">
        <f>IF(AA$3="","",IF(COUNTIFS(BD!$A$3:$A$5001,AA$3,BD!$B$3:$B$5001,$A$192,BD!$L$3:$L$5001,"&lt;&gt;")=0,"",SUMIFS(BD!$L$3:$L$5001,BD!$A$3:$A$5001,AA$3,BD!$B$3:$B$5001,$A$192)))</f>
        <v/>
      </c>
      <c r="AB194" s="165" t="str">
        <f>IF(AB$3="","",IF(COUNTIFS(BD!$A$3:$A$5001,AB$3,BD!$B$3:$B$5001,$A$192,BD!$L$3:$L$5001,"&lt;&gt;")=0,"",SUMIFS(BD!$L$3:$L$5001,BD!$A$3:$A$5001,AB$3,BD!$B$3:$B$5001,$A$192)))</f>
        <v/>
      </c>
      <c r="AC194" s="165" t="str">
        <f>IF(AC$3="","",IF(COUNTIFS(BD!$A$3:$A$5001,AC$3,BD!$B$3:$B$5001,$A$192,BD!$L$3:$L$5001,"&lt;&gt;")=0,"",SUMIFS(BD!$L$3:$L$5001,BD!$A$3:$A$5001,AC$3,BD!$B$3:$B$5001,$A$192)))</f>
        <v/>
      </c>
      <c r="AD194" s="165" t="str">
        <f>IF(AD$3="","",IF(COUNTIFS(BD!$A$3:$A$5001,AD$3,BD!$B$3:$B$5001,$A$192,BD!$L$3:$L$5001,"&lt;&gt;")=0,"",SUMIFS(BD!$L$3:$L$5001,BD!$A$3:$A$5001,AD$3,BD!$B$3:$B$5001,$A$192)))</f>
        <v/>
      </c>
      <c r="AE194" s="165" t="str">
        <f>IF(AE$3="","",IF(COUNTIFS(BD!$A$3:$A$5001,AE$3,BD!$B$3:$B$5001,$A$192,BD!$L$3:$L$5001,"&lt;&gt;")=0,"",SUMIFS(BD!$L$3:$L$5001,BD!$A$3:$A$5001,AE$3,BD!$B$3:$B$5001,$A$192)))</f>
        <v/>
      </c>
      <c r="AF194" s="165" t="str">
        <f>IF(AF$3="","",IF(COUNTIFS(BD!$A$3:$A$5001,AF$3,BD!$B$3:$B$5001,$A$192,BD!$L$3:$L$5001,"&lt;&gt;")=0,"",SUMIFS(BD!$L$3:$L$5001,BD!$A$3:$A$5001,AF$3,BD!$B$3:$B$5001,$A$192)))</f>
        <v/>
      </c>
      <c r="AG194" s="165" t="str">
        <f>IF(AG$3="","",IF(COUNTIFS(BD!$A$3:$A$5001,AG$3,BD!$B$3:$B$5001,$A$192,BD!$L$3:$L$5001,"&lt;&gt;")=0,"",SUMIFS(BD!$L$3:$L$5001,BD!$A$3:$A$5001,AG$3,BD!$B$3:$B$5001,$A$192)))</f>
        <v/>
      </c>
      <c r="AH194" s="165" t="str">
        <f>IF(AH$3="","",IF(COUNTIFS(BD!$A$3:$A$5001,AH$3,BD!$B$3:$B$5001,$A$192,BD!$L$3:$L$5001,"&lt;&gt;")=0,"",SUMIFS(BD!$L$3:$L$5001,BD!$A$3:$A$5001,AH$3,BD!$B$3:$B$5001,$A$192)))</f>
        <v/>
      </c>
      <c r="AI194" s="165" t="str">
        <f>IF(AI$3="","",IF(COUNTIFS(BD!$A$3:$A$5001,AI$3,BD!$B$3:$B$5001,$A$192,BD!$L$3:$L$5001,"&lt;&gt;")=0,"",SUMIFS(BD!$L$3:$L$5001,BD!$A$3:$A$5001,AI$3,BD!$B$3:$B$5001,$A$192)))</f>
        <v/>
      </c>
      <c r="AJ194" s="166" t="str">
        <f>IF(AJ$3="","",IF(COUNTIFS(BD!$A$3:$A$5001,AJ$3,BD!$B$3:$B$5001,$A$192,BD!$L$3:$L$5001,"&lt;&gt;")=0,"",SUMIFS(BD!$L$3:$L$5001,BD!$A$3:$A$5001,AJ$3,BD!$B$3:$B$5001,$A$192)))</f>
        <v/>
      </c>
      <c r="AK194" s="167" t="str">
        <f>IF(COUNT(F194:AJ194)=0,"",SUM(F194:AJ194))</f>
        <v/>
      </c>
    </row>
    <row r="195" ht="15.75" customHeight="1">
      <c r="A195" s="237"/>
      <c r="B195" s="228"/>
      <c r="C195" s="168" t="inlineStr">
        <is>
          <t xml:space="preserve">Linhas NF</t>
        </is>
      </c>
      <c r="D195" s="169" t="str">
        <f>IFERROR(1/(1/INDEX(BD!$AK$37:$AU$37,MATCH($A$192,BD!$AK$22:$AU$22,0))),"")</f>
        <v/>
      </c>
      <c r="E195" s="170"/>
      <c r="F195" s="171" t="str">
        <f>IF(F$3="","",IF(COUNTIFS(BD!$A$3:$A$5001,F$3,BD!$B$3:$B$5001,$A$192,BD!$Q$3:$Q$5001,"&lt;&gt;")=0,"",SUMIFS(BD!$Q$3:$Q$5001,BD!$A$3:$A$5001,F$3,BD!$B$3:$B$5001,$A$192)))</f>
        <v/>
      </c>
      <c r="G195" s="172" t="str">
        <f>IF(G$3="","",IF(COUNTIFS(BD!$A$3:$A$5001,G$3,BD!$B$3:$B$5001,$A$192,BD!$Q$3:$Q$5001,"&lt;&gt;")=0,"",SUMIFS(BD!$Q$3:$Q$5001,BD!$A$3:$A$5001,G$3,BD!$B$3:$B$5001,$A$192)))</f>
        <v/>
      </c>
      <c r="H195" s="172" t="str">
        <f>IF(H$3="","",IF(COUNTIFS(BD!$A$3:$A$5001,H$3,BD!$B$3:$B$5001,$A$192,BD!$Q$3:$Q$5001,"&lt;&gt;")=0,"",SUMIFS(BD!$Q$3:$Q$5001,BD!$A$3:$A$5001,H$3,BD!$B$3:$B$5001,$A$192)))</f>
        <v/>
      </c>
      <c r="I195" s="172" t="str">
        <f>IF(I$3="","",IF(COUNTIFS(BD!$A$3:$A$5001,I$3,BD!$B$3:$B$5001,$A$192,BD!$Q$3:$Q$5001,"&lt;&gt;")=0,"",SUMIFS(BD!$Q$3:$Q$5001,BD!$A$3:$A$5001,I$3,BD!$B$3:$B$5001,$A$192)))</f>
        <v/>
      </c>
      <c r="J195" s="172" t="str">
        <f>IF(J$3="","",IF(COUNTIFS(BD!$A$3:$A$5001,J$3,BD!$B$3:$B$5001,$A$192,BD!$Q$3:$Q$5001,"&lt;&gt;")=0,"",SUMIFS(BD!$Q$3:$Q$5001,BD!$A$3:$A$5001,J$3,BD!$B$3:$B$5001,$A$192)))</f>
        <v/>
      </c>
      <c r="K195" s="172" t="str">
        <f>IF(K$3="","",IF(COUNTIFS(BD!$A$3:$A$5001,K$3,BD!$B$3:$B$5001,$A$192,BD!$Q$3:$Q$5001,"&lt;&gt;")=0,"",SUMIFS(BD!$Q$3:$Q$5001,BD!$A$3:$A$5001,K$3,BD!$B$3:$B$5001,$A$192)))</f>
        <v/>
      </c>
      <c r="L195" s="172" t="str">
        <f>IF(L$3="","",IF(COUNTIFS(BD!$A$3:$A$5001,L$3,BD!$B$3:$B$5001,$A$192,BD!$Q$3:$Q$5001,"&lt;&gt;")=0,"",SUMIFS(BD!$Q$3:$Q$5001,BD!$A$3:$A$5001,L$3,BD!$B$3:$B$5001,$A$192)))</f>
        <v/>
      </c>
      <c r="M195" s="172" t="str">
        <f>IF(M$3="","",IF(COUNTIFS(BD!$A$3:$A$5001,M$3,BD!$B$3:$B$5001,$A$192,BD!$Q$3:$Q$5001,"&lt;&gt;")=0,"",SUMIFS(BD!$Q$3:$Q$5001,BD!$A$3:$A$5001,M$3,BD!$B$3:$B$5001,$A$192)))</f>
        <v/>
      </c>
      <c r="N195" s="172" t="str">
        <f>IF(N$3="","",IF(COUNTIFS(BD!$A$3:$A$5001,N$3,BD!$B$3:$B$5001,$A$192,BD!$Q$3:$Q$5001,"&lt;&gt;")=0,"",SUMIFS(BD!$Q$3:$Q$5001,BD!$A$3:$A$5001,N$3,BD!$B$3:$B$5001,$A$192)))</f>
        <v/>
      </c>
      <c r="O195" s="172" t="str">
        <f>IF(O$3="","",IF(COUNTIFS(BD!$A$3:$A$5001,O$3,BD!$B$3:$B$5001,$A$192,BD!$Q$3:$Q$5001,"&lt;&gt;")=0,"",SUMIFS(BD!$Q$3:$Q$5001,BD!$A$3:$A$5001,O$3,BD!$B$3:$B$5001,$A$192)))</f>
        <v/>
      </c>
      <c r="P195" s="172" t="str">
        <f>IF(P$3="","",IF(COUNTIFS(BD!$A$3:$A$5001,P$3,BD!$B$3:$B$5001,$A$192,BD!$Q$3:$Q$5001,"&lt;&gt;")=0,"",SUMIFS(BD!$Q$3:$Q$5001,BD!$A$3:$A$5001,P$3,BD!$B$3:$B$5001,$A$192)))</f>
        <v/>
      </c>
      <c r="Q195" s="172" t="str">
        <f>IF(Q$3="","",IF(COUNTIFS(BD!$A$3:$A$5001,Q$3,BD!$B$3:$B$5001,$A$192,BD!$Q$3:$Q$5001,"&lt;&gt;")=0,"",SUMIFS(BD!$Q$3:$Q$5001,BD!$A$3:$A$5001,Q$3,BD!$B$3:$B$5001,$A$192)))</f>
        <v/>
      </c>
      <c r="R195" s="172" t="str">
        <f>IF(R$3="","",IF(COUNTIFS(BD!$A$3:$A$5001,R$3,BD!$B$3:$B$5001,$A$192,BD!$Q$3:$Q$5001,"&lt;&gt;")=0,"",SUMIFS(BD!$Q$3:$Q$5001,BD!$A$3:$A$5001,R$3,BD!$B$3:$B$5001,$A$192)))</f>
        <v/>
      </c>
      <c r="S195" s="172" t="str">
        <f>IF(S$3="","",IF(COUNTIFS(BD!$A$3:$A$5001,S$3,BD!$B$3:$B$5001,$A$192,BD!$Q$3:$Q$5001,"&lt;&gt;")=0,"",SUMIFS(BD!$Q$3:$Q$5001,BD!$A$3:$A$5001,S$3,BD!$B$3:$B$5001,$A$192)))</f>
        <v/>
      </c>
      <c r="T195" s="172" t="str">
        <f>IF(T$3="","",IF(COUNTIFS(BD!$A$3:$A$5001,T$3,BD!$B$3:$B$5001,$A$192,BD!$Q$3:$Q$5001,"&lt;&gt;")=0,"",SUMIFS(BD!$Q$3:$Q$5001,BD!$A$3:$A$5001,T$3,BD!$B$3:$B$5001,$A$192)))</f>
        <v/>
      </c>
      <c r="U195" s="172" t="str">
        <f>IF(U$3="","",IF(COUNTIFS(BD!$A$3:$A$5001,U$3,BD!$B$3:$B$5001,$A$192,BD!$Q$3:$Q$5001,"&lt;&gt;")=0,"",SUMIFS(BD!$Q$3:$Q$5001,BD!$A$3:$A$5001,U$3,BD!$B$3:$B$5001,$A$192)))</f>
        <v/>
      </c>
      <c r="V195" s="172" t="str">
        <f>IF(V$3="","",IF(COUNTIFS(BD!$A$3:$A$5001,V$3,BD!$B$3:$B$5001,$A$192,BD!$Q$3:$Q$5001,"&lt;&gt;")=0,"",SUMIFS(BD!$Q$3:$Q$5001,BD!$A$3:$A$5001,V$3,BD!$B$3:$B$5001,$A$192)))</f>
        <v/>
      </c>
      <c r="W195" s="172" t="str">
        <f>IF(W$3="","",IF(COUNTIFS(BD!$A$3:$A$5001,W$3,BD!$B$3:$B$5001,$A$192,BD!$Q$3:$Q$5001,"&lt;&gt;")=0,"",SUMIFS(BD!$Q$3:$Q$5001,BD!$A$3:$A$5001,W$3,BD!$B$3:$B$5001,$A$192)))</f>
        <v/>
      </c>
      <c r="X195" s="172" t="str">
        <f>IF(X$3="","",IF(COUNTIFS(BD!$A$3:$A$5001,X$3,BD!$B$3:$B$5001,$A$192,BD!$Q$3:$Q$5001,"&lt;&gt;")=0,"",SUMIFS(BD!$Q$3:$Q$5001,BD!$A$3:$A$5001,X$3,BD!$B$3:$B$5001,$A$192)))</f>
        <v/>
      </c>
      <c r="Y195" s="172" t="str">
        <f>IF(Y$3="","",IF(COUNTIFS(BD!$A$3:$A$5001,Y$3,BD!$B$3:$B$5001,$A$192,BD!$Q$3:$Q$5001,"&lt;&gt;")=0,"",SUMIFS(BD!$Q$3:$Q$5001,BD!$A$3:$A$5001,Y$3,BD!$B$3:$B$5001,$A$192)))</f>
        <v/>
      </c>
      <c r="Z195" s="172" t="str">
        <f>IF(Z$3="","",IF(COUNTIFS(BD!$A$3:$A$5001,Z$3,BD!$B$3:$B$5001,$A$192,BD!$Q$3:$Q$5001,"&lt;&gt;")=0,"",SUMIFS(BD!$Q$3:$Q$5001,BD!$A$3:$A$5001,Z$3,BD!$B$3:$B$5001,$A$192)))</f>
        <v/>
      </c>
      <c r="AA195" s="172" t="str">
        <f>IF(AA$3="","",IF(COUNTIFS(BD!$A$3:$A$5001,AA$3,BD!$B$3:$B$5001,$A$192,BD!$Q$3:$Q$5001,"&lt;&gt;")=0,"",SUMIFS(BD!$Q$3:$Q$5001,BD!$A$3:$A$5001,AA$3,BD!$B$3:$B$5001,$A$192)))</f>
        <v/>
      </c>
      <c r="AB195" s="172" t="str">
        <f>IF(AB$3="","",IF(COUNTIFS(BD!$A$3:$A$5001,AB$3,BD!$B$3:$B$5001,$A$192,BD!$Q$3:$Q$5001,"&lt;&gt;")=0,"",SUMIFS(BD!$Q$3:$Q$5001,BD!$A$3:$A$5001,AB$3,BD!$B$3:$B$5001,$A$192)))</f>
        <v/>
      </c>
      <c r="AC195" s="172" t="str">
        <f>IF(AC$3="","",IF(COUNTIFS(BD!$A$3:$A$5001,AC$3,BD!$B$3:$B$5001,$A$192,BD!$Q$3:$Q$5001,"&lt;&gt;")=0,"",SUMIFS(BD!$Q$3:$Q$5001,BD!$A$3:$A$5001,AC$3,BD!$B$3:$B$5001,$A$192)))</f>
        <v/>
      </c>
      <c r="AD195" s="172" t="str">
        <f>IF(AD$3="","",IF(COUNTIFS(BD!$A$3:$A$5001,AD$3,BD!$B$3:$B$5001,$A$192,BD!$Q$3:$Q$5001,"&lt;&gt;")=0,"",SUMIFS(BD!$Q$3:$Q$5001,BD!$A$3:$A$5001,AD$3,BD!$B$3:$B$5001,$A$192)))</f>
        <v/>
      </c>
      <c r="AE195" s="172" t="str">
        <f>IF(AE$3="","",IF(COUNTIFS(BD!$A$3:$A$5001,AE$3,BD!$B$3:$B$5001,$A$192,BD!$Q$3:$Q$5001,"&lt;&gt;")=0,"",SUMIFS(BD!$Q$3:$Q$5001,BD!$A$3:$A$5001,AE$3,BD!$B$3:$B$5001,$A$192)))</f>
        <v/>
      </c>
      <c r="AF195" s="172" t="str">
        <f>IF(AF$3="","",IF(COUNTIFS(BD!$A$3:$A$5001,AF$3,BD!$B$3:$B$5001,$A$192,BD!$Q$3:$Q$5001,"&lt;&gt;")=0,"",SUMIFS(BD!$Q$3:$Q$5001,BD!$A$3:$A$5001,AF$3,BD!$B$3:$B$5001,$A$192)))</f>
        <v/>
      </c>
      <c r="AG195" s="172" t="str">
        <f>IF(AG$3="","",IF(COUNTIFS(BD!$A$3:$A$5001,AG$3,BD!$B$3:$B$5001,$A$192,BD!$Q$3:$Q$5001,"&lt;&gt;")=0,"",SUMIFS(BD!$Q$3:$Q$5001,BD!$A$3:$A$5001,AG$3,BD!$B$3:$B$5001,$A$192)))</f>
        <v/>
      </c>
      <c r="AH195" s="172" t="str">
        <f>IF(AH$3="","",IF(COUNTIFS(BD!$A$3:$A$5001,AH$3,BD!$B$3:$B$5001,$A$192,BD!$Q$3:$Q$5001,"&lt;&gt;")=0,"",SUMIFS(BD!$Q$3:$Q$5001,BD!$A$3:$A$5001,AH$3,BD!$B$3:$B$5001,$A$192)))</f>
        <v/>
      </c>
      <c r="AI195" s="172" t="str">
        <f>IF(AI$3="","",IF(COUNTIFS(BD!$A$3:$A$5001,AI$3,BD!$B$3:$B$5001,$A$192,BD!$Q$3:$Q$5001,"&lt;&gt;")=0,"",SUMIFS(BD!$Q$3:$Q$5001,BD!$A$3:$A$5001,AI$3,BD!$B$3:$B$5001,$A$192)))</f>
        <v/>
      </c>
      <c r="AJ195" s="173" t="str">
        <f>IF(AJ$3="","",IF(COUNTIFS(BD!$A$3:$A$5001,AJ$3,BD!$B$3:$B$5001,$A$192,BD!$Q$3:$Q$5001,"&lt;&gt;")=0,"",SUMIFS(BD!$Q$3:$Q$5001,BD!$A$3:$A$5001,AJ$3,BD!$B$3:$B$5001,$A$192)))</f>
        <v/>
      </c>
      <c r="AK195" s="169" t="str">
        <f>IF(COUNT(F195:AJ195)=0,"",SUM(F195:AJ195))</f>
        <v/>
      </c>
    </row>
    <row r="196" ht="15.75" customHeight="1">
      <c r="A196" s="237"/>
      <c r="B196" s="229" t="inlineStr">
        <is>
          <t xml:space="preserve">NC</t>
        </is>
      </c>
      <c r="C196" s="174" t="inlineStr">
        <is>
          <t xml:space="preserve">Incidentes</t>
        </is>
      </c>
      <c r="D196" s="175" t="str">
        <f>IFERROR(1/(1/INDEX(BD!$AK$41:$AU$41,MATCH($A$192,BD!$AK$22:$AU$22,0))),"")</f>
        <v/>
      </c>
      <c r="E196" s="176"/>
      <c r="F196" s="177" t="str">
        <f>IF(F$3="","",IF(COUNTIFS(BD!$A$3:$A$5001,F$3,BD!$B$3:$B$5001,$A$192,BD!$U$3:$U$5001,"&lt;&gt;")=0,"",SUMIFS(BD!$U$3:$U$5001,BD!$A$3:$A$5001,F$3,BD!$B$3:$B$5001,$A$192)))</f>
        <v/>
      </c>
      <c r="G196" s="178" t="str">
        <f>IF(G$3="","",IF(COUNTIFS(BD!$A$3:$A$5001,G$3,BD!$B$3:$B$5001,$A$192,BD!$U$3:$U$5001,"&lt;&gt;")=0,"",SUMIFS(BD!$U$3:$U$5001,BD!$A$3:$A$5001,G$3,BD!$B$3:$B$5001,$A$192)))</f>
        <v/>
      </c>
      <c r="H196" s="178" t="str">
        <f>IF(H$3="","",IF(COUNTIFS(BD!$A$3:$A$5001,H$3,BD!$B$3:$B$5001,$A$192,BD!$U$3:$U$5001,"&lt;&gt;")=0,"",SUMIFS(BD!$U$3:$U$5001,BD!$A$3:$A$5001,H$3,BD!$B$3:$B$5001,$A$192)))</f>
        <v/>
      </c>
      <c r="I196" s="178" t="str">
        <f>IF(I$3="","",IF(COUNTIFS(BD!$A$3:$A$5001,I$3,BD!$B$3:$B$5001,$A$192,BD!$U$3:$U$5001,"&lt;&gt;")=0,"",SUMIFS(BD!$U$3:$U$5001,BD!$A$3:$A$5001,I$3,BD!$B$3:$B$5001,$A$192)))</f>
        <v/>
      </c>
      <c r="J196" s="178" t="str">
        <f>IF(J$3="","",IF(COUNTIFS(BD!$A$3:$A$5001,J$3,BD!$B$3:$B$5001,$A$192,BD!$U$3:$U$5001,"&lt;&gt;")=0,"",SUMIFS(BD!$U$3:$U$5001,BD!$A$3:$A$5001,J$3,BD!$B$3:$B$5001,$A$192)))</f>
        <v/>
      </c>
      <c r="K196" s="178" t="str">
        <f>IF(K$3="","",IF(COUNTIFS(BD!$A$3:$A$5001,K$3,BD!$B$3:$B$5001,$A$192,BD!$U$3:$U$5001,"&lt;&gt;")=0,"",SUMIFS(BD!$U$3:$U$5001,BD!$A$3:$A$5001,K$3,BD!$B$3:$B$5001,$A$192)))</f>
        <v/>
      </c>
      <c r="L196" s="178" t="str">
        <f>IF(L$3="","",IF(COUNTIFS(BD!$A$3:$A$5001,L$3,BD!$B$3:$B$5001,$A$192,BD!$U$3:$U$5001,"&lt;&gt;")=0,"",SUMIFS(BD!$U$3:$U$5001,BD!$A$3:$A$5001,L$3,BD!$B$3:$B$5001,$A$192)))</f>
        <v/>
      </c>
      <c r="M196" s="178" t="str">
        <f>IF(M$3="","",IF(COUNTIFS(BD!$A$3:$A$5001,M$3,BD!$B$3:$B$5001,$A$192,BD!$U$3:$U$5001,"&lt;&gt;")=0,"",SUMIFS(BD!$U$3:$U$5001,BD!$A$3:$A$5001,M$3,BD!$B$3:$B$5001,$A$192)))</f>
        <v/>
      </c>
      <c r="N196" s="178" t="str">
        <f>IF(N$3="","",IF(COUNTIFS(BD!$A$3:$A$5001,N$3,BD!$B$3:$B$5001,$A$192,BD!$U$3:$U$5001,"&lt;&gt;")=0,"",SUMIFS(BD!$U$3:$U$5001,BD!$A$3:$A$5001,N$3,BD!$B$3:$B$5001,$A$192)))</f>
        <v/>
      </c>
      <c r="O196" s="178" t="str">
        <f>IF(O$3="","",IF(COUNTIFS(BD!$A$3:$A$5001,O$3,BD!$B$3:$B$5001,$A$192,BD!$U$3:$U$5001,"&lt;&gt;")=0,"",SUMIFS(BD!$U$3:$U$5001,BD!$A$3:$A$5001,O$3,BD!$B$3:$B$5001,$A$192)))</f>
        <v/>
      </c>
      <c r="P196" s="178" t="str">
        <f>IF(P$3="","",IF(COUNTIFS(BD!$A$3:$A$5001,P$3,BD!$B$3:$B$5001,$A$192,BD!$U$3:$U$5001,"&lt;&gt;")=0,"",SUMIFS(BD!$U$3:$U$5001,BD!$A$3:$A$5001,P$3,BD!$B$3:$B$5001,$A$192)))</f>
        <v/>
      </c>
      <c r="Q196" s="178" t="str">
        <f>IF(Q$3="","",IF(COUNTIFS(BD!$A$3:$A$5001,Q$3,BD!$B$3:$B$5001,$A$192,BD!$U$3:$U$5001,"&lt;&gt;")=0,"",SUMIFS(BD!$U$3:$U$5001,BD!$A$3:$A$5001,Q$3,BD!$B$3:$B$5001,$A$192)))</f>
        <v/>
      </c>
      <c r="R196" s="178" t="str">
        <f>IF(R$3="","",IF(COUNTIFS(BD!$A$3:$A$5001,R$3,BD!$B$3:$B$5001,$A$192,BD!$U$3:$U$5001,"&lt;&gt;")=0,"",SUMIFS(BD!$U$3:$U$5001,BD!$A$3:$A$5001,R$3,BD!$B$3:$B$5001,$A$192)))</f>
        <v/>
      </c>
      <c r="S196" s="178" t="str">
        <f>IF(S$3="","",IF(COUNTIFS(BD!$A$3:$A$5001,S$3,BD!$B$3:$B$5001,$A$192,BD!$U$3:$U$5001,"&lt;&gt;")=0,"",SUMIFS(BD!$U$3:$U$5001,BD!$A$3:$A$5001,S$3,BD!$B$3:$B$5001,$A$192)))</f>
        <v/>
      </c>
      <c r="T196" s="178" t="str">
        <f>IF(T$3="","",IF(COUNTIFS(BD!$A$3:$A$5001,T$3,BD!$B$3:$B$5001,$A$192,BD!$U$3:$U$5001,"&lt;&gt;")=0,"",SUMIFS(BD!$U$3:$U$5001,BD!$A$3:$A$5001,T$3,BD!$B$3:$B$5001,$A$192)))</f>
        <v/>
      </c>
      <c r="U196" s="178" t="str">
        <f>IF(U$3="","",IF(COUNTIFS(BD!$A$3:$A$5001,U$3,BD!$B$3:$B$5001,$A$192,BD!$U$3:$U$5001,"&lt;&gt;")=0,"",SUMIFS(BD!$U$3:$U$5001,BD!$A$3:$A$5001,U$3,BD!$B$3:$B$5001,$A$192)))</f>
        <v/>
      </c>
      <c r="V196" s="178" t="str">
        <f>IF(V$3="","",IF(COUNTIFS(BD!$A$3:$A$5001,V$3,BD!$B$3:$B$5001,$A$192,BD!$U$3:$U$5001,"&lt;&gt;")=0,"",SUMIFS(BD!$U$3:$U$5001,BD!$A$3:$A$5001,V$3,BD!$B$3:$B$5001,$A$192)))</f>
        <v/>
      </c>
      <c r="W196" s="178" t="str">
        <f>IF(W$3="","",IF(COUNTIFS(BD!$A$3:$A$5001,W$3,BD!$B$3:$B$5001,$A$192,BD!$U$3:$U$5001,"&lt;&gt;")=0,"",SUMIFS(BD!$U$3:$U$5001,BD!$A$3:$A$5001,W$3,BD!$B$3:$B$5001,$A$192)))</f>
        <v/>
      </c>
      <c r="X196" s="178" t="str">
        <f>IF(X$3="","",IF(COUNTIFS(BD!$A$3:$A$5001,X$3,BD!$B$3:$B$5001,$A$192,BD!$U$3:$U$5001,"&lt;&gt;")=0,"",SUMIFS(BD!$U$3:$U$5001,BD!$A$3:$A$5001,X$3,BD!$B$3:$B$5001,$A$192)))</f>
        <v/>
      </c>
      <c r="Y196" s="178" t="str">
        <f>IF(Y$3="","",IF(COUNTIFS(BD!$A$3:$A$5001,Y$3,BD!$B$3:$B$5001,$A$192,BD!$U$3:$U$5001,"&lt;&gt;")=0,"",SUMIFS(BD!$U$3:$U$5001,BD!$A$3:$A$5001,Y$3,BD!$B$3:$B$5001,$A$192)))</f>
        <v/>
      </c>
      <c r="Z196" s="178" t="str">
        <f>IF(Z$3="","",IF(COUNTIFS(BD!$A$3:$A$5001,Z$3,BD!$B$3:$B$5001,$A$192,BD!$U$3:$U$5001,"&lt;&gt;")=0,"",SUMIFS(BD!$U$3:$U$5001,BD!$A$3:$A$5001,Z$3,BD!$B$3:$B$5001,$A$192)))</f>
        <v/>
      </c>
      <c r="AA196" s="178" t="str">
        <f>IF(AA$3="","",IF(COUNTIFS(BD!$A$3:$A$5001,AA$3,BD!$B$3:$B$5001,$A$192,BD!$U$3:$U$5001,"&lt;&gt;")=0,"",SUMIFS(BD!$U$3:$U$5001,BD!$A$3:$A$5001,AA$3,BD!$B$3:$B$5001,$A$192)))</f>
        <v/>
      </c>
      <c r="AB196" s="178" t="str">
        <f>IF(AB$3="","",IF(COUNTIFS(BD!$A$3:$A$5001,AB$3,BD!$B$3:$B$5001,$A$192,BD!$U$3:$U$5001,"&lt;&gt;")=0,"",SUMIFS(BD!$U$3:$U$5001,BD!$A$3:$A$5001,AB$3,BD!$B$3:$B$5001,$A$192)))</f>
        <v/>
      </c>
      <c r="AC196" s="178" t="str">
        <f>IF(AC$3="","",IF(COUNTIFS(BD!$A$3:$A$5001,AC$3,BD!$B$3:$B$5001,$A$192,BD!$U$3:$U$5001,"&lt;&gt;")=0,"",SUMIFS(BD!$U$3:$U$5001,BD!$A$3:$A$5001,AC$3,BD!$B$3:$B$5001,$A$192)))</f>
        <v/>
      </c>
      <c r="AD196" s="178" t="str">
        <f>IF(AD$3="","",IF(COUNTIFS(BD!$A$3:$A$5001,AD$3,BD!$B$3:$B$5001,$A$192,BD!$U$3:$U$5001,"&lt;&gt;")=0,"",SUMIFS(BD!$U$3:$U$5001,BD!$A$3:$A$5001,AD$3,BD!$B$3:$B$5001,$A$192)))</f>
        <v/>
      </c>
      <c r="AE196" s="178" t="str">
        <f>IF(AE$3="","",IF(COUNTIFS(BD!$A$3:$A$5001,AE$3,BD!$B$3:$B$5001,$A$192,BD!$U$3:$U$5001,"&lt;&gt;")=0,"",SUMIFS(BD!$U$3:$U$5001,BD!$A$3:$A$5001,AE$3,BD!$B$3:$B$5001,$A$192)))</f>
        <v/>
      </c>
      <c r="AF196" s="178" t="str">
        <f>IF(AF$3="","",IF(COUNTIFS(BD!$A$3:$A$5001,AF$3,BD!$B$3:$B$5001,$A$192,BD!$U$3:$U$5001,"&lt;&gt;")=0,"",SUMIFS(BD!$U$3:$U$5001,BD!$A$3:$A$5001,AF$3,BD!$B$3:$B$5001,$A$192)))</f>
        <v/>
      </c>
      <c r="AG196" s="178" t="str">
        <f>IF(AG$3="","",IF(COUNTIFS(BD!$A$3:$A$5001,AG$3,BD!$B$3:$B$5001,$A$192,BD!$U$3:$U$5001,"&lt;&gt;")=0,"",SUMIFS(BD!$U$3:$U$5001,BD!$A$3:$A$5001,AG$3,BD!$B$3:$B$5001,$A$192)))</f>
        <v/>
      </c>
      <c r="AH196" s="178" t="str">
        <f>IF(AH$3="","",IF(COUNTIFS(BD!$A$3:$A$5001,AH$3,BD!$B$3:$B$5001,$A$192,BD!$U$3:$U$5001,"&lt;&gt;")=0,"",SUMIFS(BD!$U$3:$U$5001,BD!$A$3:$A$5001,AH$3,BD!$B$3:$B$5001,$A$192)))</f>
        <v/>
      </c>
      <c r="AI196" s="178" t="str">
        <f>IF(AI$3="","",IF(COUNTIFS(BD!$A$3:$A$5001,AI$3,BD!$B$3:$B$5001,$A$192,BD!$U$3:$U$5001,"&lt;&gt;")=0,"",SUMIFS(BD!$U$3:$U$5001,BD!$A$3:$A$5001,AI$3,BD!$B$3:$B$5001,$A$192)))</f>
        <v/>
      </c>
      <c r="AJ196" s="179" t="str">
        <f>IF(AJ$3="","",IF(COUNTIFS(BD!$A$3:$A$5001,AJ$3,BD!$B$3:$B$5001,$A$192,BD!$U$3:$U$5001,"&lt;&gt;")=0,"",SUMIFS(BD!$U$3:$U$5001,BD!$A$3:$A$5001,AJ$3,BD!$B$3:$B$5001,$A$192)))</f>
        <v/>
      </c>
      <c r="AK196" s="180" t="str">
        <f>IF(COUNT(F196:AJ196)=0,"",SUM(F196:AJ196))</f>
        <v/>
      </c>
    </row>
    <row r="197" ht="15.75" customHeight="1">
      <c r="A197" s="237"/>
      <c r="B197" s="230"/>
      <c r="C197" s="181" t="inlineStr">
        <is>
          <t xml:space="preserve">No show</t>
        </is>
      </c>
      <c r="D197" s="182" t="str">
        <f>IFERROR(1/(1/INDEX(BD!$AK$42:$AU$42,MATCH($A$192,BD!$AK$22:$AU$22,0))),"")</f>
        <v/>
      </c>
      <c r="E197" s="183"/>
      <c r="F197" s="184" t="str">
        <f>IF(F$3="","",IF(COUNTIFS(BD!$A$3:$A$5001,F$3,BD!$B$3:$B$5001,$A$192,BD!$V$3:$V$5001,"&lt;&gt;")=0,"",SUMIFS(BD!$V$3:$V$5001,BD!$A$3:$A$5001,F$3,BD!$B$3:$B$5001,$A$192)))</f>
        <v/>
      </c>
      <c r="G197" s="185" t="str">
        <f>IF(G$3="","",IF(COUNTIFS(BD!$A$3:$A$5001,G$3,BD!$B$3:$B$5001,$A$192,BD!$V$3:$V$5001,"&lt;&gt;")=0,"",SUMIFS(BD!$V$3:$V$5001,BD!$A$3:$A$5001,G$3,BD!$B$3:$B$5001,$A$192)))</f>
        <v/>
      </c>
      <c r="H197" s="185" t="str">
        <f>IF(H$3="","",IF(COUNTIFS(BD!$A$3:$A$5001,H$3,BD!$B$3:$B$5001,$A$192,BD!$V$3:$V$5001,"&lt;&gt;")=0,"",SUMIFS(BD!$V$3:$V$5001,BD!$A$3:$A$5001,H$3,BD!$B$3:$B$5001,$A$192)))</f>
        <v/>
      </c>
      <c r="I197" s="185" t="str">
        <f>IF(I$3="","",IF(COUNTIFS(BD!$A$3:$A$5001,I$3,BD!$B$3:$B$5001,$A$192,BD!$V$3:$V$5001,"&lt;&gt;")=0,"",SUMIFS(BD!$V$3:$V$5001,BD!$A$3:$A$5001,I$3,BD!$B$3:$B$5001,$A$192)))</f>
        <v/>
      </c>
      <c r="J197" s="185" t="str">
        <f>IF(J$3="","",IF(COUNTIFS(BD!$A$3:$A$5001,J$3,BD!$B$3:$B$5001,$A$192,BD!$V$3:$V$5001,"&lt;&gt;")=0,"",SUMIFS(BD!$V$3:$V$5001,BD!$A$3:$A$5001,J$3,BD!$B$3:$B$5001,$A$192)))</f>
        <v/>
      </c>
      <c r="K197" s="185" t="str">
        <f>IF(K$3="","",IF(COUNTIFS(BD!$A$3:$A$5001,K$3,BD!$B$3:$B$5001,$A$192,BD!$V$3:$V$5001,"&lt;&gt;")=0,"",SUMIFS(BD!$V$3:$V$5001,BD!$A$3:$A$5001,K$3,BD!$B$3:$B$5001,$A$192)))</f>
        <v/>
      </c>
      <c r="L197" s="185" t="str">
        <f>IF(L$3="","",IF(COUNTIFS(BD!$A$3:$A$5001,L$3,BD!$B$3:$B$5001,$A$192,BD!$V$3:$V$5001,"&lt;&gt;")=0,"",SUMIFS(BD!$V$3:$V$5001,BD!$A$3:$A$5001,L$3,BD!$B$3:$B$5001,$A$192)))</f>
        <v/>
      </c>
      <c r="M197" s="185" t="str">
        <f>IF(M$3="","",IF(COUNTIFS(BD!$A$3:$A$5001,M$3,BD!$B$3:$B$5001,$A$192,BD!$V$3:$V$5001,"&lt;&gt;")=0,"",SUMIFS(BD!$V$3:$V$5001,BD!$A$3:$A$5001,M$3,BD!$B$3:$B$5001,$A$192)))</f>
        <v/>
      </c>
      <c r="N197" s="185" t="str">
        <f>IF(N$3="","",IF(COUNTIFS(BD!$A$3:$A$5001,N$3,BD!$B$3:$B$5001,$A$192,BD!$V$3:$V$5001,"&lt;&gt;")=0,"",SUMIFS(BD!$V$3:$V$5001,BD!$A$3:$A$5001,N$3,BD!$B$3:$B$5001,$A$192)))</f>
        <v/>
      </c>
      <c r="O197" s="185" t="str">
        <f>IF(O$3="","",IF(COUNTIFS(BD!$A$3:$A$5001,O$3,BD!$B$3:$B$5001,$A$192,BD!$V$3:$V$5001,"&lt;&gt;")=0,"",SUMIFS(BD!$V$3:$V$5001,BD!$A$3:$A$5001,O$3,BD!$B$3:$B$5001,$A$192)))</f>
        <v/>
      </c>
      <c r="P197" s="185" t="str">
        <f>IF(P$3="","",IF(COUNTIFS(BD!$A$3:$A$5001,P$3,BD!$B$3:$B$5001,$A$192,BD!$V$3:$V$5001,"&lt;&gt;")=0,"",SUMIFS(BD!$V$3:$V$5001,BD!$A$3:$A$5001,P$3,BD!$B$3:$B$5001,$A$192)))</f>
        <v/>
      </c>
      <c r="Q197" s="185" t="str">
        <f>IF(Q$3="","",IF(COUNTIFS(BD!$A$3:$A$5001,Q$3,BD!$B$3:$B$5001,$A$192,BD!$V$3:$V$5001,"&lt;&gt;")=0,"",SUMIFS(BD!$V$3:$V$5001,BD!$A$3:$A$5001,Q$3,BD!$B$3:$B$5001,$A$192)))</f>
        <v/>
      </c>
      <c r="R197" s="185" t="str">
        <f>IF(R$3="","",IF(COUNTIFS(BD!$A$3:$A$5001,R$3,BD!$B$3:$B$5001,$A$192,BD!$V$3:$V$5001,"&lt;&gt;")=0,"",SUMIFS(BD!$V$3:$V$5001,BD!$A$3:$A$5001,R$3,BD!$B$3:$B$5001,$A$192)))</f>
        <v/>
      </c>
      <c r="S197" s="185" t="str">
        <f>IF(S$3="","",IF(COUNTIFS(BD!$A$3:$A$5001,S$3,BD!$B$3:$B$5001,$A$192,BD!$V$3:$V$5001,"&lt;&gt;")=0,"",SUMIFS(BD!$V$3:$V$5001,BD!$A$3:$A$5001,S$3,BD!$B$3:$B$5001,$A$192)))</f>
        <v/>
      </c>
      <c r="T197" s="185" t="str">
        <f>IF(T$3="","",IF(COUNTIFS(BD!$A$3:$A$5001,T$3,BD!$B$3:$B$5001,$A$192,BD!$V$3:$V$5001,"&lt;&gt;")=0,"",SUMIFS(BD!$V$3:$V$5001,BD!$A$3:$A$5001,T$3,BD!$B$3:$B$5001,$A$192)))</f>
        <v/>
      </c>
      <c r="U197" s="185" t="str">
        <f>IF(U$3="","",IF(COUNTIFS(BD!$A$3:$A$5001,U$3,BD!$B$3:$B$5001,$A$192,BD!$V$3:$V$5001,"&lt;&gt;")=0,"",SUMIFS(BD!$V$3:$V$5001,BD!$A$3:$A$5001,U$3,BD!$B$3:$B$5001,$A$192)))</f>
        <v/>
      </c>
      <c r="V197" s="185" t="str">
        <f>IF(V$3="","",IF(COUNTIFS(BD!$A$3:$A$5001,V$3,BD!$B$3:$B$5001,$A$192,BD!$V$3:$V$5001,"&lt;&gt;")=0,"",SUMIFS(BD!$V$3:$V$5001,BD!$A$3:$A$5001,V$3,BD!$B$3:$B$5001,$A$192)))</f>
        <v/>
      </c>
      <c r="W197" s="185" t="str">
        <f>IF(W$3="","",IF(COUNTIFS(BD!$A$3:$A$5001,W$3,BD!$B$3:$B$5001,$A$192,BD!$V$3:$V$5001,"&lt;&gt;")=0,"",SUMIFS(BD!$V$3:$V$5001,BD!$A$3:$A$5001,W$3,BD!$B$3:$B$5001,$A$192)))</f>
        <v/>
      </c>
      <c r="X197" s="185" t="str">
        <f>IF(X$3="","",IF(COUNTIFS(BD!$A$3:$A$5001,X$3,BD!$B$3:$B$5001,$A$192,BD!$V$3:$V$5001,"&lt;&gt;")=0,"",SUMIFS(BD!$V$3:$V$5001,BD!$A$3:$A$5001,X$3,BD!$B$3:$B$5001,$A$192)))</f>
        <v/>
      </c>
      <c r="Y197" s="185" t="str">
        <f>IF(Y$3="","",IF(COUNTIFS(BD!$A$3:$A$5001,Y$3,BD!$B$3:$B$5001,$A$192,BD!$V$3:$V$5001,"&lt;&gt;")=0,"",SUMIFS(BD!$V$3:$V$5001,BD!$A$3:$A$5001,Y$3,BD!$B$3:$B$5001,$A$192)))</f>
        <v/>
      </c>
      <c r="Z197" s="185" t="str">
        <f>IF(Z$3="","",IF(COUNTIFS(BD!$A$3:$A$5001,Z$3,BD!$B$3:$B$5001,$A$192,BD!$V$3:$V$5001,"&lt;&gt;")=0,"",SUMIFS(BD!$V$3:$V$5001,BD!$A$3:$A$5001,Z$3,BD!$B$3:$B$5001,$A$192)))</f>
        <v/>
      </c>
      <c r="AA197" s="185" t="str">
        <f>IF(AA$3="","",IF(COUNTIFS(BD!$A$3:$A$5001,AA$3,BD!$B$3:$B$5001,$A$192,BD!$V$3:$V$5001,"&lt;&gt;")=0,"",SUMIFS(BD!$V$3:$V$5001,BD!$A$3:$A$5001,AA$3,BD!$B$3:$B$5001,$A$192)))</f>
        <v/>
      </c>
      <c r="AB197" s="185" t="str">
        <f>IF(AB$3="","",IF(COUNTIFS(BD!$A$3:$A$5001,AB$3,BD!$B$3:$B$5001,$A$192,BD!$V$3:$V$5001,"&lt;&gt;")=0,"",SUMIFS(BD!$V$3:$V$5001,BD!$A$3:$A$5001,AB$3,BD!$B$3:$B$5001,$A$192)))</f>
        <v/>
      </c>
      <c r="AC197" s="185" t="str">
        <f>IF(AC$3="","",IF(COUNTIFS(BD!$A$3:$A$5001,AC$3,BD!$B$3:$B$5001,$A$192,BD!$V$3:$V$5001,"&lt;&gt;")=0,"",SUMIFS(BD!$V$3:$V$5001,BD!$A$3:$A$5001,AC$3,BD!$B$3:$B$5001,$A$192)))</f>
        <v/>
      </c>
      <c r="AD197" s="185" t="str">
        <f>IF(AD$3="","",IF(COUNTIFS(BD!$A$3:$A$5001,AD$3,BD!$B$3:$B$5001,$A$192,BD!$V$3:$V$5001,"&lt;&gt;")=0,"",SUMIFS(BD!$V$3:$V$5001,BD!$A$3:$A$5001,AD$3,BD!$B$3:$B$5001,$A$192)))</f>
        <v/>
      </c>
      <c r="AE197" s="185" t="str">
        <f>IF(AE$3="","",IF(COUNTIFS(BD!$A$3:$A$5001,AE$3,BD!$B$3:$B$5001,$A$192,BD!$V$3:$V$5001,"&lt;&gt;")=0,"",SUMIFS(BD!$V$3:$V$5001,BD!$A$3:$A$5001,AE$3,BD!$B$3:$B$5001,$A$192)))</f>
        <v/>
      </c>
      <c r="AF197" s="185" t="str">
        <f>IF(AF$3="","",IF(COUNTIFS(BD!$A$3:$A$5001,AF$3,BD!$B$3:$B$5001,$A$192,BD!$V$3:$V$5001,"&lt;&gt;")=0,"",SUMIFS(BD!$V$3:$V$5001,BD!$A$3:$A$5001,AF$3,BD!$B$3:$B$5001,$A$192)))</f>
        <v/>
      </c>
      <c r="AG197" s="185" t="str">
        <f>IF(AG$3="","",IF(COUNTIFS(BD!$A$3:$A$5001,AG$3,BD!$B$3:$B$5001,$A$192,BD!$V$3:$V$5001,"&lt;&gt;")=0,"",SUMIFS(BD!$V$3:$V$5001,BD!$A$3:$A$5001,AG$3,BD!$B$3:$B$5001,$A$192)))</f>
        <v/>
      </c>
      <c r="AH197" s="185" t="str">
        <f>IF(AH$3="","",IF(COUNTIFS(BD!$A$3:$A$5001,AH$3,BD!$B$3:$B$5001,$A$192,BD!$V$3:$V$5001,"&lt;&gt;")=0,"",SUMIFS(BD!$V$3:$V$5001,BD!$A$3:$A$5001,AH$3,BD!$B$3:$B$5001,$A$192)))</f>
        <v/>
      </c>
      <c r="AI197" s="185" t="str">
        <f>IF(AI$3="","",IF(COUNTIFS(BD!$A$3:$A$5001,AI$3,BD!$B$3:$B$5001,$A$192,BD!$V$3:$V$5001,"&lt;&gt;")=0,"",SUMIFS(BD!$V$3:$V$5001,BD!$A$3:$A$5001,AI$3,BD!$B$3:$B$5001,$A$192)))</f>
        <v/>
      </c>
      <c r="AJ197" s="186" t="str">
        <f>IF(AJ$3="","",IF(COUNTIFS(BD!$A$3:$A$5001,AJ$3,BD!$B$3:$B$5001,$A$192,BD!$V$3:$V$5001,"&lt;&gt;")=0,"",SUMIFS(BD!$V$3:$V$5001,BD!$A$3:$A$5001,AJ$3,BD!$B$3:$B$5001,$A$192)))</f>
        <v/>
      </c>
      <c r="AK197" s="187" t="str">
        <f>IF(COUNT(F197:AJ197)=0,"",SUM(F197:AJ197))</f>
        <v/>
      </c>
    </row>
    <row r="198" ht="15.75" customHeight="1">
      <c r="A198" s="237"/>
      <c r="B198" s="231"/>
      <c r="C198" s="188" t="inlineStr">
        <is>
          <t xml:space="preserve">Backlog</t>
        </is>
      </c>
      <c r="D198" s="189" t="str">
        <f>IFERROR(1/(1/INDEX(BD!$AK$43:$AU$43,MATCH($A$192,BD!$AK$22:$AU$22,0))),"")</f>
        <v/>
      </c>
      <c r="E198" s="190"/>
      <c r="F198" s="191" t="str">
        <f>IF(F$3="","",IF(COUNTIFS(BD!$A$3:$A$5001,F$3,BD!$B$3:$B$5001,$A$192,BD!$W$3:$W$5001,"&lt;&gt;")=0,"",SUMIFS(BD!$W$3:$W$5001,BD!$A$3:$A$5001,F$3,BD!$B$3:$B$5001,$A$192)))</f>
        <v/>
      </c>
      <c r="G198" s="192" t="str">
        <f>IF(G$3="","",IF(COUNTIFS(BD!$A$3:$A$5001,G$3,BD!$B$3:$B$5001,$A$192,BD!$W$3:$W$5001,"&lt;&gt;")=0,"",SUMIFS(BD!$W$3:$W$5001,BD!$A$3:$A$5001,G$3,BD!$B$3:$B$5001,$A$192)))</f>
        <v/>
      </c>
      <c r="H198" s="192" t="str">
        <f>IF(H$3="","",IF(COUNTIFS(BD!$A$3:$A$5001,H$3,BD!$B$3:$B$5001,$A$192,BD!$W$3:$W$5001,"&lt;&gt;")=0,"",SUMIFS(BD!$W$3:$W$5001,BD!$A$3:$A$5001,H$3,BD!$B$3:$B$5001,$A$192)))</f>
        <v/>
      </c>
      <c r="I198" s="192" t="str">
        <f>IF(I$3="","",IF(COUNTIFS(BD!$A$3:$A$5001,I$3,BD!$B$3:$B$5001,$A$192,BD!$W$3:$W$5001,"&lt;&gt;")=0,"",SUMIFS(BD!$W$3:$W$5001,BD!$A$3:$A$5001,I$3,BD!$B$3:$B$5001,$A$192)))</f>
        <v/>
      </c>
      <c r="J198" s="192" t="str">
        <f>IF(J$3="","",IF(COUNTIFS(BD!$A$3:$A$5001,J$3,BD!$B$3:$B$5001,$A$192,BD!$W$3:$W$5001,"&lt;&gt;")=0,"",SUMIFS(BD!$W$3:$W$5001,BD!$A$3:$A$5001,J$3,BD!$B$3:$B$5001,$A$192)))</f>
        <v/>
      </c>
      <c r="K198" s="192" t="str">
        <f>IF(K$3="","",IF(COUNTIFS(BD!$A$3:$A$5001,K$3,BD!$B$3:$B$5001,$A$192,BD!$W$3:$W$5001,"&lt;&gt;")=0,"",SUMIFS(BD!$W$3:$W$5001,BD!$A$3:$A$5001,K$3,BD!$B$3:$B$5001,$A$192)))</f>
        <v/>
      </c>
      <c r="L198" s="192" t="str">
        <f>IF(L$3="","",IF(COUNTIFS(BD!$A$3:$A$5001,L$3,BD!$B$3:$B$5001,$A$192,BD!$W$3:$W$5001,"&lt;&gt;")=0,"",SUMIFS(BD!$W$3:$W$5001,BD!$A$3:$A$5001,L$3,BD!$B$3:$B$5001,$A$192)))</f>
        <v/>
      </c>
      <c r="M198" s="192" t="str">
        <f>IF(M$3="","",IF(COUNTIFS(BD!$A$3:$A$5001,M$3,BD!$B$3:$B$5001,$A$192,BD!$W$3:$W$5001,"&lt;&gt;")=0,"",SUMIFS(BD!$W$3:$W$5001,BD!$A$3:$A$5001,M$3,BD!$B$3:$B$5001,$A$192)))</f>
        <v/>
      </c>
      <c r="N198" s="192" t="str">
        <f>IF(N$3="","",IF(COUNTIFS(BD!$A$3:$A$5001,N$3,BD!$B$3:$B$5001,$A$192,BD!$W$3:$W$5001,"&lt;&gt;")=0,"",SUMIFS(BD!$W$3:$W$5001,BD!$A$3:$A$5001,N$3,BD!$B$3:$B$5001,$A$192)))</f>
        <v/>
      </c>
      <c r="O198" s="192" t="str">
        <f>IF(O$3="","",IF(COUNTIFS(BD!$A$3:$A$5001,O$3,BD!$B$3:$B$5001,$A$192,BD!$W$3:$W$5001,"&lt;&gt;")=0,"",SUMIFS(BD!$W$3:$W$5001,BD!$A$3:$A$5001,O$3,BD!$B$3:$B$5001,$A$192)))</f>
        <v/>
      </c>
      <c r="P198" s="192" t="str">
        <f>IF(P$3="","",IF(COUNTIFS(BD!$A$3:$A$5001,P$3,BD!$B$3:$B$5001,$A$192,BD!$W$3:$W$5001,"&lt;&gt;")=0,"",SUMIFS(BD!$W$3:$W$5001,BD!$A$3:$A$5001,P$3,BD!$B$3:$B$5001,$A$192)))</f>
        <v/>
      </c>
      <c r="Q198" s="192" t="str">
        <f>IF(Q$3="","",IF(COUNTIFS(BD!$A$3:$A$5001,Q$3,BD!$B$3:$B$5001,$A$192,BD!$W$3:$W$5001,"&lt;&gt;")=0,"",SUMIFS(BD!$W$3:$W$5001,BD!$A$3:$A$5001,Q$3,BD!$B$3:$B$5001,$A$192)))</f>
        <v/>
      </c>
      <c r="R198" s="192" t="str">
        <f>IF(R$3="","",IF(COUNTIFS(BD!$A$3:$A$5001,R$3,BD!$B$3:$B$5001,$A$192,BD!$W$3:$W$5001,"&lt;&gt;")=0,"",SUMIFS(BD!$W$3:$W$5001,BD!$A$3:$A$5001,R$3,BD!$B$3:$B$5001,$A$192)))</f>
        <v/>
      </c>
      <c r="S198" s="192" t="str">
        <f>IF(S$3="","",IF(COUNTIFS(BD!$A$3:$A$5001,S$3,BD!$B$3:$B$5001,$A$192,BD!$W$3:$W$5001,"&lt;&gt;")=0,"",SUMIFS(BD!$W$3:$W$5001,BD!$A$3:$A$5001,S$3,BD!$B$3:$B$5001,$A$192)))</f>
        <v/>
      </c>
      <c r="T198" s="192" t="str">
        <f>IF(T$3="","",IF(COUNTIFS(BD!$A$3:$A$5001,T$3,BD!$B$3:$B$5001,$A$192,BD!$W$3:$W$5001,"&lt;&gt;")=0,"",SUMIFS(BD!$W$3:$W$5001,BD!$A$3:$A$5001,T$3,BD!$B$3:$B$5001,$A$192)))</f>
        <v/>
      </c>
      <c r="U198" s="192" t="str">
        <f>IF(U$3="","",IF(COUNTIFS(BD!$A$3:$A$5001,U$3,BD!$B$3:$B$5001,$A$192,BD!$W$3:$W$5001,"&lt;&gt;")=0,"",SUMIFS(BD!$W$3:$W$5001,BD!$A$3:$A$5001,U$3,BD!$B$3:$B$5001,$A$192)))</f>
        <v/>
      </c>
      <c r="V198" s="192" t="str">
        <f>IF(V$3="","",IF(COUNTIFS(BD!$A$3:$A$5001,V$3,BD!$B$3:$B$5001,$A$192,BD!$W$3:$W$5001,"&lt;&gt;")=0,"",SUMIFS(BD!$W$3:$W$5001,BD!$A$3:$A$5001,V$3,BD!$B$3:$B$5001,$A$192)))</f>
        <v/>
      </c>
      <c r="W198" s="192" t="str">
        <f>IF(W$3="","",IF(COUNTIFS(BD!$A$3:$A$5001,W$3,BD!$B$3:$B$5001,$A$192,BD!$W$3:$W$5001,"&lt;&gt;")=0,"",SUMIFS(BD!$W$3:$W$5001,BD!$A$3:$A$5001,W$3,BD!$B$3:$B$5001,$A$192)))</f>
        <v/>
      </c>
      <c r="X198" s="192" t="str">
        <f>IF(X$3="","",IF(COUNTIFS(BD!$A$3:$A$5001,X$3,BD!$B$3:$B$5001,$A$192,BD!$W$3:$W$5001,"&lt;&gt;")=0,"",SUMIFS(BD!$W$3:$W$5001,BD!$A$3:$A$5001,X$3,BD!$B$3:$B$5001,$A$192)))</f>
        <v/>
      </c>
      <c r="Y198" s="192" t="str">
        <f>IF(Y$3="","",IF(COUNTIFS(BD!$A$3:$A$5001,Y$3,BD!$B$3:$B$5001,$A$192,BD!$W$3:$W$5001,"&lt;&gt;")=0,"",SUMIFS(BD!$W$3:$W$5001,BD!$A$3:$A$5001,Y$3,BD!$B$3:$B$5001,$A$192)))</f>
        <v/>
      </c>
      <c r="Z198" s="192" t="str">
        <f>IF(Z$3="","",IF(COUNTIFS(BD!$A$3:$A$5001,Z$3,BD!$B$3:$B$5001,$A$192,BD!$W$3:$W$5001,"&lt;&gt;")=0,"",SUMIFS(BD!$W$3:$W$5001,BD!$A$3:$A$5001,Z$3,BD!$B$3:$B$5001,$A$192)))</f>
        <v/>
      </c>
      <c r="AA198" s="192" t="str">
        <f>IF(AA$3="","",IF(COUNTIFS(BD!$A$3:$A$5001,AA$3,BD!$B$3:$B$5001,$A$192,BD!$W$3:$W$5001,"&lt;&gt;")=0,"",SUMIFS(BD!$W$3:$W$5001,BD!$A$3:$A$5001,AA$3,BD!$B$3:$B$5001,$A$192)))</f>
        <v/>
      </c>
      <c r="AB198" s="192" t="str">
        <f>IF(AB$3="","",IF(COUNTIFS(BD!$A$3:$A$5001,AB$3,BD!$B$3:$B$5001,$A$192,BD!$W$3:$W$5001,"&lt;&gt;")=0,"",SUMIFS(BD!$W$3:$W$5001,BD!$A$3:$A$5001,AB$3,BD!$B$3:$B$5001,$A$192)))</f>
        <v/>
      </c>
      <c r="AC198" s="192" t="str">
        <f>IF(AC$3="","",IF(COUNTIFS(BD!$A$3:$A$5001,AC$3,BD!$B$3:$B$5001,$A$192,BD!$W$3:$W$5001,"&lt;&gt;")=0,"",SUMIFS(BD!$W$3:$W$5001,BD!$A$3:$A$5001,AC$3,BD!$B$3:$B$5001,$A$192)))</f>
        <v/>
      </c>
      <c r="AD198" s="192" t="str">
        <f>IF(AD$3="","",IF(COUNTIFS(BD!$A$3:$A$5001,AD$3,BD!$B$3:$B$5001,$A$192,BD!$W$3:$W$5001,"&lt;&gt;")=0,"",SUMIFS(BD!$W$3:$W$5001,BD!$A$3:$A$5001,AD$3,BD!$B$3:$B$5001,$A$192)))</f>
        <v/>
      </c>
      <c r="AE198" s="192" t="str">
        <f>IF(AE$3="","",IF(COUNTIFS(BD!$A$3:$A$5001,AE$3,BD!$B$3:$B$5001,$A$192,BD!$W$3:$W$5001,"&lt;&gt;")=0,"",SUMIFS(BD!$W$3:$W$5001,BD!$A$3:$A$5001,AE$3,BD!$B$3:$B$5001,$A$192)))</f>
        <v/>
      </c>
      <c r="AF198" s="192" t="str">
        <f>IF(AF$3="","",IF(COUNTIFS(BD!$A$3:$A$5001,AF$3,BD!$B$3:$B$5001,$A$192,BD!$W$3:$W$5001,"&lt;&gt;")=0,"",SUMIFS(BD!$W$3:$W$5001,BD!$A$3:$A$5001,AF$3,BD!$B$3:$B$5001,$A$192)))</f>
        <v/>
      </c>
      <c r="AG198" s="192" t="str">
        <f>IF(AG$3="","",IF(COUNTIFS(BD!$A$3:$A$5001,AG$3,BD!$B$3:$B$5001,$A$192,BD!$W$3:$W$5001,"&lt;&gt;")=0,"",SUMIFS(BD!$W$3:$W$5001,BD!$A$3:$A$5001,AG$3,BD!$B$3:$B$5001,$A$192)))</f>
        <v/>
      </c>
      <c r="AH198" s="192" t="str">
        <f>IF(AH$3="","",IF(COUNTIFS(BD!$A$3:$A$5001,AH$3,BD!$B$3:$B$5001,$A$192,BD!$W$3:$W$5001,"&lt;&gt;")=0,"",SUMIFS(BD!$W$3:$W$5001,BD!$A$3:$A$5001,AH$3,BD!$B$3:$B$5001,$A$192)))</f>
        <v/>
      </c>
      <c r="AI198" s="192" t="str">
        <f>IF(AI$3="","",IF(COUNTIFS(BD!$A$3:$A$5001,AI$3,BD!$B$3:$B$5001,$A$192,BD!$W$3:$W$5001,"&lt;&gt;")=0,"",SUMIFS(BD!$W$3:$W$5001,BD!$A$3:$A$5001,AI$3,BD!$B$3:$B$5001,$A$192)))</f>
        <v/>
      </c>
      <c r="AJ198" s="193" t="str">
        <f>IF(AJ$3="","",IF(COUNTIFS(BD!$A$3:$A$5001,AJ$3,BD!$B$3:$B$5001,$A$192,BD!$W$3:$W$5001,"&lt;&gt;")=0,"",SUMIFS(BD!$W$3:$W$5001,BD!$A$3:$A$5001,AJ$3,BD!$B$3:$B$5001,$A$192)))</f>
        <v/>
      </c>
      <c r="AK198" s="189" t="str">
        <f>IFERROR(LOOKUP(9.99E+307,F198:AJ198),"")</f>
        <v/>
      </c>
    </row>
    <row r="199" ht="15.75" customHeight="1">
      <c r="A199" s="237"/>
      <c r="B199" s="225" t="inlineStr">
        <is>
          <t xml:space="preserve">OCUPAÇÃO (P.P)</t>
        </is>
      </c>
      <c r="C199" s="148" t="inlineStr">
        <is>
          <t xml:space="preserve">Posições Disponíveis</t>
        </is>
      </c>
      <c r="D199" s="149" t="str">
        <f>IFERROR(1/(1/INDEX(BD!$AK$44:$AU$44,MATCH($A$192,BD!$AK$22:$AU$22,0))),"")</f>
        <v/>
      </c>
      <c r="E199" s="150"/>
      <c r="F199" s="151" t="str">
        <f>IF(F$3="","",IF(COUNTIFS(BD!$A$3:$A$5001,F$3,BD!$B$3:$B$5001,$A$192,BD!$X$3:$X$5001,"&lt;&gt;")=0,"",SUMIFS(BD!$X$3:$X$5001,BD!$A$3:$A$5001,F$3,BD!$B$3:$B$5001,$A$192)))</f>
        <v/>
      </c>
      <c r="G199" s="152" t="str">
        <f>IF(G$3="","",IF(COUNTIFS(BD!$A$3:$A$5001,G$3,BD!$B$3:$B$5001,$A$192,BD!$X$3:$X$5001,"&lt;&gt;")=0,"",SUMIFS(BD!$X$3:$X$5001,BD!$A$3:$A$5001,G$3,BD!$B$3:$B$5001,$A$192)))</f>
        <v/>
      </c>
      <c r="H199" s="152" t="str">
        <f>IF(H$3="","",IF(COUNTIFS(BD!$A$3:$A$5001,H$3,BD!$B$3:$B$5001,$A$192,BD!$X$3:$X$5001,"&lt;&gt;")=0,"",SUMIFS(BD!$X$3:$X$5001,BD!$A$3:$A$5001,H$3,BD!$B$3:$B$5001,$A$192)))</f>
        <v/>
      </c>
      <c r="I199" s="152" t="str">
        <f>IF(I$3="","",IF(COUNTIFS(BD!$A$3:$A$5001,I$3,BD!$B$3:$B$5001,$A$192,BD!$X$3:$X$5001,"&lt;&gt;")=0,"",SUMIFS(BD!$X$3:$X$5001,BD!$A$3:$A$5001,I$3,BD!$B$3:$B$5001,$A$192)))</f>
        <v/>
      </c>
      <c r="J199" s="152" t="str">
        <f>IF(J$3="","",IF(COUNTIFS(BD!$A$3:$A$5001,J$3,BD!$B$3:$B$5001,$A$192,BD!$X$3:$X$5001,"&lt;&gt;")=0,"",SUMIFS(BD!$X$3:$X$5001,BD!$A$3:$A$5001,J$3,BD!$B$3:$B$5001,$A$192)))</f>
        <v/>
      </c>
      <c r="K199" s="152" t="str">
        <f>IF(K$3="","",IF(COUNTIFS(BD!$A$3:$A$5001,K$3,BD!$B$3:$B$5001,$A$192,BD!$X$3:$X$5001,"&lt;&gt;")=0,"",SUMIFS(BD!$X$3:$X$5001,BD!$A$3:$A$5001,K$3,BD!$B$3:$B$5001,$A$192)))</f>
        <v/>
      </c>
      <c r="L199" s="152" t="str">
        <f>IF(L$3="","",IF(COUNTIFS(BD!$A$3:$A$5001,L$3,BD!$B$3:$B$5001,$A$192,BD!$X$3:$X$5001,"&lt;&gt;")=0,"",SUMIFS(BD!$X$3:$X$5001,BD!$A$3:$A$5001,L$3,BD!$B$3:$B$5001,$A$192)))</f>
        <v/>
      </c>
      <c r="M199" s="152" t="str">
        <f>IF(M$3="","",IF(COUNTIFS(BD!$A$3:$A$5001,M$3,BD!$B$3:$B$5001,$A$192,BD!$X$3:$X$5001,"&lt;&gt;")=0,"",SUMIFS(BD!$X$3:$X$5001,BD!$A$3:$A$5001,M$3,BD!$B$3:$B$5001,$A$192)))</f>
        <v/>
      </c>
      <c r="N199" s="152" t="str">
        <f>IF(N$3="","",IF(COUNTIFS(BD!$A$3:$A$5001,N$3,BD!$B$3:$B$5001,$A$192,BD!$X$3:$X$5001,"&lt;&gt;")=0,"",SUMIFS(BD!$X$3:$X$5001,BD!$A$3:$A$5001,N$3,BD!$B$3:$B$5001,$A$192)))</f>
        <v/>
      </c>
      <c r="O199" s="152" t="str">
        <f>IF(O$3="","",IF(COUNTIFS(BD!$A$3:$A$5001,O$3,BD!$B$3:$B$5001,$A$192,BD!$X$3:$X$5001,"&lt;&gt;")=0,"",SUMIFS(BD!$X$3:$X$5001,BD!$A$3:$A$5001,O$3,BD!$B$3:$B$5001,$A$192)))</f>
        <v/>
      </c>
      <c r="P199" s="152" t="str">
        <f>IF(P$3="","",IF(COUNTIFS(BD!$A$3:$A$5001,P$3,BD!$B$3:$B$5001,$A$192,BD!$X$3:$X$5001,"&lt;&gt;")=0,"",SUMIFS(BD!$X$3:$X$5001,BD!$A$3:$A$5001,P$3,BD!$B$3:$B$5001,$A$192)))</f>
        <v/>
      </c>
      <c r="Q199" s="152" t="str">
        <f>IF(Q$3="","",IF(COUNTIFS(BD!$A$3:$A$5001,Q$3,BD!$B$3:$B$5001,$A$192,BD!$X$3:$X$5001,"&lt;&gt;")=0,"",SUMIFS(BD!$X$3:$X$5001,BD!$A$3:$A$5001,Q$3,BD!$B$3:$B$5001,$A$192)))</f>
        <v/>
      </c>
      <c r="R199" s="152" t="str">
        <f>IF(R$3="","",IF(COUNTIFS(BD!$A$3:$A$5001,R$3,BD!$B$3:$B$5001,$A$192,BD!$X$3:$X$5001,"&lt;&gt;")=0,"",SUMIFS(BD!$X$3:$X$5001,BD!$A$3:$A$5001,R$3,BD!$B$3:$B$5001,$A$192)))</f>
        <v/>
      </c>
      <c r="S199" s="152" t="str">
        <f>IF(S$3="","",IF(COUNTIFS(BD!$A$3:$A$5001,S$3,BD!$B$3:$B$5001,$A$192,BD!$X$3:$X$5001,"&lt;&gt;")=0,"",SUMIFS(BD!$X$3:$X$5001,BD!$A$3:$A$5001,S$3,BD!$B$3:$B$5001,$A$192)))</f>
        <v/>
      </c>
      <c r="T199" s="152" t="str">
        <f>IF(T$3="","",IF(COUNTIFS(BD!$A$3:$A$5001,T$3,BD!$B$3:$B$5001,$A$192,BD!$X$3:$X$5001,"&lt;&gt;")=0,"",SUMIFS(BD!$X$3:$X$5001,BD!$A$3:$A$5001,T$3,BD!$B$3:$B$5001,$A$192)))</f>
        <v/>
      </c>
      <c r="U199" s="152" t="str">
        <f>IF(U$3="","",IF(COUNTIFS(BD!$A$3:$A$5001,U$3,BD!$B$3:$B$5001,$A$192,BD!$X$3:$X$5001,"&lt;&gt;")=0,"",SUMIFS(BD!$X$3:$X$5001,BD!$A$3:$A$5001,U$3,BD!$B$3:$B$5001,$A$192)))</f>
        <v/>
      </c>
      <c r="V199" s="152" t="str">
        <f>IF(V$3="","",IF(COUNTIFS(BD!$A$3:$A$5001,V$3,BD!$B$3:$B$5001,$A$192,BD!$X$3:$X$5001,"&lt;&gt;")=0,"",SUMIFS(BD!$X$3:$X$5001,BD!$A$3:$A$5001,V$3,BD!$B$3:$B$5001,$A$192)))</f>
        <v/>
      </c>
      <c r="W199" s="152" t="str">
        <f>IF(W$3="","",IF(COUNTIFS(BD!$A$3:$A$5001,W$3,BD!$B$3:$B$5001,$A$192,BD!$X$3:$X$5001,"&lt;&gt;")=0,"",SUMIFS(BD!$X$3:$X$5001,BD!$A$3:$A$5001,W$3,BD!$B$3:$B$5001,$A$192)))</f>
        <v/>
      </c>
      <c r="X199" s="152" t="str">
        <f>IF(X$3="","",IF(COUNTIFS(BD!$A$3:$A$5001,X$3,BD!$B$3:$B$5001,$A$192,BD!$X$3:$X$5001,"&lt;&gt;")=0,"",SUMIFS(BD!$X$3:$X$5001,BD!$A$3:$A$5001,X$3,BD!$B$3:$B$5001,$A$192)))</f>
        <v/>
      </c>
      <c r="Y199" s="152" t="str">
        <f>IF(Y$3="","",IF(COUNTIFS(BD!$A$3:$A$5001,Y$3,BD!$B$3:$B$5001,$A$192,BD!$X$3:$X$5001,"&lt;&gt;")=0,"",SUMIFS(BD!$X$3:$X$5001,BD!$A$3:$A$5001,Y$3,BD!$B$3:$B$5001,$A$192)))</f>
        <v/>
      </c>
      <c r="Z199" s="152" t="str">
        <f>IF(Z$3="","",IF(COUNTIFS(BD!$A$3:$A$5001,Z$3,BD!$B$3:$B$5001,$A$192,BD!$X$3:$X$5001,"&lt;&gt;")=0,"",SUMIFS(BD!$X$3:$X$5001,BD!$A$3:$A$5001,Z$3,BD!$B$3:$B$5001,$A$192)))</f>
        <v/>
      </c>
      <c r="AA199" s="152" t="str">
        <f>IF(AA$3="","",IF(COUNTIFS(BD!$A$3:$A$5001,AA$3,BD!$B$3:$B$5001,$A$192,BD!$X$3:$X$5001,"&lt;&gt;")=0,"",SUMIFS(BD!$X$3:$X$5001,BD!$A$3:$A$5001,AA$3,BD!$B$3:$B$5001,$A$192)))</f>
        <v/>
      </c>
      <c r="AB199" s="152" t="str">
        <f>IF(AB$3="","",IF(COUNTIFS(BD!$A$3:$A$5001,AB$3,BD!$B$3:$B$5001,$A$192,BD!$X$3:$X$5001,"&lt;&gt;")=0,"",SUMIFS(BD!$X$3:$X$5001,BD!$A$3:$A$5001,AB$3,BD!$B$3:$B$5001,$A$192)))</f>
        <v/>
      </c>
      <c r="AC199" s="152" t="str">
        <f>IF(AC$3="","",IF(COUNTIFS(BD!$A$3:$A$5001,AC$3,BD!$B$3:$B$5001,$A$192,BD!$X$3:$X$5001,"&lt;&gt;")=0,"",SUMIFS(BD!$X$3:$X$5001,BD!$A$3:$A$5001,AC$3,BD!$B$3:$B$5001,$A$192)))</f>
        <v/>
      </c>
      <c r="AD199" s="152" t="str">
        <f>IF(AD$3="","",IF(COUNTIFS(BD!$A$3:$A$5001,AD$3,BD!$B$3:$B$5001,$A$192,BD!$X$3:$X$5001,"&lt;&gt;")=0,"",SUMIFS(BD!$X$3:$X$5001,BD!$A$3:$A$5001,AD$3,BD!$B$3:$B$5001,$A$192)))</f>
        <v/>
      </c>
      <c r="AE199" s="152" t="str">
        <f>IF(AE$3="","",IF(COUNTIFS(BD!$A$3:$A$5001,AE$3,BD!$B$3:$B$5001,$A$192,BD!$X$3:$X$5001,"&lt;&gt;")=0,"",SUMIFS(BD!$X$3:$X$5001,BD!$A$3:$A$5001,AE$3,BD!$B$3:$B$5001,$A$192)))</f>
        <v/>
      </c>
      <c r="AF199" s="152" t="str">
        <f>IF(AF$3="","",IF(COUNTIFS(BD!$A$3:$A$5001,AF$3,BD!$B$3:$B$5001,$A$192,BD!$X$3:$X$5001,"&lt;&gt;")=0,"",SUMIFS(BD!$X$3:$X$5001,BD!$A$3:$A$5001,AF$3,BD!$B$3:$B$5001,$A$192)))</f>
        <v/>
      </c>
      <c r="AG199" s="152" t="str">
        <f>IF(AG$3="","",IF(COUNTIFS(BD!$A$3:$A$5001,AG$3,BD!$B$3:$B$5001,$A$192,BD!$X$3:$X$5001,"&lt;&gt;")=0,"",SUMIFS(BD!$X$3:$X$5001,BD!$A$3:$A$5001,AG$3,BD!$B$3:$B$5001,$A$192)))</f>
        <v/>
      </c>
      <c r="AH199" s="152" t="str">
        <f>IF(AH$3="","",IF(COUNTIFS(BD!$A$3:$A$5001,AH$3,BD!$B$3:$B$5001,$A$192,BD!$X$3:$X$5001,"&lt;&gt;")=0,"",SUMIFS(BD!$X$3:$X$5001,BD!$A$3:$A$5001,AH$3,BD!$B$3:$B$5001,$A$192)))</f>
        <v/>
      </c>
      <c r="AI199" s="152" t="str">
        <f>IF(AI$3="","",IF(COUNTIFS(BD!$A$3:$A$5001,AI$3,BD!$B$3:$B$5001,$A$192,BD!$X$3:$X$5001,"&lt;&gt;")=0,"",SUMIFS(BD!$X$3:$X$5001,BD!$A$3:$A$5001,AI$3,BD!$B$3:$B$5001,$A$192)))</f>
        <v/>
      </c>
      <c r="AJ199" s="153" t="str">
        <f>IF(AJ$3="","",IF(COUNTIFS(BD!$A$3:$A$5001,AJ$3,BD!$B$3:$B$5001,$A$192,BD!$X$3:$X$5001,"&lt;&gt;")=0,"",SUMIFS(BD!$X$3:$X$5001,BD!$A$3:$A$5001,AJ$3,BD!$B$3:$B$5001,$A$192)))</f>
        <v/>
      </c>
      <c r="AK199" s="154" t="str">
        <f>IF(COUNT(F199:AJ199)&gt;0,LOOKUP(9.99E+307,F199:AJ199),IFERROR(IF(INDEX(BD!$AH$3:$AH$5001,MATCH($A$192,BD!$B$3:$B$5001,0))&amp;""="Contrato","",INDEX(BD!$AH$3:$AH$5001,MATCH($A$192,BD!$B$3:$B$5001,0))&amp;""),""))</f>
        <v/>
      </c>
    </row>
    <row r="200" ht="15.75" customHeight="1">
      <c r="A200" s="237"/>
      <c r="B200" s="232"/>
      <c r="C200" s="194" t="inlineStr">
        <is>
          <t xml:space="preserve">Posições Ocupadas</t>
        </is>
      </c>
      <c r="D200" s="195" t="str">
        <f>IFERROR(1/(1/INDEX(BD!$AK$45:$AU$45,MATCH($A$192,BD!$AK$22:$AU$22,0))),"")</f>
        <v/>
      </c>
      <c r="E200" s="196"/>
      <c r="F200" s="197" t="str">
        <f>IF(F$3="","",IF(COUNTIFS(BD!$A$3:$A$5001,F$3,BD!$B$3:$B$5001,$A$192,BD!$Y$3:$Y$5001,"&lt;&gt;")=0,"",SUMIFS(BD!$Y$3:$Y$5001,BD!$A$3:$A$5001,F$3,BD!$B$3:$B$5001,$A$192)))</f>
        <v/>
      </c>
      <c r="G200" s="198" t="str">
        <f>IF(G$3="","",IF(COUNTIFS(BD!$A$3:$A$5001,G$3,BD!$B$3:$B$5001,$A$192,BD!$Y$3:$Y$5001,"&lt;&gt;")=0,"",SUMIFS(BD!$Y$3:$Y$5001,BD!$A$3:$A$5001,G$3,BD!$B$3:$B$5001,$A$192)))</f>
        <v/>
      </c>
      <c r="H200" s="198" t="str">
        <f>IF(H$3="","",IF(COUNTIFS(BD!$A$3:$A$5001,H$3,BD!$B$3:$B$5001,$A$192,BD!$Y$3:$Y$5001,"&lt;&gt;")=0,"",SUMIFS(BD!$Y$3:$Y$5001,BD!$A$3:$A$5001,H$3,BD!$B$3:$B$5001,$A$192)))</f>
        <v/>
      </c>
      <c r="I200" s="198" t="str">
        <f>IF(I$3="","",IF(COUNTIFS(BD!$A$3:$A$5001,I$3,BD!$B$3:$B$5001,$A$192,BD!$Y$3:$Y$5001,"&lt;&gt;")=0,"",SUMIFS(BD!$Y$3:$Y$5001,BD!$A$3:$A$5001,I$3,BD!$B$3:$B$5001,$A$192)))</f>
        <v/>
      </c>
      <c r="J200" s="198" t="str">
        <f>IF(J$3="","",IF(COUNTIFS(BD!$A$3:$A$5001,J$3,BD!$B$3:$B$5001,$A$192,BD!$Y$3:$Y$5001,"&lt;&gt;")=0,"",SUMIFS(BD!$Y$3:$Y$5001,BD!$A$3:$A$5001,J$3,BD!$B$3:$B$5001,$A$192)))</f>
        <v/>
      </c>
      <c r="K200" s="198" t="str">
        <f>IF(K$3="","",IF(COUNTIFS(BD!$A$3:$A$5001,K$3,BD!$B$3:$B$5001,$A$192,BD!$Y$3:$Y$5001,"&lt;&gt;")=0,"",SUMIFS(BD!$Y$3:$Y$5001,BD!$A$3:$A$5001,K$3,BD!$B$3:$B$5001,$A$192)))</f>
        <v/>
      </c>
      <c r="L200" s="198" t="str">
        <f>IF(L$3="","",IF(COUNTIFS(BD!$A$3:$A$5001,L$3,BD!$B$3:$B$5001,$A$192,BD!$Y$3:$Y$5001,"&lt;&gt;")=0,"",SUMIFS(BD!$Y$3:$Y$5001,BD!$A$3:$A$5001,L$3,BD!$B$3:$B$5001,$A$192)))</f>
        <v/>
      </c>
      <c r="M200" s="198" t="str">
        <f>IF(M$3="","",IF(COUNTIFS(BD!$A$3:$A$5001,M$3,BD!$B$3:$B$5001,$A$192,BD!$Y$3:$Y$5001,"&lt;&gt;")=0,"",SUMIFS(BD!$Y$3:$Y$5001,BD!$A$3:$A$5001,M$3,BD!$B$3:$B$5001,$A$192)))</f>
        <v/>
      </c>
      <c r="N200" s="198" t="str">
        <f>IF(N$3="","",IF(COUNTIFS(BD!$A$3:$A$5001,N$3,BD!$B$3:$B$5001,$A$192,BD!$Y$3:$Y$5001,"&lt;&gt;")=0,"",SUMIFS(BD!$Y$3:$Y$5001,BD!$A$3:$A$5001,N$3,BD!$B$3:$B$5001,$A$192)))</f>
        <v/>
      </c>
      <c r="O200" s="198" t="str">
        <f>IF(O$3="","",IF(COUNTIFS(BD!$A$3:$A$5001,O$3,BD!$B$3:$B$5001,$A$192,BD!$Y$3:$Y$5001,"&lt;&gt;")=0,"",SUMIFS(BD!$Y$3:$Y$5001,BD!$A$3:$A$5001,O$3,BD!$B$3:$B$5001,$A$192)))</f>
        <v/>
      </c>
      <c r="P200" s="198" t="str">
        <f>IF(P$3="","",IF(COUNTIFS(BD!$A$3:$A$5001,P$3,BD!$B$3:$B$5001,$A$192,BD!$Y$3:$Y$5001,"&lt;&gt;")=0,"",SUMIFS(BD!$Y$3:$Y$5001,BD!$A$3:$A$5001,P$3,BD!$B$3:$B$5001,$A$192)))</f>
        <v/>
      </c>
      <c r="Q200" s="198" t="str">
        <f>IF(Q$3="","",IF(COUNTIFS(BD!$A$3:$A$5001,Q$3,BD!$B$3:$B$5001,$A$192,BD!$Y$3:$Y$5001,"&lt;&gt;")=0,"",SUMIFS(BD!$Y$3:$Y$5001,BD!$A$3:$A$5001,Q$3,BD!$B$3:$B$5001,$A$192)))</f>
        <v/>
      </c>
      <c r="R200" s="198" t="str">
        <f>IF(R$3="","",IF(COUNTIFS(BD!$A$3:$A$5001,R$3,BD!$B$3:$B$5001,$A$192,BD!$Y$3:$Y$5001,"&lt;&gt;")=0,"",SUMIFS(BD!$Y$3:$Y$5001,BD!$A$3:$A$5001,R$3,BD!$B$3:$B$5001,$A$192)))</f>
        <v/>
      </c>
      <c r="S200" s="198" t="str">
        <f>IF(S$3="","",IF(COUNTIFS(BD!$A$3:$A$5001,S$3,BD!$B$3:$B$5001,$A$192,BD!$Y$3:$Y$5001,"&lt;&gt;")=0,"",SUMIFS(BD!$Y$3:$Y$5001,BD!$A$3:$A$5001,S$3,BD!$B$3:$B$5001,$A$192)))</f>
        <v/>
      </c>
      <c r="T200" s="198" t="str">
        <f>IF(T$3="","",IF(COUNTIFS(BD!$A$3:$A$5001,T$3,BD!$B$3:$B$5001,$A$192,BD!$Y$3:$Y$5001,"&lt;&gt;")=0,"",SUMIFS(BD!$Y$3:$Y$5001,BD!$A$3:$A$5001,T$3,BD!$B$3:$B$5001,$A$192)))</f>
        <v/>
      </c>
      <c r="U200" s="198" t="str">
        <f>IF(U$3="","",IF(COUNTIFS(BD!$A$3:$A$5001,U$3,BD!$B$3:$B$5001,$A$192,BD!$Y$3:$Y$5001,"&lt;&gt;")=0,"",SUMIFS(BD!$Y$3:$Y$5001,BD!$A$3:$A$5001,U$3,BD!$B$3:$B$5001,$A$192)))</f>
        <v/>
      </c>
      <c r="V200" s="198" t="str">
        <f>IF(V$3="","",IF(COUNTIFS(BD!$A$3:$A$5001,V$3,BD!$B$3:$B$5001,$A$192,BD!$Y$3:$Y$5001,"&lt;&gt;")=0,"",SUMIFS(BD!$Y$3:$Y$5001,BD!$A$3:$A$5001,V$3,BD!$B$3:$B$5001,$A$192)))</f>
        <v/>
      </c>
      <c r="W200" s="198" t="str">
        <f>IF(W$3="","",IF(COUNTIFS(BD!$A$3:$A$5001,W$3,BD!$B$3:$B$5001,$A$192,BD!$Y$3:$Y$5001,"&lt;&gt;")=0,"",SUMIFS(BD!$Y$3:$Y$5001,BD!$A$3:$A$5001,W$3,BD!$B$3:$B$5001,$A$192)))</f>
        <v/>
      </c>
      <c r="X200" s="198" t="str">
        <f>IF(X$3="","",IF(COUNTIFS(BD!$A$3:$A$5001,X$3,BD!$B$3:$B$5001,$A$192,BD!$Y$3:$Y$5001,"&lt;&gt;")=0,"",SUMIFS(BD!$Y$3:$Y$5001,BD!$A$3:$A$5001,X$3,BD!$B$3:$B$5001,$A$192)))</f>
        <v/>
      </c>
      <c r="Y200" s="198" t="str">
        <f>IF(Y$3="","",IF(COUNTIFS(BD!$A$3:$A$5001,Y$3,BD!$B$3:$B$5001,$A$192,BD!$Y$3:$Y$5001,"&lt;&gt;")=0,"",SUMIFS(BD!$Y$3:$Y$5001,BD!$A$3:$A$5001,Y$3,BD!$B$3:$B$5001,$A$192)))</f>
        <v/>
      </c>
      <c r="Z200" s="198" t="str">
        <f>IF(Z$3="","",IF(COUNTIFS(BD!$A$3:$A$5001,Z$3,BD!$B$3:$B$5001,$A$192,BD!$Y$3:$Y$5001,"&lt;&gt;")=0,"",SUMIFS(BD!$Y$3:$Y$5001,BD!$A$3:$A$5001,Z$3,BD!$B$3:$B$5001,$A$192)))</f>
        <v/>
      </c>
      <c r="AA200" s="198" t="str">
        <f>IF(AA$3="","",IF(COUNTIFS(BD!$A$3:$A$5001,AA$3,BD!$B$3:$B$5001,$A$192,BD!$Y$3:$Y$5001,"&lt;&gt;")=0,"",SUMIFS(BD!$Y$3:$Y$5001,BD!$A$3:$A$5001,AA$3,BD!$B$3:$B$5001,$A$192)))</f>
        <v/>
      </c>
      <c r="AB200" s="198" t="str">
        <f>IF(AB$3="","",IF(COUNTIFS(BD!$A$3:$A$5001,AB$3,BD!$B$3:$B$5001,$A$192,BD!$Y$3:$Y$5001,"&lt;&gt;")=0,"",SUMIFS(BD!$Y$3:$Y$5001,BD!$A$3:$A$5001,AB$3,BD!$B$3:$B$5001,$A$192)))</f>
        <v/>
      </c>
      <c r="AC200" s="198" t="str">
        <f>IF(AC$3="","",IF(COUNTIFS(BD!$A$3:$A$5001,AC$3,BD!$B$3:$B$5001,$A$192,BD!$Y$3:$Y$5001,"&lt;&gt;")=0,"",SUMIFS(BD!$Y$3:$Y$5001,BD!$A$3:$A$5001,AC$3,BD!$B$3:$B$5001,$A$192)))</f>
        <v/>
      </c>
      <c r="AD200" s="198" t="str">
        <f>IF(AD$3="","",IF(COUNTIFS(BD!$A$3:$A$5001,AD$3,BD!$B$3:$B$5001,$A$192,BD!$Y$3:$Y$5001,"&lt;&gt;")=0,"",SUMIFS(BD!$Y$3:$Y$5001,BD!$A$3:$A$5001,AD$3,BD!$B$3:$B$5001,$A$192)))</f>
        <v/>
      </c>
      <c r="AE200" s="198" t="str">
        <f>IF(AE$3="","",IF(COUNTIFS(BD!$A$3:$A$5001,AE$3,BD!$B$3:$B$5001,$A$192,BD!$Y$3:$Y$5001,"&lt;&gt;")=0,"",SUMIFS(BD!$Y$3:$Y$5001,BD!$A$3:$A$5001,AE$3,BD!$B$3:$B$5001,$A$192)))</f>
        <v/>
      </c>
      <c r="AF200" s="198" t="str">
        <f>IF(AF$3="","",IF(COUNTIFS(BD!$A$3:$A$5001,AF$3,BD!$B$3:$B$5001,$A$192,BD!$Y$3:$Y$5001,"&lt;&gt;")=0,"",SUMIFS(BD!$Y$3:$Y$5001,BD!$A$3:$A$5001,AF$3,BD!$B$3:$B$5001,$A$192)))</f>
        <v/>
      </c>
      <c r="AG200" s="198" t="str">
        <f>IF(AG$3="","",IF(COUNTIFS(BD!$A$3:$A$5001,AG$3,BD!$B$3:$B$5001,$A$192,BD!$Y$3:$Y$5001,"&lt;&gt;")=0,"",SUMIFS(BD!$Y$3:$Y$5001,BD!$A$3:$A$5001,AG$3,BD!$B$3:$B$5001,$A$192)))</f>
        <v/>
      </c>
      <c r="AH200" s="198" t="str">
        <f>IF(AH$3="","",IF(COUNTIFS(BD!$A$3:$A$5001,AH$3,BD!$B$3:$B$5001,$A$192,BD!$Y$3:$Y$5001,"&lt;&gt;")=0,"",SUMIFS(BD!$Y$3:$Y$5001,BD!$A$3:$A$5001,AH$3,BD!$B$3:$B$5001,$A$192)))</f>
        <v/>
      </c>
      <c r="AI200" s="198" t="str">
        <f>IF(AI$3="","",IF(COUNTIFS(BD!$A$3:$A$5001,AI$3,BD!$B$3:$B$5001,$A$192,BD!$Y$3:$Y$5001,"&lt;&gt;")=0,"",SUMIFS(BD!$Y$3:$Y$5001,BD!$A$3:$A$5001,AI$3,BD!$B$3:$B$5001,$A$192)))</f>
        <v/>
      </c>
      <c r="AJ200" s="199" t="str">
        <f>IF(AJ$3="","",IF(COUNTIFS(BD!$A$3:$A$5001,AJ$3,BD!$B$3:$B$5001,$A$192,BD!$Y$3:$Y$5001,"&lt;&gt;")=0,"",SUMIFS(BD!$Y$3:$Y$5001,BD!$A$3:$A$5001,AJ$3,BD!$B$3:$B$5001,$A$192)))</f>
        <v/>
      </c>
      <c r="AK200" s="200" t="str">
        <f>IFERROR(LOOKUP(9.99E+307,F200:AJ200),"")</f>
        <v/>
      </c>
    </row>
    <row r="201" ht="15.75" customHeight="1">
      <c r="A201" s="237"/>
      <c r="B201" s="226"/>
      <c r="C201" s="155" t="inlineStr">
        <is>
          <t xml:space="preserve">Taxa de Ocupação</t>
        </is>
      </c>
      <c r="D201" s="201" t="str">
        <f>IFERROR(1/(1/INDEX(BD!$AK$46:$AU$46,MATCH($A$192,BD!$AK$22:$AU$22,0))),"")</f>
        <v/>
      </c>
      <c r="E201" s="157"/>
      <c r="F201" s="202" t="str">
        <f>IF(AND(ISNUMBER(F199),ISNUMBER(F200)),IF(F199&gt;0,F200/F199,""),"")</f>
        <v/>
      </c>
      <c r="G201" s="203" t="str">
        <f>IF(AND(ISNUMBER(G199),ISNUMBER(G200)),IF(G199&gt;0,G200/G199,""),"")</f>
        <v/>
      </c>
      <c r="H201" s="203" t="str">
        <f>IF(AND(ISNUMBER(H199),ISNUMBER(H200)),IF(H199&gt;0,H200/H199,""),"")</f>
        <v/>
      </c>
      <c r="I201" s="203" t="str">
        <f>IF(AND(ISNUMBER(I199),ISNUMBER(I200)),IF(I199&gt;0,I200/I199,""),"")</f>
        <v/>
      </c>
      <c r="J201" s="203" t="str">
        <f>IF(AND(ISNUMBER(J199),ISNUMBER(J200)),IF(J199&gt;0,J200/J199,""),"")</f>
        <v/>
      </c>
      <c r="K201" s="203" t="str">
        <f>IF(AND(ISNUMBER(K199),ISNUMBER(K200)),IF(K199&gt;0,K200/K199,""),"")</f>
        <v/>
      </c>
      <c r="L201" s="203" t="str">
        <f>IF(AND(ISNUMBER(L199),ISNUMBER(L200)),IF(L199&gt;0,L200/L199,""),"")</f>
        <v/>
      </c>
      <c r="M201" s="203" t="str">
        <f>IF(AND(ISNUMBER(M199),ISNUMBER(M200)),IF(M199&gt;0,M200/M199,""),"")</f>
        <v/>
      </c>
      <c r="N201" s="203" t="str">
        <f>IF(AND(ISNUMBER(N199),ISNUMBER(N200)),IF(N199&gt;0,N200/N199,""),"")</f>
        <v/>
      </c>
      <c r="O201" s="203" t="str">
        <f>IF(AND(ISNUMBER(O199),ISNUMBER(O200)),IF(O199&gt;0,O200/O199,""),"")</f>
        <v/>
      </c>
      <c r="P201" s="203" t="str">
        <f>IF(AND(ISNUMBER(P199),ISNUMBER(P200)),IF(P199&gt;0,P200/P199,""),"")</f>
        <v/>
      </c>
      <c r="Q201" s="203" t="str">
        <f>IF(AND(ISNUMBER(Q199),ISNUMBER(Q200)),IF(Q199&gt;0,Q200/Q199,""),"")</f>
        <v/>
      </c>
      <c r="R201" s="203" t="str">
        <f>IF(AND(ISNUMBER(R199),ISNUMBER(R200)),IF(R199&gt;0,R200/R199,""),"")</f>
        <v/>
      </c>
      <c r="S201" s="203" t="str">
        <f>IF(AND(ISNUMBER(S199),ISNUMBER(S200)),IF(S199&gt;0,S200/S199,""),"")</f>
        <v/>
      </c>
      <c r="T201" s="203" t="str">
        <f>IF(AND(ISNUMBER(T199),ISNUMBER(T200)),IF(T199&gt;0,T200/T199,""),"")</f>
        <v/>
      </c>
      <c r="U201" s="203" t="str">
        <f>IF(AND(ISNUMBER(U199),ISNUMBER(U200)),IF(U199&gt;0,U200/U199,""),"")</f>
        <v/>
      </c>
      <c r="V201" s="203" t="str">
        <f>IF(AND(ISNUMBER(V199),ISNUMBER(V200)),IF(V199&gt;0,V200/V199,""),"")</f>
        <v/>
      </c>
      <c r="W201" s="203" t="str">
        <f>IF(AND(ISNUMBER(W199),ISNUMBER(W200)),IF(W199&gt;0,W200/W199,""),"")</f>
        <v/>
      </c>
      <c r="X201" s="203" t="str">
        <f>IF(AND(ISNUMBER(X199),ISNUMBER(X200)),IF(X199&gt;0,X200/X199,""),"")</f>
        <v/>
      </c>
      <c r="Y201" s="203" t="str">
        <f>IF(AND(ISNUMBER(Y199),ISNUMBER(Y200)),IF(Y199&gt;0,Y200/Y199,""),"")</f>
        <v/>
      </c>
      <c r="Z201" s="203" t="str">
        <f>IF(AND(ISNUMBER(Z199),ISNUMBER(Z200)),IF(Z199&gt;0,Z200/Z199,""),"")</f>
        <v/>
      </c>
      <c r="AA201" s="203" t="str">
        <f>IF(AND(ISNUMBER(AA199),ISNUMBER(AA200)),IF(AA199&gt;0,AA200/AA199,""),"")</f>
        <v/>
      </c>
      <c r="AB201" s="203" t="str">
        <f>IF(AND(ISNUMBER(AB199),ISNUMBER(AB200)),IF(AB199&gt;0,AB200/AB199,""),"")</f>
        <v/>
      </c>
      <c r="AC201" s="203" t="str">
        <f>IF(AND(ISNUMBER(AC199),ISNUMBER(AC200)),IF(AC199&gt;0,AC200/AC199,""),"")</f>
        <v/>
      </c>
      <c r="AD201" s="203" t="str">
        <f>IF(AND(ISNUMBER(AD199),ISNUMBER(AD200)),IF(AD199&gt;0,AD200/AD199,""),"")</f>
        <v/>
      </c>
      <c r="AE201" s="203" t="str">
        <f>IF(AND(ISNUMBER(AE199),ISNUMBER(AE200)),IF(AE199&gt;0,AE200/AE199,""),"")</f>
        <v/>
      </c>
      <c r="AF201" s="203" t="str">
        <f>IF(AND(ISNUMBER(AF199),ISNUMBER(AF200)),IF(AF199&gt;0,AF200/AF199,""),"")</f>
        <v/>
      </c>
      <c r="AG201" s="203" t="str">
        <f>IF(AND(ISNUMBER(AG199),ISNUMBER(AG200)),IF(AG199&gt;0,AG200/AG199,""),"")</f>
        <v/>
      </c>
      <c r="AH201" s="203" t="str">
        <f>IF(AND(ISNUMBER(AH199),ISNUMBER(AH200)),IF(AH199&gt;0,AH200/AH199,""),"")</f>
        <v/>
      </c>
      <c r="AI201" s="203" t="str">
        <f>IF(AND(ISNUMBER(AI199),ISNUMBER(AI200)),IF(AI199&gt;0,AI200/AI199,""),"")</f>
        <v/>
      </c>
      <c r="AJ201" s="204" t="str">
        <f>IF(AND(ISNUMBER(AJ199),ISNUMBER(AJ200)),IF(AJ199&gt;0,AJ200/AJ199,""),"")</f>
        <v/>
      </c>
      <c r="AK201" s="201" t="str">
        <f>IF(AND(ISNUMBER(AK199),ISNUMBER(AK200)),IF(AK199&gt;0,AK200/AK199,""),"")</f>
        <v/>
      </c>
    </row>
    <row r="202" ht="15.75" customHeight="1">
      <c r="A202" s="237"/>
      <c r="B202" s="233" t="inlineStr">
        <is>
          <t xml:space="preserve">GENTE</t>
        </is>
      </c>
      <c r="C202" s="205" t="inlineStr">
        <is>
          <t xml:space="preserve">Efetivo Op.</t>
        </is>
      </c>
      <c r="D202" s="206" t="str">
        <f>IFERROR(1/(1/INDEX(BD!$AK$47:$AU$47,MATCH($A$192,BD!$AK$22:$AU$22,0))),"")</f>
        <v/>
      </c>
      <c r="E202" s="207"/>
      <c r="F202" s="208" t="str">
        <f>IF(F$3="","",IF(COUNTIFS(BD!$A$3:$A$5001,F$3,BD!$B$3:$B$5001,$A$192,BD!$Z$3:$Z$5001,"&lt;&gt;")=0,"",SUMIFS(BD!$Z$3:$Z$5001,BD!$A$3:$A$5001,F$3,BD!$B$3:$B$5001,$A$192)))</f>
        <v/>
      </c>
      <c r="G202" s="209" t="str">
        <f>IF(G$3="","",IF(COUNTIFS(BD!$A$3:$A$5001,G$3,BD!$B$3:$B$5001,$A$192,BD!$Z$3:$Z$5001,"&lt;&gt;")=0,"",SUMIFS(BD!$Z$3:$Z$5001,BD!$A$3:$A$5001,G$3,BD!$B$3:$B$5001,$A$192)))</f>
        <v/>
      </c>
      <c r="H202" s="209" t="str">
        <f>IF(H$3="","",IF(COUNTIFS(BD!$A$3:$A$5001,H$3,BD!$B$3:$B$5001,$A$192,BD!$Z$3:$Z$5001,"&lt;&gt;")=0,"",SUMIFS(BD!$Z$3:$Z$5001,BD!$A$3:$A$5001,H$3,BD!$B$3:$B$5001,$A$192)))</f>
        <v/>
      </c>
      <c r="I202" s="209" t="str">
        <f>IF(I$3="","",IF(COUNTIFS(BD!$A$3:$A$5001,I$3,BD!$B$3:$B$5001,$A$192,BD!$Z$3:$Z$5001,"&lt;&gt;")=0,"",SUMIFS(BD!$Z$3:$Z$5001,BD!$A$3:$A$5001,I$3,BD!$B$3:$B$5001,$A$192)))</f>
        <v/>
      </c>
      <c r="J202" s="209" t="str">
        <f>IF(J$3="","",IF(COUNTIFS(BD!$A$3:$A$5001,J$3,BD!$B$3:$B$5001,$A$192,BD!$Z$3:$Z$5001,"&lt;&gt;")=0,"",SUMIFS(BD!$Z$3:$Z$5001,BD!$A$3:$A$5001,J$3,BD!$B$3:$B$5001,$A$192)))</f>
        <v/>
      </c>
      <c r="K202" s="209" t="str">
        <f>IF(K$3="","",IF(COUNTIFS(BD!$A$3:$A$5001,K$3,BD!$B$3:$B$5001,$A$192,BD!$Z$3:$Z$5001,"&lt;&gt;")=0,"",SUMIFS(BD!$Z$3:$Z$5001,BD!$A$3:$A$5001,K$3,BD!$B$3:$B$5001,$A$192)))</f>
        <v/>
      </c>
      <c r="L202" s="209" t="str">
        <f>IF(L$3="","",IF(COUNTIFS(BD!$A$3:$A$5001,L$3,BD!$B$3:$B$5001,$A$192,BD!$Z$3:$Z$5001,"&lt;&gt;")=0,"",SUMIFS(BD!$Z$3:$Z$5001,BD!$A$3:$A$5001,L$3,BD!$B$3:$B$5001,$A$192)))</f>
        <v/>
      </c>
      <c r="M202" s="209" t="str">
        <f>IF(M$3="","",IF(COUNTIFS(BD!$A$3:$A$5001,M$3,BD!$B$3:$B$5001,$A$192,BD!$Z$3:$Z$5001,"&lt;&gt;")=0,"",SUMIFS(BD!$Z$3:$Z$5001,BD!$A$3:$A$5001,M$3,BD!$B$3:$B$5001,$A$192)))</f>
        <v/>
      </c>
      <c r="N202" s="209" t="str">
        <f>IF(N$3="","",IF(COUNTIFS(BD!$A$3:$A$5001,N$3,BD!$B$3:$B$5001,$A$192,BD!$Z$3:$Z$5001,"&lt;&gt;")=0,"",SUMIFS(BD!$Z$3:$Z$5001,BD!$A$3:$A$5001,N$3,BD!$B$3:$B$5001,$A$192)))</f>
        <v/>
      </c>
      <c r="O202" s="209" t="str">
        <f>IF(O$3="","",IF(COUNTIFS(BD!$A$3:$A$5001,O$3,BD!$B$3:$B$5001,$A$192,BD!$Z$3:$Z$5001,"&lt;&gt;")=0,"",SUMIFS(BD!$Z$3:$Z$5001,BD!$A$3:$A$5001,O$3,BD!$B$3:$B$5001,$A$192)))</f>
        <v/>
      </c>
      <c r="P202" s="209" t="str">
        <f>IF(P$3="","",IF(COUNTIFS(BD!$A$3:$A$5001,P$3,BD!$B$3:$B$5001,$A$192,BD!$Z$3:$Z$5001,"&lt;&gt;")=0,"",SUMIFS(BD!$Z$3:$Z$5001,BD!$A$3:$A$5001,P$3,BD!$B$3:$B$5001,$A$192)))</f>
        <v/>
      </c>
      <c r="Q202" s="209" t="str">
        <f>IF(Q$3="","",IF(COUNTIFS(BD!$A$3:$A$5001,Q$3,BD!$B$3:$B$5001,$A$192,BD!$Z$3:$Z$5001,"&lt;&gt;")=0,"",SUMIFS(BD!$Z$3:$Z$5001,BD!$A$3:$A$5001,Q$3,BD!$B$3:$B$5001,$A$192)))</f>
        <v/>
      </c>
      <c r="R202" s="209" t="str">
        <f>IF(R$3="","",IF(COUNTIFS(BD!$A$3:$A$5001,R$3,BD!$B$3:$B$5001,$A$192,BD!$Z$3:$Z$5001,"&lt;&gt;")=0,"",SUMIFS(BD!$Z$3:$Z$5001,BD!$A$3:$A$5001,R$3,BD!$B$3:$B$5001,$A$192)))</f>
        <v/>
      </c>
      <c r="S202" s="209" t="str">
        <f>IF(S$3="","",IF(COUNTIFS(BD!$A$3:$A$5001,S$3,BD!$B$3:$B$5001,$A$192,BD!$Z$3:$Z$5001,"&lt;&gt;")=0,"",SUMIFS(BD!$Z$3:$Z$5001,BD!$A$3:$A$5001,S$3,BD!$B$3:$B$5001,$A$192)))</f>
        <v/>
      </c>
      <c r="T202" s="209" t="str">
        <f>IF(T$3="","",IF(COUNTIFS(BD!$A$3:$A$5001,T$3,BD!$B$3:$B$5001,$A$192,BD!$Z$3:$Z$5001,"&lt;&gt;")=0,"",SUMIFS(BD!$Z$3:$Z$5001,BD!$A$3:$A$5001,T$3,BD!$B$3:$B$5001,$A$192)))</f>
        <v/>
      </c>
      <c r="U202" s="209" t="str">
        <f>IF(U$3="","",IF(COUNTIFS(BD!$A$3:$A$5001,U$3,BD!$B$3:$B$5001,$A$192,BD!$Z$3:$Z$5001,"&lt;&gt;")=0,"",SUMIFS(BD!$Z$3:$Z$5001,BD!$A$3:$A$5001,U$3,BD!$B$3:$B$5001,$A$192)))</f>
        <v/>
      </c>
      <c r="V202" s="209" t="str">
        <f>IF(V$3="","",IF(COUNTIFS(BD!$A$3:$A$5001,V$3,BD!$B$3:$B$5001,$A$192,BD!$Z$3:$Z$5001,"&lt;&gt;")=0,"",SUMIFS(BD!$Z$3:$Z$5001,BD!$A$3:$A$5001,V$3,BD!$B$3:$B$5001,$A$192)))</f>
        <v/>
      </c>
      <c r="W202" s="209" t="str">
        <f>IF(W$3="","",IF(COUNTIFS(BD!$A$3:$A$5001,W$3,BD!$B$3:$B$5001,$A$192,BD!$Z$3:$Z$5001,"&lt;&gt;")=0,"",SUMIFS(BD!$Z$3:$Z$5001,BD!$A$3:$A$5001,W$3,BD!$B$3:$B$5001,$A$192)))</f>
        <v/>
      </c>
      <c r="X202" s="209" t="str">
        <f>IF(X$3="","",IF(COUNTIFS(BD!$A$3:$A$5001,X$3,BD!$B$3:$B$5001,$A$192,BD!$Z$3:$Z$5001,"&lt;&gt;")=0,"",SUMIFS(BD!$Z$3:$Z$5001,BD!$A$3:$A$5001,X$3,BD!$B$3:$B$5001,$A$192)))</f>
        <v/>
      </c>
      <c r="Y202" s="209" t="str">
        <f>IF(Y$3="","",IF(COUNTIFS(BD!$A$3:$A$5001,Y$3,BD!$B$3:$B$5001,$A$192,BD!$Z$3:$Z$5001,"&lt;&gt;")=0,"",SUMIFS(BD!$Z$3:$Z$5001,BD!$A$3:$A$5001,Y$3,BD!$B$3:$B$5001,$A$192)))</f>
        <v/>
      </c>
      <c r="Z202" s="209" t="str">
        <f>IF(Z$3="","",IF(COUNTIFS(BD!$A$3:$A$5001,Z$3,BD!$B$3:$B$5001,$A$192,BD!$Z$3:$Z$5001,"&lt;&gt;")=0,"",SUMIFS(BD!$Z$3:$Z$5001,BD!$A$3:$A$5001,Z$3,BD!$B$3:$B$5001,$A$192)))</f>
        <v/>
      </c>
      <c r="AA202" s="209" t="str">
        <f>IF(AA$3="","",IF(COUNTIFS(BD!$A$3:$A$5001,AA$3,BD!$B$3:$B$5001,$A$192,BD!$Z$3:$Z$5001,"&lt;&gt;")=0,"",SUMIFS(BD!$Z$3:$Z$5001,BD!$A$3:$A$5001,AA$3,BD!$B$3:$B$5001,$A$192)))</f>
        <v/>
      </c>
      <c r="AB202" s="209" t="str">
        <f>IF(AB$3="","",IF(COUNTIFS(BD!$A$3:$A$5001,AB$3,BD!$B$3:$B$5001,$A$192,BD!$Z$3:$Z$5001,"&lt;&gt;")=0,"",SUMIFS(BD!$Z$3:$Z$5001,BD!$A$3:$A$5001,AB$3,BD!$B$3:$B$5001,$A$192)))</f>
        <v/>
      </c>
      <c r="AC202" s="209" t="str">
        <f>IF(AC$3="","",IF(COUNTIFS(BD!$A$3:$A$5001,AC$3,BD!$B$3:$B$5001,$A$192,BD!$Z$3:$Z$5001,"&lt;&gt;")=0,"",SUMIFS(BD!$Z$3:$Z$5001,BD!$A$3:$A$5001,AC$3,BD!$B$3:$B$5001,$A$192)))</f>
        <v/>
      </c>
      <c r="AD202" s="209" t="str">
        <f>IF(AD$3="","",IF(COUNTIFS(BD!$A$3:$A$5001,AD$3,BD!$B$3:$B$5001,$A$192,BD!$Z$3:$Z$5001,"&lt;&gt;")=0,"",SUMIFS(BD!$Z$3:$Z$5001,BD!$A$3:$A$5001,AD$3,BD!$B$3:$B$5001,$A$192)))</f>
        <v/>
      </c>
      <c r="AE202" s="209" t="str">
        <f>IF(AE$3="","",IF(COUNTIFS(BD!$A$3:$A$5001,AE$3,BD!$B$3:$B$5001,$A$192,BD!$Z$3:$Z$5001,"&lt;&gt;")=0,"",SUMIFS(BD!$Z$3:$Z$5001,BD!$A$3:$A$5001,AE$3,BD!$B$3:$B$5001,$A$192)))</f>
        <v/>
      </c>
      <c r="AF202" s="209" t="str">
        <f>IF(AF$3="","",IF(COUNTIFS(BD!$A$3:$A$5001,AF$3,BD!$B$3:$B$5001,$A$192,BD!$Z$3:$Z$5001,"&lt;&gt;")=0,"",SUMIFS(BD!$Z$3:$Z$5001,BD!$A$3:$A$5001,AF$3,BD!$B$3:$B$5001,$A$192)))</f>
        <v/>
      </c>
      <c r="AG202" s="209" t="str">
        <f>IF(AG$3="","",IF(COUNTIFS(BD!$A$3:$A$5001,AG$3,BD!$B$3:$B$5001,$A$192,BD!$Z$3:$Z$5001,"&lt;&gt;")=0,"",SUMIFS(BD!$Z$3:$Z$5001,BD!$A$3:$A$5001,AG$3,BD!$B$3:$B$5001,$A$192)))</f>
        <v/>
      </c>
      <c r="AH202" s="209" t="str">
        <f>IF(AH$3="","",IF(COUNTIFS(BD!$A$3:$A$5001,AH$3,BD!$B$3:$B$5001,$A$192,BD!$Z$3:$Z$5001,"&lt;&gt;")=0,"",SUMIFS(BD!$Z$3:$Z$5001,BD!$A$3:$A$5001,AH$3,BD!$B$3:$B$5001,$A$192)))</f>
        <v/>
      </c>
      <c r="AI202" s="209" t="str">
        <f>IF(AI$3="","",IF(COUNTIFS(BD!$A$3:$A$5001,AI$3,BD!$B$3:$B$5001,$A$192,BD!$Z$3:$Z$5001,"&lt;&gt;")=0,"",SUMIFS(BD!$Z$3:$Z$5001,BD!$A$3:$A$5001,AI$3,BD!$B$3:$B$5001,$A$192)))</f>
        <v/>
      </c>
      <c r="AJ202" s="210" t="str">
        <f>IF(AJ$3="","",IF(COUNTIFS(BD!$A$3:$A$5001,AJ$3,BD!$B$3:$B$5001,$A$192,BD!$Z$3:$Z$5001,"&lt;&gt;")=0,"",SUMIFS(BD!$Z$3:$Z$5001,BD!$A$3:$A$5001,AJ$3,BD!$B$3:$B$5001,$A$192)))</f>
        <v/>
      </c>
      <c r="AK202" s="211" t="str">
        <f>IFERROR(LOOKUP(9.99E+307,F202:AJ202),"")</f>
        <v/>
      </c>
    </row>
    <row r="203" ht="15.75" customHeight="1">
      <c r="A203" s="237"/>
      <c r="B203" s="234"/>
      <c r="C203" s="212" t="inlineStr">
        <is>
          <t xml:space="preserve">Falta</t>
        </is>
      </c>
      <c r="D203" s="213" t="str">
        <f>IFERROR(1/(1/INDEX(BD!$AK$48:$AU$48,MATCH($A$192,BD!$AK$22:$AU$22,0))),"")</f>
        <v/>
      </c>
      <c r="E203" s="214"/>
      <c r="F203" s="215" t="str">
        <f>IF(F$3="","",IF(COUNTIFS(BD!$A$3:$A$5001,F$3,BD!$B$3:$B$5001,$A$192,BD!$AA$3:$AA$5001,"&lt;&gt;")=0,"",SUMIFS(BD!$AA$3:$AA$5001,BD!$A$3:$A$5001,F$3,BD!$B$3:$B$5001,$A$192)))</f>
        <v/>
      </c>
      <c r="G203" s="216" t="str">
        <f>IF(G$3="","",IF(COUNTIFS(BD!$A$3:$A$5001,G$3,BD!$B$3:$B$5001,$A$192,BD!$AA$3:$AA$5001,"&lt;&gt;")=0,"",SUMIFS(BD!$AA$3:$AA$5001,BD!$A$3:$A$5001,G$3,BD!$B$3:$B$5001,$A$192)))</f>
        <v/>
      </c>
      <c r="H203" s="216" t="str">
        <f>IF(H$3="","",IF(COUNTIFS(BD!$A$3:$A$5001,H$3,BD!$B$3:$B$5001,$A$192,BD!$AA$3:$AA$5001,"&lt;&gt;")=0,"",SUMIFS(BD!$AA$3:$AA$5001,BD!$A$3:$A$5001,H$3,BD!$B$3:$B$5001,$A$192)))</f>
        <v/>
      </c>
      <c r="I203" s="216" t="str">
        <f>IF(I$3="","",IF(COUNTIFS(BD!$A$3:$A$5001,I$3,BD!$B$3:$B$5001,$A$192,BD!$AA$3:$AA$5001,"&lt;&gt;")=0,"",SUMIFS(BD!$AA$3:$AA$5001,BD!$A$3:$A$5001,I$3,BD!$B$3:$B$5001,$A$192)))</f>
        <v/>
      </c>
      <c r="J203" s="216" t="str">
        <f>IF(J$3="","",IF(COUNTIFS(BD!$A$3:$A$5001,J$3,BD!$B$3:$B$5001,$A$192,BD!$AA$3:$AA$5001,"&lt;&gt;")=0,"",SUMIFS(BD!$AA$3:$AA$5001,BD!$A$3:$A$5001,J$3,BD!$B$3:$B$5001,$A$192)))</f>
        <v/>
      </c>
      <c r="K203" s="216" t="str">
        <f>IF(K$3="","",IF(COUNTIFS(BD!$A$3:$A$5001,K$3,BD!$B$3:$B$5001,$A$192,BD!$AA$3:$AA$5001,"&lt;&gt;")=0,"",SUMIFS(BD!$AA$3:$AA$5001,BD!$A$3:$A$5001,K$3,BD!$B$3:$B$5001,$A$192)))</f>
        <v/>
      </c>
      <c r="L203" s="216" t="str">
        <f>IF(L$3="","",IF(COUNTIFS(BD!$A$3:$A$5001,L$3,BD!$B$3:$B$5001,$A$192,BD!$AA$3:$AA$5001,"&lt;&gt;")=0,"",SUMIFS(BD!$AA$3:$AA$5001,BD!$A$3:$A$5001,L$3,BD!$B$3:$B$5001,$A$192)))</f>
        <v/>
      </c>
      <c r="M203" s="216" t="str">
        <f>IF(M$3="","",IF(COUNTIFS(BD!$A$3:$A$5001,M$3,BD!$B$3:$B$5001,$A$192,BD!$AA$3:$AA$5001,"&lt;&gt;")=0,"",SUMIFS(BD!$AA$3:$AA$5001,BD!$A$3:$A$5001,M$3,BD!$B$3:$B$5001,$A$192)))</f>
        <v/>
      </c>
      <c r="N203" s="216" t="str">
        <f>IF(N$3="","",IF(COUNTIFS(BD!$A$3:$A$5001,N$3,BD!$B$3:$B$5001,$A$192,BD!$AA$3:$AA$5001,"&lt;&gt;")=0,"",SUMIFS(BD!$AA$3:$AA$5001,BD!$A$3:$A$5001,N$3,BD!$B$3:$B$5001,$A$192)))</f>
        <v/>
      </c>
      <c r="O203" s="216" t="str">
        <f>IF(O$3="","",IF(COUNTIFS(BD!$A$3:$A$5001,O$3,BD!$B$3:$B$5001,$A$192,BD!$AA$3:$AA$5001,"&lt;&gt;")=0,"",SUMIFS(BD!$AA$3:$AA$5001,BD!$A$3:$A$5001,O$3,BD!$B$3:$B$5001,$A$192)))</f>
        <v/>
      </c>
      <c r="P203" s="216" t="str">
        <f>IF(P$3="","",IF(COUNTIFS(BD!$A$3:$A$5001,P$3,BD!$B$3:$B$5001,$A$192,BD!$AA$3:$AA$5001,"&lt;&gt;")=0,"",SUMIFS(BD!$AA$3:$AA$5001,BD!$A$3:$A$5001,P$3,BD!$B$3:$B$5001,$A$192)))</f>
        <v/>
      </c>
      <c r="Q203" s="216" t="str">
        <f>IF(Q$3="","",IF(COUNTIFS(BD!$A$3:$A$5001,Q$3,BD!$B$3:$B$5001,$A$192,BD!$AA$3:$AA$5001,"&lt;&gt;")=0,"",SUMIFS(BD!$AA$3:$AA$5001,BD!$A$3:$A$5001,Q$3,BD!$B$3:$B$5001,$A$192)))</f>
        <v/>
      </c>
      <c r="R203" s="216" t="str">
        <f>IF(R$3="","",IF(COUNTIFS(BD!$A$3:$A$5001,R$3,BD!$B$3:$B$5001,$A$192,BD!$AA$3:$AA$5001,"&lt;&gt;")=0,"",SUMIFS(BD!$AA$3:$AA$5001,BD!$A$3:$A$5001,R$3,BD!$B$3:$B$5001,$A$192)))</f>
        <v/>
      </c>
      <c r="S203" s="216" t="str">
        <f>IF(S$3="","",IF(COUNTIFS(BD!$A$3:$A$5001,S$3,BD!$B$3:$B$5001,$A$192,BD!$AA$3:$AA$5001,"&lt;&gt;")=0,"",SUMIFS(BD!$AA$3:$AA$5001,BD!$A$3:$A$5001,S$3,BD!$B$3:$B$5001,$A$192)))</f>
        <v/>
      </c>
      <c r="T203" s="216" t="str">
        <f>IF(T$3="","",IF(COUNTIFS(BD!$A$3:$A$5001,T$3,BD!$B$3:$B$5001,$A$192,BD!$AA$3:$AA$5001,"&lt;&gt;")=0,"",SUMIFS(BD!$AA$3:$AA$5001,BD!$A$3:$A$5001,T$3,BD!$B$3:$B$5001,$A$192)))</f>
        <v/>
      </c>
      <c r="U203" s="216" t="str">
        <f>IF(U$3="","",IF(COUNTIFS(BD!$A$3:$A$5001,U$3,BD!$B$3:$B$5001,$A$192,BD!$AA$3:$AA$5001,"&lt;&gt;")=0,"",SUMIFS(BD!$AA$3:$AA$5001,BD!$A$3:$A$5001,U$3,BD!$B$3:$B$5001,$A$192)))</f>
        <v/>
      </c>
      <c r="V203" s="216" t="str">
        <f>IF(V$3="","",IF(COUNTIFS(BD!$A$3:$A$5001,V$3,BD!$B$3:$B$5001,$A$192,BD!$AA$3:$AA$5001,"&lt;&gt;")=0,"",SUMIFS(BD!$AA$3:$AA$5001,BD!$A$3:$A$5001,V$3,BD!$B$3:$B$5001,$A$192)))</f>
        <v/>
      </c>
      <c r="W203" s="216" t="str">
        <f>IF(W$3="","",IF(COUNTIFS(BD!$A$3:$A$5001,W$3,BD!$B$3:$B$5001,$A$192,BD!$AA$3:$AA$5001,"&lt;&gt;")=0,"",SUMIFS(BD!$AA$3:$AA$5001,BD!$A$3:$A$5001,W$3,BD!$B$3:$B$5001,$A$192)))</f>
        <v/>
      </c>
      <c r="X203" s="216" t="str">
        <f>IF(X$3="","",IF(COUNTIFS(BD!$A$3:$A$5001,X$3,BD!$B$3:$B$5001,$A$192,BD!$AA$3:$AA$5001,"&lt;&gt;")=0,"",SUMIFS(BD!$AA$3:$AA$5001,BD!$A$3:$A$5001,X$3,BD!$B$3:$B$5001,$A$192)))</f>
        <v/>
      </c>
      <c r="Y203" s="216" t="str">
        <f>IF(Y$3="","",IF(COUNTIFS(BD!$A$3:$A$5001,Y$3,BD!$B$3:$B$5001,$A$192,BD!$AA$3:$AA$5001,"&lt;&gt;")=0,"",SUMIFS(BD!$AA$3:$AA$5001,BD!$A$3:$A$5001,Y$3,BD!$B$3:$B$5001,$A$192)))</f>
        <v/>
      </c>
      <c r="Z203" s="216" t="str">
        <f>IF(Z$3="","",IF(COUNTIFS(BD!$A$3:$A$5001,Z$3,BD!$B$3:$B$5001,$A$192,BD!$AA$3:$AA$5001,"&lt;&gt;")=0,"",SUMIFS(BD!$AA$3:$AA$5001,BD!$A$3:$A$5001,Z$3,BD!$B$3:$B$5001,$A$192)))</f>
        <v/>
      </c>
      <c r="AA203" s="216" t="str">
        <f>IF(AA$3="","",IF(COUNTIFS(BD!$A$3:$A$5001,AA$3,BD!$B$3:$B$5001,$A$192,BD!$AA$3:$AA$5001,"&lt;&gt;")=0,"",SUMIFS(BD!$AA$3:$AA$5001,BD!$A$3:$A$5001,AA$3,BD!$B$3:$B$5001,$A$192)))</f>
        <v/>
      </c>
      <c r="AB203" s="216" t="str">
        <f>IF(AB$3="","",IF(COUNTIFS(BD!$A$3:$A$5001,AB$3,BD!$B$3:$B$5001,$A$192,BD!$AA$3:$AA$5001,"&lt;&gt;")=0,"",SUMIFS(BD!$AA$3:$AA$5001,BD!$A$3:$A$5001,AB$3,BD!$B$3:$B$5001,$A$192)))</f>
        <v/>
      </c>
      <c r="AC203" s="216" t="str">
        <f>IF(AC$3="","",IF(COUNTIFS(BD!$A$3:$A$5001,AC$3,BD!$B$3:$B$5001,$A$192,BD!$AA$3:$AA$5001,"&lt;&gt;")=0,"",SUMIFS(BD!$AA$3:$AA$5001,BD!$A$3:$A$5001,AC$3,BD!$B$3:$B$5001,$A$192)))</f>
        <v/>
      </c>
      <c r="AD203" s="216" t="str">
        <f>IF(AD$3="","",IF(COUNTIFS(BD!$A$3:$A$5001,AD$3,BD!$B$3:$B$5001,$A$192,BD!$AA$3:$AA$5001,"&lt;&gt;")=0,"",SUMIFS(BD!$AA$3:$AA$5001,BD!$A$3:$A$5001,AD$3,BD!$B$3:$B$5001,$A$192)))</f>
        <v/>
      </c>
      <c r="AE203" s="216" t="str">
        <f>IF(AE$3="","",IF(COUNTIFS(BD!$A$3:$A$5001,AE$3,BD!$B$3:$B$5001,$A$192,BD!$AA$3:$AA$5001,"&lt;&gt;")=0,"",SUMIFS(BD!$AA$3:$AA$5001,BD!$A$3:$A$5001,AE$3,BD!$B$3:$B$5001,$A$192)))</f>
        <v/>
      </c>
      <c r="AF203" s="216" t="str">
        <f>IF(AF$3="","",IF(COUNTIFS(BD!$A$3:$A$5001,AF$3,BD!$B$3:$B$5001,$A$192,BD!$AA$3:$AA$5001,"&lt;&gt;")=0,"",SUMIFS(BD!$AA$3:$AA$5001,BD!$A$3:$A$5001,AF$3,BD!$B$3:$B$5001,$A$192)))</f>
        <v/>
      </c>
      <c r="AG203" s="216" t="str">
        <f>IF(AG$3="","",IF(COUNTIFS(BD!$A$3:$A$5001,AG$3,BD!$B$3:$B$5001,$A$192,BD!$AA$3:$AA$5001,"&lt;&gt;")=0,"",SUMIFS(BD!$AA$3:$AA$5001,BD!$A$3:$A$5001,AG$3,BD!$B$3:$B$5001,$A$192)))</f>
        <v/>
      </c>
      <c r="AH203" s="216" t="str">
        <f>IF(AH$3="","",IF(COUNTIFS(BD!$A$3:$A$5001,AH$3,BD!$B$3:$B$5001,$A$192,BD!$AA$3:$AA$5001,"&lt;&gt;")=0,"",SUMIFS(BD!$AA$3:$AA$5001,BD!$A$3:$A$5001,AH$3,BD!$B$3:$B$5001,$A$192)))</f>
        <v/>
      </c>
      <c r="AI203" s="216" t="str">
        <f>IF(AI$3="","",IF(COUNTIFS(BD!$A$3:$A$5001,AI$3,BD!$B$3:$B$5001,$A$192,BD!$AA$3:$AA$5001,"&lt;&gt;")=0,"",SUMIFS(BD!$AA$3:$AA$5001,BD!$A$3:$A$5001,AI$3,BD!$B$3:$B$5001,$A$192)))</f>
        <v/>
      </c>
      <c r="AJ203" s="217" t="str">
        <f>IF(AJ$3="","",IF(COUNTIFS(BD!$A$3:$A$5001,AJ$3,BD!$B$3:$B$5001,$A$192,BD!$AA$3:$AA$5001,"&lt;&gt;")=0,"",SUMIFS(BD!$AA$3:$AA$5001,BD!$A$3:$A$5001,AJ$3,BD!$B$3:$B$5001,$A$192)))</f>
        <v/>
      </c>
      <c r="AK203" s="218" t="str">
        <f>IF(COUNT(F203:AJ203)=0,"",SUM(F203:AJ203))</f>
        <v/>
      </c>
    </row>
    <row r="204" ht="15.75" customHeight="1">
      <c r="A204" s="237"/>
      <c r="B204" s="234"/>
      <c r="C204" s="212" t="inlineStr">
        <is>
          <t xml:space="preserve">Folga</t>
        </is>
      </c>
      <c r="D204" s="213" t="str">
        <f>IFERROR(1/(1/INDEX(BD!$AK$49:$AU$49,MATCH($A$192,BD!$AK$22:$AU$22,0))),"")</f>
        <v/>
      </c>
      <c r="E204" s="214"/>
      <c r="F204" s="215" t="str">
        <f>IF(F$3="","",IF(COUNTIFS(BD!$A$3:$A$5001,F$3,BD!$B$3:$B$5001,$A$192,BD!$AB$3:$AB$5001,"&lt;&gt;")=0,"",SUMIFS(BD!$AB$3:$AB$5001,BD!$A$3:$A$5001,F$3,BD!$B$3:$B$5001,$A$192)))</f>
        <v/>
      </c>
      <c r="G204" s="216" t="str">
        <f>IF(G$3="","",IF(COUNTIFS(BD!$A$3:$A$5001,G$3,BD!$B$3:$B$5001,$A$192,BD!$AB$3:$AB$5001,"&lt;&gt;")=0,"",SUMIFS(BD!$AB$3:$AB$5001,BD!$A$3:$A$5001,G$3,BD!$B$3:$B$5001,$A$192)))</f>
        <v/>
      </c>
      <c r="H204" s="216" t="str">
        <f>IF(H$3="","",IF(COUNTIFS(BD!$A$3:$A$5001,H$3,BD!$B$3:$B$5001,$A$192,BD!$AB$3:$AB$5001,"&lt;&gt;")=0,"",SUMIFS(BD!$AB$3:$AB$5001,BD!$A$3:$A$5001,H$3,BD!$B$3:$B$5001,$A$192)))</f>
        <v/>
      </c>
      <c r="I204" s="216" t="str">
        <f>IF(I$3="","",IF(COUNTIFS(BD!$A$3:$A$5001,I$3,BD!$B$3:$B$5001,$A$192,BD!$AB$3:$AB$5001,"&lt;&gt;")=0,"",SUMIFS(BD!$AB$3:$AB$5001,BD!$A$3:$A$5001,I$3,BD!$B$3:$B$5001,$A$192)))</f>
        <v/>
      </c>
      <c r="J204" s="216" t="str">
        <f>IF(J$3="","",IF(COUNTIFS(BD!$A$3:$A$5001,J$3,BD!$B$3:$B$5001,$A$192,BD!$AB$3:$AB$5001,"&lt;&gt;")=0,"",SUMIFS(BD!$AB$3:$AB$5001,BD!$A$3:$A$5001,J$3,BD!$B$3:$B$5001,$A$192)))</f>
        <v/>
      </c>
      <c r="K204" s="216" t="str">
        <f>IF(K$3="","",IF(COUNTIFS(BD!$A$3:$A$5001,K$3,BD!$B$3:$B$5001,$A$192,BD!$AB$3:$AB$5001,"&lt;&gt;")=0,"",SUMIFS(BD!$AB$3:$AB$5001,BD!$A$3:$A$5001,K$3,BD!$B$3:$B$5001,$A$192)))</f>
        <v/>
      </c>
      <c r="L204" s="216" t="str">
        <f>IF(L$3="","",IF(COUNTIFS(BD!$A$3:$A$5001,L$3,BD!$B$3:$B$5001,$A$192,BD!$AB$3:$AB$5001,"&lt;&gt;")=0,"",SUMIFS(BD!$AB$3:$AB$5001,BD!$A$3:$A$5001,L$3,BD!$B$3:$B$5001,$A$192)))</f>
        <v/>
      </c>
      <c r="M204" s="216" t="str">
        <f>IF(M$3="","",IF(COUNTIFS(BD!$A$3:$A$5001,M$3,BD!$B$3:$B$5001,$A$192,BD!$AB$3:$AB$5001,"&lt;&gt;")=0,"",SUMIFS(BD!$AB$3:$AB$5001,BD!$A$3:$A$5001,M$3,BD!$B$3:$B$5001,$A$192)))</f>
        <v/>
      </c>
      <c r="N204" s="216" t="str">
        <f>IF(N$3="","",IF(COUNTIFS(BD!$A$3:$A$5001,N$3,BD!$B$3:$B$5001,$A$192,BD!$AB$3:$AB$5001,"&lt;&gt;")=0,"",SUMIFS(BD!$AB$3:$AB$5001,BD!$A$3:$A$5001,N$3,BD!$B$3:$B$5001,$A$192)))</f>
        <v/>
      </c>
      <c r="O204" s="216" t="str">
        <f>IF(O$3="","",IF(COUNTIFS(BD!$A$3:$A$5001,O$3,BD!$B$3:$B$5001,$A$192,BD!$AB$3:$AB$5001,"&lt;&gt;")=0,"",SUMIFS(BD!$AB$3:$AB$5001,BD!$A$3:$A$5001,O$3,BD!$B$3:$B$5001,$A$192)))</f>
        <v/>
      </c>
      <c r="P204" s="216" t="str">
        <f>IF(P$3="","",IF(COUNTIFS(BD!$A$3:$A$5001,P$3,BD!$B$3:$B$5001,$A$192,BD!$AB$3:$AB$5001,"&lt;&gt;")=0,"",SUMIFS(BD!$AB$3:$AB$5001,BD!$A$3:$A$5001,P$3,BD!$B$3:$B$5001,$A$192)))</f>
        <v/>
      </c>
      <c r="Q204" s="216" t="str">
        <f>IF(Q$3="","",IF(COUNTIFS(BD!$A$3:$A$5001,Q$3,BD!$B$3:$B$5001,$A$192,BD!$AB$3:$AB$5001,"&lt;&gt;")=0,"",SUMIFS(BD!$AB$3:$AB$5001,BD!$A$3:$A$5001,Q$3,BD!$B$3:$B$5001,$A$192)))</f>
        <v/>
      </c>
      <c r="R204" s="216" t="str">
        <f>IF(R$3="","",IF(COUNTIFS(BD!$A$3:$A$5001,R$3,BD!$B$3:$B$5001,$A$192,BD!$AB$3:$AB$5001,"&lt;&gt;")=0,"",SUMIFS(BD!$AB$3:$AB$5001,BD!$A$3:$A$5001,R$3,BD!$B$3:$B$5001,$A$192)))</f>
        <v/>
      </c>
      <c r="S204" s="216" t="str">
        <f>IF(S$3="","",IF(COUNTIFS(BD!$A$3:$A$5001,S$3,BD!$B$3:$B$5001,$A$192,BD!$AB$3:$AB$5001,"&lt;&gt;")=0,"",SUMIFS(BD!$AB$3:$AB$5001,BD!$A$3:$A$5001,S$3,BD!$B$3:$B$5001,$A$192)))</f>
        <v/>
      </c>
      <c r="T204" s="216" t="str">
        <f>IF(T$3="","",IF(COUNTIFS(BD!$A$3:$A$5001,T$3,BD!$B$3:$B$5001,$A$192,BD!$AB$3:$AB$5001,"&lt;&gt;")=0,"",SUMIFS(BD!$AB$3:$AB$5001,BD!$A$3:$A$5001,T$3,BD!$B$3:$B$5001,$A$192)))</f>
        <v/>
      </c>
      <c r="U204" s="216" t="str">
        <f>IF(U$3="","",IF(COUNTIFS(BD!$A$3:$A$5001,U$3,BD!$B$3:$B$5001,$A$192,BD!$AB$3:$AB$5001,"&lt;&gt;")=0,"",SUMIFS(BD!$AB$3:$AB$5001,BD!$A$3:$A$5001,U$3,BD!$B$3:$B$5001,$A$192)))</f>
        <v/>
      </c>
      <c r="V204" s="216" t="str">
        <f>IF(V$3="","",IF(COUNTIFS(BD!$A$3:$A$5001,V$3,BD!$B$3:$B$5001,$A$192,BD!$AB$3:$AB$5001,"&lt;&gt;")=0,"",SUMIFS(BD!$AB$3:$AB$5001,BD!$A$3:$A$5001,V$3,BD!$B$3:$B$5001,$A$192)))</f>
        <v/>
      </c>
      <c r="W204" s="216" t="str">
        <f>IF(W$3="","",IF(COUNTIFS(BD!$A$3:$A$5001,W$3,BD!$B$3:$B$5001,$A$192,BD!$AB$3:$AB$5001,"&lt;&gt;")=0,"",SUMIFS(BD!$AB$3:$AB$5001,BD!$A$3:$A$5001,W$3,BD!$B$3:$B$5001,$A$192)))</f>
        <v/>
      </c>
      <c r="X204" s="216" t="str">
        <f>IF(X$3="","",IF(COUNTIFS(BD!$A$3:$A$5001,X$3,BD!$B$3:$B$5001,$A$192,BD!$AB$3:$AB$5001,"&lt;&gt;")=0,"",SUMIFS(BD!$AB$3:$AB$5001,BD!$A$3:$A$5001,X$3,BD!$B$3:$B$5001,$A$192)))</f>
        <v/>
      </c>
      <c r="Y204" s="216" t="str">
        <f>IF(Y$3="","",IF(COUNTIFS(BD!$A$3:$A$5001,Y$3,BD!$B$3:$B$5001,$A$192,BD!$AB$3:$AB$5001,"&lt;&gt;")=0,"",SUMIFS(BD!$AB$3:$AB$5001,BD!$A$3:$A$5001,Y$3,BD!$B$3:$B$5001,$A$192)))</f>
        <v/>
      </c>
      <c r="Z204" s="216" t="str">
        <f>IF(Z$3="","",IF(COUNTIFS(BD!$A$3:$A$5001,Z$3,BD!$B$3:$B$5001,$A$192,BD!$AB$3:$AB$5001,"&lt;&gt;")=0,"",SUMIFS(BD!$AB$3:$AB$5001,BD!$A$3:$A$5001,Z$3,BD!$B$3:$B$5001,$A$192)))</f>
        <v/>
      </c>
      <c r="AA204" s="216" t="str">
        <f>IF(AA$3="","",IF(COUNTIFS(BD!$A$3:$A$5001,AA$3,BD!$B$3:$B$5001,$A$192,BD!$AB$3:$AB$5001,"&lt;&gt;")=0,"",SUMIFS(BD!$AB$3:$AB$5001,BD!$A$3:$A$5001,AA$3,BD!$B$3:$B$5001,$A$192)))</f>
        <v/>
      </c>
      <c r="AB204" s="216" t="str">
        <f>IF(AB$3="","",IF(COUNTIFS(BD!$A$3:$A$5001,AB$3,BD!$B$3:$B$5001,$A$192,BD!$AB$3:$AB$5001,"&lt;&gt;")=0,"",SUMIFS(BD!$AB$3:$AB$5001,BD!$A$3:$A$5001,AB$3,BD!$B$3:$B$5001,$A$192)))</f>
        <v/>
      </c>
      <c r="AC204" s="216" t="str">
        <f>IF(AC$3="","",IF(COUNTIFS(BD!$A$3:$A$5001,AC$3,BD!$B$3:$B$5001,$A$192,BD!$AB$3:$AB$5001,"&lt;&gt;")=0,"",SUMIFS(BD!$AB$3:$AB$5001,BD!$A$3:$A$5001,AC$3,BD!$B$3:$B$5001,$A$192)))</f>
        <v/>
      </c>
      <c r="AD204" s="216" t="str">
        <f>IF(AD$3="","",IF(COUNTIFS(BD!$A$3:$A$5001,AD$3,BD!$B$3:$B$5001,$A$192,BD!$AB$3:$AB$5001,"&lt;&gt;")=0,"",SUMIFS(BD!$AB$3:$AB$5001,BD!$A$3:$A$5001,AD$3,BD!$B$3:$B$5001,$A$192)))</f>
        <v/>
      </c>
      <c r="AE204" s="216" t="str">
        <f>IF(AE$3="","",IF(COUNTIFS(BD!$A$3:$A$5001,AE$3,BD!$B$3:$B$5001,$A$192,BD!$AB$3:$AB$5001,"&lt;&gt;")=0,"",SUMIFS(BD!$AB$3:$AB$5001,BD!$A$3:$A$5001,AE$3,BD!$B$3:$B$5001,$A$192)))</f>
        <v/>
      </c>
      <c r="AF204" s="216" t="str">
        <f>IF(AF$3="","",IF(COUNTIFS(BD!$A$3:$A$5001,AF$3,BD!$B$3:$B$5001,$A$192,BD!$AB$3:$AB$5001,"&lt;&gt;")=0,"",SUMIFS(BD!$AB$3:$AB$5001,BD!$A$3:$A$5001,AF$3,BD!$B$3:$B$5001,$A$192)))</f>
        <v/>
      </c>
      <c r="AG204" s="216" t="str">
        <f>IF(AG$3="","",IF(COUNTIFS(BD!$A$3:$A$5001,AG$3,BD!$B$3:$B$5001,$A$192,BD!$AB$3:$AB$5001,"&lt;&gt;")=0,"",SUMIFS(BD!$AB$3:$AB$5001,BD!$A$3:$A$5001,AG$3,BD!$B$3:$B$5001,$A$192)))</f>
        <v/>
      </c>
      <c r="AH204" s="216" t="str">
        <f>IF(AH$3="","",IF(COUNTIFS(BD!$A$3:$A$5001,AH$3,BD!$B$3:$B$5001,$A$192,BD!$AB$3:$AB$5001,"&lt;&gt;")=0,"",SUMIFS(BD!$AB$3:$AB$5001,BD!$A$3:$A$5001,AH$3,BD!$B$3:$B$5001,$A$192)))</f>
        <v/>
      </c>
      <c r="AI204" s="216" t="str">
        <f>IF(AI$3="","",IF(COUNTIFS(BD!$A$3:$A$5001,AI$3,BD!$B$3:$B$5001,$A$192,BD!$AB$3:$AB$5001,"&lt;&gt;")=0,"",SUMIFS(BD!$AB$3:$AB$5001,BD!$A$3:$A$5001,AI$3,BD!$B$3:$B$5001,$A$192)))</f>
        <v/>
      </c>
      <c r="AJ204" s="217" t="str">
        <f>IF(AJ$3="","",IF(COUNTIFS(BD!$A$3:$A$5001,AJ$3,BD!$B$3:$B$5001,$A$192,BD!$AB$3:$AB$5001,"&lt;&gt;")=0,"",SUMIFS(BD!$AB$3:$AB$5001,BD!$A$3:$A$5001,AJ$3,BD!$B$3:$B$5001,$A$192)))</f>
        <v/>
      </c>
      <c r="AK204" s="218" t="str">
        <f>IF(COUNT(F204:AJ204)=0,"",SUM(F204:AJ204))</f>
        <v/>
      </c>
    </row>
    <row r="205" ht="15.75" customHeight="1">
      <c r="A205" s="237"/>
      <c r="B205" s="234"/>
      <c r="C205" s="212" t="inlineStr">
        <is>
          <t xml:space="preserve">Férias</t>
        </is>
      </c>
      <c r="D205" s="213" t="str">
        <f>IFERROR(1/(1/INDEX(BD!$AK$50:$AU$50,MATCH($A$192,BD!$AK$22:$AU$22,0))),"")</f>
        <v/>
      </c>
      <c r="E205" s="214"/>
      <c r="F205" s="215" t="str">
        <f>IF(F$3="","",IF(COUNTIFS(BD!$A$3:$A$5001,F$3,BD!$B$3:$B$5001,$A$192,BD!$AC$3:$AC$5001,"&lt;&gt;")=0,"",SUMIFS(BD!$AC$3:$AC$5001,BD!$A$3:$A$5001,F$3,BD!$B$3:$B$5001,$A$192)))</f>
        <v/>
      </c>
      <c r="G205" s="216" t="str">
        <f>IF(G$3="","",IF(COUNTIFS(BD!$A$3:$A$5001,G$3,BD!$B$3:$B$5001,$A$192,BD!$AC$3:$AC$5001,"&lt;&gt;")=0,"",SUMIFS(BD!$AC$3:$AC$5001,BD!$A$3:$A$5001,G$3,BD!$B$3:$B$5001,$A$192)))</f>
        <v/>
      </c>
      <c r="H205" s="216" t="str">
        <f>IF(H$3="","",IF(COUNTIFS(BD!$A$3:$A$5001,H$3,BD!$B$3:$B$5001,$A$192,BD!$AC$3:$AC$5001,"&lt;&gt;")=0,"",SUMIFS(BD!$AC$3:$AC$5001,BD!$A$3:$A$5001,H$3,BD!$B$3:$B$5001,$A$192)))</f>
        <v/>
      </c>
      <c r="I205" s="216" t="str">
        <f>IF(I$3="","",IF(COUNTIFS(BD!$A$3:$A$5001,I$3,BD!$B$3:$B$5001,$A$192,BD!$AC$3:$AC$5001,"&lt;&gt;")=0,"",SUMIFS(BD!$AC$3:$AC$5001,BD!$A$3:$A$5001,I$3,BD!$B$3:$B$5001,$A$192)))</f>
        <v/>
      </c>
      <c r="J205" s="216" t="str">
        <f>IF(J$3="","",IF(COUNTIFS(BD!$A$3:$A$5001,J$3,BD!$B$3:$B$5001,$A$192,BD!$AC$3:$AC$5001,"&lt;&gt;")=0,"",SUMIFS(BD!$AC$3:$AC$5001,BD!$A$3:$A$5001,J$3,BD!$B$3:$B$5001,$A$192)))</f>
        <v/>
      </c>
      <c r="K205" s="216" t="str">
        <f>IF(K$3="","",IF(COUNTIFS(BD!$A$3:$A$5001,K$3,BD!$B$3:$B$5001,$A$192,BD!$AC$3:$AC$5001,"&lt;&gt;")=0,"",SUMIFS(BD!$AC$3:$AC$5001,BD!$A$3:$A$5001,K$3,BD!$B$3:$B$5001,$A$192)))</f>
        <v/>
      </c>
      <c r="L205" s="216" t="str">
        <f>IF(L$3="","",IF(COUNTIFS(BD!$A$3:$A$5001,L$3,BD!$B$3:$B$5001,$A$192,BD!$AC$3:$AC$5001,"&lt;&gt;")=0,"",SUMIFS(BD!$AC$3:$AC$5001,BD!$A$3:$A$5001,L$3,BD!$B$3:$B$5001,$A$192)))</f>
        <v/>
      </c>
      <c r="M205" s="216" t="str">
        <f>IF(M$3="","",IF(COUNTIFS(BD!$A$3:$A$5001,M$3,BD!$B$3:$B$5001,$A$192,BD!$AC$3:$AC$5001,"&lt;&gt;")=0,"",SUMIFS(BD!$AC$3:$AC$5001,BD!$A$3:$A$5001,M$3,BD!$B$3:$B$5001,$A$192)))</f>
        <v/>
      </c>
      <c r="N205" s="216" t="str">
        <f>IF(N$3="","",IF(COUNTIFS(BD!$A$3:$A$5001,N$3,BD!$B$3:$B$5001,$A$192,BD!$AC$3:$AC$5001,"&lt;&gt;")=0,"",SUMIFS(BD!$AC$3:$AC$5001,BD!$A$3:$A$5001,N$3,BD!$B$3:$B$5001,$A$192)))</f>
        <v/>
      </c>
      <c r="O205" s="216" t="str">
        <f>IF(O$3="","",IF(COUNTIFS(BD!$A$3:$A$5001,O$3,BD!$B$3:$B$5001,$A$192,BD!$AC$3:$AC$5001,"&lt;&gt;")=0,"",SUMIFS(BD!$AC$3:$AC$5001,BD!$A$3:$A$5001,O$3,BD!$B$3:$B$5001,$A$192)))</f>
        <v/>
      </c>
      <c r="P205" s="216" t="str">
        <f>IF(P$3="","",IF(COUNTIFS(BD!$A$3:$A$5001,P$3,BD!$B$3:$B$5001,$A$192,BD!$AC$3:$AC$5001,"&lt;&gt;")=0,"",SUMIFS(BD!$AC$3:$AC$5001,BD!$A$3:$A$5001,P$3,BD!$B$3:$B$5001,$A$192)))</f>
        <v/>
      </c>
      <c r="Q205" s="216" t="str">
        <f>IF(Q$3="","",IF(COUNTIFS(BD!$A$3:$A$5001,Q$3,BD!$B$3:$B$5001,$A$192,BD!$AC$3:$AC$5001,"&lt;&gt;")=0,"",SUMIFS(BD!$AC$3:$AC$5001,BD!$A$3:$A$5001,Q$3,BD!$B$3:$B$5001,$A$192)))</f>
        <v/>
      </c>
      <c r="R205" s="216" t="str">
        <f>IF(R$3="","",IF(COUNTIFS(BD!$A$3:$A$5001,R$3,BD!$B$3:$B$5001,$A$192,BD!$AC$3:$AC$5001,"&lt;&gt;")=0,"",SUMIFS(BD!$AC$3:$AC$5001,BD!$A$3:$A$5001,R$3,BD!$B$3:$B$5001,$A$192)))</f>
        <v/>
      </c>
      <c r="S205" s="216" t="str">
        <f>IF(S$3="","",IF(COUNTIFS(BD!$A$3:$A$5001,S$3,BD!$B$3:$B$5001,$A$192,BD!$AC$3:$AC$5001,"&lt;&gt;")=0,"",SUMIFS(BD!$AC$3:$AC$5001,BD!$A$3:$A$5001,S$3,BD!$B$3:$B$5001,$A$192)))</f>
        <v/>
      </c>
      <c r="T205" s="216" t="str">
        <f>IF(T$3="","",IF(COUNTIFS(BD!$A$3:$A$5001,T$3,BD!$B$3:$B$5001,$A$192,BD!$AC$3:$AC$5001,"&lt;&gt;")=0,"",SUMIFS(BD!$AC$3:$AC$5001,BD!$A$3:$A$5001,T$3,BD!$B$3:$B$5001,$A$192)))</f>
        <v/>
      </c>
      <c r="U205" s="216" t="str">
        <f>IF(U$3="","",IF(COUNTIFS(BD!$A$3:$A$5001,U$3,BD!$B$3:$B$5001,$A$192,BD!$AC$3:$AC$5001,"&lt;&gt;")=0,"",SUMIFS(BD!$AC$3:$AC$5001,BD!$A$3:$A$5001,U$3,BD!$B$3:$B$5001,$A$192)))</f>
        <v/>
      </c>
      <c r="V205" s="216" t="str">
        <f>IF(V$3="","",IF(COUNTIFS(BD!$A$3:$A$5001,V$3,BD!$B$3:$B$5001,$A$192,BD!$AC$3:$AC$5001,"&lt;&gt;")=0,"",SUMIFS(BD!$AC$3:$AC$5001,BD!$A$3:$A$5001,V$3,BD!$B$3:$B$5001,$A$192)))</f>
        <v/>
      </c>
      <c r="W205" s="216" t="str">
        <f>IF(W$3="","",IF(COUNTIFS(BD!$A$3:$A$5001,W$3,BD!$B$3:$B$5001,$A$192,BD!$AC$3:$AC$5001,"&lt;&gt;")=0,"",SUMIFS(BD!$AC$3:$AC$5001,BD!$A$3:$A$5001,W$3,BD!$B$3:$B$5001,$A$192)))</f>
        <v/>
      </c>
      <c r="X205" s="216" t="str">
        <f>IF(X$3="","",IF(COUNTIFS(BD!$A$3:$A$5001,X$3,BD!$B$3:$B$5001,$A$192,BD!$AC$3:$AC$5001,"&lt;&gt;")=0,"",SUMIFS(BD!$AC$3:$AC$5001,BD!$A$3:$A$5001,X$3,BD!$B$3:$B$5001,$A$192)))</f>
        <v/>
      </c>
      <c r="Y205" s="216" t="str">
        <f>IF(Y$3="","",IF(COUNTIFS(BD!$A$3:$A$5001,Y$3,BD!$B$3:$B$5001,$A$192,BD!$AC$3:$AC$5001,"&lt;&gt;")=0,"",SUMIFS(BD!$AC$3:$AC$5001,BD!$A$3:$A$5001,Y$3,BD!$B$3:$B$5001,$A$192)))</f>
        <v/>
      </c>
      <c r="Z205" s="216" t="str">
        <f>IF(Z$3="","",IF(COUNTIFS(BD!$A$3:$A$5001,Z$3,BD!$B$3:$B$5001,$A$192,BD!$AC$3:$AC$5001,"&lt;&gt;")=0,"",SUMIFS(BD!$AC$3:$AC$5001,BD!$A$3:$A$5001,Z$3,BD!$B$3:$B$5001,$A$192)))</f>
        <v/>
      </c>
      <c r="AA205" s="216" t="str">
        <f>IF(AA$3="","",IF(COUNTIFS(BD!$A$3:$A$5001,AA$3,BD!$B$3:$B$5001,$A$192,BD!$AC$3:$AC$5001,"&lt;&gt;")=0,"",SUMIFS(BD!$AC$3:$AC$5001,BD!$A$3:$A$5001,AA$3,BD!$B$3:$B$5001,$A$192)))</f>
        <v/>
      </c>
      <c r="AB205" s="216" t="str">
        <f>IF(AB$3="","",IF(COUNTIFS(BD!$A$3:$A$5001,AB$3,BD!$B$3:$B$5001,$A$192,BD!$AC$3:$AC$5001,"&lt;&gt;")=0,"",SUMIFS(BD!$AC$3:$AC$5001,BD!$A$3:$A$5001,AB$3,BD!$B$3:$B$5001,$A$192)))</f>
        <v/>
      </c>
      <c r="AC205" s="216" t="str">
        <f>IF(AC$3="","",IF(COUNTIFS(BD!$A$3:$A$5001,AC$3,BD!$B$3:$B$5001,$A$192,BD!$AC$3:$AC$5001,"&lt;&gt;")=0,"",SUMIFS(BD!$AC$3:$AC$5001,BD!$A$3:$A$5001,AC$3,BD!$B$3:$B$5001,$A$192)))</f>
        <v/>
      </c>
      <c r="AD205" s="216" t="str">
        <f>IF(AD$3="","",IF(COUNTIFS(BD!$A$3:$A$5001,AD$3,BD!$B$3:$B$5001,$A$192,BD!$AC$3:$AC$5001,"&lt;&gt;")=0,"",SUMIFS(BD!$AC$3:$AC$5001,BD!$A$3:$A$5001,AD$3,BD!$B$3:$B$5001,$A$192)))</f>
        <v/>
      </c>
      <c r="AE205" s="216" t="str">
        <f>IF(AE$3="","",IF(COUNTIFS(BD!$A$3:$A$5001,AE$3,BD!$B$3:$B$5001,$A$192,BD!$AC$3:$AC$5001,"&lt;&gt;")=0,"",SUMIFS(BD!$AC$3:$AC$5001,BD!$A$3:$A$5001,AE$3,BD!$B$3:$B$5001,$A$192)))</f>
        <v/>
      </c>
      <c r="AF205" s="216" t="str">
        <f>IF(AF$3="","",IF(COUNTIFS(BD!$A$3:$A$5001,AF$3,BD!$B$3:$B$5001,$A$192,BD!$AC$3:$AC$5001,"&lt;&gt;")=0,"",SUMIFS(BD!$AC$3:$AC$5001,BD!$A$3:$A$5001,AF$3,BD!$B$3:$B$5001,$A$192)))</f>
        <v/>
      </c>
      <c r="AG205" s="216" t="str">
        <f>IF(AG$3="","",IF(COUNTIFS(BD!$A$3:$A$5001,AG$3,BD!$B$3:$B$5001,$A$192,BD!$AC$3:$AC$5001,"&lt;&gt;")=0,"",SUMIFS(BD!$AC$3:$AC$5001,BD!$A$3:$A$5001,AG$3,BD!$B$3:$B$5001,$A$192)))</f>
        <v/>
      </c>
      <c r="AH205" s="216" t="str">
        <f>IF(AH$3="","",IF(COUNTIFS(BD!$A$3:$A$5001,AH$3,BD!$B$3:$B$5001,$A$192,BD!$AC$3:$AC$5001,"&lt;&gt;")=0,"",SUMIFS(BD!$AC$3:$AC$5001,BD!$A$3:$A$5001,AH$3,BD!$B$3:$B$5001,$A$192)))</f>
        <v/>
      </c>
      <c r="AI205" s="216" t="str">
        <f>IF(AI$3="","",IF(COUNTIFS(BD!$A$3:$A$5001,AI$3,BD!$B$3:$B$5001,$A$192,BD!$AC$3:$AC$5001,"&lt;&gt;")=0,"",SUMIFS(BD!$AC$3:$AC$5001,BD!$A$3:$A$5001,AI$3,BD!$B$3:$B$5001,$A$192)))</f>
        <v/>
      </c>
      <c r="AJ205" s="217" t="str">
        <f>IF(AJ$3="","",IF(COUNTIFS(BD!$A$3:$A$5001,AJ$3,BD!$B$3:$B$5001,$A$192,BD!$AC$3:$AC$5001,"&lt;&gt;")=0,"",SUMIFS(BD!$AC$3:$AC$5001,BD!$A$3:$A$5001,AJ$3,BD!$B$3:$B$5001,$A$192)))</f>
        <v/>
      </c>
      <c r="AK205" s="218" t="str">
        <f>IF(COUNT(F205:AJ205)=0,"",SUM(F205:AJ205))</f>
        <v/>
      </c>
    </row>
    <row r="206" ht="15.75" customHeight="1">
      <c r="A206" s="237"/>
      <c r="B206" s="234"/>
      <c r="C206" s="212" t="inlineStr">
        <is>
          <t xml:space="preserve">Desligamento</t>
        </is>
      </c>
      <c r="D206" s="213" t="str">
        <f>IFERROR(1/(1/INDEX(BD!$AK$51:$AU$51,MATCH($A$192,BD!$AK$22:$AU$22,0))),"")</f>
        <v/>
      </c>
      <c r="E206" s="214"/>
      <c r="F206" s="215" t="str">
        <f>IF(F$3="","",IF(COUNTIFS(BD!$A$3:$A$5001,F$3,BD!$B$3:$B$5001,$A$192,BD!$AD$3:$AD$5001,"&lt;&gt;")=0,"",SUMIFS(BD!$AD$3:$AD$5001,BD!$A$3:$A$5001,F$3,BD!$B$3:$B$5001,$A$192)))</f>
        <v/>
      </c>
      <c r="G206" s="216" t="str">
        <f>IF(G$3="","",IF(COUNTIFS(BD!$A$3:$A$5001,G$3,BD!$B$3:$B$5001,$A$192,BD!$AD$3:$AD$5001,"&lt;&gt;")=0,"",SUMIFS(BD!$AD$3:$AD$5001,BD!$A$3:$A$5001,G$3,BD!$B$3:$B$5001,$A$192)))</f>
        <v/>
      </c>
      <c r="H206" s="216" t="str">
        <f>IF(H$3="","",IF(COUNTIFS(BD!$A$3:$A$5001,H$3,BD!$B$3:$B$5001,$A$192,BD!$AD$3:$AD$5001,"&lt;&gt;")=0,"",SUMIFS(BD!$AD$3:$AD$5001,BD!$A$3:$A$5001,H$3,BD!$B$3:$B$5001,$A$192)))</f>
        <v/>
      </c>
      <c r="I206" s="216" t="str">
        <f>IF(I$3="","",IF(COUNTIFS(BD!$A$3:$A$5001,I$3,BD!$B$3:$B$5001,$A$192,BD!$AD$3:$AD$5001,"&lt;&gt;")=0,"",SUMIFS(BD!$AD$3:$AD$5001,BD!$A$3:$A$5001,I$3,BD!$B$3:$B$5001,$A$192)))</f>
        <v/>
      </c>
      <c r="J206" s="216" t="str">
        <f>IF(J$3="","",IF(COUNTIFS(BD!$A$3:$A$5001,J$3,BD!$B$3:$B$5001,$A$192,BD!$AD$3:$AD$5001,"&lt;&gt;")=0,"",SUMIFS(BD!$AD$3:$AD$5001,BD!$A$3:$A$5001,J$3,BD!$B$3:$B$5001,$A$192)))</f>
        <v/>
      </c>
      <c r="K206" s="216" t="str">
        <f>IF(K$3="","",IF(COUNTIFS(BD!$A$3:$A$5001,K$3,BD!$B$3:$B$5001,$A$192,BD!$AD$3:$AD$5001,"&lt;&gt;")=0,"",SUMIFS(BD!$AD$3:$AD$5001,BD!$A$3:$A$5001,K$3,BD!$B$3:$B$5001,$A$192)))</f>
        <v/>
      </c>
      <c r="L206" s="216" t="str">
        <f>IF(L$3="","",IF(COUNTIFS(BD!$A$3:$A$5001,L$3,BD!$B$3:$B$5001,$A$192,BD!$AD$3:$AD$5001,"&lt;&gt;")=0,"",SUMIFS(BD!$AD$3:$AD$5001,BD!$A$3:$A$5001,L$3,BD!$B$3:$B$5001,$A$192)))</f>
        <v/>
      </c>
      <c r="M206" s="216" t="str">
        <f>IF(M$3="","",IF(COUNTIFS(BD!$A$3:$A$5001,M$3,BD!$B$3:$B$5001,$A$192,BD!$AD$3:$AD$5001,"&lt;&gt;")=0,"",SUMIFS(BD!$AD$3:$AD$5001,BD!$A$3:$A$5001,M$3,BD!$B$3:$B$5001,$A$192)))</f>
        <v/>
      </c>
      <c r="N206" s="216" t="str">
        <f>IF(N$3="","",IF(COUNTIFS(BD!$A$3:$A$5001,N$3,BD!$B$3:$B$5001,$A$192,BD!$AD$3:$AD$5001,"&lt;&gt;")=0,"",SUMIFS(BD!$AD$3:$AD$5001,BD!$A$3:$A$5001,N$3,BD!$B$3:$B$5001,$A$192)))</f>
        <v/>
      </c>
      <c r="O206" s="216" t="str">
        <f>IF(O$3="","",IF(COUNTIFS(BD!$A$3:$A$5001,O$3,BD!$B$3:$B$5001,$A$192,BD!$AD$3:$AD$5001,"&lt;&gt;")=0,"",SUMIFS(BD!$AD$3:$AD$5001,BD!$A$3:$A$5001,O$3,BD!$B$3:$B$5001,$A$192)))</f>
        <v/>
      </c>
      <c r="P206" s="216" t="str">
        <f>IF(P$3="","",IF(COUNTIFS(BD!$A$3:$A$5001,P$3,BD!$B$3:$B$5001,$A$192,BD!$AD$3:$AD$5001,"&lt;&gt;")=0,"",SUMIFS(BD!$AD$3:$AD$5001,BD!$A$3:$A$5001,P$3,BD!$B$3:$B$5001,$A$192)))</f>
        <v/>
      </c>
      <c r="Q206" s="216" t="str">
        <f>IF(Q$3="","",IF(COUNTIFS(BD!$A$3:$A$5001,Q$3,BD!$B$3:$B$5001,$A$192,BD!$AD$3:$AD$5001,"&lt;&gt;")=0,"",SUMIFS(BD!$AD$3:$AD$5001,BD!$A$3:$A$5001,Q$3,BD!$B$3:$B$5001,$A$192)))</f>
        <v/>
      </c>
      <c r="R206" s="216" t="str">
        <f>IF(R$3="","",IF(COUNTIFS(BD!$A$3:$A$5001,R$3,BD!$B$3:$B$5001,$A$192,BD!$AD$3:$AD$5001,"&lt;&gt;")=0,"",SUMIFS(BD!$AD$3:$AD$5001,BD!$A$3:$A$5001,R$3,BD!$B$3:$B$5001,$A$192)))</f>
        <v/>
      </c>
      <c r="S206" s="216" t="str">
        <f>IF(S$3="","",IF(COUNTIFS(BD!$A$3:$A$5001,S$3,BD!$B$3:$B$5001,$A$192,BD!$AD$3:$AD$5001,"&lt;&gt;")=0,"",SUMIFS(BD!$AD$3:$AD$5001,BD!$A$3:$A$5001,S$3,BD!$B$3:$B$5001,$A$192)))</f>
        <v/>
      </c>
      <c r="T206" s="216" t="str">
        <f>IF(T$3="","",IF(COUNTIFS(BD!$A$3:$A$5001,T$3,BD!$B$3:$B$5001,$A$192,BD!$AD$3:$AD$5001,"&lt;&gt;")=0,"",SUMIFS(BD!$AD$3:$AD$5001,BD!$A$3:$A$5001,T$3,BD!$B$3:$B$5001,$A$192)))</f>
        <v/>
      </c>
      <c r="U206" s="216" t="str">
        <f>IF(U$3="","",IF(COUNTIFS(BD!$A$3:$A$5001,U$3,BD!$B$3:$B$5001,$A$192,BD!$AD$3:$AD$5001,"&lt;&gt;")=0,"",SUMIFS(BD!$AD$3:$AD$5001,BD!$A$3:$A$5001,U$3,BD!$B$3:$B$5001,$A$192)))</f>
        <v/>
      </c>
      <c r="V206" s="216" t="str">
        <f>IF(V$3="","",IF(COUNTIFS(BD!$A$3:$A$5001,V$3,BD!$B$3:$B$5001,$A$192,BD!$AD$3:$AD$5001,"&lt;&gt;")=0,"",SUMIFS(BD!$AD$3:$AD$5001,BD!$A$3:$A$5001,V$3,BD!$B$3:$B$5001,$A$192)))</f>
        <v/>
      </c>
      <c r="W206" s="216" t="str">
        <f>IF(W$3="","",IF(COUNTIFS(BD!$A$3:$A$5001,W$3,BD!$B$3:$B$5001,$A$192,BD!$AD$3:$AD$5001,"&lt;&gt;")=0,"",SUMIFS(BD!$AD$3:$AD$5001,BD!$A$3:$A$5001,W$3,BD!$B$3:$B$5001,$A$192)))</f>
        <v/>
      </c>
      <c r="X206" s="216" t="str">
        <f>IF(X$3="","",IF(COUNTIFS(BD!$A$3:$A$5001,X$3,BD!$B$3:$B$5001,$A$192,BD!$AD$3:$AD$5001,"&lt;&gt;")=0,"",SUMIFS(BD!$AD$3:$AD$5001,BD!$A$3:$A$5001,X$3,BD!$B$3:$B$5001,$A$192)))</f>
        <v/>
      </c>
      <c r="Y206" s="216" t="str">
        <f>IF(Y$3="","",IF(COUNTIFS(BD!$A$3:$A$5001,Y$3,BD!$B$3:$B$5001,$A$192,BD!$AD$3:$AD$5001,"&lt;&gt;")=0,"",SUMIFS(BD!$AD$3:$AD$5001,BD!$A$3:$A$5001,Y$3,BD!$B$3:$B$5001,$A$192)))</f>
        <v/>
      </c>
      <c r="Z206" s="216" t="str">
        <f>IF(Z$3="","",IF(COUNTIFS(BD!$A$3:$A$5001,Z$3,BD!$B$3:$B$5001,$A$192,BD!$AD$3:$AD$5001,"&lt;&gt;")=0,"",SUMIFS(BD!$AD$3:$AD$5001,BD!$A$3:$A$5001,Z$3,BD!$B$3:$B$5001,$A$192)))</f>
        <v/>
      </c>
      <c r="AA206" s="216" t="str">
        <f>IF(AA$3="","",IF(COUNTIFS(BD!$A$3:$A$5001,AA$3,BD!$B$3:$B$5001,$A$192,BD!$AD$3:$AD$5001,"&lt;&gt;")=0,"",SUMIFS(BD!$AD$3:$AD$5001,BD!$A$3:$A$5001,AA$3,BD!$B$3:$B$5001,$A$192)))</f>
        <v/>
      </c>
      <c r="AB206" s="216" t="str">
        <f>IF(AB$3="","",IF(COUNTIFS(BD!$A$3:$A$5001,AB$3,BD!$B$3:$B$5001,$A$192,BD!$AD$3:$AD$5001,"&lt;&gt;")=0,"",SUMIFS(BD!$AD$3:$AD$5001,BD!$A$3:$A$5001,AB$3,BD!$B$3:$B$5001,$A$192)))</f>
        <v/>
      </c>
      <c r="AC206" s="216" t="str">
        <f>IF(AC$3="","",IF(COUNTIFS(BD!$A$3:$A$5001,AC$3,BD!$B$3:$B$5001,$A$192,BD!$AD$3:$AD$5001,"&lt;&gt;")=0,"",SUMIFS(BD!$AD$3:$AD$5001,BD!$A$3:$A$5001,AC$3,BD!$B$3:$B$5001,$A$192)))</f>
        <v/>
      </c>
      <c r="AD206" s="216" t="str">
        <f>IF(AD$3="","",IF(COUNTIFS(BD!$A$3:$A$5001,AD$3,BD!$B$3:$B$5001,$A$192,BD!$AD$3:$AD$5001,"&lt;&gt;")=0,"",SUMIFS(BD!$AD$3:$AD$5001,BD!$A$3:$A$5001,AD$3,BD!$B$3:$B$5001,$A$192)))</f>
        <v/>
      </c>
      <c r="AE206" s="216" t="str">
        <f>IF(AE$3="","",IF(COUNTIFS(BD!$A$3:$A$5001,AE$3,BD!$B$3:$B$5001,$A$192,BD!$AD$3:$AD$5001,"&lt;&gt;")=0,"",SUMIFS(BD!$AD$3:$AD$5001,BD!$A$3:$A$5001,AE$3,BD!$B$3:$B$5001,$A$192)))</f>
        <v/>
      </c>
      <c r="AF206" s="216" t="str">
        <f>IF(AF$3="","",IF(COUNTIFS(BD!$A$3:$A$5001,AF$3,BD!$B$3:$B$5001,$A$192,BD!$AD$3:$AD$5001,"&lt;&gt;")=0,"",SUMIFS(BD!$AD$3:$AD$5001,BD!$A$3:$A$5001,AF$3,BD!$B$3:$B$5001,$A$192)))</f>
        <v/>
      </c>
      <c r="AG206" s="216" t="str">
        <f>IF(AG$3="","",IF(COUNTIFS(BD!$A$3:$A$5001,AG$3,BD!$B$3:$B$5001,$A$192,BD!$AD$3:$AD$5001,"&lt;&gt;")=0,"",SUMIFS(BD!$AD$3:$AD$5001,BD!$A$3:$A$5001,AG$3,BD!$B$3:$B$5001,$A$192)))</f>
        <v/>
      </c>
      <c r="AH206" s="216" t="str">
        <f>IF(AH$3="","",IF(COUNTIFS(BD!$A$3:$A$5001,AH$3,BD!$B$3:$B$5001,$A$192,BD!$AD$3:$AD$5001,"&lt;&gt;")=0,"",SUMIFS(BD!$AD$3:$AD$5001,BD!$A$3:$A$5001,AH$3,BD!$B$3:$B$5001,$A$192)))</f>
        <v/>
      </c>
      <c r="AI206" s="216" t="str">
        <f>IF(AI$3="","",IF(COUNTIFS(BD!$A$3:$A$5001,AI$3,BD!$B$3:$B$5001,$A$192,BD!$AD$3:$AD$5001,"&lt;&gt;")=0,"",SUMIFS(BD!$AD$3:$AD$5001,BD!$A$3:$A$5001,AI$3,BD!$B$3:$B$5001,$A$192)))</f>
        <v/>
      </c>
      <c r="AJ206" s="217" t="str">
        <f>IF(AJ$3="","",IF(COUNTIFS(BD!$A$3:$A$5001,AJ$3,BD!$B$3:$B$5001,$A$192,BD!$AD$3:$AD$5001,"&lt;&gt;")=0,"",SUMIFS(BD!$AD$3:$AD$5001,BD!$A$3:$A$5001,AJ$3,BD!$B$3:$B$5001,$A$192)))</f>
        <v/>
      </c>
      <c r="AK206" s="218" t="str">
        <f>IF(COUNT(F206:AJ206)=0,"",SUM(F206:AJ206))</f>
        <v/>
      </c>
    </row>
    <row r="207" ht="15.75" customHeight="1">
      <c r="A207" s="237"/>
      <c r="B207" s="234"/>
      <c r="C207" s="212" t="inlineStr">
        <is>
          <t xml:space="preserve">Desvios Comportamentais</t>
        </is>
      </c>
      <c r="D207" s="213" t="str">
        <f>IFERROR(1/(1/INDEX(BD!$AK$52:$AU$52,MATCH($A$192,BD!$AK$22:$AU$22,0))),"")</f>
        <v/>
      </c>
      <c r="E207" s="214"/>
      <c r="F207" s="215" t="str">
        <f>IF(F$3="","",IF(COUNTIFS(BD!$A$3:$A$5001,F$3,BD!$B$3:$B$5001,$A$192,BD!$AE$3:$AE$5001,"&lt;&gt;")=0,"",SUMIFS(BD!$AE$3:$AE$5001,BD!$A$3:$A$5001,F$3,BD!$B$3:$B$5001,$A$192)))</f>
        <v/>
      </c>
      <c r="G207" s="216" t="str">
        <f>IF(G$3="","",IF(COUNTIFS(BD!$A$3:$A$5001,G$3,BD!$B$3:$B$5001,$A$192,BD!$AE$3:$AE$5001,"&lt;&gt;")=0,"",SUMIFS(BD!$AE$3:$AE$5001,BD!$A$3:$A$5001,G$3,BD!$B$3:$B$5001,$A$192)))</f>
        <v/>
      </c>
      <c r="H207" s="216" t="str">
        <f>IF(H$3="","",IF(COUNTIFS(BD!$A$3:$A$5001,H$3,BD!$B$3:$B$5001,$A$192,BD!$AE$3:$AE$5001,"&lt;&gt;")=0,"",SUMIFS(BD!$AE$3:$AE$5001,BD!$A$3:$A$5001,H$3,BD!$B$3:$B$5001,$A$192)))</f>
        <v/>
      </c>
      <c r="I207" s="216" t="str">
        <f>IF(I$3="","",IF(COUNTIFS(BD!$A$3:$A$5001,I$3,BD!$B$3:$B$5001,$A$192,BD!$AE$3:$AE$5001,"&lt;&gt;")=0,"",SUMIFS(BD!$AE$3:$AE$5001,BD!$A$3:$A$5001,I$3,BD!$B$3:$B$5001,$A$192)))</f>
        <v/>
      </c>
      <c r="J207" s="216" t="str">
        <f>IF(J$3="","",IF(COUNTIFS(BD!$A$3:$A$5001,J$3,BD!$B$3:$B$5001,$A$192,BD!$AE$3:$AE$5001,"&lt;&gt;")=0,"",SUMIFS(BD!$AE$3:$AE$5001,BD!$A$3:$A$5001,J$3,BD!$B$3:$B$5001,$A$192)))</f>
        <v/>
      </c>
      <c r="K207" s="216" t="str">
        <f>IF(K$3="","",IF(COUNTIFS(BD!$A$3:$A$5001,K$3,BD!$B$3:$B$5001,$A$192,BD!$AE$3:$AE$5001,"&lt;&gt;")=0,"",SUMIFS(BD!$AE$3:$AE$5001,BD!$A$3:$A$5001,K$3,BD!$B$3:$B$5001,$A$192)))</f>
        <v/>
      </c>
      <c r="L207" s="216" t="str">
        <f>IF(L$3="","",IF(COUNTIFS(BD!$A$3:$A$5001,L$3,BD!$B$3:$B$5001,$A$192,BD!$AE$3:$AE$5001,"&lt;&gt;")=0,"",SUMIFS(BD!$AE$3:$AE$5001,BD!$A$3:$A$5001,L$3,BD!$B$3:$B$5001,$A$192)))</f>
        <v/>
      </c>
      <c r="M207" s="216" t="str">
        <f>IF(M$3="","",IF(COUNTIFS(BD!$A$3:$A$5001,M$3,BD!$B$3:$B$5001,$A$192,BD!$AE$3:$AE$5001,"&lt;&gt;")=0,"",SUMIFS(BD!$AE$3:$AE$5001,BD!$A$3:$A$5001,M$3,BD!$B$3:$B$5001,$A$192)))</f>
        <v/>
      </c>
      <c r="N207" s="216" t="str">
        <f>IF(N$3="","",IF(COUNTIFS(BD!$A$3:$A$5001,N$3,BD!$B$3:$B$5001,$A$192,BD!$AE$3:$AE$5001,"&lt;&gt;")=0,"",SUMIFS(BD!$AE$3:$AE$5001,BD!$A$3:$A$5001,N$3,BD!$B$3:$B$5001,$A$192)))</f>
        <v/>
      </c>
      <c r="O207" s="216" t="str">
        <f>IF(O$3="","",IF(COUNTIFS(BD!$A$3:$A$5001,O$3,BD!$B$3:$B$5001,$A$192,BD!$AE$3:$AE$5001,"&lt;&gt;")=0,"",SUMIFS(BD!$AE$3:$AE$5001,BD!$A$3:$A$5001,O$3,BD!$B$3:$B$5001,$A$192)))</f>
        <v/>
      </c>
      <c r="P207" s="216" t="str">
        <f>IF(P$3="","",IF(COUNTIFS(BD!$A$3:$A$5001,P$3,BD!$B$3:$B$5001,$A$192,BD!$AE$3:$AE$5001,"&lt;&gt;")=0,"",SUMIFS(BD!$AE$3:$AE$5001,BD!$A$3:$A$5001,P$3,BD!$B$3:$B$5001,$A$192)))</f>
        <v/>
      </c>
      <c r="Q207" s="216" t="str">
        <f>IF(Q$3="","",IF(COUNTIFS(BD!$A$3:$A$5001,Q$3,BD!$B$3:$B$5001,$A$192,BD!$AE$3:$AE$5001,"&lt;&gt;")=0,"",SUMIFS(BD!$AE$3:$AE$5001,BD!$A$3:$A$5001,Q$3,BD!$B$3:$B$5001,$A$192)))</f>
        <v/>
      </c>
      <c r="R207" s="216" t="str">
        <f>IF(R$3="","",IF(COUNTIFS(BD!$A$3:$A$5001,R$3,BD!$B$3:$B$5001,$A$192,BD!$AE$3:$AE$5001,"&lt;&gt;")=0,"",SUMIFS(BD!$AE$3:$AE$5001,BD!$A$3:$A$5001,R$3,BD!$B$3:$B$5001,$A$192)))</f>
        <v/>
      </c>
      <c r="S207" s="216" t="str">
        <f>IF(S$3="","",IF(COUNTIFS(BD!$A$3:$A$5001,S$3,BD!$B$3:$B$5001,$A$192,BD!$AE$3:$AE$5001,"&lt;&gt;")=0,"",SUMIFS(BD!$AE$3:$AE$5001,BD!$A$3:$A$5001,S$3,BD!$B$3:$B$5001,$A$192)))</f>
        <v/>
      </c>
      <c r="T207" s="216" t="str">
        <f>IF(T$3="","",IF(COUNTIFS(BD!$A$3:$A$5001,T$3,BD!$B$3:$B$5001,$A$192,BD!$AE$3:$AE$5001,"&lt;&gt;")=0,"",SUMIFS(BD!$AE$3:$AE$5001,BD!$A$3:$A$5001,T$3,BD!$B$3:$B$5001,$A$192)))</f>
        <v/>
      </c>
      <c r="U207" s="216" t="str">
        <f>IF(U$3="","",IF(COUNTIFS(BD!$A$3:$A$5001,U$3,BD!$B$3:$B$5001,$A$192,BD!$AE$3:$AE$5001,"&lt;&gt;")=0,"",SUMIFS(BD!$AE$3:$AE$5001,BD!$A$3:$A$5001,U$3,BD!$B$3:$B$5001,$A$192)))</f>
        <v/>
      </c>
      <c r="V207" s="216" t="str">
        <f>IF(V$3="","",IF(COUNTIFS(BD!$A$3:$A$5001,V$3,BD!$B$3:$B$5001,$A$192,BD!$AE$3:$AE$5001,"&lt;&gt;")=0,"",SUMIFS(BD!$AE$3:$AE$5001,BD!$A$3:$A$5001,V$3,BD!$B$3:$B$5001,$A$192)))</f>
        <v/>
      </c>
      <c r="W207" s="216" t="str">
        <f>IF(W$3="","",IF(COUNTIFS(BD!$A$3:$A$5001,W$3,BD!$B$3:$B$5001,$A$192,BD!$AE$3:$AE$5001,"&lt;&gt;")=0,"",SUMIFS(BD!$AE$3:$AE$5001,BD!$A$3:$A$5001,W$3,BD!$B$3:$B$5001,$A$192)))</f>
        <v/>
      </c>
      <c r="X207" s="216" t="str">
        <f>IF(X$3="","",IF(COUNTIFS(BD!$A$3:$A$5001,X$3,BD!$B$3:$B$5001,$A$192,BD!$AE$3:$AE$5001,"&lt;&gt;")=0,"",SUMIFS(BD!$AE$3:$AE$5001,BD!$A$3:$A$5001,X$3,BD!$B$3:$B$5001,$A$192)))</f>
        <v/>
      </c>
      <c r="Y207" s="216" t="str">
        <f>IF(Y$3="","",IF(COUNTIFS(BD!$A$3:$A$5001,Y$3,BD!$B$3:$B$5001,$A$192,BD!$AE$3:$AE$5001,"&lt;&gt;")=0,"",SUMIFS(BD!$AE$3:$AE$5001,BD!$A$3:$A$5001,Y$3,BD!$B$3:$B$5001,$A$192)))</f>
        <v/>
      </c>
      <c r="Z207" s="216" t="str">
        <f>IF(Z$3="","",IF(COUNTIFS(BD!$A$3:$A$5001,Z$3,BD!$B$3:$B$5001,$A$192,BD!$AE$3:$AE$5001,"&lt;&gt;")=0,"",SUMIFS(BD!$AE$3:$AE$5001,BD!$A$3:$A$5001,Z$3,BD!$B$3:$B$5001,$A$192)))</f>
        <v/>
      </c>
      <c r="AA207" s="216" t="str">
        <f>IF(AA$3="","",IF(COUNTIFS(BD!$A$3:$A$5001,AA$3,BD!$B$3:$B$5001,$A$192,BD!$AE$3:$AE$5001,"&lt;&gt;")=0,"",SUMIFS(BD!$AE$3:$AE$5001,BD!$A$3:$A$5001,AA$3,BD!$B$3:$B$5001,$A$192)))</f>
        <v/>
      </c>
      <c r="AB207" s="216" t="str">
        <f>IF(AB$3="","",IF(COUNTIFS(BD!$A$3:$A$5001,AB$3,BD!$B$3:$B$5001,$A$192,BD!$AE$3:$AE$5001,"&lt;&gt;")=0,"",SUMIFS(BD!$AE$3:$AE$5001,BD!$A$3:$A$5001,AB$3,BD!$B$3:$B$5001,$A$192)))</f>
        <v/>
      </c>
      <c r="AC207" s="216" t="str">
        <f>IF(AC$3="","",IF(COUNTIFS(BD!$A$3:$A$5001,AC$3,BD!$B$3:$B$5001,$A$192,BD!$AE$3:$AE$5001,"&lt;&gt;")=0,"",SUMIFS(BD!$AE$3:$AE$5001,BD!$A$3:$A$5001,AC$3,BD!$B$3:$B$5001,$A$192)))</f>
        <v/>
      </c>
      <c r="AD207" s="216" t="str">
        <f>IF(AD$3="","",IF(COUNTIFS(BD!$A$3:$A$5001,AD$3,BD!$B$3:$B$5001,$A$192,BD!$AE$3:$AE$5001,"&lt;&gt;")=0,"",SUMIFS(BD!$AE$3:$AE$5001,BD!$A$3:$A$5001,AD$3,BD!$B$3:$B$5001,$A$192)))</f>
        <v/>
      </c>
      <c r="AE207" s="216" t="str">
        <f>IF(AE$3="","",IF(COUNTIFS(BD!$A$3:$A$5001,AE$3,BD!$B$3:$B$5001,$A$192,BD!$AE$3:$AE$5001,"&lt;&gt;")=0,"",SUMIFS(BD!$AE$3:$AE$5001,BD!$A$3:$A$5001,AE$3,BD!$B$3:$B$5001,$A$192)))</f>
        <v/>
      </c>
      <c r="AF207" s="216" t="str">
        <f>IF(AF$3="","",IF(COUNTIFS(BD!$A$3:$A$5001,AF$3,BD!$B$3:$B$5001,$A$192,BD!$AE$3:$AE$5001,"&lt;&gt;")=0,"",SUMIFS(BD!$AE$3:$AE$5001,BD!$A$3:$A$5001,AF$3,BD!$B$3:$B$5001,$A$192)))</f>
        <v/>
      </c>
      <c r="AG207" s="216" t="str">
        <f>IF(AG$3="","",IF(COUNTIFS(BD!$A$3:$A$5001,AG$3,BD!$B$3:$B$5001,$A$192,BD!$AE$3:$AE$5001,"&lt;&gt;")=0,"",SUMIFS(BD!$AE$3:$AE$5001,BD!$A$3:$A$5001,AG$3,BD!$B$3:$B$5001,$A$192)))</f>
        <v/>
      </c>
      <c r="AH207" s="216" t="str">
        <f>IF(AH$3="","",IF(COUNTIFS(BD!$A$3:$A$5001,AH$3,BD!$B$3:$B$5001,$A$192,BD!$AE$3:$AE$5001,"&lt;&gt;")=0,"",SUMIFS(BD!$AE$3:$AE$5001,BD!$A$3:$A$5001,AH$3,BD!$B$3:$B$5001,$A$192)))</f>
        <v/>
      </c>
      <c r="AI207" s="216" t="str">
        <f>IF(AI$3="","",IF(COUNTIFS(BD!$A$3:$A$5001,AI$3,BD!$B$3:$B$5001,$A$192,BD!$AE$3:$AE$5001,"&lt;&gt;")=0,"",SUMIFS(BD!$AE$3:$AE$5001,BD!$A$3:$A$5001,AI$3,BD!$B$3:$B$5001,$A$192)))</f>
        <v/>
      </c>
      <c r="AJ207" s="217" t="str">
        <f>IF(AJ$3="","",IF(COUNTIFS(BD!$A$3:$A$5001,AJ$3,BD!$B$3:$B$5001,$A$192,BD!$AE$3:$AE$5001,"&lt;&gt;")=0,"",SUMIFS(BD!$AE$3:$AE$5001,BD!$A$3:$A$5001,AJ$3,BD!$B$3:$B$5001,$A$192)))</f>
        <v/>
      </c>
      <c r="AK207" s="218" t="str">
        <f>IF(COUNT(F207:AJ207)=0,"",SUM(F207:AJ207))</f>
        <v/>
      </c>
    </row>
    <row r="208" ht="15.75" customHeight="1">
      <c r="A208" s="237"/>
      <c r="B208" s="234"/>
      <c r="C208" s="212" t="inlineStr">
        <is>
          <t xml:space="preserve">Acidentes CAF</t>
        </is>
      </c>
      <c r="D208" s="213" t="str">
        <f>IFERROR(1/(1/INDEX(BD!$AK$53:$AU$53,MATCH($A$192,BD!$AK$22:$AU$22,0))),"")</f>
        <v/>
      </c>
      <c r="E208" s="214"/>
      <c r="F208" s="215" t="str">
        <f>IF(F$3="","",IF(COUNTIFS(BD!$A$3:$A$5001,F$3,BD!$B$3:$B$5001,$A$192,BD!$AF$3:$AF$5001,"&lt;&gt;")=0,"",SUMIFS(BD!$AF$3:$AF$5001,BD!$A$3:$A$5001,F$3,BD!$B$3:$B$5001,$A$192)))</f>
        <v/>
      </c>
      <c r="G208" s="216" t="str">
        <f>IF(G$3="","",IF(COUNTIFS(BD!$A$3:$A$5001,G$3,BD!$B$3:$B$5001,$A$192,BD!$AF$3:$AF$5001,"&lt;&gt;")=0,"",SUMIFS(BD!$AF$3:$AF$5001,BD!$A$3:$A$5001,G$3,BD!$B$3:$B$5001,$A$192)))</f>
        <v/>
      </c>
      <c r="H208" s="216" t="str">
        <f>IF(H$3="","",IF(COUNTIFS(BD!$A$3:$A$5001,H$3,BD!$B$3:$B$5001,$A$192,BD!$AF$3:$AF$5001,"&lt;&gt;")=0,"",SUMIFS(BD!$AF$3:$AF$5001,BD!$A$3:$A$5001,H$3,BD!$B$3:$B$5001,$A$192)))</f>
        <v/>
      </c>
      <c r="I208" s="216" t="str">
        <f>IF(I$3="","",IF(COUNTIFS(BD!$A$3:$A$5001,I$3,BD!$B$3:$B$5001,$A$192,BD!$AF$3:$AF$5001,"&lt;&gt;")=0,"",SUMIFS(BD!$AF$3:$AF$5001,BD!$A$3:$A$5001,I$3,BD!$B$3:$B$5001,$A$192)))</f>
        <v/>
      </c>
      <c r="J208" s="216" t="str">
        <f>IF(J$3="","",IF(COUNTIFS(BD!$A$3:$A$5001,J$3,BD!$B$3:$B$5001,$A$192,BD!$AF$3:$AF$5001,"&lt;&gt;")=0,"",SUMIFS(BD!$AF$3:$AF$5001,BD!$A$3:$A$5001,J$3,BD!$B$3:$B$5001,$A$192)))</f>
        <v/>
      </c>
      <c r="K208" s="216" t="str">
        <f>IF(K$3="","",IF(COUNTIFS(BD!$A$3:$A$5001,K$3,BD!$B$3:$B$5001,$A$192,BD!$AF$3:$AF$5001,"&lt;&gt;")=0,"",SUMIFS(BD!$AF$3:$AF$5001,BD!$A$3:$A$5001,K$3,BD!$B$3:$B$5001,$A$192)))</f>
        <v/>
      </c>
      <c r="L208" s="216" t="str">
        <f>IF(L$3="","",IF(COUNTIFS(BD!$A$3:$A$5001,L$3,BD!$B$3:$B$5001,$A$192,BD!$AF$3:$AF$5001,"&lt;&gt;")=0,"",SUMIFS(BD!$AF$3:$AF$5001,BD!$A$3:$A$5001,L$3,BD!$B$3:$B$5001,$A$192)))</f>
        <v/>
      </c>
      <c r="M208" s="216" t="str">
        <f>IF(M$3="","",IF(COUNTIFS(BD!$A$3:$A$5001,M$3,BD!$B$3:$B$5001,$A$192,BD!$AF$3:$AF$5001,"&lt;&gt;")=0,"",SUMIFS(BD!$AF$3:$AF$5001,BD!$A$3:$A$5001,M$3,BD!$B$3:$B$5001,$A$192)))</f>
        <v/>
      </c>
      <c r="N208" s="216" t="str">
        <f>IF(N$3="","",IF(COUNTIFS(BD!$A$3:$A$5001,N$3,BD!$B$3:$B$5001,$A$192,BD!$AF$3:$AF$5001,"&lt;&gt;")=0,"",SUMIFS(BD!$AF$3:$AF$5001,BD!$A$3:$A$5001,N$3,BD!$B$3:$B$5001,$A$192)))</f>
        <v/>
      </c>
      <c r="O208" s="216" t="str">
        <f>IF(O$3="","",IF(COUNTIFS(BD!$A$3:$A$5001,O$3,BD!$B$3:$B$5001,$A$192,BD!$AF$3:$AF$5001,"&lt;&gt;")=0,"",SUMIFS(BD!$AF$3:$AF$5001,BD!$A$3:$A$5001,O$3,BD!$B$3:$B$5001,$A$192)))</f>
        <v/>
      </c>
      <c r="P208" s="216" t="str">
        <f>IF(P$3="","",IF(COUNTIFS(BD!$A$3:$A$5001,P$3,BD!$B$3:$B$5001,$A$192,BD!$AF$3:$AF$5001,"&lt;&gt;")=0,"",SUMIFS(BD!$AF$3:$AF$5001,BD!$A$3:$A$5001,P$3,BD!$B$3:$B$5001,$A$192)))</f>
        <v/>
      </c>
      <c r="Q208" s="216" t="str">
        <f>IF(Q$3="","",IF(COUNTIFS(BD!$A$3:$A$5001,Q$3,BD!$B$3:$B$5001,$A$192,BD!$AF$3:$AF$5001,"&lt;&gt;")=0,"",SUMIFS(BD!$AF$3:$AF$5001,BD!$A$3:$A$5001,Q$3,BD!$B$3:$B$5001,$A$192)))</f>
        <v/>
      </c>
      <c r="R208" s="216" t="str">
        <f>IF(R$3="","",IF(COUNTIFS(BD!$A$3:$A$5001,R$3,BD!$B$3:$B$5001,$A$192,BD!$AF$3:$AF$5001,"&lt;&gt;")=0,"",SUMIFS(BD!$AF$3:$AF$5001,BD!$A$3:$A$5001,R$3,BD!$B$3:$B$5001,$A$192)))</f>
        <v/>
      </c>
      <c r="S208" s="216" t="str">
        <f>IF(S$3="","",IF(COUNTIFS(BD!$A$3:$A$5001,S$3,BD!$B$3:$B$5001,$A$192,BD!$AF$3:$AF$5001,"&lt;&gt;")=0,"",SUMIFS(BD!$AF$3:$AF$5001,BD!$A$3:$A$5001,S$3,BD!$B$3:$B$5001,$A$192)))</f>
        <v/>
      </c>
      <c r="T208" s="216" t="str">
        <f>IF(T$3="","",IF(COUNTIFS(BD!$A$3:$A$5001,T$3,BD!$B$3:$B$5001,$A$192,BD!$AF$3:$AF$5001,"&lt;&gt;")=0,"",SUMIFS(BD!$AF$3:$AF$5001,BD!$A$3:$A$5001,T$3,BD!$B$3:$B$5001,$A$192)))</f>
        <v/>
      </c>
      <c r="U208" s="216" t="str">
        <f>IF(U$3="","",IF(COUNTIFS(BD!$A$3:$A$5001,U$3,BD!$B$3:$B$5001,$A$192,BD!$AF$3:$AF$5001,"&lt;&gt;")=0,"",SUMIFS(BD!$AF$3:$AF$5001,BD!$A$3:$A$5001,U$3,BD!$B$3:$B$5001,$A$192)))</f>
        <v/>
      </c>
      <c r="V208" s="216" t="str">
        <f>IF(V$3="","",IF(COUNTIFS(BD!$A$3:$A$5001,V$3,BD!$B$3:$B$5001,$A$192,BD!$AF$3:$AF$5001,"&lt;&gt;")=0,"",SUMIFS(BD!$AF$3:$AF$5001,BD!$A$3:$A$5001,V$3,BD!$B$3:$B$5001,$A$192)))</f>
        <v/>
      </c>
      <c r="W208" s="216" t="str">
        <f>IF(W$3="","",IF(COUNTIFS(BD!$A$3:$A$5001,W$3,BD!$B$3:$B$5001,$A$192,BD!$AF$3:$AF$5001,"&lt;&gt;")=0,"",SUMIFS(BD!$AF$3:$AF$5001,BD!$A$3:$A$5001,W$3,BD!$B$3:$B$5001,$A$192)))</f>
        <v/>
      </c>
      <c r="X208" s="216" t="str">
        <f>IF(X$3="","",IF(COUNTIFS(BD!$A$3:$A$5001,X$3,BD!$B$3:$B$5001,$A$192,BD!$AF$3:$AF$5001,"&lt;&gt;")=0,"",SUMIFS(BD!$AF$3:$AF$5001,BD!$A$3:$A$5001,X$3,BD!$B$3:$B$5001,$A$192)))</f>
        <v/>
      </c>
      <c r="Y208" s="216" t="str">
        <f>IF(Y$3="","",IF(COUNTIFS(BD!$A$3:$A$5001,Y$3,BD!$B$3:$B$5001,$A$192,BD!$AF$3:$AF$5001,"&lt;&gt;")=0,"",SUMIFS(BD!$AF$3:$AF$5001,BD!$A$3:$A$5001,Y$3,BD!$B$3:$B$5001,$A$192)))</f>
        <v/>
      </c>
      <c r="Z208" s="216" t="str">
        <f>IF(Z$3="","",IF(COUNTIFS(BD!$A$3:$A$5001,Z$3,BD!$B$3:$B$5001,$A$192,BD!$AF$3:$AF$5001,"&lt;&gt;")=0,"",SUMIFS(BD!$AF$3:$AF$5001,BD!$A$3:$A$5001,Z$3,BD!$B$3:$B$5001,$A$192)))</f>
        <v/>
      </c>
      <c r="AA208" s="216" t="str">
        <f>IF(AA$3="","",IF(COUNTIFS(BD!$A$3:$A$5001,AA$3,BD!$B$3:$B$5001,$A$192,BD!$AF$3:$AF$5001,"&lt;&gt;")=0,"",SUMIFS(BD!$AF$3:$AF$5001,BD!$A$3:$A$5001,AA$3,BD!$B$3:$B$5001,$A$192)))</f>
        <v/>
      </c>
      <c r="AB208" s="216" t="str">
        <f>IF(AB$3="","",IF(COUNTIFS(BD!$A$3:$A$5001,AB$3,BD!$B$3:$B$5001,$A$192,BD!$AF$3:$AF$5001,"&lt;&gt;")=0,"",SUMIFS(BD!$AF$3:$AF$5001,BD!$A$3:$A$5001,AB$3,BD!$B$3:$B$5001,$A$192)))</f>
        <v/>
      </c>
      <c r="AC208" s="216" t="str">
        <f>IF(AC$3="","",IF(COUNTIFS(BD!$A$3:$A$5001,AC$3,BD!$B$3:$B$5001,$A$192,BD!$AF$3:$AF$5001,"&lt;&gt;")=0,"",SUMIFS(BD!$AF$3:$AF$5001,BD!$A$3:$A$5001,AC$3,BD!$B$3:$B$5001,$A$192)))</f>
        <v/>
      </c>
      <c r="AD208" s="216" t="str">
        <f>IF(AD$3="","",IF(COUNTIFS(BD!$A$3:$A$5001,AD$3,BD!$B$3:$B$5001,$A$192,BD!$AF$3:$AF$5001,"&lt;&gt;")=0,"",SUMIFS(BD!$AF$3:$AF$5001,BD!$A$3:$A$5001,AD$3,BD!$B$3:$B$5001,$A$192)))</f>
        <v/>
      </c>
      <c r="AE208" s="216" t="str">
        <f>IF(AE$3="","",IF(COUNTIFS(BD!$A$3:$A$5001,AE$3,BD!$B$3:$B$5001,$A$192,BD!$AF$3:$AF$5001,"&lt;&gt;")=0,"",SUMIFS(BD!$AF$3:$AF$5001,BD!$A$3:$A$5001,AE$3,BD!$B$3:$B$5001,$A$192)))</f>
        <v/>
      </c>
      <c r="AF208" s="216" t="str">
        <f>IF(AF$3="","",IF(COUNTIFS(BD!$A$3:$A$5001,AF$3,BD!$B$3:$B$5001,$A$192,BD!$AF$3:$AF$5001,"&lt;&gt;")=0,"",SUMIFS(BD!$AF$3:$AF$5001,BD!$A$3:$A$5001,AF$3,BD!$B$3:$B$5001,$A$192)))</f>
        <v/>
      </c>
      <c r="AG208" s="216" t="str">
        <f>IF(AG$3="","",IF(COUNTIFS(BD!$A$3:$A$5001,AG$3,BD!$B$3:$B$5001,$A$192,BD!$AF$3:$AF$5001,"&lt;&gt;")=0,"",SUMIFS(BD!$AF$3:$AF$5001,BD!$A$3:$A$5001,AG$3,BD!$B$3:$B$5001,$A$192)))</f>
        <v/>
      </c>
      <c r="AH208" s="216" t="str">
        <f>IF(AH$3="","",IF(COUNTIFS(BD!$A$3:$A$5001,AH$3,BD!$B$3:$B$5001,$A$192,BD!$AF$3:$AF$5001,"&lt;&gt;")=0,"",SUMIFS(BD!$AF$3:$AF$5001,BD!$A$3:$A$5001,AH$3,BD!$B$3:$B$5001,$A$192)))</f>
        <v/>
      </c>
      <c r="AI208" s="216" t="str">
        <f>IF(AI$3="","",IF(COUNTIFS(BD!$A$3:$A$5001,AI$3,BD!$B$3:$B$5001,$A$192,BD!$AF$3:$AF$5001,"&lt;&gt;")=0,"",SUMIFS(BD!$AF$3:$AF$5001,BD!$A$3:$A$5001,AI$3,BD!$B$3:$B$5001,$A$192)))</f>
        <v/>
      </c>
      <c r="AJ208" s="217" t="str">
        <f>IF(AJ$3="","",IF(COUNTIFS(BD!$A$3:$A$5001,AJ$3,BD!$B$3:$B$5001,$A$192,BD!$AF$3:$AF$5001,"&lt;&gt;")=0,"",SUMIFS(BD!$AF$3:$AF$5001,BD!$A$3:$A$5001,AJ$3,BD!$B$3:$B$5001,$A$192)))</f>
        <v/>
      </c>
      <c r="AK208" s="218" t="str">
        <f>IF(COUNT(F208:AJ208)=0,"",SUM(F208:AJ208))</f>
        <v/>
      </c>
    </row>
    <row r="209" ht="15.75" customHeight="1">
      <c r="A209" s="238"/>
      <c r="B209" s="235"/>
      <c r="C209" s="219" t="inlineStr">
        <is>
          <t xml:space="preserve">Acidentes SAF</t>
        </is>
      </c>
      <c r="D209" s="220" t="str">
        <f>IFERROR(1/(1/INDEX(BD!$AK$54:$AU$54,MATCH($A$192,BD!$AK$22:$AU$22,0))),"")</f>
        <v/>
      </c>
      <c r="E209" s="221"/>
      <c r="F209" s="222" t="str">
        <f>IF(F$3="","",IF(COUNTIFS(BD!$A$3:$A$5001,F$3,BD!$B$3:$B$5001,$A$192,BD!$AG$3:$AG$5001,"&lt;&gt;")=0,"",SUMIFS(BD!$AG$3:$AG$5001,BD!$A$3:$A$5001,F$3,BD!$B$3:$B$5001,$A$192)))</f>
        <v/>
      </c>
      <c r="G209" s="223" t="str">
        <f>IF(G$3="","",IF(COUNTIFS(BD!$A$3:$A$5001,G$3,BD!$B$3:$B$5001,$A$192,BD!$AG$3:$AG$5001,"&lt;&gt;")=0,"",SUMIFS(BD!$AG$3:$AG$5001,BD!$A$3:$A$5001,G$3,BD!$B$3:$B$5001,$A$192)))</f>
        <v/>
      </c>
      <c r="H209" s="223" t="str">
        <f>IF(H$3="","",IF(COUNTIFS(BD!$A$3:$A$5001,H$3,BD!$B$3:$B$5001,$A$192,BD!$AG$3:$AG$5001,"&lt;&gt;")=0,"",SUMIFS(BD!$AG$3:$AG$5001,BD!$A$3:$A$5001,H$3,BD!$B$3:$B$5001,$A$192)))</f>
        <v/>
      </c>
      <c r="I209" s="223" t="str">
        <f>IF(I$3="","",IF(COUNTIFS(BD!$A$3:$A$5001,I$3,BD!$B$3:$B$5001,$A$192,BD!$AG$3:$AG$5001,"&lt;&gt;")=0,"",SUMIFS(BD!$AG$3:$AG$5001,BD!$A$3:$A$5001,I$3,BD!$B$3:$B$5001,$A$192)))</f>
        <v/>
      </c>
      <c r="J209" s="223" t="str">
        <f>IF(J$3="","",IF(COUNTIFS(BD!$A$3:$A$5001,J$3,BD!$B$3:$B$5001,$A$192,BD!$AG$3:$AG$5001,"&lt;&gt;")=0,"",SUMIFS(BD!$AG$3:$AG$5001,BD!$A$3:$A$5001,J$3,BD!$B$3:$B$5001,$A$192)))</f>
        <v/>
      </c>
      <c r="K209" s="223" t="str">
        <f>IF(K$3="","",IF(COUNTIFS(BD!$A$3:$A$5001,K$3,BD!$B$3:$B$5001,$A$192,BD!$AG$3:$AG$5001,"&lt;&gt;")=0,"",SUMIFS(BD!$AG$3:$AG$5001,BD!$A$3:$A$5001,K$3,BD!$B$3:$B$5001,$A$192)))</f>
        <v/>
      </c>
      <c r="L209" s="223" t="str">
        <f>IF(L$3="","",IF(COUNTIFS(BD!$A$3:$A$5001,L$3,BD!$B$3:$B$5001,$A$192,BD!$AG$3:$AG$5001,"&lt;&gt;")=0,"",SUMIFS(BD!$AG$3:$AG$5001,BD!$A$3:$A$5001,L$3,BD!$B$3:$B$5001,$A$192)))</f>
        <v/>
      </c>
      <c r="M209" s="223" t="str">
        <f>IF(M$3="","",IF(COUNTIFS(BD!$A$3:$A$5001,M$3,BD!$B$3:$B$5001,$A$192,BD!$AG$3:$AG$5001,"&lt;&gt;")=0,"",SUMIFS(BD!$AG$3:$AG$5001,BD!$A$3:$A$5001,M$3,BD!$B$3:$B$5001,$A$192)))</f>
        <v/>
      </c>
      <c r="N209" s="223" t="str">
        <f>IF(N$3="","",IF(COUNTIFS(BD!$A$3:$A$5001,N$3,BD!$B$3:$B$5001,$A$192,BD!$AG$3:$AG$5001,"&lt;&gt;")=0,"",SUMIFS(BD!$AG$3:$AG$5001,BD!$A$3:$A$5001,N$3,BD!$B$3:$B$5001,$A$192)))</f>
        <v/>
      </c>
      <c r="O209" s="223" t="str">
        <f>IF(O$3="","",IF(COUNTIFS(BD!$A$3:$A$5001,O$3,BD!$B$3:$B$5001,$A$192,BD!$AG$3:$AG$5001,"&lt;&gt;")=0,"",SUMIFS(BD!$AG$3:$AG$5001,BD!$A$3:$A$5001,O$3,BD!$B$3:$B$5001,$A$192)))</f>
        <v/>
      </c>
      <c r="P209" s="223" t="str">
        <f>IF(P$3="","",IF(COUNTIFS(BD!$A$3:$A$5001,P$3,BD!$B$3:$B$5001,$A$192,BD!$AG$3:$AG$5001,"&lt;&gt;")=0,"",SUMIFS(BD!$AG$3:$AG$5001,BD!$A$3:$A$5001,P$3,BD!$B$3:$B$5001,$A$192)))</f>
        <v/>
      </c>
      <c r="Q209" s="223" t="str">
        <f>IF(Q$3="","",IF(COUNTIFS(BD!$A$3:$A$5001,Q$3,BD!$B$3:$B$5001,$A$192,BD!$AG$3:$AG$5001,"&lt;&gt;")=0,"",SUMIFS(BD!$AG$3:$AG$5001,BD!$A$3:$A$5001,Q$3,BD!$B$3:$B$5001,$A$192)))</f>
        <v/>
      </c>
      <c r="R209" s="223" t="str">
        <f>IF(R$3="","",IF(COUNTIFS(BD!$A$3:$A$5001,R$3,BD!$B$3:$B$5001,$A$192,BD!$AG$3:$AG$5001,"&lt;&gt;")=0,"",SUMIFS(BD!$AG$3:$AG$5001,BD!$A$3:$A$5001,R$3,BD!$B$3:$B$5001,$A$192)))</f>
        <v/>
      </c>
      <c r="S209" s="223" t="str">
        <f>IF(S$3="","",IF(COUNTIFS(BD!$A$3:$A$5001,S$3,BD!$B$3:$B$5001,$A$192,BD!$AG$3:$AG$5001,"&lt;&gt;")=0,"",SUMIFS(BD!$AG$3:$AG$5001,BD!$A$3:$A$5001,S$3,BD!$B$3:$B$5001,$A$192)))</f>
        <v/>
      </c>
      <c r="T209" s="223" t="str">
        <f>IF(T$3="","",IF(COUNTIFS(BD!$A$3:$A$5001,T$3,BD!$B$3:$B$5001,$A$192,BD!$AG$3:$AG$5001,"&lt;&gt;")=0,"",SUMIFS(BD!$AG$3:$AG$5001,BD!$A$3:$A$5001,T$3,BD!$B$3:$B$5001,$A$192)))</f>
        <v/>
      </c>
      <c r="U209" s="223" t="str">
        <f>IF(U$3="","",IF(COUNTIFS(BD!$A$3:$A$5001,U$3,BD!$B$3:$B$5001,$A$192,BD!$AG$3:$AG$5001,"&lt;&gt;")=0,"",SUMIFS(BD!$AG$3:$AG$5001,BD!$A$3:$A$5001,U$3,BD!$B$3:$B$5001,$A$192)))</f>
        <v/>
      </c>
      <c r="V209" s="223" t="str">
        <f>IF(V$3="","",IF(COUNTIFS(BD!$A$3:$A$5001,V$3,BD!$B$3:$B$5001,$A$192,BD!$AG$3:$AG$5001,"&lt;&gt;")=0,"",SUMIFS(BD!$AG$3:$AG$5001,BD!$A$3:$A$5001,V$3,BD!$B$3:$B$5001,$A$192)))</f>
        <v/>
      </c>
      <c r="W209" s="223" t="str">
        <f>IF(W$3="","",IF(COUNTIFS(BD!$A$3:$A$5001,W$3,BD!$B$3:$B$5001,$A$192,BD!$AG$3:$AG$5001,"&lt;&gt;")=0,"",SUMIFS(BD!$AG$3:$AG$5001,BD!$A$3:$A$5001,W$3,BD!$B$3:$B$5001,$A$192)))</f>
        <v/>
      </c>
      <c r="X209" s="223" t="str">
        <f>IF(X$3="","",IF(COUNTIFS(BD!$A$3:$A$5001,X$3,BD!$B$3:$B$5001,$A$192,BD!$AG$3:$AG$5001,"&lt;&gt;")=0,"",SUMIFS(BD!$AG$3:$AG$5001,BD!$A$3:$A$5001,X$3,BD!$B$3:$B$5001,$A$192)))</f>
        <v/>
      </c>
      <c r="Y209" s="223" t="str">
        <f>IF(Y$3="","",IF(COUNTIFS(BD!$A$3:$A$5001,Y$3,BD!$B$3:$B$5001,$A$192,BD!$AG$3:$AG$5001,"&lt;&gt;")=0,"",SUMIFS(BD!$AG$3:$AG$5001,BD!$A$3:$A$5001,Y$3,BD!$B$3:$B$5001,$A$192)))</f>
        <v/>
      </c>
      <c r="Z209" s="223" t="str">
        <f>IF(Z$3="","",IF(COUNTIFS(BD!$A$3:$A$5001,Z$3,BD!$B$3:$B$5001,$A$192,BD!$AG$3:$AG$5001,"&lt;&gt;")=0,"",SUMIFS(BD!$AG$3:$AG$5001,BD!$A$3:$A$5001,Z$3,BD!$B$3:$B$5001,$A$192)))</f>
        <v/>
      </c>
      <c r="AA209" s="223" t="str">
        <f>IF(AA$3="","",IF(COUNTIFS(BD!$A$3:$A$5001,AA$3,BD!$B$3:$B$5001,$A$192,BD!$AG$3:$AG$5001,"&lt;&gt;")=0,"",SUMIFS(BD!$AG$3:$AG$5001,BD!$A$3:$A$5001,AA$3,BD!$B$3:$B$5001,$A$192)))</f>
        <v/>
      </c>
      <c r="AB209" s="223" t="str">
        <f>IF(AB$3="","",IF(COUNTIFS(BD!$A$3:$A$5001,AB$3,BD!$B$3:$B$5001,$A$192,BD!$AG$3:$AG$5001,"&lt;&gt;")=0,"",SUMIFS(BD!$AG$3:$AG$5001,BD!$A$3:$A$5001,AB$3,BD!$B$3:$B$5001,$A$192)))</f>
        <v/>
      </c>
      <c r="AC209" s="223" t="str">
        <f>IF(AC$3="","",IF(COUNTIFS(BD!$A$3:$A$5001,AC$3,BD!$B$3:$B$5001,$A$192,BD!$AG$3:$AG$5001,"&lt;&gt;")=0,"",SUMIFS(BD!$AG$3:$AG$5001,BD!$A$3:$A$5001,AC$3,BD!$B$3:$B$5001,$A$192)))</f>
        <v/>
      </c>
      <c r="AD209" s="223" t="str">
        <f>IF(AD$3="","",IF(COUNTIFS(BD!$A$3:$A$5001,AD$3,BD!$B$3:$B$5001,$A$192,BD!$AG$3:$AG$5001,"&lt;&gt;")=0,"",SUMIFS(BD!$AG$3:$AG$5001,BD!$A$3:$A$5001,AD$3,BD!$B$3:$B$5001,$A$192)))</f>
        <v/>
      </c>
      <c r="AE209" s="223" t="str">
        <f>IF(AE$3="","",IF(COUNTIFS(BD!$A$3:$A$5001,AE$3,BD!$B$3:$B$5001,$A$192,BD!$AG$3:$AG$5001,"&lt;&gt;")=0,"",SUMIFS(BD!$AG$3:$AG$5001,BD!$A$3:$A$5001,AE$3,BD!$B$3:$B$5001,$A$192)))</f>
        <v/>
      </c>
      <c r="AF209" s="223" t="str">
        <f>IF(AF$3="","",IF(COUNTIFS(BD!$A$3:$A$5001,AF$3,BD!$B$3:$B$5001,$A$192,BD!$AG$3:$AG$5001,"&lt;&gt;")=0,"",SUMIFS(BD!$AG$3:$AG$5001,BD!$A$3:$A$5001,AF$3,BD!$B$3:$B$5001,$A$192)))</f>
        <v/>
      </c>
      <c r="AG209" s="223" t="str">
        <f>IF(AG$3="","",IF(COUNTIFS(BD!$A$3:$A$5001,AG$3,BD!$B$3:$B$5001,$A$192,BD!$AG$3:$AG$5001,"&lt;&gt;")=0,"",SUMIFS(BD!$AG$3:$AG$5001,BD!$A$3:$A$5001,AG$3,BD!$B$3:$B$5001,$A$192)))</f>
        <v/>
      </c>
      <c r="AH209" s="223" t="str">
        <f>IF(AH$3="","",IF(COUNTIFS(BD!$A$3:$A$5001,AH$3,BD!$B$3:$B$5001,$A$192,BD!$AG$3:$AG$5001,"&lt;&gt;")=0,"",SUMIFS(BD!$AG$3:$AG$5001,BD!$A$3:$A$5001,AH$3,BD!$B$3:$B$5001,$A$192)))</f>
        <v/>
      </c>
      <c r="AI209" s="223" t="str">
        <f>IF(AI$3="","",IF(COUNTIFS(BD!$A$3:$A$5001,AI$3,BD!$B$3:$B$5001,$A$192,BD!$AG$3:$AG$5001,"&lt;&gt;")=0,"",SUMIFS(BD!$AG$3:$AG$5001,BD!$A$3:$A$5001,AI$3,BD!$B$3:$B$5001,$A$192)))</f>
        <v/>
      </c>
      <c r="AJ209" s="224" t="str">
        <f>IF(AJ$3="","",IF(COUNTIFS(BD!$A$3:$A$5001,AJ$3,BD!$B$3:$B$5001,$A$192,BD!$AG$3:$AG$5001,"&lt;&gt;")=0,"",SUMIFS(BD!$AG$3:$AG$5001,BD!$A$3:$A$5001,AJ$3,BD!$B$3:$B$5001,$A$192)))</f>
        <v/>
      </c>
      <c r="AK209" s="220" t="str">
        <f>IF(COUNT(F209:AJ209)=0,"",SUM(F209:AJ209))</f>
        <v/>
      </c>
    </row>
    <row r="211">
      <c r="A211" s="31" t="inlineStr">
        <is>
          <t xml:space="preserve">Mês / ano: filtro na célula vermelha do canto superior direito. Célula vazia = sem registro. MÊS: soma nos fluxos e NC; último dado em ocupação e efetivo. Taxa = ocupadas ÷ disponíveis (contrato). Ocupação: verde ≥ 90% (alta, boa notícia), verde escuro &gt; 100% (excede o contratado), amarelo 70–90% (média), vermelho &lt; 70% (ociosidade). Incidente &gt; 0 em vermelho. META: aba BD (tabela de metas).</t>
        </is>
      </c>
    </row>
  </sheetData>
  <sheetProtection password="CC78" sheet="1" objects="1" scenarios="1"/>
  <mergeCells count="67">
    <mergeCell ref="G1:AD1"/>
    <mergeCell ref="AE1:AK1"/>
    <mergeCell ref="A2:A3"/>
    <mergeCell ref="B2:C3"/>
    <mergeCell ref="D2:D3"/>
    <mergeCell ref="F2:AJ2"/>
    <mergeCell ref="AK2:AK3"/>
    <mergeCell ref="B5:B6"/>
    <mergeCell ref="B7:B8"/>
    <mergeCell ref="B9:B11"/>
    <mergeCell ref="B12:B14"/>
    <mergeCell ref="B15:B22"/>
    <mergeCell ref="A5:A22"/>
    <mergeCell ref="B24:B26"/>
    <mergeCell ref="B27:B29"/>
    <mergeCell ref="B30:B32"/>
    <mergeCell ref="B33:B35"/>
    <mergeCell ref="B36:B43"/>
    <mergeCell ref="A24:A43"/>
    <mergeCell ref="B45:B47"/>
    <mergeCell ref="B48:B50"/>
    <mergeCell ref="B51:B53"/>
    <mergeCell ref="B54:B56"/>
    <mergeCell ref="B57:B64"/>
    <mergeCell ref="A45:A64"/>
    <mergeCell ref="B66:B69"/>
    <mergeCell ref="B70:B73"/>
    <mergeCell ref="B74:B76"/>
    <mergeCell ref="B77:B79"/>
    <mergeCell ref="B80:B87"/>
    <mergeCell ref="A66:A87"/>
    <mergeCell ref="B89:B91"/>
    <mergeCell ref="B92:B94"/>
    <mergeCell ref="B95:B97"/>
    <mergeCell ref="B98:B100"/>
    <mergeCell ref="B101:B108"/>
    <mergeCell ref="A89:A108"/>
    <mergeCell ref="B110:B113"/>
    <mergeCell ref="B114:B117"/>
    <mergeCell ref="B118:B120"/>
    <mergeCell ref="B121:B123"/>
    <mergeCell ref="B124:B131"/>
    <mergeCell ref="A110:A131"/>
    <mergeCell ref="B133:B134"/>
    <mergeCell ref="B135:B136"/>
    <mergeCell ref="B137:B139"/>
    <mergeCell ref="B140:B142"/>
    <mergeCell ref="B143:B150"/>
    <mergeCell ref="A133:A150"/>
    <mergeCell ref="B152:B154"/>
    <mergeCell ref="B155:B157"/>
    <mergeCell ref="B158:B160"/>
    <mergeCell ref="B161:B163"/>
    <mergeCell ref="B164:B171"/>
    <mergeCell ref="A152:A171"/>
    <mergeCell ref="B173:B174"/>
    <mergeCell ref="B175:B176"/>
    <mergeCell ref="B177:B179"/>
    <mergeCell ref="B180:B182"/>
    <mergeCell ref="B183:B190"/>
    <mergeCell ref="A173:A190"/>
    <mergeCell ref="B192:B193"/>
    <mergeCell ref="B194:B195"/>
    <mergeCell ref="B196:B198"/>
    <mergeCell ref="B199:B201"/>
    <mergeCell ref="B202:B209"/>
    <mergeCell ref="A192:A209"/>
  </mergeCells>
  <conditionalFormatting sqref="F3:AJ3">
    <cfRule type="expression" dxfId="12" priority="1">
      <formula>AND(ISNUMBER(F3),WEEKDAY(F3,2)&gt;5)</formula>
    </cfRule>
  </conditionalFormatting>
  <conditionalFormatting sqref="F9:AJ9">
    <cfRule type="expression" dxfId="13" priority="2">
      <formula>AND(ISNUMBER(F9),F9&gt;0)</formula>
    </cfRule>
  </conditionalFormatting>
  <conditionalFormatting sqref="F14:AJ14 AK14">
    <cfRule type="expression" dxfId="14" priority="3" stopIfTrue="1">
      <formula>AND(ISNUMBER(F14),F14&gt;1)</formula>
    </cfRule>
  </conditionalFormatting>
  <conditionalFormatting sqref="F14:AJ14 AK14">
    <cfRule type="expression" dxfId="15" priority="4" stopIfTrue="1">
      <formula>AND(ISNUMBER(F14),F14&gt;=0.9)</formula>
    </cfRule>
  </conditionalFormatting>
  <conditionalFormatting sqref="F14:AJ14 AK14">
    <cfRule type="expression" dxfId="16" priority="5" stopIfTrue="1">
      <formula>AND(ISNUMBER(F14),F14&gt;=0.7)</formula>
    </cfRule>
  </conditionalFormatting>
  <conditionalFormatting sqref="F14:AJ14 AK14">
    <cfRule type="expression" dxfId="17" priority="6">
      <formula>ISNUMBER(F14)</formula>
    </cfRule>
  </conditionalFormatting>
  <conditionalFormatting sqref="F30:AJ30">
    <cfRule type="expression" dxfId="13" priority="7">
      <formula>AND(ISNUMBER(F30),F30&gt;0)</formula>
    </cfRule>
  </conditionalFormatting>
  <conditionalFormatting sqref="F35:AJ35 AK35">
    <cfRule type="expression" dxfId="14" priority="8" stopIfTrue="1">
      <formula>AND(ISNUMBER(F35),F35&gt;1)</formula>
    </cfRule>
  </conditionalFormatting>
  <conditionalFormatting sqref="F35:AJ35 AK35">
    <cfRule type="expression" dxfId="15" priority="9" stopIfTrue="1">
      <formula>AND(ISNUMBER(F35),F35&gt;=0.9)</formula>
    </cfRule>
  </conditionalFormatting>
  <conditionalFormatting sqref="F35:AJ35 AK35">
    <cfRule type="expression" dxfId="16" priority="10" stopIfTrue="1">
      <formula>AND(ISNUMBER(F35),F35&gt;=0.7)</formula>
    </cfRule>
  </conditionalFormatting>
  <conditionalFormatting sqref="F35:AJ35 AK35">
    <cfRule type="expression" dxfId="17" priority="11">
      <formula>ISNUMBER(F35)</formula>
    </cfRule>
  </conditionalFormatting>
  <conditionalFormatting sqref="F51:AJ51">
    <cfRule type="expression" dxfId="13" priority="12">
      <formula>AND(ISNUMBER(F51),F51&gt;0)</formula>
    </cfRule>
  </conditionalFormatting>
  <conditionalFormatting sqref="F56:AJ56 AK56">
    <cfRule type="expression" dxfId="14" priority="13" stopIfTrue="1">
      <formula>AND(ISNUMBER(F56),F56&gt;1)</formula>
    </cfRule>
  </conditionalFormatting>
  <conditionalFormatting sqref="F56:AJ56 AK56">
    <cfRule type="expression" dxfId="15" priority="14" stopIfTrue="1">
      <formula>AND(ISNUMBER(F56),F56&gt;=0.9)</formula>
    </cfRule>
  </conditionalFormatting>
  <conditionalFormatting sqref="F56:AJ56 AK56">
    <cfRule type="expression" dxfId="16" priority="15" stopIfTrue="1">
      <formula>AND(ISNUMBER(F56),F56&gt;=0.7)</formula>
    </cfRule>
  </conditionalFormatting>
  <conditionalFormatting sqref="F56:AJ56 AK56">
    <cfRule type="expression" dxfId="17" priority="16">
      <formula>ISNUMBER(F56)</formula>
    </cfRule>
  </conditionalFormatting>
  <conditionalFormatting sqref="F74:AJ74">
    <cfRule type="expression" dxfId="13" priority="17">
      <formula>AND(ISNUMBER(F74),F74&gt;0)</formula>
    </cfRule>
  </conditionalFormatting>
  <conditionalFormatting sqref="F79:AJ79 AK79">
    <cfRule type="expression" dxfId="14" priority="18" stopIfTrue="1">
      <formula>AND(ISNUMBER(F79),F79&gt;1)</formula>
    </cfRule>
  </conditionalFormatting>
  <conditionalFormatting sqref="F79:AJ79 AK79">
    <cfRule type="expression" dxfId="15" priority="19" stopIfTrue="1">
      <formula>AND(ISNUMBER(F79),F79&gt;=0.9)</formula>
    </cfRule>
  </conditionalFormatting>
  <conditionalFormatting sqref="F79:AJ79 AK79">
    <cfRule type="expression" dxfId="16" priority="20" stopIfTrue="1">
      <formula>AND(ISNUMBER(F79),F79&gt;=0.7)</formula>
    </cfRule>
  </conditionalFormatting>
  <conditionalFormatting sqref="F79:AJ79 AK79">
    <cfRule type="expression" dxfId="17" priority="21">
      <formula>ISNUMBER(F79)</formula>
    </cfRule>
  </conditionalFormatting>
  <conditionalFormatting sqref="F95:AJ95">
    <cfRule type="expression" dxfId="13" priority="22">
      <formula>AND(ISNUMBER(F95),F95&gt;0)</formula>
    </cfRule>
  </conditionalFormatting>
  <conditionalFormatting sqref="F100:AJ100 AK100">
    <cfRule type="expression" dxfId="14" priority="23" stopIfTrue="1">
      <formula>AND(ISNUMBER(F100),F100&gt;1)</formula>
    </cfRule>
  </conditionalFormatting>
  <conditionalFormatting sqref="F100:AJ100 AK100">
    <cfRule type="expression" dxfId="15" priority="24" stopIfTrue="1">
      <formula>AND(ISNUMBER(F100),F100&gt;=0.9)</formula>
    </cfRule>
  </conditionalFormatting>
  <conditionalFormatting sqref="F100:AJ100 AK100">
    <cfRule type="expression" dxfId="16" priority="25" stopIfTrue="1">
      <formula>AND(ISNUMBER(F100),F100&gt;=0.7)</formula>
    </cfRule>
  </conditionalFormatting>
  <conditionalFormatting sqref="F100:AJ100 AK100">
    <cfRule type="expression" dxfId="17" priority="26">
      <formula>ISNUMBER(F100)</formula>
    </cfRule>
  </conditionalFormatting>
  <conditionalFormatting sqref="F118:AJ118">
    <cfRule type="expression" dxfId="13" priority="27">
      <formula>AND(ISNUMBER(F118),F118&gt;0)</formula>
    </cfRule>
  </conditionalFormatting>
  <conditionalFormatting sqref="F123:AJ123 AK123">
    <cfRule type="expression" dxfId="14" priority="28" stopIfTrue="1">
      <formula>AND(ISNUMBER(F123),F123&gt;1)</formula>
    </cfRule>
  </conditionalFormatting>
  <conditionalFormatting sqref="F123:AJ123 AK123">
    <cfRule type="expression" dxfId="15" priority="29" stopIfTrue="1">
      <formula>AND(ISNUMBER(F123),F123&gt;=0.9)</formula>
    </cfRule>
  </conditionalFormatting>
  <conditionalFormatting sqref="F123:AJ123 AK123">
    <cfRule type="expression" dxfId="16" priority="30" stopIfTrue="1">
      <formula>AND(ISNUMBER(F123),F123&gt;=0.7)</formula>
    </cfRule>
  </conditionalFormatting>
  <conditionalFormatting sqref="F123:AJ123 AK123">
    <cfRule type="expression" dxfId="17" priority="31">
      <formula>ISNUMBER(F123)</formula>
    </cfRule>
  </conditionalFormatting>
  <conditionalFormatting sqref="F137:AJ137">
    <cfRule type="expression" dxfId="13" priority="32">
      <formula>AND(ISNUMBER(F137),F137&gt;0)</formula>
    </cfRule>
  </conditionalFormatting>
  <conditionalFormatting sqref="F142:AJ142 AK142">
    <cfRule type="expression" dxfId="14" priority="33" stopIfTrue="1">
      <formula>AND(ISNUMBER(F142),F142&gt;1)</formula>
    </cfRule>
  </conditionalFormatting>
  <conditionalFormatting sqref="F142:AJ142 AK142">
    <cfRule type="expression" dxfId="15" priority="34" stopIfTrue="1">
      <formula>AND(ISNUMBER(F142),F142&gt;=0.9)</formula>
    </cfRule>
  </conditionalFormatting>
  <conditionalFormatting sqref="F142:AJ142 AK142">
    <cfRule type="expression" dxfId="16" priority="35" stopIfTrue="1">
      <formula>AND(ISNUMBER(F142),F142&gt;=0.7)</formula>
    </cfRule>
  </conditionalFormatting>
  <conditionalFormatting sqref="F142:AJ142 AK142">
    <cfRule type="expression" dxfId="17" priority="36">
      <formula>ISNUMBER(F142)</formula>
    </cfRule>
  </conditionalFormatting>
  <conditionalFormatting sqref="F158:AJ158">
    <cfRule type="expression" dxfId="13" priority="37">
      <formula>AND(ISNUMBER(F158),F158&gt;0)</formula>
    </cfRule>
  </conditionalFormatting>
  <conditionalFormatting sqref="F163:AJ163 AK163">
    <cfRule type="expression" dxfId="14" priority="38" stopIfTrue="1">
      <formula>AND(ISNUMBER(F163),F163&gt;1)</formula>
    </cfRule>
  </conditionalFormatting>
  <conditionalFormatting sqref="F163:AJ163 AK163">
    <cfRule type="expression" dxfId="15" priority="39" stopIfTrue="1">
      <formula>AND(ISNUMBER(F163),F163&gt;=0.9)</formula>
    </cfRule>
  </conditionalFormatting>
  <conditionalFormatting sqref="F163:AJ163 AK163">
    <cfRule type="expression" dxfId="16" priority="40" stopIfTrue="1">
      <formula>AND(ISNUMBER(F163),F163&gt;=0.7)</formula>
    </cfRule>
  </conditionalFormatting>
  <conditionalFormatting sqref="F163:AJ163 AK163">
    <cfRule type="expression" dxfId="17" priority="41">
      <formula>ISNUMBER(F163)</formula>
    </cfRule>
  </conditionalFormatting>
  <conditionalFormatting sqref="F177:AJ177">
    <cfRule type="expression" dxfId="13" priority="42">
      <formula>AND(ISNUMBER(F177),F177&gt;0)</formula>
    </cfRule>
  </conditionalFormatting>
  <conditionalFormatting sqref="F182:AJ182 AK182">
    <cfRule type="expression" dxfId="14" priority="43" stopIfTrue="1">
      <formula>AND(ISNUMBER(F182),F182&gt;1)</formula>
    </cfRule>
  </conditionalFormatting>
  <conditionalFormatting sqref="F182:AJ182 AK182">
    <cfRule type="expression" dxfId="15" priority="44" stopIfTrue="1">
      <formula>AND(ISNUMBER(F182),F182&gt;=0.9)</formula>
    </cfRule>
  </conditionalFormatting>
  <conditionalFormatting sqref="F182:AJ182 AK182">
    <cfRule type="expression" dxfId="16" priority="45" stopIfTrue="1">
      <formula>AND(ISNUMBER(F182),F182&gt;=0.7)</formula>
    </cfRule>
  </conditionalFormatting>
  <conditionalFormatting sqref="F182:AJ182 AK182">
    <cfRule type="expression" dxfId="17" priority="46">
      <formula>ISNUMBER(F182)</formula>
    </cfRule>
  </conditionalFormatting>
  <conditionalFormatting sqref="F196:AJ196">
    <cfRule type="expression" dxfId="13" priority="47">
      <formula>AND(ISNUMBER(F196),F196&gt;0)</formula>
    </cfRule>
  </conditionalFormatting>
  <conditionalFormatting sqref="F201:AJ201 AK201">
    <cfRule type="expression" dxfId="14" priority="48" stopIfTrue="1">
      <formula>AND(ISNUMBER(F201),F201&gt;1)</formula>
    </cfRule>
  </conditionalFormatting>
  <conditionalFormatting sqref="F201:AJ201 AK201">
    <cfRule type="expression" dxfId="15" priority="49" stopIfTrue="1">
      <formula>AND(ISNUMBER(F201),F201&gt;=0.9)</formula>
    </cfRule>
  </conditionalFormatting>
  <conditionalFormatting sqref="F201:AJ201 AK201">
    <cfRule type="expression" dxfId="16" priority="50" stopIfTrue="1">
      <formula>AND(ISNUMBER(F201),F201&gt;=0.7)</formula>
    </cfRule>
  </conditionalFormatting>
  <conditionalFormatting sqref="F201:AJ201 AK201">
    <cfRule type="expression" dxfId="17" priority="51">
      <formula>ISNUMBER(F201)</formula>
    </cfRule>
  </conditionalFormatting>
  <dataValidations count="1">
    <dataValidation type="list" allowBlank="1" showInputMessage="1" showErrorMessage="1" promptTitle="Mês" prompt="Escolha o mês do ano. Toda a aba se atualiza." errorTitle="Valor inválido" error="Escolha um mês da lista." sqref="AE1">
      <formula1>calculos!$AM$12:$AM$23</formula1>
    </dataValidation>
  </dataValidations>
  <pageMargins left="0.25" right="0.25" top="0.4" bottom="0.4" header="0.2" footer="0.2"/>
  <pageSetup paperSize="9" orientation="landscape" fitToWidth="1" fitToHeight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95959"/>
    <pageSetUpPr fitToPage="1"/>
  </sheetPr>
  <dimension ref="A1:AA75"/>
  <sheetViews>
    <sheetView showGridLines="0" zoomScale="85" zoomScaleNormal="85" workbookViewId="0">
      <pane ySplit="3" topLeftCell="A4" activePane="bottomLeft" state="frozen"/>
      <selection pane="bottomLeft" activeCell="A4" sqref="A4"/>
    </sheetView>
  </sheetViews>
  <sheetFormatPr defaultRowHeight="15"/>
  <cols>
    <col min="1" max="1" width="2" customWidth="1"/>
    <col min="2" max="2" width="10" customWidth="1"/>
    <col min="3" max="3" width="10" customWidth="1"/>
    <col min="4" max="4" width="10" customWidth="1"/>
    <col min="5" max="5" width="10" customWidth="1"/>
    <col min="6" max="6" width="2.5" customWidth="1"/>
    <col min="7" max="7" width="10" customWidth="1"/>
    <col min="8" max="8" width="10" customWidth="1"/>
    <col min="9" max="9" width="10" customWidth="1"/>
    <col min="10" max="10" width="10" customWidth="1"/>
    <col min="11" max="11" width="2.5" customWidth="1"/>
    <col min="12" max="12" width="10" customWidth="1"/>
    <col min="13" max="13" width="10" customWidth="1"/>
    <col min="14" max="14" width="10" customWidth="1"/>
    <col min="15" max="15" width="10" customWidth="1"/>
    <col min="16" max="16" width="2.5" customWidth="1"/>
    <col min="17" max="17" width="10" customWidth="1"/>
    <col min="18" max="18" width="10" customWidth="1"/>
    <col min="19" max="19" width="10" customWidth="1"/>
    <col min="20" max="20" width="10" customWidth="1"/>
    <col min="21" max="21" width="2.5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2" customWidth="1"/>
  </cols>
  <sheetData>
    <row r="1" ht="34.5" customHeight="1">
      <c r="A1" s="90"/>
      <c r="B1" s="90"/>
      <c r="C1" s="90"/>
      <c r="D1" s="90"/>
      <c r="E1" s="90"/>
      <c r="F1" s="90"/>
      <c r="G1" s="130" t="str">
        <f>"CONSOL MENSAL · QUADRO DE INDICADORES"&amp;IF(calculos_quadro!$E$2="",""," · "&amp;calculos_quadro!$E$2)</f>
        <v>CONSOL MENSAL · QUADRO DE INDICADORES · TPC</v>
      </c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1" t="inlineStr">
        <is>
          <t xml:space="preserve">OUTUBRO · 2026</t>
        </is>
      </c>
      <c r="W1" s="131"/>
      <c r="X1" s="131"/>
      <c r="Y1" s="131"/>
      <c r="Z1" s="131"/>
      <c r="AA1" s="131"/>
    </row>
    <row r="3" ht="24" customHeight="1">
      <c r="B3" s="93" t="inlineStr">
        <is>
          <t xml:space="preserve">CLIENTE  ▸</t>
        </is>
      </c>
      <c r="C3" s="93"/>
      <c r="D3" s="94" t="inlineStr">
        <is>
          <t xml:space="preserve">Todos</t>
        </is>
      </c>
      <c r="E3" s="95"/>
      <c r="F3" s="95"/>
      <c r="G3" s="95"/>
      <c r="H3" s="95"/>
      <c r="I3" s="96"/>
      <c r="Q3" s="255" t="str">
        <f>IF(calculos_quadro!$B$9=0,"Sem dados na Base para o mês escolhido","Dados até "&amp;TEXT(calculos_quadro!$C$7+calculos_quadro!$B$9-1,"dd/mm")&amp;"/"&amp;YEAR(calculos_quadro!$C$7)&amp;" · comparação: "&amp;calculos_quadro!$B$8&amp;", dias 1 a "&amp;calculos_quadro!$B$9)</f>
        <v>Sem dados na Base para o mês escolhido</v>
      </c>
      <c r="R3" s="255"/>
      <c r="S3" s="255"/>
      <c r="T3" s="255"/>
      <c r="U3" s="255"/>
      <c r="V3" s="255"/>
      <c r="W3" s="255"/>
      <c r="X3" s="255"/>
      <c r="Y3" s="255"/>
      <c r="Z3" s="255"/>
    </row>
    <row r="5" ht="20" customHeight="1">
      <c r="B5" s="256" t="inlineStr">
        <is>
          <t xml:space="preserve">QUADRO DE INDICADORES · cliente e mês selecionados</t>
        </is>
      </c>
      <c r="C5" s="256"/>
      <c r="D5" s="256"/>
      <c r="E5" s="256"/>
      <c r="F5" s="256"/>
      <c r="G5" s="256"/>
      <c r="H5" s="256"/>
      <c r="I5" s="256"/>
      <c r="J5" s="256"/>
      <c r="K5" s="256"/>
      <c r="L5" s="256"/>
      <c r="M5" s="256"/>
      <c r="N5" s="256"/>
      <c r="O5" s="256"/>
      <c r="P5" s="256"/>
      <c r="Q5" s="256"/>
      <c r="R5" s="256"/>
      <c r="S5" s="256"/>
      <c r="T5" s="256"/>
      <c r="U5" s="256"/>
      <c r="V5" s="256"/>
      <c r="W5" s="256"/>
      <c r="X5" s="256"/>
      <c r="Y5" s="256"/>
      <c r="Z5" s="256"/>
    </row>
    <row r="6" ht="28" customHeight="1">
      <c r="B6" s="257" t="inlineStr">
        <is>
          <t xml:space="preserve">GRUPO</t>
        </is>
      </c>
      <c r="C6" s="258"/>
      <c r="D6" s="257" t="inlineStr">
        <is>
          <t xml:space="preserve">INDICADOR</t>
        </is>
      </c>
      <c r="E6" s="259"/>
      <c r="F6" s="259"/>
      <c r="G6" s="258"/>
      <c r="H6" s="260" t="inlineStr">
        <is>
          <t xml:space="preserve">META</t>
        </is>
      </c>
      <c r="I6" s="261"/>
      <c r="J6" s="260" t="inlineStr">
        <is>
          <t xml:space="preserve">REALIZADO</t>
        </is>
      </c>
      <c r="K6" s="262"/>
      <c r="L6" s="261"/>
      <c r="M6" s="260" t="inlineStr">
        <is>
          <t xml:space="preserve">MÉDIA / DIA</t>
        </is>
      </c>
      <c r="N6" s="261"/>
      <c r="O6" s="260" t="inlineStr">
        <is>
          <t xml:space="preserve">MÁXIMO NO DIA</t>
        </is>
      </c>
      <c r="P6" s="262"/>
      <c r="Q6" s="261"/>
      <c r="R6" s="260" t="inlineStr">
        <is>
          <t xml:space="preserve">MÊS ANTERIOR</t>
        </is>
      </c>
      <c r="S6" s="261"/>
      <c r="T6" s="260" t="inlineStr">
        <is>
          <t xml:space="preserve">VARIAÇÃO</t>
        </is>
      </c>
      <c r="U6" s="262"/>
      <c r="V6" s="261"/>
      <c r="W6" s="260" t="inlineStr">
        <is>
          <t xml:space="preserve">% DA META</t>
        </is>
      </c>
      <c r="X6" s="261"/>
      <c r="Y6" s="260" t="inlineStr">
        <is>
          <t xml:space="preserve">STATUS</t>
        </is>
      </c>
      <c r="Z6" s="261"/>
    </row>
    <row r="7" ht="16" customHeight="1">
      <c r="B7" s="477" t="inlineStr">
        <is>
          <t xml:space="preserve">IN</t>
        </is>
      </c>
      <c r="C7" s="148"/>
      <c r="D7" s="264" t="inlineStr">
        <is>
          <t xml:space="preserve">Veículos Recebidos</t>
        </is>
      </c>
      <c r="E7" s="263"/>
      <c r="F7" s="263"/>
      <c r="G7" s="263"/>
      <c r="H7" s="266" t="str">
        <f>IF(calculos_quadro!$B$295=0,"—",calculos_quadro!$C$48)</f>
        <v/>
      </c>
      <c r="I7" s="265"/>
      <c r="J7" s="268">
        <f>IF(calculos_quadro!$B$295=0,"—",calculos_quadro!$C$43)</f>
        <v>0</v>
      </c>
      <c r="K7" s="267"/>
      <c r="L7" s="267"/>
      <c r="M7" s="270" t="str">
        <f>IF(calculos_quadro!$B$295=0,"—",calculos_quadro!$C$44)</f>
        <v/>
      </c>
      <c r="N7" s="269"/>
      <c r="O7" s="272">
        <f>IF(calculos_quadro!$B$295=0,"—",calculos_quadro!$C$45)</f>
        <v>0</v>
      </c>
      <c r="P7" s="271"/>
      <c r="Q7" s="271"/>
      <c r="R7" s="272" t="str">
        <f>IF(calculos_quadro!$B$295=0,"—",calculos_quadro!$C$46)</f>
        <v/>
      </c>
      <c r="S7" s="271"/>
      <c r="T7" s="274" t="str">
        <f>IF(calculos_quadro!$B$295=0,"—",calculos_quadro!$C$47)</f>
        <v/>
      </c>
      <c r="U7" s="273"/>
      <c r="V7" s="273"/>
      <c r="W7" s="276" t="str">
        <f>IF(calculos_quadro!$B$295=0,"—",calculos_quadro!$C$49)</f>
        <v/>
      </c>
      <c r="X7" s="275"/>
      <c r="Y7" s="278" t="str">
        <f>IF(calculos_quadro!$B$295=0,"—",calculos_quadro!$C$50)</f>
        <v/>
      </c>
      <c r="Z7" s="279"/>
    </row>
    <row r="8" ht="16" customHeight="1">
      <c r="B8" s="478"/>
      <c r="C8" s="194"/>
      <c r="D8" s="281" t="inlineStr">
        <is>
          <t xml:space="preserve">Pallets Movimentados</t>
        </is>
      </c>
      <c r="E8" s="280"/>
      <c r="F8" s="280"/>
      <c r="G8" s="280"/>
      <c r="H8" s="283" t="str">
        <f>IF(calculos_quadro!$B$296=0,"—",calculos_quadro!$D$48)</f>
        <v/>
      </c>
      <c r="I8" s="282"/>
      <c r="J8" s="285">
        <f>IF(calculos_quadro!$B$296=0,"—",calculos_quadro!$D$43)</f>
        <v>0</v>
      </c>
      <c r="K8" s="284"/>
      <c r="L8" s="284"/>
      <c r="M8" s="287" t="str">
        <f>IF(calculos_quadro!$B$296=0,"—",calculos_quadro!$D$44)</f>
        <v/>
      </c>
      <c r="N8" s="286"/>
      <c r="O8" s="289">
        <f>IF(calculos_quadro!$B$296=0,"—",calculos_quadro!$D$45)</f>
        <v>0</v>
      </c>
      <c r="P8" s="288"/>
      <c r="Q8" s="288"/>
      <c r="R8" s="289" t="str">
        <f>IF(calculos_quadro!$B$296=0,"—",calculos_quadro!$D$46)</f>
        <v/>
      </c>
      <c r="S8" s="288"/>
      <c r="T8" s="291" t="str">
        <f>IF(calculos_quadro!$B$296=0,"—",calculos_quadro!$D$47)</f>
        <v/>
      </c>
      <c r="U8" s="290"/>
      <c r="V8" s="290"/>
      <c r="W8" s="293" t="str">
        <f>IF(calculos_quadro!$B$296=0,"—",calculos_quadro!$D$49)</f>
        <v/>
      </c>
      <c r="X8" s="292"/>
      <c r="Y8" s="295" t="str">
        <f>IF(calculos_quadro!$B$296=0,"—",calculos_quadro!$D$50)</f>
        <v/>
      </c>
      <c r="Z8" s="296"/>
    </row>
    <row r="9" ht="16" customHeight="1">
      <c r="B9" s="478"/>
      <c r="C9" s="194"/>
      <c r="D9" s="281" t="inlineStr">
        <is>
          <t xml:space="preserve">Toneladas Movimentadas</t>
        </is>
      </c>
      <c r="E9" s="280"/>
      <c r="F9" s="280"/>
      <c r="G9" s="280"/>
      <c r="H9" s="283" t="str">
        <f>IF(calculos_quadro!$B$297=0,"—",calculos_quadro!$E$48)</f>
        <v/>
      </c>
      <c r="I9" s="282"/>
      <c r="J9" s="298">
        <f>IF(calculos_quadro!$B$297=0,"—",calculos_quadro!$E$43)</f>
        <v>0</v>
      </c>
      <c r="K9" s="297"/>
      <c r="L9" s="297"/>
      <c r="M9" s="287" t="str">
        <f>IF(calculos_quadro!$B$297=0,"—",calculos_quadro!$E$44)</f>
        <v/>
      </c>
      <c r="N9" s="286"/>
      <c r="O9" s="287">
        <f>IF(calculos_quadro!$B$297=0,"—",calculos_quadro!$E$45)</f>
        <v>0</v>
      </c>
      <c r="P9" s="286"/>
      <c r="Q9" s="286"/>
      <c r="R9" s="287" t="str">
        <f>IF(calculos_quadro!$B$297=0,"—",calculos_quadro!$E$46)</f>
        <v/>
      </c>
      <c r="S9" s="286"/>
      <c r="T9" s="291" t="str">
        <f>IF(calculos_quadro!$B$297=0,"—",calculos_quadro!$E$47)</f>
        <v/>
      </c>
      <c r="U9" s="290"/>
      <c r="V9" s="290"/>
      <c r="W9" s="293" t="str">
        <f>IF(calculos_quadro!$B$297=0,"—",calculos_quadro!$E$49)</f>
        <v/>
      </c>
      <c r="X9" s="292"/>
      <c r="Y9" s="295" t="str">
        <f>IF(calculos_quadro!$B$297=0,"—",calculos_quadro!$E$50)</f>
        <v/>
      </c>
      <c r="Z9" s="296"/>
    </row>
    <row r="10" ht="16" customHeight="1">
      <c r="B10" s="478"/>
      <c r="C10" s="194"/>
      <c r="D10" s="281" t="inlineStr">
        <is>
          <t xml:space="preserve">Linhas NF</t>
        </is>
      </c>
      <c r="E10" s="280"/>
      <c r="F10" s="280"/>
      <c r="G10" s="280"/>
      <c r="H10" s="283" t="str">
        <f>IF(calculos_quadro!$B$298=0,"—",calculos_quadro!$F$48)</f>
        <v/>
      </c>
      <c r="I10" s="282"/>
      <c r="J10" s="285">
        <f>IF(calculos_quadro!$B$298=0,"—",calculos_quadro!$F$43)</f>
        <v>0</v>
      </c>
      <c r="K10" s="284"/>
      <c r="L10" s="284"/>
      <c r="M10" s="287" t="str">
        <f>IF(calculos_quadro!$B$298=0,"—",calculos_quadro!$F$44)</f>
        <v/>
      </c>
      <c r="N10" s="286"/>
      <c r="O10" s="289">
        <f>IF(calculos_quadro!$B$298=0,"—",calculos_quadro!$F$45)</f>
        <v>0</v>
      </c>
      <c r="P10" s="288"/>
      <c r="Q10" s="288"/>
      <c r="R10" s="289" t="str">
        <f>IF(calculos_quadro!$B$298=0,"—",calculos_quadro!$F$46)</f>
        <v/>
      </c>
      <c r="S10" s="288"/>
      <c r="T10" s="291" t="str">
        <f>IF(calculos_quadro!$B$298=0,"—",calculos_quadro!$F$47)</f>
        <v/>
      </c>
      <c r="U10" s="290"/>
      <c r="V10" s="290"/>
      <c r="W10" s="293" t="str">
        <f>IF(calculos_quadro!$B$298=0,"—",calculos_quadro!$F$49)</f>
        <v/>
      </c>
      <c r="X10" s="292"/>
      <c r="Y10" s="295" t="str">
        <f>IF(calculos_quadro!$B$298=0,"—",calculos_quadro!$F$50)</f>
        <v/>
      </c>
      <c r="Z10" s="296"/>
    </row>
    <row r="11" ht="16" customHeight="1">
      <c r="B11" s="478"/>
      <c r="C11" s="194"/>
      <c r="D11" s="281" t="inlineStr">
        <is>
          <t xml:space="preserve">Caixas Movimentadas</t>
        </is>
      </c>
      <c r="E11" s="280"/>
      <c r="F11" s="280"/>
      <c r="G11" s="280"/>
      <c r="H11" s="283" t="str">
        <f>IF(calculos_quadro!$B$299=0,"—",calculos_quadro!$G$48)</f>
        <v/>
      </c>
      <c r="I11" s="282"/>
      <c r="J11" s="285">
        <f>IF(calculos_quadro!$B$299=0,"—",calculos_quadro!$G$43)</f>
        <v>0</v>
      </c>
      <c r="K11" s="284"/>
      <c r="L11" s="284"/>
      <c r="M11" s="287" t="str">
        <f>IF(calculos_quadro!$B$299=0,"—",calculos_quadro!$G$44)</f>
        <v/>
      </c>
      <c r="N11" s="286"/>
      <c r="O11" s="289">
        <f>IF(calculos_quadro!$B$299=0,"—",calculos_quadro!$G$45)</f>
        <v>0</v>
      </c>
      <c r="P11" s="288"/>
      <c r="Q11" s="288"/>
      <c r="R11" s="289" t="str">
        <f>IF(calculos_quadro!$B$299=0,"—",calculos_quadro!$G$46)</f>
        <v/>
      </c>
      <c r="S11" s="288"/>
      <c r="T11" s="291" t="str">
        <f>IF(calculos_quadro!$B$299=0,"—",calculos_quadro!$G$47)</f>
        <v/>
      </c>
      <c r="U11" s="290"/>
      <c r="V11" s="290"/>
      <c r="W11" s="293" t="str">
        <f>IF(calculos_quadro!$B$299=0,"—",calculos_quadro!$G$49)</f>
        <v/>
      </c>
      <c r="X11" s="292"/>
      <c r="Y11" s="295" t="str">
        <f>IF(calculos_quadro!$B$299=0,"—",calculos_quadro!$G$50)</f>
        <v/>
      </c>
      <c r="Z11" s="296"/>
    </row>
    <row r="12" ht="16" customHeight="1">
      <c r="B12" s="478"/>
      <c r="C12" s="194"/>
      <c r="D12" s="281" t="inlineStr">
        <is>
          <t xml:space="preserve">Peças Movimentadas</t>
        </is>
      </c>
      <c r="E12" s="280"/>
      <c r="F12" s="280"/>
      <c r="G12" s="280"/>
      <c r="H12" s="283" t="str">
        <f>IF(calculos_quadro!$B$300=0,"—",calculos_quadro!$H$48)</f>
        <v/>
      </c>
      <c r="I12" s="282"/>
      <c r="J12" s="285">
        <f>IF(calculos_quadro!$B$300=0,"—",calculos_quadro!$H$43)</f>
        <v>0</v>
      </c>
      <c r="K12" s="284"/>
      <c r="L12" s="284"/>
      <c r="M12" s="287" t="str">
        <f>IF(calculos_quadro!$B$300=0,"—",calculos_quadro!$H$44)</f>
        <v/>
      </c>
      <c r="N12" s="286"/>
      <c r="O12" s="289">
        <f>IF(calculos_quadro!$B$300=0,"—",calculos_quadro!$H$45)</f>
        <v>0</v>
      </c>
      <c r="P12" s="288"/>
      <c r="Q12" s="288"/>
      <c r="R12" s="289" t="str">
        <f>IF(calculos_quadro!$B$300=0,"—",calculos_quadro!$H$46)</f>
        <v/>
      </c>
      <c r="S12" s="288"/>
      <c r="T12" s="291" t="str">
        <f>IF(calculos_quadro!$B$300=0,"—",calculos_quadro!$H$47)</f>
        <v/>
      </c>
      <c r="U12" s="290"/>
      <c r="V12" s="290"/>
      <c r="W12" s="293" t="str">
        <f>IF(calculos_quadro!$B$300=0,"—",calculos_quadro!$H$49)</f>
        <v/>
      </c>
      <c r="X12" s="292"/>
      <c r="Y12" s="295" t="str">
        <f>IF(calculos_quadro!$B$300=0,"—",calculos_quadro!$H$50)</f>
        <v/>
      </c>
      <c r="Z12" s="296"/>
    </row>
    <row r="13" ht="16" customHeight="1">
      <c r="B13" s="478"/>
      <c r="C13" s="194"/>
      <c r="D13" s="281" t="inlineStr">
        <is>
          <t xml:space="preserve">Itens Recebidos CX Mista</t>
        </is>
      </c>
      <c r="E13" s="280"/>
      <c r="F13" s="280"/>
      <c r="G13" s="280"/>
      <c r="H13" s="283" t="str">
        <f>IF(calculos_quadro!$B$301=0,"—",calculos_quadro!$I$48)</f>
        <v/>
      </c>
      <c r="I13" s="282"/>
      <c r="J13" s="285">
        <f>IF(calculos_quadro!$B$301=0,"—",calculos_quadro!$I$43)</f>
        <v>0</v>
      </c>
      <c r="K13" s="284"/>
      <c r="L13" s="284"/>
      <c r="M13" s="287" t="str">
        <f>IF(calculos_quadro!$B$301=0,"—",calculos_quadro!$I$44)</f>
        <v/>
      </c>
      <c r="N13" s="286"/>
      <c r="O13" s="289">
        <f>IF(calculos_quadro!$B$301=0,"—",calculos_quadro!$I$45)</f>
        <v>0</v>
      </c>
      <c r="P13" s="288"/>
      <c r="Q13" s="288"/>
      <c r="R13" s="289" t="str">
        <f>IF(calculos_quadro!$B$301=0,"—",calculos_quadro!$I$46)</f>
        <v/>
      </c>
      <c r="S13" s="288"/>
      <c r="T13" s="291" t="str">
        <f>IF(calculos_quadro!$B$301=0,"—",calculos_quadro!$I$47)</f>
        <v/>
      </c>
      <c r="U13" s="290"/>
      <c r="V13" s="290"/>
      <c r="W13" s="293" t="str">
        <f>IF(calculos_quadro!$B$301=0,"—",calculos_quadro!$I$49)</f>
        <v/>
      </c>
      <c r="X13" s="292"/>
      <c r="Y13" s="295" t="str">
        <f>IF(calculos_quadro!$B$301=0,"—",calculos_quadro!$I$50)</f>
        <v/>
      </c>
      <c r="Z13" s="296"/>
    </row>
    <row r="14" ht="16" customHeight="1">
      <c r="B14" s="478"/>
      <c r="C14" s="194"/>
      <c r="D14" s="281" t="inlineStr">
        <is>
          <t xml:space="preserve">Caixas Fechadas</t>
        </is>
      </c>
      <c r="E14" s="280"/>
      <c r="F14" s="280"/>
      <c r="G14" s="280"/>
      <c r="H14" s="283" t="str">
        <f>IF(calculos_quadro!$B$302=0,"—",calculos_quadro!$J$48)</f>
        <v/>
      </c>
      <c r="I14" s="282"/>
      <c r="J14" s="285">
        <f>IF(calculos_quadro!$B$302=0,"—",calculos_quadro!$J$43)</f>
        <v>0</v>
      </c>
      <c r="K14" s="284"/>
      <c r="L14" s="284"/>
      <c r="M14" s="287" t="str">
        <f>IF(calculos_quadro!$B$302=0,"—",calculos_quadro!$J$44)</f>
        <v/>
      </c>
      <c r="N14" s="286"/>
      <c r="O14" s="289">
        <f>IF(calculos_quadro!$B$302=0,"—",calculos_quadro!$J$45)</f>
        <v>0</v>
      </c>
      <c r="P14" s="288"/>
      <c r="Q14" s="288"/>
      <c r="R14" s="289" t="str">
        <f>IF(calculos_quadro!$B$302=0,"—",calculos_quadro!$J$46)</f>
        <v/>
      </c>
      <c r="S14" s="288"/>
      <c r="T14" s="291" t="str">
        <f>IF(calculos_quadro!$B$302=0,"—",calculos_quadro!$J$47)</f>
        <v/>
      </c>
      <c r="U14" s="290"/>
      <c r="V14" s="290"/>
      <c r="W14" s="293" t="str">
        <f>IF(calculos_quadro!$B$302=0,"—",calculos_quadro!$J$49)</f>
        <v/>
      </c>
      <c r="X14" s="292"/>
      <c r="Y14" s="295" t="str">
        <f>IF(calculos_quadro!$B$302=0,"—",calculos_quadro!$J$50)</f>
        <v/>
      </c>
      <c r="Z14" s="296"/>
    </row>
    <row r="15" ht="16" customHeight="1">
      <c r="B15" s="479"/>
      <c r="C15" s="155"/>
      <c r="D15" s="300" t="inlineStr">
        <is>
          <t xml:space="preserve">Caixas Mistas Recebidas</t>
        </is>
      </c>
      <c r="E15" s="299"/>
      <c r="F15" s="299"/>
      <c r="G15" s="299"/>
      <c r="H15" s="302" t="str">
        <f>IF(calculos_quadro!$B$303=0,"—",calculos_quadro!$K$48)</f>
        <v/>
      </c>
      <c r="I15" s="301"/>
      <c r="J15" s="304">
        <f>IF(calculos_quadro!$B$303=0,"—",calculos_quadro!$K$43)</f>
        <v>0</v>
      </c>
      <c r="K15" s="303"/>
      <c r="L15" s="303"/>
      <c r="M15" s="306" t="str">
        <f>IF(calculos_quadro!$B$303=0,"—",calculos_quadro!$K$44)</f>
        <v/>
      </c>
      <c r="N15" s="305"/>
      <c r="O15" s="308">
        <f>IF(calculos_quadro!$B$303=0,"—",calculos_quadro!$K$45)</f>
        <v>0</v>
      </c>
      <c r="P15" s="307"/>
      <c r="Q15" s="307"/>
      <c r="R15" s="308" t="str">
        <f>IF(calculos_quadro!$B$303=0,"—",calculos_quadro!$K$46)</f>
        <v/>
      </c>
      <c r="S15" s="307"/>
      <c r="T15" s="310" t="str">
        <f>IF(calculos_quadro!$B$303=0,"—",calculos_quadro!$K$47)</f>
        <v/>
      </c>
      <c r="U15" s="309"/>
      <c r="V15" s="309"/>
      <c r="W15" s="312" t="str">
        <f>IF(calculos_quadro!$B$303=0,"—",calculos_quadro!$K$49)</f>
        <v/>
      </c>
      <c r="X15" s="311"/>
      <c r="Y15" s="314" t="str">
        <f>IF(calculos_quadro!$B$303=0,"—",calculos_quadro!$K$50)</f>
        <v/>
      </c>
      <c r="Z15" s="315"/>
    </row>
    <row r="16" ht="16" customHeight="1">
      <c r="B16" s="480" t="inlineStr">
        <is>
          <t xml:space="preserve">OUT</t>
        </is>
      </c>
      <c r="C16" s="161"/>
      <c r="D16" s="317" t="inlineStr">
        <is>
          <t xml:space="preserve">Veículos Expedidos</t>
        </is>
      </c>
      <c r="E16" s="316"/>
      <c r="F16" s="316"/>
      <c r="G16" s="316"/>
      <c r="H16" s="319" t="str">
        <f>IF(calculos_quadro!$B$304=0,"—",calculos_quadro!$L$48)</f>
        <v/>
      </c>
      <c r="I16" s="318"/>
      <c r="J16" s="321">
        <f>IF(calculos_quadro!$B$304=0,"—",calculos_quadro!$L$43)</f>
        <v>0</v>
      </c>
      <c r="K16" s="320"/>
      <c r="L16" s="320"/>
      <c r="M16" s="323" t="str">
        <f>IF(calculos_quadro!$B$304=0,"—",calculos_quadro!$L$44)</f>
        <v/>
      </c>
      <c r="N16" s="322"/>
      <c r="O16" s="325">
        <f>IF(calculos_quadro!$B$304=0,"—",calculos_quadro!$L$45)</f>
        <v>0</v>
      </c>
      <c r="P16" s="324"/>
      <c r="Q16" s="324"/>
      <c r="R16" s="325" t="str">
        <f>IF(calculos_quadro!$B$304=0,"—",calculos_quadro!$L$46)</f>
        <v/>
      </c>
      <c r="S16" s="324"/>
      <c r="T16" s="327" t="str">
        <f>IF(calculos_quadro!$B$304=0,"—",calculos_quadro!$L$47)</f>
        <v/>
      </c>
      <c r="U16" s="326"/>
      <c r="V16" s="326"/>
      <c r="W16" s="329" t="str">
        <f>IF(calculos_quadro!$B$304=0,"—",calculos_quadro!$L$49)</f>
        <v/>
      </c>
      <c r="X16" s="328"/>
      <c r="Y16" s="331" t="str">
        <f>IF(calculos_quadro!$B$304=0,"—",calculos_quadro!$L$50)</f>
        <v/>
      </c>
      <c r="Z16" s="332"/>
    </row>
    <row r="17" ht="16" customHeight="1">
      <c r="B17" s="481"/>
      <c r="C17" s="243"/>
      <c r="D17" s="334" t="inlineStr">
        <is>
          <t xml:space="preserve">Pedidos Expedidos</t>
        </is>
      </c>
      <c r="E17" s="333"/>
      <c r="F17" s="333"/>
      <c r="G17" s="333"/>
      <c r="H17" s="336" t="str">
        <f>IF(calculos_quadro!$B$305=0,"—",calculos_quadro!$M$48)</f>
        <v/>
      </c>
      <c r="I17" s="335"/>
      <c r="J17" s="338">
        <f>IF(calculos_quadro!$B$305=0,"—",calculos_quadro!$M$43)</f>
        <v>0</v>
      </c>
      <c r="K17" s="337"/>
      <c r="L17" s="337"/>
      <c r="M17" s="340" t="str">
        <f>IF(calculos_quadro!$B$305=0,"—",calculos_quadro!$M$44)</f>
        <v/>
      </c>
      <c r="N17" s="339"/>
      <c r="O17" s="342">
        <f>IF(calculos_quadro!$B$305=0,"—",calculos_quadro!$M$45)</f>
        <v>0</v>
      </c>
      <c r="P17" s="341"/>
      <c r="Q17" s="341"/>
      <c r="R17" s="342" t="str">
        <f>IF(calculos_quadro!$B$305=0,"—",calculos_quadro!$M$46)</f>
        <v/>
      </c>
      <c r="S17" s="341"/>
      <c r="T17" s="344" t="str">
        <f>IF(calculos_quadro!$B$305=0,"—",calculos_quadro!$M$47)</f>
        <v/>
      </c>
      <c r="U17" s="343"/>
      <c r="V17" s="343"/>
      <c r="W17" s="346" t="str">
        <f>IF(calculos_quadro!$B$305=0,"—",calculos_quadro!$M$49)</f>
        <v/>
      </c>
      <c r="X17" s="345"/>
      <c r="Y17" s="348" t="str">
        <f>IF(calculos_quadro!$B$305=0,"—",calculos_quadro!$M$50)</f>
        <v/>
      </c>
      <c r="Z17" s="349"/>
    </row>
    <row r="18" ht="16" customHeight="1">
      <c r="B18" s="481"/>
      <c r="C18" s="243"/>
      <c r="D18" s="334" t="inlineStr">
        <is>
          <t xml:space="preserve">Pedidos Faturados</t>
        </is>
      </c>
      <c r="E18" s="333"/>
      <c r="F18" s="333"/>
      <c r="G18" s="333"/>
      <c r="H18" s="336" t="str">
        <f>IF(calculos_quadro!$B$306=0,"—",calculos_quadro!$N$48)</f>
        <v/>
      </c>
      <c r="I18" s="335"/>
      <c r="J18" s="338">
        <f>IF(calculos_quadro!$B$306=0,"—",calculos_quadro!$N$43)</f>
        <v>0</v>
      </c>
      <c r="K18" s="337"/>
      <c r="L18" s="337"/>
      <c r="M18" s="340" t="str">
        <f>IF(calculos_quadro!$B$306=0,"—",calculos_quadro!$N$44)</f>
        <v/>
      </c>
      <c r="N18" s="339"/>
      <c r="O18" s="342">
        <f>IF(calculos_quadro!$B$306=0,"—",calculos_quadro!$N$45)</f>
        <v>0</v>
      </c>
      <c r="P18" s="341"/>
      <c r="Q18" s="341"/>
      <c r="R18" s="342" t="str">
        <f>IF(calculos_quadro!$B$306=0,"—",calculos_quadro!$N$46)</f>
        <v/>
      </c>
      <c r="S18" s="341"/>
      <c r="T18" s="344" t="str">
        <f>IF(calculos_quadro!$B$306=0,"—",calculos_quadro!$N$47)</f>
        <v/>
      </c>
      <c r="U18" s="343"/>
      <c r="V18" s="343"/>
      <c r="W18" s="346" t="str">
        <f>IF(calculos_quadro!$B$306=0,"—",calculos_quadro!$N$49)</f>
        <v/>
      </c>
      <c r="X18" s="345"/>
      <c r="Y18" s="348" t="str">
        <f>IF(calculos_quadro!$B$306=0,"—",calculos_quadro!$N$50)</f>
        <v/>
      </c>
      <c r="Z18" s="349"/>
    </row>
    <row r="19" ht="16" customHeight="1">
      <c r="B19" s="481"/>
      <c r="C19" s="243"/>
      <c r="D19" s="334" t="inlineStr">
        <is>
          <t xml:space="preserve">Itens Expedidos</t>
        </is>
      </c>
      <c r="E19" s="333"/>
      <c r="F19" s="333"/>
      <c r="G19" s="333"/>
      <c r="H19" s="336" t="str">
        <f>IF(calculos_quadro!$B$307=0,"—",calculos_quadro!$O$48)</f>
        <v/>
      </c>
      <c r="I19" s="335"/>
      <c r="J19" s="338">
        <f>IF(calculos_quadro!$B$307=0,"—",calculos_quadro!$O$43)</f>
        <v>0</v>
      </c>
      <c r="K19" s="337"/>
      <c r="L19" s="337"/>
      <c r="M19" s="340" t="str">
        <f>IF(calculos_quadro!$B$307=0,"—",calculos_quadro!$O$44)</f>
        <v/>
      </c>
      <c r="N19" s="339"/>
      <c r="O19" s="342">
        <f>IF(calculos_quadro!$B$307=0,"—",calculos_quadro!$O$45)</f>
        <v>0</v>
      </c>
      <c r="P19" s="341"/>
      <c r="Q19" s="341"/>
      <c r="R19" s="342" t="str">
        <f>IF(calculos_quadro!$B$307=0,"—",calculos_quadro!$O$46)</f>
        <v/>
      </c>
      <c r="S19" s="341"/>
      <c r="T19" s="344" t="str">
        <f>IF(calculos_quadro!$B$307=0,"—",calculos_quadro!$O$47)</f>
        <v/>
      </c>
      <c r="U19" s="343"/>
      <c r="V19" s="343"/>
      <c r="W19" s="346" t="str">
        <f>IF(calculos_quadro!$B$307=0,"—",calculos_quadro!$O$49)</f>
        <v/>
      </c>
      <c r="X19" s="345"/>
      <c r="Y19" s="348" t="str">
        <f>IF(calculos_quadro!$B$307=0,"—",calculos_quadro!$O$50)</f>
        <v/>
      </c>
      <c r="Z19" s="349"/>
    </row>
    <row r="20" ht="16" customHeight="1">
      <c r="B20" s="481"/>
      <c r="C20" s="243"/>
      <c r="D20" s="334" t="inlineStr">
        <is>
          <t xml:space="preserve">Peças Movimentadas</t>
        </is>
      </c>
      <c r="E20" s="333"/>
      <c r="F20" s="333"/>
      <c r="G20" s="333"/>
      <c r="H20" s="336" t="str">
        <f>IF(calculos_quadro!$B$308=0,"—",calculos_quadro!$P$48)</f>
        <v/>
      </c>
      <c r="I20" s="335"/>
      <c r="J20" s="338">
        <f>IF(calculos_quadro!$B$308=0,"—",calculos_quadro!$P$43)</f>
        <v>0</v>
      </c>
      <c r="K20" s="337"/>
      <c r="L20" s="337"/>
      <c r="M20" s="340" t="str">
        <f>IF(calculos_quadro!$B$308=0,"—",calculos_quadro!$P$44)</f>
        <v/>
      </c>
      <c r="N20" s="339"/>
      <c r="O20" s="342">
        <f>IF(calculos_quadro!$B$308=0,"—",calculos_quadro!$P$45)</f>
        <v>0</v>
      </c>
      <c r="P20" s="341"/>
      <c r="Q20" s="341"/>
      <c r="R20" s="342" t="str">
        <f>IF(calculos_quadro!$B$308=0,"—",calculos_quadro!$P$46)</f>
        <v/>
      </c>
      <c r="S20" s="341"/>
      <c r="T20" s="344" t="str">
        <f>IF(calculos_quadro!$B$308=0,"—",calculos_quadro!$P$47)</f>
        <v/>
      </c>
      <c r="U20" s="343"/>
      <c r="V20" s="343"/>
      <c r="W20" s="346" t="str">
        <f>IF(calculos_quadro!$B$308=0,"—",calculos_quadro!$P$49)</f>
        <v/>
      </c>
      <c r="X20" s="345"/>
      <c r="Y20" s="348" t="str">
        <f>IF(calculos_quadro!$B$308=0,"—",calculos_quadro!$P$50)</f>
        <v/>
      </c>
      <c r="Z20" s="349"/>
    </row>
    <row r="21" ht="16" customHeight="1">
      <c r="B21" s="481"/>
      <c r="C21" s="243"/>
      <c r="D21" s="334" t="inlineStr">
        <is>
          <t xml:space="preserve">Linhas NF</t>
        </is>
      </c>
      <c r="E21" s="333"/>
      <c r="F21" s="333"/>
      <c r="G21" s="333"/>
      <c r="H21" s="336" t="str">
        <f>IF(calculos_quadro!$B$309=0,"—",calculos_quadro!$Q$48)</f>
        <v/>
      </c>
      <c r="I21" s="335"/>
      <c r="J21" s="338">
        <f>IF(calculos_quadro!$B$309=0,"—",calculos_quadro!$Q$43)</f>
        <v>0</v>
      </c>
      <c r="K21" s="337"/>
      <c r="L21" s="337"/>
      <c r="M21" s="340" t="str">
        <f>IF(calculos_quadro!$B$309=0,"—",calculos_quadro!$Q$44)</f>
        <v/>
      </c>
      <c r="N21" s="339"/>
      <c r="O21" s="342">
        <f>IF(calculos_quadro!$B$309=0,"—",calculos_quadro!$Q$45)</f>
        <v>0</v>
      </c>
      <c r="P21" s="341"/>
      <c r="Q21" s="341"/>
      <c r="R21" s="342" t="str">
        <f>IF(calculos_quadro!$B$309=0,"—",calculos_quadro!$Q$46)</f>
        <v/>
      </c>
      <c r="S21" s="341"/>
      <c r="T21" s="344" t="str">
        <f>IF(calculos_quadro!$B$309=0,"—",calculos_quadro!$Q$47)</f>
        <v/>
      </c>
      <c r="U21" s="343"/>
      <c r="V21" s="343"/>
      <c r="W21" s="346" t="str">
        <f>IF(calculos_quadro!$B$309=0,"—",calculos_quadro!$Q$49)</f>
        <v/>
      </c>
      <c r="X21" s="345"/>
      <c r="Y21" s="348" t="str">
        <f>IF(calculos_quadro!$B$309=0,"—",calculos_quadro!$Q$50)</f>
        <v/>
      </c>
      <c r="Z21" s="349"/>
    </row>
    <row r="22" ht="16" customHeight="1">
      <c r="B22" s="481"/>
      <c r="C22" s="243"/>
      <c r="D22" s="334" t="inlineStr">
        <is>
          <t xml:space="preserve">Caixas Expedidas</t>
        </is>
      </c>
      <c r="E22" s="333"/>
      <c r="F22" s="333"/>
      <c r="G22" s="333"/>
      <c r="H22" s="336" t="str">
        <f>IF(calculos_quadro!$B$310=0,"—",calculos_quadro!$R$48)</f>
        <v/>
      </c>
      <c r="I22" s="335"/>
      <c r="J22" s="338">
        <f>IF(calculos_quadro!$B$310=0,"—",calculos_quadro!$R$43)</f>
        <v>0</v>
      </c>
      <c r="K22" s="337"/>
      <c r="L22" s="337"/>
      <c r="M22" s="340" t="str">
        <f>IF(calculos_quadro!$B$310=0,"—",calculos_quadro!$R$44)</f>
        <v/>
      </c>
      <c r="N22" s="339"/>
      <c r="O22" s="342">
        <f>IF(calculos_quadro!$B$310=0,"—",calculos_quadro!$R$45)</f>
        <v>0</v>
      </c>
      <c r="P22" s="341"/>
      <c r="Q22" s="341"/>
      <c r="R22" s="342" t="str">
        <f>IF(calculos_quadro!$B$310=0,"—",calculos_quadro!$R$46)</f>
        <v/>
      </c>
      <c r="S22" s="341"/>
      <c r="T22" s="344" t="str">
        <f>IF(calculos_quadro!$B$310=0,"—",calculos_quadro!$R$47)</f>
        <v/>
      </c>
      <c r="U22" s="343"/>
      <c r="V22" s="343"/>
      <c r="W22" s="346" t="str">
        <f>IF(calculos_quadro!$B$310=0,"—",calculos_quadro!$R$49)</f>
        <v/>
      </c>
      <c r="X22" s="345"/>
      <c r="Y22" s="348" t="str">
        <f>IF(calculos_quadro!$B$310=0,"—",calculos_quadro!$R$50)</f>
        <v/>
      </c>
      <c r="Z22" s="349"/>
    </row>
    <row r="23" ht="16" customHeight="1">
      <c r="B23" s="481"/>
      <c r="C23" s="243"/>
      <c r="D23" s="334" t="inlineStr">
        <is>
          <t xml:space="preserve">Pallets Movimentados</t>
        </is>
      </c>
      <c r="E23" s="333"/>
      <c r="F23" s="333"/>
      <c r="G23" s="333"/>
      <c r="H23" s="336" t="str">
        <f>IF(calculos_quadro!$B$311=0,"—",calculos_quadro!$S$48)</f>
        <v/>
      </c>
      <c r="I23" s="335"/>
      <c r="J23" s="338">
        <f>IF(calculos_quadro!$B$311=0,"—",calculos_quadro!$S$43)</f>
        <v>0</v>
      </c>
      <c r="K23" s="337"/>
      <c r="L23" s="337"/>
      <c r="M23" s="340" t="str">
        <f>IF(calculos_quadro!$B$311=0,"—",calculos_quadro!$S$44)</f>
        <v/>
      </c>
      <c r="N23" s="339"/>
      <c r="O23" s="342">
        <f>IF(calculos_quadro!$B$311=0,"—",calculos_quadro!$S$45)</f>
        <v>0</v>
      </c>
      <c r="P23" s="341"/>
      <c r="Q23" s="341"/>
      <c r="R23" s="342" t="str">
        <f>IF(calculos_quadro!$B$311=0,"—",calculos_quadro!$S$46)</f>
        <v/>
      </c>
      <c r="S23" s="341"/>
      <c r="T23" s="344" t="str">
        <f>IF(calculos_quadro!$B$311=0,"—",calculos_quadro!$S$47)</f>
        <v/>
      </c>
      <c r="U23" s="343"/>
      <c r="V23" s="343"/>
      <c r="W23" s="346" t="str">
        <f>IF(calculos_quadro!$B$311=0,"—",calculos_quadro!$S$49)</f>
        <v/>
      </c>
      <c r="X23" s="345"/>
      <c r="Y23" s="348" t="str">
        <f>IF(calculos_quadro!$B$311=0,"—",calculos_quadro!$S$50)</f>
        <v/>
      </c>
      <c r="Z23" s="349"/>
    </row>
    <row r="24" ht="16" customHeight="1">
      <c r="B24" s="482"/>
      <c r="C24" s="168"/>
      <c r="D24" s="351" t="inlineStr">
        <is>
          <t xml:space="preserve">Toneladas Movimentadas</t>
        </is>
      </c>
      <c r="E24" s="350"/>
      <c r="F24" s="350"/>
      <c r="G24" s="350"/>
      <c r="H24" s="353" t="str">
        <f>IF(calculos_quadro!$B$312=0,"—",calculos_quadro!$T$48)</f>
        <v/>
      </c>
      <c r="I24" s="352"/>
      <c r="J24" s="355">
        <f>IF(calculos_quadro!$B$312=0,"—",calculos_quadro!$T$43)</f>
        <v>0</v>
      </c>
      <c r="K24" s="354"/>
      <c r="L24" s="354"/>
      <c r="M24" s="357" t="str">
        <f>IF(calculos_quadro!$B$312=0,"—",calculos_quadro!$T$44)</f>
        <v/>
      </c>
      <c r="N24" s="356"/>
      <c r="O24" s="357">
        <f>IF(calculos_quadro!$B$312=0,"—",calculos_quadro!$T$45)</f>
        <v>0</v>
      </c>
      <c r="P24" s="356"/>
      <c r="Q24" s="356"/>
      <c r="R24" s="357" t="str">
        <f>IF(calculos_quadro!$B$312=0,"—",calculos_quadro!$T$46)</f>
        <v/>
      </c>
      <c r="S24" s="356"/>
      <c r="T24" s="359" t="str">
        <f>IF(calculos_quadro!$B$312=0,"—",calculos_quadro!$T$47)</f>
        <v/>
      </c>
      <c r="U24" s="358"/>
      <c r="V24" s="358"/>
      <c r="W24" s="361" t="str">
        <f>IF(calculos_quadro!$B$312=0,"—",calculos_quadro!$T$49)</f>
        <v/>
      </c>
      <c r="X24" s="360"/>
      <c r="Y24" s="363" t="str">
        <f>IF(calculos_quadro!$B$312=0,"—",calculos_quadro!$T$50)</f>
        <v/>
      </c>
      <c r="Z24" s="364"/>
    </row>
    <row r="25" ht="16" customHeight="1">
      <c r="B25" s="483" t="inlineStr">
        <is>
          <t xml:space="preserve">NC</t>
        </is>
      </c>
      <c r="C25" s="174"/>
      <c r="D25" s="366" t="inlineStr">
        <is>
          <t xml:space="preserve">Incidentes</t>
        </is>
      </c>
      <c r="E25" s="365"/>
      <c r="F25" s="365"/>
      <c r="G25" s="365"/>
      <c r="H25" s="368" t="str">
        <f>IF(calculos_quadro!$B$313=0,"—",calculos_quadro!$U$48)</f>
        <v/>
      </c>
      <c r="I25" s="367"/>
      <c r="J25" s="370">
        <f>IF(calculos_quadro!$B$313=0,"—",calculos_quadro!$U$43)</f>
        <v>0</v>
      </c>
      <c r="K25" s="369"/>
      <c r="L25" s="369"/>
      <c r="M25" s="372" t="str">
        <f>IF(calculos_quadro!$B$313=0,"—",calculos_quadro!$U$44)</f>
        <v/>
      </c>
      <c r="N25" s="371"/>
      <c r="O25" s="374">
        <f>IF(calculos_quadro!$B$313=0,"—",calculos_quadro!$U$45)</f>
        <v>0</v>
      </c>
      <c r="P25" s="373"/>
      <c r="Q25" s="373"/>
      <c r="R25" s="374" t="str">
        <f>IF(calculos_quadro!$B$313=0,"—",calculos_quadro!$U$46)</f>
        <v/>
      </c>
      <c r="S25" s="373"/>
      <c r="T25" s="376" t="str">
        <f>IF(calculos_quadro!$B$313=0,"—",calculos_quadro!$U$47)</f>
        <v/>
      </c>
      <c r="U25" s="375"/>
      <c r="V25" s="375"/>
      <c r="W25" s="378" t="str">
        <f>IF(calculos_quadro!$B$313=0,"—",calculos_quadro!$U$49)</f>
        <v/>
      </c>
      <c r="X25" s="377"/>
      <c r="Y25" s="380" t="str">
        <f>IF(calculos_quadro!$B$313=0,"—",calculos_quadro!$U$50)</f>
        <v/>
      </c>
      <c r="Z25" s="381"/>
    </row>
    <row r="26" ht="16" customHeight="1">
      <c r="B26" s="484"/>
      <c r="C26" s="181"/>
      <c r="D26" s="383" t="inlineStr">
        <is>
          <t xml:space="preserve">No show</t>
        </is>
      </c>
      <c r="E26" s="382"/>
      <c r="F26" s="382"/>
      <c r="G26" s="382"/>
      <c r="H26" s="385" t="str">
        <f>IF(calculos_quadro!$B$314=0,"—",calculos_quadro!$V$48)</f>
        <v/>
      </c>
      <c r="I26" s="384"/>
      <c r="J26" s="387">
        <f>IF(calculos_quadro!$B$314=0,"—",calculos_quadro!$V$43)</f>
        <v>0</v>
      </c>
      <c r="K26" s="386"/>
      <c r="L26" s="386"/>
      <c r="M26" s="389" t="str">
        <f>IF(calculos_quadro!$B$314=0,"—",calculos_quadro!$V$44)</f>
        <v/>
      </c>
      <c r="N26" s="388"/>
      <c r="O26" s="391">
        <f>IF(calculos_quadro!$B$314=0,"—",calculos_quadro!$V$45)</f>
        <v>0</v>
      </c>
      <c r="P26" s="390"/>
      <c r="Q26" s="390"/>
      <c r="R26" s="391" t="str">
        <f>IF(calculos_quadro!$B$314=0,"—",calculos_quadro!$V$46)</f>
        <v/>
      </c>
      <c r="S26" s="390"/>
      <c r="T26" s="393" t="str">
        <f>IF(calculos_quadro!$B$314=0,"—",calculos_quadro!$V$47)</f>
        <v/>
      </c>
      <c r="U26" s="392"/>
      <c r="V26" s="392"/>
      <c r="W26" s="395" t="str">
        <f>IF(calculos_quadro!$B$314=0,"—",calculos_quadro!$V$49)</f>
        <v/>
      </c>
      <c r="X26" s="394"/>
      <c r="Y26" s="397" t="str">
        <f>IF(calculos_quadro!$B$314=0,"—",calculos_quadro!$V$50)</f>
        <v/>
      </c>
      <c r="Z26" s="398"/>
    </row>
    <row r="27" ht="16" customHeight="1">
      <c r="B27" s="485"/>
      <c r="C27" s="188"/>
      <c r="D27" s="400" t="inlineStr">
        <is>
          <t xml:space="preserve">Backlog</t>
        </is>
      </c>
      <c r="E27" s="399"/>
      <c r="F27" s="399"/>
      <c r="G27" s="399"/>
      <c r="H27" s="402" t="str">
        <f>IF(calculos_quadro!$B$315=0,"—",calculos_quadro!$W$48)</f>
        <v/>
      </c>
      <c r="I27" s="401"/>
      <c r="J27" s="404" t="str">
        <f>IF(calculos_quadro!$B$315=0,"—",calculos_quadro!$W$43)</f>
        <v/>
      </c>
      <c r="K27" s="403"/>
      <c r="L27" s="403"/>
      <c r="M27" s="406" t="str">
        <f>IF(calculos_quadro!$B$315=0,"—",calculos_quadro!$W$44)</f>
        <v/>
      </c>
      <c r="N27" s="405"/>
      <c r="O27" s="408" t="str">
        <f>IF(calculos_quadro!$B$315=0,"—",calculos_quadro!$W$45)</f>
        <v/>
      </c>
      <c r="P27" s="407"/>
      <c r="Q27" s="407"/>
      <c r="R27" s="408" t="str">
        <f>IF(calculos_quadro!$B$315=0,"—",calculos_quadro!$W$46)</f>
        <v/>
      </c>
      <c r="S27" s="407"/>
      <c r="T27" s="410" t="str">
        <f>IF(calculos_quadro!$B$315=0,"—",calculos_quadro!$W$47)</f>
        <v/>
      </c>
      <c r="U27" s="409"/>
      <c r="V27" s="409"/>
      <c r="W27" s="412" t="str">
        <f>IF(calculos_quadro!$B$315=0,"—",calculos_quadro!$W$49)</f>
        <v/>
      </c>
      <c r="X27" s="411"/>
      <c r="Y27" s="414" t="str">
        <f>IF(calculos_quadro!$B$315=0,"—",calculos_quadro!$W$50)</f>
        <v/>
      </c>
      <c r="Z27" s="415"/>
    </row>
    <row r="28" ht="16" customHeight="1">
      <c r="B28" s="477" t="inlineStr">
        <is>
          <t xml:space="preserve">OCUPAÇÃO (P.P)</t>
        </is>
      </c>
      <c r="C28" s="148"/>
      <c r="D28" s="264" t="inlineStr">
        <is>
          <t xml:space="preserve">Posições Disponíveis</t>
        </is>
      </c>
      <c r="E28" s="263"/>
      <c r="F28" s="263"/>
      <c r="G28" s="263"/>
      <c r="H28" s="266" t="str">
        <f>IF(calculos_quadro!$B$316=0,"—",calculos_quadro!$X$48)</f>
        <v/>
      </c>
      <c r="I28" s="265"/>
      <c r="J28" s="417" t="str">
        <f>IF(calculos_quadro!$B$316=0,"—",calculos_quadro!$X$43)</f>
        <v/>
      </c>
      <c r="K28" s="416"/>
      <c r="L28" s="416"/>
      <c r="M28" s="270"/>
      <c r="N28" s="269"/>
      <c r="O28" s="419" t="str">
        <f>IF(calculos_quadro!$B$316=0,"—",calculos_quadro!$X$45)</f>
        <v/>
      </c>
      <c r="P28" s="418"/>
      <c r="Q28" s="418"/>
      <c r="R28" s="419" t="str">
        <f>IF(calculos_quadro!$B$316=0,"—",calculos_quadro!$X$46)</f>
        <v/>
      </c>
      <c r="S28" s="418"/>
      <c r="T28" s="274" t="str">
        <f>IF(calculos_quadro!$B$316=0,"—",calculos_quadro!$X$47)</f>
        <v/>
      </c>
      <c r="U28" s="273"/>
      <c r="V28" s="273"/>
      <c r="W28" s="276" t="str">
        <f>IF(calculos_quadro!$B$316=0,"—",calculos_quadro!$X$49)</f>
        <v/>
      </c>
      <c r="X28" s="275"/>
      <c r="Y28" s="278" t="str">
        <f>IF(calculos_quadro!$B$316=0,"—",calculos_quadro!$X$50)</f>
        <v/>
      </c>
      <c r="Z28" s="279"/>
    </row>
    <row r="29" ht="16" customHeight="1">
      <c r="B29" s="478"/>
      <c r="C29" s="194"/>
      <c r="D29" s="281" t="inlineStr">
        <is>
          <t xml:space="preserve">Posições Ocupadas</t>
        </is>
      </c>
      <c r="E29" s="280"/>
      <c r="F29" s="280"/>
      <c r="G29" s="280"/>
      <c r="H29" s="283" t="str">
        <f>IF(calculos_quadro!$B$317=0,"—",calculos_quadro!$Y$48)</f>
        <v/>
      </c>
      <c r="I29" s="282"/>
      <c r="J29" s="285" t="str">
        <f>IF(calculos_quadro!$B$317=0,"—",calculos_quadro!$Y$43)</f>
        <v/>
      </c>
      <c r="K29" s="284"/>
      <c r="L29" s="284"/>
      <c r="M29" s="287" t="str">
        <f>IF(calculos_quadro!$B$317=0,"—",calculos_quadro!$Y$44)</f>
        <v/>
      </c>
      <c r="N29" s="286"/>
      <c r="O29" s="289" t="str">
        <f>IF(calculos_quadro!$B$317=0,"—",calculos_quadro!$Y$45)</f>
        <v/>
      </c>
      <c r="P29" s="288"/>
      <c r="Q29" s="288"/>
      <c r="R29" s="289" t="str">
        <f>IF(calculos_quadro!$B$317=0,"—",calculos_quadro!$Y$46)</f>
        <v/>
      </c>
      <c r="S29" s="288"/>
      <c r="T29" s="291" t="str">
        <f>IF(calculos_quadro!$B$317=0,"—",calculos_quadro!$Y$47)</f>
        <v/>
      </c>
      <c r="U29" s="290"/>
      <c r="V29" s="290"/>
      <c r="W29" s="293" t="str">
        <f>IF(calculos_quadro!$B$317=0,"—",calculos_quadro!$Y$49)</f>
        <v/>
      </c>
      <c r="X29" s="292"/>
      <c r="Y29" s="295" t="str">
        <f>IF(calculos_quadro!$B$317=0,"—",calculos_quadro!$Y$50)</f>
        <v/>
      </c>
      <c r="Z29" s="296"/>
    </row>
    <row r="30" ht="16" customHeight="1">
      <c r="B30" s="479"/>
      <c r="C30" s="155"/>
      <c r="D30" s="300" t="inlineStr">
        <is>
          <t xml:space="preserve">Taxa de Ocupação</t>
        </is>
      </c>
      <c r="E30" s="299"/>
      <c r="F30" s="299"/>
      <c r="G30" s="299"/>
      <c r="H30" s="421" t="str">
        <f>IF(calculos_quadro!$B$318=0,"—",calculos_quadro!$Z$48)</f>
        <v/>
      </c>
      <c r="I30" s="420"/>
      <c r="J30" s="423" t="str">
        <f>IF(calculos_quadro!$B$318=0,"—",calculos_quadro!$Z$43)</f>
        <v/>
      </c>
      <c r="K30" s="422"/>
      <c r="L30" s="422"/>
      <c r="M30" s="425" t="str">
        <f>IF(calculos_quadro!$B$318=0,"—",calculos_quadro!$Z$44)</f>
        <v/>
      </c>
      <c r="N30" s="424"/>
      <c r="O30" s="425" t="str">
        <f>IF(calculos_quadro!$B$318=0,"—",calculos_quadro!$Z$45)</f>
        <v/>
      </c>
      <c r="P30" s="424"/>
      <c r="Q30" s="424"/>
      <c r="R30" s="425" t="str">
        <f>IF(calculos_quadro!$B$318=0,"—",calculos_quadro!$Z$46)</f>
        <v/>
      </c>
      <c r="S30" s="424"/>
      <c r="T30" s="310" t="str">
        <f>IF(calculos_quadro!$B$318=0,"—",calculos_quadro!$Z$47)</f>
        <v/>
      </c>
      <c r="U30" s="309"/>
      <c r="V30" s="309"/>
      <c r="W30" s="312" t="str">
        <f>IF(calculos_quadro!$B$318=0,"—",calculos_quadro!$Z$49)</f>
        <v/>
      </c>
      <c r="X30" s="311"/>
      <c r="Y30" s="314" t="str">
        <f>IF(calculos_quadro!$B$318=0,"—",calculos_quadro!$Z$50)</f>
        <v/>
      </c>
      <c r="Z30" s="315"/>
    </row>
    <row r="31" ht="16" customHeight="1">
      <c r="B31" s="486" t="inlineStr">
        <is>
          <t xml:space="preserve">GENTE</t>
        </is>
      </c>
      <c r="C31" s="205"/>
      <c r="D31" s="427" t="inlineStr">
        <is>
          <t xml:space="preserve">Efetivo Op.</t>
        </is>
      </c>
      <c r="E31" s="426"/>
      <c r="F31" s="426"/>
      <c r="G31" s="426"/>
      <c r="H31" s="429" t="str">
        <f>IF(calculos_quadro!$B$319=0,"—",calculos_quadro!$AA$48)</f>
        <v/>
      </c>
      <c r="I31" s="428"/>
      <c r="J31" s="431" t="str">
        <f>IF(calculos_quadro!$B$319=0,"—",calculos_quadro!$AA$43)</f>
        <v/>
      </c>
      <c r="K31" s="430"/>
      <c r="L31" s="430"/>
      <c r="M31" s="433" t="str">
        <f>IF(calculos_quadro!$B$319=0,"—",calculos_quadro!$AA$44)</f>
        <v/>
      </c>
      <c r="N31" s="432"/>
      <c r="O31" s="435" t="str">
        <f>IF(calculos_quadro!$B$319=0,"—",calculos_quadro!$AA$45)</f>
        <v/>
      </c>
      <c r="P31" s="434"/>
      <c r="Q31" s="434"/>
      <c r="R31" s="435" t="str">
        <f>IF(calculos_quadro!$B$319=0,"—",calculos_quadro!$AA$46)</f>
        <v/>
      </c>
      <c r="S31" s="434"/>
      <c r="T31" s="437" t="str">
        <f>IF(calculos_quadro!$B$319=0,"—",calculos_quadro!$AA$47)</f>
        <v/>
      </c>
      <c r="U31" s="436"/>
      <c r="V31" s="436"/>
      <c r="W31" s="439" t="str">
        <f>IF(calculos_quadro!$B$319=0,"—",calculos_quadro!$AA$49)</f>
        <v/>
      </c>
      <c r="X31" s="438"/>
      <c r="Y31" s="441" t="str">
        <f>IF(calculos_quadro!$B$319=0,"—",calculos_quadro!$AA$50)</f>
        <v/>
      </c>
      <c r="Z31" s="442"/>
    </row>
    <row r="32" ht="16" customHeight="1">
      <c r="B32" s="487"/>
      <c r="C32" s="212"/>
      <c r="D32" s="444" t="inlineStr">
        <is>
          <t xml:space="preserve">Falta</t>
        </is>
      </c>
      <c r="E32" s="443"/>
      <c r="F32" s="443"/>
      <c r="G32" s="443"/>
      <c r="H32" s="446" t="str">
        <f>IF(calculos_quadro!$B$320=0,"—",calculos_quadro!$AB$48)</f>
        <v/>
      </c>
      <c r="I32" s="445"/>
      <c r="J32" s="448">
        <f>IF(calculos_quadro!$B$320=0,"—",calculos_quadro!$AB$43)</f>
        <v>0</v>
      </c>
      <c r="K32" s="447"/>
      <c r="L32" s="447"/>
      <c r="M32" s="450" t="str">
        <f>IF(calculos_quadro!$B$320=0,"—",calculos_quadro!$AB$44)</f>
        <v/>
      </c>
      <c r="N32" s="449"/>
      <c r="O32" s="452">
        <f>IF(calculos_quadro!$B$320=0,"—",calculos_quadro!$AB$45)</f>
        <v>0</v>
      </c>
      <c r="P32" s="451"/>
      <c r="Q32" s="451"/>
      <c r="R32" s="452" t="str">
        <f>IF(calculos_quadro!$B$320=0,"—",calculos_quadro!$AB$46)</f>
        <v/>
      </c>
      <c r="S32" s="451"/>
      <c r="T32" s="454" t="str">
        <f>IF(calculos_quadro!$B$320=0,"—",calculos_quadro!$AB$47)</f>
        <v/>
      </c>
      <c r="U32" s="453"/>
      <c r="V32" s="453"/>
      <c r="W32" s="456" t="str">
        <f>IF(calculos_quadro!$B$320=0,"—",calculos_quadro!$AB$49)</f>
        <v/>
      </c>
      <c r="X32" s="455"/>
      <c r="Y32" s="458" t="str">
        <f>IF(calculos_quadro!$B$320=0,"—",calculos_quadro!$AB$50)</f>
        <v/>
      </c>
      <c r="Z32" s="459"/>
    </row>
    <row r="33" ht="16" customHeight="1">
      <c r="B33" s="487"/>
      <c r="C33" s="212"/>
      <c r="D33" s="444" t="inlineStr">
        <is>
          <t xml:space="preserve">Folga</t>
        </is>
      </c>
      <c r="E33" s="443"/>
      <c r="F33" s="443"/>
      <c r="G33" s="443"/>
      <c r="H33" s="446" t="str">
        <f>IF(calculos_quadro!$B$321=0,"—",calculos_quadro!$AC$48)</f>
        <v/>
      </c>
      <c r="I33" s="445"/>
      <c r="J33" s="448">
        <f>IF(calculos_quadro!$B$321=0,"—",calculos_quadro!$AC$43)</f>
        <v>0</v>
      </c>
      <c r="K33" s="447"/>
      <c r="L33" s="447"/>
      <c r="M33" s="450" t="str">
        <f>IF(calculos_quadro!$B$321=0,"—",calculos_quadro!$AC$44)</f>
        <v/>
      </c>
      <c r="N33" s="449"/>
      <c r="O33" s="452">
        <f>IF(calculos_quadro!$B$321=0,"—",calculos_quadro!$AC$45)</f>
        <v>0</v>
      </c>
      <c r="P33" s="451"/>
      <c r="Q33" s="451"/>
      <c r="R33" s="452" t="str">
        <f>IF(calculos_quadro!$B$321=0,"—",calculos_quadro!$AC$46)</f>
        <v/>
      </c>
      <c r="S33" s="451"/>
      <c r="T33" s="454" t="str">
        <f>IF(calculos_quadro!$B$321=0,"—",calculos_quadro!$AC$47)</f>
        <v/>
      </c>
      <c r="U33" s="453"/>
      <c r="V33" s="453"/>
      <c r="W33" s="456" t="str">
        <f>IF(calculos_quadro!$B$321=0,"—",calculos_quadro!$AC$49)</f>
        <v/>
      </c>
      <c r="X33" s="455"/>
      <c r="Y33" s="458" t="str">
        <f>IF(calculos_quadro!$B$321=0,"—",calculos_quadro!$AC$50)</f>
        <v/>
      </c>
      <c r="Z33" s="459"/>
    </row>
    <row r="34" ht="16" customHeight="1">
      <c r="B34" s="487"/>
      <c r="C34" s="212"/>
      <c r="D34" s="444" t="inlineStr">
        <is>
          <t xml:space="preserve">Férias</t>
        </is>
      </c>
      <c r="E34" s="443"/>
      <c r="F34" s="443"/>
      <c r="G34" s="443"/>
      <c r="H34" s="446" t="str">
        <f>IF(calculos_quadro!$B$322=0,"—",calculos_quadro!$AD$48)</f>
        <v/>
      </c>
      <c r="I34" s="445"/>
      <c r="J34" s="448">
        <f>IF(calculos_quadro!$B$322=0,"—",calculos_quadro!$AD$43)</f>
        <v>0</v>
      </c>
      <c r="K34" s="447"/>
      <c r="L34" s="447"/>
      <c r="M34" s="450" t="str">
        <f>IF(calculos_quadro!$B$322=0,"—",calculos_quadro!$AD$44)</f>
        <v/>
      </c>
      <c r="N34" s="449"/>
      <c r="O34" s="452">
        <f>IF(calculos_quadro!$B$322=0,"—",calculos_quadro!$AD$45)</f>
        <v>0</v>
      </c>
      <c r="P34" s="451"/>
      <c r="Q34" s="451"/>
      <c r="R34" s="452" t="str">
        <f>IF(calculos_quadro!$B$322=0,"—",calculos_quadro!$AD$46)</f>
        <v/>
      </c>
      <c r="S34" s="451"/>
      <c r="T34" s="454" t="str">
        <f>IF(calculos_quadro!$B$322=0,"—",calculos_quadro!$AD$47)</f>
        <v/>
      </c>
      <c r="U34" s="453"/>
      <c r="V34" s="453"/>
      <c r="W34" s="456" t="str">
        <f>IF(calculos_quadro!$B$322=0,"—",calculos_quadro!$AD$49)</f>
        <v/>
      </c>
      <c r="X34" s="455"/>
      <c r="Y34" s="458" t="str">
        <f>IF(calculos_quadro!$B$322=0,"—",calculos_quadro!$AD$50)</f>
        <v/>
      </c>
      <c r="Z34" s="459"/>
    </row>
    <row r="35" ht="16" customHeight="1">
      <c r="B35" s="487"/>
      <c r="C35" s="212"/>
      <c r="D35" s="444" t="inlineStr">
        <is>
          <t xml:space="preserve">Desligamento</t>
        </is>
      </c>
      <c r="E35" s="443"/>
      <c r="F35" s="443"/>
      <c r="G35" s="443"/>
      <c r="H35" s="446" t="str">
        <f>IF(calculos_quadro!$B$323=0,"—",calculos_quadro!$AE$48)</f>
        <v/>
      </c>
      <c r="I35" s="445"/>
      <c r="J35" s="448">
        <f>IF(calculos_quadro!$B$323=0,"—",calculos_quadro!$AE$43)</f>
        <v>0</v>
      </c>
      <c r="K35" s="447"/>
      <c r="L35" s="447"/>
      <c r="M35" s="450" t="str">
        <f>IF(calculos_quadro!$B$323=0,"—",calculos_quadro!$AE$44)</f>
        <v/>
      </c>
      <c r="N35" s="449"/>
      <c r="O35" s="452">
        <f>IF(calculos_quadro!$B$323=0,"—",calculos_quadro!$AE$45)</f>
        <v>0</v>
      </c>
      <c r="P35" s="451"/>
      <c r="Q35" s="451"/>
      <c r="R35" s="452" t="str">
        <f>IF(calculos_quadro!$B$323=0,"—",calculos_quadro!$AE$46)</f>
        <v/>
      </c>
      <c r="S35" s="451"/>
      <c r="T35" s="454" t="str">
        <f>IF(calculos_quadro!$B$323=0,"—",calculos_quadro!$AE$47)</f>
        <v/>
      </c>
      <c r="U35" s="453"/>
      <c r="V35" s="453"/>
      <c r="W35" s="456" t="str">
        <f>IF(calculos_quadro!$B$323=0,"—",calculos_quadro!$AE$49)</f>
        <v/>
      </c>
      <c r="X35" s="455"/>
      <c r="Y35" s="458" t="str">
        <f>IF(calculos_quadro!$B$323=0,"—",calculos_quadro!$AE$50)</f>
        <v/>
      </c>
      <c r="Z35" s="459"/>
    </row>
    <row r="36" ht="16" customHeight="1">
      <c r="B36" s="487"/>
      <c r="C36" s="212"/>
      <c r="D36" s="444" t="inlineStr">
        <is>
          <t xml:space="preserve">Desvios Comportamentais</t>
        </is>
      </c>
      <c r="E36" s="443"/>
      <c r="F36" s="443"/>
      <c r="G36" s="443"/>
      <c r="H36" s="446" t="str">
        <f>IF(calculos_quadro!$B$324=0,"—",calculos_quadro!$AF$48)</f>
        <v/>
      </c>
      <c r="I36" s="445"/>
      <c r="J36" s="448">
        <f>IF(calculos_quadro!$B$324=0,"—",calculos_quadro!$AF$43)</f>
        <v>0</v>
      </c>
      <c r="K36" s="447"/>
      <c r="L36" s="447"/>
      <c r="M36" s="450" t="str">
        <f>IF(calculos_quadro!$B$324=0,"—",calculos_quadro!$AF$44)</f>
        <v/>
      </c>
      <c r="N36" s="449"/>
      <c r="O36" s="452">
        <f>IF(calculos_quadro!$B$324=0,"—",calculos_quadro!$AF$45)</f>
        <v>0</v>
      </c>
      <c r="P36" s="451"/>
      <c r="Q36" s="451"/>
      <c r="R36" s="452" t="str">
        <f>IF(calculos_quadro!$B$324=0,"—",calculos_quadro!$AF$46)</f>
        <v/>
      </c>
      <c r="S36" s="451"/>
      <c r="T36" s="454" t="str">
        <f>IF(calculos_quadro!$B$324=0,"—",calculos_quadro!$AF$47)</f>
        <v/>
      </c>
      <c r="U36" s="453"/>
      <c r="V36" s="453"/>
      <c r="W36" s="456" t="str">
        <f>IF(calculos_quadro!$B$324=0,"—",calculos_quadro!$AF$49)</f>
        <v/>
      </c>
      <c r="X36" s="455"/>
      <c r="Y36" s="458" t="str">
        <f>IF(calculos_quadro!$B$324=0,"—",calculos_quadro!$AF$50)</f>
        <v/>
      </c>
      <c r="Z36" s="459"/>
    </row>
    <row r="37" ht="16" customHeight="1">
      <c r="B37" s="487"/>
      <c r="C37" s="212"/>
      <c r="D37" s="444" t="inlineStr">
        <is>
          <t xml:space="preserve">Acidentes CAF</t>
        </is>
      </c>
      <c r="E37" s="443"/>
      <c r="F37" s="443"/>
      <c r="G37" s="443"/>
      <c r="H37" s="446" t="str">
        <f>IF(calculos_quadro!$B$325=0,"—",calculos_quadro!$AG$48)</f>
        <v/>
      </c>
      <c r="I37" s="445"/>
      <c r="J37" s="448">
        <f>IF(calculos_quadro!$B$325=0,"—",calculos_quadro!$AG$43)</f>
        <v>0</v>
      </c>
      <c r="K37" s="447"/>
      <c r="L37" s="447"/>
      <c r="M37" s="450" t="str">
        <f>IF(calculos_quadro!$B$325=0,"—",calculos_quadro!$AG$44)</f>
        <v/>
      </c>
      <c r="N37" s="449"/>
      <c r="O37" s="452">
        <f>IF(calculos_quadro!$B$325=0,"—",calculos_quadro!$AG$45)</f>
        <v>0</v>
      </c>
      <c r="P37" s="451"/>
      <c r="Q37" s="451"/>
      <c r="R37" s="452" t="str">
        <f>IF(calculos_quadro!$B$325=0,"—",calculos_quadro!$AG$46)</f>
        <v/>
      </c>
      <c r="S37" s="451"/>
      <c r="T37" s="454" t="str">
        <f>IF(calculos_quadro!$B$325=0,"—",calculos_quadro!$AG$47)</f>
        <v/>
      </c>
      <c r="U37" s="453"/>
      <c r="V37" s="453"/>
      <c r="W37" s="456" t="str">
        <f>IF(calculos_quadro!$B$325=0,"—",calculos_quadro!$AG$49)</f>
        <v/>
      </c>
      <c r="X37" s="455"/>
      <c r="Y37" s="458" t="str">
        <f>IF(calculos_quadro!$B$325=0,"—",calculos_quadro!$AG$50)</f>
        <v/>
      </c>
      <c r="Z37" s="459"/>
    </row>
    <row r="38" ht="16" customHeight="1">
      <c r="B38" s="488"/>
      <c r="C38" s="219"/>
      <c r="D38" s="461" t="inlineStr">
        <is>
          <t xml:space="preserve">Acidentes SAF</t>
        </is>
      </c>
      <c r="E38" s="460"/>
      <c r="F38" s="460"/>
      <c r="G38" s="460"/>
      <c r="H38" s="463" t="str">
        <f>IF(calculos_quadro!$B$326=0,"—",calculos_quadro!$AH$48)</f>
        <v/>
      </c>
      <c r="I38" s="462"/>
      <c r="J38" s="465">
        <f>IF(calculos_quadro!$B$326=0,"—",calculos_quadro!$AH$43)</f>
        <v>0</v>
      </c>
      <c r="K38" s="464"/>
      <c r="L38" s="464"/>
      <c r="M38" s="467" t="str">
        <f>IF(calculos_quadro!$B$326=0,"—",calculos_quadro!$AH$44)</f>
        <v/>
      </c>
      <c r="N38" s="466"/>
      <c r="O38" s="469">
        <f>IF(calculos_quadro!$B$326=0,"—",calculos_quadro!$AH$45)</f>
        <v>0</v>
      </c>
      <c r="P38" s="468"/>
      <c r="Q38" s="468"/>
      <c r="R38" s="469" t="str">
        <f>IF(calculos_quadro!$B$326=0,"—",calculos_quadro!$AH$46)</f>
        <v/>
      </c>
      <c r="S38" s="468"/>
      <c r="T38" s="471" t="str">
        <f>IF(calculos_quadro!$B$326=0,"—",calculos_quadro!$AH$47)</f>
        <v/>
      </c>
      <c r="U38" s="470"/>
      <c r="V38" s="470"/>
      <c r="W38" s="473" t="str">
        <f>IF(calculos_quadro!$B$326=0,"—",calculos_quadro!$AH$49)</f>
        <v/>
      </c>
      <c r="X38" s="472"/>
      <c r="Y38" s="475" t="str">
        <f>IF(calculos_quadro!$B$326=0,"—",calculos_quadro!$AH$50)</f>
        <v/>
      </c>
      <c r="Z38" s="476"/>
    </row>
    <row r="39">
      <c r="B39" s="31" t="inlineStr">
        <is>
          <t xml:space="preserve">Realizado: soma do mês nos fluxos (IN, OUT, incidentes, no show, falta, folga, férias, desligamento); último valor informado por cliente em backlog, posições, taxa e efetivo (dia sem lançamento mantém o valor anterior). Média/dia: dias com movimento. Metas e faixas: aba calculos (células amarelas). Vazio = sem registro.</t>
        </is>
      </c>
    </row>
    <row r="41" ht="20" customHeight="1">
      <c r="B41" s="256" t="inlineStr">
        <is>
          <t xml:space="preserve">RESUMO POR CLIENTE · mês inteiro · segue o filtro desta aba</t>
        </is>
      </c>
      <c r="C41" s="256"/>
      <c r="D41" s="256"/>
      <c r="E41" s="256"/>
      <c r="F41" s="256"/>
      <c r="G41" s="256"/>
      <c r="H41" s="256"/>
      <c r="I41" s="256"/>
      <c r="J41" s="256"/>
      <c r="K41" s="256"/>
      <c r="L41" s="256"/>
      <c r="M41" s="256"/>
      <c r="N41" s="256"/>
      <c r="O41" s="256"/>
      <c r="P41" s="256"/>
      <c r="Q41" s="256"/>
      <c r="R41" s="256"/>
      <c r="S41" s="256"/>
      <c r="T41" s="256"/>
      <c r="U41" s="256"/>
      <c r="V41" s="256"/>
      <c r="W41" s="256"/>
      <c r="X41" s="256"/>
      <c r="Y41" s="256"/>
      <c r="Z41" s="256"/>
    </row>
    <row r="42" ht="30" customHeight="1">
      <c r="B42" s="489" t="inlineStr">
        <is>
          <t xml:space="preserve">GRUPO</t>
        </is>
      </c>
      <c r="C42" s="490"/>
      <c r="D42" s="489" t="inlineStr">
        <is>
          <t xml:space="preserve">INDICADOR</t>
        </is>
      </c>
      <c r="E42" s="491"/>
      <c r="F42" s="491"/>
      <c r="G42" s="490"/>
      <c r="H42" s="492" t="str">
        <f>calculos_quadro!$G$282&amp;""</f>
        <v>Alpargatas</v>
      </c>
      <c r="I42" s="492" t="str">
        <f>calculos_quadro!$G$283&amp;""</f>
        <v>Basf</v>
      </c>
      <c r="J42" s="493" t="str">
        <f>calculos_quadro!$G$284&amp;""</f>
        <v>Beautybiz</v>
      </c>
      <c r="K42" s="494"/>
      <c r="L42" s="492" t="str">
        <f>calculos_quadro!$G$285&amp;""</f>
        <v>Boticário</v>
      </c>
      <c r="M42" s="492" t="str">
        <f>calculos_quadro!$G$286&amp;""</f>
        <v>Confiance</v>
      </c>
      <c r="N42" s="492" t="str">
        <f>calculos_quadro!$G$287&amp;""</f>
        <v>GE Vernova</v>
      </c>
      <c r="O42" s="493" t="str">
        <f>calculos_quadro!$G$288&amp;""</f>
        <v>Omnilife</v>
      </c>
      <c r="P42" s="494"/>
      <c r="Q42" s="492" t="str">
        <f>calculos_quadro!$G$289&amp;""</f>
        <v>Supply</v>
      </c>
      <c r="R42" s="492" t="str">
        <f>calculos_quadro!$G$290&amp;""</f>
        <v>Vedacit</v>
      </c>
      <c r="S42" s="492" t="str">
        <f>calculos_quadro!$G$291&amp;""</f>
        <v>Vestas</v>
      </c>
      <c r="T42" s="495" t="str">
        <f>IF(calculos_quadro!$B$2="Todos","TOTAL CD","TOTAL "&amp;UPPER(calculos_quadro!$B$2))</f>
        <v>TOTAL CD</v>
      </c>
      <c r="U42" s="496"/>
    </row>
    <row r="43" ht="15.75" customHeight="1">
      <c r="B43" s="477" t="inlineStr">
        <is>
          <t xml:space="preserve">IN</t>
        </is>
      </c>
      <c r="C43" s="148"/>
      <c r="D43" s="264" t="inlineStr">
        <is>
          <t xml:space="preserve">Veículos Recebidos</t>
        </is>
      </c>
      <c r="E43" s="263"/>
      <c r="F43" s="263"/>
      <c r="G43" s="263"/>
      <c r="H43" s="272">
        <f>IF(calculos_quadro!$G$282="","",IFERROR(INDEX(calculos_quadro!$B$102:$K$102,MATCH(calculos_quadro!$G$282,calculos_quadro!$B$101:$K$101,0)),""))</f>
        <v>0</v>
      </c>
      <c r="I43" s="272">
        <f>IF(calculos_quadro!$G$283="","",IFERROR(INDEX(calculos_quadro!$B$102:$K$102,MATCH(calculos_quadro!$G$283,calculos_quadro!$B$101:$K$101,0)),""))</f>
        <v>0</v>
      </c>
      <c r="J43" s="272">
        <f>IF(calculos_quadro!$G$284="","",IFERROR(INDEX(calculos_quadro!$B$102:$K$102,MATCH(calculos_quadro!$G$284,calculos_quadro!$B$101:$K$101,0)),""))</f>
        <v>0</v>
      </c>
      <c r="K43" s="271"/>
      <c r="L43" s="272">
        <f>IF(calculos_quadro!$G$285="","",IFERROR(INDEX(calculos_quadro!$B$102:$K$102,MATCH(calculos_quadro!$G$285,calculos_quadro!$B$101:$K$101,0)),""))</f>
        <v>0</v>
      </c>
      <c r="M43" s="272">
        <f>IF(calculos_quadro!$G$286="","",IFERROR(INDEX(calculos_quadro!$B$102:$K$102,MATCH(calculos_quadro!$G$286,calculos_quadro!$B$101:$K$101,0)),""))</f>
        <v>0</v>
      </c>
      <c r="N43" s="272">
        <f>IF(calculos_quadro!$G$287="","",IFERROR(INDEX(calculos_quadro!$B$102:$K$102,MATCH(calculos_quadro!$G$287,calculos_quadro!$B$101:$K$101,0)),""))</f>
        <v>0</v>
      </c>
      <c r="O43" s="272">
        <f>IF(calculos_quadro!$G$288="","",IFERROR(INDEX(calculos_quadro!$B$102:$K$102,MATCH(calculos_quadro!$G$288,calculos_quadro!$B$101:$K$101,0)),""))</f>
        <v>0</v>
      </c>
      <c r="P43" s="271"/>
      <c r="Q43" s="272">
        <f>IF(calculos_quadro!$G$289="","",IFERROR(INDEX(calculos_quadro!$B$102:$K$102,MATCH(calculos_quadro!$G$289,calculos_quadro!$B$101:$K$101,0)),""))</f>
        <v>0</v>
      </c>
      <c r="R43" s="272">
        <f>IF(calculos_quadro!$G$290="","",IFERROR(INDEX(calculos_quadro!$B$102:$K$102,MATCH(calculos_quadro!$G$290,calculos_quadro!$B$101:$K$101,0)),""))</f>
        <v>0</v>
      </c>
      <c r="S43" s="272">
        <f>IF(calculos_quadro!$G$291="","",IFERROR(INDEX(calculos_quadro!$B$102:$K$102,MATCH(calculos_quadro!$G$291,calculos_quadro!$B$101:$K$101,0)),""))</f>
        <v>0</v>
      </c>
      <c r="T43" s="266">
        <f>IF(calculos_quadro!$B$2="Todos",calculos_quadro!L102,SUM(H43:S43))</f>
        <v>0</v>
      </c>
      <c r="U43" s="497"/>
    </row>
    <row r="44" ht="15.75" customHeight="1">
      <c r="B44" s="478"/>
      <c r="C44" s="194"/>
      <c r="D44" s="281" t="inlineStr">
        <is>
          <t xml:space="preserve">Pallets Movimentados</t>
        </is>
      </c>
      <c r="E44" s="280"/>
      <c r="F44" s="280"/>
      <c r="G44" s="280"/>
      <c r="H44" s="289" t="str">
        <f>IF(calculos_quadro!$G$282="","",IFERROR(INDEX(calculos_quadro!$B$103:$K$103,MATCH(calculos_quadro!$G$282,calculos_quadro!$B$101:$K$101,0)),""))</f>
        <v>—</v>
      </c>
      <c r="I44" s="289">
        <f>IF(calculos_quadro!$G$283="","",IFERROR(INDEX(calculos_quadro!$B$103:$K$103,MATCH(calculos_quadro!$G$283,calculos_quadro!$B$101:$K$101,0)),""))</f>
        <v>0</v>
      </c>
      <c r="J44" s="289">
        <f>IF(calculos_quadro!$G$284="","",IFERROR(INDEX(calculos_quadro!$B$103:$K$103,MATCH(calculos_quadro!$G$284,calculos_quadro!$B$101:$K$101,0)),""))</f>
        <v>0</v>
      </c>
      <c r="K44" s="288"/>
      <c r="L44" s="289" t="str">
        <f>IF(calculos_quadro!$G$285="","",IFERROR(INDEX(calculos_quadro!$B$103:$K$103,MATCH(calculos_quadro!$G$285,calculos_quadro!$B$101:$K$101,0)),""))</f>
        <v>—</v>
      </c>
      <c r="M44" s="289">
        <f>IF(calculos_quadro!$G$286="","",IFERROR(INDEX(calculos_quadro!$B$103:$K$103,MATCH(calculos_quadro!$G$286,calculos_quadro!$B$101:$K$101,0)),""))</f>
        <v>0</v>
      </c>
      <c r="N44" s="289">
        <f>IF(calculos_quadro!$G$287="","",IFERROR(INDEX(calculos_quadro!$B$103:$K$103,MATCH(calculos_quadro!$G$287,calculos_quadro!$B$101:$K$101,0)),""))</f>
        <v>0</v>
      </c>
      <c r="O44" s="289">
        <f>IF(calculos_quadro!$G$288="","",IFERROR(INDEX(calculos_quadro!$B$103:$K$103,MATCH(calculos_quadro!$G$288,calculos_quadro!$B$101:$K$101,0)),""))</f>
        <v>0</v>
      </c>
      <c r="P44" s="288"/>
      <c r="Q44" s="289">
        <f>IF(calculos_quadro!$G$289="","",IFERROR(INDEX(calculos_quadro!$B$103:$K$103,MATCH(calculos_quadro!$G$289,calculos_quadro!$B$101:$K$101,0)),""))</f>
        <v>0</v>
      </c>
      <c r="R44" s="289">
        <f>IF(calculos_quadro!$G$290="","",IFERROR(INDEX(calculos_quadro!$B$103:$K$103,MATCH(calculos_quadro!$G$290,calculos_quadro!$B$101:$K$101,0)),""))</f>
        <v>0</v>
      </c>
      <c r="S44" s="289" t="str">
        <f>IF(calculos_quadro!$G$291="","",IFERROR(INDEX(calculos_quadro!$B$103:$K$103,MATCH(calculos_quadro!$G$291,calculos_quadro!$B$101:$K$101,0)),""))</f>
        <v>—</v>
      </c>
      <c r="T44" s="283">
        <f>IF(calculos_quadro!$B$2="Todos",calculos_quadro!L103,SUM(H44:S44))</f>
        <v>0</v>
      </c>
      <c r="U44" s="498"/>
    </row>
    <row r="45" ht="15.75" customHeight="1">
      <c r="B45" s="478"/>
      <c r="C45" s="194"/>
      <c r="D45" s="281" t="inlineStr">
        <is>
          <t xml:space="preserve">Toneladas Movimentadas</t>
        </is>
      </c>
      <c r="E45" s="280"/>
      <c r="F45" s="280"/>
      <c r="G45" s="280"/>
      <c r="H45" s="287" t="str">
        <f>IF(calculos_quadro!$G$282="","",IFERROR(INDEX(calculos_quadro!$B$104:$K$104,MATCH(calculos_quadro!$G$282,calculos_quadro!$B$101:$K$101,0)),""))</f>
        <v>—</v>
      </c>
      <c r="I45" s="287">
        <f>IF(calculos_quadro!$G$283="","",IFERROR(INDEX(calculos_quadro!$B$104:$K$104,MATCH(calculos_quadro!$G$283,calculos_quadro!$B$101:$K$101,0)),""))</f>
        <v>0</v>
      </c>
      <c r="J45" s="287" t="str">
        <f>IF(calculos_quadro!$G$284="","",IFERROR(INDEX(calculos_quadro!$B$104:$K$104,MATCH(calculos_quadro!$G$284,calculos_quadro!$B$101:$K$101,0)),""))</f>
        <v>—</v>
      </c>
      <c r="K45" s="286"/>
      <c r="L45" s="287" t="str">
        <f>IF(calculos_quadro!$G$285="","",IFERROR(INDEX(calculos_quadro!$B$104:$K$104,MATCH(calculos_quadro!$G$285,calculos_quadro!$B$101:$K$101,0)),""))</f>
        <v>—</v>
      </c>
      <c r="M45" s="287">
        <f>IF(calculos_quadro!$G$286="","",IFERROR(INDEX(calculos_quadro!$B$104:$K$104,MATCH(calculos_quadro!$G$286,calculos_quadro!$B$101:$K$101,0)),""))</f>
        <v>0</v>
      </c>
      <c r="N45" s="287" t="str">
        <f>IF(calculos_quadro!$G$287="","",IFERROR(INDEX(calculos_quadro!$B$104:$K$104,MATCH(calculos_quadro!$G$287,calculos_quadro!$B$101:$K$101,0)),""))</f>
        <v>—</v>
      </c>
      <c r="O45" s="287" t="str">
        <f>IF(calculos_quadro!$G$288="","",IFERROR(INDEX(calculos_quadro!$B$104:$K$104,MATCH(calculos_quadro!$G$288,calculos_quadro!$B$101:$K$101,0)),""))</f>
        <v>—</v>
      </c>
      <c r="P45" s="286"/>
      <c r="Q45" s="287">
        <f>IF(calculos_quadro!$G$289="","",IFERROR(INDEX(calculos_quadro!$B$104:$K$104,MATCH(calculos_quadro!$G$289,calculos_quadro!$B$101:$K$101,0)),""))</f>
        <v>0</v>
      </c>
      <c r="R45" s="287" t="str">
        <f>IF(calculos_quadro!$G$290="","",IFERROR(INDEX(calculos_quadro!$B$104:$K$104,MATCH(calculos_quadro!$G$290,calculos_quadro!$B$101:$K$101,0)),""))</f>
        <v>—</v>
      </c>
      <c r="S45" s="287" t="str">
        <f>IF(calculos_quadro!$G$291="","",IFERROR(INDEX(calculos_quadro!$B$104:$K$104,MATCH(calculos_quadro!$G$291,calculos_quadro!$B$101:$K$101,0)),""))</f>
        <v>—</v>
      </c>
      <c r="T45" s="500">
        <f>IF(calculos_quadro!$B$2="Todos",calculos_quadro!L104,SUM(H45:S45))</f>
        <v>0</v>
      </c>
      <c r="U45" s="501"/>
    </row>
    <row r="46" ht="15.75" customHeight="1">
      <c r="B46" s="478"/>
      <c r="C46" s="194"/>
      <c r="D46" s="281" t="inlineStr">
        <is>
          <t xml:space="preserve">Linhas NF</t>
        </is>
      </c>
      <c r="E46" s="280"/>
      <c r="F46" s="280"/>
      <c r="G46" s="280"/>
      <c r="H46" s="289" t="str">
        <f>IF(calculos_quadro!$G$282="","",IFERROR(INDEX(calculos_quadro!$B$105:$K$105,MATCH(calculos_quadro!$G$282,calculos_quadro!$B$101:$K$101,0)),""))</f>
        <v>—</v>
      </c>
      <c r="I46" s="289" t="str">
        <f>IF(calculos_quadro!$G$283="","",IFERROR(INDEX(calculos_quadro!$B$105:$K$105,MATCH(calculos_quadro!$G$283,calculos_quadro!$B$101:$K$101,0)),""))</f>
        <v>—</v>
      </c>
      <c r="J46" s="289" t="str">
        <f>IF(calculos_quadro!$G$284="","",IFERROR(INDEX(calculos_quadro!$B$105:$K$105,MATCH(calculos_quadro!$G$284,calculos_quadro!$B$101:$K$101,0)),""))</f>
        <v>—</v>
      </c>
      <c r="K46" s="288"/>
      <c r="L46" s="289" t="str">
        <f>IF(calculos_quadro!$G$285="","",IFERROR(INDEX(calculos_quadro!$B$105:$K$105,MATCH(calculos_quadro!$G$285,calculos_quadro!$B$101:$K$101,0)),""))</f>
        <v>—</v>
      </c>
      <c r="M46" s="289" t="str">
        <f>IF(calculos_quadro!$G$286="","",IFERROR(INDEX(calculos_quadro!$B$105:$K$105,MATCH(calculos_quadro!$G$286,calculos_quadro!$B$101:$K$101,0)),""))</f>
        <v>—</v>
      </c>
      <c r="N46" s="289">
        <f>IF(calculos_quadro!$G$287="","",IFERROR(INDEX(calculos_quadro!$B$105:$K$105,MATCH(calculos_quadro!$G$287,calculos_quadro!$B$101:$K$101,0)),""))</f>
        <v>0</v>
      </c>
      <c r="O46" s="289" t="str">
        <f>IF(calculos_quadro!$G$288="","",IFERROR(INDEX(calculos_quadro!$B$105:$K$105,MATCH(calculos_quadro!$G$288,calculos_quadro!$B$101:$K$101,0)),""))</f>
        <v>—</v>
      </c>
      <c r="P46" s="288"/>
      <c r="Q46" s="289" t="str">
        <f>IF(calculos_quadro!$G$289="","",IFERROR(INDEX(calculos_quadro!$B$105:$K$105,MATCH(calculos_quadro!$G$289,calculos_quadro!$B$101:$K$101,0)),""))</f>
        <v>—</v>
      </c>
      <c r="R46" s="289" t="str">
        <f>IF(calculos_quadro!$G$290="","",IFERROR(INDEX(calculos_quadro!$B$105:$K$105,MATCH(calculos_quadro!$G$290,calculos_quadro!$B$101:$K$101,0)),""))</f>
        <v>—</v>
      </c>
      <c r="S46" s="289">
        <f>IF(calculos_quadro!$G$291="","",IFERROR(INDEX(calculos_quadro!$B$105:$K$105,MATCH(calculos_quadro!$G$291,calculos_quadro!$B$101:$K$101,0)),""))</f>
        <v>0</v>
      </c>
      <c r="T46" s="283">
        <f>IF(calculos_quadro!$B$2="Todos",calculos_quadro!L105,SUM(H46:S46))</f>
        <v>0</v>
      </c>
      <c r="U46" s="498"/>
    </row>
    <row r="47" ht="15.75" customHeight="1">
      <c r="B47" s="478"/>
      <c r="C47" s="194"/>
      <c r="D47" s="281" t="inlineStr">
        <is>
          <t xml:space="preserve">Caixas Movimentadas</t>
        </is>
      </c>
      <c r="E47" s="280"/>
      <c r="F47" s="280"/>
      <c r="G47" s="280"/>
      <c r="H47" s="289">
        <f>IF(calculos_quadro!$G$282="","",IFERROR(INDEX(calculos_quadro!$B$106:$K$106,MATCH(calculos_quadro!$G$282,calculos_quadro!$B$101:$K$101,0)),""))</f>
        <v>0</v>
      </c>
      <c r="I47" s="289" t="str">
        <f>IF(calculos_quadro!$G$283="","",IFERROR(INDEX(calculos_quadro!$B$106:$K$106,MATCH(calculos_quadro!$G$283,calculos_quadro!$B$101:$K$101,0)),""))</f>
        <v>—</v>
      </c>
      <c r="J47" s="289">
        <f>IF(calculos_quadro!$G$284="","",IFERROR(INDEX(calculos_quadro!$B$106:$K$106,MATCH(calculos_quadro!$G$284,calculos_quadro!$B$101:$K$101,0)),""))</f>
        <v>0</v>
      </c>
      <c r="K47" s="288"/>
      <c r="L47" s="289" t="str">
        <f>IF(calculos_quadro!$G$285="","",IFERROR(INDEX(calculos_quadro!$B$106:$K$106,MATCH(calculos_quadro!$G$285,calculos_quadro!$B$101:$K$101,0)),""))</f>
        <v>—</v>
      </c>
      <c r="M47" s="289" t="str">
        <f>IF(calculos_quadro!$G$286="","",IFERROR(INDEX(calculos_quadro!$B$106:$K$106,MATCH(calculos_quadro!$G$286,calculos_quadro!$B$101:$K$101,0)),""))</f>
        <v>—</v>
      </c>
      <c r="N47" s="289" t="str">
        <f>IF(calculos_quadro!$G$287="","",IFERROR(INDEX(calculos_quadro!$B$106:$K$106,MATCH(calculos_quadro!$G$287,calculos_quadro!$B$101:$K$101,0)),""))</f>
        <v>—</v>
      </c>
      <c r="O47" s="289" t="str">
        <f>IF(calculos_quadro!$G$288="","",IFERROR(INDEX(calculos_quadro!$B$106:$K$106,MATCH(calculos_quadro!$G$288,calculos_quadro!$B$101:$K$101,0)),""))</f>
        <v>—</v>
      </c>
      <c r="P47" s="288"/>
      <c r="Q47" s="289" t="str">
        <f>IF(calculos_quadro!$G$289="","",IFERROR(INDEX(calculos_quadro!$B$106:$K$106,MATCH(calculos_quadro!$G$289,calculos_quadro!$B$101:$K$101,0)),""))</f>
        <v>—</v>
      </c>
      <c r="R47" s="289" t="str">
        <f>IF(calculos_quadro!$G$290="","",IFERROR(INDEX(calculos_quadro!$B$106:$K$106,MATCH(calculos_quadro!$G$290,calculos_quadro!$B$101:$K$101,0)),""))</f>
        <v>—</v>
      </c>
      <c r="S47" s="289" t="str">
        <f>IF(calculos_quadro!$G$291="","",IFERROR(INDEX(calculos_quadro!$B$106:$K$106,MATCH(calculos_quadro!$G$291,calculos_quadro!$B$101:$K$101,0)),""))</f>
        <v>—</v>
      </c>
      <c r="T47" s="283">
        <f>IF(calculos_quadro!$B$2="Todos",calculos_quadro!L106,SUM(H47:S47))</f>
        <v>0</v>
      </c>
      <c r="U47" s="498"/>
    </row>
    <row r="48" ht="15.75" customHeight="1">
      <c r="B48" s="478"/>
      <c r="C48" s="194"/>
      <c r="D48" s="281" t="inlineStr">
        <is>
          <t xml:space="preserve">Peças Movimentadas</t>
        </is>
      </c>
      <c r="E48" s="280"/>
      <c r="F48" s="280"/>
      <c r="G48" s="280"/>
      <c r="H48" s="289" t="str">
        <f>IF(calculos_quadro!$G$282="","",IFERROR(INDEX(calculos_quadro!$B$107:$K$107,MATCH(calculos_quadro!$G$282,calculos_quadro!$B$101:$K$101,0)),""))</f>
        <v>—</v>
      </c>
      <c r="I48" s="289" t="str">
        <f>IF(calculos_quadro!$G$283="","",IFERROR(INDEX(calculos_quadro!$B$107:$K$107,MATCH(calculos_quadro!$G$283,calculos_quadro!$B$101:$K$101,0)),""))</f>
        <v>—</v>
      </c>
      <c r="J48" s="289" t="str">
        <f>IF(calculos_quadro!$G$284="","",IFERROR(INDEX(calculos_quadro!$B$107:$K$107,MATCH(calculos_quadro!$G$284,calculos_quadro!$B$101:$K$101,0)),""))</f>
        <v>—</v>
      </c>
      <c r="K48" s="288"/>
      <c r="L48" s="289" t="str">
        <f>IF(calculos_quadro!$G$285="","",IFERROR(INDEX(calculos_quadro!$B$107:$K$107,MATCH(calculos_quadro!$G$285,calculos_quadro!$B$101:$K$101,0)),""))</f>
        <v>—</v>
      </c>
      <c r="M48" s="289" t="str">
        <f>IF(calculos_quadro!$G$286="","",IFERROR(INDEX(calculos_quadro!$B$107:$K$107,MATCH(calculos_quadro!$G$286,calculos_quadro!$B$101:$K$101,0)),""))</f>
        <v>—</v>
      </c>
      <c r="N48" s="289">
        <f>IF(calculos_quadro!$G$287="","",IFERROR(INDEX(calculos_quadro!$B$107:$K$107,MATCH(calculos_quadro!$G$287,calculos_quadro!$B$101:$K$101,0)),""))</f>
        <v>0</v>
      </c>
      <c r="O48" s="289" t="str">
        <f>IF(calculos_quadro!$G$288="","",IFERROR(INDEX(calculos_quadro!$B$107:$K$107,MATCH(calculos_quadro!$G$288,calculos_quadro!$B$101:$K$101,0)),""))</f>
        <v>—</v>
      </c>
      <c r="P48" s="288"/>
      <c r="Q48" s="289" t="str">
        <f>IF(calculos_quadro!$G$289="","",IFERROR(INDEX(calculos_quadro!$B$107:$K$107,MATCH(calculos_quadro!$G$289,calculos_quadro!$B$101:$K$101,0)),""))</f>
        <v>—</v>
      </c>
      <c r="R48" s="289" t="str">
        <f>IF(calculos_quadro!$G$290="","",IFERROR(INDEX(calculos_quadro!$B$107:$K$107,MATCH(calculos_quadro!$G$290,calculos_quadro!$B$101:$K$101,0)),""))</f>
        <v>—</v>
      </c>
      <c r="S48" s="289" t="str">
        <f>IF(calculos_quadro!$G$291="","",IFERROR(INDEX(calculos_quadro!$B$107:$K$107,MATCH(calculos_quadro!$G$291,calculos_quadro!$B$101:$K$101,0)),""))</f>
        <v>—</v>
      </c>
      <c r="T48" s="283">
        <f>IF(calculos_quadro!$B$2="Todos",calculos_quadro!L107,SUM(H48:S48))</f>
        <v>0</v>
      </c>
      <c r="U48" s="498"/>
    </row>
    <row r="49" ht="15.75" customHeight="1">
      <c r="B49" s="478"/>
      <c r="C49" s="194"/>
      <c r="D49" s="281" t="inlineStr">
        <is>
          <t xml:space="preserve">Itens Recebidos CX Mista</t>
        </is>
      </c>
      <c r="E49" s="280"/>
      <c r="F49" s="280"/>
      <c r="G49" s="280"/>
      <c r="H49" s="289" t="str">
        <f>IF(calculos_quadro!$G$282="","",IFERROR(INDEX(calculos_quadro!$B$108:$K$108,MATCH(calculos_quadro!$G$282,calculos_quadro!$B$101:$K$101,0)),""))</f>
        <v>—</v>
      </c>
      <c r="I49" s="289" t="str">
        <f>IF(calculos_quadro!$G$283="","",IFERROR(INDEX(calculos_quadro!$B$108:$K$108,MATCH(calculos_quadro!$G$283,calculos_quadro!$B$101:$K$101,0)),""))</f>
        <v>—</v>
      </c>
      <c r="J49" s="289" t="str">
        <f>IF(calculos_quadro!$G$284="","",IFERROR(INDEX(calculos_quadro!$B$108:$K$108,MATCH(calculos_quadro!$G$284,calculos_quadro!$B$101:$K$101,0)),""))</f>
        <v>—</v>
      </c>
      <c r="K49" s="288"/>
      <c r="L49" s="289">
        <f>IF(calculos_quadro!$G$285="","",IFERROR(INDEX(calculos_quadro!$B$108:$K$108,MATCH(calculos_quadro!$G$285,calculos_quadro!$B$101:$K$101,0)),""))</f>
        <v>0</v>
      </c>
      <c r="M49" s="289" t="str">
        <f>IF(calculos_quadro!$G$286="","",IFERROR(INDEX(calculos_quadro!$B$108:$K$108,MATCH(calculos_quadro!$G$286,calculos_quadro!$B$101:$K$101,0)),""))</f>
        <v>—</v>
      </c>
      <c r="N49" s="289" t="str">
        <f>IF(calculos_quadro!$G$287="","",IFERROR(INDEX(calculos_quadro!$B$108:$K$108,MATCH(calculos_quadro!$G$287,calculos_quadro!$B$101:$K$101,0)),""))</f>
        <v>—</v>
      </c>
      <c r="O49" s="289" t="str">
        <f>IF(calculos_quadro!$G$288="","",IFERROR(INDEX(calculos_quadro!$B$108:$K$108,MATCH(calculos_quadro!$G$288,calculos_quadro!$B$101:$K$101,0)),""))</f>
        <v>—</v>
      </c>
      <c r="P49" s="288"/>
      <c r="Q49" s="289" t="str">
        <f>IF(calculos_quadro!$G$289="","",IFERROR(INDEX(calculos_quadro!$B$108:$K$108,MATCH(calculos_quadro!$G$289,calculos_quadro!$B$101:$K$101,0)),""))</f>
        <v>—</v>
      </c>
      <c r="R49" s="289" t="str">
        <f>IF(calculos_quadro!$G$290="","",IFERROR(INDEX(calculos_quadro!$B$108:$K$108,MATCH(calculos_quadro!$G$290,calculos_quadro!$B$101:$K$101,0)),""))</f>
        <v>—</v>
      </c>
      <c r="S49" s="289" t="str">
        <f>IF(calculos_quadro!$G$291="","",IFERROR(INDEX(calculos_quadro!$B$108:$K$108,MATCH(calculos_quadro!$G$291,calculos_quadro!$B$101:$K$101,0)),""))</f>
        <v>—</v>
      </c>
      <c r="T49" s="283">
        <f>IF(calculos_quadro!$B$2="Todos",calculos_quadro!L108,SUM(H49:S49))</f>
        <v>0</v>
      </c>
      <c r="U49" s="498"/>
    </row>
    <row r="50" ht="15.75" customHeight="1">
      <c r="B50" s="478"/>
      <c r="C50" s="194"/>
      <c r="D50" s="281" t="inlineStr">
        <is>
          <t xml:space="preserve">Caixas Fechadas</t>
        </is>
      </c>
      <c r="E50" s="280"/>
      <c r="F50" s="280"/>
      <c r="G50" s="280"/>
      <c r="H50" s="289" t="str">
        <f>IF(calculos_quadro!$G$282="","",IFERROR(INDEX(calculos_quadro!$B$109:$K$109,MATCH(calculos_quadro!$G$282,calculos_quadro!$B$101:$K$101,0)),""))</f>
        <v>—</v>
      </c>
      <c r="I50" s="289" t="str">
        <f>IF(calculos_quadro!$G$283="","",IFERROR(INDEX(calculos_quadro!$B$109:$K$109,MATCH(calculos_quadro!$G$283,calculos_quadro!$B$101:$K$101,0)),""))</f>
        <v>—</v>
      </c>
      <c r="J50" s="289" t="str">
        <f>IF(calculos_quadro!$G$284="","",IFERROR(INDEX(calculos_quadro!$B$109:$K$109,MATCH(calculos_quadro!$G$284,calculos_quadro!$B$101:$K$101,0)),""))</f>
        <v>—</v>
      </c>
      <c r="K50" s="288"/>
      <c r="L50" s="289">
        <f>IF(calculos_quadro!$G$285="","",IFERROR(INDEX(calculos_quadro!$B$109:$K$109,MATCH(calculos_quadro!$G$285,calculos_quadro!$B$101:$K$101,0)),""))</f>
        <v>0</v>
      </c>
      <c r="M50" s="289" t="str">
        <f>IF(calculos_quadro!$G$286="","",IFERROR(INDEX(calculos_quadro!$B$109:$K$109,MATCH(calculos_quadro!$G$286,calculos_quadro!$B$101:$K$101,0)),""))</f>
        <v>—</v>
      </c>
      <c r="N50" s="289" t="str">
        <f>IF(calculos_quadro!$G$287="","",IFERROR(INDEX(calculos_quadro!$B$109:$K$109,MATCH(calculos_quadro!$G$287,calculos_quadro!$B$101:$K$101,0)),""))</f>
        <v>—</v>
      </c>
      <c r="O50" s="289" t="str">
        <f>IF(calculos_quadro!$G$288="","",IFERROR(INDEX(calculos_quadro!$B$109:$K$109,MATCH(calculos_quadro!$G$288,calculos_quadro!$B$101:$K$101,0)),""))</f>
        <v>—</v>
      </c>
      <c r="P50" s="288"/>
      <c r="Q50" s="289" t="str">
        <f>IF(calculos_quadro!$G$289="","",IFERROR(INDEX(calculos_quadro!$B$109:$K$109,MATCH(calculos_quadro!$G$289,calculos_quadro!$B$101:$K$101,0)),""))</f>
        <v>—</v>
      </c>
      <c r="R50" s="289" t="str">
        <f>IF(calculos_quadro!$G$290="","",IFERROR(INDEX(calculos_quadro!$B$109:$K$109,MATCH(calculos_quadro!$G$290,calculos_quadro!$B$101:$K$101,0)),""))</f>
        <v>—</v>
      </c>
      <c r="S50" s="289" t="str">
        <f>IF(calculos_quadro!$G$291="","",IFERROR(INDEX(calculos_quadro!$B$109:$K$109,MATCH(calculos_quadro!$G$291,calculos_quadro!$B$101:$K$101,0)),""))</f>
        <v>—</v>
      </c>
      <c r="T50" s="283">
        <f>IF(calculos_quadro!$B$2="Todos",calculos_quadro!L109,SUM(H50:S50))</f>
        <v>0</v>
      </c>
      <c r="U50" s="498"/>
    </row>
    <row r="51" ht="15.75" customHeight="1">
      <c r="B51" s="479"/>
      <c r="C51" s="155"/>
      <c r="D51" s="300" t="inlineStr">
        <is>
          <t xml:space="preserve">Caixas Mistas Recebidas</t>
        </is>
      </c>
      <c r="E51" s="299"/>
      <c r="F51" s="299"/>
      <c r="G51" s="299"/>
      <c r="H51" s="308" t="str">
        <f>IF(calculos_quadro!$G$282="","",IFERROR(INDEX(calculos_quadro!$B$110:$K$110,MATCH(calculos_quadro!$G$282,calculos_quadro!$B$101:$K$101,0)),""))</f>
        <v>—</v>
      </c>
      <c r="I51" s="308" t="str">
        <f>IF(calculos_quadro!$G$283="","",IFERROR(INDEX(calculos_quadro!$B$110:$K$110,MATCH(calculos_quadro!$G$283,calculos_quadro!$B$101:$K$101,0)),""))</f>
        <v>—</v>
      </c>
      <c r="J51" s="308" t="str">
        <f>IF(calculos_quadro!$G$284="","",IFERROR(INDEX(calculos_quadro!$B$110:$K$110,MATCH(calculos_quadro!$G$284,calculos_quadro!$B$101:$K$101,0)),""))</f>
        <v>—</v>
      </c>
      <c r="K51" s="307"/>
      <c r="L51" s="308">
        <f>IF(calculos_quadro!$G$285="","",IFERROR(INDEX(calculos_quadro!$B$110:$K$110,MATCH(calculos_quadro!$G$285,calculos_quadro!$B$101:$K$101,0)),""))</f>
        <v>0</v>
      </c>
      <c r="M51" s="308" t="str">
        <f>IF(calculos_quadro!$G$286="","",IFERROR(INDEX(calculos_quadro!$B$110:$K$110,MATCH(calculos_quadro!$G$286,calculos_quadro!$B$101:$K$101,0)),""))</f>
        <v>—</v>
      </c>
      <c r="N51" s="308" t="str">
        <f>IF(calculos_quadro!$G$287="","",IFERROR(INDEX(calculos_quadro!$B$110:$K$110,MATCH(calculos_quadro!$G$287,calculos_quadro!$B$101:$K$101,0)),""))</f>
        <v>—</v>
      </c>
      <c r="O51" s="308" t="str">
        <f>IF(calculos_quadro!$G$288="","",IFERROR(INDEX(calculos_quadro!$B$110:$K$110,MATCH(calculos_quadro!$G$288,calculos_quadro!$B$101:$K$101,0)),""))</f>
        <v>—</v>
      </c>
      <c r="P51" s="307"/>
      <c r="Q51" s="308" t="str">
        <f>IF(calculos_quadro!$G$289="","",IFERROR(INDEX(calculos_quadro!$B$110:$K$110,MATCH(calculos_quadro!$G$289,calculos_quadro!$B$101:$K$101,0)),""))</f>
        <v>—</v>
      </c>
      <c r="R51" s="308" t="str">
        <f>IF(calculos_quadro!$G$290="","",IFERROR(INDEX(calculos_quadro!$B$110:$K$110,MATCH(calculos_quadro!$G$290,calculos_quadro!$B$101:$K$101,0)),""))</f>
        <v>—</v>
      </c>
      <c r="S51" s="308" t="str">
        <f>IF(calculos_quadro!$G$291="","",IFERROR(INDEX(calculos_quadro!$B$110:$K$110,MATCH(calculos_quadro!$G$291,calculos_quadro!$B$101:$K$101,0)),""))</f>
        <v>—</v>
      </c>
      <c r="T51" s="302">
        <f>IF(calculos_quadro!$B$2="Todos",calculos_quadro!L110,SUM(H51:S51))</f>
        <v>0</v>
      </c>
      <c r="U51" s="502"/>
    </row>
    <row r="52" ht="15.75" customHeight="1">
      <c r="B52" s="480" t="inlineStr">
        <is>
          <t xml:space="preserve">OUT</t>
        </is>
      </c>
      <c r="C52" s="161"/>
      <c r="D52" s="317" t="inlineStr">
        <is>
          <t xml:space="preserve">Veículos Expedidos</t>
        </is>
      </c>
      <c r="E52" s="316"/>
      <c r="F52" s="316"/>
      <c r="G52" s="316"/>
      <c r="H52" s="325">
        <f>IF(calculos_quadro!$G$282="","",IFERROR(INDEX(calculos_quadro!$B$111:$K$111,MATCH(calculos_quadro!$G$282,calculos_quadro!$B$101:$K$101,0)),""))</f>
        <v>0</v>
      </c>
      <c r="I52" s="325">
        <f>IF(calculos_quadro!$G$283="","",IFERROR(INDEX(calculos_quadro!$B$111:$K$111,MATCH(calculos_quadro!$G$283,calculos_quadro!$B$101:$K$101,0)),""))</f>
        <v>0</v>
      </c>
      <c r="J52" s="325">
        <f>IF(calculos_quadro!$G$284="","",IFERROR(INDEX(calculos_quadro!$B$111:$K$111,MATCH(calculos_quadro!$G$284,calculos_quadro!$B$101:$K$101,0)),""))</f>
        <v>0</v>
      </c>
      <c r="K52" s="324"/>
      <c r="L52" s="325">
        <f>IF(calculos_quadro!$G$285="","",IFERROR(INDEX(calculos_quadro!$B$111:$K$111,MATCH(calculos_quadro!$G$285,calculos_quadro!$B$101:$K$101,0)),""))</f>
        <v>0</v>
      </c>
      <c r="M52" s="325">
        <f>IF(calculos_quadro!$G$286="","",IFERROR(INDEX(calculos_quadro!$B$111:$K$111,MATCH(calculos_quadro!$G$286,calculos_quadro!$B$101:$K$101,0)),""))</f>
        <v>0</v>
      </c>
      <c r="N52" s="325">
        <f>IF(calculos_quadro!$G$287="","",IFERROR(INDEX(calculos_quadro!$B$111:$K$111,MATCH(calculos_quadro!$G$287,calculos_quadro!$B$101:$K$101,0)),""))</f>
        <v>0</v>
      </c>
      <c r="O52" s="325">
        <f>IF(calculos_quadro!$G$288="","",IFERROR(INDEX(calculos_quadro!$B$111:$K$111,MATCH(calculos_quadro!$G$288,calculos_quadro!$B$101:$K$101,0)),""))</f>
        <v>0</v>
      </c>
      <c r="P52" s="324"/>
      <c r="Q52" s="325">
        <f>IF(calculos_quadro!$G$289="","",IFERROR(INDEX(calculos_quadro!$B$111:$K$111,MATCH(calculos_quadro!$G$289,calculos_quadro!$B$101:$K$101,0)),""))</f>
        <v>0</v>
      </c>
      <c r="R52" s="325">
        <f>IF(calculos_quadro!$G$290="","",IFERROR(INDEX(calculos_quadro!$B$111:$K$111,MATCH(calculos_quadro!$G$290,calculos_quadro!$B$101:$K$101,0)),""))</f>
        <v>0</v>
      </c>
      <c r="S52" s="325">
        <f>IF(calculos_quadro!$G$291="","",IFERROR(INDEX(calculos_quadro!$B$111:$K$111,MATCH(calculos_quadro!$G$291,calculos_quadro!$B$101:$K$101,0)),""))</f>
        <v>0</v>
      </c>
      <c r="T52" s="319">
        <f>IF(calculos_quadro!$B$2="Todos",calculos_quadro!L111,SUM(H52:S52))</f>
        <v>0</v>
      </c>
      <c r="U52" s="503"/>
    </row>
    <row r="53" ht="15.75" customHeight="1">
      <c r="B53" s="481"/>
      <c r="C53" s="243"/>
      <c r="D53" s="334" t="inlineStr">
        <is>
          <t xml:space="preserve">Pedidos Expedidos</t>
        </is>
      </c>
      <c r="E53" s="333"/>
      <c r="F53" s="333"/>
      <c r="G53" s="333"/>
      <c r="H53" s="342" t="str">
        <f>IF(calculos_quadro!$G$282="","",IFERROR(INDEX(calculos_quadro!$B$112:$K$112,MATCH(calculos_quadro!$G$282,calculos_quadro!$B$101:$K$101,0)),""))</f>
        <v>—</v>
      </c>
      <c r="I53" s="342" t="str">
        <f>IF(calculos_quadro!$G$283="","",IFERROR(INDEX(calculos_quadro!$B$112:$K$112,MATCH(calculos_quadro!$G$283,calculos_quadro!$B$101:$K$101,0)),""))</f>
        <v>—</v>
      </c>
      <c r="J53" s="342">
        <f>IF(calculos_quadro!$G$284="","",IFERROR(INDEX(calculos_quadro!$B$112:$K$112,MATCH(calculos_quadro!$G$284,calculos_quadro!$B$101:$K$101,0)),""))</f>
        <v>0</v>
      </c>
      <c r="K53" s="341"/>
      <c r="L53" s="342" t="str">
        <f>IF(calculos_quadro!$G$285="","",IFERROR(INDEX(calculos_quadro!$B$112:$K$112,MATCH(calculos_quadro!$G$285,calculos_quadro!$B$101:$K$101,0)),""))</f>
        <v>—</v>
      </c>
      <c r="M53" s="342" t="str">
        <f>IF(calculos_quadro!$G$286="","",IFERROR(INDEX(calculos_quadro!$B$112:$K$112,MATCH(calculos_quadro!$G$286,calculos_quadro!$B$101:$K$101,0)),""))</f>
        <v>—</v>
      </c>
      <c r="N53" s="342" t="str">
        <f>IF(calculos_quadro!$G$287="","",IFERROR(INDEX(calculos_quadro!$B$112:$K$112,MATCH(calculos_quadro!$G$287,calculos_quadro!$B$101:$K$101,0)),""))</f>
        <v>—</v>
      </c>
      <c r="O53" s="342" t="str">
        <f>IF(calculos_quadro!$G$288="","",IFERROR(INDEX(calculos_quadro!$B$112:$K$112,MATCH(calculos_quadro!$G$288,calculos_quadro!$B$101:$K$101,0)),""))</f>
        <v>—</v>
      </c>
      <c r="P53" s="341"/>
      <c r="Q53" s="342" t="str">
        <f>IF(calculos_quadro!$G$289="","",IFERROR(INDEX(calculos_quadro!$B$112:$K$112,MATCH(calculos_quadro!$G$289,calculos_quadro!$B$101:$K$101,0)),""))</f>
        <v>—</v>
      </c>
      <c r="R53" s="342" t="str">
        <f>IF(calculos_quadro!$G$290="","",IFERROR(INDEX(calculos_quadro!$B$112:$K$112,MATCH(calculos_quadro!$G$290,calculos_quadro!$B$101:$K$101,0)),""))</f>
        <v>—</v>
      </c>
      <c r="S53" s="342" t="str">
        <f>IF(calculos_quadro!$G$291="","",IFERROR(INDEX(calculos_quadro!$B$112:$K$112,MATCH(calculos_quadro!$G$291,calculos_quadro!$B$101:$K$101,0)),""))</f>
        <v>—</v>
      </c>
      <c r="T53" s="336">
        <f>IF(calculos_quadro!$B$2="Todos",calculos_quadro!L112,SUM(H53:S53))</f>
        <v>0</v>
      </c>
      <c r="U53" s="504"/>
    </row>
    <row r="54" ht="15.75" customHeight="1">
      <c r="B54" s="481"/>
      <c r="C54" s="243"/>
      <c r="D54" s="334" t="inlineStr">
        <is>
          <t xml:space="preserve">Pedidos Faturados</t>
        </is>
      </c>
      <c r="E54" s="333"/>
      <c r="F54" s="333"/>
      <c r="G54" s="333"/>
      <c r="H54" s="342" t="str">
        <f>IF(calculos_quadro!$G$282="","",IFERROR(INDEX(calculos_quadro!$B$113:$K$113,MATCH(calculos_quadro!$G$282,calculos_quadro!$B$101:$K$101,0)),""))</f>
        <v>—</v>
      </c>
      <c r="I54" s="342" t="str">
        <f>IF(calculos_quadro!$G$283="","",IFERROR(INDEX(calculos_quadro!$B$113:$K$113,MATCH(calculos_quadro!$G$283,calculos_quadro!$B$101:$K$101,0)),""))</f>
        <v>—</v>
      </c>
      <c r="J54" s="342" t="str">
        <f>IF(calculos_quadro!$G$284="","",IFERROR(INDEX(calculos_quadro!$B$113:$K$113,MATCH(calculos_quadro!$G$284,calculos_quadro!$B$101:$K$101,0)),""))</f>
        <v>—</v>
      </c>
      <c r="K54" s="341"/>
      <c r="L54" s="342">
        <f>IF(calculos_quadro!$G$285="","",IFERROR(INDEX(calculos_quadro!$B$113:$K$113,MATCH(calculos_quadro!$G$285,calculos_quadro!$B$101:$K$101,0)),""))</f>
        <v>0</v>
      </c>
      <c r="M54" s="342" t="str">
        <f>IF(calculos_quadro!$G$286="","",IFERROR(INDEX(calculos_quadro!$B$113:$K$113,MATCH(calculos_quadro!$G$286,calculos_quadro!$B$101:$K$101,0)),""))</f>
        <v>—</v>
      </c>
      <c r="N54" s="342" t="str">
        <f>IF(calculos_quadro!$G$287="","",IFERROR(INDEX(calculos_quadro!$B$113:$K$113,MATCH(calculos_quadro!$G$287,calculos_quadro!$B$101:$K$101,0)),""))</f>
        <v>—</v>
      </c>
      <c r="O54" s="342" t="str">
        <f>IF(calculos_quadro!$G$288="","",IFERROR(INDEX(calculos_quadro!$B$113:$K$113,MATCH(calculos_quadro!$G$288,calculos_quadro!$B$101:$K$101,0)),""))</f>
        <v>—</v>
      </c>
      <c r="P54" s="341"/>
      <c r="Q54" s="342" t="str">
        <f>IF(calculos_quadro!$G$289="","",IFERROR(INDEX(calculos_quadro!$B$113:$K$113,MATCH(calculos_quadro!$G$289,calculos_quadro!$B$101:$K$101,0)),""))</f>
        <v>—</v>
      </c>
      <c r="R54" s="342" t="str">
        <f>IF(calculos_quadro!$G$290="","",IFERROR(INDEX(calculos_quadro!$B$113:$K$113,MATCH(calculos_quadro!$G$290,calculos_quadro!$B$101:$K$101,0)),""))</f>
        <v>—</v>
      </c>
      <c r="S54" s="342" t="str">
        <f>IF(calculos_quadro!$G$291="","",IFERROR(INDEX(calculos_quadro!$B$113:$K$113,MATCH(calculos_quadro!$G$291,calculos_quadro!$B$101:$K$101,0)),""))</f>
        <v>—</v>
      </c>
      <c r="T54" s="336">
        <f>IF(calculos_quadro!$B$2="Todos",calculos_quadro!L113,SUM(H54:S54))</f>
        <v>0</v>
      </c>
      <c r="U54" s="504"/>
    </row>
    <row r="55" ht="15.75" customHeight="1">
      <c r="B55" s="481"/>
      <c r="C55" s="243"/>
      <c r="D55" s="334" t="inlineStr">
        <is>
          <t xml:space="preserve">Itens Expedidos</t>
        </is>
      </c>
      <c r="E55" s="333"/>
      <c r="F55" s="333"/>
      <c r="G55" s="333"/>
      <c r="H55" s="342" t="str">
        <f>IF(calculos_quadro!$G$282="","",IFERROR(INDEX(calculos_quadro!$B$114:$K$114,MATCH(calculos_quadro!$G$282,calculos_quadro!$B$101:$K$101,0)),""))</f>
        <v>—</v>
      </c>
      <c r="I55" s="342" t="str">
        <f>IF(calculos_quadro!$G$283="","",IFERROR(INDEX(calculos_quadro!$B$114:$K$114,MATCH(calculos_quadro!$G$283,calculos_quadro!$B$101:$K$101,0)),""))</f>
        <v>—</v>
      </c>
      <c r="J55" s="342" t="str">
        <f>IF(calculos_quadro!$G$284="","",IFERROR(INDEX(calculos_quadro!$B$114:$K$114,MATCH(calculos_quadro!$G$284,calculos_quadro!$B$101:$K$101,0)),""))</f>
        <v>—</v>
      </c>
      <c r="K55" s="341"/>
      <c r="L55" s="342">
        <f>IF(calculos_quadro!$G$285="","",IFERROR(INDEX(calculos_quadro!$B$114:$K$114,MATCH(calculos_quadro!$G$285,calculos_quadro!$B$101:$K$101,0)),""))</f>
        <v>0</v>
      </c>
      <c r="M55" s="342" t="str">
        <f>IF(calculos_quadro!$G$286="","",IFERROR(INDEX(calculos_quadro!$B$114:$K$114,MATCH(calculos_quadro!$G$286,calculos_quadro!$B$101:$K$101,0)),""))</f>
        <v>—</v>
      </c>
      <c r="N55" s="342" t="str">
        <f>IF(calculos_quadro!$G$287="","",IFERROR(INDEX(calculos_quadro!$B$114:$K$114,MATCH(calculos_quadro!$G$287,calculos_quadro!$B$101:$K$101,0)),""))</f>
        <v>—</v>
      </c>
      <c r="O55" s="342" t="str">
        <f>IF(calculos_quadro!$G$288="","",IFERROR(INDEX(calculos_quadro!$B$114:$K$114,MATCH(calculos_quadro!$G$288,calculos_quadro!$B$101:$K$101,0)),""))</f>
        <v>—</v>
      </c>
      <c r="P55" s="341"/>
      <c r="Q55" s="342" t="str">
        <f>IF(calculos_quadro!$G$289="","",IFERROR(INDEX(calculos_quadro!$B$114:$K$114,MATCH(calculos_quadro!$G$289,calculos_quadro!$B$101:$K$101,0)),""))</f>
        <v>—</v>
      </c>
      <c r="R55" s="342" t="str">
        <f>IF(calculos_quadro!$G$290="","",IFERROR(INDEX(calculos_quadro!$B$114:$K$114,MATCH(calculos_quadro!$G$290,calculos_quadro!$B$101:$K$101,0)),""))</f>
        <v>—</v>
      </c>
      <c r="S55" s="342" t="str">
        <f>IF(calculos_quadro!$G$291="","",IFERROR(INDEX(calculos_quadro!$B$114:$K$114,MATCH(calculos_quadro!$G$291,calculos_quadro!$B$101:$K$101,0)),""))</f>
        <v>—</v>
      </c>
      <c r="T55" s="336">
        <f>IF(calculos_quadro!$B$2="Todos",calculos_quadro!L114,SUM(H55:S55))</f>
        <v>0</v>
      </c>
      <c r="U55" s="504"/>
    </row>
    <row r="56" ht="15.75" customHeight="1">
      <c r="B56" s="481"/>
      <c r="C56" s="243"/>
      <c r="D56" s="334" t="inlineStr">
        <is>
          <t xml:space="preserve">Peças Movimentadas</t>
        </is>
      </c>
      <c r="E56" s="333"/>
      <c r="F56" s="333"/>
      <c r="G56" s="333"/>
      <c r="H56" s="342" t="str">
        <f>IF(calculos_quadro!$G$282="","",IFERROR(INDEX(calculos_quadro!$B$115:$K$115,MATCH(calculos_quadro!$G$282,calculos_quadro!$B$101:$K$101,0)),""))</f>
        <v>—</v>
      </c>
      <c r="I56" s="342" t="str">
        <f>IF(calculos_quadro!$G$283="","",IFERROR(INDEX(calculos_quadro!$B$115:$K$115,MATCH(calculos_quadro!$G$283,calculos_quadro!$B$101:$K$101,0)),""))</f>
        <v>—</v>
      </c>
      <c r="J56" s="342" t="str">
        <f>IF(calculos_quadro!$G$284="","",IFERROR(INDEX(calculos_quadro!$B$115:$K$115,MATCH(calculos_quadro!$G$284,calculos_quadro!$B$101:$K$101,0)),""))</f>
        <v>—</v>
      </c>
      <c r="K56" s="341"/>
      <c r="L56" s="342" t="str">
        <f>IF(calculos_quadro!$G$285="","",IFERROR(INDEX(calculos_quadro!$B$115:$K$115,MATCH(calculos_quadro!$G$285,calculos_quadro!$B$101:$K$101,0)),""))</f>
        <v>—</v>
      </c>
      <c r="M56" s="342" t="str">
        <f>IF(calculos_quadro!$G$286="","",IFERROR(INDEX(calculos_quadro!$B$115:$K$115,MATCH(calculos_quadro!$G$286,calculos_quadro!$B$101:$K$101,0)),""))</f>
        <v>—</v>
      </c>
      <c r="N56" s="342">
        <f>IF(calculos_quadro!$G$287="","",IFERROR(INDEX(calculos_quadro!$B$115:$K$115,MATCH(calculos_quadro!$G$287,calculos_quadro!$B$101:$K$101,0)),""))</f>
        <v>0</v>
      </c>
      <c r="O56" s="342" t="str">
        <f>IF(calculos_quadro!$G$288="","",IFERROR(INDEX(calculos_quadro!$B$115:$K$115,MATCH(calculos_quadro!$G$288,calculos_quadro!$B$101:$K$101,0)),""))</f>
        <v>—</v>
      </c>
      <c r="P56" s="341"/>
      <c r="Q56" s="342" t="str">
        <f>IF(calculos_quadro!$G$289="","",IFERROR(INDEX(calculos_quadro!$B$115:$K$115,MATCH(calculos_quadro!$G$289,calculos_quadro!$B$101:$K$101,0)),""))</f>
        <v>—</v>
      </c>
      <c r="R56" s="342" t="str">
        <f>IF(calculos_quadro!$G$290="","",IFERROR(INDEX(calculos_quadro!$B$115:$K$115,MATCH(calculos_quadro!$G$290,calculos_quadro!$B$101:$K$101,0)),""))</f>
        <v>—</v>
      </c>
      <c r="S56" s="342" t="str">
        <f>IF(calculos_quadro!$G$291="","",IFERROR(INDEX(calculos_quadro!$B$115:$K$115,MATCH(calculos_quadro!$G$291,calculos_quadro!$B$101:$K$101,0)),""))</f>
        <v>—</v>
      </c>
      <c r="T56" s="336">
        <f>IF(calculos_quadro!$B$2="Todos",calculos_quadro!L115,SUM(H56:S56))</f>
        <v>0</v>
      </c>
      <c r="U56" s="504"/>
    </row>
    <row r="57" ht="15.75" customHeight="1">
      <c r="B57" s="481"/>
      <c r="C57" s="243"/>
      <c r="D57" s="334" t="inlineStr">
        <is>
          <t xml:space="preserve">Linhas NF</t>
        </is>
      </c>
      <c r="E57" s="333"/>
      <c r="F57" s="333"/>
      <c r="G57" s="333"/>
      <c r="H57" s="342" t="str">
        <f>IF(calculos_quadro!$G$282="","",IFERROR(INDEX(calculos_quadro!$B$116:$K$116,MATCH(calculos_quadro!$G$282,calculos_quadro!$B$101:$K$101,0)),""))</f>
        <v>—</v>
      </c>
      <c r="I57" s="342" t="str">
        <f>IF(calculos_quadro!$G$283="","",IFERROR(INDEX(calculos_quadro!$B$116:$K$116,MATCH(calculos_quadro!$G$283,calculos_quadro!$B$101:$K$101,0)),""))</f>
        <v>—</v>
      </c>
      <c r="J57" s="342" t="str">
        <f>IF(calculos_quadro!$G$284="","",IFERROR(INDEX(calculos_quadro!$B$116:$K$116,MATCH(calculos_quadro!$G$284,calculos_quadro!$B$101:$K$101,0)),""))</f>
        <v>—</v>
      </c>
      <c r="K57" s="341"/>
      <c r="L57" s="342" t="str">
        <f>IF(calculos_quadro!$G$285="","",IFERROR(INDEX(calculos_quadro!$B$116:$K$116,MATCH(calculos_quadro!$G$285,calculos_quadro!$B$101:$K$101,0)),""))</f>
        <v>—</v>
      </c>
      <c r="M57" s="342" t="str">
        <f>IF(calculos_quadro!$G$286="","",IFERROR(INDEX(calculos_quadro!$B$116:$K$116,MATCH(calculos_quadro!$G$286,calculos_quadro!$B$101:$K$101,0)),""))</f>
        <v>—</v>
      </c>
      <c r="N57" s="342">
        <f>IF(calculos_quadro!$G$287="","",IFERROR(INDEX(calculos_quadro!$B$116:$K$116,MATCH(calculos_quadro!$G$287,calculos_quadro!$B$101:$K$101,0)),""))</f>
        <v>0</v>
      </c>
      <c r="O57" s="342" t="str">
        <f>IF(calculos_quadro!$G$288="","",IFERROR(INDEX(calculos_quadro!$B$116:$K$116,MATCH(calculos_quadro!$G$288,calculos_quadro!$B$101:$K$101,0)),""))</f>
        <v>—</v>
      </c>
      <c r="P57" s="341"/>
      <c r="Q57" s="342" t="str">
        <f>IF(calculos_quadro!$G$289="","",IFERROR(INDEX(calculos_quadro!$B$116:$K$116,MATCH(calculos_quadro!$G$289,calculos_quadro!$B$101:$K$101,0)),""))</f>
        <v>—</v>
      </c>
      <c r="R57" s="342" t="str">
        <f>IF(calculos_quadro!$G$290="","",IFERROR(INDEX(calculos_quadro!$B$116:$K$116,MATCH(calculos_quadro!$G$290,calculos_quadro!$B$101:$K$101,0)),""))</f>
        <v>—</v>
      </c>
      <c r="S57" s="342">
        <f>IF(calculos_quadro!$G$291="","",IFERROR(INDEX(calculos_quadro!$B$116:$K$116,MATCH(calculos_quadro!$G$291,calculos_quadro!$B$101:$K$101,0)),""))</f>
        <v>0</v>
      </c>
      <c r="T57" s="336">
        <f>IF(calculos_quadro!$B$2="Todos",calculos_quadro!L116,SUM(H57:S57))</f>
        <v>0</v>
      </c>
      <c r="U57" s="504"/>
    </row>
    <row r="58" ht="15.75" customHeight="1">
      <c r="B58" s="481"/>
      <c r="C58" s="243"/>
      <c r="D58" s="334" t="inlineStr">
        <is>
          <t xml:space="preserve">Caixas Expedidas</t>
        </is>
      </c>
      <c r="E58" s="333"/>
      <c r="F58" s="333"/>
      <c r="G58" s="333"/>
      <c r="H58" s="342">
        <f>IF(calculos_quadro!$G$282="","",IFERROR(INDEX(calculos_quadro!$B$117:$K$117,MATCH(calculos_quadro!$G$282,calculos_quadro!$B$101:$K$101,0)),""))</f>
        <v>0</v>
      </c>
      <c r="I58" s="342" t="str">
        <f>IF(calculos_quadro!$G$283="","",IFERROR(INDEX(calculos_quadro!$B$117:$K$117,MATCH(calculos_quadro!$G$283,calculos_quadro!$B$101:$K$101,0)),""))</f>
        <v>—</v>
      </c>
      <c r="J58" s="342" t="str">
        <f>IF(calculos_quadro!$G$284="","",IFERROR(INDEX(calculos_quadro!$B$117:$K$117,MATCH(calculos_quadro!$G$284,calculos_quadro!$B$101:$K$101,0)),""))</f>
        <v>—</v>
      </c>
      <c r="K58" s="341"/>
      <c r="L58" s="342" t="str">
        <f>IF(calculos_quadro!$G$285="","",IFERROR(INDEX(calculos_quadro!$B$117:$K$117,MATCH(calculos_quadro!$G$285,calculos_quadro!$B$101:$K$101,0)),""))</f>
        <v>—</v>
      </c>
      <c r="M58" s="342" t="str">
        <f>IF(calculos_quadro!$G$286="","",IFERROR(INDEX(calculos_quadro!$B$117:$K$117,MATCH(calculos_quadro!$G$286,calculos_quadro!$B$101:$K$101,0)),""))</f>
        <v>—</v>
      </c>
      <c r="N58" s="342" t="str">
        <f>IF(calculos_quadro!$G$287="","",IFERROR(INDEX(calculos_quadro!$B$117:$K$117,MATCH(calculos_quadro!$G$287,calculos_quadro!$B$101:$K$101,0)),""))</f>
        <v>—</v>
      </c>
      <c r="O58" s="342" t="str">
        <f>IF(calculos_quadro!$G$288="","",IFERROR(INDEX(calculos_quadro!$B$117:$K$117,MATCH(calculos_quadro!$G$288,calculos_quadro!$B$101:$K$101,0)),""))</f>
        <v>—</v>
      </c>
      <c r="P58" s="341"/>
      <c r="Q58" s="342" t="str">
        <f>IF(calculos_quadro!$G$289="","",IFERROR(INDEX(calculos_quadro!$B$117:$K$117,MATCH(calculos_quadro!$G$289,calculos_quadro!$B$101:$K$101,0)),""))</f>
        <v>—</v>
      </c>
      <c r="R58" s="342" t="str">
        <f>IF(calculos_quadro!$G$290="","",IFERROR(INDEX(calculos_quadro!$B$117:$K$117,MATCH(calculos_quadro!$G$290,calculos_quadro!$B$101:$K$101,0)),""))</f>
        <v>—</v>
      </c>
      <c r="S58" s="342" t="str">
        <f>IF(calculos_quadro!$G$291="","",IFERROR(INDEX(calculos_quadro!$B$117:$K$117,MATCH(calculos_quadro!$G$291,calculos_quadro!$B$101:$K$101,0)),""))</f>
        <v>—</v>
      </c>
      <c r="T58" s="336">
        <f>IF(calculos_quadro!$B$2="Todos",calculos_quadro!L117,SUM(H58:S58))</f>
        <v>0</v>
      </c>
      <c r="U58" s="504"/>
    </row>
    <row r="59" ht="15.75" customHeight="1">
      <c r="B59" s="481"/>
      <c r="C59" s="243"/>
      <c r="D59" s="334" t="inlineStr">
        <is>
          <t xml:space="preserve">Pallets Movimentados</t>
        </is>
      </c>
      <c r="E59" s="333"/>
      <c r="F59" s="333"/>
      <c r="G59" s="333"/>
      <c r="H59" s="342" t="str">
        <f>IF(calculos_quadro!$G$282="","",IFERROR(INDEX(calculos_quadro!$B$118:$K$118,MATCH(calculos_quadro!$G$282,calculos_quadro!$B$101:$K$101,0)),""))</f>
        <v>—</v>
      </c>
      <c r="I59" s="342">
        <f>IF(calculos_quadro!$G$283="","",IFERROR(INDEX(calculos_quadro!$B$118:$K$118,MATCH(calculos_quadro!$G$283,calculos_quadro!$B$101:$K$101,0)),""))</f>
        <v>0</v>
      </c>
      <c r="J59" s="342">
        <f>IF(calculos_quadro!$G$284="","",IFERROR(INDEX(calculos_quadro!$B$118:$K$118,MATCH(calculos_quadro!$G$284,calculos_quadro!$B$101:$K$101,0)),""))</f>
        <v>0</v>
      </c>
      <c r="K59" s="341"/>
      <c r="L59" s="342">
        <f>IF(calculos_quadro!$G$285="","",IFERROR(INDEX(calculos_quadro!$B$118:$K$118,MATCH(calculos_quadro!$G$285,calculos_quadro!$B$101:$K$101,0)),""))</f>
        <v>0</v>
      </c>
      <c r="M59" s="342">
        <f>IF(calculos_quadro!$G$286="","",IFERROR(INDEX(calculos_quadro!$B$118:$K$118,MATCH(calculos_quadro!$G$286,calculos_quadro!$B$101:$K$101,0)),""))</f>
        <v>0</v>
      </c>
      <c r="N59" s="342">
        <f>IF(calculos_quadro!$G$287="","",IFERROR(INDEX(calculos_quadro!$B$118:$K$118,MATCH(calculos_quadro!$G$287,calculos_quadro!$B$101:$K$101,0)),""))</f>
        <v>0</v>
      </c>
      <c r="O59" s="342">
        <f>IF(calculos_quadro!$G$288="","",IFERROR(INDEX(calculos_quadro!$B$118:$K$118,MATCH(calculos_quadro!$G$288,calculos_quadro!$B$101:$K$101,0)),""))</f>
        <v>0</v>
      </c>
      <c r="P59" s="341"/>
      <c r="Q59" s="342">
        <f>IF(calculos_quadro!$G$289="","",IFERROR(INDEX(calculos_quadro!$B$118:$K$118,MATCH(calculos_quadro!$G$289,calculos_quadro!$B$101:$K$101,0)),""))</f>
        <v>0</v>
      </c>
      <c r="R59" s="342">
        <f>IF(calculos_quadro!$G$290="","",IFERROR(INDEX(calculos_quadro!$B$118:$K$118,MATCH(calculos_quadro!$G$290,calculos_quadro!$B$101:$K$101,0)),""))</f>
        <v>0</v>
      </c>
      <c r="S59" s="342" t="str">
        <f>IF(calculos_quadro!$G$291="","",IFERROR(INDEX(calculos_quadro!$B$118:$K$118,MATCH(calculos_quadro!$G$291,calculos_quadro!$B$101:$K$101,0)),""))</f>
        <v>—</v>
      </c>
      <c r="T59" s="336">
        <f>IF(calculos_quadro!$B$2="Todos",calculos_quadro!L118,SUM(H59:S59))</f>
        <v>0</v>
      </c>
      <c r="U59" s="504"/>
    </row>
    <row r="60" ht="15.75" customHeight="1">
      <c r="B60" s="482"/>
      <c r="C60" s="168"/>
      <c r="D60" s="351" t="inlineStr">
        <is>
          <t xml:space="preserve">Toneladas Movimentadas</t>
        </is>
      </c>
      <c r="E60" s="350"/>
      <c r="F60" s="350"/>
      <c r="G60" s="350"/>
      <c r="H60" s="357" t="str">
        <f>IF(calculos_quadro!$G$282="","",IFERROR(INDEX(calculos_quadro!$B$119:$K$119,MATCH(calculos_quadro!$G$282,calculos_quadro!$B$101:$K$101,0)),""))</f>
        <v>—</v>
      </c>
      <c r="I60" s="357">
        <f>IF(calculos_quadro!$G$283="","",IFERROR(INDEX(calculos_quadro!$B$119:$K$119,MATCH(calculos_quadro!$G$283,calculos_quadro!$B$101:$K$101,0)),""))</f>
        <v>0</v>
      </c>
      <c r="J60" s="357" t="str">
        <f>IF(calculos_quadro!$G$284="","",IFERROR(INDEX(calculos_quadro!$B$119:$K$119,MATCH(calculos_quadro!$G$284,calculos_quadro!$B$101:$K$101,0)),""))</f>
        <v>—</v>
      </c>
      <c r="K60" s="356"/>
      <c r="L60" s="357" t="str">
        <f>IF(calculos_quadro!$G$285="","",IFERROR(INDEX(calculos_quadro!$B$119:$K$119,MATCH(calculos_quadro!$G$285,calculos_quadro!$B$101:$K$101,0)),""))</f>
        <v>—</v>
      </c>
      <c r="M60" s="357">
        <f>IF(calculos_quadro!$G$286="","",IFERROR(INDEX(calculos_quadro!$B$119:$K$119,MATCH(calculos_quadro!$G$286,calculos_quadro!$B$101:$K$101,0)),""))</f>
        <v>0</v>
      </c>
      <c r="N60" s="357" t="str">
        <f>IF(calculos_quadro!$G$287="","",IFERROR(INDEX(calculos_quadro!$B$119:$K$119,MATCH(calculos_quadro!$G$287,calculos_quadro!$B$101:$K$101,0)),""))</f>
        <v>—</v>
      </c>
      <c r="O60" s="357" t="str">
        <f>IF(calculos_quadro!$G$288="","",IFERROR(INDEX(calculos_quadro!$B$119:$K$119,MATCH(calculos_quadro!$G$288,calculos_quadro!$B$101:$K$101,0)),""))</f>
        <v>—</v>
      </c>
      <c r="P60" s="356"/>
      <c r="Q60" s="357">
        <f>IF(calculos_quadro!$G$289="","",IFERROR(INDEX(calculos_quadro!$B$119:$K$119,MATCH(calculos_quadro!$G$289,calculos_quadro!$B$101:$K$101,0)),""))</f>
        <v>0</v>
      </c>
      <c r="R60" s="357" t="str">
        <f>IF(calculos_quadro!$G$290="","",IFERROR(INDEX(calculos_quadro!$B$119:$K$119,MATCH(calculos_quadro!$G$290,calculos_quadro!$B$101:$K$101,0)),""))</f>
        <v>—</v>
      </c>
      <c r="S60" s="357" t="str">
        <f>IF(calculos_quadro!$G$291="","",IFERROR(INDEX(calculos_quadro!$B$119:$K$119,MATCH(calculos_quadro!$G$291,calculos_quadro!$B$101:$K$101,0)),""))</f>
        <v>—</v>
      </c>
      <c r="T60" s="506">
        <f>IF(calculos_quadro!$B$2="Todos",calculos_quadro!L119,SUM(H60:S60))</f>
        <v>0</v>
      </c>
      <c r="U60" s="507"/>
    </row>
    <row r="61" ht="15.75" customHeight="1">
      <c r="B61" s="483" t="inlineStr">
        <is>
          <t xml:space="preserve">NC</t>
        </is>
      </c>
      <c r="C61" s="174"/>
      <c r="D61" s="366" t="inlineStr">
        <is>
          <t xml:space="preserve">Incidentes</t>
        </is>
      </c>
      <c r="E61" s="365"/>
      <c r="F61" s="365"/>
      <c r="G61" s="365"/>
      <c r="H61" s="374">
        <f>IF(calculos_quadro!$G$282="","",IFERROR(INDEX(calculos_quadro!$B$120:$K$120,MATCH(calculos_quadro!$G$282,calculos_quadro!$B$101:$K$101,0)),""))</f>
        <v>0</v>
      </c>
      <c r="I61" s="374">
        <f>IF(calculos_quadro!$G$283="","",IFERROR(INDEX(calculos_quadro!$B$120:$K$120,MATCH(calculos_quadro!$G$283,calculos_quadro!$B$101:$K$101,0)),""))</f>
        <v>0</v>
      </c>
      <c r="J61" s="374">
        <f>IF(calculos_quadro!$G$284="","",IFERROR(INDEX(calculos_quadro!$B$120:$K$120,MATCH(calculos_quadro!$G$284,calculos_quadro!$B$101:$K$101,0)),""))</f>
        <v>0</v>
      </c>
      <c r="K61" s="373"/>
      <c r="L61" s="374">
        <f>IF(calculos_quadro!$G$285="","",IFERROR(INDEX(calculos_quadro!$B$120:$K$120,MATCH(calculos_quadro!$G$285,calculos_quadro!$B$101:$K$101,0)),""))</f>
        <v>0</v>
      </c>
      <c r="M61" s="374">
        <f>IF(calculos_quadro!$G$286="","",IFERROR(INDEX(calculos_quadro!$B$120:$K$120,MATCH(calculos_quadro!$G$286,calculos_quadro!$B$101:$K$101,0)),""))</f>
        <v>0</v>
      </c>
      <c r="N61" s="374">
        <f>IF(calculos_quadro!$G$287="","",IFERROR(INDEX(calculos_quadro!$B$120:$K$120,MATCH(calculos_quadro!$G$287,calculos_quadro!$B$101:$K$101,0)),""))</f>
        <v>0</v>
      </c>
      <c r="O61" s="374">
        <f>IF(calculos_quadro!$G$288="","",IFERROR(INDEX(calculos_quadro!$B$120:$K$120,MATCH(calculos_quadro!$G$288,calculos_quadro!$B$101:$K$101,0)),""))</f>
        <v>0</v>
      </c>
      <c r="P61" s="373"/>
      <c r="Q61" s="374">
        <f>IF(calculos_quadro!$G$289="","",IFERROR(INDEX(calculos_quadro!$B$120:$K$120,MATCH(calculos_quadro!$G$289,calculos_quadro!$B$101:$K$101,0)),""))</f>
        <v>0</v>
      </c>
      <c r="R61" s="374">
        <f>IF(calculos_quadro!$G$290="","",IFERROR(INDEX(calculos_quadro!$B$120:$K$120,MATCH(calculos_quadro!$G$290,calculos_quadro!$B$101:$K$101,0)),""))</f>
        <v>0</v>
      </c>
      <c r="S61" s="374">
        <f>IF(calculos_quadro!$G$291="","",IFERROR(INDEX(calculos_quadro!$B$120:$K$120,MATCH(calculos_quadro!$G$291,calculos_quadro!$B$101:$K$101,0)),""))</f>
        <v>0</v>
      </c>
      <c r="T61" s="368">
        <f>IF(calculos_quadro!$B$2="Todos",calculos_quadro!L120,SUM(H61:S61))</f>
        <v>0</v>
      </c>
      <c r="U61" s="508"/>
    </row>
    <row r="62" ht="15.75" customHeight="1">
      <c r="B62" s="484"/>
      <c r="C62" s="181"/>
      <c r="D62" s="383" t="inlineStr">
        <is>
          <t xml:space="preserve">No show</t>
        </is>
      </c>
      <c r="E62" s="382"/>
      <c r="F62" s="382"/>
      <c r="G62" s="382"/>
      <c r="H62" s="391">
        <f>IF(calculos_quadro!$G$282="","",IFERROR(INDEX(calculos_quadro!$B$121:$K$121,MATCH(calculos_quadro!$G$282,calculos_quadro!$B$101:$K$101,0)),""))</f>
        <v>0</v>
      </c>
      <c r="I62" s="391">
        <f>IF(calculos_quadro!$G$283="","",IFERROR(INDEX(calculos_quadro!$B$121:$K$121,MATCH(calculos_quadro!$G$283,calculos_quadro!$B$101:$K$101,0)),""))</f>
        <v>0</v>
      </c>
      <c r="J62" s="391">
        <f>IF(calculos_quadro!$G$284="","",IFERROR(INDEX(calculos_quadro!$B$121:$K$121,MATCH(calculos_quadro!$G$284,calculos_quadro!$B$101:$K$101,0)),""))</f>
        <v>0</v>
      </c>
      <c r="K62" s="390"/>
      <c r="L62" s="391">
        <f>IF(calculos_quadro!$G$285="","",IFERROR(INDEX(calculos_quadro!$B$121:$K$121,MATCH(calculos_quadro!$G$285,calculos_quadro!$B$101:$K$101,0)),""))</f>
        <v>0</v>
      </c>
      <c r="M62" s="391">
        <f>IF(calculos_quadro!$G$286="","",IFERROR(INDEX(calculos_quadro!$B$121:$K$121,MATCH(calculos_quadro!$G$286,calculos_quadro!$B$101:$K$101,0)),""))</f>
        <v>0</v>
      </c>
      <c r="N62" s="391">
        <f>IF(calculos_quadro!$G$287="","",IFERROR(INDEX(calculos_quadro!$B$121:$K$121,MATCH(calculos_quadro!$G$287,calculos_quadro!$B$101:$K$101,0)),""))</f>
        <v>0</v>
      </c>
      <c r="O62" s="391">
        <f>IF(calculos_quadro!$G$288="","",IFERROR(INDEX(calculos_quadro!$B$121:$K$121,MATCH(calculos_quadro!$G$288,calculos_quadro!$B$101:$K$101,0)),""))</f>
        <v>0</v>
      </c>
      <c r="P62" s="390"/>
      <c r="Q62" s="391">
        <f>IF(calculos_quadro!$G$289="","",IFERROR(INDEX(calculos_quadro!$B$121:$K$121,MATCH(calculos_quadro!$G$289,calculos_quadro!$B$101:$K$101,0)),""))</f>
        <v>0</v>
      </c>
      <c r="R62" s="391">
        <f>IF(calculos_quadro!$G$290="","",IFERROR(INDEX(calculos_quadro!$B$121:$K$121,MATCH(calculos_quadro!$G$290,calculos_quadro!$B$101:$K$101,0)),""))</f>
        <v>0</v>
      </c>
      <c r="S62" s="391">
        <f>IF(calculos_quadro!$G$291="","",IFERROR(INDEX(calculos_quadro!$B$121:$K$121,MATCH(calculos_quadro!$G$291,calculos_quadro!$B$101:$K$101,0)),""))</f>
        <v>0</v>
      </c>
      <c r="T62" s="385">
        <f>IF(calculos_quadro!$B$2="Todos",calculos_quadro!L121,SUM(H62:S62))</f>
        <v>0</v>
      </c>
      <c r="U62" s="509"/>
    </row>
    <row r="63" ht="15.75" customHeight="1">
      <c r="B63" s="485"/>
      <c r="C63" s="188"/>
      <c r="D63" s="400" t="inlineStr">
        <is>
          <t xml:space="preserve">Backlog</t>
        </is>
      </c>
      <c r="E63" s="399"/>
      <c r="F63" s="399"/>
      <c r="G63" s="399"/>
      <c r="H63" s="408" t="str">
        <f>IF(calculos_quadro!$G$282="","",IFERROR(INDEX(calculos_quadro!$B$122:$K$122,MATCH(calculos_quadro!$G$282,calculos_quadro!$B$101:$K$101,0)),""))</f>
        <v/>
      </c>
      <c r="I63" s="408" t="str">
        <f>IF(calculos_quadro!$G$283="","",IFERROR(INDEX(calculos_quadro!$B$122:$K$122,MATCH(calculos_quadro!$G$283,calculos_quadro!$B$101:$K$101,0)),""))</f>
        <v/>
      </c>
      <c r="J63" s="408" t="str">
        <f>IF(calculos_quadro!$G$284="","",IFERROR(INDEX(calculos_quadro!$B$122:$K$122,MATCH(calculos_quadro!$G$284,calculos_quadro!$B$101:$K$101,0)),""))</f>
        <v/>
      </c>
      <c r="K63" s="407"/>
      <c r="L63" s="408" t="str">
        <f>IF(calculos_quadro!$G$285="","",IFERROR(INDEX(calculos_quadro!$B$122:$K$122,MATCH(calculos_quadro!$G$285,calculos_quadro!$B$101:$K$101,0)),""))</f>
        <v/>
      </c>
      <c r="M63" s="408" t="str">
        <f>IF(calculos_quadro!$G$286="","",IFERROR(INDEX(calculos_quadro!$B$122:$K$122,MATCH(calculos_quadro!$G$286,calculos_quadro!$B$101:$K$101,0)),""))</f>
        <v/>
      </c>
      <c r="N63" s="408" t="str">
        <f>IF(calculos_quadro!$G$287="","",IFERROR(INDEX(calculos_quadro!$B$122:$K$122,MATCH(calculos_quadro!$G$287,calculos_quadro!$B$101:$K$101,0)),""))</f>
        <v/>
      </c>
      <c r="O63" s="408" t="str">
        <f>IF(calculos_quadro!$G$288="","",IFERROR(INDEX(calculos_quadro!$B$122:$K$122,MATCH(calculos_quadro!$G$288,calculos_quadro!$B$101:$K$101,0)),""))</f>
        <v/>
      </c>
      <c r="P63" s="407"/>
      <c r="Q63" s="408" t="str">
        <f>IF(calculos_quadro!$G$289="","",IFERROR(INDEX(calculos_quadro!$B$122:$K$122,MATCH(calculos_quadro!$G$289,calculos_quadro!$B$101:$K$101,0)),""))</f>
        <v/>
      </c>
      <c r="R63" s="408" t="str">
        <f>IF(calculos_quadro!$G$290="","",IFERROR(INDEX(calculos_quadro!$B$122:$K$122,MATCH(calculos_quadro!$G$290,calculos_quadro!$B$101:$K$101,0)),""))</f>
        <v/>
      </c>
      <c r="S63" s="408" t="str">
        <f>IF(calculos_quadro!$G$291="","",IFERROR(INDEX(calculos_quadro!$B$122:$K$122,MATCH(calculos_quadro!$G$291,calculos_quadro!$B$101:$K$101,0)),""))</f>
        <v/>
      </c>
      <c r="T63" s="402">
        <f>IF(calculos_quadro!$B$2="Todos",calculos_quadro!L122,SUM(H63:S63))</f>
        <v>0</v>
      </c>
      <c r="U63" s="510"/>
    </row>
    <row r="64" ht="15.75" customHeight="1">
      <c r="B64" s="477" t="inlineStr">
        <is>
          <t xml:space="preserve">OCUPAÇÃO (P.P)</t>
        </is>
      </c>
      <c r="C64" s="148"/>
      <c r="D64" s="264" t="inlineStr">
        <is>
          <t xml:space="preserve">Posições Disponíveis</t>
        </is>
      </c>
      <c r="E64" s="263"/>
      <c r="F64" s="263"/>
      <c r="G64" s="263"/>
      <c r="H64" s="272" t="str">
        <f>IF(calculos_quadro!$G$282="","",IFERROR(INDEX(calculos_quadro!$B$123:$K$123,MATCH(calculos_quadro!$G$282,calculos_quadro!$B$101:$K$101,0)),""))</f>
        <v/>
      </c>
      <c r="I64" s="272" t="str">
        <f>IF(calculos_quadro!$G$283="","",IFERROR(INDEX(calculos_quadro!$B$123:$K$123,MATCH(calculos_quadro!$G$283,calculos_quadro!$B$101:$K$101,0)),""))</f>
        <v/>
      </c>
      <c r="J64" s="272" t="str">
        <f>IF(calculos_quadro!$G$284="","",IFERROR(INDEX(calculos_quadro!$B$123:$K$123,MATCH(calculos_quadro!$G$284,calculos_quadro!$B$101:$K$101,0)),""))</f>
        <v/>
      </c>
      <c r="K64" s="271"/>
      <c r="L64" s="272" t="str">
        <f>IF(calculos_quadro!$G$285="","",IFERROR(INDEX(calculos_quadro!$B$123:$K$123,MATCH(calculos_quadro!$G$285,calculos_quadro!$B$101:$K$101,0)),""))</f>
        <v/>
      </c>
      <c r="M64" s="272" t="str">
        <f>IF(calculos_quadro!$G$286="","",IFERROR(INDEX(calculos_quadro!$B$123:$K$123,MATCH(calculos_quadro!$G$286,calculos_quadro!$B$101:$K$101,0)),""))</f>
        <v/>
      </c>
      <c r="N64" s="272" t="str">
        <f>IF(calculos_quadro!$G$287="","",IFERROR(INDEX(calculos_quadro!$B$123:$K$123,MATCH(calculos_quadro!$G$287,calculos_quadro!$B$101:$K$101,0)),""))</f>
        <v/>
      </c>
      <c r="O64" s="272" t="str">
        <f>IF(calculos_quadro!$G$288="","",IFERROR(INDEX(calculos_quadro!$B$123:$K$123,MATCH(calculos_quadro!$G$288,calculos_quadro!$B$101:$K$101,0)),""))</f>
        <v/>
      </c>
      <c r="P64" s="271"/>
      <c r="Q64" s="272" t="str">
        <f>IF(calculos_quadro!$G$289="","",IFERROR(INDEX(calculos_quadro!$B$123:$K$123,MATCH(calculos_quadro!$G$289,calculos_quadro!$B$101:$K$101,0)),""))</f>
        <v/>
      </c>
      <c r="R64" s="272" t="str">
        <f>IF(calculos_quadro!$G$290="","",IFERROR(INDEX(calculos_quadro!$B$123:$K$123,MATCH(calculos_quadro!$G$290,calculos_quadro!$B$101:$K$101,0)),""))</f>
        <v/>
      </c>
      <c r="S64" s="272" t="str">
        <f>IF(calculos_quadro!$G$291="","",IFERROR(INDEX(calculos_quadro!$B$123:$K$123,MATCH(calculos_quadro!$G$291,calculos_quadro!$B$101:$K$101,0)),""))</f>
        <v/>
      </c>
      <c r="T64" s="266">
        <f>IF(calculos_quadro!$B$2="Todos",calculos_quadro!L123,SUM(H64:S64))</f>
        <v>23040</v>
      </c>
      <c r="U64" s="497"/>
    </row>
    <row r="65" ht="15.75" customHeight="1">
      <c r="B65" s="478"/>
      <c r="C65" s="194"/>
      <c r="D65" s="281" t="inlineStr">
        <is>
          <t xml:space="preserve">Posições Ocupadas</t>
        </is>
      </c>
      <c r="E65" s="280"/>
      <c r="F65" s="280"/>
      <c r="G65" s="280"/>
      <c r="H65" s="289" t="str">
        <f>IF(calculos_quadro!$G$282="","",IFERROR(INDEX(calculos_quadro!$B$124:$K$124,MATCH(calculos_quadro!$G$282,calculos_quadro!$B$101:$K$101,0)),""))</f>
        <v/>
      </c>
      <c r="I65" s="289" t="str">
        <f>IF(calculos_quadro!$G$283="","",IFERROR(INDEX(calculos_quadro!$B$124:$K$124,MATCH(calculos_quadro!$G$283,calculos_quadro!$B$101:$K$101,0)),""))</f>
        <v/>
      </c>
      <c r="J65" s="289" t="str">
        <f>IF(calculos_quadro!$G$284="","",IFERROR(INDEX(calculos_quadro!$B$124:$K$124,MATCH(calculos_quadro!$G$284,calculos_quadro!$B$101:$K$101,0)),""))</f>
        <v/>
      </c>
      <c r="K65" s="288"/>
      <c r="L65" s="289" t="str">
        <f>IF(calculos_quadro!$G$285="","",IFERROR(INDEX(calculos_quadro!$B$124:$K$124,MATCH(calculos_quadro!$G$285,calculos_quadro!$B$101:$K$101,0)),""))</f>
        <v/>
      </c>
      <c r="M65" s="289" t="str">
        <f>IF(calculos_quadro!$G$286="","",IFERROR(INDEX(calculos_quadro!$B$124:$K$124,MATCH(calculos_quadro!$G$286,calculos_quadro!$B$101:$K$101,0)),""))</f>
        <v/>
      </c>
      <c r="N65" s="289" t="str">
        <f>IF(calculos_quadro!$G$287="","",IFERROR(INDEX(calculos_quadro!$B$124:$K$124,MATCH(calculos_quadro!$G$287,calculos_quadro!$B$101:$K$101,0)),""))</f>
        <v/>
      </c>
      <c r="O65" s="289" t="str">
        <f>IF(calculos_quadro!$G$288="","",IFERROR(INDEX(calculos_quadro!$B$124:$K$124,MATCH(calculos_quadro!$G$288,calculos_quadro!$B$101:$K$101,0)),""))</f>
        <v/>
      </c>
      <c r="P65" s="288"/>
      <c r="Q65" s="289" t="str">
        <f>IF(calculos_quadro!$G$289="","",IFERROR(INDEX(calculos_quadro!$B$124:$K$124,MATCH(calculos_quadro!$G$289,calculos_quadro!$B$101:$K$101,0)),""))</f>
        <v/>
      </c>
      <c r="R65" s="289" t="str">
        <f>IF(calculos_quadro!$G$290="","",IFERROR(INDEX(calculos_quadro!$B$124:$K$124,MATCH(calculos_quadro!$G$290,calculos_quadro!$B$101:$K$101,0)),""))</f>
        <v/>
      </c>
      <c r="S65" s="289" t="str">
        <f>IF(calculos_quadro!$G$291="","",IFERROR(INDEX(calculos_quadro!$B$124:$K$124,MATCH(calculos_quadro!$G$291,calculos_quadro!$B$101:$K$101,0)),""))</f>
        <v/>
      </c>
      <c r="T65" s="283">
        <f>IF(calculos_quadro!$B$2="Todos",calculos_quadro!L124,SUM(H65:S65))</f>
        <v>0</v>
      </c>
      <c r="U65" s="498"/>
    </row>
    <row r="66" ht="15.75" customHeight="1">
      <c r="B66" s="479"/>
      <c r="C66" s="155"/>
      <c r="D66" s="300" t="inlineStr">
        <is>
          <t xml:space="preserve">Taxa de Ocupação</t>
        </is>
      </c>
      <c r="E66" s="299"/>
      <c r="F66" s="299"/>
      <c r="G66" s="299"/>
      <c r="H66" s="312" t="str">
        <f>IF(calculos_quadro!$G$282="","",IFERROR(INDEX(calculos_quadro!$B$125:$K$125,MATCH(calculos_quadro!$G$282,calculos_quadro!$B$101:$K$101,0)),""))</f>
        <v/>
      </c>
      <c r="I66" s="312" t="str">
        <f>IF(calculos_quadro!$G$283="","",IFERROR(INDEX(calculos_quadro!$B$125:$K$125,MATCH(calculos_quadro!$G$283,calculos_quadro!$B$101:$K$101,0)),""))</f>
        <v/>
      </c>
      <c r="J66" s="312" t="str">
        <f>IF(calculos_quadro!$G$284="","",IFERROR(INDEX(calculos_quadro!$B$125:$K$125,MATCH(calculos_quadro!$G$284,calculos_quadro!$B$101:$K$101,0)),""))</f>
        <v/>
      </c>
      <c r="K66" s="311"/>
      <c r="L66" s="312" t="str">
        <f>IF(calculos_quadro!$G$285="","",IFERROR(INDEX(calculos_quadro!$B$125:$K$125,MATCH(calculos_quadro!$G$285,calculos_quadro!$B$101:$K$101,0)),""))</f>
        <v/>
      </c>
      <c r="M66" s="312" t="str">
        <f>IF(calculos_quadro!$G$286="","",IFERROR(INDEX(calculos_quadro!$B$125:$K$125,MATCH(calculos_quadro!$G$286,calculos_quadro!$B$101:$K$101,0)),""))</f>
        <v/>
      </c>
      <c r="N66" s="312" t="str">
        <f>IF(calculos_quadro!$G$287="","",IFERROR(INDEX(calculos_quadro!$B$125:$K$125,MATCH(calculos_quadro!$G$287,calculos_quadro!$B$101:$K$101,0)),""))</f>
        <v/>
      </c>
      <c r="O66" s="312" t="str">
        <f>IF(calculos_quadro!$G$288="","",IFERROR(INDEX(calculos_quadro!$B$125:$K$125,MATCH(calculos_quadro!$G$288,calculos_quadro!$B$101:$K$101,0)),""))</f>
        <v/>
      </c>
      <c r="P66" s="311"/>
      <c r="Q66" s="312" t="str">
        <f>IF(calculos_quadro!$G$289="","",IFERROR(INDEX(calculos_quadro!$B$125:$K$125,MATCH(calculos_quadro!$G$289,calculos_quadro!$B$101:$K$101,0)),""))</f>
        <v/>
      </c>
      <c r="R66" s="312" t="str">
        <f>IF(calculos_quadro!$G$290="","",IFERROR(INDEX(calculos_quadro!$B$125:$K$125,MATCH(calculos_quadro!$G$290,calculos_quadro!$B$101:$K$101,0)),""))</f>
        <v/>
      </c>
      <c r="S66" s="312" t="str">
        <f>IF(calculos_quadro!$G$291="","",IFERROR(INDEX(calculos_quadro!$B$125:$K$125,MATCH(calculos_quadro!$G$291,calculos_quadro!$B$101:$K$101,0)),""))</f>
        <v/>
      </c>
      <c r="T66" s="421">
        <f>IF(calculos_quadro!$B$2="Todos",calculos_quadro!L125,IFERROR(T65/T64,""))</f>
        <v>0</v>
      </c>
      <c r="U66" s="511"/>
    </row>
    <row r="67" ht="15.75" customHeight="1">
      <c r="B67" s="486" t="inlineStr">
        <is>
          <t xml:space="preserve">GENTE</t>
        </is>
      </c>
      <c r="C67" s="205"/>
      <c r="D67" s="427" t="inlineStr">
        <is>
          <t xml:space="preserve">Efetivo Op.</t>
        </is>
      </c>
      <c r="E67" s="426"/>
      <c r="F67" s="426"/>
      <c r="G67" s="426"/>
      <c r="H67" s="435" t="str">
        <f>IF(calculos_quadro!$G$282="","",IFERROR(INDEX(calculos_quadro!$B$126:$K$126,MATCH(calculos_quadro!$G$282,calculos_quadro!$B$101:$K$101,0)),""))</f>
        <v/>
      </c>
      <c r="I67" s="435" t="str">
        <f>IF(calculos_quadro!$G$283="","",IFERROR(INDEX(calculos_quadro!$B$126:$K$126,MATCH(calculos_quadro!$G$283,calculos_quadro!$B$101:$K$101,0)),""))</f>
        <v/>
      </c>
      <c r="J67" s="435" t="str">
        <f>IF(calculos_quadro!$G$284="","",IFERROR(INDEX(calculos_quadro!$B$126:$K$126,MATCH(calculos_quadro!$G$284,calculos_quadro!$B$101:$K$101,0)),""))</f>
        <v/>
      </c>
      <c r="K67" s="434"/>
      <c r="L67" s="435" t="str">
        <f>IF(calculos_quadro!$G$285="","",IFERROR(INDEX(calculos_quadro!$B$126:$K$126,MATCH(calculos_quadro!$G$285,calculos_quadro!$B$101:$K$101,0)),""))</f>
        <v/>
      </c>
      <c r="M67" s="435" t="str">
        <f>IF(calculos_quadro!$G$286="","",IFERROR(INDEX(calculos_quadro!$B$126:$K$126,MATCH(calculos_quadro!$G$286,calculos_quadro!$B$101:$K$101,0)),""))</f>
        <v/>
      </c>
      <c r="N67" s="435" t="str">
        <f>IF(calculos_quadro!$G$287="","",IFERROR(INDEX(calculos_quadro!$B$126:$K$126,MATCH(calculos_quadro!$G$287,calculos_quadro!$B$101:$K$101,0)),""))</f>
        <v/>
      </c>
      <c r="O67" s="435" t="str">
        <f>IF(calculos_quadro!$G$288="","",IFERROR(INDEX(calculos_quadro!$B$126:$K$126,MATCH(calculos_quadro!$G$288,calculos_quadro!$B$101:$K$101,0)),""))</f>
        <v/>
      </c>
      <c r="P67" s="434"/>
      <c r="Q67" s="435" t="str">
        <f>IF(calculos_quadro!$G$289="","",IFERROR(INDEX(calculos_quadro!$B$126:$K$126,MATCH(calculos_quadro!$G$289,calculos_quadro!$B$101:$K$101,0)),""))</f>
        <v/>
      </c>
      <c r="R67" s="435" t="str">
        <f>IF(calculos_quadro!$G$290="","",IFERROR(INDEX(calculos_quadro!$B$126:$K$126,MATCH(calculos_quadro!$G$290,calculos_quadro!$B$101:$K$101,0)),""))</f>
        <v/>
      </c>
      <c r="S67" s="435" t="str">
        <f>IF(calculos_quadro!$G$291="","",IFERROR(INDEX(calculos_quadro!$B$126:$K$126,MATCH(calculos_quadro!$G$291,calculos_quadro!$B$101:$K$101,0)),""))</f>
        <v/>
      </c>
      <c r="T67" s="429">
        <f>IF(calculos_quadro!$B$2="Todos",calculos_quadro!L126,SUM(H67:S67))</f>
        <v>0</v>
      </c>
      <c r="U67" s="512"/>
    </row>
    <row r="68" ht="15.75" customHeight="1">
      <c r="B68" s="487"/>
      <c r="C68" s="212"/>
      <c r="D68" s="444" t="inlineStr">
        <is>
          <t xml:space="preserve">Falta</t>
        </is>
      </c>
      <c r="E68" s="443"/>
      <c r="F68" s="443"/>
      <c r="G68" s="443"/>
      <c r="H68" s="452">
        <f>IF(calculos_quadro!$G$282="","",IFERROR(INDEX(calculos_quadro!$B$127:$K$127,MATCH(calculos_quadro!$G$282,calculos_quadro!$B$101:$K$101,0)),""))</f>
        <v>0</v>
      </c>
      <c r="I68" s="452">
        <f>IF(calculos_quadro!$G$283="","",IFERROR(INDEX(calculos_quadro!$B$127:$K$127,MATCH(calculos_quadro!$G$283,calculos_quadro!$B$101:$K$101,0)),""))</f>
        <v>0</v>
      </c>
      <c r="J68" s="452">
        <f>IF(calculos_quadro!$G$284="","",IFERROR(INDEX(calculos_quadro!$B$127:$K$127,MATCH(calculos_quadro!$G$284,calculos_quadro!$B$101:$K$101,0)),""))</f>
        <v>0</v>
      </c>
      <c r="K68" s="451"/>
      <c r="L68" s="452">
        <f>IF(calculos_quadro!$G$285="","",IFERROR(INDEX(calculos_quadro!$B$127:$K$127,MATCH(calculos_quadro!$G$285,calculos_quadro!$B$101:$K$101,0)),""))</f>
        <v>0</v>
      </c>
      <c r="M68" s="452">
        <f>IF(calculos_quadro!$G$286="","",IFERROR(INDEX(calculos_quadro!$B$127:$K$127,MATCH(calculos_quadro!$G$286,calculos_quadro!$B$101:$K$101,0)),""))</f>
        <v>0</v>
      </c>
      <c r="N68" s="452">
        <f>IF(calculos_quadro!$G$287="","",IFERROR(INDEX(calculos_quadro!$B$127:$K$127,MATCH(calculos_quadro!$G$287,calculos_quadro!$B$101:$K$101,0)),""))</f>
        <v>0</v>
      </c>
      <c r="O68" s="452">
        <f>IF(calculos_quadro!$G$288="","",IFERROR(INDEX(calculos_quadro!$B$127:$K$127,MATCH(calculos_quadro!$G$288,calculos_quadro!$B$101:$K$101,0)),""))</f>
        <v>0</v>
      </c>
      <c r="P68" s="451"/>
      <c r="Q68" s="452">
        <f>IF(calculos_quadro!$G$289="","",IFERROR(INDEX(calculos_quadro!$B$127:$K$127,MATCH(calculos_quadro!$G$289,calculos_quadro!$B$101:$K$101,0)),""))</f>
        <v>0</v>
      </c>
      <c r="R68" s="452">
        <f>IF(calculos_quadro!$G$290="","",IFERROR(INDEX(calculos_quadro!$B$127:$K$127,MATCH(calculos_quadro!$G$290,calculos_quadro!$B$101:$K$101,0)),""))</f>
        <v>0</v>
      </c>
      <c r="S68" s="452">
        <f>IF(calculos_quadro!$G$291="","",IFERROR(INDEX(calculos_quadro!$B$127:$K$127,MATCH(calculos_quadro!$G$291,calculos_quadro!$B$101:$K$101,0)),""))</f>
        <v>0</v>
      </c>
      <c r="T68" s="446">
        <f>IF(calculos_quadro!$B$2="Todos",calculos_quadro!L127,SUM(H68:S68))</f>
        <v>0</v>
      </c>
      <c r="U68" s="513"/>
    </row>
    <row r="69" ht="15.75" customHeight="1">
      <c r="B69" s="487"/>
      <c r="C69" s="212"/>
      <c r="D69" s="444" t="inlineStr">
        <is>
          <t xml:space="preserve">Folga</t>
        </is>
      </c>
      <c r="E69" s="443"/>
      <c r="F69" s="443"/>
      <c r="G69" s="443"/>
      <c r="H69" s="452">
        <f>IF(calculos_quadro!$G$282="","",IFERROR(INDEX(calculos_quadro!$B$128:$K$128,MATCH(calculos_quadro!$G$282,calculos_quadro!$B$101:$K$101,0)),""))</f>
        <v>0</v>
      </c>
      <c r="I69" s="452">
        <f>IF(calculos_quadro!$G$283="","",IFERROR(INDEX(calculos_quadro!$B$128:$K$128,MATCH(calculos_quadro!$G$283,calculos_quadro!$B$101:$K$101,0)),""))</f>
        <v>0</v>
      </c>
      <c r="J69" s="452">
        <f>IF(calculos_quadro!$G$284="","",IFERROR(INDEX(calculos_quadro!$B$128:$K$128,MATCH(calculos_quadro!$G$284,calculos_quadro!$B$101:$K$101,0)),""))</f>
        <v>0</v>
      </c>
      <c r="K69" s="451"/>
      <c r="L69" s="452">
        <f>IF(calculos_quadro!$G$285="","",IFERROR(INDEX(calculos_quadro!$B$128:$K$128,MATCH(calculos_quadro!$G$285,calculos_quadro!$B$101:$K$101,0)),""))</f>
        <v>0</v>
      </c>
      <c r="M69" s="452">
        <f>IF(calculos_quadro!$G$286="","",IFERROR(INDEX(calculos_quadro!$B$128:$K$128,MATCH(calculos_quadro!$G$286,calculos_quadro!$B$101:$K$101,0)),""))</f>
        <v>0</v>
      </c>
      <c r="N69" s="452">
        <f>IF(calculos_quadro!$G$287="","",IFERROR(INDEX(calculos_quadro!$B$128:$K$128,MATCH(calculos_quadro!$G$287,calculos_quadro!$B$101:$K$101,0)),""))</f>
        <v>0</v>
      </c>
      <c r="O69" s="452">
        <f>IF(calculos_quadro!$G$288="","",IFERROR(INDEX(calculos_quadro!$B$128:$K$128,MATCH(calculos_quadro!$G$288,calculos_quadro!$B$101:$K$101,0)),""))</f>
        <v>0</v>
      </c>
      <c r="P69" s="451"/>
      <c r="Q69" s="452">
        <f>IF(calculos_quadro!$G$289="","",IFERROR(INDEX(calculos_quadro!$B$128:$K$128,MATCH(calculos_quadro!$G$289,calculos_quadro!$B$101:$K$101,0)),""))</f>
        <v>0</v>
      </c>
      <c r="R69" s="452">
        <f>IF(calculos_quadro!$G$290="","",IFERROR(INDEX(calculos_quadro!$B$128:$K$128,MATCH(calculos_quadro!$G$290,calculos_quadro!$B$101:$K$101,0)),""))</f>
        <v>0</v>
      </c>
      <c r="S69" s="452">
        <f>IF(calculos_quadro!$G$291="","",IFERROR(INDEX(calculos_quadro!$B$128:$K$128,MATCH(calculos_quadro!$G$291,calculos_quadro!$B$101:$K$101,0)),""))</f>
        <v>0</v>
      </c>
      <c r="T69" s="446">
        <f>IF(calculos_quadro!$B$2="Todos",calculos_quadro!L128,SUM(H69:S69))</f>
        <v>0</v>
      </c>
      <c r="U69" s="513"/>
    </row>
    <row r="70" ht="15.75" customHeight="1">
      <c r="B70" s="487"/>
      <c r="C70" s="212"/>
      <c r="D70" s="444" t="inlineStr">
        <is>
          <t xml:space="preserve">Férias</t>
        </is>
      </c>
      <c r="E70" s="443"/>
      <c r="F70" s="443"/>
      <c r="G70" s="443"/>
      <c r="H70" s="452">
        <f>IF(calculos_quadro!$G$282="","",IFERROR(INDEX(calculos_quadro!$B$129:$K$129,MATCH(calculos_quadro!$G$282,calculos_quadro!$B$101:$K$101,0)),""))</f>
        <v>0</v>
      </c>
      <c r="I70" s="452">
        <f>IF(calculos_quadro!$G$283="","",IFERROR(INDEX(calculos_quadro!$B$129:$K$129,MATCH(calculos_quadro!$G$283,calculos_quadro!$B$101:$K$101,0)),""))</f>
        <v>0</v>
      </c>
      <c r="J70" s="452">
        <f>IF(calculos_quadro!$G$284="","",IFERROR(INDEX(calculos_quadro!$B$129:$K$129,MATCH(calculos_quadro!$G$284,calculos_quadro!$B$101:$K$101,0)),""))</f>
        <v>0</v>
      </c>
      <c r="K70" s="451"/>
      <c r="L70" s="452">
        <f>IF(calculos_quadro!$G$285="","",IFERROR(INDEX(calculos_quadro!$B$129:$K$129,MATCH(calculos_quadro!$G$285,calculos_quadro!$B$101:$K$101,0)),""))</f>
        <v>0</v>
      </c>
      <c r="M70" s="452">
        <f>IF(calculos_quadro!$G$286="","",IFERROR(INDEX(calculos_quadro!$B$129:$K$129,MATCH(calculos_quadro!$G$286,calculos_quadro!$B$101:$K$101,0)),""))</f>
        <v>0</v>
      </c>
      <c r="N70" s="452">
        <f>IF(calculos_quadro!$G$287="","",IFERROR(INDEX(calculos_quadro!$B$129:$K$129,MATCH(calculos_quadro!$G$287,calculos_quadro!$B$101:$K$101,0)),""))</f>
        <v>0</v>
      </c>
      <c r="O70" s="452">
        <f>IF(calculos_quadro!$G$288="","",IFERROR(INDEX(calculos_quadro!$B$129:$K$129,MATCH(calculos_quadro!$G$288,calculos_quadro!$B$101:$K$101,0)),""))</f>
        <v>0</v>
      </c>
      <c r="P70" s="451"/>
      <c r="Q70" s="452">
        <f>IF(calculos_quadro!$G$289="","",IFERROR(INDEX(calculos_quadro!$B$129:$K$129,MATCH(calculos_quadro!$G$289,calculos_quadro!$B$101:$K$101,0)),""))</f>
        <v>0</v>
      </c>
      <c r="R70" s="452">
        <f>IF(calculos_quadro!$G$290="","",IFERROR(INDEX(calculos_quadro!$B$129:$K$129,MATCH(calculos_quadro!$G$290,calculos_quadro!$B$101:$K$101,0)),""))</f>
        <v>0</v>
      </c>
      <c r="S70" s="452">
        <f>IF(calculos_quadro!$G$291="","",IFERROR(INDEX(calculos_quadro!$B$129:$K$129,MATCH(calculos_quadro!$G$291,calculos_quadro!$B$101:$K$101,0)),""))</f>
        <v>0</v>
      </c>
      <c r="T70" s="446">
        <f>IF(calculos_quadro!$B$2="Todos",calculos_quadro!L129,SUM(H70:S70))</f>
        <v>0</v>
      </c>
      <c r="U70" s="513"/>
    </row>
    <row r="71" ht="15.75" customHeight="1">
      <c r="B71" s="487"/>
      <c r="C71" s="212"/>
      <c r="D71" s="444" t="inlineStr">
        <is>
          <t xml:space="preserve">Desligamento</t>
        </is>
      </c>
      <c r="E71" s="443"/>
      <c r="F71" s="443"/>
      <c r="G71" s="443"/>
      <c r="H71" s="452">
        <f>IF(calculos_quadro!$G$282="","",IFERROR(INDEX(calculos_quadro!$B$130:$K$130,MATCH(calculos_quadro!$G$282,calculos_quadro!$B$101:$K$101,0)),""))</f>
        <v>0</v>
      </c>
      <c r="I71" s="452">
        <f>IF(calculos_quadro!$G$283="","",IFERROR(INDEX(calculos_quadro!$B$130:$K$130,MATCH(calculos_quadro!$G$283,calculos_quadro!$B$101:$K$101,0)),""))</f>
        <v>0</v>
      </c>
      <c r="J71" s="452">
        <f>IF(calculos_quadro!$G$284="","",IFERROR(INDEX(calculos_quadro!$B$130:$K$130,MATCH(calculos_quadro!$G$284,calculos_quadro!$B$101:$K$101,0)),""))</f>
        <v>0</v>
      </c>
      <c r="K71" s="451"/>
      <c r="L71" s="452">
        <f>IF(calculos_quadro!$G$285="","",IFERROR(INDEX(calculos_quadro!$B$130:$K$130,MATCH(calculos_quadro!$G$285,calculos_quadro!$B$101:$K$101,0)),""))</f>
        <v>0</v>
      </c>
      <c r="M71" s="452">
        <f>IF(calculos_quadro!$G$286="","",IFERROR(INDEX(calculos_quadro!$B$130:$K$130,MATCH(calculos_quadro!$G$286,calculos_quadro!$B$101:$K$101,0)),""))</f>
        <v>0</v>
      </c>
      <c r="N71" s="452">
        <f>IF(calculos_quadro!$G$287="","",IFERROR(INDEX(calculos_quadro!$B$130:$K$130,MATCH(calculos_quadro!$G$287,calculos_quadro!$B$101:$K$101,0)),""))</f>
        <v>0</v>
      </c>
      <c r="O71" s="452">
        <f>IF(calculos_quadro!$G$288="","",IFERROR(INDEX(calculos_quadro!$B$130:$K$130,MATCH(calculos_quadro!$G$288,calculos_quadro!$B$101:$K$101,0)),""))</f>
        <v>0</v>
      </c>
      <c r="P71" s="451"/>
      <c r="Q71" s="452">
        <f>IF(calculos_quadro!$G$289="","",IFERROR(INDEX(calculos_quadro!$B$130:$K$130,MATCH(calculos_quadro!$G$289,calculos_quadro!$B$101:$K$101,0)),""))</f>
        <v>0</v>
      </c>
      <c r="R71" s="452">
        <f>IF(calculos_quadro!$G$290="","",IFERROR(INDEX(calculos_quadro!$B$130:$K$130,MATCH(calculos_quadro!$G$290,calculos_quadro!$B$101:$K$101,0)),""))</f>
        <v>0</v>
      </c>
      <c r="S71" s="452">
        <f>IF(calculos_quadro!$G$291="","",IFERROR(INDEX(calculos_quadro!$B$130:$K$130,MATCH(calculos_quadro!$G$291,calculos_quadro!$B$101:$K$101,0)),""))</f>
        <v>0</v>
      </c>
      <c r="T71" s="446">
        <f>IF(calculos_quadro!$B$2="Todos",calculos_quadro!L130,SUM(H71:S71))</f>
        <v>0</v>
      </c>
      <c r="U71" s="513"/>
    </row>
    <row r="72" ht="15.75" customHeight="1">
      <c r="B72" s="487"/>
      <c r="C72" s="212"/>
      <c r="D72" s="444" t="inlineStr">
        <is>
          <t xml:space="preserve">Desvios Comportamentais</t>
        </is>
      </c>
      <c r="E72" s="443"/>
      <c r="F72" s="443"/>
      <c r="G72" s="443"/>
      <c r="H72" s="452">
        <f>IF(calculos_quadro!$G$282="","",IFERROR(INDEX(calculos_quadro!$B$131:$K$131,MATCH(calculos_quadro!$G$282,calculos_quadro!$B$101:$K$101,0)),""))</f>
        <v>0</v>
      </c>
      <c r="I72" s="452">
        <f>IF(calculos_quadro!$G$283="","",IFERROR(INDEX(calculos_quadro!$B$131:$K$131,MATCH(calculos_quadro!$G$283,calculos_quadro!$B$101:$K$101,0)),""))</f>
        <v>0</v>
      </c>
      <c r="J72" s="452">
        <f>IF(calculos_quadro!$G$284="","",IFERROR(INDEX(calculos_quadro!$B$131:$K$131,MATCH(calculos_quadro!$G$284,calculos_quadro!$B$101:$K$101,0)),""))</f>
        <v>0</v>
      </c>
      <c r="K72" s="451"/>
      <c r="L72" s="452">
        <f>IF(calculos_quadro!$G$285="","",IFERROR(INDEX(calculos_quadro!$B$131:$K$131,MATCH(calculos_quadro!$G$285,calculos_quadro!$B$101:$K$101,0)),""))</f>
        <v>0</v>
      </c>
      <c r="M72" s="452">
        <f>IF(calculos_quadro!$G$286="","",IFERROR(INDEX(calculos_quadro!$B$131:$K$131,MATCH(calculos_quadro!$G$286,calculos_quadro!$B$101:$K$101,0)),""))</f>
        <v>0</v>
      </c>
      <c r="N72" s="452">
        <f>IF(calculos_quadro!$G$287="","",IFERROR(INDEX(calculos_quadro!$B$131:$K$131,MATCH(calculos_quadro!$G$287,calculos_quadro!$B$101:$K$101,0)),""))</f>
        <v>0</v>
      </c>
      <c r="O72" s="452">
        <f>IF(calculos_quadro!$G$288="","",IFERROR(INDEX(calculos_quadro!$B$131:$K$131,MATCH(calculos_quadro!$G$288,calculos_quadro!$B$101:$K$101,0)),""))</f>
        <v>0</v>
      </c>
      <c r="P72" s="451"/>
      <c r="Q72" s="452">
        <f>IF(calculos_quadro!$G$289="","",IFERROR(INDEX(calculos_quadro!$B$131:$K$131,MATCH(calculos_quadro!$G$289,calculos_quadro!$B$101:$K$101,0)),""))</f>
        <v>0</v>
      </c>
      <c r="R72" s="452">
        <f>IF(calculos_quadro!$G$290="","",IFERROR(INDEX(calculos_quadro!$B$131:$K$131,MATCH(calculos_quadro!$G$290,calculos_quadro!$B$101:$K$101,0)),""))</f>
        <v>0</v>
      </c>
      <c r="S72" s="452">
        <f>IF(calculos_quadro!$G$291="","",IFERROR(INDEX(calculos_quadro!$B$131:$K$131,MATCH(calculos_quadro!$G$291,calculos_quadro!$B$101:$K$101,0)),""))</f>
        <v>0</v>
      </c>
      <c r="T72" s="446">
        <f>IF(calculos_quadro!$B$2="Todos",calculos_quadro!L131,SUM(H72:S72))</f>
        <v>0</v>
      </c>
      <c r="U72" s="513"/>
    </row>
    <row r="73" ht="15.75" customHeight="1">
      <c r="B73" s="487"/>
      <c r="C73" s="212"/>
      <c r="D73" s="444" t="inlineStr">
        <is>
          <t xml:space="preserve">Acidentes CAF</t>
        </is>
      </c>
      <c r="E73" s="443"/>
      <c r="F73" s="443"/>
      <c r="G73" s="443"/>
      <c r="H73" s="452">
        <f>IF(calculos_quadro!$G$282="","",IFERROR(INDEX(calculos_quadro!$B$132:$K$132,MATCH(calculos_quadro!$G$282,calculos_quadro!$B$101:$K$101,0)),""))</f>
        <v>0</v>
      </c>
      <c r="I73" s="452">
        <f>IF(calculos_quadro!$G$283="","",IFERROR(INDEX(calculos_quadro!$B$132:$K$132,MATCH(calculos_quadro!$G$283,calculos_quadro!$B$101:$K$101,0)),""))</f>
        <v>0</v>
      </c>
      <c r="J73" s="452">
        <f>IF(calculos_quadro!$G$284="","",IFERROR(INDEX(calculos_quadro!$B$132:$K$132,MATCH(calculos_quadro!$G$284,calculos_quadro!$B$101:$K$101,0)),""))</f>
        <v>0</v>
      </c>
      <c r="K73" s="451"/>
      <c r="L73" s="452">
        <f>IF(calculos_quadro!$G$285="","",IFERROR(INDEX(calculos_quadro!$B$132:$K$132,MATCH(calculos_quadro!$G$285,calculos_quadro!$B$101:$K$101,0)),""))</f>
        <v>0</v>
      </c>
      <c r="M73" s="452">
        <f>IF(calculos_quadro!$G$286="","",IFERROR(INDEX(calculos_quadro!$B$132:$K$132,MATCH(calculos_quadro!$G$286,calculos_quadro!$B$101:$K$101,0)),""))</f>
        <v>0</v>
      </c>
      <c r="N73" s="452">
        <f>IF(calculos_quadro!$G$287="","",IFERROR(INDEX(calculos_quadro!$B$132:$K$132,MATCH(calculos_quadro!$G$287,calculos_quadro!$B$101:$K$101,0)),""))</f>
        <v>0</v>
      </c>
      <c r="O73" s="452">
        <f>IF(calculos_quadro!$G$288="","",IFERROR(INDEX(calculos_quadro!$B$132:$K$132,MATCH(calculos_quadro!$G$288,calculos_quadro!$B$101:$K$101,0)),""))</f>
        <v>0</v>
      </c>
      <c r="P73" s="451"/>
      <c r="Q73" s="452">
        <f>IF(calculos_quadro!$G$289="","",IFERROR(INDEX(calculos_quadro!$B$132:$K$132,MATCH(calculos_quadro!$G$289,calculos_quadro!$B$101:$K$101,0)),""))</f>
        <v>0</v>
      </c>
      <c r="R73" s="452">
        <f>IF(calculos_quadro!$G$290="","",IFERROR(INDEX(calculos_quadro!$B$132:$K$132,MATCH(calculos_quadro!$G$290,calculos_quadro!$B$101:$K$101,0)),""))</f>
        <v>0</v>
      </c>
      <c r="S73" s="452">
        <f>IF(calculos_quadro!$G$291="","",IFERROR(INDEX(calculos_quadro!$B$132:$K$132,MATCH(calculos_quadro!$G$291,calculos_quadro!$B$101:$K$101,0)),""))</f>
        <v>0</v>
      </c>
      <c r="T73" s="446">
        <f>IF(calculos_quadro!$B$2="Todos",calculos_quadro!L132,SUM(H73:S73))</f>
        <v>0</v>
      </c>
      <c r="U73" s="513"/>
    </row>
    <row r="74" ht="15.75" customHeight="1">
      <c r="B74" s="488"/>
      <c r="C74" s="219"/>
      <c r="D74" s="461" t="inlineStr">
        <is>
          <t xml:space="preserve">Acidentes SAF</t>
        </is>
      </c>
      <c r="E74" s="460"/>
      <c r="F74" s="460"/>
      <c r="G74" s="460"/>
      <c r="H74" s="469">
        <f>IF(calculos_quadro!$G$282="","",IFERROR(INDEX(calculos_quadro!$B$133:$K$133,MATCH(calculos_quadro!$G$282,calculos_quadro!$B$101:$K$101,0)),""))</f>
        <v>0</v>
      </c>
      <c r="I74" s="469">
        <f>IF(calculos_quadro!$G$283="","",IFERROR(INDEX(calculos_quadro!$B$133:$K$133,MATCH(calculos_quadro!$G$283,calculos_quadro!$B$101:$K$101,0)),""))</f>
        <v>0</v>
      </c>
      <c r="J74" s="469">
        <f>IF(calculos_quadro!$G$284="","",IFERROR(INDEX(calculos_quadro!$B$133:$K$133,MATCH(calculos_quadro!$G$284,calculos_quadro!$B$101:$K$101,0)),""))</f>
        <v>0</v>
      </c>
      <c r="K74" s="468"/>
      <c r="L74" s="469">
        <f>IF(calculos_quadro!$G$285="","",IFERROR(INDEX(calculos_quadro!$B$133:$K$133,MATCH(calculos_quadro!$G$285,calculos_quadro!$B$101:$K$101,0)),""))</f>
        <v>0</v>
      </c>
      <c r="M74" s="469">
        <f>IF(calculos_quadro!$G$286="","",IFERROR(INDEX(calculos_quadro!$B$133:$K$133,MATCH(calculos_quadro!$G$286,calculos_quadro!$B$101:$K$101,0)),""))</f>
        <v>0</v>
      </c>
      <c r="N74" s="469">
        <f>IF(calculos_quadro!$G$287="","",IFERROR(INDEX(calculos_quadro!$B$133:$K$133,MATCH(calculos_quadro!$G$287,calculos_quadro!$B$101:$K$101,0)),""))</f>
        <v>0</v>
      </c>
      <c r="O74" s="469">
        <f>IF(calculos_quadro!$G$288="","",IFERROR(INDEX(calculos_quadro!$B$133:$K$133,MATCH(calculos_quadro!$G$288,calculos_quadro!$B$101:$K$101,0)),""))</f>
        <v>0</v>
      </c>
      <c r="P74" s="468"/>
      <c r="Q74" s="469">
        <f>IF(calculos_quadro!$G$289="","",IFERROR(INDEX(calculos_quadro!$B$133:$K$133,MATCH(calculos_quadro!$G$289,calculos_quadro!$B$101:$K$101,0)),""))</f>
        <v>0</v>
      </c>
      <c r="R74" s="469">
        <f>IF(calculos_quadro!$G$290="","",IFERROR(INDEX(calculos_quadro!$B$133:$K$133,MATCH(calculos_quadro!$G$290,calculos_quadro!$B$101:$K$101,0)),""))</f>
        <v>0</v>
      </c>
      <c r="S74" s="469">
        <f>IF(calculos_quadro!$G$291="","",IFERROR(INDEX(calculos_quadro!$B$133:$K$133,MATCH(calculos_quadro!$G$291,calculos_quadro!$B$101:$K$101,0)),""))</f>
        <v>0</v>
      </c>
      <c r="T74" s="463">
        <f>IF(calculos_quadro!$B$2="Todos",calculos_quadro!L133,SUM(H74:S74))</f>
        <v>0</v>
      </c>
      <c r="U74" s="514"/>
    </row>
    <row r="75">
      <c r="B75" s="31" t="inlineStr">
        <is>
          <t xml:space="preserve">Fluxos: soma do mês · Estoques (backlog, posições, efetivo): último dado do mês · TOTAL CD: posições disponíveis = capacidade física do CD; taxa = ocupadas ÷ capacidade.</t>
        </is>
      </c>
    </row>
  </sheetData>
  <sheetProtection password="CC78" sheet="1" objects="1" scenarios="1"/>
  <mergeCells count="448">
    <mergeCell ref="G1:U1"/>
    <mergeCell ref="V1:AA1"/>
    <mergeCell ref="B3:C3"/>
    <mergeCell ref="D3:I3"/>
    <mergeCell ref="Q3:Z3"/>
    <mergeCell ref="B5:Z5"/>
    <mergeCell ref="B6:C6"/>
    <mergeCell ref="D6:G6"/>
    <mergeCell ref="H6:I6"/>
    <mergeCell ref="J6:L6"/>
    <mergeCell ref="M6:N6"/>
    <mergeCell ref="O6:Q6"/>
    <mergeCell ref="R6:S6"/>
    <mergeCell ref="T6:V6"/>
    <mergeCell ref="W6:X6"/>
    <mergeCell ref="Y6:Z6"/>
    <mergeCell ref="D7:G7"/>
    <mergeCell ref="H7:I7"/>
    <mergeCell ref="J7:L7"/>
    <mergeCell ref="M7:N7"/>
    <mergeCell ref="O7:Q7"/>
    <mergeCell ref="R7:S7"/>
    <mergeCell ref="T7:V7"/>
    <mergeCell ref="W7:X7"/>
    <mergeCell ref="Y7:Z7"/>
    <mergeCell ref="D8:G8"/>
    <mergeCell ref="H8:I8"/>
    <mergeCell ref="J8:L8"/>
    <mergeCell ref="M8:N8"/>
    <mergeCell ref="O8:Q8"/>
    <mergeCell ref="R8:S8"/>
    <mergeCell ref="T8:V8"/>
    <mergeCell ref="W8:X8"/>
    <mergeCell ref="Y8:Z8"/>
    <mergeCell ref="D9:G9"/>
    <mergeCell ref="H9:I9"/>
    <mergeCell ref="J9:L9"/>
    <mergeCell ref="M9:N9"/>
    <mergeCell ref="O9:Q9"/>
    <mergeCell ref="R9:S9"/>
    <mergeCell ref="T9:V9"/>
    <mergeCell ref="W9:X9"/>
    <mergeCell ref="Y9:Z9"/>
    <mergeCell ref="D10:G10"/>
    <mergeCell ref="H10:I10"/>
    <mergeCell ref="J10:L10"/>
    <mergeCell ref="M10:N10"/>
    <mergeCell ref="O10:Q10"/>
    <mergeCell ref="R10:S10"/>
    <mergeCell ref="T10:V10"/>
    <mergeCell ref="W10:X10"/>
    <mergeCell ref="Y10:Z10"/>
    <mergeCell ref="D11:G11"/>
    <mergeCell ref="H11:I11"/>
    <mergeCell ref="J11:L11"/>
    <mergeCell ref="M11:N11"/>
    <mergeCell ref="O11:Q11"/>
    <mergeCell ref="R11:S11"/>
    <mergeCell ref="T11:V11"/>
    <mergeCell ref="W11:X11"/>
    <mergeCell ref="Y11:Z11"/>
    <mergeCell ref="D12:G12"/>
    <mergeCell ref="H12:I12"/>
    <mergeCell ref="J12:L12"/>
    <mergeCell ref="M12:N12"/>
    <mergeCell ref="O12:Q12"/>
    <mergeCell ref="R12:S12"/>
    <mergeCell ref="T12:V12"/>
    <mergeCell ref="W12:X12"/>
    <mergeCell ref="Y12:Z12"/>
    <mergeCell ref="D13:G13"/>
    <mergeCell ref="H13:I13"/>
    <mergeCell ref="J13:L13"/>
    <mergeCell ref="M13:N13"/>
    <mergeCell ref="O13:Q13"/>
    <mergeCell ref="R13:S13"/>
    <mergeCell ref="T13:V13"/>
    <mergeCell ref="W13:X13"/>
    <mergeCell ref="Y13:Z13"/>
    <mergeCell ref="D14:G14"/>
    <mergeCell ref="H14:I14"/>
    <mergeCell ref="J14:L14"/>
    <mergeCell ref="M14:N14"/>
    <mergeCell ref="O14:Q14"/>
    <mergeCell ref="R14:S14"/>
    <mergeCell ref="T14:V14"/>
    <mergeCell ref="W14:X14"/>
    <mergeCell ref="Y14:Z14"/>
    <mergeCell ref="D15:G15"/>
    <mergeCell ref="H15:I15"/>
    <mergeCell ref="J15:L15"/>
    <mergeCell ref="M15:N15"/>
    <mergeCell ref="O15:Q15"/>
    <mergeCell ref="R15:S15"/>
    <mergeCell ref="T15:V15"/>
    <mergeCell ref="W15:X15"/>
    <mergeCell ref="Y15:Z15"/>
    <mergeCell ref="D16:G16"/>
    <mergeCell ref="H16:I16"/>
    <mergeCell ref="J16:L16"/>
    <mergeCell ref="M16:N16"/>
    <mergeCell ref="O16:Q16"/>
    <mergeCell ref="R16:S16"/>
    <mergeCell ref="T16:V16"/>
    <mergeCell ref="W16:X16"/>
    <mergeCell ref="Y16:Z16"/>
    <mergeCell ref="D17:G17"/>
    <mergeCell ref="H17:I17"/>
    <mergeCell ref="J17:L17"/>
    <mergeCell ref="M17:N17"/>
    <mergeCell ref="O17:Q17"/>
    <mergeCell ref="R17:S17"/>
    <mergeCell ref="T17:V17"/>
    <mergeCell ref="W17:X17"/>
    <mergeCell ref="Y17:Z17"/>
    <mergeCell ref="D18:G18"/>
    <mergeCell ref="H18:I18"/>
    <mergeCell ref="J18:L18"/>
    <mergeCell ref="M18:N18"/>
    <mergeCell ref="O18:Q18"/>
    <mergeCell ref="R18:S18"/>
    <mergeCell ref="T18:V18"/>
    <mergeCell ref="W18:X18"/>
    <mergeCell ref="Y18:Z18"/>
    <mergeCell ref="D19:G19"/>
    <mergeCell ref="H19:I19"/>
    <mergeCell ref="J19:L19"/>
    <mergeCell ref="M19:N19"/>
    <mergeCell ref="O19:Q19"/>
    <mergeCell ref="R19:S19"/>
    <mergeCell ref="T19:V19"/>
    <mergeCell ref="W19:X19"/>
    <mergeCell ref="Y19:Z19"/>
    <mergeCell ref="D20:G20"/>
    <mergeCell ref="H20:I20"/>
    <mergeCell ref="J20:L20"/>
    <mergeCell ref="M20:N20"/>
    <mergeCell ref="O20:Q20"/>
    <mergeCell ref="R20:S20"/>
    <mergeCell ref="T20:V20"/>
    <mergeCell ref="W20:X20"/>
    <mergeCell ref="Y20:Z20"/>
    <mergeCell ref="D21:G21"/>
    <mergeCell ref="H21:I21"/>
    <mergeCell ref="J21:L21"/>
    <mergeCell ref="M21:N21"/>
    <mergeCell ref="O21:Q21"/>
    <mergeCell ref="R21:S21"/>
    <mergeCell ref="T21:V21"/>
    <mergeCell ref="W21:X21"/>
    <mergeCell ref="Y21:Z21"/>
    <mergeCell ref="D22:G22"/>
    <mergeCell ref="H22:I22"/>
    <mergeCell ref="J22:L22"/>
    <mergeCell ref="M22:N22"/>
    <mergeCell ref="O22:Q22"/>
    <mergeCell ref="R22:S22"/>
    <mergeCell ref="T22:V22"/>
    <mergeCell ref="W22:X22"/>
    <mergeCell ref="Y22:Z22"/>
    <mergeCell ref="D23:G23"/>
    <mergeCell ref="H23:I23"/>
    <mergeCell ref="J23:L23"/>
    <mergeCell ref="M23:N23"/>
    <mergeCell ref="O23:Q23"/>
    <mergeCell ref="R23:S23"/>
    <mergeCell ref="T23:V23"/>
    <mergeCell ref="W23:X23"/>
    <mergeCell ref="Y23:Z23"/>
    <mergeCell ref="D24:G24"/>
    <mergeCell ref="H24:I24"/>
    <mergeCell ref="J24:L24"/>
    <mergeCell ref="M24:N24"/>
    <mergeCell ref="O24:Q24"/>
    <mergeCell ref="R24:S24"/>
    <mergeCell ref="T24:V24"/>
    <mergeCell ref="W24:X24"/>
    <mergeCell ref="Y24:Z24"/>
    <mergeCell ref="D25:G25"/>
    <mergeCell ref="H25:I25"/>
    <mergeCell ref="J25:L25"/>
    <mergeCell ref="M25:N25"/>
    <mergeCell ref="O25:Q25"/>
    <mergeCell ref="R25:S25"/>
    <mergeCell ref="T25:V25"/>
    <mergeCell ref="W25:X25"/>
    <mergeCell ref="Y25:Z25"/>
    <mergeCell ref="D26:G26"/>
    <mergeCell ref="H26:I26"/>
    <mergeCell ref="J26:L26"/>
    <mergeCell ref="M26:N26"/>
    <mergeCell ref="O26:Q26"/>
    <mergeCell ref="R26:S26"/>
    <mergeCell ref="T26:V26"/>
    <mergeCell ref="W26:X26"/>
    <mergeCell ref="Y26:Z26"/>
    <mergeCell ref="D27:G27"/>
    <mergeCell ref="H27:I27"/>
    <mergeCell ref="J27:L27"/>
    <mergeCell ref="M27:N27"/>
    <mergeCell ref="O27:Q27"/>
    <mergeCell ref="R27:S27"/>
    <mergeCell ref="T27:V27"/>
    <mergeCell ref="W27:X27"/>
    <mergeCell ref="Y27:Z27"/>
    <mergeCell ref="D28:G28"/>
    <mergeCell ref="H28:I28"/>
    <mergeCell ref="J28:L28"/>
    <mergeCell ref="M28:N28"/>
    <mergeCell ref="O28:Q28"/>
    <mergeCell ref="R28:S28"/>
    <mergeCell ref="T28:V28"/>
    <mergeCell ref="W28:X28"/>
    <mergeCell ref="Y28:Z28"/>
    <mergeCell ref="D29:G29"/>
    <mergeCell ref="H29:I29"/>
    <mergeCell ref="J29:L29"/>
    <mergeCell ref="M29:N29"/>
    <mergeCell ref="O29:Q29"/>
    <mergeCell ref="R29:S29"/>
    <mergeCell ref="T29:V29"/>
    <mergeCell ref="W29:X29"/>
    <mergeCell ref="Y29:Z29"/>
    <mergeCell ref="D30:G30"/>
    <mergeCell ref="H30:I30"/>
    <mergeCell ref="J30:L30"/>
    <mergeCell ref="M30:N30"/>
    <mergeCell ref="O30:Q30"/>
    <mergeCell ref="R30:S30"/>
    <mergeCell ref="T30:V30"/>
    <mergeCell ref="W30:X30"/>
    <mergeCell ref="Y30:Z30"/>
    <mergeCell ref="D31:G31"/>
    <mergeCell ref="H31:I31"/>
    <mergeCell ref="J31:L31"/>
    <mergeCell ref="M31:N31"/>
    <mergeCell ref="O31:Q31"/>
    <mergeCell ref="R31:S31"/>
    <mergeCell ref="T31:V31"/>
    <mergeCell ref="W31:X31"/>
    <mergeCell ref="Y31:Z31"/>
    <mergeCell ref="D32:G32"/>
    <mergeCell ref="H32:I32"/>
    <mergeCell ref="J32:L32"/>
    <mergeCell ref="M32:N32"/>
    <mergeCell ref="O32:Q32"/>
    <mergeCell ref="R32:S32"/>
    <mergeCell ref="T32:V32"/>
    <mergeCell ref="W32:X32"/>
    <mergeCell ref="Y32:Z32"/>
    <mergeCell ref="D33:G33"/>
    <mergeCell ref="H33:I33"/>
    <mergeCell ref="J33:L33"/>
    <mergeCell ref="M33:N33"/>
    <mergeCell ref="O33:Q33"/>
    <mergeCell ref="R33:S33"/>
    <mergeCell ref="T33:V33"/>
    <mergeCell ref="W33:X33"/>
    <mergeCell ref="Y33:Z33"/>
    <mergeCell ref="D34:G34"/>
    <mergeCell ref="H34:I34"/>
    <mergeCell ref="J34:L34"/>
    <mergeCell ref="M34:N34"/>
    <mergeCell ref="O34:Q34"/>
    <mergeCell ref="R34:S34"/>
    <mergeCell ref="T34:V34"/>
    <mergeCell ref="W34:X34"/>
    <mergeCell ref="Y34:Z34"/>
    <mergeCell ref="D35:G35"/>
    <mergeCell ref="H35:I35"/>
    <mergeCell ref="J35:L35"/>
    <mergeCell ref="M35:N35"/>
    <mergeCell ref="O35:Q35"/>
    <mergeCell ref="R35:S35"/>
    <mergeCell ref="T35:V35"/>
    <mergeCell ref="W35:X35"/>
    <mergeCell ref="Y35:Z35"/>
    <mergeCell ref="D36:G36"/>
    <mergeCell ref="H36:I36"/>
    <mergeCell ref="J36:L36"/>
    <mergeCell ref="M36:N36"/>
    <mergeCell ref="O36:Q36"/>
    <mergeCell ref="R36:S36"/>
    <mergeCell ref="T36:V36"/>
    <mergeCell ref="W36:X36"/>
    <mergeCell ref="Y36:Z36"/>
    <mergeCell ref="D37:G37"/>
    <mergeCell ref="H37:I37"/>
    <mergeCell ref="J37:L37"/>
    <mergeCell ref="M37:N37"/>
    <mergeCell ref="O37:Q37"/>
    <mergeCell ref="R37:S37"/>
    <mergeCell ref="T37:V37"/>
    <mergeCell ref="W37:X37"/>
    <mergeCell ref="Y37:Z37"/>
    <mergeCell ref="D38:G38"/>
    <mergeCell ref="H38:I38"/>
    <mergeCell ref="J38:L38"/>
    <mergeCell ref="M38:N38"/>
    <mergeCell ref="O38:Q38"/>
    <mergeCell ref="R38:S38"/>
    <mergeCell ref="T38:V38"/>
    <mergeCell ref="W38:X38"/>
    <mergeCell ref="Y38:Z38"/>
    <mergeCell ref="B7:C15"/>
    <mergeCell ref="B16:C24"/>
    <mergeCell ref="B25:C27"/>
    <mergeCell ref="B28:C30"/>
    <mergeCell ref="B31:C38"/>
    <mergeCell ref="B41:Z41"/>
    <mergeCell ref="B42:C42"/>
    <mergeCell ref="D42:G42"/>
    <mergeCell ref="J42:K42"/>
    <mergeCell ref="O42:P42"/>
    <mergeCell ref="T42:U42"/>
    <mergeCell ref="D43:G43"/>
    <mergeCell ref="J43:K43"/>
    <mergeCell ref="O43:P43"/>
    <mergeCell ref="T43:U43"/>
    <mergeCell ref="D44:G44"/>
    <mergeCell ref="J44:K44"/>
    <mergeCell ref="O44:P44"/>
    <mergeCell ref="T44:U44"/>
    <mergeCell ref="D45:G45"/>
    <mergeCell ref="J45:K45"/>
    <mergeCell ref="O45:P45"/>
    <mergeCell ref="T45:U45"/>
    <mergeCell ref="D46:G46"/>
    <mergeCell ref="J46:K46"/>
    <mergeCell ref="O46:P46"/>
    <mergeCell ref="T46:U46"/>
    <mergeCell ref="D47:G47"/>
    <mergeCell ref="J47:K47"/>
    <mergeCell ref="O47:P47"/>
    <mergeCell ref="T47:U47"/>
    <mergeCell ref="D48:G48"/>
    <mergeCell ref="J48:K48"/>
    <mergeCell ref="O48:P48"/>
    <mergeCell ref="T48:U48"/>
    <mergeCell ref="D49:G49"/>
    <mergeCell ref="J49:K49"/>
    <mergeCell ref="O49:P49"/>
    <mergeCell ref="T49:U49"/>
    <mergeCell ref="D50:G50"/>
    <mergeCell ref="J50:K50"/>
    <mergeCell ref="O50:P50"/>
    <mergeCell ref="T50:U50"/>
    <mergeCell ref="D51:G51"/>
    <mergeCell ref="J51:K51"/>
    <mergeCell ref="O51:P51"/>
    <mergeCell ref="T51:U51"/>
    <mergeCell ref="D52:G52"/>
    <mergeCell ref="J52:K52"/>
    <mergeCell ref="O52:P52"/>
    <mergeCell ref="T52:U52"/>
    <mergeCell ref="D53:G53"/>
    <mergeCell ref="J53:K53"/>
    <mergeCell ref="O53:P53"/>
    <mergeCell ref="T53:U53"/>
    <mergeCell ref="D54:G54"/>
    <mergeCell ref="J54:K54"/>
    <mergeCell ref="O54:P54"/>
    <mergeCell ref="T54:U54"/>
    <mergeCell ref="D55:G55"/>
    <mergeCell ref="J55:K55"/>
    <mergeCell ref="O55:P55"/>
    <mergeCell ref="T55:U55"/>
    <mergeCell ref="D56:G56"/>
    <mergeCell ref="J56:K56"/>
    <mergeCell ref="O56:P56"/>
    <mergeCell ref="T56:U56"/>
    <mergeCell ref="D57:G57"/>
    <mergeCell ref="J57:K57"/>
    <mergeCell ref="O57:P57"/>
    <mergeCell ref="T57:U57"/>
    <mergeCell ref="D58:G58"/>
    <mergeCell ref="J58:K58"/>
    <mergeCell ref="O58:P58"/>
    <mergeCell ref="T58:U58"/>
    <mergeCell ref="D59:G59"/>
    <mergeCell ref="J59:K59"/>
    <mergeCell ref="O59:P59"/>
    <mergeCell ref="T59:U59"/>
    <mergeCell ref="D60:G60"/>
    <mergeCell ref="J60:K60"/>
    <mergeCell ref="O60:P60"/>
    <mergeCell ref="T60:U60"/>
    <mergeCell ref="D61:G61"/>
    <mergeCell ref="J61:K61"/>
    <mergeCell ref="O61:P61"/>
    <mergeCell ref="T61:U61"/>
    <mergeCell ref="D62:G62"/>
    <mergeCell ref="J62:K62"/>
    <mergeCell ref="O62:P62"/>
    <mergeCell ref="T62:U62"/>
    <mergeCell ref="D63:G63"/>
    <mergeCell ref="J63:K63"/>
    <mergeCell ref="O63:P63"/>
    <mergeCell ref="T63:U63"/>
    <mergeCell ref="D64:G64"/>
    <mergeCell ref="J64:K64"/>
    <mergeCell ref="O64:P64"/>
    <mergeCell ref="T64:U64"/>
    <mergeCell ref="D65:G65"/>
    <mergeCell ref="J65:K65"/>
    <mergeCell ref="O65:P65"/>
    <mergeCell ref="T65:U65"/>
    <mergeCell ref="D66:G66"/>
    <mergeCell ref="J66:K66"/>
    <mergeCell ref="O66:P66"/>
    <mergeCell ref="T66:U66"/>
    <mergeCell ref="D67:G67"/>
    <mergeCell ref="J67:K67"/>
    <mergeCell ref="O67:P67"/>
    <mergeCell ref="T67:U67"/>
    <mergeCell ref="D68:G68"/>
    <mergeCell ref="J68:K68"/>
    <mergeCell ref="O68:P68"/>
    <mergeCell ref="T68:U68"/>
    <mergeCell ref="D69:G69"/>
    <mergeCell ref="J69:K69"/>
    <mergeCell ref="O69:P69"/>
    <mergeCell ref="T69:U69"/>
    <mergeCell ref="D70:G70"/>
    <mergeCell ref="J70:K70"/>
    <mergeCell ref="O70:P70"/>
    <mergeCell ref="T70:U70"/>
    <mergeCell ref="D71:G71"/>
    <mergeCell ref="J71:K71"/>
    <mergeCell ref="O71:P71"/>
    <mergeCell ref="T71:U71"/>
    <mergeCell ref="D72:G72"/>
    <mergeCell ref="J72:K72"/>
    <mergeCell ref="O72:P72"/>
    <mergeCell ref="T72:U72"/>
    <mergeCell ref="D73:G73"/>
    <mergeCell ref="J73:K73"/>
    <mergeCell ref="O73:P73"/>
    <mergeCell ref="T73:U73"/>
    <mergeCell ref="D74:G74"/>
    <mergeCell ref="J74:K74"/>
    <mergeCell ref="O74:P74"/>
    <mergeCell ref="T74:U74"/>
    <mergeCell ref="B43:C51"/>
    <mergeCell ref="B52:C60"/>
    <mergeCell ref="B61:C63"/>
    <mergeCell ref="B64:C66"/>
    <mergeCell ref="B67:C74"/>
  </mergeCells>
  <conditionalFormatting sqref="T7">
    <cfRule type="expression" dxfId="9" priority="1">
      <formula>AND(ISNUMBER(T7),T7&gt;0)</formula>
    </cfRule>
  </conditionalFormatting>
  <conditionalFormatting sqref="T7">
    <cfRule type="expression" dxfId="10" priority="2">
      <formula>AND(ISNUMBER(T7),T7&lt;0)</formula>
    </cfRule>
  </conditionalFormatting>
  <conditionalFormatting sqref="Y7">
    <cfRule type="expression" dxfId="9" priority="3">
      <formula>OR(Y7="meta atingida",Y7="dentro do limite",Y7="ocupação alta",Y7="excede o contratado")</formula>
    </cfRule>
  </conditionalFormatting>
  <conditionalFormatting sqref="Y7">
    <cfRule type="expression" dxfId="11" priority="4">
      <formula>OR(Y7="ocupação média",Y7="abaixo da meta")</formula>
    </cfRule>
  </conditionalFormatting>
  <conditionalFormatting sqref="Y7">
    <cfRule type="expression" dxfId="10" priority="5">
      <formula>OR(Y7="ociosidade alta",Y7="acima do limite")</formula>
    </cfRule>
  </conditionalFormatting>
  <conditionalFormatting sqref="T8">
    <cfRule type="expression" dxfId="9" priority="6">
      <formula>AND(ISNUMBER(T8),T8&gt;0)</formula>
    </cfRule>
  </conditionalFormatting>
  <conditionalFormatting sqref="T8">
    <cfRule type="expression" dxfId="10" priority="7">
      <formula>AND(ISNUMBER(T8),T8&lt;0)</formula>
    </cfRule>
  </conditionalFormatting>
  <conditionalFormatting sqref="Y8">
    <cfRule type="expression" dxfId="9" priority="8">
      <formula>OR(Y8="meta atingida",Y8="dentro do limite",Y8="ocupação alta",Y8="excede o contratado")</formula>
    </cfRule>
  </conditionalFormatting>
  <conditionalFormatting sqref="Y8">
    <cfRule type="expression" dxfId="11" priority="9">
      <formula>OR(Y8="ocupação média",Y8="abaixo da meta")</formula>
    </cfRule>
  </conditionalFormatting>
  <conditionalFormatting sqref="Y8">
    <cfRule type="expression" dxfId="10" priority="10">
      <formula>OR(Y8="ociosidade alta",Y8="acima do limite")</formula>
    </cfRule>
  </conditionalFormatting>
  <conditionalFormatting sqref="T9">
    <cfRule type="expression" dxfId="9" priority="11">
      <formula>AND(ISNUMBER(T9),T9&gt;0)</formula>
    </cfRule>
  </conditionalFormatting>
  <conditionalFormatting sqref="T9">
    <cfRule type="expression" dxfId="10" priority="12">
      <formula>AND(ISNUMBER(T9),T9&lt;0)</formula>
    </cfRule>
  </conditionalFormatting>
  <conditionalFormatting sqref="Y9">
    <cfRule type="expression" dxfId="9" priority="13">
      <formula>OR(Y9="meta atingida",Y9="dentro do limite",Y9="ocupação alta",Y9="excede o contratado")</formula>
    </cfRule>
  </conditionalFormatting>
  <conditionalFormatting sqref="Y9">
    <cfRule type="expression" dxfId="11" priority="14">
      <formula>OR(Y9="ocupação média",Y9="abaixo da meta")</formula>
    </cfRule>
  </conditionalFormatting>
  <conditionalFormatting sqref="Y9">
    <cfRule type="expression" dxfId="10" priority="15">
      <formula>OR(Y9="ociosidade alta",Y9="acima do limite")</formula>
    </cfRule>
  </conditionalFormatting>
  <conditionalFormatting sqref="T10">
    <cfRule type="expression" dxfId="9" priority="16">
      <formula>AND(ISNUMBER(T10),T10&gt;0)</formula>
    </cfRule>
  </conditionalFormatting>
  <conditionalFormatting sqref="T10">
    <cfRule type="expression" dxfId="10" priority="17">
      <formula>AND(ISNUMBER(T10),T10&lt;0)</formula>
    </cfRule>
  </conditionalFormatting>
  <conditionalFormatting sqref="Y10">
    <cfRule type="expression" dxfId="9" priority="18">
      <formula>OR(Y10="meta atingida",Y10="dentro do limite",Y10="ocupação alta",Y10="excede o contratado")</formula>
    </cfRule>
  </conditionalFormatting>
  <conditionalFormatting sqref="Y10">
    <cfRule type="expression" dxfId="11" priority="19">
      <formula>OR(Y10="ocupação média",Y10="abaixo da meta")</formula>
    </cfRule>
  </conditionalFormatting>
  <conditionalFormatting sqref="Y10">
    <cfRule type="expression" dxfId="10" priority="20">
      <formula>OR(Y10="ociosidade alta",Y10="acima do limite")</formula>
    </cfRule>
  </conditionalFormatting>
  <conditionalFormatting sqref="T11">
    <cfRule type="expression" dxfId="9" priority="21">
      <formula>AND(ISNUMBER(T11),T11&gt;0)</formula>
    </cfRule>
  </conditionalFormatting>
  <conditionalFormatting sqref="T11">
    <cfRule type="expression" dxfId="10" priority="22">
      <formula>AND(ISNUMBER(T11),T11&lt;0)</formula>
    </cfRule>
  </conditionalFormatting>
  <conditionalFormatting sqref="Y11">
    <cfRule type="expression" dxfId="9" priority="23">
      <formula>OR(Y11="meta atingida",Y11="dentro do limite",Y11="ocupação alta",Y11="excede o contratado")</formula>
    </cfRule>
  </conditionalFormatting>
  <conditionalFormatting sqref="Y11">
    <cfRule type="expression" dxfId="11" priority="24">
      <formula>OR(Y11="ocupação média",Y11="abaixo da meta")</formula>
    </cfRule>
  </conditionalFormatting>
  <conditionalFormatting sqref="Y11">
    <cfRule type="expression" dxfId="10" priority="25">
      <formula>OR(Y11="ociosidade alta",Y11="acima do limite")</formula>
    </cfRule>
  </conditionalFormatting>
  <conditionalFormatting sqref="T12">
    <cfRule type="expression" dxfId="9" priority="26">
      <formula>AND(ISNUMBER(T12),T12&gt;0)</formula>
    </cfRule>
  </conditionalFormatting>
  <conditionalFormatting sqref="T12">
    <cfRule type="expression" dxfId="10" priority="27">
      <formula>AND(ISNUMBER(T12),T12&lt;0)</formula>
    </cfRule>
  </conditionalFormatting>
  <conditionalFormatting sqref="Y12">
    <cfRule type="expression" dxfId="9" priority="28">
      <formula>OR(Y12="meta atingida",Y12="dentro do limite",Y12="ocupação alta",Y12="excede o contratado")</formula>
    </cfRule>
  </conditionalFormatting>
  <conditionalFormatting sqref="Y12">
    <cfRule type="expression" dxfId="11" priority="29">
      <formula>OR(Y12="ocupação média",Y12="abaixo da meta")</formula>
    </cfRule>
  </conditionalFormatting>
  <conditionalFormatting sqref="Y12">
    <cfRule type="expression" dxfId="10" priority="30">
      <formula>OR(Y12="ociosidade alta",Y12="acima do limite")</formula>
    </cfRule>
  </conditionalFormatting>
  <conditionalFormatting sqref="T13">
    <cfRule type="expression" dxfId="9" priority="31">
      <formula>AND(ISNUMBER(T13),T13&gt;0)</formula>
    </cfRule>
  </conditionalFormatting>
  <conditionalFormatting sqref="T13">
    <cfRule type="expression" dxfId="10" priority="32">
      <formula>AND(ISNUMBER(T13),T13&lt;0)</formula>
    </cfRule>
  </conditionalFormatting>
  <conditionalFormatting sqref="Y13">
    <cfRule type="expression" dxfId="9" priority="33">
      <formula>OR(Y13="meta atingida",Y13="dentro do limite",Y13="ocupação alta",Y13="excede o contratado")</formula>
    </cfRule>
  </conditionalFormatting>
  <conditionalFormatting sqref="Y13">
    <cfRule type="expression" dxfId="11" priority="34">
      <formula>OR(Y13="ocupação média",Y13="abaixo da meta")</formula>
    </cfRule>
  </conditionalFormatting>
  <conditionalFormatting sqref="Y13">
    <cfRule type="expression" dxfId="10" priority="35">
      <formula>OR(Y13="ociosidade alta",Y13="acima do limite")</formula>
    </cfRule>
  </conditionalFormatting>
  <conditionalFormatting sqref="T14">
    <cfRule type="expression" dxfId="9" priority="36">
      <formula>AND(ISNUMBER(T14),T14&gt;0)</formula>
    </cfRule>
  </conditionalFormatting>
  <conditionalFormatting sqref="T14">
    <cfRule type="expression" dxfId="10" priority="37">
      <formula>AND(ISNUMBER(T14),T14&lt;0)</formula>
    </cfRule>
  </conditionalFormatting>
  <conditionalFormatting sqref="Y14">
    <cfRule type="expression" dxfId="9" priority="38">
      <formula>OR(Y14="meta atingida",Y14="dentro do limite",Y14="ocupação alta",Y14="excede o contratado")</formula>
    </cfRule>
  </conditionalFormatting>
  <conditionalFormatting sqref="Y14">
    <cfRule type="expression" dxfId="11" priority="39">
      <formula>OR(Y14="ocupação média",Y14="abaixo da meta")</formula>
    </cfRule>
  </conditionalFormatting>
  <conditionalFormatting sqref="Y14">
    <cfRule type="expression" dxfId="10" priority="40">
      <formula>OR(Y14="ociosidade alta",Y14="acima do limite")</formula>
    </cfRule>
  </conditionalFormatting>
  <conditionalFormatting sqref="T15">
    <cfRule type="expression" dxfId="9" priority="41">
      <formula>AND(ISNUMBER(T15),T15&gt;0)</formula>
    </cfRule>
  </conditionalFormatting>
  <conditionalFormatting sqref="T15">
    <cfRule type="expression" dxfId="10" priority="42">
      <formula>AND(ISNUMBER(T15),T15&lt;0)</formula>
    </cfRule>
  </conditionalFormatting>
  <conditionalFormatting sqref="Y15">
    <cfRule type="expression" dxfId="9" priority="43">
      <formula>OR(Y15="meta atingida",Y15="dentro do limite",Y15="ocupação alta",Y15="excede o contratado")</formula>
    </cfRule>
  </conditionalFormatting>
  <conditionalFormatting sqref="Y15">
    <cfRule type="expression" dxfId="11" priority="44">
      <formula>OR(Y15="ocupação média",Y15="abaixo da meta")</formula>
    </cfRule>
  </conditionalFormatting>
  <conditionalFormatting sqref="Y15">
    <cfRule type="expression" dxfId="10" priority="45">
      <formula>OR(Y15="ociosidade alta",Y15="acima do limite")</formula>
    </cfRule>
  </conditionalFormatting>
  <conditionalFormatting sqref="T16">
    <cfRule type="expression" dxfId="9" priority="46">
      <formula>AND(ISNUMBER(T16),T16&gt;0)</formula>
    </cfRule>
  </conditionalFormatting>
  <conditionalFormatting sqref="T16">
    <cfRule type="expression" dxfId="10" priority="47">
      <formula>AND(ISNUMBER(T16),T16&lt;0)</formula>
    </cfRule>
  </conditionalFormatting>
  <conditionalFormatting sqref="Y16">
    <cfRule type="expression" dxfId="9" priority="48">
      <formula>OR(Y16="meta atingida",Y16="dentro do limite",Y16="ocupação alta",Y16="excede o contratado")</formula>
    </cfRule>
  </conditionalFormatting>
  <conditionalFormatting sqref="Y16">
    <cfRule type="expression" dxfId="11" priority="49">
      <formula>OR(Y16="ocupação média",Y16="abaixo da meta")</formula>
    </cfRule>
  </conditionalFormatting>
  <conditionalFormatting sqref="Y16">
    <cfRule type="expression" dxfId="10" priority="50">
      <formula>OR(Y16="ociosidade alta",Y16="acima do limite")</formula>
    </cfRule>
  </conditionalFormatting>
  <conditionalFormatting sqref="T17">
    <cfRule type="expression" dxfId="9" priority="51">
      <formula>AND(ISNUMBER(T17),T17&gt;0)</formula>
    </cfRule>
  </conditionalFormatting>
  <conditionalFormatting sqref="T17">
    <cfRule type="expression" dxfId="10" priority="52">
      <formula>AND(ISNUMBER(T17),T17&lt;0)</formula>
    </cfRule>
  </conditionalFormatting>
  <conditionalFormatting sqref="Y17">
    <cfRule type="expression" dxfId="9" priority="53">
      <formula>OR(Y17="meta atingida",Y17="dentro do limite",Y17="ocupação alta",Y17="excede o contratado")</formula>
    </cfRule>
  </conditionalFormatting>
  <conditionalFormatting sqref="Y17">
    <cfRule type="expression" dxfId="11" priority="54">
      <formula>OR(Y17="ocupação média",Y17="abaixo da meta")</formula>
    </cfRule>
  </conditionalFormatting>
  <conditionalFormatting sqref="Y17">
    <cfRule type="expression" dxfId="10" priority="55">
      <formula>OR(Y17="ociosidade alta",Y17="acima do limite")</formula>
    </cfRule>
  </conditionalFormatting>
  <conditionalFormatting sqref="T18">
    <cfRule type="expression" dxfId="9" priority="56">
      <formula>AND(ISNUMBER(T18),T18&gt;0)</formula>
    </cfRule>
  </conditionalFormatting>
  <conditionalFormatting sqref="T18">
    <cfRule type="expression" dxfId="10" priority="57">
      <formula>AND(ISNUMBER(T18),T18&lt;0)</formula>
    </cfRule>
  </conditionalFormatting>
  <conditionalFormatting sqref="Y18">
    <cfRule type="expression" dxfId="9" priority="58">
      <formula>OR(Y18="meta atingida",Y18="dentro do limite",Y18="ocupação alta",Y18="excede o contratado")</formula>
    </cfRule>
  </conditionalFormatting>
  <conditionalFormatting sqref="Y18">
    <cfRule type="expression" dxfId="11" priority="59">
      <formula>OR(Y18="ocupação média",Y18="abaixo da meta")</formula>
    </cfRule>
  </conditionalFormatting>
  <conditionalFormatting sqref="Y18">
    <cfRule type="expression" dxfId="10" priority="60">
      <formula>OR(Y18="ociosidade alta",Y18="acima do limite")</formula>
    </cfRule>
  </conditionalFormatting>
  <conditionalFormatting sqref="T19">
    <cfRule type="expression" dxfId="9" priority="61">
      <formula>AND(ISNUMBER(T19),T19&gt;0)</formula>
    </cfRule>
  </conditionalFormatting>
  <conditionalFormatting sqref="T19">
    <cfRule type="expression" dxfId="10" priority="62">
      <formula>AND(ISNUMBER(T19),T19&lt;0)</formula>
    </cfRule>
  </conditionalFormatting>
  <conditionalFormatting sqref="Y19">
    <cfRule type="expression" dxfId="9" priority="63">
      <formula>OR(Y19="meta atingida",Y19="dentro do limite",Y19="ocupação alta",Y19="excede o contratado")</formula>
    </cfRule>
  </conditionalFormatting>
  <conditionalFormatting sqref="Y19">
    <cfRule type="expression" dxfId="11" priority="64">
      <formula>OR(Y19="ocupação média",Y19="abaixo da meta")</formula>
    </cfRule>
  </conditionalFormatting>
  <conditionalFormatting sqref="Y19">
    <cfRule type="expression" dxfId="10" priority="65">
      <formula>OR(Y19="ociosidade alta",Y19="acima do limite")</formula>
    </cfRule>
  </conditionalFormatting>
  <conditionalFormatting sqref="T20">
    <cfRule type="expression" dxfId="9" priority="66">
      <formula>AND(ISNUMBER(T20),T20&gt;0)</formula>
    </cfRule>
  </conditionalFormatting>
  <conditionalFormatting sqref="T20">
    <cfRule type="expression" dxfId="10" priority="67">
      <formula>AND(ISNUMBER(T20),T20&lt;0)</formula>
    </cfRule>
  </conditionalFormatting>
  <conditionalFormatting sqref="Y20">
    <cfRule type="expression" dxfId="9" priority="68">
      <formula>OR(Y20="meta atingida",Y20="dentro do limite",Y20="ocupação alta",Y20="excede o contratado")</formula>
    </cfRule>
  </conditionalFormatting>
  <conditionalFormatting sqref="Y20">
    <cfRule type="expression" dxfId="11" priority="69">
      <formula>OR(Y20="ocupação média",Y20="abaixo da meta")</formula>
    </cfRule>
  </conditionalFormatting>
  <conditionalFormatting sqref="Y20">
    <cfRule type="expression" dxfId="10" priority="70">
      <formula>OR(Y20="ociosidade alta",Y20="acima do limite")</formula>
    </cfRule>
  </conditionalFormatting>
  <conditionalFormatting sqref="T21">
    <cfRule type="expression" dxfId="9" priority="71">
      <formula>AND(ISNUMBER(T21),T21&gt;0)</formula>
    </cfRule>
  </conditionalFormatting>
  <conditionalFormatting sqref="T21">
    <cfRule type="expression" dxfId="10" priority="72">
      <formula>AND(ISNUMBER(T21),T21&lt;0)</formula>
    </cfRule>
  </conditionalFormatting>
  <conditionalFormatting sqref="Y21">
    <cfRule type="expression" dxfId="9" priority="73">
      <formula>OR(Y21="meta atingida",Y21="dentro do limite",Y21="ocupação alta",Y21="excede o contratado")</formula>
    </cfRule>
  </conditionalFormatting>
  <conditionalFormatting sqref="Y21">
    <cfRule type="expression" dxfId="11" priority="74">
      <formula>OR(Y21="ocupação média",Y21="abaixo da meta")</formula>
    </cfRule>
  </conditionalFormatting>
  <conditionalFormatting sqref="Y21">
    <cfRule type="expression" dxfId="10" priority="75">
      <formula>OR(Y21="ociosidade alta",Y21="acima do limite")</formula>
    </cfRule>
  </conditionalFormatting>
  <conditionalFormatting sqref="T22">
    <cfRule type="expression" dxfId="9" priority="76">
      <formula>AND(ISNUMBER(T22),T22&gt;0)</formula>
    </cfRule>
  </conditionalFormatting>
  <conditionalFormatting sqref="T22">
    <cfRule type="expression" dxfId="10" priority="77">
      <formula>AND(ISNUMBER(T22),T22&lt;0)</formula>
    </cfRule>
  </conditionalFormatting>
  <conditionalFormatting sqref="Y22">
    <cfRule type="expression" dxfId="9" priority="78">
      <formula>OR(Y22="meta atingida",Y22="dentro do limite",Y22="ocupação alta",Y22="excede o contratado")</formula>
    </cfRule>
  </conditionalFormatting>
  <conditionalFormatting sqref="Y22">
    <cfRule type="expression" dxfId="11" priority="79">
      <formula>OR(Y22="ocupação média",Y22="abaixo da meta")</formula>
    </cfRule>
  </conditionalFormatting>
  <conditionalFormatting sqref="Y22">
    <cfRule type="expression" dxfId="10" priority="80">
      <formula>OR(Y22="ociosidade alta",Y22="acima do limite")</formula>
    </cfRule>
  </conditionalFormatting>
  <conditionalFormatting sqref="T23">
    <cfRule type="expression" dxfId="9" priority="81">
      <formula>AND(ISNUMBER(T23),T23&gt;0)</formula>
    </cfRule>
  </conditionalFormatting>
  <conditionalFormatting sqref="T23">
    <cfRule type="expression" dxfId="10" priority="82">
      <formula>AND(ISNUMBER(T23),T23&lt;0)</formula>
    </cfRule>
  </conditionalFormatting>
  <conditionalFormatting sqref="Y23">
    <cfRule type="expression" dxfId="9" priority="83">
      <formula>OR(Y23="meta atingida",Y23="dentro do limite",Y23="ocupação alta",Y23="excede o contratado")</formula>
    </cfRule>
  </conditionalFormatting>
  <conditionalFormatting sqref="Y23">
    <cfRule type="expression" dxfId="11" priority="84">
      <formula>OR(Y23="ocupação média",Y23="abaixo da meta")</formula>
    </cfRule>
  </conditionalFormatting>
  <conditionalFormatting sqref="Y23">
    <cfRule type="expression" dxfId="10" priority="85">
      <formula>OR(Y23="ociosidade alta",Y23="acima do limite")</formula>
    </cfRule>
  </conditionalFormatting>
  <conditionalFormatting sqref="T24">
    <cfRule type="expression" dxfId="9" priority="86">
      <formula>AND(ISNUMBER(T24),T24&gt;0)</formula>
    </cfRule>
  </conditionalFormatting>
  <conditionalFormatting sqref="T24">
    <cfRule type="expression" dxfId="10" priority="87">
      <formula>AND(ISNUMBER(T24),T24&lt;0)</formula>
    </cfRule>
  </conditionalFormatting>
  <conditionalFormatting sqref="Y24">
    <cfRule type="expression" dxfId="9" priority="88">
      <formula>OR(Y24="meta atingida",Y24="dentro do limite",Y24="ocupação alta",Y24="excede o contratado")</formula>
    </cfRule>
  </conditionalFormatting>
  <conditionalFormatting sqref="Y24">
    <cfRule type="expression" dxfId="11" priority="89">
      <formula>OR(Y24="ocupação média",Y24="abaixo da meta")</formula>
    </cfRule>
  </conditionalFormatting>
  <conditionalFormatting sqref="Y24">
    <cfRule type="expression" dxfId="10" priority="90">
      <formula>OR(Y24="ociosidade alta",Y24="acima do limite")</formula>
    </cfRule>
  </conditionalFormatting>
  <conditionalFormatting sqref="T25">
    <cfRule type="expression" dxfId="9" priority="91">
      <formula>AND(ISNUMBER(T25),T25&lt;0)</formula>
    </cfRule>
  </conditionalFormatting>
  <conditionalFormatting sqref="T25">
    <cfRule type="expression" dxfId="10" priority="92">
      <formula>AND(ISNUMBER(T25),T25&gt;0)</formula>
    </cfRule>
  </conditionalFormatting>
  <conditionalFormatting sqref="Y25">
    <cfRule type="expression" dxfId="9" priority="93">
      <formula>OR(Y25="meta atingida",Y25="dentro do limite",Y25="ocupação alta",Y25="excede o contratado")</formula>
    </cfRule>
  </conditionalFormatting>
  <conditionalFormatting sqref="Y25">
    <cfRule type="expression" dxfId="11" priority="94">
      <formula>OR(Y25="ocupação média",Y25="abaixo da meta")</formula>
    </cfRule>
  </conditionalFormatting>
  <conditionalFormatting sqref="Y25">
    <cfRule type="expression" dxfId="10" priority="95">
      <formula>OR(Y25="ociosidade alta",Y25="acima do limite")</formula>
    </cfRule>
  </conditionalFormatting>
  <conditionalFormatting sqref="T26">
    <cfRule type="expression" dxfId="9" priority="96">
      <formula>AND(ISNUMBER(T26),T26&lt;0)</formula>
    </cfRule>
  </conditionalFormatting>
  <conditionalFormatting sqref="T26">
    <cfRule type="expression" dxfId="10" priority="97">
      <formula>AND(ISNUMBER(T26),T26&gt;0)</formula>
    </cfRule>
  </conditionalFormatting>
  <conditionalFormatting sqref="Y26">
    <cfRule type="expression" dxfId="9" priority="98">
      <formula>OR(Y26="meta atingida",Y26="dentro do limite",Y26="ocupação alta",Y26="excede o contratado")</formula>
    </cfRule>
  </conditionalFormatting>
  <conditionalFormatting sqref="Y26">
    <cfRule type="expression" dxfId="11" priority="99">
      <formula>OR(Y26="ocupação média",Y26="abaixo da meta")</formula>
    </cfRule>
  </conditionalFormatting>
  <conditionalFormatting sqref="Y26">
    <cfRule type="expression" dxfId="10" priority="100">
      <formula>OR(Y26="ociosidade alta",Y26="acima do limite")</formula>
    </cfRule>
  </conditionalFormatting>
  <conditionalFormatting sqref="T27">
    <cfRule type="expression" dxfId="9" priority="101">
      <formula>AND(ISNUMBER(T27),T27&lt;0)</formula>
    </cfRule>
  </conditionalFormatting>
  <conditionalFormatting sqref="T27">
    <cfRule type="expression" dxfId="10" priority="102">
      <formula>AND(ISNUMBER(T27),T27&gt;0)</formula>
    </cfRule>
  </conditionalFormatting>
  <conditionalFormatting sqref="Y27">
    <cfRule type="expression" dxfId="9" priority="103">
      <formula>OR(Y27="meta atingida",Y27="dentro do limite",Y27="ocupação alta",Y27="excede o contratado")</formula>
    </cfRule>
  </conditionalFormatting>
  <conditionalFormatting sqref="Y27">
    <cfRule type="expression" dxfId="11" priority="104">
      <formula>OR(Y27="ocupação média",Y27="abaixo da meta")</formula>
    </cfRule>
  </conditionalFormatting>
  <conditionalFormatting sqref="Y27">
    <cfRule type="expression" dxfId="10" priority="105">
      <formula>OR(Y27="ociosidade alta",Y27="acima do limite")</formula>
    </cfRule>
  </conditionalFormatting>
  <conditionalFormatting sqref="Y28">
    <cfRule type="expression" dxfId="9" priority="106">
      <formula>OR(Y28="meta atingida",Y28="dentro do limite",Y28="ocupação alta",Y28="excede o contratado")</formula>
    </cfRule>
  </conditionalFormatting>
  <conditionalFormatting sqref="Y28">
    <cfRule type="expression" dxfId="11" priority="107">
      <formula>OR(Y28="ocupação média",Y28="abaixo da meta")</formula>
    </cfRule>
  </conditionalFormatting>
  <conditionalFormatting sqref="Y28">
    <cfRule type="expression" dxfId="10" priority="108">
      <formula>OR(Y28="ociosidade alta",Y28="acima do limite")</formula>
    </cfRule>
  </conditionalFormatting>
  <conditionalFormatting sqref="Y29">
    <cfRule type="expression" dxfId="9" priority="109">
      <formula>OR(Y29="meta atingida",Y29="dentro do limite",Y29="ocupação alta",Y29="excede o contratado")</formula>
    </cfRule>
  </conditionalFormatting>
  <conditionalFormatting sqref="Y29">
    <cfRule type="expression" dxfId="11" priority="110">
      <formula>OR(Y29="ocupação média",Y29="abaixo da meta")</formula>
    </cfRule>
  </conditionalFormatting>
  <conditionalFormatting sqref="Y29">
    <cfRule type="expression" dxfId="10" priority="111">
      <formula>OR(Y29="ociosidade alta",Y29="acima do limite")</formula>
    </cfRule>
  </conditionalFormatting>
  <conditionalFormatting sqref="Y30">
    <cfRule type="expression" dxfId="9" priority="112">
      <formula>OR(Y30="meta atingida",Y30="dentro do limite",Y30="ocupação alta",Y30="excede o contratado")</formula>
    </cfRule>
  </conditionalFormatting>
  <conditionalFormatting sqref="Y30">
    <cfRule type="expression" dxfId="11" priority="113">
      <formula>OR(Y30="ocupação média",Y30="abaixo da meta")</formula>
    </cfRule>
  </conditionalFormatting>
  <conditionalFormatting sqref="Y30">
    <cfRule type="expression" dxfId="10" priority="114">
      <formula>OR(Y30="ociosidade alta",Y30="acima do limite")</formula>
    </cfRule>
  </conditionalFormatting>
  <conditionalFormatting sqref="T31">
    <cfRule type="expression" dxfId="9" priority="115">
      <formula>AND(ISNUMBER(T31),T31&gt;0)</formula>
    </cfRule>
  </conditionalFormatting>
  <conditionalFormatting sqref="T31">
    <cfRule type="expression" dxfId="10" priority="116">
      <formula>AND(ISNUMBER(T31),T31&lt;0)</formula>
    </cfRule>
  </conditionalFormatting>
  <conditionalFormatting sqref="Y31">
    <cfRule type="expression" dxfId="9" priority="117">
      <formula>OR(Y31="meta atingida",Y31="dentro do limite",Y31="ocupação alta",Y31="excede o contratado")</formula>
    </cfRule>
  </conditionalFormatting>
  <conditionalFormatting sqref="Y31">
    <cfRule type="expression" dxfId="11" priority="118">
      <formula>OR(Y31="ocupação média",Y31="abaixo da meta")</formula>
    </cfRule>
  </conditionalFormatting>
  <conditionalFormatting sqref="Y31">
    <cfRule type="expression" dxfId="10" priority="119">
      <formula>OR(Y31="ociosidade alta",Y31="acima do limite")</formula>
    </cfRule>
  </conditionalFormatting>
  <conditionalFormatting sqref="T32">
    <cfRule type="expression" dxfId="9" priority="120">
      <formula>AND(ISNUMBER(T32),T32&lt;0)</formula>
    </cfRule>
  </conditionalFormatting>
  <conditionalFormatting sqref="T32">
    <cfRule type="expression" dxfId="10" priority="121">
      <formula>AND(ISNUMBER(T32),T32&gt;0)</formula>
    </cfRule>
  </conditionalFormatting>
  <conditionalFormatting sqref="Y32">
    <cfRule type="expression" dxfId="9" priority="122">
      <formula>OR(Y32="meta atingida",Y32="dentro do limite",Y32="ocupação alta",Y32="excede o contratado")</formula>
    </cfRule>
  </conditionalFormatting>
  <conditionalFormatting sqref="Y32">
    <cfRule type="expression" dxfId="11" priority="123">
      <formula>OR(Y32="ocupação média",Y32="abaixo da meta")</formula>
    </cfRule>
  </conditionalFormatting>
  <conditionalFormatting sqref="Y32">
    <cfRule type="expression" dxfId="10" priority="124">
      <formula>OR(Y32="ociosidade alta",Y32="acima do limite")</formula>
    </cfRule>
  </conditionalFormatting>
  <conditionalFormatting sqref="Y33">
    <cfRule type="expression" dxfId="9" priority="125">
      <formula>OR(Y33="meta atingida",Y33="dentro do limite",Y33="ocupação alta",Y33="excede o contratado")</formula>
    </cfRule>
  </conditionalFormatting>
  <conditionalFormatting sqref="Y33">
    <cfRule type="expression" dxfId="11" priority="126">
      <formula>OR(Y33="ocupação média",Y33="abaixo da meta")</formula>
    </cfRule>
  </conditionalFormatting>
  <conditionalFormatting sqref="Y33">
    <cfRule type="expression" dxfId="10" priority="127">
      <formula>OR(Y33="ociosidade alta",Y33="acima do limite")</formula>
    </cfRule>
  </conditionalFormatting>
  <conditionalFormatting sqref="Y34">
    <cfRule type="expression" dxfId="9" priority="128">
      <formula>OR(Y34="meta atingida",Y34="dentro do limite",Y34="ocupação alta",Y34="excede o contratado")</formula>
    </cfRule>
  </conditionalFormatting>
  <conditionalFormatting sqref="Y34">
    <cfRule type="expression" dxfId="11" priority="129">
      <formula>OR(Y34="ocupação média",Y34="abaixo da meta")</formula>
    </cfRule>
  </conditionalFormatting>
  <conditionalFormatting sqref="Y34">
    <cfRule type="expression" dxfId="10" priority="130">
      <formula>OR(Y34="ociosidade alta",Y34="acima do limite")</formula>
    </cfRule>
  </conditionalFormatting>
  <conditionalFormatting sqref="T35">
    <cfRule type="expression" dxfId="9" priority="131">
      <formula>AND(ISNUMBER(T35),T35&lt;0)</formula>
    </cfRule>
  </conditionalFormatting>
  <conditionalFormatting sqref="T35">
    <cfRule type="expression" dxfId="10" priority="132">
      <formula>AND(ISNUMBER(T35),T35&gt;0)</formula>
    </cfRule>
  </conditionalFormatting>
  <conditionalFormatting sqref="Y35">
    <cfRule type="expression" dxfId="9" priority="133">
      <formula>OR(Y35="meta atingida",Y35="dentro do limite",Y35="ocupação alta",Y35="excede o contratado")</formula>
    </cfRule>
  </conditionalFormatting>
  <conditionalFormatting sqref="Y35">
    <cfRule type="expression" dxfId="11" priority="134">
      <formula>OR(Y35="ocupação média",Y35="abaixo da meta")</formula>
    </cfRule>
  </conditionalFormatting>
  <conditionalFormatting sqref="Y35">
    <cfRule type="expression" dxfId="10" priority="135">
      <formula>OR(Y35="ociosidade alta",Y35="acima do limite")</formula>
    </cfRule>
  </conditionalFormatting>
  <conditionalFormatting sqref="T36">
    <cfRule type="expression" dxfId="9" priority="136">
      <formula>AND(ISNUMBER(T36),T36&lt;0)</formula>
    </cfRule>
  </conditionalFormatting>
  <conditionalFormatting sqref="T36">
    <cfRule type="expression" dxfId="10" priority="137">
      <formula>AND(ISNUMBER(T36),T36&gt;0)</formula>
    </cfRule>
  </conditionalFormatting>
  <conditionalFormatting sqref="Y36">
    <cfRule type="expression" dxfId="9" priority="138">
      <formula>OR(Y36="meta atingida",Y36="dentro do limite",Y36="ocupação alta",Y36="excede o contratado")</formula>
    </cfRule>
  </conditionalFormatting>
  <conditionalFormatting sqref="Y36">
    <cfRule type="expression" dxfId="11" priority="139">
      <formula>OR(Y36="ocupação média",Y36="abaixo da meta")</formula>
    </cfRule>
  </conditionalFormatting>
  <conditionalFormatting sqref="Y36">
    <cfRule type="expression" dxfId="10" priority="140">
      <formula>OR(Y36="ociosidade alta",Y36="acima do limite")</formula>
    </cfRule>
  </conditionalFormatting>
  <conditionalFormatting sqref="T37">
    <cfRule type="expression" dxfId="9" priority="141">
      <formula>AND(ISNUMBER(T37),T37&lt;0)</formula>
    </cfRule>
  </conditionalFormatting>
  <conditionalFormatting sqref="T37">
    <cfRule type="expression" dxfId="10" priority="142">
      <formula>AND(ISNUMBER(T37),T37&gt;0)</formula>
    </cfRule>
  </conditionalFormatting>
  <conditionalFormatting sqref="Y37">
    <cfRule type="expression" dxfId="9" priority="143">
      <formula>OR(Y37="meta atingida",Y37="dentro do limite",Y37="ocupação alta",Y37="excede o contratado")</formula>
    </cfRule>
  </conditionalFormatting>
  <conditionalFormatting sqref="Y37">
    <cfRule type="expression" dxfId="11" priority="144">
      <formula>OR(Y37="ocupação média",Y37="abaixo da meta")</formula>
    </cfRule>
  </conditionalFormatting>
  <conditionalFormatting sqref="Y37">
    <cfRule type="expression" dxfId="10" priority="145">
      <formula>OR(Y37="ociosidade alta",Y37="acima do limite")</formula>
    </cfRule>
  </conditionalFormatting>
  <conditionalFormatting sqref="T38">
    <cfRule type="expression" dxfId="9" priority="146">
      <formula>AND(ISNUMBER(T38),T38&lt;0)</formula>
    </cfRule>
  </conditionalFormatting>
  <conditionalFormatting sqref="T38">
    <cfRule type="expression" dxfId="10" priority="147">
      <formula>AND(ISNUMBER(T38),T38&gt;0)</formula>
    </cfRule>
  </conditionalFormatting>
  <conditionalFormatting sqref="Y38">
    <cfRule type="expression" dxfId="9" priority="148">
      <formula>OR(Y38="meta atingida",Y38="dentro do limite",Y38="ocupação alta",Y38="excede o contratado")</formula>
    </cfRule>
  </conditionalFormatting>
  <conditionalFormatting sqref="Y38">
    <cfRule type="expression" dxfId="11" priority="149">
      <formula>OR(Y38="ocupação média",Y38="abaixo da meta")</formula>
    </cfRule>
  </conditionalFormatting>
  <conditionalFormatting sqref="Y38">
    <cfRule type="expression" dxfId="10" priority="150">
      <formula>OR(Y38="ociosidade alta",Y38="acima do limite")</formula>
    </cfRule>
  </conditionalFormatting>
  <dataValidations count="2">
    <dataValidation type="list" allowBlank="1" showInputMessage="1" showErrorMessage="1" promptTitle="Mês" prompt="Escolha o mês do ano. Toda a aba se atualiza." errorTitle="Valor inválido" error="Escolha um mês da lista." sqref="V1">
      <formula1>calculos!$AM$12:$AM$23</formula1>
    </dataValidation>
    <dataValidation type="list" allowBlank="1" showInputMessage="1" showErrorMessage="1" promptTitle="Cliente" prompt="Filtro próprio do Consol Mensal (quadro e resumo por cliente)." errorTitle="Valor inválido" error="Escolha um valor da lista." sqref="D3">
      <formula1>calculos!$AO$12:$AO$22</formula1>
    </dataValidation>
  </dataValidations>
  <pageMargins left="0.25" right="0.25" top="0.4" bottom="0.4" header="0.2" footer="0.2"/>
  <pageSetup paperSize="9" orientation="landscape" fitToWidth="1" fitToHeight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7F7F7F"/>
    <pageSetUpPr fitToPage="1"/>
  </sheetPr>
  <dimension ref="A1:BD336"/>
  <sheetViews>
    <sheetView showGridLines="0" zoomScale="100" zoomScaleNormal="100" workbookViewId="0">
      <pane xSplit="2" ySplit="11" topLeftCell="C12" activePane="bottomRight" state="frozen"/>
      <selection pane="bottomRight" activeCell="C12" sqref="C12"/>
    </sheetView>
  </sheetViews>
  <sheetFormatPr defaultRowHeight="15"/>
  <cols>
    <col min="1" max="1" width="26" customWidth="1"/>
    <col min="2" max="2" width="12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0" customWidth="1"/>
    <col min="20" max="20" width="10" customWidth="1"/>
    <col min="21" max="21" width="10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10" customWidth="1"/>
    <col min="28" max="28" width="10" customWidth="1"/>
    <col min="29" max="29" width="10" customWidth="1"/>
    <col min="30" max="30" width="10" customWidth="1"/>
    <col min="31" max="31" width="10" customWidth="1"/>
    <col min="32" max="32" width="10" customWidth="1"/>
    <col min="33" max="33" width="10" customWidth="1"/>
    <col min="34" max="34" width="10" customWidth="1"/>
    <col min="35" max="35" width="10" customWidth="1"/>
    <col min="36" max="36" width="10" customWidth="1"/>
    <col min="39" max="39" width="20" customWidth="1"/>
    <col min="41" max="41" width="22" customWidth="1"/>
    <col min="42" max="42" width="12" customWidth="1"/>
    <col min="44" max="44" width="52" customWidth="1"/>
    <col min="47" max="47" width="14" customWidth="1"/>
    <col min="49" max="49" width="20" customWidth="1"/>
    <col min="51" max="51" width="11" customWidth="1"/>
    <col min="52" max="52" width="11" customWidth="1"/>
    <col min="53" max="53" width="11" customWidth="1"/>
    <col min="54" max="54" width="11" customWidth="1"/>
    <col min="56" max="56" width="11" customWidth="1"/>
  </cols>
  <sheetData>
    <row r="1">
      <c r="A1" s="26" t="inlineStr">
        <is>
          <t xml:space="preserve">CÁLCULOS — base da aba Dashboard (período digitado; gráficos no mês do dia inicial) · gerado automaticamente</t>
        </is>
      </c>
    </row>
    <row r="2">
      <c r="A2" s="27" t="inlineStr">
        <is>
          <t xml:space="preserve">Cliente selecionado</t>
        </is>
      </c>
      <c r="B2" s="27" t="str">
        <f>IF(OR(Dashboard!$D$3="",Dashboard!$D$3="Todos"),"Todos",Dashboard!$D$3)</f>
        <v>Todos</v>
      </c>
      <c r="C2" s="28">
        <f>IF(LEFT($B$2,9)="Depósito ",2,1)</f>
        <v>1</v>
      </c>
      <c r="D2" s="29" t="str">
        <f>IF($C$2=2,MID($B$2,10,60),$B$2)</f>
        <v>Todos</v>
      </c>
      <c r="E2" s="29" t="str">
        <f>IFERROR(INDEX($AP$12:$AP$22,MATCH($B$2,$AO$12:$AO$22,0)),"")</f>
        <v>TPC</v>
      </c>
    </row>
    <row r="3">
      <c r="A3" s="27" t="inlineStr">
        <is>
          <t xml:space="preserve">Capacidade (posições)</t>
        </is>
      </c>
      <c r="B3" s="30">
        <f>SUM($AV$13:$AV$13)</f>
        <v>23040</v>
      </c>
      <c r="C3" s="31" t="inlineStr">
        <is>
          <t xml:space="preserve">soma dos depósitos (tabela de capacidade à direita, células amarelas)</t>
        </is>
      </c>
    </row>
    <row r="4">
      <c r="A4" s="31" t="inlineStr">
        <is>
          <t xml:space="preserve">Capacidade (repetida p/ fórmulas)</t>
        </is>
      </c>
      <c r="B4" s="32">
        <f>$B$3</f>
        <v>23040</v>
      </c>
    </row>
    <row r="5">
      <c r="A5" s="27" t="inlineStr">
        <is>
          <t xml:space="preserve">Faixa de atenção (ocupação)</t>
        </is>
      </c>
      <c r="B5" s="33">
        <v>0.7</v>
      </c>
    </row>
    <row r="6">
      <c r="A6" s="27" t="inlineStr">
        <is>
          <t xml:space="preserve">Faixa crítica (ocupação)</t>
        </is>
      </c>
      <c r="B6" s="33">
        <v>0.9</v>
      </c>
    </row>
    <row r="7">
      <c r="A7" s="27" t="inlineStr">
        <is>
          <t xml:space="preserve">Competência</t>
        </is>
      </c>
      <c r="B7" s="35" t="str">
        <f>INDEX({"Janeiro","Fevereiro","Março","Abril","Maio","Junho","Julho","Agosto","Setembro","Outubro","Novembro","Dezembro"},MONTH($C$7))&amp;"/"&amp;YEAR($C$7)</f>
        <v>Outubro/2026</v>
      </c>
      <c r="C7" s="34">
        <f>IF(ISNUMBER(Dashboard!$Q$3),DATE(YEAR(Dashboard!$Q$3),MONTH(Dashboard!$Q$3),1),IFERROR(DATE(VALUE(RIGHT(TRIM(Dashboard!$Q$3),4)),MATCH(TRIM(LEFT(Dashboard!$Q$3,FIND("·",Dashboard!$Q$3)-1)),{"JANEIRO","FEVEREIRO","MARÇO","ABRIL","MAIO","JUNHO","JULHO","AGOSTO","SETEMBRO","OUTUBRO","NOVEMBRO","DEZEMBRO"},0),1),DATE(2026,10,1)))</f>
        <v>46296</v>
      </c>
      <c r="D7" s="34">
        <f>DATE(YEAR($C$7),MONTH($C$7)+1,0)</f>
        <v>46326</v>
      </c>
      <c r="E7" s="27" t="inlineStr">
        <is>
          <t xml:space="preserve">Período (cards)</t>
        </is>
      </c>
      <c r="F7" s="34">
        <f>IF(ISNUMBER(Dashboard!$Q$3),Dashboard!$Q$3,$C$7)</f>
        <v>46296</v>
      </c>
      <c r="G7" s="34">
        <f>IF(ISNUMBER(Dashboard!$V$3),MAX(Dashboard!$V$3,$F$7),$D$7)</f>
        <v>46326</v>
      </c>
    </row>
    <row r="8">
      <c r="A8" s="27" t="inlineStr">
        <is>
          <t xml:space="preserve">Mês anterior (comparação)</t>
        </is>
      </c>
      <c r="B8" s="35" t="str">
        <f>INDEX({"Janeiro","Fevereiro","Março","Abril","Maio","Junho","Julho","Agosto","Setembro","Outubro","Novembro","Dezembro"},MONTH($C$8))&amp;"/"&amp;YEAR($C$8)</f>
        <v>Setembro/2026</v>
      </c>
      <c r="C8" s="34">
        <f>DATE(YEAR($C$7),MONTH($C$7)-1,1)</f>
        <v>46266</v>
      </c>
      <c r="D8" s="34">
        <f>IF($B$9=0,$C$8-1,$C$8+MIN($B$9,DAY($C$7-1))-1)</f>
        <v>46265</v>
      </c>
      <c r="E8" s="27" t="inlineStr">
        <is>
          <t xml:space="preserve">Período anterior</t>
        </is>
      </c>
      <c r="F8" s="34">
        <f>$F$7-($G$7-$F$7+1)</f>
        <v>46265</v>
      </c>
      <c r="G8" s="34">
        <f>$F$7-1</f>
        <v>46295</v>
      </c>
    </row>
    <row r="9">
      <c r="A9" s="27" t="inlineStr">
        <is>
          <t xml:space="preserve">Último dia com dado no mês</t>
        </is>
      </c>
      <c r="B9" s="36">
        <f>IF(COUNTIFS(BD!$A$3:$A$5001,"&gt;="&amp;$C$7,BD!$A$3:$A$5001,"&lt;="&amp;$D$7)=0,0,DAY(_xlfn.MAXIFS(BD!$A$3:$A$5001,BD!$A$3:$A$5001,"&gt;="&amp;$C$7,BD!$A$3:$A$5001,"&lt;="&amp;$D$7)))</f>
        <v>0</v>
      </c>
      <c r="C9" s="31" t="inlineStr">
        <is>
          <t xml:space="preserve">o mês anterior é comparado do dia 1 até este dia</t>
        </is>
      </c>
    </row>
    <row r="11" ht="40" customHeight="1">
      <c r="A11" s="37" t="inlineStr">
        <is>
          <t xml:space="preserve">Dia</t>
        </is>
      </c>
      <c r="B11" s="37" t="inlineStr">
        <is>
          <t xml:space="preserve">Data</t>
        </is>
      </c>
      <c r="C11" s="37" t="inlineStr">
        <is>
          <t xml:space="preserve">IN Veículos Recebidos</t>
        </is>
      </c>
      <c r="D11" s="37" t="inlineStr">
        <is>
          <t xml:space="preserve">IN Pallets Movimentados</t>
        </is>
      </c>
      <c r="E11" s="37" t="inlineStr">
        <is>
          <t xml:space="preserve">IN Toneladas Movimentadas</t>
        </is>
      </c>
      <c r="F11" s="37" t="inlineStr">
        <is>
          <t xml:space="preserve">IN Linhas NF</t>
        </is>
      </c>
      <c r="G11" s="37" t="inlineStr">
        <is>
          <t xml:space="preserve">IN Caixas Movimentadas</t>
        </is>
      </c>
      <c r="H11" s="37" t="inlineStr">
        <is>
          <t xml:space="preserve">IN Peças Movimentadas</t>
        </is>
      </c>
      <c r="I11" s="37" t="inlineStr">
        <is>
          <t xml:space="preserve">IN Itens Recebidos CX Mista</t>
        </is>
      </c>
      <c r="J11" s="37" t="inlineStr">
        <is>
          <t xml:space="preserve">IN Caixas Fechadas</t>
        </is>
      </c>
      <c r="K11" s="37" t="inlineStr">
        <is>
          <t xml:space="preserve">IN Caixas Mistas Recebidas</t>
        </is>
      </c>
      <c r="L11" s="37" t="inlineStr">
        <is>
          <t xml:space="preserve">OUT Veículos Expedidos</t>
        </is>
      </c>
      <c r="M11" s="37" t="inlineStr">
        <is>
          <t xml:space="preserve">OUT Pedidos Expedidos</t>
        </is>
      </c>
      <c r="N11" s="37" t="inlineStr">
        <is>
          <t xml:space="preserve">OUT Pedidos Faturados</t>
        </is>
      </c>
      <c r="O11" s="37" t="inlineStr">
        <is>
          <t xml:space="preserve">OUT Itens Expedidos</t>
        </is>
      </c>
      <c r="P11" s="37" t="inlineStr">
        <is>
          <t xml:space="preserve">OUT Peças Movimentadas</t>
        </is>
      </c>
      <c r="Q11" s="37" t="inlineStr">
        <is>
          <t xml:space="preserve">OUT Linhas NF</t>
        </is>
      </c>
      <c r="R11" s="37" t="inlineStr">
        <is>
          <t xml:space="preserve">OUT Caixas Expedidas</t>
        </is>
      </c>
      <c r="S11" s="37" t="inlineStr">
        <is>
          <t xml:space="preserve">OUT Pallets Movimentados</t>
        </is>
      </c>
      <c r="T11" s="37" t="inlineStr">
        <is>
          <t xml:space="preserve">OUT Toneladas Movimentadas</t>
        </is>
      </c>
      <c r="U11" s="37" t="inlineStr">
        <is>
          <t xml:space="preserve">NC Incidentes</t>
        </is>
      </c>
      <c r="V11" s="37" t="inlineStr">
        <is>
          <t xml:space="preserve">NC No show</t>
        </is>
      </c>
      <c r="W11" s="37" t="inlineStr">
        <is>
          <t xml:space="preserve">NC Backlog</t>
        </is>
      </c>
      <c r="X11" s="37" t="inlineStr">
        <is>
          <t xml:space="preserve">OCUPAÇÃO (P.P) Posições Disponíveis</t>
        </is>
      </c>
      <c r="Y11" s="37" t="inlineStr">
        <is>
          <t xml:space="preserve">OCUPAÇÃO (P.P) Posições Ocupadas</t>
        </is>
      </c>
      <c r="Z11" s="37" t="inlineStr">
        <is>
          <t xml:space="preserve">OCUPAÇÃO (P.P) Taxa de Ocupação</t>
        </is>
      </c>
      <c r="AA11" s="37" t="inlineStr">
        <is>
          <t xml:space="preserve">GENTE Efetivo Op.</t>
        </is>
      </c>
      <c r="AB11" s="37" t="inlineStr">
        <is>
          <t xml:space="preserve">GENTE Falta</t>
        </is>
      </c>
      <c r="AC11" s="37" t="inlineStr">
        <is>
          <t xml:space="preserve">GENTE Folga</t>
        </is>
      </c>
      <c r="AD11" s="37" t="inlineStr">
        <is>
          <t xml:space="preserve">GENTE Férias</t>
        </is>
      </c>
      <c r="AE11" s="37" t="inlineStr">
        <is>
          <t xml:space="preserve">GENTE Desligamento</t>
        </is>
      </c>
      <c r="AF11" s="37" t="inlineStr">
        <is>
          <t xml:space="preserve">GENTE Desvios Comportamentais</t>
        </is>
      </c>
      <c r="AG11" s="37" t="inlineStr">
        <is>
          <t xml:space="preserve">GENTE Acidentes CAF</t>
        </is>
      </c>
      <c r="AH11" s="37" t="inlineStr">
        <is>
          <t xml:space="preserve">GENTE Acidentes SAF</t>
        </is>
      </c>
      <c r="AI11" s="37" t="inlineStr">
        <is>
          <t xml:space="preserve">Faixa atenção</t>
        </is>
      </c>
      <c r="AJ11" s="37" t="inlineStr">
        <is>
          <t xml:space="preserve">Faixa crítica</t>
        </is>
      </c>
      <c r="AM11" s="37" t="inlineStr">
        <is>
          <t xml:space="preserve">Meses (filtros das abas)</t>
        </is>
      </c>
      <c r="AO11" s="37" t="inlineStr">
        <is>
          <t xml:space="preserve">Filtro: depósito / cliente</t>
        </is>
      </c>
      <c r="AP11" s="37" t="inlineStr">
        <is>
          <t xml:space="preserve">Depósito</t>
        </is>
      </c>
      <c r="AR11" s="37" t="inlineStr">
        <is>
          <t xml:space="preserve">Títulos dos gráficos (seguem os filtros)</t>
        </is>
      </c>
      <c r="AY11" s="37" t="inlineStr">
        <is>
          <t xml:space="preserve">Gráf A IN (diário)</t>
        </is>
      </c>
      <c r="AZ11" s="37" t="inlineStr">
        <is>
          <t xml:space="preserve">Gráf A OUT (diário)</t>
        </is>
      </c>
      <c r="BA11" s="37" t="inlineStr">
        <is>
          <t xml:space="preserve">Gráf B IN (diário)</t>
        </is>
      </c>
      <c r="BB11" s="37" t="inlineStr">
        <is>
          <t xml:space="preserve">Gráf B OUT (diário)</t>
        </is>
      </c>
      <c r="BD11" s="37" t="inlineStr">
        <is>
          <t xml:space="preserve">Rótulo contrato (último dia)</t>
        </is>
      </c>
    </row>
    <row r="12">
      <c r="A12" s="28">
        <v>1</v>
      </c>
      <c r="B12" s="45">
        <f>IF($A12&lt;=DAY($D$7),$C$7+$A12-1,"")</f>
        <v>46296</v>
      </c>
      <c r="C12" s="32">
        <f>IF($B12="","",IF($B$2="Todos",SUMIFS(BD!$C$3:$C$5001,BD!$A$3:$A$5001,$B12),SUMIFS(BD!$C$3:$C$5001,BD!$A$3:$A$5001,$B12,BD!$B$3:$B$5001,$D$2)))</f>
        <v>0</v>
      </c>
      <c r="D12" s="32">
        <f>IF($B12="","",IF($B$2="Todos",SUMIFS(BD!$D$3:$D$5001,BD!$A$3:$A$5001,$B12),SUMIFS(BD!$D$3:$D$5001,BD!$A$3:$A$5001,$B12,BD!$B$3:$B$5001,$D$2)))</f>
        <v>0</v>
      </c>
      <c r="E12" s="46">
        <f>IF($B12="","",IF($B$2="Todos",SUMIFS(BD!$E$3:$E$5001,BD!$A$3:$A$5001,$B12),SUMIFS(BD!$E$3:$E$5001,BD!$A$3:$A$5001,$B12,BD!$B$3:$B$5001,$D$2)))</f>
        <v>0</v>
      </c>
      <c r="F12" s="32">
        <f>IF($B12="","",IF($B$2="Todos",SUMIFS(BD!$F$3:$F$5001,BD!$A$3:$A$5001,$B12),SUMIFS(BD!$F$3:$F$5001,BD!$A$3:$A$5001,$B12,BD!$B$3:$B$5001,$D$2)))</f>
        <v>0</v>
      </c>
      <c r="G12" s="32">
        <f>IF($B12="","",IF($B$2="Todos",SUMIFS(BD!$G$3:$G$5001,BD!$A$3:$A$5001,$B12),SUMIFS(BD!$G$3:$G$5001,BD!$A$3:$A$5001,$B12,BD!$B$3:$B$5001,$D$2)))</f>
        <v>0</v>
      </c>
      <c r="H12" s="32">
        <f>IF($B12="","",IF($B$2="Todos",SUMIFS(BD!$H$3:$H$5001,BD!$A$3:$A$5001,$B12),SUMIFS(BD!$H$3:$H$5001,BD!$A$3:$A$5001,$B12,BD!$B$3:$B$5001,$D$2)))</f>
        <v>0</v>
      </c>
      <c r="I12" s="32">
        <f>IF($B12="","",IF($B$2="Todos",SUMIFS(BD!$I$3:$I$5001,BD!$A$3:$A$5001,$B12),SUMIFS(BD!$I$3:$I$5001,BD!$A$3:$A$5001,$B12,BD!$B$3:$B$5001,$D$2)))</f>
        <v>0</v>
      </c>
      <c r="J12" s="32">
        <f>IF($B12="","",IF($B$2="Todos",SUMIFS(BD!$J$3:$J$5001,BD!$A$3:$A$5001,$B12),SUMIFS(BD!$J$3:$J$5001,BD!$A$3:$A$5001,$B12,BD!$B$3:$B$5001,$D$2)))</f>
        <v>0</v>
      </c>
      <c r="K12" s="32">
        <f>IF($B12="","",IF($B$2="Todos",SUMIFS(BD!$K$3:$K$5001,BD!$A$3:$A$5001,$B12),SUMIFS(BD!$K$3:$K$5001,BD!$A$3:$A$5001,$B12,BD!$B$3:$B$5001,$D$2)))</f>
        <v>0</v>
      </c>
      <c r="L12" s="32">
        <f>IF($B12="","",IF($B$2="Todos",SUMIFS(BD!$L$3:$L$5001,BD!$A$3:$A$5001,$B12),SUMIFS(BD!$L$3:$L$5001,BD!$A$3:$A$5001,$B12,BD!$B$3:$B$5001,$D$2)))</f>
        <v>0</v>
      </c>
      <c r="M12" s="32">
        <f>IF($B12="","",IF($B$2="Todos",SUMIFS(BD!$M$3:$M$5001,BD!$A$3:$A$5001,$B12),SUMIFS(BD!$M$3:$M$5001,BD!$A$3:$A$5001,$B12,BD!$B$3:$B$5001,$D$2)))</f>
        <v>0</v>
      </c>
      <c r="N12" s="32">
        <f>IF($B12="","",IF($B$2="Todos",SUMIFS(BD!$N$3:$N$5001,BD!$A$3:$A$5001,$B12),SUMIFS(BD!$N$3:$N$5001,BD!$A$3:$A$5001,$B12,BD!$B$3:$B$5001,$D$2)))</f>
        <v>0</v>
      </c>
      <c r="O12" s="32">
        <f>IF($B12="","",IF($B$2="Todos",SUMIFS(BD!$O$3:$O$5001,BD!$A$3:$A$5001,$B12),SUMIFS(BD!$O$3:$O$5001,BD!$A$3:$A$5001,$B12,BD!$B$3:$B$5001,$D$2)))</f>
        <v>0</v>
      </c>
      <c r="P12" s="32">
        <f>IF($B12="","",IF($B$2="Todos",SUMIFS(BD!$P$3:$P$5001,BD!$A$3:$A$5001,$B12),SUMIFS(BD!$P$3:$P$5001,BD!$A$3:$A$5001,$B12,BD!$B$3:$B$5001,$D$2)))</f>
        <v>0</v>
      </c>
      <c r="Q12" s="32">
        <f>IF($B12="","",IF($B$2="Todos",SUMIFS(BD!$Q$3:$Q$5001,BD!$A$3:$A$5001,$B12),SUMIFS(BD!$Q$3:$Q$5001,BD!$A$3:$A$5001,$B12,BD!$B$3:$B$5001,$D$2)))</f>
        <v>0</v>
      </c>
      <c r="R12" s="32">
        <f>IF($B12="","",IF($B$2="Todos",SUMIFS(BD!$R$3:$R$5001,BD!$A$3:$A$5001,$B12),SUMIFS(BD!$R$3:$R$5001,BD!$A$3:$A$5001,$B12,BD!$B$3:$B$5001,$D$2)))</f>
        <v>0</v>
      </c>
      <c r="S12" s="32">
        <f>IF($B12="","",IF($B$2="Todos",SUMIFS(BD!$S$3:$S$5001,BD!$A$3:$A$5001,$B12),SUMIFS(BD!$S$3:$S$5001,BD!$A$3:$A$5001,$B12,BD!$B$3:$B$5001,$D$2)))</f>
        <v>0</v>
      </c>
      <c r="T12" s="46">
        <f>IF($B12="","",IF($B$2="Todos",SUMIFS(BD!$T$3:$T$5001,BD!$A$3:$A$5001,$B12),SUMIFS(BD!$T$3:$T$5001,BD!$A$3:$A$5001,$B12,BD!$B$3:$B$5001,$D$2)))</f>
        <v>0</v>
      </c>
      <c r="U12" s="32">
        <f>IF($B12="","",IF($B$2="Todos",SUMIFS(BD!$U$3:$U$5001,BD!$A$3:$A$5001,$B12),SUMIFS(BD!$U$3:$U$5001,BD!$A$3:$A$5001,$B12,BD!$B$3:$B$5001,$D$2)))</f>
        <v>0</v>
      </c>
      <c r="V12" s="32">
        <f>IF($B12="","",IF($B$2="Todos",SUMIFS(BD!$V$3:$V$5001,BD!$A$3:$A$5001,$B12),SUMIFS(BD!$V$3:$V$5001,BD!$A$3:$A$5001,$B12,BD!$B$3:$B$5001,$D$2)))</f>
        <v>0</v>
      </c>
      <c r="W12" s="32" t="str">
        <f>IF($B$2="Todos",IF(COUNT($C$139:$L$139)=0,"",SUM($C$139:$L$139)),IFERROR(INDEX($C$139:$L$139,MATCH($D$2,$C$138:$L$138,0)),""))</f>
        <v/>
      </c>
      <c r="X12" s="47" t="str">
        <f>IF(Y12="","",IF($B$2="Todos",IF($B$4&gt;0,$B$4,IF($B$2="Todos",IF(COUNT($C$209:$L$209)=0,"",SUM($C$209:$L$209)),IFERROR(INDEX($C$209:$L$209,MATCH($D$2,$C$208:$L$208,0)),""))),IFERROR(INDEX($C$209:$L$209,MATCH($D$2,$C$208:$L$208,0)),"")))</f>
        <v/>
      </c>
      <c r="Y12" s="32" t="str">
        <f>IF($B$2="Todos",IF(COUNT($C$174:$L$174)=0,"",SUM($C$174:$L$174)),IFERROR(INDEX($C$174:$L$174,MATCH($D$2,$C$173:$L$173,0)),""))</f>
        <v/>
      </c>
      <c r="Z12" s="48" t="str">
        <f>IF(AND(ISNUMBER(Y12),ISNUMBER(X12)),IF(X12&gt;0,Y12/X12,""),"")</f>
        <v/>
      </c>
      <c r="AA12" s="32" t="str">
        <f>IF($B$2="Todos",IF(COUNT($C$244:$L$244)=0,"",SUM($C$244:$L$244)),IFERROR(INDEX($C$244:$L$244,MATCH($D$2,$C$243:$L$243,0)),""))</f>
        <v/>
      </c>
      <c r="AB12" s="32">
        <f>IF($B12="","",IF($B$2="Todos",SUMIFS(BD!$AA$3:$AA$5001,BD!$A$3:$A$5001,$B12),SUMIFS(BD!$AA$3:$AA$5001,BD!$A$3:$A$5001,$B12,BD!$B$3:$B$5001,$D$2)))</f>
        <v>0</v>
      </c>
      <c r="AC12" s="32">
        <f>IF($B12="","",IF($B$2="Todos",SUMIFS(BD!$AB$3:$AB$5001,BD!$A$3:$A$5001,$B12),SUMIFS(BD!$AB$3:$AB$5001,BD!$A$3:$A$5001,$B12,BD!$B$3:$B$5001,$D$2)))</f>
        <v>0</v>
      </c>
      <c r="AD12" s="32">
        <f>IF($B12="","",IF($B$2="Todos",SUMIFS(BD!$AC$3:$AC$5001,BD!$A$3:$A$5001,$B12),SUMIFS(BD!$AC$3:$AC$5001,BD!$A$3:$A$5001,$B12,BD!$B$3:$B$5001,$D$2)))</f>
        <v>0</v>
      </c>
      <c r="AE12" s="32">
        <f>IF($B12="","",IF($B$2="Todos",SUMIFS(BD!$AD$3:$AD$5001,BD!$A$3:$A$5001,$B12),SUMIFS(BD!$AD$3:$AD$5001,BD!$A$3:$A$5001,$B12,BD!$B$3:$B$5001,$D$2)))</f>
        <v>0</v>
      </c>
      <c r="AF12" s="32">
        <f>IF($B12="","",IF($B$2="Todos",SUMIFS(BD!$AE$3:$AE$5001,BD!$A$3:$A$5001,$B12),SUMIFS(BD!$AE$3:$AE$5001,BD!$A$3:$A$5001,$B12,BD!$B$3:$B$5001,$D$2)))</f>
        <v>0</v>
      </c>
      <c r="AG12" s="32">
        <f>IF($B12="","",IF($B$2="Todos",SUMIFS(BD!$AF$3:$AF$5001,BD!$A$3:$A$5001,$B12),SUMIFS(BD!$AF$3:$AF$5001,BD!$A$3:$A$5001,$B12,BD!$B$3:$B$5001,$D$2)))</f>
        <v>0</v>
      </c>
      <c r="AH12" s="32">
        <f>IF($B12="","",IF($B$2="Todos",SUMIFS(BD!$AG$3:$AG$5001,BD!$A$3:$A$5001,$B12),SUMIFS(BD!$AG$3:$AG$5001,BD!$A$3:$A$5001,$B12,BD!$B$3:$B$5001,$D$2)))</f>
        <v>0</v>
      </c>
      <c r="AI12" s="49">
        <f>$B$5</f>
        <v>0.7</v>
      </c>
      <c r="AJ12" s="49">
        <f>$B$6</f>
        <v>0.9</v>
      </c>
      <c r="AM12" s="29" t="inlineStr">
        <is>
          <t xml:space="preserve">JANEIRO · 2026</t>
        </is>
      </c>
      <c r="AO12" s="29" t="inlineStr">
        <is>
          <t xml:space="preserve">Todos</t>
        </is>
      </c>
      <c r="AP12" s="28" t="inlineStr">
        <is>
          <t xml:space="preserve">TPC</t>
        </is>
      </c>
      <c r="AR12" s="29" t="str">
        <f>Config!$B$62&amp;" — "&amp;IF($B$2="Todos","TODOS OS CLIENTES",UPPER($B$2))</f>
        <v>MOVIMENTAÇÃO VEÍCULO/DIA — TODOS OS CLIENTES</v>
      </c>
      <c r="AU12" s="37" t="inlineStr">
        <is>
          <t xml:space="preserve">Capacidade por depósito</t>
        </is>
      </c>
      <c r="AV12" s="37" t="inlineStr">
        <is>
          <t xml:space="preserve">Posições</t>
        </is>
      </c>
      <c r="AY12" s="60">
        <f>IF(OR($B12="",N(VALUE($AH$336))=0),"",IF(INDEX($C12:$AH12,VALUE($AH$336))="","",IF(N(VALUE($AJ$336))=0,INDEX($C12:$AH12,VALUE($AH$336)),IF(N(INDEX($C12:$AH12,N(VALUE($AJ$336))))&gt;0,INDEX($C12:$AH12,VALUE($AH$336))/INDEX($C12:$AH12,N(VALUE($AJ$336))),""))))</f>
        <v>0</v>
      </c>
      <c r="AZ12" s="60">
        <f>IF(OR($B12="",N(VALUE($AI$336))=0),"",IF(INDEX($C12:$AH12,VALUE($AI$336))="","",IF(N(VALUE($AK$336))=0,INDEX($C12:$AH12,VALUE($AI$336)),IF(N(INDEX($C12:$AH12,N(VALUE($AK$336))))&gt;0,INDEX($C12:$AH12,VALUE($AI$336))/INDEX($C12:$AH12,N(VALUE($AK$336))),""))))</f>
        <v>0</v>
      </c>
      <c r="BA12" s="60">
        <f>IF(OR($B12="",N(VALUE($AP$336))=0),"",IF(INDEX($C12:$AH12,VALUE($AP$336))="","",IF(N(VALUE($AR$336))=0,INDEX($C12:$AH12,VALUE($AP$336)),IF(N(INDEX($C12:$AH12,N(VALUE($AR$336))))&gt;0,INDEX($C12:$AH12,VALUE($AP$336))/INDEX($C12:$AH12,N(VALUE($AR$336))),""))))</f>
        <v>0</v>
      </c>
      <c r="BB12" s="60">
        <f>IF(OR($B12="",N(VALUE($AQ$336))=0),"",IF(INDEX($C12:$AH12,VALUE($AQ$336))="","",IF(N(VALUE($AS$336))=0,INDEX($C12:$AH12,VALUE($AQ$336)),IF(N(INDEX($C12:$AH12,N(VALUE($AS$336))))&gt;0,INDEX($C12:$AH12,VALUE($AQ$336))/INDEX($C12:$AH12,N(VALUE($AS$336))),""))))</f>
        <v>0</v>
      </c>
      <c r="BD12" s="32" t="str">
        <f>IF(AND($A12=$B$9,ISNUMBER(X12)),X12,NA())</f>
        <v/>
      </c>
    </row>
    <row r="13">
      <c r="A13" s="28">
        <v>2</v>
      </c>
      <c r="B13" s="45">
        <f>IF($A13&lt;=DAY($D$7),$C$7+$A13-1,"")</f>
        <v>46297</v>
      </c>
      <c r="C13" s="32">
        <f>IF($B13="","",IF($B$2="Todos",SUMIFS(BD!$C$3:$C$5001,BD!$A$3:$A$5001,$B13),SUMIFS(BD!$C$3:$C$5001,BD!$A$3:$A$5001,$B13,BD!$B$3:$B$5001,$D$2)))</f>
        <v>0</v>
      </c>
      <c r="D13" s="32">
        <f>IF($B13="","",IF($B$2="Todos",SUMIFS(BD!$D$3:$D$5001,BD!$A$3:$A$5001,$B13),SUMIFS(BD!$D$3:$D$5001,BD!$A$3:$A$5001,$B13,BD!$B$3:$B$5001,$D$2)))</f>
        <v>0</v>
      </c>
      <c r="E13" s="46">
        <f>IF($B13="","",IF($B$2="Todos",SUMIFS(BD!$E$3:$E$5001,BD!$A$3:$A$5001,$B13),SUMIFS(BD!$E$3:$E$5001,BD!$A$3:$A$5001,$B13,BD!$B$3:$B$5001,$D$2)))</f>
        <v>0</v>
      </c>
      <c r="F13" s="32">
        <f>IF($B13="","",IF($B$2="Todos",SUMIFS(BD!$F$3:$F$5001,BD!$A$3:$A$5001,$B13),SUMIFS(BD!$F$3:$F$5001,BD!$A$3:$A$5001,$B13,BD!$B$3:$B$5001,$D$2)))</f>
        <v>0</v>
      </c>
      <c r="G13" s="32">
        <f>IF($B13="","",IF($B$2="Todos",SUMIFS(BD!$G$3:$G$5001,BD!$A$3:$A$5001,$B13),SUMIFS(BD!$G$3:$G$5001,BD!$A$3:$A$5001,$B13,BD!$B$3:$B$5001,$D$2)))</f>
        <v>0</v>
      </c>
      <c r="H13" s="32">
        <f>IF($B13="","",IF($B$2="Todos",SUMIFS(BD!$H$3:$H$5001,BD!$A$3:$A$5001,$B13),SUMIFS(BD!$H$3:$H$5001,BD!$A$3:$A$5001,$B13,BD!$B$3:$B$5001,$D$2)))</f>
        <v>0</v>
      </c>
      <c r="I13" s="32">
        <f>IF($B13="","",IF($B$2="Todos",SUMIFS(BD!$I$3:$I$5001,BD!$A$3:$A$5001,$B13),SUMIFS(BD!$I$3:$I$5001,BD!$A$3:$A$5001,$B13,BD!$B$3:$B$5001,$D$2)))</f>
        <v>0</v>
      </c>
      <c r="J13" s="32">
        <f>IF($B13="","",IF($B$2="Todos",SUMIFS(BD!$J$3:$J$5001,BD!$A$3:$A$5001,$B13),SUMIFS(BD!$J$3:$J$5001,BD!$A$3:$A$5001,$B13,BD!$B$3:$B$5001,$D$2)))</f>
        <v>0</v>
      </c>
      <c r="K13" s="32">
        <f>IF($B13="","",IF($B$2="Todos",SUMIFS(BD!$K$3:$K$5001,BD!$A$3:$A$5001,$B13),SUMIFS(BD!$K$3:$K$5001,BD!$A$3:$A$5001,$B13,BD!$B$3:$B$5001,$D$2)))</f>
        <v>0</v>
      </c>
      <c r="L13" s="32">
        <f>IF($B13="","",IF($B$2="Todos",SUMIFS(BD!$L$3:$L$5001,BD!$A$3:$A$5001,$B13),SUMIFS(BD!$L$3:$L$5001,BD!$A$3:$A$5001,$B13,BD!$B$3:$B$5001,$D$2)))</f>
        <v>0</v>
      </c>
      <c r="M13" s="32">
        <f>IF($B13="","",IF($B$2="Todos",SUMIFS(BD!$M$3:$M$5001,BD!$A$3:$A$5001,$B13),SUMIFS(BD!$M$3:$M$5001,BD!$A$3:$A$5001,$B13,BD!$B$3:$B$5001,$D$2)))</f>
        <v>0</v>
      </c>
      <c r="N13" s="32">
        <f>IF($B13="","",IF($B$2="Todos",SUMIFS(BD!$N$3:$N$5001,BD!$A$3:$A$5001,$B13),SUMIFS(BD!$N$3:$N$5001,BD!$A$3:$A$5001,$B13,BD!$B$3:$B$5001,$D$2)))</f>
        <v>0</v>
      </c>
      <c r="O13" s="32">
        <f>IF($B13="","",IF($B$2="Todos",SUMIFS(BD!$O$3:$O$5001,BD!$A$3:$A$5001,$B13),SUMIFS(BD!$O$3:$O$5001,BD!$A$3:$A$5001,$B13,BD!$B$3:$B$5001,$D$2)))</f>
        <v>0</v>
      </c>
      <c r="P13" s="32">
        <f>IF($B13="","",IF($B$2="Todos",SUMIFS(BD!$P$3:$P$5001,BD!$A$3:$A$5001,$B13),SUMIFS(BD!$P$3:$P$5001,BD!$A$3:$A$5001,$B13,BD!$B$3:$B$5001,$D$2)))</f>
        <v>0</v>
      </c>
      <c r="Q13" s="32">
        <f>IF($B13="","",IF($B$2="Todos",SUMIFS(BD!$Q$3:$Q$5001,BD!$A$3:$A$5001,$B13),SUMIFS(BD!$Q$3:$Q$5001,BD!$A$3:$A$5001,$B13,BD!$B$3:$B$5001,$D$2)))</f>
        <v>0</v>
      </c>
      <c r="R13" s="32">
        <f>IF($B13="","",IF($B$2="Todos",SUMIFS(BD!$R$3:$R$5001,BD!$A$3:$A$5001,$B13),SUMIFS(BD!$R$3:$R$5001,BD!$A$3:$A$5001,$B13,BD!$B$3:$B$5001,$D$2)))</f>
        <v>0</v>
      </c>
      <c r="S13" s="32">
        <f>IF($B13="","",IF($B$2="Todos",SUMIFS(BD!$S$3:$S$5001,BD!$A$3:$A$5001,$B13),SUMIFS(BD!$S$3:$S$5001,BD!$A$3:$A$5001,$B13,BD!$B$3:$B$5001,$D$2)))</f>
        <v>0</v>
      </c>
      <c r="T13" s="46">
        <f>IF($B13="","",IF($B$2="Todos",SUMIFS(BD!$T$3:$T$5001,BD!$A$3:$A$5001,$B13),SUMIFS(BD!$T$3:$T$5001,BD!$A$3:$A$5001,$B13,BD!$B$3:$B$5001,$D$2)))</f>
        <v>0</v>
      </c>
      <c r="U13" s="32">
        <f>IF($B13="","",IF($B$2="Todos",SUMIFS(BD!$U$3:$U$5001,BD!$A$3:$A$5001,$B13),SUMIFS(BD!$U$3:$U$5001,BD!$A$3:$A$5001,$B13,BD!$B$3:$B$5001,$D$2)))</f>
        <v>0</v>
      </c>
      <c r="V13" s="32">
        <f>IF($B13="","",IF($B$2="Todos",SUMIFS(BD!$V$3:$V$5001,BD!$A$3:$A$5001,$B13),SUMIFS(BD!$V$3:$V$5001,BD!$A$3:$A$5001,$B13,BD!$B$3:$B$5001,$D$2)))</f>
        <v>0</v>
      </c>
      <c r="W13" s="32" t="str">
        <f>IF($B$2="Todos",IF(COUNT($C$140:$L$140)=0,"",SUM($C$140:$L$140)),IFERROR(INDEX($C$140:$L$140,MATCH($D$2,$C$138:$L$138,0)),""))</f>
        <v/>
      </c>
      <c r="X13" s="47" t="str">
        <f>IF(Y13="","",IF($B$2="Todos",IF($B$4&gt;0,$B$4,IF($B$2="Todos",IF(COUNT($C$210:$L$210)=0,"",SUM($C$210:$L$210)),IFERROR(INDEX($C$210:$L$210,MATCH($D$2,$C$208:$L$208,0)),""))),IFERROR(INDEX($C$210:$L$210,MATCH($D$2,$C$208:$L$208,0)),"")))</f>
        <v/>
      </c>
      <c r="Y13" s="32" t="str">
        <f>IF($B$2="Todos",IF(COUNT($C$175:$L$175)=0,"",SUM($C$175:$L$175)),IFERROR(INDEX($C$175:$L$175,MATCH($D$2,$C$173:$L$173,0)),""))</f>
        <v/>
      </c>
      <c r="Z13" s="48" t="str">
        <f>IF(AND(ISNUMBER(Y13),ISNUMBER(X13)),IF(X13&gt;0,Y13/X13,""),"")</f>
        <v/>
      </c>
      <c r="AA13" s="32" t="str">
        <f>IF($B$2="Todos",IF(COUNT($C$245:$L$245)=0,"",SUM($C$245:$L$245)),IFERROR(INDEX($C$245:$L$245,MATCH($D$2,$C$243:$L$243,0)),""))</f>
        <v/>
      </c>
      <c r="AB13" s="32">
        <f>IF($B13="","",IF($B$2="Todos",SUMIFS(BD!$AA$3:$AA$5001,BD!$A$3:$A$5001,$B13),SUMIFS(BD!$AA$3:$AA$5001,BD!$A$3:$A$5001,$B13,BD!$B$3:$B$5001,$D$2)))</f>
        <v>0</v>
      </c>
      <c r="AC13" s="32">
        <f>IF($B13="","",IF($B$2="Todos",SUMIFS(BD!$AB$3:$AB$5001,BD!$A$3:$A$5001,$B13),SUMIFS(BD!$AB$3:$AB$5001,BD!$A$3:$A$5001,$B13,BD!$B$3:$B$5001,$D$2)))</f>
        <v>0</v>
      </c>
      <c r="AD13" s="32">
        <f>IF($B13="","",IF($B$2="Todos",SUMIFS(BD!$AC$3:$AC$5001,BD!$A$3:$A$5001,$B13),SUMIFS(BD!$AC$3:$AC$5001,BD!$A$3:$A$5001,$B13,BD!$B$3:$B$5001,$D$2)))</f>
        <v>0</v>
      </c>
      <c r="AE13" s="32">
        <f>IF($B13="","",IF($B$2="Todos",SUMIFS(BD!$AD$3:$AD$5001,BD!$A$3:$A$5001,$B13),SUMIFS(BD!$AD$3:$AD$5001,BD!$A$3:$A$5001,$B13,BD!$B$3:$B$5001,$D$2)))</f>
        <v>0</v>
      </c>
      <c r="AF13" s="32">
        <f>IF($B13="","",IF($B$2="Todos",SUMIFS(BD!$AE$3:$AE$5001,BD!$A$3:$A$5001,$B13),SUMIFS(BD!$AE$3:$AE$5001,BD!$A$3:$A$5001,$B13,BD!$B$3:$B$5001,$D$2)))</f>
        <v>0</v>
      </c>
      <c r="AG13" s="32">
        <f>IF($B13="","",IF($B$2="Todos",SUMIFS(BD!$AF$3:$AF$5001,BD!$A$3:$A$5001,$B13),SUMIFS(BD!$AF$3:$AF$5001,BD!$A$3:$A$5001,$B13,BD!$B$3:$B$5001,$D$2)))</f>
        <v>0</v>
      </c>
      <c r="AH13" s="32">
        <f>IF($B13="","",IF($B$2="Todos",SUMIFS(BD!$AG$3:$AG$5001,BD!$A$3:$A$5001,$B13),SUMIFS(BD!$AG$3:$AG$5001,BD!$A$3:$A$5001,$B13,BD!$B$3:$B$5001,$D$2)))</f>
        <v>0</v>
      </c>
      <c r="AI13" s="49">
        <f>$B$5</f>
        <v>0.7</v>
      </c>
      <c r="AJ13" s="49">
        <f>$B$6</f>
        <v>0.9</v>
      </c>
      <c r="AM13" s="29" t="inlineStr">
        <is>
          <t xml:space="preserve">FEVEREIRO · 2026</t>
        </is>
      </c>
      <c r="AO13" s="29" t="inlineStr">
        <is>
          <t xml:space="preserve">Alpargatas</t>
        </is>
      </c>
      <c r="AP13" s="28" t="inlineStr">
        <is>
          <t xml:space="preserve">TPC</t>
        </is>
      </c>
      <c r="AR13" s="29" t="str">
        <f>IF($AZ$336="Não se aplica",Config!$B$67,IF($AZ$336="Só ocupadas",Config!$B$66,Config!$B$65))&amp;" — "&amp;IF($B$2="Todos","TODOS OS CLIENTES",UPPER($B$2))</f>
        <v>OCUPAÇÃO DIÁRIA — TODOS OS CLIENTES</v>
      </c>
      <c r="AU13" s="38" t="inlineStr">
        <is>
          <t xml:space="preserve">TPC</t>
        </is>
      </c>
      <c r="AV13" s="39">
        <v>23040</v>
      </c>
      <c r="AW13" s="31" t="inlineStr">
        <is>
          <t xml:space="preserve">informada</t>
        </is>
      </c>
      <c r="AY13" s="60">
        <f>IF(OR($B13="",N(VALUE($AH$336))=0),"",IF(INDEX($C13:$AH13,VALUE($AH$336))="","",IF(N(VALUE($AJ$336))=0,INDEX($C13:$AH13,VALUE($AH$336)),IF(N(INDEX($C13:$AH13,N(VALUE($AJ$336))))&gt;0,INDEX($C13:$AH13,VALUE($AH$336))/INDEX($C13:$AH13,N(VALUE($AJ$336))),""))))</f>
        <v>0</v>
      </c>
      <c r="AZ13" s="60">
        <f>IF(OR($B13="",N(VALUE($AI$336))=0),"",IF(INDEX($C13:$AH13,VALUE($AI$336))="","",IF(N(VALUE($AK$336))=0,INDEX($C13:$AH13,VALUE($AI$336)),IF(N(INDEX($C13:$AH13,N(VALUE($AK$336))))&gt;0,INDEX($C13:$AH13,VALUE($AI$336))/INDEX($C13:$AH13,N(VALUE($AK$336))),""))))</f>
        <v>0</v>
      </c>
      <c r="BA13" s="60">
        <f>IF(OR($B13="",N(VALUE($AP$336))=0),"",IF(INDEX($C13:$AH13,VALUE($AP$336))="","",IF(N(VALUE($AR$336))=0,INDEX($C13:$AH13,VALUE($AP$336)),IF(N(INDEX($C13:$AH13,N(VALUE($AR$336))))&gt;0,INDEX($C13:$AH13,VALUE($AP$336))/INDEX($C13:$AH13,N(VALUE($AR$336))),""))))</f>
        <v>0</v>
      </c>
      <c r="BB13" s="60">
        <f>IF(OR($B13="",N(VALUE($AQ$336))=0),"",IF(INDEX($C13:$AH13,VALUE($AQ$336))="","",IF(N(VALUE($AS$336))=0,INDEX($C13:$AH13,VALUE($AQ$336)),IF(N(INDEX($C13:$AH13,N(VALUE($AS$336))))&gt;0,INDEX($C13:$AH13,VALUE($AQ$336))/INDEX($C13:$AH13,N(VALUE($AS$336))),""))))</f>
        <v>0</v>
      </c>
      <c r="BD13" s="32" t="str">
        <f>IF(AND($A13=$B$9,ISNUMBER(X13)),X13,NA())</f>
        <v/>
      </c>
    </row>
    <row r="14">
      <c r="A14" s="28">
        <v>3</v>
      </c>
      <c r="B14" s="45">
        <f>IF($A14&lt;=DAY($D$7),$C$7+$A14-1,"")</f>
        <v>46298</v>
      </c>
      <c r="C14" s="32">
        <f>IF($B14="","",IF($B$2="Todos",SUMIFS(BD!$C$3:$C$5001,BD!$A$3:$A$5001,$B14),SUMIFS(BD!$C$3:$C$5001,BD!$A$3:$A$5001,$B14,BD!$B$3:$B$5001,$D$2)))</f>
        <v>0</v>
      </c>
      <c r="D14" s="32">
        <f>IF($B14="","",IF($B$2="Todos",SUMIFS(BD!$D$3:$D$5001,BD!$A$3:$A$5001,$B14),SUMIFS(BD!$D$3:$D$5001,BD!$A$3:$A$5001,$B14,BD!$B$3:$B$5001,$D$2)))</f>
        <v>0</v>
      </c>
      <c r="E14" s="46">
        <f>IF($B14="","",IF($B$2="Todos",SUMIFS(BD!$E$3:$E$5001,BD!$A$3:$A$5001,$B14),SUMIFS(BD!$E$3:$E$5001,BD!$A$3:$A$5001,$B14,BD!$B$3:$B$5001,$D$2)))</f>
        <v>0</v>
      </c>
      <c r="F14" s="32">
        <f>IF($B14="","",IF($B$2="Todos",SUMIFS(BD!$F$3:$F$5001,BD!$A$3:$A$5001,$B14),SUMIFS(BD!$F$3:$F$5001,BD!$A$3:$A$5001,$B14,BD!$B$3:$B$5001,$D$2)))</f>
        <v>0</v>
      </c>
      <c r="G14" s="32">
        <f>IF($B14="","",IF($B$2="Todos",SUMIFS(BD!$G$3:$G$5001,BD!$A$3:$A$5001,$B14),SUMIFS(BD!$G$3:$G$5001,BD!$A$3:$A$5001,$B14,BD!$B$3:$B$5001,$D$2)))</f>
        <v>0</v>
      </c>
      <c r="H14" s="32">
        <f>IF($B14="","",IF($B$2="Todos",SUMIFS(BD!$H$3:$H$5001,BD!$A$3:$A$5001,$B14),SUMIFS(BD!$H$3:$H$5001,BD!$A$3:$A$5001,$B14,BD!$B$3:$B$5001,$D$2)))</f>
        <v>0</v>
      </c>
      <c r="I14" s="32">
        <f>IF($B14="","",IF($B$2="Todos",SUMIFS(BD!$I$3:$I$5001,BD!$A$3:$A$5001,$B14),SUMIFS(BD!$I$3:$I$5001,BD!$A$3:$A$5001,$B14,BD!$B$3:$B$5001,$D$2)))</f>
        <v>0</v>
      </c>
      <c r="J14" s="32">
        <f>IF($B14="","",IF($B$2="Todos",SUMIFS(BD!$J$3:$J$5001,BD!$A$3:$A$5001,$B14),SUMIFS(BD!$J$3:$J$5001,BD!$A$3:$A$5001,$B14,BD!$B$3:$B$5001,$D$2)))</f>
        <v>0</v>
      </c>
      <c r="K14" s="32">
        <f>IF($B14="","",IF($B$2="Todos",SUMIFS(BD!$K$3:$K$5001,BD!$A$3:$A$5001,$B14),SUMIFS(BD!$K$3:$K$5001,BD!$A$3:$A$5001,$B14,BD!$B$3:$B$5001,$D$2)))</f>
        <v>0</v>
      </c>
      <c r="L14" s="32">
        <f>IF($B14="","",IF($B$2="Todos",SUMIFS(BD!$L$3:$L$5001,BD!$A$3:$A$5001,$B14),SUMIFS(BD!$L$3:$L$5001,BD!$A$3:$A$5001,$B14,BD!$B$3:$B$5001,$D$2)))</f>
        <v>0</v>
      </c>
      <c r="M14" s="32">
        <f>IF($B14="","",IF($B$2="Todos",SUMIFS(BD!$M$3:$M$5001,BD!$A$3:$A$5001,$B14),SUMIFS(BD!$M$3:$M$5001,BD!$A$3:$A$5001,$B14,BD!$B$3:$B$5001,$D$2)))</f>
        <v>0</v>
      </c>
      <c r="N14" s="32">
        <f>IF($B14="","",IF($B$2="Todos",SUMIFS(BD!$N$3:$N$5001,BD!$A$3:$A$5001,$B14),SUMIFS(BD!$N$3:$N$5001,BD!$A$3:$A$5001,$B14,BD!$B$3:$B$5001,$D$2)))</f>
        <v>0</v>
      </c>
      <c r="O14" s="32">
        <f>IF($B14="","",IF($B$2="Todos",SUMIFS(BD!$O$3:$O$5001,BD!$A$3:$A$5001,$B14),SUMIFS(BD!$O$3:$O$5001,BD!$A$3:$A$5001,$B14,BD!$B$3:$B$5001,$D$2)))</f>
        <v>0</v>
      </c>
      <c r="P14" s="32">
        <f>IF($B14="","",IF($B$2="Todos",SUMIFS(BD!$P$3:$P$5001,BD!$A$3:$A$5001,$B14),SUMIFS(BD!$P$3:$P$5001,BD!$A$3:$A$5001,$B14,BD!$B$3:$B$5001,$D$2)))</f>
        <v>0</v>
      </c>
      <c r="Q14" s="32">
        <f>IF($B14="","",IF($B$2="Todos",SUMIFS(BD!$Q$3:$Q$5001,BD!$A$3:$A$5001,$B14),SUMIFS(BD!$Q$3:$Q$5001,BD!$A$3:$A$5001,$B14,BD!$B$3:$B$5001,$D$2)))</f>
        <v>0</v>
      </c>
      <c r="R14" s="32">
        <f>IF($B14="","",IF($B$2="Todos",SUMIFS(BD!$R$3:$R$5001,BD!$A$3:$A$5001,$B14),SUMIFS(BD!$R$3:$R$5001,BD!$A$3:$A$5001,$B14,BD!$B$3:$B$5001,$D$2)))</f>
        <v>0</v>
      </c>
      <c r="S14" s="32">
        <f>IF($B14="","",IF($B$2="Todos",SUMIFS(BD!$S$3:$S$5001,BD!$A$3:$A$5001,$B14),SUMIFS(BD!$S$3:$S$5001,BD!$A$3:$A$5001,$B14,BD!$B$3:$B$5001,$D$2)))</f>
        <v>0</v>
      </c>
      <c r="T14" s="46">
        <f>IF($B14="","",IF($B$2="Todos",SUMIFS(BD!$T$3:$T$5001,BD!$A$3:$A$5001,$B14),SUMIFS(BD!$T$3:$T$5001,BD!$A$3:$A$5001,$B14,BD!$B$3:$B$5001,$D$2)))</f>
        <v>0</v>
      </c>
      <c r="U14" s="32">
        <f>IF($B14="","",IF($B$2="Todos",SUMIFS(BD!$U$3:$U$5001,BD!$A$3:$A$5001,$B14),SUMIFS(BD!$U$3:$U$5001,BD!$A$3:$A$5001,$B14,BD!$B$3:$B$5001,$D$2)))</f>
        <v>0</v>
      </c>
      <c r="V14" s="32">
        <f>IF($B14="","",IF($B$2="Todos",SUMIFS(BD!$V$3:$V$5001,BD!$A$3:$A$5001,$B14),SUMIFS(BD!$V$3:$V$5001,BD!$A$3:$A$5001,$B14,BD!$B$3:$B$5001,$D$2)))</f>
        <v>0</v>
      </c>
      <c r="W14" s="32" t="str">
        <f>IF($B$2="Todos",IF(COUNT($C$141:$L$141)=0,"",SUM($C$141:$L$141)),IFERROR(INDEX($C$141:$L$141,MATCH($D$2,$C$138:$L$138,0)),""))</f>
        <v/>
      </c>
      <c r="X14" s="47" t="str">
        <f>IF(Y14="","",IF($B$2="Todos",IF($B$4&gt;0,$B$4,IF($B$2="Todos",IF(COUNT($C$211:$L$211)=0,"",SUM($C$211:$L$211)),IFERROR(INDEX($C$211:$L$211,MATCH($D$2,$C$208:$L$208,0)),""))),IFERROR(INDEX($C$211:$L$211,MATCH($D$2,$C$208:$L$208,0)),"")))</f>
        <v/>
      </c>
      <c r="Y14" s="32" t="str">
        <f>IF($B$2="Todos",IF(COUNT($C$176:$L$176)=0,"",SUM($C$176:$L$176)),IFERROR(INDEX($C$176:$L$176,MATCH($D$2,$C$173:$L$173,0)),""))</f>
        <v/>
      </c>
      <c r="Z14" s="48" t="str">
        <f>IF(AND(ISNUMBER(Y14),ISNUMBER(X14)),IF(X14&gt;0,Y14/X14,""),"")</f>
        <v/>
      </c>
      <c r="AA14" s="32" t="str">
        <f>IF($B$2="Todos",IF(COUNT($C$246:$L$246)=0,"",SUM($C$246:$L$246)),IFERROR(INDEX($C$246:$L$246,MATCH($D$2,$C$243:$L$243,0)),""))</f>
        <v/>
      </c>
      <c r="AB14" s="32">
        <f>IF($B14="","",IF($B$2="Todos",SUMIFS(BD!$AA$3:$AA$5001,BD!$A$3:$A$5001,$B14),SUMIFS(BD!$AA$3:$AA$5001,BD!$A$3:$A$5001,$B14,BD!$B$3:$B$5001,$D$2)))</f>
        <v>0</v>
      </c>
      <c r="AC14" s="32">
        <f>IF($B14="","",IF($B$2="Todos",SUMIFS(BD!$AB$3:$AB$5001,BD!$A$3:$A$5001,$B14),SUMIFS(BD!$AB$3:$AB$5001,BD!$A$3:$A$5001,$B14,BD!$B$3:$B$5001,$D$2)))</f>
        <v>0</v>
      </c>
      <c r="AD14" s="32">
        <f>IF($B14="","",IF($B$2="Todos",SUMIFS(BD!$AC$3:$AC$5001,BD!$A$3:$A$5001,$B14),SUMIFS(BD!$AC$3:$AC$5001,BD!$A$3:$A$5001,$B14,BD!$B$3:$B$5001,$D$2)))</f>
        <v>0</v>
      </c>
      <c r="AE14" s="32">
        <f>IF($B14="","",IF($B$2="Todos",SUMIFS(BD!$AD$3:$AD$5001,BD!$A$3:$A$5001,$B14),SUMIFS(BD!$AD$3:$AD$5001,BD!$A$3:$A$5001,$B14,BD!$B$3:$B$5001,$D$2)))</f>
        <v>0</v>
      </c>
      <c r="AF14" s="32">
        <f>IF($B14="","",IF($B$2="Todos",SUMIFS(BD!$AE$3:$AE$5001,BD!$A$3:$A$5001,$B14),SUMIFS(BD!$AE$3:$AE$5001,BD!$A$3:$A$5001,$B14,BD!$B$3:$B$5001,$D$2)))</f>
        <v>0</v>
      </c>
      <c r="AG14" s="32">
        <f>IF($B14="","",IF($B$2="Todos",SUMIFS(BD!$AF$3:$AF$5001,BD!$A$3:$A$5001,$B14),SUMIFS(BD!$AF$3:$AF$5001,BD!$A$3:$A$5001,$B14,BD!$B$3:$B$5001,$D$2)))</f>
        <v>0</v>
      </c>
      <c r="AH14" s="32">
        <f>IF($B14="","",IF($B$2="Todos",SUMIFS(BD!$AG$3:$AG$5001,BD!$A$3:$A$5001,$B14),SUMIFS(BD!$AG$3:$AG$5001,BD!$A$3:$A$5001,$B14,BD!$B$3:$B$5001,$D$2)))</f>
        <v>0</v>
      </c>
      <c r="AI14" s="49">
        <f>$B$5</f>
        <v>0.7</v>
      </c>
      <c r="AJ14" s="49">
        <f>$B$6</f>
        <v>0.9</v>
      </c>
      <c r="AM14" s="29" t="inlineStr">
        <is>
          <t xml:space="preserve">MARÇO · 2026</t>
        </is>
      </c>
      <c r="AO14" s="29" t="inlineStr">
        <is>
          <t xml:space="preserve">Basf</t>
        </is>
      </c>
      <c r="AP14" s="28" t="inlineStr">
        <is>
          <t xml:space="preserve">TPC</t>
        </is>
      </c>
      <c r="AR14" s="29" t="str">
        <f>$AL$336&amp;" — "&amp;IF($B$2="Todos","TODOS OS CLIENTES",UPPER($B$2))</f>
        <v>MOVIMENTAÇÃO PALETES/DIA — TODOS OS CLIENTES</v>
      </c>
      <c r="AY14" s="60">
        <f>IF(OR($B14="",N(VALUE($AH$336))=0),"",IF(INDEX($C14:$AH14,VALUE($AH$336))="","",IF(N(VALUE($AJ$336))=0,INDEX($C14:$AH14,VALUE($AH$336)),IF(N(INDEX($C14:$AH14,N(VALUE($AJ$336))))&gt;0,INDEX($C14:$AH14,VALUE($AH$336))/INDEX($C14:$AH14,N(VALUE($AJ$336))),""))))</f>
        <v>0</v>
      </c>
      <c r="AZ14" s="60">
        <f>IF(OR($B14="",N(VALUE($AI$336))=0),"",IF(INDEX($C14:$AH14,VALUE($AI$336))="","",IF(N(VALUE($AK$336))=0,INDEX($C14:$AH14,VALUE($AI$336)),IF(N(INDEX($C14:$AH14,N(VALUE($AK$336))))&gt;0,INDEX($C14:$AH14,VALUE($AI$336))/INDEX($C14:$AH14,N(VALUE($AK$336))),""))))</f>
        <v>0</v>
      </c>
      <c r="BA14" s="60">
        <f>IF(OR($B14="",N(VALUE($AP$336))=0),"",IF(INDEX($C14:$AH14,VALUE($AP$336))="","",IF(N(VALUE($AR$336))=0,INDEX($C14:$AH14,VALUE($AP$336)),IF(N(INDEX($C14:$AH14,N(VALUE($AR$336))))&gt;0,INDEX($C14:$AH14,VALUE($AP$336))/INDEX($C14:$AH14,N(VALUE($AR$336))),""))))</f>
        <v>0</v>
      </c>
      <c r="BB14" s="60">
        <f>IF(OR($B14="",N(VALUE($AQ$336))=0),"",IF(INDEX($C14:$AH14,VALUE($AQ$336))="","",IF(N(VALUE($AS$336))=0,INDEX($C14:$AH14,VALUE($AQ$336)),IF(N(INDEX($C14:$AH14,N(VALUE($AS$336))))&gt;0,INDEX($C14:$AH14,VALUE($AQ$336))/INDEX($C14:$AH14,N(VALUE($AS$336))),""))))</f>
        <v>0</v>
      </c>
      <c r="BD14" s="32" t="str">
        <f>IF(AND($A14=$B$9,ISNUMBER(X14)),X14,NA())</f>
        <v/>
      </c>
    </row>
    <row r="15">
      <c r="A15" s="28">
        <v>4</v>
      </c>
      <c r="B15" s="45">
        <f>IF($A15&lt;=DAY($D$7),$C$7+$A15-1,"")</f>
        <v>46299</v>
      </c>
      <c r="C15" s="32">
        <f>IF($B15="","",IF($B$2="Todos",SUMIFS(BD!$C$3:$C$5001,BD!$A$3:$A$5001,$B15),SUMIFS(BD!$C$3:$C$5001,BD!$A$3:$A$5001,$B15,BD!$B$3:$B$5001,$D$2)))</f>
        <v>0</v>
      </c>
      <c r="D15" s="32">
        <f>IF($B15="","",IF($B$2="Todos",SUMIFS(BD!$D$3:$D$5001,BD!$A$3:$A$5001,$B15),SUMIFS(BD!$D$3:$D$5001,BD!$A$3:$A$5001,$B15,BD!$B$3:$B$5001,$D$2)))</f>
        <v>0</v>
      </c>
      <c r="E15" s="46">
        <f>IF($B15="","",IF($B$2="Todos",SUMIFS(BD!$E$3:$E$5001,BD!$A$3:$A$5001,$B15),SUMIFS(BD!$E$3:$E$5001,BD!$A$3:$A$5001,$B15,BD!$B$3:$B$5001,$D$2)))</f>
        <v>0</v>
      </c>
      <c r="F15" s="32">
        <f>IF($B15="","",IF($B$2="Todos",SUMIFS(BD!$F$3:$F$5001,BD!$A$3:$A$5001,$B15),SUMIFS(BD!$F$3:$F$5001,BD!$A$3:$A$5001,$B15,BD!$B$3:$B$5001,$D$2)))</f>
        <v>0</v>
      </c>
      <c r="G15" s="32">
        <f>IF($B15="","",IF($B$2="Todos",SUMIFS(BD!$G$3:$G$5001,BD!$A$3:$A$5001,$B15),SUMIFS(BD!$G$3:$G$5001,BD!$A$3:$A$5001,$B15,BD!$B$3:$B$5001,$D$2)))</f>
        <v>0</v>
      </c>
      <c r="H15" s="32">
        <f>IF($B15="","",IF($B$2="Todos",SUMIFS(BD!$H$3:$H$5001,BD!$A$3:$A$5001,$B15),SUMIFS(BD!$H$3:$H$5001,BD!$A$3:$A$5001,$B15,BD!$B$3:$B$5001,$D$2)))</f>
        <v>0</v>
      </c>
      <c r="I15" s="32">
        <f>IF($B15="","",IF($B$2="Todos",SUMIFS(BD!$I$3:$I$5001,BD!$A$3:$A$5001,$B15),SUMIFS(BD!$I$3:$I$5001,BD!$A$3:$A$5001,$B15,BD!$B$3:$B$5001,$D$2)))</f>
        <v>0</v>
      </c>
      <c r="J15" s="32">
        <f>IF($B15="","",IF($B$2="Todos",SUMIFS(BD!$J$3:$J$5001,BD!$A$3:$A$5001,$B15),SUMIFS(BD!$J$3:$J$5001,BD!$A$3:$A$5001,$B15,BD!$B$3:$B$5001,$D$2)))</f>
        <v>0</v>
      </c>
      <c r="K15" s="32">
        <f>IF($B15="","",IF($B$2="Todos",SUMIFS(BD!$K$3:$K$5001,BD!$A$3:$A$5001,$B15),SUMIFS(BD!$K$3:$K$5001,BD!$A$3:$A$5001,$B15,BD!$B$3:$B$5001,$D$2)))</f>
        <v>0</v>
      </c>
      <c r="L15" s="32">
        <f>IF($B15="","",IF($B$2="Todos",SUMIFS(BD!$L$3:$L$5001,BD!$A$3:$A$5001,$B15),SUMIFS(BD!$L$3:$L$5001,BD!$A$3:$A$5001,$B15,BD!$B$3:$B$5001,$D$2)))</f>
        <v>0</v>
      </c>
      <c r="M15" s="32">
        <f>IF($B15="","",IF($B$2="Todos",SUMIFS(BD!$M$3:$M$5001,BD!$A$3:$A$5001,$B15),SUMIFS(BD!$M$3:$M$5001,BD!$A$3:$A$5001,$B15,BD!$B$3:$B$5001,$D$2)))</f>
        <v>0</v>
      </c>
      <c r="N15" s="32">
        <f>IF($B15="","",IF($B$2="Todos",SUMIFS(BD!$N$3:$N$5001,BD!$A$3:$A$5001,$B15),SUMIFS(BD!$N$3:$N$5001,BD!$A$3:$A$5001,$B15,BD!$B$3:$B$5001,$D$2)))</f>
        <v>0</v>
      </c>
      <c r="O15" s="32">
        <f>IF($B15="","",IF($B$2="Todos",SUMIFS(BD!$O$3:$O$5001,BD!$A$3:$A$5001,$B15),SUMIFS(BD!$O$3:$O$5001,BD!$A$3:$A$5001,$B15,BD!$B$3:$B$5001,$D$2)))</f>
        <v>0</v>
      </c>
      <c r="P15" s="32">
        <f>IF($B15="","",IF($B$2="Todos",SUMIFS(BD!$P$3:$P$5001,BD!$A$3:$A$5001,$B15),SUMIFS(BD!$P$3:$P$5001,BD!$A$3:$A$5001,$B15,BD!$B$3:$B$5001,$D$2)))</f>
        <v>0</v>
      </c>
      <c r="Q15" s="32">
        <f>IF($B15="","",IF($B$2="Todos",SUMIFS(BD!$Q$3:$Q$5001,BD!$A$3:$A$5001,$B15),SUMIFS(BD!$Q$3:$Q$5001,BD!$A$3:$A$5001,$B15,BD!$B$3:$B$5001,$D$2)))</f>
        <v>0</v>
      </c>
      <c r="R15" s="32">
        <f>IF($B15="","",IF($B$2="Todos",SUMIFS(BD!$R$3:$R$5001,BD!$A$3:$A$5001,$B15),SUMIFS(BD!$R$3:$R$5001,BD!$A$3:$A$5001,$B15,BD!$B$3:$B$5001,$D$2)))</f>
        <v>0</v>
      </c>
      <c r="S15" s="32">
        <f>IF($B15="","",IF($B$2="Todos",SUMIFS(BD!$S$3:$S$5001,BD!$A$3:$A$5001,$B15),SUMIFS(BD!$S$3:$S$5001,BD!$A$3:$A$5001,$B15,BD!$B$3:$B$5001,$D$2)))</f>
        <v>0</v>
      </c>
      <c r="T15" s="46">
        <f>IF($B15="","",IF($B$2="Todos",SUMIFS(BD!$T$3:$T$5001,BD!$A$3:$A$5001,$B15),SUMIFS(BD!$T$3:$T$5001,BD!$A$3:$A$5001,$B15,BD!$B$3:$B$5001,$D$2)))</f>
        <v>0</v>
      </c>
      <c r="U15" s="32">
        <f>IF($B15="","",IF($B$2="Todos",SUMIFS(BD!$U$3:$U$5001,BD!$A$3:$A$5001,$B15),SUMIFS(BD!$U$3:$U$5001,BD!$A$3:$A$5001,$B15,BD!$B$3:$B$5001,$D$2)))</f>
        <v>0</v>
      </c>
      <c r="V15" s="32">
        <f>IF($B15="","",IF($B$2="Todos",SUMIFS(BD!$V$3:$V$5001,BD!$A$3:$A$5001,$B15),SUMIFS(BD!$V$3:$V$5001,BD!$A$3:$A$5001,$B15,BD!$B$3:$B$5001,$D$2)))</f>
        <v>0</v>
      </c>
      <c r="W15" s="32" t="str">
        <f>IF($B$2="Todos",IF(COUNT($C$142:$L$142)=0,"",SUM($C$142:$L$142)),IFERROR(INDEX($C$142:$L$142,MATCH($D$2,$C$138:$L$138,0)),""))</f>
        <v/>
      </c>
      <c r="X15" s="47" t="str">
        <f>IF(Y15="","",IF($B$2="Todos",IF($B$4&gt;0,$B$4,IF($B$2="Todos",IF(COUNT($C$212:$L$212)=0,"",SUM($C$212:$L$212)),IFERROR(INDEX($C$212:$L$212,MATCH($D$2,$C$208:$L$208,0)),""))),IFERROR(INDEX($C$212:$L$212,MATCH($D$2,$C$208:$L$208,0)),"")))</f>
        <v/>
      </c>
      <c r="Y15" s="32" t="str">
        <f>IF($B$2="Todos",IF(COUNT($C$177:$L$177)=0,"",SUM($C$177:$L$177)),IFERROR(INDEX($C$177:$L$177,MATCH($D$2,$C$173:$L$173,0)),""))</f>
        <v/>
      </c>
      <c r="Z15" s="48" t="str">
        <f>IF(AND(ISNUMBER(Y15),ISNUMBER(X15)),IF(X15&gt;0,Y15/X15,""),"")</f>
        <v/>
      </c>
      <c r="AA15" s="32" t="str">
        <f>IF($B$2="Todos",IF(COUNT($C$247:$L$247)=0,"",SUM($C$247:$L$247)),IFERROR(INDEX($C$247:$L$247,MATCH($D$2,$C$243:$L$243,0)),""))</f>
        <v/>
      </c>
      <c r="AB15" s="32">
        <f>IF($B15="","",IF($B$2="Todos",SUMIFS(BD!$AA$3:$AA$5001,BD!$A$3:$A$5001,$B15),SUMIFS(BD!$AA$3:$AA$5001,BD!$A$3:$A$5001,$B15,BD!$B$3:$B$5001,$D$2)))</f>
        <v>0</v>
      </c>
      <c r="AC15" s="32">
        <f>IF($B15="","",IF($B$2="Todos",SUMIFS(BD!$AB$3:$AB$5001,BD!$A$3:$A$5001,$B15),SUMIFS(BD!$AB$3:$AB$5001,BD!$A$3:$A$5001,$B15,BD!$B$3:$B$5001,$D$2)))</f>
        <v>0</v>
      </c>
      <c r="AD15" s="32">
        <f>IF($B15="","",IF($B$2="Todos",SUMIFS(BD!$AC$3:$AC$5001,BD!$A$3:$A$5001,$B15),SUMIFS(BD!$AC$3:$AC$5001,BD!$A$3:$A$5001,$B15,BD!$B$3:$B$5001,$D$2)))</f>
        <v>0</v>
      </c>
      <c r="AE15" s="32">
        <f>IF($B15="","",IF($B$2="Todos",SUMIFS(BD!$AD$3:$AD$5001,BD!$A$3:$A$5001,$B15),SUMIFS(BD!$AD$3:$AD$5001,BD!$A$3:$A$5001,$B15,BD!$B$3:$B$5001,$D$2)))</f>
        <v>0</v>
      </c>
      <c r="AF15" s="32">
        <f>IF($B15="","",IF($B$2="Todos",SUMIFS(BD!$AE$3:$AE$5001,BD!$A$3:$A$5001,$B15),SUMIFS(BD!$AE$3:$AE$5001,BD!$A$3:$A$5001,$B15,BD!$B$3:$B$5001,$D$2)))</f>
        <v>0</v>
      </c>
      <c r="AG15" s="32">
        <f>IF($B15="","",IF($B$2="Todos",SUMIFS(BD!$AF$3:$AF$5001,BD!$A$3:$A$5001,$B15),SUMIFS(BD!$AF$3:$AF$5001,BD!$A$3:$A$5001,$B15,BD!$B$3:$B$5001,$D$2)))</f>
        <v>0</v>
      </c>
      <c r="AH15" s="32">
        <f>IF($B15="","",IF($B$2="Todos",SUMIFS(BD!$AG$3:$AG$5001,BD!$A$3:$A$5001,$B15),SUMIFS(BD!$AG$3:$AG$5001,BD!$A$3:$A$5001,$B15,BD!$B$3:$B$5001,$D$2)))</f>
        <v>0</v>
      </c>
      <c r="AI15" s="49">
        <f>$B$5</f>
        <v>0.7</v>
      </c>
      <c r="AJ15" s="49">
        <f>$B$6</f>
        <v>0.9</v>
      </c>
      <c r="AM15" s="29" t="inlineStr">
        <is>
          <t xml:space="preserve">ABRIL · 2026</t>
        </is>
      </c>
      <c r="AO15" s="29" t="inlineStr">
        <is>
          <t xml:space="preserve">Beautybiz</t>
        </is>
      </c>
      <c r="AP15" s="28" t="inlineStr">
        <is>
          <t xml:space="preserve">TPC</t>
        </is>
      </c>
      <c r="AR15" s="29" t="str">
        <f>$AT$336&amp;" — "&amp;IF($B$2="Todos","TODOS OS CLIENTES",UPPER($B$2))</f>
        <v>MOVIMENTAÇÃO TONS/DIA — TODOS OS CLIENTES</v>
      </c>
      <c r="AY15" s="60">
        <f>IF(OR($B15="",N(VALUE($AH$336))=0),"",IF(INDEX($C15:$AH15,VALUE($AH$336))="","",IF(N(VALUE($AJ$336))=0,INDEX($C15:$AH15,VALUE($AH$336)),IF(N(INDEX($C15:$AH15,N(VALUE($AJ$336))))&gt;0,INDEX($C15:$AH15,VALUE($AH$336))/INDEX($C15:$AH15,N(VALUE($AJ$336))),""))))</f>
        <v>0</v>
      </c>
      <c r="AZ15" s="60">
        <f>IF(OR($B15="",N(VALUE($AI$336))=0),"",IF(INDEX($C15:$AH15,VALUE($AI$336))="","",IF(N(VALUE($AK$336))=0,INDEX($C15:$AH15,VALUE($AI$336)),IF(N(INDEX($C15:$AH15,N(VALUE($AK$336))))&gt;0,INDEX($C15:$AH15,VALUE($AI$336))/INDEX($C15:$AH15,N(VALUE($AK$336))),""))))</f>
        <v>0</v>
      </c>
      <c r="BA15" s="60">
        <f>IF(OR($B15="",N(VALUE($AP$336))=0),"",IF(INDEX($C15:$AH15,VALUE($AP$336))="","",IF(N(VALUE($AR$336))=0,INDEX($C15:$AH15,VALUE($AP$336)),IF(N(INDEX($C15:$AH15,N(VALUE($AR$336))))&gt;0,INDEX($C15:$AH15,VALUE($AP$336))/INDEX($C15:$AH15,N(VALUE($AR$336))),""))))</f>
        <v>0</v>
      </c>
      <c r="BB15" s="60">
        <f>IF(OR($B15="",N(VALUE($AQ$336))=0),"",IF(INDEX($C15:$AH15,VALUE($AQ$336))="","",IF(N(VALUE($AS$336))=0,INDEX($C15:$AH15,VALUE($AQ$336)),IF(N(INDEX($C15:$AH15,N(VALUE($AS$336))))&gt;0,INDEX($C15:$AH15,VALUE($AQ$336))/INDEX($C15:$AH15,N(VALUE($AS$336))),""))))</f>
        <v>0</v>
      </c>
      <c r="BD15" s="32" t="str">
        <f>IF(AND($A15=$B$9,ISNUMBER(X15)),X15,NA())</f>
        <v/>
      </c>
    </row>
    <row r="16">
      <c r="A16" s="28">
        <v>5</v>
      </c>
      <c r="B16" s="45">
        <f>IF($A16&lt;=DAY($D$7),$C$7+$A16-1,"")</f>
        <v>46300</v>
      </c>
      <c r="C16" s="32">
        <f>IF($B16="","",IF($B$2="Todos",SUMIFS(BD!$C$3:$C$5001,BD!$A$3:$A$5001,$B16),SUMIFS(BD!$C$3:$C$5001,BD!$A$3:$A$5001,$B16,BD!$B$3:$B$5001,$D$2)))</f>
        <v>0</v>
      </c>
      <c r="D16" s="32">
        <f>IF($B16="","",IF($B$2="Todos",SUMIFS(BD!$D$3:$D$5001,BD!$A$3:$A$5001,$B16),SUMIFS(BD!$D$3:$D$5001,BD!$A$3:$A$5001,$B16,BD!$B$3:$B$5001,$D$2)))</f>
        <v>0</v>
      </c>
      <c r="E16" s="46">
        <f>IF($B16="","",IF($B$2="Todos",SUMIFS(BD!$E$3:$E$5001,BD!$A$3:$A$5001,$B16),SUMIFS(BD!$E$3:$E$5001,BD!$A$3:$A$5001,$B16,BD!$B$3:$B$5001,$D$2)))</f>
        <v>0</v>
      </c>
      <c r="F16" s="32">
        <f>IF($B16="","",IF($B$2="Todos",SUMIFS(BD!$F$3:$F$5001,BD!$A$3:$A$5001,$B16),SUMIFS(BD!$F$3:$F$5001,BD!$A$3:$A$5001,$B16,BD!$B$3:$B$5001,$D$2)))</f>
        <v>0</v>
      </c>
      <c r="G16" s="32">
        <f>IF($B16="","",IF($B$2="Todos",SUMIFS(BD!$G$3:$G$5001,BD!$A$3:$A$5001,$B16),SUMIFS(BD!$G$3:$G$5001,BD!$A$3:$A$5001,$B16,BD!$B$3:$B$5001,$D$2)))</f>
        <v>0</v>
      </c>
      <c r="H16" s="32">
        <f>IF($B16="","",IF($B$2="Todos",SUMIFS(BD!$H$3:$H$5001,BD!$A$3:$A$5001,$B16),SUMIFS(BD!$H$3:$H$5001,BD!$A$3:$A$5001,$B16,BD!$B$3:$B$5001,$D$2)))</f>
        <v>0</v>
      </c>
      <c r="I16" s="32">
        <f>IF($B16="","",IF($B$2="Todos",SUMIFS(BD!$I$3:$I$5001,BD!$A$3:$A$5001,$B16),SUMIFS(BD!$I$3:$I$5001,BD!$A$3:$A$5001,$B16,BD!$B$3:$B$5001,$D$2)))</f>
        <v>0</v>
      </c>
      <c r="J16" s="32">
        <f>IF($B16="","",IF($B$2="Todos",SUMIFS(BD!$J$3:$J$5001,BD!$A$3:$A$5001,$B16),SUMIFS(BD!$J$3:$J$5001,BD!$A$3:$A$5001,$B16,BD!$B$3:$B$5001,$D$2)))</f>
        <v>0</v>
      </c>
      <c r="K16" s="32">
        <f>IF($B16="","",IF($B$2="Todos",SUMIFS(BD!$K$3:$K$5001,BD!$A$3:$A$5001,$B16),SUMIFS(BD!$K$3:$K$5001,BD!$A$3:$A$5001,$B16,BD!$B$3:$B$5001,$D$2)))</f>
        <v>0</v>
      </c>
      <c r="L16" s="32">
        <f>IF($B16="","",IF($B$2="Todos",SUMIFS(BD!$L$3:$L$5001,BD!$A$3:$A$5001,$B16),SUMIFS(BD!$L$3:$L$5001,BD!$A$3:$A$5001,$B16,BD!$B$3:$B$5001,$D$2)))</f>
        <v>0</v>
      </c>
      <c r="M16" s="32">
        <f>IF($B16="","",IF($B$2="Todos",SUMIFS(BD!$M$3:$M$5001,BD!$A$3:$A$5001,$B16),SUMIFS(BD!$M$3:$M$5001,BD!$A$3:$A$5001,$B16,BD!$B$3:$B$5001,$D$2)))</f>
        <v>0</v>
      </c>
      <c r="N16" s="32">
        <f>IF($B16="","",IF($B$2="Todos",SUMIFS(BD!$N$3:$N$5001,BD!$A$3:$A$5001,$B16),SUMIFS(BD!$N$3:$N$5001,BD!$A$3:$A$5001,$B16,BD!$B$3:$B$5001,$D$2)))</f>
        <v>0</v>
      </c>
      <c r="O16" s="32">
        <f>IF($B16="","",IF($B$2="Todos",SUMIFS(BD!$O$3:$O$5001,BD!$A$3:$A$5001,$B16),SUMIFS(BD!$O$3:$O$5001,BD!$A$3:$A$5001,$B16,BD!$B$3:$B$5001,$D$2)))</f>
        <v>0</v>
      </c>
      <c r="P16" s="32">
        <f>IF($B16="","",IF($B$2="Todos",SUMIFS(BD!$P$3:$P$5001,BD!$A$3:$A$5001,$B16),SUMIFS(BD!$P$3:$P$5001,BD!$A$3:$A$5001,$B16,BD!$B$3:$B$5001,$D$2)))</f>
        <v>0</v>
      </c>
      <c r="Q16" s="32">
        <f>IF($B16="","",IF($B$2="Todos",SUMIFS(BD!$Q$3:$Q$5001,BD!$A$3:$A$5001,$B16),SUMIFS(BD!$Q$3:$Q$5001,BD!$A$3:$A$5001,$B16,BD!$B$3:$B$5001,$D$2)))</f>
        <v>0</v>
      </c>
      <c r="R16" s="32">
        <f>IF($B16="","",IF($B$2="Todos",SUMIFS(BD!$R$3:$R$5001,BD!$A$3:$A$5001,$B16),SUMIFS(BD!$R$3:$R$5001,BD!$A$3:$A$5001,$B16,BD!$B$3:$B$5001,$D$2)))</f>
        <v>0</v>
      </c>
      <c r="S16" s="32">
        <f>IF($B16="","",IF($B$2="Todos",SUMIFS(BD!$S$3:$S$5001,BD!$A$3:$A$5001,$B16),SUMIFS(BD!$S$3:$S$5001,BD!$A$3:$A$5001,$B16,BD!$B$3:$B$5001,$D$2)))</f>
        <v>0</v>
      </c>
      <c r="T16" s="46">
        <f>IF($B16="","",IF($B$2="Todos",SUMIFS(BD!$T$3:$T$5001,BD!$A$3:$A$5001,$B16),SUMIFS(BD!$T$3:$T$5001,BD!$A$3:$A$5001,$B16,BD!$B$3:$B$5001,$D$2)))</f>
        <v>0</v>
      </c>
      <c r="U16" s="32">
        <f>IF($B16="","",IF($B$2="Todos",SUMIFS(BD!$U$3:$U$5001,BD!$A$3:$A$5001,$B16),SUMIFS(BD!$U$3:$U$5001,BD!$A$3:$A$5001,$B16,BD!$B$3:$B$5001,$D$2)))</f>
        <v>0</v>
      </c>
      <c r="V16" s="32">
        <f>IF($B16="","",IF($B$2="Todos",SUMIFS(BD!$V$3:$V$5001,BD!$A$3:$A$5001,$B16),SUMIFS(BD!$V$3:$V$5001,BD!$A$3:$A$5001,$B16,BD!$B$3:$B$5001,$D$2)))</f>
        <v>0</v>
      </c>
      <c r="W16" s="32" t="str">
        <f>IF($B$2="Todos",IF(COUNT($C$143:$L$143)=0,"",SUM($C$143:$L$143)),IFERROR(INDEX($C$143:$L$143,MATCH($D$2,$C$138:$L$138,0)),""))</f>
        <v/>
      </c>
      <c r="X16" s="47" t="str">
        <f>IF(Y16="","",IF($B$2="Todos",IF($B$4&gt;0,$B$4,IF($B$2="Todos",IF(COUNT($C$213:$L$213)=0,"",SUM($C$213:$L$213)),IFERROR(INDEX($C$213:$L$213,MATCH($D$2,$C$208:$L$208,0)),""))),IFERROR(INDEX($C$213:$L$213,MATCH($D$2,$C$208:$L$208,0)),"")))</f>
        <v/>
      </c>
      <c r="Y16" s="32" t="str">
        <f>IF($B$2="Todos",IF(COUNT($C$178:$L$178)=0,"",SUM($C$178:$L$178)),IFERROR(INDEX($C$178:$L$178,MATCH($D$2,$C$173:$L$173,0)),""))</f>
        <v/>
      </c>
      <c r="Z16" s="48" t="str">
        <f>IF(AND(ISNUMBER(Y16),ISNUMBER(X16)),IF(X16&gt;0,Y16/X16,""),"")</f>
        <v/>
      </c>
      <c r="AA16" s="32" t="str">
        <f>IF($B$2="Todos",IF(COUNT($C$248:$L$248)=0,"",SUM($C$248:$L$248)),IFERROR(INDEX($C$248:$L$248,MATCH($D$2,$C$243:$L$243,0)),""))</f>
        <v/>
      </c>
      <c r="AB16" s="32">
        <f>IF($B16="","",IF($B$2="Todos",SUMIFS(BD!$AA$3:$AA$5001,BD!$A$3:$A$5001,$B16),SUMIFS(BD!$AA$3:$AA$5001,BD!$A$3:$A$5001,$B16,BD!$B$3:$B$5001,$D$2)))</f>
        <v>0</v>
      </c>
      <c r="AC16" s="32">
        <f>IF($B16="","",IF($B$2="Todos",SUMIFS(BD!$AB$3:$AB$5001,BD!$A$3:$A$5001,$B16),SUMIFS(BD!$AB$3:$AB$5001,BD!$A$3:$A$5001,$B16,BD!$B$3:$B$5001,$D$2)))</f>
        <v>0</v>
      </c>
      <c r="AD16" s="32">
        <f>IF($B16="","",IF($B$2="Todos",SUMIFS(BD!$AC$3:$AC$5001,BD!$A$3:$A$5001,$B16),SUMIFS(BD!$AC$3:$AC$5001,BD!$A$3:$A$5001,$B16,BD!$B$3:$B$5001,$D$2)))</f>
        <v>0</v>
      </c>
      <c r="AE16" s="32">
        <f>IF($B16="","",IF($B$2="Todos",SUMIFS(BD!$AD$3:$AD$5001,BD!$A$3:$A$5001,$B16),SUMIFS(BD!$AD$3:$AD$5001,BD!$A$3:$A$5001,$B16,BD!$B$3:$B$5001,$D$2)))</f>
        <v>0</v>
      </c>
      <c r="AF16" s="32">
        <f>IF($B16="","",IF($B$2="Todos",SUMIFS(BD!$AE$3:$AE$5001,BD!$A$3:$A$5001,$B16),SUMIFS(BD!$AE$3:$AE$5001,BD!$A$3:$A$5001,$B16,BD!$B$3:$B$5001,$D$2)))</f>
        <v>0</v>
      </c>
      <c r="AG16" s="32">
        <f>IF($B16="","",IF($B$2="Todos",SUMIFS(BD!$AF$3:$AF$5001,BD!$A$3:$A$5001,$B16),SUMIFS(BD!$AF$3:$AF$5001,BD!$A$3:$A$5001,$B16,BD!$B$3:$B$5001,$D$2)))</f>
        <v>0</v>
      </c>
      <c r="AH16" s="32">
        <f>IF($B16="","",IF($B$2="Todos",SUMIFS(BD!$AG$3:$AG$5001,BD!$A$3:$A$5001,$B16),SUMIFS(BD!$AG$3:$AG$5001,BD!$A$3:$A$5001,$B16,BD!$B$3:$B$5001,$D$2)))</f>
        <v>0</v>
      </c>
      <c r="AI16" s="49">
        <f>$B$5</f>
        <v>0.7</v>
      </c>
      <c r="AJ16" s="49">
        <f>$B$6</f>
        <v>0.9</v>
      </c>
      <c r="AM16" s="29" t="inlineStr">
        <is>
          <t xml:space="preserve">MAIO · 2026</t>
        </is>
      </c>
      <c r="AO16" s="29" t="inlineStr">
        <is>
          <t xml:space="preserve">Boticário</t>
        </is>
      </c>
      <c r="AP16" s="28" t="inlineStr">
        <is>
          <t xml:space="preserve">TPC</t>
        </is>
      </c>
      <c r="AR16" s="29" t="str">
        <f>$AM$336&amp;" — "&amp;IF($B$2="Todos","TODOS OS CLIENTES",UPPER($B$2))</f>
        <v>ACUMULADO SEMANAL PALETES — TODOS OS CLIENTES</v>
      </c>
      <c r="AY16" s="60">
        <f>IF(OR($B16="",N(VALUE($AH$336))=0),"",IF(INDEX($C16:$AH16,VALUE($AH$336))="","",IF(N(VALUE($AJ$336))=0,INDEX($C16:$AH16,VALUE($AH$336)),IF(N(INDEX($C16:$AH16,N(VALUE($AJ$336))))&gt;0,INDEX($C16:$AH16,VALUE($AH$336))/INDEX($C16:$AH16,N(VALUE($AJ$336))),""))))</f>
        <v>0</v>
      </c>
      <c r="AZ16" s="60">
        <f>IF(OR($B16="",N(VALUE($AI$336))=0),"",IF(INDEX($C16:$AH16,VALUE($AI$336))="","",IF(N(VALUE($AK$336))=0,INDEX($C16:$AH16,VALUE($AI$336)),IF(N(INDEX($C16:$AH16,N(VALUE($AK$336))))&gt;0,INDEX($C16:$AH16,VALUE($AI$336))/INDEX($C16:$AH16,N(VALUE($AK$336))),""))))</f>
        <v>0</v>
      </c>
      <c r="BA16" s="60">
        <f>IF(OR($B16="",N(VALUE($AP$336))=0),"",IF(INDEX($C16:$AH16,VALUE($AP$336))="","",IF(N(VALUE($AR$336))=0,INDEX($C16:$AH16,VALUE($AP$336)),IF(N(INDEX($C16:$AH16,N(VALUE($AR$336))))&gt;0,INDEX($C16:$AH16,VALUE($AP$336))/INDEX($C16:$AH16,N(VALUE($AR$336))),""))))</f>
        <v>0</v>
      </c>
      <c r="BB16" s="60">
        <f>IF(OR($B16="",N(VALUE($AQ$336))=0),"",IF(INDEX($C16:$AH16,VALUE($AQ$336))="","",IF(N(VALUE($AS$336))=0,INDEX($C16:$AH16,VALUE($AQ$336)),IF(N(INDEX($C16:$AH16,N(VALUE($AS$336))))&gt;0,INDEX($C16:$AH16,VALUE($AQ$336))/INDEX($C16:$AH16,N(VALUE($AS$336))),""))))</f>
        <v>0</v>
      </c>
      <c r="BD16" s="32" t="str">
        <f>IF(AND($A16=$B$9,ISNUMBER(X16)),X16,NA())</f>
        <v/>
      </c>
    </row>
    <row r="17">
      <c r="A17" s="28">
        <v>6</v>
      </c>
      <c r="B17" s="45">
        <f>IF($A17&lt;=DAY($D$7),$C$7+$A17-1,"")</f>
        <v>46301</v>
      </c>
      <c r="C17" s="32">
        <f>IF($B17="","",IF($B$2="Todos",SUMIFS(BD!$C$3:$C$5001,BD!$A$3:$A$5001,$B17),SUMIFS(BD!$C$3:$C$5001,BD!$A$3:$A$5001,$B17,BD!$B$3:$B$5001,$D$2)))</f>
        <v>0</v>
      </c>
      <c r="D17" s="32">
        <f>IF($B17="","",IF($B$2="Todos",SUMIFS(BD!$D$3:$D$5001,BD!$A$3:$A$5001,$B17),SUMIFS(BD!$D$3:$D$5001,BD!$A$3:$A$5001,$B17,BD!$B$3:$B$5001,$D$2)))</f>
        <v>0</v>
      </c>
      <c r="E17" s="46">
        <f>IF($B17="","",IF($B$2="Todos",SUMIFS(BD!$E$3:$E$5001,BD!$A$3:$A$5001,$B17),SUMIFS(BD!$E$3:$E$5001,BD!$A$3:$A$5001,$B17,BD!$B$3:$B$5001,$D$2)))</f>
        <v>0</v>
      </c>
      <c r="F17" s="32">
        <f>IF($B17="","",IF($B$2="Todos",SUMIFS(BD!$F$3:$F$5001,BD!$A$3:$A$5001,$B17),SUMIFS(BD!$F$3:$F$5001,BD!$A$3:$A$5001,$B17,BD!$B$3:$B$5001,$D$2)))</f>
        <v>0</v>
      </c>
      <c r="G17" s="32">
        <f>IF($B17="","",IF($B$2="Todos",SUMIFS(BD!$G$3:$G$5001,BD!$A$3:$A$5001,$B17),SUMIFS(BD!$G$3:$G$5001,BD!$A$3:$A$5001,$B17,BD!$B$3:$B$5001,$D$2)))</f>
        <v>0</v>
      </c>
      <c r="H17" s="32">
        <f>IF($B17="","",IF($B$2="Todos",SUMIFS(BD!$H$3:$H$5001,BD!$A$3:$A$5001,$B17),SUMIFS(BD!$H$3:$H$5001,BD!$A$3:$A$5001,$B17,BD!$B$3:$B$5001,$D$2)))</f>
        <v>0</v>
      </c>
      <c r="I17" s="32">
        <f>IF($B17="","",IF($B$2="Todos",SUMIFS(BD!$I$3:$I$5001,BD!$A$3:$A$5001,$B17),SUMIFS(BD!$I$3:$I$5001,BD!$A$3:$A$5001,$B17,BD!$B$3:$B$5001,$D$2)))</f>
        <v>0</v>
      </c>
      <c r="J17" s="32">
        <f>IF($B17="","",IF($B$2="Todos",SUMIFS(BD!$J$3:$J$5001,BD!$A$3:$A$5001,$B17),SUMIFS(BD!$J$3:$J$5001,BD!$A$3:$A$5001,$B17,BD!$B$3:$B$5001,$D$2)))</f>
        <v>0</v>
      </c>
      <c r="K17" s="32">
        <f>IF($B17="","",IF($B$2="Todos",SUMIFS(BD!$K$3:$K$5001,BD!$A$3:$A$5001,$B17),SUMIFS(BD!$K$3:$K$5001,BD!$A$3:$A$5001,$B17,BD!$B$3:$B$5001,$D$2)))</f>
        <v>0</v>
      </c>
      <c r="L17" s="32">
        <f>IF($B17="","",IF($B$2="Todos",SUMIFS(BD!$L$3:$L$5001,BD!$A$3:$A$5001,$B17),SUMIFS(BD!$L$3:$L$5001,BD!$A$3:$A$5001,$B17,BD!$B$3:$B$5001,$D$2)))</f>
        <v>0</v>
      </c>
      <c r="M17" s="32">
        <f>IF($B17="","",IF($B$2="Todos",SUMIFS(BD!$M$3:$M$5001,BD!$A$3:$A$5001,$B17),SUMIFS(BD!$M$3:$M$5001,BD!$A$3:$A$5001,$B17,BD!$B$3:$B$5001,$D$2)))</f>
        <v>0</v>
      </c>
      <c r="N17" s="32">
        <f>IF($B17="","",IF($B$2="Todos",SUMIFS(BD!$N$3:$N$5001,BD!$A$3:$A$5001,$B17),SUMIFS(BD!$N$3:$N$5001,BD!$A$3:$A$5001,$B17,BD!$B$3:$B$5001,$D$2)))</f>
        <v>0</v>
      </c>
      <c r="O17" s="32">
        <f>IF($B17="","",IF($B$2="Todos",SUMIFS(BD!$O$3:$O$5001,BD!$A$3:$A$5001,$B17),SUMIFS(BD!$O$3:$O$5001,BD!$A$3:$A$5001,$B17,BD!$B$3:$B$5001,$D$2)))</f>
        <v>0</v>
      </c>
      <c r="P17" s="32">
        <f>IF($B17="","",IF($B$2="Todos",SUMIFS(BD!$P$3:$P$5001,BD!$A$3:$A$5001,$B17),SUMIFS(BD!$P$3:$P$5001,BD!$A$3:$A$5001,$B17,BD!$B$3:$B$5001,$D$2)))</f>
        <v>0</v>
      </c>
      <c r="Q17" s="32">
        <f>IF($B17="","",IF($B$2="Todos",SUMIFS(BD!$Q$3:$Q$5001,BD!$A$3:$A$5001,$B17),SUMIFS(BD!$Q$3:$Q$5001,BD!$A$3:$A$5001,$B17,BD!$B$3:$B$5001,$D$2)))</f>
        <v>0</v>
      </c>
      <c r="R17" s="32">
        <f>IF($B17="","",IF($B$2="Todos",SUMIFS(BD!$R$3:$R$5001,BD!$A$3:$A$5001,$B17),SUMIFS(BD!$R$3:$R$5001,BD!$A$3:$A$5001,$B17,BD!$B$3:$B$5001,$D$2)))</f>
        <v>0</v>
      </c>
      <c r="S17" s="32">
        <f>IF($B17="","",IF($B$2="Todos",SUMIFS(BD!$S$3:$S$5001,BD!$A$3:$A$5001,$B17),SUMIFS(BD!$S$3:$S$5001,BD!$A$3:$A$5001,$B17,BD!$B$3:$B$5001,$D$2)))</f>
        <v>0</v>
      </c>
      <c r="T17" s="46">
        <f>IF($B17="","",IF($B$2="Todos",SUMIFS(BD!$T$3:$T$5001,BD!$A$3:$A$5001,$B17),SUMIFS(BD!$T$3:$T$5001,BD!$A$3:$A$5001,$B17,BD!$B$3:$B$5001,$D$2)))</f>
        <v>0</v>
      </c>
      <c r="U17" s="32">
        <f>IF($B17="","",IF($B$2="Todos",SUMIFS(BD!$U$3:$U$5001,BD!$A$3:$A$5001,$B17),SUMIFS(BD!$U$3:$U$5001,BD!$A$3:$A$5001,$B17,BD!$B$3:$B$5001,$D$2)))</f>
        <v>0</v>
      </c>
      <c r="V17" s="32">
        <f>IF($B17="","",IF($B$2="Todos",SUMIFS(BD!$V$3:$V$5001,BD!$A$3:$A$5001,$B17),SUMIFS(BD!$V$3:$V$5001,BD!$A$3:$A$5001,$B17,BD!$B$3:$B$5001,$D$2)))</f>
        <v>0</v>
      </c>
      <c r="W17" s="32" t="str">
        <f>IF($B$2="Todos",IF(COUNT($C$144:$L$144)=0,"",SUM($C$144:$L$144)),IFERROR(INDEX($C$144:$L$144,MATCH($D$2,$C$138:$L$138,0)),""))</f>
        <v/>
      </c>
      <c r="X17" s="47" t="str">
        <f>IF(Y17="","",IF($B$2="Todos",IF($B$4&gt;0,$B$4,IF($B$2="Todos",IF(COUNT($C$214:$L$214)=0,"",SUM($C$214:$L$214)),IFERROR(INDEX($C$214:$L$214,MATCH($D$2,$C$208:$L$208,0)),""))),IFERROR(INDEX($C$214:$L$214,MATCH($D$2,$C$208:$L$208,0)),"")))</f>
        <v/>
      </c>
      <c r="Y17" s="32" t="str">
        <f>IF($B$2="Todos",IF(COUNT($C$179:$L$179)=0,"",SUM($C$179:$L$179)),IFERROR(INDEX($C$179:$L$179,MATCH($D$2,$C$173:$L$173,0)),""))</f>
        <v/>
      </c>
      <c r="Z17" s="48" t="str">
        <f>IF(AND(ISNUMBER(Y17),ISNUMBER(X17)),IF(X17&gt;0,Y17/X17,""),"")</f>
        <v/>
      </c>
      <c r="AA17" s="32" t="str">
        <f>IF($B$2="Todos",IF(COUNT($C$249:$L$249)=0,"",SUM($C$249:$L$249)),IFERROR(INDEX($C$249:$L$249,MATCH($D$2,$C$243:$L$243,0)),""))</f>
        <v/>
      </c>
      <c r="AB17" s="32">
        <f>IF($B17="","",IF($B$2="Todos",SUMIFS(BD!$AA$3:$AA$5001,BD!$A$3:$A$5001,$B17),SUMIFS(BD!$AA$3:$AA$5001,BD!$A$3:$A$5001,$B17,BD!$B$3:$B$5001,$D$2)))</f>
        <v>0</v>
      </c>
      <c r="AC17" s="32">
        <f>IF($B17="","",IF($B$2="Todos",SUMIFS(BD!$AB$3:$AB$5001,BD!$A$3:$A$5001,$B17),SUMIFS(BD!$AB$3:$AB$5001,BD!$A$3:$A$5001,$B17,BD!$B$3:$B$5001,$D$2)))</f>
        <v>0</v>
      </c>
      <c r="AD17" s="32">
        <f>IF($B17="","",IF($B$2="Todos",SUMIFS(BD!$AC$3:$AC$5001,BD!$A$3:$A$5001,$B17),SUMIFS(BD!$AC$3:$AC$5001,BD!$A$3:$A$5001,$B17,BD!$B$3:$B$5001,$D$2)))</f>
        <v>0</v>
      </c>
      <c r="AE17" s="32">
        <f>IF($B17="","",IF($B$2="Todos",SUMIFS(BD!$AD$3:$AD$5001,BD!$A$3:$A$5001,$B17),SUMIFS(BD!$AD$3:$AD$5001,BD!$A$3:$A$5001,$B17,BD!$B$3:$B$5001,$D$2)))</f>
        <v>0</v>
      </c>
      <c r="AF17" s="32">
        <f>IF($B17="","",IF($B$2="Todos",SUMIFS(BD!$AE$3:$AE$5001,BD!$A$3:$A$5001,$B17),SUMIFS(BD!$AE$3:$AE$5001,BD!$A$3:$A$5001,$B17,BD!$B$3:$B$5001,$D$2)))</f>
        <v>0</v>
      </c>
      <c r="AG17" s="32">
        <f>IF($B17="","",IF($B$2="Todos",SUMIFS(BD!$AF$3:$AF$5001,BD!$A$3:$A$5001,$B17),SUMIFS(BD!$AF$3:$AF$5001,BD!$A$3:$A$5001,$B17,BD!$B$3:$B$5001,$D$2)))</f>
        <v>0</v>
      </c>
      <c r="AH17" s="32">
        <f>IF($B17="","",IF($B$2="Todos",SUMIFS(BD!$AG$3:$AG$5001,BD!$A$3:$A$5001,$B17),SUMIFS(BD!$AG$3:$AG$5001,BD!$A$3:$A$5001,$B17,BD!$B$3:$B$5001,$D$2)))</f>
        <v>0</v>
      </c>
      <c r="AI17" s="49">
        <f>$B$5</f>
        <v>0.7</v>
      </c>
      <c r="AJ17" s="49">
        <f>$B$6</f>
        <v>0.9</v>
      </c>
      <c r="AM17" s="29" t="inlineStr">
        <is>
          <t xml:space="preserve">JUNHO · 2026</t>
        </is>
      </c>
      <c r="AO17" s="29" t="inlineStr">
        <is>
          <t xml:space="preserve">Confiance</t>
        </is>
      </c>
      <c r="AP17" s="28" t="inlineStr">
        <is>
          <t xml:space="preserve">TPC</t>
        </is>
      </c>
      <c r="AR17" s="29" t="str">
        <f>$AU$336&amp;" — "&amp;IF($B$2="Todos","TODOS OS CLIENTES",UPPER($B$2))</f>
        <v>ACUMULADO SEMANAL TONS — TODOS OS CLIENTES</v>
      </c>
      <c r="AY17" s="60">
        <f>IF(OR($B17="",N(VALUE($AH$336))=0),"",IF(INDEX($C17:$AH17,VALUE($AH$336))="","",IF(N(VALUE($AJ$336))=0,INDEX($C17:$AH17,VALUE($AH$336)),IF(N(INDEX($C17:$AH17,N(VALUE($AJ$336))))&gt;0,INDEX($C17:$AH17,VALUE($AH$336))/INDEX($C17:$AH17,N(VALUE($AJ$336))),""))))</f>
        <v>0</v>
      </c>
      <c r="AZ17" s="60">
        <f>IF(OR($B17="",N(VALUE($AI$336))=0),"",IF(INDEX($C17:$AH17,VALUE($AI$336))="","",IF(N(VALUE($AK$336))=0,INDEX($C17:$AH17,VALUE($AI$336)),IF(N(INDEX($C17:$AH17,N(VALUE($AK$336))))&gt;0,INDEX($C17:$AH17,VALUE($AI$336))/INDEX($C17:$AH17,N(VALUE($AK$336))),""))))</f>
        <v>0</v>
      </c>
      <c r="BA17" s="60">
        <f>IF(OR($B17="",N(VALUE($AP$336))=0),"",IF(INDEX($C17:$AH17,VALUE($AP$336))="","",IF(N(VALUE($AR$336))=0,INDEX($C17:$AH17,VALUE($AP$336)),IF(N(INDEX($C17:$AH17,N(VALUE($AR$336))))&gt;0,INDEX($C17:$AH17,VALUE($AP$336))/INDEX($C17:$AH17,N(VALUE($AR$336))),""))))</f>
        <v>0</v>
      </c>
      <c r="BB17" s="60">
        <f>IF(OR($B17="",N(VALUE($AQ$336))=0),"",IF(INDEX($C17:$AH17,VALUE($AQ$336))="","",IF(N(VALUE($AS$336))=0,INDEX($C17:$AH17,VALUE($AQ$336)),IF(N(INDEX($C17:$AH17,N(VALUE($AS$336))))&gt;0,INDEX($C17:$AH17,VALUE($AQ$336))/INDEX($C17:$AH17,N(VALUE($AS$336))),""))))</f>
        <v>0</v>
      </c>
      <c r="BD17" s="32" t="str">
        <f>IF(AND($A17=$B$9,ISNUMBER(X17)),X17,NA())</f>
        <v/>
      </c>
    </row>
    <row r="18">
      <c r="A18" s="28">
        <v>7</v>
      </c>
      <c r="B18" s="45">
        <f>IF($A18&lt;=DAY($D$7),$C$7+$A18-1,"")</f>
        <v>46302</v>
      </c>
      <c r="C18" s="32">
        <f>IF($B18="","",IF($B$2="Todos",SUMIFS(BD!$C$3:$C$5001,BD!$A$3:$A$5001,$B18),SUMIFS(BD!$C$3:$C$5001,BD!$A$3:$A$5001,$B18,BD!$B$3:$B$5001,$D$2)))</f>
        <v>0</v>
      </c>
      <c r="D18" s="32">
        <f>IF($B18="","",IF($B$2="Todos",SUMIFS(BD!$D$3:$D$5001,BD!$A$3:$A$5001,$B18),SUMIFS(BD!$D$3:$D$5001,BD!$A$3:$A$5001,$B18,BD!$B$3:$B$5001,$D$2)))</f>
        <v>0</v>
      </c>
      <c r="E18" s="46">
        <f>IF($B18="","",IF($B$2="Todos",SUMIFS(BD!$E$3:$E$5001,BD!$A$3:$A$5001,$B18),SUMIFS(BD!$E$3:$E$5001,BD!$A$3:$A$5001,$B18,BD!$B$3:$B$5001,$D$2)))</f>
        <v>0</v>
      </c>
      <c r="F18" s="32">
        <f>IF($B18="","",IF($B$2="Todos",SUMIFS(BD!$F$3:$F$5001,BD!$A$3:$A$5001,$B18),SUMIFS(BD!$F$3:$F$5001,BD!$A$3:$A$5001,$B18,BD!$B$3:$B$5001,$D$2)))</f>
        <v>0</v>
      </c>
      <c r="G18" s="32">
        <f>IF($B18="","",IF($B$2="Todos",SUMIFS(BD!$G$3:$G$5001,BD!$A$3:$A$5001,$B18),SUMIFS(BD!$G$3:$G$5001,BD!$A$3:$A$5001,$B18,BD!$B$3:$B$5001,$D$2)))</f>
        <v>0</v>
      </c>
      <c r="H18" s="32">
        <f>IF($B18="","",IF($B$2="Todos",SUMIFS(BD!$H$3:$H$5001,BD!$A$3:$A$5001,$B18),SUMIFS(BD!$H$3:$H$5001,BD!$A$3:$A$5001,$B18,BD!$B$3:$B$5001,$D$2)))</f>
        <v>0</v>
      </c>
      <c r="I18" s="32">
        <f>IF($B18="","",IF($B$2="Todos",SUMIFS(BD!$I$3:$I$5001,BD!$A$3:$A$5001,$B18),SUMIFS(BD!$I$3:$I$5001,BD!$A$3:$A$5001,$B18,BD!$B$3:$B$5001,$D$2)))</f>
        <v>0</v>
      </c>
      <c r="J18" s="32">
        <f>IF($B18="","",IF($B$2="Todos",SUMIFS(BD!$J$3:$J$5001,BD!$A$3:$A$5001,$B18),SUMIFS(BD!$J$3:$J$5001,BD!$A$3:$A$5001,$B18,BD!$B$3:$B$5001,$D$2)))</f>
        <v>0</v>
      </c>
      <c r="K18" s="32">
        <f>IF($B18="","",IF($B$2="Todos",SUMIFS(BD!$K$3:$K$5001,BD!$A$3:$A$5001,$B18),SUMIFS(BD!$K$3:$K$5001,BD!$A$3:$A$5001,$B18,BD!$B$3:$B$5001,$D$2)))</f>
        <v>0</v>
      </c>
      <c r="L18" s="32">
        <f>IF($B18="","",IF($B$2="Todos",SUMIFS(BD!$L$3:$L$5001,BD!$A$3:$A$5001,$B18),SUMIFS(BD!$L$3:$L$5001,BD!$A$3:$A$5001,$B18,BD!$B$3:$B$5001,$D$2)))</f>
        <v>0</v>
      </c>
      <c r="M18" s="32">
        <f>IF($B18="","",IF($B$2="Todos",SUMIFS(BD!$M$3:$M$5001,BD!$A$3:$A$5001,$B18),SUMIFS(BD!$M$3:$M$5001,BD!$A$3:$A$5001,$B18,BD!$B$3:$B$5001,$D$2)))</f>
        <v>0</v>
      </c>
      <c r="N18" s="32">
        <f>IF($B18="","",IF($B$2="Todos",SUMIFS(BD!$N$3:$N$5001,BD!$A$3:$A$5001,$B18),SUMIFS(BD!$N$3:$N$5001,BD!$A$3:$A$5001,$B18,BD!$B$3:$B$5001,$D$2)))</f>
        <v>0</v>
      </c>
      <c r="O18" s="32">
        <f>IF($B18="","",IF($B$2="Todos",SUMIFS(BD!$O$3:$O$5001,BD!$A$3:$A$5001,$B18),SUMIFS(BD!$O$3:$O$5001,BD!$A$3:$A$5001,$B18,BD!$B$3:$B$5001,$D$2)))</f>
        <v>0</v>
      </c>
      <c r="P18" s="32">
        <f>IF($B18="","",IF($B$2="Todos",SUMIFS(BD!$P$3:$P$5001,BD!$A$3:$A$5001,$B18),SUMIFS(BD!$P$3:$P$5001,BD!$A$3:$A$5001,$B18,BD!$B$3:$B$5001,$D$2)))</f>
        <v>0</v>
      </c>
      <c r="Q18" s="32">
        <f>IF($B18="","",IF($B$2="Todos",SUMIFS(BD!$Q$3:$Q$5001,BD!$A$3:$A$5001,$B18),SUMIFS(BD!$Q$3:$Q$5001,BD!$A$3:$A$5001,$B18,BD!$B$3:$B$5001,$D$2)))</f>
        <v>0</v>
      </c>
      <c r="R18" s="32">
        <f>IF($B18="","",IF($B$2="Todos",SUMIFS(BD!$R$3:$R$5001,BD!$A$3:$A$5001,$B18),SUMIFS(BD!$R$3:$R$5001,BD!$A$3:$A$5001,$B18,BD!$B$3:$B$5001,$D$2)))</f>
        <v>0</v>
      </c>
      <c r="S18" s="32">
        <f>IF($B18="","",IF($B$2="Todos",SUMIFS(BD!$S$3:$S$5001,BD!$A$3:$A$5001,$B18),SUMIFS(BD!$S$3:$S$5001,BD!$A$3:$A$5001,$B18,BD!$B$3:$B$5001,$D$2)))</f>
        <v>0</v>
      </c>
      <c r="T18" s="46">
        <f>IF($B18="","",IF($B$2="Todos",SUMIFS(BD!$T$3:$T$5001,BD!$A$3:$A$5001,$B18),SUMIFS(BD!$T$3:$T$5001,BD!$A$3:$A$5001,$B18,BD!$B$3:$B$5001,$D$2)))</f>
        <v>0</v>
      </c>
      <c r="U18" s="32">
        <f>IF($B18="","",IF($B$2="Todos",SUMIFS(BD!$U$3:$U$5001,BD!$A$3:$A$5001,$B18),SUMIFS(BD!$U$3:$U$5001,BD!$A$3:$A$5001,$B18,BD!$B$3:$B$5001,$D$2)))</f>
        <v>0</v>
      </c>
      <c r="V18" s="32">
        <f>IF($B18="","",IF($B$2="Todos",SUMIFS(BD!$V$3:$V$5001,BD!$A$3:$A$5001,$B18),SUMIFS(BD!$V$3:$V$5001,BD!$A$3:$A$5001,$B18,BD!$B$3:$B$5001,$D$2)))</f>
        <v>0</v>
      </c>
      <c r="W18" s="32" t="str">
        <f>IF($B$2="Todos",IF(COUNT($C$145:$L$145)=0,"",SUM($C$145:$L$145)),IFERROR(INDEX($C$145:$L$145,MATCH($D$2,$C$138:$L$138,0)),""))</f>
        <v/>
      </c>
      <c r="X18" s="47" t="str">
        <f>IF(Y18="","",IF($B$2="Todos",IF($B$4&gt;0,$B$4,IF($B$2="Todos",IF(COUNT($C$215:$L$215)=0,"",SUM($C$215:$L$215)),IFERROR(INDEX($C$215:$L$215,MATCH($D$2,$C$208:$L$208,0)),""))),IFERROR(INDEX($C$215:$L$215,MATCH($D$2,$C$208:$L$208,0)),"")))</f>
        <v/>
      </c>
      <c r="Y18" s="32" t="str">
        <f>IF($B$2="Todos",IF(COUNT($C$180:$L$180)=0,"",SUM($C$180:$L$180)),IFERROR(INDEX($C$180:$L$180,MATCH($D$2,$C$173:$L$173,0)),""))</f>
        <v/>
      </c>
      <c r="Z18" s="48" t="str">
        <f>IF(AND(ISNUMBER(Y18),ISNUMBER(X18)),IF(X18&gt;0,Y18/X18,""),"")</f>
        <v/>
      </c>
      <c r="AA18" s="32" t="str">
        <f>IF($B$2="Todos",IF(COUNT($C$250:$L$250)=0,"",SUM($C$250:$L$250)),IFERROR(INDEX($C$250:$L$250,MATCH($D$2,$C$243:$L$243,0)),""))</f>
        <v/>
      </c>
      <c r="AB18" s="32">
        <f>IF($B18="","",IF($B$2="Todos",SUMIFS(BD!$AA$3:$AA$5001,BD!$A$3:$A$5001,$B18),SUMIFS(BD!$AA$3:$AA$5001,BD!$A$3:$A$5001,$B18,BD!$B$3:$B$5001,$D$2)))</f>
        <v>0</v>
      </c>
      <c r="AC18" s="32">
        <f>IF($B18="","",IF($B$2="Todos",SUMIFS(BD!$AB$3:$AB$5001,BD!$A$3:$A$5001,$B18),SUMIFS(BD!$AB$3:$AB$5001,BD!$A$3:$A$5001,$B18,BD!$B$3:$B$5001,$D$2)))</f>
        <v>0</v>
      </c>
      <c r="AD18" s="32">
        <f>IF($B18="","",IF($B$2="Todos",SUMIFS(BD!$AC$3:$AC$5001,BD!$A$3:$A$5001,$B18),SUMIFS(BD!$AC$3:$AC$5001,BD!$A$3:$A$5001,$B18,BD!$B$3:$B$5001,$D$2)))</f>
        <v>0</v>
      </c>
      <c r="AE18" s="32">
        <f>IF($B18="","",IF($B$2="Todos",SUMIFS(BD!$AD$3:$AD$5001,BD!$A$3:$A$5001,$B18),SUMIFS(BD!$AD$3:$AD$5001,BD!$A$3:$A$5001,$B18,BD!$B$3:$B$5001,$D$2)))</f>
        <v>0</v>
      </c>
      <c r="AF18" s="32">
        <f>IF($B18="","",IF($B$2="Todos",SUMIFS(BD!$AE$3:$AE$5001,BD!$A$3:$A$5001,$B18),SUMIFS(BD!$AE$3:$AE$5001,BD!$A$3:$A$5001,$B18,BD!$B$3:$B$5001,$D$2)))</f>
        <v>0</v>
      </c>
      <c r="AG18" s="32">
        <f>IF($B18="","",IF($B$2="Todos",SUMIFS(BD!$AF$3:$AF$5001,BD!$A$3:$A$5001,$B18),SUMIFS(BD!$AF$3:$AF$5001,BD!$A$3:$A$5001,$B18,BD!$B$3:$B$5001,$D$2)))</f>
        <v>0</v>
      </c>
      <c r="AH18" s="32">
        <f>IF($B18="","",IF($B$2="Todos",SUMIFS(BD!$AG$3:$AG$5001,BD!$A$3:$A$5001,$B18),SUMIFS(BD!$AG$3:$AG$5001,BD!$A$3:$A$5001,$B18,BD!$B$3:$B$5001,$D$2)))</f>
        <v>0</v>
      </c>
      <c r="AI18" s="49">
        <f>$B$5</f>
        <v>0.7</v>
      </c>
      <c r="AJ18" s="49">
        <f>$B$6</f>
        <v>0.9</v>
      </c>
      <c r="AM18" s="29" t="inlineStr">
        <is>
          <t xml:space="preserve">JULHO · 2026</t>
        </is>
      </c>
      <c r="AO18" s="29" t="inlineStr">
        <is>
          <t xml:space="preserve">GE Vernova</t>
        </is>
      </c>
      <c r="AP18" s="28" t="inlineStr">
        <is>
          <t xml:space="preserve">TPC</t>
        </is>
      </c>
      <c r="AY18" s="60">
        <f>IF(OR($B18="",N(VALUE($AH$336))=0),"",IF(INDEX($C18:$AH18,VALUE($AH$336))="","",IF(N(VALUE($AJ$336))=0,INDEX($C18:$AH18,VALUE($AH$336)),IF(N(INDEX($C18:$AH18,N(VALUE($AJ$336))))&gt;0,INDEX($C18:$AH18,VALUE($AH$336))/INDEX($C18:$AH18,N(VALUE($AJ$336))),""))))</f>
        <v>0</v>
      </c>
      <c r="AZ18" s="60">
        <f>IF(OR($B18="",N(VALUE($AI$336))=0),"",IF(INDEX($C18:$AH18,VALUE($AI$336))="","",IF(N(VALUE($AK$336))=0,INDEX($C18:$AH18,VALUE($AI$336)),IF(N(INDEX($C18:$AH18,N(VALUE($AK$336))))&gt;0,INDEX($C18:$AH18,VALUE($AI$336))/INDEX($C18:$AH18,N(VALUE($AK$336))),""))))</f>
        <v>0</v>
      </c>
      <c r="BA18" s="60">
        <f>IF(OR($B18="",N(VALUE($AP$336))=0),"",IF(INDEX($C18:$AH18,VALUE($AP$336))="","",IF(N(VALUE($AR$336))=0,INDEX($C18:$AH18,VALUE($AP$336)),IF(N(INDEX($C18:$AH18,N(VALUE($AR$336))))&gt;0,INDEX($C18:$AH18,VALUE($AP$336))/INDEX($C18:$AH18,N(VALUE($AR$336))),""))))</f>
        <v>0</v>
      </c>
      <c r="BB18" s="60">
        <f>IF(OR($B18="",N(VALUE($AQ$336))=0),"",IF(INDEX($C18:$AH18,VALUE($AQ$336))="","",IF(N(VALUE($AS$336))=0,INDEX($C18:$AH18,VALUE($AQ$336)),IF(N(INDEX($C18:$AH18,N(VALUE($AS$336))))&gt;0,INDEX($C18:$AH18,VALUE($AQ$336))/INDEX($C18:$AH18,N(VALUE($AS$336))),""))))</f>
        <v>0</v>
      </c>
      <c r="BD18" s="32" t="str">
        <f>IF(AND($A18=$B$9,ISNUMBER(X18)),X18,NA())</f>
        <v/>
      </c>
    </row>
    <row r="19">
      <c r="A19" s="28">
        <v>8</v>
      </c>
      <c r="B19" s="45">
        <f>IF($A19&lt;=DAY($D$7),$C$7+$A19-1,"")</f>
        <v>46303</v>
      </c>
      <c r="C19" s="32">
        <f>IF($B19="","",IF($B$2="Todos",SUMIFS(BD!$C$3:$C$5001,BD!$A$3:$A$5001,$B19),SUMIFS(BD!$C$3:$C$5001,BD!$A$3:$A$5001,$B19,BD!$B$3:$B$5001,$D$2)))</f>
        <v>0</v>
      </c>
      <c r="D19" s="32">
        <f>IF($B19="","",IF($B$2="Todos",SUMIFS(BD!$D$3:$D$5001,BD!$A$3:$A$5001,$B19),SUMIFS(BD!$D$3:$D$5001,BD!$A$3:$A$5001,$B19,BD!$B$3:$B$5001,$D$2)))</f>
        <v>0</v>
      </c>
      <c r="E19" s="46">
        <f>IF($B19="","",IF($B$2="Todos",SUMIFS(BD!$E$3:$E$5001,BD!$A$3:$A$5001,$B19),SUMIFS(BD!$E$3:$E$5001,BD!$A$3:$A$5001,$B19,BD!$B$3:$B$5001,$D$2)))</f>
        <v>0</v>
      </c>
      <c r="F19" s="32">
        <f>IF($B19="","",IF($B$2="Todos",SUMIFS(BD!$F$3:$F$5001,BD!$A$3:$A$5001,$B19),SUMIFS(BD!$F$3:$F$5001,BD!$A$3:$A$5001,$B19,BD!$B$3:$B$5001,$D$2)))</f>
        <v>0</v>
      </c>
      <c r="G19" s="32">
        <f>IF($B19="","",IF($B$2="Todos",SUMIFS(BD!$G$3:$G$5001,BD!$A$3:$A$5001,$B19),SUMIFS(BD!$G$3:$G$5001,BD!$A$3:$A$5001,$B19,BD!$B$3:$B$5001,$D$2)))</f>
        <v>0</v>
      </c>
      <c r="H19" s="32">
        <f>IF($B19="","",IF($B$2="Todos",SUMIFS(BD!$H$3:$H$5001,BD!$A$3:$A$5001,$B19),SUMIFS(BD!$H$3:$H$5001,BD!$A$3:$A$5001,$B19,BD!$B$3:$B$5001,$D$2)))</f>
        <v>0</v>
      </c>
      <c r="I19" s="32">
        <f>IF($B19="","",IF($B$2="Todos",SUMIFS(BD!$I$3:$I$5001,BD!$A$3:$A$5001,$B19),SUMIFS(BD!$I$3:$I$5001,BD!$A$3:$A$5001,$B19,BD!$B$3:$B$5001,$D$2)))</f>
        <v>0</v>
      </c>
      <c r="J19" s="32">
        <f>IF($B19="","",IF($B$2="Todos",SUMIFS(BD!$J$3:$J$5001,BD!$A$3:$A$5001,$B19),SUMIFS(BD!$J$3:$J$5001,BD!$A$3:$A$5001,$B19,BD!$B$3:$B$5001,$D$2)))</f>
        <v>0</v>
      </c>
      <c r="K19" s="32">
        <f>IF($B19="","",IF($B$2="Todos",SUMIFS(BD!$K$3:$K$5001,BD!$A$3:$A$5001,$B19),SUMIFS(BD!$K$3:$K$5001,BD!$A$3:$A$5001,$B19,BD!$B$3:$B$5001,$D$2)))</f>
        <v>0</v>
      </c>
      <c r="L19" s="32">
        <f>IF($B19="","",IF($B$2="Todos",SUMIFS(BD!$L$3:$L$5001,BD!$A$3:$A$5001,$B19),SUMIFS(BD!$L$3:$L$5001,BD!$A$3:$A$5001,$B19,BD!$B$3:$B$5001,$D$2)))</f>
        <v>0</v>
      </c>
      <c r="M19" s="32">
        <f>IF($B19="","",IF($B$2="Todos",SUMIFS(BD!$M$3:$M$5001,BD!$A$3:$A$5001,$B19),SUMIFS(BD!$M$3:$M$5001,BD!$A$3:$A$5001,$B19,BD!$B$3:$B$5001,$D$2)))</f>
        <v>0</v>
      </c>
      <c r="N19" s="32">
        <f>IF($B19="","",IF($B$2="Todos",SUMIFS(BD!$N$3:$N$5001,BD!$A$3:$A$5001,$B19),SUMIFS(BD!$N$3:$N$5001,BD!$A$3:$A$5001,$B19,BD!$B$3:$B$5001,$D$2)))</f>
        <v>0</v>
      </c>
      <c r="O19" s="32">
        <f>IF($B19="","",IF($B$2="Todos",SUMIFS(BD!$O$3:$O$5001,BD!$A$3:$A$5001,$B19),SUMIFS(BD!$O$3:$O$5001,BD!$A$3:$A$5001,$B19,BD!$B$3:$B$5001,$D$2)))</f>
        <v>0</v>
      </c>
      <c r="P19" s="32">
        <f>IF($B19="","",IF($B$2="Todos",SUMIFS(BD!$P$3:$P$5001,BD!$A$3:$A$5001,$B19),SUMIFS(BD!$P$3:$P$5001,BD!$A$3:$A$5001,$B19,BD!$B$3:$B$5001,$D$2)))</f>
        <v>0</v>
      </c>
      <c r="Q19" s="32">
        <f>IF($B19="","",IF($B$2="Todos",SUMIFS(BD!$Q$3:$Q$5001,BD!$A$3:$A$5001,$B19),SUMIFS(BD!$Q$3:$Q$5001,BD!$A$3:$A$5001,$B19,BD!$B$3:$B$5001,$D$2)))</f>
        <v>0</v>
      </c>
      <c r="R19" s="32">
        <f>IF($B19="","",IF($B$2="Todos",SUMIFS(BD!$R$3:$R$5001,BD!$A$3:$A$5001,$B19),SUMIFS(BD!$R$3:$R$5001,BD!$A$3:$A$5001,$B19,BD!$B$3:$B$5001,$D$2)))</f>
        <v>0</v>
      </c>
      <c r="S19" s="32">
        <f>IF($B19="","",IF($B$2="Todos",SUMIFS(BD!$S$3:$S$5001,BD!$A$3:$A$5001,$B19),SUMIFS(BD!$S$3:$S$5001,BD!$A$3:$A$5001,$B19,BD!$B$3:$B$5001,$D$2)))</f>
        <v>0</v>
      </c>
      <c r="T19" s="46">
        <f>IF($B19="","",IF($B$2="Todos",SUMIFS(BD!$T$3:$T$5001,BD!$A$3:$A$5001,$B19),SUMIFS(BD!$T$3:$T$5001,BD!$A$3:$A$5001,$B19,BD!$B$3:$B$5001,$D$2)))</f>
        <v>0</v>
      </c>
      <c r="U19" s="32">
        <f>IF($B19="","",IF($B$2="Todos",SUMIFS(BD!$U$3:$U$5001,BD!$A$3:$A$5001,$B19),SUMIFS(BD!$U$3:$U$5001,BD!$A$3:$A$5001,$B19,BD!$B$3:$B$5001,$D$2)))</f>
        <v>0</v>
      </c>
      <c r="V19" s="32">
        <f>IF($B19="","",IF($B$2="Todos",SUMIFS(BD!$V$3:$V$5001,BD!$A$3:$A$5001,$B19),SUMIFS(BD!$V$3:$V$5001,BD!$A$3:$A$5001,$B19,BD!$B$3:$B$5001,$D$2)))</f>
        <v>0</v>
      </c>
      <c r="W19" s="32" t="str">
        <f>IF($B$2="Todos",IF(COUNT($C$146:$L$146)=0,"",SUM($C$146:$L$146)),IFERROR(INDEX($C$146:$L$146,MATCH($D$2,$C$138:$L$138,0)),""))</f>
        <v/>
      </c>
      <c r="X19" s="47" t="str">
        <f>IF(Y19="","",IF($B$2="Todos",IF($B$4&gt;0,$B$4,IF($B$2="Todos",IF(COUNT($C$216:$L$216)=0,"",SUM($C$216:$L$216)),IFERROR(INDEX($C$216:$L$216,MATCH($D$2,$C$208:$L$208,0)),""))),IFERROR(INDEX($C$216:$L$216,MATCH($D$2,$C$208:$L$208,0)),"")))</f>
        <v/>
      </c>
      <c r="Y19" s="32" t="str">
        <f>IF($B$2="Todos",IF(COUNT($C$181:$L$181)=0,"",SUM($C$181:$L$181)),IFERROR(INDEX($C$181:$L$181,MATCH($D$2,$C$173:$L$173,0)),""))</f>
        <v/>
      </c>
      <c r="Z19" s="48" t="str">
        <f>IF(AND(ISNUMBER(Y19),ISNUMBER(X19)),IF(X19&gt;0,Y19/X19,""),"")</f>
        <v/>
      </c>
      <c r="AA19" s="32" t="str">
        <f>IF($B$2="Todos",IF(COUNT($C$251:$L$251)=0,"",SUM($C$251:$L$251)),IFERROR(INDEX($C$251:$L$251,MATCH($D$2,$C$243:$L$243,0)),""))</f>
        <v/>
      </c>
      <c r="AB19" s="32">
        <f>IF($B19="","",IF($B$2="Todos",SUMIFS(BD!$AA$3:$AA$5001,BD!$A$3:$A$5001,$B19),SUMIFS(BD!$AA$3:$AA$5001,BD!$A$3:$A$5001,$B19,BD!$B$3:$B$5001,$D$2)))</f>
        <v>0</v>
      </c>
      <c r="AC19" s="32">
        <f>IF($B19="","",IF($B$2="Todos",SUMIFS(BD!$AB$3:$AB$5001,BD!$A$3:$A$5001,$B19),SUMIFS(BD!$AB$3:$AB$5001,BD!$A$3:$A$5001,$B19,BD!$B$3:$B$5001,$D$2)))</f>
        <v>0</v>
      </c>
      <c r="AD19" s="32">
        <f>IF($B19="","",IF($B$2="Todos",SUMIFS(BD!$AC$3:$AC$5001,BD!$A$3:$A$5001,$B19),SUMIFS(BD!$AC$3:$AC$5001,BD!$A$3:$A$5001,$B19,BD!$B$3:$B$5001,$D$2)))</f>
        <v>0</v>
      </c>
      <c r="AE19" s="32">
        <f>IF($B19="","",IF($B$2="Todos",SUMIFS(BD!$AD$3:$AD$5001,BD!$A$3:$A$5001,$B19),SUMIFS(BD!$AD$3:$AD$5001,BD!$A$3:$A$5001,$B19,BD!$B$3:$B$5001,$D$2)))</f>
        <v>0</v>
      </c>
      <c r="AF19" s="32">
        <f>IF($B19="","",IF($B$2="Todos",SUMIFS(BD!$AE$3:$AE$5001,BD!$A$3:$A$5001,$B19),SUMIFS(BD!$AE$3:$AE$5001,BD!$A$3:$A$5001,$B19,BD!$B$3:$B$5001,$D$2)))</f>
        <v>0</v>
      </c>
      <c r="AG19" s="32">
        <f>IF($B19="","",IF($B$2="Todos",SUMIFS(BD!$AF$3:$AF$5001,BD!$A$3:$A$5001,$B19),SUMIFS(BD!$AF$3:$AF$5001,BD!$A$3:$A$5001,$B19,BD!$B$3:$B$5001,$D$2)))</f>
        <v>0</v>
      </c>
      <c r="AH19" s="32">
        <f>IF($B19="","",IF($B$2="Todos",SUMIFS(BD!$AG$3:$AG$5001,BD!$A$3:$A$5001,$B19),SUMIFS(BD!$AG$3:$AG$5001,BD!$A$3:$A$5001,$B19,BD!$B$3:$B$5001,$D$2)))</f>
        <v>0</v>
      </c>
      <c r="AI19" s="49">
        <f>$B$5</f>
        <v>0.7</v>
      </c>
      <c r="AJ19" s="49">
        <f>$B$6</f>
        <v>0.9</v>
      </c>
      <c r="AM19" s="29" t="inlineStr">
        <is>
          <t xml:space="preserve">AGOSTO · 2026</t>
        </is>
      </c>
      <c r="AO19" s="29" t="inlineStr">
        <is>
          <t xml:space="preserve">Omnilife</t>
        </is>
      </c>
      <c r="AP19" s="28" t="inlineStr">
        <is>
          <t xml:space="preserve">TPC</t>
        </is>
      </c>
      <c r="AY19" s="60">
        <f>IF(OR($B19="",N(VALUE($AH$336))=0),"",IF(INDEX($C19:$AH19,VALUE($AH$336))="","",IF(N(VALUE($AJ$336))=0,INDEX($C19:$AH19,VALUE($AH$336)),IF(N(INDEX($C19:$AH19,N(VALUE($AJ$336))))&gt;0,INDEX($C19:$AH19,VALUE($AH$336))/INDEX($C19:$AH19,N(VALUE($AJ$336))),""))))</f>
        <v>0</v>
      </c>
      <c r="AZ19" s="60">
        <f>IF(OR($B19="",N(VALUE($AI$336))=0),"",IF(INDEX($C19:$AH19,VALUE($AI$336))="","",IF(N(VALUE($AK$336))=0,INDEX($C19:$AH19,VALUE($AI$336)),IF(N(INDEX($C19:$AH19,N(VALUE($AK$336))))&gt;0,INDEX($C19:$AH19,VALUE($AI$336))/INDEX($C19:$AH19,N(VALUE($AK$336))),""))))</f>
        <v>0</v>
      </c>
      <c r="BA19" s="60">
        <f>IF(OR($B19="",N(VALUE($AP$336))=0),"",IF(INDEX($C19:$AH19,VALUE($AP$336))="","",IF(N(VALUE($AR$336))=0,INDEX($C19:$AH19,VALUE($AP$336)),IF(N(INDEX($C19:$AH19,N(VALUE($AR$336))))&gt;0,INDEX($C19:$AH19,VALUE($AP$336))/INDEX($C19:$AH19,N(VALUE($AR$336))),""))))</f>
        <v>0</v>
      </c>
      <c r="BB19" s="60">
        <f>IF(OR($B19="",N(VALUE($AQ$336))=0),"",IF(INDEX($C19:$AH19,VALUE($AQ$336))="","",IF(N(VALUE($AS$336))=0,INDEX($C19:$AH19,VALUE($AQ$336)),IF(N(INDEX($C19:$AH19,N(VALUE($AS$336))))&gt;0,INDEX($C19:$AH19,VALUE($AQ$336))/INDEX($C19:$AH19,N(VALUE($AS$336))),""))))</f>
        <v>0</v>
      </c>
      <c r="BD19" s="32" t="str">
        <f>IF(AND($A19=$B$9,ISNUMBER(X19)),X19,NA())</f>
        <v/>
      </c>
    </row>
    <row r="20">
      <c r="A20" s="28">
        <v>9</v>
      </c>
      <c r="B20" s="45">
        <f>IF($A20&lt;=DAY($D$7),$C$7+$A20-1,"")</f>
        <v>46304</v>
      </c>
      <c r="C20" s="32">
        <f>IF($B20="","",IF($B$2="Todos",SUMIFS(BD!$C$3:$C$5001,BD!$A$3:$A$5001,$B20),SUMIFS(BD!$C$3:$C$5001,BD!$A$3:$A$5001,$B20,BD!$B$3:$B$5001,$D$2)))</f>
        <v>0</v>
      </c>
      <c r="D20" s="32">
        <f>IF($B20="","",IF($B$2="Todos",SUMIFS(BD!$D$3:$D$5001,BD!$A$3:$A$5001,$B20),SUMIFS(BD!$D$3:$D$5001,BD!$A$3:$A$5001,$B20,BD!$B$3:$B$5001,$D$2)))</f>
        <v>0</v>
      </c>
      <c r="E20" s="46">
        <f>IF($B20="","",IF($B$2="Todos",SUMIFS(BD!$E$3:$E$5001,BD!$A$3:$A$5001,$B20),SUMIFS(BD!$E$3:$E$5001,BD!$A$3:$A$5001,$B20,BD!$B$3:$B$5001,$D$2)))</f>
        <v>0</v>
      </c>
      <c r="F20" s="32">
        <f>IF($B20="","",IF($B$2="Todos",SUMIFS(BD!$F$3:$F$5001,BD!$A$3:$A$5001,$B20),SUMIFS(BD!$F$3:$F$5001,BD!$A$3:$A$5001,$B20,BD!$B$3:$B$5001,$D$2)))</f>
        <v>0</v>
      </c>
      <c r="G20" s="32">
        <f>IF($B20="","",IF($B$2="Todos",SUMIFS(BD!$G$3:$G$5001,BD!$A$3:$A$5001,$B20),SUMIFS(BD!$G$3:$G$5001,BD!$A$3:$A$5001,$B20,BD!$B$3:$B$5001,$D$2)))</f>
        <v>0</v>
      </c>
      <c r="H20" s="32">
        <f>IF($B20="","",IF($B$2="Todos",SUMIFS(BD!$H$3:$H$5001,BD!$A$3:$A$5001,$B20),SUMIFS(BD!$H$3:$H$5001,BD!$A$3:$A$5001,$B20,BD!$B$3:$B$5001,$D$2)))</f>
        <v>0</v>
      </c>
      <c r="I20" s="32">
        <f>IF($B20="","",IF($B$2="Todos",SUMIFS(BD!$I$3:$I$5001,BD!$A$3:$A$5001,$B20),SUMIFS(BD!$I$3:$I$5001,BD!$A$3:$A$5001,$B20,BD!$B$3:$B$5001,$D$2)))</f>
        <v>0</v>
      </c>
      <c r="J20" s="32">
        <f>IF($B20="","",IF($B$2="Todos",SUMIFS(BD!$J$3:$J$5001,BD!$A$3:$A$5001,$B20),SUMIFS(BD!$J$3:$J$5001,BD!$A$3:$A$5001,$B20,BD!$B$3:$B$5001,$D$2)))</f>
        <v>0</v>
      </c>
      <c r="K20" s="32">
        <f>IF($B20="","",IF($B$2="Todos",SUMIFS(BD!$K$3:$K$5001,BD!$A$3:$A$5001,$B20),SUMIFS(BD!$K$3:$K$5001,BD!$A$3:$A$5001,$B20,BD!$B$3:$B$5001,$D$2)))</f>
        <v>0</v>
      </c>
      <c r="L20" s="32">
        <f>IF($B20="","",IF($B$2="Todos",SUMIFS(BD!$L$3:$L$5001,BD!$A$3:$A$5001,$B20),SUMIFS(BD!$L$3:$L$5001,BD!$A$3:$A$5001,$B20,BD!$B$3:$B$5001,$D$2)))</f>
        <v>0</v>
      </c>
      <c r="M20" s="32">
        <f>IF($B20="","",IF($B$2="Todos",SUMIFS(BD!$M$3:$M$5001,BD!$A$3:$A$5001,$B20),SUMIFS(BD!$M$3:$M$5001,BD!$A$3:$A$5001,$B20,BD!$B$3:$B$5001,$D$2)))</f>
        <v>0</v>
      </c>
      <c r="N20" s="32">
        <f>IF($B20="","",IF($B$2="Todos",SUMIFS(BD!$N$3:$N$5001,BD!$A$3:$A$5001,$B20),SUMIFS(BD!$N$3:$N$5001,BD!$A$3:$A$5001,$B20,BD!$B$3:$B$5001,$D$2)))</f>
        <v>0</v>
      </c>
      <c r="O20" s="32">
        <f>IF($B20="","",IF($B$2="Todos",SUMIFS(BD!$O$3:$O$5001,BD!$A$3:$A$5001,$B20),SUMIFS(BD!$O$3:$O$5001,BD!$A$3:$A$5001,$B20,BD!$B$3:$B$5001,$D$2)))</f>
        <v>0</v>
      </c>
      <c r="P20" s="32">
        <f>IF($B20="","",IF($B$2="Todos",SUMIFS(BD!$P$3:$P$5001,BD!$A$3:$A$5001,$B20),SUMIFS(BD!$P$3:$P$5001,BD!$A$3:$A$5001,$B20,BD!$B$3:$B$5001,$D$2)))</f>
        <v>0</v>
      </c>
      <c r="Q20" s="32">
        <f>IF($B20="","",IF($B$2="Todos",SUMIFS(BD!$Q$3:$Q$5001,BD!$A$3:$A$5001,$B20),SUMIFS(BD!$Q$3:$Q$5001,BD!$A$3:$A$5001,$B20,BD!$B$3:$B$5001,$D$2)))</f>
        <v>0</v>
      </c>
      <c r="R20" s="32">
        <f>IF($B20="","",IF($B$2="Todos",SUMIFS(BD!$R$3:$R$5001,BD!$A$3:$A$5001,$B20),SUMIFS(BD!$R$3:$R$5001,BD!$A$3:$A$5001,$B20,BD!$B$3:$B$5001,$D$2)))</f>
        <v>0</v>
      </c>
      <c r="S20" s="32">
        <f>IF($B20="","",IF($B$2="Todos",SUMIFS(BD!$S$3:$S$5001,BD!$A$3:$A$5001,$B20),SUMIFS(BD!$S$3:$S$5001,BD!$A$3:$A$5001,$B20,BD!$B$3:$B$5001,$D$2)))</f>
        <v>0</v>
      </c>
      <c r="T20" s="46">
        <f>IF($B20="","",IF($B$2="Todos",SUMIFS(BD!$T$3:$T$5001,BD!$A$3:$A$5001,$B20),SUMIFS(BD!$T$3:$T$5001,BD!$A$3:$A$5001,$B20,BD!$B$3:$B$5001,$D$2)))</f>
        <v>0</v>
      </c>
      <c r="U20" s="32">
        <f>IF($B20="","",IF($B$2="Todos",SUMIFS(BD!$U$3:$U$5001,BD!$A$3:$A$5001,$B20),SUMIFS(BD!$U$3:$U$5001,BD!$A$3:$A$5001,$B20,BD!$B$3:$B$5001,$D$2)))</f>
        <v>0</v>
      </c>
      <c r="V20" s="32">
        <f>IF($B20="","",IF($B$2="Todos",SUMIFS(BD!$V$3:$V$5001,BD!$A$3:$A$5001,$B20),SUMIFS(BD!$V$3:$V$5001,BD!$A$3:$A$5001,$B20,BD!$B$3:$B$5001,$D$2)))</f>
        <v>0</v>
      </c>
      <c r="W20" s="32" t="str">
        <f>IF($B$2="Todos",IF(COUNT($C$147:$L$147)=0,"",SUM($C$147:$L$147)),IFERROR(INDEX($C$147:$L$147,MATCH($D$2,$C$138:$L$138,0)),""))</f>
        <v/>
      </c>
      <c r="X20" s="47" t="str">
        <f>IF(Y20="","",IF($B$2="Todos",IF($B$4&gt;0,$B$4,IF($B$2="Todos",IF(COUNT($C$217:$L$217)=0,"",SUM($C$217:$L$217)),IFERROR(INDEX($C$217:$L$217,MATCH($D$2,$C$208:$L$208,0)),""))),IFERROR(INDEX($C$217:$L$217,MATCH($D$2,$C$208:$L$208,0)),"")))</f>
        <v/>
      </c>
      <c r="Y20" s="32" t="str">
        <f>IF($B$2="Todos",IF(COUNT($C$182:$L$182)=0,"",SUM($C$182:$L$182)),IFERROR(INDEX($C$182:$L$182,MATCH($D$2,$C$173:$L$173,0)),""))</f>
        <v/>
      </c>
      <c r="Z20" s="48" t="str">
        <f>IF(AND(ISNUMBER(Y20),ISNUMBER(X20)),IF(X20&gt;0,Y20/X20,""),"")</f>
        <v/>
      </c>
      <c r="AA20" s="32" t="str">
        <f>IF($B$2="Todos",IF(COUNT($C$252:$L$252)=0,"",SUM($C$252:$L$252)),IFERROR(INDEX($C$252:$L$252,MATCH($D$2,$C$243:$L$243,0)),""))</f>
        <v/>
      </c>
      <c r="AB20" s="32">
        <f>IF($B20="","",IF($B$2="Todos",SUMIFS(BD!$AA$3:$AA$5001,BD!$A$3:$A$5001,$B20),SUMIFS(BD!$AA$3:$AA$5001,BD!$A$3:$A$5001,$B20,BD!$B$3:$B$5001,$D$2)))</f>
        <v>0</v>
      </c>
      <c r="AC20" s="32">
        <f>IF($B20="","",IF($B$2="Todos",SUMIFS(BD!$AB$3:$AB$5001,BD!$A$3:$A$5001,$B20),SUMIFS(BD!$AB$3:$AB$5001,BD!$A$3:$A$5001,$B20,BD!$B$3:$B$5001,$D$2)))</f>
        <v>0</v>
      </c>
      <c r="AD20" s="32">
        <f>IF($B20="","",IF($B$2="Todos",SUMIFS(BD!$AC$3:$AC$5001,BD!$A$3:$A$5001,$B20),SUMIFS(BD!$AC$3:$AC$5001,BD!$A$3:$A$5001,$B20,BD!$B$3:$B$5001,$D$2)))</f>
        <v>0</v>
      </c>
      <c r="AE20" s="32">
        <f>IF($B20="","",IF($B$2="Todos",SUMIFS(BD!$AD$3:$AD$5001,BD!$A$3:$A$5001,$B20),SUMIFS(BD!$AD$3:$AD$5001,BD!$A$3:$A$5001,$B20,BD!$B$3:$B$5001,$D$2)))</f>
        <v>0</v>
      </c>
      <c r="AF20" s="32">
        <f>IF($B20="","",IF($B$2="Todos",SUMIFS(BD!$AE$3:$AE$5001,BD!$A$3:$A$5001,$B20),SUMIFS(BD!$AE$3:$AE$5001,BD!$A$3:$A$5001,$B20,BD!$B$3:$B$5001,$D$2)))</f>
        <v>0</v>
      </c>
      <c r="AG20" s="32">
        <f>IF($B20="","",IF($B$2="Todos",SUMIFS(BD!$AF$3:$AF$5001,BD!$A$3:$A$5001,$B20),SUMIFS(BD!$AF$3:$AF$5001,BD!$A$3:$A$5001,$B20,BD!$B$3:$B$5001,$D$2)))</f>
        <v>0</v>
      </c>
      <c r="AH20" s="32">
        <f>IF($B20="","",IF($B$2="Todos",SUMIFS(BD!$AG$3:$AG$5001,BD!$A$3:$A$5001,$B20),SUMIFS(BD!$AG$3:$AG$5001,BD!$A$3:$A$5001,$B20,BD!$B$3:$B$5001,$D$2)))</f>
        <v>0</v>
      </c>
      <c r="AI20" s="49">
        <f>$B$5</f>
        <v>0.7</v>
      </c>
      <c r="AJ20" s="49">
        <f>$B$6</f>
        <v>0.9</v>
      </c>
      <c r="AM20" s="29" t="inlineStr">
        <is>
          <t xml:space="preserve">SETEMBRO · 2026</t>
        </is>
      </c>
      <c r="AO20" s="29" t="inlineStr">
        <is>
          <t xml:space="preserve">Supply</t>
        </is>
      </c>
      <c r="AP20" s="28" t="inlineStr">
        <is>
          <t xml:space="preserve">TPC</t>
        </is>
      </c>
      <c r="AY20" s="60">
        <f>IF(OR($B20="",N(VALUE($AH$336))=0),"",IF(INDEX($C20:$AH20,VALUE($AH$336))="","",IF(N(VALUE($AJ$336))=0,INDEX($C20:$AH20,VALUE($AH$336)),IF(N(INDEX($C20:$AH20,N(VALUE($AJ$336))))&gt;0,INDEX($C20:$AH20,VALUE($AH$336))/INDEX($C20:$AH20,N(VALUE($AJ$336))),""))))</f>
        <v>0</v>
      </c>
      <c r="AZ20" s="60">
        <f>IF(OR($B20="",N(VALUE($AI$336))=0),"",IF(INDEX($C20:$AH20,VALUE($AI$336))="","",IF(N(VALUE($AK$336))=0,INDEX($C20:$AH20,VALUE($AI$336)),IF(N(INDEX($C20:$AH20,N(VALUE($AK$336))))&gt;0,INDEX($C20:$AH20,VALUE($AI$336))/INDEX($C20:$AH20,N(VALUE($AK$336))),""))))</f>
        <v>0</v>
      </c>
      <c r="BA20" s="60">
        <f>IF(OR($B20="",N(VALUE($AP$336))=0),"",IF(INDEX($C20:$AH20,VALUE($AP$336))="","",IF(N(VALUE($AR$336))=0,INDEX($C20:$AH20,VALUE($AP$336)),IF(N(INDEX($C20:$AH20,N(VALUE($AR$336))))&gt;0,INDEX($C20:$AH20,VALUE($AP$336))/INDEX($C20:$AH20,N(VALUE($AR$336))),""))))</f>
        <v>0</v>
      </c>
      <c r="BB20" s="60">
        <f>IF(OR($B20="",N(VALUE($AQ$336))=0),"",IF(INDEX($C20:$AH20,VALUE($AQ$336))="","",IF(N(VALUE($AS$336))=0,INDEX($C20:$AH20,VALUE($AQ$336)),IF(N(INDEX($C20:$AH20,N(VALUE($AS$336))))&gt;0,INDEX($C20:$AH20,VALUE($AQ$336))/INDEX($C20:$AH20,N(VALUE($AS$336))),""))))</f>
        <v>0</v>
      </c>
      <c r="BD20" s="32" t="str">
        <f>IF(AND($A20=$B$9,ISNUMBER(X20)),X20,NA())</f>
        <v/>
      </c>
    </row>
    <row r="21">
      <c r="A21" s="28">
        <v>10</v>
      </c>
      <c r="B21" s="45">
        <f>IF($A21&lt;=DAY($D$7),$C$7+$A21-1,"")</f>
        <v>46305</v>
      </c>
      <c r="C21" s="32">
        <f>IF($B21="","",IF($B$2="Todos",SUMIFS(BD!$C$3:$C$5001,BD!$A$3:$A$5001,$B21),SUMIFS(BD!$C$3:$C$5001,BD!$A$3:$A$5001,$B21,BD!$B$3:$B$5001,$D$2)))</f>
        <v>0</v>
      </c>
      <c r="D21" s="32">
        <f>IF($B21="","",IF($B$2="Todos",SUMIFS(BD!$D$3:$D$5001,BD!$A$3:$A$5001,$B21),SUMIFS(BD!$D$3:$D$5001,BD!$A$3:$A$5001,$B21,BD!$B$3:$B$5001,$D$2)))</f>
        <v>0</v>
      </c>
      <c r="E21" s="46">
        <f>IF($B21="","",IF($B$2="Todos",SUMIFS(BD!$E$3:$E$5001,BD!$A$3:$A$5001,$B21),SUMIFS(BD!$E$3:$E$5001,BD!$A$3:$A$5001,$B21,BD!$B$3:$B$5001,$D$2)))</f>
        <v>0</v>
      </c>
      <c r="F21" s="32">
        <f>IF($B21="","",IF($B$2="Todos",SUMIFS(BD!$F$3:$F$5001,BD!$A$3:$A$5001,$B21),SUMIFS(BD!$F$3:$F$5001,BD!$A$3:$A$5001,$B21,BD!$B$3:$B$5001,$D$2)))</f>
        <v>0</v>
      </c>
      <c r="G21" s="32">
        <f>IF($B21="","",IF($B$2="Todos",SUMIFS(BD!$G$3:$G$5001,BD!$A$3:$A$5001,$B21),SUMIFS(BD!$G$3:$G$5001,BD!$A$3:$A$5001,$B21,BD!$B$3:$B$5001,$D$2)))</f>
        <v>0</v>
      </c>
      <c r="H21" s="32">
        <f>IF($B21="","",IF($B$2="Todos",SUMIFS(BD!$H$3:$H$5001,BD!$A$3:$A$5001,$B21),SUMIFS(BD!$H$3:$H$5001,BD!$A$3:$A$5001,$B21,BD!$B$3:$B$5001,$D$2)))</f>
        <v>0</v>
      </c>
      <c r="I21" s="32">
        <f>IF($B21="","",IF($B$2="Todos",SUMIFS(BD!$I$3:$I$5001,BD!$A$3:$A$5001,$B21),SUMIFS(BD!$I$3:$I$5001,BD!$A$3:$A$5001,$B21,BD!$B$3:$B$5001,$D$2)))</f>
        <v>0</v>
      </c>
      <c r="J21" s="32">
        <f>IF($B21="","",IF($B$2="Todos",SUMIFS(BD!$J$3:$J$5001,BD!$A$3:$A$5001,$B21),SUMIFS(BD!$J$3:$J$5001,BD!$A$3:$A$5001,$B21,BD!$B$3:$B$5001,$D$2)))</f>
        <v>0</v>
      </c>
      <c r="K21" s="32">
        <f>IF($B21="","",IF($B$2="Todos",SUMIFS(BD!$K$3:$K$5001,BD!$A$3:$A$5001,$B21),SUMIFS(BD!$K$3:$K$5001,BD!$A$3:$A$5001,$B21,BD!$B$3:$B$5001,$D$2)))</f>
        <v>0</v>
      </c>
      <c r="L21" s="32">
        <f>IF($B21="","",IF($B$2="Todos",SUMIFS(BD!$L$3:$L$5001,BD!$A$3:$A$5001,$B21),SUMIFS(BD!$L$3:$L$5001,BD!$A$3:$A$5001,$B21,BD!$B$3:$B$5001,$D$2)))</f>
        <v>0</v>
      </c>
      <c r="M21" s="32">
        <f>IF($B21="","",IF($B$2="Todos",SUMIFS(BD!$M$3:$M$5001,BD!$A$3:$A$5001,$B21),SUMIFS(BD!$M$3:$M$5001,BD!$A$3:$A$5001,$B21,BD!$B$3:$B$5001,$D$2)))</f>
        <v>0</v>
      </c>
      <c r="N21" s="32">
        <f>IF($B21="","",IF($B$2="Todos",SUMIFS(BD!$N$3:$N$5001,BD!$A$3:$A$5001,$B21),SUMIFS(BD!$N$3:$N$5001,BD!$A$3:$A$5001,$B21,BD!$B$3:$B$5001,$D$2)))</f>
        <v>0</v>
      </c>
      <c r="O21" s="32">
        <f>IF($B21="","",IF($B$2="Todos",SUMIFS(BD!$O$3:$O$5001,BD!$A$3:$A$5001,$B21),SUMIFS(BD!$O$3:$O$5001,BD!$A$3:$A$5001,$B21,BD!$B$3:$B$5001,$D$2)))</f>
        <v>0</v>
      </c>
      <c r="P21" s="32">
        <f>IF($B21="","",IF($B$2="Todos",SUMIFS(BD!$P$3:$P$5001,BD!$A$3:$A$5001,$B21),SUMIFS(BD!$P$3:$P$5001,BD!$A$3:$A$5001,$B21,BD!$B$3:$B$5001,$D$2)))</f>
        <v>0</v>
      </c>
      <c r="Q21" s="32">
        <f>IF($B21="","",IF($B$2="Todos",SUMIFS(BD!$Q$3:$Q$5001,BD!$A$3:$A$5001,$B21),SUMIFS(BD!$Q$3:$Q$5001,BD!$A$3:$A$5001,$B21,BD!$B$3:$B$5001,$D$2)))</f>
        <v>0</v>
      </c>
      <c r="R21" s="32">
        <f>IF($B21="","",IF($B$2="Todos",SUMIFS(BD!$R$3:$R$5001,BD!$A$3:$A$5001,$B21),SUMIFS(BD!$R$3:$R$5001,BD!$A$3:$A$5001,$B21,BD!$B$3:$B$5001,$D$2)))</f>
        <v>0</v>
      </c>
      <c r="S21" s="32">
        <f>IF($B21="","",IF($B$2="Todos",SUMIFS(BD!$S$3:$S$5001,BD!$A$3:$A$5001,$B21),SUMIFS(BD!$S$3:$S$5001,BD!$A$3:$A$5001,$B21,BD!$B$3:$B$5001,$D$2)))</f>
        <v>0</v>
      </c>
      <c r="T21" s="46">
        <f>IF($B21="","",IF($B$2="Todos",SUMIFS(BD!$T$3:$T$5001,BD!$A$3:$A$5001,$B21),SUMIFS(BD!$T$3:$T$5001,BD!$A$3:$A$5001,$B21,BD!$B$3:$B$5001,$D$2)))</f>
        <v>0</v>
      </c>
      <c r="U21" s="32">
        <f>IF($B21="","",IF($B$2="Todos",SUMIFS(BD!$U$3:$U$5001,BD!$A$3:$A$5001,$B21),SUMIFS(BD!$U$3:$U$5001,BD!$A$3:$A$5001,$B21,BD!$B$3:$B$5001,$D$2)))</f>
        <v>0</v>
      </c>
      <c r="V21" s="32">
        <f>IF($B21="","",IF($B$2="Todos",SUMIFS(BD!$V$3:$V$5001,BD!$A$3:$A$5001,$B21),SUMIFS(BD!$V$3:$V$5001,BD!$A$3:$A$5001,$B21,BD!$B$3:$B$5001,$D$2)))</f>
        <v>0</v>
      </c>
      <c r="W21" s="32" t="str">
        <f>IF($B$2="Todos",IF(COUNT($C$148:$L$148)=0,"",SUM($C$148:$L$148)),IFERROR(INDEX($C$148:$L$148,MATCH($D$2,$C$138:$L$138,0)),""))</f>
        <v/>
      </c>
      <c r="X21" s="47" t="str">
        <f>IF(Y21="","",IF($B$2="Todos",IF($B$4&gt;0,$B$4,IF($B$2="Todos",IF(COUNT($C$218:$L$218)=0,"",SUM($C$218:$L$218)),IFERROR(INDEX($C$218:$L$218,MATCH($D$2,$C$208:$L$208,0)),""))),IFERROR(INDEX($C$218:$L$218,MATCH($D$2,$C$208:$L$208,0)),"")))</f>
        <v/>
      </c>
      <c r="Y21" s="32" t="str">
        <f>IF($B$2="Todos",IF(COUNT($C$183:$L$183)=0,"",SUM($C$183:$L$183)),IFERROR(INDEX($C$183:$L$183,MATCH($D$2,$C$173:$L$173,0)),""))</f>
        <v/>
      </c>
      <c r="Z21" s="48" t="str">
        <f>IF(AND(ISNUMBER(Y21),ISNUMBER(X21)),IF(X21&gt;0,Y21/X21,""),"")</f>
        <v/>
      </c>
      <c r="AA21" s="32" t="str">
        <f>IF($B$2="Todos",IF(COUNT($C$253:$L$253)=0,"",SUM($C$253:$L$253)),IFERROR(INDEX($C$253:$L$253,MATCH($D$2,$C$243:$L$243,0)),""))</f>
        <v/>
      </c>
      <c r="AB21" s="32">
        <f>IF($B21="","",IF($B$2="Todos",SUMIFS(BD!$AA$3:$AA$5001,BD!$A$3:$A$5001,$B21),SUMIFS(BD!$AA$3:$AA$5001,BD!$A$3:$A$5001,$B21,BD!$B$3:$B$5001,$D$2)))</f>
        <v>0</v>
      </c>
      <c r="AC21" s="32">
        <f>IF($B21="","",IF($B$2="Todos",SUMIFS(BD!$AB$3:$AB$5001,BD!$A$3:$A$5001,$B21),SUMIFS(BD!$AB$3:$AB$5001,BD!$A$3:$A$5001,$B21,BD!$B$3:$B$5001,$D$2)))</f>
        <v>0</v>
      </c>
      <c r="AD21" s="32">
        <f>IF($B21="","",IF($B$2="Todos",SUMIFS(BD!$AC$3:$AC$5001,BD!$A$3:$A$5001,$B21),SUMIFS(BD!$AC$3:$AC$5001,BD!$A$3:$A$5001,$B21,BD!$B$3:$B$5001,$D$2)))</f>
        <v>0</v>
      </c>
      <c r="AE21" s="32">
        <f>IF($B21="","",IF($B$2="Todos",SUMIFS(BD!$AD$3:$AD$5001,BD!$A$3:$A$5001,$B21),SUMIFS(BD!$AD$3:$AD$5001,BD!$A$3:$A$5001,$B21,BD!$B$3:$B$5001,$D$2)))</f>
        <v>0</v>
      </c>
      <c r="AF21" s="32">
        <f>IF($B21="","",IF($B$2="Todos",SUMIFS(BD!$AE$3:$AE$5001,BD!$A$3:$A$5001,$B21),SUMIFS(BD!$AE$3:$AE$5001,BD!$A$3:$A$5001,$B21,BD!$B$3:$B$5001,$D$2)))</f>
        <v>0</v>
      </c>
      <c r="AG21" s="32">
        <f>IF($B21="","",IF($B$2="Todos",SUMIFS(BD!$AF$3:$AF$5001,BD!$A$3:$A$5001,$B21),SUMIFS(BD!$AF$3:$AF$5001,BD!$A$3:$A$5001,$B21,BD!$B$3:$B$5001,$D$2)))</f>
        <v>0</v>
      </c>
      <c r="AH21" s="32">
        <f>IF($B21="","",IF($B$2="Todos",SUMIFS(BD!$AG$3:$AG$5001,BD!$A$3:$A$5001,$B21),SUMIFS(BD!$AG$3:$AG$5001,BD!$A$3:$A$5001,$B21,BD!$B$3:$B$5001,$D$2)))</f>
        <v>0</v>
      </c>
      <c r="AI21" s="49">
        <f>$B$5</f>
        <v>0.7</v>
      </c>
      <c r="AJ21" s="49">
        <f>$B$6</f>
        <v>0.9</v>
      </c>
      <c r="AM21" s="29" t="inlineStr">
        <is>
          <t xml:space="preserve">OUTUBRO · 2026</t>
        </is>
      </c>
      <c r="AO21" s="29" t="inlineStr">
        <is>
          <t xml:space="preserve">Vedacit</t>
        </is>
      </c>
      <c r="AP21" s="28" t="inlineStr">
        <is>
          <t xml:space="preserve">TPC</t>
        </is>
      </c>
      <c r="AY21" s="60">
        <f>IF(OR($B21="",N(VALUE($AH$336))=0),"",IF(INDEX($C21:$AH21,VALUE($AH$336))="","",IF(N(VALUE($AJ$336))=0,INDEX($C21:$AH21,VALUE($AH$336)),IF(N(INDEX($C21:$AH21,N(VALUE($AJ$336))))&gt;0,INDEX($C21:$AH21,VALUE($AH$336))/INDEX($C21:$AH21,N(VALUE($AJ$336))),""))))</f>
        <v>0</v>
      </c>
      <c r="AZ21" s="60">
        <f>IF(OR($B21="",N(VALUE($AI$336))=0),"",IF(INDEX($C21:$AH21,VALUE($AI$336))="","",IF(N(VALUE($AK$336))=0,INDEX($C21:$AH21,VALUE($AI$336)),IF(N(INDEX($C21:$AH21,N(VALUE($AK$336))))&gt;0,INDEX($C21:$AH21,VALUE($AI$336))/INDEX($C21:$AH21,N(VALUE($AK$336))),""))))</f>
        <v>0</v>
      </c>
      <c r="BA21" s="60">
        <f>IF(OR($B21="",N(VALUE($AP$336))=0),"",IF(INDEX($C21:$AH21,VALUE($AP$336))="","",IF(N(VALUE($AR$336))=0,INDEX($C21:$AH21,VALUE($AP$336)),IF(N(INDEX($C21:$AH21,N(VALUE($AR$336))))&gt;0,INDEX($C21:$AH21,VALUE($AP$336))/INDEX($C21:$AH21,N(VALUE($AR$336))),""))))</f>
        <v>0</v>
      </c>
      <c r="BB21" s="60">
        <f>IF(OR($B21="",N(VALUE($AQ$336))=0),"",IF(INDEX($C21:$AH21,VALUE($AQ$336))="","",IF(N(VALUE($AS$336))=0,INDEX($C21:$AH21,VALUE($AQ$336)),IF(N(INDEX($C21:$AH21,N(VALUE($AS$336))))&gt;0,INDEX($C21:$AH21,VALUE($AQ$336))/INDEX($C21:$AH21,N(VALUE($AS$336))),""))))</f>
        <v>0</v>
      </c>
      <c r="BD21" s="32" t="str">
        <f>IF(AND($A21=$B$9,ISNUMBER(X21)),X21,NA())</f>
        <v/>
      </c>
    </row>
    <row r="22">
      <c r="A22" s="28">
        <v>11</v>
      </c>
      <c r="B22" s="45">
        <f>IF($A22&lt;=DAY($D$7),$C$7+$A22-1,"")</f>
        <v>46306</v>
      </c>
      <c r="C22" s="32">
        <f>IF($B22="","",IF($B$2="Todos",SUMIFS(BD!$C$3:$C$5001,BD!$A$3:$A$5001,$B22),SUMIFS(BD!$C$3:$C$5001,BD!$A$3:$A$5001,$B22,BD!$B$3:$B$5001,$D$2)))</f>
        <v>0</v>
      </c>
      <c r="D22" s="32">
        <f>IF($B22="","",IF($B$2="Todos",SUMIFS(BD!$D$3:$D$5001,BD!$A$3:$A$5001,$B22),SUMIFS(BD!$D$3:$D$5001,BD!$A$3:$A$5001,$B22,BD!$B$3:$B$5001,$D$2)))</f>
        <v>0</v>
      </c>
      <c r="E22" s="46">
        <f>IF($B22="","",IF($B$2="Todos",SUMIFS(BD!$E$3:$E$5001,BD!$A$3:$A$5001,$B22),SUMIFS(BD!$E$3:$E$5001,BD!$A$3:$A$5001,$B22,BD!$B$3:$B$5001,$D$2)))</f>
        <v>0</v>
      </c>
      <c r="F22" s="32">
        <f>IF($B22="","",IF($B$2="Todos",SUMIFS(BD!$F$3:$F$5001,BD!$A$3:$A$5001,$B22),SUMIFS(BD!$F$3:$F$5001,BD!$A$3:$A$5001,$B22,BD!$B$3:$B$5001,$D$2)))</f>
        <v>0</v>
      </c>
      <c r="G22" s="32">
        <f>IF($B22="","",IF($B$2="Todos",SUMIFS(BD!$G$3:$G$5001,BD!$A$3:$A$5001,$B22),SUMIFS(BD!$G$3:$G$5001,BD!$A$3:$A$5001,$B22,BD!$B$3:$B$5001,$D$2)))</f>
        <v>0</v>
      </c>
      <c r="H22" s="32">
        <f>IF($B22="","",IF($B$2="Todos",SUMIFS(BD!$H$3:$H$5001,BD!$A$3:$A$5001,$B22),SUMIFS(BD!$H$3:$H$5001,BD!$A$3:$A$5001,$B22,BD!$B$3:$B$5001,$D$2)))</f>
        <v>0</v>
      </c>
      <c r="I22" s="32">
        <f>IF($B22="","",IF($B$2="Todos",SUMIFS(BD!$I$3:$I$5001,BD!$A$3:$A$5001,$B22),SUMIFS(BD!$I$3:$I$5001,BD!$A$3:$A$5001,$B22,BD!$B$3:$B$5001,$D$2)))</f>
        <v>0</v>
      </c>
      <c r="J22" s="32">
        <f>IF($B22="","",IF($B$2="Todos",SUMIFS(BD!$J$3:$J$5001,BD!$A$3:$A$5001,$B22),SUMIFS(BD!$J$3:$J$5001,BD!$A$3:$A$5001,$B22,BD!$B$3:$B$5001,$D$2)))</f>
        <v>0</v>
      </c>
      <c r="K22" s="32">
        <f>IF($B22="","",IF($B$2="Todos",SUMIFS(BD!$K$3:$K$5001,BD!$A$3:$A$5001,$B22),SUMIFS(BD!$K$3:$K$5001,BD!$A$3:$A$5001,$B22,BD!$B$3:$B$5001,$D$2)))</f>
        <v>0</v>
      </c>
      <c r="L22" s="32">
        <f>IF($B22="","",IF($B$2="Todos",SUMIFS(BD!$L$3:$L$5001,BD!$A$3:$A$5001,$B22),SUMIFS(BD!$L$3:$L$5001,BD!$A$3:$A$5001,$B22,BD!$B$3:$B$5001,$D$2)))</f>
        <v>0</v>
      </c>
      <c r="M22" s="32">
        <f>IF($B22="","",IF($B$2="Todos",SUMIFS(BD!$M$3:$M$5001,BD!$A$3:$A$5001,$B22),SUMIFS(BD!$M$3:$M$5001,BD!$A$3:$A$5001,$B22,BD!$B$3:$B$5001,$D$2)))</f>
        <v>0</v>
      </c>
      <c r="N22" s="32">
        <f>IF($B22="","",IF($B$2="Todos",SUMIFS(BD!$N$3:$N$5001,BD!$A$3:$A$5001,$B22),SUMIFS(BD!$N$3:$N$5001,BD!$A$3:$A$5001,$B22,BD!$B$3:$B$5001,$D$2)))</f>
        <v>0</v>
      </c>
      <c r="O22" s="32">
        <f>IF($B22="","",IF($B$2="Todos",SUMIFS(BD!$O$3:$O$5001,BD!$A$3:$A$5001,$B22),SUMIFS(BD!$O$3:$O$5001,BD!$A$3:$A$5001,$B22,BD!$B$3:$B$5001,$D$2)))</f>
        <v>0</v>
      </c>
      <c r="P22" s="32">
        <f>IF($B22="","",IF($B$2="Todos",SUMIFS(BD!$P$3:$P$5001,BD!$A$3:$A$5001,$B22),SUMIFS(BD!$P$3:$P$5001,BD!$A$3:$A$5001,$B22,BD!$B$3:$B$5001,$D$2)))</f>
        <v>0</v>
      </c>
      <c r="Q22" s="32">
        <f>IF($B22="","",IF($B$2="Todos",SUMIFS(BD!$Q$3:$Q$5001,BD!$A$3:$A$5001,$B22),SUMIFS(BD!$Q$3:$Q$5001,BD!$A$3:$A$5001,$B22,BD!$B$3:$B$5001,$D$2)))</f>
        <v>0</v>
      </c>
      <c r="R22" s="32">
        <f>IF($B22="","",IF($B$2="Todos",SUMIFS(BD!$R$3:$R$5001,BD!$A$3:$A$5001,$B22),SUMIFS(BD!$R$3:$R$5001,BD!$A$3:$A$5001,$B22,BD!$B$3:$B$5001,$D$2)))</f>
        <v>0</v>
      </c>
      <c r="S22" s="32">
        <f>IF($B22="","",IF($B$2="Todos",SUMIFS(BD!$S$3:$S$5001,BD!$A$3:$A$5001,$B22),SUMIFS(BD!$S$3:$S$5001,BD!$A$3:$A$5001,$B22,BD!$B$3:$B$5001,$D$2)))</f>
        <v>0</v>
      </c>
      <c r="T22" s="46">
        <f>IF($B22="","",IF($B$2="Todos",SUMIFS(BD!$T$3:$T$5001,BD!$A$3:$A$5001,$B22),SUMIFS(BD!$T$3:$T$5001,BD!$A$3:$A$5001,$B22,BD!$B$3:$B$5001,$D$2)))</f>
        <v>0</v>
      </c>
      <c r="U22" s="32">
        <f>IF($B22="","",IF($B$2="Todos",SUMIFS(BD!$U$3:$U$5001,BD!$A$3:$A$5001,$B22),SUMIFS(BD!$U$3:$U$5001,BD!$A$3:$A$5001,$B22,BD!$B$3:$B$5001,$D$2)))</f>
        <v>0</v>
      </c>
      <c r="V22" s="32">
        <f>IF($B22="","",IF($B$2="Todos",SUMIFS(BD!$V$3:$V$5001,BD!$A$3:$A$5001,$B22),SUMIFS(BD!$V$3:$V$5001,BD!$A$3:$A$5001,$B22,BD!$B$3:$B$5001,$D$2)))</f>
        <v>0</v>
      </c>
      <c r="W22" s="32" t="str">
        <f>IF($B$2="Todos",IF(COUNT($C$149:$L$149)=0,"",SUM($C$149:$L$149)),IFERROR(INDEX($C$149:$L$149,MATCH($D$2,$C$138:$L$138,0)),""))</f>
        <v/>
      </c>
      <c r="X22" s="47" t="str">
        <f>IF(Y22="","",IF($B$2="Todos",IF($B$4&gt;0,$B$4,IF($B$2="Todos",IF(COUNT($C$219:$L$219)=0,"",SUM($C$219:$L$219)),IFERROR(INDEX($C$219:$L$219,MATCH($D$2,$C$208:$L$208,0)),""))),IFERROR(INDEX($C$219:$L$219,MATCH($D$2,$C$208:$L$208,0)),"")))</f>
        <v/>
      </c>
      <c r="Y22" s="32" t="str">
        <f>IF($B$2="Todos",IF(COUNT($C$184:$L$184)=0,"",SUM($C$184:$L$184)),IFERROR(INDEX($C$184:$L$184,MATCH($D$2,$C$173:$L$173,0)),""))</f>
        <v/>
      </c>
      <c r="Z22" s="48" t="str">
        <f>IF(AND(ISNUMBER(Y22),ISNUMBER(X22)),IF(X22&gt;0,Y22/X22,""),"")</f>
        <v/>
      </c>
      <c r="AA22" s="32" t="str">
        <f>IF($B$2="Todos",IF(COUNT($C$254:$L$254)=0,"",SUM($C$254:$L$254)),IFERROR(INDEX($C$254:$L$254,MATCH($D$2,$C$243:$L$243,0)),""))</f>
        <v/>
      </c>
      <c r="AB22" s="32">
        <f>IF($B22="","",IF($B$2="Todos",SUMIFS(BD!$AA$3:$AA$5001,BD!$A$3:$A$5001,$B22),SUMIFS(BD!$AA$3:$AA$5001,BD!$A$3:$A$5001,$B22,BD!$B$3:$B$5001,$D$2)))</f>
        <v>0</v>
      </c>
      <c r="AC22" s="32">
        <f>IF($B22="","",IF($B$2="Todos",SUMIFS(BD!$AB$3:$AB$5001,BD!$A$3:$A$5001,$B22),SUMIFS(BD!$AB$3:$AB$5001,BD!$A$3:$A$5001,$B22,BD!$B$3:$B$5001,$D$2)))</f>
        <v>0</v>
      </c>
      <c r="AD22" s="32">
        <f>IF($B22="","",IF($B$2="Todos",SUMIFS(BD!$AC$3:$AC$5001,BD!$A$3:$A$5001,$B22),SUMIFS(BD!$AC$3:$AC$5001,BD!$A$3:$A$5001,$B22,BD!$B$3:$B$5001,$D$2)))</f>
        <v>0</v>
      </c>
      <c r="AE22" s="32">
        <f>IF($B22="","",IF($B$2="Todos",SUMIFS(BD!$AD$3:$AD$5001,BD!$A$3:$A$5001,$B22),SUMIFS(BD!$AD$3:$AD$5001,BD!$A$3:$A$5001,$B22,BD!$B$3:$B$5001,$D$2)))</f>
        <v>0</v>
      </c>
      <c r="AF22" s="32">
        <f>IF($B22="","",IF($B$2="Todos",SUMIFS(BD!$AE$3:$AE$5001,BD!$A$3:$A$5001,$B22),SUMIFS(BD!$AE$3:$AE$5001,BD!$A$3:$A$5001,$B22,BD!$B$3:$B$5001,$D$2)))</f>
        <v>0</v>
      </c>
      <c r="AG22" s="32">
        <f>IF($B22="","",IF($B$2="Todos",SUMIFS(BD!$AF$3:$AF$5001,BD!$A$3:$A$5001,$B22),SUMIFS(BD!$AF$3:$AF$5001,BD!$A$3:$A$5001,$B22,BD!$B$3:$B$5001,$D$2)))</f>
        <v>0</v>
      </c>
      <c r="AH22" s="32">
        <f>IF($B22="","",IF($B$2="Todos",SUMIFS(BD!$AG$3:$AG$5001,BD!$A$3:$A$5001,$B22),SUMIFS(BD!$AG$3:$AG$5001,BD!$A$3:$A$5001,$B22,BD!$B$3:$B$5001,$D$2)))</f>
        <v>0</v>
      </c>
      <c r="AI22" s="49">
        <f>$B$5</f>
        <v>0.7</v>
      </c>
      <c r="AJ22" s="49">
        <f>$B$6</f>
        <v>0.9</v>
      </c>
      <c r="AM22" s="29" t="inlineStr">
        <is>
          <t xml:space="preserve">NOVEMBRO · 2026</t>
        </is>
      </c>
      <c r="AO22" s="29" t="inlineStr">
        <is>
          <t xml:space="preserve">Vestas</t>
        </is>
      </c>
      <c r="AP22" s="28" t="inlineStr">
        <is>
          <t xml:space="preserve">TPC</t>
        </is>
      </c>
      <c r="AY22" s="60">
        <f>IF(OR($B22="",N(VALUE($AH$336))=0),"",IF(INDEX($C22:$AH22,VALUE($AH$336))="","",IF(N(VALUE($AJ$336))=0,INDEX($C22:$AH22,VALUE($AH$336)),IF(N(INDEX($C22:$AH22,N(VALUE($AJ$336))))&gt;0,INDEX($C22:$AH22,VALUE($AH$336))/INDEX($C22:$AH22,N(VALUE($AJ$336))),""))))</f>
        <v>0</v>
      </c>
      <c r="AZ22" s="60">
        <f>IF(OR($B22="",N(VALUE($AI$336))=0),"",IF(INDEX($C22:$AH22,VALUE($AI$336))="","",IF(N(VALUE($AK$336))=0,INDEX($C22:$AH22,VALUE($AI$336)),IF(N(INDEX($C22:$AH22,N(VALUE($AK$336))))&gt;0,INDEX($C22:$AH22,VALUE($AI$336))/INDEX($C22:$AH22,N(VALUE($AK$336))),""))))</f>
        <v>0</v>
      </c>
      <c r="BA22" s="60">
        <f>IF(OR($B22="",N(VALUE($AP$336))=0),"",IF(INDEX($C22:$AH22,VALUE($AP$336))="","",IF(N(VALUE($AR$336))=0,INDEX($C22:$AH22,VALUE($AP$336)),IF(N(INDEX($C22:$AH22,N(VALUE($AR$336))))&gt;0,INDEX($C22:$AH22,VALUE($AP$336))/INDEX($C22:$AH22,N(VALUE($AR$336))),""))))</f>
        <v>0</v>
      </c>
      <c r="BB22" s="60">
        <f>IF(OR($B22="",N(VALUE($AQ$336))=0),"",IF(INDEX($C22:$AH22,VALUE($AQ$336))="","",IF(N(VALUE($AS$336))=0,INDEX($C22:$AH22,VALUE($AQ$336)),IF(N(INDEX($C22:$AH22,N(VALUE($AS$336))))&gt;0,INDEX($C22:$AH22,VALUE($AQ$336))/INDEX($C22:$AH22,N(VALUE($AS$336))),""))))</f>
        <v>0</v>
      </c>
      <c r="BD22" s="32" t="str">
        <f>IF(AND($A22=$B$9,ISNUMBER(X22)),X22,NA())</f>
        <v/>
      </c>
    </row>
    <row r="23">
      <c r="A23" s="28">
        <v>12</v>
      </c>
      <c r="B23" s="45">
        <f>IF($A23&lt;=DAY($D$7),$C$7+$A23-1,"")</f>
        <v>46307</v>
      </c>
      <c r="C23" s="32">
        <f>IF($B23="","",IF($B$2="Todos",SUMIFS(BD!$C$3:$C$5001,BD!$A$3:$A$5001,$B23),SUMIFS(BD!$C$3:$C$5001,BD!$A$3:$A$5001,$B23,BD!$B$3:$B$5001,$D$2)))</f>
        <v>0</v>
      </c>
      <c r="D23" s="32">
        <f>IF($B23="","",IF($B$2="Todos",SUMIFS(BD!$D$3:$D$5001,BD!$A$3:$A$5001,$B23),SUMIFS(BD!$D$3:$D$5001,BD!$A$3:$A$5001,$B23,BD!$B$3:$B$5001,$D$2)))</f>
        <v>0</v>
      </c>
      <c r="E23" s="46">
        <f>IF($B23="","",IF($B$2="Todos",SUMIFS(BD!$E$3:$E$5001,BD!$A$3:$A$5001,$B23),SUMIFS(BD!$E$3:$E$5001,BD!$A$3:$A$5001,$B23,BD!$B$3:$B$5001,$D$2)))</f>
        <v>0</v>
      </c>
      <c r="F23" s="32">
        <f>IF($B23="","",IF($B$2="Todos",SUMIFS(BD!$F$3:$F$5001,BD!$A$3:$A$5001,$B23),SUMIFS(BD!$F$3:$F$5001,BD!$A$3:$A$5001,$B23,BD!$B$3:$B$5001,$D$2)))</f>
        <v>0</v>
      </c>
      <c r="G23" s="32">
        <f>IF($B23="","",IF($B$2="Todos",SUMIFS(BD!$G$3:$G$5001,BD!$A$3:$A$5001,$B23),SUMIFS(BD!$G$3:$G$5001,BD!$A$3:$A$5001,$B23,BD!$B$3:$B$5001,$D$2)))</f>
        <v>0</v>
      </c>
      <c r="H23" s="32">
        <f>IF($B23="","",IF($B$2="Todos",SUMIFS(BD!$H$3:$H$5001,BD!$A$3:$A$5001,$B23),SUMIFS(BD!$H$3:$H$5001,BD!$A$3:$A$5001,$B23,BD!$B$3:$B$5001,$D$2)))</f>
        <v>0</v>
      </c>
      <c r="I23" s="32">
        <f>IF($B23="","",IF($B$2="Todos",SUMIFS(BD!$I$3:$I$5001,BD!$A$3:$A$5001,$B23),SUMIFS(BD!$I$3:$I$5001,BD!$A$3:$A$5001,$B23,BD!$B$3:$B$5001,$D$2)))</f>
        <v>0</v>
      </c>
      <c r="J23" s="32">
        <f>IF($B23="","",IF($B$2="Todos",SUMIFS(BD!$J$3:$J$5001,BD!$A$3:$A$5001,$B23),SUMIFS(BD!$J$3:$J$5001,BD!$A$3:$A$5001,$B23,BD!$B$3:$B$5001,$D$2)))</f>
        <v>0</v>
      </c>
      <c r="K23" s="32">
        <f>IF($B23="","",IF($B$2="Todos",SUMIFS(BD!$K$3:$K$5001,BD!$A$3:$A$5001,$B23),SUMIFS(BD!$K$3:$K$5001,BD!$A$3:$A$5001,$B23,BD!$B$3:$B$5001,$D$2)))</f>
        <v>0</v>
      </c>
      <c r="L23" s="32">
        <f>IF($B23="","",IF($B$2="Todos",SUMIFS(BD!$L$3:$L$5001,BD!$A$3:$A$5001,$B23),SUMIFS(BD!$L$3:$L$5001,BD!$A$3:$A$5001,$B23,BD!$B$3:$B$5001,$D$2)))</f>
        <v>0</v>
      </c>
      <c r="M23" s="32">
        <f>IF($B23="","",IF($B$2="Todos",SUMIFS(BD!$M$3:$M$5001,BD!$A$3:$A$5001,$B23),SUMIFS(BD!$M$3:$M$5001,BD!$A$3:$A$5001,$B23,BD!$B$3:$B$5001,$D$2)))</f>
        <v>0</v>
      </c>
      <c r="N23" s="32">
        <f>IF($B23="","",IF($B$2="Todos",SUMIFS(BD!$N$3:$N$5001,BD!$A$3:$A$5001,$B23),SUMIFS(BD!$N$3:$N$5001,BD!$A$3:$A$5001,$B23,BD!$B$3:$B$5001,$D$2)))</f>
        <v>0</v>
      </c>
      <c r="O23" s="32">
        <f>IF($B23="","",IF($B$2="Todos",SUMIFS(BD!$O$3:$O$5001,BD!$A$3:$A$5001,$B23),SUMIFS(BD!$O$3:$O$5001,BD!$A$3:$A$5001,$B23,BD!$B$3:$B$5001,$D$2)))</f>
        <v>0</v>
      </c>
      <c r="P23" s="32">
        <f>IF($B23="","",IF($B$2="Todos",SUMIFS(BD!$P$3:$P$5001,BD!$A$3:$A$5001,$B23),SUMIFS(BD!$P$3:$P$5001,BD!$A$3:$A$5001,$B23,BD!$B$3:$B$5001,$D$2)))</f>
        <v>0</v>
      </c>
      <c r="Q23" s="32">
        <f>IF($B23="","",IF($B$2="Todos",SUMIFS(BD!$Q$3:$Q$5001,BD!$A$3:$A$5001,$B23),SUMIFS(BD!$Q$3:$Q$5001,BD!$A$3:$A$5001,$B23,BD!$B$3:$B$5001,$D$2)))</f>
        <v>0</v>
      </c>
      <c r="R23" s="32">
        <f>IF($B23="","",IF($B$2="Todos",SUMIFS(BD!$R$3:$R$5001,BD!$A$3:$A$5001,$B23),SUMIFS(BD!$R$3:$R$5001,BD!$A$3:$A$5001,$B23,BD!$B$3:$B$5001,$D$2)))</f>
        <v>0</v>
      </c>
      <c r="S23" s="32">
        <f>IF($B23="","",IF($B$2="Todos",SUMIFS(BD!$S$3:$S$5001,BD!$A$3:$A$5001,$B23),SUMIFS(BD!$S$3:$S$5001,BD!$A$3:$A$5001,$B23,BD!$B$3:$B$5001,$D$2)))</f>
        <v>0</v>
      </c>
      <c r="T23" s="46">
        <f>IF($B23="","",IF($B$2="Todos",SUMIFS(BD!$T$3:$T$5001,BD!$A$3:$A$5001,$B23),SUMIFS(BD!$T$3:$T$5001,BD!$A$3:$A$5001,$B23,BD!$B$3:$B$5001,$D$2)))</f>
        <v>0</v>
      </c>
      <c r="U23" s="32">
        <f>IF($B23="","",IF($B$2="Todos",SUMIFS(BD!$U$3:$U$5001,BD!$A$3:$A$5001,$B23),SUMIFS(BD!$U$3:$U$5001,BD!$A$3:$A$5001,$B23,BD!$B$3:$B$5001,$D$2)))</f>
        <v>0</v>
      </c>
      <c r="V23" s="32">
        <f>IF($B23="","",IF($B$2="Todos",SUMIFS(BD!$V$3:$V$5001,BD!$A$3:$A$5001,$B23),SUMIFS(BD!$V$3:$V$5001,BD!$A$3:$A$5001,$B23,BD!$B$3:$B$5001,$D$2)))</f>
        <v>0</v>
      </c>
      <c r="W23" s="32" t="str">
        <f>IF($B$2="Todos",IF(COUNT($C$150:$L$150)=0,"",SUM($C$150:$L$150)),IFERROR(INDEX($C$150:$L$150,MATCH($D$2,$C$138:$L$138,0)),""))</f>
        <v/>
      </c>
      <c r="X23" s="47" t="str">
        <f>IF(Y23="","",IF($B$2="Todos",IF($B$4&gt;0,$B$4,IF($B$2="Todos",IF(COUNT($C$220:$L$220)=0,"",SUM($C$220:$L$220)),IFERROR(INDEX($C$220:$L$220,MATCH($D$2,$C$208:$L$208,0)),""))),IFERROR(INDEX($C$220:$L$220,MATCH($D$2,$C$208:$L$208,0)),"")))</f>
        <v/>
      </c>
      <c r="Y23" s="32" t="str">
        <f>IF($B$2="Todos",IF(COUNT($C$185:$L$185)=0,"",SUM($C$185:$L$185)),IFERROR(INDEX($C$185:$L$185,MATCH($D$2,$C$173:$L$173,0)),""))</f>
        <v/>
      </c>
      <c r="Z23" s="48" t="str">
        <f>IF(AND(ISNUMBER(Y23),ISNUMBER(X23)),IF(X23&gt;0,Y23/X23,""),"")</f>
        <v/>
      </c>
      <c r="AA23" s="32" t="str">
        <f>IF($B$2="Todos",IF(COUNT($C$255:$L$255)=0,"",SUM($C$255:$L$255)),IFERROR(INDEX($C$255:$L$255,MATCH($D$2,$C$243:$L$243,0)),""))</f>
        <v/>
      </c>
      <c r="AB23" s="32">
        <f>IF($B23="","",IF($B$2="Todos",SUMIFS(BD!$AA$3:$AA$5001,BD!$A$3:$A$5001,$B23),SUMIFS(BD!$AA$3:$AA$5001,BD!$A$3:$A$5001,$B23,BD!$B$3:$B$5001,$D$2)))</f>
        <v>0</v>
      </c>
      <c r="AC23" s="32">
        <f>IF($B23="","",IF($B$2="Todos",SUMIFS(BD!$AB$3:$AB$5001,BD!$A$3:$A$5001,$B23),SUMIFS(BD!$AB$3:$AB$5001,BD!$A$3:$A$5001,$B23,BD!$B$3:$B$5001,$D$2)))</f>
        <v>0</v>
      </c>
      <c r="AD23" s="32">
        <f>IF($B23="","",IF($B$2="Todos",SUMIFS(BD!$AC$3:$AC$5001,BD!$A$3:$A$5001,$B23),SUMIFS(BD!$AC$3:$AC$5001,BD!$A$3:$A$5001,$B23,BD!$B$3:$B$5001,$D$2)))</f>
        <v>0</v>
      </c>
      <c r="AE23" s="32">
        <f>IF($B23="","",IF($B$2="Todos",SUMIFS(BD!$AD$3:$AD$5001,BD!$A$3:$A$5001,$B23),SUMIFS(BD!$AD$3:$AD$5001,BD!$A$3:$A$5001,$B23,BD!$B$3:$B$5001,$D$2)))</f>
        <v>0</v>
      </c>
      <c r="AF23" s="32">
        <f>IF($B23="","",IF($B$2="Todos",SUMIFS(BD!$AE$3:$AE$5001,BD!$A$3:$A$5001,$B23),SUMIFS(BD!$AE$3:$AE$5001,BD!$A$3:$A$5001,$B23,BD!$B$3:$B$5001,$D$2)))</f>
        <v>0</v>
      </c>
      <c r="AG23" s="32">
        <f>IF($B23="","",IF($B$2="Todos",SUMIFS(BD!$AF$3:$AF$5001,BD!$A$3:$A$5001,$B23),SUMIFS(BD!$AF$3:$AF$5001,BD!$A$3:$A$5001,$B23,BD!$B$3:$B$5001,$D$2)))</f>
        <v>0</v>
      </c>
      <c r="AH23" s="32">
        <f>IF($B23="","",IF($B$2="Todos",SUMIFS(BD!$AG$3:$AG$5001,BD!$A$3:$A$5001,$B23),SUMIFS(BD!$AG$3:$AG$5001,BD!$A$3:$A$5001,$B23,BD!$B$3:$B$5001,$D$2)))</f>
        <v>0</v>
      </c>
      <c r="AI23" s="49">
        <f>$B$5</f>
        <v>0.7</v>
      </c>
      <c r="AJ23" s="49">
        <f>$B$6</f>
        <v>0.9</v>
      </c>
      <c r="AM23" s="29" t="inlineStr">
        <is>
          <t xml:space="preserve">DEZEMBRO · 2026</t>
        </is>
      </c>
      <c r="AY23" s="60">
        <f>IF(OR($B23="",N(VALUE($AH$336))=0),"",IF(INDEX($C23:$AH23,VALUE($AH$336))="","",IF(N(VALUE($AJ$336))=0,INDEX($C23:$AH23,VALUE($AH$336)),IF(N(INDEX($C23:$AH23,N(VALUE($AJ$336))))&gt;0,INDEX($C23:$AH23,VALUE($AH$336))/INDEX($C23:$AH23,N(VALUE($AJ$336))),""))))</f>
        <v>0</v>
      </c>
      <c r="AZ23" s="60">
        <f>IF(OR($B23="",N(VALUE($AI$336))=0),"",IF(INDEX($C23:$AH23,VALUE($AI$336))="","",IF(N(VALUE($AK$336))=0,INDEX($C23:$AH23,VALUE($AI$336)),IF(N(INDEX($C23:$AH23,N(VALUE($AK$336))))&gt;0,INDEX($C23:$AH23,VALUE($AI$336))/INDEX($C23:$AH23,N(VALUE($AK$336))),""))))</f>
        <v>0</v>
      </c>
      <c r="BA23" s="60">
        <f>IF(OR($B23="",N(VALUE($AP$336))=0),"",IF(INDEX($C23:$AH23,VALUE($AP$336))="","",IF(N(VALUE($AR$336))=0,INDEX($C23:$AH23,VALUE($AP$336)),IF(N(INDEX($C23:$AH23,N(VALUE($AR$336))))&gt;0,INDEX($C23:$AH23,VALUE($AP$336))/INDEX($C23:$AH23,N(VALUE($AR$336))),""))))</f>
        <v>0</v>
      </c>
      <c r="BB23" s="60">
        <f>IF(OR($B23="",N(VALUE($AQ$336))=0),"",IF(INDEX($C23:$AH23,VALUE($AQ$336))="","",IF(N(VALUE($AS$336))=0,INDEX($C23:$AH23,VALUE($AQ$336)),IF(N(INDEX($C23:$AH23,N(VALUE($AS$336))))&gt;0,INDEX($C23:$AH23,VALUE($AQ$336))/INDEX($C23:$AH23,N(VALUE($AS$336))),""))))</f>
        <v>0</v>
      </c>
      <c r="BD23" s="32" t="str">
        <f>IF(AND($A23=$B$9,ISNUMBER(X23)),X23,NA())</f>
        <v/>
      </c>
    </row>
    <row r="24">
      <c r="A24" s="28">
        <v>13</v>
      </c>
      <c r="B24" s="45">
        <f>IF($A24&lt;=DAY($D$7),$C$7+$A24-1,"")</f>
        <v>46308</v>
      </c>
      <c r="C24" s="32">
        <f>IF($B24="","",IF($B$2="Todos",SUMIFS(BD!$C$3:$C$5001,BD!$A$3:$A$5001,$B24),SUMIFS(BD!$C$3:$C$5001,BD!$A$3:$A$5001,$B24,BD!$B$3:$B$5001,$D$2)))</f>
        <v>0</v>
      </c>
      <c r="D24" s="32">
        <f>IF($B24="","",IF($B$2="Todos",SUMIFS(BD!$D$3:$D$5001,BD!$A$3:$A$5001,$B24),SUMIFS(BD!$D$3:$D$5001,BD!$A$3:$A$5001,$B24,BD!$B$3:$B$5001,$D$2)))</f>
        <v>0</v>
      </c>
      <c r="E24" s="46">
        <f>IF($B24="","",IF($B$2="Todos",SUMIFS(BD!$E$3:$E$5001,BD!$A$3:$A$5001,$B24),SUMIFS(BD!$E$3:$E$5001,BD!$A$3:$A$5001,$B24,BD!$B$3:$B$5001,$D$2)))</f>
        <v>0</v>
      </c>
      <c r="F24" s="32">
        <f>IF($B24="","",IF($B$2="Todos",SUMIFS(BD!$F$3:$F$5001,BD!$A$3:$A$5001,$B24),SUMIFS(BD!$F$3:$F$5001,BD!$A$3:$A$5001,$B24,BD!$B$3:$B$5001,$D$2)))</f>
        <v>0</v>
      </c>
      <c r="G24" s="32">
        <f>IF($B24="","",IF($B$2="Todos",SUMIFS(BD!$G$3:$G$5001,BD!$A$3:$A$5001,$B24),SUMIFS(BD!$G$3:$G$5001,BD!$A$3:$A$5001,$B24,BD!$B$3:$B$5001,$D$2)))</f>
        <v>0</v>
      </c>
      <c r="H24" s="32">
        <f>IF($B24="","",IF($B$2="Todos",SUMIFS(BD!$H$3:$H$5001,BD!$A$3:$A$5001,$B24),SUMIFS(BD!$H$3:$H$5001,BD!$A$3:$A$5001,$B24,BD!$B$3:$B$5001,$D$2)))</f>
        <v>0</v>
      </c>
      <c r="I24" s="32">
        <f>IF($B24="","",IF($B$2="Todos",SUMIFS(BD!$I$3:$I$5001,BD!$A$3:$A$5001,$B24),SUMIFS(BD!$I$3:$I$5001,BD!$A$3:$A$5001,$B24,BD!$B$3:$B$5001,$D$2)))</f>
        <v>0</v>
      </c>
      <c r="J24" s="32">
        <f>IF($B24="","",IF($B$2="Todos",SUMIFS(BD!$J$3:$J$5001,BD!$A$3:$A$5001,$B24),SUMIFS(BD!$J$3:$J$5001,BD!$A$3:$A$5001,$B24,BD!$B$3:$B$5001,$D$2)))</f>
        <v>0</v>
      </c>
      <c r="K24" s="32">
        <f>IF($B24="","",IF($B$2="Todos",SUMIFS(BD!$K$3:$K$5001,BD!$A$3:$A$5001,$B24),SUMIFS(BD!$K$3:$K$5001,BD!$A$3:$A$5001,$B24,BD!$B$3:$B$5001,$D$2)))</f>
        <v>0</v>
      </c>
      <c r="L24" s="32">
        <f>IF($B24="","",IF($B$2="Todos",SUMIFS(BD!$L$3:$L$5001,BD!$A$3:$A$5001,$B24),SUMIFS(BD!$L$3:$L$5001,BD!$A$3:$A$5001,$B24,BD!$B$3:$B$5001,$D$2)))</f>
        <v>0</v>
      </c>
      <c r="M24" s="32">
        <f>IF($B24="","",IF($B$2="Todos",SUMIFS(BD!$M$3:$M$5001,BD!$A$3:$A$5001,$B24),SUMIFS(BD!$M$3:$M$5001,BD!$A$3:$A$5001,$B24,BD!$B$3:$B$5001,$D$2)))</f>
        <v>0</v>
      </c>
      <c r="N24" s="32">
        <f>IF($B24="","",IF($B$2="Todos",SUMIFS(BD!$N$3:$N$5001,BD!$A$3:$A$5001,$B24),SUMIFS(BD!$N$3:$N$5001,BD!$A$3:$A$5001,$B24,BD!$B$3:$B$5001,$D$2)))</f>
        <v>0</v>
      </c>
      <c r="O24" s="32">
        <f>IF($B24="","",IF($B$2="Todos",SUMIFS(BD!$O$3:$O$5001,BD!$A$3:$A$5001,$B24),SUMIFS(BD!$O$3:$O$5001,BD!$A$3:$A$5001,$B24,BD!$B$3:$B$5001,$D$2)))</f>
        <v>0</v>
      </c>
      <c r="P24" s="32">
        <f>IF($B24="","",IF($B$2="Todos",SUMIFS(BD!$P$3:$P$5001,BD!$A$3:$A$5001,$B24),SUMIFS(BD!$P$3:$P$5001,BD!$A$3:$A$5001,$B24,BD!$B$3:$B$5001,$D$2)))</f>
        <v>0</v>
      </c>
      <c r="Q24" s="32">
        <f>IF($B24="","",IF($B$2="Todos",SUMIFS(BD!$Q$3:$Q$5001,BD!$A$3:$A$5001,$B24),SUMIFS(BD!$Q$3:$Q$5001,BD!$A$3:$A$5001,$B24,BD!$B$3:$B$5001,$D$2)))</f>
        <v>0</v>
      </c>
      <c r="R24" s="32">
        <f>IF($B24="","",IF($B$2="Todos",SUMIFS(BD!$R$3:$R$5001,BD!$A$3:$A$5001,$B24),SUMIFS(BD!$R$3:$R$5001,BD!$A$3:$A$5001,$B24,BD!$B$3:$B$5001,$D$2)))</f>
        <v>0</v>
      </c>
      <c r="S24" s="32">
        <f>IF($B24="","",IF($B$2="Todos",SUMIFS(BD!$S$3:$S$5001,BD!$A$3:$A$5001,$B24),SUMIFS(BD!$S$3:$S$5001,BD!$A$3:$A$5001,$B24,BD!$B$3:$B$5001,$D$2)))</f>
        <v>0</v>
      </c>
      <c r="T24" s="46">
        <f>IF($B24="","",IF($B$2="Todos",SUMIFS(BD!$T$3:$T$5001,BD!$A$3:$A$5001,$B24),SUMIFS(BD!$T$3:$T$5001,BD!$A$3:$A$5001,$B24,BD!$B$3:$B$5001,$D$2)))</f>
        <v>0</v>
      </c>
      <c r="U24" s="32">
        <f>IF($B24="","",IF($B$2="Todos",SUMIFS(BD!$U$3:$U$5001,BD!$A$3:$A$5001,$B24),SUMIFS(BD!$U$3:$U$5001,BD!$A$3:$A$5001,$B24,BD!$B$3:$B$5001,$D$2)))</f>
        <v>0</v>
      </c>
      <c r="V24" s="32">
        <f>IF($B24="","",IF($B$2="Todos",SUMIFS(BD!$V$3:$V$5001,BD!$A$3:$A$5001,$B24),SUMIFS(BD!$V$3:$V$5001,BD!$A$3:$A$5001,$B24,BD!$B$3:$B$5001,$D$2)))</f>
        <v>0</v>
      </c>
      <c r="W24" s="32" t="str">
        <f>IF($B$2="Todos",IF(COUNT($C$151:$L$151)=0,"",SUM($C$151:$L$151)),IFERROR(INDEX($C$151:$L$151,MATCH($D$2,$C$138:$L$138,0)),""))</f>
        <v/>
      </c>
      <c r="X24" s="47" t="str">
        <f>IF(Y24="","",IF($B$2="Todos",IF($B$4&gt;0,$B$4,IF($B$2="Todos",IF(COUNT($C$221:$L$221)=0,"",SUM($C$221:$L$221)),IFERROR(INDEX($C$221:$L$221,MATCH($D$2,$C$208:$L$208,0)),""))),IFERROR(INDEX($C$221:$L$221,MATCH($D$2,$C$208:$L$208,0)),"")))</f>
        <v/>
      </c>
      <c r="Y24" s="32" t="str">
        <f>IF($B$2="Todos",IF(COUNT($C$186:$L$186)=0,"",SUM($C$186:$L$186)),IFERROR(INDEX($C$186:$L$186,MATCH($D$2,$C$173:$L$173,0)),""))</f>
        <v/>
      </c>
      <c r="Z24" s="48" t="str">
        <f>IF(AND(ISNUMBER(Y24),ISNUMBER(X24)),IF(X24&gt;0,Y24/X24,""),"")</f>
        <v/>
      </c>
      <c r="AA24" s="32" t="str">
        <f>IF($B$2="Todos",IF(COUNT($C$256:$L$256)=0,"",SUM($C$256:$L$256)),IFERROR(INDEX($C$256:$L$256,MATCH($D$2,$C$243:$L$243,0)),""))</f>
        <v/>
      </c>
      <c r="AB24" s="32">
        <f>IF($B24="","",IF($B$2="Todos",SUMIFS(BD!$AA$3:$AA$5001,BD!$A$3:$A$5001,$B24),SUMIFS(BD!$AA$3:$AA$5001,BD!$A$3:$A$5001,$B24,BD!$B$3:$B$5001,$D$2)))</f>
        <v>0</v>
      </c>
      <c r="AC24" s="32">
        <f>IF($B24="","",IF($B$2="Todos",SUMIFS(BD!$AB$3:$AB$5001,BD!$A$3:$A$5001,$B24),SUMIFS(BD!$AB$3:$AB$5001,BD!$A$3:$A$5001,$B24,BD!$B$3:$B$5001,$D$2)))</f>
        <v>0</v>
      </c>
      <c r="AD24" s="32">
        <f>IF($B24="","",IF($B$2="Todos",SUMIFS(BD!$AC$3:$AC$5001,BD!$A$3:$A$5001,$B24),SUMIFS(BD!$AC$3:$AC$5001,BD!$A$3:$A$5001,$B24,BD!$B$3:$B$5001,$D$2)))</f>
        <v>0</v>
      </c>
      <c r="AE24" s="32">
        <f>IF($B24="","",IF($B$2="Todos",SUMIFS(BD!$AD$3:$AD$5001,BD!$A$3:$A$5001,$B24),SUMIFS(BD!$AD$3:$AD$5001,BD!$A$3:$A$5001,$B24,BD!$B$3:$B$5001,$D$2)))</f>
        <v>0</v>
      </c>
      <c r="AF24" s="32">
        <f>IF($B24="","",IF($B$2="Todos",SUMIFS(BD!$AE$3:$AE$5001,BD!$A$3:$A$5001,$B24),SUMIFS(BD!$AE$3:$AE$5001,BD!$A$3:$A$5001,$B24,BD!$B$3:$B$5001,$D$2)))</f>
        <v>0</v>
      </c>
      <c r="AG24" s="32">
        <f>IF($B24="","",IF($B$2="Todos",SUMIFS(BD!$AF$3:$AF$5001,BD!$A$3:$A$5001,$B24),SUMIFS(BD!$AF$3:$AF$5001,BD!$A$3:$A$5001,$B24,BD!$B$3:$B$5001,$D$2)))</f>
        <v>0</v>
      </c>
      <c r="AH24" s="32">
        <f>IF($B24="","",IF($B$2="Todos",SUMIFS(BD!$AG$3:$AG$5001,BD!$A$3:$A$5001,$B24),SUMIFS(BD!$AG$3:$AG$5001,BD!$A$3:$A$5001,$B24,BD!$B$3:$B$5001,$D$2)))</f>
        <v>0</v>
      </c>
      <c r="AI24" s="49">
        <f>$B$5</f>
        <v>0.7</v>
      </c>
      <c r="AJ24" s="49">
        <f>$B$6</f>
        <v>0.9</v>
      </c>
      <c r="AY24" s="60">
        <f>IF(OR($B24="",N(VALUE($AH$336))=0),"",IF(INDEX($C24:$AH24,VALUE($AH$336))="","",IF(N(VALUE($AJ$336))=0,INDEX($C24:$AH24,VALUE($AH$336)),IF(N(INDEX($C24:$AH24,N(VALUE($AJ$336))))&gt;0,INDEX($C24:$AH24,VALUE($AH$336))/INDEX($C24:$AH24,N(VALUE($AJ$336))),""))))</f>
        <v>0</v>
      </c>
      <c r="AZ24" s="60">
        <f>IF(OR($B24="",N(VALUE($AI$336))=0),"",IF(INDEX($C24:$AH24,VALUE($AI$336))="","",IF(N(VALUE($AK$336))=0,INDEX($C24:$AH24,VALUE($AI$336)),IF(N(INDEX($C24:$AH24,N(VALUE($AK$336))))&gt;0,INDEX($C24:$AH24,VALUE($AI$336))/INDEX($C24:$AH24,N(VALUE($AK$336))),""))))</f>
        <v>0</v>
      </c>
      <c r="BA24" s="60">
        <f>IF(OR($B24="",N(VALUE($AP$336))=0),"",IF(INDEX($C24:$AH24,VALUE($AP$336))="","",IF(N(VALUE($AR$336))=0,INDEX($C24:$AH24,VALUE($AP$336)),IF(N(INDEX($C24:$AH24,N(VALUE($AR$336))))&gt;0,INDEX($C24:$AH24,VALUE($AP$336))/INDEX($C24:$AH24,N(VALUE($AR$336))),""))))</f>
        <v>0</v>
      </c>
      <c r="BB24" s="60">
        <f>IF(OR($B24="",N(VALUE($AQ$336))=0),"",IF(INDEX($C24:$AH24,VALUE($AQ$336))="","",IF(N(VALUE($AS$336))=0,INDEX($C24:$AH24,VALUE($AQ$336)),IF(N(INDEX($C24:$AH24,N(VALUE($AS$336))))&gt;0,INDEX($C24:$AH24,VALUE($AQ$336))/INDEX($C24:$AH24,N(VALUE($AS$336))),""))))</f>
        <v>0</v>
      </c>
      <c r="BD24" s="32" t="str">
        <f>IF(AND($A24=$B$9,ISNUMBER(X24)),X24,NA())</f>
        <v/>
      </c>
    </row>
    <row r="25">
      <c r="A25" s="28">
        <v>14</v>
      </c>
      <c r="B25" s="45">
        <f>IF($A25&lt;=DAY($D$7),$C$7+$A25-1,"")</f>
        <v>46309</v>
      </c>
      <c r="C25" s="32">
        <f>IF($B25="","",IF($B$2="Todos",SUMIFS(BD!$C$3:$C$5001,BD!$A$3:$A$5001,$B25),SUMIFS(BD!$C$3:$C$5001,BD!$A$3:$A$5001,$B25,BD!$B$3:$B$5001,$D$2)))</f>
        <v>0</v>
      </c>
      <c r="D25" s="32">
        <f>IF($B25="","",IF($B$2="Todos",SUMIFS(BD!$D$3:$D$5001,BD!$A$3:$A$5001,$B25),SUMIFS(BD!$D$3:$D$5001,BD!$A$3:$A$5001,$B25,BD!$B$3:$B$5001,$D$2)))</f>
        <v>0</v>
      </c>
      <c r="E25" s="46">
        <f>IF($B25="","",IF($B$2="Todos",SUMIFS(BD!$E$3:$E$5001,BD!$A$3:$A$5001,$B25),SUMIFS(BD!$E$3:$E$5001,BD!$A$3:$A$5001,$B25,BD!$B$3:$B$5001,$D$2)))</f>
        <v>0</v>
      </c>
      <c r="F25" s="32">
        <f>IF($B25="","",IF($B$2="Todos",SUMIFS(BD!$F$3:$F$5001,BD!$A$3:$A$5001,$B25),SUMIFS(BD!$F$3:$F$5001,BD!$A$3:$A$5001,$B25,BD!$B$3:$B$5001,$D$2)))</f>
        <v>0</v>
      </c>
      <c r="G25" s="32">
        <f>IF($B25="","",IF($B$2="Todos",SUMIFS(BD!$G$3:$G$5001,BD!$A$3:$A$5001,$B25),SUMIFS(BD!$G$3:$G$5001,BD!$A$3:$A$5001,$B25,BD!$B$3:$B$5001,$D$2)))</f>
        <v>0</v>
      </c>
      <c r="H25" s="32">
        <f>IF($B25="","",IF($B$2="Todos",SUMIFS(BD!$H$3:$H$5001,BD!$A$3:$A$5001,$B25),SUMIFS(BD!$H$3:$H$5001,BD!$A$3:$A$5001,$B25,BD!$B$3:$B$5001,$D$2)))</f>
        <v>0</v>
      </c>
      <c r="I25" s="32">
        <f>IF($B25="","",IF($B$2="Todos",SUMIFS(BD!$I$3:$I$5001,BD!$A$3:$A$5001,$B25),SUMIFS(BD!$I$3:$I$5001,BD!$A$3:$A$5001,$B25,BD!$B$3:$B$5001,$D$2)))</f>
        <v>0</v>
      </c>
      <c r="J25" s="32">
        <f>IF($B25="","",IF($B$2="Todos",SUMIFS(BD!$J$3:$J$5001,BD!$A$3:$A$5001,$B25),SUMIFS(BD!$J$3:$J$5001,BD!$A$3:$A$5001,$B25,BD!$B$3:$B$5001,$D$2)))</f>
        <v>0</v>
      </c>
      <c r="K25" s="32">
        <f>IF($B25="","",IF($B$2="Todos",SUMIFS(BD!$K$3:$K$5001,BD!$A$3:$A$5001,$B25),SUMIFS(BD!$K$3:$K$5001,BD!$A$3:$A$5001,$B25,BD!$B$3:$B$5001,$D$2)))</f>
        <v>0</v>
      </c>
      <c r="L25" s="32">
        <f>IF($B25="","",IF($B$2="Todos",SUMIFS(BD!$L$3:$L$5001,BD!$A$3:$A$5001,$B25),SUMIFS(BD!$L$3:$L$5001,BD!$A$3:$A$5001,$B25,BD!$B$3:$B$5001,$D$2)))</f>
        <v>0</v>
      </c>
      <c r="M25" s="32">
        <f>IF($B25="","",IF($B$2="Todos",SUMIFS(BD!$M$3:$M$5001,BD!$A$3:$A$5001,$B25),SUMIFS(BD!$M$3:$M$5001,BD!$A$3:$A$5001,$B25,BD!$B$3:$B$5001,$D$2)))</f>
        <v>0</v>
      </c>
      <c r="N25" s="32">
        <f>IF($B25="","",IF($B$2="Todos",SUMIFS(BD!$N$3:$N$5001,BD!$A$3:$A$5001,$B25),SUMIFS(BD!$N$3:$N$5001,BD!$A$3:$A$5001,$B25,BD!$B$3:$B$5001,$D$2)))</f>
        <v>0</v>
      </c>
      <c r="O25" s="32">
        <f>IF($B25="","",IF($B$2="Todos",SUMIFS(BD!$O$3:$O$5001,BD!$A$3:$A$5001,$B25),SUMIFS(BD!$O$3:$O$5001,BD!$A$3:$A$5001,$B25,BD!$B$3:$B$5001,$D$2)))</f>
        <v>0</v>
      </c>
      <c r="P25" s="32">
        <f>IF($B25="","",IF($B$2="Todos",SUMIFS(BD!$P$3:$P$5001,BD!$A$3:$A$5001,$B25),SUMIFS(BD!$P$3:$P$5001,BD!$A$3:$A$5001,$B25,BD!$B$3:$B$5001,$D$2)))</f>
        <v>0</v>
      </c>
      <c r="Q25" s="32">
        <f>IF($B25="","",IF($B$2="Todos",SUMIFS(BD!$Q$3:$Q$5001,BD!$A$3:$A$5001,$B25),SUMIFS(BD!$Q$3:$Q$5001,BD!$A$3:$A$5001,$B25,BD!$B$3:$B$5001,$D$2)))</f>
        <v>0</v>
      </c>
      <c r="R25" s="32">
        <f>IF($B25="","",IF($B$2="Todos",SUMIFS(BD!$R$3:$R$5001,BD!$A$3:$A$5001,$B25),SUMIFS(BD!$R$3:$R$5001,BD!$A$3:$A$5001,$B25,BD!$B$3:$B$5001,$D$2)))</f>
        <v>0</v>
      </c>
      <c r="S25" s="32">
        <f>IF($B25="","",IF($B$2="Todos",SUMIFS(BD!$S$3:$S$5001,BD!$A$3:$A$5001,$B25),SUMIFS(BD!$S$3:$S$5001,BD!$A$3:$A$5001,$B25,BD!$B$3:$B$5001,$D$2)))</f>
        <v>0</v>
      </c>
      <c r="T25" s="46">
        <f>IF($B25="","",IF($B$2="Todos",SUMIFS(BD!$T$3:$T$5001,BD!$A$3:$A$5001,$B25),SUMIFS(BD!$T$3:$T$5001,BD!$A$3:$A$5001,$B25,BD!$B$3:$B$5001,$D$2)))</f>
        <v>0</v>
      </c>
      <c r="U25" s="32">
        <f>IF($B25="","",IF($B$2="Todos",SUMIFS(BD!$U$3:$U$5001,BD!$A$3:$A$5001,$B25),SUMIFS(BD!$U$3:$U$5001,BD!$A$3:$A$5001,$B25,BD!$B$3:$B$5001,$D$2)))</f>
        <v>0</v>
      </c>
      <c r="V25" s="32">
        <f>IF($B25="","",IF($B$2="Todos",SUMIFS(BD!$V$3:$V$5001,BD!$A$3:$A$5001,$B25),SUMIFS(BD!$V$3:$V$5001,BD!$A$3:$A$5001,$B25,BD!$B$3:$B$5001,$D$2)))</f>
        <v>0</v>
      </c>
      <c r="W25" s="32" t="str">
        <f>IF($B$2="Todos",IF(COUNT($C$152:$L$152)=0,"",SUM($C$152:$L$152)),IFERROR(INDEX($C$152:$L$152,MATCH($D$2,$C$138:$L$138,0)),""))</f>
        <v/>
      </c>
      <c r="X25" s="47" t="str">
        <f>IF(Y25="","",IF($B$2="Todos",IF($B$4&gt;0,$B$4,IF($B$2="Todos",IF(COUNT($C$222:$L$222)=0,"",SUM($C$222:$L$222)),IFERROR(INDEX($C$222:$L$222,MATCH($D$2,$C$208:$L$208,0)),""))),IFERROR(INDEX($C$222:$L$222,MATCH($D$2,$C$208:$L$208,0)),"")))</f>
        <v/>
      </c>
      <c r="Y25" s="32" t="str">
        <f>IF($B$2="Todos",IF(COUNT($C$187:$L$187)=0,"",SUM($C$187:$L$187)),IFERROR(INDEX($C$187:$L$187,MATCH($D$2,$C$173:$L$173,0)),""))</f>
        <v/>
      </c>
      <c r="Z25" s="48" t="str">
        <f>IF(AND(ISNUMBER(Y25),ISNUMBER(X25)),IF(X25&gt;0,Y25/X25,""),"")</f>
        <v/>
      </c>
      <c r="AA25" s="32" t="str">
        <f>IF($B$2="Todos",IF(COUNT($C$257:$L$257)=0,"",SUM($C$257:$L$257)),IFERROR(INDEX($C$257:$L$257,MATCH($D$2,$C$243:$L$243,0)),""))</f>
        <v/>
      </c>
      <c r="AB25" s="32">
        <f>IF($B25="","",IF($B$2="Todos",SUMIFS(BD!$AA$3:$AA$5001,BD!$A$3:$A$5001,$B25),SUMIFS(BD!$AA$3:$AA$5001,BD!$A$3:$A$5001,$B25,BD!$B$3:$B$5001,$D$2)))</f>
        <v>0</v>
      </c>
      <c r="AC25" s="32">
        <f>IF($B25="","",IF($B$2="Todos",SUMIFS(BD!$AB$3:$AB$5001,BD!$A$3:$A$5001,$B25),SUMIFS(BD!$AB$3:$AB$5001,BD!$A$3:$A$5001,$B25,BD!$B$3:$B$5001,$D$2)))</f>
        <v>0</v>
      </c>
      <c r="AD25" s="32">
        <f>IF($B25="","",IF($B$2="Todos",SUMIFS(BD!$AC$3:$AC$5001,BD!$A$3:$A$5001,$B25),SUMIFS(BD!$AC$3:$AC$5001,BD!$A$3:$A$5001,$B25,BD!$B$3:$B$5001,$D$2)))</f>
        <v>0</v>
      </c>
      <c r="AE25" s="32">
        <f>IF($B25="","",IF($B$2="Todos",SUMIFS(BD!$AD$3:$AD$5001,BD!$A$3:$A$5001,$B25),SUMIFS(BD!$AD$3:$AD$5001,BD!$A$3:$A$5001,$B25,BD!$B$3:$B$5001,$D$2)))</f>
        <v>0</v>
      </c>
      <c r="AF25" s="32">
        <f>IF($B25="","",IF($B$2="Todos",SUMIFS(BD!$AE$3:$AE$5001,BD!$A$3:$A$5001,$B25),SUMIFS(BD!$AE$3:$AE$5001,BD!$A$3:$A$5001,$B25,BD!$B$3:$B$5001,$D$2)))</f>
        <v>0</v>
      </c>
      <c r="AG25" s="32">
        <f>IF($B25="","",IF($B$2="Todos",SUMIFS(BD!$AF$3:$AF$5001,BD!$A$3:$A$5001,$B25),SUMIFS(BD!$AF$3:$AF$5001,BD!$A$3:$A$5001,$B25,BD!$B$3:$B$5001,$D$2)))</f>
        <v>0</v>
      </c>
      <c r="AH25" s="32">
        <f>IF($B25="","",IF($B$2="Todos",SUMIFS(BD!$AG$3:$AG$5001,BD!$A$3:$A$5001,$B25),SUMIFS(BD!$AG$3:$AG$5001,BD!$A$3:$A$5001,$B25,BD!$B$3:$B$5001,$D$2)))</f>
        <v>0</v>
      </c>
      <c r="AI25" s="49">
        <f>$B$5</f>
        <v>0.7</v>
      </c>
      <c r="AJ25" s="49">
        <f>$B$6</f>
        <v>0.9</v>
      </c>
      <c r="AY25" s="60">
        <f>IF(OR($B25="",N(VALUE($AH$336))=0),"",IF(INDEX($C25:$AH25,VALUE($AH$336))="","",IF(N(VALUE($AJ$336))=0,INDEX($C25:$AH25,VALUE($AH$336)),IF(N(INDEX($C25:$AH25,N(VALUE($AJ$336))))&gt;0,INDEX($C25:$AH25,VALUE($AH$336))/INDEX($C25:$AH25,N(VALUE($AJ$336))),""))))</f>
        <v>0</v>
      </c>
      <c r="AZ25" s="60">
        <f>IF(OR($B25="",N(VALUE($AI$336))=0),"",IF(INDEX($C25:$AH25,VALUE($AI$336))="","",IF(N(VALUE($AK$336))=0,INDEX($C25:$AH25,VALUE($AI$336)),IF(N(INDEX($C25:$AH25,N(VALUE($AK$336))))&gt;0,INDEX($C25:$AH25,VALUE($AI$336))/INDEX($C25:$AH25,N(VALUE($AK$336))),""))))</f>
        <v>0</v>
      </c>
      <c r="BA25" s="60">
        <f>IF(OR($B25="",N(VALUE($AP$336))=0),"",IF(INDEX($C25:$AH25,VALUE($AP$336))="","",IF(N(VALUE($AR$336))=0,INDEX($C25:$AH25,VALUE($AP$336)),IF(N(INDEX($C25:$AH25,N(VALUE($AR$336))))&gt;0,INDEX($C25:$AH25,VALUE($AP$336))/INDEX($C25:$AH25,N(VALUE($AR$336))),""))))</f>
        <v>0</v>
      </c>
      <c r="BB25" s="60">
        <f>IF(OR($B25="",N(VALUE($AQ$336))=0),"",IF(INDEX($C25:$AH25,VALUE($AQ$336))="","",IF(N(VALUE($AS$336))=0,INDEX($C25:$AH25,VALUE($AQ$336)),IF(N(INDEX($C25:$AH25,N(VALUE($AS$336))))&gt;0,INDEX($C25:$AH25,VALUE($AQ$336))/INDEX($C25:$AH25,N(VALUE($AS$336))),""))))</f>
        <v>0</v>
      </c>
      <c r="BD25" s="32" t="str">
        <f>IF(AND($A25=$B$9,ISNUMBER(X25)),X25,NA())</f>
        <v/>
      </c>
    </row>
    <row r="26">
      <c r="A26" s="28">
        <v>15</v>
      </c>
      <c r="B26" s="45">
        <f>IF($A26&lt;=DAY($D$7),$C$7+$A26-1,"")</f>
        <v>46310</v>
      </c>
      <c r="C26" s="32">
        <f>IF($B26="","",IF($B$2="Todos",SUMIFS(BD!$C$3:$C$5001,BD!$A$3:$A$5001,$B26),SUMIFS(BD!$C$3:$C$5001,BD!$A$3:$A$5001,$B26,BD!$B$3:$B$5001,$D$2)))</f>
        <v>0</v>
      </c>
      <c r="D26" s="32">
        <f>IF($B26="","",IF($B$2="Todos",SUMIFS(BD!$D$3:$D$5001,BD!$A$3:$A$5001,$B26),SUMIFS(BD!$D$3:$D$5001,BD!$A$3:$A$5001,$B26,BD!$B$3:$B$5001,$D$2)))</f>
        <v>0</v>
      </c>
      <c r="E26" s="46">
        <f>IF($B26="","",IF($B$2="Todos",SUMIFS(BD!$E$3:$E$5001,BD!$A$3:$A$5001,$B26),SUMIFS(BD!$E$3:$E$5001,BD!$A$3:$A$5001,$B26,BD!$B$3:$B$5001,$D$2)))</f>
        <v>0</v>
      </c>
      <c r="F26" s="32">
        <f>IF($B26="","",IF($B$2="Todos",SUMIFS(BD!$F$3:$F$5001,BD!$A$3:$A$5001,$B26),SUMIFS(BD!$F$3:$F$5001,BD!$A$3:$A$5001,$B26,BD!$B$3:$B$5001,$D$2)))</f>
        <v>0</v>
      </c>
      <c r="G26" s="32">
        <f>IF($B26="","",IF($B$2="Todos",SUMIFS(BD!$G$3:$G$5001,BD!$A$3:$A$5001,$B26),SUMIFS(BD!$G$3:$G$5001,BD!$A$3:$A$5001,$B26,BD!$B$3:$B$5001,$D$2)))</f>
        <v>0</v>
      </c>
      <c r="H26" s="32">
        <f>IF($B26="","",IF($B$2="Todos",SUMIFS(BD!$H$3:$H$5001,BD!$A$3:$A$5001,$B26),SUMIFS(BD!$H$3:$H$5001,BD!$A$3:$A$5001,$B26,BD!$B$3:$B$5001,$D$2)))</f>
        <v>0</v>
      </c>
      <c r="I26" s="32">
        <f>IF($B26="","",IF($B$2="Todos",SUMIFS(BD!$I$3:$I$5001,BD!$A$3:$A$5001,$B26),SUMIFS(BD!$I$3:$I$5001,BD!$A$3:$A$5001,$B26,BD!$B$3:$B$5001,$D$2)))</f>
        <v>0</v>
      </c>
      <c r="J26" s="32">
        <f>IF($B26="","",IF($B$2="Todos",SUMIFS(BD!$J$3:$J$5001,BD!$A$3:$A$5001,$B26),SUMIFS(BD!$J$3:$J$5001,BD!$A$3:$A$5001,$B26,BD!$B$3:$B$5001,$D$2)))</f>
        <v>0</v>
      </c>
      <c r="K26" s="32">
        <f>IF($B26="","",IF($B$2="Todos",SUMIFS(BD!$K$3:$K$5001,BD!$A$3:$A$5001,$B26),SUMIFS(BD!$K$3:$K$5001,BD!$A$3:$A$5001,$B26,BD!$B$3:$B$5001,$D$2)))</f>
        <v>0</v>
      </c>
      <c r="L26" s="32">
        <f>IF($B26="","",IF($B$2="Todos",SUMIFS(BD!$L$3:$L$5001,BD!$A$3:$A$5001,$B26),SUMIFS(BD!$L$3:$L$5001,BD!$A$3:$A$5001,$B26,BD!$B$3:$B$5001,$D$2)))</f>
        <v>0</v>
      </c>
      <c r="M26" s="32">
        <f>IF($B26="","",IF($B$2="Todos",SUMIFS(BD!$M$3:$M$5001,BD!$A$3:$A$5001,$B26),SUMIFS(BD!$M$3:$M$5001,BD!$A$3:$A$5001,$B26,BD!$B$3:$B$5001,$D$2)))</f>
        <v>0</v>
      </c>
      <c r="N26" s="32">
        <f>IF($B26="","",IF($B$2="Todos",SUMIFS(BD!$N$3:$N$5001,BD!$A$3:$A$5001,$B26),SUMIFS(BD!$N$3:$N$5001,BD!$A$3:$A$5001,$B26,BD!$B$3:$B$5001,$D$2)))</f>
        <v>0</v>
      </c>
      <c r="O26" s="32">
        <f>IF($B26="","",IF($B$2="Todos",SUMIFS(BD!$O$3:$O$5001,BD!$A$3:$A$5001,$B26),SUMIFS(BD!$O$3:$O$5001,BD!$A$3:$A$5001,$B26,BD!$B$3:$B$5001,$D$2)))</f>
        <v>0</v>
      </c>
      <c r="P26" s="32">
        <f>IF($B26="","",IF($B$2="Todos",SUMIFS(BD!$P$3:$P$5001,BD!$A$3:$A$5001,$B26),SUMIFS(BD!$P$3:$P$5001,BD!$A$3:$A$5001,$B26,BD!$B$3:$B$5001,$D$2)))</f>
        <v>0</v>
      </c>
      <c r="Q26" s="32">
        <f>IF($B26="","",IF($B$2="Todos",SUMIFS(BD!$Q$3:$Q$5001,BD!$A$3:$A$5001,$B26),SUMIFS(BD!$Q$3:$Q$5001,BD!$A$3:$A$5001,$B26,BD!$B$3:$B$5001,$D$2)))</f>
        <v>0</v>
      </c>
      <c r="R26" s="32">
        <f>IF($B26="","",IF($B$2="Todos",SUMIFS(BD!$R$3:$R$5001,BD!$A$3:$A$5001,$B26),SUMIFS(BD!$R$3:$R$5001,BD!$A$3:$A$5001,$B26,BD!$B$3:$B$5001,$D$2)))</f>
        <v>0</v>
      </c>
      <c r="S26" s="32">
        <f>IF($B26="","",IF($B$2="Todos",SUMIFS(BD!$S$3:$S$5001,BD!$A$3:$A$5001,$B26),SUMIFS(BD!$S$3:$S$5001,BD!$A$3:$A$5001,$B26,BD!$B$3:$B$5001,$D$2)))</f>
        <v>0</v>
      </c>
      <c r="T26" s="46">
        <f>IF($B26="","",IF($B$2="Todos",SUMIFS(BD!$T$3:$T$5001,BD!$A$3:$A$5001,$B26),SUMIFS(BD!$T$3:$T$5001,BD!$A$3:$A$5001,$B26,BD!$B$3:$B$5001,$D$2)))</f>
        <v>0</v>
      </c>
      <c r="U26" s="32">
        <f>IF($B26="","",IF($B$2="Todos",SUMIFS(BD!$U$3:$U$5001,BD!$A$3:$A$5001,$B26),SUMIFS(BD!$U$3:$U$5001,BD!$A$3:$A$5001,$B26,BD!$B$3:$B$5001,$D$2)))</f>
        <v>0</v>
      </c>
      <c r="V26" s="32">
        <f>IF($B26="","",IF($B$2="Todos",SUMIFS(BD!$V$3:$V$5001,BD!$A$3:$A$5001,$B26),SUMIFS(BD!$V$3:$V$5001,BD!$A$3:$A$5001,$B26,BD!$B$3:$B$5001,$D$2)))</f>
        <v>0</v>
      </c>
      <c r="W26" s="32" t="str">
        <f>IF($B$2="Todos",IF(COUNT($C$153:$L$153)=0,"",SUM($C$153:$L$153)),IFERROR(INDEX($C$153:$L$153,MATCH($D$2,$C$138:$L$138,0)),""))</f>
        <v/>
      </c>
      <c r="X26" s="47" t="str">
        <f>IF(Y26="","",IF($B$2="Todos",IF($B$4&gt;0,$B$4,IF($B$2="Todos",IF(COUNT($C$223:$L$223)=0,"",SUM($C$223:$L$223)),IFERROR(INDEX($C$223:$L$223,MATCH($D$2,$C$208:$L$208,0)),""))),IFERROR(INDEX($C$223:$L$223,MATCH($D$2,$C$208:$L$208,0)),"")))</f>
        <v/>
      </c>
      <c r="Y26" s="32" t="str">
        <f>IF($B$2="Todos",IF(COUNT($C$188:$L$188)=0,"",SUM($C$188:$L$188)),IFERROR(INDEX($C$188:$L$188,MATCH($D$2,$C$173:$L$173,0)),""))</f>
        <v/>
      </c>
      <c r="Z26" s="48" t="str">
        <f>IF(AND(ISNUMBER(Y26),ISNUMBER(X26)),IF(X26&gt;0,Y26/X26,""),"")</f>
        <v/>
      </c>
      <c r="AA26" s="32" t="str">
        <f>IF($B$2="Todos",IF(COUNT($C$258:$L$258)=0,"",SUM($C$258:$L$258)),IFERROR(INDEX($C$258:$L$258,MATCH($D$2,$C$243:$L$243,0)),""))</f>
        <v/>
      </c>
      <c r="AB26" s="32">
        <f>IF($B26="","",IF($B$2="Todos",SUMIFS(BD!$AA$3:$AA$5001,BD!$A$3:$A$5001,$B26),SUMIFS(BD!$AA$3:$AA$5001,BD!$A$3:$A$5001,$B26,BD!$B$3:$B$5001,$D$2)))</f>
        <v>0</v>
      </c>
      <c r="AC26" s="32">
        <f>IF($B26="","",IF($B$2="Todos",SUMIFS(BD!$AB$3:$AB$5001,BD!$A$3:$A$5001,$B26),SUMIFS(BD!$AB$3:$AB$5001,BD!$A$3:$A$5001,$B26,BD!$B$3:$B$5001,$D$2)))</f>
        <v>0</v>
      </c>
      <c r="AD26" s="32">
        <f>IF($B26="","",IF($B$2="Todos",SUMIFS(BD!$AC$3:$AC$5001,BD!$A$3:$A$5001,$B26),SUMIFS(BD!$AC$3:$AC$5001,BD!$A$3:$A$5001,$B26,BD!$B$3:$B$5001,$D$2)))</f>
        <v>0</v>
      </c>
      <c r="AE26" s="32">
        <f>IF($B26="","",IF($B$2="Todos",SUMIFS(BD!$AD$3:$AD$5001,BD!$A$3:$A$5001,$B26),SUMIFS(BD!$AD$3:$AD$5001,BD!$A$3:$A$5001,$B26,BD!$B$3:$B$5001,$D$2)))</f>
        <v>0</v>
      </c>
      <c r="AF26" s="32">
        <f>IF($B26="","",IF($B$2="Todos",SUMIFS(BD!$AE$3:$AE$5001,BD!$A$3:$A$5001,$B26),SUMIFS(BD!$AE$3:$AE$5001,BD!$A$3:$A$5001,$B26,BD!$B$3:$B$5001,$D$2)))</f>
        <v>0</v>
      </c>
      <c r="AG26" s="32">
        <f>IF($B26="","",IF($B$2="Todos",SUMIFS(BD!$AF$3:$AF$5001,BD!$A$3:$A$5001,$B26),SUMIFS(BD!$AF$3:$AF$5001,BD!$A$3:$A$5001,$B26,BD!$B$3:$B$5001,$D$2)))</f>
        <v>0</v>
      </c>
      <c r="AH26" s="32">
        <f>IF($B26="","",IF($B$2="Todos",SUMIFS(BD!$AG$3:$AG$5001,BD!$A$3:$A$5001,$B26),SUMIFS(BD!$AG$3:$AG$5001,BD!$A$3:$A$5001,$B26,BD!$B$3:$B$5001,$D$2)))</f>
        <v>0</v>
      </c>
      <c r="AI26" s="49">
        <f>$B$5</f>
        <v>0.7</v>
      </c>
      <c r="AJ26" s="49">
        <f>$B$6</f>
        <v>0.9</v>
      </c>
      <c r="AY26" s="60">
        <f>IF(OR($B26="",N(VALUE($AH$336))=0),"",IF(INDEX($C26:$AH26,VALUE($AH$336))="","",IF(N(VALUE($AJ$336))=0,INDEX($C26:$AH26,VALUE($AH$336)),IF(N(INDEX($C26:$AH26,N(VALUE($AJ$336))))&gt;0,INDEX($C26:$AH26,VALUE($AH$336))/INDEX($C26:$AH26,N(VALUE($AJ$336))),""))))</f>
        <v>0</v>
      </c>
      <c r="AZ26" s="60">
        <f>IF(OR($B26="",N(VALUE($AI$336))=0),"",IF(INDEX($C26:$AH26,VALUE($AI$336))="","",IF(N(VALUE($AK$336))=0,INDEX($C26:$AH26,VALUE($AI$336)),IF(N(INDEX($C26:$AH26,N(VALUE($AK$336))))&gt;0,INDEX($C26:$AH26,VALUE($AI$336))/INDEX($C26:$AH26,N(VALUE($AK$336))),""))))</f>
        <v>0</v>
      </c>
      <c r="BA26" s="60">
        <f>IF(OR($B26="",N(VALUE($AP$336))=0),"",IF(INDEX($C26:$AH26,VALUE($AP$336))="","",IF(N(VALUE($AR$336))=0,INDEX($C26:$AH26,VALUE($AP$336)),IF(N(INDEX($C26:$AH26,N(VALUE($AR$336))))&gt;0,INDEX($C26:$AH26,VALUE($AP$336))/INDEX($C26:$AH26,N(VALUE($AR$336))),""))))</f>
        <v>0</v>
      </c>
      <c r="BB26" s="60">
        <f>IF(OR($B26="",N(VALUE($AQ$336))=0),"",IF(INDEX($C26:$AH26,VALUE($AQ$336))="","",IF(N(VALUE($AS$336))=0,INDEX($C26:$AH26,VALUE($AQ$336)),IF(N(INDEX($C26:$AH26,N(VALUE($AS$336))))&gt;0,INDEX($C26:$AH26,VALUE($AQ$336))/INDEX($C26:$AH26,N(VALUE($AS$336))),""))))</f>
        <v>0</v>
      </c>
      <c r="BD26" s="32" t="str">
        <f>IF(AND($A26=$B$9,ISNUMBER(X26)),X26,NA())</f>
        <v/>
      </c>
    </row>
    <row r="27">
      <c r="A27" s="28">
        <v>16</v>
      </c>
      <c r="B27" s="45">
        <f>IF($A27&lt;=DAY($D$7),$C$7+$A27-1,"")</f>
        <v>46311</v>
      </c>
      <c r="C27" s="32">
        <f>IF($B27="","",IF($B$2="Todos",SUMIFS(BD!$C$3:$C$5001,BD!$A$3:$A$5001,$B27),SUMIFS(BD!$C$3:$C$5001,BD!$A$3:$A$5001,$B27,BD!$B$3:$B$5001,$D$2)))</f>
        <v>0</v>
      </c>
      <c r="D27" s="32">
        <f>IF($B27="","",IF($B$2="Todos",SUMIFS(BD!$D$3:$D$5001,BD!$A$3:$A$5001,$B27),SUMIFS(BD!$D$3:$D$5001,BD!$A$3:$A$5001,$B27,BD!$B$3:$B$5001,$D$2)))</f>
        <v>0</v>
      </c>
      <c r="E27" s="46">
        <f>IF($B27="","",IF($B$2="Todos",SUMIFS(BD!$E$3:$E$5001,BD!$A$3:$A$5001,$B27),SUMIFS(BD!$E$3:$E$5001,BD!$A$3:$A$5001,$B27,BD!$B$3:$B$5001,$D$2)))</f>
        <v>0</v>
      </c>
      <c r="F27" s="32">
        <f>IF($B27="","",IF($B$2="Todos",SUMIFS(BD!$F$3:$F$5001,BD!$A$3:$A$5001,$B27),SUMIFS(BD!$F$3:$F$5001,BD!$A$3:$A$5001,$B27,BD!$B$3:$B$5001,$D$2)))</f>
        <v>0</v>
      </c>
      <c r="G27" s="32">
        <f>IF($B27="","",IF($B$2="Todos",SUMIFS(BD!$G$3:$G$5001,BD!$A$3:$A$5001,$B27),SUMIFS(BD!$G$3:$G$5001,BD!$A$3:$A$5001,$B27,BD!$B$3:$B$5001,$D$2)))</f>
        <v>0</v>
      </c>
      <c r="H27" s="32">
        <f>IF($B27="","",IF($B$2="Todos",SUMIFS(BD!$H$3:$H$5001,BD!$A$3:$A$5001,$B27),SUMIFS(BD!$H$3:$H$5001,BD!$A$3:$A$5001,$B27,BD!$B$3:$B$5001,$D$2)))</f>
        <v>0</v>
      </c>
      <c r="I27" s="32">
        <f>IF($B27="","",IF($B$2="Todos",SUMIFS(BD!$I$3:$I$5001,BD!$A$3:$A$5001,$B27),SUMIFS(BD!$I$3:$I$5001,BD!$A$3:$A$5001,$B27,BD!$B$3:$B$5001,$D$2)))</f>
        <v>0</v>
      </c>
      <c r="J27" s="32">
        <f>IF($B27="","",IF($B$2="Todos",SUMIFS(BD!$J$3:$J$5001,BD!$A$3:$A$5001,$B27),SUMIFS(BD!$J$3:$J$5001,BD!$A$3:$A$5001,$B27,BD!$B$3:$B$5001,$D$2)))</f>
        <v>0</v>
      </c>
      <c r="K27" s="32">
        <f>IF($B27="","",IF($B$2="Todos",SUMIFS(BD!$K$3:$K$5001,BD!$A$3:$A$5001,$B27),SUMIFS(BD!$K$3:$K$5001,BD!$A$3:$A$5001,$B27,BD!$B$3:$B$5001,$D$2)))</f>
        <v>0</v>
      </c>
      <c r="L27" s="32">
        <f>IF($B27="","",IF($B$2="Todos",SUMIFS(BD!$L$3:$L$5001,BD!$A$3:$A$5001,$B27),SUMIFS(BD!$L$3:$L$5001,BD!$A$3:$A$5001,$B27,BD!$B$3:$B$5001,$D$2)))</f>
        <v>0</v>
      </c>
      <c r="M27" s="32">
        <f>IF($B27="","",IF($B$2="Todos",SUMIFS(BD!$M$3:$M$5001,BD!$A$3:$A$5001,$B27),SUMIFS(BD!$M$3:$M$5001,BD!$A$3:$A$5001,$B27,BD!$B$3:$B$5001,$D$2)))</f>
        <v>0</v>
      </c>
      <c r="N27" s="32">
        <f>IF($B27="","",IF($B$2="Todos",SUMIFS(BD!$N$3:$N$5001,BD!$A$3:$A$5001,$B27),SUMIFS(BD!$N$3:$N$5001,BD!$A$3:$A$5001,$B27,BD!$B$3:$B$5001,$D$2)))</f>
        <v>0</v>
      </c>
      <c r="O27" s="32">
        <f>IF($B27="","",IF($B$2="Todos",SUMIFS(BD!$O$3:$O$5001,BD!$A$3:$A$5001,$B27),SUMIFS(BD!$O$3:$O$5001,BD!$A$3:$A$5001,$B27,BD!$B$3:$B$5001,$D$2)))</f>
        <v>0</v>
      </c>
      <c r="P27" s="32">
        <f>IF($B27="","",IF($B$2="Todos",SUMIFS(BD!$P$3:$P$5001,BD!$A$3:$A$5001,$B27),SUMIFS(BD!$P$3:$P$5001,BD!$A$3:$A$5001,$B27,BD!$B$3:$B$5001,$D$2)))</f>
        <v>0</v>
      </c>
      <c r="Q27" s="32">
        <f>IF($B27="","",IF($B$2="Todos",SUMIFS(BD!$Q$3:$Q$5001,BD!$A$3:$A$5001,$B27),SUMIFS(BD!$Q$3:$Q$5001,BD!$A$3:$A$5001,$B27,BD!$B$3:$B$5001,$D$2)))</f>
        <v>0</v>
      </c>
      <c r="R27" s="32">
        <f>IF($B27="","",IF($B$2="Todos",SUMIFS(BD!$R$3:$R$5001,BD!$A$3:$A$5001,$B27),SUMIFS(BD!$R$3:$R$5001,BD!$A$3:$A$5001,$B27,BD!$B$3:$B$5001,$D$2)))</f>
        <v>0</v>
      </c>
      <c r="S27" s="32">
        <f>IF($B27="","",IF($B$2="Todos",SUMIFS(BD!$S$3:$S$5001,BD!$A$3:$A$5001,$B27),SUMIFS(BD!$S$3:$S$5001,BD!$A$3:$A$5001,$B27,BD!$B$3:$B$5001,$D$2)))</f>
        <v>0</v>
      </c>
      <c r="T27" s="46">
        <f>IF($B27="","",IF($B$2="Todos",SUMIFS(BD!$T$3:$T$5001,BD!$A$3:$A$5001,$B27),SUMIFS(BD!$T$3:$T$5001,BD!$A$3:$A$5001,$B27,BD!$B$3:$B$5001,$D$2)))</f>
        <v>0</v>
      </c>
      <c r="U27" s="32">
        <f>IF($B27="","",IF($B$2="Todos",SUMIFS(BD!$U$3:$U$5001,BD!$A$3:$A$5001,$B27),SUMIFS(BD!$U$3:$U$5001,BD!$A$3:$A$5001,$B27,BD!$B$3:$B$5001,$D$2)))</f>
        <v>0</v>
      </c>
      <c r="V27" s="32">
        <f>IF($B27="","",IF($B$2="Todos",SUMIFS(BD!$V$3:$V$5001,BD!$A$3:$A$5001,$B27),SUMIFS(BD!$V$3:$V$5001,BD!$A$3:$A$5001,$B27,BD!$B$3:$B$5001,$D$2)))</f>
        <v>0</v>
      </c>
      <c r="W27" s="32" t="str">
        <f>IF($B$2="Todos",IF(COUNT($C$154:$L$154)=0,"",SUM($C$154:$L$154)),IFERROR(INDEX($C$154:$L$154,MATCH($D$2,$C$138:$L$138,0)),""))</f>
        <v/>
      </c>
      <c r="X27" s="47" t="str">
        <f>IF(Y27="","",IF($B$2="Todos",IF($B$4&gt;0,$B$4,IF($B$2="Todos",IF(COUNT($C$224:$L$224)=0,"",SUM($C$224:$L$224)),IFERROR(INDEX($C$224:$L$224,MATCH($D$2,$C$208:$L$208,0)),""))),IFERROR(INDEX($C$224:$L$224,MATCH($D$2,$C$208:$L$208,0)),"")))</f>
        <v/>
      </c>
      <c r="Y27" s="32" t="str">
        <f>IF($B$2="Todos",IF(COUNT($C$189:$L$189)=0,"",SUM($C$189:$L$189)),IFERROR(INDEX($C$189:$L$189,MATCH($D$2,$C$173:$L$173,0)),""))</f>
        <v/>
      </c>
      <c r="Z27" s="48" t="str">
        <f>IF(AND(ISNUMBER(Y27),ISNUMBER(X27)),IF(X27&gt;0,Y27/X27,""),"")</f>
        <v/>
      </c>
      <c r="AA27" s="32" t="str">
        <f>IF($B$2="Todos",IF(COUNT($C$259:$L$259)=0,"",SUM($C$259:$L$259)),IFERROR(INDEX($C$259:$L$259,MATCH($D$2,$C$243:$L$243,0)),""))</f>
        <v/>
      </c>
      <c r="AB27" s="32">
        <f>IF($B27="","",IF($B$2="Todos",SUMIFS(BD!$AA$3:$AA$5001,BD!$A$3:$A$5001,$B27),SUMIFS(BD!$AA$3:$AA$5001,BD!$A$3:$A$5001,$B27,BD!$B$3:$B$5001,$D$2)))</f>
        <v>0</v>
      </c>
      <c r="AC27" s="32">
        <f>IF($B27="","",IF($B$2="Todos",SUMIFS(BD!$AB$3:$AB$5001,BD!$A$3:$A$5001,$B27),SUMIFS(BD!$AB$3:$AB$5001,BD!$A$3:$A$5001,$B27,BD!$B$3:$B$5001,$D$2)))</f>
        <v>0</v>
      </c>
      <c r="AD27" s="32">
        <f>IF($B27="","",IF($B$2="Todos",SUMIFS(BD!$AC$3:$AC$5001,BD!$A$3:$A$5001,$B27),SUMIFS(BD!$AC$3:$AC$5001,BD!$A$3:$A$5001,$B27,BD!$B$3:$B$5001,$D$2)))</f>
        <v>0</v>
      </c>
      <c r="AE27" s="32">
        <f>IF($B27="","",IF($B$2="Todos",SUMIFS(BD!$AD$3:$AD$5001,BD!$A$3:$A$5001,$B27),SUMIFS(BD!$AD$3:$AD$5001,BD!$A$3:$A$5001,$B27,BD!$B$3:$B$5001,$D$2)))</f>
        <v>0</v>
      </c>
      <c r="AF27" s="32">
        <f>IF($B27="","",IF($B$2="Todos",SUMIFS(BD!$AE$3:$AE$5001,BD!$A$3:$A$5001,$B27),SUMIFS(BD!$AE$3:$AE$5001,BD!$A$3:$A$5001,$B27,BD!$B$3:$B$5001,$D$2)))</f>
        <v>0</v>
      </c>
      <c r="AG27" s="32">
        <f>IF($B27="","",IF($B$2="Todos",SUMIFS(BD!$AF$3:$AF$5001,BD!$A$3:$A$5001,$B27),SUMIFS(BD!$AF$3:$AF$5001,BD!$A$3:$A$5001,$B27,BD!$B$3:$B$5001,$D$2)))</f>
        <v>0</v>
      </c>
      <c r="AH27" s="32">
        <f>IF($B27="","",IF($B$2="Todos",SUMIFS(BD!$AG$3:$AG$5001,BD!$A$3:$A$5001,$B27),SUMIFS(BD!$AG$3:$AG$5001,BD!$A$3:$A$5001,$B27,BD!$B$3:$B$5001,$D$2)))</f>
        <v>0</v>
      </c>
      <c r="AI27" s="49">
        <f>$B$5</f>
        <v>0.7</v>
      </c>
      <c r="AJ27" s="49">
        <f>$B$6</f>
        <v>0.9</v>
      </c>
      <c r="AY27" s="60">
        <f>IF(OR($B27="",N(VALUE($AH$336))=0),"",IF(INDEX($C27:$AH27,VALUE($AH$336))="","",IF(N(VALUE($AJ$336))=0,INDEX($C27:$AH27,VALUE($AH$336)),IF(N(INDEX($C27:$AH27,N(VALUE($AJ$336))))&gt;0,INDEX($C27:$AH27,VALUE($AH$336))/INDEX($C27:$AH27,N(VALUE($AJ$336))),""))))</f>
        <v>0</v>
      </c>
      <c r="AZ27" s="60">
        <f>IF(OR($B27="",N(VALUE($AI$336))=0),"",IF(INDEX($C27:$AH27,VALUE($AI$336))="","",IF(N(VALUE($AK$336))=0,INDEX($C27:$AH27,VALUE($AI$336)),IF(N(INDEX($C27:$AH27,N(VALUE($AK$336))))&gt;0,INDEX($C27:$AH27,VALUE($AI$336))/INDEX($C27:$AH27,N(VALUE($AK$336))),""))))</f>
        <v>0</v>
      </c>
      <c r="BA27" s="60">
        <f>IF(OR($B27="",N(VALUE($AP$336))=0),"",IF(INDEX($C27:$AH27,VALUE($AP$336))="","",IF(N(VALUE($AR$336))=0,INDEX($C27:$AH27,VALUE($AP$336)),IF(N(INDEX($C27:$AH27,N(VALUE($AR$336))))&gt;0,INDEX($C27:$AH27,VALUE($AP$336))/INDEX($C27:$AH27,N(VALUE($AR$336))),""))))</f>
        <v>0</v>
      </c>
      <c r="BB27" s="60">
        <f>IF(OR($B27="",N(VALUE($AQ$336))=0),"",IF(INDEX($C27:$AH27,VALUE($AQ$336))="","",IF(N(VALUE($AS$336))=0,INDEX($C27:$AH27,VALUE($AQ$336)),IF(N(INDEX($C27:$AH27,N(VALUE($AS$336))))&gt;0,INDEX($C27:$AH27,VALUE($AQ$336))/INDEX($C27:$AH27,N(VALUE($AS$336))),""))))</f>
        <v>0</v>
      </c>
      <c r="BD27" s="32" t="str">
        <f>IF(AND($A27=$B$9,ISNUMBER(X27)),X27,NA())</f>
        <v/>
      </c>
    </row>
    <row r="28">
      <c r="A28" s="28">
        <v>17</v>
      </c>
      <c r="B28" s="45">
        <f>IF($A28&lt;=DAY($D$7),$C$7+$A28-1,"")</f>
        <v>46312</v>
      </c>
      <c r="C28" s="32">
        <f>IF($B28="","",IF($B$2="Todos",SUMIFS(BD!$C$3:$C$5001,BD!$A$3:$A$5001,$B28),SUMIFS(BD!$C$3:$C$5001,BD!$A$3:$A$5001,$B28,BD!$B$3:$B$5001,$D$2)))</f>
        <v>0</v>
      </c>
      <c r="D28" s="32">
        <f>IF($B28="","",IF($B$2="Todos",SUMIFS(BD!$D$3:$D$5001,BD!$A$3:$A$5001,$B28),SUMIFS(BD!$D$3:$D$5001,BD!$A$3:$A$5001,$B28,BD!$B$3:$B$5001,$D$2)))</f>
        <v>0</v>
      </c>
      <c r="E28" s="46">
        <f>IF($B28="","",IF($B$2="Todos",SUMIFS(BD!$E$3:$E$5001,BD!$A$3:$A$5001,$B28),SUMIFS(BD!$E$3:$E$5001,BD!$A$3:$A$5001,$B28,BD!$B$3:$B$5001,$D$2)))</f>
        <v>0</v>
      </c>
      <c r="F28" s="32">
        <f>IF($B28="","",IF($B$2="Todos",SUMIFS(BD!$F$3:$F$5001,BD!$A$3:$A$5001,$B28),SUMIFS(BD!$F$3:$F$5001,BD!$A$3:$A$5001,$B28,BD!$B$3:$B$5001,$D$2)))</f>
        <v>0</v>
      </c>
      <c r="G28" s="32">
        <f>IF($B28="","",IF($B$2="Todos",SUMIFS(BD!$G$3:$G$5001,BD!$A$3:$A$5001,$B28),SUMIFS(BD!$G$3:$G$5001,BD!$A$3:$A$5001,$B28,BD!$B$3:$B$5001,$D$2)))</f>
        <v>0</v>
      </c>
      <c r="H28" s="32">
        <f>IF($B28="","",IF($B$2="Todos",SUMIFS(BD!$H$3:$H$5001,BD!$A$3:$A$5001,$B28),SUMIFS(BD!$H$3:$H$5001,BD!$A$3:$A$5001,$B28,BD!$B$3:$B$5001,$D$2)))</f>
        <v>0</v>
      </c>
      <c r="I28" s="32">
        <f>IF($B28="","",IF($B$2="Todos",SUMIFS(BD!$I$3:$I$5001,BD!$A$3:$A$5001,$B28),SUMIFS(BD!$I$3:$I$5001,BD!$A$3:$A$5001,$B28,BD!$B$3:$B$5001,$D$2)))</f>
        <v>0</v>
      </c>
      <c r="J28" s="32">
        <f>IF($B28="","",IF($B$2="Todos",SUMIFS(BD!$J$3:$J$5001,BD!$A$3:$A$5001,$B28),SUMIFS(BD!$J$3:$J$5001,BD!$A$3:$A$5001,$B28,BD!$B$3:$B$5001,$D$2)))</f>
        <v>0</v>
      </c>
      <c r="K28" s="32">
        <f>IF($B28="","",IF($B$2="Todos",SUMIFS(BD!$K$3:$K$5001,BD!$A$3:$A$5001,$B28),SUMIFS(BD!$K$3:$K$5001,BD!$A$3:$A$5001,$B28,BD!$B$3:$B$5001,$D$2)))</f>
        <v>0</v>
      </c>
      <c r="L28" s="32">
        <f>IF($B28="","",IF($B$2="Todos",SUMIFS(BD!$L$3:$L$5001,BD!$A$3:$A$5001,$B28),SUMIFS(BD!$L$3:$L$5001,BD!$A$3:$A$5001,$B28,BD!$B$3:$B$5001,$D$2)))</f>
        <v>0</v>
      </c>
      <c r="M28" s="32">
        <f>IF($B28="","",IF($B$2="Todos",SUMIFS(BD!$M$3:$M$5001,BD!$A$3:$A$5001,$B28),SUMIFS(BD!$M$3:$M$5001,BD!$A$3:$A$5001,$B28,BD!$B$3:$B$5001,$D$2)))</f>
        <v>0</v>
      </c>
      <c r="N28" s="32">
        <f>IF($B28="","",IF($B$2="Todos",SUMIFS(BD!$N$3:$N$5001,BD!$A$3:$A$5001,$B28),SUMIFS(BD!$N$3:$N$5001,BD!$A$3:$A$5001,$B28,BD!$B$3:$B$5001,$D$2)))</f>
        <v>0</v>
      </c>
      <c r="O28" s="32">
        <f>IF($B28="","",IF($B$2="Todos",SUMIFS(BD!$O$3:$O$5001,BD!$A$3:$A$5001,$B28),SUMIFS(BD!$O$3:$O$5001,BD!$A$3:$A$5001,$B28,BD!$B$3:$B$5001,$D$2)))</f>
        <v>0</v>
      </c>
      <c r="P28" s="32">
        <f>IF($B28="","",IF($B$2="Todos",SUMIFS(BD!$P$3:$P$5001,BD!$A$3:$A$5001,$B28),SUMIFS(BD!$P$3:$P$5001,BD!$A$3:$A$5001,$B28,BD!$B$3:$B$5001,$D$2)))</f>
        <v>0</v>
      </c>
      <c r="Q28" s="32">
        <f>IF($B28="","",IF($B$2="Todos",SUMIFS(BD!$Q$3:$Q$5001,BD!$A$3:$A$5001,$B28),SUMIFS(BD!$Q$3:$Q$5001,BD!$A$3:$A$5001,$B28,BD!$B$3:$B$5001,$D$2)))</f>
        <v>0</v>
      </c>
      <c r="R28" s="32">
        <f>IF($B28="","",IF($B$2="Todos",SUMIFS(BD!$R$3:$R$5001,BD!$A$3:$A$5001,$B28),SUMIFS(BD!$R$3:$R$5001,BD!$A$3:$A$5001,$B28,BD!$B$3:$B$5001,$D$2)))</f>
        <v>0</v>
      </c>
      <c r="S28" s="32">
        <f>IF($B28="","",IF($B$2="Todos",SUMIFS(BD!$S$3:$S$5001,BD!$A$3:$A$5001,$B28),SUMIFS(BD!$S$3:$S$5001,BD!$A$3:$A$5001,$B28,BD!$B$3:$B$5001,$D$2)))</f>
        <v>0</v>
      </c>
      <c r="T28" s="46">
        <f>IF($B28="","",IF($B$2="Todos",SUMIFS(BD!$T$3:$T$5001,BD!$A$3:$A$5001,$B28),SUMIFS(BD!$T$3:$T$5001,BD!$A$3:$A$5001,$B28,BD!$B$3:$B$5001,$D$2)))</f>
        <v>0</v>
      </c>
      <c r="U28" s="32">
        <f>IF($B28="","",IF($B$2="Todos",SUMIFS(BD!$U$3:$U$5001,BD!$A$3:$A$5001,$B28),SUMIFS(BD!$U$3:$U$5001,BD!$A$3:$A$5001,$B28,BD!$B$3:$B$5001,$D$2)))</f>
        <v>0</v>
      </c>
      <c r="V28" s="32">
        <f>IF($B28="","",IF($B$2="Todos",SUMIFS(BD!$V$3:$V$5001,BD!$A$3:$A$5001,$B28),SUMIFS(BD!$V$3:$V$5001,BD!$A$3:$A$5001,$B28,BD!$B$3:$B$5001,$D$2)))</f>
        <v>0</v>
      </c>
      <c r="W28" s="32" t="str">
        <f>IF($B$2="Todos",IF(COUNT($C$155:$L$155)=0,"",SUM($C$155:$L$155)),IFERROR(INDEX($C$155:$L$155,MATCH($D$2,$C$138:$L$138,0)),""))</f>
        <v/>
      </c>
      <c r="X28" s="47" t="str">
        <f>IF(Y28="","",IF($B$2="Todos",IF($B$4&gt;0,$B$4,IF($B$2="Todos",IF(COUNT($C$225:$L$225)=0,"",SUM($C$225:$L$225)),IFERROR(INDEX($C$225:$L$225,MATCH($D$2,$C$208:$L$208,0)),""))),IFERROR(INDEX($C$225:$L$225,MATCH($D$2,$C$208:$L$208,0)),"")))</f>
        <v/>
      </c>
      <c r="Y28" s="32" t="str">
        <f>IF($B$2="Todos",IF(COUNT($C$190:$L$190)=0,"",SUM($C$190:$L$190)),IFERROR(INDEX($C$190:$L$190,MATCH($D$2,$C$173:$L$173,0)),""))</f>
        <v/>
      </c>
      <c r="Z28" s="48" t="str">
        <f>IF(AND(ISNUMBER(Y28),ISNUMBER(X28)),IF(X28&gt;0,Y28/X28,""),"")</f>
        <v/>
      </c>
      <c r="AA28" s="32" t="str">
        <f>IF($B$2="Todos",IF(COUNT($C$260:$L$260)=0,"",SUM($C$260:$L$260)),IFERROR(INDEX($C$260:$L$260,MATCH($D$2,$C$243:$L$243,0)),""))</f>
        <v/>
      </c>
      <c r="AB28" s="32">
        <f>IF($B28="","",IF($B$2="Todos",SUMIFS(BD!$AA$3:$AA$5001,BD!$A$3:$A$5001,$B28),SUMIFS(BD!$AA$3:$AA$5001,BD!$A$3:$A$5001,$B28,BD!$B$3:$B$5001,$D$2)))</f>
        <v>0</v>
      </c>
      <c r="AC28" s="32">
        <f>IF($B28="","",IF($B$2="Todos",SUMIFS(BD!$AB$3:$AB$5001,BD!$A$3:$A$5001,$B28),SUMIFS(BD!$AB$3:$AB$5001,BD!$A$3:$A$5001,$B28,BD!$B$3:$B$5001,$D$2)))</f>
        <v>0</v>
      </c>
      <c r="AD28" s="32">
        <f>IF($B28="","",IF($B$2="Todos",SUMIFS(BD!$AC$3:$AC$5001,BD!$A$3:$A$5001,$B28),SUMIFS(BD!$AC$3:$AC$5001,BD!$A$3:$A$5001,$B28,BD!$B$3:$B$5001,$D$2)))</f>
        <v>0</v>
      </c>
      <c r="AE28" s="32">
        <f>IF($B28="","",IF($B$2="Todos",SUMIFS(BD!$AD$3:$AD$5001,BD!$A$3:$A$5001,$B28),SUMIFS(BD!$AD$3:$AD$5001,BD!$A$3:$A$5001,$B28,BD!$B$3:$B$5001,$D$2)))</f>
        <v>0</v>
      </c>
      <c r="AF28" s="32">
        <f>IF($B28="","",IF($B$2="Todos",SUMIFS(BD!$AE$3:$AE$5001,BD!$A$3:$A$5001,$B28),SUMIFS(BD!$AE$3:$AE$5001,BD!$A$3:$A$5001,$B28,BD!$B$3:$B$5001,$D$2)))</f>
        <v>0</v>
      </c>
      <c r="AG28" s="32">
        <f>IF($B28="","",IF($B$2="Todos",SUMIFS(BD!$AF$3:$AF$5001,BD!$A$3:$A$5001,$B28),SUMIFS(BD!$AF$3:$AF$5001,BD!$A$3:$A$5001,$B28,BD!$B$3:$B$5001,$D$2)))</f>
        <v>0</v>
      </c>
      <c r="AH28" s="32">
        <f>IF($B28="","",IF($B$2="Todos",SUMIFS(BD!$AG$3:$AG$5001,BD!$A$3:$A$5001,$B28),SUMIFS(BD!$AG$3:$AG$5001,BD!$A$3:$A$5001,$B28,BD!$B$3:$B$5001,$D$2)))</f>
        <v>0</v>
      </c>
      <c r="AI28" s="49">
        <f>$B$5</f>
        <v>0.7</v>
      </c>
      <c r="AJ28" s="49">
        <f>$B$6</f>
        <v>0.9</v>
      </c>
      <c r="AY28" s="60">
        <f>IF(OR($B28="",N(VALUE($AH$336))=0),"",IF(INDEX($C28:$AH28,VALUE($AH$336))="","",IF(N(VALUE($AJ$336))=0,INDEX($C28:$AH28,VALUE($AH$336)),IF(N(INDEX($C28:$AH28,N(VALUE($AJ$336))))&gt;0,INDEX($C28:$AH28,VALUE($AH$336))/INDEX($C28:$AH28,N(VALUE($AJ$336))),""))))</f>
        <v>0</v>
      </c>
      <c r="AZ28" s="60">
        <f>IF(OR($B28="",N(VALUE($AI$336))=0),"",IF(INDEX($C28:$AH28,VALUE($AI$336))="","",IF(N(VALUE($AK$336))=0,INDEX($C28:$AH28,VALUE($AI$336)),IF(N(INDEX($C28:$AH28,N(VALUE($AK$336))))&gt;0,INDEX($C28:$AH28,VALUE($AI$336))/INDEX($C28:$AH28,N(VALUE($AK$336))),""))))</f>
        <v>0</v>
      </c>
      <c r="BA28" s="60">
        <f>IF(OR($B28="",N(VALUE($AP$336))=0),"",IF(INDEX($C28:$AH28,VALUE($AP$336))="","",IF(N(VALUE($AR$336))=0,INDEX($C28:$AH28,VALUE($AP$336)),IF(N(INDEX($C28:$AH28,N(VALUE($AR$336))))&gt;0,INDEX($C28:$AH28,VALUE($AP$336))/INDEX($C28:$AH28,N(VALUE($AR$336))),""))))</f>
        <v>0</v>
      </c>
      <c r="BB28" s="60">
        <f>IF(OR($B28="",N(VALUE($AQ$336))=0),"",IF(INDEX($C28:$AH28,VALUE($AQ$336))="","",IF(N(VALUE($AS$336))=0,INDEX($C28:$AH28,VALUE($AQ$336)),IF(N(INDEX($C28:$AH28,N(VALUE($AS$336))))&gt;0,INDEX($C28:$AH28,VALUE($AQ$336))/INDEX($C28:$AH28,N(VALUE($AS$336))),""))))</f>
        <v>0</v>
      </c>
      <c r="BD28" s="32" t="str">
        <f>IF(AND($A28=$B$9,ISNUMBER(X28)),X28,NA())</f>
        <v/>
      </c>
    </row>
    <row r="29">
      <c r="A29" s="28">
        <v>18</v>
      </c>
      <c r="B29" s="45">
        <f>IF($A29&lt;=DAY($D$7),$C$7+$A29-1,"")</f>
        <v>46313</v>
      </c>
      <c r="C29" s="32">
        <f>IF($B29="","",IF($B$2="Todos",SUMIFS(BD!$C$3:$C$5001,BD!$A$3:$A$5001,$B29),SUMIFS(BD!$C$3:$C$5001,BD!$A$3:$A$5001,$B29,BD!$B$3:$B$5001,$D$2)))</f>
        <v>0</v>
      </c>
      <c r="D29" s="32">
        <f>IF($B29="","",IF($B$2="Todos",SUMIFS(BD!$D$3:$D$5001,BD!$A$3:$A$5001,$B29),SUMIFS(BD!$D$3:$D$5001,BD!$A$3:$A$5001,$B29,BD!$B$3:$B$5001,$D$2)))</f>
        <v>0</v>
      </c>
      <c r="E29" s="46">
        <f>IF($B29="","",IF($B$2="Todos",SUMIFS(BD!$E$3:$E$5001,BD!$A$3:$A$5001,$B29),SUMIFS(BD!$E$3:$E$5001,BD!$A$3:$A$5001,$B29,BD!$B$3:$B$5001,$D$2)))</f>
        <v>0</v>
      </c>
      <c r="F29" s="32">
        <f>IF($B29="","",IF($B$2="Todos",SUMIFS(BD!$F$3:$F$5001,BD!$A$3:$A$5001,$B29),SUMIFS(BD!$F$3:$F$5001,BD!$A$3:$A$5001,$B29,BD!$B$3:$B$5001,$D$2)))</f>
        <v>0</v>
      </c>
      <c r="G29" s="32">
        <f>IF($B29="","",IF($B$2="Todos",SUMIFS(BD!$G$3:$G$5001,BD!$A$3:$A$5001,$B29),SUMIFS(BD!$G$3:$G$5001,BD!$A$3:$A$5001,$B29,BD!$B$3:$B$5001,$D$2)))</f>
        <v>0</v>
      </c>
      <c r="H29" s="32">
        <f>IF($B29="","",IF($B$2="Todos",SUMIFS(BD!$H$3:$H$5001,BD!$A$3:$A$5001,$B29),SUMIFS(BD!$H$3:$H$5001,BD!$A$3:$A$5001,$B29,BD!$B$3:$B$5001,$D$2)))</f>
        <v>0</v>
      </c>
      <c r="I29" s="32">
        <f>IF($B29="","",IF($B$2="Todos",SUMIFS(BD!$I$3:$I$5001,BD!$A$3:$A$5001,$B29),SUMIFS(BD!$I$3:$I$5001,BD!$A$3:$A$5001,$B29,BD!$B$3:$B$5001,$D$2)))</f>
        <v>0</v>
      </c>
      <c r="J29" s="32">
        <f>IF($B29="","",IF($B$2="Todos",SUMIFS(BD!$J$3:$J$5001,BD!$A$3:$A$5001,$B29),SUMIFS(BD!$J$3:$J$5001,BD!$A$3:$A$5001,$B29,BD!$B$3:$B$5001,$D$2)))</f>
        <v>0</v>
      </c>
      <c r="K29" s="32">
        <f>IF($B29="","",IF($B$2="Todos",SUMIFS(BD!$K$3:$K$5001,BD!$A$3:$A$5001,$B29),SUMIFS(BD!$K$3:$K$5001,BD!$A$3:$A$5001,$B29,BD!$B$3:$B$5001,$D$2)))</f>
        <v>0</v>
      </c>
      <c r="L29" s="32">
        <f>IF($B29="","",IF($B$2="Todos",SUMIFS(BD!$L$3:$L$5001,BD!$A$3:$A$5001,$B29),SUMIFS(BD!$L$3:$L$5001,BD!$A$3:$A$5001,$B29,BD!$B$3:$B$5001,$D$2)))</f>
        <v>0</v>
      </c>
      <c r="M29" s="32">
        <f>IF($B29="","",IF($B$2="Todos",SUMIFS(BD!$M$3:$M$5001,BD!$A$3:$A$5001,$B29),SUMIFS(BD!$M$3:$M$5001,BD!$A$3:$A$5001,$B29,BD!$B$3:$B$5001,$D$2)))</f>
        <v>0</v>
      </c>
      <c r="N29" s="32">
        <f>IF($B29="","",IF($B$2="Todos",SUMIFS(BD!$N$3:$N$5001,BD!$A$3:$A$5001,$B29),SUMIFS(BD!$N$3:$N$5001,BD!$A$3:$A$5001,$B29,BD!$B$3:$B$5001,$D$2)))</f>
        <v>0</v>
      </c>
      <c r="O29" s="32">
        <f>IF($B29="","",IF($B$2="Todos",SUMIFS(BD!$O$3:$O$5001,BD!$A$3:$A$5001,$B29),SUMIFS(BD!$O$3:$O$5001,BD!$A$3:$A$5001,$B29,BD!$B$3:$B$5001,$D$2)))</f>
        <v>0</v>
      </c>
      <c r="P29" s="32">
        <f>IF($B29="","",IF($B$2="Todos",SUMIFS(BD!$P$3:$P$5001,BD!$A$3:$A$5001,$B29),SUMIFS(BD!$P$3:$P$5001,BD!$A$3:$A$5001,$B29,BD!$B$3:$B$5001,$D$2)))</f>
        <v>0</v>
      </c>
      <c r="Q29" s="32">
        <f>IF($B29="","",IF($B$2="Todos",SUMIFS(BD!$Q$3:$Q$5001,BD!$A$3:$A$5001,$B29),SUMIFS(BD!$Q$3:$Q$5001,BD!$A$3:$A$5001,$B29,BD!$B$3:$B$5001,$D$2)))</f>
        <v>0</v>
      </c>
      <c r="R29" s="32">
        <f>IF($B29="","",IF($B$2="Todos",SUMIFS(BD!$R$3:$R$5001,BD!$A$3:$A$5001,$B29),SUMIFS(BD!$R$3:$R$5001,BD!$A$3:$A$5001,$B29,BD!$B$3:$B$5001,$D$2)))</f>
        <v>0</v>
      </c>
      <c r="S29" s="32">
        <f>IF($B29="","",IF($B$2="Todos",SUMIFS(BD!$S$3:$S$5001,BD!$A$3:$A$5001,$B29),SUMIFS(BD!$S$3:$S$5001,BD!$A$3:$A$5001,$B29,BD!$B$3:$B$5001,$D$2)))</f>
        <v>0</v>
      </c>
      <c r="T29" s="46">
        <f>IF($B29="","",IF($B$2="Todos",SUMIFS(BD!$T$3:$T$5001,BD!$A$3:$A$5001,$B29),SUMIFS(BD!$T$3:$T$5001,BD!$A$3:$A$5001,$B29,BD!$B$3:$B$5001,$D$2)))</f>
        <v>0</v>
      </c>
      <c r="U29" s="32">
        <f>IF($B29="","",IF($B$2="Todos",SUMIFS(BD!$U$3:$U$5001,BD!$A$3:$A$5001,$B29),SUMIFS(BD!$U$3:$U$5001,BD!$A$3:$A$5001,$B29,BD!$B$3:$B$5001,$D$2)))</f>
        <v>0</v>
      </c>
      <c r="V29" s="32">
        <f>IF($B29="","",IF($B$2="Todos",SUMIFS(BD!$V$3:$V$5001,BD!$A$3:$A$5001,$B29),SUMIFS(BD!$V$3:$V$5001,BD!$A$3:$A$5001,$B29,BD!$B$3:$B$5001,$D$2)))</f>
        <v>0</v>
      </c>
      <c r="W29" s="32" t="str">
        <f>IF($B$2="Todos",IF(COUNT($C$156:$L$156)=0,"",SUM($C$156:$L$156)),IFERROR(INDEX($C$156:$L$156,MATCH($D$2,$C$138:$L$138,0)),""))</f>
        <v/>
      </c>
      <c r="X29" s="47" t="str">
        <f>IF(Y29="","",IF($B$2="Todos",IF($B$4&gt;0,$B$4,IF($B$2="Todos",IF(COUNT($C$226:$L$226)=0,"",SUM($C$226:$L$226)),IFERROR(INDEX($C$226:$L$226,MATCH($D$2,$C$208:$L$208,0)),""))),IFERROR(INDEX($C$226:$L$226,MATCH($D$2,$C$208:$L$208,0)),"")))</f>
        <v/>
      </c>
      <c r="Y29" s="32" t="str">
        <f>IF($B$2="Todos",IF(COUNT($C$191:$L$191)=0,"",SUM($C$191:$L$191)),IFERROR(INDEX($C$191:$L$191,MATCH($D$2,$C$173:$L$173,0)),""))</f>
        <v/>
      </c>
      <c r="Z29" s="48" t="str">
        <f>IF(AND(ISNUMBER(Y29),ISNUMBER(X29)),IF(X29&gt;0,Y29/X29,""),"")</f>
        <v/>
      </c>
      <c r="AA29" s="32" t="str">
        <f>IF($B$2="Todos",IF(COUNT($C$261:$L$261)=0,"",SUM($C$261:$L$261)),IFERROR(INDEX($C$261:$L$261,MATCH($D$2,$C$243:$L$243,0)),""))</f>
        <v/>
      </c>
      <c r="AB29" s="32">
        <f>IF($B29="","",IF($B$2="Todos",SUMIFS(BD!$AA$3:$AA$5001,BD!$A$3:$A$5001,$B29),SUMIFS(BD!$AA$3:$AA$5001,BD!$A$3:$A$5001,$B29,BD!$B$3:$B$5001,$D$2)))</f>
        <v>0</v>
      </c>
      <c r="AC29" s="32">
        <f>IF($B29="","",IF($B$2="Todos",SUMIFS(BD!$AB$3:$AB$5001,BD!$A$3:$A$5001,$B29),SUMIFS(BD!$AB$3:$AB$5001,BD!$A$3:$A$5001,$B29,BD!$B$3:$B$5001,$D$2)))</f>
        <v>0</v>
      </c>
      <c r="AD29" s="32">
        <f>IF($B29="","",IF($B$2="Todos",SUMIFS(BD!$AC$3:$AC$5001,BD!$A$3:$A$5001,$B29),SUMIFS(BD!$AC$3:$AC$5001,BD!$A$3:$A$5001,$B29,BD!$B$3:$B$5001,$D$2)))</f>
        <v>0</v>
      </c>
      <c r="AE29" s="32">
        <f>IF($B29="","",IF($B$2="Todos",SUMIFS(BD!$AD$3:$AD$5001,BD!$A$3:$A$5001,$B29),SUMIFS(BD!$AD$3:$AD$5001,BD!$A$3:$A$5001,$B29,BD!$B$3:$B$5001,$D$2)))</f>
        <v>0</v>
      </c>
      <c r="AF29" s="32">
        <f>IF($B29="","",IF($B$2="Todos",SUMIFS(BD!$AE$3:$AE$5001,BD!$A$3:$A$5001,$B29),SUMIFS(BD!$AE$3:$AE$5001,BD!$A$3:$A$5001,$B29,BD!$B$3:$B$5001,$D$2)))</f>
        <v>0</v>
      </c>
      <c r="AG29" s="32">
        <f>IF($B29="","",IF($B$2="Todos",SUMIFS(BD!$AF$3:$AF$5001,BD!$A$3:$A$5001,$B29),SUMIFS(BD!$AF$3:$AF$5001,BD!$A$3:$A$5001,$B29,BD!$B$3:$B$5001,$D$2)))</f>
        <v>0</v>
      </c>
      <c r="AH29" s="32">
        <f>IF($B29="","",IF($B$2="Todos",SUMIFS(BD!$AG$3:$AG$5001,BD!$A$3:$A$5001,$B29),SUMIFS(BD!$AG$3:$AG$5001,BD!$A$3:$A$5001,$B29,BD!$B$3:$B$5001,$D$2)))</f>
        <v>0</v>
      </c>
      <c r="AI29" s="49">
        <f>$B$5</f>
        <v>0.7</v>
      </c>
      <c r="AJ29" s="49">
        <f>$B$6</f>
        <v>0.9</v>
      </c>
      <c r="AY29" s="60">
        <f>IF(OR($B29="",N(VALUE($AH$336))=0),"",IF(INDEX($C29:$AH29,VALUE($AH$336))="","",IF(N(VALUE($AJ$336))=0,INDEX($C29:$AH29,VALUE($AH$336)),IF(N(INDEX($C29:$AH29,N(VALUE($AJ$336))))&gt;0,INDEX($C29:$AH29,VALUE($AH$336))/INDEX($C29:$AH29,N(VALUE($AJ$336))),""))))</f>
        <v>0</v>
      </c>
      <c r="AZ29" s="60">
        <f>IF(OR($B29="",N(VALUE($AI$336))=0),"",IF(INDEX($C29:$AH29,VALUE($AI$336))="","",IF(N(VALUE($AK$336))=0,INDEX($C29:$AH29,VALUE($AI$336)),IF(N(INDEX($C29:$AH29,N(VALUE($AK$336))))&gt;0,INDEX($C29:$AH29,VALUE($AI$336))/INDEX($C29:$AH29,N(VALUE($AK$336))),""))))</f>
        <v>0</v>
      </c>
      <c r="BA29" s="60">
        <f>IF(OR($B29="",N(VALUE($AP$336))=0),"",IF(INDEX($C29:$AH29,VALUE($AP$336))="","",IF(N(VALUE($AR$336))=0,INDEX($C29:$AH29,VALUE($AP$336)),IF(N(INDEX($C29:$AH29,N(VALUE($AR$336))))&gt;0,INDEX($C29:$AH29,VALUE($AP$336))/INDEX($C29:$AH29,N(VALUE($AR$336))),""))))</f>
        <v>0</v>
      </c>
      <c r="BB29" s="60">
        <f>IF(OR($B29="",N(VALUE($AQ$336))=0),"",IF(INDEX($C29:$AH29,VALUE($AQ$336))="","",IF(N(VALUE($AS$336))=0,INDEX($C29:$AH29,VALUE($AQ$336)),IF(N(INDEX($C29:$AH29,N(VALUE($AS$336))))&gt;0,INDEX($C29:$AH29,VALUE($AQ$336))/INDEX($C29:$AH29,N(VALUE($AS$336))),""))))</f>
        <v>0</v>
      </c>
      <c r="BD29" s="32" t="str">
        <f>IF(AND($A29=$B$9,ISNUMBER(X29)),X29,NA())</f>
        <v/>
      </c>
    </row>
    <row r="30">
      <c r="A30" s="28">
        <v>19</v>
      </c>
      <c r="B30" s="45">
        <f>IF($A30&lt;=DAY($D$7),$C$7+$A30-1,"")</f>
        <v>46314</v>
      </c>
      <c r="C30" s="32">
        <f>IF($B30="","",IF($B$2="Todos",SUMIFS(BD!$C$3:$C$5001,BD!$A$3:$A$5001,$B30),SUMIFS(BD!$C$3:$C$5001,BD!$A$3:$A$5001,$B30,BD!$B$3:$B$5001,$D$2)))</f>
        <v>0</v>
      </c>
      <c r="D30" s="32">
        <f>IF($B30="","",IF($B$2="Todos",SUMIFS(BD!$D$3:$D$5001,BD!$A$3:$A$5001,$B30),SUMIFS(BD!$D$3:$D$5001,BD!$A$3:$A$5001,$B30,BD!$B$3:$B$5001,$D$2)))</f>
        <v>0</v>
      </c>
      <c r="E30" s="46">
        <f>IF($B30="","",IF($B$2="Todos",SUMIFS(BD!$E$3:$E$5001,BD!$A$3:$A$5001,$B30),SUMIFS(BD!$E$3:$E$5001,BD!$A$3:$A$5001,$B30,BD!$B$3:$B$5001,$D$2)))</f>
        <v>0</v>
      </c>
      <c r="F30" s="32">
        <f>IF($B30="","",IF($B$2="Todos",SUMIFS(BD!$F$3:$F$5001,BD!$A$3:$A$5001,$B30),SUMIFS(BD!$F$3:$F$5001,BD!$A$3:$A$5001,$B30,BD!$B$3:$B$5001,$D$2)))</f>
        <v>0</v>
      </c>
      <c r="G30" s="32">
        <f>IF($B30="","",IF($B$2="Todos",SUMIFS(BD!$G$3:$G$5001,BD!$A$3:$A$5001,$B30),SUMIFS(BD!$G$3:$G$5001,BD!$A$3:$A$5001,$B30,BD!$B$3:$B$5001,$D$2)))</f>
        <v>0</v>
      </c>
      <c r="H30" s="32">
        <f>IF($B30="","",IF($B$2="Todos",SUMIFS(BD!$H$3:$H$5001,BD!$A$3:$A$5001,$B30),SUMIFS(BD!$H$3:$H$5001,BD!$A$3:$A$5001,$B30,BD!$B$3:$B$5001,$D$2)))</f>
        <v>0</v>
      </c>
      <c r="I30" s="32">
        <f>IF($B30="","",IF($B$2="Todos",SUMIFS(BD!$I$3:$I$5001,BD!$A$3:$A$5001,$B30),SUMIFS(BD!$I$3:$I$5001,BD!$A$3:$A$5001,$B30,BD!$B$3:$B$5001,$D$2)))</f>
        <v>0</v>
      </c>
      <c r="J30" s="32">
        <f>IF($B30="","",IF($B$2="Todos",SUMIFS(BD!$J$3:$J$5001,BD!$A$3:$A$5001,$B30),SUMIFS(BD!$J$3:$J$5001,BD!$A$3:$A$5001,$B30,BD!$B$3:$B$5001,$D$2)))</f>
        <v>0</v>
      </c>
      <c r="K30" s="32">
        <f>IF($B30="","",IF($B$2="Todos",SUMIFS(BD!$K$3:$K$5001,BD!$A$3:$A$5001,$B30),SUMIFS(BD!$K$3:$K$5001,BD!$A$3:$A$5001,$B30,BD!$B$3:$B$5001,$D$2)))</f>
        <v>0</v>
      </c>
      <c r="L30" s="32">
        <f>IF($B30="","",IF($B$2="Todos",SUMIFS(BD!$L$3:$L$5001,BD!$A$3:$A$5001,$B30),SUMIFS(BD!$L$3:$L$5001,BD!$A$3:$A$5001,$B30,BD!$B$3:$B$5001,$D$2)))</f>
        <v>0</v>
      </c>
      <c r="M30" s="32">
        <f>IF($B30="","",IF($B$2="Todos",SUMIFS(BD!$M$3:$M$5001,BD!$A$3:$A$5001,$B30),SUMIFS(BD!$M$3:$M$5001,BD!$A$3:$A$5001,$B30,BD!$B$3:$B$5001,$D$2)))</f>
        <v>0</v>
      </c>
      <c r="N30" s="32">
        <f>IF($B30="","",IF($B$2="Todos",SUMIFS(BD!$N$3:$N$5001,BD!$A$3:$A$5001,$B30),SUMIFS(BD!$N$3:$N$5001,BD!$A$3:$A$5001,$B30,BD!$B$3:$B$5001,$D$2)))</f>
        <v>0</v>
      </c>
      <c r="O30" s="32">
        <f>IF($B30="","",IF($B$2="Todos",SUMIFS(BD!$O$3:$O$5001,BD!$A$3:$A$5001,$B30),SUMIFS(BD!$O$3:$O$5001,BD!$A$3:$A$5001,$B30,BD!$B$3:$B$5001,$D$2)))</f>
        <v>0</v>
      </c>
      <c r="P30" s="32">
        <f>IF($B30="","",IF($B$2="Todos",SUMIFS(BD!$P$3:$P$5001,BD!$A$3:$A$5001,$B30),SUMIFS(BD!$P$3:$P$5001,BD!$A$3:$A$5001,$B30,BD!$B$3:$B$5001,$D$2)))</f>
        <v>0</v>
      </c>
      <c r="Q30" s="32">
        <f>IF($B30="","",IF($B$2="Todos",SUMIFS(BD!$Q$3:$Q$5001,BD!$A$3:$A$5001,$B30),SUMIFS(BD!$Q$3:$Q$5001,BD!$A$3:$A$5001,$B30,BD!$B$3:$B$5001,$D$2)))</f>
        <v>0</v>
      </c>
      <c r="R30" s="32">
        <f>IF($B30="","",IF($B$2="Todos",SUMIFS(BD!$R$3:$R$5001,BD!$A$3:$A$5001,$B30),SUMIFS(BD!$R$3:$R$5001,BD!$A$3:$A$5001,$B30,BD!$B$3:$B$5001,$D$2)))</f>
        <v>0</v>
      </c>
      <c r="S30" s="32">
        <f>IF($B30="","",IF($B$2="Todos",SUMIFS(BD!$S$3:$S$5001,BD!$A$3:$A$5001,$B30),SUMIFS(BD!$S$3:$S$5001,BD!$A$3:$A$5001,$B30,BD!$B$3:$B$5001,$D$2)))</f>
        <v>0</v>
      </c>
      <c r="T30" s="46">
        <f>IF($B30="","",IF($B$2="Todos",SUMIFS(BD!$T$3:$T$5001,BD!$A$3:$A$5001,$B30),SUMIFS(BD!$T$3:$T$5001,BD!$A$3:$A$5001,$B30,BD!$B$3:$B$5001,$D$2)))</f>
        <v>0</v>
      </c>
      <c r="U30" s="32">
        <f>IF($B30="","",IF($B$2="Todos",SUMIFS(BD!$U$3:$U$5001,BD!$A$3:$A$5001,$B30),SUMIFS(BD!$U$3:$U$5001,BD!$A$3:$A$5001,$B30,BD!$B$3:$B$5001,$D$2)))</f>
        <v>0</v>
      </c>
      <c r="V30" s="32">
        <f>IF($B30="","",IF($B$2="Todos",SUMIFS(BD!$V$3:$V$5001,BD!$A$3:$A$5001,$B30),SUMIFS(BD!$V$3:$V$5001,BD!$A$3:$A$5001,$B30,BD!$B$3:$B$5001,$D$2)))</f>
        <v>0</v>
      </c>
      <c r="W30" s="32" t="str">
        <f>IF($B$2="Todos",IF(COUNT($C$157:$L$157)=0,"",SUM($C$157:$L$157)),IFERROR(INDEX($C$157:$L$157,MATCH($D$2,$C$138:$L$138,0)),""))</f>
        <v/>
      </c>
      <c r="X30" s="47" t="str">
        <f>IF(Y30="","",IF($B$2="Todos",IF($B$4&gt;0,$B$4,IF($B$2="Todos",IF(COUNT($C$227:$L$227)=0,"",SUM($C$227:$L$227)),IFERROR(INDEX($C$227:$L$227,MATCH($D$2,$C$208:$L$208,0)),""))),IFERROR(INDEX($C$227:$L$227,MATCH($D$2,$C$208:$L$208,0)),"")))</f>
        <v/>
      </c>
      <c r="Y30" s="32" t="str">
        <f>IF($B$2="Todos",IF(COUNT($C$192:$L$192)=0,"",SUM($C$192:$L$192)),IFERROR(INDEX($C$192:$L$192,MATCH($D$2,$C$173:$L$173,0)),""))</f>
        <v/>
      </c>
      <c r="Z30" s="48" t="str">
        <f>IF(AND(ISNUMBER(Y30),ISNUMBER(X30)),IF(X30&gt;0,Y30/X30,""),"")</f>
        <v/>
      </c>
      <c r="AA30" s="32" t="str">
        <f>IF($B$2="Todos",IF(COUNT($C$262:$L$262)=0,"",SUM($C$262:$L$262)),IFERROR(INDEX($C$262:$L$262,MATCH($D$2,$C$243:$L$243,0)),""))</f>
        <v/>
      </c>
      <c r="AB30" s="32">
        <f>IF($B30="","",IF($B$2="Todos",SUMIFS(BD!$AA$3:$AA$5001,BD!$A$3:$A$5001,$B30),SUMIFS(BD!$AA$3:$AA$5001,BD!$A$3:$A$5001,$B30,BD!$B$3:$B$5001,$D$2)))</f>
        <v>0</v>
      </c>
      <c r="AC30" s="32">
        <f>IF($B30="","",IF($B$2="Todos",SUMIFS(BD!$AB$3:$AB$5001,BD!$A$3:$A$5001,$B30),SUMIFS(BD!$AB$3:$AB$5001,BD!$A$3:$A$5001,$B30,BD!$B$3:$B$5001,$D$2)))</f>
        <v>0</v>
      </c>
      <c r="AD30" s="32">
        <f>IF($B30="","",IF($B$2="Todos",SUMIFS(BD!$AC$3:$AC$5001,BD!$A$3:$A$5001,$B30),SUMIFS(BD!$AC$3:$AC$5001,BD!$A$3:$A$5001,$B30,BD!$B$3:$B$5001,$D$2)))</f>
        <v>0</v>
      </c>
      <c r="AE30" s="32">
        <f>IF($B30="","",IF($B$2="Todos",SUMIFS(BD!$AD$3:$AD$5001,BD!$A$3:$A$5001,$B30),SUMIFS(BD!$AD$3:$AD$5001,BD!$A$3:$A$5001,$B30,BD!$B$3:$B$5001,$D$2)))</f>
        <v>0</v>
      </c>
      <c r="AF30" s="32">
        <f>IF($B30="","",IF($B$2="Todos",SUMIFS(BD!$AE$3:$AE$5001,BD!$A$3:$A$5001,$B30),SUMIFS(BD!$AE$3:$AE$5001,BD!$A$3:$A$5001,$B30,BD!$B$3:$B$5001,$D$2)))</f>
        <v>0</v>
      </c>
      <c r="AG30" s="32">
        <f>IF($B30="","",IF($B$2="Todos",SUMIFS(BD!$AF$3:$AF$5001,BD!$A$3:$A$5001,$B30),SUMIFS(BD!$AF$3:$AF$5001,BD!$A$3:$A$5001,$B30,BD!$B$3:$B$5001,$D$2)))</f>
        <v>0</v>
      </c>
      <c r="AH30" s="32">
        <f>IF($B30="","",IF($B$2="Todos",SUMIFS(BD!$AG$3:$AG$5001,BD!$A$3:$A$5001,$B30),SUMIFS(BD!$AG$3:$AG$5001,BD!$A$3:$A$5001,$B30,BD!$B$3:$B$5001,$D$2)))</f>
        <v>0</v>
      </c>
      <c r="AI30" s="49">
        <f>$B$5</f>
        <v>0.7</v>
      </c>
      <c r="AJ30" s="49">
        <f>$B$6</f>
        <v>0.9</v>
      </c>
      <c r="AY30" s="60">
        <f>IF(OR($B30="",N(VALUE($AH$336))=0),"",IF(INDEX($C30:$AH30,VALUE($AH$336))="","",IF(N(VALUE($AJ$336))=0,INDEX($C30:$AH30,VALUE($AH$336)),IF(N(INDEX($C30:$AH30,N(VALUE($AJ$336))))&gt;0,INDEX($C30:$AH30,VALUE($AH$336))/INDEX($C30:$AH30,N(VALUE($AJ$336))),""))))</f>
        <v>0</v>
      </c>
      <c r="AZ30" s="60">
        <f>IF(OR($B30="",N(VALUE($AI$336))=0),"",IF(INDEX($C30:$AH30,VALUE($AI$336))="","",IF(N(VALUE($AK$336))=0,INDEX($C30:$AH30,VALUE($AI$336)),IF(N(INDEX($C30:$AH30,N(VALUE($AK$336))))&gt;0,INDEX($C30:$AH30,VALUE($AI$336))/INDEX($C30:$AH30,N(VALUE($AK$336))),""))))</f>
        <v>0</v>
      </c>
      <c r="BA30" s="60">
        <f>IF(OR($B30="",N(VALUE($AP$336))=0),"",IF(INDEX($C30:$AH30,VALUE($AP$336))="","",IF(N(VALUE($AR$336))=0,INDEX($C30:$AH30,VALUE($AP$336)),IF(N(INDEX($C30:$AH30,N(VALUE($AR$336))))&gt;0,INDEX($C30:$AH30,VALUE($AP$336))/INDEX($C30:$AH30,N(VALUE($AR$336))),""))))</f>
        <v>0</v>
      </c>
      <c r="BB30" s="60">
        <f>IF(OR($B30="",N(VALUE($AQ$336))=0),"",IF(INDEX($C30:$AH30,VALUE($AQ$336))="","",IF(N(VALUE($AS$336))=0,INDEX($C30:$AH30,VALUE($AQ$336)),IF(N(INDEX($C30:$AH30,N(VALUE($AS$336))))&gt;0,INDEX($C30:$AH30,VALUE($AQ$336))/INDEX($C30:$AH30,N(VALUE($AS$336))),""))))</f>
        <v>0</v>
      </c>
      <c r="BD30" s="32" t="str">
        <f>IF(AND($A30=$B$9,ISNUMBER(X30)),X30,NA())</f>
        <v/>
      </c>
    </row>
    <row r="31">
      <c r="A31" s="28">
        <v>20</v>
      </c>
      <c r="B31" s="45">
        <f>IF($A31&lt;=DAY($D$7),$C$7+$A31-1,"")</f>
        <v>46315</v>
      </c>
      <c r="C31" s="32">
        <f>IF($B31="","",IF($B$2="Todos",SUMIFS(BD!$C$3:$C$5001,BD!$A$3:$A$5001,$B31),SUMIFS(BD!$C$3:$C$5001,BD!$A$3:$A$5001,$B31,BD!$B$3:$B$5001,$D$2)))</f>
        <v>0</v>
      </c>
      <c r="D31" s="32">
        <f>IF($B31="","",IF($B$2="Todos",SUMIFS(BD!$D$3:$D$5001,BD!$A$3:$A$5001,$B31),SUMIFS(BD!$D$3:$D$5001,BD!$A$3:$A$5001,$B31,BD!$B$3:$B$5001,$D$2)))</f>
        <v>0</v>
      </c>
      <c r="E31" s="46">
        <f>IF($B31="","",IF($B$2="Todos",SUMIFS(BD!$E$3:$E$5001,BD!$A$3:$A$5001,$B31),SUMIFS(BD!$E$3:$E$5001,BD!$A$3:$A$5001,$B31,BD!$B$3:$B$5001,$D$2)))</f>
        <v>0</v>
      </c>
      <c r="F31" s="32">
        <f>IF($B31="","",IF($B$2="Todos",SUMIFS(BD!$F$3:$F$5001,BD!$A$3:$A$5001,$B31),SUMIFS(BD!$F$3:$F$5001,BD!$A$3:$A$5001,$B31,BD!$B$3:$B$5001,$D$2)))</f>
        <v>0</v>
      </c>
      <c r="G31" s="32">
        <f>IF($B31="","",IF($B$2="Todos",SUMIFS(BD!$G$3:$G$5001,BD!$A$3:$A$5001,$B31),SUMIFS(BD!$G$3:$G$5001,BD!$A$3:$A$5001,$B31,BD!$B$3:$B$5001,$D$2)))</f>
        <v>0</v>
      </c>
      <c r="H31" s="32">
        <f>IF($B31="","",IF($B$2="Todos",SUMIFS(BD!$H$3:$H$5001,BD!$A$3:$A$5001,$B31),SUMIFS(BD!$H$3:$H$5001,BD!$A$3:$A$5001,$B31,BD!$B$3:$B$5001,$D$2)))</f>
        <v>0</v>
      </c>
      <c r="I31" s="32">
        <f>IF($B31="","",IF($B$2="Todos",SUMIFS(BD!$I$3:$I$5001,BD!$A$3:$A$5001,$B31),SUMIFS(BD!$I$3:$I$5001,BD!$A$3:$A$5001,$B31,BD!$B$3:$B$5001,$D$2)))</f>
        <v>0</v>
      </c>
      <c r="J31" s="32">
        <f>IF($B31="","",IF($B$2="Todos",SUMIFS(BD!$J$3:$J$5001,BD!$A$3:$A$5001,$B31),SUMIFS(BD!$J$3:$J$5001,BD!$A$3:$A$5001,$B31,BD!$B$3:$B$5001,$D$2)))</f>
        <v>0</v>
      </c>
      <c r="K31" s="32">
        <f>IF($B31="","",IF($B$2="Todos",SUMIFS(BD!$K$3:$K$5001,BD!$A$3:$A$5001,$B31),SUMIFS(BD!$K$3:$K$5001,BD!$A$3:$A$5001,$B31,BD!$B$3:$B$5001,$D$2)))</f>
        <v>0</v>
      </c>
      <c r="L31" s="32">
        <f>IF($B31="","",IF($B$2="Todos",SUMIFS(BD!$L$3:$L$5001,BD!$A$3:$A$5001,$B31),SUMIFS(BD!$L$3:$L$5001,BD!$A$3:$A$5001,$B31,BD!$B$3:$B$5001,$D$2)))</f>
        <v>0</v>
      </c>
      <c r="M31" s="32">
        <f>IF($B31="","",IF($B$2="Todos",SUMIFS(BD!$M$3:$M$5001,BD!$A$3:$A$5001,$B31),SUMIFS(BD!$M$3:$M$5001,BD!$A$3:$A$5001,$B31,BD!$B$3:$B$5001,$D$2)))</f>
        <v>0</v>
      </c>
      <c r="N31" s="32">
        <f>IF($B31="","",IF($B$2="Todos",SUMIFS(BD!$N$3:$N$5001,BD!$A$3:$A$5001,$B31),SUMIFS(BD!$N$3:$N$5001,BD!$A$3:$A$5001,$B31,BD!$B$3:$B$5001,$D$2)))</f>
        <v>0</v>
      </c>
      <c r="O31" s="32">
        <f>IF($B31="","",IF($B$2="Todos",SUMIFS(BD!$O$3:$O$5001,BD!$A$3:$A$5001,$B31),SUMIFS(BD!$O$3:$O$5001,BD!$A$3:$A$5001,$B31,BD!$B$3:$B$5001,$D$2)))</f>
        <v>0</v>
      </c>
      <c r="P31" s="32">
        <f>IF($B31="","",IF($B$2="Todos",SUMIFS(BD!$P$3:$P$5001,BD!$A$3:$A$5001,$B31),SUMIFS(BD!$P$3:$P$5001,BD!$A$3:$A$5001,$B31,BD!$B$3:$B$5001,$D$2)))</f>
        <v>0</v>
      </c>
      <c r="Q31" s="32">
        <f>IF($B31="","",IF($B$2="Todos",SUMIFS(BD!$Q$3:$Q$5001,BD!$A$3:$A$5001,$B31),SUMIFS(BD!$Q$3:$Q$5001,BD!$A$3:$A$5001,$B31,BD!$B$3:$B$5001,$D$2)))</f>
        <v>0</v>
      </c>
      <c r="R31" s="32">
        <f>IF($B31="","",IF($B$2="Todos",SUMIFS(BD!$R$3:$R$5001,BD!$A$3:$A$5001,$B31),SUMIFS(BD!$R$3:$R$5001,BD!$A$3:$A$5001,$B31,BD!$B$3:$B$5001,$D$2)))</f>
        <v>0</v>
      </c>
      <c r="S31" s="32">
        <f>IF($B31="","",IF($B$2="Todos",SUMIFS(BD!$S$3:$S$5001,BD!$A$3:$A$5001,$B31),SUMIFS(BD!$S$3:$S$5001,BD!$A$3:$A$5001,$B31,BD!$B$3:$B$5001,$D$2)))</f>
        <v>0</v>
      </c>
      <c r="T31" s="46">
        <f>IF($B31="","",IF($B$2="Todos",SUMIFS(BD!$T$3:$T$5001,BD!$A$3:$A$5001,$B31),SUMIFS(BD!$T$3:$T$5001,BD!$A$3:$A$5001,$B31,BD!$B$3:$B$5001,$D$2)))</f>
        <v>0</v>
      </c>
      <c r="U31" s="32">
        <f>IF($B31="","",IF($B$2="Todos",SUMIFS(BD!$U$3:$U$5001,BD!$A$3:$A$5001,$B31),SUMIFS(BD!$U$3:$U$5001,BD!$A$3:$A$5001,$B31,BD!$B$3:$B$5001,$D$2)))</f>
        <v>0</v>
      </c>
      <c r="V31" s="32">
        <f>IF($B31="","",IF($B$2="Todos",SUMIFS(BD!$V$3:$V$5001,BD!$A$3:$A$5001,$B31),SUMIFS(BD!$V$3:$V$5001,BD!$A$3:$A$5001,$B31,BD!$B$3:$B$5001,$D$2)))</f>
        <v>0</v>
      </c>
      <c r="W31" s="32" t="str">
        <f>IF($B$2="Todos",IF(COUNT($C$158:$L$158)=0,"",SUM($C$158:$L$158)),IFERROR(INDEX($C$158:$L$158,MATCH($D$2,$C$138:$L$138,0)),""))</f>
        <v/>
      </c>
      <c r="X31" s="47" t="str">
        <f>IF(Y31="","",IF($B$2="Todos",IF($B$4&gt;0,$B$4,IF($B$2="Todos",IF(COUNT($C$228:$L$228)=0,"",SUM($C$228:$L$228)),IFERROR(INDEX($C$228:$L$228,MATCH($D$2,$C$208:$L$208,0)),""))),IFERROR(INDEX($C$228:$L$228,MATCH($D$2,$C$208:$L$208,0)),"")))</f>
        <v/>
      </c>
      <c r="Y31" s="32" t="str">
        <f>IF($B$2="Todos",IF(COUNT($C$193:$L$193)=0,"",SUM($C$193:$L$193)),IFERROR(INDEX($C$193:$L$193,MATCH($D$2,$C$173:$L$173,0)),""))</f>
        <v/>
      </c>
      <c r="Z31" s="48" t="str">
        <f>IF(AND(ISNUMBER(Y31),ISNUMBER(X31)),IF(X31&gt;0,Y31/X31,""),"")</f>
        <v/>
      </c>
      <c r="AA31" s="32" t="str">
        <f>IF($B$2="Todos",IF(COUNT($C$263:$L$263)=0,"",SUM($C$263:$L$263)),IFERROR(INDEX($C$263:$L$263,MATCH($D$2,$C$243:$L$243,0)),""))</f>
        <v/>
      </c>
      <c r="AB31" s="32">
        <f>IF($B31="","",IF($B$2="Todos",SUMIFS(BD!$AA$3:$AA$5001,BD!$A$3:$A$5001,$B31),SUMIFS(BD!$AA$3:$AA$5001,BD!$A$3:$A$5001,$B31,BD!$B$3:$B$5001,$D$2)))</f>
        <v>0</v>
      </c>
      <c r="AC31" s="32">
        <f>IF($B31="","",IF($B$2="Todos",SUMIFS(BD!$AB$3:$AB$5001,BD!$A$3:$A$5001,$B31),SUMIFS(BD!$AB$3:$AB$5001,BD!$A$3:$A$5001,$B31,BD!$B$3:$B$5001,$D$2)))</f>
        <v>0</v>
      </c>
      <c r="AD31" s="32">
        <f>IF($B31="","",IF($B$2="Todos",SUMIFS(BD!$AC$3:$AC$5001,BD!$A$3:$A$5001,$B31),SUMIFS(BD!$AC$3:$AC$5001,BD!$A$3:$A$5001,$B31,BD!$B$3:$B$5001,$D$2)))</f>
        <v>0</v>
      </c>
      <c r="AE31" s="32">
        <f>IF($B31="","",IF($B$2="Todos",SUMIFS(BD!$AD$3:$AD$5001,BD!$A$3:$A$5001,$B31),SUMIFS(BD!$AD$3:$AD$5001,BD!$A$3:$A$5001,$B31,BD!$B$3:$B$5001,$D$2)))</f>
        <v>0</v>
      </c>
      <c r="AF31" s="32">
        <f>IF($B31="","",IF($B$2="Todos",SUMIFS(BD!$AE$3:$AE$5001,BD!$A$3:$A$5001,$B31),SUMIFS(BD!$AE$3:$AE$5001,BD!$A$3:$A$5001,$B31,BD!$B$3:$B$5001,$D$2)))</f>
        <v>0</v>
      </c>
      <c r="AG31" s="32">
        <f>IF($B31="","",IF($B$2="Todos",SUMIFS(BD!$AF$3:$AF$5001,BD!$A$3:$A$5001,$B31),SUMIFS(BD!$AF$3:$AF$5001,BD!$A$3:$A$5001,$B31,BD!$B$3:$B$5001,$D$2)))</f>
        <v>0</v>
      </c>
      <c r="AH31" s="32">
        <f>IF($B31="","",IF($B$2="Todos",SUMIFS(BD!$AG$3:$AG$5001,BD!$A$3:$A$5001,$B31),SUMIFS(BD!$AG$3:$AG$5001,BD!$A$3:$A$5001,$B31,BD!$B$3:$B$5001,$D$2)))</f>
        <v>0</v>
      </c>
      <c r="AI31" s="49">
        <f>$B$5</f>
        <v>0.7</v>
      </c>
      <c r="AJ31" s="49">
        <f>$B$6</f>
        <v>0.9</v>
      </c>
      <c r="AY31" s="60">
        <f>IF(OR($B31="",N(VALUE($AH$336))=0),"",IF(INDEX($C31:$AH31,VALUE($AH$336))="","",IF(N(VALUE($AJ$336))=0,INDEX($C31:$AH31,VALUE($AH$336)),IF(N(INDEX($C31:$AH31,N(VALUE($AJ$336))))&gt;0,INDEX($C31:$AH31,VALUE($AH$336))/INDEX($C31:$AH31,N(VALUE($AJ$336))),""))))</f>
        <v>0</v>
      </c>
      <c r="AZ31" s="60">
        <f>IF(OR($B31="",N(VALUE($AI$336))=0),"",IF(INDEX($C31:$AH31,VALUE($AI$336))="","",IF(N(VALUE($AK$336))=0,INDEX($C31:$AH31,VALUE($AI$336)),IF(N(INDEX($C31:$AH31,N(VALUE($AK$336))))&gt;0,INDEX($C31:$AH31,VALUE($AI$336))/INDEX($C31:$AH31,N(VALUE($AK$336))),""))))</f>
        <v>0</v>
      </c>
      <c r="BA31" s="60">
        <f>IF(OR($B31="",N(VALUE($AP$336))=0),"",IF(INDEX($C31:$AH31,VALUE($AP$336))="","",IF(N(VALUE($AR$336))=0,INDEX($C31:$AH31,VALUE($AP$336)),IF(N(INDEX($C31:$AH31,N(VALUE($AR$336))))&gt;0,INDEX($C31:$AH31,VALUE($AP$336))/INDEX($C31:$AH31,N(VALUE($AR$336))),""))))</f>
        <v>0</v>
      </c>
      <c r="BB31" s="60">
        <f>IF(OR($B31="",N(VALUE($AQ$336))=0),"",IF(INDEX($C31:$AH31,VALUE($AQ$336))="","",IF(N(VALUE($AS$336))=0,INDEX($C31:$AH31,VALUE($AQ$336)),IF(N(INDEX($C31:$AH31,N(VALUE($AS$336))))&gt;0,INDEX($C31:$AH31,VALUE($AQ$336))/INDEX($C31:$AH31,N(VALUE($AS$336))),""))))</f>
        <v>0</v>
      </c>
      <c r="BD31" s="32" t="str">
        <f>IF(AND($A31=$B$9,ISNUMBER(X31)),X31,NA())</f>
        <v/>
      </c>
    </row>
    <row r="32">
      <c r="A32" s="28">
        <v>21</v>
      </c>
      <c r="B32" s="45">
        <f>IF($A32&lt;=DAY($D$7),$C$7+$A32-1,"")</f>
        <v>46316</v>
      </c>
      <c r="C32" s="32">
        <f>IF($B32="","",IF($B$2="Todos",SUMIFS(BD!$C$3:$C$5001,BD!$A$3:$A$5001,$B32),SUMIFS(BD!$C$3:$C$5001,BD!$A$3:$A$5001,$B32,BD!$B$3:$B$5001,$D$2)))</f>
        <v>0</v>
      </c>
      <c r="D32" s="32">
        <f>IF($B32="","",IF($B$2="Todos",SUMIFS(BD!$D$3:$D$5001,BD!$A$3:$A$5001,$B32),SUMIFS(BD!$D$3:$D$5001,BD!$A$3:$A$5001,$B32,BD!$B$3:$B$5001,$D$2)))</f>
        <v>0</v>
      </c>
      <c r="E32" s="46">
        <f>IF($B32="","",IF($B$2="Todos",SUMIFS(BD!$E$3:$E$5001,BD!$A$3:$A$5001,$B32),SUMIFS(BD!$E$3:$E$5001,BD!$A$3:$A$5001,$B32,BD!$B$3:$B$5001,$D$2)))</f>
        <v>0</v>
      </c>
      <c r="F32" s="32">
        <f>IF($B32="","",IF($B$2="Todos",SUMIFS(BD!$F$3:$F$5001,BD!$A$3:$A$5001,$B32),SUMIFS(BD!$F$3:$F$5001,BD!$A$3:$A$5001,$B32,BD!$B$3:$B$5001,$D$2)))</f>
        <v>0</v>
      </c>
      <c r="G32" s="32">
        <f>IF($B32="","",IF($B$2="Todos",SUMIFS(BD!$G$3:$G$5001,BD!$A$3:$A$5001,$B32),SUMIFS(BD!$G$3:$G$5001,BD!$A$3:$A$5001,$B32,BD!$B$3:$B$5001,$D$2)))</f>
        <v>0</v>
      </c>
      <c r="H32" s="32">
        <f>IF($B32="","",IF($B$2="Todos",SUMIFS(BD!$H$3:$H$5001,BD!$A$3:$A$5001,$B32),SUMIFS(BD!$H$3:$H$5001,BD!$A$3:$A$5001,$B32,BD!$B$3:$B$5001,$D$2)))</f>
        <v>0</v>
      </c>
      <c r="I32" s="32">
        <f>IF($B32="","",IF($B$2="Todos",SUMIFS(BD!$I$3:$I$5001,BD!$A$3:$A$5001,$B32),SUMIFS(BD!$I$3:$I$5001,BD!$A$3:$A$5001,$B32,BD!$B$3:$B$5001,$D$2)))</f>
        <v>0</v>
      </c>
      <c r="J32" s="32">
        <f>IF($B32="","",IF($B$2="Todos",SUMIFS(BD!$J$3:$J$5001,BD!$A$3:$A$5001,$B32),SUMIFS(BD!$J$3:$J$5001,BD!$A$3:$A$5001,$B32,BD!$B$3:$B$5001,$D$2)))</f>
        <v>0</v>
      </c>
      <c r="K32" s="32">
        <f>IF($B32="","",IF($B$2="Todos",SUMIFS(BD!$K$3:$K$5001,BD!$A$3:$A$5001,$B32),SUMIFS(BD!$K$3:$K$5001,BD!$A$3:$A$5001,$B32,BD!$B$3:$B$5001,$D$2)))</f>
        <v>0</v>
      </c>
      <c r="L32" s="32">
        <f>IF($B32="","",IF($B$2="Todos",SUMIFS(BD!$L$3:$L$5001,BD!$A$3:$A$5001,$B32),SUMIFS(BD!$L$3:$L$5001,BD!$A$3:$A$5001,$B32,BD!$B$3:$B$5001,$D$2)))</f>
        <v>0</v>
      </c>
      <c r="M32" s="32">
        <f>IF($B32="","",IF($B$2="Todos",SUMIFS(BD!$M$3:$M$5001,BD!$A$3:$A$5001,$B32),SUMIFS(BD!$M$3:$M$5001,BD!$A$3:$A$5001,$B32,BD!$B$3:$B$5001,$D$2)))</f>
        <v>0</v>
      </c>
      <c r="N32" s="32">
        <f>IF($B32="","",IF($B$2="Todos",SUMIFS(BD!$N$3:$N$5001,BD!$A$3:$A$5001,$B32),SUMIFS(BD!$N$3:$N$5001,BD!$A$3:$A$5001,$B32,BD!$B$3:$B$5001,$D$2)))</f>
        <v>0</v>
      </c>
      <c r="O32" s="32">
        <f>IF($B32="","",IF($B$2="Todos",SUMIFS(BD!$O$3:$O$5001,BD!$A$3:$A$5001,$B32),SUMIFS(BD!$O$3:$O$5001,BD!$A$3:$A$5001,$B32,BD!$B$3:$B$5001,$D$2)))</f>
        <v>0</v>
      </c>
      <c r="P32" s="32">
        <f>IF($B32="","",IF($B$2="Todos",SUMIFS(BD!$P$3:$P$5001,BD!$A$3:$A$5001,$B32),SUMIFS(BD!$P$3:$P$5001,BD!$A$3:$A$5001,$B32,BD!$B$3:$B$5001,$D$2)))</f>
        <v>0</v>
      </c>
      <c r="Q32" s="32">
        <f>IF($B32="","",IF($B$2="Todos",SUMIFS(BD!$Q$3:$Q$5001,BD!$A$3:$A$5001,$B32),SUMIFS(BD!$Q$3:$Q$5001,BD!$A$3:$A$5001,$B32,BD!$B$3:$B$5001,$D$2)))</f>
        <v>0</v>
      </c>
      <c r="R32" s="32">
        <f>IF($B32="","",IF($B$2="Todos",SUMIFS(BD!$R$3:$R$5001,BD!$A$3:$A$5001,$B32),SUMIFS(BD!$R$3:$R$5001,BD!$A$3:$A$5001,$B32,BD!$B$3:$B$5001,$D$2)))</f>
        <v>0</v>
      </c>
      <c r="S32" s="32">
        <f>IF($B32="","",IF($B$2="Todos",SUMIFS(BD!$S$3:$S$5001,BD!$A$3:$A$5001,$B32),SUMIFS(BD!$S$3:$S$5001,BD!$A$3:$A$5001,$B32,BD!$B$3:$B$5001,$D$2)))</f>
        <v>0</v>
      </c>
      <c r="T32" s="46">
        <f>IF($B32="","",IF($B$2="Todos",SUMIFS(BD!$T$3:$T$5001,BD!$A$3:$A$5001,$B32),SUMIFS(BD!$T$3:$T$5001,BD!$A$3:$A$5001,$B32,BD!$B$3:$B$5001,$D$2)))</f>
        <v>0</v>
      </c>
      <c r="U32" s="32">
        <f>IF($B32="","",IF($B$2="Todos",SUMIFS(BD!$U$3:$U$5001,BD!$A$3:$A$5001,$B32),SUMIFS(BD!$U$3:$U$5001,BD!$A$3:$A$5001,$B32,BD!$B$3:$B$5001,$D$2)))</f>
        <v>0</v>
      </c>
      <c r="V32" s="32">
        <f>IF($B32="","",IF($B$2="Todos",SUMIFS(BD!$V$3:$V$5001,BD!$A$3:$A$5001,$B32),SUMIFS(BD!$V$3:$V$5001,BD!$A$3:$A$5001,$B32,BD!$B$3:$B$5001,$D$2)))</f>
        <v>0</v>
      </c>
      <c r="W32" s="32" t="str">
        <f>IF($B$2="Todos",IF(COUNT($C$159:$L$159)=0,"",SUM($C$159:$L$159)),IFERROR(INDEX($C$159:$L$159,MATCH($D$2,$C$138:$L$138,0)),""))</f>
        <v/>
      </c>
      <c r="X32" s="47" t="str">
        <f>IF(Y32="","",IF($B$2="Todos",IF($B$4&gt;0,$B$4,IF($B$2="Todos",IF(COUNT($C$229:$L$229)=0,"",SUM($C$229:$L$229)),IFERROR(INDEX($C$229:$L$229,MATCH($D$2,$C$208:$L$208,0)),""))),IFERROR(INDEX($C$229:$L$229,MATCH($D$2,$C$208:$L$208,0)),"")))</f>
        <v/>
      </c>
      <c r="Y32" s="32" t="str">
        <f>IF($B$2="Todos",IF(COUNT($C$194:$L$194)=0,"",SUM($C$194:$L$194)),IFERROR(INDEX($C$194:$L$194,MATCH($D$2,$C$173:$L$173,0)),""))</f>
        <v/>
      </c>
      <c r="Z32" s="48" t="str">
        <f>IF(AND(ISNUMBER(Y32),ISNUMBER(X32)),IF(X32&gt;0,Y32/X32,""),"")</f>
        <v/>
      </c>
      <c r="AA32" s="32" t="str">
        <f>IF($B$2="Todos",IF(COUNT($C$264:$L$264)=0,"",SUM($C$264:$L$264)),IFERROR(INDEX($C$264:$L$264,MATCH($D$2,$C$243:$L$243,0)),""))</f>
        <v/>
      </c>
      <c r="AB32" s="32">
        <f>IF($B32="","",IF($B$2="Todos",SUMIFS(BD!$AA$3:$AA$5001,BD!$A$3:$A$5001,$B32),SUMIFS(BD!$AA$3:$AA$5001,BD!$A$3:$A$5001,$B32,BD!$B$3:$B$5001,$D$2)))</f>
        <v>0</v>
      </c>
      <c r="AC32" s="32">
        <f>IF($B32="","",IF($B$2="Todos",SUMIFS(BD!$AB$3:$AB$5001,BD!$A$3:$A$5001,$B32),SUMIFS(BD!$AB$3:$AB$5001,BD!$A$3:$A$5001,$B32,BD!$B$3:$B$5001,$D$2)))</f>
        <v>0</v>
      </c>
      <c r="AD32" s="32">
        <f>IF($B32="","",IF($B$2="Todos",SUMIFS(BD!$AC$3:$AC$5001,BD!$A$3:$A$5001,$B32),SUMIFS(BD!$AC$3:$AC$5001,BD!$A$3:$A$5001,$B32,BD!$B$3:$B$5001,$D$2)))</f>
        <v>0</v>
      </c>
      <c r="AE32" s="32">
        <f>IF($B32="","",IF($B$2="Todos",SUMIFS(BD!$AD$3:$AD$5001,BD!$A$3:$A$5001,$B32),SUMIFS(BD!$AD$3:$AD$5001,BD!$A$3:$A$5001,$B32,BD!$B$3:$B$5001,$D$2)))</f>
        <v>0</v>
      </c>
      <c r="AF32" s="32">
        <f>IF($B32="","",IF($B$2="Todos",SUMIFS(BD!$AE$3:$AE$5001,BD!$A$3:$A$5001,$B32),SUMIFS(BD!$AE$3:$AE$5001,BD!$A$3:$A$5001,$B32,BD!$B$3:$B$5001,$D$2)))</f>
        <v>0</v>
      </c>
      <c r="AG32" s="32">
        <f>IF($B32="","",IF($B$2="Todos",SUMIFS(BD!$AF$3:$AF$5001,BD!$A$3:$A$5001,$B32),SUMIFS(BD!$AF$3:$AF$5001,BD!$A$3:$A$5001,$B32,BD!$B$3:$B$5001,$D$2)))</f>
        <v>0</v>
      </c>
      <c r="AH32" s="32">
        <f>IF($B32="","",IF($B$2="Todos",SUMIFS(BD!$AG$3:$AG$5001,BD!$A$3:$A$5001,$B32),SUMIFS(BD!$AG$3:$AG$5001,BD!$A$3:$A$5001,$B32,BD!$B$3:$B$5001,$D$2)))</f>
        <v>0</v>
      </c>
      <c r="AI32" s="49">
        <f>$B$5</f>
        <v>0.7</v>
      </c>
      <c r="AJ32" s="49">
        <f>$B$6</f>
        <v>0.9</v>
      </c>
      <c r="AY32" s="60">
        <f>IF(OR($B32="",N(VALUE($AH$336))=0),"",IF(INDEX($C32:$AH32,VALUE($AH$336))="","",IF(N(VALUE($AJ$336))=0,INDEX($C32:$AH32,VALUE($AH$336)),IF(N(INDEX($C32:$AH32,N(VALUE($AJ$336))))&gt;0,INDEX($C32:$AH32,VALUE($AH$336))/INDEX($C32:$AH32,N(VALUE($AJ$336))),""))))</f>
        <v>0</v>
      </c>
      <c r="AZ32" s="60">
        <f>IF(OR($B32="",N(VALUE($AI$336))=0),"",IF(INDEX($C32:$AH32,VALUE($AI$336))="","",IF(N(VALUE($AK$336))=0,INDEX($C32:$AH32,VALUE($AI$336)),IF(N(INDEX($C32:$AH32,N(VALUE($AK$336))))&gt;0,INDEX($C32:$AH32,VALUE($AI$336))/INDEX($C32:$AH32,N(VALUE($AK$336))),""))))</f>
        <v>0</v>
      </c>
      <c r="BA32" s="60">
        <f>IF(OR($B32="",N(VALUE($AP$336))=0),"",IF(INDEX($C32:$AH32,VALUE($AP$336))="","",IF(N(VALUE($AR$336))=0,INDEX($C32:$AH32,VALUE($AP$336)),IF(N(INDEX($C32:$AH32,N(VALUE($AR$336))))&gt;0,INDEX($C32:$AH32,VALUE($AP$336))/INDEX($C32:$AH32,N(VALUE($AR$336))),""))))</f>
        <v>0</v>
      </c>
      <c r="BB32" s="60">
        <f>IF(OR($B32="",N(VALUE($AQ$336))=0),"",IF(INDEX($C32:$AH32,VALUE($AQ$336))="","",IF(N(VALUE($AS$336))=0,INDEX($C32:$AH32,VALUE($AQ$336)),IF(N(INDEX($C32:$AH32,N(VALUE($AS$336))))&gt;0,INDEX($C32:$AH32,VALUE($AQ$336))/INDEX($C32:$AH32,N(VALUE($AS$336))),""))))</f>
        <v>0</v>
      </c>
      <c r="BD32" s="32" t="str">
        <f>IF(AND($A32=$B$9,ISNUMBER(X32)),X32,NA())</f>
        <v/>
      </c>
    </row>
    <row r="33">
      <c r="A33" s="28">
        <v>22</v>
      </c>
      <c r="B33" s="45">
        <f>IF($A33&lt;=DAY($D$7),$C$7+$A33-1,"")</f>
        <v>46317</v>
      </c>
      <c r="C33" s="32">
        <f>IF($B33="","",IF($B$2="Todos",SUMIFS(BD!$C$3:$C$5001,BD!$A$3:$A$5001,$B33),SUMIFS(BD!$C$3:$C$5001,BD!$A$3:$A$5001,$B33,BD!$B$3:$B$5001,$D$2)))</f>
        <v>0</v>
      </c>
      <c r="D33" s="32">
        <f>IF($B33="","",IF($B$2="Todos",SUMIFS(BD!$D$3:$D$5001,BD!$A$3:$A$5001,$B33),SUMIFS(BD!$D$3:$D$5001,BD!$A$3:$A$5001,$B33,BD!$B$3:$B$5001,$D$2)))</f>
        <v>0</v>
      </c>
      <c r="E33" s="46">
        <f>IF($B33="","",IF($B$2="Todos",SUMIFS(BD!$E$3:$E$5001,BD!$A$3:$A$5001,$B33),SUMIFS(BD!$E$3:$E$5001,BD!$A$3:$A$5001,$B33,BD!$B$3:$B$5001,$D$2)))</f>
        <v>0</v>
      </c>
      <c r="F33" s="32">
        <f>IF($B33="","",IF($B$2="Todos",SUMIFS(BD!$F$3:$F$5001,BD!$A$3:$A$5001,$B33),SUMIFS(BD!$F$3:$F$5001,BD!$A$3:$A$5001,$B33,BD!$B$3:$B$5001,$D$2)))</f>
        <v>0</v>
      </c>
      <c r="G33" s="32">
        <f>IF($B33="","",IF($B$2="Todos",SUMIFS(BD!$G$3:$G$5001,BD!$A$3:$A$5001,$B33),SUMIFS(BD!$G$3:$G$5001,BD!$A$3:$A$5001,$B33,BD!$B$3:$B$5001,$D$2)))</f>
        <v>0</v>
      </c>
      <c r="H33" s="32">
        <f>IF($B33="","",IF($B$2="Todos",SUMIFS(BD!$H$3:$H$5001,BD!$A$3:$A$5001,$B33),SUMIFS(BD!$H$3:$H$5001,BD!$A$3:$A$5001,$B33,BD!$B$3:$B$5001,$D$2)))</f>
        <v>0</v>
      </c>
      <c r="I33" s="32">
        <f>IF($B33="","",IF($B$2="Todos",SUMIFS(BD!$I$3:$I$5001,BD!$A$3:$A$5001,$B33),SUMIFS(BD!$I$3:$I$5001,BD!$A$3:$A$5001,$B33,BD!$B$3:$B$5001,$D$2)))</f>
        <v>0</v>
      </c>
      <c r="J33" s="32">
        <f>IF($B33="","",IF($B$2="Todos",SUMIFS(BD!$J$3:$J$5001,BD!$A$3:$A$5001,$B33),SUMIFS(BD!$J$3:$J$5001,BD!$A$3:$A$5001,$B33,BD!$B$3:$B$5001,$D$2)))</f>
        <v>0</v>
      </c>
      <c r="K33" s="32">
        <f>IF($B33="","",IF($B$2="Todos",SUMIFS(BD!$K$3:$K$5001,BD!$A$3:$A$5001,$B33),SUMIFS(BD!$K$3:$K$5001,BD!$A$3:$A$5001,$B33,BD!$B$3:$B$5001,$D$2)))</f>
        <v>0</v>
      </c>
      <c r="L33" s="32">
        <f>IF($B33="","",IF($B$2="Todos",SUMIFS(BD!$L$3:$L$5001,BD!$A$3:$A$5001,$B33),SUMIFS(BD!$L$3:$L$5001,BD!$A$3:$A$5001,$B33,BD!$B$3:$B$5001,$D$2)))</f>
        <v>0</v>
      </c>
      <c r="M33" s="32">
        <f>IF($B33="","",IF($B$2="Todos",SUMIFS(BD!$M$3:$M$5001,BD!$A$3:$A$5001,$B33),SUMIFS(BD!$M$3:$M$5001,BD!$A$3:$A$5001,$B33,BD!$B$3:$B$5001,$D$2)))</f>
        <v>0</v>
      </c>
      <c r="N33" s="32">
        <f>IF($B33="","",IF($B$2="Todos",SUMIFS(BD!$N$3:$N$5001,BD!$A$3:$A$5001,$B33),SUMIFS(BD!$N$3:$N$5001,BD!$A$3:$A$5001,$B33,BD!$B$3:$B$5001,$D$2)))</f>
        <v>0</v>
      </c>
      <c r="O33" s="32">
        <f>IF($B33="","",IF($B$2="Todos",SUMIFS(BD!$O$3:$O$5001,BD!$A$3:$A$5001,$B33),SUMIFS(BD!$O$3:$O$5001,BD!$A$3:$A$5001,$B33,BD!$B$3:$B$5001,$D$2)))</f>
        <v>0</v>
      </c>
      <c r="P33" s="32">
        <f>IF($B33="","",IF($B$2="Todos",SUMIFS(BD!$P$3:$P$5001,BD!$A$3:$A$5001,$B33),SUMIFS(BD!$P$3:$P$5001,BD!$A$3:$A$5001,$B33,BD!$B$3:$B$5001,$D$2)))</f>
        <v>0</v>
      </c>
      <c r="Q33" s="32">
        <f>IF($B33="","",IF($B$2="Todos",SUMIFS(BD!$Q$3:$Q$5001,BD!$A$3:$A$5001,$B33),SUMIFS(BD!$Q$3:$Q$5001,BD!$A$3:$A$5001,$B33,BD!$B$3:$B$5001,$D$2)))</f>
        <v>0</v>
      </c>
      <c r="R33" s="32">
        <f>IF($B33="","",IF($B$2="Todos",SUMIFS(BD!$R$3:$R$5001,BD!$A$3:$A$5001,$B33),SUMIFS(BD!$R$3:$R$5001,BD!$A$3:$A$5001,$B33,BD!$B$3:$B$5001,$D$2)))</f>
        <v>0</v>
      </c>
      <c r="S33" s="32">
        <f>IF($B33="","",IF($B$2="Todos",SUMIFS(BD!$S$3:$S$5001,BD!$A$3:$A$5001,$B33),SUMIFS(BD!$S$3:$S$5001,BD!$A$3:$A$5001,$B33,BD!$B$3:$B$5001,$D$2)))</f>
        <v>0</v>
      </c>
      <c r="T33" s="46">
        <f>IF($B33="","",IF($B$2="Todos",SUMIFS(BD!$T$3:$T$5001,BD!$A$3:$A$5001,$B33),SUMIFS(BD!$T$3:$T$5001,BD!$A$3:$A$5001,$B33,BD!$B$3:$B$5001,$D$2)))</f>
        <v>0</v>
      </c>
      <c r="U33" s="32">
        <f>IF($B33="","",IF($B$2="Todos",SUMIFS(BD!$U$3:$U$5001,BD!$A$3:$A$5001,$B33),SUMIFS(BD!$U$3:$U$5001,BD!$A$3:$A$5001,$B33,BD!$B$3:$B$5001,$D$2)))</f>
        <v>0</v>
      </c>
      <c r="V33" s="32">
        <f>IF($B33="","",IF($B$2="Todos",SUMIFS(BD!$V$3:$V$5001,BD!$A$3:$A$5001,$B33),SUMIFS(BD!$V$3:$V$5001,BD!$A$3:$A$5001,$B33,BD!$B$3:$B$5001,$D$2)))</f>
        <v>0</v>
      </c>
      <c r="W33" s="32" t="str">
        <f>IF($B$2="Todos",IF(COUNT($C$160:$L$160)=0,"",SUM($C$160:$L$160)),IFERROR(INDEX($C$160:$L$160,MATCH($D$2,$C$138:$L$138,0)),""))</f>
        <v/>
      </c>
      <c r="X33" s="47" t="str">
        <f>IF(Y33="","",IF($B$2="Todos",IF($B$4&gt;0,$B$4,IF($B$2="Todos",IF(COUNT($C$230:$L$230)=0,"",SUM($C$230:$L$230)),IFERROR(INDEX($C$230:$L$230,MATCH($D$2,$C$208:$L$208,0)),""))),IFERROR(INDEX($C$230:$L$230,MATCH($D$2,$C$208:$L$208,0)),"")))</f>
        <v/>
      </c>
      <c r="Y33" s="32" t="str">
        <f>IF($B$2="Todos",IF(COUNT($C$195:$L$195)=0,"",SUM($C$195:$L$195)),IFERROR(INDEX($C$195:$L$195,MATCH($D$2,$C$173:$L$173,0)),""))</f>
        <v/>
      </c>
      <c r="Z33" s="48" t="str">
        <f>IF(AND(ISNUMBER(Y33),ISNUMBER(X33)),IF(X33&gt;0,Y33/X33,""),"")</f>
        <v/>
      </c>
      <c r="AA33" s="32" t="str">
        <f>IF($B$2="Todos",IF(COUNT($C$265:$L$265)=0,"",SUM($C$265:$L$265)),IFERROR(INDEX($C$265:$L$265,MATCH($D$2,$C$243:$L$243,0)),""))</f>
        <v/>
      </c>
      <c r="AB33" s="32">
        <f>IF($B33="","",IF($B$2="Todos",SUMIFS(BD!$AA$3:$AA$5001,BD!$A$3:$A$5001,$B33),SUMIFS(BD!$AA$3:$AA$5001,BD!$A$3:$A$5001,$B33,BD!$B$3:$B$5001,$D$2)))</f>
        <v>0</v>
      </c>
      <c r="AC33" s="32">
        <f>IF($B33="","",IF($B$2="Todos",SUMIFS(BD!$AB$3:$AB$5001,BD!$A$3:$A$5001,$B33),SUMIFS(BD!$AB$3:$AB$5001,BD!$A$3:$A$5001,$B33,BD!$B$3:$B$5001,$D$2)))</f>
        <v>0</v>
      </c>
      <c r="AD33" s="32">
        <f>IF($B33="","",IF($B$2="Todos",SUMIFS(BD!$AC$3:$AC$5001,BD!$A$3:$A$5001,$B33),SUMIFS(BD!$AC$3:$AC$5001,BD!$A$3:$A$5001,$B33,BD!$B$3:$B$5001,$D$2)))</f>
        <v>0</v>
      </c>
      <c r="AE33" s="32">
        <f>IF($B33="","",IF($B$2="Todos",SUMIFS(BD!$AD$3:$AD$5001,BD!$A$3:$A$5001,$B33),SUMIFS(BD!$AD$3:$AD$5001,BD!$A$3:$A$5001,$B33,BD!$B$3:$B$5001,$D$2)))</f>
        <v>0</v>
      </c>
      <c r="AF33" s="32">
        <f>IF($B33="","",IF($B$2="Todos",SUMIFS(BD!$AE$3:$AE$5001,BD!$A$3:$A$5001,$B33),SUMIFS(BD!$AE$3:$AE$5001,BD!$A$3:$A$5001,$B33,BD!$B$3:$B$5001,$D$2)))</f>
        <v>0</v>
      </c>
      <c r="AG33" s="32">
        <f>IF($B33="","",IF($B$2="Todos",SUMIFS(BD!$AF$3:$AF$5001,BD!$A$3:$A$5001,$B33),SUMIFS(BD!$AF$3:$AF$5001,BD!$A$3:$A$5001,$B33,BD!$B$3:$B$5001,$D$2)))</f>
        <v>0</v>
      </c>
      <c r="AH33" s="32">
        <f>IF($B33="","",IF($B$2="Todos",SUMIFS(BD!$AG$3:$AG$5001,BD!$A$3:$A$5001,$B33),SUMIFS(BD!$AG$3:$AG$5001,BD!$A$3:$A$5001,$B33,BD!$B$3:$B$5001,$D$2)))</f>
        <v>0</v>
      </c>
      <c r="AI33" s="49">
        <f>$B$5</f>
        <v>0.7</v>
      </c>
      <c r="AJ33" s="49">
        <f>$B$6</f>
        <v>0.9</v>
      </c>
      <c r="AY33" s="60">
        <f>IF(OR($B33="",N(VALUE($AH$336))=0),"",IF(INDEX($C33:$AH33,VALUE($AH$336))="","",IF(N(VALUE($AJ$336))=0,INDEX($C33:$AH33,VALUE($AH$336)),IF(N(INDEX($C33:$AH33,N(VALUE($AJ$336))))&gt;0,INDEX($C33:$AH33,VALUE($AH$336))/INDEX($C33:$AH33,N(VALUE($AJ$336))),""))))</f>
        <v>0</v>
      </c>
      <c r="AZ33" s="60">
        <f>IF(OR($B33="",N(VALUE($AI$336))=0),"",IF(INDEX($C33:$AH33,VALUE($AI$336))="","",IF(N(VALUE($AK$336))=0,INDEX($C33:$AH33,VALUE($AI$336)),IF(N(INDEX($C33:$AH33,N(VALUE($AK$336))))&gt;0,INDEX($C33:$AH33,VALUE($AI$336))/INDEX($C33:$AH33,N(VALUE($AK$336))),""))))</f>
        <v>0</v>
      </c>
      <c r="BA33" s="60">
        <f>IF(OR($B33="",N(VALUE($AP$336))=0),"",IF(INDEX($C33:$AH33,VALUE($AP$336))="","",IF(N(VALUE($AR$336))=0,INDEX($C33:$AH33,VALUE($AP$336)),IF(N(INDEX($C33:$AH33,N(VALUE($AR$336))))&gt;0,INDEX($C33:$AH33,VALUE($AP$336))/INDEX($C33:$AH33,N(VALUE($AR$336))),""))))</f>
        <v>0</v>
      </c>
      <c r="BB33" s="60">
        <f>IF(OR($B33="",N(VALUE($AQ$336))=0),"",IF(INDEX($C33:$AH33,VALUE($AQ$336))="","",IF(N(VALUE($AS$336))=0,INDEX($C33:$AH33,VALUE($AQ$336)),IF(N(INDEX($C33:$AH33,N(VALUE($AS$336))))&gt;0,INDEX($C33:$AH33,VALUE($AQ$336))/INDEX($C33:$AH33,N(VALUE($AS$336))),""))))</f>
        <v>0</v>
      </c>
      <c r="BD33" s="32" t="str">
        <f>IF(AND($A33=$B$9,ISNUMBER(X33)),X33,NA())</f>
        <v/>
      </c>
    </row>
    <row r="34">
      <c r="A34" s="28">
        <v>23</v>
      </c>
      <c r="B34" s="45">
        <f>IF($A34&lt;=DAY($D$7),$C$7+$A34-1,"")</f>
        <v>46318</v>
      </c>
      <c r="C34" s="32">
        <f>IF($B34="","",IF($B$2="Todos",SUMIFS(BD!$C$3:$C$5001,BD!$A$3:$A$5001,$B34),SUMIFS(BD!$C$3:$C$5001,BD!$A$3:$A$5001,$B34,BD!$B$3:$B$5001,$D$2)))</f>
        <v>0</v>
      </c>
      <c r="D34" s="32">
        <f>IF($B34="","",IF($B$2="Todos",SUMIFS(BD!$D$3:$D$5001,BD!$A$3:$A$5001,$B34),SUMIFS(BD!$D$3:$D$5001,BD!$A$3:$A$5001,$B34,BD!$B$3:$B$5001,$D$2)))</f>
        <v>0</v>
      </c>
      <c r="E34" s="46">
        <f>IF($B34="","",IF($B$2="Todos",SUMIFS(BD!$E$3:$E$5001,BD!$A$3:$A$5001,$B34),SUMIFS(BD!$E$3:$E$5001,BD!$A$3:$A$5001,$B34,BD!$B$3:$B$5001,$D$2)))</f>
        <v>0</v>
      </c>
      <c r="F34" s="32">
        <f>IF($B34="","",IF($B$2="Todos",SUMIFS(BD!$F$3:$F$5001,BD!$A$3:$A$5001,$B34),SUMIFS(BD!$F$3:$F$5001,BD!$A$3:$A$5001,$B34,BD!$B$3:$B$5001,$D$2)))</f>
        <v>0</v>
      </c>
      <c r="G34" s="32">
        <f>IF($B34="","",IF($B$2="Todos",SUMIFS(BD!$G$3:$G$5001,BD!$A$3:$A$5001,$B34),SUMIFS(BD!$G$3:$G$5001,BD!$A$3:$A$5001,$B34,BD!$B$3:$B$5001,$D$2)))</f>
        <v>0</v>
      </c>
      <c r="H34" s="32">
        <f>IF($B34="","",IF($B$2="Todos",SUMIFS(BD!$H$3:$H$5001,BD!$A$3:$A$5001,$B34),SUMIFS(BD!$H$3:$H$5001,BD!$A$3:$A$5001,$B34,BD!$B$3:$B$5001,$D$2)))</f>
        <v>0</v>
      </c>
      <c r="I34" s="32">
        <f>IF($B34="","",IF($B$2="Todos",SUMIFS(BD!$I$3:$I$5001,BD!$A$3:$A$5001,$B34),SUMIFS(BD!$I$3:$I$5001,BD!$A$3:$A$5001,$B34,BD!$B$3:$B$5001,$D$2)))</f>
        <v>0</v>
      </c>
      <c r="J34" s="32">
        <f>IF($B34="","",IF($B$2="Todos",SUMIFS(BD!$J$3:$J$5001,BD!$A$3:$A$5001,$B34),SUMIFS(BD!$J$3:$J$5001,BD!$A$3:$A$5001,$B34,BD!$B$3:$B$5001,$D$2)))</f>
        <v>0</v>
      </c>
      <c r="K34" s="32">
        <f>IF($B34="","",IF($B$2="Todos",SUMIFS(BD!$K$3:$K$5001,BD!$A$3:$A$5001,$B34),SUMIFS(BD!$K$3:$K$5001,BD!$A$3:$A$5001,$B34,BD!$B$3:$B$5001,$D$2)))</f>
        <v>0</v>
      </c>
      <c r="L34" s="32">
        <f>IF($B34="","",IF($B$2="Todos",SUMIFS(BD!$L$3:$L$5001,BD!$A$3:$A$5001,$B34),SUMIFS(BD!$L$3:$L$5001,BD!$A$3:$A$5001,$B34,BD!$B$3:$B$5001,$D$2)))</f>
        <v>0</v>
      </c>
      <c r="M34" s="32">
        <f>IF($B34="","",IF($B$2="Todos",SUMIFS(BD!$M$3:$M$5001,BD!$A$3:$A$5001,$B34),SUMIFS(BD!$M$3:$M$5001,BD!$A$3:$A$5001,$B34,BD!$B$3:$B$5001,$D$2)))</f>
        <v>0</v>
      </c>
      <c r="N34" s="32">
        <f>IF($B34="","",IF($B$2="Todos",SUMIFS(BD!$N$3:$N$5001,BD!$A$3:$A$5001,$B34),SUMIFS(BD!$N$3:$N$5001,BD!$A$3:$A$5001,$B34,BD!$B$3:$B$5001,$D$2)))</f>
        <v>0</v>
      </c>
      <c r="O34" s="32">
        <f>IF($B34="","",IF($B$2="Todos",SUMIFS(BD!$O$3:$O$5001,BD!$A$3:$A$5001,$B34),SUMIFS(BD!$O$3:$O$5001,BD!$A$3:$A$5001,$B34,BD!$B$3:$B$5001,$D$2)))</f>
        <v>0</v>
      </c>
      <c r="P34" s="32">
        <f>IF($B34="","",IF($B$2="Todos",SUMIFS(BD!$P$3:$P$5001,BD!$A$3:$A$5001,$B34),SUMIFS(BD!$P$3:$P$5001,BD!$A$3:$A$5001,$B34,BD!$B$3:$B$5001,$D$2)))</f>
        <v>0</v>
      </c>
      <c r="Q34" s="32">
        <f>IF($B34="","",IF($B$2="Todos",SUMIFS(BD!$Q$3:$Q$5001,BD!$A$3:$A$5001,$B34),SUMIFS(BD!$Q$3:$Q$5001,BD!$A$3:$A$5001,$B34,BD!$B$3:$B$5001,$D$2)))</f>
        <v>0</v>
      </c>
      <c r="R34" s="32">
        <f>IF($B34="","",IF($B$2="Todos",SUMIFS(BD!$R$3:$R$5001,BD!$A$3:$A$5001,$B34),SUMIFS(BD!$R$3:$R$5001,BD!$A$3:$A$5001,$B34,BD!$B$3:$B$5001,$D$2)))</f>
        <v>0</v>
      </c>
      <c r="S34" s="32">
        <f>IF($B34="","",IF($B$2="Todos",SUMIFS(BD!$S$3:$S$5001,BD!$A$3:$A$5001,$B34),SUMIFS(BD!$S$3:$S$5001,BD!$A$3:$A$5001,$B34,BD!$B$3:$B$5001,$D$2)))</f>
        <v>0</v>
      </c>
      <c r="T34" s="46">
        <f>IF($B34="","",IF($B$2="Todos",SUMIFS(BD!$T$3:$T$5001,BD!$A$3:$A$5001,$B34),SUMIFS(BD!$T$3:$T$5001,BD!$A$3:$A$5001,$B34,BD!$B$3:$B$5001,$D$2)))</f>
        <v>0</v>
      </c>
      <c r="U34" s="32">
        <f>IF($B34="","",IF($B$2="Todos",SUMIFS(BD!$U$3:$U$5001,BD!$A$3:$A$5001,$B34),SUMIFS(BD!$U$3:$U$5001,BD!$A$3:$A$5001,$B34,BD!$B$3:$B$5001,$D$2)))</f>
        <v>0</v>
      </c>
      <c r="V34" s="32">
        <f>IF($B34="","",IF($B$2="Todos",SUMIFS(BD!$V$3:$V$5001,BD!$A$3:$A$5001,$B34),SUMIFS(BD!$V$3:$V$5001,BD!$A$3:$A$5001,$B34,BD!$B$3:$B$5001,$D$2)))</f>
        <v>0</v>
      </c>
      <c r="W34" s="32" t="str">
        <f>IF($B$2="Todos",IF(COUNT($C$161:$L$161)=0,"",SUM($C$161:$L$161)),IFERROR(INDEX($C$161:$L$161,MATCH($D$2,$C$138:$L$138,0)),""))</f>
        <v/>
      </c>
      <c r="X34" s="47" t="str">
        <f>IF(Y34="","",IF($B$2="Todos",IF($B$4&gt;0,$B$4,IF($B$2="Todos",IF(COUNT($C$231:$L$231)=0,"",SUM($C$231:$L$231)),IFERROR(INDEX($C$231:$L$231,MATCH($D$2,$C$208:$L$208,0)),""))),IFERROR(INDEX($C$231:$L$231,MATCH($D$2,$C$208:$L$208,0)),"")))</f>
        <v/>
      </c>
      <c r="Y34" s="32" t="str">
        <f>IF($B$2="Todos",IF(COUNT($C$196:$L$196)=0,"",SUM($C$196:$L$196)),IFERROR(INDEX($C$196:$L$196,MATCH($D$2,$C$173:$L$173,0)),""))</f>
        <v/>
      </c>
      <c r="Z34" s="48" t="str">
        <f>IF(AND(ISNUMBER(Y34),ISNUMBER(X34)),IF(X34&gt;0,Y34/X34,""),"")</f>
        <v/>
      </c>
      <c r="AA34" s="32" t="str">
        <f>IF($B$2="Todos",IF(COUNT($C$266:$L$266)=0,"",SUM($C$266:$L$266)),IFERROR(INDEX($C$266:$L$266,MATCH($D$2,$C$243:$L$243,0)),""))</f>
        <v/>
      </c>
      <c r="AB34" s="32">
        <f>IF($B34="","",IF($B$2="Todos",SUMIFS(BD!$AA$3:$AA$5001,BD!$A$3:$A$5001,$B34),SUMIFS(BD!$AA$3:$AA$5001,BD!$A$3:$A$5001,$B34,BD!$B$3:$B$5001,$D$2)))</f>
        <v>0</v>
      </c>
      <c r="AC34" s="32">
        <f>IF($B34="","",IF($B$2="Todos",SUMIFS(BD!$AB$3:$AB$5001,BD!$A$3:$A$5001,$B34),SUMIFS(BD!$AB$3:$AB$5001,BD!$A$3:$A$5001,$B34,BD!$B$3:$B$5001,$D$2)))</f>
        <v>0</v>
      </c>
      <c r="AD34" s="32">
        <f>IF($B34="","",IF($B$2="Todos",SUMIFS(BD!$AC$3:$AC$5001,BD!$A$3:$A$5001,$B34),SUMIFS(BD!$AC$3:$AC$5001,BD!$A$3:$A$5001,$B34,BD!$B$3:$B$5001,$D$2)))</f>
        <v>0</v>
      </c>
      <c r="AE34" s="32">
        <f>IF($B34="","",IF($B$2="Todos",SUMIFS(BD!$AD$3:$AD$5001,BD!$A$3:$A$5001,$B34),SUMIFS(BD!$AD$3:$AD$5001,BD!$A$3:$A$5001,$B34,BD!$B$3:$B$5001,$D$2)))</f>
        <v>0</v>
      </c>
      <c r="AF34" s="32">
        <f>IF($B34="","",IF($B$2="Todos",SUMIFS(BD!$AE$3:$AE$5001,BD!$A$3:$A$5001,$B34),SUMIFS(BD!$AE$3:$AE$5001,BD!$A$3:$A$5001,$B34,BD!$B$3:$B$5001,$D$2)))</f>
        <v>0</v>
      </c>
      <c r="AG34" s="32">
        <f>IF($B34="","",IF($B$2="Todos",SUMIFS(BD!$AF$3:$AF$5001,BD!$A$3:$A$5001,$B34),SUMIFS(BD!$AF$3:$AF$5001,BD!$A$3:$A$5001,$B34,BD!$B$3:$B$5001,$D$2)))</f>
        <v>0</v>
      </c>
      <c r="AH34" s="32">
        <f>IF($B34="","",IF($B$2="Todos",SUMIFS(BD!$AG$3:$AG$5001,BD!$A$3:$A$5001,$B34),SUMIFS(BD!$AG$3:$AG$5001,BD!$A$3:$A$5001,$B34,BD!$B$3:$B$5001,$D$2)))</f>
        <v>0</v>
      </c>
      <c r="AI34" s="49">
        <f>$B$5</f>
        <v>0.7</v>
      </c>
      <c r="AJ34" s="49">
        <f>$B$6</f>
        <v>0.9</v>
      </c>
      <c r="AY34" s="60">
        <f>IF(OR($B34="",N(VALUE($AH$336))=0),"",IF(INDEX($C34:$AH34,VALUE($AH$336))="","",IF(N(VALUE($AJ$336))=0,INDEX($C34:$AH34,VALUE($AH$336)),IF(N(INDEX($C34:$AH34,N(VALUE($AJ$336))))&gt;0,INDEX($C34:$AH34,VALUE($AH$336))/INDEX($C34:$AH34,N(VALUE($AJ$336))),""))))</f>
        <v>0</v>
      </c>
      <c r="AZ34" s="60">
        <f>IF(OR($B34="",N(VALUE($AI$336))=0),"",IF(INDEX($C34:$AH34,VALUE($AI$336))="","",IF(N(VALUE($AK$336))=0,INDEX($C34:$AH34,VALUE($AI$336)),IF(N(INDEX($C34:$AH34,N(VALUE($AK$336))))&gt;0,INDEX($C34:$AH34,VALUE($AI$336))/INDEX($C34:$AH34,N(VALUE($AK$336))),""))))</f>
        <v>0</v>
      </c>
      <c r="BA34" s="60">
        <f>IF(OR($B34="",N(VALUE($AP$336))=0),"",IF(INDEX($C34:$AH34,VALUE($AP$336))="","",IF(N(VALUE($AR$336))=0,INDEX($C34:$AH34,VALUE($AP$336)),IF(N(INDEX($C34:$AH34,N(VALUE($AR$336))))&gt;0,INDEX($C34:$AH34,VALUE($AP$336))/INDEX($C34:$AH34,N(VALUE($AR$336))),""))))</f>
        <v>0</v>
      </c>
      <c r="BB34" s="60">
        <f>IF(OR($B34="",N(VALUE($AQ$336))=0),"",IF(INDEX($C34:$AH34,VALUE($AQ$336))="","",IF(N(VALUE($AS$336))=0,INDEX($C34:$AH34,VALUE($AQ$336)),IF(N(INDEX($C34:$AH34,N(VALUE($AS$336))))&gt;0,INDEX($C34:$AH34,VALUE($AQ$336))/INDEX($C34:$AH34,N(VALUE($AS$336))),""))))</f>
        <v>0</v>
      </c>
      <c r="BD34" s="32" t="str">
        <f>IF(AND($A34=$B$9,ISNUMBER(X34)),X34,NA())</f>
        <v/>
      </c>
    </row>
    <row r="35">
      <c r="A35" s="28">
        <v>24</v>
      </c>
      <c r="B35" s="45">
        <f>IF($A35&lt;=DAY($D$7),$C$7+$A35-1,"")</f>
        <v>46319</v>
      </c>
      <c r="C35" s="32">
        <f>IF($B35="","",IF($B$2="Todos",SUMIFS(BD!$C$3:$C$5001,BD!$A$3:$A$5001,$B35),SUMIFS(BD!$C$3:$C$5001,BD!$A$3:$A$5001,$B35,BD!$B$3:$B$5001,$D$2)))</f>
        <v>0</v>
      </c>
      <c r="D35" s="32">
        <f>IF($B35="","",IF($B$2="Todos",SUMIFS(BD!$D$3:$D$5001,BD!$A$3:$A$5001,$B35),SUMIFS(BD!$D$3:$D$5001,BD!$A$3:$A$5001,$B35,BD!$B$3:$B$5001,$D$2)))</f>
        <v>0</v>
      </c>
      <c r="E35" s="46">
        <f>IF($B35="","",IF($B$2="Todos",SUMIFS(BD!$E$3:$E$5001,BD!$A$3:$A$5001,$B35),SUMIFS(BD!$E$3:$E$5001,BD!$A$3:$A$5001,$B35,BD!$B$3:$B$5001,$D$2)))</f>
        <v>0</v>
      </c>
      <c r="F35" s="32">
        <f>IF($B35="","",IF($B$2="Todos",SUMIFS(BD!$F$3:$F$5001,BD!$A$3:$A$5001,$B35),SUMIFS(BD!$F$3:$F$5001,BD!$A$3:$A$5001,$B35,BD!$B$3:$B$5001,$D$2)))</f>
        <v>0</v>
      </c>
      <c r="G35" s="32">
        <f>IF($B35="","",IF($B$2="Todos",SUMIFS(BD!$G$3:$G$5001,BD!$A$3:$A$5001,$B35),SUMIFS(BD!$G$3:$G$5001,BD!$A$3:$A$5001,$B35,BD!$B$3:$B$5001,$D$2)))</f>
        <v>0</v>
      </c>
      <c r="H35" s="32">
        <f>IF($B35="","",IF($B$2="Todos",SUMIFS(BD!$H$3:$H$5001,BD!$A$3:$A$5001,$B35),SUMIFS(BD!$H$3:$H$5001,BD!$A$3:$A$5001,$B35,BD!$B$3:$B$5001,$D$2)))</f>
        <v>0</v>
      </c>
      <c r="I35" s="32">
        <f>IF($B35="","",IF($B$2="Todos",SUMIFS(BD!$I$3:$I$5001,BD!$A$3:$A$5001,$B35),SUMIFS(BD!$I$3:$I$5001,BD!$A$3:$A$5001,$B35,BD!$B$3:$B$5001,$D$2)))</f>
        <v>0</v>
      </c>
      <c r="J35" s="32">
        <f>IF($B35="","",IF($B$2="Todos",SUMIFS(BD!$J$3:$J$5001,BD!$A$3:$A$5001,$B35),SUMIFS(BD!$J$3:$J$5001,BD!$A$3:$A$5001,$B35,BD!$B$3:$B$5001,$D$2)))</f>
        <v>0</v>
      </c>
      <c r="K35" s="32">
        <f>IF($B35="","",IF($B$2="Todos",SUMIFS(BD!$K$3:$K$5001,BD!$A$3:$A$5001,$B35),SUMIFS(BD!$K$3:$K$5001,BD!$A$3:$A$5001,$B35,BD!$B$3:$B$5001,$D$2)))</f>
        <v>0</v>
      </c>
      <c r="L35" s="32">
        <f>IF($B35="","",IF($B$2="Todos",SUMIFS(BD!$L$3:$L$5001,BD!$A$3:$A$5001,$B35),SUMIFS(BD!$L$3:$L$5001,BD!$A$3:$A$5001,$B35,BD!$B$3:$B$5001,$D$2)))</f>
        <v>0</v>
      </c>
      <c r="M35" s="32">
        <f>IF($B35="","",IF($B$2="Todos",SUMIFS(BD!$M$3:$M$5001,BD!$A$3:$A$5001,$B35),SUMIFS(BD!$M$3:$M$5001,BD!$A$3:$A$5001,$B35,BD!$B$3:$B$5001,$D$2)))</f>
        <v>0</v>
      </c>
      <c r="N35" s="32">
        <f>IF($B35="","",IF($B$2="Todos",SUMIFS(BD!$N$3:$N$5001,BD!$A$3:$A$5001,$B35),SUMIFS(BD!$N$3:$N$5001,BD!$A$3:$A$5001,$B35,BD!$B$3:$B$5001,$D$2)))</f>
        <v>0</v>
      </c>
      <c r="O35" s="32">
        <f>IF($B35="","",IF($B$2="Todos",SUMIFS(BD!$O$3:$O$5001,BD!$A$3:$A$5001,$B35),SUMIFS(BD!$O$3:$O$5001,BD!$A$3:$A$5001,$B35,BD!$B$3:$B$5001,$D$2)))</f>
        <v>0</v>
      </c>
      <c r="P35" s="32">
        <f>IF($B35="","",IF($B$2="Todos",SUMIFS(BD!$P$3:$P$5001,BD!$A$3:$A$5001,$B35),SUMIFS(BD!$P$3:$P$5001,BD!$A$3:$A$5001,$B35,BD!$B$3:$B$5001,$D$2)))</f>
        <v>0</v>
      </c>
      <c r="Q35" s="32">
        <f>IF($B35="","",IF($B$2="Todos",SUMIFS(BD!$Q$3:$Q$5001,BD!$A$3:$A$5001,$B35),SUMIFS(BD!$Q$3:$Q$5001,BD!$A$3:$A$5001,$B35,BD!$B$3:$B$5001,$D$2)))</f>
        <v>0</v>
      </c>
      <c r="R35" s="32">
        <f>IF($B35="","",IF($B$2="Todos",SUMIFS(BD!$R$3:$R$5001,BD!$A$3:$A$5001,$B35),SUMIFS(BD!$R$3:$R$5001,BD!$A$3:$A$5001,$B35,BD!$B$3:$B$5001,$D$2)))</f>
        <v>0</v>
      </c>
      <c r="S35" s="32">
        <f>IF($B35="","",IF($B$2="Todos",SUMIFS(BD!$S$3:$S$5001,BD!$A$3:$A$5001,$B35),SUMIFS(BD!$S$3:$S$5001,BD!$A$3:$A$5001,$B35,BD!$B$3:$B$5001,$D$2)))</f>
        <v>0</v>
      </c>
      <c r="T35" s="46">
        <f>IF($B35="","",IF($B$2="Todos",SUMIFS(BD!$T$3:$T$5001,BD!$A$3:$A$5001,$B35),SUMIFS(BD!$T$3:$T$5001,BD!$A$3:$A$5001,$B35,BD!$B$3:$B$5001,$D$2)))</f>
        <v>0</v>
      </c>
      <c r="U35" s="32">
        <f>IF($B35="","",IF($B$2="Todos",SUMIFS(BD!$U$3:$U$5001,BD!$A$3:$A$5001,$B35),SUMIFS(BD!$U$3:$U$5001,BD!$A$3:$A$5001,$B35,BD!$B$3:$B$5001,$D$2)))</f>
        <v>0</v>
      </c>
      <c r="V35" s="32">
        <f>IF($B35="","",IF($B$2="Todos",SUMIFS(BD!$V$3:$V$5001,BD!$A$3:$A$5001,$B35),SUMIFS(BD!$V$3:$V$5001,BD!$A$3:$A$5001,$B35,BD!$B$3:$B$5001,$D$2)))</f>
        <v>0</v>
      </c>
      <c r="W35" s="32" t="str">
        <f>IF($B$2="Todos",IF(COUNT($C$162:$L$162)=0,"",SUM($C$162:$L$162)),IFERROR(INDEX($C$162:$L$162,MATCH($D$2,$C$138:$L$138,0)),""))</f>
        <v/>
      </c>
      <c r="X35" s="47" t="str">
        <f>IF(Y35="","",IF($B$2="Todos",IF($B$4&gt;0,$B$4,IF($B$2="Todos",IF(COUNT($C$232:$L$232)=0,"",SUM($C$232:$L$232)),IFERROR(INDEX($C$232:$L$232,MATCH($D$2,$C$208:$L$208,0)),""))),IFERROR(INDEX($C$232:$L$232,MATCH($D$2,$C$208:$L$208,0)),"")))</f>
        <v/>
      </c>
      <c r="Y35" s="32" t="str">
        <f>IF($B$2="Todos",IF(COUNT($C$197:$L$197)=0,"",SUM($C$197:$L$197)),IFERROR(INDEX($C$197:$L$197,MATCH($D$2,$C$173:$L$173,0)),""))</f>
        <v/>
      </c>
      <c r="Z35" s="48" t="str">
        <f>IF(AND(ISNUMBER(Y35),ISNUMBER(X35)),IF(X35&gt;0,Y35/X35,""),"")</f>
        <v/>
      </c>
      <c r="AA35" s="32" t="str">
        <f>IF($B$2="Todos",IF(COUNT($C$267:$L$267)=0,"",SUM($C$267:$L$267)),IFERROR(INDEX($C$267:$L$267,MATCH($D$2,$C$243:$L$243,0)),""))</f>
        <v/>
      </c>
      <c r="AB35" s="32">
        <f>IF($B35="","",IF($B$2="Todos",SUMIFS(BD!$AA$3:$AA$5001,BD!$A$3:$A$5001,$B35),SUMIFS(BD!$AA$3:$AA$5001,BD!$A$3:$A$5001,$B35,BD!$B$3:$B$5001,$D$2)))</f>
        <v>0</v>
      </c>
      <c r="AC35" s="32">
        <f>IF($B35="","",IF($B$2="Todos",SUMIFS(BD!$AB$3:$AB$5001,BD!$A$3:$A$5001,$B35),SUMIFS(BD!$AB$3:$AB$5001,BD!$A$3:$A$5001,$B35,BD!$B$3:$B$5001,$D$2)))</f>
        <v>0</v>
      </c>
      <c r="AD35" s="32">
        <f>IF($B35="","",IF($B$2="Todos",SUMIFS(BD!$AC$3:$AC$5001,BD!$A$3:$A$5001,$B35),SUMIFS(BD!$AC$3:$AC$5001,BD!$A$3:$A$5001,$B35,BD!$B$3:$B$5001,$D$2)))</f>
        <v>0</v>
      </c>
      <c r="AE35" s="32">
        <f>IF($B35="","",IF($B$2="Todos",SUMIFS(BD!$AD$3:$AD$5001,BD!$A$3:$A$5001,$B35),SUMIFS(BD!$AD$3:$AD$5001,BD!$A$3:$A$5001,$B35,BD!$B$3:$B$5001,$D$2)))</f>
        <v>0</v>
      </c>
      <c r="AF35" s="32">
        <f>IF($B35="","",IF($B$2="Todos",SUMIFS(BD!$AE$3:$AE$5001,BD!$A$3:$A$5001,$B35),SUMIFS(BD!$AE$3:$AE$5001,BD!$A$3:$A$5001,$B35,BD!$B$3:$B$5001,$D$2)))</f>
        <v>0</v>
      </c>
      <c r="AG35" s="32">
        <f>IF($B35="","",IF($B$2="Todos",SUMIFS(BD!$AF$3:$AF$5001,BD!$A$3:$A$5001,$B35),SUMIFS(BD!$AF$3:$AF$5001,BD!$A$3:$A$5001,$B35,BD!$B$3:$B$5001,$D$2)))</f>
        <v>0</v>
      </c>
      <c r="AH35" s="32">
        <f>IF($B35="","",IF($B$2="Todos",SUMIFS(BD!$AG$3:$AG$5001,BD!$A$3:$A$5001,$B35),SUMIFS(BD!$AG$3:$AG$5001,BD!$A$3:$A$5001,$B35,BD!$B$3:$B$5001,$D$2)))</f>
        <v>0</v>
      </c>
      <c r="AI35" s="49">
        <f>$B$5</f>
        <v>0.7</v>
      </c>
      <c r="AJ35" s="49">
        <f>$B$6</f>
        <v>0.9</v>
      </c>
      <c r="AY35" s="60">
        <f>IF(OR($B35="",N(VALUE($AH$336))=0),"",IF(INDEX($C35:$AH35,VALUE($AH$336))="","",IF(N(VALUE($AJ$336))=0,INDEX($C35:$AH35,VALUE($AH$336)),IF(N(INDEX($C35:$AH35,N(VALUE($AJ$336))))&gt;0,INDEX($C35:$AH35,VALUE($AH$336))/INDEX($C35:$AH35,N(VALUE($AJ$336))),""))))</f>
        <v>0</v>
      </c>
      <c r="AZ35" s="60">
        <f>IF(OR($B35="",N(VALUE($AI$336))=0),"",IF(INDEX($C35:$AH35,VALUE($AI$336))="","",IF(N(VALUE($AK$336))=0,INDEX($C35:$AH35,VALUE($AI$336)),IF(N(INDEX($C35:$AH35,N(VALUE($AK$336))))&gt;0,INDEX($C35:$AH35,VALUE($AI$336))/INDEX($C35:$AH35,N(VALUE($AK$336))),""))))</f>
        <v>0</v>
      </c>
      <c r="BA35" s="60">
        <f>IF(OR($B35="",N(VALUE($AP$336))=0),"",IF(INDEX($C35:$AH35,VALUE($AP$336))="","",IF(N(VALUE($AR$336))=0,INDEX($C35:$AH35,VALUE($AP$336)),IF(N(INDEX($C35:$AH35,N(VALUE($AR$336))))&gt;0,INDEX($C35:$AH35,VALUE($AP$336))/INDEX($C35:$AH35,N(VALUE($AR$336))),""))))</f>
        <v>0</v>
      </c>
      <c r="BB35" s="60">
        <f>IF(OR($B35="",N(VALUE($AQ$336))=0),"",IF(INDEX($C35:$AH35,VALUE($AQ$336))="","",IF(N(VALUE($AS$336))=0,INDEX($C35:$AH35,VALUE($AQ$336)),IF(N(INDEX($C35:$AH35,N(VALUE($AS$336))))&gt;0,INDEX($C35:$AH35,VALUE($AQ$336))/INDEX($C35:$AH35,N(VALUE($AS$336))),""))))</f>
        <v>0</v>
      </c>
      <c r="BD35" s="32" t="str">
        <f>IF(AND($A35=$B$9,ISNUMBER(X35)),X35,NA())</f>
        <v/>
      </c>
    </row>
    <row r="36">
      <c r="A36" s="28">
        <v>25</v>
      </c>
      <c r="B36" s="45">
        <f>IF($A36&lt;=DAY($D$7),$C$7+$A36-1,"")</f>
        <v>46320</v>
      </c>
      <c r="C36" s="32">
        <f>IF($B36="","",IF($B$2="Todos",SUMIFS(BD!$C$3:$C$5001,BD!$A$3:$A$5001,$B36),SUMIFS(BD!$C$3:$C$5001,BD!$A$3:$A$5001,$B36,BD!$B$3:$B$5001,$D$2)))</f>
        <v>0</v>
      </c>
      <c r="D36" s="32">
        <f>IF($B36="","",IF($B$2="Todos",SUMIFS(BD!$D$3:$D$5001,BD!$A$3:$A$5001,$B36),SUMIFS(BD!$D$3:$D$5001,BD!$A$3:$A$5001,$B36,BD!$B$3:$B$5001,$D$2)))</f>
        <v>0</v>
      </c>
      <c r="E36" s="46">
        <f>IF($B36="","",IF($B$2="Todos",SUMIFS(BD!$E$3:$E$5001,BD!$A$3:$A$5001,$B36),SUMIFS(BD!$E$3:$E$5001,BD!$A$3:$A$5001,$B36,BD!$B$3:$B$5001,$D$2)))</f>
        <v>0</v>
      </c>
      <c r="F36" s="32">
        <f>IF($B36="","",IF($B$2="Todos",SUMIFS(BD!$F$3:$F$5001,BD!$A$3:$A$5001,$B36),SUMIFS(BD!$F$3:$F$5001,BD!$A$3:$A$5001,$B36,BD!$B$3:$B$5001,$D$2)))</f>
        <v>0</v>
      </c>
      <c r="G36" s="32">
        <f>IF($B36="","",IF($B$2="Todos",SUMIFS(BD!$G$3:$G$5001,BD!$A$3:$A$5001,$B36),SUMIFS(BD!$G$3:$G$5001,BD!$A$3:$A$5001,$B36,BD!$B$3:$B$5001,$D$2)))</f>
        <v>0</v>
      </c>
      <c r="H36" s="32">
        <f>IF($B36="","",IF($B$2="Todos",SUMIFS(BD!$H$3:$H$5001,BD!$A$3:$A$5001,$B36),SUMIFS(BD!$H$3:$H$5001,BD!$A$3:$A$5001,$B36,BD!$B$3:$B$5001,$D$2)))</f>
        <v>0</v>
      </c>
      <c r="I36" s="32">
        <f>IF($B36="","",IF($B$2="Todos",SUMIFS(BD!$I$3:$I$5001,BD!$A$3:$A$5001,$B36),SUMIFS(BD!$I$3:$I$5001,BD!$A$3:$A$5001,$B36,BD!$B$3:$B$5001,$D$2)))</f>
        <v>0</v>
      </c>
      <c r="J36" s="32">
        <f>IF($B36="","",IF($B$2="Todos",SUMIFS(BD!$J$3:$J$5001,BD!$A$3:$A$5001,$B36),SUMIFS(BD!$J$3:$J$5001,BD!$A$3:$A$5001,$B36,BD!$B$3:$B$5001,$D$2)))</f>
        <v>0</v>
      </c>
      <c r="K36" s="32">
        <f>IF($B36="","",IF($B$2="Todos",SUMIFS(BD!$K$3:$K$5001,BD!$A$3:$A$5001,$B36),SUMIFS(BD!$K$3:$K$5001,BD!$A$3:$A$5001,$B36,BD!$B$3:$B$5001,$D$2)))</f>
        <v>0</v>
      </c>
      <c r="L36" s="32">
        <f>IF($B36="","",IF($B$2="Todos",SUMIFS(BD!$L$3:$L$5001,BD!$A$3:$A$5001,$B36),SUMIFS(BD!$L$3:$L$5001,BD!$A$3:$A$5001,$B36,BD!$B$3:$B$5001,$D$2)))</f>
        <v>0</v>
      </c>
      <c r="M36" s="32">
        <f>IF($B36="","",IF($B$2="Todos",SUMIFS(BD!$M$3:$M$5001,BD!$A$3:$A$5001,$B36),SUMIFS(BD!$M$3:$M$5001,BD!$A$3:$A$5001,$B36,BD!$B$3:$B$5001,$D$2)))</f>
        <v>0</v>
      </c>
      <c r="N36" s="32">
        <f>IF($B36="","",IF($B$2="Todos",SUMIFS(BD!$N$3:$N$5001,BD!$A$3:$A$5001,$B36),SUMIFS(BD!$N$3:$N$5001,BD!$A$3:$A$5001,$B36,BD!$B$3:$B$5001,$D$2)))</f>
        <v>0</v>
      </c>
      <c r="O36" s="32">
        <f>IF($B36="","",IF($B$2="Todos",SUMIFS(BD!$O$3:$O$5001,BD!$A$3:$A$5001,$B36),SUMIFS(BD!$O$3:$O$5001,BD!$A$3:$A$5001,$B36,BD!$B$3:$B$5001,$D$2)))</f>
        <v>0</v>
      </c>
      <c r="P36" s="32">
        <f>IF($B36="","",IF($B$2="Todos",SUMIFS(BD!$P$3:$P$5001,BD!$A$3:$A$5001,$B36),SUMIFS(BD!$P$3:$P$5001,BD!$A$3:$A$5001,$B36,BD!$B$3:$B$5001,$D$2)))</f>
        <v>0</v>
      </c>
      <c r="Q36" s="32">
        <f>IF($B36="","",IF($B$2="Todos",SUMIFS(BD!$Q$3:$Q$5001,BD!$A$3:$A$5001,$B36),SUMIFS(BD!$Q$3:$Q$5001,BD!$A$3:$A$5001,$B36,BD!$B$3:$B$5001,$D$2)))</f>
        <v>0</v>
      </c>
      <c r="R36" s="32">
        <f>IF($B36="","",IF($B$2="Todos",SUMIFS(BD!$R$3:$R$5001,BD!$A$3:$A$5001,$B36),SUMIFS(BD!$R$3:$R$5001,BD!$A$3:$A$5001,$B36,BD!$B$3:$B$5001,$D$2)))</f>
        <v>0</v>
      </c>
      <c r="S36" s="32">
        <f>IF($B36="","",IF($B$2="Todos",SUMIFS(BD!$S$3:$S$5001,BD!$A$3:$A$5001,$B36),SUMIFS(BD!$S$3:$S$5001,BD!$A$3:$A$5001,$B36,BD!$B$3:$B$5001,$D$2)))</f>
        <v>0</v>
      </c>
      <c r="T36" s="46">
        <f>IF($B36="","",IF($B$2="Todos",SUMIFS(BD!$T$3:$T$5001,BD!$A$3:$A$5001,$B36),SUMIFS(BD!$T$3:$T$5001,BD!$A$3:$A$5001,$B36,BD!$B$3:$B$5001,$D$2)))</f>
        <v>0</v>
      </c>
      <c r="U36" s="32">
        <f>IF($B36="","",IF($B$2="Todos",SUMIFS(BD!$U$3:$U$5001,BD!$A$3:$A$5001,$B36),SUMIFS(BD!$U$3:$U$5001,BD!$A$3:$A$5001,$B36,BD!$B$3:$B$5001,$D$2)))</f>
        <v>0</v>
      </c>
      <c r="V36" s="32">
        <f>IF($B36="","",IF($B$2="Todos",SUMIFS(BD!$V$3:$V$5001,BD!$A$3:$A$5001,$B36),SUMIFS(BD!$V$3:$V$5001,BD!$A$3:$A$5001,$B36,BD!$B$3:$B$5001,$D$2)))</f>
        <v>0</v>
      </c>
      <c r="W36" s="32" t="str">
        <f>IF($B$2="Todos",IF(COUNT($C$163:$L$163)=0,"",SUM($C$163:$L$163)),IFERROR(INDEX($C$163:$L$163,MATCH($D$2,$C$138:$L$138,0)),""))</f>
        <v/>
      </c>
      <c r="X36" s="47" t="str">
        <f>IF(Y36="","",IF($B$2="Todos",IF($B$4&gt;0,$B$4,IF($B$2="Todos",IF(COUNT($C$233:$L$233)=0,"",SUM($C$233:$L$233)),IFERROR(INDEX($C$233:$L$233,MATCH($D$2,$C$208:$L$208,0)),""))),IFERROR(INDEX($C$233:$L$233,MATCH($D$2,$C$208:$L$208,0)),"")))</f>
        <v/>
      </c>
      <c r="Y36" s="32" t="str">
        <f>IF($B$2="Todos",IF(COUNT($C$198:$L$198)=0,"",SUM($C$198:$L$198)),IFERROR(INDEX($C$198:$L$198,MATCH($D$2,$C$173:$L$173,0)),""))</f>
        <v/>
      </c>
      <c r="Z36" s="48" t="str">
        <f>IF(AND(ISNUMBER(Y36),ISNUMBER(X36)),IF(X36&gt;0,Y36/X36,""),"")</f>
        <v/>
      </c>
      <c r="AA36" s="32" t="str">
        <f>IF($B$2="Todos",IF(COUNT($C$268:$L$268)=0,"",SUM($C$268:$L$268)),IFERROR(INDEX($C$268:$L$268,MATCH($D$2,$C$243:$L$243,0)),""))</f>
        <v/>
      </c>
      <c r="AB36" s="32">
        <f>IF($B36="","",IF($B$2="Todos",SUMIFS(BD!$AA$3:$AA$5001,BD!$A$3:$A$5001,$B36),SUMIFS(BD!$AA$3:$AA$5001,BD!$A$3:$A$5001,$B36,BD!$B$3:$B$5001,$D$2)))</f>
        <v>0</v>
      </c>
      <c r="AC36" s="32">
        <f>IF($B36="","",IF($B$2="Todos",SUMIFS(BD!$AB$3:$AB$5001,BD!$A$3:$A$5001,$B36),SUMIFS(BD!$AB$3:$AB$5001,BD!$A$3:$A$5001,$B36,BD!$B$3:$B$5001,$D$2)))</f>
        <v>0</v>
      </c>
      <c r="AD36" s="32">
        <f>IF($B36="","",IF($B$2="Todos",SUMIFS(BD!$AC$3:$AC$5001,BD!$A$3:$A$5001,$B36),SUMIFS(BD!$AC$3:$AC$5001,BD!$A$3:$A$5001,$B36,BD!$B$3:$B$5001,$D$2)))</f>
        <v>0</v>
      </c>
      <c r="AE36" s="32">
        <f>IF($B36="","",IF($B$2="Todos",SUMIFS(BD!$AD$3:$AD$5001,BD!$A$3:$A$5001,$B36),SUMIFS(BD!$AD$3:$AD$5001,BD!$A$3:$A$5001,$B36,BD!$B$3:$B$5001,$D$2)))</f>
        <v>0</v>
      </c>
      <c r="AF36" s="32">
        <f>IF($B36="","",IF($B$2="Todos",SUMIFS(BD!$AE$3:$AE$5001,BD!$A$3:$A$5001,$B36),SUMIFS(BD!$AE$3:$AE$5001,BD!$A$3:$A$5001,$B36,BD!$B$3:$B$5001,$D$2)))</f>
        <v>0</v>
      </c>
      <c r="AG36" s="32">
        <f>IF($B36="","",IF($B$2="Todos",SUMIFS(BD!$AF$3:$AF$5001,BD!$A$3:$A$5001,$B36),SUMIFS(BD!$AF$3:$AF$5001,BD!$A$3:$A$5001,$B36,BD!$B$3:$B$5001,$D$2)))</f>
        <v>0</v>
      </c>
      <c r="AH36" s="32">
        <f>IF($B36="","",IF($B$2="Todos",SUMIFS(BD!$AG$3:$AG$5001,BD!$A$3:$A$5001,$B36),SUMIFS(BD!$AG$3:$AG$5001,BD!$A$3:$A$5001,$B36,BD!$B$3:$B$5001,$D$2)))</f>
        <v>0</v>
      </c>
      <c r="AI36" s="49">
        <f>$B$5</f>
        <v>0.7</v>
      </c>
      <c r="AJ36" s="49">
        <f>$B$6</f>
        <v>0.9</v>
      </c>
      <c r="AY36" s="60">
        <f>IF(OR($B36="",N(VALUE($AH$336))=0),"",IF(INDEX($C36:$AH36,VALUE($AH$336))="","",IF(N(VALUE($AJ$336))=0,INDEX($C36:$AH36,VALUE($AH$336)),IF(N(INDEX($C36:$AH36,N(VALUE($AJ$336))))&gt;0,INDEX($C36:$AH36,VALUE($AH$336))/INDEX($C36:$AH36,N(VALUE($AJ$336))),""))))</f>
        <v>0</v>
      </c>
      <c r="AZ36" s="60">
        <f>IF(OR($B36="",N(VALUE($AI$336))=0),"",IF(INDEX($C36:$AH36,VALUE($AI$336))="","",IF(N(VALUE($AK$336))=0,INDEX($C36:$AH36,VALUE($AI$336)),IF(N(INDEX($C36:$AH36,N(VALUE($AK$336))))&gt;0,INDEX($C36:$AH36,VALUE($AI$336))/INDEX($C36:$AH36,N(VALUE($AK$336))),""))))</f>
        <v>0</v>
      </c>
      <c r="BA36" s="60">
        <f>IF(OR($B36="",N(VALUE($AP$336))=0),"",IF(INDEX($C36:$AH36,VALUE($AP$336))="","",IF(N(VALUE($AR$336))=0,INDEX($C36:$AH36,VALUE($AP$336)),IF(N(INDEX($C36:$AH36,N(VALUE($AR$336))))&gt;0,INDEX($C36:$AH36,VALUE($AP$336))/INDEX($C36:$AH36,N(VALUE($AR$336))),""))))</f>
        <v>0</v>
      </c>
      <c r="BB36" s="60">
        <f>IF(OR($B36="",N(VALUE($AQ$336))=0),"",IF(INDEX($C36:$AH36,VALUE($AQ$336))="","",IF(N(VALUE($AS$336))=0,INDEX($C36:$AH36,VALUE($AQ$336)),IF(N(INDEX($C36:$AH36,N(VALUE($AS$336))))&gt;0,INDEX($C36:$AH36,VALUE($AQ$336))/INDEX($C36:$AH36,N(VALUE($AS$336))),""))))</f>
        <v>0</v>
      </c>
      <c r="BD36" s="32" t="str">
        <f>IF(AND($A36=$B$9,ISNUMBER(X36)),X36,NA())</f>
        <v/>
      </c>
    </row>
    <row r="37">
      <c r="A37" s="28">
        <v>26</v>
      </c>
      <c r="B37" s="45">
        <f>IF($A37&lt;=DAY($D$7),$C$7+$A37-1,"")</f>
        <v>46321</v>
      </c>
      <c r="C37" s="32">
        <f>IF($B37="","",IF($B$2="Todos",SUMIFS(BD!$C$3:$C$5001,BD!$A$3:$A$5001,$B37),SUMIFS(BD!$C$3:$C$5001,BD!$A$3:$A$5001,$B37,BD!$B$3:$B$5001,$D$2)))</f>
        <v>0</v>
      </c>
      <c r="D37" s="32">
        <f>IF($B37="","",IF($B$2="Todos",SUMIFS(BD!$D$3:$D$5001,BD!$A$3:$A$5001,$B37),SUMIFS(BD!$D$3:$D$5001,BD!$A$3:$A$5001,$B37,BD!$B$3:$B$5001,$D$2)))</f>
        <v>0</v>
      </c>
      <c r="E37" s="46">
        <f>IF($B37="","",IF($B$2="Todos",SUMIFS(BD!$E$3:$E$5001,BD!$A$3:$A$5001,$B37),SUMIFS(BD!$E$3:$E$5001,BD!$A$3:$A$5001,$B37,BD!$B$3:$B$5001,$D$2)))</f>
        <v>0</v>
      </c>
      <c r="F37" s="32">
        <f>IF($B37="","",IF($B$2="Todos",SUMIFS(BD!$F$3:$F$5001,BD!$A$3:$A$5001,$B37),SUMIFS(BD!$F$3:$F$5001,BD!$A$3:$A$5001,$B37,BD!$B$3:$B$5001,$D$2)))</f>
        <v>0</v>
      </c>
      <c r="G37" s="32">
        <f>IF($B37="","",IF($B$2="Todos",SUMIFS(BD!$G$3:$G$5001,BD!$A$3:$A$5001,$B37),SUMIFS(BD!$G$3:$G$5001,BD!$A$3:$A$5001,$B37,BD!$B$3:$B$5001,$D$2)))</f>
        <v>0</v>
      </c>
      <c r="H37" s="32">
        <f>IF($B37="","",IF($B$2="Todos",SUMIFS(BD!$H$3:$H$5001,BD!$A$3:$A$5001,$B37),SUMIFS(BD!$H$3:$H$5001,BD!$A$3:$A$5001,$B37,BD!$B$3:$B$5001,$D$2)))</f>
        <v>0</v>
      </c>
      <c r="I37" s="32">
        <f>IF($B37="","",IF($B$2="Todos",SUMIFS(BD!$I$3:$I$5001,BD!$A$3:$A$5001,$B37),SUMIFS(BD!$I$3:$I$5001,BD!$A$3:$A$5001,$B37,BD!$B$3:$B$5001,$D$2)))</f>
        <v>0</v>
      </c>
      <c r="J37" s="32">
        <f>IF($B37="","",IF($B$2="Todos",SUMIFS(BD!$J$3:$J$5001,BD!$A$3:$A$5001,$B37),SUMIFS(BD!$J$3:$J$5001,BD!$A$3:$A$5001,$B37,BD!$B$3:$B$5001,$D$2)))</f>
        <v>0</v>
      </c>
      <c r="K37" s="32">
        <f>IF($B37="","",IF($B$2="Todos",SUMIFS(BD!$K$3:$K$5001,BD!$A$3:$A$5001,$B37),SUMIFS(BD!$K$3:$K$5001,BD!$A$3:$A$5001,$B37,BD!$B$3:$B$5001,$D$2)))</f>
        <v>0</v>
      </c>
      <c r="L37" s="32">
        <f>IF($B37="","",IF($B$2="Todos",SUMIFS(BD!$L$3:$L$5001,BD!$A$3:$A$5001,$B37),SUMIFS(BD!$L$3:$L$5001,BD!$A$3:$A$5001,$B37,BD!$B$3:$B$5001,$D$2)))</f>
        <v>0</v>
      </c>
      <c r="M37" s="32">
        <f>IF($B37="","",IF($B$2="Todos",SUMIFS(BD!$M$3:$M$5001,BD!$A$3:$A$5001,$B37),SUMIFS(BD!$M$3:$M$5001,BD!$A$3:$A$5001,$B37,BD!$B$3:$B$5001,$D$2)))</f>
        <v>0</v>
      </c>
      <c r="N37" s="32">
        <f>IF($B37="","",IF($B$2="Todos",SUMIFS(BD!$N$3:$N$5001,BD!$A$3:$A$5001,$B37),SUMIFS(BD!$N$3:$N$5001,BD!$A$3:$A$5001,$B37,BD!$B$3:$B$5001,$D$2)))</f>
        <v>0</v>
      </c>
      <c r="O37" s="32">
        <f>IF($B37="","",IF($B$2="Todos",SUMIFS(BD!$O$3:$O$5001,BD!$A$3:$A$5001,$B37),SUMIFS(BD!$O$3:$O$5001,BD!$A$3:$A$5001,$B37,BD!$B$3:$B$5001,$D$2)))</f>
        <v>0</v>
      </c>
      <c r="P37" s="32">
        <f>IF($B37="","",IF($B$2="Todos",SUMIFS(BD!$P$3:$P$5001,BD!$A$3:$A$5001,$B37),SUMIFS(BD!$P$3:$P$5001,BD!$A$3:$A$5001,$B37,BD!$B$3:$B$5001,$D$2)))</f>
        <v>0</v>
      </c>
      <c r="Q37" s="32">
        <f>IF($B37="","",IF($B$2="Todos",SUMIFS(BD!$Q$3:$Q$5001,BD!$A$3:$A$5001,$B37),SUMIFS(BD!$Q$3:$Q$5001,BD!$A$3:$A$5001,$B37,BD!$B$3:$B$5001,$D$2)))</f>
        <v>0</v>
      </c>
      <c r="R37" s="32">
        <f>IF($B37="","",IF($B$2="Todos",SUMIFS(BD!$R$3:$R$5001,BD!$A$3:$A$5001,$B37),SUMIFS(BD!$R$3:$R$5001,BD!$A$3:$A$5001,$B37,BD!$B$3:$B$5001,$D$2)))</f>
        <v>0</v>
      </c>
      <c r="S37" s="32">
        <f>IF($B37="","",IF($B$2="Todos",SUMIFS(BD!$S$3:$S$5001,BD!$A$3:$A$5001,$B37),SUMIFS(BD!$S$3:$S$5001,BD!$A$3:$A$5001,$B37,BD!$B$3:$B$5001,$D$2)))</f>
        <v>0</v>
      </c>
      <c r="T37" s="46">
        <f>IF($B37="","",IF($B$2="Todos",SUMIFS(BD!$T$3:$T$5001,BD!$A$3:$A$5001,$B37),SUMIFS(BD!$T$3:$T$5001,BD!$A$3:$A$5001,$B37,BD!$B$3:$B$5001,$D$2)))</f>
        <v>0</v>
      </c>
      <c r="U37" s="32">
        <f>IF($B37="","",IF($B$2="Todos",SUMIFS(BD!$U$3:$U$5001,BD!$A$3:$A$5001,$B37),SUMIFS(BD!$U$3:$U$5001,BD!$A$3:$A$5001,$B37,BD!$B$3:$B$5001,$D$2)))</f>
        <v>0</v>
      </c>
      <c r="V37" s="32">
        <f>IF($B37="","",IF($B$2="Todos",SUMIFS(BD!$V$3:$V$5001,BD!$A$3:$A$5001,$B37),SUMIFS(BD!$V$3:$V$5001,BD!$A$3:$A$5001,$B37,BD!$B$3:$B$5001,$D$2)))</f>
        <v>0</v>
      </c>
      <c r="W37" s="32" t="str">
        <f>IF($B$2="Todos",IF(COUNT($C$164:$L$164)=0,"",SUM($C$164:$L$164)),IFERROR(INDEX($C$164:$L$164,MATCH($D$2,$C$138:$L$138,0)),""))</f>
        <v/>
      </c>
      <c r="X37" s="47" t="str">
        <f>IF(Y37="","",IF($B$2="Todos",IF($B$4&gt;0,$B$4,IF($B$2="Todos",IF(COUNT($C$234:$L$234)=0,"",SUM($C$234:$L$234)),IFERROR(INDEX($C$234:$L$234,MATCH($D$2,$C$208:$L$208,0)),""))),IFERROR(INDEX($C$234:$L$234,MATCH($D$2,$C$208:$L$208,0)),"")))</f>
        <v/>
      </c>
      <c r="Y37" s="32" t="str">
        <f>IF($B$2="Todos",IF(COUNT($C$199:$L$199)=0,"",SUM($C$199:$L$199)),IFERROR(INDEX($C$199:$L$199,MATCH($D$2,$C$173:$L$173,0)),""))</f>
        <v/>
      </c>
      <c r="Z37" s="48" t="str">
        <f>IF(AND(ISNUMBER(Y37),ISNUMBER(X37)),IF(X37&gt;0,Y37/X37,""),"")</f>
        <v/>
      </c>
      <c r="AA37" s="32" t="str">
        <f>IF($B$2="Todos",IF(COUNT($C$269:$L$269)=0,"",SUM($C$269:$L$269)),IFERROR(INDEX($C$269:$L$269,MATCH($D$2,$C$243:$L$243,0)),""))</f>
        <v/>
      </c>
      <c r="AB37" s="32">
        <f>IF($B37="","",IF($B$2="Todos",SUMIFS(BD!$AA$3:$AA$5001,BD!$A$3:$A$5001,$B37),SUMIFS(BD!$AA$3:$AA$5001,BD!$A$3:$A$5001,$B37,BD!$B$3:$B$5001,$D$2)))</f>
        <v>0</v>
      </c>
      <c r="AC37" s="32">
        <f>IF($B37="","",IF($B$2="Todos",SUMIFS(BD!$AB$3:$AB$5001,BD!$A$3:$A$5001,$B37),SUMIFS(BD!$AB$3:$AB$5001,BD!$A$3:$A$5001,$B37,BD!$B$3:$B$5001,$D$2)))</f>
        <v>0</v>
      </c>
      <c r="AD37" s="32">
        <f>IF($B37="","",IF($B$2="Todos",SUMIFS(BD!$AC$3:$AC$5001,BD!$A$3:$A$5001,$B37),SUMIFS(BD!$AC$3:$AC$5001,BD!$A$3:$A$5001,$B37,BD!$B$3:$B$5001,$D$2)))</f>
        <v>0</v>
      </c>
      <c r="AE37" s="32">
        <f>IF($B37="","",IF($B$2="Todos",SUMIFS(BD!$AD$3:$AD$5001,BD!$A$3:$A$5001,$B37),SUMIFS(BD!$AD$3:$AD$5001,BD!$A$3:$A$5001,$B37,BD!$B$3:$B$5001,$D$2)))</f>
        <v>0</v>
      </c>
      <c r="AF37" s="32">
        <f>IF($B37="","",IF($B$2="Todos",SUMIFS(BD!$AE$3:$AE$5001,BD!$A$3:$A$5001,$B37),SUMIFS(BD!$AE$3:$AE$5001,BD!$A$3:$A$5001,$B37,BD!$B$3:$B$5001,$D$2)))</f>
        <v>0</v>
      </c>
      <c r="AG37" s="32">
        <f>IF($B37="","",IF($B$2="Todos",SUMIFS(BD!$AF$3:$AF$5001,BD!$A$3:$A$5001,$B37),SUMIFS(BD!$AF$3:$AF$5001,BD!$A$3:$A$5001,$B37,BD!$B$3:$B$5001,$D$2)))</f>
        <v>0</v>
      </c>
      <c r="AH37" s="32">
        <f>IF($B37="","",IF($B$2="Todos",SUMIFS(BD!$AG$3:$AG$5001,BD!$A$3:$A$5001,$B37),SUMIFS(BD!$AG$3:$AG$5001,BD!$A$3:$A$5001,$B37,BD!$B$3:$B$5001,$D$2)))</f>
        <v>0</v>
      </c>
      <c r="AI37" s="49">
        <f>$B$5</f>
        <v>0.7</v>
      </c>
      <c r="AJ37" s="49">
        <f>$B$6</f>
        <v>0.9</v>
      </c>
      <c r="AY37" s="60">
        <f>IF(OR($B37="",N(VALUE($AH$336))=0),"",IF(INDEX($C37:$AH37,VALUE($AH$336))="","",IF(N(VALUE($AJ$336))=0,INDEX($C37:$AH37,VALUE($AH$336)),IF(N(INDEX($C37:$AH37,N(VALUE($AJ$336))))&gt;0,INDEX($C37:$AH37,VALUE($AH$336))/INDEX($C37:$AH37,N(VALUE($AJ$336))),""))))</f>
        <v>0</v>
      </c>
      <c r="AZ37" s="60">
        <f>IF(OR($B37="",N(VALUE($AI$336))=0),"",IF(INDEX($C37:$AH37,VALUE($AI$336))="","",IF(N(VALUE($AK$336))=0,INDEX($C37:$AH37,VALUE($AI$336)),IF(N(INDEX($C37:$AH37,N(VALUE($AK$336))))&gt;0,INDEX($C37:$AH37,VALUE($AI$336))/INDEX($C37:$AH37,N(VALUE($AK$336))),""))))</f>
        <v>0</v>
      </c>
      <c r="BA37" s="60">
        <f>IF(OR($B37="",N(VALUE($AP$336))=0),"",IF(INDEX($C37:$AH37,VALUE($AP$336))="","",IF(N(VALUE($AR$336))=0,INDEX($C37:$AH37,VALUE($AP$336)),IF(N(INDEX($C37:$AH37,N(VALUE($AR$336))))&gt;0,INDEX($C37:$AH37,VALUE($AP$336))/INDEX($C37:$AH37,N(VALUE($AR$336))),""))))</f>
        <v>0</v>
      </c>
      <c r="BB37" s="60">
        <f>IF(OR($B37="",N(VALUE($AQ$336))=0),"",IF(INDEX($C37:$AH37,VALUE($AQ$336))="","",IF(N(VALUE($AS$336))=0,INDEX($C37:$AH37,VALUE($AQ$336)),IF(N(INDEX($C37:$AH37,N(VALUE($AS$336))))&gt;0,INDEX($C37:$AH37,VALUE($AQ$336))/INDEX($C37:$AH37,N(VALUE($AS$336))),""))))</f>
        <v>0</v>
      </c>
      <c r="BD37" s="32" t="str">
        <f>IF(AND($A37=$B$9,ISNUMBER(X37)),X37,NA())</f>
        <v/>
      </c>
    </row>
    <row r="38">
      <c r="A38" s="28">
        <v>27</v>
      </c>
      <c r="B38" s="45">
        <f>IF($A38&lt;=DAY($D$7),$C$7+$A38-1,"")</f>
        <v>46322</v>
      </c>
      <c r="C38" s="32">
        <f>IF($B38="","",IF($B$2="Todos",SUMIFS(BD!$C$3:$C$5001,BD!$A$3:$A$5001,$B38),SUMIFS(BD!$C$3:$C$5001,BD!$A$3:$A$5001,$B38,BD!$B$3:$B$5001,$D$2)))</f>
        <v>0</v>
      </c>
      <c r="D38" s="32">
        <f>IF($B38="","",IF($B$2="Todos",SUMIFS(BD!$D$3:$D$5001,BD!$A$3:$A$5001,$B38),SUMIFS(BD!$D$3:$D$5001,BD!$A$3:$A$5001,$B38,BD!$B$3:$B$5001,$D$2)))</f>
        <v>0</v>
      </c>
      <c r="E38" s="46">
        <f>IF($B38="","",IF($B$2="Todos",SUMIFS(BD!$E$3:$E$5001,BD!$A$3:$A$5001,$B38),SUMIFS(BD!$E$3:$E$5001,BD!$A$3:$A$5001,$B38,BD!$B$3:$B$5001,$D$2)))</f>
        <v>0</v>
      </c>
      <c r="F38" s="32">
        <f>IF($B38="","",IF($B$2="Todos",SUMIFS(BD!$F$3:$F$5001,BD!$A$3:$A$5001,$B38),SUMIFS(BD!$F$3:$F$5001,BD!$A$3:$A$5001,$B38,BD!$B$3:$B$5001,$D$2)))</f>
        <v>0</v>
      </c>
      <c r="G38" s="32">
        <f>IF($B38="","",IF($B$2="Todos",SUMIFS(BD!$G$3:$G$5001,BD!$A$3:$A$5001,$B38),SUMIFS(BD!$G$3:$G$5001,BD!$A$3:$A$5001,$B38,BD!$B$3:$B$5001,$D$2)))</f>
        <v>0</v>
      </c>
      <c r="H38" s="32">
        <f>IF($B38="","",IF($B$2="Todos",SUMIFS(BD!$H$3:$H$5001,BD!$A$3:$A$5001,$B38),SUMIFS(BD!$H$3:$H$5001,BD!$A$3:$A$5001,$B38,BD!$B$3:$B$5001,$D$2)))</f>
        <v>0</v>
      </c>
      <c r="I38" s="32">
        <f>IF($B38="","",IF($B$2="Todos",SUMIFS(BD!$I$3:$I$5001,BD!$A$3:$A$5001,$B38),SUMIFS(BD!$I$3:$I$5001,BD!$A$3:$A$5001,$B38,BD!$B$3:$B$5001,$D$2)))</f>
        <v>0</v>
      </c>
      <c r="J38" s="32">
        <f>IF($B38="","",IF($B$2="Todos",SUMIFS(BD!$J$3:$J$5001,BD!$A$3:$A$5001,$B38),SUMIFS(BD!$J$3:$J$5001,BD!$A$3:$A$5001,$B38,BD!$B$3:$B$5001,$D$2)))</f>
        <v>0</v>
      </c>
      <c r="K38" s="32">
        <f>IF($B38="","",IF($B$2="Todos",SUMIFS(BD!$K$3:$K$5001,BD!$A$3:$A$5001,$B38),SUMIFS(BD!$K$3:$K$5001,BD!$A$3:$A$5001,$B38,BD!$B$3:$B$5001,$D$2)))</f>
        <v>0</v>
      </c>
      <c r="L38" s="32">
        <f>IF($B38="","",IF($B$2="Todos",SUMIFS(BD!$L$3:$L$5001,BD!$A$3:$A$5001,$B38),SUMIFS(BD!$L$3:$L$5001,BD!$A$3:$A$5001,$B38,BD!$B$3:$B$5001,$D$2)))</f>
        <v>0</v>
      </c>
      <c r="M38" s="32">
        <f>IF($B38="","",IF($B$2="Todos",SUMIFS(BD!$M$3:$M$5001,BD!$A$3:$A$5001,$B38),SUMIFS(BD!$M$3:$M$5001,BD!$A$3:$A$5001,$B38,BD!$B$3:$B$5001,$D$2)))</f>
        <v>0</v>
      </c>
      <c r="N38" s="32">
        <f>IF($B38="","",IF($B$2="Todos",SUMIFS(BD!$N$3:$N$5001,BD!$A$3:$A$5001,$B38),SUMIFS(BD!$N$3:$N$5001,BD!$A$3:$A$5001,$B38,BD!$B$3:$B$5001,$D$2)))</f>
        <v>0</v>
      </c>
      <c r="O38" s="32">
        <f>IF($B38="","",IF($B$2="Todos",SUMIFS(BD!$O$3:$O$5001,BD!$A$3:$A$5001,$B38),SUMIFS(BD!$O$3:$O$5001,BD!$A$3:$A$5001,$B38,BD!$B$3:$B$5001,$D$2)))</f>
        <v>0</v>
      </c>
      <c r="P38" s="32">
        <f>IF($B38="","",IF($B$2="Todos",SUMIFS(BD!$P$3:$P$5001,BD!$A$3:$A$5001,$B38),SUMIFS(BD!$P$3:$P$5001,BD!$A$3:$A$5001,$B38,BD!$B$3:$B$5001,$D$2)))</f>
        <v>0</v>
      </c>
      <c r="Q38" s="32">
        <f>IF($B38="","",IF($B$2="Todos",SUMIFS(BD!$Q$3:$Q$5001,BD!$A$3:$A$5001,$B38),SUMIFS(BD!$Q$3:$Q$5001,BD!$A$3:$A$5001,$B38,BD!$B$3:$B$5001,$D$2)))</f>
        <v>0</v>
      </c>
      <c r="R38" s="32">
        <f>IF($B38="","",IF($B$2="Todos",SUMIFS(BD!$R$3:$R$5001,BD!$A$3:$A$5001,$B38),SUMIFS(BD!$R$3:$R$5001,BD!$A$3:$A$5001,$B38,BD!$B$3:$B$5001,$D$2)))</f>
        <v>0</v>
      </c>
      <c r="S38" s="32">
        <f>IF($B38="","",IF($B$2="Todos",SUMIFS(BD!$S$3:$S$5001,BD!$A$3:$A$5001,$B38),SUMIFS(BD!$S$3:$S$5001,BD!$A$3:$A$5001,$B38,BD!$B$3:$B$5001,$D$2)))</f>
        <v>0</v>
      </c>
      <c r="T38" s="46">
        <f>IF($B38="","",IF($B$2="Todos",SUMIFS(BD!$T$3:$T$5001,BD!$A$3:$A$5001,$B38),SUMIFS(BD!$T$3:$T$5001,BD!$A$3:$A$5001,$B38,BD!$B$3:$B$5001,$D$2)))</f>
        <v>0</v>
      </c>
      <c r="U38" s="32">
        <f>IF($B38="","",IF($B$2="Todos",SUMIFS(BD!$U$3:$U$5001,BD!$A$3:$A$5001,$B38),SUMIFS(BD!$U$3:$U$5001,BD!$A$3:$A$5001,$B38,BD!$B$3:$B$5001,$D$2)))</f>
        <v>0</v>
      </c>
      <c r="V38" s="32">
        <f>IF($B38="","",IF($B$2="Todos",SUMIFS(BD!$V$3:$V$5001,BD!$A$3:$A$5001,$B38),SUMIFS(BD!$V$3:$V$5001,BD!$A$3:$A$5001,$B38,BD!$B$3:$B$5001,$D$2)))</f>
        <v>0</v>
      </c>
      <c r="W38" s="32" t="str">
        <f>IF($B$2="Todos",IF(COUNT($C$165:$L$165)=0,"",SUM($C$165:$L$165)),IFERROR(INDEX($C$165:$L$165,MATCH($D$2,$C$138:$L$138,0)),""))</f>
        <v/>
      </c>
      <c r="X38" s="47" t="str">
        <f>IF(Y38="","",IF($B$2="Todos",IF($B$4&gt;0,$B$4,IF($B$2="Todos",IF(COUNT($C$235:$L$235)=0,"",SUM($C$235:$L$235)),IFERROR(INDEX($C$235:$L$235,MATCH($D$2,$C$208:$L$208,0)),""))),IFERROR(INDEX($C$235:$L$235,MATCH($D$2,$C$208:$L$208,0)),"")))</f>
        <v/>
      </c>
      <c r="Y38" s="32" t="str">
        <f>IF($B$2="Todos",IF(COUNT($C$200:$L$200)=0,"",SUM($C$200:$L$200)),IFERROR(INDEX($C$200:$L$200,MATCH($D$2,$C$173:$L$173,0)),""))</f>
        <v/>
      </c>
      <c r="Z38" s="48" t="str">
        <f>IF(AND(ISNUMBER(Y38),ISNUMBER(X38)),IF(X38&gt;0,Y38/X38,""),"")</f>
        <v/>
      </c>
      <c r="AA38" s="32" t="str">
        <f>IF($B$2="Todos",IF(COUNT($C$270:$L$270)=0,"",SUM($C$270:$L$270)),IFERROR(INDEX($C$270:$L$270,MATCH($D$2,$C$243:$L$243,0)),""))</f>
        <v/>
      </c>
      <c r="AB38" s="32">
        <f>IF($B38="","",IF($B$2="Todos",SUMIFS(BD!$AA$3:$AA$5001,BD!$A$3:$A$5001,$B38),SUMIFS(BD!$AA$3:$AA$5001,BD!$A$3:$A$5001,$B38,BD!$B$3:$B$5001,$D$2)))</f>
        <v>0</v>
      </c>
      <c r="AC38" s="32">
        <f>IF($B38="","",IF($B$2="Todos",SUMIFS(BD!$AB$3:$AB$5001,BD!$A$3:$A$5001,$B38),SUMIFS(BD!$AB$3:$AB$5001,BD!$A$3:$A$5001,$B38,BD!$B$3:$B$5001,$D$2)))</f>
        <v>0</v>
      </c>
      <c r="AD38" s="32">
        <f>IF($B38="","",IF($B$2="Todos",SUMIFS(BD!$AC$3:$AC$5001,BD!$A$3:$A$5001,$B38),SUMIFS(BD!$AC$3:$AC$5001,BD!$A$3:$A$5001,$B38,BD!$B$3:$B$5001,$D$2)))</f>
        <v>0</v>
      </c>
      <c r="AE38" s="32">
        <f>IF($B38="","",IF($B$2="Todos",SUMIFS(BD!$AD$3:$AD$5001,BD!$A$3:$A$5001,$B38),SUMIFS(BD!$AD$3:$AD$5001,BD!$A$3:$A$5001,$B38,BD!$B$3:$B$5001,$D$2)))</f>
        <v>0</v>
      </c>
      <c r="AF38" s="32">
        <f>IF($B38="","",IF($B$2="Todos",SUMIFS(BD!$AE$3:$AE$5001,BD!$A$3:$A$5001,$B38),SUMIFS(BD!$AE$3:$AE$5001,BD!$A$3:$A$5001,$B38,BD!$B$3:$B$5001,$D$2)))</f>
        <v>0</v>
      </c>
      <c r="AG38" s="32">
        <f>IF($B38="","",IF($B$2="Todos",SUMIFS(BD!$AF$3:$AF$5001,BD!$A$3:$A$5001,$B38),SUMIFS(BD!$AF$3:$AF$5001,BD!$A$3:$A$5001,$B38,BD!$B$3:$B$5001,$D$2)))</f>
        <v>0</v>
      </c>
      <c r="AH38" s="32">
        <f>IF($B38="","",IF($B$2="Todos",SUMIFS(BD!$AG$3:$AG$5001,BD!$A$3:$A$5001,$B38),SUMIFS(BD!$AG$3:$AG$5001,BD!$A$3:$A$5001,$B38,BD!$B$3:$B$5001,$D$2)))</f>
        <v>0</v>
      </c>
      <c r="AI38" s="49">
        <f>$B$5</f>
        <v>0.7</v>
      </c>
      <c r="AJ38" s="49">
        <f>$B$6</f>
        <v>0.9</v>
      </c>
      <c r="AY38" s="60">
        <f>IF(OR($B38="",N(VALUE($AH$336))=0),"",IF(INDEX($C38:$AH38,VALUE($AH$336))="","",IF(N(VALUE($AJ$336))=0,INDEX($C38:$AH38,VALUE($AH$336)),IF(N(INDEX($C38:$AH38,N(VALUE($AJ$336))))&gt;0,INDEX($C38:$AH38,VALUE($AH$336))/INDEX($C38:$AH38,N(VALUE($AJ$336))),""))))</f>
        <v>0</v>
      </c>
      <c r="AZ38" s="60">
        <f>IF(OR($B38="",N(VALUE($AI$336))=0),"",IF(INDEX($C38:$AH38,VALUE($AI$336))="","",IF(N(VALUE($AK$336))=0,INDEX($C38:$AH38,VALUE($AI$336)),IF(N(INDEX($C38:$AH38,N(VALUE($AK$336))))&gt;0,INDEX($C38:$AH38,VALUE($AI$336))/INDEX($C38:$AH38,N(VALUE($AK$336))),""))))</f>
        <v>0</v>
      </c>
      <c r="BA38" s="60">
        <f>IF(OR($B38="",N(VALUE($AP$336))=0),"",IF(INDEX($C38:$AH38,VALUE($AP$336))="","",IF(N(VALUE($AR$336))=0,INDEX($C38:$AH38,VALUE($AP$336)),IF(N(INDEX($C38:$AH38,N(VALUE($AR$336))))&gt;0,INDEX($C38:$AH38,VALUE($AP$336))/INDEX($C38:$AH38,N(VALUE($AR$336))),""))))</f>
        <v>0</v>
      </c>
      <c r="BB38" s="60">
        <f>IF(OR($B38="",N(VALUE($AQ$336))=0),"",IF(INDEX($C38:$AH38,VALUE($AQ$336))="","",IF(N(VALUE($AS$336))=0,INDEX($C38:$AH38,VALUE($AQ$336)),IF(N(INDEX($C38:$AH38,N(VALUE($AS$336))))&gt;0,INDEX($C38:$AH38,VALUE($AQ$336))/INDEX($C38:$AH38,N(VALUE($AS$336))),""))))</f>
        <v>0</v>
      </c>
      <c r="BD38" s="32" t="str">
        <f>IF(AND($A38=$B$9,ISNUMBER(X38)),X38,NA())</f>
        <v/>
      </c>
    </row>
    <row r="39">
      <c r="A39" s="28">
        <v>28</v>
      </c>
      <c r="B39" s="45">
        <f>IF($A39&lt;=DAY($D$7),$C$7+$A39-1,"")</f>
        <v>46323</v>
      </c>
      <c r="C39" s="32">
        <f>IF($B39="","",IF($B$2="Todos",SUMIFS(BD!$C$3:$C$5001,BD!$A$3:$A$5001,$B39),SUMIFS(BD!$C$3:$C$5001,BD!$A$3:$A$5001,$B39,BD!$B$3:$B$5001,$D$2)))</f>
        <v>0</v>
      </c>
      <c r="D39" s="32">
        <f>IF($B39="","",IF($B$2="Todos",SUMIFS(BD!$D$3:$D$5001,BD!$A$3:$A$5001,$B39),SUMIFS(BD!$D$3:$D$5001,BD!$A$3:$A$5001,$B39,BD!$B$3:$B$5001,$D$2)))</f>
        <v>0</v>
      </c>
      <c r="E39" s="46">
        <f>IF($B39="","",IF($B$2="Todos",SUMIFS(BD!$E$3:$E$5001,BD!$A$3:$A$5001,$B39),SUMIFS(BD!$E$3:$E$5001,BD!$A$3:$A$5001,$B39,BD!$B$3:$B$5001,$D$2)))</f>
        <v>0</v>
      </c>
      <c r="F39" s="32">
        <f>IF($B39="","",IF($B$2="Todos",SUMIFS(BD!$F$3:$F$5001,BD!$A$3:$A$5001,$B39),SUMIFS(BD!$F$3:$F$5001,BD!$A$3:$A$5001,$B39,BD!$B$3:$B$5001,$D$2)))</f>
        <v>0</v>
      </c>
      <c r="G39" s="32">
        <f>IF($B39="","",IF($B$2="Todos",SUMIFS(BD!$G$3:$G$5001,BD!$A$3:$A$5001,$B39),SUMIFS(BD!$G$3:$G$5001,BD!$A$3:$A$5001,$B39,BD!$B$3:$B$5001,$D$2)))</f>
        <v>0</v>
      </c>
      <c r="H39" s="32">
        <f>IF($B39="","",IF($B$2="Todos",SUMIFS(BD!$H$3:$H$5001,BD!$A$3:$A$5001,$B39),SUMIFS(BD!$H$3:$H$5001,BD!$A$3:$A$5001,$B39,BD!$B$3:$B$5001,$D$2)))</f>
        <v>0</v>
      </c>
      <c r="I39" s="32">
        <f>IF($B39="","",IF($B$2="Todos",SUMIFS(BD!$I$3:$I$5001,BD!$A$3:$A$5001,$B39),SUMIFS(BD!$I$3:$I$5001,BD!$A$3:$A$5001,$B39,BD!$B$3:$B$5001,$D$2)))</f>
        <v>0</v>
      </c>
      <c r="J39" s="32">
        <f>IF($B39="","",IF($B$2="Todos",SUMIFS(BD!$J$3:$J$5001,BD!$A$3:$A$5001,$B39),SUMIFS(BD!$J$3:$J$5001,BD!$A$3:$A$5001,$B39,BD!$B$3:$B$5001,$D$2)))</f>
        <v>0</v>
      </c>
      <c r="K39" s="32">
        <f>IF($B39="","",IF($B$2="Todos",SUMIFS(BD!$K$3:$K$5001,BD!$A$3:$A$5001,$B39),SUMIFS(BD!$K$3:$K$5001,BD!$A$3:$A$5001,$B39,BD!$B$3:$B$5001,$D$2)))</f>
        <v>0</v>
      </c>
      <c r="L39" s="32">
        <f>IF($B39="","",IF($B$2="Todos",SUMIFS(BD!$L$3:$L$5001,BD!$A$3:$A$5001,$B39),SUMIFS(BD!$L$3:$L$5001,BD!$A$3:$A$5001,$B39,BD!$B$3:$B$5001,$D$2)))</f>
        <v>0</v>
      </c>
      <c r="M39" s="32">
        <f>IF($B39="","",IF($B$2="Todos",SUMIFS(BD!$M$3:$M$5001,BD!$A$3:$A$5001,$B39),SUMIFS(BD!$M$3:$M$5001,BD!$A$3:$A$5001,$B39,BD!$B$3:$B$5001,$D$2)))</f>
        <v>0</v>
      </c>
      <c r="N39" s="32">
        <f>IF($B39="","",IF($B$2="Todos",SUMIFS(BD!$N$3:$N$5001,BD!$A$3:$A$5001,$B39),SUMIFS(BD!$N$3:$N$5001,BD!$A$3:$A$5001,$B39,BD!$B$3:$B$5001,$D$2)))</f>
        <v>0</v>
      </c>
      <c r="O39" s="32">
        <f>IF($B39="","",IF($B$2="Todos",SUMIFS(BD!$O$3:$O$5001,BD!$A$3:$A$5001,$B39),SUMIFS(BD!$O$3:$O$5001,BD!$A$3:$A$5001,$B39,BD!$B$3:$B$5001,$D$2)))</f>
        <v>0</v>
      </c>
      <c r="P39" s="32">
        <f>IF($B39="","",IF($B$2="Todos",SUMIFS(BD!$P$3:$P$5001,BD!$A$3:$A$5001,$B39),SUMIFS(BD!$P$3:$P$5001,BD!$A$3:$A$5001,$B39,BD!$B$3:$B$5001,$D$2)))</f>
        <v>0</v>
      </c>
      <c r="Q39" s="32">
        <f>IF($B39="","",IF($B$2="Todos",SUMIFS(BD!$Q$3:$Q$5001,BD!$A$3:$A$5001,$B39),SUMIFS(BD!$Q$3:$Q$5001,BD!$A$3:$A$5001,$B39,BD!$B$3:$B$5001,$D$2)))</f>
        <v>0</v>
      </c>
      <c r="R39" s="32">
        <f>IF($B39="","",IF($B$2="Todos",SUMIFS(BD!$R$3:$R$5001,BD!$A$3:$A$5001,$B39),SUMIFS(BD!$R$3:$R$5001,BD!$A$3:$A$5001,$B39,BD!$B$3:$B$5001,$D$2)))</f>
        <v>0</v>
      </c>
      <c r="S39" s="32">
        <f>IF($B39="","",IF($B$2="Todos",SUMIFS(BD!$S$3:$S$5001,BD!$A$3:$A$5001,$B39),SUMIFS(BD!$S$3:$S$5001,BD!$A$3:$A$5001,$B39,BD!$B$3:$B$5001,$D$2)))</f>
        <v>0</v>
      </c>
      <c r="T39" s="46">
        <f>IF($B39="","",IF($B$2="Todos",SUMIFS(BD!$T$3:$T$5001,BD!$A$3:$A$5001,$B39),SUMIFS(BD!$T$3:$T$5001,BD!$A$3:$A$5001,$B39,BD!$B$3:$B$5001,$D$2)))</f>
        <v>0</v>
      </c>
      <c r="U39" s="32">
        <f>IF($B39="","",IF($B$2="Todos",SUMIFS(BD!$U$3:$U$5001,BD!$A$3:$A$5001,$B39),SUMIFS(BD!$U$3:$U$5001,BD!$A$3:$A$5001,$B39,BD!$B$3:$B$5001,$D$2)))</f>
        <v>0</v>
      </c>
      <c r="V39" s="32">
        <f>IF($B39="","",IF($B$2="Todos",SUMIFS(BD!$V$3:$V$5001,BD!$A$3:$A$5001,$B39),SUMIFS(BD!$V$3:$V$5001,BD!$A$3:$A$5001,$B39,BD!$B$3:$B$5001,$D$2)))</f>
        <v>0</v>
      </c>
      <c r="W39" s="32" t="str">
        <f>IF($B$2="Todos",IF(COUNT($C$166:$L$166)=0,"",SUM($C$166:$L$166)),IFERROR(INDEX($C$166:$L$166,MATCH($D$2,$C$138:$L$138,0)),""))</f>
        <v/>
      </c>
      <c r="X39" s="47" t="str">
        <f>IF(Y39="","",IF($B$2="Todos",IF($B$4&gt;0,$B$4,IF($B$2="Todos",IF(COUNT($C$236:$L$236)=0,"",SUM($C$236:$L$236)),IFERROR(INDEX($C$236:$L$236,MATCH($D$2,$C$208:$L$208,0)),""))),IFERROR(INDEX($C$236:$L$236,MATCH($D$2,$C$208:$L$208,0)),"")))</f>
        <v/>
      </c>
      <c r="Y39" s="32" t="str">
        <f>IF($B$2="Todos",IF(COUNT($C$201:$L$201)=0,"",SUM($C$201:$L$201)),IFERROR(INDEX($C$201:$L$201,MATCH($D$2,$C$173:$L$173,0)),""))</f>
        <v/>
      </c>
      <c r="Z39" s="48" t="str">
        <f>IF(AND(ISNUMBER(Y39),ISNUMBER(X39)),IF(X39&gt;0,Y39/X39,""),"")</f>
        <v/>
      </c>
      <c r="AA39" s="32" t="str">
        <f>IF($B$2="Todos",IF(COUNT($C$271:$L$271)=0,"",SUM($C$271:$L$271)),IFERROR(INDEX($C$271:$L$271,MATCH($D$2,$C$243:$L$243,0)),""))</f>
        <v/>
      </c>
      <c r="AB39" s="32">
        <f>IF($B39="","",IF($B$2="Todos",SUMIFS(BD!$AA$3:$AA$5001,BD!$A$3:$A$5001,$B39),SUMIFS(BD!$AA$3:$AA$5001,BD!$A$3:$A$5001,$B39,BD!$B$3:$B$5001,$D$2)))</f>
        <v>0</v>
      </c>
      <c r="AC39" s="32">
        <f>IF($B39="","",IF($B$2="Todos",SUMIFS(BD!$AB$3:$AB$5001,BD!$A$3:$A$5001,$B39),SUMIFS(BD!$AB$3:$AB$5001,BD!$A$3:$A$5001,$B39,BD!$B$3:$B$5001,$D$2)))</f>
        <v>0</v>
      </c>
      <c r="AD39" s="32">
        <f>IF($B39="","",IF($B$2="Todos",SUMIFS(BD!$AC$3:$AC$5001,BD!$A$3:$A$5001,$B39),SUMIFS(BD!$AC$3:$AC$5001,BD!$A$3:$A$5001,$B39,BD!$B$3:$B$5001,$D$2)))</f>
        <v>0</v>
      </c>
      <c r="AE39" s="32">
        <f>IF($B39="","",IF($B$2="Todos",SUMIFS(BD!$AD$3:$AD$5001,BD!$A$3:$A$5001,$B39),SUMIFS(BD!$AD$3:$AD$5001,BD!$A$3:$A$5001,$B39,BD!$B$3:$B$5001,$D$2)))</f>
        <v>0</v>
      </c>
      <c r="AF39" s="32">
        <f>IF($B39="","",IF($B$2="Todos",SUMIFS(BD!$AE$3:$AE$5001,BD!$A$3:$A$5001,$B39),SUMIFS(BD!$AE$3:$AE$5001,BD!$A$3:$A$5001,$B39,BD!$B$3:$B$5001,$D$2)))</f>
        <v>0</v>
      </c>
      <c r="AG39" s="32">
        <f>IF($B39="","",IF($B$2="Todos",SUMIFS(BD!$AF$3:$AF$5001,BD!$A$3:$A$5001,$B39),SUMIFS(BD!$AF$3:$AF$5001,BD!$A$3:$A$5001,$B39,BD!$B$3:$B$5001,$D$2)))</f>
        <v>0</v>
      </c>
      <c r="AH39" s="32">
        <f>IF($B39="","",IF($B$2="Todos",SUMIFS(BD!$AG$3:$AG$5001,BD!$A$3:$A$5001,$B39),SUMIFS(BD!$AG$3:$AG$5001,BD!$A$3:$A$5001,$B39,BD!$B$3:$B$5001,$D$2)))</f>
        <v>0</v>
      </c>
      <c r="AI39" s="49">
        <f>$B$5</f>
        <v>0.7</v>
      </c>
      <c r="AJ39" s="49">
        <f>$B$6</f>
        <v>0.9</v>
      </c>
      <c r="AY39" s="60">
        <f>IF(OR($B39="",N(VALUE($AH$336))=0),"",IF(INDEX($C39:$AH39,VALUE($AH$336))="","",IF(N(VALUE($AJ$336))=0,INDEX($C39:$AH39,VALUE($AH$336)),IF(N(INDEX($C39:$AH39,N(VALUE($AJ$336))))&gt;0,INDEX($C39:$AH39,VALUE($AH$336))/INDEX($C39:$AH39,N(VALUE($AJ$336))),""))))</f>
        <v>0</v>
      </c>
      <c r="AZ39" s="60">
        <f>IF(OR($B39="",N(VALUE($AI$336))=0),"",IF(INDEX($C39:$AH39,VALUE($AI$336))="","",IF(N(VALUE($AK$336))=0,INDEX($C39:$AH39,VALUE($AI$336)),IF(N(INDEX($C39:$AH39,N(VALUE($AK$336))))&gt;0,INDEX($C39:$AH39,VALUE($AI$336))/INDEX($C39:$AH39,N(VALUE($AK$336))),""))))</f>
        <v>0</v>
      </c>
      <c r="BA39" s="60">
        <f>IF(OR($B39="",N(VALUE($AP$336))=0),"",IF(INDEX($C39:$AH39,VALUE($AP$336))="","",IF(N(VALUE($AR$336))=0,INDEX($C39:$AH39,VALUE($AP$336)),IF(N(INDEX($C39:$AH39,N(VALUE($AR$336))))&gt;0,INDEX($C39:$AH39,VALUE($AP$336))/INDEX($C39:$AH39,N(VALUE($AR$336))),""))))</f>
        <v>0</v>
      </c>
      <c r="BB39" s="60">
        <f>IF(OR($B39="",N(VALUE($AQ$336))=0),"",IF(INDEX($C39:$AH39,VALUE($AQ$336))="","",IF(N(VALUE($AS$336))=0,INDEX($C39:$AH39,VALUE($AQ$336)),IF(N(INDEX($C39:$AH39,N(VALUE($AS$336))))&gt;0,INDEX($C39:$AH39,VALUE($AQ$336))/INDEX($C39:$AH39,N(VALUE($AS$336))),""))))</f>
        <v>0</v>
      </c>
      <c r="BD39" s="32" t="str">
        <f>IF(AND($A39=$B$9,ISNUMBER(X39)),X39,NA())</f>
        <v/>
      </c>
    </row>
    <row r="40">
      <c r="A40" s="28">
        <v>29</v>
      </c>
      <c r="B40" s="45">
        <f>IF($A40&lt;=DAY($D$7),$C$7+$A40-1,"")</f>
        <v>46324</v>
      </c>
      <c r="C40" s="32">
        <f>IF($B40="","",IF($B$2="Todos",SUMIFS(BD!$C$3:$C$5001,BD!$A$3:$A$5001,$B40),SUMIFS(BD!$C$3:$C$5001,BD!$A$3:$A$5001,$B40,BD!$B$3:$B$5001,$D$2)))</f>
        <v>0</v>
      </c>
      <c r="D40" s="32">
        <f>IF($B40="","",IF($B$2="Todos",SUMIFS(BD!$D$3:$D$5001,BD!$A$3:$A$5001,$B40),SUMIFS(BD!$D$3:$D$5001,BD!$A$3:$A$5001,$B40,BD!$B$3:$B$5001,$D$2)))</f>
        <v>0</v>
      </c>
      <c r="E40" s="46">
        <f>IF($B40="","",IF($B$2="Todos",SUMIFS(BD!$E$3:$E$5001,BD!$A$3:$A$5001,$B40),SUMIFS(BD!$E$3:$E$5001,BD!$A$3:$A$5001,$B40,BD!$B$3:$B$5001,$D$2)))</f>
        <v>0</v>
      </c>
      <c r="F40" s="32">
        <f>IF($B40="","",IF($B$2="Todos",SUMIFS(BD!$F$3:$F$5001,BD!$A$3:$A$5001,$B40),SUMIFS(BD!$F$3:$F$5001,BD!$A$3:$A$5001,$B40,BD!$B$3:$B$5001,$D$2)))</f>
        <v>0</v>
      </c>
      <c r="G40" s="32">
        <f>IF($B40="","",IF($B$2="Todos",SUMIFS(BD!$G$3:$G$5001,BD!$A$3:$A$5001,$B40),SUMIFS(BD!$G$3:$G$5001,BD!$A$3:$A$5001,$B40,BD!$B$3:$B$5001,$D$2)))</f>
        <v>0</v>
      </c>
      <c r="H40" s="32">
        <f>IF($B40="","",IF($B$2="Todos",SUMIFS(BD!$H$3:$H$5001,BD!$A$3:$A$5001,$B40),SUMIFS(BD!$H$3:$H$5001,BD!$A$3:$A$5001,$B40,BD!$B$3:$B$5001,$D$2)))</f>
        <v>0</v>
      </c>
      <c r="I40" s="32">
        <f>IF($B40="","",IF($B$2="Todos",SUMIFS(BD!$I$3:$I$5001,BD!$A$3:$A$5001,$B40),SUMIFS(BD!$I$3:$I$5001,BD!$A$3:$A$5001,$B40,BD!$B$3:$B$5001,$D$2)))</f>
        <v>0</v>
      </c>
      <c r="J40" s="32">
        <f>IF($B40="","",IF($B$2="Todos",SUMIFS(BD!$J$3:$J$5001,BD!$A$3:$A$5001,$B40),SUMIFS(BD!$J$3:$J$5001,BD!$A$3:$A$5001,$B40,BD!$B$3:$B$5001,$D$2)))</f>
        <v>0</v>
      </c>
      <c r="K40" s="32">
        <f>IF($B40="","",IF($B$2="Todos",SUMIFS(BD!$K$3:$K$5001,BD!$A$3:$A$5001,$B40),SUMIFS(BD!$K$3:$K$5001,BD!$A$3:$A$5001,$B40,BD!$B$3:$B$5001,$D$2)))</f>
        <v>0</v>
      </c>
      <c r="L40" s="32">
        <f>IF($B40="","",IF($B$2="Todos",SUMIFS(BD!$L$3:$L$5001,BD!$A$3:$A$5001,$B40),SUMIFS(BD!$L$3:$L$5001,BD!$A$3:$A$5001,$B40,BD!$B$3:$B$5001,$D$2)))</f>
        <v>0</v>
      </c>
      <c r="M40" s="32">
        <f>IF($B40="","",IF($B$2="Todos",SUMIFS(BD!$M$3:$M$5001,BD!$A$3:$A$5001,$B40),SUMIFS(BD!$M$3:$M$5001,BD!$A$3:$A$5001,$B40,BD!$B$3:$B$5001,$D$2)))</f>
        <v>0</v>
      </c>
      <c r="N40" s="32">
        <f>IF($B40="","",IF($B$2="Todos",SUMIFS(BD!$N$3:$N$5001,BD!$A$3:$A$5001,$B40),SUMIFS(BD!$N$3:$N$5001,BD!$A$3:$A$5001,$B40,BD!$B$3:$B$5001,$D$2)))</f>
        <v>0</v>
      </c>
      <c r="O40" s="32">
        <f>IF($B40="","",IF($B$2="Todos",SUMIFS(BD!$O$3:$O$5001,BD!$A$3:$A$5001,$B40),SUMIFS(BD!$O$3:$O$5001,BD!$A$3:$A$5001,$B40,BD!$B$3:$B$5001,$D$2)))</f>
        <v>0</v>
      </c>
      <c r="P40" s="32">
        <f>IF($B40="","",IF($B$2="Todos",SUMIFS(BD!$P$3:$P$5001,BD!$A$3:$A$5001,$B40),SUMIFS(BD!$P$3:$P$5001,BD!$A$3:$A$5001,$B40,BD!$B$3:$B$5001,$D$2)))</f>
        <v>0</v>
      </c>
      <c r="Q40" s="32">
        <f>IF($B40="","",IF($B$2="Todos",SUMIFS(BD!$Q$3:$Q$5001,BD!$A$3:$A$5001,$B40),SUMIFS(BD!$Q$3:$Q$5001,BD!$A$3:$A$5001,$B40,BD!$B$3:$B$5001,$D$2)))</f>
        <v>0</v>
      </c>
      <c r="R40" s="32">
        <f>IF($B40="","",IF($B$2="Todos",SUMIFS(BD!$R$3:$R$5001,BD!$A$3:$A$5001,$B40),SUMIFS(BD!$R$3:$R$5001,BD!$A$3:$A$5001,$B40,BD!$B$3:$B$5001,$D$2)))</f>
        <v>0</v>
      </c>
      <c r="S40" s="32">
        <f>IF($B40="","",IF($B$2="Todos",SUMIFS(BD!$S$3:$S$5001,BD!$A$3:$A$5001,$B40),SUMIFS(BD!$S$3:$S$5001,BD!$A$3:$A$5001,$B40,BD!$B$3:$B$5001,$D$2)))</f>
        <v>0</v>
      </c>
      <c r="T40" s="46">
        <f>IF($B40="","",IF($B$2="Todos",SUMIFS(BD!$T$3:$T$5001,BD!$A$3:$A$5001,$B40),SUMIFS(BD!$T$3:$T$5001,BD!$A$3:$A$5001,$B40,BD!$B$3:$B$5001,$D$2)))</f>
        <v>0</v>
      </c>
      <c r="U40" s="32">
        <f>IF($B40="","",IF($B$2="Todos",SUMIFS(BD!$U$3:$U$5001,BD!$A$3:$A$5001,$B40),SUMIFS(BD!$U$3:$U$5001,BD!$A$3:$A$5001,$B40,BD!$B$3:$B$5001,$D$2)))</f>
        <v>0</v>
      </c>
      <c r="V40" s="32">
        <f>IF($B40="","",IF($B$2="Todos",SUMIFS(BD!$V$3:$V$5001,BD!$A$3:$A$5001,$B40),SUMIFS(BD!$V$3:$V$5001,BD!$A$3:$A$5001,$B40,BD!$B$3:$B$5001,$D$2)))</f>
        <v>0</v>
      </c>
      <c r="W40" s="32" t="str">
        <f>IF($B$2="Todos",IF(COUNT($C$167:$L$167)=0,"",SUM($C$167:$L$167)),IFERROR(INDEX($C$167:$L$167,MATCH($D$2,$C$138:$L$138,0)),""))</f>
        <v/>
      </c>
      <c r="X40" s="47" t="str">
        <f>IF(Y40="","",IF($B$2="Todos",IF($B$4&gt;0,$B$4,IF($B$2="Todos",IF(COUNT($C$237:$L$237)=0,"",SUM($C$237:$L$237)),IFERROR(INDEX($C$237:$L$237,MATCH($D$2,$C$208:$L$208,0)),""))),IFERROR(INDEX($C$237:$L$237,MATCH($D$2,$C$208:$L$208,0)),"")))</f>
        <v/>
      </c>
      <c r="Y40" s="32" t="str">
        <f>IF($B$2="Todos",IF(COUNT($C$202:$L$202)=0,"",SUM($C$202:$L$202)),IFERROR(INDEX($C$202:$L$202,MATCH($D$2,$C$173:$L$173,0)),""))</f>
        <v/>
      </c>
      <c r="Z40" s="48" t="str">
        <f>IF(AND(ISNUMBER(Y40),ISNUMBER(X40)),IF(X40&gt;0,Y40/X40,""),"")</f>
        <v/>
      </c>
      <c r="AA40" s="32" t="str">
        <f>IF($B$2="Todos",IF(COUNT($C$272:$L$272)=0,"",SUM($C$272:$L$272)),IFERROR(INDEX($C$272:$L$272,MATCH($D$2,$C$243:$L$243,0)),""))</f>
        <v/>
      </c>
      <c r="AB40" s="32">
        <f>IF($B40="","",IF($B$2="Todos",SUMIFS(BD!$AA$3:$AA$5001,BD!$A$3:$A$5001,$B40),SUMIFS(BD!$AA$3:$AA$5001,BD!$A$3:$A$5001,$B40,BD!$B$3:$B$5001,$D$2)))</f>
        <v>0</v>
      </c>
      <c r="AC40" s="32">
        <f>IF($B40="","",IF($B$2="Todos",SUMIFS(BD!$AB$3:$AB$5001,BD!$A$3:$A$5001,$B40),SUMIFS(BD!$AB$3:$AB$5001,BD!$A$3:$A$5001,$B40,BD!$B$3:$B$5001,$D$2)))</f>
        <v>0</v>
      </c>
      <c r="AD40" s="32">
        <f>IF($B40="","",IF($B$2="Todos",SUMIFS(BD!$AC$3:$AC$5001,BD!$A$3:$A$5001,$B40),SUMIFS(BD!$AC$3:$AC$5001,BD!$A$3:$A$5001,$B40,BD!$B$3:$B$5001,$D$2)))</f>
        <v>0</v>
      </c>
      <c r="AE40" s="32">
        <f>IF($B40="","",IF($B$2="Todos",SUMIFS(BD!$AD$3:$AD$5001,BD!$A$3:$A$5001,$B40),SUMIFS(BD!$AD$3:$AD$5001,BD!$A$3:$A$5001,$B40,BD!$B$3:$B$5001,$D$2)))</f>
        <v>0</v>
      </c>
      <c r="AF40" s="32">
        <f>IF($B40="","",IF($B$2="Todos",SUMIFS(BD!$AE$3:$AE$5001,BD!$A$3:$A$5001,$B40),SUMIFS(BD!$AE$3:$AE$5001,BD!$A$3:$A$5001,$B40,BD!$B$3:$B$5001,$D$2)))</f>
        <v>0</v>
      </c>
      <c r="AG40" s="32">
        <f>IF($B40="","",IF($B$2="Todos",SUMIFS(BD!$AF$3:$AF$5001,BD!$A$3:$A$5001,$B40),SUMIFS(BD!$AF$3:$AF$5001,BD!$A$3:$A$5001,$B40,BD!$B$3:$B$5001,$D$2)))</f>
        <v>0</v>
      </c>
      <c r="AH40" s="32">
        <f>IF($B40="","",IF($B$2="Todos",SUMIFS(BD!$AG$3:$AG$5001,BD!$A$3:$A$5001,$B40),SUMIFS(BD!$AG$3:$AG$5001,BD!$A$3:$A$5001,$B40,BD!$B$3:$B$5001,$D$2)))</f>
        <v>0</v>
      </c>
      <c r="AI40" s="49">
        <f>$B$5</f>
        <v>0.7</v>
      </c>
      <c r="AJ40" s="49">
        <f>$B$6</f>
        <v>0.9</v>
      </c>
      <c r="AY40" s="60">
        <f>IF(OR($B40="",N(VALUE($AH$336))=0),"",IF(INDEX($C40:$AH40,VALUE($AH$336))="","",IF(N(VALUE($AJ$336))=0,INDEX($C40:$AH40,VALUE($AH$336)),IF(N(INDEX($C40:$AH40,N(VALUE($AJ$336))))&gt;0,INDEX($C40:$AH40,VALUE($AH$336))/INDEX($C40:$AH40,N(VALUE($AJ$336))),""))))</f>
        <v>0</v>
      </c>
      <c r="AZ40" s="60">
        <f>IF(OR($B40="",N(VALUE($AI$336))=0),"",IF(INDEX($C40:$AH40,VALUE($AI$336))="","",IF(N(VALUE($AK$336))=0,INDEX($C40:$AH40,VALUE($AI$336)),IF(N(INDEX($C40:$AH40,N(VALUE($AK$336))))&gt;0,INDEX($C40:$AH40,VALUE($AI$336))/INDEX($C40:$AH40,N(VALUE($AK$336))),""))))</f>
        <v>0</v>
      </c>
      <c r="BA40" s="60">
        <f>IF(OR($B40="",N(VALUE($AP$336))=0),"",IF(INDEX($C40:$AH40,VALUE($AP$336))="","",IF(N(VALUE($AR$336))=0,INDEX($C40:$AH40,VALUE($AP$336)),IF(N(INDEX($C40:$AH40,N(VALUE($AR$336))))&gt;0,INDEX($C40:$AH40,VALUE($AP$336))/INDEX($C40:$AH40,N(VALUE($AR$336))),""))))</f>
        <v>0</v>
      </c>
      <c r="BB40" s="60">
        <f>IF(OR($B40="",N(VALUE($AQ$336))=0),"",IF(INDEX($C40:$AH40,VALUE($AQ$336))="","",IF(N(VALUE($AS$336))=0,INDEX($C40:$AH40,VALUE($AQ$336)),IF(N(INDEX($C40:$AH40,N(VALUE($AS$336))))&gt;0,INDEX($C40:$AH40,VALUE($AQ$336))/INDEX($C40:$AH40,N(VALUE($AS$336))),""))))</f>
        <v>0</v>
      </c>
      <c r="BD40" s="32" t="str">
        <f>IF(AND($A40=$B$9,ISNUMBER(X40)),X40,NA())</f>
        <v/>
      </c>
    </row>
    <row r="41">
      <c r="A41" s="28">
        <v>30</v>
      </c>
      <c r="B41" s="45">
        <f>IF($A41&lt;=DAY($D$7),$C$7+$A41-1,"")</f>
        <v>46325</v>
      </c>
      <c r="C41" s="32">
        <f>IF($B41="","",IF($B$2="Todos",SUMIFS(BD!$C$3:$C$5001,BD!$A$3:$A$5001,$B41),SUMIFS(BD!$C$3:$C$5001,BD!$A$3:$A$5001,$B41,BD!$B$3:$B$5001,$D$2)))</f>
        <v>0</v>
      </c>
      <c r="D41" s="32">
        <f>IF($B41="","",IF($B$2="Todos",SUMIFS(BD!$D$3:$D$5001,BD!$A$3:$A$5001,$B41),SUMIFS(BD!$D$3:$D$5001,BD!$A$3:$A$5001,$B41,BD!$B$3:$B$5001,$D$2)))</f>
        <v>0</v>
      </c>
      <c r="E41" s="46">
        <f>IF($B41="","",IF($B$2="Todos",SUMIFS(BD!$E$3:$E$5001,BD!$A$3:$A$5001,$B41),SUMIFS(BD!$E$3:$E$5001,BD!$A$3:$A$5001,$B41,BD!$B$3:$B$5001,$D$2)))</f>
        <v>0</v>
      </c>
      <c r="F41" s="32">
        <f>IF($B41="","",IF($B$2="Todos",SUMIFS(BD!$F$3:$F$5001,BD!$A$3:$A$5001,$B41),SUMIFS(BD!$F$3:$F$5001,BD!$A$3:$A$5001,$B41,BD!$B$3:$B$5001,$D$2)))</f>
        <v>0</v>
      </c>
      <c r="G41" s="32">
        <f>IF($B41="","",IF($B$2="Todos",SUMIFS(BD!$G$3:$G$5001,BD!$A$3:$A$5001,$B41),SUMIFS(BD!$G$3:$G$5001,BD!$A$3:$A$5001,$B41,BD!$B$3:$B$5001,$D$2)))</f>
        <v>0</v>
      </c>
      <c r="H41" s="32">
        <f>IF($B41="","",IF($B$2="Todos",SUMIFS(BD!$H$3:$H$5001,BD!$A$3:$A$5001,$B41),SUMIFS(BD!$H$3:$H$5001,BD!$A$3:$A$5001,$B41,BD!$B$3:$B$5001,$D$2)))</f>
        <v>0</v>
      </c>
      <c r="I41" s="32">
        <f>IF($B41="","",IF($B$2="Todos",SUMIFS(BD!$I$3:$I$5001,BD!$A$3:$A$5001,$B41),SUMIFS(BD!$I$3:$I$5001,BD!$A$3:$A$5001,$B41,BD!$B$3:$B$5001,$D$2)))</f>
        <v>0</v>
      </c>
      <c r="J41" s="32">
        <f>IF($B41="","",IF($B$2="Todos",SUMIFS(BD!$J$3:$J$5001,BD!$A$3:$A$5001,$B41),SUMIFS(BD!$J$3:$J$5001,BD!$A$3:$A$5001,$B41,BD!$B$3:$B$5001,$D$2)))</f>
        <v>0</v>
      </c>
      <c r="K41" s="32">
        <f>IF($B41="","",IF($B$2="Todos",SUMIFS(BD!$K$3:$K$5001,BD!$A$3:$A$5001,$B41),SUMIFS(BD!$K$3:$K$5001,BD!$A$3:$A$5001,$B41,BD!$B$3:$B$5001,$D$2)))</f>
        <v>0</v>
      </c>
      <c r="L41" s="32">
        <f>IF($B41="","",IF($B$2="Todos",SUMIFS(BD!$L$3:$L$5001,BD!$A$3:$A$5001,$B41),SUMIFS(BD!$L$3:$L$5001,BD!$A$3:$A$5001,$B41,BD!$B$3:$B$5001,$D$2)))</f>
        <v>0</v>
      </c>
      <c r="M41" s="32">
        <f>IF($B41="","",IF($B$2="Todos",SUMIFS(BD!$M$3:$M$5001,BD!$A$3:$A$5001,$B41),SUMIFS(BD!$M$3:$M$5001,BD!$A$3:$A$5001,$B41,BD!$B$3:$B$5001,$D$2)))</f>
        <v>0</v>
      </c>
      <c r="N41" s="32">
        <f>IF($B41="","",IF($B$2="Todos",SUMIFS(BD!$N$3:$N$5001,BD!$A$3:$A$5001,$B41),SUMIFS(BD!$N$3:$N$5001,BD!$A$3:$A$5001,$B41,BD!$B$3:$B$5001,$D$2)))</f>
        <v>0</v>
      </c>
      <c r="O41" s="32">
        <f>IF($B41="","",IF($B$2="Todos",SUMIFS(BD!$O$3:$O$5001,BD!$A$3:$A$5001,$B41),SUMIFS(BD!$O$3:$O$5001,BD!$A$3:$A$5001,$B41,BD!$B$3:$B$5001,$D$2)))</f>
        <v>0</v>
      </c>
      <c r="P41" s="32">
        <f>IF($B41="","",IF($B$2="Todos",SUMIFS(BD!$P$3:$P$5001,BD!$A$3:$A$5001,$B41),SUMIFS(BD!$P$3:$P$5001,BD!$A$3:$A$5001,$B41,BD!$B$3:$B$5001,$D$2)))</f>
        <v>0</v>
      </c>
      <c r="Q41" s="32">
        <f>IF($B41="","",IF($B$2="Todos",SUMIFS(BD!$Q$3:$Q$5001,BD!$A$3:$A$5001,$B41),SUMIFS(BD!$Q$3:$Q$5001,BD!$A$3:$A$5001,$B41,BD!$B$3:$B$5001,$D$2)))</f>
        <v>0</v>
      </c>
      <c r="R41" s="32">
        <f>IF($B41="","",IF($B$2="Todos",SUMIFS(BD!$R$3:$R$5001,BD!$A$3:$A$5001,$B41),SUMIFS(BD!$R$3:$R$5001,BD!$A$3:$A$5001,$B41,BD!$B$3:$B$5001,$D$2)))</f>
        <v>0</v>
      </c>
      <c r="S41" s="32">
        <f>IF($B41="","",IF($B$2="Todos",SUMIFS(BD!$S$3:$S$5001,BD!$A$3:$A$5001,$B41),SUMIFS(BD!$S$3:$S$5001,BD!$A$3:$A$5001,$B41,BD!$B$3:$B$5001,$D$2)))</f>
        <v>0</v>
      </c>
      <c r="T41" s="46">
        <f>IF($B41="","",IF($B$2="Todos",SUMIFS(BD!$T$3:$T$5001,BD!$A$3:$A$5001,$B41),SUMIFS(BD!$T$3:$T$5001,BD!$A$3:$A$5001,$B41,BD!$B$3:$B$5001,$D$2)))</f>
        <v>0</v>
      </c>
      <c r="U41" s="32">
        <f>IF($B41="","",IF($B$2="Todos",SUMIFS(BD!$U$3:$U$5001,BD!$A$3:$A$5001,$B41),SUMIFS(BD!$U$3:$U$5001,BD!$A$3:$A$5001,$B41,BD!$B$3:$B$5001,$D$2)))</f>
        <v>0</v>
      </c>
      <c r="V41" s="32">
        <f>IF($B41="","",IF($B$2="Todos",SUMIFS(BD!$V$3:$V$5001,BD!$A$3:$A$5001,$B41),SUMIFS(BD!$V$3:$V$5001,BD!$A$3:$A$5001,$B41,BD!$B$3:$B$5001,$D$2)))</f>
        <v>0</v>
      </c>
      <c r="W41" s="32" t="str">
        <f>IF($B$2="Todos",IF(COUNT($C$168:$L$168)=0,"",SUM($C$168:$L$168)),IFERROR(INDEX($C$168:$L$168,MATCH($D$2,$C$138:$L$138,0)),""))</f>
        <v/>
      </c>
      <c r="X41" s="47" t="str">
        <f>IF(Y41="","",IF($B$2="Todos",IF($B$4&gt;0,$B$4,IF($B$2="Todos",IF(COUNT($C$238:$L$238)=0,"",SUM($C$238:$L$238)),IFERROR(INDEX($C$238:$L$238,MATCH($D$2,$C$208:$L$208,0)),""))),IFERROR(INDEX($C$238:$L$238,MATCH($D$2,$C$208:$L$208,0)),"")))</f>
        <v/>
      </c>
      <c r="Y41" s="32" t="str">
        <f>IF($B$2="Todos",IF(COUNT($C$203:$L$203)=0,"",SUM($C$203:$L$203)),IFERROR(INDEX($C$203:$L$203,MATCH($D$2,$C$173:$L$173,0)),""))</f>
        <v/>
      </c>
      <c r="Z41" s="48" t="str">
        <f>IF(AND(ISNUMBER(Y41),ISNUMBER(X41)),IF(X41&gt;0,Y41/X41,""),"")</f>
        <v/>
      </c>
      <c r="AA41" s="32" t="str">
        <f>IF($B$2="Todos",IF(COUNT($C$273:$L$273)=0,"",SUM($C$273:$L$273)),IFERROR(INDEX($C$273:$L$273,MATCH($D$2,$C$243:$L$243,0)),""))</f>
        <v/>
      </c>
      <c r="AB41" s="32">
        <f>IF($B41="","",IF($B$2="Todos",SUMIFS(BD!$AA$3:$AA$5001,BD!$A$3:$A$5001,$B41),SUMIFS(BD!$AA$3:$AA$5001,BD!$A$3:$A$5001,$B41,BD!$B$3:$B$5001,$D$2)))</f>
        <v>0</v>
      </c>
      <c r="AC41" s="32">
        <f>IF($B41="","",IF($B$2="Todos",SUMIFS(BD!$AB$3:$AB$5001,BD!$A$3:$A$5001,$B41),SUMIFS(BD!$AB$3:$AB$5001,BD!$A$3:$A$5001,$B41,BD!$B$3:$B$5001,$D$2)))</f>
        <v>0</v>
      </c>
      <c r="AD41" s="32">
        <f>IF($B41="","",IF($B$2="Todos",SUMIFS(BD!$AC$3:$AC$5001,BD!$A$3:$A$5001,$B41),SUMIFS(BD!$AC$3:$AC$5001,BD!$A$3:$A$5001,$B41,BD!$B$3:$B$5001,$D$2)))</f>
        <v>0</v>
      </c>
      <c r="AE41" s="32">
        <f>IF($B41="","",IF($B$2="Todos",SUMIFS(BD!$AD$3:$AD$5001,BD!$A$3:$A$5001,$B41),SUMIFS(BD!$AD$3:$AD$5001,BD!$A$3:$A$5001,$B41,BD!$B$3:$B$5001,$D$2)))</f>
        <v>0</v>
      </c>
      <c r="AF41" s="32">
        <f>IF($B41="","",IF($B$2="Todos",SUMIFS(BD!$AE$3:$AE$5001,BD!$A$3:$A$5001,$B41),SUMIFS(BD!$AE$3:$AE$5001,BD!$A$3:$A$5001,$B41,BD!$B$3:$B$5001,$D$2)))</f>
        <v>0</v>
      </c>
      <c r="AG41" s="32">
        <f>IF($B41="","",IF($B$2="Todos",SUMIFS(BD!$AF$3:$AF$5001,BD!$A$3:$A$5001,$B41),SUMIFS(BD!$AF$3:$AF$5001,BD!$A$3:$A$5001,$B41,BD!$B$3:$B$5001,$D$2)))</f>
        <v>0</v>
      </c>
      <c r="AH41" s="32">
        <f>IF($B41="","",IF($B$2="Todos",SUMIFS(BD!$AG$3:$AG$5001,BD!$A$3:$A$5001,$B41),SUMIFS(BD!$AG$3:$AG$5001,BD!$A$3:$A$5001,$B41,BD!$B$3:$B$5001,$D$2)))</f>
        <v>0</v>
      </c>
      <c r="AI41" s="49">
        <f>$B$5</f>
        <v>0.7</v>
      </c>
      <c r="AJ41" s="49">
        <f>$B$6</f>
        <v>0.9</v>
      </c>
      <c r="AY41" s="60">
        <f>IF(OR($B41="",N(VALUE($AH$336))=0),"",IF(INDEX($C41:$AH41,VALUE($AH$336))="","",IF(N(VALUE($AJ$336))=0,INDEX($C41:$AH41,VALUE($AH$336)),IF(N(INDEX($C41:$AH41,N(VALUE($AJ$336))))&gt;0,INDEX($C41:$AH41,VALUE($AH$336))/INDEX($C41:$AH41,N(VALUE($AJ$336))),""))))</f>
        <v>0</v>
      </c>
      <c r="AZ41" s="60">
        <f>IF(OR($B41="",N(VALUE($AI$336))=0),"",IF(INDEX($C41:$AH41,VALUE($AI$336))="","",IF(N(VALUE($AK$336))=0,INDEX($C41:$AH41,VALUE($AI$336)),IF(N(INDEX($C41:$AH41,N(VALUE($AK$336))))&gt;0,INDEX($C41:$AH41,VALUE($AI$336))/INDEX($C41:$AH41,N(VALUE($AK$336))),""))))</f>
        <v>0</v>
      </c>
      <c r="BA41" s="60">
        <f>IF(OR($B41="",N(VALUE($AP$336))=0),"",IF(INDEX($C41:$AH41,VALUE($AP$336))="","",IF(N(VALUE($AR$336))=0,INDEX($C41:$AH41,VALUE($AP$336)),IF(N(INDEX($C41:$AH41,N(VALUE($AR$336))))&gt;0,INDEX($C41:$AH41,VALUE($AP$336))/INDEX($C41:$AH41,N(VALUE($AR$336))),""))))</f>
        <v>0</v>
      </c>
      <c r="BB41" s="60">
        <f>IF(OR($B41="",N(VALUE($AQ$336))=0),"",IF(INDEX($C41:$AH41,VALUE($AQ$336))="","",IF(N(VALUE($AS$336))=0,INDEX($C41:$AH41,VALUE($AQ$336)),IF(N(INDEX($C41:$AH41,N(VALUE($AS$336))))&gt;0,INDEX($C41:$AH41,VALUE($AQ$336))/INDEX($C41:$AH41,N(VALUE($AS$336))),""))))</f>
        <v>0</v>
      </c>
      <c r="BD41" s="32" t="str">
        <f>IF(AND($A41=$B$9,ISNUMBER(X41)),X41,NA())</f>
        <v/>
      </c>
    </row>
    <row r="42">
      <c r="A42" s="28">
        <v>31</v>
      </c>
      <c r="B42" s="45">
        <f>IF($A42&lt;=DAY($D$7),$C$7+$A42-1,"")</f>
        <v>46326</v>
      </c>
      <c r="C42" s="32">
        <f>IF($B42="","",IF($B$2="Todos",SUMIFS(BD!$C$3:$C$5001,BD!$A$3:$A$5001,$B42),SUMIFS(BD!$C$3:$C$5001,BD!$A$3:$A$5001,$B42,BD!$B$3:$B$5001,$D$2)))</f>
        <v>0</v>
      </c>
      <c r="D42" s="32">
        <f>IF($B42="","",IF($B$2="Todos",SUMIFS(BD!$D$3:$D$5001,BD!$A$3:$A$5001,$B42),SUMIFS(BD!$D$3:$D$5001,BD!$A$3:$A$5001,$B42,BD!$B$3:$B$5001,$D$2)))</f>
        <v>0</v>
      </c>
      <c r="E42" s="46">
        <f>IF($B42="","",IF($B$2="Todos",SUMIFS(BD!$E$3:$E$5001,BD!$A$3:$A$5001,$B42),SUMIFS(BD!$E$3:$E$5001,BD!$A$3:$A$5001,$B42,BD!$B$3:$B$5001,$D$2)))</f>
        <v>0</v>
      </c>
      <c r="F42" s="32">
        <f>IF($B42="","",IF($B$2="Todos",SUMIFS(BD!$F$3:$F$5001,BD!$A$3:$A$5001,$B42),SUMIFS(BD!$F$3:$F$5001,BD!$A$3:$A$5001,$B42,BD!$B$3:$B$5001,$D$2)))</f>
        <v>0</v>
      </c>
      <c r="G42" s="32">
        <f>IF($B42="","",IF($B$2="Todos",SUMIFS(BD!$G$3:$G$5001,BD!$A$3:$A$5001,$B42),SUMIFS(BD!$G$3:$G$5001,BD!$A$3:$A$5001,$B42,BD!$B$3:$B$5001,$D$2)))</f>
        <v>0</v>
      </c>
      <c r="H42" s="32">
        <f>IF($B42="","",IF($B$2="Todos",SUMIFS(BD!$H$3:$H$5001,BD!$A$3:$A$5001,$B42),SUMIFS(BD!$H$3:$H$5001,BD!$A$3:$A$5001,$B42,BD!$B$3:$B$5001,$D$2)))</f>
        <v>0</v>
      </c>
      <c r="I42" s="32">
        <f>IF($B42="","",IF($B$2="Todos",SUMIFS(BD!$I$3:$I$5001,BD!$A$3:$A$5001,$B42),SUMIFS(BD!$I$3:$I$5001,BD!$A$3:$A$5001,$B42,BD!$B$3:$B$5001,$D$2)))</f>
        <v>0</v>
      </c>
      <c r="J42" s="32">
        <f>IF($B42="","",IF($B$2="Todos",SUMIFS(BD!$J$3:$J$5001,BD!$A$3:$A$5001,$B42),SUMIFS(BD!$J$3:$J$5001,BD!$A$3:$A$5001,$B42,BD!$B$3:$B$5001,$D$2)))</f>
        <v>0</v>
      </c>
      <c r="K42" s="32">
        <f>IF($B42="","",IF($B$2="Todos",SUMIFS(BD!$K$3:$K$5001,BD!$A$3:$A$5001,$B42),SUMIFS(BD!$K$3:$K$5001,BD!$A$3:$A$5001,$B42,BD!$B$3:$B$5001,$D$2)))</f>
        <v>0</v>
      </c>
      <c r="L42" s="32">
        <f>IF($B42="","",IF($B$2="Todos",SUMIFS(BD!$L$3:$L$5001,BD!$A$3:$A$5001,$B42),SUMIFS(BD!$L$3:$L$5001,BD!$A$3:$A$5001,$B42,BD!$B$3:$B$5001,$D$2)))</f>
        <v>0</v>
      </c>
      <c r="M42" s="32">
        <f>IF($B42="","",IF($B$2="Todos",SUMIFS(BD!$M$3:$M$5001,BD!$A$3:$A$5001,$B42),SUMIFS(BD!$M$3:$M$5001,BD!$A$3:$A$5001,$B42,BD!$B$3:$B$5001,$D$2)))</f>
        <v>0</v>
      </c>
      <c r="N42" s="32">
        <f>IF($B42="","",IF($B$2="Todos",SUMIFS(BD!$N$3:$N$5001,BD!$A$3:$A$5001,$B42),SUMIFS(BD!$N$3:$N$5001,BD!$A$3:$A$5001,$B42,BD!$B$3:$B$5001,$D$2)))</f>
        <v>0</v>
      </c>
      <c r="O42" s="32">
        <f>IF($B42="","",IF($B$2="Todos",SUMIFS(BD!$O$3:$O$5001,BD!$A$3:$A$5001,$B42),SUMIFS(BD!$O$3:$O$5001,BD!$A$3:$A$5001,$B42,BD!$B$3:$B$5001,$D$2)))</f>
        <v>0</v>
      </c>
      <c r="P42" s="32">
        <f>IF($B42="","",IF($B$2="Todos",SUMIFS(BD!$P$3:$P$5001,BD!$A$3:$A$5001,$B42),SUMIFS(BD!$P$3:$P$5001,BD!$A$3:$A$5001,$B42,BD!$B$3:$B$5001,$D$2)))</f>
        <v>0</v>
      </c>
      <c r="Q42" s="32">
        <f>IF($B42="","",IF($B$2="Todos",SUMIFS(BD!$Q$3:$Q$5001,BD!$A$3:$A$5001,$B42),SUMIFS(BD!$Q$3:$Q$5001,BD!$A$3:$A$5001,$B42,BD!$B$3:$B$5001,$D$2)))</f>
        <v>0</v>
      </c>
      <c r="R42" s="32">
        <f>IF($B42="","",IF($B$2="Todos",SUMIFS(BD!$R$3:$R$5001,BD!$A$3:$A$5001,$B42),SUMIFS(BD!$R$3:$R$5001,BD!$A$3:$A$5001,$B42,BD!$B$3:$B$5001,$D$2)))</f>
        <v>0</v>
      </c>
      <c r="S42" s="32">
        <f>IF($B42="","",IF($B$2="Todos",SUMIFS(BD!$S$3:$S$5001,BD!$A$3:$A$5001,$B42),SUMIFS(BD!$S$3:$S$5001,BD!$A$3:$A$5001,$B42,BD!$B$3:$B$5001,$D$2)))</f>
        <v>0</v>
      </c>
      <c r="T42" s="46">
        <f>IF($B42="","",IF($B$2="Todos",SUMIFS(BD!$T$3:$T$5001,BD!$A$3:$A$5001,$B42),SUMIFS(BD!$T$3:$T$5001,BD!$A$3:$A$5001,$B42,BD!$B$3:$B$5001,$D$2)))</f>
        <v>0</v>
      </c>
      <c r="U42" s="32">
        <f>IF($B42="","",IF($B$2="Todos",SUMIFS(BD!$U$3:$U$5001,BD!$A$3:$A$5001,$B42),SUMIFS(BD!$U$3:$U$5001,BD!$A$3:$A$5001,$B42,BD!$B$3:$B$5001,$D$2)))</f>
        <v>0</v>
      </c>
      <c r="V42" s="32">
        <f>IF($B42="","",IF($B$2="Todos",SUMIFS(BD!$V$3:$V$5001,BD!$A$3:$A$5001,$B42),SUMIFS(BD!$V$3:$V$5001,BD!$A$3:$A$5001,$B42,BD!$B$3:$B$5001,$D$2)))</f>
        <v>0</v>
      </c>
      <c r="W42" s="32" t="str">
        <f>IF($B$2="Todos",IF(COUNT($C$169:$L$169)=0,"",SUM($C$169:$L$169)),IFERROR(INDEX($C$169:$L$169,MATCH($D$2,$C$138:$L$138,0)),""))</f>
        <v/>
      </c>
      <c r="X42" s="47" t="str">
        <f>IF(Y42="","",IF($B$2="Todos",IF($B$4&gt;0,$B$4,IF($B$2="Todos",IF(COUNT($C$239:$L$239)=0,"",SUM($C$239:$L$239)),IFERROR(INDEX($C$239:$L$239,MATCH($D$2,$C$208:$L$208,0)),""))),IFERROR(INDEX($C$239:$L$239,MATCH($D$2,$C$208:$L$208,0)),"")))</f>
        <v/>
      </c>
      <c r="Y42" s="32" t="str">
        <f>IF($B$2="Todos",IF(COUNT($C$204:$L$204)=0,"",SUM($C$204:$L$204)),IFERROR(INDEX($C$204:$L$204,MATCH($D$2,$C$173:$L$173,0)),""))</f>
        <v/>
      </c>
      <c r="Z42" s="48" t="str">
        <f>IF(AND(ISNUMBER(Y42),ISNUMBER(X42)),IF(X42&gt;0,Y42/X42,""),"")</f>
        <v/>
      </c>
      <c r="AA42" s="32" t="str">
        <f>IF($B$2="Todos",IF(COUNT($C$274:$L$274)=0,"",SUM($C$274:$L$274)),IFERROR(INDEX($C$274:$L$274,MATCH($D$2,$C$243:$L$243,0)),""))</f>
        <v/>
      </c>
      <c r="AB42" s="32">
        <f>IF($B42="","",IF($B$2="Todos",SUMIFS(BD!$AA$3:$AA$5001,BD!$A$3:$A$5001,$B42),SUMIFS(BD!$AA$3:$AA$5001,BD!$A$3:$A$5001,$B42,BD!$B$3:$B$5001,$D$2)))</f>
        <v>0</v>
      </c>
      <c r="AC42" s="32">
        <f>IF($B42="","",IF($B$2="Todos",SUMIFS(BD!$AB$3:$AB$5001,BD!$A$3:$A$5001,$B42),SUMIFS(BD!$AB$3:$AB$5001,BD!$A$3:$A$5001,$B42,BD!$B$3:$B$5001,$D$2)))</f>
        <v>0</v>
      </c>
      <c r="AD42" s="32">
        <f>IF($B42="","",IF($B$2="Todos",SUMIFS(BD!$AC$3:$AC$5001,BD!$A$3:$A$5001,$B42),SUMIFS(BD!$AC$3:$AC$5001,BD!$A$3:$A$5001,$B42,BD!$B$3:$B$5001,$D$2)))</f>
        <v>0</v>
      </c>
      <c r="AE42" s="32">
        <f>IF($B42="","",IF($B$2="Todos",SUMIFS(BD!$AD$3:$AD$5001,BD!$A$3:$A$5001,$B42),SUMIFS(BD!$AD$3:$AD$5001,BD!$A$3:$A$5001,$B42,BD!$B$3:$B$5001,$D$2)))</f>
        <v>0</v>
      </c>
      <c r="AF42" s="32">
        <f>IF($B42="","",IF($B$2="Todos",SUMIFS(BD!$AE$3:$AE$5001,BD!$A$3:$A$5001,$B42),SUMIFS(BD!$AE$3:$AE$5001,BD!$A$3:$A$5001,$B42,BD!$B$3:$B$5001,$D$2)))</f>
        <v>0</v>
      </c>
      <c r="AG42" s="32">
        <f>IF($B42="","",IF($B$2="Todos",SUMIFS(BD!$AF$3:$AF$5001,BD!$A$3:$A$5001,$B42),SUMIFS(BD!$AF$3:$AF$5001,BD!$A$3:$A$5001,$B42,BD!$B$3:$B$5001,$D$2)))</f>
        <v>0</v>
      </c>
      <c r="AH42" s="32">
        <f>IF($B42="","",IF($B$2="Todos",SUMIFS(BD!$AG$3:$AG$5001,BD!$A$3:$A$5001,$B42),SUMIFS(BD!$AG$3:$AG$5001,BD!$A$3:$A$5001,$B42,BD!$B$3:$B$5001,$D$2)))</f>
        <v>0</v>
      </c>
      <c r="AI42" s="49">
        <f>$B$5</f>
        <v>0.7</v>
      </c>
      <c r="AJ42" s="49">
        <f>$B$6</f>
        <v>0.9</v>
      </c>
      <c r="AY42" s="60">
        <f>IF(OR($B42="",N(VALUE($AH$336))=0),"",IF(INDEX($C42:$AH42,VALUE($AH$336))="","",IF(N(VALUE($AJ$336))=0,INDEX($C42:$AH42,VALUE($AH$336)),IF(N(INDEX($C42:$AH42,N(VALUE($AJ$336))))&gt;0,INDEX($C42:$AH42,VALUE($AH$336))/INDEX($C42:$AH42,N(VALUE($AJ$336))),""))))</f>
        <v>0</v>
      </c>
      <c r="AZ42" s="60">
        <f>IF(OR($B42="",N(VALUE($AI$336))=0),"",IF(INDEX($C42:$AH42,VALUE($AI$336))="","",IF(N(VALUE($AK$336))=0,INDEX($C42:$AH42,VALUE($AI$336)),IF(N(INDEX($C42:$AH42,N(VALUE($AK$336))))&gt;0,INDEX($C42:$AH42,VALUE($AI$336))/INDEX($C42:$AH42,N(VALUE($AK$336))),""))))</f>
        <v>0</v>
      </c>
      <c r="BA42" s="60">
        <f>IF(OR($B42="",N(VALUE($AP$336))=0),"",IF(INDEX($C42:$AH42,VALUE($AP$336))="","",IF(N(VALUE($AR$336))=0,INDEX($C42:$AH42,VALUE($AP$336)),IF(N(INDEX($C42:$AH42,N(VALUE($AR$336))))&gt;0,INDEX($C42:$AH42,VALUE($AP$336))/INDEX($C42:$AH42,N(VALUE($AR$336))),""))))</f>
        <v>0</v>
      </c>
      <c r="BB42" s="60">
        <f>IF(OR($B42="",N(VALUE($AQ$336))=0),"",IF(INDEX($C42:$AH42,VALUE($AQ$336))="","",IF(N(VALUE($AS$336))=0,INDEX($C42:$AH42,VALUE($AQ$336)),IF(N(INDEX($C42:$AH42,N(VALUE($AS$336))))&gt;0,INDEX($C42:$AH42,VALUE($AQ$336))/INDEX($C42:$AH42,N(VALUE($AS$336))),""))))</f>
        <v>0</v>
      </c>
      <c r="BD42" s="32" t="str">
        <f>IF(AND($A42=$B$9,ISNUMBER(X42)),X42,NA())</f>
        <v/>
      </c>
    </row>
    <row r="43">
      <c r="A43" s="50" t="inlineStr">
        <is>
          <t xml:space="preserve">Realizado no mês (soma · último valor em estoque)</t>
        </is>
      </c>
      <c r="C43" s="52">
        <f>SUM(C12:C42)</f>
        <v>0</v>
      </c>
      <c r="D43" s="52">
        <f>SUM(D12:D42)</f>
        <v>0</v>
      </c>
      <c r="E43" s="58">
        <f>SUM(E12:E42)</f>
        <v>0</v>
      </c>
      <c r="F43" s="52">
        <f>SUM(F12:F42)</f>
        <v>0</v>
      </c>
      <c r="G43" s="52">
        <f>SUM(G12:G42)</f>
        <v>0</v>
      </c>
      <c r="H43" s="52">
        <f>SUM(H12:H42)</f>
        <v>0</v>
      </c>
      <c r="I43" s="52">
        <f>SUM(I12:I42)</f>
        <v>0</v>
      </c>
      <c r="J43" s="52">
        <f>SUM(J12:J42)</f>
        <v>0</v>
      </c>
      <c r="K43" s="52">
        <f>SUM(K12:K42)</f>
        <v>0</v>
      </c>
      <c r="L43" s="52">
        <f>SUM(L12:L42)</f>
        <v>0</v>
      </c>
      <c r="M43" s="52">
        <f>SUM(M12:M42)</f>
        <v>0</v>
      </c>
      <c r="N43" s="52">
        <f>SUM(N12:N42)</f>
        <v>0</v>
      </c>
      <c r="O43" s="52">
        <f>SUM(O12:O42)</f>
        <v>0</v>
      </c>
      <c r="P43" s="52">
        <f>SUM(P12:P42)</f>
        <v>0</v>
      </c>
      <c r="Q43" s="52">
        <f>SUM(Q12:Q42)</f>
        <v>0</v>
      </c>
      <c r="R43" s="52">
        <f>SUM(R12:R42)</f>
        <v>0</v>
      </c>
      <c r="S43" s="52">
        <f>SUM(S12:S42)</f>
        <v>0</v>
      </c>
      <c r="T43" s="58">
        <f>SUM(T12:T42)</f>
        <v>0</v>
      </c>
      <c r="U43" s="52">
        <f>SUM(U12:U42)</f>
        <v>0</v>
      </c>
      <c r="V43" s="52">
        <f>SUM(V12:V42)</f>
        <v>0</v>
      </c>
      <c r="W43" s="52" t="str">
        <f>IFERROR(LOOKUP(9.99E+307,W12:W42),"")</f>
        <v/>
      </c>
      <c r="X43" s="52" t="str">
        <f>IFERROR(LOOKUP(9.99E+307,X12:X42),"")</f>
        <v/>
      </c>
      <c r="Y43" s="52" t="str">
        <f>IFERROR(LOOKUP(9.99E+307,Y12:Y42),"")</f>
        <v/>
      </c>
      <c r="Z43" s="59" t="str">
        <f>IFERROR(LOOKUP(9.99E+307,Z12:Z42),"")</f>
        <v/>
      </c>
      <c r="AA43" s="52" t="str">
        <f>IFERROR(LOOKUP(9.99E+307,AA12:AA42),"")</f>
        <v/>
      </c>
      <c r="AB43" s="52">
        <f>SUM(AB12:AB42)</f>
        <v>0</v>
      </c>
      <c r="AC43" s="52">
        <f>SUM(AC12:AC42)</f>
        <v>0</v>
      </c>
      <c r="AD43" s="52">
        <f>SUM(AD12:AD42)</f>
        <v>0</v>
      </c>
      <c r="AE43" s="52">
        <f>SUM(AE12:AE42)</f>
        <v>0</v>
      </c>
      <c r="AF43" s="52">
        <f>SUM(AF12:AF42)</f>
        <v>0</v>
      </c>
      <c r="AG43" s="52">
        <f>SUM(AG12:AG42)</f>
        <v>0</v>
      </c>
      <c r="AH43" s="52">
        <f>SUM(AH12:AH42)</f>
        <v>0</v>
      </c>
    </row>
    <row r="44">
      <c r="A44" s="51" t="inlineStr">
        <is>
          <t xml:space="preserve">Média por dia</t>
        </is>
      </c>
      <c r="C44" s="53" t="str">
        <f>IFERROR(AVERAGEIF(C12:C42,"&gt;0"),"")</f>
        <v/>
      </c>
      <c r="D44" s="53" t="str">
        <f>IFERROR(AVERAGEIF(D12:D42,"&gt;0"),"")</f>
        <v/>
      </c>
      <c r="E44" s="53" t="str">
        <f>IFERROR(AVERAGEIF(E12:E42,"&gt;0"),"")</f>
        <v/>
      </c>
      <c r="F44" s="53" t="str">
        <f>IFERROR(AVERAGEIF(F12:F42,"&gt;0"),"")</f>
        <v/>
      </c>
      <c r="G44" s="53" t="str">
        <f>IFERROR(AVERAGEIF(G12:G42,"&gt;0"),"")</f>
        <v/>
      </c>
      <c r="H44" s="53" t="str">
        <f>IFERROR(AVERAGEIF(H12:H42,"&gt;0"),"")</f>
        <v/>
      </c>
      <c r="I44" s="53" t="str">
        <f>IFERROR(AVERAGEIF(I12:I42,"&gt;0"),"")</f>
        <v/>
      </c>
      <c r="J44" s="53" t="str">
        <f>IFERROR(AVERAGEIF(J12:J42,"&gt;0"),"")</f>
        <v/>
      </c>
      <c r="K44" s="53" t="str">
        <f>IFERROR(AVERAGEIF(K12:K42,"&gt;0"),"")</f>
        <v/>
      </c>
      <c r="L44" s="53" t="str">
        <f>IFERROR(AVERAGEIF(L12:L42,"&gt;0"),"")</f>
        <v/>
      </c>
      <c r="M44" s="53" t="str">
        <f>IFERROR(AVERAGEIF(M12:M42,"&gt;0"),"")</f>
        <v/>
      </c>
      <c r="N44" s="53" t="str">
        <f>IFERROR(AVERAGEIF(N12:N42,"&gt;0"),"")</f>
        <v/>
      </c>
      <c r="O44" s="53" t="str">
        <f>IFERROR(AVERAGEIF(O12:O42,"&gt;0"),"")</f>
        <v/>
      </c>
      <c r="P44" s="53" t="str">
        <f>IFERROR(AVERAGEIF(P12:P42,"&gt;0"),"")</f>
        <v/>
      </c>
      <c r="Q44" s="53" t="str">
        <f>IFERROR(AVERAGEIF(Q12:Q42,"&gt;0"),"")</f>
        <v/>
      </c>
      <c r="R44" s="53" t="str">
        <f>IFERROR(AVERAGEIF(R12:R42,"&gt;0"),"")</f>
        <v/>
      </c>
      <c r="S44" s="53" t="str">
        <f>IFERROR(AVERAGEIF(S12:S42,"&gt;0"),"")</f>
        <v/>
      </c>
      <c r="T44" s="53" t="str">
        <f>IFERROR(AVERAGEIF(T12:T42,"&gt;0"),"")</f>
        <v/>
      </c>
      <c r="U44" s="53" t="str">
        <f>IFERROR(AVERAGEIF(U12:U42,"&gt;0"),"")</f>
        <v/>
      </c>
      <c r="V44" s="53" t="str">
        <f>IFERROR(AVERAGEIF(V12:V42,"&gt;0"),"")</f>
        <v/>
      </c>
      <c r="W44" s="53" t="str">
        <f>IFERROR(AVERAGE(W12:W42),"")</f>
        <v/>
      </c>
      <c r="X44" s="53" t="str">
        <f>IFERROR(AVERAGE(X12:X42),"")</f>
        <v/>
      </c>
      <c r="Y44" s="53" t="str">
        <f>IFERROR(AVERAGE(Y12:Y42),"")</f>
        <v/>
      </c>
      <c r="Z44" s="55" t="str">
        <f>IFERROR(AVERAGE(Z12:Z42),"")</f>
        <v/>
      </c>
      <c r="AA44" s="53" t="str">
        <f>IFERROR(AVERAGE(AA12:AA42),"")</f>
        <v/>
      </c>
      <c r="AB44" s="53" t="str">
        <f>IFERROR(AVERAGEIF(AB12:AB42,"&gt;0"),"")</f>
        <v/>
      </c>
      <c r="AC44" s="53" t="str">
        <f>IFERROR(AVERAGEIF(AC12:AC42,"&gt;0"),"")</f>
        <v/>
      </c>
      <c r="AD44" s="53" t="str">
        <f>IFERROR(AVERAGEIF(AD12:AD42,"&gt;0"),"")</f>
        <v/>
      </c>
      <c r="AE44" s="53" t="str">
        <f>IFERROR(AVERAGEIF(AE12:AE42,"&gt;0"),"")</f>
        <v/>
      </c>
      <c r="AF44" s="53" t="str">
        <f>IFERROR(AVERAGEIF(AF12:AF42,"&gt;0"),"")</f>
        <v/>
      </c>
      <c r="AG44" s="53" t="str">
        <f>IFERROR(AVERAGEIF(AG12:AG42,"&gt;0"),"")</f>
        <v/>
      </c>
      <c r="AH44" s="53" t="str">
        <f>IFERROR(AVERAGEIF(AH12:AH42,"&gt;0"),"")</f>
        <v/>
      </c>
    </row>
    <row r="45">
      <c r="A45" s="51" t="inlineStr">
        <is>
          <t xml:space="preserve">Máximo em um dia</t>
        </is>
      </c>
      <c r="C45" s="54">
        <f>IF(COUNT(C12:C42)=0,"",MAX(C12:C42))</f>
        <v>0</v>
      </c>
      <c r="D45" s="54">
        <f>IF(COUNT(D12:D42)=0,"",MAX(D12:D42))</f>
        <v>0</v>
      </c>
      <c r="E45" s="53">
        <f>IF(COUNT(E12:E42)=0,"",MAX(E12:E42))</f>
        <v>0</v>
      </c>
      <c r="F45" s="54">
        <f>IF(COUNT(F12:F42)=0,"",MAX(F12:F42))</f>
        <v>0</v>
      </c>
      <c r="G45" s="54">
        <f>IF(COUNT(G12:G42)=0,"",MAX(G12:G42))</f>
        <v>0</v>
      </c>
      <c r="H45" s="54">
        <f>IF(COUNT(H12:H42)=0,"",MAX(H12:H42))</f>
        <v>0</v>
      </c>
      <c r="I45" s="54">
        <f>IF(COUNT(I12:I42)=0,"",MAX(I12:I42))</f>
        <v>0</v>
      </c>
      <c r="J45" s="54">
        <f>IF(COUNT(J12:J42)=0,"",MAX(J12:J42))</f>
        <v>0</v>
      </c>
      <c r="K45" s="54">
        <f>IF(COUNT(K12:K42)=0,"",MAX(K12:K42))</f>
        <v>0</v>
      </c>
      <c r="L45" s="54">
        <f>IF(COUNT(L12:L42)=0,"",MAX(L12:L42))</f>
        <v>0</v>
      </c>
      <c r="M45" s="54">
        <f>IF(COUNT(M12:M42)=0,"",MAX(M12:M42))</f>
        <v>0</v>
      </c>
      <c r="N45" s="54">
        <f>IF(COUNT(N12:N42)=0,"",MAX(N12:N42))</f>
        <v>0</v>
      </c>
      <c r="O45" s="54">
        <f>IF(COUNT(O12:O42)=0,"",MAX(O12:O42))</f>
        <v>0</v>
      </c>
      <c r="P45" s="54">
        <f>IF(COUNT(P12:P42)=0,"",MAX(P12:P42))</f>
        <v>0</v>
      </c>
      <c r="Q45" s="54">
        <f>IF(COUNT(Q12:Q42)=0,"",MAX(Q12:Q42))</f>
        <v>0</v>
      </c>
      <c r="R45" s="54">
        <f>IF(COUNT(R12:R42)=0,"",MAX(R12:R42))</f>
        <v>0</v>
      </c>
      <c r="S45" s="54">
        <f>IF(COUNT(S12:S42)=0,"",MAX(S12:S42))</f>
        <v>0</v>
      </c>
      <c r="T45" s="53">
        <f>IF(COUNT(T12:T42)=0,"",MAX(T12:T42))</f>
        <v>0</v>
      </c>
      <c r="U45" s="54">
        <f>IF(COUNT(U12:U42)=0,"",MAX(U12:U42))</f>
        <v>0</v>
      </c>
      <c r="V45" s="54">
        <f>IF(COUNT(V12:V42)=0,"",MAX(V12:V42))</f>
        <v>0</v>
      </c>
      <c r="W45" s="54" t="str">
        <f>IF(COUNT(W12:W42)=0,"",MAX(W12:W42))</f>
        <v/>
      </c>
      <c r="X45" s="54" t="str">
        <f>IF(COUNT(X12:X42)=0,"",MAX(X12:X42))</f>
        <v/>
      </c>
      <c r="Y45" s="54" t="str">
        <f>IF(COUNT(Y12:Y42)=0,"",MAX(Y12:Y42))</f>
        <v/>
      </c>
      <c r="Z45" s="55" t="str">
        <f>IF(COUNT(Z12:Z42)=0,"",MAX(Z12:Z42))</f>
        <v/>
      </c>
      <c r="AA45" s="54" t="str">
        <f>IF(COUNT(AA12:AA42)=0,"",MAX(AA12:AA42))</f>
        <v/>
      </c>
      <c r="AB45" s="54">
        <f>IF(COUNT(AB12:AB42)=0,"",MAX(AB12:AB42))</f>
        <v>0</v>
      </c>
      <c r="AC45" s="54">
        <f>IF(COUNT(AC12:AC42)=0,"",MAX(AC12:AC42))</f>
        <v>0</v>
      </c>
      <c r="AD45" s="54">
        <f>IF(COUNT(AD12:AD42)=0,"",MAX(AD12:AD42))</f>
        <v>0</v>
      </c>
      <c r="AE45" s="54">
        <f>IF(COUNT(AE12:AE42)=0,"",MAX(AE12:AE42))</f>
        <v>0</v>
      </c>
      <c r="AF45" s="54">
        <f>IF(COUNT(AF12:AF42)=0,"",MAX(AF12:AF42))</f>
        <v>0</v>
      </c>
      <c r="AG45" s="54">
        <f>IF(COUNT(AG12:AG42)=0,"",MAX(AG12:AG42))</f>
        <v>0</v>
      </c>
      <c r="AH45" s="54">
        <f>IF(COUNT(AH12:AH42)=0,"",MAX(AH12:AH42))</f>
        <v>0</v>
      </c>
    </row>
    <row r="46">
      <c r="A46" s="51" t="inlineStr">
        <is>
          <t xml:space="preserve">Mês anterior (mesmo intervalo)</t>
        </is>
      </c>
      <c r="C46" s="54" t="str">
        <f>IF($B$9=0,"",IF($B$2="Todos",SUMIFS(BD!$C$3:$C$5001,BD!$A$3:$A$5001,"&gt;="&amp;$C$8,BD!$A$3:$A$5001,"&lt;="&amp;$D$8),SUMIFS(BD!$C$3:$C$5001,BD!$A$3:$A$5001,"&gt;="&amp;$C$8,BD!$A$3:$A$5001,"&lt;="&amp;$D$8,BD!$B$3:$B$5001,$D$2)))</f>
        <v/>
      </c>
      <c r="D46" s="54" t="str">
        <f>IF($B$9=0,"",IF($B$2="Todos",SUMIFS(BD!$D$3:$D$5001,BD!$A$3:$A$5001,"&gt;="&amp;$C$8,BD!$A$3:$A$5001,"&lt;="&amp;$D$8),SUMIFS(BD!$D$3:$D$5001,BD!$A$3:$A$5001,"&gt;="&amp;$C$8,BD!$A$3:$A$5001,"&lt;="&amp;$D$8,BD!$B$3:$B$5001,$D$2)))</f>
        <v/>
      </c>
      <c r="E46" s="53" t="str">
        <f>IF($B$9=0,"",IF($B$2="Todos",SUMIFS(BD!$E$3:$E$5001,BD!$A$3:$A$5001,"&gt;="&amp;$C$8,BD!$A$3:$A$5001,"&lt;="&amp;$D$8),SUMIFS(BD!$E$3:$E$5001,BD!$A$3:$A$5001,"&gt;="&amp;$C$8,BD!$A$3:$A$5001,"&lt;="&amp;$D$8,BD!$B$3:$B$5001,$D$2)))</f>
        <v/>
      </c>
      <c r="F46" s="54" t="str">
        <f>IF($B$9=0,"",IF($B$2="Todos",SUMIFS(BD!$F$3:$F$5001,BD!$A$3:$A$5001,"&gt;="&amp;$C$8,BD!$A$3:$A$5001,"&lt;="&amp;$D$8),SUMIFS(BD!$F$3:$F$5001,BD!$A$3:$A$5001,"&gt;="&amp;$C$8,BD!$A$3:$A$5001,"&lt;="&amp;$D$8,BD!$B$3:$B$5001,$D$2)))</f>
        <v/>
      </c>
      <c r="G46" s="54" t="str">
        <f>IF($B$9=0,"",IF($B$2="Todos",SUMIFS(BD!$G$3:$G$5001,BD!$A$3:$A$5001,"&gt;="&amp;$C$8,BD!$A$3:$A$5001,"&lt;="&amp;$D$8),SUMIFS(BD!$G$3:$G$5001,BD!$A$3:$A$5001,"&gt;="&amp;$C$8,BD!$A$3:$A$5001,"&lt;="&amp;$D$8,BD!$B$3:$B$5001,$D$2)))</f>
        <v/>
      </c>
      <c r="H46" s="54" t="str">
        <f>IF($B$9=0,"",IF($B$2="Todos",SUMIFS(BD!$H$3:$H$5001,BD!$A$3:$A$5001,"&gt;="&amp;$C$8,BD!$A$3:$A$5001,"&lt;="&amp;$D$8),SUMIFS(BD!$H$3:$H$5001,BD!$A$3:$A$5001,"&gt;="&amp;$C$8,BD!$A$3:$A$5001,"&lt;="&amp;$D$8,BD!$B$3:$B$5001,$D$2)))</f>
        <v/>
      </c>
      <c r="I46" s="54" t="str">
        <f>IF($B$9=0,"",IF($B$2="Todos",SUMIFS(BD!$I$3:$I$5001,BD!$A$3:$A$5001,"&gt;="&amp;$C$8,BD!$A$3:$A$5001,"&lt;="&amp;$D$8),SUMIFS(BD!$I$3:$I$5001,BD!$A$3:$A$5001,"&gt;="&amp;$C$8,BD!$A$3:$A$5001,"&lt;="&amp;$D$8,BD!$B$3:$B$5001,$D$2)))</f>
        <v/>
      </c>
      <c r="J46" s="54" t="str">
        <f>IF($B$9=0,"",IF($B$2="Todos",SUMIFS(BD!$J$3:$J$5001,BD!$A$3:$A$5001,"&gt;="&amp;$C$8,BD!$A$3:$A$5001,"&lt;="&amp;$D$8),SUMIFS(BD!$J$3:$J$5001,BD!$A$3:$A$5001,"&gt;="&amp;$C$8,BD!$A$3:$A$5001,"&lt;="&amp;$D$8,BD!$B$3:$B$5001,$D$2)))</f>
        <v/>
      </c>
      <c r="K46" s="54" t="str">
        <f>IF($B$9=0,"",IF($B$2="Todos",SUMIFS(BD!$K$3:$K$5001,BD!$A$3:$A$5001,"&gt;="&amp;$C$8,BD!$A$3:$A$5001,"&lt;="&amp;$D$8),SUMIFS(BD!$K$3:$K$5001,BD!$A$3:$A$5001,"&gt;="&amp;$C$8,BD!$A$3:$A$5001,"&lt;="&amp;$D$8,BD!$B$3:$B$5001,$D$2)))</f>
        <v/>
      </c>
      <c r="L46" s="54" t="str">
        <f>IF($B$9=0,"",IF($B$2="Todos",SUMIFS(BD!$L$3:$L$5001,BD!$A$3:$A$5001,"&gt;="&amp;$C$8,BD!$A$3:$A$5001,"&lt;="&amp;$D$8),SUMIFS(BD!$L$3:$L$5001,BD!$A$3:$A$5001,"&gt;="&amp;$C$8,BD!$A$3:$A$5001,"&lt;="&amp;$D$8,BD!$B$3:$B$5001,$D$2)))</f>
        <v/>
      </c>
      <c r="M46" s="54" t="str">
        <f>IF($B$9=0,"",IF($B$2="Todos",SUMIFS(BD!$M$3:$M$5001,BD!$A$3:$A$5001,"&gt;="&amp;$C$8,BD!$A$3:$A$5001,"&lt;="&amp;$D$8),SUMIFS(BD!$M$3:$M$5001,BD!$A$3:$A$5001,"&gt;="&amp;$C$8,BD!$A$3:$A$5001,"&lt;="&amp;$D$8,BD!$B$3:$B$5001,$D$2)))</f>
        <v/>
      </c>
      <c r="N46" s="54" t="str">
        <f>IF($B$9=0,"",IF($B$2="Todos",SUMIFS(BD!$N$3:$N$5001,BD!$A$3:$A$5001,"&gt;="&amp;$C$8,BD!$A$3:$A$5001,"&lt;="&amp;$D$8),SUMIFS(BD!$N$3:$N$5001,BD!$A$3:$A$5001,"&gt;="&amp;$C$8,BD!$A$3:$A$5001,"&lt;="&amp;$D$8,BD!$B$3:$B$5001,$D$2)))</f>
        <v/>
      </c>
      <c r="O46" s="54" t="str">
        <f>IF($B$9=0,"",IF($B$2="Todos",SUMIFS(BD!$O$3:$O$5001,BD!$A$3:$A$5001,"&gt;="&amp;$C$8,BD!$A$3:$A$5001,"&lt;="&amp;$D$8),SUMIFS(BD!$O$3:$O$5001,BD!$A$3:$A$5001,"&gt;="&amp;$C$8,BD!$A$3:$A$5001,"&lt;="&amp;$D$8,BD!$B$3:$B$5001,$D$2)))</f>
        <v/>
      </c>
      <c r="P46" s="54" t="str">
        <f>IF($B$9=0,"",IF($B$2="Todos",SUMIFS(BD!$P$3:$P$5001,BD!$A$3:$A$5001,"&gt;="&amp;$C$8,BD!$A$3:$A$5001,"&lt;="&amp;$D$8),SUMIFS(BD!$P$3:$P$5001,BD!$A$3:$A$5001,"&gt;="&amp;$C$8,BD!$A$3:$A$5001,"&lt;="&amp;$D$8,BD!$B$3:$B$5001,$D$2)))</f>
        <v/>
      </c>
      <c r="Q46" s="54" t="str">
        <f>IF($B$9=0,"",IF($B$2="Todos",SUMIFS(BD!$Q$3:$Q$5001,BD!$A$3:$A$5001,"&gt;="&amp;$C$8,BD!$A$3:$A$5001,"&lt;="&amp;$D$8),SUMIFS(BD!$Q$3:$Q$5001,BD!$A$3:$A$5001,"&gt;="&amp;$C$8,BD!$A$3:$A$5001,"&lt;="&amp;$D$8,BD!$B$3:$B$5001,$D$2)))</f>
        <v/>
      </c>
      <c r="R46" s="54" t="str">
        <f>IF($B$9=0,"",IF($B$2="Todos",SUMIFS(BD!$R$3:$R$5001,BD!$A$3:$A$5001,"&gt;="&amp;$C$8,BD!$A$3:$A$5001,"&lt;="&amp;$D$8),SUMIFS(BD!$R$3:$R$5001,BD!$A$3:$A$5001,"&gt;="&amp;$C$8,BD!$A$3:$A$5001,"&lt;="&amp;$D$8,BD!$B$3:$B$5001,$D$2)))</f>
        <v/>
      </c>
      <c r="S46" s="54" t="str">
        <f>IF($B$9=0,"",IF($B$2="Todos",SUMIFS(BD!$S$3:$S$5001,BD!$A$3:$A$5001,"&gt;="&amp;$C$8,BD!$A$3:$A$5001,"&lt;="&amp;$D$8),SUMIFS(BD!$S$3:$S$5001,BD!$A$3:$A$5001,"&gt;="&amp;$C$8,BD!$A$3:$A$5001,"&lt;="&amp;$D$8,BD!$B$3:$B$5001,$D$2)))</f>
        <v/>
      </c>
      <c r="T46" s="53" t="str">
        <f>IF($B$9=0,"",IF($B$2="Todos",SUMIFS(BD!$T$3:$T$5001,BD!$A$3:$A$5001,"&gt;="&amp;$C$8,BD!$A$3:$A$5001,"&lt;="&amp;$D$8),SUMIFS(BD!$T$3:$T$5001,BD!$A$3:$A$5001,"&gt;="&amp;$C$8,BD!$A$3:$A$5001,"&lt;="&amp;$D$8,BD!$B$3:$B$5001,$D$2)))</f>
        <v/>
      </c>
      <c r="U46" s="54" t="str">
        <f>IF($B$9=0,"",IF($B$2="Todos",SUMIFS(BD!$U$3:$U$5001,BD!$A$3:$A$5001,"&gt;="&amp;$C$8,BD!$A$3:$A$5001,"&lt;="&amp;$D$8),SUMIFS(BD!$U$3:$U$5001,BD!$A$3:$A$5001,"&gt;="&amp;$C$8,BD!$A$3:$A$5001,"&lt;="&amp;$D$8,BD!$B$3:$B$5001,$D$2)))</f>
        <v/>
      </c>
      <c r="V46" s="54" t="str">
        <f>IF($B$9=0,"",IF($B$2="Todos",SUMIFS(BD!$V$3:$V$5001,BD!$A$3:$A$5001,"&gt;="&amp;$C$8,BD!$A$3:$A$5001,"&lt;="&amp;$D$8),SUMIFS(BD!$V$3:$V$5001,BD!$A$3:$A$5001,"&gt;="&amp;$C$8,BD!$A$3:$A$5001,"&lt;="&amp;$D$8,BD!$B$3:$B$5001,$D$2)))</f>
        <v/>
      </c>
      <c r="W46" s="54" t="str">
        <f>IF($B$9=0,"",IF($B$2="Todos",IF(COUNT($C$170:$L$170)=0,"",SUM($C$170:$L$170)),IFERROR(INDEX($C$170:$L$170,MATCH($D$2,$C$138:$L$138,0)),"")))</f>
        <v/>
      </c>
      <c r="X46" s="54" t="str">
        <f>IF(Y46="","",IF($B$2="Todos",IF($B$4&gt;0,$B$4,IF($B$2="Todos",IF(COUNT($C$240:$L$240)=0,"",SUM($C$240:$L$240)),IFERROR(INDEX($C$240:$L$240,MATCH($D$2,$C$208:$L$208,0)),""))),IFERROR(INDEX($C$240:$L$240,MATCH($D$2,$C$208:$L$208,0)),"")))</f>
        <v/>
      </c>
      <c r="Y46" s="54" t="str">
        <f>IF($B$9=0,"",IF($B$2="Todos",IF(COUNT($C$205:$L$205)=0,"",SUM($C$205:$L$205)),IFERROR(INDEX($C$205:$L$205,MATCH($D$2,$C$173:$L$173,0)),"")))</f>
        <v/>
      </c>
      <c r="Z46" s="55" t="str">
        <f>IF(AND(ISNUMBER(Y46),ISNUMBER(X46)),IF(X46&gt;0,Y46/X46,""),"")</f>
        <v/>
      </c>
      <c r="AA46" s="54" t="str">
        <f>IF($B$9=0,"",IF($B$2="Todos",IF(COUNT($C$275:$L$275)=0,"",SUM($C$275:$L$275)),IFERROR(INDEX($C$275:$L$275,MATCH($D$2,$C$243:$L$243,0)),"")))</f>
        <v/>
      </c>
      <c r="AB46" s="54" t="str">
        <f>IF($B$9=0,"",IF($B$2="Todos",SUMIFS(BD!$AA$3:$AA$5001,BD!$A$3:$A$5001,"&gt;="&amp;$C$8,BD!$A$3:$A$5001,"&lt;="&amp;$D$8),SUMIFS(BD!$AA$3:$AA$5001,BD!$A$3:$A$5001,"&gt;="&amp;$C$8,BD!$A$3:$A$5001,"&lt;="&amp;$D$8,BD!$B$3:$B$5001,$D$2)))</f>
        <v/>
      </c>
      <c r="AC46" s="54" t="str">
        <f>IF($B$9=0,"",IF($B$2="Todos",SUMIFS(BD!$AB$3:$AB$5001,BD!$A$3:$A$5001,"&gt;="&amp;$C$8,BD!$A$3:$A$5001,"&lt;="&amp;$D$8),SUMIFS(BD!$AB$3:$AB$5001,BD!$A$3:$A$5001,"&gt;="&amp;$C$8,BD!$A$3:$A$5001,"&lt;="&amp;$D$8,BD!$B$3:$B$5001,$D$2)))</f>
        <v/>
      </c>
      <c r="AD46" s="54" t="str">
        <f>IF($B$9=0,"",IF($B$2="Todos",SUMIFS(BD!$AC$3:$AC$5001,BD!$A$3:$A$5001,"&gt;="&amp;$C$8,BD!$A$3:$A$5001,"&lt;="&amp;$D$8),SUMIFS(BD!$AC$3:$AC$5001,BD!$A$3:$A$5001,"&gt;="&amp;$C$8,BD!$A$3:$A$5001,"&lt;="&amp;$D$8,BD!$B$3:$B$5001,$D$2)))</f>
        <v/>
      </c>
      <c r="AE46" s="54" t="str">
        <f>IF($B$9=0,"",IF($B$2="Todos",SUMIFS(BD!$AD$3:$AD$5001,BD!$A$3:$A$5001,"&gt;="&amp;$C$8,BD!$A$3:$A$5001,"&lt;="&amp;$D$8),SUMIFS(BD!$AD$3:$AD$5001,BD!$A$3:$A$5001,"&gt;="&amp;$C$8,BD!$A$3:$A$5001,"&lt;="&amp;$D$8,BD!$B$3:$B$5001,$D$2)))</f>
        <v/>
      </c>
      <c r="AF46" s="54" t="str">
        <f>IF($B$9=0,"",IF($B$2="Todos",SUMIFS(BD!$AE$3:$AE$5001,BD!$A$3:$A$5001,"&gt;="&amp;$C$8,BD!$A$3:$A$5001,"&lt;="&amp;$D$8),SUMIFS(BD!$AE$3:$AE$5001,BD!$A$3:$A$5001,"&gt;="&amp;$C$8,BD!$A$3:$A$5001,"&lt;="&amp;$D$8,BD!$B$3:$B$5001,$D$2)))</f>
        <v/>
      </c>
      <c r="AG46" s="54" t="str">
        <f>IF($B$9=0,"",IF($B$2="Todos",SUMIFS(BD!$AF$3:$AF$5001,BD!$A$3:$A$5001,"&gt;="&amp;$C$8,BD!$A$3:$A$5001,"&lt;="&amp;$D$8),SUMIFS(BD!$AF$3:$AF$5001,BD!$A$3:$A$5001,"&gt;="&amp;$C$8,BD!$A$3:$A$5001,"&lt;="&amp;$D$8,BD!$B$3:$B$5001,$D$2)))</f>
        <v/>
      </c>
      <c r="AH46" s="54" t="str">
        <f>IF($B$9=0,"",IF($B$2="Todos",SUMIFS(BD!$AG$3:$AG$5001,BD!$A$3:$A$5001,"&gt;="&amp;$C$8,BD!$A$3:$A$5001,"&lt;="&amp;$D$8),SUMIFS(BD!$AG$3:$AG$5001,BD!$A$3:$A$5001,"&gt;="&amp;$C$8,BD!$A$3:$A$5001,"&lt;="&amp;$D$8,BD!$B$3:$B$5001,$D$2)))</f>
        <v/>
      </c>
    </row>
    <row r="47">
      <c r="A47" s="51" t="inlineStr">
        <is>
          <t xml:space="preserve">Variação vs mês anterior</t>
        </is>
      </c>
      <c r="C47" s="55" t="str">
        <f>IF(AND(ISNUMBER(C43),ISNUMBER(C46)),IF(C46&lt;&gt;0,C43/C46-1,""),"")</f>
        <v/>
      </c>
      <c r="D47" s="55" t="str">
        <f>IF(AND(ISNUMBER(D43),ISNUMBER(D46)),IF(D46&lt;&gt;0,D43/D46-1,""),"")</f>
        <v/>
      </c>
      <c r="E47" s="55" t="str">
        <f>IF(AND(ISNUMBER(E43),ISNUMBER(E46)),IF(E46&lt;&gt;0,E43/E46-1,""),"")</f>
        <v/>
      </c>
      <c r="F47" s="55" t="str">
        <f>IF(AND(ISNUMBER(F43),ISNUMBER(F46)),IF(F46&lt;&gt;0,F43/F46-1,""),"")</f>
        <v/>
      </c>
      <c r="G47" s="55" t="str">
        <f>IF(AND(ISNUMBER(G43),ISNUMBER(G46)),IF(G46&lt;&gt;0,G43/G46-1,""),"")</f>
        <v/>
      </c>
      <c r="H47" s="55" t="str">
        <f>IF(AND(ISNUMBER(H43),ISNUMBER(H46)),IF(H46&lt;&gt;0,H43/H46-1,""),"")</f>
        <v/>
      </c>
      <c r="I47" s="55" t="str">
        <f>IF(AND(ISNUMBER(I43),ISNUMBER(I46)),IF(I46&lt;&gt;0,I43/I46-1,""),"")</f>
        <v/>
      </c>
      <c r="J47" s="55" t="str">
        <f>IF(AND(ISNUMBER(J43),ISNUMBER(J46)),IF(J46&lt;&gt;0,J43/J46-1,""),"")</f>
        <v/>
      </c>
      <c r="K47" s="55" t="str">
        <f>IF(AND(ISNUMBER(K43),ISNUMBER(K46)),IF(K46&lt;&gt;0,K43/K46-1,""),"")</f>
        <v/>
      </c>
      <c r="L47" s="55" t="str">
        <f>IF(AND(ISNUMBER(L43),ISNUMBER(L46)),IF(L46&lt;&gt;0,L43/L46-1,""),"")</f>
        <v/>
      </c>
      <c r="M47" s="55" t="str">
        <f>IF(AND(ISNUMBER(M43),ISNUMBER(M46)),IF(M46&lt;&gt;0,M43/M46-1,""),"")</f>
        <v/>
      </c>
      <c r="N47" s="55" t="str">
        <f>IF(AND(ISNUMBER(N43),ISNUMBER(N46)),IF(N46&lt;&gt;0,N43/N46-1,""),"")</f>
        <v/>
      </c>
      <c r="O47" s="55" t="str">
        <f>IF(AND(ISNUMBER(O43),ISNUMBER(O46)),IF(O46&lt;&gt;0,O43/O46-1,""),"")</f>
        <v/>
      </c>
      <c r="P47" s="55" t="str">
        <f>IF(AND(ISNUMBER(P43),ISNUMBER(P46)),IF(P46&lt;&gt;0,P43/P46-1,""),"")</f>
        <v/>
      </c>
      <c r="Q47" s="55" t="str">
        <f>IF(AND(ISNUMBER(Q43),ISNUMBER(Q46)),IF(Q46&lt;&gt;0,Q43/Q46-1,""),"")</f>
        <v/>
      </c>
      <c r="R47" s="55" t="str">
        <f>IF(AND(ISNUMBER(R43),ISNUMBER(R46)),IF(R46&lt;&gt;0,R43/R46-1,""),"")</f>
        <v/>
      </c>
      <c r="S47" s="55" t="str">
        <f>IF(AND(ISNUMBER(S43),ISNUMBER(S46)),IF(S46&lt;&gt;0,S43/S46-1,""),"")</f>
        <v/>
      </c>
      <c r="T47" s="55" t="str">
        <f>IF(AND(ISNUMBER(T43),ISNUMBER(T46)),IF(T46&lt;&gt;0,T43/T46-1,""),"")</f>
        <v/>
      </c>
      <c r="U47" s="55" t="str">
        <f>IF(AND(ISNUMBER(U43),ISNUMBER(U46)),IF(U46&lt;&gt;0,U43/U46-1,""),"")</f>
        <v/>
      </c>
      <c r="V47" s="55" t="str">
        <f>IF(AND(ISNUMBER(V43),ISNUMBER(V46)),IF(V46&lt;&gt;0,V43/V46-1,""),"")</f>
        <v/>
      </c>
      <c r="W47" s="55" t="str">
        <f>IF(AND(ISNUMBER(W43),ISNUMBER(W46)),IF(W46&lt;&gt;0,W43/W46-1,""),"")</f>
        <v/>
      </c>
      <c r="X47" s="55" t="str">
        <f>IF(AND(ISNUMBER(X43),ISNUMBER(X46)),IF(X46&lt;&gt;0,X43/X46-1,""),"")</f>
        <v/>
      </c>
      <c r="Y47" s="55" t="str">
        <f>IF(AND(ISNUMBER(Y43),ISNUMBER(Y46)),IF(Y46&lt;&gt;0,Y43/Y46-1,""),"")</f>
        <v/>
      </c>
      <c r="Z47" s="55" t="str">
        <f>IF(AND(ISNUMBER(Z43),ISNUMBER(Z46)),IF(Z46&lt;&gt;0,Z43/Z46-1,""),"")</f>
        <v/>
      </c>
      <c r="AA47" s="55" t="str">
        <f>IF(AND(ISNUMBER(AA43),ISNUMBER(AA46)),IF(AA46&lt;&gt;0,AA43/AA46-1,""),"")</f>
        <v/>
      </c>
      <c r="AB47" s="55" t="str">
        <f>IF(AND(ISNUMBER(AB43),ISNUMBER(AB46)),IF(AB46&lt;&gt;0,AB43/AB46-1,""),"")</f>
        <v/>
      </c>
      <c r="AC47" s="55" t="str">
        <f>IF(AND(ISNUMBER(AC43),ISNUMBER(AC46)),IF(AC46&lt;&gt;0,AC43/AC46-1,""),"")</f>
        <v/>
      </c>
      <c r="AD47" s="55" t="str">
        <f>IF(AND(ISNUMBER(AD43),ISNUMBER(AD46)),IF(AD46&lt;&gt;0,AD43/AD46-1,""),"")</f>
        <v/>
      </c>
      <c r="AE47" s="55" t="str">
        <f>IF(AND(ISNUMBER(AE43),ISNUMBER(AE46)),IF(AE46&lt;&gt;0,AE43/AE46-1,""),"")</f>
        <v/>
      </c>
      <c r="AF47" s="55" t="str">
        <f>IF(AND(ISNUMBER(AF43),ISNUMBER(AF46)),IF(AF46&lt;&gt;0,AF43/AF46-1,""),"")</f>
        <v/>
      </c>
      <c r="AG47" s="55" t="str">
        <f>IF(AND(ISNUMBER(AG43),ISNUMBER(AG46)),IF(AG46&lt;&gt;0,AG43/AG46-1,""),"")</f>
        <v/>
      </c>
      <c r="AH47" s="55" t="str">
        <f>IF(AND(ISNUMBER(AH43),ISNUMBER(AH46)),IF(AH46&lt;&gt;0,AH43/AH46-1,""),"")</f>
        <v/>
      </c>
    </row>
    <row r="48">
      <c r="A48" s="51" t="inlineStr">
        <is>
          <t xml:space="preserve">Meta (seleção)</t>
        </is>
      </c>
      <c r="C48" s="54" t="str">
        <f>IFERROR(1/(1/INDEX(BD!$AK$23:$AU$23,MATCH($B$2,BD!$AK$22:$AU$22,0))),"")</f>
        <v/>
      </c>
      <c r="D48" s="54" t="str">
        <f>IFERROR(1/(1/INDEX(BD!$AK$24:$AU$24,MATCH($B$2,BD!$AK$22:$AU$22,0))),"")</f>
        <v/>
      </c>
      <c r="E48" s="54" t="str">
        <f>IFERROR(1/(1/INDEX(BD!$AK$25:$AU$25,MATCH($B$2,BD!$AK$22:$AU$22,0))),"")</f>
        <v/>
      </c>
      <c r="F48" s="54" t="str">
        <f>IFERROR(1/(1/INDEX(BD!$AK$26:$AU$26,MATCH($B$2,BD!$AK$22:$AU$22,0))),"")</f>
        <v/>
      </c>
      <c r="G48" s="54" t="str">
        <f>IFERROR(1/(1/INDEX(BD!$AK$27:$AU$27,MATCH($B$2,BD!$AK$22:$AU$22,0))),"")</f>
        <v/>
      </c>
      <c r="H48" s="54" t="str">
        <f>IFERROR(1/(1/INDEX(BD!$AK$28:$AU$28,MATCH($B$2,BD!$AK$22:$AU$22,0))),"")</f>
        <v/>
      </c>
      <c r="I48" s="54" t="str">
        <f>IFERROR(1/(1/INDEX(BD!$AK$29:$AU$29,MATCH($B$2,BD!$AK$22:$AU$22,0))),"")</f>
        <v/>
      </c>
      <c r="J48" s="54" t="str">
        <f>IFERROR(1/(1/INDEX(BD!$AK$30:$AU$30,MATCH($B$2,BD!$AK$22:$AU$22,0))),"")</f>
        <v/>
      </c>
      <c r="K48" s="54" t="str">
        <f>IFERROR(1/(1/INDEX(BD!$AK$31:$AU$31,MATCH($B$2,BD!$AK$22:$AU$22,0))),"")</f>
        <v/>
      </c>
      <c r="L48" s="54" t="str">
        <f>IFERROR(1/(1/INDEX(BD!$AK$32:$AU$32,MATCH($B$2,BD!$AK$22:$AU$22,0))),"")</f>
        <v/>
      </c>
      <c r="M48" s="54" t="str">
        <f>IFERROR(1/(1/INDEX(BD!$AK$33:$AU$33,MATCH($B$2,BD!$AK$22:$AU$22,0))),"")</f>
        <v/>
      </c>
      <c r="N48" s="54" t="str">
        <f>IFERROR(1/(1/INDEX(BD!$AK$34:$AU$34,MATCH($B$2,BD!$AK$22:$AU$22,0))),"")</f>
        <v/>
      </c>
      <c r="O48" s="54" t="str">
        <f>IFERROR(1/(1/INDEX(BD!$AK$35:$AU$35,MATCH($B$2,BD!$AK$22:$AU$22,0))),"")</f>
        <v/>
      </c>
      <c r="P48" s="54" t="str">
        <f>IFERROR(1/(1/INDEX(BD!$AK$36:$AU$36,MATCH($B$2,BD!$AK$22:$AU$22,0))),"")</f>
        <v/>
      </c>
      <c r="Q48" s="54" t="str">
        <f>IFERROR(1/(1/INDEX(BD!$AK$37:$AU$37,MATCH($B$2,BD!$AK$22:$AU$22,0))),"")</f>
        <v/>
      </c>
      <c r="R48" s="54" t="str">
        <f>IFERROR(1/(1/INDEX(BD!$AK$38:$AU$38,MATCH($B$2,BD!$AK$22:$AU$22,0))),"")</f>
        <v/>
      </c>
      <c r="S48" s="54" t="str">
        <f>IFERROR(1/(1/INDEX(BD!$AK$39:$AU$39,MATCH($B$2,BD!$AK$22:$AU$22,0))),"")</f>
        <v/>
      </c>
      <c r="T48" s="54" t="str">
        <f>IFERROR(1/(1/INDEX(BD!$AK$40:$AU$40,MATCH($B$2,BD!$AK$22:$AU$22,0))),"")</f>
        <v/>
      </c>
      <c r="U48" s="54" t="str">
        <f>IFERROR(1/(1/INDEX(BD!$AK$41:$AU$41,MATCH($B$2,BD!$AK$22:$AU$22,0))),"")</f>
        <v/>
      </c>
      <c r="V48" s="54" t="str">
        <f>IFERROR(1/(1/INDEX(BD!$AK$42:$AU$42,MATCH($B$2,BD!$AK$22:$AU$22,0))),"")</f>
        <v/>
      </c>
      <c r="W48" s="54" t="str">
        <f>IFERROR(1/(1/INDEX(BD!$AK$43:$AU$43,MATCH($B$2,BD!$AK$22:$AU$22,0))),"")</f>
        <v/>
      </c>
      <c r="X48" s="54" t="str">
        <f>IFERROR(1/(1/INDEX(BD!$AK$44:$AU$44,MATCH($B$2,BD!$AK$22:$AU$22,0))),"")</f>
        <v/>
      </c>
      <c r="Y48" s="54" t="str">
        <f>IFERROR(1/(1/INDEX(BD!$AK$45:$AU$45,MATCH($B$2,BD!$AK$22:$AU$22,0))),"")</f>
        <v/>
      </c>
      <c r="Z48" s="56" t="str">
        <f>IFERROR(1/(1/INDEX(BD!$AK$46:$AU$46,MATCH($B$2,BD!$AK$22:$AU$22,0))),"")</f>
        <v/>
      </c>
      <c r="AA48" s="54" t="str">
        <f>IFERROR(1/(1/INDEX(BD!$AK$47:$AU$47,MATCH($B$2,BD!$AK$22:$AU$22,0))),"")</f>
        <v/>
      </c>
      <c r="AB48" s="54" t="str">
        <f>IFERROR(1/(1/INDEX(BD!$AK$48:$AU$48,MATCH($B$2,BD!$AK$22:$AU$22,0))),"")</f>
        <v/>
      </c>
      <c r="AC48" s="54" t="str">
        <f>IFERROR(1/(1/INDEX(BD!$AK$49:$AU$49,MATCH($B$2,BD!$AK$22:$AU$22,0))),"")</f>
        <v/>
      </c>
      <c r="AD48" s="54" t="str">
        <f>IFERROR(1/(1/INDEX(BD!$AK$50:$AU$50,MATCH($B$2,BD!$AK$22:$AU$22,0))),"")</f>
        <v/>
      </c>
      <c r="AE48" s="54" t="str">
        <f>IFERROR(1/(1/INDEX(BD!$AK$51:$AU$51,MATCH($B$2,BD!$AK$22:$AU$22,0))),"")</f>
        <v/>
      </c>
      <c r="AF48" s="54" t="str">
        <f>IFERROR(1/(1/INDEX(BD!$AK$52:$AU$52,MATCH($B$2,BD!$AK$22:$AU$22,0))),"")</f>
        <v/>
      </c>
      <c r="AG48" s="54" t="str">
        <f>IFERROR(1/(1/INDEX(BD!$AK$53:$AU$53,MATCH($B$2,BD!$AK$22:$AU$22,0))),"")</f>
        <v/>
      </c>
      <c r="AH48" s="54" t="str">
        <f>IFERROR(1/(1/INDEX(BD!$AK$54:$AU$54,MATCH($B$2,BD!$AK$22:$AU$22,0))),"")</f>
        <v/>
      </c>
    </row>
    <row r="49">
      <c r="A49" s="51" t="inlineStr">
        <is>
          <t xml:space="preserve">% da meta</t>
        </is>
      </c>
      <c r="C49" s="56" t="str">
        <f>IF(AND(ISNUMBER(C48),ISNUMBER(C43)),IF(C48&gt;0,C43/C48,""),"")</f>
        <v/>
      </c>
      <c r="D49" s="56" t="str">
        <f>IF(AND(ISNUMBER(D48),ISNUMBER(D43)),IF(D48&gt;0,D43/D48,""),"")</f>
        <v/>
      </c>
      <c r="E49" s="56" t="str">
        <f>IF(AND(ISNUMBER(E48),ISNUMBER(E43)),IF(E48&gt;0,E43/E48,""),"")</f>
        <v/>
      </c>
      <c r="F49" s="56" t="str">
        <f>IF(AND(ISNUMBER(F48),ISNUMBER(F43)),IF(F48&gt;0,F43/F48,""),"")</f>
        <v/>
      </c>
      <c r="G49" s="56" t="str">
        <f>IF(AND(ISNUMBER(G48),ISNUMBER(G43)),IF(G48&gt;0,G43/G48,""),"")</f>
        <v/>
      </c>
      <c r="H49" s="56" t="str">
        <f>IF(AND(ISNUMBER(H48),ISNUMBER(H43)),IF(H48&gt;0,H43/H48,""),"")</f>
        <v/>
      </c>
      <c r="I49" s="56" t="str">
        <f>IF(AND(ISNUMBER(I48),ISNUMBER(I43)),IF(I48&gt;0,I43/I48,""),"")</f>
        <v/>
      </c>
      <c r="J49" s="56" t="str">
        <f>IF(AND(ISNUMBER(J48),ISNUMBER(J43)),IF(J48&gt;0,J43/J48,""),"")</f>
        <v/>
      </c>
      <c r="K49" s="56" t="str">
        <f>IF(AND(ISNUMBER(K48),ISNUMBER(K43)),IF(K48&gt;0,K43/K48,""),"")</f>
        <v/>
      </c>
      <c r="L49" s="56" t="str">
        <f>IF(AND(ISNUMBER(L48),ISNUMBER(L43)),IF(L48&gt;0,L43/L48,""),"")</f>
        <v/>
      </c>
      <c r="M49" s="56" t="str">
        <f>IF(AND(ISNUMBER(M48),ISNUMBER(M43)),IF(M48&gt;0,M43/M48,""),"")</f>
        <v/>
      </c>
      <c r="N49" s="56" t="str">
        <f>IF(AND(ISNUMBER(N48),ISNUMBER(N43)),IF(N48&gt;0,N43/N48,""),"")</f>
        <v/>
      </c>
      <c r="O49" s="56" t="str">
        <f>IF(AND(ISNUMBER(O48),ISNUMBER(O43)),IF(O48&gt;0,O43/O48,""),"")</f>
        <v/>
      </c>
      <c r="P49" s="56" t="str">
        <f>IF(AND(ISNUMBER(P48),ISNUMBER(P43)),IF(P48&gt;0,P43/P48,""),"")</f>
        <v/>
      </c>
      <c r="Q49" s="56" t="str">
        <f>IF(AND(ISNUMBER(Q48),ISNUMBER(Q43)),IF(Q48&gt;0,Q43/Q48,""),"")</f>
        <v/>
      </c>
      <c r="R49" s="56" t="str">
        <f>IF(AND(ISNUMBER(R48),ISNUMBER(R43)),IF(R48&gt;0,R43/R48,""),"")</f>
        <v/>
      </c>
      <c r="S49" s="56" t="str">
        <f>IF(AND(ISNUMBER(S48),ISNUMBER(S43)),IF(S48&gt;0,S43/S48,""),"")</f>
        <v/>
      </c>
      <c r="T49" s="56" t="str">
        <f>IF(AND(ISNUMBER(T48),ISNUMBER(T43)),IF(T48&gt;0,T43/T48,""),"")</f>
        <v/>
      </c>
      <c r="U49" s="56" t="str">
        <f>IF(AND(ISNUMBER(U48),ISNUMBER(U43)),IF(U48&gt;0,U43/U48,""),"")</f>
        <v/>
      </c>
      <c r="V49" s="56" t="str">
        <f>IF(AND(ISNUMBER(V48),ISNUMBER(V43)),IF(V48&gt;0,V43/V48,""),"")</f>
        <v/>
      </c>
      <c r="W49" s="56" t="str">
        <f>IF(AND(ISNUMBER(W48),ISNUMBER(W43)),IF(W48&gt;0,W43/W48,""),"")</f>
        <v/>
      </c>
      <c r="X49" s="56" t="str">
        <f>IF(AND(ISNUMBER(X48),ISNUMBER(X43)),IF(X48&gt;0,X43/X48,""),"")</f>
        <v/>
      </c>
      <c r="Y49" s="56" t="str">
        <f>IF(AND(ISNUMBER(Y48),ISNUMBER(Y43)),IF(Y48&gt;0,Y43/Y48,""),"")</f>
        <v/>
      </c>
      <c r="Z49" s="56" t="str">
        <f>IF(AND(ISNUMBER(Z48),ISNUMBER(Z43)),IF(Z48&gt;0,Z43/Z48,""),"")</f>
        <v/>
      </c>
      <c r="AA49" s="56" t="str">
        <f>IF(AND(ISNUMBER(AA48),ISNUMBER(AA43)),IF(AA48&gt;0,AA43/AA48,""),"")</f>
        <v/>
      </c>
      <c r="AB49" s="56" t="str">
        <f>IF(AND(ISNUMBER(AB48),ISNUMBER(AB43)),IF(AB48&gt;0,AB43/AB48,""),"")</f>
        <v/>
      </c>
      <c r="AC49" s="56" t="str">
        <f>IF(AND(ISNUMBER(AC48),ISNUMBER(AC43)),IF(AC48&gt;0,AC43/AC48,""),"")</f>
        <v/>
      </c>
      <c r="AD49" s="56" t="str">
        <f>IF(AND(ISNUMBER(AD48),ISNUMBER(AD43)),IF(AD48&gt;0,AD43/AD48,""),"")</f>
        <v/>
      </c>
      <c r="AE49" s="56" t="str">
        <f>IF(AND(ISNUMBER(AE48),ISNUMBER(AE43)),IF(AE48&gt;0,AE43/AE48,""),"")</f>
        <v/>
      </c>
      <c r="AF49" s="56" t="str">
        <f>IF(AND(ISNUMBER(AF48),ISNUMBER(AF43)),IF(AF48&gt;0,AF43/AF48,""),"")</f>
        <v/>
      </c>
      <c r="AG49" s="56" t="str">
        <f>IF(AND(ISNUMBER(AG48),ISNUMBER(AG43)),IF(AG48&gt;0,AG43/AG48,""),"")</f>
        <v/>
      </c>
      <c r="AH49" s="56" t="str">
        <f>IF(AND(ISNUMBER(AH48),ISNUMBER(AH43)),IF(AH48&gt;0,AH43/AH48,""),"")</f>
        <v/>
      </c>
    </row>
    <row r="50">
      <c r="A50" s="51" t="inlineStr">
        <is>
          <t xml:space="preserve">Status</t>
        </is>
      </c>
      <c r="C50" s="57" t="str">
        <f>IF(ISNUMBER(C49),IF(C49&gt;=1,"meta atingida","abaixo da meta"),"")</f>
        <v/>
      </c>
      <c r="D50" s="57" t="str">
        <f>IF(ISNUMBER(D49),IF(D49&gt;=1,"meta atingida","abaixo da meta"),"")</f>
        <v/>
      </c>
      <c r="E50" s="57" t="str">
        <f>IF(ISNUMBER(E49),IF(E49&gt;=1,"meta atingida","abaixo da meta"),"")</f>
        <v/>
      </c>
      <c r="F50" s="57" t="str">
        <f>IF(ISNUMBER(F49),IF(F49&gt;=1,"meta atingida","abaixo da meta"),"")</f>
        <v/>
      </c>
      <c r="G50" s="57" t="str">
        <f>IF(ISNUMBER(G49),IF(G49&gt;=1,"meta atingida","abaixo da meta"),"")</f>
        <v/>
      </c>
      <c r="H50" s="57" t="str">
        <f>IF(ISNUMBER(H49),IF(H49&gt;=1,"meta atingida","abaixo da meta"),"")</f>
        <v/>
      </c>
      <c r="I50" s="57" t="str">
        <f>IF(ISNUMBER(I49),IF(I49&gt;=1,"meta atingida","abaixo da meta"),"")</f>
        <v/>
      </c>
      <c r="J50" s="57" t="str">
        <f>IF(ISNUMBER(J49),IF(J49&gt;=1,"meta atingida","abaixo da meta"),"")</f>
        <v/>
      </c>
      <c r="K50" s="57" t="str">
        <f>IF(ISNUMBER(K49),IF(K49&gt;=1,"meta atingida","abaixo da meta"),"")</f>
        <v/>
      </c>
      <c r="L50" s="57" t="str">
        <f>IF(ISNUMBER(L49),IF(L49&gt;=1,"meta atingida","abaixo da meta"),"")</f>
        <v/>
      </c>
      <c r="M50" s="57" t="str">
        <f>IF(ISNUMBER(M49),IF(M49&gt;=1,"meta atingida","abaixo da meta"),"")</f>
        <v/>
      </c>
      <c r="N50" s="57" t="str">
        <f>IF(ISNUMBER(N49),IF(N49&gt;=1,"meta atingida","abaixo da meta"),"")</f>
        <v/>
      </c>
      <c r="O50" s="57" t="str">
        <f>IF(ISNUMBER(O49),IF(O49&gt;=1,"meta atingida","abaixo da meta"),"")</f>
        <v/>
      </c>
      <c r="P50" s="57" t="str">
        <f>IF(ISNUMBER(P49),IF(P49&gt;=1,"meta atingida","abaixo da meta"),"")</f>
        <v/>
      </c>
      <c r="Q50" s="57" t="str">
        <f>IF(ISNUMBER(Q49),IF(Q49&gt;=1,"meta atingida","abaixo da meta"),"")</f>
        <v/>
      </c>
      <c r="R50" s="57" t="str">
        <f>IF(ISNUMBER(R49),IF(R49&gt;=1,"meta atingida","abaixo da meta"),"")</f>
        <v/>
      </c>
      <c r="S50" s="57" t="str">
        <f>IF(ISNUMBER(S49),IF(S49&gt;=1,"meta atingida","abaixo da meta"),"")</f>
        <v/>
      </c>
      <c r="T50" s="57" t="str">
        <f>IF(ISNUMBER(T49),IF(T49&gt;=1,"meta atingida","abaixo da meta"),"")</f>
        <v/>
      </c>
      <c r="U50" s="57" t="str">
        <f>IF(AND(ISNUMBER(U48),ISNUMBER(U43)),IF(U43&lt;=U48,"dentro do limite","acima do limite"),"")</f>
        <v/>
      </c>
      <c r="V50" s="57" t="str">
        <f>IF(AND(ISNUMBER(V48),ISNUMBER(V43)),IF(V43&lt;=V48,"dentro do limite","acima do limite"),"")</f>
        <v/>
      </c>
      <c r="W50" s="57" t="str">
        <f>IF(AND(ISNUMBER(W48),ISNUMBER(W43)),IF(W43&lt;=W48,"dentro do limite","acima do limite"),"")</f>
        <v/>
      </c>
      <c r="X50" s="57" t="str">
        <f>IF(ISNUMBER(X49),IF(X49&gt;=1,"meta atingida","abaixo da meta"),"")</f>
        <v/>
      </c>
      <c r="Y50" s="57" t="str">
        <f>IF(ISNUMBER(Y49),IF(Y49&gt;=1,"meta atingida","abaixo da meta"),"")</f>
        <v/>
      </c>
      <c r="Z50" s="57" t="str">
        <f>IF(ISNUMBER(Z43),IF(Z43&gt;1,"excede o contratado",IF(Z43&gt;=$B$6,"ocupação alta",IF(Z43&gt;=$B$5,"ocupação média","ociosidade alta"))),"")</f>
        <v/>
      </c>
      <c r="AA50" s="57" t="str">
        <f>IF(ISNUMBER(AA49),IF(AA49&gt;=1,"meta atingida","abaixo da meta"),"")</f>
        <v/>
      </c>
      <c r="AB50" s="57" t="str">
        <f>IF(AND(ISNUMBER(AB48),ISNUMBER(AB43)),IF(AB43&lt;=AB48,"dentro do limite","acima do limite"),"")</f>
        <v/>
      </c>
      <c r="AC50" s="57" t="str">
        <f>IF(ISNUMBER(AC49),IF(AC49&gt;=1,"meta atingida","abaixo da meta"),"")</f>
        <v/>
      </c>
      <c r="AD50" s="57" t="str">
        <f>IF(ISNUMBER(AD49),IF(AD49&gt;=1,"meta atingida","abaixo da meta"),"")</f>
        <v/>
      </c>
      <c r="AE50" s="57" t="str">
        <f>IF(AND(ISNUMBER(AE48),ISNUMBER(AE43)),IF(AE43&lt;=AE48,"dentro do limite","acima do limite"),"")</f>
        <v/>
      </c>
      <c r="AF50" s="57" t="str">
        <f>IF(AND(ISNUMBER(AF48),ISNUMBER(AF43)),IF(AF43&lt;=AF48,"dentro do limite","acima do limite"),"")</f>
        <v/>
      </c>
      <c r="AG50" s="57" t="str">
        <f>IF(AND(ISNUMBER(AG48),ISNUMBER(AG43)),IF(AG43&lt;=AG48,"dentro do limite","acima do limite"),"")</f>
        <v/>
      </c>
      <c r="AH50" s="57" t="str">
        <f>IF(AND(ISNUMBER(AH48),ISNUMBER(AH43)),IF(AH43&lt;=AH48,"dentro do limite","acima do limite"),"")</f>
        <v/>
      </c>
    </row>
    <row r="90">
      <c r="A90" s="19" t="inlineStr">
        <is>
          <t xml:space="preserve">ACUMULADO SEMANAL — toneladas e pallets (seguem o filtro; mês do gráfico)</t>
        </is>
      </c>
    </row>
    <row r="91">
      <c r="A91" s="37" t="inlineStr">
        <is>
          <t xml:space="preserve">Semana</t>
        </is>
      </c>
      <c r="B91" s="37" t="inlineStr">
        <is>
          <t xml:space="preserve">Do dia</t>
        </is>
      </c>
      <c r="C91" s="37" t="inlineStr">
        <is>
          <t xml:space="preserve">Ao dia</t>
        </is>
      </c>
      <c r="D91" s="37" t="inlineStr">
        <is>
          <t xml:space="preserve">IN tons</t>
        </is>
      </c>
      <c r="E91" s="37" t="inlineStr">
        <is>
          <t xml:space="preserve">OUT tons</t>
        </is>
      </c>
      <c r="F91" s="37" t="inlineStr">
        <is>
          <t xml:space="preserve">IN pallets</t>
        </is>
      </c>
      <c r="G91" s="37" t="inlineStr">
        <is>
          <t xml:space="preserve">OUT pallets</t>
        </is>
      </c>
      <c r="AY91" s="37" t="inlineStr">
        <is>
          <t xml:space="preserve">Gráf A IN (semanal)</t>
        </is>
      </c>
      <c r="AZ91" s="37" t="inlineStr">
        <is>
          <t xml:space="preserve">Gráf A OUT (semanal)</t>
        </is>
      </c>
      <c r="BA91" s="37" t="inlineStr">
        <is>
          <t xml:space="preserve">Gráf B IN (semanal)</t>
        </is>
      </c>
      <c r="BB91" s="37" t="inlineStr">
        <is>
          <t xml:space="preserve">Gráf B OUT (semanal)</t>
        </is>
      </c>
    </row>
    <row r="92">
      <c r="A92" s="29" t="inlineStr">
        <is>
          <t xml:space="preserve">Sem 1 (01–07)</t>
        </is>
      </c>
      <c r="B92" s="28">
        <v>1</v>
      </c>
      <c r="C92" s="28">
        <v>7</v>
      </c>
      <c r="D92" s="60">
        <f>SUMIFS(E12:E42,A12:A42,"&gt;="&amp;$B92,A12:A42,"&lt;="&amp;$C92)</f>
        <v>0</v>
      </c>
      <c r="E92" s="60">
        <f>SUMIFS(T12:T42,A12:A42,"&gt;="&amp;$B92,A12:A42,"&lt;="&amp;$C92)</f>
        <v>0</v>
      </c>
      <c r="F92" s="32">
        <f>SUMIFS(D12:D42,A12:A42,"&gt;="&amp;$B92,A12:A42,"&lt;="&amp;$C92)</f>
        <v>0</v>
      </c>
      <c r="G92" s="32">
        <f>SUMIFS(S12:S42,A12:A42,"&gt;="&amp;$B92,A12:A42,"&lt;="&amp;$C92)</f>
        <v>0</v>
      </c>
      <c r="AY92" s="60">
        <f>IF(N(VALUE($AH$336))=0,"",IF(N(VALUE($AJ$336))=0,SUMIFS(AY$12:AY$42,$A$12:$A$42,"&gt;="&amp;$B92,$A$12:$A$42,"&lt;="&amp;$C92),IF(SUMIFS(INDEX($C$12:$AH$42,0,N(VALUE($AJ$336))),$A$12:$A$42,"&gt;="&amp;$B92,$A$12:$A$42,"&lt;="&amp;$C92)&gt;0,SUMIFS(INDEX($C$12:$AH$42,0,VALUE($AH$336)),$A$12:$A$42,"&gt;="&amp;$B92,$A$12:$A$42,"&lt;="&amp;$C92)/SUMIFS(INDEX($C$12:$AH$42,0,N(VALUE($AJ$336))),$A$12:$A$42,"&gt;="&amp;$B92,$A$12:$A$42,"&lt;="&amp;$C92),"")))</f>
        <v>0</v>
      </c>
      <c r="AZ92" s="60">
        <f>IF(N(VALUE($AI$336))=0,"",IF(N(VALUE($AK$336))=0,SUMIFS(AZ$12:AZ$42,$A$12:$A$42,"&gt;="&amp;$B92,$A$12:$A$42,"&lt;="&amp;$C92),IF(SUMIFS(INDEX($C$12:$AH$42,0,N(VALUE($AK$336))),$A$12:$A$42,"&gt;="&amp;$B92,$A$12:$A$42,"&lt;="&amp;$C92)&gt;0,SUMIFS(INDEX($C$12:$AH$42,0,VALUE($AI$336)),$A$12:$A$42,"&gt;="&amp;$B92,$A$12:$A$42,"&lt;="&amp;$C92)/SUMIFS(INDEX($C$12:$AH$42,0,N(VALUE($AK$336))),$A$12:$A$42,"&gt;="&amp;$B92,$A$12:$A$42,"&lt;="&amp;$C92),"")))</f>
        <v>0</v>
      </c>
      <c r="BA92" s="60">
        <f>IF(N(VALUE($AP$336))=0,"",IF(N(VALUE($AR$336))=0,SUMIFS(BA$12:BA$42,$A$12:$A$42,"&gt;="&amp;$B92,$A$12:$A$42,"&lt;="&amp;$C92),IF(SUMIFS(INDEX($C$12:$AH$42,0,N(VALUE($AR$336))),$A$12:$A$42,"&gt;="&amp;$B92,$A$12:$A$42,"&lt;="&amp;$C92)&gt;0,SUMIFS(INDEX($C$12:$AH$42,0,VALUE($AP$336)),$A$12:$A$42,"&gt;="&amp;$B92,$A$12:$A$42,"&lt;="&amp;$C92)/SUMIFS(INDEX($C$12:$AH$42,0,N(VALUE($AR$336))),$A$12:$A$42,"&gt;="&amp;$B92,$A$12:$A$42,"&lt;="&amp;$C92),"")))</f>
        <v>0</v>
      </c>
      <c r="BB92" s="60">
        <f>IF(N(VALUE($AQ$336))=0,"",IF(N(VALUE($AS$336))=0,SUMIFS(BB$12:BB$42,$A$12:$A$42,"&gt;="&amp;$B92,$A$12:$A$42,"&lt;="&amp;$C92),IF(SUMIFS(INDEX($C$12:$AH$42,0,N(VALUE($AS$336))),$A$12:$A$42,"&gt;="&amp;$B92,$A$12:$A$42,"&lt;="&amp;$C92)&gt;0,SUMIFS(INDEX($C$12:$AH$42,0,VALUE($AQ$336)),$A$12:$A$42,"&gt;="&amp;$B92,$A$12:$A$42,"&lt;="&amp;$C92)/SUMIFS(INDEX($C$12:$AH$42,0,N(VALUE($AS$336))),$A$12:$A$42,"&gt;="&amp;$B92,$A$12:$A$42,"&lt;="&amp;$C92),"")))</f>
        <v>0</v>
      </c>
    </row>
    <row r="93">
      <c r="A93" s="29" t="inlineStr">
        <is>
          <t xml:space="preserve">Sem 2 (08–14)</t>
        </is>
      </c>
      <c r="B93" s="28">
        <v>8</v>
      </c>
      <c r="C93" s="28">
        <v>14</v>
      </c>
      <c r="D93" s="60">
        <f>SUMIFS(E12:E42,A12:A42,"&gt;="&amp;$B93,A12:A42,"&lt;="&amp;$C93)</f>
        <v>0</v>
      </c>
      <c r="E93" s="60">
        <f>SUMIFS(T12:T42,A12:A42,"&gt;="&amp;$B93,A12:A42,"&lt;="&amp;$C93)</f>
        <v>0</v>
      </c>
      <c r="F93" s="32">
        <f>SUMIFS(D12:D42,A12:A42,"&gt;="&amp;$B93,A12:A42,"&lt;="&amp;$C93)</f>
        <v>0</v>
      </c>
      <c r="G93" s="32">
        <f>SUMIFS(S12:S42,A12:A42,"&gt;="&amp;$B93,A12:A42,"&lt;="&amp;$C93)</f>
        <v>0</v>
      </c>
      <c r="AY93" s="60">
        <f>IF(N(VALUE($AH$336))=0,"",IF(N(VALUE($AJ$336))=0,SUMIFS(AY$12:AY$42,$A$12:$A$42,"&gt;="&amp;$B93,$A$12:$A$42,"&lt;="&amp;$C93),IF(SUMIFS(INDEX($C$12:$AH$42,0,N(VALUE($AJ$336))),$A$12:$A$42,"&gt;="&amp;$B93,$A$12:$A$42,"&lt;="&amp;$C93)&gt;0,SUMIFS(INDEX($C$12:$AH$42,0,VALUE($AH$336)),$A$12:$A$42,"&gt;="&amp;$B93,$A$12:$A$42,"&lt;="&amp;$C93)/SUMIFS(INDEX($C$12:$AH$42,0,N(VALUE($AJ$336))),$A$12:$A$42,"&gt;="&amp;$B93,$A$12:$A$42,"&lt;="&amp;$C93),"")))</f>
        <v>0</v>
      </c>
      <c r="AZ93" s="60">
        <f>IF(N(VALUE($AI$336))=0,"",IF(N(VALUE($AK$336))=0,SUMIFS(AZ$12:AZ$42,$A$12:$A$42,"&gt;="&amp;$B93,$A$12:$A$42,"&lt;="&amp;$C93),IF(SUMIFS(INDEX($C$12:$AH$42,0,N(VALUE($AK$336))),$A$12:$A$42,"&gt;="&amp;$B93,$A$12:$A$42,"&lt;="&amp;$C93)&gt;0,SUMIFS(INDEX($C$12:$AH$42,0,VALUE($AI$336)),$A$12:$A$42,"&gt;="&amp;$B93,$A$12:$A$42,"&lt;="&amp;$C93)/SUMIFS(INDEX($C$12:$AH$42,0,N(VALUE($AK$336))),$A$12:$A$42,"&gt;="&amp;$B93,$A$12:$A$42,"&lt;="&amp;$C93),"")))</f>
        <v>0</v>
      </c>
      <c r="BA93" s="60">
        <f>IF(N(VALUE($AP$336))=0,"",IF(N(VALUE($AR$336))=0,SUMIFS(BA$12:BA$42,$A$12:$A$42,"&gt;="&amp;$B93,$A$12:$A$42,"&lt;="&amp;$C93),IF(SUMIFS(INDEX($C$12:$AH$42,0,N(VALUE($AR$336))),$A$12:$A$42,"&gt;="&amp;$B93,$A$12:$A$42,"&lt;="&amp;$C93)&gt;0,SUMIFS(INDEX($C$12:$AH$42,0,VALUE($AP$336)),$A$12:$A$42,"&gt;="&amp;$B93,$A$12:$A$42,"&lt;="&amp;$C93)/SUMIFS(INDEX($C$12:$AH$42,0,N(VALUE($AR$336))),$A$12:$A$42,"&gt;="&amp;$B93,$A$12:$A$42,"&lt;="&amp;$C93),"")))</f>
        <v>0</v>
      </c>
      <c r="BB93" s="60">
        <f>IF(N(VALUE($AQ$336))=0,"",IF(N(VALUE($AS$336))=0,SUMIFS(BB$12:BB$42,$A$12:$A$42,"&gt;="&amp;$B93,$A$12:$A$42,"&lt;="&amp;$C93),IF(SUMIFS(INDEX($C$12:$AH$42,0,N(VALUE($AS$336))),$A$12:$A$42,"&gt;="&amp;$B93,$A$12:$A$42,"&lt;="&amp;$C93)&gt;0,SUMIFS(INDEX($C$12:$AH$42,0,VALUE($AQ$336)),$A$12:$A$42,"&gt;="&amp;$B93,$A$12:$A$42,"&lt;="&amp;$C93)/SUMIFS(INDEX($C$12:$AH$42,0,N(VALUE($AS$336))),$A$12:$A$42,"&gt;="&amp;$B93,$A$12:$A$42,"&lt;="&amp;$C93),"")))</f>
        <v>0</v>
      </c>
    </row>
    <row r="94">
      <c r="A94" s="29" t="inlineStr">
        <is>
          <t xml:space="preserve">Sem 3 (15–21)</t>
        </is>
      </c>
      <c r="B94" s="28">
        <v>15</v>
      </c>
      <c r="C94" s="28">
        <v>21</v>
      </c>
      <c r="D94" s="60">
        <f>SUMIFS(E12:E42,A12:A42,"&gt;="&amp;$B94,A12:A42,"&lt;="&amp;$C94)</f>
        <v>0</v>
      </c>
      <c r="E94" s="60">
        <f>SUMIFS(T12:T42,A12:A42,"&gt;="&amp;$B94,A12:A42,"&lt;="&amp;$C94)</f>
        <v>0</v>
      </c>
      <c r="F94" s="32">
        <f>SUMIFS(D12:D42,A12:A42,"&gt;="&amp;$B94,A12:A42,"&lt;="&amp;$C94)</f>
        <v>0</v>
      </c>
      <c r="G94" s="32">
        <f>SUMIFS(S12:S42,A12:A42,"&gt;="&amp;$B94,A12:A42,"&lt;="&amp;$C94)</f>
        <v>0</v>
      </c>
      <c r="AY94" s="60">
        <f>IF(N(VALUE($AH$336))=0,"",IF(N(VALUE($AJ$336))=0,SUMIFS(AY$12:AY$42,$A$12:$A$42,"&gt;="&amp;$B94,$A$12:$A$42,"&lt;="&amp;$C94),IF(SUMIFS(INDEX($C$12:$AH$42,0,N(VALUE($AJ$336))),$A$12:$A$42,"&gt;="&amp;$B94,$A$12:$A$42,"&lt;="&amp;$C94)&gt;0,SUMIFS(INDEX($C$12:$AH$42,0,VALUE($AH$336)),$A$12:$A$42,"&gt;="&amp;$B94,$A$12:$A$42,"&lt;="&amp;$C94)/SUMIFS(INDEX($C$12:$AH$42,0,N(VALUE($AJ$336))),$A$12:$A$42,"&gt;="&amp;$B94,$A$12:$A$42,"&lt;="&amp;$C94),"")))</f>
        <v>0</v>
      </c>
      <c r="AZ94" s="60">
        <f>IF(N(VALUE($AI$336))=0,"",IF(N(VALUE($AK$336))=0,SUMIFS(AZ$12:AZ$42,$A$12:$A$42,"&gt;="&amp;$B94,$A$12:$A$42,"&lt;="&amp;$C94),IF(SUMIFS(INDEX($C$12:$AH$42,0,N(VALUE($AK$336))),$A$12:$A$42,"&gt;="&amp;$B94,$A$12:$A$42,"&lt;="&amp;$C94)&gt;0,SUMIFS(INDEX($C$12:$AH$42,0,VALUE($AI$336)),$A$12:$A$42,"&gt;="&amp;$B94,$A$12:$A$42,"&lt;="&amp;$C94)/SUMIFS(INDEX($C$12:$AH$42,0,N(VALUE($AK$336))),$A$12:$A$42,"&gt;="&amp;$B94,$A$12:$A$42,"&lt;="&amp;$C94),"")))</f>
        <v>0</v>
      </c>
      <c r="BA94" s="60">
        <f>IF(N(VALUE($AP$336))=0,"",IF(N(VALUE($AR$336))=0,SUMIFS(BA$12:BA$42,$A$12:$A$42,"&gt;="&amp;$B94,$A$12:$A$42,"&lt;="&amp;$C94),IF(SUMIFS(INDEX($C$12:$AH$42,0,N(VALUE($AR$336))),$A$12:$A$42,"&gt;="&amp;$B94,$A$12:$A$42,"&lt;="&amp;$C94)&gt;0,SUMIFS(INDEX($C$12:$AH$42,0,VALUE($AP$336)),$A$12:$A$42,"&gt;="&amp;$B94,$A$12:$A$42,"&lt;="&amp;$C94)/SUMIFS(INDEX($C$12:$AH$42,0,N(VALUE($AR$336))),$A$12:$A$42,"&gt;="&amp;$B94,$A$12:$A$42,"&lt;="&amp;$C94),"")))</f>
        <v>0</v>
      </c>
      <c r="BB94" s="60">
        <f>IF(N(VALUE($AQ$336))=0,"",IF(N(VALUE($AS$336))=0,SUMIFS(BB$12:BB$42,$A$12:$A$42,"&gt;="&amp;$B94,$A$12:$A$42,"&lt;="&amp;$C94),IF(SUMIFS(INDEX($C$12:$AH$42,0,N(VALUE($AS$336))),$A$12:$A$42,"&gt;="&amp;$B94,$A$12:$A$42,"&lt;="&amp;$C94)&gt;0,SUMIFS(INDEX($C$12:$AH$42,0,VALUE($AQ$336)),$A$12:$A$42,"&gt;="&amp;$B94,$A$12:$A$42,"&lt;="&amp;$C94)/SUMIFS(INDEX($C$12:$AH$42,0,N(VALUE($AS$336))),$A$12:$A$42,"&gt;="&amp;$B94,$A$12:$A$42,"&lt;="&amp;$C94),"")))</f>
        <v>0</v>
      </c>
    </row>
    <row r="95">
      <c r="A95" s="29" t="inlineStr">
        <is>
          <t xml:space="preserve">Sem 4 (22–28)</t>
        </is>
      </c>
      <c r="B95" s="28">
        <v>22</v>
      </c>
      <c r="C95" s="28">
        <v>28</v>
      </c>
      <c r="D95" s="60">
        <f>SUMIFS(E12:E42,A12:A42,"&gt;="&amp;$B95,A12:A42,"&lt;="&amp;$C95)</f>
        <v>0</v>
      </c>
      <c r="E95" s="60">
        <f>SUMIFS(T12:T42,A12:A42,"&gt;="&amp;$B95,A12:A42,"&lt;="&amp;$C95)</f>
        <v>0</v>
      </c>
      <c r="F95" s="32">
        <f>SUMIFS(D12:D42,A12:A42,"&gt;="&amp;$B95,A12:A42,"&lt;="&amp;$C95)</f>
        <v>0</v>
      </c>
      <c r="G95" s="32">
        <f>SUMIFS(S12:S42,A12:A42,"&gt;="&amp;$B95,A12:A42,"&lt;="&amp;$C95)</f>
        <v>0</v>
      </c>
      <c r="AY95" s="60">
        <f>IF(N(VALUE($AH$336))=0,"",IF(N(VALUE($AJ$336))=0,SUMIFS(AY$12:AY$42,$A$12:$A$42,"&gt;="&amp;$B95,$A$12:$A$42,"&lt;="&amp;$C95),IF(SUMIFS(INDEX($C$12:$AH$42,0,N(VALUE($AJ$336))),$A$12:$A$42,"&gt;="&amp;$B95,$A$12:$A$42,"&lt;="&amp;$C95)&gt;0,SUMIFS(INDEX($C$12:$AH$42,0,VALUE($AH$336)),$A$12:$A$42,"&gt;="&amp;$B95,$A$12:$A$42,"&lt;="&amp;$C95)/SUMIFS(INDEX($C$12:$AH$42,0,N(VALUE($AJ$336))),$A$12:$A$42,"&gt;="&amp;$B95,$A$12:$A$42,"&lt;="&amp;$C95),"")))</f>
        <v>0</v>
      </c>
      <c r="AZ95" s="60">
        <f>IF(N(VALUE($AI$336))=0,"",IF(N(VALUE($AK$336))=0,SUMIFS(AZ$12:AZ$42,$A$12:$A$42,"&gt;="&amp;$B95,$A$12:$A$42,"&lt;="&amp;$C95),IF(SUMIFS(INDEX($C$12:$AH$42,0,N(VALUE($AK$336))),$A$12:$A$42,"&gt;="&amp;$B95,$A$12:$A$42,"&lt;="&amp;$C95)&gt;0,SUMIFS(INDEX($C$12:$AH$42,0,VALUE($AI$336)),$A$12:$A$42,"&gt;="&amp;$B95,$A$12:$A$42,"&lt;="&amp;$C95)/SUMIFS(INDEX($C$12:$AH$42,0,N(VALUE($AK$336))),$A$12:$A$42,"&gt;="&amp;$B95,$A$12:$A$42,"&lt;="&amp;$C95),"")))</f>
        <v>0</v>
      </c>
      <c r="BA95" s="60">
        <f>IF(N(VALUE($AP$336))=0,"",IF(N(VALUE($AR$336))=0,SUMIFS(BA$12:BA$42,$A$12:$A$42,"&gt;="&amp;$B95,$A$12:$A$42,"&lt;="&amp;$C95),IF(SUMIFS(INDEX($C$12:$AH$42,0,N(VALUE($AR$336))),$A$12:$A$42,"&gt;="&amp;$B95,$A$12:$A$42,"&lt;="&amp;$C95)&gt;0,SUMIFS(INDEX($C$12:$AH$42,0,VALUE($AP$336)),$A$12:$A$42,"&gt;="&amp;$B95,$A$12:$A$42,"&lt;="&amp;$C95)/SUMIFS(INDEX($C$12:$AH$42,0,N(VALUE($AR$336))),$A$12:$A$42,"&gt;="&amp;$B95,$A$12:$A$42,"&lt;="&amp;$C95),"")))</f>
        <v>0</v>
      </c>
      <c r="BB95" s="60">
        <f>IF(N(VALUE($AQ$336))=0,"",IF(N(VALUE($AS$336))=0,SUMIFS(BB$12:BB$42,$A$12:$A$42,"&gt;="&amp;$B95,$A$12:$A$42,"&lt;="&amp;$C95),IF(SUMIFS(INDEX($C$12:$AH$42,0,N(VALUE($AS$336))),$A$12:$A$42,"&gt;="&amp;$B95,$A$12:$A$42,"&lt;="&amp;$C95)&gt;0,SUMIFS(INDEX($C$12:$AH$42,0,VALUE($AQ$336)),$A$12:$A$42,"&gt;="&amp;$B95,$A$12:$A$42,"&lt;="&amp;$C95)/SUMIFS(INDEX($C$12:$AH$42,0,N(VALUE($AS$336))),$A$12:$A$42,"&gt;="&amp;$B95,$A$12:$A$42,"&lt;="&amp;$C95),"")))</f>
        <v>0</v>
      </c>
    </row>
    <row r="96">
      <c r="A96" s="29" t="inlineStr">
        <is>
          <t xml:space="preserve">Sem 5 (29–fim)</t>
        </is>
      </c>
      <c r="B96" s="28">
        <v>29</v>
      </c>
      <c r="C96" s="28">
        <v>31</v>
      </c>
      <c r="D96" s="60">
        <f>SUMIFS(E12:E42,A12:A42,"&gt;="&amp;$B96,A12:A42,"&lt;="&amp;$C96)</f>
        <v>0</v>
      </c>
      <c r="E96" s="60">
        <f>SUMIFS(T12:T42,A12:A42,"&gt;="&amp;$B96,A12:A42,"&lt;="&amp;$C96)</f>
        <v>0</v>
      </c>
      <c r="F96" s="32">
        <f>SUMIFS(D12:D42,A12:A42,"&gt;="&amp;$B96,A12:A42,"&lt;="&amp;$C96)</f>
        <v>0</v>
      </c>
      <c r="G96" s="32">
        <f>SUMIFS(S12:S42,A12:A42,"&gt;="&amp;$B96,A12:A42,"&lt;="&amp;$C96)</f>
        <v>0</v>
      </c>
      <c r="AY96" s="60">
        <f>IF(N(VALUE($AH$336))=0,"",IF(N(VALUE($AJ$336))=0,SUMIFS(AY$12:AY$42,$A$12:$A$42,"&gt;="&amp;$B96,$A$12:$A$42,"&lt;="&amp;$C96),IF(SUMIFS(INDEX($C$12:$AH$42,0,N(VALUE($AJ$336))),$A$12:$A$42,"&gt;="&amp;$B96,$A$12:$A$42,"&lt;="&amp;$C96)&gt;0,SUMIFS(INDEX($C$12:$AH$42,0,VALUE($AH$336)),$A$12:$A$42,"&gt;="&amp;$B96,$A$12:$A$42,"&lt;="&amp;$C96)/SUMIFS(INDEX($C$12:$AH$42,0,N(VALUE($AJ$336))),$A$12:$A$42,"&gt;="&amp;$B96,$A$12:$A$42,"&lt;="&amp;$C96),"")))</f>
        <v>0</v>
      </c>
      <c r="AZ96" s="60">
        <f>IF(N(VALUE($AI$336))=0,"",IF(N(VALUE($AK$336))=0,SUMIFS(AZ$12:AZ$42,$A$12:$A$42,"&gt;="&amp;$B96,$A$12:$A$42,"&lt;="&amp;$C96),IF(SUMIFS(INDEX($C$12:$AH$42,0,N(VALUE($AK$336))),$A$12:$A$42,"&gt;="&amp;$B96,$A$12:$A$42,"&lt;="&amp;$C96)&gt;0,SUMIFS(INDEX($C$12:$AH$42,0,VALUE($AI$336)),$A$12:$A$42,"&gt;="&amp;$B96,$A$12:$A$42,"&lt;="&amp;$C96)/SUMIFS(INDEX($C$12:$AH$42,0,N(VALUE($AK$336))),$A$12:$A$42,"&gt;="&amp;$B96,$A$12:$A$42,"&lt;="&amp;$C96),"")))</f>
        <v>0</v>
      </c>
      <c r="BA96" s="60">
        <f>IF(N(VALUE($AP$336))=0,"",IF(N(VALUE($AR$336))=0,SUMIFS(BA$12:BA$42,$A$12:$A$42,"&gt;="&amp;$B96,$A$12:$A$42,"&lt;="&amp;$C96),IF(SUMIFS(INDEX($C$12:$AH$42,0,N(VALUE($AR$336))),$A$12:$A$42,"&gt;="&amp;$B96,$A$12:$A$42,"&lt;="&amp;$C96)&gt;0,SUMIFS(INDEX($C$12:$AH$42,0,VALUE($AP$336)),$A$12:$A$42,"&gt;="&amp;$B96,$A$12:$A$42,"&lt;="&amp;$C96)/SUMIFS(INDEX($C$12:$AH$42,0,N(VALUE($AR$336))),$A$12:$A$42,"&gt;="&amp;$B96,$A$12:$A$42,"&lt;="&amp;$C96),"")))</f>
        <v>0</v>
      </c>
      <c r="BB96" s="60">
        <f>IF(N(VALUE($AQ$336))=0,"",IF(N(VALUE($AS$336))=0,SUMIFS(BB$12:BB$42,$A$12:$A$42,"&gt;="&amp;$B96,$A$12:$A$42,"&lt;="&amp;$C96),IF(SUMIFS(INDEX($C$12:$AH$42,0,N(VALUE($AS$336))),$A$12:$A$42,"&gt;="&amp;$B96,$A$12:$A$42,"&lt;="&amp;$C96)&gt;0,SUMIFS(INDEX($C$12:$AH$42,0,VALUE($AQ$336)),$A$12:$A$42,"&gt;="&amp;$B96,$A$12:$A$42,"&lt;="&amp;$C96)/SUMIFS(INDEX($C$12:$AH$42,0,N(VALUE($AS$336))),$A$12:$A$42,"&gt;="&amp;$B96,$A$12:$A$42,"&lt;="&amp;$C96),"")))</f>
        <v>0</v>
      </c>
    </row>
    <row r="100">
      <c r="A100" s="19" t="inlineStr">
        <is>
          <t xml:space="preserve">POR CLIENTE — mês inteiro (todos os clientes). Estoque = último valor do mês.</t>
        </is>
      </c>
    </row>
    <row r="101" ht="30" customHeight="1">
      <c r="A101" s="37" t="inlineStr">
        <is>
          <t xml:space="preserve">Indicador</t>
        </is>
      </c>
      <c r="B101" s="37" t="inlineStr">
        <is>
          <t xml:space="preserve">Alpargatas</t>
        </is>
      </c>
      <c r="C101" s="37" t="inlineStr">
        <is>
          <t xml:space="preserve">Basf</t>
        </is>
      </c>
      <c r="D101" s="37" t="inlineStr">
        <is>
          <t xml:space="preserve">Beautybiz</t>
        </is>
      </c>
      <c r="E101" s="37" t="inlineStr">
        <is>
          <t xml:space="preserve">Boticário</t>
        </is>
      </c>
      <c r="F101" s="37" t="inlineStr">
        <is>
          <t xml:space="preserve">Confiance</t>
        </is>
      </c>
      <c r="G101" s="37" t="inlineStr">
        <is>
          <t xml:space="preserve">GE Vernova</t>
        </is>
      </c>
      <c r="H101" s="37" t="inlineStr">
        <is>
          <t xml:space="preserve">Omnilife</t>
        </is>
      </c>
      <c r="I101" s="37" t="inlineStr">
        <is>
          <t xml:space="preserve">Supply</t>
        </is>
      </c>
      <c r="J101" s="37" t="inlineStr">
        <is>
          <t xml:space="preserve">Vedacit</t>
        </is>
      </c>
      <c r="K101" s="37" t="inlineStr">
        <is>
          <t xml:space="preserve">Vestas</t>
        </is>
      </c>
      <c r="L101" s="37" t="inlineStr">
        <is>
          <t xml:space="preserve">TOTAL</t>
        </is>
      </c>
    </row>
    <row r="102">
      <c r="A102" s="29" t="inlineStr">
        <is>
          <t xml:space="preserve">IN · Veículos Recebidos</t>
        </is>
      </c>
      <c r="B102" s="32">
        <f>SUMIFS(BD!$C$3:$C$5001,BD!$B$3:$B$5001,B$101,BD!$A$3:$A$5001,"&gt;="&amp;$C$7,BD!$A$3:$A$5001,"&lt;="&amp;$D$7)</f>
        <v>0</v>
      </c>
      <c r="C102" s="32">
        <f>SUMIFS(BD!$C$3:$C$5001,BD!$B$3:$B$5001,C$101,BD!$A$3:$A$5001,"&gt;="&amp;$C$7,BD!$A$3:$A$5001,"&lt;="&amp;$D$7)</f>
        <v>0</v>
      </c>
      <c r="D102" s="32">
        <f>SUMIFS(BD!$C$3:$C$5001,BD!$B$3:$B$5001,D$101,BD!$A$3:$A$5001,"&gt;="&amp;$C$7,BD!$A$3:$A$5001,"&lt;="&amp;$D$7)</f>
        <v>0</v>
      </c>
      <c r="E102" s="32">
        <f>SUMIFS(BD!$C$3:$C$5001,BD!$B$3:$B$5001,E$101,BD!$A$3:$A$5001,"&gt;="&amp;$C$7,BD!$A$3:$A$5001,"&lt;="&amp;$D$7)</f>
        <v>0</v>
      </c>
      <c r="F102" s="32">
        <f>SUMIFS(BD!$C$3:$C$5001,BD!$B$3:$B$5001,F$101,BD!$A$3:$A$5001,"&gt;="&amp;$C$7,BD!$A$3:$A$5001,"&lt;="&amp;$D$7)</f>
        <v>0</v>
      </c>
      <c r="G102" s="32">
        <f>SUMIFS(BD!$C$3:$C$5001,BD!$B$3:$B$5001,G$101,BD!$A$3:$A$5001,"&gt;="&amp;$C$7,BD!$A$3:$A$5001,"&lt;="&amp;$D$7)</f>
        <v>0</v>
      </c>
      <c r="H102" s="32">
        <f>SUMIFS(BD!$C$3:$C$5001,BD!$B$3:$B$5001,H$101,BD!$A$3:$A$5001,"&gt;="&amp;$C$7,BD!$A$3:$A$5001,"&lt;="&amp;$D$7)</f>
        <v>0</v>
      </c>
      <c r="I102" s="32">
        <f>SUMIFS(BD!$C$3:$C$5001,BD!$B$3:$B$5001,I$101,BD!$A$3:$A$5001,"&gt;="&amp;$C$7,BD!$A$3:$A$5001,"&lt;="&amp;$D$7)</f>
        <v>0</v>
      </c>
      <c r="J102" s="32">
        <f>SUMIFS(BD!$C$3:$C$5001,BD!$B$3:$B$5001,J$101,BD!$A$3:$A$5001,"&gt;="&amp;$C$7,BD!$A$3:$A$5001,"&lt;="&amp;$D$7)</f>
        <v>0</v>
      </c>
      <c r="K102" s="32">
        <f>SUMIFS(BD!$C$3:$C$5001,BD!$B$3:$B$5001,K$101,BD!$A$3:$A$5001,"&gt;="&amp;$C$7,BD!$A$3:$A$5001,"&lt;="&amp;$D$7)</f>
        <v>0</v>
      </c>
      <c r="L102" s="61">
        <f>SUM(B102:K102)</f>
        <v>0</v>
      </c>
    </row>
    <row r="103">
      <c r="A103" s="29" t="inlineStr">
        <is>
          <t xml:space="preserve">IN · Pallets Movimentados</t>
        </is>
      </c>
      <c r="B103" s="32" t="inlineStr">
        <is>
          <t xml:space="preserve">—</t>
        </is>
      </c>
      <c r="C103" s="32">
        <f>SUMIFS(BD!$D$3:$D$5001,BD!$B$3:$B$5001,C$101,BD!$A$3:$A$5001,"&gt;="&amp;$C$7,BD!$A$3:$A$5001,"&lt;="&amp;$D$7)</f>
        <v>0</v>
      </c>
      <c r="D103" s="32">
        <f>SUMIFS(BD!$D$3:$D$5001,BD!$B$3:$B$5001,D$101,BD!$A$3:$A$5001,"&gt;="&amp;$C$7,BD!$A$3:$A$5001,"&lt;="&amp;$D$7)</f>
        <v>0</v>
      </c>
      <c r="E103" s="32" t="inlineStr">
        <is>
          <t xml:space="preserve">—</t>
        </is>
      </c>
      <c r="F103" s="32">
        <f>SUMIFS(BD!$D$3:$D$5001,BD!$B$3:$B$5001,F$101,BD!$A$3:$A$5001,"&gt;="&amp;$C$7,BD!$A$3:$A$5001,"&lt;="&amp;$D$7)</f>
        <v>0</v>
      </c>
      <c r="G103" s="32">
        <f>SUMIFS(BD!$D$3:$D$5001,BD!$B$3:$B$5001,G$101,BD!$A$3:$A$5001,"&gt;="&amp;$C$7,BD!$A$3:$A$5001,"&lt;="&amp;$D$7)</f>
        <v>0</v>
      </c>
      <c r="H103" s="32">
        <f>SUMIFS(BD!$D$3:$D$5001,BD!$B$3:$B$5001,H$101,BD!$A$3:$A$5001,"&gt;="&amp;$C$7,BD!$A$3:$A$5001,"&lt;="&amp;$D$7)</f>
        <v>0</v>
      </c>
      <c r="I103" s="32">
        <f>SUMIFS(BD!$D$3:$D$5001,BD!$B$3:$B$5001,I$101,BD!$A$3:$A$5001,"&gt;="&amp;$C$7,BD!$A$3:$A$5001,"&lt;="&amp;$D$7)</f>
        <v>0</v>
      </c>
      <c r="J103" s="32">
        <f>SUMIFS(BD!$D$3:$D$5001,BD!$B$3:$B$5001,J$101,BD!$A$3:$A$5001,"&gt;="&amp;$C$7,BD!$A$3:$A$5001,"&lt;="&amp;$D$7)</f>
        <v>0</v>
      </c>
      <c r="K103" s="32" t="inlineStr">
        <is>
          <t xml:space="preserve">—</t>
        </is>
      </c>
      <c r="L103" s="61">
        <f>SUM(B103:K103)</f>
        <v>0</v>
      </c>
    </row>
    <row r="104">
      <c r="A104" s="29" t="inlineStr">
        <is>
          <t xml:space="preserve">IN · Toneladas Movimentadas</t>
        </is>
      </c>
      <c r="B104" s="60" t="inlineStr">
        <is>
          <t xml:space="preserve">—</t>
        </is>
      </c>
      <c r="C104" s="60">
        <f>SUMIFS(BD!$E$3:$E$5001,BD!$B$3:$B$5001,C$101,BD!$A$3:$A$5001,"&gt;="&amp;$C$7,BD!$A$3:$A$5001,"&lt;="&amp;$D$7)</f>
        <v>0</v>
      </c>
      <c r="D104" s="60" t="inlineStr">
        <is>
          <t xml:space="preserve">—</t>
        </is>
      </c>
      <c r="E104" s="60" t="inlineStr">
        <is>
          <t xml:space="preserve">—</t>
        </is>
      </c>
      <c r="F104" s="60">
        <f>SUMIFS(BD!$E$3:$E$5001,BD!$B$3:$B$5001,F$101,BD!$A$3:$A$5001,"&gt;="&amp;$C$7,BD!$A$3:$A$5001,"&lt;="&amp;$D$7)</f>
        <v>0</v>
      </c>
      <c r="G104" s="60" t="inlineStr">
        <is>
          <t xml:space="preserve">—</t>
        </is>
      </c>
      <c r="H104" s="60" t="inlineStr">
        <is>
          <t xml:space="preserve">—</t>
        </is>
      </c>
      <c r="I104" s="60">
        <f>SUMIFS(BD!$E$3:$E$5001,BD!$B$3:$B$5001,I$101,BD!$A$3:$A$5001,"&gt;="&amp;$C$7,BD!$A$3:$A$5001,"&lt;="&amp;$D$7)</f>
        <v>0</v>
      </c>
      <c r="J104" s="60" t="inlineStr">
        <is>
          <t xml:space="preserve">—</t>
        </is>
      </c>
      <c r="K104" s="60" t="inlineStr">
        <is>
          <t xml:space="preserve">—</t>
        </is>
      </c>
      <c r="L104" s="62">
        <f>SUM(B104:K104)</f>
        <v>0</v>
      </c>
    </row>
    <row r="105">
      <c r="A105" s="29" t="inlineStr">
        <is>
          <t xml:space="preserve">IN · Linhas NF</t>
        </is>
      </c>
      <c r="B105" s="32" t="inlineStr">
        <is>
          <t xml:space="preserve">—</t>
        </is>
      </c>
      <c r="C105" s="32" t="inlineStr">
        <is>
          <t xml:space="preserve">—</t>
        </is>
      </c>
      <c r="D105" s="32" t="inlineStr">
        <is>
          <t xml:space="preserve">—</t>
        </is>
      </c>
      <c r="E105" s="32" t="inlineStr">
        <is>
          <t xml:space="preserve">—</t>
        </is>
      </c>
      <c r="F105" s="32" t="inlineStr">
        <is>
          <t xml:space="preserve">—</t>
        </is>
      </c>
      <c r="G105" s="32">
        <f>SUMIFS(BD!$F$3:$F$5001,BD!$B$3:$B$5001,G$101,BD!$A$3:$A$5001,"&gt;="&amp;$C$7,BD!$A$3:$A$5001,"&lt;="&amp;$D$7)</f>
        <v>0</v>
      </c>
      <c r="H105" s="32" t="inlineStr">
        <is>
          <t xml:space="preserve">—</t>
        </is>
      </c>
      <c r="I105" s="32" t="inlineStr">
        <is>
          <t xml:space="preserve">—</t>
        </is>
      </c>
      <c r="J105" s="32" t="inlineStr">
        <is>
          <t xml:space="preserve">—</t>
        </is>
      </c>
      <c r="K105" s="32">
        <f>SUMIFS(BD!$F$3:$F$5001,BD!$B$3:$B$5001,K$101,BD!$A$3:$A$5001,"&gt;="&amp;$C$7,BD!$A$3:$A$5001,"&lt;="&amp;$D$7)</f>
        <v>0</v>
      </c>
      <c r="L105" s="61">
        <f>SUM(B105:K105)</f>
        <v>0</v>
      </c>
    </row>
    <row r="106">
      <c r="A106" s="29" t="inlineStr">
        <is>
          <t xml:space="preserve">IN · Caixas Movimentadas</t>
        </is>
      </c>
      <c r="B106" s="32">
        <f>SUMIFS(BD!$G$3:$G$5001,BD!$B$3:$B$5001,B$101,BD!$A$3:$A$5001,"&gt;="&amp;$C$7,BD!$A$3:$A$5001,"&lt;="&amp;$D$7)</f>
        <v>0</v>
      </c>
      <c r="C106" s="32" t="inlineStr">
        <is>
          <t xml:space="preserve">—</t>
        </is>
      </c>
      <c r="D106" s="32">
        <f>SUMIFS(BD!$G$3:$G$5001,BD!$B$3:$B$5001,D$101,BD!$A$3:$A$5001,"&gt;="&amp;$C$7,BD!$A$3:$A$5001,"&lt;="&amp;$D$7)</f>
        <v>0</v>
      </c>
      <c r="E106" s="32" t="inlineStr">
        <is>
          <t xml:space="preserve">—</t>
        </is>
      </c>
      <c r="F106" s="32" t="inlineStr">
        <is>
          <t xml:space="preserve">—</t>
        </is>
      </c>
      <c r="G106" s="32" t="inlineStr">
        <is>
          <t xml:space="preserve">—</t>
        </is>
      </c>
      <c r="H106" s="32" t="inlineStr">
        <is>
          <t xml:space="preserve">—</t>
        </is>
      </c>
      <c r="I106" s="32" t="inlineStr">
        <is>
          <t xml:space="preserve">—</t>
        </is>
      </c>
      <c r="J106" s="32" t="inlineStr">
        <is>
          <t xml:space="preserve">—</t>
        </is>
      </c>
      <c r="K106" s="32" t="inlineStr">
        <is>
          <t xml:space="preserve">—</t>
        </is>
      </c>
      <c r="L106" s="61">
        <f>SUM(B106:K106)</f>
        <v>0</v>
      </c>
    </row>
    <row r="107">
      <c r="A107" s="29" t="inlineStr">
        <is>
          <t xml:space="preserve">IN · Peças Movimentadas</t>
        </is>
      </c>
      <c r="B107" s="32" t="inlineStr">
        <is>
          <t xml:space="preserve">—</t>
        </is>
      </c>
      <c r="C107" s="32" t="inlineStr">
        <is>
          <t xml:space="preserve">—</t>
        </is>
      </c>
      <c r="D107" s="32" t="inlineStr">
        <is>
          <t xml:space="preserve">—</t>
        </is>
      </c>
      <c r="E107" s="32" t="inlineStr">
        <is>
          <t xml:space="preserve">—</t>
        </is>
      </c>
      <c r="F107" s="32" t="inlineStr">
        <is>
          <t xml:space="preserve">—</t>
        </is>
      </c>
      <c r="G107" s="32">
        <f>SUMIFS(BD!$H$3:$H$5001,BD!$B$3:$B$5001,G$101,BD!$A$3:$A$5001,"&gt;="&amp;$C$7,BD!$A$3:$A$5001,"&lt;="&amp;$D$7)</f>
        <v>0</v>
      </c>
      <c r="H107" s="32" t="inlineStr">
        <is>
          <t xml:space="preserve">—</t>
        </is>
      </c>
      <c r="I107" s="32" t="inlineStr">
        <is>
          <t xml:space="preserve">—</t>
        </is>
      </c>
      <c r="J107" s="32" t="inlineStr">
        <is>
          <t xml:space="preserve">—</t>
        </is>
      </c>
      <c r="K107" s="32" t="inlineStr">
        <is>
          <t xml:space="preserve">—</t>
        </is>
      </c>
      <c r="L107" s="61">
        <f>SUM(B107:K107)</f>
        <v>0</v>
      </c>
    </row>
    <row r="108">
      <c r="A108" s="29" t="inlineStr">
        <is>
          <t xml:space="preserve">IN · Itens Recebidos CX Mista</t>
        </is>
      </c>
      <c r="B108" s="32" t="inlineStr">
        <is>
          <t xml:space="preserve">—</t>
        </is>
      </c>
      <c r="C108" s="32" t="inlineStr">
        <is>
          <t xml:space="preserve">—</t>
        </is>
      </c>
      <c r="D108" s="32" t="inlineStr">
        <is>
          <t xml:space="preserve">—</t>
        </is>
      </c>
      <c r="E108" s="32">
        <f>SUMIFS(BD!$I$3:$I$5001,BD!$B$3:$B$5001,E$101,BD!$A$3:$A$5001,"&gt;="&amp;$C$7,BD!$A$3:$A$5001,"&lt;="&amp;$D$7)</f>
        <v>0</v>
      </c>
      <c r="F108" s="32" t="inlineStr">
        <is>
          <t xml:space="preserve">—</t>
        </is>
      </c>
      <c r="G108" s="32" t="inlineStr">
        <is>
          <t xml:space="preserve">—</t>
        </is>
      </c>
      <c r="H108" s="32" t="inlineStr">
        <is>
          <t xml:space="preserve">—</t>
        </is>
      </c>
      <c r="I108" s="32" t="inlineStr">
        <is>
          <t xml:space="preserve">—</t>
        </is>
      </c>
      <c r="J108" s="32" t="inlineStr">
        <is>
          <t xml:space="preserve">—</t>
        </is>
      </c>
      <c r="K108" s="32" t="inlineStr">
        <is>
          <t xml:space="preserve">—</t>
        </is>
      </c>
      <c r="L108" s="61">
        <f>SUM(B108:K108)</f>
        <v>0</v>
      </c>
    </row>
    <row r="109">
      <c r="A109" s="29" t="inlineStr">
        <is>
          <t xml:space="preserve">IN · Caixas Fechadas</t>
        </is>
      </c>
      <c r="B109" s="32" t="inlineStr">
        <is>
          <t xml:space="preserve">—</t>
        </is>
      </c>
      <c r="C109" s="32" t="inlineStr">
        <is>
          <t xml:space="preserve">—</t>
        </is>
      </c>
      <c r="D109" s="32" t="inlineStr">
        <is>
          <t xml:space="preserve">—</t>
        </is>
      </c>
      <c r="E109" s="32">
        <f>SUMIFS(BD!$J$3:$J$5001,BD!$B$3:$B$5001,E$101,BD!$A$3:$A$5001,"&gt;="&amp;$C$7,BD!$A$3:$A$5001,"&lt;="&amp;$D$7)</f>
        <v>0</v>
      </c>
      <c r="F109" s="32" t="inlineStr">
        <is>
          <t xml:space="preserve">—</t>
        </is>
      </c>
      <c r="G109" s="32" t="inlineStr">
        <is>
          <t xml:space="preserve">—</t>
        </is>
      </c>
      <c r="H109" s="32" t="inlineStr">
        <is>
          <t xml:space="preserve">—</t>
        </is>
      </c>
      <c r="I109" s="32" t="inlineStr">
        <is>
          <t xml:space="preserve">—</t>
        </is>
      </c>
      <c r="J109" s="32" t="inlineStr">
        <is>
          <t xml:space="preserve">—</t>
        </is>
      </c>
      <c r="K109" s="32" t="inlineStr">
        <is>
          <t xml:space="preserve">—</t>
        </is>
      </c>
      <c r="L109" s="61">
        <f>SUM(B109:K109)</f>
        <v>0</v>
      </c>
    </row>
    <row r="110">
      <c r="A110" s="29" t="inlineStr">
        <is>
          <t xml:space="preserve">IN · Caixas Mistas Recebidas</t>
        </is>
      </c>
      <c r="B110" s="32" t="inlineStr">
        <is>
          <t xml:space="preserve">—</t>
        </is>
      </c>
      <c r="C110" s="32" t="inlineStr">
        <is>
          <t xml:space="preserve">—</t>
        </is>
      </c>
      <c r="D110" s="32" t="inlineStr">
        <is>
          <t xml:space="preserve">—</t>
        </is>
      </c>
      <c r="E110" s="32">
        <f>SUMIFS(BD!$K$3:$K$5001,BD!$B$3:$B$5001,E$101,BD!$A$3:$A$5001,"&gt;="&amp;$C$7,BD!$A$3:$A$5001,"&lt;="&amp;$D$7)</f>
        <v>0</v>
      </c>
      <c r="F110" s="32" t="inlineStr">
        <is>
          <t xml:space="preserve">—</t>
        </is>
      </c>
      <c r="G110" s="32" t="inlineStr">
        <is>
          <t xml:space="preserve">—</t>
        </is>
      </c>
      <c r="H110" s="32" t="inlineStr">
        <is>
          <t xml:space="preserve">—</t>
        </is>
      </c>
      <c r="I110" s="32" t="inlineStr">
        <is>
          <t xml:space="preserve">—</t>
        </is>
      </c>
      <c r="J110" s="32" t="inlineStr">
        <is>
          <t xml:space="preserve">—</t>
        </is>
      </c>
      <c r="K110" s="32" t="inlineStr">
        <is>
          <t xml:space="preserve">—</t>
        </is>
      </c>
      <c r="L110" s="61">
        <f>SUM(B110:K110)</f>
        <v>0</v>
      </c>
    </row>
    <row r="111">
      <c r="A111" s="29" t="inlineStr">
        <is>
          <t xml:space="preserve">OUT · Veículos Expedidos</t>
        </is>
      </c>
      <c r="B111" s="32">
        <f>SUMIFS(BD!$L$3:$L$5001,BD!$B$3:$B$5001,B$101,BD!$A$3:$A$5001,"&gt;="&amp;$C$7,BD!$A$3:$A$5001,"&lt;="&amp;$D$7)</f>
        <v>0</v>
      </c>
      <c r="C111" s="32">
        <f>SUMIFS(BD!$L$3:$L$5001,BD!$B$3:$B$5001,C$101,BD!$A$3:$A$5001,"&gt;="&amp;$C$7,BD!$A$3:$A$5001,"&lt;="&amp;$D$7)</f>
        <v>0</v>
      </c>
      <c r="D111" s="32">
        <f>SUMIFS(BD!$L$3:$L$5001,BD!$B$3:$B$5001,D$101,BD!$A$3:$A$5001,"&gt;="&amp;$C$7,BD!$A$3:$A$5001,"&lt;="&amp;$D$7)</f>
        <v>0</v>
      </c>
      <c r="E111" s="32">
        <f>SUMIFS(BD!$L$3:$L$5001,BD!$B$3:$B$5001,E$101,BD!$A$3:$A$5001,"&gt;="&amp;$C$7,BD!$A$3:$A$5001,"&lt;="&amp;$D$7)</f>
        <v>0</v>
      </c>
      <c r="F111" s="32">
        <f>SUMIFS(BD!$L$3:$L$5001,BD!$B$3:$B$5001,F$101,BD!$A$3:$A$5001,"&gt;="&amp;$C$7,BD!$A$3:$A$5001,"&lt;="&amp;$D$7)</f>
        <v>0</v>
      </c>
      <c r="G111" s="32">
        <f>SUMIFS(BD!$L$3:$L$5001,BD!$B$3:$B$5001,G$101,BD!$A$3:$A$5001,"&gt;="&amp;$C$7,BD!$A$3:$A$5001,"&lt;="&amp;$D$7)</f>
        <v>0</v>
      </c>
      <c r="H111" s="32">
        <f>SUMIFS(BD!$L$3:$L$5001,BD!$B$3:$B$5001,H$101,BD!$A$3:$A$5001,"&gt;="&amp;$C$7,BD!$A$3:$A$5001,"&lt;="&amp;$D$7)</f>
        <v>0</v>
      </c>
      <c r="I111" s="32">
        <f>SUMIFS(BD!$L$3:$L$5001,BD!$B$3:$B$5001,I$101,BD!$A$3:$A$5001,"&gt;="&amp;$C$7,BD!$A$3:$A$5001,"&lt;="&amp;$D$7)</f>
        <v>0</v>
      </c>
      <c r="J111" s="32">
        <f>SUMIFS(BD!$L$3:$L$5001,BD!$B$3:$B$5001,J$101,BD!$A$3:$A$5001,"&gt;="&amp;$C$7,BD!$A$3:$A$5001,"&lt;="&amp;$D$7)</f>
        <v>0</v>
      </c>
      <c r="K111" s="32">
        <f>SUMIFS(BD!$L$3:$L$5001,BD!$B$3:$B$5001,K$101,BD!$A$3:$A$5001,"&gt;="&amp;$C$7,BD!$A$3:$A$5001,"&lt;="&amp;$D$7)</f>
        <v>0</v>
      </c>
      <c r="L111" s="61">
        <f>SUM(B111:K111)</f>
        <v>0</v>
      </c>
    </row>
    <row r="112">
      <c r="A112" s="29" t="inlineStr">
        <is>
          <t xml:space="preserve">OUT · Pedidos Expedidos</t>
        </is>
      </c>
      <c r="B112" s="32" t="inlineStr">
        <is>
          <t xml:space="preserve">—</t>
        </is>
      </c>
      <c r="C112" s="32" t="inlineStr">
        <is>
          <t xml:space="preserve">—</t>
        </is>
      </c>
      <c r="D112" s="32">
        <f>SUMIFS(BD!$M$3:$M$5001,BD!$B$3:$B$5001,D$101,BD!$A$3:$A$5001,"&gt;="&amp;$C$7,BD!$A$3:$A$5001,"&lt;="&amp;$D$7)</f>
        <v>0</v>
      </c>
      <c r="E112" s="32" t="inlineStr">
        <is>
          <t xml:space="preserve">—</t>
        </is>
      </c>
      <c r="F112" s="32" t="inlineStr">
        <is>
          <t xml:space="preserve">—</t>
        </is>
      </c>
      <c r="G112" s="32" t="inlineStr">
        <is>
          <t xml:space="preserve">—</t>
        </is>
      </c>
      <c r="H112" s="32" t="inlineStr">
        <is>
          <t xml:space="preserve">—</t>
        </is>
      </c>
      <c r="I112" s="32" t="inlineStr">
        <is>
          <t xml:space="preserve">—</t>
        </is>
      </c>
      <c r="J112" s="32" t="inlineStr">
        <is>
          <t xml:space="preserve">—</t>
        </is>
      </c>
      <c r="K112" s="32" t="inlineStr">
        <is>
          <t xml:space="preserve">—</t>
        </is>
      </c>
      <c r="L112" s="61">
        <f>SUM(B112:K112)</f>
        <v>0</v>
      </c>
    </row>
    <row r="113">
      <c r="A113" s="29" t="inlineStr">
        <is>
          <t xml:space="preserve">OUT · Pedidos Faturados</t>
        </is>
      </c>
      <c r="B113" s="32" t="inlineStr">
        <is>
          <t xml:space="preserve">—</t>
        </is>
      </c>
      <c r="C113" s="32" t="inlineStr">
        <is>
          <t xml:space="preserve">—</t>
        </is>
      </c>
      <c r="D113" s="32" t="inlineStr">
        <is>
          <t xml:space="preserve">—</t>
        </is>
      </c>
      <c r="E113" s="32">
        <f>SUMIFS(BD!$N$3:$N$5001,BD!$B$3:$B$5001,E$101,BD!$A$3:$A$5001,"&gt;="&amp;$C$7,BD!$A$3:$A$5001,"&lt;="&amp;$D$7)</f>
        <v>0</v>
      </c>
      <c r="F113" s="32" t="inlineStr">
        <is>
          <t xml:space="preserve">—</t>
        </is>
      </c>
      <c r="G113" s="32" t="inlineStr">
        <is>
          <t xml:space="preserve">—</t>
        </is>
      </c>
      <c r="H113" s="32" t="inlineStr">
        <is>
          <t xml:space="preserve">—</t>
        </is>
      </c>
      <c r="I113" s="32" t="inlineStr">
        <is>
          <t xml:space="preserve">—</t>
        </is>
      </c>
      <c r="J113" s="32" t="inlineStr">
        <is>
          <t xml:space="preserve">—</t>
        </is>
      </c>
      <c r="K113" s="32" t="inlineStr">
        <is>
          <t xml:space="preserve">—</t>
        </is>
      </c>
      <c r="L113" s="61">
        <f>SUM(B113:K113)</f>
        <v>0</v>
      </c>
    </row>
    <row r="114">
      <c r="A114" s="29" t="inlineStr">
        <is>
          <t xml:space="preserve">OUT · Itens Expedidos</t>
        </is>
      </c>
      <c r="B114" s="32" t="inlineStr">
        <is>
          <t xml:space="preserve">—</t>
        </is>
      </c>
      <c r="C114" s="32" t="inlineStr">
        <is>
          <t xml:space="preserve">—</t>
        </is>
      </c>
      <c r="D114" s="32" t="inlineStr">
        <is>
          <t xml:space="preserve">—</t>
        </is>
      </c>
      <c r="E114" s="32">
        <f>SUMIFS(BD!$O$3:$O$5001,BD!$B$3:$B$5001,E$101,BD!$A$3:$A$5001,"&gt;="&amp;$C$7,BD!$A$3:$A$5001,"&lt;="&amp;$D$7)</f>
        <v>0</v>
      </c>
      <c r="F114" s="32" t="inlineStr">
        <is>
          <t xml:space="preserve">—</t>
        </is>
      </c>
      <c r="G114" s="32" t="inlineStr">
        <is>
          <t xml:space="preserve">—</t>
        </is>
      </c>
      <c r="H114" s="32" t="inlineStr">
        <is>
          <t xml:space="preserve">—</t>
        </is>
      </c>
      <c r="I114" s="32" t="inlineStr">
        <is>
          <t xml:space="preserve">—</t>
        </is>
      </c>
      <c r="J114" s="32" t="inlineStr">
        <is>
          <t xml:space="preserve">—</t>
        </is>
      </c>
      <c r="K114" s="32" t="inlineStr">
        <is>
          <t xml:space="preserve">—</t>
        </is>
      </c>
      <c r="L114" s="61">
        <f>SUM(B114:K114)</f>
        <v>0</v>
      </c>
    </row>
    <row r="115">
      <c r="A115" s="29" t="inlineStr">
        <is>
          <t xml:space="preserve">OUT · Peças Movimentadas</t>
        </is>
      </c>
      <c r="B115" s="32" t="inlineStr">
        <is>
          <t xml:space="preserve">—</t>
        </is>
      </c>
      <c r="C115" s="32" t="inlineStr">
        <is>
          <t xml:space="preserve">—</t>
        </is>
      </c>
      <c r="D115" s="32" t="inlineStr">
        <is>
          <t xml:space="preserve">—</t>
        </is>
      </c>
      <c r="E115" s="32" t="inlineStr">
        <is>
          <t xml:space="preserve">—</t>
        </is>
      </c>
      <c r="F115" s="32" t="inlineStr">
        <is>
          <t xml:space="preserve">—</t>
        </is>
      </c>
      <c r="G115" s="32">
        <f>SUMIFS(BD!$P$3:$P$5001,BD!$B$3:$B$5001,G$101,BD!$A$3:$A$5001,"&gt;="&amp;$C$7,BD!$A$3:$A$5001,"&lt;="&amp;$D$7)</f>
        <v>0</v>
      </c>
      <c r="H115" s="32" t="inlineStr">
        <is>
          <t xml:space="preserve">—</t>
        </is>
      </c>
      <c r="I115" s="32" t="inlineStr">
        <is>
          <t xml:space="preserve">—</t>
        </is>
      </c>
      <c r="J115" s="32" t="inlineStr">
        <is>
          <t xml:space="preserve">—</t>
        </is>
      </c>
      <c r="K115" s="32" t="inlineStr">
        <is>
          <t xml:space="preserve">—</t>
        </is>
      </c>
      <c r="L115" s="61">
        <f>SUM(B115:K115)</f>
        <v>0</v>
      </c>
    </row>
    <row r="116">
      <c r="A116" s="29" t="inlineStr">
        <is>
          <t xml:space="preserve">OUT · Linhas NF</t>
        </is>
      </c>
      <c r="B116" s="32" t="inlineStr">
        <is>
          <t xml:space="preserve">—</t>
        </is>
      </c>
      <c r="C116" s="32" t="inlineStr">
        <is>
          <t xml:space="preserve">—</t>
        </is>
      </c>
      <c r="D116" s="32" t="inlineStr">
        <is>
          <t xml:space="preserve">—</t>
        </is>
      </c>
      <c r="E116" s="32" t="inlineStr">
        <is>
          <t xml:space="preserve">—</t>
        </is>
      </c>
      <c r="F116" s="32" t="inlineStr">
        <is>
          <t xml:space="preserve">—</t>
        </is>
      </c>
      <c r="G116" s="32">
        <f>SUMIFS(BD!$Q$3:$Q$5001,BD!$B$3:$B$5001,G$101,BD!$A$3:$A$5001,"&gt;="&amp;$C$7,BD!$A$3:$A$5001,"&lt;="&amp;$D$7)</f>
        <v>0</v>
      </c>
      <c r="H116" s="32" t="inlineStr">
        <is>
          <t xml:space="preserve">—</t>
        </is>
      </c>
      <c r="I116" s="32" t="inlineStr">
        <is>
          <t xml:space="preserve">—</t>
        </is>
      </c>
      <c r="J116" s="32" t="inlineStr">
        <is>
          <t xml:space="preserve">—</t>
        </is>
      </c>
      <c r="K116" s="32">
        <f>SUMIFS(BD!$Q$3:$Q$5001,BD!$B$3:$B$5001,K$101,BD!$A$3:$A$5001,"&gt;="&amp;$C$7,BD!$A$3:$A$5001,"&lt;="&amp;$D$7)</f>
        <v>0</v>
      </c>
      <c r="L116" s="61">
        <f>SUM(B116:K116)</f>
        <v>0</v>
      </c>
    </row>
    <row r="117">
      <c r="A117" s="29" t="inlineStr">
        <is>
          <t xml:space="preserve">OUT · Caixas Expedidas</t>
        </is>
      </c>
      <c r="B117" s="32">
        <f>SUMIFS(BD!$R$3:$R$5001,BD!$B$3:$B$5001,B$101,BD!$A$3:$A$5001,"&gt;="&amp;$C$7,BD!$A$3:$A$5001,"&lt;="&amp;$D$7)</f>
        <v>0</v>
      </c>
      <c r="C117" s="32" t="inlineStr">
        <is>
          <t xml:space="preserve">—</t>
        </is>
      </c>
      <c r="D117" s="32" t="inlineStr">
        <is>
          <t xml:space="preserve">—</t>
        </is>
      </c>
      <c r="E117" s="32" t="inlineStr">
        <is>
          <t xml:space="preserve">—</t>
        </is>
      </c>
      <c r="F117" s="32" t="inlineStr">
        <is>
          <t xml:space="preserve">—</t>
        </is>
      </c>
      <c r="G117" s="32" t="inlineStr">
        <is>
          <t xml:space="preserve">—</t>
        </is>
      </c>
      <c r="H117" s="32" t="inlineStr">
        <is>
          <t xml:space="preserve">—</t>
        </is>
      </c>
      <c r="I117" s="32" t="inlineStr">
        <is>
          <t xml:space="preserve">—</t>
        </is>
      </c>
      <c r="J117" s="32" t="inlineStr">
        <is>
          <t xml:space="preserve">—</t>
        </is>
      </c>
      <c r="K117" s="32" t="inlineStr">
        <is>
          <t xml:space="preserve">—</t>
        </is>
      </c>
      <c r="L117" s="61">
        <f>SUM(B117:K117)</f>
        <v>0</v>
      </c>
    </row>
    <row r="118">
      <c r="A118" s="29" t="inlineStr">
        <is>
          <t xml:space="preserve">OUT · Pallets Movimentados</t>
        </is>
      </c>
      <c r="B118" s="32" t="inlineStr">
        <is>
          <t xml:space="preserve">—</t>
        </is>
      </c>
      <c r="C118" s="32">
        <f>SUMIFS(BD!$S$3:$S$5001,BD!$B$3:$B$5001,C$101,BD!$A$3:$A$5001,"&gt;="&amp;$C$7,BD!$A$3:$A$5001,"&lt;="&amp;$D$7)</f>
        <v>0</v>
      </c>
      <c r="D118" s="32">
        <f>SUMIFS(BD!$S$3:$S$5001,BD!$B$3:$B$5001,D$101,BD!$A$3:$A$5001,"&gt;="&amp;$C$7,BD!$A$3:$A$5001,"&lt;="&amp;$D$7)</f>
        <v>0</v>
      </c>
      <c r="E118" s="32">
        <f>SUMIFS(BD!$S$3:$S$5001,BD!$B$3:$B$5001,E$101,BD!$A$3:$A$5001,"&gt;="&amp;$C$7,BD!$A$3:$A$5001,"&lt;="&amp;$D$7)</f>
        <v>0</v>
      </c>
      <c r="F118" s="32">
        <f>SUMIFS(BD!$S$3:$S$5001,BD!$B$3:$B$5001,F$101,BD!$A$3:$A$5001,"&gt;="&amp;$C$7,BD!$A$3:$A$5001,"&lt;="&amp;$D$7)</f>
        <v>0</v>
      </c>
      <c r="G118" s="32">
        <f>SUMIFS(BD!$S$3:$S$5001,BD!$B$3:$B$5001,G$101,BD!$A$3:$A$5001,"&gt;="&amp;$C$7,BD!$A$3:$A$5001,"&lt;="&amp;$D$7)</f>
        <v>0</v>
      </c>
      <c r="H118" s="32">
        <f>SUMIFS(BD!$S$3:$S$5001,BD!$B$3:$B$5001,H$101,BD!$A$3:$A$5001,"&gt;="&amp;$C$7,BD!$A$3:$A$5001,"&lt;="&amp;$D$7)</f>
        <v>0</v>
      </c>
      <c r="I118" s="32">
        <f>SUMIFS(BD!$S$3:$S$5001,BD!$B$3:$B$5001,I$101,BD!$A$3:$A$5001,"&gt;="&amp;$C$7,BD!$A$3:$A$5001,"&lt;="&amp;$D$7)</f>
        <v>0</v>
      </c>
      <c r="J118" s="32">
        <f>SUMIFS(BD!$S$3:$S$5001,BD!$B$3:$B$5001,J$101,BD!$A$3:$A$5001,"&gt;="&amp;$C$7,BD!$A$3:$A$5001,"&lt;="&amp;$D$7)</f>
        <v>0</v>
      </c>
      <c r="K118" s="32" t="inlineStr">
        <is>
          <t xml:space="preserve">—</t>
        </is>
      </c>
      <c r="L118" s="61">
        <f>SUM(B118:K118)</f>
        <v>0</v>
      </c>
    </row>
    <row r="119">
      <c r="A119" s="29" t="inlineStr">
        <is>
          <t xml:space="preserve">OUT · Toneladas Movimentadas</t>
        </is>
      </c>
      <c r="B119" s="60" t="inlineStr">
        <is>
          <t xml:space="preserve">—</t>
        </is>
      </c>
      <c r="C119" s="60">
        <f>SUMIFS(BD!$T$3:$T$5001,BD!$B$3:$B$5001,C$101,BD!$A$3:$A$5001,"&gt;="&amp;$C$7,BD!$A$3:$A$5001,"&lt;="&amp;$D$7)</f>
        <v>0</v>
      </c>
      <c r="D119" s="60" t="inlineStr">
        <is>
          <t xml:space="preserve">—</t>
        </is>
      </c>
      <c r="E119" s="60" t="inlineStr">
        <is>
          <t xml:space="preserve">—</t>
        </is>
      </c>
      <c r="F119" s="60">
        <f>SUMIFS(BD!$T$3:$T$5001,BD!$B$3:$B$5001,F$101,BD!$A$3:$A$5001,"&gt;="&amp;$C$7,BD!$A$3:$A$5001,"&lt;="&amp;$D$7)</f>
        <v>0</v>
      </c>
      <c r="G119" s="60" t="inlineStr">
        <is>
          <t xml:space="preserve">—</t>
        </is>
      </c>
      <c r="H119" s="60" t="inlineStr">
        <is>
          <t xml:space="preserve">—</t>
        </is>
      </c>
      <c r="I119" s="60">
        <f>SUMIFS(BD!$T$3:$T$5001,BD!$B$3:$B$5001,I$101,BD!$A$3:$A$5001,"&gt;="&amp;$C$7,BD!$A$3:$A$5001,"&lt;="&amp;$D$7)</f>
        <v>0</v>
      </c>
      <c r="J119" s="60" t="inlineStr">
        <is>
          <t xml:space="preserve">—</t>
        </is>
      </c>
      <c r="K119" s="60" t="inlineStr">
        <is>
          <t xml:space="preserve">—</t>
        </is>
      </c>
      <c r="L119" s="62">
        <f>SUM(B119:K119)</f>
        <v>0</v>
      </c>
    </row>
    <row r="120">
      <c r="A120" s="29" t="inlineStr">
        <is>
          <t xml:space="preserve">NC · Incidentes</t>
        </is>
      </c>
      <c r="B120" s="32">
        <f>SUMIFS(BD!$U$3:$U$5001,BD!$B$3:$B$5001,B$101,BD!$A$3:$A$5001,"&gt;="&amp;$C$7,BD!$A$3:$A$5001,"&lt;="&amp;$D$7)</f>
        <v>0</v>
      </c>
      <c r="C120" s="32">
        <f>SUMIFS(BD!$U$3:$U$5001,BD!$B$3:$B$5001,C$101,BD!$A$3:$A$5001,"&gt;="&amp;$C$7,BD!$A$3:$A$5001,"&lt;="&amp;$D$7)</f>
        <v>0</v>
      </c>
      <c r="D120" s="32">
        <f>SUMIFS(BD!$U$3:$U$5001,BD!$B$3:$B$5001,D$101,BD!$A$3:$A$5001,"&gt;="&amp;$C$7,BD!$A$3:$A$5001,"&lt;="&amp;$D$7)</f>
        <v>0</v>
      </c>
      <c r="E120" s="32">
        <f>SUMIFS(BD!$U$3:$U$5001,BD!$B$3:$B$5001,E$101,BD!$A$3:$A$5001,"&gt;="&amp;$C$7,BD!$A$3:$A$5001,"&lt;="&amp;$D$7)</f>
        <v>0</v>
      </c>
      <c r="F120" s="32">
        <f>SUMIFS(BD!$U$3:$U$5001,BD!$B$3:$B$5001,F$101,BD!$A$3:$A$5001,"&gt;="&amp;$C$7,BD!$A$3:$A$5001,"&lt;="&amp;$D$7)</f>
        <v>0</v>
      </c>
      <c r="G120" s="32">
        <f>SUMIFS(BD!$U$3:$U$5001,BD!$B$3:$B$5001,G$101,BD!$A$3:$A$5001,"&gt;="&amp;$C$7,BD!$A$3:$A$5001,"&lt;="&amp;$D$7)</f>
        <v>0</v>
      </c>
      <c r="H120" s="32">
        <f>SUMIFS(BD!$U$3:$U$5001,BD!$B$3:$B$5001,H$101,BD!$A$3:$A$5001,"&gt;="&amp;$C$7,BD!$A$3:$A$5001,"&lt;="&amp;$D$7)</f>
        <v>0</v>
      </c>
      <c r="I120" s="32">
        <f>SUMIFS(BD!$U$3:$U$5001,BD!$B$3:$B$5001,I$101,BD!$A$3:$A$5001,"&gt;="&amp;$C$7,BD!$A$3:$A$5001,"&lt;="&amp;$D$7)</f>
        <v>0</v>
      </c>
      <c r="J120" s="32">
        <f>SUMIFS(BD!$U$3:$U$5001,BD!$B$3:$B$5001,J$101,BD!$A$3:$A$5001,"&gt;="&amp;$C$7,BD!$A$3:$A$5001,"&lt;="&amp;$D$7)</f>
        <v>0</v>
      </c>
      <c r="K120" s="32">
        <f>SUMIFS(BD!$U$3:$U$5001,BD!$B$3:$B$5001,K$101,BD!$A$3:$A$5001,"&gt;="&amp;$C$7,BD!$A$3:$A$5001,"&lt;="&amp;$D$7)</f>
        <v>0</v>
      </c>
      <c r="L120" s="61">
        <f>SUM(B120:K120)</f>
        <v>0</v>
      </c>
    </row>
    <row r="121">
      <c r="A121" s="29" t="inlineStr">
        <is>
          <t xml:space="preserve">NC · No show</t>
        </is>
      </c>
      <c r="B121" s="32">
        <f>SUMIFS(BD!$V$3:$V$5001,BD!$B$3:$B$5001,B$101,BD!$A$3:$A$5001,"&gt;="&amp;$C$7,BD!$A$3:$A$5001,"&lt;="&amp;$D$7)</f>
        <v>0</v>
      </c>
      <c r="C121" s="32">
        <f>SUMIFS(BD!$V$3:$V$5001,BD!$B$3:$B$5001,C$101,BD!$A$3:$A$5001,"&gt;="&amp;$C$7,BD!$A$3:$A$5001,"&lt;="&amp;$D$7)</f>
        <v>0</v>
      </c>
      <c r="D121" s="32">
        <f>SUMIFS(BD!$V$3:$V$5001,BD!$B$3:$B$5001,D$101,BD!$A$3:$A$5001,"&gt;="&amp;$C$7,BD!$A$3:$A$5001,"&lt;="&amp;$D$7)</f>
        <v>0</v>
      </c>
      <c r="E121" s="32">
        <f>SUMIFS(BD!$V$3:$V$5001,BD!$B$3:$B$5001,E$101,BD!$A$3:$A$5001,"&gt;="&amp;$C$7,BD!$A$3:$A$5001,"&lt;="&amp;$D$7)</f>
        <v>0</v>
      </c>
      <c r="F121" s="32">
        <f>SUMIFS(BD!$V$3:$V$5001,BD!$B$3:$B$5001,F$101,BD!$A$3:$A$5001,"&gt;="&amp;$C$7,BD!$A$3:$A$5001,"&lt;="&amp;$D$7)</f>
        <v>0</v>
      </c>
      <c r="G121" s="32">
        <f>SUMIFS(BD!$V$3:$V$5001,BD!$B$3:$B$5001,G$101,BD!$A$3:$A$5001,"&gt;="&amp;$C$7,BD!$A$3:$A$5001,"&lt;="&amp;$D$7)</f>
        <v>0</v>
      </c>
      <c r="H121" s="32">
        <f>SUMIFS(BD!$V$3:$V$5001,BD!$B$3:$B$5001,H$101,BD!$A$3:$A$5001,"&gt;="&amp;$C$7,BD!$A$3:$A$5001,"&lt;="&amp;$D$7)</f>
        <v>0</v>
      </c>
      <c r="I121" s="32">
        <f>SUMIFS(BD!$V$3:$V$5001,BD!$B$3:$B$5001,I$101,BD!$A$3:$A$5001,"&gt;="&amp;$C$7,BD!$A$3:$A$5001,"&lt;="&amp;$D$7)</f>
        <v>0</v>
      </c>
      <c r="J121" s="32">
        <f>SUMIFS(BD!$V$3:$V$5001,BD!$B$3:$B$5001,J$101,BD!$A$3:$A$5001,"&gt;="&amp;$C$7,BD!$A$3:$A$5001,"&lt;="&amp;$D$7)</f>
        <v>0</v>
      </c>
      <c r="K121" s="32">
        <f>SUMIFS(BD!$V$3:$V$5001,BD!$B$3:$B$5001,K$101,BD!$A$3:$A$5001,"&gt;="&amp;$C$7,BD!$A$3:$A$5001,"&lt;="&amp;$D$7)</f>
        <v>0</v>
      </c>
      <c r="L121" s="61">
        <f>SUM(B121:K121)</f>
        <v>0</v>
      </c>
    </row>
    <row r="122">
      <c r="A122" s="29" t="inlineStr">
        <is>
          <t xml:space="preserve">NC · Backlog</t>
        </is>
      </c>
      <c r="B122" s="32" t="str">
        <f>IF(COUNTIFS(BD!$B$3:$B$5001,B$101,BD!$A$3:$A$5001,"&gt;="&amp;$C$7,BD!$A$3:$A$5001,"&lt;="&amp;$D$7,BD!$W$3:$W$5001,"&lt;&gt;")=0,"",SUMIFS(BD!$W$3:$W$5001,BD!$B$3:$B$5001,B$101,BD!$A$3:$A$5001,_xlfn.MAXIFS(BD!$A$3:$A$5001,BD!$B$3:$B$5001,B$101,BD!$A$3:$A$5001,"&gt;="&amp;$C$7,BD!$A$3:$A$5001,"&lt;="&amp;$D$7,BD!$W$3:$W$5001,"&lt;&gt;")))</f>
        <v/>
      </c>
      <c r="C122" s="32" t="str">
        <f>IF(COUNTIFS(BD!$B$3:$B$5001,C$101,BD!$A$3:$A$5001,"&gt;="&amp;$C$7,BD!$A$3:$A$5001,"&lt;="&amp;$D$7,BD!$W$3:$W$5001,"&lt;&gt;")=0,"",SUMIFS(BD!$W$3:$W$5001,BD!$B$3:$B$5001,C$101,BD!$A$3:$A$5001,_xlfn.MAXIFS(BD!$A$3:$A$5001,BD!$B$3:$B$5001,C$101,BD!$A$3:$A$5001,"&gt;="&amp;$C$7,BD!$A$3:$A$5001,"&lt;="&amp;$D$7,BD!$W$3:$W$5001,"&lt;&gt;")))</f>
        <v/>
      </c>
      <c r="D122" s="32" t="str">
        <f>IF(COUNTIFS(BD!$B$3:$B$5001,D$101,BD!$A$3:$A$5001,"&gt;="&amp;$C$7,BD!$A$3:$A$5001,"&lt;="&amp;$D$7,BD!$W$3:$W$5001,"&lt;&gt;")=0,"",SUMIFS(BD!$W$3:$W$5001,BD!$B$3:$B$5001,D$101,BD!$A$3:$A$5001,_xlfn.MAXIFS(BD!$A$3:$A$5001,BD!$B$3:$B$5001,D$101,BD!$A$3:$A$5001,"&gt;="&amp;$C$7,BD!$A$3:$A$5001,"&lt;="&amp;$D$7,BD!$W$3:$W$5001,"&lt;&gt;")))</f>
        <v/>
      </c>
      <c r="E122" s="32" t="str">
        <f>IF(COUNTIFS(BD!$B$3:$B$5001,E$101,BD!$A$3:$A$5001,"&gt;="&amp;$C$7,BD!$A$3:$A$5001,"&lt;="&amp;$D$7,BD!$W$3:$W$5001,"&lt;&gt;")=0,"",SUMIFS(BD!$W$3:$W$5001,BD!$B$3:$B$5001,E$101,BD!$A$3:$A$5001,_xlfn.MAXIFS(BD!$A$3:$A$5001,BD!$B$3:$B$5001,E$101,BD!$A$3:$A$5001,"&gt;="&amp;$C$7,BD!$A$3:$A$5001,"&lt;="&amp;$D$7,BD!$W$3:$W$5001,"&lt;&gt;")))</f>
        <v/>
      </c>
      <c r="F122" s="32" t="str">
        <f>IF(COUNTIFS(BD!$B$3:$B$5001,F$101,BD!$A$3:$A$5001,"&gt;="&amp;$C$7,BD!$A$3:$A$5001,"&lt;="&amp;$D$7,BD!$W$3:$W$5001,"&lt;&gt;")=0,"",SUMIFS(BD!$W$3:$W$5001,BD!$B$3:$B$5001,F$101,BD!$A$3:$A$5001,_xlfn.MAXIFS(BD!$A$3:$A$5001,BD!$B$3:$B$5001,F$101,BD!$A$3:$A$5001,"&gt;="&amp;$C$7,BD!$A$3:$A$5001,"&lt;="&amp;$D$7,BD!$W$3:$W$5001,"&lt;&gt;")))</f>
        <v/>
      </c>
      <c r="G122" s="32" t="str">
        <f>IF(COUNTIFS(BD!$B$3:$B$5001,G$101,BD!$A$3:$A$5001,"&gt;="&amp;$C$7,BD!$A$3:$A$5001,"&lt;="&amp;$D$7,BD!$W$3:$W$5001,"&lt;&gt;")=0,"",SUMIFS(BD!$W$3:$W$5001,BD!$B$3:$B$5001,G$101,BD!$A$3:$A$5001,_xlfn.MAXIFS(BD!$A$3:$A$5001,BD!$B$3:$B$5001,G$101,BD!$A$3:$A$5001,"&gt;="&amp;$C$7,BD!$A$3:$A$5001,"&lt;="&amp;$D$7,BD!$W$3:$W$5001,"&lt;&gt;")))</f>
        <v/>
      </c>
      <c r="H122" s="32" t="str">
        <f>IF(COUNTIFS(BD!$B$3:$B$5001,H$101,BD!$A$3:$A$5001,"&gt;="&amp;$C$7,BD!$A$3:$A$5001,"&lt;="&amp;$D$7,BD!$W$3:$W$5001,"&lt;&gt;")=0,"",SUMIFS(BD!$W$3:$W$5001,BD!$B$3:$B$5001,H$101,BD!$A$3:$A$5001,_xlfn.MAXIFS(BD!$A$3:$A$5001,BD!$B$3:$B$5001,H$101,BD!$A$3:$A$5001,"&gt;="&amp;$C$7,BD!$A$3:$A$5001,"&lt;="&amp;$D$7,BD!$W$3:$W$5001,"&lt;&gt;")))</f>
        <v/>
      </c>
      <c r="I122" s="32" t="str">
        <f>IF(COUNTIFS(BD!$B$3:$B$5001,I$101,BD!$A$3:$A$5001,"&gt;="&amp;$C$7,BD!$A$3:$A$5001,"&lt;="&amp;$D$7,BD!$W$3:$W$5001,"&lt;&gt;")=0,"",SUMIFS(BD!$W$3:$W$5001,BD!$B$3:$B$5001,I$101,BD!$A$3:$A$5001,_xlfn.MAXIFS(BD!$A$3:$A$5001,BD!$B$3:$B$5001,I$101,BD!$A$3:$A$5001,"&gt;="&amp;$C$7,BD!$A$3:$A$5001,"&lt;="&amp;$D$7,BD!$W$3:$W$5001,"&lt;&gt;")))</f>
        <v/>
      </c>
      <c r="J122" s="32" t="str">
        <f>IF(COUNTIFS(BD!$B$3:$B$5001,J$101,BD!$A$3:$A$5001,"&gt;="&amp;$C$7,BD!$A$3:$A$5001,"&lt;="&amp;$D$7,BD!$W$3:$W$5001,"&lt;&gt;")=0,"",SUMIFS(BD!$W$3:$W$5001,BD!$B$3:$B$5001,J$101,BD!$A$3:$A$5001,_xlfn.MAXIFS(BD!$A$3:$A$5001,BD!$B$3:$B$5001,J$101,BD!$A$3:$A$5001,"&gt;="&amp;$C$7,BD!$A$3:$A$5001,"&lt;="&amp;$D$7,BD!$W$3:$W$5001,"&lt;&gt;")))</f>
        <v/>
      </c>
      <c r="K122" s="32" t="str">
        <f>IF(COUNTIFS(BD!$B$3:$B$5001,K$101,BD!$A$3:$A$5001,"&gt;="&amp;$C$7,BD!$A$3:$A$5001,"&lt;="&amp;$D$7,BD!$W$3:$W$5001,"&lt;&gt;")=0,"",SUMIFS(BD!$W$3:$W$5001,BD!$B$3:$B$5001,K$101,BD!$A$3:$A$5001,_xlfn.MAXIFS(BD!$A$3:$A$5001,BD!$B$3:$B$5001,K$101,BD!$A$3:$A$5001,"&gt;="&amp;$C$7,BD!$A$3:$A$5001,"&lt;="&amp;$D$7,BD!$W$3:$W$5001,"&lt;&gt;")))</f>
        <v/>
      </c>
      <c r="L122" s="61">
        <f>SUM(B122:K122)</f>
        <v>0</v>
      </c>
    </row>
    <row r="123">
      <c r="A123" s="29" t="inlineStr">
        <is>
          <t xml:space="preserve">OCUPAÇÃO (P.P) · Posições Disponíveis</t>
        </is>
      </c>
      <c r="B123" s="32" t="str">
        <f>IF(COUNTIFS(BD!$B$3:$B$5001,B$101,BD!$A$3:$A$5001,"&gt;="&amp;$C$7,BD!$A$3:$A$5001,"&lt;="&amp;$D$7,BD!$Y$3:$Y$5001,"&lt;&gt;")=0,"",SUMIFS(BD!$X$3:$X$5001,BD!$B$3:$B$5001,B$101,BD!$A$3:$A$5001,_xlfn.MAXIFS(BD!$A$3:$A$5001,BD!$B$3:$B$5001,B$101,BD!$A$3:$A$5001,"&gt;="&amp;$C$7,BD!$A$3:$A$5001,"&lt;="&amp;$D$7,BD!$Y$3:$Y$5001,"&lt;&gt;")))</f>
        <v/>
      </c>
      <c r="C123" s="32" t="str">
        <f>IF(COUNTIFS(BD!$B$3:$B$5001,C$101,BD!$A$3:$A$5001,"&gt;="&amp;$C$7,BD!$A$3:$A$5001,"&lt;="&amp;$D$7,BD!$Y$3:$Y$5001,"&lt;&gt;")=0,"",SUMIFS(BD!$X$3:$X$5001,BD!$B$3:$B$5001,C$101,BD!$A$3:$A$5001,_xlfn.MAXIFS(BD!$A$3:$A$5001,BD!$B$3:$B$5001,C$101,BD!$A$3:$A$5001,"&gt;="&amp;$C$7,BD!$A$3:$A$5001,"&lt;="&amp;$D$7,BD!$Y$3:$Y$5001,"&lt;&gt;")))</f>
        <v/>
      </c>
      <c r="D123" s="32" t="str">
        <f>IF(COUNTIFS(BD!$B$3:$B$5001,D$101,BD!$A$3:$A$5001,"&gt;="&amp;$C$7,BD!$A$3:$A$5001,"&lt;="&amp;$D$7,BD!$Y$3:$Y$5001,"&lt;&gt;")=0,"",SUMIFS(BD!$X$3:$X$5001,BD!$B$3:$B$5001,D$101,BD!$A$3:$A$5001,_xlfn.MAXIFS(BD!$A$3:$A$5001,BD!$B$3:$B$5001,D$101,BD!$A$3:$A$5001,"&gt;="&amp;$C$7,BD!$A$3:$A$5001,"&lt;="&amp;$D$7,BD!$Y$3:$Y$5001,"&lt;&gt;")))</f>
        <v/>
      </c>
      <c r="E123" s="32" t="str">
        <f>IF(COUNTIFS(BD!$B$3:$B$5001,E$101,BD!$A$3:$A$5001,"&gt;="&amp;$C$7,BD!$A$3:$A$5001,"&lt;="&amp;$D$7,BD!$Y$3:$Y$5001,"&lt;&gt;")=0,"",SUMIFS(BD!$X$3:$X$5001,BD!$B$3:$B$5001,E$101,BD!$A$3:$A$5001,_xlfn.MAXIFS(BD!$A$3:$A$5001,BD!$B$3:$B$5001,E$101,BD!$A$3:$A$5001,"&gt;="&amp;$C$7,BD!$A$3:$A$5001,"&lt;="&amp;$D$7,BD!$Y$3:$Y$5001,"&lt;&gt;")))</f>
        <v/>
      </c>
      <c r="F123" s="32" t="str">
        <f>IF(COUNTIFS(BD!$B$3:$B$5001,F$101,BD!$A$3:$A$5001,"&gt;="&amp;$C$7,BD!$A$3:$A$5001,"&lt;="&amp;$D$7,BD!$Y$3:$Y$5001,"&lt;&gt;")=0,"",SUMIFS(BD!$X$3:$X$5001,BD!$B$3:$B$5001,F$101,BD!$A$3:$A$5001,_xlfn.MAXIFS(BD!$A$3:$A$5001,BD!$B$3:$B$5001,F$101,BD!$A$3:$A$5001,"&gt;="&amp;$C$7,BD!$A$3:$A$5001,"&lt;="&amp;$D$7,BD!$Y$3:$Y$5001,"&lt;&gt;")))</f>
        <v/>
      </c>
      <c r="G123" s="32" t="str">
        <f>IF(COUNTIFS(BD!$B$3:$B$5001,G$101,BD!$A$3:$A$5001,"&gt;="&amp;$C$7,BD!$A$3:$A$5001,"&lt;="&amp;$D$7,BD!$Y$3:$Y$5001,"&lt;&gt;")=0,"",SUMIFS(BD!$X$3:$X$5001,BD!$B$3:$B$5001,G$101,BD!$A$3:$A$5001,_xlfn.MAXIFS(BD!$A$3:$A$5001,BD!$B$3:$B$5001,G$101,BD!$A$3:$A$5001,"&gt;="&amp;$C$7,BD!$A$3:$A$5001,"&lt;="&amp;$D$7,BD!$Y$3:$Y$5001,"&lt;&gt;")))</f>
        <v/>
      </c>
      <c r="H123" s="32" t="str">
        <f>IF(COUNTIFS(BD!$B$3:$B$5001,H$101,BD!$A$3:$A$5001,"&gt;="&amp;$C$7,BD!$A$3:$A$5001,"&lt;="&amp;$D$7,BD!$Y$3:$Y$5001,"&lt;&gt;")=0,"",SUMIFS(BD!$X$3:$X$5001,BD!$B$3:$B$5001,H$101,BD!$A$3:$A$5001,_xlfn.MAXIFS(BD!$A$3:$A$5001,BD!$B$3:$B$5001,H$101,BD!$A$3:$A$5001,"&gt;="&amp;$C$7,BD!$A$3:$A$5001,"&lt;="&amp;$D$7,BD!$Y$3:$Y$5001,"&lt;&gt;")))</f>
        <v/>
      </c>
      <c r="I123" s="32" t="str">
        <f>IF(COUNTIFS(BD!$B$3:$B$5001,I$101,BD!$A$3:$A$5001,"&gt;="&amp;$C$7,BD!$A$3:$A$5001,"&lt;="&amp;$D$7,BD!$Y$3:$Y$5001,"&lt;&gt;")=0,"",SUMIFS(BD!$X$3:$X$5001,BD!$B$3:$B$5001,I$101,BD!$A$3:$A$5001,_xlfn.MAXIFS(BD!$A$3:$A$5001,BD!$B$3:$B$5001,I$101,BD!$A$3:$A$5001,"&gt;="&amp;$C$7,BD!$A$3:$A$5001,"&lt;="&amp;$D$7,BD!$Y$3:$Y$5001,"&lt;&gt;")))</f>
        <v/>
      </c>
      <c r="J123" s="32" t="str">
        <f>IF(COUNTIFS(BD!$B$3:$B$5001,J$101,BD!$A$3:$A$5001,"&gt;="&amp;$C$7,BD!$A$3:$A$5001,"&lt;="&amp;$D$7,BD!$Y$3:$Y$5001,"&lt;&gt;")=0,"",SUMIFS(BD!$X$3:$X$5001,BD!$B$3:$B$5001,J$101,BD!$A$3:$A$5001,_xlfn.MAXIFS(BD!$A$3:$A$5001,BD!$B$3:$B$5001,J$101,BD!$A$3:$A$5001,"&gt;="&amp;$C$7,BD!$A$3:$A$5001,"&lt;="&amp;$D$7,BD!$Y$3:$Y$5001,"&lt;&gt;")))</f>
        <v/>
      </c>
      <c r="K123" s="32" t="str">
        <f>IF(COUNTIFS(BD!$B$3:$B$5001,K$101,BD!$A$3:$A$5001,"&gt;="&amp;$C$7,BD!$A$3:$A$5001,"&lt;="&amp;$D$7,BD!$Y$3:$Y$5001,"&lt;&gt;")=0,"",SUMIFS(BD!$X$3:$X$5001,BD!$B$3:$B$5001,K$101,BD!$A$3:$A$5001,_xlfn.MAXIFS(BD!$A$3:$A$5001,BD!$B$3:$B$5001,K$101,BD!$A$3:$A$5001,"&gt;="&amp;$C$7,BD!$A$3:$A$5001,"&lt;="&amp;$D$7,BD!$Y$3:$Y$5001,"&lt;&gt;")))</f>
        <v/>
      </c>
      <c r="L123" s="61">
        <f>IF($B$4&gt;0,$B$4,SUM(B123:K123))</f>
        <v>23040</v>
      </c>
    </row>
    <row r="124">
      <c r="A124" s="29" t="inlineStr">
        <is>
          <t xml:space="preserve">OCUPAÇÃO (P.P) · Posições Ocupadas</t>
        </is>
      </c>
      <c r="B124" s="32" t="str">
        <f>IF(COUNTIFS(BD!$B$3:$B$5001,B$101,BD!$A$3:$A$5001,"&gt;="&amp;$C$7,BD!$A$3:$A$5001,"&lt;="&amp;$D$7,BD!$Y$3:$Y$5001,"&lt;&gt;")=0,"",SUMIFS(BD!$Y$3:$Y$5001,BD!$B$3:$B$5001,B$101,BD!$A$3:$A$5001,_xlfn.MAXIFS(BD!$A$3:$A$5001,BD!$B$3:$B$5001,B$101,BD!$A$3:$A$5001,"&gt;="&amp;$C$7,BD!$A$3:$A$5001,"&lt;="&amp;$D$7,BD!$Y$3:$Y$5001,"&lt;&gt;")))</f>
        <v/>
      </c>
      <c r="C124" s="32" t="str">
        <f>IF(COUNTIFS(BD!$B$3:$B$5001,C$101,BD!$A$3:$A$5001,"&gt;="&amp;$C$7,BD!$A$3:$A$5001,"&lt;="&amp;$D$7,BD!$Y$3:$Y$5001,"&lt;&gt;")=0,"",SUMIFS(BD!$Y$3:$Y$5001,BD!$B$3:$B$5001,C$101,BD!$A$3:$A$5001,_xlfn.MAXIFS(BD!$A$3:$A$5001,BD!$B$3:$B$5001,C$101,BD!$A$3:$A$5001,"&gt;="&amp;$C$7,BD!$A$3:$A$5001,"&lt;="&amp;$D$7,BD!$Y$3:$Y$5001,"&lt;&gt;")))</f>
        <v/>
      </c>
      <c r="D124" s="32" t="str">
        <f>IF(COUNTIFS(BD!$B$3:$B$5001,D$101,BD!$A$3:$A$5001,"&gt;="&amp;$C$7,BD!$A$3:$A$5001,"&lt;="&amp;$D$7,BD!$Y$3:$Y$5001,"&lt;&gt;")=0,"",SUMIFS(BD!$Y$3:$Y$5001,BD!$B$3:$B$5001,D$101,BD!$A$3:$A$5001,_xlfn.MAXIFS(BD!$A$3:$A$5001,BD!$B$3:$B$5001,D$101,BD!$A$3:$A$5001,"&gt;="&amp;$C$7,BD!$A$3:$A$5001,"&lt;="&amp;$D$7,BD!$Y$3:$Y$5001,"&lt;&gt;")))</f>
        <v/>
      </c>
      <c r="E124" s="32" t="str">
        <f>IF(COUNTIFS(BD!$B$3:$B$5001,E$101,BD!$A$3:$A$5001,"&gt;="&amp;$C$7,BD!$A$3:$A$5001,"&lt;="&amp;$D$7,BD!$Y$3:$Y$5001,"&lt;&gt;")=0,"",SUMIFS(BD!$Y$3:$Y$5001,BD!$B$3:$B$5001,E$101,BD!$A$3:$A$5001,_xlfn.MAXIFS(BD!$A$3:$A$5001,BD!$B$3:$B$5001,E$101,BD!$A$3:$A$5001,"&gt;="&amp;$C$7,BD!$A$3:$A$5001,"&lt;="&amp;$D$7,BD!$Y$3:$Y$5001,"&lt;&gt;")))</f>
        <v/>
      </c>
      <c r="F124" s="32" t="str">
        <f>IF(COUNTIFS(BD!$B$3:$B$5001,F$101,BD!$A$3:$A$5001,"&gt;="&amp;$C$7,BD!$A$3:$A$5001,"&lt;="&amp;$D$7,BD!$Y$3:$Y$5001,"&lt;&gt;")=0,"",SUMIFS(BD!$Y$3:$Y$5001,BD!$B$3:$B$5001,F$101,BD!$A$3:$A$5001,_xlfn.MAXIFS(BD!$A$3:$A$5001,BD!$B$3:$B$5001,F$101,BD!$A$3:$A$5001,"&gt;="&amp;$C$7,BD!$A$3:$A$5001,"&lt;="&amp;$D$7,BD!$Y$3:$Y$5001,"&lt;&gt;")))</f>
        <v/>
      </c>
      <c r="G124" s="32" t="str">
        <f>IF(COUNTIFS(BD!$B$3:$B$5001,G$101,BD!$A$3:$A$5001,"&gt;="&amp;$C$7,BD!$A$3:$A$5001,"&lt;="&amp;$D$7,BD!$Y$3:$Y$5001,"&lt;&gt;")=0,"",SUMIFS(BD!$Y$3:$Y$5001,BD!$B$3:$B$5001,G$101,BD!$A$3:$A$5001,_xlfn.MAXIFS(BD!$A$3:$A$5001,BD!$B$3:$B$5001,G$101,BD!$A$3:$A$5001,"&gt;="&amp;$C$7,BD!$A$3:$A$5001,"&lt;="&amp;$D$7,BD!$Y$3:$Y$5001,"&lt;&gt;")))</f>
        <v/>
      </c>
      <c r="H124" s="32" t="str">
        <f>IF(COUNTIFS(BD!$B$3:$B$5001,H$101,BD!$A$3:$A$5001,"&gt;="&amp;$C$7,BD!$A$3:$A$5001,"&lt;="&amp;$D$7,BD!$Y$3:$Y$5001,"&lt;&gt;")=0,"",SUMIFS(BD!$Y$3:$Y$5001,BD!$B$3:$B$5001,H$101,BD!$A$3:$A$5001,_xlfn.MAXIFS(BD!$A$3:$A$5001,BD!$B$3:$B$5001,H$101,BD!$A$3:$A$5001,"&gt;="&amp;$C$7,BD!$A$3:$A$5001,"&lt;="&amp;$D$7,BD!$Y$3:$Y$5001,"&lt;&gt;")))</f>
        <v/>
      </c>
      <c r="I124" s="32" t="str">
        <f>IF(COUNTIFS(BD!$B$3:$B$5001,I$101,BD!$A$3:$A$5001,"&gt;="&amp;$C$7,BD!$A$3:$A$5001,"&lt;="&amp;$D$7,BD!$Y$3:$Y$5001,"&lt;&gt;")=0,"",SUMIFS(BD!$Y$3:$Y$5001,BD!$B$3:$B$5001,I$101,BD!$A$3:$A$5001,_xlfn.MAXIFS(BD!$A$3:$A$5001,BD!$B$3:$B$5001,I$101,BD!$A$3:$A$5001,"&gt;="&amp;$C$7,BD!$A$3:$A$5001,"&lt;="&amp;$D$7,BD!$Y$3:$Y$5001,"&lt;&gt;")))</f>
        <v/>
      </c>
      <c r="J124" s="32" t="str">
        <f>IF(COUNTIFS(BD!$B$3:$B$5001,J$101,BD!$A$3:$A$5001,"&gt;="&amp;$C$7,BD!$A$3:$A$5001,"&lt;="&amp;$D$7,BD!$Y$3:$Y$5001,"&lt;&gt;")=0,"",SUMIFS(BD!$Y$3:$Y$5001,BD!$B$3:$B$5001,J$101,BD!$A$3:$A$5001,_xlfn.MAXIFS(BD!$A$3:$A$5001,BD!$B$3:$B$5001,J$101,BD!$A$3:$A$5001,"&gt;="&amp;$C$7,BD!$A$3:$A$5001,"&lt;="&amp;$D$7,BD!$Y$3:$Y$5001,"&lt;&gt;")))</f>
        <v/>
      </c>
      <c r="K124" s="32" t="str">
        <f>IF(COUNTIFS(BD!$B$3:$B$5001,K$101,BD!$A$3:$A$5001,"&gt;="&amp;$C$7,BD!$A$3:$A$5001,"&lt;="&amp;$D$7,BD!$Y$3:$Y$5001,"&lt;&gt;")=0,"",SUMIFS(BD!$Y$3:$Y$5001,BD!$B$3:$B$5001,K$101,BD!$A$3:$A$5001,_xlfn.MAXIFS(BD!$A$3:$A$5001,BD!$B$3:$B$5001,K$101,BD!$A$3:$A$5001,"&gt;="&amp;$C$7,BD!$A$3:$A$5001,"&lt;="&amp;$D$7,BD!$Y$3:$Y$5001,"&lt;&gt;")))</f>
        <v/>
      </c>
      <c r="L124" s="61">
        <f>SUM(B124:K124)</f>
        <v>0</v>
      </c>
    </row>
    <row r="125">
      <c r="A125" s="29" t="inlineStr">
        <is>
          <t xml:space="preserve">OCUPAÇÃO (P.P) · Taxa de Ocupação</t>
        </is>
      </c>
      <c r="B125" s="49" t="str">
        <f>IF(AND(ISNUMBER(B124),ISNUMBER(B123)),IF(B123&gt;0,B124/B123,""),"")</f>
        <v/>
      </c>
      <c r="C125" s="49" t="str">
        <f>IF(AND(ISNUMBER(C124),ISNUMBER(C123)),IF(C123&gt;0,C124/C123,""),"")</f>
        <v/>
      </c>
      <c r="D125" s="49" t="str">
        <f>IF(AND(ISNUMBER(D124),ISNUMBER(D123)),IF(D123&gt;0,D124/D123,""),"")</f>
        <v/>
      </c>
      <c r="E125" s="49" t="str">
        <f>IF(AND(ISNUMBER(E124),ISNUMBER(E123)),IF(E123&gt;0,E124/E123,""),"")</f>
        <v/>
      </c>
      <c r="F125" s="49" t="str">
        <f>IF(AND(ISNUMBER(F124),ISNUMBER(F123)),IF(F123&gt;0,F124/F123,""),"")</f>
        <v/>
      </c>
      <c r="G125" s="49" t="str">
        <f>IF(AND(ISNUMBER(G124),ISNUMBER(G123)),IF(G123&gt;0,G124/G123,""),"")</f>
        <v/>
      </c>
      <c r="H125" s="49" t="str">
        <f>IF(AND(ISNUMBER(H124),ISNUMBER(H123)),IF(H123&gt;0,H124/H123,""),"")</f>
        <v/>
      </c>
      <c r="I125" s="49" t="str">
        <f>IF(AND(ISNUMBER(I124),ISNUMBER(I123)),IF(I123&gt;0,I124/I123,""),"")</f>
        <v/>
      </c>
      <c r="J125" s="49" t="str">
        <f>IF(AND(ISNUMBER(J124),ISNUMBER(J123)),IF(J123&gt;0,J124/J123,""),"")</f>
        <v/>
      </c>
      <c r="K125" s="49" t="str">
        <f>IF(AND(ISNUMBER(K124),ISNUMBER(K123)),IF(K123&gt;0,K124/K123,""),"")</f>
        <v/>
      </c>
      <c r="L125" s="63">
        <f>IFERROR(L124/L123,"")</f>
        <v>0</v>
      </c>
    </row>
    <row r="126">
      <c r="A126" s="29" t="inlineStr">
        <is>
          <t xml:space="preserve">GENTE · Efetivo Op.</t>
        </is>
      </c>
      <c r="B126" s="32" t="str">
        <f>IF(COUNTIFS(BD!$B$3:$B$5001,B$101,BD!$A$3:$A$5001,"&gt;="&amp;$C$7,BD!$A$3:$A$5001,"&lt;="&amp;$D$7,BD!$Z$3:$Z$5001,"&lt;&gt;")=0,"",SUMIFS(BD!$Z$3:$Z$5001,BD!$B$3:$B$5001,B$101,BD!$A$3:$A$5001,_xlfn.MAXIFS(BD!$A$3:$A$5001,BD!$B$3:$B$5001,B$101,BD!$A$3:$A$5001,"&gt;="&amp;$C$7,BD!$A$3:$A$5001,"&lt;="&amp;$D$7,BD!$Z$3:$Z$5001,"&lt;&gt;")))</f>
        <v/>
      </c>
      <c r="C126" s="32" t="str">
        <f>IF(COUNTIFS(BD!$B$3:$B$5001,C$101,BD!$A$3:$A$5001,"&gt;="&amp;$C$7,BD!$A$3:$A$5001,"&lt;="&amp;$D$7,BD!$Z$3:$Z$5001,"&lt;&gt;")=0,"",SUMIFS(BD!$Z$3:$Z$5001,BD!$B$3:$B$5001,C$101,BD!$A$3:$A$5001,_xlfn.MAXIFS(BD!$A$3:$A$5001,BD!$B$3:$B$5001,C$101,BD!$A$3:$A$5001,"&gt;="&amp;$C$7,BD!$A$3:$A$5001,"&lt;="&amp;$D$7,BD!$Z$3:$Z$5001,"&lt;&gt;")))</f>
        <v/>
      </c>
      <c r="D126" s="32" t="str">
        <f>IF(COUNTIFS(BD!$B$3:$B$5001,D$101,BD!$A$3:$A$5001,"&gt;="&amp;$C$7,BD!$A$3:$A$5001,"&lt;="&amp;$D$7,BD!$Z$3:$Z$5001,"&lt;&gt;")=0,"",SUMIFS(BD!$Z$3:$Z$5001,BD!$B$3:$B$5001,D$101,BD!$A$3:$A$5001,_xlfn.MAXIFS(BD!$A$3:$A$5001,BD!$B$3:$B$5001,D$101,BD!$A$3:$A$5001,"&gt;="&amp;$C$7,BD!$A$3:$A$5001,"&lt;="&amp;$D$7,BD!$Z$3:$Z$5001,"&lt;&gt;")))</f>
        <v/>
      </c>
      <c r="E126" s="32" t="str">
        <f>IF(COUNTIFS(BD!$B$3:$B$5001,E$101,BD!$A$3:$A$5001,"&gt;="&amp;$C$7,BD!$A$3:$A$5001,"&lt;="&amp;$D$7,BD!$Z$3:$Z$5001,"&lt;&gt;")=0,"",SUMIFS(BD!$Z$3:$Z$5001,BD!$B$3:$B$5001,E$101,BD!$A$3:$A$5001,_xlfn.MAXIFS(BD!$A$3:$A$5001,BD!$B$3:$B$5001,E$101,BD!$A$3:$A$5001,"&gt;="&amp;$C$7,BD!$A$3:$A$5001,"&lt;="&amp;$D$7,BD!$Z$3:$Z$5001,"&lt;&gt;")))</f>
        <v/>
      </c>
      <c r="F126" s="32" t="str">
        <f>IF(COUNTIFS(BD!$B$3:$B$5001,F$101,BD!$A$3:$A$5001,"&gt;="&amp;$C$7,BD!$A$3:$A$5001,"&lt;="&amp;$D$7,BD!$Z$3:$Z$5001,"&lt;&gt;")=0,"",SUMIFS(BD!$Z$3:$Z$5001,BD!$B$3:$B$5001,F$101,BD!$A$3:$A$5001,_xlfn.MAXIFS(BD!$A$3:$A$5001,BD!$B$3:$B$5001,F$101,BD!$A$3:$A$5001,"&gt;="&amp;$C$7,BD!$A$3:$A$5001,"&lt;="&amp;$D$7,BD!$Z$3:$Z$5001,"&lt;&gt;")))</f>
        <v/>
      </c>
      <c r="G126" s="32" t="str">
        <f>IF(COUNTIFS(BD!$B$3:$B$5001,G$101,BD!$A$3:$A$5001,"&gt;="&amp;$C$7,BD!$A$3:$A$5001,"&lt;="&amp;$D$7,BD!$Z$3:$Z$5001,"&lt;&gt;")=0,"",SUMIFS(BD!$Z$3:$Z$5001,BD!$B$3:$B$5001,G$101,BD!$A$3:$A$5001,_xlfn.MAXIFS(BD!$A$3:$A$5001,BD!$B$3:$B$5001,G$101,BD!$A$3:$A$5001,"&gt;="&amp;$C$7,BD!$A$3:$A$5001,"&lt;="&amp;$D$7,BD!$Z$3:$Z$5001,"&lt;&gt;")))</f>
        <v/>
      </c>
      <c r="H126" s="32" t="str">
        <f>IF(COUNTIFS(BD!$B$3:$B$5001,H$101,BD!$A$3:$A$5001,"&gt;="&amp;$C$7,BD!$A$3:$A$5001,"&lt;="&amp;$D$7,BD!$Z$3:$Z$5001,"&lt;&gt;")=0,"",SUMIFS(BD!$Z$3:$Z$5001,BD!$B$3:$B$5001,H$101,BD!$A$3:$A$5001,_xlfn.MAXIFS(BD!$A$3:$A$5001,BD!$B$3:$B$5001,H$101,BD!$A$3:$A$5001,"&gt;="&amp;$C$7,BD!$A$3:$A$5001,"&lt;="&amp;$D$7,BD!$Z$3:$Z$5001,"&lt;&gt;")))</f>
        <v/>
      </c>
      <c r="I126" s="32" t="str">
        <f>IF(COUNTIFS(BD!$B$3:$B$5001,I$101,BD!$A$3:$A$5001,"&gt;="&amp;$C$7,BD!$A$3:$A$5001,"&lt;="&amp;$D$7,BD!$Z$3:$Z$5001,"&lt;&gt;")=0,"",SUMIFS(BD!$Z$3:$Z$5001,BD!$B$3:$B$5001,I$101,BD!$A$3:$A$5001,_xlfn.MAXIFS(BD!$A$3:$A$5001,BD!$B$3:$B$5001,I$101,BD!$A$3:$A$5001,"&gt;="&amp;$C$7,BD!$A$3:$A$5001,"&lt;="&amp;$D$7,BD!$Z$3:$Z$5001,"&lt;&gt;")))</f>
        <v/>
      </c>
      <c r="J126" s="32" t="str">
        <f>IF(COUNTIFS(BD!$B$3:$B$5001,J$101,BD!$A$3:$A$5001,"&gt;="&amp;$C$7,BD!$A$3:$A$5001,"&lt;="&amp;$D$7,BD!$Z$3:$Z$5001,"&lt;&gt;")=0,"",SUMIFS(BD!$Z$3:$Z$5001,BD!$B$3:$B$5001,J$101,BD!$A$3:$A$5001,_xlfn.MAXIFS(BD!$A$3:$A$5001,BD!$B$3:$B$5001,J$101,BD!$A$3:$A$5001,"&gt;="&amp;$C$7,BD!$A$3:$A$5001,"&lt;="&amp;$D$7,BD!$Z$3:$Z$5001,"&lt;&gt;")))</f>
        <v/>
      </c>
      <c r="K126" s="32" t="str">
        <f>IF(COUNTIFS(BD!$B$3:$B$5001,K$101,BD!$A$3:$A$5001,"&gt;="&amp;$C$7,BD!$A$3:$A$5001,"&lt;="&amp;$D$7,BD!$Z$3:$Z$5001,"&lt;&gt;")=0,"",SUMIFS(BD!$Z$3:$Z$5001,BD!$B$3:$B$5001,K$101,BD!$A$3:$A$5001,_xlfn.MAXIFS(BD!$A$3:$A$5001,BD!$B$3:$B$5001,K$101,BD!$A$3:$A$5001,"&gt;="&amp;$C$7,BD!$A$3:$A$5001,"&lt;="&amp;$D$7,BD!$Z$3:$Z$5001,"&lt;&gt;")))</f>
        <v/>
      </c>
      <c r="L126" s="61">
        <f>SUM(B126:K126)</f>
        <v>0</v>
      </c>
    </row>
    <row r="127">
      <c r="A127" s="29" t="inlineStr">
        <is>
          <t xml:space="preserve">GENTE · Falta</t>
        </is>
      </c>
      <c r="B127" s="32">
        <f>SUMIFS(BD!$AA$3:$AA$5001,BD!$B$3:$B$5001,B$101,BD!$A$3:$A$5001,"&gt;="&amp;$C$7,BD!$A$3:$A$5001,"&lt;="&amp;$D$7)</f>
        <v>0</v>
      </c>
      <c r="C127" s="32">
        <f>SUMIFS(BD!$AA$3:$AA$5001,BD!$B$3:$B$5001,C$101,BD!$A$3:$A$5001,"&gt;="&amp;$C$7,BD!$A$3:$A$5001,"&lt;="&amp;$D$7)</f>
        <v>0</v>
      </c>
      <c r="D127" s="32">
        <f>SUMIFS(BD!$AA$3:$AA$5001,BD!$B$3:$B$5001,D$101,BD!$A$3:$A$5001,"&gt;="&amp;$C$7,BD!$A$3:$A$5001,"&lt;="&amp;$D$7)</f>
        <v>0</v>
      </c>
      <c r="E127" s="32">
        <f>SUMIFS(BD!$AA$3:$AA$5001,BD!$B$3:$B$5001,E$101,BD!$A$3:$A$5001,"&gt;="&amp;$C$7,BD!$A$3:$A$5001,"&lt;="&amp;$D$7)</f>
        <v>0</v>
      </c>
      <c r="F127" s="32">
        <f>SUMIFS(BD!$AA$3:$AA$5001,BD!$B$3:$B$5001,F$101,BD!$A$3:$A$5001,"&gt;="&amp;$C$7,BD!$A$3:$A$5001,"&lt;="&amp;$D$7)</f>
        <v>0</v>
      </c>
      <c r="G127" s="32">
        <f>SUMIFS(BD!$AA$3:$AA$5001,BD!$B$3:$B$5001,G$101,BD!$A$3:$A$5001,"&gt;="&amp;$C$7,BD!$A$3:$A$5001,"&lt;="&amp;$D$7)</f>
        <v>0</v>
      </c>
      <c r="H127" s="32">
        <f>SUMIFS(BD!$AA$3:$AA$5001,BD!$B$3:$B$5001,H$101,BD!$A$3:$A$5001,"&gt;="&amp;$C$7,BD!$A$3:$A$5001,"&lt;="&amp;$D$7)</f>
        <v>0</v>
      </c>
      <c r="I127" s="32">
        <f>SUMIFS(BD!$AA$3:$AA$5001,BD!$B$3:$B$5001,I$101,BD!$A$3:$A$5001,"&gt;="&amp;$C$7,BD!$A$3:$A$5001,"&lt;="&amp;$D$7)</f>
        <v>0</v>
      </c>
      <c r="J127" s="32">
        <f>SUMIFS(BD!$AA$3:$AA$5001,BD!$B$3:$B$5001,J$101,BD!$A$3:$A$5001,"&gt;="&amp;$C$7,BD!$A$3:$A$5001,"&lt;="&amp;$D$7)</f>
        <v>0</v>
      </c>
      <c r="K127" s="32">
        <f>SUMIFS(BD!$AA$3:$AA$5001,BD!$B$3:$B$5001,K$101,BD!$A$3:$A$5001,"&gt;="&amp;$C$7,BD!$A$3:$A$5001,"&lt;="&amp;$D$7)</f>
        <v>0</v>
      </c>
      <c r="L127" s="61">
        <f>SUM(B127:K127)</f>
        <v>0</v>
      </c>
    </row>
    <row r="128">
      <c r="A128" s="29" t="inlineStr">
        <is>
          <t xml:space="preserve">GENTE · Folga</t>
        </is>
      </c>
      <c r="B128" s="32">
        <f>SUMIFS(BD!$AB$3:$AB$5001,BD!$B$3:$B$5001,B$101,BD!$A$3:$A$5001,"&gt;="&amp;$C$7,BD!$A$3:$A$5001,"&lt;="&amp;$D$7)</f>
        <v>0</v>
      </c>
      <c r="C128" s="32">
        <f>SUMIFS(BD!$AB$3:$AB$5001,BD!$B$3:$B$5001,C$101,BD!$A$3:$A$5001,"&gt;="&amp;$C$7,BD!$A$3:$A$5001,"&lt;="&amp;$D$7)</f>
        <v>0</v>
      </c>
      <c r="D128" s="32">
        <f>SUMIFS(BD!$AB$3:$AB$5001,BD!$B$3:$B$5001,D$101,BD!$A$3:$A$5001,"&gt;="&amp;$C$7,BD!$A$3:$A$5001,"&lt;="&amp;$D$7)</f>
        <v>0</v>
      </c>
      <c r="E128" s="32">
        <f>SUMIFS(BD!$AB$3:$AB$5001,BD!$B$3:$B$5001,E$101,BD!$A$3:$A$5001,"&gt;="&amp;$C$7,BD!$A$3:$A$5001,"&lt;="&amp;$D$7)</f>
        <v>0</v>
      </c>
      <c r="F128" s="32">
        <f>SUMIFS(BD!$AB$3:$AB$5001,BD!$B$3:$B$5001,F$101,BD!$A$3:$A$5001,"&gt;="&amp;$C$7,BD!$A$3:$A$5001,"&lt;="&amp;$D$7)</f>
        <v>0</v>
      </c>
      <c r="G128" s="32">
        <f>SUMIFS(BD!$AB$3:$AB$5001,BD!$B$3:$B$5001,G$101,BD!$A$3:$A$5001,"&gt;="&amp;$C$7,BD!$A$3:$A$5001,"&lt;="&amp;$D$7)</f>
        <v>0</v>
      </c>
      <c r="H128" s="32">
        <f>SUMIFS(BD!$AB$3:$AB$5001,BD!$B$3:$B$5001,H$101,BD!$A$3:$A$5001,"&gt;="&amp;$C$7,BD!$A$3:$A$5001,"&lt;="&amp;$D$7)</f>
        <v>0</v>
      </c>
      <c r="I128" s="32">
        <f>SUMIFS(BD!$AB$3:$AB$5001,BD!$B$3:$B$5001,I$101,BD!$A$3:$A$5001,"&gt;="&amp;$C$7,BD!$A$3:$A$5001,"&lt;="&amp;$D$7)</f>
        <v>0</v>
      </c>
      <c r="J128" s="32">
        <f>SUMIFS(BD!$AB$3:$AB$5001,BD!$B$3:$B$5001,J$101,BD!$A$3:$A$5001,"&gt;="&amp;$C$7,BD!$A$3:$A$5001,"&lt;="&amp;$D$7)</f>
        <v>0</v>
      </c>
      <c r="K128" s="32">
        <f>SUMIFS(BD!$AB$3:$AB$5001,BD!$B$3:$B$5001,K$101,BD!$A$3:$A$5001,"&gt;="&amp;$C$7,BD!$A$3:$A$5001,"&lt;="&amp;$D$7)</f>
        <v>0</v>
      </c>
      <c r="L128" s="61">
        <f>SUM(B128:K128)</f>
        <v>0</v>
      </c>
    </row>
    <row r="129">
      <c r="A129" s="29" t="inlineStr">
        <is>
          <t xml:space="preserve">GENTE · Férias</t>
        </is>
      </c>
      <c r="B129" s="32">
        <f>SUMIFS(BD!$AC$3:$AC$5001,BD!$B$3:$B$5001,B$101,BD!$A$3:$A$5001,"&gt;="&amp;$C$7,BD!$A$3:$A$5001,"&lt;="&amp;$D$7)</f>
        <v>0</v>
      </c>
      <c r="C129" s="32">
        <f>SUMIFS(BD!$AC$3:$AC$5001,BD!$B$3:$B$5001,C$101,BD!$A$3:$A$5001,"&gt;="&amp;$C$7,BD!$A$3:$A$5001,"&lt;="&amp;$D$7)</f>
        <v>0</v>
      </c>
      <c r="D129" s="32">
        <f>SUMIFS(BD!$AC$3:$AC$5001,BD!$B$3:$B$5001,D$101,BD!$A$3:$A$5001,"&gt;="&amp;$C$7,BD!$A$3:$A$5001,"&lt;="&amp;$D$7)</f>
        <v>0</v>
      </c>
      <c r="E129" s="32">
        <f>SUMIFS(BD!$AC$3:$AC$5001,BD!$B$3:$B$5001,E$101,BD!$A$3:$A$5001,"&gt;="&amp;$C$7,BD!$A$3:$A$5001,"&lt;="&amp;$D$7)</f>
        <v>0</v>
      </c>
      <c r="F129" s="32">
        <f>SUMIFS(BD!$AC$3:$AC$5001,BD!$B$3:$B$5001,F$101,BD!$A$3:$A$5001,"&gt;="&amp;$C$7,BD!$A$3:$A$5001,"&lt;="&amp;$D$7)</f>
        <v>0</v>
      </c>
      <c r="G129" s="32">
        <f>SUMIFS(BD!$AC$3:$AC$5001,BD!$B$3:$B$5001,G$101,BD!$A$3:$A$5001,"&gt;="&amp;$C$7,BD!$A$3:$A$5001,"&lt;="&amp;$D$7)</f>
        <v>0</v>
      </c>
      <c r="H129" s="32">
        <f>SUMIFS(BD!$AC$3:$AC$5001,BD!$B$3:$B$5001,H$101,BD!$A$3:$A$5001,"&gt;="&amp;$C$7,BD!$A$3:$A$5001,"&lt;="&amp;$D$7)</f>
        <v>0</v>
      </c>
      <c r="I129" s="32">
        <f>SUMIFS(BD!$AC$3:$AC$5001,BD!$B$3:$B$5001,I$101,BD!$A$3:$A$5001,"&gt;="&amp;$C$7,BD!$A$3:$A$5001,"&lt;="&amp;$D$7)</f>
        <v>0</v>
      </c>
      <c r="J129" s="32">
        <f>SUMIFS(BD!$AC$3:$AC$5001,BD!$B$3:$B$5001,J$101,BD!$A$3:$A$5001,"&gt;="&amp;$C$7,BD!$A$3:$A$5001,"&lt;="&amp;$D$7)</f>
        <v>0</v>
      </c>
      <c r="K129" s="32">
        <f>SUMIFS(BD!$AC$3:$AC$5001,BD!$B$3:$B$5001,K$101,BD!$A$3:$A$5001,"&gt;="&amp;$C$7,BD!$A$3:$A$5001,"&lt;="&amp;$D$7)</f>
        <v>0</v>
      </c>
      <c r="L129" s="61">
        <f>SUM(B129:K129)</f>
        <v>0</v>
      </c>
    </row>
    <row r="130">
      <c r="A130" s="29" t="inlineStr">
        <is>
          <t xml:space="preserve">GENTE · Desligamento</t>
        </is>
      </c>
      <c r="B130" s="32">
        <f>SUMIFS(BD!$AD$3:$AD$5001,BD!$B$3:$B$5001,B$101,BD!$A$3:$A$5001,"&gt;="&amp;$C$7,BD!$A$3:$A$5001,"&lt;="&amp;$D$7)</f>
        <v>0</v>
      </c>
      <c r="C130" s="32">
        <f>SUMIFS(BD!$AD$3:$AD$5001,BD!$B$3:$B$5001,C$101,BD!$A$3:$A$5001,"&gt;="&amp;$C$7,BD!$A$3:$A$5001,"&lt;="&amp;$D$7)</f>
        <v>0</v>
      </c>
      <c r="D130" s="32">
        <f>SUMIFS(BD!$AD$3:$AD$5001,BD!$B$3:$B$5001,D$101,BD!$A$3:$A$5001,"&gt;="&amp;$C$7,BD!$A$3:$A$5001,"&lt;="&amp;$D$7)</f>
        <v>0</v>
      </c>
      <c r="E130" s="32">
        <f>SUMIFS(BD!$AD$3:$AD$5001,BD!$B$3:$B$5001,E$101,BD!$A$3:$A$5001,"&gt;="&amp;$C$7,BD!$A$3:$A$5001,"&lt;="&amp;$D$7)</f>
        <v>0</v>
      </c>
      <c r="F130" s="32">
        <f>SUMIFS(BD!$AD$3:$AD$5001,BD!$B$3:$B$5001,F$101,BD!$A$3:$A$5001,"&gt;="&amp;$C$7,BD!$A$3:$A$5001,"&lt;="&amp;$D$7)</f>
        <v>0</v>
      </c>
      <c r="G130" s="32">
        <f>SUMIFS(BD!$AD$3:$AD$5001,BD!$B$3:$B$5001,G$101,BD!$A$3:$A$5001,"&gt;="&amp;$C$7,BD!$A$3:$A$5001,"&lt;="&amp;$D$7)</f>
        <v>0</v>
      </c>
      <c r="H130" s="32">
        <f>SUMIFS(BD!$AD$3:$AD$5001,BD!$B$3:$B$5001,H$101,BD!$A$3:$A$5001,"&gt;="&amp;$C$7,BD!$A$3:$A$5001,"&lt;="&amp;$D$7)</f>
        <v>0</v>
      </c>
      <c r="I130" s="32">
        <f>SUMIFS(BD!$AD$3:$AD$5001,BD!$B$3:$B$5001,I$101,BD!$A$3:$A$5001,"&gt;="&amp;$C$7,BD!$A$3:$A$5001,"&lt;="&amp;$D$7)</f>
        <v>0</v>
      </c>
      <c r="J130" s="32">
        <f>SUMIFS(BD!$AD$3:$AD$5001,BD!$B$3:$B$5001,J$101,BD!$A$3:$A$5001,"&gt;="&amp;$C$7,BD!$A$3:$A$5001,"&lt;="&amp;$D$7)</f>
        <v>0</v>
      </c>
      <c r="K130" s="32">
        <f>SUMIFS(BD!$AD$3:$AD$5001,BD!$B$3:$B$5001,K$101,BD!$A$3:$A$5001,"&gt;="&amp;$C$7,BD!$A$3:$A$5001,"&lt;="&amp;$D$7)</f>
        <v>0</v>
      </c>
      <c r="L130" s="61">
        <f>SUM(B130:K130)</f>
        <v>0</v>
      </c>
    </row>
    <row r="131">
      <c r="A131" s="29" t="inlineStr">
        <is>
          <t xml:space="preserve">GENTE · Desvios Comportamentais</t>
        </is>
      </c>
      <c r="B131" s="32">
        <f>SUMIFS(BD!$AE$3:$AE$5001,BD!$B$3:$B$5001,B$101,BD!$A$3:$A$5001,"&gt;="&amp;$C$7,BD!$A$3:$A$5001,"&lt;="&amp;$D$7)</f>
        <v>0</v>
      </c>
      <c r="C131" s="32">
        <f>SUMIFS(BD!$AE$3:$AE$5001,BD!$B$3:$B$5001,C$101,BD!$A$3:$A$5001,"&gt;="&amp;$C$7,BD!$A$3:$A$5001,"&lt;="&amp;$D$7)</f>
        <v>0</v>
      </c>
      <c r="D131" s="32">
        <f>SUMIFS(BD!$AE$3:$AE$5001,BD!$B$3:$B$5001,D$101,BD!$A$3:$A$5001,"&gt;="&amp;$C$7,BD!$A$3:$A$5001,"&lt;="&amp;$D$7)</f>
        <v>0</v>
      </c>
      <c r="E131" s="32">
        <f>SUMIFS(BD!$AE$3:$AE$5001,BD!$B$3:$B$5001,E$101,BD!$A$3:$A$5001,"&gt;="&amp;$C$7,BD!$A$3:$A$5001,"&lt;="&amp;$D$7)</f>
        <v>0</v>
      </c>
      <c r="F131" s="32">
        <f>SUMIFS(BD!$AE$3:$AE$5001,BD!$B$3:$B$5001,F$101,BD!$A$3:$A$5001,"&gt;="&amp;$C$7,BD!$A$3:$A$5001,"&lt;="&amp;$D$7)</f>
        <v>0</v>
      </c>
      <c r="G131" s="32">
        <f>SUMIFS(BD!$AE$3:$AE$5001,BD!$B$3:$B$5001,G$101,BD!$A$3:$A$5001,"&gt;="&amp;$C$7,BD!$A$3:$A$5001,"&lt;="&amp;$D$7)</f>
        <v>0</v>
      </c>
      <c r="H131" s="32">
        <f>SUMIFS(BD!$AE$3:$AE$5001,BD!$B$3:$B$5001,H$101,BD!$A$3:$A$5001,"&gt;="&amp;$C$7,BD!$A$3:$A$5001,"&lt;="&amp;$D$7)</f>
        <v>0</v>
      </c>
      <c r="I131" s="32">
        <f>SUMIFS(BD!$AE$3:$AE$5001,BD!$B$3:$B$5001,I$101,BD!$A$3:$A$5001,"&gt;="&amp;$C$7,BD!$A$3:$A$5001,"&lt;="&amp;$D$7)</f>
        <v>0</v>
      </c>
      <c r="J131" s="32">
        <f>SUMIFS(BD!$AE$3:$AE$5001,BD!$B$3:$B$5001,J$101,BD!$A$3:$A$5001,"&gt;="&amp;$C$7,BD!$A$3:$A$5001,"&lt;="&amp;$D$7)</f>
        <v>0</v>
      </c>
      <c r="K131" s="32">
        <f>SUMIFS(BD!$AE$3:$AE$5001,BD!$B$3:$B$5001,K$101,BD!$A$3:$A$5001,"&gt;="&amp;$C$7,BD!$A$3:$A$5001,"&lt;="&amp;$D$7)</f>
        <v>0</v>
      </c>
      <c r="L131" s="61">
        <f>SUM(B131:K131)</f>
        <v>0</v>
      </c>
    </row>
    <row r="132">
      <c r="A132" s="29" t="inlineStr">
        <is>
          <t xml:space="preserve">GENTE · Acidentes CAF</t>
        </is>
      </c>
      <c r="B132" s="32">
        <f>SUMIFS(BD!$AF$3:$AF$5001,BD!$B$3:$B$5001,B$101,BD!$A$3:$A$5001,"&gt;="&amp;$C$7,BD!$A$3:$A$5001,"&lt;="&amp;$D$7)</f>
        <v>0</v>
      </c>
      <c r="C132" s="32">
        <f>SUMIFS(BD!$AF$3:$AF$5001,BD!$B$3:$B$5001,C$101,BD!$A$3:$A$5001,"&gt;="&amp;$C$7,BD!$A$3:$A$5001,"&lt;="&amp;$D$7)</f>
        <v>0</v>
      </c>
      <c r="D132" s="32">
        <f>SUMIFS(BD!$AF$3:$AF$5001,BD!$B$3:$B$5001,D$101,BD!$A$3:$A$5001,"&gt;="&amp;$C$7,BD!$A$3:$A$5001,"&lt;="&amp;$D$7)</f>
        <v>0</v>
      </c>
      <c r="E132" s="32">
        <f>SUMIFS(BD!$AF$3:$AF$5001,BD!$B$3:$B$5001,E$101,BD!$A$3:$A$5001,"&gt;="&amp;$C$7,BD!$A$3:$A$5001,"&lt;="&amp;$D$7)</f>
        <v>0</v>
      </c>
      <c r="F132" s="32">
        <f>SUMIFS(BD!$AF$3:$AF$5001,BD!$B$3:$B$5001,F$101,BD!$A$3:$A$5001,"&gt;="&amp;$C$7,BD!$A$3:$A$5001,"&lt;="&amp;$D$7)</f>
        <v>0</v>
      </c>
      <c r="G132" s="32">
        <f>SUMIFS(BD!$AF$3:$AF$5001,BD!$B$3:$B$5001,G$101,BD!$A$3:$A$5001,"&gt;="&amp;$C$7,BD!$A$3:$A$5001,"&lt;="&amp;$D$7)</f>
        <v>0</v>
      </c>
      <c r="H132" s="32">
        <f>SUMIFS(BD!$AF$3:$AF$5001,BD!$B$3:$B$5001,H$101,BD!$A$3:$A$5001,"&gt;="&amp;$C$7,BD!$A$3:$A$5001,"&lt;="&amp;$D$7)</f>
        <v>0</v>
      </c>
      <c r="I132" s="32">
        <f>SUMIFS(BD!$AF$3:$AF$5001,BD!$B$3:$B$5001,I$101,BD!$A$3:$A$5001,"&gt;="&amp;$C$7,BD!$A$3:$A$5001,"&lt;="&amp;$D$7)</f>
        <v>0</v>
      </c>
      <c r="J132" s="32">
        <f>SUMIFS(BD!$AF$3:$AF$5001,BD!$B$3:$B$5001,J$101,BD!$A$3:$A$5001,"&gt;="&amp;$C$7,BD!$A$3:$A$5001,"&lt;="&amp;$D$7)</f>
        <v>0</v>
      </c>
      <c r="K132" s="32">
        <f>SUMIFS(BD!$AF$3:$AF$5001,BD!$B$3:$B$5001,K$101,BD!$A$3:$A$5001,"&gt;="&amp;$C$7,BD!$A$3:$A$5001,"&lt;="&amp;$D$7)</f>
        <v>0</v>
      </c>
      <c r="L132" s="61">
        <f>SUM(B132:K132)</f>
        <v>0</v>
      </c>
    </row>
    <row r="133">
      <c r="A133" s="29" t="inlineStr">
        <is>
          <t xml:space="preserve">GENTE · Acidentes SAF</t>
        </is>
      </c>
      <c r="B133" s="32">
        <f>SUMIFS(BD!$AG$3:$AG$5001,BD!$B$3:$B$5001,B$101,BD!$A$3:$A$5001,"&gt;="&amp;$C$7,BD!$A$3:$A$5001,"&lt;="&amp;$D$7)</f>
        <v>0</v>
      </c>
      <c r="C133" s="32">
        <f>SUMIFS(BD!$AG$3:$AG$5001,BD!$B$3:$B$5001,C$101,BD!$A$3:$A$5001,"&gt;="&amp;$C$7,BD!$A$3:$A$5001,"&lt;="&amp;$D$7)</f>
        <v>0</v>
      </c>
      <c r="D133" s="32">
        <f>SUMIFS(BD!$AG$3:$AG$5001,BD!$B$3:$B$5001,D$101,BD!$A$3:$A$5001,"&gt;="&amp;$C$7,BD!$A$3:$A$5001,"&lt;="&amp;$D$7)</f>
        <v>0</v>
      </c>
      <c r="E133" s="32">
        <f>SUMIFS(BD!$AG$3:$AG$5001,BD!$B$3:$B$5001,E$101,BD!$A$3:$A$5001,"&gt;="&amp;$C$7,BD!$A$3:$A$5001,"&lt;="&amp;$D$7)</f>
        <v>0</v>
      </c>
      <c r="F133" s="32">
        <f>SUMIFS(BD!$AG$3:$AG$5001,BD!$B$3:$B$5001,F$101,BD!$A$3:$A$5001,"&gt;="&amp;$C$7,BD!$A$3:$A$5001,"&lt;="&amp;$D$7)</f>
        <v>0</v>
      </c>
      <c r="G133" s="32">
        <f>SUMIFS(BD!$AG$3:$AG$5001,BD!$B$3:$B$5001,G$101,BD!$A$3:$A$5001,"&gt;="&amp;$C$7,BD!$A$3:$A$5001,"&lt;="&amp;$D$7)</f>
        <v>0</v>
      </c>
      <c r="H133" s="32">
        <f>SUMIFS(BD!$AG$3:$AG$5001,BD!$B$3:$B$5001,H$101,BD!$A$3:$A$5001,"&gt;="&amp;$C$7,BD!$A$3:$A$5001,"&lt;="&amp;$D$7)</f>
        <v>0</v>
      </c>
      <c r="I133" s="32">
        <f>SUMIFS(BD!$AG$3:$AG$5001,BD!$B$3:$B$5001,I$101,BD!$A$3:$A$5001,"&gt;="&amp;$C$7,BD!$A$3:$A$5001,"&lt;="&amp;$D$7)</f>
        <v>0</v>
      </c>
      <c r="J133" s="32">
        <f>SUMIFS(BD!$AG$3:$AG$5001,BD!$B$3:$B$5001,J$101,BD!$A$3:$A$5001,"&gt;="&amp;$C$7,BD!$A$3:$A$5001,"&lt;="&amp;$D$7)</f>
        <v>0</v>
      </c>
      <c r="K133" s="32">
        <f>SUMIFS(BD!$AG$3:$AG$5001,BD!$B$3:$B$5001,K$101,BD!$A$3:$A$5001,"&gt;="&amp;$C$7,BD!$A$3:$A$5001,"&lt;="&amp;$D$7)</f>
        <v>0</v>
      </c>
      <c r="L133" s="61">
        <f>SUM(B133:K133)</f>
        <v>0</v>
      </c>
    </row>
    <row r="137">
      <c r="A137" s="19" t="inlineStr">
        <is>
          <t xml:space="preserve">ESTOQUES POR CLIENTE — último valor informado até cada dia (Backlog, Posições e Efetivo)</t>
        </is>
      </c>
    </row>
    <row r="138">
      <c r="A138" s="37" t="inlineStr">
        <is>
          <t xml:space="preserve">Backlog</t>
        </is>
      </c>
      <c r="B138" s="37" t="inlineStr">
        <is>
          <t xml:space="preserve">Data</t>
        </is>
      </c>
      <c r="C138" s="37" t="inlineStr">
        <is>
          <t xml:space="preserve">Alpargatas</t>
        </is>
      </c>
      <c r="D138" s="37" t="inlineStr">
        <is>
          <t xml:space="preserve">Basf</t>
        </is>
      </c>
      <c r="E138" s="37" t="inlineStr">
        <is>
          <t xml:space="preserve">Beautybiz</t>
        </is>
      </c>
      <c r="F138" s="37" t="inlineStr">
        <is>
          <t xml:space="preserve">Boticário</t>
        </is>
      </c>
      <c r="G138" s="37" t="inlineStr">
        <is>
          <t xml:space="preserve">Confiance</t>
        </is>
      </c>
      <c r="H138" s="37" t="inlineStr">
        <is>
          <t xml:space="preserve">GE Vernova</t>
        </is>
      </c>
      <c r="I138" s="37" t="inlineStr">
        <is>
          <t xml:space="preserve">Omnilife</t>
        </is>
      </c>
      <c r="J138" s="37" t="inlineStr">
        <is>
          <t xml:space="preserve">Supply</t>
        </is>
      </c>
      <c r="K138" s="37" t="inlineStr">
        <is>
          <t xml:space="preserve">Vedacit</t>
        </is>
      </c>
      <c r="L138" s="37" t="inlineStr">
        <is>
          <t xml:space="preserve">Vestas</t>
        </is>
      </c>
    </row>
    <row r="139">
      <c r="A139" s="40">
        <v>1</v>
      </c>
      <c r="B139" s="41">
        <f>$B$12</f>
        <v>46296</v>
      </c>
      <c r="C139" s="42" t="str">
        <f>IF(OR($B139="",$A139&gt;$B$9),"",IF(COUNTIFS(BD!$B$3:$B$5001,C$138,BD!$A$3:$A$5001,"&gt;="&amp;$C$7,BD!$A$3:$A$5001,"&lt;="&amp;$B139,BD!$W$3:$W$5001,"&lt;&gt;")=0,"",SUMIFS(BD!$W$3:$W$5001,BD!$B$3:$B$5001,C$138,BD!$A$3:$A$5001,_xlfn.MAXIFS(BD!$A$3:$A$5001,BD!$B$3:$B$5001,C$138,BD!$A$3:$A$5001,"&gt;="&amp;$C$7,BD!$A$3:$A$5001,"&lt;="&amp;$B139,BD!$W$3:$W$5001,"&lt;&gt;"))))</f>
        <v/>
      </c>
      <c r="D139" s="42" t="str">
        <f>IF(OR($B139="",$A139&gt;$B$9),"",IF(COUNTIFS(BD!$B$3:$B$5001,D$138,BD!$A$3:$A$5001,"&gt;="&amp;$C$7,BD!$A$3:$A$5001,"&lt;="&amp;$B139,BD!$W$3:$W$5001,"&lt;&gt;")=0,"",SUMIFS(BD!$W$3:$W$5001,BD!$B$3:$B$5001,D$138,BD!$A$3:$A$5001,_xlfn.MAXIFS(BD!$A$3:$A$5001,BD!$B$3:$B$5001,D$138,BD!$A$3:$A$5001,"&gt;="&amp;$C$7,BD!$A$3:$A$5001,"&lt;="&amp;$B139,BD!$W$3:$W$5001,"&lt;&gt;"))))</f>
        <v/>
      </c>
      <c r="E139" s="42" t="str">
        <f>IF(OR($B139="",$A139&gt;$B$9),"",IF(COUNTIFS(BD!$B$3:$B$5001,E$138,BD!$A$3:$A$5001,"&gt;="&amp;$C$7,BD!$A$3:$A$5001,"&lt;="&amp;$B139,BD!$W$3:$W$5001,"&lt;&gt;")=0,"",SUMIFS(BD!$W$3:$W$5001,BD!$B$3:$B$5001,E$138,BD!$A$3:$A$5001,_xlfn.MAXIFS(BD!$A$3:$A$5001,BD!$B$3:$B$5001,E$138,BD!$A$3:$A$5001,"&gt;="&amp;$C$7,BD!$A$3:$A$5001,"&lt;="&amp;$B139,BD!$W$3:$W$5001,"&lt;&gt;"))))</f>
        <v/>
      </c>
      <c r="F139" s="42" t="str">
        <f>IF(OR($B139="",$A139&gt;$B$9),"",IF(COUNTIFS(BD!$B$3:$B$5001,F$138,BD!$A$3:$A$5001,"&gt;="&amp;$C$7,BD!$A$3:$A$5001,"&lt;="&amp;$B139,BD!$W$3:$W$5001,"&lt;&gt;")=0,"",SUMIFS(BD!$W$3:$W$5001,BD!$B$3:$B$5001,F$138,BD!$A$3:$A$5001,_xlfn.MAXIFS(BD!$A$3:$A$5001,BD!$B$3:$B$5001,F$138,BD!$A$3:$A$5001,"&gt;="&amp;$C$7,BD!$A$3:$A$5001,"&lt;="&amp;$B139,BD!$W$3:$W$5001,"&lt;&gt;"))))</f>
        <v/>
      </c>
      <c r="G139" s="42" t="str">
        <f>IF(OR($B139="",$A139&gt;$B$9),"",IF(COUNTIFS(BD!$B$3:$B$5001,G$138,BD!$A$3:$A$5001,"&gt;="&amp;$C$7,BD!$A$3:$A$5001,"&lt;="&amp;$B139,BD!$W$3:$W$5001,"&lt;&gt;")=0,"",SUMIFS(BD!$W$3:$W$5001,BD!$B$3:$B$5001,G$138,BD!$A$3:$A$5001,_xlfn.MAXIFS(BD!$A$3:$A$5001,BD!$B$3:$B$5001,G$138,BD!$A$3:$A$5001,"&gt;="&amp;$C$7,BD!$A$3:$A$5001,"&lt;="&amp;$B139,BD!$W$3:$W$5001,"&lt;&gt;"))))</f>
        <v/>
      </c>
      <c r="H139" s="42" t="str">
        <f>IF(OR($B139="",$A139&gt;$B$9),"",IF(COUNTIFS(BD!$B$3:$B$5001,H$138,BD!$A$3:$A$5001,"&gt;="&amp;$C$7,BD!$A$3:$A$5001,"&lt;="&amp;$B139,BD!$W$3:$W$5001,"&lt;&gt;")=0,"",SUMIFS(BD!$W$3:$W$5001,BD!$B$3:$B$5001,H$138,BD!$A$3:$A$5001,_xlfn.MAXIFS(BD!$A$3:$A$5001,BD!$B$3:$B$5001,H$138,BD!$A$3:$A$5001,"&gt;="&amp;$C$7,BD!$A$3:$A$5001,"&lt;="&amp;$B139,BD!$W$3:$W$5001,"&lt;&gt;"))))</f>
        <v/>
      </c>
      <c r="I139" s="42" t="str">
        <f>IF(OR($B139="",$A139&gt;$B$9),"",IF(COUNTIFS(BD!$B$3:$B$5001,I$138,BD!$A$3:$A$5001,"&gt;="&amp;$C$7,BD!$A$3:$A$5001,"&lt;="&amp;$B139,BD!$W$3:$W$5001,"&lt;&gt;")=0,"",SUMIFS(BD!$W$3:$W$5001,BD!$B$3:$B$5001,I$138,BD!$A$3:$A$5001,_xlfn.MAXIFS(BD!$A$3:$A$5001,BD!$B$3:$B$5001,I$138,BD!$A$3:$A$5001,"&gt;="&amp;$C$7,BD!$A$3:$A$5001,"&lt;="&amp;$B139,BD!$W$3:$W$5001,"&lt;&gt;"))))</f>
        <v/>
      </c>
      <c r="J139" s="42" t="str">
        <f>IF(OR($B139="",$A139&gt;$B$9),"",IF(COUNTIFS(BD!$B$3:$B$5001,J$138,BD!$A$3:$A$5001,"&gt;="&amp;$C$7,BD!$A$3:$A$5001,"&lt;="&amp;$B139,BD!$W$3:$W$5001,"&lt;&gt;")=0,"",SUMIFS(BD!$W$3:$W$5001,BD!$B$3:$B$5001,J$138,BD!$A$3:$A$5001,_xlfn.MAXIFS(BD!$A$3:$A$5001,BD!$B$3:$B$5001,J$138,BD!$A$3:$A$5001,"&gt;="&amp;$C$7,BD!$A$3:$A$5001,"&lt;="&amp;$B139,BD!$W$3:$W$5001,"&lt;&gt;"))))</f>
        <v/>
      </c>
      <c r="K139" s="42" t="str">
        <f>IF(OR($B139="",$A139&gt;$B$9),"",IF(COUNTIFS(BD!$B$3:$B$5001,K$138,BD!$A$3:$A$5001,"&gt;="&amp;$C$7,BD!$A$3:$A$5001,"&lt;="&amp;$B139,BD!$W$3:$W$5001,"&lt;&gt;")=0,"",SUMIFS(BD!$W$3:$W$5001,BD!$B$3:$B$5001,K$138,BD!$A$3:$A$5001,_xlfn.MAXIFS(BD!$A$3:$A$5001,BD!$B$3:$B$5001,K$138,BD!$A$3:$A$5001,"&gt;="&amp;$C$7,BD!$A$3:$A$5001,"&lt;="&amp;$B139,BD!$W$3:$W$5001,"&lt;&gt;"))))</f>
        <v/>
      </c>
      <c r="L139" s="42" t="str">
        <f>IF(OR($B139="",$A139&gt;$B$9),"",IF(COUNTIFS(BD!$B$3:$B$5001,L$138,BD!$A$3:$A$5001,"&gt;="&amp;$C$7,BD!$A$3:$A$5001,"&lt;="&amp;$B139,BD!$W$3:$W$5001,"&lt;&gt;")=0,"",SUMIFS(BD!$W$3:$W$5001,BD!$B$3:$B$5001,L$138,BD!$A$3:$A$5001,_xlfn.MAXIFS(BD!$A$3:$A$5001,BD!$B$3:$B$5001,L$138,BD!$A$3:$A$5001,"&gt;="&amp;$C$7,BD!$A$3:$A$5001,"&lt;="&amp;$B139,BD!$W$3:$W$5001,"&lt;&gt;"))))</f>
        <v/>
      </c>
    </row>
    <row r="140">
      <c r="A140" s="40">
        <v>2</v>
      </c>
      <c r="B140" s="41">
        <f>$B$13</f>
        <v>46297</v>
      </c>
      <c r="C140" s="42" t="str">
        <f>IF(OR($B140="",$A140&gt;$B$9),"",IF(COUNTIFS(BD!$B$3:$B$5001,C$138,BD!$A$3:$A$5001,"&gt;="&amp;$C$7,BD!$A$3:$A$5001,"&lt;="&amp;$B140,BD!$W$3:$W$5001,"&lt;&gt;")=0,"",SUMIFS(BD!$W$3:$W$5001,BD!$B$3:$B$5001,C$138,BD!$A$3:$A$5001,_xlfn.MAXIFS(BD!$A$3:$A$5001,BD!$B$3:$B$5001,C$138,BD!$A$3:$A$5001,"&gt;="&amp;$C$7,BD!$A$3:$A$5001,"&lt;="&amp;$B140,BD!$W$3:$W$5001,"&lt;&gt;"))))</f>
        <v/>
      </c>
      <c r="D140" s="42" t="str">
        <f>IF(OR($B140="",$A140&gt;$B$9),"",IF(COUNTIFS(BD!$B$3:$B$5001,D$138,BD!$A$3:$A$5001,"&gt;="&amp;$C$7,BD!$A$3:$A$5001,"&lt;="&amp;$B140,BD!$W$3:$W$5001,"&lt;&gt;")=0,"",SUMIFS(BD!$W$3:$W$5001,BD!$B$3:$B$5001,D$138,BD!$A$3:$A$5001,_xlfn.MAXIFS(BD!$A$3:$A$5001,BD!$B$3:$B$5001,D$138,BD!$A$3:$A$5001,"&gt;="&amp;$C$7,BD!$A$3:$A$5001,"&lt;="&amp;$B140,BD!$W$3:$W$5001,"&lt;&gt;"))))</f>
        <v/>
      </c>
      <c r="E140" s="42" t="str">
        <f>IF(OR($B140="",$A140&gt;$B$9),"",IF(COUNTIFS(BD!$B$3:$B$5001,E$138,BD!$A$3:$A$5001,"&gt;="&amp;$C$7,BD!$A$3:$A$5001,"&lt;="&amp;$B140,BD!$W$3:$W$5001,"&lt;&gt;")=0,"",SUMIFS(BD!$W$3:$W$5001,BD!$B$3:$B$5001,E$138,BD!$A$3:$A$5001,_xlfn.MAXIFS(BD!$A$3:$A$5001,BD!$B$3:$B$5001,E$138,BD!$A$3:$A$5001,"&gt;="&amp;$C$7,BD!$A$3:$A$5001,"&lt;="&amp;$B140,BD!$W$3:$W$5001,"&lt;&gt;"))))</f>
        <v/>
      </c>
      <c r="F140" s="42" t="str">
        <f>IF(OR($B140="",$A140&gt;$B$9),"",IF(COUNTIFS(BD!$B$3:$B$5001,F$138,BD!$A$3:$A$5001,"&gt;="&amp;$C$7,BD!$A$3:$A$5001,"&lt;="&amp;$B140,BD!$W$3:$W$5001,"&lt;&gt;")=0,"",SUMIFS(BD!$W$3:$W$5001,BD!$B$3:$B$5001,F$138,BD!$A$3:$A$5001,_xlfn.MAXIFS(BD!$A$3:$A$5001,BD!$B$3:$B$5001,F$138,BD!$A$3:$A$5001,"&gt;="&amp;$C$7,BD!$A$3:$A$5001,"&lt;="&amp;$B140,BD!$W$3:$W$5001,"&lt;&gt;"))))</f>
        <v/>
      </c>
      <c r="G140" s="42" t="str">
        <f>IF(OR($B140="",$A140&gt;$B$9),"",IF(COUNTIFS(BD!$B$3:$B$5001,G$138,BD!$A$3:$A$5001,"&gt;="&amp;$C$7,BD!$A$3:$A$5001,"&lt;="&amp;$B140,BD!$W$3:$W$5001,"&lt;&gt;")=0,"",SUMIFS(BD!$W$3:$W$5001,BD!$B$3:$B$5001,G$138,BD!$A$3:$A$5001,_xlfn.MAXIFS(BD!$A$3:$A$5001,BD!$B$3:$B$5001,G$138,BD!$A$3:$A$5001,"&gt;="&amp;$C$7,BD!$A$3:$A$5001,"&lt;="&amp;$B140,BD!$W$3:$W$5001,"&lt;&gt;"))))</f>
        <v/>
      </c>
      <c r="H140" s="42" t="str">
        <f>IF(OR($B140="",$A140&gt;$B$9),"",IF(COUNTIFS(BD!$B$3:$B$5001,H$138,BD!$A$3:$A$5001,"&gt;="&amp;$C$7,BD!$A$3:$A$5001,"&lt;="&amp;$B140,BD!$W$3:$W$5001,"&lt;&gt;")=0,"",SUMIFS(BD!$W$3:$W$5001,BD!$B$3:$B$5001,H$138,BD!$A$3:$A$5001,_xlfn.MAXIFS(BD!$A$3:$A$5001,BD!$B$3:$B$5001,H$138,BD!$A$3:$A$5001,"&gt;="&amp;$C$7,BD!$A$3:$A$5001,"&lt;="&amp;$B140,BD!$W$3:$W$5001,"&lt;&gt;"))))</f>
        <v/>
      </c>
      <c r="I140" s="42" t="str">
        <f>IF(OR($B140="",$A140&gt;$B$9),"",IF(COUNTIFS(BD!$B$3:$B$5001,I$138,BD!$A$3:$A$5001,"&gt;="&amp;$C$7,BD!$A$3:$A$5001,"&lt;="&amp;$B140,BD!$W$3:$W$5001,"&lt;&gt;")=0,"",SUMIFS(BD!$W$3:$W$5001,BD!$B$3:$B$5001,I$138,BD!$A$3:$A$5001,_xlfn.MAXIFS(BD!$A$3:$A$5001,BD!$B$3:$B$5001,I$138,BD!$A$3:$A$5001,"&gt;="&amp;$C$7,BD!$A$3:$A$5001,"&lt;="&amp;$B140,BD!$W$3:$W$5001,"&lt;&gt;"))))</f>
        <v/>
      </c>
      <c r="J140" s="42" t="str">
        <f>IF(OR($B140="",$A140&gt;$B$9),"",IF(COUNTIFS(BD!$B$3:$B$5001,J$138,BD!$A$3:$A$5001,"&gt;="&amp;$C$7,BD!$A$3:$A$5001,"&lt;="&amp;$B140,BD!$W$3:$W$5001,"&lt;&gt;")=0,"",SUMIFS(BD!$W$3:$W$5001,BD!$B$3:$B$5001,J$138,BD!$A$3:$A$5001,_xlfn.MAXIFS(BD!$A$3:$A$5001,BD!$B$3:$B$5001,J$138,BD!$A$3:$A$5001,"&gt;="&amp;$C$7,BD!$A$3:$A$5001,"&lt;="&amp;$B140,BD!$W$3:$W$5001,"&lt;&gt;"))))</f>
        <v/>
      </c>
      <c r="K140" s="42" t="str">
        <f>IF(OR($B140="",$A140&gt;$B$9),"",IF(COUNTIFS(BD!$B$3:$B$5001,K$138,BD!$A$3:$A$5001,"&gt;="&amp;$C$7,BD!$A$3:$A$5001,"&lt;="&amp;$B140,BD!$W$3:$W$5001,"&lt;&gt;")=0,"",SUMIFS(BD!$W$3:$W$5001,BD!$B$3:$B$5001,K$138,BD!$A$3:$A$5001,_xlfn.MAXIFS(BD!$A$3:$A$5001,BD!$B$3:$B$5001,K$138,BD!$A$3:$A$5001,"&gt;="&amp;$C$7,BD!$A$3:$A$5001,"&lt;="&amp;$B140,BD!$W$3:$W$5001,"&lt;&gt;"))))</f>
        <v/>
      </c>
      <c r="L140" s="42" t="str">
        <f>IF(OR($B140="",$A140&gt;$B$9),"",IF(COUNTIFS(BD!$B$3:$B$5001,L$138,BD!$A$3:$A$5001,"&gt;="&amp;$C$7,BD!$A$3:$A$5001,"&lt;="&amp;$B140,BD!$W$3:$W$5001,"&lt;&gt;")=0,"",SUMIFS(BD!$W$3:$W$5001,BD!$B$3:$B$5001,L$138,BD!$A$3:$A$5001,_xlfn.MAXIFS(BD!$A$3:$A$5001,BD!$B$3:$B$5001,L$138,BD!$A$3:$A$5001,"&gt;="&amp;$C$7,BD!$A$3:$A$5001,"&lt;="&amp;$B140,BD!$W$3:$W$5001,"&lt;&gt;"))))</f>
        <v/>
      </c>
    </row>
    <row r="141">
      <c r="A141" s="40">
        <v>3</v>
      </c>
      <c r="B141" s="41">
        <f>$B$14</f>
        <v>46298</v>
      </c>
      <c r="C141" s="42" t="str">
        <f>IF(OR($B141="",$A141&gt;$B$9),"",IF(COUNTIFS(BD!$B$3:$B$5001,C$138,BD!$A$3:$A$5001,"&gt;="&amp;$C$7,BD!$A$3:$A$5001,"&lt;="&amp;$B141,BD!$W$3:$W$5001,"&lt;&gt;")=0,"",SUMIFS(BD!$W$3:$W$5001,BD!$B$3:$B$5001,C$138,BD!$A$3:$A$5001,_xlfn.MAXIFS(BD!$A$3:$A$5001,BD!$B$3:$B$5001,C$138,BD!$A$3:$A$5001,"&gt;="&amp;$C$7,BD!$A$3:$A$5001,"&lt;="&amp;$B141,BD!$W$3:$W$5001,"&lt;&gt;"))))</f>
        <v/>
      </c>
      <c r="D141" s="42" t="str">
        <f>IF(OR($B141="",$A141&gt;$B$9),"",IF(COUNTIFS(BD!$B$3:$B$5001,D$138,BD!$A$3:$A$5001,"&gt;="&amp;$C$7,BD!$A$3:$A$5001,"&lt;="&amp;$B141,BD!$W$3:$W$5001,"&lt;&gt;")=0,"",SUMIFS(BD!$W$3:$W$5001,BD!$B$3:$B$5001,D$138,BD!$A$3:$A$5001,_xlfn.MAXIFS(BD!$A$3:$A$5001,BD!$B$3:$B$5001,D$138,BD!$A$3:$A$5001,"&gt;="&amp;$C$7,BD!$A$3:$A$5001,"&lt;="&amp;$B141,BD!$W$3:$W$5001,"&lt;&gt;"))))</f>
        <v/>
      </c>
      <c r="E141" s="42" t="str">
        <f>IF(OR($B141="",$A141&gt;$B$9),"",IF(COUNTIFS(BD!$B$3:$B$5001,E$138,BD!$A$3:$A$5001,"&gt;="&amp;$C$7,BD!$A$3:$A$5001,"&lt;="&amp;$B141,BD!$W$3:$W$5001,"&lt;&gt;")=0,"",SUMIFS(BD!$W$3:$W$5001,BD!$B$3:$B$5001,E$138,BD!$A$3:$A$5001,_xlfn.MAXIFS(BD!$A$3:$A$5001,BD!$B$3:$B$5001,E$138,BD!$A$3:$A$5001,"&gt;="&amp;$C$7,BD!$A$3:$A$5001,"&lt;="&amp;$B141,BD!$W$3:$W$5001,"&lt;&gt;"))))</f>
        <v/>
      </c>
      <c r="F141" s="42" t="str">
        <f>IF(OR($B141="",$A141&gt;$B$9),"",IF(COUNTIFS(BD!$B$3:$B$5001,F$138,BD!$A$3:$A$5001,"&gt;="&amp;$C$7,BD!$A$3:$A$5001,"&lt;="&amp;$B141,BD!$W$3:$W$5001,"&lt;&gt;")=0,"",SUMIFS(BD!$W$3:$W$5001,BD!$B$3:$B$5001,F$138,BD!$A$3:$A$5001,_xlfn.MAXIFS(BD!$A$3:$A$5001,BD!$B$3:$B$5001,F$138,BD!$A$3:$A$5001,"&gt;="&amp;$C$7,BD!$A$3:$A$5001,"&lt;="&amp;$B141,BD!$W$3:$W$5001,"&lt;&gt;"))))</f>
        <v/>
      </c>
      <c r="G141" s="42" t="str">
        <f>IF(OR($B141="",$A141&gt;$B$9),"",IF(COUNTIFS(BD!$B$3:$B$5001,G$138,BD!$A$3:$A$5001,"&gt;="&amp;$C$7,BD!$A$3:$A$5001,"&lt;="&amp;$B141,BD!$W$3:$W$5001,"&lt;&gt;")=0,"",SUMIFS(BD!$W$3:$W$5001,BD!$B$3:$B$5001,G$138,BD!$A$3:$A$5001,_xlfn.MAXIFS(BD!$A$3:$A$5001,BD!$B$3:$B$5001,G$138,BD!$A$3:$A$5001,"&gt;="&amp;$C$7,BD!$A$3:$A$5001,"&lt;="&amp;$B141,BD!$W$3:$W$5001,"&lt;&gt;"))))</f>
        <v/>
      </c>
      <c r="H141" s="42" t="str">
        <f>IF(OR($B141="",$A141&gt;$B$9),"",IF(COUNTIFS(BD!$B$3:$B$5001,H$138,BD!$A$3:$A$5001,"&gt;="&amp;$C$7,BD!$A$3:$A$5001,"&lt;="&amp;$B141,BD!$W$3:$W$5001,"&lt;&gt;")=0,"",SUMIFS(BD!$W$3:$W$5001,BD!$B$3:$B$5001,H$138,BD!$A$3:$A$5001,_xlfn.MAXIFS(BD!$A$3:$A$5001,BD!$B$3:$B$5001,H$138,BD!$A$3:$A$5001,"&gt;="&amp;$C$7,BD!$A$3:$A$5001,"&lt;="&amp;$B141,BD!$W$3:$W$5001,"&lt;&gt;"))))</f>
        <v/>
      </c>
      <c r="I141" s="42" t="str">
        <f>IF(OR($B141="",$A141&gt;$B$9),"",IF(COUNTIFS(BD!$B$3:$B$5001,I$138,BD!$A$3:$A$5001,"&gt;="&amp;$C$7,BD!$A$3:$A$5001,"&lt;="&amp;$B141,BD!$W$3:$W$5001,"&lt;&gt;")=0,"",SUMIFS(BD!$W$3:$W$5001,BD!$B$3:$B$5001,I$138,BD!$A$3:$A$5001,_xlfn.MAXIFS(BD!$A$3:$A$5001,BD!$B$3:$B$5001,I$138,BD!$A$3:$A$5001,"&gt;="&amp;$C$7,BD!$A$3:$A$5001,"&lt;="&amp;$B141,BD!$W$3:$W$5001,"&lt;&gt;"))))</f>
        <v/>
      </c>
      <c r="J141" s="42" t="str">
        <f>IF(OR($B141="",$A141&gt;$B$9),"",IF(COUNTIFS(BD!$B$3:$B$5001,J$138,BD!$A$3:$A$5001,"&gt;="&amp;$C$7,BD!$A$3:$A$5001,"&lt;="&amp;$B141,BD!$W$3:$W$5001,"&lt;&gt;")=0,"",SUMIFS(BD!$W$3:$W$5001,BD!$B$3:$B$5001,J$138,BD!$A$3:$A$5001,_xlfn.MAXIFS(BD!$A$3:$A$5001,BD!$B$3:$B$5001,J$138,BD!$A$3:$A$5001,"&gt;="&amp;$C$7,BD!$A$3:$A$5001,"&lt;="&amp;$B141,BD!$W$3:$W$5001,"&lt;&gt;"))))</f>
        <v/>
      </c>
      <c r="K141" s="42" t="str">
        <f>IF(OR($B141="",$A141&gt;$B$9),"",IF(COUNTIFS(BD!$B$3:$B$5001,K$138,BD!$A$3:$A$5001,"&gt;="&amp;$C$7,BD!$A$3:$A$5001,"&lt;="&amp;$B141,BD!$W$3:$W$5001,"&lt;&gt;")=0,"",SUMIFS(BD!$W$3:$W$5001,BD!$B$3:$B$5001,K$138,BD!$A$3:$A$5001,_xlfn.MAXIFS(BD!$A$3:$A$5001,BD!$B$3:$B$5001,K$138,BD!$A$3:$A$5001,"&gt;="&amp;$C$7,BD!$A$3:$A$5001,"&lt;="&amp;$B141,BD!$W$3:$W$5001,"&lt;&gt;"))))</f>
        <v/>
      </c>
      <c r="L141" s="42" t="str">
        <f>IF(OR($B141="",$A141&gt;$B$9),"",IF(COUNTIFS(BD!$B$3:$B$5001,L$138,BD!$A$3:$A$5001,"&gt;="&amp;$C$7,BD!$A$3:$A$5001,"&lt;="&amp;$B141,BD!$W$3:$W$5001,"&lt;&gt;")=0,"",SUMIFS(BD!$W$3:$W$5001,BD!$B$3:$B$5001,L$138,BD!$A$3:$A$5001,_xlfn.MAXIFS(BD!$A$3:$A$5001,BD!$B$3:$B$5001,L$138,BD!$A$3:$A$5001,"&gt;="&amp;$C$7,BD!$A$3:$A$5001,"&lt;="&amp;$B141,BD!$W$3:$W$5001,"&lt;&gt;"))))</f>
        <v/>
      </c>
    </row>
    <row r="142">
      <c r="A142" s="40">
        <v>4</v>
      </c>
      <c r="B142" s="41">
        <f>$B$15</f>
        <v>46299</v>
      </c>
      <c r="C142" s="42" t="str">
        <f>IF(OR($B142="",$A142&gt;$B$9),"",IF(COUNTIFS(BD!$B$3:$B$5001,C$138,BD!$A$3:$A$5001,"&gt;="&amp;$C$7,BD!$A$3:$A$5001,"&lt;="&amp;$B142,BD!$W$3:$W$5001,"&lt;&gt;")=0,"",SUMIFS(BD!$W$3:$W$5001,BD!$B$3:$B$5001,C$138,BD!$A$3:$A$5001,_xlfn.MAXIFS(BD!$A$3:$A$5001,BD!$B$3:$B$5001,C$138,BD!$A$3:$A$5001,"&gt;="&amp;$C$7,BD!$A$3:$A$5001,"&lt;="&amp;$B142,BD!$W$3:$W$5001,"&lt;&gt;"))))</f>
        <v/>
      </c>
      <c r="D142" s="42" t="str">
        <f>IF(OR($B142="",$A142&gt;$B$9),"",IF(COUNTIFS(BD!$B$3:$B$5001,D$138,BD!$A$3:$A$5001,"&gt;="&amp;$C$7,BD!$A$3:$A$5001,"&lt;="&amp;$B142,BD!$W$3:$W$5001,"&lt;&gt;")=0,"",SUMIFS(BD!$W$3:$W$5001,BD!$B$3:$B$5001,D$138,BD!$A$3:$A$5001,_xlfn.MAXIFS(BD!$A$3:$A$5001,BD!$B$3:$B$5001,D$138,BD!$A$3:$A$5001,"&gt;="&amp;$C$7,BD!$A$3:$A$5001,"&lt;="&amp;$B142,BD!$W$3:$W$5001,"&lt;&gt;"))))</f>
        <v/>
      </c>
      <c r="E142" s="42" t="str">
        <f>IF(OR($B142="",$A142&gt;$B$9),"",IF(COUNTIFS(BD!$B$3:$B$5001,E$138,BD!$A$3:$A$5001,"&gt;="&amp;$C$7,BD!$A$3:$A$5001,"&lt;="&amp;$B142,BD!$W$3:$W$5001,"&lt;&gt;")=0,"",SUMIFS(BD!$W$3:$W$5001,BD!$B$3:$B$5001,E$138,BD!$A$3:$A$5001,_xlfn.MAXIFS(BD!$A$3:$A$5001,BD!$B$3:$B$5001,E$138,BD!$A$3:$A$5001,"&gt;="&amp;$C$7,BD!$A$3:$A$5001,"&lt;="&amp;$B142,BD!$W$3:$W$5001,"&lt;&gt;"))))</f>
        <v/>
      </c>
      <c r="F142" s="42" t="str">
        <f>IF(OR($B142="",$A142&gt;$B$9),"",IF(COUNTIFS(BD!$B$3:$B$5001,F$138,BD!$A$3:$A$5001,"&gt;="&amp;$C$7,BD!$A$3:$A$5001,"&lt;="&amp;$B142,BD!$W$3:$W$5001,"&lt;&gt;")=0,"",SUMIFS(BD!$W$3:$W$5001,BD!$B$3:$B$5001,F$138,BD!$A$3:$A$5001,_xlfn.MAXIFS(BD!$A$3:$A$5001,BD!$B$3:$B$5001,F$138,BD!$A$3:$A$5001,"&gt;="&amp;$C$7,BD!$A$3:$A$5001,"&lt;="&amp;$B142,BD!$W$3:$W$5001,"&lt;&gt;"))))</f>
        <v/>
      </c>
      <c r="G142" s="42" t="str">
        <f>IF(OR($B142="",$A142&gt;$B$9),"",IF(COUNTIFS(BD!$B$3:$B$5001,G$138,BD!$A$3:$A$5001,"&gt;="&amp;$C$7,BD!$A$3:$A$5001,"&lt;="&amp;$B142,BD!$W$3:$W$5001,"&lt;&gt;")=0,"",SUMIFS(BD!$W$3:$W$5001,BD!$B$3:$B$5001,G$138,BD!$A$3:$A$5001,_xlfn.MAXIFS(BD!$A$3:$A$5001,BD!$B$3:$B$5001,G$138,BD!$A$3:$A$5001,"&gt;="&amp;$C$7,BD!$A$3:$A$5001,"&lt;="&amp;$B142,BD!$W$3:$W$5001,"&lt;&gt;"))))</f>
        <v/>
      </c>
      <c r="H142" s="42" t="str">
        <f>IF(OR($B142="",$A142&gt;$B$9),"",IF(COUNTIFS(BD!$B$3:$B$5001,H$138,BD!$A$3:$A$5001,"&gt;="&amp;$C$7,BD!$A$3:$A$5001,"&lt;="&amp;$B142,BD!$W$3:$W$5001,"&lt;&gt;")=0,"",SUMIFS(BD!$W$3:$W$5001,BD!$B$3:$B$5001,H$138,BD!$A$3:$A$5001,_xlfn.MAXIFS(BD!$A$3:$A$5001,BD!$B$3:$B$5001,H$138,BD!$A$3:$A$5001,"&gt;="&amp;$C$7,BD!$A$3:$A$5001,"&lt;="&amp;$B142,BD!$W$3:$W$5001,"&lt;&gt;"))))</f>
        <v/>
      </c>
      <c r="I142" s="42" t="str">
        <f>IF(OR($B142="",$A142&gt;$B$9),"",IF(COUNTIFS(BD!$B$3:$B$5001,I$138,BD!$A$3:$A$5001,"&gt;="&amp;$C$7,BD!$A$3:$A$5001,"&lt;="&amp;$B142,BD!$W$3:$W$5001,"&lt;&gt;")=0,"",SUMIFS(BD!$W$3:$W$5001,BD!$B$3:$B$5001,I$138,BD!$A$3:$A$5001,_xlfn.MAXIFS(BD!$A$3:$A$5001,BD!$B$3:$B$5001,I$138,BD!$A$3:$A$5001,"&gt;="&amp;$C$7,BD!$A$3:$A$5001,"&lt;="&amp;$B142,BD!$W$3:$W$5001,"&lt;&gt;"))))</f>
        <v/>
      </c>
      <c r="J142" s="42" t="str">
        <f>IF(OR($B142="",$A142&gt;$B$9),"",IF(COUNTIFS(BD!$B$3:$B$5001,J$138,BD!$A$3:$A$5001,"&gt;="&amp;$C$7,BD!$A$3:$A$5001,"&lt;="&amp;$B142,BD!$W$3:$W$5001,"&lt;&gt;")=0,"",SUMIFS(BD!$W$3:$W$5001,BD!$B$3:$B$5001,J$138,BD!$A$3:$A$5001,_xlfn.MAXIFS(BD!$A$3:$A$5001,BD!$B$3:$B$5001,J$138,BD!$A$3:$A$5001,"&gt;="&amp;$C$7,BD!$A$3:$A$5001,"&lt;="&amp;$B142,BD!$W$3:$W$5001,"&lt;&gt;"))))</f>
        <v/>
      </c>
      <c r="K142" s="42" t="str">
        <f>IF(OR($B142="",$A142&gt;$B$9),"",IF(COUNTIFS(BD!$B$3:$B$5001,K$138,BD!$A$3:$A$5001,"&gt;="&amp;$C$7,BD!$A$3:$A$5001,"&lt;="&amp;$B142,BD!$W$3:$W$5001,"&lt;&gt;")=0,"",SUMIFS(BD!$W$3:$W$5001,BD!$B$3:$B$5001,K$138,BD!$A$3:$A$5001,_xlfn.MAXIFS(BD!$A$3:$A$5001,BD!$B$3:$B$5001,K$138,BD!$A$3:$A$5001,"&gt;="&amp;$C$7,BD!$A$3:$A$5001,"&lt;="&amp;$B142,BD!$W$3:$W$5001,"&lt;&gt;"))))</f>
        <v/>
      </c>
      <c r="L142" s="42" t="str">
        <f>IF(OR($B142="",$A142&gt;$B$9),"",IF(COUNTIFS(BD!$B$3:$B$5001,L$138,BD!$A$3:$A$5001,"&gt;="&amp;$C$7,BD!$A$3:$A$5001,"&lt;="&amp;$B142,BD!$W$3:$W$5001,"&lt;&gt;")=0,"",SUMIFS(BD!$W$3:$W$5001,BD!$B$3:$B$5001,L$138,BD!$A$3:$A$5001,_xlfn.MAXIFS(BD!$A$3:$A$5001,BD!$B$3:$B$5001,L$138,BD!$A$3:$A$5001,"&gt;="&amp;$C$7,BD!$A$3:$A$5001,"&lt;="&amp;$B142,BD!$W$3:$W$5001,"&lt;&gt;"))))</f>
        <v/>
      </c>
    </row>
    <row r="143">
      <c r="A143" s="40">
        <v>5</v>
      </c>
      <c r="B143" s="41">
        <f>$B$16</f>
        <v>46300</v>
      </c>
      <c r="C143" s="42" t="str">
        <f>IF(OR($B143="",$A143&gt;$B$9),"",IF(COUNTIFS(BD!$B$3:$B$5001,C$138,BD!$A$3:$A$5001,"&gt;="&amp;$C$7,BD!$A$3:$A$5001,"&lt;="&amp;$B143,BD!$W$3:$W$5001,"&lt;&gt;")=0,"",SUMIFS(BD!$W$3:$W$5001,BD!$B$3:$B$5001,C$138,BD!$A$3:$A$5001,_xlfn.MAXIFS(BD!$A$3:$A$5001,BD!$B$3:$B$5001,C$138,BD!$A$3:$A$5001,"&gt;="&amp;$C$7,BD!$A$3:$A$5001,"&lt;="&amp;$B143,BD!$W$3:$W$5001,"&lt;&gt;"))))</f>
        <v/>
      </c>
      <c r="D143" s="42" t="str">
        <f>IF(OR($B143="",$A143&gt;$B$9),"",IF(COUNTIFS(BD!$B$3:$B$5001,D$138,BD!$A$3:$A$5001,"&gt;="&amp;$C$7,BD!$A$3:$A$5001,"&lt;="&amp;$B143,BD!$W$3:$W$5001,"&lt;&gt;")=0,"",SUMIFS(BD!$W$3:$W$5001,BD!$B$3:$B$5001,D$138,BD!$A$3:$A$5001,_xlfn.MAXIFS(BD!$A$3:$A$5001,BD!$B$3:$B$5001,D$138,BD!$A$3:$A$5001,"&gt;="&amp;$C$7,BD!$A$3:$A$5001,"&lt;="&amp;$B143,BD!$W$3:$W$5001,"&lt;&gt;"))))</f>
        <v/>
      </c>
      <c r="E143" s="42" t="str">
        <f>IF(OR($B143="",$A143&gt;$B$9),"",IF(COUNTIFS(BD!$B$3:$B$5001,E$138,BD!$A$3:$A$5001,"&gt;="&amp;$C$7,BD!$A$3:$A$5001,"&lt;="&amp;$B143,BD!$W$3:$W$5001,"&lt;&gt;")=0,"",SUMIFS(BD!$W$3:$W$5001,BD!$B$3:$B$5001,E$138,BD!$A$3:$A$5001,_xlfn.MAXIFS(BD!$A$3:$A$5001,BD!$B$3:$B$5001,E$138,BD!$A$3:$A$5001,"&gt;="&amp;$C$7,BD!$A$3:$A$5001,"&lt;="&amp;$B143,BD!$W$3:$W$5001,"&lt;&gt;"))))</f>
        <v/>
      </c>
      <c r="F143" s="42" t="str">
        <f>IF(OR($B143="",$A143&gt;$B$9),"",IF(COUNTIFS(BD!$B$3:$B$5001,F$138,BD!$A$3:$A$5001,"&gt;="&amp;$C$7,BD!$A$3:$A$5001,"&lt;="&amp;$B143,BD!$W$3:$W$5001,"&lt;&gt;")=0,"",SUMIFS(BD!$W$3:$W$5001,BD!$B$3:$B$5001,F$138,BD!$A$3:$A$5001,_xlfn.MAXIFS(BD!$A$3:$A$5001,BD!$B$3:$B$5001,F$138,BD!$A$3:$A$5001,"&gt;="&amp;$C$7,BD!$A$3:$A$5001,"&lt;="&amp;$B143,BD!$W$3:$W$5001,"&lt;&gt;"))))</f>
        <v/>
      </c>
      <c r="G143" s="42" t="str">
        <f>IF(OR($B143="",$A143&gt;$B$9),"",IF(COUNTIFS(BD!$B$3:$B$5001,G$138,BD!$A$3:$A$5001,"&gt;="&amp;$C$7,BD!$A$3:$A$5001,"&lt;="&amp;$B143,BD!$W$3:$W$5001,"&lt;&gt;")=0,"",SUMIFS(BD!$W$3:$W$5001,BD!$B$3:$B$5001,G$138,BD!$A$3:$A$5001,_xlfn.MAXIFS(BD!$A$3:$A$5001,BD!$B$3:$B$5001,G$138,BD!$A$3:$A$5001,"&gt;="&amp;$C$7,BD!$A$3:$A$5001,"&lt;="&amp;$B143,BD!$W$3:$W$5001,"&lt;&gt;"))))</f>
        <v/>
      </c>
      <c r="H143" s="42" t="str">
        <f>IF(OR($B143="",$A143&gt;$B$9),"",IF(COUNTIFS(BD!$B$3:$B$5001,H$138,BD!$A$3:$A$5001,"&gt;="&amp;$C$7,BD!$A$3:$A$5001,"&lt;="&amp;$B143,BD!$W$3:$W$5001,"&lt;&gt;")=0,"",SUMIFS(BD!$W$3:$W$5001,BD!$B$3:$B$5001,H$138,BD!$A$3:$A$5001,_xlfn.MAXIFS(BD!$A$3:$A$5001,BD!$B$3:$B$5001,H$138,BD!$A$3:$A$5001,"&gt;="&amp;$C$7,BD!$A$3:$A$5001,"&lt;="&amp;$B143,BD!$W$3:$W$5001,"&lt;&gt;"))))</f>
        <v/>
      </c>
      <c r="I143" s="42" t="str">
        <f>IF(OR($B143="",$A143&gt;$B$9),"",IF(COUNTIFS(BD!$B$3:$B$5001,I$138,BD!$A$3:$A$5001,"&gt;="&amp;$C$7,BD!$A$3:$A$5001,"&lt;="&amp;$B143,BD!$W$3:$W$5001,"&lt;&gt;")=0,"",SUMIFS(BD!$W$3:$W$5001,BD!$B$3:$B$5001,I$138,BD!$A$3:$A$5001,_xlfn.MAXIFS(BD!$A$3:$A$5001,BD!$B$3:$B$5001,I$138,BD!$A$3:$A$5001,"&gt;="&amp;$C$7,BD!$A$3:$A$5001,"&lt;="&amp;$B143,BD!$W$3:$W$5001,"&lt;&gt;"))))</f>
        <v/>
      </c>
      <c r="J143" s="42" t="str">
        <f>IF(OR($B143="",$A143&gt;$B$9),"",IF(COUNTIFS(BD!$B$3:$B$5001,J$138,BD!$A$3:$A$5001,"&gt;="&amp;$C$7,BD!$A$3:$A$5001,"&lt;="&amp;$B143,BD!$W$3:$W$5001,"&lt;&gt;")=0,"",SUMIFS(BD!$W$3:$W$5001,BD!$B$3:$B$5001,J$138,BD!$A$3:$A$5001,_xlfn.MAXIFS(BD!$A$3:$A$5001,BD!$B$3:$B$5001,J$138,BD!$A$3:$A$5001,"&gt;="&amp;$C$7,BD!$A$3:$A$5001,"&lt;="&amp;$B143,BD!$W$3:$W$5001,"&lt;&gt;"))))</f>
        <v/>
      </c>
      <c r="K143" s="42" t="str">
        <f>IF(OR($B143="",$A143&gt;$B$9),"",IF(COUNTIFS(BD!$B$3:$B$5001,K$138,BD!$A$3:$A$5001,"&gt;="&amp;$C$7,BD!$A$3:$A$5001,"&lt;="&amp;$B143,BD!$W$3:$W$5001,"&lt;&gt;")=0,"",SUMIFS(BD!$W$3:$W$5001,BD!$B$3:$B$5001,K$138,BD!$A$3:$A$5001,_xlfn.MAXIFS(BD!$A$3:$A$5001,BD!$B$3:$B$5001,K$138,BD!$A$3:$A$5001,"&gt;="&amp;$C$7,BD!$A$3:$A$5001,"&lt;="&amp;$B143,BD!$W$3:$W$5001,"&lt;&gt;"))))</f>
        <v/>
      </c>
      <c r="L143" s="42" t="str">
        <f>IF(OR($B143="",$A143&gt;$B$9),"",IF(COUNTIFS(BD!$B$3:$B$5001,L$138,BD!$A$3:$A$5001,"&gt;="&amp;$C$7,BD!$A$3:$A$5001,"&lt;="&amp;$B143,BD!$W$3:$W$5001,"&lt;&gt;")=0,"",SUMIFS(BD!$W$3:$W$5001,BD!$B$3:$B$5001,L$138,BD!$A$3:$A$5001,_xlfn.MAXIFS(BD!$A$3:$A$5001,BD!$B$3:$B$5001,L$138,BD!$A$3:$A$5001,"&gt;="&amp;$C$7,BD!$A$3:$A$5001,"&lt;="&amp;$B143,BD!$W$3:$W$5001,"&lt;&gt;"))))</f>
        <v/>
      </c>
    </row>
    <row r="144">
      <c r="A144" s="40">
        <v>6</v>
      </c>
      <c r="B144" s="41">
        <f>$B$17</f>
        <v>46301</v>
      </c>
      <c r="C144" s="42" t="str">
        <f>IF(OR($B144="",$A144&gt;$B$9),"",IF(COUNTIFS(BD!$B$3:$B$5001,C$138,BD!$A$3:$A$5001,"&gt;="&amp;$C$7,BD!$A$3:$A$5001,"&lt;="&amp;$B144,BD!$W$3:$W$5001,"&lt;&gt;")=0,"",SUMIFS(BD!$W$3:$W$5001,BD!$B$3:$B$5001,C$138,BD!$A$3:$A$5001,_xlfn.MAXIFS(BD!$A$3:$A$5001,BD!$B$3:$B$5001,C$138,BD!$A$3:$A$5001,"&gt;="&amp;$C$7,BD!$A$3:$A$5001,"&lt;="&amp;$B144,BD!$W$3:$W$5001,"&lt;&gt;"))))</f>
        <v/>
      </c>
      <c r="D144" s="42" t="str">
        <f>IF(OR($B144="",$A144&gt;$B$9),"",IF(COUNTIFS(BD!$B$3:$B$5001,D$138,BD!$A$3:$A$5001,"&gt;="&amp;$C$7,BD!$A$3:$A$5001,"&lt;="&amp;$B144,BD!$W$3:$W$5001,"&lt;&gt;")=0,"",SUMIFS(BD!$W$3:$W$5001,BD!$B$3:$B$5001,D$138,BD!$A$3:$A$5001,_xlfn.MAXIFS(BD!$A$3:$A$5001,BD!$B$3:$B$5001,D$138,BD!$A$3:$A$5001,"&gt;="&amp;$C$7,BD!$A$3:$A$5001,"&lt;="&amp;$B144,BD!$W$3:$W$5001,"&lt;&gt;"))))</f>
        <v/>
      </c>
      <c r="E144" s="42" t="str">
        <f>IF(OR($B144="",$A144&gt;$B$9),"",IF(COUNTIFS(BD!$B$3:$B$5001,E$138,BD!$A$3:$A$5001,"&gt;="&amp;$C$7,BD!$A$3:$A$5001,"&lt;="&amp;$B144,BD!$W$3:$W$5001,"&lt;&gt;")=0,"",SUMIFS(BD!$W$3:$W$5001,BD!$B$3:$B$5001,E$138,BD!$A$3:$A$5001,_xlfn.MAXIFS(BD!$A$3:$A$5001,BD!$B$3:$B$5001,E$138,BD!$A$3:$A$5001,"&gt;="&amp;$C$7,BD!$A$3:$A$5001,"&lt;="&amp;$B144,BD!$W$3:$W$5001,"&lt;&gt;"))))</f>
        <v/>
      </c>
      <c r="F144" s="42" t="str">
        <f>IF(OR($B144="",$A144&gt;$B$9),"",IF(COUNTIFS(BD!$B$3:$B$5001,F$138,BD!$A$3:$A$5001,"&gt;="&amp;$C$7,BD!$A$3:$A$5001,"&lt;="&amp;$B144,BD!$W$3:$W$5001,"&lt;&gt;")=0,"",SUMIFS(BD!$W$3:$W$5001,BD!$B$3:$B$5001,F$138,BD!$A$3:$A$5001,_xlfn.MAXIFS(BD!$A$3:$A$5001,BD!$B$3:$B$5001,F$138,BD!$A$3:$A$5001,"&gt;="&amp;$C$7,BD!$A$3:$A$5001,"&lt;="&amp;$B144,BD!$W$3:$W$5001,"&lt;&gt;"))))</f>
        <v/>
      </c>
      <c r="G144" s="42" t="str">
        <f>IF(OR($B144="",$A144&gt;$B$9),"",IF(COUNTIFS(BD!$B$3:$B$5001,G$138,BD!$A$3:$A$5001,"&gt;="&amp;$C$7,BD!$A$3:$A$5001,"&lt;="&amp;$B144,BD!$W$3:$W$5001,"&lt;&gt;")=0,"",SUMIFS(BD!$W$3:$W$5001,BD!$B$3:$B$5001,G$138,BD!$A$3:$A$5001,_xlfn.MAXIFS(BD!$A$3:$A$5001,BD!$B$3:$B$5001,G$138,BD!$A$3:$A$5001,"&gt;="&amp;$C$7,BD!$A$3:$A$5001,"&lt;="&amp;$B144,BD!$W$3:$W$5001,"&lt;&gt;"))))</f>
        <v/>
      </c>
      <c r="H144" s="42" t="str">
        <f>IF(OR($B144="",$A144&gt;$B$9),"",IF(COUNTIFS(BD!$B$3:$B$5001,H$138,BD!$A$3:$A$5001,"&gt;="&amp;$C$7,BD!$A$3:$A$5001,"&lt;="&amp;$B144,BD!$W$3:$W$5001,"&lt;&gt;")=0,"",SUMIFS(BD!$W$3:$W$5001,BD!$B$3:$B$5001,H$138,BD!$A$3:$A$5001,_xlfn.MAXIFS(BD!$A$3:$A$5001,BD!$B$3:$B$5001,H$138,BD!$A$3:$A$5001,"&gt;="&amp;$C$7,BD!$A$3:$A$5001,"&lt;="&amp;$B144,BD!$W$3:$W$5001,"&lt;&gt;"))))</f>
        <v/>
      </c>
      <c r="I144" s="42" t="str">
        <f>IF(OR($B144="",$A144&gt;$B$9),"",IF(COUNTIFS(BD!$B$3:$B$5001,I$138,BD!$A$3:$A$5001,"&gt;="&amp;$C$7,BD!$A$3:$A$5001,"&lt;="&amp;$B144,BD!$W$3:$W$5001,"&lt;&gt;")=0,"",SUMIFS(BD!$W$3:$W$5001,BD!$B$3:$B$5001,I$138,BD!$A$3:$A$5001,_xlfn.MAXIFS(BD!$A$3:$A$5001,BD!$B$3:$B$5001,I$138,BD!$A$3:$A$5001,"&gt;="&amp;$C$7,BD!$A$3:$A$5001,"&lt;="&amp;$B144,BD!$W$3:$W$5001,"&lt;&gt;"))))</f>
        <v/>
      </c>
      <c r="J144" s="42" t="str">
        <f>IF(OR($B144="",$A144&gt;$B$9),"",IF(COUNTIFS(BD!$B$3:$B$5001,J$138,BD!$A$3:$A$5001,"&gt;="&amp;$C$7,BD!$A$3:$A$5001,"&lt;="&amp;$B144,BD!$W$3:$W$5001,"&lt;&gt;")=0,"",SUMIFS(BD!$W$3:$W$5001,BD!$B$3:$B$5001,J$138,BD!$A$3:$A$5001,_xlfn.MAXIFS(BD!$A$3:$A$5001,BD!$B$3:$B$5001,J$138,BD!$A$3:$A$5001,"&gt;="&amp;$C$7,BD!$A$3:$A$5001,"&lt;="&amp;$B144,BD!$W$3:$W$5001,"&lt;&gt;"))))</f>
        <v/>
      </c>
      <c r="K144" s="42" t="str">
        <f>IF(OR($B144="",$A144&gt;$B$9),"",IF(COUNTIFS(BD!$B$3:$B$5001,K$138,BD!$A$3:$A$5001,"&gt;="&amp;$C$7,BD!$A$3:$A$5001,"&lt;="&amp;$B144,BD!$W$3:$W$5001,"&lt;&gt;")=0,"",SUMIFS(BD!$W$3:$W$5001,BD!$B$3:$B$5001,K$138,BD!$A$3:$A$5001,_xlfn.MAXIFS(BD!$A$3:$A$5001,BD!$B$3:$B$5001,K$138,BD!$A$3:$A$5001,"&gt;="&amp;$C$7,BD!$A$3:$A$5001,"&lt;="&amp;$B144,BD!$W$3:$W$5001,"&lt;&gt;"))))</f>
        <v/>
      </c>
      <c r="L144" s="42" t="str">
        <f>IF(OR($B144="",$A144&gt;$B$9),"",IF(COUNTIFS(BD!$B$3:$B$5001,L$138,BD!$A$3:$A$5001,"&gt;="&amp;$C$7,BD!$A$3:$A$5001,"&lt;="&amp;$B144,BD!$W$3:$W$5001,"&lt;&gt;")=0,"",SUMIFS(BD!$W$3:$W$5001,BD!$B$3:$B$5001,L$138,BD!$A$3:$A$5001,_xlfn.MAXIFS(BD!$A$3:$A$5001,BD!$B$3:$B$5001,L$138,BD!$A$3:$A$5001,"&gt;="&amp;$C$7,BD!$A$3:$A$5001,"&lt;="&amp;$B144,BD!$W$3:$W$5001,"&lt;&gt;"))))</f>
        <v/>
      </c>
    </row>
    <row r="145">
      <c r="A145" s="40">
        <v>7</v>
      </c>
      <c r="B145" s="41">
        <f>$B$18</f>
        <v>46302</v>
      </c>
      <c r="C145" s="42" t="str">
        <f>IF(OR($B145="",$A145&gt;$B$9),"",IF(COUNTIFS(BD!$B$3:$B$5001,C$138,BD!$A$3:$A$5001,"&gt;="&amp;$C$7,BD!$A$3:$A$5001,"&lt;="&amp;$B145,BD!$W$3:$W$5001,"&lt;&gt;")=0,"",SUMIFS(BD!$W$3:$W$5001,BD!$B$3:$B$5001,C$138,BD!$A$3:$A$5001,_xlfn.MAXIFS(BD!$A$3:$A$5001,BD!$B$3:$B$5001,C$138,BD!$A$3:$A$5001,"&gt;="&amp;$C$7,BD!$A$3:$A$5001,"&lt;="&amp;$B145,BD!$W$3:$W$5001,"&lt;&gt;"))))</f>
        <v/>
      </c>
      <c r="D145" s="42" t="str">
        <f>IF(OR($B145="",$A145&gt;$B$9),"",IF(COUNTIFS(BD!$B$3:$B$5001,D$138,BD!$A$3:$A$5001,"&gt;="&amp;$C$7,BD!$A$3:$A$5001,"&lt;="&amp;$B145,BD!$W$3:$W$5001,"&lt;&gt;")=0,"",SUMIFS(BD!$W$3:$W$5001,BD!$B$3:$B$5001,D$138,BD!$A$3:$A$5001,_xlfn.MAXIFS(BD!$A$3:$A$5001,BD!$B$3:$B$5001,D$138,BD!$A$3:$A$5001,"&gt;="&amp;$C$7,BD!$A$3:$A$5001,"&lt;="&amp;$B145,BD!$W$3:$W$5001,"&lt;&gt;"))))</f>
        <v/>
      </c>
      <c r="E145" s="42" t="str">
        <f>IF(OR($B145="",$A145&gt;$B$9),"",IF(COUNTIFS(BD!$B$3:$B$5001,E$138,BD!$A$3:$A$5001,"&gt;="&amp;$C$7,BD!$A$3:$A$5001,"&lt;="&amp;$B145,BD!$W$3:$W$5001,"&lt;&gt;")=0,"",SUMIFS(BD!$W$3:$W$5001,BD!$B$3:$B$5001,E$138,BD!$A$3:$A$5001,_xlfn.MAXIFS(BD!$A$3:$A$5001,BD!$B$3:$B$5001,E$138,BD!$A$3:$A$5001,"&gt;="&amp;$C$7,BD!$A$3:$A$5001,"&lt;="&amp;$B145,BD!$W$3:$W$5001,"&lt;&gt;"))))</f>
        <v/>
      </c>
      <c r="F145" s="42" t="str">
        <f>IF(OR($B145="",$A145&gt;$B$9),"",IF(COUNTIFS(BD!$B$3:$B$5001,F$138,BD!$A$3:$A$5001,"&gt;="&amp;$C$7,BD!$A$3:$A$5001,"&lt;="&amp;$B145,BD!$W$3:$W$5001,"&lt;&gt;")=0,"",SUMIFS(BD!$W$3:$W$5001,BD!$B$3:$B$5001,F$138,BD!$A$3:$A$5001,_xlfn.MAXIFS(BD!$A$3:$A$5001,BD!$B$3:$B$5001,F$138,BD!$A$3:$A$5001,"&gt;="&amp;$C$7,BD!$A$3:$A$5001,"&lt;="&amp;$B145,BD!$W$3:$W$5001,"&lt;&gt;"))))</f>
        <v/>
      </c>
      <c r="G145" s="42" t="str">
        <f>IF(OR($B145="",$A145&gt;$B$9),"",IF(COUNTIFS(BD!$B$3:$B$5001,G$138,BD!$A$3:$A$5001,"&gt;="&amp;$C$7,BD!$A$3:$A$5001,"&lt;="&amp;$B145,BD!$W$3:$W$5001,"&lt;&gt;")=0,"",SUMIFS(BD!$W$3:$W$5001,BD!$B$3:$B$5001,G$138,BD!$A$3:$A$5001,_xlfn.MAXIFS(BD!$A$3:$A$5001,BD!$B$3:$B$5001,G$138,BD!$A$3:$A$5001,"&gt;="&amp;$C$7,BD!$A$3:$A$5001,"&lt;="&amp;$B145,BD!$W$3:$W$5001,"&lt;&gt;"))))</f>
        <v/>
      </c>
      <c r="H145" s="42" t="str">
        <f>IF(OR($B145="",$A145&gt;$B$9),"",IF(COUNTIFS(BD!$B$3:$B$5001,H$138,BD!$A$3:$A$5001,"&gt;="&amp;$C$7,BD!$A$3:$A$5001,"&lt;="&amp;$B145,BD!$W$3:$W$5001,"&lt;&gt;")=0,"",SUMIFS(BD!$W$3:$W$5001,BD!$B$3:$B$5001,H$138,BD!$A$3:$A$5001,_xlfn.MAXIFS(BD!$A$3:$A$5001,BD!$B$3:$B$5001,H$138,BD!$A$3:$A$5001,"&gt;="&amp;$C$7,BD!$A$3:$A$5001,"&lt;="&amp;$B145,BD!$W$3:$W$5001,"&lt;&gt;"))))</f>
        <v/>
      </c>
      <c r="I145" s="42" t="str">
        <f>IF(OR($B145="",$A145&gt;$B$9),"",IF(COUNTIFS(BD!$B$3:$B$5001,I$138,BD!$A$3:$A$5001,"&gt;="&amp;$C$7,BD!$A$3:$A$5001,"&lt;="&amp;$B145,BD!$W$3:$W$5001,"&lt;&gt;")=0,"",SUMIFS(BD!$W$3:$W$5001,BD!$B$3:$B$5001,I$138,BD!$A$3:$A$5001,_xlfn.MAXIFS(BD!$A$3:$A$5001,BD!$B$3:$B$5001,I$138,BD!$A$3:$A$5001,"&gt;="&amp;$C$7,BD!$A$3:$A$5001,"&lt;="&amp;$B145,BD!$W$3:$W$5001,"&lt;&gt;"))))</f>
        <v/>
      </c>
      <c r="J145" s="42" t="str">
        <f>IF(OR($B145="",$A145&gt;$B$9),"",IF(COUNTIFS(BD!$B$3:$B$5001,J$138,BD!$A$3:$A$5001,"&gt;="&amp;$C$7,BD!$A$3:$A$5001,"&lt;="&amp;$B145,BD!$W$3:$W$5001,"&lt;&gt;")=0,"",SUMIFS(BD!$W$3:$W$5001,BD!$B$3:$B$5001,J$138,BD!$A$3:$A$5001,_xlfn.MAXIFS(BD!$A$3:$A$5001,BD!$B$3:$B$5001,J$138,BD!$A$3:$A$5001,"&gt;="&amp;$C$7,BD!$A$3:$A$5001,"&lt;="&amp;$B145,BD!$W$3:$W$5001,"&lt;&gt;"))))</f>
        <v/>
      </c>
      <c r="K145" s="42" t="str">
        <f>IF(OR($B145="",$A145&gt;$B$9),"",IF(COUNTIFS(BD!$B$3:$B$5001,K$138,BD!$A$3:$A$5001,"&gt;="&amp;$C$7,BD!$A$3:$A$5001,"&lt;="&amp;$B145,BD!$W$3:$W$5001,"&lt;&gt;")=0,"",SUMIFS(BD!$W$3:$W$5001,BD!$B$3:$B$5001,K$138,BD!$A$3:$A$5001,_xlfn.MAXIFS(BD!$A$3:$A$5001,BD!$B$3:$B$5001,K$138,BD!$A$3:$A$5001,"&gt;="&amp;$C$7,BD!$A$3:$A$5001,"&lt;="&amp;$B145,BD!$W$3:$W$5001,"&lt;&gt;"))))</f>
        <v/>
      </c>
      <c r="L145" s="42" t="str">
        <f>IF(OR($B145="",$A145&gt;$B$9),"",IF(COUNTIFS(BD!$B$3:$B$5001,L$138,BD!$A$3:$A$5001,"&gt;="&amp;$C$7,BD!$A$3:$A$5001,"&lt;="&amp;$B145,BD!$W$3:$W$5001,"&lt;&gt;")=0,"",SUMIFS(BD!$W$3:$W$5001,BD!$B$3:$B$5001,L$138,BD!$A$3:$A$5001,_xlfn.MAXIFS(BD!$A$3:$A$5001,BD!$B$3:$B$5001,L$138,BD!$A$3:$A$5001,"&gt;="&amp;$C$7,BD!$A$3:$A$5001,"&lt;="&amp;$B145,BD!$W$3:$W$5001,"&lt;&gt;"))))</f>
        <v/>
      </c>
    </row>
    <row r="146">
      <c r="A146" s="40">
        <v>8</v>
      </c>
      <c r="B146" s="41">
        <f>$B$19</f>
        <v>46303</v>
      </c>
      <c r="C146" s="42" t="str">
        <f>IF(OR($B146="",$A146&gt;$B$9),"",IF(COUNTIFS(BD!$B$3:$B$5001,C$138,BD!$A$3:$A$5001,"&gt;="&amp;$C$7,BD!$A$3:$A$5001,"&lt;="&amp;$B146,BD!$W$3:$W$5001,"&lt;&gt;")=0,"",SUMIFS(BD!$W$3:$W$5001,BD!$B$3:$B$5001,C$138,BD!$A$3:$A$5001,_xlfn.MAXIFS(BD!$A$3:$A$5001,BD!$B$3:$B$5001,C$138,BD!$A$3:$A$5001,"&gt;="&amp;$C$7,BD!$A$3:$A$5001,"&lt;="&amp;$B146,BD!$W$3:$W$5001,"&lt;&gt;"))))</f>
        <v/>
      </c>
      <c r="D146" s="42" t="str">
        <f>IF(OR($B146="",$A146&gt;$B$9),"",IF(COUNTIFS(BD!$B$3:$B$5001,D$138,BD!$A$3:$A$5001,"&gt;="&amp;$C$7,BD!$A$3:$A$5001,"&lt;="&amp;$B146,BD!$W$3:$W$5001,"&lt;&gt;")=0,"",SUMIFS(BD!$W$3:$W$5001,BD!$B$3:$B$5001,D$138,BD!$A$3:$A$5001,_xlfn.MAXIFS(BD!$A$3:$A$5001,BD!$B$3:$B$5001,D$138,BD!$A$3:$A$5001,"&gt;="&amp;$C$7,BD!$A$3:$A$5001,"&lt;="&amp;$B146,BD!$W$3:$W$5001,"&lt;&gt;"))))</f>
        <v/>
      </c>
      <c r="E146" s="42" t="str">
        <f>IF(OR($B146="",$A146&gt;$B$9),"",IF(COUNTIFS(BD!$B$3:$B$5001,E$138,BD!$A$3:$A$5001,"&gt;="&amp;$C$7,BD!$A$3:$A$5001,"&lt;="&amp;$B146,BD!$W$3:$W$5001,"&lt;&gt;")=0,"",SUMIFS(BD!$W$3:$W$5001,BD!$B$3:$B$5001,E$138,BD!$A$3:$A$5001,_xlfn.MAXIFS(BD!$A$3:$A$5001,BD!$B$3:$B$5001,E$138,BD!$A$3:$A$5001,"&gt;="&amp;$C$7,BD!$A$3:$A$5001,"&lt;="&amp;$B146,BD!$W$3:$W$5001,"&lt;&gt;"))))</f>
        <v/>
      </c>
      <c r="F146" s="42" t="str">
        <f>IF(OR($B146="",$A146&gt;$B$9),"",IF(COUNTIFS(BD!$B$3:$B$5001,F$138,BD!$A$3:$A$5001,"&gt;="&amp;$C$7,BD!$A$3:$A$5001,"&lt;="&amp;$B146,BD!$W$3:$W$5001,"&lt;&gt;")=0,"",SUMIFS(BD!$W$3:$W$5001,BD!$B$3:$B$5001,F$138,BD!$A$3:$A$5001,_xlfn.MAXIFS(BD!$A$3:$A$5001,BD!$B$3:$B$5001,F$138,BD!$A$3:$A$5001,"&gt;="&amp;$C$7,BD!$A$3:$A$5001,"&lt;="&amp;$B146,BD!$W$3:$W$5001,"&lt;&gt;"))))</f>
        <v/>
      </c>
      <c r="G146" s="42" t="str">
        <f>IF(OR($B146="",$A146&gt;$B$9),"",IF(COUNTIFS(BD!$B$3:$B$5001,G$138,BD!$A$3:$A$5001,"&gt;="&amp;$C$7,BD!$A$3:$A$5001,"&lt;="&amp;$B146,BD!$W$3:$W$5001,"&lt;&gt;")=0,"",SUMIFS(BD!$W$3:$W$5001,BD!$B$3:$B$5001,G$138,BD!$A$3:$A$5001,_xlfn.MAXIFS(BD!$A$3:$A$5001,BD!$B$3:$B$5001,G$138,BD!$A$3:$A$5001,"&gt;="&amp;$C$7,BD!$A$3:$A$5001,"&lt;="&amp;$B146,BD!$W$3:$W$5001,"&lt;&gt;"))))</f>
        <v/>
      </c>
      <c r="H146" s="42" t="str">
        <f>IF(OR($B146="",$A146&gt;$B$9),"",IF(COUNTIFS(BD!$B$3:$B$5001,H$138,BD!$A$3:$A$5001,"&gt;="&amp;$C$7,BD!$A$3:$A$5001,"&lt;="&amp;$B146,BD!$W$3:$W$5001,"&lt;&gt;")=0,"",SUMIFS(BD!$W$3:$W$5001,BD!$B$3:$B$5001,H$138,BD!$A$3:$A$5001,_xlfn.MAXIFS(BD!$A$3:$A$5001,BD!$B$3:$B$5001,H$138,BD!$A$3:$A$5001,"&gt;="&amp;$C$7,BD!$A$3:$A$5001,"&lt;="&amp;$B146,BD!$W$3:$W$5001,"&lt;&gt;"))))</f>
        <v/>
      </c>
      <c r="I146" s="42" t="str">
        <f>IF(OR($B146="",$A146&gt;$B$9),"",IF(COUNTIFS(BD!$B$3:$B$5001,I$138,BD!$A$3:$A$5001,"&gt;="&amp;$C$7,BD!$A$3:$A$5001,"&lt;="&amp;$B146,BD!$W$3:$W$5001,"&lt;&gt;")=0,"",SUMIFS(BD!$W$3:$W$5001,BD!$B$3:$B$5001,I$138,BD!$A$3:$A$5001,_xlfn.MAXIFS(BD!$A$3:$A$5001,BD!$B$3:$B$5001,I$138,BD!$A$3:$A$5001,"&gt;="&amp;$C$7,BD!$A$3:$A$5001,"&lt;="&amp;$B146,BD!$W$3:$W$5001,"&lt;&gt;"))))</f>
        <v/>
      </c>
      <c r="J146" s="42" t="str">
        <f>IF(OR($B146="",$A146&gt;$B$9),"",IF(COUNTIFS(BD!$B$3:$B$5001,J$138,BD!$A$3:$A$5001,"&gt;="&amp;$C$7,BD!$A$3:$A$5001,"&lt;="&amp;$B146,BD!$W$3:$W$5001,"&lt;&gt;")=0,"",SUMIFS(BD!$W$3:$W$5001,BD!$B$3:$B$5001,J$138,BD!$A$3:$A$5001,_xlfn.MAXIFS(BD!$A$3:$A$5001,BD!$B$3:$B$5001,J$138,BD!$A$3:$A$5001,"&gt;="&amp;$C$7,BD!$A$3:$A$5001,"&lt;="&amp;$B146,BD!$W$3:$W$5001,"&lt;&gt;"))))</f>
        <v/>
      </c>
      <c r="K146" s="42" t="str">
        <f>IF(OR($B146="",$A146&gt;$B$9),"",IF(COUNTIFS(BD!$B$3:$B$5001,K$138,BD!$A$3:$A$5001,"&gt;="&amp;$C$7,BD!$A$3:$A$5001,"&lt;="&amp;$B146,BD!$W$3:$W$5001,"&lt;&gt;")=0,"",SUMIFS(BD!$W$3:$W$5001,BD!$B$3:$B$5001,K$138,BD!$A$3:$A$5001,_xlfn.MAXIFS(BD!$A$3:$A$5001,BD!$B$3:$B$5001,K$138,BD!$A$3:$A$5001,"&gt;="&amp;$C$7,BD!$A$3:$A$5001,"&lt;="&amp;$B146,BD!$W$3:$W$5001,"&lt;&gt;"))))</f>
        <v/>
      </c>
      <c r="L146" s="42" t="str">
        <f>IF(OR($B146="",$A146&gt;$B$9),"",IF(COUNTIFS(BD!$B$3:$B$5001,L$138,BD!$A$3:$A$5001,"&gt;="&amp;$C$7,BD!$A$3:$A$5001,"&lt;="&amp;$B146,BD!$W$3:$W$5001,"&lt;&gt;")=0,"",SUMIFS(BD!$W$3:$W$5001,BD!$B$3:$B$5001,L$138,BD!$A$3:$A$5001,_xlfn.MAXIFS(BD!$A$3:$A$5001,BD!$B$3:$B$5001,L$138,BD!$A$3:$A$5001,"&gt;="&amp;$C$7,BD!$A$3:$A$5001,"&lt;="&amp;$B146,BD!$W$3:$W$5001,"&lt;&gt;"))))</f>
        <v/>
      </c>
    </row>
    <row r="147">
      <c r="A147" s="40">
        <v>9</v>
      </c>
      <c r="B147" s="41">
        <f>$B$20</f>
        <v>46304</v>
      </c>
      <c r="C147" s="42" t="str">
        <f>IF(OR($B147="",$A147&gt;$B$9),"",IF(COUNTIFS(BD!$B$3:$B$5001,C$138,BD!$A$3:$A$5001,"&gt;="&amp;$C$7,BD!$A$3:$A$5001,"&lt;="&amp;$B147,BD!$W$3:$W$5001,"&lt;&gt;")=0,"",SUMIFS(BD!$W$3:$W$5001,BD!$B$3:$B$5001,C$138,BD!$A$3:$A$5001,_xlfn.MAXIFS(BD!$A$3:$A$5001,BD!$B$3:$B$5001,C$138,BD!$A$3:$A$5001,"&gt;="&amp;$C$7,BD!$A$3:$A$5001,"&lt;="&amp;$B147,BD!$W$3:$W$5001,"&lt;&gt;"))))</f>
        <v/>
      </c>
      <c r="D147" s="42" t="str">
        <f>IF(OR($B147="",$A147&gt;$B$9),"",IF(COUNTIFS(BD!$B$3:$B$5001,D$138,BD!$A$3:$A$5001,"&gt;="&amp;$C$7,BD!$A$3:$A$5001,"&lt;="&amp;$B147,BD!$W$3:$W$5001,"&lt;&gt;")=0,"",SUMIFS(BD!$W$3:$W$5001,BD!$B$3:$B$5001,D$138,BD!$A$3:$A$5001,_xlfn.MAXIFS(BD!$A$3:$A$5001,BD!$B$3:$B$5001,D$138,BD!$A$3:$A$5001,"&gt;="&amp;$C$7,BD!$A$3:$A$5001,"&lt;="&amp;$B147,BD!$W$3:$W$5001,"&lt;&gt;"))))</f>
        <v/>
      </c>
      <c r="E147" s="42" t="str">
        <f>IF(OR($B147="",$A147&gt;$B$9),"",IF(COUNTIFS(BD!$B$3:$B$5001,E$138,BD!$A$3:$A$5001,"&gt;="&amp;$C$7,BD!$A$3:$A$5001,"&lt;="&amp;$B147,BD!$W$3:$W$5001,"&lt;&gt;")=0,"",SUMIFS(BD!$W$3:$W$5001,BD!$B$3:$B$5001,E$138,BD!$A$3:$A$5001,_xlfn.MAXIFS(BD!$A$3:$A$5001,BD!$B$3:$B$5001,E$138,BD!$A$3:$A$5001,"&gt;="&amp;$C$7,BD!$A$3:$A$5001,"&lt;="&amp;$B147,BD!$W$3:$W$5001,"&lt;&gt;"))))</f>
        <v/>
      </c>
      <c r="F147" s="42" t="str">
        <f>IF(OR($B147="",$A147&gt;$B$9),"",IF(COUNTIFS(BD!$B$3:$B$5001,F$138,BD!$A$3:$A$5001,"&gt;="&amp;$C$7,BD!$A$3:$A$5001,"&lt;="&amp;$B147,BD!$W$3:$W$5001,"&lt;&gt;")=0,"",SUMIFS(BD!$W$3:$W$5001,BD!$B$3:$B$5001,F$138,BD!$A$3:$A$5001,_xlfn.MAXIFS(BD!$A$3:$A$5001,BD!$B$3:$B$5001,F$138,BD!$A$3:$A$5001,"&gt;="&amp;$C$7,BD!$A$3:$A$5001,"&lt;="&amp;$B147,BD!$W$3:$W$5001,"&lt;&gt;"))))</f>
        <v/>
      </c>
      <c r="G147" s="42" t="str">
        <f>IF(OR($B147="",$A147&gt;$B$9),"",IF(COUNTIFS(BD!$B$3:$B$5001,G$138,BD!$A$3:$A$5001,"&gt;="&amp;$C$7,BD!$A$3:$A$5001,"&lt;="&amp;$B147,BD!$W$3:$W$5001,"&lt;&gt;")=0,"",SUMIFS(BD!$W$3:$W$5001,BD!$B$3:$B$5001,G$138,BD!$A$3:$A$5001,_xlfn.MAXIFS(BD!$A$3:$A$5001,BD!$B$3:$B$5001,G$138,BD!$A$3:$A$5001,"&gt;="&amp;$C$7,BD!$A$3:$A$5001,"&lt;="&amp;$B147,BD!$W$3:$W$5001,"&lt;&gt;"))))</f>
        <v/>
      </c>
      <c r="H147" s="42" t="str">
        <f>IF(OR($B147="",$A147&gt;$B$9),"",IF(COUNTIFS(BD!$B$3:$B$5001,H$138,BD!$A$3:$A$5001,"&gt;="&amp;$C$7,BD!$A$3:$A$5001,"&lt;="&amp;$B147,BD!$W$3:$W$5001,"&lt;&gt;")=0,"",SUMIFS(BD!$W$3:$W$5001,BD!$B$3:$B$5001,H$138,BD!$A$3:$A$5001,_xlfn.MAXIFS(BD!$A$3:$A$5001,BD!$B$3:$B$5001,H$138,BD!$A$3:$A$5001,"&gt;="&amp;$C$7,BD!$A$3:$A$5001,"&lt;="&amp;$B147,BD!$W$3:$W$5001,"&lt;&gt;"))))</f>
        <v/>
      </c>
      <c r="I147" s="42" t="str">
        <f>IF(OR($B147="",$A147&gt;$B$9),"",IF(COUNTIFS(BD!$B$3:$B$5001,I$138,BD!$A$3:$A$5001,"&gt;="&amp;$C$7,BD!$A$3:$A$5001,"&lt;="&amp;$B147,BD!$W$3:$W$5001,"&lt;&gt;")=0,"",SUMIFS(BD!$W$3:$W$5001,BD!$B$3:$B$5001,I$138,BD!$A$3:$A$5001,_xlfn.MAXIFS(BD!$A$3:$A$5001,BD!$B$3:$B$5001,I$138,BD!$A$3:$A$5001,"&gt;="&amp;$C$7,BD!$A$3:$A$5001,"&lt;="&amp;$B147,BD!$W$3:$W$5001,"&lt;&gt;"))))</f>
        <v/>
      </c>
      <c r="J147" s="42" t="str">
        <f>IF(OR($B147="",$A147&gt;$B$9),"",IF(COUNTIFS(BD!$B$3:$B$5001,J$138,BD!$A$3:$A$5001,"&gt;="&amp;$C$7,BD!$A$3:$A$5001,"&lt;="&amp;$B147,BD!$W$3:$W$5001,"&lt;&gt;")=0,"",SUMIFS(BD!$W$3:$W$5001,BD!$B$3:$B$5001,J$138,BD!$A$3:$A$5001,_xlfn.MAXIFS(BD!$A$3:$A$5001,BD!$B$3:$B$5001,J$138,BD!$A$3:$A$5001,"&gt;="&amp;$C$7,BD!$A$3:$A$5001,"&lt;="&amp;$B147,BD!$W$3:$W$5001,"&lt;&gt;"))))</f>
        <v/>
      </c>
      <c r="K147" s="42" t="str">
        <f>IF(OR($B147="",$A147&gt;$B$9),"",IF(COUNTIFS(BD!$B$3:$B$5001,K$138,BD!$A$3:$A$5001,"&gt;="&amp;$C$7,BD!$A$3:$A$5001,"&lt;="&amp;$B147,BD!$W$3:$W$5001,"&lt;&gt;")=0,"",SUMIFS(BD!$W$3:$W$5001,BD!$B$3:$B$5001,K$138,BD!$A$3:$A$5001,_xlfn.MAXIFS(BD!$A$3:$A$5001,BD!$B$3:$B$5001,K$138,BD!$A$3:$A$5001,"&gt;="&amp;$C$7,BD!$A$3:$A$5001,"&lt;="&amp;$B147,BD!$W$3:$W$5001,"&lt;&gt;"))))</f>
        <v/>
      </c>
      <c r="L147" s="42" t="str">
        <f>IF(OR($B147="",$A147&gt;$B$9),"",IF(COUNTIFS(BD!$B$3:$B$5001,L$138,BD!$A$3:$A$5001,"&gt;="&amp;$C$7,BD!$A$3:$A$5001,"&lt;="&amp;$B147,BD!$W$3:$W$5001,"&lt;&gt;")=0,"",SUMIFS(BD!$W$3:$W$5001,BD!$B$3:$B$5001,L$138,BD!$A$3:$A$5001,_xlfn.MAXIFS(BD!$A$3:$A$5001,BD!$B$3:$B$5001,L$138,BD!$A$3:$A$5001,"&gt;="&amp;$C$7,BD!$A$3:$A$5001,"&lt;="&amp;$B147,BD!$W$3:$W$5001,"&lt;&gt;"))))</f>
        <v/>
      </c>
    </row>
    <row r="148">
      <c r="A148" s="40">
        <v>10</v>
      </c>
      <c r="B148" s="41">
        <f>$B$21</f>
        <v>46305</v>
      </c>
      <c r="C148" s="42" t="str">
        <f>IF(OR($B148="",$A148&gt;$B$9),"",IF(COUNTIFS(BD!$B$3:$B$5001,C$138,BD!$A$3:$A$5001,"&gt;="&amp;$C$7,BD!$A$3:$A$5001,"&lt;="&amp;$B148,BD!$W$3:$W$5001,"&lt;&gt;")=0,"",SUMIFS(BD!$W$3:$W$5001,BD!$B$3:$B$5001,C$138,BD!$A$3:$A$5001,_xlfn.MAXIFS(BD!$A$3:$A$5001,BD!$B$3:$B$5001,C$138,BD!$A$3:$A$5001,"&gt;="&amp;$C$7,BD!$A$3:$A$5001,"&lt;="&amp;$B148,BD!$W$3:$W$5001,"&lt;&gt;"))))</f>
        <v/>
      </c>
      <c r="D148" s="42" t="str">
        <f>IF(OR($B148="",$A148&gt;$B$9),"",IF(COUNTIFS(BD!$B$3:$B$5001,D$138,BD!$A$3:$A$5001,"&gt;="&amp;$C$7,BD!$A$3:$A$5001,"&lt;="&amp;$B148,BD!$W$3:$W$5001,"&lt;&gt;")=0,"",SUMIFS(BD!$W$3:$W$5001,BD!$B$3:$B$5001,D$138,BD!$A$3:$A$5001,_xlfn.MAXIFS(BD!$A$3:$A$5001,BD!$B$3:$B$5001,D$138,BD!$A$3:$A$5001,"&gt;="&amp;$C$7,BD!$A$3:$A$5001,"&lt;="&amp;$B148,BD!$W$3:$W$5001,"&lt;&gt;"))))</f>
        <v/>
      </c>
      <c r="E148" s="42" t="str">
        <f>IF(OR($B148="",$A148&gt;$B$9),"",IF(COUNTIFS(BD!$B$3:$B$5001,E$138,BD!$A$3:$A$5001,"&gt;="&amp;$C$7,BD!$A$3:$A$5001,"&lt;="&amp;$B148,BD!$W$3:$W$5001,"&lt;&gt;")=0,"",SUMIFS(BD!$W$3:$W$5001,BD!$B$3:$B$5001,E$138,BD!$A$3:$A$5001,_xlfn.MAXIFS(BD!$A$3:$A$5001,BD!$B$3:$B$5001,E$138,BD!$A$3:$A$5001,"&gt;="&amp;$C$7,BD!$A$3:$A$5001,"&lt;="&amp;$B148,BD!$W$3:$W$5001,"&lt;&gt;"))))</f>
        <v/>
      </c>
      <c r="F148" s="42" t="str">
        <f>IF(OR($B148="",$A148&gt;$B$9),"",IF(COUNTIFS(BD!$B$3:$B$5001,F$138,BD!$A$3:$A$5001,"&gt;="&amp;$C$7,BD!$A$3:$A$5001,"&lt;="&amp;$B148,BD!$W$3:$W$5001,"&lt;&gt;")=0,"",SUMIFS(BD!$W$3:$W$5001,BD!$B$3:$B$5001,F$138,BD!$A$3:$A$5001,_xlfn.MAXIFS(BD!$A$3:$A$5001,BD!$B$3:$B$5001,F$138,BD!$A$3:$A$5001,"&gt;="&amp;$C$7,BD!$A$3:$A$5001,"&lt;="&amp;$B148,BD!$W$3:$W$5001,"&lt;&gt;"))))</f>
        <v/>
      </c>
      <c r="G148" s="42" t="str">
        <f>IF(OR($B148="",$A148&gt;$B$9),"",IF(COUNTIFS(BD!$B$3:$B$5001,G$138,BD!$A$3:$A$5001,"&gt;="&amp;$C$7,BD!$A$3:$A$5001,"&lt;="&amp;$B148,BD!$W$3:$W$5001,"&lt;&gt;")=0,"",SUMIFS(BD!$W$3:$W$5001,BD!$B$3:$B$5001,G$138,BD!$A$3:$A$5001,_xlfn.MAXIFS(BD!$A$3:$A$5001,BD!$B$3:$B$5001,G$138,BD!$A$3:$A$5001,"&gt;="&amp;$C$7,BD!$A$3:$A$5001,"&lt;="&amp;$B148,BD!$W$3:$W$5001,"&lt;&gt;"))))</f>
        <v/>
      </c>
      <c r="H148" s="42" t="str">
        <f>IF(OR($B148="",$A148&gt;$B$9),"",IF(COUNTIFS(BD!$B$3:$B$5001,H$138,BD!$A$3:$A$5001,"&gt;="&amp;$C$7,BD!$A$3:$A$5001,"&lt;="&amp;$B148,BD!$W$3:$W$5001,"&lt;&gt;")=0,"",SUMIFS(BD!$W$3:$W$5001,BD!$B$3:$B$5001,H$138,BD!$A$3:$A$5001,_xlfn.MAXIFS(BD!$A$3:$A$5001,BD!$B$3:$B$5001,H$138,BD!$A$3:$A$5001,"&gt;="&amp;$C$7,BD!$A$3:$A$5001,"&lt;="&amp;$B148,BD!$W$3:$W$5001,"&lt;&gt;"))))</f>
        <v/>
      </c>
      <c r="I148" s="42" t="str">
        <f>IF(OR($B148="",$A148&gt;$B$9),"",IF(COUNTIFS(BD!$B$3:$B$5001,I$138,BD!$A$3:$A$5001,"&gt;="&amp;$C$7,BD!$A$3:$A$5001,"&lt;="&amp;$B148,BD!$W$3:$W$5001,"&lt;&gt;")=0,"",SUMIFS(BD!$W$3:$W$5001,BD!$B$3:$B$5001,I$138,BD!$A$3:$A$5001,_xlfn.MAXIFS(BD!$A$3:$A$5001,BD!$B$3:$B$5001,I$138,BD!$A$3:$A$5001,"&gt;="&amp;$C$7,BD!$A$3:$A$5001,"&lt;="&amp;$B148,BD!$W$3:$W$5001,"&lt;&gt;"))))</f>
        <v/>
      </c>
      <c r="J148" s="42" t="str">
        <f>IF(OR($B148="",$A148&gt;$B$9),"",IF(COUNTIFS(BD!$B$3:$B$5001,J$138,BD!$A$3:$A$5001,"&gt;="&amp;$C$7,BD!$A$3:$A$5001,"&lt;="&amp;$B148,BD!$W$3:$W$5001,"&lt;&gt;")=0,"",SUMIFS(BD!$W$3:$W$5001,BD!$B$3:$B$5001,J$138,BD!$A$3:$A$5001,_xlfn.MAXIFS(BD!$A$3:$A$5001,BD!$B$3:$B$5001,J$138,BD!$A$3:$A$5001,"&gt;="&amp;$C$7,BD!$A$3:$A$5001,"&lt;="&amp;$B148,BD!$W$3:$W$5001,"&lt;&gt;"))))</f>
        <v/>
      </c>
      <c r="K148" s="42" t="str">
        <f>IF(OR($B148="",$A148&gt;$B$9),"",IF(COUNTIFS(BD!$B$3:$B$5001,K$138,BD!$A$3:$A$5001,"&gt;="&amp;$C$7,BD!$A$3:$A$5001,"&lt;="&amp;$B148,BD!$W$3:$W$5001,"&lt;&gt;")=0,"",SUMIFS(BD!$W$3:$W$5001,BD!$B$3:$B$5001,K$138,BD!$A$3:$A$5001,_xlfn.MAXIFS(BD!$A$3:$A$5001,BD!$B$3:$B$5001,K$138,BD!$A$3:$A$5001,"&gt;="&amp;$C$7,BD!$A$3:$A$5001,"&lt;="&amp;$B148,BD!$W$3:$W$5001,"&lt;&gt;"))))</f>
        <v/>
      </c>
      <c r="L148" s="42" t="str">
        <f>IF(OR($B148="",$A148&gt;$B$9),"",IF(COUNTIFS(BD!$B$3:$B$5001,L$138,BD!$A$3:$A$5001,"&gt;="&amp;$C$7,BD!$A$3:$A$5001,"&lt;="&amp;$B148,BD!$W$3:$W$5001,"&lt;&gt;")=0,"",SUMIFS(BD!$W$3:$W$5001,BD!$B$3:$B$5001,L$138,BD!$A$3:$A$5001,_xlfn.MAXIFS(BD!$A$3:$A$5001,BD!$B$3:$B$5001,L$138,BD!$A$3:$A$5001,"&gt;="&amp;$C$7,BD!$A$3:$A$5001,"&lt;="&amp;$B148,BD!$W$3:$W$5001,"&lt;&gt;"))))</f>
        <v/>
      </c>
    </row>
    <row r="149">
      <c r="A149" s="40">
        <v>11</v>
      </c>
      <c r="B149" s="41">
        <f>$B$22</f>
        <v>46306</v>
      </c>
      <c r="C149" s="42" t="str">
        <f>IF(OR($B149="",$A149&gt;$B$9),"",IF(COUNTIFS(BD!$B$3:$B$5001,C$138,BD!$A$3:$A$5001,"&gt;="&amp;$C$7,BD!$A$3:$A$5001,"&lt;="&amp;$B149,BD!$W$3:$W$5001,"&lt;&gt;")=0,"",SUMIFS(BD!$W$3:$W$5001,BD!$B$3:$B$5001,C$138,BD!$A$3:$A$5001,_xlfn.MAXIFS(BD!$A$3:$A$5001,BD!$B$3:$B$5001,C$138,BD!$A$3:$A$5001,"&gt;="&amp;$C$7,BD!$A$3:$A$5001,"&lt;="&amp;$B149,BD!$W$3:$W$5001,"&lt;&gt;"))))</f>
        <v/>
      </c>
      <c r="D149" s="42" t="str">
        <f>IF(OR($B149="",$A149&gt;$B$9),"",IF(COUNTIFS(BD!$B$3:$B$5001,D$138,BD!$A$3:$A$5001,"&gt;="&amp;$C$7,BD!$A$3:$A$5001,"&lt;="&amp;$B149,BD!$W$3:$W$5001,"&lt;&gt;")=0,"",SUMIFS(BD!$W$3:$W$5001,BD!$B$3:$B$5001,D$138,BD!$A$3:$A$5001,_xlfn.MAXIFS(BD!$A$3:$A$5001,BD!$B$3:$B$5001,D$138,BD!$A$3:$A$5001,"&gt;="&amp;$C$7,BD!$A$3:$A$5001,"&lt;="&amp;$B149,BD!$W$3:$W$5001,"&lt;&gt;"))))</f>
        <v/>
      </c>
      <c r="E149" s="42" t="str">
        <f>IF(OR($B149="",$A149&gt;$B$9),"",IF(COUNTIFS(BD!$B$3:$B$5001,E$138,BD!$A$3:$A$5001,"&gt;="&amp;$C$7,BD!$A$3:$A$5001,"&lt;="&amp;$B149,BD!$W$3:$W$5001,"&lt;&gt;")=0,"",SUMIFS(BD!$W$3:$W$5001,BD!$B$3:$B$5001,E$138,BD!$A$3:$A$5001,_xlfn.MAXIFS(BD!$A$3:$A$5001,BD!$B$3:$B$5001,E$138,BD!$A$3:$A$5001,"&gt;="&amp;$C$7,BD!$A$3:$A$5001,"&lt;="&amp;$B149,BD!$W$3:$W$5001,"&lt;&gt;"))))</f>
        <v/>
      </c>
      <c r="F149" s="42" t="str">
        <f>IF(OR($B149="",$A149&gt;$B$9),"",IF(COUNTIFS(BD!$B$3:$B$5001,F$138,BD!$A$3:$A$5001,"&gt;="&amp;$C$7,BD!$A$3:$A$5001,"&lt;="&amp;$B149,BD!$W$3:$W$5001,"&lt;&gt;")=0,"",SUMIFS(BD!$W$3:$W$5001,BD!$B$3:$B$5001,F$138,BD!$A$3:$A$5001,_xlfn.MAXIFS(BD!$A$3:$A$5001,BD!$B$3:$B$5001,F$138,BD!$A$3:$A$5001,"&gt;="&amp;$C$7,BD!$A$3:$A$5001,"&lt;="&amp;$B149,BD!$W$3:$W$5001,"&lt;&gt;"))))</f>
        <v/>
      </c>
      <c r="G149" s="42" t="str">
        <f>IF(OR($B149="",$A149&gt;$B$9),"",IF(COUNTIFS(BD!$B$3:$B$5001,G$138,BD!$A$3:$A$5001,"&gt;="&amp;$C$7,BD!$A$3:$A$5001,"&lt;="&amp;$B149,BD!$W$3:$W$5001,"&lt;&gt;")=0,"",SUMIFS(BD!$W$3:$W$5001,BD!$B$3:$B$5001,G$138,BD!$A$3:$A$5001,_xlfn.MAXIFS(BD!$A$3:$A$5001,BD!$B$3:$B$5001,G$138,BD!$A$3:$A$5001,"&gt;="&amp;$C$7,BD!$A$3:$A$5001,"&lt;="&amp;$B149,BD!$W$3:$W$5001,"&lt;&gt;"))))</f>
        <v/>
      </c>
      <c r="H149" s="42" t="str">
        <f>IF(OR($B149="",$A149&gt;$B$9),"",IF(COUNTIFS(BD!$B$3:$B$5001,H$138,BD!$A$3:$A$5001,"&gt;="&amp;$C$7,BD!$A$3:$A$5001,"&lt;="&amp;$B149,BD!$W$3:$W$5001,"&lt;&gt;")=0,"",SUMIFS(BD!$W$3:$W$5001,BD!$B$3:$B$5001,H$138,BD!$A$3:$A$5001,_xlfn.MAXIFS(BD!$A$3:$A$5001,BD!$B$3:$B$5001,H$138,BD!$A$3:$A$5001,"&gt;="&amp;$C$7,BD!$A$3:$A$5001,"&lt;="&amp;$B149,BD!$W$3:$W$5001,"&lt;&gt;"))))</f>
        <v/>
      </c>
      <c r="I149" s="42" t="str">
        <f>IF(OR($B149="",$A149&gt;$B$9),"",IF(COUNTIFS(BD!$B$3:$B$5001,I$138,BD!$A$3:$A$5001,"&gt;="&amp;$C$7,BD!$A$3:$A$5001,"&lt;="&amp;$B149,BD!$W$3:$W$5001,"&lt;&gt;")=0,"",SUMIFS(BD!$W$3:$W$5001,BD!$B$3:$B$5001,I$138,BD!$A$3:$A$5001,_xlfn.MAXIFS(BD!$A$3:$A$5001,BD!$B$3:$B$5001,I$138,BD!$A$3:$A$5001,"&gt;="&amp;$C$7,BD!$A$3:$A$5001,"&lt;="&amp;$B149,BD!$W$3:$W$5001,"&lt;&gt;"))))</f>
        <v/>
      </c>
      <c r="J149" s="42" t="str">
        <f>IF(OR($B149="",$A149&gt;$B$9),"",IF(COUNTIFS(BD!$B$3:$B$5001,J$138,BD!$A$3:$A$5001,"&gt;="&amp;$C$7,BD!$A$3:$A$5001,"&lt;="&amp;$B149,BD!$W$3:$W$5001,"&lt;&gt;")=0,"",SUMIFS(BD!$W$3:$W$5001,BD!$B$3:$B$5001,J$138,BD!$A$3:$A$5001,_xlfn.MAXIFS(BD!$A$3:$A$5001,BD!$B$3:$B$5001,J$138,BD!$A$3:$A$5001,"&gt;="&amp;$C$7,BD!$A$3:$A$5001,"&lt;="&amp;$B149,BD!$W$3:$W$5001,"&lt;&gt;"))))</f>
        <v/>
      </c>
      <c r="K149" s="42" t="str">
        <f>IF(OR($B149="",$A149&gt;$B$9),"",IF(COUNTIFS(BD!$B$3:$B$5001,K$138,BD!$A$3:$A$5001,"&gt;="&amp;$C$7,BD!$A$3:$A$5001,"&lt;="&amp;$B149,BD!$W$3:$W$5001,"&lt;&gt;")=0,"",SUMIFS(BD!$W$3:$W$5001,BD!$B$3:$B$5001,K$138,BD!$A$3:$A$5001,_xlfn.MAXIFS(BD!$A$3:$A$5001,BD!$B$3:$B$5001,K$138,BD!$A$3:$A$5001,"&gt;="&amp;$C$7,BD!$A$3:$A$5001,"&lt;="&amp;$B149,BD!$W$3:$W$5001,"&lt;&gt;"))))</f>
        <v/>
      </c>
      <c r="L149" s="42" t="str">
        <f>IF(OR($B149="",$A149&gt;$B$9),"",IF(COUNTIFS(BD!$B$3:$B$5001,L$138,BD!$A$3:$A$5001,"&gt;="&amp;$C$7,BD!$A$3:$A$5001,"&lt;="&amp;$B149,BD!$W$3:$W$5001,"&lt;&gt;")=0,"",SUMIFS(BD!$W$3:$W$5001,BD!$B$3:$B$5001,L$138,BD!$A$3:$A$5001,_xlfn.MAXIFS(BD!$A$3:$A$5001,BD!$B$3:$B$5001,L$138,BD!$A$3:$A$5001,"&gt;="&amp;$C$7,BD!$A$3:$A$5001,"&lt;="&amp;$B149,BD!$W$3:$W$5001,"&lt;&gt;"))))</f>
        <v/>
      </c>
    </row>
    <row r="150">
      <c r="A150" s="40">
        <v>12</v>
      </c>
      <c r="B150" s="41">
        <f>$B$23</f>
        <v>46307</v>
      </c>
      <c r="C150" s="42" t="str">
        <f>IF(OR($B150="",$A150&gt;$B$9),"",IF(COUNTIFS(BD!$B$3:$B$5001,C$138,BD!$A$3:$A$5001,"&gt;="&amp;$C$7,BD!$A$3:$A$5001,"&lt;="&amp;$B150,BD!$W$3:$W$5001,"&lt;&gt;")=0,"",SUMIFS(BD!$W$3:$W$5001,BD!$B$3:$B$5001,C$138,BD!$A$3:$A$5001,_xlfn.MAXIFS(BD!$A$3:$A$5001,BD!$B$3:$B$5001,C$138,BD!$A$3:$A$5001,"&gt;="&amp;$C$7,BD!$A$3:$A$5001,"&lt;="&amp;$B150,BD!$W$3:$W$5001,"&lt;&gt;"))))</f>
        <v/>
      </c>
      <c r="D150" s="42" t="str">
        <f>IF(OR($B150="",$A150&gt;$B$9),"",IF(COUNTIFS(BD!$B$3:$B$5001,D$138,BD!$A$3:$A$5001,"&gt;="&amp;$C$7,BD!$A$3:$A$5001,"&lt;="&amp;$B150,BD!$W$3:$W$5001,"&lt;&gt;")=0,"",SUMIFS(BD!$W$3:$W$5001,BD!$B$3:$B$5001,D$138,BD!$A$3:$A$5001,_xlfn.MAXIFS(BD!$A$3:$A$5001,BD!$B$3:$B$5001,D$138,BD!$A$3:$A$5001,"&gt;="&amp;$C$7,BD!$A$3:$A$5001,"&lt;="&amp;$B150,BD!$W$3:$W$5001,"&lt;&gt;"))))</f>
        <v/>
      </c>
      <c r="E150" s="42" t="str">
        <f>IF(OR($B150="",$A150&gt;$B$9),"",IF(COUNTIFS(BD!$B$3:$B$5001,E$138,BD!$A$3:$A$5001,"&gt;="&amp;$C$7,BD!$A$3:$A$5001,"&lt;="&amp;$B150,BD!$W$3:$W$5001,"&lt;&gt;")=0,"",SUMIFS(BD!$W$3:$W$5001,BD!$B$3:$B$5001,E$138,BD!$A$3:$A$5001,_xlfn.MAXIFS(BD!$A$3:$A$5001,BD!$B$3:$B$5001,E$138,BD!$A$3:$A$5001,"&gt;="&amp;$C$7,BD!$A$3:$A$5001,"&lt;="&amp;$B150,BD!$W$3:$W$5001,"&lt;&gt;"))))</f>
        <v/>
      </c>
      <c r="F150" s="42" t="str">
        <f>IF(OR($B150="",$A150&gt;$B$9),"",IF(COUNTIFS(BD!$B$3:$B$5001,F$138,BD!$A$3:$A$5001,"&gt;="&amp;$C$7,BD!$A$3:$A$5001,"&lt;="&amp;$B150,BD!$W$3:$W$5001,"&lt;&gt;")=0,"",SUMIFS(BD!$W$3:$W$5001,BD!$B$3:$B$5001,F$138,BD!$A$3:$A$5001,_xlfn.MAXIFS(BD!$A$3:$A$5001,BD!$B$3:$B$5001,F$138,BD!$A$3:$A$5001,"&gt;="&amp;$C$7,BD!$A$3:$A$5001,"&lt;="&amp;$B150,BD!$W$3:$W$5001,"&lt;&gt;"))))</f>
        <v/>
      </c>
      <c r="G150" s="42" t="str">
        <f>IF(OR($B150="",$A150&gt;$B$9),"",IF(COUNTIFS(BD!$B$3:$B$5001,G$138,BD!$A$3:$A$5001,"&gt;="&amp;$C$7,BD!$A$3:$A$5001,"&lt;="&amp;$B150,BD!$W$3:$W$5001,"&lt;&gt;")=0,"",SUMIFS(BD!$W$3:$W$5001,BD!$B$3:$B$5001,G$138,BD!$A$3:$A$5001,_xlfn.MAXIFS(BD!$A$3:$A$5001,BD!$B$3:$B$5001,G$138,BD!$A$3:$A$5001,"&gt;="&amp;$C$7,BD!$A$3:$A$5001,"&lt;="&amp;$B150,BD!$W$3:$W$5001,"&lt;&gt;"))))</f>
        <v/>
      </c>
      <c r="H150" s="42" t="str">
        <f>IF(OR($B150="",$A150&gt;$B$9),"",IF(COUNTIFS(BD!$B$3:$B$5001,H$138,BD!$A$3:$A$5001,"&gt;="&amp;$C$7,BD!$A$3:$A$5001,"&lt;="&amp;$B150,BD!$W$3:$W$5001,"&lt;&gt;")=0,"",SUMIFS(BD!$W$3:$W$5001,BD!$B$3:$B$5001,H$138,BD!$A$3:$A$5001,_xlfn.MAXIFS(BD!$A$3:$A$5001,BD!$B$3:$B$5001,H$138,BD!$A$3:$A$5001,"&gt;="&amp;$C$7,BD!$A$3:$A$5001,"&lt;="&amp;$B150,BD!$W$3:$W$5001,"&lt;&gt;"))))</f>
        <v/>
      </c>
      <c r="I150" s="42" t="str">
        <f>IF(OR($B150="",$A150&gt;$B$9),"",IF(COUNTIFS(BD!$B$3:$B$5001,I$138,BD!$A$3:$A$5001,"&gt;="&amp;$C$7,BD!$A$3:$A$5001,"&lt;="&amp;$B150,BD!$W$3:$W$5001,"&lt;&gt;")=0,"",SUMIFS(BD!$W$3:$W$5001,BD!$B$3:$B$5001,I$138,BD!$A$3:$A$5001,_xlfn.MAXIFS(BD!$A$3:$A$5001,BD!$B$3:$B$5001,I$138,BD!$A$3:$A$5001,"&gt;="&amp;$C$7,BD!$A$3:$A$5001,"&lt;="&amp;$B150,BD!$W$3:$W$5001,"&lt;&gt;"))))</f>
        <v/>
      </c>
      <c r="J150" s="42" t="str">
        <f>IF(OR($B150="",$A150&gt;$B$9),"",IF(COUNTIFS(BD!$B$3:$B$5001,J$138,BD!$A$3:$A$5001,"&gt;="&amp;$C$7,BD!$A$3:$A$5001,"&lt;="&amp;$B150,BD!$W$3:$W$5001,"&lt;&gt;")=0,"",SUMIFS(BD!$W$3:$W$5001,BD!$B$3:$B$5001,J$138,BD!$A$3:$A$5001,_xlfn.MAXIFS(BD!$A$3:$A$5001,BD!$B$3:$B$5001,J$138,BD!$A$3:$A$5001,"&gt;="&amp;$C$7,BD!$A$3:$A$5001,"&lt;="&amp;$B150,BD!$W$3:$W$5001,"&lt;&gt;"))))</f>
        <v/>
      </c>
      <c r="K150" s="42" t="str">
        <f>IF(OR($B150="",$A150&gt;$B$9),"",IF(COUNTIFS(BD!$B$3:$B$5001,K$138,BD!$A$3:$A$5001,"&gt;="&amp;$C$7,BD!$A$3:$A$5001,"&lt;="&amp;$B150,BD!$W$3:$W$5001,"&lt;&gt;")=0,"",SUMIFS(BD!$W$3:$W$5001,BD!$B$3:$B$5001,K$138,BD!$A$3:$A$5001,_xlfn.MAXIFS(BD!$A$3:$A$5001,BD!$B$3:$B$5001,K$138,BD!$A$3:$A$5001,"&gt;="&amp;$C$7,BD!$A$3:$A$5001,"&lt;="&amp;$B150,BD!$W$3:$W$5001,"&lt;&gt;"))))</f>
        <v/>
      </c>
      <c r="L150" s="42" t="str">
        <f>IF(OR($B150="",$A150&gt;$B$9),"",IF(COUNTIFS(BD!$B$3:$B$5001,L$138,BD!$A$3:$A$5001,"&gt;="&amp;$C$7,BD!$A$3:$A$5001,"&lt;="&amp;$B150,BD!$W$3:$W$5001,"&lt;&gt;")=0,"",SUMIFS(BD!$W$3:$W$5001,BD!$B$3:$B$5001,L$138,BD!$A$3:$A$5001,_xlfn.MAXIFS(BD!$A$3:$A$5001,BD!$B$3:$B$5001,L$138,BD!$A$3:$A$5001,"&gt;="&amp;$C$7,BD!$A$3:$A$5001,"&lt;="&amp;$B150,BD!$W$3:$W$5001,"&lt;&gt;"))))</f>
        <v/>
      </c>
    </row>
    <row r="151">
      <c r="A151" s="40">
        <v>13</v>
      </c>
      <c r="B151" s="41">
        <f>$B$24</f>
        <v>46308</v>
      </c>
      <c r="C151" s="42" t="str">
        <f>IF(OR($B151="",$A151&gt;$B$9),"",IF(COUNTIFS(BD!$B$3:$B$5001,C$138,BD!$A$3:$A$5001,"&gt;="&amp;$C$7,BD!$A$3:$A$5001,"&lt;="&amp;$B151,BD!$W$3:$W$5001,"&lt;&gt;")=0,"",SUMIFS(BD!$W$3:$W$5001,BD!$B$3:$B$5001,C$138,BD!$A$3:$A$5001,_xlfn.MAXIFS(BD!$A$3:$A$5001,BD!$B$3:$B$5001,C$138,BD!$A$3:$A$5001,"&gt;="&amp;$C$7,BD!$A$3:$A$5001,"&lt;="&amp;$B151,BD!$W$3:$W$5001,"&lt;&gt;"))))</f>
        <v/>
      </c>
      <c r="D151" s="42" t="str">
        <f>IF(OR($B151="",$A151&gt;$B$9),"",IF(COUNTIFS(BD!$B$3:$B$5001,D$138,BD!$A$3:$A$5001,"&gt;="&amp;$C$7,BD!$A$3:$A$5001,"&lt;="&amp;$B151,BD!$W$3:$W$5001,"&lt;&gt;")=0,"",SUMIFS(BD!$W$3:$W$5001,BD!$B$3:$B$5001,D$138,BD!$A$3:$A$5001,_xlfn.MAXIFS(BD!$A$3:$A$5001,BD!$B$3:$B$5001,D$138,BD!$A$3:$A$5001,"&gt;="&amp;$C$7,BD!$A$3:$A$5001,"&lt;="&amp;$B151,BD!$W$3:$W$5001,"&lt;&gt;"))))</f>
        <v/>
      </c>
      <c r="E151" s="42" t="str">
        <f>IF(OR($B151="",$A151&gt;$B$9),"",IF(COUNTIFS(BD!$B$3:$B$5001,E$138,BD!$A$3:$A$5001,"&gt;="&amp;$C$7,BD!$A$3:$A$5001,"&lt;="&amp;$B151,BD!$W$3:$W$5001,"&lt;&gt;")=0,"",SUMIFS(BD!$W$3:$W$5001,BD!$B$3:$B$5001,E$138,BD!$A$3:$A$5001,_xlfn.MAXIFS(BD!$A$3:$A$5001,BD!$B$3:$B$5001,E$138,BD!$A$3:$A$5001,"&gt;="&amp;$C$7,BD!$A$3:$A$5001,"&lt;="&amp;$B151,BD!$W$3:$W$5001,"&lt;&gt;"))))</f>
        <v/>
      </c>
      <c r="F151" s="42" t="str">
        <f>IF(OR($B151="",$A151&gt;$B$9),"",IF(COUNTIFS(BD!$B$3:$B$5001,F$138,BD!$A$3:$A$5001,"&gt;="&amp;$C$7,BD!$A$3:$A$5001,"&lt;="&amp;$B151,BD!$W$3:$W$5001,"&lt;&gt;")=0,"",SUMIFS(BD!$W$3:$W$5001,BD!$B$3:$B$5001,F$138,BD!$A$3:$A$5001,_xlfn.MAXIFS(BD!$A$3:$A$5001,BD!$B$3:$B$5001,F$138,BD!$A$3:$A$5001,"&gt;="&amp;$C$7,BD!$A$3:$A$5001,"&lt;="&amp;$B151,BD!$W$3:$W$5001,"&lt;&gt;"))))</f>
        <v/>
      </c>
      <c r="G151" s="42" t="str">
        <f>IF(OR($B151="",$A151&gt;$B$9),"",IF(COUNTIFS(BD!$B$3:$B$5001,G$138,BD!$A$3:$A$5001,"&gt;="&amp;$C$7,BD!$A$3:$A$5001,"&lt;="&amp;$B151,BD!$W$3:$W$5001,"&lt;&gt;")=0,"",SUMIFS(BD!$W$3:$W$5001,BD!$B$3:$B$5001,G$138,BD!$A$3:$A$5001,_xlfn.MAXIFS(BD!$A$3:$A$5001,BD!$B$3:$B$5001,G$138,BD!$A$3:$A$5001,"&gt;="&amp;$C$7,BD!$A$3:$A$5001,"&lt;="&amp;$B151,BD!$W$3:$W$5001,"&lt;&gt;"))))</f>
        <v/>
      </c>
      <c r="H151" s="42" t="str">
        <f>IF(OR($B151="",$A151&gt;$B$9),"",IF(COUNTIFS(BD!$B$3:$B$5001,H$138,BD!$A$3:$A$5001,"&gt;="&amp;$C$7,BD!$A$3:$A$5001,"&lt;="&amp;$B151,BD!$W$3:$W$5001,"&lt;&gt;")=0,"",SUMIFS(BD!$W$3:$W$5001,BD!$B$3:$B$5001,H$138,BD!$A$3:$A$5001,_xlfn.MAXIFS(BD!$A$3:$A$5001,BD!$B$3:$B$5001,H$138,BD!$A$3:$A$5001,"&gt;="&amp;$C$7,BD!$A$3:$A$5001,"&lt;="&amp;$B151,BD!$W$3:$W$5001,"&lt;&gt;"))))</f>
        <v/>
      </c>
      <c r="I151" s="42" t="str">
        <f>IF(OR($B151="",$A151&gt;$B$9),"",IF(COUNTIFS(BD!$B$3:$B$5001,I$138,BD!$A$3:$A$5001,"&gt;="&amp;$C$7,BD!$A$3:$A$5001,"&lt;="&amp;$B151,BD!$W$3:$W$5001,"&lt;&gt;")=0,"",SUMIFS(BD!$W$3:$W$5001,BD!$B$3:$B$5001,I$138,BD!$A$3:$A$5001,_xlfn.MAXIFS(BD!$A$3:$A$5001,BD!$B$3:$B$5001,I$138,BD!$A$3:$A$5001,"&gt;="&amp;$C$7,BD!$A$3:$A$5001,"&lt;="&amp;$B151,BD!$W$3:$W$5001,"&lt;&gt;"))))</f>
        <v/>
      </c>
      <c r="J151" s="42" t="str">
        <f>IF(OR($B151="",$A151&gt;$B$9),"",IF(COUNTIFS(BD!$B$3:$B$5001,J$138,BD!$A$3:$A$5001,"&gt;="&amp;$C$7,BD!$A$3:$A$5001,"&lt;="&amp;$B151,BD!$W$3:$W$5001,"&lt;&gt;")=0,"",SUMIFS(BD!$W$3:$W$5001,BD!$B$3:$B$5001,J$138,BD!$A$3:$A$5001,_xlfn.MAXIFS(BD!$A$3:$A$5001,BD!$B$3:$B$5001,J$138,BD!$A$3:$A$5001,"&gt;="&amp;$C$7,BD!$A$3:$A$5001,"&lt;="&amp;$B151,BD!$W$3:$W$5001,"&lt;&gt;"))))</f>
        <v/>
      </c>
      <c r="K151" s="42" t="str">
        <f>IF(OR($B151="",$A151&gt;$B$9),"",IF(COUNTIFS(BD!$B$3:$B$5001,K$138,BD!$A$3:$A$5001,"&gt;="&amp;$C$7,BD!$A$3:$A$5001,"&lt;="&amp;$B151,BD!$W$3:$W$5001,"&lt;&gt;")=0,"",SUMIFS(BD!$W$3:$W$5001,BD!$B$3:$B$5001,K$138,BD!$A$3:$A$5001,_xlfn.MAXIFS(BD!$A$3:$A$5001,BD!$B$3:$B$5001,K$138,BD!$A$3:$A$5001,"&gt;="&amp;$C$7,BD!$A$3:$A$5001,"&lt;="&amp;$B151,BD!$W$3:$W$5001,"&lt;&gt;"))))</f>
        <v/>
      </c>
      <c r="L151" s="42" t="str">
        <f>IF(OR($B151="",$A151&gt;$B$9),"",IF(COUNTIFS(BD!$B$3:$B$5001,L$138,BD!$A$3:$A$5001,"&gt;="&amp;$C$7,BD!$A$3:$A$5001,"&lt;="&amp;$B151,BD!$W$3:$W$5001,"&lt;&gt;")=0,"",SUMIFS(BD!$W$3:$W$5001,BD!$B$3:$B$5001,L$138,BD!$A$3:$A$5001,_xlfn.MAXIFS(BD!$A$3:$A$5001,BD!$B$3:$B$5001,L$138,BD!$A$3:$A$5001,"&gt;="&amp;$C$7,BD!$A$3:$A$5001,"&lt;="&amp;$B151,BD!$W$3:$W$5001,"&lt;&gt;"))))</f>
        <v/>
      </c>
    </row>
    <row r="152">
      <c r="A152" s="40">
        <v>14</v>
      </c>
      <c r="B152" s="41">
        <f>$B$25</f>
        <v>46309</v>
      </c>
      <c r="C152" s="42" t="str">
        <f>IF(OR($B152="",$A152&gt;$B$9),"",IF(COUNTIFS(BD!$B$3:$B$5001,C$138,BD!$A$3:$A$5001,"&gt;="&amp;$C$7,BD!$A$3:$A$5001,"&lt;="&amp;$B152,BD!$W$3:$W$5001,"&lt;&gt;")=0,"",SUMIFS(BD!$W$3:$W$5001,BD!$B$3:$B$5001,C$138,BD!$A$3:$A$5001,_xlfn.MAXIFS(BD!$A$3:$A$5001,BD!$B$3:$B$5001,C$138,BD!$A$3:$A$5001,"&gt;="&amp;$C$7,BD!$A$3:$A$5001,"&lt;="&amp;$B152,BD!$W$3:$W$5001,"&lt;&gt;"))))</f>
        <v/>
      </c>
      <c r="D152" s="42" t="str">
        <f>IF(OR($B152="",$A152&gt;$B$9),"",IF(COUNTIFS(BD!$B$3:$B$5001,D$138,BD!$A$3:$A$5001,"&gt;="&amp;$C$7,BD!$A$3:$A$5001,"&lt;="&amp;$B152,BD!$W$3:$W$5001,"&lt;&gt;")=0,"",SUMIFS(BD!$W$3:$W$5001,BD!$B$3:$B$5001,D$138,BD!$A$3:$A$5001,_xlfn.MAXIFS(BD!$A$3:$A$5001,BD!$B$3:$B$5001,D$138,BD!$A$3:$A$5001,"&gt;="&amp;$C$7,BD!$A$3:$A$5001,"&lt;="&amp;$B152,BD!$W$3:$W$5001,"&lt;&gt;"))))</f>
        <v/>
      </c>
      <c r="E152" s="42" t="str">
        <f>IF(OR($B152="",$A152&gt;$B$9),"",IF(COUNTIFS(BD!$B$3:$B$5001,E$138,BD!$A$3:$A$5001,"&gt;="&amp;$C$7,BD!$A$3:$A$5001,"&lt;="&amp;$B152,BD!$W$3:$W$5001,"&lt;&gt;")=0,"",SUMIFS(BD!$W$3:$W$5001,BD!$B$3:$B$5001,E$138,BD!$A$3:$A$5001,_xlfn.MAXIFS(BD!$A$3:$A$5001,BD!$B$3:$B$5001,E$138,BD!$A$3:$A$5001,"&gt;="&amp;$C$7,BD!$A$3:$A$5001,"&lt;="&amp;$B152,BD!$W$3:$W$5001,"&lt;&gt;"))))</f>
        <v/>
      </c>
      <c r="F152" s="42" t="str">
        <f>IF(OR($B152="",$A152&gt;$B$9),"",IF(COUNTIFS(BD!$B$3:$B$5001,F$138,BD!$A$3:$A$5001,"&gt;="&amp;$C$7,BD!$A$3:$A$5001,"&lt;="&amp;$B152,BD!$W$3:$W$5001,"&lt;&gt;")=0,"",SUMIFS(BD!$W$3:$W$5001,BD!$B$3:$B$5001,F$138,BD!$A$3:$A$5001,_xlfn.MAXIFS(BD!$A$3:$A$5001,BD!$B$3:$B$5001,F$138,BD!$A$3:$A$5001,"&gt;="&amp;$C$7,BD!$A$3:$A$5001,"&lt;="&amp;$B152,BD!$W$3:$W$5001,"&lt;&gt;"))))</f>
        <v/>
      </c>
      <c r="G152" s="42" t="str">
        <f>IF(OR($B152="",$A152&gt;$B$9),"",IF(COUNTIFS(BD!$B$3:$B$5001,G$138,BD!$A$3:$A$5001,"&gt;="&amp;$C$7,BD!$A$3:$A$5001,"&lt;="&amp;$B152,BD!$W$3:$W$5001,"&lt;&gt;")=0,"",SUMIFS(BD!$W$3:$W$5001,BD!$B$3:$B$5001,G$138,BD!$A$3:$A$5001,_xlfn.MAXIFS(BD!$A$3:$A$5001,BD!$B$3:$B$5001,G$138,BD!$A$3:$A$5001,"&gt;="&amp;$C$7,BD!$A$3:$A$5001,"&lt;="&amp;$B152,BD!$W$3:$W$5001,"&lt;&gt;"))))</f>
        <v/>
      </c>
      <c r="H152" s="42" t="str">
        <f>IF(OR($B152="",$A152&gt;$B$9),"",IF(COUNTIFS(BD!$B$3:$B$5001,H$138,BD!$A$3:$A$5001,"&gt;="&amp;$C$7,BD!$A$3:$A$5001,"&lt;="&amp;$B152,BD!$W$3:$W$5001,"&lt;&gt;")=0,"",SUMIFS(BD!$W$3:$W$5001,BD!$B$3:$B$5001,H$138,BD!$A$3:$A$5001,_xlfn.MAXIFS(BD!$A$3:$A$5001,BD!$B$3:$B$5001,H$138,BD!$A$3:$A$5001,"&gt;="&amp;$C$7,BD!$A$3:$A$5001,"&lt;="&amp;$B152,BD!$W$3:$W$5001,"&lt;&gt;"))))</f>
        <v/>
      </c>
      <c r="I152" s="42" t="str">
        <f>IF(OR($B152="",$A152&gt;$B$9),"",IF(COUNTIFS(BD!$B$3:$B$5001,I$138,BD!$A$3:$A$5001,"&gt;="&amp;$C$7,BD!$A$3:$A$5001,"&lt;="&amp;$B152,BD!$W$3:$W$5001,"&lt;&gt;")=0,"",SUMIFS(BD!$W$3:$W$5001,BD!$B$3:$B$5001,I$138,BD!$A$3:$A$5001,_xlfn.MAXIFS(BD!$A$3:$A$5001,BD!$B$3:$B$5001,I$138,BD!$A$3:$A$5001,"&gt;="&amp;$C$7,BD!$A$3:$A$5001,"&lt;="&amp;$B152,BD!$W$3:$W$5001,"&lt;&gt;"))))</f>
        <v/>
      </c>
      <c r="J152" s="42" t="str">
        <f>IF(OR($B152="",$A152&gt;$B$9),"",IF(COUNTIFS(BD!$B$3:$B$5001,J$138,BD!$A$3:$A$5001,"&gt;="&amp;$C$7,BD!$A$3:$A$5001,"&lt;="&amp;$B152,BD!$W$3:$W$5001,"&lt;&gt;")=0,"",SUMIFS(BD!$W$3:$W$5001,BD!$B$3:$B$5001,J$138,BD!$A$3:$A$5001,_xlfn.MAXIFS(BD!$A$3:$A$5001,BD!$B$3:$B$5001,J$138,BD!$A$3:$A$5001,"&gt;="&amp;$C$7,BD!$A$3:$A$5001,"&lt;="&amp;$B152,BD!$W$3:$W$5001,"&lt;&gt;"))))</f>
        <v/>
      </c>
      <c r="K152" s="42" t="str">
        <f>IF(OR($B152="",$A152&gt;$B$9),"",IF(COUNTIFS(BD!$B$3:$B$5001,K$138,BD!$A$3:$A$5001,"&gt;="&amp;$C$7,BD!$A$3:$A$5001,"&lt;="&amp;$B152,BD!$W$3:$W$5001,"&lt;&gt;")=0,"",SUMIFS(BD!$W$3:$W$5001,BD!$B$3:$B$5001,K$138,BD!$A$3:$A$5001,_xlfn.MAXIFS(BD!$A$3:$A$5001,BD!$B$3:$B$5001,K$138,BD!$A$3:$A$5001,"&gt;="&amp;$C$7,BD!$A$3:$A$5001,"&lt;="&amp;$B152,BD!$W$3:$W$5001,"&lt;&gt;"))))</f>
        <v/>
      </c>
      <c r="L152" s="42" t="str">
        <f>IF(OR($B152="",$A152&gt;$B$9),"",IF(COUNTIFS(BD!$B$3:$B$5001,L$138,BD!$A$3:$A$5001,"&gt;="&amp;$C$7,BD!$A$3:$A$5001,"&lt;="&amp;$B152,BD!$W$3:$W$5001,"&lt;&gt;")=0,"",SUMIFS(BD!$W$3:$W$5001,BD!$B$3:$B$5001,L$138,BD!$A$3:$A$5001,_xlfn.MAXIFS(BD!$A$3:$A$5001,BD!$B$3:$B$5001,L$138,BD!$A$3:$A$5001,"&gt;="&amp;$C$7,BD!$A$3:$A$5001,"&lt;="&amp;$B152,BD!$W$3:$W$5001,"&lt;&gt;"))))</f>
        <v/>
      </c>
    </row>
    <row r="153">
      <c r="A153" s="40">
        <v>15</v>
      </c>
      <c r="B153" s="41">
        <f>$B$26</f>
        <v>46310</v>
      </c>
      <c r="C153" s="42" t="str">
        <f>IF(OR($B153="",$A153&gt;$B$9),"",IF(COUNTIFS(BD!$B$3:$B$5001,C$138,BD!$A$3:$A$5001,"&gt;="&amp;$C$7,BD!$A$3:$A$5001,"&lt;="&amp;$B153,BD!$W$3:$W$5001,"&lt;&gt;")=0,"",SUMIFS(BD!$W$3:$W$5001,BD!$B$3:$B$5001,C$138,BD!$A$3:$A$5001,_xlfn.MAXIFS(BD!$A$3:$A$5001,BD!$B$3:$B$5001,C$138,BD!$A$3:$A$5001,"&gt;="&amp;$C$7,BD!$A$3:$A$5001,"&lt;="&amp;$B153,BD!$W$3:$W$5001,"&lt;&gt;"))))</f>
        <v/>
      </c>
      <c r="D153" s="42" t="str">
        <f>IF(OR($B153="",$A153&gt;$B$9),"",IF(COUNTIFS(BD!$B$3:$B$5001,D$138,BD!$A$3:$A$5001,"&gt;="&amp;$C$7,BD!$A$3:$A$5001,"&lt;="&amp;$B153,BD!$W$3:$W$5001,"&lt;&gt;")=0,"",SUMIFS(BD!$W$3:$W$5001,BD!$B$3:$B$5001,D$138,BD!$A$3:$A$5001,_xlfn.MAXIFS(BD!$A$3:$A$5001,BD!$B$3:$B$5001,D$138,BD!$A$3:$A$5001,"&gt;="&amp;$C$7,BD!$A$3:$A$5001,"&lt;="&amp;$B153,BD!$W$3:$W$5001,"&lt;&gt;"))))</f>
        <v/>
      </c>
      <c r="E153" s="42" t="str">
        <f>IF(OR($B153="",$A153&gt;$B$9),"",IF(COUNTIFS(BD!$B$3:$B$5001,E$138,BD!$A$3:$A$5001,"&gt;="&amp;$C$7,BD!$A$3:$A$5001,"&lt;="&amp;$B153,BD!$W$3:$W$5001,"&lt;&gt;")=0,"",SUMIFS(BD!$W$3:$W$5001,BD!$B$3:$B$5001,E$138,BD!$A$3:$A$5001,_xlfn.MAXIFS(BD!$A$3:$A$5001,BD!$B$3:$B$5001,E$138,BD!$A$3:$A$5001,"&gt;="&amp;$C$7,BD!$A$3:$A$5001,"&lt;="&amp;$B153,BD!$W$3:$W$5001,"&lt;&gt;"))))</f>
        <v/>
      </c>
      <c r="F153" s="42" t="str">
        <f>IF(OR($B153="",$A153&gt;$B$9),"",IF(COUNTIFS(BD!$B$3:$B$5001,F$138,BD!$A$3:$A$5001,"&gt;="&amp;$C$7,BD!$A$3:$A$5001,"&lt;="&amp;$B153,BD!$W$3:$W$5001,"&lt;&gt;")=0,"",SUMIFS(BD!$W$3:$W$5001,BD!$B$3:$B$5001,F$138,BD!$A$3:$A$5001,_xlfn.MAXIFS(BD!$A$3:$A$5001,BD!$B$3:$B$5001,F$138,BD!$A$3:$A$5001,"&gt;="&amp;$C$7,BD!$A$3:$A$5001,"&lt;="&amp;$B153,BD!$W$3:$W$5001,"&lt;&gt;"))))</f>
        <v/>
      </c>
      <c r="G153" s="42" t="str">
        <f>IF(OR($B153="",$A153&gt;$B$9),"",IF(COUNTIFS(BD!$B$3:$B$5001,G$138,BD!$A$3:$A$5001,"&gt;="&amp;$C$7,BD!$A$3:$A$5001,"&lt;="&amp;$B153,BD!$W$3:$W$5001,"&lt;&gt;")=0,"",SUMIFS(BD!$W$3:$W$5001,BD!$B$3:$B$5001,G$138,BD!$A$3:$A$5001,_xlfn.MAXIFS(BD!$A$3:$A$5001,BD!$B$3:$B$5001,G$138,BD!$A$3:$A$5001,"&gt;="&amp;$C$7,BD!$A$3:$A$5001,"&lt;="&amp;$B153,BD!$W$3:$W$5001,"&lt;&gt;"))))</f>
        <v/>
      </c>
      <c r="H153" s="42" t="str">
        <f>IF(OR($B153="",$A153&gt;$B$9),"",IF(COUNTIFS(BD!$B$3:$B$5001,H$138,BD!$A$3:$A$5001,"&gt;="&amp;$C$7,BD!$A$3:$A$5001,"&lt;="&amp;$B153,BD!$W$3:$W$5001,"&lt;&gt;")=0,"",SUMIFS(BD!$W$3:$W$5001,BD!$B$3:$B$5001,H$138,BD!$A$3:$A$5001,_xlfn.MAXIFS(BD!$A$3:$A$5001,BD!$B$3:$B$5001,H$138,BD!$A$3:$A$5001,"&gt;="&amp;$C$7,BD!$A$3:$A$5001,"&lt;="&amp;$B153,BD!$W$3:$W$5001,"&lt;&gt;"))))</f>
        <v/>
      </c>
      <c r="I153" s="42" t="str">
        <f>IF(OR($B153="",$A153&gt;$B$9),"",IF(COUNTIFS(BD!$B$3:$B$5001,I$138,BD!$A$3:$A$5001,"&gt;="&amp;$C$7,BD!$A$3:$A$5001,"&lt;="&amp;$B153,BD!$W$3:$W$5001,"&lt;&gt;")=0,"",SUMIFS(BD!$W$3:$W$5001,BD!$B$3:$B$5001,I$138,BD!$A$3:$A$5001,_xlfn.MAXIFS(BD!$A$3:$A$5001,BD!$B$3:$B$5001,I$138,BD!$A$3:$A$5001,"&gt;="&amp;$C$7,BD!$A$3:$A$5001,"&lt;="&amp;$B153,BD!$W$3:$W$5001,"&lt;&gt;"))))</f>
        <v/>
      </c>
      <c r="J153" s="42" t="str">
        <f>IF(OR($B153="",$A153&gt;$B$9),"",IF(COUNTIFS(BD!$B$3:$B$5001,J$138,BD!$A$3:$A$5001,"&gt;="&amp;$C$7,BD!$A$3:$A$5001,"&lt;="&amp;$B153,BD!$W$3:$W$5001,"&lt;&gt;")=0,"",SUMIFS(BD!$W$3:$W$5001,BD!$B$3:$B$5001,J$138,BD!$A$3:$A$5001,_xlfn.MAXIFS(BD!$A$3:$A$5001,BD!$B$3:$B$5001,J$138,BD!$A$3:$A$5001,"&gt;="&amp;$C$7,BD!$A$3:$A$5001,"&lt;="&amp;$B153,BD!$W$3:$W$5001,"&lt;&gt;"))))</f>
        <v/>
      </c>
      <c r="K153" s="42" t="str">
        <f>IF(OR($B153="",$A153&gt;$B$9),"",IF(COUNTIFS(BD!$B$3:$B$5001,K$138,BD!$A$3:$A$5001,"&gt;="&amp;$C$7,BD!$A$3:$A$5001,"&lt;="&amp;$B153,BD!$W$3:$W$5001,"&lt;&gt;")=0,"",SUMIFS(BD!$W$3:$W$5001,BD!$B$3:$B$5001,K$138,BD!$A$3:$A$5001,_xlfn.MAXIFS(BD!$A$3:$A$5001,BD!$B$3:$B$5001,K$138,BD!$A$3:$A$5001,"&gt;="&amp;$C$7,BD!$A$3:$A$5001,"&lt;="&amp;$B153,BD!$W$3:$W$5001,"&lt;&gt;"))))</f>
        <v/>
      </c>
      <c r="L153" s="42" t="str">
        <f>IF(OR($B153="",$A153&gt;$B$9),"",IF(COUNTIFS(BD!$B$3:$B$5001,L$138,BD!$A$3:$A$5001,"&gt;="&amp;$C$7,BD!$A$3:$A$5001,"&lt;="&amp;$B153,BD!$W$3:$W$5001,"&lt;&gt;")=0,"",SUMIFS(BD!$W$3:$W$5001,BD!$B$3:$B$5001,L$138,BD!$A$3:$A$5001,_xlfn.MAXIFS(BD!$A$3:$A$5001,BD!$B$3:$B$5001,L$138,BD!$A$3:$A$5001,"&gt;="&amp;$C$7,BD!$A$3:$A$5001,"&lt;="&amp;$B153,BD!$W$3:$W$5001,"&lt;&gt;"))))</f>
        <v/>
      </c>
    </row>
    <row r="154">
      <c r="A154" s="40">
        <v>16</v>
      </c>
      <c r="B154" s="41">
        <f>$B$27</f>
        <v>46311</v>
      </c>
      <c r="C154" s="42" t="str">
        <f>IF(OR($B154="",$A154&gt;$B$9),"",IF(COUNTIFS(BD!$B$3:$B$5001,C$138,BD!$A$3:$A$5001,"&gt;="&amp;$C$7,BD!$A$3:$A$5001,"&lt;="&amp;$B154,BD!$W$3:$W$5001,"&lt;&gt;")=0,"",SUMIFS(BD!$W$3:$W$5001,BD!$B$3:$B$5001,C$138,BD!$A$3:$A$5001,_xlfn.MAXIFS(BD!$A$3:$A$5001,BD!$B$3:$B$5001,C$138,BD!$A$3:$A$5001,"&gt;="&amp;$C$7,BD!$A$3:$A$5001,"&lt;="&amp;$B154,BD!$W$3:$W$5001,"&lt;&gt;"))))</f>
        <v/>
      </c>
      <c r="D154" s="42" t="str">
        <f>IF(OR($B154="",$A154&gt;$B$9),"",IF(COUNTIFS(BD!$B$3:$B$5001,D$138,BD!$A$3:$A$5001,"&gt;="&amp;$C$7,BD!$A$3:$A$5001,"&lt;="&amp;$B154,BD!$W$3:$W$5001,"&lt;&gt;")=0,"",SUMIFS(BD!$W$3:$W$5001,BD!$B$3:$B$5001,D$138,BD!$A$3:$A$5001,_xlfn.MAXIFS(BD!$A$3:$A$5001,BD!$B$3:$B$5001,D$138,BD!$A$3:$A$5001,"&gt;="&amp;$C$7,BD!$A$3:$A$5001,"&lt;="&amp;$B154,BD!$W$3:$W$5001,"&lt;&gt;"))))</f>
        <v/>
      </c>
      <c r="E154" s="42" t="str">
        <f>IF(OR($B154="",$A154&gt;$B$9),"",IF(COUNTIFS(BD!$B$3:$B$5001,E$138,BD!$A$3:$A$5001,"&gt;="&amp;$C$7,BD!$A$3:$A$5001,"&lt;="&amp;$B154,BD!$W$3:$W$5001,"&lt;&gt;")=0,"",SUMIFS(BD!$W$3:$W$5001,BD!$B$3:$B$5001,E$138,BD!$A$3:$A$5001,_xlfn.MAXIFS(BD!$A$3:$A$5001,BD!$B$3:$B$5001,E$138,BD!$A$3:$A$5001,"&gt;="&amp;$C$7,BD!$A$3:$A$5001,"&lt;="&amp;$B154,BD!$W$3:$W$5001,"&lt;&gt;"))))</f>
        <v/>
      </c>
      <c r="F154" s="42" t="str">
        <f>IF(OR($B154="",$A154&gt;$B$9),"",IF(COUNTIFS(BD!$B$3:$B$5001,F$138,BD!$A$3:$A$5001,"&gt;="&amp;$C$7,BD!$A$3:$A$5001,"&lt;="&amp;$B154,BD!$W$3:$W$5001,"&lt;&gt;")=0,"",SUMIFS(BD!$W$3:$W$5001,BD!$B$3:$B$5001,F$138,BD!$A$3:$A$5001,_xlfn.MAXIFS(BD!$A$3:$A$5001,BD!$B$3:$B$5001,F$138,BD!$A$3:$A$5001,"&gt;="&amp;$C$7,BD!$A$3:$A$5001,"&lt;="&amp;$B154,BD!$W$3:$W$5001,"&lt;&gt;"))))</f>
        <v/>
      </c>
      <c r="G154" s="42" t="str">
        <f>IF(OR($B154="",$A154&gt;$B$9),"",IF(COUNTIFS(BD!$B$3:$B$5001,G$138,BD!$A$3:$A$5001,"&gt;="&amp;$C$7,BD!$A$3:$A$5001,"&lt;="&amp;$B154,BD!$W$3:$W$5001,"&lt;&gt;")=0,"",SUMIFS(BD!$W$3:$W$5001,BD!$B$3:$B$5001,G$138,BD!$A$3:$A$5001,_xlfn.MAXIFS(BD!$A$3:$A$5001,BD!$B$3:$B$5001,G$138,BD!$A$3:$A$5001,"&gt;="&amp;$C$7,BD!$A$3:$A$5001,"&lt;="&amp;$B154,BD!$W$3:$W$5001,"&lt;&gt;"))))</f>
        <v/>
      </c>
      <c r="H154" s="42" t="str">
        <f>IF(OR($B154="",$A154&gt;$B$9),"",IF(COUNTIFS(BD!$B$3:$B$5001,H$138,BD!$A$3:$A$5001,"&gt;="&amp;$C$7,BD!$A$3:$A$5001,"&lt;="&amp;$B154,BD!$W$3:$W$5001,"&lt;&gt;")=0,"",SUMIFS(BD!$W$3:$W$5001,BD!$B$3:$B$5001,H$138,BD!$A$3:$A$5001,_xlfn.MAXIFS(BD!$A$3:$A$5001,BD!$B$3:$B$5001,H$138,BD!$A$3:$A$5001,"&gt;="&amp;$C$7,BD!$A$3:$A$5001,"&lt;="&amp;$B154,BD!$W$3:$W$5001,"&lt;&gt;"))))</f>
        <v/>
      </c>
      <c r="I154" s="42" t="str">
        <f>IF(OR($B154="",$A154&gt;$B$9),"",IF(COUNTIFS(BD!$B$3:$B$5001,I$138,BD!$A$3:$A$5001,"&gt;="&amp;$C$7,BD!$A$3:$A$5001,"&lt;="&amp;$B154,BD!$W$3:$W$5001,"&lt;&gt;")=0,"",SUMIFS(BD!$W$3:$W$5001,BD!$B$3:$B$5001,I$138,BD!$A$3:$A$5001,_xlfn.MAXIFS(BD!$A$3:$A$5001,BD!$B$3:$B$5001,I$138,BD!$A$3:$A$5001,"&gt;="&amp;$C$7,BD!$A$3:$A$5001,"&lt;="&amp;$B154,BD!$W$3:$W$5001,"&lt;&gt;"))))</f>
        <v/>
      </c>
      <c r="J154" s="42" t="str">
        <f>IF(OR($B154="",$A154&gt;$B$9),"",IF(COUNTIFS(BD!$B$3:$B$5001,J$138,BD!$A$3:$A$5001,"&gt;="&amp;$C$7,BD!$A$3:$A$5001,"&lt;="&amp;$B154,BD!$W$3:$W$5001,"&lt;&gt;")=0,"",SUMIFS(BD!$W$3:$W$5001,BD!$B$3:$B$5001,J$138,BD!$A$3:$A$5001,_xlfn.MAXIFS(BD!$A$3:$A$5001,BD!$B$3:$B$5001,J$138,BD!$A$3:$A$5001,"&gt;="&amp;$C$7,BD!$A$3:$A$5001,"&lt;="&amp;$B154,BD!$W$3:$W$5001,"&lt;&gt;"))))</f>
        <v/>
      </c>
      <c r="K154" s="42" t="str">
        <f>IF(OR($B154="",$A154&gt;$B$9),"",IF(COUNTIFS(BD!$B$3:$B$5001,K$138,BD!$A$3:$A$5001,"&gt;="&amp;$C$7,BD!$A$3:$A$5001,"&lt;="&amp;$B154,BD!$W$3:$W$5001,"&lt;&gt;")=0,"",SUMIFS(BD!$W$3:$W$5001,BD!$B$3:$B$5001,K$138,BD!$A$3:$A$5001,_xlfn.MAXIFS(BD!$A$3:$A$5001,BD!$B$3:$B$5001,K$138,BD!$A$3:$A$5001,"&gt;="&amp;$C$7,BD!$A$3:$A$5001,"&lt;="&amp;$B154,BD!$W$3:$W$5001,"&lt;&gt;"))))</f>
        <v/>
      </c>
      <c r="L154" s="42" t="str">
        <f>IF(OR($B154="",$A154&gt;$B$9),"",IF(COUNTIFS(BD!$B$3:$B$5001,L$138,BD!$A$3:$A$5001,"&gt;="&amp;$C$7,BD!$A$3:$A$5001,"&lt;="&amp;$B154,BD!$W$3:$W$5001,"&lt;&gt;")=0,"",SUMIFS(BD!$W$3:$W$5001,BD!$B$3:$B$5001,L$138,BD!$A$3:$A$5001,_xlfn.MAXIFS(BD!$A$3:$A$5001,BD!$B$3:$B$5001,L$138,BD!$A$3:$A$5001,"&gt;="&amp;$C$7,BD!$A$3:$A$5001,"&lt;="&amp;$B154,BD!$W$3:$W$5001,"&lt;&gt;"))))</f>
        <v/>
      </c>
    </row>
    <row r="155">
      <c r="A155" s="40">
        <v>17</v>
      </c>
      <c r="B155" s="41">
        <f>$B$28</f>
        <v>46312</v>
      </c>
      <c r="C155" s="42" t="str">
        <f>IF(OR($B155="",$A155&gt;$B$9),"",IF(COUNTIFS(BD!$B$3:$B$5001,C$138,BD!$A$3:$A$5001,"&gt;="&amp;$C$7,BD!$A$3:$A$5001,"&lt;="&amp;$B155,BD!$W$3:$W$5001,"&lt;&gt;")=0,"",SUMIFS(BD!$W$3:$W$5001,BD!$B$3:$B$5001,C$138,BD!$A$3:$A$5001,_xlfn.MAXIFS(BD!$A$3:$A$5001,BD!$B$3:$B$5001,C$138,BD!$A$3:$A$5001,"&gt;="&amp;$C$7,BD!$A$3:$A$5001,"&lt;="&amp;$B155,BD!$W$3:$W$5001,"&lt;&gt;"))))</f>
        <v/>
      </c>
      <c r="D155" s="42" t="str">
        <f>IF(OR($B155="",$A155&gt;$B$9),"",IF(COUNTIFS(BD!$B$3:$B$5001,D$138,BD!$A$3:$A$5001,"&gt;="&amp;$C$7,BD!$A$3:$A$5001,"&lt;="&amp;$B155,BD!$W$3:$W$5001,"&lt;&gt;")=0,"",SUMIFS(BD!$W$3:$W$5001,BD!$B$3:$B$5001,D$138,BD!$A$3:$A$5001,_xlfn.MAXIFS(BD!$A$3:$A$5001,BD!$B$3:$B$5001,D$138,BD!$A$3:$A$5001,"&gt;="&amp;$C$7,BD!$A$3:$A$5001,"&lt;="&amp;$B155,BD!$W$3:$W$5001,"&lt;&gt;"))))</f>
        <v/>
      </c>
      <c r="E155" s="42" t="str">
        <f>IF(OR($B155="",$A155&gt;$B$9),"",IF(COUNTIFS(BD!$B$3:$B$5001,E$138,BD!$A$3:$A$5001,"&gt;="&amp;$C$7,BD!$A$3:$A$5001,"&lt;="&amp;$B155,BD!$W$3:$W$5001,"&lt;&gt;")=0,"",SUMIFS(BD!$W$3:$W$5001,BD!$B$3:$B$5001,E$138,BD!$A$3:$A$5001,_xlfn.MAXIFS(BD!$A$3:$A$5001,BD!$B$3:$B$5001,E$138,BD!$A$3:$A$5001,"&gt;="&amp;$C$7,BD!$A$3:$A$5001,"&lt;="&amp;$B155,BD!$W$3:$W$5001,"&lt;&gt;"))))</f>
        <v/>
      </c>
      <c r="F155" s="42" t="str">
        <f>IF(OR($B155="",$A155&gt;$B$9),"",IF(COUNTIFS(BD!$B$3:$B$5001,F$138,BD!$A$3:$A$5001,"&gt;="&amp;$C$7,BD!$A$3:$A$5001,"&lt;="&amp;$B155,BD!$W$3:$W$5001,"&lt;&gt;")=0,"",SUMIFS(BD!$W$3:$W$5001,BD!$B$3:$B$5001,F$138,BD!$A$3:$A$5001,_xlfn.MAXIFS(BD!$A$3:$A$5001,BD!$B$3:$B$5001,F$138,BD!$A$3:$A$5001,"&gt;="&amp;$C$7,BD!$A$3:$A$5001,"&lt;="&amp;$B155,BD!$W$3:$W$5001,"&lt;&gt;"))))</f>
        <v/>
      </c>
      <c r="G155" s="42" t="str">
        <f>IF(OR($B155="",$A155&gt;$B$9),"",IF(COUNTIFS(BD!$B$3:$B$5001,G$138,BD!$A$3:$A$5001,"&gt;="&amp;$C$7,BD!$A$3:$A$5001,"&lt;="&amp;$B155,BD!$W$3:$W$5001,"&lt;&gt;")=0,"",SUMIFS(BD!$W$3:$W$5001,BD!$B$3:$B$5001,G$138,BD!$A$3:$A$5001,_xlfn.MAXIFS(BD!$A$3:$A$5001,BD!$B$3:$B$5001,G$138,BD!$A$3:$A$5001,"&gt;="&amp;$C$7,BD!$A$3:$A$5001,"&lt;="&amp;$B155,BD!$W$3:$W$5001,"&lt;&gt;"))))</f>
        <v/>
      </c>
      <c r="H155" s="42" t="str">
        <f>IF(OR($B155="",$A155&gt;$B$9),"",IF(COUNTIFS(BD!$B$3:$B$5001,H$138,BD!$A$3:$A$5001,"&gt;="&amp;$C$7,BD!$A$3:$A$5001,"&lt;="&amp;$B155,BD!$W$3:$W$5001,"&lt;&gt;")=0,"",SUMIFS(BD!$W$3:$W$5001,BD!$B$3:$B$5001,H$138,BD!$A$3:$A$5001,_xlfn.MAXIFS(BD!$A$3:$A$5001,BD!$B$3:$B$5001,H$138,BD!$A$3:$A$5001,"&gt;="&amp;$C$7,BD!$A$3:$A$5001,"&lt;="&amp;$B155,BD!$W$3:$W$5001,"&lt;&gt;"))))</f>
        <v/>
      </c>
      <c r="I155" s="42" t="str">
        <f>IF(OR($B155="",$A155&gt;$B$9),"",IF(COUNTIFS(BD!$B$3:$B$5001,I$138,BD!$A$3:$A$5001,"&gt;="&amp;$C$7,BD!$A$3:$A$5001,"&lt;="&amp;$B155,BD!$W$3:$W$5001,"&lt;&gt;")=0,"",SUMIFS(BD!$W$3:$W$5001,BD!$B$3:$B$5001,I$138,BD!$A$3:$A$5001,_xlfn.MAXIFS(BD!$A$3:$A$5001,BD!$B$3:$B$5001,I$138,BD!$A$3:$A$5001,"&gt;="&amp;$C$7,BD!$A$3:$A$5001,"&lt;="&amp;$B155,BD!$W$3:$W$5001,"&lt;&gt;"))))</f>
        <v/>
      </c>
      <c r="J155" s="42" t="str">
        <f>IF(OR($B155="",$A155&gt;$B$9),"",IF(COUNTIFS(BD!$B$3:$B$5001,J$138,BD!$A$3:$A$5001,"&gt;="&amp;$C$7,BD!$A$3:$A$5001,"&lt;="&amp;$B155,BD!$W$3:$W$5001,"&lt;&gt;")=0,"",SUMIFS(BD!$W$3:$W$5001,BD!$B$3:$B$5001,J$138,BD!$A$3:$A$5001,_xlfn.MAXIFS(BD!$A$3:$A$5001,BD!$B$3:$B$5001,J$138,BD!$A$3:$A$5001,"&gt;="&amp;$C$7,BD!$A$3:$A$5001,"&lt;="&amp;$B155,BD!$W$3:$W$5001,"&lt;&gt;"))))</f>
        <v/>
      </c>
      <c r="K155" s="42" t="str">
        <f>IF(OR($B155="",$A155&gt;$B$9),"",IF(COUNTIFS(BD!$B$3:$B$5001,K$138,BD!$A$3:$A$5001,"&gt;="&amp;$C$7,BD!$A$3:$A$5001,"&lt;="&amp;$B155,BD!$W$3:$W$5001,"&lt;&gt;")=0,"",SUMIFS(BD!$W$3:$W$5001,BD!$B$3:$B$5001,K$138,BD!$A$3:$A$5001,_xlfn.MAXIFS(BD!$A$3:$A$5001,BD!$B$3:$B$5001,K$138,BD!$A$3:$A$5001,"&gt;="&amp;$C$7,BD!$A$3:$A$5001,"&lt;="&amp;$B155,BD!$W$3:$W$5001,"&lt;&gt;"))))</f>
        <v/>
      </c>
      <c r="L155" s="42" t="str">
        <f>IF(OR($B155="",$A155&gt;$B$9),"",IF(COUNTIFS(BD!$B$3:$B$5001,L$138,BD!$A$3:$A$5001,"&gt;="&amp;$C$7,BD!$A$3:$A$5001,"&lt;="&amp;$B155,BD!$W$3:$W$5001,"&lt;&gt;")=0,"",SUMIFS(BD!$W$3:$W$5001,BD!$B$3:$B$5001,L$138,BD!$A$3:$A$5001,_xlfn.MAXIFS(BD!$A$3:$A$5001,BD!$B$3:$B$5001,L$138,BD!$A$3:$A$5001,"&gt;="&amp;$C$7,BD!$A$3:$A$5001,"&lt;="&amp;$B155,BD!$W$3:$W$5001,"&lt;&gt;"))))</f>
        <v/>
      </c>
    </row>
    <row r="156">
      <c r="A156" s="40">
        <v>18</v>
      </c>
      <c r="B156" s="41">
        <f>$B$29</f>
        <v>46313</v>
      </c>
      <c r="C156" s="42" t="str">
        <f>IF(OR($B156="",$A156&gt;$B$9),"",IF(COUNTIFS(BD!$B$3:$B$5001,C$138,BD!$A$3:$A$5001,"&gt;="&amp;$C$7,BD!$A$3:$A$5001,"&lt;="&amp;$B156,BD!$W$3:$W$5001,"&lt;&gt;")=0,"",SUMIFS(BD!$W$3:$W$5001,BD!$B$3:$B$5001,C$138,BD!$A$3:$A$5001,_xlfn.MAXIFS(BD!$A$3:$A$5001,BD!$B$3:$B$5001,C$138,BD!$A$3:$A$5001,"&gt;="&amp;$C$7,BD!$A$3:$A$5001,"&lt;="&amp;$B156,BD!$W$3:$W$5001,"&lt;&gt;"))))</f>
        <v/>
      </c>
      <c r="D156" s="42" t="str">
        <f>IF(OR($B156="",$A156&gt;$B$9),"",IF(COUNTIFS(BD!$B$3:$B$5001,D$138,BD!$A$3:$A$5001,"&gt;="&amp;$C$7,BD!$A$3:$A$5001,"&lt;="&amp;$B156,BD!$W$3:$W$5001,"&lt;&gt;")=0,"",SUMIFS(BD!$W$3:$W$5001,BD!$B$3:$B$5001,D$138,BD!$A$3:$A$5001,_xlfn.MAXIFS(BD!$A$3:$A$5001,BD!$B$3:$B$5001,D$138,BD!$A$3:$A$5001,"&gt;="&amp;$C$7,BD!$A$3:$A$5001,"&lt;="&amp;$B156,BD!$W$3:$W$5001,"&lt;&gt;"))))</f>
        <v/>
      </c>
      <c r="E156" s="42" t="str">
        <f>IF(OR($B156="",$A156&gt;$B$9),"",IF(COUNTIFS(BD!$B$3:$B$5001,E$138,BD!$A$3:$A$5001,"&gt;="&amp;$C$7,BD!$A$3:$A$5001,"&lt;="&amp;$B156,BD!$W$3:$W$5001,"&lt;&gt;")=0,"",SUMIFS(BD!$W$3:$W$5001,BD!$B$3:$B$5001,E$138,BD!$A$3:$A$5001,_xlfn.MAXIFS(BD!$A$3:$A$5001,BD!$B$3:$B$5001,E$138,BD!$A$3:$A$5001,"&gt;="&amp;$C$7,BD!$A$3:$A$5001,"&lt;="&amp;$B156,BD!$W$3:$W$5001,"&lt;&gt;"))))</f>
        <v/>
      </c>
      <c r="F156" s="42" t="str">
        <f>IF(OR($B156="",$A156&gt;$B$9),"",IF(COUNTIFS(BD!$B$3:$B$5001,F$138,BD!$A$3:$A$5001,"&gt;="&amp;$C$7,BD!$A$3:$A$5001,"&lt;="&amp;$B156,BD!$W$3:$W$5001,"&lt;&gt;")=0,"",SUMIFS(BD!$W$3:$W$5001,BD!$B$3:$B$5001,F$138,BD!$A$3:$A$5001,_xlfn.MAXIFS(BD!$A$3:$A$5001,BD!$B$3:$B$5001,F$138,BD!$A$3:$A$5001,"&gt;="&amp;$C$7,BD!$A$3:$A$5001,"&lt;="&amp;$B156,BD!$W$3:$W$5001,"&lt;&gt;"))))</f>
        <v/>
      </c>
      <c r="G156" s="42" t="str">
        <f>IF(OR($B156="",$A156&gt;$B$9),"",IF(COUNTIFS(BD!$B$3:$B$5001,G$138,BD!$A$3:$A$5001,"&gt;="&amp;$C$7,BD!$A$3:$A$5001,"&lt;="&amp;$B156,BD!$W$3:$W$5001,"&lt;&gt;")=0,"",SUMIFS(BD!$W$3:$W$5001,BD!$B$3:$B$5001,G$138,BD!$A$3:$A$5001,_xlfn.MAXIFS(BD!$A$3:$A$5001,BD!$B$3:$B$5001,G$138,BD!$A$3:$A$5001,"&gt;="&amp;$C$7,BD!$A$3:$A$5001,"&lt;="&amp;$B156,BD!$W$3:$W$5001,"&lt;&gt;"))))</f>
        <v/>
      </c>
      <c r="H156" s="42" t="str">
        <f>IF(OR($B156="",$A156&gt;$B$9),"",IF(COUNTIFS(BD!$B$3:$B$5001,H$138,BD!$A$3:$A$5001,"&gt;="&amp;$C$7,BD!$A$3:$A$5001,"&lt;="&amp;$B156,BD!$W$3:$W$5001,"&lt;&gt;")=0,"",SUMIFS(BD!$W$3:$W$5001,BD!$B$3:$B$5001,H$138,BD!$A$3:$A$5001,_xlfn.MAXIFS(BD!$A$3:$A$5001,BD!$B$3:$B$5001,H$138,BD!$A$3:$A$5001,"&gt;="&amp;$C$7,BD!$A$3:$A$5001,"&lt;="&amp;$B156,BD!$W$3:$W$5001,"&lt;&gt;"))))</f>
        <v/>
      </c>
      <c r="I156" s="42" t="str">
        <f>IF(OR($B156="",$A156&gt;$B$9),"",IF(COUNTIFS(BD!$B$3:$B$5001,I$138,BD!$A$3:$A$5001,"&gt;="&amp;$C$7,BD!$A$3:$A$5001,"&lt;="&amp;$B156,BD!$W$3:$W$5001,"&lt;&gt;")=0,"",SUMIFS(BD!$W$3:$W$5001,BD!$B$3:$B$5001,I$138,BD!$A$3:$A$5001,_xlfn.MAXIFS(BD!$A$3:$A$5001,BD!$B$3:$B$5001,I$138,BD!$A$3:$A$5001,"&gt;="&amp;$C$7,BD!$A$3:$A$5001,"&lt;="&amp;$B156,BD!$W$3:$W$5001,"&lt;&gt;"))))</f>
        <v/>
      </c>
      <c r="J156" s="42" t="str">
        <f>IF(OR($B156="",$A156&gt;$B$9),"",IF(COUNTIFS(BD!$B$3:$B$5001,J$138,BD!$A$3:$A$5001,"&gt;="&amp;$C$7,BD!$A$3:$A$5001,"&lt;="&amp;$B156,BD!$W$3:$W$5001,"&lt;&gt;")=0,"",SUMIFS(BD!$W$3:$W$5001,BD!$B$3:$B$5001,J$138,BD!$A$3:$A$5001,_xlfn.MAXIFS(BD!$A$3:$A$5001,BD!$B$3:$B$5001,J$138,BD!$A$3:$A$5001,"&gt;="&amp;$C$7,BD!$A$3:$A$5001,"&lt;="&amp;$B156,BD!$W$3:$W$5001,"&lt;&gt;"))))</f>
        <v/>
      </c>
      <c r="K156" s="42" t="str">
        <f>IF(OR($B156="",$A156&gt;$B$9),"",IF(COUNTIFS(BD!$B$3:$B$5001,K$138,BD!$A$3:$A$5001,"&gt;="&amp;$C$7,BD!$A$3:$A$5001,"&lt;="&amp;$B156,BD!$W$3:$W$5001,"&lt;&gt;")=0,"",SUMIFS(BD!$W$3:$W$5001,BD!$B$3:$B$5001,K$138,BD!$A$3:$A$5001,_xlfn.MAXIFS(BD!$A$3:$A$5001,BD!$B$3:$B$5001,K$138,BD!$A$3:$A$5001,"&gt;="&amp;$C$7,BD!$A$3:$A$5001,"&lt;="&amp;$B156,BD!$W$3:$W$5001,"&lt;&gt;"))))</f>
        <v/>
      </c>
      <c r="L156" s="42" t="str">
        <f>IF(OR($B156="",$A156&gt;$B$9),"",IF(COUNTIFS(BD!$B$3:$B$5001,L$138,BD!$A$3:$A$5001,"&gt;="&amp;$C$7,BD!$A$3:$A$5001,"&lt;="&amp;$B156,BD!$W$3:$W$5001,"&lt;&gt;")=0,"",SUMIFS(BD!$W$3:$W$5001,BD!$B$3:$B$5001,L$138,BD!$A$3:$A$5001,_xlfn.MAXIFS(BD!$A$3:$A$5001,BD!$B$3:$B$5001,L$138,BD!$A$3:$A$5001,"&gt;="&amp;$C$7,BD!$A$3:$A$5001,"&lt;="&amp;$B156,BD!$W$3:$W$5001,"&lt;&gt;"))))</f>
        <v/>
      </c>
    </row>
    <row r="157">
      <c r="A157" s="40">
        <v>19</v>
      </c>
      <c r="B157" s="41">
        <f>$B$30</f>
        <v>46314</v>
      </c>
      <c r="C157" s="42" t="str">
        <f>IF(OR($B157="",$A157&gt;$B$9),"",IF(COUNTIFS(BD!$B$3:$B$5001,C$138,BD!$A$3:$A$5001,"&gt;="&amp;$C$7,BD!$A$3:$A$5001,"&lt;="&amp;$B157,BD!$W$3:$W$5001,"&lt;&gt;")=0,"",SUMIFS(BD!$W$3:$W$5001,BD!$B$3:$B$5001,C$138,BD!$A$3:$A$5001,_xlfn.MAXIFS(BD!$A$3:$A$5001,BD!$B$3:$B$5001,C$138,BD!$A$3:$A$5001,"&gt;="&amp;$C$7,BD!$A$3:$A$5001,"&lt;="&amp;$B157,BD!$W$3:$W$5001,"&lt;&gt;"))))</f>
        <v/>
      </c>
      <c r="D157" s="42" t="str">
        <f>IF(OR($B157="",$A157&gt;$B$9),"",IF(COUNTIFS(BD!$B$3:$B$5001,D$138,BD!$A$3:$A$5001,"&gt;="&amp;$C$7,BD!$A$3:$A$5001,"&lt;="&amp;$B157,BD!$W$3:$W$5001,"&lt;&gt;")=0,"",SUMIFS(BD!$W$3:$W$5001,BD!$B$3:$B$5001,D$138,BD!$A$3:$A$5001,_xlfn.MAXIFS(BD!$A$3:$A$5001,BD!$B$3:$B$5001,D$138,BD!$A$3:$A$5001,"&gt;="&amp;$C$7,BD!$A$3:$A$5001,"&lt;="&amp;$B157,BD!$W$3:$W$5001,"&lt;&gt;"))))</f>
        <v/>
      </c>
      <c r="E157" s="42" t="str">
        <f>IF(OR($B157="",$A157&gt;$B$9),"",IF(COUNTIFS(BD!$B$3:$B$5001,E$138,BD!$A$3:$A$5001,"&gt;="&amp;$C$7,BD!$A$3:$A$5001,"&lt;="&amp;$B157,BD!$W$3:$W$5001,"&lt;&gt;")=0,"",SUMIFS(BD!$W$3:$W$5001,BD!$B$3:$B$5001,E$138,BD!$A$3:$A$5001,_xlfn.MAXIFS(BD!$A$3:$A$5001,BD!$B$3:$B$5001,E$138,BD!$A$3:$A$5001,"&gt;="&amp;$C$7,BD!$A$3:$A$5001,"&lt;="&amp;$B157,BD!$W$3:$W$5001,"&lt;&gt;"))))</f>
        <v/>
      </c>
      <c r="F157" s="42" t="str">
        <f>IF(OR($B157="",$A157&gt;$B$9),"",IF(COUNTIFS(BD!$B$3:$B$5001,F$138,BD!$A$3:$A$5001,"&gt;="&amp;$C$7,BD!$A$3:$A$5001,"&lt;="&amp;$B157,BD!$W$3:$W$5001,"&lt;&gt;")=0,"",SUMIFS(BD!$W$3:$W$5001,BD!$B$3:$B$5001,F$138,BD!$A$3:$A$5001,_xlfn.MAXIFS(BD!$A$3:$A$5001,BD!$B$3:$B$5001,F$138,BD!$A$3:$A$5001,"&gt;="&amp;$C$7,BD!$A$3:$A$5001,"&lt;="&amp;$B157,BD!$W$3:$W$5001,"&lt;&gt;"))))</f>
        <v/>
      </c>
      <c r="G157" s="42" t="str">
        <f>IF(OR($B157="",$A157&gt;$B$9),"",IF(COUNTIFS(BD!$B$3:$B$5001,G$138,BD!$A$3:$A$5001,"&gt;="&amp;$C$7,BD!$A$3:$A$5001,"&lt;="&amp;$B157,BD!$W$3:$W$5001,"&lt;&gt;")=0,"",SUMIFS(BD!$W$3:$W$5001,BD!$B$3:$B$5001,G$138,BD!$A$3:$A$5001,_xlfn.MAXIFS(BD!$A$3:$A$5001,BD!$B$3:$B$5001,G$138,BD!$A$3:$A$5001,"&gt;="&amp;$C$7,BD!$A$3:$A$5001,"&lt;="&amp;$B157,BD!$W$3:$W$5001,"&lt;&gt;"))))</f>
        <v/>
      </c>
      <c r="H157" s="42" t="str">
        <f>IF(OR($B157="",$A157&gt;$B$9),"",IF(COUNTIFS(BD!$B$3:$B$5001,H$138,BD!$A$3:$A$5001,"&gt;="&amp;$C$7,BD!$A$3:$A$5001,"&lt;="&amp;$B157,BD!$W$3:$W$5001,"&lt;&gt;")=0,"",SUMIFS(BD!$W$3:$W$5001,BD!$B$3:$B$5001,H$138,BD!$A$3:$A$5001,_xlfn.MAXIFS(BD!$A$3:$A$5001,BD!$B$3:$B$5001,H$138,BD!$A$3:$A$5001,"&gt;="&amp;$C$7,BD!$A$3:$A$5001,"&lt;="&amp;$B157,BD!$W$3:$W$5001,"&lt;&gt;"))))</f>
        <v/>
      </c>
      <c r="I157" s="42" t="str">
        <f>IF(OR($B157="",$A157&gt;$B$9),"",IF(COUNTIFS(BD!$B$3:$B$5001,I$138,BD!$A$3:$A$5001,"&gt;="&amp;$C$7,BD!$A$3:$A$5001,"&lt;="&amp;$B157,BD!$W$3:$W$5001,"&lt;&gt;")=0,"",SUMIFS(BD!$W$3:$W$5001,BD!$B$3:$B$5001,I$138,BD!$A$3:$A$5001,_xlfn.MAXIFS(BD!$A$3:$A$5001,BD!$B$3:$B$5001,I$138,BD!$A$3:$A$5001,"&gt;="&amp;$C$7,BD!$A$3:$A$5001,"&lt;="&amp;$B157,BD!$W$3:$W$5001,"&lt;&gt;"))))</f>
        <v/>
      </c>
      <c r="J157" s="42" t="str">
        <f>IF(OR($B157="",$A157&gt;$B$9),"",IF(COUNTIFS(BD!$B$3:$B$5001,J$138,BD!$A$3:$A$5001,"&gt;="&amp;$C$7,BD!$A$3:$A$5001,"&lt;="&amp;$B157,BD!$W$3:$W$5001,"&lt;&gt;")=0,"",SUMIFS(BD!$W$3:$W$5001,BD!$B$3:$B$5001,J$138,BD!$A$3:$A$5001,_xlfn.MAXIFS(BD!$A$3:$A$5001,BD!$B$3:$B$5001,J$138,BD!$A$3:$A$5001,"&gt;="&amp;$C$7,BD!$A$3:$A$5001,"&lt;="&amp;$B157,BD!$W$3:$W$5001,"&lt;&gt;"))))</f>
        <v/>
      </c>
      <c r="K157" s="42" t="str">
        <f>IF(OR($B157="",$A157&gt;$B$9),"",IF(COUNTIFS(BD!$B$3:$B$5001,K$138,BD!$A$3:$A$5001,"&gt;="&amp;$C$7,BD!$A$3:$A$5001,"&lt;="&amp;$B157,BD!$W$3:$W$5001,"&lt;&gt;")=0,"",SUMIFS(BD!$W$3:$W$5001,BD!$B$3:$B$5001,K$138,BD!$A$3:$A$5001,_xlfn.MAXIFS(BD!$A$3:$A$5001,BD!$B$3:$B$5001,K$138,BD!$A$3:$A$5001,"&gt;="&amp;$C$7,BD!$A$3:$A$5001,"&lt;="&amp;$B157,BD!$W$3:$W$5001,"&lt;&gt;"))))</f>
        <v/>
      </c>
      <c r="L157" s="42" t="str">
        <f>IF(OR($B157="",$A157&gt;$B$9),"",IF(COUNTIFS(BD!$B$3:$B$5001,L$138,BD!$A$3:$A$5001,"&gt;="&amp;$C$7,BD!$A$3:$A$5001,"&lt;="&amp;$B157,BD!$W$3:$W$5001,"&lt;&gt;")=0,"",SUMIFS(BD!$W$3:$W$5001,BD!$B$3:$B$5001,L$138,BD!$A$3:$A$5001,_xlfn.MAXIFS(BD!$A$3:$A$5001,BD!$B$3:$B$5001,L$138,BD!$A$3:$A$5001,"&gt;="&amp;$C$7,BD!$A$3:$A$5001,"&lt;="&amp;$B157,BD!$W$3:$W$5001,"&lt;&gt;"))))</f>
        <v/>
      </c>
    </row>
    <row r="158">
      <c r="A158" s="40">
        <v>20</v>
      </c>
      <c r="B158" s="41">
        <f>$B$31</f>
        <v>46315</v>
      </c>
      <c r="C158" s="42" t="str">
        <f>IF(OR($B158="",$A158&gt;$B$9),"",IF(COUNTIFS(BD!$B$3:$B$5001,C$138,BD!$A$3:$A$5001,"&gt;="&amp;$C$7,BD!$A$3:$A$5001,"&lt;="&amp;$B158,BD!$W$3:$W$5001,"&lt;&gt;")=0,"",SUMIFS(BD!$W$3:$W$5001,BD!$B$3:$B$5001,C$138,BD!$A$3:$A$5001,_xlfn.MAXIFS(BD!$A$3:$A$5001,BD!$B$3:$B$5001,C$138,BD!$A$3:$A$5001,"&gt;="&amp;$C$7,BD!$A$3:$A$5001,"&lt;="&amp;$B158,BD!$W$3:$W$5001,"&lt;&gt;"))))</f>
        <v/>
      </c>
      <c r="D158" s="42" t="str">
        <f>IF(OR($B158="",$A158&gt;$B$9),"",IF(COUNTIFS(BD!$B$3:$B$5001,D$138,BD!$A$3:$A$5001,"&gt;="&amp;$C$7,BD!$A$3:$A$5001,"&lt;="&amp;$B158,BD!$W$3:$W$5001,"&lt;&gt;")=0,"",SUMIFS(BD!$W$3:$W$5001,BD!$B$3:$B$5001,D$138,BD!$A$3:$A$5001,_xlfn.MAXIFS(BD!$A$3:$A$5001,BD!$B$3:$B$5001,D$138,BD!$A$3:$A$5001,"&gt;="&amp;$C$7,BD!$A$3:$A$5001,"&lt;="&amp;$B158,BD!$W$3:$W$5001,"&lt;&gt;"))))</f>
        <v/>
      </c>
      <c r="E158" s="42" t="str">
        <f>IF(OR($B158="",$A158&gt;$B$9),"",IF(COUNTIFS(BD!$B$3:$B$5001,E$138,BD!$A$3:$A$5001,"&gt;="&amp;$C$7,BD!$A$3:$A$5001,"&lt;="&amp;$B158,BD!$W$3:$W$5001,"&lt;&gt;")=0,"",SUMIFS(BD!$W$3:$W$5001,BD!$B$3:$B$5001,E$138,BD!$A$3:$A$5001,_xlfn.MAXIFS(BD!$A$3:$A$5001,BD!$B$3:$B$5001,E$138,BD!$A$3:$A$5001,"&gt;="&amp;$C$7,BD!$A$3:$A$5001,"&lt;="&amp;$B158,BD!$W$3:$W$5001,"&lt;&gt;"))))</f>
        <v/>
      </c>
      <c r="F158" s="42" t="str">
        <f>IF(OR($B158="",$A158&gt;$B$9),"",IF(COUNTIFS(BD!$B$3:$B$5001,F$138,BD!$A$3:$A$5001,"&gt;="&amp;$C$7,BD!$A$3:$A$5001,"&lt;="&amp;$B158,BD!$W$3:$W$5001,"&lt;&gt;")=0,"",SUMIFS(BD!$W$3:$W$5001,BD!$B$3:$B$5001,F$138,BD!$A$3:$A$5001,_xlfn.MAXIFS(BD!$A$3:$A$5001,BD!$B$3:$B$5001,F$138,BD!$A$3:$A$5001,"&gt;="&amp;$C$7,BD!$A$3:$A$5001,"&lt;="&amp;$B158,BD!$W$3:$W$5001,"&lt;&gt;"))))</f>
        <v/>
      </c>
      <c r="G158" s="42" t="str">
        <f>IF(OR($B158="",$A158&gt;$B$9),"",IF(COUNTIFS(BD!$B$3:$B$5001,G$138,BD!$A$3:$A$5001,"&gt;="&amp;$C$7,BD!$A$3:$A$5001,"&lt;="&amp;$B158,BD!$W$3:$W$5001,"&lt;&gt;")=0,"",SUMIFS(BD!$W$3:$W$5001,BD!$B$3:$B$5001,G$138,BD!$A$3:$A$5001,_xlfn.MAXIFS(BD!$A$3:$A$5001,BD!$B$3:$B$5001,G$138,BD!$A$3:$A$5001,"&gt;="&amp;$C$7,BD!$A$3:$A$5001,"&lt;="&amp;$B158,BD!$W$3:$W$5001,"&lt;&gt;"))))</f>
        <v/>
      </c>
      <c r="H158" s="42" t="str">
        <f>IF(OR($B158="",$A158&gt;$B$9),"",IF(COUNTIFS(BD!$B$3:$B$5001,H$138,BD!$A$3:$A$5001,"&gt;="&amp;$C$7,BD!$A$3:$A$5001,"&lt;="&amp;$B158,BD!$W$3:$W$5001,"&lt;&gt;")=0,"",SUMIFS(BD!$W$3:$W$5001,BD!$B$3:$B$5001,H$138,BD!$A$3:$A$5001,_xlfn.MAXIFS(BD!$A$3:$A$5001,BD!$B$3:$B$5001,H$138,BD!$A$3:$A$5001,"&gt;="&amp;$C$7,BD!$A$3:$A$5001,"&lt;="&amp;$B158,BD!$W$3:$W$5001,"&lt;&gt;"))))</f>
        <v/>
      </c>
      <c r="I158" s="42" t="str">
        <f>IF(OR($B158="",$A158&gt;$B$9),"",IF(COUNTIFS(BD!$B$3:$B$5001,I$138,BD!$A$3:$A$5001,"&gt;="&amp;$C$7,BD!$A$3:$A$5001,"&lt;="&amp;$B158,BD!$W$3:$W$5001,"&lt;&gt;")=0,"",SUMIFS(BD!$W$3:$W$5001,BD!$B$3:$B$5001,I$138,BD!$A$3:$A$5001,_xlfn.MAXIFS(BD!$A$3:$A$5001,BD!$B$3:$B$5001,I$138,BD!$A$3:$A$5001,"&gt;="&amp;$C$7,BD!$A$3:$A$5001,"&lt;="&amp;$B158,BD!$W$3:$W$5001,"&lt;&gt;"))))</f>
        <v/>
      </c>
      <c r="J158" s="42" t="str">
        <f>IF(OR($B158="",$A158&gt;$B$9),"",IF(COUNTIFS(BD!$B$3:$B$5001,J$138,BD!$A$3:$A$5001,"&gt;="&amp;$C$7,BD!$A$3:$A$5001,"&lt;="&amp;$B158,BD!$W$3:$W$5001,"&lt;&gt;")=0,"",SUMIFS(BD!$W$3:$W$5001,BD!$B$3:$B$5001,J$138,BD!$A$3:$A$5001,_xlfn.MAXIFS(BD!$A$3:$A$5001,BD!$B$3:$B$5001,J$138,BD!$A$3:$A$5001,"&gt;="&amp;$C$7,BD!$A$3:$A$5001,"&lt;="&amp;$B158,BD!$W$3:$W$5001,"&lt;&gt;"))))</f>
        <v/>
      </c>
      <c r="K158" s="42" t="str">
        <f>IF(OR($B158="",$A158&gt;$B$9),"",IF(COUNTIFS(BD!$B$3:$B$5001,K$138,BD!$A$3:$A$5001,"&gt;="&amp;$C$7,BD!$A$3:$A$5001,"&lt;="&amp;$B158,BD!$W$3:$W$5001,"&lt;&gt;")=0,"",SUMIFS(BD!$W$3:$W$5001,BD!$B$3:$B$5001,K$138,BD!$A$3:$A$5001,_xlfn.MAXIFS(BD!$A$3:$A$5001,BD!$B$3:$B$5001,K$138,BD!$A$3:$A$5001,"&gt;="&amp;$C$7,BD!$A$3:$A$5001,"&lt;="&amp;$B158,BD!$W$3:$W$5001,"&lt;&gt;"))))</f>
        <v/>
      </c>
      <c r="L158" s="42" t="str">
        <f>IF(OR($B158="",$A158&gt;$B$9),"",IF(COUNTIFS(BD!$B$3:$B$5001,L$138,BD!$A$3:$A$5001,"&gt;="&amp;$C$7,BD!$A$3:$A$5001,"&lt;="&amp;$B158,BD!$W$3:$W$5001,"&lt;&gt;")=0,"",SUMIFS(BD!$W$3:$W$5001,BD!$B$3:$B$5001,L$138,BD!$A$3:$A$5001,_xlfn.MAXIFS(BD!$A$3:$A$5001,BD!$B$3:$B$5001,L$138,BD!$A$3:$A$5001,"&gt;="&amp;$C$7,BD!$A$3:$A$5001,"&lt;="&amp;$B158,BD!$W$3:$W$5001,"&lt;&gt;"))))</f>
        <v/>
      </c>
    </row>
    <row r="159">
      <c r="A159" s="40">
        <v>21</v>
      </c>
      <c r="B159" s="41">
        <f>$B$32</f>
        <v>46316</v>
      </c>
      <c r="C159" s="42" t="str">
        <f>IF(OR($B159="",$A159&gt;$B$9),"",IF(COUNTIFS(BD!$B$3:$B$5001,C$138,BD!$A$3:$A$5001,"&gt;="&amp;$C$7,BD!$A$3:$A$5001,"&lt;="&amp;$B159,BD!$W$3:$W$5001,"&lt;&gt;")=0,"",SUMIFS(BD!$W$3:$W$5001,BD!$B$3:$B$5001,C$138,BD!$A$3:$A$5001,_xlfn.MAXIFS(BD!$A$3:$A$5001,BD!$B$3:$B$5001,C$138,BD!$A$3:$A$5001,"&gt;="&amp;$C$7,BD!$A$3:$A$5001,"&lt;="&amp;$B159,BD!$W$3:$W$5001,"&lt;&gt;"))))</f>
        <v/>
      </c>
      <c r="D159" s="42" t="str">
        <f>IF(OR($B159="",$A159&gt;$B$9),"",IF(COUNTIFS(BD!$B$3:$B$5001,D$138,BD!$A$3:$A$5001,"&gt;="&amp;$C$7,BD!$A$3:$A$5001,"&lt;="&amp;$B159,BD!$W$3:$W$5001,"&lt;&gt;")=0,"",SUMIFS(BD!$W$3:$W$5001,BD!$B$3:$B$5001,D$138,BD!$A$3:$A$5001,_xlfn.MAXIFS(BD!$A$3:$A$5001,BD!$B$3:$B$5001,D$138,BD!$A$3:$A$5001,"&gt;="&amp;$C$7,BD!$A$3:$A$5001,"&lt;="&amp;$B159,BD!$W$3:$W$5001,"&lt;&gt;"))))</f>
        <v/>
      </c>
      <c r="E159" s="42" t="str">
        <f>IF(OR($B159="",$A159&gt;$B$9),"",IF(COUNTIFS(BD!$B$3:$B$5001,E$138,BD!$A$3:$A$5001,"&gt;="&amp;$C$7,BD!$A$3:$A$5001,"&lt;="&amp;$B159,BD!$W$3:$W$5001,"&lt;&gt;")=0,"",SUMIFS(BD!$W$3:$W$5001,BD!$B$3:$B$5001,E$138,BD!$A$3:$A$5001,_xlfn.MAXIFS(BD!$A$3:$A$5001,BD!$B$3:$B$5001,E$138,BD!$A$3:$A$5001,"&gt;="&amp;$C$7,BD!$A$3:$A$5001,"&lt;="&amp;$B159,BD!$W$3:$W$5001,"&lt;&gt;"))))</f>
        <v/>
      </c>
      <c r="F159" s="42" t="str">
        <f>IF(OR($B159="",$A159&gt;$B$9),"",IF(COUNTIFS(BD!$B$3:$B$5001,F$138,BD!$A$3:$A$5001,"&gt;="&amp;$C$7,BD!$A$3:$A$5001,"&lt;="&amp;$B159,BD!$W$3:$W$5001,"&lt;&gt;")=0,"",SUMIFS(BD!$W$3:$W$5001,BD!$B$3:$B$5001,F$138,BD!$A$3:$A$5001,_xlfn.MAXIFS(BD!$A$3:$A$5001,BD!$B$3:$B$5001,F$138,BD!$A$3:$A$5001,"&gt;="&amp;$C$7,BD!$A$3:$A$5001,"&lt;="&amp;$B159,BD!$W$3:$W$5001,"&lt;&gt;"))))</f>
        <v/>
      </c>
      <c r="G159" s="42" t="str">
        <f>IF(OR($B159="",$A159&gt;$B$9),"",IF(COUNTIFS(BD!$B$3:$B$5001,G$138,BD!$A$3:$A$5001,"&gt;="&amp;$C$7,BD!$A$3:$A$5001,"&lt;="&amp;$B159,BD!$W$3:$W$5001,"&lt;&gt;")=0,"",SUMIFS(BD!$W$3:$W$5001,BD!$B$3:$B$5001,G$138,BD!$A$3:$A$5001,_xlfn.MAXIFS(BD!$A$3:$A$5001,BD!$B$3:$B$5001,G$138,BD!$A$3:$A$5001,"&gt;="&amp;$C$7,BD!$A$3:$A$5001,"&lt;="&amp;$B159,BD!$W$3:$W$5001,"&lt;&gt;"))))</f>
        <v/>
      </c>
      <c r="H159" s="42" t="str">
        <f>IF(OR($B159="",$A159&gt;$B$9),"",IF(COUNTIFS(BD!$B$3:$B$5001,H$138,BD!$A$3:$A$5001,"&gt;="&amp;$C$7,BD!$A$3:$A$5001,"&lt;="&amp;$B159,BD!$W$3:$W$5001,"&lt;&gt;")=0,"",SUMIFS(BD!$W$3:$W$5001,BD!$B$3:$B$5001,H$138,BD!$A$3:$A$5001,_xlfn.MAXIFS(BD!$A$3:$A$5001,BD!$B$3:$B$5001,H$138,BD!$A$3:$A$5001,"&gt;="&amp;$C$7,BD!$A$3:$A$5001,"&lt;="&amp;$B159,BD!$W$3:$W$5001,"&lt;&gt;"))))</f>
        <v/>
      </c>
      <c r="I159" s="42" t="str">
        <f>IF(OR($B159="",$A159&gt;$B$9),"",IF(COUNTIFS(BD!$B$3:$B$5001,I$138,BD!$A$3:$A$5001,"&gt;="&amp;$C$7,BD!$A$3:$A$5001,"&lt;="&amp;$B159,BD!$W$3:$W$5001,"&lt;&gt;")=0,"",SUMIFS(BD!$W$3:$W$5001,BD!$B$3:$B$5001,I$138,BD!$A$3:$A$5001,_xlfn.MAXIFS(BD!$A$3:$A$5001,BD!$B$3:$B$5001,I$138,BD!$A$3:$A$5001,"&gt;="&amp;$C$7,BD!$A$3:$A$5001,"&lt;="&amp;$B159,BD!$W$3:$W$5001,"&lt;&gt;"))))</f>
        <v/>
      </c>
      <c r="J159" s="42" t="str">
        <f>IF(OR($B159="",$A159&gt;$B$9),"",IF(COUNTIFS(BD!$B$3:$B$5001,J$138,BD!$A$3:$A$5001,"&gt;="&amp;$C$7,BD!$A$3:$A$5001,"&lt;="&amp;$B159,BD!$W$3:$W$5001,"&lt;&gt;")=0,"",SUMIFS(BD!$W$3:$W$5001,BD!$B$3:$B$5001,J$138,BD!$A$3:$A$5001,_xlfn.MAXIFS(BD!$A$3:$A$5001,BD!$B$3:$B$5001,J$138,BD!$A$3:$A$5001,"&gt;="&amp;$C$7,BD!$A$3:$A$5001,"&lt;="&amp;$B159,BD!$W$3:$W$5001,"&lt;&gt;"))))</f>
        <v/>
      </c>
      <c r="K159" s="42" t="str">
        <f>IF(OR($B159="",$A159&gt;$B$9),"",IF(COUNTIFS(BD!$B$3:$B$5001,K$138,BD!$A$3:$A$5001,"&gt;="&amp;$C$7,BD!$A$3:$A$5001,"&lt;="&amp;$B159,BD!$W$3:$W$5001,"&lt;&gt;")=0,"",SUMIFS(BD!$W$3:$W$5001,BD!$B$3:$B$5001,K$138,BD!$A$3:$A$5001,_xlfn.MAXIFS(BD!$A$3:$A$5001,BD!$B$3:$B$5001,K$138,BD!$A$3:$A$5001,"&gt;="&amp;$C$7,BD!$A$3:$A$5001,"&lt;="&amp;$B159,BD!$W$3:$W$5001,"&lt;&gt;"))))</f>
        <v/>
      </c>
      <c r="L159" s="42" t="str">
        <f>IF(OR($B159="",$A159&gt;$B$9),"",IF(COUNTIFS(BD!$B$3:$B$5001,L$138,BD!$A$3:$A$5001,"&gt;="&amp;$C$7,BD!$A$3:$A$5001,"&lt;="&amp;$B159,BD!$W$3:$W$5001,"&lt;&gt;")=0,"",SUMIFS(BD!$W$3:$W$5001,BD!$B$3:$B$5001,L$138,BD!$A$3:$A$5001,_xlfn.MAXIFS(BD!$A$3:$A$5001,BD!$B$3:$B$5001,L$138,BD!$A$3:$A$5001,"&gt;="&amp;$C$7,BD!$A$3:$A$5001,"&lt;="&amp;$B159,BD!$W$3:$W$5001,"&lt;&gt;"))))</f>
        <v/>
      </c>
    </row>
    <row r="160">
      <c r="A160" s="40">
        <v>22</v>
      </c>
      <c r="B160" s="41">
        <f>$B$33</f>
        <v>46317</v>
      </c>
      <c r="C160" s="42" t="str">
        <f>IF(OR($B160="",$A160&gt;$B$9),"",IF(COUNTIFS(BD!$B$3:$B$5001,C$138,BD!$A$3:$A$5001,"&gt;="&amp;$C$7,BD!$A$3:$A$5001,"&lt;="&amp;$B160,BD!$W$3:$W$5001,"&lt;&gt;")=0,"",SUMIFS(BD!$W$3:$W$5001,BD!$B$3:$B$5001,C$138,BD!$A$3:$A$5001,_xlfn.MAXIFS(BD!$A$3:$A$5001,BD!$B$3:$B$5001,C$138,BD!$A$3:$A$5001,"&gt;="&amp;$C$7,BD!$A$3:$A$5001,"&lt;="&amp;$B160,BD!$W$3:$W$5001,"&lt;&gt;"))))</f>
        <v/>
      </c>
      <c r="D160" s="42" t="str">
        <f>IF(OR($B160="",$A160&gt;$B$9),"",IF(COUNTIFS(BD!$B$3:$B$5001,D$138,BD!$A$3:$A$5001,"&gt;="&amp;$C$7,BD!$A$3:$A$5001,"&lt;="&amp;$B160,BD!$W$3:$W$5001,"&lt;&gt;")=0,"",SUMIFS(BD!$W$3:$W$5001,BD!$B$3:$B$5001,D$138,BD!$A$3:$A$5001,_xlfn.MAXIFS(BD!$A$3:$A$5001,BD!$B$3:$B$5001,D$138,BD!$A$3:$A$5001,"&gt;="&amp;$C$7,BD!$A$3:$A$5001,"&lt;="&amp;$B160,BD!$W$3:$W$5001,"&lt;&gt;"))))</f>
        <v/>
      </c>
      <c r="E160" s="42" t="str">
        <f>IF(OR($B160="",$A160&gt;$B$9),"",IF(COUNTIFS(BD!$B$3:$B$5001,E$138,BD!$A$3:$A$5001,"&gt;="&amp;$C$7,BD!$A$3:$A$5001,"&lt;="&amp;$B160,BD!$W$3:$W$5001,"&lt;&gt;")=0,"",SUMIFS(BD!$W$3:$W$5001,BD!$B$3:$B$5001,E$138,BD!$A$3:$A$5001,_xlfn.MAXIFS(BD!$A$3:$A$5001,BD!$B$3:$B$5001,E$138,BD!$A$3:$A$5001,"&gt;="&amp;$C$7,BD!$A$3:$A$5001,"&lt;="&amp;$B160,BD!$W$3:$W$5001,"&lt;&gt;"))))</f>
        <v/>
      </c>
      <c r="F160" s="42" t="str">
        <f>IF(OR($B160="",$A160&gt;$B$9),"",IF(COUNTIFS(BD!$B$3:$B$5001,F$138,BD!$A$3:$A$5001,"&gt;="&amp;$C$7,BD!$A$3:$A$5001,"&lt;="&amp;$B160,BD!$W$3:$W$5001,"&lt;&gt;")=0,"",SUMIFS(BD!$W$3:$W$5001,BD!$B$3:$B$5001,F$138,BD!$A$3:$A$5001,_xlfn.MAXIFS(BD!$A$3:$A$5001,BD!$B$3:$B$5001,F$138,BD!$A$3:$A$5001,"&gt;="&amp;$C$7,BD!$A$3:$A$5001,"&lt;="&amp;$B160,BD!$W$3:$W$5001,"&lt;&gt;"))))</f>
        <v/>
      </c>
      <c r="G160" s="42" t="str">
        <f>IF(OR($B160="",$A160&gt;$B$9),"",IF(COUNTIFS(BD!$B$3:$B$5001,G$138,BD!$A$3:$A$5001,"&gt;="&amp;$C$7,BD!$A$3:$A$5001,"&lt;="&amp;$B160,BD!$W$3:$W$5001,"&lt;&gt;")=0,"",SUMIFS(BD!$W$3:$W$5001,BD!$B$3:$B$5001,G$138,BD!$A$3:$A$5001,_xlfn.MAXIFS(BD!$A$3:$A$5001,BD!$B$3:$B$5001,G$138,BD!$A$3:$A$5001,"&gt;="&amp;$C$7,BD!$A$3:$A$5001,"&lt;="&amp;$B160,BD!$W$3:$W$5001,"&lt;&gt;"))))</f>
        <v/>
      </c>
      <c r="H160" s="42" t="str">
        <f>IF(OR($B160="",$A160&gt;$B$9),"",IF(COUNTIFS(BD!$B$3:$B$5001,H$138,BD!$A$3:$A$5001,"&gt;="&amp;$C$7,BD!$A$3:$A$5001,"&lt;="&amp;$B160,BD!$W$3:$W$5001,"&lt;&gt;")=0,"",SUMIFS(BD!$W$3:$W$5001,BD!$B$3:$B$5001,H$138,BD!$A$3:$A$5001,_xlfn.MAXIFS(BD!$A$3:$A$5001,BD!$B$3:$B$5001,H$138,BD!$A$3:$A$5001,"&gt;="&amp;$C$7,BD!$A$3:$A$5001,"&lt;="&amp;$B160,BD!$W$3:$W$5001,"&lt;&gt;"))))</f>
        <v/>
      </c>
      <c r="I160" s="42" t="str">
        <f>IF(OR($B160="",$A160&gt;$B$9),"",IF(COUNTIFS(BD!$B$3:$B$5001,I$138,BD!$A$3:$A$5001,"&gt;="&amp;$C$7,BD!$A$3:$A$5001,"&lt;="&amp;$B160,BD!$W$3:$W$5001,"&lt;&gt;")=0,"",SUMIFS(BD!$W$3:$W$5001,BD!$B$3:$B$5001,I$138,BD!$A$3:$A$5001,_xlfn.MAXIFS(BD!$A$3:$A$5001,BD!$B$3:$B$5001,I$138,BD!$A$3:$A$5001,"&gt;="&amp;$C$7,BD!$A$3:$A$5001,"&lt;="&amp;$B160,BD!$W$3:$W$5001,"&lt;&gt;"))))</f>
        <v/>
      </c>
      <c r="J160" s="42" t="str">
        <f>IF(OR($B160="",$A160&gt;$B$9),"",IF(COUNTIFS(BD!$B$3:$B$5001,J$138,BD!$A$3:$A$5001,"&gt;="&amp;$C$7,BD!$A$3:$A$5001,"&lt;="&amp;$B160,BD!$W$3:$W$5001,"&lt;&gt;")=0,"",SUMIFS(BD!$W$3:$W$5001,BD!$B$3:$B$5001,J$138,BD!$A$3:$A$5001,_xlfn.MAXIFS(BD!$A$3:$A$5001,BD!$B$3:$B$5001,J$138,BD!$A$3:$A$5001,"&gt;="&amp;$C$7,BD!$A$3:$A$5001,"&lt;="&amp;$B160,BD!$W$3:$W$5001,"&lt;&gt;"))))</f>
        <v/>
      </c>
      <c r="K160" s="42" t="str">
        <f>IF(OR($B160="",$A160&gt;$B$9),"",IF(COUNTIFS(BD!$B$3:$B$5001,K$138,BD!$A$3:$A$5001,"&gt;="&amp;$C$7,BD!$A$3:$A$5001,"&lt;="&amp;$B160,BD!$W$3:$W$5001,"&lt;&gt;")=0,"",SUMIFS(BD!$W$3:$W$5001,BD!$B$3:$B$5001,K$138,BD!$A$3:$A$5001,_xlfn.MAXIFS(BD!$A$3:$A$5001,BD!$B$3:$B$5001,K$138,BD!$A$3:$A$5001,"&gt;="&amp;$C$7,BD!$A$3:$A$5001,"&lt;="&amp;$B160,BD!$W$3:$W$5001,"&lt;&gt;"))))</f>
        <v/>
      </c>
      <c r="L160" s="42" t="str">
        <f>IF(OR($B160="",$A160&gt;$B$9),"",IF(COUNTIFS(BD!$B$3:$B$5001,L$138,BD!$A$3:$A$5001,"&gt;="&amp;$C$7,BD!$A$3:$A$5001,"&lt;="&amp;$B160,BD!$W$3:$W$5001,"&lt;&gt;")=0,"",SUMIFS(BD!$W$3:$W$5001,BD!$B$3:$B$5001,L$138,BD!$A$3:$A$5001,_xlfn.MAXIFS(BD!$A$3:$A$5001,BD!$B$3:$B$5001,L$138,BD!$A$3:$A$5001,"&gt;="&amp;$C$7,BD!$A$3:$A$5001,"&lt;="&amp;$B160,BD!$W$3:$W$5001,"&lt;&gt;"))))</f>
        <v/>
      </c>
    </row>
    <row r="161">
      <c r="A161" s="40">
        <v>23</v>
      </c>
      <c r="B161" s="41">
        <f>$B$34</f>
        <v>46318</v>
      </c>
      <c r="C161" s="42" t="str">
        <f>IF(OR($B161="",$A161&gt;$B$9),"",IF(COUNTIFS(BD!$B$3:$B$5001,C$138,BD!$A$3:$A$5001,"&gt;="&amp;$C$7,BD!$A$3:$A$5001,"&lt;="&amp;$B161,BD!$W$3:$W$5001,"&lt;&gt;")=0,"",SUMIFS(BD!$W$3:$W$5001,BD!$B$3:$B$5001,C$138,BD!$A$3:$A$5001,_xlfn.MAXIFS(BD!$A$3:$A$5001,BD!$B$3:$B$5001,C$138,BD!$A$3:$A$5001,"&gt;="&amp;$C$7,BD!$A$3:$A$5001,"&lt;="&amp;$B161,BD!$W$3:$W$5001,"&lt;&gt;"))))</f>
        <v/>
      </c>
      <c r="D161" s="42" t="str">
        <f>IF(OR($B161="",$A161&gt;$B$9),"",IF(COUNTIFS(BD!$B$3:$B$5001,D$138,BD!$A$3:$A$5001,"&gt;="&amp;$C$7,BD!$A$3:$A$5001,"&lt;="&amp;$B161,BD!$W$3:$W$5001,"&lt;&gt;")=0,"",SUMIFS(BD!$W$3:$W$5001,BD!$B$3:$B$5001,D$138,BD!$A$3:$A$5001,_xlfn.MAXIFS(BD!$A$3:$A$5001,BD!$B$3:$B$5001,D$138,BD!$A$3:$A$5001,"&gt;="&amp;$C$7,BD!$A$3:$A$5001,"&lt;="&amp;$B161,BD!$W$3:$W$5001,"&lt;&gt;"))))</f>
        <v/>
      </c>
      <c r="E161" s="42" t="str">
        <f>IF(OR($B161="",$A161&gt;$B$9),"",IF(COUNTIFS(BD!$B$3:$B$5001,E$138,BD!$A$3:$A$5001,"&gt;="&amp;$C$7,BD!$A$3:$A$5001,"&lt;="&amp;$B161,BD!$W$3:$W$5001,"&lt;&gt;")=0,"",SUMIFS(BD!$W$3:$W$5001,BD!$B$3:$B$5001,E$138,BD!$A$3:$A$5001,_xlfn.MAXIFS(BD!$A$3:$A$5001,BD!$B$3:$B$5001,E$138,BD!$A$3:$A$5001,"&gt;="&amp;$C$7,BD!$A$3:$A$5001,"&lt;="&amp;$B161,BD!$W$3:$W$5001,"&lt;&gt;"))))</f>
        <v/>
      </c>
      <c r="F161" s="42" t="str">
        <f>IF(OR($B161="",$A161&gt;$B$9),"",IF(COUNTIFS(BD!$B$3:$B$5001,F$138,BD!$A$3:$A$5001,"&gt;="&amp;$C$7,BD!$A$3:$A$5001,"&lt;="&amp;$B161,BD!$W$3:$W$5001,"&lt;&gt;")=0,"",SUMIFS(BD!$W$3:$W$5001,BD!$B$3:$B$5001,F$138,BD!$A$3:$A$5001,_xlfn.MAXIFS(BD!$A$3:$A$5001,BD!$B$3:$B$5001,F$138,BD!$A$3:$A$5001,"&gt;="&amp;$C$7,BD!$A$3:$A$5001,"&lt;="&amp;$B161,BD!$W$3:$W$5001,"&lt;&gt;"))))</f>
        <v/>
      </c>
      <c r="G161" s="42" t="str">
        <f>IF(OR($B161="",$A161&gt;$B$9),"",IF(COUNTIFS(BD!$B$3:$B$5001,G$138,BD!$A$3:$A$5001,"&gt;="&amp;$C$7,BD!$A$3:$A$5001,"&lt;="&amp;$B161,BD!$W$3:$W$5001,"&lt;&gt;")=0,"",SUMIFS(BD!$W$3:$W$5001,BD!$B$3:$B$5001,G$138,BD!$A$3:$A$5001,_xlfn.MAXIFS(BD!$A$3:$A$5001,BD!$B$3:$B$5001,G$138,BD!$A$3:$A$5001,"&gt;="&amp;$C$7,BD!$A$3:$A$5001,"&lt;="&amp;$B161,BD!$W$3:$W$5001,"&lt;&gt;"))))</f>
        <v/>
      </c>
      <c r="H161" s="42" t="str">
        <f>IF(OR($B161="",$A161&gt;$B$9),"",IF(COUNTIFS(BD!$B$3:$B$5001,H$138,BD!$A$3:$A$5001,"&gt;="&amp;$C$7,BD!$A$3:$A$5001,"&lt;="&amp;$B161,BD!$W$3:$W$5001,"&lt;&gt;")=0,"",SUMIFS(BD!$W$3:$W$5001,BD!$B$3:$B$5001,H$138,BD!$A$3:$A$5001,_xlfn.MAXIFS(BD!$A$3:$A$5001,BD!$B$3:$B$5001,H$138,BD!$A$3:$A$5001,"&gt;="&amp;$C$7,BD!$A$3:$A$5001,"&lt;="&amp;$B161,BD!$W$3:$W$5001,"&lt;&gt;"))))</f>
        <v/>
      </c>
      <c r="I161" s="42" t="str">
        <f>IF(OR($B161="",$A161&gt;$B$9),"",IF(COUNTIFS(BD!$B$3:$B$5001,I$138,BD!$A$3:$A$5001,"&gt;="&amp;$C$7,BD!$A$3:$A$5001,"&lt;="&amp;$B161,BD!$W$3:$W$5001,"&lt;&gt;")=0,"",SUMIFS(BD!$W$3:$W$5001,BD!$B$3:$B$5001,I$138,BD!$A$3:$A$5001,_xlfn.MAXIFS(BD!$A$3:$A$5001,BD!$B$3:$B$5001,I$138,BD!$A$3:$A$5001,"&gt;="&amp;$C$7,BD!$A$3:$A$5001,"&lt;="&amp;$B161,BD!$W$3:$W$5001,"&lt;&gt;"))))</f>
        <v/>
      </c>
      <c r="J161" s="42" t="str">
        <f>IF(OR($B161="",$A161&gt;$B$9),"",IF(COUNTIFS(BD!$B$3:$B$5001,J$138,BD!$A$3:$A$5001,"&gt;="&amp;$C$7,BD!$A$3:$A$5001,"&lt;="&amp;$B161,BD!$W$3:$W$5001,"&lt;&gt;")=0,"",SUMIFS(BD!$W$3:$W$5001,BD!$B$3:$B$5001,J$138,BD!$A$3:$A$5001,_xlfn.MAXIFS(BD!$A$3:$A$5001,BD!$B$3:$B$5001,J$138,BD!$A$3:$A$5001,"&gt;="&amp;$C$7,BD!$A$3:$A$5001,"&lt;="&amp;$B161,BD!$W$3:$W$5001,"&lt;&gt;"))))</f>
        <v/>
      </c>
      <c r="K161" s="42" t="str">
        <f>IF(OR($B161="",$A161&gt;$B$9),"",IF(COUNTIFS(BD!$B$3:$B$5001,K$138,BD!$A$3:$A$5001,"&gt;="&amp;$C$7,BD!$A$3:$A$5001,"&lt;="&amp;$B161,BD!$W$3:$W$5001,"&lt;&gt;")=0,"",SUMIFS(BD!$W$3:$W$5001,BD!$B$3:$B$5001,K$138,BD!$A$3:$A$5001,_xlfn.MAXIFS(BD!$A$3:$A$5001,BD!$B$3:$B$5001,K$138,BD!$A$3:$A$5001,"&gt;="&amp;$C$7,BD!$A$3:$A$5001,"&lt;="&amp;$B161,BD!$W$3:$W$5001,"&lt;&gt;"))))</f>
        <v/>
      </c>
      <c r="L161" s="42" t="str">
        <f>IF(OR($B161="",$A161&gt;$B$9),"",IF(COUNTIFS(BD!$B$3:$B$5001,L$138,BD!$A$3:$A$5001,"&gt;="&amp;$C$7,BD!$A$3:$A$5001,"&lt;="&amp;$B161,BD!$W$3:$W$5001,"&lt;&gt;")=0,"",SUMIFS(BD!$W$3:$W$5001,BD!$B$3:$B$5001,L$138,BD!$A$3:$A$5001,_xlfn.MAXIFS(BD!$A$3:$A$5001,BD!$B$3:$B$5001,L$138,BD!$A$3:$A$5001,"&gt;="&amp;$C$7,BD!$A$3:$A$5001,"&lt;="&amp;$B161,BD!$W$3:$W$5001,"&lt;&gt;"))))</f>
        <v/>
      </c>
    </row>
    <row r="162">
      <c r="A162" s="40">
        <v>24</v>
      </c>
      <c r="B162" s="41">
        <f>$B$35</f>
        <v>46319</v>
      </c>
      <c r="C162" s="42" t="str">
        <f>IF(OR($B162="",$A162&gt;$B$9),"",IF(COUNTIFS(BD!$B$3:$B$5001,C$138,BD!$A$3:$A$5001,"&gt;="&amp;$C$7,BD!$A$3:$A$5001,"&lt;="&amp;$B162,BD!$W$3:$W$5001,"&lt;&gt;")=0,"",SUMIFS(BD!$W$3:$W$5001,BD!$B$3:$B$5001,C$138,BD!$A$3:$A$5001,_xlfn.MAXIFS(BD!$A$3:$A$5001,BD!$B$3:$B$5001,C$138,BD!$A$3:$A$5001,"&gt;="&amp;$C$7,BD!$A$3:$A$5001,"&lt;="&amp;$B162,BD!$W$3:$W$5001,"&lt;&gt;"))))</f>
        <v/>
      </c>
      <c r="D162" s="42" t="str">
        <f>IF(OR($B162="",$A162&gt;$B$9),"",IF(COUNTIFS(BD!$B$3:$B$5001,D$138,BD!$A$3:$A$5001,"&gt;="&amp;$C$7,BD!$A$3:$A$5001,"&lt;="&amp;$B162,BD!$W$3:$W$5001,"&lt;&gt;")=0,"",SUMIFS(BD!$W$3:$W$5001,BD!$B$3:$B$5001,D$138,BD!$A$3:$A$5001,_xlfn.MAXIFS(BD!$A$3:$A$5001,BD!$B$3:$B$5001,D$138,BD!$A$3:$A$5001,"&gt;="&amp;$C$7,BD!$A$3:$A$5001,"&lt;="&amp;$B162,BD!$W$3:$W$5001,"&lt;&gt;"))))</f>
        <v/>
      </c>
      <c r="E162" s="42" t="str">
        <f>IF(OR($B162="",$A162&gt;$B$9),"",IF(COUNTIFS(BD!$B$3:$B$5001,E$138,BD!$A$3:$A$5001,"&gt;="&amp;$C$7,BD!$A$3:$A$5001,"&lt;="&amp;$B162,BD!$W$3:$W$5001,"&lt;&gt;")=0,"",SUMIFS(BD!$W$3:$W$5001,BD!$B$3:$B$5001,E$138,BD!$A$3:$A$5001,_xlfn.MAXIFS(BD!$A$3:$A$5001,BD!$B$3:$B$5001,E$138,BD!$A$3:$A$5001,"&gt;="&amp;$C$7,BD!$A$3:$A$5001,"&lt;="&amp;$B162,BD!$W$3:$W$5001,"&lt;&gt;"))))</f>
        <v/>
      </c>
      <c r="F162" s="42" t="str">
        <f>IF(OR($B162="",$A162&gt;$B$9),"",IF(COUNTIFS(BD!$B$3:$B$5001,F$138,BD!$A$3:$A$5001,"&gt;="&amp;$C$7,BD!$A$3:$A$5001,"&lt;="&amp;$B162,BD!$W$3:$W$5001,"&lt;&gt;")=0,"",SUMIFS(BD!$W$3:$W$5001,BD!$B$3:$B$5001,F$138,BD!$A$3:$A$5001,_xlfn.MAXIFS(BD!$A$3:$A$5001,BD!$B$3:$B$5001,F$138,BD!$A$3:$A$5001,"&gt;="&amp;$C$7,BD!$A$3:$A$5001,"&lt;="&amp;$B162,BD!$W$3:$W$5001,"&lt;&gt;"))))</f>
        <v/>
      </c>
      <c r="G162" s="42" t="str">
        <f>IF(OR($B162="",$A162&gt;$B$9),"",IF(COUNTIFS(BD!$B$3:$B$5001,G$138,BD!$A$3:$A$5001,"&gt;="&amp;$C$7,BD!$A$3:$A$5001,"&lt;="&amp;$B162,BD!$W$3:$W$5001,"&lt;&gt;")=0,"",SUMIFS(BD!$W$3:$W$5001,BD!$B$3:$B$5001,G$138,BD!$A$3:$A$5001,_xlfn.MAXIFS(BD!$A$3:$A$5001,BD!$B$3:$B$5001,G$138,BD!$A$3:$A$5001,"&gt;="&amp;$C$7,BD!$A$3:$A$5001,"&lt;="&amp;$B162,BD!$W$3:$W$5001,"&lt;&gt;"))))</f>
        <v/>
      </c>
      <c r="H162" s="42" t="str">
        <f>IF(OR($B162="",$A162&gt;$B$9),"",IF(COUNTIFS(BD!$B$3:$B$5001,H$138,BD!$A$3:$A$5001,"&gt;="&amp;$C$7,BD!$A$3:$A$5001,"&lt;="&amp;$B162,BD!$W$3:$W$5001,"&lt;&gt;")=0,"",SUMIFS(BD!$W$3:$W$5001,BD!$B$3:$B$5001,H$138,BD!$A$3:$A$5001,_xlfn.MAXIFS(BD!$A$3:$A$5001,BD!$B$3:$B$5001,H$138,BD!$A$3:$A$5001,"&gt;="&amp;$C$7,BD!$A$3:$A$5001,"&lt;="&amp;$B162,BD!$W$3:$W$5001,"&lt;&gt;"))))</f>
        <v/>
      </c>
      <c r="I162" s="42" t="str">
        <f>IF(OR($B162="",$A162&gt;$B$9),"",IF(COUNTIFS(BD!$B$3:$B$5001,I$138,BD!$A$3:$A$5001,"&gt;="&amp;$C$7,BD!$A$3:$A$5001,"&lt;="&amp;$B162,BD!$W$3:$W$5001,"&lt;&gt;")=0,"",SUMIFS(BD!$W$3:$W$5001,BD!$B$3:$B$5001,I$138,BD!$A$3:$A$5001,_xlfn.MAXIFS(BD!$A$3:$A$5001,BD!$B$3:$B$5001,I$138,BD!$A$3:$A$5001,"&gt;="&amp;$C$7,BD!$A$3:$A$5001,"&lt;="&amp;$B162,BD!$W$3:$W$5001,"&lt;&gt;"))))</f>
        <v/>
      </c>
      <c r="J162" s="42" t="str">
        <f>IF(OR($B162="",$A162&gt;$B$9),"",IF(COUNTIFS(BD!$B$3:$B$5001,J$138,BD!$A$3:$A$5001,"&gt;="&amp;$C$7,BD!$A$3:$A$5001,"&lt;="&amp;$B162,BD!$W$3:$W$5001,"&lt;&gt;")=0,"",SUMIFS(BD!$W$3:$W$5001,BD!$B$3:$B$5001,J$138,BD!$A$3:$A$5001,_xlfn.MAXIFS(BD!$A$3:$A$5001,BD!$B$3:$B$5001,J$138,BD!$A$3:$A$5001,"&gt;="&amp;$C$7,BD!$A$3:$A$5001,"&lt;="&amp;$B162,BD!$W$3:$W$5001,"&lt;&gt;"))))</f>
        <v/>
      </c>
      <c r="K162" s="42" t="str">
        <f>IF(OR($B162="",$A162&gt;$B$9),"",IF(COUNTIFS(BD!$B$3:$B$5001,K$138,BD!$A$3:$A$5001,"&gt;="&amp;$C$7,BD!$A$3:$A$5001,"&lt;="&amp;$B162,BD!$W$3:$W$5001,"&lt;&gt;")=0,"",SUMIFS(BD!$W$3:$W$5001,BD!$B$3:$B$5001,K$138,BD!$A$3:$A$5001,_xlfn.MAXIFS(BD!$A$3:$A$5001,BD!$B$3:$B$5001,K$138,BD!$A$3:$A$5001,"&gt;="&amp;$C$7,BD!$A$3:$A$5001,"&lt;="&amp;$B162,BD!$W$3:$W$5001,"&lt;&gt;"))))</f>
        <v/>
      </c>
      <c r="L162" s="42" t="str">
        <f>IF(OR($B162="",$A162&gt;$B$9),"",IF(COUNTIFS(BD!$B$3:$B$5001,L$138,BD!$A$3:$A$5001,"&gt;="&amp;$C$7,BD!$A$3:$A$5001,"&lt;="&amp;$B162,BD!$W$3:$W$5001,"&lt;&gt;")=0,"",SUMIFS(BD!$W$3:$W$5001,BD!$B$3:$B$5001,L$138,BD!$A$3:$A$5001,_xlfn.MAXIFS(BD!$A$3:$A$5001,BD!$B$3:$B$5001,L$138,BD!$A$3:$A$5001,"&gt;="&amp;$C$7,BD!$A$3:$A$5001,"&lt;="&amp;$B162,BD!$W$3:$W$5001,"&lt;&gt;"))))</f>
        <v/>
      </c>
    </row>
    <row r="163">
      <c r="A163" s="40">
        <v>25</v>
      </c>
      <c r="B163" s="41">
        <f>$B$36</f>
        <v>46320</v>
      </c>
      <c r="C163" s="42" t="str">
        <f>IF(OR($B163="",$A163&gt;$B$9),"",IF(COUNTIFS(BD!$B$3:$B$5001,C$138,BD!$A$3:$A$5001,"&gt;="&amp;$C$7,BD!$A$3:$A$5001,"&lt;="&amp;$B163,BD!$W$3:$W$5001,"&lt;&gt;")=0,"",SUMIFS(BD!$W$3:$W$5001,BD!$B$3:$B$5001,C$138,BD!$A$3:$A$5001,_xlfn.MAXIFS(BD!$A$3:$A$5001,BD!$B$3:$B$5001,C$138,BD!$A$3:$A$5001,"&gt;="&amp;$C$7,BD!$A$3:$A$5001,"&lt;="&amp;$B163,BD!$W$3:$W$5001,"&lt;&gt;"))))</f>
        <v/>
      </c>
      <c r="D163" s="42" t="str">
        <f>IF(OR($B163="",$A163&gt;$B$9),"",IF(COUNTIFS(BD!$B$3:$B$5001,D$138,BD!$A$3:$A$5001,"&gt;="&amp;$C$7,BD!$A$3:$A$5001,"&lt;="&amp;$B163,BD!$W$3:$W$5001,"&lt;&gt;")=0,"",SUMIFS(BD!$W$3:$W$5001,BD!$B$3:$B$5001,D$138,BD!$A$3:$A$5001,_xlfn.MAXIFS(BD!$A$3:$A$5001,BD!$B$3:$B$5001,D$138,BD!$A$3:$A$5001,"&gt;="&amp;$C$7,BD!$A$3:$A$5001,"&lt;="&amp;$B163,BD!$W$3:$W$5001,"&lt;&gt;"))))</f>
        <v/>
      </c>
      <c r="E163" s="42" t="str">
        <f>IF(OR($B163="",$A163&gt;$B$9),"",IF(COUNTIFS(BD!$B$3:$B$5001,E$138,BD!$A$3:$A$5001,"&gt;="&amp;$C$7,BD!$A$3:$A$5001,"&lt;="&amp;$B163,BD!$W$3:$W$5001,"&lt;&gt;")=0,"",SUMIFS(BD!$W$3:$W$5001,BD!$B$3:$B$5001,E$138,BD!$A$3:$A$5001,_xlfn.MAXIFS(BD!$A$3:$A$5001,BD!$B$3:$B$5001,E$138,BD!$A$3:$A$5001,"&gt;="&amp;$C$7,BD!$A$3:$A$5001,"&lt;="&amp;$B163,BD!$W$3:$W$5001,"&lt;&gt;"))))</f>
        <v/>
      </c>
      <c r="F163" s="42" t="str">
        <f>IF(OR($B163="",$A163&gt;$B$9),"",IF(COUNTIFS(BD!$B$3:$B$5001,F$138,BD!$A$3:$A$5001,"&gt;="&amp;$C$7,BD!$A$3:$A$5001,"&lt;="&amp;$B163,BD!$W$3:$W$5001,"&lt;&gt;")=0,"",SUMIFS(BD!$W$3:$W$5001,BD!$B$3:$B$5001,F$138,BD!$A$3:$A$5001,_xlfn.MAXIFS(BD!$A$3:$A$5001,BD!$B$3:$B$5001,F$138,BD!$A$3:$A$5001,"&gt;="&amp;$C$7,BD!$A$3:$A$5001,"&lt;="&amp;$B163,BD!$W$3:$W$5001,"&lt;&gt;"))))</f>
        <v/>
      </c>
      <c r="G163" s="42" t="str">
        <f>IF(OR($B163="",$A163&gt;$B$9),"",IF(COUNTIFS(BD!$B$3:$B$5001,G$138,BD!$A$3:$A$5001,"&gt;="&amp;$C$7,BD!$A$3:$A$5001,"&lt;="&amp;$B163,BD!$W$3:$W$5001,"&lt;&gt;")=0,"",SUMIFS(BD!$W$3:$W$5001,BD!$B$3:$B$5001,G$138,BD!$A$3:$A$5001,_xlfn.MAXIFS(BD!$A$3:$A$5001,BD!$B$3:$B$5001,G$138,BD!$A$3:$A$5001,"&gt;="&amp;$C$7,BD!$A$3:$A$5001,"&lt;="&amp;$B163,BD!$W$3:$W$5001,"&lt;&gt;"))))</f>
        <v/>
      </c>
      <c r="H163" s="42" t="str">
        <f>IF(OR($B163="",$A163&gt;$B$9),"",IF(COUNTIFS(BD!$B$3:$B$5001,H$138,BD!$A$3:$A$5001,"&gt;="&amp;$C$7,BD!$A$3:$A$5001,"&lt;="&amp;$B163,BD!$W$3:$W$5001,"&lt;&gt;")=0,"",SUMIFS(BD!$W$3:$W$5001,BD!$B$3:$B$5001,H$138,BD!$A$3:$A$5001,_xlfn.MAXIFS(BD!$A$3:$A$5001,BD!$B$3:$B$5001,H$138,BD!$A$3:$A$5001,"&gt;="&amp;$C$7,BD!$A$3:$A$5001,"&lt;="&amp;$B163,BD!$W$3:$W$5001,"&lt;&gt;"))))</f>
        <v/>
      </c>
      <c r="I163" s="42" t="str">
        <f>IF(OR($B163="",$A163&gt;$B$9),"",IF(COUNTIFS(BD!$B$3:$B$5001,I$138,BD!$A$3:$A$5001,"&gt;="&amp;$C$7,BD!$A$3:$A$5001,"&lt;="&amp;$B163,BD!$W$3:$W$5001,"&lt;&gt;")=0,"",SUMIFS(BD!$W$3:$W$5001,BD!$B$3:$B$5001,I$138,BD!$A$3:$A$5001,_xlfn.MAXIFS(BD!$A$3:$A$5001,BD!$B$3:$B$5001,I$138,BD!$A$3:$A$5001,"&gt;="&amp;$C$7,BD!$A$3:$A$5001,"&lt;="&amp;$B163,BD!$W$3:$W$5001,"&lt;&gt;"))))</f>
        <v/>
      </c>
      <c r="J163" s="42" t="str">
        <f>IF(OR($B163="",$A163&gt;$B$9),"",IF(COUNTIFS(BD!$B$3:$B$5001,J$138,BD!$A$3:$A$5001,"&gt;="&amp;$C$7,BD!$A$3:$A$5001,"&lt;="&amp;$B163,BD!$W$3:$W$5001,"&lt;&gt;")=0,"",SUMIFS(BD!$W$3:$W$5001,BD!$B$3:$B$5001,J$138,BD!$A$3:$A$5001,_xlfn.MAXIFS(BD!$A$3:$A$5001,BD!$B$3:$B$5001,J$138,BD!$A$3:$A$5001,"&gt;="&amp;$C$7,BD!$A$3:$A$5001,"&lt;="&amp;$B163,BD!$W$3:$W$5001,"&lt;&gt;"))))</f>
        <v/>
      </c>
      <c r="K163" s="42" t="str">
        <f>IF(OR($B163="",$A163&gt;$B$9),"",IF(COUNTIFS(BD!$B$3:$B$5001,K$138,BD!$A$3:$A$5001,"&gt;="&amp;$C$7,BD!$A$3:$A$5001,"&lt;="&amp;$B163,BD!$W$3:$W$5001,"&lt;&gt;")=0,"",SUMIFS(BD!$W$3:$W$5001,BD!$B$3:$B$5001,K$138,BD!$A$3:$A$5001,_xlfn.MAXIFS(BD!$A$3:$A$5001,BD!$B$3:$B$5001,K$138,BD!$A$3:$A$5001,"&gt;="&amp;$C$7,BD!$A$3:$A$5001,"&lt;="&amp;$B163,BD!$W$3:$W$5001,"&lt;&gt;"))))</f>
        <v/>
      </c>
      <c r="L163" s="42" t="str">
        <f>IF(OR($B163="",$A163&gt;$B$9),"",IF(COUNTIFS(BD!$B$3:$B$5001,L$138,BD!$A$3:$A$5001,"&gt;="&amp;$C$7,BD!$A$3:$A$5001,"&lt;="&amp;$B163,BD!$W$3:$W$5001,"&lt;&gt;")=0,"",SUMIFS(BD!$W$3:$W$5001,BD!$B$3:$B$5001,L$138,BD!$A$3:$A$5001,_xlfn.MAXIFS(BD!$A$3:$A$5001,BD!$B$3:$B$5001,L$138,BD!$A$3:$A$5001,"&gt;="&amp;$C$7,BD!$A$3:$A$5001,"&lt;="&amp;$B163,BD!$W$3:$W$5001,"&lt;&gt;"))))</f>
        <v/>
      </c>
    </row>
    <row r="164">
      <c r="A164" s="40">
        <v>26</v>
      </c>
      <c r="B164" s="41">
        <f>$B$37</f>
        <v>46321</v>
      </c>
      <c r="C164" s="42" t="str">
        <f>IF(OR($B164="",$A164&gt;$B$9),"",IF(COUNTIFS(BD!$B$3:$B$5001,C$138,BD!$A$3:$A$5001,"&gt;="&amp;$C$7,BD!$A$3:$A$5001,"&lt;="&amp;$B164,BD!$W$3:$W$5001,"&lt;&gt;")=0,"",SUMIFS(BD!$W$3:$W$5001,BD!$B$3:$B$5001,C$138,BD!$A$3:$A$5001,_xlfn.MAXIFS(BD!$A$3:$A$5001,BD!$B$3:$B$5001,C$138,BD!$A$3:$A$5001,"&gt;="&amp;$C$7,BD!$A$3:$A$5001,"&lt;="&amp;$B164,BD!$W$3:$W$5001,"&lt;&gt;"))))</f>
        <v/>
      </c>
      <c r="D164" s="42" t="str">
        <f>IF(OR($B164="",$A164&gt;$B$9),"",IF(COUNTIFS(BD!$B$3:$B$5001,D$138,BD!$A$3:$A$5001,"&gt;="&amp;$C$7,BD!$A$3:$A$5001,"&lt;="&amp;$B164,BD!$W$3:$W$5001,"&lt;&gt;")=0,"",SUMIFS(BD!$W$3:$W$5001,BD!$B$3:$B$5001,D$138,BD!$A$3:$A$5001,_xlfn.MAXIFS(BD!$A$3:$A$5001,BD!$B$3:$B$5001,D$138,BD!$A$3:$A$5001,"&gt;="&amp;$C$7,BD!$A$3:$A$5001,"&lt;="&amp;$B164,BD!$W$3:$W$5001,"&lt;&gt;"))))</f>
        <v/>
      </c>
      <c r="E164" s="42" t="str">
        <f>IF(OR($B164="",$A164&gt;$B$9),"",IF(COUNTIFS(BD!$B$3:$B$5001,E$138,BD!$A$3:$A$5001,"&gt;="&amp;$C$7,BD!$A$3:$A$5001,"&lt;="&amp;$B164,BD!$W$3:$W$5001,"&lt;&gt;")=0,"",SUMIFS(BD!$W$3:$W$5001,BD!$B$3:$B$5001,E$138,BD!$A$3:$A$5001,_xlfn.MAXIFS(BD!$A$3:$A$5001,BD!$B$3:$B$5001,E$138,BD!$A$3:$A$5001,"&gt;="&amp;$C$7,BD!$A$3:$A$5001,"&lt;="&amp;$B164,BD!$W$3:$W$5001,"&lt;&gt;"))))</f>
        <v/>
      </c>
      <c r="F164" s="42" t="str">
        <f>IF(OR($B164="",$A164&gt;$B$9),"",IF(COUNTIFS(BD!$B$3:$B$5001,F$138,BD!$A$3:$A$5001,"&gt;="&amp;$C$7,BD!$A$3:$A$5001,"&lt;="&amp;$B164,BD!$W$3:$W$5001,"&lt;&gt;")=0,"",SUMIFS(BD!$W$3:$W$5001,BD!$B$3:$B$5001,F$138,BD!$A$3:$A$5001,_xlfn.MAXIFS(BD!$A$3:$A$5001,BD!$B$3:$B$5001,F$138,BD!$A$3:$A$5001,"&gt;="&amp;$C$7,BD!$A$3:$A$5001,"&lt;="&amp;$B164,BD!$W$3:$W$5001,"&lt;&gt;"))))</f>
        <v/>
      </c>
      <c r="G164" s="42" t="str">
        <f>IF(OR($B164="",$A164&gt;$B$9),"",IF(COUNTIFS(BD!$B$3:$B$5001,G$138,BD!$A$3:$A$5001,"&gt;="&amp;$C$7,BD!$A$3:$A$5001,"&lt;="&amp;$B164,BD!$W$3:$W$5001,"&lt;&gt;")=0,"",SUMIFS(BD!$W$3:$W$5001,BD!$B$3:$B$5001,G$138,BD!$A$3:$A$5001,_xlfn.MAXIFS(BD!$A$3:$A$5001,BD!$B$3:$B$5001,G$138,BD!$A$3:$A$5001,"&gt;="&amp;$C$7,BD!$A$3:$A$5001,"&lt;="&amp;$B164,BD!$W$3:$W$5001,"&lt;&gt;"))))</f>
        <v/>
      </c>
      <c r="H164" s="42" t="str">
        <f>IF(OR($B164="",$A164&gt;$B$9),"",IF(COUNTIFS(BD!$B$3:$B$5001,H$138,BD!$A$3:$A$5001,"&gt;="&amp;$C$7,BD!$A$3:$A$5001,"&lt;="&amp;$B164,BD!$W$3:$W$5001,"&lt;&gt;")=0,"",SUMIFS(BD!$W$3:$W$5001,BD!$B$3:$B$5001,H$138,BD!$A$3:$A$5001,_xlfn.MAXIFS(BD!$A$3:$A$5001,BD!$B$3:$B$5001,H$138,BD!$A$3:$A$5001,"&gt;="&amp;$C$7,BD!$A$3:$A$5001,"&lt;="&amp;$B164,BD!$W$3:$W$5001,"&lt;&gt;"))))</f>
        <v/>
      </c>
      <c r="I164" s="42" t="str">
        <f>IF(OR($B164="",$A164&gt;$B$9),"",IF(COUNTIFS(BD!$B$3:$B$5001,I$138,BD!$A$3:$A$5001,"&gt;="&amp;$C$7,BD!$A$3:$A$5001,"&lt;="&amp;$B164,BD!$W$3:$W$5001,"&lt;&gt;")=0,"",SUMIFS(BD!$W$3:$W$5001,BD!$B$3:$B$5001,I$138,BD!$A$3:$A$5001,_xlfn.MAXIFS(BD!$A$3:$A$5001,BD!$B$3:$B$5001,I$138,BD!$A$3:$A$5001,"&gt;="&amp;$C$7,BD!$A$3:$A$5001,"&lt;="&amp;$B164,BD!$W$3:$W$5001,"&lt;&gt;"))))</f>
        <v/>
      </c>
      <c r="J164" s="42" t="str">
        <f>IF(OR($B164="",$A164&gt;$B$9),"",IF(COUNTIFS(BD!$B$3:$B$5001,J$138,BD!$A$3:$A$5001,"&gt;="&amp;$C$7,BD!$A$3:$A$5001,"&lt;="&amp;$B164,BD!$W$3:$W$5001,"&lt;&gt;")=0,"",SUMIFS(BD!$W$3:$W$5001,BD!$B$3:$B$5001,J$138,BD!$A$3:$A$5001,_xlfn.MAXIFS(BD!$A$3:$A$5001,BD!$B$3:$B$5001,J$138,BD!$A$3:$A$5001,"&gt;="&amp;$C$7,BD!$A$3:$A$5001,"&lt;="&amp;$B164,BD!$W$3:$W$5001,"&lt;&gt;"))))</f>
        <v/>
      </c>
      <c r="K164" s="42" t="str">
        <f>IF(OR($B164="",$A164&gt;$B$9),"",IF(COUNTIFS(BD!$B$3:$B$5001,K$138,BD!$A$3:$A$5001,"&gt;="&amp;$C$7,BD!$A$3:$A$5001,"&lt;="&amp;$B164,BD!$W$3:$W$5001,"&lt;&gt;")=0,"",SUMIFS(BD!$W$3:$W$5001,BD!$B$3:$B$5001,K$138,BD!$A$3:$A$5001,_xlfn.MAXIFS(BD!$A$3:$A$5001,BD!$B$3:$B$5001,K$138,BD!$A$3:$A$5001,"&gt;="&amp;$C$7,BD!$A$3:$A$5001,"&lt;="&amp;$B164,BD!$W$3:$W$5001,"&lt;&gt;"))))</f>
        <v/>
      </c>
      <c r="L164" s="42" t="str">
        <f>IF(OR($B164="",$A164&gt;$B$9),"",IF(COUNTIFS(BD!$B$3:$B$5001,L$138,BD!$A$3:$A$5001,"&gt;="&amp;$C$7,BD!$A$3:$A$5001,"&lt;="&amp;$B164,BD!$W$3:$W$5001,"&lt;&gt;")=0,"",SUMIFS(BD!$W$3:$W$5001,BD!$B$3:$B$5001,L$138,BD!$A$3:$A$5001,_xlfn.MAXIFS(BD!$A$3:$A$5001,BD!$B$3:$B$5001,L$138,BD!$A$3:$A$5001,"&gt;="&amp;$C$7,BD!$A$3:$A$5001,"&lt;="&amp;$B164,BD!$W$3:$W$5001,"&lt;&gt;"))))</f>
        <v/>
      </c>
    </row>
    <row r="165">
      <c r="A165" s="40">
        <v>27</v>
      </c>
      <c r="B165" s="41">
        <f>$B$38</f>
        <v>46322</v>
      </c>
      <c r="C165" s="42" t="str">
        <f>IF(OR($B165="",$A165&gt;$B$9),"",IF(COUNTIFS(BD!$B$3:$B$5001,C$138,BD!$A$3:$A$5001,"&gt;="&amp;$C$7,BD!$A$3:$A$5001,"&lt;="&amp;$B165,BD!$W$3:$W$5001,"&lt;&gt;")=0,"",SUMIFS(BD!$W$3:$W$5001,BD!$B$3:$B$5001,C$138,BD!$A$3:$A$5001,_xlfn.MAXIFS(BD!$A$3:$A$5001,BD!$B$3:$B$5001,C$138,BD!$A$3:$A$5001,"&gt;="&amp;$C$7,BD!$A$3:$A$5001,"&lt;="&amp;$B165,BD!$W$3:$W$5001,"&lt;&gt;"))))</f>
        <v/>
      </c>
      <c r="D165" s="42" t="str">
        <f>IF(OR($B165="",$A165&gt;$B$9),"",IF(COUNTIFS(BD!$B$3:$B$5001,D$138,BD!$A$3:$A$5001,"&gt;="&amp;$C$7,BD!$A$3:$A$5001,"&lt;="&amp;$B165,BD!$W$3:$W$5001,"&lt;&gt;")=0,"",SUMIFS(BD!$W$3:$W$5001,BD!$B$3:$B$5001,D$138,BD!$A$3:$A$5001,_xlfn.MAXIFS(BD!$A$3:$A$5001,BD!$B$3:$B$5001,D$138,BD!$A$3:$A$5001,"&gt;="&amp;$C$7,BD!$A$3:$A$5001,"&lt;="&amp;$B165,BD!$W$3:$W$5001,"&lt;&gt;"))))</f>
        <v/>
      </c>
      <c r="E165" s="42" t="str">
        <f>IF(OR($B165="",$A165&gt;$B$9),"",IF(COUNTIFS(BD!$B$3:$B$5001,E$138,BD!$A$3:$A$5001,"&gt;="&amp;$C$7,BD!$A$3:$A$5001,"&lt;="&amp;$B165,BD!$W$3:$W$5001,"&lt;&gt;")=0,"",SUMIFS(BD!$W$3:$W$5001,BD!$B$3:$B$5001,E$138,BD!$A$3:$A$5001,_xlfn.MAXIFS(BD!$A$3:$A$5001,BD!$B$3:$B$5001,E$138,BD!$A$3:$A$5001,"&gt;="&amp;$C$7,BD!$A$3:$A$5001,"&lt;="&amp;$B165,BD!$W$3:$W$5001,"&lt;&gt;"))))</f>
        <v/>
      </c>
      <c r="F165" s="42" t="str">
        <f>IF(OR($B165="",$A165&gt;$B$9),"",IF(COUNTIFS(BD!$B$3:$B$5001,F$138,BD!$A$3:$A$5001,"&gt;="&amp;$C$7,BD!$A$3:$A$5001,"&lt;="&amp;$B165,BD!$W$3:$W$5001,"&lt;&gt;")=0,"",SUMIFS(BD!$W$3:$W$5001,BD!$B$3:$B$5001,F$138,BD!$A$3:$A$5001,_xlfn.MAXIFS(BD!$A$3:$A$5001,BD!$B$3:$B$5001,F$138,BD!$A$3:$A$5001,"&gt;="&amp;$C$7,BD!$A$3:$A$5001,"&lt;="&amp;$B165,BD!$W$3:$W$5001,"&lt;&gt;"))))</f>
        <v/>
      </c>
      <c r="G165" s="42" t="str">
        <f>IF(OR($B165="",$A165&gt;$B$9),"",IF(COUNTIFS(BD!$B$3:$B$5001,G$138,BD!$A$3:$A$5001,"&gt;="&amp;$C$7,BD!$A$3:$A$5001,"&lt;="&amp;$B165,BD!$W$3:$W$5001,"&lt;&gt;")=0,"",SUMIFS(BD!$W$3:$W$5001,BD!$B$3:$B$5001,G$138,BD!$A$3:$A$5001,_xlfn.MAXIFS(BD!$A$3:$A$5001,BD!$B$3:$B$5001,G$138,BD!$A$3:$A$5001,"&gt;="&amp;$C$7,BD!$A$3:$A$5001,"&lt;="&amp;$B165,BD!$W$3:$W$5001,"&lt;&gt;"))))</f>
        <v/>
      </c>
      <c r="H165" s="42" t="str">
        <f>IF(OR($B165="",$A165&gt;$B$9),"",IF(COUNTIFS(BD!$B$3:$B$5001,H$138,BD!$A$3:$A$5001,"&gt;="&amp;$C$7,BD!$A$3:$A$5001,"&lt;="&amp;$B165,BD!$W$3:$W$5001,"&lt;&gt;")=0,"",SUMIFS(BD!$W$3:$W$5001,BD!$B$3:$B$5001,H$138,BD!$A$3:$A$5001,_xlfn.MAXIFS(BD!$A$3:$A$5001,BD!$B$3:$B$5001,H$138,BD!$A$3:$A$5001,"&gt;="&amp;$C$7,BD!$A$3:$A$5001,"&lt;="&amp;$B165,BD!$W$3:$W$5001,"&lt;&gt;"))))</f>
        <v/>
      </c>
      <c r="I165" s="42" t="str">
        <f>IF(OR($B165="",$A165&gt;$B$9),"",IF(COUNTIFS(BD!$B$3:$B$5001,I$138,BD!$A$3:$A$5001,"&gt;="&amp;$C$7,BD!$A$3:$A$5001,"&lt;="&amp;$B165,BD!$W$3:$W$5001,"&lt;&gt;")=0,"",SUMIFS(BD!$W$3:$W$5001,BD!$B$3:$B$5001,I$138,BD!$A$3:$A$5001,_xlfn.MAXIFS(BD!$A$3:$A$5001,BD!$B$3:$B$5001,I$138,BD!$A$3:$A$5001,"&gt;="&amp;$C$7,BD!$A$3:$A$5001,"&lt;="&amp;$B165,BD!$W$3:$W$5001,"&lt;&gt;"))))</f>
        <v/>
      </c>
      <c r="J165" s="42" t="str">
        <f>IF(OR($B165="",$A165&gt;$B$9),"",IF(COUNTIFS(BD!$B$3:$B$5001,J$138,BD!$A$3:$A$5001,"&gt;="&amp;$C$7,BD!$A$3:$A$5001,"&lt;="&amp;$B165,BD!$W$3:$W$5001,"&lt;&gt;")=0,"",SUMIFS(BD!$W$3:$W$5001,BD!$B$3:$B$5001,J$138,BD!$A$3:$A$5001,_xlfn.MAXIFS(BD!$A$3:$A$5001,BD!$B$3:$B$5001,J$138,BD!$A$3:$A$5001,"&gt;="&amp;$C$7,BD!$A$3:$A$5001,"&lt;="&amp;$B165,BD!$W$3:$W$5001,"&lt;&gt;"))))</f>
        <v/>
      </c>
      <c r="K165" s="42" t="str">
        <f>IF(OR($B165="",$A165&gt;$B$9),"",IF(COUNTIFS(BD!$B$3:$B$5001,K$138,BD!$A$3:$A$5001,"&gt;="&amp;$C$7,BD!$A$3:$A$5001,"&lt;="&amp;$B165,BD!$W$3:$W$5001,"&lt;&gt;")=0,"",SUMIFS(BD!$W$3:$W$5001,BD!$B$3:$B$5001,K$138,BD!$A$3:$A$5001,_xlfn.MAXIFS(BD!$A$3:$A$5001,BD!$B$3:$B$5001,K$138,BD!$A$3:$A$5001,"&gt;="&amp;$C$7,BD!$A$3:$A$5001,"&lt;="&amp;$B165,BD!$W$3:$W$5001,"&lt;&gt;"))))</f>
        <v/>
      </c>
      <c r="L165" s="42" t="str">
        <f>IF(OR($B165="",$A165&gt;$B$9),"",IF(COUNTIFS(BD!$B$3:$B$5001,L$138,BD!$A$3:$A$5001,"&gt;="&amp;$C$7,BD!$A$3:$A$5001,"&lt;="&amp;$B165,BD!$W$3:$W$5001,"&lt;&gt;")=0,"",SUMIFS(BD!$W$3:$W$5001,BD!$B$3:$B$5001,L$138,BD!$A$3:$A$5001,_xlfn.MAXIFS(BD!$A$3:$A$5001,BD!$B$3:$B$5001,L$138,BD!$A$3:$A$5001,"&gt;="&amp;$C$7,BD!$A$3:$A$5001,"&lt;="&amp;$B165,BD!$W$3:$W$5001,"&lt;&gt;"))))</f>
        <v/>
      </c>
    </row>
    <row r="166">
      <c r="A166" s="40">
        <v>28</v>
      </c>
      <c r="B166" s="41">
        <f>$B$39</f>
        <v>46323</v>
      </c>
      <c r="C166" s="42" t="str">
        <f>IF(OR($B166="",$A166&gt;$B$9),"",IF(COUNTIFS(BD!$B$3:$B$5001,C$138,BD!$A$3:$A$5001,"&gt;="&amp;$C$7,BD!$A$3:$A$5001,"&lt;="&amp;$B166,BD!$W$3:$W$5001,"&lt;&gt;")=0,"",SUMIFS(BD!$W$3:$W$5001,BD!$B$3:$B$5001,C$138,BD!$A$3:$A$5001,_xlfn.MAXIFS(BD!$A$3:$A$5001,BD!$B$3:$B$5001,C$138,BD!$A$3:$A$5001,"&gt;="&amp;$C$7,BD!$A$3:$A$5001,"&lt;="&amp;$B166,BD!$W$3:$W$5001,"&lt;&gt;"))))</f>
        <v/>
      </c>
      <c r="D166" s="42" t="str">
        <f>IF(OR($B166="",$A166&gt;$B$9),"",IF(COUNTIFS(BD!$B$3:$B$5001,D$138,BD!$A$3:$A$5001,"&gt;="&amp;$C$7,BD!$A$3:$A$5001,"&lt;="&amp;$B166,BD!$W$3:$W$5001,"&lt;&gt;")=0,"",SUMIFS(BD!$W$3:$W$5001,BD!$B$3:$B$5001,D$138,BD!$A$3:$A$5001,_xlfn.MAXIFS(BD!$A$3:$A$5001,BD!$B$3:$B$5001,D$138,BD!$A$3:$A$5001,"&gt;="&amp;$C$7,BD!$A$3:$A$5001,"&lt;="&amp;$B166,BD!$W$3:$W$5001,"&lt;&gt;"))))</f>
        <v/>
      </c>
      <c r="E166" s="42" t="str">
        <f>IF(OR($B166="",$A166&gt;$B$9),"",IF(COUNTIFS(BD!$B$3:$B$5001,E$138,BD!$A$3:$A$5001,"&gt;="&amp;$C$7,BD!$A$3:$A$5001,"&lt;="&amp;$B166,BD!$W$3:$W$5001,"&lt;&gt;")=0,"",SUMIFS(BD!$W$3:$W$5001,BD!$B$3:$B$5001,E$138,BD!$A$3:$A$5001,_xlfn.MAXIFS(BD!$A$3:$A$5001,BD!$B$3:$B$5001,E$138,BD!$A$3:$A$5001,"&gt;="&amp;$C$7,BD!$A$3:$A$5001,"&lt;="&amp;$B166,BD!$W$3:$W$5001,"&lt;&gt;"))))</f>
        <v/>
      </c>
      <c r="F166" s="42" t="str">
        <f>IF(OR($B166="",$A166&gt;$B$9),"",IF(COUNTIFS(BD!$B$3:$B$5001,F$138,BD!$A$3:$A$5001,"&gt;="&amp;$C$7,BD!$A$3:$A$5001,"&lt;="&amp;$B166,BD!$W$3:$W$5001,"&lt;&gt;")=0,"",SUMIFS(BD!$W$3:$W$5001,BD!$B$3:$B$5001,F$138,BD!$A$3:$A$5001,_xlfn.MAXIFS(BD!$A$3:$A$5001,BD!$B$3:$B$5001,F$138,BD!$A$3:$A$5001,"&gt;="&amp;$C$7,BD!$A$3:$A$5001,"&lt;="&amp;$B166,BD!$W$3:$W$5001,"&lt;&gt;"))))</f>
        <v/>
      </c>
      <c r="G166" s="42" t="str">
        <f>IF(OR($B166="",$A166&gt;$B$9),"",IF(COUNTIFS(BD!$B$3:$B$5001,G$138,BD!$A$3:$A$5001,"&gt;="&amp;$C$7,BD!$A$3:$A$5001,"&lt;="&amp;$B166,BD!$W$3:$W$5001,"&lt;&gt;")=0,"",SUMIFS(BD!$W$3:$W$5001,BD!$B$3:$B$5001,G$138,BD!$A$3:$A$5001,_xlfn.MAXIFS(BD!$A$3:$A$5001,BD!$B$3:$B$5001,G$138,BD!$A$3:$A$5001,"&gt;="&amp;$C$7,BD!$A$3:$A$5001,"&lt;="&amp;$B166,BD!$W$3:$W$5001,"&lt;&gt;"))))</f>
        <v/>
      </c>
      <c r="H166" s="42" t="str">
        <f>IF(OR($B166="",$A166&gt;$B$9),"",IF(COUNTIFS(BD!$B$3:$B$5001,H$138,BD!$A$3:$A$5001,"&gt;="&amp;$C$7,BD!$A$3:$A$5001,"&lt;="&amp;$B166,BD!$W$3:$W$5001,"&lt;&gt;")=0,"",SUMIFS(BD!$W$3:$W$5001,BD!$B$3:$B$5001,H$138,BD!$A$3:$A$5001,_xlfn.MAXIFS(BD!$A$3:$A$5001,BD!$B$3:$B$5001,H$138,BD!$A$3:$A$5001,"&gt;="&amp;$C$7,BD!$A$3:$A$5001,"&lt;="&amp;$B166,BD!$W$3:$W$5001,"&lt;&gt;"))))</f>
        <v/>
      </c>
      <c r="I166" s="42" t="str">
        <f>IF(OR($B166="",$A166&gt;$B$9),"",IF(COUNTIFS(BD!$B$3:$B$5001,I$138,BD!$A$3:$A$5001,"&gt;="&amp;$C$7,BD!$A$3:$A$5001,"&lt;="&amp;$B166,BD!$W$3:$W$5001,"&lt;&gt;")=0,"",SUMIFS(BD!$W$3:$W$5001,BD!$B$3:$B$5001,I$138,BD!$A$3:$A$5001,_xlfn.MAXIFS(BD!$A$3:$A$5001,BD!$B$3:$B$5001,I$138,BD!$A$3:$A$5001,"&gt;="&amp;$C$7,BD!$A$3:$A$5001,"&lt;="&amp;$B166,BD!$W$3:$W$5001,"&lt;&gt;"))))</f>
        <v/>
      </c>
      <c r="J166" s="42" t="str">
        <f>IF(OR($B166="",$A166&gt;$B$9),"",IF(COUNTIFS(BD!$B$3:$B$5001,J$138,BD!$A$3:$A$5001,"&gt;="&amp;$C$7,BD!$A$3:$A$5001,"&lt;="&amp;$B166,BD!$W$3:$W$5001,"&lt;&gt;")=0,"",SUMIFS(BD!$W$3:$W$5001,BD!$B$3:$B$5001,J$138,BD!$A$3:$A$5001,_xlfn.MAXIFS(BD!$A$3:$A$5001,BD!$B$3:$B$5001,J$138,BD!$A$3:$A$5001,"&gt;="&amp;$C$7,BD!$A$3:$A$5001,"&lt;="&amp;$B166,BD!$W$3:$W$5001,"&lt;&gt;"))))</f>
        <v/>
      </c>
      <c r="K166" s="42" t="str">
        <f>IF(OR($B166="",$A166&gt;$B$9),"",IF(COUNTIFS(BD!$B$3:$B$5001,K$138,BD!$A$3:$A$5001,"&gt;="&amp;$C$7,BD!$A$3:$A$5001,"&lt;="&amp;$B166,BD!$W$3:$W$5001,"&lt;&gt;")=0,"",SUMIFS(BD!$W$3:$W$5001,BD!$B$3:$B$5001,K$138,BD!$A$3:$A$5001,_xlfn.MAXIFS(BD!$A$3:$A$5001,BD!$B$3:$B$5001,K$138,BD!$A$3:$A$5001,"&gt;="&amp;$C$7,BD!$A$3:$A$5001,"&lt;="&amp;$B166,BD!$W$3:$W$5001,"&lt;&gt;"))))</f>
        <v/>
      </c>
      <c r="L166" s="42" t="str">
        <f>IF(OR($B166="",$A166&gt;$B$9),"",IF(COUNTIFS(BD!$B$3:$B$5001,L$138,BD!$A$3:$A$5001,"&gt;="&amp;$C$7,BD!$A$3:$A$5001,"&lt;="&amp;$B166,BD!$W$3:$W$5001,"&lt;&gt;")=0,"",SUMIFS(BD!$W$3:$W$5001,BD!$B$3:$B$5001,L$138,BD!$A$3:$A$5001,_xlfn.MAXIFS(BD!$A$3:$A$5001,BD!$B$3:$B$5001,L$138,BD!$A$3:$A$5001,"&gt;="&amp;$C$7,BD!$A$3:$A$5001,"&lt;="&amp;$B166,BD!$W$3:$W$5001,"&lt;&gt;"))))</f>
        <v/>
      </c>
    </row>
    <row r="167">
      <c r="A167" s="40">
        <v>29</v>
      </c>
      <c r="B167" s="41">
        <f>$B$40</f>
        <v>46324</v>
      </c>
      <c r="C167" s="42" t="str">
        <f>IF(OR($B167="",$A167&gt;$B$9),"",IF(COUNTIFS(BD!$B$3:$B$5001,C$138,BD!$A$3:$A$5001,"&gt;="&amp;$C$7,BD!$A$3:$A$5001,"&lt;="&amp;$B167,BD!$W$3:$W$5001,"&lt;&gt;")=0,"",SUMIFS(BD!$W$3:$W$5001,BD!$B$3:$B$5001,C$138,BD!$A$3:$A$5001,_xlfn.MAXIFS(BD!$A$3:$A$5001,BD!$B$3:$B$5001,C$138,BD!$A$3:$A$5001,"&gt;="&amp;$C$7,BD!$A$3:$A$5001,"&lt;="&amp;$B167,BD!$W$3:$W$5001,"&lt;&gt;"))))</f>
        <v/>
      </c>
      <c r="D167" s="42" t="str">
        <f>IF(OR($B167="",$A167&gt;$B$9),"",IF(COUNTIFS(BD!$B$3:$B$5001,D$138,BD!$A$3:$A$5001,"&gt;="&amp;$C$7,BD!$A$3:$A$5001,"&lt;="&amp;$B167,BD!$W$3:$W$5001,"&lt;&gt;")=0,"",SUMIFS(BD!$W$3:$W$5001,BD!$B$3:$B$5001,D$138,BD!$A$3:$A$5001,_xlfn.MAXIFS(BD!$A$3:$A$5001,BD!$B$3:$B$5001,D$138,BD!$A$3:$A$5001,"&gt;="&amp;$C$7,BD!$A$3:$A$5001,"&lt;="&amp;$B167,BD!$W$3:$W$5001,"&lt;&gt;"))))</f>
        <v/>
      </c>
      <c r="E167" s="42" t="str">
        <f>IF(OR($B167="",$A167&gt;$B$9),"",IF(COUNTIFS(BD!$B$3:$B$5001,E$138,BD!$A$3:$A$5001,"&gt;="&amp;$C$7,BD!$A$3:$A$5001,"&lt;="&amp;$B167,BD!$W$3:$W$5001,"&lt;&gt;")=0,"",SUMIFS(BD!$W$3:$W$5001,BD!$B$3:$B$5001,E$138,BD!$A$3:$A$5001,_xlfn.MAXIFS(BD!$A$3:$A$5001,BD!$B$3:$B$5001,E$138,BD!$A$3:$A$5001,"&gt;="&amp;$C$7,BD!$A$3:$A$5001,"&lt;="&amp;$B167,BD!$W$3:$W$5001,"&lt;&gt;"))))</f>
        <v/>
      </c>
      <c r="F167" s="42" t="str">
        <f>IF(OR($B167="",$A167&gt;$B$9),"",IF(COUNTIFS(BD!$B$3:$B$5001,F$138,BD!$A$3:$A$5001,"&gt;="&amp;$C$7,BD!$A$3:$A$5001,"&lt;="&amp;$B167,BD!$W$3:$W$5001,"&lt;&gt;")=0,"",SUMIFS(BD!$W$3:$W$5001,BD!$B$3:$B$5001,F$138,BD!$A$3:$A$5001,_xlfn.MAXIFS(BD!$A$3:$A$5001,BD!$B$3:$B$5001,F$138,BD!$A$3:$A$5001,"&gt;="&amp;$C$7,BD!$A$3:$A$5001,"&lt;="&amp;$B167,BD!$W$3:$W$5001,"&lt;&gt;"))))</f>
        <v/>
      </c>
      <c r="G167" s="42" t="str">
        <f>IF(OR($B167="",$A167&gt;$B$9),"",IF(COUNTIFS(BD!$B$3:$B$5001,G$138,BD!$A$3:$A$5001,"&gt;="&amp;$C$7,BD!$A$3:$A$5001,"&lt;="&amp;$B167,BD!$W$3:$W$5001,"&lt;&gt;")=0,"",SUMIFS(BD!$W$3:$W$5001,BD!$B$3:$B$5001,G$138,BD!$A$3:$A$5001,_xlfn.MAXIFS(BD!$A$3:$A$5001,BD!$B$3:$B$5001,G$138,BD!$A$3:$A$5001,"&gt;="&amp;$C$7,BD!$A$3:$A$5001,"&lt;="&amp;$B167,BD!$W$3:$W$5001,"&lt;&gt;"))))</f>
        <v/>
      </c>
      <c r="H167" s="42" t="str">
        <f>IF(OR($B167="",$A167&gt;$B$9),"",IF(COUNTIFS(BD!$B$3:$B$5001,H$138,BD!$A$3:$A$5001,"&gt;="&amp;$C$7,BD!$A$3:$A$5001,"&lt;="&amp;$B167,BD!$W$3:$W$5001,"&lt;&gt;")=0,"",SUMIFS(BD!$W$3:$W$5001,BD!$B$3:$B$5001,H$138,BD!$A$3:$A$5001,_xlfn.MAXIFS(BD!$A$3:$A$5001,BD!$B$3:$B$5001,H$138,BD!$A$3:$A$5001,"&gt;="&amp;$C$7,BD!$A$3:$A$5001,"&lt;="&amp;$B167,BD!$W$3:$W$5001,"&lt;&gt;"))))</f>
        <v/>
      </c>
      <c r="I167" s="42" t="str">
        <f>IF(OR($B167="",$A167&gt;$B$9),"",IF(COUNTIFS(BD!$B$3:$B$5001,I$138,BD!$A$3:$A$5001,"&gt;="&amp;$C$7,BD!$A$3:$A$5001,"&lt;="&amp;$B167,BD!$W$3:$W$5001,"&lt;&gt;")=0,"",SUMIFS(BD!$W$3:$W$5001,BD!$B$3:$B$5001,I$138,BD!$A$3:$A$5001,_xlfn.MAXIFS(BD!$A$3:$A$5001,BD!$B$3:$B$5001,I$138,BD!$A$3:$A$5001,"&gt;="&amp;$C$7,BD!$A$3:$A$5001,"&lt;="&amp;$B167,BD!$W$3:$W$5001,"&lt;&gt;"))))</f>
        <v/>
      </c>
      <c r="J167" s="42" t="str">
        <f>IF(OR($B167="",$A167&gt;$B$9),"",IF(COUNTIFS(BD!$B$3:$B$5001,J$138,BD!$A$3:$A$5001,"&gt;="&amp;$C$7,BD!$A$3:$A$5001,"&lt;="&amp;$B167,BD!$W$3:$W$5001,"&lt;&gt;")=0,"",SUMIFS(BD!$W$3:$W$5001,BD!$B$3:$B$5001,J$138,BD!$A$3:$A$5001,_xlfn.MAXIFS(BD!$A$3:$A$5001,BD!$B$3:$B$5001,J$138,BD!$A$3:$A$5001,"&gt;="&amp;$C$7,BD!$A$3:$A$5001,"&lt;="&amp;$B167,BD!$W$3:$W$5001,"&lt;&gt;"))))</f>
        <v/>
      </c>
      <c r="K167" s="42" t="str">
        <f>IF(OR($B167="",$A167&gt;$B$9),"",IF(COUNTIFS(BD!$B$3:$B$5001,K$138,BD!$A$3:$A$5001,"&gt;="&amp;$C$7,BD!$A$3:$A$5001,"&lt;="&amp;$B167,BD!$W$3:$W$5001,"&lt;&gt;")=0,"",SUMIFS(BD!$W$3:$W$5001,BD!$B$3:$B$5001,K$138,BD!$A$3:$A$5001,_xlfn.MAXIFS(BD!$A$3:$A$5001,BD!$B$3:$B$5001,K$138,BD!$A$3:$A$5001,"&gt;="&amp;$C$7,BD!$A$3:$A$5001,"&lt;="&amp;$B167,BD!$W$3:$W$5001,"&lt;&gt;"))))</f>
        <v/>
      </c>
      <c r="L167" s="42" t="str">
        <f>IF(OR($B167="",$A167&gt;$B$9),"",IF(COUNTIFS(BD!$B$3:$B$5001,L$138,BD!$A$3:$A$5001,"&gt;="&amp;$C$7,BD!$A$3:$A$5001,"&lt;="&amp;$B167,BD!$W$3:$W$5001,"&lt;&gt;")=0,"",SUMIFS(BD!$W$3:$W$5001,BD!$B$3:$B$5001,L$138,BD!$A$3:$A$5001,_xlfn.MAXIFS(BD!$A$3:$A$5001,BD!$B$3:$B$5001,L$138,BD!$A$3:$A$5001,"&gt;="&amp;$C$7,BD!$A$3:$A$5001,"&lt;="&amp;$B167,BD!$W$3:$W$5001,"&lt;&gt;"))))</f>
        <v/>
      </c>
    </row>
    <row r="168">
      <c r="A168" s="40">
        <v>30</v>
      </c>
      <c r="B168" s="41">
        <f>$B$41</f>
        <v>46325</v>
      </c>
      <c r="C168" s="42" t="str">
        <f>IF(OR($B168="",$A168&gt;$B$9),"",IF(COUNTIFS(BD!$B$3:$B$5001,C$138,BD!$A$3:$A$5001,"&gt;="&amp;$C$7,BD!$A$3:$A$5001,"&lt;="&amp;$B168,BD!$W$3:$W$5001,"&lt;&gt;")=0,"",SUMIFS(BD!$W$3:$W$5001,BD!$B$3:$B$5001,C$138,BD!$A$3:$A$5001,_xlfn.MAXIFS(BD!$A$3:$A$5001,BD!$B$3:$B$5001,C$138,BD!$A$3:$A$5001,"&gt;="&amp;$C$7,BD!$A$3:$A$5001,"&lt;="&amp;$B168,BD!$W$3:$W$5001,"&lt;&gt;"))))</f>
        <v/>
      </c>
      <c r="D168" s="42" t="str">
        <f>IF(OR($B168="",$A168&gt;$B$9),"",IF(COUNTIFS(BD!$B$3:$B$5001,D$138,BD!$A$3:$A$5001,"&gt;="&amp;$C$7,BD!$A$3:$A$5001,"&lt;="&amp;$B168,BD!$W$3:$W$5001,"&lt;&gt;")=0,"",SUMIFS(BD!$W$3:$W$5001,BD!$B$3:$B$5001,D$138,BD!$A$3:$A$5001,_xlfn.MAXIFS(BD!$A$3:$A$5001,BD!$B$3:$B$5001,D$138,BD!$A$3:$A$5001,"&gt;="&amp;$C$7,BD!$A$3:$A$5001,"&lt;="&amp;$B168,BD!$W$3:$W$5001,"&lt;&gt;"))))</f>
        <v/>
      </c>
      <c r="E168" s="42" t="str">
        <f>IF(OR($B168="",$A168&gt;$B$9),"",IF(COUNTIFS(BD!$B$3:$B$5001,E$138,BD!$A$3:$A$5001,"&gt;="&amp;$C$7,BD!$A$3:$A$5001,"&lt;="&amp;$B168,BD!$W$3:$W$5001,"&lt;&gt;")=0,"",SUMIFS(BD!$W$3:$W$5001,BD!$B$3:$B$5001,E$138,BD!$A$3:$A$5001,_xlfn.MAXIFS(BD!$A$3:$A$5001,BD!$B$3:$B$5001,E$138,BD!$A$3:$A$5001,"&gt;="&amp;$C$7,BD!$A$3:$A$5001,"&lt;="&amp;$B168,BD!$W$3:$W$5001,"&lt;&gt;"))))</f>
        <v/>
      </c>
      <c r="F168" s="42" t="str">
        <f>IF(OR($B168="",$A168&gt;$B$9),"",IF(COUNTIFS(BD!$B$3:$B$5001,F$138,BD!$A$3:$A$5001,"&gt;="&amp;$C$7,BD!$A$3:$A$5001,"&lt;="&amp;$B168,BD!$W$3:$W$5001,"&lt;&gt;")=0,"",SUMIFS(BD!$W$3:$W$5001,BD!$B$3:$B$5001,F$138,BD!$A$3:$A$5001,_xlfn.MAXIFS(BD!$A$3:$A$5001,BD!$B$3:$B$5001,F$138,BD!$A$3:$A$5001,"&gt;="&amp;$C$7,BD!$A$3:$A$5001,"&lt;="&amp;$B168,BD!$W$3:$W$5001,"&lt;&gt;"))))</f>
        <v/>
      </c>
      <c r="G168" s="42" t="str">
        <f>IF(OR($B168="",$A168&gt;$B$9),"",IF(COUNTIFS(BD!$B$3:$B$5001,G$138,BD!$A$3:$A$5001,"&gt;="&amp;$C$7,BD!$A$3:$A$5001,"&lt;="&amp;$B168,BD!$W$3:$W$5001,"&lt;&gt;")=0,"",SUMIFS(BD!$W$3:$W$5001,BD!$B$3:$B$5001,G$138,BD!$A$3:$A$5001,_xlfn.MAXIFS(BD!$A$3:$A$5001,BD!$B$3:$B$5001,G$138,BD!$A$3:$A$5001,"&gt;="&amp;$C$7,BD!$A$3:$A$5001,"&lt;="&amp;$B168,BD!$W$3:$W$5001,"&lt;&gt;"))))</f>
        <v/>
      </c>
      <c r="H168" s="42" t="str">
        <f>IF(OR($B168="",$A168&gt;$B$9),"",IF(COUNTIFS(BD!$B$3:$B$5001,H$138,BD!$A$3:$A$5001,"&gt;="&amp;$C$7,BD!$A$3:$A$5001,"&lt;="&amp;$B168,BD!$W$3:$W$5001,"&lt;&gt;")=0,"",SUMIFS(BD!$W$3:$W$5001,BD!$B$3:$B$5001,H$138,BD!$A$3:$A$5001,_xlfn.MAXIFS(BD!$A$3:$A$5001,BD!$B$3:$B$5001,H$138,BD!$A$3:$A$5001,"&gt;="&amp;$C$7,BD!$A$3:$A$5001,"&lt;="&amp;$B168,BD!$W$3:$W$5001,"&lt;&gt;"))))</f>
        <v/>
      </c>
      <c r="I168" s="42" t="str">
        <f>IF(OR($B168="",$A168&gt;$B$9),"",IF(COUNTIFS(BD!$B$3:$B$5001,I$138,BD!$A$3:$A$5001,"&gt;="&amp;$C$7,BD!$A$3:$A$5001,"&lt;="&amp;$B168,BD!$W$3:$W$5001,"&lt;&gt;")=0,"",SUMIFS(BD!$W$3:$W$5001,BD!$B$3:$B$5001,I$138,BD!$A$3:$A$5001,_xlfn.MAXIFS(BD!$A$3:$A$5001,BD!$B$3:$B$5001,I$138,BD!$A$3:$A$5001,"&gt;="&amp;$C$7,BD!$A$3:$A$5001,"&lt;="&amp;$B168,BD!$W$3:$W$5001,"&lt;&gt;"))))</f>
        <v/>
      </c>
      <c r="J168" s="42" t="str">
        <f>IF(OR($B168="",$A168&gt;$B$9),"",IF(COUNTIFS(BD!$B$3:$B$5001,J$138,BD!$A$3:$A$5001,"&gt;="&amp;$C$7,BD!$A$3:$A$5001,"&lt;="&amp;$B168,BD!$W$3:$W$5001,"&lt;&gt;")=0,"",SUMIFS(BD!$W$3:$W$5001,BD!$B$3:$B$5001,J$138,BD!$A$3:$A$5001,_xlfn.MAXIFS(BD!$A$3:$A$5001,BD!$B$3:$B$5001,J$138,BD!$A$3:$A$5001,"&gt;="&amp;$C$7,BD!$A$3:$A$5001,"&lt;="&amp;$B168,BD!$W$3:$W$5001,"&lt;&gt;"))))</f>
        <v/>
      </c>
      <c r="K168" s="42" t="str">
        <f>IF(OR($B168="",$A168&gt;$B$9),"",IF(COUNTIFS(BD!$B$3:$B$5001,K$138,BD!$A$3:$A$5001,"&gt;="&amp;$C$7,BD!$A$3:$A$5001,"&lt;="&amp;$B168,BD!$W$3:$W$5001,"&lt;&gt;")=0,"",SUMIFS(BD!$W$3:$W$5001,BD!$B$3:$B$5001,K$138,BD!$A$3:$A$5001,_xlfn.MAXIFS(BD!$A$3:$A$5001,BD!$B$3:$B$5001,K$138,BD!$A$3:$A$5001,"&gt;="&amp;$C$7,BD!$A$3:$A$5001,"&lt;="&amp;$B168,BD!$W$3:$W$5001,"&lt;&gt;"))))</f>
        <v/>
      </c>
      <c r="L168" s="42" t="str">
        <f>IF(OR($B168="",$A168&gt;$B$9),"",IF(COUNTIFS(BD!$B$3:$B$5001,L$138,BD!$A$3:$A$5001,"&gt;="&amp;$C$7,BD!$A$3:$A$5001,"&lt;="&amp;$B168,BD!$W$3:$W$5001,"&lt;&gt;")=0,"",SUMIFS(BD!$W$3:$W$5001,BD!$B$3:$B$5001,L$138,BD!$A$3:$A$5001,_xlfn.MAXIFS(BD!$A$3:$A$5001,BD!$B$3:$B$5001,L$138,BD!$A$3:$A$5001,"&gt;="&amp;$C$7,BD!$A$3:$A$5001,"&lt;="&amp;$B168,BD!$W$3:$W$5001,"&lt;&gt;"))))</f>
        <v/>
      </c>
    </row>
    <row r="169">
      <c r="A169" s="40">
        <v>31</v>
      </c>
      <c r="B169" s="41">
        <f>$B$42</f>
        <v>46326</v>
      </c>
      <c r="C169" s="42" t="str">
        <f>IF(OR($B169="",$A169&gt;$B$9),"",IF(COUNTIFS(BD!$B$3:$B$5001,C$138,BD!$A$3:$A$5001,"&gt;="&amp;$C$7,BD!$A$3:$A$5001,"&lt;="&amp;$B169,BD!$W$3:$W$5001,"&lt;&gt;")=0,"",SUMIFS(BD!$W$3:$W$5001,BD!$B$3:$B$5001,C$138,BD!$A$3:$A$5001,_xlfn.MAXIFS(BD!$A$3:$A$5001,BD!$B$3:$B$5001,C$138,BD!$A$3:$A$5001,"&gt;="&amp;$C$7,BD!$A$3:$A$5001,"&lt;="&amp;$B169,BD!$W$3:$W$5001,"&lt;&gt;"))))</f>
        <v/>
      </c>
      <c r="D169" s="42" t="str">
        <f>IF(OR($B169="",$A169&gt;$B$9),"",IF(COUNTIFS(BD!$B$3:$B$5001,D$138,BD!$A$3:$A$5001,"&gt;="&amp;$C$7,BD!$A$3:$A$5001,"&lt;="&amp;$B169,BD!$W$3:$W$5001,"&lt;&gt;")=0,"",SUMIFS(BD!$W$3:$W$5001,BD!$B$3:$B$5001,D$138,BD!$A$3:$A$5001,_xlfn.MAXIFS(BD!$A$3:$A$5001,BD!$B$3:$B$5001,D$138,BD!$A$3:$A$5001,"&gt;="&amp;$C$7,BD!$A$3:$A$5001,"&lt;="&amp;$B169,BD!$W$3:$W$5001,"&lt;&gt;"))))</f>
        <v/>
      </c>
      <c r="E169" s="42" t="str">
        <f>IF(OR($B169="",$A169&gt;$B$9),"",IF(COUNTIFS(BD!$B$3:$B$5001,E$138,BD!$A$3:$A$5001,"&gt;="&amp;$C$7,BD!$A$3:$A$5001,"&lt;="&amp;$B169,BD!$W$3:$W$5001,"&lt;&gt;")=0,"",SUMIFS(BD!$W$3:$W$5001,BD!$B$3:$B$5001,E$138,BD!$A$3:$A$5001,_xlfn.MAXIFS(BD!$A$3:$A$5001,BD!$B$3:$B$5001,E$138,BD!$A$3:$A$5001,"&gt;="&amp;$C$7,BD!$A$3:$A$5001,"&lt;="&amp;$B169,BD!$W$3:$W$5001,"&lt;&gt;"))))</f>
        <v/>
      </c>
      <c r="F169" s="42" t="str">
        <f>IF(OR($B169="",$A169&gt;$B$9),"",IF(COUNTIFS(BD!$B$3:$B$5001,F$138,BD!$A$3:$A$5001,"&gt;="&amp;$C$7,BD!$A$3:$A$5001,"&lt;="&amp;$B169,BD!$W$3:$W$5001,"&lt;&gt;")=0,"",SUMIFS(BD!$W$3:$W$5001,BD!$B$3:$B$5001,F$138,BD!$A$3:$A$5001,_xlfn.MAXIFS(BD!$A$3:$A$5001,BD!$B$3:$B$5001,F$138,BD!$A$3:$A$5001,"&gt;="&amp;$C$7,BD!$A$3:$A$5001,"&lt;="&amp;$B169,BD!$W$3:$W$5001,"&lt;&gt;"))))</f>
        <v/>
      </c>
      <c r="G169" s="42" t="str">
        <f>IF(OR($B169="",$A169&gt;$B$9),"",IF(COUNTIFS(BD!$B$3:$B$5001,G$138,BD!$A$3:$A$5001,"&gt;="&amp;$C$7,BD!$A$3:$A$5001,"&lt;="&amp;$B169,BD!$W$3:$W$5001,"&lt;&gt;")=0,"",SUMIFS(BD!$W$3:$W$5001,BD!$B$3:$B$5001,G$138,BD!$A$3:$A$5001,_xlfn.MAXIFS(BD!$A$3:$A$5001,BD!$B$3:$B$5001,G$138,BD!$A$3:$A$5001,"&gt;="&amp;$C$7,BD!$A$3:$A$5001,"&lt;="&amp;$B169,BD!$W$3:$W$5001,"&lt;&gt;"))))</f>
        <v/>
      </c>
      <c r="H169" s="42" t="str">
        <f>IF(OR($B169="",$A169&gt;$B$9),"",IF(COUNTIFS(BD!$B$3:$B$5001,H$138,BD!$A$3:$A$5001,"&gt;="&amp;$C$7,BD!$A$3:$A$5001,"&lt;="&amp;$B169,BD!$W$3:$W$5001,"&lt;&gt;")=0,"",SUMIFS(BD!$W$3:$W$5001,BD!$B$3:$B$5001,H$138,BD!$A$3:$A$5001,_xlfn.MAXIFS(BD!$A$3:$A$5001,BD!$B$3:$B$5001,H$138,BD!$A$3:$A$5001,"&gt;="&amp;$C$7,BD!$A$3:$A$5001,"&lt;="&amp;$B169,BD!$W$3:$W$5001,"&lt;&gt;"))))</f>
        <v/>
      </c>
      <c r="I169" s="42" t="str">
        <f>IF(OR($B169="",$A169&gt;$B$9),"",IF(COUNTIFS(BD!$B$3:$B$5001,I$138,BD!$A$3:$A$5001,"&gt;="&amp;$C$7,BD!$A$3:$A$5001,"&lt;="&amp;$B169,BD!$W$3:$W$5001,"&lt;&gt;")=0,"",SUMIFS(BD!$W$3:$W$5001,BD!$B$3:$B$5001,I$138,BD!$A$3:$A$5001,_xlfn.MAXIFS(BD!$A$3:$A$5001,BD!$B$3:$B$5001,I$138,BD!$A$3:$A$5001,"&gt;="&amp;$C$7,BD!$A$3:$A$5001,"&lt;="&amp;$B169,BD!$W$3:$W$5001,"&lt;&gt;"))))</f>
        <v/>
      </c>
      <c r="J169" s="42" t="str">
        <f>IF(OR($B169="",$A169&gt;$B$9),"",IF(COUNTIFS(BD!$B$3:$B$5001,J$138,BD!$A$3:$A$5001,"&gt;="&amp;$C$7,BD!$A$3:$A$5001,"&lt;="&amp;$B169,BD!$W$3:$W$5001,"&lt;&gt;")=0,"",SUMIFS(BD!$W$3:$W$5001,BD!$B$3:$B$5001,J$138,BD!$A$3:$A$5001,_xlfn.MAXIFS(BD!$A$3:$A$5001,BD!$B$3:$B$5001,J$138,BD!$A$3:$A$5001,"&gt;="&amp;$C$7,BD!$A$3:$A$5001,"&lt;="&amp;$B169,BD!$W$3:$W$5001,"&lt;&gt;"))))</f>
        <v/>
      </c>
      <c r="K169" s="42" t="str">
        <f>IF(OR($B169="",$A169&gt;$B$9),"",IF(COUNTIFS(BD!$B$3:$B$5001,K$138,BD!$A$3:$A$5001,"&gt;="&amp;$C$7,BD!$A$3:$A$5001,"&lt;="&amp;$B169,BD!$W$3:$W$5001,"&lt;&gt;")=0,"",SUMIFS(BD!$W$3:$W$5001,BD!$B$3:$B$5001,K$138,BD!$A$3:$A$5001,_xlfn.MAXIFS(BD!$A$3:$A$5001,BD!$B$3:$B$5001,K$138,BD!$A$3:$A$5001,"&gt;="&amp;$C$7,BD!$A$3:$A$5001,"&lt;="&amp;$B169,BD!$W$3:$W$5001,"&lt;&gt;"))))</f>
        <v/>
      </c>
      <c r="L169" s="42" t="str">
        <f>IF(OR($B169="",$A169&gt;$B$9),"",IF(COUNTIFS(BD!$B$3:$B$5001,L$138,BD!$A$3:$A$5001,"&gt;="&amp;$C$7,BD!$A$3:$A$5001,"&lt;="&amp;$B169,BD!$W$3:$W$5001,"&lt;&gt;")=0,"",SUMIFS(BD!$W$3:$W$5001,BD!$B$3:$B$5001,L$138,BD!$A$3:$A$5001,_xlfn.MAXIFS(BD!$A$3:$A$5001,BD!$B$3:$B$5001,L$138,BD!$A$3:$A$5001,"&gt;="&amp;$C$7,BD!$A$3:$A$5001,"&lt;="&amp;$B169,BD!$W$3:$W$5001,"&lt;&gt;"))))</f>
        <v/>
      </c>
    </row>
    <row r="170">
      <c r="A170" s="43" t="inlineStr">
        <is>
          <t xml:space="preserve">Mês anterior (último)</t>
        </is>
      </c>
      <c r="C170" s="44" t="str">
        <f>IF(COUNTIFS(BD!$B$3:$B$5001,C$138,BD!$A$3:$A$5001,"&gt;="&amp;$C$8,BD!$A$3:$A$5001,"&lt;="&amp;$D$8,BD!$W$3:$W$5001,"&lt;&gt;")=0,"",SUMIFS(BD!$W$3:$W$5001,BD!$B$3:$B$5001,C$138,BD!$A$3:$A$5001,_xlfn.MAXIFS(BD!$A$3:$A$5001,BD!$B$3:$B$5001,C$138,BD!$A$3:$A$5001,"&gt;="&amp;$C$8,BD!$A$3:$A$5001,"&lt;="&amp;$D$8,BD!$W$3:$W$5001,"&lt;&gt;")))</f>
        <v/>
      </c>
      <c r="D170" s="44" t="str">
        <f>IF(COUNTIFS(BD!$B$3:$B$5001,D$138,BD!$A$3:$A$5001,"&gt;="&amp;$C$8,BD!$A$3:$A$5001,"&lt;="&amp;$D$8,BD!$W$3:$W$5001,"&lt;&gt;")=0,"",SUMIFS(BD!$W$3:$W$5001,BD!$B$3:$B$5001,D$138,BD!$A$3:$A$5001,_xlfn.MAXIFS(BD!$A$3:$A$5001,BD!$B$3:$B$5001,D$138,BD!$A$3:$A$5001,"&gt;="&amp;$C$8,BD!$A$3:$A$5001,"&lt;="&amp;$D$8,BD!$W$3:$W$5001,"&lt;&gt;")))</f>
        <v/>
      </c>
      <c r="E170" s="44" t="str">
        <f>IF(COUNTIFS(BD!$B$3:$B$5001,E$138,BD!$A$3:$A$5001,"&gt;="&amp;$C$8,BD!$A$3:$A$5001,"&lt;="&amp;$D$8,BD!$W$3:$W$5001,"&lt;&gt;")=0,"",SUMIFS(BD!$W$3:$W$5001,BD!$B$3:$B$5001,E$138,BD!$A$3:$A$5001,_xlfn.MAXIFS(BD!$A$3:$A$5001,BD!$B$3:$B$5001,E$138,BD!$A$3:$A$5001,"&gt;="&amp;$C$8,BD!$A$3:$A$5001,"&lt;="&amp;$D$8,BD!$W$3:$W$5001,"&lt;&gt;")))</f>
        <v/>
      </c>
      <c r="F170" s="44" t="str">
        <f>IF(COUNTIFS(BD!$B$3:$B$5001,F$138,BD!$A$3:$A$5001,"&gt;="&amp;$C$8,BD!$A$3:$A$5001,"&lt;="&amp;$D$8,BD!$W$3:$W$5001,"&lt;&gt;")=0,"",SUMIFS(BD!$W$3:$W$5001,BD!$B$3:$B$5001,F$138,BD!$A$3:$A$5001,_xlfn.MAXIFS(BD!$A$3:$A$5001,BD!$B$3:$B$5001,F$138,BD!$A$3:$A$5001,"&gt;="&amp;$C$8,BD!$A$3:$A$5001,"&lt;="&amp;$D$8,BD!$W$3:$W$5001,"&lt;&gt;")))</f>
        <v/>
      </c>
      <c r="G170" s="44" t="str">
        <f>IF(COUNTIFS(BD!$B$3:$B$5001,G$138,BD!$A$3:$A$5001,"&gt;="&amp;$C$8,BD!$A$3:$A$5001,"&lt;="&amp;$D$8,BD!$W$3:$W$5001,"&lt;&gt;")=0,"",SUMIFS(BD!$W$3:$W$5001,BD!$B$3:$B$5001,G$138,BD!$A$3:$A$5001,_xlfn.MAXIFS(BD!$A$3:$A$5001,BD!$B$3:$B$5001,G$138,BD!$A$3:$A$5001,"&gt;="&amp;$C$8,BD!$A$3:$A$5001,"&lt;="&amp;$D$8,BD!$W$3:$W$5001,"&lt;&gt;")))</f>
        <v/>
      </c>
      <c r="H170" s="44" t="str">
        <f>IF(COUNTIFS(BD!$B$3:$B$5001,H$138,BD!$A$3:$A$5001,"&gt;="&amp;$C$8,BD!$A$3:$A$5001,"&lt;="&amp;$D$8,BD!$W$3:$W$5001,"&lt;&gt;")=0,"",SUMIFS(BD!$W$3:$W$5001,BD!$B$3:$B$5001,H$138,BD!$A$3:$A$5001,_xlfn.MAXIFS(BD!$A$3:$A$5001,BD!$B$3:$B$5001,H$138,BD!$A$3:$A$5001,"&gt;="&amp;$C$8,BD!$A$3:$A$5001,"&lt;="&amp;$D$8,BD!$W$3:$W$5001,"&lt;&gt;")))</f>
        <v/>
      </c>
      <c r="I170" s="44" t="str">
        <f>IF(COUNTIFS(BD!$B$3:$B$5001,I$138,BD!$A$3:$A$5001,"&gt;="&amp;$C$8,BD!$A$3:$A$5001,"&lt;="&amp;$D$8,BD!$W$3:$W$5001,"&lt;&gt;")=0,"",SUMIFS(BD!$W$3:$W$5001,BD!$B$3:$B$5001,I$138,BD!$A$3:$A$5001,_xlfn.MAXIFS(BD!$A$3:$A$5001,BD!$B$3:$B$5001,I$138,BD!$A$3:$A$5001,"&gt;="&amp;$C$8,BD!$A$3:$A$5001,"&lt;="&amp;$D$8,BD!$W$3:$W$5001,"&lt;&gt;")))</f>
        <v/>
      </c>
      <c r="J170" s="44" t="str">
        <f>IF(COUNTIFS(BD!$B$3:$B$5001,J$138,BD!$A$3:$A$5001,"&gt;="&amp;$C$8,BD!$A$3:$A$5001,"&lt;="&amp;$D$8,BD!$W$3:$W$5001,"&lt;&gt;")=0,"",SUMIFS(BD!$W$3:$W$5001,BD!$B$3:$B$5001,J$138,BD!$A$3:$A$5001,_xlfn.MAXIFS(BD!$A$3:$A$5001,BD!$B$3:$B$5001,J$138,BD!$A$3:$A$5001,"&gt;="&amp;$C$8,BD!$A$3:$A$5001,"&lt;="&amp;$D$8,BD!$W$3:$W$5001,"&lt;&gt;")))</f>
        <v/>
      </c>
      <c r="K170" s="44" t="str">
        <f>IF(COUNTIFS(BD!$B$3:$B$5001,K$138,BD!$A$3:$A$5001,"&gt;="&amp;$C$8,BD!$A$3:$A$5001,"&lt;="&amp;$D$8,BD!$W$3:$W$5001,"&lt;&gt;")=0,"",SUMIFS(BD!$W$3:$W$5001,BD!$B$3:$B$5001,K$138,BD!$A$3:$A$5001,_xlfn.MAXIFS(BD!$A$3:$A$5001,BD!$B$3:$B$5001,K$138,BD!$A$3:$A$5001,"&gt;="&amp;$C$8,BD!$A$3:$A$5001,"&lt;="&amp;$D$8,BD!$W$3:$W$5001,"&lt;&gt;")))</f>
        <v/>
      </c>
      <c r="L170" s="44" t="str">
        <f>IF(COUNTIFS(BD!$B$3:$B$5001,L$138,BD!$A$3:$A$5001,"&gt;="&amp;$C$8,BD!$A$3:$A$5001,"&lt;="&amp;$D$8,BD!$W$3:$W$5001,"&lt;&gt;")=0,"",SUMIFS(BD!$W$3:$W$5001,BD!$B$3:$B$5001,L$138,BD!$A$3:$A$5001,_xlfn.MAXIFS(BD!$A$3:$A$5001,BD!$B$3:$B$5001,L$138,BD!$A$3:$A$5001,"&gt;="&amp;$C$8,BD!$A$3:$A$5001,"&lt;="&amp;$D$8,BD!$W$3:$W$5001,"&lt;&gt;")))</f>
        <v/>
      </c>
    </row>
    <row r="171">
      <c r="A171" s="43" t="inlineStr">
        <is>
          <t xml:space="preserve">Depósito</t>
        </is>
      </c>
      <c r="C171" s="40" t="inlineStr">
        <is>
          <t xml:space="preserve">TPC</t>
        </is>
      </c>
      <c r="D171" s="40" t="inlineStr">
        <is>
          <t xml:space="preserve">TPC</t>
        </is>
      </c>
      <c r="E171" s="40" t="inlineStr">
        <is>
          <t xml:space="preserve">TPC</t>
        </is>
      </c>
      <c r="F171" s="40" t="inlineStr">
        <is>
          <t xml:space="preserve">TPC</t>
        </is>
      </c>
      <c r="G171" s="40" t="inlineStr">
        <is>
          <t xml:space="preserve">TPC</t>
        </is>
      </c>
      <c r="H171" s="40" t="inlineStr">
        <is>
          <t xml:space="preserve">TPC</t>
        </is>
      </c>
      <c r="I171" s="40" t="inlineStr">
        <is>
          <t xml:space="preserve">TPC</t>
        </is>
      </c>
      <c r="J171" s="40" t="inlineStr">
        <is>
          <t xml:space="preserve">TPC</t>
        </is>
      </c>
      <c r="K171" s="40" t="inlineStr">
        <is>
          <t xml:space="preserve">TPC</t>
        </is>
      </c>
      <c r="L171" s="40" t="inlineStr">
        <is>
          <t xml:space="preserve">TPC</t>
        </is>
      </c>
    </row>
    <row r="173">
      <c r="A173" s="37" t="inlineStr">
        <is>
          <t xml:space="preserve">Posições Ocupadas</t>
        </is>
      </c>
      <c r="B173" s="37" t="inlineStr">
        <is>
          <t xml:space="preserve">Data</t>
        </is>
      </c>
      <c r="C173" s="37" t="inlineStr">
        <is>
          <t xml:space="preserve">Alpargatas</t>
        </is>
      </c>
      <c r="D173" s="37" t="inlineStr">
        <is>
          <t xml:space="preserve">Basf</t>
        </is>
      </c>
      <c r="E173" s="37" t="inlineStr">
        <is>
          <t xml:space="preserve">Beautybiz</t>
        </is>
      </c>
      <c r="F173" s="37" t="inlineStr">
        <is>
          <t xml:space="preserve">Boticário</t>
        </is>
      </c>
      <c r="G173" s="37" t="inlineStr">
        <is>
          <t xml:space="preserve">Confiance</t>
        </is>
      </c>
      <c r="H173" s="37" t="inlineStr">
        <is>
          <t xml:space="preserve">GE Vernova</t>
        </is>
      </c>
      <c r="I173" s="37" t="inlineStr">
        <is>
          <t xml:space="preserve">Omnilife</t>
        </is>
      </c>
      <c r="J173" s="37" t="inlineStr">
        <is>
          <t xml:space="preserve">Supply</t>
        </is>
      </c>
      <c r="K173" s="37" t="inlineStr">
        <is>
          <t xml:space="preserve">Vedacit</t>
        </is>
      </c>
      <c r="L173" s="37" t="inlineStr">
        <is>
          <t xml:space="preserve">Vestas</t>
        </is>
      </c>
    </row>
    <row r="174">
      <c r="A174" s="40">
        <v>1</v>
      </c>
      <c r="B174" s="41">
        <f>$B$12</f>
        <v>46296</v>
      </c>
      <c r="C174" s="42" t="str">
        <f>IF(OR($B174="",$A174&gt;$B$9),"",IF(COUNTIFS(BD!$B$3:$B$5001,C$173,BD!$A$3:$A$5001,"&gt;="&amp;$C$7,BD!$A$3:$A$5001,"&lt;="&amp;$B174,BD!$Y$3:$Y$5001,"&lt;&gt;")=0,"",SUMIFS(BD!$Y$3:$Y$5001,BD!$B$3:$B$5001,C$173,BD!$A$3:$A$5001,_xlfn.MAXIFS(BD!$A$3:$A$5001,BD!$B$3:$B$5001,C$173,BD!$A$3:$A$5001,"&gt;="&amp;$C$7,BD!$A$3:$A$5001,"&lt;="&amp;$B174,BD!$Y$3:$Y$5001,"&lt;&gt;"))))</f>
        <v/>
      </c>
      <c r="D174" s="42" t="str">
        <f>IF(OR($B174="",$A174&gt;$B$9),"",IF(COUNTIFS(BD!$B$3:$B$5001,D$173,BD!$A$3:$A$5001,"&gt;="&amp;$C$7,BD!$A$3:$A$5001,"&lt;="&amp;$B174,BD!$Y$3:$Y$5001,"&lt;&gt;")=0,"",SUMIFS(BD!$Y$3:$Y$5001,BD!$B$3:$B$5001,D$173,BD!$A$3:$A$5001,_xlfn.MAXIFS(BD!$A$3:$A$5001,BD!$B$3:$B$5001,D$173,BD!$A$3:$A$5001,"&gt;="&amp;$C$7,BD!$A$3:$A$5001,"&lt;="&amp;$B174,BD!$Y$3:$Y$5001,"&lt;&gt;"))))</f>
        <v/>
      </c>
      <c r="E174" s="42" t="str">
        <f>IF(OR($B174="",$A174&gt;$B$9),"",IF(COUNTIFS(BD!$B$3:$B$5001,E$173,BD!$A$3:$A$5001,"&gt;="&amp;$C$7,BD!$A$3:$A$5001,"&lt;="&amp;$B174,BD!$Y$3:$Y$5001,"&lt;&gt;")=0,"",SUMIFS(BD!$Y$3:$Y$5001,BD!$B$3:$B$5001,E$173,BD!$A$3:$A$5001,_xlfn.MAXIFS(BD!$A$3:$A$5001,BD!$B$3:$B$5001,E$173,BD!$A$3:$A$5001,"&gt;="&amp;$C$7,BD!$A$3:$A$5001,"&lt;="&amp;$B174,BD!$Y$3:$Y$5001,"&lt;&gt;"))))</f>
        <v/>
      </c>
      <c r="F174" s="42" t="str">
        <f>IF(OR($B174="",$A174&gt;$B$9),"",IF(COUNTIFS(BD!$B$3:$B$5001,F$173,BD!$A$3:$A$5001,"&gt;="&amp;$C$7,BD!$A$3:$A$5001,"&lt;="&amp;$B174,BD!$Y$3:$Y$5001,"&lt;&gt;")=0,"",SUMIFS(BD!$Y$3:$Y$5001,BD!$B$3:$B$5001,F$173,BD!$A$3:$A$5001,_xlfn.MAXIFS(BD!$A$3:$A$5001,BD!$B$3:$B$5001,F$173,BD!$A$3:$A$5001,"&gt;="&amp;$C$7,BD!$A$3:$A$5001,"&lt;="&amp;$B174,BD!$Y$3:$Y$5001,"&lt;&gt;"))))</f>
        <v/>
      </c>
      <c r="G174" s="42" t="str">
        <f>IF(OR($B174="",$A174&gt;$B$9),"",IF(COUNTIFS(BD!$B$3:$B$5001,G$173,BD!$A$3:$A$5001,"&gt;="&amp;$C$7,BD!$A$3:$A$5001,"&lt;="&amp;$B174,BD!$Y$3:$Y$5001,"&lt;&gt;")=0,"",SUMIFS(BD!$Y$3:$Y$5001,BD!$B$3:$B$5001,G$173,BD!$A$3:$A$5001,_xlfn.MAXIFS(BD!$A$3:$A$5001,BD!$B$3:$B$5001,G$173,BD!$A$3:$A$5001,"&gt;="&amp;$C$7,BD!$A$3:$A$5001,"&lt;="&amp;$B174,BD!$Y$3:$Y$5001,"&lt;&gt;"))))</f>
        <v/>
      </c>
      <c r="H174" s="42" t="str">
        <f>IF(OR($B174="",$A174&gt;$B$9),"",IF(COUNTIFS(BD!$B$3:$B$5001,H$173,BD!$A$3:$A$5001,"&gt;="&amp;$C$7,BD!$A$3:$A$5001,"&lt;="&amp;$B174,BD!$Y$3:$Y$5001,"&lt;&gt;")=0,"",SUMIFS(BD!$Y$3:$Y$5001,BD!$B$3:$B$5001,H$173,BD!$A$3:$A$5001,_xlfn.MAXIFS(BD!$A$3:$A$5001,BD!$B$3:$B$5001,H$173,BD!$A$3:$A$5001,"&gt;="&amp;$C$7,BD!$A$3:$A$5001,"&lt;="&amp;$B174,BD!$Y$3:$Y$5001,"&lt;&gt;"))))</f>
        <v/>
      </c>
      <c r="I174" s="42" t="str">
        <f>IF(OR($B174="",$A174&gt;$B$9),"",IF(COUNTIFS(BD!$B$3:$B$5001,I$173,BD!$A$3:$A$5001,"&gt;="&amp;$C$7,BD!$A$3:$A$5001,"&lt;="&amp;$B174,BD!$Y$3:$Y$5001,"&lt;&gt;")=0,"",SUMIFS(BD!$Y$3:$Y$5001,BD!$B$3:$B$5001,I$173,BD!$A$3:$A$5001,_xlfn.MAXIFS(BD!$A$3:$A$5001,BD!$B$3:$B$5001,I$173,BD!$A$3:$A$5001,"&gt;="&amp;$C$7,BD!$A$3:$A$5001,"&lt;="&amp;$B174,BD!$Y$3:$Y$5001,"&lt;&gt;"))))</f>
        <v/>
      </c>
      <c r="J174" s="42" t="str">
        <f>IF(OR($B174="",$A174&gt;$B$9),"",IF(COUNTIFS(BD!$B$3:$B$5001,J$173,BD!$A$3:$A$5001,"&gt;="&amp;$C$7,BD!$A$3:$A$5001,"&lt;="&amp;$B174,BD!$Y$3:$Y$5001,"&lt;&gt;")=0,"",SUMIFS(BD!$Y$3:$Y$5001,BD!$B$3:$B$5001,J$173,BD!$A$3:$A$5001,_xlfn.MAXIFS(BD!$A$3:$A$5001,BD!$B$3:$B$5001,J$173,BD!$A$3:$A$5001,"&gt;="&amp;$C$7,BD!$A$3:$A$5001,"&lt;="&amp;$B174,BD!$Y$3:$Y$5001,"&lt;&gt;"))))</f>
        <v/>
      </c>
      <c r="K174" s="42" t="str">
        <f>IF(OR($B174="",$A174&gt;$B$9),"",IF(COUNTIFS(BD!$B$3:$B$5001,K$173,BD!$A$3:$A$5001,"&gt;="&amp;$C$7,BD!$A$3:$A$5001,"&lt;="&amp;$B174,BD!$Y$3:$Y$5001,"&lt;&gt;")=0,"",SUMIFS(BD!$Y$3:$Y$5001,BD!$B$3:$B$5001,K$173,BD!$A$3:$A$5001,_xlfn.MAXIFS(BD!$A$3:$A$5001,BD!$B$3:$B$5001,K$173,BD!$A$3:$A$5001,"&gt;="&amp;$C$7,BD!$A$3:$A$5001,"&lt;="&amp;$B174,BD!$Y$3:$Y$5001,"&lt;&gt;"))))</f>
        <v/>
      </c>
      <c r="L174" s="42" t="str">
        <f>IF(OR($B174="",$A174&gt;$B$9),"",IF(COUNTIFS(BD!$B$3:$B$5001,L$173,BD!$A$3:$A$5001,"&gt;="&amp;$C$7,BD!$A$3:$A$5001,"&lt;="&amp;$B174,BD!$Y$3:$Y$5001,"&lt;&gt;")=0,"",SUMIFS(BD!$Y$3:$Y$5001,BD!$B$3:$B$5001,L$173,BD!$A$3:$A$5001,_xlfn.MAXIFS(BD!$A$3:$A$5001,BD!$B$3:$B$5001,L$173,BD!$A$3:$A$5001,"&gt;="&amp;$C$7,BD!$A$3:$A$5001,"&lt;="&amp;$B174,BD!$Y$3:$Y$5001,"&lt;&gt;"))))</f>
        <v/>
      </c>
    </row>
    <row r="175">
      <c r="A175" s="40">
        <v>2</v>
      </c>
      <c r="B175" s="41">
        <f>$B$13</f>
        <v>46297</v>
      </c>
      <c r="C175" s="42" t="str">
        <f>IF(OR($B175="",$A175&gt;$B$9),"",IF(COUNTIFS(BD!$B$3:$B$5001,C$173,BD!$A$3:$A$5001,"&gt;="&amp;$C$7,BD!$A$3:$A$5001,"&lt;="&amp;$B175,BD!$Y$3:$Y$5001,"&lt;&gt;")=0,"",SUMIFS(BD!$Y$3:$Y$5001,BD!$B$3:$B$5001,C$173,BD!$A$3:$A$5001,_xlfn.MAXIFS(BD!$A$3:$A$5001,BD!$B$3:$B$5001,C$173,BD!$A$3:$A$5001,"&gt;="&amp;$C$7,BD!$A$3:$A$5001,"&lt;="&amp;$B175,BD!$Y$3:$Y$5001,"&lt;&gt;"))))</f>
        <v/>
      </c>
      <c r="D175" s="42" t="str">
        <f>IF(OR($B175="",$A175&gt;$B$9),"",IF(COUNTIFS(BD!$B$3:$B$5001,D$173,BD!$A$3:$A$5001,"&gt;="&amp;$C$7,BD!$A$3:$A$5001,"&lt;="&amp;$B175,BD!$Y$3:$Y$5001,"&lt;&gt;")=0,"",SUMIFS(BD!$Y$3:$Y$5001,BD!$B$3:$B$5001,D$173,BD!$A$3:$A$5001,_xlfn.MAXIFS(BD!$A$3:$A$5001,BD!$B$3:$B$5001,D$173,BD!$A$3:$A$5001,"&gt;="&amp;$C$7,BD!$A$3:$A$5001,"&lt;="&amp;$B175,BD!$Y$3:$Y$5001,"&lt;&gt;"))))</f>
        <v/>
      </c>
      <c r="E175" s="42" t="str">
        <f>IF(OR($B175="",$A175&gt;$B$9),"",IF(COUNTIFS(BD!$B$3:$B$5001,E$173,BD!$A$3:$A$5001,"&gt;="&amp;$C$7,BD!$A$3:$A$5001,"&lt;="&amp;$B175,BD!$Y$3:$Y$5001,"&lt;&gt;")=0,"",SUMIFS(BD!$Y$3:$Y$5001,BD!$B$3:$B$5001,E$173,BD!$A$3:$A$5001,_xlfn.MAXIFS(BD!$A$3:$A$5001,BD!$B$3:$B$5001,E$173,BD!$A$3:$A$5001,"&gt;="&amp;$C$7,BD!$A$3:$A$5001,"&lt;="&amp;$B175,BD!$Y$3:$Y$5001,"&lt;&gt;"))))</f>
        <v/>
      </c>
      <c r="F175" s="42" t="str">
        <f>IF(OR($B175="",$A175&gt;$B$9),"",IF(COUNTIFS(BD!$B$3:$B$5001,F$173,BD!$A$3:$A$5001,"&gt;="&amp;$C$7,BD!$A$3:$A$5001,"&lt;="&amp;$B175,BD!$Y$3:$Y$5001,"&lt;&gt;")=0,"",SUMIFS(BD!$Y$3:$Y$5001,BD!$B$3:$B$5001,F$173,BD!$A$3:$A$5001,_xlfn.MAXIFS(BD!$A$3:$A$5001,BD!$B$3:$B$5001,F$173,BD!$A$3:$A$5001,"&gt;="&amp;$C$7,BD!$A$3:$A$5001,"&lt;="&amp;$B175,BD!$Y$3:$Y$5001,"&lt;&gt;"))))</f>
        <v/>
      </c>
      <c r="G175" s="42" t="str">
        <f>IF(OR($B175="",$A175&gt;$B$9),"",IF(COUNTIFS(BD!$B$3:$B$5001,G$173,BD!$A$3:$A$5001,"&gt;="&amp;$C$7,BD!$A$3:$A$5001,"&lt;="&amp;$B175,BD!$Y$3:$Y$5001,"&lt;&gt;")=0,"",SUMIFS(BD!$Y$3:$Y$5001,BD!$B$3:$B$5001,G$173,BD!$A$3:$A$5001,_xlfn.MAXIFS(BD!$A$3:$A$5001,BD!$B$3:$B$5001,G$173,BD!$A$3:$A$5001,"&gt;="&amp;$C$7,BD!$A$3:$A$5001,"&lt;="&amp;$B175,BD!$Y$3:$Y$5001,"&lt;&gt;"))))</f>
        <v/>
      </c>
      <c r="H175" s="42" t="str">
        <f>IF(OR($B175="",$A175&gt;$B$9),"",IF(COUNTIFS(BD!$B$3:$B$5001,H$173,BD!$A$3:$A$5001,"&gt;="&amp;$C$7,BD!$A$3:$A$5001,"&lt;="&amp;$B175,BD!$Y$3:$Y$5001,"&lt;&gt;")=0,"",SUMIFS(BD!$Y$3:$Y$5001,BD!$B$3:$B$5001,H$173,BD!$A$3:$A$5001,_xlfn.MAXIFS(BD!$A$3:$A$5001,BD!$B$3:$B$5001,H$173,BD!$A$3:$A$5001,"&gt;="&amp;$C$7,BD!$A$3:$A$5001,"&lt;="&amp;$B175,BD!$Y$3:$Y$5001,"&lt;&gt;"))))</f>
        <v/>
      </c>
      <c r="I175" s="42" t="str">
        <f>IF(OR($B175="",$A175&gt;$B$9),"",IF(COUNTIFS(BD!$B$3:$B$5001,I$173,BD!$A$3:$A$5001,"&gt;="&amp;$C$7,BD!$A$3:$A$5001,"&lt;="&amp;$B175,BD!$Y$3:$Y$5001,"&lt;&gt;")=0,"",SUMIFS(BD!$Y$3:$Y$5001,BD!$B$3:$B$5001,I$173,BD!$A$3:$A$5001,_xlfn.MAXIFS(BD!$A$3:$A$5001,BD!$B$3:$B$5001,I$173,BD!$A$3:$A$5001,"&gt;="&amp;$C$7,BD!$A$3:$A$5001,"&lt;="&amp;$B175,BD!$Y$3:$Y$5001,"&lt;&gt;"))))</f>
        <v/>
      </c>
      <c r="J175" s="42" t="str">
        <f>IF(OR($B175="",$A175&gt;$B$9),"",IF(COUNTIFS(BD!$B$3:$B$5001,J$173,BD!$A$3:$A$5001,"&gt;="&amp;$C$7,BD!$A$3:$A$5001,"&lt;="&amp;$B175,BD!$Y$3:$Y$5001,"&lt;&gt;")=0,"",SUMIFS(BD!$Y$3:$Y$5001,BD!$B$3:$B$5001,J$173,BD!$A$3:$A$5001,_xlfn.MAXIFS(BD!$A$3:$A$5001,BD!$B$3:$B$5001,J$173,BD!$A$3:$A$5001,"&gt;="&amp;$C$7,BD!$A$3:$A$5001,"&lt;="&amp;$B175,BD!$Y$3:$Y$5001,"&lt;&gt;"))))</f>
        <v/>
      </c>
      <c r="K175" s="42" t="str">
        <f>IF(OR($B175="",$A175&gt;$B$9),"",IF(COUNTIFS(BD!$B$3:$B$5001,K$173,BD!$A$3:$A$5001,"&gt;="&amp;$C$7,BD!$A$3:$A$5001,"&lt;="&amp;$B175,BD!$Y$3:$Y$5001,"&lt;&gt;")=0,"",SUMIFS(BD!$Y$3:$Y$5001,BD!$B$3:$B$5001,K$173,BD!$A$3:$A$5001,_xlfn.MAXIFS(BD!$A$3:$A$5001,BD!$B$3:$B$5001,K$173,BD!$A$3:$A$5001,"&gt;="&amp;$C$7,BD!$A$3:$A$5001,"&lt;="&amp;$B175,BD!$Y$3:$Y$5001,"&lt;&gt;"))))</f>
        <v/>
      </c>
      <c r="L175" s="42" t="str">
        <f>IF(OR($B175="",$A175&gt;$B$9),"",IF(COUNTIFS(BD!$B$3:$B$5001,L$173,BD!$A$3:$A$5001,"&gt;="&amp;$C$7,BD!$A$3:$A$5001,"&lt;="&amp;$B175,BD!$Y$3:$Y$5001,"&lt;&gt;")=0,"",SUMIFS(BD!$Y$3:$Y$5001,BD!$B$3:$B$5001,L$173,BD!$A$3:$A$5001,_xlfn.MAXIFS(BD!$A$3:$A$5001,BD!$B$3:$B$5001,L$173,BD!$A$3:$A$5001,"&gt;="&amp;$C$7,BD!$A$3:$A$5001,"&lt;="&amp;$B175,BD!$Y$3:$Y$5001,"&lt;&gt;"))))</f>
        <v/>
      </c>
    </row>
    <row r="176">
      <c r="A176" s="40">
        <v>3</v>
      </c>
      <c r="B176" s="41">
        <f>$B$14</f>
        <v>46298</v>
      </c>
      <c r="C176" s="42" t="str">
        <f>IF(OR($B176="",$A176&gt;$B$9),"",IF(COUNTIFS(BD!$B$3:$B$5001,C$173,BD!$A$3:$A$5001,"&gt;="&amp;$C$7,BD!$A$3:$A$5001,"&lt;="&amp;$B176,BD!$Y$3:$Y$5001,"&lt;&gt;")=0,"",SUMIFS(BD!$Y$3:$Y$5001,BD!$B$3:$B$5001,C$173,BD!$A$3:$A$5001,_xlfn.MAXIFS(BD!$A$3:$A$5001,BD!$B$3:$B$5001,C$173,BD!$A$3:$A$5001,"&gt;="&amp;$C$7,BD!$A$3:$A$5001,"&lt;="&amp;$B176,BD!$Y$3:$Y$5001,"&lt;&gt;"))))</f>
        <v/>
      </c>
      <c r="D176" s="42" t="str">
        <f>IF(OR($B176="",$A176&gt;$B$9),"",IF(COUNTIFS(BD!$B$3:$B$5001,D$173,BD!$A$3:$A$5001,"&gt;="&amp;$C$7,BD!$A$3:$A$5001,"&lt;="&amp;$B176,BD!$Y$3:$Y$5001,"&lt;&gt;")=0,"",SUMIFS(BD!$Y$3:$Y$5001,BD!$B$3:$B$5001,D$173,BD!$A$3:$A$5001,_xlfn.MAXIFS(BD!$A$3:$A$5001,BD!$B$3:$B$5001,D$173,BD!$A$3:$A$5001,"&gt;="&amp;$C$7,BD!$A$3:$A$5001,"&lt;="&amp;$B176,BD!$Y$3:$Y$5001,"&lt;&gt;"))))</f>
        <v/>
      </c>
      <c r="E176" s="42" t="str">
        <f>IF(OR($B176="",$A176&gt;$B$9),"",IF(COUNTIFS(BD!$B$3:$B$5001,E$173,BD!$A$3:$A$5001,"&gt;="&amp;$C$7,BD!$A$3:$A$5001,"&lt;="&amp;$B176,BD!$Y$3:$Y$5001,"&lt;&gt;")=0,"",SUMIFS(BD!$Y$3:$Y$5001,BD!$B$3:$B$5001,E$173,BD!$A$3:$A$5001,_xlfn.MAXIFS(BD!$A$3:$A$5001,BD!$B$3:$B$5001,E$173,BD!$A$3:$A$5001,"&gt;="&amp;$C$7,BD!$A$3:$A$5001,"&lt;="&amp;$B176,BD!$Y$3:$Y$5001,"&lt;&gt;"))))</f>
        <v/>
      </c>
      <c r="F176" s="42" t="str">
        <f>IF(OR($B176="",$A176&gt;$B$9),"",IF(COUNTIFS(BD!$B$3:$B$5001,F$173,BD!$A$3:$A$5001,"&gt;="&amp;$C$7,BD!$A$3:$A$5001,"&lt;="&amp;$B176,BD!$Y$3:$Y$5001,"&lt;&gt;")=0,"",SUMIFS(BD!$Y$3:$Y$5001,BD!$B$3:$B$5001,F$173,BD!$A$3:$A$5001,_xlfn.MAXIFS(BD!$A$3:$A$5001,BD!$B$3:$B$5001,F$173,BD!$A$3:$A$5001,"&gt;="&amp;$C$7,BD!$A$3:$A$5001,"&lt;="&amp;$B176,BD!$Y$3:$Y$5001,"&lt;&gt;"))))</f>
        <v/>
      </c>
      <c r="G176" s="42" t="str">
        <f>IF(OR($B176="",$A176&gt;$B$9),"",IF(COUNTIFS(BD!$B$3:$B$5001,G$173,BD!$A$3:$A$5001,"&gt;="&amp;$C$7,BD!$A$3:$A$5001,"&lt;="&amp;$B176,BD!$Y$3:$Y$5001,"&lt;&gt;")=0,"",SUMIFS(BD!$Y$3:$Y$5001,BD!$B$3:$B$5001,G$173,BD!$A$3:$A$5001,_xlfn.MAXIFS(BD!$A$3:$A$5001,BD!$B$3:$B$5001,G$173,BD!$A$3:$A$5001,"&gt;="&amp;$C$7,BD!$A$3:$A$5001,"&lt;="&amp;$B176,BD!$Y$3:$Y$5001,"&lt;&gt;"))))</f>
        <v/>
      </c>
      <c r="H176" s="42" t="str">
        <f>IF(OR($B176="",$A176&gt;$B$9),"",IF(COUNTIFS(BD!$B$3:$B$5001,H$173,BD!$A$3:$A$5001,"&gt;="&amp;$C$7,BD!$A$3:$A$5001,"&lt;="&amp;$B176,BD!$Y$3:$Y$5001,"&lt;&gt;")=0,"",SUMIFS(BD!$Y$3:$Y$5001,BD!$B$3:$B$5001,H$173,BD!$A$3:$A$5001,_xlfn.MAXIFS(BD!$A$3:$A$5001,BD!$B$3:$B$5001,H$173,BD!$A$3:$A$5001,"&gt;="&amp;$C$7,BD!$A$3:$A$5001,"&lt;="&amp;$B176,BD!$Y$3:$Y$5001,"&lt;&gt;"))))</f>
        <v/>
      </c>
      <c r="I176" s="42" t="str">
        <f>IF(OR($B176="",$A176&gt;$B$9),"",IF(COUNTIFS(BD!$B$3:$B$5001,I$173,BD!$A$3:$A$5001,"&gt;="&amp;$C$7,BD!$A$3:$A$5001,"&lt;="&amp;$B176,BD!$Y$3:$Y$5001,"&lt;&gt;")=0,"",SUMIFS(BD!$Y$3:$Y$5001,BD!$B$3:$B$5001,I$173,BD!$A$3:$A$5001,_xlfn.MAXIFS(BD!$A$3:$A$5001,BD!$B$3:$B$5001,I$173,BD!$A$3:$A$5001,"&gt;="&amp;$C$7,BD!$A$3:$A$5001,"&lt;="&amp;$B176,BD!$Y$3:$Y$5001,"&lt;&gt;"))))</f>
        <v/>
      </c>
      <c r="J176" s="42" t="str">
        <f>IF(OR($B176="",$A176&gt;$B$9),"",IF(COUNTIFS(BD!$B$3:$B$5001,J$173,BD!$A$3:$A$5001,"&gt;="&amp;$C$7,BD!$A$3:$A$5001,"&lt;="&amp;$B176,BD!$Y$3:$Y$5001,"&lt;&gt;")=0,"",SUMIFS(BD!$Y$3:$Y$5001,BD!$B$3:$B$5001,J$173,BD!$A$3:$A$5001,_xlfn.MAXIFS(BD!$A$3:$A$5001,BD!$B$3:$B$5001,J$173,BD!$A$3:$A$5001,"&gt;="&amp;$C$7,BD!$A$3:$A$5001,"&lt;="&amp;$B176,BD!$Y$3:$Y$5001,"&lt;&gt;"))))</f>
        <v/>
      </c>
      <c r="K176" s="42" t="str">
        <f>IF(OR($B176="",$A176&gt;$B$9),"",IF(COUNTIFS(BD!$B$3:$B$5001,K$173,BD!$A$3:$A$5001,"&gt;="&amp;$C$7,BD!$A$3:$A$5001,"&lt;="&amp;$B176,BD!$Y$3:$Y$5001,"&lt;&gt;")=0,"",SUMIFS(BD!$Y$3:$Y$5001,BD!$B$3:$B$5001,K$173,BD!$A$3:$A$5001,_xlfn.MAXIFS(BD!$A$3:$A$5001,BD!$B$3:$B$5001,K$173,BD!$A$3:$A$5001,"&gt;="&amp;$C$7,BD!$A$3:$A$5001,"&lt;="&amp;$B176,BD!$Y$3:$Y$5001,"&lt;&gt;"))))</f>
        <v/>
      </c>
      <c r="L176" s="42" t="str">
        <f>IF(OR($B176="",$A176&gt;$B$9),"",IF(COUNTIFS(BD!$B$3:$B$5001,L$173,BD!$A$3:$A$5001,"&gt;="&amp;$C$7,BD!$A$3:$A$5001,"&lt;="&amp;$B176,BD!$Y$3:$Y$5001,"&lt;&gt;")=0,"",SUMIFS(BD!$Y$3:$Y$5001,BD!$B$3:$B$5001,L$173,BD!$A$3:$A$5001,_xlfn.MAXIFS(BD!$A$3:$A$5001,BD!$B$3:$B$5001,L$173,BD!$A$3:$A$5001,"&gt;="&amp;$C$7,BD!$A$3:$A$5001,"&lt;="&amp;$B176,BD!$Y$3:$Y$5001,"&lt;&gt;"))))</f>
        <v/>
      </c>
    </row>
    <row r="177">
      <c r="A177" s="40">
        <v>4</v>
      </c>
      <c r="B177" s="41">
        <f>$B$15</f>
        <v>46299</v>
      </c>
      <c r="C177" s="42" t="str">
        <f>IF(OR($B177="",$A177&gt;$B$9),"",IF(COUNTIFS(BD!$B$3:$B$5001,C$173,BD!$A$3:$A$5001,"&gt;="&amp;$C$7,BD!$A$3:$A$5001,"&lt;="&amp;$B177,BD!$Y$3:$Y$5001,"&lt;&gt;")=0,"",SUMIFS(BD!$Y$3:$Y$5001,BD!$B$3:$B$5001,C$173,BD!$A$3:$A$5001,_xlfn.MAXIFS(BD!$A$3:$A$5001,BD!$B$3:$B$5001,C$173,BD!$A$3:$A$5001,"&gt;="&amp;$C$7,BD!$A$3:$A$5001,"&lt;="&amp;$B177,BD!$Y$3:$Y$5001,"&lt;&gt;"))))</f>
        <v/>
      </c>
      <c r="D177" s="42" t="str">
        <f>IF(OR($B177="",$A177&gt;$B$9),"",IF(COUNTIFS(BD!$B$3:$B$5001,D$173,BD!$A$3:$A$5001,"&gt;="&amp;$C$7,BD!$A$3:$A$5001,"&lt;="&amp;$B177,BD!$Y$3:$Y$5001,"&lt;&gt;")=0,"",SUMIFS(BD!$Y$3:$Y$5001,BD!$B$3:$B$5001,D$173,BD!$A$3:$A$5001,_xlfn.MAXIFS(BD!$A$3:$A$5001,BD!$B$3:$B$5001,D$173,BD!$A$3:$A$5001,"&gt;="&amp;$C$7,BD!$A$3:$A$5001,"&lt;="&amp;$B177,BD!$Y$3:$Y$5001,"&lt;&gt;"))))</f>
        <v/>
      </c>
      <c r="E177" s="42" t="str">
        <f>IF(OR($B177="",$A177&gt;$B$9),"",IF(COUNTIFS(BD!$B$3:$B$5001,E$173,BD!$A$3:$A$5001,"&gt;="&amp;$C$7,BD!$A$3:$A$5001,"&lt;="&amp;$B177,BD!$Y$3:$Y$5001,"&lt;&gt;")=0,"",SUMIFS(BD!$Y$3:$Y$5001,BD!$B$3:$B$5001,E$173,BD!$A$3:$A$5001,_xlfn.MAXIFS(BD!$A$3:$A$5001,BD!$B$3:$B$5001,E$173,BD!$A$3:$A$5001,"&gt;="&amp;$C$7,BD!$A$3:$A$5001,"&lt;="&amp;$B177,BD!$Y$3:$Y$5001,"&lt;&gt;"))))</f>
        <v/>
      </c>
      <c r="F177" s="42" t="str">
        <f>IF(OR($B177="",$A177&gt;$B$9),"",IF(COUNTIFS(BD!$B$3:$B$5001,F$173,BD!$A$3:$A$5001,"&gt;="&amp;$C$7,BD!$A$3:$A$5001,"&lt;="&amp;$B177,BD!$Y$3:$Y$5001,"&lt;&gt;")=0,"",SUMIFS(BD!$Y$3:$Y$5001,BD!$B$3:$B$5001,F$173,BD!$A$3:$A$5001,_xlfn.MAXIFS(BD!$A$3:$A$5001,BD!$B$3:$B$5001,F$173,BD!$A$3:$A$5001,"&gt;="&amp;$C$7,BD!$A$3:$A$5001,"&lt;="&amp;$B177,BD!$Y$3:$Y$5001,"&lt;&gt;"))))</f>
        <v/>
      </c>
      <c r="G177" s="42" t="str">
        <f>IF(OR($B177="",$A177&gt;$B$9),"",IF(COUNTIFS(BD!$B$3:$B$5001,G$173,BD!$A$3:$A$5001,"&gt;="&amp;$C$7,BD!$A$3:$A$5001,"&lt;="&amp;$B177,BD!$Y$3:$Y$5001,"&lt;&gt;")=0,"",SUMIFS(BD!$Y$3:$Y$5001,BD!$B$3:$B$5001,G$173,BD!$A$3:$A$5001,_xlfn.MAXIFS(BD!$A$3:$A$5001,BD!$B$3:$B$5001,G$173,BD!$A$3:$A$5001,"&gt;="&amp;$C$7,BD!$A$3:$A$5001,"&lt;="&amp;$B177,BD!$Y$3:$Y$5001,"&lt;&gt;"))))</f>
        <v/>
      </c>
      <c r="H177" s="42" t="str">
        <f>IF(OR($B177="",$A177&gt;$B$9),"",IF(COUNTIFS(BD!$B$3:$B$5001,H$173,BD!$A$3:$A$5001,"&gt;="&amp;$C$7,BD!$A$3:$A$5001,"&lt;="&amp;$B177,BD!$Y$3:$Y$5001,"&lt;&gt;")=0,"",SUMIFS(BD!$Y$3:$Y$5001,BD!$B$3:$B$5001,H$173,BD!$A$3:$A$5001,_xlfn.MAXIFS(BD!$A$3:$A$5001,BD!$B$3:$B$5001,H$173,BD!$A$3:$A$5001,"&gt;="&amp;$C$7,BD!$A$3:$A$5001,"&lt;="&amp;$B177,BD!$Y$3:$Y$5001,"&lt;&gt;"))))</f>
        <v/>
      </c>
      <c r="I177" s="42" t="str">
        <f>IF(OR($B177="",$A177&gt;$B$9),"",IF(COUNTIFS(BD!$B$3:$B$5001,I$173,BD!$A$3:$A$5001,"&gt;="&amp;$C$7,BD!$A$3:$A$5001,"&lt;="&amp;$B177,BD!$Y$3:$Y$5001,"&lt;&gt;")=0,"",SUMIFS(BD!$Y$3:$Y$5001,BD!$B$3:$B$5001,I$173,BD!$A$3:$A$5001,_xlfn.MAXIFS(BD!$A$3:$A$5001,BD!$B$3:$B$5001,I$173,BD!$A$3:$A$5001,"&gt;="&amp;$C$7,BD!$A$3:$A$5001,"&lt;="&amp;$B177,BD!$Y$3:$Y$5001,"&lt;&gt;"))))</f>
        <v/>
      </c>
      <c r="J177" s="42" t="str">
        <f>IF(OR($B177="",$A177&gt;$B$9),"",IF(COUNTIFS(BD!$B$3:$B$5001,J$173,BD!$A$3:$A$5001,"&gt;="&amp;$C$7,BD!$A$3:$A$5001,"&lt;="&amp;$B177,BD!$Y$3:$Y$5001,"&lt;&gt;")=0,"",SUMIFS(BD!$Y$3:$Y$5001,BD!$B$3:$B$5001,J$173,BD!$A$3:$A$5001,_xlfn.MAXIFS(BD!$A$3:$A$5001,BD!$B$3:$B$5001,J$173,BD!$A$3:$A$5001,"&gt;="&amp;$C$7,BD!$A$3:$A$5001,"&lt;="&amp;$B177,BD!$Y$3:$Y$5001,"&lt;&gt;"))))</f>
        <v/>
      </c>
      <c r="K177" s="42" t="str">
        <f>IF(OR($B177="",$A177&gt;$B$9),"",IF(COUNTIFS(BD!$B$3:$B$5001,K$173,BD!$A$3:$A$5001,"&gt;="&amp;$C$7,BD!$A$3:$A$5001,"&lt;="&amp;$B177,BD!$Y$3:$Y$5001,"&lt;&gt;")=0,"",SUMIFS(BD!$Y$3:$Y$5001,BD!$B$3:$B$5001,K$173,BD!$A$3:$A$5001,_xlfn.MAXIFS(BD!$A$3:$A$5001,BD!$B$3:$B$5001,K$173,BD!$A$3:$A$5001,"&gt;="&amp;$C$7,BD!$A$3:$A$5001,"&lt;="&amp;$B177,BD!$Y$3:$Y$5001,"&lt;&gt;"))))</f>
        <v/>
      </c>
      <c r="L177" s="42" t="str">
        <f>IF(OR($B177="",$A177&gt;$B$9),"",IF(COUNTIFS(BD!$B$3:$B$5001,L$173,BD!$A$3:$A$5001,"&gt;="&amp;$C$7,BD!$A$3:$A$5001,"&lt;="&amp;$B177,BD!$Y$3:$Y$5001,"&lt;&gt;")=0,"",SUMIFS(BD!$Y$3:$Y$5001,BD!$B$3:$B$5001,L$173,BD!$A$3:$A$5001,_xlfn.MAXIFS(BD!$A$3:$A$5001,BD!$B$3:$B$5001,L$173,BD!$A$3:$A$5001,"&gt;="&amp;$C$7,BD!$A$3:$A$5001,"&lt;="&amp;$B177,BD!$Y$3:$Y$5001,"&lt;&gt;"))))</f>
        <v/>
      </c>
    </row>
    <row r="178">
      <c r="A178" s="40">
        <v>5</v>
      </c>
      <c r="B178" s="41">
        <f>$B$16</f>
        <v>46300</v>
      </c>
      <c r="C178" s="42" t="str">
        <f>IF(OR($B178="",$A178&gt;$B$9),"",IF(COUNTIFS(BD!$B$3:$B$5001,C$173,BD!$A$3:$A$5001,"&gt;="&amp;$C$7,BD!$A$3:$A$5001,"&lt;="&amp;$B178,BD!$Y$3:$Y$5001,"&lt;&gt;")=0,"",SUMIFS(BD!$Y$3:$Y$5001,BD!$B$3:$B$5001,C$173,BD!$A$3:$A$5001,_xlfn.MAXIFS(BD!$A$3:$A$5001,BD!$B$3:$B$5001,C$173,BD!$A$3:$A$5001,"&gt;="&amp;$C$7,BD!$A$3:$A$5001,"&lt;="&amp;$B178,BD!$Y$3:$Y$5001,"&lt;&gt;"))))</f>
        <v/>
      </c>
      <c r="D178" s="42" t="str">
        <f>IF(OR($B178="",$A178&gt;$B$9),"",IF(COUNTIFS(BD!$B$3:$B$5001,D$173,BD!$A$3:$A$5001,"&gt;="&amp;$C$7,BD!$A$3:$A$5001,"&lt;="&amp;$B178,BD!$Y$3:$Y$5001,"&lt;&gt;")=0,"",SUMIFS(BD!$Y$3:$Y$5001,BD!$B$3:$B$5001,D$173,BD!$A$3:$A$5001,_xlfn.MAXIFS(BD!$A$3:$A$5001,BD!$B$3:$B$5001,D$173,BD!$A$3:$A$5001,"&gt;="&amp;$C$7,BD!$A$3:$A$5001,"&lt;="&amp;$B178,BD!$Y$3:$Y$5001,"&lt;&gt;"))))</f>
        <v/>
      </c>
      <c r="E178" s="42" t="str">
        <f>IF(OR($B178="",$A178&gt;$B$9),"",IF(COUNTIFS(BD!$B$3:$B$5001,E$173,BD!$A$3:$A$5001,"&gt;="&amp;$C$7,BD!$A$3:$A$5001,"&lt;="&amp;$B178,BD!$Y$3:$Y$5001,"&lt;&gt;")=0,"",SUMIFS(BD!$Y$3:$Y$5001,BD!$B$3:$B$5001,E$173,BD!$A$3:$A$5001,_xlfn.MAXIFS(BD!$A$3:$A$5001,BD!$B$3:$B$5001,E$173,BD!$A$3:$A$5001,"&gt;="&amp;$C$7,BD!$A$3:$A$5001,"&lt;="&amp;$B178,BD!$Y$3:$Y$5001,"&lt;&gt;"))))</f>
        <v/>
      </c>
      <c r="F178" s="42" t="str">
        <f>IF(OR($B178="",$A178&gt;$B$9),"",IF(COUNTIFS(BD!$B$3:$B$5001,F$173,BD!$A$3:$A$5001,"&gt;="&amp;$C$7,BD!$A$3:$A$5001,"&lt;="&amp;$B178,BD!$Y$3:$Y$5001,"&lt;&gt;")=0,"",SUMIFS(BD!$Y$3:$Y$5001,BD!$B$3:$B$5001,F$173,BD!$A$3:$A$5001,_xlfn.MAXIFS(BD!$A$3:$A$5001,BD!$B$3:$B$5001,F$173,BD!$A$3:$A$5001,"&gt;="&amp;$C$7,BD!$A$3:$A$5001,"&lt;="&amp;$B178,BD!$Y$3:$Y$5001,"&lt;&gt;"))))</f>
        <v/>
      </c>
      <c r="G178" s="42" t="str">
        <f>IF(OR($B178="",$A178&gt;$B$9),"",IF(COUNTIFS(BD!$B$3:$B$5001,G$173,BD!$A$3:$A$5001,"&gt;="&amp;$C$7,BD!$A$3:$A$5001,"&lt;="&amp;$B178,BD!$Y$3:$Y$5001,"&lt;&gt;")=0,"",SUMIFS(BD!$Y$3:$Y$5001,BD!$B$3:$B$5001,G$173,BD!$A$3:$A$5001,_xlfn.MAXIFS(BD!$A$3:$A$5001,BD!$B$3:$B$5001,G$173,BD!$A$3:$A$5001,"&gt;="&amp;$C$7,BD!$A$3:$A$5001,"&lt;="&amp;$B178,BD!$Y$3:$Y$5001,"&lt;&gt;"))))</f>
        <v/>
      </c>
      <c r="H178" s="42" t="str">
        <f>IF(OR($B178="",$A178&gt;$B$9),"",IF(COUNTIFS(BD!$B$3:$B$5001,H$173,BD!$A$3:$A$5001,"&gt;="&amp;$C$7,BD!$A$3:$A$5001,"&lt;="&amp;$B178,BD!$Y$3:$Y$5001,"&lt;&gt;")=0,"",SUMIFS(BD!$Y$3:$Y$5001,BD!$B$3:$B$5001,H$173,BD!$A$3:$A$5001,_xlfn.MAXIFS(BD!$A$3:$A$5001,BD!$B$3:$B$5001,H$173,BD!$A$3:$A$5001,"&gt;="&amp;$C$7,BD!$A$3:$A$5001,"&lt;="&amp;$B178,BD!$Y$3:$Y$5001,"&lt;&gt;"))))</f>
        <v/>
      </c>
      <c r="I178" s="42" t="str">
        <f>IF(OR($B178="",$A178&gt;$B$9),"",IF(COUNTIFS(BD!$B$3:$B$5001,I$173,BD!$A$3:$A$5001,"&gt;="&amp;$C$7,BD!$A$3:$A$5001,"&lt;="&amp;$B178,BD!$Y$3:$Y$5001,"&lt;&gt;")=0,"",SUMIFS(BD!$Y$3:$Y$5001,BD!$B$3:$B$5001,I$173,BD!$A$3:$A$5001,_xlfn.MAXIFS(BD!$A$3:$A$5001,BD!$B$3:$B$5001,I$173,BD!$A$3:$A$5001,"&gt;="&amp;$C$7,BD!$A$3:$A$5001,"&lt;="&amp;$B178,BD!$Y$3:$Y$5001,"&lt;&gt;"))))</f>
        <v/>
      </c>
      <c r="J178" s="42" t="str">
        <f>IF(OR($B178="",$A178&gt;$B$9),"",IF(COUNTIFS(BD!$B$3:$B$5001,J$173,BD!$A$3:$A$5001,"&gt;="&amp;$C$7,BD!$A$3:$A$5001,"&lt;="&amp;$B178,BD!$Y$3:$Y$5001,"&lt;&gt;")=0,"",SUMIFS(BD!$Y$3:$Y$5001,BD!$B$3:$B$5001,J$173,BD!$A$3:$A$5001,_xlfn.MAXIFS(BD!$A$3:$A$5001,BD!$B$3:$B$5001,J$173,BD!$A$3:$A$5001,"&gt;="&amp;$C$7,BD!$A$3:$A$5001,"&lt;="&amp;$B178,BD!$Y$3:$Y$5001,"&lt;&gt;"))))</f>
        <v/>
      </c>
      <c r="K178" s="42" t="str">
        <f>IF(OR($B178="",$A178&gt;$B$9),"",IF(COUNTIFS(BD!$B$3:$B$5001,K$173,BD!$A$3:$A$5001,"&gt;="&amp;$C$7,BD!$A$3:$A$5001,"&lt;="&amp;$B178,BD!$Y$3:$Y$5001,"&lt;&gt;")=0,"",SUMIFS(BD!$Y$3:$Y$5001,BD!$B$3:$B$5001,K$173,BD!$A$3:$A$5001,_xlfn.MAXIFS(BD!$A$3:$A$5001,BD!$B$3:$B$5001,K$173,BD!$A$3:$A$5001,"&gt;="&amp;$C$7,BD!$A$3:$A$5001,"&lt;="&amp;$B178,BD!$Y$3:$Y$5001,"&lt;&gt;"))))</f>
        <v/>
      </c>
      <c r="L178" s="42" t="str">
        <f>IF(OR($B178="",$A178&gt;$B$9),"",IF(COUNTIFS(BD!$B$3:$B$5001,L$173,BD!$A$3:$A$5001,"&gt;="&amp;$C$7,BD!$A$3:$A$5001,"&lt;="&amp;$B178,BD!$Y$3:$Y$5001,"&lt;&gt;")=0,"",SUMIFS(BD!$Y$3:$Y$5001,BD!$B$3:$B$5001,L$173,BD!$A$3:$A$5001,_xlfn.MAXIFS(BD!$A$3:$A$5001,BD!$B$3:$B$5001,L$173,BD!$A$3:$A$5001,"&gt;="&amp;$C$7,BD!$A$3:$A$5001,"&lt;="&amp;$B178,BD!$Y$3:$Y$5001,"&lt;&gt;"))))</f>
        <v/>
      </c>
    </row>
    <row r="179">
      <c r="A179" s="40">
        <v>6</v>
      </c>
      <c r="B179" s="41">
        <f>$B$17</f>
        <v>46301</v>
      </c>
      <c r="C179" s="42" t="str">
        <f>IF(OR($B179="",$A179&gt;$B$9),"",IF(COUNTIFS(BD!$B$3:$B$5001,C$173,BD!$A$3:$A$5001,"&gt;="&amp;$C$7,BD!$A$3:$A$5001,"&lt;="&amp;$B179,BD!$Y$3:$Y$5001,"&lt;&gt;")=0,"",SUMIFS(BD!$Y$3:$Y$5001,BD!$B$3:$B$5001,C$173,BD!$A$3:$A$5001,_xlfn.MAXIFS(BD!$A$3:$A$5001,BD!$B$3:$B$5001,C$173,BD!$A$3:$A$5001,"&gt;="&amp;$C$7,BD!$A$3:$A$5001,"&lt;="&amp;$B179,BD!$Y$3:$Y$5001,"&lt;&gt;"))))</f>
        <v/>
      </c>
      <c r="D179" s="42" t="str">
        <f>IF(OR($B179="",$A179&gt;$B$9),"",IF(COUNTIFS(BD!$B$3:$B$5001,D$173,BD!$A$3:$A$5001,"&gt;="&amp;$C$7,BD!$A$3:$A$5001,"&lt;="&amp;$B179,BD!$Y$3:$Y$5001,"&lt;&gt;")=0,"",SUMIFS(BD!$Y$3:$Y$5001,BD!$B$3:$B$5001,D$173,BD!$A$3:$A$5001,_xlfn.MAXIFS(BD!$A$3:$A$5001,BD!$B$3:$B$5001,D$173,BD!$A$3:$A$5001,"&gt;="&amp;$C$7,BD!$A$3:$A$5001,"&lt;="&amp;$B179,BD!$Y$3:$Y$5001,"&lt;&gt;"))))</f>
        <v/>
      </c>
      <c r="E179" s="42" t="str">
        <f>IF(OR($B179="",$A179&gt;$B$9),"",IF(COUNTIFS(BD!$B$3:$B$5001,E$173,BD!$A$3:$A$5001,"&gt;="&amp;$C$7,BD!$A$3:$A$5001,"&lt;="&amp;$B179,BD!$Y$3:$Y$5001,"&lt;&gt;")=0,"",SUMIFS(BD!$Y$3:$Y$5001,BD!$B$3:$B$5001,E$173,BD!$A$3:$A$5001,_xlfn.MAXIFS(BD!$A$3:$A$5001,BD!$B$3:$B$5001,E$173,BD!$A$3:$A$5001,"&gt;="&amp;$C$7,BD!$A$3:$A$5001,"&lt;="&amp;$B179,BD!$Y$3:$Y$5001,"&lt;&gt;"))))</f>
        <v/>
      </c>
      <c r="F179" s="42" t="str">
        <f>IF(OR($B179="",$A179&gt;$B$9),"",IF(COUNTIFS(BD!$B$3:$B$5001,F$173,BD!$A$3:$A$5001,"&gt;="&amp;$C$7,BD!$A$3:$A$5001,"&lt;="&amp;$B179,BD!$Y$3:$Y$5001,"&lt;&gt;")=0,"",SUMIFS(BD!$Y$3:$Y$5001,BD!$B$3:$B$5001,F$173,BD!$A$3:$A$5001,_xlfn.MAXIFS(BD!$A$3:$A$5001,BD!$B$3:$B$5001,F$173,BD!$A$3:$A$5001,"&gt;="&amp;$C$7,BD!$A$3:$A$5001,"&lt;="&amp;$B179,BD!$Y$3:$Y$5001,"&lt;&gt;"))))</f>
        <v/>
      </c>
      <c r="G179" s="42" t="str">
        <f>IF(OR($B179="",$A179&gt;$B$9),"",IF(COUNTIFS(BD!$B$3:$B$5001,G$173,BD!$A$3:$A$5001,"&gt;="&amp;$C$7,BD!$A$3:$A$5001,"&lt;="&amp;$B179,BD!$Y$3:$Y$5001,"&lt;&gt;")=0,"",SUMIFS(BD!$Y$3:$Y$5001,BD!$B$3:$B$5001,G$173,BD!$A$3:$A$5001,_xlfn.MAXIFS(BD!$A$3:$A$5001,BD!$B$3:$B$5001,G$173,BD!$A$3:$A$5001,"&gt;="&amp;$C$7,BD!$A$3:$A$5001,"&lt;="&amp;$B179,BD!$Y$3:$Y$5001,"&lt;&gt;"))))</f>
        <v/>
      </c>
      <c r="H179" s="42" t="str">
        <f>IF(OR($B179="",$A179&gt;$B$9),"",IF(COUNTIFS(BD!$B$3:$B$5001,H$173,BD!$A$3:$A$5001,"&gt;="&amp;$C$7,BD!$A$3:$A$5001,"&lt;="&amp;$B179,BD!$Y$3:$Y$5001,"&lt;&gt;")=0,"",SUMIFS(BD!$Y$3:$Y$5001,BD!$B$3:$B$5001,H$173,BD!$A$3:$A$5001,_xlfn.MAXIFS(BD!$A$3:$A$5001,BD!$B$3:$B$5001,H$173,BD!$A$3:$A$5001,"&gt;="&amp;$C$7,BD!$A$3:$A$5001,"&lt;="&amp;$B179,BD!$Y$3:$Y$5001,"&lt;&gt;"))))</f>
        <v/>
      </c>
      <c r="I179" s="42" t="str">
        <f>IF(OR($B179="",$A179&gt;$B$9),"",IF(COUNTIFS(BD!$B$3:$B$5001,I$173,BD!$A$3:$A$5001,"&gt;="&amp;$C$7,BD!$A$3:$A$5001,"&lt;="&amp;$B179,BD!$Y$3:$Y$5001,"&lt;&gt;")=0,"",SUMIFS(BD!$Y$3:$Y$5001,BD!$B$3:$B$5001,I$173,BD!$A$3:$A$5001,_xlfn.MAXIFS(BD!$A$3:$A$5001,BD!$B$3:$B$5001,I$173,BD!$A$3:$A$5001,"&gt;="&amp;$C$7,BD!$A$3:$A$5001,"&lt;="&amp;$B179,BD!$Y$3:$Y$5001,"&lt;&gt;"))))</f>
        <v/>
      </c>
      <c r="J179" s="42" t="str">
        <f>IF(OR($B179="",$A179&gt;$B$9),"",IF(COUNTIFS(BD!$B$3:$B$5001,J$173,BD!$A$3:$A$5001,"&gt;="&amp;$C$7,BD!$A$3:$A$5001,"&lt;="&amp;$B179,BD!$Y$3:$Y$5001,"&lt;&gt;")=0,"",SUMIFS(BD!$Y$3:$Y$5001,BD!$B$3:$B$5001,J$173,BD!$A$3:$A$5001,_xlfn.MAXIFS(BD!$A$3:$A$5001,BD!$B$3:$B$5001,J$173,BD!$A$3:$A$5001,"&gt;="&amp;$C$7,BD!$A$3:$A$5001,"&lt;="&amp;$B179,BD!$Y$3:$Y$5001,"&lt;&gt;"))))</f>
        <v/>
      </c>
      <c r="K179" s="42" t="str">
        <f>IF(OR($B179="",$A179&gt;$B$9),"",IF(COUNTIFS(BD!$B$3:$B$5001,K$173,BD!$A$3:$A$5001,"&gt;="&amp;$C$7,BD!$A$3:$A$5001,"&lt;="&amp;$B179,BD!$Y$3:$Y$5001,"&lt;&gt;")=0,"",SUMIFS(BD!$Y$3:$Y$5001,BD!$B$3:$B$5001,K$173,BD!$A$3:$A$5001,_xlfn.MAXIFS(BD!$A$3:$A$5001,BD!$B$3:$B$5001,K$173,BD!$A$3:$A$5001,"&gt;="&amp;$C$7,BD!$A$3:$A$5001,"&lt;="&amp;$B179,BD!$Y$3:$Y$5001,"&lt;&gt;"))))</f>
        <v/>
      </c>
      <c r="L179" s="42" t="str">
        <f>IF(OR($B179="",$A179&gt;$B$9),"",IF(COUNTIFS(BD!$B$3:$B$5001,L$173,BD!$A$3:$A$5001,"&gt;="&amp;$C$7,BD!$A$3:$A$5001,"&lt;="&amp;$B179,BD!$Y$3:$Y$5001,"&lt;&gt;")=0,"",SUMIFS(BD!$Y$3:$Y$5001,BD!$B$3:$B$5001,L$173,BD!$A$3:$A$5001,_xlfn.MAXIFS(BD!$A$3:$A$5001,BD!$B$3:$B$5001,L$173,BD!$A$3:$A$5001,"&gt;="&amp;$C$7,BD!$A$3:$A$5001,"&lt;="&amp;$B179,BD!$Y$3:$Y$5001,"&lt;&gt;"))))</f>
        <v/>
      </c>
    </row>
    <row r="180">
      <c r="A180" s="40">
        <v>7</v>
      </c>
      <c r="B180" s="41">
        <f>$B$18</f>
        <v>46302</v>
      </c>
      <c r="C180" s="42" t="str">
        <f>IF(OR($B180="",$A180&gt;$B$9),"",IF(COUNTIFS(BD!$B$3:$B$5001,C$173,BD!$A$3:$A$5001,"&gt;="&amp;$C$7,BD!$A$3:$A$5001,"&lt;="&amp;$B180,BD!$Y$3:$Y$5001,"&lt;&gt;")=0,"",SUMIFS(BD!$Y$3:$Y$5001,BD!$B$3:$B$5001,C$173,BD!$A$3:$A$5001,_xlfn.MAXIFS(BD!$A$3:$A$5001,BD!$B$3:$B$5001,C$173,BD!$A$3:$A$5001,"&gt;="&amp;$C$7,BD!$A$3:$A$5001,"&lt;="&amp;$B180,BD!$Y$3:$Y$5001,"&lt;&gt;"))))</f>
        <v/>
      </c>
      <c r="D180" s="42" t="str">
        <f>IF(OR($B180="",$A180&gt;$B$9),"",IF(COUNTIFS(BD!$B$3:$B$5001,D$173,BD!$A$3:$A$5001,"&gt;="&amp;$C$7,BD!$A$3:$A$5001,"&lt;="&amp;$B180,BD!$Y$3:$Y$5001,"&lt;&gt;")=0,"",SUMIFS(BD!$Y$3:$Y$5001,BD!$B$3:$B$5001,D$173,BD!$A$3:$A$5001,_xlfn.MAXIFS(BD!$A$3:$A$5001,BD!$B$3:$B$5001,D$173,BD!$A$3:$A$5001,"&gt;="&amp;$C$7,BD!$A$3:$A$5001,"&lt;="&amp;$B180,BD!$Y$3:$Y$5001,"&lt;&gt;"))))</f>
        <v/>
      </c>
      <c r="E180" s="42" t="str">
        <f>IF(OR($B180="",$A180&gt;$B$9),"",IF(COUNTIFS(BD!$B$3:$B$5001,E$173,BD!$A$3:$A$5001,"&gt;="&amp;$C$7,BD!$A$3:$A$5001,"&lt;="&amp;$B180,BD!$Y$3:$Y$5001,"&lt;&gt;")=0,"",SUMIFS(BD!$Y$3:$Y$5001,BD!$B$3:$B$5001,E$173,BD!$A$3:$A$5001,_xlfn.MAXIFS(BD!$A$3:$A$5001,BD!$B$3:$B$5001,E$173,BD!$A$3:$A$5001,"&gt;="&amp;$C$7,BD!$A$3:$A$5001,"&lt;="&amp;$B180,BD!$Y$3:$Y$5001,"&lt;&gt;"))))</f>
        <v/>
      </c>
      <c r="F180" s="42" t="str">
        <f>IF(OR($B180="",$A180&gt;$B$9),"",IF(COUNTIFS(BD!$B$3:$B$5001,F$173,BD!$A$3:$A$5001,"&gt;="&amp;$C$7,BD!$A$3:$A$5001,"&lt;="&amp;$B180,BD!$Y$3:$Y$5001,"&lt;&gt;")=0,"",SUMIFS(BD!$Y$3:$Y$5001,BD!$B$3:$B$5001,F$173,BD!$A$3:$A$5001,_xlfn.MAXIFS(BD!$A$3:$A$5001,BD!$B$3:$B$5001,F$173,BD!$A$3:$A$5001,"&gt;="&amp;$C$7,BD!$A$3:$A$5001,"&lt;="&amp;$B180,BD!$Y$3:$Y$5001,"&lt;&gt;"))))</f>
        <v/>
      </c>
      <c r="G180" s="42" t="str">
        <f>IF(OR($B180="",$A180&gt;$B$9),"",IF(COUNTIFS(BD!$B$3:$B$5001,G$173,BD!$A$3:$A$5001,"&gt;="&amp;$C$7,BD!$A$3:$A$5001,"&lt;="&amp;$B180,BD!$Y$3:$Y$5001,"&lt;&gt;")=0,"",SUMIFS(BD!$Y$3:$Y$5001,BD!$B$3:$B$5001,G$173,BD!$A$3:$A$5001,_xlfn.MAXIFS(BD!$A$3:$A$5001,BD!$B$3:$B$5001,G$173,BD!$A$3:$A$5001,"&gt;="&amp;$C$7,BD!$A$3:$A$5001,"&lt;="&amp;$B180,BD!$Y$3:$Y$5001,"&lt;&gt;"))))</f>
        <v/>
      </c>
      <c r="H180" s="42" t="str">
        <f>IF(OR($B180="",$A180&gt;$B$9),"",IF(COUNTIFS(BD!$B$3:$B$5001,H$173,BD!$A$3:$A$5001,"&gt;="&amp;$C$7,BD!$A$3:$A$5001,"&lt;="&amp;$B180,BD!$Y$3:$Y$5001,"&lt;&gt;")=0,"",SUMIFS(BD!$Y$3:$Y$5001,BD!$B$3:$B$5001,H$173,BD!$A$3:$A$5001,_xlfn.MAXIFS(BD!$A$3:$A$5001,BD!$B$3:$B$5001,H$173,BD!$A$3:$A$5001,"&gt;="&amp;$C$7,BD!$A$3:$A$5001,"&lt;="&amp;$B180,BD!$Y$3:$Y$5001,"&lt;&gt;"))))</f>
        <v/>
      </c>
      <c r="I180" s="42" t="str">
        <f>IF(OR($B180="",$A180&gt;$B$9),"",IF(COUNTIFS(BD!$B$3:$B$5001,I$173,BD!$A$3:$A$5001,"&gt;="&amp;$C$7,BD!$A$3:$A$5001,"&lt;="&amp;$B180,BD!$Y$3:$Y$5001,"&lt;&gt;")=0,"",SUMIFS(BD!$Y$3:$Y$5001,BD!$B$3:$B$5001,I$173,BD!$A$3:$A$5001,_xlfn.MAXIFS(BD!$A$3:$A$5001,BD!$B$3:$B$5001,I$173,BD!$A$3:$A$5001,"&gt;="&amp;$C$7,BD!$A$3:$A$5001,"&lt;="&amp;$B180,BD!$Y$3:$Y$5001,"&lt;&gt;"))))</f>
        <v/>
      </c>
      <c r="J180" s="42" t="str">
        <f>IF(OR($B180="",$A180&gt;$B$9),"",IF(COUNTIFS(BD!$B$3:$B$5001,J$173,BD!$A$3:$A$5001,"&gt;="&amp;$C$7,BD!$A$3:$A$5001,"&lt;="&amp;$B180,BD!$Y$3:$Y$5001,"&lt;&gt;")=0,"",SUMIFS(BD!$Y$3:$Y$5001,BD!$B$3:$B$5001,J$173,BD!$A$3:$A$5001,_xlfn.MAXIFS(BD!$A$3:$A$5001,BD!$B$3:$B$5001,J$173,BD!$A$3:$A$5001,"&gt;="&amp;$C$7,BD!$A$3:$A$5001,"&lt;="&amp;$B180,BD!$Y$3:$Y$5001,"&lt;&gt;"))))</f>
        <v/>
      </c>
      <c r="K180" s="42" t="str">
        <f>IF(OR($B180="",$A180&gt;$B$9),"",IF(COUNTIFS(BD!$B$3:$B$5001,K$173,BD!$A$3:$A$5001,"&gt;="&amp;$C$7,BD!$A$3:$A$5001,"&lt;="&amp;$B180,BD!$Y$3:$Y$5001,"&lt;&gt;")=0,"",SUMIFS(BD!$Y$3:$Y$5001,BD!$B$3:$B$5001,K$173,BD!$A$3:$A$5001,_xlfn.MAXIFS(BD!$A$3:$A$5001,BD!$B$3:$B$5001,K$173,BD!$A$3:$A$5001,"&gt;="&amp;$C$7,BD!$A$3:$A$5001,"&lt;="&amp;$B180,BD!$Y$3:$Y$5001,"&lt;&gt;"))))</f>
        <v/>
      </c>
      <c r="L180" s="42" t="str">
        <f>IF(OR($B180="",$A180&gt;$B$9),"",IF(COUNTIFS(BD!$B$3:$B$5001,L$173,BD!$A$3:$A$5001,"&gt;="&amp;$C$7,BD!$A$3:$A$5001,"&lt;="&amp;$B180,BD!$Y$3:$Y$5001,"&lt;&gt;")=0,"",SUMIFS(BD!$Y$3:$Y$5001,BD!$B$3:$B$5001,L$173,BD!$A$3:$A$5001,_xlfn.MAXIFS(BD!$A$3:$A$5001,BD!$B$3:$B$5001,L$173,BD!$A$3:$A$5001,"&gt;="&amp;$C$7,BD!$A$3:$A$5001,"&lt;="&amp;$B180,BD!$Y$3:$Y$5001,"&lt;&gt;"))))</f>
        <v/>
      </c>
    </row>
    <row r="181">
      <c r="A181" s="40">
        <v>8</v>
      </c>
      <c r="B181" s="41">
        <f>$B$19</f>
        <v>46303</v>
      </c>
      <c r="C181" s="42" t="str">
        <f>IF(OR($B181="",$A181&gt;$B$9),"",IF(COUNTIFS(BD!$B$3:$B$5001,C$173,BD!$A$3:$A$5001,"&gt;="&amp;$C$7,BD!$A$3:$A$5001,"&lt;="&amp;$B181,BD!$Y$3:$Y$5001,"&lt;&gt;")=0,"",SUMIFS(BD!$Y$3:$Y$5001,BD!$B$3:$B$5001,C$173,BD!$A$3:$A$5001,_xlfn.MAXIFS(BD!$A$3:$A$5001,BD!$B$3:$B$5001,C$173,BD!$A$3:$A$5001,"&gt;="&amp;$C$7,BD!$A$3:$A$5001,"&lt;="&amp;$B181,BD!$Y$3:$Y$5001,"&lt;&gt;"))))</f>
        <v/>
      </c>
      <c r="D181" s="42" t="str">
        <f>IF(OR($B181="",$A181&gt;$B$9),"",IF(COUNTIFS(BD!$B$3:$B$5001,D$173,BD!$A$3:$A$5001,"&gt;="&amp;$C$7,BD!$A$3:$A$5001,"&lt;="&amp;$B181,BD!$Y$3:$Y$5001,"&lt;&gt;")=0,"",SUMIFS(BD!$Y$3:$Y$5001,BD!$B$3:$B$5001,D$173,BD!$A$3:$A$5001,_xlfn.MAXIFS(BD!$A$3:$A$5001,BD!$B$3:$B$5001,D$173,BD!$A$3:$A$5001,"&gt;="&amp;$C$7,BD!$A$3:$A$5001,"&lt;="&amp;$B181,BD!$Y$3:$Y$5001,"&lt;&gt;"))))</f>
        <v/>
      </c>
      <c r="E181" s="42" t="str">
        <f>IF(OR($B181="",$A181&gt;$B$9),"",IF(COUNTIFS(BD!$B$3:$B$5001,E$173,BD!$A$3:$A$5001,"&gt;="&amp;$C$7,BD!$A$3:$A$5001,"&lt;="&amp;$B181,BD!$Y$3:$Y$5001,"&lt;&gt;")=0,"",SUMIFS(BD!$Y$3:$Y$5001,BD!$B$3:$B$5001,E$173,BD!$A$3:$A$5001,_xlfn.MAXIFS(BD!$A$3:$A$5001,BD!$B$3:$B$5001,E$173,BD!$A$3:$A$5001,"&gt;="&amp;$C$7,BD!$A$3:$A$5001,"&lt;="&amp;$B181,BD!$Y$3:$Y$5001,"&lt;&gt;"))))</f>
        <v/>
      </c>
      <c r="F181" s="42" t="str">
        <f>IF(OR($B181="",$A181&gt;$B$9),"",IF(COUNTIFS(BD!$B$3:$B$5001,F$173,BD!$A$3:$A$5001,"&gt;="&amp;$C$7,BD!$A$3:$A$5001,"&lt;="&amp;$B181,BD!$Y$3:$Y$5001,"&lt;&gt;")=0,"",SUMIFS(BD!$Y$3:$Y$5001,BD!$B$3:$B$5001,F$173,BD!$A$3:$A$5001,_xlfn.MAXIFS(BD!$A$3:$A$5001,BD!$B$3:$B$5001,F$173,BD!$A$3:$A$5001,"&gt;="&amp;$C$7,BD!$A$3:$A$5001,"&lt;="&amp;$B181,BD!$Y$3:$Y$5001,"&lt;&gt;"))))</f>
        <v/>
      </c>
      <c r="G181" s="42" t="str">
        <f>IF(OR($B181="",$A181&gt;$B$9),"",IF(COUNTIFS(BD!$B$3:$B$5001,G$173,BD!$A$3:$A$5001,"&gt;="&amp;$C$7,BD!$A$3:$A$5001,"&lt;="&amp;$B181,BD!$Y$3:$Y$5001,"&lt;&gt;")=0,"",SUMIFS(BD!$Y$3:$Y$5001,BD!$B$3:$B$5001,G$173,BD!$A$3:$A$5001,_xlfn.MAXIFS(BD!$A$3:$A$5001,BD!$B$3:$B$5001,G$173,BD!$A$3:$A$5001,"&gt;="&amp;$C$7,BD!$A$3:$A$5001,"&lt;="&amp;$B181,BD!$Y$3:$Y$5001,"&lt;&gt;"))))</f>
        <v/>
      </c>
      <c r="H181" s="42" t="str">
        <f>IF(OR($B181="",$A181&gt;$B$9),"",IF(COUNTIFS(BD!$B$3:$B$5001,H$173,BD!$A$3:$A$5001,"&gt;="&amp;$C$7,BD!$A$3:$A$5001,"&lt;="&amp;$B181,BD!$Y$3:$Y$5001,"&lt;&gt;")=0,"",SUMIFS(BD!$Y$3:$Y$5001,BD!$B$3:$B$5001,H$173,BD!$A$3:$A$5001,_xlfn.MAXIFS(BD!$A$3:$A$5001,BD!$B$3:$B$5001,H$173,BD!$A$3:$A$5001,"&gt;="&amp;$C$7,BD!$A$3:$A$5001,"&lt;="&amp;$B181,BD!$Y$3:$Y$5001,"&lt;&gt;"))))</f>
        <v/>
      </c>
      <c r="I181" s="42" t="str">
        <f>IF(OR($B181="",$A181&gt;$B$9),"",IF(COUNTIFS(BD!$B$3:$B$5001,I$173,BD!$A$3:$A$5001,"&gt;="&amp;$C$7,BD!$A$3:$A$5001,"&lt;="&amp;$B181,BD!$Y$3:$Y$5001,"&lt;&gt;")=0,"",SUMIFS(BD!$Y$3:$Y$5001,BD!$B$3:$B$5001,I$173,BD!$A$3:$A$5001,_xlfn.MAXIFS(BD!$A$3:$A$5001,BD!$B$3:$B$5001,I$173,BD!$A$3:$A$5001,"&gt;="&amp;$C$7,BD!$A$3:$A$5001,"&lt;="&amp;$B181,BD!$Y$3:$Y$5001,"&lt;&gt;"))))</f>
        <v/>
      </c>
      <c r="J181" s="42" t="str">
        <f>IF(OR($B181="",$A181&gt;$B$9),"",IF(COUNTIFS(BD!$B$3:$B$5001,J$173,BD!$A$3:$A$5001,"&gt;="&amp;$C$7,BD!$A$3:$A$5001,"&lt;="&amp;$B181,BD!$Y$3:$Y$5001,"&lt;&gt;")=0,"",SUMIFS(BD!$Y$3:$Y$5001,BD!$B$3:$B$5001,J$173,BD!$A$3:$A$5001,_xlfn.MAXIFS(BD!$A$3:$A$5001,BD!$B$3:$B$5001,J$173,BD!$A$3:$A$5001,"&gt;="&amp;$C$7,BD!$A$3:$A$5001,"&lt;="&amp;$B181,BD!$Y$3:$Y$5001,"&lt;&gt;"))))</f>
        <v/>
      </c>
      <c r="K181" s="42" t="str">
        <f>IF(OR($B181="",$A181&gt;$B$9),"",IF(COUNTIFS(BD!$B$3:$B$5001,K$173,BD!$A$3:$A$5001,"&gt;="&amp;$C$7,BD!$A$3:$A$5001,"&lt;="&amp;$B181,BD!$Y$3:$Y$5001,"&lt;&gt;")=0,"",SUMIFS(BD!$Y$3:$Y$5001,BD!$B$3:$B$5001,K$173,BD!$A$3:$A$5001,_xlfn.MAXIFS(BD!$A$3:$A$5001,BD!$B$3:$B$5001,K$173,BD!$A$3:$A$5001,"&gt;="&amp;$C$7,BD!$A$3:$A$5001,"&lt;="&amp;$B181,BD!$Y$3:$Y$5001,"&lt;&gt;"))))</f>
        <v/>
      </c>
      <c r="L181" s="42" t="str">
        <f>IF(OR($B181="",$A181&gt;$B$9),"",IF(COUNTIFS(BD!$B$3:$B$5001,L$173,BD!$A$3:$A$5001,"&gt;="&amp;$C$7,BD!$A$3:$A$5001,"&lt;="&amp;$B181,BD!$Y$3:$Y$5001,"&lt;&gt;")=0,"",SUMIFS(BD!$Y$3:$Y$5001,BD!$B$3:$B$5001,L$173,BD!$A$3:$A$5001,_xlfn.MAXIFS(BD!$A$3:$A$5001,BD!$B$3:$B$5001,L$173,BD!$A$3:$A$5001,"&gt;="&amp;$C$7,BD!$A$3:$A$5001,"&lt;="&amp;$B181,BD!$Y$3:$Y$5001,"&lt;&gt;"))))</f>
        <v/>
      </c>
    </row>
    <row r="182">
      <c r="A182" s="40">
        <v>9</v>
      </c>
      <c r="B182" s="41">
        <f>$B$20</f>
        <v>46304</v>
      </c>
      <c r="C182" s="42" t="str">
        <f>IF(OR($B182="",$A182&gt;$B$9),"",IF(COUNTIFS(BD!$B$3:$B$5001,C$173,BD!$A$3:$A$5001,"&gt;="&amp;$C$7,BD!$A$3:$A$5001,"&lt;="&amp;$B182,BD!$Y$3:$Y$5001,"&lt;&gt;")=0,"",SUMIFS(BD!$Y$3:$Y$5001,BD!$B$3:$B$5001,C$173,BD!$A$3:$A$5001,_xlfn.MAXIFS(BD!$A$3:$A$5001,BD!$B$3:$B$5001,C$173,BD!$A$3:$A$5001,"&gt;="&amp;$C$7,BD!$A$3:$A$5001,"&lt;="&amp;$B182,BD!$Y$3:$Y$5001,"&lt;&gt;"))))</f>
        <v/>
      </c>
      <c r="D182" s="42" t="str">
        <f>IF(OR($B182="",$A182&gt;$B$9),"",IF(COUNTIFS(BD!$B$3:$B$5001,D$173,BD!$A$3:$A$5001,"&gt;="&amp;$C$7,BD!$A$3:$A$5001,"&lt;="&amp;$B182,BD!$Y$3:$Y$5001,"&lt;&gt;")=0,"",SUMIFS(BD!$Y$3:$Y$5001,BD!$B$3:$B$5001,D$173,BD!$A$3:$A$5001,_xlfn.MAXIFS(BD!$A$3:$A$5001,BD!$B$3:$B$5001,D$173,BD!$A$3:$A$5001,"&gt;="&amp;$C$7,BD!$A$3:$A$5001,"&lt;="&amp;$B182,BD!$Y$3:$Y$5001,"&lt;&gt;"))))</f>
        <v/>
      </c>
      <c r="E182" s="42" t="str">
        <f>IF(OR($B182="",$A182&gt;$B$9),"",IF(COUNTIFS(BD!$B$3:$B$5001,E$173,BD!$A$3:$A$5001,"&gt;="&amp;$C$7,BD!$A$3:$A$5001,"&lt;="&amp;$B182,BD!$Y$3:$Y$5001,"&lt;&gt;")=0,"",SUMIFS(BD!$Y$3:$Y$5001,BD!$B$3:$B$5001,E$173,BD!$A$3:$A$5001,_xlfn.MAXIFS(BD!$A$3:$A$5001,BD!$B$3:$B$5001,E$173,BD!$A$3:$A$5001,"&gt;="&amp;$C$7,BD!$A$3:$A$5001,"&lt;="&amp;$B182,BD!$Y$3:$Y$5001,"&lt;&gt;"))))</f>
        <v/>
      </c>
      <c r="F182" s="42" t="str">
        <f>IF(OR($B182="",$A182&gt;$B$9),"",IF(COUNTIFS(BD!$B$3:$B$5001,F$173,BD!$A$3:$A$5001,"&gt;="&amp;$C$7,BD!$A$3:$A$5001,"&lt;="&amp;$B182,BD!$Y$3:$Y$5001,"&lt;&gt;")=0,"",SUMIFS(BD!$Y$3:$Y$5001,BD!$B$3:$B$5001,F$173,BD!$A$3:$A$5001,_xlfn.MAXIFS(BD!$A$3:$A$5001,BD!$B$3:$B$5001,F$173,BD!$A$3:$A$5001,"&gt;="&amp;$C$7,BD!$A$3:$A$5001,"&lt;="&amp;$B182,BD!$Y$3:$Y$5001,"&lt;&gt;"))))</f>
        <v/>
      </c>
      <c r="G182" s="42" t="str">
        <f>IF(OR($B182="",$A182&gt;$B$9),"",IF(COUNTIFS(BD!$B$3:$B$5001,G$173,BD!$A$3:$A$5001,"&gt;="&amp;$C$7,BD!$A$3:$A$5001,"&lt;="&amp;$B182,BD!$Y$3:$Y$5001,"&lt;&gt;")=0,"",SUMIFS(BD!$Y$3:$Y$5001,BD!$B$3:$B$5001,G$173,BD!$A$3:$A$5001,_xlfn.MAXIFS(BD!$A$3:$A$5001,BD!$B$3:$B$5001,G$173,BD!$A$3:$A$5001,"&gt;="&amp;$C$7,BD!$A$3:$A$5001,"&lt;="&amp;$B182,BD!$Y$3:$Y$5001,"&lt;&gt;"))))</f>
        <v/>
      </c>
      <c r="H182" s="42" t="str">
        <f>IF(OR($B182="",$A182&gt;$B$9),"",IF(COUNTIFS(BD!$B$3:$B$5001,H$173,BD!$A$3:$A$5001,"&gt;="&amp;$C$7,BD!$A$3:$A$5001,"&lt;="&amp;$B182,BD!$Y$3:$Y$5001,"&lt;&gt;")=0,"",SUMIFS(BD!$Y$3:$Y$5001,BD!$B$3:$B$5001,H$173,BD!$A$3:$A$5001,_xlfn.MAXIFS(BD!$A$3:$A$5001,BD!$B$3:$B$5001,H$173,BD!$A$3:$A$5001,"&gt;="&amp;$C$7,BD!$A$3:$A$5001,"&lt;="&amp;$B182,BD!$Y$3:$Y$5001,"&lt;&gt;"))))</f>
        <v/>
      </c>
      <c r="I182" s="42" t="str">
        <f>IF(OR($B182="",$A182&gt;$B$9),"",IF(COUNTIFS(BD!$B$3:$B$5001,I$173,BD!$A$3:$A$5001,"&gt;="&amp;$C$7,BD!$A$3:$A$5001,"&lt;="&amp;$B182,BD!$Y$3:$Y$5001,"&lt;&gt;")=0,"",SUMIFS(BD!$Y$3:$Y$5001,BD!$B$3:$B$5001,I$173,BD!$A$3:$A$5001,_xlfn.MAXIFS(BD!$A$3:$A$5001,BD!$B$3:$B$5001,I$173,BD!$A$3:$A$5001,"&gt;="&amp;$C$7,BD!$A$3:$A$5001,"&lt;="&amp;$B182,BD!$Y$3:$Y$5001,"&lt;&gt;"))))</f>
        <v/>
      </c>
      <c r="J182" s="42" t="str">
        <f>IF(OR($B182="",$A182&gt;$B$9),"",IF(COUNTIFS(BD!$B$3:$B$5001,J$173,BD!$A$3:$A$5001,"&gt;="&amp;$C$7,BD!$A$3:$A$5001,"&lt;="&amp;$B182,BD!$Y$3:$Y$5001,"&lt;&gt;")=0,"",SUMIFS(BD!$Y$3:$Y$5001,BD!$B$3:$B$5001,J$173,BD!$A$3:$A$5001,_xlfn.MAXIFS(BD!$A$3:$A$5001,BD!$B$3:$B$5001,J$173,BD!$A$3:$A$5001,"&gt;="&amp;$C$7,BD!$A$3:$A$5001,"&lt;="&amp;$B182,BD!$Y$3:$Y$5001,"&lt;&gt;"))))</f>
        <v/>
      </c>
      <c r="K182" s="42" t="str">
        <f>IF(OR($B182="",$A182&gt;$B$9),"",IF(COUNTIFS(BD!$B$3:$B$5001,K$173,BD!$A$3:$A$5001,"&gt;="&amp;$C$7,BD!$A$3:$A$5001,"&lt;="&amp;$B182,BD!$Y$3:$Y$5001,"&lt;&gt;")=0,"",SUMIFS(BD!$Y$3:$Y$5001,BD!$B$3:$B$5001,K$173,BD!$A$3:$A$5001,_xlfn.MAXIFS(BD!$A$3:$A$5001,BD!$B$3:$B$5001,K$173,BD!$A$3:$A$5001,"&gt;="&amp;$C$7,BD!$A$3:$A$5001,"&lt;="&amp;$B182,BD!$Y$3:$Y$5001,"&lt;&gt;"))))</f>
        <v/>
      </c>
      <c r="L182" s="42" t="str">
        <f>IF(OR($B182="",$A182&gt;$B$9),"",IF(COUNTIFS(BD!$B$3:$B$5001,L$173,BD!$A$3:$A$5001,"&gt;="&amp;$C$7,BD!$A$3:$A$5001,"&lt;="&amp;$B182,BD!$Y$3:$Y$5001,"&lt;&gt;")=0,"",SUMIFS(BD!$Y$3:$Y$5001,BD!$B$3:$B$5001,L$173,BD!$A$3:$A$5001,_xlfn.MAXIFS(BD!$A$3:$A$5001,BD!$B$3:$B$5001,L$173,BD!$A$3:$A$5001,"&gt;="&amp;$C$7,BD!$A$3:$A$5001,"&lt;="&amp;$B182,BD!$Y$3:$Y$5001,"&lt;&gt;"))))</f>
        <v/>
      </c>
    </row>
    <row r="183">
      <c r="A183" s="40">
        <v>10</v>
      </c>
      <c r="B183" s="41">
        <f>$B$21</f>
        <v>46305</v>
      </c>
      <c r="C183" s="42" t="str">
        <f>IF(OR($B183="",$A183&gt;$B$9),"",IF(COUNTIFS(BD!$B$3:$B$5001,C$173,BD!$A$3:$A$5001,"&gt;="&amp;$C$7,BD!$A$3:$A$5001,"&lt;="&amp;$B183,BD!$Y$3:$Y$5001,"&lt;&gt;")=0,"",SUMIFS(BD!$Y$3:$Y$5001,BD!$B$3:$B$5001,C$173,BD!$A$3:$A$5001,_xlfn.MAXIFS(BD!$A$3:$A$5001,BD!$B$3:$B$5001,C$173,BD!$A$3:$A$5001,"&gt;="&amp;$C$7,BD!$A$3:$A$5001,"&lt;="&amp;$B183,BD!$Y$3:$Y$5001,"&lt;&gt;"))))</f>
        <v/>
      </c>
      <c r="D183" s="42" t="str">
        <f>IF(OR($B183="",$A183&gt;$B$9),"",IF(COUNTIFS(BD!$B$3:$B$5001,D$173,BD!$A$3:$A$5001,"&gt;="&amp;$C$7,BD!$A$3:$A$5001,"&lt;="&amp;$B183,BD!$Y$3:$Y$5001,"&lt;&gt;")=0,"",SUMIFS(BD!$Y$3:$Y$5001,BD!$B$3:$B$5001,D$173,BD!$A$3:$A$5001,_xlfn.MAXIFS(BD!$A$3:$A$5001,BD!$B$3:$B$5001,D$173,BD!$A$3:$A$5001,"&gt;="&amp;$C$7,BD!$A$3:$A$5001,"&lt;="&amp;$B183,BD!$Y$3:$Y$5001,"&lt;&gt;"))))</f>
        <v/>
      </c>
      <c r="E183" s="42" t="str">
        <f>IF(OR($B183="",$A183&gt;$B$9),"",IF(COUNTIFS(BD!$B$3:$B$5001,E$173,BD!$A$3:$A$5001,"&gt;="&amp;$C$7,BD!$A$3:$A$5001,"&lt;="&amp;$B183,BD!$Y$3:$Y$5001,"&lt;&gt;")=0,"",SUMIFS(BD!$Y$3:$Y$5001,BD!$B$3:$B$5001,E$173,BD!$A$3:$A$5001,_xlfn.MAXIFS(BD!$A$3:$A$5001,BD!$B$3:$B$5001,E$173,BD!$A$3:$A$5001,"&gt;="&amp;$C$7,BD!$A$3:$A$5001,"&lt;="&amp;$B183,BD!$Y$3:$Y$5001,"&lt;&gt;"))))</f>
        <v/>
      </c>
      <c r="F183" s="42" t="str">
        <f>IF(OR($B183="",$A183&gt;$B$9),"",IF(COUNTIFS(BD!$B$3:$B$5001,F$173,BD!$A$3:$A$5001,"&gt;="&amp;$C$7,BD!$A$3:$A$5001,"&lt;="&amp;$B183,BD!$Y$3:$Y$5001,"&lt;&gt;")=0,"",SUMIFS(BD!$Y$3:$Y$5001,BD!$B$3:$B$5001,F$173,BD!$A$3:$A$5001,_xlfn.MAXIFS(BD!$A$3:$A$5001,BD!$B$3:$B$5001,F$173,BD!$A$3:$A$5001,"&gt;="&amp;$C$7,BD!$A$3:$A$5001,"&lt;="&amp;$B183,BD!$Y$3:$Y$5001,"&lt;&gt;"))))</f>
        <v/>
      </c>
      <c r="G183" s="42" t="str">
        <f>IF(OR($B183="",$A183&gt;$B$9),"",IF(COUNTIFS(BD!$B$3:$B$5001,G$173,BD!$A$3:$A$5001,"&gt;="&amp;$C$7,BD!$A$3:$A$5001,"&lt;="&amp;$B183,BD!$Y$3:$Y$5001,"&lt;&gt;")=0,"",SUMIFS(BD!$Y$3:$Y$5001,BD!$B$3:$B$5001,G$173,BD!$A$3:$A$5001,_xlfn.MAXIFS(BD!$A$3:$A$5001,BD!$B$3:$B$5001,G$173,BD!$A$3:$A$5001,"&gt;="&amp;$C$7,BD!$A$3:$A$5001,"&lt;="&amp;$B183,BD!$Y$3:$Y$5001,"&lt;&gt;"))))</f>
        <v/>
      </c>
      <c r="H183" s="42" t="str">
        <f>IF(OR($B183="",$A183&gt;$B$9),"",IF(COUNTIFS(BD!$B$3:$B$5001,H$173,BD!$A$3:$A$5001,"&gt;="&amp;$C$7,BD!$A$3:$A$5001,"&lt;="&amp;$B183,BD!$Y$3:$Y$5001,"&lt;&gt;")=0,"",SUMIFS(BD!$Y$3:$Y$5001,BD!$B$3:$B$5001,H$173,BD!$A$3:$A$5001,_xlfn.MAXIFS(BD!$A$3:$A$5001,BD!$B$3:$B$5001,H$173,BD!$A$3:$A$5001,"&gt;="&amp;$C$7,BD!$A$3:$A$5001,"&lt;="&amp;$B183,BD!$Y$3:$Y$5001,"&lt;&gt;"))))</f>
        <v/>
      </c>
      <c r="I183" s="42" t="str">
        <f>IF(OR($B183="",$A183&gt;$B$9),"",IF(COUNTIFS(BD!$B$3:$B$5001,I$173,BD!$A$3:$A$5001,"&gt;="&amp;$C$7,BD!$A$3:$A$5001,"&lt;="&amp;$B183,BD!$Y$3:$Y$5001,"&lt;&gt;")=0,"",SUMIFS(BD!$Y$3:$Y$5001,BD!$B$3:$B$5001,I$173,BD!$A$3:$A$5001,_xlfn.MAXIFS(BD!$A$3:$A$5001,BD!$B$3:$B$5001,I$173,BD!$A$3:$A$5001,"&gt;="&amp;$C$7,BD!$A$3:$A$5001,"&lt;="&amp;$B183,BD!$Y$3:$Y$5001,"&lt;&gt;"))))</f>
        <v/>
      </c>
      <c r="J183" s="42" t="str">
        <f>IF(OR($B183="",$A183&gt;$B$9),"",IF(COUNTIFS(BD!$B$3:$B$5001,J$173,BD!$A$3:$A$5001,"&gt;="&amp;$C$7,BD!$A$3:$A$5001,"&lt;="&amp;$B183,BD!$Y$3:$Y$5001,"&lt;&gt;")=0,"",SUMIFS(BD!$Y$3:$Y$5001,BD!$B$3:$B$5001,J$173,BD!$A$3:$A$5001,_xlfn.MAXIFS(BD!$A$3:$A$5001,BD!$B$3:$B$5001,J$173,BD!$A$3:$A$5001,"&gt;="&amp;$C$7,BD!$A$3:$A$5001,"&lt;="&amp;$B183,BD!$Y$3:$Y$5001,"&lt;&gt;"))))</f>
        <v/>
      </c>
      <c r="K183" s="42" t="str">
        <f>IF(OR($B183="",$A183&gt;$B$9),"",IF(COUNTIFS(BD!$B$3:$B$5001,K$173,BD!$A$3:$A$5001,"&gt;="&amp;$C$7,BD!$A$3:$A$5001,"&lt;="&amp;$B183,BD!$Y$3:$Y$5001,"&lt;&gt;")=0,"",SUMIFS(BD!$Y$3:$Y$5001,BD!$B$3:$B$5001,K$173,BD!$A$3:$A$5001,_xlfn.MAXIFS(BD!$A$3:$A$5001,BD!$B$3:$B$5001,K$173,BD!$A$3:$A$5001,"&gt;="&amp;$C$7,BD!$A$3:$A$5001,"&lt;="&amp;$B183,BD!$Y$3:$Y$5001,"&lt;&gt;"))))</f>
        <v/>
      </c>
      <c r="L183" s="42" t="str">
        <f>IF(OR($B183="",$A183&gt;$B$9),"",IF(COUNTIFS(BD!$B$3:$B$5001,L$173,BD!$A$3:$A$5001,"&gt;="&amp;$C$7,BD!$A$3:$A$5001,"&lt;="&amp;$B183,BD!$Y$3:$Y$5001,"&lt;&gt;")=0,"",SUMIFS(BD!$Y$3:$Y$5001,BD!$B$3:$B$5001,L$173,BD!$A$3:$A$5001,_xlfn.MAXIFS(BD!$A$3:$A$5001,BD!$B$3:$B$5001,L$173,BD!$A$3:$A$5001,"&gt;="&amp;$C$7,BD!$A$3:$A$5001,"&lt;="&amp;$B183,BD!$Y$3:$Y$5001,"&lt;&gt;"))))</f>
        <v/>
      </c>
    </row>
    <row r="184">
      <c r="A184" s="40">
        <v>11</v>
      </c>
      <c r="B184" s="41">
        <f>$B$22</f>
        <v>46306</v>
      </c>
      <c r="C184" s="42" t="str">
        <f>IF(OR($B184="",$A184&gt;$B$9),"",IF(COUNTIFS(BD!$B$3:$B$5001,C$173,BD!$A$3:$A$5001,"&gt;="&amp;$C$7,BD!$A$3:$A$5001,"&lt;="&amp;$B184,BD!$Y$3:$Y$5001,"&lt;&gt;")=0,"",SUMIFS(BD!$Y$3:$Y$5001,BD!$B$3:$B$5001,C$173,BD!$A$3:$A$5001,_xlfn.MAXIFS(BD!$A$3:$A$5001,BD!$B$3:$B$5001,C$173,BD!$A$3:$A$5001,"&gt;="&amp;$C$7,BD!$A$3:$A$5001,"&lt;="&amp;$B184,BD!$Y$3:$Y$5001,"&lt;&gt;"))))</f>
        <v/>
      </c>
      <c r="D184" s="42" t="str">
        <f>IF(OR($B184="",$A184&gt;$B$9),"",IF(COUNTIFS(BD!$B$3:$B$5001,D$173,BD!$A$3:$A$5001,"&gt;="&amp;$C$7,BD!$A$3:$A$5001,"&lt;="&amp;$B184,BD!$Y$3:$Y$5001,"&lt;&gt;")=0,"",SUMIFS(BD!$Y$3:$Y$5001,BD!$B$3:$B$5001,D$173,BD!$A$3:$A$5001,_xlfn.MAXIFS(BD!$A$3:$A$5001,BD!$B$3:$B$5001,D$173,BD!$A$3:$A$5001,"&gt;="&amp;$C$7,BD!$A$3:$A$5001,"&lt;="&amp;$B184,BD!$Y$3:$Y$5001,"&lt;&gt;"))))</f>
        <v/>
      </c>
      <c r="E184" s="42" t="str">
        <f>IF(OR($B184="",$A184&gt;$B$9),"",IF(COUNTIFS(BD!$B$3:$B$5001,E$173,BD!$A$3:$A$5001,"&gt;="&amp;$C$7,BD!$A$3:$A$5001,"&lt;="&amp;$B184,BD!$Y$3:$Y$5001,"&lt;&gt;")=0,"",SUMIFS(BD!$Y$3:$Y$5001,BD!$B$3:$B$5001,E$173,BD!$A$3:$A$5001,_xlfn.MAXIFS(BD!$A$3:$A$5001,BD!$B$3:$B$5001,E$173,BD!$A$3:$A$5001,"&gt;="&amp;$C$7,BD!$A$3:$A$5001,"&lt;="&amp;$B184,BD!$Y$3:$Y$5001,"&lt;&gt;"))))</f>
        <v/>
      </c>
      <c r="F184" s="42" t="str">
        <f>IF(OR($B184="",$A184&gt;$B$9),"",IF(COUNTIFS(BD!$B$3:$B$5001,F$173,BD!$A$3:$A$5001,"&gt;="&amp;$C$7,BD!$A$3:$A$5001,"&lt;="&amp;$B184,BD!$Y$3:$Y$5001,"&lt;&gt;")=0,"",SUMIFS(BD!$Y$3:$Y$5001,BD!$B$3:$B$5001,F$173,BD!$A$3:$A$5001,_xlfn.MAXIFS(BD!$A$3:$A$5001,BD!$B$3:$B$5001,F$173,BD!$A$3:$A$5001,"&gt;="&amp;$C$7,BD!$A$3:$A$5001,"&lt;="&amp;$B184,BD!$Y$3:$Y$5001,"&lt;&gt;"))))</f>
        <v/>
      </c>
      <c r="G184" s="42" t="str">
        <f>IF(OR($B184="",$A184&gt;$B$9),"",IF(COUNTIFS(BD!$B$3:$B$5001,G$173,BD!$A$3:$A$5001,"&gt;="&amp;$C$7,BD!$A$3:$A$5001,"&lt;="&amp;$B184,BD!$Y$3:$Y$5001,"&lt;&gt;")=0,"",SUMIFS(BD!$Y$3:$Y$5001,BD!$B$3:$B$5001,G$173,BD!$A$3:$A$5001,_xlfn.MAXIFS(BD!$A$3:$A$5001,BD!$B$3:$B$5001,G$173,BD!$A$3:$A$5001,"&gt;="&amp;$C$7,BD!$A$3:$A$5001,"&lt;="&amp;$B184,BD!$Y$3:$Y$5001,"&lt;&gt;"))))</f>
        <v/>
      </c>
      <c r="H184" s="42" t="str">
        <f>IF(OR($B184="",$A184&gt;$B$9),"",IF(COUNTIFS(BD!$B$3:$B$5001,H$173,BD!$A$3:$A$5001,"&gt;="&amp;$C$7,BD!$A$3:$A$5001,"&lt;="&amp;$B184,BD!$Y$3:$Y$5001,"&lt;&gt;")=0,"",SUMIFS(BD!$Y$3:$Y$5001,BD!$B$3:$B$5001,H$173,BD!$A$3:$A$5001,_xlfn.MAXIFS(BD!$A$3:$A$5001,BD!$B$3:$B$5001,H$173,BD!$A$3:$A$5001,"&gt;="&amp;$C$7,BD!$A$3:$A$5001,"&lt;="&amp;$B184,BD!$Y$3:$Y$5001,"&lt;&gt;"))))</f>
        <v/>
      </c>
      <c r="I184" s="42" t="str">
        <f>IF(OR($B184="",$A184&gt;$B$9),"",IF(COUNTIFS(BD!$B$3:$B$5001,I$173,BD!$A$3:$A$5001,"&gt;="&amp;$C$7,BD!$A$3:$A$5001,"&lt;="&amp;$B184,BD!$Y$3:$Y$5001,"&lt;&gt;")=0,"",SUMIFS(BD!$Y$3:$Y$5001,BD!$B$3:$B$5001,I$173,BD!$A$3:$A$5001,_xlfn.MAXIFS(BD!$A$3:$A$5001,BD!$B$3:$B$5001,I$173,BD!$A$3:$A$5001,"&gt;="&amp;$C$7,BD!$A$3:$A$5001,"&lt;="&amp;$B184,BD!$Y$3:$Y$5001,"&lt;&gt;"))))</f>
        <v/>
      </c>
      <c r="J184" s="42" t="str">
        <f>IF(OR($B184="",$A184&gt;$B$9),"",IF(COUNTIFS(BD!$B$3:$B$5001,J$173,BD!$A$3:$A$5001,"&gt;="&amp;$C$7,BD!$A$3:$A$5001,"&lt;="&amp;$B184,BD!$Y$3:$Y$5001,"&lt;&gt;")=0,"",SUMIFS(BD!$Y$3:$Y$5001,BD!$B$3:$B$5001,J$173,BD!$A$3:$A$5001,_xlfn.MAXIFS(BD!$A$3:$A$5001,BD!$B$3:$B$5001,J$173,BD!$A$3:$A$5001,"&gt;="&amp;$C$7,BD!$A$3:$A$5001,"&lt;="&amp;$B184,BD!$Y$3:$Y$5001,"&lt;&gt;"))))</f>
        <v/>
      </c>
      <c r="K184" s="42" t="str">
        <f>IF(OR($B184="",$A184&gt;$B$9),"",IF(COUNTIFS(BD!$B$3:$B$5001,K$173,BD!$A$3:$A$5001,"&gt;="&amp;$C$7,BD!$A$3:$A$5001,"&lt;="&amp;$B184,BD!$Y$3:$Y$5001,"&lt;&gt;")=0,"",SUMIFS(BD!$Y$3:$Y$5001,BD!$B$3:$B$5001,K$173,BD!$A$3:$A$5001,_xlfn.MAXIFS(BD!$A$3:$A$5001,BD!$B$3:$B$5001,K$173,BD!$A$3:$A$5001,"&gt;="&amp;$C$7,BD!$A$3:$A$5001,"&lt;="&amp;$B184,BD!$Y$3:$Y$5001,"&lt;&gt;"))))</f>
        <v/>
      </c>
      <c r="L184" s="42" t="str">
        <f>IF(OR($B184="",$A184&gt;$B$9),"",IF(COUNTIFS(BD!$B$3:$B$5001,L$173,BD!$A$3:$A$5001,"&gt;="&amp;$C$7,BD!$A$3:$A$5001,"&lt;="&amp;$B184,BD!$Y$3:$Y$5001,"&lt;&gt;")=0,"",SUMIFS(BD!$Y$3:$Y$5001,BD!$B$3:$B$5001,L$173,BD!$A$3:$A$5001,_xlfn.MAXIFS(BD!$A$3:$A$5001,BD!$B$3:$B$5001,L$173,BD!$A$3:$A$5001,"&gt;="&amp;$C$7,BD!$A$3:$A$5001,"&lt;="&amp;$B184,BD!$Y$3:$Y$5001,"&lt;&gt;"))))</f>
        <v/>
      </c>
    </row>
    <row r="185">
      <c r="A185" s="40">
        <v>12</v>
      </c>
      <c r="B185" s="41">
        <f>$B$23</f>
        <v>46307</v>
      </c>
      <c r="C185" s="42" t="str">
        <f>IF(OR($B185="",$A185&gt;$B$9),"",IF(COUNTIFS(BD!$B$3:$B$5001,C$173,BD!$A$3:$A$5001,"&gt;="&amp;$C$7,BD!$A$3:$A$5001,"&lt;="&amp;$B185,BD!$Y$3:$Y$5001,"&lt;&gt;")=0,"",SUMIFS(BD!$Y$3:$Y$5001,BD!$B$3:$B$5001,C$173,BD!$A$3:$A$5001,_xlfn.MAXIFS(BD!$A$3:$A$5001,BD!$B$3:$B$5001,C$173,BD!$A$3:$A$5001,"&gt;="&amp;$C$7,BD!$A$3:$A$5001,"&lt;="&amp;$B185,BD!$Y$3:$Y$5001,"&lt;&gt;"))))</f>
        <v/>
      </c>
      <c r="D185" s="42" t="str">
        <f>IF(OR($B185="",$A185&gt;$B$9),"",IF(COUNTIFS(BD!$B$3:$B$5001,D$173,BD!$A$3:$A$5001,"&gt;="&amp;$C$7,BD!$A$3:$A$5001,"&lt;="&amp;$B185,BD!$Y$3:$Y$5001,"&lt;&gt;")=0,"",SUMIFS(BD!$Y$3:$Y$5001,BD!$B$3:$B$5001,D$173,BD!$A$3:$A$5001,_xlfn.MAXIFS(BD!$A$3:$A$5001,BD!$B$3:$B$5001,D$173,BD!$A$3:$A$5001,"&gt;="&amp;$C$7,BD!$A$3:$A$5001,"&lt;="&amp;$B185,BD!$Y$3:$Y$5001,"&lt;&gt;"))))</f>
        <v/>
      </c>
      <c r="E185" s="42" t="str">
        <f>IF(OR($B185="",$A185&gt;$B$9),"",IF(COUNTIFS(BD!$B$3:$B$5001,E$173,BD!$A$3:$A$5001,"&gt;="&amp;$C$7,BD!$A$3:$A$5001,"&lt;="&amp;$B185,BD!$Y$3:$Y$5001,"&lt;&gt;")=0,"",SUMIFS(BD!$Y$3:$Y$5001,BD!$B$3:$B$5001,E$173,BD!$A$3:$A$5001,_xlfn.MAXIFS(BD!$A$3:$A$5001,BD!$B$3:$B$5001,E$173,BD!$A$3:$A$5001,"&gt;="&amp;$C$7,BD!$A$3:$A$5001,"&lt;="&amp;$B185,BD!$Y$3:$Y$5001,"&lt;&gt;"))))</f>
        <v/>
      </c>
      <c r="F185" s="42" t="str">
        <f>IF(OR($B185="",$A185&gt;$B$9),"",IF(COUNTIFS(BD!$B$3:$B$5001,F$173,BD!$A$3:$A$5001,"&gt;="&amp;$C$7,BD!$A$3:$A$5001,"&lt;="&amp;$B185,BD!$Y$3:$Y$5001,"&lt;&gt;")=0,"",SUMIFS(BD!$Y$3:$Y$5001,BD!$B$3:$B$5001,F$173,BD!$A$3:$A$5001,_xlfn.MAXIFS(BD!$A$3:$A$5001,BD!$B$3:$B$5001,F$173,BD!$A$3:$A$5001,"&gt;="&amp;$C$7,BD!$A$3:$A$5001,"&lt;="&amp;$B185,BD!$Y$3:$Y$5001,"&lt;&gt;"))))</f>
        <v/>
      </c>
      <c r="G185" s="42" t="str">
        <f>IF(OR($B185="",$A185&gt;$B$9),"",IF(COUNTIFS(BD!$B$3:$B$5001,G$173,BD!$A$3:$A$5001,"&gt;="&amp;$C$7,BD!$A$3:$A$5001,"&lt;="&amp;$B185,BD!$Y$3:$Y$5001,"&lt;&gt;")=0,"",SUMIFS(BD!$Y$3:$Y$5001,BD!$B$3:$B$5001,G$173,BD!$A$3:$A$5001,_xlfn.MAXIFS(BD!$A$3:$A$5001,BD!$B$3:$B$5001,G$173,BD!$A$3:$A$5001,"&gt;="&amp;$C$7,BD!$A$3:$A$5001,"&lt;="&amp;$B185,BD!$Y$3:$Y$5001,"&lt;&gt;"))))</f>
        <v/>
      </c>
      <c r="H185" s="42" t="str">
        <f>IF(OR($B185="",$A185&gt;$B$9),"",IF(COUNTIFS(BD!$B$3:$B$5001,H$173,BD!$A$3:$A$5001,"&gt;="&amp;$C$7,BD!$A$3:$A$5001,"&lt;="&amp;$B185,BD!$Y$3:$Y$5001,"&lt;&gt;")=0,"",SUMIFS(BD!$Y$3:$Y$5001,BD!$B$3:$B$5001,H$173,BD!$A$3:$A$5001,_xlfn.MAXIFS(BD!$A$3:$A$5001,BD!$B$3:$B$5001,H$173,BD!$A$3:$A$5001,"&gt;="&amp;$C$7,BD!$A$3:$A$5001,"&lt;="&amp;$B185,BD!$Y$3:$Y$5001,"&lt;&gt;"))))</f>
        <v/>
      </c>
      <c r="I185" s="42" t="str">
        <f>IF(OR($B185="",$A185&gt;$B$9),"",IF(COUNTIFS(BD!$B$3:$B$5001,I$173,BD!$A$3:$A$5001,"&gt;="&amp;$C$7,BD!$A$3:$A$5001,"&lt;="&amp;$B185,BD!$Y$3:$Y$5001,"&lt;&gt;")=0,"",SUMIFS(BD!$Y$3:$Y$5001,BD!$B$3:$B$5001,I$173,BD!$A$3:$A$5001,_xlfn.MAXIFS(BD!$A$3:$A$5001,BD!$B$3:$B$5001,I$173,BD!$A$3:$A$5001,"&gt;="&amp;$C$7,BD!$A$3:$A$5001,"&lt;="&amp;$B185,BD!$Y$3:$Y$5001,"&lt;&gt;"))))</f>
        <v/>
      </c>
      <c r="J185" s="42" t="str">
        <f>IF(OR($B185="",$A185&gt;$B$9),"",IF(COUNTIFS(BD!$B$3:$B$5001,J$173,BD!$A$3:$A$5001,"&gt;="&amp;$C$7,BD!$A$3:$A$5001,"&lt;="&amp;$B185,BD!$Y$3:$Y$5001,"&lt;&gt;")=0,"",SUMIFS(BD!$Y$3:$Y$5001,BD!$B$3:$B$5001,J$173,BD!$A$3:$A$5001,_xlfn.MAXIFS(BD!$A$3:$A$5001,BD!$B$3:$B$5001,J$173,BD!$A$3:$A$5001,"&gt;="&amp;$C$7,BD!$A$3:$A$5001,"&lt;="&amp;$B185,BD!$Y$3:$Y$5001,"&lt;&gt;"))))</f>
        <v/>
      </c>
      <c r="K185" s="42" t="str">
        <f>IF(OR($B185="",$A185&gt;$B$9),"",IF(COUNTIFS(BD!$B$3:$B$5001,K$173,BD!$A$3:$A$5001,"&gt;="&amp;$C$7,BD!$A$3:$A$5001,"&lt;="&amp;$B185,BD!$Y$3:$Y$5001,"&lt;&gt;")=0,"",SUMIFS(BD!$Y$3:$Y$5001,BD!$B$3:$B$5001,K$173,BD!$A$3:$A$5001,_xlfn.MAXIFS(BD!$A$3:$A$5001,BD!$B$3:$B$5001,K$173,BD!$A$3:$A$5001,"&gt;="&amp;$C$7,BD!$A$3:$A$5001,"&lt;="&amp;$B185,BD!$Y$3:$Y$5001,"&lt;&gt;"))))</f>
        <v/>
      </c>
      <c r="L185" s="42" t="str">
        <f>IF(OR($B185="",$A185&gt;$B$9),"",IF(COUNTIFS(BD!$B$3:$B$5001,L$173,BD!$A$3:$A$5001,"&gt;="&amp;$C$7,BD!$A$3:$A$5001,"&lt;="&amp;$B185,BD!$Y$3:$Y$5001,"&lt;&gt;")=0,"",SUMIFS(BD!$Y$3:$Y$5001,BD!$B$3:$B$5001,L$173,BD!$A$3:$A$5001,_xlfn.MAXIFS(BD!$A$3:$A$5001,BD!$B$3:$B$5001,L$173,BD!$A$3:$A$5001,"&gt;="&amp;$C$7,BD!$A$3:$A$5001,"&lt;="&amp;$B185,BD!$Y$3:$Y$5001,"&lt;&gt;"))))</f>
        <v/>
      </c>
    </row>
    <row r="186">
      <c r="A186" s="40">
        <v>13</v>
      </c>
      <c r="B186" s="41">
        <f>$B$24</f>
        <v>46308</v>
      </c>
      <c r="C186" s="42" t="str">
        <f>IF(OR($B186="",$A186&gt;$B$9),"",IF(COUNTIFS(BD!$B$3:$B$5001,C$173,BD!$A$3:$A$5001,"&gt;="&amp;$C$7,BD!$A$3:$A$5001,"&lt;="&amp;$B186,BD!$Y$3:$Y$5001,"&lt;&gt;")=0,"",SUMIFS(BD!$Y$3:$Y$5001,BD!$B$3:$B$5001,C$173,BD!$A$3:$A$5001,_xlfn.MAXIFS(BD!$A$3:$A$5001,BD!$B$3:$B$5001,C$173,BD!$A$3:$A$5001,"&gt;="&amp;$C$7,BD!$A$3:$A$5001,"&lt;="&amp;$B186,BD!$Y$3:$Y$5001,"&lt;&gt;"))))</f>
        <v/>
      </c>
      <c r="D186" s="42" t="str">
        <f>IF(OR($B186="",$A186&gt;$B$9),"",IF(COUNTIFS(BD!$B$3:$B$5001,D$173,BD!$A$3:$A$5001,"&gt;="&amp;$C$7,BD!$A$3:$A$5001,"&lt;="&amp;$B186,BD!$Y$3:$Y$5001,"&lt;&gt;")=0,"",SUMIFS(BD!$Y$3:$Y$5001,BD!$B$3:$B$5001,D$173,BD!$A$3:$A$5001,_xlfn.MAXIFS(BD!$A$3:$A$5001,BD!$B$3:$B$5001,D$173,BD!$A$3:$A$5001,"&gt;="&amp;$C$7,BD!$A$3:$A$5001,"&lt;="&amp;$B186,BD!$Y$3:$Y$5001,"&lt;&gt;"))))</f>
        <v/>
      </c>
      <c r="E186" s="42" t="str">
        <f>IF(OR($B186="",$A186&gt;$B$9),"",IF(COUNTIFS(BD!$B$3:$B$5001,E$173,BD!$A$3:$A$5001,"&gt;="&amp;$C$7,BD!$A$3:$A$5001,"&lt;="&amp;$B186,BD!$Y$3:$Y$5001,"&lt;&gt;")=0,"",SUMIFS(BD!$Y$3:$Y$5001,BD!$B$3:$B$5001,E$173,BD!$A$3:$A$5001,_xlfn.MAXIFS(BD!$A$3:$A$5001,BD!$B$3:$B$5001,E$173,BD!$A$3:$A$5001,"&gt;="&amp;$C$7,BD!$A$3:$A$5001,"&lt;="&amp;$B186,BD!$Y$3:$Y$5001,"&lt;&gt;"))))</f>
        <v/>
      </c>
      <c r="F186" s="42" t="str">
        <f>IF(OR($B186="",$A186&gt;$B$9),"",IF(COUNTIFS(BD!$B$3:$B$5001,F$173,BD!$A$3:$A$5001,"&gt;="&amp;$C$7,BD!$A$3:$A$5001,"&lt;="&amp;$B186,BD!$Y$3:$Y$5001,"&lt;&gt;")=0,"",SUMIFS(BD!$Y$3:$Y$5001,BD!$B$3:$B$5001,F$173,BD!$A$3:$A$5001,_xlfn.MAXIFS(BD!$A$3:$A$5001,BD!$B$3:$B$5001,F$173,BD!$A$3:$A$5001,"&gt;="&amp;$C$7,BD!$A$3:$A$5001,"&lt;="&amp;$B186,BD!$Y$3:$Y$5001,"&lt;&gt;"))))</f>
        <v/>
      </c>
      <c r="G186" s="42" t="str">
        <f>IF(OR($B186="",$A186&gt;$B$9),"",IF(COUNTIFS(BD!$B$3:$B$5001,G$173,BD!$A$3:$A$5001,"&gt;="&amp;$C$7,BD!$A$3:$A$5001,"&lt;="&amp;$B186,BD!$Y$3:$Y$5001,"&lt;&gt;")=0,"",SUMIFS(BD!$Y$3:$Y$5001,BD!$B$3:$B$5001,G$173,BD!$A$3:$A$5001,_xlfn.MAXIFS(BD!$A$3:$A$5001,BD!$B$3:$B$5001,G$173,BD!$A$3:$A$5001,"&gt;="&amp;$C$7,BD!$A$3:$A$5001,"&lt;="&amp;$B186,BD!$Y$3:$Y$5001,"&lt;&gt;"))))</f>
        <v/>
      </c>
      <c r="H186" s="42" t="str">
        <f>IF(OR($B186="",$A186&gt;$B$9),"",IF(COUNTIFS(BD!$B$3:$B$5001,H$173,BD!$A$3:$A$5001,"&gt;="&amp;$C$7,BD!$A$3:$A$5001,"&lt;="&amp;$B186,BD!$Y$3:$Y$5001,"&lt;&gt;")=0,"",SUMIFS(BD!$Y$3:$Y$5001,BD!$B$3:$B$5001,H$173,BD!$A$3:$A$5001,_xlfn.MAXIFS(BD!$A$3:$A$5001,BD!$B$3:$B$5001,H$173,BD!$A$3:$A$5001,"&gt;="&amp;$C$7,BD!$A$3:$A$5001,"&lt;="&amp;$B186,BD!$Y$3:$Y$5001,"&lt;&gt;"))))</f>
        <v/>
      </c>
      <c r="I186" s="42" t="str">
        <f>IF(OR($B186="",$A186&gt;$B$9),"",IF(COUNTIFS(BD!$B$3:$B$5001,I$173,BD!$A$3:$A$5001,"&gt;="&amp;$C$7,BD!$A$3:$A$5001,"&lt;="&amp;$B186,BD!$Y$3:$Y$5001,"&lt;&gt;")=0,"",SUMIFS(BD!$Y$3:$Y$5001,BD!$B$3:$B$5001,I$173,BD!$A$3:$A$5001,_xlfn.MAXIFS(BD!$A$3:$A$5001,BD!$B$3:$B$5001,I$173,BD!$A$3:$A$5001,"&gt;="&amp;$C$7,BD!$A$3:$A$5001,"&lt;="&amp;$B186,BD!$Y$3:$Y$5001,"&lt;&gt;"))))</f>
        <v/>
      </c>
      <c r="J186" s="42" t="str">
        <f>IF(OR($B186="",$A186&gt;$B$9),"",IF(COUNTIFS(BD!$B$3:$B$5001,J$173,BD!$A$3:$A$5001,"&gt;="&amp;$C$7,BD!$A$3:$A$5001,"&lt;="&amp;$B186,BD!$Y$3:$Y$5001,"&lt;&gt;")=0,"",SUMIFS(BD!$Y$3:$Y$5001,BD!$B$3:$B$5001,J$173,BD!$A$3:$A$5001,_xlfn.MAXIFS(BD!$A$3:$A$5001,BD!$B$3:$B$5001,J$173,BD!$A$3:$A$5001,"&gt;="&amp;$C$7,BD!$A$3:$A$5001,"&lt;="&amp;$B186,BD!$Y$3:$Y$5001,"&lt;&gt;"))))</f>
        <v/>
      </c>
      <c r="K186" s="42" t="str">
        <f>IF(OR($B186="",$A186&gt;$B$9),"",IF(COUNTIFS(BD!$B$3:$B$5001,K$173,BD!$A$3:$A$5001,"&gt;="&amp;$C$7,BD!$A$3:$A$5001,"&lt;="&amp;$B186,BD!$Y$3:$Y$5001,"&lt;&gt;")=0,"",SUMIFS(BD!$Y$3:$Y$5001,BD!$B$3:$B$5001,K$173,BD!$A$3:$A$5001,_xlfn.MAXIFS(BD!$A$3:$A$5001,BD!$B$3:$B$5001,K$173,BD!$A$3:$A$5001,"&gt;="&amp;$C$7,BD!$A$3:$A$5001,"&lt;="&amp;$B186,BD!$Y$3:$Y$5001,"&lt;&gt;"))))</f>
        <v/>
      </c>
      <c r="L186" s="42" t="str">
        <f>IF(OR($B186="",$A186&gt;$B$9),"",IF(COUNTIFS(BD!$B$3:$B$5001,L$173,BD!$A$3:$A$5001,"&gt;="&amp;$C$7,BD!$A$3:$A$5001,"&lt;="&amp;$B186,BD!$Y$3:$Y$5001,"&lt;&gt;")=0,"",SUMIFS(BD!$Y$3:$Y$5001,BD!$B$3:$B$5001,L$173,BD!$A$3:$A$5001,_xlfn.MAXIFS(BD!$A$3:$A$5001,BD!$B$3:$B$5001,L$173,BD!$A$3:$A$5001,"&gt;="&amp;$C$7,BD!$A$3:$A$5001,"&lt;="&amp;$B186,BD!$Y$3:$Y$5001,"&lt;&gt;"))))</f>
        <v/>
      </c>
    </row>
    <row r="187">
      <c r="A187" s="40">
        <v>14</v>
      </c>
      <c r="B187" s="41">
        <f>$B$25</f>
        <v>46309</v>
      </c>
      <c r="C187" s="42" t="str">
        <f>IF(OR($B187="",$A187&gt;$B$9),"",IF(COUNTIFS(BD!$B$3:$B$5001,C$173,BD!$A$3:$A$5001,"&gt;="&amp;$C$7,BD!$A$3:$A$5001,"&lt;="&amp;$B187,BD!$Y$3:$Y$5001,"&lt;&gt;")=0,"",SUMIFS(BD!$Y$3:$Y$5001,BD!$B$3:$B$5001,C$173,BD!$A$3:$A$5001,_xlfn.MAXIFS(BD!$A$3:$A$5001,BD!$B$3:$B$5001,C$173,BD!$A$3:$A$5001,"&gt;="&amp;$C$7,BD!$A$3:$A$5001,"&lt;="&amp;$B187,BD!$Y$3:$Y$5001,"&lt;&gt;"))))</f>
        <v/>
      </c>
      <c r="D187" s="42" t="str">
        <f>IF(OR($B187="",$A187&gt;$B$9),"",IF(COUNTIFS(BD!$B$3:$B$5001,D$173,BD!$A$3:$A$5001,"&gt;="&amp;$C$7,BD!$A$3:$A$5001,"&lt;="&amp;$B187,BD!$Y$3:$Y$5001,"&lt;&gt;")=0,"",SUMIFS(BD!$Y$3:$Y$5001,BD!$B$3:$B$5001,D$173,BD!$A$3:$A$5001,_xlfn.MAXIFS(BD!$A$3:$A$5001,BD!$B$3:$B$5001,D$173,BD!$A$3:$A$5001,"&gt;="&amp;$C$7,BD!$A$3:$A$5001,"&lt;="&amp;$B187,BD!$Y$3:$Y$5001,"&lt;&gt;"))))</f>
        <v/>
      </c>
      <c r="E187" s="42" t="str">
        <f>IF(OR($B187="",$A187&gt;$B$9),"",IF(COUNTIFS(BD!$B$3:$B$5001,E$173,BD!$A$3:$A$5001,"&gt;="&amp;$C$7,BD!$A$3:$A$5001,"&lt;="&amp;$B187,BD!$Y$3:$Y$5001,"&lt;&gt;")=0,"",SUMIFS(BD!$Y$3:$Y$5001,BD!$B$3:$B$5001,E$173,BD!$A$3:$A$5001,_xlfn.MAXIFS(BD!$A$3:$A$5001,BD!$B$3:$B$5001,E$173,BD!$A$3:$A$5001,"&gt;="&amp;$C$7,BD!$A$3:$A$5001,"&lt;="&amp;$B187,BD!$Y$3:$Y$5001,"&lt;&gt;"))))</f>
        <v/>
      </c>
      <c r="F187" s="42" t="str">
        <f>IF(OR($B187="",$A187&gt;$B$9),"",IF(COUNTIFS(BD!$B$3:$B$5001,F$173,BD!$A$3:$A$5001,"&gt;="&amp;$C$7,BD!$A$3:$A$5001,"&lt;="&amp;$B187,BD!$Y$3:$Y$5001,"&lt;&gt;")=0,"",SUMIFS(BD!$Y$3:$Y$5001,BD!$B$3:$B$5001,F$173,BD!$A$3:$A$5001,_xlfn.MAXIFS(BD!$A$3:$A$5001,BD!$B$3:$B$5001,F$173,BD!$A$3:$A$5001,"&gt;="&amp;$C$7,BD!$A$3:$A$5001,"&lt;="&amp;$B187,BD!$Y$3:$Y$5001,"&lt;&gt;"))))</f>
        <v/>
      </c>
      <c r="G187" s="42" t="str">
        <f>IF(OR($B187="",$A187&gt;$B$9),"",IF(COUNTIFS(BD!$B$3:$B$5001,G$173,BD!$A$3:$A$5001,"&gt;="&amp;$C$7,BD!$A$3:$A$5001,"&lt;="&amp;$B187,BD!$Y$3:$Y$5001,"&lt;&gt;")=0,"",SUMIFS(BD!$Y$3:$Y$5001,BD!$B$3:$B$5001,G$173,BD!$A$3:$A$5001,_xlfn.MAXIFS(BD!$A$3:$A$5001,BD!$B$3:$B$5001,G$173,BD!$A$3:$A$5001,"&gt;="&amp;$C$7,BD!$A$3:$A$5001,"&lt;="&amp;$B187,BD!$Y$3:$Y$5001,"&lt;&gt;"))))</f>
        <v/>
      </c>
      <c r="H187" s="42" t="str">
        <f>IF(OR($B187="",$A187&gt;$B$9),"",IF(COUNTIFS(BD!$B$3:$B$5001,H$173,BD!$A$3:$A$5001,"&gt;="&amp;$C$7,BD!$A$3:$A$5001,"&lt;="&amp;$B187,BD!$Y$3:$Y$5001,"&lt;&gt;")=0,"",SUMIFS(BD!$Y$3:$Y$5001,BD!$B$3:$B$5001,H$173,BD!$A$3:$A$5001,_xlfn.MAXIFS(BD!$A$3:$A$5001,BD!$B$3:$B$5001,H$173,BD!$A$3:$A$5001,"&gt;="&amp;$C$7,BD!$A$3:$A$5001,"&lt;="&amp;$B187,BD!$Y$3:$Y$5001,"&lt;&gt;"))))</f>
        <v/>
      </c>
      <c r="I187" s="42" t="str">
        <f>IF(OR($B187="",$A187&gt;$B$9),"",IF(COUNTIFS(BD!$B$3:$B$5001,I$173,BD!$A$3:$A$5001,"&gt;="&amp;$C$7,BD!$A$3:$A$5001,"&lt;="&amp;$B187,BD!$Y$3:$Y$5001,"&lt;&gt;")=0,"",SUMIFS(BD!$Y$3:$Y$5001,BD!$B$3:$B$5001,I$173,BD!$A$3:$A$5001,_xlfn.MAXIFS(BD!$A$3:$A$5001,BD!$B$3:$B$5001,I$173,BD!$A$3:$A$5001,"&gt;="&amp;$C$7,BD!$A$3:$A$5001,"&lt;="&amp;$B187,BD!$Y$3:$Y$5001,"&lt;&gt;"))))</f>
        <v/>
      </c>
      <c r="J187" s="42" t="str">
        <f>IF(OR($B187="",$A187&gt;$B$9),"",IF(COUNTIFS(BD!$B$3:$B$5001,J$173,BD!$A$3:$A$5001,"&gt;="&amp;$C$7,BD!$A$3:$A$5001,"&lt;="&amp;$B187,BD!$Y$3:$Y$5001,"&lt;&gt;")=0,"",SUMIFS(BD!$Y$3:$Y$5001,BD!$B$3:$B$5001,J$173,BD!$A$3:$A$5001,_xlfn.MAXIFS(BD!$A$3:$A$5001,BD!$B$3:$B$5001,J$173,BD!$A$3:$A$5001,"&gt;="&amp;$C$7,BD!$A$3:$A$5001,"&lt;="&amp;$B187,BD!$Y$3:$Y$5001,"&lt;&gt;"))))</f>
        <v/>
      </c>
      <c r="K187" s="42" t="str">
        <f>IF(OR($B187="",$A187&gt;$B$9),"",IF(COUNTIFS(BD!$B$3:$B$5001,K$173,BD!$A$3:$A$5001,"&gt;="&amp;$C$7,BD!$A$3:$A$5001,"&lt;="&amp;$B187,BD!$Y$3:$Y$5001,"&lt;&gt;")=0,"",SUMIFS(BD!$Y$3:$Y$5001,BD!$B$3:$B$5001,K$173,BD!$A$3:$A$5001,_xlfn.MAXIFS(BD!$A$3:$A$5001,BD!$B$3:$B$5001,K$173,BD!$A$3:$A$5001,"&gt;="&amp;$C$7,BD!$A$3:$A$5001,"&lt;="&amp;$B187,BD!$Y$3:$Y$5001,"&lt;&gt;"))))</f>
        <v/>
      </c>
      <c r="L187" s="42" t="str">
        <f>IF(OR($B187="",$A187&gt;$B$9),"",IF(COUNTIFS(BD!$B$3:$B$5001,L$173,BD!$A$3:$A$5001,"&gt;="&amp;$C$7,BD!$A$3:$A$5001,"&lt;="&amp;$B187,BD!$Y$3:$Y$5001,"&lt;&gt;")=0,"",SUMIFS(BD!$Y$3:$Y$5001,BD!$B$3:$B$5001,L$173,BD!$A$3:$A$5001,_xlfn.MAXIFS(BD!$A$3:$A$5001,BD!$B$3:$B$5001,L$173,BD!$A$3:$A$5001,"&gt;="&amp;$C$7,BD!$A$3:$A$5001,"&lt;="&amp;$B187,BD!$Y$3:$Y$5001,"&lt;&gt;"))))</f>
        <v/>
      </c>
    </row>
    <row r="188">
      <c r="A188" s="40">
        <v>15</v>
      </c>
      <c r="B188" s="41">
        <f>$B$26</f>
        <v>46310</v>
      </c>
      <c r="C188" s="42" t="str">
        <f>IF(OR($B188="",$A188&gt;$B$9),"",IF(COUNTIFS(BD!$B$3:$B$5001,C$173,BD!$A$3:$A$5001,"&gt;="&amp;$C$7,BD!$A$3:$A$5001,"&lt;="&amp;$B188,BD!$Y$3:$Y$5001,"&lt;&gt;")=0,"",SUMIFS(BD!$Y$3:$Y$5001,BD!$B$3:$B$5001,C$173,BD!$A$3:$A$5001,_xlfn.MAXIFS(BD!$A$3:$A$5001,BD!$B$3:$B$5001,C$173,BD!$A$3:$A$5001,"&gt;="&amp;$C$7,BD!$A$3:$A$5001,"&lt;="&amp;$B188,BD!$Y$3:$Y$5001,"&lt;&gt;"))))</f>
        <v/>
      </c>
      <c r="D188" s="42" t="str">
        <f>IF(OR($B188="",$A188&gt;$B$9),"",IF(COUNTIFS(BD!$B$3:$B$5001,D$173,BD!$A$3:$A$5001,"&gt;="&amp;$C$7,BD!$A$3:$A$5001,"&lt;="&amp;$B188,BD!$Y$3:$Y$5001,"&lt;&gt;")=0,"",SUMIFS(BD!$Y$3:$Y$5001,BD!$B$3:$B$5001,D$173,BD!$A$3:$A$5001,_xlfn.MAXIFS(BD!$A$3:$A$5001,BD!$B$3:$B$5001,D$173,BD!$A$3:$A$5001,"&gt;="&amp;$C$7,BD!$A$3:$A$5001,"&lt;="&amp;$B188,BD!$Y$3:$Y$5001,"&lt;&gt;"))))</f>
        <v/>
      </c>
      <c r="E188" s="42" t="str">
        <f>IF(OR($B188="",$A188&gt;$B$9),"",IF(COUNTIFS(BD!$B$3:$B$5001,E$173,BD!$A$3:$A$5001,"&gt;="&amp;$C$7,BD!$A$3:$A$5001,"&lt;="&amp;$B188,BD!$Y$3:$Y$5001,"&lt;&gt;")=0,"",SUMIFS(BD!$Y$3:$Y$5001,BD!$B$3:$B$5001,E$173,BD!$A$3:$A$5001,_xlfn.MAXIFS(BD!$A$3:$A$5001,BD!$B$3:$B$5001,E$173,BD!$A$3:$A$5001,"&gt;="&amp;$C$7,BD!$A$3:$A$5001,"&lt;="&amp;$B188,BD!$Y$3:$Y$5001,"&lt;&gt;"))))</f>
        <v/>
      </c>
      <c r="F188" s="42" t="str">
        <f>IF(OR($B188="",$A188&gt;$B$9),"",IF(COUNTIFS(BD!$B$3:$B$5001,F$173,BD!$A$3:$A$5001,"&gt;="&amp;$C$7,BD!$A$3:$A$5001,"&lt;="&amp;$B188,BD!$Y$3:$Y$5001,"&lt;&gt;")=0,"",SUMIFS(BD!$Y$3:$Y$5001,BD!$B$3:$B$5001,F$173,BD!$A$3:$A$5001,_xlfn.MAXIFS(BD!$A$3:$A$5001,BD!$B$3:$B$5001,F$173,BD!$A$3:$A$5001,"&gt;="&amp;$C$7,BD!$A$3:$A$5001,"&lt;="&amp;$B188,BD!$Y$3:$Y$5001,"&lt;&gt;"))))</f>
        <v/>
      </c>
      <c r="G188" s="42" t="str">
        <f>IF(OR($B188="",$A188&gt;$B$9),"",IF(COUNTIFS(BD!$B$3:$B$5001,G$173,BD!$A$3:$A$5001,"&gt;="&amp;$C$7,BD!$A$3:$A$5001,"&lt;="&amp;$B188,BD!$Y$3:$Y$5001,"&lt;&gt;")=0,"",SUMIFS(BD!$Y$3:$Y$5001,BD!$B$3:$B$5001,G$173,BD!$A$3:$A$5001,_xlfn.MAXIFS(BD!$A$3:$A$5001,BD!$B$3:$B$5001,G$173,BD!$A$3:$A$5001,"&gt;="&amp;$C$7,BD!$A$3:$A$5001,"&lt;="&amp;$B188,BD!$Y$3:$Y$5001,"&lt;&gt;"))))</f>
        <v/>
      </c>
      <c r="H188" s="42" t="str">
        <f>IF(OR($B188="",$A188&gt;$B$9),"",IF(COUNTIFS(BD!$B$3:$B$5001,H$173,BD!$A$3:$A$5001,"&gt;="&amp;$C$7,BD!$A$3:$A$5001,"&lt;="&amp;$B188,BD!$Y$3:$Y$5001,"&lt;&gt;")=0,"",SUMIFS(BD!$Y$3:$Y$5001,BD!$B$3:$B$5001,H$173,BD!$A$3:$A$5001,_xlfn.MAXIFS(BD!$A$3:$A$5001,BD!$B$3:$B$5001,H$173,BD!$A$3:$A$5001,"&gt;="&amp;$C$7,BD!$A$3:$A$5001,"&lt;="&amp;$B188,BD!$Y$3:$Y$5001,"&lt;&gt;"))))</f>
        <v/>
      </c>
      <c r="I188" s="42" t="str">
        <f>IF(OR($B188="",$A188&gt;$B$9),"",IF(COUNTIFS(BD!$B$3:$B$5001,I$173,BD!$A$3:$A$5001,"&gt;="&amp;$C$7,BD!$A$3:$A$5001,"&lt;="&amp;$B188,BD!$Y$3:$Y$5001,"&lt;&gt;")=0,"",SUMIFS(BD!$Y$3:$Y$5001,BD!$B$3:$B$5001,I$173,BD!$A$3:$A$5001,_xlfn.MAXIFS(BD!$A$3:$A$5001,BD!$B$3:$B$5001,I$173,BD!$A$3:$A$5001,"&gt;="&amp;$C$7,BD!$A$3:$A$5001,"&lt;="&amp;$B188,BD!$Y$3:$Y$5001,"&lt;&gt;"))))</f>
        <v/>
      </c>
      <c r="J188" s="42" t="str">
        <f>IF(OR($B188="",$A188&gt;$B$9),"",IF(COUNTIFS(BD!$B$3:$B$5001,J$173,BD!$A$3:$A$5001,"&gt;="&amp;$C$7,BD!$A$3:$A$5001,"&lt;="&amp;$B188,BD!$Y$3:$Y$5001,"&lt;&gt;")=0,"",SUMIFS(BD!$Y$3:$Y$5001,BD!$B$3:$B$5001,J$173,BD!$A$3:$A$5001,_xlfn.MAXIFS(BD!$A$3:$A$5001,BD!$B$3:$B$5001,J$173,BD!$A$3:$A$5001,"&gt;="&amp;$C$7,BD!$A$3:$A$5001,"&lt;="&amp;$B188,BD!$Y$3:$Y$5001,"&lt;&gt;"))))</f>
        <v/>
      </c>
      <c r="K188" s="42" t="str">
        <f>IF(OR($B188="",$A188&gt;$B$9),"",IF(COUNTIFS(BD!$B$3:$B$5001,K$173,BD!$A$3:$A$5001,"&gt;="&amp;$C$7,BD!$A$3:$A$5001,"&lt;="&amp;$B188,BD!$Y$3:$Y$5001,"&lt;&gt;")=0,"",SUMIFS(BD!$Y$3:$Y$5001,BD!$B$3:$B$5001,K$173,BD!$A$3:$A$5001,_xlfn.MAXIFS(BD!$A$3:$A$5001,BD!$B$3:$B$5001,K$173,BD!$A$3:$A$5001,"&gt;="&amp;$C$7,BD!$A$3:$A$5001,"&lt;="&amp;$B188,BD!$Y$3:$Y$5001,"&lt;&gt;"))))</f>
        <v/>
      </c>
      <c r="L188" s="42" t="str">
        <f>IF(OR($B188="",$A188&gt;$B$9),"",IF(COUNTIFS(BD!$B$3:$B$5001,L$173,BD!$A$3:$A$5001,"&gt;="&amp;$C$7,BD!$A$3:$A$5001,"&lt;="&amp;$B188,BD!$Y$3:$Y$5001,"&lt;&gt;")=0,"",SUMIFS(BD!$Y$3:$Y$5001,BD!$B$3:$B$5001,L$173,BD!$A$3:$A$5001,_xlfn.MAXIFS(BD!$A$3:$A$5001,BD!$B$3:$B$5001,L$173,BD!$A$3:$A$5001,"&gt;="&amp;$C$7,BD!$A$3:$A$5001,"&lt;="&amp;$B188,BD!$Y$3:$Y$5001,"&lt;&gt;"))))</f>
        <v/>
      </c>
    </row>
    <row r="189">
      <c r="A189" s="40">
        <v>16</v>
      </c>
      <c r="B189" s="41">
        <f>$B$27</f>
        <v>46311</v>
      </c>
      <c r="C189" s="42" t="str">
        <f>IF(OR($B189="",$A189&gt;$B$9),"",IF(COUNTIFS(BD!$B$3:$B$5001,C$173,BD!$A$3:$A$5001,"&gt;="&amp;$C$7,BD!$A$3:$A$5001,"&lt;="&amp;$B189,BD!$Y$3:$Y$5001,"&lt;&gt;")=0,"",SUMIFS(BD!$Y$3:$Y$5001,BD!$B$3:$B$5001,C$173,BD!$A$3:$A$5001,_xlfn.MAXIFS(BD!$A$3:$A$5001,BD!$B$3:$B$5001,C$173,BD!$A$3:$A$5001,"&gt;="&amp;$C$7,BD!$A$3:$A$5001,"&lt;="&amp;$B189,BD!$Y$3:$Y$5001,"&lt;&gt;"))))</f>
        <v/>
      </c>
      <c r="D189" s="42" t="str">
        <f>IF(OR($B189="",$A189&gt;$B$9),"",IF(COUNTIFS(BD!$B$3:$B$5001,D$173,BD!$A$3:$A$5001,"&gt;="&amp;$C$7,BD!$A$3:$A$5001,"&lt;="&amp;$B189,BD!$Y$3:$Y$5001,"&lt;&gt;")=0,"",SUMIFS(BD!$Y$3:$Y$5001,BD!$B$3:$B$5001,D$173,BD!$A$3:$A$5001,_xlfn.MAXIFS(BD!$A$3:$A$5001,BD!$B$3:$B$5001,D$173,BD!$A$3:$A$5001,"&gt;="&amp;$C$7,BD!$A$3:$A$5001,"&lt;="&amp;$B189,BD!$Y$3:$Y$5001,"&lt;&gt;"))))</f>
        <v/>
      </c>
      <c r="E189" s="42" t="str">
        <f>IF(OR($B189="",$A189&gt;$B$9),"",IF(COUNTIFS(BD!$B$3:$B$5001,E$173,BD!$A$3:$A$5001,"&gt;="&amp;$C$7,BD!$A$3:$A$5001,"&lt;="&amp;$B189,BD!$Y$3:$Y$5001,"&lt;&gt;")=0,"",SUMIFS(BD!$Y$3:$Y$5001,BD!$B$3:$B$5001,E$173,BD!$A$3:$A$5001,_xlfn.MAXIFS(BD!$A$3:$A$5001,BD!$B$3:$B$5001,E$173,BD!$A$3:$A$5001,"&gt;="&amp;$C$7,BD!$A$3:$A$5001,"&lt;="&amp;$B189,BD!$Y$3:$Y$5001,"&lt;&gt;"))))</f>
        <v/>
      </c>
      <c r="F189" s="42" t="str">
        <f>IF(OR($B189="",$A189&gt;$B$9),"",IF(COUNTIFS(BD!$B$3:$B$5001,F$173,BD!$A$3:$A$5001,"&gt;="&amp;$C$7,BD!$A$3:$A$5001,"&lt;="&amp;$B189,BD!$Y$3:$Y$5001,"&lt;&gt;")=0,"",SUMIFS(BD!$Y$3:$Y$5001,BD!$B$3:$B$5001,F$173,BD!$A$3:$A$5001,_xlfn.MAXIFS(BD!$A$3:$A$5001,BD!$B$3:$B$5001,F$173,BD!$A$3:$A$5001,"&gt;="&amp;$C$7,BD!$A$3:$A$5001,"&lt;="&amp;$B189,BD!$Y$3:$Y$5001,"&lt;&gt;"))))</f>
        <v/>
      </c>
      <c r="G189" s="42" t="str">
        <f>IF(OR($B189="",$A189&gt;$B$9),"",IF(COUNTIFS(BD!$B$3:$B$5001,G$173,BD!$A$3:$A$5001,"&gt;="&amp;$C$7,BD!$A$3:$A$5001,"&lt;="&amp;$B189,BD!$Y$3:$Y$5001,"&lt;&gt;")=0,"",SUMIFS(BD!$Y$3:$Y$5001,BD!$B$3:$B$5001,G$173,BD!$A$3:$A$5001,_xlfn.MAXIFS(BD!$A$3:$A$5001,BD!$B$3:$B$5001,G$173,BD!$A$3:$A$5001,"&gt;="&amp;$C$7,BD!$A$3:$A$5001,"&lt;="&amp;$B189,BD!$Y$3:$Y$5001,"&lt;&gt;"))))</f>
        <v/>
      </c>
      <c r="H189" s="42" t="str">
        <f>IF(OR($B189="",$A189&gt;$B$9),"",IF(COUNTIFS(BD!$B$3:$B$5001,H$173,BD!$A$3:$A$5001,"&gt;="&amp;$C$7,BD!$A$3:$A$5001,"&lt;="&amp;$B189,BD!$Y$3:$Y$5001,"&lt;&gt;")=0,"",SUMIFS(BD!$Y$3:$Y$5001,BD!$B$3:$B$5001,H$173,BD!$A$3:$A$5001,_xlfn.MAXIFS(BD!$A$3:$A$5001,BD!$B$3:$B$5001,H$173,BD!$A$3:$A$5001,"&gt;="&amp;$C$7,BD!$A$3:$A$5001,"&lt;="&amp;$B189,BD!$Y$3:$Y$5001,"&lt;&gt;"))))</f>
        <v/>
      </c>
      <c r="I189" s="42" t="str">
        <f>IF(OR($B189="",$A189&gt;$B$9),"",IF(COUNTIFS(BD!$B$3:$B$5001,I$173,BD!$A$3:$A$5001,"&gt;="&amp;$C$7,BD!$A$3:$A$5001,"&lt;="&amp;$B189,BD!$Y$3:$Y$5001,"&lt;&gt;")=0,"",SUMIFS(BD!$Y$3:$Y$5001,BD!$B$3:$B$5001,I$173,BD!$A$3:$A$5001,_xlfn.MAXIFS(BD!$A$3:$A$5001,BD!$B$3:$B$5001,I$173,BD!$A$3:$A$5001,"&gt;="&amp;$C$7,BD!$A$3:$A$5001,"&lt;="&amp;$B189,BD!$Y$3:$Y$5001,"&lt;&gt;"))))</f>
        <v/>
      </c>
      <c r="J189" s="42" t="str">
        <f>IF(OR($B189="",$A189&gt;$B$9),"",IF(COUNTIFS(BD!$B$3:$B$5001,J$173,BD!$A$3:$A$5001,"&gt;="&amp;$C$7,BD!$A$3:$A$5001,"&lt;="&amp;$B189,BD!$Y$3:$Y$5001,"&lt;&gt;")=0,"",SUMIFS(BD!$Y$3:$Y$5001,BD!$B$3:$B$5001,J$173,BD!$A$3:$A$5001,_xlfn.MAXIFS(BD!$A$3:$A$5001,BD!$B$3:$B$5001,J$173,BD!$A$3:$A$5001,"&gt;="&amp;$C$7,BD!$A$3:$A$5001,"&lt;="&amp;$B189,BD!$Y$3:$Y$5001,"&lt;&gt;"))))</f>
        <v/>
      </c>
      <c r="K189" s="42" t="str">
        <f>IF(OR($B189="",$A189&gt;$B$9),"",IF(COUNTIFS(BD!$B$3:$B$5001,K$173,BD!$A$3:$A$5001,"&gt;="&amp;$C$7,BD!$A$3:$A$5001,"&lt;="&amp;$B189,BD!$Y$3:$Y$5001,"&lt;&gt;")=0,"",SUMIFS(BD!$Y$3:$Y$5001,BD!$B$3:$B$5001,K$173,BD!$A$3:$A$5001,_xlfn.MAXIFS(BD!$A$3:$A$5001,BD!$B$3:$B$5001,K$173,BD!$A$3:$A$5001,"&gt;="&amp;$C$7,BD!$A$3:$A$5001,"&lt;="&amp;$B189,BD!$Y$3:$Y$5001,"&lt;&gt;"))))</f>
        <v/>
      </c>
      <c r="L189" s="42" t="str">
        <f>IF(OR($B189="",$A189&gt;$B$9),"",IF(COUNTIFS(BD!$B$3:$B$5001,L$173,BD!$A$3:$A$5001,"&gt;="&amp;$C$7,BD!$A$3:$A$5001,"&lt;="&amp;$B189,BD!$Y$3:$Y$5001,"&lt;&gt;")=0,"",SUMIFS(BD!$Y$3:$Y$5001,BD!$B$3:$B$5001,L$173,BD!$A$3:$A$5001,_xlfn.MAXIFS(BD!$A$3:$A$5001,BD!$B$3:$B$5001,L$173,BD!$A$3:$A$5001,"&gt;="&amp;$C$7,BD!$A$3:$A$5001,"&lt;="&amp;$B189,BD!$Y$3:$Y$5001,"&lt;&gt;"))))</f>
        <v/>
      </c>
    </row>
    <row r="190">
      <c r="A190" s="40">
        <v>17</v>
      </c>
      <c r="B190" s="41">
        <f>$B$28</f>
        <v>46312</v>
      </c>
      <c r="C190" s="42" t="str">
        <f>IF(OR($B190="",$A190&gt;$B$9),"",IF(COUNTIFS(BD!$B$3:$B$5001,C$173,BD!$A$3:$A$5001,"&gt;="&amp;$C$7,BD!$A$3:$A$5001,"&lt;="&amp;$B190,BD!$Y$3:$Y$5001,"&lt;&gt;")=0,"",SUMIFS(BD!$Y$3:$Y$5001,BD!$B$3:$B$5001,C$173,BD!$A$3:$A$5001,_xlfn.MAXIFS(BD!$A$3:$A$5001,BD!$B$3:$B$5001,C$173,BD!$A$3:$A$5001,"&gt;="&amp;$C$7,BD!$A$3:$A$5001,"&lt;="&amp;$B190,BD!$Y$3:$Y$5001,"&lt;&gt;"))))</f>
        <v/>
      </c>
      <c r="D190" s="42" t="str">
        <f>IF(OR($B190="",$A190&gt;$B$9),"",IF(COUNTIFS(BD!$B$3:$B$5001,D$173,BD!$A$3:$A$5001,"&gt;="&amp;$C$7,BD!$A$3:$A$5001,"&lt;="&amp;$B190,BD!$Y$3:$Y$5001,"&lt;&gt;")=0,"",SUMIFS(BD!$Y$3:$Y$5001,BD!$B$3:$B$5001,D$173,BD!$A$3:$A$5001,_xlfn.MAXIFS(BD!$A$3:$A$5001,BD!$B$3:$B$5001,D$173,BD!$A$3:$A$5001,"&gt;="&amp;$C$7,BD!$A$3:$A$5001,"&lt;="&amp;$B190,BD!$Y$3:$Y$5001,"&lt;&gt;"))))</f>
        <v/>
      </c>
      <c r="E190" s="42" t="str">
        <f>IF(OR($B190="",$A190&gt;$B$9),"",IF(COUNTIFS(BD!$B$3:$B$5001,E$173,BD!$A$3:$A$5001,"&gt;="&amp;$C$7,BD!$A$3:$A$5001,"&lt;="&amp;$B190,BD!$Y$3:$Y$5001,"&lt;&gt;")=0,"",SUMIFS(BD!$Y$3:$Y$5001,BD!$B$3:$B$5001,E$173,BD!$A$3:$A$5001,_xlfn.MAXIFS(BD!$A$3:$A$5001,BD!$B$3:$B$5001,E$173,BD!$A$3:$A$5001,"&gt;="&amp;$C$7,BD!$A$3:$A$5001,"&lt;="&amp;$B190,BD!$Y$3:$Y$5001,"&lt;&gt;"))))</f>
        <v/>
      </c>
      <c r="F190" s="42" t="str">
        <f>IF(OR($B190="",$A190&gt;$B$9),"",IF(COUNTIFS(BD!$B$3:$B$5001,F$173,BD!$A$3:$A$5001,"&gt;="&amp;$C$7,BD!$A$3:$A$5001,"&lt;="&amp;$B190,BD!$Y$3:$Y$5001,"&lt;&gt;")=0,"",SUMIFS(BD!$Y$3:$Y$5001,BD!$B$3:$B$5001,F$173,BD!$A$3:$A$5001,_xlfn.MAXIFS(BD!$A$3:$A$5001,BD!$B$3:$B$5001,F$173,BD!$A$3:$A$5001,"&gt;="&amp;$C$7,BD!$A$3:$A$5001,"&lt;="&amp;$B190,BD!$Y$3:$Y$5001,"&lt;&gt;"))))</f>
        <v/>
      </c>
      <c r="G190" s="42" t="str">
        <f>IF(OR($B190="",$A190&gt;$B$9),"",IF(COUNTIFS(BD!$B$3:$B$5001,G$173,BD!$A$3:$A$5001,"&gt;="&amp;$C$7,BD!$A$3:$A$5001,"&lt;="&amp;$B190,BD!$Y$3:$Y$5001,"&lt;&gt;")=0,"",SUMIFS(BD!$Y$3:$Y$5001,BD!$B$3:$B$5001,G$173,BD!$A$3:$A$5001,_xlfn.MAXIFS(BD!$A$3:$A$5001,BD!$B$3:$B$5001,G$173,BD!$A$3:$A$5001,"&gt;="&amp;$C$7,BD!$A$3:$A$5001,"&lt;="&amp;$B190,BD!$Y$3:$Y$5001,"&lt;&gt;"))))</f>
        <v/>
      </c>
      <c r="H190" s="42" t="str">
        <f>IF(OR($B190="",$A190&gt;$B$9),"",IF(COUNTIFS(BD!$B$3:$B$5001,H$173,BD!$A$3:$A$5001,"&gt;="&amp;$C$7,BD!$A$3:$A$5001,"&lt;="&amp;$B190,BD!$Y$3:$Y$5001,"&lt;&gt;")=0,"",SUMIFS(BD!$Y$3:$Y$5001,BD!$B$3:$B$5001,H$173,BD!$A$3:$A$5001,_xlfn.MAXIFS(BD!$A$3:$A$5001,BD!$B$3:$B$5001,H$173,BD!$A$3:$A$5001,"&gt;="&amp;$C$7,BD!$A$3:$A$5001,"&lt;="&amp;$B190,BD!$Y$3:$Y$5001,"&lt;&gt;"))))</f>
        <v/>
      </c>
      <c r="I190" s="42" t="str">
        <f>IF(OR($B190="",$A190&gt;$B$9),"",IF(COUNTIFS(BD!$B$3:$B$5001,I$173,BD!$A$3:$A$5001,"&gt;="&amp;$C$7,BD!$A$3:$A$5001,"&lt;="&amp;$B190,BD!$Y$3:$Y$5001,"&lt;&gt;")=0,"",SUMIFS(BD!$Y$3:$Y$5001,BD!$B$3:$B$5001,I$173,BD!$A$3:$A$5001,_xlfn.MAXIFS(BD!$A$3:$A$5001,BD!$B$3:$B$5001,I$173,BD!$A$3:$A$5001,"&gt;="&amp;$C$7,BD!$A$3:$A$5001,"&lt;="&amp;$B190,BD!$Y$3:$Y$5001,"&lt;&gt;"))))</f>
        <v/>
      </c>
      <c r="J190" s="42" t="str">
        <f>IF(OR($B190="",$A190&gt;$B$9),"",IF(COUNTIFS(BD!$B$3:$B$5001,J$173,BD!$A$3:$A$5001,"&gt;="&amp;$C$7,BD!$A$3:$A$5001,"&lt;="&amp;$B190,BD!$Y$3:$Y$5001,"&lt;&gt;")=0,"",SUMIFS(BD!$Y$3:$Y$5001,BD!$B$3:$B$5001,J$173,BD!$A$3:$A$5001,_xlfn.MAXIFS(BD!$A$3:$A$5001,BD!$B$3:$B$5001,J$173,BD!$A$3:$A$5001,"&gt;="&amp;$C$7,BD!$A$3:$A$5001,"&lt;="&amp;$B190,BD!$Y$3:$Y$5001,"&lt;&gt;"))))</f>
        <v/>
      </c>
      <c r="K190" s="42" t="str">
        <f>IF(OR($B190="",$A190&gt;$B$9),"",IF(COUNTIFS(BD!$B$3:$B$5001,K$173,BD!$A$3:$A$5001,"&gt;="&amp;$C$7,BD!$A$3:$A$5001,"&lt;="&amp;$B190,BD!$Y$3:$Y$5001,"&lt;&gt;")=0,"",SUMIFS(BD!$Y$3:$Y$5001,BD!$B$3:$B$5001,K$173,BD!$A$3:$A$5001,_xlfn.MAXIFS(BD!$A$3:$A$5001,BD!$B$3:$B$5001,K$173,BD!$A$3:$A$5001,"&gt;="&amp;$C$7,BD!$A$3:$A$5001,"&lt;="&amp;$B190,BD!$Y$3:$Y$5001,"&lt;&gt;"))))</f>
        <v/>
      </c>
      <c r="L190" s="42" t="str">
        <f>IF(OR($B190="",$A190&gt;$B$9),"",IF(COUNTIFS(BD!$B$3:$B$5001,L$173,BD!$A$3:$A$5001,"&gt;="&amp;$C$7,BD!$A$3:$A$5001,"&lt;="&amp;$B190,BD!$Y$3:$Y$5001,"&lt;&gt;")=0,"",SUMIFS(BD!$Y$3:$Y$5001,BD!$B$3:$B$5001,L$173,BD!$A$3:$A$5001,_xlfn.MAXIFS(BD!$A$3:$A$5001,BD!$B$3:$B$5001,L$173,BD!$A$3:$A$5001,"&gt;="&amp;$C$7,BD!$A$3:$A$5001,"&lt;="&amp;$B190,BD!$Y$3:$Y$5001,"&lt;&gt;"))))</f>
        <v/>
      </c>
    </row>
    <row r="191">
      <c r="A191" s="40">
        <v>18</v>
      </c>
      <c r="B191" s="41">
        <f>$B$29</f>
        <v>46313</v>
      </c>
      <c r="C191" s="42" t="str">
        <f>IF(OR($B191="",$A191&gt;$B$9),"",IF(COUNTIFS(BD!$B$3:$B$5001,C$173,BD!$A$3:$A$5001,"&gt;="&amp;$C$7,BD!$A$3:$A$5001,"&lt;="&amp;$B191,BD!$Y$3:$Y$5001,"&lt;&gt;")=0,"",SUMIFS(BD!$Y$3:$Y$5001,BD!$B$3:$B$5001,C$173,BD!$A$3:$A$5001,_xlfn.MAXIFS(BD!$A$3:$A$5001,BD!$B$3:$B$5001,C$173,BD!$A$3:$A$5001,"&gt;="&amp;$C$7,BD!$A$3:$A$5001,"&lt;="&amp;$B191,BD!$Y$3:$Y$5001,"&lt;&gt;"))))</f>
        <v/>
      </c>
      <c r="D191" s="42" t="str">
        <f>IF(OR($B191="",$A191&gt;$B$9),"",IF(COUNTIFS(BD!$B$3:$B$5001,D$173,BD!$A$3:$A$5001,"&gt;="&amp;$C$7,BD!$A$3:$A$5001,"&lt;="&amp;$B191,BD!$Y$3:$Y$5001,"&lt;&gt;")=0,"",SUMIFS(BD!$Y$3:$Y$5001,BD!$B$3:$B$5001,D$173,BD!$A$3:$A$5001,_xlfn.MAXIFS(BD!$A$3:$A$5001,BD!$B$3:$B$5001,D$173,BD!$A$3:$A$5001,"&gt;="&amp;$C$7,BD!$A$3:$A$5001,"&lt;="&amp;$B191,BD!$Y$3:$Y$5001,"&lt;&gt;"))))</f>
        <v/>
      </c>
      <c r="E191" s="42" t="str">
        <f>IF(OR($B191="",$A191&gt;$B$9),"",IF(COUNTIFS(BD!$B$3:$B$5001,E$173,BD!$A$3:$A$5001,"&gt;="&amp;$C$7,BD!$A$3:$A$5001,"&lt;="&amp;$B191,BD!$Y$3:$Y$5001,"&lt;&gt;")=0,"",SUMIFS(BD!$Y$3:$Y$5001,BD!$B$3:$B$5001,E$173,BD!$A$3:$A$5001,_xlfn.MAXIFS(BD!$A$3:$A$5001,BD!$B$3:$B$5001,E$173,BD!$A$3:$A$5001,"&gt;="&amp;$C$7,BD!$A$3:$A$5001,"&lt;="&amp;$B191,BD!$Y$3:$Y$5001,"&lt;&gt;"))))</f>
        <v/>
      </c>
      <c r="F191" s="42" t="str">
        <f>IF(OR($B191="",$A191&gt;$B$9),"",IF(COUNTIFS(BD!$B$3:$B$5001,F$173,BD!$A$3:$A$5001,"&gt;="&amp;$C$7,BD!$A$3:$A$5001,"&lt;="&amp;$B191,BD!$Y$3:$Y$5001,"&lt;&gt;")=0,"",SUMIFS(BD!$Y$3:$Y$5001,BD!$B$3:$B$5001,F$173,BD!$A$3:$A$5001,_xlfn.MAXIFS(BD!$A$3:$A$5001,BD!$B$3:$B$5001,F$173,BD!$A$3:$A$5001,"&gt;="&amp;$C$7,BD!$A$3:$A$5001,"&lt;="&amp;$B191,BD!$Y$3:$Y$5001,"&lt;&gt;"))))</f>
        <v/>
      </c>
      <c r="G191" s="42" t="str">
        <f>IF(OR($B191="",$A191&gt;$B$9),"",IF(COUNTIFS(BD!$B$3:$B$5001,G$173,BD!$A$3:$A$5001,"&gt;="&amp;$C$7,BD!$A$3:$A$5001,"&lt;="&amp;$B191,BD!$Y$3:$Y$5001,"&lt;&gt;")=0,"",SUMIFS(BD!$Y$3:$Y$5001,BD!$B$3:$B$5001,G$173,BD!$A$3:$A$5001,_xlfn.MAXIFS(BD!$A$3:$A$5001,BD!$B$3:$B$5001,G$173,BD!$A$3:$A$5001,"&gt;="&amp;$C$7,BD!$A$3:$A$5001,"&lt;="&amp;$B191,BD!$Y$3:$Y$5001,"&lt;&gt;"))))</f>
        <v/>
      </c>
      <c r="H191" s="42" t="str">
        <f>IF(OR($B191="",$A191&gt;$B$9),"",IF(COUNTIFS(BD!$B$3:$B$5001,H$173,BD!$A$3:$A$5001,"&gt;="&amp;$C$7,BD!$A$3:$A$5001,"&lt;="&amp;$B191,BD!$Y$3:$Y$5001,"&lt;&gt;")=0,"",SUMIFS(BD!$Y$3:$Y$5001,BD!$B$3:$B$5001,H$173,BD!$A$3:$A$5001,_xlfn.MAXIFS(BD!$A$3:$A$5001,BD!$B$3:$B$5001,H$173,BD!$A$3:$A$5001,"&gt;="&amp;$C$7,BD!$A$3:$A$5001,"&lt;="&amp;$B191,BD!$Y$3:$Y$5001,"&lt;&gt;"))))</f>
        <v/>
      </c>
      <c r="I191" s="42" t="str">
        <f>IF(OR($B191="",$A191&gt;$B$9),"",IF(COUNTIFS(BD!$B$3:$B$5001,I$173,BD!$A$3:$A$5001,"&gt;="&amp;$C$7,BD!$A$3:$A$5001,"&lt;="&amp;$B191,BD!$Y$3:$Y$5001,"&lt;&gt;")=0,"",SUMIFS(BD!$Y$3:$Y$5001,BD!$B$3:$B$5001,I$173,BD!$A$3:$A$5001,_xlfn.MAXIFS(BD!$A$3:$A$5001,BD!$B$3:$B$5001,I$173,BD!$A$3:$A$5001,"&gt;="&amp;$C$7,BD!$A$3:$A$5001,"&lt;="&amp;$B191,BD!$Y$3:$Y$5001,"&lt;&gt;"))))</f>
        <v/>
      </c>
      <c r="J191" s="42" t="str">
        <f>IF(OR($B191="",$A191&gt;$B$9),"",IF(COUNTIFS(BD!$B$3:$B$5001,J$173,BD!$A$3:$A$5001,"&gt;="&amp;$C$7,BD!$A$3:$A$5001,"&lt;="&amp;$B191,BD!$Y$3:$Y$5001,"&lt;&gt;")=0,"",SUMIFS(BD!$Y$3:$Y$5001,BD!$B$3:$B$5001,J$173,BD!$A$3:$A$5001,_xlfn.MAXIFS(BD!$A$3:$A$5001,BD!$B$3:$B$5001,J$173,BD!$A$3:$A$5001,"&gt;="&amp;$C$7,BD!$A$3:$A$5001,"&lt;="&amp;$B191,BD!$Y$3:$Y$5001,"&lt;&gt;"))))</f>
        <v/>
      </c>
      <c r="K191" s="42" t="str">
        <f>IF(OR($B191="",$A191&gt;$B$9),"",IF(COUNTIFS(BD!$B$3:$B$5001,K$173,BD!$A$3:$A$5001,"&gt;="&amp;$C$7,BD!$A$3:$A$5001,"&lt;="&amp;$B191,BD!$Y$3:$Y$5001,"&lt;&gt;")=0,"",SUMIFS(BD!$Y$3:$Y$5001,BD!$B$3:$B$5001,K$173,BD!$A$3:$A$5001,_xlfn.MAXIFS(BD!$A$3:$A$5001,BD!$B$3:$B$5001,K$173,BD!$A$3:$A$5001,"&gt;="&amp;$C$7,BD!$A$3:$A$5001,"&lt;="&amp;$B191,BD!$Y$3:$Y$5001,"&lt;&gt;"))))</f>
        <v/>
      </c>
      <c r="L191" s="42" t="str">
        <f>IF(OR($B191="",$A191&gt;$B$9),"",IF(COUNTIFS(BD!$B$3:$B$5001,L$173,BD!$A$3:$A$5001,"&gt;="&amp;$C$7,BD!$A$3:$A$5001,"&lt;="&amp;$B191,BD!$Y$3:$Y$5001,"&lt;&gt;")=0,"",SUMIFS(BD!$Y$3:$Y$5001,BD!$B$3:$B$5001,L$173,BD!$A$3:$A$5001,_xlfn.MAXIFS(BD!$A$3:$A$5001,BD!$B$3:$B$5001,L$173,BD!$A$3:$A$5001,"&gt;="&amp;$C$7,BD!$A$3:$A$5001,"&lt;="&amp;$B191,BD!$Y$3:$Y$5001,"&lt;&gt;"))))</f>
        <v/>
      </c>
    </row>
    <row r="192">
      <c r="A192" s="40">
        <v>19</v>
      </c>
      <c r="B192" s="41">
        <f>$B$30</f>
        <v>46314</v>
      </c>
      <c r="C192" s="42" t="str">
        <f>IF(OR($B192="",$A192&gt;$B$9),"",IF(COUNTIFS(BD!$B$3:$B$5001,C$173,BD!$A$3:$A$5001,"&gt;="&amp;$C$7,BD!$A$3:$A$5001,"&lt;="&amp;$B192,BD!$Y$3:$Y$5001,"&lt;&gt;")=0,"",SUMIFS(BD!$Y$3:$Y$5001,BD!$B$3:$B$5001,C$173,BD!$A$3:$A$5001,_xlfn.MAXIFS(BD!$A$3:$A$5001,BD!$B$3:$B$5001,C$173,BD!$A$3:$A$5001,"&gt;="&amp;$C$7,BD!$A$3:$A$5001,"&lt;="&amp;$B192,BD!$Y$3:$Y$5001,"&lt;&gt;"))))</f>
        <v/>
      </c>
      <c r="D192" s="42" t="str">
        <f>IF(OR($B192="",$A192&gt;$B$9),"",IF(COUNTIFS(BD!$B$3:$B$5001,D$173,BD!$A$3:$A$5001,"&gt;="&amp;$C$7,BD!$A$3:$A$5001,"&lt;="&amp;$B192,BD!$Y$3:$Y$5001,"&lt;&gt;")=0,"",SUMIFS(BD!$Y$3:$Y$5001,BD!$B$3:$B$5001,D$173,BD!$A$3:$A$5001,_xlfn.MAXIFS(BD!$A$3:$A$5001,BD!$B$3:$B$5001,D$173,BD!$A$3:$A$5001,"&gt;="&amp;$C$7,BD!$A$3:$A$5001,"&lt;="&amp;$B192,BD!$Y$3:$Y$5001,"&lt;&gt;"))))</f>
        <v/>
      </c>
      <c r="E192" s="42" t="str">
        <f>IF(OR($B192="",$A192&gt;$B$9),"",IF(COUNTIFS(BD!$B$3:$B$5001,E$173,BD!$A$3:$A$5001,"&gt;="&amp;$C$7,BD!$A$3:$A$5001,"&lt;="&amp;$B192,BD!$Y$3:$Y$5001,"&lt;&gt;")=0,"",SUMIFS(BD!$Y$3:$Y$5001,BD!$B$3:$B$5001,E$173,BD!$A$3:$A$5001,_xlfn.MAXIFS(BD!$A$3:$A$5001,BD!$B$3:$B$5001,E$173,BD!$A$3:$A$5001,"&gt;="&amp;$C$7,BD!$A$3:$A$5001,"&lt;="&amp;$B192,BD!$Y$3:$Y$5001,"&lt;&gt;"))))</f>
        <v/>
      </c>
      <c r="F192" s="42" t="str">
        <f>IF(OR($B192="",$A192&gt;$B$9),"",IF(COUNTIFS(BD!$B$3:$B$5001,F$173,BD!$A$3:$A$5001,"&gt;="&amp;$C$7,BD!$A$3:$A$5001,"&lt;="&amp;$B192,BD!$Y$3:$Y$5001,"&lt;&gt;")=0,"",SUMIFS(BD!$Y$3:$Y$5001,BD!$B$3:$B$5001,F$173,BD!$A$3:$A$5001,_xlfn.MAXIFS(BD!$A$3:$A$5001,BD!$B$3:$B$5001,F$173,BD!$A$3:$A$5001,"&gt;="&amp;$C$7,BD!$A$3:$A$5001,"&lt;="&amp;$B192,BD!$Y$3:$Y$5001,"&lt;&gt;"))))</f>
        <v/>
      </c>
      <c r="G192" s="42" t="str">
        <f>IF(OR($B192="",$A192&gt;$B$9),"",IF(COUNTIFS(BD!$B$3:$B$5001,G$173,BD!$A$3:$A$5001,"&gt;="&amp;$C$7,BD!$A$3:$A$5001,"&lt;="&amp;$B192,BD!$Y$3:$Y$5001,"&lt;&gt;")=0,"",SUMIFS(BD!$Y$3:$Y$5001,BD!$B$3:$B$5001,G$173,BD!$A$3:$A$5001,_xlfn.MAXIFS(BD!$A$3:$A$5001,BD!$B$3:$B$5001,G$173,BD!$A$3:$A$5001,"&gt;="&amp;$C$7,BD!$A$3:$A$5001,"&lt;="&amp;$B192,BD!$Y$3:$Y$5001,"&lt;&gt;"))))</f>
        <v/>
      </c>
      <c r="H192" s="42" t="str">
        <f>IF(OR($B192="",$A192&gt;$B$9),"",IF(COUNTIFS(BD!$B$3:$B$5001,H$173,BD!$A$3:$A$5001,"&gt;="&amp;$C$7,BD!$A$3:$A$5001,"&lt;="&amp;$B192,BD!$Y$3:$Y$5001,"&lt;&gt;")=0,"",SUMIFS(BD!$Y$3:$Y$5001,BD!$B$3:$B$5001,H$173,BD!$A$3:$A$5001,_xlfn.MAXIFS(BD!$A$3:$A$5001,BD!$B$3:$B$5001,H$173,BD!$A$3:$A$5001,"&gt;="&amp;$C$7,BD!$A$3:$A$5001,"&lt;="&amp;$B192,BD!$Y$3:$Y$5001,"&lt;&gt;"))))</f>
        <v/>
      </c>
      <c r="I192" s="42" t="str">
        <f>IF(OR($B192="",$A192&gt;$B$9),"",IF(COUNTIFS(BD!$B$3:$B$5001,I$173,BD!$A$3:$A$5001,"&gt;="&amp;$C$7,BD!$A$3:$A$5001,"&lt;="&amp;$B192,BD!$Y$3:$Y$5001,"&lt;&gt;")=0,"",SUMIFS(BD!$Y$3:$Y$5001,BD!$B$3:$B$5001,I$173,BD!$A$3:$A$5001,_xlfn.MAXIFS(BD!$A$3:$A$5001,BD!$B$3:$B$5001,I$173,BD!$A$3:$A$5001,"&gt;="&amp;$C$7,BD!$A$3:$A$5001,"&lt;="&amp;$B192,BD!$Y$3:$Y$5001,"&lt;&gt;"))))</f>
        <v/>
      </c>
      <c r="J192" s="42" t="str">
        <f>IF(OR($B192="",$A192&gt;$B$9),"",IF(COUNTIFS(BD!$B$3:$B$5001,J$173,BD!$A$3:$A$5001,"&gt;="&amp;$C$7,BD!$A$3:$A$5001,"&lt;="&amp;$B192,BD!$Y$3:$Y$5001,"&lt;&gt;")=0,"",SUMIFS(BD!$Y$3:$Y$5001,BD!$B$3:$B$5001,J$173,BD!$A$3:$A$5001,_xlfn.MAXIFS(BD!$A$3:$A$5001,BD!$B$3:$B$5001,J$173,BD!$A$3:$A$5001,"&gt;="&amp;$C$7,BD!$A$3:$A$5001,"&lt;="&amp;$B192,BD!$Y$3:$Y$5001,"&lt;&gt;"))))</f>
        <v/>
      </c>
      <c r="K192" s="42" t="str">
        <f>IF(OR($B192="",$A192&gt;$B$9),"",IF(COUNTIFS(BD!$B$3:$B$5001,K$173,BD!$A$3:$A$5001,"&gt;="&amp;$C$7,BD!$A$3:$A$5001,"&lt;="&amp;$B192,BD!$Y$3:$Y$5001,"&lt;&gt;")=0,"",SUMIFS(BD!$Y$3:$Y$5001,BD!$B$3:$B$5001,K$173,BD!$A$3:$A$5001,_xlfn.MAXIFS(BD!$A$3:$A$5001,BD!$B$3:$B$5001,K$173,BD!$A$3:$A$5001,"&gt;="&amp;$C$7,BD!$A$3:$A$5001,"&lt;="&amp;$B192,BD!$Y$3:$Y$5001,"&lt;&gt;"))))</f>
        <v/>
      </c>
      <c r="L192" s="42" t="str">
        <f>IF(OR($B192="",$A192&gt;$B$9),"",IF(COUNTIFS(BD!$B$3:$B$5001,L$173,BD!$A$3:$A$5001,"&gt;="&amp;$C$7,BD!$A$3:$A$5001,"&lt;="&amp;$B192,BD!$Y$3:$Y$5001,"&lt;&gt;")=0,"",SUMIFS(BD!$Y$3:$Y$5001,BD!$B$3:$B$5001,L$173,BD!$A$3:$A$5001,_xlfn.MAXIFS(BD!$A$3:$A$5001,BD!$B$3:$B$5001,L$173,BD!$A$3:$A$5001,"&gt;="&amp;$C$7,BD!$A$3:$A$5001,"&lt;="&amp;$B192,BD!$Y$3:$Y$5001,"&lt;&gt;"))))</f>
        <v/>
      </c>
    </row>
    <row r="193">
      <c r="A193" s="40">
        <v>20</v>
      </c>
      <c r="B193" s="41">
        <f>$B$31</f>
        <v>46315</v>
      </c>
      <c r="C193" s="42" t="str">
        <f>IF(OR($B193="",$A193&gt;$B$9),"",IF(COUNTIFS(BD!$B$3:$B$5001,C$173,BD!$A$3:$A$5001,"&gt;="&amp;$C$7,BD!$A$3:$A$5001,"&lt;="&amp;$B193,BD!$Y$3:$Y$5001,"&lt;&gt;")=0,"",SUMIFS(BD!$Y$3:$Y$5001,BD!$B$3:$B$5001,C$173,BD!$A$3:$A$5001,_xlfn.MAXIFS(BD!$A$3:$A$5001,BD!$B$3:$B$5001,C$173,BD!$A$3:$A$5001,"&gt;="&amp;$C$7,BD!$A$3:$A$5001,"&lt;="&amp;$B193,BD!$Y$3:$Y$5001,"&lt;&gt;"))))</f>
        <v/>
      </c>
      <c r="D193" s="42" t="str">
        <f>IF(OR($B193="",$A193&gt;$B$9),"",IF(COUNTIFS(BD!$B$3:$B$5001,D$173,BD!$A$3:$A$5001,"&gt;="&amp;$C$7,BD!$A$3:$A$5001,"&lt;="&amp;$B193,BD!$Y$3:$Y$5001,"&lt;&gt;")=0,"",SUMIFS(BD!$Y$3:$Y$5001,BD!$B$3:$B$5001,D$173,BD!$A$3:$A$5001,_xlfn.MAXIFS(BD!$A$3:$A$5001,BD!$B$3:$B$5001,D$173,BD!$A$3:$A$5001,"&gt;="&amp;$C$7,BD!$A$3:$A$5001,"&lt;="&amp;$B193,BD!$Y$3:$Y$5001,"&lt;&gt;"))))</f>
        <v/>
      </c>
      <c r="E193" s="42" t="str">
        <f>IF(OR($B193="",$A193&gt;$B$9),"",IF(COUNTIFS(BD!$B$3:$B$5001,E$173,BD!$A$3:$A$5001,"&gt;="&amp;$C$7,BD!$A$3:$A$5001,"&lt;="&amp;$B193,BD!$Y$3:$Y$5001,"&lt;&gt;")=0,"",SUMIFS(BD!$Y$3:$Y$5001,BD!$B$3:$B$5001,E$173,BD!$A$3:$A$5001,_xlfn.MAXIFS(BD!$A$3:$A$5001,BD!$B$3:$B$5001,E$173,BD!$A$3:$A$5001,"&gt;="&amp;$C$7,BD!$A$3:$A$5001,"&lt;="&amp;$B193,BD!$Y$3:$Y$5001,"&lt;&gt;"))))</f>
        <v/>
      </c>
      <c r="F193" s="42" t="str">
        <f>IF(OR($B193="",$A193&gt;$B$9),"",IF(COUNTIFS(BD!$B$3:$B$5001,F$173,BD!$A$3:$A$5001,"&gt;="&amp;$C$7,BD!$A$3:$A$5001,"&lt;="&amp;$B193,BD!$Y$3:$Y$5001,"&lt;&gt;")=0,"",SUMIFS(BD!$Y$3:$Y$5001,BD!$B$3:$B$5001,F$173,BD!$A$3:$A$5001,_xlfn.MAXIFS(BD!$A$3:$A$5001,BD!$B$3:$B$5001,F$173,BD!$A$3:$A$5001,"&gt;="&amp;$C$7,BD!$A$3:$A$5001,"&lt;="&amp;$B193,BD!$Y$3:$Y$5001,"&lt;&gt;"))))</f>
        <v/>
      </c>
      <c r="G193" s="42" t="str">
        <f>IF(OR($B193="",$A193&gt;$B$9),"",IF(COUNTIFS(BD!$B$3:$B$5001,G$173,BD!$A$3:$A$5001,"&gt;="&amp;$C$7,BD!$A$3:$A$5001,"&lt;="&amp;$B193,BD!$Y$3:$Y$5001,"&lt;&gt;")=0,"",SUMIFS(BD!$Y$3:$Y$5001,BD!$B$3:$B$5001,G$173,BD!$A$3:$A$5001,_xlfn.MAXIFS(BD!$A$3:$A$5001,BD!$B$3:$B$5001,G$173,BD!$A$3:$A$5001,"&gt;="&amp;$C$7,BD!$A$3:$A$5001,"&lt;="&amp;$B193,BD!$Y$3:$Y$5001,"&lt;&gt;"))))</f>
        <v/>
      </c>
      <c r="H193" s="42" t="str">
        <f>IF(OR($B193="",$A193&gt;$B$9),"",IF(COUNTIFS(BD!$B$3:$B$5001,H$173,BD!$A$3:$A$5001,"&gt;="&amp;$C$7,BD!$A$3:$A$5001,"&lt;="&amp;$B193,BD!$Y$3:$Y$5001,"&lt;&gt;")=0,"",SUMIFS(BD!$Y$3:$Y$5001,BD!$B$3:$B$5001,H$173,BD!$A$3:$A$5001,_xlfn.MAXIFS(BD!$A$3:$A$5001,BD!$B$3:$B$5001,H$173,BD!$A$3:$A$5001,"&gt;="&amp;$C$7,BD!$A$3:$A$5001,"&lt;="&amp;$B193,BD!$Y$3:$Y$5001,"&lt;&gt;"))))</f>
        <v/>
      </c>
      <c r="I193" s="42" t="str">
        <f>IF(OR($B193="",$A193&gt;$B$9),"",IF(COUNTIFS(BD!$B$3:$B$5001,I$173,BD!$A$3:$A$5001,"&gt;="&amp;$C$7,BD!$A$3:$A$5001,"&lt;="&amp;$B193,BD!$Y$3:$Y$5001,"&lt;&gt;")=0,"",SUMIFS(BD!$Y$3:$Y$5001,BD!$B$3:$B$5001,I$173,BD!$A$3:$A$5001,_xlfn.MAXIFS(BD!$A$3:$A$5001,BD!$B$3:$B$5001,I$173,BD!$A$3:$A$5001,"&gt;="&amp;$C$7,BD!$A$3:$A$5001,"&lt;="&amp;$B193,BD!$Y$3:$Y$5001,"&lt;&gt;"))))</f>
        <v/>
      </c>
      <c r="J193" s="42" t="str">
        <f>IF(OR($B193="",$A193&gt;$B$9),"",IF(COUNTIFS(BD!$B$3:$B$5001,J$173,BD!$A$3:$A$5001,"&gt;="&amp;$C$7,BD!$A$3:$A$5001,"&lt;="&amp;$B193,BD!$Y$3:$Y$5001,"&lt;&gt;")=0,"",SUMIFS(BD!$Y$3:$Y$5001,BD!$B$3:$B$5001,J$173,BD!$A$3:$A$5001,_xlfn.MAXIFS(BD!$A$3:$A$5001,BD!$B$3:$B$5001,J$173,BD!$A$3:$A$5001,"&gt;="&amp;$C$7,BD!$A$3:$A$5001,"&lt;="&amp;$B193,BD!$Y$3:$Y$5001,"&lt;&gt;"))))</f>
        <v/>
      </c>
      <c r="K193" s="42" t="str">
        <f>IF(OR($B193="",$A193&gt;$B$9),"",IF(COUNTIFS(BD!$B$3:$B$5001,K$173,BD!$A$3:$A$5001,"&gt;="&amp;$C$7,BD!$A$3:$A$5001,"&lt;="&amp;$B193,BD!$Y$3:$Y$5001,"&lt;&gt;")=0,"",SUMIFS(BD!$Y$3:$Y$5001,BD!$B$3:$B$5001,K$173,BD!$A$3:$A$5001,_xlfn.MAXIFS(BD!$A$3:$A$5001,BD!$B$3:$B$5001,K$173,BD!$A$3:$A$5001,"&gt;="&amp;$C$7,BD!$A$3:$A$5001,"&lt;="&amp;$B193,BD!$Y$3:$Y$5001,"&lt;&gt;"))))</f>
        <v/>
      </c>
      <c r="L193" s="42" t="str">
        <f>IF(OR($B193="",$A193&gt;$B$9),"",IF(COUNTIFS(BD!$B$3:$B$5001,L$173,BD!$A$3:$A$5001,"&gt;="&amp;$C$7,BD!$A$3:$A$5001,"&lt;="&amp;$B193,BD!$Y$3:$Y$5001,"&lt;&gt;")=0,"",SUMIFS(BD!$Y$3:$Y$5001,BD!$B$3:$B$5001,L$173,BD!$A$3:$A$5001,_xlfn.MAXIFS(BD!$A$3:$A$5001,BD!$B$3:$B$5001,L$173,BD!$A$3:$A$5001,"&gt;="&amp;$C$7,BD!$A$3:$A$5001,"&lt;="&amp;$B193,BD!$Y$3:$Y$5001,"&lt;&gt;"))))</f>
        <v/>
      </c>
    </row>
    <row r="194">
      <c r="A194" s="40">
        <v>21</v>
      </c>
      <c r="B194" s="41">
        <f>$B$32</f>
        <v>46316</v>
      </c>
      <c r="C194" s="42" t="str">
        <f>IF(OR($B194="",$A194&gt;$B$9),"",IF(COUNTIFS(BD!$B$3:$B$5001,C$173,BD!$A$3:$A$5001,"&gt;="&amp;$C$7,BD!$A$3:$A$5001,"&lt;="&amp;$B194,BD!$Y$3:$Y$5001,"&lt;&gt;")=0,"",SUMIFS(BD!$Y$3:$Y$5001,BD!$B$3:$B$5001,C$173,BD!$A$3:$A$5001,_xlfn.MAXIFS(BD!$A$3:$A$5001,BD!$B$3:$B$5001,C$173,BD!$A$3:$A$5001,"&gt;="&amp;$C$7,BD!$A$3:$A$5001,"&lt;="&amp;$B194,BD!$Y$3:$Y$5001,"&lt;&gt;"))))</f>
        <v/>
      </c>
      <c r="D194" s="42" t="str">
        <f>IF(OR($B194="",$A194&gt;$B$9),"",IF(COUNTIFS(BD!$B$3:$B$5001,D$173,BD!$A$3:$A$5001,"&gt;="&amp;$C$7,BD!$A$3:$A$5001,"&lt;="&amp;$B194,BD!$Y$3:$Y$5001,"&lt;&gt;")=0,"",SUMIFS(BD!$Y$3:$Y$5001,BD!$B$3:$B$5001,D$173,BD!$A$3:$A$5001,_xlfn.MAXIFS(BD!$A$3:$A$5001,BD!$B$3:$B$5001,D$173,BD!$A$3:$A$5001,"&gt;="&amp;$C$7,BD!$A$3:$A$5001,"&lt;="&amp;$B194,BD!$Y$3:$Y$5001,"&lt;&gt;"))))</f>
        <v/>
      </c>
      <c r="E194" s="42" t="str">
        <f>IF(OR($B194="",$A194&gt;$B$9),"",IF(COUNTIFS(BD!$B$3:$B$5001,E$173,BD!$A$3:$A$5001,"&gt;="&amp;$C$7,BD!$A$3:$A$5001,"&lt;="&amp;$B194,BD!$Y$3:$Y$5001,"&lt;&gt;")=0,"",SUMIFS(BD!$Y$3:$Y$5001,BD!$B$3:$B$5001,E$173,BD!$A$3:$A$5001,_xlfn.MAXIFS(BD!$A$3:$A$5001,BD!$B$3:$B$5001,E$173,BD!$A$3:$A$5001,"&gt;="&amp;$C$7,BD!$A$3:$A$5001,"&lt;="&amp;$B194,BD!$Y$3:$Y$5001,"&lt;&gt;"))))</f>
        <v/>
      </c>
      <c r="F194" s="42" t="str">
        <f>IF(OR($B194="",$A194&gt;$B$9),"",IF(COUNTIFS(BD!$B$3:$B$5001,F$173,BD!$A$3:$A$5001,"&gt;="&amp;$C$7,BD!$A$3:$A$5001,"&lt;="&amp;$B194,BD!$Y$3:$Y$5001,"&lt;&gt;")=0,"",SUMIFS(BD!$Y$3:$Y$5001,BD!$B$3:$B$5001,F$173,BD!$A$3:$A$5001,_xlfn.MAXIFS(BD!$A$3:$A$5001,BD!$B$3:$B$5001,F$173,BD!$A$3:$A$5001,"&gt;="&amp;$C$7,BD!$A$3:$A$5001,"&lt;="&amp;$B194,BD!$Y$3:$Y$5001,"&lt;&gt;"))))</f>
        <v/>
      </c>
      <c r="G194" s="42" t="str">
        <f>IF(OR($B194="",$A194&gt;$B$9),"",IF(COUNTIFS(BD!$B$3:$B$5001,G$173,BD!$A$3:$A$5001,"&gt;="&amp;$C$7,BD!$A$3:$A$5001,"&lt;="&amp;$B194,BD!$Y$3:$Y$5001,"&lt;&gt;")=0,"",SUMIFS(BD!$Y$3:$Y$5001,BD!$B$3:$B$5001,G$173,BD!$A$3:$A$5001,_xlfn.MAXIFS(BD!$A$3:$A$5001,BD!$B$3:$B$5001,G$173,BD!$A$3:$A$5001,"&gt;="&amp;$C$7,BD!$A$3:$A$5001,"&lt;="&amp;$B194,BD!$Y$3:$Y$5001,"&lt;&gt;"))))</f>
        <v/>
      </c>
      <c r="H194" s="42" t="str">
        <f>IF(OR($B194="",$A194&gt;$B$9),"",IF(COUNTIFS(BD!$B$3:$B$5001,H$173,BD!$A$3:$A$5001,"&gt;="&amp;$C$7,BD!$A$3:$A$5001,"&lt;="&amp;$B194,BD!$Y$3:$Y$5001,"&lt;&gt;")=0,"",SUMIFS(BD!$Y$3:$Y$5001,BD!$B$3:$B$5001,H$173,BD!$A$3:$A$5001,_xlfn.MAXIFS(BD!$A$3:$A$5001,BD!$B$3:$B$5001,H$173,BD!$A$3:$A$5001,"&gt;="&amp;$C$7,BD!$A$3:$A$5001,"&lt;="&amp;$B194,BD!$Y$3:$Y$5001,"&lt;&gt;"))))</f>
        <v/>
      </c>
      <c r="I194" s="42" t="str">
        <f>IF(OR($B194="",$A194&gt;$B$9),"",IF(COUNTIFS(BD!$B$3:$B$5001,I$173,BD!$A$3:$A$5001,"&gt;="&amp;$C$7,BD!$A$3:$A$5001,"&lt;="&amp;$B194,BD!$Y$3:$Y$5001,"&lt;&gt;")=0,"",SUMIFS(BD!$Y$3:$Y$5001,BD!$B$3:$B$5001,I$173,BD!$A$3:$A$5001,_xlfn.MAXIFS(BD!$A$3:$A$5001,BD!$B$3:$B$5001,I$173,BD!$A$3:$A$5001,"&gt;="&amp;$C$7,BD!$A$3:$A$5001,"&lt;="&amp;$B194,BD!$Y$3:$Y$5001,"&lt;&gt;"))))</f>
        <v/>
      </c>
      <c r="J194" s="42" t="str">
        <f>IF(OR($B194="",$A194&gt;$B$9),"",IF(COUNTIFS(BD!$B$3:$B$5001,J$173,BD!$A$3:$A$5001,"&gt;="&amp;$C$7,BD!$A$3:$A$5001,"&lt;="&amp;$B194,BD!$Y$3:$Y$5001,"&lt;&gt;")=0,"",SUMIFS(BD!$Y$3:$Y$5001,BD!$B$3:$B$5001,J$173,BD!$A$3:$A$5001,_xlfn.MAXIFS(BD!$A$3:$A$5001,BD!$B$3:$B$5001,J$173,BD!$A$3:$A$5001,"&gt;="&amp;$C$7,BD!$A$3:$A$5001,"&lt;="&amp;$B194,BD!$Y$3:$Y$5001,"&lt;&gt;"))))</f>
        <v/>
      </c>
      <c r="K194" s="42" t="str">
        <f>IF(OR($B194="",$A194&gt;$B$9),"",IF(COUNTIFS(BD!$B$3:$B$5001,K$173,BD!$A$3:$A$5001,"&gt;="&amp;$C$7,BD!$A$3:$A$5001,"&lt;="&amp;$B194,BD!$Y$3:$Y$5001,"&lt;&gt;")=0,"",SUMIFS(BD!$Y$3:$Y$5001,BD!$B$3:$B$5001,K$173,BD!$A$3:$A$5001,_xlfn.MAXIFS(BD!$A$3:$A$5001,BD!$B$3:$B$5001,K$173,BD!$A$3:$A$5001,"&gt;="&amp;$C$7,BD!$A$3:$A$5001,"&lt;="&amp;$B194,BD!$Y$3:$Y$5001,"&lt;&gt;"))))</f>
        <v/>
      </c>
      <c r="L194" s="42" t="str">
        <f>IF(OR($B194="",$A194&gt;$B$9),"",IF(COUNTIFS(BD!$B$3:$B$5001,L$173,BD!$A$3:$A$5001,"&gt;="&amp;$C$7,BD!$A$3:$A$5001,"&lt;="&amp;$B194,BD!$Y$3:$Y$5001,"&lt;&gt;")=0,"",SUMIFS(BD!$Y$3:$Y$5001,BD!$B$3:$B$5001,L$173,BD!$A$3:$A$5001,_xlfn.MAXIFS(BD!$A$3:$A$5001,BD!$B$3:$B$5001,L$173,BD!$A$3:$A$5001,"&gt;="&amp;$C$7,BD!$A$3:$A$5001,"&lt;="&amp;$B194,BD!$Y$3:$Y$5001,"&lt;&gt;"))))</f>
        <v/>
      </c>
    </row>
    <row r="195">
      <c r="A195" s="40">
        <v>22</v>
      </c>
      <c r="B195" s="41">
        <f>$B$33</f>
        <v>46317</v>
      </c>
      <c r="C195" s="42" t="str">
        <f>IF(OR($B195="",$A195&gt;$B$9),"",IF(COUNTIFS(BD!$B$3:$B$5001,C$173,BD!$A$3:$A$5001,"&gt;="&amp;$C$7,BD!$A$3:$A$5001,"&lt;="&amp;$B195,BD!$Y$3:$Y$5001,"&lt;&gt;")=0,"",SUMIFS(BD!$Y$3:$Y$5001,BD!$B$3:$B$5001,C$173,BD!$A$3:$A$5001,_xlfn.MAXIFS(BD!$A$3:$A$5001,BD!$B$3:$B$5001,C$173,BD!$A$3:$A$5001,"&gt;="&amp;$C$7,BD!$A$3:$A$5001,"&lt;="&amp;$B195,BD!$Y$3:$Y$5001,"&lt;&gt;"))))</f>
        <v/>
      </c>
      <c r="D195" s="42" t="str">
        <f>IF(OR($B195="",$A195&gt;$B$9),"",IF(COUNTIFS(BD!$B$3:$B$5001,D$173,BD!$A$3:$A$5001,"&gt;="&amp;$C$7,BD!$A$3:$A$5001,"&lt;="&amp;$B195,BD!$Y$3:$Y$5001,"&lt;&gt;")=0,"",SUMIFS(BD!$Y$3:$Y$5001,BD!$B$3:$B$5001,D$173,BD!$A$3:$A$5001,_xlfn.MAXIFS(BD!$A$3:$A$5001,BD!$B$3:$B$5001,D$173,BD!$A$3:$A$5001,"&gt;="&amp;$C$7,BD!$A$3:$A$5001,"&lt;="&amp;$B195,BD!$Y$3:$Y$5001,"&lt;&gt;"))))</f>
        <v/>
      </c>
      <c r="E195" s="42" t="str">
        <f>IF(OR($B195="",$A195&gt;$B$9),"",IF(COUNTIFS(BD!$B$3:$B$5001,E$173,BD!$A$3:$A$5001,"&gt;="&amp;$C$7,BD!$A$3:$A$5001,"&lt;="&amp;$B195,BD!$Y$3:$Y$5001,"&lt;&gt;")=0,"",SUMIFS(BD!$Y$3:$Y$5001,BD!$B$3:$B$5001,E$173,BD!$A$3:$A$5001,_xlfn.MAXIFS(BD!$A$3:$A$5001,BD!$B$3:$B$5001,E$173,BD!$A$3:$A$5001,"&gt;="&amp;$C$7,BD!$A$3:$A$5001,"&lt;="&amp;$B195,BD!$Y$3:$Y$5001,"&lt;&gt;"))))</f>
        <v/>
      </c>
      <c r="F195" s="42" t="str">
        <f>IF(OR($B195="",$A195&gt;$B$9),"",IF(COUNTIFS(BD!$B$3:$B$5001,F$173,BD!$A$3:$A$5001,"&gt;="&amp;$C$7,BD!$A$3:$A$5001,"&lt;="&amp;$B195,BD!$Y$3:$Y$5001,"&lt;&gt;")=0,"",SUMIFS(BD!$Y$3:$Y$5001,BD!$B$3:$B$5001,F$173,BD!$A$3:$A$5001,_xlfn.MAXIFS(BD!$A$3:$A$5001,BD!$B$3:$B$5001,F$173,BD!$A$3:$A$5001,"&gt;="&amp;$C$7,BD!$A$3:$A$5001,"&lt;="&amp;$B195,BD!$Y$3:$Y$5001,"&lt;&gt;"))))</f>
        <v/>
      </c>
      <c r="G195" s="42" t="str">
        <f>IF(OR($B195="",$A195&gt;$B$9),"",IF(COUNTIFS(BD!$B$3:$B$5001,G$173,BD!$A$3:$A$5001,"&gt;="&amp;$C$7,BD!$A$3:$A$5001,"&lt;="&amp;$B195,BD!$Y$3:$Y$5001,"&lt;&gt;")=0,"",SUMIFS(BD!$Y$3:$Y$5001,BD!$B$3:$B$5001,G$173,BD!$A$3:$A$5001,_xlfn.MAXIFS(BD!$A$3:$A$5001,BD!$B$3:$B$5001,G$173,BD!$A$3:$A$5001,"&gt;="&amp;$C$7,BD!$A$3:$A$5001,"&lt;="&amp;$B195,BD!$Y$3:$Y$5001,"&lt;&gt;"))))</f>
        <v/>
      </c>
      <c r="H195" s="42" t="str">
        <f>IF(OR($B195="",$A195&gt;$B$9),"",IF(COUNTIFS(BD!$B$3:$B$5001,H$173,BD!$A$3:$A$5001,"&gt;="&amp;$C$7,BD!$A$3:$A$5001,"&lt;="&amp;$B195,BD!$Y$3:$Y$5001,"&lt;&gt;")=0,"",SUMIFS(BD!$Y$3:$Y$5001,BD!$B$3:$B$5001,H$173,BD!$A$3:$A$5001,_xlfn.MAXIFS(BD!$A$3:$A$5001,BD!$B$3:$B$5001,H$173,BD!$A$3:$A$5001,"&gt;="&amp;$C$7,BD!$A$3:$A$5001,"&lt;="&amp;$B195,BD!$Y$3:$Y$5001,"&lt;&gt;"))))</f>
        <v/>
      </c>
      <c r="I195" s="42" t="str">
        <f>IF(OR($B195="",$A195&gt;$B$9),"",IF(COUNTIFS(BD!$B$3:$B$5001,I$173,BD!$A$3:$A$5001,"&gt;="&amp;$C$7,BD!$A$3:$A$5001,"&lt;="&amp;$B195,BD!$Y$3:$Y$5001,"&lt;&gt;")=0,"",SUMIFS(BD!$Y$3:$Y$5001,BD!$B$3:$B$5001,I$173,BD!$A$3:$A$5001,_xlfn.MAXIFS(BD!$A$3:$A$5001,BD!$B$3:$B$5001,I$173,BD!$A$3:$A$5001,"&gt;="&amp;$C$7,BD!$A$3:$A$5001,"&lt;="&amp;$B195,BD!$Y$3:$Y$5001,"&lt;&gt;"))))</f>
        <v/>
      </c>
      <c r="J195" s="42" t="str">
        <f>IF(OR($B195="",$A195&gt;$B$9),"",IF(COUNTIFS(BD!$B$3:$B$5001,J$173,BD!$A$3:$A$5001,"&gt;="&amp;$C$7,BD!$A$3:$A$5001,"&lt;="&amp;$B195,BD!$Y$3:$Y$5001,"&lt;&gt;")=0,"",SUMIFS(BD!$Y$3:$Y$5001,BD!$B$3:$B$5001,J$173,BD!$A$3:$A$5001,_xlfn.MAXIFS(BD!$A$3:$A$5001,BD!$B$3:$B$5001,J$173,BD!$A$3:$A$5001,"&gt;="&amp;$C$7,BD!$A$3:$A$5001,"&lt;="&amp;$B195,BD!$Y$3:$Y$5001,"&lt;&gt;"))))</f>
        <v/>
      </c>
      <c r="K195" s="42" t="str">
        <f>IF(OR($B195="",$A195&gt;$B$9),"",IF(COUNTIFS(BD!$B$3:$B$5001,K$173,BD!$A$3:$A$5001,"&gt;="&amp;$C$7,BD!$A$3:$A$5001,"&lt;="&amp;$B195,BD!$Y$3:$Y$5001,"&lt;&gt;")=0,"",SUMIFS(BD!$Y$3:$Y$5001,BD!$B$3:$B$5001,K$173,BD!$A$3:$A$5001,_xlfn.MAXIFS(BD!$A$3:$A$5001,BD!$B$3:$B$5001,K$173,BD!$A$3:$A$5001,"&gt;="&amp;$C$7,BD!$A$3:$A$5001,"&lt;="&amp;$B195,BD!$Y$3:$Y$5001,"&lt;&gt;"))))</f>
        <v/>
      </c>
      <c r="L195" s="42" t="str">
        <f>IF(OR($B195="",$A195&gt;$B$9),"",IF(COUNTIFS(BD!$B$3:$B$5001,L$173,BD!$A$3:$A$5001,"&gt;="&amp;$C$7,BD!$A$3:$A$5001,"&lt;="&amp;$B195,BD!$Y$3:$Y$5001,"&lt;&gt;")=0,"",SUMIFS(BD!$Y$3:$Y$5001,BD!$B$3:$B$5001,L$173,BD!$A$3:$A$5001,_xlfn.MAXIFS(BD!$A$3:$A$5001,BD!$B$3:$B$5001,L$173,BD!$A$3:$A$5001,"&gt;="&amp;$C$7,BD!$A$3:$A$5001,"&lt;="&amp;$B195,BD!$Y$3:$Y$5001,"&lt;&gt;"))))</f>
        <v/>
      </c>
    </row>
    <row r="196">
      <c r="A196" s="40">
        <v>23</v>
      </c>
      <c r="B196" s="41">
        <f>$B$34</f>
        <v>46318</v>
      </c>
      <c r="C196" s="42" t="str">
        <f>IF(OR($B196="",$A196&gt;$B$9),"",IF(COUNTIFS(BD!$B$3:$B$5001,C$173,BD!$A$3:$A$5001,"&gt;="&amp;$C$7,BD!$A$3:$A$5001,"&lt;="&amp;$B196,BD!$Y$3:$Y$5001,"&lt;&gt;")=0,"",SUMIFS(BD!$Y$3:$Y$5001,BD!$B$3:$B$5001,C$173,BD!$A$3:$A$5001,_xlfn.MAXIFS(BD!$A$3:$A$5001,BD!$B$3:$B$5001,C$173,BD!$A$3:$A$5001,"&gt;="&amp;$C$7,BD!$A$3:$A$5001,"&lt;="&amp;$B196,BD!$Y$3:$Y$5001,"&lt;&gt;"))))</f>
        <v/>
      </c>
      <c r="D196" s="42" t="str">
        <f>IF(OR($B196="",$A196&gt;$B$9),"",IF(COUNTIFS(BD!$B$3:$B$5001,D$173,BD!$A$3:$A$5001,"&gt;="&amp;$C$7,BD!$A$3:$A$5001,"&lt;="&amp;$B196,BD!$Y$3:$Y$5001,"&lt;&gt;")=0,"",SUMIFS(BD!$Y$3:$Y$5001,BD!$B$3:$B$5001,D$173,BD!$A$3:$A$5001,_xlfn.MAXIFS(BD!$A$3:$A$5001,BD!$B$3:$B$5001,D$173,BD!$A$3:$A$5001,"&gt;="&amp;$C$7,BD!$A$3:$A$5001,"&lt;="&amp;$B196,BD!$Y$3:$Y$5001,"&lt;&gt;"))))</f>
        <v/>
      </c>
      <c r="E196" s="42" t="str">
        <f>IF(OR($B196="",$A196&gt;$B$9),"",IF(COUNTIFS(BD!$B$3:$B$5001,E$173,BD!$A$3:$A$5001,"&gt;="&amp;$C$7,BD!$A$3:$A$5001,"&lt;="&amp;$B196,BD!$Y$3:$Y$5001,"&lt;&gt;")=0,"",SUMIFS(BD!$Y$3:$Y$5001,BD!$B$3:$B$5001,E$173,BD!$A$3:$A$5001,_xlfn.MAXIFS(BD!$A$3:$A$5001,BD!$B$3:$B$5001,E$173,BD!$A$3:$A$5001,"&gt;="&amp;$C$7,BD!$A$3:$A$5001,"&lt;="&amp;$B196,BD!$Y$3:$Y$5001,"&lt;&gt;"))))</f>
        <v/>
      </c>
      <c r="F196" s="42" t="str">
        <f>IF(OR($B196="",$A196&gt;$B$9),"",IF(COUNTIFS(BD!$B$3:$B$5001,F$173,BD!$A$3:$A$5001,"&gt;="&amp;$C$7,BD!$A$3:$A$5001,"&lt;="&amp;$B196,BD!$Y$3:$Y$5001,"&lt;&gt;")=0,"",SUMIFS(BD!$Y$3:$Y$5001,BD!$B$3:$B$5001,F$173,BD!$A$3:$A$5001,_xlfn.MAXIFS(BD!$A$3:$A$5001,BD!$B$3:$B$5001,F$173,BD!$A$3:$A$5001,"&gt;="&amp;$C$7,BD!$A$3:$A$5001,"&lt;="&amp;$B196,BD!$Y$3:$Y$5001,"&lt;&gt;"))))</f>
        <v/>
      </c>
      <c r="G196" s="42" t="str">
        <f>IF(OR($B196="",$A196&gt;$B$9),"",IF(COUNTIFS(BD!$B$3:$B$5001,G$173,BD!$A$3:$A$5001,"&gt;="&amp;$C$7,BD!$A$3:$A$5001,"&lt;="&amp;$B196,BD!$Y$3:$Y$5001,"&lt;&gt;")=0,"",SUMIFS(BD!$Y$3:$Y$5001,BD!$B$3:$B$5001,G$173,BD!$A$3:$A$5001,_xlfn.MAXIFS(BD!$A$3:$A$5001,BD!$B$3:$B$5001,G$173,BD!$A$3:$A$5001,"&gt;="&amp;$C$7,BD!$A$3:$A$5001,"&lt;="&amp;$B196,BD!$Y$3:$Y$5001,"&lt;&gt;"))))</f>
        <v/>
      </c>
      <c r="H196" s="42" t="str">
        <f>IF(OR($B196="",$A196&gt;$B$9),"",IF(COUNTIFS(BD!$B$3:$B$5001,H$173,BD!$A$3:$A$5001,"&gt;="&amp;$C$7,BD!$A$3:$A$5001,"&lt;="&amp;$B196,BD!$Y$3:$Y$5001,"&lt;&gt;")=0,"",SUMIFS(BD!$Y$3:$Y$5001,BD!$B$3:$B$5001,H$173,BD!$A$3:$A$5001,_xlfn.MAXIFS(BD!$A$3:$A$5001,BD!$B$3:$B$5001,H$173,BD!$A$3:$A$5001,"&gt;="&amp;$C$7,BD!$A$3:$A$5001,"&lt;="&amp;$B196,BD!$Y$3:$Y$5001,"&lt;&gt;"))))</f>
        <v/>
      </c>
      <c r="I196" s="42" t="str">
        <f>IF(OR($B196="",$A196&gt;$B$9),"",IF(COUNTIFS(BD!$B$3:$B$5001,I$173,BD!$A$3:$A$5001,"&gt;="&amp;$C$7,BD!$A$3:$A$5001,"&lt;="&amp;$B196,BD!$Y$3:$Y$5001,"&lt;&gt;")=0,"",SUMIFS(BD!$Y$3:$Y$5001,BD!$B$3:$B$5001,I$173,BD!$A$3:$A$5001,_xlfn.MAXIFS(BD!$A$3:$A$5001,BD!$B$3:$B$5001,I$173,BD!$A$3:$A$5001,"&gt;="&amp;$C$7,BD!$A$3:$A$5001,"&lt;="&amp;$B196,BD!$Y$3:$Y$5001,"&lt;&gt;"))))</f>
        <v/>
      </c>
      <c r="J196" s="42" t="str">
        <f>IF(OR($B196="",$A196&gt;$B$9),"",IF(COUNTIFS(BD!$B$3:$B$5001,J$173,BD!$A$3:$A$5001,"&gt;="&amp;$C$7,BD!$A$3:$A$5001,"&lt;="&amp;$B196,BD!$Y$3:$Y$5001,"&lt;&gt;")=0,"",SUMIFS(BD!$Y$3:$Y$5001,BD!$B$3:$B$5001,J$173,BD!$A$3:$A$5001,_xlfn.MAXIFS(BD!$A$3:$A$5001,BD!$B$3:$B$5001,J$173,BD!$A$3:$A$5001,"&gt;="&amp;$C$7,BD!$A$3:$A$5001,"&lt;="&amp;$B196,BD!$Y$3:$Y$5001,"&lt;&gt;"))))</f>
        <v/>
      </c>
      <c r="K196" s="42" t="str">
        <f>IF(OR($B196="",$A196&gt;$B$9),"",IF(COUNTIFS(BD!$B$3:$B$5001,K$173,BD!$A$3:$A$5001,"&gt;="&amp;$C$7,BD!$A$3:$A$5001,"&lt;="&amp;$B196,BD!$Y$3:$Y$5001,"&lt;&gt;")=0,"",SUMIFS(BD!$Y$3:$Y$5001,BD!$B$3:$B$5001,K$173,BD!$A$3:$A$5001,_xlfn.MAXIFS(BD!$A$3:$A$5001,BD!$B$3:$B$5001,K$173,BD!$A$3:$A$5001,"&gt;="&amp;$C$7,BD!$A$3:$A$5001,"&lt;="&amp;$B196,BD!$Y$3:$Y$5001,"&lt;&gt;"))))</f>
        <v/>
      </c>
      <c r="L196" s="42" t="str">
        <f>IF(OR($B196="",$A196&gt;$B$9),"",IF(COUNTIFS(BD!$B$3:$B$5001,L$173,BD!$A$3:$A$5001,"&gt;="&amp;$C$7,BD!$A$3:$A$5001,"&lt;="&amp;$B196,BD!$Y$3:$Y$5001,"&lt;&gt;")=0,"",SUMIFS(BD!$Y$3:$Y$5001,BD!$B$3:$B$5001,L$173,BD!$A$3:$A$5001,_xlfn.MAXIFS(BD!$A$3:$A$5001,BD!$B$3:$B$5001,L$173,BD!$A$3:$A$5001,"&gt;="&amp;$C$7,BD!$A$3:$A$5001,"&lt;="&amp;$B196,BD!$Y$3:$Y$5001,"&lt;&gt;"))))</f>
        <v/>
      </c>
    </row>
    <row r="197">
      <c r="A197" s="40">
        <v>24</v>
      </c>
      <c r="B197" s="41">
        <f>$B$35</f>
        <v>46319</v>
      </c>
      <c r="C197" s="42" t="str">
        <f>IF(OR($B197="",$A197&gt;$B$9),"",IF(COUNTIFS(BD!$B$3:$B$5001,C$173,BD!$A$3:$A$5001,"&gt;="&amp;$C$7,BD!$A$3:$A$5001,"&lt;="&amp;$B197,BD!$Y$3:$Y$5001,"&lt;&gt;")=0,"",SUMIFS(BD!$Y$3:$Y$5001,BD!$B$3:$B$5001,C$173,BD!$A$3:$A$5001,_xlfn.MAXIFS(BD!$A$3:$A$5001,BD!$B$3:$B$5001,C$173,BD!$A$3:$A$5001,"&gt;="&amp;$C$7,BD!$A$3:$A$5001,"&lt;="&amp;$B197,BD!$Y$3:$Y$5001,"&lt;&gt;"))))</f>
        <v/>
      </c>
      <c r="D197" s="42" t="str">
        <f>IF(OR($B197="",$A197&gt;$B$9),"",IF(COUNTIFS(BD!$B$3:$B$5001,D$173,BD!$A$3:$A$5001,"&gt;="&amp;$C$7,BD!$A$3:$A$5001,"&lt;="&amp;$B197,BD!$Y$3:$Y$5001,"&lt;&gt;")=0,"",SUMIFS(BD!$Y$3:$Y$5001,BD!$B$3:$B$5001,D$173,BD!$A$3:$A$5001,_xlfn.MAXIFS(BD!$A$3:$A$5001,BD!$B$3:$B$5001,D$173,BD!$A$3:$A$5001,"&gt;="&amp;$C$7,BD!$A$3:$A$5001,"&lt;="&amp;$B197,BD!$Y$3:$Y$5001,"&lt;&gt;"))))</f>
        <v/>
      </c>
      <c r="E197" s="42" t="str">
        <f>IF(OR($B197="",$A197&gt;$B$9),"",IF(COUNTIFS(BD!$B$3:$B$5001,E$173,BD!$A$3:$A$5001,"&gt;="&amp;$C$7,BD!$A$3:$A$5001,"&lt;="&amp;$B197,BD!$Y$3:$Y$5001,"&lt;&gt;")=0,"",SUMIFS(BD!$Y$3:$Y$5001,BD!$B$3:$B$5001,E$173,BD!$A$3:$A$5001,_xlfn.MAXIFS(BD!$A$3:$A$5001,BD!$B$3:$B$5001,E$173,BD!$A$3:$A$5001,"&gt;="&amp;$C$7,BD!$A$3:$A$5001,"&lt;="&amp;$B197,BD!$Y$3:$Y$5001,"&lt;&gt;"))))</f>
        <v/>
      </c>
      <c r="F197" s="42" t="str">
        <f>IF(OR($B197="",$A197&gt;$B$9),"",IF(COUNTIFS(BD!$B$3:$B$5001,F$173,BD!$A$3:$A$5001,"&gt;="&amp;$C$7,BD!$A$3:$A$5001,"&lt;="&amp;$B197,BD!$Y$3:$Y$5001,"&lt;&gt;")=0,"",SUMIFS(BD!$Y$3:$Y$5001,BD!$B$3:$B$5001,F$173,BD!$A$3:$A$5001,_xlfn.MAXIFS(BD!$A$3:$A$5001,BD!$B$3:$B$5001,F$173,BD!$A$3:$A$5001,"&gt;="&amp;$C$7,BD!$A$3:$A$5001,"&lt;="&amp;$B197,BD!$Y$3:$Y$5001,"&lt;&gt;"))))</f>
        <v/>
      </c>
      <c r="G197" s="42" t="str">
        <f>IF(OR($B197="",$A197&gt;$B$9),"",IF(COUNTIFS(BD!$B$3:$B$5001,G$173,BD!$A$3:$A$5001,"&gt;="&amp;$C$7,BD!$A$3:$A$5001,"&lt;="&amp;$B197,BD!$Y$3:$Y$5001,"&lt;&gt;")=0,"",SUMIFS(BD!$Y$3:$Y$5001,BD!$B$3:$B$5001,G$173,BD!$A$3:$A$5001,_xlfn.MAXIFS(BD!$A$3:$A$5001,BD!$B$3:$B$5001,G$173,BD!$A$3:$A$5001,"&gt;="&amp;$C$7,BD!$A$3:$A$5001,"&lt;="&amp;$B197,BD!$Y$3:$Y$5001,"&lt;&gt;"))))</f>
        <v/>
      </c>
      <c r="H197" s="42" t="str">
        <f>IF(OR($B197="",$A197&gt;$B$9),"",IF(COUNTIFS(BD!$B$3:$B$5001,H$173,BD!$A$3:$A$5001,"&gt;="&amp;$C$7,BD!$A$3:$A$5001,"&lt;="&amp;$B197,BD!$Y$3:$Y$5001,"&lt;&gt;")=0,"",SUMIFS(BD!$Y$3:$Y$5001,BD!$B$3:$B$5001,H$173,BD!$A$3:$A$5001,_xlfn.MAXIFS(BD!$A$3:$A$5001,BD!$B$3:$B$5001,H$173,BD!$A$3:$A$5001,"&gt;="&amp;$C$7,BD!$A$3:$A$5001,"&lt;="&amp;$B197,BD!$Y$3:$Y$5001,"&lt;&gt;"))))</f>
        <v/>
      </c>
      <c r="I197" s="42" t="str">
        <f>IF(OR($B197="",$A197&gt;$B$9),"",IF(COUNTIFS(BD!$B$3:$B$5001,I$173,BD!$A$3:$A$5001,"&gt;="&amp;$C$7,BD!$A$3:$A$5001,"&lt;="&amp;$B197,BD!$Y$3:$Y$5001,"&lt;&gt;")=0,"",SUMIFS(BD!$Y$3:$Y$5001,BD!$B$3:$B$5001,I$173,BD!$A$3:$A$5001,_xlfn.MAXIFS(BD!$A$3:$A$5001,BD!$B$3:$B$5001,I$173,BD!$A$3:$A$5001,"&gt;="&amp;$C$7,BD!$A$3:$A$5001,"&lt;="&amp;$B197,BD!$Y$3:$Y$5001,"&lt;&gt;"))))</f>
        <v/>
      </c>
      <c r="J197" s="42" t="str">
        <f>IF(OR($B197="",$A197&gt;$B$9),"",IF(COUNTIFS(BD!$B$3:$B$5001,J$173,BD!$A$3:$A$5001,"&gt;="&amp;$C$7,BD!$A$3:$A$5001,"&lt;="&amp;$B197,BD!$Y$3:$Y$5001,"&lt;&gt;")=0,"",SUMIFS(BD!$Y$3:$Y$5001,BD!$B$3:$B$5001,J$173,BD!$A$3:$A$5001,_xlfn.MAXIFS(BD!$A$3:$A$5001,BD!$B$3:$B$5001,J$173,BD!$A$3:$A$5001,"&gt;="&amp;$C$7,BD!$A$3:$A$5001,"&lt;="&amp;$B197,BD!$Y$3:$Y$5001,"&lt;&gt;"))))</f>
        <v/>
      </c>
      <c r="K197" s="42" t="str">
        <f>IF(OR($B197="",$A197&gt;$B$9),"",IF(COUNTIFS(BD!$B$3:$B$5001,K$173,BD!$A$3:$A$5001,"&gt;="&amp;$C$7,BD!$A$3:$A$5001,"&lt;="&amp;$B197,BD!$Y$3:$Y$5001,"&lt;&gt;")=0,"",SUMIFS(BD!$Y$3:$Y$5001,BD!$B$3:$B$5001,K$173,BD!$A$3:$A$5001,_xlfn.MAXIFS(BD!$A$3:$A$5001,BD!$B$3:$B$5001,K$173,BD!$A$3:$A$5001,"&gt;="&amp;$C$7,BD!$A$3:$A$5001,"&lt;="&amp;$B197,BD!$Y$3:$Y$5001,"&lt;&gt;"))))</f>
        <v/>
      </c>
      <c r="L197" s="42" t="str">
        <f>IF(OR($B197="",$A197&gt;$B$9),"",IF(COUNTIFS(BD!$B$3:$B$5001,L$173,BD!$A$3:$A$5001,"&gt;="&amp;$C$7,BD!$A$3:$A$5001,"&lt;="&amp;$B197,BD!$Y$3:$Y$5001,"&lt;&gt;")=0,"",SUMIFS(BD!$Y$3:$Y$5001,BD!$B$3:$B$5001,L$173,BD!$A$3:$A$5001,_xlfn.MAXIFS(BD!$A$3:$A$5001,BD!$B$3:$B$5001,L$173,BD!$A$3:$A$5001,"&gt;="&amp;$C$7,BD!$A$3:$A$5001,"&lt;="&amp;$B197,BD!$Y$3:$Y$5001,"&lt;&gt;"))))</f>
        <v/>
      </c>
    </row>
    <row r="198">
      <c r="A198" s="40">
        <v>25</v>
      </c>
      <c r="B198" s="41">
        <f>$B$36</f>
        <v>46320</v>
      </c>
      <c r="C198" s="42" t="str">
        <f>IF(OR($B198="",$A198&gt;$B$9),"",IF(COUNTIFS(BD!$B$3:$B$5001,C$173,BD!$A$3:$A$5001,"&gt;="&amp;$C$7,BD!$A$3:$A$5001,"&lt;="&amp;$B198,BD!$Y$3:$Y$5001,"&lt;&gt;")=0,"",SUMIFS(BD!$Y$3:$Y$5001,BD!$B$3:$B$5001,C$173,BD!$A$3:$A$5001,_xlfn.MAXIFS(BD!$A$3:$A$5001,BD!$B$3:$B$5001,C$173,BD!$A$3:$A$5001,"&gt;="&amp;$C$7,BD!$A$3:$A$5001,"&lt;="&amp;$B198,BD!$Y$3:$Y$5001,"&lt;&gt;"))))</f>
        <v/>
      </c>
      <c r="D198" s="42" t="str">
        <f>IF(OR($B198="",$A198&gt;$B$9),"",IF(COUNTIFS(BD!$B$3:$B$5001,D$173,BD!$A$3:$A$5001,"&gt;="&amp;$C$7,BD!$A$3:$A$5001,"&lt;="&amp;$B198,BD!$Y$3:$Y$5001,"&lt;&gt;")=0,"",SUMIFS(BD!$Y$3:$Y$5001,BD!$B$3:$B$5001,D$173,BD!$A$3:$A$5001,_xlfn.MAXIFS(BD!$A$3:$A$5001,BD!$B$3:$B$5001,D$173,BD!$A$3:$A$5001,"&gt;="&amp;$C$7,BD!$A$3:$A$5001,"&lt;="&amp;$B198,BD!$Y$3:$Y$5001,"&lt;&gt;"))))</f>
        <v/>
      </c>
      <c r="E198" s="42" t="str">
        <f>IF(OR($B198="",$A198&gt;$B$9),"",IF(COUNTIFS(BD!$B$3:$B$5001,E$173,BD!$A$3:$A$5001,"&gt;="&amp;$C$7,BD!$A$3:$A$5001,"&lt;="&amp;$B198,BD!$Y$3:$Y$5001,"&lt;&gt;")=0,"",SUMIFS(BD!$Y$3:$Y$5001,BD!$B$3:$B$5001,E$173,BD!$A$3:$A$5001,_xlfn.MAXIFS(BD!$A$3:$A$5001,BD!$B$3:$B$5001,E$173,BD!$A$3:$A$5001,"&gt;="&amp;$C$7,BD!$A$3:$A$5001,"&lt;="&amp;$B198,BD!$Y$3:$Y$5001,"&lt;&gt;"))))</f>
        <v/>
      </c>
      <c r="F198" s="42" t="str">
        <f>IF(OR($B198="",$A198&gt;$B$9),"",IF(COUNTIFS(BD!$B$3:$B$5001,F$173,BD!$A$3:$A$5001,"&gt;="&amp;$C$7,BD!$A$3:$A$5001,"&lt;="&amp;$B198,BD!$Y$3:$Y$5001,"&lt;&gt;")=0,"",SUMIFS(BD!$Y$3:$Y$5001,BD!$B$3:$B$5001,F$173,BD!$A$3:$A$5001,_xlfn.MAXIFS(BD!$A$3:$A$5001,BD!$B$3:$B$5001,F$173,BD!$A$3:$A$5001,"&gt;="&amp;$C$7,BD!$A$3:$A$5001,"&lt;="&amp;$B198,BD!$Y$3:$Y$5001,"&lt;&gt;"))))</f>
        <v/>
      </c>
      <c r="G198" s="42" t="str">
        <f>IF(OR($B198="",$A198&gt;$B$9),"",IF(COUNTIFS(BD!$B$3:$B$5001,G$173,BD!$A$3:$A$5001,"&gt;="&amp;$C$7,BD!$A$3:$A$5001,"&lt;="&amp;$B198,BD!$Y$3:$Y$5001,"&lt;&gt;")=0,"",SUMIFS(BD!$Y$3:$Y$5001,BD!$B$3:$B$5001,G$173,BD!$A$3:$A$5001,_xlfn.MAXIFS(BD!$A$3:$A$5001,BD!$B$3:$B$5001,G$173,BD!$A$3:$A$5001,"&gt;="&amp;$C$7,BD!$A$3:$A$5001,"&lt;="&amp;$B198,BD!$Y$3:$Y$5001,"&lt;&gt;"))))</f>
        <v/>
      </c>
      <c r="H198" s="42" t="str">
        <f>IF(OR($B198="",$A198&gt;$B$9),"",IF(COUNTIFS(BD!$B$3:$B$5001,H$173,BD!$A$3:$A$5001,"&gt;="&amp;$C$7,BD!$A$3:$A$5001,"&lt;="&amp;$B198,BD!$Y$3:$Y$5001,"&lt;&gt;")=0,"",SUMIFS(BD!$Y$3:$Y$5001,BD!$B$3:$B$5001,H$173,BD!$A$3:$A$5001,_xlfn.MAXIFS(BD!$A$3:$A$5001,BD!$B$3:$B$5001,H$173,BD!$A$3:$A$5001,"&gt;="&amp;$C$7,BD!$A$3:$A$5001,"&lt;="&amp;$B198,BD!$Y$3:$Y$5001,"&lt;&gt;"))))</f>
        <v/>
      </c>
      <c r="I198" s="42" t="str">
        <f>IF(OR($B198="",$A198&gt;$B$9),"",IF(COUNTIFS(BD!$B$3:$B$5001,I$173,BD!$A$3:$A$5001,"&gt;="&amp;$C$7,BD!$A$3:$A$5001,"&lt;="&amp;$B198,BD!$Y$3:$Y$5001,"&lt;&gt;")=0,"",SUMIFS(BD!$Y$3:$Y$5001,BD!$B$3:$B$5001,I$173,BD!$A$3:$A$5001,_xlfn.MAXIFS(BD!$A$3:$A$5001,BD!$B$3:$B$5001,I$173,BD!$A$3:$A$5001,"&gt;="&amp;$C$7,BD!$A$3:$A$5001,"&lt;="&amp;$B198,BD!$Y$3:$Y$5001,"&lt;&gt;"))))</f>
        <v/>
      </c>
      <c r="J198" s="42" t="str">
        <f>IF(OR($B198="",$A198&gt;$B$9),"",IF(COUNTIFS(BD!$B$3:$B$5001,J$173,BD!$A$3:$A$5001,"&gt;="&amp;$C$7,BD!$A$3:$A$5001,"&lt;="&amp;$B198,BD!$Y$3:$Y$5001,"&lt;&gt;")=0,"",SUMIFS(BD!$Y$3:$Y$5001,BD!$B$3:$B$5001,J$173,BD!$A$3:$A$5001,_xlfn.MAXIFS(BD!$A$3:$A$5001,BD!$B$3:$B$5001,J$173,BD!$A$3:$A$5001,"&gt;="&amp;$C$7,BD!$A$3:$A$5001,"&lt;="&amp;$B198,BD!$Y$3:$Y$5001,"&lt;&gt;"))))</f>
        <v/>
      </c>
      <c r="K198" s="42" t="str">
        <f>IF(OR($B198="",$A198&gt;$B$9),"",IF(COUNTIFS(BD!$B$3:$B$5001,K$173,BD!$A$3:$A$5001,"&gt;="&amp;$C$7,BD!$A$3:$A$5001,"&lt;="&amp;$B198,BD!$Y$3:$Y$5001,"&lt;&gt;")=0,"",SUMIFS(BD!$Y$3:$Y$5001,BD!$B$3:$B$5001,K$173,BD!$A$3:$A$5001,_xlfn.MAXIFS(BD!$A$3:$A$5001,BD!$B$3:$B$5001,K$173,BD!$A$3:$A$5001,"&gt;="&amp;$C$7,BD!$A$3:$A$5001,"&lt;="&amp;$B198,BD!$Y$3:$Y$5001,"&lt;&gt;"))))</f>
        <v/>
      </c>
      <c r="L198" s="42" t="str">
        <f>IF(OR($B198="",$A198&gt;$B$9),"",IF(COUNTIFS(BD!$B$3:$B$5001,L$173,BD!$A$3:$A$5001,"&gt;="&amp;$C$7,BD!$A$3:$A$5001,"&lt;="&amp;$B198,BD!$Y$3:$Y$5001,"&lt;&gt;")=0,"",SUMIFS(BD!$Y$3:$Y$5001,BD!$B$3:$B$5001,L$173,BD!$A$3:$A$5001,_xlfn.MAXIFS(BD!$A$3:$A$5001,BD!$B$3:$B$5001,L$173,BD!$A$3:$A$5001,"&gt;="&amp;$C$7,BD!$A$3:$A$5001,"&lt;="&amp;$B198,BD!$Y$3:$Y$5001,"&lt;&gt;"))))</f>
        <v/>
      </c>
    </row>
    <row r="199">
      <c r="A199" s="40">
        <v>26</v>
      </c>
      <c r="B199" s="41">
        <f>$B$37</f>
        <v>46321</v>
      </c>
      <c r="C199" s="42" t="str">
        <f>IF(OR($B199="",$A199&gt;$B$9),"",IF(COUNTIFS(BD!$B$3:$B$5001,C$173,BD!$A$3:$A$5001,"&gt;="&amp;$C$7,BD!$A$3:$A$5001,"&lt;="&amp;$B199,BD!$Y$3:$Y$5001,"&lt;&gt;")=0,"",SUMIFS(BD!$Y$3:$Y$5001,BD!$B$3:$B$5001,C$173,BD!$A$3:$A$5001,_xlfn.MAXIFS(BD!$A$3:$A$5001,BD!$B$3:$B$5001,C$173,BD!$A$3:$A$5001,"&gt;="&amp;$C$7,BD!$A$3:$A$5001,"&lt;="&amp;$B199,BD!$Y$3:$Y$5001,"&lt;&gt;"))))</f>
        <v/>
      </c>
      <c r="D199" s="42" t="str">
        <f>IF(OR($B199="",$A199&gt;$B$9),"",IF(COUNTIFS(BD!$B$3:$B$5001,D$173,BD!$A$3:$A$5001,"&gt;="&amp;$C$7,BD!$A$3:$A$5001,"&lt;="&amp;$B199,BD!$Y$3:$Y$5001,"&lt;&gt;")=0,"",SUMIFS(BD!$Y$3:$Y$5001,BD!$B$3:$B$5001,D$173,BD!$A$3:$A$5001,_xlfn.MAXIFS(BD!$A$3:$A$5001,BD!$B$3:$B$5001,D$173,BD!$A$3:$A$5001,"&gt;="&amp;$C$7,BD!$A$3:$A$5001,"&lt;="&amp;$B199,BD!$Y$3:$Y$5001,"&lt;&gt;"))))</f>
        <v/>
      </c>
      <c r="E199" s="42" t="str">
        <f>IF(OR($B199="",$A199&gt;$B$9),"",IF(COUNTIFS(BD!$B$3:$B$5001,E$173,BD!$A$3:$A$5001,"&gt;="&amp;$C$7,BD!$A$3:$A$5001,"&lt;="&amp;$B199,BD!$Y$3:$Y$5001,"&lt;&gt;")=0,"",SUMIFS(BD!$Y$3:$Y$5001,BD!$B$3:$B$5001,E$173,BD!$A$3:$A$5001,_xlfn.MAXIFS(BD!$A$3:$A$5001,BD!$B$3:$B$5001,E$173,BD!$A$3:$A$5001,"&gt;="&amp;$C$7,BD!$A$3:$A$5001,"&lt;="&amp;$B199,BD!$Y$3:$Y$5001,"&lt;&gt;"))))</f>
        <v/>
      </c>
      <c r="F199" s="42" t="str">
        <f>IF(OR($B199="",$A199&gt;$B$9),"",IF(COUNTIFS(BD!$B$3:$B$5001,F$173,BD!$A$3:$A$5001,"&gt;="&amp;$C$7,BD!$A$3:$A$5001,"&lt;="&amp;$B199,BD!$Y$3:$Y$5001,"&lt;&gt;")=0,"",SUMIFS(BD!$Y$3:$Y$5001,BD!$B$3:$B$5001,F$173,BD!$A$3:$A$5001,_xlfn.MAXIFS(BD!$A$3:$A$5001,BD!$B$3:$B$5001,F$173,BD!$A$3:$A$5001,"&gt;="&amp;$C$7,BD!$A$3:$A$5001,"&lt;="&amp;$B199,BD!$Y$3:$Y$5001,"&lt;&gt;"))))</f>
        <v/>
      </c>
      <c r="G199" s="42" t="str">
        <f>IF(OR($B199="",$A199&gt;$B$9),"",IF(COUNTIFS(BD!$B$3:$B$5001,G$173,BD!$A$3:$A$5001,"&gt;="&amp;$C$7,BD!$A$3:$A$5001,"&lt;="&amp;$B199,BD!$Y$3:$Y$5001,"&lt;&gt;")=0,"",SUMIFS(BD!$Y$3:$Y$5001,BD!$B$3:$B$5001,G$173,BD!$A$3:$A$5001,_xlfn.MAXIFS(BD!$A$3:$A$5001,BD!$B$3:$B$5001,G$173,BD!$A$3:$A$5001,"&gt;="&amp;$C$7,BD!$A$3:$A$5001,"&lt;="&amp;$B199,BD!$Y$3:$Y$5001,"&lt;&gt;"))))</f>
        <v/>
      </c>
      <c r="H199" s="42" t="str">
        <f>IF(OR($B199="",$A199&gt;$B$9),"",IF(COUNTIFS(BD!$B$3:$B$5001,H$173,BD!$A$3:$A$5001,"&gt;="&amp;$C$7,BD!$A$3:$A$5001,"&lt;="&amp;$B199,BD!$Y$3:$Y$5001,"&lt;&gt;")=0,"",SUMIFS(BD!$Y$3:$Y$5001,BD!$B$3:$B$5001,H$173,BD!$A$3:$A$5001,_xlfn.MAXIFS(BD!$A$3:$A$5001,BD!$B$3:$B$5001,H$173,BD!$A$3:$A$5001,"&gt;="&amp;$C$7,BD!$A$3:$A$5001,"&lt;="&amp;$B199,BD!$Y$3:$Y$5001,"&lt;&gt;"))))</f>
        <v/>
      </c>
      <c r="I199" s="42" t="str">
        <f>IF(OR($B199="",$A199&gt;$B$9),"",IF(COUNTIFS(BD!$B$3:$B$5001,I$173,BD!$A$3:$A$5001,"&gt;="&amp;$C$7,BD!$A$3:$A$5001,"&lt;="&amp;$B199,BD!$Y$3:$Y$5001,"&lt;&gt;")=0,"",SUMIFS(BD!$Y$3:$Y$5001,BD!$B$3:$B$5001,I$173,BD!$A$3:$A$5001,_xlfn.MAXIFS(BD!$A$3:$A$5001,BD!$B$3:$B$5001,I$173,BD!$A$3:$A$5001,"&gt;="&amp;$C$7,BD!$A$3:$A$5001,"&lt;="&amp;$B199,BD!$Y$3:$Y$5001,"&lt;&gt;"))))</f>
        <v/>
      </c>
      <c r="J199" s="42" t="str">
        <f>IF(OR($B199="",$A199&gt;$B$9),"",IF(COUNTIFS(BD!$B$3:$B$5001,J$173,BD!$A$3:$A$5001,"&gt;="&amp;$C$7,BD!$A$3:$A$5001,"&lt;="&amp;$B199,BD!$Y$3:$Y$5001,"&lt;&gt;")=0,"",SUMIFS(BD!$Y$3:$Y$5001,BD!$B$3:$B$5001,J$173,BD!$A$3:$A$5001,_xlfn.MAXIFS(BD!$A$3:$A$5001,BD!$B$3:$B$5001,J$173,BD!$A$3:$A$5001,"&gt;="&amp;$C$7,BD!$A$3:$A$5001,"&lt;="&amp;$B199,BD!$Y$3:$Y$5001,"&lt;&gt;"))))</f>
        <v/>
      </c>
      <c r="K199" s="42" t="str">
        <f>IF(OR($B199="",$A199&gt;$B$9),"",IF(COUNTIFS(BD!$B$3:$B$5001,K$173,BD!$A$3:$A$5001,"&gt;="&amp;$C$7,BD!$A$3:$A$5001,"&lt;="&amp;$B199,BD!$Y$3:$Y$5001,"&lt;&gt;")=0,"",SUMIFS(BD!$Y$3:$Y$5001,BD!$B$3:$B$5001,K$173,BD!$A$3:$A$5001,_xlfn.MAXIFS(BD!$A$3:$A$5001,BD!$B$3:$B$5001,K$173,BD!$A$3:$A$5001,"&gt;="&amp;$C$7,BD!$A$3:$A$5001,"&lt;="&amp;$B199,BD!$Y$3:$Y$5001,"&lt;&gt;"))))</f>
        <v/>
      </c>
      <c r="L199" s="42" t="str">
        <f>IF(OR($B199="",$A199&gt;$B$9),"",IF(COUNTIFS(BD!$B$3:$B$5001,L$173,BD!$A$3:$A$5001,"&gt;="&amp;$C$7,BD!$A$3:$A$5001,"&lt;="&amp;$B199,BD!$Y$3:$Y$5001,"&lt;&gt;")=0,"",SUMIFS(BD!$Y$3:$Y$5001,BD!$B$3:$B$5001,L$173,BD!$A$3:$A$5001,_xlfn.MAXIFS(BD!$A$3:$A$5001,BD!$B$3:$B$5001,L$173,BD!$A$3:$A$5001,"&gt;="&amp;$C$7,BD!$A$3:$A$5001,"&lt;="&amp;$B199,BD!$Y$3:$Y$5001,"&lt;&gt;"))))</f>
        <v/>
      </c>
    </row>
    <row r="200">
      <c r="A200" s="40">
        <v>27</v>
      </c>
      <c r="B200" s="41">
        <f>$B$38</f>
        <v>46322</v>
      </c>
      <c r="C200" s="42" t="str">
        <f>IF(OR($B200="",$A200&gt;$B$9),"",IF(COUNTIFS(BD!$B$3:$B$5001,C$173,BD!$A$3:$A$5001,"&gt;="&amp;$C$7,BD!$A$3:$A$5001,"&lt;="&amp;$B200,BD!$Y$3:$Y$5001,"&lt;&gt;")=0,"",SUMIFS(BD!$Y$3:$Y$5001,BD!$B$3:$B$5001,C$173,BD!$A$3:$A$5001,_xlfn.MAXIFS(BD!$A$3:$A$5001,BD!$B$3:$B$5001,C$173,BD!$A$3:$A$5001,"&gt;="&amp;$C$7,BD!$A$3:$A$5001,"&lt;="&amp;$B200,BD!$Y$3:$Y$5001,"&lt;&gt;"))))</f>
        <v/>
      </c>
      <c r="D200" s="42" t="str">
        <f>IF(OR($B200="",$A200&gt;$B$9),"",IF(COUNTIFS(BD!$B$3:$B$5001,D$173,BD!$A$3:$A$5001,"&gt;="&amp;$C$7,BD!$A$3:$A$5001,"&lt;="&amp;$B200,BD!$Y$3:$Y$5001,"&lt;&gt;")=0,"",SUMIFS(BD!$Y$3:$Y$5001,BD!$B$3:$B$5001,D$173,BD!$A$3:$A$5001,_xlfn.MAXIFS(BD!$A$3:$A$5001,BD!$B$3:$B$5001,D$173,BD!$A$3:$A$5001,"&gt;="&amp;$C$7,BD!$A$3:$A$5001,"&lt;="&amp;$B200,BD!$Y$3:$Y$5001,"&lt;&gt;"))))</f>
        <v/>
      </c>
      <c r="E200" s="42" t="str">
        <f>IF(OR($B200="",$A200&gt;$B$9),"",IF(COUNTIFS(BD!$B$3:$B$5001,E$173,BD!$A$3:$A$5001,"&gt;="&amp;$C$7,BD!$A$3:$A$5001,"&lt;="&amp;$B200,BD!$Y$3:$Y$5001,"&lt;&gt;")=0,"",SUMIFS(BD!$Y$3:$Y$5001,BD!$B$3:$B$5001,E$173,BD!$A$3:$A$5001,_xlfn.MAXIFS(BD!$A$3:$A$5001,BD!$B$3:$B$5001,E$173,BD!$A$3:$A$5001,"&gt;="&amp;$C$7,BD!$A$3:$A$5001,"&lt;="&amp;$B200,BD!$Y$3:$Y$5001,"&lt;&gt;"))))</f>
        <v/>
      </c>
      <c r="F200" s="42" t="str">
        <f>IF(OR($B200="",$A200&gt;$B$9),"",IF(COUNTIFS(BD!$B$3:$B$5001,F$173,BD!$A$3:$A$5001,"&gt;="&amp;$C$7,BD!$A$3:$A$5001,"&lt;="&amp;$B200,BD!$Y$3:$Y$5001,"&lt;&gt;")=0,"",SUMIFS(BD!$Y$3:$Y$5001,BD!$B$3:$B$5001,F$173,BD!$A$3:$A$5001,_xlfn.MAXIFS(BD!$A$3:$A$5001,BD!$B$3:$B$5001,F$173,BD!$A$3:$A$5001,"&gt;="&amp;$C$7,BD!$A$3:$A$5001,"&lt;="&amp;$B200,BD!$Y$3:$Y$5001,"&lt;&gt;"))))</f>
        <v/>
      </c>
      <c r="G200" s="42" t="str">
        <f>IF(OR($B200="",$A200&gt;$B$9),"",IF(COUNTIFS(BD!$B$3:$B$5001,G$173,BD!$A$3:$A$5001,"&gt;="&amp;$C$7,BD!$A$3:$A$5001,"&lt;="&amp;$B200,BD!$Y$3:$Y$5001,"&lt;&gt;")=0,"",SUMIFS(BD!$Y$3:$Y$5001,BD!$B$3:$B$5001,G$173,BD!$A$3:$A$5001,_xlfn.MAXIFS(BD!$A$3:$A$5001,BD!$B$3:$B$5001,G$173,BD!$A$3:$A$5001,"&gt;="&amp;$C$7,BD!$A$3:$A$5001,"&lt;="&amp;$B200,BD!$Y$3:$Y$5001,"&lt;&gt;"))))</f>
        <v/>
      </c>
      <c r="H200" s="42" t="str">
        <f>IF(OR($B200="",$A200&gt;$B$9),"",IF(COUNTIFS(BD!$B$3:$B$5001,H$173,BD!$A$3:$A$5001,"&gt;="&amp;$C$7,BD!$A$3:$A$5001,"&lt;="&amp;$B200,BD!$Y$3:$Y$5001,"&lt;&gt;")=0,"",SUMIFS(BD!$Y$3:$Y$5001,BD!$B$3:$B$5001,H$173,BD!$A$3:$A$5001,_xlfn.MAXIFS(BD!$A$3:$A$5001,BD!$B$3:$B$5001,H$173,BD!$A$3:$A$5001,"&gt;="&amp;$C$7,BD!$A$3:$A$5001,"&lt;="&amp;$B200,BD!$Y$3:$Y$5001,"&lt;&gt;"))))</f>
        <v/>
      </c>
      <c r="I200" s="42" t="str">
        <f>IF(OR($B200="",$A200&gt;$B$9),"",IF(COUNTIFS(BD!$B$3:$B$5001,I$173,BD!$A$3:$A$5001,"&gt;="&amp;$C$7,BD!$A$3:$A$5001,"&lt;="&amp;$B200,BD!$Y$3:$Y$5001,"&lt;&gt;")=0,"",SUMIFS(BD!$Y$3:$Y$5001,BD!$B$3:$B$5001,I$173,BD!$A$3:$A$5001,_xlfn.MAXIFS(BD!$A$3:$A$5001,BD!$B$3:$B$5001,I$173,BD!$A$3:$A$5001,"&gt;="&amp;$C$7,BD!$A$3:$A$5001,"&lt;="&amp;$B200,BD!$Y$3:$Y$5001,"&lt;&gt;"))))</f>
        <v/>
      </c>
      <c r="J200" s="42" t="str">
        <f>IF(OR($B200="",$A200&gt;$B$9),"",IF(COUNTIFS(BD!$B$3:$B$5001,J$173,BD!$A$3:$A$5001,"&gt;="&amp;$C$7,BD!$A$3:$A$5001,"&lt;="&amp;$B200,BD!$Y$3:$Y$5001,"&lt;&gt;")=0,"",SUMIFS(BD!$Y$3:$Y$5001,BD!$B$3:$B$5001,J$173,BD!$A$3:$A$5001,_xlfn.MAXIFS(BD!$A$3:$A$5001,BD!$B$3:$B$5001,J$173,BD!$A$3:$A$5001,"&gt;="&amp;$C$7,BD!$A$3:$A$5001,"&lt;="&amp;$B200,BD!$Y$3:$Y$5001,"&lt;&gt;"))))</f>
        <v/>
      </c>
      <c r="K200" s="42" t="str">
        <f>IF(OR($B200="",$A200&gt;$B$9),"",IF(COUNTIFS(BD!$B$3:$B$5001,K$173,BD!$A$3:$A$5001,"&gt;="&amp;$C$7,BD!$A$3:$A$5001,"&lt;="&amp;$B200,BD!$Y$3:$Y$5001,"&lt;&gt;")=0,"",SUMIFS(BD!$Y$3:$Y$5001,BD!$B$3:$B$5001,K$173,BD!$A$3:$A$5001,_xlfn.MAXIFS(BD!$A$3:$A$5001,BD!$B$3:$B$5001,K$173,BD!$A$3:$A$5001,"&gt;="&amp;$C$7,BD!$A$3:$A$5001,"&lt;="&amp;$B200,BD!$Y$3:$Y$5001,"&lt;&gt;"))))</f>
        <v/>
      </c>
      <c r="L200" s="42" t="str">
        <f>IF(OR($B200="",$A200&gt;$B$9),"",IF(COUNTIFS(BD!$B$3:$B$5001,L$173,BD!$A$3:$A$5001,"&gt;="&amp;$C$7,BD!$A$3:$A$5001,"&lt;="&amp;$B200,BD!$Y$3:$Y$5001,"&lt;&gt;")=0,"",SUMIFS(BD!$Y$3:$Y$5001,BD!$B$3:$B$5001,L$173,BD!$A$3:$A$5001,_xlfn.MAXIFS(BD!$A$3:$A$5001,BD!$B$3:$B$5001,L$173,BD!$A$3:$A$5001,"&gt;="&amp;$C$7,BD!$A$3:$A$5001,"&lt;="&amp;$B200,BD!$Y$3:$Y$5001,"&lt;&gt;"))))</f>
        <v/>
      </c>
    </row>
    <row r="201">
      <c r="A201" s="40">
        <v>28</v>
      </c>
      <c r="B201" s="41">
        <f>$B$39</f>
        <v>46323</v>
      </c>
      <c r="C201" s="42" t="str">
        <f>IF(OR($B201="",$A201&gt;$B$9),"",IF(COUNTIFS(BD!$B$3:$B$5001,C$173,BD!$A$3:$A$5001,"&gt;="&amp;$C$7,BD!$A$3:$A$5001,"&lt;="&amp;$B201,BD!$Y$3:$Y$5001,"&lt;&gt;")=0,"",SUMIFS(BD!$Y$3:$Y$5001,BD!$B$3:$B$5001,C$173,BD!$A$3:$A$5001,_xlfn.MAXIFS(BD!$A$3:$A$5001,BD!$B$3:$B$5001,C$173,BD!$A$3:$A$5001,"&gt;="&amp;$C$7,BD!$A$3:$A$5001,"&lt;="&amp;$B201,BD!$Y$3:$Y$5001,"&lt;&gt;"))))</f>
        <v/>
      </c>
      <c r="D201" s="42" t="str">
        <f>IF(OR($B201="",$A201&gt;$B$9),"",IF(COUNTIFS(BD!$B$3:$B$5001,D$173,BD!$A$3:$A$5001,"&gt;="&amp;$C$7,BD!$A$3:$A$5001,"&lt;="&amp;$B201,BD!$Y$3:$Y$5001,"&lt;&gt;")=0,"",SUMIFS(BD!$Y$3:$Y$5001,BD!$B$3:$B$5001,D$173,BD!$A$3:$A$5001,_xlfn.MAXIFS(BD!$A$3:$A$5001,BD!$B$3:$B$5001,D$173,BD!$A$3:$A$5001,"&gt;="&amp;$C$7,BD!$A$3:$A$5001,"&lt;="&amp;$B201,BD!$Y$3:$Y$5001,"&lt;&gt;"))))</f>
        <v/>
      </c>
      <c r="E201" s="42" t="str">
        <f>IF(OR($B201="",$A201&gt;$B$9),"",IF(COUNTIFS(BD!$B$3:$B$5001,E$173,BD!$A$3:$A$5001,"&gt;="&amp;$C$7,BD!$A$3:$A$5001,"&lt;="&amp;$B201,BD!$Y$3:$Y$5001,"&lt;&gt;")=0,"",SUMIFS(BD!$Y$3:$Y$5001,BD!$B$3:$B$5001,E$173,BD!$A$3:$A$5001,_xlfn.MAXIFS(BD!$A$3:$A$5001,BD!$B$3:$B$5001,E$173,BD!$A$3:$A$5001,"&gt;="&amp;$C$7,BD!$A$3:$A$5001,"&lt;="&amp;$B201,BD!$Y$3:$Y$5001,"&lt;&gt;"))))</f>
        <v/>
      </c>
      <c r="F201" s="42" t="str">
        <f>IF(OR($B201="",$A201&gt;$B$9),"",IF(COUNTIFS(BD!$B$3:$B$5001,F$173,BD!$A$3:$A$5001,"&gt;="&amp;$C$7,BD!$A$3:$A$5001,"&lt;="&amp;$B201,BD!$Y$3:$Y$5001,"&lt;&gt;")=0,"",SUMIFS(BD!$Y$3:$Y$5001,BD!$B$3:$B$5001,F$173,BD!$A$3:$A$5001,_xlfn.MAXIFS(BD!$A$3:$A$5001,BD!$B$3:$B$5001,F$173,BD!$A$3:$A$5001,"&gt;="&amp;$C$7,BD!$A$3:$A$5001,"&lt;="&amp;$B201,BD!$Y$3:$Y$5001,"&lt;&gt;"))))</f>
        <v/>
      </c>
      <c r="G201" s="42" t="str">
        <f>IF(OR($B201="",$A201&gt;$B$9),"",IF(COUNTIFS(BD!$B$3:$B$5001,G$173,BD!$A$3:$A$5001,"&gt;="&amp;$C$7,BD!$A$3:$A$5001,"&lt;="&amp;$B201,BD!$Y$3:$Y$5001,"&lt;&gt;")=0,"",SUMIFS(BD!$Y$3:$Y$5001,BD!$B$3:$B$5001,G$173,BD!$A$3:$A$5001,_xlfn.MAXIFS(BD!$A$3:$A$5001,BD!$B$3:$B$5001,G$173,BD!$A$3:$A$5001,"&gt;="&amp;$C$7,BD!$A$3:$A$5001,"&lt;="&amp;$B201,BD!$Y$3:$Y$5001,"&lt;&gt;"))))</f>
        <v/>
      </c>
      <c r="H201" s="42" t="str">
        <f>IF(OR($B201="",$A201&gt;$B$9),"",IF(COUNTIFS(BD!$B$3:$B$5001,H$173,BD!$A$3:$A$5001,"&gt;="&amp;$C$7,BD!$A$3:$A$5001,"&lt;="&amp;$B201,BD!$Y$3:$Y$5001,"&lt;&gt;")=0,"",SUMIFS(BD!$Y$3:$Y$5001,BD!$B$3:$B$5001,H$173,BD!$A$3:$A$5001,_xlfn.MAXIFS(BD!$A$3:$A$5001,BD!$B$3:$B$5001,H$173,BD!$A$3:$A$5001,"&gt;="&amp;$C$7,BD!$A$3:$A$5001,"&lt;="&amp;$B201,BD!$Y$3:$Y$5001,"&lt;&gt;"))))</f>
        <v/>
      </c>
      <c r="I201" s="42" t="str">
        <f>IF(OR($B201="",$A201&gt;$B$9),"",IF(COUNTIFS(BD!$B$3:$B$5001,I$173,BD!$A$3:$A$5001,"&gt;="&amp;$C$7,BD!$A$3:$A$5001,"&lt;="&amp;$B201,BD!$Y$3:$Y$5001,"&lt;&gt;")=0,"",SUMIFS(BD!$Y$3:$Y$5001,BD!$B$3:$B$5001,I$173,BD!$A$3:$A$5001,_xlfn.MAXIFS(BD!$A$3:$A$5001,BD!$B$3:$B$5001,I$173,BD!$A$3:$A$5001,"&gt;="&amp;$C$7,BD!$A$3:$A$5001,"&lt;="&amp;$B201,BD!$Y$3:$Y$5001,"&lt;&gt;"))))</f>
        <v/>
      </c>
      <c r="J201" s="42" t="str">
        <f>IF(OR($B201="",$A201&gt;$B$9),"",IF(COUNTIFS(BD!$B$3:$B$5001,J$173,BD!$A$3:$A$5001,"&gt;="&amp;$C$7,BD!$A$3:$A$5001,"&lt;="&amp;$B201,BD!$Y$3:$Y$5001,"&lt;&gt;")=0,"",SUMIFS(BD!$Y$3:$Y$5001,BD!$B$3:$B$5001,J$173,BD!$A$3:$A$5001,_xlfn.MAXIFS(BD!$A$3:$A$5001,BD!$B$3:$B$5001,J$173,BD!$A$3:$A$5001,"&gt;="&amp;$C$7,BD!$A$3:$A$5001,"&lt;="&amp;$B201,BD!$Y$3:$Y$5001,"&lt;&gt;"))))</f>
        <v/>
      </c>
      <c r="K201" s="42" t="str">
        <f>IF(OR($B201="",$A201&gt;$B$9),"",IF(COUNTIFS(BD!$B$3:$B$5001,K$173,BD!$A$3:$A$5001,"&gt;="&amp;$C$7,BD!$A$3:$A$5001,"&lt;="&amp;$B201,BD!$Y$3:$Y$5001,"&lt;&gt;")=0,"",SUMIFS(BD!$Y$3:$Y$5001,BD!$B$3:$B$5001,K$173,BD!$A$3:$A$5001,_xlfn.MAXIFS(BD!$A$3:$A$5001,BD!$B$3:$B$5001,K$173,BD!$A$3:$A$5001,"&gt;="&amp;$C$7,BD!$A$3:$A$5001,"&lt;="&amp;$B201,BD!$Y$3:$Y$5001,"&lt;&gt;"))))</f>
        <v/>
      </c>
      <c r="L201" s="42" t="str">
        <f>IF(OR($B201="",$A201&gt;$B$9),"",IF(COUNTIFS(BD!$B$3:$B$5001,L$173,BD!$A$3:$A$5001,"&gt;="&amp;$C$7,BD!$A$3:$A$5001,"&lt;="&amp;$B201,BD!$Y$3:$Y$5001,"&lt;&gt;")=0,"",SUMIFS(BD!$Y$3:$Y$5001,BD!$B$3:$B$5001,L$173,BD!$A$3:$A$5001,_xlfn.MAXIFS(BD!$A$3:$A$5001,BD!$B$3:$B$5001,L$173,BD!$A$3:$A$5001,"&gt;="&amp;$C$7,BD!$A$3:$A$5001,"&lt;="&amp;$B201,BD!$Y$3:$Y$5001,"&lt;&gt;"))))</f>
        <v/>
      </c>
    </row>
    <row r="202">
      <c r="A202" s="40">
        <v>29</v>
      </c>
      <c r="B202" s="41">
        <f>$B$40</f>
        <v>46324</v>
      </c>
      <c r="C202" s="42" t="str">
        <f>IF(OR($B202="",$A202&gt;$B$9),"",IF(COUNTIFS(BD!$B$3:$B$5001,C$173,BD!$A$3:$A$5001,"&gt;="&amp;$C$7,BD!$A$3:$A$5001,"&lt;="&amp;$B202,BD!$Y$3:$Y$5001,"&lt;&gt;")=0,"",SUMIFS(BD!$Y$3:$Y$5001,BD!$B$3:$B$5001,C$173,BD!$A$3:$A$5001,_xlfn.MAXIFS(BD!$A$3:$A$5001,BD!$B$3:$B$5001,C$173,BD!$A$3:$A$5001,"&gt;="&amp;$C$7,BD!$A$3:$A$5001,"&lt;="&amp;$B202,BD!$Y$3:$Y$5001,"&lt;&gt;"))))</f>
        <v/>
      </c>
      <c r="D202" s="42" t="str">
        <f>IF(OR($B202="",$A202&gt;$B$9),"",IF(COUNTIFS(BD!$B$3:$B$5001,D$173,BD!$A$3:$A$5001,"&gt;="&amp;$C$7,BD!$A$3:$A$5001,"&lt;="&amp;$B202,BD!$Y$3:$Y$5001,"&lt;&gt;")=0,"",SUMIFS(BD!$Y$3:$Y$5001,BD!$B$3:$B$5001,D$173,BD!$A$3:$A$5001,_xlfn.MAXIFS(BD!$A$3:$A$5001,BD!$B$3:$B$5001,D$173,BD!$A$3:$A$5001,"&gt;="&amp;$C$7,BD!$A$3:$A$5001,"&lt;="&amp;$B202,BD!$Y$3:$Y$5001,"&lt;&gt;"))))</f>
        <v/>
      </c>
      <c r="E202" s="42" t="str">
        <f>IF(OR($B202="",$A202&gt;$B$9),"",IF(COUNTIFS(BD!$B$3:$B$5001,E$173,BD!$A$3:$A$5001,"&gt;="&amp;$C$7,BD!$A$3:$A$5001,"&lt;="&amp;$B202,BD!$Y$3:$Y$5001,"&lt;&gt;")=0,"",SUMIFS(BD!$Y$3:$Y$5001,BD!$B$3:$B$5001,E$173,BD!$A$3:$A$5001,_xlfn.MAXIFS(BD!$A$3:$A$5001,BD!$B$3:$B$5001,E$173,BD!$A$3:$A$5001,"&gt;="&amp;$C$7,BD!$A$3:$A$5001,"&lt;="&amp;$B202,BD!$Y$3:$Y$5001,"&lt;&gt;"))))</f>
        <v/>
      </c>
      <c r="F202" s="42" t="str">
        <f>IF(OR($B202="",$A202&gt;$B$9),"",IF(COUNTIFS(BD!$B$3:$B$5001,F$173,BD!$A$3:$A$5001,"&gt;="&amp;$C$7,BD!$A$3:$A$5001,"&lt;="&amp;$B202,BD!$Y$3:$Y$5001,"&lt;&gt;")=0,"",SUMIFS(BD!$Y$3:$Y$5001,BD!$B$3:$B$5001,F$173,BD!$A$3:$A$5001,_xlfn.MAXIFS(BD!$A$3:$A$5001,BD!$B$3:$B$5001,F$173,BD!$A$3:$A$5001,"&gt;="&amp;$C$7,BD!$A$3:$A$5001,"&lt;="&amp;$B202,BD!$Y$3:$Y$5001,"&lt;&gt;"))))</f>
        <v/>
      </c>
      <c r="G202" s="42" t="str">
        <f>IF(OR($B202="",$A202&gt;$B$9),"",IF(COUNTIFS(BD!$B$3:$B$5001,G$173,BD!$A$3:$A$5001,"&gt;="&amp;$C$7,BD!$A$3:$A$5001,"&lt;="&amp;$B202,BD!$Y$3:$Y$5001,"&lt;&gt;")=0,"",SUMIFS(BD!$Y$3:$Y$5001,BD!$B$3:$B$5001,G$173,BD!$A$3:$A$5001,_xlfn.MAXIFS(BD!$A$3:$A$5001,BD!$B$3:$B$5001,G$173,BD!$A$3:$A$5001,"&gt;="&amp;$C$7,BD!$A$3:$A$5001,"&lt;="&amp;$B202,BD!$Y$3:$Y$5001,"&lt;&gt;"))))</f>
        <v/>
      </c>
      <c r="H202" s="42" t="str">
        <f>IF(OR($B202="",$A202&gt;$B$9),"",IF(COUNTIFS(BD!$B$3:$B$5001,H$173,BD!$A$3:$A$5001,"&gt;="&amp;$C$7,BD!$A$3:$A$5001,"&lt;="&amp;$B202,BD!$Y$3:$Y$5001,"&lt;&gt;")=0,"",SUMIFS(BD!$Y$3:$Y$5001,BD!$B$3:$B$5001,H$173,BD!$A$3:$A$5001,_xlfn.MAXIFS(BD!$A$3:$A$5001,BD!$B$3:$B$5001,H$173,BD!$A$3:$A$5001,"&gt;="&amp;$C$7,BD!$A$3:$A$5001,"&lt;="&amp;$B202,BD!$Y$3:$Y$5001,"&lt;&gt;"))))</f>
        <v/>
      </c>
      <c r="I202" s="42" t="str">
        <f>IF(OR($B202="",$A202&gt;$B$9),"",IF(COUNTIFS(BD!$B$3:$B$5001,I$173,BD!$A$3:$A$5001,"&gt;="&amp;$C$7,BD!$A$3:$A$5001,"&lt;="&amp;$B202,BD!$Y$3:$Y$5001,"&lt;&gt;")=0,"",SUMIFS(BD!$Y$3:$Y$5001,BD!$B$3:$B$5001,I$173,BD!$A$3:$A$5001,_xlfn.MAXIFS(BD!$A$3:$A$5001,BD!$B$3:$B$5001,I$173,BD!$A$3:$A$5001,"&gt;="&amp;$C$7,BD!$A$3:$A$5001,"&lt;="&amp;$B202,BD!$Y$3:$Y$5001,"&lt;&gt;"))))</f>
        <v/>
      </c>
      <c r="J202" s="42" t="str">
        <f>IF(OR($B202="",$A202&gt;$B$9),"",IF(COUNTIFS(BD!$B$3:$B$5001,J$173,BD!$A$3:$A$5001,"&gt;="&amp;$C$7,BD!$A$3:$A$5001,"&lt;="&amp;$B202,BD!$Y$3:$Y$5001,"&lt;&gt;")=0,"",SUMIFS(BD!$Y$3:$Y$5001,BD!$B$3:$B$5001,J$173,BD!$A$3:$A$5001,_xlfn.MAXIFS(BD!$A$3:$A$5001,BD!$B$3:$B$5001,J$173,BD!$A$3:$A$5001,"&gt;="&amp;$C$7,BD!$A$3:$A$5001,"&lt;="&amp;$B202,BD!$Y$3:$Y$5001,"&lt;&gt;"))))</f>
        <v/>
      </c>
      <c r="K202" s="42" t="str">
        <f>IF(OR($B202="",$A202&gt;$B$9),"",IF(COUNTIFS(BD!$B$3:$B$5001,K$173,BD!$A$3:$A$5001,"&gt;="&amp;$C$7,BD!$A$3:$A$5001,"&lt;="&amp;$B202,BD!$Y$3:$Y$5001,"&lt;&gt;")=0,"",SUMIFS(BD!$Y$3:$Y$5001,BD!$B$3:$B$5001,K$173,BD!$A$3:$A$5001,_xlfn.MAXIFS(BD!$A$3:$A$5001,BD!$B$3:$B$5001,K$173,BD!$A$3:$A$5001,"&gt;="&amp;$C$7,BD!$A$3:$A$5001,"&lt;="&amp;$B202,BD!$Y$3:$Y$5001,"&lt;&gt;"))))</f>
        <v/>
      </c>
      <c r="L202" s="42" t="str">
        <f>IF(OR($B202="",$A202&gt;$B$9),"",IF(COUNTIFS(BD!$B$3:$B$5001,L$173,BD!$A$3:$A$5001,"&gt;="&amp;$C$7,BD!$A$3:$A$5001,"&lt;="&amp;$B202,BD!$Y$3:$Y$5001,"&lt;&gt;")=0,"",SUMIFS(BD!$Y$3:$Y$5001,BD!$B$3:$B$5001,L$173,BD!$A$3:$A$5001,_xlfn.MAXIFS(BD!$A$3:$A$5001,BD!$B$3:$B$5001,L$173,BD!$A$3:$A$5001,"&gt;="&amp;$C$7,BD!$A$3:$A$5001,"&lt;="&amp;$B202,BD!$Y$3:$Y$5001,"&lt;&gt;"))))</f>
        <v/>
      </c>
    </row>
    <row r="203">
      <c r="A203" s="40">
        <v>30</v>
      </c>
      <c r="B203" s="41">
        <f>$B$41</f>
        <v>46325</v>
      </c>
      <c r="C203" s="42" t="str">
        <f>IF(OR($B203="",$A203&gt;$B$9),"",IF(COUNTIFS(BD!$B$3:$B$5001,C$173,BD!$A$3:$A$5001,"&gt;="&amp;$C$7,BD!$A$3:$A$5001,"&lt;="&amp;$B203,BD!$Y$3:$Y$5001,"&lt;&gt;")=0,"",SUMIFS(BD!$Y$3:$Y$5001,BD!$B$3:$B$5001,C$173,BD!$A$3:$A$5001,_xlfn.MAXIFS(BD!$A$3:$A$5001,BD!$B$3:$B$5001,C$173,BD!$A$3:$A$5001,"&gt;="&amp;$C$7,BD!$A$3:$A$5001,"&lt;="&amp;$B203,BD!$Y$3:$Y$5001,"&lt;&gt;"))))</f>
        <v/>
      </c>
      <c r="D203" s="42" t="str">
        <f>IF(OR($B203="",$A203&gt;$B$9),"",IF(COUNTIFS(BD!$B$3:$B$5001,D$173,BD!$A$3:$A$5001,"&gt;="&amp;$C$7,BD!$A$3:$A$5001,"&lt;="&amp;$B203,BD!$Y$3:$Y$5001,"&lt;&gt;")=0,"",SUMIFS(BD!$Y$3:$Y$5001,BD!$B$3:$B$5001,D$173,BD!$A$3:$A$5001,_xlfn.MAXIFS(BD!$A$3:$A$5001,BD!$B$3:$B$5001,D$173,BD!$A$3:$A$5001,"&gt;="&amp;$C$7,BD!$A$3:$A$5001,"&lt;="&amp;$B203,BD!$Y$3:$Y$5001,"&lt;&gt;"))))</f>
        <v/>
      </c>
      <c r="E203" s="42" t="str">
        <f>IF(OR($B203="",$A203&gt;$B$9),"",IF(COUNTIFS(BD!$B$3:$B$5001,E$173,BD!$A$3:$A$5001,"&gt;="&amp;$C$7,BD!$A$3:$A$5001,"&lt;="&amp;$B203,BD!$Y$3:$Y$5001,"&lt;&gt;")=0,"",SUMIFS(BD!$Y$3:$Y$5001,BD!$B$3:$B$5001,E$173,BD!$A$3:$A$5001,_xlfn.MAXIFS(BD!$A$3:$A$5001,BD!$B$3:$B$5001,E$173,BD!$A$3:$A$5001,"&gt;="&amp;$C$7,BD!$A$3:$A$5001,"&lt;="&amp;$B203,BD!$Y$3:$Y$5001,"&lt;&gt;"))))</f>
        <v/>
      </c>
      <c r="F203" s="42" t="str">
        <f>IF(OR($B203="",$A203&gt;$B$9),"",IF(COUNTIFS(BD!$B$3:$B$5001,F$173,BD!$A$3:$A$5001,"&gt;="&amp;$C$7,BD!$A$3:$A$5001,"&lt;="&amp;$B203,BD!$Y$3:$Y$5001,"&lt;&gt;")=0,"",SUMIFS(BD!$Y$3:$Y$5001,BD!$B$3:$B$5001,F$173,BD!$A$3:$A$5001,_xlfn.MAXIFS(BD!$A$3:$A$5001,BD!$B$3:$B$5001,F$173,BD!$A$3:$A$5001,"&gt;="&amp;$C$7,BD!$A$3:$A$5001,"&lt;="&amp;$B203,BD!$Y$3:$Y$5001,"&lt;&gt;"))))</f>
        <v/>
      </c>
      <c r="G203" s="42" t="str">
        <f>IF(OR($B203="",$A203&gt;$B$9),"",IF(COUNTIFS(BD!$B$3:$B$5001,G$173,BD!$A$3:$A$5001,"&gt;="&amp;$C$7,BD!$A$3:$A$5001,"&lt;="&amp;$B203,BD!$Y$3:$Y$5001,"&lt;&gt;")=0,"",SUMIFS(BD!$Y$3:$Y$5001,BD!$B$3:$B$5001,G$173,BD!$A$3:$A$5001,_xlfn.MAXIFS(BD!$A$3:$A$5001,BD!$B$3:$B$5001,G$173,BD!$A$3:$A$5001,"&gt;="&amp;$C$7,BD!$A$3:$A$5001,"&lt;="&amp;$B203,BD!$Y$3:$Y$5001,"&lt;&gt;"))))</f>
        <v/>
      </c>
      <c r="H203" s="42" t="str">
        <f>IF(OR($B203="",$A203&gt;$B$9),"",IF(COUNTIFS(BD!$B$3:$B$5001,H$173,BD!$A$3:$A$5001,"&gt;="&amp;$C$7,BD!$A$3:$A$5001,"&lt;="&amp;$B203,BD!$Y$3:$Y$5001,"&lt;&gt;")=0,"",SUMIFS(BD!$Y$3:$Y$5001,BD!$B$3:$B$5001,H$173,BD!$A$3:$A$5001,_xlfn.MAXIFS(BD!$A$3:$A$5001,BD!$B$3:$B$5001,H$173,BD!$A$3:$A$5001,"&gt;="&amp;$C$7,BD!$A$3:$A$5001,"&lt;="&amp;$B203,BD!$Y$3:$Y$5001,"&lt;&gt;"))))</f>
        <v/>
      </c>
      <c r="I203" s="42" t="str">
        <f>IF(OR($B203="",$A203&gt;$B$9),"",IF(COUNTIFS(BD!$B$3:$B$5001,I$173,BD!$A$3:$A$5001,"&gt;="&amp;$C$7,BD!$A$3:$A$5001,"&lt;="&amp;$B203,BD!$Y$3:$Y$5001,"&lt;&gt;")=0,"",SUMIFS(BD!$Y$3:$Y$5001,BD!$B$3:$B$5001,I$173,BD!$A$3:$A$5001,_xlfn.MAXIFS(BD!$A$3:$A$5001,BD!$B$3:$B$5001,I$173,BD!$A$3:$A$5001,"&gt;="&amp;$C$7,BD!$A$3:$A$5001,"&lt;="&amp;$B203,BD!$Y$3:$Y$5001,"&lt;&gt;"))))</f>
        <v/>
      </c>
      <c r="J203" s="42" t="str">
        <f>IF(OR($B203="",$A203&gt;$B$9),"",IF(COUNTIFS(BD!$B$3:$B$5001,J$173,BD!$A$3:$A$5001,"&gt;="&amp;$C$7,BD!$A$3:$A$5001,"&lt;="&amp;$B203,BD!$Y$3:$Y$5001,"&lt;&gt;")=0,"",SUMIFS(BD!$Y$3:$Y$5001,BD!$B$3:$B$5001,J$173,BD!$A$3:$A$5001,_xlfn.MAXIFS(BD!$A$3:$A$5001,BD!$B$3:$B$5001,J$173,BD!$A$3:$A$5001,"&gt;="&amp;$C$7,BD!$A$3:$A$5001,"&lt;="&amp;$B203,BD!$Y$3:$Y$5001,"&lt;&gt;"))))</f>
        <v/>
      </c>
      <c r="K203" s="42" t="str">
        <f>IF(OR($B203="",$A203&gt;$B$9),"",IF(COUNTIFS(BD!$B$3:$B$5001,K$173,BD!$A$3:$A$5001,"&gt;="&amp;$C$7,BD!$A$3:$A$5001,"&lt;="&amp;$B203,BD!$Y$3:$Y$5001,"&lt;&gt;")=0,"",SUMIFS(BD!$Y$3:$Y$5001,BD!$B$3:$B$5001,K$173,BD!$A$3:$A$5001,_xlfn.MAXIFS(BD!$A$3:$A$5001,BD!$B$3:$B$5001,K$173,BD!$A$3:$A$5001,"&gt;="&amp;$C$7,BD!$A$3:$A$5001,"&lt;="&amp;$B203,BD!$Y$3:$Y$5001,"&lt;&gt;"))))</f>
        <v/>
      </c>
      <c r="L203" s="42" t="str">
        <f>IF(OR($B203="",$A203&gt;$B$9),"",IF(COUNTIFS(BD!$B$3:$B$5001,L$173,BD!$A$3:$A$5001,"&gt;="&amp;$C$7,BD!$A$3:$A$5001,"&lt;="&amp;$B203,BD!$Y$3:$Y$5001,"&lt;&gt;")=0,"",SUMIFS(BD!$Y$3:$Y$5001,BD!$B$3:$B$5001,L$173,BD!$A$3:$A$5001,_xlfn.MAXIFS(BD!$A$3:$A$5001,BD!$B$3:$B$5001,L$173,BD!$A$3:$A$5001,"&gt;="&amp;$C$7,BD!$A$3:$A$5001,"&lt;="&amp;$B203,BD!$Y$3:$Y$5001,"&lt;&gt;"))))</f>
        <v/>
      </c>
    </row>
    <row r="204">
      <c r="A204" s="40">
        <v>31</v>
      </c>
      <c r="B204" s="41">
        <f>$B$42</f>
        <v>46326</v>
      </c>
      <c r="C204" s="42" t="str">
        <f>IF(OR($B204="",$A204&gt;$B$9),"",IF(COUNTIFS(BD!$B$3:$B$5001,C$173,BD!$A$3:$A$5001,"&gt;="&amp;$C$7,BD!$A$3:$A$5001,"&lt;="&amp;$B204,BD!$Y$3:$Y$5001,"&lt;&gt;")=0,"",SUMIFS(BD!$Y$3:$Y$5001,BD!$B$3:$B$5001,C$173,BD!$A$3:$A$5001,_xlfn.MAXIFS(BD!$A$3:$A$5001,BD!$B$3:$B$5001,C$173,BD!$A$3:$A$5001,"&gt;="&amp;$C$7,BD!$A$3:$A$5001,"&lt;="&amp;$B204,BD!$Y$3:$Y$5001,"&lt;&gt;"))))</f>
        <v/>
      </c>
      <c r="D204" s="42" t="str">
        <f>IF(OR($B204="",$A204&gt;$B$9),"",IF(COUNTIFS(BD!$B$3:$B$5001,D$173,BD!$A$3:$A$5001,"&gt;="&amp;$C$7,BD!$A$3:$A$5001,"&lt;="&amp;$B204,BD!$Y$3:$Y$5001,"&lt;&gt;")=0,"",SUMIFS(BD!$Y$3:$Y$5001,BD!$B$3:$B$5001,D$173,BD!$A$3:$A$5001,_xlfn.MAXIFS(BD!$A$3:$A$5001,BD!$B$3:$B$5001,D$173,BD!$A$3:$A$5001,"&gt;="&amp;$C$7,BD!$A$3:$A$5001,"&lt;="&amp;$B204,BD!$Y$3:$Y$5001,"&lt;&gt;"))))</f>
        <v/>
      </c>
      <c r="E204" s="42" t="str">
        <f>IF(OR($B204="",$A204&gt;$B$9),"",IF(COUNTIFS(BD!$B$3:$B$5001,E$173,BD!$A$3:$A$5001,"&gt;="&amp;$C$7,BD!$A$3:$A$5001,"&lt;="&amp;$B204,BD!$Y$3:$Y$5001,"&lt;&gt;")=0,"",SUMIFS(BD!$Y$3:$Y$5001,BD!$B$3:$B$5001,E$173,BD!$A$3:$A$5001,_xlfn.MAXIFS(BD!$A$3:$A$5001,BD!$B$3:$B$5001,E$173,BD!$A$3:$A$5001,"&gt;="&amp;$C$7,BD!$A$3:$A$5001,"&lt;="&amp;$B204,BD!$Y$3:$Y$5001,"&lt;&gt;"))))</f>
        <v/>
      </c>
      <c r="F204" s="42" t="str">
        <f>IF(OR($B204="",$A204&gt;$B$9),"",IF(COUNTIFS(BD!$B$3:$B$5001,F$173,BD!$A$3:$A$5001,"&gt;="&amp;$C$7,BD!$A$3:$A$5001,"&lt;="&amp;$B204,BD!$Y$3:$Y$5001,"&lt;&gt;")=0,"",SUMIFS(BD!$Y$3:$Y$5001,BD!$B$3:$B$5001,F$173,BD!$A$3:$A$5001,_xlfn.MAXIFS(BD!$A$3:$A$5001,BD!$B$3:$B$5001,F$173,BD!$A$3:$A$5001,"&gt;="&amp;$C$7,BD!$A$3:$A$5001,"&lt;="&amp;$B204,BD!$Y$3:$Y$5001,"&lt;&gt;"))))</f>
        <v/>
      </c>
      <c r="G204" s="42" t="str">
        <f>IF(OR($B204="",$A204&gt;$B$9),"",IF(COUNTIFS(BD!$B$3:$B$5001,G$173,BD!$A$3:$A$5001,"&gt;="&amp;$C$7,BD!$A$3:$A$5001,"&lt;="&amp;$B204,BD!$Y$3:$Y$5001,"&lt;&gt;")=0,"",SUMIFS(BD!$Y$3:$Y$5001,BD!$B$3:$B$5001,G$173,BD!$A$3:$A$5001,_xlfn.MAXIFS(BD!$A$3:$A$5001,BD!$B$3:$B$5001,G$173,BD!$A$3:$A$5001,"&gt;="&amp;$C$7,BD!$A$3:$A$5001,"&lt;="&amp;$B204,BD!$Y$3:$Y$5001,"&lt;&gt;"))))</f>
        <v/>
      </c>
      <c r="H204" s="42" t="str">
        <f>IF(OR($B204="",$A204&gt;$B$9),"",IF(COUNTIFS(BD!$B$3:$B$5001,H$173,BD!$A$3:$A$5001,"&gt;="&amp;$C$7,BD!$A$3:$A$5001,"&lt;="&amp;$B204,BD!$Y$3:$Y$5001,"&lt;&gt;")=0,"",SUMIFS(BD!$Y$3:$Y$5001,BD!$B$3:$B$5001,H$173,BD!$A$3:$A$5001,_xlfn.MAXIFS(BD!$A$3:$A$5001,BD!$B$3:$B$5001,H$173,BD!$A$3:$A$5001,"&gt;="&amp;$C$7,BD!$A$3:$A$5001,"&lt;="&amp;$B204,BD!$Y$3:$Y$5001,"&lt;&gt;"))))</f>
        <v/>
      </c>
      <c r="I204" s="42" t="str">
        <f>IF(OR($B204="",$A204&gt;$B$9),"",IF(COUNTIFS(BD!$B$3:$B$5001,I$173,BD!$A$3:$A$5001,"&gt;="&amp;$C$7,BD!$A$3:$A$5001,"&lt;="&amp;$B204,BD!$Y$3:$Y$5001,"&lt;&gt;")=0,"",SUMIFS(BD!$Y$3:$Y$5001,BD!$B$3:$B$5001,I$173,BD!$A$3:$A$5001,_xlfn.MAXIFS(BD!$A$3:$A$5001,BD!$B$3:$B$5001,I$173,BD!$A$3:$A$5001,"&gt;="&amp;$C$7,BD!$A$3:$A$5001,"&lt;="&amp;$B204,BD!$Y$3:$Y$5001,"&lt;&gt;"))))</f>
        <v/>
      </c>
      <c r="J204" s="42" t="str">
        <f>IF(OR($B204="",$A204&gt;$B$9),"",IF(COUNTIFS(BD!$B$3:$B$5001,J$173,BD!$A$3:$A$5001,"&gt;="&amp;$C$7,BD!$A$3:$A$5001,"&lt;="&amp;$B204,BD!$Y$3:$Y$5001,"&lt;&gt;")=0,"",SUMIFS(BD!$Y$3:$Y$5001,BD!$B$3:$B$5001,J$173,BD!$A$3:$A$5001,_xlfn.MAXIFS(BD!$A$3:$A$5001,BD!$B$3:$B$5001,J$173,BD!$A$3:$A$5001,"&gt;="&amp;$C$7,BD!$A$3:$A$5001,"&lt;="&amp;$B204,BD!$Y$3:$Y$5001,"&lt;&gt;"))))</f>
        <v/>
      </c>
      <c r="K204" s="42" t="str">
        <f>IF(OR($B204="",$A204&gt;$B$9),"",IF(COUNTIFS(BD!$B$3:$B$5001,K$173,BD!$A$3:$A$5001,"&gt;="&amp;$C$7,BD!$A$3:$A$5001,"&lt;="&amp;$B204,BD!$Y$3:$Y$5001,"&lt;&gt;")=0,"",SUMIFS(BD!$Y$3:$Y$5001,BD!$B$3:$B$5001,K$173,BD!$A$3:$A$5001,_xlfn.MAXIFS(BD!$A$3:$A$5001,BD!$B$3:$B$5001,K$173,BD!$A$3:$A$5001,"&gt;="&amp;$C$7,BD!$A$3:$A$5001,"&lt;="&amp;$B204,BD!$Y$3:$Y$5001,"&lt;&gt;"))))</f>
        <v/>
      </c>
      <c r="L204" s="42" t="str">
        <f>IF(OR($B204="",$A204&gt;$B$9),"",IF(COUNTIFS(BD!$B$3:$B$5001,L$173,BD!$A$3:$A$5001,"&gt;="&amp;$C$7,BD!$A$3:$A$5001,"&lt;="&amp;$B204,BD!$Y$3:$Y$5001,"&lt;&gt;")=0,"",SUMIFS(BD!$Y$3:$Y$5001,BD!$B$3:$B$5001,L$173,BD!$A$3:$A$5001,_xlfn.MAXIFS(BD!$A$3:$A$5001,BD!$B$3:$B$5001,L$173,BD!$A$3:$A$5001,"&gt;="&amp;$C$7,BD!$A$3:$A$5001,"&lt;="&amp;$B204,BD!$Y$3:$Y$5001,"&lt;&gt;"))))</f>
        <v/>
      </c>
    </row>
    <row r="205">
      <c r="A205" s="43" t="inlineStr">
        <is>
          <t xml:space="preserve">Mês anterior (último)</t>
        </is>
      </c>
      <c r="C205" s="44" t="str">
        <f>IF(COUNTIFS(BD!$B$3:$B$5001,C$173,BD!$A$3:$A$5001,"&gt;="&amp;$C$8,BD!$A$3:$A$5001,"&lt;="&amp;$D$8,BD!$Y$3:$Y$5001,"&lt;&gt;")=0,"",SUMIFS(BD!$Y$3:$Y$5001,BD!$B$3:$B$5001,C$173,BD!$A$3:$A$5001,_xlfn.MAXIFS(BD!$A$3:$A$5001,BD!$B$3:$B$5001,C$173,BD!$A$3:$A$5001,"&gt;="&amp;$C$8,BD!$A$3:$A$5001,"&lt;="&amp;$D$8,BD!$Y$3:$Y$5001,"&lt;&gt;")))</f>
        <v/>
      </c>
      <c r="D205" s="44" t="str">
        <f>IF(COUNTIFS(BD!$B$3:$B$5001,D$173,BD!$A$3:$A$5001,"&gt;="&amp;$C$8,BD!$A$3:$A$5001,"&lt;="&amp;$D$8,BD!$Y$3:$Y$5001,"&lt;&gt;")=0,"",SUMIFS(BD!$Y$3:$Y$5001,BD!$B$3:$B$5001,D$173,BD!$A$3:$A$5001,_xlfn.MAXIFS(BD!$A$3:$A$5001,BD!$B$3:$B$5001,D$173,BD!$A$3:$A$5001,"&gt;="&amp;$C$8,BD!$A$3:$A$5001,"&lt;="&amp;$D$8,BD!$Y$3:$Y$5001,"&lt;&gt;")))</f>
        <v/>
      </c>
      <c r="E205" s="44" t="str">
        <f>IF(COUNTIFS(BD!$B$3:$B$5001,E$173,BD!$A$3:$A$5001,"&gt;="&amp;$C$8,BD!$A$3:$A$5001,"&lt;="&amp;$D$8,BD!$Y$3:$Y$5001,"&lt;&gt;")=0,"",SUMIFS(BD!$Y$3:$Y$5001,BD!$B$3:$B$5001,E$173,BD!$A$3:$A$5001,_xlfn.MAXIFS(BD!$A$3:$A$5001,BD!$B$3:$B$5001,E$173,BD!$A$3:$A$5001,"&gt;="&amp;$C$8,BD!$A$3:$A$5001,"&lt;="&amp;$D$8,BD!$Y$3:$Y$5001,"&lt;&gt;")))</f>
        <v/>
      </c>
      <c r="F205" s="44" t="str">
        <f>IF(COUNTIFS(BD!$B$3:$B$5001,F$173,BD!$A$3:$A$5001,"&gt;="&amp;$C$8,BD!$A$3:$A$5001,"&lt;="&amp;$D$8,BD!$Y$3:$Y$5001,"&lt;&gt;")=0,"",SUMIFS(BD!$Y$3:$Y$5001,BD!$B$3:$B$5001,F$173,BD!$A$3:$A$5001,_xlfn.MAXIFS(BD!$A$3:$A$5001,BD!$B$3:$B$5001,F$173,BD!$A$3:$A$5001,"&gt;="&amp;$C$8,BD!$A$3:$A$5001,"&lt;="&amp;$D$8,BD!$Y$3:$Y$5001,"&lt;&gt;")))</f>
        <v/>
      </c>
      <c r="G205" s="44" t="str">
        <f>IF(COUNTIFS(BD!$B$3:$B$5001,G$173,BD!$A$3:$A$5001,"&gt;="&amp;$C$8,BD!$A$3:$A$5001,"&lt;="&amp;$D$8,BD!$Y$3:$Y$5001,"&lt;&gt;")=0,"",SUMIFS(BD!$Y$3:$Y$5001,BD!$B$3:$B$5001,G$173,BD!$A$3:$A$5001,_xlfn.MAXIFS(BD!$A$3:$A$5001,BD!$B$3:$B$5001,G$173,BD!$A$3:$A$5001,"&gt;="&amp;$C$8,BD!$A$3:$A$5001,"&lt;="&amp;$D$8,BD!$Y$3:$Y$5001,"&lt;&gt;")))</f>
        <v/>
      </c>
      <c r="H205" s="44" t="str">
        <f>IF(COUNTIFS(BD!$B$3:$B$5001,H$173,BD!$A$3:$A$5001,"&gt;="&amp;$C$8,BD!$A$3:$A$5001,"&lt;="&amp;$D$8,BD!$Y$3:$Y$5001,"&lt;&gt;")=0,"",SUMIFS(BD!$Y$3:$Y$5001,BD!$B$3:$B$5001,H$173,BD!$A$3:$A$5001,_xlfn.MAXIFS(BD!$A$3:$A$5001,BD!$B$3:$B$5001,H$173,BD!$A$3:$A$5001,"&gt;="&amp;$C$8,BD!$A$3:$A$5001,"&lt;="&amp;$D$8,BD!$Y$3:$Y$5001,"&lt;&gt;")))</f>
        <v/>
      </c>
      <c r="I205" s="44" t="str">
        <f>IF(COUNTIFS(BD!$B$3:$B$5001,I$173,BD!$A$3:$A$5001,"&gt;="&amp;$C$8,BD!$A$3:$A$5001,"&lt;="&amp;$D$8,BD!$Y$3:$Y$5001,"&lt;&gt;")=0,"",SUMIFS(BD!$Y$3:$Y$5001,BD!$B$3:$B$5001,I$173,BD!$A$3:$A$5001,_xlfn.MAXIFS(BD!$A$3:$A$5001,BD!$B$3:$B$5001,I$173,BD!$A$3:$A$5001,"&gt;="&amp;$C$8,BD!$A$3:$A$5001,"&lt;="&amp;$D$8,BD!$Y$3:$Y$5001,"&lt;&gt;")))</f>
        <v/>
      </c>
      <c r="J205" s="44" t="str">
        <f>IF(COUNTIFS(BD!$B$3:$B$5001,J$173,BD!$A$3:$A$5001,"&gt;="&amp;$C$8,BD!$A$3:$A$5001,"&lt;="&amp;$D$8,BD!$Y$3:$Y$5001,"&lt;&gt;")=0,"",SUMIFS(BD!$Y$3:$Y$5001,BD!$B$3:$B$5001,J$173,BD!$A$3:$A$5001,_xlfn.MAXIFS(BD!$A$3:$A$5001,BD!$B$3:$B$5001,J$173,BD!$A$3:$A$5001,"&gt;="&amp;$C$8,BD!$A$3:$A$5001,"&lt;="&amp;$D$8,BD!$Y$3:$Y$5001,"&lt;&gt;")))</f>
        <v/>
      </c>
      <c r="K205" s="44" t="str">
        <f>IF(COUNTIFS(BD!$B$3:$B$5001,K$173,BD!$A$3:$A$5001,"&gt;="&amp;$C$8,BD!$A$3:$A$5001,"&lt;="&amp;$D$8,BD!$Y$3:$Y$5001,"&lt;&gt;")=0,"",SUMIFS(BD!$Y$3:$Y$5001,BD!$B$3:$B$5001,K$173,BD!$A$3:$A$5001,_xlfn.MAXIFS(BD!$A$3:$A$5001,BD!$B$3:$B$5001,K$173,BD!$A$3:$A$5001,"&gt;="&amp;$C$8,BD!$A$3:$A$5001,"&lt;="&amp;$D$8,BD!$Y$3:$Y$5001,"&lt;&gt;")))</f>
        <v/>
      </c>
      <c r="L205" s="44" t="str">
        <f>IF(COUNTIFS(BD!$B$3:$B$5001,L$173,BD!$A$3:$A$5001,"&gt;="&amp;$C$8,BD!$A$3:$A$5001,"&lt;="&amp;$D$8,BD!$Y$3:$Y$5001,"&lt;&gt;")=0,"",SUMIFS(BD!$Y$3:$Y$5001,BD!$B$3:$B$5001,L$173,BD!$A$3:$A$5001,_xlfn.MAXIFS(BD!$A$3:$A$5001,BD!$B$3:$B$5001,L$173,BD!$A$3:$A$5001,"&gt;="&amp;$C$8,BD!$A$3:$A$5001,"&lt;="&amp;$D$8,BD!$Y$3:$Y$5001,"&lt;&gt;")))</f>
        <v/>
      </c>
    </row>
    <row r="206">
      <c r="A206" s="43" t="inlineStr">
        <is>
          <t xml:space="preserve">Depósito</t>
        </is>
      </c>
      <c r="C206" s="40" t="inlineStr">
        <is>
          <t xml:space="preserve">TPC</t>
        </is>
      </c>
      <c r="D206" s="40" t="inlineStr">
        <is>
          <t xml:space="preserve">TPC</t>
        </is>
      </c>
      <c r="E206" s="40" t="inlineStr">
        <is>
          <t xml:space="preserve">TPC</t>
        </is>
      </c>
      <c r="F206" s="40" t="inlineStr">
        <is>
          <t xml:space="preserve">TPC</t>
        </is>
      </c>
      <c r="G206" s="40" t="inlineStr">
        <is>
          <t xml:space="preserve">TPC</t>
        </is>
      </c>
      <c r="H206" s="40" t="inlineStr">
        <is>
          <t xml:space="preserve">TPC</t>
        </is>
      </c>
      <c r="I206" s="40" t="inlineStr">
        <is>
          <t xml:space="preserve">TPC</t>
        </is>
      </c>
      <c r="J206" s="40" t="inlineStr">
        <is>
          <t xml:space="preserve">TPC</t>
        </is>
      </c>
      <c r="K206" s="40" t="inlineStr">
        <is>
          <t xml:space="preserve">TPC</t>
        </is>
      </c>
      <c r="L206" s="40" t="inlineStr">
        <is>
          <t xml:space="preserve">TPC</t>
        </is>
      </c>
    </row>
    <row r="208">
      <c r="A208" s="37" t="inlineStr">
        <is>
          <t xml:space="preserve">Posições Disponíveis</t>
        </is>
      </c>
      <c r="B208" s="37" t="inlineStr">
        <is>
          <t xml:space="preserve">Data</t>
        </is>
      </c>
      <c r="C208" s="37" t="inlineStr">
        <is>
          <t xml:space="preserve">Alpargatas</t>
        </is>
      </c>
      <c r="D208" s="37" t="inlineStr">
        <is>
          <t xml:space="preserve">Basf</t>
        </is>
      </c>
      <c r="E208" s="37" t="inlineStr">
        <is>
          <t xml:space="preserve">Beautybiz</t>
        </is>
      </c>
      <c r="F208" s="37" t="inlineStr">
        <is>
          <t xml:space="preserve">Boticário</t>
        </is>
      </c>
      <c r="G208" s="37" t="inlineStr">
        <is>
          <t xml:space="preserve">Confiance</t>
        </is>
      </c>
      <c r="H208" s="37" t="inlineStr">
        <is>
          <t xml:space="preserve">GE Vernova</t>
        </is>
      </c>
      <c r="I208" s="37" t="inlineStr">
        <is>
          <t xml:space="preserve">Omnilife</t>
        </is>
      </c>
      <c r="J208" s="37" t="inlineStr">
        <is>
          <t xml:space="preserve">Supply</t>
        </is>
      </c>
      <c r="K208" s="37" t="inlineStr">
        <is>
          <t xml:space="preserve">Vedacit</t>
        </is>
      </c>
      <c r="L208" s="37" t="inlineStr">
        <is>
          <t xml:space="preserve">Vestas</t>
        </is>
      </c>
    </row>
    <row r="209">
      <c r="A209" s="40">
        <v>1</v>
      </c>
      <c r="B209" s="41">
        <f>$B$12</f>
        <v>46296</v>
      </c>
      <c r="C209" s="42" t="str">
        <f>IF(OR($B209="",$A209&gt;$B$9),"",IF(COUNTIFS(BD!$B$3:$B$5001,C$208,BD!$A$3:$A$5001,"&gt;="&amp;$C$7,BD!$A$3:$A$5001,"&lt;="&amp;$B209,BD!$X$3:$X$5001,"&lt;&gt;")=0,"",SUMIFS(BD!$X$3:$X$5001,BD!$B$3:$B$5001,C$208,BD!$A$3:$A$5001,_xlfn.MAXIFS(BD!$A$3:$A$5001,BD!$B$3:$B$5001,C$208,BD!$A$3:$A$5001,"&gt;="&amp;$C$7,BD!$A$3:$A$5001,"&lt;="&amp;$B209,BD!$X$3:$X$5001,"&lt;&gt;"))))</f>
        <v/>
      </c>
      <c r="D209" s="42" t="str">
        <f>IF(OR($B209="",$A209&gt;$B$9),"",IF(COUNTIFS(BD!$B$3:$B$5001,D$208,BD!$A$3:$A$5001,"&gt;="&amp;$C$7,BD!$A$3:$A$5001,"&lt;="&amp;$B209,BD!$X$3:$X$5001,"&lt;&gt;")=0,"",SUMIFS(BD!$X$3:$X$5001,BD!$B$3:$B$5001,D$208,BD!$A$3:$A$5001,_xlfn.MAXIFS(BD!$A$3:$A$5001,BD!$B$3:$B$5001,D$208,BD!$A$3:$A$5001,"&gt;="&amp;$C$7,BD!$A$3:$A$5001,"&lt;="&amp;$B209,BD!$X$3:$X$5001,"&lt;&gt;"))))</f>
        <v/>
      </c>
      <c r="E209" s="42" t="str">
        <f>IF(OR($B209="",$A209&gt;$B$9),"",IF(COUNTIFS(BD!$B$3:$B$5001,E$208,BD!$A$3:$A$5001,"&gt;="&amp;$C$7,BD!$A$3:$A$5001,"&lt;="&amp;$B209,BD!$X$3:$X$5001,"&lt;&gt;")=0,"",SUMIFS(BD!$X$3:$X$5001,BD!$B$3:$B$5001,E$208,BD!$A$3:$A$5001,_xlfn.MAXIFS(BD!$A$3:$A$5001,BD!$B$3:$B$5001,E$208,BD!$A$3:$A$5001,"&gt;="&amp;$C$7,BD!$A$3:$A$5001,"&lt;="&amp;$B209,BD!$X$3:$X$5001,"&lt;&gt;"))))</f>
        <v/>
      </c>
      <c r="F209" s="42" t="str">
        <f>IF(OR($B209="",$A209&gt;$B$9),"",IF(COUNTIFS(BD!$B$3:$B$5001,F$208,BD!$A$3:$A$5001,"&gt;="&amp;$C$7,BD!$A$3:$A$5001,"&lt;="&amp;$B209,BD!$X$3:$X$5001,"&lt;&gt;")=0,"",SUMIFS(BD!$X$3:$X$5001,BD!$B$3:$B$5001,F$208,BD!$A$3:$A$5001,_xlfn.MAXIFS(BD!$A$3:$A$5001,BD!$B$3:$B$5001,F$208,BD!$A$3:$A$5001,"&gt;="&amp;$C$7,BD!$A$3:$A$5001,"&lt;="&amp;$B209,BD!$X$3:$X$5001,"&lt;&gt;"))))</f>
        <v/>
      </c>
      <c r="G209" s="42" t="str">
        <f>IF(OR($B209="",$A209&gt;$B$9),"",IF(COUNTIFS(BD!$B$3:$B$5001,G$208,BD!$A$3:$A$5001,"&gt;="&amp;$C$7,BD!$A$3:$A$5001,"&lt;="&amp;$B209,BD!$X$3:$X$5001,"&lt;&gt;")=0,"",SUMIFS(BD!$X$3:$X$5001,BD!$B$3:$B$5001,G$208,BD!$A$3:$A$5001,_xlfn.MAXIFS(BD!$A$3:$A$5001,BD!$B$3:$B$5001,G$208,BD!$A$3:$A$5001,"&gt;="&amp;$C$7,BD!$A$3:$A$5001,"&lt;="&amp;$B209,BD!$X$3:$X$5001,"&lt;&gt;"))))</f>
        <v/>
      </c>
      <c r="H209" s="42" t="str">
        <f>IF(OR($B209="",$A209&gt;$B$9),"",IF(COUNTIFS(BD!$B$3:$B$5001,H$208,BD!$A$3:$A$5001,"&gt;="&amp;$C$7,BD!$A$3:$A$5001,"&lt;="&amp;$B209,BD!$X$3:$X$5001,"&lt;&gt;")=0,"",SUMIFS(BD!$X$3:$X$5001,BD!$B$3:$B$5001,H$208,BD!$A$3:$A$5001,_xlfn.MAXIFS(BD!$A$3:$A$5001,BD!$B$3:$B$5001,H$208,BD!$A$3:$A$5001,"&gt;="&amp;$C$7,BD!$A$3:$A$5001,"&lt;="&amp;$B209,BD!$X$3:$X$5001,"&lt;&gt;"))))</f>
        <v/>
      </c>
      <c r="I209" s="42" t="str">
        <f>IF(OR($B209="",$A209&gt;$B$9),"",IF(COUNTIFS(BD!$B$3:$B$5001,I$208,BD!$A$3:$A$5001,"&gt;="&amp;$C$7,BD!$A$3:$A$5001,"&lt;="&amp;$B209,BD!$X$3:$X$5001,"&lt;&gt;")=0,"",SUMIFS(BD!$X$3:$X$5001,BD!$B$3:$B$5001,I$208,BD!$A$3:$A$5001,_xlfn.MAXIFS(BD!$A$3:$A$5001,BD!$B$3:$B$5001,I$208,BD!$A$3:$A$5001,"&gt;="&amp;$C$7,BD!$A$3:$A$5001,"&lt;="&amp;$B209,BD!$X$3:$X$5001,"&lt;&gt;"))))</f>
        <v/>
      </c>
      <c r="J209" s="42" t="str">
        <f>IF(OR($B209="",$A209&gt;$B$9),"",IF(COUNTIFS(BD!$B$3:$B$5001,J$208,BD!$A$3:$A$5001,"&gt;="&amp;$C$7,BD!$A$3:$A$5001,"&lt;="&amp;$B209,BD!$X$3:$X$5001,"&lt;&gt;")=0,"",SUMIFS(BD!$X$3:$X$5001,BD!$B$3:$B$5001,J$208,BD!$A$3:$A$5001,_xlfn.MAXIFS(BD!$A$3:$A$5001,BD!$B$3:$B$5001,J$208,BD!$A$3:$A$5001,"&gt;="&amp;$C$7,BD!$A$3:$A$5001,"&lt;="&amp;$B209,BD!$X$3:$X$5001,"&lt;&gt;"))))</f>
        <v/>
      </c>
      <c r="K209" s="42" t="str">
        <f>IF(OR($B209="",$A209&gt;$B$9),"",IF(COUNTIFS(BD!$B$3:$B$5001,K$208,BD!$A$3:$A$5001,"&gt;="&amp;$C$7,BD!$A$3:$A$5001,"&lt;="&amp;$B209,BD!$X$3:$X$5001,"&lt;&gt;")=0,"",SUMIFS(BD!$X$3:$X$5001,BD!$B$3:$B$5001,K$208,BD!$A$3:$A$5001,_xlfn.MAXIFS(BD!$A$3:$A$5001,BD!$B$3:$B$5001,K$208,BD!$A$3:$A$5001,"&gt;="&amp;$C$7,BD!$A$3:$A$5001,"&lt;="&amp;$B209,BD!$X$3:$X$5001,"&lt;&gt;"))))</f>
        <v/>
      </c>
      <c r="L209" s="42" t="str">
        <f>IF(OR($B209="",$A209&gt;$B$9),"",IF(COUNTIFS(BD!$B$3:$B$5001,L$208,BD!$A$3:$A$5001,"&gt;="&amp;$C$7,BD!$A$3:$A$5001,"&lt;="&amp;$B209,BD!$X$3:$X$5001,"&lt;&gt;")=0,"",SUMIFS(BD!$X$3:$X$5001,BD!$B$3:$B$5001,L$208,BD!$A$3:$A$5001,_xlfn.MAXIFS(BD!$A$3:$A$5001,BD!$B$3:$B$5001,L$208,BD!$A$3:$A$5001,"&gt;="&amp;$C$7,BD!$A$3:$A$5001,"&lt;="&amp;$B209,BD!$X$3:$X$5001,"&lt;&gt;"))))</f>
        <v/>
      </c>
    </row>
    <row r="210">
      <c r="A210" s="40">
        <v>2</v>
      </c>
      <c r="B210" s="41">
        <f>$B$13</f>
        <v>46297</v>
      </c>
      <c r="C210" s="42" t="str">
        <f>IF(OR($B210="",$A210&gt;$B$9),"",IF(COUNTIFS(BD!$B$3:$B$5001,C$208,BD!$A$3:$A$5001,"&gt;="&amp;$C$7,BD!$A$3:$A$5001,"&lt;="&amp;$B210,BD!$X$3:$X$5001,"&lt;&gt;")=0,"",SUMIFS(BD!$X$3:$X$5001,BD!$B$3:$B$5001,C$208,BD!$A$3:$A$5001,_xlfn.MAXIFS(BD!$A$3:$A$5001,BD!$B$3:$B$5001,C$208,BD!$A$3:$A$5001,"&gt;="&amp;$C$7,BD!$A$3:$A$5001,"&lt;="&amp;$B210,BD!$X$3:$X$5001,"&lt;&gt;"))))</f>
        <v/>
      </c>
      <c r="D210" s="42" t="str">
        <f>IF(OR($B210="",$A210&gt;$B$9),"",IF(COUNTIFS(BD!$B$3:$B$5001,D$208,BD!$A$3:$A$5001,"&gt;="&amp;$C$7,BD!$A$3:$A$5001,"&lt;="&amp;$B210,BD!$X$3:$X$5001,"&lt;&gt;")=0,"",SUMIFS(BD!$X$3:$X$5001,BD!$B$3:$B$5001,D$208,BD!$A$3:$A$5001,_xlfn.MAXIFS(BD!$A$3:$A$5001,BD!$B$3:$B$5001,D$208,BD!$A$3:$A$5001,"&gt;="&amp;$C$7,BD!$A$3:$A$5001,"&lt;="&amp;$B210,BD!$X$3:$X$5001,"&lt;&gt;"))))</f>
        <v/>
      </c>
      <c r="E210" s="42" t="str">
        <f>IF(OR($B210="",$A210&gt;$B$9),"",IF(COUNTIFS(BD!$B$3:$B$5001,E$208,BD!$A$3:$A$5001,"&gt;="&amp;$C$7,BD!$A$3:$A$5001,"&lt;="&amp;$B210,BD!$X$3:$X$5001,"&lt;&gt;")=0,"",SUMIFS(BD!$X$3:$X$5001,BD!$B$3:$B$5001,E$208,BD!$A$3:$A$5001,_xlfn.MAXIFS(BD!$A$3:$A$5001,BD!$B$3:$B$5001,E$208,BD!$A$3:$A$5001,"&gt;="&amp;$C$7,BD!$A$3:$A$5001,"&lt;="&amp;$B210,BD!$X$3:$X$5001,"&lt;&gt;"))))</f>
        <v/>
      </c>
      <c r="F210" s="42" t="str">
        <f>IF(OR($B210="",$A210&gt;$B$9),"",IF(COUNTIFS(BD!$B$3:$B$5001,F$208,BD!$A$3:$A$5001,"&gt;="&amp;$C$7,BD!$A$3:$A$5001,"&lt;="&amp;$B210,BD!$X$3:$X$5001,"&lt;&gt;")=0,"",SUMIFS(BD!$X$3:$X$5001,BD!$B$3:$B$5001,F$208,BD!$A$3:$A$5001,_xlfn.MAXIFS(BD!$A$3:$A$5001,BD!$B$3:$B$5001,F$208,BD!$A$3:$A$5001,"&gt;="&amp;$C$7,BD!$A$3:$A$5001,"&lt;="&amp;$B210,BD!$X$3:$X$5001,"&lt;&gt;"))))</f>
        <v/>
      </c>
      <c r="G210" s="42" t="str">
        <f>IF(OR($B210="",$A210&gt;$B$9),"",IF(COUNTIFS(BD!$B$3:$B$5001,G$208,BD!$A$3:$A$5001,"&gt;="&amp;$C$7,BD!$A$3:$A$5001,"&lt;="&amp;$B210,BD!$X$3:$X$5001,"&lt;&gt;")=0,"",SUMIFS(BD!$X$3:$X$5001,BD!$B$3:$B$5001,G$208,BD!$A$3:$A$5001,_xlfn.MAXIFS(BD!$A$3:$A$5001,BD!$B$3:$B$5001,G$208,BD!$A$3:$A$5001,"&gt;="&amp;$C$7,BD!$A$3:$A$5001,"&lt;="&amp;$B210,BD!$X$3:$X$5001,"&lt;&gt;"))))</f>
        <v/>
      </c>
      <c r="H210" s="42" t="str">
        <f>IF(OR($B210="",$A210&gt;$B$9),"",IF(COUNTIFS(BD!$B$3:$B$5001,H$208,BD!$A$3:$A$5001,"&gt;="&amp;$C$7,BD!$A$3:$A$5001,"&lt;="&amp;$B210,BD!$X$3:$X$5001,"&lt;&gt;")=0,"",SUMIFS(BD!$X$3:$X$5001,BD!$B$3:$B$5001,H$208,BD!$A$3:$A$5001,_xlfn.MAXIFS(BD!$A$3:$A$5001,BD!$B$3:$B$5001,H$208,BD!$A$3:$A$5001,"&gt;="&amp;$C$7,BD!$A$3:$A$5001,"&lt;="&amp;$B210,BD!$X$3:$X$5001,"&lt;&gt;"))))</f>
        <v/>
      </c>
      <c r="I210" s="42" t="str">
        <f>IF(OR($B210="",$A210&gt;$B$9),"",IF(COUNTIFS(BD!$B$3:$B$5001,I$208,BD!$A$3:$A$5001,"&gt;="&amp;$C$7,BD!$A$3:$A$5001,"&lt;="&amp;$B210,BD!$X$3:$X$5001,"&lt;&gt;")=0,"",SUMIFS(BD!$X$3:$X$5001,BD!$B$3:$B$5001,I$208,BD!$A$3:$A$5001,_xlfn.MAXIFS(BD!$A$3:$A$5001,BD!$B$3:$B$5001,I$208,BD!$A$3:$A$5001,"&gt;="&amp;$C$7,BD!$A$3:$A$5001,"&lt;="&amp;$B210,BD!$X$3:$X$5001,"&lt;&gt;"))))</f>
        <v/>
      </c>
      <c r="J210" s="42" t="str">
        <f>IF(OR($B210="",$A210&gt;$B$9),"",IF(COUNTIFS(BD!$B$3:$B$5001,J$208,BD!$A$3:$A$5001,"&gt;="&amp;$C$7,BD!$A$3:$A$5001,"&lt;="&amp;$B210,BD!$X$3:$X$5001,"&lt;&gt;")=0,"",SUMIFS(BD!$X$3:$X$5001,BD!$B$3:$B$5001,J$208,BD!$A$3:$A$5001,_xlfn.MAXIFS(BD!$A$3:$A$5001,BD!$B$3:$B$5001,J$208,BD!$A$3:$A$5001,"&gt;="&amp;$C$7,BD!$A$3:$A$5001,"&lt;="&amp;$B210,BD!$X$3:$X$5001,"&lt;&gt;"))))</f>
        <v/>
      </c>
      <c r="K210" s="42" t="str">
        <f>IF(OR($B210="",$A210&gt;$B$9),"",IF(COUNTIFS(BD!$B$3:$B$5001,K$208,BD!$A$3:$A$5001,"&gt;="&amp;$C$7,BD!$A$3:$A$5001,"&lt;="&amp;$B210,BD!$X$3:$X$5001,"&lt;&gt;")=0,"",SUMIFS(BD!$X$3:$X$5001,BD!$B$3:$B$5001,K$208,BD!$A$3:$A$5001,_xlfn.MAXIFS(BD!$A$3:$A$5001,BD!$B$3:$B$5001,K$208,BD!$A$3:$A$5001,"&gt;="&amp;$C$7,BD!$A$3:$A$5001,"&lt;="&amp;$B210,BD!$X$3:$X$5001,"&lt;&gt;"))))</f>
        <v/>
      </c>
      <c r="L210" s="42" t="str">
        <f>IF(OR($B210="",$A210&gt;$B$9),"",IF(COUNTIFS(BD!$B$3:$B$5001,L$208,BD!$A$3:$A$5001,"&gt;="&amp;$C$7,BD!$A$3:$A$5001,"&lt;="&amp;$B210,BD!$X$3:$X$5001,"&lt;&gt;")=0,"",SUMIFS(BD!$X$3:$X$5001,BD!$B$3:$B$5001,L$208,BD!$A$3:$A$5001,_xlfn.MAXIFS(BD!$A$3:$A$5001,BD!$B$3:$B$5001,L$208,BD!$A$3:$A$5001,"&gt;="&amp;$C$7,BD!$A$3:$A$5001,"&lt;="&amp;$B210,BD!$X$3:$X$5001,"&lt;&gt;"))))</f>
        <v/>
      </c>
    </row>
    <row r="211">
      <c r="A211" s="40">
        <v>3</v>
      </c>
      <c r="B211" s="41">
        <f>$B$14</f>
        <v>46298</v>
      </c>
      <c r="C211" s="42" t="str">
        <f>IF(OR($B211="",$A211&gt;$B$9),"",IF(COUNTIFS(BD!$B$3:$B$5001,C$208,BD!$A$3:$A$5001,"&gt;="&amp;$C$7,BD!$A$3:$A$5001,"&lt;="&amp;$B211,BD!$X$3:$X$5001,"&lt;&gt;")=0,"",SUMIFS(BD!$X$3:$X$5001,BD!$B$3:$B$5001,C$208,BD!$A$3:$A$5001,_xlfn.MAXIFS(BD!$A$3:$A$5001,BD!$B$3:$B$5001,C$208,BD!$A$3:$A$5001,"&gt;="&amp;$C$7,BD!$A$3:$A$5001,"&lt;="&amp;$B211,BD!$X$3:$X$5001,"&lt;&gt;"))))</f>
        <v/>
      </c>
      <c r="D211" s="42" t="str">
        <f>IF(OR($B211="",$A211&gt;$B$9),"",IF(COUNTIFS(BD!$B$3:$B$5001,D$208,BD!$A$3:$A$5001,"&gt;="&amp;$C$7,BD!$A$3:$A$5001,"&lt;="&amp;$B211,BD!$X$3:$X$5001,"&lt;&gt;")=0,"",SUMIFS(BD!$X$3:$X$5001,BD!$B$3:$B$5001,D$208,BD!$A$3:$A$5001,_xlfn.MAXIFS(BD!$A$3:$A$5001,BD!$B$3:$B$5001,D$208,BD!$A$3:$A$5001,"&gt;="&amp;$C$7,BD!$A$3:$A$5001,"&lt;="&amp;$B211,BD!$X$3:$X$5001,"&lt;&gt;"))))</f>
        <v/>
      </c>
      <c r="E211" s="42" t="str">
        <f>IF(OR($B211="",$A211&gt;$B$9),"",IF(COUNTIFS(BD!$B$3:$B$5001,E$208,BD!$A$3:$A$5001,"&gt;="&amp;$C$7,BD!$A$3:$A$5001,"&lt;="&amp;$B211,BD!$X$3:$X$5001,"&lt;&gt;")=0,"",SUMIFS(BD!$X$3:$X$5001,BD!$B$3:$B$5001,E$208,BD!$A$3:$A$5001,_xlfn.MAXIFS(BD!$A$3:$A$5001,BD!$B$3:$B$5001,E$208,BD!$A$3:$A$5001,"&gt;="&amp;$C$7,BD!$A$3:$A$5001,"&lt;="&amp;$B211,BD!$X$3:$X$5001,"&lt;&gt;"))))</f>
        <v/>
      </c>
      <c r="F211" s="42" t="str">
        <f>IF(OR($B211="",$A211&gt;$B$9),"",IF(COUNTIFS(BD!$B$3:$B$5001,F$208,BD!$A$3:$A$5001,"&gt;="&amp;$C$7,BD!$A$3:$A$5001,"&lt;="&amp;$B211,BD!$X$3:$X$5001,"&lt;&gt;")=0,"",SUMIFS(BD!$X$3:$X$5001,BD!$B$3:$B$5001,F$208,BD!$A$3:$A$5001,_xlfn.MAXIFS(BD!$A$3:$A$5001,BD!$B$3:$B$5001,F$208,BD!$A$3:$A$5001,"&gt;="&amp;$C$7,BD!$A$3:$A$5001,"&lt;="&amp;$B211,BD!$X$3:$X$5001,"&lt;&gt;"))))</f>
        <v/>
      </c>
      <c r="G211" s="42" t="str">
        <f>IF(OR($B211="",$A211&gt;$B$9),"",IF(COUNTIFS(BD!$B$3:$B$5001,G$208,BD!$A$3:$A$5001,"&gt;="&amp;$C$7,BD!$A$3:$A$5001,"&lt;="&amp;$B211,BD!$X$3:$X$5001,"&lt;&gt;")=0,"",SUMIFS(BD!$X$3:$X$5001,BD!$B$3:$B$5001,G$208,BD!$A$3:$A$5001,_xlfn.MAXIFS(BD!$A$3:$A$5001,BD!$B$3:$B$5001,G$208,BD!$A$3:$A$5001,"&gt;="&amp;$C$7,BD!$A$3:$A$5001,"&lt;="&amp;$B211,BD!$X$3:$X$5001,"&lt;&gt;"))))</f>
        <v/>
      </c>
      <c r="H211" s="42" t="str">
        <f>IF(OR($B211="",$A211&gt;$B$9),"",IF(COUNTIFS(BD!$B$3:$B$5001,H$208,BD!$A$3:$A$5001,"&gt;="&amp;$C$7,BD!$A$3:$A$5001,"&lt;="&amp;$B211,BD!$X$3:$X$5001,"&lt;&gt;")=0,"",SUMIFS(BD!$X$3:$X$5001,BD!$B$3:$B$5001,H$208,BD!$A$3:$A$5001,_xlfn.MAXIFS(BD!$A$3:$A$5001,BD!$B$3:$B$5001,H$208,BD!$A$3:$A$5001,"&gt;="&amp;$C$7,BD!$A$3:$A$5001,"&lt;="&amp;$B211,BD!$X$3:$X$5001,"&lt;&gt;"))))</f>
        <v/>
      </c>
      <c r="I211" s="42" t="str">
        <f>IF(OR($B211="",$A211&gt;$B$9),"",IF(COUNTIFS(BD!$B$3:$B$5001,I$208,BD!$A$3:$A$5001,"&gt;="&amp;$C$7,BD!$A$3:$A$5001,"&lt;="&amp;$B211,BD!$X$3:$X$5001,"&lt;&gt;")=0,"",SUMIFS(BD!$X$3:$X$5001,BD!$B$3:$B$5001,I$208,BD!$A$3:$A$5001,_xlfn.MAXIFS(BD!$A$3:$A$5001,BD!$B$3:$B$5001,I$208,BD!$A$3:$A$5001,"&gt;="&amp;$C$7,BD!$A$3:$A$5001,"&lt;="&amp;$B211,BD!$X$3:$X$5001,"&lt;&gt;"))))</f>
        <v/>
      </c>
      <c r="J211" s="42" t="str">
        <f>IF(OR($B211="",$A211&gt;$B$9),"",IF(COUNTIFS(BD!$B$3:$B$5001,J$208,BD!$A$3:$A$5001,"&gt;="&amp;$C$7,BD!$A$3:$A$5001,"&lt;="&amp;$B211,BD!$X$3:$X$5001,"&lt;&gt;")=0,"",SUMIFS(BD!$X$3:$X$5001,BD!$B$3:$B$5001,J$208,BD!$A$3:$A$5001,_xlfn.MAXIFS(BD!$A$3:$A$5001,BD!$B$3:$B$5001,J$208,BD!$A$3:$A$5001,"&gt;="&amp;$C$7,BD!$A$3:$A$5001,"&lt;="&amp;$B211,BD!$X$3:$X$5001,"&lt;&gt;"))))</f>
        <v/>
      </c>
      <c r="K211" s="42" t="str">
        <f>IF(OR($B211="",$A211&gt;$B$9),"",IF(COUNTIFS(BD!$B$3:$B$5001,K$208,BD!$A$3:$A$5001,"&gt;="&amp;$C$7,BD!$A$3:$A$5001,"&lt;="&amp;$B211,BD!$X$3:$X$5001,"&lt;&gt;")=0,"",SUMIFS(BD!$X$3:$X$5001,BD!$B$3:$B$5001,K$208,BD!$A$3:$A$5001,_xlfn.MAXIFS(BD!$A$3:$A$5001,BD!$B$3:$B$5001,K$208,BD!$A$3:$A$5001,"&gt;="&amp;$C$7,BD!$A$3:$A$5001,"&lt;="&amp;$B211,BD!$X$3:$X$5001,"&lt;&gt;"))))</f>
        <v/>
      </c>
      <c r="L211" s="42" t="str">
        <f>IF(OR($B211="",$A211&gt;$B$9),"",IF(COUNTIFS(BD!$B$3:$B$5001,L$208,BD!$A$3:$A$5001,"&gt;="&amp;$C$7,BD!$A$3:$A$5001,"&lt;="&amp;$B211,BD!$X$3:$X$5001,"&lt;&gt;")=0,"",SUMIFS(BD!$X$3:$X$5001,BD!$B$3:$B$5001,L$208,BD!$A$3:$A$5001,_xlfn.MAXIFS(BD!$A$3:$A$5001,BD!$B$3:$B$5001,L$208,BD!$A$3:$A$5001,"&gt;="&amp;$C$7,BD!$A$3:$A$5001,"&lt;="&amp;$B211,BD!$X$3:$X$5001,"&lt;&gt;"))))</f>
        <v/>
      </c>
    </row>
    <row r="212">
      <c r="A212" s="40">
        <v>4</v>
      </c>
      <c r="B212" s="41">
        <f>$B$15</f>
        <v>46299</v>
      </c>
      <c r="C212" s="42" t="str">
        <f>IF(OR($B212="",$A212&gt;$B$9),"",IF(COUNTIFS(BD!$B$3:$B$5001,C$208,BD!$A$3:$A$5001,"&gt;="&amp;$C$7,BD!$A$3:$A$5001,"&lt;="&amp;$B212,BD!$X$3:$X$5001,"&lt;&gt;")=0,"",SUMIFS(BD!$X$3:$X$5001,BD!$B$3:$B$5001,C$208,BD!$A$3:$A$5001,_xlfn.MAXIFS(BD!$A$3:$A$5001,BD!$B$3:$B$5001,C$208,BD!$A$3:$A$5001,"&gt;="&amp;$C$7,BD!$A$3:$A$5001,"&lt;="&amp;$B212,BD!$X$3:$X$5001,"&lt;&gt;"))))</f>
        <v/>
      </c>
      <c r="D212" s="42" t="str">
        <f>IF(OR($B212="",$A212&gt;$B$9),"",IF(COUNTIFS(BD!$B$3:$B$5001,D$208,BD!$A$3:$A$5001,"&gt;="&amp;$C$7,BD!$A$3:$A$5001,"&lt;="&amp;$B212,BD!$X$3:$X$5001,"&lt;&gt;")=0,"",SUMIFS(BD!$X$3:$X$5001,BD!$B$3:$B$5001,D$208,BD!$A$3:$A$5001,_xlfn.MAXIFS(BD!$A$3:$A$5001,BD!$B$3:$B$5001,D$208,BD!$A$3:$A$5001,"&gt;="&amp;$C$7,BD!$A$3:$A$5001,"&lt;="&amp;$B212,BD!$X$3:$X$5001,"&lt;&gt;"))))</f>
        <v/>
      </c>
      <c r="E212" s="42" t="str">
        <f>IF(OR($B212="",$A212&gt;$B$9),"",IF(COUNTIFS(BD!$B$3:$B$5001,E$208,BD!$A$3:$A$5001,"&gt;="&amp;$C$7,BD!$A$3:$A$5001,"&lt;="&amp;$B212,BD!$X$3:$X$5001,"&lt;&gt;")=0,"",SUMIFS(BD!$X$3:$X$5001,BD!$B$3:$B$5001,E$208,BD!$A$3:$A$5001,_xlfn.MAXIFS(BD!$A$3:$A$5001,BD!$B$3:$B$5001,E$208,BD!$A$3:$A$5001,"&gt;="&amp;$C$7,BD!$A$3:$A$5001,"&lt;="&amp;$B212,BD!$X$3:$X$5001,"&lt;&gt;"))))</f>
        <v/>
      </c>
      <c r="F212" s="42" t="str">
        <f>IF(OR($B212="",$A212&gt;$B$9),"",IF(COUNTIFS(BD!$B$3:$B$5001,F$208,BD!$A$3:$A$5001,"&gt;="&amp;$C$7,BD!$A$3:$A$5001,"&lt;="&amp;$B212,BD!$X$3:$X$5001,"&lt;&gt;")=0,"",SUMIFS(BD!$X$3:$X$5001,BD!$B$3:$B$5001,F$208,BD!$A$3:$A$5001,_xlfn.MAXIFS(BD!$A$3:$A$5001,BD!$B$3:$B$5001,F$208,BD!$A$3:$A$5001,"&gt;="&amp;$C$7,BD!$A$3:$A$5001,"&lt;="&amp;$B212,BD!$X$3:$X$5001,"&lt;&gt;"))))</f>
        <v/>
      </c>
      <c r="G212" s="42" t="str">
        <f>IF(OR($B212="",$A212&gt;$B$9),"",IF(COUNTIFS(BD!$B$3:$B$5001,G$208,BD!$A$3:$A$5001,"&gt;="&amp;$C$7,BD!$A$3:$A$5001,"&lt;="&amp;$B212,BD!$X$3:$X$5001,"&lt;&gt;")=0,"",SUMIFS(BD!$X$3:$X$5001,BD!$B$3:$B$5001,G$208,BD!$A$3:$A$5001,_xlfn.MAXIFS(BD!$A$3:$A$5001,BD!$B$3:$B$5001,G$208,BD!$A$3:$A$5001,"&gt;="&amp;$C$7,BD!$A$3:$A$5001,"&lt;="&amp;$B212,BD!$X$3:$X$5001,"&lt;&gt;"))))</f>
        <v/>
      </c>
      <c r="H212" s="42" t="str">
        <f>IF(OR($B212="",$A212&gt;$B$9),"",IF(COUNTIFS(BD!$B$3:$B$5001,H$208,BD!$A$3:$A$5001,"&gt;="&amp;$C$7,BD!$A$3:$A$5001,"&lt;="&amp;$B212,BD!$X$3:$X$5001,"&lt;&gt;")=0,"",SUMIFS(BD!$X$3:$X$5001,BD!$B$3:$B$5001,H$208,BD!$A$3:$A$5001,_xlfn.MAXIFS(BD!$A$3:$A$5001,BD!$B$3:$B$5001,H$208,BD!$A$3:$A$5001,"&gt;="&amp;$C$7,BD!$A$3:$A$5001,"&lt;="&amp;$B212,BD!$X$3:$X$5001,"&lt;&gt;"))))</f>
        <v/>
      </c>
      <c r="I212" s="42" t="str">
        <f>IF(OR($B212="",$A212&gt;$B$9),"",IF(COUNTIFS(BD!$B$3:$B$5001,I$208,BD!$A$3:$A$5001,"&gt;="&amp;$C$7,BD!$A$3:$A$5001,"&lt;="&amp;$B212,BD!$X$3:$X$5001,"&lt;&gt;")=0,"",SUMIFS(BD!$X$3:$X$5001,BD!$B$3:$B$5001,I$208,BD!$A$3:$A$5001,_xlfn.MAXIFS(BD!$A$3:$A$5001,BD!$B$3:$B$5001,I$208,BD!$A$3:$A$5001,"&gt;="&amp;$C$7,BD!$A$3:$A$5001,"&lt;="&amp;$B212,BD!$X$3:$X$5001,"&lt;&gt;"))))</f>
        <v/>
      </c>
      <c r="J212" s="42" t="str">
        <f>IF(OR($B212="",$A212&gt;$B$9),"",IF(COUNTIFS(BD!$B$3:$B$5001,J$208,BD!$A$3:$A$5001,"&gt;="&amp;$C$7,BD!$A$3:$A$5001,"&lt;="&amp;$B212,BD!$X$3:$X$5001,"&lt;&gt;")=0,"",SUMIFS(BD!$X$3:$X$5001,BD!$B$3:$B$5001,J$208,BD!$A$3:$A$5001,_xlfn.MAXIFS(BD!$A$3:$A$5001,BD!$B$3:$B$5001,J$208,BD!$A$3:$A$5001,"&gt;="&amp;$C$7,BD!$A$3:$A$5001,"&lt;="&amp;$B212,BD!$X$3:$X$5001,"&lt;&gt;"))))</f>
        <v/>
      </c>
      <c r="K212" s="42" t="str">
        <f>IF(OR($B212="",$A212&gt;$B$9),"",IF(COUNTIFS(BD!$B$3:$B$5001,K$208,BD!$A$3:$A$5001,"&gt;="&amp;$C$7,BD!$A$3:$A$5001,"&lt;="&amp;$B212,BD!$X$3:$X$5001,"&lt;&gt;")=0,"",SUMIFS(BD!$X$3:$X$5001,BD!$B$3:$B$5001,K$208,BD!$A$3:$A$5001,_xlfn.MAXIFS(BD!$A$3:$A$5001,BD!$B$3:$B$5001,K$208,BD!$A$3:$A$5001,"&gt;="&amp;$C$7,BD!$A$3:$A$5001,"&lt;="&amp;$B212,BD!$X$3:$X$5001,"&lt;&gt;"))))</f>
        <v/>
      </c>
      <c r="L212" s="42" t="str">
        <f>IF(OR($B212="",$A212&gt;$B$9),"",IF(COUNTIFS(BD!$B$3:$B$5001,L$208,BD!$A$3:$A$5001,"&gt;="&amp;$C$7,BD!$A$3:$A$5001,"&lt;="&amp;$B212,BD!$X$3:$X$5001,"&lt;&gt;")=0,"",SUMIFS(BD!$X$3:$X$5001,BD!$B$3:$B$5001,L$208,BD!$A$3:$A$5001,_xlfn.MAXIFS(BD!$A$3:$A$5001,BD!$B$3:$B$5001,L$208,BD!$A$3:$A$5001,"&gt;="&amp;$C$7,BD!$A$3:$A$5001,"&lt;="&amp;$B212,BD!$X$3:$X$5001,"&lt;&gt;"))))</f>
        <v/>
      </c>
    </row>
    <row r="213">
      <c r="A213" s="40">
        <v>5</v>
      </c>
      <c r="B213" s="41">
        <f>$B$16</f>
        <v>46300</v>
      </c>
      <c r="C213" s="42" t="str">
        <f>IF(OR($B213="",$A213&gt;$B$9),"",IF(COUNTIFS(BD!$B$3:$B$5001,C$208,BD!$A$3:$A$5001,"&gt;="&amp;$C$7,BD!$A$3:$A$5001,"&lt;="&amp;$B213,BD!$X$3:$X$5001,"&lt;&gt;")=0,"",SUMIFS(BD!$X$3:$X$5001,BD!$B$3:$B$5001,C$208,BD!$A$3:$A$5001,_xlfn.MAXIFS(BD!$A$3:$A$5001,BD!$B$3:$B$5001,C$208,BD!$A$3:$A$5001,"&gt;="&amp;$C$7,BD!$A$3:$A$5001,"&lt;="&amp;$B213,BD!$X$3:$X$5001,"&lt;&gt;"))))</f>
        <v/>
      </c>
      <c r="D213" s="42" t="str">
        <f>IF(OR($B213="",$A213&gt;$B$9),"",IF(COUNTIFS(BD!$B$3:$B$5001,D$208,BD!$A$3:$A$5001,"&gt;="&amp;$C$7,BD!$A$3:$A$5001,"&lt;="&amp;$B213,BD!$X$3:$X$5001,"&lt;&gt;")=0,"",SUMIFS(BD!$X$3:$X$5001,BD!$B$3:$B$5001,D$208,BD!$A$3:$A$5001,_xlfn.MAXIFS(BD!$A$3:$A$5001,BD!$B$3:$B$5001,D$208,BD!$A$3:$A$5001,"&gt;="&amp;$C$7,BD!$A$3:$A$5001,"&lt;="&amp;$B213,BD!$X$3:$X$5001,"&lt;&gt;"))))</f>
        <v/>
      </c>
      <c r="E213" s="42" t="str">
        <f>IF(OR($B213="",$A213&gt;$B$9),"",IF(COUNTIFS(BD!$B$3:$B$5001,E$208,BD!$A$3:$A$5001,"&gt;="&amp;$C$7,BD!$A$3:$A$5001,"&lt;="&amp;$B213,BD!$X$3:$X$5001,"&lt;&gt;")=0,"",SUMIFS(BD!$X$3:$X$5001,BD!$B$3:$B$5001,E$208,BD!$A$3:$A$5001,_xlfn.MAXIFS(BD!$A$3:$A$5001,BD!$B$3:$B$5001,E$208,BD!$A$3:$A$5001,"&gt;="&amp;$C$7,BD!$A$3:$A$5001,"&lt;="&amp;$B213,BD!$X$3:$X$5001,"&lt;&gt;"))))</f>
        <v/>
      </c>
      <c r="F213" s="42" t="str">
        <f>IF(OR($B213="",$A213&gt;$B$9),"",IF(COUNTIFS(BD!$B$3:$B$5001,F$208,BD!$A$3:$A$5001,"&gt;="&amp;$C$7,BD!$A$3:$A$5001,"&lt;="&amp;$B213,BD!$X$3:$X$5001,"&lt;&gt;")=0,"",SUMIFS(BD!$X$3:$X$5001,BD!$B$3:$B$5001,F$208,BD!$A$3:$A$5001,_xlfn.MAXIFS(BD!$A$3:$A$5001,BD!$B$3:$B$5001,F$208,BD!$A$3:$A$5001,"&gt;="&amp;$C$7,BD!$A$3:$A$5001,"&lt;="&amp;$B213,BD!$X$3:$X$5001,"&lt;&gt;"))))</f>
        <v/>
      </c>
      <c r="G213" s="42" t="str">
        <f>IF(OR($B213="",$A213&gt;$B$9),"",IF(COUNTIFS(BD!$B$3:$B$5001,G$208,BD!$A$3:$A$5001,"&gt;="&amp;$C$7,BD!$A$3:$A$5001,"&lt;="&amp;$B213,BD!$X$3:$X$5001,"&lt;&gt;")=0,"",SUMIFS(BD!$X$3:$X$5001,BD!$B$3:$B$5001,G$208,BD!$A$3:$A$5001,_xlfn.MAXIFS(BD!$A$3:$A$5001,BD!$B$3:$B$5001,G$208,BD!$A$3:$A$5001,"&gt;="&amp;$C$7,BD!$A$3:$A$5001,"&lt;="&amp;$B213,BD!$X$3:$X$5001,"&lt;&gt;"))))</f>
        <v/>
      </c>
      <c r="H213" s="42" t="str">
        <f>IF(OR($B213="",$A213&gt;$B$9),"",IF(COUNTIFS(BD!$B$3:$B$5001,H$208,BD!$A$3:$A$5001,"&gt;="&amp;$C$7,BD!$A$3:$A$5001,"&lt;="&amp;$B213,BD!$X$3:$X$5001,"&lt;&gt;")=0,"",SUMIFS(BD!$X$3:$X$5001,BD!$B$3:$B$5001,H$208,BD!$A$3:$A$5001,_xlfn.MAXIFS(BD!$A$3:$A$5001,BD!$B$3:$B$5001,H$208,BD!$A$3:$A$5001,"&gt;="&amp;$C$7,BD!$A$3:$A$5001,"&lt;="&amp;$B213,BD!$X$3:$X$5001,"&lt;&gt;"))))</f>
        <v/>
      </c>
      <c r="I213" s="42" t="str">
        <f>IF(OR($B213="",$A213&gt;$B$9),"",IF(COUNTIFS(BD!$B$3:$B$5001,I$208,BD!$A$3:$A$5001,"&gt;="&amp;$C$7,BD!$A$3:$A$5001,"&lt;="&amp;$B213,BD!$X$3:$X$5001,"&lt;&gt;")=0,"",SUMIFS(BD!$X$3:$X$5001,BD!$B$3:$B$5001,I$208,BD!$A$3:$A$5001,_xlfn.MAXIFS(BD!$A$3:$A$5001,BD!$B$3:$B$5001,I$208,BD!$A$3:$A$5001,"&gt;="&amp;$C$7,BD!$A$3:$A$5001,"&lt;="&amp;$B213,BD!$X$3:$X$5001,"&lt;&gt;"))))</f>
        <v/>
      </c>
      <c r="J213" s="42" t="str">
        <f>IF(OR($B213="",$A213&gt;$B$9),"",IF(COUNTIFS(BD!$B$3:$B$5001,J$208,BD!$A$3:$A$5001,"&gt;="&amp;$C$7,BD!$A$3:$A$5001,"&lt;="&amp;$B213,BD!$X$3:$X$5001,"&lt;&gt;")=0,"",SUMIFS(BD!$X$3:$X$5001,BD!$B$3:$B$5001,J$208,BD!$A$3:$A$5001,_xlfn.MAXIFS(BD!$A$3:$A$5001,BD!$B$3:$B$5001,J$208,BD!$A$3:$A$5001,"&gt;="&amp;$C$7,BD!$A$3:$A$5001,"&lt;="&amp;$B213,BD!$X$3:$X$5001,"&lt;&gt;"))))</f>
        <v/>
      </c>
      <c r="K213" s="42" t="str">
        <f>IF(OR($B213="",$A213&gt;$B$9),"",IF(COUNTIFS(BD!$B$3:$B$5001,K$208,BD!$A$3:$A$5001,"&gt;="&amp;$C$7,BD!$A$3:$A$5001,"&lt;="&amp;$B213,BD!$X$3:$X$5001,"&lt;&gt;")=0,"",SUMIFS(BD!$X$3:$X$5001,BD!$B$3:$B$5001,K$208,BD!$A$3:$A$5001,_xlfn.MAXIFS(BD!$A$3:$A$5001,BD!$B$3:$B$5001,K$208,BD!$A$3:$A$5001,"&gt;="&amp;$C$7,BD!$A$3:$A$5001,"&lt;="&amp;$B213,BD!$X$3:$X$5001,"&lt;&gt;"))))</f>
        <v/>
      </c>
      <c r="L213" s="42" t="str">
        <f>IF(OR($B213="",$A213&gt;$B$9),"",IF(COUNTIFS(BD!$B$3:$B$5001,L$208,BD!$A$3:$A$5001,"&gt;="&amp;$C$7,BD!$A$3:$A$5001,"&lt;="&amp;$B213,BD!$X$3:$X$5001,"&lt;&gt;")=0,"",SUMIFS(BD!$X$3:$X$5001,BD!$B$3:$B$5001,L$208,BD!$A$3:$A$5001,_xlfn.MAXIFS(BD!$A$3:$A$5001,BD!$B$3:$B$5001,L$208,BD!$A$3:$A$5001,"&gt;="&amp;$C$7,BD!$A$3:$A$5001,"&lt;="&amp;$B213,BD!$X$3:$X$5001,"&lt;&gt;"))))</f>
        <v/>
      </c>
    </row>
    <row r="214">
      <c r="A214" s="40">
        <v>6</v>
      </c>
      <c r="B214" s="41">
        <f>$B$17</f>
        <v>46301</v>
      </c>
      <c r="C214" s="42" t="str">
        <f>IF(OR($B214="",$A214&gt;$B$9),"",IF(COUNTIFS(BD!$B$3:$B$5001,C$208,BD!$A$3:$A$5001,"&gt;="&amp;$C$7,BD!$A$3:$A$5001,"&lt;="&amp;$B214,BD!$X$3:$X$5001,"&lt;&gt;")=0,"",SUMIFS(BD!$X$3:$X$5001,BD!$B$3:$B$5001,C$208,BD!$A$3:$A$5001,_xlfn.MAXIFS(BD!$A$3:$A$5001,BD!$B$3:$B$5001,C$208,BD!$A$3:$A$5001,"&gt;="&amp;$C$7,BD!$A$3:$A$5001,"&lt;="&amp;$B214,BD!$X$3:$X$5001,"&lt;&gt;"))))</f>
        <v/>
      </c>
      <c r="D214" s="42" t="str">
        <f>IF(OR($B214="",$A214&gt;$B$9),"",IF(COUNTIFS(BD!$B$3:$B$5001,D$208,BD!$A$3:$A$5001,"&gt;="&amp;$C$7,BD!$A$3:$A$5001,"&lt;="&amp;$B214,BD!$X$3:$X$5001,"&lt;&gt;")=0,"",SUMIFS(BD!$X$3:$X$5001,BD!$B$3:$B$5001,D$208,BD!$A$3:$A$5001,_xlfn.MAXIFS(BD!$A$3:$A$5001,BD!$B$3:$B$5001,D$208,BD!$A$3:$A$5001,"&gt;="&amp;$C$7,BD!$A$3:$A$5001,"&lt;="&amp;$B214,BD!$X$3:$X$5001,"&lt;&gt;"))))</f>
        <v/>
      </c>
      <c r="E214" s="42" t="str">
        <f>IF(OR($B214="",$A214&gt;$B$9),"",IF(COUNTIFS(BD!$B$3:$B$5001,E$208,BD!$A$3:$A$5001,"&gt;="&amp;$C$7,BD!$A$3:$A$5001,"&lt;="&amp;$B214,BD!$X$3:$X$5001,"&lt;&gt;")=0,"",SUMIFS(BD!$X$3:$X$5001,BD!$B$3:$B$5001,E$208,BD!$A$3:$A$5001,_xlfn.MAXIFS(BD!$A$3:$A$5001,BD!$B$3:$B$5001,E$208,BD!$A$3:$A$5001,"&gt;="&amp;$C$7,BD!$A$3:$A$5001,"&lt;="&amp;$B214,BD!$X$3:$X$5001,"&lt;&gt;"))))</f>
        <v/>
      </c>
      <c r="F214" s="42" t="str">
        <f>IF(OR($B214="",$A214&gt;$B$9),"",IF(COUNTIFS(BD!$B$3:$B$5001,F$208,BD!$A$3:$A$5001,"&gt;="&amp;$C$7,BD!$A$3:$A$5001,"&lt;="&amp;$B214,BD!$X$3:$X$5001,"&lt;&gt;")=0,"",SUMIFS(BD!$X$3:$X$5001,BD!$B$3:$B$5001,F$208,BD!$A$3:$A$5001,_xlfn.MAXIFS(BD!$A$3:$A$5001,BD!$B$3:$B$5001,F$208,BD!$A$3:$A$5001,"&gt;="&amp;$C$7,BD!$A$3:$A$5001,"&lt;="&amp;$B214,BD!$X$3:$X$5001,"&lt;&gt;"))))</f>
        <v/>
      </c>
      <c r="G214" s="42" t="str">
        <f>IF(OR($B214="",$A214&gt;$B$9),"",IF(COUNTIFS(BD!$B$3:$B$5001,G$208,BD!$A$3:$A$5001,"&gt;="&amp;$C$7,BD!$A$3:$A$5001,"&lt;="&amp;$B214,BD!$X$3:$X$5001,"&lt;&gt;")=0,"",SUMIFS(BD!$X$3:$X$5001,BD!$B$3:$B$5001,G$208,BD!$A$3:$A$5001,_xlfn.MAXIFS(BD!$A$3:$A$5001,BD!$B$3:$B$5001,G$208,BD!$A$3:$A$5001,"&gt;="&amp;$C$7,BD!$A$3:$A$5001,"&lt;="&amp;$B214,BD!$X$3:$X$5001,"&lt;&gt;"))))</f>
        <v/>
      </c>
      <c r="H214" s="42" t="str">
        <f>IF(OR($B214="",$A214&gt;$B$9),"",IF(COUNTIFS(BD!$B$3:$B$5001,H$208,BD!$A$3:$A$5001,"&gt;="&amp;$C$7,BD!$A$3:$A$5001,"&lt;="&amp;$B214,BD!$X$3:$X$5001,"&lt;&gt;")=0,"",SUMIFS(BD!$X$3:$X$5001,BD!$B$3:$B$5001,H$208,BD!$A$3:$A$5001,_xlfn.MAXIFS(BD!$A$3:$A$5001,BD!$B$3:$B$5001,H$208,BD!$A$3:$A$5001,"&gt;="&amp;$C$7,BD!$A$3:$A$5001,"&lt;="&amp;$B214,BD!$X$3:$X$5001,"&lt;&gt;"))))</f>
        <v/>
      </c>
      <c r="I214" s="42" t="str">
        <f>IF(OR($B214="",$A214&gt;$B$9),"",IF(COUNTIFS(BD!$B$3:$B$5001,I$208,BD!$A$3:$A$5001,"&gt;="&amp;$C$7,BD!$A$3:$A$5001,"&lt;="&amp;$B214,BD!$X$3:$X$5001,"&lt;&gt;")=0,"",SUMIFS(BD!$X$3:$X$5001,BD!$B$3:$B$5001,I$208,BD!$A$3:$A$5001,_xlfn.MAXIFS(BD!$A$3:$A$5001,BD!$B$3:$B$5001,I$208,BD!$A$3:$A$5001,"&gt;="&amp;$C$7,BD!$A$3:$A$5001,"&lt;="&amp;$B214,BD!$X$3:$X$5001,"&lt;&gt;"))))</f>
        <v/>
      </c>
      <c r="J214" s="42" t="str">
        <f>IF(OR($B214="",$A214&gt;$B$9),"",IF(COUNTIFS(BD!$B$3:$B$5001,J$208,BD!$A$3:$A$5001,"&gt;="&amp;$C$7,BD!$A$3:$A$5001,"&lt;="&amp;$B214,BD!$X$3:$X$5001,"&lt;&gt;")=0,"",SUMIFS(BD!$X$3:$X$5001,BD!$B$3:$B$5001,J$208,BD!$A$3:$A$5001,_xlfn.MAXIFS(BD!$A$3:$A$5001,BD!$B$3:$B$5001,J$208,BD!$A$3:$A$5001,"&gt;="&amp;$C$7,BD!$A$3:$A$5001,"&lt;="&amp;$B214,BD!$X$3:$X$5001,"&lt;&gt;"))))</f>
        <v/>
      </c>
      <c r="K214" s="42" t="str">
        <f>IF(OR($B214="",$A214&gt;$B$9),"",IF(COUNTIFS(BD!$B$3:$B$5001,K$208,BD!$A$3:$A$5001,"&gt;="&amp;$C$7,BD!$A$3:$A$5001,"&lt;="&amp;$B214,BD!$X$3:$X$5001,"&lt;&gt;")=0,"",SUMIFS(BD!$X$3:$X$5001,BD!$B$3:$B$5001,K$208,BD!$A$3:$A$5001,_xlfn.MAXIFS(BD!$A$3:$A$5001,BD!$B$3:$B$5001,K$208,BD!$A$3:$A$5001,"&gt;="&amp;$C$7,BD!$A$3:$A$5001,"&lt;="&amp;$B214,BD!$X$3:$X$5001,"&lt;&gt;"))))</f>
        <v/>
      </c>
      <c r="L214" s="42" t="str">
        <f>IF(OR($B214="",$A214&gt;$B$9),"",IF(COUNTIFS(BD!$B$3:$B$5001,L$208,BD!$A$3:$A$5001,"&gt;="&amp;$C$7,BD!$A$3:$A$5001,"&lt;="&amp;$B214,BD!$X$3:$X$5001,"&lt;&gt;")=0,"",SUMIFS(BD!$X$3:$X$5001,BD!$B$3:$B$5001,L$208,BD!$A$3:$A$5001,_xlfn.MAXIFS(BD!$A$3:$A$5001,BD!$B$3:$B$5001,L$208,BD!$A$3:$A$5001,"&gt;="&amp;$C$7,BD!$A$3:$A$5001,"&lt;="&amp;$B214,BD!$X$3:$X$5001,"&lt;&gt;"))))</f>
        <v/>
      </c>
    </row>
    <row r="215">
      <c r="A215" s="40">
        <v>7</v>
      </c>
      <c r="B215" s="41">
        <f>$B$18</f>
        <v>46302</v>
      </c>
      <c r="C215" s="42" t="str">
        <f>IF(OR($B215="",$A215&gt;$B$9),"",IF(COUNTIFS(BD!$B$3:$B$5001,C$208,BD!$A$3:$A$5001,"&gt;="&amp;$C$7,BD!$A$3:$A$5001,"&lt;="&amp;$B215,BD!$X$3:$X$5001,"&lt;&gt;")=0,"",SUMIFS(BD!$X$3:$X$5001,BD!$B$3:$B$5001,C$208,BD!$A$3:$A$5001,_xlfn.MAXIFS(BD!$A$3:$A$5001,BD!$B$3:$B$5001,C$208,BD!$A$3:$A$5001,"&gt;="&amp;$C$7,BD!$A$3:$A$5001,"&lt;="&amp;$B215,BD!$X$3:$X$5001,"&lt;&gt;"))))</f>
        <v/>
      </c>
      <c r="D215" s="42" t="str">
        <f>IF(OR($B215="",$A215&gt;$B$9),"",IF(COUNTIFS(BD!$B$3:$B$5001,D$208,BD!$A$3:$A$5001,"&gt;="&amp;$C$7,BD!$A$3:$A$5001,"&lt;="&amp;$B215,BD!$X$3:$X$5001,"&lt;&gt;")=0,"",SUMIFS(BD!$X$3:$X$5001,BD!$B$3:$B$5001,D$208,BD!$A$3:$A$5001,_xlfn.MAXIFS(BD!$A$3:$A$5001,BD!$B$3:$B$5001,D$208,BD!$A$3:$A$5001,"&gt;="&amp;$C$7,BD!$A$3:$A$5001,"&lt;="&amp;$B215,BD!$X$3:$X$5001,"&lt;&gt;"))))</f>
        <v/>
      </c>
      <c r="E215" s="42" t="str">
        <f>IF(OR($B215="",$A215&gt;$B$9),"",IF(COUNTIFS(BD!$B$3:$B$5001,E$208,BD!$A$3:$A$5001,"&gt;="&amp;$C$7,BD!$A$3:$A$5001,"&lt;="&amp;$B215,BD!$X$3:$X$5001,"&lt;&gt;")=0,"",SUMIFS(BD!$X$3:$X$5001,BD!$B$3:$B$5001,E$208,BD!$A$3:$A$5001,_xlfn.MAXIFS(BD!$A$3:$A$5001,BD!$B$3:$B$5001,E$208,BD!$A$3:$A$5001,"&gt;="&amp;$C$7,BD!$A$3:$A$5001,"&lt;="&amp;$B215,BD!$X$3:$X$5001,"&lt;&gt;"))))</f>
        <v/>
      </c>
      <c r="F215" s="42" t="str">
        <f>IF(OR($B215="",$A215&gt;$B$9),"",IF(COUNTIFS(BD!$B$3:$B$5001,F$208,BD!$A$3:$A$5001,"&gt;="&amp;$C$7,BD!$A$3:$A$5001,"&lt;="&amp;$B215,BD!$X$3:$X$5001,"&lt;&gt;")=0,"",SUMIFS(BD!$X$3:$X$5001,BD!$B$3:$B$5001,F$208,BD!$A$3:$A$5001,_xlfn.MAXIFS(BD!$A$3:$A$5001,BD!$B$3:$B$5001,F$208,BD!$A$3:$A$5001,"&gt;="&amp;$C$7,BD!$A$3:$A$5001,"&lt;="&amp;$B215,BD!$X$3:$X$5001,"&lt;&gt;"))))</f>
        <v/>
      </c>
      <c r="G215" s="42" t="str">
        <f>IF(OR($B215="",$A215&gt;$B$9),"",IF(COUNTIFS(BD!$B$3:$B$5001,G$208,BD!$A$3:$A$5001,"&gt;="&amp;$C$7,BD!$A$3:$A$5001,"&lt;="&amp;$B215,BD!$X$3:$X$5001,"&lt;&gt;")=0,"",SUMIFS(BD!$X$3:$X$5001,BD!$B$3:$B$5001,G$208,BD!$A$3:$A$5001,_xlfn.MAXIFS(BD!$A$3:$A$5001,BD!$B$3:$B$5001,G$208,BD!$A$3:$A$5001,"&gt;="&amp;$C$7,BD!$A$3:$A$5001,"&lt;="&amp;$B215,BD!$X$3:$X$5001,"&lt;&gt;"))))</f>
        <v/>
      </c>
      <c r="H215" s="42" t="str">
        <f>IF(OR($B215="",$A215&gt;$B$9),"",IF(COUNTIFS(BD!$B$3:$B$5001,H$208,BD!$A$3:$A$5001,"&gt;="&amp;$C$7,BD!$A$3:$A$5001,"&lt;="&amp;$B215,BD!$X$3:$X$5001,"&lt;&gt;")=0,"",SUMIFS(BD!$X$3:$X$5001,BD!$B$3:$B$5001,H$208,BD!$A$3:$A$5001,_xlfn.MAXIFS(BD!$A$3:$A$5001,BD!$B$3:$B$5001,H$208,BD!$A$3:$A$5001,"&gt;="&amp;$C$7,BD!$A$3:$A$5001,"&lt;="&amp;$B215,BD!$X$3:$X$5001,"&lt;&gt;"))))</f>
        <v/>
      </c>
      <c r="I215" s="42" t="str">
        <f>IF(OR($B215="",$A215&gt;$B$9),"",IF(COUNTIFS(BD!$B$3:$B$5001,I$208,BD!$A$3:$A$5001,"&gt;="&amp;$C$7,BD!$A$3:$A$5001,"&lt;="&amp;$B215,BD!$X$3:$X$5001,"&lt;&gt;")=0,"",SUMIFS(BD!$X$3:$X$5001,BD!$B$3:$B$5001,I$208,BD!$A$3:$A$5001,_xlfn.MAXIFS(BD!$A$3:$A$5001,BD!$B$3:$B$5001,I$208,BD!$A$3:$A$5001,"&gt;="&amp;$C$7,BD!$A$3:$A$5001,"&lt;="&amp;$B215,BD!$X$3:$X$5001,"&lt;&gt;"))))</f>
        <v/>
      </c>
      <c r="J215" s="42" t="str">
        <f>IF(OR($B215="",$A215&gt;$B$9),"",IF(COUNTIFS(BD!$B$3:$B$5001,J$208,BD!$A$3:$A$5001,"&gt;="&amp;$C$7,BD!$A$3:$A$5001,"&lt;="&amp;$B215,BD!$X$3:$X$5001,"&lt;&gt;")=0,"",SUMIFS(BD!$X$3:$X$5001,BD!$B$3:$B$5001,J$208,BD!$A$3:$A$5001,_xlfn.MAXIFS(BD!$A$3:$A$5001,BD!$B$3:$B$5001,J$208,BD!$A$3:$A$5001,"&gt;="&amp;$C$7,BD!$A$3:$A$5001,"&lt;="&amp;$B215,BD!$X$3:$X$5001,"&lt;&gt;"))))</f>
        <v/>
      </c>
      <c r="K215" s="42" t="str">
        <f>IF(OR($B215="",$A215&gt;$B$9),"",IF(COUNTIFS(BD!$B$3:$B$5001,K$208,BD!$A$3:$A$5001,"&gt;="&amp;$C$7,BD!$A$3:$A$5001,"&lt;="&amp;$B215,BD!$X$3:$X$5001,"&lt;&gt;")=0,"",SUMIFS(BD!$X$3:$X$5001,BD!$B$3:$B$5001,K$208,BD!$A$3:$A$5001,_xlfn.MAXIFS(BD!$A$3:$A$5001,BD!$B$3:$B$5001,K$208,BD!$A$3:$A$5001,"&gt;="&amp;$C$7,BD!$A$3:$A$5001,"&lt;="&amp;$B215,BD!$X$3:$X$5001,"&lt;&gt;"))))</f>
        <v/>
      </c>
      <c r="L215" s="42" t="str">
        <f>IF(OR($B215="",$A215&gt;$B$9),"",IF(COUNTIFS(BD!$B$3:$B$5001,L$208,BD!$A$3:$A$5001,"&gt;="&amp;$C$7,BD!$A$3:$A$5001,"&lt;="&amp;$B215,BD!$X$3:$X$5001,"&lt;&gt;")=0,"",SUMIFS(BD!$X$3:$X$5001,BD!$B$3:$B$5001,L$208,BD!$A$3:$A$5001,_xlfn.MAXIFS(BD!$A$3:$A$5001,BD!$B$3:$B$5001,L$208,BD!$A$3:$A$5001,"&gt;="&amp;$C$7,BD!$A$3:$A$5001,"&lt;="&amp;$B215,BD!$X$3:$X$5001,"&lt;&gt;"))))</f>
        <v/>
      </c>
    </row>
    <row r="216">
      <c r="A216" s="40">
        <v>8</v>
      </c>
      <c r="B216" s="41">
        <f>$B$19</f>
        <v>46303</v>
      </c>
      <c r="C216" s="42" t="str">
        <f>IF(OR($B216="",$A216&gt;$B$9),"",IF(COUNTIFS(BD!$B$3:$B$5001,C$208,BD!$A$3:$A$5001,"&gt;="&amp;$C$7,BD!$A$3:$A$5001,"&lt;="&amp;$B216,BD!$X$3:$X$5001,"&lt;&gt;")=0,"",SUMIFS(BD!$X$3:$X$5001,BD!$B$3:$B$5001,C$208,BD!$A$3:$A$5001,_xlfn.MAXIFS(BD!$A$3:$A$5001,BD!$B$3:$B$5001,C$208,BD!$A$3:$A$5001,"&gt;="&amp;$C$7,BD!$A$3:$A$5001,"&lt;="&amp;$B216,BD!$X$3:$X$5001,"&lt;&gt;"))))</f>
        <v/>
      </c>
      <c r="D216" s="42" t="str">
        <f>IF(OR($B216="",$A216&gt;$B$9),"",IF(COUNTIFS(BD!$B$3:$B$5001,D$208,BD!$A$3:$A$5001,"&gt;="&amp;$C$7,BD!$A$3:$A$5001,"&lt;="&amp;$B216,BD!$X$3:$X$5001,"&lt;&gt;")=0,"",SUMIFS(BD!$X$3:$X$5001,BD!$B$3:$B$5001,D$208,BD!$A$3:$A$5001,_xlfn.MAXIFS(BD!$A$3:$A$5001,BD!$B$3:$B$5001,D$208,BD!$A$3:$A$5001,"&gt;="&amp;$C$7,BD!$A$3:$A$5001,"&lt;="&amp;$B216,BD!$X$3:$X$5001,"&lt;&gt;"))))</f>
        <v/>
      </c>
      <c r="E216" s="42" t="str">
        <f>IF(OR($B216="",$A216&gt;$B$9),"",IF(COUNTIFS(BD!$B$3:$B$5001,E$208,BD!$A$3:$A$5001,"&gt;="&amp;$C$7,BD!$A$3:$A$5001,"&lt;="&amp;$B216,BD!$X$3:$X$5001,"&lt;&gt;")=0,"",SUMIFS(BD!$X$3:$X$5001,BD!$B$3:$B$5001,E$208,BD!$A$3:$A$5001,_xlfn.MAXIFS(BD!$A$3:$A$5001,BD!$B$3:$B$5001,E$208,BD!$A$3:$A$5001,"&gt;="&amp;$C$7,BD!$A$3:$A$5001,"&lt;="&amp;$B216,BD!$X$3:$X$5001,"&lt;&gt;"))))</f>
        <v/>
      </c>
      <c r="F216" s="42" t="str">
        <f>IF(OR($B216="",$A216&gt;$B$9),"",IF(COUNTIFS(BD!$B$3:$B$5001,F$208,BD!$A$3:$A$5001,"&gt;="&amp;$C$7,BD!$A$3:$A$5001,"&lt;="&amp;$B216,BD!$X$3:$X$5001,"&lt;&gt;")=0,"",SUMIFS(BD!$X$3:$X$5001,BD!$B$3:$B$5001,F$208,BD!$A$3:$A$5001,_xlfn.MAXIFS(BD!$A$3:$A$5001,BD!$B$3:$B$5001,F$208,BD!$A$3:$A$5001,"&gt;="&amp;$C$7,BD!$A$3:$A$5001,"&lt;="&amp;$B216,BD!$X$3:$X$5001,"&lt;&gt;"))))</f>
        <v/>
      </c>
      <c r="G216" s="42" t="str">
        <f>IF(OR($B216="",$A216&gt;$B$9),"",IF(COUNTIFS(BD!$B$3:$B$5001,G$208,BD!$A$3:$A$5001,"&gt;="&amp;$C$7,BD!$A$3:$A$5001,"&lt;="&amp;$B216,BD!$X$3:$X$5001,"&lt;&gt;")=0,"",SUMIFS(BD!$X$3:$X$5001,BD!$B$3:$B$5001,G$208,BD!$A$3:$A$5001,_xlfn.MAXIFS(BD!$A$3:$A$5001,BD!$B$3:$B$5001,G$208,BD!$A$3:$A$5001,"&gt;="&amp;$C$7,BD!$A$3:$A$5001,"&lt;="&amp;$B216,BD!$X$3:$X$5001,"&lt;&gt;"))))</f>
        <v/>
      </c>
      <c r="H216" s="42" t="str">
        <f>IF(OR($B216="",$A216&gt;$B$9),"",IF(COUNTIFS(BD!$B$3:$B$5001,H$208,BD!$A$3:$A$5001,"&gt;="&amp;$C$7,BD!$A$3:$A$5001,"&lt;="&amp;$B216,BD!$X$3:$X$5001,"&lt;&gt;")=0,"",SUMIFS(BD!$X$3:$X$5001,BD!$B$3:$B$5001,H$208,BD!$A$3:$A$5001,_xlfn.MAXIFS(BD!$A$3:$A$5001,BD!$B$3:$B$5001,H$208,BD!$A$3:$A$5001,"&gt;="&amp;$C$7,BD!$A$3:$A$5001,"&lt;="&amp;$B216,BD!$X$3:$X$5001,"&lt;&gt;"))))</f>
        <v/>
      </c>
      <c r="I216" s="42" t="str">
        <f>IF(OR($B216="",$A216&gt;$B$9),"",IF(COUNTIFS(BD!$B$3:$B$5001,I$208,BD!$A$3:$A$5001,"&gt;="&amp;$C$7,BD!$A$3:$A$5001,"&lt;="&amp;$B216,BD!$X$3:$X$5001,"&lt;&gt;")=0,"",SUMIFS(BD!$X$3:$X$5001,BD!$B$3:$B$5001,I$208,BD!$A$3:$A$5001,_xlfn.MAXIFS(BD!$A$3:$A$5001,BD!$B$3:$B$5001,I$208,BD!$A$3:$A$5001,"&gt;="&amp;$C$7,BD!$A$3:$A$5001,"&lt;="&amp;$B216,BD!$X$3:$X$5001,"&lt;&gt;"))))</f>
        <v/>
      </c>
      <c r="J216" s="42" t="str">
        <f>IF(OR($B216="",$A216&gt;$B$9),"",IF(COUNTIFS(BD!$B$3:$B$5001,J$208,BD!$A$3:$A$5001,"&gt;="&amp;$C$7,BD!$A$3:$A$5001,"&lt;="&amp;$B216,BD!$X$3:$X$5001,"&lt;&gt;")=0,"",SUMIFS(BD!$X$3:$X$5001,BD!$B$3:$B$5001,J$208,BD!$A$3:$A$5001,_xlfn.MAXIFS(BD!$A$3:$A$5001,BD!$B$3:$B$5001,J$208,BD!$A$3:$A$5001,"&gt;="&amp;$C$7,BD!$A$3:$A$5001,"&lt;="&amp;$B216,BD!$X$3:$X$5001,"&lt;&gt;"))))</f>
        <v/>
      </c>
      <c r="K216" s="42" t="str">
        <f>IF(OR($B216="",$A216&gt;$B$9),"",IF(COUNTIFS(BD!$B$3:$B$5001,K$208,BD!$A$3:$A$5001,"&gt;="&amp;$C$7,BD!$A$3:$A$5001,"&lt;="&amp;$B216,BD!$X$3:$X$5001,"&lt;&gt;")=0,"",SUMIFS(BD!$X$3:$X$5001,BD!$B$3:$B$5001,K$208,BD!$A$3:$A$5001,_xlfn.MAXIFS(BD!$A$3:$A$5001,BD!$B$3:$B$5001,K$208,BD!$A$3:$A$5001,"&gt;="&amp;$C$7,BD!$A$3:$A$5001,"&lt;="&amp;$B216,BD!$X$3:$X$5001,"&lt;&gt;"))))</f>
        <v/>
      </c>
      <c r="L216" s="42" t="str">
        <f>IF(OR($B216="",$A216&gt;$B$9),"",IF(COUNTIFS(BD!$B$3:$B$5001,L$208,BD!$A$3:$A$5001,"&gt;="&amp;$C$7,BD!$A$3:$A$5001,"&lt;="&amp;$B216,BD!$X$3:$X$5001,"&lt;&gt;")=0,"",SUMIFS(BD!$X$3:$X$5001,BD!$B$3:$B$5001,L$208,BD!$A$3:$A$5001,_xlfn.MAXIFS(BD!$A$3:$A$5001,BD!$B$3:$B$5001,L$208,BD!$A$3:$A$5001,"&gt;="&amp;$C$7,BD!$A$3:$A$5001,"&lt;="&amp;$B216,BD!$X$3:$X$5001,"&lt;&gt;"))))</f>
        <v/>
      </c>
    </row>
    <row r="217">
      <c r="A217" s="40">
        <v>9</v>
      </c>
      <c r="B217" s="41">
        <f>$B$20</f>
        <v>46304</v>
      </c>
      <c r="C217" s="42" t="str">
        <f>IF(OR($B217="",$A217&gt;$B$9),"",IF(COUNTIFS(BD!$B$3:$B$5001,C$208,BD!$A$3:$A$5001,"&gt;="&amp;$C$7,BD!$A$3:$A$5001,"&lt;="&amp;$B217,BD!$X$3:$X$5001,"&lt;&gt;")=0,"",SUMIFS(BD!$X$3:$X$5001,BD!$B$3:$B$5001,C$208,BD!$A$3:$A$5001,_xlfn.MAXIFS(BD!$A$3:$A$5001,BD!$B$3:$B$5001,C$208,BD!$A$3:$A$5001,"&gt;="&amp;$C$7,BD!$A$3:$A$5001,"&lt;="&amp;$B217,BD!$X$3:$X$5001,"&lt;&gt;"))))</f>
        <v/>
      </c>
      <c r="D217" s="42" t="str">
        <f>IF(OR($B217="",$A217&gt;$B$9),"",IF(COUNTIFS(BD!$B$3:$B$5001,D$208,BD!$A$3:$A$5001,"&gt;="&amp;$C$7,BD!$A$3:$A$5001,"&lt;="&amp;$B217,BD!$X$3:$X$5001,"&lt;&gt;")=0,"",SUMIFS(BD!$X$3:$X$5001,BD!$B$3:$B$5001,D$208,BD!$A$3:$A$5001,_xlfn.MAXIFS(BD!$A$3:$A$5001,BD!$B$3:$B$5001,D$208,BD!$A$3:$A$5001,"&gt;="&amp;$C$7,BD!$A$3:$A$5001,"&lt;="&amp;$B217,BD!$X$3:$X$5001,"&lt;&gt;"))))</f>
        <v/>
      </c>
      <c r="E217" s="42" t="str">
        <f>IF(OR($B217="",$A217&gt;$B$9),"",IF(COUNTIFS(BD!$B$3:$B$5001,E$208,BD!$A$3:$A$5001,"&gt;="&amp;$C$7,BD!$A$3:$A$5001,"&lt;="&amp;$B217,BD!$X$3:$X$5001,"&lt;&gt;")=0,"",SUMIFS(BD!$X$3:$X$5001,BD!$B$3:$B$5001,E$208,BD!$A$3:$A$5001,_xlfn.MAXIFS(BD!$A$3:$A$5001,BD!$B$3:$B$5001,E$208,BD!$A$3:$A$5001,"&gt;="&amp;$C$7,BD!$A$3:$A$5001,"&lt;="&amp;$B217,BD!$X$3:$X$5001,"&lt;&gt;"))))</f>
        <v/>
      </c>
      <c r="F217" s="42" t="str">
        <f>IF(OR($B217="",$A217&gt;$B$9),"",IF(COUNTIFS(BD!$B$3:$B$5001,F$208,BD!$A$3:$A$5001,"&gt;="&amp;$C$7,BD!$A$3:$A$5001,"&lt;="&amp;$B217,BD!$X$3:$X$5001,"&lt;&gt;")=0,"",SUMIFS(BD!$X$3:$X$5001,BD!$B$3:$B$5001,F$208,BD!$A$3:$A$5001,_xlfn.MAXIFS(BD!$A$3:$A$5001,BD!$B$3:$B$5001,F$208,BD!$A$3:$A$5001,"&gt;="&amp;$C$7,BD!$A$3:$A$5001,"&lt;="&amp;$B217,BD!$X$3:$X$5001,"&lt;&gt;"))))</f>
        <v/>
      </c>
      <c r="G217" s="42" t="str">
        <f>IF(OR($B217="",$A217&gt;$B$9),"",IF(COUNTIFS(BD!$B$3:$B$5001,G$208,BD!$A$3:$A$5001,"&gt;="&amp;$C$7,BD!$A$3:$A$5001,"&lt;="&amp;$B217,BD!$X$3:$X$5001,"&lt;&gt;")=0,"",SUMIFS(BD!$X$3:$X$5001,BD!$B$3:$B$5001,G$208,BD!$A$3:$A$5001,_xlfn.MAXIFS(BD!$A$3:$A$5001,BD!$B$3:$B$5001,G$208,BD!$A$3:$A$5001,"&gt;="&amp;$C$7,BD!$A$3:$A$5001,"&lt;="&amp;$B217,BD!$X$3:$X$5001,"&lt;&gt;"))))</f>
        <v/>
      </c>
      <c r="H217" s="42" t="str">
        <f>IF(OR($B217="",$A217&gt;$B$9),"",IF(COUNTIFS(BD!$B$3:$B$5001,H$208,BD!$A$3:$A$5001,"&gt;="&amp;$C$7,BD!$A$3:$A$5001,"&lt;="&amp;$B217,BD!$X$3:$X$5001,"&lt;&gt;")=0,"",SUMIFS(BD!$X$3:$X$5001,BD!$B$3:$B$5001,H$208,BD!$A$3:$A$5001,_xlfn.MAXIFS(BD!$A$3:$A$5001,BD!$B$3:$B$5001,H$208,BD!$A$3:$A$5001,"&gt;="&amp;$C$7,BD!$A$3:$A$5001,"&lt;="&amp;$B217,BD!$X$3:$X$5001,"&lt;&gt;"))))</f>
        <v/>
      </c>
      <c r="I217" s="42" t="str">
        <f>IF(OR($B217="",$A217&gt;$B$9),"",IF(COUNTIFS(BD!$B$3:$B$5001,I$208,BD!$A$3:$A$5001,"&gt;="&amp;$C$7,BD!$A$3:$A$5001,"&lt;="&amp;$B217,BD!$X$3:$X$5001,"&lt;&gt;")=0,"",SUMIFS(BD!$X$3:$X$5001,BD!$B$3:$B$5001,I$208,BD!$A$3:$A$5001,_xlfn.MAXIFS(BD!$A$3:$A$5001,BD!$B$3:$B$5001,I$208,BD!$A$3:$A$5001,"&gt;="&amp;$C$7,BD!$A$3:$A$5001,"&lt;="&amp;$B217,BD!$X$3:$X$5001,"&lt;&gt;"))))</f>
        <v/>
      </c>
      <c r="J217" s="42" t="str">
        <f>IF(OR($B217="",$A217&gt;$B$9),"",IF(COUNTIFS(BD!$B$3:$B$5001,J$208,BD!$A$3:$A$5001,"&gt;="&amp;$C$7,BD!$A$3:$A$5001,"&lt;="&amp;$B217,BD!$X$3:$X$5001,"&lt;&gt;")=0,"",SUMIFS(BD!$X$3:$X$5001,BD!$B$3:$B$5001,J$208,BD!$A$3:$A$5001,_xlfn.MAXIFS(BD!$A$3:$A$5001,BD!$B$3:$B$5001,J$208,BD!$A$3:$A$5001,"&gt;="&amp;$C$7,BD!$A$3:$A$5001,"&lt;="&amp;$B217,BD!$X$3:$X$5001,"&lt;&gt;"))))</f>
        <v/>
      </c>
      <c r="K217" s="42" t="str">
        <f>IF(OR($B217="",$A217&gt;$B$9),"",IF(COUNTIFS(BD!$B$3:$B$5001,K$208,BD!$A$3:$A$5001,"&gt;="&amp;$C$7,BD!$A$3:$A$5001,"&lt;="&amp;$B217,BD!$X$3:$X$5001,"&lt;&gt;")=0,"",SUMIFS(BD!$X$3:$X$5001,BD!$B$3:$B$5001,K$208,BD!$A$3:$A$5001,_xlfn.MAXIFS(BD!$A$3:$A$5001,BD!$B$3:$B$5001,K$208,BD!$A$3:$A$5001,"&gt;="&amp;$C$7,BD!$A$3:$A$5001,"&lt;="&amp;$B217,BD!$X$3:$X$5001,"&lt;&gt;"))))</f>
        <v/>
      </c>
      <c r="L217" s="42" t="str">
        <f>IF(OR($B217="",$A217&gt;$B$9),"",IF(COUNTIFS(BD!$B$3:$B$5001,L$208,BD!$A$3:$A$5001,"&gt;="&amp;$C$7,BD!$A$3:$A$5001,"&lt;="&amp;$B217,BD!$X$3:$X$5001,"&lt;&gt;")=0,"",SUMIFS(BD!$X$3:$X$5001,BD!$B$3:$B$5001,L$208,BD!$A$3:$A$5001,_xlfn.MAXIFS(BD!$A$3:$A$5001,BD!$B$3:$B$5001,L$208,BD!$A$3:$A$5001,"&gt;="&amp;$C$7,BD!$A$3:$A$5001,"&lt;="&amp;$B217,BD!$X$3:$X$5001,"&lt;&gt;"))))</f>
        <v/>
      </c>
    </row>
    <row r="218">
      <c r="A218" s="40">
        <v>10</v>
      </c>
      <c r="B218" s="41">
        <f>$B$21</f>
        <v>46305</v>
      </c>
      <c r="C218" s="42" t="str">
        <f>IF(OR($B218="",$A218&gt;$B$9),"",IF(COUNTIFS(BD!$B$3:$B$5001,C$208,BD!$A$3:$A$5001,"&gt;="&amp;$C$7,BD!$A$3:$A$5001,"&lt;="&amp;$B218,BD!$X$3:$X$5001,"&lt;&gt;")=0,"",SUMIFS(BD!$X$3:$X$5001,BD!$B$3:$B$5001,C$208,BD!$A$3:$A$5001,_xlfn.MAXIFS(BD!$A$3:$A$5001,BD!$B$3:$B$5001,C$208,BD!$A$3:$A$5001,"&gt;="&amp;$C$7,BD!$A$3:$A$5001,"&lt;="&amp;$B218,BD!$X$3:$X$5001,"&lt;&gt;"))))</f>
        <v/>
      </c>
      <c r="D218" s="42" t="str">
        <f>IF(OR($B218="",$A218&gt;$B$9),"",IF(COUNTIFS(BD!$B$3:$B$5001,D$208,BD!$A$3:$A$5001,"&gt;="&amp;$C$7,BD!$A$3:$A$5001,"&lt;="&amp;$B218,BD!$X$3:$X$5001,"&lt;&gt;")=0,"",SUMIFS(BD!$X$3:$X$5001,BD!$B$3:$B$5001,D$208,BD!$A$3:$A$5001,_xlfn.MAXIFS(BD!$A$3:$A$5001,BD!$B$3:$B$5001,D$208,BD!$A$3:$A$5001,"&gt;="&amp;$C$7,BD!$A$3:$A$5001,"&lt;="&amp;$B218,BD!$X$3:$X$5001,"&lt;&gt;"))))</f>
        <v/>
      </c>
      <c r="E218" s="42" t="str">
        <f>IF(OR($B218="",$A218&gt;$B$9),"",IF(COUNTIFS(BD!$B$3:$B$5001,E$208,BD!$A$3:$A$5001,"&gt;="&amp;$C$7,BD!$A$3:$A$5001,"&lt;="&amp;$B218,BD!$X$3:$X$5001,"&lt;&gt;")=0,"",SUMIFS(BD!$X$3:$X$5001,BD!$B$3:$B$5001,E$208,BD!$A$3:$A$5001,_xlfn.MAXIFS(BD!$A$3:$A$5001,BD!$B$3:$B$5001,E$208,BD!$A$3:$A$5001,"&gt;="&amp;$C$7,BD!$A$3:$A$5001,"&lt;="&amp;$B218,BD!$X$3:$X$5001,"&lt;&gt;"))))</f>
        <v/>
      </c>
      <c r="F218" s="42" t="str">
        <f>IF(OR($B218="",$A218&gt;$B$9),"",IF(COUNTIFS(BD!$B$3:$B$5001,F$208,BD!$A$3:$A$5001,"&gt;="&amp;$C$7,BD!$A$3:$A$5001,"&lt;="&amp;$B218,BD!$X$3:$X$5001,"&lt;&gt;")=0,"",SUMIFS(BD!$X$3:$X$5001,BD!$B$3:$B$5001,F$208,BD!$A$3:$A$5001,_xlfn.MAXIFS(BD!$A$3:$A$5001,BD!$B$3:$B$5001,F$208,BD!$A$3:$A$5001,"&gt;="&amp;$C$7,BD!$A$3:$A$5001,"&lt;="&amp;$B218,BD!$X$3:$X$5001,"&lt;&gt;"))))</f>
        <v/>
      </c>
      <c r="G218" s="42" t="str">
        <f>IF(OR($B218="",$A218&gt;$B$9),"",IF(COUNTIFS(BD!$B$3:$B$5001,G$208,BD!$A$3:$A$5001,"&gt;="&amp;$C$7,BD!$A$3:$A$5001,"&lt;="&amp;$B218,BD!$X$3:$X$5001,"&lt;&gt;")=0,"",SUMIFS(BD!$X$3:$X$5001,BD!$B$3:$B$5001,G$208,BD!$A$3:$A$5001,_xlfn.MAXIFS(BD!$A$3:$A$5001,BD!$B$3:$B$5001,G$208,BD!$A$3:$A$5001,"&gt;="&amp;$C$7,BD!$A$3:$A$5001,"&lt;="&amp;$B218,BD!$X$3:$X$5001,"&lt;&gt;"))))</f>
        <v/>
      </c>
      <c r="H218" s="42" t="str">
        <f>IF(OR($B218="",$A218&gt;$B$9),"",IF(COUNTIFS(BD!$B$3:$B$5001,H$208,BD!$A$3:$A$5001,"&gt;="&amp;$C$7,BD!$A$3:$A$5001,"&lt;="&amp;$B218,BD!$X$3:$X$5001,"&lt;&gt;")=0,"",SUMIFS(BD!$X$3:$X$5001,BD!$B$3:$B$5001,H$208,BD!$A$3:$A$5001,_xlfn.MAXIFS(BD!$A$3:$A$5001,BD!$B$3:$B$5001,H$208,BD!$A$3:$A$5001,"&gt;="&amp;$C$7,BD!$A$3:$A$5001,"&lt;="&amp;$B218,BD!$X$3:$X$5001,"&lt;&gt;"))))</f>
        <v/>
      </c>
      <c r="I218" s="42" t="str">
        <f>IF(OR($B218="",$A218&gt;$B$9),"",IF(COUNTIFS(BD!$B$3:$B$5001,I$208,BD!$A$3:$A$5001,"&gt;="&amp;$C$7,BD!$A$3:$A$5001,"&lt;="&amp;$B218,BD!$X$3:$X$5001,"&lt;&gt;")=0,"",SUMIFS(BD!$X$3:$X$5001,BD!$B$3:$B$5001,I$208,BD!$A$3:$A$5001,_xlfn.MAXIFS(BD!$A$3:$A$5001,BD!$B$3:$B$5001,I$208,BD!$A$3:$A$5001,"&gt;="&amp;$C$7,BD!$A$3:$A$5001,"&lt;="&amp;$B218,BD!$X$3:$X$5001,"&lt;&gt;"))))</f>
        <v/>
      </c>
      <c r="J218" s="42" t="str">
        <f>IF(OR($B218="",$A218&gt;$B$9),"",IF(COUNTIFS(BD!$B$3:$B$5001,J$208,BD!$A$3:$A$5001,"&gt;="&amp;$C$7,BD!$A$3:$A$5001,"&lt;="&amp;$B218,BD!$X$3:$X$5001,"&lt;&gt;")=0,"",SUMIFS(BD!$X$3:$X$5001,BD!$B$3:$B$5001,J$208,BD!$A$3:$A$5001,_xlfn.MAXIFS(BD!$A$3:$A$5001,BD!$B$3:$B$5001,J$208,BD!$A$3:$A$5001,"&gt;="&amp;$C$7,BD!$A$3:$A$5001,"&lt;="&amp;$B218,BD!$X$3:$X$5001,"&lt;&gt;"))))</f>
        <v/>
      </c>
      <c r="K218" s="42" t="str">
        <f>IF(OR($B218="",$A218&gt;$B$9),"",IF(COUNTIFS(BD!$B$3:$B$5001,K$208,BD!$A$3:$A$5001,"&gt;="&amp;$C$7,BD!$A$3:$A$5001,"&lt;="&amp;$B218,BD!$X$3:$X$5001,"&lt;&gt;")=0,"",SUMIFS(BD!$X$3:$X$5001,BD!$B$3:$B$5001,K$208,BD!$A$3:$A$5001,_xlfn.MAXIFS(BD!$A$3:$A$5001,BD!$B$3:$B$5001,K$208,BD!$A$3:$A$5001,"&gt;="&amp;$C$7,BD!$A$3:$A$5001,"&lt;="&amp;$B218,BD!$X$3:$X$5001,"&lt;&gt;"))))</f>
        <v/>
      </c>
      <c r="L218" s="42" t="str">
        <f>IF(OR($B218="",$A218&gt;$B$9),"",IF(COUNTIFS(BD!$B$3:$B$5001,L$208,BD!$A$3:$A$5001,"&gt;="&amp;$C$7,BD!$A$3:$A$5001,"&lt;="&amp;$B218,BD!$X$3:$X$5001,"&lt;&gt;")=0,"",SUMIFS(BD!$X$3:$X$5001,BD!$B$3:$B$5001,L$208,BD!$A$3:$A$5001,_xlfn.MAXIFS(BD!$A$3:$A$5001,BD!$B$3:$B$5001,L$208,BD!$A$3:$A$5001,"&gt;="&amp;$C$7,BD!$A$3:$A$5001,"&lt;="&amp;$B218,BD!$X$3:$X$5001,"&lt;&gt;"))))</f>
        <v/>
      </c>
    </row>
    <row r="219">
      <c r="A219" s="40">
        <v>11</v>
      </c>
      <c r="B219" s="41">
        <f>$B$22</f>
        <v>46306</v>
      </c>
      <c r="C219" s="42" t="str">
        <f>IF(OR($B219="",$A219&gt;$B$9),"",IF(COUNTIFS(BD!$B$3:$B$5001,C$208,BD!$A$3:$A$5001,"&gt;="&amp;$C$7,BD!$A$3:$A$5001,"&lt;="&amp;$B219,BD!$X$3:$X$5001,"&lt;&gt;")=0,"",SUMIFS(BD!$X$3:$X$5001,BD!$B$3:$B$5001,C$208,BD!$A$3:$A$5001,_xlfn.MAXIFS(BD!$A$3:$A$5001,BD!$B$3:$B$5001,C$208,BD!$A$3:$A$5001,"&gt;="&amp;$C$7,BD!$A$3:$A$5001,"&lt;="&amp;$B219,BD!$X$3:$X$5001,"&lt;&gt;"))))</f>
        <v/>
      </c>
      <c r="D219" s="42" t="str">
        <f>IF(OR($B219="",$A219&gt;$B$9),"",IF(COUNTIFS(BD!$B$3:$B$5001,D$208,BD!$A$3:$A$5001,"&gt;="&amp;$C$7,BD!$A$3:$A$5001,"&lt;="&amp;$B219,BD!$X$3:$X$5001,"&lt;&gt;")=0,"",SUMIFS(BD!$X$3:$X$5001,BD!$B$3:$B$5001,D$208,BD!$A$3:$A$5001,_xlfn.MAXIFS(BD!$A$3:$A$5001,BD!$B$3:$B$5001,D$208,BD!$A$3:$A$5001,"&gt;="&amp;$C$7,BD!$A$3:$A$5001,"&lt;="&amp;$B219,BD!$X$3:$X$5001,"&lt;&gt;"))))</f>
        <v/>
      </c>
      <c r="E219" s="42" t="str">
        <f>IF(OR($B219="",$A219&gt;$B$9),"",IF(COUNTIFS(BD!$B$3:$B$5001,E$208,BD!$A$3:$A$5001,"&gt;="&amp;$C$7,BD!$A$3:$A$5001,"&lt;="&amp;$B219,BD!$X$3:$X$5001,"&lt;&gt;")=0,"",SUMIFS(BD!$X$3:$X$5001,BD!$B$3:$B$5001,E$208,BD!$A$3:$A$5001,_xlfn.MAXIFS(BD!$A$3:$A$5001,BD!$B$3:$B$5001,E$208,BD!$A$3:$A$5001,"&gt;="&amp;$C$7,BD!$A$3:$A$5001,"&lt;="&amp;$B219,BD!$X$3:$X$5001,"&lt;&gt;"))))</f>
        <v/>
      </c>
      <c r="F219" s="42" t="str">
        <f>IF(OR($B219="",$A219&gt;$B$9),"",IF(COUNTIFS(BD!$B$3:$B$5001,F$208,BD!$A$3:$A$5001,"&gt;="&amp;$C$7,BD!$A$3:$A$5001,"&lt;="&amp;$B219,BD!$X$3:$X$5001,"&lt;&gt;")=0,"",SUMIFS(BD!$X$3:$X$5001,BD!$B$3:$B$5001,F$208,BD!$A$3:$A$5001,_xlfn.MAXIFS(BD!$A$3:$A$5001,BD!$B$3:$B$5001,F$208,BD!$A$3:$A$5001,"&gt;="&amp;$C$7,BD!$A$3:$A$5001,"&lt;="&amp;$B219,BD!$X$3:$X$5001,"&lt;&gt;"))))</f>
        <v/>
      </c>
      <c r="G219" s="42" t="str">
        <f>IF(OR($B219="",$A219&gt;$B$9),"",IF(COUNTIFS(BD!$B$3:$B$5001,G$208,BD!$A$3:$A$5001,"&gt;="&amp;$C$7,BD!$A$3:$A$5001,"&lt;="&amp;$B219,BD!$X$3:$X$5001,"&lt;&gt;")=0,"",SUMIFS(BD!$X$3:$X$5001,BD!$B$3:$B$5001,G$208,BD!$A$3:$A$5001,_xlfn.MAXIFS(BD!$A$3:$A$5001,BD!$B$3:$B$5001,G$208,BD!$A$3:$A$5001,"&gt;="&amp;$C$7,BD!$A$3:$A$5001,"&lt;="&amp;$B219,BD!$X$3:$X$5001,"&lt;&gt;"))))</f>
        <v/>
      </c>
      <c r="H219" s="42" t="str">
        <f>IF(OR($B219="",$A219&gt;$B$9),"",IF(COUNTIFS(BD!$B$3:$B$5001,H$208,BD!$A$3:$A$5001,"&gt;="&amp;$C$7,BD!$A$3:$A$5001,"&lt;="&amp;$B219,BD!$X$3:$X$5001,"&lt;&gt;")=0,"",SUMIFS(BD!$X$3:$X$5001,BD!$B$3:$B$5001,H$208,BD!$A$3:$A$5001,_xlfn.MAXIFS(BD!$A$3:$A$5001,BD!$B$3:$B$5001,H$208,BD!$A$3:$A$5001,"&gt;="&amp;$C$7,BD!$A$3:$A$5001,"&lt;="&amp;$B219,BD!$X$3:$X$5001,"&lt;&gt;"))))</f>
        <v/>
      </c>
      <c r="I219" s="42" t="str">
        <f>IF(OR($B219="",$A219&gt;$B$9),"",IF(COUNTIFS(BD!$B$3:$B$5001,I$208,BD!$A$3:$A$5001,"&gt;="&amp;$C$7,BD!$A$3:$A$5001,"&lt;="&amp;$B219,BD!$X$3:$X$5001,"&lt;&gt;")=0,"",SUMIFS(BD!$X$3:$X$5001,BD!$B$3:$B$5001,I$208,BD!$A$3:$A$5001,_xlfn.MAXIFS(BD!$A$3:$A$5001,BD!$B$3:$B$5001,I$208,BD!$A$3:$A$5001,"&gt;="&amp;$C$7,BD!$A$3:$A$5001,"&lt;="&amp;$B219,BD!$X$3:$X$5001,"&lt;&gt;"))))</f>
        <v/>
      </c>
      <c r="J219" s="42" t="str">
        <f>IF(OR($B219="",$A219&gt;$B$9),"",IF(COUNTIFS(BD!$B$3:$B$5001,J$208,BD!$A$3:$A$5001,"&gt;="&amp;$C$7,BD!$A$3:$A$5001,"&lt;="&amp;$B219,BD!$X$3:$X$5001,"&lt;&gt;")=0,"",SUMIFS(BD!$X$3:$X$5001,BD!$B$3:$B$5001,J$208,BD!$A$3:$A$5001,_xlfn.MAXIFS(BD!$A$3:$A$5001,BD!$B$3:$B$5001,J$208,BD!$A$3:$A$5001,"&gt;="&amp;$C$7,BD!$A$3:$A$5001,"&lt;="&amp;$B219,BD!$X$3:$X$5001,"&lt;&gt;"))))</f>
        <v/>
      </c>
      <c r="K219" s="42" t="str">
        <f>IF(OR($B219="",$A219&gt;$B$9),"",IF(COUNTIFS(BD!$B$3:$B$5001,K$208,BD!$A$3:$A$5001,"&gt;="&amp;$C$7,BD!$A$3:$A$5001,"&lt;="&amp;$B219,BD!$X$3:$X$5001,"&lt;&gt;")=0,"",SUMIFS(BD!$X$3:$X$5001,BD!$B$3:$B$5001,K$208,BD!$A$3:$A$5001,_xlfn.MAXIFS(BD!$A$3:$A$5001,BD!$B$3:$B$5001,K$208,BD!$A$3:$A$5001,"&gt;="&amp;$C$7,BD!$A$3:$A$5001,"&lt;="&amp;$B219,BD!$X$3:$X$5001,"&lt;&gt;"))))</f>
        <v/>
      </c>
      <c r="L219" s="42" t="str">
        <f>IF(OR($B219="",$A219&gt;$B$9),"",IF(COUNTIFS(BD!$B$3:$B$5001,L$208,BD!$A$3:$A$5001,"&gt;="&amp;$C$7,BD!$A$3:$A$5001,"&lt;="&amp;$B219,BD!$X$3:$X$5001,"&lt;&gt;")=0,"",SUMIFS(BD!$X$3:$X$5001,BD!$B$3:$B$5001,L$208,BD!$A$3:$A$5001,_xlfn.MAXIFS(BD!$A$3:$A$5001,BD!$B$3:$B$5001,L$208,BD!$A$3:$A$5001,"&gt;="&amp;$C$7,BD!$A$3:$A$5001,"&lt;="&amp;$B219,BD!$X$3:$X$5001,"&lt;&gt;"))))</f>
        <v/>
      </c>
    </row>
    <row r="220">
      <c r="A220" s="40">
        <v>12</v>
      </c>
      <c r="B220" s="41">
        <f>$B$23</f>
        <v>46307</v>
      </c>
      <c r="C220" s="42" t="str">
        <f>IF(OR($B220="",$A220&gt;$B$9),"",IF(COUNTIFS(BD!$B$3:$B$5001,C$208,BD!$A$3:$A$5001,"&gt;="&amp;$C$7,BD!$A$3:$A$5001,"&lt;="&amp;$B220,BD!$X$3:$X$5001,"&lt;&gt;")=0,"",SUMIFS(BD!$X$3:$X$5001,BD!$B$3:$B$5001,C$208,BD!$A$3:$A$5001,_xlfn.MAXIFS(BD!$A$3:$A$5001,BD!$B$3:$B$5001,C$208,BD!$A$3:$A$5001,"&gt;="&amp;$C$7,BD!$A$3:$A$5001,"&lt;="&amp;$B220,BD!$X$3:$X$5001,"&lt;&gt;"))))</f>
        <v/>
      </c>
      <c r="D220" s="42" t="str">
        <f>IF(OR($B220="",$A220&gt;$B$9),"",IF(COUNTIFS(BD!$B$3:$B$5001,D$208,BD!$A$3:$A$5001,"&gt;="&amp;$C$7,BD!$A$3:$A$5001,"&lt;="&amp;$B220,BD!$X$3:$X$5001,"&lt;&gt;")=0,"",SUMIFS(BD!$X$3:$X$5001,BD!$B$3:$B$5001,D$208,BD!$A$3:$A$5001,_xlfn.MAXIFS(BD!$A$3:$A$5001,BD!$B$3:$B$5001,D$208,BD!$A$3:$A$5001,"&gt;="&amp;$C$7,BD!$A$3:$A$5001,"&lt;="&amp;$B220,BD!$X$3:$X$5001,"&lt;&gt;"))))</f>
        <v/>
      </c>
      <c r="E220" s="42" t="str">
        <f>IF(OR($B220="",$A220&gt;$B$9),"",IF(COUNTIFS(BD!$B$3:$B$5001,E$208,BD!$A$3:$A$5001,"&gt;="&amp;$C$7,BD!$A$3:$A$5001,"&lt;="&amp;$B220,BD!$X$3:$X$5001,"&lt;&gt;")=0,"",SUMIFS(BD!$X$3:$X$5001,BD!$B$3:$B$5001,E$208,BD!$A$3:$A$5001,_xlfn.MAXIFS(BD!$A$3:$A$5001,BD!$B$3:$B$5001,E$208,BD!$A$3:$A$5001,"&gt;="&amp;$C$7,BD!$A$3:$A$5001,"&lt;="&amp;$B220,BD!$X$3:$X$5001,"&lt;&gt;"))))</f>
        <v/>
      </c>
      <c r="F220" s="42" t="str">
        <f>IF(OR($B220="",$A220&gt;$B$9),"",IF(COUNTIFS(BD!$B$3:$B$5001,F$208,BD!$A$3:$A$5001,"&gt;="&amp;$C$7,BD!$A$3:$A$5001,"&lt;="&amp;$B220,BD!$X$3:$X$5001,"&lt;&gt;")=0,"",SUMIFS(BD!$X$3:$X$5001,BD!$B$3:$B$5001,F$208,BD!$A$3:$A$5001,_xlfn.MAXIFS(BD!$A$3:$A$5001,BD!$B$3:$B$5001,F$208,BD!$A$3:$A$5001,"&gt;="&amp;$C$7,BD!$A$3:$A$5001,"&lt;="&amp;$B220,BD!$X$3:$X$5001,"&lt;&gt;"))))</f>
        <v/>
      </c>
      <c r="G220" s="42" t="str">
        <f>IF(OR($B220="",$A220&gt;$B$9),"",IF(COUNTIFS(BD!$B$3:$B$5001,G$208,BD!$A$3:$A$5001,"&gt;="&amp;$C$7,BD!$A$3:$A$5001,"&lt;="&amp;$B220,BD!$X$3:$X$5001,"&lt;&gt;")=0,"",SUMIFS(BD!$X$3:$X$5001,BD!$B$3:$B$5001,G$208,BD!$A$3:$A$5001,_xlfn.MAXIFS(BD!$A$3:$A$5001,BD!$B$3:$B$5001,G$208,BD!$A$3:$A$5001,"&gt;="&amp;$C$7,BD!$A$3:$A$5001,"&lt;="&amp;$B220,BD!$X$3:$X$5001,"&lt;&gt;"))))</f>
        <v/>
      </c>
      <c r="H220" s="42" t="str">
        <f>IF(OR($B220="",$A220&gt;$B$9),"",IF(COUNTIFS(BD!$B$3:$B$5001,H$208,BD!$A$3:$A$5001,"&gt;="&amp;$C$7,BD!$A$3:$A$5001,"&lt;="&amp;$B220,BD!$X$3:$X$5001,"&lt;&gt;")=0,"",SUMIFS(BD!$X$3:$X$5001,BD!$B$3:$B$5001,H$208,BD!$A$3:$A$5001,_xlfn.MAXIFS(BD!$A$3:$A$5001,BD!$B$3:$B$5001,H$208,BD!$A$3:$A$5001,"&gt;="&amp;$C$7,BD!$A$3:$A$5001,"&lt;="&amp;$B220,BD!$X$3:$X$5001,"&lt;&gt;"))))</f>
        <v/>
      </c>
      <c r="I220" s="42" t="str">
        <f>IF(OR($B220="",$A220&gt;$B$9),"",IF(COUNTIFS(BD!$B$3:$B$5001,I$208,BD!$A$3:$A$5001,"&gt;="&amp;$C$7,BD!$A$3:$A$5001,"&lt;="&amp;$B220,BD!$X$3:$X$5001,"&lt;&gt;")=0,"",SUMIFS(BD!$X$3:$X$5001,BD!$B$3:$B$5001,I$208,BD!$A$3:$A$5001,_xlfn.MAXIFS(BD!$A$3:$A$5001,BD!$B$3:$B$5001,I$208,BD!$A$3:$A$5001,"&gt;="&amp;$C$7,BD!$A$3:$A$5001,"&lt;="&amp;$B220,BD!$X$3:$X$5001,"&lt;&gt;"))))</f>
        <v/>
      </c>
      <c r="J220" s="42" t="str">
        <f>IF(OR($B220="",$A220&gt;$B$9),"",IF(COUNTIFS(BD!$B$3:$B$5001,J$208,BD!$A$3:$A$5001,"&gt;="&amp;$C$7,BD!$A$3:$A$5001,"&lt;="&amp;$B220,BD!$X$3:$X$5001,"&lt;&gt;")=0,"",SUMIFS(BD!$X$3:$X$5001,BD!$B$3:$B$5001,J$208,BD!$A$3:$A$5001,_xlfn.MAXIFS(BD!$A$3:$A$5001,BD!$B$3:$B$5001,J$208,BD!$A$3:$A$5001,"&gt;="&amp;$C$7,BD!$A$3:$A$5001,"&lt;="&amp;$B220,BD!$X$3:$X$5001,"&lt;&gt;"))))</f>
        <v/>
      </c>
      <c r="K220" s="42" t="str">
        <f>IF(OR($B220="",$A220&gt;$B$9),"",IF(COUNTIFS(BD!$B$3:$B$5001,K$208,BD!$A$3:$A$5001,"&gt;="&amp;$C$7,BD!$A$3:$A$5001,"&lt;="&amp;$B220,BD!$X$3:$X$5001,"&lt;&gt;")=0,"",SUMIFS(BD!$X$3:$X$5001,BD!$B$3:$B$5001,K$208,BD!$A$3:$A$5001,_xlfn.MAXIFS(BD!$A$3:$A$5001,BD!$B$3:$B$5001,K$208,BD!$A$3:$A$5001,"&gt;="&amp;$C$7,BD!$A$3:$A$5001,"&lt;="&amp;$B220,BD!$X$3:$X$5001,"&lt;&gt;"))))</f>
        <v/>
      </c>
      <c r="L220" s="42" t="str">
        <f>IF(OR($B220="",$A220&gt;$B$9),"",IF(COUNTIFS(BD!$B$3:$B$5001,L$208,BD!$A$3:$A$5001,"&gt;="&amp;$C$7,BD!$A$3:$A$5001,"&lt;="&amp;$B220,BD!$X$3:$X$5001,"&lt;&gt;")=0,"",SUMIFS(BD!$X$3:$X$5001,BD!$B$3:$B$5001,L$208,BD!$A$3:$A$5001,_xlfn.MAXIFS(BD!$A$3:$A$5001,BD!$B$3:$B$5001,L$208,BD!$A$3:$A$5001,"&gt;="&amp;$C$7,BD!$A$3:$A$5001,"&lt;="&amp;$B220,BD!$X$3:$X$5001,"&lt;&gt;"))))</f>
        <v/>
      </c>
    </row>
    <row r="221">
      <c r="A221" s="40">
        <v>13</v>
      </c>
      <c r="B221" s="41">
        <f>$B$24</f>
        <v>46308</v>
      </c>
      <c r="C221" s="42" t="str">
        <f>IF(OR($B221="",$A221&gt;$B$9),"",IF(COUNTIFS(BD!$B$3:$B$5001,C$208,BD!$A$3:$A$5001,"&gt;="&amp;$C$7,BD!$A$3:$A$5001,"&lt;="&amp;$B221,BD!$X$3:$X$5001,"&lt;&gt;")=0,"",SUMIFS(BD!$X$3:$X$5001,BD!$B$3:$B$5001,C$208,BD!$A$3:$A$5001,_xlfn.MAXIFS(BD!$A$3:$A$5001,BD!$B$3:$B$5001,C$208,BD!$A$3:$A$5001,"&gt;="&amp;$C$7,BD!$A$3:$A$5001,"&lt;="&amp;$B221,BD!$X$3:$X$5001,"&lt;&gt;"))))</f>
        <v/>
      </c>
      <c r="D221" s="42" t="str">
        <f>IF(OR($B221="",$A221&gt;$B$9),"",IF(COUNTIFS(BD!$B$3:$B$5001,D$208,BD!$A$3:$A$5001,"&gt;="&amp;$C$7,BD!$A$3:$A$5001,"&lt;="&amp;$B221,BD!$X$3:$X$5001,"&lt;&gt;")=0,"",SUMIFS(BD!$X$3:$X$5001,BD!$B$3:$B$5001,D$208,BD!$A$3:$A$5001,_xlfn.MAXIFS(BD!$A$3:$A$5001,BD!$B$3:$B$5001,D$208,BD!$A$3:$A$5001,"&gt;="&amp;$C$7,BD!$A$3:$A$5001,"&lt;="&amp;$B221,BD!$X$3:$X$5001,"&lt;&gt;"))))</f>
        <v/>
      </c>
      <c r="E221" s="42" t="str">
        <f>IF(OR($B221="",$A221&gt;$B$9),"",IF(COUNTIFS(BD!$B$3:$B$5001,E$208,BD!$A$3:$A$5001,"&gt;="&amp;$C$7,BD!$A$3:$A$5001,"&lt;="&amp;$B221,BD!$X$3:$X$5001,"&lt;&gt;")=0,"",SUMIFS(BD!$X$3:$X$5001,BD!$B$3:$B$5001,E$208,BD!$A$3:$A$5001,_xlfn.MAXIFS(BD!$A$3:$A$5001,BD!$B$3:$B$5001,E$208,BD!$A$3:$A$5001,"&gt;="&amp;$C$7,BD!$A$3:$A$5001,"&lt;="&amp;$B221,BD!$X$3:$X$5001,"&lt;&gt;"))))</f>
        <v/>
      </c>
      <c r="F221" s="42" t="str">
        <f>IF(OR($B221="",$A221&gt;$B$9),"",IF(COUNTIFS(BD!$B$3:$B$5001,F$208,BD!$A$3:$A$5001,"&gt;="&amp;$C$7,BD!$A$3:$A$5001,"&lt;="&amp;$B221,BD!$X$3:$X$5001,"&lt;&gt;")=0,"",SUMIFS(BD!$X$3:$X$5001,BD!$B$3:$B$5001,F$208,BD!$A$3:$A$5001,_xlfn.MAXIFS(BD!$A$3:$A$5001,BD!$B$3:$B$5001,F$208,BD!$A$3:$A$5001,"&gt;="&amp;$C$7,BD!$A$3:$A$5001,"&lt;="&amp;$B221,BD!$X$3:$X$5001,"&lt;&gt;"))))</f>
        <v/>
      </c>
      <c r="G221" s="42" t="str">
        <f>IF(OR($B221="",$A221&gt;$B$9),"",IF(COUNTIFS(BD!$B$3:$B$5001,G$208,BD!$A$3:$A$5001,"&gt;="&amp;$C$7,BD!$A$3:$A$5001,"&lt;="&amp;$B221,BD!$X$3:$X$5001,"&lt;&gt;")=0,"",SUMIFS(BD!$X$3:$X$5001,BD!$B$3:$B$5001,G$208,BD!$A$3:$A$5001,_xlfn.MAXIFS(BD!$A$3:$A$5001,BD!$B$3:$B$5001,G$208,BD!$A$3:$A$5001,"&gt;="&amp;$C$7,BD!$A$3:$A$5001,"&lt;="&amp;$B221,BD!$X$3:$X$5001,"&lt;&gt;"))))</f>
        <v/>
      </c>
      <c r="H221" s="42" t="str">
        <f>IF(OR($B221="",$A221&gt;$B$9),"",IF(COUNTIFS(BD!$B$3:$B$5001,H$208,BD!$A$3:$A$5001,"&gt;="&amp;$C$7,BD!$A$3:$A$5001,"&lt;="&amp;$B221,BD!$X$3:$X$5001,"&lt;&gt;")=0,"",SUMIFS(BD!$X$3:$X$5001,BD!$B$3:$B$5001,H$208,BD!$A$3:$A$5001,_xlfn.MAXIFS(BD!$A$3:$A$5001,BD!$B$3:$B$5001,H$208,BD!$A$3:$A$5001,"&gt;="&amp;$C$7,BD!$A$3:$A$5001,"&lt;="&amp;$B221,BD!$X$3:$X$5001,"&lt;&gt;"))))</f>
        <v/>
      </c>
      <c r="I221" s="42" t="str">
        <f>IF(OR($B221="",$A221&gt;$B$9),"",IF(COUNTIFS(BD!$B$3:$B$5001,I$208,BD!$A$3:$A$5001,"&gt;="&amp;$C$7,BD!$A$3:$A$5001,"&lt;="&amp;$B221,BD!$X$3:$X$5001,"&lt;&gt;")=0,"",SUMIFS(BD!$X$3:$X$5001,BD!$B$3:$B$5001,I$208,BD!$A$3:$A$5001,_xlfn.MAXIFS(BD!$A$3:$A$5001,BD!$B$3:$B$5001,I$208,BD!$A$3:$A$5001,"&gt;="&amp;$C$7,BD!$A$3:$A$5001,"&lt;="&amp;$B221,BD!$X$3:$X$5001,"&lt;&gt;"))))</f>
        <v/>
      </c>
      <c r="J221" s="42" t="str">
        <f>IF(OR($B221="",$A221&gt;$B$9),"",IF(COUNTIFS(BD!$B$3:$B$5001,J$208,BD!$A$3:$A$5001,"&gt;="&amp;$C$7,BD!$A$3:$A$5001,"&lt;="&amp;$B221,BD!$X$3:$X$5001,"&lt;&gt;")=0,"",SUMIFS(BD!$X$3:$X$5001,BD!$B$3:$B$5001,J$208,BD!$A$3:$A$5001,_xlfn.MAXIFS(BD!$A$3:$A$5001,BD!$B$3:$B$5001,J$208,BD!$A$3:$A$5001,"&gt;="&amp;$C$7,BD!$A$3:$A$5001,"&lt;="&amp;$B221,BD!$X$3:$X$5001,"&lt;&gt;"))))</f>
        <v/>
      </c>
      <c r="K221" s="42" t="str">
        <f>IF(OR($B221="",$A221&gt;$B$9),"",IF(COUNTIFS(BD!$B$3:$B$5001,K$208,BD!$A$3:$A$5001,"&gt;="&amp;$C$7,BD!$A$3:$A$5001,"&lt;="&amp;$B221,BD!$X$3:$X$5001,"&lt;&gt;")=0,"",SUMIFS(BD!$X$3:$X$5001,BD!$B$3:$B$5001,K$208,BD!$A$3:$A$5001,_xlfn.MAXIFS(BD!$A$3:$A$5001,BD!$B$3:$B$5001,K$208,BD!$A$3:$A$5001,"&gt;="&amp;$C$7,BD!$A$3:$A$5001,"&lt;="&amp;$B221,BD!$X$3:$X$5001,"&lt;&gt;"))))</f>
        <v/>
      </c>
      <c r="L221" s="42" t="str">
        <f>IF(OR($B221="",$A221&gt;$B$9),"",IF(COUNTIFS(BD!$B$3:$B$5001,L$208,BD!$A$3:$A$5001,"&gt;="&amp;$C$7,BD!$A$3:$A$5001,"&lt;="&amp;$B221,BD!$X$3:$X$5001,"&lt;&gt;")=0,"",SUMIFS(BD!$X$3:$X$5001,BD!$B$3:$B$5001,L$208,BD!$A$3:$A$5001,_xlfn.MAXIFS(BD!$A$3:$A$5001,BD!$B$3:$B$5001,L$208,BD!$A$3:$A$5001,"&gt;="&amp;$C$7,BD!$A$3:$A$5001,"&lt;="&amp;$B221,BD!$X$3:$X$5001,"&lt;&gt;"))))</f>
        <v/>
      </c>
    </row>
    <row r="222">
      <c r="A222" s="40">
        <v>14</v>
      </c>
      <c r="B222" s="41">
        <f>$B$25</f>
        <v>46309</v>
      </c>
      <c r="C222" s="42" t="str">
        <f>IF(OR($B222="",$A222&gt;$B$9),"",IF(COUNTIFS(BD!$B$3:$B$5001,C$208,BD!$A$3:$A$5001,"&gt;="&amp;$C$7,BD!$A$3:$A$5001,"&lt;="&amp;$B222,BD!$X$3:$X$5001,"&lt;&gt;")=0,"",SUMIFS(BD!$X$3:$X$5001,BD!$B$3:$B$5001,C$208,BD!$A$3:$A$5001,_xlfn.MAXIFS(BD!$A$3:$A$5001,BD!$B$3:$B$5001,C$208,BD!$A$3:$A$5001,"&gt;="&amp;$C$7,BD!$A$3:$A$5001,"&lt;="&amp;$B222,BD!$X$3:$X$5001,"&lt;&gt;"))))</f>
        <v/>
      </c>
      <c r="D222" s="42" t="str">
        <f>IF(OR($B222="",$A222&gt;$B$9),"",IF(COUNTIFS(BD!$B$3:$B$5001,D$208,BD!$A$3:$A$5001,"&gt;="&amp;$C$7,BD!$A$3:$A$5001,"&lt;="&amp;$B222,BD!$X$3:$X$5001,"&lt;&gt;")=0,"",SUMIFS(BD!$X$3:$X$5001,BD!$B$3:$B$5001,D$208,BD!$A$3:$A$5001,_xlfn.MAXIFS(BD!$A$3:$A$5001,BD!$B$3:$B$5001,D$208,BD!$A$3:$A$5001,"&gt;="&amp;$C$7,BD!$A$3:$A$5001,"&lt;="&amp;$B222,BD!$X$3:$X$5001,"&lt;&gt;"))))</f>
        <v/>
      </c>
      <c r="E222" s="42" t="str">
        <f>IF(OR($B222="",$A222&gt;$B$9),"",IF(COUNTIFS(BD!$B$3:$B$5001,E$208,BD!$A$3:$A$5001,"&gt;="&amp;$C$7,BD!$A$3:$A$5001,"&lt;="&amp;$B222,BD!$X$3:$X$5001,"&lt;&gt;")=0,"",SUMIFS(BD!$X$3:$X$5001,BD!$B$3:$B$5001,E$208,BD!$A$3:$A$5001,_xlfn.MAXIFS(BD!$A$3:$A$5001,BD!$B$3:$B$5001,E$208,BD!$A$3:$A$5001,"&gt;="&amp;$C$7,BD!$A$3:$A$5001,"&lt;="&amp;$B222,BD!$X$3:$X$5001,"&lt;&gt;"))))</f>
        <v/>
      </c>
      <c r="F222" s="42" t="str">
        <f>IF(OR($B222="",$A222&gt;$B$9),"",IF(COUNTIFS(BD!$B$3:$B$5001,F$208,BD!$A$3:$A$5001,"&gt;="&amp;$C$7,BD!$A$3:$A$5001,"&lt;="&amp;$B222,BD!$X$3:$X$5001,"&lt;&gt;")=0,"",SUMIFS(BD!$X$3:$X$5001,BD!$B$3:$B$5001,F$208,BD!$A$3:$A$5001,_xlfn.MAXIFS(BD!$A$3:$A$5001,BD!$B$3:$B$5001,F$208,BD!$A$3:$A$5001,"&gt;="&amp;$C$7,BD!$A$3:$A$5001,"&lt;="&amp;$B222,BD!$X$3:$X$5001,"&lt;&gt;"))))</f>
        <v/>
      </c>
      <c r="G222" s="42" t="str">
        <f>IF(OR($B222="",$A222&gt;$B$9),"",IF(COUNTIFS(BD!$B$3:$B$5001,G$208,BD!$A$3:$A$5001,"&gt;="&amp;$C$7,BD!$A$3:$A$5001,"&lt;="&amp;$B222,BD!$X$3:$X$5001,"&lt;&gt;")=0,"",SUMIFS(BD!$X$3:$X$5001,BD!$B$3:$B$5001,G$208,BD!$A$3:$A$5001,_xlfn.MAXIFS(BD!$A$3:$A$5001,BD!$B$3:$B$5001,G$208,BD!$A$3:$A$5001,"&gt;="&amp;$C$7,BD!$A$3:$A$5001,"&lt;="&amp;$B222,BD!$X$3:$X$5001,"&lt;&gt;"))))</f>
        <v/>
      </c>
      <c r="H222" s="42" t="str">
        <f>IF(OR($B222="",$A222&gt;$B$9),"",IF(COUNTIFS(BD!$B$3:$B$5001,H$208,BD!$A$3:$A$5001,"&gt;="&amp;$C$7,BD!$A$3:$A$5001,"&lt;="&amp;$B222,BD!$X$3:$X$5001,"&lt;&gt;")=0,"",SUMIFS(BD!$X$3:$X$5001,BD!$B$3:$B$5001,H$208,BD!$A$3:$A$5001,_xlfn.MAXIFS(BD!$A$3:$A$5001,BD!$B$3:$B$5001,H$208,BD!$A$3:$A$5001,"&gt;="&amp;$C$7,BD!$A$3:$A$5001,"&lt;="&amp;$B222,BD!$X$3:$X$5001,"&lt;&gt;"))))</f>
        <v/>
      </c>
      <c r="I222" s="42" t="str">
        <f>IF(OR($B222="",$A222&gt;$B$9),"",IF(COUNTIFS(BD!$B$3:$B$5001,I$208,BD!$A$3:$A$5001,"&gt;="&amp;$C$7,BD!$A$3:$A$5001,"&lt;="&amp;$B222,BD!$X$3:$X$5001,"&lt;&gt;")=0,"",SUMIFS(BD!$X$3:$X$5001,BD!$B$3:$B$5001,I$208,BD!$A$3:$A$5001,_xlfn.MAXIFS(BD!$A$3:$A$5001,BD!$B$3:$B$5001,I$208,BD!$A$3:$A$5001,"&gt;="&amp;$C$7,BD!$A$3:$A$5001,"&lt;="&amp;$B222,BD!$X$3:$X$5001,"&lt;&gt;"))))</f>
        <v/>
      </c>
      <c r="J222" s="42" t="str">
        <f>IF(OR($B222="",$A222&gt;$B$9),"",IF(COUNTIFS(BD!$B$3:$B$5001,J$208,BD!$A$3:$A$5001,"&gt;="&amp;$C$7,BD!$A$3:$A$5001,"&lt;="&amp;$B222,BD!$X$3:$X$5001,"&lt;&gt;")=0,"",SUMIFS(BD!$X$3:$X$5001,BD!$B$3:$B$5001,J$208,BD!$A$3:$A$5001,_xlfn.MAXIFS(BD!$A$3:$A$5001,BD!$B$3:$B$5001,J$208,BD!$A$3:$A$5001,"&gt;="&amp;$C$7,BD!$A$3:$A$5001,"&lt;="&amp;$B222,BD!$X$3:$X$5001,"&lt;&gt;"))))</f>
        <v/>
      </c>
      <c r="K222" s="42" t="str">
        <f>IF(OR($B222="",$A222&gt;$B$9),"",IF(COUNTIFS(BD!$B$3:$B$5001,K$208,BD!$A$3:$A$5001,"&gt;="&amp;$C$7,BD!$A$3:$A$5001,"&lt;="&amp;$B222,BD!$X$3:$X$5001,"&lt;&gt;")=0,"",SUMIFS(BD!$X$3:$X$5001,BD!$B$3:$B$5001,K$208,BD!$A$3:$A$5001,_xlfn.MAXIFS(BD!$A$3:$A$5001,BD!$B$3:$B$5001,K$208,BD!$A$3:$A$5001,"&gt;="&amp;$C$7,BD!$A$3:$A$5001,"&lt;="&amp;$B222,BD!$X$3:$X$5001,"&lt;&gt;"))))</f>
        <v/>
      </c>
      <c r="L222" s="42" t="str">
        <f>IF(OR($B222="",$A222&gt;$B$9),"",IF(COUNTIFS(BD!$B$3:$B$5001,L$208,BD!$A$3:$A$5001,"&gt;="&amp;$C$7,BD!$A$3:$A$5001,"&lt;="&amp;$B222,BD!$X$3:$X$5001,"&lt;&gt;")=0,"",SUMIFS(BD!$X$3:$X$5001,BD!$B$3:$B$5001,L$208,BD!$A$3:$A$5001,_xlfn.MAXIFS(BD!$A$3:$A$5001,BD!$B$3:$B$5001,L$208,BD!$A$3:$A$5001,"&gt;="&amp;$C$7,BD!$A$3:$A$5001,"&lt;="&amp;$B222,BD!$X$3:$X$5001,"&lt;&gt;"))))</f>
        <v/>
      </c>
    </row>
    <row r="223">
      <c r="A223" s="40">
        <v>15</v>
      </c>
      <c r="B223" s="41">
        <f>$B$26</f>
        <v>46310</v>
      </c>
      <c r="C223" s="42" t="str">
        <f>IF(OR($B223="",$A223&gt;$B$9),"",IF(COUNTIFS(BD!$B$3:$B$5001,C$208,BD!$A$3:$A$5001,"&gt;="&amp;$C$7,BD!$A$3:$A$5001,"&lt;="&amp;$B223,BD!$X$3:$X$5001,"&lt;&gt;")=0,"",SUMIFS(BD!$X$3:$X$5001,BD!$B$3:$B$5001,C$208,BD!$A$3:$A$5001,_xlfn.MAXIFS(BD!$A$3:$A$5001,BD!$B$3:$B$5001,C$208,BD!$A$3:$A$5001,"&gt;="&amp;$C$7,BD!$A$3:$A$5001,"&lt;="&amp;$B223,BD!$X$3:$X$5001,"&lt;&gt;"))))</f>
        <v/>
      </c>
      <c r="D223" s="42" t="str">
        <f>IF(OR($B223="",$A223&gt;$B$9),"",IF(COUNTIFS(BD!$B$3:$B$5001,D$208,BD!$A$3:$A$5001,"&gt;="&amp;$C$7,BD!$A$3:$A$5001,"&lt;="&amp;$B223,BD!$X$3:$X$5001,"&lt;&gt;")=0,"",SUMIFS(BD!$X$3:$X$5001,BD!$B$3:$B$5001,D$208,BD!$A$3:$A$5001,_xlfn.MAXIFS(BD!$A$3:$A$5001,BD!$B$3:$B$5001,D$208,BD!$A$3:$A$5001,"&gt;="&amp;$C$7,BD!$A$3:$A$5001,"&lt;="&amp;$B223,BD!$X$3:$X$5001,"&lt;&gt;"))))</f>
        <v/>
      </c>
      <c r="E223" s="42" t="str">
        <f>IF(OR($B223="",$A223&gt;$B$9),"",IF(COUNTIFS(BD!$B$3:$B$5001,E$208,BD!$A$3:$A$5001,"&gt;="&amp;$C$7,BD!$A$3:$A$5001,"&lt;="&amp;$B223,BD!$X$3:$X$5001,"&lt;&gt;")=0,"",SUMIFS(BD!$X$3:$X$5001,BD!$B$3:$B$5001,E$208,BD!$A$3:$A$5001,_xlfn.MAXIFS(BD!$A$3:$A$5001,BD!$B$3:$B$5001,E$208,BD!$A$3:$A$5001,"&gt;="&amp;$C$7,BD!$A$3:$A$5001,"&lt;="&amp;$B223,BD!$X$3:$X$5001,"&lt;&gt;"))))</f>
        <v/>
      </c>
      <c r="F223" s="42" t="str">
        <f>IF(OR($B223="",$A223&gt;$B$9),"",IF(COUNTIFS(BD!$B$3:$B$5001,F$208,BD!$A$3:$A$5001,"&gt;="&amp;$C$7,BD!$A$3:$A$5001,"&lt;="&amp;$B223,BD!$X$3:$X$5001,"&lt;&gt;")=0,"",SUMIFS(BD!$X$3:$X$5001,BD!$B$3:$B$5001,F$208,BD!$A$3:$A$5001,_xlfn.MAXIFS(BD!$A$3:$A$5001,BD!$B$3:$B$5001,F$208,BD!$A$3:$A$5001,"&gt;="&amp;$C$7,BD!$A$3:$A$5001,"&lt;="&amp;$B223,BD!$X$3:$X$5001,"&lt;&gt;"))))</f>
        <v/>
      </c>
      <c r="G223" s="42" t="str">
        <f>IF(OR($B223="",$A223&gt;$B$9),"",IF(COUNTIFS(BD!$B$3:$B$5001,G$208,BD!$A$3:$A$5001,"&gt;="&amp;$C$7,BD!$A$3:$A$5001,"&lt;="&amp;$B223,BD!$X$3:$X$5001,"&lt;&gt;")=0,"",SUMIFS(BD!$X$3:$X$5001,BD!$B$3:$B$5001,G$208,BD!$A$3:$A$5001,_xlfn.MAXIFS(BD!$A$3:$A$5001,BD!$B$3:$B$5001,G$208,BD!$A$3:$A$5001,"&gt;="&amp;$C$7,BD!$A$3:$A$5001,"&lt;="&amp;$B223,BD!$X$3:$X$5001,"&lt;&gt;"))))</f>
        <v/>
      </c>
      <c r="H223" s="42" t="str">
        <f>IF(OR($B223="",$A223&gt;$B$9),"",IF(COUNTIFS(BD!$B$3:$B$5001,H$208,BD!$A$3:$A$5001,"&gt;="&amp;$C$7,BD!$A$3:$A$5001,"&lt;="&amp;$B223,BD!$X$3:$X$5001,"&lt;&gt;")=0,"",SUMIFS(BD!$X$3:$X$5001,BD!$B$3:$B$5001,H$208,BD!$A$3:$A$5001,_xlfn.MAXIFS(BD!$A$3:$A$5001,BD!$B$3:$B$5001,H$208,BD!$A$3:$A$5001,"&gt;="&amp;$C$7,BD!$A$3:$A$5001,"&lt;="&amp;$B223,BD!$X$3:$X$5001,"&lt;&gt;"))))</f>
        <v/>
      </c>
      <c r="I223" s="42" t="str">
        <f>IF(OR($B223="",$A223&gt;$B$9),"",IF(COUNTIFS(BD!$B$3:$B$5001,I$208,BD!$A$3:$A$5001,"&gt;="&amp;$C$7,BD!$A$3:$A$5001,"&lt;="&amp;$B223,BD!$X$3:$X$5001,"&lt;&gt;")=0,"",SUMIFS(BD!$X$3:$X$5001,BD!$B$3:$B$5001,I$208,BD!$A$3:$A$5001,_xlfn.MAXIFS(BD!$A$3:$A$5001,BD!$B$3:$B$5001,I$208,BD!$A$3:$A$5001,"&gt;="&amp;$C$7,BD!$A$3:$A$5001,"&lt;="&amp;$B223,BD!$X$3:$X$5001,"&lt;&gt;"))))</f>
        <v/>
      </c>
      <c r="J223" s="42" t="str">
        <f>IF(OR($B223="",$A223&gt;$B$9),"",IF(COUNTIFS(BD!$B$3:$B$5001,J$208,BD!$A$3:$A$5001,"&gt;="&amp;$C$7,BD!$A$3:$A$5001,"&lt;="&amp;$B223,BD!$X$3:$X$5001,"&lt;&gt;")=0,"",SUMIFS(BD!$X$3:$X$5001,BD!$B$3:$B$5001,J$208,BD!$A$3:$A$5001,_xlfn.MAXIFS(BD!$A$3:$A$5001,BD!$B$3:$B$5001,J$208,BD!$A$3:$A$5001,"&gt;="&amp;$C$7,BD!$A$3:$A$5001,"&lt;="&amp;$B223,BD!$X$3:$X$5001,"&lt;&gt;"))))</f>
        <v/>
      </c>
      <c r="K223" s="42" t="str">
        <f>IF(OR($B223="",$A223&gt;$B$9),"",IF(COUNTIFS(BD!$B$3:$B$5001,K$208,BD!$A$3:$A$5001,"&gt;="&amp;$C$7,BD!$A$3:$A$5001,"&lt;="&amp;$B223,BD!$X$3:$X$5001,"&lt;&gt;")=0,"",SUMIFS(BD!$X$3:$X$5001,BD!$B$3:$B$5001,K$208,BD!$A$3:$A$5001,_xlfn.MAXIFS(BD!$A$3:$A$5001,BD!$B$3:$B$5001,K$208,BD!$A$3:$A$5001,"&gt;="&amp;$C$7,BD!$A$3:$A$5001,"&lt;="&amp;$B223,BD!$X$3:$X$5001,"&lt;&gt;"))))</f>
        <v/>
      </c>
      <c r="L223" s="42" t="str">
        <f>IF(OR($B223="",$A223&gt;$B$9),"",IF(COUNTIFS(BD!$B$3:$B$5001,L$208,BD!$A$3:$A$5001,"&gt;="&amp;$C$7,BD!$A$3:$A$5001,"&lt;="&amp;$B223,BD!$X$3:$X$5001,"&lt;&gt;")=0,"",SUMIFS(BD!$X$3:$X$5001,BD!$B$3:$B$5001,L$208,BD!$A$3:$A$5001,_xlfn.MAXIFS(BD!$A$3:$A$5001,BD!$B$3:$B$5001,L$208,BD!$A$3:$A$5001,"&gt;="&amp;$C$7,BD!$A$3:$A$5001,"&lt;="&amp;$B223,BD!$X$3:$X$5001,"&lt;&gt;"))))</f>
        <v/>
      </c>
    </row>
    <row r="224">
      <c r="A224" s="40">
        <v>16</v>
      </c>
      <c r="B224" s="41">
        <f>$B$27</f>
        <v>46311</v>
      </c>
      <c r="C224" s="42" t="str">
        <f>IF(OR($B224="",$A224&gt;$B$9),"",IF(COUNTIFS(BD!$B$3:$B$5001,C$208,BD!$A$3:$A$5001,"&gt;="&amp;$C$7,BD!$A$3:$A$5001,"&lt;="&amp;$B224,BD!$X$3:$X$5001,"&lt;&gt;")=0,"",SUMIFS(BD!$X$3:$X$5001,BD!$B$3:$B$5001,C$208,BD!$A$3:$A$5001,_xlfn.MAXIFS(BD!$A$3:$A$5001,BD!$B$3:$B$5001,C$208,BD!$A$3:$A$5001,"&gt;="&amp;$C$7,BD!$A$3:$A$5001,"&lt;="&amp;$B224,BD!$X$3:$X$5001,"&lt;&gt;"))))</f>
        <v/>
      </c>
      <c r="D224" s="42" t="str">
        <f>IF(OR($B224="",$A224&gt;$B$9),"",IF(COUNTIFS(BD!$B$3:$B$5001,D$208,BD!$A$3:$A$5001,"&gt;="&amp;$C$7,BD!$A$3:$A$5001,"&lt;="&amp;$B224,BD!$X$3:$X$5001,"&lt;&gt;")=0,"",SUMIFS(BD!$X$3:$X$5001,BD!$B$3:$B$5001,D$208,BD!$A$3:$A$5001,_xlfn.MAXIFS(BD!$A$3:$A$5001,BD!$B$3:$B$5001,D$208,BD!$A$3:$A$5001,"&gt;="&amp;$C$7,BD!$A$3:$A$5001,"&lt;="&amp;$B224,BD!$X$3:$X$5001,"&lt;&gt;"))))</f>
        <v/>
      </c>
      <c r="E224" s="42" t="str">
        <f>IF(OR($B224="",$A224&gt;$B$9),"",IF(COUNTIFS(BD!$B$3:$B$5001,E$208,BD!$A$3:$A$5001,"&gt;="&amp;$C$7,BD!$A$3:$A$5001,"&lt;="&amp;$B224,BD!$X$3:$X$5001,"&lt;&gt;")=0,"",SUMIFS(BD!$X$3:$X$5001,BD!$B$3:$B$5001,E$208,BD!$A$3:$A$5001,_xlfn.MAXIFS(BD!$A$3:$A$5001,BD!$B$3:$B$5001,E$208,BD!$A$3:$A$5001,"&gt;="&amp;$C$7,BD!$A$3:$A$5001,"&lt;="&amp;$B224,BD!$X$3:$X$5001,"&lt;&gt;"))))</f>
        <v/>
      </c>
      <c r="F224" s="42" t="str">
        <f>IF(OR($B224="",$A224&gt;$B$9),"",IF(COUNTIFS(BD!$B$3:$B$5001,F$208,BD!$A$3:$A$5001,"&gt;="&amp;$C$7,BD!$A$3:$A$5001,"&lt;="&amp;$B224,BD!$X$3:$X$5001,"&lt;&gt;")=0,"",SUMIFS(BD!$X$3:$X$5001,BD!$B$3:$B$5001,F$208,BD!$A$3:$A$5001,_xlfn.MAXIFS(BD!$A$3:$A$5001,BD!$B$3:$B$5001,F$208,BD!$A$3:$A$5001,"&gt;="&amp;$C$7,BD!$A$3:$A$5001,"&lt;="&amp;$B224,BD!$X$3:$X$5001,"&lt;&gt;"))))</f>
        <v/>
      </c>
      <c r="G224" s="42" t="str">
        <f>IF(OR($B224="",$A224&gt;$B$9),"",IF(COUNTIFS(BD!$B$3:$B$5001,G$208,BD!$A$3:$A$5001,"&gt;="&amp;$C$7,BD!$A$3:$A$5001,"&lt;="&amp;$B224,BD!$X$3:$X$5001,"&lt;&gt;")=0,"",SUMIFS(BD!$X$3:$X$5001,BD!$B$3:$B$5001,G$208,BD!$A$3:$A$5001,_xlfn.MAXIFS(BD!$A$3:$A$5001,BD!$B$3:$B$5001,G$208,BD!$A$3:$A$5001,"&gt;="&amp;$C$7,BD!$A$3:$A$5001,"&lt;="&amp;$B224,BD!$X$3:$X$5001,"&lt;&gt;"))))</f>
        <v/>
      </c>
      <c r="H224" s="42" t="str">
        <f>IF(OR($B224="",$A224&gt;$B$9),"",IF(COUNTIFS(BD!$B$3:$B$5001,H$208,BD!$A$3:$A$5001,"&gt;="&amp;$C$7,BD!$A$3:$A$5001,"&lt;="&amp;$B224,BD!$X$3:$X$5001,"&lt;&gt;")=0,"",SUMIFS(BD!$X$3:$X$5001,BD!$B$3:$B$5001,H$208,BD!$A$3:$A$5001,_xlfn.MAXIFS(BD!$A$3:$A$5001,BD!$B$3:$B$5001,H$208,BD!$A$3:$A$5001,"&gt;="&amp;$C$7,BD!$A$3:$A$5001,"&lt;="&amp;$B224,BD!$X$3:$X$5001,"&lt;&gt;"))))</f>
        <v/>
      </c>
      <c r="I224" s="42" t="str">
        <f>IF(OR($B224="",$A224&gt;$B$9),"",IF(COUNTIFS(BD!$B$3:$B$5001,I$208,BD!$A$3:$A$5001,"&gt;="&amp;$C$7,BD!$A$3:$A$5001,"&lt;="&amp;$B224,BD!$X$3:$X$5001,"&lt;&gt;")=0,"",SUMIFS(BD!$X$3:$X$5001,BD!$B$3:$B$5001,I$208,BD!$A$3:$A$5001,_xlfn.MAXIFS(BD!$A$3:$A$5001,BD!$B$3:$B$5001,I$208,BD!$A$3:$A$5001,"&gt;="&amp;$C$7,BD!$A$3:$A$5001,"&lt;="&amp;$B224,BD!$X$3:$X$5001,"&lt;&gt;"))))</f>
        <v/>
      </c>
      <c r="J224" s="42" t="str">
        <f>IF(OR($B224="",$A224&gt;$B$9),"",IF(COUNTIFS(BD!$B$3:$B$5001,J$208,BD!$A$3:$A$5001,"&gt;="&amp;$C$7,BD!$A$3:$A$5001,"&lt;="&amp;$B224,BD!$X$3:$X$5001,"&lt;&gt;")=0,"",SUMIFS(BD!$X$3:$X$5001,BD!$B$3:$B$5001,J$208,BD!$A$3:$A$5001,_xlfn.MAXIFS(BD!$A$3:$A$5001,BD!$B$3:$B$5001,J$208,BD!$A$3:$A$5001,"&gt;="&amp;$C$7,BD!$A$3:$A$5001,"&lt;="&amp;$B224,BD!$X$3:$X$5001,"&lt;&gt;"))))</f>
        <v/>
      </c>
      <c r="K224" s="42" t="str">
        <f>IF(OR($B224="",$A224&gt;$B$9),"",IF(COUNTIFS(BD!$B$3:$B$5001,K$208,BD!$A$3:$A$5001,"&gt;="&amp;$C$7,BD!$A$3:$A$5001,"&lt;="&amp;$B224,BD!$X$3:$X$5001,"&lt;&gt;")=0,"",SUMIFS(BD!$X$3:$X$5001,BD!$B$3:$B$5001,K$208,BD!$A$3:$A$5001,_xlfn.MAXIFS(BD!$A$3:$A$5001,BD!$B$3:$B$5001,K$208,BD!$A$3:$A$5001,"&gt;="&amp;$C$7,BD!$A$3:$A$5001,"&lt;="&amp;$B224,BD!$X$3:$X$5001,"&lt;&gt;"))))</f>
        <v/>
      </c>
      <c r="L224" s="42" t="str">
        <f>IF(OR($B224="",$A224&gt;$B$9),"",IF(COUNTIFS(BD!$B$3:$B$5001,L$208,BD!$A$3:$A$5001,"&gt;="&amp;$C$7,BD!$A$3:$A$5001,"&lt;="&amp;$B224,BD!$X$3:$X$5001,"&lt;&gt;")=0,"",SUMIFS(BD!$X$3:$X$5001,BD!$B$3:$B$5001,L$208,BD!$A$3:$A$5001,_xlfn.MAXIFS(BD!$A$3:$A$5001,BD!$B$3:$B$5001,L$208,BD!$A$3:$A$5001,"&gt;="&amp;$C$7,BD!$A$3:$A$5001,"&lt;="&amp;$B224,BD!$X$3:$X$5001,"&lt;&gt;"))))</f>
        <v/>
      </c>
    </row>
    <row r="225">
      <c r="A225" s="40">
        <v>17</v>
      </c>
      <c r="B225" s="41">
        <f>$B$28</f>
        <v>46312</v>
      </c>
      <c r="C225" s="42" t="str">
        <f>IF(OR($B225="",$A225&gt;$B$9),"",IF(COUNTIFS(BD!$B$3:$B$5001,C$208,BD!$A$3:$A$5001,"&gt;="&amp;$C$7,BD!$A$3:$A$5001,"&lt;="&amp;$B225,BD!$X$3:$X$5001,"&lt;&gt;")=0,"",SUMIFS(BD!$X$3:$X$5001,BD!$B$3:$B$5001,C$208,BD!$A$3:$A$5001,_xlfn.MAXIFS(BD!$A$3:$A$5001,BD!$B$3:$B$5001,C$208,BD!$A$3:$A$5001,"&gt;="&amp;$C$7,BD!$A$3:$A$5001,"&lt;="&amp;$B225,BD!$X$3:$X$5001,"&lt;&gt;"))))</f>
        <v/>
      </c>
      <c r="D225" s="42" t="str">
        <f>IF(OR($B225="",$A225&gt;$B$9),"",IF(COUNTIFS(BD!$B$3:$B$5001,D$208,BD!$A$3:$A$5001,"&gt;="&amp;$C$7,BD!$A$3:$A$5001,"&lt;="&amp;$B225,BD!$X$3:$X$5001,"&lt;&gt;")=0,"",SUMIFS(BD!$X$3:$X$5001,BD!$B$3:$B$5001,D$208,BD!$A$3:$A$5001,_xlfn.MAXIFS(BD!$A$3:$A$5001,BD!$B$3:$B$5001,D$208,BD!$A$3:$A$5001,"&gt;="&amp;$C$7,BD!$A$3:$A$5001,"&lt;="&amp;$B225,BD!$X$3:$X$5001,"&lt;&gt;"))))</f>
        <v/>
      </c>
      <c r="E225" s="42" t="str">
        <f>IF(OR($B225="",$A225&gt;$B$9),"",IF(COUNTIFS(BD!$B$3:$B$5001,E$208,BD!$A$3:$A$5001,"&gt;="&amp;$C$7,BD!$A$3:$A$5001,"&lt;="&amp;$B225,BD!$X$3:$X$5001,"&lt;&gt;")=0,"",SUMIFS(BD!$X$3:$X$5001,BD!$B$3:$B$5001,E$208,BD!$A$3:$A$5001,_xlfn.MAXIFS(BD!$A$3:$A$5001,BD!$B$3:$B$5001,E$208,BD!$A$3:$A$5001,"&gt;="&amp;$C$7,BD!$A$3:$A$5001,"&lt;="&amp;$B225,BD!$X$3:$X$5001,"&lt;&gt;"))))</f>
        <v/>
      </c>
      <c r="F225" s="42" t="str">
        <f>IF(OR($B225="",$A225&gt;$B$9),"",IF(COUNTIFS(BD!$B$3:$B$5001,F$208,BD!$A$3:$A$5001,"&gt;="&amp;$C$7,BD!$A$3:$A$5001,"&lt;="&amp;$B225,BD!$X$3:$X$5001,"&lt;&gt;")=0,"",SUMIFS(BD!$X$3:$X$5001,BD!$B$3:$B$5001,F$208,BD!$A$3:$A$5001,_xlfn.MAXIFS(BD!$A$3:$A$5001,BD!$B$3:$B$5001,F$208,BD!$A$3:$A$5001,"&gt;="&amp;$C$7,BD!$A$3:$A$5001,"&lt;="&amp;$B225,BD!$X$3:$X$5001,"&lt;&gt;"))))</f>
        <v/>
      </c>
      <c r="G225" s="42" t="str">
        <f>IF(OR($B225="",$A225&gt;$B$9),"",IF(COUNTIFS(BD!$B$3:$B$5001,G$208,BD!$A$3:$A$5001,"&gt;="&amp;$C$7,BD!$A$3:$A$5001,"&lt;="&amp;$B225,BD!$X$3:$X$5001,"&lt;&gt;")=0,"",SUMIFS(BD!$X$3:$X$5001,BD!$B$3:$B$5001,G$208,BD!$A$3:$A$5001,_xlfn.MAXIFS(BD!$A$3:$A$5001,BD!$B$3:$B$5001,G$208,BD!$A$3:$A$5001,"&gt;="&amp;$C$7,BD!$A$3:$A$5001,"&lt;="&amp;$B225,BD!$X$3:$X$5001,"&lt;&gt;"))))</f>
        <v/>
      </c>
      <c r="H225" s="42" t="str">
        <f>IF(OR($B225="",$A225&gt;$B$9),"",IF(COUNTIFS(BD!$B$3:$B$5001,H$208,BD!$A$3:$A$5001,"&gt;="&amp;$C$7,BD!$A$3:$A$5001,"&lt;="&amp;$B225,BD!$X$3:$X$5001,"&lt;&gt;")=0,"",SUMIFS(BD!$X$3:$X$5001,BD!$B$3:$B$5001,H$208,BD!$A$3:$A$5001,_xlfn.MAXIFS(BD!$A$3:$A$5001,BD!$B$3:$B$5001,H$208,BD!$A$3:$A$5001,"&gt;="&amp;$C$7,BD!$A$3:$A$5001,"&lt;="&amp;$B225,BD!$X$3:$X$5001,"&lt;&gt;"))))</f>
        <v/>
      </c>
      <c r="I225" s="42" t="str">
        <f>IF(OR($B225="",$A225&gt;$B$9),"",IF(COUNTIFS(BD!$B$3:$B$5001,I$208,BD!$A$3:$A$5001,"&gt;="&amp;$C$7,BD!$A$3:$A$5001,"&lt;="&amp;$B225,BD!$X$3:$X$5001,"&lt;&gt;")=0,"",SUMIFS(BD!$X$3:$X$5001,BD!$B$3:$B$5001,I$208,BD!$A$3:$A$5001,_xlfn.MAXIFS(BD!$A$3:$A$5001,BD!$B$3:$B$5001,I$208,BD!$A$3:$A$5001,"&gt;="&amp;$C$7,BD!$A$3:$A$5001,"&lt;="&amp;$B225,BD!$X$3:$X$5001,"&lt;&gt;"))))</f>
        <v/>
      </c>
      <c r="J225" s="42" t="str">
        <f>IF(OR($B225="",$A225&gt;$B$9),"",IF(COUNTIFS(BD!$B$3:$B$5001,J$208,BD!$A$3:$A$5001,"&gt;="&amp;$C$7,BD!$A$3:$A$5001,"&lt;="&amp;$B225,BD!$X$3:$X$5001,"&lt;&gt;")=0,"",SUMIFS(BD!$X$3:$X$5001,BD!$B$3:$B$5001,J$208,BD!$A$3:$A$5001,_xlfn.MAXIFS(BD!$A$3:$A$5001,BD!$B$3:$B$5001,J$208,BD!$A$3:$A$5001,"&gt;="&amp;$C$7,BD!$A$3:$A$5001,"&lt;="&amp;$B225,BD!$X$3:$X$5001,"&lt;&gt;"))))</f>
        <v/>
      </c>
      <c r="K225" s="42" t="str">
        <f>IF(OR($B225="",$A225&gt;$B$9),"",IF(COUNTIFS(BD!$B$3:$B$5001,K$208,BD!$A$3:$A$5001,"&gt;="&amp;$C$7,BD!$A$3:$A$5001,"&lt;="&amp;$B225,BD!$X$3:$X$5001,"&lt;&gt;")=0,"",SUMIFS(BD!$X$3:$X$5001,BD!$B$3:$B$5001,K$208,BD!$A$3:$A$5001,_xlfn.MAXIFS(BD!$A$3:$A$5001,BD!$B$3:$B$5001,K$208,BD!$A$3:$A$5001,"&gt;="&amp;$C$7,BD!$A$3:$A$5001,"&lt;="&amp;$B225,BD!$X$3:$X$5001,"&lt;&gt;"))))</f>
        <v/>
      </c>
      <c r="L225" s="42" t="str">
        <f>IF(OR($B225="",$A225&gt;$B$9),"",IF(COUNTIFS(BD!$B$3:$B$5001,L$208,BD!$A$3:$A$5001,"&gt;="&amp;$C$7,BD!$A$3:$A$5001,"&lt;="&amp;$B225,BD!$X$3:$X$5001,"&lt;&gt;")=0,"",SUMIFS(BD!$X$3:$X$5001,BD!$B$3:$B$5001,L$208,BD!$A$3:$A$5001,_xlfn.MAXIFS(BD!$A$3:$A$5001,BD!$B$3:$B$5001,L$208,BD!$A$3:$A$5001,"&gt;="&amp;$C$7,BD!$A$3:$A$5001,"&lt;="&amp;$B225,BD!$X$3:$X$5001,"&lt;&gt;"))))</f>
        <v/>
      </c>
    </row>
    <row r="226">
      <c r="A226" s="40">
        <v>18</v>
      </c>
      <c r="B226" s="41">
        <f>$B$29</f>
        <v>46313</v>
      </c>
      <c r="C226" s="42" t="str">
        <f>IF(OR($B226="",$A226&gt;$B$9),"",IF(COUNTIFS(BD!$B$3:$B$5001,C$208,BD!$A$3:$A$5001,"&gt;="&amp;$C$7,BD!$A$3:$A$5001,"&lt;="&amp;$B226,BD!$X$3:$X$5001,"&lt;&gt;")=0,"",SUMIFS(BD!$X$3:$X$5001,BD!$B$3:$B$5001,C$208,BD!$A$3:$A$5001,_xlfn.MAXIFS(BD!$A$3:$A$5001,BD!$B$3:$B$5001,C$208,BD!$A$3:$A$5001,"&gt;="&amp;$C$7,BD!$A$3:$A$5001,"&lt;="&amp;$B226,BD!$X$3:$X$5001,"&lt;&gt;"))))</f>
        <v/>
      </c>
      <c r="D226" s="42" t="str">
        <f>IF(OR($B226="",$A226&gt;$B$9),"",IF(COUNTIFS(BD!$B$3:$B$5001,D$208,BD!$A$3:$A$5001,"&gt;="&amp;$C$7,BD!$A$3:$A$5001,"&lt;="&amp;$B226,BD!$X$3:$X$5001,"&lt;&gt;")=0,"",SUMIFS(BD!$X$3:$X$5001,BD!$B$3:$B$5001,D$208,BD!$A$3:$A$5001,_xlfn.MAXIFS(BD!$A$3:$A$5001,BD!$B$3:$B$5001,D$208,BD!$A$3:$A$5001,"&gt;="&amp;$C$7,BD!$A$3:$A$5001,"&lt;="&amp;$B226,BD!$X$3:$X$5001,"&lt;&gt;"))))</f>
        <v/>
      </c>
      <c r="E226" s="42" t="str">
        <f>IF(OR($B226="",$A226&gt;$B$9),"",IF(COUNTIFS(BD!$B$3:$B$5001,E$208,BD!$A$3:$A$5001,"&gt;="&amp;$C$7,BD!$A$3:$A$5001,"&lt;="&amp;$B226,BD!$X$3:$X$5001,"&lt;&gt;")=0,"",SUMIFS(BD!$X$3:$X$5001,BD!$B$3:$B$5001,E$208,BD!$A$3:$A$5001,_xlfn.MAXIFS(BD!$A$3:$A$5001,BD!$B$3:$B$5001,E$208,BD!$A$3:$A$5001,"&gt;="&amp;$C$7,BD!$A$3:$A$5001,"&lt;="&amp;$B226,BD!$X$3:$X$5001,"&lt;&gt;"))))</f>
        <v/>
      </c>
      <c r="F226" s="42" t="str">
        <f>IF(OR($B226="",$A226&gt;$B$9),"",IF(COUNTIFS(BD!$B$3:$B$5001,F$208,BD!$A$3:$A$5001,"&gt;="&amp;$C$7,BD!$A$3:$A$5001,"&lt;="&amp;$B226,BD!$X$3:$X$5001,"&lt;&gt;")=0,"",SUMIFS(BD!$X$3:$X$5001,BD!$B$3:$B$5001,F$208,BD!$A$3:$A$5001,_xlfn.MAXIFS(BD!$A$3:$A$5001,BD!$B$3:$B$5001,F$208,BD!$A$3:$A$5001,"&gt;="&amp;$C$7,BD!$A$3:$A$5001,"&lt;="&amp;$B226,BD!$X$3:$X$5001,"&lt;&gt;"))))</f>
        <v/>
      </c>
      <c r="G226" s="42" t="str">
        <f>IF(OR($B226="",$A226&gt;$B$9),"",IF(COUNTIFS(BD!$B$3:$B$5001,G$208,BD!$A$3:$A$5001,"&gt;="&amp;$C$7,BD!$A$3:$A$5001,"&lt;="&amp;$B226,BD!$X$3:$X$5001,"&lt;&gt;")=0,"",SUMIFS(BD!$X$3:$X$5001,BD!$B$3:$B$5001,G$208,BD!$A$3:$A$5001,_xlfn.MAXIFS(BD!$A$3:$A$5001,BD!$B$3:$B$5001,G$208,BD!$A$3:$A$5001,"&gt;="&amp;$C$7,BD!$A$3:$A$5001,"&lt;="&amp;$B226,BD!$X$3:$X$5001,"&lt;&gt;"))))</f>
        <v/>
      </c>
      <c r="H226" s="42" t="str">
        <f>IF(OR($B226="",$A226&gt;$B$9),"",IF(COUNTIFS(BD!$B$3:$B$5001,H$208,BD!$A$3:$A$5001,"&gt;="&amp;$C$7,BD!$A$3:$A$5001,"&lt;="&amp;$B226,BD!$X$3:$X$5001,"&lt;&gt;")=0,"",SUMIFS(BD!$X$3:$X$5001,BD!$B$3:$B$5001,H$208,BD!$A$3:$A$5001,_xlfn.MAXIFS(BD!$A$3:$A$5001,BD!$B$3:$B$5001,H$208,BD!$A$3:$A$5001,"&gt;="&amp;$C$7,BD!$A$3:$A$5001,"&lt;="&amp;$B226,BD!$X$3:$X$5001,"&lt;&gt;"))))</f>
        <v/>
      </c>
      <c r="I226" s="42" t="str">
        <f>IF(OR($B226="",$A226&gt;$B$9),"",IF(COUNTIFS(BD!$B$3:$B$5001,I$208,BD!$A$3:$A$5001,"&gt;="&amp;$C$7,BD!$A$3:$A$5001,"&lt;="&amp;$B226,BD!$X$3:$X$5001,"&lt;&gt;")=0,"",SUMIFS(BD!$X$3:$X$5001,BD!$B$3:$B$5001,I$208,BD!$A$3:$A$5001,_xlfn.MAXIFS(BD!$A$3:$A$5001,BD!$B$3:$B$5001,I$208,BD!$A$3:$A$5001,"&gt;="&amp;$C$7,BD!$A$3:$A$5001,"&lt;="&amp;$B226,BD!$X$3:$X$5001,"&lt;&gt;"))))</f>
        <v/>
      </c>
      <c r="J226" s="42" t="str">
        <f>IF(OR($B226="",$A226&gt;$B$9),"",IF(COUNTIFS(BD!$B$3:$B$5001,J$208,BD!$A$3:$A$5001,"&gt;="&amp;$C$7,BD!$A$3:$A$5001,"&lt;="&amp;$B226,BD!$X$3:$X$5001,"&lt;&gt;")=0,"",SUMIFS(BD!$X$3:$X$5001,BD!$B$3:$B$5001,J$208,BD!$A$3:$A$5001,_xlfn.MAXIFS(BD!$A$3:$A$5001,BD!$B$3:$B$5001,J$208,BD!$A$3:$A$5001,"&gt;="&amp;$C$7,BD!$A$3:$A$5001,"&lt;="&amp;$B226,BD!$X$3:$X$5001,"&lt;&gt;"))))</f>
        <v/>
      </c>
      <c r="K226" s="42" t="str">
        <f>IF(OR($B226="",$A226&gt;$B$9),"",IF(COUNTIFS(BD!$B$3:$B$5001,K$208,BD!$A$3:$A$5001,"&gt;="&amp;$C$7,BD!$A$3:$A$5001,"&lt;="&amp;$B226,BD!$X$3:$X$5001,"&lt;&gt;")=0,"",SUMIFS(BD!$X$3:$X$5001,BD!$B$3:$B$5001,K$208,BD!$A$3:$A$5001,_xlfn.MAXIFS(BD!$A$3:$A$5001,BD!$B$3:$B$5001,K$208,BD!$A$3:$A$5001,"&gt;="&amp;$C$7,BD!$A$3:$A$5001,"&lt;="&amp;$B226,BD!$X$3:$X$5001,"&lt;&gt;"))))</f>
        <v/>
      </c>
      <c r="L226" s="42" t="str">
        <f>IF(OR($B226="",$A226&gt;$B$9),"",IF(COUNTIFS(BD!$B$3:$B$5001,L$208,BD!$A$3:$A$5001,"&gt;="&amp;$C$7,BD!$A$3:$A$5001,"&lt;="&amp;$B226,BD!$X$3:$X$5001,"&lt;&gt;")=0,"",SUMIFS(BD!$X$3:$X$5001,BD!$B$3:$B$5001,L$208,BD!$A$3:$A$5001,_xlfn.MAXIFS(BD!$A$3:$A$5001,BD!$B$3:$B$5001,L$208,BD!$A$3:$A$5001,"&gt;="&amp;$C$7,BD!$A$3:$A$5001,"&lt;="&amp;$B226,BD!$X$3:$X$5001,"&lt;&gt;"))))</f>
        <v/>
      </c>
    </row>
    <row r="227">
      <c r="A227" s="40">
        <v>19</v>
      </c>
      <c r="B227" s="41">
        <f>$B$30</f>
        <v>46314</v>
      </c>
      <c r="C227" s="42" t="str">
        <f>IF(OR($B227="",$A227&gt;$B$9),"",IF(COUNTIFS(BD!$B$3:$B$5001,C$208,BD!$A$3:$A$5001,"&gt;="&amp;$C$7,BD!$A$3:$A$5001,"&lt;="&amp;$B227,BD!$X$3:$X$5001,"&lt;&gt;")=0,"",SUMIFS(BD!$X$3:$X$5001,BD!$B$3:$B$5001,C$208,BD!$A$3:$A$5001,_xlfn.MAXIFS(BD!$A$3:$A$5001,BD!$B$3:$B$5001,C$208,BD!$A$3:$A$5001,"&gt;="&amp;$C$7,BD!$A$3:$A$5001,"&lt;="&amp;$B227,BD!$X$3:$X$5001,"&lt;&gt;"))))</f>
        <v/>
      </c>
      <c r="D227" s="42" t="str">
        <f>IF(OR($B227="",$A227&gt;$B$9),"",IF(COUNTIFS(BD!$B$3:$B$5001,D$208,BD!$A$3:$A$5001,"&gt;="&amp;$C$7,BD!$A$3:$A$5001,"&lt;="&amp;$B227,BD!$X$3:$X$5001,"&lt;&gt;")=0,"",SUMIFS(BD!$X$3:$X$5001,BD!$B$3:$B$5001,D$208,BD!$A$3:$A$5001,_xlfn.MAXIFS(BD!$A$3:$A$5001,BD!$B$3:$B$5001,D$208,BD!$A$3:$A$5001,"&gt;="&amp;$C$7,BD!$A$3:$A$5001,"&lt;="&amp;$B227,BD!$X$3:$X$5001,"&lt;&gt;"))))</f>
        <v/>
      </c>
      <c r="E227" s="42" t="str">
        <f>IF(OR($B227="",$A227&gt;$B$9),"",IF(COUNTIFS(BD!$B$3:$B$5001,E$208,BD!$A$3:$A$5001,"&gt;="&amp;$C$7,BD!$A$3:$A$5001,"&lt;="&amp;$B227,BD!$X$3:$X$5001,"&lt;&gt;")=0,"",SUMIFS(BD!$X$3:$X$5001,BD!$B$3:$B$5001,E$208,BD!$A$3:$A$5001,_xlfn.MAXIFS(BD!$A$3:$A$5001,BD!$B$3:$B$5001,E$208,BD!$A$3:$A$5001,"&gt;="&amp;$C$7,BD!$A$3:$A$5001,"&lt;="&amp;$B227,BD!$X$3:$X$5001,"&lt;&gt;"))))</f>
        <v/>
      </c>
      <c r="F227" s="42" t="str">
        <f>IF(OR($B227="",$A227&gt;$B$9),"",IF(COUNTIFS(BD!$B$3:$B$5001,F$208,BD!$A$3:$A$5001,"&gt;="&amp;$C$7,BD!$A$3:$A$5001,"&lt;="&amp;$B227,BD!$X$3:$X$5001,"&lt;&gt;")=0,"",SUMIFS(BD!$X$3:$X$5001,BD!$B$3:$B$5001,F$208,BD!$A$3:$A$5001,_xlfn.MAXIFS(BD!$A$3:$A$5001,BD!$B$3:$B$5001,F$208,BD!$A$3:$A$5001,"&gt;="&amp;$C$7,BD!$A$3:$A$5001,"&lt;="&amp;$B227,BD!$X$3:$X$5001,"&lt;&gt;"))))</f>
        <v/>
      </c>
      <c r="G227" s="42" t="str">
        <f>IF(OR($B227="",$A227&gt;$B$9),"",IF(COUNTIFS(BD!$B$3:$B$5001,G$208,BD!$A$3:$A$5001,"&gt;="&amp;$C$7,BD!$A$3:$A$5001,"&lt;="&amp;$B227,BD!$X$3:$X$5001,"&lt;&gt;")=0,"",SUMIFS(BD!$X$3:$X$5001,BD!$B$3:$B$5001,G$208,BD!$A$3:$A$5001,_xlfn.MAXIFS(BD!$A$3:$A$5001,BD!$B$3:$B$5001,G$208,BD!$A$3:$A$5001,"&gt;="&amp;$C$7,BD!$A$3:$A$5001,"&lt;="&amp;$B227,BD!$X$3:$X$5001,"&lt;&gt;"))))</f>
        <v/>
      </c>
      <c r="H227" s="42" t="str">
        <f>IF(OR($B227="",$A227&gt;$B$9),"",IF(COUNTIFS(BD!$B$3:$B$5001,H$208,BD!$A$3:$A$5001,"&gt;="&amp;$C$7,BD!$A$3:$A$5001,"&lt;="&amp;$B227,BD!$X$3:$X$5001,"&lt;&gt;")=0,"",SUMIFS(BD!$X$3:$X$5001,BD!$B$3:$B$5001,H$208,BD!$A$3:$A$5001,_xlfn.MAXIFS(BD!$A$3:$A$5001,BD!$B$3:$B$5001,H$208,BD!$A$3:$A$5001,"&gt;="&amp;$C$7,BD!$A$3:$A$5001,"&lt;="&amp;$B227,BD!$X$3:$X$5001,"&lt;&gt;"))))</f>
        <v/>
      </c>
      <c r="I227" s="42" t="str">
        <f>IF(OR($B227="",$A227&gt;$B$9),"",IF(COUNTIFS(BD!$B$3:$B$5001,I$208,BD!$A$3:$A$5001,"&gt;="&amp;$C$7,BD!$A$3:$A$5001,"&lt;="&amp;$B227,BD!$X$3:$X$5001,"&lt;&gt;")=0,"",SUMIFS(BD!$X$3:$X$5001,BD!$B$3:$B$5001,I$208,BD!$A$3:$A$5001,_xlfn.MAXIFS(BD!$A$3:$A$5001,BD!$B$3:$B$5001,I$208,BD!$A$3:$A$5001,"&gt;="&amp;$C$7,BD!$A$3:$A$5001,"&lt;="&amp;$B227,BD!$X$3:$X$5001,"&lt;&gt;"))))</f>
        <v/>
      </c>
      <c r="J227" s="42" t="str">
        <f>IF(OR($B227="",$A227&gt;$B$9),"",IF(COUNTIFS(BD!$B$3:$B$5001,J$208,BD!$A$3:$A$5001,"&gt;="&amp;$C$7,BD!$A$3:$A$5001,"&lt;="&amp;$B227,BD!$X$3:$X$5001,"&lt;&gt;")=0,"",SUMIFS(BD!$X$3:$X$5001,BD!$B$3:$B$5001,J$208,BD!$A$3:$A$5001,_xlfn.MAXIFS(BD!$A$3:$A$5001,BD!$B$3:$B$5001,J$208,BD!$A$3:$A$5001,"&gt;="&amp;$C$7,BD!$A$3:$A$5001,"&lt;="&amp;$B227,BD!$X$3:$X$5001,"&lt;&gt;"))))</f>
        <v/>
      </c>
      <c r="K227" s="42" t="str">
        <f>IF(OR($B227="",$A227&gt;$B$9),"",IF(COUNTIFS(BD!$B$3:$B$5001,K$208,BD!$A$3:$A$5001,"&gt;="&amp;$C$7,BD!$A$3:$A$5001,"&lt;="&amp;$B227,BD!$X$3:$X$5001,"&lt;&gt;")=0,"",SUMIFS(BD!$X$3:$X$5001,BD!$B$3:$B$5001,K$208,BD!$A$3:$A$5001,_xlfn.MAXIFS(BD!$A$3:$A$5001,BD!$B$3:$B$5001,K$208,BD!$A$3:$A$5001,"&gt;="&amp;$C$7,BD!$A$3:$A$5001,"&lt;="&amp;$B227,BD!$X$3:$X$5001,"&lt;&gt;"))))</f>
        <v/>
      </c>
      <c r="L227" s="42" t="str">
        <f>IF(OR($B227="",$A227&gt;$B$9),"",IF(COUNTIFS(BD!$B$3:$B$5001,L$208,BD!$A$3:$A$5001,"&gt;="&amp;$C$7,BD!$A$3:$A$5001,"&lt;="&amp;$B227,BD!$X$3:$X$5001,"&lt;&gt;")=0,"",SUMIFS(BD!$X$3:$X$5001,BD!$B$3:$B$5001,L$208,BD!$A$3:$A$5001,_xlfn.MAXIFS(BD!$A$3:$A$5001,BD!$B$3:$B$5001,L$208,BD!$A$3:$A$5001,"&gt;="&amp;$C$7,BD!$A$3:$A$5001,"&lt;="&amp;$B227,BD!$X$3:$X$5001,"&lt;&gt;"))))</f>
        <v/>
      </c>
    </row>
    <row r="228">
      <c r="A228" s="40">
        <v>20</v>
      </c>
      <c r="B228" s="41">
        <f>$B$31</f>
        <v>46315</v>
      </c>
      <c r="C228" s="42" t="str">
        <f>IF(OR($B228="",$A228&gt;$B$9),"",IF(COUNTIFS(BD!$B$3:$B$5001,C$208,BD!$A$3:$A$5001,"&gt;="&amp;$C$7,BD!$A$3:$A$5001,"&lt;="&amp;$B228,BD!$X$3:$X$5001,"&lt;&gt;")=0,"",SUMIFS(BD!$X$3:$X$5001,BD!$B$3:$B$5001,C$208,BD!$A$3:$A$5001,_xlfn.MAXIFS(BD!$A$3:$A$5001,BD!$B$3:$B$5001,C$208,BD!$A$3:$A$5001,"&gt;="&amp;$C$7,BD!$A$3:$A$5001,"&lt;="&amp;$B228,BD!$X$3:$X$5001,"&lt;&gt;"))))</f>
        <v/>
      </c>
      <c r="D228" s="42" t="str">
        <f>IF(OR($B228="",$A228&gt;$B$9),"",IF(COUNTIFS(BD!$B$3:$B$5001,D$208,BD!$A$3:$A$5001,"&gt;="&amp;$C$7,BD!$A$3:$A$5001,"&lt;="&amp;$B228,BD!$X$3:$X$5001,"&lt;&gt;")=0,"",SUMIFS(BD!$X$3:$X$5001,BD!$B$3:$B$5001,D$208,BD!$A$3:$A$5001,_xlfn.MAXIFS(BD!$A$3:$A$5001,BD!$B$3:$B$5001,D$208,BD!$A$3:$A$5001,"&gt;="&amp;$C$7,BD!$A$3:$A$5001,"&lt;="&amp;$B228,BD!$X$3:$X$5001,"&lt;&gt;"))))</f>
        <v/>
      </c>
      <c r="E228" s="42" t="str">
        <f>IF(OR($B228="",$A228&gt;$B$9),"",IF(COUNTIFS(BD!$B$3:$B$5001,E$208,BD!$A$3:$A$5001,"&gt;="&amp;$C$7,BD!$A$3:$A$5001,"&lt;="&amp;$B228,BD!$X$3:$X$5001,"&lt;&gt;")=0,"",SUMIFS(BD!$X$3:$X$5001,BD!$B$3:$B$5001,E$208,BD!$A$3:$A$5001,_xlfn.MAXIFS(BD!$A$3:$A$5001,BD!$B$3:$B$5001,E$208,BD!$A$3:$A$5001,"&gt;="&amp;$C$7,BD!$A$3:$A$5001,"&lt;="&amp;$B228,BD!$X$3:$X$5001,"&lt;&gt;"))))</f>
        <v/>
      </c>
      <c r="F228" s="42" t="str">
        <f>IF(OR($B228="",$A228&gt;$B$9),"",IF(COUNTIFS(BD!$B$3:$B$5001,F$208,BD!$A$3:$A$5001,"&gt;="&amp;$C$7,BD!$A$3:$A$5001,"&lt;="&amp;$B228,BD!$X$3:$X$5001,"&lt;&gt;")=0,"",SUMIFS(BD!$X$3:$X$5001,BD!$B$3:$B$5001,F$208,BD!$A$3:$A$5001,_xlfn.MAXIFS(BD!$A$3:$A$5001,BD!$B$3:$B$5001,F$208,BD!$A$3:$A$5001,"&gt;="&amp;$C$7,BD!$A$3:$A$5001,"&lt;="&amp;$B228,BD!$X$3:$X$5001,"&lt;&gt;"))))</f>
        <v/>
      </c>
      <c r="G228" s="42" t="str">
        <f>IF(OR($B228="",$A228&gt;$B$9),"",IF(COUNTIFS(BD!$B$3:$B$5001,G$208,BD!$A$3:$A$5001,"&gt;="&amp;$C$7,BD!$A$3:$A$5001,"&lt;="&amp;$B228,BD!$X$3:$X$5001,"&lt;&gt;")=0,"",SUMIFS(BD!$X$3:$X$5001,BD!$B$3:$B$5001,G$208,BD!$A$3:$A$5001,_xlfn.MAXIFS(BD!$A$3:$A$5001,BD!$B$3:$B$5001,G$208,BD!$A$3:$A$5001,"&gt;="&amp;$C$7,BD!$A$3:$A$5001,"&lt;="&amp;$B228,BD!$X$3:$X$5001,"&lt;&gt;"))))</f>
        <v/>
      </c>
      <c r="H228" s="42" t="str">
        <f>IF(OR($B228="",$A228&gt;$B$9),"",IF(COUNTIFS(BD!$B$3:$B$5001,H$208,BD!$A$3:$A$5001,"&gt;="&amp;$C$7,BD!$A$3:$A$5001,"&lt;="&amp;$B228,BD!$X$3:$X$5001,"&lt;&gt;")=0,"",SUMIFS(BD!$X$3:$X$5001,BD!$B$3:$B$5001,H$208,BD!$A$3:$A$5001,_xlfn.MAXIFS(BD!$A$3:$A$5001,BD!$B$3:$B$5001,H$208,BD!$A$3:$A$5001,"&gt;="&amp;$C$7,BD!$A$3:$A$5001,"&lt;="&amp;$B228,BD!$X$3:$X$5001,"&lt;&gt;"))))</f>
        <v/>
      </c>
      <c r="I228" s="42" t="str">
        <f>IF(OR($B228="",$A228&gt;$B$9),"",IF(COUNTIFS(BD!$B$3:$B$5001,I$208,BD!$A$3:$A$5001,"&gt;="&amp;$C$7,BD!$A$3:$A$5001,"&lt;="&amp;$B228,BD!$X$3:$X$5001,"&lt;&gt;")=0,"",SUMIFS(BD!$X$3:$X$5001,BD!$B$3:$B$5001,I$208,BD!$A$3:$A$5001,_xlfn.MAXIFS(BD!$A$3:$A$5001,BD!$B$3:$B$5001,I$208,BD!$A$3:$A$5001,"&gt;="&amp;$C$7,BD!$A$3:$A$5001,"&lt;="&amp;$B228,BD!$X$3:$X$5001,"&lt;&gt;"))))</f>
        <v/>
      </c>
      <c r="J228" s="42" t="str">
        <f>IF(OR($B228="",$A228&gt;$B$9),"",IF(COUNTIFS(BD!$B$3:$B$5001,J$208,BD!$A$3:$A$5001,"&gt;="&amp;$C$7,BD!$A$3:$A$5001,"&lt;="&amp;$B228,BD!$X$3:$X$5001,"&lt;&gt;")=0,"",SUMIFS(BD!$X$3:$X$5001,BD!$B$3:$B$5001,J$208,BD!$A$3:$A$5001,_xlfn.MAXIFS(BD!$A$3:$A$5001,BD!$B$3:$B$5001,J$208,BD!$A$3:$A$5001,"&gt;="&amp;$C$7,BD!$A$3:$A$5001,"&lt;="&amp;$B228,BD!$X$3:$X$5001,"&lt;&gt;"))))</f>
        <v/>
      </c>
      <c r="K228" s="42" t="str">
        <f>IF(OR($B228="",$A228&gt;$B$9),"",IF(COUNTIFS(BD!$B$3:$B$5001,K$208,BD!$A$3:$A$5001,"&gt;="&amp;$C$7,BD!$A$3:$A$5001,"&lt;="&amp;$B228,BD!$X$3:$X$5001,"&lt;&gt;")=0,"",SUMIFS(BD!$X$3:$X$5001,BD!$B$3:$B$5001,K$208,BD!$A$3:$A$5001,_xlfn.MAXIFS(BD!$A$3:$A$5001,BD!$B$3:$B$5001,K$208,BD!$A$3:$A$5001,"&gt;="&amp;$C$7,BD!$A$3:$A$5001,"&lt;="&amp;$B228,BD!$X$3:$X$5001,"&lt;&gt;"))))</f>
        <v/>
      </c>
      <c r="L228" s="42" t="str">
        <f>IF(OR($B228="",$A228&gt;$B$9),"",IF(COUNTIFS(BD!$B$3:$B$5001,L$208,BD!$A$3:$A$5001,"&gt;="&amp;$C$7,BD!$A$3:$A$5001,"&lt;="&amp;$B228,BD!$X$3:$X$5001,"&lt;&gt;")=0,"",SUMIFS(BD!$X$3:$X$5001,BD!$B$3:$B$5001,L$208,BD!$A$3:$A$5001,_xlfn.MAXIFS(BD!$A$3:$A$5001,BD!$B$3:$B$5001,L$208,BD!$A$3:$A$5001,"&gt;="&amp;$C$7,BD!$A$3:$A$5001,"&lt;="&amp;$B228,BD!$X$3:$X$5001,"&lt;&gt;"))))</f>
        <v/>
      </c>
    </row>
    <row r="229">
      <c r="A229" s="40">
        <v>21</v>
      </c>
      <c r="B229" s="41">
        <f>$B$32</f>
        <v>46316</v>
      </c>
      <c r="C229" s="42" t="str">
        <f>IF(OR($B229="",$A229&gt;$B$9),"",IF(COUNTIFS(BD!$B$3:$B$5001,C$208,BD!$A$3:$A$5001,"&gt;="&amp;$C$7,BD!$A$3:$A$5001,"&lt;="&amp;$B229,BD!$X$3:$X$5001,"&lt;&gt;")=0,"",SUMIFS(BD!$X$3:$X$5001,BD!$B$3:$B$5001,C$208,BD!$A$3:$A$5001,_xlfn.MAXIFS(BD!$A$3:$A$5001,BD!$B$3:$B$5001,C$208,BD!$A$3:$A$5001,"&gt;="&amp;$C$7,BD!$A$3:$A$5001,"&lt;="&amp;$B229,BD!$X$3:$X$5001,"&lt;&gt;"))))</f>
        <v/>
      </c>
      <c r="D229" s="42" t="str">
        <f>IF(OR($B229="",$A229&gt;$B$9),"",IF(COUNTIFS(BD!$B$3:$B$5001,D$208,BD!$A$3:$A$5001,"&gt;="&amp;$C$7,BD!$A$3:$A$5001,"&lt;="&amp;$B229,BD!$X$3:$X$5001,"&lt;&gt;")=0,"",SUMIFS(BD!$X$3:$X$5001,BD!$B$3:$B$5001,D$208,BD!$A$3:$A$5001,_xlfn.MAXIFS(BD!$A$3:$A$5001,BD!$B$3:$B$5001,D$208,BD!$A$3:$A$5001,"&gt;="&amp;$C$7,BD!$A$3:$A$5001,"&lt;="&amp;$B229,BD!$X$3:$X$5001,"&lt;&gt;"))))</f>
        <v/>
      </c>
      <c r="E229" s="42" t="str">
        <f>IF(OR($B229="",$A229&gt;$B$9),"",IF(COUNTIFS(BD!$B$3:$B$5001,E$208,BD!$A$3:$A$5001,"&gt;="&amp;$C$7,BD!$A$3:$A$5001,"&lt;="&amp;$B229,BD!$X$3:$X$5001,"&lt;&gt;")=0,"",SUMIFS(BD!$X$3:$X$5001,BD!$B$3:$B$5001,E$208,BD!$A$3:$A$5001,_xlfn.MAXIFS(BD!$A$3:$A$5001,BD!$B$3:$B$5001,E$208,BD!$A$3:$A$5001,"&gt;="&amp;$C$7,BD!$A$3:$A$5001,"&lt;="&amp;$B229,BD!$X$3:$X$5001,"&lt;&gt;"))))</f>
        <v/>
      </c>
      <c r="F229" s="42" t="str">
        <f>IF(OR($B229="",$A229&gt;$B$9),"",IF(COUNTIFS(BD!$B$3:$B$5001,F$208,BD!$A$3:$A$5001,"&gt;="&amp;$C$7,BD!$A$3:$A$5001,"&lt;="&amp;$B229,BD!$X$3:$X$5001,"&lt;&gt;")=0,"",SUMIFS(BD!$X$3:$X$5001,BD!$B$3:$B$5001,F$208,BD!$A$3:$A$5001,_xlfn.MAXIFS(BD!$A$3:$A$5001,BD!$B$3:$B$5001,F$208,BD!$A$3:$A$5001,"&gt;="&amp;$C$7,BD!$A$3:$A$5001,"&lt;="&amp;$B229,BD!$X$3:$X$5001,"&lt;&gt;"))))</f>
        <v/>
      </c>
      <c r="G229" s="42" t="str">
        <f>IF(OR($B229="",$A229&gt;$B$9),"",IF(COUNTIFS(BD!$B$3:$B$5001,G$208,BD!$A$3:$A$5001,"&gt;="&amp;$C$7,BD!$A$3:$A$5001,"&lt;="&amp;$B229,BD!$X$3:$X$5001,"&lt;&gt;")=0,"",SUMIFS(BD!$X$3:$X$5001,BD!$B$3:$B$5001,G$208,BD!$A$3:$A$5001,_xlfn.MAXIFS(BD!$A$3:$A$5001,BD!$B$3:$B$5001,G$208,BD!$A$3:$A$5001,"&gt;="&amp;$C$7,BD!$A$3:$A$5001,"&lt;="&amp;$B229,BD!$X$3:$X$5001,"&lt;&gt;"))))</f>
        <v/>
      </c>
      <c r="H229" s="42" t="str">
        <f>IF(OR($B229="",$A229&gt;$B$9),"",IF(COUNTIFS(BD!$B$3:$B$5001,H$208,BD!$A$3:$A$5001,"&gt;="&amp;$C$7,BD!$A$3:$A$5001,"&lt;="&amp;$B229,BD!$X$3:$X$5001,"&lt;&gt;")=0,"",SUMIFS(BD!$X$3:$X$5001,BD!$B$3:$B$5001,H$208,BD!$A$3:$A$5001,_xlfn.MAXIFS(BD!$A$3:$A$5001,BD!$B$3:$B$5001,H$208,BD!$A$3:$A$5001,"&gt;="&amp;$C$7,BD!$A$3:$A$5001,"&lt;="&amp;$B229,BD!$X$3:$X$5001,"&lt;&gt;"))))</f>
        <v/>
      </c>
      <c r="I229" s="42" t="str">
        <f>IF(OR($B229="",$A229&gt;$B$9),"",IF(COUNTIFS(BD!$B$3:$B$5001,I$208,BD!$A$3:$A$5001,"&gt;="&amp;$C$7,BD!$A$3:$A$5001,"&lt;="&amp;$B229,BD!$X$3:$X$5001,"&lt;&gt;")=0,"",SUMIFS(BD!$X$3:$X$5001,BD!$B$3:$B$5001,I$208,BD!$A$3:$A$5001,_xlfn.MAXIFS(BD!$A$3:$A$5001,BD!$B$3:$B$5001,I$208,BD!$A$3:$A$5001,"&gt;="&amp;$C$7,BD!$A$3:$A$5001,"&lt;="&amp;$B229,BD!$X$3:$X$5001,"&lt;&gt;"))))</f>
        <v/>
      </c>
      <c r="J229" s="42" t="str">
        <f>IF(OR($B229="",$A229&gt;$B$9),"",IF(COUNTIFS(BD!$B$3:$B$5001,J$208,BD!$A$3:$A$5001,"&gt;="&amp;$C$7,BD!$A$3:$A$5001,"&lt;="&amp;$B229,BD!$X$3:$X$5001,"&lt;&gt;")=0,"",SUMIFS(BD!$X$3:$X$5001,BD!$B$3:$B$5001,J$208,BD!$A$3:$A$5001,_xlfn.MAXIFS(BD!$A$3:$A$5001,BD!$B$3:$B$5001,J$208,BD!$A$3:$A$5001,"&gt;="&amp;$C$7,BD!$A$3:$A$5001,"&lt;="&amp;$B229,BD!$X$3:$X$5001,"&lt;&gt;"))))</f>
        <v/>
      </c>
      <c r="K229" s="42" t="str">
        <f>IF(OR($B229="",$A229&gt;$B$9),"",IF(COUNTIFS(BD!$B$3:$B$5001,K$208,BD!$A$3:$A$5001,"&gt;="&amp;$C$7,BD!$A$3:$A$5001,"&lt;="&amp;$B229,BD!$X$3:$X$5001,"&lt;&gt;")=0,"",SUMIFS(BD!$X$3:$X$5001,BD!$B$3:$B$5001,K$208,BD!$A$3:$A$5001,_xlfn.MAXIFS(BD!$A$3:$A$5001,BD!$B$3:$B$5001,K$208,BD!$A$3:$A$5001,"&gt;="&amp;$C$7,BD!$A$3:$A$5001,"&lt;="&amp;$B229,BD!$X$3:$X$5001,"&lt;&gt;"))))</f>
        <v/>
      </c>
      <c r="L229" s="42" t="str">
        <f>IF(OR($B229="",$A229&gt;$B$9),"",IF(COUNTIFS(BD!$B$3:$B$5001,L$208,BD!$A$3:$A$5001,"&gt;="&amp;$C$7,BD!$A$3:$A$5001,"&lt;="&amp;$B229,BD!$X$3:$X$5001,"&lt;&gt;")=0,"",SUMIFS(BD!$X$3:$X$5001,BD!$B$3:$B$5001,L$208,BD!$A$3:$A$5001,_xlfn.MAXIFS(BD!$A$3:$A$5001,BD!$B$3:$B$5001,L$208,BD!$A$3:$A$5001,"&gt;="&amp;$C$7,BD!$A$3:$A$5001,"&lt;="&amp;$B229,BD!$X$3:$X$5001,"&lt;&gt;"))))</f>
        <v/>
      </c>
    </row>
    <row r="230">
      <c r="A230" s="40">
        <v>22</v>
      </c>
      <c r="B230" s="41">
        <f>$B$33</f>
        <v>46317</v>
      </c>
      <c r="C230" s="42" t="str">
        <f>IF(OR($B230="",$A230&gt;$B$9),"",IF(COUNTIFS(BD!$B$3:$B$5001,C$208,BD!$A$3:$A$5001,"&gt;="&amp;$C$7,BD!$A$3:$A$5001,"&lt;="&amp;$B230,BD!$X$3:$X$5001,"&lt;&gt;")=0,"",SUMIFS(BD!$X$3:$X$5001,BD!$B$3:$B$5001,C$208,BD!$A$3:$A$5001,_xlfn.MAXIFS(BD!$A$3:$A$5001,BD!$B$3:$B$5001,C$208,BD!$A$3:$A$5001,"&gt;="&amp;$C$7,BD!$A$3:$A$5001,"&lt;="&amp;$B230,BD!$X$3:$X$5001,"&lt;&gt;"))))</f>
        <v/>
      </c>
      <c r="D230" s="42" t="str">
        <f>IF(OR($B230="",$A230&gt;$B$9),"",IF(COUNTIFS(BD!$B$3:$B$5001,D$208,BD!$A$3:$A$5001,"&gt;="&amp;$C$7,BD!$A$3:$A$5001,"&lt;="&amp;$B230,BD!$X$3:$X$5001,"&lt;&gt;")=0,"",SUMIFS(BD!$X$3:$X$5001,BD!$B$3:$B$5001,D$208,BD!$A$3:$A$5001,_xlfn.MAXIFS(BD!$A$3:$A$5001,BD!$B$3:$B$5001,D$208,BD!$A$3:$A$5001,"&gt;="&amp;$C$7,BD!$A$3:$A$5001,"&lt;="&amp;$B230,BD!$X$3:$X$5001,"&lt;&gt;"))))</f>
        <v/>
      </c>
      <c r="E230" s="42" t="str">
        <f>IF(OR($B230="",$A230&gt;$B$9),"",IF(COUNTIFS(BD!$B$3:$B$5001,E$208,BD!$A$3:$A$5001,"&gt;="&amp;$C$7,BD!$A$3:$A$5001,"&lt;="&amp;$B230,BD!$X$3:$X$5001,"&lt;&gt;")=0,"",SUMIFS(BD!$X$3:$X$5001,BD!$B$3:$B$5001,E$208,BD!$A$3:$A$5001,_xlfn.MAXIFS(BD!$A$3:$A$5001,BD!$B$3:$B$5001,E$208,BD!$A$3:$A$5001,"&gt;="&amp;$C$7,BD!$A$3:$A$5001,"&lt;="&amp;$B230,BD!$X$3:$X$5001,"&lt;&gt;"))))</f>
        <v/>
      </c>
      <c r="F230" s="42" t="str">
        <f>IF(OR($B230="",$A230&gt;$B$9),"",IF(COUNTIFS(BD!$B$3:$B$5001,F$208,BD!$A$3:$A$5001,"&gt;="&amp;$C$7,BD!$A$3:$A$5001,"&lt;="&amp;$B230,BD!$X$3:$X$5001,"&lt;&gt;")=0,"",SUMIFS(BD!$X$3:$X$5001,BD!$B$3:$B$5001,F$208,BD!$A$3:$A$5001,_xlfn.MAXIFS(BD!$A$3:$A$5001,BD!$B$3:$B$5001,F$208,BD!$A$3:$A$5001,"&gt;="&amp;$C$7,BD!$A$3:$A$5001,"&lt;="&amp;$B230,BD!$X$3:$X$5001,"&lt;&gt;"))))</f>
        <v/>
      </c>
      <c r="G230" s="42" t="str">
        <f>IF(OR($B230="",$A230&gt;$B$9),"",IF(COUNTIFS(BD!$B$3:$B$5001,G$208,BD!$A$3:$A$5001,"&gt;="&amp;$C$7,BD!$A$3:$A$5001,"&lt;="&amp;$B230,BD!$X$3:$X$5001,"&lt;&gt;")=0,"",SUMIFS(BD!$X$3:$X$5001,BD!$B$3:$B$5001,G$208,BD!$A$3:$A$5001,_xlfn.MAXIFS(BD!$A$3:$A$5001,BD!$B$3:$B$5001,G$208,BD!$A$3:$A$5001,"&gt;="&amp;$C$7,BD!$A$3:$A$5001,"&lt;="&amp;$B230,BD!$X$3:$X$5001,"&lt;&gt;"))))</f>
        <v/>
      </c>
      <c r="H230" s="42" t="str">
        <f>IF(OR($B230="",$A230&gt;$B$9),"",IF(COUNTIFS(BD!$B$3:$B$5001,H$208,BD!$A$3:$A$5001,"&gt;="&amp;$C$7,BD!$A$3:$A$5001,"&lt;="&amp;$B230,BD!$X$3:$X$5001,"&lt;&gt;")=0,"",SUMIFS(BD!$X$3:$X$5001,BD!$B$3:$B$5001,H$208,BD!$A$3:$A$5001,_xlfn.MAXIFS(BD!$A$3:$A$5001,BD!$B$3:$B$5001,H$208,BD!$A$3:$A$5001,"&gt;="&amp;$C$7,BD!$A$3:$A$5001,"&lt;="&amp;$B230,BD!$X$3:$X$5001,"&lt;&gt;"))))</f>
        <v/>
      </c>
      <c r="I230" s="42" t="str">
        <f>IF(OR($B230="",$A230&gt;$B$9),"",IF(COUNTIFS(BD!$B$3:$B$5001,I$208,BD!$A$3:$A$5001,"&gt;="&amp;$C$7,BD!$A$3:$A$5001,"&lt;="&amp;$B230,BD!$X$3:$X$5001,"&lt;&gt;")=0,"",SUMIFS(BD!$X$3:$X$5001,BD!$B$3:$B$5001,I$208,BD!$A$3:$A$5001,_xlfn.MAXIFS(BD!$A$3:$A$5001,BD!$B$3:$B$5001,I$208,BD!$A$3:$A$5001,"&gt;="&amp;$C$7,BD!$A$3:$A$5001,"&lt;="&amp;$B230,BD!$X$3:$X$5001,"&lt;&gt;"))))</f>
        <v/>
      </c>
      <c r="J230" s="42" t="str">
        <f>IF(OR($B230="",$A230&gt;$B$9),"",IF(COUNTIFS(BD!$B$3:$B$5001,J$208,BD!$A$3:$A$5001,"&gt;="&amp;$C$7,BD!$A$3:$A$5001,"&lt;="&amp;$B230,BD!$X$3:$X$5001,"&lt;&gt;")=0,"",SUMIFS(BD!$X$3:$X$5001,BD!$B$3:$B$5001,J$208,BD!$A$3:$A$5001,_xlfn.MAXIFS(BD!$A$3:$A$5001,BD!$B$3:$B$5001,J$208,BD!$A$3:$A$5001,"&gt;="&amp;$C$7,BD!$A$3:$A$5001,"&lt;="&amp;$B230,BD!$X$3:$X$5001,"&lt;&gt;"))))</f>
        <v/>
      </c>
      <c r="K230" s="42" t="str">
        <f>IF(OR($B230="",$A230&gt;$B$9),"",IF(COUNTIFS(BD!$B$3:$B$5001,K$208,BD!$A$3:$A$5001,"&gt;="&amp;$C$7,BD!$A$3:$A$5001,"&lt;="&amp;$B230,BD!$X$3:$X$5001,"&lt;&gt;")=0,"",SUMIFS(BD!$X$3:$X$5001,BD!$B$3:$B$5001,K$208,BD!$A$3:$A$5001,_xlfn.MAXIFS(BD!$A$3:$A$5001,BD!$B$3:$B$5001,K$208,BD!$A$3:$A$5001,"&gt;="&amp;$C$7,BD!$A$3:$A$5001,"&lt;="&amp;$B230,BD!$X$3:$X$5001,"&lt;&gt;"))))</f>
        <v/>
      </c>
      <c r="L230" s="42" t="str">
        <f>IF(OR($B230="",$A230&gt;$B$9),"",IF(COUNTIFS(BD!$B$3:$B$5001,L$208,BD!$A$3:$A$5001,"&gt;="&amp;$C$7,BD!$A$3:$A$5001,"&lt;="&amp;$B230,BD!$X$3:$X$5001,"&lt;&gt;")=0,"",SUMIFS(BD!$X$3:$X$5001,BD!$B$3:$B$5001,L$208,BD!$A$3:$A$5001,_xlfn.MAXIFS(BD!$A$3:$A$5001,BD!$B$3:$B$5001,L$208,BD!$A$3:$A$5001,"&gt;="&amp;$C$7,BD!$A$3:$A$5001,"&lt;="&amp;$B230,BD!$X$3:$X$5001,"&lt;&gt;"))))</f>
        <v/>
      </c>
    </row>
    <row r="231">
      <c r="A231" s="40">
        <v>23</v>
      </c>
      <c r="B231" s="41">
        <f>$B$34</f>
        <v>46318</v>
      </c>
      <c r="C231" s="42" t="str">
        <f>IF(OR($B231="",$A231&gt;$B$9),"",IF(COUNTIFS(BD!$B$3:$B$5001,C$208,BD!$A$3:$A$5001,"&gt;="&amp;$C$7,BD!$A$3:$A$5001,"&lt;="&amp;$B231,BD!$X$3:$X$5001,"&lt;&gt;")=0,"",SUMIFS(BD!$X$3:$X$5001,BD!$B$3:$B$5001,C$208,BD!$A$3:$A$5001,_xlfn.MAXIFS(BD!$A$3:$A$5001,BD!$B$3:$B$5001,C$208,BD!$A$3:$A$5001,"&gt;="&amp;$C$7,BD!$A$3:$A$5001,"&lt;="&amp;$B231,BD!$X$3:$X$5001,"&lt;&gt;"))))</f>
        <v/>
      </c>
      <c r="D231" s="42" t="str">
        <f>IF(OR($B231="",$A231&gt;$B$9),"",IF(COUNTIFS(BD!$B$3:$B$5001,D$208,BD!$A$3:$A$5001,"&gt;="&amp;$C$7,BD!$A$3:$A$5001,"&lt;="&amp;$B231,BD!$X$3:$X$5001,"&lt;&gt;")=0,"",SUMIFS(BD!$X$3:$X$5001,BD!$B$3:$B$5001,D$208,BD!$A$3:$A$5001,_xlfn.MAXIFS(BD!$A$3:$A$5001,BD!$B$3:$B$5001,D$208,BD!$A$3:$A$5001,"&gt;="&amp;$C$7,BD!$A$3:$A$5001,"&lt;="&amp;$B231,BD!$X$3:$X$5001,"&lt;&gt;"))))</f>
        <v/>
      </c>
      <c r="E231" s="42" t="str">
        <f>IF(OR($B231="",$A231&gt;$B$9),"",IF(COUNTIFS(BD!$B$3:$B$5001,E$208,BD!$A$3:$A$5001,"&gt;="&amp;$C$7,BD!$A$3:$A$5001,"&lt;="&amp;$B231,BD!$X$3:$X$5001,"&lt;&gt;")=0,"",SUMIFS(BD!$X$3:$X$5001,BD!$B$3:$B$5001,E$208,BD!$A$3:$A$5001,_xlfn.MAXIFS(BD!$A$3:$A$5001,BD!$B$3:$B$5001,E$208,BD!$A$3:$A$5001,"&gt;="&amp;$C$7,BD!$A$3:$A$5001,"&lt;="&amp;$B231,BD!$X$3:$X$5001,"&lt;&gt;"))))</f>
        <v/>
      </c>
      <c r="F231" s="42" t="str">
        <f>IF(OR($B231="",$A231&gt;$B$9),"",IF(COUNTIFS(BD!$B$3:$B$5001,F$208,BD!$A$3:$A$5001,"&gt;="&amp;$C$7,BD!$A$3:$A$5001,"&lt;="&amp;$B231,BD!$X$3:$X$5001,"&lt;&gt;")=0,"",SUMIFS(BD!$X$3:$X$5001,BD!$B$3:$B$5001,F$208,BD!$A$3:$A$5001,_xlfn.MAXIFS(BD!$A$3:$A$5001,BD!$B$3:$B$5001,F$208,BD!$A$3:$A$5001,"&gt;="&amp;$C$7,BD!$A$3:$A$5001,"&lt;="&amp;$B231,BD!$X$3:$X$5001,"&lt;&gt;"))))</f>
        <v/>
      </c>
      <c r="G231" s="42" t="str">
        <f>IF(OR($B231="",$A231&gt;$B$9),"",IF(COUNTIFS(BD!$B$3:$B$5001,G$208,BD!$A$3:$A$5001,"&gt;="&amp;$C$7,BD!$A$3:$A$5001,"&lt;="&amp;$B231,BD!$X$3:$X$5001,"&lt;&gt;")=0,"",SUMIFS(BD!$X$3:$X$5001,BD!$B$3:$B$5001,G$208,BD!$A$3:$A$5001,_xlfn.MAXIFS(BD!$A$3:$A$5001,BD!$B$3:$B$5001,G$208,BD!$A$3:$A$5001,"&gt;="&amp;$C$7,BD!$A$3:$A$5001,"&lt;="&amp;$B231,BD!$X$3:$X$5001,"&lt;&gt;"))))</f>
        <v/>
      </c>
      <c r="H231" s="42" t="str">
        <f>IF(OR($B231="",$A231&gt;$B$9),"",IF(COUNTIFS(BD!$B$3:$B$5001,H$208,BD!$A$3:$A$5001,"&gt;="&amp;$C$7,BD!$A$3:$A$5001,"&lt;="&amp;$B231,BD!$X$3:$X$5001,"&lt;&gt;")=0,"",SUMIFS(BD!$X$3:$X$5001,BD!$B$3:$B$5001,H$208,BD!$A$3:$A$5001,_xlfn.MAXIFS(BD!$A$3:$A$5001,BD!$B$3:$B$5001,H$208,BD!$A$3:$A$5001,"&gt;="&amp;$C$7,BD!$A$3:$A$5001,"&lt;="&amp;$B231,BD!$X$3:$X$5001,"&lt;&gt;"))))</f>
        <v/>
      </c>
      <c r="I231" s="42" t="str">
        <f>IF(OR($B231="",$A231&gt;$B$9),"",IF(COUNTIFS(BD!$B$3:$B$5001,I$208,BD!$A$3:$A$5001,"&gt;="&amp;$C$7,BD!$A$3:$A$5001,"&lt;="&amp;$B231,BD!$X$3:$X$5001,"&lt;&gt;")=0,"",SUMIFS(BD!$X$3:$X$5001,BD!$B$3:$B$5001,I$208,BD!$A$3:$A$5001,_xlfn.MAXIFS(BD!$A$3:$A$5001,BD!$B$3:$B$5001,I$208,BD!$A$3:$A$5001,"&gt;="&amp;$C$7,BD!$A$3:$A$5001,"&lt;="&amp;$B231,BD!$X$3:$X$5001,"&lt;&gt;"))))</f>
        <v/>
      </c>
      <c r="J231" s="42" t="str">
        <f>IF(OR($B231="",$A231&gt;$B$9),"",IF(COUNTIFS(BD!$B$3:$B$5001,J$208,BD!$A$3:$A$5001,"&gt;="&amp;$C$7,BD!$A$3:$A$5001,"&lt;="&amp;$B231,BD!$X$3:$X$5001,"&lt;&gt;")=0,"",SUMIFS(BD!$X$3:$X$5001,BD!$B$3:$B$5001,J$208,BD!$A$3:$A$5001,_xlfn.MAXIFS(BD!$A$3:$A$5001,BD!$B$3:$B$5001,J$208,BD!$A$3:$A$5001,"&gt;="&amp;$C$7,BD!$A$3:$A$5001,"&lt;="&amp;$B231,BD!$X$3:$X$5001,"&lt;&gt;"))))</f>
        <v/>
      </c>
      <c r="K231" s="42" t="str">
        <f>IF(OR($B231="",$A231&gt;$B$9),"",IF(COUNTIFS(BD!$B$3:$B$5001,K$208,BD!$A$3:$A$5001,"&gt;="&amp;$C$7,BD!$A$3:$A$5001,"&lt;="&amp;$B231,BD!$X$3:$X$5001,"&lt;&gt;")=0,"",SUMIFS(BD!$X$3:$X$5001,BD!$B$3:$B$5001,K$208,BD!$A$3:$A$5001,_xlfn.MAXIFS(BD!$A$3:$A$5001,BD!$B$3:$B$5001,K$208,BD!$A$3:$A$5001,"&gt;="&amp;$C$7,BD!$A$3:$A$5001,"&lt;="&amp;$B231,BD!$X$3:$X$5001,"&lt;&gt;"))))</f>
        <v/>
      </c>
      <c r="L231" s="42" t="str">
        <f>IF(OR($B231="",$A231&gt;$B$9),"",IF(COUNTIFS(BD!$B$3:$B$5001,L$208,BD!$A$3:$A$5001,"&gt;="&amp;$C$7,BD!$A$3:$A$5001,"&lt;="&amp;$B231,BD!$X$3:$X$5001,"&lt;&gt;")=0,"",SUMIFS(BD!$X$3:$X$5001,BD!$B$3:$B$5001,L$208,BD!$A$3:$A$5001,_xlfn.MAXIFS(BD!$A$3:$A$5001,BD!$B$3:$B$5001,L$208,BD!$A$3:$A$5001,"&gt;="&amp;$C$7,BD!$A$3:$A$5001,"&lt;="&amp;$B231,BD!$X$3:$X$5001,"&lt;&gt;"))))</f>
        <v/>
      </c>
    </row>
    <row r="232">
      <c r="A232" s="40">
        <v>24</v>
      </c>
      <c r="B232" s="41">
        <f>$B$35</f>
        <v>46319</v>
      </c>
      <c r="C232" s="42" t="str">
        <f>IF(OR($B232="",$A232&gt;$B$9),"",IF(COUNTIFS(BD!$B$3:$B$5001,C$208,BD!$A$3:$A$5001,"&gt;="&amp;$C$7,BD!$A$3:$A$5001,"&lt;="&amp;$B232,BD!$X$3:$X$5001,"&lt;&gt;")=0,"",SUMIFS(BD!$X$3:$X$5001,BD!$B$3:$B$5001,C$208,BD!$A$3:$A$5001,_xlfn.MAXIFS(BD!$A$3:$A$5001,BD!$B$3:$B$5001,C$208,BD!$A$3:$A$5001,"&gt;="&amp;$C$7,BD!$A$3:$A$5001,"&lt;="&amp;$B232,BD!$X$3:$X$5001,"&lt;&gt;"))))</f>
        <v/>
      </c>
      <c r="D232" s="42" t="str">
        <f>IF(OR($B232="",$A232&gt;$B$9),"",IF(COUNTIFS(BD!$B$3:$B$5001,D$208,BD!$A$3:$A$5001,"&gt;="&amp;$C$7,BD!$A$3:$A$5001,"&lt;="&amp;$B232,BD!$X$3:$X$5001,"&lt;&gt;")=0,"",SUMIFS(BD!$X$3:$X$5001,BD!$B$3:$B$5001,D$208,BD!$A$3:$A$5001,_xlfn.MAXIFS(BD!$A$3:$A$5001,BD!$B$3:$B$5001,D$208,BD!$A$3:$A$5001,"&gt;="&amp;$C$7,BD!$A$3:$A$5001,"&lt;="&amp;$B232,BD!$X$3:$X$5001,"&lt;&gt;"))))</f>
        <v/>
      </c>
      <c r="E232" s="42" t="str">
        <f>IF(OR($B232="",$A232&gt;$B$9),"",IF(COUNTIFS(BD!$B$3:$B$5001,E$208,BD!$A$3:$A$5001,"&gt;="&amp;$C$7,BD!$A$3:$A$5001,"&lt;="&amp;$B232,BD!$X$3:$X$5001,"&lt;&gt;")=0,"",SUMIFS(BD!$X$3:$X$5001,BD!$B$3:$B$5001,E$208,BD!$A$3:$A$5001,_xlfn.MAXIFS(BD!$A$3:$A$5001,BD!$B$3:$B$5001,E$208,BD!$A$3:$A$5001,"&gt;="&amp;$C$7,BD!$A$3:$A$5001,"&lt;="&amp;$B232,BD!$X$3:$X$5001,"&lt;&gt;"))))</f>
        <v/>
      </c>
      <c r="F232" s="42" t="str">
        <f>IF(OR($B232="",$A232&gt;$B$9),"",IF(COUNTIFS(BD!$B$3:$B$5001,F$208,BD!$A$3:$A$5001,"&gt;="&amp;$C$7,BD!$A$3:$A$5001,"&lt;="&amp;$B232,BD!$X$3:$X$5001,"&lt;&gt;")=0,"",SUMIFS(BD!$X$3:$X$5001,BD!$B$3:$B$5001,F$208,BD!$A$3:$A$5001,_xlfn.MAXIFS(BD!$A$3:$A$5001,BD!$B$3:$B$5001,F$208,BD!$A$3:$A$5001,"&gt;="&amp;$C$7,BD!$A$3:$A$5001,"&lt;="&amp;$B232,BD!$X$3:$X$5001,"&lt;&gt;"))))</f>
        <v/>
      </c>
      <c r="G232" s="42" t="str">
        <f>IF(OR($B232="",$A232&gt;$B$9),"",IF(COUNTIFS(BD!$B$3:$B$5001,G$208,BD!$A$3:$A$5001,"&gt;="&amp;$C$7,BD!$A$3:$A$5001,"&lt;="&amp;$B232,BD!$X$3:$X$5001,"&lt;&gt;")=0,"",SUMIFS(BD!$X$3:$X$5001,BD!$B$3:$B$5001,G$208,BD!$A$3:$A$5001,_xlfn.MAXIFS(BD!$A$3:$A$5001,BD!$B$3:$B$5001,G$208,BD!$A$3:$A$5001,"&gt;="&amp;$C$7,BD!$A$3:$A$5001,"&lt;="&amp;$B232,BD!$X$3:$X$5001,"&lt;&gt;"))))</f>
        <v/>
      </c>
      <c r="H232" s="42" t="str">
        <f>IF(OR($B232="",$A232&gt;$B$9),"",IF(COUNTIFS(BD!$B$3:$B$5001,H$208,BD!$A$3:$A$5001,"&gt;="&amp;$C$7,BD!$A$3:$A$5001,"&lt;="&amp;$B232,BD!$X$3:$X$5001,"&lt;&gt;")=0,"",SUMIFS(BD!$X$3:$X$5001,BD!$B$3:$B$5001,H$208,BD!$A$3:$A$5001,_xlfn.MAXIFS(BD!$A$3:$A$5001,BD!$B$3:$B$5001,H$208,BD!$A$3:$A$5001,"&gt;="&amp;$C$7,BD!$A$3:$A$5001,"&lt;="&amp;$B232,BD!$X$3:$X$5001,"&lt;&gt;"))))</f>
        <v/>
      </c>
      <c r="I232" s="42" t="str">
        <f>IF(OR($B232="",$A232&gt;$B$9),"",IF(COUNTIFS(BD!$B$3:$B$5001,I$208,BD!$A$3:$A$5001,"&gt;="&amp;$C$7,BD!$A$3:$A$5001,"&lt;="&amp;$B232,BD!$X$3:$X$5001,"&lt;&gt;")=0,"",SUMIFS(BD!$X$3:$X$5001,BD!$B$3:$B$5001,I$208,BD!$A$3:$A$5001,_xlfn.MAXIFS(BD!$A$3:$A$5001,BD!$B$3:$B$5001,I$208,BD!$A$3:$A$5001,"&gt;="&amp;$C$7,BD!$A$3:$A$5001,"&lt;="&amp;$B232,BD!$X$3:$X$5001,"&lt;&gt;"))))</f>
        <v/>
      </c>
      <c r="J232" s="42" t="str">
        <f>IF(OR($B232="",$A232&gt;$B$9),"",IF(COUNTIFS(BD!$B$3:$B$5001,J$208,BD!$A$3:$A$5001,"&gt;="&amp;$C$7,BD!$A$3:$A$5001,"&lt;="&amp;$B232,BD!$X$3:$X$5001,"&lt;&gt;")=0,"",SUMIFS(BD!$X$3:$X$5001,BD!$B$3:$B$5001,J$208,BD!$A$3:$A$5001,_xlfn.MAXIFS(BD!$A$3:$A$5001,BD!$B$3:$B$5001,J$208,BD!$A$3:$A$5001,"&gt;="&amp;$C$7,BD!$A$3:$A$5001,"&lt;="&amp;$B232,BD!$X$3:$X$5001,"&lt;&gt;"))))</f>
        <v/>
      </c>
      <c r="K232" s="42" t="str">
        <f>IF(OR($B232="",$A232&gt;$B$9),"",IF(COUNTIFS(BD!$B$3:$B$5001,K$208,BD!$A$3:$A$5001,"&gt;="&amp;$C$7,BD!$A$3:$A$5001,"&lt;="&amp;$B232,BD!$X$3:$X$5001,"&lt;&gt;")=0,"",SUMIFS(BD!$X$3:$X$5001,BD!$B$3:$B$5001,K$208,BD!$A$3:$A$5001,_xlfn.MAXIFS(BD!$A$3:$A$5001,BD!$B$3:$B$5001,K$208,BD!$A$3:$A$5001,"&gt;="&amp;$C$7,BD!$A$3:$A$5001,"&lt;="&amp;$B232,BD!$X$3:$X$5001,"&lt;&gt;"))))</f>
        <v/>
      </c>
      <c r="L232" s="42" t="str">
        <f>IF(OR($B232="",$A232&gt;$B$9),"",IF(COUNTIFS(BD!$B$3:$B$5001,L$208,BD!$A$3:$A$5001,"&gt;="&amp;$C$7,BD!$A$3:$A$5001,"&lt;="&amp;$B232,BD!$X$3:$X$5001,"&lt;&gt;")=0,"",SUMIFS(BD!$X$3:$X$5001,BD!$B$3:$B$5001,L$208,BD!$A$3:$A$5001,_xlfn.MAXIFS(BD!$A$3:$A$5001,BD!$B$3:$B$5001,L$208,BD!$A$3:$A$5001,"&gt;="&amp;$C$7,BD!$A$3:$A$5001,"&lt;="&amp;$B232,BD!$X$3:$X$5001,"&lt;&gt;"))))</f>
        <v/>
      </c>
    </row>
    <row r="233">
      <c r="A233" s="40">
        <v>25</v>
      </c>
      <c r="B233" s="41">
        <f>$B$36</f>
        <v>46320</v>
      </c>
      <c r="C233" s="42" t="str">
        <f>IF(OR($B233="",$A233&gt;$B$9),"",IF(COUNTIFS(BD!$B$3:$B$5001,C$208,BD!$A$3:$A$5001,"&gt;="&amp;$C$7,BD!$A$3:$A$5001,"&lt;="&amp;$B233,BD!$X$3:$X$5001,"&lt;&gt;")=0,"",SUMIFS(BD!$X$3:$X$5001,BD!$B$3:$B$5001,C$208,BD!$A$3:$A$5001,_xlfn.MAXIFS(BD!$A$3:$A$5001,BD!$B$3:$B$5001,C$208,BD!$A$3:$A$5001,"&gt;="&amp;$C$7,BD!$A$3:$A$5001,"&lt;="&amp;$B233,BD!$X$3:$X$5001,"&lt;&gt;"))))</f>
        <v/>
      </c>
      <c r="D233" s="42" t="str">
        <f>IF(OR($B233="",$A233&gt;$B$9),"",IF(COUNTIFS(BD!$B$3:$B$5001,D$208,BD!$A$3:$A$5001,"&gt;="&amp;$C$7,BD!$A$3:$A$5001,"&lt;="&amp;$B233,BD!$X$3:$X$5001,"&lt;&gt;")=0,"",SUMIFS(BD!$X$3:$X$5001,BD!$B$3:$B$5001,D$208,BD!$A$3:$A$5001,_xlfn.MAXIFS(BD!$A$3:$A$5001,BD!$B$3:$B$5001,D$208,BD!$A$3:$A$5001,"&gt;="&amp;$C$7,BD!$A$3:$A$5001,"&lt;="&amp;$B233,BD!$X$3:$X$5001,"&lt;&gt;"))))</f>
        <v/>
      </c>
      <c r="E233" s="42" t="str">
        <f>IF(OR($B233="",$A233&gt;$B$9),"",IF(COUNTIFS(BD!$B$3:$B$5001,E$208,BD!$A$3:$A$5001,"&gt;="&amp;$C$7,BD!$A$3:$A$5001,"&lt;="&amp;$B233,BD!$X$3:$X$5001,"&lt;&gt;")=0,"",SUMIFS(BD!$X$3:$X$5001,BD!$B$3:$B$5001,E$208,BD!$A$3:$A$5001,_xlfn.MAXIFS(BD!$A$3:$A$5001,BD!$B$3:$B$5001,E$208,BD!$A$3:$A$5001,"&gt;="&amp;$C$7,BD!$A$3:$A$5001,"&lt;="&amp;$B233,BD!$X$3:$X$5001,"&lt;&gt;"))))</f>
        <v/>
      </c>
      <c r="F233" s="42" t="str">
        <f>IF(OR($B233="",$A233&gt;$B$9),"",IF(COUNTIFS(BD!$B$3:$B$5001,F$208,BD!$A$3:$A$5001,"&gt;="&amp;$C$7,BD!$A$3:$A$5001,"&lt;="&amp;$B233,BD!$X$3:$X$5001,"&lt;&gt;")=0,"",SUMIFS(BD!$X$3:$X$5001,BD!$B$3:$B$5001,F$208,BD!$A$3:$A$5001,_xlfn.MAXIFS(BD!$A$3:$A$5001,BD!$B$3:$B$5001,F$208,BD!$A$3:$A$5001,"&gt;="&amp;$C$7,BD!$A$3:$A$5001,"&lt;="&amp;$B233,BD!$X$3:$X$5001,"&lt;&gt;"))))</f>
        <v/>
      </c>
      <c r="G233" s="42" t="str">
        <f>IF(OR($B233="",$A233&gt;$B$9),"",IF(COUNTIFS(BD!$B$3:$B$5001,G$208,BD!$A$3:$A$5001,"&gt;="&amp;$C$7,BD!$A$3:$A$5001,"&lt;="&amp;$B233,BD!$X$3:$X$5001,"&lt;&gt;")=0,"",SUMIFS(BD!$X$3:$X$5001,BD!$B$3:$B$5001,G$208,BD!$A$3:$A$5001,_xlfn.MAXIFS(BD!$A$3:$A$5001,BD!$B$3:$B$5001,G$208,BD!$A$3:$A$5001,"&gt;="&amp;$C$7,BD!$A$3:$A$5001,"&lt;="&amp;$B233,BD!$X$3:$X$5001,"&lt;&gt;"))))</f>
        <v/>
      </c>
      <c r="H233" s="42" t="str">
        <f>IF(OR($B233="",$A233&gt;$B$9),"",IF(COUNTIFS(BD!$B$3:$B$5001,H$208,BD!$A$3:$A$5001,"&gt;="&amp;$C$7,BD!$A$3:$A$5001,"&lt;="&amp;$B233,BD!$X$3:$X$5001,"&lt;&gt;")=0,"",SUMIFS(BD!$X$3:$X$5001,BD!$B$3:$B$5001,H$208,BD!$A$3:$A$5001,_xlfn.MAXIFS(BD!$A$3:$A$5001,BD!$B$3:$B$5001,H$208,BD!$A$3:$A$5001,"&gt;="&amp;$C$7,BD!$A$3:$A$5001,"&lt;="&amp;$B233,BD!$X$3:$X$5001,"&lt;&gt;"))))</f>
        <v/>
      </c>
      <c r="I233" s="42" t="str">
        <f>IF(OR($B233="",$A233&gt;$B$9),"",IF(COUNTIFS(BD!$B$3:$B$5001,I$208,BD!$A$3:$A$5001,"&gt;="&amp;$C$7,BD!$A$3:$A$5001,"&lt;="&amp;$B233,BD!$X$3:$X$5001,"&lt;&gt;")=0,"",SUMIFS(BD!$X$3:$X$5001,BD!$B$3:$B$5001,I$208,BD!$A$3:$A$5001,_xlfn.MAXIFS(BD!$A$3:$A$5001,BD!$B$3:$B$5001,I$208,BD!$A$3:$A$5001,"&gt;="&amp;$C$7,BD!$A$3:$A$5001,"&lt;="&amp;$B233,BD!$X$3:$X$5001,"&lt;&gt;"))))</f>
        <v/>
      </c>
      <c r="J233" s="42" t="str">
        <f>IF(OR($B233="",$A233&gt;$B$9),"",IF(COUNTIFS(BD!$B$3:$B$5001,J$208,BD!$A$3:$A$5001,"&gt;="&amp;$C$7,BD!$A$3:$A$5001,"&lt;="&amp;$B233,BD!$X$3:$X$5001,"&lt;&gt;")=0,"",SUMIFS(BD!$X$3:$X$5001,BD!$B$3:$B$5001,J$208,BD!$A$3:$A$5001,_xlfn.MAXIFS(BD!$A$3:$A$5001,BD!$B$3:$B$5001,J$208,BD!$A$3:$A$5001,"&gt;="&amp;$C$7,BD!$A$3:$A$5001,"&lt;="&amp;$B233,BD!$X$3:$X$5001,"&lt;&gt;"))))</f>
        <v/>
      </c>
      <c r="K233" s="42" t="str">
        <f>IF(OR($B233="",$A233&gt;$B$9),"",IF(COUNTIFS(BD!$B$3:$B$5001,K$208,BD!$A$3:$A$5001,"&gt;="&amp;$C$7,BD!$A$3:$A$5001,"&lt;="&amp;$B233,BD!$X$3:$X$5001,"&lt;&gt;")=0,"",SUMIFS(BD!$X$3:$X$5001,BD!$B$3:$B$5001,K$208,BD!$A$3:$A$5001,_xlfn.MAXIFS(BD!$A$3:$A$5001,BD!$B$3:$B$5001,K$208,BD!$A$3:$A$5001,"&gt;="&amp;$C$7,BD!$A$3:$A$5001,"&lt;="&amp;$B233,BD!$X$3:$X$5001,"&lt;&gt;"))))</f>
        <v/>
      </c>
      <c r="L233" s="42" t="str">
        <f>IF(OR($B233="",$A233&gt;$B$9),"",IF(COUNTIFS(BD!$B$3:$B$5001,L$208,BD!$A$3:$A$5001,"&gt;="&amp;$C$7,BD!$A$3:$A$5001,"&lt;="&amp;$B233,BD!$X$3:$X$5001,"&lt;&gt;")=0,"",SUMIFS(BD!$X$3:$X$5001,BD!$B$3:$B$5001,L$208,BD!$A$3:$A$5001,_xlfn.MAXIFS(BD!$A$3:$A$5001,BD!$B$3:$B$5001,L$208,BD!$A$3:$A$5001,"&gt;="&amp;$C$7,BD!$A$3:$A$5001,"&lt;="&amp;$B233,BD!$X$3:$X$5001,"&lt;&gt;"))))</f>
        <v/>
      </c>
    </row>
    <row r="234">
      <c r="A234" s="40">
        <v>26</v>
      </c>
      <c r="B234" s="41">
        <f>$B$37</f>
        <v>46321</v>
      </c>
      <c r="C234" s="42" t="str">
        <f>IF(OR($B234="",$A234&gt;$B$9),"",IF(COUNTIFS(BD!$B$3:$B$5001,C$208,BD!$A$3:$A$5001,"&gt;="&amp;$C$7,BD!$A$3:$A$5001,"&lt;="&amp;$B234,BD!$X$3:$X$5001,"&lt;&gt;")=0,"",SUMIFS(BD!$X$3:$X$5001,BD!$B$3:$B$5001,C$208,BD!$A$3:$A$5001,_xlfn.MAXIFS(BD!$A$3:$A$5001,BD!$B$3:$B$5001,C$208,BD!$A$3:$A$5001,"&gt;="&amp;$C$7,BD!$A$3:$A$5001,"&lt;="&amp;$B234,BD!$X$3:$X$5001,"&lt;&gt;"))))</f>
        <v/>
      </c>
      <c r="D234" s="42" t="str">
        <f>IF(OR($B234="",$A234&gt;$B$9),"",IF(COUNTIFS(BD!$B$3:$B$5001,D$208,BD!$A$3:$A$5001,"&gt;="&amp;$C$7,BD!$A$3:$A$5001,"&lt;="&amp;$B234,BD!$X$3:$X$5001,"&lt;&gt;")=0,"",SUMIFS(BD!$X$3:$X$5001,BD!$B$3:$B$5001,D$208,BD!$A$3:$A$5001,_xlfn.MAXIFS(BD!$A$3:$A$5001,BD!$B$3:$B$5001,D$208,BD!$A$3:$A$5001,"&gt;="&amp;$C$7,BD!$A$3:$A$5001,"&lt;="&amp;$B234,BD!$X$3:$X$5001,"&lt;&gt;"))))</f>
        <v/>
      </c>
      <c r="E234" s="42" t="str">
        <f>IF(OR($B234="",$A234&gt;$B$9),"",IF(COUNTIFS(BD!$B$3:$B$5001,E$208,BD!$A$3:$A$5001,"&gt;="&amp;$C$7,BD!$A$3:$A$5001,"&lt;="&amp;$B234,BD!$X$3:$X$5001,"&lt;&gt;")=0,"",SUMIFS(BD!$X$3:$X$5001,BD!$B$3:$B$5001,E$208,BD!$A$3:$A$5001,_xlfn.MAXIFS(BD!$A$3:$A$5001,BD!$B$3:$B$5001,E$208,BD!$A$3:$A$5001,"&gt;="&amp;$C$7,BD!$A$3:$A$5001,"&lt;="&amp;$B234,BD!$X$3:$X$5001,"&lt;&gt;"))))</f>
        <v/>
      </c>
      <c r="F234" s="42" t="str">
        <f>IF(OR($B234="",$A234&gt;$B$9),"",IF(COUNTIFS(BD!$B$3:$B$5001,F$208,BD!$A$3:$A$5001,"&gt;="&amp;$C$7,BD!$A$3:$A$5001,"&lt;="&amp;$B234,BD!$X$3:$X$5001,"&lt;&gt;")=0,"",SUMIFS(BD!$X$3:$X$5001,BD!$B$3:$B$5001,F$208,BD!$A$3:$A$5001,_xlfn.MAXIFS(BD!$A$3:$A$5001,BD!$B$3:$B$5001,F$208,BD!$A$3:$A$5001,"&gt;="&amp;$C$7,BD!$A$3:$A$5001,"&lt;="&amp;$B234,BD!$X$3:$X$5001,"&lt;&gt;"))))</f>
        <v/>
      </c>
      <c r="G234" s="42" t="str">
        <f>IF(OR($B234="",$A234&gt;$B$9),"",IF(COUNTIFS(BD!$B$3:$B$5001,G$208,BD!$A$3:$A$5001,"&gt;="&amp;$C$7,BD!$A$3:$A$5001,"&lt;="&amp;$B234,BD!$X$3:$X$5001,"&lt;&gt;")=0,"",SUMIFS(BD!$X$3:$X$5001,BD!$B$3:$B$5001,G$208,BD!$A$3:$A$5001,_xlfn.MAXIFS(BD!$A$3:$A$5001,BD!$B$3:$B$5001,G$208,BD!$A$3:$A$5001,"&gt;="&amp;$C$7,BD!$A$3:$A$5001,"&lt;="&amp;$B234,BD!$X$3:$X$5001,"&lt;&gt;"))))</f>
        <v/>
      </c>
      <c r="H234" s="42" t="str">
        <f>IF(OR($B234="",$A234&gt;$B$9),"",IF(COUNTIFS(BD!$B$3:$B$5001,H$208,BD!$A$3:$A$5001,"&gt;="&amp;$C$7,BD!$A$3:$A$5001,"&lt;="&amp;$B234,BD!$X$3:$X$5001,"&lt;&gt;")=0,"",SUMIFS(BD!$X$3:$X$5001,BD!$B$3:$B$5001,H$208,BD!$A$3:$A$5001,_xlfn.MAXIFS(BD!$A$3:$A$5001,BD!$B$3:$B$5001,H$208,BD!$A$3:$A$5001,"&gt;="&amp;$C$7,BD!$A$3:$A$5001,"&lt;="&amp;$B234,BD!$X$3:$X$5001,"&lt;&gt;"))))</f>
        <v/>
      </c>
      <c r="I234" s="42" t="str">
        <f>IF(OR($B234="",$A234&gt;$B$9),"",IF(COUNTIFS(BD!$B$3:$B$5001,I$208,BD!$A$3:$A$5001,"&gt;="&amp;$C$7,BD!$A$3:$A$5001,"&lt;="&amp;$B234,BD!$X$3:$X$5001,"&lt;&gt;")=0,"",SUMIFS(BD!$X$3:$X$5001,BD!$B$3:$B$5001,I$208,BD!$A$3:$A$5001,_xlfn.MAXIFS(BD!$A$3:$A$5001,BD!$B$3:$B$5001,I$208,BD!$A$3:$A$5001,"&gt;="&amp;$C$7,BD!$A$3:$A$5001,"&lt;="&amp;$B234,BD!$X$3:$X$5001,"&lt;&gt;"))))</f>
        <v/>
      </c>
      <c r="J234" s="42" t="str">
        <f>IF(OR($B234="",$A234&gt;$B$9),"",IF(COUNTIFS(BD!$B$3:$B$5001,J$208,BD!$A$3:$A$5001,"&gt;="&amp;$C$7,BD!$A$3:$A$5001,"&lt;="&amp;$B234,BD!$X$3:$X$5001,"&lt;&gt;")=0,"",SUMIFS(BD!$X$3:$X$5001,BD!$B$3:$B$5001,J$208,BD!$A$3:$A$5001,_xlfn.MAXIFS(BD!$A$3:$A$5001,BD!$B$3:$B$5001,J$208,BD!$A$3:$A$5001,"&gt;="&amp;$C$7,BD!$A$3:$A$5001,"&lt;="&amp;$B234,BD!$X$3:$X$5001,"&lt;&gt;"))))</f>
        <v/>
      </c>
      <c r="K234" s="42" t="str">
        <f>IF(OR($B234="",$A234&gt;$B$9),"",IF(COUNTIFS(BD!$B$3:$B$5001,K$208,BD!$A$3:$A$5001,"&gt;="&amp;$C$7,BD!$A$3:$A$5001,"&lt;="&amp;$B234,BD!$X$3:$X$5001,"&lt;&gt;")=0,"",SUMIFS(BD!$X$3:$X$5001,BD!$B$3:$B$5001,K$208,BD!$A$3:$A$5001,_xlfn.MAXIFS(BD!$A$3:$A$5001,BD!$B$3:$B$5001,K$208,BD!$A$3:$A$5001,"&gt;="&amp;$C$7,BD!$A$3:$A$5001,"&lt;="&amp;$B234,BD!$X$3:$X$5001,"&lt;&gt;"))))</f>
        <v/>
      </c>
      <c r="L234" s="42" t="str">
        <f>IF(OR($B234="",$A234&gt;$B$9),"",IF(COUNTIFS(BD!$B$3:$B$5001,L$208,BD!$A$3:$A$5001,"&gt;="&amp;$C$7,BD!$A$3:$A$5001,"&lt;="&amp;$B234,BD!$X$3:$X$5001,"&lt;&gt;")=0,"",SUMIFS(BD!$X$3:$X$5001,BD!$B$3:$B$5001,L$208,BD!$A$3:$A$5001,_xlfn.MAXIFS(BD!$A$3:$A$5001,BD!$B$3:$B$5001,L$208,BD!$A$3:$A$5001,"&gt;="&amp;$C$7,BD!$A$3:$A$5001,"&lt;="&amp;$B234,BD!$X$3:$X$5001,"&lt;&gt;"))))</f>
        <v/>
      </c>
    </row>
    <row r="235">
      <c r="A235" s="40">
        <v>27</v>
      </c>
      <c r="B235" s="41">
        <f>$B$38</f>
        <v>46322</v>
      </c>
      <c r="C235" s="42" t="str">
        <f>IF(OR($B235="",$A235&gt;$B$9),"",IF(COUNTIFS(BD!$B$3:$B$5001,C$208,BD!$A$3:$A$5001,"&gt;="&amp;$C$7,BD!$A$3:$A$5001,"&lt;="&amp;$B235,BD!$X$3:$X$5001,"&lt;&gt;")=0,"",SUMIFS(BD!$X$3:$X$5001,BD!$B$3:$B$5001,C$208,BD!$A$3:$A$5001,_xlfn.MAXIFS(BD!$A$3:$A$5001,BD!$B$3:$B$5001,C$208,BD!$A$3:$A$5001,"&gt;="&amp;$C$7,BD!$A$3:$A$5001,"&lt;="&amp;$B235,BD!$X$3:$X$5001,"&lt;&gt;"))))</f>
        <v/>
      </c>
      <c r="D235" s="42" t="str">
        <f>IF(OR($B235="",$A235&gt;$B$9),"",IF(COUNTIFS(BD!$B$3:$B$5001,D$208,BD!$A$3:$A$5001,"&gt;="&amp;$C$7,BD!$A$3:$A$5001,"&lt;="&amp;$B235,BD!$X$3:$X$5001,"&lt;&gt;")=0,"",SUMIFS(BD!$X$3:$X$5001,BD!$B$3:$B$5001,D$208,BD!$A$3:$A$5001,_xlfn.MAXIFS(BD!$A$3:$A$5001,BD!$B$3:$B$5001,D$208,BD!$A$3:$A$5001,"&gt;="&amp;$C$7,BD!$A$3:$A$5001,"&lt;="&amp;$B235,BD!$X$3:$X$5001,"&lt;&gt;"))))</f>
        <v/>
      </c>
      <c r="E235" s="42" t="str">
        <f>IF(OR($B235="",$A235&gt;$B$9),"",IF(COUNTIFS(BD!$B$3:$B$5001,E$208,BD!$A$3:$A$5001,"&gt;="&amp;$C$7,BD!$A$3:$A$5001,"&lt;="&amp;$B235,BD!$X$3:$X$5001,"&lt;&gt;")=0,"",SUMIFS(BD!$X$3:$X$5001,BD!$B$3:$B$5001,E$208,BD!$A$3:$A$5001,_xlfn.MAXIFS(BD!$A$3:$A$5001,BD!$B$3:$B$5001,E$208,BD!$A$3:$A$5001,"&gt;="&amp;$C$7,BD!$A$3:$A$5001,"&lt;="&amp;$B235,BD!$X$3:$X$5001,"&lt;&gt;"))))</f>
        <v/>
      </c>
      <c r="F235" s="42" t="str">
        <f>IF(OR($B235="",$A235&gt;$B$9),"",IF(COUNTIFS(BD!$B$3:$B$5001,F$208,BD!$A$3:$A$5001,"&gt;="&amp;$C$7,BD!$A$3:$A$5001,"&lt;="&amp;$B235,BD!$X$3:$X$5001,"&lt;&gt;")=0,"",SUMIFS(BD!$X$3:$X$5001,BD!$B$3:$B$5001,F$208,BD!$A$3:$A$5001,_xlfn.MAXIFS(BD!$A$3:$A$5001,BD!$B$3:$B$5001,F$208,BD!$A$3:$A$5001,"&gt;="&amp;$C$7,BD!$A$3:$A$5001,"&lt;="&amp;$B235,BD!$X$3:$X$5001,"&lt;&gt;"))))</f>
        <v/>
      </c>
      <c r="G235" s="42" t="str">
        <f>IF(OR($B235="",$A235&gt;$B$9),"",IF(COUNTIFS(BD!$B$3:$B$5001,G$208,BD!$A$3:$A$5001,"&gt;="&amp;$C$7,BD!$A$3:$A$5001,"&lt;="&amp;$B235,BD!$X$3:$X$5001,"&lt;&gt;")=0,"",SUMIFS(BD!$X$3:$X$5001,BD!$B$3:$B$5001,G$208,BD!$A$3:$A$5001,_xlfn.MAXIFS(BD!$A$3:$A$5001,BD!$B$3:$B$5001,G$208,BD!$A$3:$A$5001,"&gt;="&amp;$C$7,BD!$A$3:$A$5001,"&lt;="&amp;$B235,BD!$X$3:$X$5001,"&lt;&gt;"))))</f>
        <v/>
      </c>
      <c r="H235" s="42" t="str">
        <f>IF(OR($B235="",$A235&gt;$B$9),"",IF(COUNTIFS(BD!$B$3:$B$5001,H$208,BD!$A$3:$A$5001,"&gt;="&amp;$C$7,BD!$A$3:$A$5001,"&lt;="&amp;$B235,BD!$X$3:$X$5001,"&lt;&gt;")=0,"",SUMIFS(BD!$X$3:$X$5001,BD!$B$3:$B$5001,H$208,BD!$A$3:$A$5001,_xlfn.MAXIFS(BD!$A$3:$A$5001,BD!$B$3:$B$5001,H$208,BD!$A$3:$A$5001,"&gt;="&amp;$C$7,BD!$A$3:$A$5001,"&lt;="&amp;$B235,BD!$X$3:$X$5001,"&lt;&gt;"))))</f>
        <v/>
      </c>
      <c r="I235" s="42" t="str">
        <f>IF(OR($B235="",$A235&gt;$B$9),"",IF(COUNTIFS(BD!$B$3:$B$5001,I$208,BD!$A$3:$A$5001,"&gt;="&amp;$C$7,BD!$A$3:$A$5001,"&lt;="&amp;$B235,BD!$X$3:$X$5001,"&lt;&gt;")=0,"",SUMIFS(BD!$X$3:$X$5001,BD!$B$3:$B$5001,I$208,BD!$A$3:$A$5001,_xlfn.MAXIFS(BD!$A$3:$A$5001,BD!$B$3:$B$5001,I$208,BD!$A$3:$A$5001,"&gt;="&amp;$C$7,BD!$A$3:$A$5001,"&lt;="&amp;$B235,BD!$X$3:$X$5001,"&lt;&gt;"))))</f>
        <v/>
      </c>
      <c r="J235" s="42" t="str">
        <f>IF(OR($B235="",$A235&gt;$B$9),"",IF(COUNTIFS(BD!$B$3:$B$5001,J$208,BD!$A$3:$A$5001,"&gt;="&amp;$C$7,BD!$A$3:$A$5001,"&lt;="&amp;$B235,BD!$X$3:$X$5001,"&lt;&gt;")=0,"",SUMIFS(BD!$X$3:$X$5001,BD!$B$3:$B$5001,J$208,BD!$A$3:$A$5001,_xlfn.MAXIFS(BD!$A$3:$A$5001,BD!$B$3:$B$5001,J$208,BD!$A$3:$A$5001,"&gt;="&amp;$C$7,BD!$A$3:$A$5001,"&lt;="&amp;$B235,BD!$X$3:$X$5001,"&lt;&gt;"))))</f>
        <v/>
      </c>
      <c r="K235" s="42" t="str">
        <f>IF(OR($B235="",$A235&gt;$B$9),"",IF(COUNTIFS(BD!$B$3:$B$5001,K$208,BD!$A$3:$A$5001,"&gt;="&amp;$C$7,BD!$A$3:$A$5001,"&lt;="&amp;$B235,BD!$X$3:$X$5001,"&lt;&gt;")=0,"",SUMIFS(BD!$X$3:$X$5001,BD!$B$3:$B$5001,K$208,BD!$A$3:$A$5001,_xlfn.MAXIFS(BD!$A$3:$A$5001,BD!$B$3:$B$5001,K$208,BD!$A$3:$A$5001,"&gt;="&amp;$C$7,BD!$A$3:$A$5001,"&lt;="&amp;$B235,BD!$X$3:$X$5001,"&lt;&gt;"))))</f>
        <v/>
      </c>
      <c r="L235" s="42" t="str">
        <f>IF(OR($B235="",$A235&gt;$B$9),"",IF(COUNTIFS(BD!$B$3:$B$5001,L$208,BD!$A$3:$A$5001,"&gt;="&amp;$C$7,BD!$A$3:$A$5001,"&lt;="&amp;$B235,BD!$X$3:$X$5001,"&lt;&gt;")=0,"",SUMIFS(BD!$X$3:$X$5001,BD!$B$3:$B$5001,L$208,BD!$A$3:$A$5001,_xlfn.MAXIFS(BD!$A$3:$A$5001,BD!$B$3:$B$5001,L$208,BD!$A$3:$A$5001,"&gt;="&amp;$C$7,BD!$A$3:$A$5001,"&lt;="&amp;$B235,BD!$X$3:$X$5001,"&lt;&gt;"))))</f>
        <v/>
      </c>
    </row>
    <row r="236">
      <c r="A236" s="40">
        <v>28</v>
      </c>
      <c r="B236" s="41">
        <f>$B$39</f>
        <v>46323</v>
      </c>
      <c r="C236" s="42" t="str">
        <f>IF(OR($B236="",$A236&gt;$B$9),"",IF(COUNTIFS(BD!$B$3:$B$5001,C$208,BD!$A$3:$A$5001,"&gt;="&amp;$C$7,BD!$A$3:$A$5001,"&lt;="&amp;$B236,BD!$X$3:$X$5001,"&lt;&gt;")=0,"",SUMIFS(BD!$X$3:$X$5001,BD!$B$3:$B$5001,C$208,BD!$A$3:$A$5001,_xlfn.MAXIFS(BD!$A$3:$A$5001,BD!$B$3:$B$5001,C$208,BD!$A$3:$A$5001,"&gt;="&amp;$C$7,BD!$A$3:$A$5001,"&lt;="&amp;$B236,BD!$X$3:$X$5001,"&lt;&gt;"))))</f>
        <v/>
      </c>
      <c r="D236" s="42" t="str">
        <f>IF(OR($B236="",$A236&gt;$B$9),"",IF(COUNTIFS(BD!$B$3:$B$5001,D$208,BD!$A$3:$A$5001,"&gt;="&amp;$C$7,BD!$A$3:$A$5001,"&lt;="&amp;$B236,BD!$X$3:$X$5001,"&lt;&gt;")=0,"",SUMIFS(BD!$X$3:$X$5001,BD!$B$3:$B$5001,D$208,BD!$A$3:$A$5001,_xlfn.MAXIFS(BD!$A$3:$A$5001,BD!$B$3:$B$5001,D$208,BD!$A$3:$A$5001,"&gt;="&amp;$C$7,BD!$A$3:$A$5001,"&lt;="&amp;$B236,BD!$X$3:$X$5001,"&lt;&gt;"))))</f>
        <v/>
      </c>
      <c r="E236" s="42" t="str">
        <f>IF(OR($B236="",$A236&gt;$B$9),"",IF(COUNTIFS(BD!$B$3:$B$5001,E$208,BD!$A$3:$A$5001,"&gt;="&amp;$C$7,BD!$A$3:$A$5001,"&lt;="&amp;$B236,BD!$X$3:$X$5001,"&lt;&gt;")=0,"",SUMIFS(BD!$X$3:$X$5001,BD!$B$3:$B$5001,E$208,BD!$A$3:$A$5001,_xlfn.MAXIFS(BD!$A$3:$A$5001,BD!$B$3:$B$5001,E$208,BD!$A$3:$A$5001,"&gt;="&amp;$C$7,BD!$A$3:$A$5001,"&lt;="&amp;$B236,BD!$X$3:$X$5001,"&lt;&gt;"))))</f>
        <v/>
      </c>
      <c r="F236" s="42" t="str">
        <f>IF(OR($B236="",$A236&gt;$B$9),"",IF(COUNTIFS(BD!$B$3:$B$5001,F$208,BD!$A$3:$A$5001,"&gt;="&amp;$C$7,BD!$A$3:$A$5001,"&lt;="&amp;$B236,BD!$X$3:$X$5001,"&lt;&gt;")=0,"",SUMIFS(BD!$X$3:$X$5001,BD!$B$3:$B$5001,F$208,BD!$A$3:$A$5001,_xlfn.MAXIFS(BD!$A$3:$A$5001,BD!$B$3:$B$5001,F$208,BD!$A$3:$A$5001,"&gt;="&amp;$C$7,BD!$A$3:$A$5001,"&lt;="&amp;$B236,BD!$X$3:$X$5001,"&lt;&gt;"))))</f>
        <v/>
      </c>
      <c r="G236" s="42" t="str">
        <f>IF(OR($B236="",$A236&gt;$B$9),"",IF(COUNTIFS(BD!$B$3:$B$5001,G$208,BD!$A$3:$A$5001,"&gt;="&amp;$C$7,BD!$A$3:$A$5001,"&lt;="&amp;$B236,BD!$X$3:$X$5001,"&lt;&gt;")=0,"",SUMIFS(BD!$X$3:$X$5001,BD!$B$3:$B$5001,G$208,BD!$A$3:$A$5001,_xlfn.MAXIFS(BD!$A$3:$A$5001,BD!$B$3:$B$5001,G$208,BD!$A$3:$A$5001,"&gt;="&amp;$C$7,BD!$A$3:$A$5001,"&lt;="&amp;$B236,BD!$X$3:$X$5001,"&lt;&gt;"))))</f>
        <v/>
      </c>
      <c r="H236" s="42" t="str">
        <f>IF(OR($B236="",$A236&gt;$B$9),"",IF(COUNTIFS(BD!$B$3:$B$5001,H$208,BD!$A$3:$A$5001,"&gt;="&amp;$C$7,BD!$A$3:$A$5001,"&lt;="&amp;$B236,BD!$X$3:$X$5001,"&lt;&gt;")=0,"",SUMIFS(BD!$X$3:$X$5001,BD!$B$3:$B$5001,H$208,BD!$A$3:$A$5001,_xlfn.MAXIFS(BD!$A$3:$A$5001,BD!$B$3:$B$5001,H$208,BD!$A$3:$A$5001,"&gt;="&amp;$C$7,BD!$A$3:$A$5001,"&lt;="&amp;$B236,BD!$X$3:$X$5001,"&lt;&gt;"))))</f>
        <v/>
      </c>
      <c r="I236" s="42" t="str">
        <f>IF(OR($B236="",$A236&gt;$B$9),"",IF(COUNTIFS(BD!$B$3:$B$5001,I$208,BD!$A$3:$A$5001,"&gt;="&amp;$C$7,BD!$A$3:$A$5001,"&lt;="&amp;$B236,BD!$X$3:$X$5001,"&lt;&gt;")=0,"",SUMIFS(BD!$X$3:$X$5001,BD!$B$3:$B$5001,I$208,BD!$A$3:$A$5001,_xlfn.MAXIFS(BD!$A$3:$A$5001,BD!$B$3:$B$5001,I$208,BD!$A$3:$A$5001,"&gt;="&amp;$C$7,BD!$A$3:$A$5001,"&lt;="&amp;$B236,BD!$X$3:$X$5001,"&lt;&gt;"))))</f>
        <v/>
      </c>
      <c r="J236" s="42" t="str">
        <f>IF(OR($B236="",$A236&gt;$B$9),"",IF(COUNTIFS(BD!$B$3:$B$5001,J$208,BD!$A$3:$A$5001,"&gt;="&amp;$C$7,BD!$A$3:$A$5001,"&lt;="&amp;$B236,BD!$X$3:$X$5001,"&lt;&gt;")=0,"",SUMIFS(BD!$X$3:$X$5001,BD!$B$3:$B$5001,J$208,BD!$A$3:$A$5001,_xlfn.MAXIFS(BD!$A$3:$A$5001,BD!$B$3:$B$5001,J$208,BD!$A$3:$A$5001,"&gt;="&amp;$C$7,BD!$A$3:$A$5001,"&lt;="&amp;$B236,BD!$X$3:$X$5001,"&lt;&gt;"))))</f>
        <v/>
      </c>
      <c r="K236" s="42" t="str">
        <f>IF(OR($B236="",$A236&gt;$B$9),"",IF(COUNTIFS(BD!$B$3:$B$5001,K$208,BD!$A$3:$A$5001,"&gt;="&amp;$C$7,BD!$A$3:$A$5001,"&lt;="&amp;$B236,BD!$X$3:$X$5001,"&lt;&gt;")=0,"",SUMIFS(BD!$X$3:$X$5001,BD!$B$3:$B$5001,K$208,BD!$A$3:$A$5001,_xlfn.MAXIFS(BD!$A$3:$A$5001,BD!$B$3:$B$5001,K$208,BD!$A$3:$A$5001,"&gt;="&amp;$C$7,BD!$A$3:$A$5001,"&lt;="&amp;$B236,BD!$X$3:$X$5001,"&lt;&gt;"))))</f>
        <v/>
      </c>
      <c r="L236" s="42" t="str">
        <f>IF(OR($B236="",$A236&gt;$B$9),"",IF(COUNTIFS(BD!$B$3:$B$5001,L$208,BD!$A$3:$A$5001,"&gt;="&amp;$C$7,BD!$A$3:$A$5001,"&lt;="&amp;$B236,BD!$X$3:$X$5001,"&lt;&gt;")=0,"",SUMIFS(BD!$X$3:$X$5001,BD!$B$3:$B$5001,L$208,BD!$A$3:$A$5001,_xlfn.MAXIFS(BD!$A$3:$A$5001,BD!$B$3:$B$5001,L$208,BD!$A$3:$A$5001,"&gt;="&amp;$C$7,BD!$A$3:$A$5001,"&lt;="&amp;$B236,BD!$X$3:$X$5001,"&lt;&gt;"))))</f>
        <v/>
      </c>
    </row>
    <row r="237">
      <c r="A237" s="40">
        <v>29</v>
      </c>
      <c r="B237" s="41">
        <f>$B$40</f>
        <v>46324</v>
      </c>
      <c r="C237" s="42" t="str">
        <f>IF(OR($B237="",$A237&gt;$B$9),"",IF(COUNTIFS(BD!$B$3:$B$5001,C$208,BD!$A$3:$A$5001,"&gt;="&amp;$C$7,BD!$A$3:$A$5001,"&lt;="&amp;$B237,BD!$X$3:$X$5001,"&lt;&gt;")=0,"",SUMIFS(BD!$X$3:$X$5001,BD!$B$3:$B$5001,C$208,BD!$A$3:$A$5001,_xlfn.MAXIFS(BD!$A$3:$A$5001,BD!$B$3:$B$5001,C$208,BD!$A$3:$A$5001,"&gt;="&amp;$C$7,BD!$A$3:$A$5001,"&lt;="&amp;$B237,BD!$X$3:$X$5001,"&lt;&gt;"))))</f>
        <v/>
      </c>
      <c r="D237" s="42" t="str">
        <f>IF(OR($B237="",$A237&gt;$B$9),"",IF(COUNTIFS(BD!$B$3:$B$5001,D$208,BD!$A$3:$A$5001,"&gt;="&amp;$C$7,BD!$A$3:$A$5001,"&lt;="&amp;$B237,BD!$X$3:$X$5001,"&lt;&gt;")=0,"",SUMIFS(BD!$X$3:$X$5001,BD!$B$3:$B$5001,D$208,BD!$A$3:$A$5001,_xlfn.MAXIFS(BD!$A$3:$A$5001,BD!$B$3:$B$5001,D$208,BD!$A$3:$A$5001,"&gt;="&amp;$C$7,BD!$A$3:$A$5001,"&lt;="&amp;$B237,BD!$X$3:$X$5001,"&lt;&gt;"))))</f>
        <v/>
      </c>
      <c r="E237" s="42" t="str">
        <f>IF(OR($B237="",$A237&gt;$B$9),"",IF(COUNTIFS(BD!$B$3:$B$5001,E$208,BD!$A$3:$A$5001,"&gt;="&amp;$C$7,BD!$A$3:$A$5001,"&lt;="&amp;$B237,BD!$X$3:$X$5001,"&lt;&gt;")=0,"",SUMIFS(BD!$X$3:$X$5001,BD!$B$3:$B$5001,E$208,BD!$A$3:$A$5001,_xlfn.MAXIFS(BD!$A$3:$A$5001,BD!$B$3:$B$5001,E$208,BD!$A$3:$A$5001,"&gt;="&amp;$C$7,BD!$A$3:$A$5001,"&lt;="&amp;$B237,BD!$X$3:$X$5001,"&lt;&gt;"))))</f>
        <v/>
      </c>
      <c r="F237" s="42" t="str">
        <f>IF(OR($B237="",$A237&gt;$B$9),"",IF(COUNTIFS(BD!$B$3:$B$5001,F$208,BD!$A$3:$A$5001,"&gt;="&amp;$C$7,BD!$A$3:$A$5001,"&lt;="&amp;$B237,BD!$X$3:$X$5001,"&lt;&gt;")=0,"",SUMIFS(BD!$X$3:$X$5001,BD!$B$3:$B$5001,F$208,BD!$A$3:$A$5001,_xlfn.MAXIFS(BD!$A$3:$A$5001,BD!$B$3:$B$5001,F$208,BD!$A$3:$A$5001,"&gt;="&amp;$C$7,BD!$A$3:$A$5001,"&lt;="&amp;$B237,BD!$X$3:$X$5001,"&lt;&gt;"))))</f>
        <v/>
      </c>
      <c r="G237" s="42" t="str">
        <f>IF(OR($B237="",$A237&gt;$B$9),"",IF(COUNTIFS(BD!$B$3:$B$5001,G$208,BD!$A$3:$A$5001,"&gt;="&amp;$C$7,BD!$A$3:$A$5001,"&lt;="&amp;$B237,BD!$X$3:$X$5001,"&lt;&gt;")=0,"",SUMIFS(BD!$X$3:$X$5001,BD!$B$3:$B$5001,G$208,BD!$A$3:$A$5001,_xlfn.MAXIFS(BD!$A$3:$A$5001,BD!$B$3:$B$5001,G$208,BD!$A$3:$A$5001,"&gt;="&amp;$C$7,BD!$A$3:$A$5001,"&lt;="&amp;$B237,BD!$X$3:$X$5001,"&lt;&gt;"))))</f>
        <v/>
      </c>
      <c r="H237" s="42" t="str">
        <f>IF(OR($B237="",$A237&gt;$B$9),"",IF(COUNTIFS(BD!$B$3:$B$5001,H$208,BD!$A$3:$A$5001,"&gt;="&amp;$C$7,BD!$A$3:$A$5001,"&lt;="&amp;$B237,BD!$X$3:$X$5001,"&lt;&gt;")=0,"",SUMIFS(BD!$X$3:$X$5001,BD!$B$3:$B$5001,H$208,BD!$A$3:$A$5001,_xlfn.MAXIFS(BD!$A$3:$A$5001,BD!$B$3:$B$5001,H$208,BD!$A$3:$A$5001,"&gt;="&amp;$C$7,BD!$A$3:$A$5001,"&lt;="&amp;$B237,BD!$X$3:$X$5001,"&lt;&gt;"))))</f>
        <v/>
      </c>
      <c r="I237" s="42" t="str">
        <f>IF(OR($B237="",$A237&gt;$B$9),"",IF(COUNTIFS(BD!$B$3:$B$5001,I$208,BD!$A$3:$A$5001,"&gt;="&amp;$C$7,BD!$A$3:$A$5001,"&lt;="&amp;$B237,BD!$X$3:$X$5001,"&lt;&gt;")=0,"",SUMIFS(BD!$X$3:$X$5001,BD!$B$3:$B$5001,I$208,BD!$A$3:$A$5001,_xlfn.MAXIFS(BD!$A$3:$A$5001,BD!$B$3:$B$5001,I$208,BD!$A$3:$A$5001,"&gt;="&amp;$C$7,BD!$A$3:$A$5001,"&lt;="&amp;$B237,BD!$X$3:$X$5001,"&lt;&gt;"))))</f>
        <v/>
      </c>
      <c r="J237" s="42" t="str">
        <f>IF(OR($B237="",$A237&gt;$B$9),"",IF(COUNTIFS(BD!$B$3:$B$5001,J$208,BD!$A$3:$A$5001,"&gt;="&amp;$C$7,BD!$A$3:$A$5001,"&lt;="&amp;$B237,BD!$X$3:$X$5001,"&lt;&gt;")=0,"",SUMIFS(BD!$X$3:$X$5001,BD!$B$3:$B$5001,J$208,BD!$A$3:$A$5001,_xlfn.MAXIFS(BD!$A$3:$A$5001,BD!$B$3:$B$5001,J$208,BD!$A$3:$A$5001,"&gt;="&amp;$C$7,BD!$A$3:$A$5001,"&lt;="&amp;$B237,BD!$X$3:$X$5001,"&lt;&gt;"))))</f>
        <v/>
      </c>
      <c r="K237" s="42" t="str">
        <f>IF(OR($B237="",$A237&gt;$B$9),"",IF(COUNTIFS(BD!$B$3:$B$5001,K$208,BD!$A$3:$A$5001,"&gt;="&amp;$C$7,BD!$A$3:$A$5001,"&lt;="&amp;$B237,BD!$X$3:$X$5001,"&lt;&gt;")=0,"",SUMIFS(BD!$X$3:$X$5001,BD!$B$3:$B$5001,K$208,BD!$A$3:$A$5001,_xlfn.MAXIFS(BD!$A$3:$A$5001,BD!$B$3:$B$5001,K$208,BD!$A$3:$A$5001,"&gt;="&amp;$C$7,BD!$A$3:$A$5001,"&lt;="&amp;$B237,BD!$X$3:$X$5001,"&lt;&gt;"))))</f>
        <v/>
      </c>
      <c r="L237" s="42" t="str">
        <f>IF(OR($B237="",$A237&gt;$B$9),"",IF(COUNTIFS(BD!$B$3:$B$5001,L$208,BD!$A$3:$A$5001,"&gt;="&amp;$C$7,BD!$A$3:$A$5001,"&lt;="&amp;$B237,BD!$X$3:$X$5001,"&lt;&gt;")=0,"",SUMIFS(BD!$X$3:$X$5001,BD!$B$3:$B$5001,L$208,BD!$A$3:$A$5001,_xlfn.MAXIFS(BD!$A$3:$A$5001,BD!$B$3:$B$5001,L$208,BD!$A$3:$A$5001,"&gt;="&amp;$C$7,BD!$A$3:$A$5001,"&lt;="&amp;$B237,BD!$X$3:$X$5001,"&lt;&gt;"))))</f>
        <v/>
      </c>
    </row>
    <row r="238">
      <c r="A238" s="40">
        <v>30</v>
      </c>
      <c r="B238" s="41">
        <f>$B$41</f>
        <v>46325</v>
      </c>
      <c r="C238" s="42" t="str">
        <f>IF(OR($B238="",$A238&gt;$B$9),"",IF(COUNTIFS(BD!$B$3:$B$5001,C$208,BD!$A$3:$A$5001,"&gt;="&amp;$C$7,BD!$A$3:$A$5001,"&lt;="&amp;$B238,BD!$X$3:$X$5001,"&lt;&gt;")=0,"",SUMIFS(BD!$X$3:$X$5001,BD!$B$3:$B$5001,C$208,BD!$A$3:$A$5001,_xlfn.MAXIFS(BD!$A$3:$A$5001,BD!$B$3:$B$5001,C$208,BD!$A$3:$A$5001,"&gt;="&amp;$C$7,BD!$A$3:$A$5001,"&lt;="&amp;$B238,BD!$X$3:$X$5001,"&lt;&gt;"))))</f>
        <v/>
      </c>
      <c r="D238" s="42" t="str">
        <f>IF(OR($B238="",$A238&gt;$B$9),"",IF(COUNTIFS(BD!$B$3:$B$5001,D$208,BD!$A$3:$A$5001,"&gt;="&amp;$C$7,BD!$A$3:$A$5001,"&lt;="&amp;$B238,BD!$X$3:$X$5001,"&lt;&gt;")=0,"",SUMIFS(BD!$X$3:$X$5001,BD!$B$3:$B$5001,D$208,BD!$A$3:$A$5001,_xlfn.MAXIFS(BD!$A$3:$A$5001,BD!$B$3:$B$5001,D$208,BD!$A$3:$A$5001,"&gt;="&amp;$C$7,BD!$A$3:$A$5001,"&lt;="&amp;$B238,BD!$X$3:$X$5001,"&lt;&gt;"))))</f>
        <v/>
      </c>
      <c r="E238" s="42" t="str">
        <f>IF(OR($B238="",$A238&gt;$B$9),"",IF(COUNTIFS(BD!$B$3:$B$5001,E$208,BD!$A$3:$A$5001,"&gt;="&amp;$C$7,BD!$A$3:$A$5001,"&lt;="&amp;$B238,BD!$X$3:$X$5001,"&lt;&gt;")=0,"",SUMIFS(BD!$X$3:$X$5001,BD!$B$3:$B$5001,E$208,BD!$A$3:$A$5001,_xlfn.MAXIFS(BD!$A$3:$A$5001,BD!$B$3:$B$5001,E$208,BD!$A$3:$A$5001,"&gt;="&amp;$C$7,BD!$A$3:$A$5001,"&lt;="&amp;$B238,BD!$X$3:$X$5001,"&lt;&gt;"))))</f>
        <v/>
      </c>
      <c r="F238" s="42" t="str">
        <f>IF(OR($B238="",$A238&gt;$B$9),"",IF(COUNTIFS(BD!$B$3:$B$5001,F$208,BD!$A$3:$A$5001,"&gt;="&amp;$C$7,BD!$A$3:$A$5001,"&lt;="&amp;$B238,BD!$X$3:$X$5001,"&lt;&gt;")=0,"",SUMIFS(BD!$X$3:$X$5001,BD!$B$3:$B$5001,F$208,BD!$A$3:$A$5001,_xlfn.MAXIFS(BD!$A$3:$A$5001,BD!$B$3:$B$5001,F$208,BD!$A$3:$A$5001,"&gt;="&amp;$C$7,BD!$A$3:$A$5001,"&lt;="&amp;$B238,BD!$X$3:$X$5001,"&lt;&gt;"))))</f>
        <v/>
      </c>
      <c r="G238" s="42" t="str">
        <f>IF(OR($B238="",$A238&gt;$B$9),"",IF(COUNTIFS(BD!$B$3:$B$5001,G$208,BD!$A$3:$A$5001,"&gt;="&amp;$C$7,BD!$A$3:$A$5001,"&lt;="&amp;$B238,BD!$X$3:$X$5001,"&lt;&gt;")=0,"",SUMIFS(BD!$X$3:$X$5001,BD!$B$3:$B$5001,G$208,BD!$A$3:$A$5001,_xlfn.MAXIFS(BD!$A$3:$A$5001,BD!$B$3:$B$5001,G$208,BD!$A$3:$A$5001,"&gt;="&amp;$C$7,BD!$A$3:$A$5001,"&lt;="&amp;$B238,BD!$X$3:$X$5001,"&lt;&gt;"))))</f>
        <v/>
      </c>
      <c r="H238" s="42" t="str">
        <f>IF(OR($B238="",$A238&gt;$B$9),"",IF(COUNTIFS(BD!$B$3:$B$5001,H$208,BD!$A$3:$A$5001,"&gt;="&amp;$C$7,BD!$A$3:$A$5001,"&lt;="&amp;$B238,BD!$X$3:$X$5001,"&lt;&gt;")=0,"",SUMIFS(BD!$X$3:$X$5001,BD!$B$3:$B$5001,H$208,BD!$A$3:$A$5001,_xlfn.MAXIFS(BD!$A$3:$A$5001,BD!$B$3:$B$5001,H$208,BD!$A$3:$A$5001,"&gt;="&amp;$C$7,BD!$A$3:$A$5001,"&lt;="&amp;$B238,BD!$X$3:$X$5001,"&lt;&gt;"))))</f>
        <v/>
      </c>
      <c r="I238" s="42" t="str">
        <f>IF(OR($B238="",$A238&gt;$B$9),"",IF(COUNTIFS(BD!$B$3:$B$5001,I$208,BD!$A$3:$A$5001,"&gt;="&amp;$C$7,BD!$A$3:$A$5001,"&lt;="&amp;$B238,BD!$X$3:$X$5001,"&lt;&gt;")=0,"",SUMIFS(BD!$X$3:$X$5001,BD!$B$3:$B$5001,I$208,BD!$A$3:$A$5001,_xlfn.MAXIFS(BD!$A$3:$A$5001,BD!$B$3:$B$5001,I$208,BD!$A$3:$A$5001,"&gt;="&amp;$C$7,BD!$A$3:$A$5001,"&lt;="&amp;$B238,BD!$X$3:$X$5001,"&lt;&gt;"))))</f>
        <v/>
      </c>
      <c r="J238" s="42" t="str">
        <f>IF(OR($B238="",$A238&gt;$B$9),"",IF(COUNTIFS(BD!$B$3:$B$5001,J$208,BD!$A$3:$A$5001,"&gt;="&amp;$C$7,BD!$A$3:$A$5001,"&lt;="&amp;$B238,BD!$X$3:$X$5001,"&lt;&gt;")=0,"",SUMIFS(BD!$X$3:$X$5001,BD!$B$3:$B$5001,J$208,BD!$A$3:$A$5001,_xlfn.MAXIFS(BD!$A$3:$A$5001,BD!$B$3:$B$5001,J$208,BD!$A$3:$A$5001,"&gt;="&amp;$C$7,BD!$A$3:$A$5001,"&lt;="&amp;$B238,BD!$X$3:$X$5001,"&lt;&gt;"))))</f>
        <v/>
      </c>
      <c r="K238" s="42" t="str">
        <f>IF(OR($B238="",$A238&gt;$B$9),"",IF(COUNTIFS(BD!$B$3:$B$5001,K$208,BD!$A$3:$A$5001,"&gt;="&amp;$C$7,BD!$A$3:$A$5001,"&lt;="&amp;$B238,BD!$X$3:$X$5001,"&lt;&gt;")=0,"",SUMIFS(BD!$X$3:$X$5001,BD!$B$3:$B$5001,K$208,BD!$A$3:$A$5001,_xlfn.MAXIFS(BD!$A$3:$A$5001,BD!$B$3:$B$5001,K$208,BD!$A$3:$A$5001,"&gt;="&amp;$C$7,BD!$A$3:$A$5001,"&lt;="&amp;$B238,BD!$X$3:$X$5001,"&lt;&gt;"))))</f>
        <v/>
      </c>
      <c r="L238" s="42" t="str">
        <f>IF(OR($B238="",$A238&gt;$B$9),"",IF(COUNTIFS(BD!$B$3:$B$5001,L$208,BD!$A$3:$A$5001,"&gt;="&amp;$C$7,BD!$A$3:$A$5001,"&lt;="&amp;$B238,BD!$X$3:$X$5001,"&lt;&gt;")=0,"",SUMIFS(BD!$X$3:$X$5001,BD!$B$3:$B$5001,L$208,BD!$A$3:$A$5001,_xlfn.MAXIFS(BD!$A$3:$A$5001,BD!$B$3:$B$5001,L$208,BD!$A$3:$A$5001,"&gt;="&amp;$C$7,BD!$A$3:$A$5001,"&lt;="&amp;$B238,BD!$X$3:$X$5001,"&lt;&gt;"))))</f>
        <v/>
      </c>
    </row>
    <row r="239">
      <c r="A239" s="40">
        <v>31</v>
      </c>
      <c r="B239" s="41">
        <f>$B$42</f>
        <v>46326</v>
      </c>
      <c r="C239" s="42" t="str">
        <f>IF(OR($B239="",$A239&gt;$B$9),"",IF(COUNTIFS(BD!$B$3:$B$5001,C$208,BD!$A$3:$A$5001,"&gt;="&amp;$C$7,BD!$A$3:$A$5001,"&lt;="&amp;$B239,BD!$X$3:$X$5001,"&lt;&gt;")=0,"",SUMIFS(BD!$X$3:$X$5001,BD!$B$3:$B$5001,C$208,BD!$A$3:$A$5001,_xlfn.MAXIFS(BD!$A$3:$A$5001,BD!$B$3:$B$5001,C$208,BD!$A$3:$A$5001,"&gt;="&amp;$C$7,BD!$A$3:$A$5001,"&lt;="&amp;$B239,BD!$X$3:$X$5001,"&lt;&gt;"))))</f>
        <v/>
      </c>
      <c r="D239" s="42" t="str">
        <f>IF(OR($B239="",$A239&gt;$B$9),"",IF(COUNTIFS(BD!$B$3:$B$5001,D$208,BD!$A$3:$A$5001,"&gt;="&amp;$C$7,BD!$A$3:$A$5001,"&lt;="&amp;$B239,BD!$X$3:$X$5001,"&lt;&gt;")=0,"",SUMIFS(BD!$X$3:$X$5001,BD!$B$3:$B$5001,D$208,BD!$A$3:$A$5001,_xlfn.MAXIFS(BD!$A$3:$A$5001,BD!$B$3:$B$5001,D$208,BD!$A$3:$A$5001,"&gt;="&amp;$C$7,BD!$A$3:$A$5001,"&lt;="&amp;$B239,BD!$X$3:$X$5001,"&lt;&gt;"))))</f>
        <v/>
      </c>
      <c r="E239" s="42" t="str">
        <f>IF(OR($B239="",$A239&gt;$B$9),"",IF(COUNTIFS(BD!$B$3:$B$5001,E$208,BD!$A$3:$A$5001,"&gt;="&amp;$C$7,BD!$A$3:$A$5001,"&lt;="&amp;$B239,BD!$X$3:$X$5001,"&lt;&gt;")=0,"",SUMIFS(BD!$X$3:$X$5001,BD!$B$3:$B$5001,E$208,BD!$A$3:$A$5001,_xlfn.MAXIFS(BD!$A$3:$A$5001,BD!$B$3:$B$5001,E$208,BD!$A$3:$A$5001,"&gt;="&amp;$C$7,BD!$A$3:$A$5001,"&lt;="&amp;$B239,BD!$X$3:$X$5001,"&lt;&gt;"))))</f>
        <v/>
      </c>
      <c r="F239" s="42" t="str">
        <f>IF(OR($B239="",$A239&gt;$B$9),"",IF(COUNTIFS(BD!$B$3:$B$5001,F$208,BD!$A$3:$A$5001,"&gt;="&amp;$C$7,BD!$A$3:$A$5001,"&lt;="&amp;$B239,BD!$X$3:$X$5001,"&lt;&gt;")=0,"",SUMIFS(BD!$X$3:$X$5001,BD!$B$3:$B$5001,F$208,BD!$A$3:$A$5001,_xlfn.MAXIFS(BD!$A$3:$A$5001,BD!$B$3:$B$5001,F$208,BD!$A$3:$A$5001,"&gt;="&amp;$C$7,BD!$A$3:$A$5001,"&lt;="&amp;$B239,BD!$X$3:$X$5001,"&lt;&gt;"))))</f>
        <v/>
      </c>
      <c r="G239" s="42" t="str">
        <f>IF(OR($B239="",$A239&gt;$B$9),"",IF(COUNTIFS(BD!$B$3:$B$5001,G$208,BD!$A$3:$A$5001,"&gt;="&amp;$C$7,BD!$A$3:$A$5001,"&lt;="&amp;$B239,BD!$X$3:$X$5001,"&lt;&gt;")=0,"",SUMIFS(BD!$X$3:$X$5001,BD!$B$3:$B$5001,G$208,BD!$A$3:$A$5001,_xlfn.MAXIFS(BD!$A$3:$A$5001,BD!$B$3:$B$5001,G$208,BD!$A$3:$A$5001,"&gt;="&amp;$C$7,BD!$A$3:$A$5001,"&lt;="&amp;$B239,BD!$X$3:$X$5001,"&lt;&gt;"))))</f>
        <v/>
      </c>
      <c r="H239" s="42" t="str">
        <f>IF(OR($B239="",$A239&gt;$B$9),"",IF(COUNTIFS(BD!$B$3:$B$5001,H$208,BD!$A$3:$A$5001,"&gt;="&amp;$C$7,BD!$A$3:$A$5001,"&lt;="&amp;$B239,BD!$X$3:$X$5001,"&lt;&gt;")=0,"",SUMIFS(BD!$X$3:$X$5001,BD!$B$3:$B$5001,H$208,BD!$A$3:$A$5001,_xlfn.MAXIFS(BD!$A$3:$A$5001,BD!$B$3:$B$5001,H$208,BD!$A$3:$A$5001,"&gt;="&amp;$C$7,BD!$A$3:$A$5001,"&lt;="&amp;$B239,BD!$X$3:$X$5001,"&lt;&gt;"))))</f>
        <v/>
      </c>
      <c r="I239" s="42" t="str">
        <f>IF(OR($B239="",$A239&gt;$B$9),"",IF(COUNTIFS(BD!$B$3:$B$5001,I$208,BD!$A$3:$A$5001,"&gt;="&amp;$C$7,BD!$A$3:$A$5001,"&lt;="&amp;$B239,BD!$X$3:$X$5001,"&lt;&gt;")=0,"",SUMIFS(BD!$X$3:$X$5001,BD!$B$3:$B$5001,I$208,BD!$A$3:$A$5001,_xlfn.MAXIFS(BD!$A$3:$A$5001,BD!$B$3:$B$5001,I$208,BD!$A$3:$A$5001,"&gt;="&amp;$C$7,BD!$A$3:$A$5001,"&lt;="&amp;$B239,BD!$X$3:$X$5001,"&lt;&gt;"))))</f>
        <v/>
      </c>
      <c r="J239" s="42" t="str">
        <f>IF(OR($B239="",$A239&gt;$B$9),"",IF(COUNTIFS(BD!$B$3:$B$5001,J$208,BD!$A$3:$A$5001,"&gt;="&amp;$C$7,BD!$A$3:$A$5001,"&lt;="&amp;$B239,BD!$X$3:$X$5001,"&lt;&gt;")=0,"",SUMIFS(BD!$X$3:$X$5001,BD!$B$3:$B$5001,J$208,BD!$A$3:$A$5001,_xlfn.MAXIFS(BD!$A$3:$A$5001,BD!$B$3:$B$5001,J$208,BD!$A$3:$A$5001,"&gt;="&amp;$C$7,BD!$A$3:$A$5001,"&lt;="&amp;$B239,BD!$X$3:$X$5001,"&lt;&gt;"))))</f>
        <v/>
      </c>
      <c r="K239" s="42" t="str">
        <f>IF(OR($B239="",$A239&gt;$B$9),"",IF(COUNTIFS(BD!$B$3:$B$5001,K$208,BD!$A$3:$A$5001,"&gt;="&amp;$C$7,BD!$A$3:$A$5001,"&lt;="&amp;$B239,BD!$X$3:$X$5001,"&lt;&gt;")=0,"",SUMIFS(BD!$X$3:$X$5001,BD!$B$3:$B$5001,K$208,BD!$A$3:$A$5001,_xlfn.MAXIFS(BD!$A$3:$A$5001,BD!$B$3:$B$5001,K$208,BD!$A$3:$A$5001,"&gt;="&amp;$C$7,BD!$A$3:$A$5001,"&lt;="&amp;$B239,BD!$X$3:$X$5001,"&lt;&gt;"))))</f>
        <v/>
      </c>
      <c r="L239" s="42" t="str">
        <f>IF(OR($B239="",$A239&gt;$B$9),"",IF(COUNTIFS(BD!$B$3:$B$5001,L$208,BD!$A$3:$A$5001,"&gt;="&amp;$C$7,BD!$A$3:$A$5001,"&lt;="&amp;$B239,BD!$X$3:$X$5001,"&lt;&gt;")=0,"",SUMIFS(BD!$X$3:$X$5001,BD!$B$3:$B$5001,L$208,BD!$A$3:$A$5001,_xlfn.MAXIFS(BD!$A$3:$A$5001,BD!$B$3:$B$5001,L$208,BD!$A$3:$A$5001,"&gt;="&amp;$C$7,BD!$A$3:$A$5001,"&lt;="&amp;$B239,BD!$X$3:$X$5001,"&lt;&gt;"))))</f>
        <v/>
      </c>
    </row>
    <row r="240">
      <c r="A240" s="43" t="inlineStr">
        <is>
          <t xml:space="preserve">Mês anterior (último)</t>
        </is>
      </c>
      <c r="C240" s="44" t="str">
        <f>IF(COUNTIFS(BD!$B$3:$B$5001,C$208,BD!$A$3:$A$5001,"&gt;="&amp;$C$8,BD!$A$3:$A$5001,"&lt;="&amp;$D$8,BD!$X$3:$X$5001,"&lt;&gt;")=0,"",SUMIFS(BD!$X$3:$X$5001,BD!$B$3:$B$5001,C$208,BD!$A$3:$A$5001,_xlfn.MAXIFS(BD!$A$3:$A$5001,BD!$B$3:$B$5001,C$208,BD!$A$3:$A$5001,"&gt;="&amp;$C$8,BD!$A$3:$A$5001,"&lt;="&amp;$D$8,BD!$X$3:$X$5001,"&lt;&gt;")))</f>
        <v/>
      </c>
      <c r="D240" s="44" t="str">
        <f>IF(COUNTIFS(BD!$B$3:$B$5001,D$208,BD!$A$3:$A$5001,"&gt;="&amp;$C$8,BD!$A$3:$A$5001,"&lt;="&amp;$D$8,BD!$X$3:$X$5001,"&lt;&gt;")=0,"",SUMIFS(BD!$X$3:$X$5001,BD!$B$3:$B$5001,D$208,BD!$A$3:$A$5001,_xlfn.MAXIFS(BD!$A$3:$A$5001,BD!$B$3:$B$5001,D$208,BD!$A$3:$A$5001,"&gt;="&amp;$C$8,BD!$A$3:$A$5001,"&lt;="&amp;$D$8,BD!$X$3:$X$5001,"&lt;&gt;")))</f>
        <v/>
      </c>
      <c r="E240" s="44" t="str">
        <f>IF(COUNTIFS(BD!$B$3:$B$5001,E$208,BD!$A$3:$A$5001,"&gt;="&amp;$C$8,BD!$A$3:$A$5001,"&lt;="&amp;$D$8,BD!$X$3:$X$5001,"&lt;&gt;")=0,"",SUMIFS(BD!$X$3:$X$5001,BD!$B$3:$B$5001,E$208,BD!$A$3:$A$5001,_xlfn.MAXIFS(BD!$A$3:$A$5001,BD!$B$3:$B$5001,E$208,BD!$A$3:$A$5001,"&gt;="&amp;$C$8,BD!$A$3:$A$5001,"&lt;="&amp;$D$8,BD!$X$3:$X$5001,"&lt;&gt;")))</f>
        <v/>
      </c>
      <c r="F240" s="44" t="str">
        <f>IF(COUNTIFS(BD!$B$3:$B$5001,F$208,BD!$A$3:$A$5001,"&gt;="&amp;$C$8,BD!$A$3:$A$5001,"&lt;="&amp;$D$8,BD!$X$3:$X$5001,"&lt;&gt;")=0,"",SUMIFS(BD!$X$3:$X$5001,BD!$B$3:$B$5001,F$208,BD!$A$3:$A$5001,_xlfn.MAXIFS(BD!$A$3:$A$5001,BD!$B$3:$B$5001,F$208,BD!$A$3:$A$5001,"&gt;="&amp;$C$8,BD!$A$3:$A$5001,"&lt;="&amp;$D$8,BD!$X$3:$X$5001,"&lt;&gt;")))</f>
        <v/>
      </c>
      <c r="G240" s="44" t="str">
        <f>IF(COUNTIFS(BD!$B$3:$B$5001,G$208,BD!$A$3:$A$5001,"&gt;="&amp;$C$8,BD!$A$3:$A$5001,"&lt;="&amp;$D$8,BD!$X$3:$X$5001,"&lt;&gt;")=0,"",SUMIFS(BD!$X$3:$X$5001,BD!$B$3:$B$5001,G$208,BD!$A$3:$A$5001,_xlfn.MAXIFS(BD!$A$3:$A$5001,BD!$B$3:$B$5001,G$208,BD!$A$3:$A$5001,"&gt;="&amp;$C$8,BD!$A$3:$A$5001,"&lt;="&amp;$D$8,BD!$X$3:$X$5001,"&lt;&gt;")))</f>
        <v/>
      </c>
      <c r="H240" s="44" t="str">
        <f>IF(COUNTIFS(BD!$B$3:$B$5001,H$208,BD!$A$3:$A$5001,"&gt;="&amp;$C$8,BD!$A$3:$A$5001,"&lt;="&amp;$D$8,BD!$X$3:$X$5001,"&lt;&gt;")=0,"",SUMIFS(BD!$X$3:$X$5001,BD!$B$3:$B$5001,H$208,BD!$A$3:$A$5001,_xlfn.MAXIFS(BD!$A$3:$A$5001,BD!$B$3:$B$5001,H$208,BD!$A$3:$A$5001,"&gt;="&amp;$C$8,BD!$A$3:$A$5001,"&lt;="&amp;$D$8,BD!$X$3:$X$5001,"&lt;&gt;")))</f>
        <v/>
      </c>
      <c r="I240" s="44" t="str">
        <f>IF(COUNTIFS(BD!$B$3:$B$5001,I$208,BD!$A$3:$A$5001,"&gt;="&amp;$C$8,BD!$A$3:$A$5001,"&lt;="&amp;$D$8,BD!$X$3:$X$5001,"&lt;&gt;")=0,"",SUMIFS(BD!$X$3:$X$5001,BD!$B$3:$B$5001,I$208,BD!$A$3:$A$5001,_xlfn.MAXIFS(BD!$A$3:$A$5001,BD!$B$3:$B$5001,I$208,BD!$A$3:$A$5001,"&gt;="&amp;$C$8,BD!$A$3:$A$5001,"&lt;="&amp;$D$8,BD!$X$3:$X$5001,"&lt;&gt;")))</f>
        <v/>
      </c>
      <c r="J240" s="44" t="str">
        <f>IF(COUNTIFS(BD!$B$3:$B$5001,J$208,BD!$A$3:$A$5001,"&gt;="&amp;$C$8,BD!$A$3:$A$5001,"&lt;="&amp;$D$8,BD!$X$3:$X$5001,"&lt;&gt;")=0,"",SUMIFS(BD!$X$3:$X$5001,BD!$B$3:$B$5001,J$208,BD!$A$3:$A$5001,_xlfn.MAXIFS(BD!$A$3:$A$5001,BD!$B$3:$B$5001,J$208,BD!$A$3:$A$5001,"&gt;="&amp;$C$8,BD!$A$3:$A$5001,"&lt;="&amp;$D$8,BD!$X$3:$X$5001,"&lt;&gt;")))</f>
        <v/>
      </c>
      <c r="K240" s="44" t="str">
        <f>IF(COUNTIFS(BD!$B$3:$B$5001,K$208,BD!$A$3:$A$5001,"&gt;="&amp;$C$8,BD!$A$3:$A$5001,"&lt;="&amp;$D$8,BD!$X$3:$X$5001,"&lt;&gt;")=0,"",SUMIFS(BD!$X$3:$X$5001,BD!$B$3:$B$5001,K$208,BD!$A$3:$A$5001,_xlfn.MAXIFS(BD!$A$3:$A$5001,BD!$B$3:$B$5001,K$208,BD!$A$3:$A$5001,"&gt;="&amp;$C$8,BD!$A$3:$A$5001,"&lt;="&amp;$D$8,BD!$X$3:$X$5001,"&lt;&gt;")))</f>
        <v/>
      </c>
      <c r="L240" s="44" t="str">
        <f>IF(COUNTIFS(BD!$B$3:$B$5001,L$208,BD!$A$3:$A$5001,"&gt;="&amp;$C$8,BD!$A$3:$A$5001,"&lt;="&amp;$D$8,BD!$X$3:$X$5001,"&lt;&gt;")=0,"",SUMIFS(BD!$X$3:$X$5001,BD!$B$3:$B$5001,L$208,BD!$A$3:$A$5001,_xlfn.MAXIFS(BD!$A$3:$A$5001,BD!$B$3:$B$5001,L$208,BD!$A$3:$A$5001,"&gt;="&amp;$C$8,BD!$A$3:$A$5001,"&lt;="&amp;$D$8,BD!$X$3:$X$5001,"&lt;&gt;")))</f>
        <v/>
      </c>
    </row>
    <row r="241">
      <c r="A241" s="43" t="inlineStr">
        <is>
          <t xml:space="preserve">Depósito</t>
        </is>
      </c>
      <c r="C241" s="40" t="inlineStr">
        <is>
          <t xml:space="preserve">TPC</t>
        </is>
      </c>
      <c r="D241" s="40" t="inlineStr">
        <is>
          <t xml:space="preserve">TPC</t>
        </is>
      </c>
      <c r="E241" s="40" t="inlineStr">
        <is>
          <t xml:space="preserve">TPC</t>
        </is>
      </c>
      <c r="F241" s="40" t="inlineStr">
        <is>
          <t xml:space="preserve">TPC</t>
        </is>
      </c>
      <c r="G241" s="40" t="inlineStr">
        <is>
          <t xml:space="preserve">TPC</t>
        </is>
      </c>
      <c r="H241" s="40" t="inlineStr">
        <is>
          <t xml:space="preserve">TPC</t>
        </is>
      </c>
      <c r="I241" s="40" t="inlineStr">
        <is>
          <t xml:space="preserve">TPC</t>
        </is>
      </c>
      <c r="J241" s="40" t="inlineStr">
        <is>
          <t xml:space="preserve">TPC</t>
        </is>
      </c>
      <c r="K241" s="40" t="inlineStr">
        <is>
          <t xml:space="preserve">TPC</t>
        </is>
      </c>
      <c r="L241" s="40" t="inlineStr">
        <is>
          <t xml:space="preserve">TPC</t>
        </is>
      </c>
    </row>
    <row r="243">
      <c r="A243" s="37" t="inlineStr">
        <is>
          <t xml:space="preserve">Efetivo Op.</t>
        </is>
      </c>
      <c r="B243" s="37" t="inlineStr">
        <is>
          <t xml:space="preserve">Data</t>
        </is>
      </c>
      <c r="C243" s="37" t="inlineStr">
        <is>
          <t xml:space="preserve">Alpargatas</t>
        </is>
      </c>
      <c r="D243" s="37" t="inlineStr">
        <is>
          <t xml:space="preserve">Basf</t>
        </is>
      </c>
      <c r="E243" s="37" t="inlineStr">
        <is>
          <t xml:space="preserve">Beautybiz</t>
        </is>
      </c>
      <c r="F243" s="37" t="inlineStr">
        <is>
          <t xml:space="preserve">Boticário</t>
        </is>
      </c>
      <c r="G243" s="37" t="inlineStr">
        <is>
          <t xml:space="preserve">Confiance</t>
        </is>
      </c>
      <c r="H243" s="37" t="inlineStr">
        <is>
          <t xml:space="preserve">GE Vernova</t>
        </is>
      </c>
      <c r="I243" s="37" t="inlineStr">
        <is>
          <t xml:space="preserve">Omnilife</t>
        </is>
      </c>
      <c r="J243" s="37" t="inlineStr">
        <is>
          <t xml:space="preserve">Supply</t>
        </is>
      </c>
      <c r="K243" s="37" t="inlineStr">
        <is>
          <t xml:space="preserve">Vedacit</t>
        </is>
      </c>
      <c r="L243" s="37" t="inlineStr">
        <is>
          <t xml:space="preserve">Vestas</t>
        </is>
      </c>
    </row>
    <row r="244">
      <c r="A244" s="40">
        <v>1</v>
      </c>
      <c r="B244" s="41">
        <f>$B$12</f>
        <v>46296</v>
      </c>
      <c r="C244" s="42" t="str">
        <f>IF(OR($B244="",$A244&gt;$B$9),"",IF(COUNTIFS(BD!$B$3:$B$5001,C$243,BD!$A$3:$A$5001,"&gt;="&amp;$C$7,BD!$A$3:$A$5001,"&lt;="&amp;$B244,BD!$Z$3:$Z$5001,"&lt;&gt;")=0,"",SUMIFS(BD!$Z$3:$Z$5001,BD!$B$3:$B$5001,C$243,BD!$A$3:$A$5001,_xlfn.MAXIFS(BD!$A$3:$A$5001,BD!$B$3:$B$5001,C$243,BD!$A$3:$A$5001,"&gt;="&amp;$C$7,BD!$A$3:$A$5001,"&lt;="&amp;$B244,BD!$Z$3:$Z$5001,"&lt;&gt;"))))</f>
        <v/>
      </c>
      <c r="D244" s="42" t="str">
        <f>IF(OR($B244="",$A244&gt;$B$9),"",IF(COUNTIFS(BD!$B$3:$B$5001,D$243,BD!$A$3:$A$5001,"&gt;="&amp;$C$7,BD!$A$3:$A$5001,"&lt;="&amp;$B244,BD!$Z$3:$Z$5001,"&lt;&gt;")=0,"",SUMIFS(BD!$Z$3:$Z$5001,BD!$B$3:$B$5001,D$243,BD!$A$3:$A$5001,_xlfn.MAXIFS(BD!$A$3:$A$5001,BD!$B$3:$B$5001,D$243,BD!$A$3:$A$5001,"&gt;="&amp;$C$7,BD!$A$3:$A$5001,"&lt;="&amp;$B244,BD!$Z$3:$Z$5001,"&lt;&gt;"))))</f>
        <v/>
      </c>
      <c r="E244" s="42" t="str">
        <f>IF(OR($B244="",$A244&gt;$B$9),"",IF(COUNTIFS(BD!$B$3:$B$5001,E$243,BD!$A$3:$A$5001,"&gt;="&amp;$C$7,BD!$A$3:$A$5001,"&lt;="&amp;$B244,BD!$Z$3:$Z$5001,"&lt;&gt;")=0,"",SUMIFS(BD!$Z$3:$Z$5001,BD!$B$3:$B$5001,E$243,BD!$A$3:$A$5001,_xlfn.MAXIFS(BD!$A$3:$A$5001,BD!$B$3:$B$5001,E$243,BD!$A$3:$A$5001,"&gt;="&amp;$C$7,BD!$A$3:$A$5001,"&lt;="&amp;$B244,BD!$Z$3:$Z$5001,"&lt;&gt;"))))</f>
        <v/>
      </c>
      <c r="F244" s="42" t="str">
        <f>IF(OR($B244="",$A244&gt;$B$9),"",IF(COUNTIFS(BD!$B$3:$B$5001,F$243,BD!$A$3:$A$5001,"&gt;="&amp;$C$7,BD!$A$3:$A$5001,"&lt;="&amp;$B244,BD!$Z$3:$Z$5001,"&lt;&gt;")=0,"",SUMIFS(BD!$Z$3:$Z$5001,BD!$B$3:$B$5001,F$243,BD!$A$3:$A$5001,_xlfn.MAXIFS(BD!$A$3:$A$5001,BD!$B$3:$B$5001,F$243,BD!$A$3:$A$5001,"&gt;="&amp;$C$7,BD!$A$3:$A$5001,"&lt;="&amp;$B244,BD!$Z$3:$Z$5001,"&lt;&gt;"))))</f>
        <v/>
      </c>
      <c r="G244" s="42" t="str">
        <f>IF(OR($B244="",$A244&gt;$B$9),"",IF(COUNTIFS(BD!$B$3:$B$5001,G$243,BD!$A$3:$A$5001,"&gt;="&amp;$C$7,BD!$A$3:$A$5001,"&lt;="&amp;$B244,BD!$Z$3:$Z$5001,"&lt;&gt;")=0,"",SUMIFS(BD!$Z$3:$Z$5001,BD!$B$3:$B$5001,G$243,BD!$A$3:$A$5001,_xlfn.MAXIFS(BD!$A$3:$A$5001,BD!$B$3:$B$5001,G$243,BD!$A$3:$A$5001,"&gt;="&amp;$C$7,BD!$A$3:$A$5001,"&lt;="&amp;$B244,BD!$Z$3:$Z$5001,"&lt;&gt;"))))</f>
        <v/>
      </c>
      <c r="H244" s="42" t="str">
        <f>IF(OR($B244="",$A244&gt;$B$9),"",IF(COUNTIFS(BD!$B$3:$B$5001,H$243,BD!$A$3:$A$5001,"&gt;="&amp;$C$7,BD!$A$3:$A$5001,"&lt;="&amp;$B244,BD!$Z$3:$Z$5001,"&lt;&gt;")=0,"",SUMIFS(BD!$Z$3:$Z$5001,BD!$B$3:$B$5001,H$243,BD!$A$3:$A$5001,_xlfn.MAXIFS(BD!$A$3:$A$5001,BD!$B$3:$B$5001,H$243,BD!$A$3:$A$5001,"&gt;="&amp;$C$7,BD!$A$3:$A$5001,"&lt;="&amp;$B244,BD!$Z$3:$Z$5001,"&lt;&gt;"))))</f>
        <v/>
      </c>
      <c r="I244" s="42" t="str">
        <f>IF(OR($B244="",$A244&gt;$B$9),"",IF(COUNTIFS(BD!$B$3:$B$5001,I$243,BD!$A$3:$A$5001,"&gt;="&amp;$C$7,BD!$A$3:$A$5001,"&lt;="&amp;$B244,BD!$Z$3:$Z$5001,"&lt;&gt;")=0,"",SUMIFS(BD!$Z$3:$Z$5001,BD!$B$3:$B$5001,I$243,BD!$A$3:$A$5001,_xlfn.MAXIFS(BD!$A$3:$A$5001,BD!$B$3:$B$5001,I$243,BD!$A$3:$A$5001,"&gt;="&amp;$C$7,BD!$A$3:$A$5001,"&lt;="&amp;$B244,BD!$Z$3:$Z$5001,"&lt;&gt;"))))</f>
        <v/>
      </c>
      <c r="J244" s="42" t="str">
        <f>IF(OR($B244="",$A244&gt;$B$9),"",IF(COUNTIFS(BD!$B$3:$B$5001,J$243,BD!$A$3:$A$5001,"&gt;="&amp;$C$7,BD!$A$3:$A$5001,"&lt;="&amp;$B244,BD!$Z$3:$Z$5001,"&lt;&gt;")=0,"",SUMIFS(BD!$Z$3:$Z$5001,BD!$B$3:$B$5001,J$243,BD!$A$3:$A$5001,_xlfn.MAXIFS(BD!$A$3:$A$5001,BD!$B$3:$B$5001,J$243,BD!$A$3:$A$5001,"&gt;="&amp;$C$7,BD!$A$3:$A$5001,"&lt;="&amp;$B244,BD!$Z$3:$Z$5001,"&lt;&gt;"))))</f>
        <v/>
      </c>
      <c r="K244" s="42" t="str">
        <f>IF(OR($B244="",$A244&gt;$B$9),"",IF(COUNTIFS(BD!$B$3:$B$5001,K$243,BD!$A$3:$A$5001,"&gt;="&amp;$C$7,BD!$A$3:$A$5001,"&lt;="&amp;$B244,BD!$Z$3:$Z$5001,"&lt;&gt;")=0,"",SUMIFS(BD!$Z$3:$Z$5001,BD!$B$3:$B$5001,K$243,BD!$A$3:$A$5001,_xlfn.MAXIFS(BD!$A$3:$A$5001,BD!$B$3:$B$5001,K$243,BD!$A$3:$A$5001,"&gt;="&amp;$C$7,BD!$A$3:$A$5001,"&lt;="&amp;$B244,BD!$Z$3:$Z$5001,"&lt;&gt;"))))</f>
        <v/>
      </c>
      <c r="L244" s="42" t="str">
        <f>IF(OR($B244="",$A244&gt;$B$9),"",IF(COUNTIFS(BD!$B$3:$B$5001,L$243,BD!$A$3:$A$5001,"&gt;="&amp;$C$7,BD!$A$3:$A$5001,"&lt;="&amp;$B244,BD!$Z$3:$Z$5001,"&lt;&gt;")=0,"",SUMIFS(BD!$Z$3:$Z$5001,BD!$B$3:$B$5001,L$243,BD!$A$3:$A$5001,_xlfn.MAXIFS(BD!$A$3:$A$5001,BD!$B$3:$B$5001,L$243,BD!$A$3:$A$5001,"&gt;="&amp;$C$7,BD!$A$3:$A$5001,"&lt;="&amp;$B244,BD!$Z$3:$Z$5001,"&lt;&gt;"))))</f>
        <v/>
      </c>
    </row>
    <row r="245">
      <c r="A245" s="40">
        <v>2</v>
      </c>
      <c r="B245" s="41">
        <f>$B$13</f>
        <v>46297</v>
      </c>
      <c r="C245" s="42" t="str">
        <f>IF(OR($B245="",$A245&gt;$B$9),"",IF(COUNTIFS(BD!$B$3:$B$5001,C$243,BD!$A$3:$A$5001,"&gt;="&amp;$C$7,BD!$A$3:$A$5001,"&lt;="&amp;$B245,BD!$Z$3:$Z$5001,"&lt;&gt;")=0,"",SUMIFS(BD!$Z$3:$Z$5001,BD!$B$3:$B$5001,C$243,BD!$A$3:$A$5001,_xlfn.MAXIFS(BD!$A$3:$A$5001,BD!$B$3:$B$5001,C$243,BD!$A$3:$A$5001,"&gt;="&amp;$C$7,BD!$A$3:$A$5001,"&lt;="&amp;$B245,BD!$Z$3:$Z$5001,"&lt;&gt;"))))</f>
        <v/>
      </c>
      <c r="D245" s="42" t="str">
        <f>IF(OR($B245="",$A245&gt;$B$9),"",IF(COUNTIFS(BD!$B$3:$B$5001,D$243,BD!$A$3:$A$5001,"&gt;="&amp;$C$7,BD!$A$3:$A$5001,"&lt;="&amp;$B245,BD!$Z$3:$Z$5001,"&lt;&gt;")=0,"",SUMIFS(BD!$Z$3:$Z$5001,BD!$B$3:$B$5001,D$243,BD!$A$3:$A$5001,_xlfn.MAXIFS(BD!$A$3:$A$5001,BD!$B$3:$B$5001,D$243,BD!$A$3:$A$5001,"&gt;="&amp;$C$7,BD!$A$3:$A$5001,"&lt;="&amp;$B245,BD!$Z$3:$Z$5001,"&lt;&gt;"))))</f>
        <v/>
      </c>
      <c r="E245" s="42" t="str">
        <f>IF(OR($B245="",$A245&gt;$B$9),"",IF(COUNTIFS(BD!$B$3:$B$5001,E$243,BD!$A$3:$A$5001,"&gt;="&amp;$C$7,BD!$A$3:$A$5001,"&lt;="&amp;$B245,BD!$Z$3:$Z$5001,"&lt;&gt;")=0,"",SUMIFS(BD!$Z$3:$Z$5001,BD!$B$3:$B$5001,E$243,BD!$A$3:$A$5001,_xlfn.MAXIFS(BD!$A$3:$A$5001,BD!$B$3:$B$5001,E$243,BD!$A$3:$A$5001,"&gt;="&amp;$C$7,BD!$A$3:$A$5001,"&lt;="&amp;$B245,BD!$Z$3:$Z$5001,"&lt;&gt;"))))</f>
        <v/>
      </c>
      <c r="F245" s="42" t="str">
        <f>IF(OR($B245="",$A245&gt;$B$9),"",IF(COUNTIFS(BD!$B$3:$B$5001,F$243,BD!$A$3:$A$5001,"&gt;="&amp;$C$7,BD!$A$3:$A$5001,"&lt;="&amp;$B245,BD!$Z$3:$Z$5001,"&lt;&gt;")=0,"",SUMIFS(BD!$Z$3:$Z$5001,BD!$B$3:$B$5001,F$243,BD!$A$3:$A$5001,_xlfn.MAXIFS(BD!$A$3:$A$5001,BD!$B$3:$B$5001,F$243,BD!$A$3:$A$5001,"&gt;="&amp;$C$7,BD!$A$3:$A$5001,"&lt;="&amp;$B245,BD!$Z$3:$Z$5001,"&lt;&gt;"))))</f>
        <v/>
      </c>
      <c r="G245" s="42" t="str">
        <f>IF(OR($B245="",$A245&gt;$B$9),"",IF(COUNTIFS(BD!$B$3:$B$5001,G$243,BD!$A$3:$A$5001,"&gt;="&amp;$C$7,BD!$A$3:$A$5001,"&lt;="&amp;$B245,BD!$Z$3:$Z$5001,"&lt;&gt;")=0,"",SUMIFS(BD!$Z$3:$Z$5001,BD!$B$3:$B$5001,G$243,BD!$A$3:$A$5001,_xlfn.MAXIFS(BD!$A$3:$A$5001,BD!$B$3:$B$5001,G$243,BD!$A$3:$A$5001,"&gt;="&amp;$C$7,BD!$A$3:$A$5001,"&lt;="&amp;$B245,BD!$Z$3:$Z$5001,"&lt;&gt;"))))</f>
        <v/>
      </c>
      <c r="H245" s="42" t="str">
        <f>IF(OR($B245="",$A245&gt;$B$9),"",IF(COUNTIFS(BD!$B$3:$B$5001,H$243,BD!$A$3:$A$5001,"&gt;="&amp;$C$7,BD!$A$3:$A$5001,"&lt;="&amp;$B245,BD!$Z$3:$Z$5001,"&lt;&gt;")=0,"",SUMIFS(BD!$Z$3:$Z$5001,BD!$B$3:$B$5001,H$243,BD!$A$3:$A$5001,_xlfn.MAXIFS(BD!$A$3:$A$5001,BD!$B$3:$B$5001,H$243,BD!$A$3:$A$5001,"&gt;="&amp;$C$7,BD!$A$3:$A$5001,"&lt;="&amp;$B245,BD!$Z$3:$Z$5001,"&lt;&gt;"))))</f>
        <v/>
      </c>
      <c r="I245" s="42" t="str">
        <f>IF(OR($B245="",$A245&gt;$B$9),"",IF(COUNTIFS(BD!$B$3:$B$5001,I$243,BD!$A$3:$A$5001,"&gt;="&amp;$C$7,BD!$A$3:$A$5001,"&lt;="&amp;$B245,BD!$Z$3:$Z$5001,"&lt;&gt;")=0,"",SUMIFS(BD!$Z$3:$Z$5001,BD!$B$3:$B$5001,I$243,BD!$A$3:$A$5001,_xlfn.MAXIFS(BD!$A$3:$A$5001,BD!$B$3:$B$5001,I$243,BD!$A$3:$A$5001,"&gt;="&amp;$C$7,BD!$A$3:$A$5001,"&lt;="&amp;$B245,BD!$Z$3:$Z$5001,"&lt;&gt;"))))</f>
        <v/>
      </c>
      <c r="J245" s="42" t="str">
        <f>IF(OR($B245="",$A245&gt;$B$9),"",IF(COUNTIFS(BD!$B$3:$B$5001,J$243,BD!$A$3:$A$5001,"&gt;="&amp;$C$7,BD!$A$3:$A$5001,"&lt;="&amp;$B245,BD!$Z$3:$Z$5001,"&lt;&gt;")=0,"",SUMIFS(BD!$Z$3:$Z$5001,BD!$B$3:$B$5001,J$243,BD!$A$3:$A$5001,_xlfn.MAXIFS(BD!$A$3:$A$5001,BD!$B$3:$B$5001,J$243,BD!$A$3:$A$5001,"&gt;="&amp;$C$7,BD!$A$3:$A$5001,"&lt;="&amp;$B245,BD!$Z$3:$Z$5001,"&lt;&gt;"))))</f>
        <v/>
      </c>
      <c r="K245" s="42" t="str">
        <f>IF(OR($B245="",$A245&gt;$B$9),"",IF(COUNTIFS(BD!$B$3:$B$5001,K$243,BD!$A$3:$A$5001,"&gt;="&amp;$C$7,BD!$A$3:$A$5001,"&lt;="&amp;$B245,BD!$Z$3:$Z$5001,"&lt;&gt;")=0,"",SUMIFS(BD!$Z$3:$Z$5001,BD!$B$3:$B$5001,K$243,BD!$A$3:$A$5001,_xlfn.MAXIFS(BD!$A$3:$A$5001,BD!$B$3:$B$5001,K$243,BD!$A$3:$A$5001,"&gt;="&amp;$C$7,BD!$A$3:$A$5001,"&lt;="&amp;$B245,BD!$Z$3:$Z$5001,"&lt;&gt;"))))</f>
        <v/>
      </c>
      <c r="L245" s="42" t="str">
        <f>IF(OR($B245="",$A245&gt;$B$9),"",IF(COUNTIFS(BD!$B$3:$B$5001,L$243,BD!$A$3:$A$5001,"&gt;="&amp;$C$7,BD!$A$3:$A$5001,"&lt;="&amp;$B245,BD!$Z$3:$Z$5001,"&lt;&gt;")=0,"",SUMIFS(BD!$Z$3:$Z$5001,BD!$B$3:$B$5001,L$243,BD!$A$3:$A$5001,_xlfn.MAXIFS(BD!$A$3:$A$5001,BD!$B$3:$B$5001,L$243,BD!$A$3:$A$5001,"&gt;="&amp;$C$7,BD!$A$3:$A$5001,"&lt;="&amp;$B245,BD!$Z$3:$Z$5001,"&lt;&gt;"))))</f>
        <v/>
      </c>
    </row>
    <row r="246">
      <c r="A246" s="40">
        <v>3</v>
      </c>
      <c r="B246" s="41">
        <f>$B$14</f>
        <v>46298</v>
      </c>
      <c r="C246" s="42" t="str">
        <f>IF(OR($B246="",$A246&gt;$B$9),"",IF(COUNTIFS(BD!$B$3:$B$5001,C$243,BD!$A$3:$A$5001,"&gt;="&amp;$C$7,BD!$A$3:$A$5001,"&lt;="&amp;$B246,BD!$Z$3:$Z$5001,"&lt;&gt;")=0,"",SUMIFS(BD!$Z$3:$Z$5001,BD!$B$3:$B$5001,C$243,BD!$A$3:$A$5001,_xlfn.MAXIFS(BD!$A$3:$A$5001,BD!$B$3:$B$5001,C$243,BD!$A$3:$A$5001,"&gt;="&amp;$C$7,BD!$A$3:$A$5001,"&lt;="&amp;$B246,BD!$Z$3:$Z$5001,"&lt;&gt;"))))</f>
        <v/>
      </c>
      <c r="D246" s="42" t="str">
        <f>IF(OR($B246="",$A246&gt;$B$9),"",IF(COUNTIFS(BD!$B$3:$B$5001,D$243,BD!$A$3:$A$5001,"&gt;="&amp;$C$7,BD!$A$3:$A$5001,"&lt;="&amp;$B246,BD!$Z$3:$Z$5001,"&lt;&gt;")=0,"",SUMIFS(BD!$Z$3:$Z$5001,BD!$B$3:$B$5001,D$243,BD!$A$3:$A$5001,_xlfn.MAXIFS(BD!$A$3:$A$5001,BD!$B$3:$B$5001,D$243,BD!$A$3:$A$5001,"&gt;="&amp;$C$7,BD!$A$3:$A$5001,"&lt;="&amp;$B246,BD!$Z$3:$Z$5001,"&lt;&gt;"))))</f>
        <v/>
      </c>
      <c r="E246" s="42" t="str">
        <f>IF(OR($B246="",$A246&gt;$B$9),"",IF(COUNTIFS(BD!$B$3:$B$5001,E$243,BD!$A$3:$A$5001,"&gt;="&amp;$C$7,BD!$A$3:$A$5001,"&lt;="&amp;$B246,BD!$Z$3:$Z$5001,"&lt;&gt;")=0,"",SUMIFS(BD!$Z$3:$Z$5001,BD!$B$3:$B$5001,E$243,BD!$A$3:$A$5001,_xlfn.MAXIFS(BD!$A$3:$A$5001,BD!$B$3:$B$5001,E$243,BD!$A$3:$A$5001,"&gt;="&amp;$C$7,BD!$A$3:$A$5001,"&lt;="&amp;$B246,BD!$Z$3:$Z$5001,"&lt;&gt;"))))</f>
        <v/>
      </c>
      <c r="F246" s="42" t="str">
        <f>IF(OR($B246="",$A246&gt;$B$9),"",IF(COUNTIFS(BD!$B$3:$B$5001,F$243,BD!$A$3:$A$5001,"&gt;="&amp;$C$7,BD!$A$3:$A$5001,"&lt;="&amp;$B246,BD!$Z$3:$Z$5001,"&lt;&gt;")=0,"",SUMIFS(BD!$Z$3:$Z$5001,BD!$B$3:$B$5001,F$243,BD!$A$3:$A$5001,_xlfn.MAXIFS(BD!$A$3:$A$5001,BD!$B$3:$B$5001,F$243,BD!$A$3:$A$5001,"&gt;="&amp;$C$7,BD!$A$3:$A$5001,"&lt;="&amp;$B246,BD!$Z$3:$Z$5001,"&lt;&gt;"))))</f>
        <v/>
      </c>
      <c r="G246" s="42" t="str">
        <f>IF(OR($B246="",$A246&gt;$B$9),"",IF(COUNTIFS(BD!$B$3:$B$5001,G$243,BD!$A$3:$A$5001,"&gt;="&amp;$C$7,BD!$A$3:$A$5001,"&lt;="&amp;$B246,BD!$Z$3:$Z$5001,"&lt;&gt;")=0,"",SUMIFS(BD!$Z$3:$Z$5001,BD!$B$3:$B$5001,G$243,BD!$A$3:$A$5001,_xlfn.MAXIFS(BD!$A$3:$A$5001,BD!$B$3:$B$5001,G$243,BD!$A$3:$A$5001,"&gt;="&amp;$C$7,BD!$A$3:$A$5001,"&lt;="&amp;$B246,BD!$Z$3:$Z$5001,"&lt;&gt;"))))</f>
        <v/>
      </c>
      <c r="H246" s="42" t="str">
        <f>IF(OR($B246="",$A246&gt;$B$9),"",IF(COUNTIFS(BD!$B$3:$B$5001,H$243,BD!$A$3:$A$5001,"&gt;="&amp;$C$7,BD!$A$3:$A$5001,"&lt;="&amp;$B246,BD!$Z$3:$Z$5001,"&lt;&gt;")=0,"",SUMIFS(BD!$Z$3:$Z$5001,BD!$B$3:$B$5001,H$243,BD!$A$3:$A$5001,_xlfn.MAXIFS(BD!$A$3:$A$5001,BD!$B$3:$B$5001,H$243,BD!$A$3:$A$5001,"&gt;="&amp;$C$7,BD!$A$3:$A$5001,"&lt;="&amp;$B246,BD!$Z$3:$Z$5001,"&lt;&gt;"))))</f>
        <v/>
      </c>
      <c r="I246" s="42" t="str">
        <f>IF(OR($B246="",$A246&gt;$B$9),"",IF(COUNTIFS(BD!$B$3:$B$5001,I$243,BD!$A$3:$A$5001,"&gt;="&amp;$C$7,BD!$A$3:$A$5001,"&lt;="&amp;$B246,BD!$Z$3:$Z$5001,"&lt;&gt;")=0,"",SUMIFS(BD!$Z$3:$Z$5001,BD!$B$3:$B$5001,I$243,BD!$A$3:$A$5001,_xlfn.MAXIFS(BD!$A$3:$A$5001,BD!$B$3:$B$5001,I$243,BD!$A$3:$A$5001,"&gt;="&amp;$C$7,BD!$A$3:$A$5001,"&lt;="&amp;$B246,BD!$Z$3:$Z$5001,"&lt;&gt;"))))</f>
        <v/>
      </c>
      <c r="J246" s="42" t="str">
        <f>IF(OR($B246="",$A246&gt;$B$9),"",IF(COUNTIFS(BD!$B$3:$B$5001,J$243,BD!$A$3:$A$5001,"&gt;="&amp;$C$7,BD!$A$3:$A$5001,"&lt;="&amp;$B246,BD!$Z$3:$Z$5001,"&lt;&gt;")=0,"",SUMIFS(BD!$Z$3:$Z$5001,BD!$B$3:$B$5001,J$243,BD!$A$3:$A$5001,_xlfn.MAXIFS(BD!$A$3:$A$5001,BD!$B$3:$B$5001,J$243,BD!$A$3:$A$5001,"&gt;="&amp;$C$7,BD!$A$3:$A$5001,"&lt;="&amp;$B246,BD!$Z$3:$Z$5001,"&lt;&gt;"))))</f>
        <v/>
      </c>
      <c r="K246" s="42" t="str">
        <f>IF(OR($B246="",$A246&gt;$B$9),"",IF(COUNTIFS(BD!$B$3:$B$5001,K$243,BD!$A$3:$A$5001,"&gt;="&amp;$C$7,BD!$A$3:$A$5001,"&lt;="&amp;$B246,BD!$Z$3:$Z$5001,"&lt;&gt;")=0,"",SUMIFS(BD!$Z$3:$Z$5001,BD!$B$3:$B$5001,K$243,BD!$A$3:$A$5001,_xlfn.MAXIFS(BD!$A$3:$A$5001,BD!$B$3:$B$5001,K$243,BD!$A$3:$A$5001,"&gt;="&amp;$C$7,BD!$A$3:$A$5001,"&lt;="&amp;$B246,BD!$Z$3:$Z$5001,"&lt;&gt;"))))</f>
        <v/>
      </c>
      <c r="L246" s="42" t="str">
        <f>IF(OR($B246="",$A246&gt;$B$9),"",IF(COUNTIFS(BD!$B$3:$B$5001,L$243,BD!$A$3:$A$5001,"&gt;="&amp;$C$7,BD!$A$3:$A$5001,"&lt;="&amp;$B246,BD!$Z$3:$Z$5001,"&lt;&gt;")=0,"",SUMIFS(BD!$Z$3:$Z$5001,BD!$B$3:$B$5001,L$243,BD!$A$3:$A$5001,_xlfn.MAXIFS(BD!$A$3:$A$5001,BD!$B$3:$B$5001,L$243,BD!$A$3:$A$5001,"&gt;="&amp;$C$7,BD!$A$3:$A$5001,"&lt;="&amp;$B246,BD!$Z$3:$Z$5001,"&lt;&gt;"))))</f>
        <v/>
      </c>
    </row>
    <row r="247">
      <c r="A247" s="40">
        <v>4</v>
      </c>
      <c r="B247" s="41">
        <f>$B$15</f>
        <v>46299</v>
      </c>
      <c r="C247" s="42" t="str">
        <f>IF(OR($B247="",$A247&gt;$B$9),"",IF(COUNTIFS(BD!$B$3:$B$5001,C$243,BD!$A$3:$A$5001,"&gt;="&amp;$C$7,BD!$A$3:$A$5001,"&lt;="&amp;$B247,BD!$Z$3:$Z$5001,"&lt;&gt;")=0,"",SUMIFS(BD!$Z$3:$Z$5001,BD!$B$3:$B$5001,C$243,BD!$A$3:$A$5001,_xlfn.MAXIFS(BD!$A$3:$A$5001,BD!$B$3:$B$5001,C$243,BD!$A$3:$A$5001,"&gt;="&amp;$C$7,BD!$A$3:$A$5001,"&lt;="&amp;$B247,BD!$Z$3:$Z$5001,"&lt;&gt;"))))</f>
        <v/>
      </c>
      <c r="D247" s="42" t="str">
        <f>IF(OR($B247="",$A247&gt;$B$9),"",IF(COUNTIFS(BD!$B$3:$B$5001,D$243,BD!$A$3:$A$5001,"&gt;="&amp;$C$7,BD!$A$3:$A$5001,"&lt;="&amp;$B247,BD!$Z$3:$Z$5001,"&lt;&gt;")=0,"",SUMIFS(BD!$Z$3:$Z$5001,BD!$B$3:$B$5001,D$243,BD!$A$3:$A$5001,_xlfn.MAXIFS(BD!$A$3:$A$5001,BD!$B$3:$B$5001,D$243,BD!$A$3:$A$5001,"&gt;="&amp;$C$7,BD!$A$3:$A$5001,"&lt;="&amp;$B247,BD!$Z$3:$Z$5001,"&lt;&gt;"))))</f>
        <v/>
      </c>
      <c r="E247" s="42" t="str">
        <f>IF(OR($B247="",$A247&gt;$B$9),"",IF(COUNTIFS(BD!$B$3:$B$5001,E$243,BD!$A$3:$A$5001,"&gt;="&amp;$C$7,BD!$A$3:$A$5001,"&lt;="&amp;$B247,BD!$Z$3:$Z$5001,"&lt;&gt;")=0,"",SUMIFS(BD!$Z$3:$Z$5001,BD!$B$3:$B$5001,E$243,BD!$A$3:$A$5001,_xlfn.MAXIFS(BD!$A$3:$A$5001,BD!$B$3:$B$5001,E$243,BD!$A$3:$A$5001,"&gt;="&amp;$C$7,BD!$A$3:$A$5001,"&lt;="&amp;$B247,BD!$Z$3:$Z$5001,"&lt;&gt;"))))</f>
        <v/>
      </c>
      <c r="F247" s="42" t="str">
        <f>IF(OR($B247="",$A247&gt;$B$9),"",IF(COUNTIFS(BD!$B$3:$B$5001,F$243,BD!$A$3:$A$5001,"&gt;="&amp;$C$7,BD!$A$3:$A$5001,"&lt;="&amp;$B247,BD!$Z$3:$Z$5001,"&lt;&gt;")=0,"",SUMIFS(BD!$Z$3:$Z$5001,BD!$B$3:$B$5001,F$243,BD!$A$3:$A$5001,_xlfn.MAXIFS(BD!$A$3:$A$5001,BD!$B$3:$B$5001,F$243,BD!$A$3:$A$5001,"&gt;="&amp;$C$7,BD!$A$3:$A$5001,"&lt;="&amp;$B247,BD!$Z$3:$Z$5001,"&lt;&gt;"))))</f>
        <v/>
      </c>
      <c r="G247" s="42" t="str">
        <f>IF(OR($B247="",$A247&gt;$B$9),"",IF(COUNTIFS(BD!$B$3:$B$5001,G$243,BD!$A$3:$A$5001,"&gt;="&amp;$C$7,BD!$A$3:$A$5001,"&lt;="&amp;$B247,BD!$Z$3:$Z$5001,"&lt;&gt;")=0,"",SUMIFS(BD!$Z$3:$Z$5001,BD!$B$3:$B$5001,G$243,BD!$A$3:$A$5001,_xlfn.MAXIFS(BD!$A$3:$A$5001,BD!$B$3:$B$5001,G$243,BD!$A$3:$A$5001,"&gt;="&amp;$C$7,BD!$A$3:$A$5001,"&lt;="&amp;$B247,BD!$Z$3:$Z$5001,"&lt;&gt;"))))</f>
        <v/>
      </c>
      <c r="H247" s="42" t="str">
        <f>IF(OR($B247="",$A247&gt;$B$9),"",IF(COUNTIFS(BD!$B$3:$B$5001,H$243,BD!$A$3:$A$5001,"&gt;="&amp;$C$7,BD!$A$3:$A$5001,"&lt;="&amp;$B247,BD!$Z$3:$Z$5001,"&lt;&gt;")=0,"",SUMIFS(BD!$Z$3:$Z$5001,BD!$B$3:$B$5001,H$243,BD!$A$3:$A$5001,_xlfn.MAXIFS(BD!$A$3:$A$5001,BD!$B$3:$B$5001,H$243,BD!$A$3:$A$5001,"&gt;="&amp;$C$7,BD!$A$3:$A$5001,"&lt;="&amp;$B247,BD!$Z$3:$Z$5001,"&lt;&gt;"))))</f>
        <v/>
      </c>
      <c r="I247" s="42" t="str">
        <f>IF(OR($B247="",$A247&gt;$B$9),"",IF(COUNTIFS(BD!$B$3:$B$5001,I$243,BD!$A$3:$A$5001,"&gt;="&amp;$C$7,BD!$A$3:$A$5001,"&lt;="&amp;$B247,BD!$Z$3:$Z$5001,"&lt;&gt;")=0,"",SUMIFS(BD!$Z$3:$Z$5001,BD!$B$3:$B$5001,I$243,BD!$A$3:$A$5001,_xlfn.MAXIFS(BD!$A$3:$A$5001,BD!$B$3:$B$5001,I$243,BD!$A$3:$A$5001,"&gt;="&amp;$C$7,BD!$A$3:$A$5001,"&lt;="&amp;$B247,BD!$Z$3:$Z$5001,"&lt;&gt;"))))</f>
        <v/>
      </c>
      <c r="J247" s="42" t="str">
        <f>IF(OR($B247="",$A247&gt;$B$9),"",IF(COUNTIFS(BD!$B$3:$B$5001,J$243,BD!$A$3:$A$5001,"&gt;="&amp;$C$7,BD!$A$3:$A$5001,"&lt;="&amp;$B247,BD!$Z$3:$Z$5001,"&lt;&gt;")=0,"",SUMIFS(BD!$Z$3:$Z$5001,BD!$B$3:$B$5001,J$243,BD!$A$3:$A$5001,_xlfn.MAXIFS(BD!$A$3:$A$5001,BD!$B$3:$B$5001,J$243,BD!$A$3:$A$5001,"&gt;="&amp;$C$7,BD!$A$3:$A$5001,"&lt;="&amp;$B247,BD!$Z$3:$Z$5001,"&lt;&gt;"))))</f>
        <v/>
      </c>
      <c r="K247" s="42" t="str">
        <f>IF(OR($B247="",$A247&gt;$B$9),"",IF(COUNTIFS(BD!$B$3:$B$5001,K$243,BD!$A$3:$A$5001,"&gt;="&amp;$C$7,BD!$A$3:$A$5001,"&lt;="&amp;$B247,BD!$Z$3:$Z$5001,"&lt;&gt;")=0,"",SUMIFS(BD!$Z$3:$Z$5001,BD!$B$3:$B$5001,K$243,BD!$A$3:$A$5001,_xlfn.MAXIFS(BD!$A$3:$A$5001,BD!$B$3:$B$5001,K$243,BD!$A$3:$A$5001,"&gt;="&amp;$C$7,BD!$A$3:$A$5001,"&lt;="&amp;$B247,BD!$Z$3:$Z$5001,"&lt;&gt;"))))</f>
        <v/>
      </c>
      <c r="L247" s="42" t="str">
        <f>IF(OR($B247="",$A247&gt;$B$9),"",IF(COUNTIFS(BD!$B$3:$B$5001,L$243,BD!$A$3:$A$5001,"&gt;="&amp;$C$7,BD!$A$3:$A$5001,"&lt;="&amp;$B247,BD!$Z$3:$Z$5001,"&lt;&gt;")=0,"",SUMIFS(BD!$Z$3:$Z$5001,BD!$B$3:$B$5001,L$243,BD!$A$3:$A$5001,_xlfn.MAXIFS(BD!$A$3:$A$5001,BD!$B$3:$B$5001,L$243,BD!$A$3:$A$5001,"&gt;="&amp;$C$7,BD!$A$3:$A$5001,"&lt;="&amp;$B247,BD!$Z$3:$Z$5001,"&lt;&gt;"))))</f>
        <v/>
      </c>
    </row>
    <row r="248">
      <c r="A248" s="40">
        <v>5</v>
      </c>
      <c r="B248" s="41">
        <f>$B$16</f>
        <v>46300</v>
      </c>
      <c r="C248" s="42" t="str">
        <f>IF(OR($B248="",$A248&gt;$B$9),"",IF(COUNTIFS(BD!$B$3:$B$5001,C$243,BD!$A$3:$A$5001,"&gt;="&amp;$C$7,BD!$A$3:$A$5001,"&lt;="&amp;$B248,BD!$Z$3:$Z$5001,"&lt;&gt;")=0,"",SUMIFS(BD!$Z$3:$Z$5001,BD!$B$3:$B$5001,C$243,BD!$A$3:$A$5001,_xlfn.MAXIFS(BD!$A$3:$A$5001,BD!$B$3:$B$5001,C$243,BD!$A$3:$A$5001,"&gt;="&amp;$C$7,BD!$A$3:$A$5001,"&lt;="&amp;$B248,BD!$Z$3:$Z$5001,"&lt;&gt;"))))</f>
        <v/>
      </c>
      <c r="D248" s="42" t="str">
        <f>IF(OR($B248="",$A248&gt;$B$9),"",IF(COUNTIFS(BD!$B$3:$B$5001,D$243,BD!$A$3:$A$5001,"&gt;="&amp;$C$7,BD!$A$3:$A$5001,"&lt;="&amp;$B248,BD!$Z$3:$Z$5001,"&lt;&gt;")=0,"",SUMIFS(BD!$Z$3:$Z$5001,BD!$B$3:$B$5001,D$243,BD!$A$3:$A$5001,_xlfn.MAXIFS(BD!$A$3:$A$5001,BD!$B$3:$B$5001,D$243,BD!$A$3:$A$5001,"&gt;="&amp;$C$7,BD!$A$3:$A$5001,"&lt;="&amp;$B248,BD!$Z$3:$Z$5001,"&lt;&gt;"))))</f>
        <v/>
      </c>
      <c r="E248" s="42" t="str">
        <f>IF(OR($B248="",$A248&gt;$B$9),"",IF(COUNTIFS(BD!$B$3:$B$5001,E$243,BD!$A$3:$A$5001,"&gt;="&amp;$C$7,BD!$A$3:$A$5001,"&lt;="&amp;$B248,BD!$Z$3:$Z$5001,"&lt;&gt;")=0,"",SUMIFS(BD!$Z$3:$Z$5001,BD!$B$3:$B$5001,E$243,BD!$A$3:$A$5001,_xlfn.MAXIFS(BD!$A$3:$A$5001,BD!$B$3:$B$5001,E$243,BD!$A$3:$A$5001,"&gt;="&amp;$C$7,BD!$A$3:$A$5001,"&lt;="&amp;$B248,BD!$Z$3:$Z$5001,"&lt;&gt;"))))</f>
        <v/>
      </c>
      <c r="F248" s="42" t="str">
        <f>IF(OR($B248="",$A248&gt;$B$9),"",IF(COUNTIFS(BD!$B$3:$B$5001,F$243,BD!$A$3:$A$5001,"&gt;="&amp;$C$7,BD!$A$3:$A$5001,"&lt;="&amp;$B248,BD!$Z$3:$Z$5001,"&lt;&gt;")=0,"",SUMIFS(BD!$Z$3:$Z$5001,BD!$B$3:$B$5001,F$243,BD!$A$3:$A$5001,_xlfn.MAXIFS(BD!$A$3:$A$5001,BD!$B$3:$B$5001,F$243,BD!$A$3:$A$5001,"&gt;="&amp;$C$7,BD!$A$3:$A$5001,"&lt;="&amp;$B248,BD!$Z$3:$Z$5001,"&lt;&gt;"))))</f>
        <v/>
      </c>
      <c r="G248" s="42" t="str">
        <f>IF(OR($B248="",$A248&gt;$B$9),"",IF(COUNTIFS(BD!$B$3:$B$5001,G$243,BD!$A$3:$A$5001,"&gt;="&amp;$C$7,BD!$A$3:$A$5001,"&lt;="&amp;$B248,BD!$Z$3:$Z$5001,"&lt;&gt;")=0,"",SUMIFS(BD!$Z$3:$Z$5001,BD!$B$3:$B$5001,G$243,BD!$A$3:$A$5001,_xlfn.MAXIFS(BD!$A$3:$A$5001,BD!$B$3:$B$5001,G$243,BD!$A$3:$A$5001,"&gt;="&amp;$C$7,BD!$A$3:$A$5001,"&lt;="&amp;$B248,BD!$Z$3:$Z$5001,"&lt;&gt;"))))</f>
        <v/>
      </c>
      <c r="H248" s="42" t="str">
        <f>IF(OR($B248="",$A248&gt;$B$9),"",IF(COUNTIFS(BD!$B$3:$B$5001,H$243,BD!$A$3:$A$5001,"&gt;="&amp;$C$7,BD!$A$3:$A$5001,"&lt;="&amp;$B248,BD!$Z$3:$Z$5001,"&lt;&gt;")=0,"",SUMIFS(BD!$Z$3:$Z$5001,BD!$B$3:$B$5001,H$243,BD!$A$3:$A$5001,_xlfn.MAXIFS(BD!$A$3:$A$5001,BD!$B$3:$B$5001,H$243,BD!$A$3:$A$5001,"&gt;="&amp;$C$7,BD!$A$3:$A$5001,"&lt;="&amp;$B248,BD!$Z$3:$Z$5001,"&lt;&gt;"))))</f>
        <v/>
      </c>
      <c r="I248" s="42" t="str">
        <f>IF(OR($B248="",$A248&gt;$B$9),"",IF(COUNTIFS(BD!$B$3:$B$5001,I$243,BD!$A$3:$A$5001,"&gt;="&amp;$C$7,BD!$A$3:$A$5001,"&lt;="&amp;$B248,BD!$Z$3:$Z$5001,"&lt;&gt;")=0,"",SUMIFS(BD!$Z$3:$Z$5001,BD!$B$3:$B$5001,I$243,BD!$A$3:$A$5001,_xlfn.MAXIFS(BD!$A$3:$A$5001,BD!$B$3:$B$5001,I$243,BD!$A$3:$A$5001,"&gt;="&amp;$C$7,BD!$A$3:$A$5001,"&lt;="&amp;$B248,BD!$Z$3:$Z$5001,"&lt;&gt;"))))</f>
        <v/>
      </c>
      <c r="J248" s="42" t="str">
        <f>IF(OR($B248="",$A248&gt;$B$9),"",IF(COUNTIFS(BD!$B$3:$B$5001,J$243,BD!$A$3:$A$5001,"&gt;="&amp;$C$7,BD!$A$3:$A$5001,"&lt;="&amp;$B248,BD!$Z$3:$Z$5001,"&lt;&gt;")=0,"",SUMIFS(BD!$Z$3:$Z$5001,BD!$B$3:$B$5001,J$243,BD!$A$3:$A$5001,_xlfn.MAXIFS(BD!$A$3:$A$5001,BD!$B$3:$B$5001,J$243,BD!$A$3:$A$5001,"&gt;="&amp;$C$7,BD!$A$3:$A$5001,"&lt;="&amp;$B248,BD!$Z$3:$Z$5001,"&lt;&gt;"))))</f>
        <v/>
      </c>
      <c r="K248" s="42" t="str">
        <f>IF(OR($B248="",$A248&gt;$B$9),"",IF(COUNTIFS(BD!$B$3:$B$5001,K$243,BD!$A$3:$A$5001,"&gt;="&amp;$C$7,BD!$A$3:$A$5001,"&lt;="&amp;$B248,BD!$Z$3:$Z$5001,"&lt;&gt;")=0,"",SUMIFS(BD!$Z$3:$Z$5001,BD!$B$3:$B$5001,K$243,BD!$A$3:$A$5001,_xlfn.MAXIFS(BD!$A$3:$A$5001,BD!$B$3:$B$5001,K$243,BD!$A$3:$A$5001,"&gt;="&amp;$C$7,BD!$A$3:$A$5001,"&lt;="&amp;$B248,BD!$Z$3:$Z$5001,"&lt;&gt;"))))</f>
        <v/>
      </c>
      <c r="L248" s="42" t="str">
        <f>IF(OR($B248="",$A248&gt;$B$9),"",IF(COUNTIFS(BD!$B$3:$B$5001,L$243,BD!$A$3:$A$5001,"&gt;="&amp;$C$7,BD!$A$3:$A$5001,"&lt;="&amp;$B248,BD!$Z$3:$Z$5001,"&lt;&gt;")=0,"",SUMIFS(BD!$Z$3:$Z$5001,BD!$B$3:$B$5001,L$243,BD!$A$3:$A$5001,_xlfn.MAXIFS(BD!$A$3:$A$5001,BD!$B$3:$B$5001,L$243,BD!$A$3:$A$5001,"&gt;="&amp;$C$7,BD!$A$3:$A$5001,"&lt;="&amp;$B248,BD!$Z$3:$Z$5001,"&lt;&gt;"))))</f>
        <v/>
      </c>
    </row>
    <row r="249">
      <c r="A249" s="40">
        <v>6</v>
      </c>
      <c r="B249" s="41">
        <f>$B$17</f>
        <v>46301</v>
      </c>
      <c r="C249" s="42" t="str">
        <f>IF(OR($B249="",$A249&gt;$B$9),"",IF(COUNTIFS(BD!$B$3:$B$5001,C$243,BD!$A$3:$A$5001,"&gt;="&amp;$C$7,BD!$A$3:$A$5001,"&lt;="&amp;$B249,BD!$Z$3:$Z$5001,"&lt;&gt;")=0,"",SUMIFS(BD!$Z$3:$Z$5001,BD!$B$3:$B$5001,C$243,BD!$A$3:$A$5001,_xlfn.MAXIFS(BD!$A$3:$A$5001,BD!$B$3:$B$5001,C$243,BD!$A$3:$A$5001,"&gt;="&amp;$C$7,BD!$A$3:$A$5001,"&lt;="&amp;$B249,BD!$Z$3:$Z$5001,"&lt;&gt;"))))</f>
        <v/>
      </c>
      <c r="D249" s="42" t="str">
        <f>IF(OR($B249="",$A249&gt;$B$9),"",IF(COUNTIFS(BD!$B$3:$B$5001,D$243,BD!$A$3:$A$5001,"&gt;="&amp;$C$7,BD!$A$3:$A$5001,"&lt;="&amp;$B249,BD!$Z$3:$Z$5001,"&lt;&gt;")=0,"",SUMIFS(BD!$Z$3:$Z$5001,BD!$B$3:$B$5001,D$243,BD!$A$3:$A$5001,_xlfn.MAXIFS(BD!$A$3:$A$5001,BD!$B$3:$B$5001,D$243,BD!$A$3:$A$5001,"&gt;="&amp;$C$7,BD!$A$3:$A$5001,"&lt;="&amp;$B249,BD!$Z$3:$Z$5001,"&lt;&gt;"))))</f>
        <v/>
      </c>
      <c r="E249" s="42" t="str">
        <f>IF(OR($B249="",$A249&gt;$B$9),"",IF(COUNTIFS(BD!$B$3:$B$5001,E$243,BD!$A$3:$A$5001,"&gt;="&amp;$C$7,BD!$A$3:$A$5001,"&lt;="&amp;$B249,BD!$Z$3:$Z$5001,"&lt;&gt;")=0,"",SUMIFS(BD!$Z$3:$Z$5001,BD!$B$3:$B$5001,E$243,BD!$A$3:$A$5001,_xlfn.MAXIFS(BD!$A$3:$A$5001,BD!$B$3:$B$5001,E$243,BD!$A$3:$A$5001,"&gt;="&amp;$C$7,BD!$A$3:$A$5001,"&lt;="&amp;$B249,BD!$Z$3:$Z$5001,"&lt;&gt;"))))</f>
        <v/>
      </c>
      <c r="F249" s="42" t="str">
        <f>IF(OR($B249="",$A249&gt;$B$9),"",IF(COUNTIFS(BD!$B$3:$B$5001,F$243,BD!$A$3:$A$5001,"&gt;="&amp;$C$7,BD!$A$3:$A$5001,"&lt;="&amp;$B249,BD!$Z$3:$Z$5001,"&lt;&gt;")=0,"",SUMIFS(BD!$Z$3:$Z$5001,BD!$B$3:$B$5001,F$243,BD!$A$3:$A$5001,_xlfn.MAXIFS(BD!$A$3:$A$5001,BD!$B$3:$B$5001,F$243,BD!$A$3:$A$5001,"&gt;="&amp;$C$7,BD!$A$3:$A$5001,"&lt;="&amp;$B249,BD!$Z$3:$Z$5001,"&lt;&gt;"))))</f>
        <v/>
      </c>
      <c r="G249" s="42" t="str">
        <f>IF(OR($B249="",$A249&gt;$B$9),"",IF(COUNTIFS(BD!$B$3:$B$5001,G$243,BD!$A$3:$A$5001,"&gt;="&amp;$C$7,BD!$A$3:$A$5001,"&lt;="&amp;$B249,BD!$Z$3:$Z$5001,"&lt;&gt;")=0,"",SUMIFS(BD!$Z$3:$Z$5001,BD!$B$3:$B$5001,G$243,BD!$A$3:$A$5001,_xlfn.MAXIFS(BD!$A$3:$A$5001,BD!$B$3:$B$5001,G$243,BD!$A$3:$A$5001,"&gt;="&amp;$C$7,BD!$A$3:$A$5001,"&lt;="&amp;$B249,BD!$Z$3:$Z$5001,"&lt;&gt;"))))</f>
        <v/>
      </c>
      <c r="H249" s="42" t="str">
        <f>IF(OR($B249="",$A249&gt;$B$9),"",IF(COUNTIFS(BD!$B$3:$B$5001,H$243,BD!$A$3:$A$5001,"&gt;="&amp;$C$7,BD!$A$3:$A$5001,"&lt;="&amp;$B249,BD!$Z$3:$Z$5001,"&lt;&gt;")=0,"",SUMIFS(BD!$Z$3:$Z$5001,BD!$B$3:$B$5001,H$243,BD!$A$3:$A$5001,_xlfn.MAXIFS(BD!$A$3:$A$5001,BD!$B$3:$B$5001,H$243,BD!$A$3:$A$5001,"&gt;="&amp;$C$7,BD!$A$3:$A$5001,"&lt;="&amp;$B249,BD!$Z$3:$Z$5001,"&lt;&gt;"))))</f>
        <v/>
      </c>
      <c r="I249" s="42" t="str">
        <f>IF(OR($B249="",$A249&gt;$B$9),"",IF(COUNTIFS(BD!$B$3:$B$5001,I$243,BD!$A$3:$A$5001,"&gt;="&amp;$C$7,BD!$A$3:$A$5001,"&lt;="&amp;$B249,BD!$Z$3:$Z$5001,"&lt;&gt;")=0,"",SUMIFS(BD!$Z$3:$Z$5001,BD!$B$3:$B$5001,I$243,BD!$A$3:$A$5001,_xlfn.MAXIFS(BD!$A$3:$A$5001,BD!$B$3:$B$5001,I$243,BD!$A$3:$A$5001,"&gt;="&amp;$C$7,BD!$A$3:$A$5001,"&lt;="&amp;$B249,BD!$Z$3:$Z$5001,"&lt;&gt;"))))</f>
        <v/>
      </c>
      <c r="J249" s="42" t="str">
        <f>IF(OR($B249="",$A249&gt;$B$9),"",IF(COUNTIFS(BD!$B$3:$B$5001,J$243,BD!$A$3:$A$5001,"&gt;="&amp;$C$7,BD!$A$3:$A$5001,"&lt;="&amp;$B249,BD!$Z$3:$Z$5001,"&lt;&gt;")=0,"",SUMIFS(BD!$Z$3:$Z$5001,BD!$B$3:$B$5001,J$243,BD!$A$3:$A$5001,_xlfn.MAXIFS(BD!$A$3:$A$5001,BD!$B$3:$B$5001,J$243,BD!$A$3:$A$5001,"&gt;="&amp;$C$7,BD!$A$3:$A$5001,"&lt;="&amp;$B249,BD!$Z$3:$Z$5001,"&lt;&gt;"))))</f>
        <v/>
      </c>
      <c r="K249" s="42" t="str">
        <f>IF(OR($B249="",$A249&gt;$B$9),"",IF(COUNTIFS(BD!$B$3:$B$5001,K$243,BD!$A$3:$A$5001,"&gt;="&amp;$C$7,BD!$A$3:$A$5001,"&lt;="&amp;$B249,BD!$Z$3:$Z$5001,"&lt;&gt;")=0,"",SUMIFS(BD!$Z$3:$Z$5001,BD!$B$3:$B$5001,K$243,BD!$A$3:$A$5001,_xlfn.MAXIFS(BD!$A$3:$A$5001,BD!$B$3:$B$5001,K$243,BD!$A$3:$A$5001,"&gt;="&amp;$C$7,BD!$A$3:$A$5001,"&lt;="&amp;$B249,BD!$Z$3:$Z$5001,"&lt;&gt;"))))</f>
        <v/>
      </c>
      <c r="L249" s="42" t="str">
        <f>IF(OR($B249="",$A249&gt;$B$9),"",IF(COUNTIFS(BD!$B$3:$B$5001,L$243,BD!$A$3:$A$5001,"&gt;="&amp;$C$7,BD!$A$3:$A$5001,"&lt;="&amp;$B249,BD!$Z$3:$Z$5001,"&lt;&gt;")=0,"",SUMIFS(BD!$Z$3:$Z$5001,BD!$B$3:$B$5001,L$243,BD!$A$3:$A$5001,_xlfn.MAXIFS(BD!$A$3:$A$5001,BD!$B$3:$B$5001,L$243,BD!$A$3:$A$5001,"&gt;="&amp;$C$7,BD!$A$3:$A$5001,"&lt;="&amp;$B249,BD!$Z$3:$Z$5001,"&lt;&gt;"))))</f>
        <v/>
      </c>
    </row>
    <row r="250">
      <c r="A250" s="40">
        <v>7</v>
      </c>
      <c r="B250" s="41">
        <f>$B$18</f>
        <v>46302</v>
      </c>
      <c r="C250" s="42" t="str">
        <f>IF(OR($B250="",$A250&gt;$B$9),"",IF(COUNTIFS(BD!$B$3:$B$5001,C$243,BD!$A$3:$A$5001,"&gt;="&amp;$C$7,BD!$A$3:$A$5001,"&lt;="&amp;$B250,BD!$Z$3:$Z$5001,"&lt;&gt;")=0,"",SUMIFS(BD!$Z$3:$Z$5001,BD!$B$3:$B$5001,C$243,BD!$A$3:$A$5001,_xlfn.MAXIFS(BD!$A$3:$A$5001,BD!$B$3:$B$5001,C$243,BD!$A$3:$A$5001,"&gt;="&amp;$C$7,BD!$A$3:$A$5001,"&lt;="&amp;$B250,BD!$Z$3:$Z$5001,"&lt;&gt;"))))</f>
        <v/>
      </c>
      <c r="D250" s="42" t="str">
        <f>IF(OR($B250="",$A250&gt;$B$9),"",IF(COUNTIFS(BD!$B$3:$B$5001,D$243,BD!$A$3:$A$5001,"&gt;="&amp;$C$7,BD!$A$3:$A$5001,"&lt;="&amp;$B250,BD!$Z$3:$Z$5001,"&lt;&gt;")=0,"",SUMIFS(BD!$Z$3:$Z$5001,BD!$B$3:$B$5001,D$243,BD!$A$3:$A$5001,_xlfn.MAXIFS(BD!$A$3:$A$5001,BD!$B$3:$B$5001,D$243,BD!$A$3:$A$5001,"&gt;="&amp;$C$7,BD!$A$3:$A$5001,"&lt;="&amp;$B250,BD!$Z$3:$Z$5001,"&lt;&gt;"))))</f>
        <v/>
      </c>
      <c r="E250" s="42" t="str">
        <f>IF(OR($B250="",$A250&gt;$B$9),"",IF(COUNTIFS(BD!$B$3:$B$5001,E$243,BD!$A$3:$A$5001,"&gt;="&amp;$C$7,BD!$A$3:$A$5001,"&lt;="&amp;$B250,BD!$Z$3:$Z$5001,"&lt;&gt;")=0,"",SUMIFS(BD!$Z$3:$Z$5001,BD!$B$3:$B$5001,E$243,BD!$A$3:$A$5001,_xlfn.MAXIFS(BD!$A$3:$A$5001,BD!$B$3:$B$5001,E$243,BD!$A$3:$A$5001,"&gt;="&amp;$C$7,BD!$A$3:$A$5001,"&lt;="&amp;$B250,BD!$Z$3:$Z$5001,"&lt;&gt;"))))</f>
        <v/>
      </c>
      <c r="F250" s="42" t="str">
        <f>IF(OR($B250="",$A250&gt;$B$9),"",IF(COUNTIFS(BD!$B$3:$B$5001,F$243,BD!$A$3:$A$5001,"&gt;="&amp;$C$7,BD!$A$3:$A$5001,"&lt;="&amp;$B250,BD!$Z$3:$Z$5001,"&lt;&gt;")=0,"",SUMIFS(BD!$Z$3:$Z$5001,BD!$B$3:$B$5001,F$243,BD!$A$3:$A$5001,_xlfn.MAXIFS(BD!$A$3:$A$5001,BD!$B$3:$B$5001,F$243,BD!$A$3:$A$5001,"&gt;="&amp;$C$7,BD!$A$3:$A$5001,"&lt;="&amp;$B250,BD!$Z$3:$Z$5001,"&lt;&gt;"))))</f>
        <v/>
      </c>
      <c r="G250" s="42" t="str">
        <f>IF(OR($B250="",$A250&gt;$B$9),"",IF(COUNTIFS(BD!$B$3:$B$5001,G$243,BD!$A$3:$A$5001,"&gt;="&amp;$C$7,BD!$A$3:$A$5001,"&lt;="&amp;$B250,BD!$Z$3:$Z$5001,"&lt;&gt;")=0,"",SUMIFS(BD!$Z$3:$Z$5001,BD!$B$3:$B$5001,G$243,BD!$A$3:$A$5001,_xlfn.MAXIFS(BD!$A$3:$A$5001,BD!$B$3:$B$5001,G$243,BD!$A$3:$A$5001,"&gt;="&amp;$C$7,BD!$A$3:$A$5001,"&lt;="&amp;$B250,BD!$Z$3:$Z$5001,"&lt;&gt;"))))</f>
        <v/>
      </c>
      <c r="H250" s="42" t="str">
        <f>IF(OR($B250="",$A250&gt;$B$9),"",IF(COUNTIFS(BD!$B$3:$B$5001,H$243,BD!$A$3:$A$5001,"&gt;="&amp;$C$7,BD!$A$3:$A$5001,"&lt;="&amp;$B250,BD!$Z$3:$Z$5001,"&lt;&gt;")=0,"",SUMIFS(BD!$Z$3:$Z$5001,BD!$B$3:$B$5001,H$243,BD!$A$3:$A$5001,_xlfn.MAXIFS(BD!$A$3:$A$5001,BD!$B$3:$B$5001,H$243,BD!$A$3:$A$5001,"&gt;="&amp;$C$7,BD!$A$3:$A$5001,"&lt;="&amp;$B250,BD!$Z$3:$Z$5001,"&lt;&gt;"))))</f>
        <v/>
      </c>
      <c r="I250" s="42" t="str">
        <f>IF(OR($B250="",$A250&gt;$B$9),"",IF(COUNTIFS(BD!$B$3:$B$5001,I$243,BD!$A$3:$A$5001,"&gt;="&amp;$C$7,BD!$A$3:$A$5001,"&lt;="&amp;$B250,BD!$Z$3:$Z$5001,"&lt;&gt;")=0,"",SUMIFS(BD!$Z$3:$Z$5001,BD!$B$3:$B$5001,I$243,BD!$A$3:$A$5001,_xlfn.MAXIFS(BD!$A$3:$A$5001,BD!$B$3:$B$5001,I$243,BD!$A$3:$A$5001,"&gt;="&amp;$C$7,BD!$A$3:$A$5001,"&lt;="&amp;$B250,BD!$Z$3:$Z$5001,"&lt;&gt;"))))</f>
        <v/>
      </c>
      <c r="J250" s="42" t="str">
        <f>IF(OR($B250="",$A250&gt;$B$9),"",IF(COUNTIFS(BD!$B$3:$B$5001,J$243,BD!$A$3:$A$5001,"&gt;="&amp;$C$7,BD!$A$3:$A$5001,"&lt;="&amp;$B250,BD!$Z$3:$Z$5001,"&lt;&gt;")=0,"",SUMIFS(BD!$Z$3:$Z$5001,BD!$B$3:$B$5001,J$243,BD!$A$3:$A$5001,_xlfn.MAXIFS(BD!$A$3:$A$5001,BD!$B$3:$B$5001,J$243,BD!$A$3:$A$5001,"&gt;="&amp;$C$7,BD!$A$3:$A$5001,"&lt;="&amp;$B250,BD!$Z$3:$Z$5001,"&lt;&gt;"))))</f>
        <v/>
      </c>
      <c r="K250" s="42" t="str">
        <f>IF(OR($B250="",$A250&gt;$B$9),"",IF(COUNTIFS(BD!$B$3:$B$5001,K$243,BD!$A$3:$A$5001,"&gt;="&amp;$C$7,BD!$A$3:$A$5001,"&lt;="&amp;$B250,BD!$Z$3:$Z$5001,"&lt;&gt;")=0,"",SUMIFS(BD!$Z$3:$Z$5001,BD!$B$3:$B$5001,K$243,BD!$A$3:$A$5001,_xlfn.MAXIFS(BD!$A$3:$A$5001,BD!$B$3:$B$5001,K$243,BD!$A$3:$A$5001,"&gt;="&amp;$C$7,BD!$A$3:$A$5001,"&lt;="&amp;$B250,BD!$Z$3:$Z$5001,"&lt;&gt;"))))</f>
        <v/>
      </c>
      <c r="L250" s="42" t="str">
        <f>IF(OR($B250="",$A250&gt;$B$9),"",IF(COUNTIFS(BD!$B$3:$B$5001,L$243,BD!$A$3:$A$5001,"&gt;="&amp;$C$7,BD!$A$3:$A$5001,"&lt;="&amp;$B250,BD!$Z$3:$Z$5001,"&lt;&gt;")=0,"",SUMIFS(BD!$Z$3:$Z$5001,BD!$B$3:$B$5001,L$243,BD!$A$3:$A$5001,_xlfn.MAXIFS(BD!$A$3:$A$5001,BD!$B$3:$B$5001,L$243,BD!$A$3:$A$5001,"&gt;="&amp;$C$7,BD!$A$3:$A$5001,"&lt;="&amp;$B250,BD!$Z$3:$Z$5001,"&lt;&gt;"))))</f>
        <v/>
      </c>
    </row>
    <row r="251">
      <c r="A251" s="40">
        <v>8</v>
      </c>
      <c r="B251" s="41">
        <f>$B$19</f>
        <v>46303</v>
      </c>
      <c r="C251" s="42" t="str">
        <f>IF(OR($B251="",$A251&gt;$B$9),"",IF(COUNTIFS(BD!$B$3:$B$5001,C$243,BD!$A$3:$A$5001,"&gt;="&amp;$C$7,BD!$A$3:$A$5001,"&lt;="&amp;$B251,BD!$Z$3:$Z$5001,"&lt;&gt;")=0,"",SUMIFS(BD!$Z$3:$Z$5001,BD!$B$3:$B$5001,C$243,BD!$A$3:$A$5001,_xlfn.MAXIFS(BD!$A$3:$A$5001,BD!$B$3:$B$5001,C$243,BD!$A$3:$A$5001,"&gt;="&amp;$C$7,BD!$A$3:$A$5001,"&lt;="&amp;$B251,BD!$Z$3:$Z$5001,"&lt;&gt;"))))</f>
        <v/>
      </c>
      <c r="D251" s="42" t="str">
        <f>IF(OR($B251="",$A251&gt;$B$9),"",IF(COUNTIFS(BD!$B$3:$B$5001,D$243,BD!$A$3:$A$5001,"&gt;="&amp;$C$7,BD!$A$3:$A$5001,"&lt;="&amp;$B251,BD!$Z$3:$Z$5001,"&lt;&gt;")=0,"",SUMIFS(BD!$Z$3:$Z$5001,BD!$B$3:$B$5001,D$243,BD!$A$3:$A$5001,_xlfn.MAXIFS(BD!$A$3:$A$5001,BD!$B$3:$B$5001,D$243,BD!$A$3:$A$5001,"&gt;="&amp;$C$7,BD!$A$3:$A$5001,"&lt;="&amp;$B251,BD!$Z$3:$Z$5001,"&lt;&gt;"))))</f>
        <v/>
      </c>
      <c r="E251" s="42" t="str">
        <f>IF(OR($B251="",$A251&gt;$B$9),"",IF(COUNTIFS(BD!$B$3:$B$5001,E$243,BD!$A$3:$A$5001,"&gt;="&amp;$C$7,BD!$A$3:$A$5001,"&lt;="&amp;$B251,BD!$Z$3:$Z$5001,"&lt;&gt;")=0,"",SUMIFS(BD!$Z$3:$Z$5001,BD!$B$3:$B$5001,E$243,BD!$A$3:$A$5001,_xlfn.MAXIFS(BD!$A$3:$A$5001,BD!$B$3:$B$5001,E$243,BD!$A$3:$A$5001,"&gt;="&amp;$C$7,BD!$A$3:$A$5001,"&lt;="&amp;$B251,BD!$Z$3:$Z$5001,"&lt;&gt;"))))</f>
        <v/>
      </c>
      <c r="F251" s="42" t="str">
        <f>IF(OR($B251="",$A251&gt;$B$9),"",IF(COUNTIFS(BD!$B$3:$B$5001,F$243,BD!$A$3:$A$5001,"&gt;="&amp;$C$7,BD!$A$3:$A$5001,"&lt;="&amp;$B251,BD!$Z$3:$Z$5001,"&lt;&gt;")=0,"",SUMIFS(BD!$Z$3:$Z$5001,BD!$B$3:$B$5001,F$243,BD!$A$3:$A$5001,_xlfn.MAXIFS(BD!$A$3:$A$5001,BD!$B$3:$B$5001,F$243,BD!$A$3:$A$5001,"&gt;="&amp;$C$7,BD!$A$3:$A$5001,"&lt;="&amp;$B251,BD!$Z$3:$Z$5001,"&lt;&gt;"))))</f>
        <v/>
      </c>
      <c r="G251" s="42" t="str">
        <f>IF(OR($B251="",$A251&gt;$B$9),"",IF(COUNTIFS(BD!$B$3:$B$5001,G$243,BD!$A$3:$A$5001,"&gt;="&amp;$C$7,BD!$A$3:$A$5001,"&lt;="&amp;$B251,BD!$Z$3:$Z$5001,"&lt;&gt;")=0,"",SUMIFS(BD!$Z$3:$Z$5001,BD!$B$3:$B$5001,G$243,BD!$A$3:$A$5001,_xlfn.MAXIFS(BD!$A$3:$A$5001,BD!$B$3:$B$5001,G$243,BD!$A$3:$A$5001,"&gt;="&amp;$C$7,BD!$A$3:$A$5001,"&lt;="&amp;$B251,BD!$Z$3:$Z$5001,"&lt;&gt;"))))</f>
        <v/>
      </c>
      <c r="H251" s="42" t="str">
        <f>IF(OR($B251="",$A251&gt;$B$9),"",IF(COUNTIFS(BD!$B$3:$B$5001,H$243,BD!$A$3:$A$5001,"&gt;="&amp;$C$7,BD!$A$3:$A$5001,"&lt;="&amp;$B251,BD!$Z$3:$Z$5001,"&lt;&gt;")=0,"",SUMIFS(BD!$Z$3:$Z$5001,BD!$B$3:$B$5001,H$243,BD!$A$3:$A$5001,_xlfn.MAXIFS(BD!$A$3:$A$5001,BD!$B$3:$B$5001,H$243,BD!$A$3:$A$5001,"&gt;="&amp;$C$7,BD!$A$3:$A$5001,"&lt;="&amp;$B251,BD!$Z$3:$Z$5001,"&lt;&gt;"))))</f>
        <v/>
      </c>
      <c r="I251" s="42" t="str">
        <f>IF(OR($B251="",$A251&gt;$B$9),"",IF(COUNTIFS(BD!$B$3:$B$5001,I$243,BD!$A$3:$A$5001,"&gt;="&amp;$C$7,BD!$A$3:$A$5001,"&lt;="&amp;$B251,BD!$Z$3:$Z$5001,"&lt;&gt;")=0,"",SUMIFS(BD!$Z$3:$Z$5001,BD!$B$3:$B$5001,I$243,BD!$A$3:$A$5001,_xlfn.MAXIFS(BD!$A$3:$A$5001,BD!$B$3:$B$5001,I$243,BD!$A$3:$A$5001,"&gt;="&amp;$C$7,BD!$A$3:$A$5001,"&lt;="&amp;$B251,BD!$Z$3:$Z$5001,"&lt;&gt;"))))</f>
        <v/>
      </c>
      <c r="J251" s="42" t="str">
        <f>IF(OR($B251="",$A251&gt;$B$9),"",IF(COUNTIFS(BD!$B$3:$B$5001,J$243,BD!$A$3:$A$5001,"&gt;="&amp;$C$7,BD!$A$3:$A$5001,"&lt;="&amp;$B251,BD!$Z$3:$Z$5001,"&lt;&gt;")=0,"",SUMIFS(BD!$Z$3:$Z$5001,BD!$B$3:$B$5001,J$243,BD!$A$3:$A$5001,_xlfn.MAXIFS(BD!$A$3:$A$5001,BD!$B$3:$B$5001,J$243,BD!$A$3:$A$5001,"&gt;="&amp;$C$7,BD!$A$3:$A$5001,"&lt;="&amp;$B251,BD!$Z$3:$Z$5001,"&lt;&gt;"))))</f>
        <v/>
      </c>
      <c r="K251" s="42" t="str">
        <f>IF(OR($B251="",$A251&gt;$B$9),"",IF(COUNTIFS(BD!$B$3:$B$5001,K$243,BD!$A$3:$A$5001,"&gt;="&amp;$C$7,BD!$A$3:$A$5001,"&lt;="&amp;$B251,BD!$Z$3:$Z$5001,"&lt;&gt;")=0,"",SUMIFS(BD!$Z$3:$Z$5001,BD!$B$3:$B$5001,K$243,BD!$A$3:$A$5001,_xlfn.MAXIFS(BD!$A$3:$A$5001,BD!$B$3:$B$5001,K$243,BD!$A$3:$A$5001,"&gt;="&amp;$C$7,BD!$A$3:$A$5001,"&lt;="&amp;$B251,BD!$Z$3:$Z$5001,"&lt;&gt;"))))</f>
        <v/>
      </c>
      <c r="L251" s="42" t="str">
        <f>IF(OR($B251="",$A251&gt;$B$9),"",IF(COUNTIFS(BD!$B$3:$B$5001,L$243,BD!$A$3:$A$5001,"&gt;="&amp;$C$7,BD!$A$3:$A$5001,"&lt;="&amp;$B251,BD!$Z$3:$Z$5001,"&lt;&gt;")=0,"",SUMIFS(BD!$Z$3:$Z$5001,BD!$B$3:$B$5001,L$243,BD!$A$3:$A$5001,_xlfn.MAXIFS(BD!$A$3:$A$5001,BD!$B$3:$B$5001,L$243,BD!$A$3:$A$5001,"&gt;="&amp;$C$7,BD!$A$3:$A$5001,"&lt;="&amp;$B251,BD!$Z$3:$Z$5001,"&lt;&gt;"))))</f>
        <v/>
      </c>
    </row>
    <row r="252">
      <c r="A252" s="40">
        <v>9</v>
      </c>
      <c r="B252" s="41">
        <f>$B$20</f>
        <v>46304</v>
      </c>
      <c r="C252" s="42" t="str">
        <f>IF(OR($B252="",$A252&gt;$B$9),"",IF(COUNTIFS(BD!$B$3:$B$5001,C$243,BD!$A$3:$A$5001,"&gt;="&amp;$C$7,BD!$A$3:$A$5001,"&lt;="&amp;$B252,BD!$Z$3:$Z$5001,"&lt;&gt;")=0,"",SUMIFS(BD!$Z$3:$Z$5001,BD!$B$3:$B$5001,C$243,BD!$A$3:$A$5001,_xlfn.MAXIFS(BD!$A$3:$A$5001,BD!$B$3:$B$5001,C$243,BD!$A$3:$A$5001,"&gt;="&amp;$C$7,BD!$A$3:$A$5001,"&lt;="&amp;$B252,BD!$Z$3:$Z$5001,"&lt;&gt;"))))</f>
        <v/>
      </c>
      <c r="D252" s="42" t="str">
        <f>IF(OR($B252="",$A252&gt;$B$9),"",IF(COUNTIFS(BD!$B$3:$B$5001,D$243,BD!$A$3:$A$5001,"&gt;="&amp;$C$7,BD!$A$3:$A$5001,"&lt;="&amp;$B252,BD!$Z$3:$Z$5001,"&lt;&gt;")=0,"",SUMIFS(BD!$Z$3:$Z$5001,BD!$B$3:$B$5001,D$243,BD!$A$3:$A$5001,_xlfn.MAXIFS(BD!$A$3:$A$5001,BD!$B$3:$B$5001,D$243,BD!$A$3:$A$5001,"&gt;="&amp;$C$7,BD!$A$3:$A$5001,"&lt;="&amp;$B252,BD!$Z$3:$Z$5001,"&lt;&gt;"))))</f>
        <v/>
      </c>
      <c r="E252" s="42" t="str">
        <f>IF(OR($B252="",$A252&gt;$B$9),"",IF(COUNTIFS(BD!$B$3:$B$5001,E$243,BD!$A$3:$A$5001,"&gt;="&amp;$C$7,BD!$A$3:$A$5001,"&lt;="&amp;$B252,BD!$Z$3:$Z$5001,"&lt;&gt;")=0,"",SUMIFS(BD!$Z$3:$Z$5001,BD!$B$3:$B$5001,E$243,BD!$A$3:$A$5001,_xlfn.MAXIFS(BD!$A$3:$A$5001,BD!$B$3:$B$5001,E$243,BD!$A$3:$A$5001,"&gt;="&amp;$C$7,BD!$A$3:$A$5001,"&lt;="&amp;$B252,BD!$Z$3:$Z$5001,"&lt;&gt;"))))</f>
        <v/>
      </c>
      <c r="F252" s="42" t="str">
        <f>IF(OR($B252="",$A252&gt;$B$9),"",IF(COUNTIFS(BD!$B$3:$B$5001,F$243,BD!$A$3:$A$5001,"&gt;="&amp;$C$7,BD!$A$3:$A$5001,"&lt;="&amp;$B252,BD!$Z$3:$Z$5001,"&lt;&gt;")=0,"",SUMIFS(BD!$Z$3:$Z$5001,BD!$B$3:$B$5001,F$243,BD!$A$3:$A$5001,_xlfn.MAXIFS(BD!$A$3:$A$5001,BD!$B$3:$B$5001,F$243,BD!$A$3:$A$5001,"&gt;="&amp;$C$7,BD!$A$3:$A$5001,"&lt;="&amp;$B252,BD!$Z$3:$Z$5001,"&lt;&gt;"))))</f>
        <v/>
      </c>
      <c r="G252" s="42" t="str">
        <f>IF(OR($B252="",$A252&gt;$B$9),"",IF(COUNTIFS(BD!$B$3:$B$5001,G$243,BD!$A$3:$A$5001,"&gt;="&amp;$C$7,BD!$A$3:$A$5001,"&lt;="&amp;$B252,BD!$Z$3:$Z$5001,"&lt;&gt;")=0,"",SUMIFS(BD!$Z$3:$Z$5001,BD!$B$3:$B$5001,G$243,BD!$A$3:$A$5001,_xlfn.MAXIFS(BD!$A$3:$A$5001,BD!$B$3:$B$5001,G$243,BD!$A$3:$A$5001,"&gt;="&amp;$C$7,BD!$A$3:$A$5001,"&lt;="&amp;$B252,BD!$Z$3:$Z$5001,"&lt;&gt;"))))</f>
        <v/>
      </c>
      <c r="H252" s="42" t="str">
        <f>IF(OR($B252="",$A252&gt;$B$9),"",IF(COUNTIFS(BD!$B$3:$B$5001,H$243,BD!$A$3:$A$5001,"&gt;="&amp;$C$7,BD!$A$3:$A$5001,"&lt;="&amp;$B252,BD!$Z$3:$Z$5001,"&lt;&gt;")=0,"",SUMIFS(BD!$Z$3:$Z$5001,BD!$B$3:$B$5001,H$243,BD!$A$3:$A$5001,_xlfn.MAXIFS(BD!$A$3:$A$5001,BD!$B$3:$B$5001,H$243,BD!$A$3:$A$5001,"&gt;="&amp;$C$7,BD!$A$3:$A$5001,"&lt;="&amp;$B252,BD!$Z$3:$Z$5001,"&lt;&gt;"))))</f>
        <v/>
      </c>
      <c r="I252" s="42" t="str">
        <f>IF(OR($B252="",$A252&gt;$B$9),"",IF(COUNTIFS(BD!$B$3:$B$5001,I$243,BD!$A$3:$A$5001,"&gt;="&amp;$C$7,BD!$A$3:$A$5001,"&lt;="&amp;$B252,BD!$Z$3:$Z$5001,"&lt;&gt;")=0,"",SUMIFS(BD!$Z$3:$Z$5001,BD!$B$3:$B$5001,I$243,BD!$A$3:$A$5001,_xlfn.MAXIFS(BD!$A$3:$A$5001,BD!$B$3:$B$5001,I$243,BD!$A$3:$A$5001,"&gt;="&amp;$C$7,BD!$A$3:$A$5001,"&lt;="&amp;$B252,BD!$Z$3:$Z$5001,"&lt;&gt;"))))</f>
        <v/>
      </c>
      <c r="J252" s="42" t="str">
        <f>IF(OR($B252="",$A252&gt;$B$9),"",IF(COUNTIFS(BD!$B$3:$B$5001,J$243,BD!$A$3:$A$5001,"&gt;="&amp;$C$7,BD!$A$3:$A$5001,"&lt;="&amp;$B252,BD!$Z$3:$Z$5001,"&lt;&gt;")=0,"",SUMIFS(BD!$Z$3:$Z$5001,BD!$B$3:$B$5001,J$243,BD!$A$3:$A$5001,_xlfn.MAXIFS(BD!$A$3:$A$5001,BD!$B$3:$B$5001,J$243,BD!$A$3:$A$5001,"&gt;="&amp;$C$7,BD!$A$3:$A$5001,"&lt;="&amp;$B252,BD!$Z$3:$Z$5001,"&lt;&gt;"))))</f>
        <v/>
      </c>
      <c r="K252" s="42" t="str">
        <f>IF(OR($B252="",$A252&gt;$B$9),"",IF(COUNTIFS(BD!$B$3:$B$5001,K$243,BD!$A$3:$A$5001,"&gt;="&amp;$C$7,BD!$A$3:$A$5001,"&lt;="&amp;$B252,BD!$Z$3:$Z$5001,"&lt;&gt;")=0,"",SUMIFS(BD!$Z$3:$Z$5001,BD!$B$3:$B$5001,K$243,BD!$A$3:$A$5001,_xlfn.MAXIFS(BD!$A$3:$A$5001,BD!$B$3:$B$5001,K$243,BD!$A$3:$A$5001,"&gt;="&amp;$C$7,BD!$A$3:$A$5001,"&lt;="&amp;$B252,BD!$Z$3:$Z$5001,"&lt;&gt;"))))</f>
        <v/>
      </c>
      <c r="L252" s="42" t="str">
        <f>IF(OR($B252="",$A252&gt;$B$9),"",IF(COUNTIFS(BD!$B$3:$B$5001,L$243,BD!$A$3:$A$5001,"&gt;="&amp;$C$7,BD!$A$3:$A$5001,"&lt;="&amp;$B252,BD!$Z$3:$Z$5001,"&lt;&gt;")=0,"",SUMIFS(BD!$Z$3:$Z$5001,BD!$B$3:$B$5001,L$243,BD!$A$3:$A$5001,_xlfn.MAXIFS(BD!$A$3:$A$5001,BD!$B$3:$B$5001,L$243,BD!$A$3:$A$5001,"&gt;="&amp;$C$7,BD!$A$3:$A$5001,"&lt;="&amp;$B252,BD!$Z$3:$Z$5001,"&lt;&gt;"))))</f>
        <v/>
      </c>
    </row>
    <row r="253">
      <c r="A253" s="40">
        <v>10</v>
      </c>
      <c r="B253" s="41">
        <f>$B$21</f>
        <v>46305</v>
      </c>
      <c r="C253" s="42" t="str">
        <f>IF(OR($B253="",$A253&gt;$B$9),"",IF(COUNTIFS(BD!$B$3:$B$5001,C$243,BD!$A$3:$A$5001,"&gt;="&amp;$C$7,BD!$A$3:$A$5001,"&lt;="&amp;$B253,BD!$Z$3:$Z$5001,"&lt;&gt;")=0,"",SUMIFS(BD!$Z$3:$Z$5001,BD!$B$3:$B$5001,C$243,BD!$A$3:$A$5001,_xlfn.MAXIFS(BD!$A$3:$A$5001,BD!$B$3:$B$5001,C$243,BD!$A$3:$A$5001,"&gt;="&amp;$C$7,BD!$A$3:$A$5001,"&lt;="&amp;$B253,BD!$Z$3:$Z$5001,"&lt;&gt;"))))</f>
        <v/>
      </c>
      <c r="D253" s="42" t="str">
        <f>IF(OR($B253="",$A253&gt;$B$9),"",IF(COUNTIFS(BD!$B$3:$B$5001,D$243,BD!$A$3:$A$5001,"&gt;="&amp;$C$7,BD!$A$3:$A$5001,"&lt;="&amp;$B253,BD!$Z$3:$Z$5001,"&lt;&gt;")=0,"",SUMIFS(BD!$Z$3:$Z$5001,BD!$B$3:$B$5001,D$243,BD!$A$3:$A$5001,_xlfn.MAXIFS(BD!$A$3:$A$5001,BD!$B$3:$B$5001,D$243,BD!$A$3:$A$5001,"&gt;="&amp;$C$7,BD!$A$3:$A$5001,"&lt;="&amp;$B253,BD!$Z$3:$Z$5001,"&lt;&gt;"))))</f>
        <v/>
      </c>
      <c r="E253" s="42" t="str">
        <f>IF(OR($B253="",$A253&gt;$B$9),"",IF(COUNTIFS(BD!$B$3:$B$5001,E$243,BD!$A$3:$A$5001,"&gt;="&amp;$C$7,BD!$A$3:$A$5001,"&lt;="&amp;$B253,BD!$Z$3:$Z$5001,"&lt;&gt;")=0,"",SUMIFS(BD!$Z$3:$Z$5001,BD!$B$3:$B$5001,E$243,BD!$A$3:$A$5001,_xlfn.MAXIFS(BD!$A$3:$A$5001,BD!$B$3:$B$5001,E$243,BD!$A$3:$A$5001,"&gt;="&amp;$C$7,BD!$A$3:$A$5001,"&lt;="&amp;$B253,BD!$Z$3:$Z$5001,"&lt;&gt;"))))</f>
        <v/>
      </c>
      <c r="F253" s="42" t="str">
        <f>IF(OR($B253="",$A253&gt;$B$9),"",IF(COUNTIFS(BD!$B$3:$B$5001,F$243,BD!$A$3:$A$5001,"&gt;="&amp;$C$7,BD!$A$3:$A$5001,"&lt;="&amp;$B253,BD!$Z$3:$Z$5001,"&lt;&gt;")=0,"",SUMIFS(BD!$Z$3:$Z$5001,BD!$B$3:$B$5001,F$243,BD!$A$3:$A$5001,_xlfn.MAXIFS(BD!$A$3:$A$5001,BD!$B$3:$B$5001,F$243,BD!$A$3:$A$5001,"&gt;="&amp;$C$7,BD!$A$3:$A$5001,"&lt;="&amp;$B253,BD!$Z$3:$Z$5001,"&lt;&gt;"))))</f>
        <v/>
      </c>
      <c r="G253" s="42" t="str">
        <f>IF(OR($B253="",$A253&gt;$B$9),"",IF(COUNTIFS(BD!$B$3:$B$5001,G$243,BD!$A$3:$A$5001,"&gt;="&amp;$C$7,BD!$A$3:$A$5001,"&lt;="&amp;$B253,BD!$Z$3:$Z$5001,"&lt;&gt;")=0,"",SUMIFS(BD!$Z$3:$Z$5001,BD!$B$3:$B$5001,G$243,BD!$A$3:$A$5001,_xlfn.MAXIFS(BD!$A$3:$A$5001,BD!$B$3:$B$5001,G$243,BD!$A$3:$A$5001,"&gt;="&amp;$C$7,BD!$A$3:$A$5001,"&lt;="&amp;$B253,BD!$Z$3:$Z$5001,"&lt;&gt;"))))</f>
        <v/>
      </c>
      <c r="H253" s="42" t="str">
        <f>IF(OR($B253="",$A253&gt;$B$9),"",IF(COUNTIFS(BD!$B$3:$B$5001,H$243,BD!$A$3:$A$5001,"&gt;="&amp;$C$7,BD!$A$3:$A$5001,"&lt;="&amp;$B253,BD!$Z$3:$Z$5001,"&lt;&gt;")=0,"",SUMIFS(BD!$Z$3:$Z$5001,BD!$B$3:$B$5001,H$243,BD!$A$3:$A$5001,_xlfn.MAXIFS(BD!$A$3:$A$5001,BD!$B$3:$B$5001,H$243,BD!$A$3:$A$5001,"&gt;="&amp;$C$7,BD!$A$3:$A$5001,"&lt;="&amp;$B253,BD!$Z$3:$Z$5001,"&lt;&gt;"))))</f>
        <v/>
      </c>
      <c r="I253" s="42" t="str">
        <f>IF(OR($B253="",$A253&gt;$B$9),"",IF(COUNTIFS(BD!$B$3:$B$5001,I$243,BD!$A$3:$A$5001,"&gt;="&amp;$C$7,BD!$A$3:$A$5001,"&lt;="&amp;$B253,BD!$Z$3:$Z$5001,"&lt;&gt;")=0,"",SUMIFS(BD!$Z$3:$Z$5001,BD!$B$3:$B$5001,I$243,BD!$A$3:$A$5001,_xlfn.MAXIFS(BD!$A$3:$A$5001,BD!$B$3:$B$5001,I$243,BD!$A$3:$A$5001,"&gt;="&amp;$C$7,BD!$A$3:$A$5001,"&lt;="&amp;$B253,BD!$Z$3:$Z$5001,"&lt;&gt;"))))</f>
        <v/>
      </c>
      <c r="J253" s="42" t="str">
        <f>IF(OR($B253="",$A253&gt;$B$9),"",IF(COUNTIFS(BD!$B$3:$B$5001,J$243,BD!$A$3:$A$5001,"&gt;="&amp;$C$7,BD!$A$3:$A$5001,"&lt;="&amp;$B253,BD!$Z$3:$Z$5001,"&lt;&gt;")=0,"",SUMIFS(BD!$Z$3:$Z$5001,BD!$B$3:$B$5001,J$243,BD!$A$3:$A$5001,_xlfn.MAXIFS(BD!$A$3:$A$5001,BD!$B$3:$B$5001,J$243,BD!$A$3:$A$5001,"&gt;="&amp;$C$7,BD!$A$3:$A$5001,"&lt;="&amp;$B253,BD!$Z$3:$Z$5001,"&lt;&gt;"))))</f>
        <v/>
      </c>
      <c r="K253" s="42" t="str">
        <f>IF(OR($B253="",$A253&gt;$B$9),"",IF(COUNTIFS(BD!$B$3:$B$5001,K$243,BD!$A$3:$A$5001,"&gt;="&amp;$C$7,BD!$A$3:$A$5001,"&lt;="&amp;$B253,BD!$Z$3:$Z$5001,"&lt;&gt;")=0,"",SUMIFS(BD!$Z$3:$Z$5001,BD!$B$3:$B$5001,K$243,BD!$A$3:$A$5001,_xlfn.MAXIFS(BD!$A$3:$A$5001,BD!$B$3:$B$5001,K$243,BD!$A$3:$A$5001,"&gt;="&amp;$C$7,BD!$A$3:$A$5001,"&lt;="&amp;$B253,BD!$Z$3:$Z$5001,"&lt;&gt;"))))</f>
        <v/>
      </c>
      <c r="L253" s="42" t="str">
        <f>IF(OR($B253="",$A253&gt;$B$9),"",IF(COUNTIFS(BD!$B$3:$B$5001,L$243,BD!$A$3:$A$5001,"&gt;="&amp;$C$7,BD!$A$3:$A$5001,"&lt;="&amp;$B253,BD!$Z$3:$Z$5001,"&lt;&gt;")=0,"",SUMIFS(BD!$Z$3:$Z$5001,BD!$B$3:$B$5001,L$243,BD!$A$3:$A$5001,_xlfn.MAXIFS(BD!$A$3:$A$5001,BD!$B$3:$B$5001,L$243,BD!$A$3:$A$5001,"&gt;="&amp;$C$7,BD!$A$3:$A$5001,"&lt;="&amp;$B253,BD!$Z$3:$Z$5001,"&lt;&gt;"))))</f>
        <v/>
      </c>
    </row>
    <row r="254">
      <c r="A254" s="40">
        <v>11</v>
      </c>
      <c r="B254" s="41">
        <f>$B$22</f>
        <v>46306</v>
      </c>
      <c r="C254" s="42" t="str">
        <f>IF(OR($B254="",$A254&gt;$B$9),"",IF(COUNTIFS(BD!$B$3:$B$5001,C$243,BD!$A$3:$A$5001,"&gt;="&amp;$C$7,BD!$A$3:$A$5001,"&lt;="&amp;$B254,BD!$Z$3:$Z$5001,"&lt;&gt;")=0,"",SUMIFS(BD!$Z$3:$Z$5001,BD!$B$3:$B$5001,C$243,BD!$A$3:$A$5001,_xlfn.MAXIFS(BD!$A$3:$A$5001,BD!$B$3:$B$5001,C$243,BD!$A$3:$A$5001,"&gt;="&amp;$C$7,BD!$A$3:$A$5001,"&lt;="&amp;$B254,BD!$Z$3:$Z$5001,"&lt;&gt;"))))</f>
        <v/>
      </c>
      <c r="D254" s="42" t="str">
        <f>IF(OR($B254="",$A254&gt;$B$9),"",IF(COUNTIFS(BD!$B$3:$B$5001,D$243,BD!$A$3:$A$5001,"&gt;="&amp;$C$7,BD!$A$3:$A$5001,"&lt;="&amp;$B254,BD!$Z$3:$Z$5001,"&lt;&gt;")=0,"",SUMIFS(BD!$Z$3:$Z$5001,BD!$B$3:$B$5001,D$243,BD!$A$3:$A$5001,_xlfn.MAXIFS(BD!$A$3:$A$5001,BD!$B$3:$B$5001,D$243,BD!$A$3:$A$5001,"&gt;="&amp;$C$7,BD!$A$3:$A$5001,"&lt;="&amp;$B254,BD!$Z$3:$Z$5001,"&lt;&gt;"))))</f>
        <v/>
      </c>
      <c r="E254" s="42" t="str">
        <f>IF(OR($B254="",$A254&gt;$B$9),"",IF(COUNTIFS(BD!$B$3:$B$5001,E$243,BD!$A$3:$A$5001,"&gt;="&amp;$C$7,BD!$A$3:$A$5001,"&lt;="&amp;$B254,BD!$Z$3:$Z$5001,"&lt;&gt;")=0,"",SUMIFS(BD!$Z$3:$Z$5001,BD!$B$3:$B$5001,E$243,BD!$A$3:$A$5001,_xlfn.MAXIFS(BD!$A$3:$A$5001,BD!$B$3:$B$5001,E$243,BD!$A$3:$A$5001,"&gt;="&amp;$C$7,BD!$A$3:$A$5001,"&lt;="&amp;$B254,BD!$Z$3:$Z$5001,"&lt;&gt;"))))</f>
        <v/>
      </c>
      <c r="F254" s="42" t="str">
        <f>IF(OR($B254="",$A254&gt;$B$9),"",IF(COUNTIFS(BD!$B$3:$B$5001,F$243,BD!$A$3:$A$5001,"&gt;="&amp;$C$7,BD!$A$3:$A$5001,"&lt;="&amp;$B254,BD!$Z$3:$Z$5001,"&lt;&gt;")=0,"",SUMIFS(BD!$Z$3:$Z$5001,BD!$B$3:$B$5001,F$243,BD!$A$3:$A$5001,_xlfn.MAXIFS(BD!$A$3:$A$5001,BD!$B$3:$B$5001,F$243,BD!$A$3:$A$5001,"&gt;="&amp;$C$7,BD!$A$3:$A$5001,"&lt;="&amp;$B254,BD!$Z$3:$Z$5001,"&lt;&gt;"))))</f>
        <v/>
      </c>
      <c r="G254" s="42" t="str">
        <f>IF(OR($B254="",$A254&gt;$B$9),"",IF(COUNTIFS(BD!$B$3:$B$5001,G$243,BD!$A$3:$A$5001,"&gt;="&amp;$C$7,BD!$A$3:$A$5001,"&lt;="&amp;$B254,BD!$Z$3:$Z$5001,"&lt;&gt;")=0,"",SUMIFS(BD!$Z$3:$Z$5001,BD!$B$3:$B$5001,G$243,BD!$A$3:$A$5001,_xlfn.MAXIFS(BD!$A$3:$A$5001,BD!$B$3:$B$5001,G$243,BD!$A$3:$A$5001,"&gt;="&amp;$C$7,BD!$A$3:$A$5001,"&lt;="&amp;$B254,BD!$Z$3:$Z$5001,"&lt;&gt;"))))</f>
        <v/>
      </c>
      <c r="H254" s="42" t="str">
        <f>IF(OR($B254="",$A254&gt;$B$9),"",IF(COUNTIFS(BD!$B$3:$B$5001,H$243,BD!$A$3:$A$5001,"&gt;="&amp;$C$7,BD!$A$3:$A$5001,"&lt;="&amp;$B254,BD!$Z$3:$Z$5001,"&lt;&gt;")=0,"",SUMIFS(BD!$Z$3:$Z$5001,BD!$B$3:$B$5001,H$243,BD!$A$3:$A$5001,_xlfn.MAXIFS(BD!$A$3:$A$5001,BD!$B$3:$B$5001,H$243,BD!$A$3:$A$5001,"&gt;="&amp;$C$7,BD!$A$3:$A$5001,"&lt;="&amp;$B254,BD!$Z$3:$Z$5001,"&lt;&gt;"))))</f>
        <v/>
      </c>
      <c r="I254" s="42" t="str">
        <f>IF(OR($B254="",$A254&gt;$B$9),"",IF(COUNTIFS(BD!$B$3:$B$5001,I$243,BD!$A$3:$A$5001,"&gt;="&amp;$C$7,BD!$A$3:$A$5001,"&lt;="&amp;$B254,BD!$Z$3:$Z$5001,"&lt;&gt;")=0,"",SUMIFS(BD!$Z$3:$Z$5001,BD!$B$3:$B$5001,I$243,BD!$A$3:$A$5001,_xlfn.MAXIFS(BD!$A$3:$A$5001,BD!$B$3:$B$5001,I$243,BD!$A$3:$A$5001,"&gt;="&amp;$C$7,BD!$A$3:$A$5001,"&lt;="&amp;$B254,BD!$Z$3:$Z$5001,"&lt;&gt;"))))</f>
        <v/>
      </c>
      <c r="J254" s="42" t="str">
        <f>IF(OR($B254="",$A254&gt;$B$9),"",IF(COUNTIFS(BD!$B$3:$B$5001,J$243,BD!$A$3:$A$5001,"&gt;="&amp;$C$7,BD!$A$3:$A$5001,"&lt;="&amp;$B254,BD!$Z$3:$Z$5001,"&lt;&gt;")=0,"",SUMIFS(BD!$Z$3:$Z$5001,BD!$B$3:$B$5001,J$243,BD!$A$3:$A$5001,_xlfn.MAXIFS(BD!$A$3:$A$5001,BD!$B$3:$B$5001,J$243,BD!$A$3:$A$5001,"&gt;="&amp;$C$7,BD!$A$3:$A$5001,"&lt;="&amp;$B254,BD!$Z$3:$Z$5001,"&lt;&gt;"))))</f>
        <v/>
      </c>
      <c r="K254" s="42" t="str">
        <f>IF(OR($B254="",$A254&gt;$B$9),"",IF(COUNTIFS(BD!$B$3:$B$5001,K$243,BD!$A$3:$A$5001,"&gt;="&amp;$C$7,BD!$A$3:$A$5001,"&lt;="&amp;$B254,BD!$Z$3:$Z$5001,"&lt;&gt;")=0,"",SUMIFS(BD!$Z$3:$Z$5001,BD!$B$3:$B$5001,K$243,BD!$A$3:$A$5001,_xlfn.MAXIFS(BD!$A$3:$A$5001,BD!$B$3:$B$5001,K$243,BD!$A$3:$A$5001,"&gt;="&amp;$C$7,BD!$A$3:$A$5001,"&lt;="&amp;$B254,BD!$Z$3:$Z$5001,"&lt;&gt;"))))</f>
        <v/>
      </c>
      <c r="L254" s="42" t="str">
        <f>IF(OR($B254="",$A254&gt;$B$9),"",IF(COUNTIFS(BD!$B$3:$B$5001,L$243,BD!$A$3:$A$5001,"&gt;="&amp;$C$7,BD!$A$3:$A$5001,"&lt;="&amp;$B254,BD!$Z$3:$Z$5001,"&lt;&gt;")=0,"",SUMIFS(BD!$Z$3:$Z$5001,BD!$B$3:$B$5001,L$243,BD!$A$3:$A$5001,_xlfn.MAXIFS(BD!$A$3:$A$5001,BD!$B$3:$B$5001,L$243,BD!$A$3:$A$5001,"&gt;="&amp;$C$7,BD!$A$3:$A$5001,"&lt;="&amp;$B254,BD!$Z$3:$Z$5001,"&lt;&gt;"))))</f>
        <v/>
      </c>
    </row>
    <row r="255">
      <c r="A255" s="40">
        <v>12</v>
      </c>
      <c r="B255" s="41">
        <f>$B$23</f>
        <v>46307</v>
      </c>
      <c r="C255" s="42" t="str">
        <f>IF(OR($B255="",$A255&gt;$B$9),"",IF(COUNTIFS(BD!$B$3:$B$5001,C$243,BD!$A$3:$A$5001,"&gt;="&amp;$C$7,BD!$A$3:$A$5001,"&lt;="&amp;$B255,BD!$Z$3:$Z$5001,"&lt;&gt;")=0,"",SUMIFS(BD!$Z$3:$Z$5001,BD!$B$3:$B$5001,C$243,BD!$A$3:$A$5001,_xlfn.MAXIFS(BD!$A$3:$A$5001,BD!$B$3:$B$5001,C$243,BD!$A$3:$A$5001,"&gt;="&amp;$C$7,BD!$A$3:$A$5001,"&lt;="&amp;$B255,BD!$Z$3:$Z$5001,"&lt;&gt;"))))</f>
        <v/>
      </c>
      <c r="D255" s="42" t="str">
        <f>IF(OR($B255="",$A255&gt;$B$9),"",IF(COUNTIFS(BD!$B$3:$B$5001,D$243,BD!$A$3:$A$5001,"&gt;="&amp;$C$7,BD!$A$3:$A$5001,"&lt;="&amp;$B255,BD!$Z$3:$Z$5001,"&lt;&gt;")=0,"",SUMIFS(BD!$Z$3:$Z$5001,BD!$B$3:$B$5001,D$243,BD!$A$3:$A$5001,_xlfn.MAXIFS(BD!$A$3:$A$5001,BD!$B$3:$B$5001,D$243,BD!$A$3:$A$5001,"&gt;="&amp;$C$7,BD!$A$3:$A$5001,"&lt;="&amp;$B255,BD!$Z$3:$Z$5001,"&lt;&gt;"))))</f>
        <v/>
      </c>
      <c r="E255" s="42" t="str">
        <f>IF(OR($B255="",$A255&gt;$B$9),"",IF(COUNTIFS(BD!$B$3:$B$5001,E$243,BD!$A$3:$A$5001,"&gt;="&amp;$C$7,BD!$A$3:$A$5001,"&lt;="&amp;$B255,BD!$Z$3:$Z$5001,"&lt;&gt;")=0,"",SUMIFS(BD!$Z$3:$Z$5001,BD!$B$3:$B$5001,E$243,BD!$A$3:$A$5001,_xlfn.MAXIFS(BD!$A$3:$A$5001,BD!$B$3:$B$5001,E$243,BD!$A$3:$A$5001,"&gt;="&amp;$C$7,BD!$A$3:$A$5001,"&lt;="&amp;$B255,BD!$Z$3:$Z$5001,"&lt;&gt;"))))</f>
        <v/>
      </c>
      <c r="F255" s="42" t="str">
        <f>IF(OR($B255="",$A255&gt;$B$9),"",IF(COUNTIFS(BD!$B$3:$B$5001,F$243,BD!$A$3:$A$5001,"&gt;="&amp;$C$7,BD!$A$3:$A$5001,"&lt;="&amp;$B255,BD!$Z$3:$Z$5001,"&lt;&gt;")=0,"",SUMIFS(BD!$Z$3:$Z$5001,BD!$B$3:$B$5001,F$243,BD!$A$3:$A$5001,_xlfn.MAXIFS(BD!$A$3:$A$5001,BD!$B$3:$B$5001,F$243,BD!$A$3:$A$5001,"&gt;="&amp;$C$7,BD!$A$3:$A$5001,"&lt;="&amp;$B255,BD!$Z$3:$Z$5001,"&lt;&gt;"))))</f>
        <v/>
      </c>
      <c r="G255" s="42" t="str">
        <f>IF(OR($B255="",$A255&gt;$B$9),"",IF(COUNTIFS(BD!$B$3:$B$5001,G$243,BD!$A$3:$A$5001,"&gt;="&amp;$C$7,BD!$A$3:$A$5001,"&lt;="&amp;$B255,BD!$Z$3:$Z$5001,"&lt;&gt;")=0,"",SUMIFS(BD!$Z$3:$Z$5001,BD!$B$3:$B$5001,G$243,BD!$A$3:$A$5001,_xlfn.MAXIFS(BD!$A$3:$A$5001,BD!$B$3:$B$5001,G$243,BD!$A$3:$A$5001,"&gt;="&amp;$C$7,BD!$A$3:$A$5001,"&lt;="&amp;$B255,BD!$Z$3:$Z$5001,"&lt;&gt;"))))</f>
        <v/>
      </c>
      <c r="H255" s="42" t="str">
        <f>IF(OR($B255="",$A255&gt;$B$9),"",IF(COUNTIFS(BD!$B$3:$B$5001,H$243,BD!$A$3:$A$5001,"&gt;="&amp;$C$7,BD!$A$3:$A$5001,"&lt;="&amp;$B255,BD!$Z$3:$Z$5001,"&lt;&gt;")=0,"",SUMIFS(BD!$Z$3:$Z$5001,BD!$B$3:$B$5001,H$243,BD!$A$3:$A$5001,_xlfn.MAXIFS(BD!$A$3:$A$5001,BD!$B$3:$B$5001,H$243,BD!$A$3:$A$5001,"&gt;="&amp;$C$7,BD!$A$3:$A$5001,"&lt;="&amp;$B255,BD!$Z$3:$Z$5001,"&lt;&gt;"))))</f>
        <v/>
      </c>
      <c r="I255" s="42" t="str">
        <f>IF(OR($B255="",$A255&gt;$B$9),"",IF(COUNTIFS(BD!$B$3:$B$5001,I$243,BD!$A$3:$A$5001,"&gt;="&amp;$C$7,BD!$A$3:$A$5001,"&lt;="&amp;$B255,BD!$Z$3:$Z$5001,"&lt;&gt;")=0,"",SUMIFS(BD!$Z$3:$Z$5001,BD!$B$3:$B$5001,I$243,BD!$A$3:$A$5001,_xlfn.MAXIFS(BD!$A$3:$A$5001,BD!$B$3:$B$5001,I$243,BD!$A$3:$A$5001,"&gt;="&amp;$C$7,BD!$A$3:$A$5001,"&lt;="&amp;$B255,BD!$Z$3:$Z$5001,"&lt;&gt;"))))</f>
        <v/>
      </c>
      <c r="J255" s="42" t="str">
        <f>IF(OR($B255="",$A255&gt;$B$9),"",IF(COUNTIFS(BD!$B$3:$B$5001,J$243,BD!$A$3:$A$5001,"&gt;="&amp;$C$7,BD!$A$3:$A$5001,"&lt;="&amp;$B255,BD!$Z$3:$Z$5001,"&lt;&gt;")=0,"",SUMIFS(BD!$Z$3:$Z$5001,BD!$B$3:$B$5001,J$243,BD!$A$3:$A$5001,_xlfn.MAXIFS(BD!$A$3:$A$5001,BD!$B$3:$B$5001,J$243,BD!$A$3:$A$5001,"&gt;="&amp;$C$7,BD!$A$3:$A$5001,"&lt;="&amp;$B255,BD!$Z$3:$Z$5001,"&lt;&gt;"))))</f>
        <v/>
      </c>
      <c r="K255" s="42" t="str">
        <f>IF(OR($B255="",$A255&gt;$B$9),"",IF(COUNTIFS(BD!$B$3:$B$5001,K$243,BD!$A$3:$A$5001,"&gt;="&amp;$C$7,BD!$A$3:$A$5001,"&lt;="&amp;$B255,BD!$Z$3:$Z$5001,"&lt;&gt;")=0,"",SUMIFS(BD!$Z$3:$Z$5001,BD!$B$3:$B$5001,K$243,BD!$A$3:$A$5001,_xlfn.MAXIFS(BD!$A$3:$A$5001,BD!$B$3:$B$5001,K$243,BD!$A$3:$A$5001,"&gt;="&amp;$C$7,BD!$A$3:$A$5001,"&lt;="&amp;$B255,BD!$Z$3:$Z$5001,"&lt;&gt;"))))</f>
        <v/>
      </c>
      <c r="L255" s="42" t="str">
        <f>IF(OR($B255="",$A255&gt;$B$9),"",IF(COUNTIFS(BD!$B$3:$B$5001,L$243,BD!$A$3:$A$5001,"&gt;="&amp;$C$7,BD!$A$3:$A$5001,"&lt;="&amp;$B255,BD!$Z$3:$Z$5001,"&lt;&gt;")=0,"",SUMIFS(BD!$Z$3:$Z$5001,BD!$B$3:$B$5001,L$243,BD!$A$3:$A$5001,_xlfn.MAXIFS(BD!$A$3:$A$5001,BD!$B$3:$B$5001,L$243,BD!$A$3:$A$5001,"&gt;="&amp;$C$7,BD!$A$3:$A$5001,"&lt;="&amp;$B255,BD!$Z$3:$Z$5001,"&lt;&gt;"))))</f>
        <v/>
      </c>
    </row>
    <row r="256">
      <c r="A256" s="40">
        <v>13</v>
      </c>
      <c r="B256" s="41">
        <f>$B$24</f>
        <v>46308</v>
      </c>
      <c r="C256" s="42" t="str">
        <f>IF(OR($B256="",$A256&gt;$B$9),"",IF(COUNTIFS(BD!$B$3:$B$5001,C$243,BD!$A$3:$A$5001,"&gt;="&amp;$C$7,BD!$A$3:$A$5001,"&lt;="&amp;$B256,BD!$Z$3:$Z$5001,"&lt;&gt;")=0,"",SUMIFS(BD!$Z$3:$Z$5001,BD!$B$3:$B$5001,C$243,BD!$A$3:$A$5001,_xlfn.MAXIFS(BD!$A$3:$A$5001,BD!$B$3:$B$5001,C$243,BD!$A$3:$A$5001,"&gt;="&amp;$C$7,BD!$A$3:$A$5001,"&lt;="&amp;$B256,BD!$Z$3:$Z$5001,"&lt;&gt;"))))</f>
        <v/>
      </c>
      <c r="D256" s="42" t="str">
        <f>IF(OR($B256="",$A256&gt;$B$9),"",IF(COUNTIFS(BD!$B$3:$B$5001,D$243,BD!$A$3:$A$5001,"&gt;="&amp;$C$7,BD!$A$3:$A$5001,"&lt;="&amp;$B256,BD!$Z$3:$Z$5001,"&lt;&gt;")=0,"",SUMIFS(BD!$Z$3:$Z$5001,BD!$B$3:$B$5001,D$243,BD!$A$3:$A$5001,_xlfn.MAXIFS(BD!$A$3:$A$5001,BD!$B$3:$B$5001,D$243,BD!$A$3:$A$5001,"&gt;="&amp;$C$7,BD!$A$3:$A$5001,"&lt;="&amp;$B256,BD!$Z$3:$Z$5001,"&lt;&gt;"))))</f>
        <v/>
      </c>
      <c r="E256" s="42" t="str">
        <f>IF(OR($B256="",$A256&gt;$B$9),"",IF(COUNTIFS(BD!$B$3:$B$5001,E$243,BD!$A$3:$A$5001,"&gt;="&amp;$C$7,BD!$A$3:$A$5001,"&lt;="&amp;$B256,BD!$Z$3:$Z$5001,"&lt;&gt;")=0,"",SUMIFS(BD!$Z$3:$Z$5001,BD!$B$3:$B$5001,E$243,BD!$A$3:$A$5001,_xlfn.MAXIFS(BD!$A$3:$A$5001,BD!$B$3:$B$5001,E$243,BD!$A$3:$A$5001,"&gt;="&amp;$C$7,BD!$A$3:$A$5001,"&lt;="&amp;$B256,BD!$Z$3:$Z$5001,"&lt;&gt;"))))</f>
        <v/>
      </c>
      <c r="F256" s="42" t="str">
        <f>IF(OR($B256="",$A256&gt;$B$9),"",IF(COUNTIFS(BD!$B$3:$B$5001,F$243,BD!$A$3:$A$5001,"&gt;="&amp;$C$7,BD!$A$3:$A$5001,"&lt;="&amp;$B256,BD!$Z$3:$Z$5001,"&lt;&gt;")=0,"",SUMIFS(BD!$Z$3:$Z$5001,BD!$B$3:$B$5001,F$243,BD!$A$3:$A$5001,_xlfn.MAXIFS(BD!$A$3:$A$5001,BD!$B$3:$B$5001,F$243,BD!$A$3:$A$5001,"&gt;="&amp;$C$7,BD!$A$3:$A$5001,"&lt;="&amp;$B256,BD!$Z$3:$Z$5001,"&lt;&gt;"))))</f>
        <v/>
      </c>
      <c r="G256" s="42" t="str">
        <f>IF(OR($B256="",$A256&gt;$B$9),"",IF(COUNTIFS(BD!$B$3:$B$5001,G$243,BD!$A$3:$A$5001,"&gt;="&amp;$C$7,BD!$A$3:$A$5001,"&lt;="&amp;$B256,BD!$Z$3:$Z$5001,"&lt;&gt;")=0,"",SUMIFS(BD!$Z$3:$Z$5001,BD!$B$3:$B$5001,G$243,BD!$A$3:$A$5001,_xlfn.MAXIFS(BD!$A$3:$A$5001,BD!$B$3:$B$5001,G$243,BD!$A$3:$A$5001,"&gt;="&amp;$C$7,BD!$A$3:$A$5001,"&lt;="&amp;$B256,BD!$Z$3:$Z$5001,"&lt;&gt;"))))</f>
        <v/>
      </c>
      <c r="H256" s="42" t="str">
        <f>IF(OR($B256="",$A256&gt;$B$9),"",IF(COUNTIFS(BD!$B$3:$B$5001,H$243,BD!$A$3:$A$5001,"&gt;="&amp;$C$7,BD!$A$3:$A$5001,"&lt;="&amp;$B256,BD!$Z$3:$Z$5001,"&lt;&gt;")=0,"",SUMIFS(BD!$Z$3:$Z$5001,BD!$B$3:$B$5001,H$243,BD!$A$3:$A$5001,_xlfn.MAXIFS(BD!$A$3:$A$5001,BD!$B$3:$B$5001,H$243,BD!$A$3:$A$5001,"&gt;="&amp;$C$7,BD!$A$3:$A$5001,"&lt;="&amp;$B256,BD!$Z$3:$Z$5001,"&lt;&gt;"))))</f>
        <v/>
      </c>
      <c r="I256" s="42" t="str">
        <f>IF(OR($B256="",$A256&gt;$B$9),"",IF(COUNTIFS(BD!$B$3:$B$5001,I$243,BD!$A$3:$A$5001,"&gt;="&amp;$C$7,BD!$A$3:$A$5001,"&lt;="&amp;$B256,BD!$Z$3:$Z$5001,"&lt;&gt;")=0,"",SUMIFS(BD!$Z$3:$Z$5001,BD!$B$3:$B$5001,I$243,BD!$A$3:$A$5001,_xlfn.MAXIFS(BD!$A$3:$A$5001,BD!$B$3:$B$5001,I$243,BD!$A$3:$A$5001,"&gt;="&amp;$C$7,BD!$A$3:$A$5001,"&lt;="&amp;$B256,BD!$Z$3:$Z$5001,"&lt;&gt;"))))</f>
        <v/>
      </c>
      <c r="J256" s="42" t="str">
        <f>IF(OR($B256="",$A256&gt;$B$9),"",IF(COUNTIFS(BD!$B$3:$B$5001,J$243,BD!$A$3:$A$5001,"&gt;="&amp;$C$7,BD!$A$3:$A$5001,"&lt;="&amp;$B256,BD!$Z$3:$Z$5001,"&lt;&gt;")=0,"",SUMIFS(BD!$Z$3:$Z$5001,BD!$B$3:$B$5001,J$243,BD!$A$3:$A$5001,_xlfn.MAXIFS(BD!$A$3:$A$5001,BD!$B$3:$B$5001,J$243,BD!$A$3:$A$5001,"&gt;="&amp;$C$7,BD!$A$3:$A$5001,"&lt;="&amp;$B256,BD!$Z$3:$Z$5001,"&lt;&gt;"))))</f>
        <v/>
      </c>
      <c r="K256" s="42" t="str">
        <f>IF(OR($B256="",$A256&gt;$B$9),"",IF(COUNTIFS(BD!$B$3:$B$5001,K$243,BD!$A$3:$A$5001,"&gt;="&amp;$C$7,BD!$A$3:$A$5001,"&lt;="&amp;$B256,BD!$Z$3:$Z$5001,"&lt;&gt;")=0,"",SUMIFS(BD!$Z$3:$Z$5001,BD!$B$3:$B$5001,K$243,BD!$A$3:$A$5001,_xlfn.MAXIFS(BD!$A$3:$A$5001,BD!$B$3:$B$5001,K$243,BD!$A$3:$A$5001,"&gt;="&amp;$C$7,BD!$A$3:$A$5001,"&lt;="&amp;$B256,BD!$Z$3:$Z$5001,"&lt;&gt;"))))</f>
        <v/>
      </c>
      <c r="L256" s="42" t="str">
        <f>IF(OR($B256="",$A256&gt;$B$9),"",IF(COUNTIFS(BD!$B$3:$B$5001,L$243,BD!$A$3:$A$5001,"&gt;="&amp;$C$7,BD!$A$3:$A$5001,"&lt;="&amp;$B256,BD!$Z$3:$Z$5001,"&lt;&gt;")=0,"",SUMIFS(BD!$Z$3:$Z$5001,BD!$B$3:$B$5001,L$243,BD!$A$3:$A$5001,_xlfn.MAXIFS(BD!$A$3:$A$5001,BD!$B$3:$B$5001,L$243,BD!$A$3:$A$5001,"&gt;="&amp;$C$7,BD!$A$3:$A$5001,"&lt;="&amp;$B256,BD!$Z$3:$Z$5001,"&lt;&gt;"))))</f>
        <v/>
      </c>
    </row>
    <row r="257">
      <c r="A257" s="40">
        <v>14</v>
      </c>
      <c r="B257" s="41">
        <f>$B$25</f>
        <v>46309</v>
      </c>
      <c r="C257" s="42" t="str">
        <f>IF(OR($B257="",$A257&gt;$B$9),"",IF(COUNTIFS(BD!$B$3:$B$5001,C$243,BD!$A$3:$A$5001,"&gt;="&amp;$C$7,BD!$A$3:$A$5001,"&lt;="&amp;$B257,BD!$Z$3:$Z$5001,"&lt;&gt;")=0,"",SUMIFS(BD!$Z$3:$Z$5001,BD!$B$3:$B$5001,C$243,BD!$A$3:$A$5001,_xlfn.MAXIFS(BD!$A$3:$A$5001,BD!$B$3:$B$5001,C$243,BD!$A$3:$A$5001,"&gt;="&amp;$C$7,BD!$A$3:$A$5001,"&lt;="&amp;$B257,BD!$Z$3:$Z$5001,"&lt;&gt;"))))</f>
        <v/>
      </c>
      <c r="D257" s="42" t="str">
        <f>IF(OR($B257="",$A257&gt;$B$9),"",IF(COUNTIFS(BD!$B$3:$B$5001,D$243,BD!$A$3:$A$5001,"&gt;="&amp;$C$7,BD!$A$3:$A$5001,"&lt;="&amp;$B257,BD!$Z$3:$Z$5001,"&lt;&gt;")=0,"",SUMIFS(BD!$Z$3:$Z$5001,BD!$B$3:$B$5001,D$243,BD!$A$3:$A$5001,_xlfn.MAXIFS(BD!$A$3:$A$5001,BD!$B$3:$B$5001,D$243,BD!$A$3:$A$5001,"&gt;="&amp;$C$7,BD!$A$3:$A$5001,"&lt;="&amp;$B257,BD!$Z$3:$Z$5001,"&lt;&gt;"))))</f>
        <v/>
      </c>
      <c r="E257" s="42" t="str">
        <f>IF(OR($B257="",$A257&gt;$B$9),"",IF(COUNTIFS(BD!$B$3:$B$5001,E$243,BD!$A$3:$A$5001,"&gt;="&amp;$C$7,BD!$A$3:$A$5001,"&lt;="&amp;$B257,BD!$Z$3:$Z$5001,"&lt;&gt;")=0,"",SUMIFS(BD!$Z$3:$Z$5001,BD!$B$3:$B$5001,E$243,BD!$A$3:$A$5001,_xlfn.MAXIFS(BD!$A$3:$A$5001,BD!$B$3:$B$5001,E$243,BD!$A$3:$A$5001,"&gt;="&amp;$C$7,BD!$A$3:$A$5001,"&lt;="&amp;$B257,BD!$Z$3:$Z$5001,"&lt;&gt;"))))</f>
        <v/>
      </c>
      <c r="F257" s="42" t="str">
        <f>IF(OR($B257="",$A257&gt;$B$9),"",IF(COUNTIFS(BD!$B$3:$B$5001,F$243,BD!$A$3:$A$5001,"&gt;="&amp;$C$7,BD!$A$3:$A$5001,"&lt;="&amp;$B257,BD!$Z$3:$Z$5001,"&lt;&gt;")=0,"",SUMIFS(BD!$Z$3:$Z$5001,BD!$B$3:$B$5001,F$243,BD!$A$3:$A$5001,_xlfn.MAXIFS(BD!$A$3:$A$5001,BD!$B$3:$B$5001,F$243,BD!$A$3:$A$5001,"&gt;="&amp;$C$7,BD!$A$3:$A$5001,"&lt;="&amp;$B257,BD!$Z$3:$Z$5001,"&lt;&gt;"))))</f>
        <v/>
      </c>
      <c r="G257" s="42" t="str">
        <f>IF(OR($B257="",$A257&gt;$B$9),"",IF(COUNTIFS(BD!$B$3:$B$5001,G$243,BD!$A$3:$A$5001,"&gt;="&amp;$C$7,BD!$A$3:$A$5001,"&lt;="&amp;$B257,BD!$Z$3:$Z$5001,"&lt;&gt;")=0,"",SUMIFS(BD!$Z$3:$Z$5001,BD!$B$3:$B$5001,G$243,BD!$A$3:$A$5001,_xlfn.MAXIFS(BD!$A$3:$A$5001,BD!$B$3:$B$5001,G$243,BD!$A$3:$A$5001,"&gt;="&amp;$C$7,BD!$A$3:$A$5001,"&lt;="&amp;$B257,BD!$Z$3:$Z$5001,"&lt;&gt;"))))</f>
        <v/>
      </c>
      <c r="H257" s="42" t="str">
        <f>IF(OR($B257="",$A257&gt;$B$9),"",IF(COUNTIFS(BD!$B$3:$B$5001,H$243,BD!$A$3:$A$5001,"&gt;="&amp;$C$7,BD!$A$3:$A$5001,"&lt;="&amp;$B257,BD!$Z$3:$Z$5001,"&lt;&gt;")=0,"",SUMIFS(BD!$Z$3:$Z$5001,BD!$B$3:$B$5001,H$243,BD!$A$3:$A$5001,_xlfn.MAXIFS(BD!$A$3:$A$5001,BD!$B$3:$B$5001,H$243,BD!$A$3:$A$5001,"&gt;="&amp;$C$7,BD!$A$3:$A$5001,"&lt;="&amp;$B257,BD!$Z$3:$Z$5001,"&lt;&gt;"))))</f>
        <v/>
      </c>
      <c r="I257" s="42" t="str">
        <f>IF(OR($B257="",$A257&gt;$B$9),"",IF(COUNTIFS(BD!$B$3:$B$5001,I$243,BD!$A$3:$A$5001,"&gt;="&amp;$C$7,BD!$A$3:$A$5001,"&lt;="&amp;$B257,BD!$Z$3:$Z$5001,"&lt;&gt;")=0,"",SUMIFS(BD!$Z$3:$Z$5001,BD!$B$3:$B$5001,I$243,BD!$A$3:$A$5001,_xlfn.MAXIFS(BD!$A$3:$A$5001,BD!$B$3:$B$5001,I$243,BD!$A$3:$A$5001,"&gt;="&amp;$C$7,BD!$A$3:$A$5001,"&lt;="&amp;$B257,BD!$Z$3:$Z$5001,"&lt;&gt;"))))</f>
        <v/>
      </c>
      <c r="J257" s="42" t="str">
        <f>IF(OR($B257="",$A257&gt;$B$9),"",IF(COUNTIFS(BD!$B$3:$B$5001,J$243,BD!$A$3:$A$5001,"&gt;="&amp;$C$7,BD!$A$3:$A$5001,"&lt;="&amp;$B257,BD!$Z$3:$Z$5001,"&lt;&gt;")=0,"",SUMIFS(BD!$Z$3:$Z$5001,BD!$B$3:$B$5001,J$243,BD!$A$3:$A$5001,_xlfn.MAXIFS(BD!$A$3:$A$5001,BD!$B$3:$B$5001,J$243,BD!$A$3:$A$5001,"&gt;="&amp;$C$7,BD!$A$3:$A$5001,"&lt;="&amp;$B257,BD!$Z$3:$Z$5001,"&lt;&gt;"))))</f>
        <v/>
      </c>
      <c r="K257" s="42" t="str">
        <f>IF(OR($B257="",$A257&gt;$B$9),"",IF(COUNTIFS(BD!$B$3:$B$5001,K$243,BD!$A$3:$A$5001,"&gt;="&amp;$C$7,BD!$A$3:$A$5001,"&lt;="&amp;$B257,BD!$Z$3:$Z$5001,"&lt;&gt;")=0,"",SUMIFS(BD!$Z$3:$Z$5001,BD!$B$3:$B$5001,K$243,BD!$A$3:$A$5001,_xlfn.MAXIFS(BD!$A$3:$A$5001,BD!$B$3:$B$5001,K$243,BD!$A$3:$A$5001,"&gt;="&amp;$C$7,BD!$A$3:$A$5001,"&lt;="&amp;$B257,BD!$Z$3:$Z$5001,"&lt;&gt;"))))</f>
        <v/>
      </c>
      <c r="L257" s="42" t="str">
        <f>IF(OR($B257="",$A257&gt;$B$9),"",IF(COUNTIFS(BD!$B$3:$B$5001,L$243,BD!$A$3:$A$5001,"&gt;="&amp;$C$7,BD!$A$3:$A$5001,"&lt;="&amp;$B257,BD!$Z$3:$Z$5001,"&lt;&gt;")=0,"",SUMIFS(BD!$Z$3:$Z$5001,BD!$B$3:$B$5001,L$243,BD!$A$3:$A$5001,_xlfn.MAXIFS(BD!$A$3:$A$5001,BD!$B$3:$B$5001,L$243,BD!$A$3:$A$5001,"&gt;="&amp;$C$7,BD!$A$3:$A$5001,"&lt;="&amp;$B257,BD!$Z$3:$Z$5001,"&lt;&gt;"))))</f>
        <v/>
      </c>
    </row>
    <row r="258">
      <c r="A258" s="40">
        <v>15</v>
      </c>
      <c r="B258" s="41">
        <f>$B$26</f>
        <v>46310</v>
      </c>
      <c r="C258" s="42" t="str">
        <f>IF(OR($B258="",$A258&gt;$B$9),"",IF(COUNTIFS(BD!$B$3:$B$5001,C$243,BD!$A$3:$A$5001,"&gt;="&amp;$C$7,BD!$A$3:$A$5001,"&lt;="&amp;$B258,BD!$Z$3:$Z$5001,"&lt;&gt;")=0,"",SUMIFS(BD!$Z$3:$Z$5001,BD!$B$3:$B$5001,C$243,BD!$A$3:$A$5001,_xlfn.MAXIFS(BD!$A$3:$A$5001,BD!$B$3:$B$5001,C$243,BD!$A$3:$A$5001,"&gt;="&amp;$C$7,BD!$A$3:$A$5001,"&lt;="&amp;$B258,BD!$Z$3:$Z$5001,"&lt;&gt;"))))</f>
        <v/>
      </c>
      <c r="D258" s="42" t="str">
        <f>IF(OR($B258="",$A258&gt;$B$9),"",IF(COUNTIFS(BD!$B$3:$B$5001,D$243,BD!$A$3:$A$5001,"&gt;="&amp;$C$7,BD!$A$3:$A$5001,"&lt;="&amp;$B258,BD!$Z$3:$Z$5001,"&lt;&gt;")=0,"",SUMIFS(BD!$Z$3:$Z$5001,BD!$B$3:$B$5001,D$243,BD!$A$3:$A$5001,_xlfn.MAXIFS(BD!$A$3:$A$5001,BD!$B$3:$B$5001,D$243,BD!$A$3:$A$5001,"&gt;="&amp;$C$7,BD!$A$3:$A$5001,"&lt;="&amp;$B258,BD!$Z$3:$Z$5001,"&lt;&gt;"))))</f>
        <v/>
      </c>
      <c r="E258" s="42" t="str">
        <f>IF(OR($B258="",$A258&gt;$B$9),"",IF(COUNTIFS(BD!$B$3:$B$5001,E$243,BD!$A$3:$A$5001,"&gt;="&amp;$C$7,BD!$A$3:$A$5001,"&lt;="&amp;$B258,BD!$Z$3:$Z$5001,"&lt;&gt;")=0,"",SUMIFS(BD!$Z$3:$Z$5001,BD!$B$3:$B$5001,E$243,BD!$A$3:$A$5001,_xlfn.MAXIFS(BD!$A$3:$A$5001,BD!$B$3:$B$5001,E$243,BD!$A$3:$A$5001,"&gt;="&amp;$C$7,BD!$A$3:$A$5001,"&lt;="&amp;$B258,BD!$Z$3:$Z$5001,"&lt;&gt;"))))</f>
        <v/>
      </c>
      <c r="F258" s="42" t="str">
        <f>IF(OR($B258="",$A258&gt;$B$9),"",IF(COUNTIFS(BD!$B$3:$B$5001,F$243,BD!$A$3:$A$5001,"&gt;="&amp;$C$7,BD!$A$3:$A$5001,"&lt;="&amp;$B258,BD!$Z$3:$Z$5001,"&lt;&gt;")=0,"",SUMIFS(BD!$Z$3:$Z$5001,BD!$B$3:$B$5001,F$243,BD!$A$3:$A$5001,_xlfn.MAXIFS(BD!$A$3:$A$5001,BD!$B$3:$B$5001,F$243,BD!$A$3:$A$5001,"&gt;="&amp;$C$7,BD!$A$3:$A$5001,"&lt;="&amp;$B258,BD!$Z$3:$Z$5001,"&lt;&gt;"))))</f>
        <v/>
      </c>
      <c r="G258" s="42" t="str">
        <f>IF(OR($B258="",$A258&gt;$B$9),"",IF(COUNTIFS(BD!$B$3:$B$5001,G$243,BD!$A$3:$A$5001,"&gt;="&amp;$C$7,BD!$A$3:$A$5001,"&lt;="&amp;$B258,BD!$Z$3:$Z$5001,"&lt;&gt;")=0,"",SUMIFS(BD!$Z$3:$Z$5001,BD!$B$3:$B$5001,G$243,BD!$A$3:$A$5001,_xlfn.MAXIFS(BD!$A$3:$A$5001,BD!$B$3:$B$5001,G$243,BD!$A$3:$A$5001,"&gt;="&amp;$C$7,BD!$A$3:$A$5001,"&lt;="&amp;$B258,BD!$Z$3:$Z$5001,"&lt;&gt;"))))</f>
        <v/>
      </c>
      <c r="H258" s="42" t="str">
        <f>IF(OR($B258="",$A258&gt;$B$9),"",IF(COUNTIFS(BD!$B$3:$B$5001,H$243,BD!$A$3:$A$5001,"&gt;="&amp;$C$7,BD!$A$3:$A$5001,"&lt;="&amp;$B258,BD!$Z$3:$Z$5001,"&lt;&gt;")=0,"",SUMIFS(BD!$Z$3:$Z$5001,BD!$B$3:$B$5001,H$243,BD!$A$3:$A$5001,_xlfn.MAXIFS(BD!$A$3:$A$5001,BD!$B$3:$B$5001,H$243,BD!$A$3:$A$5001,"&gt;="&amp;$C$7,BD!$A$3:$A$5001,"&lt;="&amp;$B258,BD!$Z$3:$Z$5001,"&lt;&gt;"))))</f>
        <v/>
      </c>
      <c r="I258" s="42" t="str">
        <f>IF(OR($B258="",$A258&gt;$B$9),"",IF(COUNTIFS(BD!$B$3:$B$5001,I$243,BD!$A$3:$A$5001,"&gt;="&amp;$C$7,BD!$A$3:$A$5001,"&lt;="&amp;$B258,BD!$Z$3:$Z$5001,"&lt;&gt;")=0,"",SUMIFS(BD!$Z$3:$Z$5001,BD!$B$3:$B$5001,I$243,BD!$A$3:$A$5001,_xlfn.MAXIFS(BD!$A$3:$A$5001,BD!$B$3:$B$5001,I$243,BD!$A$3:$A$5001,"&gt;="&amp;$C$7,BD!$A$3:$A$5001,"&lt;="&amp;$B258,BD!$Z$3:$Z$5001,"&lt;&gt;"))))</f>
        <v/>
      </c>
      <c r="J258" s="42" t="str">
        <f>IF(OR($B258="",$A258&gt;$B$9),"",IF(COUNTIFS(BD!$B$3:$B$5001,J$243,BD!$A$3:$A$5001,"&gt;="&amp;$C$7,BD!$A$3:$A$5001,"&lt;="&amp;$B258,BD!$Z$3:$Z$5001,"&lt;&gt;")=0,"",SUMIFS(BD!$Z$3:$Z$5001,BD!$B$3:$B$5001,J$243,BD!$A$3:$A$5001,_xlfn.MAXIFS(BD!$A$3:$A$5001,BD!$B$3:$B$5001,J$243,BD!$A$3:$A$5001,"&gt;="&amp;$C$7,BD!$A$3:$A$5001,"&lt;="&amp;$B258,BD!$Z$3:$Z$5001,"&lt;&gt;"))))</f>
        <v/>
      </c>
      <c r="K258" s="42" t="str">
        <f>IF(OR($B258="",$A258&gt;$B$9),"",IF(COUNTIFS(BD!$B$3:$B$5001,K$243,BD!$A$3:$A$5001,"&gt;="&amp;$C$7,BD!$A$3:$A$5001,"&lt;="&amp;$B258,BD!$Z$3:$Z$5001,"&lt;&gt;")=0,"",SUMIFS(BD!$Z$3:$Z$5001,BD!$B$3:$B$5001,K$243,BD!$A$3:$A$5001,_xlfn.MAXIFS(BD!$A$3:$A$5001,BD!$B$3:$B$5001,K$243,BD!$A$3:$A$5001,"&gt;="&amp;$C$7,BD!$A$3:$A$5001,"&lt;="&amp;$B258,BD!$Z$3:$Z$5001,"&lt;&gt;"))))</f>
        <v/>
      </c>
      <c r="L258" s="42" t="str">
        <f>IF(OR($B258="",$A258&gt;$B$9),"",IF(COUNTIFS(BD!$B$3:$B$5001,L$243,BD!$A$3:$A$5001,"&gt;="&amp;$C$7,BD!$A$3:$A$5001,"&lt;="&amp;$B258,BD!$Z$3:$Z$5001,"&lt;&gt;")=0,"",SUMIFS(BD!$Z$3:$Z$5001,BD!$B$3:$B$5001,L$243,BD!$A$3:$A$5001,_xlfn.MAXIFS(BD!$A$3:$A$5001,BD!$B$3:$B$5001,L$243,BD!$A$3:$A$5001,"&gt;="&amp;$C$7,BD!$A$3:$A$5001,"&lt;="&amp;$B258,BD!$Z$3:$Z$5001,"&lt;&gt;"))))</f>
        <v/>
      </c>
    </row>
    <row r="259">
      <c r="A259" s="40">
        <v>16</v>
      </c>
      <c r="B259" s="41">
        <f>$B$27</f>
        <v>46311</v>
      </c>
      <c r="C259" s="42" t="str">
        <f>IF(OR($B259="",$A259&gt;$B$9),"",IF(COUNTIFS(BD!$B$3:$B$5001,C$243,BD!$A$3:$A$5001,"&gt;="&amp;$C$7,BD!$A$3:$A$5001,"&lt;="&amp;$B259,BD!$Z$3:$Z$5001,"&lt;&gt;")=0,"",SUMIFS(BD!$Z$3:$Z$5001,BD!$B$3:$B$5001,C$243,BD!$A$3:$A$5001,_xlfn.MAXIFS(BD!$A$3:$A$5001,BD!$B$3:$B$5001,C$243,BD!$A$3:$A$5001,"&gt;="&amp;$C$7,BD!$A$3:$A$5001,"&lt;="&amp;$B259,BD!$Z$3:$Z$5001,"&lt;&gt;"))))</f>
        <v/>
      </c>
      <c r="D259" s="42" t="str">
        <f>IF(OR($B259="",$A259&gt;$B$9),"",IF(COUNTIFS(BD!$B$3:$B$5001,D$243,BD!$A$3:$A$5001,"&gt;="&amp;$C$7,BD!$A$3:$A$5001,"&lt;="&amp;$B259,BD!$Z$3:$Z$5001,"&lt;&gt;")=0,"",SUMIFS(BD!$Z$3:$Z$5001,BD!$B$3:$B$5001,D$243,BD!$A$3:$A$5001,_xlfn.MAXIFS(BD!$A$3:$A$5001,BD!$B$3:$B$5001,D$243,BD!$A$3:$A$5001,"&gt;="&amp;$C$7,BD!$A$3:$A$5001,"&lt;="&amp;$B259,BD!$Z$3:$Z$5001,"&lt;&gt;"))))</f>
        <v/>
      </c>
      <c r="E259" s="42" t="str">
        <f>IF(OR($B259="",$A259&gt;$B$9),"",IF(COUNTIFS(BD!$B$3:$B$5001,E$243,BD!$A$3:$A$5001,"&gt;="&amp;$C$7,BD!$A$3:$A$5001,"&lt;="&amp;$B259,BD!$Z$3:$Z$5001,"&lt;&gt;")=0,"",SUMIFS(BD!$Z$3:$Z$5001,BD!$B$3:$B$5001,E$243,BD!$A$3:$A$5001,_xlfn.MAXIFS(BD!$A$3:$A$5001,BD!$B$3:$B$5001,E$243,BD!$A$3:$A$5001,"&gt;="&amp;$C$7,BD!$A$3:$A$5001,"&lt;="&amp;$B259,BD!$Z$3:$Z$5001,"&lt;&gt;"))))</f>
        <v/>
      </c>
      <c r="F259" s="42" t="str">
        <f>IF(OR($B259="",$A259&gt;$B$9),"",IF(COUNTIFS(BD!$B$3:$B$5001,F$243,BD!$A$3:$A$5001,"&gt;="&amp;$C$7,BD!$A$3:$A$5001,"&lt;="&amp;$B259,BD!$Z$3:$Z$5001,"&lt;&gt;")=0,"",SUMIFS(BD!$Z$3:$Z$5001,BD!$B$3:$B$5001,F$243,BD!$A$3:$A$5001,_xlfn.MAXIFS(BD!$A$3:$A$5001,BD!$B$3:$B$5001,F$243,BD!$A$3:$A$5001,"&gt;="&amp;$C$7,BD!$A$3:$A$5001,"&lt;="&amp;$B259,BD!$Z$3:$Z$5001,"&lt;&gt;"))))</f>
        <v/>
      </c>
      <c r="G259" s="42" t="str">
        <f>IF(OR($B259="",$A259&gt;$B$9),"",IF(COUNTIFS(BD!$B$3:$B$5001,G$243,BD!$A$3:$A$5001,"&gt;="&amp;$C$7,BD!$A$3:$A$5001,"&lt;="&amp;$B259,BD!$Z$3:$Z$5001,"&lt;&gt;")=0,"",SUMIFS(BD!$Z$3:$Z$5001,BD!$B$3:$B$5001,G$243,BD!$A$3:$A$5001,_xlfn.MAXIFS(BD!$A$3:$A$5001,BD!$B$3:$B$5001,G$243,BD!$A$3:$A$5001,"&gt;="&amp;$C$7,BD!$A$3:$A$5001,"&lt;="&amp;$B259,BD!$Z$3:$Z$5001,"&lt;&gt;"))))</f>
        <v/>
      </c>
      <c r="H259" s="42" t="str">
        <f>IF(OR($B259="",$A259&gt;$B$9),"",IF(COUNTIFS(BD!$B$3:$B$5001,H$243,BD!$A$3:$A$5001,"&gt;="&amp;$C$7,BD!$A$3:$A$5001,"&lt;="&amp;$B259,BD!$Z$3:$Z$5001,"&lt;&gt;")=0,"",SUMIFS(BD!$Z$3:$Z$5001,BD!$B$3:$B$5001,H$243,BD!$A$3:$A$5001,_xlfn.MAXIFS(BD!$A$3:$A$5001,BD!$B$3:$B$5001,H$243,BD!$A$3:$A$5001,"&gt;="&amp;$C$7,BD!$A$3:$A$5001,"&lt;="&amp;$B259,BD!$Z$3:$Z$5001,"&lt;&gt;"))))</f>
        <v/>
      </c>
      <c r="I259" s="42" t="str">
        <f>IF(OR($B259="",$A259&gt;$B$9),"",IF(COUNTIFS(BD!$B$3:$B$5001,I$243,BD!$A$3:$A$5001,"&gt;="&amp;$C$7,BD!$A$3:$A$5001,"&lt;="&amp;$B259,BD!$Z$3:$Z$5001,"&lt;&gt;")=0,"",SUMIFS(BD!$Z$3:$Z$5001,BD!$B$3:$B$5001,I$243,BD!$A$3:$A$5001,_xlfn.MAXIFS(BD!$A$3:$A$5001,BD!$B$3:$B$5001,I$243,BD!$A$3:$A$5001,"&gt;="&amp;$C$7,BD!$A$3:$A$5001,"&lt;="&amp;$B259,BD!$Z$3:$Z$5001,"&lt;&gt;"))))</f>
        <v/>
      </c>
      <c r="J259" s="42" t="str">
        <f>IF(OR($B259="",$A259&gt;$B$9),"",IF(COUNTIFS(BD!$B$3:$B$5001,J$243,BD!$A$3:$A$5001,"&gt;="&amp;$C$7,BD!$A$3:$A$5001,"&lt;="&amp;$B259,BD!$Z$3:$Z$5001,"&lt;&gt;")=0,"",SUMIFS(BD!$Z$3:$Z$5001,BD!$B$3:$B$5001,J$243,BD!$A$3:$A$5001,_xlfn.MAXIFS(BD!$A$3:$A$5001,BD!$B$3:$B$5001,J$243,BD!$A$3:$A$5001,"&gt;="&amp;$C$7,BD!$A$3:$A$5001,"&lt;="&amp;$B259,BD!$Z$3:$Z$5001,"&lt;&gt;"))))</f>
        <v/>
      </c>
      <c r="K259" s="42" t="str">
        <f>IF(OR($B259="",$A259&gt;$B$9),"",IF(COUNTIFS(BD!$B$3:$B$5001,K$243,BD!$A$3:$A$5001,"&gt;="&amp;$C$7,BD!$A$3:$A$5001,"&lt;="&amp;$B259,BD!$Z$3:$Z$5001,"&lt;&gt;")=0,"",SUMIFS(BD!$Z$3:$Z$5001,BD!$B$3:$B$5001,K$243,BD!$A$3:$A$5001,_xlfn.MAXIFS(BD!$A$3:$A$5001,BD!$B$3:$B$5001,K$243,BD!$A$3:$A$5001,"&gt;="&amp;$C$7,BD!$A$3:$A$5001,"&lt;="&amp;$B259,BD!$Z$3:$Z$5001,"&lt;&gt;"))))</f>
        <v/>
      </c>
      <c r="L259" s="42" t="str">
        <f>IF(OR($B259="",$A259&gt;$B$9),"",IF(COUNTIFS(BD!$B$3:$B$5001,L$243,BD!$A$3:$A$5001,"&gt;="&amp;$C$7,BD!$A$3:$A$5001,"&lt;="&amp;$B259,BD!$Z$3:$Z$5001,"&lt;&gt;")=0,"",SUMIFS(BD!$Z$3:$Z$5001,BD!$B$3:$B$5001,L$243,BD!$A$3:$A$5001,_xlfn.MAXIFS(BD!$A$3:$A$5001,BD!$B$3:$B$5001,L$243,BD!$A$3:$A$5001,"&gt;="&amp;$C$7,BD!$A$3:$A$5001,"&lt;="&amp;$B259,BD!$Z$3:$Z$5001,"&lt;&gt;"))))</f>
        <v/>
      </c>
    </row>
    <row r="260">
      <c r="A260" s="40">
        <v>17</v>
      </c>
      <c r="B260" s="41">
        <f>$B$28</f>
        <v>46312</v>
      </c>
      <c r="C260" s="42" t="str">
        <f>IF(OR($B260="",$A260&gt;$B$9),"",IF(COUNTIFS(BD!$B$3:$B$5001,C$243,BD!$A$3:$A$5001,"&gt;="&amp;$C$7,BD!$A$3:$A$5001,"&lt;="&amp;$B260,BD!$Z$3:$Z$5001,"&lt;&gt;")=0,"",SUMIFS(BD!$Z$3:$Z$5001,BD!$B$3:$B$5001,C$243,BD!$A$3:$A$5001,_xlfn.MAXIFS(BD!$A$3:$A$5001,BD!$B$3:$B$5001,C$243,BD!$A$3:$A$5001,"&gt;="&amp;$C$7,BD!$A$3:$A$5001,"&lt;="&amp;$B260,BD!$Z$3:$Z$5001,"&lt;&gt;"))))</f>
        <v/>
      </c>
      <c r="D260" s="42" t="str">
        <f>IF(OR($B260="",$A260&gt;$B$9),"",IF(COUNTIFS(BD!$B$3:$B$5001,D$243,BD!$A$3:$A$5001,"&gt;="&amp;$C$7,BD!$A$3:$A$5001,"&lt;="&amp;$B260,BD!$Z$3:$Z$5001,"&lt;&gt;")=0,"",SUMIFS(BD!$Z$3:$Z$5001,BD!$B$3:$B$5001,D$243,BD!$A$3:$A$5001,_xlfn.MAXIFS(BD!$A$3:$A$5001,BD!$B$3:$B$5001,D$243,BD!$A$3:$A$5001,"&gt;="&amp;$C$7,BD!$A$3:$A$5001,"&lt;="&amp;$B260,BD!$Z$3:$Z$5001,"&lt;&gt;"))))</f>
        <v/>
      </c>
      <c r="E260" s="42" t="str">
        <f>IF(OR($B260="",$A260&gt;$B$9),"",IF(COUNTIFS(BD!$B$3:$B$5001,E$243,BD!$A$3:$A$5001,"&gt;="&amp;$C$7,BD!$A$3:$A$5001,"&lt;="&amp;$B260,BD!$Z$3:$Z$5001,"&lt;&gt;")=0,"",SUMIFS(BD!$Z$3:$Z$5001,BD!$B$3:$B$5001,E$243,BD!$A$3:$A$5001,_xlfn.MAXIFS(BD!$A$3:$A$5001,BD!$B$3:$B$5001,E$243,BD!$A$3:$A$5001,"&gt;="&amp;$C$7,BD!$A$3:$A$5001,"&lt;="&amp;$B260,BD!$Z$3:$Z$5001,"&lt;&gt;"))))</f>
        <v/>
      </c>
      <c r="F260" s="42" t="str">
        <f>IF(OR($B260="",$A260&gt;$B$9),"",IF(COUNTIFS(BD!$B$3:$B$5001,F$243,BD!$A$3:$A$5001,"&gt;="&amp;$C$7,BD!$A$3:$A$5001,"&lt;="&amp;$B260,BD!$Z$3:$Z$5001,"&lt;&gt;")=0,"",SUMIFS(BD!$Z$3:$Z$5001,BD!$B$3:$B$5001,F$243,BD!$A$3:$A$5001,_xlfn.MAXIFS(BD!$A$3:$A$5001,BD!$B$3:$B$5001,F$243,BD!$A$3:$A$5001,"&gt;="&amp;$C$7,BD!$A$3:$A$5001,"&lt;="&amp;$B260,BD!$Z$3:$Z$5001,"&lt;&gt;"))))</f>
        <v/>
      </c>
      <c r="G260" s="42" t="str">
        <f>IF(OR($B260="",$A260&gt;$B$9),"",IF(COUNTIFS(BD!$B$3:$B$5001,G$243,BD!$A$3:$A$5001,"&gt;="&amp;$C$7,BD!$A$3:$A$5001,"&lt;="&amp;$B260,BD!$Z$3:$Z$5001,"&lt;&gt;")=0,"",SUMIFS(BD!$Z$3:$Z$5001,BD!$B$3:$B$5001,G$243,BD!$A$3:$A$5001,_xlfn.MAXIFS(BD!$A$3:$A$5001,BD!$B$3:$B$5001,G$243,BD!$A$3:$A$5001,"&gt;="&amp;$C$7,BD!$A$3:$A$5001,"&lt;="&amp;$B260,BD!$Z$3:$Z$5001,"&lt;&gt;"))))</f>
        <v/>
      </c>
      <c r="H260" s="42" t="str">
        <f>IF(OR($B260="",$A260&gt;$B$9),"",IF(COUNTIFS(BD!$B$3:$B$5001,H$243,BD!$A$3:$A$5001,"&gt;="&amp;$C$7,BD!$A$3:$A$5001,"&lt;="&amp;$B260,BD!$Z$3:$Z$5001,"&lt;&gt;")=0,"",SUMIFS(BD!$Z$3:$Z$5001,BD!$B$3:$B$5001,H$243,BD!$A$3:$A$5001,_xlfn.MAXIFS(BD!$A$3:$A$5001,BD!$B$3:$B$5001,H$243,BD!$A$3:$A$5001,"&gt;="&amp;$C$7,BD!$A$3:$A$5001,"&lt;="&amp;$B260,BD!$Z$3:$Z$5001,"&lt;&gt;"))))</f>
        <v/>
      </c>
      <c r="I260" s="42" t="str">
        <f>IF(OR($B260="",$A260&gt;$B$9),"",IF(COUNTIFS(BD!$B$3:$B$5001,I$243,BD!$A$3:$A$5001,"&gt;="&amp;$C$7,BD!$A$3:$A$5001,"&lt;="&amp;$B260,BD!$Z$3:$Z$5001,"&lt;&gt;")=0,"",SUMIFS(BD!$Z$3:$Z$5001,BD!$B$3:$B$5001,I$243,BD!$A$3:$A$5001,_xlfn.MAXIFS(BD!$A$3:$A$5001,BD!$B$3:$B$5001,I$243,BD!$A$3:$A$5001,"&gt;="&amp;$C$7,BD!$A$3:$A$5001,"&lt;="&amp;$B260,BD!$Z$3:$Z$5001,"&lt;&gt;"))))</f>
        <v/>
      </c>
      <c r="J260" s="42" t="str">
        <f>IF(OR($B260="",$A260&gt;$B$9),"",IF(COUNTIFS(BD!$B$3:$B$5001,J$243,BD!$A$3:$A$5001,"&gt;="&amp;$C$7,BD!$A$3:$A$5001,"&lt;="&amp;$B260,BD!$Z$3:$Z$5001,"&lt;&gt;")=0,"",SUMIFS(BD!$Z$3:$Z$5001,BD!$B$3:$B$5001,J$243,BD!$A$3:$A$5001,_xlfn.MAXIFS(BD!$A$3:$A$5001,BD!$B$3:$B$5001,J$243,BD!$A$3:$A$5001,"&gt;="&amp;$C$7,BD!$A$3:$A$5001,"&lt;="&amp;$B260,BD!$Z$3:$Z$5001,"&lt;&gt;"))))</f>
        <v/>
      </c>
      <c r="K260" s="42" t="str">
        <f>IF(OR($B260="",$A260&gt;$B$9),"",IF(COUNTIFS(BD!$B$3:$B$5001,K$243,BD!$A$3:$A$5001,"&gt;="&amp;$C$7,BD!$A$3:$A$5001,"&lt;="&amp;$B260,BD!$Z$3:$Z$5001,"&lt;&gt;")=0,"",SUMIFS(BD!$Z$3:$Z$5001,BD!$B$3:$B$5001,K$243,BD!$A$3:$A$5001,_xlfn.MAXIFS(BD!$A$3:$A$5001,BD!$B$3:$B$5001,K$243,BD!$A$3:$A$5001,"&gt;="&amp;$C$7,BD!$A$3:$A$5001,"&lt;="&amp;$B260,BD!$Z$3:$Z$5001,"&lt;&gt;"))))</f>
        <v/>
      </c>
      <c r="L260" s="42" t="str">
        <f>IF(OR($B260="",$A260&gt;$B$9),"",IF(COUNTIFS(BD!$B$3:$B$5001,L$243,BD!$A$3:$A$5001,"&gt;="&amp;$C$7,BD!$A$3:$A$5001,"&lt;="&amp;$B260,BD!$Z$3:$Z$5001,"&lt;&gt;")=0,"",SUMIFS(BD!$Z$3:$Z$5001,BD!$B$3:$B$5001,L$243,BD!$A$3:$A$5001,_xlfn.MAXIFS(BD!$A$3:$A$5001,BD!$B$3:$B$5001,L$243,BD!$A$3:$A$5001,"&gt;="&amp;$C$7,BD!$A$3:$A$5001,"&lt;="&amp;$B260,BD!$Z$3:$Z$5001,"&lt;&gt;"))))</f>
        <v/>
      </c>
    </row>
    <row r="261">
      <c r="A261" s="40">
        <v>18</v>
      </c>
      <c r="B261" s="41">
        <f>$B$29</f>
        <v>46313</v>
      </c>
      <c r="C261" s="42" t="str">
        <f>IF(OR($B261="",$A261&gt;$B$9),"",IF(COUNTIFS(BD!$B$3:$B$5001,C$243,BD!$A$3:$A$5001,"&gt;="&amp;$C$7,BD!$A$3:$A$5001,"&lt;="&amp;$B261,BD!$Z$3:$Z$5001,"&lt;&gt;")=0,"",SUMIFS(BD!$Z$3:$Z$5001,BD!$B$3:$B$5001,C$243,BD!$A$3:$A$5001,_xlfn.MAXIFS(BD!$A$3:$A$5001,BD!$B$3:$B$5001,C$243,BD!$A$3:$A$5001,"&gt;="&amp;$C$7,BD!$A$3:$A$5001,"&lt;="&amp;$B261,BD!$Z$3:$Z$5001,"&lt;&gt;"))))</f>
        <v/>
      </c>
      <c r="D261" s="42" t="str">
        <f>IF(OR($B261="",$A261&gt;$B$9),"",IF(COUNTIFS(BD!$B$3:$B$5001,D$243,BD!$A$3:$A$5001,"&gt;="&amp;$C$7,BD!$A$3:$A$5001,"&lt;="&amp;$B261,BD!$Z$3:$Z$5001,"&lt;&gt;")=0,"",SUMIFS(BD!$Z$3:$Z$5001,BD!$B$3:$B$5001,D$243,BD!$A$3:$A$5001,_xlfn.MAXIFS(BD!$A$3:$A$5001,BD!$B$3:$B$5001,D$243,BD!$A$3:$A$5001,"&gt;="&amp;$C$7,BD!$A$3:$A$5001,"&lt;="&amp;$B261,BD!$Z$3:$Z$5001,"&lt;&gt;"))))</f>
        <v/>
      </c>
      <c r="E261" s="42" t="str">
        <f>IF(OR($B261="",$A261&gt;$B$9),"",IF(COUNTIFS(BD!$B$3:$B$5001,E$243,BD!$A$3:$A$5001,"&gt;="&amp;$C$7,BD!$A$3:$A$5001,"&lt;="&amp;$B261,BD!$Z$3:$Z$5001,"&lt;&gt;")=0,"",SUMIFS(BD!$Z$3:$Z$5001,BD!$B$3:$B$5001,E$243,BD!$A$3:$A$5001,_xlfn.MAXIFS(BD!$A$3:$A$5001,BD!$B$3:$B$5001,E$243,BD!$A$3:$A$5001,"&gt;="&amp;$C$7,BD!$A$3:$A$5001,"&lt;="&amp;$B261,BD!$Z$3:$Z$5001,"&lt;&gt;"))))</f>
        <v/>
      </c>
      <c r="F261" s="42" t="str">
        <f>IF(OR($B261="",$A261&gt;$B$9),"",IF(COUNTIFS(BD!$B$3:$B$5001,F$243,BD!$A$3:$A$5001,"&gt;="&amp;$C$7,BD!$A$3:$A$5001,"&lt;="&amp;$B261,BD!$Z$3:$Z$5001,"&lt;&gt;")=0,"",SUMIFS(BD!$Z$3:$Z$5001,BD!$B$3:$B$5001,F$243,BD!$A$3:$A$5001,_xlfn.MAXIFS(BD!$A$3:$A$5001,BD!$B$3:$B$5001,F$243,BD!$A$3:$A$5001,"&gt;="&amp;$C$7,BD!$A$3:$A$5001,"&lt;="&amp;$B261,BD!$Z$3:$Z$5001,"&lt;&gt;"))))</f>
        <v/>
      </c>
      <c r="G261" s="42" t="str">
        <f>IF(OR($B261="",$A261&gt;$B$9),"",IF(COUNTIFS(BD!$B$3:$B$5001,G$243,BD!$A$3:$A$5001,"&gt;="&amp;$C$7,BD!$A$3:$A$5001,"&lt;="&amp;$B261,BD!$Z$3:$Z$5001,"&lt;&gt;")=0,"",SUMIFS(BD!$Z$3:$Z$5001,BD!$B$3:$B$5001,G$243,BD!$A$3:$A$5001,_xlfn.MAXIFS(BD!$A$3:$A$5001,BD!$B$3:$B$5001,G$243,BD!$A$3:$A$5001,"&gt;="&amp;$C$7,BD!$A$3:$A$5001,"&lt;="&amp;$B261,BD!$Z$3:$Z$5001,"&lt;&gt;"))))</f>
        <v/>
      </c>
      <c r="H261" s="42" t="str">
        <f>IF(OR($B261="",$A261&gt;$B$9),"",IF(COUNTIFS(BD!$B$3:$B$5001,H$243,BD!$A$3:$A$5001,"&gt;="&amp;$C$7,BD!$A$3:$A$5001,"&lt;="&amp;$B261,BD!$Z$3:$Z$5001,"&lt;&gt;")=0,"",SUMIFS(BD!$Z$3:$Z$5001,BD!$B$3:$B$5001,H$243,BD!$A$3:$A$5001,_xlfn.MAXIFS(BD!$A$3:$A$5001,BD!$B$3:$B$5001,H$243,BD!$A$3:$A$5001,"&gt;="&amp;$C$7,BD!$A$3:$A$5001,"&lt;="&amp;$B261,BD!$Z$3:$Z$5001,"&lt;&gt;"))))</f>
        <v/>
      </c>
      <c r="I261" s="42" t="str">
        <f>IF(OR($B261="",$A261&gt;$B$9),"",IF(COUNTIFS(BD!$B$3:$B$5001,I$243,BD!$A$3:$A$5001,"&gt;="&amp;$C$7,BD!$A$3:$A$5001,"&lt;="&amp;$B261,BD!$Z$3:$Z$5001,"&lt;&gt;")=0,"",SUMIFS(BD!$Z$3:$Z$5001,BD!$B$3:$B$5001,I$243,BD!$A$3:$A$5001,_xlfn.MAXIFS(BD!$A$3:$A$5001,BD!$B$3:$B$5001,I$243,BD!$A$3:$A$5001,"&gt;="&amp;$C$7,BD!$A$3:$A$5001,"&lt;="&amp;$B261,BD!$Z$3:$Z$5001,"&lt;&gt;"))))</f>
        <v/>
      </c>
      <c r="J261" s="42" t="str">
        <f>IF(OR($B261="",$A261&gt;$B$9),"",IF(COUNTIFS(BD!$B$3:$B$5001,J$243,BD!$A$3:$A$5001,"&gt;="&amp;$C$7,BD!$A$3:$A$5001,"&lt;="&amp;$B261,BD!$Z$3:$Z$5001,"&lt;&gt;")=0,"",SUMIFS(BD!$Z$3:$Z$5001,BD!$B$3:$B$5001,J$243,BD!$A$3:$A$5001,_xlfn.MAXIFS(BD!$A$3:$A$5001,BD!$B$3:$B$5001,J$243,BD!$A$3:$A$5001,"&gt;="&amp;$C$7,BD!$A$3:$A$5001,"&lt;="&amp;$B261,BD!$Z$3:$Z$5001,"&lt;&gt;"))))</f>
        <v/>
      </c>
      <c r="K261" s="42" t="str">
        <f>IF(OR($B261="",$A261&gt;$B$9),"",IF(COUNTIFS(BD!$B$3:$B$5001,K$243,BD!$A$3:$A$5001,"&gt;="&amp;$C$7,BD!$A$3:$A$5001,"&lt;="&amp;$B261,BD!$Z$3:$Z$5001,"&lt;&gt;")=0,"",SUMIFS(BD!$Z$3:$Z$5001,BD!$B$3:$B$5001,K$243,BD!$A$3:$A$5001,_xlfn.MAXIFS(BD!$A$3:$A$5001,BD!$B$3:$B$5001,K$243,BD!$A$3:$A$5001,"&gt;="&amp;$C$7,BD!$A$3:$A$5001,"&lt;="&amp;$B261,BD!$Z$3:$Z$5001,"&lt;&gt;"))))</f>
        <v/>
      </c>
      <c r="L261" s="42" t="str">
        <f>IF(OR($B261="",$A261&gt;$B$9),"",IF(COUNTIFS(BD!$B$3:$B$5001,L$243,BD!$A$3:$A$5001,"&gt;="&amp;$C$7,BD!$A$3:$A$5001,"&lt;="&amp;$B261,BD!$Z$3:$Z$5001,"&lt;&gt;")=0,"",SUMIFS(BD!$Z$3:$Z$5001,BD!$B$3:$B$5001,L$243,BD!$A$3:$A$5001,_xlfn.MAXIFS(BD!$A$3:$A$5001,BD!$B$3:$B$5001,L$243,BD!$A$3:$A$5001,"&gt;="&amp;$C$7,BD!$A$3:$A$5001,"&lt;="&amp;$B261,BD!$Z$3:$Z$5001,"&lt;&gt;"))))</f>
        <v/>
      </c>
    </row>
    <row r="262">
      <c r="A262" s="40">
        <v>19</v>
      </c>
      <c r="B262" s="41">
        <f>$B$30</f>
        <v>46314</v>
      </c>
      <c r="C262" s="42" t="str">
        <f>IF(OR($B262="",$A262&gt;$B$9),"",IF(COUNTIFS(BD!$B$3:$B$5001,C$243,BD!$A$3:$A$5001,"&gt;="&amp;$C$7,BD!$A$3:$A$5001,"&lt;="&amp;$B262,BD!$Z$3:$Z$5001,"&lt;&gt;")=0,"",SUMIFS(BD!$Z$3:$Z$5001,BD!$B$3:$B$5001,C$243,BD!$A$3:$A$5001,_xlfn.MAXIFS(BD!$A$3:$A$5001,BD!$B$3:$B$5001,C$243,BD!$A$3:$A$5001,"&gt;="&amp;$C$7,BD!$A$3:$A$5001,"&lt;="&amp;$B262,BD!$Z$3:$Z$5001,"&lt;&gt;"))))</f>
        <v/>
      </c>
      <c r="D262" s="42" t="str">
        <f>IF(OR($B262="",$A262&gt;$B$9),"",IF(COUNTIFS(BD!$B$3:$B$5001,D$243,BD!$A$3:$A$5001,"&gt;="&amp;$C$7,BD!$A$3:$A$5001,"&lt;="&amp;$B262,BD!$Z$3:$Z$5001,"&lt;&gt;")=0,"",SUMIFS(BD!$Z$3:$Z$5001,BD!$B$3:$B$5001,D$243,BD!$A$3:$A$5001,_xlfn.MAXIFS(BD!$A$3:$A$5001,BD!$B$3:$B$5001,D$243,BD!$A$3:$A$5001,"&gt;="&amp;$C$7,BD!$A$3:$A$5001,"&lt;="&amp;$B262,BD!$Z$3:$Z$5001,"&lt;&gt;"))))</f>
        <v/>
      </c>
      <c r="E262" s="42" t="str">
        <f>IF(OR($B262="",$A262&gt;$B$9),"",IF(COUNTIFS(BD!$B$3:$B$5001,E$243,BD!$A$3:$A$5001,"&gt;="&amp;$C$7,BD!$A$3:$A$5001,"&lt;="&amp;$B262,BD!$Z$3:$Z$5001,"&lt;&gt;")=0,"",SUMIFS(BD!$Z$3:$Z$5001,BD!$B$3:$B$5001,E$243,BD!$A$3:$A$5001,_xlfn.MAXIFS(BD!$A$3:$A$5001,BD!$B$3:$B$5001,E$243,BD!$A$3:$A$5001,"&gt;="&amp;$C$7,BD!$A$3:$A$5001,"&lt;="&amp;$B262,BD!$Z$3:$Z$5001,"&lt;&gt;"))))</f>
        <v/>
      </c>
      <c r="F262" s="42" t="str">
        <f>IF(OR($B262="",$A262&gt;$B$9),"",IF(COUNTIFS(BD!$B$3:$B$5001,F$243,BD!$A$3:$A$5001,"&gt;="&amp;$C$7,BD!$A$3:$A$5001,"&lt;="&amp;$B262,BD!$Z$3:$Z$5001,"&lt;&gt;")=0,"",SUMIFS(BD!$Z$3:$Z$5001,BD!$B$3:$B$5001,F$243,BD!$A$3:$A$5001,_xlfn.MAXIFS(BD!$A$3:$A$5001,BD!$B$3:$B$5001,F$243,BD!$A$3:$A$5001,"&gt;="&amp;$C$7,BD!$A$3:$A$5001,"&lt;="&amp;$B262,BD!$Z$3:$Z$5001,"&lt;&gt;"))))</f>
        <v/>
      </c>
      <c r="G262" s="42" t="str">
        <f>IF(OR($B262="",$A262&gt;$B$9),"",IF(COUNTIFS(BD!$B$3:$B$5001,G$243,BD!$A$3:$A$5001,"&gt;="&amp;$C$7,BD!$A$3:$A$5001,"&lt;="&amp;$B262,BD!$Z$3:$Z$5001,"&lt;&gt;")=0,"",SUMIFS(BD!$Z$3:$Z$5001,BD!$B$3:$B$5001,G$243,BD!$A$3:$A$5001,_xlfn.MAXIFS(BD!$A$3:$A$5001,BD!$B$3:$B$5001,G$243,BD!$A$3:$A$5001,"&gt;="&amp;$C$7,BD!$A$3:$A$5001,"&lt;="&amp;$B262,BD!$Z$3:$Z$5001,"&lt;&gt;"))))</f>
        <v/>
      </c>
      <c r="H262" s="42" t="str">
        <f>IF(OR($B262="",$A262&gt;$B$9),"",IF(COUNTIFS(BD!$B$3:$B$5001,H$243,BD!$A$3:$A$5001,"&gt;="&amp;$C$7,BD!$A$3:$A$5001,"&lt;="&amp;$B262,BD!$Z$3:$Z$5001,"&lt;&gt;")=0,"",SUMIFS(BD!$Z$3:$Z$5001,BD!$B$3:$B$5001,H$243,BD!$A$3:$A$5001,_xlfn.MAXIFS(BD!$A$3:$A$5001,BD!$B$3:$B$5001,H$243,BD!$A$3:$A$5001,"&gt;="&amp;$C$7,BD!$A$3:$A$5001,"&lt;="&amp;$B262,BD!$Z$3:$Z$5001,"&lt;&gt;"))))</f>
        <v/>
      </c>
      <c r="I262" s="42" t="str">
        <f>IF(OR($B262="",$A262&gt;$B$9),"",IF(COUNTIFS(BD!$B$3:$B$5001,I$243,BD!$A$3:$A$5001,"&gt;="&amp;$C$7,BD!$A$3:$A$5001,"&lt;="&amp;$B262,BD!$Z$3:$Z$5001,"&lt;&gt;")=0,"",SUMIFS(BD!$Z$3:$Z$5001,BD!$B$3:$B$5001,I$243,BD!$A$3:$A$5001,_xlfn.MAXIFS(BD!$A$3:$A$5001,BD!$B$3:$B$5001,I$243,BD!$A$3:$A$5001,"&gt;="&amp;$C$7,BD!$A$3:$A$5001,"&lt;="&amp;$B262,BD!$Z$3:$Z$5001,"&lt;&gt;"))))</f>
        <v/>
      </c>
      <c r="J262" s="42" t="str">
        <f>IF(OR($B262="",$A262&gt;$B$9),"",IF(COUNTIFS(BD!$B$3:$B$5001,J$243,BD!$A$3:$A$5001,"&gt;="&amp;$C$7,BD!$A$3:$A$5001,"&lt;="&amp;$B262,BD!$Z$3:$Z$5001,"&lt;&gt;")=0,"",SUMIFS(BD!$Z$3:$Z$5001,BD!$B$3:$B$5001,J$243,BD!$A$3:$A$5001,_xlfn.MAXIFS(BD!$A$3:$A$5001,BD!$B$3:$B$5001,J$243,BD!$A$3:$A$5001,"&gt;="&amp;$C$7,BD!$A$3:$A$5001,"&lt;="&amp;$B262,BD!$Z$3:$Z$5001,"&lt;&gt;"))))</f>
        <v/>
      </c>
      <c r="K262" s="42" t="str">
        <f>IF(OR($B262="",$A262&gt;$B$9),"",IF(COUNTIFS(BD!$B$3:$B$5001,K$243,BD!$A$3:$A$5001,"&gt;="&amp;$C$7,BD!$A$3:$A$5001,"&lt;="&amp;$B262,BD!$Z$3:$Z$5001,"&lt;&gt;")=0,"",SUMIFS(BD!$Z$3:$Z$5001,BD!$B$3:$B$5001,K$243,BD!$A$3:$A$5001,_xlfn.MAXIFS(BD!$A$3:$A$5001,BD!$B$3:$B$5001,K$243,BD!$A$3:$A$5001,"&gt;="&amp;$C$7,BD!$A$3:$A$5001,"&lt;="&amp;$B262,BD!$Z$3:$Z$5001,"&lt;&gt;"))))</f>
        <v/>
      </c>
      <c r="L262" s="42" t="str">
        <f>IF(OR($B262="",$A262&gt;$B$9),"",IF(COUNTIFS(BD!$B$3:$B$5001,L$243,BD!$A$3:$A$5001,"&gt;="&amp;$C$7,BD!$A$3:$A$5001,"&lt;="&amp;$B262,BD!$Z$3:$Z$5001,"&lt;&gt;")=0,"",SUMIFS(BD!$Z$3:$Z$5001,BD!$B$3:$B$5001,L$243,BD!$A$3:$A$5001,_xlfn.MAXIFS(BD!$A$3:$A$5001,BD!$B$3:$B$5001,L$243,BD!$A$3:$A$5001,"&gt;="&amp;$C$7,BD!$A$3:$A$5001,"&lt;="&amp;$B262,BD!$Z$3:$Z$5001,"&lt;&gt;"))))</f>
        <v/>
      </c>
    </row>
    <row r="263">
      <c r="A263" s="40">
        <v>20</v>
      </c>
      <c r="B263" s="41">
        <f>$B$31</f>
        <v>46315</v>
      </c>
      <c r="C263" s="42" t="str">
        <f>IF(OR($B263="",$A263&gt;$B$9),"",IF(COUNTIFS(BD!$B$3:$B$5001,C$243,BD!$A$3:$A$5001,"&gt;="&amp;$C$7,BD!$A$3:$A$5001,"&lt;="&amp;$B263,BD!$Z$3:$Z$5001,"&lt;&gt;")=0,"",SUMIFS(BD!$Z$3:$Z$5001,BD!$B$3:$B$5001,C$243,BD!$A$3:$A$5001,_xlfn.MAXIFS(BD!$A$3:$A$5001,BD!$B$3:$B$5001,C$243,BD!$A$3:$A$5001,"&gt;="&amp;$C$7,BD!$A$3:$A$5001,"&lt;="&amp;$B263,BD!$Z$3:$Z$5001,"&lt;&gt;"))))</f>
        <v/>
      </c>
      <c r="D263" s="42" t="str">
        <f>IF(OR($B263="",$A263&gt;$B$9),"",IF(COUNTIFS(BD!$B$3:$B$5001,D$243,BD!$A$3:$A$5001,"&gt;="&amp;$C$7,BD!$A$3:$A$5001,"&lt;="&amp;$B263,BD!$Z$3:$Z$5001,"&lt;&gt;")=0,"",SUMIFS(BD!$Z$3:$Z$5001,BD!$B$3:$B$5001,D$243,BD!$A$3:$A$5001,_xlfn.MAXIFS(BD!$A$3:$A$5001,BD!$B$3:$B$5001,D$243,BD!$A$3:$A$5001,"&gt;="&amp;$C$7,BD!$A$3:$A$5001,"&lt;="&amp;$B263,BD!$Z$3:$Z$5001,"&lt;&gt;"))))</f>
        <v/>
      </c>
      <c r="E263" s="42" t="str">
        <f>IF(OR($B263="",$A263&gt;$B$9),"",IF(COUNTIFS(BD!$B$3:$B$5001,E$243,BD!$A$3:$A$5001,"&gt;="&amp;$C$7,BD!$A$3:$A$5001,"&lt;="&amp;$B263,BD!$Z$3:$Z$5001,"&lt;&gt;")=0,"",SUMIFS(BD!$Z$3:$Z$5001,BD!$B$3:$B$5001,E$243,BD!$A$3:$A$5001,_xlfn.MAXIFS(BD!$A$3:$A$5001,BD!$B$3:$B$5001,E$243,BD!$A$3:$A$5001,"&gt;="&amp;$C$7,BD!$A$3:$A$5001,"&lt;="&amp;$B263,BD!$Z$3:$Z$5001,"&lt;&gt;"))))</f>
        <v/>
      </c>
      <c r="F263" s="42" t="str">
        <f>IF(OR($B263="",$A263&gt;$B$9),"",IF(COUNTIFS(BD!$B$3:$B$5001,F$243,BD!$A$3:$A$5001,"&gt;="&amp;$C$7,BD!$A$3:$A$5001,"&lt;="&amp;$B263,BD!$Z$3:$Z$5001,"&lt;&gt;")=0,"",SUMIFS(BD!$Z$3:$Z$5001,BD!$B$3:$B$5001,F$243,BD!$A$3:$A$5001,_xlfn.MAXIFS(BD!$A$3:$A$5001,BD!$B$3:$B$5001,F$243,BD!$A$3:$A$5001,"&gt;="&amp;$C$7,BD!$A$3:$A$5001,"&lt;="&amp;$B263,BD!$Z$3:$Z$5001,"&lt;&gt;"))))</f>
        <v/>
      </c>
      <c r="G263" s="42" t="str">
        <f>IF(OR($B263="",$A263&gt;$B$9),"",IF(COUNTIFS(BD!$B$3:$B$5001,G$243,BD!$A$3:$A$5001,"&gt;="&amp;$C$7,BD!$A$3:$A$5001,"&lt;="&amp;$B263,BD!$Z$3:$Z$5001,"&lt;&gt;")=0,"",SUMIFS(BD!$Z$3:$Z$5001,BD!$B$3:$B$5001,G$243,BD!$A$3:$A$5001,_xlfn.MAXIFS(BD!$A$3:$A$5001,BD!$B$3:$B$5001,G$243,BD!$A$3:$A$5001,"&gt;="&amp;$C$7,BD!$A$3:$A$5001,"&lt;="&amp;$B263,BD!$Z$3:$Z$5001,"&lt;&gt;"))))</f>
        <v/>
      </c>
      <c r="H263" s="42" t="str">
        <f>IF(OR($B263="",$A263&gt;$B$9),"",IF(COUNTIFS(BD!$B$3:$B$5001,H$243,BD!$A$3:$A$5001,"&gt;="&amp;$C$7,BD!$A$3:$A$5001,"&lt;="&amp;$B263,BD!$Z$3:$Z$5001,"&lt;&gt;")=0,"",SUMIFS(BD!$Z$3:$Z$5001,BD!$B$3:$B$5001,H$243,BD!$A$3:$A$5001,_xlfn.MAXIFS(BD!$A$3:$A$5001,BD!$B$3:$B$5001,H$243,BD!$A$3:$A$5001,"&gt;="&amp;$C$7,BD!$A$3:$A$5001,"&lt;="&amp;$B263,BD!$Z$3:$Z$5001,"&lt;&gt;"))))</f>
        <v/>
      </c>
      <c r="I263" s="42" t="str">
        <f>IF(OR($B263="",$A263&gt;$B$9),"",IF(COUNTIFS(BD!$B$3:$B$5001,I$243,BD!$A$3:$A$5001,"&gt;="&amp;$C$7,BD!$A$3:$A$5001,"&lt;="&amp;$B263,BD!$Z$3:$Z$5001,"&lt;&gt;")=0,"",SUMIFS(BD!$Z$3:$Z$5001,BD!$B$3:$B$5001,I$243,BD!$A$3:$A$5001,_xlfn.MAXIFS(BD!$A$3:$A$5001,BD!$B$3:$B$5001,I$243,BD!$A$3:$A$5001,"&gt;="&amp;$C$7,BD!$A$3:$A$5001,"&lt;="&amp;$B263,BD!$Z$3:$Z$5001,"&lt;&gt;"))))</f>
        <v/>
      </c>
      <c r="J263" s="42" t="str">
        <f>IF(OR($B263="",$A263&gt;$B$9),"",IF(COUNTIFS(BD!$B$3:$B$5001,J$243,BD!$A$3:$A$5001,"&gt;="&amp;$C$7,BD!$A$3:$A$5001,"&lt;="&amp;$B263,BD!$Z$3:$Z$5001,"&lt;&gt;")=0,"",SUMIFS(BD!$Z$3:$Z$5001,BD!$B$3:$B$5001,J$243,BD!$A$3:$A$5001,_xlfn.MAXIFS(BD!$A$3:$A$5001,BD!$B$3:$B$5001,J$243,BD!$A$3:$A$5001,"&gt;="&amp;$C$7,BD!$A$3:$A$5001,"&lt;="&amp;$B263,BD!$Z$3:$Z$5001,"&lt;&gt;"))))</f>
        <v/>
      </c>
      <c r="K263" s="42" t="str">
        <f>IF(OR($B263="",$A263&gt;$B$9),"",IF(COUNTIFS(BD!$B$3:$B$5001,K$243,BD!$A$3:$A$5001,"&gt;="&amp;$C$7,BD!$A$3:$A$5001,"&lt;="&amp;$B263,BD!$Z$3:$Z$5001,"&lt;&gt;")=0,"",SUMIFS(BD!$Z$3:$Z$5001,BD!$B$3:$B$5001,K$243,BD!$A$3:$A$5001,_xlfn.MAXIFS(BD!$A$3:$A$5001,BD!$B$3:$B$5001,K$243,BD!$A$3:$A$5001,"&gt;="&amp;$C$7,BD!$A$3:$A$5001,"&lt;="&amp;$B263,BD!$Z$3:$Z$5001,"&lt;&gt;"))))</f>
        <v/>
      </c>
      <c r="L263" s="42" t="str">
        <f>IF(OR($B263="",$A263&gt;$B$9),"",IF(COUNTIFS(BD!$B$3:$B$5001,L$243,BD!$A$3:$A$5001,"&gt;="&amp;$C$7,BD!$A$3:$A$5001,"&lt;="&amp;$B263,BD!$Z$3:$Z$5001,"&lt;&gt;")=0,"",SUMIFS(BD!$Z$3:$Z$5001,BD!$B$3:$B$5001,L$243,BD!$A$3:$A$5001,_xlfn.MAXIFS(BD!$A$3:$A$5001,BD!$B$3:$B$5001,L$243,BD!$A$3:$A$5001,"&gt;="&amp;$C$7,BD!$A$3:$A$5001,"&lt;="&amp;$B263,BD!$Z$3:$Z$5001,"&lt;&gt;"))))</f>
        <v/>
      </c>
    </row>
    <row r="264">
      <c r="A264" s="40">
        <v>21</v>
      </c>
      <c r="B264" s="41">
        <f>$B$32</f>
        <v>46316</v>
      </c>
      <c r="C264" s="42" t="str">
        <f>IF(OR($B264="",$A264&gt;$B$9),"",IF(COUNTIFS(BD!$B$3:$B$5001,C$243,BD!$A$3:$A$5001,"&gt;="&amp;$C$7,BD!$A$3:$A$5001,"&lt;="&amp;$B264,BD!$Z$3:$Z$5001,"&lt;&gt;")=0,"",SUMIFS(BD!$Z$3:$Z$5001,BD!$B$3:$B$5001,C$243,BD!$A$3:$A$5001,_xlfn.MAXIFS(BD!$A$3:$A$5001,BD!$B$3:$B$5001,C$243,BD!$A$3:$A$5001,"&gt;="&amp;$C$7,BD!$A$3:$A$5001,"&lt;="&amp;$B264,BD!$Z$3:$Z$5001,"&lt;&gt;"))))</f>
        <v/>
      </c>
      <c r="D264" s="42" t="str">
        <f>IF(OR($B264="",$A264&gt;$B$9),"",IF(COUNTIFS(BD!$B$3:$B$5001,D$243,BD!$A$3:$A$5001,"&gt;="&amp;$C$7,BD!$A$3:$A$5001,"&lt;="&amp;$B264,BD!$Z$3:$Z$5001,"&lt;&gt;")=0,"",SUMIFS(BD!$Z$3:$Z$5001,BD!$B$3:$B$5001,D$243,BD!$A$3:$A$5001,_xlfn.MAXIFS(BD!$A$3:$A$5001,BD!$B$3:$B$5001,D$243,BD!$A$3:$A$5001,"&gt;="&amp;$C$7,BD!$A$3:$A$5001,"&lt;="&amp;$B264,BD!$Z$3:$Z$5001,"&lt;&gt;"))))</f>
        <v/>
      </c>
      <c r="E264" s="42" t="str">
        <f>IF(OR($B264="",$A264&gt;$B$9),"",IF(COUNTIFS(BD!$B$3:$B$5001,E$243,BD!$A$3:$A$5001,"&gt;="&amp;$C$7,BD!$A$3:$A$5001,"&lt;="&amp;$B264,BD!$Z$3:$Z$5001,"&lt;&gt;")=0,"",SUMIFS(BD!$Z$3:$Z$5001,BD!$B$3:$B$5001,E$243,BD!$A$3:$A$5001,_xlfn.MAXIFS(BD!$A$3:$A$5001,BD!$B$3:$B$5001,E$243,BD!$A$3:$A$5001,"&gt;="&amp;$C$7,BD!$A$3:$A$5001,"&lt;="&amp;$B264,BD!$Z$3:$Z$5001,"&lt;&gt;"))))</f>
        <v/>
      </c>
      <c r="F264" s="42" t="str">
        <f>IF(OR($B264="",$A264&gt;$B$9),"",IF(COUNTIFS(BD!$B$3:$B$5001,F$243,BD!$A$3:$A$5001,"&gt;="&amp;$C$7,BD!$A$3:$A$5001,"&lt;="&amp;$B264,BD!$Z$3:$Z$5001,"&lt;&gt;")=0,"",SUMIFS(BD!$Z$3:$Z$5001,BD!$B$3:$B$5001,F$243,BD!$A$3:$A$5001,_xlfn.MAXIFS(BD!$A$3:$A$5001,BD!$B$3:$B$5001,F$243,BD!$A$3:$A$5001,"&gt;="&amp;$C$7,BD!$A$3:$A$5001,"&lt;="&amp;$B264,BD!$Z$3:$Z$5001,"&lt;&gt;"))))</f>
        <v/>
      </c>
      <c r="G264" s="42" t="str">
        <f>IF(OR($B264="",$A264&gt;$B$9),"",IF(COUNTIFS(BD!$B$3:$B$5001,G$243,BD!$A$3:$A$5001,"&gt;="&amp;$C$7,BD!$A$3:$A$5001,"&lt;="&amp;$B264,BD!$Z$3:$Z$5001,"&lt;&gt;")=0,"",SUMIFS(BD!$Z$3:$Z$5001,BD!$B$3:$B$5001,G$243,BD!$A$3:$A$5001,_xlfn.MAXIFS(BD!$A$3:$A$5001,BD!$B$3:$B$5001,G$243,BD!$A$3:$A$5001,"&gt;="&amp;$C$7,BD!$A$3:$A$5001,"&lt;="&amp;$B264,BD!$Z$3:$Z$5001,"&lt;&gt;"))))</f>
        <v/>
      </c>
      <c r="H264" s="42" t="str">
        <f>IF(OR($B264="",$A264&gt;$B$9),"",IF(COUNTIFS(BD!$B$3:$B$5001,H$243,BD!$A$3:$A$5001,"&gt;="&amp;$C$7,BD!$A$3:$A$5001,"&lt;="&amp;$B264,BD!$Z$3:$Z$5001,"&lt;&gt;")=0,"",SUMIFS(BD!$Z$3:$Z$5001,BD!$B$3:$B$5001,H$243,BD!$A$3:$A$5001,_xlfn.MAXIFS(BD!$A$3:$A$5001,BD!$B$3:$B$5001,H$243,BD!$A$3:$A$5001,"&gt;="&amp;$C$7,BD!$A$3:$A$5001,"&lt;="&amp;$B264,BD!$Z$3:$Z$5001,"&lt;&gt;"))))</f>
        <v/>
      </c>
      <c r="I264" s="42" t="str">
        <f>IF(OR($B264="",$A264&gt;$B$9),"",IF(COUNTIFS(BD!$B$3:$B$5001,I$243,BD!$A$3:$A$5001,"&gt;="&amp;$C$7,BD!$A$3:$A$5001,"&lt;="&amp;$B264,BD!$Z$3:$Z$5001,"&lt;&gt;")=0,"",SUMIFS(BD!$Z$3:$Z$5001,BD!$B$3:$B$5001,I$243,BD!$A$3:$A$5001,_xlfn.MAXIFS(BD!$A$3:$A$5001,BD!$B$3:$B$5001,I$243,BD!$A$3:$A$5001,"&gt;="&amp;$C$7,BD!$A$3:$A$5001,"&lt;="&amp;$B264,BD!$Z$3:$Z$5001,"&lt;&gt;"))))</f>
        <v/>
      </c>
      <c r="J264" s="42" t="str">
        <f>IF(OR($B264="",$A264&gt;$B$9),"",IF(COUNTIFS(BD!$B$3:$B$5001,J$243,BD!$A$3:$A$5001,"&gt;="&amp;$C$7,BD!$A$3:$A$5001,"&lt;="&amp;$B264,BD!$Z$3:$Z$5001,"&lt;&gt;")=0,"",SUMIFS(BD!$Z$3:$Z$5001,BD!$B$3:$B$5001,J$243,BD!$A$3:$A$5001,_xlfn.MAXIFS(BD!$A$3:$A$5001,BD!$B$3:$B$5001,J$243,BD!$A$3:$A$5001,"&gt;="&amp;$C$7,BD!$A$3:$A$5001,"&lt;="&amp;$B264,BD!$Z$3:$Z$5001,"&lt;&gt;"))))</f>
        <v/>
      </c>
      <c r="K264" s="42" t="str">
        <f>IF(OR($B264="",$A264&gt;$B$9),"",IF(COUNTIFS(BD!$B$3:$B$5001,K$243,BD!$A$3:$A$5001,"&gt;="&amp;$C$7,BD!$A$3:$A$5001,"&lt;="&amp;$B264,BD!$Z$3:$Z$5001,"&lt;&gt;")=0,"",SUMIFS(BD!$Z$3:$Z$5001,BD!$B$3:$B$5001,K$243,BD!$A$3:$A$5001,_xlfn.MAXIFS(BD!$A$3:$A$5001,BD!$B$3:$B$5001,K$243,BD!$A$3:$A$5001,"&gt;="&amp;$C$7,BD!$A$3:$A$5001,"&lt;="&amp;$B264,BD!$Z$3:$Z$5001,"&lt;&gt;"))))</f>
        <v/>
      </c>
      <c r="L264" s="42" t="str">
        <f>IF(OR($B264="",$A264&gt;$B$9),"",IF(COUNTIFS(BD!$B$3:$B$5001,L$243,BD!$A$3:$A$5001,"&gt;="&amp;$C$7,BD!$A$3:$A$5001,"&lt;="&amp;$B264,BD!$Z$3:$Z$5001,"&lt;&gt;")=0,"",SUMIFS(BD!$Z$3:$Z$5001,BD!$B$3:$B$5001,L$243,BD!$A$3:$A$5001,_xlfn.MAXIFS(BD!$A$3:$A$5001,BD!$B$3:$B$5001,L$243,BD!$A$3:$A$5001,"&gt;="&amp;$C$7,BD!$A$3:$A$5001,"&lt;="&amp;$B264,BD!$Z$3:$Z$5001,"&lt;&gt;"))))</f>
        <v/>
      </c>
    </row>
    <row r="265">
      <c r="A265" s="40">
        <v>22</v>
      </c>
      <c r="B265" s="41">
        <f>$B$33</f>
        <v>46317</v>
      </c>
      <c r="C265" s="42" t="str">
        <f>IF(OR($B265="",$A265&gt;$B$9),"",IF(COUNTIFS(BD!$B$3:$B$5001,C$243,BD!$A$3:$A$5001,"&gt;="&amp;$C$7,BD!$A$3:$A$5001,"&lt;="&amp;$B265,BD!$Z$3:$Z$5001,"&lt;&gt;")=0,"",SUMIFS(BD!$Z$3:$Z$5001,BD!$B$3:$B$5001,C$243,BD!$A$3:$A$5001,_xlfn.MAXIFS(BD!$A$3:$A$5001,BD!$B$3:$B$5001,C$243,BD!$A$3:$A$5001,"&gt;="&amp;$C$7,BD!$A$3:$A$5001,"&lt;="&amp;$B265,BD!$Z$3:$Z$5001,"&lt;&gt;"))))</f>
        <v/>
      </c>
      <c r="D265" s="42" t="str">
        <f>IF(OR($B265="",$A265&gt;$B$9),"",IF(COUNTIFS(BD!$B$3:$B$5001,D$243,BD!$A$3:$A$5001,"&gt;="&amp;$C$7,BD!$A$3:$A$5001,"&lt;="&amp;$B265,BD!$Z$3:$Z$5001,"&lt;&gt;")=0,"",SUMIFS(BD!$Z$3:$Z$5001,BD!$B$3:$B$5001,D$243,BD!$A$3:$A$5001,_xlfn.MAXIFS(BD!$A$3:$A$5001,BD!$B$3:$B$5001,D$243,BD!$A$3:$A$5001,"&gt;="&amp;$C$7,BD!$A$3:$A$5001,"&lt;="&amp;$B265,BD!$Z$3:$Z$5001,"&lt;&gt;"))))</f>
        <v/>
      </c>
      <c r="E265" s="42" t="str">
        <f>IF(OR($B265="",$A265&gt;$B$9),"",IF(COUNTIFS(BD!$B$3:$B$5001,E$243,BD!$A$3:$A$5001,"&gt;="&amp;$C$7,BD!$A$3:$A$5001,"&lt;="&amp;$B265,BD!$Z$3:$Z$5001,"&lt;&gt;")=0,"",SUMIFS(BD!$Z$3:$Z$5001,BD!$B$3:$B$5001,E$243,BD!$A$3:$A$5001,_xlfn.MAXIFS(BD!$A$3:$A$5001,BD!$B$3:$B$5001,E$243,BD!$A$3:$A$5001,"&gt;="&amp;$C$7,BD!$A$3:$A$5001,"&lt;="&amp;$B265,BD!$Z$3:$Z$5001,"&lt;&gt;"))))</f>
        <v/>
      </c>
      <c r="F265" s="42" t="str">
        <f>IF(OR($B265="",$A265&gt;$B$9),"",IF(COUNTIFS(BD!$B$3:$B$5001,F$243,BD!$A$3:$A$5001,"&gt;="&amp;$C$7,BD!$A$3:$A$5001,"&lt;="&amp;$B265,BD!$Z$3:$Z$5001,"&lt;&gt;")=0,"",SUMIFS(BD!$Z$3:$Z$5001,BD!$B$3:$B$5001,F$243,BD!$A$3:$A$5001,_xlfn.MAXIFS(BD!$A$3:$A$5001,BD!$B$3:$B$5001,F$243,BD!$A$3:$A$5001,"&gt;="&amp;$C$7,BD!$A$3:$A$5001,"&lt;="&amp;$B265,BD!$Z$3:$Z$5001,"&lt;&gt;"))))</f>
        <v/>
      </c>
      <c r="G265" s="42" t="str">
        <f>IF(OR($B265="",$A265&gt;$B$9),"",IF(COUNTIFS(BD!$B$3:$B$5001,G$243,BD!$A$3:$A$5001,"&gt;="&amp;$C$7,BD!$A$3:$A$5001,"&lt;="&amp;$B265,BD!$Z$3:$Z$5001,"&lt;&gt;")=0,"",SUMIFS(BD!$Z$3:$Z$5001,BD!$B$3:$B$5001,G$243,BD!$A$3:$A$5001,_xlfn.MAXIFS(BD!$A$3:$A$5001,BD!$B$3:$B$5001,G$243,BD!$A$3:$A$5001,"&gt;="&amp;$C$7,BD!$A$3:$A$5001,"&lt;="&amp;$B265,BD!$Z$3:$Z$5001,"&lt;&gt;"))))</f>
        <v/>
      </c>
      <c r="H265" s="42" t="str">
        <f>IF(OR($B265="",$A265&gt;$B$9),"",IF(COUNTIFS(BD!$B$3:$B$5001,H$243,BD!$A$3:$A$5001,"&gt;="&amp;$C$7,BD!$A$3:$A$5001,"&lt;="&amp;$B265,BD!$Z$3:$Z$5001,"&lt;&gt;")=0,"",SUMIFS(BD!$Z$3:$Z$5001,BD!$B$3:$B$5001,H$243,BD!$A$3:$A$5001,_xlfn.MAXIFS(BD!$A$3:$A$5001,BD!$B$3:$B$5001,H$243,BD!$A$3:$A$5001,"&gt;="&amp;$C$7,BD!$A$3:$A$5001,"&lt;="&amp;$B265,BD!$Z$3:$Z$5001,"&lt;&gt;"))))</f>
        <v/>
      </c>
      <c r="I265" s="42" t="str">
        <f>IF(OR($B265="",$A265&gt;$B$9),"",IF(COUNTIFS(BD!$B$3:$B$5001,I$243,BD!$A$3:$A$5001,"&gt;="&amp;$C$7,BD!$A$3:$A$5001,"&lt;="&amp;$B265,BD!$Z$3:$Z$5001,"&lt;&gt;")=0,"",SUMIFS(BD!$Z$3:$Z$5001,BD!$B$3:$B$5001,I$243,BD!$A$3:$A$5001,_xlfn.MAXIFS(BD!$A$3:$A$5001,BD!$B$3:$B$5001,I$243,BD!$A$3:$A$5001,"&gt;="&amp;$C$7,BD!$A$3:$A$5001,"&lt;="&amp;$B265,BD!$Z$3:$Z$5001,"&lt;&gt;"))))</f>
        <v/>
      </c>
      <c r="J265" s="42" t="str">
        <f>IF(OR($B265="",$A265&gt;$B$9),"",IF(COUNTIFS(BD!$B$3:$B$5001,J$243,BD!$A$3:$A$5001,"&gt;="&amp;$C$7,BD!$A$3:$A$5001,"&lt;="&amp;$B265,BD!$Z$3:$Z$5001,"&lt;&gt;")=0,"",SUMIFS(BD!$Z$3:$Z$5001,BD!$B$3:$B$5001,J$243,BD!$A$3:$A$5001,_xlfn.MAXIFS(BD!$A$3:$A$5001,BD!$B$3:$B$5001,J$243,BD!$A$3:$A$5001,"&gt;="&amp;$C$7,BD!$A$3:$A$5001,"&lt;="&amp;$B265,BD!$Z$3:$Z$5001,"&lt;&gt;"))))</f>
        <v/>
      </c>
      <c r="K265" s="42" t="str">
        <f>IF(OR($B265="",$A265&gt;$B$9),"",IF(COUNTIFS(BD!$B$3:$B$5001,K$243,BD!$A$3:$A$5001,"&gt;="&amp;$C$7,BD!$A$3:$A$5001,"&lt;="&amp;$B265,BD!$Z$3:$Z$5001,"&lt;&gt;")=0,"",SUMIFS(BD!$Z$3:$Z$5001,BD!$B$3:$B$5001,K$243,BD!$A$3:$A$5001,_xlfn.MAXIFS(BD!$A$3:$A$5001,BD!$B$3:$B$5001,K$243,BD!$A$3:$A$5001,"&gt;="&amp;$C$7,BD!$A$3:$A$5001,"&lt;="&amp;$B265,BD!$Z$3:$Z$5001,"&lt;&gt;"))))</f>
        <v/>
      </c>
      <c r="L265" s="42" t="str">
        <f>IF(OR($B265="",$A265&gt;$B$9),"",IF(COUNTIFS(BD!$B$3:$B$5001,L$243,BD!$A$3:$A$5001,"&gt;="&amp;$C$7,BD!$A$3:$A$5001,"&lt;="&amp;$B265,BD!$Z$3:$Z$5001,"&lt;&gt;")=0,"",SUMIFS(BD!$Z$3:$Z$5001,BD!$B$3:$B$5001,L$243,BD!$A$3:$A$5001,_xlfn.MAXIFS(BD!$A$3:$A$5001,BD!$B$3:$B$5001,L$243,BD!$A$3:$A$5001,"&gt;="&amp;$C$7,BD!$A$3:$A$5001,"&lt;="&amp;$B265,BD!$Z$3:$Z$5001,"&lt;&gt;"))))</f>
        <v/>
      </c>
    </row>
    <row r="266">
      <c r="A266" s="40">
        <v>23</v>
      </c>
      <c r="B266" s="41">
        <f>$B$34</f>
        <v>46318</v>
      </c>
      <c r="C266" s="42" t="str">
        <f>IF(OR($B266="",$A266&gt;$B$9),"",IF(COUNTIFS(BD!$B$3:$B$5001,C$243,BD!$A$3:$A$5001,"&gt;="&amp;$C$7,BD!$A$3:$A$5001,"&lt;="&amp;$B266,BD!$Z$3:$Z$5001,"&lt;&gt;")=0,"",SUMIFS(BD!$Z$3:$Z$5001,BD!$B$3:$B$5001,C$243,BD!$A$3:$A$5001,_xlfn.MAXIFS(BD!$A$3:$A$5001,BD!$B$3:$B$5001,C$243,BD!$A$3:$A$5001,"&gt;="&amp;$C$7,BD!$A$3:$A$5001,"&lt;="&amp;$B266,BD!$Z$3:$Z$5001,"&lt;&gt;"))))</f>
        <v/>
      </c>
      <c r="D266" s="42" t="str">
        <f>IF(OR($B266="",$A266&gt;$B$9),"",IF(COUNTIFS(BD!$B$3:$B$5001,D$243,BD!$A$3:$A$5001,"&gt;="&amp;$C$7,BD!$A$3:$A$5001,"&lt;="&amp;$B266,BD!$Z$3:$Z$5001,"&lt;&gt;")=0,"",SUMIFS(BD!$Z$3:$Z$5001,BD!$B$3:$B$5001,D$243,BD!$A$3:$A$5001,_xlfn.MAXIFS(BD!$A$3:$A$5001,BD!$B$3:$B$5001,D$243,BD!$A$3:$A$5001,"&gt;="&amp;$C$7,BD!$A$3:$A$5001,"&lt;="&amp;$B266,BD!$Z$3:$Z$5001,"&lt;&gt;"))))</f>
        <v/>
      </c>
      <c r="E266" s="42" t="str">
        <f>IF(OR($B266="",$A266&gt;$B$9),"",IF(COUNTIFS(BD!$B$3:$B$5001,E$243,BD!$A$3:$A$5001,"&gt;="&amp;$C$7,BD!$A$3:$A$5001,"&lt;="&amp;$B266,BD!$Z$3:$Z$5001,"&lt;&gt;")=0,"",SUMIFS(BD!$Z$3:$Z$5001,BD!$B$3:$B$5001,E$243,BD!$A$3:$A$5001,_xlfn.MAXIFS(BD!$A$3:$A$5001,BD!$B$3:$B$5001,E$243,BD!$A$3:$A$5001,"&gt;="&amp;$C$7,BD!$A$3:$A$5001,"&lt;="&amp;$B266,BD!$Z$3:$Z$5001,"&lt;&gt;"))))</f>
        <v/>
      </c>
      <c r="F266" s="42" t="str">
        <f>IF(OR($B266="",$A266&gt;$B$9),"",IF(COUNTIFS(BD!$B$3:$B$5001,F$243,BD!$A$3:$A$5001,"&gt;="&amp;$C$7,BD!$A$3:$A$5001,"&lt;="&amp;$B266,BD!$Z$3:$Z$5001,"&lt;&gt;")=0,"",SUMIFS(BD!$Z$3:$Z$5001,BD!$B$3:$B$5001,F$243,BD!$A$3:$A$5001,_xlfn.MAXIFS(BD!$A$3:$A$5001,BD!$B$3:$B$5001,F$243,BD!$A$3:$A$5001,"&gt;="&amp;$C$7,BD!$A$3:$A$5001,"&lt;="&amp;$B266,BD!$Z$3:$Z$5001,"&lt;&gt;"))))</f>
        <v/>
      </c>
      <c r="G266" s="42" t="str">
        <f>IF(OR($B266="",$A266&gt;$B$9),"",IF(COUNTIFS(BD!$B$3:$B$5001,G$243,BD!$A$3:$A$5001,"&gt;="&amp;$C$7,BD!$A$3:$A$5001,"&lt;="&amp;$B266,BD!$Z$3:$Z$5001,"&lt;&gt;")=0,"",SUMIFS(BD!$Z$3:$Z$5001,BD!$B$3:$B$5001,G$243,BD!$A$3:$A$5001,_xlfn.MAXIFS(BD!$A$3:$A$5001,BD!$B$3:$B$5001,G$243,BD!$A$3:$A$5001,"&gt;="&amp;$C$7,BD!$A$3:$A$5001,"&lt;="&amp;$B266,BD!$Z$3:$Z$5001,"&lt;&gt;"))))</f>
        <v/>
      </c>
      <c r="H266" s="42" t="str">
        <f>IF(OR($B266="",$A266&gt;$B$9),"",IF(COUNTIFS(BD!$B$3:$B$5001,H$243,BD!$A$3:$A$5001,"&gt;="&amp;$C$7,BD!$A$3:$A$5001,"&lt;="&amp;$B266,BD!$Z$3:$Z$5001,"&lt;&gt;")=0,"",SUMIFS(BD!$Z$3:$Z$5001,BD!$B$3:$B$5001,H$243,BD!$A$3:$A$5001,_xlfn.MAXIFS(BD!$A$3:$A$5001,BD!$B$3:$B$5001,H$243,BD!$A$3:$A$5001,"&gt;="&amp;$C$7,BD!$A$3:$A$5001,"&lt;="&amp;$B266,BD!$Z$3:$Z$5001,"&lt;&gt;"))))</f>
        <v/>
      </c>
      <c r="I266" s="42" t="str">
        <f>IF(OR($B266="",$A266&gt;$B$9),"",IF(COUNTIFS(BD!$B$3:$B$5001,I$243,BD!$A$3:$A$5001,"&gt;="&amp;$C$7,BD!$A$3:$A$5001,"&lt;="&amp;$B266,BD!$Z$3:$Z$5001,"&lt;&gt;")=0,"",SUMIFS(BD!$Z$3:$Z$5001,BD!$B$3:$B$5001,I$243,BD!$A$3:$A$5001,_xlfn.MAXIFS(BD!$A$3:$A$5001,BD!$B$3:$B$5001,I$243,BD!$A$3:$A$5001,"&gt;="&amp;$C$7,BD!$A$3:$A$5001,"&lt;="&amp;$B266,BD!$Z$3:$Z$5001,"&lt;&gt;"))))</f>
        <v/>
      </c>
      <c r="J266" s="42" t="str">
        <f>IF(OR($B266="",$A266&gt;$B$9),"",IF(COUNTIFS(BD!$B$3:$B$5001,J$243,BD!$A$3:$A$5001,"&gt;="&amp;$C$7,BD!$A$3:$A$5001,"&lt;="&amp;$B266,BD!$Z$3:$Z$5001,"&lt;&gt;")=0,"",SUMIFS(BD!$Z$3:$Z$5001,BD!$B$3:$B$5001,J$243,BD!$A$3:$A$5001,_xlfn.MAXIFS(BD!$A$3:$A$5001,BD!$B$3:$B$5001,J$243,BD!$A$3:$A$5001,"&gt;="&amp;$C$7,BD!$A$3:$A$5001,"&lt;="&amp;$B266,BD!$Z$3:$Z$5001,"&lt;&gt;"))))</f>
        <v/>
      </c>
      <c r="K266" s="42" t="str">
        <f>IF(OR($B266="",$A266&gt;$B$9),"",IF(COUNTIFS(BD!$B$3:$B$5001,K$243,BD!$A$3:$A$5001,"&gt;="&amp;$C$7,BD!$A$3:$A$5001,"&lt;="&amp;$B266,BD!$Z$3:$Z$5001,"&lt;&gt;")=0,"",SUMIFS(BD!$Z$3:$Z$5001,BD!$B$3:$B$5001,K$243,BD!$A$3:$A$5001,_xlfn.MAXIFS(BD!$A$3:$A$5001,BD!$B$3:$B$5001,K$243,BD!$A$3:$A$5001,"&gt;="&amp;$C$7,BD!$A$3:$A$5001,"&lt;="&amp;$B266,BD!$Z$3:$Z$5001,"&lt;&gt;"))))</f>
        <v/>
      </c>
      <c r="L266" s="42" t="str">
        <f>IF(OR($B266="",$A266&gt;$B$9),"",IF(COUNTIFS(BD!$B$3:$B$5001,L$243,BD!$A$3:$A$5001,"&gt;="&amp;$C$7,BD!$A$3:$A$5001,"&lt;="&amp;$B266,BD!$Z$3:$Z$5001,"&lt;&gt;")=0,"",SUMIFS(BD!$Z$3:$Z$5001,BD!$B$3:$B$5001,L$243,BD!$A$3:$A$5001,_xlfn.MAXIFS(BD!$A$3:$A$5001,BD!$B$3:$B$5001,L$243,BD!$A$3:$A$5001,"&gt;="&amp;$C$7,BD!$A$3:$A$5001,"&lt;="&amp;$B266,BD!$Z$3:$Z$5001,"&lt;&gt;"))))</f>
        <v/>
      </c>
    </row>
    <row r="267">
      <c r="A267" s="40">
        <v>24</v>
      </c>
      <c r="B267" s="41">
        <f>$B$35</f>
        <v>46319</v>
      </c>
      <c r="C267" s="42" t="str">
        <f>IF(OR($B267="",$A267&gt;$B$9),"",IF(COUNTIFS(BD!$B$3:$B$5001,C$243,BD!$A$3:$A$5001,"&gt;="&amp;$C$7,BD!$A$3:$A$5001,"&lt;="&amp;$B267,BD!$Z$3:$Z$5001,"&lt;&gt;")=0,"",SUMIFS(BD!$Z$3:$Z$5001,BD!$B$3:$B$5001,C$243,BD!$A$3:$A$5001,_xlfn.MAXIFS(BD!$A$3:$A$5001,BD!$B$3:$B$5001,C$243,BD!$A$3:$A$5001,"&gt;="&amp;$C$7,BD!$A$3:$A$5001,"&lt;="&amp;$B267,BD!$Z$3:$Z$5001,"&lt;&gt;"))))</f>
        <v/>
      </c>
      <c r="D267" s="42" t="str">
        <f>IF(OR($B267="",$A267&gt;$B$9),"",IF(COUNTIFS(BD!$B$3:$B$5001,D$243,BD!$A$3:$A$5001,"&gt;="&amp;$C$7,BD!$A$3:$A$5001,"&lt;="&amp;$B267,BD!$Z$3:$Z$5001,"&lt;&gt;")=0,"",SUMIFS(BD!$Z$3:$Z$5001,BD!$B$3:$B$5001,D$243,BD!$A$3:$A$5001,_xlfn.MAXIFS(BD!$A$3:$A$5001,BD!$B$3:$B$5001,D$243,BD!$A$3:$A$5001,"&gt;="&amp;$C$7,BD!$A$3:$A$5001,"&lt;="&amp;$B267,BD!$Z$3:$Z$5001,"&lt;&gt;"))))</f>
        <v/>
      </c>
      <c r="E267" s="42" t="str">
        <f>IF(OR($B267="",$A267&gt;$B$9),"",IF(COUNTIFS(BD!$B$3:$B$5001,E$243,BD!$A$3:$A$5001,"&gt;="&amp;$C$7,BD!$A$3:$A$5001,"&lt;="&amp;$B267,BD!$Z$3:$Z$5001,"&lt;&gt;")=0,"",SUMIFS(BD!$Z$3:$Z$5001,BD!$B$3:$B$5001,E$243,BD!$A$3:$A$5001,_xlfn.MAXIFS(BD!$A$3:$A$5001,BD!$B$3:$B$5001,E$243,BD!$A$3:$A$5001,"&gt;="&amp;$C$7,BD!$A$3:$A$5001,"&lt;="&amp;$B267,BD!$Z$3:$Z$5001,"&lt;&gt;"))))</f>
        <v/>
      </c>
      <c r="F267" s="42" t="str">
        <f>IF(OR($B267="",$A267&gt;$B$9),"",IF(COUNTIFS(BD!$B$3:$B$5001,F$243,BD!$A$3:$A$5001,"&gt;="&amp;$C$7,BD!$A$3:$A$5001,"&lt;="&amp;$B267,BD!$Z$3:$Z$5001,"&lt;&gt;")=0,"",SUMIFS(BD!$Z$3:$Z$5001,BD!$B$3:$B$5001,F$243,BD!$A$3:$A$5001,_xlfn.MAXIFS(BD!$A$3:$A$5001,BD!$B$3:$B$5001,F$243,BD!$A$3:$A$5001,"&gt;="&amp;$C$7,BD!$A$3:$A$5001,"&lt;="&amp;$B267,BD!$Z$3:$Z$5001,"&lt;&gt;"))))</f>
        <v/>
      </c>
      <c r="G267" s="42" t="str">
        <f>IF(OR($B267="",$A267&gt;$B$9),"",IF(COUNTIFS(BD!$B$3:$B$5001,G$243,BD!$A$3:$A$5001,"&gt;="&amp;$C$7,BD!$A$3:$A$5001,"&lt;="&amp;$B267,BD!$Z$3:$Z$5001,"&lt;&gt;")=0,"",SUMIFS(BD!$Z$3:$Z$5001,BD!$B$3:$B$5001,G$243,BD!$A$3:$A$5001,_xlfn.MAXIFS(BD!$A$3:$A$5001,BD!$B$3:$B$5001,G$243,BD!$A$3:$A$5001,"&gt;="&amp;$C$7,BD!$A$3:$A$5001,"&lt;="&amp;$B267,BD!$Z$3:$Z$5001,"&lt;&gt;"))))</f>
        <v/>
      </c>
      <c r="H267" s="42" t="str">
        <f>IF(OR($B267="",$A267&gt;$B$9),"",IF(COUNTIFS(BD!$B$3:$B$5001,H$243,BD!$A$3:$A$5001,"&gt;="&amp;$C$7,BD!$A$3:$A$5001,"&lt;="&amp;$B267,BD!$Z$3:$Z$5001,"&lt;&gt;")=0,"",SUMIFS(BD!$Z$3:$Z$5001,BD!$B$3:$B$5001,H$243,BD!$A$3:$A$5001,_xlfn.MAXIFS(BD!$A$3:$A$5001,BD!$B$3:$B$5001,H$243,BD!$A$3:$A$5001,"&gt;="&amp;$C$7,BD!$A$3:$A$5001,"&lt;="&amp;$B267,BD!$Z$3:$Z$5001,"&lt;&gt;"))))</f>
        <v/>
      </c>
      <c r="I267" s="42" t="str">
        <f>IF(OR($B267="",$A267&gt;$B$9),"",IF(COUNTIFS(BD!$B$3:$B$5001,I$243,BD!$A$3:$A$5001,"&gt;="&amp;$C$7,BD!$A$3:$A$5001,"&lt;="&amp;$B267,BD!$Z$3:$Z$5001,"&lt;&gt;")=0,"",SUMIFS(BD!$Z$3:$Z$5001,BD!$B$3:$B$5001,I$243,BD!$A$3:$A$5001,_xlfn.MAXIFS(BD!$A$3:$A$5001,BD!$B$3:$B$5001,I$243,BD!$A$3:$A$5001,"&gt;="&amp;$C$7,BD!$A$3:$A$5001,"&lt;="&amp;$B267,BD!$Z$3:$Z$5001,"&lt;&gt;"))))</f>
        <v/>
      </c>
      <c r="J267" s="42" t="str">
        <f>IF(OR($B267="",$A267&gt;$B$9),"",IF(COUNTIFS(BD!$B$3:$B$5001,J$243,BD!$A$3:$A$5001,"&gt;="&amp;$C$7,BD!$A$3:$A$5001,"&lt;="&amp;$B267,BD!$Z$3:$Z$5001,"&lt;&gt;")=0,"",SUMIFS(BD!$Z$3:$Z$5001,BD!$B$3:$B$5001,J$243,BD!$A$3:$A$5001,_xlfn.MAXIFS(BD!$A$3:$A$5001,BD!$B$3:$B$5001,J$243,BD!$A$3:$A$5001,"&gt;="&amp;$C$7,BD!$A$3:$A$5001,"&lt;="&amp;$B267,BD!$Z$3:$Z$5001,"&lt;&gt;"))))</f>
        <v/>
      </c>
      <c r="K267" s="42" t="str">
        <f>IF(OR($B267="",$A267&gt;$B$9),"",IF(COUNTIFS(BD!$B$3:$B$5001,K$243,BD!$A$3:$A$5001,"&gt;="&amp;$C$7,BD!$A$3:$A$5001,"&lt;="&amp;$B267,BD!$Z$3:$Z$5001,"&lt;&gt;")=0,"",SUMIFS(BD!$Z$3:$Z$5001,BD!$B$3:$B$5001,K$243,BD!$A$3:$A$5001,_xlfn.MAXIFS(BD!$A$3:$A$5001,BD!$B$3:$B$5001,K$243,BD!$A$3:$A$5001,"&gt;="&amp;$C$7,BD!$A$3:$A$5001,"&lt;="&amp;$B267,BD!$Z$3:$Z$5001,"&lt;&gt;"))))</f>
        <v/>
      </c>
      <c r="L267" s="42" t="str">
        <f>IF(OR($B267="",$A267&gt;$B$9),"",IF(COUNTIFS(BD!$B$3:$B$5001,L$243,BD!$A$3:$A$5001,"&gt;="&amp;$C$7,BD!$A$3:$A$5001,"&lt;="&amp;$B267,BD!$Z$3:$Z$5001,"&lt;&gt;")=0,"",SUMIFS(BD!$Z$3:$Z$5001,BD!$B$3:$B$5001,L$243,BD!$A$3:$A$5001,_xlfn.MAXIFS(BD!$A$3:$A$5001,BD!$B$3:$B$5001,L$243,BD!$A$3:$A$5001,"&gt;="&amp;$C$7,BD!$A$3:$A$5001,"&lt;="&amp;$B267,BD!$Z$3:$Z$5001,"&lt;&gt;"))))</f>
        <v/>
      </c>
    </row>
    <row r="268">
      <c r="A268" s="40">
        <v>25</v>
      </c>
      <c r="B268" s="41">
        <f>$B$36</f>
        <v>46320</v>
      </c>
      <c r="C268" s="42" t="str">
        <f>IF(OR($B268="",$A268&gt;$B$9),"",IF(COUNTIFS(BD!$B$3:$B$5001,C$243,BD!$A$3:$A$5001,"&gt;="&amp;$C$7,BD!$A$3:$A$5001,"&lt;="&amp;$B268,BD!$Z$3:$Z$5001,"&lt;&gt;")=0,"",SUMIFS(BD!$Z$3:$Z$5001,BD!$B$3:$B$5001,C$243,BD!$A$3:$A$5001,_xlfn.MAXIFS(BD!$A$3:$A$5001,BD!$B$3:$B$5001,C$243,BD!$A$3:$A$5001,"&gt;="&amp;$C$7,BD!$A$3:$A$5001,"&lt;="&amp;$B268,BD!$Z$3:$Z$5001,"&lt;&gt;"))))</f>
        <v/>
      </c>
      <c r="D268" s="42" t="str">
        <f>IF(OR($B268="",$A268&gt;$B$9),"",IF(COUNTIFS(BD!$B$3:$B$5001,D$243,BD!$A$3:$A$5001,"&gt;="&amp;$C$7,BD!$A$3:$A$5001,"&lt;="&amp;$B268,BD!$Z$3:$Z$5001,"&lt;&gt;")=0,"",SUMIFS(BD!$Z$3:$Z$5001,BD!$B$3:$B$5001,D$243,BD!$A$3:$A$5001,_xlfn.MAXIFS(BD!$A$3:$A$5001,BD!$B$3:$B$5001,D$243,BD!$A$3:$A$5001,"&gt;="&amp;$C$7,BD!$A$3:$A$5001,"&lt;="&amp;$B268,BD!$Z$3:$Z$5001,"&lt;&gt;"))))</f>
        <v/>
      </c>
      <c r="E268" s="42" t="str">
        <f>IF(OR($B268="",$A268&gt;$B$9),"",IF(COUNTIFS(BD!$B$3:$B$5001,E$243,BD!$A$3:$A$5001,"&gt;="&amp;$C$7,BD!$A$3:$A$5001,"&lt;="&amp;$B268,BD!$Z$3:$Z$5001,"&lt;&gt;")=0,"",SUMIFS(BD!$Z$3:$Z$5001,BD!$B$3:$B$5001,E$243,BD!$A$3:$A$5001,_xlfn.MAXIFS(BD!$A$3:$A$5001,BD!$B$3:$B$5001,E$243,BD!$A$3:$A$5001,"&gt;="&amp;$C$7,BD!$A$3:$A$5001,"&lt;="&amp;$B268,BD!$Z$3:$Z$5001,"&lt;&gt;"))))</f>
        <v/>
      </c>
      <c r="F268" s="42" t="str">
        <f>IF(OR($B268="",$A268&gt;$B$9),"",IF(COUNTIFS(BD!$B$3:$B$5001,F$243,BD!$A$3:$A$5001,"&gt;="&amp;$C$7,BD!$A$3:$A$5001,"&lt;="&amp;$B268,BD!$Z$3:$Z$5001,"&lt;&gt;")=0,"",SUMIFS(BD!$Z$3:$Z$5001,BD!$B$3:$B$5001,F$243,BD!$A$3:$A$5001,_xlfn.MAXIFS(BD!$A$3:$A$5001,BD!$B$3:$B$5001,F$243,BD!$A$3:$A$5001,"&gt;="&amp;$C$7,BD!$A$3:$A$5001,"&lt;="&amp;$B268,BD!$Z$3:$Z$5001,"&lt;&gt;"))))</f>
        <v/>
      </c>
      <c r="G268" s="42" t="str">
        <f>IF(OR($B268="",$A268&gt;$B$9),"",IF(COUNTIFS(BD!$B$3:$B$5001,G$243,BD!$A$3:$A$5001,"&gt;="&amp;$C$7,BD!$A$3:$A$5001,"&lt;="&amp;$B268,BD!$Z$3:$Z$5001,"&lt;&gt;")=0,"",SUMIFS(BD!$Z$3:$Z$5001,BD!$B$3:$B$5001,G$243,BD!$A$3:$A$5001,_xlfn.MAXIFS(BD!$A$3:$A$5001,BD!$B$3:$B$5001,G$243,BD!$A$3:$A$5001,"&gt;="&amp;$C$7,BD!$A$3:$A$5001,"&lt;="&amp;$B268,BD!$Z$3:$Z$5001,"&lt;&gt;"))))</f>
        <v/>
      </c>
      <c r="H268" s="42" t="str">
        <f>IF(OR($B268="",$A268&gt;$B$9),"",IF(COUNTIFS(BD!$B$3:$B$5001,H$243,BD!$A$3:$A$5001,"&gt;="&amp;$C$7,BD!$A$3:$A$5001,"&lt;="&amp;$B268,BD!$Z$3:$Z$5001,"&lt;&gt;")=0,"",SUMIFS(BD!$Z$3:$Z$5001,BD!$B$3:$B$5001,H$243,BD!$A$3:$A$5001,_xlfn.MAXIFS(BD!$A$3:$A$5001,BD!$B$3:$B$5001,H$243,BD!$A$3:$A$5001,"&gt;="&amp;$C$7,BD!$A$3:$A$5001,"&lt;="&amp;$B268,BD!$Z$3:$Z$5001,"&lt;&gt;"))))</f>
        <v/>
      </c>
      <c r="I268" s="42" t="str">
        <f>IF(OR($B268="",$A268&gt;$B$9),"",IF(COUNTIFS(BD!$B$3:$B$5001,I$243,BD!$A$3:$A$5001,"&gt;="&amp;$C$7,BD!$A$3:$A$5001,"&lt;="&amp;$B268,BD!$Z$3:$Z$5001,"&lt;&gt;")=0,"",SUMIFS(BD!$Z$3:$Z$5001,BD!$B$3:$B$5001,I$243,BD!$A$3:$A$5001,_xlfn.MAXIFS(BD!$A$3:$A$5001,BD!$B$3:$B$5001,I$243,BD!$A$3:$A$5001,"&gt;="&amp;$C$7,BD!$A$3:$A$5001,"&lt;="&amp;$B268,BD!$Z$3:$Z$5001,"&lt;&gt;"))))</f>
        <v/>
      </c>
      <c r="J268" s="42" t="str">
        <f>IF(OR($B268="",$A268&gt;$B$9),"",IF(COUNTIFS(BD!$B$3:$B$5001,J$243,BD!$A$3:$A$5001,"&gt;="&amp;$C$7,BD!$A$3:$A$5001,"&lt;="&amp;$B268,BD!$Z$3:$Z$5001,"&lt;&gt;")=0,"",SUMIFS(BD!$Z$3:$Z$5001,BD!$B$3:$B$5001,J$243,BD!$A$3:$A$5001,_xlfn.MAXIFS(BD!$A$3:$A$5001,BD!$B$3:$B$5001,J$243,BD!$A$3:$A$5001,"&gt;="&amp;$C$7,BD!$A$3:$A$5001,"&lt;="&amp;$B268,BD!$Z$3:$Z$5001,"&lt;&gt;"))))</f>
        <v/>
      </c>
      <c r="K268" s="42" t="str">
        <f>IF(OR($B268="",$A268&gt;$B$9),"",IF(COUNTIFS(BD!$B$3:$B$5001,K$243,BD!$A$3:$A$5001,"&gt;="&amp;$C$7,BD!$A$3:$A$5001,"&lt;="&amp;$B268,BD!$Z$3:$Z$5001,"&lt;&gt;")=0,"",SUMIFS(BD!$Z$3:$Z$5001,BD!$B$3:$B$5001,K$243,BD!$A$3:$A$5001,_xlfn.MAXIFS(BD!$A$3:$A$5001,BD!$B$3:$B$5001,K$243,BD!$A$3:$A$5001,"&gt;="&amp;$C$7,BD!$A$3:$A$5001,"&lt;="&amp;$B268,BD!$Z$3:$Z$5001,"&lt;&gt;"))))</f>
        <v/>
      </c>
      <c r="L268" s="42" t="str">
        <f>IF(OR($B268="",$A268&gt;$B$9),"",IF(COUNTIFS(BD!$B$3:$B$5001,L$243,BD!$A$3:$A$5001,"&gt;="&amp;$C$7,BD!$A$3:$A$5001,"&lt;="&amp;$B268,BD!$Z$3:$Z$5001,"&lt;&gt;")=0,"",SUMIFS(BD!$Z$3:$Z$5001,BD!$B$3:$B$5001,L$243,BD!$A$3:$A$5001,_xlfn.MAXIFS(BD!$A$3:$A$5001,BD!$B$3:$B$5001,L$243,BD!$A$3:$A$5001,"&gt;="&amp;$C$7,BD!$A$3:$A$5001,"&lt;="&amp;$B268,BD!$Z$3:$Z$5001,"&lt;&gt;"))))</f>
        <v/>
      </c>
    </row>
    <row r="269">
      <c r="A269" s="40">
        <v>26</v>
      </c>
      <c r="B269" s="41">
        <f>$B$37</f>
        <v>46321</v>
      </c>
      <c r="C269" s="42" t="str">
        <f>IF(OR($B269="",$A269&gt;$B$9),"",IF(COUNTIFS(BD!$B$3:$B$5001,C$243,BD!$A$3:$A$5001,"&gt;="&amp;$C$7,BD!$A$3:$A$5001,"&lt;="&amp;$B269,BD!$Z$3:$Z$5001,"&lt;&gt;")=0,"",SUMIFS(BD!$Z$3:$Z$5001,BD!$B$3:$B$5001,C$243,BD!$A$3:$A$5001,_xlfn.MAXIFS(BD!$A$3:$A$5001,BD!$B$3:$B$5001,C$243,BD!$A$3:$A$5001,"&gt;="&amp;$C$7,BD!$A$3:$A$5001,"&lt;="&amp;$B269,BD!$Z$3:$Z$5001,"&lt;&gt;"))))</f>
        <v/>
      </c>
      <c r="D269" s="42" t="str">
        <f>IF(OR($B269="",$A269&gt;$B$9),"",IF(COUNTIFS(BD!$B$3:$B$5001,D$243,BD!$A$3:$A$5001,"&gt;="&amp;$C$7,BD!$A$3:$A$5001,"&lt;="&amp;$B269,BD!$Z$3:$Z$5001,"&lt;&gt;")=0,"",SUMIFS(BD!$Z$3:$Z$5001,BD!$B$3:$B$5001,D$243,BD!$A$3:$A$5001,_xlfn.MAXIFS(BD!$A$3:$A$5001,BD!$B$3:$B$5001,D$243,BD!$A$3:$A$5001,"&gt;="&amp;$C$7,BD!$A$3:$A$5001,"&lt;="&amp;$B269,BD!$Z$3:$Z$5001,"&lt;&gt;"))))</f>
        <v/>
      </c>
      <c r="E269" s="42" t="str">
        <f>IF(OR($B269="",$A269&gt;$B$9),"",IF(COUNTIFS(BD!$B$3:$B$5001,E$243,BD!$A$3:$A$5001,"&gt;="&amp;$C$7,BD!$A$3:$A$5001,"&lt;="&amp;$B269,BD!$Z$3:$Z$5001,"&lt;&gt;")=0,"",SUMIFS(BD!$Z$3:$Z$5001,BD!$B$3:$B$5001,E$243,BD!$A$3:$A$5001,_xlfn.MAXIFS(BD!$A$3:$A$5001,BD!$B$3:$B$5001,E$243,BD!$A$3:$A$5001,"&gt;="&amp;$C$7,BD!$A$3:$A$5001,"&lt;="&amp;$B269,BD!$Z$3:$Z$5001,"&lt;&gt;"))))</f>
        <v/>
      </c>
      <c r="F269" s="42" t="str">
        <f>IF(OR($B269="",$A269&gt;$B$9),"",IF(COUNTIFS(BD!$B$3:$B$5001,F$243,BD!$A$3:$A$5001,"&gt;="&amp;$C$7,BD!$A$3:$A$5001,"&lt;="&amp;$B269,BD!$Z$3:$Z$5001,"&lt;&gt;")=0,"",SUMIFS(BD!$Z$3:$Z$5001,BD!$B$3:$B$5001,F$243,BD!$A$3:$A$5001,_xlfn.MAXIFS(BD!$A$3:$A$5001,BD!$B$3:$B$5001,F$243,BD!$A$3:$A$5001,"&gt;="&amp;$C$7,BD!$A$3:$A$5001,"&lt;="&amp;$B269,BD!$Z$3:$Z$5001,"&lt;&gt;"))))</f>
        <v/>
      </c>
      <c r="G269" s="42" t="str">
        <f>IF(OR($B269="",$A269&gt;$B$9),"",IF(COUNTIFS(BD!$B$3:$B$5001,G$243,BD!$A$3:$A$5001,"&gt;="&amp;$C$7,BD!$A$3:$A$5001,"&lt;="&amp;$B269,BD!$Z$3:$Z$5001,"&lt;&gt;")=0,"",SUMIFS(BD!$Z$3:$Z$5001,BD!$B$3:$B$5001,G$243,BD!$A$3:$A$5001,_xlfn.MAXIFS(BD!$A$3:$A$5001,BD!$B$3:$B$5001,G$243,BD!$A$3:$A$5001,"&gt;="&amp;$C$7,BD!$A$3:$A$5001,"&lt;="&amp;$B269,BD!$Z$3:$Z$5001,"&lt;&gt;"))))</f>
        <v/>
      </c>
      <c r="H269" s="42" t="str">
        <f>IF(OR($B269="",$A269&gt;$B$9),"",IF(COUNTIFS(BD!$B$3:$B$5001,H$243,BD!$A$3:$A$5001,"&gt;="&amp;$C$7,BD!$A$3:$A$5001,"&lt;="&amp;$B269,BD!$Z$3:$Z$5001,"&lt;&gt;")=0,"",SUMIFS(BD!$Z$3:$Z$5001,BD!$B$3:$B$5001,H$243,BD!$A$3:$A$5001,_xlfn.MAXIFS(BD!$A$3:$A$5001,BD!$B$3:$B$5001,H$243,BD!$A$3:$A$5001,"&gt;="&amp;$C$7,BD!$A$3:$A$5001,"&lt;="&amp;$B269,BD!$Z$3:$Z$5001,"&lt;&gt;"))))</f>
        <v/>
      </c>
      <c r="I269" s="42" t="str">
        <f>IF(OR($B269="",$A269&gt;$B$9),"",IF(COUNTIFS(BD!$B$3:$B$5001,I$243,BD!$A$3:$A$5001,"&gt;="&amp;$C$7,BD!$A$3:$A$5001,"&lt;="&amp;$B269,BD!$Z$3:$Z$5001,"&lt;&gt;")=0,"",SUMIFS(BD!$Z$3:$Z$5001,BD!$B$3:$B$5001,I$243,BD!$A$3:$A$5001,_xlfn.MAXIFS(BD!$A$3:$A$5001,BD!$B$3:$B$5001,I$243,BD!$A$3:$A$5001,"&gt;="&amp;$C$7,BD!$A$3:$A$5001,"&lt;="&amp;$B269,BD!$Z$3:$Z$5001,"&lt;&gt;"))))</f>
        <v/>
      </c>
      <c r="J269" s="42" t="str">
        <f>IF(OR($B269="",$A269&gt;$B$9),"",IF(COUNTIFS(BD!$B$3:$B$5001,J$243,BD!$A$3:$A$5001,"&gt;="&amp;$C$7,BD!$A$3:$A$5001,"&lt;="&amp;$B269,BD!$Z$3:$Z$5001,"&lt;&gt;")=0,"",SUMIFS(BD!$Z$3:$Z$5001,BD!$B$3:$B$5001,J$243,BD!$A$3:$A$5001,_xlfn.MAXIFS(BD!$A$3:$A$5001,BD!$B$3:$B$5001,J$243,BD!$A$3:$A$5001,"&gt;="&amp;$C$7,BD!$A$3:$A$5001,"&lt;="&amp;$B269,BD!$Z$3:$Z$5001,"&lt;&gt;"))))</f>
        <v/>
      </c>
      <c r="K269" s="42" t="str">
        <f>IF(OR($B269="",$A269&gt;$B$9),"",IF(COUNTIFS(BD!$B$3:$B$5001,K$243,BD!$A$3:$A$5001,"&gt;="&amp;$C$7,BD!$A$3:$A$5001,"&lt;="&amp;$B269,BD!$Z$3:$Z$5001,"&lt;&gt;")=0,"",SUMIFS(BD!$Z$3:$Z$5001,BD!$B$3:$B$5001,K$243,BD!$A$3:$A$5001,_xlfn.MAXIFS(BD!$A$3:$A$5001,BD!$B$3:$B$5001,K$243,BD!$A$3:$A$5001,"&gt;="&amp;$C$7,BD!$A$3:$A$5001,"&lt;="&amp;$B269,BD!$Z$3:$Z$5001,"&lt;&gt;"))))</f>
        <v/>
      </c>
      <c r="L269" s="42" t="str">
        <f>IF(OR($B269="",$A269&gt;$B$9),"",IF(COUNTIFS(BD!$B$3:$B$5001,L$243,BD!$A$3:$A$5001,"&gt;="&amp;$C$7,BD!$A$3:$A$5001,"&lt;="&amp;$B269,BD!$Z$3:$Z$5001,"&lt;&gt;")=0,"",SUMIFS(BD!$Z$3:$Z$5001,BD!$B$3:$B$5001,L$243,BD!$A$3:$A$5001,_xlfn.MAXIFS(BD!$A$3:$A$5001,BD!$B$3:$B$5001,L$243,BD!$A$3:$A$5001,"&gt;="&amp;$C$7,BD!$A$3:$A$5001,"&lt;="&amp;$B269,BD!$Z$3:$Z$5001,"&lt;&gt;"))))</f>
        <v/>
      </c>
    </row>
    <row r="270">
      <c r="A270" s="40">
        <v>27</v>
      </c>
      <c r="B270" s="41">
        <f>$B$38</f>
        <v>46322</v>
      </c>
      <c r="C270" s="42" t="str">
        <f>IF(OR($B270="",$A270&gt;$B$9),"",IF(COUNTIFS(BD!$B$3:$B$5001,C$243,BD!$A$3:$A$5001,"&gt;="&amp;$C$7,BD!$A$3:$A$5001,"&lt;="&amp;$B270,BD!$Z$3:$Z$5001,"&lt;&gt;")=0,"",SUMIFS(BD!$Z$3:$Z$5001,BD!$B$3:$B$5001,C$243,BD!$A$3:$A$5001,_xlfn.MAXIFS(BD!$A$3:$A$5001,BD!$B$3:$B$5001,C$243,BD!$A$3:$A$5001,"&gt;="&amp;$C$7,BD!$A$3:$A$5001,"&lt;="&amp;$B270,BD!$Z$3:$Z$5001,"&lt;&gt;"))))</f>
        <v/>
      </c>
      <c r="D270" s="42" t="str">
        <f>IF(OR($B270="",$A270&gt;$B$9),"",IF(COUNTIFS(BD!$B$3:$B$5001,D$243,BD!$A$3:$A$5001,"&gt;="&amp;$C$7,BD!$A$3:$A$5001,"&lt;="&amp;$B270,BD!$Z$3:$Z$5001,"&lt;&gt;")=0,"",SUMIFS(BD!$Z$3:$Z$5001,BD!$B$3:$B$5001,D$243,BD!$A$3:$A$5001,_xlfn.MAXIFS(BD!$A$3:$A$5001,BD!$B$3:$B$5001,D$243,BD!$A$3:$A$5001,"&gt;="&amp;$C$7,BD!$A$3:$A$5001,"&lt;="&amp;$B270,BD!$Z$3:$Z$5001,"&lt;&gt;"))))</f>
        <v/>
      </c>
      <c r="E270" s="42" t="str">
        <f>IF(OR($B270="",$A270&gt;$B$9),"",IF(COUNTIFS(BD!$B$3:$B$5001,E$243,BD!$A$3:$A$5001,"&gt;="&amp;$C$7,BD!$A$3:$A$5001,"&lt;="&amp;$B270,BD!$Z$3:$Z$5001,"&lt;&gt;")=0,"",SUMIFS(BD!$Z$3:$Z$5001,BD!$B$3:$B$5001,E$243,BD!$A$3:$A$5001,_xlfn.MAXIFS(BD!$A$3:$A$5001,BD!$B$3:$B$5001,E$243,BD!$A$3:$A$5001,"&gt;="&amp;$C$7,BD!$A$3:$A$5001,"&lt;="&amp;$B270,BD!$Z$3:$Z$5001,"&lt;&gt;"))))</f>
        <v/>
      </c>
      <c r="F270" s="42" t="str">
        <f>IF(OR($B270="",$A270&gt;$B$9),"",IF(COUNTIFS(BD!$B$3:$B$5001,F$243,BD!$A$3:$A$5001,"&gt;="&amp;$C$7,BD!$A$3:$A$5001,"&lt;="&amp;$B270,BD!$Z$3:$Z$5001,"&lt;&gt;")=0,"",SUMIFS(BD!$Z$3:$Z$5001,BD!$B$3:$B$5001,F$243,BD!$A$3:$A$5001,_xlfn.MAXIFS(BD!$A$3:$A$5001,BD!$B$3:$B$5001,F$243,BD!$A$3:$A$5001,"&gt;="&amp;$C$7,BD!$A$3:$A$5001,"&lt;="&amp;$B270,BD!$Z$3:$Z$5001,"&lt;&gt;"))))</f>
        <v/>
      </c>
      <c r="G270" s="42" t="str">
        <f>IF(OR($B270="",$A270&gt;$B$9),"",IF(COUNTIFS(BD!$B$3:$B$5001,G$243,BD!$A$3:$A$5001,"&gt;="&amp;$C$7,BD!$A$3:$A$5001,"&lt;="&amp;$B270,BD!$Z$3:$Z$5001,"&lt;&gt;")=0,"",SUMIFS(BD!$Z$3:$Z$5001,BD!$B$3:$B$5001,G$243,BD!$A$3:$A$5001,_xlfn.MAXIFS(BD!$A$3:$A$5001,BD!$B$3:$B$5001,G$243,BD!$A$3:$A$5001,"&gt;="&amp;$C$7,BD!$A$3:$A$5001,"&lt;="&amp;$B270,BD!$Z$3:$Z$5001,"&lt;&gt;"))))</f>
        <v/>
      </c>
      <c r="H270" s="42" t="str">
        <f>IF(OR($B270="",$A270&gt;$B$9),"",IF(COUNTIFS(BD!$B$3:$B$5001,H$243,BD!$A$3:$A$5001,"&gt;="&amp;$C$7,BD!$A$3:$A$5001,"&lt;="&amp;$B270,BD!$Z$3:$Z$5001,"&lt;&gt;")=0,"",SUMIFS(BD!$Z$3:$Z$5001,BD!$B$3:$B$5001,H$243,BD!$A$3:$A$5001,_xlfn.MAXIFS(BD!$A$3:$A$5001,BD!$B$3:$B$5001,H$243,BD!$A$3:$A$5001,"&gt;="&amp;$C$7,BD!$A$3:$A$5001,"&lt;="&amp;$B270,BD!$Z$3:$Z$5001,"&lt;&gt;"))))</f>
        <v/>
      </c>
      <c r="I270" s="42" t="str">
        <f>IF(OR($B270="",$A270&gt;$B$9),"",IF(COUNTIFS(BD!$B$3:$B$5001,I$243,BD!$A$3:$A$5001,"&gt;="&amp;$C$7,BD!$A$3:$A$5001,"&lt;="&amp;$B270,BD!$Z$3:$Z$5001,"&lt;&gt;")=0,"",SUMIFS(BD!$Z$3:$Z$5001,BD!$B$3:$B$5001,I$243,BD!$A$3:$A$5001,_xlfn.MAXIFS(BD!$A$3:$A$5001,BD!$B$3:$B$5001,I$243,BD!$A$3:$A$5001,"&gt;="&amp;$C$7,BD!$A$3:$A$5001,"&lt;="&amp;$B270,BD!$Z$3:$Z$5001,"&lt;&gt;"))))</f>
        <v/>
      </c>
      <c r="J270" s="42" t="str">
        <f>IF(OR($B270="",$A270&gt;$B$9),"",IF(COUNTIFS(BD!$B$3:$B$5001,J$243,BD!$A$3:$A$5001,"&gt;="&amp;$C$7,BD!$A$3:$A$5001,"&lt;="&amp;$B270,BD!$Z$3:$Z$5001,"&lt;&gt;")=0,"",SUMIFS(BD!$Z$3:$Z$5001,BD!$B$3:$B$5001,J$243,BD!$A$3:$A$5001,_xlfn.MAXIFS(BD!$A$3:$A$5001,BD!$B$3:$B$5001,J$243,BD!$A$3:$A$5001,"&gt;="&amp;$C$7,BD!$A$3:$A$5001,"&lt;="&amp;$B270,BD!$Z$3:$Z$5001,"&lt;&gt;"))))</f>
        <v/>
      </c>
      <c r="K270" s="42" t="str">
        <f>IF(OR($B270="",$A270&gt;$B$9),"",IF(COUNTIFS(BD!$B$3:$B$5001,K$243,BD!$A$3:$A$5001,"&gt;="&amp;$C$7,BD!$A$3:$A$5001,"&lt;="&amp;$B270,BD!$Z$3:$Z$5001,"&lt;&gt;")=0,"",SUMIFS(BD!$Z$3:$Z$5001,BD!$B$3:$B$5001,K$243,BD!$A$3:$A$5001,_xlfn.MAXIFS(BD!$A$3:$A$5001,BD!$B$3:$B$5001,K$243,BD!$A$3:$A$5001,"&gt;="&amp;$C$7,BD!$A$3:$A$5001,"&lt;="&amp;$B270,BD!$Z$3:$Z$5001,"&lt;&gt;"))))</f>
        <v/>
      </c>
      <c r="L270" s="42" t="str">
        <f>IF(OR($B270="",$A270&gt;$B$9),"",IF(COUNTIFS(BD!$B$3:$B$5001,L$243,BD!$A$3:$A$5001,"&gt;="&amp;$C$7,BD!$A$3:$A$5001,"&lt;="&amp;$B270,BD!$Z$3:$Z$5001,"&lt;&gt;")=0,"",SUMIFS(BD!$Z$3:$Z$5001,BD!$B$3:$B$5001,L$243,BD!$A$3:$A$5001,_xlfn.MAXIFS(BD!$A$3:$A$5001,BD!$B$3:$B$5001,L$243,BD!$A$3:$A$5001,"&gt;="&amp;$C$7,BD!$A$3:$A$5001,"&lt;="&amp;$B270,BD!$Z$3:$Z$5001,"&lt;&gt;"))))</f>
        <v/>
      </c>
    </row>
    <row r="271">
      <c r="A271" s="40">
        <v>28</v>
      </c>
      <c r="B271" s="41">
        <f>$B$39</f>
        <v>46323</v>
      </c>
      <c r="C271" s="42" t="str">
        <f>IF(OR($B271="",$A271&gt;$B$9),"",IF(COUNTIFS(BD!$B$3:$B$5001,C$243,BD!$A$3:$A$5001,"&gt;="&amp;$C$7,BD!$A$3:$A$5001,"&lt;="&amp;$B271,BD!$Z$3:$Z$5001,"&lt;&gt;")=0,"",SUMIFS(BD!$Z$3:$Z$5001,BD!$B$3:$B$5001,C$243,BD!$A$3:$A$5001,_xlfn.MAXIFS(BD!$A$3:$A$5001,BD!$B$3:$B$5001,C$243,BD!$A$3:$A$5001,"&gt;="&amp;$C$7,BD!$A$3:$A$5001,"&lt;="&amp;$B271,BD!$Z$3:$Z$5001,"&lt;&gt;"))))</f>
        <v/>
      </c>
      <c r="D271" s="42" t="str">
        <f>IF(OR($B271="",$A271&gt;$B$9),"",IF(COUNTIFS(BD!$B$3:$B$5001,D$243,BD!$A$3:$A$5001,"&gt;="&amp;$C$7,BD!$A$3:$A$5001,"&lt;="&amp;$B271,BD!$Z$3:$Z$5001,"&lt;&gt;")=0,"",SUMIFS(BD!$Z$3:$Z$5001,BD!$B$3:$B$5001,D$243,BD!$A$3:$A$5001,_xlfn.MAXIFS(BD!$A$3:$A$5001,BD!$B$3:$B$5001,D$243,BD!$A$3:$A$5001,"&gt;="&amp;$C$7,BD!$A$3:$A$5001,"&lt;="&amp;$B271,BD!$Z$3:$Z$5001,"&lt;&gt;"))))</f>
        <v/>
      </c>
      <c r="E271" s="42" t="str">
        <f>IF(OR($B271="",$A271&gt;$B$9),"",IF(COUNTIFS(BD!$B$3:$B$5001,E$243,BD!$A$3:$A$5001,"&gt;="&amp;$C$7,BD!$A$3:$A$5001,"&lt;="&amp;$B271,BD!$Z$3:$Z$5001,"&lt;&gt;")=0,"",SUMIFS(BD!$Z$3:$Z$5001,BD!$B$3:$B$5001,E$243,BD!$A$3:$A$5001,_xlfn.MAXIFS(BD!$A$3:$A$5001,BD!$B$3:$B$5001,E$243,BD!$A$3:$A$5001,"&gt;="&amp;$C$7,BD!$A$3:$A$5001,"&lt;="&amp;$B271,BD!$Z$3:$Z$5001,"&lt;&gt;"))))</f>
        <v/>
      </c>
      <c r="F271" s="42" t="str">
        <f>IF(OR($B271="",$A271&gt;$B$9),"",IF(COUNTIFS(BD!$B$3:$B$5001,F$243,BD!$A$3:$A$5001,"&gt;="&amp;$C$7,BD!$A$3:$A$5001,"&lt;="&amp;$B271,BD!$Z$3:$Z$5001,"&lt;&gt;")=0,"",SUMIFS(BD!$Z$3:$Z$5001,BD!$B$3:$B$5001,F$243,BD!$A$3:$A$5001,_xlfn.MAXIFS(BD!$A$3:$A$5001,BD!$B$3:$B$5001,F$243,BD!$A$3:$A$5001,"&gt;="&amp;$C$7,BD!$A$3:$A$5001,"&lt;="&amp;$B271,BD!$Z$3:$Z$5001,"&lt;&gt;"))))</f>
        <v/>
      </c>
      <c r="G271" s="42" t="str">
        <f>IF(OR($B271="",$A271&gt;$B$9),"",IF(COUNTIFS(BD!$B$3:$B$5001,G$243,BD!$A$3:$A$5001,"&gt;="&amp;$C$7,BD!$A$3:$A$5001,"&lt;="&amp;$B271,BD!$Z$3:$Z$5001,"&lt;&gt;")=0,"",SUMIFS(BD!$Z$3:$Z$5001,BD!$B$3:$B$5001,G$243,BD!$A$3:$A$5001,_xlfn.MAXIFS(BD!$A$3:$A$5001,BD!$B$3:$B$5001,G$243,BD!$A$3:$A$5001,"&gt;="&amp;$C$7,BD!$A$3:$A$5001,"&lt;="&amp;$B271,BD!$Z$3:$Z$5001,"&lt;&gt;"))))</f>
        <v/>
      </c>
      <c r="H271" s="42" t="str">
        <f>IF(OR($B271="",$A271&gt;$B$9),"",IF(COUNTIFS(BD!$B$3:$B$5001,H$243,BD!$A$3:$A$5001,"&gt;="&amp;$C$7,BD!$A$3:$A$5001,"&lt;="&amp;$B271,BD!$Z$3:$Z$5001,"&lt;&gt;")=0,"",SUMIFS(BD!$Z$3:$Z$5001,BD!$B$3:$B$5001,H$243,BD!$A$3:$A$5001,_xlfn.MAXIFS(BD!$A$3:$A$5001,BD!$B$3:$B$5001,H$243,BD!$A$3:$A$5001,"&gt;="&amp;$C$7,BD!$A$3:$A$5001,"&lt;="&amp;$B271,BD!$Z$3:$Z$5001,"&lt;&gt;"))))</f>
        <v/>
      </c>
      <c r="I271" s="42" t="str">
        <f>IF(OR($B271="",$A271&gt;$B$9),"",IF(COUNTIFS(BD!$B$3:$B$5001,I$243,BD!$A$3:$A$5001,"&gt;="&amp;$C$7,BD!$A$3:$A$5001,"&lt;="&amp;$B271,BD!$Z$3:$Z$5001,"&lt;&gt;")=0,"",SUMIFS(BD!$Z$3:$Z$5001,BD!$B$3:$B$5001,I$243,BD!$A$3:$A$5001,_xlfn.MAXIFS(BD!$A$3:$A$5001,BD!$B$3:$B$5001,I$243,BD!$A$3:$A$5001,"&gt;="&amp;$C$7,BD!$A$3:$A$5001,"&lt;="&amp;$B271,BD!$Z$3:$Z$5001,"&lt;&gt;"))))</f>
        <v/>
      </c>
      <c r="J271" s="42" t="str">
        <f>IF(OR($B271="",$A271&gt;$B$9),"",IF(COUNTIFS(BD!$B$3:$B$5001,J$243,BD!$A$3:$A$5001,"&gt;="&amp;$C$7,BD!$A$3:$A$5001,"&lt;="&amp;$B271,BD!$Z$3:$Z$5001,"&lt;&gt;")=0,"",SUMIFS(BD!$Z$3:$Z$5001,BD!$B$3:$B$5001,J$243,BD!$A$3:$A$5001,_xlfn.MAXIFS(BD!$A$3:$A$5001,BD!$B$3:$B$5001,J$243,BD!$A$3:$A$5001,"&gt;="&amp;$C$7,BD!$A$3:$A$5001,"&lt;="&amp;$B271,BD!$Z$3:$Z$5001,"&lt;&gt;"))))</f>
        <v/>
      </c>
      <c r="K271" s="42" t="str">
        <f>IF(OR($B271="",$A271&gt;$B$9),"",IF(COUNTIFS(BD!$B$3:$B$5001,K$243,BD!$A$3:$A$5001,"&gt;="&amp;$C$7,BD!$A$3:$A$5001,"&lt;="&amp;$B271,BD!$Z$3:$Z$5001,"&lt;&gt;")=0,"",SUMIFS(BD!$Z$3:$Z$5001,BD!$B$3:$B$5001,K$243,BD!$A$3:$A$5001,_xlfn.MAXIFS(BD!$A$3:$A$5001,BD!$B$3:$B$5001,K$243,BD!$A$3:$A$5001,"&gt;="&amp;$C$7,BD!$A$3:$A$5001,"&lt;="&amp;$B271,BD!$Z$3:$Z$5001,"&lt;&gt;"))))</f>
        <v/>
      </c>
      <c r="L271" s="42" t="str">
        <f>IF(OR($B271="",$A271&gt;$B$9),"",IF(COUNTIFS(BD!$B$3:$B$5001,L$243,BD!$A$3:$A$5001,"&gt;="&amp;$C$7,BD!$A$3:$A$5001,"&lt;="&amp;$B271,BD!$Z$3:$Z$5001,"&lt;&gt;")=0,"",SUMIFS(BD!$Z$3:$Z$5001,BD!$B$3:$B$5001,L$243,BD!$A$3:$A$5001,_xlfn.MAXIFS(BD!$A$3:$A$5001,BD!$B$3:$B$5001,L$243,BD!$A$3:$A$5001,"&gt;="&amp;$C$7,BD!$A$3:$A$5001,"&lt;="&amp;$B271,BD!$Z$3:$Z$5001,"&lt;&gt;"))))</f>
        <v/>
      </c>
    </row>
    <row r="272">
      <c r="A272" s="40">
        <v>29</v>
      </c>
      <c r="B272" s="41">
        <f>$B$40</f>
        <v>46324</v>
      </c>
      <c r="C272" s="42" t="str">
        <f>IF(OR($B272="",$A272&gt;$B$9),"",IF(COUNTIFS(BD!$B$3:$B$5001,C$243,BD!$A$3:$A$5001,"&gt;="&amp;$C$7,BD!$A$3:$A$5001,"&lt;="&amp;$B272,BD!$Z$3:$Z$5001,"&lt;&gt;")=0,"",SUMIFS(BD!$Z$3:$Z$5001,BD!$B$3:$B$5001,C$243,BD!$A$3:$A$5001,_xlfn.MAXIFS(BD!$A$3:$A$5001,BD!$B$3:$B$5001,C$243,BD!$A$3:$A$5001,"&gt;="&amp;$C$7,BD!$A$3:$A$5001,"&lt;="&amp;$B272,BD!$Z$3:$Z$5001,"&lt;&gt;"))))</f>
        <v/>
      </c>
      <c r="D272" s="42" t="str">
        <f>IF(OR($B272="",$A272&gt;$B$9),"",IF(COUNTIFS(BD!$B$3:$B$5001,D$243,BD!$A$3:$A$5001,"&gt;="&amp;$C$7,BD!$A$3:$A$5001,"&lt;="&amp;$B272,BD!$Z$3:$Z$5001,"&lt;&gt;")=0,"",SUMIFS(BD!$Z$3:$Z$5001,BD!$B$3:$B$5001,D$243,BD!$A$3:$A$5001,_xlfn.MAXIFS(BD!$A$3:$A$5001,BD!$B$3:$B$5001,D$243,BD!$A$3:$A$5001,"&gt;="&amp;$C$7,BD!$A$3:$A$5001,"&lt;="&amp;$B272,BD!$Z$3:$Z$5001,"&lt;&gt;"))))</f>
        <v/>
      </c>
      <c r="E272" s="42" t="str">
        <f>IF(OR($B272="",$A272&gt;$B$9),"",IF(COUNTIFS(BD!$B$3:$B$5001,E$243,BD!$A$3:$A$5001,"&gt;="&amp;$C$7,BD!$A$3:$A$5001,"&lt;="&amp;$B272,BD!$Z$3:$Z$5001,"&lt;&gt;")=0,"",SUMIFS(BD!$Z$3:$Z$5001,BD!$B$3:$B$5001,E$243,BD!$A$3:$A$5001,_xlfn.MAXIFS(BD!$A$3:$A$5001,BD!$B$3:$B$5001,E$243,BD!$A$3:$A$5001,"&gt;="&amp;$C$7,BD!$A$3:$A$5001,"&lt;="&amp;$B272,BD!$Z$3:$Z$5001,"&lt;&gt;"))))</f>
        <v/>
      </c>
      <c r="F272" s="42" t="str">
        <f>IF(OR($B272="",$A272&gt;$B$9),"",IF(COUNTIFS(BD!$B$3:$B$5001,F$243,BD!$A$3:$A$5001,"&gt;="&amp;$C$7,BD!$A$3:$A$5001,"&lt;="&amp;$B272,BD!$Z$3:$Z$5001,"&lt;&gt;")=0,"",SUMIFS(BD!$Z$3:$Z$5001,BD!$B$3:$B$5001,F$243,BD!$A$3:$A$5001,_xlfn.MAXIFS(BD!$A$3:$A$5001,BD!$B$3:$B$5001,F$243,BD!$A$3:$A$5001,"&gt;="&amp;$C$7,BD!$A$3:$A$5001,"&lt;="&amp;$B272,BD!$Z$3:$Z$5001,"&lt;&gt;"))))</f>
        <v/>
      </c>
      <c r="G272" s="42" t="str">
        <f>IF(OR($B272="",$A272&gt;$B$9),"",IF(COUNTIFS(BD!$B$3:$B$5001,G$243,BD!$A$3:$A$5001,"&gt;="&amp;$C$7,BD!$A$3:$A$5001,"&lt;="&amp;$B272,BD!$Z$3:$Z$5001,"&lt;&gt;")=0,"",SUMIFS(BD!$Z$3:$Z$5001,BD!$B$3:$B$5001,G$243,BD!$A$3:$A$5001,_xlfn.MAXIFS(BD!$A$3:$A$5001,BD!$B$3:$B$5001,G$243,BD!$A$3:$A$5001,"&gt;="&amp;$C$7,BD!$A$3:$A$5001,"&lt;="&amp;$B272,BD!$Z$3:$Z$5001,"&lt;&gt;"))))</f>
        <v/>
      </c>
      <c r="H272" s="42" t="str">
        <f>IF(OR($B272="",$A272&gt;$B$9),"",IF(COUNTIFS(BD!$B$3:$B$5001,H$243,BD!$A$3:$A$5001,"&gt;="&amp;$C$7,BD!$A$3:$A$5001,"&lt;="&amp;$B272,BD!$Z$3:$Z$5001,"&lt;&gt;")=0,"",SUMIFS(BD!$Z$3:$Z$5001,BD!$B$3:$B$5001,H$243,BD!$A$3:$A$5001,_xlfn.MAXIFS(BD!$A$3:$A$5001,BD!$B$3:$B$5001,H$243,BD!$A$3:$A$5001,"&gt;="&amp;$C$7,BD!$A$3:$A$5001,"&lt;="&amp;$B272,BD!$Z$3:$Z$5001,"&lt;&gt;"))))</f>
        <v/>
      </c>
      <c r="I272" s="42" t="str">
        <f>IF(OR($B272="",$A272&gt;$B$9),"",IF(COUNTIFS(BD!$B$3:$B$5001,I$243,BD!$A$3:$A$5001,"&gt;="&amp;$C$7,BD!$A$3:$A$5001,"&lt;="&amp;$B272,BD!$Z$3:$Z$5001,"&lt;&gt;")=0,"",SUMIFS(BD!$Z$3:$Z$5001,BD!$B$3:$B$5001,I$243,BD!$A$3:$A$5001,_xlfn.MAXIFS(BD!$A$3:$A$5001,BD!$B$3:$B$5001,I$243,BD!$A$3:$A$5001,"&gt;="&amp;$C$7,BD!$A$3:$A$5001,"&lt;="&amp;$B272,BD!$Z$3:$Z$5001,"&lt;&gt;"))))</f>
        <v/>
      </c>
      <c r="J272" s="42" t="str">
        <f>IF(OR($B272="",$A272&gt;$B$9),"",IF(COUNTIFS(BD!$B$3:$B$5001,J$243,BD!$A$3:$A$5001,"&gt;="&amp;$C$7,BD!$A$3:$A$5001,"&lt;="&amp;$B272,BD!$Z$3:$Z$5001,"&lt;&gt;")=0,"",SUMIFS(BD!$Z$3:$Z$5001,BD!$B$3:$B$5001,J$243,BD!$A$3:$A$5001,_xlfn.MAXIFS(BD!$A$3:$A$5001,BD!$B$3:$B$5001,J$243,BD!$A$3:$A$5001,"&gt;="&amp;$C$7,BD!$A$3:$A$5001,"&lt;="&amp;$B272,BD!$Z$3:$Z$5001,"&lt;&gt;"))))</f>
        <v/>
      </c>
      <c r="K272" s="42" t="str">
        <f>IF(OR($B272="",$A272&gt;$B$9),"",IF(COUNTIFS(BD!$B$3:$B$5001,K$243,BD!$A$3:$A$5001,"&gt;="&amp;$C$7,BD!$A$3:$A$5001,"&lt;="&amp;$B272,BD!$Z$3:$Z$5001,"&lt;&gt;")=0,"",SUMIFS(BD!$Z$3:$Z$5001,BD!$B$3:$B$5001,K$243,BD!$A$3:$A$5001,_xlfn.MAXIFS(BD!$A$3:$A$5001,BD!$B$3:$B$5001,K$243,BD!$A$3:$A$5001,"&gt;="&amp;$C$7,BD!$A$3:$A$5001,"&lt;="&amp;$B272,BD!$Z$3:$Z$5001,"&lt;&gt;"))))</f>
        <v/>
      </c>
      <c r="L272" s="42" t="str">
        <f>IF(OR($B272="",$A272&gt;$B$9),"",IF(COUNTIFS(BD!$B$3:$B$5001,L$243,BD!$A$3:$A$5001,"&gt;="&amp;$C$7,BD!$A$3:$A$5001,"&lt;="&amp;$B272,BD!$Z$3:$Z$5001,"&lt;&gt;")=0,"",SUMIFS(BD!$Z$3:$Z$5001,BD!$B$3:$B$5001,L$243,BD!$A$3:$A$5001,_xlfn.MAXIFS(BD!$A$3:$A$5001,BD!$B$3:$B$5001,L$243,BD!$A$3:$A$5001,"&gt;="&amp;$C$7,BD!$A$3:$A$5001,"&lt;="&amp;$B272,BD!$Z$3:$Z$5001,"&lt;&gt;"))))</f>
        <v/>
      </c>
    </row>
    <row r="273">
      <c r="A273" s="40">
        <v>30</v>
      </c>
      <c r="B273" s="41">
        <f>$B$41</f>
        <v>46325</v>
      </c>
      <c r="C273" s="42" t="str">
        <f>IF(OR($B273="",$A273&gt;$B$9),"",IF(COUNTIFS(BD!$B$3:$B$5001,C$243,BD!$A$3:$A$5001,"&gt;="&amp;$C$7,BD!$A$3:$A$5001,"&lt;="&amp;$B273,BD!$Z$3:$Z$5001,"&lt;&gt;")=0,"",SUMIFS(BD!$Z$3:$Z$5001,BD!$B$3:$B$5001,C$243,BD!$A$3:$A$5001,_xlfn.MAXIFS(BD!$A$3:$A$5001,BD!$B$3:$B$5001,C$243,BD!$A$3:$A$5001,"&gt;="&amp;$C$7,BD!$A$3:$A$5001,"&lt;="&amp;$B273,BD!$Z$3:$Z$5001,"&lt;&gt;"))))</f>
        <v/>
      </c>
      <c r="D273" s="42" t="str">
        <f>IF(OR($B273="",$A273&gt;$B$9),"",IF(COUNTIFS(BD!$B$3:$B$5001,D$243,BD!$A$3:$A$5001,"&gt;="&amp;$C$7,BD!$A$3:$A$5001,"&lt;="&amp;$B273,BD!$Z$3:$Z$5001,"&lt;&gt;")=0,"",SUMIFS(BD!$Z$3:$Z$5001,BD!$B$3:$B$5001,D$243,BD!$A$3:$A$5001,_xlfn.MAXIFS(BD!$A$3:$A$5001,BD!$B$3:$B$5001,D$243,BD!$A$3:$A$5001,"&gt;="&amp;$C$7,BD!$A$3:$A$5001,"&lt;="&amp;$B273,BD!$Z$3:$Z$5001,"&lt;&gt;"))))</f>
        <v/>
      </c>
      <c r="E273" s="42" t="str">
        <f>IF(OR($B273="",$A273&gt;$B$9),"",IF(COUNTIFS(BD!$B$3:$B$5001,E$243,BD!$A$3:$A$5001,"&gt;="&amp;$C$7,BD!$A$3:$A$5001,"&lt;="&amp;$B273,BD!$Z$3:$Z$5001,"&lt;&gt;")=0,"",SUMIFS(BD!$Z$3:$Z$5001,BD!$B$3:$B$5001,E$243,BD!$A$3:$A$5001,_xlfn.MAXIFS(BD!$A$3:$A$5001,BD!$B$3:$B$5001,E$243,BD!$A$3:$A$5001,"&gt;="&amp;$C$7,BD!$A$3:$A$5001,"&lt;="&amp;$B273,BD!$Z$3:$Z$5001,"&lt;&gt;"))))</f>
        <v/>
      </c>
      <c r="F273" s="42" t="str">
        <f>IF(OR($B273="",$A273&gt;$B$9),"",IF(COUNTIFS(BD!$B$3:$B$5001,F$243,BD!$A$3:$A$5001,"&gt;="&amp;$C$7,BD!$A$3:$A$5001,"&lt;="&amp;$B273,BD!$Z$3:$Z$5001,"&lt;&gt;")=0,"",SUMIFS(BD!$Z$3:$Z$5001,BD!$B$3:$B$5001,F$243,BD!$A$3:$A$5001,_xlfn.MAXIFS(BD!$A$3:$A$5001,BD!$B$3:$B$5001,F$243,BD!$A$3:$A$5001,"&gt;="&amp;$C$7,BD!$A$3:$A$5001,"&lt;="&amp;$B273,BD!$Z$3:$Z$5001,"&lt;&gt;"))))</f>
        <v/>
      </c>
      <c r="G273" s="42" t="str">
        <f>IF(OR($B273="",$A273&gt;$B$9),"",IF(COUNTIFS(BD!$B$3:$B$5001,G$243,BD!$A$3:$A$5001,"&gt;="&amp;$C$7,BD!$A$3:$A$5001,"&lt;="&amp;$B273,BD!$Z$3:$Z$5001,"&lt;&gt;")=0,"",SUMIFS(BD!$Z$3:$Z$5001,BD!$B$3:$B$5001,G$243,BD!$A$3:$A$5001,_xlfn.MAXIFS(BD!$A$3:$A$5001,BD!$B$3:$B$5001,G$243,BD!$A$3:$A$5001,"&gt;="&amp;$C$7,BD!$A$3:$A$5001,"&lt;="&amp;$B273,BD!$Z$3:$Z$5001,"&lt;&gt;"))))</f>
        <v/>
      </c>
      <c r="H273" s="42" t="str">
        <f>IF(OR($B273="",$A273&gt;$B$9),"",IF(COUNTIFS(BD!$B$3:$B$5001,H$243,BD!$A$3:$A$5001,"&gt;="&amp;$C$7,BD!$A$3:$A$5001,"&lt;="&amp;$B273,BD!$Z$3:$Z$5001,"&lt;&gt;")=0,"",SUMIFS(BD!$Z$3:$Z$5001,BD!$B$3:$B$5001,H$243,BD!$A$3:$A$5001,_xlfn.MAXIFS(BD!$A$3:$A$5001,BD!$B$3:$B$5001,H$243,BD!$A$3:$A$5001,"&gt;="&amp;$C$7,BD!$A$3:$A$5001,"&lt;="&amp;$B273,BD!$Z$3:$Z$5001,"&lt;&gt;"))))</f>
        <v/>
      </c>
      <c r="I273" s="42" t="str">
        <f>IF(OR($B273="",$A273&gt;$B$9),"",IF(COUNTIFS(BD!$B$3:$B$5001,I$243,BD!$A$3:$A$5001,"&gt;="&amp;$C$7,BD!$A$3:$A$5001,"&lt;="&amp;$B273,BD!$Z$3:$Z$5001,"&lt;&gt;")=0,"",SUMIFS(BD!$Z$3:$Z$5001,BD!$B$3:$B$5001,I$243,BD!$A$3:$A$5001,_xlfn.MAXIFS(BD!$A$3:$A$5001,BD!$B$3:$B$5001,I$243,BD!$A$3:$A$5001,"&gt;="&amp;$C$7,BD!$A$3:$A$5001,"&lt;="&amp;$B273,BD!$Z$3:$Z$5001,"&lt;&gt;"))))</f>
        <v/>
      </c>
      <c r="J273" s="42" t="str">
        <f>IF(OR($B273="",$A273&gt;$B$9),"",IF(COUNTIFS(BD!$B$3:$B$5001,J$243,BD!$A$3:$A$5001,"&gt;="&amp;$C$7,BD!$A$3:$A$5001,"&lt;="&amp;$B273,BD!$Z$3:$Z$5001,"&lt;&gt;")=0,"",SUMIFS(BD!$Z$3:$Z$5001,BD!$B$3:$B$5001,J$243,BD!$A$3:$A$5001,_xlfn.MAXIFS(BD!$A$3:$A$5001,BD!$B$3:$B$5001,J$243,BD!$A$3:$A$5001,"&gt;="&amp;$C$7,BD!$A$3:$A$5001,"&lt;="&amp;$B273,BD!$Z$3:$Z$5001,"&lt;&gt;"))))</f>
        <v/>
      </c>
      <c r="K273" s="42" t="str">
        <f>IF(OR($B273="",$A273&gt;$B$9),"",IF(COUNTIFS(BD!$B$3:$B$5001,K$243,BD!$A$3:$A$5001,"&gt;="&amp;$C$7,BD!$A$3:$A$5001,"&lt;="&amp;$B273,BD!$Z$3:$Z$5001,"&lt;&gt;")=0,"",SUMIFS(BD!$Z$3:$Z$5001,BD!$B$3:$B$5001,K$243,BD!$A$3:$A$5001,_xlfn.MAXIFS(BD!$A$3:$A$5001,BD!$B$3:$B$5001,K$243,BD!$A$3:$A$5001,"&gt;="&amp;$C$7,BD!$A$3:$A$5001,"&lt;="&amp;$B273,BD!$Z$3:$Z$5001,"&lt;&gt;"))))</f>
        <v/>
      </c>
      <c r="L273" s="42" t="str">
        <f>IF(OR($B273="",$A273&gt;$B$9),"",IF(COUNTIFS(BD!$B$3:$B$5001,L$243,BD!$A$3:$A$5001,"&gt;="&amp;$C$7,BD!$A$3:$A$5001,"&lt;="&amp;$B273,BD!$Z$3:$Z$5001,"&lt;&gt;")=0,"",SUMIFS(BD!$Z$3:$Z$5001,BD!$B$3:$B$5001,L$243,BD!$A$3:$A$5001,_xlfn.MAXIFS(BD!$A$3:$A$5001,BD!$B$3:$B$5001,L$243,BD!$A$3:$A$5001,"&gt;="&amp;$C$7,BD!$A$3:$A$5001,"&lt;="&amp;$B273,BD!$Z$3:$Z$5001,"&lt;&gt;"))))</f>
        <v/>
      </c>
    </row>
    <row r="274">
      <c r="A274" s="40">
        <v>31</v>
      </c>
      <c r="B274" s="41">
        <f>$B$42</f>
        <v>46326</v>
      </c>
      <c r="C274" s="42" t="str">
        <f>IF(OR($B274="",$A274&gt;$B$9),"",IF(COUNTIFS(BD!$B$3:$B$5001,C$243,BD!$A$3:$A$5001,"&gt;="&amp;$C$7,BD!$A$3:$A$5001,"&lt;="&amp;$B274,BD!$Z$3:$Z$5001,"&lt;&gt;")=0,"",SUMIFS(BD!$Z$3:$Z$5001,BD!$B$3:$B$5001,C$243,BD!$A$3:$A$5001,_xlfn.MAXIFS(BD!$A$3:$A$5001,BD!$B$3:$B$5001,C$243,BD!$A$3:$A$5001,"&gt;="&amp;$C$7,BD!$A$3:$A$5001,"&lt;="&amp;$B274,BD!$Z$3:$Z$5001,"&lt;&gt;"))))</f>
        <v/>
      </c>
      <c r="D274" s="42" t="str">
        <f>IF(OR($B274="",$A274&gt;$B$9),"",IF(COUNTIFS(BD!$B$3:$B$5001,D$243,BD!$A$3:$A$5001,"&gt;="&amp;$C$7,BD!$A$3:$A$5001,"&lt;="&amp;$B274,BD!$Z$3:$Z$5001,"&lt;&gt;")=0,"",SUMIFS(BD!$Z$3:$Z$5001,BD!$B$3:$B$5001,D$243,BD!$A$3:$A$5001,_xlfn.MAXIFS(BD!$A$3:$A$5001,BD!$B$3:$B$5001,D$243,BD!$A$3:$A$5001,"&gt;="&amp;$C$7,BD!$A$3:$A$5001,"&lt;="&amp;$B274,BD!$Z$3:$Z$5001,"&lt;&gt;"))))</f>
        <v/>
      </c>
      <c r="E274" s="42" t="str">
        <f>IF(OR($B274="",$A274&gt;$B$9),"",IF(COUNTIFS(BD!$B$3:$B$5001,E$243,BD!$A$3:$A$5001,"&gt;="&amp;$C$7,BD!$A$3:$A$5001,"&lt;="&amp;$B274,BD!$Z$3:$Z$5001,"&lt;&gt;")=0,"",SUMIFS(BD!$Z$3:$Z$5001,BD!$B$3:$B$5001,E$243,BD!$A$3:$A$5001,_xlfn.MAXIFS(BD!$A$3:$A$5001,BD!$B$3:$B$5001,E$243,BD!$A$3:$A$5001,"&gt;="&amp;$C$7,BD!$A$3:$A$5001,"&lt;="&amp;$B274,BD!$Z$3:$Z$5001,"&lt;&gt;"))))</f>
        <v/>
      </c>
      <c r="F274" s="42" t="str">
        <f>IF(OR($B274="",$A274&gt;$B$9),"",IF(COUNTIFS(BD!$B$3:$B$5001,F$243,BD!$A$3:$A$5001,"&gt;="&amp;$C$7,BD!$A$3:$A$5001,"&lt;="&amp;$B274,BD!$Z$3:$Z$5001,"&lt;&gt;")=0,"",SUMIFS(BD!$Z$3:$Z$5001,BD!$B$3:$B$5001,F$243,BD!$A$3:$A$5001,_xlfn.MAXIFS(BD!$A$3:$A$5001,BD!$B$3:$B$5001,F$243,BD!$A$3:$A$5001,"&gt;="&amp;$C$7,BD!$A$3:$A$5001,"&lt;="&amp;$B274,BD!$Z$3:$Z$5001,"&lt;&gt;"))))</f>
        <v/>
      </c>
      <c r="G274" s="42" t="str">
        <f>IF(OR($B274="",$A274&gt;$B$9),"",IF(COUNTIFS(BD!$B$3:$B$5001,G$243,BD!$A$3:$A$5001,"&gt;="&amp;$C$7,BD!$A$3:$A$5001,"&lt;="&amp;$B274,BD!$Z$3:$Z$5001,"&lt;&gt;")=0,"",SUMIFS(BD!$Z$3:$Z$5001,BD!$B$3:$B$5001,G$243,BD!$A$3:$A$5001,_xlfn.MAXIFS(BD!$A$3:$A$5001,BD!$B$3:$B$5001,G$243,BD!$A$3:$A$5001,"&gt;="&amp;$C$7,BD!$A$3:$A$5001,"&lt;="&amp;$B274,BD!$Z$3:$Z$5001,"&lt;&gt;"))))</f>
        <v/>
      </c>
      <c r="H274" s="42" t="str">
        <f>IF(OR($B274="",$A274&gt;$B$9),"",IF(COUNTIFS(BD!$B$3:$B$5001,H$243,BD!$A$3:$A$5001,"&gt;="&amp;$C$7,BD!$A$3:$A$5001,"&lt;="&amp;$B274,BD!$Z$3:$Z$5001,"&lt;&gt;")=0,"",SUMIFS(BD!$Z$3:$Z$5001,BD!$B$3:$B$5001,H$243,BD!$A$3:$A$5001,_xlfn.MAXIFS(BD!$A$3:$A$5001,BD!$B$3:$B$5001,H$243,BD!$A$3:$A$5001,"&gt;="&amp;$C$7,BD!$A$3:$A$5001,"&lt;="&amp;$B274,BD!$Z$3:$Z$5001,"&lt;&gt;"))))</f>
        <v/>
      </c>
      <c r="I274" s="42" t="str">
        <f>IF(OR($B274="",$A274&gt;$B$9),"",IF(COUNTIFS(BD!$B$3:$B$5001,I$243,BD!$A$3:$A$5001,"&gt;="&amp;$C$7,BD!$A$3:$A$5001,"&lt;="&amp;$B274,BD!$Z$3:$Z$5001,"&lt;&gt;")=0,"",SUMIFS(BD!$Z$3:$Z$5001,BD!$B$3:$B$5001,I$243,BD!$A$3:$A$5001,_xlfn.MAXIFS(BD!$A$3:$A$5001,BD!$B$3:$B$5001,I$243,BD!$A$3:$A$5001,"&gt;="&amp;$C$7,BD!$A$3:$A$5001,"&lt;="&amp;$B274,BD!$Z$3:$Z$5001,"&lt;&gt;"))))</f>
        <v/>
      </c>
      <c r="J274" s="42" t="str">
        <f>IF(OR($B274="",$A274&gt;$B$9),"",IF(COUNTIFS(BD!$B$3:$B$5001,J$243,BD!$A$3:$A$5001,"&gt;="&amp;$C$7,BD!$A$3:$A$5001,"&lt;="&amp;$B274,BD!$Z$3:$Z$5001,"&lt;&gt;")=0,"",SUMIFS(BD!$Z$3:$Z$5001,BD!$B$3:$B$5001,J$243,BD!$A$3:$A$5001,_xlfn.MAXIFS(BD!$A$3:$A$5001,BD!$B$3:$B$5001,J$243,BD!$A$3:$A$5001,"&gt;="&amp;$C$7,BD!$A$3:$A$5001,"&lt;="&amp;$B274,BD!$Z$3:$Z$5001,"&lt;&gt;"))))</f>
        <v/>
      </c>
      <c r="K274" s="42" t="str">
        <f>IF(OR($B274="",$A274&gt;$B$9),"",IF(COUNTIFS(BD!$B$3:$B$5001,K$243,BD!$A$3:$A$5001,"&gt;="&amp;$C$7,BD!$A$3:$A$5001,"&lt;="&amp;$B274,BD!$Z$3:$Z$5001,"&lt;&gt;")=0,"",SUMIFS(BD!$Z$3:$Z$5001,BD!$B$3:$B$5001,K$243,BD!$A$3:$A$5001,_xlfn.MAXIFS(BD!$A$3:$A$5001,BD!$B$3:$B$5001,K$243,BD!$A$3:$A$5001,"&gt;="&amp;$C$7,BD!$A$3:$A$5001,"&lt;="&amp;$B274,BD!$Z$3:$Z$5001,"&lt;&gt;"))))</f>
        <v/>
      </c>
      <c r="L274" s="42" t="str">
        <f>IF(OR($B274="",$A274&gt;$B$9),"",IF(COUNTIFS(BD!$B$3:$B$5001,L$243,BD!$A$3:$A$5001,"&gt;="&amp;$C$7,BD!$A$3:$A$5001,"&lt;="&amp;$B274,BD!$Z$3:$Z$5001,"&lt;&gt;")=0,"",SUMIFS(BD!$Z$3:$Z$5001,BD!$B$3:$B$5001,L$243,BD!$A$3:$A$5001,_xlfn.MAXIFS(BD!$A$3:$A$5001,BD!$B$3:$B$5001,L$243,BD!$A$3:$A$5001,"&gt;="&amp;$C$7,BD!$A$3:$A$5001,"&lt;="&amp;$B274,BD!$Z$3:$Z$5001,"&lt;&gt;"))))</f>
        <v/>
      </c>
    </row>
    <row r="275">
      <c r="A275" s="43" t="inlineStr">
        <is>
          <t xml:space="preserve">Mês anterior (último)</t>
        </is>
      </c>
      <c r="C275" s="44" t="str">
        <f>IF(COUNTIFS(BD!$B$3:$B$5001,C$243,BD!$A$3:$A$5001,"&gt;="&amp;$C$8,BD!$A$3:$A$5001,"&lt;="&amp;$D$8,BD!$Z$3:$Z$5001,"&lt;&gt;")=0,"",SUMIFS(BD!$Z$3:$Z$5001,BD!$B$3:$B$5001,C$243,BD!$A$3:$A$5001,_xlfn.MAXIFS(BD!$A$3:$A$5001,BD!$B$3:$B$5001,C$243,BD!$A$3:$A$5001,"&gt;="&amp;$C$8,BD!$A$3:$A$5001,"&lt;="&amp;$D$8,BD!$Z$3:$Z$5001,"&lt;&gt;")))</f>
        <v/>
      </c>
      <c r="D275" s="44" t="str">
        <f>IF(COUNTIFS(BD!$B$3:$B$5001,D$243,BD!$A$3:$A$5001,"&gt;="&amp;$C$8,BD!$A$3:$A$5001,"&lt;="&amp;$D$8,BD!$Z$3:$Z$5001,"&lt;&gt;")=0,"",SUMIFS(BD!$Z$3:$Z$5001,BD!$B$3:$B$5001,D$243,BD!$A$3:$A$5001,_xlfn.MAXIFS(BD!$A$3:$A$5001,BD!$B$3:$B$5001,D$243,BD!$A$3:$A$5001,"&gt;="&amp;$C$8,BD!$A$3:$A$5001,"&lt;="&amp;$D$8,BD!$Z$3:$Z$5001,"&lt;&gt;")))</f>
        <v/>
      </c>
      <c r="E275" s="44" t="str">
        <f>IF(COUNTIFS(BD!$B$3:$B$5001,E$243,BD!$A$3:$A$5001,"&gt;="&amp;$C$8,BD!$A$3:$A$5001,"&lt;="&amp;$D$8,BD!$Z$3:$Z$5001,"&lt;&gt;")=0,"",SUMIFS(BD!$Z$3:$Z$5001,BD!$B$3:$B$5001,E$243,BD!$A$3:$A$5001,_xlfn.MAXIFS(BD!$A$3:$A$5001,BD!$B$3:$B$5001,E$243,BD!$A$3:$A$5001,"&gt;="&amp;$C$8,BD!$A$3:$A$5001,"&lt;="&amp;$D$8,BD!$Z$3:$Z$5001,"&lt;&gt;")))</f>
        <v/>
      </c>
      <c r="F275" s="44" t="str">
        <f>IF(COUNTIFS(BD!$B$3:$B$5001,F$243,BD!$A$3:$A$5001,"&gt;="&amp;$C$8,BD!$A$3:$A$5001,"&lt;="&amp;$D$8,BD!$Z$3:$Z$5001,"&lt;&gt;")=0,"",SUMIFS(BD!$Z$3:$Z$5001,BD!$B$3:$B$5001,F$243,BD!$A$3:$A$5001,_xlfn.MAXIFS(BD!$A$3:$A$5001,BD!$B$3:$B$5001,F$243,BD!$A$3:$A$5001,"&gt;="&amp;$C$8,BD!$A$3:$A$5001,"&lt;="&amp;$D$8,BD!$Z$3:$Z$5001,"&lt;&gt;")))</f>
        <v/>
      </c>
      <c r="G275" s="44" t="str">
        <f>IF(COUNTIFS(BD!$B$3:$B$5001,G$243,BD!$A$3:$A$5001,"&gt;="&amp;$C$8,BD!$A$3:$A$5001,"&lt;="&amp;$D$8,BD!$Z$3:$Z$5001,"&lt;&gt;")=0,"",SUMIFS(BD!$Z$3:$Z$5001,BD!$B$3:$B$5001,G$243,BD!$A$3:$A$5001,_xlfn.MAXIFS(BD!$A$3:$A$5001,BD!$B$3:$B$5001,G$243,BD!$A$3:$A$5001,"&gt;="&amp;$C$8,BD!$A$3:$A$5001,"&lt;="&amp;$D$8,BD!$Z$3:$Z$5001,"&lt;&gt;")))</f>
        <v/>
      </c>
      <c r="H275" s="44" t="str">
        <f>IF(COUNTIFS(BD!$B$3:$B$5001,H$243,BD!$A$3:$A$5001,"&gt;="&amp;$C$8,BD!$A$3:$A$5001,"&lt;="&amp;$D$8,BD!$Z$3:$Z$5001,"&lt;&gt;")=0,"",SUMIFS(BD!$Z$3:$Z$5001,BD!$B$3:$B$5001,H$243,BD!$A$3:$A$5001,_xlfn.MAXIFS(BD!$A$3:$A$5001,BD!$B$3:$B$5001,H$243,BD!$A$3:$A$5001,"&gt;="&amp;$C$8,BD!$A$3:$A$5001,"&lt;="&amp;$D$8,BD!$Z$3:$Z$5001,"&lt;&gt;")))</f>
        <v/>
      </c>
      <c r="I275" s="44" t="str">
        <f>IF(COUNTIFS(BD!$B$3:$B$5001,I$243,BD!$A$3:$A$5001,"&gt;="&amp;$C$8,BD!$A$3:$A$5001,"&lt;="&amp;$D$8,BD!$Z$3:$Z$5001,"&lt;&gt;")=0,"",SUMIFS(BD!$Z$3:$Z$5001,BD!$B$3:$B$5001,I$243,BD!$A$3:$A$5001,_xlfn.MAXIFS(BD!$A$3:$A$5001,BD!$B$3:$B$5001,I$243,BD!$A$3:$A$5001,"&gt;="&amp;$C$8,BD!$A$3:$A$5001,"&lt;="&amp;$D$8,BD!$Z$3:$Z$5001,"&lt;&gt;")))</f>
        <v/>
      </c>
      <c r="J275" s="44" t="str">
        <f>IF(COUNTIFS(BD!$B$3:$B$5001,J$243,BD!$A$3:$A$5001,"&gt;="&amp;$C$8,BD!$A$3:$A$5001,"&lt;="&amp;$D$8,BD!$Z$3:$Z$5001,"&lt;&gt;")=0,"",SUMIFS(BD!$Z$3:$Z$5001,BD!$B$3:$B$5001,J$243,BD!$A$3:$A$5001,_xlfn.MAXIFS(BD!$A$3:$A$5001,BD!$B$3:$B$5001,J$243,BD!$A$3:$A$5001,"&gt;="&amp;$C$8,BD!$A$3:$A$5001,"&lt;="&amp;$D$8,BD!$Z$3:$Z$5001,"&lt;&gt;")))</f>
        <v/>
      </c>
      <c r="K275" s="44" t="str">
        <f>IF(COUNTIFS(BD!$B$3:$B$5001,K$243,BD!$A$3:$A$5001,"&gt;="&amp;$C$8,BD!$A$3:$A$5001,"&lt;="&amp;$D$8,BD!$Z$3:$Z$5001,"&lt;&gt;")=0,"",SUMIFS(BD!$Z$3:$Z$5001,BD!$B$3:$B$5001,K$243,BD!$A$3:$A$5001,_xlfn.MAXIFS(BD!$A$3:$A$5001,BD!$B$3:$B$5001,K$243,BD!$A$3:$A$5001,"&gt;="&amp;$C$8,BD!$A$3:$A$5001,"&lt;="&amp;$D$8,BD!$Z$3:$Z$5001,"&lt;&gt;")))</f>
        <v/>
      </c>
      <c r="L275" s="44" t="str">
        <f>IF(COUNTIFS(BD!$B$3:$B$5001,L$243,BD!$A$3:$A$5001,"&gt;="&amp;$C$8,BD!$A$3:$A$5001,"&lt;="&amp;$D$8,BD!$Z$3:$Z$5001,"&lt;&gt;")=0,"",SUMIFS(BD!$Z$3:$Z$5001,BD!$B$3:$B$5001,L$243,BD!$A$3:$A$5001,_xlfn.MAXIFS(BD!$A$3:$A$5001,BD!$B$3:$B$5001,L$243,BD!$A$3:$A$5001,"&gt;="&amp;$C$8,BD!$A$3:$A$5001,"&lt;="&amp;$D$8,BD!$Z$3:$Z$5001,"&lt;&gt;")))</f>
        <v/>
      </c>
    </row>
    <row r="276">
      <c r="A276" s="43" t="inlineStr">
        <is>
          <t xml:space="preserve">Depósito</t>
        </is>
      </c>
      <c r="C276" s="40" t="inlineStr">
        <is>
          <t xml:space="preserve">TPC</t>
        </is>
      </c>
      <c r="D276" s="40" t="inlineStr">
        <is>
          <t xml:space="preserve">TPC</t>
        </is>
      </c>
      <c r="E276" s="40" t="inlineStr">
        <is>
          <t xml:space="preserve">TPC</t>
        </is>
      </c>
      <c r="F276" s="40" t="inlineStr">
        <is>
          <t xml:space="preserve">TPC</t>
        </is>
      </c>
      <c r="G276" s="40" t="inlineStr">
        <is>
          <t xml:space="preserve">TPC</t>
        </is>
      </c>
      <c r="H276" s="40" t="inlineStr">
        <is>
          <t xml:space="preserve">TPC</t>
        </is>
      </c>
      <c r="I276" s="40" t="inlineStr">
        <is>
          <t xml:space="preserve">TPC</t>
        </is>
      </c>
      <c r="J276" s="40" t="inlineStr">
        <is>
          <t xml:space="preserve">TPC</t>
        </is>
      </c>
      <c r="K276" s="40" t="inlineStr">
        <is>
          <t xml:space="preserve">TPC</t>
        </is>
      </c>
      <c r="L276" s="40" t="inlineStr">
        <is>
          <t xml:space="preserve">TPC</t>
        </is>
      </c>
    </row>
    <row r="280">
      <c r="A280" s="19" t="inlineStr">
        <is>
          <t xml:space="preserve">PERÍODO DO DASHBOARD — último valor de cada cliente no período (backlog, posições, efetivo)</t>
        </is>
      </c>
    </row>
    <row r="281" ht="30" customHeight="1">
      <c r="A281" s="37" t="inlineStr">
        <is>
          <t xml:space="preserve">Cliente</t>
        </is>
      </c>
      <c r="B281" s="37" t="inlineStr">
        <is>
          <t xml:space="preserve">Depósito</t>
        </is>
      </c>
      <c r="C281" s="37" t="inlineStr">
        <is>
          <t xml:space="preserve">Backlog · período</t>
        </is>
      </c>
      <c r="D281" s="37" t="inlineStr">
        <is>
          <t xml:space="preserve">Backlog · anterior</t>
        </is>
      </c>
      <c r="E281" s="37" t="inlineStr">
        <is>
          <t xml:space="preserve">Posições Ocupadas · período</t>
        </is>
      </c>
      <c r="F281" s="37" t="inlineStr">
        <is>
          <t xml:space="preserve">Posições Ocupadas · anterior</t>
        </is>
      </c>
      <c r="G281" s="37" t="inlineStr">
        <is>
          <t xml:space="preserve">Posições Disponíveis · período</t>
        </is>
      </c>
      <c r="H281" s="37" t="inlineStr">
        <is>
          <t xml:space="preserve">Posições Disponíveis · anterior</t>
        </is>
      </c>
      <c r="I281" s="37" t="inlineStr">
        <is>
          <t xml:space="preserve">Efetivo Op. · período</t>
        </is>
      </c>
      <c r="J281" s="37" t="inlineStr">
        <is>
          <t xml:space="preserve">Efetivo Op. · anterior</t>
        </is>
      </c>
    </row>
    <row r="282">
      <c r="A282" s="64" t="inlineStr">
        <is>
          <t xml:space="preserve">Alpargatas</t>
        </is>
      </c>
      <c r="B282" s="40" t="inlineStr">
        <is>
          <t xml:space="preserve">TPC</t>
        </is>
      </c>
      <c r="C282" s="42" t="str">
        <f>IF(COUNTIFS(BD!$B$3:$B$5001,$A282,BD!$A$3:$A$5001,"&gt;="&amp;$F$7,BD!$A$3:$A$5001,"&lt;="&amp;$G$7,BD!$W$3:$W$5001,"&lt;&gt;")=0,"",SUMIFS(BD!$W$3:$W$5001,BD!$B$3:$B$5001,$A282,BD!$A$3:$A$5001,_xlfn.MAXIFS(BD!$A$3:$A$5001,BD!$B$3:$B$5001,$A282,BD!$A$3:$A$5001,"&gt;="&amp;$F$7,BD!$A$3:$A$5001,"&lt;="&amp;$G$7,BD!$W$3:$W$5001,"&lt;&gt;")))</f>
        <v/>
      </c>
      <c r="D282" s="42" t="str">
        <f>IF(COUNTIFS(BD!$B$3:$B$5001,$A282,BD!$A$3:$A$5001,"&gt;="&amp;$F$8,BD!$A$3:$A$5001,"&lt;="&amp;$G$8,BD!$W$3:$W$5001,"&lt;&gt;")=0,"",SUMIFS(BD!$W$3:$W$5001,BD!$B$3:$B$5001,$A282,BD!$A$3:$A$5001,_xlfn.MAXIFS(BD!$A$3:$A$5001,BD!$B$3:$B$5001,$A282,BD!$A$3:$A$5001,"&gt;="&amp;$F$8,BD!$A$3:$A$5001,"&lt;="&amp;$G$8,BD!$W$3:$W$5001,"&lt;&gt;")))</f>
        <v/>
      </c>
      <c r="E282" s="42" t="str">
        <f>IF(COUNTIFS(BD!$B$3:$B$5001,$A282,BD!$A$3:$A$5001,"&gt;="&amp;$F$7,BD!$A$3:$A$5001,"&lt;="&amp;$G$7,BD!$Y$3:$Y$5001,"&lt;&gt;")=0,"",SUMIFS(BD!$Y$3:$Y$5001,BD!$B$3:$B$5001,$A282,BD!$A$3:$A$5001,_xlfn.MAXIFS(BD!$A$3:$A$5001,BD!$B$3:$B$5001,$A282,BD!$A$3:$A$5001,"&gt;="&amp;$F$7,BD!$A$3:$A$5001,"&lt;="&amp;$G$7,BD!$Y$3:$Y$5001,"&lt;&gt;")))</f>
        <v/>
      </c>
      <c r="F282" s="42" t="str">
        <f>IF(COUNTIFS(BD!$B$3:$B$5001,$A282,BD!$A$3:$A$5001,"&gt;="&amp;$F$8,BD!$A$3:$A$5001,"&lt;="&amp;$G$8,BD!$Y$3:$Y$5001,"&lt;&gt;")=0,"",SUMIFS(BD!$Y$3:$Y$5001,BD!$B$3:$B$5001,$A282,BD!$A$3:$A$5001,_xlfn.MAXIFS(BD!$A$3:$A$5001,BD!$B$3:$B$5001,$A282,BD!$A$3:$A$5001,"&gt;="&amp;$F$8,BD!$A$3:$A$5001,"&lt;="&amp;$G$8,BD!$Y$3:$Y$5001,"&lt;&gt;")))</f>
        <v/>
      </c>
      <c r="G282" s="42" t="str">
        <f>IF(COUNTIFS(BD!$B$3:$B$5001,$A282,BD!$A$3:$A$5001,"&gt;="&amp;$F$7,BD!$A$3:$A$5001,"&lt;="&amp;$G$7,BD!$X$3:$X$5001,"&lt;&gt;")=0,"",SUMIFS(BD!$X$3:$X$5001,BD!$B$3:$B$5001,$A282,BD!$A$3:$A$5001,_xlfn.MAXIFS(BD!$A$3:$A$5001,BD!$B$3:$B$5001,$A282,BD!$A$3:$A$5001,"&gt;="&amp;$F$7,BD!$A$3:$A$5001,"&lt;="&amp;$G$7,BD!$X$3:$X$5001,"&lt;&gt;")))</f>
        <v/>
      </c>
      <c r="H282" s="42" t="str">
        <f>IF(COUNTIFS(BD!$B$3:$B$5001,$A282,BD!$A$3:$A$5001,"&gt;="&amp;$F$8,BD!$A$3:$A$5001,"&lt;="&amp;$G$8,BD!$X$3:$X$5001,"&lt;&gt;")=0,"",SUMIFS(BD!$X$3:$X$5001,BD!$B$3:$B$5001,$A282,BD!$A$3:$A$5001,_xlfn.MAXIFS(BD!$A$3:$A$5001,BD!$B$3:$B$5001,$A282,BD!$A$3:$A$5001,"&gt;="&amp;$F$8,BD!$A$3:$A$5001,"&lt;="&amp;$G$8,BD!$X$3:$X$5001,"&lt;&gt;")))</f>
        <v/>
      </c>
      <c r="I282" s="42" t="str">
        <f>IF(COUNTIFS(BD!$B$3:$B$5001,$A282,BD!$A$3:$A$5001,"&gt;="&amp;$F$7,BD!$A$3:$A$5001,"&lt;="&amp;$G$7,BD!$Z$3:$Z$5001,"&lt;&gt;")=0,"",SUMIFS(BD!$Z$3:$Z$5001,BD!$B$3:$B$5001,$A282,BD!$A$3:$A$5001,_xlfn.MAXIFS(BD!$A$3:$A$5001,BD!$B$3:$B$5001,$A282,BD!$A$3:$A$5001,"&gt;="&amp;$F$7,BD!$A$3:$A$5001,"&lt;="&amp;$G$7,BD!$Z$3:$Z$5001,"&lt;&gt;")))</f>
        <v/>
      </c>
      <c r="J282" s="42" t="str">
        <f>IF(COUNTIFS(BD!$B$3:$B$5001,$A282,BD!$A$3:$A$5001,"&gt;="&amp;$F$8,BD!$A$3:$A$5001,"&lt;="&amp;$G$8,BD!$Z$3:$Z$5001,"&lt;&gt;")=0,"",SUMIFS(BD!$Z$3:$Z$5001,BD!$B$3:$B$5001,$A282,BD!$A$3:$A$5001,_xlfn.MAXIFS(BD!$A$3:$A$5001,BD!$B$3:$B$5001,$A282,BD!$A$3:$A$5001,"&gt;="&amp;$F$8,BD!$A$3:$A$5001,"&lt;="&amp;$G$8,BD!$Z$3:$Z$5001,"&lt;&gt;")))</f>
        <v/>
      </c>
    </row>
    <row r="283">
      <c r="A283" s="64" t="inlineStr">
        <is>
          <t xml:space="preserve">Basf</t>
        </is>
      </c>
      <c r="B283" s="40" t="inlineStr">
        <is>
          <t xml:space="preserve">TPC</t>
        </is>
      </c>
      <c r="C283" s="42" t="str">
        <f>IF(COUNTIFS(BD!$B$3:$B$5001,$A283,BD!$A$3:$A$5001,"&gt;="&amp;$F$7,BD!$A$3:$A$5001,"&lt;="&amp;$G$7,BD!$W$3:$W$5001,"&lt;&gt;")=0,"",SUMIFS(BD!$W$3:$W$5001,BD!$B$3:$B$5001,$A283,BD!$A$3:$A$5001,_xlfn.MAXIFS(BD!$A$3:$A$5001,BD!$B$3:$B$5001,$A283,BD!$A$3:$A$5001,"&gt;="&amp;$F$7,BD!$A$3:$A$5001,"&lt;="&amp;$G$7,BD!$W$3:$W$5001,"&lt;&gt;")))</f>
        <v/>
      </c>
      <c r="D283" s="42" t="str">
        <f>IF(COUNTIFS(BD!$B$3:$B$5001,$A283,BD!$A$3:$A$5001,"&gt;="&amp;$F$8,BD!$A$3:$A$5001,"&lt;="&amp;$G$8,BD!$W$3:$W$5001,"&lt;&gt;")=0,"",SUMIFS(BD!$W$3:$W$5001,BD!$B$3:$B$5001,$A283,BD!$A$3:$A$5001,_xlfn.MAXIFS(BD!$A$3:$A$5001,BD!$B$3:$B$5001,$A283,BD!$A$3:$A$5001,"&gt;="&amp;$F$8,BD!$A$3:$A$5001,"&lt;="&amp;$G$8,BD!$W$3:$W$5001,"&lt;&gt;")))</f>
        <v/>
      </c>
      <c r="E283" s="42" t="str">
        <f>IF(COUNTIFS(BD!$B$3:$B$5001,$A283,BD!$A$3:$A$5001,"&gt;="&amp;$F$7,BD!$A$3:$A$5001,"&lt;="&amp;$G$7,BD!$Y$3:$Y$5001,"&lt;&gt;")=0,"",SUMIFS(BD!$Y$3:$Y$5001,BD!$B$3:$B$5001,$A283,BD!$A$3:$A$5001,_xlfn.MAXIFS(BD!$A$3:$A$5001,BD!$B$3:$B$5001,$A283,BD!$A$3:$A$5001,"&gt;="&amp;$F$7,BD!$A$3:$A$5001,"&lt;="&amp;$G$7,BD!$Y$3:$Y$5001,"&lt;&gt;")))</f>
        <v/>
      </c>
      <c r="F283" s="42" t="str">
        <f>IF(COUNTIFS(BD!$B$3:$B$5001,$A283,BD!$A$3:$A$5001,"&gt;="&amp;$F$8,BD!$A$3:$A$5001,"&lt;="&amp;$G$8,BD!$Y$3:$Y$5001,"&lt;&gt;")=0,"",SUMIFS(BD!$Y$3:$Y$5001,BD!$B$3:$B$5001,$A283,BD!$A$3:$A$5001,_xlfn.MAXIFS(BD!$A$3:$A$5001,BD!$B$3:$B$5001,$A283,BD!$A$3:$A$5001,"&gt;="&amp;$F$8,BD!$A$3:$A$5001,"&lt;="&amp;$G$8,BD!$Y$3:$Y$5001,"&lt;&gt;")))</f>
        <v/>
      </c>
      <c r="G283" s="42" t="str">
        <f>IF(COUNTIFS(BD!$B$3:$B$5001,$A283,BD!$A$3:$A$5001,"&gt;="&amp;$F$7,BD!$A$3:$A$5001,"&lt;="&amp;$G$7,BD!$X$3:$X$5001,"&lt;&gt;")=0,"",SUMIFS(BD!$X$3:$X$5001,BD!$B$3:$B$5001,$A283,BD!$A$3:$A$5001,_xlfn.MAXIFS(BD!$A$3:$A$5001,BD!$B$3:$B$5001,$A283,BD!$A$3:$A$5001,"&gt;="&amp;$F$7,BD!$A$3:$A$5001,"&lt;="&amp;$G$7,BD!$X$3:$X$5001,"&lt;&gt;")))</f>
        <v/>
      </c>
      <c r="H283" s="42" t="str">
        <f>IF(COUNTIFS(BD!$B$3:$B$5001,$A283,BD!$A$3:$A$5001,"&gt;="&amp;$F$8,BD!$A$3:$A$5001,"&lt;="&amp;$G$8,BD!$X$3:$X$5001,"&lt;&gt;")=0,"",SUMIFS(BD!$X$3:$X$5001,BD!$B$3:$B$5001,$A283,BD!$A$3:$A$5001,_xlfn.MAXIFS(BD!$A$3:$A$5001,BD!$B$3:$B$5001,$A283,BD!$A$3:$A$5001,"&gt;="&amp;$F$8,BD!$A$3:$A$5001,"&lt;="&amp;$G$8,BD!$X$3:$X$5001,"&lt;&gt;")))</f>
        <v/>
      </c>
      <c r="I283" s="42" t="str">
        <f>IF(COUNTIFS(BD!$B$3:$B$5001,$A283,BD!$A$3:$A$5001,"&gt;="&amp;$F$7,BD!$A$3:$A$5001,"&lt;="&amp;$G$7,BD!$Z$3:$Z$5001,"&lt;&gt;")=0,"",SUMIFS(BD!$Z$3:$Z$5001,BD!$B$3:$B$5001,$A283,BD!$A$3:$A$5001,_xlfn.MAXIFS(BD!$A$3:$A$5001,BD!$B$3:$B$5001,$A283,BD!$A$3:$A$5001,"&gt;="&amp;$F$7,BD!$A$3:$A$5001,"&lt;="&amp;$G$7,BD!$Z$3:$Z$5001,"&lt;&gt;")))</f>
        <v/>
      </c>
      <c r="J283" s="42" t="str">
        <f>IF(COUNTIFS(BD!$B$3:$B$5001,$A283,BD!$A$3:$A$5001,"&gt;="&amp;$F$8,BD!$A$3:$A$5001,"&lt;="&amp;$G$8,BD!$Z$3:$Z$5001,"&lt;&gt;")=0,"",SUMIFS(BD!$Z$3:$Z$5001,BD!$B$3:$B$5001,$A283,BD!$A$3:$A$5001,_xlfn.MAXIFS(BD!$A$3:$A$5001,BD!$B$3:$B$5001,$A283,BD!$A$3:$A$5001,"&gt;="&amp;$F$8,BD!$A$3:$A$5001,"&lt;="&amp;$G$8,BD!$Z$3:$Z$5001,"&lt;&gt;")))</f>
        <v/>
      </c>
    </row>
    <row r="284">
      <c r="A284" s="64" t="inlineStr">
        <is>
          <t xml:space="preserve">Beautybiz</t>
        </is>
      </c>
      <c r="B284" s="40" t="inlineStr">
        <is>
          <t xml:space="preserve">TPC</t>
        </is>
      </c>
      <c r="C284" s="42" t="str">
        <f>IF(COUNTIFS(BD!$B$3:$B$5001,$A284,BD!$A$3:$A$5001,"&gt;="&amp;$F$7,BD!$A$3:$A$5001,"&lt;="&amp;$G$7,BD!$W$3:$W$5001,"&lt;&gt;")=0,"",SUMIFS(BD!$W$3:$W$5001,BD!$B$3:$B$5001,$A284,BD!$A$3:$A$5001,_xlfn.MAXIFS(BD!$A$3:$A$5001,BD!$B$3:$B$5001,$A284,BD!$A$3:$A$5001,"&gt;="&amp;$F$7,BD!$A$3:$A$5001,"&lt;="&amp;$G$7,BD!$W$3:$W$5001,"&lt;&gt;")))</f>
        <v/>
      </c>
      <c r="D284" s="42" t="str">
        <f>IF(COUNTIFS(BD!$B$3:$B$5001,$A284,BD!$A$3:$A$5001,"&gt;="&amp;$F$8,BD!$A$3:$A$5001,"&lt;="&amp;$G$8,BD!$W$3:$W$5001,"&lt;&gt;")=0,"",SUMIFS(BD!$W$3:$W$5001,BD!$B$3:$B$5001,$A284,BD!$A$3:$A$5001,_xlfn.MAXIFS(BD!$A$3:$A$5001,BD!$B$3:$B$5001,$A284,BD!$A$3:$A$5001,"&gt;="&amp;$F$8,BD!$A$3:$A$5001,"&lt;="&amp;$G$8,BD!$W$3:$W$5001,"&lt;&gt;")))</f>
        <v/>
      </c>
      <c r="E284" s="42" t="str">
        <f>IF(COUNTIFS(BD!$B$3:$B$5001,$A284,BD!$A$3:$A$5001,"&gt;="&amp;$F$7,BD!$A$3:$A$5001,"&lt;="&amp;$G$7,BD!$Y$3:$Y$5001,"&lt;&gt;")=0,"",SUMIFS(BD!$Y$3:$Y$5001,BD!$B$3:$B$5001,$A284,BD!$A$3:$A$5001,_xlfn.MAXIFS(BD!$A$3:$A$5001,BD!$B$3:$B$5001,$A284,BD!$A$3:$A$5001,"&gt;="&amp;$F$7,BD!$A$3:$A$5001,"&lt;="&amp;$G$7,BD!$Y$3:$Y$5001,"&lt;&gt;")))</f>
        <v/>
      </c>
      <c r="F284" s="42" t="str">
        <f>IF(COUNTIFS(BD!$B$3:$B$5001,$A284,BD!$A$3:$A$5001,"&gt;="&amp;$F$8,BD!$A$3:$A$5001,"&lt;="&amp;$G$8,BD!$Y$3:$Y$5001,"&lt;&gt;")=0,"",SUMIFS(BD!$Y$3:$Y$5001,BD!$B$3:$B$5001,$A284,BD!$A$3:$A$5001,_xlfn.MAXIFS(BD!$A$3:$A$5001,BD!$B$3:$B$5001,$A284,BD!$A$3:$A$5001,"&gt;="&amp;$F$8,BD!$A$3:$A$5001,"&lt;="&amp;$G$8,BD!$Y$3:$Y$5001,"&lt;&gt;")))</f>
        <v/>
      </c>
      <c r="G284" s="42" t="str">
        <f>IF(COUNTIFS(BD!$B$3:$B$5001,$A284,BD!$A$3:$A$5001,"&gt;="&amp;$F$7,BD!$A$3:$A$5001,"&lt;="&amp;$G$7,BD!$X$3:$X$5001,"&lt;&gt;")=0,"",SUMIFS(BD!$X$3:$X$5001,BD!$B$3:$B$5001,$A284,BD!$A$3:$A$5001,_xlfn.MAXIFS(BD!$A$3:$A$5001,BD!$B$3:$B$5001,$A284,BD!$A$3:$A$5001,"&gt;="&amp;$F$7,BD!$A$3:$A$5001,"&lt;="&amp;$G$7,BD!$X$3:$X$5001,"&lt;&gt;")))</f>
        <v/>
      </c>
      <c r="H284" s="42" t="str">
        <f>IF(COUNTIFS(BD!$B$3:$B$5001,$A284,BD!$A$3:$A$5001,"&gt;="&amp;$F$8,BD!$A$3:$A$5001,"&lt;="&amp;$G$8,BD!$X$3:$X$5001,"&lt;&gt;")=0,"",SUMIFS(BD!$X$3:$X$5001,BD!$B$3:$B$5001,$A284,BD!$A$3:$A$5001,_xlfn.MAXIFS(BD!$A$3:$A$5001,BD!$B$3:$B$5001,$A284,BD!$A$3:$A$5001,"&gt;="&amp;$F$8,BD!$A$3:$A$5001,"&lt;="&amp;$G$8,BD!$X$3:$X$5001,"&lt;&gt;")))</f>
        <v/>
      </c>
      <c r="I284" s="42" t="str">
        <f>IF(COUNTIFS(BD!$B$3:$B$5001,$A284,BD!$A$3:$A$5001,"&gt;="&amp;$F$7,BD!$A$3:$A$5001,"&lt;="&amp;$G$7,BD!$Z$3:$Z$5001,"&lt;&gt;")=0,"",SUMIFS(BD!$Z$3:$Z$5001,BD!$B$3:$B$5001,$A284,BD!$A$3:$A$5001,_xlfn.MAXIFS(BD!$A$3:$A$5001,BD!$B$3:$B$5001,$A284,BD!$A$3:$A$5001,"&gt;="&amp;$F$7,BD!$A$3:$A$5001,"&lt;="&amp;$G$7,BD!$Z$3:$Z$5001,"&lt;&gt;")))</f>
        <v/>
      </c>
      <c r="J284" s="42" t="str">
        <f>IF(COUNTIFS(BD!$B$3:$B$5001,$A284,BD!$A$3:$A$5001,"&gt;="&amp;$F$8,BD!$A$3:$A$5001,"&lt;="&amp;$G$8,BD!$Z$3:$Z$5001,"&lt;&gt;")=0,"",SUMIFS(BD!$Z$3:$Z$5001,BD!$B$3:$B$5001,$A284,BD!$A$3:$A$5001,_xlfn.MAXIFS(BD!$A$3:$A$5001,BD!$B$3:$B$5001,$A284,BD!$A$3:$A$5001,"&gt;="&amp;$F$8,BD!$A$3:$A$5001,"&lt;="&amp;$G$8,BD!$Z$3:$Z$5001,"&lt;&gt;")))</f>
        <v/>
      </c>
    </row>
    <row r="285">
      <c r="A285" s="64" t="inlineStr">
        <is>
          <t xml:space="preserve">Boticário</t>
        </is>
      </c>
      <c r="B285" s="40" t="inlineStr">
        <is>
          <t xml:space="preserve">TPC</t>
        </is>
      </c>
      <c r="C285" s="42" t="str">
        <f>IF(COUNTIFS(BD!$B$3:$B$5001,$A285,BD!$A$3:$A$5001,"&gt;="&amp;$F$7,BD!$A$3:$A$5001,"&lt;="&amp;$G$7,BD!$W$3:$W$5001,"&lt;&gt;")=0,"",SUMIFS(BD!$W$3:$W$5001,BD!$B$3:$B$5001,$A285,BD!$A$3:$A$5001,_xlfn.MAXIFS(BD!$A$3:$A$5001,BD!$B$3:$B$5001,$A285,BD!$A$3:$A$5001,"&gt;="&amp;$F$7,BD!$A$3:$A$5001,"&lt;="&amp;$G$7,BD!$W$3:$W$5001,"&lt;&gt;")))</f>
        <v/>
      </c>
      <c r="D285" s="42" t="str">
        <f>IF(COUNTIFS(BD!$B$3:$B$5001,$A285,BD!$A$3:$A$5001,"&gt;="&amp;$F$8,BD!$A$3:$A$5001,"&lt;="&amp;$G$8,BD!$W$3:$W$5001,"&lt;&gt;")=0,"",SUMIFS(BD!$W$3:$W$5001,BD!$B$3:$B$5001,$A285,BD!$A$3:$A$5001,_xlfn.MAXIFS(BD!$A$3:$A$5001,BD!$B$3:$B$5001,$A285,BD!$A$3:$A$5001,"&gt;="&amp;$F$8,BD!$A$3:$A$5001,"&lt;="&amp;$G$8,BD!$W$3:$W$5001,"&lt;&gt;")))</f>
        <v/>
      </c>
      <c r="E285" s="42" t="str">
        <f>IF(COUNTIFS(BD!$B$3:$B$5001,$A285,BD!$A$3:$A$5001,"&gt;="&amp;$F$7,BD!$A$3:$A$5001,"&lt;="&amp;$G$7,BD!$Y$3:$Y$5001,"&lt;&gt;")=0,"",SUMIFS(BD!$Y$3:$Y$5001,BD!$B$3:$B$5001,$A285,BD!$A$3:$A$5001,_xlfn.MAXIFS(BD!$A$3:$A$5001,BD!$B$3:$B$5001,$A285,BD!$A$3:$A$5001,"&gt;="&amp;$F$7,BD!$A$3:$A$5001,"&lt;="&amp;$G$7,BD!$Y$3:$Y$5001,"&lt;&gt;")))</f>
        <v/>
      </c>
      <c r="F285" s="42" t="str">
        <f>IF(COUNTIFS(BD!$B$3:$B$5001,$A285,BD!$A$3:$A$5001,"&gt;="&amp;$F$8,BD!$A$3:$A$5001,"&lt;="&amp;$G$8,BD!$Y$3:$Y$5001,"&lt;&gt;")=0,"",SUMIFS(BD!$Y$3:$Y$5001,BD!$B$3:$B$5001,$A285,BD!$A$3:$A$5001,_xlfn.MAXIFS(BD!$A$3:$A$5001,BD!$B$3:$B$5001,$A285,BD!$A$3:$A$5001,"&gt;="&amp;$F$8,BD!$A$3:$A$5001,"&lt;="&amp;$G$8,BD!$Y$3:$Y$5001,"&lt;&gt;")))</f>
        <v/>
      </c>
      <c r="G285" s="42" t="str">
        <f>IF(COUNTIFS(BD!$B$3:$B$5001,$A285,BD!$A$3:$A$5001,"&gt;="&amp;$F$7,BD!$A$3:$A$5001,"&lt;="&amp;$G$7,BD!$X$3:$X$5001,"&lt;&gt;")=0,"",SUMIFS(BD!$X$3:$X$5001,BD!$B$3:$B$5001,$A285,BD!$A$3:$A$5001,_xlfn.MAXIFS(BD!$A$3:$A$5001,BD!$B$3:$B$5001,$A285,BD!$A$3:$A$5001,"&gt;="&amp;$F$7,BD!$A$3:$A$5001,"&lt;="&amp;$G$7,BD!$X$3:$X$5001,"&lt;&gt;")))</f>
        <v/>
      </c>
      <c r="H285" s="42" t="str">
        <f>IF(COUNTIFS(BD!$B$3:$B$5001,$A285,BD!$A$3:$A$5001,"&gt;="&amp;$F$8,BD!$A$3:$A$5001,"&lt;="&amp;$G$8,BD!$X$3:$X$5001,"&lt;&gt;")=0,"",SUMIFS(BD!$X$3:$X$5001,BD!$B$3:$B$5001,$A285,BD!$A$3:$A$5001,_xlfn.MAXIFS(BD!$A$3:$A$5001,BD!$B$3:$B$5001,$A285,BD!$A$3:$A$5001,"&gt;="&amp;$F$8,BD!$A$3:$A$5001,"&lt;="&amp;$G$8,BD!$X$3:$X$5001,"&lt;&gt;")))</f>
        <v/>
      </c>
      <c r="I285" s="42" t="str">
        <f>IF(COUNTIFS(BD!$B$3:$B$5001,$A285,BD!$A$3:$A$5001,"&gt;="&amp;$F$7,BD!$A$3:$A$5001,"&lt;="&amp;$G$7,BD!$Z$3:$Z$5001,"&lt;&gt;")=0,"",SUMIFS(BD!$Z$3:$Z$5001,BD!$B$3:$B$5001,$A285,BD!$A$3:$A$5001,_xlfn.MAXIFS(BD!$A$3:$A$5001,BD!$B$3:$B$5001,$A285,BD!$A$3:$A$5001,"&gt;="&amp;$F$7,BD!$A$3:$A$5001,"&lt;="&amp;$G$7,BD!$Z$3:$Z$5001,"&lt;&gt;")))</f>
        <v/>
      </c>
      <c r="J285" s="42" t="str">
        <f>IF(COUNTIFS(BD!$B$3:$B$5001,$A285,BD!$A$3:$A$5001,"&gt;="&amp;$F$8,BD!$A$3:$A$5001,"&lt;="&amp;$G$8,BD!$Z$3:$Z$5001,"&lt;&gt;")=0,"",SUMIFS(BD!$Z$3:$Z$5001,BD!$B$3:$B$5001,$A285,BD!$A$3:$A$5001,_xlfn.MAXIFS(BD!$A$3:$A$5001,BD!$B$3:$B$5001,$A285,BD!$A$3:$A$5001,"&gt;="&amp;$F$8,BD!$A$3:$A$5001,"&lt;="&amp;$G$8,BD!$Z$3:$Z$5001,"&lt;&gt;")))</f>
        <v/>
      </c>
    </row>
    <row r="286">
      <c r="A286" s="64" t="inlineStr">
        <is>
          <t xml:space="preserve">Confiance</t>
        </is>
      </c>
      <c r="B286" s="40" t="inlineStr">
        <is>
          <t xml:space="preserve">TPC</t>
        </is>
      </c>
      <c r="C286" s="42" t="str">
        <f>IF(COUNTIFS(BD!$B$3:$B$5001,$A286,BD!$A$3:$A$5001,"&gt;="&amp;$F$7,BD!$A$3:$A$5001,"&lt;="&amp;$G$7,BD!$W$3:$W$5001,"&lt;&gt;")=0,"",SUMIFS(BD!$W$3:$W$5001,BD!$B$3:$B$5001,$A286,BD!$A$3:$A$5001,_xlfn.MAXIFS(BD!$A$3:$A$5001,BD!$B$3:$B$5001,$A286,BD!$A$3:$A$5001,"&gt;="&amp;$F$7,BD!$A$3:$A$5001,"&lt;="&amp;$G$7,BD!$W$3:$W$5001,"&lt;&gt;")))</f>
        <v/>
      </c>
      <c r="D286" s="42" t="str">
        <f>IF(COUNTIFS(BD!$B$3:$B$5001,$A286,BD!$A$3:$A$5001,"&gt;="&amp;$F$8,BD!$A$3:$A$5001,"&lt;="&amp;$G$8,BD!$W$3:$W$5001,"&lt;&gt;")=0,"",SUMIFS(BD!$W$3:$W$5001,BD!$B$3:$B$5001,$A286,BD!$A$3:$A$5001,_xlfn.MAXIFS(BD!$A$3:$A$5001,BD!$B$3:$B$5001,$A286,BD!$A$3:$A$5001,"&gt;="&amp;$F$8,BD!$A$3:$A$5001,"&lt;="&amp;$G$8,BD!$W$3:$W$5001,"&lt;&gt;")))</f>
        <v/>
      </c>
      <c r="E286" s="42" t="str">
        <f>IF(COUNTIFS(BD!$B$3:$B$5001,$A286,BD!$A$3:$A$5001,"&gt;="&amp;$F$7,BD!$A$3:$A$5001,"&lt;="&amp;$G$7,BD!$Y$3:$Y$5001,"&lt;&gt;")=0,"",SUMIFS(BD!$Y$3:$Y$5001,BD!$B$3:$B$5001,$A286,BD!$A$3:$A$5001,_xlfn.MAXIFS(BD!$A$3:$A$5001,BD!$B$3:$B$5001,$A286,BD!$A$3:$A$5001,"&gt;="&amp;$F$7,BD!$A$3:$A$5001,"&lt;="&amp;$G$7,BD!$Y$3:$Y$5001,"&lt;&gt;")))</f>
        <v/>
      </c>
      <c r="F286" s="42" t="str">
        <f>IF(COUNTIFS(BD!$B$3:$B$5001,$A286,BD!$A$3:$A$5001,"&gt;="&amp;$F$8,BD!$A$3:$A$5001,"&lt;="&amp;$G$8,BD!$Y$3:$Y$5001,"&lt;&gt;")=0,"",SUMIFS(BD!$Y$3:$Y$5001,BD!$B$3:$B$5001,$A286,BD!$A$3:$A$5001,_xlfn.MAXIFS(BD!$A$3:$A$5001,BD!$B$3:$B$5001,$A286,BD!$A$3:$A$5001,"&gt;="&amp;$F$8,BD!$A$3:$A$5001,"&lt;="&amp;$G$8,BD!$Y$3:$Y$5001,"&lt;&gt;")))</f>
        <v/>
      </c>
      <c r="G286" s="42" t="str">
        <f>IF(COUNTIFS(BD!$B$3:$B$5001,$A286,BD!$A$3:$A$5001,"&gt;="&amp;$F$7,BD!$A$3:$A$5001,"&lt;="&amp;$G$7,BD!$X$3:$X$5001,"&lt;&gt;")=0,"",SUMIFS(BD!$X$3:$X$5001,BD!$B$3:$B$5001,$A286,BD!$A$3:$A$5001,_xlfn.MAXIFS(BD!$A$3:$A$5001,BD!$B$3:$B$5001,$A286,BD!$A$3:$A$5001,"&gt;="&amp;$F$7,BD!$A$3:$A$5001,"&lt;="&amp;$G$7,BD!$X$3:$X$5001,"&lt;&gt;")))</f>
        <v/>
      </c>
      <c r="H286" s="42" t="str">
        <f>IF(COUNTIFS(BD!$B$3:$B$5001,$A286,BD!$A$3:$A$5001,"&gt;="&amp;$F$8,BD!$A$3:$A$5001,"&lt;="&amp;$G$8,BD!$X$3:$X$5001,"&lt;&gt;")=0,"",SUMIFS(BD!$X$3:$X$5001,BD!$B$3:$B$5001,$A286,BD!$A$3:$A$5001,_xlfn.MAXIFS(BD!$A$3:$A$5001,BD!$B$3:$B$5001,$A286,BD!$A$3:$A$5001,"&gt;="&amp;$F$8,BD!$A$3:$A$5001,"&lt;="&amp;$G$8,BD!$X$3:$X$5001,"&lt;&gt;")))</f>
        <v/>
      </c>
      <c r="I286" s="42" t="str">
        <f>IF(COUNTIFS(BD!$B$3:$B$5001,$A286,BD!$A$3:$A$5001,"&gt;="&amp;$F$7,BD!$A$3:$A$5001,"&lt;="&amp;$G$7,BD!$Z$3:$Z$5001,"&lt;&gt;")=0,"",SUMIFS(BD!$Z$3:$Z$5001,BD!$B$3:$B$5001,$A286,BD!$A$3:$A$5001,_xlfn.MAXIFS(BD!$A$3:$A$5001,BD!$B$3:$B$5001,$A286,BD!$A$3:$A$5001,"&gt;="&amp;$F$7,BD!$A$3:$A$5001,"&lt;="&amp;$G$7,BD!$Z$3:$Z$5001,"&lt;&gt;")))</f>
        <v/>
      </c>
      <c r="J286" s="42" t="str">
        <f>IF(COUNTIFS(BD!$B$3:$B$5001,$A286,BD!$A$3:$A$5001,"&gt;="&amp;$F$8,BD!$A$3:$A$5001,"&lt;="&amp;$G$8,BD!$Z$3:$Z$5001,"&lt;&gt;")=0,"",SUMIFS(BD!$Z$3:$Z$5001,BD!$B$3:$B$5001,$A286,BD!$A$3:$A$5001,_xlfn.MAXIFS(BD!$A$3:$A$5001,BD!$B$3:$B$5001,$A286,BD!$A$3:$A$5001,"&gt;="&amp;$F$8,BD!$A$3:$A$5001,"&lt;="&amp;$G$8,BD!$Z$3:$Z$5001,"&lt;&gt;")))</f>
        <v/>
      </c>
    </row>
    <row r="287">
      <c r="A287" s="64" t="inlineStr">
        <is>
          <t xml:space="preserve">GE Vernova</t>
        </is>
      </c>
      <c r="B287" s="40" t="inlineStr">
        <is>
          <t xml:space="preserve">TPC</t>
        </is>
      </c>
      <c r="C287" s="42" t="str">
        <f>IF(COUNTIFS(BD!$B$3:$B$5001,$A287,BD!$A$3:$A$5001,"&gt;="&amp;$F$7,BD!$A$3:$A$5001,"&lt;="&amp;$G$7,BD!$W$3:$W$5001,"&lt;&gt;")=0,"",SUMIFS(BD!$W$3:$W$5001,BD!$B$3:$B$5001,$A287,BD!$A$3:$A$5001,_xlfn.MAXIFS(BD!$A$3:$A$5001,BD!$B$3:$B$5001,$A287,BD!$A$3:$A$5001,"&gt;="&amp;$F$7,BD!$A$3:$A$5001,"&lt;="&amp;$G$7,BD!$W$3:$W$5001,"&lt;&gt;")))</f>
        <v/>
      </c>
      <c r="D287" s="42" t="str">
        <f>IF(COUNTIFS(BD!$B$3:$B$5001,$A287,BD!$A$3:$A$5001,"&gt;="&amp;$F$8,BD!$A$3:$A$5001,"&lt;="&amp;$G$8,BD!$W$3:$W$5001,"&lt;&gt;")=0,"",SUMIFS(BD!$W$3:$W$5001,BD!$B$3:$B$5001,$A287,BD!$A$3:$A$5001,_xlfn.MAXIFS(BD!$A$3:$A$5001,BD!$B$3:$B$5001,$A287,BD!$A$3:$A$5001,"&gt;="&amp;$F$8,BD!$A$3:$A$5001,"&lt;="&amp;$G$8,BD!$W$3:$W$5001,"&lt;&gt;")))</f>
        <v/>
      </c>
      <c r="E287" s="42" t="str">
        <f>IF(COUNTIFS(BD!$B$3:$B$5001,$A287,BD!$A$3:$A$5001,"&gt;="&amp;$F$7,BD!$A$3:$A$5001,"&lt;="&amp;$G$7,BD!$Y$3:$Y$5001,"&lt;&gt;")=0,"",SUMIFS(BD!$Y$3:$Y$5001,BD!$B$3:$B$5001,$A287,BD!$A$3:$A$5001,_xlfn.MAXIFS(BD!$A$3:$A$5001,BD!$B$3:$B$5001,$A287,BD!$A$3:$A$5001,"&gt;="&amp;$F$7,BD!$A$3:$A$5001,"&lt;="&amp;$G$7,BD!$Y$3:$Y$5001,"&lt;&gt;")))</f>
        <v/>
      </c>
      <c r="F287" s="42" t="str">
        <f>IF(COUNTIFS(BD!$B$3:$B$5001,$A287,BD!$A$3:$A$5001,"&gt;="&amp;$F$8,BD!$A$3:$A$5001,"&lt;="&amp;$G$8,BD!$Y$3:$Y$5001,"&lt;&gt;")=0,"",SUMIFS(BD!$Y$3:$Y$5001,BD!$B$3:$B$5001,$A287,BD!$A$3:$A$5001,_xlfn.MAXIFS(BD!$A$3:$A$5001,BD!$B$3:$B$5001,$A287,BD!$A$3:$A$5001,"&gt;="&amp;$F$8,BD!$A$3:$A$5001,"&lt;="&amp;$G$8,BD!$Y$3:$Y$5001,"&lt;&gt;")))</f>
        <v/>
      </c>
      <c r="G287" s="42" t="str">
        <f>IF(COUNTIFS(BD!$B$3:$B$5001,$A287,BD!$A$3:$A$5001,"&gt;="&amp;$F$7,BD!$A$3:$A$5001,"&lt;="&amp;$G$7,BD!$X$3:$X$5001,"&lt;&gt;")=0,"",SUMIFS(BD!$X$3:$X$5001,BD!$B$3:$B$5001,$A287,BD!$A$3:$A$5001,_xlfn.MAXIFS(BD!$A$3:$A$5001,BD!$B$3:$B$5001,$A287,BD!$A$3:$A$5001,"&gt;="&amp;$F$7,BD!$A$3:$A$5001,"&lt;="&amp;$G$7,BD!$X$3:$X$5001,"&lt;&gt;")))</f>
        <v/>
      </c>
      <c r="H287" s="42" t="str">
        <f>IF(COUNTIFS(BD!$B$3:$B$5001,$A287,BD!$A$3:$A$5001,"&gt;="&amp;$F$8,BD!$A$3:$A$5001,"&lt;="&amp;$G$8,BD!$X$3:$X$5001,"&lt;&gt;")=0,"",SUMIFS(BD!$X$3:$X$5001,BD!$B$3:$B$5001,$A287,BD!$A$3:$A$5001,_xlfn.MAXIFS(BD!$A$3:$A$5001,BD!$B$3:$B$5001,$A287,BD!$A$3:$A$5001,"&gt;="&amp;$F$8,BD!$A$3:$A$5001,"&lt;="&amp;$G$8,BD!$X$3:$X$5001,"&lt;&gt;")))</f>
        <v/>
      </c>
      <c r="I287" s="42" t="str">
        <f>IF(COUNTIFS(BD!$B$3:$B$5001,$A287,BD!$A$3:$A$5001,"&gt;="&amp;$F$7,BD!$A$3:$A$5001,"&lt;="&amp;$G$7,BD!$Z$3:$Z$5001,"&lt;&gt;")=0,"",SUMIFS(BD!$Z$3:$Z$5001,BD!$B$3:$B$5001,$A287,BD!$A$3:$A$5001,_xlfn.MAXIFS(BD!$A$3:$A$5001,BD!$B$3:$B$5001,$A287,BD!$A$3:$A$5001,"&gt;="&amp;$F$7,BD!$A$3:$A$5001,"&lt;="&amp;$G$7,BD!$Z$3:$Z$5001,"&lt;&gt;")))</f>
        <v/>
      </c>
      <c r="J287" s="42" t="str">
        <f>IF(COUNTIFS(BD!$B$3:$B$5001,$A287,BD!$A$3:$A$5001,"&gt;="&amp;$F$8,BD!$A$3:$A$5001,"&lt;="&amp;$G$8,BD!$Z$3:$Z$5001,"&lt;&gt;")=0,"",SUMIFS(BD!$Z$3:$Z$5001,BD!$B$3:$B$5001,$A287,BD!$A$3:$A$5001,_xlfn.MAXIFS(BD!$A$3:$A$5001,BD!$B$3:$B$5001,$A287,BD!$A$3:$A$5001,"&gt;="&amp;$F$8,BD!$A$3:$A$5001,"&lt;="&amp;$G$8,BD!$Z$3:$Z$5001,"&lt;&gt;")))</f>
        <v/>
      </c>
    </row>
    <row r="288">
      <c r="A288" s="64" t="inlineStr">
        <is>
          <t xml:space="preserve">Omnilife</t>
        </is>
      </c>
      <c r="B288" s="40" t="inlineStr">
        <is>
          <t xml:space="preserve">TPC</t>
        </is>
      </c>
      <c r="C288" s="42" t="str">
        <f>IF(COUNTIFS(BD!$B$3:$B$5001,$A288,BD!$A$3:$A$5001,"&gt;="&amp;$F$7,BD!$A$3:$A$5001,"&lt;="&amp;$G$7,BD!$W$3:$W$5001,"&lt;&gt;")=0,"",SUMIFS(BD!$W$3:$W$5001,BD!$B$3:$B$5001,$A288,BD!$A$3:$A$5001,_xlfn.MAXIFS(BD!$A$3:$A$5001,BD!$B$3:$B$5001,$A288,BD!$A$3:$A$5001,"&gt;="&amp;$F$7,BD!$A$3:$A$5001,"&lt;="&amp;$G$7,BD!$W$3:$W$5001,"&lt;&gt;")))</f>
        <v/>
      </c>
      <c r="D288" s="42" t="str">
        <f>IF(COUNTIFS(BD!$B$3:$B$5001,$A288,BD!$A$3:$A$5001,"&gt;="&amp;$F$8,BD!$A$3:$A$5001,"&lt;="&amp;$G$8,BD!$W$3:$W$5001,"&lt;&gt;")=0,"",SUMIFS(BD!$W$3:$W$5001,BD!$B$3:$B$5001,$A288,BD!$A$3:$A$5001,_xlfn.MAXIFS(BD!$A$3:$A$5001,BD!$B$3:$B$5001,$A288,BD!$A$3:$A$5001,"&gt;="&amp;$F$8,BD!$A$3:$A$5001,"&lt;="&amp;$G$8,BD!$W$3:$W$5001,"&lt;&gt;")))</f>
        <v/>
      </c>
      <c r="E288" s="42" t="str">
        <f>IF(COUNTIFS(BD!$B$3:$B$5001,$A288,BD!$A$3:$A$5001,"&gt;="&amp;$F$7,BD!$A$3:$A$5001,"&lt;="&amp;$G$7,BD!$Y$3:$Y$5001,"&lt;&gt;")=0,"",SUMIFS(BD!$Y$3:$Y$5001,BD!$B$3:$B$5001,$A288,BD!$A$3:$A$5001,_xlfn.MAXIFS(BD!$A$3:$A$5001,BD!$B$3:$B$5001,$A288,BD!$A$3:$A$5001,"&gt;="&amp;$F$7,BD!$A$3:$A$5001,"&lt;="&amp;$G$7,BD!$Y$3:$Y$5001,"&lt;&gt;")))</f>
        <v/>
      </c>
      <c r="F288" s="42" t="str">
        <f>IF(COUNTIFS(BD!$B$3:$B$5001,$A288,BD!$A$3:$A$5001,"&gt;="&amp;$F$8,BD!$A$3:$A$5001,"&lt;="&amp;$G$8,BD!$Y$3:$Y$5001,"&lt;&gt;")=0,"",SUMIFS(BD!$Y$3:$Y$5001,BD!$B$3:$B$5001,$A288,BD!$A$3:$A$5001,_xlfn.MAXIFS(BD!$A$3:$A$5001,BD!$B$3:$B$5001,$A288,BD!$A$3:$A$5001,"&gt;="&amp;$F$8,BD!$A$3:$A$5001,"&lt;="&amp;$G$8,BD!$Y$3:$Y$5001,"&lt;&gt;")))</f>
        <v/>
      </c>
      <c r="G288" s="42" t="str">
        <f>IF(COUNTIFS(BD!$B$3:$B$5001,$A288,BD!$A$3:$A$5001,"&gt;="&amp;$F$7,BD!$A$3:$A$5001,"&lt;="&amp;$G$7,BD!$X$3:$X$5001,"&lt;&gt;")=0,"",SUMIFS(BD!$X$3:$X$5001,BD!$B$3:$B$5001,$A288,BD!$A$3:$A$5001,_xlfn.MAXIFS(BD!$A$3:$A$5001,BD!$B$3:$B$5001,$A288,BD!$A$3:$A$5001,"&gt;="&amp;$F$7,BD!$A$3:$A$5001,"&lt;="&amp;$G$7,BD!$X$3:$X$5001,"&lt;&gt;")))</f>
        <v/>
      </c>
      <c r="H288" s="42" t="str">
        <f>IF(COUNTIFS(BD!$B$3:$B$5001,$A288,BD!$A$3:$A$5001,"&gt;="&amp;$F$8,BD!$A$3:$A$5001,"&lt;="&amp;$G$8,BD!$X$3:$X$5001,"&lt;&gt;")=0,"",SUMIFS(BD!$X$3:$X$5001,BD!$B$3:$B$5001,$A288,BD!$A$3:$A$5001,_xlfn.MAXIFS(BD!$A$3:$A$5001,BD!$B$3:$B$5001,$A288,BD!$A$3:$A$5001,"&gt;="&amp;$F$8,BD!$A$3:$A$5001,"&lt;="&amp;$G$8,BD!$X$3:$X$5001,"&lt;&gt;")))</f>
        <v/>
      </c>
      <c r="I288" s="42" t="str">
        <f>IF(COUNTIFS(BD!$B$3:$B$5001,$A288,BD!$A$3:$A$5001,"&gt;="&amp;$F$7,BD!$A$3:$A$5001,"&lt;="&amp;$G$7,BD!$Z$3:$Z$5001,"&lt;&gt;")=0,"",SUMIFS(BD!$Z$3:$Z$5001,BD!$B$3:$B$5001,$A288,BD!$A$3:$A$5001,_xlfn.MAXIFS(BD!$A$3:$A$5001,BD!$B$3:$B$5001,$A288,BD!$A$3:$A$5001,"&gt;="&amp;$F$7,BD!$A$3:$A$5001,"&lt;="&amp;$G$7,BD!$Z$3:$Z$5001,"&lt;&gt;")))</f>
        <v/>
      </c>
      <c r="J288" s="42" t="str">
        <f>IF(COUNTIFS(BD!$B$3:$B$5001,$A288,BD!$A$3:$A$5001,"&gt;="&amp;$F$8,BD!$A$3:$A$5001,"&lt;="&amp;$G$8,BD!$Z$3:$Z$5001,"&lt;&gt;")=0,"",SUMIFS(BD!$Z$3:$Z$5001,BD!$B$3:$B$5001,$A288,BD!$A$3:$A$5001,_xlfn.MAXIFS(BD!$A$3:$A$5001,BD!$B$3:$B$5001,$A288,BD!$A$3:$A$5001,"&gt;="&amp;$F$8,BD!$A$3:$A$5001,"&lt;="&amp;$G$8,BD!$Z$3:$Z$5001,"&lt;&gt;")))</f>
        <v/>
      </c>
    </row>
    <row r="289">
      <c r="A289" s="64" t="inlineStr">
        <is>
          <t xml:space="preserve">Supply</t>
        </is>
      </c>
      <c r="B289" s="40" t="inlineStr">
        <is>
          <t xml:space="preserve">TPC</t>
        </is>
      </c>
      <c r="C289" s="42" t="str">
        <f>IF(COUNTIFS(BD!$B$3:$B$5001,$A289,BD!$A$3:$A$5001,"&gt;="&amp;$F$7,BD!$A$3:$A$5001,"&lt;="&amp;$G$7,BD!$W$3:$W$5001,"&lt;&gt;")=0,"",SUMIFS(BD!$W$3:$W$5001,BD!$B$3:$B$5001,$A289,BD!$A$3:$A$5001,_xlfn.MAXIFS(BD!$A$3:$A$5001,BD!$B$3:$B$5001,$A289,BD!$A$3:$A$5001,"&gt;="&amp;$F$7,BD!$A$3:$A$5001,"&lt;="&amp;$G$7,BD!$W$3:$W$5001,"&lt;&gt;")))</f>
        <v/>
      </c>
      <c r="D289" s="42" t="str">
        <f>IF(COUNTIFS(BD!$B$3:$B$5001,$A289,BD!$A$3:$A$5001,"&gt;="&amp;$F$8,BD!$A$3:$A$5001,"&lt;="&amp;$G$8,BD!$W$3:$W$5001,"&lt;&gt;")=0,"",SUMIFS(BD!$W$3:$W$5001,BD!$B$3:$B$5001,$A289,BD!$A$3:$A$5001,_xlfn.MAXIFS(BD!$A$3:$A$5001,BD!$B$3:$B$5001,$A289,BD!$A$3:$A$5001,"&gt;="&amp;$F$8,BD!$A$3:$A$5001,"&lt;="&amp;$G$8,BD!$W$3:$W$5001,"&lt;&gt;")))</f>
        <v/>
      </c>
      <c r="E289" s="42" t="str">
        <f>IF(COUNTIFS(BD!$B$3:$B$5001,$A289,BD!$A$3:$A$5001,"&gt;="&amp;$F$7,BD!$A$3:$A$5001,"&lt;="&amp;$G$7,BD!$Y$3:$Y$5001,"&lt;&gt;")=0,"",SUMIFS(BD!$Y$3:$Y$5001,BD!$B$3:$B$5001,$A289,BD!$A$3:$A$5001,_xlfn.MAXIFS(BD!$A$3:$A$5001,BD!$B$3:$B$5001,$A289,BD!$A$3:$A$5001,"&gt;="&amp;$F$7,BD!$A$3:$A$5001,"&lt;="&amp;$G$7,BD!$Y$3:$Y$5001,"&lt;&gt;")))</f>
        <v/>
      </c>
      <c r="F289" s="42" t="str">
        <f>IF(COUNTIFS(BD!$B$3:$B$5001,$A289,BD!$A$3:$A$5001,"&gt;="&amp;$F$8,BD!$A$3:$A$5001,"&lt;="&amp;$G$8,BD!$Y$3:$Y$5001,"&lt;&gt;")=0,"",SUMIFS(BD!$Y$3:$Y$5001,BD!$B$3:$B$5001,$A289,BD!$A$3:$A$5001,_xlfn.MAXIFS(BD!$A$3:$A$5001,BD!$B$3:$B$5001,$A289,BD!$A$3:$A$5001,"&gt;="&amp;$F$8,BD!$A$3:$A$5001,"&lt;="&amp;$G$8,BD!$Y$3:$Y$5001,"&lt;&gt;")))</f>
        <v/>
      </c>
      <c r="G289" s="42" t="str">
        <f>IF(COUNTIFS(BD!$B$3:$B$5001,$A289,BD!$A$3:$A$5001,"&gt;="&amp;$F$7,BD!$A$3:$A$5001,"&lt;="&amp;$G$7,BD!$X$3:$X$5001,"&lt;&gt;")=0,"",SUMIFS(BD!$X$3:$X$5001,BD!$B$3:$B$5001,$A289,BD!$A$3:$A$5001,_xlfn.MAXIFS(BD!$A$3:$A$5001,BD!$B$3:$B$5001,$A289,BD!$A$3:$A$5001,"&gt;="&amp;$F$7,BD!$A$3:$A$5001,"&lt;="&amp;$G$7,BD!$X$3:$X$5001,"&lt;&gt;")))</f>
        <v/>
      </c>
      <c r="H289" s="42" t="str">
        <f>IF(COUNTIFS(BD!$B$3:$B$5001,$A289,BD!$A$3:$A$5001,"&gt;="&amp;$F$8,BD!$A$3:$A$5001,"&lt;="&amp;$G$8,BD!$X$3:$X$5001,"&lt;&gt;")=0,"",SUMIFS(BD!$X$3:$X$5001,BD!$B$3:$B$5001,$A289,BD!$A$3:$A$5001,_xlfn.MAXIFS(BD!$A$3:$A$5001,BD!$B$3:$B$5001,$A289,BD!$A$3:$A$5001,"&gt;="&amp;$F$8,BD!$A$3:$A$5001,"&lt;="&amp;$G$8,BD!$X$3:$X$5001,"&lt;&gt;")))</f>
        <v/>
      </c>
      <c r="I289" s="42" t="str">
        <f>IF(COUNTIFS(BD!$B$3:$B$5001,$A289,BD!$A$3:$A$5001,"&gt;="&amp;$F$7,BD!$A$3:$A$5001,"&lt;="&amp;$G$7,BD!$Z$3:$Z$5001,"&lt;&gt;")=0,"",SUMIFS(BD!$Z$3:$Z$5001,BD!$B$3:$B$5001,$A289,BD!$A$3:$A$5001,_xlfn.MAXIFS(BD!$A$3:$A$5001,BD!$B$3:$B$5001,$A289,BD!$A$3:$A$5001,"&gt;="&amp;$F$7,BD!$A$3:$A$5001,"&lt;="&amp;$G$7,BD!$Z$3:$Z$5001,"&lt;&gt;")))</f>
        <v/>
      </c>
      <c r="J289" s="42" t="str">
        <f>IF(COUNTIFS(BD!$B$3:$B$5001,$A289,BD!$A$3:$A$5001,"&gt;="&amp;$F$8,BD!$A$3:$A$5001,"&lt;="&amp;$G$8,BD!$Z$3:$Z$5001,"&lt;&gt;")=0,"",SUMIFS(BD!$Z$3:$Z$5001,BD!$B$3:$B$5001,$A289,BD!$A$3:$A$5001,_xlfn.MAXIFS(BD!$A$3:$A$5001,BD!$B$3:$B$5001,$A289,BD!$A$3:$A$5001,"&gt;="&amp;$F$8,BD!$A$3:$A$5001,"&lt;="&amp;$G$8,BD!$Z$3:$Z$5001,"&lt;&gt;")))</f>
        <v/>
      </c>
    </row>
    <row r="290">
      <c r="A290" s="64" t="inlineStr">
        <is>
          <t xml:space="preserve">Vedacit</t>
        </is>
      </c>
      <c r="B290" s="40" t="inlineStr">
        <is>
          <t xml:space="preserve">TPC</t>
        </is>
      </c>
      <c r="C290" s="42" t="str">
        <f>IF(COUNTIFS(BD!$B$3:$B$5001,$A290,BD!$A$3:$A$5001,"&gt;="&amp;$F$7,BD!$A$3:$A$5001,"&lt;="&amp;$G$7,BD!$W$3:$W$5001,"&lt;&gt;")=0,"",SUMIFS(BD!$W$3:$W$5001,BD!$B$3:$B$5001,$A290,BD!$A$3:$A$5001,_xlfn.MAXIFS(BD!$A$3:$A$5001,BD!$B$3:$B$5001,$A290,BD!$A$3:$A$5001,"&gt;="&amp;$F$7,BD!$A$3:$A$5001,"&lt;="&amp;$G$7,BD!$W$3:$W$5001,"&lt;&gt;")))</f>
        <v/>
      </c>
      <c r="D290" s="42" t="str">
        <f>IF(COUNTIFS(BD!$B$3:$B$5001,$A290,BD!$A$3:$A$5001,"&gt;="&amp;$F$8,BD!$A$3:$A$5001,"&lt;="&amp;$G$8,BD!$W$3:$W$5001,"&lt;&gt;")=0,"",SUMIFS(BD!$W$3:$W$5001,BD!$B$3:$B$5001,$A290,BD!$A$3:$A$5001,_xlfn.MAXIFS(BD!$A$3:$A$5001,BD!$B$3:$B$5001,$A290,BD!$A$3:$A$5001,"&gt;="&amp;$F$8,BD!$A$3:$A$5001,"&lt;="&amp;$G$8,BD!$W$3:$W$5001,"&lt;&gt;")))</f>
        <v/>
      </c>
      <c r="E290" s="42" t="str">
        <f>IF(COUNTIFS(BD!$B$3:$B$5001,$A290,BD!$A$3:$A$5001,"&gt;="&amp;$F$7,BD!$A$3:$A$5001,"&lt;="&amp;$G$7,BD!$Y$3:$Y$5001,"&lt;&gt;")=0,"",SUMIFS(BD!$Y$3:$Y$5001,BD!$B$3:$B$5001,$A290,BD!$A$3:$A$5001,_xlfn.MAXIFS(BD!$A$3:$A$5001,BD!$B$3:$B$5001,$A290,BD!$A$3:$A$5001,"&gt;="&amp;$F$7,BD!$A$3:$A$5001,"&lt;="&amp;$G$7,BD!$Y$3:$Y$5001,"&lt;&gt;")))</f>
        <v/>
      </c>
      <c r="F290" s="42" t="str">
        <f>IF(COUNTIFS(BD!$B$3:$B$5001,$A290,BD!$A$3:$A$5001,"&gt;="&amp;$F$8,BD!$A$3:$A$5001,"&lt;="&amp;$G$8,BD!$Y$3:$Y$5001,"&lt;&gt;")=0,"",SUMIFS(BD!$Y$3:$Y$5001,BD!$B$3:$B$5001,$A290,BD!$A$3:$A$5001,_xlfn.MAXIFS(BD!$A$3:$A$5001,BD!$B$3:$B$5001,$A290,BD!$A$3:$A$5001,"&gt;="&amp;$F$8,BD!$A$3:$A$5001,"&lt;="&amp;$G$8,BD!$Y$3:$Y$5001,"&lt;&gt;")))</f>
        <v/>
      </c>
      <c r="G290" s="42" t="str">
        <f>IF(COUNTIFS(BD!$B$3:$B$5001,$A290,BD!$A$3:$A$5001,"&gt;="&amp;$F$7,BD!$A$3:$A$5001,"&lt;="&amp;$G$7,BD!$X$3:$X$5001,"&lt;&gt;")=0,"",SUMIFS(BD!$X$3:$X$5001,BD!$B$3:$B$5001,$A290,BD!$A$3:$A$5001,_xlfn.MAXIFS(BD!$A$3:$A$5001,BD!$B$3:$B$5001,$A290,BD!$A$3:$A$5001,"&gt;="&amp;$F$7,BD!$A$3:$A$5001,"&lt;="&amp;$G$7,BD!$X$3:$X$5001,"&lt;&gt;")))</f>
        <v/>
      </c>
      <c r="H290" s="42" t="str">
        <f>IF(COUNTIFS(BD!$B$3:$B$5001,$A290,BD!$A$3:$A$5001,"&gt;="&amp;$F$8,BD!$A$3:$A$5001,"&lt;="&amp;$G$8,BD!$X$3:$X$5001,"&lt;&gt;")=0,"",SUMIFS(BD!$X$3:$X$5001,BD!$B$3:$B$5001,$A290,BD!$A$3:$A$5001,_xlfn.MAXIFS(BD!$A$3:$A$5001,BD!$B$3:$B$5001,$A290,BD!$A$3:$A$5001,"&gt;="&amp;$F$8,BD!$A$3:$A$5001,"&lt;="&amp;$G$8,BD!$X$3:$X$5001,"&lt;&gt;")))</f>
        <v/>
      </c>
      <c r="I290" s="42" t="str">
        <f>IF(COUNTIFS(BD!$B$3:$B$5001,$A290,BD!$A$3:$A$5001,"&gt;="&amp;$F$7,BD!$A$3:$A$5001,"&lt;="&amp;$G$7,BD!$Z$3:$Z$5001,"&lt;&gt;")=0,"",SUMIFS(BD!$Z$3:$Z$5001,BD!$B$3:$B$5001,$A290,BD!$A$3:$A$5001,_xlfn.MAXIFS(BD!$A$3:$A$5001,BD!$B$3:$B$5001,$A290,BD!$A$3:$A$5001,"&gt;="&amp;$F$7,BD!$A$3:$A$5001,"&lt;="&amp;$G$7,BD!$Z$3:$Z$5001,"&lt;&gt;")))</f>
        <v/>
      </c>
      <c r="J290" s="42" t="str">
        <f>IF(COUNTIFS(BD!$B$3:$B$5001,$A290,BD!$A$3:$A$5001,"&gt;="&amp;$F$8,BD!$A$3:$A$5001,"&lt;="&amp;$G$8,BD!$Z$3:$Z$5001,"&lt;&gt;")=0,"",SUMIFS(BD!$Z$3:$Z$5001,BD!$B$3:$B$5001,$A290,BD!$A$3:$A$5001,_xlfn.MAXIFS(BD!$A$3:$A$5001,BD!$B$3:$B$5001,$A290,BD!$A$3:$A$5001,"&gt;="&amp;$F$8,BD!$A$3:$A$5001,"&lt;="&amp;$G$8,BD!$Z$3:$Z$5001,"&lt;&gt;")))</f>
        <v/>
      </c>
    </row>
    <row r="291">
      <c r="A291" s="64" t="inlineStr">
        <is>
          <t xml:space="preserve">Vestas</t>
        </is>
      </c>
      <c r="B291" s="40" t="inlineStr">
        <is>
          <t xml:space="preserve">TPC</t>
        </is>
      </c>
      <c r="C291" s="42" t="str">
        <f>IF(COUNTIFS(BD!$B$3:$B$5001,$A291,BD!$A$3:$A$5001,"&gt;="&amp;$F$7,BD!$A$3:$A$5001,"&lt;="&amp;$G$7,BD!$W$3:$W$5001,"&lt;&gt;")=0,"",SUMIFS(BD!$W$3:$W$5001,BD!$B$3:$B$5001,$A291,BD!$A$3:$A$5001,_xlfn.MAXIFS(BD!$A$3:$A$5001,BD!$B$3:$B$5001,$A291,BD!$A$3:$A$5001,"&gt;="&amp;$F$7,BD!$A$3:$A$5001,"&lt;="&amp;$G$7,BD!$W$3:$W$5001,"&lt;&gt;")))</f>
        <v/>
      </c>
      <c r="D291" s="42" t="str">
        <f>IF(COUNTIFS(BD!$B$3:$B$5001,$A291,BD!$A$3:$A$5001,"&gt;="&amp;$F$8,BD!$A$3:$A$5001,"&lt;="&amp;$G$8,BD!$W$3:$W$5001,"&lt;&gt;")=0,"",SUMIFS(BD!$W$3:$W$5001,BD!$B$3:$B$5001,$A291,BD!$A$3:$A$5001,_xlfn.MAXIFS(BD!$A$3:$A$5001,BD!$B$3:$B$5001,$A291,BD!$A$3:$A$5001,"&gt;="&amp;$F$8,BD!$A$3:$A$5001,"&lt;="&amp;$G$8,BD!$W$3:$W$5001,"&lt;&gt;")))</f>
        <v/>
      </c>
      <c r="E291" s="42" t="str">
        <f>IF(COUNTIFS(BD!$B$3:$B$5001,$A291,BD!$A$3:$A$5001,"&gt;="&amp;$F$7,BD!$A$3:$A$5001,"&lt;="&amp;$G$7,BD!$Y$3:$Y$5001,"&lt;&gt;")=0,"",SUMIFS(BD!$Y$3:$Y$5001,BD!$B$3:$B$5001,$A291,BD!$A$3:$A$5001,_xlfn.MAXIFS(BD!$A$3:$A$5001,BD!$B$3:$B$5001,$A291,BD!$A$3:$A$5001,"&gt;="&amp;$F$7,BD!$A$3:$A$5001,"&lt;="&amp;$G$7,BD!$Y$3:$Y$5001,"&lt;&gt;")))</f>
        <v/>
      </c>
      <c r="F291" s="42" t="str">
        <f>IF(COUNTIFS(BD!$B$3:$B$5001,$A291,BD!$A$3:$A$5001,"&gt;="&amp;$F$8,BD!$A$3:$A$5001,"&lt;="&amp;$G$8,BD!$Y$3:$Y$5001,"&lt;&gt;")=0,"",SUMIFS(BD!$Y$3:$Y$5001,BD!$B$3:$B$5001,$A291,BD!$A$3:$A$5001,_xlfn.MAXIFS(BD!$A$3:$A$5001,BD!$B$3:$B$5001,$A291,BD!$A$3:$A$5001,"&gt;="&amp;$F$8,BD!$A$3:$A$5001,"&lt;="&amp;$G$8,BD!$Y$3:$Y$5001,"&lt;&gt;")))</f>
        <v/>
      </c>
      <c r="G291" s="42" t="str">
        <f>IF(COUNTIFS(BD!$B$3:$B$5001,$A291,BD!$A$3:$A$5001,"&gt;="&amp;$F$7,BD!$A$3:$A$5001,"&lt;="&amp;$G$7,BD!$X$3:$X$5001,"&lt;&gt;")=0,"",SUMIFS(BD!$X$3:$X$5001,BD!$B$3:$B$5001,$A291,BD!$A$3:$A$5001,_xlfn.MAXIFS(BD!$A$3:$A$5001,BD!$B$3:$B$5001,$A291,BD!$A$3:$A$5001,"&gt;="&amp;$F$7,BD!$A$3:$A$5001,"&lt;="&amp;$G$7,BD!$X$3:$X$5001,"&lt;&gt;")))</f>
        <v/>
      </c>
      <c r="H291" s="42" t="str">
        <f>IF(COUNTIFS(BD!$B$3:$B$5001,$A291,BD!$A$3:$A$5001,"&gt;="&amp;$F$8,BD!$A$3:$A$5001,"&lt;="&amp;$G$8,BD!$X$3:$X$5001,"&lt;&gt;")=0,"",SUMIFS(BD!$X$3:$X$5001,BD!$B$3:$B$5001,$A291,BD!$A$3:$A$5001,_xlfn.MAXIFS(BD!$A$3:$A$5001,BD!$B$3:$B$5001,$A291,BD!$A$3:$A$5001,"&gt;="&amp;$F$8,BD!$A$3:$A$5001,"&lt;="&amp;$G$8,BD!$X$3:$X$5001,"&lt;&gt;")))</f>
        <v/>
      </c>
      <c r="I291" s="42" t="str">
        <f>IF(COUNTIFS(BD!$B$3:$B$5001,$A291,BD!$A$3:$A$5001,"&gt;="&amp;$F$7,BD!$A$3:$A$5001,"&lt;="&amp;$G$7,BD!$Z$3:$Z$5001,"&lt;&gt;")=0,"",SUMIFS(BD!$Z$3:$Z$5001,BD!$B$3:$B$5001,$A291,BD!$A$3:$A$5001,_xlfn.MAXIFS(BD!$A$3:$A$5001,BD!$B$3:$B$5001,$A291,BD!$A$3:$A$5001,"&gt;="&amp;$F$7,BD!$A$3:$A$5001,"&lt;="&amp;$G$7,BD!$Z$3:$Z$5001,"&lt;&gt;")))</f>
        <v/>
      </c>
      <c r="J291" s="42" t="str">
        <f>IF(COUNTIFS(BD!$B$3:$B$5001,$A291,BD!$A$3:$A$5001,"&gt;="&amp;$F$8,BD!$A$3:$A$5001,"&lt;="&amp;$G$8,BD!$Z$3:$Z$5001,"&lt;&gt;")=0,"",SUMIFS(BD!$Z$3:$Z$5001,BD!$B$3:$B$5001,$A291,BD!$A$3:$A$5001,_xlfn.MAXIFS(BD!$A$3:$A$5001,BD!$B$3:$B$5001,$A291,BD!$A$3:$A$5001,"&gt;="&amp;$F$8,BD!$A$3:$A$5001,"&lt;="&amp;$G$8,BD!$Z$3:$Z$5001,"&lt;&gt;")))</f>
        <v/>
      </c>
    </row>
    <row r="293">
      <c r="A293" s="19" t="inlineStr">
        <is>
          <t xml:space="preserve">INDICADORES DO PERÍODO (cards do Dashboard)</t>
        </is>
      </c>
    </row>
    <row r="294">
      <c r="A294" s="37" t="inlineStr">
        <is>
          <t xml:space="preserve">Indicador</t>
        </is>
      </c>
      <c r="B294" s="37" t="inlineStr">
        <is>
          <t xml:space="preserve">Período</t>
        </is>
      </c>
      <c r="C294" s="37" t="inlineStr">
        <is>
          <t xml:space="preserve">Período anterior</t>
        </is>
      </c>
      <c r="D294" s="37" t="inlineStr">
        <is>
          <t xml:space="preserve">Variação</t>
        </is>
      </c>
    </row>
    <row r="295">
      <c r="A295" s="29" t="inlineStr">
        <is>
          <t xml:space="preserve">IN · Veículos Recebidos</t>
        </is>
      </c>
      <c r="B295" s="32">
        <f>IF($B$2="Todos",SUMIFS(BD!$C$3:$C$5001,BD!$A$3:$A$5001,"&gt;="&amp;$F$7,BD!$A$3:$A$5001,"&lt;="&amp;$G$7),SUMIFS(BD!$C$3:$C$5001,BD!$A$3:$A$5001,"&gt;="&amp;$F$7,BD!$A$3:$A$5001,"&lt;="&amp;$G$7,BD!$B$3:$B$5001,$D$2))</f>
        <v>0</v>
      </c>
      <c r="C295" s="32">
        <f>IF($B$2="Todos",SUMIFS(BD!$C$3:$C$5001,BD!$A$3:$A$5001,"&gt;="&amp;$F$8,BD!$A$3:$A$5001,"&lt;="&amp;$G$8),SUMIFS(BD!$C$3:$C$5001,BD!$A$3:$A$5001,"&gt;="&amp;$F$8,BD!$A$3:$A$5001,"&lt;="&amp;$G$8,BD!$B$3:$B$5001,$D$2))</f>
        <v>0</v>
      </c>
      <c r="D295" s="48" t="str">
        <f>IF(AND(ISNUMBER(B295),ISNUMBER(C295)),IF(C295&lt;&gt;0,B295/C295-1,""),"")</f>
        <v/>
      </c>
    </row>
    <row r="296">
      <c r="A296" s="29" t="inlineStr">
        <is>
          <t xml:space="preserve">IN · Pallets Movimentados</t>
        </is>
      </c>
      <c r="B296" s="32">
        <f>IF($B$2="Todos",SUMIFS(BD!$D$3:$D$5001,BD!$A$3:$A$5001,"&gt;="&amp;$F$7,BD!$A$3:$A$5001,"&lt;="&amp;$G$7),SUMIFS(BD!$D$3:$D$5001,BD!$A$3:$A$5001,"&gt;="&amp;$F$7,BD!$A$3:$A$5001,"&lt;="&amp;$G$7,BD!$B$3:$B$5001,$D$2))</f>
        <v>0</v>
      </c>
      <c r="C296" s="32">
        <f>IF($B$2="Todos",SUMIFS(BD!$D$3:$D$5001,BD!$A$3:$A$5001,"&gt;="&amp;$F$8,BD!$A$3:$A$5001,"&lt;="&amp;$G$8),SUMIFS(BD!$D$3:$D$5001,BD!$A$3:$A$5001,"&gt;="&amp;$F$8,BD!$A$3:$A$5001,"&lt;="&amp;$G$8,BD!$B$3:$B$5001,$D$2))</f>
        <v>0</v>
      </c>
      <c r="D296" s="48" t="str">
        <f>IF(AND(ISNUMBER(B296),ISNUMBER(C296)),IF(C296&lt;&gt;0,B296/C296-1,""),"")</f>
        <v/>
      </c>
    </row>
    <row r="297">
      <c r="A297" s="29" t="inlineStr">
        <is>
          <t xml:space="preserve">IN · Toneladas Movimentadas</t>
        </is>
      </c>
      <c r="B297" s="60">
        <f>IF($B$2="Todos",SUMIFS(BD!$E$3:$E$5001,BD!$A$3:$A$5001,"&gt;="&amp;$F$7,BD!$A$3:$A$5001,"&lt;="&amp;$G$7),SUMIFS(BD!$E$3:$E$5001,BD!$A$3:$A$5001,"&gt;="&amp;$F$7,BD!$A$3:$A$5001,"&lt;="&amp;$G$7,BD!$B$3:$B$5001,$D$2))</f>
        <v>0</v>
      </c>
      <c r="C297" s="60">
        <f>IF($B$2="Todos",SUMIFS(BD!$E$3:$E$5001,BD!$A$3:$A$5001,"&gt;="&amp;$F$8,BD!$A$3:$A$5001,"&lt;="&amp;$G$8),SUMIFS(BD!$E$3:$E$5001,BD!$A$3:$A$5001,"&gt;="&amp;$F$8,BD!$A$3:$A$5001,"&lt;="&amp;$G$8,BD!$B$3:$B$5001,$D$2))</f>
        <v>0</v>
      </c>
      <c r="D297" s="48" t="str">
        <f>IF(AND(ISNUMBER(B297),ISNUMBER(C297)),IF(C297&lt;&gt;0,B297/C297-1,""),"")</f>
        <v/>
      </c>
    </row>
    <row r="298">
      <c r="A298" s="29" t="inlineStr">
        <is>
          <t xml:space="preserve">OUT · Veículos Expedidos</t>
        </is>
      </c>
      <c r="B298" s="32">
        <f>IF($B$2="Todos",SUMIFS(BD!$L$3:$L$5001,BD!$A$3:$A$5001,"&gt;="&amp;$F$7,BD!$A$3:$A$5001,"&lt;="&amp;$G$7),SUMIFS(BD!$L$3:$L$5001,BD!$A$3:$A$5001,"&gt;="&amp;$F$7,BD!$A$3:$A$5001,"&lt;="&amp;$G$7,BD!$B$3:$B$5001,$D$2))</f>
        <v>0</v>
      </c>
      <c r="C298" s="32">
        <f>IF($B$2="Todos",SUMIFS(BD!$L$3:$L$5001,BD!$A$3:$A$5001,"&gt;="&amp;$F$8,BD!$A$3:$A$5001,"&lt;="&amp;$G$8),SUMIFS(BD!$L$3:$L$5001,BD!$A$3:$A$5001,"&gt;="&amp;$F$8,BD!$A$3:$A$5001,"&lt;="&amp;$G$8,BD!$B$3:$B$5001,$D$2))</f>
        <v>0</v>
      </c>
      <c r="D298" s="48" t="str">
        <f>IF(AND(ISNUMBER(B298),ISNUMBER(C298)),IF(C298&lt;&gt;0,B298/C298-1,""),"")</f>
        <v/>
      </c>
    </row>
    <row r="299">
      <c r="A299" s="29" t="inlineStr">
        <is>
          <t xml:space="preserve">OUT · Pallets Movimentados</t>
        </is>
      </c>
      <c r="B299" s="32">
        <f>IF($B$2="Todos",SUMIFS(BD!$S$3:$S$5001,BD!$A$3:$A$5001,"&gt;="&amp;$F$7,BD!$A$3:$A$5001,"&lt;="&amp;$G$7),SUMIFS(BD!$S$3:$S$5001,BD!$A$3:$A$5001,"&gt;="&amp;$F$7,BD!$A$3:$A$5001,"&lt;="&amp;$G$7,BD!$B$3:$B$5001,$D$2))</f>
        <v>0</v>
      </c>
      <c r="C299" s="32">
        <f>IF($B$2="Todos",SUMIFS(BD!$S$3:$S$5001,BD!$A$3:$A$5001,"&gt;="&amp;$F$8,BD!$A$3:$A$5001,"&lt;="&amp;$G$8),SUMIFS(BD!$S$3:$S$5001,BD!$A$3:$A$5001,"&gt;="&amp;$F$8,BD!$A$3:$A$5001,"&lt;="&amp;$G$8,BD!$B$3:$B$5001,$D$2))</f>
        <v>0</v>
      </c>
      <c r="D299" s="48" t="str">
        <f>IF(AND(ISNUMBER(B299),ISNUMBER(C299)),IF(C299&lt;&gt;0,B299/C299-1,""),"")</f>
        <v/>
      </c>
    </row>
    <row r="300">
      <c r="A300" s="29" t="inlineStr">
        <is>
          <t xml:space="preserve">OUT · Toneladas Movimentadas</t>
        </is>
      </c>
      <c r="B300" s="60">
        <f>IF($B$2="Todos",SUMIFS(BD!$T$3:$T$5001,BD!$A$3:$A$5001,"&gt;="&amp;$F$7,BD!$A$3:$A$5001,"&lt;="&amp;$G$7),SUMIFS(BD!$T$3:$T$5001,BD!$A$3:$A$5001,"&gt;="&amp;$F$7,BD!$A$3:$A$5001,"&lt;="&amp;$G$7,BD!$B$3:$B$5001,$D$2))</f>
        <v>0</v>
      </c>
      <c r="C300" s="60">
        <f>IF($B$2="Todos",SUMIFS(BD!$T$3:$T$5001,BD!$A$3:$A$5001,"&gt;="&amp;$F$8,BD!$A$3:$A$5001,"&lt;="&amp;$G$8),SUMIFS(BD!$T$3:$T$5001,BD!$A$3:$A$5001,"&gt;="&amp;$F$8,BD!$A$3:$A$5001,"&lt;="&amp;$G$8,BD!$B$3:$B$5001,$D$2))</f>
        <v>0</v>
      </c>
      <c r="D300" s="48" t="str">
        <f>IF(AND(ISNUMBER(B300),ISNUMBER(C300)),IF(C300&lt;&gt;0,B300/C300-1,""),"")</f>
        <v/>
      </c>
    </row>
    <row r="301">
      <c r="A301" s="29" t="inlineStr">
        <is>
          <t xml:space="preserve">NC · Incidentes</t>
        </is>
      </c>
      <c r="B301" s="32">
        <f>IF($B$2="Todos",SUMIFS(BD!$U$3:$U$5001,BD!$A$3:$A$5001,"&gt;="&amp;$F$7,BD!$A$3:$A$5001,"&lt;="&amp;$G$7),SUMIFS(BD!$U$3:$U$5001,BD!$A$3:$A$5001,"&gt;="&amp;$F$7,BD!$A$3:$A$5001,"&lt;="&amp;$G$7,BD!$B$3:$B$5001,$D$2))</f>
        <v>0</v>
      </c>
      <c r="C301" s="32">
        <f>IF($B$2="Todos",SUMIFS(BD!$U$3:$U$5001,BD!$A$3:$A$5001,"&gt;="&amp;$F$8,BD!$A$3:$A$5001,"&lt;="&amp;$G$8),SUMIFS(BD!$U$3:$U$5001,BD!$A$3:$A$5001,"&gt;="&amp;$F$8,BD!$A$3:$A$5001,"&lt;="&amp;$G$8,BD!$B$3:$B$5001,$D$2))</f>
        <v>0</v>
      </c>
      <c r="D301" s="48" t="str">
        <f>IF(AND(ISNUMBER(B301),ISNUMBER(C301)),IF(C301&lt;&gt;0,B301/C301-1,""),"")</f>
        <v/>
      </c>
    </row>
    <row r="302">
      <c r="A302" s="29" t="inlineStr">
        <is>
          <t xml:space="preserve">NC · No show</t>
        </is>
      </c>
      <c r="B302" s="32">
        <f>IF($B$2="Todos",SUMIFS(BD!$V$3:$V$5001,BD!$A$3:$A$5001,"&gt;="&amp;$F$7,BD!$A$3:$A$5001,"&lt;="&amp;$G$7),SUMIFS(BD!$V$3:$V$5001,BD!$A$3:$A$5001,"&gt;="&amp;$F$7,BD!$A$3:$A$5001,"&lt;="&amp;$G$7,BD!$B$3:$B$5001,$D$2))</f>
        <v>0</v>
      </c>
      <c r="C302" s="32">
        <f>IF($B$2="Todos",SUMIFS(BD!$V$3:$V$5001,BD!$A$3:$A$5001,"&gt;="&amp;$F$8,BD!$A$3:$A$5001,"&lt;="&amp;$G$8),SUMIFS(BD!$V$3:$V$5001,BD!$A$3:$A$5001,"&gt;="&amp;$F$8,BD!$A$3:$A$5001,"&lt;="&amp;$G$8,BD!$B$3:$B$5001,$D$2))</f>
        <v>0</v>
      </c>
      <c r="D302" s="48" t="str">
        <f>IF(AND(ISNUMBER(B302),ISNUMBER(C302)),IF(C302&lt;&gt;0,B302/C302-1,""),"")</f>
        <v/>
      </c>
    </row>
    <row r="303">
      <c r="A303" s="29" t="inlineStr">
        <is>
          <t xml:space="preserve">NC · Backlog</t>
        </is>
      </c>
      <c r="B303" s="32" t="str">
        <f>IF($B$2="Todos",IF(COUNT($C$282:$C$291)=0,"",SUM($C$282:$C$291)),IFERROR(INDEX($C$282:$C$291,MATCH($D$2,$A$282:$A$291,0)),""))</f>
        <v/>
      </c>
      <c r="C303" s="32" t="str">
        <f>IF($B$2="Todos",IF(COUNT($D$282:$D$291)=0,"",SUM($D$282:$D$291)),IFERROR(INDEX($D$282:$D$291,MATCH($D$2,$A$282:$A$291,0)),""))</f>
        <v/>
      </c>
      <c r="D303" s="48" t="str">
        <f>IF(AND(ISNUMBER(B303),ISNUMBER(C303)),IF(C303&lt;&gt;0,B303/C303-1,""),"")</f>
        <v/>
      </c>
    </row>
    <row r="304">
      <c r="A304" s="29" t="inlineStr">
        <is>
          <t xml:space="preserve">OCUPAÇÃO (P.P) · Posições Ocupadas</t>
        </is>
      </c>
      <c r="B304" s="32" t="str">
        <f>IF($B$2="Todos",IF(COUNT($E$282:$E$291)=0,"",SUM($E$282:$E$291)),IFERROR(INDEX($E$282:$E$291,MATCH($D$2,$A$282:$A$291,0)),""))</f>
        <v/>
      </c>
      <c r="C304" s="32" t="str">
        <f>IF($B$2="Todos",IF(COUNT($F$282:$F$291)=0,"",SUM($F$282:$F$291)),IFERROR(INDEX($F$282:$F$291,MATCH($D$2,$A$282:$A$291,0)),""))</f>
        <v/>
      </c>
      <c r="D304" s="48" t="str">
        <f>IF(AND(ISNUMBER(B304),ISNUMBER(C304)),IF(C304&lt;&gt;0,B304/C304-1,""),"")</f>
        <v/>
      </c>
    </row>
    <row r="305">
      <c r="A305" s="29" t="inlineStr">
        <is>
          <t xml:space="preserve">OCUPAÇÃO (P.P) · Posições Disponíveis</t>
        </is>
      </c>
      <c r="B305" s="32" t="str">
        <f>IF(B304="","",IF($B$2="Todos",IF($B$4&gt;0,$B$4,IF($B$2="Todos",IF(COUNT($G$282:$G$291)=0,"",SUM($G$282:$G$291)),IFERROR(INDEX($G$282:$G$291,MATCH($D$2,$A$282:$A$291,0)),""))),IF($B$2="Todos",IF(COUNT($G$282:$G$291)=0,"",SUM($G$282:$G$291)),IFERROR(INDEX($G$282:$G$291,MATCH($D$2,$A$282:$A$291,0)),""))))</f>
        <v/>
      </c>
      <c r="C305" s="32" t="str">
        <f>IF(C304="","",IF($B$2="Todos",IF($B$4&gt;0,$B$4,IF($B$2="Todos",IF(COUNT($H$282:$H$291)=0,"",SUM($H$282:$H$291)),IFERROR(INDEX($H$282:$H$291,MATCH($D$2,$A$282:$A$291,0)),""))),IF($B$2="Todos",IF(COUNT($H$282:$H$291)=0,"",SUM($H$282:$H$291)),IFERROR(INDEX($H$282:$H$291,MATCH($D$2,$A$282:$A$291,0)),""))))</f>
        <v/>
      </c>
      <c r="D305" s="48" t="str">
        <f>IF(AND(ISNUMBER(B305),ISNUMBER(C305)),IF(C305&lt;&gt;0,B305/C305-1,""),"")</f>
        <v/>
      </c>
    </row>
    <row r="306">
      <c r="A306" s="29" t="inlineStr">
        <is>
          <t xml:space="preserve">OCUPAÇÃO (P.P) · Taxa de Ocupação</t>
        </is>
      </c>
      <c r="B306" s="48" t="str">
        <f>IF(AND(ISNUMBER(B304),ISNUMBER(B305)),IF(B305&gt;0,B304/B305,""),"")</f>
        <v/>
      </c>
      <c r="C306" s="48" t="str">
        <f>IF(AND(ISNUMBER(C304),ISNUMBER(C305)),IF(C305&gt;0,C304/C305,""),"")</f>
        <v/>
      </c>
      <c r="D306" s="48" t="str">
        <f>IF(AND(ISNUMBER(B306),ISNUMBER(C306)),IF(C306&lt;&gt;0,B306/C306-1,""),"")</f>
        <v/>
      </c>
    </row>
    <row r="307">
      <c r="A307" s="29" t="inlineStr">
        <is>
          <t xml:space="preserve">OCUPAÇÃO (P.P) · Ociosidade</t>
        </is>
      </c>
      <c r="B307" s="48" t="str">
        <f>IF(ISNUMBER(B306),1-B306,"")</f>
        <v/>
      </c>
      <c r="C307" s="48" t="str">
        <f>IF(ISNUMBER(C306),1-C306,"")</f>
        <v/>
      </c>
      <c r="D307" s="48" t="str">
        <f>IF(AND(ISNUMBER(B307),ISNUMBER(C307)),IF(C307&lt;&gt;0,B307/C307-1,""),"")</f>
        <v/>
      </c>
    </row>
    <row r="308">
      <c r="A308" s="29" t="inlineStr">
        <is>
          <t xml:space="preserve">GENTE · Efetivo Op.</t>
        </is>
      </c>
      <c r="B308" s="32" t="str">
        <f>IF($B$2="Todos",IF(COUNT($I$282:$I$291)=0,"",SUM($I$282:$I$291)),IFERROR(INDEX($I$282:$I$291,MATCH($D$2,$A$282:$A$291,0)),""))</f>
        <v/>
      </c>
      <c r="C308" s="32" t="str">
        <f>IF($B$2="Todos",IF(COUNT($J$282:$J$291)=0,"",SUM($J$282:$J$291)),IFERROR(INDEX($J$282:$J$291,MATCH($D$2,$A$282:$A$291,0)),""))</f>
        <v/>
      </c>
      <c r="D308" s="48" t="str">
        <f>IF(AND(ISNUMBER(B308),ISNUMBER(C308)),IF(C308&lt;&gt;0,B308/C308-1,""),"")</f>
        <v/>
      </c>
    </row>
    <row r="309">
      <c r="A309" s="29" t="inlineStr">
        <is>
          <t xml:space="preserve">GENTE · Homem-dia (soma do efetivo diário)</t>
        </is>
      </c>
      <c r="B309" s="32">
        <f>IF($B$2="Todos",SUMIFS(BD!$Z$3:$Z$5001,BD!$A$3:$A$5001,"&gt;="&amp;$F$7,BD!$A$3:$A$5001,"&lt;="&amp;$G$7),SUMIFS(BD!$Z$3:$Z$5001,BD!$A$3:$A$5001,"&gt;="&amp;$F$7,BD!$A$3:$A$5001,"&lt;="&amp;$G$7,BD!$B$3:$B$5001,$D$2))</f>
        <v>0</v>
      </c>
      <c r="C309" s="32">
        <f>IF($B$2="Todos",SUMIFS(BD!$Z$3:$Z$5001,BD!$A$3:$A$5001,"&gt;="&amp;$F$8,BD!$A$3:$A$5001,"&lt;="&amp;$G$8),SUMIFS(BD!$Z$3:$Z$5001,BD!$A$3:$A$5001,"&gt;="&amp;$F$8,BD!$A$3:$A$5001,"&lt;="&amp;$G$8,BD!$B$3:$B$5001,$D$2))</f>
        <v>0</v>
      </c>
      <c r="D309" s="48" t="str">
        <f>IF(AND(ISNUMBER(B309),ISNUMBER(C309)),IF(C309&lt;&gt;0,B309/C309-1,""),"")</f>
        <v/>
      </c>
    </row>
    <row r="310">
      <c r="A310" s="29" t="inlineStr">
        <is>
          <t xml:space="preserve">GENTE · Falta</t>
        </is>
      </c>
      <c r="B310" s="32">
        <f>IF($B$2="Todos",SUMIFS(BD!$AA$3:$AA$5001,BD!$A$3:$A$5001,"&gt;="&amp;$F$7,BD!$A$3:$A$5001,"&lt;="&amp;$G$7),SUMIFS(BD!$AA$3:$AA$5001,BD!$A$3:$A$5001,"&gt;="&amp;$F$7,BD!$A$3:$A$5001,"&lt;="&amp;$G$7,BD!$B$3:$B$5001,$D$2))</f>
        <v>0</v>
      </c>
      <c r="C310" s="32">
        <f>IF($B$2="Todos",SUMIFS(BD!$AA$3:$AA$5001,BD!$A$3:$A$5001,"&gt;="&amp;$F$8,BD!$A$3:$A$5001,"&lt;="&amp;$G$8),SUMIFS(BD!$AA$3:$AA$5001,BD!$A$3:$A$5001,"&gt;="&amp;$F$8,BD!$A$3:$A$5001,"&lt;="&amp;$G$8,BD!$B$3:$B$5001,$D$2))</f>
        <v>0</v>
      </c>
      <c r="D310" s="48" t="str">
        <f>IF(AND(ISNUMBER(B310),ISNUMBER(C310)),IF(C310&lt;&gt;0,B310/C310-1,""),"")</f>
        <v/>
      </c>
    </row>
    <row r="311">
      <c r="A311" s="29" t="inlineStr">
        <is>
          <t xml:space="preserve">GENTE · Absenteísmo (H/H) = faltas ÷ homem-dia</t>
        </is>
      </c>
      <c r="B311" s="48" t="str">
        <f>IF(N(B309)&gt;0,N(B310)/B309,"")</f>
        <v/>
      </c>
      <c r="C311" s="48" t="str">
        <f>IF(N(C309)&gt;0,N(C310)/C309,"")</f>
        <v/>
      </c>
      <c r="D311" s="48" t="str">
        <f>IF(AND(ISNUMBER(B311),ISNUMBER(C311)),IF(C311&lt;&gt;0,B311/C311-1,""),"")</f>
        <v/>
      </c>
    </row>
    <row r="312">
      <c r="A312" s="29" t="inlineStr">
        <is>
          <t xml:space="preserve">GENTE · Folga</t>
        </is>
      </c>
      <c r="B312" s="32">
        <f>IF($B$2="Todos",SUMIFS(BD!$AB$3:$AB$5001,BD!$A$3:$A$5001,"&gt;="&amp;$F$7,BD!$A$3:$A$5001,"&lt;="&amp;$G$7),SUMIFS(BD!$AB$3:$AB$5001,BD!$A$3:$A$5001,"&gt;="&amp;$F$7,BD!$A$3:$A$5001,"&lt;="&amp;$G$7,BD!$B$3:$B$5001,$D$2))</f>
        <v>0</v>
      </c>
      <c r="C312" s="32">
        <f>IF($B$2="Todos",SUMIFS(BD!$AB$3:$AB$5001,BD!$A$3:$A$5001,"&gt;="&amp;$F$8,BD!$A$3:$A$5001,"&lt;="&amp;$G$8),SUMIFS(BD!$AB$3:$AB$5001,BD!$A$3:$A$5001,"&gt;="&amp;$F$8,BD!$A$3:$A$5001,"&lt;="&amp;$G$8,BD!$B$3:$B$5001,$D$2))</f>
        <v>0</v>
      </c>
      <c r="D312" s="48" t="str">
        <f>IF(AND(ISNUMBER(B312),ISNUMBER(C312)),IF(C312&lt;&gt;0,B312/C312-1,""),"")</f>
        <v/>
      </c>
    </row>
    <row r="313">
      <c r="A313" s="29" t="inlineStr">
        <is>
          <t xml:space="preserve">GENTE · Férias</t>
        </is>
      </c>
      <c r="B313" s="32">
        <f>IF($B$2="Todos",SUMIFS(BD!$AC$3:$AC$5001,BD!$A$3:$A$5001,"&gt;="&amp;$F$7,BD!$A$3:$A$5001,"&lt;="&amp;$G$7),SUMIFS(BD!$AC$3:$AC$5001,BD!$A$3:$A$5001,"&gt;="&amp;$F$7,BD!$A$3:$A$5001,"&lt;="&amp;$G$7,BD!$B$3:$B$5001,$D$2))</f>
        <v>0</v>
      </c>
      <c r="C313" s="32">
        <f>IF($B$2="Todos",SUMIFS(BD!$AC$3:$AC$5001,BD!$A$3:$A$5001,"&gt;="&amp;$F$8,BD!$A$3:$A$5001,"&lt;="&amp;$G$8),SUMIFS(BD!$AC$3:$AC$5001,BD!$A$3:$A$5001,"&gt;="&amp;$F$8,BD!$A$3:$A$5001,"&lt;="&amp;$G$8,BD!$B$3:$B$5001,$D$2))</f>
        <v>0</v>
      </c>
      <c r="D313" s="48" t="str">
        <f>IF(AND(ISNUMBER(B313),ISNUMBER(C313)),IF(C313&lt;&gt;0,B313/C313-1,""),"")</f>
        <v/>
      </c>
    </row>
    <row r="314">
      <c r="A314" s="29" t="inlineStr">
        <is>
          <t xml:space="preserve">GENTE · Desligamento</t>
        </is>
      </c>
      <c r="B314" s="32">
        <f>IF($B$2="Todos",SUMIFS(BD!$AD$3:$AD$5001,BD!$A$3:$A$5001,"&gt;="&amp;$F$7,BD!$A$3:$A$5001,"&lt;="&amp;$G$7),SUMIFS(BD!$AD$3:$AD$5001,BD!$A$3:$A$5001,"&gt;="&amp;$F$7,BD!$A$3:$A$5001,"&lt;="&amp;$G$7,BD!$B$3:$B$5001,$D$2))</f>
        <v>0</v>
      </c>
      <c r="C314" s="32">
        <f>IF($B$2="Todos",SUMIFS(BD!$AD$3:$AD$5001,BD!$A$3:$A$5001,"&gt;="&amp;$F$8,BD!$A$3:$A$5001,"&lt;="&amp;$G$8),SUMIFS(BD!$AD$3:$AD$5001,BD!$A$3:$A$5001,"&gt;="&amp;$F$8,BD!$A$3:$A$5001,"&lt;="&amp;$G$8,BD!$B$3:$B$5001,$D$2))</f>
        <v>0</v>
      </c>
      <c r="D314" s="48" t="str">
        <f>IF(AND(ISNUMBER(B314),ISNUMBER(C314)),IF(C314&lt;&gt;0,B314/C314-1,""),"")</f>
        <v/>
      </c>
    </row>
    <row r="315">
      <c r="A315" s="29" t="inlineStr">
        <is>
          <t xml:space="preserve">GENTE · Turnover = desligamentos ÷ efetivo</t>
        </is>
      </c>
      <c r="B315" s="48" t="str">
        <f>IF(N(B308)&gt;0,N(B314)/B308,"")</f>
        <v/>
      </c>
      <c r="C315" s="48" t="str">
        <f>IF(N(C308)&gt;0,N(C314)/C308,"")</f>
        <v/>
      </c>
      <c r="D315" s="48" t="str">
        <f>IF(AND(ISNUMBER(B315),ISNUMBER(C315)),IF(C315&lt;&gt;0,B315/C315-1,""),"")</f>
        <v/>
      </c>
    </row>
    <row r="316">
      <c r="A316" s="29" t="inlineStr">
        <is>
          <t xml:space="preserve">GENTE · Desvios Comportamentais</t>
        </is>
      </c>
      <c r="B316" s="32">
        <f>IF($B$2="Todos",SUMIFS(BD!$AE$3:$AE$5001,BD!$A$3:$A$5001,"&gt;="&amp;$F$7,BD!$A$3:$A$5001,"&lt;="&amp;$G$7),SUMIFS(BD!$AE$3:$AE$5001,BD!$A$3:$A$5001,"&gt;="&amp;$F$7,BD!$A$3:$A$5001,"&lt;="&amp;$G$7,BD!$B$3:$B$5001,$D$2))</f>
        <v>0</v>
      </c>
      <c r="C316" s="32">
        <f>IF($B$2="Todos",SUMIFS(BD!$AE$3:$AE$5001,BD!$A$3:$A$5001,"&gt;="&amp;$F$8,BD!$A$3:$A$5001,"&lt;="&amp;$G$8),SUMIFS(BD!$AE$3:$AE$5001,BD!$A$3:$A$5001,"&gt;="&amp;$F$8,BD!$A$3:$A$5001,"&lt;="&amp;$G$8,BD!$B$3:$B$5001,$D$2))</f>
        <v>0</v>
      </c>
      <c r="D316" s="48" t="str">
        <f>IF(AND(ISNUMBER(B316),ISNUMBER(C316)),IF(C316&lt;&gt;0,B316/C316-1,""),"")</f>
        <v/>
      </c>
    </row>
    <row r="317">
      <c r="A317" s="29" t="inlineStr">
        <is>
          <t xml:space="preserve">GENTE · Acidentes CAF</t>
        </is>
      </c>
      <c r="B317" s="32">
        <f>IF($B$2="Todos",SUMIFS(BD!$AF$3:$AF$5001,BD!$A$3:$A$5001,"&gt;="&amp;$F$7,BD!$A$3:$A$5001,"&lt;="&amp;$G$7),SUMIFS(BD!$AF$3:$AF$5001,BD!$A$3:$A$5001,"&gt;="&amp;$F$7,BD!$A$3:$A$5001,"&lt;="&amp;$G$7,BD!$B$3:$B$5001,$D$2))</f>
        <v>0</v>
      </c>
      <c r="C317" s="32">
        <f>IF($B$2="Todos",SUMIFS(BD!$AF$3:$AF$5001,BD!$A$3:$A$5001,"&gt;="&amp;$F$8,BD!$A$3:$A$5001,"&lt;="&amp;$G$8),SUMIFS(BD!$AF$3:$AF$5001,BD!$A$3:$A$5001,"&gt;="&amp;$F$8,BD!$A$3:$A$5001,"&lt;="&amp;$G$8,BD!$B$3:$B$5001,$D$2))</f>
        <v>0</v>
      </c>
      <c r="D317" s="48" t="str">
        <f>IF(AND(ISNUMBER(B317),ISNUMBER(C317)),IF(C317&lt;&gt;0,B317/C317-1,""),"")</f>
        <v/>
      </c>
    </row>
    <row r="318">
      <c r="A318" s="29" t="inlineStr">
        <is>
          <t xml:space="preserve">GENTE · Acidentes SAF</t>
        </is>
      </c>
      <c r="B318" s="32">
        <f>IF($B$2="Todos",SUMIFS(BD!$AG$3:$AG$5001,BD!$A$3:$A$5001,"&gt;="&amp;$F$7,BD!$A$3:$A$5001,"&lt;="&amp;$G$7),SUMIFS(BD!$AG$3:$AG$5001,BD!$A$3:$A$5001,"&gt;="&amp;$F$7,BD!$A$3:$A$5001,"&lt;="&amp;$G$7,BD!$B$3:$B$5001,$D$2))</f>
        <v>0</v>
      </c>
      <c r="C318" s="32">
        <f>IF($B$2="Todos",SUMIFS(BD!$AG$3:$AG$5001,BD!$A$3:$A$5001,"&gt;="&amp;$F$8,BD!$A$3:$A$5001,"&lt;="&amp;$G$8),SUMIFS(BD!$AG$3:$AG$5001,BD!$A$3:$A$5001,"&gt;="&amp;$F$8,BD!$A$3:$A$5001,"&lt;="&amp;$G$8,BD!$B$3:$B$5001,$D$2))</f>
        <v>0</v>
      </c>
      <c r="D318" s="48" t="str">
        <f>IF(AND(ISNUMBER(B318),ISNUMBER(C318)),IF(C318&lt;&gt;0,B318/C318-1,""),"")</f>
        <v/>
      </c>
    </row>
    <row r="319">
      <c r="A319" s="29" t="inlineStr">
        <is>
          <t xml:space="preserve">IN · Linhas NF</t>
        </is>
      </c>
      <c r="B319" s="32">
        <f>IF($B$2="Todos",SUMIFS(BD!$F$3:$F$5001,BD!$A$3:$A$5001,"&gt;="&amp;$F$7,BD!$A$3:$A$5001,"&lt;="&amp;$G$7),SUMIFS(BD!$F$3:$F$5001,BD!$A$3:$A$5001,"&gt;="&amp;$F$7,BD!$A$3:$A$5001,"&lt;="&amp;$G$7,BD!$B$3:$B$5001,$D$2))</f>
        <v>0</v>
      </c>
      <c r="C319" s="32">
        <f>IF($B$2="Todos",SUMIFS(BD!$F$3:$F$5001,BD!$A$3:$A$5001,"&gt;="&amp;$F$8,BD!$A$3:$A$5001,"&lt;="&amp;$G$8),SUMIFS(BD!$F$3:$F$5001,BD!$A$3:$A$5001,"&gt;="&amp;$F$8,BD!$A$3:$A$5001,"&lt;="&amp;$G$8,BD!$B$3:$B$5001,$D$2))</f>
        <v>0</v>
      </c>
      <c r="D319" s="48" t="str">
        <f>IF(AND(ISNUMBER(B319),ISNUMBER(C319)),IF(C319&lt;&gt;0,B319/C319-1,""),"")</f>
        <v/>
      </c>
    </row>
    <row r="320">
      <c r="A320" s="29" t="inlineStr">
        <is>
          <t xml:space="preserve">IN · Caixas Movimentadas</t>
        </is>
      </c>
      <c r="B320" s="32">
        <f>IF($B$2="Todos",SUMIFS(BD!$G$3:$G$5001,BD!$A$3:$A$5001,"&gt;="&amp;$F$7,BD!$A$3:$A$5001,"&lt;="&amp;$G$7),SUMIFS(BD!$G$3:$G$5001,BD!$A$3:$A$5001,"&gt;="&amp;$F$7,BD!$A$3:$A$5001,"&lt;="&amp;$G$7,BD!$B$3:$B$5001,$D$2))</f>
        <v>0</v>
      </c>
      <c r="C320" s="32">
        <f>IF($B$2="Todos",SUMIFS(BD!$G$3:$G$5001,BD!$A$3:$A$5001,"&gt;="&amp;$F$8,BD!$A$3:$A$5001,"&lt;="&amp;$G$8),SUMIFS(BD!$G$3:$G$5001,BD!$A$3:$A$5001,"&gt;="&amp;$F$8,BD!$A$3:$A$5001,"&lt;="&amp;$G$8,BD!$B$3:$B$5001,$D$2))</f>
        <v>0</v>
      </c>
      <c r="D320" s="48" t="str">
        <f>IF(AND(ISNUMBER(B320),ISNUMBER(C320)),IF(C320&lt;&gt;0,B320/C320-1,""),"")</f>
        <v/>
      </c>
    </row>
    <row r="321">
      <c r="A321" s="29" t="inlineStr">
        <is>
          <t xml:space="preserve">IN · Peças Movimentadas</t>
        </is>
      </c>
      <c r="B321" s="32">
        <f>IF($B$2="Todos",SUMIFS(BD!$H$3:$H$5001,BD!$A$3:$A$5001,"&gt;="&amp;$F$7,BD!$A$3:$A$5001,"&lt;="&amp;$G$7),SUMIFS(BD!$H$3:$H$5001,BD!$A$3:$A$5001,"&gt;="&amp;$F$7,BD!$A$3:$A$5001,"&lt;="&amp;$G$7,BD!$B$3:$B$5001,$D$2))</f>
        <v>0</v>
      </c>
      <c r="C321" s="32">
        <f>IF($B$2="Todos",SUMIFS(BD!$H$3:$H$5001,BD!$A$3:$A$5001,"&gt;="&amp;$F$8,BD!$A$3:$A$5001,"&lt;="&amp;$G$8),SUMIFS(BD!$H$3:$H$5001,BD!$A$3:$A$5001,"&gt;="&amp;$F$8,BD!$A$3:$A$5001,"&lt;="&amp;$G$8,BD!$B$3:$B$5001,$D$2))</f>
        <v>0</v>
      </c>
      <c r="D321" s="48" t="str">
        <f>IF(AND(ISNUMBER(B321),ISNUMBER(C321)),IF(C321&lt;&gt;0,B321/C321-1,""),"")</f>
        <v/>
      </c>
    </row>
    <row r="322">
      <c r="A322" s="29" t="inlineStr">
        <is>
          <t xml:space="preserve">IN · Itens Recebidos CX Mista</t>
        </is>
      </c>
      <c r="B322" s="32">
        <f>IF($B$2="Todos",SUMIFS(BD!$I$3:$I$5001,BD!$A$3:$A$5001,"&gt;="&amp;$F$7,BD!$A$3:$A$5001,"&lt;="&amp;$G$7),SUMIFS(BD!$I$3:$I$5001,BD!$A$3:$A$5001,"&gt;="&amp;$F$7,BD!$A$3:$A$5001,"&lt;="&amp;$G$7,BD!$B$3:$B$5001,$D$2))</f>
        <v>0</v>
      </c>
      <c r="C322" s="32">
        <f>IF($B$2="Todos",SUMIFS(BD!$I$3:$I$5001,BD!$A$3:$A$5001,"&gt;="&amp;$F$8,BD!$A$3:$A$5001,"&lt;="&amp;$G$8),SUMIFS(BD!$I$3:$I$5001,BD!$A$3:$A$5001,"&gt;="&amp;$F$8,BD!$A$3:$A$5001,"&lt;="&amp;$G$8,BD!$B$3:$B$5001,$D$2))</f>
        <v>0</v>
      </c>
      <c r="D322" s="48" t="str">
        <f>IF(AND(ISNUMBER(B322),ISNUMBER(C322)),IF(C322&lt;&gt;0,B322/C322-1,""),"")</f>
        <v/>
      </c>
    </row>
    <row r="323">
      <c r="A323" s="29" t="inlineStr">
        <is>
          <t xml:space="preserve">IN · Caixas Fechadas</t>
        </is>
      </c>
      <c r="B323" s="32">
        <f>IF($B$2="Todos",SUMIFS(BD!$J$3:$J$5001,BD!$A$3:$A$5001,"&gt;="&amp;$F$7,BD!$A$3:$A$5001,"&lt;="&amp;$G$7),SUMIFS(BD!$J$3:$J$5001,BD!$A$3:$A$5001,"&gt;="&amp;$F$7,BD!$A$3:$A$5001,"&lt;="&amp;$G$7,BD!$B$3:$B$5001,$D$2))</f>
        <v>0</v>
      </c>
      <c r="C323" s="32">
        <f>IF($B$2="Todos",SUMIFS(BD!$J$3:$J$5001,BD!$A$3:$A$5001,"&gt;="&amp;$F$8,BD!$A$3:$A$5001,"&lt;="&amp;$G$8),SUMIFS(BD!$J$3:$J$5001,BD!$A$3:$A$5001,"&gt;="&amp;$F$8,BD!$A$3:$A$5001,"&lt;="&amp;$G$8,BD!$B$3:$B$5001,$D$2))</f>
        <v>0</v>
      </c>
      <c r="D323" s="48" t="str">
        <f>IF(AND(ISNUMBER(B323),ISNUMBER(C323)),IF(C323&lt;&gt;0,B323/C323-1,""),"")</f>
        <v/>
      </c>
    </row>
    <row r="324">
      <c r="A324" s="29" t="inlineStr">
        <is>
          <t xml:space="preserve">IN · Caixas Mistas Recebidas</t>
        </is>
      </c>
      <c r="B324" s="32">
        <f>IF($B$2="Todos",SUMIFS(BD!$K$3:$K$5001,BD!$A$3:$A$5001,"&gt;="&amp;$F$7,BD!$A$3:$A$5001,"&lt;="&amp;$G$7),SUMIFS(BD!$K$3:$K$5001,BD!$A$3:$A$5001,"&gt;="&amp;$F$7,BD!$A$3:$A$5001,"&lt;="&amp;$G$7,BD!$B$3:$B$5001,$D$2))</f>
        <v>0</v>
      </c>
      <c r="C324" s="32">
        <f>IF($B$2="Todos",SUMIFS(BD!$K$3:$K$5001,BD!$A$3:$A$5001,"&gt;="&amp;$F$8,BD!$A$3:$A$5001,"&lt;="&amp;$G$8),SUMIFS(BD!$K$3:$K$5001,BD!$A$3:$A$5001,"&gt;="&amp;$F$8,BD!$A$3:$A$5001,"&lt;="&amp;$G$8,BD!$B$3:$B$5001,$D$2))</f>
        <v>0</v>
      </c>
      <c r="D324" s="48" t="str">
        <f>IF(AND(ISNUMBER(B324),ISNUMBER(C324)),IF(C324&lt;&gt;0,B324/C324-1,""),"")</f>
        <v/>
      </c>
    </row>
    <row r="325">
      <c r="A325" s="29" t="inlineStr">
        <is>
          <t xml:space="preserve">OUT · Pedidos Expedidos</t>
        </is>
      </c>
      <c r="B325" s="32">
        <f>IF($B$2="Todos",SUMIFS(BD!$M$3:$M$5001,BD!$A$3:$A$5001,"&gt;="&amp;$F$7,BD!$A$3:$A$5001,"&lt;="&amp;$G$7),SUMIFS(BD!$M$3:$M$5001,BD!$A$3:$A$5001,"&gt;="&amp;$F$7,BD!$A$3:$A$5001,"&lt;="&amp;$G$7,BD!$B$3:$B$5001,$D$2))</f>
        <v>0</v>
      </c>
      <c r="C325" s="32">
        <f>IF($B$2="Todos",SUMIFS(BD!$M$3:$M$5001,BD!$A$3:$A$5001,"&gt;="&amp;$F$8,BD!$A$3:$A$5001,"&lt;="&amp;$G$8),SUMIFS(BD!$M$3:$M$5001,BD!$A$3:$A$5001,"&gt;="&amp;$F$8,BD!$A$3:$A$5001,"&lt;="&amp;$G$8,BD!$B$3:$B$5001,$D$2))</f>
        <v>0</v>
      </c>
      <c r="D325" s="48" t="str">
        <f>IF(AND(ISNUMBER(B325),ISNUMBER(C325)),IF(C325&lt;&gt;0,B325/C325-1,""),"")</f>
        <v/>
      </c>
    </row>
    <row r="326">
      <c r="A326" s="29" t="inlineStr">
        <is>
          <t xml:space="preserve">OUT · Pedidos Faturados</t>
        </is>
      </c>
      <c r="B326" s="32">
        <f>IF($B$2="Todos",SUMIFS(BD!$N$3:$N$5001,BD!$A$3:$A$5001,"&gt;="&amp;$F$7,BD!$A$3:$A$5001,"&lt;="&amp;$G$7),SUMIFS(BD!$N$3:$N$5001,BD!$A$3:$A$5001,"&gt;="&amp;$F$7,BD!$A$3:$A$5001,"&lt;="&amp;$G$7,BD!$B$3:$B$5001,$D$2))</f>
        <v>0</v>
      </c>
      <c r="C326" s="32">
        <f>IF($B$2="Todos",SUMIFS(BD!$N$3:$N$5001,BD!$A$3:$A$5001,"&gt;="&amp;$F$8,BD!$A$3:$A$5001,"&lt;="&amp;$G$8),SUMIFS(BD!$N$3:$N$5001,BD!$A$3:$A$5001,"&gt;="&amp;$F$8,BD!$A$3:$A$5001,"&lt;="&amp;$G$8,BD!$B$3:$B$5001,$D$2))</f>
        <v>0</v>
      </c>
      <c r="D326" s="48" t="str">
        <f>IF(AND(ISNUMBER(B326),ISNUMBER(C326)),IF(C326&lt;&gt;0,B326/C326-1,""),"")</f>
        <v/>
      </c>
    </row>
    <row r="327">
      <c r="A327" s="29" t="inlineStr">
        <is>
          <t xml:space="preserve">OUT · Itens Expedidos</t>
        </is>
      </c>
      <c r="B327" s="32">
        <f>IF($B$2="Todos",SUMIFS(BD!$O$3:$O$5001,BD!$A$3:$A$5001,"&gt;="&amp;$F$7,BD!$A$3:$A$5001,"&lt;="&amp;$G$7),SUMIFS(BD!$O$3:$O$5001,BD!$A$3:$A$5001,"&gt;="&amp;$F$7,BD!$A$3:$A$5001,"&lt;="&amp;$G$7,BD!$B$3:$B$5001,$D$2))</f>
        <v>0</v>
      </c>
      <c r="C327" s="32">
        <f>IF($B$2="Todos",SUMIFS(BD!$O$3:$O$5001,BD!$A$3:$A$5001,"&gt;="&amp;$F$8,BD!$A$3:$A$5001,"&lt;="&amp;$G$8),SUMIFS(BD!$O$3:$O$5001,BD!$A$3:$A$5001,"&gt;="&amp;$F$8,BD!$A$3:$A$5001,"&lt;="&amp;$G$8,BD!$B$3:$B$5001,$D$2))</f>
        <v>0</v>
      </c>
      <c r="D327" s="48" t="str">
        <f>IF(AND(ISNUMBER(B327),ISNUMBER(C327)),IF(C327&lt;&gt;0,B327/C327-1,""),"")</f>
        <v/>
      </c>
    </row>
    <row r="328">
      <c r="A328" s="29" t="inlineStr">
        <is>
          <t xml:space="preserve">OUT · Peças Movimentadas</t>
        </is>
      </c>
      <c r="B328" s="32">
        <f>IF($B$2="Todos",SUMIFS(BD!$P$3:$P$5001,BD!$A$3:$A$5001,"&gt;="&amp;$F$7,BD!$A$3:$A$5001,"&lt;="&amp;$G$7),SUMIFS(BD!$P$3:$P$5001,BD!$A$3:$A$5001,"&gt;="&amp;$F$7,BD!$A$3:$A$5001,"&lt;="&amp;$G$7,BD!$B$3:$B$5001,$D$2))</f>
        <v>0</v>
      </c>
      <c r="C328" s="32">
        <f>IF($B$2="Todos",SUMIFS(BD!$P$3:$P$5001,BD!$A$3:$A$5001,"&gt;="&amp;$F$8,BD!$A$3:$A$5001,"&lt;="&amp;$G$8),SUMIFS(BD!$P$3:$P$5001,BD!$A$3:$A$5001,"&gt;="&amp;$F$8,BD!$A$3:$A$5001,"&lt;="&amp;$G$8,BD!$B$3:$B$5001,$D$2))</f>
        <v>0</v>
      </c>
      <c r="D328" s="48" t="str">
        <f>IF(AND(ISNUMBER(B328),ISNUMBER(C328)),IF(C328&lt;&gt;0,B328/C328-1,""),"")</f>
        <v/>
      </c>
    </row>
    <row r="329">
      <c r="A329" s="29" t="inlineStr">
        <is>
          <t xml:space="preserve">OUT · Linhas NF</t>
        </is>
      </c>
      <c r="B329" s="32">
        <f>IF($B$2="Todos",SUMIFS(BD!$Q$3:$Q$5001,BD!$A$3:$A$5001,"&gt;="&amp;$F$7,BD!$A$3:$A$5001,"&lt;="&amp;$G$7),SUMIFS(BD!$Q$3:$Q$5001,BD!$A$3:$A$5001,"&gt;="&amp;$F$7,BD!$A$3:$A$5001,"&lt;="&amp;$G$7,BD!$B$3:$B$5001,$D$2))</f>
        <v>0</v>
      </c>
      <c r="C329" s="32">
        <f>IF($B$2="Todos",SUMIFS(BD!$Q$3:$Q$5001,BD!$A$3:$A$5001,"&gt;="&amp;$F$8,BD!$A$3:$A$5001,"&lt;="&amp;$G$8),SUMIFS(BD!$Q$3:$Q$5001,BD!$A$3:$A$5001,"&gt;="&amp;$F$8,BD!$A$3:$A$5001,"&lt;="&amp;$G$8,BD!$B$3:$B$5001,$D$2))</f>
        <v>0</v>
      </c>
      <c r="D329" s="48" t="str">
        <f>IF(AND(ISNUMBER(B329),ISNUMBER(C329)),IF(C329&lt;&gt;0,B329/C329-1,""),"")</f>
        <v/>
      </c>
    </row>
    <row r="330">
      <c r="A330" s="29" t="inlineStr">
        <is>
          <t xml:space="preserve">OUT · Caixas Expedidas</t>
        </is>
      </c>
      <c r="B330" s="32">
        <f>IF($B$2="Todos",SUMIFS(BD!$R$3:$R$5001,BD!$A$3:$A$5001,"&gt;="&amp;$F$7,BD!$A$3:$A$5001,"&lt;="&amp;$G$7),SUMIFS(BD!$R$3:$R$5001,BD!$A$3:$A$5001,"&gt;="&amp;$F$7,BD!$A$3:$A$5001,"&lt;="&amp;$G$7,BD!$B$3:$B$5001,$D$2))</f>
        <v>0</v>
      </c>
      <c r="C330" s="32">
        <f>IF($B$2="Todos",SUMIFS(BD!$R$3:$R$5001,BD!$A$3:$A$5001,"&gt;="&amp;$F$8,BD!$A$3:$A$5001,"&lt;="&amp;$G$8),SUMIFS(BD!$R$3:$R$5001,BD!$A$3:$A$5001,"&gt;="&amp;$F$8,BD!$A$3:$A$5001,"&lt;="&amp;$G$8,BD!$B$3:$B$5001,$D$2))</f>
        <v>0</v>
      </c>
      <c r="D330" s="48" t="str">
        <f>IF(AND(ISNUMBER(B330),ISNUMBER(C330)),IF(C330&lt;&gt;0,B330/C330-1,""),"")</f>
        <v/>
      </c>
    </row>
    <row r="333">
      <c r="A333" s="43" t="inlineStr">
        <is>
          <t xml:space="preserve">Textos das linhas de apoio dos cards (Dashboard)</t>
        </is>
      </c>
    </row>
    <row r="334">
      <c r="A334" s="40" t="inlineStr">
        <is>
          <t xml:space="preserve">inA</t>
        </is>
      </c>
      <c r="B334" s="64" t="str">
        <f>IF(N(VALUE($B$336))=0,"",IF(ISNUMBER(IF(N(VALUE($E$336))=0,INDEX($B$295:$B$330,VALUE($B$336)),IF(AND(ISNUMBER(INDEX($B$295:$B$330,VALUE($B$336))),N(INDEX($B$295:$B$330,N(VALUE($E$336))))&gt;0),INDEX($B$295:$B$330,VALUE($B$336))/INDEX($B$295:$B$330,N(VALUE($E$336))),""))),FIXED(IF(N(VALUE($E$336))=0,INDEX($B$295:$B$330,VALUE($B$336)),IF(AND(ISNUMBER(INDEX($B$295:$B$330,VALUE($B$336))),N(INDEX($B$295:$B$330,N(VALUE($E$336))))&gt;0),INDEX($B$295:$B$330,VALUE($B$336))/INDEX($B$295:$B$330,N(VALUE($E$336))),"")),VALUE($D$336)),"—")&amp;" "&amp;$C$336)&amp;IF(AND(N(VALUE($B$336))&gt;0,N(VALUE($F$336))&gt;0),"  ·  ","")&amp;IF(N(VALUE($F$336))=0,"",IF(ISNUMBER(IF(N(VALUE($I$336))=0,INDEX($B$295:$B$330,VALUE($F$336)),IF(AND(ISNUMBER(INDEX($B$295:$B$330,VALUE($F$336))),N(INDEX($B$295:$B$330,N(VALUE($I$336))))&gt;0),INDEX($B$295:$B$330,VALUE($F$336))/INDEX($B$295:$B$330,N(VALUE($I$336))),""))),FIXED(IF(N(VALUE($I$336))=0,INDEX($B$295:$B$330,VALUE($F$336)),IF(AND(ISNUMBER(INDEX($B$295:$B$330,VALUE($F$336))),N(INDEX($B$295:$B$330,N(VALUE($I$336))))&gt;0),INDEX($B$295:$B$330,VALUE($F$336))/INDEX($B$295:$B$330,N(VALUE($I$336))),"")),VALUE($H$336)),"—")&amp;" "&amp;$G$336)</f>
        <v>0 pallets movimentados</v>
      </c>
      <c r="C334" s="40" t="inlineStr">
        <is>
          <t xml:space="preserve">inB</t>
        </is>
      </c>
      <c r="D334" s="64" t="str">
        <f>IF(N(VALUE($J$336))=0,"",IF(ISNUMBER(IF(N(VALUE($M$336))=0,INDEX($B$295:$B$330,VALUE($J$336)),IF(AND(ISNUMBER(INDEX($B$295:$B$330,VALUE($J$336))),N(INDEX($B$295:$B$330,N(VALUE($M$336))))&gt;0),INDEX($B$295:$B$330,VALUE($J$336))/INDEX($B$295:$B$330,N(VALUE($M$336))),""))),FIXED(IF(N(VALUE($M$336))=0,INDEX($B$295:$B$330,VALUE($J$336)),IF(AND(ISNUMBER(INDEX($B$295:$B$330,VALUE($J$336))),N(INDEX($B$295:$B$330,N(VALUE($M$336))))&gt;0),INDEX($B$295:$B$330,VALUE($J$336))/INDEX($B$295:$B$330,N(VALUE($M$336))),"")),VALUE($L$336)),"—")&amp;" "&amp;$K$336)&amp;IF(AND(N(VALUE($J$336))&gt;0,N(VALUE($N$336))&gt;0),"  ·  ","")&amp;IF(N(VALUE($N$336))=0,"",IF(ISNUMBER(IF(N(VALUE($Q$336))=0,INDEX($B$295:$B$330,VALUE($N$336)),IF(AND(ISNUMBER(INDEX($B$295:$B$330,VALUE($N$336))),N(INDEX($B$295:$B$330,N(VALUE($Q$336))))&gt;0),INDEX($B$295:$B$330,VALUE($N$336))/INDEX($B$295:$B$330,N(VALUE($Q$336))),""))),FIXED(IF(N(VALUE($Q$336))=0,INDEX($B$295:$B$330,VALUE($N$336)),IF(AND(ISNUMBER(INDEX($B$295:$B$330,VALUE($N$336))),N(INDEX($B$295:$B$330,N(VALUE($Q$336))))&gt;0),INDEX($B$295:$B$330,VALUE($N$336))/INDEX($B$295:$B$330,N(VALUE($Q$336))),"")),VALUE($P$336)),"—")&amp;" "&amp;$O$336)</f>
        <v>0,0 t movimentadas</v>
      </c>
      <c r="E334" s="40" t="inlineStr">
        <is>
          <t xml:space="preserve">outA</t>
        </is>
      </c>
      <c r="F334" s="64" t="str">
        <f>IF(N(VALUE($R$336))=0,"",IF(ISNUMBER(IF(N(VALUE($U$336))=0,INDEX($B$295:$B$330,VALUE($R$336)),IF(AND(ISNUMBER(INDEX($B$295:$B$330,VALUE($R$336))),N(INDEX($B$295:$B$330,N(VALUE($U$336))))&gt;0),INDEX($B$295:$B$330,VALUE($R$336))/INDEX($B$295:$B$330,N(VALUE($U$336))),""))),FIXED(IF(N(VALUE($U$336))=0,INDEX($B$295:$B$330,VALUE($R$336)),IF(AND(ISNUMBER(INDEX($B$295:$B$330,VALUE($R$336))),N(INDEX($B$295:$B$330,N(VALUE($U$336))))&gt;0),INDEX($B$295:$B$330,VALUE($R$336))/INDEX($B$295:$B$330,N(VALUE($U$336))),"")),VALUE($T$336)),"—")&amp;" "&amp;$S$336)&amp;IF(AND(N(VALUE($R$336))&gt;0,N(VALUE($V$336))&gt;0),"  ·  ","")&amp;IF(N(VALUE($V$336))=0,"",IF(ISNUMBER(IF(N(VALUE($Y$336))=0,INDEX($B$295:$B$330,VALUE($V$336)),IF(AND(ISNUMBER(INDEX($B$295:$B$330,VALUE($V$336))),N(INDEX($B$295:$B$330,N(VALUE($Y$336))))&gt;0),INDEX($B$295:$B$330,VALUE($V$336))/INDEX($B$295:$B$330,N(VALUE($Y$336))),""))),FIXED(IF(N(VALUE($Y$336))=0,INDEX($B$295:$B$330,VALUE($V$336)),IF(AND(ISNUMBER(INDEX($B$295:$B$330,VALUE($V$336))),N(INDEX($B$295:$B$330,N(VALUE($Y$336))))&gt;0),INDEX($B$295:$B$330,VALUE($V$336))/INDEX($B$295:$B$330,N(VALUE($Y$336))),"")),VALUE($X$336)),"—")&amp;" "&amp;$W$336)</f>
        <v>0 pallets movimentados</v>
      </c>
      <c r="G334" s="40" t="inlineStr">
        <is>
          <t xml:space="preserve">outB</t>
        </is>
      </c>
      <c r="H334" s="64" t="str">
        <f>IF(N(VALUE($Z$336))=0,"",IF(ISNUMBER(IF(N(VALUE($AC$336))=0,INDEX($B$295:$B$330,VALUE($Z$336)),IF(AND(ISNUMBER(INDEX($B$295:$B$330,VALUE($Z$336))),N(INDEX($B$295:$B$330,N(VALUE($AC$336))))&gt;0),INDEX($B$295:$B$330,VALUE($Z$336))/INDEX($B$295:$B$330,N(VALUE($AC$336))),""))),FIXED(IF(N(VALUE($AC$336))=0,INDEX($B$295:$B$330,VALUE($Z$336)),IF(AND(ISNUMBER(INDEX($B$295:$B$330,VALUE($Z$336))),N(INDEX($B$295:$B$330,N(VALUE($AC$336))))&gt;0),INDEX($B$295:$B$330,VALUE($Z$336))/INDEX($B$295:$B$330,N(VALUE($AC$336))),"")),VALUE($AB$336)),"—")&amp;" "&amp;$AA$336)&amp;IF(AND(N(VALUE($Z$336))&gt;0,N(VALUE($AD$336))&gt;0),"  ·  ","")&amp;IF(N(VALUE($AD$336))=0,"",IF(ISNUMBER(IF(N(VALUE($AG$336))=0,INDEX($B$295:$B$330,VALUE($AD$336)),IF(AND(ISNUMBER(INDEX($B$295:$B$330,VALUE($AD$336))),N(INDEX($B$295:$B$330,N(VALUE($AG$336))))&gt;0),INDEX($B$295:$B$330,VALUE($AD$336))/INDEX($B$295:$B$330,N(VALUE($AG$336))),""))),FIXED(IF(N(VALUE($AG$336))=0,INDEX($B$295:$B$330,VALUE($AD$336)),IF(AND(ISNUMBER(INDEX($B$295:$B$330,VALUE($AD$336))),N(INDEX($B$295:$B$330,N(VALUE($AG$336))))&gt;0),INDEX($B$295:$B$330,VALUE($AD$336))/INDEX($B$295:$B$330,N(VALUE($AG$336))),"")),VALUE($AF$336)),"—")&amp;" "&amp;$AE$336)</f>
        <v>0,0 t movimentadas</v>
      </c>
    </row>
    <row r="335">
      <c r="A335" s="19" t="inlineStr">
        <is>
          <t xml:space="preserve">PERFIL DO CLIENTE FILTRADO — lido da aba Config (linha da Config · por item: linha no período, rótulo, casas, linha do divisor · gráficos: colunas da série)</t>
        </is>
      </c>
    </row>
    <row r="336">
      <c r="A336" s="87">
        <f>IFERROR(MATCH($B$2,Config!$A$6:$A$16,0),1)</f>
        <v>1</v>
      </c>
      <c r="B336" s="88">
        <f>IFERROR(VLOOKUP(INDEX(Config!$C$6:$C$16,$A$336),Config!$T$6:$Z$37,4,0),0)</f>
        <v>2</v>
      </c>
      <c r="C336" s="88" t="str">
        <f>IFERROR(VLOOKUP(INDEX(Config!$C$6:$C$16,$A$336),Config!$T$6:$Z$37,2,0)&amp;"","")</f>
        <v>pallets movimentados</v>
      </c>
      <c r="D336" s="88">
        <f>IFERROR(VLOOKUP(INDEX(Config!$C$6:$C$16,$A$336),Config!$T$6:$Z$37,3,0),0)</f>
        <v>0</v>
      </c>
      <c r="E336" s="88">
        <f>IFERROR(VLOOKUP(INDEX(Config!$C$6:$C$16,$A$336),Config!$T$6:$Z$37,6,0),0)</f>
        <v>0</v>
      </c>
      <c r="F336" s="88">
        <v>0</v>
      </c>
      <c r="G336" s="88"/>
      <c r="H336" s="88">
        <v>0</v>
      </c>
      <c r="I336" s="88">
        <v>0</v>
      </c>
      <c r="J336" s="88">
        <f>IFERROR(VLOOKUP(INDEX(Config!$D$6:$D$16,$A$336),Config!$T$6:$Z$37,4,0),0)</f>
        <v>3</v>
      </c>
      <c r="K336" s="88" t="str">
        <f>IFERROR(VLOOKUP(INDEX(Config!$D$6:$D$16,$A$336),Config!$T$6:$Z$37,2,0)&amp;"","")</f>
        <v>t movimentadas</v>
      </c>
      <c r="L336" s="88">
        <f>IFERROR(VLOOKUP(INDEX(Config!$D$6:$D$16,$A$336),Config!$T$6:$Z$37,3,0),0)</f>
        <v>1</v>
      </c>
      <c r="M336" s="88">
        <f>IFERROR(VLOOKUP(INDEX(Config!$D$6:$D$16,$A$336),Config!$T$6:$Z$37,6,0),0)</f>
        <v>0</v>
      </c>
      <c r="N336" s="88">
        <f>IFERROR(VLOOKUP(INDEX(Config!$E$6:$E$16,$A$336),Config!$T$6:$Z$37,4,0),0)</f>
        <v>0</v>
      </c>
      <c r="O336" s="88" t="str">
        <f>IFERROR(VLOOKUP(INDEX(Config!$E$6:$E$16,$A$336),Config!$T$6:$Z$37,2,0)&amp;"","")</f>
        <v/>
      </c>
      <c r="P336" s="88">
        <f>IFERROR(VLOOKUP(INDEX(Config!$E$6:$E$16,$A$336),Config!$T$6:$Z$37,3,0),0)</f>
        <v>0</v>
      </c>
      <c r="Q336" s="88">
        <f>IFERROR(VLOOKUP(INDEX(Config!$E$6:$E$16,$A$336),Config!$T$6:$Z$37,6,0),0)</f>
        <v>0</v>
      </c>
      <c r="R336" s="88">
        <f>IFERROR(VLOOKUP(INDEX(Config!$G$6:$G$16,$A$336),Config!$T$6:$Z$37,4,0),0)</f>
        <v>5</v>
      </c>
      <c r="S336" s="88" t="str">
        <f>IFERROR(VLOOKUP(INDEX(Config!$G$6:$G$16,$A$336),Config!$T$6:$Z$37,2,0)&amp;"","")</f>
        <v>pallets movimentados</v>
      </c>
      <c r="T336" s="88">
        <f>IFERROR(VLOOKUP(INDEX(Config!$G$6:$G$16,$A$336),Config!$T$6:$Z$37,3,0),0)</f>
        <v>0</v>
      </c>
      <c r="U336" s="88">
        <f>IFERROR(VLOOKUP(INDEX(Config!$G$6:$G$16,$A$336),Config!$T$6:$Z$37,6,0),0)</f>
        <v>0</v>
      </c>
      <c r="V336" s="88">
        <v>0</v>
      </c>
      <c r="W336" s="88"/>
      <c r="X336" s="88">
        <v>0</v>
      </c>
      <c r="Y336" s="88">
        <v>0</v>
      </c>
      <c r="Z336" s="88">
        <f>IFERROR(VLOOKUP(INDEX(Config!$H$6:$H$16,$A$336),Config!$T$6:$Z$37,4,0),0)</f>
        <v>6</v>
      </c>
      <c r="AA336" s="88" t="str">
        <f>IFERROR(VLOOKUP(INDEX(Config!$H$6:$H$16,$A$336),Config!$T$6:$Z$37,2,0)&amp;"","")</f>
        <v>t movimentadas</v>
      </c>
      <c r="AB336" s="88">
        <f>IFERROR(VLOOKUP(INDEX(Config!$H$6:$H$16,$A$336),Config!$T$6:$Z$37,3,0),0)</f>
        <v>1</v>
      </c>
      <c r="AC336" s="88">
        <f>IFERROR(VLOOKUP(INDEX(Config!$H$6:$H$16,$A$336),Config!$T$6:$Z$37,6,0),0)</f>
        <v>0</v>
      </c>
      <c r="AD336" s="88">
        <f>IFERROR(VLOOKUP(INDEX(Config!$I$6:$I$16,$A$336),Config!$T$6:$Z$37,4,0),0)</f>
        <v>0</v>
      </c>
      <c r="AE336" s="88" t="str">
        <f>IFERROR(VLOOKUP(INDEX(Config!$I$6:$I$16,$A$336),Config!$T$6:$Z$37,2,0)&amp;"","")</f>
        <v/>
      </c>
      <c r="AF336" s="88">
        <f>IFERROR(VLOOKUP(INDEX(Config!$I$6:$I$16,$A$336),Config!$T$6:$Z$37,3,0),0)</f>
        <v>0</v>
      </c>
      <c r="AG336" s="88">
        <f>IFERROR(VLOOKUP(INDEX(Config!$I$6:$I$16,$A$336),Config!$T$6:$Z$37,6,0),0)</f>
        <v>0</v>
      </c>
      <c r="AH336" s="88">
        <f>IFERROR(VLOOKUP(INDEX(Config!$K$6:$K$16,$A$336),Config!$T$6:$Z$37,5,0),0)</f>
        <v>2</v>
      </c>
      <c r="AI336" s="88">
        <f>IFERROR(VLOOKUP(INDEX(Config!$L$6:$L$16,$A$336),Config!$T$6:$Z$37,5,0),0)</f>
        <v>17</v>
      </c>
      <c r="AJ336" s="88">
        <f>IFERROR(VLOOKUP(INDEX(Config!$K$6:$K$16,$A$336),Config!$T$6:$Z$37,7,0),0)</f>
        <v>0</v>
      </c>
      <c r="AK336" s="88">
        <f>IFERROR(VLOOKUP(INDEX(Config!$L$6:$L$16,$A$336),Config!$T$6:$Z$37,7,0),0)</f>
        <v>0</v>
      </c>
      <c r="AL336" s="88" t="str">
        <f>INDEX(Config!$M$6:$M$16,$A$336)&amp;""</f>
        <v>MOVIMENTAÇÃO PALETES/DIA</v>
      </c>
      <c r="AM336" s="88" t="str">
        <f>INDEX(Config!$N$6:$N$16,$A$336)&amp;""</f>
        <v>ACUMULADO SEMANAL PALETES</v>
      </c>
      <c r="AN336" s="88" t="str">
        <f>IF(INDEX(Config!$K$6:$K$16,$A$336)&amp;""="","IN",INDEX(Config!$K$6:$K$16,$A$336)&amp;"")</f>
        <v>Pallets Movimentados IN</v>
      </c>
      <c r="AO336" s="88" t="str">
        <f>IF(INDEX(Config!$L$6:$L$16,$A$336)&amp;""="","OUT",INDEX(Config!$L$6:$L$16,$A$336)&amp;"")</f>
        <v>Pallets Movimentados OUT</v>
      </c>
      <c r="AP336" s="88">
        <f>IFERROR(VLOOKUP(INDEX(Config!$O$6:$O$16,$A$336),Config!$T$6:$Z$37,5,0),0)</f>
        <v>3</v>
      </c>
      <c r="AQ336" s="88">
        <f>IFERROR(VLOOKUP(INDEX(Config!$P$6:$P$16,$A$336),Config!$T$6:$Z$37,5,0),0)</f>
        <v>18</v>
      </c>
      <c r="AR336" s="88">
        <f>IFERROR(VLOOKUP(INDEX(Config!$O$6:$O$16,$A$336),Config!$T$6:$Z$37,7,0),0)</f>
        <v>0</v>
      </c>
      <c r="AS336" s="88">
        <f>IFERROR(VLOOKUP(INDEX(Config!$P$6:$P$16,$A$336),Config!$T$6:$Z$37,7,0),0)</f>
        <v>0</v>
      </c>
      <c r="AT336" s="88" t="str">
        <f>INDEX(Config!$Q$6:$Q$16,$A$336)&amp;""</f>
        <v>MOVIMENTAÇÃO TONS/DIA</v>
      </c>
      <c r="AU336" s="88" t="str">
        <f>INDEX(Config!$R$6:$R$16,$A$336)&amp;""</f>
        <v>ACUMULADO SEMANAL TONS</v>
      </c>
      <c r="AV336" s="88" t="str">
        <f>IF(INDEX(Config!$O$6:$O$16,$A$336)&amp;""="","IN",INDEX(Config!$O$6:$O$16,$A$336)&amp;"")</f>
        <v>Toneladas Movimentadas IN</v>
      </c>
      <c r="AW336" s="88" t="str">
        <f>IF(INDEX(Config!$P$6:$P$16,$A$336)&amp;""="","OUT",INDEX(Config!$P$6:$P$16,$A$336)&amp;"")</f>
        <v>Toneladas Movimentadas OUT</v>
      </c>
      <c r="AX336" s="88" t="str">
        <f>INDEX(Config!$B$6:$B$16,$A$336)&amp;""</f>
        <v>Sim</v>
      </c>
      <c r="AY336" s="88" t="str">
        <f>INDEX(Config!$F$6:$F$16,$A$336)&amp;""</f>
        <v>Sim</v>
      </c>
      <c r="AZ336" s="88" t="str">
        <f>INDEX(Config!$J$6:$J$16,$A$336)&amp;""</f>
        <v>Completo</v>
      </c>
      <c r="BA336" s="88" t="str">
        <f>IF(OR($B$2="Todos",$C$2=2),Config!$B$51,Config!$B$50)&amp;""</f>
        <v>ARMAZÉM</v>
      </c>
      <c r="BB336" s="88" t="str">
        <f>IF(OR($B$2="Todos",$C$2=2),Config!$B$70,Config!$B$69)&amp;""</f>
        <v>Capacidade do armazém (p.p)</v>
      </c>
    </row>
  </sheetData>
  <sheetProtection password="CC78" sheet="1" objects="1" scenarios="1"/>
  <pageMargins left="0.25" right="0.25" top="0.4" bottom="0.4" header="0.2" footer="0.2"/>
  <pageSetup paperSize="9"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7F7F7F"/>
    <pageSetUpPr fitToPage="1"/>
  </sheetPr>
  <dimension ref="A1:AU54"/>
  <sheetViews>
    <sheetView showGridLines="0" zoomScale="100" zoomScaleNormal="100" workbookViewId="0">
      <pane xSplit="2" ySplit="2" topLeftCell="C3" activePane="bottomRight" state="frozen"/>
      <selection pane="bottomRight" activeCell="C3" sqref="C3"/>
    </sheetView>
  </sheetViews>
  <sheetFormatPr defaultRowHeight="15"/>
  <cols>
    <col min="1" max="1" width="11" customWidth="1"/>
    <col min="2" max="2" width="18" customWidth="1"/>
    <col min="3" max="3" width="11.55" customWidth="1"/>
    <col min="4" max="4" width="12.65" customWidth="1"/>
    <col min="5" max="5" width="13" customWidth="1"/>
    <col min="6" max="6" width="10" customWidth="1"/>
    <col min="7" max="7" width="12.100000000000001" customWidth="1"/>
    <col min="8" max="8" width="11.55" customWidth="1"/>
    <col min="9" max="9" width="13" customWidth="1"/>
    <col min="10" max="10" width="10" customWidth="1"/>
    <col min="11" max="11" width="13" customWidth="1"/>
    <col min="12" max="12" width="12.100000000000001" customWidth="1"/>
    <col min="13" max="13" width="11.55" customWidth="1"/>
    <col min="14" max="14" width="11.55" customWidth="1"/>
    <col min="15" max="15" width="10.450000000000001" customWidth="1"/>
    <col min="16" max="16" width="12.100000000000001" customWidth="1"/>
    <col min="17" max="17" width="10" customWidth="1"/>
    <col min="18" max="18" width="11" customWidth="1"/>
    <col min="19" max="19" width="13" customWidth="1"/>
    <col min="20" max="20" width="13" customWidth="1"/>
    <col min="21" max="21" width="10" customWidth="1"/>
    <col min="22" max="22" width="10" customWidth="1"/>
    <col min="23" max="23" width="10" customWidth="1"/>
    <col min="24" max="24" width="11" customWidth="1"/>
    <col min="25" max="25" width="10" customWidth="1"/>
    <col min="26" max="26" width="10" customWidth="1"/>
    <col min="27" max="27" width="10" customWidth="1"/>
    <col min="28" max="28" width="10" customWidth="1"/>
    <col min="29" max="29" width="10" customWidth="1"/>
    <col min="30" max="30" width="10" customWidth="1"/>
    <col min="31" max="31" width="12.65" customWidth="1"/>
    <col min="32" max="32" width="10" customWidth="1"/>
    <col min="33" max="33" width="10" customWidth="1"/>
    <col min="34" max="34" width="11" customWidth="1"/>
    <col min="35" max="35" width="3" customWidth="1"/>
    <col min="36" max="36" width="70" customWidth="1"/>
    <col min="37" max="37" width="11" customWidth="1"/>
    <col min="38" max="38" width="12" customWidth="1"/>
    <col min="39" max="39" width="12" customWidth="1"/>
    <col min="40" max="40" width="12" customWidth="1"/>
    <col min="41" max="41" width="12" customWidth="1"/>
    <col min="42" max="42" width="12" customWidth="1"/>
    <col min="43" max="43" width="12" customWidth="1"/>
    <col min="44" max="44" width="12" customWidth="1"/>
    <col min="45" max="45" width="12" customWidth="1"/>
    <col min="46" max="46" width="12" customWidth="1"/>
    <col min="47" max="47" width="12" customWidth="1"/>
  </cols>
  <sheetData>
    <row r="1" ht="20" customHeight="1">
      <c r="A1" s="1" t="inlineStr">
        <is>
          <t xml:space="preserve">REGISTRO</t>
        </is>
      </c>
      <c r="B1" s="2"/>
      <c r="C1" s="3" t="inlineStr">
        <is>
          <t xml:space="preserve">IN · RECEBIMENTO</t>
        </is>
      </c>
      <c r="D1" s="4"/>
      <c r="E1" s="4"/>
      <c r="F1" s="4"/>
      <c r="G1" s="4"/>
      <c r="H1" s="4"/>
      <c r="I1" s="4"/>
      <c r="J1" s="4"/>
      <c r="K1" s="5"/>
      <c r="L1" s="6" t="inlineStr">
        <is>
          <t xml:space="preserve">OUT · EXPEDIÇÃO</t>
        </is>
      </c>
      <c r="M1" s="7"/>
      <c r="N1" s="7"/>
      <c r="O1" s="7"/>
      <c r="P1" s="7"/>
      <c r="Q1" s="7"/>
      <c r="R1" s="7"/>
      <c r="S1" s="7"/>
      <c r="T1" s="8"/>
      <c r="U1" s="9" t="inlineStr">
        <is>
          <t xml:space="preserve">NC · NÃO CONFORMIDADES</t>
        </is>
      </c>
      <c r="V1" s="10"/>
      <c r="W1" s="11"/>
      <c r="X1" s="3" t="inlineStr">
        <is>
          <t xml:space="preserve">OCUPAÇÃO (P.P)</t>
        </is>
      </c>
      <c r="Y1" s="5"/>
      <c r="Z1" s="12" t="inlineStr">
        <is>
          <t xml:space="preserve">GENTE</t>
        </is>
      </c>
      <c r="AA1" s="13"/>
      <c r="AB1" s="13"/>
      <c r="AC1" s="13"/>
      <c r="AD1" s="13"/>
      <c r="AE1" s="13"/>
      <c r="AF1" s="13"/>
      <c r="AG1" s="14"/>
      <c r="AH1" s="15" t="inlineStr">
        <is>
          <t xml:space="preserve">CONTRATO</t>
        </is>
      </c>
    </row>
    <row r="2" ht="42" customHeight="1">
      <c r="A2" s="16" t="inlineStr">
        <is>
          <t xml:space="preserve">Data</t>
        </is>
      </c>
      <c r="B2" s="16" t="inlineStr">
        <is>
          <t xml:space="preserve">Cliente</t>
        </is>
      </c>
      <c r="C2" s="16" t="inlineStr">
        <is>
          <t xml:space="preserve">IN Veículos Recebidos</t>
        </is>
      </c>
      <c r="D2" s="16" t="inlineStr">
        <is>
          <t xml:space="preserve">IN Pallets Movimentados</t>
        </is>
      </c>
      <c r="E2" s="16" t="inlineStr">
        <is>
          <t xml:space="preserve">IN Toneladas Movimentadas</t>
        </is>
      </c>
      <c r="F2" s="16" t="inlineStr">
        <is>
          <t xml:space="preserve">IN Linhas NF</t>
        </is>
      </c>
      <c r="G2" s="16" t="inlineStr">
        <is>
          <t xml:space="preserve">IN Caixas Movimentadas</t>
        </is>
      </c>
      <c r="H2" s="16" t="inlineStr">
        <is>
          <t xml:space="preserve">IN Peças Movimentadas</t>
        </is>
      </c>
      <c r="I2" s="16" t="inlineStr">
        <is>
          <t xml:space="preserve">IN Itens Recebidos CX Mista</t>
        </is>
      </c>
      <c r="J2" s="16" t="inlineStr">
        <is>
          <t xml:space="preserve">IN Caixas Fechadas</t>
        </is>
      </c>
      <c r="K2" s="16" t="inlineStr">
        <is>
          <t xml:space="preserve">IN Caixas Mistas Recebidas</t>
        </is>
      </c>
      <c r="L2" s="16" t="inlineStr">
        <is>
          <t xml:space="preserve">OUT Veículos Expedidos</t>
        </is>
      </c>
      <c r="M2" s="16" t="inlineStr">
        <is>
          <t xml:space="preserve">OUT Pedidos Expedidos</t>
        </is>
      </c>
      <c r="N2" s="16" t="inlineStr">
        <is>
          <t xml:space="preserve">OUT Pedidos Faturados</t>
        </is>
      </c>
      <c r="O2" s="16" t="inlineStr">
        <is>
          <t xml:space="preserve">OUT Itens Expedidos</t>
        </is>
      </c>
      <c r="P2" s="16" t="inlineStr">
        <is>
          <t xml:space="preserve">OUT Peças Movimentadas</t>
        </is>
      </c>
      <c r="Q2" s="16" t="inlineStr">
        <is>
          <t xml:space="preserve">OUT Linhas NF</t>
        </is>
      </c>
      <c r="R2" s="16" t="inlineStr">
        <is>
          <t xml:space="preserve">OUT Caixas Expedidas</t>
        </is>
      </c>
      <c r="S2" s="16" t="inlineStr">
        <is>
          <t xml:space="preserve">OUT Pallets Movimentados</t>
        </is>
      </c>
      <c r="T2" s="16" t="inlineStr">
        <is>
          <t xml:space="preserve">OUT Toneladas Movimentadas</t>
        </is>
      </c>
      <c r="U2" s="16" t="inlineStr">
        <is>
          <t xml:space="preserve">NC Incidentes</t>
        </is>
      </c>
      <c r="V2" s="16" t="inlineStr">
        <is>
          <t xml:space="preserve">NC No show</t>
        </is>
      </c>
      <c r="W2" s="16" t="inlineStr">
        <is>
          <t xml:space="preserve">NC Backlog</t>
        </is>
      </c>
      <c r="X2" s="16" t="inlineStr">
        <is>
          <t xml:space="preserve">Posições Disponíveis</t>
        </is>
      </c>
      <c r="Y2" s="16" t="inlineStr">
        <is>
          <t xml:space="preserve">Posições Ocupadas</t>
        </is>
      </c>
      <c r="Z2" s="16" t="inlineStr">
        <is>
          <t xml:space="preserve">Efetivo Op.</t>
        </is>
      </c>
      <c r="AA2" s="16" t="inlineStr">
        <is>
          <t xml:space="preserve">Falta</t>
        </is>
      </c>
      <c r="AB2" s="16" t="inlineStr">
        <is>
          <t xml:space="preserve">Folga</t>
        </is>
      </c>
      <c r="AC2" s="16" t="inlineStr">
        <is>
          <t xml:space="preserve">Férias</t>
        </is>
      </c>
      <c r="AD2" s="16" t="inlineStr">
        <is>
          <t xml:space="preserve">Desligamento</t>
        </is>
      </c>
      <c r="AE2" s="16" t="inlineStr">
        <is>
          <t xml:space="preserve">Desvios Comportamentais</t>
        </is>
      </c>
      <c r="AF2" s="16" t="inlineStr">
        <is>
          <t xml:space="preserve">Acidentes CAF</t>
        </is>
      </c>
      <c r="AG2" s="16" t="inlineStr">
        <is>
          <t xml:space="preserve">Acidentes SAF</t>
        </is>
      </c>
      <c r="AH2" s="16" t="inlineStr">
        <is>
          <t xml:space="preserve">Modalidade</t>
        </is>
      </c>
      <c r="AJ2" s="17" t="inlineStr">
        <is>
          <t xml:space="preserve">COMO PREENCHER A BD</t>
        </is>
      </c>
    </row>
    <row r="3">
      <c r="AJ3" s="18" t="inlineStr">
        <is>
          <t xml:space="preserve">• Uma linha por dia e por cliente.</t>
        </is>
      </c>
    </row>
    <row r="4">
      <c r="AJ4" s="18" t="inlineStr">
        <is>
          <t xml:space="preserve">• Digite na primeira linha vazia logo abaixo da tabela: ela cresce sozinha e leva formato, listas e validações.</t>
        </is>
      </c>
    </row>
    <row r="5">
      <c r="AJ5" s="18" t="inlineStr">
        <is>
          <t xml:space="preserve">• Data: dd/mm/aaaa.   Cliente e Modalidade: escolha na lista (setinha da célula).</t>
        </is>
      </c>
    </row>
    <row r="6">
      <c r="AJ6" s="18" t="inlineStr">
        <is>
          <t xml:space="preserve">• Números: só 0 ou maior. Toneladas aceitam casas decimais.</t>
        </is>
      </c>
    </row>
    <row r="7">
      <c r="AJ7" s="18" t="inlineStr">
        <is>
          <t xml:space="preserve">• Deixe em branco o que não foi medido (não digite 0 se não houve registro).</t>
        </is>
      </c>
    </row>
    <row r="8">
      <c r="AJ8" s="17" t="inlineStr">
        <is>
          <t xml:space="preserve">SOMA NO MÊS</t>
        </is>
      </c>
    </row>
    <row r="9">
      <c r="AJ9" s="18" t="inlineStr">
        <is>
          <t xml:space="preserve">• Veículos, pallets, toneladas, linhas NF, caixas, peças, itens, pedidos, incidentes, no show, falta, folga, férias e desligamento: valor do dia.</t>
        </is>
      </c>
    </row>
    <row r="10">
      <c r="AJ10" s="17" t="inlineStr">
        <is>
          <t xml:space="preserve">ÚLTIMO VALOR DO MÊS</t>
        </is>
      </c>
    </row>
    <row r="11">
      <c r="AJ11" s="18" t="inlineStr">
        <is>
          <t xml:space="preserve">• Backlog, posições disponíveis/ocupadas e efetivo: posição do dia (os painéis usam o último lançado).</t>
        </is>
      </c>
    </row>
    <row r="12">
      <c r="AJ12" s="17" t="inlineStr">
        <is>
          <t xml:space="preserve">ALERTAS</t>
        </is>
      </c>
    </row>
    <row r="13">
      <c r="AJ13" s="18" t="inlineStr">
        <is>
          <t xml:space="preserve">• Vermelho: mesma data e cliente lançados duas vezes.</t>
        </is>
      </c>
    </row>
    <row r="14">
      <c r="AJ14" s="18" t="inlineStr">
        <is>
          <t xml:space="preserve">• Amarelo: linha incompleta (data sem cliente ou o contrário).</t>
        </is>
      </c>
    </row>
    <row r="15">
      <c r="AJ15" s="18" t="inlineStr">
        <is>
          <t xml:space="preserve">• Verde em Posições Ocupadas: cliente excede o contratado (boa notícia: faturar excedente).</t>
        </is>
      </c>
    </row>
    <row r="16">
      <c r="AJ16" s="18" t="inlineStr">
        <is>
          <t xml:space="preserve">• Desvios comportamentais e acidentes (CAF = com afastamento · SAF = sem afastamento): quantidade do dia.</t>
        </is>
      </c>
    </row>
    <row r="17">
      <c r="AJ17" s="18" t="inlineStr">
        <is>
          <t xml:space="preserve">• Dashboard, Monitoramento e Consol Mensal leem esta aba automaticamente, inclusive as METAS abaixo.</t>
        </is>
      </c>
    </row>
    <row r="21">
      <c r="AJ21" s="19" t="inlineStr">
        <is>
          <t xml:space="preserve">METAS DO MÊS — preencha as células amarelas (vazio = sem meta · taxa de ocupação em %).</t>
        </is>
      </c>
    </row>
    <row r="22" ht="30" customHeight="1">
      <c r="AJ22" s="16" t="inlineStr">
        <is>
          <t xml:space="preserve">Indicador</t>
        </is>
      </c>
      <c r="AK22" s="16" t="inlineStr">
        <is>
          <t xml:space="preserve">Todos</t>
        </is>
      </c>
      <c r="AL22" s="16" t="inlineStr">
        <is>
          <t xml:space="preserve">Alpargatas</t>
        </is>
      </c>
      <c r="AM22" s="16" t="inlineStr">
        <is>
          <t xml:space="preserve">Basf</t>
        </is>
      </c>
      <c r="AN22" s="16" t="inlineStr">
        <is>
          <t xml:space="preserve">Beautybiz</t>
        </is>
      </c>
      <c r="AO22" s="16" t="inlineStr">
        <is>
          <t xml:space="preserve">Boticário</t>
        </is>
      </c>
      <c r="AP22" s="16" t="inlineStr">
        <is>
          <t xml:space="preserve">Confiance</t>
        </is>
      </c>
      <c r="AQ22" s="16" t="inlineStr">
        <is>
          <t xml:space="preserve">GE Vernova</t>
        </is>
      </c>
      <c r="AR22" s="16" t="inlineStr">
        <is>
          <t xml:space="preserve">Omnilife</t>
        </is>
      </c>
      <c r="AS22" s="16" t="inlineStr">
        <is>
          <t xml:space="preserve">Supply</t>
        </is>
      </c>
      <c r="AT22" s="16" t="inlineStr">
        <is>
          <t xml:space="preserve">Vedacit</t>
        </is>
      </c>
      <c r="AU22" s="16" t="inlineStr">
        <is>
          <t xml:space="preserve">Vestas</t>
        </is>
      </c>
    </row>
    <row r="23">
      <c r="AJ23" s="20" t="inlineStr">
        <is>
          <t xml:space="preserve">IN · Veículos Recebidos</t>
        </is>
      </c>
      <c r="AK23" s="21"/>
      <c r="AL23" s="21"/>
      <c r="AM23" s="21"/>
      <c r="AN23" s="21"/>
      <c r="AO23" s="21"/>
      <c r="AP23" s="21"/>
      <c r="AQ23" s="21"/>
      <c r="AR23" s="21"/>
      <c r="AS23" s="21"/>
      <c r="AT23" s="21"/>
      <c r="AU23" s="21"/>
    </row>
    <row r="24">
      <c r="AJ24" s="20" t="inlineStr">
        <is>
          <t xml:space="preserve">IN · Pallets Movimentados</t>
        </is>
      </c>
      <c r="AK24" s="21"/>
      <c r="AL24" s="21"/>
      <c r="AM24" s="21"/>
      <c r="AN24" s="21"/>
      <c r="AO24" s="21"/>
      <c r="AP24" s="21"/>
      <c r="AQ24" s="21"/>
      <c r="AR24" s="21"/>
      <c r="AS24" s="21"/>
      <c r="AT24" s="21"/>
      <c r="AU24" s="21"/>
    </row>
    <row r="25">
      <c r="AJ25" s="20" t="inlineStr">
        <is>
          <t xml:space="preserve">IN · Toneladas Movimentadas</t>
        </is>
      </c>
      <c r="AK25" s="21"/>
      <c r="AL25" s="21"/>
      <c r="AM25" s="21"/>
      <c r="AN25" s="21"/>
      <c r="AO25" s="21"/>
      <c r="AP25" s="21"/>
      <c r="AQ25" s="21"/>
      <c r="AR25" s="21"/>
      <c r="AS25" s="21"/>
      <c r="AT25" s="21"/>
      <c r="AU25" s="21"/>
    </row>
    <row r="26">
      <c r="AJ26" s="20" t="inlineStr">
        <is>
          <t xml:space="preserve">IN · Linhas NF</t>
        </is>
      </c>
      <c r="AK26" s="21"/>
      <c r="AL26" s="21"/>
      <c r="AM26" s="21"/>
      <c r="AN26" s="21"/>
      <c r="AO26" s="21"/>
      <c r="AP26" s="21"/>
      <c r="AQ26" s="21"/>
      <c r="AR26" s="21"/>
      <c r="AS26" s="21"/>
      <c r="AT26" s="21"/>
      <c r="AU26" s="21"/>
    </row>
    <row r="27">
      <c r="AJ27" s="20" t="inlineStr">
        <is>
          <t xml:space="preserve">IN · Caixas Movimentadas</t>
        </is>
      </c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21"/>
    </row>
    <row r="28">
      <c r="AJ28" s="20" t="inlineStr">
        <is>
          <t xml:space="preserve">IN · Peças Movimentadas</t>
        </is>
      </c>
      <c r="AK28" s="21"/>
      <c r="AL28" s="21"/>
      <c r="AM28" s="21"/>
      <c r="AN28" s="21"/>
      <c r="AO28" s="21"/>
      <c r="AP28" s="21"/>
      <c r="AQ28" s="21"/>
      <c r="AR28" s="21"/>
      <c r="AS28" s="21"/>
      <c r="AT28" s="21"/>
      <c r="AU28" s="21"/>
    </row>
    <row r="29">
      <c r="AJ29" s="20" t="inlineStr">
        <is>
          <t xml:space="preserve">IN · Itens Recebidos CX Mista</t>
        </is>
      </c>
      <c r="AK29" s="21"/>
      <c r="AL29" s="21"/>
      <c r="AM29" s="21"/>
      <c r="AN29" s="21"/>
      <c r="AO29" s="21"/>
      <c r="AP29" s="21"/>
      <c r="AQ29" s="21"/>
      <c r="AR29" s="21"/>
      <c r="AS29" s="21"/>
      <c r="AT29" s="21"/>
      <c r="AU29" s="21"/>
    </row>
    <row r="30">
      <c r="AJ30" s="20" t="inlineStr">
        <is>
          <t xml:space="preserve">IN · Caixas Fechadas</t>
        </is>
      </c>
      <c r="AK30" s="21"/>
      <c r="AL30" s="21"/>
      <c r="AM30" s="21"/>
      <c r="AN30" s="21"/>
      <c r="AO30" s="21"/>
      <c r="AP30" s="21"/>
      <c r="AQ30" s="21"/>
      <c r="AR30" s="21"/>
      <c r="AS30" s="21"/>
      <c r="AT30" s="21"/>
      <c r="AU30" s="21"/>
    </row>
    <row r="31">
      <c r="AJ31" s="20" t="inlineStr">
        <is>
          <t xml:space="preserve">IN · Caixas Mistas Recebidas</t>
        </is>
      </c>
      <c r="AK31" s="21"/>
      <c r="AL31" s="21"/>
      <c r="AM31" s="21"/>
      <c r="AN31" s="21"/>
      <c r="AO31" s="21"/>
      <c r="AP31" s="21"/>
      <c r="AQ31" s="21"/>
      <c r="AR31" s="21"/>
      <c r="AS31" s="21"/>
      <c r="AT31" s="21"/>
      <c r="AU31" s="21"/>
    </row>
    <row r="32">
      <c r="AJ32" s="22" t="inlineStr">
        <is>
          <t xml:space="preserve">OUT · Veículos Expedidos</t>
        </is>
      </c>
      <c r="AK32" s="21"/>
      <c r="AL32" s="21"/>
      <c r="AM32" s="21"/>
      <c r="AN32" s="21"/>
      <c r="AO32" s="21"/>
      <c r="AP32" s="21"/>
      <c r="AQ32" s="21"/>
      <c r="AR32" s="21"/>
      <c r="AS32" s="21"/>
      <c r="AT32" s="21"/>
      <c r="AU32" s="21"/>
    </row>
    <row r="33">
      <c r="AJ33" s="22" t="inlineStr">
        <is>
          <t xml:space="preserve">OUT · Pedidos Expedidos</t>
        </is>
      </c>
      <c r="AK33" s="21"/>
      <c r="AL33" s="21"/>
      <c r="AM33" s="21"/>
      <c r="AN33" s="21"/>
      <c r="AO33" s="21"/>
      <c r="AP33" s="21"/>
      <c r="AQ33" s="21"/>
      <c r="AR33" s="21"/>
      <c r="AS33" s="21"/>
      <c r="AT33" s="21"/>
      <c r="AU33" s="21"/>
    </row>
    <row r="34">
      <c r="AJ34" s="22" t="inlineStr">
        <is>
          <t xml:space="preserve">OUT · Pedidos Faturados</t>
        </is>
      </c>
      <c r="AK34" s="21"/>
      <c r="AL34" s="21"/>
      <c r="AM34" s="21"/>
      <c r="AN34" s="21"/>
      <c r="AO34" s="21"/>
      <c r="AP34" s="21"/>
      <c r="AQ34" s="21"/>
      <c r="AR34" s="21"/>
      <c r="AS34" s="21"/>
      <c r="AT34" s="21"/>
      <c r="AU34" s="21"/>
    </row>
    <row r="35">
      <c r="AJ35" s="22" t="inlineStr">
        <is>
          <t xml:space="preserve">OUT · Itens Expedidos</t>
        </is>
      </c>
      <c r="AK35" s="21"/>
      <c r="AL35" s="21"/>
      <c r="AM35" s="21"/>
      <c r="AN35" s="21"/>
      <c r="AO35" s="21"/>
      <c r="AP35" s="21"/>
      <c r="AQ35" s="21"/>
      <c r="AR35" s="21"/>
      <c r="AS35" s="21"/>
      <c r="AT35" s="21"/>
      <c r="AU35" s="21"/>
    </row>
    <row r="36">
      <c r="AJ36" s="22" t="inlineStr">
        <is>
          <t xml:space="preserve">OUT · Peças Movimentadas</t>
        </is>
      </c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21"/>
    </row>
    <row r="37">
      <c r="AJ37" s="22" t="inlineStr">
        <is>
          <t xml:space="preserve">OUT · Linhas NF</t>
        </is>
      </c>
      <c r="AK37" s="21"/>
      <c r="AL37" s="21"/>
      <c r="AM37" s="21"/>
      <c r="AN37" s="21"/>
      <c r="AO37" s="21"/>
      <c r="AP37" s="21"/>
      <c r="AQ37" s="21"/>
      <c r="AR37" s="21"/>
      <c r="AS37" s="21"/>
      <c r="AT37" s="21"/>
      <c r="AU37" s="21"/>
    </row>
    <row r="38">
      <c r="AJ38" s="22" t="inlineStr">
        <is>
          <t xml:space="preserve">OUT · Caixas Expedidas</t>
        </is>
      </c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21"/>
    </row>
    <row r="39">
      <c r="AJ39" s="22" t="inlineStr">
        <is>
          <t xml:space="preserve">OUT · Pallets Movimentados</t>
        </is>
      </c>
      <c r="AK39" s="21"/>
      <c r="AL39" s="21"/>
      <c r="AM39" s="21"/>
      <c r="AN39" s="21"/>
      <c r="AO39" s="21"/>
      <c r="AP39" s="21"/>
      <c r="AQ39" s="21"/>
      <c r="AR39" s="21"/>
      <c r="AS39" s="21"/>
      <c r="AT39" s="21"/>
      <c r="AU39" s="21"/>
    </row>
    <row r="40">
      <c r="AJ40" s="22" t="inlineStr">
        <is>
          <t xml:space="preserve">OUT · Toneladas Movimentadas</t>
        </is>
      </c>
      <c r="AK40" s="21"/>
      <c r="AL40" s="21"/>
      <c r="AM40" s="21"/>
      <c r="AN40" s="21"/>
      <c r="AO40" s="21"/>
      <c r="AP40" s="21"/>
      <c r="AQ40" s="21"/>
      <c r="AR40" s="21"/>
      <c r="AS40" s="21"/>
      <c r="AT40" s="21"/>
      <c r="AU40" s="21"/>
    </row>
    <row r="41">
      <c r="AJ41" s="23" t="inlineStr">
        <is>
          <t xml:space="preserve">NC · Incidentes</t>
        </is>
      </c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21"/>
    </row>
    <row r="42">
      <c r="AJ42" s="23" t="inlineStr">
        <is>
          <t xml:space="preserve">NC · No show</t>
        </is>
      </c>
      <c r="AK42" s="21"/>
      <c r="AL42" s="21"/>
      <c r="AM42" s="21"/>
      <c r="AN42" s="21"/>
      <c r="AO42" s="21"/>
      <c r="AP42" s="21"/>
      <c r="AQ42" s="21"/>
      <c r="AR42" s="21"/>
      <c r="AS42" s="21"/>
      <c r="AT42" s="21"/>
      <c r="AU42" s="21"/>
    </row>
    <row r="43">
      <c r="AJ43" s="23" t="inlineStr">
        <is>
          <t xml:space="preserve">NC · Backlog</t>
        </is>
      </c>
      <c r="AK43" s="21"/>
      <c r="AL43" s="21"/>
      <c r="AM43" s="21"/>
      <c r="AN43" s="21"/>
      <c r="AO43" s="21"/>
      <c r="AP43" s="21"/>
      <c r="AQ43" s="21"/>
      <c r="AR43" s="21"/>
      <c r="AS43" s="21"/>
      <c r="AT43" s="21"/>
      <c r="AU43" s="21"/>
    </row>
    <row r="44">
      <c r="AJ44" s="20" t="inlineStr">
        <is>
          <t xml:space="preserve">OCUPAÇÃO (P.P) · Posições Disponíveis</t>
        </is>
      </c>
      <c r="AK44" s="21"/>
      <c r="AL44" s="21"/>
      <c r="AM44" s="21"/>
      <c r="AN44" s="21"/>
      <c r="AO44" s="21"/>
      <c r="AP44" s="21"/>
      <c r="AQ44" s="21"/>
      <c r="AR44" s="21"/>
      <c r="AS44" s="21"/>
      <c r="AT44" s="21"/>
      <c r="AU44" s="21"/>
    </row>
    <row r="45">
      <c r="AJ45" s="20" t="inlineStr">
        <is>
          <t xml:space="preserve">OCUPAÇÃO (P.P) · Posições Ocupadas</t>
        </is>
      </c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21"/>
    </row>
    <row r="46">
      <c r="AJ46" s="20" t="inlineStr">
        <is>
          <t xml:space="preserve">OCUPAÇÃO (P.P) · Taxa de Ocupação</t>
        </is>
      </c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</row>
    <row r="47">
      <c r="AJ47" s="25" t="inlineStr">
        <is>
          <t xml:space="preserve">GENTE · Efetivo Op.</t>
        </is>
      </c>
      <c r="AK47" s="21"/>
      <c r="AL47" s="21"/>
      <c r="AM47" s="21"/>
      <c r="AN47" s="21"/>
      <c r="AO47" s="21"/>
      <c r="AP47" s="21"/>
      <c r="AQ47" s="21"/>
      <c r="AR47" s="21"/>
      <c r="AS47" s="21"/>
      <c r="AT47" s="21"/>
      <c r="AU47" s="21"/>
    </row>
    <row r="48">
      <c r="AJ48" s="25" t="inlineStr">
        <is>
          <t xml:space="preserve">GENTE · Falta</t>
        </is>
      </c>
      <c r="AK48" s="21"/>
      <c r="AL48" s="21"/>
      <c r="AM48" s="21"/>
      <c r="AN48" s="21"/>
      <c r="AO48" s="21"/>
      <c r="AP48" s="21"/>
      <c r="AQ48" s="21"/>
      <c r="AR48" s="21"/>
      <c r="AS48" s="21"/>
      <c r="AT48" s="21"/>
      <c r="AU48" s="21"/>
    </row>
    <row r="49">
      <c r="AJ49" s="25" t="inlineStr">
        <is>
          <t xml:space="preserve">GENTE · Folga</t>
        </is>
      </c>
      <c r="AK49" s="21"/>
      <c r="AL49" s="21"/>
      <c r="AM49" s="21"/>
      <c r="AN49" s="21"/>
      <c r="AO49" s="21"/>
      <c r="AP49" s="21"/>
      <c r="AQ49" s="21"/>
      <c r="AR49" s="21"/>
      <c r="AS49" s="21"/>
      <c r="AT49" s="21"/>
      <c r="AU49" s="21"/>
    </row>
    <row r="50">
      <c r="AJ50" s="25" t="inlineStr">
        <is>
          <t xml:space="preserve">GENTE · Férias</t>
        </is>
      </c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21"/>
    </row>
    <row r="51">
      <c r="AJ51" s="25" t="inlineStr">
        <is>
          <t xml:space="preserve">GENTE · Desligamento</t>
        </is>
      </c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21"/>
    </row>
    <row r="52">
      <c r="AJ52" s="25" t="inlineStr">
        <is>
          <t xml:space="preserve">GENTE · Desvios Comportamentais</t>
        </is>
      </c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21"/>
    </row>
    <row r="53">
      <c r="AJ53" s="25" t="inlineStr">
        <is>
          <t xml:space="preserve">GENTE · Acidentes CAF</t>
        </is>
      </c>
      <c r="AK53" s="21"/>
      <c r="AL53" s="21"/>
      <c r="AM53" s="21"/>
      <c r="AN53" s="21"/>
      <c r="AO53" s="21"/>
      <c r="AP53" s="21"/>
      <c r="AQ53" s="21"/>
      <c r="AR53" s="21"/>
      <c r="AS53" s="21"/>
      <c r="AT53" s="21"/>
      <c r="AU53" s="21"/>
    </row>
    <row r="54">
      <c r="AJ54" s="25" t="inlineStr">
        <is>
          <t xml:space="preserve">GENTE · Acidentes SAF</t>
        </is>
      </c>
      <c r="AK54" s="21"/>
      <c r="AL54" s="21"/>
      <c r="AM54" s="21"/>
      <c r="AN54" s="21"/>
      <c r="AO54" s="21"/>
      <c r="AP54" s="21"/>
      <c r="AQ54" s="21"/>
      <c r="AR54" s="21"/>
      <c r="AS54" s="21"/>
      <c r="AT54" s="21"/>
      <c r="AU54" s="21"/>
    </row>
  </sheetData>
  <mergeCells count="6">
    <mergeCell ref="A1:B1"/>
    <mergeCell ref="C1:K1"/>
    <mergeCell ref="L1:T1"/>
    <mergeCell ref="U1:W1"/>
    <mergeCell ref="X1:Y1"/>
    <mergeCell ref="Z1:AG1"/>
  </mergeCells>
  <conditionalFormatting sqref="A3:B5001">
    <cfRule type="expression" dxfId="0" priority="1">
      <formula>AND($A3&lt;&gt;"",$B3&lt;&gt;"",COUNTIFS($A$3:$A$5001,$A3,$B$3:$B$5001,$B3)&gt;1)</formula>
    </cfRule>
  </conditionalFormatting>
  <conditionalFormatting sqref="A3:B5001">
    <cfRule type="expression" dxfId="1" priority="2">
      <formula>OR(AND($A3&lt;&gt;"",$B3=""),AND($A3="",$B3&lt;&gt;""))</formula>
    </cfRule>
  </conditionalFormatting>
  <conditionalFormatting sqref="Y3:Y5001">
    <cfRule type="expression" dxfId="2" priority="3">
      <formula>AND(ISNUMBER($X3),ISNUMBER($Y3),$Y3&gt;$X3)</formula>
    </cfRule>
  </conditionalFormatting>
  <conditionalFormatting sqref="C3:C5001">
    <cfRule type="expression" dxfId="5" priority="4">
      <formula>IFERROR(INDEX(Config!$B$75:$B$84,MATCH($B3,Config!$A$75:$A$84,0)),"Sim")="Não"</formula>
    </cfRule>
  </conditionalFormatting>
  <conditionalFormatting sqref="D3:D5001">
    <cfRule type="expression" dxfId="5" priority="5">
      <formula>IFERROR(INDEX(Config!$C$75:$C$84,MATCH($B3,Config!$A$75:$A$84,0)),"Sim")="Não"</formula>
    </cfRule>
  </conditionalFormatting>
  <conditionalFormatting sqref="E3:E5001">
    <cfRule type="expression" dxfId="5" priority="6">
      <formula>IFERROR(INDEX(Config!$D$75:$D$84,MATCH($B3,Config!$A$75:$A$84,0)),"Sim")="Não"</formula>
    </cfRule>
  </conditionalFormatting>
  <conditionalFormatting sqref="F3:F5001">
    <cfRule type="expression" dxfId="5" priority="7">
      <formula>IFERROR(INDEX(Config!$E$75:$E$84,MATCH($B3,Config!$A$75:$A$84,0)),"Sim")="Não"</formula>
    </cfRule>
  </conditionalFormatting>
  <conditionalFormatting sqref="G3:G5001">
    <cfRule type="expression" dxfId="5" priority="8">
      <formula>IFERROR(INDEX(Config!$F$75:$F$84,MATCH($B3,Config!$A$75:$A$84,0)),"Sim")="Não"</formula>
    </cfRule>
  </conditionalFormatting>
  <conditionalFormatting sqref="H3:H5001">
    <cfRule type="expression" dxfId="5" priority="9">
      <formula>IFERROR(INDEX(Config!$G$75:$G$84,MATCH($B3,Config!$A$75:$A$84,0)),"Sim")="Não"</formula>
    </cfRule>
  </conditionalFormatting>
  <conditionalFormatting sqref="I3:I5001">
    <cfRule type="expression" dxfId="5" priority="10">
      <formula>IFERROR(INDEX(Config!$H$75:$H$84,MATCH($B3,Config!$A$75:$A$84,0)),"Sim")="Não"</formula>
    </cfRule>
  </conditionalFormatting>
  <conditionalFormatting sqref="J3:J5001">
    <cfRule type="expression" dxfId="5" priority="11">
      <formula>IFERROR(INDEX(Config!$I$75:$I$84,MATCH($B3,Config!$A$75:$A$84,0)),"Sim")="Não"</formula>
    </cfRule>
  </conditionalFormatting>
  <conditionalFormatting sqref="K3:K5001">
    <cfRule type="expression" dxfId="5" priority="12">
      <formula>IFERROR(INDEX(Config!$J$75:$J$84,MATCH($B3,Config!$A$75:$A$84,0)),"Sim")="Não"</formula>
    </cfRule>
  </conditionalFormatting>
  <conditionalFormatting sqref="L3:L5001">
    <cfRule type="expression" dxfId="5" priority="13">
      <formula>IFERROR(INDEX(Config!$K$75:$K$84,MATCH($B3,Config!$A$75:$A$84,0)),"Sim")="Não"</formula>
    </cfRule>
  </conditionalFormatting>
  <conditionalFormatting sqref="M3:M5001">
    <cfRule type="expression" dxfId="5" priority="14">
      <formula>IFERROR(INDEX(Config!$L$75:$L$84,MATCH($B3,Config!$A$75:$A$84,0)),"Sim")="Não"</formula>
    </cfRule>
  </conditionalFormatting>
  <conditionalFormatting sqref="N3:N5001">
    <cfRule type="expression" dxfId="5" priority="15">
      <formula>IFERROR(INDEX(Config!$M$75:$M$84,MATCH($B3,Config!$A$75:$A$84,0)),"Sim")="Não"</formula>
    </cfRule>
  </conditionalFormatting>
  <conditionalFormatting sqref="O3:O5001">
    <cfRule type="expression" dxfId="5" priority="16">
      <formula>IFERROR(INDEX(Config!$N$75:$N$84,MATCH($B3,Config!$A$75:$A$84,0)),"Sim")="Não"</formula>
    </cfRule>
  </conditionalFormatting>
  <conditionalFormatting sqref="P3:P5001">
    <cfRule type="expression" dxfId="5" priority="17">
      <formula>IFERROR(INDEX(Config!$O$75:$O$84,MATCH($B3,Config!$A$75:$A$84,0)),"Sim")="Não"</formula>
    </cfRule>
  </conditionalFormatting>
  <conditionalFormatting sqref="Q3:Q5001">
    <cfRule type="expression" dxfId="5" priority="18">
      <formula>IFERROR(INDEX(Config!$P$75:$P$84,MATCH($B3,Config!$A$75:$A$84,0)),"Sim")="Não"</formula>
    </cfRule>
  </conditionalFormatting>
  <conditionalFormatting sqref="R3:R5001">
    <cfRule type="expression" dxfId="5" priority="19">
      <formula>IFERROR(INDEX(Config!$Q$75:$Q$84,MATCH($B3,Config!$A$75:$A$84,0)),"Sim")="Não"</formula>
    </cfRule>
  </conditionalFormatting>
  <conditionalFormatting sqref="S3:S5001">
    <cfRule type="expression" dxfId="5" priority="20">
      <formula>IFERROR(INDEX(Config!$R$75:$R$84,MATCH($B3,Config!$A$75:$A$84,0)),"Sim")="Não"</formula>
    </cfRule>
  </conditionalFormatting>
  <conditionalFormatting sqref="T3:T5001">
    <cfRule type="expression" dxfId="5" priority="21">
      <formula>IFERROR(INDEX(Config!$S$75:$S$84,MATCH($B3,Config!$A$75:$A$84,0)),"Sim")="Não"</formula>
    </cfRule>
  </conditionalFormatting>
  <conditionalFormatting sqref="U3:U5001">
    <cfRule type="expression" dxfId="5" priority="22">
      <formula>IFERROR(INDEX(Config!$T$75:$T$84,MATCH($B3,Config!$A$75:$A$84,0)),"Sim")="Não"</formula>
    </cfRule>
  </conditionalFormatting>
  <conditionalFormatting sqref="V3:V5001">
    <cfRule type="expression" dxfId="5" priority="23">
      <formula>IFERROR(INDEX(Config!$U$75:$U$84,MATCH($B3,Config!$A$75:$A$84,0)),"Sim")="Não"</formula>
    </cfRule>
  </conditionalFormatting>
  <conditionalFormatting sqref="W3:W5001">
    <cfRule type="expression" dxfId="5" priority="24">
      <formula>IFERROR(INDEX(Config!$V$75:$V$84,MATCH($B3,Config!$A$75:$A$84,0)),"Sim")="Não"</formula>
    </cfRule>
  </conditionalFormatting>
  <conditionalFormatting sqref="X3:X5001">
    <cfRule type="expression" dxfId="5" priority="25">
      <formula>IFERROR(INDEX(Config!$W$75:$W$84,MATCH($B3,Config!$A$75:$A$84,0)),"Sim")="Não"</formula>
    </cfRule>
  </conditionalFormatting>
  <conditionalFormatting sqref="Y3:Y5001">
    <cfRule type="expression" dxfId="5" priority="26">
      <formula>IFERROR(INDEX(Config!$X$75:$X$84,MATCH($B3,Config!$A$75:$A$84,0)),"Sim")="Não"</formula>
    </cfRule>
  </conditionalFormatting>
  <conditionalFormatting sqref="Z3:Z5001">
    <cfRule type="expression" dxfId="5" priority="27">
      <formula>IFERROR(INDEX(Config!$Y$75:$Y$84,MATCH($B3,Config!$A$75:$A$84,0)),"Sim")="Não"</formula>
    </cfRule>
  </conditionalFormatting>
  <conditionalFormatting sqref="AA3:AA5001">
    <cfRule type="expression" dxfId="5" priority="28">
      <formula>IFERROR(INDEX(Config!$Z$75:$Z$84,MATCH($B3,Config!$A$75:$A$84,0)),"Sim")="Não"</formula>
    </cfRule>
  </conditionalFormatting>
  <conditionalFormatting sqref="AB3:AB5001">
    <cfRule type="expression" dxfId="5" priority="29">
      <formula>IFERROR(INDEX(Config!$AA$75:$AA$84,MATCH($B3,Config!$A$75:$A$84,0)),"Sim")="Não"</formula>
    </cfRule>
  </conditionalFormatting>
  <conditionalFormatting sqref="AC3:AC5001">
    <cfRule type="expression" dxfId="5" priority="30">
      <formula>IFERROR(INDEX(Config!$AB$75:$AB$84,MATCH($B3,Config!$A$75:$A$84,0)),"Sim")="Não"</formula>
    </cfRule>
  </conditionalFormatting>
  <conditionalFormatting sqref="AD3:AD5001">
    <cfRule type="expression" dxfId="5" priority="31">
      <formula>IFERROR(INDEX(Config!$AC$75:$AC$84,MATCH($B3,Config!$A$75:$A$84,0)),"Sim")="Não"</formula>
    </cfRule>
  </conditionalFormatting>
  <conditionalFormatting sqref="AE3:AE5001">
    <cfRule type="expression" dxfId="5" priority="32">
      <formula>IFERROR(INDEX(Config!$AD$75:$AD$84,MATCH($B3,Config!$A$75:$A$84,0)),"Sim")="Não"</formula>
    </cfRule>
  </conditionalFormatting>
  <conditionalFormatting sqref="AF3:AF5001">
    <cfRule type="expression" dxfId="5" priority="33">
      <formula>IFERROR(INDEX(Config!$AE$75:$AE$84,MATCH($B3,Config!$A$75:$A$84,0)),"Sim")="Não"</formula>
    </cfRule>
  </conditionalFormatting>
  <conditionalFormatting sqref="AG3:AG5001">
    <cfRule type="expression" dxfId="5" priority="34">
      <formula>IFERROR(INDEX(Config!$AF$75:$AF$84,MATCH($B3,Config!$A$75:$A$84,0)),"Sim")="Não"</formula>
    </cfRule>
  </conditionalFormatting>
  <dataValidations count="35">
    <dataValidation type="date" operator="greaterThanOrEqual" allowBlank="1" showInputMessage="1" showErrorMessage="1" promptTitle="Data" prompt="dd/mm/aaaa" errorTitle="Valor inválido" error="Digite uma data válida (dd/mm/aaaa)." sqref="A3:A5001">
      <formula1>43831</formula1>
    </dataValidation>
    <dataValidation type="list" allowBlank="1" showInputMessage="1" showErrorMessage="1" promptTitle="Cliente" prompt="Escolha na lista." errorTitle="Valor inválido" error="Escolha um cliente da lista." sqref="B3:B5001">
      <formula1>calculos!$AO$13:$AO$22</formula1>
    </dataValidation>
    <dataValidation type="list" allowBlank="1" showInputMessage="1" showErrorMessage="1" promptTitle="Modalidade" prompt="Contrato, Spot ou Cross." errorTitle="Valor inválido" error="Escolha um valor da lista." sqref="AH3:AH5001">
      <formula1>"Contrato,Spot,Cross"</formula1>
    </dataValidation>
    <dataValidation type="decimal" operator="greaterThanOrEqual" allowBlank="1" showInputMessage="0" showErrorMessage="1" errorTitle="Valor inválido" error="Meta: use 0 ou um número maior." sqref="AK23:AU54">
      <formula1>0</formula1>
    </dataValidation>
    <dataValidation type="custom" allowBlank="1" showInputMessage="0" showErrorMessage="1" errorTitle="Não se aplica / valor inválido" error="Esta coluna não se aplica a este cliente (aba Config) ou o valor é inválido. Use 0 ou um número maior." sqref="C3:C5001">
      <formula1>AND(IFERROR(INDEX(Config!$B$75:$B$84,MATCH($B3,Config!$A$75:$A$84,0)),"Sim")&lt;&gt;"Não",ISNUMBER(C3),C3&gt;=0)</formula1>
    </dataValidation>
    <dataValidation type="custom" allowBlank="1" showInputMessage="0" showErrorMessage="1" errorTitle="Não se aplica / valor inválido" error="Esta coluna não se aplica a este cliente (aba Config) ou o valor é inválido. Use 0 ou um número maior." sqref="D3:D5001">
      <formula1>AND(IFERROR(INDEX(Config!$C$75:$C$84,MATCH($B3,Config!$A$75:$A$84,0)),"Sim")&lt;&gt;"Não",ISNUMBER(D3),D3&gt;=0)</formula1>
    </dataValidation>
    <dataValidation type="custom" allowBlank="1" showInputMessage="0" showErrorMessage="1" errorTitle="Não se aplica / valor inválido" error="Esta coluna não se aplica a este cliente (aba Config) ou o valor é inválido. Use 0 ou um número maior." sqref="E3:E5001">
      <formula1>AND(IFERROR(INDEX(Config!$D$75:$D$84,MATCH($B3,Config!$A$75:$A$84,0)),"Sim")&lt;&gt;"Não",ISNUMBER(E3),E3&gt;=0)</formula1>
    </dataValidation>
    <dataValidation type="custom" allowBlank="1" showInputMessage="0" showErrorMessage="1" errorTitle="Não se aplica / valor inválido" error="Esta coluna não se aplica a este cliente (aba Config) ou o valor é inválido. Use 0 ou um número maior." sqref="F3:F5001">
      <formula1>AND(IFERROR(INDEX(Config!$E$75:$E$84,MATCH($B3,Config!$A$75:$A$84,0)),"Sim")&lt;&gt;"Não",ISNUMBER(F3),F3&gt;=0)</formula1>
    </dataValidation>
    <dataValidation type="custom" allowBlank="1" showInputMessage="0" showErrorMessage="1" errorTitle="Não se aplica / valor inválido" error="Esta coluna não se aplica a este cliente (aba Config) ou o valor é inválido. Use 0 ou um número maior." sqref="G3:G5001">
      <formula1>AND(IFERROR(INDEX(Config!$F$75:$F$84,MATCH($B3,Config!$A$75:$A$84,0)),"Sim")&lt;&gt;"Não",ISNUMBER(G3),G3&gt;=0)</formula1>
    </dataValidation>
    <dataValidation type="custom" allowBlank="1" showInputMessage="0" showErrorMessage="1" errorTitle="Não se aplica / valor inválido" error="Esta coluna não se aplica a este cliente (aba Config) ou o valor é inválido. Use 0 ou um número maior." sqref="H3:H5001">
      <formula1>AND(IFERROR(INDEX(Config!$G$75:$G$84,MATCH($B3,Config!$A$75:$A$84,0)),"Sim")&lt;&gt;"Não",ISNUMBER(H3),H3&gt;=0)</formula1>
    </dataValidation>
    <dataValidation type="custom" allowBlank="1" showInputMessage="0" showErrorMessage="1" errorTitle="Não se aplica / valor inválido" error="Esta coluna não se aplica a este cliente (aba Config) ou o valor é inválido. Use 0 ou um número maior." sqref="I3:I5001">
      <formula1>AND(IFERROR(INDEX(Config!$H$75:$H$84,MATCH($B3,Config!$A$75:$A$84,0)),"Sim")&lt;&gt;"Não",ISNUMBER(I3),I3&gt;=0)</formula1>
    </dataValidation>
    <dataValidation type="custom" allowBlank="1" showInputMessage="0" showErrorMessage="1" errorTitle="Não se aplica / valor inválido" error="Esta coluna não se aplica a este cliente (aba Config) ou o valor é inválido. Use 0 ou um número maior." sqref="J3:J5001">
      <formula1>AND(IFERROR(INDEX(Config!$I$75:$I$84,MATCH($B3,Config!$A$75:$A$84,0)),"Sim")&lt;&gt;"Não",ISNUMBER(J3),J3&gt;=0)</formula1>
    </dataValidation>
    <dataValidation type="custom" allowBlank="1" showInputMessage="0" showErrorMessage="1" errorTitle="Não se aplica / valor inválido" error="Esta coluna não se aplica a este cliente (aba Config) ou o valor é inválido. Use 0 ou um número maior." sqref="K3:K5001">
      <formula1>AND(IFERROR(INDEX(Config!$J$75:$J$84,MATCH($B3,Config!$A$75:$A$84,0)),"Sim")&lt;&gt;"Não",ISNUMBER(K3),K3&gt;=0)</formula1>
    </dataValidation>
    <dataValidation type="custom" allowBlank="1" showInputMessage="0" showErrorMessage="1" errorTitle="Não se aplica / valor inválido" error="Esta coluna não se aplica a este cliente (aba Config) ou o valor é inválido. Use 0 ou um número maior." sqref="L3:L5001">
      <formula1>AND(IFERROR(INDEX(Config!$K$75:$K$84,MATCH($B3,Config!$A$75:$A$84,0)),"Sim")&lt;&gt;"Não",ISNUMBER(L3),L3&gt;=0)</formula1>
    </dataValidation>
    <dataValidation type="custom" allowBlank="1" showInputMessage="0" showErrorMessage="1" errorTitle="Não se aplica / valor inválido" error="Esta coluna não se aplica a este cliente (aba Config) ou o valor é inválido. Use 0 ou um número maior." sqref="M3:M5001">
      <formula1>AND(IFERROR(INDEX(Config!$L$75:$L$84,MATCH($B3,Config!$A$75:$A$84,0)),"Sim")&lt;&gt;"Não",ISNUMBER(M3),M3&gt;=0)</formula1>
    </dataValidation>
    <dataValidation type="custom" allowBlank="1" showInputMessage="0" showErrorMessage="1" errorTitle="Não se aplica / valor inválido" error="Esta coluna não se aplica a este cliente (aba Config) ou o valor é inválido. Use 0 ou um número maior." sqref="N3:N5001">
      <formula1>AND(IFERROR(INDEX(Config!$M$75:$M$84,MATCH($B3,Config!$A$75:$A$84,0)),"Sim")&lt;&gt;"Não",ISNUMBER(N3),N3&gt;=0)</formula1>
    </dataValidation>
    <dataValidation type="custom" allowBlank="1" showInputMessage="0" showErrorMessage="1" errorTitle="Não se aplica / valor inválido" error="Esta coluna não se aplica a este cliente (aba Config) ou o valor é inválido. Use 0 ou um número maior." sqref="O3:O5001">
      <formula1>AND(IFERROR(INDEX(Config!$N$75:$N$84,MATCH($B3,Config!$A$75:$A$84,0)),"Sim")&lt;&gt;"Não",ISNUMBER(O3),O3&gt;=0)</formula1>
    </dataValidation>
    <dataValidation type="custom" allowBlank="1" showInputMessage="0" showErrorMessage="1" errorTitle="Não se aplica / valor inválido" error="Esta coluna não se aplica a este cliente (aba Config) ou o valor é inválido. Use 0 ou um número maior." sqref="P3:P5001">
      <formula1>AND(IFERROR(INDEX(Config!$O$75:$O$84,MATCH($B3,Config!$A$75:$A$84,0)),"Sim")&lt;&gt;"Não",ISNUMBER(P3),P3&gt;=0)</formula1>
    </dataValidation>
    <dataValidation type="custom" allowBlank="1" showInputMessage="0" showErrorMessage="1" errorTitle="Não se aplica / valor inválido" error="Esta coluna não se aplica a este cliente (aba Config) ou o valor é inválido. Use 0 ou um número maior." sqref="Q3:Q5001">
      <formula1>AND(IFERROR(INDEX(Config!$P$75:$P$84,MATCH($B3,Config!$A$75:$A$84,0)),"Sim")&lt;&gt;"Não",ISNUMBER(Q3),Q3&gt;=0)</formula1>
    </dataValidation>
    <dataValidation type="custom" allowBlank="1" showInputMessage="0" showErrorMessage="1" errorTitle="Não se aplica / valor inválido" error="Esta coluna não se aplica a este cliente (aba Config) ou o valor é inválido. Use 0 ou um número maior." sqref="R3:R5001">
      <formula1>AND(IFERROR(INDEX(Config!$Q$75:$Q$84,MATCH($B3,Config!$A$75:$A$84,0)),"Sim")&lt;&gt;"Não",ISNUMBER(R3),R3&gt;=0)</formula1>
    </dataValidation>
    <dataValidation type="custom" allowBlank="1" showInputMessage="0" showErrorMessage="1" errorTitle="Não se aplica / valor inválido" error="Esta coluna não se aplica a este cliente (aba Config) ou o valor é inválido. Use 0 ou um número maior." sqref="S3:S5001">
      <formula1>AND(IFERROR(INDEX(Config!$R$75:$R$84,MATCH($B3,Config!$A$75:$A$84,0)),"Sim")&lt;&gt;"Não",ISNUMBER(S3),S3&gt;=0)</formula1>
    </dataValidation>
    <dataValidation type="custom" allowBlank="1" showInputMessage="0" showErrorMessage="1" errorTitle="Não se aplica / valor inválido" error="Esta coluna não se aplica a este cliente (aba Config) ou o valor é inválido. Use 0 ou um número maior." sqref="T3:T5001">
      <formula1>AND(IFERROR(INDEX(Config!$S$75:$S$84,MATCH($B3,Config!$A$75:$A$84,0)),"Sim")&lt;&gt;"Não",ISNUMBER(T3),T3&gt;=0)</formula1>
    </dataValidation>
    <dataValidation type="custom" allowBlank="1" showInputMessage="0" showErrorMessage="1" errorTitle="Não se aplica / valor inválido" error="Esta coluna não se aplica a este cliente (aba Config) ou o valor é inválido. Use 0 ou um número maior." sqref="U3:U5001">
      <formula1>AND(IFERROR(INDEX(Config!$T$75:$T$84,MATCH($B3,Config!$A$75:$A$84,0)),"Sim")&lt;&gt;"Não",ISNUMBER(U3),U3&gt;=0)</formula1>
    </dataValidation>
    <dataValidation type="custom" allowBlank="1" showInputMessage="0" showErrorMessage="1" errorTitle="Não se aplica / valor inválido" error="Esta coluna não se aplica a este cliente (aba Config) ou o valor é inválido. Use 0 ou um número maior." sqref="V3:V5001">
      <formula1>AND(IFERROR(INDEX(Config!$U$75:$U$84,MATCH($B3,Config!$A$75:$A$84,0)),"Sim")&lt;&gt;"Não",ISNUMBER(V3),V3&gt;=0)</formula1>
    </dataValidation>
    <dataValidation type="custom" allowBlank="1" showInputMessage="0" showErrorMessage="1" errorTitle="Não se aplica / valor inválido" error="Esta coluna não se aplica a este cliente (aba Config) ou o valor é inválido. Use 0 ou um número maior." sqref="W3:W5001">
      <formula1>AND(IFERROR(INDEX(Config!$V$75:$V$84,MATCH($B3,Config!$A$75:$A$84,0)),"Sim")&lt;&gt;"Não",ISNUMBER(W3),W3&gt;=0)</formula1>
    </dataValidation>
    <dataValidation type="custom" allowBlank="1" showInputMessage="0" showErrorMessage="1" errorTitle="Não se aplica / valor inválido" error="Esta coluna não se aplica a este cliente (aba Config) ou o valor é inválido. Use 0 ou um número maior." sqref="X3:X5001">
      <formula1>AND(IFERROR(INDEX(Config!$W$75:$W$84,MATCH($B3,Config!$A$75:$A$84,0)),"Sim")&lt;&gt;"Não",ISNUMBER(X3),X3&gt;=0)</formula1>
    </dataValidation>
    <dataValidation type="custom" allowBlank="1" showInputMessage="0" showErrorMessage="1" errorTitle="Não se aplica / valor inválido" error="Esta coluna não se aplica a este cliente (aba Config) ou o valor é inválido. Use 0 ou um número maior." sqref="Y3:Y5001">
      <formula1>AND(IFERROR(INDEX(Config!$X$75:$X$84,MATCH($B3,Config!$A$75:$A$84,0)),"Sim")&lt;&gt;"Não",ISNUMBER(Y3),Y3&gt;=0)</formula1>
    </dataValidation>
    <dataValidation type="custom" allowBlank="1" showInputMessage="0" showErrorMessage="1" errorTitle="Não se aplica / valor inválido" error="Esta coluna não se aplica a este cliente (aba Config) ou o valor é inválido. Use 0 ou um número maior." sqref="Z3:Z5001">
      <formula1>AND(IFERROR(INDEX(Config!$Y$75:$Y$84,MATCH($B3,Config!$A$75:$A$84,0)),"Sim")&lt;&gt;"Não",ISNUMBER(Z3),Z3&gt;=0)</formula1>
    </dataValidation>
    <dataValidation type="custom" allowBlank="1" showInputMessage="0" showErrorMessage="1" errorTitle="Não se aplica / valor inválido" error="Esta coluna não se aplica a este cliente (aba Config) ou o valor é inválido. Use 0 ou um número maior." sqref="AA3:AA5001">
      <formula1>AND(IFERROR(INDEX(Config!$Z$75:$Z$84,MATCH($B3,Config!$A$75:$A$84,0)),"Sim")&lt;&gt;"Não",ISNUMBER(AA3),AA3&gt;=0)</formula1>
    </dataValidation>
    <dataValidation type="custom" allowBlank="1" showInputMessage="0" showErrorMessage="1" errorTitle="Não se aplica / valor inválido" error="Esta coluna não se aplica a este cliente (aba Config) ou o valor é inválido. Use 0 ou um número maior." sqref="AB3:AB5001">
      <formula1>AND(IFERROR(INDEX(Config!$AA$75:$AA$84,MATCH($B3,Config!$A$75:$A$84,0)),"Sim")&lt;&gt;"Não",ISNUMBER(AB3),AB3&gt;=0)</formula1>
    </dataValidation>
    <dataValidation type="custom" allowBlank="1" showInputMessage="0" showErrorMessage="1" errorTitle="Não se aplica / valor inválido" error="Esta coluna não se aplica a este cliente (aba Config) ou o valor é inválido. Use 0 ou um número maior." sqref="AC3:AC5001">
      <formula1>AND(IFERROR(INDEX(Config!$AB$75:$AB$84,MATCH($B3,Config!$A$75:$A$84,0)),"Sim")&lt;&gt;"Não",ISNUMBER(AC3),AC3&gt;=0)</formula1>
    </dataValidation>
    <dataValidation type="custom" allowBlank="1" showInputMessage="0" showErrorMessage="1" errorTitle="Não se aplica / valor inválido" error="Esta coluna não se aplica a este cliente (aba Config) ou o valor é inválido. Use 0 ou um número maior." sqref="AD3:AD5001">
      <formula1>AND(IFERROR(INDEX(Config!$AC$75:$AC$84,MATCH($B3,Config!$A$75:$A$84,0)),"Sim")&lt;&gt;"Não",ISNUMBER(AD3),AD3&gt;=0)</formula1>
    </dataValidation>
    <dataValidation type="custom" allowBlank="1" showInputMessage="0" showErrorMessage="1" errorTitle="Não se aplica / valor inválido" error="Esta coluna não se aplica a este cliente (aba Config) ou o valor é inválido. Use 0 ou um número maior." sqref="AE3:AE5001">
      <formula1>AND(IFERROR(INDEX(Config!$AD$75:$AD$84,MATCH($B3,Config!$A$75:$A$84,0)),"Sim")&lt;&gt;"Não",ISNUMBER(AE3),AE3&gt;=0)</formula1>
    </dataValidation>
    <dataValidation type="custom" allowBlank="1" showInputMessage="0" showErrorMessage="1" errorTitle="Não se aplica / valor inválido" error="Esta coluna não se aplica a este cliente (aba Config) ou o valor é inválido. Use 0 ou um número maior." sqref="AF3:AF5001">
      <formula1>AND(IFERROR(INDEX(Config!$AE$75:$AE$84,MATCH($B3,Config!$A$75:$A$84,0)),"Sim")&lt;&gt;"Não",ISNUMBER(AF3),AF3&gt;=0)</formula1>
    </dataValidation>
    <dataValidation type="custom" allowBlank="1" showInputMessage="0" showErrorMessage="1" errorTitle="Não se aplica / valor inválido" error="Esta coluna não se aplica a este cliente (aba Config) ou o valor é inválido. Use 0 ou um número maior." sqref="AG3:AG5001">
      <formula1>AND(IFERROR(INDEX(Config!$AF$75:$AF$84,MATCH($B3,Config!$A$75:$A$84,0)),"Sim")&lt;&gt;"Não",ISNUMBER(AG3),AG3&gt;=0)</formula1>
    </dataValidation>
  </dataValidations>
  <pageMargins left="0.25" right="0.25" top="0.4" bottom="0.4" header="0.2" footer="0.2"/>
  <pageSetup paperSize="9" orientation="landscape" fitToWidth="1" fitToHeight="0"/>
  <tableParts count="1">
    <tablePart r:id="rIdT1"/>
  </tableParts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E01E1E"/>
    <pageSetUpPr fitToPage="1"/>
  </sheetPr>
  <dimension ref="A1:AF84"/>
  <sheetViews>
    <sheetView showGridLines="0" zoomScale="100" zoomScaleNormal="100" workbookViewId="0">
      <pane ySplit="4" topLeftCell="A5" activePane="bottomLeft" state="frozen"/>
      <selection pane="bottomLeft" activeCell="A5" sqref="A5"/>
    </sheetView>
  </sheetViews>
  <sheetFormatPr defaultRowHeight="15"/>
  <cols>
    <col min="1" max="1" width="34" customWidth="1"/>
    <col min="2" max="2" width="13" customWidth="1"/>
    <col min="3" max="3" width="27" customWidth="1"/>
    <col min="4" max="4" width="27" customWidth="1"/>
    <col min="5" max="5" width="27" customWidth="1"/>
    <col min="6" max="6" width="13" customWidth="1"/>
    <col min="7" max="7" width="27" customWidth="1"/>
    <col min="8" max="8" width="27" customWidth="1"/>
    <col min="9" max="9" width="27" customWidth="1"/>
    <col min="10" max="10" width="14" customWidth="1"/>
    <col min="11" max="11" width="27" customWidth="1"/>
    <col min="12" max="12" width="27" customWidth="1"/>
    <col min="13" max="13" width="34" customWidth="1"/>
    <col min="14" max="14" width="34" customWidth="1"/>
    <col min="15" max="15" width="27" customWidth="1"/>
    <col min="16" max="16" width="27" customWidth="1"/>
    <col min="17" max="17" width="34" customWidth="1"/>
    <col min="18" max="18" width="34" customWidth="1"/>
    <col min="19" max="19" width="3" customWidth="1"/>
    <col min="20" max="20" width="32" customWidth="1"/>
    <col min="21" max="21" width="30" customWidth="1"/>
    <col min="22" max="22" width="9" customWidth="1"/>
    <col min="23" max="23" width="9" customWidth="1"/>
    <col min="24" max="24" width="9" customWidth="1"/>
    <col min="25" max="25" width="9" customWidth="1"/>
    <col min="26" max="26" width="9" customWidth="1"/>
  </cols>
  <sheetData>
    <row r="1" ht="30" customHeight="1">
      <c r="A1" s="65" t="inlineStr">
        <is>
          <t xml:space="preserve">CONFIG · O QUE CADA CLIENTE MOSTRA NO DASHBOARD</t>
        </is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7"/>
    </row>
    <row r="2" ht="18" customHeight="1">
      <c r="A2" s="68" t="inlineStr">
        <is>
          <t xml:space="preserve">Escolha nas listas (setinha da célula) os indicadores de cada cliente. Linha 1 = 1ª linha de apoio do card; linha 2 (a) e (b) = 2ª linha (juntas). "por veículo" = volume ÷ veículos. CARD = "Não se aplica" esconde o card do cliente · Ocupação "Só ocupadas" mostra só as posições ocupadas (sem contratada e taxa). Vazio = nada. O Dashboard se atualiza na hora; não precisa gerar o arquivo de novo.</t>
        </is>
      </c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</row>
    <row r="3" ht="18" customHeight="1">
      <c r="A3" s="68"/>
      <c r="B3" s="68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</row>
    <row r="4">
      <c r="T4" s="70" t="inlineStr">
        <is>
          <t xml:space="preserve">CATÁLOGO DE INDICADORES — rótulo e casas podem ser editados; colunas cinza são técnicas (não alterar)</t>
        </is>
      </c>
    </row>
    <row r="5" ht="32" customHeight="1">
      <c r="A5" s="16" t="inlineStr">
        <is>
          <t xml:space="preserve">CLIENTE / FILTRO</t>
        </is>
      </c>
      <c r="B5" s="16" t="inlineStr">
        <is>
          <t xml:space="preserve">CARD IN</t>
        </is>
      </c>
      <c r="C5" s="16" t="inlineStr">
        <is>
          <t xml:space="preserve">IN · linha 1</t>
        </is>
      </c>
      <c r="D5" s="16" t="inlineStr">
        <is>
          <t xml:space="preserve">IN · linha 2 (a)</t>
        </is>
      </c>
      <c r="E5" s="16" t="inlineStr">
        <is>
          <t xml:space="preserve">IN · linha 2 (b)</t>
        </is>
      </c>
      <c r="F5" s="16" t="inlineStr">
        <is>
          <t xml:space="preserve">CARD OUT</t>
        </is>
      </c>
      <c r="G5" s="16" t="inlineStr">
        <is>
          <t xml:space="preserve">OUT · linha 1</t>
        </is>
      </c>
      <c r="H5" s="16" t="inlineStr">
        <is>
          <t xml:space="preserve">OUT · linha 2 (a)</t>
        </is>
      </c>
      <c r="I5" s="16" t="inlineStr">
        <is>
          <t xml:space="preserve">OUT · linha 2 (b)</t>
        </is>
      </c>
      <c r="J5" s="16" t="inlineStr">
        <is>
          <t xml:space="preserve">CARD OCUPAÇÃO</t>
        </is>
      </c>
      <c r="K5" s="16" t="inlineStr">
        <is>
          <t xml:space="preserve">GRÁFICO 2 · IN</t>
        </is>
      </c>
      <c r="L5" s="16" t="inlineStr">
        <is>
          <t xml:space="preserve">GRÁFICO 2 · OUT</t>
        </is>
      </c>
      <c r="M5" s="16" t="inlineStr">
        <is>
          <t xml:space="preserve">GRÁFICO 2 · título diário</t>
        </is>
      </c>
      <c r="N5" s="16" t="inlineStr">
        <is>
          <t xml:space="preserve">GRÁFICO 2 · título semanal</t>
        </is>
      </c>
      <c r="O5" s="16" t="inlineStr">
        <is>
          <t xml:space="preserve">GRÁFICO 3 · IN</t>
        </is>
      </c>
      <c r="P5" s="16" t="inlineStr">
        <is>
          <t xml:space="preserve">GRÁFICO 3 · OUT</t>
        </is>
      </c>
      <c r="Q5" s="16" t="inlineStr">
        <is>
          <t xml:space="preserve">GRÁFICO 3 · título diário</t>
        </is>
      </c>
      <c r="R5" s="16" t="inlineStr">
        <is>
          <t xml:space="preserve">GRÁFICO 3 · título semanal</t>
        </is>
      </c>
      <c r="T5" s="16" t="inlineStr">
        <is>
          <t xml:space="preserve">INDICADOR (nome da lista)</t>
        </is>
      </c>
      <c r="U5" s="16" t="inlineStr">
        <is>
          <t xml:space="preserve">Rótulo no card</t>
        </is>
      </c>
      <c r="V5" s="16" t="inlineStr">
        <is>
          <t xml:space="preserve">Casas decimais</t>
        </is>
      </c>
      <c r="W5" s="69" t="inlineStr">
        <is>
          <t xml:space="preserve">Linha no período</t>
        </is>
      </c>
      <c r="X5" s="69" t="inlineStr">
        <is>
          <t xml:space="preserve">Coluna na série</t>
        </is>
      </c>
      <c r="Y5" s="69" t="inlineStr">
        <is>
          <t xml:space="preserve">Linha divisor</t>
        </is>
      </c>
      <c r="Z5" s="69" t="inlineStr">
        <is>
          <t xml:space="preserve">Coluna divisor</t>
        </is>
      </c>
    </row>
    <row r="6">
      <c r="A6" s="74" t="inlineStr">
        <is>
          <t xml:space="preserve">Todos</t>
        </is>
      </c>
      <c r="B6" s="75" t="inlineStr">
        <is>
          <t xml:space="preserve">Sim</t>
        </is>
      </c>
      <c r="C6" s="75" t="inlineStr">
        <is>
          <t xml:space="preserve">Pallets Movimentados IN</t>
        </is>
      </c>
      <c r="D6" s="75" t="inlineStr">
        <is>
          <t xml:space="preserve">Toneladas Movimentadas IN</t>
        </is>
      </c>
      <c r="E6" s="75"/>
      <c r="F6" s="75" t="inlineStr">
        <is>
          <t xml:space="preserve">Sim</t>
        </is>
      </c>
      <c r="G6" s="75" t="inlineStr">
        <is>
          <t xml:space="preserve">Pallets Movimentados OUT</t>
        </is>
      </c>
      <c r="H6" s="75" t="inlineStr">
        <is>
          <t xml:space="preserve">Toneladas Movimentadas OUT</t>
        </is>
      </c>
      <c r="I6" s="75"/>
      <c r="J6" s="75" t="inlineStr">
        <is>
          <t xml:space="preserve">Completo</t>
        </is>
      </c>
      <c r="K6" s="75" t="inlineStr">
        <is>
          <t xml:space="preserve">Pallets Movimentados IN</t>
        </is>
      </c>
      <c r="L6" s="75" t="inlineStr">
        <is>
          <t xml:space="preserve">Pallets Movimentados OUT</t>
        </is>
      </c>
      <c r="M6" s="75" t="inlineStr">
        <is>
          <t xml:space="preserve">MOVIMENTAÇÃO PALETES/DIA</t>
        </is>
      </c>
      <c r="N6" s="75" t="inlineStr">
        <is>
          <t xml:space="preserve">ACUMULADO SEMANAL PALETES</t>
        </is>
      </c>
      <c r="O6" s="75" t="inlineStr">
        <is>
          <t xml:space="preserve">Toneladas Movimentadas IN</t>
        </is>
      </c>
      <c r="P6" s="75" t="inlineStr">
        <is>
          <t xml:space="preserve">Toneladas Movimentadas OUT</t>
        </is>
      </c>
      <c r="Q6" s="75" t="inlineStr">
        <is>
          <t xml:space="preserve">MOVIMENTAÇÃO TONS/DIA</t>
        </is>
      </c>
      <c r="R6" s="75" t="inlineStr">
        <is>
          <t xml:space="preserve">ACUMULADO SEMANAL TONS</t>
        </is>
      </c>
      <c r="T6" s="38" t="inlineStr">
        <is>
          <t xml:space="preserve">Pallets Movimentados IN</t>
        </is>
      </c>
      <c r="U6" s="71" t="inlineStr">
        <is>
          <t xml:space="preserve">pallets movimentados</t>
        </is>
      </c>
      <c r="V6" s="72">
        <v>0</v>
      </c>
      <c r="W6" s="73">
        <v>2</v>
      </c>
      <c r="X6" s="73">
        <v>2</v>
      </c>
      <c r="Y6" s="73">
        <v>0</v>
      </c>
      <c r="Z6" s="73">
        <v>0</v>
      </c>
    </row>
    <row r="7">
      <c r="A7" s="76" t="inlineStr">
        <is>
          <t xml:space="preserve">Alpargatas</t>
        </is>
      </c>
      <c r="B7" s="75" t="inlineStr">
        <is>
          <t xml:space="preserve">Sim</t>
        </is>
      </c>
      <c r="C7" s="75" t="inlineStr">
        <is>
          <t xml:space="preserve">Caixas Movimentadas IN</t>
        </is>
      </c>
      <c r="D7" s="75" t="inlineStr">
        <is>
          <t xml:space="preserve">Caixas Movimentadas IN por veículo</t>
        </is>
      </c>
      <c r="E7" s="75"/>
      <c r="F7" s="75" t="inlineStr">
        <is>
          <t xml:space="preserve">Sim</t>
        </is>
      </c>
      <c r="G7" s="75" t="inlineStr">
        <is>
          <t xml:space="preserve">Caixas Expedidas OUT</t>
        </is>
      </c>
      <c r="H7" s="75" t="inlineStr">
        <is>
          <t xml:space="preserve">Caixas Expedidas OUT por veículo</t>
        </is>
      </c>
      <c r="I7" s="75"/>
      <c r="J7" s="75" t="inlineStr">
        <is>
          <t xml:space="preserve">Completo</t>
        </is>
      </c>
      <c r="K7" s="75" t="inlineStr">
        <is>
          <t xml:space="preserve">Caixas Movimentadas IN</t>
        </is>
      </c>
      <c r="L7" s="75" t="inlineStr">
        <is>
          <t xml:space="preserve">Caixas Expedidas OUT</t>
        </is>
      </c>
      <c r="M7" s="75" t="inlineStr">
        <is>
          <t xml:space="preserve">MOVIMENTAÇÃO CAIXAS/DIA</t>
        </is>
      </c>
      <c r="N7" s="75" t="inlineStr">
        <is>
          <t xml:space="preserve">ACUMULADO SEMANAL CAIXAS</t>
        </is>
      </c>
      <c r="O7" s="75" t="inlineStr">
        <is>
          <t xml:space="preserve">Caixas Movimentadas IN por veículo</t>
        </is>
      </c>
      <c r="P7" s="75" t="inlineStr">
        <is>
          <t xml:space="preserve">Caixas Expedidas OUT por veículo</t>
        </is>
      </c>
      <c r="Q7" s="75" t="inlineStr">
        <is>
          <t xml:space="preserve">CAIXAS POR VEÍCULO/DIA</t>
        </is>
      </c>
      <c r="R7" s="75" t="inlineStr">
        <is>
          <t xml:space="preserve">MÉDIA SEMANAL CAIXAS POR VEÍCULO</t>
        </is>
      </c>
      <c r="T7" s="38" t="inlineStr">
        <is>
          <t xml:space="preserve">Pallets Movimentados IN por veículo</t>
        </is>
      </c>
      <c r="U7" s="71" t="inlineStr">
        <is>
          <t xml:space="preserve">pallets movimentados por veículo</t>
        </is>
      </c>
      <c r="V7" s="72">
        <v>1</v>
      </c>
      <c r="W7" s="73">
        <v>2</v>
      </c>
      <c r="X7" s="73">
        <v>2</v>
      </c>
      <c r="Y7" s="73">
        <v>1</v>
      </c>
      <c r="Z7" s="73">
        <v>1</v>
      </c>
    </row>
    <row r="8">
      <c r="A8" s="74" t="inlineStr">
        <is>
          <t xml:space="preserve">Basf</t>
        </is>
      </c>
      <c r="B8" s="75" t="inlineStr">
        <is>
          <t xml:space="preserve">Sim</t>
        </is>
      </c>
      <c r="C8" s="75" t="inlineStr">
        <is>
          <t xml:space="preserve">Pallets Movimentados IN</t>
        </is>
      </c>
      <c r="D8" s="75" t="inlineStr">
        <is>
          <t xml:space="preserve">Toneladas Movimentadas IN</t>
        </is>
      </c>
      <c r="E8" s="75"/>
      <c r="F8" s="75" t="inlineStr">
        <is>
          <t xml:space="preserve">Sim</t>
        </is>
      </c>
      <c r="G8" s="75" t="inlineStr">
        <is>
          <t xml:space="preserve">Pallets Movimentados OUT</t>
        </is>
      </c>
      <c r="H8" s="75" t="inlineStr">
        <is>
          <t xml:space="preserve">Toneladas Movimentadas OUT</t>
        </is>
      </c>
      <c r="I8" s="75"/>
      <c r="J8" s="75" t="inlineStr">
        <is>
          <t xml:space="preserve">Completo</t>
        </is>
      </c>
      <c r="K8" s="75" t="inlineStr">
        <is>
          <t xml:space="preserve">Pallets Movimentados IN</t>
        </is>
      </c>
      <c r="L8" s="75" t="inlineStr">
        <is>
          <t xml:space="preserve">Pallets Movimentados OUT</t>
        </is>
      </c>
      <c r="M8" s="75" t="inlineStr">
        <is>
          <t xml:space="preserve">MOVIMENTAÇÃO PALETES/DIA</t>
        </is>
      </c>
      <c r="N8" s="75" t="inlineStr">
        <is>
          <t xml:space="preserve">ACUMULADO SEMANAL PALETES</t>
        </is>
      </c>
      <c r="O8" s="75" t="inlineStr">
        <is>
          <t xml:space="preserve">Toneladas Movimentadas IN</t>
        </is>
      </c>
      <c r="P8" s="75" t="inlineStr">
        <is>
          <t xml:space="preserve">Toneladas Movimentadas OUT</t>
        </is>
      </c>
      <c r="Q8" s="75" t="inlineStr">
        <is>
          <t xml:space="preserve">MOVIMENTAÇÃO TONS/DIA</t>
        </is>
      </c>
      <c r="R8" s="75" t="inlineStr">
        <is>
          <t xml:space="preserve">ACUMULADO SEMANAL TONS</t>
        </is>
      </c>
      <c r="T8" s="38" t="inlineStr">
        <is>
          <t xml:space="preserve">Toneladas Movimentadas IN</t>
        </is>
      </c>
      <c r="U8" s="71" t="inlineStr">
        <is>
          <t xml:space="preserve">t movimentadas</t>
        </is>
      </c>
      <c r="V8" s="72">
        <v>1</v>
      </c>
      <c r="W8" s="73">
        <v>3</v>
      </c>
      <c r="X8" s="73">
        <v>3</v>
      </c>
      <c r="Y8" s="73">
        <v>0</v>
      </c>
      <c r="Z8" s="73">
        <v>0</v>
      </c>
    </row>
    <row r="9">
      <c r="A9" s="76" t="inlineStr">
        <is>
          <t xml:space="preserve">Beautybiz</t>
        </is>
      </c>
      <c r="B9" s="75" t="inlineStr">
        <is>
          <t xml:space="preserve">Sim</t>
        </is>
      </c>
      <c r="C9" s="75" t="inlineStr">
        <is>
          <t xml:space="preserve">Pallets Movimentados IN</t>
        </is>
      </c>
      <c r="D9" s="75" t="inlineStr">
        <is>
          <t xml:space="preserve">Caixas Movimentadas IN</t>
        </is>
      </c>
      <c r="E9" s="75"/>
      <c r="F9" s="75" t="inlineStr">
        <is>
          <t xml:space="preserve">Sim</t>
        </is>
      </c>
      <c r="G9" s="75" t="inlineStr">
        <is>
          <t xml:space="preserve">Pallets Movimentados OUT</t>
        </is>
      </c>
      <c r="H9" s="75" t="inlineStr">
        <is>
          <t xml:space="preserve">Pedidos Expedidos OUT</t>
        </is>
      </c>
      <c r="I9" s="75"/>
      <c r="J9" s="75" t="inlineStr">
        <is>
          <t xml:space="preserve">Completo</t>
        </is>
      </c>
      <c r="K9" s="75" t="inlineStr">
        <is>
          <t xml:space="preserve">Pallets Movimentados IN</t>
        </is>
      </c>
      <c r="L9" s="75" t="inlineStr">
        <is>
          <t xml:space="preserve">Pallets Movimentados OUT</t>
        </is>
      </c>
      <c r="M9" s="75" t="inlineStr">
        <is>
          <t xml:space="preserve">MOVIMENTAÇÃO PALETES/DIA</t>
        </is>
      </c>
      <c r="N9" s="75" t="inlineStr">
        <is>
          <t xml:space="preserve">ACUMULADO SEMANAL PALETES</t>
        </is>
      </c>
      <c r="O9" s="75" t="inlineStr">
        <is>
          <t xml:space="preserve">Caixas Movimentadas IN</t>
        </is>
      </c>
      <c r="P9" s="75" t="inlineStr">
        <is>
          <t xml:space="preserve">Pedidos Expedidos OUT</t>
        </is>
      </c>
      <c r="Q9" s="75" t="inlineStr">
        <is>
          <t xml:space="preserve">MOVIMENTAÇÃO CAIXAS (IN) × PEDIDOS (OUT)/DIA</t>
        </is>
      </c>
      <c r="R9" s="75" t="inlineStr">
        <is>
          <t xml:space="preserve">ACUMULADO SEMANAL CAIXAS (IN) × PEDIDOS (OUT)</t>
        </is>
      </c>
      <c r="T9" s="38" t="inlineStr">
        <is>
          <t xml:space="preserve">Toneladas Movimentadas IN por veículo</t>
        </is>
      </c>
      <c r="U9" s="71" t="inlineStr">
        <is>
          <t xml:space="preserve">t movimentadas por veículo</t>
        </is>
      </c>
      <c r="V9" s="72">
        <v>1</v>
      </c>
      <c r="W9" s="73">
        <v>3</v>
      </c>
      <c r="X9" s="73">
        <v>3</v>
      </c>
      <c r="Y9" s="73">
        <v>1</v>
      </c>
      <c r="Z9" s="73">
        <v>1</v>
      </c>
    </row>
    <row r="10">
      <c r="A10" s="74" t="inlineStr">
        <is>
          <t xml:space="preserve">Boticário</t>
        </is>
      </c>
      <c r="B10" s="75" t="inlineStr">
        <is>
          <t xml:space="preserve">Sim</t>
        </is>
      </c>
      <c r="C10" s="75" t="inlineStr">
        <is>
          <t xml:space="preserve">Itens Recebidos CX Mista IN</t>
        </is>
      </c>
      <c r="D10" s="75" t="inlineStr">
        <is>
          <t xml:space="preserve">Caixas Mistas Recebidas IN</t>
        </is>
      </c>
      <c r="E10" s="75" t="inlineStr">
        <is>
          <t xml:space="preserve">Caixas Fechadas IN</t>
        </is>
      </c>
      <c r="F10" s="75" t="inlineStr">
        <is>
          <t xml:space="preserve">Sim</t>
        </is>
      </c>
      <c r="G10" s="75" t="inlineStr">
        <is>
          <t xml:space="preserve">Pedidos Faturados OUT</t>
        </is>
      </c>
      <c r="H10" s="75" t="inlineStr">
        <is>
          <t xml:space="preserve">Itens Expedidos OUT</t>
        </is>
      </c>
      <c r="I10" s="75" t="inlineStr">
        <is>
          <t xml:space="preserve">Pallets Movimentados OUT</t>
        </is>
      </c>
      <c r="J10" s="75" t="inlineStr">
        <is>
          <t xml:space="preserve">Completo</t>
        </is>
      </c>
      <c r="K10" s="75" t="inlineStr">
        <is>
          <t xml:space="preserve">Itens Recebidos CX Mista IN</t>
        </is>
      </c>
      <c r="L10" s="75" t="inlineStr">
        <is>
          <t xml:space="preserve">Itens Expedidos OUT</t>
        </is>
      </c>
      <c r="M10" s="75" t="inlineStr">
        <is>
          <t xml:space="preserve">MOVIMENTAÇÃO ITENS/DIA</t>
        </is>
      </c>
      <c r="N10" s="75" t="inlineStr">
        <is>
          <t xml:space="preserve">ACUMULADO SEMANAL ITENS</t>
        </is>
      </c>
      <c r="O10" s="75" t="inlineStr">
        <is>
          <t xml:space="preserve">Caixas Mistas Recebidas IN</t>
        </is>
      </c>
      <c r="P10" s="75" t="inlineStr">
        <is>
          <t xml:space="preserve">Pedidos Faturados OUT</t>
        </is>
      </c>
      <c r="Q10" s="75" t="inlineStr">
        <is>
          <t xml:space="preserve">MOVIMENTAÇÃO CAIXAS MISTAS (IN) × FATURADOS (OUT)/DIA</t>
        </is>
      </c>
      <c r="R10" s="75" t="inlineStr">
        <is>
          <t xml:space="preserve">ACUMULADO SEMANAL CAIXAS MISTAS (IN) × FATURADOS (OUT)</t>
        </is>
      </c>
      <c r="T10" s="38" t="inlineStr">
        <is>
          <t xml:space="preserve">Pallets Movimentados OUT</t>
        </is>
      </c>
      <c r="U10" s="71" t="inlineStr">
        <is>
          <t xml:space="preserve">pallets movimentados</t>
        </is>
      </c>
      <c r="V10" s="72">
        <v>0</v>
      </c>
      <c r="W10" s="73">
        <v>5</v>
      </c>
      <c r="X10" s="73">
        <v>17</v>
      </c>
      <c r="Y10" s="73">
        <v>0</v>
      </c>
      <c r="Z10" s="73">
        <v>0</v>
      </c>
    </row>
    <row r="11">
      <c r="A11" s="76" t="inlineStr">
        <is>
          <t xml:space="preserve">Confiance</t>
        </is>
      </c>
      <c r="B11" s="75" t="inlineStr">
        <is>
          <t xml:space="preserve">Sim</t>
        </is>
      </c>
      <c r="C11" s="75" t="inlineStr">
        <is>
          <t xml:space="preserve">Pallets Movimentados IN</t>
        </is>
      </c>
      <c r="D11" s="75" t="inlineStr">
        <is>
          <t xml:space="preserve">Toneladas Movimentadas IN</t>
        </is>
      </c>
      <c r="E11" s="75"/>
      <c r="F11" s="75" t="inlineStr">
        <is>
          <t xml:space="preserve">Sim</t>
        </is>
      </c>
      <c r="G11" s="75" t="inlineStr">
        <is>
          <t xml:space="preserve">Pallets Movimentados OUT</t>
        </is>
      </c>
      <c r="H11" s="75" t="inlineStr">
        <is>
          <t xml:space="preserve">Toneladas Movimentadas OUT</t>
        </is>
      </c>
      <c r="I11" s="75"/>
      <c r="J11" s="75" t="inlineStr">
        <is>
          <t xml:space="preserve">Completo</t>
        </is>
      </c>
      <c r="K11" s="75" t="inlineStr">
        <is>
          <t xml:space="preserve">Pallets Movimentados IN</t>
        </is>
      </c>
      <c r="L11" s="75" t="inlineStr">
        <is>
          <t xml:space="preserve">Pallets Movimentados OUT</t>
        </is>
      </c>
      <c r="M11" s="75" t="inlineStr">
        <is>
          <t xml:space="preserve">MOVIMENTAÇÃO PALETES/DIA</t>
        </is>
      </c>
      <c r="N11" s="75" t="inlineStr">
        <is>
          <t xml:space="preserve">ACUMULADO SEMANAL PALETES</t>
        </is>
      </c>
      <c r="O11" s="75" t="inlineStr">
        <is>
          <t xml:space="preserve">Toneladas Movimentadas IN</t>
        </is>
      </c>
      <c r="P11" s="75" t="inlineStr">
        <is>
          <t xml:space="preserve">Toneladas Movimentadas OUT</t>
        </is>
      </c>
      <c r="Q11" s="75" t="inlineStr">
        <is>
          <t xml:space="preserve">MOVIMENTAÇÃO TONS/DIA</t>
        </is>
      </c>
      <c r="R11" s="75" t="inlineStr">
        <is>
          <t xml:space="preserve">ACUMULADO SEMANAL TONS</t>
        </is>
      </c>
      <c r="T11" s="38" t="inlineStr">
        <is>
          <t xml:space="preserve">Pallets Movimentados OUT por veículo</t>
        </is>
      </c>
      <c r="U11" s="71" t="inlineStr">
        <is>
          <t xml:space="preserve">pallets movimentados por veículo</t>
        </is>
      </c>
      <c r="V11" s="72">
        <v>1</v>
      </c>
      <c r="W11" s="73">
        <v>5</v>
      </c>
      <c r="X11" s="73">
        <v>17</v>
      </c>
      <c r="Y11" s="73">
        <v>4</v>
      </c>
      <c r="Z11" s="73">
        <v>10</v>
      </c>
    </row>
    <row r="12">
      <c r="A12" s="74" t="inlineStr">
        <is>
          <t xml:space="preserve">GE Vernova</t>
        </is>
      </c>
      <c r="B12" s="75" t="inlineStr">
        <is>
          <t xml:space="preserve">Sim</t>
        </is>
      </c>
      <c r="C12" s="75" t="inlineStr">
        <is>
          <t xml:space="preserve">Pallets Movimentados IN</t>
        </is>
      </c>
      <c r="D12" s="75" t="inlineStr">
        <is>
          <t xml:space="preserve">Peças Movimentadas IN</t>
        </is>
      </c>
      <c r="E12" s="75" t="inlineStr">
        <is>
          <t xml:space="preserve">Linhas NF IN</t>
        </is>
      </c>
      <c r="F12" s="75" t="inlineStr">
        <is>
          <t xml:space="preserve">Sim</t>
        </is>
      </c>
      <c r="G12" s="75" t="inlineStr">
        <is>
          <t xml:space="preserve">Pallets Movimentados OUT</t>
        </is>
      </c>
      <c r="H12" s="75" t="inlineStr">
        <is>
          <t xml:space="preserve">Peças Movimentadas OUT</t>
        </is>
      </c>
      <c r="I12" s="75" t="inlineStr">
        <is>
          <t xml:space="preserve">Linhas NF OUT</t>
        </is>
      </c>
      <c r="J12" s="75" t="inlineStr">
        <is>
          <t xml:space="preserve">Completo</t>
        </is>
      </c>
      <c r="K12" s="75" t="inlineStr">
        <is>
          <t xml:space="preserve">Pallets Movimentados IN</t>
        </is>
      </c>
      <c r="L12" s="75" t="inlineStr">
        <is>
          <t xml:space="preserve">Pallets Movimentados OUT</t>
        </is>
      </c>
      <c r="M12" s="75" t="inlineStr">
        <is>
          <t xml:space="preserve">MOVIMENTAÇÃO PALETES/DIA</t>
        </is>
      </c>
      <c r="N12" s="75" t="inlineStr">
        <is>
          <t xml:space="preserve">ACUMULADO SEMANAL PALETES</t>
        </is>
      </c>
      <c r="O12" s="75" t="inlineStr">
        <is>
          <t xml:space="preserve">Peças Movimentadas IN</t>
        </is>
      </c>
      <c r="P12" s="75" t="inlineStr">
        <is>
          <t xml:space="preserve">Peças Movimentadas OUT</t>
        </is>
      </c>
      <c r="Q12" s="75" t="inlineStr">
        <is>
          <t xml:space="preserve">MOVIMENTAÇÃO PEÇAS/DIA</t>
        </is>
      </c>
      <c r="R12" s="75" t="inlineStr">
        <is>
          <t xml:space="preserve">ACUMULADO SEMANAL PEÇAS</t>
        </is>
      </c>
      <c r="T12" s="38" t="inlineStr">
        <is>
          <t xml:space="preserve">Toneladas Movimentadas OUT</t>
        </is>
      </c>
      <c r="U12" s="71" t="inlineStr">
        <is>
          <t xml:space="preserve">t movimentadas</t>
        </is>
      </c>
      <c r="V12" s="72">
        <v>1</v>
      </c>
      <c r="W12" s="73">
        <v>6</v>
      </c>
      <c r="X12" s="73">
        <v>18</v>
      </c>
      <c r="Y12" s="73">
        <v>0</v>
      </c>
      <c r="Z12" s="73">
        <v>0</v>
      </c>
    </row>
    <row r="13">
      <c r="A13" s="76" t="inlineStr">
        <is>
          <t xml:space="preserve">Omnilife</t>
        </is>
      </c>
      <c r="B13" s="75" t="inlineStr">
        <is>
          <t xml:space="preserve">Sim</t>
        </is>
      </c>
      <c r="C13" s="75" t="inlineStr">
        <is>
          <t xml:space="preserve">Pallets Movimentados IN</t>
        </is>
      </c>
      <c r="D13" s="75" t="inlineStr">
        <is>
          <t xml:space="preserve">Pallets Movimentados IN por veículo</t>
        </is>
      </c>
      <c r="E13" s="75"/>
      <c r="F13" s="75" t="inlineStr">
        <is>
          <t xml:space="preserve">Sim</t>
        </is>
      </c>
      <c r="G13" s="75" t="inlineStr">
        <is>
          <t xml:space="preserve">Pallets Movimentados OUT</t>
        </is>
      </c>
      <c r="H13" s="75" t="inlineStr">
        <is>
          <t xml:space="preserve">Pallets Movimentados OUT por veículo</t>
        </is>
      </c>
      <c r="I13" s="75"/>
      <c r="J13" s="75" t="inlineStr">
        <is>
          <t xml:space="preserve">Completo</t>
        </is>
      </c>
      <c r="K13" s="75" t="inlineStr">
        <is>
          <t xml:space="preserve">Pallets Movimentados IN</t>
        </is>
      </c>
      <c r="L13" s="75" t="inlineStr">
        <is>
          <t xml:space="preserve">Pallets Movimentados OUT</t>
        </is>
      </c>
      <c r="M13" s="75" t="inlineStr">
        <is>
          <t xml:space="preserve">MOVIMENTAÇÃO PALETES/DIA</t>
        </is>
      </c>
      <c r="N13" s="75" t="inlineStr">
        <is>
          <t xml:space="preserve">ACUMULADO SEMANAL PALETES</t>
        </is>
      </c>
      <c r="O13" s="75" t="inlineStr">
        <is>
          <t xml:space="preserve">Pallets Movimentados IN por veículo</t>
        </is>
      </c>
      <c r="P13" s="75" t="inlineStr">
        <is>
          <t xml:space="preserve">Pallets Movimentados OUT por veículo</t>
        </is>
      </c>
      <c r="Q13" s="75" t="inlineStr">
        <is>
          <t xml:space="preserve">PALETES POR VEÍCULO/DIA</t>
        </is>
      </c>
      <c r="R13" s="75" t="inlineStr">
        <is>
          <t xml:space="preserve">MÉDIA SEMANAL PALETES POR VEÍCULO</t>
        </is>
      </c>
      <c r="T13" s="38" t="inlineStr">
        <is>
          <t xml:space="preserve">Toneladas Movimentadas OUT por veículo</t>
        </is>
      </c>
      <c r="U13" s="71" t="inlineStr">
        <is>
          <t xml:space="preserve">t movimentadas por veículo</t>
        </is>
      </c>
      <c r="V13" s="72">
        <v>1</v>
      </c>
      <c r="W13" s="73">
        <v>6</v>
      </c>
      <c r="X13" s="73">
        <v>18</v>
      </c>
      <c r="Y13" s="73">
        <v>4</v>
      </c>
      <c r="Z13" s="73">
        <v>10</v>
      </c>
    </row>
    <row r="14">
      <c r="A14" s="74" t="inlineStr">
        <is>
          <t xml:space="preserve">Supply</t>
        </is>
      </c>
      <c r="B14" s="75" t="inlineStr">
        <is>
          <t xml:space="preserve">Sim</t>
        </is>
      </c>
      <c r="C14" s="75" t="inlineStr">
        <is>
          <t xml:space="preserve">Pallets Movimentados IN</t>
        </is>
      </c>
      <c r="D14" s="75" t="inlineStr">
        <is>
          <t xml:space="preserve">Toneladas Movimentadas IN</t>
        </is>
      </c>
      <c r="E14" s="75"/>
      <c r="F14" s="75" t="inlineStr">
        <is>
          <t xml:space="preserve">Sim</t>
        </is>
      </c>
      <c r="G14" s="75" t="inlineStr">
        <is>
          <t xml:space="preserve">Pallets Movimentados OUT</t>
        </is>
      </c>
      <c r="H14" s="75" t="inlineStr">
        <is>
          <t xml:space="preserve">Toneladas Movimentadas OUT</t>
        </is>
      </c>
      <c r="I14" s="75"/>
      <c r="J14" s="75" t="inlineStr">
        <is>
          <t xml:space="preserve">Completo</t>
        </is>
      </c>
      <c r="K14" s="75" t="inlineStr">
        <is>
          <t xml:space="preserve">Pallets Movimentados IN</t>
        </is>
      </c>
      <c r="L14" s="75" t="inlineStr">
        <is>
          <t xml:space="preserve">Pallets Movimentados OUT</t>
        </is>
      </c>
      <c r="M14" s="75" t="inlineStr">
        <is>
          <t xml:space="preserve">MOVIMENTAÇÃO PALETES/DIA</t>
        </is>
      </c>
      <c r="N14" s="75" t="inlineStr">
        <is>
          <t xml:space="preserve">ACUMULADO SEMANAL PALETES</t>
        </is>
      </c>
      <c r="O14" s="75" t="inlineStr">
        <is>
          <t xml:space="preserve">Toneladas Movimentadas IN</t>
        </is>
      </c>
      <c r="P14" s="75" t="inlineStr">
        <is>
          <t xml:space="preserve">Toneladas Movimentadas OUT</t>
        </is>
      </c>
      <c r="Q14" s="75" t="inlineStr">
        <is>
          <t xml:space="preserve">MOVIMENTAÇÃO TONS/DIA</t>
        </is>
      </c>
      <c r="R14" s="75" t="inlineStr">
        <is>
          <t xml:space="preserve">ACUMULADO SEMANAL TONS</t>
        </is>
      </c>
      <c r="T14" s="38" t="inlineStr">
        <is>
          <t xml:space="preserve">Linhas NF IN</t>
        </is>
      </c>
      <c r="U14" s="71" t="inlineStr">
        <is>
          <t xml:space="preserve">linhas NF</t>
        </is>
      </c>
      <c r="V14" s="72">
        <v>0</v>
      </c>
      <c r="W14" s="73">
        <v>25</v>
      </c>
      <c r="X14" s="73">
        <v>4</v>
      </c>
      <c r="Y14" s="73">
        <v>0</v>
      </c>
      <c r="Z14" s="73">
        <v>0</v>
      </c>
    </row>
    <row r="15">
      <c r="A15" s="76" t="inlineStr">
        <is>
          <t xml:space="preserve">Vedacit</t>
        </is>
      </c>
      <c r="B15" s="75" t="inlineStr">
        <is>
          <t xml:space="preserve">Sim</t>
        </is>
      </c>
      <c r="C15" s="75" t="inlineStr">
        <is>
          <t xml:space="preserve">Pallets Movimentados IN</t>
        </is>
      </c>
      <c r="D15" s="75" t="inlineStr">
        <is>
          <t xml:space="preserve">Pallets Movimentados IN por veículo</t>
        </is>
      </c>
      <c r="E15" s="75"/>
      <c r="F15" s="75" t="inlineStr">
        <is>
          <t xml:space="preserve">Sim</t>
        </is>
      </c>
      <c r="G15" s="75" t="inlineStr">
        <is>
          <t xml:space="preserve">Pallets Movimentados OUT</t>
        </is>
      </c>
      <c r="H15" s="75" t="inlineStr">
        <is>
          <t xml:space="preserve">Pallets Movimentados OUT por veículo</t>
        </is>
      </c>
      <c r="I15" s="75"/>
      <c r="J15" s="75" t="inlineStr">
        <is>
          <t xml:space="preserve">Completo</t>
        </is>
      </c>
      <c r="K15" s="75" t="inlineStr">
        <is>
          <t xml:space="preserve">Pallets Movimentados IN</t>
        </is>
      </c>
      <c r="L15" s="75" t="inlineStr">
        <is>
          <t xml:space="preserve">Pallets Movimentados OUT</t>
        </is>
      </c>
      <c r="M15" s="75" t="inlineStr">
        <is>
          <t xml:space="preserve">MOVIMENTAÇÃO PALETES/DIA</t>
        </is>
      </c>
      <c r="N15" s="75" t="inlineStr">
        <is>
          <t xml:space="preserve">ACUMULADO SEMANAL PALETES</t>
        </is>
      </c>
      <c r="O15" s="75" t="inlineStr">
        <is>
          <t xml:space="preserve">Pallets Movimentados IN por veículo</t>
        </is>
      </c>
      <c r="P15" s="75" t="inlineStr">
        <is>
          <t xml:space="preserve">Pallets Movimentados OUT por veículo</t>
        </is>
      </c>
      <c r="Q15" s="75" t="inlineStr">
        <is>
          <t xml:space="preserve">PALETES POR VEÍCULO/DIA</t>
        </is>
      </c>
      <c r="R15" s="75" t="inlineStr">
        <is>
          <t xml:space="preserve">MÉDIA SEMANAL PALETES POR VEÍCULO</t>
        </is>
      </c>
      <c r="T15" s="38" t="inlineStr">
        <is>
          <t xml:space="preserve">Linhas NF IN por veículo</t>
        </is>
      </c>
      <c r="U15" s="71" t="inlineStr">
        <is>
          <t xml:space="preserve">linhas NF por veículo</t>
        </is>
      </c>
      <c r="V15" s="72">
        <v>1</v>
      </c>
      <c r="W15" s="73">
        <v>25</v>
      </c>
      <c r="X15" s="73">
        <v>4</v>
      </c>
      <c r="Y15" s="73">
        <v>1</v>
      </c>
      <c r="Z15" s="73">
        <v>1</v>
      </c>
    </row>
    <row r="16">
      <c r="A16" s="74" t="inlineStr">
        <is>
          <t xml:space="preserve">Vestas</t>
        </is>
      </c>
      <c r="B16" s="75" t="inlineStr">
        <is>
          <t xml:space="preserve">Sim</t>
        </is>
      </c>
      <c r="C16" s="75" t="inlineStr">
        <is>
          <t xml:space="preserve">Linhas NF IN</t>
        </is>
      </c>
      <c r="D16" s="75" t="inlineStr">
        <is>
          <t xml:space="preserve">Linhas NF IN por veículo</t>
        </is>
      </c>
      <c r="E16" s="75"/>
      <c r="F16" s="75" t="inlineStr">
        <is>
          <t xml:space="preserve">Sim</t>
        </is>
      </c>
      <c r="G16" s="75" t="inlineStr">
        <is>
          <t xml:space="preserve">Linhas NF OUT</t>
        </is>
      </c>
      <c r="H16" s="75" t="inlineStr">
        <is>
          <t xml:space="preserve">Linhas NF OUT por veículo</t>
        </is>
      </c>
      <c r="I16" s="75"/>
      <c r="J16" s="75" t="inlineStr">
        <is>
          <t xml:space="preserve">Completo</t>
        </is>
      </c>
      <c r="K16" s="75" t="inlineStr">
        <is>
          <t xml:space="preserve">Linhas NF IN</t>
        </is>
      </c>
      <c r="L16" s="75" t="inlineStr">
        <is>
          <t xml:space="preserve">Linhas NF OUT</t>
        </is>
      </c>
      <c r="M16" s="75" t="inlineStr">
        <is>
          <t xml:space="preserve">MOVIMENTAÇÃO LINHAS NF/DIA</t>
        </is>
      </c>
      <c r="N16" s="75" t="inlineStr">
        <is>
          <t xml:space="preserve">ACUMULADO SEMANAL LINHAS NF</t>
        </is>
      </c>
      <c r="O16" s="75" t="inlineStr">
        <is>
          <t xml:space="preserve">Linhas NF IN por veículo</t>
        </is>
      </c>
      <c r="P16" s="75" t="inlineStr">
        <is>
          <t xml:space="preserve">Linhas NF OUT por veículo</t>
        </is>
      </c>
      <c r="Q16" s="75" t="inlineStr">
        <is>
          <t xml:space="preserve">LINHAS NF POR VEÍCULO/DIA</t>
        </is>
      </c>
      <c r="R16" s="75" t="inlineStr">
        <is>
          <t xml:space="preserve">MÉDIA SEMANAL LINHAS NF POR VEÍCULO</t>
        </is>
      </c>
      <c r="T16" s="38" t="inlineStr">
        <is>
          <t xml:space="preserve">Caixas Movimentadas IN</t>
        </is>
      </c>
      <c r="U16" s="71" t="inlineStr">
        <is>
          <t xml:space="preserve">caixas movimentadas</t>
        </is>
      </c>
      <c r="V16" s="72">
        <v>0</v>
      </c>
      <c r="W16" s="73">
        <v>26</v>
      </c>
      <c r="X16" s="73">
        <v>5</v>
      </c>
      <c r="Y16" s="73">
        <v>0</v>
      </c>
      <c r="Z16" s="73">
        <v>0</v>
      </c>
    </row>
    <row r="17">
      <c r="T17" s="38" t="inlineStr">
        <is>
          <t xml:space="preserve">Caixas Movimentadas IN por veículo</t>
        </is>
      </c>
      <c r="U17" s="71" t="inlineStr">
        <is>
          <t xml:space="preserve">caixas movimentadas por veículo</t>
        </is>
      </c>
      <c r="V17" s="72">
        <v>1</v>
      </c>
      <c r="W17" s="73">
        <v>26</v>
      </c>
      <c r="X17" s="73">
        <v>5</v>
      </c>
      <c r="Y17" s="73">
        <v>1</v>
      </c>
      <c r="Z17" s="73">
        <v>1</v>
      </c>
    </row>
    <row r="18">
      <c r="T18" s="38" t="inlineStr">
        <is>
          <t xml:space="preserve">Peças Movimentadas IN</t>
        </is>
      </c>
      <c r="U18" s="71" t="inlineStr">
        <is>
          <t xml:space="preserve">peças movimentadas</t>
        </is>
      </c>
      <c r="V18" s="72">
        <v>0</v>
      </c>
      <c r="W18" s="73">
        <v>27</v>
      </c>
      <c r="X18" s="73">
        <v>6</v>
      </c>
      <c r="Y18" s="73">
        <v>0</v>
      </c>
      <c r="Z18" s="73">
        <v>0</v>
      </c>
    </row>
    <row r="19">
      <c r="T19" s="38" t="inlineStr">
        <is>
          <t xml:space="preserve">Peças Movimentadas IN por veículo</t>
        </is>
      </c>
      <c r="U19" s="71" t="inlineStr">
        <is>
          <t xml:space="preserve">peças movimentadas por veículo</t>
        </is>
      </c>
      <c r="V19" s="72">
        <v>1</v>
      </c>
      <c r="W19" s="73">
        <v>27</v>
      </c>
      <c r="X19" s="73">
        <v>6</v>
      </c>
      <c r="Y19" s="73">
        <v>1</v>
      </c>
      <c r="Z19" s="73">
        <v>1</v>
      </c>
    </row>
    <row r="20">
      <c r="T20" s="38" t="inlineStr">
        <is>
          <t xml:space="preserve">Itens Recebidos CX Mista IN</t>
        </is>
      </c>
      <c r="U20" s="71" t="inlineStr">
        <is>
          <t xml:space="preserve">itens cx mista</t>
        </is>
      </c>
      <c r="V20" s="72">
        <v>0</v>
      </c>
      <c r="W20" s="73">
        <v>28</v>
      </c>
      <c r="X20" s="73">
        <v>7</v>
      </c>
      <c r="Y20" s="73">
        <v>0</v>
      </c>
      <c r="Z20" s="73">
        <v>0</v>
      </c>
    </row>
    <row r="21">
      <c r="T21" s="38" t="inlineStr">
        <is>
          <t xml:space="preserve">Itens Recebidos CX Mista IN por veículo</t>
        </is>
      </c>
      <c r="U21" s="71" t="inlineStr">
        <is>
          <t xml:space="preserve">itens cx mista por veículo</t>
        </is>
      </c>
      <c r="V21" s="72">
        <v>1</v>
      </c>
      <c r="W21" s="73">
        <v>28</v>
      </c>
      <c r="X21" s="73">
        <v>7</v>
      </c>
      <c r="Y21" s="73">
        <v>1</v>
      </c>
      <c r="Z21" s="73">
        <v>1</v>
      </c>
    </row>
    <row r="22">
      <c r="T22" s="38" t="inlineStr">
        <is>
          <t xml:space="preserve">Caixas Fechadas IN</t>
        </is>
      </c>
      <c r="U22" s="71" t="inlineStr">
        <is>
          <t xml:space="preserve">caixas fechadas</t>
        </is>
      </c>
      <c r="V22" s="72">
        <v>0</v>
      </c>
      <c r="W22" s="73">
        <v>29</v>
      </c>
      <c r="X22" s="73">
        <v>8</v>
      </c>
      <c r="Y22" s="73">
        <v>0</v>
      </c>
      <c r="Z22" s="73">
        <v>0</v>
      </c>
    </row>
    <row r="23">
      <c r="T23" s="38" t="inlineStr">
        <is>
          <t xml:space="preserve">Caixas Fechadas IN por veículo</t>
        </is>
      </c>
      <c r="U23" s="71" t="inlineStr">
        <is>
          <t xml:space="preserve">caixas fechadas por veículo</t>
        </is>
      </c>
      <c r="V23" s="72">
        <v>1</v>
      </c>
      <c r="W23" s="73">
        <v>29</v>
      </c>
      <c r="X23" s="73">
        <v>8</v>
      </c>
      <c r="Y23" s="73">
        <v>1</v>
      </c>
      <c r="Z23" s="73">
        <v>1</v>
      </c>
    </row>
    <row r="24">
      <c r="T24" s="38" t="inlineStr">
        <is>
          <t xml:space="preserve">Caixas Mistas Recebidas IN</t>
        </is>
      </c>
      <c r="U24" s="71" t="inlineStr">
        <is>
          <t xml:space="preserve">caixas mistas</t>
        </is>
      </c>
      <c r="V24" s="72">
        <v>0</v>
      </c>
      <c r="W24" s="73">
        <v>30</v>
      </c>
      <c r="X24" s="73">
        <v>9</v>
      </c>
      <c r="Y24" s="73">
        <v>0</v>
      </c>
      <c r="Z24" s="73">
        <v>0</v>
      </c>
    </row>
    <row r="25">
      <c r="T25" s="38" t="inlineStr">
        <is>
          <t xml:space="preserve">Caixas Mistas Recebidas IN por veículo</t>
        </is>
      </c>
      <c r="U25" s="71" t="inlineStr">
        <is>
          <t xml:space="preserve">caixas mistas por veículo</t>
        </is>
      </c>
      <c r="V25" s="72">
        <v>1</v>
      </c>
      <c r="W25" s="73">
        <v>30</v>
      </c>
      <c r="X25" s="73">
        <v>9</v>
      </c>
      <c r="Y25" s="73">
        <v>1</v>
      </c>
      <c r="Z25" s="73">
        <v>1</v>
      </c>
    </row>
    <row r="26">
      <c r="T26" s="38" t="inlineStr">
        <is>
          <t xml:space="preserve">Pedidos Expedidos OUT</t>
        </is>
      </c>
      <c r="U26" s="71" t="inlineStr">
        <is>
          <t xml:space="preserve">pedidos expedidos</t>
        </is>
      </c>
      <c r="V26" s="72">
        <v>0</v>
      </c>
      <c r="W26" s="73">
        <v>31</v>
      </c>
      <c r="X26" s="73">
        <v>11</v>
      </c>
      <c r="Y26" s="73">
        <v>0</v>
      </c>
      <c r="Z26" s="73">
        <v>0</v>
      </c>
    </row>
    <row r="27">
      <c r="T27" s="38" t="inlineStr">
        <is>
          <t xml:space="preserve">Pedidos Expedidos OUT por veículo</t>
        </is>
      </c>
      <c r="U27" s="71" t="inlineStr">
        <is>
          <t xml:space="preserve">pedidos expedidos por veículo</t>
        </is>
      </c>
      <c r="V27" s="72">
        <v>1</v>
      </c>
      <c r="W27" s="73">
        <v>31</v>
      </c>
      <c r="X27" s="73">
        <v>11</v>
      </c>
      <c r="Y27" s="73">
        <v>4</v>
      </c>
      <c r="Z27" s="73">
        <v>10</v>
      </c>
    </row>
    <row r="28">
      <c r="T28" s="38" t="inlineStr">
        <is>
          <t xml:space="preserve">Pedidos Faturados OUT</t>
        </is>
      </c>
      <c r="U28" s="71" t="inlineStr">
        <is>
          <t xml:space="preserve">pedidos faturados</t>
        </is>
      </c>
      <c r="V28" s="72">
        <v>0</v>
      </c>
      <c r="W28" s="73">
        <v>32</v>
      </c>
      <c r="X28" s="73">
        <v>12</v>
      </c>
      <c r="Y28" s="73">
        <v>0</v>
      </c>
      <c r="Z28" s="73">
        <v>0</v>
      </c>
    </row>
    <row r="29">
      <c r="T29" s="38" t="inlineStr">
        <is>
          <t xml:space="preserve">Pedidos Faturados OUT por veículo</t>
        </is>
      </c>
      <c r="U29" s="71" t="inlineStr">
        <is>
          <t xml:space="preserve">pedidos faturados por veículo</t>
        </is>
      </c>
      <c r="V29" s="72">
        <v>1</v>
      </c>
      <c r="W29" s="73">
        <v>32</v>
      </c>
      <c r="X29" s="73">
        <v>12</v>
      </c>
      <c r="Y29" s="73">
        <v>4</v>
      </c>
      <c r="Z29" s="73">
        <v>10</v>
      </c>
    </row>
    <row r="30">
      <c r="T30" s="38" t="inlineStr">
        <is>
          <t xml:space="preserve">Itens Expedidos OUT</t>
        </is>
      </c>
      <c r="U30" s="71" t="inlineStr">
        <is>
          <t xml:space="preserve">itens expedidos</t>
        </is>
      </c>
      <c r="V30" s="72">
        <v>0</v>
      </c>
      <c r="W30" s="73">
        <v>33</v>
      </c>
      <c r="X30" s="73">
        <v>13</v>
      </c>
      <c r="Y30" s="73">
        <v>0</v>
      </c>
      <c r="Z30" s="73">
        <v>0</v>
      </c>
    </row>
    <row r="31">
      <c r="T31" s="38" t="inlineStr">
        <is>
          <t xml:space="preserve">Itens Expedidos OUT por veículo</t>
        </is>
      </c>
      <c r="U31" s="71" t="inlineStr">
        <is>
          <t xml:space="preserve">itens expedidos por veículo</t>
        </is>
      </c>
      <c r="V31" s="72">
        <v>1</v>
      </c>
      <c r="W31" s="73">
        <v>33</v>
      </c>
      <c r="X31" s="73">
        <v>13</v>
      </c>
      <c r="Y31" s="73">
        <v>4</v>
      </c>
      <c r="Z31" s="73">
        <v>10</v>
      </c>
    </row>
    <row r="32">
      <c r="T32" s="38" t="inlineStr">
        <is>
          <t xml:space="preserve">Peças Movimentadas OUT</t>
        </is>
      </c>
      <c r="U32" s="71" t="inlineStr">
        <is>
          <t xml:space="preserve">peças movimentadas</t>
        </is>
      </c>
      <c r="V32" s="72">
        <v>0</v>
      </c>
      <c r="W32" s="73">
        <v>34</v>
      </c>
      <c r="X32" s="73">
        <v>14</v>
      </c>
      <c r="Y32" s="73">
        <v>0</v>
      </c>
      <c r="Z32" s="73">
        <v>0</v>
      </c>
    </row>
    <row r="33">
      <c r="T33" s="38" t="inlineStr">
        <is>
          <t xml:space="preserve">Peças Movimentadas OUT por veículo</t>
        </is>
      </c>
      <c r="U33" s="71" t="inlineStr">
        <is>
          <t xml:space="preserve">peças movimentadas por veículo</t>
        </is>
      </c>
      <c r="V33" s="72">
        <v>1</v>
      </c>
      <c r="W33" s="73">
        <v>34</v>
      </c>
      <c r="X33" s="73">
        <v>14</v>
      </c>
      <c r="Y33" s="73">
        <v>4</v>
      </c>
      <c r="Z33" s="73">
        <v>10</v>
      </c>
    </row>
    <row r="34">
      <c r="T34" s="38" t="inlineStr">
        <is>
          <t xml:space="preserve">Linhas NF OUT</t>
        </is>
      </c>
      <c r="U34" s="71" t="inlineStr">
        <is>
          <t xml:space="preserve">linhas NF</t>
        </is>
      </c>
      <c r="V34" s="72">
        <v>0</v>
      </c>
      <c r="W34" s="73">
        <v>35</v>
      </c>
      <c r="X34" s="73">
        <v>15</v>
      </c>
      <c r="Y34" s="73">
        <v>0</v>
      </c>
      <c r="Z34" s="73">
        <v>0</v>
      </c>
    </row>
    <row r="35">
      <c r="T35" s="38" t="inlineStr">
        <is>
          <t xml:space="preserve">Linhas NF OUT por veículo</t>
        </is>
      </c>
      <c r="U35" s="71" t="inlineStr">
        <is>
          <t xml:space="preserve">linhas NF por veículo</t>
        </is>
      </c>
      <c r="V35" s="72">
        <v>1</v>
      </c>
      <c r="W35" s="73">
        <v>35</v>
      </c>
      <c r="X35" s="73">
        <v>15</v>
      </c>
      <c r="Y35" s="73">
        <v>4</v>
      </c>
      <c r="Z35" s="73">
        <v>10</v>
      </c>
    </row>
    <row r="36">
      <c r="T36" s="38" t="inlineStr">
        <is>
          <t xml:space="preserve">Caixas Expedidas OUT</t>
        </is>
      </c>
      <c r="U36" s="71" t="inlineStr">
        <is>
          <t xml:space="preserve">caixas expedidas</t>
        </is>
      </c>
      <c r="V36" s="72">
        <v>0</v>
      </c>
      <c r="W36" s="73">
        <v>36</v>
      </c>
      <c r="X36" s="73">
        <v>16</v>
      </c>
      <c r="Y36" s="73">
        <v>0</v>
      </c>
      <c r="Z36" s="73">
        <v>0</v>
      </c>
    </row>
    <row r="37">
      <c r="T37" s="38" t="inlineStr">
        <is>
          <t xml:space="preserve">Caixas Expedidas OUT por veículo</t>
        </is>
      </c>
      <c r="U37" s="71" t="inlineStr">
        <is>
          <t xml:space="preserve">caixas expedidas por veículo</t>
        </is>
      </c>
      <c r="V37" s="72">
        <v>1</v>
      </c>
      <c r="W37" s="73">
        <v>36</v>
      </c>
      <c r="X37" s="73">
        <v>16</v>
      </c>
      <c r="Y37" s="73">
        <v>4</v>
      </c>
      <c r="Z37" s="73">
        <v>10</v>
      </c>
    </row>
    <row r="39">
      <c r="A39" s="19" t="inlineStr">
        <is>
          <t xml:space="preserve">TEXTOS DO DASHBOARD — renomeie cards e gráficos (títulos dos gráficos 2 e 3 ficam no perfil de cada cliente, acima)</t>
        </is>
      </c>
      <c r="B39" s="19"/>
      <c r="C39" s="19"/>
      <c r="D39" s="19"/>
      <c r="E39" s="19"/>
    </row>
    <row r="40">
      <c r="A40" s="16" t="inlineStr">
        <is>
          <t xml:space="preserve">Onde aparece</t>
        </is>
      </c>
      <c r="B40" s="77" t="inlineStr">
        <is>
          <t xml:space="preserve">Texto</t>
        </is>
      </c>
      <c r="C40" s="78"/>
      <c r="D40" s="78"/>
      <c r="E40" s="79"/>
    </row>
    <row r="41">
      <c r="A41" s="80" t="inlineStr">
        <is>
          <t xml:space="preserve">Card IN · título</t>
        </is>
      </c>
      <c r="B41" s="75" t="inlineStr">
        <is>
          <t xml:space="preserve">RECEBIMENTO (IN)</t>
        </is>
      </c>
      <c r="C41" s="75"/>
      <c r="D41" s="75"/>
      <c r="E41" s="75"/>
    </row>
    <row r="42">
      <c r="A42" s="80" t="inlineStr">
        <is>
          <t xml:space="preserve">Card IN · legenda do número</t>
        </is>
      </c>
      <c r="B42" s="75" t="inlineStr">
        <is>
          <t xml:space="preserve">veículos recebidos</t>
        </is>
      </c>
      <c r="C42" s="75"/>
      <c r="D42" s="75"/>
      <c r="E42" s="75"/>
    </row>
    <row r="43">
      <c r="A43" s="80" t="inlineStr">
        <is>
          <t xml:space="preserve">Card OUT · título</t>
        </is>
      </c>
      <c r="B43" s="75" t="inlineStr">
        <is>
          <t xml:space="preserve">EXPEDIÇÃO (OUT)</t>
        </is>
      </c>
      <c r="C43" s="75"/>
      <c r="D43" s="75"/>
      <c r="E43" s="75"/>
    </row>
    <row r="44">
      <c r="A44" s="80" t="inlineStr">
        <is>
          <t xml:space="preserve">Card OUT · legenda do número</t>
        </is>
      </c>
      <c r="B44" s="75" t="inlineStr">
        <is>
          <t xml:space="preserve">veículos expedidos</t>
        </is>
      </c>
      <c r="C44" s="75"/>
      <c r="D44" s="75"/>
      <c r="E44" s="75"/>
    </row>
    <row r="45">
      <c r="A45" s="80" t="inlineStr">
        <is>
          <t xml:space="preserve">Card NC · título</t>
        </is>
      </c>
      <c r="B45" s="75" t="inlineStr">
        <is>
          <t xml:space="preserve">NC OPERACIONAL</t>
        </is>
      </c>
      <c r="C45" s="75"/>
      <c r="D45" s="75"/>
      <c r="E45" s="75"/>
    </row>
    <row r="46">
      <c r="A46" s="80" t="inlineStr">
        <is>
          <t xml:space="preserve">Card NC · legenda do número</t>
        </is>
      </c>
      <c r="B46" s="75" t="inlineStr">
        <is>
          <t xml:space="preserve">incidentes no período</t>
        </is>
      </c>
      <c r="C46" s="75"/>
      <c r="D46" s="75"/>
      <c r="E46" s="75"/>
    </row>
    <row r="47">
      <c r="A47" s="80" t="inlineStr">
        <is>
          <t xml:space="preserve">Card NC · linha 1</t>
        </is>
      </c>
      <c r="B47" s="75" t="inlineStr">
        <is>
          <t xml:space="preserve">NO SHOW</t>
        </is>
      </c>
      <c r="C47" s="75"/>
      <c r="D47" s="75"/>
      <c r="E47" s="75"/>
    </row>
    <row r="48">
      <c r="A48" s="80" t="inlineStr">
        <is>
          <t xml:space="preserve">Card NC · linha 2</t>
        </is>
      </c>
      <c r="B48" s="75" t="inlineStr">
        <is>
          <t xml:space="preserve">BACKLOG</t>
        </is>
      </c>
      <c r="C48" s="75"/>
      <c r="D48" s="75"/>
      <c r="E48" s="75"/>
    </row>
    <row r="49">
      <c r="A49" s="80" t="inlineStr">
        <is>
          <t xml:space="preserve">Card Ocupação · título</t>
        </is>
      </c>
      <c r="B49" s="75" t="inlineStr">
        <is>
          <t xml:space="preserve">ÍNDICE DE OCUPAÇÃO (P.P)</t>
        </is>
      </c>
      <c r="C49" s="75"/>
      <c r="D49" s="75"/>
      <c r="E49" s="75"/>
    </row>
    <row r="50">
      <c r="A50" s="80" t="inlineStr">
        <is>
          <t xml:space="preserve">Card Ocupação · posições (cliente)</t>
        </is>
      </c>
      <c r="B50" s="75" t="inlineStr">
        <is>
          <t xml:space="preserve">CONTRATADA</t>
        </is>
      </c>
      <c r="C50" s="75"/>
      <c r="D50" s="75"/>
      <c r="E50" s="75"/>
    </row>
    <row r="51">
      <c r="A51" s="80" t="inlineStr">
        <is>
          <t xml:space="preserve">Card Ocupação · posições (Todos / depósito)</t>
        </is>
      </c>
      <c r="B51" s="75" t="inlineStr">
        <is>
          <t xml:space="preserve">ARMAZÉM</t>
        </is>
      </c>
      <c r="C51" s="75"/>
      <c r="D51" s="75"/>
      <c r="E51" s="75"/>
    </row>
    <row r="52">
      <c r="A52" s="80" t="inlineStr">
        <is>
          <t xml:space="preserve">Card Ocupação · ocupadas</t>
        </is>
      </c>
      <c r="B52" s="75" t="inlineStr">
        <is>
          <t xml:space="preserve">OCUPADA</t>
        </is>
      </c>
      <c r="C52" s="75"/>
      <c r="D52" s="75"/>
      <c r="E52" s="75"/>
    </row>
    <row r="53">
      <c r="A53" s="80" t="inlineStr">
        <is>
          <t xml:space="preserve">Card Ocupação · taxa</t>
        </is>
      </c>
      <c r="B53" s="75" t="inlineStr">
        <is>
          <t xml:space="preserve">TX OCUPAÇÃO</t>
        </is>
      </c>
      <c r="C53" s="75"/>
      <c r="D53" s="75"/>
      <c r="E53" s="75"/>
    </row>
    <row r="54">
      <c r="A54" s="80" t="inlineStr">
        <is>
          <t xml:space="preserve">Card Ocupação · ociosidade</t>
        </is>
      </c>
      <c r="B54" s="75" t="inlineStr">
        <is>
          <t xml:space="preserve">OCIOSIDADE</t>
        </is>
      </c>
      <c r="C54" s="75"/>
      <c r="D54" s="75"/>
      <c r="E54" s="75"/>
    </row>
    <row r="55">
      <c r="A55" s="80" t="inlineStr">
        <is>
          <t xml:space="preserve">Card Gente · título</t>
        </is>
      </c>
      <c r="B55" s="75" t="inlineStr">
        <is>
          <t xml:space="preserve">GENTE</t>
        </is>
      </c>
      <c r="C55" s="75"/>
      <c r="D55" s="75"/>
      <c r="E55" s="75"/>
    </row>
    <row r="56">
      <c r="A56" s="80" t="inlineStr">
        <is>
          <t xml:space="preserve">Card Gente · linha 1</t>
        </is>
      </c>
      <c r="B56" s="75" t="inlineStr">
        <is>
          <t xml:space="preserve">EFETIVO</t>
        </is>
      </c>
      <c r="C56" s="75"/>
      <c r="D56" s="75"/>
      <c r="E56" s="75"/>
    </row>
    <row r="57">
      <c r="A57" s="80" t="inlineStr">
        <is>
          <t xml:space="preserve">Card Gente · linha 2</t>
        </is>
      </c>
      <c r="B57" s="75" t="inlineStr">
        <is>
          <t xml:space="preserve">ABSENTEÍSMO (H/H)</t>
        </is>
      </c>
      <c r="C57" s="75"/>
      <c r="D57" s="75"/>
      <c r="E57" s="75"/>
    </row>
    <row r="58">
      <c r="A58" s="80" t="inlineStr">
        <is>
          <t xml:space="preserve">Card Gente · linha 3</t>
        </is>
      </c>
      <c r="B58" s="75" t="inlineStr">
        <is>
          <t xml:space="preserve">FÉRIAS</t>
        </is>
      </c>
      <c r="C58" s="75"/>
      <c r="D58" s="75"/>
      <c r="E58" s="75"/>
    </row>
    <row r="59">
      <c r="A59" s="80" t="inlineStr">
        <is>
          <t xml:space="preserve">Card Gente · linha 4</t>
        </is>
      </c>
      <c r="B59" s="75" t="inlineStr">
        <is>
          <t xml:space="preserve">TURNOVER</t>
        </is>
      </c>
      <c r="C59" s="75"/>
      <c r="D59" s="75"/>
      <c r="E59" s="75"/>
    </row>
    <row r="60">
      <c r="A60" s="80" t="inlineStr">
        <is>
          <t xml:space="preserve">Card Gente · linha 5</t>
        </is>
      </c>
      <c r="B60" s="75" t="inlineStr">
        <is>
          <t xml:space="preserve">DESVIOS COMPORTAM.</t>
        </is>
      </c>
      <c r="C60" s="75"/>
      <c r="D60" s="75"/>
      <c r="E60" s="75"/>
    </row>
    <row r="61">
      <c r="A61" s="80" t="inlineStr">
        <is>
          <t xml:space="preserve">Card Gente · linha 6</t>
        </is>
      </c>
      <c r="B61" s="75" t="inlineStr">
        <is>
          <t xml:space="preserve">ACIDENTES (CAF/SAF)</t>
        </is>
      </c>
      <c r="C61" s="75"/>
      <c r="D61" s="75"/>
      <c r="E61" s="75"/>
    </row>
    <row r="62">
      <c r="A62" s="80" t="inlineStr">
        <is>
          <t xml:space="preserve">Gráfico 1 · título</t>
        </is>
      </c>
      <c r="B62" s="75" t="inlineStr">
        <is>
          <t xml:space="preserve">MOVIMENTAÇÃO VEÍCULO/DIA</t>
        </is>
      </c>
      <c r="C62" s="75"/>
      <c r="D62" s="75"/>
      <c r="E62" s="75"/>
    </row>
    <row r="63">
      <c r="A63" s="80" t="inlineStr">
        <is>
          <t xml:space="preserve">Gráfico 1 · série IN</t>
        </is>
      </c>
      <c r="B63" s="75" t="inlineStr">
        <is>
          <t xml:space="preserve">Recebidos (IN)</t>
        </is>
      </c>
      <c r="C63" s="75"/>
      <c r="D63" s="75"/>
      <c r="E63" s="75"/>
    </row>
    <row r="64">
      <c r="A64" s="80" t="inlineStr">
        <is>
          <t xml:space="preserve">Gráfico 1 · série OUT</t>
        </is>
      </c>
      <c r="B64" s="75" t="inlineStr">
        <is>
          <t xml:space="preserve">Expedidos (OUT)</t>
        </is>
      </c>
      <c r="C64" s="75"/>
      <c r="D64" s="75"/>
      <c r="E64" s="75"/>
    </row>
    <row r="65">
      <c r="A65" s="80" t="inlineStr">
        <is>
          <t xml:space="preserve">Gráfico ocupação · título</t>
        </is>
      </c>
      <c r="B65" s="75" t="inlineStr">
        <is>
          <t xml:space="preserve">OCUPAÇÃO DIÁRIA</t>
        </is>
      </c>
      <c r="C65" s="75"/>
      <c r="D65" s="75"/>
      <c r="E65" s="75"/>
    </row>
    <row r="66">
      <c r="A66" s="80" t="inlineStr">
        <is>
          <t xml:space="preserve">Gráfico ocupação · título (só ocupadas)</t>
        </is>
      </c>
      <c r="B66" s="75" t="inlineStr">
        <is>
          <t xml:space="preserve">POSIÇÕES OCUPADAS/DIA</t>
        </is>
      </c>
      <c r="C66" s="75"/>
      <c r="D66" s="75"/>
      <c r="E66" s="75"/>
    </row>
    <row r="67">
      <c r="A67" s="80" t="inlineStr">
        <is>
          <t xml:space="preserve">Gráfico ocupação · título (não se aplica)</t>
        </is>
      </c>
      <c r="B67" s="75" t="inlineStr">
        <is>
          <t xml:space="preserve">OCUPAÇÃO — NÃO SE APLICA</t>
        </is>
      </c>
      <c r="C67" s="75"/>
      <c r="D67" s="75"/>
      <c r="E67" s="75"/>
    </row>
    <row r="68">
      <c r="A68" s="80" t="inlineStr">
        <is>
          <t xml:space="preserve">Gráfico ocupação · série ocupada</t>
        </is>
      </c>
      <c r="B68" s="75" t="inlineStr">
        <is>
          <t xml:space="preserve">Ocupada (p.p)</t>
        </is>
      </c>
      <c r="C68" s="75"/>
      <c r="D68" s="75"/>
      <c r="E68" s="75"/>
    </row>
    <row r="69">
      <c r="A69" s="80" t="inlineStr">
        <is>
          <t xml:space="preserve">Gráfico ocupação · linha (cliente)</t>
        </is>
      </c>
      <c r="B69" s="75" t="inlineStr">
        <is>
          <t xml:space="preserve">Contratada (p.p)</t>
        </is>
      </c>
      <c r="C69" s="75"/>
      <c r="D69" s="75"/>
      <c r="E69" s="75"/>
    </row>
    <row r="70">
      <c r="A70" s="80" t="inlineStr">
        <is>
          <t xml:space="preserve">Gráfico ocupação · linha (Todos / depósito)</t>
        </is>
      </c>
      <c r="B70" s="75" t="inlineStr">
        <is>
          <t xml:space="preserve">Capacidade do armazém (p.p)</t>
        </is>
      </c>
      <c r="C70" s="75"/>
      <c r="D70" s="75"/>
      <c r="E70" s="75"/>
    </row>
    <row r="73">
      <c r="A73" s="19" t="inlineStr">
        <is>
          <t xml:space="preserve">COLUNAS DA BD POR CLIENTE — "Não" bloqueia a coluna na BD para o cliente (fica cinza e não aceita valor). Baseado no monitoramento de cada cliente.</t>
        </is>
      </c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</row>
    <row r="74" ht="44" customHeight="1">
      <c r="A74" s="16" t="inlineStr">
        <is>
          <t xml:space="preserve">CLIENTE</t>
        </is>
      </c>
      <c r="B74" s="81" t="inlineStr">
        <is>
          <t xml:space="preserve">IN Veículos Recebidos</t>
        </is>
      </c>
      <c r="C74" s="81" t="inlineStr">
        <is>
          <t xml:space="preserve">IN Pallets Movimentados</t>
        </is>
      </c>
      <c r="D74" s="81" t="inlineStr">
        <is>
          <t xml:space="preserve">IN Toneladas Movimentadas</t>
        </is>
      </c>
      <c r="E74" s="81" t="inlineStr">
        <is>
          <t xml:space="preserve">IN Linhas NF</t>
        </is>
      </c>
      <c r="F74" s="81" t="inlineStr">
        <is>
          <t xml:space="preserve">IN Caixas Movimentadas</t>
        </is>
      </c>
      <c r="G74" s="81" t="inlineStr">
        <is>
          <t xml:space="preserve">IN Peças Movimentadas</t>
        </is>
      </c>
      <c r="H74" s="81" t="inlineStr">
        <is>
          <t xml:space="preserve">IN Itens Recebidos CX Mista</t>
        </is>
      </c>
      <c r="I74" s="81" t="inlineStr">
        <is>
          <t xml:space="preserve">IN Caixas Fechadas</t>
        </is>
      </c>
      <c r="J74" s="81" t="inlineStr">
        <is>
          <t xml:space="preserve">IN Caixas Mistas Recebidas</t>
        </is>
      </c>
      <c r="K74" s="82" t="inlineStr">
        <is>
          <t xml:space="preserve">OUT Veículos Expedidos</t>
        </is>
      </c>
      <c r="L74" s="82" t="inlineStr">
        <is>
          <t xml:space="preserve">OUT Pedidos Expedidos</t>
        </is>
      </c>
      <c r="M74" s="82" t="inlineStr">
        <is>
          <t xml:space="preserve">OUT Pedidos Faturados</t>
        </is>
      </c>
      <c r="N74" s="82" t="inlineStr">
        <is>
          <t xml:space="preserve">OUT Itens Expedidos</t>
        </is>
      </c>
      <c r="O74" s="82" t="inlineStr">
        <is>
          <t xml:space="preserve">OUT Peças Movimentadas</t>
        </is>
      </c>
      <c r="P74" s="82" t="inlineStr">
        <is>
          <t xml:space="preserve">OUT Linhas NF</t>
        </is>
      </c>
      <c r="Q74" s="82" t="inlineStr">
        <is>
          <t xml:space="preserve">OUT Caixas Expedidas</t>
        </is>
      </c>
      <c r="R74" s="82" t="inlineStr">
        <is>
          <t xml:space="preserve">OUT Pallets Movimentados</t>
        </is>
      </c>
      <c r="S74" s="82" t="inlineStr">
        <is>
          <t xml:space="preserve">OUT Toneladas Movimentadas</t>
        </is>
      </c>
      <c r="T74" s="83" t="inlineStr">
        <is>
          <t xml:space="preserve">NC Incidentes</t>
        </is>
      </c>
      <c r="U74" s="83" t="inlineStr">
        <is>
          <t xml:space="preserve">NC No show</t>
        </is>
      </c>
      <c r="V74" s="83" t="inlineStr">
        <is>
          <t xml:space="preserve">NC Backlog</t>
        </is>
      </c>
      <c r="W74" s="81" t="inlineStr">
        <is>
          <t xml:space="preserve">Posições Disponíveis</t>
        </is>
      </c>
      <c r="X74" s="81" t="inlineStr">
        <is>
          <t xml:space="preserve">Posições Ocupadas</t>
        </is>
      </c>
      <c r="Y74" s="84" t="inlineStr">
        <is>
          <t xml:space="preserve">Efetivo Op.</t>
        </is>
      </c>
      <c r="Z74" s="84" t="inlineStr">
        <is>
          <t xml:space="preserve">Falta</t>
        </is>
      </c>
      <c r="AA74" s="84" t="inlineStr">
        <is>
          <t xml:space="preserve">Folga</t>
        </is>
      </c>
      <c r="AB74" s="84" t="inlineStr">
        <is>
          <t xml:space="preserve">Férias</t>
        </is>
      </c>
      <c r="AC74" s="84" t="inlineStr">
        <is>
          <t xml:space="preserve">Desligamento</t>
        </is>
      </c>
      <c r="AD74" s="84" t="inlineStr">
        <is>
          <t xml:space="preserve">Desvios Comportamentais</t>
        </is>
      </c>
      <c r="AE74" s="84" t="inlineStr">
        <is>
          <t xml:space="preserve">Acidentes CAF</t>
        </is>
      </c>
      <c r="AF74" s="84" t="inlineStr">
        <is>
          <t xml:space="preserve">Acidentes SAF</t>
        </is>
      </c>
    </row>
    <row r="75">
      <c r="A75" s="85" t="inlineStr">
        <is>
          <t xml:space="preserve">Alpargatas</t>
        </is>
      </c>
      <c r="B75" s="86" t="inlineStr">
        <is>
          <t xml:space="preserve">Sim</t>
        </is>
      </c>
      <c r="C75" s="86" t="inlineStr">
        <is>
          <t xml:space="preserve">Não</t>
        </is>
      </c>
      <c r="D75" s="86" t="inlineStr">
        <is>
          <t xml:space="preserve">Não</t>
        </is>
      </c>
      <c r="E75" s="86" t="inlineStr">
        <is>
          <t xml:space="preserve">Não</t>
        </is>
      </c>
      <c r="F75" s="86" t="inlineStr">
        <is>
          <t xml:space="preserve">Sim</t>
        </is>
      </c>
      <c r="G75" s="86" t="inlineStr">
        <is>
          <t xml:space="preserve">Não</t>
        </is>
      </c>
      <c r="H75" s="86" t="inlineStr">
        <is>
          <t xml:space="preserve">Não</t>
        </is>
      </c>
      <c r="I75" s="86" t="inlineStr">
        <is>
          <t xml:space="preserve">Não</t>
        </is>
      </c>
      <c r="J75" s="86" t="inlineStr">
        <is>
          <t xml:space="preserve">Não</t>
        </is>
      </c>
      <c r="K75" s="86" t="inlineStr">
        <is>
          <t xml:space="preserve">Sim</t>
        </is>
      </c>
      <c r="L75" s="86" t="inlineStr">
        <is>
          <t xml:space="preserve">Não</t>
        </is>
      </c>
      <c r="M75" s="86" t="inlineStr">
        <is>
          <t xml:space="preserve">Não</t>
        </is>
      </c>
      <c r="N75" s="86" t="inlineStr">
        <is>
          <t xml:space="preserve">Não</t>
        </is>
      </c>
      <c r="O75" s="86" t="inlineStr">
        <is>
          <t xml:space="preserve">Não</t>
        </is>
      </c>
      <c r="P75" s="86" t="inlineStr">
        <is>
          <t xml:space="preserve">Não</t>
        </is>
      </c>
      <c r="Q75" s="86" t="inlineStr">
        <is>
          <t xml:space="preserve">Sim</t>
        </is>
      </c>
      <c r="R75" s="86" t="inlineStr">
        <is>
          <t xml:space="preserve">Não</t>
        </is>
      </c>
      <c r="S75" s="86" t="inlineStr">
        <is>
          <t xml:space="preserve">Não</t>
        </is>
      </c>
      <c r="T75" s="86" t="inlineStr">
        <is>
          <t xml:space="preserve">Sim</t>
        </is>
      </c>
      <c r="U75" s="86" t="inlineStr">
        <is>
          <t xml:space="preserve">Sim</t>
        </is>
      </c>
      <c r="V75" s="86" t="inlineStr">
        <is>
          <t xml:space="preserve">Sim</t>
        </is>
      </c>
      <c r="W75" s="86" t="inlineStr">
        <is>
          <t xml:space="preserve">Sim</t>
        </is>
      </c>
      <c r="X75" s="86" t="inlineStr">
        <is>
          <t xml:space="preserve">Sim</t>
        </is>
      </c>
      <c r="Y75" s="86" t="inlineStr">
        <is>
          <t xml:space="preserve">Sim</t>
        </is>
      </c>
      <c r="Z75" s="86" t="inlineStr">
        <is>
          <t xml:space="preserve">Sim</t>
        </is>
      </c>
      <c r="AA75" s="86" t="inlineStr">
        <is>
          <t xml:space="preserve">Sim</t>
        </is>
      </c>
      <c r="AB75" s="86" t="inlineStr">
        <is>
          <t xml:space="preserve">Sim</t>
        </is>
      </c>
      <c r="AC75" s="86" t="inlineStr">
        <is>
          <t xml:space="preserve">Sim</t>
        </is>
      </c>
      <c r="AD75" s="86" t="inlineStr">
        <is>
          <t xml:space="preserve">Sim</t>
        </is>
      </c>
      <c r="AE75" s="86" t="inlineStr">
        <is>
          <t xml:space="preserve">Sim</t>
        </is>
      </c>
      <c r="AF75" s="86" t="inlineStr">
        <is>
          <t xml:space="preserve">Sim</t>
        </is>
      </c>
    </row>
    <row r="76">
      <c r="A76" s="85" t="inlineStr">
        <is>
          <t xml:space="preserve">Basf</t>
        </is>
      </c>
      <c r="B76" s="86" t="inlineStr">
        <is>
          <t xml:space="preserve">Sim</t>
        </is>
      </c>
      <c r="C76" s="86" t="inlineStr">
        <is>
          <t xml:space="preserve">Sim</t>
        </is>
      </c>
      <c r="D76" s="86" t="inlineStr">
        <is>
          <t xml:space="preserve">Sim</t>
        </is>
      </c>
      <c r="E76" s="86" t="inlineStr">
        <is>
          <t xml:space="preserve">Não</t>
        </is>
      </c>
      <c r="F76" s="86" t="inlineStr">
        <is>
          <t xml:space="preserve">Não</t>
        </is>
      </c>
      <c r="G76" s="86" t="inlineStr">
        <is>
          <t xml:space="preserve">Não</t>
        </is>
      </c>
      <c r="H76" s="86" t="inlineStr">
        <is>
          <t xml:space="preserve">Não</t>
        </is>
      </c>
      <c r="I76" s="86" t="inlineStr">
        <is>
          <t xml:space="preserve">Não</t>
        </is>
      </c>
      <c r="J76" s="86" t="inlineStr">
        <is>
          <t xml:space="preserve">Não</t>
        </is>
      </c>
      <c r="K76" s="86" t="inlineStr">
        <is>
          <t xml:space="preserve">Sim</t>
        </is>
      </c>
      <c r="L76" s="86" t="inlineStr">
        <is>
          <t xml:space="preserve">Não</t>
        </is>
      </c>
      <c r="M76" s="86" t="inlineStr">
        <is>
          <t xml:space="preserve">Não</t>
        </is>
      </c>
      <c r="N76" s="86" t="inlineStr">
        <is>
          <t xml:space="preserve">Não</t>
        </is>
      </c>
      <c r="O76" s="86" t="inlineStr">
        <is>
          <t xml:space="preserve">Não</t>
        </is>
      </c>
      <c r="P76" s="86" t="inlineStr">
        <is>
          <t xml:space="preserve">Não</t>
        </is>
      </c>
      <c r="Q76" s="86" t="inlineStr">
        <is>
          <t xml:space="preserve">Não</t>
        </is>
      </c>
      <c r="R76" s="86" t="inlineStr">
        <is>
          <t xml:space="preserve">Sim</t>
        </is>
      </c>
      <c r="S76" s="86" t="inlineStr">
        <is>
          <t xml:space="preserve">Sim</t>
        </is>
      </c>
      <c r="T76" s="86" t="inlineStr">
        <is>
          <t xml:space="preserve">Sim</t>
        </is>
      </c>
      <c r="U76" s="86" t="inlineStr">
        <is>
          <t xml:space="preserve">Sim</t>
        </is>
      </c>
      <c r="V76" s="86" t="inlineStr">
        <is>
          <t xml:space="preserve">Sim</t>
        </is>
      </c>
      <c r="W76" s="86" t="inlineStr">
        <is>
          <t xml:space="preserve">Sim</t>
        </is>
      </c>
      <c r="X76" s="86" t="inlineStr">
        <is>
          <t xml:space="preserve">Sim</t>
        </is>
      </c>
      <c r="Y76" s="86" t="inlineStr">
        <is>
          <t xml:space="preserve">Sim</t>
        </is>
      </c>
      <c r="Z76" s="86" t="inlineStr">
        <is>
          <t xml:space="preserve">Sim</t>
        </is>
      </c>
      <c r="AA76" s="86" t="inlineStr">
        <is>
          <t xml:space="preserve">Sim</t>
        </is>
      </c>
      <c r="AB76" s="86" t="inlineStr">
        <is>
          <t xml:space="preserve">Sim</t>
        </is>
      </c>
      <c r="AC76" s="86" t="inlineStr">
        <is>
          <t xml:space="preserve">Sim</t>
        </is>
      </c>
      <c r="AD76" s="86" t="inlineStr">
        <is>
          <t xml:space="preserve">Sim</t>
        </is>
      </c>
      <c r="AE76" s="86" t="inlineStr">
        <is>
          <t xml:space="preserve">Sim</t>
        </is>
      </c>
      <c r="AF76" s="86" t="inlineStr">
        <is>
          <t xml:space="preserve">Sim</t>
        </is>
      </c>
    </row>
    <row r="77">
      <c r="A77" s="85" t="inlineStr">
        <is>
          <t xml:space="preserve">Beautybiz</t>
        </is>
      </c>
      <c r="B77" s="86" t="inlineStr">
        <is>
          <t xml:space="preserve">Sim</t>
        </is>
      </c>
      <c r="C77" s="86" t="inlineStr">
        <is>
          <t xml:space="preserve">Sim</t>
        </is>
      </c>
      <c r="D77" s="86" t="inlineStr">
        <is>
          <t xml:space="preserve">Não</t>
        </is>
      </c>
      <c r="E77" s="86" t="inlineStr">
        <is>
          <t xml:space="preserve">Não</t>
        </is>
      </c>
      <c r="F77" s="86" t="inlineStr">
        <is>
          <t xml:space="preserve">Sim</t>
        </is>
      </c>
      <c r="G77" s="86" t="inlineStr">
        <is>
          <t xml:space="preserve">Não</t>
        </is>
      </c>
      <c r="H77" s="86" t="inlineStr">
        <is>
          <t xml:space="preserve">Não</t>
        </is>
      </c>
      <c r="I77" s="86" t="inlineStr">
        <is>
          <t xml:space="preserve">Não</t>
        </is>
      </c>
      <c r="J77" s="86" t="inlineStr">
        <is>
          <t xml:space="preserve">Não</t>
        </is>
      </c>
      <c r="K77" s="86" t="inlineStr">
        <is>
          <t xml:space="preserve">Sim</t>
        </is>
      </c>
      <c r="L77" s="86" t="inlineStr">
        <is>
          <t xml:space="preserve">Sim</t>
        </is>
      </c>
      <c r="M77" s="86" t="inlineStr">
        <is>
          <t xml:space="preserve">Não</t>
        </is>
      </c>
      <c r="N77" s="86" t="inlineStr">
        <is>
          <t xml:space="preserve">Não</t>
        </is>
      </c>
      <c r="O77" s="86" t="inlineStr">
        <is>
          <t xml:space="preserve">Não</t>
        </is>
      </c>
      <c r="P77" s="86" t="inlineStr">
        <is>
          <t xml:space="preserve">Não</t>
        </is>
      </c>
      <c r="Q77" s="86" t="inlineStr">
        <is>
          <t xml:space="preserve">Não</t>
        </is>
      </c>
      <c r="R77" s="86" t="inlineStr">
        <is>
          <t xml:space="preserve">Sim</t>
        </is>
      </c>
      <c r="S77" s="86" t="inlineStr">
        <is>
          <t xml:space="preserve">Não</t>
        </is>
      </c>
      <c r="T77" s="86" t="inlineStr">
        <is>
          <t xml:space="preserve">Sim</t>
        </is>
      </c>
      <c r="U77" s="86" t="inlineStr">
        <is>
          <t xml:space="preserve">Sim</t>
        </is>
      </c>
      <c r="V77" s="86" t="inlineStr">
        <is>
          <t xml:space="preserve">Sim</t>
        </is>
      </c>
      <c r="W77" s="86" t="inlineStr">
        <is>
          <t xml:space="preserve">Sim</t>
        </is>
      </c>
      <c r="X77" s="86" t="inlineStr">
        <is>
          <t xml:space="preserve">Sim</t>
        </is>
      </c>
      <c r="Y77" s="86" t="inlineStr">
        <is>
          <t xml:space="preserve">Sim</t>
        </is>
      </c>
      <c r="Z77" s="86" t="inlineStr">
        <is>
          <t xml:space="preserve">Sim</t>
        </is>
      </c>
      <c r="AA77" s="86" t="inlineStr">
        <is>
          <t xml:space="preserve">Sim</t>
        </is>
      </c>
      <c r="AB77" s="86" t="inlineStr">
        <is>
          <t xml:space="preserve">Sim</t>
        </is>
      </c>
      <c r="AC77" s="86" t="inlineStr">
        <is>
          <t xml:space="preserve">Sim</t>
        </is>
      </c>
      <c r="AD77" s="86" t="inlineStr">
        <is>
          <t xml:space="preserve">Sim</t>
        </is>
      </c>
      <c r="AE77" s="86" t="inlineStr">
        <is>
          <t xml:space="preserve">Sim</t>
        </is>
      </c>
      <c r="AF77" s="86" t="inlineStr">
        <is>
          <t xml:space="preserve">Sim</t>
        </is>
      </c>
    </row>
    <row r="78">
      <c r="A78" s="85" t="inlineStr">
        <is>
          <t xml:space="preserve">Boticário</t>
        </is>
      </c>
      <c r="B78" s="86" t="inlineStr">
        <is>
          <t xml:space="preserve">Sim</t>
        </is>
      </c>
      <c r="C78" s="86" t="inlineStr">
        <is>
          <t xml:space="preserve">Não</t>
        </is>
      </c>
      <c r="D78" s="86" t="inlineStr">
        <is>
          <t xml:space="preserve">Não</t>
        </is>
      </c>
      <c r="E78" s="86" t="inlineStr">
        <is>
          <t xml:space="preserve">Não</t>
        </is>
      </c>
      <c r="F78" s="86" t="inlineStr">
        <is>
          <t xml:space="preserve">Não</t>
        </is>
      </c>
      <c r="G78" s="86" t="inlineStr">
        <is>
          <t xml:space="preserve">Não</t>
        </is>
      </c>
      <c r="H78" s="86" t="inlineStr">
        <is>
          <t xml:space="preserve">Sim</t>
        </is>
      </c>
      <c r="I78" s="86" t="inlineStr">
        <is>
          <t xml:space="preserve">Sim</t>
        </is>
      </c>
      <c r="J78" s="86" t="inlineStr">
        <is>
          <t xml:space="preserve">Sim</t>
        </is>
      </c>
      <c r="K78" s="86" t="inlineStr">
        <is>
          <t xml:space="preserve">Sim</t>
        </is>
      </c>
      <c r="L78" s="86" t="inlineStr">
        <is>
          <t xml:space="preserve">Não</t>
        </is>
      </c>
      <c r="M78" s="86" t="inlineStr">
        <is>
          <t xml:space="preserve">Sim</t>
        </is>
      </c>
      <c r="N78" s="86" t="inlineStr">
        <is>
          <t xml:space="preserve">Sim</t>
        </is>
      </c>
      <c r="O78" s="86" t="inlineStr">
        <is>
          <t xml:space="preserve">Não</t>
        </is>
      </c>
      <c r="P78" s="86" t="inlineStr">
        <is>
          <t xml:space="preserve">Não</t>
        </is>
      </c>
      <c r="Q78" s="86" t="inlineStr">
        <is>
          <t xml:space="preserve">Não</t>
        </is>
      </c>
      <c r="R78" s="86" t="inlineStr">
        <is>
          <t xml:space="preserve">Sim</t>
        </is>
      </c>
      <c r="S78" s="86" t="inlineStr">
        <is>
          <t xml:space="preserve">Não</t>
        </is>
      </c>
      <c r="T78" s="86" t="inlineStr">
        <is>
          <t xml:space="preserve">Sim</t>
        </is>
      </c>
      <c r="U78" s="86" t="inlineStr">
        <is>
          <t xml:space="preserve">Sim</t>
        </is>
      </c>
      <c r="V78" s="86" t="inlineStr">
        <is>
          <t xml:space="preserve">Sim</t>
        </is>
      </c>
      <c r="W78" s="86" t="inlineStr">
        <is>
          <t xml:space="preserve">Sim</t>
        </is>
      </c>
      <c r="X78" s="86" t="inlineStr">
        <is>
          <t xml:space="preserve">Sim</t>
        </is>
      </c>
      <c r="Y78" s="86" t="inlineStr">
        <is>
          <t xml:space="preserve">Sim</t>
        </is>
      </c>
      <c r="Z78" s="86" t="inlineStr">
        <is>
          <t xml:space="preserve">Sim</t>
        </is>
      </c>
      <c r="AA78" s="86" t="inlineStr">
        <is>
          <t xml:space="preserve">Sim</t>
        </is>
      </c>
      <c r="AB78" s="86" t="inlineStr">
        <is>
          <t xml:space="preserve">Sim</t>
        </is>
      </c>
      <c r="AC78" s="86" t="inlineStr">
        <is>
          <t xml:space="preserve">Sim</t>
        </is>
      </c>
      <c r="AD78" s="86" t="inlineStr">
        <is>
          <t xml:space="preserve">Sim</t>
        </is>
      </c>
      <c r="AE78" s="86" t="inlineStr">
        <is>
          <t xml:space="preserve">Sim</t>
        </is>
      </c>
      <c r="AF78" s="86" t="inlineStr">
        <is>
          <t xml:space="preserve">Sim</t>
        </is>
      </c>
    </row>
    <row r="79">
      <c r="A79" s="85" t="inlineStr">
        <is>
          <t xml:space="preserve">Confiance</t>
        </is>
      </c>
      <c r="B79" s="86" t="inlineStr">
        <is>
          <t xml:space="preserve">Sim</t>
        </is>
      </c>
      <c r="C79" s="86" t="inlineStr">
        <is>
          <t xml:space="preserve">Sim</t>
        </is>
      </c>
      <c r="D79" s="86" t="inlineStr">
        <is>
          <t xml:space="preserve">Sim</t>
        </is>
      </c>
      <c r="E79" s="86" t="inlineStr">
        <is>
          <t xml:space="preserve">Não</t>
        </is>
      </c>
      <c r="F79" s="86" t="inlineStr">
        <is>
          <t xml:space="preserve">Não</t>
        </is>
      </c>
      <c r="G79" s="86" t="inlineStr">
        <is>
          <t xml:space="preserve">Não</t>
        </is>
      </c>
      <c r="H79" s="86" t="inlineStr">
        <is>
          <t xml:space="preserve">Não</t>
        </is>
      </c>
      <c r="I79" s="86" t="inlineStr">
        <is>
          <t xml:space="preserve">Não</t>
        </is>
      </c>
      <c r="J79" s="86" t="inlineStr">
        <is>
          <t xml:space="preserve">Não</t>
        </is>
      </c>
      <c r="K79" s="86" t="inlineStr">
        <is>
          <t xml:space="preserve">Sim</t>
        </is>
      </c>
      <c r="L79" s="86" t="inlineStr">
        <is>
          <t xml:space="preserve">Não</t>
        </is>
      </c>
      <c r="M79" s="86" t="inlineStr">
        <is>
          <t xml:space="preserve">Não</t>
        </is>
      </c>
      <c r="N79" s="86" t="inlineStr">
        <is>
          <t xml:space="preserve">Não</t>
        </is>
      </c>
      <c r="O79" s="86" t="inlineStr">
        <is>
          <t xml:space="preserve">Não</t>
        </is>
      </c>
      <c r="P79" s="86" t="inlineStr">
        <is>
          <t xml:space="preserve">Não</t>
        </is>
      </c>
      <c r="Q79" s="86" t="inlineStr">
        <is>
          <t xml:space="preserve">Não</t>
        </is>
      </c>
      <c r="R79" s="86" t="inlineStr">
        <is>
          <t xml:space="preserve">Sim</t>
        </is>
      </c>
      <c r="S79" s="86" t="inlineStr">
        <is>
          <t xml:space="preserve">Sim</t>
        </is>
      </c>
      <c r="T79" s="86" t="inlineStr">
        <is>
          <t xml:space="preserve">Sim</t>
        </is>
      </c>
      <c r="U79" s="86" t="inlineStr">
        <is>
          <t xml:space="preserve">Sim</t>
        </is>
      </c>
      <c r="V79" s="86" t="inlineStr">
        <is>
          <t xml:space="preserve">Sim</t>
        </is>
      </c>
      <c r="W79" s="86" t="inlineStr">
        <is>
          <t xml:space="preserve">Sim</t>
        </is>
      </c>
      <c r="X79" s="86" t="inlineStr">
        <is>
          <t xml:space="preserve">Sim</t>
        </is>
      </c>
      <c r="Y79" s="86" t="inlineStr">
        <is>
          <t xml:space="preserve">Sim</t>
        </is>
      </c>
      <c r="Z79" s="86" t="inlineStr">
        <is>
          <t xml:space="preserve">Sim</t>
        </is>
      </c>
      <c r="AA79" s="86" t="inlineStr">
        <is>
          <t xml:space="preserve">Sim</t>
        </is>
      </c>
      <c r="AB79" s="86" t="inlineStr">
        <is>
          <t xml:space="preserve">Sim</t>
        </is>
      </c>
      <c r="AC79" s="86" t="inlineStr">
        <is>
          <t xml:space="preserve">Sim</t>
        </is>
      </c>
      <c r="AD79" s="86" t="inlineStr">
        <is>
          <t xml:space="preserve">Sim</t>
        </is>
      </c>
      <c r="AE79" s="86" t="inlineStr">
        <is>
          <t xml:space="preserve">Sim</t>
        </is>
      </c>
      <c r="AF79" s="86" t="inlineStr">
        <is>
          <t xml:space="preserve">Sim</t>
        </is>
      </c>
    </row>
    <row r="80">
      <c r="A80" s="85" t="inlineStr">
        <is>
          <t xml:space="preserve">GE Vernova</t>
        </is>
      </c>
      <c r="B80" s="86" t="inlineStr">
        <is>
          <t xml:space="preserve">Sim</t>
        </is>
      </c>
      <c r="C80" s="86" t="inlineStr">
        <is>
          <t xml:space="preserve">Sim</t>
        </is>
      </c>
      <c r="D80" s="86" t="inlineStr">
        <is>
          <t xml:space="preserve">Não</t>
        </is>
      </c>
      <c r="E80" s="86" t="inlineStr">
        <is>
          <t xml:space="preserve">Sim</t>
        </is>
      </c>
      <c r="F80" s="86" t="inlineStr">
        <is>
          <t xml:space="preserve">Não</t>
        </is>
      </c>
      <c r="G80" s="86" t="inlineStr">
        <is>
          <t xml:space="preserve">Sim</t>
        </is>
      </c>
      <c r="H80" s="86" t="inlineStr">
        <is>
          <t xml:space="preserve">Não</t>
        </is>
      </c>
      <c r="I80" s="86" t="inlineStr">
        <is>
          <t xml:space="preserve">Não</t>
        </is>
      </c>
      <c r="J80" s="86" t="inlineStr">
        <is>
          <t xml:space="preserve">Não</t>
        </is>
      </c>
      <c r="K80" s="86" t="inlineStr">
        <is>
          <t xml:space="preserve">Sim</t>
        </is>
      </c>
      <c r="L80" s="86" t="inlineStr">
        <is>
          <t xml:space="preserve">Não</t>
        </is>
      </c>
      <c r="M80" s="86" t="inlineStr">
        <is>
          <t xml:space="preserve">Não</t>
        </is>
      </c>
      <c r="N80" s="86" t="inlineStr">
        <is>
          <t xml:space="preserve">Não</t>
        </is>
      </c>
      <c r="O80" s="86" t="inlineStr">
        <is>
          <t xml:space="preserve">Sim</t>
        </is>
      </c>
      <c r="P80" s="86" t="inlineStr">
        <is>
          <t xml:space="preserve">Sim</t>
        </is>
      </c>
      <c r="Q80" s="86" t="inlineStr">
        <is>
          <t xml:space="preserve">Não</t>
        </is>
      </c>
      <c r="R80" s="86" t="inlineStr">
        <is>
          <t xml:space="preserve">Sim</t>
        </is>
      </c>
      <c r="S80" s="86" t="inlineStr">
        <is>
          <t xml:space="preserve">Não</t>
        </is>
      </c>
      <c r="T80" s="86" t="inlineStr">
        <is>
          <t xml:space="preserve">Sim</t>
        </is>
      </c>
      <c r="U80" s="86" t="inlineStr">
        <is>
          <t xml:space="preserve">Sim</t>
        </is>
      </c>
      <c r="V80" s="86" t="inlineStr">
        <is>
          <t xml:space="preserve">Sim</t>
        </is>
      </c>
      <c r="W80" s="86" t="inlineStr">
        <is>
          <t xml:space="preserve">Sim</t>
        </is>
      </c>
      <c r="X80" s="86" t="inlineStr">
        <is>
          <t xml:space="preserve">Sim</t>
        </is>
      </c>
      <c r="Y80" s="86" t="inlineStr">
        <is>
          <t xml:space="preserve">Sim</t>
        </is>
      </c>
      <c r="Z80" s="86" t="inlineStr">
        <is>
          <t xml:space="preserve">Sim</t>
        </is>
      </c>
      <c r="AA80" s="86" t="inlineStr">
        <is>
          <t xml:space="preserve">Sim</t>
        </is>
      </c>
      <c r="AB80" s="86" t="inlineStr">
        <is>
          <t xml:space="preserve">Sim</t>
        </is>
      </c>
      <c r="AC80" s="86" t="inlineStr">
        <is>
          <t xml:space="preserve">Sim</t>
        </is>
      </c>
      <c r="AD80" s="86" t="inlineStr">
        <is>
          <t xml:space="preserve">Sim</t>
        </is>
      </c>
      <c r="AE80" s="86" t="inlineStr">
        <is>
          <t xml:space="preserve">Sim</t>
        </is>
      </c>
      <c r="AF80" s="86" t="inlineStr">
        <is>
          <t xml:space="preserve">Sim</t>
        </is>
      </c>
    </row>
    <row r="81">
      <c r="A81" s="85" t="inlineStr">
        <is>
          <t xml:space="preserve">Omnilife</t>
        </is>
      </c>
      <c r="B81" s="86" t="inlineStr">
        <is>
          <t xml:space="preserve">Sim</t>
        </is>
      </c>
      <c r="C81" s="86" t="inlineStr">
        <is>
          <t xml:space="preserve">Sim</t>
        </is>
      </c>
      <c r="D81" s="86" t="inlineStr">
        <is>
          <t xml:space="preserve">Não</t>
        </is>
      </c>
      <c r="E81" s="86" t="inlineStr">
        <is>
          <t xml:space="preserve">Não</t>
        </is>
      </c>
      <c r="F81" s="86" t="inlineStr">
        <is>
          <t xml:space="preserve">Não</t>
        </is>
      </c>
      <c r="G81" s="86" t="inlineStr">
        <is>
          <t xml:space="preserve">Não</t>
        </is>
      </c>
      <c r="H81" s="86" t="inlineStr">
        <is>
          <t xml:space="preserve">Não</t>
        </is>
      </c>
      <c r="I81" s="86" t="inlineStr">
        <is>
          <t xml:space="preserve">Não</t>
        </is>
      </c>
      <c r="J81" s="86" t="inlineStr">
        <is>
          <t xml:space="preserve">Não</t>
        </is>
      </c>
      <c r="K81" s="86" t="inlineStr">
        <is>
          <t xml:space="preserve">Sim</t>
        </is>
      </c>
      <c r="L81" s="86" t="inlineStr">
        <is>
          <t xml:space="preserve">Não</t>
        </is>
      </c>
      <c r="M81" s="86" t="inlineStr">
        <is>
          <t xml:space="preserve">Não</t>
        </is>
      </c>
      <c r="N81" s="86" t="inlineStr">
        <is>
          <t xml:space="preserve">Não</t>
        </is>
      </c>
      <c r="O81" s="86" t="inlineStr">
        <is>
          <t xml:space="preserve">Não</t>
        </is>
      </c>
      <c r="P81" s="86" t="inlineStr">
        <is>
          <t xml:space="preserve">Não</t>
        </is>
      </c>
      <c r="Q81" s="86" t="inlineStr">
        <is>
          <t xml:space="preserve">Não</t>
        </is>
      </c>
      <c r="R81" s="86" t="inlineStr">
        <is>
          <t xml:space="preserve">Sim</t>
        </is>
      </c>
      <c r="S81" s="86" t="inlineStr">
        <is>
          <t xml:space="preserve">Não</t>
        </is>
      </c>
      <c r="T81" s="86" t="inlineStr">
        <is>
          <t xml:space="preserve">Sim</t>
        </is>
      </c>
      <c r="U81" s="86" t="inlineStr">
        <is>
          <t xml:space="preserve">Sim</t>
        </is>
      </c>
      <c r="V81" s="86" t="inlineStr">
        <is>
          <t xml:space="preserve">Sim</t>
        </is>
      </c>
      <c r="W81" s="86" t="inlineStr">
        <is>
          <t xml:space="preserve">Sim</t>
        </is>
      </c>
      <c r="X81" s="86" t="inlineStr">
        <is>
          <t xml:space="preserve">Sim</t>
        </is>
      </c>
      <c r="Y81" s="86" t="inlineStr">
        <is>
          <t xml:space="preserve">Sim</t>
        </is>
      </c>
      <c r="Z81" s="86" t="inlineStr">
        <is>
          <t xml:space="preserve">Sim</t>
        </is>
      </c>
      <c r="AA81" s="86" t="inlineStr">
        <is>
          <t xml:space="preserve">Sim</t>
        </is>
      </c>
      <c r="AB81" s="86" t="inlineStr">
        <is>
          <t xml:space="preserve">Sim</t>
        </is>
      </c>
      <c r="AC81" s="86" t="inlineStr">
        <is>
          <t xml:space="preserve">Sim</t>
        </is>
      </c>
      <c r="AD81" s="86" t="inlineStr">
        <is>
          <t xml:space="preserve">Sim</t>
        </is>
      </c>
      <c r="AE81" s="86" t="inlineStr">
        <is>
          <t xml:space="preserve">Sim</t>
        </is>
      </c>
      <c r="AF81" s="86" t="inlineStr">
        <is>
          <t xml:space="preserve">Sim</t>
        </is>
      </c>
    </row>
    <row r="82">
      <c r="A82" s="85" t="inlineStr">
        <is>
          <t xml:space="preserve">Supply</t>
        </is>
      </c>
      <c r="B82" s="86" t="inlineStr">
        <is>
          <t xml:space="preserve">Sim</t>
        </is>
      </c>
      <c r="C82" s="86" t="inlineStr">
        <is>
          <t xml:space="preserve">Sim</t>
        </is>
      </c>
      <c r="D82" s="86" t="inlineStr">
        <is>
          <t xml:space="preserve">Sim</t>
        </is>
      </c>
      <c r="E82" s="86" t="inlineStr">
        <is>
          <t xml:space="preserve">Não</t>
        </is>
      </c>
      <c r="F82" s="86" t="inlineStr">
        <is>
          <t xml:space="preserve">Não</t>
        </is>
      </c>
      <c r="G82" s="86" t="inlineStr">
        <is>
          <t xml:space="preserve">Não</t>
        </is>
      </c>
      <c r="H82" s="86" t="inlineStr">
        <is>
          <t xml:space="preserve">Não</t>
        </is>
      </c>
      <c r="I82" s="86" t="inlineStr">
        <is>
          <t xml:space="preserve">Não</t>
        </is>
      </c>
      <c r="J82" s="86" t="inlineStr">
        <is>
          <t xml:space="preserve">Não</t>
        </is>
      </c>
      <c r="K82" s="86" t="inlineStr">
        <is>
          <t xml:space="preserve">Sim</t>
        </is>
      </c>
      <c r="L82" s="86" t="inlineStr">
        <is>
          <t xml:space="preserve">Não</t>
        </is>
      </c>
      <c r="M82" s="86" t="inlineStr">
        <is>
          <t xml:space="preserve">Não</t>
        </is>
      </c>
      <c r="N82" s="86" t="inlineStr">
        <is>
          <t xml:space="preserve">Não</t>
        </is>
      </c>
      <c r="O82" s="86" t="inlineStr">
        <is>
          <t xml:space="preserve">Não</t>
        </is>
      </c>
      <c r="P82" s="86" t="inlineStr">
        <is>
          <t xml:space="preserve">Não</t>
        </is>
      </c>
      <c r="Q82" s="86" t="inlineStr">
        <is>
          <t xml:space="preserve">Não</t>
        </is>
      </c>
      <c r="R82" s="86" t="inlineStr">
        <is>
          <t xml:space="preserve">Sim</t>
        </is>
      </c>
      <c r="S82" s="86" t="inlineStr">
        <is>
          <t xml:space="preserve">Sim</t>
        </is>
      </c>
      <c r="T82" s="86" t="inlineStr">
        <is>
          <t xml:space="preserve">Sim</t>
        </is>
      </c>
      <c r="U82" s="86" t="inlineStr">
        <is>
          <t xml:space="preserve">Sim</t>
        </is>
      </c>
      <c r="V82" s="86" t="inlineStr">
        <is>
          <t xml:space="preserve">Sim</t>
        </is>
      </c>
      <c r="W82" s="86" t="inlineStr">
        <is>
          <t xml:space="preserve">Sim</t>
        </is>
      </c>
      <c r="X82" s="86" t="inlineStr">
        <is>
          <t xml:space="preserve">Sim</t>
        </is>
      </c>
      <c r="Y82" s="86" t="inlineStr">
        <is>
          <t xml:space="preserve">Sim</t>
        </is>
      </c>
      <c r="Z82" s="86" t="inlineStr">
        <is>
          <t xml:space="preserve">Sim</t>
        </is>
      </c>
      <c r="AA82" s="86" t="inlineStr">
        <is>
          <t xml:space="preserve">Sim</t>
        </is>
      </c>
      <c r="AB82" s="86" t="inlineStr">
        <is>
          <t xml:space="preserve">Sim</t>
        </is>
      </c>
      <c r="AC82" s="86" t="inlineStr">
        <is>
          <t xml:space="preserve">Sim</t>
        </is>
      </c>
      <c r="AD82" s="86" t="inlineStr">
        <is>
          <t xml:space="preserve">Sim</t>
        </is>
      </c>
      <c r="AE82" s="86" t="inlineStr">
        <is>
          <t xml:space="preserve">Sim</t>
        </is>
      </c>
      <c r="AF82" s="86" t="inlineStr">
        <is>
          <t xml:space="preserve">Sim</t>
        </is>
      </c>
    </row>
    <row r="83">
      <c r="A83" s="85" t="inlineStr">
        <is>
          <t xml:space="preserve">Vedacit</t>
        </is>
      </c>
      <c r="B83" s="86" t="inlineStr">
        <is>
          <t xml:space="preserve">Sim</t>
        </is>
      </c>
      <c r="C83" s="86" t="inlineStr">
        <is>
          <t xml:space="preserve">Sim</t>
        </is>
      </c>
      <c r="D83" s="86" t="inlineStr">
        <is>
          <t xml:space="preserve">Não</t>
        </is>
      </c>
      <c r="E83" s="86" t="inlineStr">
        <is>
          <t xml:space="preserve">Não</t>
        </is>
      </c>
      <c r="F83" s="86" t="inlineStr">
        <is>
          <t xml:space="preserve">Não</t>
        </is>
      </c>
      <c r="G83" s="86" t="inlineStr">
        <is>
          <t xml:space="preserve">Não</t>
        </is>
      </c>
      <c r="H83" s="86" t="inlineStr">
        <is>
          <t xml:space="preserve">Não</t>
        </is>
      </c>
      <c r="I83" s="86" t="inlineStr">
        <is>
          <t xml:space="preserve">Não</t>
        </is>
      </c>
      <c r="J83" s="86" t="inlineStr">
        <is>
          <t xml:space="preserve">Não</t>
        </is>
      </c>
      <c r="K83" s="86" t="inlineStr">
        <is>
          <t xml:space="preserve">Sim</t>
        </is>
      </c>
      <c r="L83" s="86" t="inlineStr">
        <is>
          <t xml:space="preserve">Não</t>
        </is>
      </c>
      <c r="M83" s="86" t="inlineStr">
        <is>
          <t xml:space="preserve">Não</t>
        </is>
      </c>
      <c r="N83" s="86" t="inlineStr">
        <is>
          <t xml:space="preserve">Não</t>
        </is>
      </c>
      <c r="O83" s="86" t="inlineStr">
        <is>
          <t xml:space="preserve">Não</t>
        </is>
      </c>
      <c r="P83" s="86" t="inlineStr">
        <is>
          <t xml:space="preserve">Não</t>
        </is>
      </c>
      <c r="Q83" s="86" t="inlineStr">
        <is>
          <t xml:space="preserve">Não</t>
        </is>
      </c>
      <c r="R83" s="86" t="inlineStr">
        <is>
          <t xml:space="preserve">Sim</t>
        </is>
      </c>
      <c r="S83" s="86" t="inlineStr">
        <is>
          <t xml:space="preserve">Não</t>
        </is>
      </c>
      <c r="T83" s="86" t="inlineStr">
        <is>
          <t xml:space="preserve">Sim</t>
        </is>
      </c>
      <c r="U83" s="86" t="inlineStr">
        <is>
          <t xml:space="preserve">Sim</t>
        </is>
      </c>
      <c r="V83" s="86" t="inlineStr">
        <is>
          <t xml:space="preserve">Sim</t>
        </is>
      </c>
      <c r="W83" s="86" t="inlineStr">
        <is>
          <t xml:space="preserve">Sim</t>
        </is>
      </c>
      <c r="X83" s="86" t="inlineStr">
        <is>
          <t xml:space="preserve">Sim</t>
        </is>
      </c>
      <c r="Y83" s="86" t="inlineStr">
        <is>
          <t xml:space="preserve">Sim</t>
        </is>
      </c>
      <c r="Z83" s="86" t="inlineStr">
        <is>
          <t xml:space="preserve">Sim</t>
        </is>
      </c>
      <c r="AA83" s="86" t="inlineStr">
        <is>
          <t xml:space="preserve">Sim</t>
        </is>
      </c>
      <c r="AB83" s="86" t="inlineStr">
        <is>
          <t xml:space="preserve">Sim</t>
        </is>
      </c>
      <c r="AC83" s="86" t="inlineStr">
        <is>
          <t xml:space="preserve">Sim</t>
        </is>
      </c>
      <c r="AD83" s="86" t="inlineStr">
        <is>
          <t xml:space="preserve">Sim</t>
        </is>
      </c>
      <c r="AE83" s="86" t="inlineStr">
        <is>
          <t xml:space="preserve">Sim</t>
        </is>
      </c>
      <c r="AF83" s="86" t="inlineStr">
        <is>
          <t xml:space="preserve">Sim</t>
        </is>
      </c>
    </row>
    <row r="84">
      <c r="A84" s="85" t="inlineStr">
        <is>
          <t xml:space="preserve">Vestas</t>
        </is>
      </c>
      <c r="B84" s="86" t="inlineStr">
        <is>
          <t xml:space="preserve">Sim</t>
        </is>
      </c>
      <c r="C84" s="86" t="inlineStr">
        <is>
          <t xml:space="preserve">Não</t>
        </is>
      </c>
      <c r="D84" s="86" t="inlineStr">
        <is>
          <t xml:space="preserve">Não</t>
        </is>
      </c>
      <c r="E84" s="86" t="inlineStr">
        <is>
          <t xml:space="preserve">Sim</t>
        </is>
      </c>
      <c r="F84" s="86" t="inlineStr">
        <is>
          <t xml:space="preserve">Não</t>
        </is>
      </c>
      <c r="G84" s="86" t="inlineStr">
        <is>
          <t xml:space="preserve">Não</t>
        </is>
      </c>
      <c r="H84" s="86" t="inlineStr">
        <is>
          <t xml:space="preserve">Não</t>
        </is>
      </c>
      <c r="I84" s="86" t="inlineStr">
        <is>
          <t xml:space="preserve">Não</t>
        </is>
      </c>
      <c r="J84" s="86" t="inlineStr">
        <is>
          <t xml:space="preserve">Não</t>
        </is>
      </c>
      <c r="K84" s="86" t="inlineStr">
        <is>
          <t xml:space="preserve">Sim</t>
        </is>
      </c>
      <c r="L84" s="86" t="inlineStr">
        <is>
          <t xml:space="preserve">Não</t>
        </is>
      </c>
      <c r="M84" s="86" t="inlineStr">
        <is>
          <t xml:space="preserve">Não</t>
        </is>
      </c>
      <c r="N84" s="86" t="inlineStr">
        <is>
          <t xml:space="preserve">Não</t>
        </is>
      </c>
      <c r="O84" s="86" t="inlineStr">
        <is>
          <t xml:space="preserve">Não</t>
        </is>
      </c>
      <c r="P84" s="86" t="inlineStr">
        <is>
          <t xml:space="preserve">Sim</t>
        </is>
      </c>
      <c r="Q84" s="86" t="inlineStr">
        <is>
          <t xml:space="preserve">Não</t>
        </is>
      </c>
      <c r="R84" s="86" t="inlineStr">
        <is>
          <t xml:space="preserve">Não</t>
        </is>
      </c>
      <c r="S84" s="86" t="inlineStr">
        <is>
          <t xml:space="preserve">Não</t>
        </is>
      </c>
      <c r="T84" s="86" t="inlineStr">
        <is>
          <t xml:space="preserve">Sim</t>
        </is>
      </c>
      <c r="U84" s="86" t="inlineStr">
        <is>
          <t xml:space="preserve">Sim</t>
        </is>
      </c>
      <c r="V84" s="86" t="inlineStr">
        <is>
          <t xml:space="preserve">Sim</t>
        </is>
      </c>
      <c r="W84" s="86" t="inlineStr">
        <is>
          <t xml:space="preserve">Sim</t>
        </is>
      </c>
      <c r="X84" s="86" t="inlineStr">
        <is>
          <t xml:space="preserve">Sim</t>
        </is>
      </c>
      <c r="Y84" s="86" t="inlineStr">
        <is>
          <t xml:space="preserve">Sim</t>
        </is>
      </c>
      <c r="Z84" s="86" t="inlineStr">
        <is>
          <t xml:space="preserve">Sim</t>
        </is>
      </c>
      <c r="AA84" s="86" t="inlineStr">
        <is>
          <t xml:space="preserve">Sim</t>
        </is>
      </c>
      <c r="AB84" s="86" t="inlineStr">
        <is>
          <t xml:space="preserve">Sim</t>
        </is>
      </c>
      <c r="AC84" s="86" t="inlineStr">
        <is>
          <t xml:space="preserve">Sim</t>
        </is>
      </c>
      <c r="AD84" s="86" t="inlineStr">
        <is>
          <t xml:space="preserve">Sim</t>
        </is>
      </c>
      <c r="AE84" s="86" t="inlineStr">
        <is>
          <t xml:space="preserve">Sim</t>
        </is>
      </c>
      <c r="AF84" s="86" t="inlineStr">
        <is>
          <t xml:space="preserve">Sim</t>
        </is>
      </c>
    </row>
  </sheetData>
  <sheetProtection password="CC78" sheet="1" objects="1" scenarios="1"/>
  <mergeCells count="35">
    <mergeCell ref="A1:Z1"/>
    <mergeCell ref="A2:R3"/>
    <mergeCell ref="A39:E39"/>
    <mergeCell ref="B40:E40"/>
    <mergeCell ref="B41:E41"/>
    <mergeCell ref="B42:E42"/>
    <mergeCell ref="B43:E43"/>
    <mergeCell ref="B44:E44"/>
    <mergeCell ref="B45:E45"/>
    <mergeCell ref="B46:E46"/>
    <mergeCell ref="B47:E47"/>
    <mergeCell ref="B48:E48"/>
    <mergeCell ref="B49:E49"/>
    <mergeCell ref="B50:E50"/>
    <mergeCell ref="B51:E51"/>
    <mergeCell ref="B52:E52"/>
    <mergeCell ref="B53:E53"/>
    <mergeCell ref="B54:E54"/>
    <mergeCell ref="B55:E55"/>
    <mergeCell ref="B56:E56"/>
    <mergeCell ref="B57:E57"/>
    <mergeCell ref="B58:E58"/>
    <mergeCell ref="B59:E59"/>
    <mergeCell ref="B60:E60"/>
    <mergeCell ref="B61:E61"/>
    <mergeCell ref="B62:E62"/>
    <mergeCell ref="B63:E63"/>
    <mergeCell ref="B64:E64"/>
    <mergeCell ref="B65:E65"/>
    <mergeCell ref="B66:E66"/>
    <mergeCell ref="B67:E67"/>
    <mergeCell ref="B68:E68"/>
    <mergeCell ref="B69:E69"/>
    <mergeCell ref="B70:E70"/>
    <mergeCell ref="A73:L73"/>
  </mergeCells>
  <conditionalFormatting sqref="B6:B16">
    <cfRule type="expression" dxfId="3" priority="1">
      <formula>B6="Não se aplica"</formula>
    </cfRule>
  </conditionalFormatting>
  <conditionalFormatting sqref="F6:F16">
    <cfRule type="expression" dxfId="3" priority="2">
      <formula>F6="Não se aplica"</formula>
    </cfRule>
  </conditionalFormatting>
  <conditionalFormatting sqref="J6:J16">
    <cfRule type="expression" dxfId="3" priority="3">
      <formula>J6="Não se aplica"</formula>
    </cfRule>
  </conditionalFormatting>
  <conditionalFormatting sqref="J6:J16">
    <cfRule type="expression" dxfId="4" priority="4">
      <formula>J6="Só ocupadas"</formula>
    </cfRule>
  </conditionalFormatting>
  <conditionalFormatting sqref="B75:AF84">
    <cfRule type="expression" dxfId="3" priority="5">
      <formula>B75="Não"</formula>
    </cfRule>
  </conditionalFormatting>
  <dataValidations count="14">
    <dataValidation type="list" allowBlank="1" showInputMessage="1" showErrorMessage="1" promptTitle="Indicador" prompt="Escolha na lista (vazio = nada)." errorTitle="Valor inválido" error="Escolha um indicador da lista (catálogo à direita)." sqref="C6:C16">
      <formula1>Config!$T$6:$T$37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D6:D16">
      <formula1>Config!$T$6:$T$37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E6:E16">
      <formula1>Config!$T$6:$T$37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G6:G16">
      <formula1>Config!$T$6:$T$37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H6:H16">
      <formula1>Config!$T$6:$T$37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I6:I16">
      <formula1>Config!$T$6:$T$37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K6:K16">
      <formula1>Config!$T$6:$T$37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L6:L16">
      <formula1>Config!$T$6:$T$37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O6:O16">
      <formula1>Config!$T$6:$T$37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P6:P16">
      <formula1>Config!$T$6:$T$37</formula1>
    </dataValidation>
    <dataValidation type="list" allowBlank="1" showInputMessage="1" showErrorMessage="1" promptTitle="Card" prompt="Sim ou Não se aplica." errorTitle="Valor inválido" error="Escolha um valor da lista." sqref="B6:B16">
      <formula1>"Sim,Não se aplica"</formula1>
    </dataValidation>
    <dataValidation type="list" allowBlank="1" showInputMessage="1" showErrorMessage="1" promptTitle="Card" prompt="Sim ou Não se aplica." errorTitle="Valor inválido" error="Escolha um valor da lista." sqref="F6:F16">
      <formula1>"Sim,Não se aplica"</formula1>
    </dataValidation>
    <dataValidation type="list" allowBlank="1" showInputMessage="1" showErrorMessage="1" promptTitle="Card Ocupação" prompt="Completo, Só ocupadas (sem contratada e taxa) ou Não se aplica." errorTitle="Valor inválido" error="Escolha um valor da lista." sqref="J6:J16">
      <formula1>"Completo,Só ocupadas,Não se aplica"</formula1>
    </dataValidation>
    <dataValidation type="list" allowBlank="1" showInputMessage="1" showErrorMessage="1" promptTitle="Coluna na BD" prompt="Sim = o cliente preenche · Não = coluna bloqueada para o cliente." errorTitle="Valor inválido" error="Escolha um valor da lista." sqref="B75:AF84">
      <formula1>"Sim,Não"</formula1>
    </dataValidation>
  </dataValidations>
  <pageMargins left="0.25" right="0.25" top="0.4" bottom="0.4" header="0.2" footer="0.2"/>
  <pageSetup paperSize="9" orientation="landscape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7F7F7F"/>
    <pageSetUpPr fitToPage="1"/>
  </sheetPr>
  <dimension ref="A1:AW326"/>
  <sheetViews>
    <sheetView showGridLines="0" zoomScale="100" zoomScaleNormal="100" workbookViewId="0">
      <pane xSplit="2" ySplit="11" topLeftCell="C12" activePane="bottomRight" state="frozen"/>
      <selection pane="bottomRight" activeCell="C12" sqref="C12"/>
    </sheetView>
  </sheetViews>
  <sheetFormatPr defaultRowHeight="15"/>
  <cols>
    <col min="1" max="1" width="26" customWidth="1"/>
    <col min="2" max="2" width="12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0" customWidth="1"/>
    <col min="20" max="20" width="10" customWidth="1"/>
    <col min="21" max="21" width="10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10" customWidth="1"/>
    <col min="28" max="28" width="10" customWidth="1"/>
    <col min="29" max="29" width="10" customWidth="1"/>
    <col min="30" max="30" width="10" customWidth="1"/>
    <col min="31" max="31" width="10" customWidth="1"/>
    <col min="32" max="32" width="10" customWidth="1"/>
    <col min="33" max="33" width="10" customWidth="1"/>
    <col min="34" max="34" width="10" customWidth="1"/>
    <col min="35" max="35" width="10" customWidth="1"/>
    <col min="36" max="36" width="10" customWidth="1"/>
    <col min="39" max="39" width="20" customWidth="1"/>
    <col min="41" max="41" width="22" customWidth="1"/>
    <col min="42" max="42" width="12" customWidth="1"/>
    <col min="44" max="44" width="52" customWidth="1"/>
    <col min="47" max="47" width="14" customWidth="1"/>
    <col min="49" max="49" width="20" customWidth="1"/>
  </cols>
  <sheetData>
    <row r="1">
      <c r="A1" s="26" t="inlineStr">
        <is>
          <t xml:space="preserve">CÁLCULOS — base da aba Consol Mensal (mês e filtro da própria aba) · gerado automaticamente</t>
        </is>
      </c>
    </row>
    <row r="2">
      <c r="A2" s="27" t="inlineStr">
        <is>
          <t xml:space="preserve">Cliente selecionado</t>
        </is>
      </c>
      <c r="B2" s="27" t="str">
        <f>IF(OR('Consol Mensal'!$D$3="",'Consol Mensal'!$D$3="Todos"),"Todos",'Consol Mensal'!$D$3)</f>
        <v>Todos</v>
      </c>
      <c r="C2" s="28">
        <f>IF(LEFT($B$2,9)="Depósito ",2,1)</f>
        <v>1</v>
      </c>
      <c r="D2" s="29" t="str">
        <f>IF($C$2=2,MID($B$2,10,60),$B$2)</f>
        <v>Todos</v>
      </c>
      <c r="E2" s="29" t="str">
        <f>IFERROR(INDEX($AP$12:$AP$22,MATCH($B$2,$AO$12:$AO$22,0)),"")</f>
        <v>TPC</v>
      </c>
    </row>
    <row r="3">
      <c r="A3" s="27" t="inlineStr">
        <is>
          <t xml:space="preserve">Capacidade (posições)</t>
        </is>
      </c>
      <c r="B3" s="30">
        <f>SUM($AV$13:$AV$13)</f>
        <v>23040</v>
      </c>
      <c r="C3" s="31" t="inlineStr">
        <is>
          <t xml:space="preserve">soma dos depósitos (tabela de capacidade à direita, células amarelas)</t>
        </is>
      </c>
    </row>
    <row r="4">
      <c r="A4" s="31" t="inlineStr">
        <is>
          <t xml:space="preserve">Capacidade (repetida p/ fórmulas)</t>
        </is>
      </c>
      <c r="B4" s="32">
        <f>$B$3</f>
        <v>23040</v>
      </c>
    </row>
    <row r="5">
      <c r="A5" s="27" t="inlineStr">
        <is>
          <t xml:space="preserve">Faixa de atenção (ocupação)</t>
        </is>
      </c>
      <c r="B5" s="33">
        <v>0.7</v>
      </c>
    </row>
    <row r="6">
      <c r="A6" s="27" t="inlineStr">
        <is>
          <t xml:space="preserve">Faixa crítica (ocupação)</t>
        </is>
      </c>
      <c r="B6" s="33">
        <v>0.9</v>
      </c>
    </row>
    <row r="7">
      <c r="A7" s="27" t="inlineStr">
        <is>
          <t xml:space="preserve">Competência</t>
        </is>
      </c>
      <c r="B7" s="35" t="str">
        <f>INDEX({"Janeiro","Fevereiro","Março","Abril","Maio","Junho","Julho","Agosto","Setembro","Outubro","Novembro","Dezembro"},MONTH($C$7))&amp;"/"&amp;YEAR($C$7)</f>
        <v>Outubro/2026</v>
      </c>
      <c r="C7" s="34">
        <f>IF(ISNUMBER('Consol Mensal'!$V$1),DATE(YEAR('Consol Mensal'!$V$1),MONTH('Consol Mensal'!$V$1),1),IFERROR(DATE(VALUE(RIGHT(TRIM('Consol Mensal'!$V$1),4)),MATCH(TRIM(LEFT('Consol Mensal'!$V$1,FIND("·",'Consol Mensal'!$V$1)-1)),{"JANEIRO","FEVEREIRO","MARÇO","ABRIL","MAIO","JUNHO","JULHO","AGOSTO","SETEMBRO","OUTUBRO","NOVEMBRO","DEZEMBRO"},0),1),DATE(2026,10,1)))</f>
        <v>46296</v>
      </c>
      <c r="D7" s="34">
        <f>DATE(YEAR($C$7),MONTH($C$7)+1,0)</f>
        <v>46326</v>
      </c>
    </row>
    <row r="8">
      <c r="A8" s="27" t="inlineStr">
        <is>
          <t xml:space="preserve">Mês anterior (comparação)</t>
        </is>
      </c>
      <c r="B8" s="35" t="str">
        <f>INDEX({"Janeiro","Fevereiro","Março","Abril","Maio","Junho","Julho","Agosto","Setembro","Outubro","Novembro","Dezembro"},MONTH($C$8))&amp;"/"&amp;YEAR($C$8)</f>
        <v>Setembro/2026</v>
      </c>
      <c r="C8" s="34">
        <f>DATE(YEAR($C$7),MONTH($C$7)-1,1)</f>
        <v>46266</v>
      </c>
      <c r="D8" s="34">
        <f>IF($B$9=0,$C$8-1,$C$8+MIN($B$9,DAY($C$7-1))-1)</f>
        <v>46265</v>
      </c>
    </row>
    <row r="9">
      <c r="A9" s="27" t="inlineStr">
        <is>
          <t xml:space="preserve">Último dia com dado no mês</t>
        </is>
      </c>
      <c r="B9" s="36">
        <f>IF(COUNTIFS(BD!$A$3:$A$5001,"&gt;="&amp;$C$7,BD!$A$3:$A$5001,"&lt;="&amp;$D$7)=0,0,DAY(_xlfn.MAXIFS(BD!$A$3:$A$5001,BD!$A$3:$A$5001,"&gt;="&amp;$C$7,BD!$A$3:$A$5001,"&lt;="&amp;$D$7)))</f>
        <v>0</v>
      </c>
      <c r="C9" s="31" t="inlineStr">
        <is>
          <t xml:space="preserve">o mês anterior é comparado do dia 1 até este dia</t>
        </is>
      </c>
    </row>
    <row r="11" ht="40" customHeight="1">
      <c r="A11" s="37" t="inlineStr">
        <is>
          <t xml:space="preserve">Dia</t>
        </is>
      </c>
      <c r="B11" s="37" t="inlineStr">
        <is>
          <t xml:space="preserve">Data</t>
        </is>
      </c>
      <c r="C11" s="37" t="inlineStr">
        <is>
          <t xml:space="preserve">IN Veículos Recebidos</t>
        </is>
      </c>
      <c r="D11" s="37" t="inlineStr">
        <is>
          <t xml:space="preserve">IN Pallets Movimentados</t>
        </is>
      </c>
      <c r="E11" s="37" t="inlineStr">
        <is>
          <t xml:space="preserve">IN Toneladas Movimentadas</t>
        </is>
      </c>
      <c r="F11" s="37" t="inlineStr">
        <is>
          <t xml:space="preserve">IN Linhas NF</t>
        </is>
      </c>
      <c r="G11" s="37" t="inlineStr">
        <is>
          <t xml:space="preserve">IN Caixas Movimentadas</t>
        </is>
      </c>
      <c r="H11" s="37" t="inlineStr">
        <is>
          <t xml:space="preserve">IN Peças Movimentadas</t>
        </is>
      </c>
      <c r="I11" s="37" t="inlineStr">
        <is>
          <t xml:space="preserve">IN Itens Recebidos CX Mista</t>
        </is>
      </c>
      <c r="J11" s="37" t="inlineStr">
        <is>
          <t xml:space="preserve">IN Caixas Fechadas</t>
        </is>
      </c>
      <c r="K11" s="37" t="inlineStr">
        <is>
          <t xml:space="preserve">IN Caixas Mistas Recebidas</t>
        </is>
      </c>
      <c r="L11" s="37" t="inlineStr">
        <is>
          <t xml:space="preserve">OUT Veículos Expedidos</t>
        </is>
      </c>
      <c r="M11" s="37" t="inlineStr">
        <is>
          <t xml:space="preserve">OUT Pedidos Expedidos</t>
        </is>
      </c>
      <c r="N11" s="37" t="inlineStr">
        <is>
          <t xml:space="preserve">OUT Pedidos Faturados</t>
        </is>
      </c>
      <c r="O11" s="37" t="inlineStr">
        <is>
          <t xml:space="preserve">OUT Itens Expedidos</t>
        </is>
      </c>
      <c r="P11" s="37" t="inlineStr">
        <is>
          <t xml:space="preserve">OUT Peças Movimentadas</t>
        </is>
      </c>
      <c r="Q11" s="37" t="inlineStr">
        <is>
          <t xml:space="preserve">OUT Linhas NF</t>
        </is>
      </c>
      <c r="R11" s="37" t="inlineStr">
        <is>
          <t xml:space="preserve">OUT Caixas Expedidas</t>
        </is>
      </c>
      <c r="S11" s="37" t="inlineStr">
        <is>
          <t xml:space="preserve">OUT Pallets Movimentados</t>
        </is>
      </c>
      <c r="T11" s="37" t="inlineStr">
        <is>
          <t xml:space="preserve">OUT Toneladas Movimentadas</t>
        </is>
      </c>
      <c r="U11" s="37" t="inlineStr">
        <is>
          <t xml:space="preserve">NC Incidentes</t>
        </is>
      </c>
      <c r="V11" s="37" t="inlineStr">
        <is>
          <t xml:space="preserve">NC No show</t>
        </is>
      </c>
      <c r="W11" s="37" t="inlineStr">
        <is>
          <t xml:space="preserve">NC Backlog</t>
        </is>
      </c>
      <c r="X11" s="37" t="inlineStr">
        <is>
          <t xml:space="preserve">OCUPAÇÃO (P.P) Posições Disponíveis</t>
        </is>
      </c>
      <c r="Y11" s="37" t="inlineStr">
        <is>
          <t xml:space="preserve">OCUPAÇÃO (P.P) Posições Ocupadas</t>
        </is>
      </c>
      <c r="Z11" s="37" t="inlineStr">
        <is>
          <t xml:space="preserve">OCUPAÇÃO (P.P) Taxa de Ocupação</t>
        </is>
      </c>
      <c r="AA11" s="37" t="inlineStr">
        <is>
          <t xml:space="preserve">GENTE Efetivo Op.</t>
        </is>
      </c>
      <c r="AB11" s="37" t="inlineStr">
        <is>
          <t xml:space="preserve">GENTE Falta</t>
        </is>
      </c>
      <c r="AC11" s="37" t="inlineStr">
        <is>
          <t xml:space="preserve">GENTE Folga</t>
        </is>
      </c>
      <c r="AD11" s="37" t="inlineStr">
        <is>
          <t xml:space="preserve">GENTE Férias</t>
        </is>
      </c>
      <c r="AE11" s="37" t="inlineStr">
        <is>
          <t xml:space="preserve">GENTE Desligamento</t>
        </is>
      </c>
      <c r="AF11" s="37" t="inlineStr">
        <is>
          <t xml:space="preserve">GENTE Desvios Comportamentais</t>
        </is>
      </c>
      <c r="AG11" s="37" t="inlineStr">
        <is>
          <t xml:space="preserve">GENTE Acidentes CAF</t>
        </is>
      </c>
      <c r="AH11" s="37" t="inlineStr">
        <is>
          <t xml:space="preserve">GENTE Acidentes SAF</t>
        </is>
      </c>
      <c r="AI11" s="37" t="inlineStr">
        <is>
          <t xml:space="preserve">Faixa atenção</t>
        </is>
      </c>
      <c r="AJ11" s="37" t="inlineStr">
        <is>
          <t xml:space="preserve">Faixa crítica</t>
        </is>
      </c>
      <c r="AM11" s="37" t="inlineStr">
        <is>
          <t xml:space="preserve">Meses (filtros das abas)</t>
        </is>
      </c>
      <c r="AO11" s="37" t="inlineStr">
        <is>
          <t xml:space="preserve">Filtro: depósito / cliente</t>
        </is>
      </c>
      <c r="AP11" s="37" t="inlineStr">
        <is>
          <t xml:space="preserve">Depósito</t>
        </is>
      </c>
      <c r="AR11" s="37" t="inlineStr">
        <is>
          <t xml:space="preserve">Títulos dos gráficos (seguem os filtros)</t>
        </is>
      </c>
    </row>
    <row r="12">
      <c r="A12" s="28">
        <v>1</v>
      </c>
      <c r="B12" s="45">
        <f>IF($A12&lt;=DAY($D$7),$C$7+$A12-1,"")</f>
        <v>46296</v>
      </c>
      <c r="C12" s="32">
        <f>IF($B12="","",IF($B$2="Todos",SUMIFS(BD!$C$3:$C$5001,BD!$A$3:$A$5001,$B12),SUMIFS(BD!$C$3:$C$5001,BD!$A$3:$A$5001,$B12,BD!$B$3:$B$5001,$D$2)))</f>
        <v>0</v>
      </c>
      <c r="D12" s="32">
        <f>IF($B12="","",IF($B$2="Todos",SUMIFS(BD!$D$3:$D$5001,BD!$A$3:$A$5001,$B12),SUMIFS(BD!$D$3:$D$5001,BD!$A$3:$A$5001,$B12,BD!$B$3:$B$5001,$D$2)))</f>
        <v>0</v>
      </c>
      <c r="E12" s="46">
        <f>IF($B12="","",IF($B$2="Todos",SUMIFS(BD!$E$3:$E$5001,BD!$A$3:$A$5001,$B12),SUMIFS(BD!$E$3:$E$5001,BD!$A$3:$A$5001,$B12,BD!$B$3:$B$5001,$D$2)))</f>
        <v>0</v>
      </c>
      <c r="F12" s="32">
        <f>IF($B12="","",IF($B$2="Todos",SUMIFS(BD!$F$3:$F$5001,BD!$A$3:$A$5001,$B12),SUMIFS(BD!$F$3:$F$5001,BD!$A$3:$A$5001,$B12,BD!$B$3:$B$5001,$D$2)))</f>
        <v>0</v>
      </c>
      <c r="G12" s="32">
        <f>IF($B12="","",IF($B$2="Todos",SUMIFS(BD!$G$3:$G$5001,BD!$A$3:$A$5001,$B12),SUMIFS(BD!$G$3:$G$5001,BD!$A$3:$A$5001,$B12,BD!$B$3:$B$5001,$D$2)))</f>
        <v>0</v>
      </c>
      <c r="H12" s="32">
        <f>IF($B12="","",IF($B$2="Todos",SUMIFS(BD!$H$3:$H$5001,BD!$A$3:$A$5001,$B12),SUMIFS(BD!$H$3:$H$5001,BD!$A$3:$A$5001,$B12,BD!$B$3:$B$5001,$D$2)))</f>
        <v>0</v>
      </c>
      <c r="I12" s="32">
        <f>IF($B12="","",IF($B$2="Todos",SUMIFS(BD!$I$3:$I$5001,BD!$A$3:$A$5001,$B12),SUMIFS(BD!$I$3:$I$5001,BD!$A$3:$A$5001,$B12,BD!$B$3:$B$5001,$D$2)))</f>
        <v>0</v>
      </c>
      <c r="J12" s="32">
        <f>IF($B12="","",IF($B$2="Todos",SUMIFS(BD!$J$3:$J$5001,BD!$A$3:$A$5001,$B12),SUMIFS(BD!$J$3:$J$5001,BD!$A$3:$A$5001,$B12,BD!$B$3:$B$5001,$D$2)))</f>
        <v>0</v>
      </c>
      <c r="K12" s="32">
        <f>IF($B12="","",IF($B$2="Todos",SUMIFS(BD!$K$3:$K$5001,BD!$A$3:$A$5001,$B12),SUMIFS(BD!$K$3:$K$5001,BD!$A$3:$A$5001,$B12,BD!$B$3:$B$5001,$D$2)))</f>
        <v>0</v>
      </c>
      <c r="L12" s="32">
        <f>IF($B12="","",IF($B$2="Todos",SUMIFS(BD!$L$3:$L$5001,BD!$A$3:$A$5001,$B12),SUMIFS(BD!$L$3:$L$5001,BD!$A$3:$A$5001,$B12,BD!$B$3:$B$5001,$D$2)))</f>
        <v>0</v>
      </c>
      <c r="M12" s="32">
        <f>IF($B12="","",IF($B$2="Todos",SUMIFS(BD!$M$3:$M$5001,BD!$A$3:$A$5001,$B12),SUMIFS(BD!$M$3:$M$5001,BD!$A$3:$A$5001,$B12,BD!$B$3:$B$5001,$D$2)))</f>
        <v>0</v>
      </c>
      <c r="N12" s="32">
        <f>IF($B12="","",IF($B$2="Todos",SUMIFS(BD!$N$3:$N$5001,BD!$A$3:$A$5001,$B12),SUMIFS(BD!$N$3:$N$5001,BD!$A$3:$A$5001,$B12,BD!$B$3:$B$5001,$D$2)))</f>
        <v>0</v>
      </c>
      <c r="O12" s="32">
        <f>IF($B12="","",IF($B$2="Todos",SUMIFS(BD!$O$3:$O$5001,BD!$A$3:$A$5001,$B12),SUMIFS(BD!$O$3:$O$5001,BD!$A$3:$A$5001,$B12,BD!$B$3:$B$5001,$D$2)))</f>
        <v>0</v>
      </c>
      <c r="P12" s="32">
        <f>IF($B12="","",IF($B$2="Todos",SUMIFS(BD!$P$3:$P$5001,BD!$A$3:$A$5001,$B12),SUMIFS(BD!$P$3:$P$5001,BD!$A$3:$A$5001,$B12,BD!$B$3:$B$5001,$D$2)))</f>
        <v>0</v>
      </c>
      <c r="Q12" s="32">
        <f>IF($B12="","",IF($B$2="Todos",SUMIFS(BD!$Q$3:$Q$5001,BD!$A$3:$A$5001,$B12),SUMIFS(BD!$Q$3:$Q$5001,BD!$A$3:$A$5001,$B12,BD!$B$3:$B$5001,$D$2)))</f>
        <v>0</v>
      </c>
      <c r="R12" s="32">
        <f>IF($B12="","",IF($B$2="Todos",SUMIFS(BD!$R$3:$R$5001,BD!$A$3:$A$5001,$B12),SUMIFS(BD!$R$3:$R$5001,BD!$A$3:$A$5001,$B12,BD!$B$3:$B$5001,$D$2)))</f>
        <v>0</v>
      </c>
      <c r="S12" s="32">
        <f>IF($B12="","",IF($B$2="Todos",SUMIFS(BD!$S$3:$S$5001,BD!$A$3:$A$5001,$B12),SUMIFS(BD!$S$3:$S$5001,BD!$A$3:$A$5001,$B12,BD!$B$3:$B$5001,$D$2)))</f>
        <v>0</v>
      </c>
      <c r="T12" s="46">
        <f>IF($B12="","",IF($B$2="Todos",SUMIFS(BD!$T$3:$T$5001,BD!$A$3:$A$5001,$B12),SUMIFS(BD!$T$3:$T$5001,BD!$A$3:$A$5001,$B12,BD!$B$3:$B$5001,$D$2)))</f>
        <v>0</v>
      </c>
      <c r="U12" s="32">
        <f>IF($B12="","",IF($B$2="Todos",SUMIFS(BD!$U$3:$U$5001,BD!$A$3:$A$5001,$B12),SUMIFS(BD!$U$3:$U$5001,BD!$A$3:$A$5001,$B12,BD!$B$3:$B$5001,$D$2)))</f>
        <v>0</v>
      </c>
      <c r="V12" s="32">
        <f>IF($B12="","",IF($B$2="Todos",SUMIFS(BD!$V$3:$V$5001,BD!$A$3:$A$5001,$B12),SUMIFS(BD!$V$3:$V$5001,BD!$A$3:$A$5001,$B12,BD!$B$3:$B$5001,$D$2)))</f>
        <v>0</v>
      </c>
      <c r="W12" s="32" t="str">
        <f>IF($B$2="Todos",IF(COUNT($C$139:$L$139)=0,"",SUM($C$139:$L$139)),IFERROR(INDEX($C$139:$L$139,MATCH($D$2,$C$138:$L$138,0)),""))</f>
        <v/>
      </c>
      <c r="X12" s="47" t="str">
        <f>IF(Y12="","",IF($B$2="Todos",IF($B$4&gt;0,$B$4,IF($B$2="Todos",IF(COUNT($C$209:$L$209)=0,"",SUM($C$209:$L$209)),IFERROR(INDEX($C$209:$L$209,MATCH($D$2,$C$208:$L$208,0)),""))),IFERROR(INDEX($C$209:$L$209,MATCH($D$2,$C$208:$L$208,0)),"")))</f>
        <v/>
      </c>
      <c r="Y12" s="32" t="str">
        <f>IF($B$2="Todos",IF(COUNT($C$174:$L$174)=0,"",SUM($C$174:$L$174)),IFERROR(INDEX($C$174:$L$174,MATCH($D$2,$C$173:$L$173,0)),""))</f>
        <v/>
      </c>
      <c r="Z12" s="48" t="str">
        <f>IF(AND(ISNUMBER(Y12),ISNUMBER(X12)),IF(X12&gt;0,Y12/X12,""),"")</f>
        <v/>
      </c>
      <c r="AA12" s="32" t="str">
        <f>IF($B$2="Todos",IF(COUNT($C$244:$L$244)=0,"",SUM($C$244:$L$244)),IFERROR(INDEX($C$244:$L$244,MATCH($D$2,$C$243:$L$243,0)),""))</f>
        <v/>
      </c>
      <c r="AB12" s="32">
        <f>IF($B12="","",IF($B$2="Todos",SUMIFS(BD!$AA$3:$AA$5001,BD!$A$3:$A$5001,$B12),SUMIFS(BD!$AA$3:$AA$5001,BD!$A$3:$A$5001,$B12,BD!$B$3:$B$5001,$D$2)))</f>
        <v>0</v>
      </c>
      <c r="AC12" s="32">
        <f>IF($B12="","",IF($B$2="Todos",SUMIFS(BD!$AB$3:$AB$5001,BD!$A$3:$A$5001,$B12),SUMIFS(BD!$AB$3:$AB$5001,BD!$A$3:$A$5001,$B12,BD!$B$3:$B$5001,$D$2)))</f>
        <v>0</v>
      </c>
      <c r="AD12" s="32">
        <f>IF($B12="","",IF($B$2="Todos",SUMIFS(BD!$AC$3:$AC$5001,BD!$A$3:$A$5001,$B12),SUMIFS(BD!$AC$3:$AC$5001,BD!$A$3:$A$5001,$B12,BD!$B$3:$B$5001,$D$2)))</f>
        <v>0</v>
      </c>
      <c r="AE12" s="32">
        <f>IF($B12="","",IF($B$2="Todos",SUMIFS(BD!$AD$3:$AD$5001,BD!$A$3:$A$5001,$B12),SUMIFS(BD!$AD$3:$AD$5001,BD!$A$3:$A$5001,$B12,BD!$B$3:$B$5001,$D$2)))</f>
        <v>0</v>
      </c>
      <c r="AF12" s="32">
        <f>IF($B12="","",IF($B$2="Todos",SUMIFS(BD!$AE$3:$AE$5001,BD!$A$3:$A$5001,$B12),SUMIFS(BD!$AE$3:$AE$5001,BD!$A$3:$A$5001,$B12,BD!$B$3:$B$5001,$D$2)))</f>
        <v>0</v>
      </c>
      <c r="AG12" s="32">
        <f>IF($B12="","",IF($B$2="Todos",SUMIFS(BD!$AF$3:$AF$5001,BD!$A$3:$A$5001,$B12),SUMIFS(BD!$AF$3:$AF$5001,BD!$A$3:$A$5001,$B12,BD!$B$3:$B$5001,$D$2)))</f>
        <v>0</v>
      </c>
      <c r="AH12" s="32">
        <f>IF($B12="","",IF($B$2="Todos",SUMIFS(BD!$AG$3:$AG$5001,BD!$A$3:$A$5001,$B12),SUMIFS(BD!$AG$3:$AG$5001,BD!$A$3:$A$5001,$B12,BD!$B$3:$B$5001,$D$2)))</f>
        <v>0</v>
      </c>
      <c r="AI12" s="49">
        <f>$B$5</f>
        <v>0.7</v>
      </c>
      <c r="AJ12" s="49">
        <f>$B$6</f>
        <v>0.9</v>
      </c>
      <c r="AM12" s="29" t="inlineStr">
        <is>
          <t xml:space="preserve">JANEIRO · 2026</t>
        </is>
      </c>
      <c r="AO12" s="29" t="inlineStr">
        <is>
          <t xml:space="preserve">Todos</t>
        </is>
      </c>
      <c r="AP12" s="28" t="inlineStr">
        <is>
          <t xml:space="preserve">TPC</t>
        </is>
      </c>
      <c r="AR12" s="29" t="str">
        <f>"MOVIMENTAÇÃO FROTA/DIA — "&amp;IF($B$2="Todos","TODOS OS CLIENTES",UPPER($B$2))</f>
        <v>MOVIMENTAÇÃO FROTA/DIA — TODOS OS CLIENTES</v>
      </c>
      <c r="AU12" s="37" t="inlineStr">
        <is>
          <t xml:space="preserve">Capacidade por depósito</t>
        </is>
      </c>
      <c r="AV12" s="37" t="inlineStr">
        <is>
          <t xml:space="preserve">Posições</t>
        </is>
      </c>
    </row>
    <row r="13">
      <c r="A13" s="28">
        <v>2</v>
      </c>
      <c r="B13" s="45">
        <f>IF($A13&lt;=DAY($D$7),$C$7+$A13-1,"")</f>
        <v>46297</v>
      </c>
      <c r="C13" s="32">
        <f>IF($B13="","",IF($B$2="Todos",SUMIFS(BD!$C$3:$C$5001,BD!$A$3:$A$5001,$B13),SUMIFS(BD!$C$3:$C$5001,BD!$A$3:$A$5001,$B13,BD!$B$3:$B$5001,$D$2)))</f>
        <v>0</v>
      </c>
      <c r="D13" s="32">
        <f>IF($B13="","",IF($B$2="Todos",SUMIFS(BD!$D$3:$D$5001,BD!$A$3:$A$5001,$B13),SUMIFS(BD!$D$3:$D$5001,BD!$A$3:$A$5001,$B13,BD!$B$3:$B$5001,$D$2)))</f>
        <v>0</v>
      </c>
      <c r="E13" s="46">
        <f>IF($B13="","",IF($B$2="Todos",SUMIFS(BD!$E$3:$E$5001,BD!$A$3:$A$5001,$B13),SUMIFS(BD!$E$3:$E$5001,BD!$A$3:$A$5001,$B13,BD!$B$3:$B$5001,$D$2)))</f>
        <v>0</v>
      </c>
      <c r="F13" s="32">
        <f>IF($B13="","",IF($B$2="Todos",SUMIFS(BD!$F$3:$F$5001,BD!$A$3:$A$5001,$B13),SUMIFS(BD!$F$3:$F$5001,BD!$A$3:$A$5001,$B13,BD!$B$3:$B$5001,$D$2)))</f>
        <v>0</v>
      </c>
      <c r="G13" s="32">
        <f>IF($B13="","",IF($B$2="Todos",SUMIFS(BD!$G$3:$G$5001,BD!$A$3:$A$5001,$B13),SUMIFS(BD!$G$3:$G$5001,BD!$A$3:$A$5001,$B13,BD!$B$3:$B$5001,$D$2)))</f>
        <v>0</v>
      </c>
      <c r="H13" s="32">
        <f>IF($B13="","",IF($B$2="Todos",SUMIFS(BD!$H$3:$H$5001,BD!$A$3:$A$5001,$B13),SUMIFS(BD!$H$3:$H$5001,BD!$A$3:$A$5001,$B13,BD!$B$3:$B$5001,$D$2)))</f>
        <v>0</v>
      </c>
      <c r="I13" s="32">
        <f>IF($B13="","",IF($B$2="Todos",SUMIFS(BD!$I$3:$I$5001,BD!$A$3:$A$5001,$B13),SUMIFS(BD!$I$3:$I$5001,BD!$A$3:$A$5001,$B13,BD!$B$3:$B$5001,$D$2)))</f>
        <v>0</v>
      </c>
      <c r="J13" s="32">
        <f>IF($B13="","",IF($B$2="Todos",SUMIFS(BD!$J$3:$J$5001,BD!$A$3:$A$5001,$B13),SUMIFS(BD!$J$3:$J$5001,BD!$A$3:$A$5001,$B13,BD!$B$3:$B$5001,$D$2)))</f>
        <v>0</v>
      </c>
      <c r="K13" s="32">
        <f>IF($B13="","",IF($B$2="Todos",SUMIFS(BD!$K$3:$K$5001,BD!$A$3:$A$5001,$B13),SUMIFS(BD!$K$3:$K$5001,BD!$A$3:$A$5001,$B13,BD!$B$3:$B$5001,$D$2)))</f>
        <v>0</v>
      </c>
      <c r="L13" s="32">
        <f>IF($B13="","",IF($B$2="Todos",SUMIFS(BD!$L$3:$L$5001,BD!$A$3:$A$5001,$B13),SUMIFS(BD!$L$3:$L$5001,BD!$A$3:$A$5001,$B13,BD!$B$3:$B$5001,$D$2)))</f>
        <v>0</v>
      </c>
      <c r="M13" s="32">
        <f>IF($B13="","",IF($B$2="Todos",SUMIFS(BD!$M$3:$M$5001,BD!$A$3:$A$5001,$B13),SUMIFS(BD!$M$3:$M$5001,BD!$A$3:$A$5001,$B13,BD!$B$3:$B$5001,$D$2)))</f>
        <v>0</v>
      </c>
      <c r="N13" s="32">
        <f>IF($B13="","",IF($B$2="Todos",SUMIFS(BD!$N$3:$N$5001,BD!$A$3:$A$5001,$B13),SUMIFS(BD!$N$3:$N$5001,BD!$A$3:$A$5001,$B13,BD!$B$3:$B$5001,$D$2)))</f>
        <v>0</v>
      </c>
      <c r="O13" s="32">
        <f>IF($B13="","",IF($B$2="Todos",SUMIFS(BD!$O$3:$O$5001,BD!$A$3:$A$5001,$B13),SUMIFS(BD!$O$3:$O$5001,BD!$A$3:$A$5001,$B13,BD!$B$3:$B$5001,$D$2)))</f>
        <v>0</v>
      </c>
      <c r="P13" s="32">
        <f>IF($B13="","",IF($B$2="Todos",SUMIFS(BD!$P$3:$P$5001,BD!$A$3:$A$5001,$B13),SUMIFS(BD!$P$3:$P$5001,BD!$A$3:$A$5001,$B13,BD!$B$3:$B$5001,$D$2)))</f>
        <v>0</v>
      </c>
      <c r="Q13" s="32">
        <f>IF($B13="","",IF($B$2="Todos",SUMIFS(BD!$Q$3:$Q$5001,BD!$A$3:$A$5001,$B13),SUMIFS(BD!$Q$3:$Q$5001,BD!$A$3:$A$5001,$B13,BD!$B$3:$B$5001,$D$2)))</f>
        <v>0</v>
      </c>
      <c r="R13" s="32">
        <f>IF($B13="","",IF($B$2="Todos",SUMIFS(BD!$R$3:$R$5001,BD!$A$3:$A$5001,$B13),SUMIFS(BD!$R$3:$R$5001,BD!$A$3:$A$5001,$B13,BD!$B$3:$B$5001,$D$2)))</f>
        <v>0</v>
      </c>
      <c r="S13" s="32">
        <f>IF($B13="","",IF($B$2="Todos",SUMIFS(BD!$S$3:$S$5001,BD!$A$3:$A$5001,$B13),SUMIFS(BD!$S$3:$S$5001,BD!$A$3:$A$5001,$B13,BD!$B$3:$B$5001,$D$2)))</f>
        <v>0</v>
      </c>
      <c r="T13" s="46">
        <f>IF($B13="","",IF($B$2="Todos",SUMIFS(BD!$T$3:$T$5001,BD!$A$3:$A$5001,$B13),SUMIFS(BD!$T$3:$T$5001,BD!$A$3:$A$5001,$B13,BD!$B$3:$B$5001,$D$2)))</f>
        <v>0</v>
      </c>
      <c r="U13" s="32">
        <f>IF($B13="","",IF($B$2="Todos",SUMIFS(BD!$U$3:$U$5001,BD!$A$3:$A$5001,$B13),SUMIFS(BD!$U$3:$U$5001,BD!$A$3:$A$5001,$B13,BD!$B$3:$B$5001,$D$2)))</f>
        <v>0</v>
      </c>
      <c r="V13" s="32">
        <f>IF($B13="","",IF($B$2="Todos",SUMIFS(BD!$V$3:$V$5001,BD!$A$3:$A$5001,$B13),SUMIFS(BD!$V$3:$V$5001,BD!$A$3:$A$5001,$B13,BD!$B$3:$B$5001,$D$2)))</f>
        <v>0</v>
      </c>
      <c r="W13" s="32" t="str">
        <f>IF($B$2="Todos",IF(COUNT($C$140:$L$140)=0,"",SUM($C$140:$L$140)),IFERROR(INDEX($C$140:$L$140,MATCH($D$2,$C$138:$L$138,0)),""))</f>
        <v/>
      </c>
      <c r="X13" s="47" t="str">
        <f>IF(Y13="","",IF($B$2="Todos",IF($B$4&gt;0,$B$4,IF($B$2="Todos",IF(COUNT($C$210:$L$210)=0,"",SUM($C$210:$L$210)),IFERROR(INDEX($C$210:$L$210,MATCH($D$2,$C$208:$L$208,0)),""))),IFERROR(INDEX($C$210:$L$210,MATCH($D$2,$C$208:$L$208,0)),"")))</f>
        <v/>
      </c>
      <c r="Y13" s="32" t="str">
        <f>IF($B$2="Todos",IF(COUNT($C$175:$L$175)=0,"",SUM($C$175:$L$175)),IFERROR(INDEX($C$175:$L$175,MATCH($D$2,$C$173:$L$173,0)),""))</f>
        <v/>
      </c>
      <c r="Z13" s="48" t="str">
        <f>IF(AND(ISNUMBER(Y13),ISNUMBER(X13)),IF(X13&gt;0,Y13/X13,""),"")</f>
        <v/>
      </c>
      <c r="AA13" s="32" t="str">
        <f>IF($B$2="Todos",IF(COUNT($C$245:$L$245)=0,"",SUM($C$245:$L$245)),IFERROR(INDEX($C$245:$L$245,MATCH($D$2,$C$243:$L$243,0)),""))</f>
        <v/>
      </c>
      <c r="AB13" s="32">
        <f>IF($B13="","",IF($B$2="Todos",SUMIFS(BD!$AA$3:$AA$5001,BD!$A$3:$A$5001,$B13),SUMIFS(BD!$AA$3:$AA$5001,BD!$A$3:$A$5001,$B13,BD!$B$3:$B$5001,$D$2)))</f>
        <v>0</v>
      </c>
      <c r="AC13" s="32">
        <f>IF($B13="","",IF($B$2="Todos",SUMIFS(BD!$AB$3:$AB$5001,BD!$A$3:$A$5001,$B13),SUMIFS(BD!$AB$3:$AB$5001,BD!$A$3:$A$5001,$B13,BD!$B$3:$B$5001,$D$2)))</f>
        <v>0</v>
      </c>
      <c r="AD13" s="32">
        <f>IF($B13="","",IF($B$2="Todos",SUMIFS(BD!$AC$3:$AC$5001,BD!$A$3:$A$5001,$B13),SUMIFS(BD!$AC$3:$AC$5001,BD!$A$3:$A$5001,$B13,BD!$B$3:$B$5001,$D$2)))</f>
        <v>0</v>
      </c>
      <c r="AE13" s="32">
        <f>IF($B13="","",IF($B$2="Todos",SUMIFS(BD!$AD$3:$AD$5001,BD!$A$3:$A$5001,$B13),SUMIFS(BD!$AD$3:$AD$5001,BD!$A$3:$A$5001,$B13,BD!$B$3:$B$5001,$D$2)))</f>
        <v>0</v>
      </c>
      <c r="AF13" s="32">
        <f>IF($B13="","",IF($B$2="Todos",SUMIFS(BD!$AE$3:$AE$5001,BD!$A$3:$A$5001,$B13),SUMIFS(BD!$AE$3:$AE$5001,BD!$A$3:$A$5001,$B13,BD!$B$3:$B$5001,$D$2)))</f>
        <v>0</v>
      </c>
      <c r="AG13" s="32">
        <f>IF($B13="","",IF($B$2="Todos",SUMIFS(BD!$AF$3:$AF$5001,BD!$A$3:$A$5001,$B13),SUMIFS(BD!$AF$3:$AF$5001,BD!$A$3:$A$5001,$B13,BD!$B$3:$B$5001,$D$2)))</f>
        <v>0</v>
      </c>
      <c r="AH13" s="32">
        <f>IF($B13="","",IF($B$2="Todos",SUMIFS(BD!$AG$3:$AG$5001,BD!$A$3:$A$5001,$B13),SUMIFS(BD!$AG$3:$AG$5001,BD!$A$3:$A$5001,$B13,BD!$B$3:$B$5001,$D$2)))</f>
        <v>0</v>
      </c>
      <c r="AI13" s="49">
        <f>$B$5</f>
        <v>0.7</v>
      </c>
      <c r="AJ13" s="49">
        <f>$B$6</f>
        <v>0.9</v>
      </c>
      <c r="AM13" s="29" t="inlineStr">
        <is>
          <t xml:space="preserve">FEVEREIRO · 2026</t>
        </is>
      </c>
      <c r="AO13" s="29" t="inlineStr">
        <is>
          <t xml:space="preserve">Alpargatas</t>
        </is>
      </c>
      <c r="AP13" s="28" t="inlineStr">
        <is>
          <t xml:space="preserve">TPC</t>
        </is>
      </c>
      <c r="AR13" s="29" t="str">
        <f>"OCUPAÇÃO DIÁRIA — "&amp;IF($B$2="Todos","TODOS OS CLIENTES",UPPER($B$2))</f>
        <v>OCUPAÇÃO DIÁRIA — TODOS OS CLIENTES</v>
      </c>
      <c r="AU13" s="38" t="inlineStr">
        <is>
          <t xml:space="preserve">TPC</t>
        </is>
      </c>
      <c r="AV13" s="39">
        <v>23040</v>
      </c>
      <c r="AW13" s="31" t="inlineStr">
        <is>
          <t xml:space="preserve">informada</t>
        </is>
      </c>
    </row>
    <row r="14">
      <c r="A14" s="28">
        <v>3</v>
      </c>
      <c r="B14" s="45">
        <f>IF($A14&lt;=DAY($D$7),$C$7+$A14-1,"")</f>
        <v>46298</v>
      </c>
      <c r="C14" s="32">
        <f>IF($B14="","",IF($B$2="Todos",SUMIFS(BD!$C$3:$C$5001,BD!$A$3:$A$5001,$B14),SUMIFS(BD!$C$3:$C$5001,BD!$A$3:$A$5001,$B14,BD!$B$3:$B$5001,$D$2)))</f>
        <v>0</v>
      </c>
      <c r="D14" s="32">
        <f>IF($B14="","",IF($B$2="Todos",SUMIFS(BD!$D$3:$D$5001,BD!$A$3:$A$5001,$B14),SUMIFS(BD!$D$3:$D$5001,BD!$A$3:$A$5001,$B14,BD!$B$3:$B$5001,$D$2)))</f>
        <v>0</v>
      </c>
      <c r="E14" s="46">
        <f>IF($B14="","",IF($B$2="Todos",SUMIFS(BD!$E$3:$E$5001,BD!$A$3:$A$5001,$B14),SUMIFS(BD!$E$3:$E$5001,BD!$A$3:$A$5001,$B14,BD!$B$3:$B$5001,$D$2)))</f>
        <v>0</v>
      </c>
      <c r="F14" s="32">
        <f>IF($B14="","",IF($B$2="Todos",SUMIFS(BD!$F$3:$F$5001,BD!$A$3:$A$5001,$B14),SUMIFS(BD!$F$3:$F$5001,BD!$A$3:$A$5001,$B14,BD!$B$3:$B$5001,$D$2)))</f>
        <v>0</v>
      </c>
      <c r="G14" s="32">
        <f>IF($B14="","",IF($B$2="Todos",SUMIFS(BD!$G$3:$G$5001,BD!$A$3:$A$5001,$B14),SUMIFS(BD!$G$3:$G$5001,BD!$A$3:$A$5001,$B14,BD!$B$3:$B$5001,$D$2)))</f>
        <v>0</v>
      </c>
      <c r="H14" s="32">
        <f>IF($B14="","",IF($B$2="Todos",SUMIFS(BD!$H$3:$H$5001,BD!$A$3:$A$5001,$B14),SUMIFS(BD!$H$3:$H$5001,BD!$A$3:$A$5001,$B14,BD!$B$3:$B$5001,$D$2)))</f>
        <v>0</v>
      </c>
      <c r="I14" s="32">
        <f>IF($B14="","",IF($B$2="Todos",SUMIFS(BD!$I$3:$I$5001,BD!$A$3:$A$5001,$B14),SUMIFS(BD!$I$3:$I$5001,BD!$A$3:$A$5001,$B14,BD!$B$3:$B$5001,$D$2)))</f>
        <v>0</v>
      </c>
      <c r="J14" s="32">
        <f>IF($B14="","",IF($B$2="Todos",SUMIFS(BD!$J$3:$J$5001,BD!$A$3:$A$5001,$B14),SUMIFS(BD!$J$3:$J$5001,BD!$A$3:$A$5001,$B14,BD!$B$3:$B$5001,$D$2)))</f>
        <v>0</v>
      </c>
      <c r="K14" s="32">
        <f>IF($B14="","",IF($B$2="Todos",SUMIFS(BD!$K$3:$K$5001,BD!$A$3:$A$5001,$B14),SUMIFS(BD!$K$3:$K$5001,BD!$A$3:$A$5001,$B14,BD!$B$3:$B$5001,$D$2)))</f>
        <v>0</v>
      </c>
      <c r="L14" s="32">
        <f>IF($B14="","",IF($B$2="Todos",SUMIFS(BD!$L$3:$L$5001,BD!$A$3:$A$5001,$B14),SUMIFS(BD!$L$3:$L$5001,BD!$A$3:$A$5001,$B14,BD!$B$3:$B$5001,$D$2)))</f>
        <v>0</v>
      </c>
      <c r="M14" s="32">
        <f>IF($B14="","",IF($B$2="Todos",SUMIFS(BD!$M$3:$M$5001,BD!$A$3:$A$5001,$B14),SUMIFS(BD!$M$3:$M$5001,BD!$A$3:$A$5001,$B14,BD!$B$3:$B$5001,$D$2)))</f>
        <v>0</v>
      </c>
      <c r="N14" s="32">
        <f>IF($B14="","",IF($B$2="Todos",SUMIFS(BD!$N$3:$N$5001,BD!$A$3:$A$5001,$B14),SUMIFS(BD!$N$3:$N$5001,BD!$A$3:$A$5001,$B14,BD!$B$3:$B$5001,$D$2)))</f>
        <v>0</v>
      </c>
      <c r="O14" s="32">
        <f>IF($B14="","",IF($B$2="Todos",SUMIFS(BD!$O$3:$O$5001,BD!$A$3:$A$5001,$B14),SUMIFS(BD!$O$3:$O$5001,BD!$A$3:$A$5001,$B14,BD!$B$3:$B$5001,$D$2)))</f>
        <v>0</v>
      </c>
      <c r="P14" s="32">
        <f>IF($B14="","",IF($B$2="Todos",SUMIFS(BD!$P$3:$P$5001,BD!$A$3:$A$5001,$B14),SUMIFS(BD!$P$3:$P$5001,BD!$A$3:$A$5001,$B14,BD!$B$3:$B$5001,$D$2)))</f>
        <v>0</v>
      </c>
      <c r="Q14" s="32">
        <f>IF($B14="","",IF($B$2="Todos",SUMIFS(BD!$Q$3:$Q$5001,BD!$A$3:$A$5001,$B14),SUMIFS(BD!$Q$3:$Q$5001,BD!$A$3:$A$5001,$B14,BD!$B$3:$B$5001,$D$2)))</f>
        <v>0</v>
      </c>
      <c r="R14" s="32">
        <f>IF($B14="","",IF($B$2="Todos",SUMIFS(BD!$R$3:$R$5001,BD!$A$3:$A$5001,$B14),SUMIFS(BD!$R$3:$R$5001,BD!$A$3:$A$5001,$B14,BD!$B$3:$B$5001,$D$2)))</f>
        <v>0</v>
      </c>
      <c r="S14" s="32">
        <f>IF($B14="","",IF($B$2="Todos",SUMIFS(BD!$S$3:$S$5001,BD!$A$3:$A$5001,$B14),SUMIFS(BD!$S$3:$S$5001,BD!$A$3:$A$5001,$B14,BD!$B$3:$B$5001,$D$2)))</f>
        <v>0</v>
      </c>
      <c r="T14" s="46">
        <f>IF($B14="","",IF($B$2="Todos",SUMIFS(BD!$T$3:$T$5001,BD!$A$3:$A$5001,$B14),SUMIFS(BD!$T$3:$T$5001,BD!$A$3:$A$5001,$B14,BD!$B$3:$B$5001,$D$2)))</f>
        <v>0</v>
      </c>
      <c r="U14" s="32">
        <f>IF($B14="","",IF($B$2="Todos",SUMIFS(BD!$U$3:$U$5001,BD!$A$3:$A$5001,$B14),SUMIFS(BD!$U$3:$U$5001,BD!$A$3:$A$5001,$B14,BD!$B$3:$B$5001,$D$2)))</f>
        <v>0</v>
      </c>
      <c r="V14" s="32">
        <f>IF($B14="","",IF($B$2="Todos",SUMIFS(BD!$V$3:$V$5001,BD!$A$3:$A$5001,$B14),SUMIFS(BD!$V$3:$V$5001,BD!$A$3:$A$5001,$B14,BD!$B$3:$B$5001,$D$2)))</f>
        <v>0</v>
      </c>
      <c r="W14" s="32" t="str">
        <f>IF($B$2="Todos",IF(COUNT($C$141:$L$141)=0,"",SUM($C$141:$L$141)),IFERROR(INDEX($C$141:$L$141,MATCH($D$2,$C$138:$L$138,0)),""))</f>
        <v/>
      </c>
      <c r="X14" s="47" t="str">
        <f>IF(Y14="","",IF($B$2="Todos",IF($B$4&gt;0,$B$4,IF($B$2="Todos",IF(COUNT($C$211:$L$211)=0,"",SUM($C$211:$L$211)),IFERROR(INDEX($C$211:$L$211,MATCH($D$2,$C$208:$L$208,0)),""))),IFERROR(INDEX($C$211:$L$211,MATCH($D$2,$C$208:$L$208,0)),"")))</f>
        <v/>
      </c>
      <c r="Y14" s="32" t="str">
        <f>IF($B$2="Todos",IF(COUNT($C$176:$L$176)=0,"",SUM($C$176:$L$176)),IFERROR(INDEX($C$176:$L$176,MATCH($D$2,$C$173:$L$173,0)),""))</f>
        <v/>
      </c>
      <c r="Z14" s="48" t="str">
        <f>IF(AND(ISNUMBER(Y14),ISNUMBER(X14)),IF(X14&gt;0,Y14/X14,""),"")</f>
        <v/>
      </c>
      <c r="AA14" s="32" t="str">
        <f>IF($B$2="Todos",IF(COUNT($C$246:$L$246)=0,"",SUM($C$246:$L$246)),IFERROR(INDEX($C$246:$L$246,MATCH($D$2,$C$243:$L$243,0)),""))</f>
        <v/>
      </c>
      <c r="AB14" s="32">
        <f>IF($B14="","",IF($B$2="Todos",SUMIFS(BD!$AA$3:$AA$5001,BD!$A$3:$A$5001,$B14),SUMIFS(BD!$AA$3:$AA$5001,BD!$A$3:$A$5001,$B14,BD!$B$3:$B$5001,$D$2)))</f>
        <v>0</v>
      </c>
      <c r="AC14" s="32">
        <f>IF($B14="","",IF($B$2="Todos",SUMIFS(BD!$AB$3:$AB$5001,BD!$A$3:$A$5001,$B14),SUMIFS(BD!$AB$3:$AB$5001,BD!$A$3:$A$5001,$B14,BD!$B$3:$B$5001,$D$2)))</f>
        <v>0</v>
      </c>
      <c r="AD14" s="32">
        <f>IF($B14="","",IF($B$2="Todos",SUMIFS(BD!$AC$3:$AC$5001,BD!$A$3:$A$5001,$B14),SUMIFS(BD!$AC$3:$AC$5001,BD!$A$3:$A$5001,$B14,BD!$B$3:$B$5001,$D$2)))</f>
        <v>0</v>
      </c>
      <c r="AE14" s="32">
        <f>IF($B14="","",IF($B$2="Todos",SUMIFS(BD!$AD$3:$AD$5001,BD!$A$3:$A$5001,$B14),SUMIFS(BD!$AD$3:$AD$5001,BD!$A$3:$A$5001,$B14,BD!$B$3:$B$5001,$D$2)))</f>
        <v>0</v>
      </c>
      <c r="AF14" s="32">
        <f>IF($B14="","",IF($B$2="Todos",SUMIFS(BD!$AE$3:$AE$5001,BD!$A$3:$A$5001,$B14),SUMIFS(BD!$AE$3:$AE$5001,BD!$A$3:$A$5001,$B14,BD!$B$3:$B$5001,$D$2)))</f>
        <v>0</v>
      </c>
      <c r="AG14" s="32">
        <f>IF($B14="","",IF($B$2="Todos",SUMIFS(BD!$AF$3:$AF$5001,BD!$A$3:$A$5001,$B14),SUMIFS(BD!$AF$3:$AF$5001,BD!$A$3:$A$5001,$B14,BD!$B$3:$B$5001,$D$2)))</f>
        <v>0</v>
      </c>
      <c r="AH14" s="32">
        <f>IF($B14="","",IF($B$2="Todos",SUMIFS(BD!$AG$3:$AG$5001,BD!$A$3:$A$5001,$B14),SUMIFS(BD!$AG$3:$AG$5001,BD!$A$3:$A$5001,$B14,BD!$B$3:$B$5001,$D$2)))</f>
        <v>0</v>
      </c>
      <c r="AI14" s="49">
        <f>$B$5</f>
        <v>0.7</v>
      </c>
      <c r="AJ14" s="49">
        <f>$B$6</f>
        <v>0.9</v>
      </c>
      <c r="AM14" s="29" t="inlineStr">
        <is>
          <t xml:space="preserve">MARÇO · 2026</t>
        </is>
      </c>
      <c r="AO14" s="29" t="inlineStr">
        <is>
          <t xml:space="preserve">Basf</t>
        </is>
      </c>
      <c r="AP14" s="28" t="inlineStr">
        <is>
          <t xml:space="preserve">TPC</t>
        </is>
      </c>
      <c r="AR14" s="29" t="str">
        <f>"MOVIMENTAÇÃO PALETES/DIA — "&amp;IF($B$2="Todos","TODOS OS CLIENTES",UPPER($B$2))</f>
        <v>MOVIMENTAÇÃO PALETES/DIA — TODOS OS CLIENTES</v>
      </c>
    </row>
    <row r="15">
      <c r="A15" s="28">
        <v>4</v>
      </c>
      <c r="B15" s="45">
        <f>IF($A15&lt;=DAY($D$7),$C$7+$A15-1,"")</f>
        <v>46299</v>
      </c>
      <c r="C15" s="32">
        <f>IF($B15="","",IF($B$2="Todos",SUMIFS(BD!$C$3:$C$5001,BD!$A$3:$A$5001,$B15),SUMIFS(BD!$C$3:$C$5001,BD!$A$3:$A$5001,$B15,BD!$B$3:$B$5001,$D$2)))</f>
        <v>0</v>
      </c>
      <c r="D15" s="32">
        <f>IF($B15="","",IF($B$2="Todos",SUMIFS(BD!$D$3:$D$5001,BD!$A$3:$A$5001,$B15),SUMIFS(BD!$D$3:$D$5001,BD!$A$3:$A$5001,$B15,BD!$B$3:$B$5001,$D$2)))</f>
        <v>0</v>
      </c>
      <c r="E15" s="46">
        <f>IF($B15="","",IF($B$2="Todos",SUMIFS(BD!$E$3:$E$5001,BD!$A$3:$A$5001,$B15),SUMIFS(BD!$E$3:$E$5001,BD!$A$3:$A$5001,$B15,BD!$B$3:$B$5001,$D$2)))</f>
        <v>0</v>
      </c>
      <c r="F15" s="32">
        <f>IF($B15="","",IF($B$2="Todos",SUMIFS(BD!$F$3:$F$5001,BD!$A$3:$A$5001,$B15),SUMIFS(BD!$F$3:$F$5001,BD!$A$3:$A$5001,$B15,BD!$B$3:$B$5001,$D$2)))</f>
        <v>0</v>
      </c>
      <c r="G15" s="32">
        <f>IF($B15="","",IF($B$2="Todos",SUMIFS(BD!$G$3:$G$5001,BD!$A$3:$A$5001,$B15),SUMIFS(BD!$G$3:$G$5001,BD!$A$3:$A$5001,$B15,BD!$B$3:$B$5001,$D$2)))</f>
        <v>0</v>
      </c>
      <c r="H15" s="32">
        <f>IF($B15="","",IF($B$2="Todos",SUMIFS(BD!$H$3:$H$5001,BD!$A$3:$A$5001,$B15),SUMIFS(BD!$H$3:$H$5001,BD!$A$3:$A$5001,$B15,BD!$B$3:$B$5001,$D$2)))</f>
        <v>0</v>
      </c>
      <c r="I15" s="32">
        <f>IF($B15="","",IF($B$2="Todos",SUMIFS(BD!$I$3:$I$5001,BD!$A$3:$A$5001,$B15),SUMIFS(BD!$I$3:$I$5001,BD!$A$3:$A$5001,$B15,BD!$B$3:$B$5001,$D$2)))</f>
        <v>0</v>
      </c>
      <c r="J15" s="32">
        <f>IF($B15="","",IF($B$2="Todos",SUMIFS(BD!$J$3:$J$5001,BD!$A$3:$A$5001,$B15),SUMIFS(BD!$J$3:$J$5001,BD!$A$3:$A$5001,$B15,BD!$B$3:$B$5001,$D$2)))</f>
        <v>0</v>
      </c>
      <c r="K15" s="32">
        <f>IF($B15="","",IF($B$2="Todos",SUMIFS(BD!$K$3:$K$5001,BD!$A$3:$A$5001,$B15),SUMIFS(BD!$K$3:$K$5001,BD!$A$3:$A$5001,$B15,BD!$B$3:$B$5001,$D$2)))</f>
        <v>0</v>
      </c>
      <c r="L15" s="32">
        <f>IF($B15="","",IF($B$2="Todos",SUMIFS(BD!$L$3:$L$5001,BD!$A$3:$A$5001,$B15),SUMIFS(BD!$L$3:$L$5001,BD!$A$3:$A$5001,$B15,BD!$B$3:$B$5001,$D$2)))</f>
        <v>0</v>
      </c>
      <c r="M15" s="32">
        <f>IF($B15="","",IF($B$2="Todos",SUMIFS(BD!$M$3:$M$5001,BD!$A$3:$A$5001,$B15),SUMIFS(BD!$M$3:$M$5001,BD!$A$3:$A$5001,$B15,BD!$B$3:$B$5001,$D$2)))</f>
        <v>0</v>
      </c>
      <c r="N15" s="32">
        <f>IF($B15="","",IF($B$2="Todos",SUMIFS(BD!$N$3:$N$5001,BD!$A$3:$A$5001,$B15),SUMIFS(BD!$N$3:$N$5001,BD!$A$3:$A$5001,$B15,BD!$B$3:$B$5001,$D$2)))</f>
        <v>0</v>
      </c>
      <c r="O15" s="32">
        <f>IF($B15="","",IF($B$2="Todos",SUMIFS(BD!$O$3:$O$5001,BD!$A$3:$A$5001,$B15),SUMIFS(BD!$O$3:$O$5001,BD!$A$3:$A$5001,$B15,BD!$B$3:$B$5001,$D$2)))</f>
        <v>0</v>
      </c>
      <c r="P15" s="32">
        <f>IF($B15="","",IF($B$2="Todos",SUMIFS(BD!$P$3:$P$5001,BD!$A$3:$A$5001,$B15),SUMIFS(BD!$P$3:$P$5001,BD!$A$3:$A$5001,$B15,BD!$B$3:$B$5001,$D$2)))</f>
        <v>0</v>
      </c>
      <c r="Q15" s="32">
        <f>IF($B15="","",IF($B$2="Todos",SUMIFS(BD!$Q$3:$Q$5001,BD!$A$3:$A$5001,$B15),SUMIFS(BD!$Q$3:$Q$5001,BD!$A$3:$A$5001,$B15,BD!$B$3:$B$5001,$D$2)))</f>
        <v>0</v>
      </c>
      <c r="R15" s="32">
        <f>IF($B15="","",IF($B$2="Todos",SUMIFS(BD!$R$3:$R$5001,BD!$A$3:$A$5001,$B15),SUMIFS(BD!$R$3:$R$5001,BD!$A$3:$A$5001,$B15,BD!$B$3:$B$5001,$D$2)))</f>
        <v>0</v>
      </c>
      <c r="S15" s="32">
        <f>IF($B15="","",IF($B$2="Todos",SUMIFS(BD!$S$3:$S$5001,BD!$A$3:$A$5001,$B15),SUMIFS(BD!$S$3:$S$5001,BD!$A$3:$A$5001,$B15,BD!$B$3:$B$5001,$D$2)))</f>
        <v>0</v>
      </c>
      <c r="T15" s="46">
        <f>IF($B15="","",IF($B$2="Todos",SUMIFS(BD!$T$3:$T$5001,BD!$A$3:$A$5001,$B15),SUMIFS(BD!$T$3:$T$5001,BD!$A$3:$A$5001,$B15,BD!$B$3:$B$5001,$D$2)))</f>
        <v>0</v>
      </c>
      <c r="U15" s="32">
        <f>IF($B15="","",IF($B$2="Todos",SUMIFS(BD!$U$3:$U$5001,BD!$A$3:$A$5001,$B15),SUMIFS(BD!$U$3:$U$5001,BD!$A$3:$A$5001,$B15,BD!$B$3:$B$5001,$D$2)))</f>
        <v>0</v>
      </c>
      <c r="V15" s="32">
        <f>IF($B15="","",IF($B$2="Todos",SUMIFS(BD!$V$3:$V$5001,BD!$A$3:$A$5001,$B15),SUMIFS(BD!$V$3:$V$5001,BD!$A$3:$A$5001,$B15,BD!$B$3:$B$5001,$D$2)))</f>
        <v>0</v>
      </c>
      <c r="W15" s="32" t="str">
        <f>IF($B$2="Todos",IF(COUNT($C$142:$L$142)=0,"",SUM($C$142:$L$142)),IFERROR(INDEX($C$142:$L$142,MATCH($D$2,$C$138:$L$138,0)),""))</f>
        <v/>
      </c>
      <c r="X15" s="47" t="str">
        <f>IF(Y15="","",IF($B$2="Todos",IF($B$4&gt;0,$B$4,IF($B$2="Todos",IF(COUNT($C$212:$L$212)=0,"",SUM($C$212:$L$212)),IFERROR(INDEX($C$212:$L$212,MATCH($D$2,$C$208:$L$208,0)),""))),IFERROR(INDEX($C$212:$L$212,MATCH($D$2,$C$208:$L$208,0)),"")))</f>
        <v/>
      </c>
      <c r="Y15" s="32" t="str">
        <f>IF($B$2="Todos",IF(COUNT($C$177:$L$177)=0,"",SUM($C$177:$L$177)),IFERROR(INDEX($C$177:$L$177,MATCH($D$2,$C$173:$L$173,0)),""))</f>
        <v/>
      </c>
      <c r="Z15" s="48" t="str">
        <f>IF(AND(ISNUMBER(Y15),ISNUMBER(X15)),IF(X15&gt;0,Y15/X15,""),"")</f>
        <v/>
      </c>
      <c r="AA15" s="32" t="str">
        <f>IF($B$2="Todos",IF(COUNT($C$247:$L$247)=0,"",SUM($C$247:$L$247)),IFERROR(INDEX($C$247:$L$247,MATCH($D$2,$C$243:$L$243,0)),""))</f>
        <v/>
      </c>
      <c r="AB15" s="32">
        <f>IF($B15="","",IF($B$2="Todos",SUMIFS(BD!$AA$3:$AA$5001,BD!$A$3:$A$5001,$B15),SUMIFS(BD!$AA$3:$AA$5001,BD!$A$3:$A$5001,$B15,BD!$B$3:$B$5001,$D$2)))</f>
        <v>0</v>
      </c>
      <c r="AC15" s="32">
        <f>IF($B15="","",IF($B$2="Todos",SUMIFS(BD!$AB$3:$AB$5001,BD!$A$3:$A$5001,$B15),SUMIFS(BD!$AB$3:$AB$5001,BD!$A$3:$A$5001,$B15,BD!$B$3:$B$5001,$D$2)))</f>
        <v>0</v>
      </c>
      <c r="AD15" s="32">
        <f>IF($B15="","",IF($B$2="Todos",SUMIFS(BD!$AC$3:$AC$5001,BD!$A$3:$A$5001,$B15),SUMIFS(BD!$AC$3:$AC$5001,BD!$A$3:$A$5001,$B15,BD!$B$3:$B$5001,$D$2)))</f>
        <v>0</v>
      </c>
      <c r="AE15" s="32">
        <f>IF($B15="","",IF($B$2="Todos",SUMIFS(BD!$AD$3:$AD$5001,BD!$A$3:$A$5001,$B15),SUMIFS(BD!$AD$3:$AD$5001,BD!$A$3:$A$5001,$B15,BD!$B$3:$B$5001,$D$2)))</f>
        <v>0</v>
      </c>
      <c r="AF15" s="32">
        <f>IF($B15="","",IF($B$2="Todos",SUMIFS(BD!$AE$3:$AE$5001,BD!$A$3:$A$5001,$B15),SUMIFS(BD!$AE$3:$AE$5001,BD!$A$3:$A$5001,$B15,BD!$B$3:$B$5001,$D$2)))</f>
        <v>0</v>
      </c>
      <c r="AG15" s="32">
        <f>IF($B15="","",IF($B$2="Todos",SUMIFS(BD!$AF$3:$AF$5001,BD!$A$3:$A$5001,$B15),SUMIFS(BD!$AF$3:$AF$5001,BD!$A$3:$A$5001,$B15,BD!$B$3:$B$5001,$D$2)))</f>
        <v>0</v>
      </c>
      <c r="AH15" s="32">
        <f>IF($B15="","",IF($B$2="Todos",SUMIFS(BD!$AG$3:$AG$5001,BD!$A$3:$A$5001,$B15),SUMIFS(BD!$AG$3:$AG$5001,BD!$A$3:$A$5001,$B15,BD!$B$3:$B$5001,$D$2)))</f>
        <v>0</v>
      </c>
      <c r="AI15" s="49">
        <f>$B$5</f>
        <v>0.7</v>
      </c>
      <c r="AJ15" s="49">
        <f>$B$6</f>
        <v>0.9</v>
      </c>
      <c r="AM15" s="29" t="inlineStr">
        <is>
          <t xml:space="preserve">ABRIL · 2026</t>
        </is>
      </c>
      <c r="AO15" s="29" t="inlineStr">
        <is>
          <t xml:space="preserve">Beautybiz</t>
        </is>
      </c>
      <c r="AP15" s="28" t="inlineStr">
        <is>
          <t xml:space="preserve">TPC</t>
        </is>
      </c>
      <c r="AR15" s="29" t="str">
        <f>"MOVIMENTAÇÃO TONS/DIA — "&amp;IF($B$2="Todos","TODOS OS CLIENTES",UPPER($B$2))</f>
        <v>MOVIMENTAÇÃO TONS/DIA — TODOS OS CLIENTES</v>
      </c>
    </row>
    <row r="16">
      <c r="A16" s="28">
        <v>5</v>
      </c>
      <c r="B16" s="45">
        <f>IF($A16&lt;=DAY($D$7),$C$7+$A16-1,"")</f>
        <v>46300</v>
      </c>
      <c r="C16" s="32">
        <f>IF($B16="","",IF($B$2="Todos",SUMIFS(BD!$C$3:$C$5001,BD!$A$3:$A$5001,$B16),SUMIFS(BD!$C$3:$C$5001,BD!$A$3:$A$5001,$B16,BD!$B$3:$B$5001,$D$2)))</f>
        <v>0</v>
      </c>
      <c r="D16" s="32">
        <f>IF($B16="","",IF($B$2="Todos",SUMIFS(BD!$D$3:$D$5001,BD!$A$3:$A$5001,$B16),SUMIFS(BD!$D$3:$D$5001,BD!$A$3:$A$5001,$B16,BD!$B$3:$B$5001,$D$2)))</f>
        <v>0</v>
      </c>
      <c r="E16" s="46">
        <f>IF($B16="","",IF($B$2="Todos",SUMIFS(BD!$E$3:$E$5001,BD!$A$3:$A$5001,$B16),SUMIFS(BD!$E$3:$E$5001,BD!$A$3:$A$5001,$B16,BD!$B$3:$B$5001,$D$2)))</f>
        <v>0</v>
      </c>
      <c r="F16" s="32">
        <f>IF($B16="","",IF($B$2="Todos",SUMIFS(BD!$F$3:$F$5001,BD!$A$3:$A$5001,$B16),SUMIFS(BD!$F$3:$F$5001,BD!$A$3:$A$5001,$B16,BD!$B$3:$B$5001,$D$2)))</f>
        <v>0</v>
      </c>
      <c r="G16" s="32">
        <f>IF($B16="","",IF($B$2="Todos",SUMIFS(BD!$G$3:$G$5001,BD!$A$3:$A$5001,$B16),SUMIFS(BD!$G$3:$G$5001,BD!$A$3:$A$5001,$B16,BD!$B$3:$B$5001,$D$2)))</f>
        <v>0</v>
      </c>
      <c r="H16" s="32">
        <f>IF($B16="","",IF($B$2="Todos",SUMIFS(BD!$H$3:$H$5001,BD!$A$3:$A$5001,$B16),SUMIFS(BD!$H$3:$H$5001,BD!$A$3:$A$5001,$B16,BD!$B$3:$B$5001,$D$2)))</f>
        <v>0</v>
      </c>
      <c r="I16" s="32">
        <f>IF($B16="","",IF($B$2="Todos",SUMIFS(BD!$I$3:$I$5001,BD!$A$3:$A$5001,$B16),SUMIFS(BD!$I$3:$I$5001,BD!$A$3:$A$5001,$B16,BD!$B$3:$B$5001,$D$2)))</f>
        <v>0</v>
      </c>
      <c r="J16" s="32">
        <f>IF($B16="","",IF($B$2="Todos",SUMIFS(BD!$J$3:$J$5001,BD!$A$3:$A$5001,$B16),SUMIFS(BD!$J$3:$J$5001,BD!$A$3:$A$5001,$B16,BD!$B$3:$B$5001,$D$2)))</f>
        <v>0</v>
      </c>
      <c r="K16" s="32">
        <f>IF($B16="","",IF($B$2="Todos",SUMIFS(BD!$K$3:$K$5001,BD!$A$3:$A$5001,$B16),SUMIFS(BD!$K$3:$K$5001,BD!$A$3:$A$5001,$B16,BD!$B$3:$B$5001,$D$2)))</f>
        <v>0</v>
      </c>
      <c r="L16" s="32">
        <f>IF($B16="","",IF($B$2="Todos",SUMIFS(BD!$L$3:$L$5001,BD!$A$3:$A$5001,$B16),SUMIFS(BD!$L$3:$L$5001,BD!$A$3:$A$5001,$B16,BD!$B$3:$B$5001,$D$2)))</f>
        <v>0</v>
      </c>
      <c r="M16" s="32">
        <f>IF($B16="","",IF($B$2="Todos",SUMIFS(BD!$M$3:$M$5001,BD!$A$3:$A$5001,$B16),SUMIFS(BD!$M$3:$M$5001,BD!$A$3:$A$5001,$B16,BD!$B$3:$B$5001,$D$2)))</f>
        <v>0</v>
      </c>
      <c r="N16" s="32">
        <f>IF($B16="","",IF($B$2="Todos",SUMIFS(BD!$N$3:$N$5001,BD!$A$3:$A$5001,$B16),SUMIFS(BD!$N$3:$N$5001,BD!$A$3:$A$5001,$B16,BD!$B$3:$B$5001,$D$2)))</f>
        <v>0</v>
      </c>
      <c r="O16" s="32">
        <f>IF($B16="","",IF($B$2="Todos",SUMIFS(BD!$O$3:$O$5001,BD!$A$3:$A$5001,$B16),SUMIFS(BD!$O$3:$O$5001,BD!$A$3:$A$5001,$B16,BD!$B$3:$B$5001,$D$2)))</f>
        <v>0</v>
      </c>
      <c r="P16" s="32">
        <f>IF($B16="","",IF($B$2="Todos",SUMIFS(BD!$P$3:$P$5001,BD!$A$3:$A$5001,$B16),SUMIFS(BD!$P$3:$P$5001,BD!$A$3:$A$5001,$B16,BD!$B$3:$B$5001,$D$2)))</f>
        <v>0</v>
      </c>
      <c r="Q16" s="32">
        <f>IF($B16="","",IF($B$2="Todos",SUMIFS(BD!$Q$3:$Q$5001,BD!$A$3:$A$5001,$B16),SUMIFS(BD!$Q$3:$Q$5001,BD!$A$3:$A$5001,$B16,BD!$B$3:$B$5001,$D$2)))</f>
        <v>0</v>
      </c>
      <c r="R16" s="32">
        <f>IF($B16="","",IF($B$2="Todos",SUMIFS(BD!$R$3:$R$5001,BD!$A$3:$A$5001,$B16),SUMIFS(BD!$R$3:$R$5001,BD!$A$3:$A$5001,$B16,BD!$B$3:$B$5001,$D$2)))</f>
        <v>0</v>
      </c>
      <c r="S16" s="32">
        <f>IF($B16="","",IF($B$2="Todos",SUMIFS(BD!$S$3:$S$5001,BD!$A$3:$A$5001,$B16),SUMIFS(BD!$S$3:$S$5001,BD!$A$3:$A$5001,$B16,BD!$B$3:$B$5001,$D$2)))</f>
        <v>0</v>
      </c>
      <c r="T16" s="46">
        <f>IF($B16="","",IF($B$2="Todos",SUMIFS(BD!$T$3:$T$5001,BD!$A$3:$A$5001,$B16),SUMIFS(BD!$T$3:$T$5001,BD!$A$3:$A$5001,$B16,BD!$B$3:$B$5001,$D$2)))</f>
        <v>0</v>
      </c>
      <c r="U16" s="32">
        <f>IF($B16="","",IF($B$2="Todos",SUMIFS(BD!$U$3:$U$5001,BD!$A$3:$A$5001,$B16),SUMIFS(BD!$U$3:$U$5001,BD!$A$3:$A$5001,$B16,BD!$B$3:$B$5001,$D$2)))</f>
        <v>0</v>
      </c>
      <c r="V16" s="32">
        <f>IF($B16="","",IF($B$2="Todos",SUMIFS(BD!$V$3:$V$5001,BD!$A$3:$A$5001,$B16),SUMIFS(BD!$V$3:$V$5001,BD!$A$3:$A$5001,$B16,BD!$B$3:$B$5001,$D$2)))</f>
        <v>0</v>
      </c>
      <c r="W16" s="32" t="str">
        <f>IF($B$2="Todos",IF(COUNT($C$143:$L$143)=0,"",SUM($C$143:$L$143)),IFERROR(INDEX($C$143:$L$143,MATCH($D$2,$C$138:$L$138,0)),""))</f>
        <v/>
      </c>
      <c r="X16" s="47" t="str">
        <f>IF(Y16="","",IF($B$2="Todos",IF($B$4&gt;0,$B$4,IF($B$2="Todos",IF(COUNT($C$213:$L$213)=0,"",SUM($C$213:$L$213)),IFERROR(INDEX($C$213:$L$213,MATCH($D$2,$C$208:$L$208,0)),""))),IFERROR(INDEX($C$213:$L$213,MATCH($D$2,$C$208:$L$208,0)),"")))</f>
        <v/>
      </c>
      <c r="Y16" s="32" t="str">
        <f>IF($B$2="Todos",IF(COUNT($C$178:$L$178)=0,"",SUM($C$178:$L$178)),IFERROR(INDEX($C$178:$L$178,MATCH($D$2,$C$173:$L$173,0)),""))</f>
        <v/>
      </c>
      <c r="Z16" s="48" t="str">
        <f>IF(AND(ISNUMBER(Y16),ISNUMBER(X16)),IF(X16&gt;0,Y16/X16,""),"")</f>
        <v/>
      </c>
      <c r="AA16" s="32" t="str">
        <f>IF($B$2="Todos",IF(COUNT($C$248:$L$248)=0,"",SUM($C$248:$L$248)),IFERROR(INDEX($C$248:$L$248,MATCH($D$2,$C$243:$L$243,0)),""))</f>
        <v/>
      </c>
      <c r="AB16" s="32">
        <f>IF($B16="","",IF($B$2="Todos",SUMIFS(BD!$AA$3:$AA$5001,BD!$A$3:$A$5001,$B16),SUMIFS(BD!$AA$3:$AA$5001,BD!$A$3:$A$5001,$B16,BD!$B$3:$B$5001,$D$2)))</f>
        <v>0</v>
      </c>
      <c r="AC16" s="32">
        <f>IF($B16="","",IF($B$2="Todos",SUMIFS(BD!$AB$3:$AB$5001,BD!$A$3:$A$5001,$B16),SUMIFS(BD!$AB$3:$AB$5001,BD!$A$3:$A$5001,$B16,BD!$B$3:$B$5001,$D$2)))</f>
        <v>0</v>
      </c>
      <c r="AD16" s="32">
        <f>IF($B16="","",IF($B$2="Todos",SUMIFS(BD!$AC$3:$AC$5001,BD!$A$3:$A$5001,$B16),SUMIFS(BD!$AC$3:$AC$5001,BD!$A$3:$A$5001,$B16,BD!$B$3:$B$5001,$D$2)))</f>
        <v>0</v>
      </c>
      <c r="AE16" s="32">
        <f>IF($B16="","",IF($B$2="Todos",SUMIFS(BD!$AD$3:$AD$5001,BD!$A$3:$A$5001,$B16),SUMIFS(BD!$AD$3:$AD$5001,BD!$A$3:$A$5001,$B16,BD!$B$3:$B$5001,$D$2)))</f>
        <v>0</v>
      </c>
      <c r="AF16" s="32">
        <f>IF($B16="","",IF($B$2="Todos",SUMIFS(BD!$AE$3:$AE$5001,BD!$A$3:$A$5001,$B16),SUMIFS(BD!$AE$3:$AE$5001,BD!$A$3:$A$5001,$B16,BD!$B$3:$B$5001,$D$2)))</f>
        <v>0</v>
      </c>
      <c r="AG16" s="32">
        <f>IF($B16="","",IF($B$2="Todos",SUMIFS(BD!$AF$3:$AF$5001,BD!$A$3:$A$5001,$B16),SUMIFS(BD!$AF$3:$AF$5001,BD!$A$3:$A$5001,$B16,BD!$B$3:$B$5001,$D$2)))</f>
        <v>0</v>
      </c>
      <c r="AH16" s="32">
        <f>IF($B16="","",IF($B$2="Todos",SUMIFS(BD!$AG$3:$AG$5001,BD!$A$3:$A$5001,$B16),SUMIFS(BD!$AG$3:$AG$5001,BD!$A$3:$A$5001,$B16,BD!$B$3:$B$5001,$D$2)))</f>
        <v>0</v>
      </c>
      <c r="AI16" s="49">
        <f>$B$5</f>
        <v>0.7</v>
      </c>
      <c r="AJ16" s="49">
        <f>$B$6</f>
        <v>0.9</v>
      </c>
      <c r="AM16" s="29" t="inlineStr">
        <is>
          <t xml:space="preserve">MAIO · 2026</t>
        </is>
      </c>
      <c r="AO16" s="29" t="inlineStr">
        <is>
          <t xml:space="preserve">Boticário</t>
        </is>
      </c>
      <c r="AP16" s="28" t="inlineStr">
        <is>
          <t xml:space="preserve">TPC</t>
        </is>
      </c>
      <c r="AR16" s="29" t="str">
        <f>"ACUMULADO SEMANAL PALETES — "&amp;IF($B$2="Todos","TODOS OS CLIENTES",UPPER($B$2))</f>
        <v>ACUMULADO SEMANAL PALETES — TODOS OS CLIENTES</v>
      </c>
    </row>
    <row r="17">
      <c r="A17" s="28">
        <v>6</v>
      </c>
      <c r="B17" s="45">
        <f>IF($A17&lt;=DAY($D$7),$C$7+$A17-1,"")</f>
        <v>46301</v>
      </c>
      <c r="C17" s="32">
        <f>IF($B17="","",IF($B$2="Todos",SUMIFS(BD!$C$3:$C$5001,BD!$A$3:$A$5001,$B17),SUMIFS(BD!$C$3:$C$5001,BD!$A$3:$A$5001,$B17,BD!$B$3:$B$5001,$D$2)))</f>
        <v>0</v>
      </c>
      <c r="D17" s="32">
        <f>IF($B17="","",IF($B$2="Todos",SUMIFS(BD!$D$3:$D$5001,BD!$A$3:$A$5001,$B17),SUMIFS(BD!$D$3:$D$5001,BD!$A$3:$A$5001,$B17,BD!$B$3:$B$5001,$D$2)))</f>
        <v>0</v>
      </c>
      <c r="E17" s="46">
        <f>IF($B17="","",IF($B$2="Todos",SUMIFS(BD!$E$3:$E$5001,BD!$A$3:$A$5001,$B17),SUMIFS(BD!$E$3:$E$5001,BD!$A$3:$A$5001,$B17,BD!$B$3:$B$5001,$D$2)))</f>
        <v>0</v>
      </c>
      <c r="F17" s="32">
        <f>IF($B17="","",IF($B$2="Todos",SUMIFS(BD!$F$3:$F$5001,BD!$A$3:$A$5001,$B17),SUMIFS(BD!$F$3:$F$5001,BD!$A$3:$A$5001,$B17,BD!$B$3:$B$5001,$D$2)))</f>
        <v>0</v>
      </c>
      <c r="G17" s="32">
        <f>IF($B17="","",IF($B$2="Todos",SUMIFS(BD!$G$3:$G$5001,BD!$A$3:$A$5001,$B17),SUMIFS(BD!$G$3:$G$5001,BD!$A$3:$A$5001,$B17,BD!$B$3:$B$5001,$D$2)))</f>
        <v>0</v>
      </c>
      <c r="H17" s="32">
        <f>IF($B17="","",IF($B$2="Todos",SUMIFS(BD!$H$3:$H$5001,BD!$A$3:$A$5001,$B17),SUMIFS(BD!$H$3:$H$5001,BD!$A$3:$A$5001,$B17,BD!$B$3:$B$5001,$D$2)))</f>
        <v>0</v>
      </c>
      <c r="I17" s="32">
        <f>IF($B17="","",IF($B$2="Todos",SUMIFS(BD!$I$3:$I$5001,BD!$A$3:$A$5001,$B17),SUMIFS(BD!$I$3:$I$5001,BD!$A$3:$A$5001,$B17,BD!$B$3:$B$5001,$D$2)))</f>
        <v>0</v>
      </c>
      <c r="J17" s="32">
        <f>IF($B17="","",IF($B$2="Todos",SUMIFS(BD!$J$3:$J$5001,BD!$A$3:$A$5001,$B17),SUMIFS(BD!$J$3:$J$5001,BD!$A$3:$A$5001,$B17,BD!$B$3:$B$5001,$D$2)))</f>
        <v>0</v>
      </c>
      <c r="K17" s="32">
        <f>IF($B17="","",IF($B$2="Todos",SUMIFS(BD!$K$3:$K$5001,BD!$A$3:$A$5001,$B17),SUMIFS(BD!$K$3:$K$5001,BD!$A$3:$A$5001,$B17,BD!$B$3:$B$5001,$D$2)))</f>
        <v>0</v>
      </c>
      <c r="L17" s="32">
        <f>IF($B17="","",IF($B$2="Todos",SUMIFS(BD!$L$3:$L$5001,BD!$A$3:$A$5001,$B17),SUMIFS(BD!$L$3:$L$5001,BD!$A$3:$A$5001,$B17,BD!$B$3:$B$5001,$D$2)))</f>
        <v>0</v>
      </c>
      <c r="M17" s="32">
        <f>IF($B17="","",IF($B$2="Todos",SUMIFS(BD!$M$3:$M$5001,BD!$A$3:$A$5001,$B17),SUMIFS(BD!$M$3:$M$5001,BD!$A$3:$A$5001,$B17,BD!$B$3:$B$5001,$D$2)))</f>
        <v>0</v>
      </c>
      <c r="N17" s="32">
        <f>IF($B17="","",IF($B$2="Todos",SUMIFS(BD!$N$3:$N$5001,BD!$A$3:$A$5001,$B17),SUMIFS(BD!$N$3:$N$5001,BD!$A$3:$A$5001,$B17,BD!$B$3:$B$5001,$D$2)))</f>
        <v>0</v>
      </c>
      <c r="O17" s="32">
        <f>IF($B17="","",IF($B$2="Todos",SUMIFS(BD!$O$3:$O$5001,BD!$A$3:$A$5001,$B17),SUMIFS(BD!$O$3:$O$5001,BD!$A$3:$A$5001,$B17,BD!$B$3:$B$5001,$D$2)))</f>
        <v>0</v>
      </c>
      <c r="P17" s="32">
        <f>IF($B17="","",IF($B$2="Todos",SUMIFS(BD!$P$3:$P$5001,BD!$A$3:$A$5001,$B17),SUMIFS(BD!$P$3:$P$5001,BD!$A$3:$A$5001,$B17,BD!$B$3:$B$5001,$D$2)))</f>
        <v>0</v>
      </c>
      <c r="Q17" s="32">
        <f>IF($B17="","",IF($B$2="Todos",SUMIFS(BD!$Q$3:$Q$5001,BD!$A$3:$A$5001,$B17),SUMIFS(BD!$Q$3:$Q$5001,BD!$A$3:$A$5001,$B17,BD!$B$3:$B$5001,$D$2)))</f>
        <v>0</v>
      </c>
      <c r="R17" s="32">
        <f>IF($B17="","",IF($B$2="Todos",SUMIFS(BD!$R$3:$R$5001,BD!$A$3:$A$5001,$B17),SUMIFS(BD!$R$3:$R$5001,BD!$A$3:$A$5001,$B17,BD!$B$3:$B$5001,$D$2)))</f>
        <v>0</v>
      </c>
      <c r="S17" s="32">
        <f>IF($B17="","",IF($B$2="Todos",SUMIFS(BD!$S$3:$S$5001,BD!$A$3:$A$5001,$B17),SUMIFS(BD!$S$3:$S$5001,BD!$A$3:$A$5001,$B17,BD!$B$3:$B$5001,$D$2)))</f>
        <v>0</v>
      </c>
      <c r="T17" s="46">
        <f>IF($B17="","",IF($B$2="Todos",SUMIFS(BD!$T$3:$T$5001,BD!$A$3:$A$5001,$B17),SUMIFS(BD!$T$3:$T$5001,BD!$A$3:$A$5001,$B17,BD!$B$3:$B$5001,$D$2)))</f>
        <v>0</v>
      </c>
      <c r="U17" s="32">
        <f>IF($B17="","",IF($B$2="Todos",SUMIFS(BD!$U$3:$U$5001,BD!$A$3:$A$5001,$B17),SUMIFS(BD!$U$3:$U$5001,BD!$A$3:$A$5001,$B17,BD!$B$3:$B$5001,$D$2)))</f>
        <v>0</v>
      </c>
      <c r="V17" s="32">
        <f>IF($B17="","",IF($B$2="Todos",SUMIFS(BD!$V$3:$V$5001,BD!$A$3:$A$5001,$B17),SUMIFS(BD!$V$3:$V$5001,BD!$A$3:$A$5001,$B17,BD!$B$3:$B$5001,$D$2)))</f>
        <v>0</v>
      </c>
      <c r="W17" s="32" t="str">
        <f>IF($B$2="Todos",IF(COUNT($C$144:$L$144)=0,"",SUM($C$144:$L$144)),IFERROR(INDEX($C$144:$L$144,MATCH($D$2,$C$138:$L$138,0)),""))</f>
        <v/>
      </c>
      <c r="X17" s="47" t="str">
        <f>IF(Y17="","",IF($B$2="Todos",IF($B$4&gt;0,$B$4,IF($B$2="Todos",IF(COUNT($C$214:$L$214)=0,"",SUM($C$214:$L$214)),IFERROR(INDEX($C$214:$L$214,MATCH($D$2,$C$208:$L$208,0)),""))),IFERROR(INDEX($C$214:$L$214,MATCH($D$2,$C$208:$L$208,0)),"")))</f>
        <v/>
      </c>
      <c r="Y17" s="32" t="str">
        <f>IF($B$2="Todos",IF(COUNT($C$179:$L$179)=0,"",SUM($C$179:$L$179)),IFERROR(INDEX($C$179:$L$179,MATCH($D$2,$C$173:$L$173,0)),""))</f>
        <v/>
      </c>
      <c r="Z17" s="48" t="str">
        <f>IF(AND(ISNUMBER(Y17),ISNUMBER(X17)),IF(X17&gt;0,Y17/X17,""),"")</f>
        <v/>
      </c>
      <c r="AA17" s="32" t="str">
        <f>IF($B$2="Todos",IF(COUNT($C$249:$L$249)=0,"",SUM($C$249:$L$249)),IFERROR(INDEX($C$249:$L$249,MATCH($D$2,$C$243:$L$243,0)),""))</f>
        <v/>
      </c>
      <c r="AB17" s="32">
        <f>IF($B17="","",IF($B$2="Todos",SUMIFS(BD!$AA$3:$AA$5001,BD!$A$3:$A$5001,$B17),SUMIFS(BD!$AA$3:$AA$5001,BD!$A$3:$A$5001,$B17,BD!$B$3:$B$5001,$D$2)))</f>
        <v>0</v>
      </c>
      <c r="AC17" s="32">
        <f>IF($B17="","",IF($B$2="Todos",SUMIFS(BD!$AB$3:$AB$5001,BD!$A$3:$A$5001,$B17),SUMIFS(BD!$AB$3:$AB$5001,BD!$A$3:$A$5001,$B17,BD!$B$3:$B$5001,$D$2)))</f>
        <v>0</v>
      </c>
      <c r="AD17" s="32">
        <f>IF($B17="","",IF($B$2="Todos",SUMIFS(BD!$AC$3:$AC$5001,BD!$A$3:$A$5001,$B17),SUMIFS(BD!$AC$3:$AC$5001,BD!$A$3:$A$5001,$B17,BD!$B$3:$B$5001,$D$2)))</f>
        <v>0</v>
      </c>
      <c r="AE17" s="32">
        <f>IF($B17="","",IF($B$2="Todos",SUMIFS(BD!$AD$3:$AD$5001,BD!$A$3:$A$5001,$B17),SUMIFS(BD!$AD$3:$AD$5001,BD!$A$3:$A$5001,$B17,BD!$B$3:$B$5001,$D$2)))</f>
        <v>0</v>
      </c>
      <c r="AF17" s="32">
        <f>IF($B17="","",IF($B$2="Todos",SUMIFS(BD!$AE$3:$AE$5001,BD!$A$3:$A$5001,$B17),SUMIFS(BD!$AE$3:$AE$5001,BD!$A$3:$A$5001,$B17,BD!$B$3:$B$5001,$D$2)))</f>
        <v>0</v>
      </c>
      <c r="AG17" s="32">
        <f>IF($B17="","",IF($B$2="Todos",SUMIFS(BD!$AF$3:$AF$5001,BD!$A$3:$A$5001,$B17),SUMIFS(BD!$AF$3:$AF$5001,BD!$A$3:$A$5001,$B17,BD!$B$3:$B$5001,$D$2)))</f>
        <v>0</v>
      </c>
      <c r="AH17" s="32">
        <f>IF($B17="","",IF($B$2="Todos",SUMIFS(BD!$AG$3:$AG$5001,BD!$A$3:$A$5001,$B17),SUMIFS(BD!$AG$3:$AG$5001,BD!$A$3:$A$5001,$B17,BD!$B$3:$B$5001,$D$2)))</f>
        <v>0</v>
      </c>
      <c r="AI17" s="49">
        <f>$B$5</f>
        <v>0.7</v>
      </c>
      <c r="AJ17" s="49">
        <f>$B$6</f>
        <v>0.9</v>
      </c>
      <c r="AM17" s="29" t="inlineStr">
        <is>
          <t xml:space="preserve">JUNHO · 2026</t>
        </is>
      </c>
      <c r="AO17" s="29" t="inlineStr">
        <is>
          <t xml:space="preserve">Confiance</t>
        </is>
      </c>
      <c r="AP17" s="28" t="inlineStr">
        <is>
          <t xml:space="preserve">TPC</t>
        </is>
      </c>
      <c r="AR17" s="29" t="str">
        <f>"ACUMULADO SEMANAL TONS — "&amp;IF($B$2="Todos","TODOS OS CLIENTES",UPPER($B$2))</f>
        <v>ACUMULADO SEMANAL TONS — TODOS OS CLIENTES</v>
      </c>
    </row>
    <row r="18">
      <c r="A18" s="28">
        <v>7</v>
      </c>
      <c r="B18" s="45">
        <f>IF($A18&lt;=DAY($D$7),$C$7+$A18-1,"")</f>
        <v>46302</v>
      </c>
      <c r="C18" s="32">
        <f>IF($B18="","",IF($B$2="Todos",SUMIFS(BD!$C$3:$C$5001,BD!$A$3:$A$5001,$B18),SUMIFS(BD!$C$3:$C$5001,BD!$A$3:$A$5001,$B18,BD!$B$3:$B$5001,$D$2)))</f>
        <v>0</v>
      </c>
      <c r="D18" s="32">
        <f>IF($B18="","",IF($B$2="Todos",SUMIFS(BD!$D$3:$D$5001,BD!$A$3:$A$5001,$B18),SUMIFS(BD!$D$3:$D$5001,BD!$A$3:$A$5001,$B18,BD!$B$3:$B$5001,$D$2)))</f>
        <v>0</v>
      </c>
      <c r="E18" s="46">
        <f>IF($B18="","",IF($B$2="Todos",SUMIFS(BD!$E$3:$E$5001,BD!$A$3:$A$5001,$B18),SUMIFS(BD!$E$3:$E$5001,BD!$A$3:$A$5001,$B18,BD!$B$3:$B$5001,$D$2)))</f>
        <v>0</v>
      </c>
      <c r="F18" s="32">
        <f>IF($B18="","",IF($B$2="Todos",SUMIFS(BD!$F$3:$F$5001,BD!$A$3:$A$5001,$B18),SUMIFS(BD!$F$3:$F$5001,BD!$A$3:$A$5001,$B18,BD!$B$3:$B$5001,$D$2)))</f>
        <v>0</v>
      </c>
      <c r="G18" s="32">
        <f>IF($B18="","",IF($B$2="Todos",SUMIFS(BD!$G$3:$G$5001,BD!$A$3:$A$5001,$B18),SUMIFS(BD!$G$3:$G$5001,BD!$A$3:$A$5001,$B18,BD!$B$3:$B$5001,$D$2)))</f>
        <v>0</v>
      </c>
      <c r="H18" s="32">
        <f>IF($B18="","",IF($B$2="Todos",SUMIFS(BD!$H$3:$H$5001,BD!$A$3:$A$5001,$B18),SUMIFS(BD!$H$3:$H$5001,BD!$A$3:$A$5001,$B18,BD!$B$3:$B$5001,$D$2)))</f>
        <v>0</v>
      </c>
      <c r="I18" s="32">
        <f>IF($B18="","",IF($B$2="Todos",SUMIFS(BD!$I$3:$I$5001,BD!$A$3:$A$5001,$B18),SUMIFS(BD!$I$3:$I$5001,BD!$A$3:$A$5001,$B18,BD!$B$3:$B$5001,$D$2)))</f>
        <v>0</v>
      </c>
      <c r="J18" s="32">
        <f>IF($B18="","",IF($B$2="Todos",SUMIFS(BD!$J$3:$J$5001,BD!$A$3:$A$5001,$B18),SUMIFS(BD!$J$3:$J$5001,BD!$A$3:$A$5001,$B18,BD!$B$3:$B$5001,$D$2)))</f>
        <v>0</v>
      </c>
      <c r="K18" s="32">
        <f>IF($B18="","",IF($B$2="Todos",SUMIFS(BD!$K$3:$K$5001,BD!$A$3:$A$5001,$B18),SUMIFS(BD!$K$3:$K$5001,BD!$A$3:$A$5001,$B18,BD!$B$3:$B$5001,$D$2)))</f>
        <v>0</v>
      </c>
      <c r="L18" s="32">
        <f>IF($B18="","",IF($B$2="Todos",SUMIFS(BD!$L$3:$L$5001,BD!$A$3:$A$5001,$B18),SUMIFS(BD!$L$3:$L$5001,BD!$A$3:$A$5001,$B18,BD!$B$3:$B$5001,$D$2)))</f>
        <v>0</v>
      </c>
      <c r="M18" s="32">
        <f>IF($B18="","",IF($B$2="Todos",SUMIFS(BD!$M$3:$M$5001,BD!$A$3:$A$5001,$B18),SUMIFS(BD!$M$3:$M$5001,BD!$A$3:$A$5001,$B18,BD!$B$3:$B$5001,$D$2)))</f>
        <v>0</v>
      </c>
      <c r="N18" s="32">
        <f>IF($B18="","",IF($B$2="Todos",SUMIFS(BD!$N$3:$N$5001,BD!$A$3:$A$5001,$B18),SUMIFS(BD!$N$3:$N$5001,BD!$A$3:$A$5001,$B18,BD!$B$3:$B$5001,$D$2)))</f>
        <v>0</v>
      </c>
      <c r="O18" s="32">
        <f>IF($B18="","",IF($B$2="Todos",SUMIFS(BD!$O$3:$O$5001,BD!$A$3:$A$5001,$B18),SUMIFS(BD!$O$3:$O$5001,BD!$A$3:$A$5001,$B18,BD!$B$3:$B$5001,$D$2)))</f>
        <v>0</v>
      </c>
      <c r="P18" s="32">
        <f>IF($B18="","",IF($B$2="Todos",SUMIFS(BD!$P$3:$P$5001,BD!$A$3:$A$5001,$B18),SUMIFS(BD!$P$3:$P$5001,BD!$A$3:$A$5001,$B18,BD!$B$3:$B$5001,$D$2)))</f>
        <v>0</v>
      </c>
      <c r="Q18" s="32">
        <f>IF($B18="","",IF($B$2="Todos",SUMIFS(BD!$Q$3:$Q$5001,BD!$A$3:$A$5001,$B18),SUMIFS(BD!$Q$3:$Q$5001,BD!$A$3:$A$5001,$B18,BD!$B$3:$B$5001,$D$2)))</f>
        <v>0</v>
      </c>
      <c r="R18" s="32">
        <f>IF($B18="","",IF($B$2="Todos",SUMIFS(BD!$R$3:$R$5001,BD!$A$3:$A$5001,$B18),SUMIFS(BD!$R$3:$R$5001,BD!$A$3:$A$5001,$B18,BD!$B$3:$B$5001,$D$2)))</f>
        <v>0</v>
      </c>
      <c r="S18" s="32">
        <f>IF($B18="","",IF($B$2="Todos",SUMIFS(BD!$S$3:$S$5001,BD!$A$3:$A$5001,$B18),SUMIFS(BD!$S$3:$S$5001,BD!$A$3:$A$5001,$B18,BD!$B$3:$B$5001,$D$2)))</f>
        <v>0</v>
      </c>
      <c r="T18" s="46">
        <f>IF($B18="","",IF($B$2="Todos",SUMIFS(BD!$T$3:$T$5001,BD!$A$3:$A$5001,$B18),SUMIFS(BD!$T$3:$T$5001,BD!$A$3:$A$5001,$B18,BD!$B$3:$B$5001,$D$2)))</f>
        <v>0</v>
      </c>
      <c r="U18" s="32">
        <f>IF($B18="","",IF($B$2="Todos",SUMIFS(BD!$U$3:$U$5001,BD!$A$3:$A$5001,$B18),SUMIFS(BD!$U$3:$U$5001,BD!$A$3:$A$5001,$B18,BD!$B$3:$B$5001,$D$2)))</f>
        <v>0</v>
      </c>
      <c r="V18" s="32">
        <f>IF($B18="","",IF($B$2="Todos",SUMIFS(BD!$V$3:$V$5001,BD!$A$3:$A$5001,$B18),SUMIFS(BD!$V$3:$V$5001,BD!$A$3:$A$5001,$B18,BD!$B$3:$B$5001,$D$2)))</f>
        <v>0</v>
      </c>
      <c r="W18" s="32" t="str">
        <f>IF($B$2="Todos",IF(COUNT($C$145:$L$145)=0,"",SUM($C$145:$L$145)),IFERROR(INDEX($C$145:$L$145,MATCH($D$2,$C$138:$L$138,0)),""))</f>
        <v/>
      </c>
      <c r="X18" s="47" t="str">
        <f>IF(Y18="","",IF($B$2="Todos",IF($B$4&gt;0,$B$4,IF($B$2="Todos",IF(COUNT($C$215:$L$215)=0,"",SUM($C$215:$L$215)),IFERROR(INDEX($C$215:$L$215,MATCH($D$2,$C$208:$L$208,0)),""))),IFERROR(INDEX($C$215:$L$215,MATCH($D$2,$C$208:$L$208,0)),"")))</f>
        <v/>
      </c>
      <c r="Y18" s="32" t="str">
        <f>IF($B$2="Todos",IF(COUNT($C$180:$L$180)=0,"",SUM($C$180:$L$180)),IFERROR(INDEX($C$180:$L$180,MATCH($D$2,$C$173:$L$173,0)),""))</f>
        <v/>
      </c>
      <c r="Z18" s="48" t="str">
        <f>IF(AND(ISNUMBER(Y18),ISNUMBER(X18)),IF(X18&gt;0,Y18/X18,""),"")</f>
        <v/>
      </c>
      <c r="AA18" s="32" t="str">
        <f>IF($B$2="Todos",IF(COUNT($C$250:$L$250)=0,"",SUM($C$250:$L$250)),IFERROR(INDEX($C$250:$L$250,MATCH($D$2,$C$243:$L$243,0)),""))</f>
        <v/>
      </c>
      <c r="AB18" s="32">
        <f>IF($B18="","",IF($B$2="Todos",SUMIFS(BD!$AA$3:$AA$5001,BD!$A$3:$A$5001,$B18),SUMIFS(BD!$AA$3:$AA$5001,BD!$A$3:$A$5001,$B18,BD!$B$3:$B$5001,$D$2)))</f>
        <v>0</v>
      </c>
      <c r="AC18" s="32">
        <f>IF($B18="","",IF($B$2="Todos",SUMIFS(BD!$AB$3:$AB$5001,BD!$A$3:$A$5001,$B18),SUMIFS(BD!$AB$3:$AB$5001,BD!$A$3:$A$5001,$B18,BD!$B$3:$B$5001,$D$2)))</f>
        <v>0</v>
      </c>
      <c r="AD18" s="32">
        <f>IF($B18="","",IF($B$2="Todos",SUMIFS(BD!$AC$3:$AC$5001,BD!$A$3:$A$5001,$B18),SUMIFS(BD!$AC$3:$AC$5001,BD!$A$3:$A$5001,$B18,BD!$B$3:$B$5001,$D$2)))</f>
        <v>0</v>
      </c>
      <c r="AE18" s="32">
        <f>IF($B18="","",IF($B$2="Todos",SUMIFS(BD!$AD$3:$AD$5001,BD!$A$3:$A$5001,$B18),SUMIFS(BD!$AD$3:$AD$5001,BD!$A$3:$A$5001,$B18,BD!$B$3:$B$5001,$D$2)))</f>
        <v>0</v>
      </c>
      <c r="AF18" s="32">
        <f>IF($B18="","",IF($B$2="Todos",SUMIFS(BD!$AE$3:$AE$5001,BD!$A$3:$A$5001,$B18),SUMIFS(BD!$AE$3:$AE$5001,BD!$A$3:$A$5001,$B18,BD!$B$3:$B$5001,$D$2)))</f>
        <v>0</v>
      </c>
      <c r="AG18" s="32">
        <f>IF($B18="","",IF($B$2="Todos",SUMIFS(BD!$AF$3:$AF$5001,BD!$A$3:$A$5001,$B18),SUMIFS(BD!$AF$3:$AF$5001,BD!$A$3:$A$5001,$B18,BD!$B$3:$B$5001,$D$2)))</f>
        <v>0</v>
      </c>
      <c r="AH18" s="32">
        <f>IF($B18="","",IF($B$2="Todos",SUMIFS(BD!$AG$3:$AG$5001,BD!$A$3:$A$5001,$B18),SUMIFS(BD!$AG$3:$AG$5001,BD!$A$3:$A$5001,$B18,BD!$B$3:$B$5001,$D$2)))</f>
        <v>0</v>
      </c>
      <c r="AI18" s="49">
        <f>$B$5</f>
        <v>0.7</v>
      </c>
      <c r="AJ18" s="49">
        <f>$B$6</f>
        <v>0.9</v>
      </c>
      <c r="AM18" s="29" t="inlineStr">
        <is>
          <t xml:space="preserve">JULHO · 2026</t>
        </is>
      </c>
      <c r="AO18" s="29" t="inlineStr">
        <is>
          <t xml:space="preserve">GE Vernova</t>
        </is>
      </c>
      <c r="AP18" s="28" t="inlineStr">
        <is>
          <t xml:space="preserve">TPC</t>
        </is>
      </c>
    </row>
    <row r="19">
      <c r="A19" s="28">
        <v>8</v>
      </c>
      <c r="B19" s="45">
        <f>IF($A19&lt;=DAY($D$7),$C$7+$A19-1,"")</f>
        <v>46303</v>
      </c>
      <c r="C19" s="32">
        <f>IF($B19="","",IF($B$2="Todos",SUMIFS(BD!$C$3:$C$5001,BD!$A$3:$A$5001,$B19),SUMIFS(BD!$C$3:$C$5001,BD!$A$3:$A$5001,$B19,BD!$B$3:$B$5001,$D$2)))</f>
        <v>0</v>
      </c>
      <c r="D19" s="32">
        <f>IF($B19="","",IF($B$2="Todos",SUMIFS(BD!$D$3:$D$5001,BD!$A$3:$A$5001,$B19),SUMIFS(BD!$D$3:$D$5001,BD!$A$3:$A$5001,$B19,BD!$B$3:$B$5001,$D$2)))</f>
        <v>0</v>
      </c>
      <c r="E19" s="46">
        <f>IF($B19="","",IF($B$2="Todos",SUMIFS(BD!$E$3:$E$5001,BD!$A$3:$A$5001,$B19),SUMIFS(BD!$E$3:$E$5001,BD!$A$3:$A$5001,$B19,BD!$B$3:$B$5001,$D$2)))</f>
        <v>0</v>
      </c>
      <c r="F19" s="32">
        <f>IF($B19="","",IF($B$2="Todos",SUMIFS(BD!$F$3:$F$5001,BD!$A$3:$A$5001,$B19),SUMIFS(BD!$F$3:$F$5001,BD!$A$3:$A$5001,$B19,BD!$B$3:$B$5001,$D$2)))</f>
        <v>0</v>
      </c>
      <c r="G19" s="32">
        <f>IF($B19="","",IF($B$2="Todos",SUMIFS(BD!$G$3:$G$5001,BD!$A$3:$A$5001,$B19),SUMIFS(BD!$G$3:$G$5001,BD!$A$3:$A$5001,$B19,BD!$B$3:$B$5001,$D$2)))</f>
        <v>0</v>
      </c>
      <c r="H19" s="32">
        <f>IF($B19="","",IF($B$2="Todos",SUMIFS(BD!$H$3:$H$5001,BD!$A$3:$A$5001,$B19),SUMIFS(BD!$H$3:$H$5001,BD!$A$3:$A$5001,$B19,BD!$B$3:$B$5001,$D$2)))</f>
        <v>0</v>
      </c>
      <c r="I19" s="32">
        <f>IF($B19="","",IF($B$2="Todos",SUMIFS(BD!$I$3:$I$5001,BD!$A$3:$A$5001,$B19),SUMIFS(BD!$I$3:$I$5001,BD!$A$3:$A$5001,$B19,BD!$B$3:$B$5001,$D$2)))</f>
        <v>0</v>
      </c>
      <c r="J19" s="32">
        <f>IF($B19="","",IF($B$2="Todos",SUMIFS(BD!$J$3:$J$5001,BD!$A$3:$A$5001,$B19),SUMIFS(BD!$J$3:$J$5001,BD!$A$3:$A$5001,$B19,BD!$B$3:$B$5001,$D$2)))</f>
        <v>0</v>
      </c>
      <c r="K19" s="32">
        <f>IF($B19="","",IF($B$2="Todos",SUMIFS(BD!$K$3:$K$5001,BD!$A$3:$A$5001,$B19),SUMIFS(BD!$K$3:$K$5001,BD!$A$3:$A$5001,$B19,BD!$B$3:$B$5001,$D$2)))</f>
        <v>0</v>
      </c>
      <c r="L19" s="32">
        <f>IF($B19="","",IF($B$2="Todos",SUMIFS(BD!$L$3:$L$5001,BD!$A$3:$A$5001,$B19),SUMIFS(BD!$L$3:$L$5001,BD!$A$3:$A$5001,$B19,BD!$B$3:$B$5001,$D$2)))</f>
        <v>0</v>
      </c>
      <c r="M19" s="32">
        <f>IF($B19="","",IF($B$2="Todos",SUMIFS(BD!$M$3:$M$5001,BD!$A$3:$A$5001,$B19),SUMIFS(BD!$M$3:$M$5001,BD!$A$3:$A$5001,$B19,BD!$B$3:$B$5001,$D$2)))</f>
        <v>0</v>
      </c>
      <c r="N19" s="32">
        <f>IF($B19="","",IF($B$2="Todos",SUMIFS(BD!$N$3:$N$5001,BD!$A$3:$A$5001,$B19),SUMIFS(BD!$N$3:$N$5001,BD!$A$3:$A$5001,$B19,BD!$B$3:$B$5001,$D$2)))</f>
        <v>0</v>
      </c>
      <c r="O19" s="32">
        <f>IF($B19="","",IF($B$2="Todos",SUMIFS(BD!$O$3:$O$5001,BD!$A$3:$A$5001,$B19),SUMIFS(BD!$O$3:$O$5001,BD!$A$3:$A$5001,$B19,BD!$B$3:$B$5001,$D$2)))</f>
        <v>0</v>
      </c>
      <c r="P19" s="32">
        <f>IF($B19="","",IF($B$2="Todos",SUMIFS(BD!$P$3:$P$5001,BD!$A$3:$A$5001,$B19),SUMIFS(BD!$P$3:$P$5001,BD!$A$3:$A$5001,$B19,BD!$B$3:$B$5001,$D$2)))</f>
        <v>0</v>
      </c>
      <c r="Q19" s="32">
        <f>IF($B19="","",IF($B$2="Todos",SUMIFS(BD!$Q$3:$Q$5001,BD!$A$3:$A$5001,$B19),SUMIFS(BD!$Q$3:$Q$5001,BD!$A$3:$A$5001,$B19,BD!$B$3:$B$5001,$D$2)))</f>
        <v>0</v>
      </c>
      <c r="R19" s="32">
        <f>IF($B19="","",IF($B$2="Todos",SUMIFS(BD!$R$3:$R$5001,BD!$A$3:$A$5001,$B19),SUMIFS(BD!$R$3:$R$5001,BD!$A$3:$A$5001,$B19,BD!$B$3:$B$5001,$D$2)))</f>
        <v>0</v>
      </c>
      <c r="S19" s="32">
        <f>IF($B19="","",IF($B$2="Todos",SUMIFS(BD!$S$3:$S$5001,BD!$A$3:$A$5001,$B19),SUMIFS(BD!$S$3:$S$5001,BD!$A$3:$A$5001,$B19,BD!$B$3:$B$5001,$D$2)))</f>
        <v>0</v>
      </c>
      <c r="T19" s="46">
        <f>IF($B19="","",IF($B$2="Todos",SUMIFS(BD!$T$3:$T$5001,BD!$A$3:$A$5001,$B19),SUMIFS(BD!$T$3:$T$5001,BD!$A$3:$A$5001,$B19,BD!$B$3:$B$5001,$D$2)))</f>
        <v>0</v>
      </c>
      <c r="U19" s="32">
        <f>IF($B19="","",IF($B$2="Todos",SUMIFS(BD!$U$3:$U$5001,BD!$A$3:$A$5001,$B19),SUMIFS(BD!$U$3:$U$5001,BD!$A$3:$A$5001,$B19,BD!$B$3:$B$5001,$D$2)))</f>
        <v>0</v>
      </c>
      <c r="V19" s="32">
        <f>IF($B19="","",IF($B$2="Todos",SUMIFS(BD!$V$3:$V$5001,BD!$A$3:$A$5001,$B19),SUMIFS(BD!$V$3:$V$5001,BD!$A$3:$A$5001,$B19,BD!$B$3:$B$5001,$D$2)))</f>
        <v>0</v>
      </c>
      <c r="W19" s="32" t="str">
        <f>IF($B$2="Todos",IF(COUNT($C$146:$L$146)=0,"",SUM($C$146:$L$146)),IFERROR(INDEX($C$146:$L$146,MATCH($D$2,$C$138:$L$138,0)),""))</f>
        <v/>
      </c>
      <c r="X19" s="47" t="str">
        <f>IF(Y19="","",IF($B$2="Todos",IF($B$4&gt;0,$B$4,IF($B$2="Todos",IF(COUNT($C$216:$L$216)=0,"",SUM($C$216:$L$216)),IFERROR(INDEX($C$216:$L$216,MATCH($D$2,$C$208:$L$208,0)),""))),IFERROR(INDEX($C$216:$L$216,MATCH($D$2,$C$208:$L$208,0)),"")))</f>
        <v/>
      </c>
      <c r="Y19" s="32" t="str">
        <f>IF($B$2="Todos",IF(COUNT($C$181:$L$181)=0,"",SUM($C$181:$L$181)),IFERROR(INDEX($C$181:$L$181,MATCH($D$2,$C$173:$L$173,0)),""))</f>
        <v/>
      </c>
      <c r="Z19" s="48" t="str">
        <f>IF(AND(ISNUMBER(Y19),ISNUMBER(X19)),IF(X19&gt;0,Y19/X19,""),"")</f>
        <v/>
      </c>
      <c r="AA19" s="32" t="str">
        <f>IF($B$2="Todos",IF(COUNT($C$251:$L$251)=0,"",SUM($C$251:$L$251)),IFERROR(INDEX($C$251:$L$251,MATCH($D$2,$C$243:$L$243,0)),""))</f>
        <v/>
      </c>
      <c r="AB19" s="32">
        <f>IF($B19="","",IF($B$2="Todos",SUMIFS(BD!$AA$3:$AA$5001,BD!$A$3:$A$5001,$B19),SUMIFS(BD!$AA$3:$AA$5001,BD!$A$3:$A$5001,$B19,BD!$B$3:$B$5001,$D$2)))</f>
        <v>0</v>
      </c>
      <c r="AC19" s="32">
        <f>IF($B19="","",IF($B$2="Todos",SUMIFS(BD!$AB$3:$AB$5001,BD!$A$3:$A$5001,$B19),SUMIFS(BD!$AB$3:$AB$5001,BD!$A$3:$A$5001,$B19,BD!$B$3:$B$5001,$D$2)))</f>
        <v>0</v>
      </c>
      <c r="AD19" s="32">
        <f>IF($B19="","",IF($B$2="Todos",SUMIFS(BD!$AC$3:$AC$5001,BD!$A$3:$A$5001,$B19),SUMIFS(BD!$AC$3:$AC$5001,BD!$A$3:$A$5001,$B19,BD!$B$3:$B$5001,$D$2)))</f>
        <v>0</v>
      </c>
      <c r="AE19" s="32">
        <f>IF($B19="","",IF($B$2="Todos",SUMIFS(BD!$AD$3:$AD$5001,BD!$A$3:$A$5001,$B19),SUMIFS(BD!$AD$3:$AD$5001,BD!$A$3:$A$5001,$B19,BD!$B$3:$B$5001,$D$2)))</f>
        <v>0</v>
      </c>
      <c r="AF19" s="32">
        <f>IF($B19="","",IF($B$2="Todos",SUMIFS(BD!$AE$3:$AE$5001,BD!$A$3:$A$5001,$B19),SUMIFS(BD!$AE$3:$AE$5001,BD!$A$3:$A$5001,$B19,BD!$B$3:$B$5001,$D$2)))</f>
        <v>0</v>
      </c>
      <c r="AG19" s="32">
        <f>IF($B19="","",IF($B$2="Todos",SUMIFS(BD!$AF$3:$AF$5001,BD!$A$3:$A$5001,$B19),SUMIFS(BD!$AF$3:$AF$5001,BD!$A$3:$A$5001,$B19,BD!$B$3:$B$5001,$D$2)))</f>
        <v>0</v>
      </c>
      <c r="AH19" s="32">
        <f>IF($B19="","",IF($B$2="Todos",SUMIFS(BD!$AG$3:$AG$5001,BD!$A$3:$A$5001,$B19),SUMIFS(BD!$AG$3:$AG$5001,BD!$A$3:$A$5001,$B19,BD!$B$3:$B$5001,$D$2)))</f>
        <v>0</v>
      </c>
      <c r="AI19" s="49">
        <f>$B$5</f>
        <v>0.7</v>
      </c>
      <c r="AJ19" s="49">
        <f>$B$6</f>
        <v>0.9</v>
      </c>
      <c r="AM19" s="29" t="inlineStr">
        <is>
          <t xml:space="preserve">AGOSTO · 2026</t>
        </is>
      </c>
      <c r="AO19" s="29" t="inlineStr">
        <is>
          <t xml:space="preserve">Omnilife</t>
        </is>
      </c>
      <c r="AP19" s="28" t="inlineStr">
        <is>
          <t xml:space="preserve">TPC</t>
        </is>
      </c>
    </row>
    <row r="20">
      <c r="A20" s="28">
        <v>9</v>
      </c>
      <c r="B20" s="45">
        <f>IF($A20&lt;=DAY($D$7),$C$7+$A20-1,"")</f>
        <v>46304</v>
      </c>
      <c r="C20" s="32">
        <f>IF($B20="","",IF($B$2="Todos",SUMIFS(BD!$C$3:$C$5001,BD!$A$3:$A$5001,$B20),SUMIFS(BD!$C$3:$C$5001,BD!$A$3:$A$5001,$B20,BD!$B$3:$B$5001,$D$2)))</f>
        <v>0</v>
      </c>
      <c r="D20" s="32">
        <f>IF($B20="","",IF($B$2="Todos",SUMIFS(BD!$D$3:$D$5001,BD!$A$3:$A$5001,$B20),SUMIFS(BD!$D$3:$D$5001,BD!$A$3:$A$5001,$B20,BD!$B$3:$B$5001,$D$2)))</f>
        <v>0</v>
      </c>
      <c r="E20" s="46">
        <f>IF($B20="","",IF($B$2="Todos",SUMIFS(BD!$E$3:$E$5001,BD!$A$3:$A$5001,$B20),SUMIFS(BD!$E$3:$E$5001,BD!$A$3:$A$5001,$B20,BD!$B$3:$B$5001,$D$2)))</f>
        <v>0</v>
      </c>
      <c r="F20" s="32">
        <f>IF($B20="","",IF($B$2="Todos",SUMIFS(BD!$F$3:$F$5001,BD!$A$3:$A$5001,$B20),SUMIFS(BD!$F$3:$F$5001,BD!$A$3:$A$5001,$B20,BD!$B$3:$B$5001,$D$2)))</f>
        <v>0</v>
      </c>
      <c r="G20" s="32">
        <f>IF($B20="","",IF($B$2="Todos",SUMIFS(BD!$G$3:$G$5001,BD!$A$3:$A$5001,$B20),SUMIFS(BD!$G$3:$G$5001,BD!$A$3:$A$5001,$B20,BD!$B$3:$B$5001,$D$2)))</f>
        <v>0</v>
      </c>
      <c r="H20" s="32">
        <f>IF($B20="","",IF($B$2="Todos",SUMIFS(BD!$H$3:$H$5001,BD!$A$3:$A$5001,$B20),SUMIFS(BD!$H$3:$H$5001,BD!$A$3:$A$5001,$B20,BD!$B$3:$B$5001,$D$2)))</f>
        <v>0</v>
      </c>
      <c r="I20" s="32">
        <f>IF($B20="","",IF($B$2="Todos",SUMIFS(BD!$I$3:$I$5001,BD!$A$3:$A$5001,$B20),SUMIFS(BD!$I$3:$I$5001,BD!$A$3:$A$5001,$B20,BD!$B$3:$B$5001,$D$2)))</f>
        <v>0</v>
      </c>
      <c r="J20" s="32">
        <f>IF($B20="","",IF($B$2="Todos",SUMIFS(BD!$J$3:$J$5001,BD!$A$3:$A$5001,$B20),SUMIFS(BD!$J$3:$J$5001,BD!$A$3:$A$5001,$B20,BD!$B$3:$B$5001,$D$2)))</f>
        <v>0</v>
      </c>
      <c r="K20" s="32">
        <f>IF($B20="","",IF($B$2="Todos",SUMIFS(BD!$K$3:$K$5001,BD!$A$3:$A$5001,$B20),SUMIFS(BD!$K$3:$K$5001,BD!$A$3:$A$5001,$B20,BD!$B$3:$B$5001,$D$2)))</f>
        <v>0</v>
      </c>
      <c r="L20" s="32">
        <f>IF($B20="","",IF($B$2="Todos",SUMIFS(BD!$L$3:$L$5001,BD!$A$3:$A$5001,$B20),SUMIFS(BD!$L$3:$L$5001,BD!$A$3:$A$5001,$B20,BD!$B$3:$B$5001,$D$2)))</f>
        <v>0</v>
      </c>
      <c r="M20" s="32">
        <f>IF($B20="","",IF($B$2="Todos",SUMIFS(BD!$M$3:$M$5001,BD!$A$3:$A$5001,$B20),SUMIFS(BD!$M$3:$M$5001,BD!$A$3:$A$5001,$B20,BD!$B$3:$B$5001,$D$2)))</f>
        <v>0</v>
      </c>
      <c r="N20" s="32">
        <f>IF($B20="","",IF($B$2="Todos",SUMIFS(BD!$N$3:$N$5001,BD!$A$3:$A$5001,$B20),SUMIFS(BD!$N$3:$N$5001,BD!$A$3:$A$5001,$B20,BD!$B$3:$B$5001,$D$2)))</f>
        <v>0</v>
      </c>
      <c r="O20" s="32">
        <f>IF($B20="","",IF($B$2="Todos",SUMIFS(BD!$O$3:$O$5001,BD!$A$3:$A$5001,$B20),SUMIFS(BD!$O$3:$O$5001,BD!$A$3:$A$5001,$B20,BD!$B$3:$B$5001,$D$2)))</f>
        <v>0</v>
      </c>
      <c r="P20" s="32">
        <f>IF($B20="","",IF($B$2="Todos",SUMIFS(BD!$P$3:$P$5001,BD!$A$3:$A$5001,$B20),SUMIFS(BD!$P$3:$P$5001,BD!$A$3:$A$5001,$B20,BD!$B$3:$B$5001,$D$2)))</f>
        <v>0</v>
      </c>
      <c r="Q20" s="32">
        <f>IF($B20="","",IF($B$2="Todos",SUMIFS(BD!$Q$3:$Q$5001,BD!$A$3:$A$5001,$B20),SUMIFS(BD!$Q$3:$Q$5001,BD!$A$3:$A$5001,$B20,BD!$B$3:$B$5001,$D$2)))</f>
        <v>0</v>
      </c>
      <c r="R20" s="32">
        <f>IF($B20="","",IF($B$2="Todos",SUMIFS(BD!$R$3:$R$5001,BD!$A$3:$A$5001,$B20),SUMIFS(BD!$R$3:$R$5001,BD!$A$3:$A$5001,$B20,BD!$B$3:$B$5001,$D$2)))</f>
        <v>0</v>
      </c>
      <c r="S20" s="32">
        <f>IF($B20="","",IF($B$2="Todos",SUMIFS(BD!$S$3:$S$5001,BD!$A$3:$A$5001,$B20),SUMIFS(BD!$S$3:$S$5001,BD!$A$3:$A$5001,$B20,BD!$B$3:$B$5001,$D$2)))</f>
        <v>0</v>
      </c>
      <c r="T20" s="46">
        <f>IF($B20="","",IF($B$2="Todos",SUMIFS(BD!$T$3:$T$5001,BD!$A$3:$A$5001,$B20),SUMIFS(BD!$T$3:$T$5001,BD!$A$3:$A$5001,$B20,BD!$B$3:$B$5001,$D$2)))</f>
        <v>0</v>
      </c>
      <c r="U20" s="32">
        <f>IF($B20="","",IF($B$2="Todos",SUMIFS(BD!$U$3:$U$5001,BD!$A$3:$A$5001,$B20),SUMIFS(BD!$U$3:$U$5001,BD!$A$3:$A$5001,$B20,BD!$B$3:$B$5001,$D$2)))</f>
        <v>0</v>
      </c>
      <c r="V20" s="32">
        <f>IF($B20="","",IF($B$2="Todos",SUMIFS(BD!$V$3:$V$5001,BD!$A$3:$A$5001,$B20),SUMIFS(BD!$V$3:$V$5001,BD!$A$3:$A$5001,$B20,BD!$B$3:$B$5001,$D$2)))</f>
        <v>0</v>
      </c>
      <c r="W20" s="32" t="str">
        <f>IF($B$2="Todos",IF(COUNT($C$147:$L$147)=0,"",SUM($C$147:$L$147)),IFERROR(INDEX($C$147:$L$147,MATCH($D$2,$C$138:$L$138,0)),""))</f>
        <v/>
      </c>
      <c r="X20" s="47" t="str">
        <f>IF(Y20="","",IF($B$2="Todos",IF($B$4&gt;0,$B$4,IF($B$2="Todos",IF(COUNT($C$217:$L$217)=0,"",SUM($C$217:$L$217)),IFERROR(INDEX($C$217:$L$217,MATCH($D$2,$C$208:$L$208,0)),""))),IFERROR(INDEX($C$217:$L$217,MATCH($D$2,$C$208:$L$208,0)),"")))</f>
        <v/>
      </c>
      <c r="Y20" s="32" t="str">
        <f>IF($B$2="Todos",IF(COUNT($C$182:$L$182)=0,"",SUM($C$182:$L$182)),IFERROR(INDEX($C$182:$L$182,MATCH($D$2,$C$173:$L$173,0)),""))</f>
        <v/>
      </c>
      <c r="Z20" s="48" t="str">
        <f>IF(AND(ISNUMBER(Y20),ISNUMBER(X20)),IF(X20&gt;0,Y20/X20,""),"")</f>
        <v/>
      </c>
      <c r="AA20" s="32" t="str">
        <f>IF($B$2="Todos",IF(COUNT($C$252:$L$252)=0,"",SUM($C$252:$L$252)),IFERROR(INDEX($C$252:$L$252,MATCH($D$2,$C$243:$L$243,0)),""))</f>
        <v/>
      </c>
      <c r="AB20" s="32">
        <f>IF($B20="","",IF($B$2="Todos",SUMIFS(BD!$AA$3:$AA$5001,BD!$A$3:$A$5001,$B20),SUMIFS(BD!$AA$3:$AA$5001,BD!$A$3:$A$5001,$B20,BD!$B$3:$B$5001,$D$2)))</f>
        <v>0</v>
      </c>
      <c r="AC20" s="32">
        <f>IF($B20="","",IF($B$2="Todos",SUMIFS(BD!$AB$3:$AB$5001,BD!$A$3:$A$5001,$B20),SUMIFS(BD!$AB$3:$AB$5001,BD!$A$3:$A$5001,$B20,BD!$B$3:$B$5001,$D$2)))</f>
        <v>0</v>
      </c>
      <c r="AD20" s="32">
        <f>IF($B20="","",IF($B$2="Todos",SUMIFS(BD!$AC$3:$AC$5001,BD!$A$3:$A$5001,$B20),SUMIFS(BD!$AC$3:$AC$5001,BD!$A$3:$A$5001,$B20,BD!$B$3:$B$5001,$D$2)))</f>
        <v>0</v>
      </c>
      <c r="AE20" s="32">
        <f>IF($B20="","",IF($B$2="Todos",SUMIFS(BD!$AD$3:$AD$5001,BD!$A$3:$A$5001,$B20),SUMIFS(BD!$AD$3:$AD$5001,BD!$A$3:$A$5001,$B20,BD!$B$3:$B$5001,$D$2)))</f>
        <v>0</v>
      </c>
      <c r="AF20" s="32">
        <f>IF($B20="","",IF($B$2="Todos",SUMIFS(BD!$AE$3:$AE$5001,BD!$A$3:$A$5001,$B20),SUMIFS(BD!$AE$3:$AE$5001,BD!$A$3:$A$5001,$B20,BD!$B$3:$B$5001,$D$2)))</f>
        <v>0</v>
      </c>
      <c r="AG20" s="32">
        <f>IF($B20="","",IF($B$2="Todos",SUMIFS(BD!$AF$3:$AF$5001,BD!$A$3:$A$5001,$B20),SUMIFS(BD!$AF$3:$AF$5001,BD!$A$3:$A$5001,$B20,BD!$B$3:$B$5001,$D$2)))</f>
        <v>0</v>
      </c>
      <c r="AH20" s="32">
        <f>IF($B20="","",IF($B$2="Todos",SUMIFS(BD!$AG$3:$AG$5001,BD!$A$3:$A$5001,$B20),SUMIFS(BD!$AG$3:$AG$5001,BD!$A$3:$A$5001,$B20,BD!$B$3:$B$5001,$D$2)))</f>
        <v>0</v>
      </c>
      <c r="AI20" s="49">
        <f>$B$5</f>
        <v>0.7</v>
      </c>
      <c r="AJ20" s="49">
        <f>$B$6</f>
        <v>0.9</v>
      </c>
      <c r="AM20" s="29" t="inlineStr">
        <is>
          <t xml:space="preserve">SETEMBRO · 2026</t>
        </is>
      </c>
      <c r="AO20" s="29" t="inlineStr">
        <is>
          <t xml:space="preserve">Supply</t>
        </is>
      </c>
      <c r="AP20" s="28" t="inlineStr">
        <is>
          <t xml:space="preserve">TPC</t>
        </is>
      </c>
    </row>
    <row r="21">
      <c r="A21" s="28">
        <v>10</v>
      </c>
      <c r="B21" s="45">
        <f>IF($A21&lt;=DAY($D$7),$C$7+$A21-1,"")</f>
        <v>46305</v>
      </c>
      <c r="C21" s="32">
        <f>IF($B21="","",IF($B$2="Todos",SUMIFS(BD!$C$3:$C$5001,BD!$A$3:$A$5001,$B21),SUMIFS(BD!$C$3:$C$5001,BD!$A$3:$A$5001,$B21,BD!$B$3:$B$5001,$D$2)))</f>
        <v>0</v>
      </c>
      <c r="D21" s="32">
        <f>IF($B21="","",IF($B$2="Todos",SUMIFS(BD!$D$3:$D$5001,BD!$A$3:$A$5001,$B21),SUMIFS(BD!$D$3:$D$5001,BD!$A$3:$A$5001,$B21,BD!$B$3:$B$5001,$D$2)))</f>
        <v>0</v>
      </c>
      <c r="E21" s="46">
        <f>IF($B21="","",IF($B$2="Todos",SUMIFS(BD!$E$3:$E$5001,BD!$A$3:$A$5001,$B21),SUMIFS(BD!$E$3:$E$5001,BD!$A$3:$A$5001,$B21,BD!$B$3:$B$5001,$D$2)))</f>
        <v>0</v>
      </c>
      <c r="F21" s="32">
        <f>IF($B21="","",IF($B$2="Todos",SUMIFS(BD!$F$3:$F$5001,BD!$A$3:$A$5001,$B21),SUMIFS(BD!$F$3:$F$5001,BD!$A$3:$A$5001,$B21,BD!$B$3:$B$5001,$D$2)))</f>
        <v>0</v>
      </c>
      <c r="G21" s="32">
        <f>IF($B21="","",IF($B$2="Todos",SUMIFS(BD!$G$3:$G$5001,BD!$A$3:$A$5001,$B21),SUMIFS(BD!$G$3:$G$5001,BD!$A$3:$A$5001,$B21,BD!$B$3:$B$5001,$D$2)))</f>
        <v>0</v>
      </c>
      <c r="H21" s="32">
        <f>IF($B21="","",IF($B$2="Todos",SUMIFS(BD!$H$3:$H$5001,BD!$A$3:$A$5001,$B21),SUMIFS(BD!$H$3:$H$5001,BD!$A$3:$A$5001,$B21,BD!$B$3:$B$5001,$D$2)))</f>
        <v>0</v>
      </c>
      <c r="I21" s="32">
        <f>IF($B21="","",IF($B$2="Todos",SUMIFS(BD!$I$3:$I$5001,BD!$A$3:$A$5001,$B21),SUMIFS(BD!$I$3:$I$5001,BD!$A$3:$A$5001,$B21,BD!$B$3:$B$5001,$D$2)))</f>
        <v>0</v>
      </c>
      <c r="J21" s="32">
        <f>IF($B21="","",IF($B$2="Todos",SUMIFS(BD!$J$3:$J$5001,BD!$A$3:$A$5001,$B21),SUMIFS(BD!$J$3:$J$5001,BD!$A$3:$A$5001,$B21,BD!$B$3:$B$5001,$D$2)))</f>
        <v>0</v>
      </c>
      <c r="K21" s="32">
        <f>IF($B21="","",IF($B$2="Todos",SUMIFS(BD!$K$3:$K$5001,BD!$A$3:$A$5001,$B21),SUMIFS(BD!$K$3:$K$5001,BD!$A$3:$A$5001,$B21,BD!$B$3:$B$5001,$D$2)))</f>
        <v>0</v>
      </c>
      <c r="L21" s="32">
        <f>IF($B21="","",IF($B$2="Todos",SUMIFS(BD!$L$3:$L$5001,BD!$A$3:$A$5001,$B21),SUMIFS(BD!$L$3:$L$5001,BD!$A$3:$A$5001,$B21,BD!$B$3:$B$5001,$D$2)))</f>
        <v>0</v>
      </c>
      <c r="M21" s="32">
        <f>IF($B21="","",IF($B$2="Todos",SUMIFS(BD!$M$3:$M$5001,BD!$A$3:$A$5001,$B21),SUMIFS(BD!$M$3:$M$5001,BD!$A$3:$A$5001,$B21,BD!$B$3:$B$5001,$D$2)))</f>
        <v>0</v>
      </c>
      <c r="N21" s="32">
        <f>IF($B21="","",IF($B$2="Todos",SUMIFS(BD!$N$3:$N$5001,BD!$A$3:$A$5001,$B21),SUMIFS(BD!$N$3:$N$5001,BD!$A$3:$A$5001,$B21,BD!$B$3:$B$5001,$D$2)))</f>
        <v>0</v>
      </c>
      <c r="O21" s="32">
        <f>IF($B21="","",IF($B$2="Todos",SUMIFS(BD!$O$3:$O$5001,BD!$A$3:$A$5001,$B21),SUMIFS(BD!$O$3:$O$5001,BD!$A$3:$A$5001,$B21,BD!$B$3:$B$5001,$D$2)))</f>
        <v>0</v>
      </c>
      <c r="P21" s="32">
        <f>IF($B21="","",IF($B$2="Todos",SUMIFS(BD!$P$3:$P$5001,BD!$A$3:$A$5001,$B21),SUMIFS(BD!$P$3:$P$5001,BD!$A$3:$A$5001,$B21,BD!$B$3:$B$5001,$D$2)))</f>
        <v>0</v>
      </c>
      <c r="Q21" s="32">
        <f>IF($B21="","",IF($B$2="Todos",SUMIFS(BD!$Q$3:$Q$5001,BD!$A$3:$A$5001,$B21),SUMIFS(BD!$Q$3:$Q$5001,BD!$A$3:$A$5001,$B21,BD!$B$3:$B$5001,$D$2)))</f>
        <v>0</v>
      </c>
      <c r="R21" s="32">
        <f>IF($B21="","",IF($B$2="Todos",SUMIFS(BD!$R$3:$R$5001,BD!$A$3:$A$5001,$B21),SUMIFS(BD!$R$3:$R$5001,BD!$A$3:$A$5001,$B21,BD!$B$3:$B$5001,$D$2)))</f>
        <v>0</v>
      </c>
      <c r="S21" s="32">
        <f>IF($B21="","",IF($B$2="Todos",SUMIFS(BD!$S$3:$S$5001,BD!$A$3:$A$5001,$B21),SUMIFS(BD!$S$3:$S$5001,BD!$A$3:$A$5001,$B21,BD!$B$3:$B$5001,$D$2)))</f>
        <v>0</v>
      </c>
      <c r="T21" s="46">
        <f>IF($B21="","",IF($B$2="Todos",SUMIFS(BD!$T$3:$T$5001,BD!$A$3:$A$5001,$B21),SUMIFS(BD!$T$3:$T$5001,BD!$A$3:$A$5001,$B21,BD!$B$3:$B$5001,$D$2)))</f>
        <v>0</v>
      </c>
      <c r="U21" s="32">
        <f>IF($B21="","",IF($B$2="Todos",SUMIFS(BD!$U$3:$U$5001,BD!$A$3:$A$5001,$B21),SUMIFS(BD!$U$3:$U$5001,BD!$A$3:$A$5001,$B21,BD!$B$3:$B$5001,$D$2)))</f>
        <v>0</v>
      </c>
      <c r="V21" s="32">
        <f>IF($B21="","",IF($B$2="Todos",SUMIFS(BD!$V$3:$V$5001,BD!$A$3:$A$5001,$B21),SUMIFS(BD!$V$3:$V$5001,BD!$A$3:$A$5001,$B21,BD!$B$3:$B$5001,$D$2)))</f>
        <v>0</v>
      </c>
      <c r="W21" s="32" t="str">
        <f>IF($B$2="Todos",IF(COUNT($C$148:$L$148)=0,"",SUM($C$148:$L$148)),IFERROR(INDEX($C$148:$L$148,MATCH($D$2,$C$138:$L$138,0)),""))</f>
        <v/>
      </c>
      <c r="X21" s="47" t="str">
        <f>IF(Y21="","",IF($B$2="Todos",IF($B$4&gt;0,$B$4,IF($B$2="Todos",IF(COUNT($C$218:$L$218)=0,"",SUM($C$218:$L$218)),IFERROR(INDEX($C$218:$L$218,MATCH($D$2,$C$208:$L$208,0)),""))),IFERROR(INDEX($C$218:$L$218,MATCH($D$2,$C$208:$L$208,0)),"")))</f>
        <v/>
      </c>
      <c r="Y21" s="32" t="str">
        <f>IF($B$2="Todos",IF(COUNT($C$183:$L$183)=0,"",SUM($C$183:$L$183)),IFERROR(INDEX($C$183:$L$183,MATCH($D$2,$C$173:$L$173,0)),""))</f>
        <v/>
      </c>
      <c r="Z21" s="48" t="str">
        <f>IF(AND(ISNUMBER(Y21),ISNUMBER(X21)),IF(X21&gt;0,Y21/X21,""),"")</f>
        <v/>
      </c>
      <c r="AA21" s="32" t="str">
        <f>IF($B$2="Todos",IF(COUNT($C$253:$L$253)=0,"",SUM($C$253:$L$253)),IFERROR(INDEX($C$253:$L$253,MATCH($D$2,$C$243:$L$243,0)),""))</f>
        <v/>
      </c>
      <c r="AB21" s="32">
        <f>IF($B21="","",IF($B$2="Todos",SUMIFS(BD!$AA$3:$AA$5001,BD!$A$3:$A$5001,$B21),SUMIFS(BD!$AA$3:$AA$5001,BD!$A$3:$A$5001,$B21,BD!$B$3:$B$5001,$D$2)))</f>
        <v>0</v>
      </c>
      <c r="AC21" s="32">
        <f>IF($B21="","",IF($B$2="Todos",SUMIFS(BD!$AB$3:$AB$5001,BD!$A$3:$A$5001,$B21),SUMIFS(BD!$AB$3:$AB$5001,BD!$A$3:$A$5001,$B21,BD!$B$3:$B$5001,$D$2)))</f>
        <v>0</v>
      </c>
      <c r="AD21" s="32">
        <f>IF($B21="","",IF($B$2="Todos",SUMIFS(BD!$AC$3:$AC$5001,BD!$A$3:$A$5001,$B21),SUMIFS(BD!$AC$3:$AC$5001,BD!$A$3:$A$5001,$B21,BD!$B$3:$B$5001,$D$2)))</f>
        <v>0</v>
      </c>
      <c r="AE21" s="32">
        <f>IF($B21="","",IF($B$2="Todos",SUMIFS(BD!$AD$3:$AD$5001,BD!$A$3:$A$5001,$B21),SUMIFS(BD!$AD$3:$AD$5001,BD!$A$3:$A$5001,$B21,BD!$B$3:$B$5001,$D$2)))</f>
        <v>0</v>
      </c>
      <c r="AF21" s="32">
        <f>IF($B21="","",IF($B$2="Todos",SUMIFS(BD!$AE$3:$AE$5001,BD!$A$3:$A$5001,$B21),SUMIFS(BD!$AE$3:$AE$5001,BD!$A$3:$A$5001,$B21,BD!$B$3:$B$5001,$D$2)))</f>
        <v>0</v>
      </c>
      <c r="AG21" s="32">
        <f>IF($B21="","",IF($B$2="Todos",SUMIFS(BD!$AF$3:$AF$5001,BD!$A$3:$A$5001,$B21),SUMIFS(BD!$AF$3:$AF$5001,BD!$A$3:$A$5001,$B21,BD!$B$3:$B$5001,$D$2)))</f>
        <v>0</v>
      </c>
      <c r="AH21" s="32">
        <f>IF($B21="","",IF($B$2="Todos",SUMIFS(BD!$AG$3:$AG$5001,BD!$A$3:$A$5001,$B21),SUMIFS(BD!$AG$3:$AG$5001,BD!$A$3:$A$5001,$B21,BD!$B$3:$B$5001,$D$2)))</f>
        <v>0</v>
      </c>
      <c r="AI21" s="49">
        <f>$B$5</f>
        <v>0.7</v>
      </c>
      <c r="AJ21" s="49">
        <f>$B$6</f>
        <v>0.9</v>
      </c>
      <c r="AM21" s="29" t="inlineStr">
        <is>
          <t xml:space="preserve">OUTUBRO · 2026</t>
        </is>
      </c>
      <c r="AO21" s="29" t="inlineStr">
        <is>
          <t xml:space="preserve">Vedacit</t>
        </is>
      </c>
      <c r="AP21" s="28" t="inlineStr">
        <is>
          <t xml:space="preserve">TPC</t>
        </is>
      </c>
    </row>
    <row r="22">
      <c r="A22" s="28">
        <v>11</v>
      </c>
      <c r="B22" s="45">
        <f>IF($A22&lt;=DAY($D$7),$C$7+$A22-1,"")</f>
        <v>46306</v>
      </c>
      <c r="C22" s="32">
        <f>IF($B22="","",IF($B$2="Todos",SUMIFS(BD!$C$3:$C$5001,BD!$A$3:$A$5001,$B22),SUMIFS(BD!$C$3:$C$5001,BD!$A$3:$A$5001,$B22,BD!$B$3:$B$5001,$D$2)))</f>
        <v>0</v>
      </c>
      <c r="D22" s="32">
        <f>IF($B22="","",IF($B$2="Todos",SUMIFS(BD!$D$3:$D$5001,BD!$A$3:$A$5001,$B22),SUMIFS(BD!$D$3:$D$5001,BD!$A$3:$A$5001,$B22,BD!$B$3:$B$5001,$D$2)))</f>
        <v>0</v>
      </c>
      <c r="E22" s="46">
        <f>IF($B22="","",IF($B$2="Todos",SUMIFS(BD!$E$3:$E$5001,BD!$A$3:$A$5001,$B22),SUMIFS(BD!$E$3:$E$5001,BD!$A$3:$A$5001,$B22,BD!$B$3:$B$5001,$D$2)))</f>
        <v>0</v>
      </c>
      <c r="F22" s="32">
        <f>IF($B22="","",IF($B$2="Todos",SUMIFS(BD!$F$3:$F$5001,BD!$A$3:$A$5001,$B22),SUMIFS(BD!$F$3:$F$5001,BD!$A$3:$A$5001,$B22,BD!$B$3:$B$5001,$D$2)))</f>
        <v>0</v>
      </c>
      <c r="G22" s="32">
        <f>IF($B22="","",IF($B$2="Todos",SUMIFS(BD!$G$3:$G$5001,BD!$A$3:$A$5001,$B22),SUMIFS(BD!$G$3:$G$5001,BD!$A$3:$A$5001,$B22,BD!$B$3:$B$5001,$D$2)))</f>
        <v>0</v>
      </c>
      <c r="H22" s="32">
        <f>IF($B22="","",IF($B$2="Todos",SUMIFS(BD!$H$3:$H$5001,BD!$A$3:$A$5001,$B22),SUMIFS(BD!$H$3:$H$5001,BD!$A$3:$A$5001,$B22,BD!$B$3:$B$5001,$D$2)))</f>
        <v>0</v>
      </c>
      <c r="I22" s="32">
        <f>IF($B22="","",IF($B$2="Todos",SUMIFS(BD!$I$3:$I$5001,BD!$A$3:$A$5001,$B22),SUMIFS(BD!$I$3:$I$5001,BD!$A$3:$A$5001,$B22,BD!$B$3:$B$5001,$D$2)))</f>
        <v>0</v>
      </c>
      <c r="J22" s="32">
        <f>IF($B22="","",IF($B$2="Todos",SUMIFS(BD!$J$3:$J$5001,BD!$A$3:$A$5001,$B22),SUMIFS(BD!$J$3:$J$5001,BD!$A$3:$A$5001,$B22,BD!$B$3:$B$5001,$D$2)))</f>
        <v>0</v>
      </c>
      <c r="K22" s="32">
        <f>IF($B22="","",IF($B$2="Todos",SUMIFS(BD!$K$3:$K$5001,BD!$A$3:$A$5001,$B22),SUMIFS(BD!$K$3:$K$5001,BD!$A$3:$A$5001,$B22,BD!$B$3:$B$5001,$D$2)))</f>
        <v>0</v>
      </c>
      <c r="L22" s="32">
        <f>IF($B22="","",IF($B$2="Todos",SUMIFS(BD!$L$3:$L$5001,BD!$A$3:$A$5001,$B22),SUMIFS(BD!$L$3:$L$5001,BD!$A$3:$A$5001,$B22,BD!$B$3:$B$5001,$D$2)))</f>
        <v>0</v>
      </c>
      <c r="M22" s="32">
        <f>IF($B22="","",IF($B$2="Todos",SUMIFS(BD!$M$3:$M$5001,BD!$A$3:$A$5001,$B22),SUMIFS(BD!$M$3:$M$5001,BD!$A$3:$A$5001,$B22,BD!$B$3:$B$5001,$D$2)))</f>
        <v>0</v>
      </c>
      <c r="N22" s="32">
        <f>IF($B22="","",IF($B$2="Todos",SUMIFS(BD!$N$3:$N$5001,BD!$A$3:$A$5001,$B22),SUMIFS(BD!$N$3:$N$5001,BD!$A$3:$A$5001,$B22,BD!$B$3:$B$5001,$D$2)))</f>
        <v>0</v>
      </c>
      <c r="O22" s="32">
        <f>IF($B22="","",IF($B$2="Todos",SUMIFS(BD!$O$3:$O$5001,BD!$A$3:$A$5001,$B22),SUMIFS(BD!$O$3:$O$5001,BD!$A$3:$A$5001,$B22,BD!$B$3:$B$5001,$D$2)))</f>
        <v>0</v>
      </c>
      <c r="P22" s="32">
        <f>IF($B22="","",IF($B$2="Todos",SUMIFS(BD!$P$3:$P$5001,BD!$A$3:$A$5001,$B22),SUMIFS(BD!$P$3:$P$5001,BD!$A$3:$A$5001,$B22,BD!$B$3:$B$5001,$D$2)))</f>
        <v>0</v>
      </c>
      <c r="Q22" s="32">
        <f>IF($B22="","",IF($B$2="Todos",SUMIFS(BD!$Q$3:$Q$5001,BD!$A$3:$A$5001,$B22),SUMIFS(BD!$Q$3:$Q$5001,BD!$A$3:$A$5001,$B22,BD!$B$3:$B$5001,$D$2)))</f>
        <v>0</v>
      </c>
      <c r="R22" s="32">
        <f>IF($B22="","",IF($B$2="Todos",SUMIFS(BD!$R$3:$R$5001,BD!$A$3:$A$5001,$B22),SUMIFS(BD!$R$3:$R$5001,BD!$A$3:$A$5001,$B22,BD!$B$3:$B$5001,$D$2)))</f>
        <v>0</v>
      </c>
      <c r="S22" s="32">
        <f>IF($B22="","",IF($B$2="Todos",SUMIFS(BD!$S$3:$S$5001,BD!$A$3:$A$5001,$B22),SUMIFS(BD!$S$3:$S$5001,BD!$A$3:$A$5001,$B22,BD!$B$3:$B$5001,$D$2)))</f>
        <v>0</v>
      </c>
      <c r="T22" s="46">
        <f>IF($B22="","",IF($B$2="Todos",SUMIFS(BD!$T$3:$T$5001,BD!$A$3:$A$5001,$B22),SUMIFS(BD!$T$3:$T$5001,BD!$A$3:$A$5001,$B22,BD!$B$3:$B$5001,$D$2)))</f>
        <v>0</v>
      </c>
      <c r="U22" s="32">
        <f>IF($B22="","",IF($B$2="Todos",SUMIFS(BD!$U$3:$U$5001,BD!$A$3:$A$5001,$B22),SUMIFS(BD!$U$3:$U$5001,BD!$A$3:$A$5001,$B22,BD!$B$3:$B$5001,$D$2)))</f>
        <v>0</v>
      </c>
      <c r="V22" s="32">
        <f>IF($B22="","",IF($B$2="Todos",SUMIFS(BD!$V$3:$V$5001,BD!$A$3:$A$5001,$B22),SUMIFS(BD!$V$3:$V$5001,BD!$A$3:$A$5001,$B22,BD!$B$3:$B$5001,$D$2)))</f>
        <v>0</v>
      </c>
      <c r="W22" s="32" t="str">
        <f>IF($B$2="Todos",IF(COUNT($C$149:$L$149)=0,"",SUM($C$149:$L$149)),IFERROR(INDEX($C$149:$L$149,MATCH($D$2,$C$138:$L$138,0)),""))</f>
        <v/>
      </c>
      <c r="X22" s="47" t="str">
        <f>IF(Y22="","",IF($B$2="Todos",IF($B$4&gt;0,$B$4,IF($B$2="Todos",IF(COUNT($C$219:$L$219)=0,"",SUM($C$219:$L$219)),IFERROR(INDEX($C$219:$L$219,MATCH($D$2,$C$208:$L$208,0)),""))),IFERROR(INDEX($C$219:$L$219,MATCH($D$2,$C$208:$L$208,0)),"")))</f>
        <v/>
      </c>
      <c r="Y22" s="32" t="str">
        <f>IF($B$2="Todos",IF(COUNT($C$184:$L$184)=0,"",SUM($C$184:$L$184)),IFERROR(INDEX($C$184:$L$184,MATCH($D$2,$C$173:$L$173,0)),""))</f>
        <v/>
      </c>
      <c r="Z22" s="48" t="str">
        <f>IF(AND(ISNUMBER(Y22),ISNUMBER(X22)),IF(X22&gt;0,Y22/X22,""),"")</f>
        <v/>
      </c>
      <c r="AA22" s="32" t="str">
        <f>IF($B$2="Todos",IF(COUNT($C$254:$L$254)=0,"",SUM($C$254:$L$254)),IFERROR(INDEX($C$254:$L$254,MATCH($D$2,$C$243:$L$243,0)),""))</f>
        <v/>
      </c>
      <c r="AB22" s="32">
        <f>IF($B22="","",IF($B$2="Todos",SUMIFS(BD!$AA$3:$AA$5001,BD!$A$3:$A$5001,$B22),SUMIFS(BD!$AA$3:$AA$5001,BD!$A$3:$A$5001,$B22,BD!$B$3:$B$5001,$D$2)))</f>
        <v>0</v>
      </c>
      <c r="AC22" s="32">
        <f>IF($B22="","",IF($B$2="Todos",SUMIFS(BD!$AB$3:$AB$5001,BD!$A$3:$A$5001,$B22),SUMIFS(BD!$AB$3:$AB$5001,BD!$A$3:$A$5001,$B22,BD!$B$3:$B$5001,$D$2)))</f>
        <v>0</v>
      </c>
      <c r="AD22" s="32">
        <f>IF($B22="","",IF($B$2="Todos",SUMIFS(BD!$AC$3:$AC$5001,BD!$A$3:$A$5001,$B22),SUMIFS(BD!$AC$3:$AC$5001,BD!$A$3:$A$5001,$B22,BD!$B$3:$B$5001,$D$2)))</f>
        <v>0</v>
      </c>
      <c r="AE22" s="32">
        <f>IF($B22="","",IF($B$2="Todos",SUMIFS(BD!$AD$3:$AD$5001,BD!$A$3:$A$5001,$B22),SUMIFS(BD!$AD$3:$AD$5001,BD!$A$3:$A$5001,$B22,BD!$B$3:$B$5001,$D$2)))</f>
        <v>0</v>
      </c>
      <c r="AF22" s="32">
        <f>IF($B22="","",IF($B$2="Todos",SUMIFS(BD!$AE$3:$AE$5001,BD!$A$3:$A$5001,$B22),SUMIFS(BD!$AE$3:$AE$5001,BD!$A$3:$A$5001,$B22,BD!$B$3:$B$5001,$D$2)))</f>
        <v>0</v>
      </c>
      <c r="AG22" s="32">
        <f>IF($B22="","",IF($B$2="Todos",SUMIFS(BD!$AF$3:$AF$5001,BD!$A$3:$A$5001,$B22),SUMIFS(BD!$AF$3:$AF$5001,BD!$A$3:$A$5001,$B22,BD!$B$3:$B$5001,$D$2)))</f>
        <v>0</v>
      </c>
      <c r="AH22" s="32">
        <f>IF($B22="","",IF($B$2="Todos",SUMIFS(BD!$AG$3:$AG$5001,BD!$A$3:$A$5001,$B22),SUMIFS(BD!$AG$3:$AG$5001,BD!$A$3:$A$5001,$B22,BD!$B$3:$B$5001,$D$2)))</f>
        <v>0</v>
      </c>
      <c r="AI22" s="49">
        <f>$B$5</f>
        <v>0.7</v>
      </c>
      <c r="AJ22" s="49">
        <f>$B$6</f>
        <v>0.9</v>
      </c>
      <c r="AM22" s="29" t="inlineStr">
        <is>
          <t xml:space="preserve">NOVEMBRO · 2026</t>
        </is>
      </c>
      <c r="AO22" s="29" t="inlineStr">
        <is>
          <t xml:space="preserve">Vestas</t>
        </is>
      </c>
      <c r="AP22" s="28" t="inlineStr">
        <is>
          <t xml:space="preserve">TPC</t>
        </is>
      </c>
    </row>
    <row r="23">
      <c r="A23" s="28">
        <v>12</v>
      </c>
      <c r="B23" s="45">
        <f>IF($A23&lt;=DAY($D$7),$C$7+$A23-1,"")</f>
        <v>46307</v>
      </c>
      <c r="C23" s="32">
        <f>IF($B23="","",IF($B$2="Todos",SUMIFS(BD!$C$3:$C$5001,BD!$A$3:$A$5001,$B23),SUMIFS(BD!$C$3:$C$5001,BD!$A$3:$A$5001,$B23,BD!$B$3:$B$5001,$D$2)))</f>
        <v>0</v>
      </c>
      <c r="D23" s="32">
        <f>IF($B23="","",IF($B$2="Todos",SUMIFS(BD!$D$3:$D$5001,BD!$A$3:$A$5001,$B23),SUMIFS(BD!$D$3:$D$5001,BD!$A$3:$A$5001,$B23,BD!$B$3:$B$5001,$D$2)))</f>
        <v>0</v>
      </c>
      <c r="E23" s="46">
        <f>IF($B23="","",IF($B$2="Todos",SUMIFS(BD!$E$3:$E$5001,BD!$A$3:$A$5001,$B23),SUMIFS(BD!$E$3:$E$5001,BD!$A$3:$A$5001,$B23,BD!$B$3:$B$5001,$D$2)))</f>
        <v>0</v>
      </c>
      <c r="F23" s="32">
        <f>IF($B23="","",IF($B$2="Todos",SUMIFS(BD!$F$3:$F$5001,BD!$A$3:$A$5001,$B23),SUMIFS(BD!$F$3:$F$5001,BD!$A$3:$A$5001,$B23,BD!$B$3:$B$5001,$D$2)))</f>
        <v>0</v>
      </c>
      <c r="G23" s="32">
        <f>IF($B23="","",IF($B$2="Todos",SUMIFS(BD!$G$3:$G$5001,BD!$A$3:$A$5001,$B23),SUMIFS(BD!$G$3:$G$5001,BD!$A$3:$A$5001,$B23,BD!$B$3:$B$5001,$D$2)))</f>
        <v>0</v>
      </c>
      <c r="H23" s="32">
        <f>IF($B23="","",IF($B$2="Todos",SUMIFS(BD!$H$3:$H$5001,BD!$A$3:$A$5001,$B23),SUMIFS(BD!$H$3:$H$5001,BD!$A$3:$A$5001,$B23,BD!$B$3:$B$5001,$D$2)))</f>
        <v>0</v>
      </c>
      <c r="I23" s="32">
        <f>IF($B23="","",IF($B$2="Todos",SUMIFS(BD!$I$3:$I$5001,BD!$A$3:$A$5001,$B23),SUMIFS(BD!$I$3:$I$5001,BD!$A$3:$A$5001,$B23,BD!$B$3:$B$5001,$D$2)))</f>
        <v>0</v>
      </c>
      <c r="J23" s="32">
        <f>IF($B23="","",IF($B$2="Todos",SUMIFS(BD!$J$3:$J$5001,BD!$A$3:$A$5001,$B23),SUMIFS(BD!$J$3:$J$5001,BD!$A$3:$A$5001,$B23,BD!$B$3:$B$5001,$D$2)))</f>
        <v>0</v>
      </c>
      <c r="K23" s="32">
        <f>IF($B23="","",IF($B$2="Todos",SUMIFS(BD!$K$3:$K$5001,BD!$A$3:$A$5001,$B23),SUMIFS(BD!$K$3:$K$5001,BD!$A$3:$A$5001,$B23,BD!$B$3:$B$5001,$D$2)))</f>
        <v>0</v>
      </c>
      <c r="L23" s="32">
        <f>IF($B23="","",IF($B$2="Todos",SUMIFS(BD!$L$3:$L$5001,BD!$A$3:$A$5001,$B23),SUMIFS(BD!$L$3:$L$5001,BD!$A$3:$A$5001,$B23,BD!$B$3:$B$5001,$D$2)))</f>
        <v>0</v>
      </c>
      <c r="M23" s="32">
        <f>IF($B23="","",IF($B$2="Todos",SUMIFS(BD!$M$3:$M$5001,BD!$A$3:$A$5001,$B23),SUMIFS(BD!$M$3:$M$5001,BD!$A$3:$A$5001,$B23,BD!$B$3:$B$5001,$D$2)))</f>
        <v>0</v>
      </c>
      <c r="N23" s="32">
        <f>IF($B23="","",IF($B$2="Todos",SUMIFS(BD!$N$3:$N$5001,BD!$A$3:$A$5001,$B23),SUMIFS(BD!$N$3:$N$5001,BD!$A$3:$A$5001,$B23,BD!$B$3:$B$5001,$D$2)))</f>
        <v>0</v>
      </c>
      <c r="O23" s="32">
        <f>IF($B23="","",IF($B$2="Todos",SUMIFS(BD!$O$3:$O$5001,BD!$A$3:$A$5001,$B23),SUMIFS(BD!$O$3:$O$5001,BD!$A$3:$A$5001,$B23,BD!$B$3:$B$5001,$D$2)))</f>
        <v>0</v>
      </c>
      <c r="P23" s="32">
        <f>IF($B23="","",IF($B$2="Todos",SUMIFS(BD!$P$3:$P$5001,BD!$A$3:$A$5001,$B23),SUMIFS(BD!$P$3:$P$5001,BD!$A$3:$A$5001,$B23,BD!$B$3:$B$5001,$D$2)))</f>
        <v>0</v>
      </c>
      <c r="Q23" s="32">
        <f>IF($B23="","",IF($B$2="Todos",SUMIFS(BD!$Q$3:$Q$5001,BD!$A$3:$A$5001,$B23),SUMIFS(BD!$Q$3:$Q$5001,BD!$A$3:$A$5001,$B23,BD!$B$3:$B$5001,$D$2)))</f>
        <v>0</v>
      </c>
      <c r="R23" s="32">
        <f>IF($B23="","",IF($B$2="Todos",SUMIFS(BD!$R$3:$R$5001,BD!$A$3:$A$5001,$B23),SUMIFS(BD!$R$3:$R$5001,BD!$A$3:$A$5001,$B23,BD!$B$3:$B$5001,$D$2)))</f>
        <v>0</v>
      </c>
      <c r="S23" s="32">
        <f>IF($B23="","",IF($B$2="Todos",SUMIFS(BD!$S$3:$S$5001,BD!$A$3:$A$5001,$B23),SUMIFS(BD!$S$3:$S$5001,BD!$A$3:$A$5001,$B23,BD!$B$3:$B$5001,$D$2)))</f>
        <v>0</v>
      </c>
      <c r="T23" s="46">
        <f>IF($B23="","",IF($B$2="Todos",SUMIFS(BD!$T$3:$T$5001,BD!$A$3:$A$5001,$B23),SUMIFS(BD!$T$3:$T$5001,BD!$A$3:$A$5001,$B23,BD!$B$3:$B$5001,$D$2)))</f>
        <v>0</v>
      </c>
      <c r="U23" s="32">
        <f>IF($B23="","",IF($B$2="Todos",SUMIFS(BD!$U$3:$U$5001,BD!$A$3:$A$5001,$B23),SUMIFS(BD!$U$3:$U$5001,BD!$A$3:$A$5001,$B23,BD!$B$3:$B$5001,$D$2)))</f>
        <v>0</v>
      </c>
      <c r="V23" s="32">
        <f>IF($B23="","",IF($B$2="Todos",SUMIFS(BD!$V$3:$V$5001,BD!$A$3:$A$5001,$B23),SUMIFS(BD!$V$3:$V$5001,BD!$A$3:$A$5001,$B23,BD!$B$3:$B$5001,$D$2)))</f>
        <v>0</v>
      </c>
      <c r="W23" s="32" t="str">
        <f>IF($B$2="Todos",IF(COUNT($C$150:$L$150)=0,"",SUM($C$150:$L$150)),IFERROR(INDEX($C$150:$L$150,MATCH($D$2,$C$138:$L$138,0)),""))</f>
        <v/>
      </c>
      <c r="X23" s="47" t="str">
        <f>IF(Y23="","",IF($B$2="Todos",IF($B$4&gt;0,$B$4,IF($B$2="Todos",IF(COUNT($C$220:$L$220)=0,"",SUM($C$220:$L$220)),IFERROR(INDEX($C$220:$L$220,MATCH($D$2,$C$208:$L$208,0)),""))),IFERROR(INDEX($C$220:$L$220,MATCH($D$2,$C$208:$L$208,0)),"")))</f>
        <v/>
      </c>
      <c r="Y23" s="32" t="str">
        <f>IF($B$2="Todos",IF(COUNT($C$185:$L$185)=0,"",SUM($C$185:$L$185)),IFERROR(INDEX($C$185:$L$185,MATCH($D$2,$C$173:$L$173,0)),""))</f>
        <v/>
      </c>
      <c r="Z23" s="48" t="str">
        <f>IF(AND(ISNUMBER(Y23),ISNUMBER(X23)),IF(X23&gt;0,Y23/X23,""),"")</f>
        <v/>
      </c>
      <c r="AA23" s="32" t="str">
        <f>IF($B$2="Todos",IF(COUNT($C$255:$L$255)=0,"",SUM($C$255:$L$255)),IFERROR(INDEX($C$255:$L$255,MATCH($D$2,$C$243:$L$243,0)),""))</f>
        <v/>
      </c>
      <c r="AB23" s="32">
        <f>IF($B23="","",IF($B$2="Todos",SUMIFS(BD!$AA$3:$AA$5001,BD!$A$3:$A$5001,$B23),SUMIFS(BD!$AA$3:$AA$5001,BD!$A$3:$A$5001,$B23,BD!$B$3:$B$5001,$D$2)))</f>
        <v>0</v>
      </c>
      <c r="AC23" s="32">
        <f>IF($B23="","",IF($B$2="Todos",SUMIFS(BD!$AB$3:$AB$5001,BD!$A$3:$A$5001,$B23),SUMIFS(BD!$AB$3:$AB$5001,BD!$A$3:$A$5001,$B23,BD!$B$3:$B$5001,$D$2)))</f>
        <v>0</v>
      </c>
      <c r="AD23" s="32">
        <f>IF($B23="","",IF($B$2="Todos",SUMIFS(BD!$AC$3:$AC$5001,BD!$A$3:$A$5001,$B23),SUMIFS(BD!$AC$3:$AC$5001,BD!$A$3:$A$5001,$B23,BD!$B$3:$B$5001,$D$2)))</f>
        <v>0</v>
      </c>
      <c r="AE23" s="32">
        <f>IF($B23="","",IF($B$2="Todos",SUMIFS(BD!$AD$3:$AD$5001,BD!$A$3:$A$5001,$B23),SUMIFS(BD!$AD$3:$AD$5001,BD!$A$3:$A$5001,$B23,BD!$B$3:$B$5001,$D$2)))</f>
        <v>0</v>
      </c>
      <c r="AF23" s="32">
        <f>IF($B23="","",IF($B$2="Todos",SUMIFS(BD!$AE$3:$AE$5001,BD!$A$3:$A$5001,$B23),SUMIFS(BD!$AE$3:$AE$5001,BD!$A$3:$A$5001,$B23,BD!$B$3:$B$5001,$D$2)))</f>
        <v>0</v>
      </c>
      <c r="AG23" s="32">
        <f>IF($B23="","",IF($B$2="Todos",SUMIFS(BD!$AF$3:$AF$5001,BD!$A$3:$A$5001,$B23),SUMIFS(BD!$AF$3:$AF$5001,BD!$A$3:$A$5001,$B23,BD!$B$3:$B$5001,$D$2)))</f>
        <v>0</v>
      </c>
      <c r="AH23" s="32">
        <f>IF($B23="","",IF($B$2="Todos",SUMIFS(BD!$AG$3:$AG$5001,BD!$A$3:$A$5001,$B23),SUMIFS(BD!$AG$3:$AG$5001,BD!$A$3:$A$5001,$B23,BD!$B$3:$B$5001,$D$2)))</f>
        <v>0</v>
      </c>
      <c r="AI23" s="49">
        <f>$B$5</f>
        <v>0.7</v>
      </c>
      <c r="AJ23" s="49">
        <f>$B$6</f>
        <v>0.9</v>
      </c>
      <c r="AM23" s="29" t="inlineStr">
        <is>
          <t xml:space="preserve">DEZEMBRO · 2026</t>
        </is>
      </c>
    </row>
    <row r="24">
      <c r="A24" s="28">
        <v>13</v>
      </c>
      <c r="B24" s="45">
        <f>IF($A24&lt;=DAY($D$7),$C$7+$A24-1,"")</f>
        <v>46308</v>
      </c>
      <c r="C24" s="32">
        <f>IF($B24="","",IF($B$2="Todos",SUMIFS(BD!$C$3:$C$5001,BD!$A$3:$A$5001,$B24),SUMIFS(BD!$C$3:$C$5001,BD!$A$3:$A$5001,$B24,BD!$B$3:$B$5001,$D$2)))</f>
        <v>0</v>
      </c>
      <c r="D24" s="32">
        <f>IF($B24="","",IF($B$2="Todos",SUMIFS(BD!$D$3:$D$5001,BD!$A$3:$A$5001,$B24),SUMIFS(BD!$D$3:$D$5001,BD!$A$3:$A$5001,$B24,BD!$B$3:$B$5001,$D$2)))</f>
        <v>0</v>
      </c>
      <c r="E24" s="46">
        <f>IF($B24="","",IF($B$2="Todos",SUMIFS(BD!$E$3:$E$5001,BD!$A$3:$A$5001,$B24),SUMIFS(BD!$E$3:$E$5001,BD!$A$3:$A$5001,$B24,BD!$B$3:$B$5001,$D$2)))</f>
        <v>0</v>
      </c>
      <c r="F24" s="32">
        <f>IF($B24="","",IF($B$2="Todos",SUMIFS(BD!$F$3:$F$5001,BD!$A$3:$A$5001,$B24),SUMIFS(BD!$F$3:$F$5001,BD!$A$3:$A$5001,$B24,BD!$B$3:$B$5001,$D$2)))</f>
        <v>0</v>
      </c>
      <c r="G24" s="32">
        <f>IF($B24="","",IF($B$2="Todos",SUMIFS(BD!$G$3:$G$5001,BD!$A$3:$A$5001,$B24),SUMIFS(BD!$G$3:$G$5001,BD!$A$3:$A$5001,$B24,BD!$B$3:$B$5001,$D$2)))</f>
        <v>0</v>
      </c>
      <c r="H24" s="32">
        <f>IF($B24="","",IF($B$2="Todos",SUMIFS(BD!$H$3:$H$5001,BD!$A$3:$A$5001,$B24),SUMIFS(BD!$H$3:$H$5001,BD!$A$3:$A$5001,$B24,BD!$B$3:$B$5001,$D$2)))</f>
        <v>0</v>
      </c>
      <c r="I24" s="32">
        <f>IF($B24="","",IF($B$2="Todos",SUMIFS(BD!$I$3:$I$5001,BD!$A$3:$A$5001,$B24),SUMIFS(BD!$I$3:$I$5001,BD!$A$3:$A$5001,$B24,BD!$B$3:$B$5001,$D$2)))</f>
        <v>0</v>
      </c>
      <c r="J24" s="32">
        <f>IF($B24="","",IF($B$2="Todos",SUMIFS(BD!$J$3:$J$5001,BD!$A$3:$A$5001,$B24),SUMIFS(BD!$J$3:$J$5001,BD!$A$3:$A$5001,$B24,BD!$B$3:$B$5001,$D$2)))</f>
        <v>0</v>
      </c>
      <c r="K24" s="32">
        <f>IF($B24="","",IF($B$2="Todos",SUMIFS(BD!$K$3:$K$5001,BD!$A$3:$A$5001,$B24),SUMIFS(BD!$K$3:$K$5001,BD!$A$3:$A$5001,$B24,BD!$B$3:$B$5001,$D$2)))</f>
        <v>0</v>
      </c>
      <c r="L24" s="32">
        <f>IF($B24="","",IF($B$2="Todos",SUMIFS(BD!$L$3:$L$5001,BD!$A$3:$A$5001,$B24),SUMIFS(BD!$L$3:$L$5001,BD!$A$3:$A$5001,$B24,BD!$B$3:$B$5001,$D$2)))</f>
        <v>0</v>
      </c>
      <c r="M24" s="32">
        <f>IF($B24="","",IF($B$2="Todos",SUMIFS(BD!$M$3:$M$5001,BD!$A$3:$A$5001,$B24),SUMIFS(BD!$M$3:$M$5001,BD!$A$3:$A$5001,$B24,BD!$B$3:$B$5001,$D$2)))</f>
        <v>0</v>
      </c>
      <c r="N24" s="32">
        <f>IF($B24="","",IF($B$2="Todos",SUMIFS(BD!$N$3:$N$5001,BD!$A$3:$A$5001,$B24),SUMIFS(BD!$N$3:$N$5001,BD!$A$3:$A$5001,$B24,BD!$B$3:$B$5001,$D$2)))</f>
        <v>0</v>
      </c>
      <c r="O24" s="32">
        <f>IF($B24="","",IF($B$2="Todos",SUMIFS(BD!$O$3:$O$5001,BD!$A$3:$A$5001,$B24),SUMIFS(BD!$O$3:$O$5001,BD!$A$3:$A$5001,$B24,BD!$B$3:$B$5001,$D$2)))</f>
        <v>0</v>
      </c>
      <c r="P24" s="32">
        <f>IF($B24="","",IF($B$2="Todos",SUMIFS(BD!$P$3:$P$5001,BD!$A$3:$A$5001,$B24),SUMIFS(BD!$P$3:$P$5001,BD!$A$3:$A$5001,$B24,BD!$B$3:$B$5001,$D$2)))</f>
        <v>0</v>
      </c>
      <c r="Q24" s="32">
        <f>IF($B24="","",IF($B$2="Todos",SUMIFS(BD!$Q$3:$Q$5001,BD!$A$3:$A$5001,$B24),SUMIFS(BD!$Q$3:$Q$5001,BD!$A$3:$A$5001,$B24,BD!$B$3:$B$5001,$D$2)))</f>
        <v>0</v>
      </c>
      <c r="R24" s="32">
        <f>IF($B24="","",IF($B$2="Todos",SUMIFS(BD!$R$3:$R$5001,BD!$A$3:$A$5001,$B24),SUMIFS(BD!$R$3:$R$5001,BD!$A$3:$A$5001,$B24,BD!$B$3:$B$5001,$D$2)))</f>
        <v>0</v>
      </c>
      <c r="S24" s="32">
        <f>IF($B24="","",IF($B$2="Todos",SUMIFS(BD!$S$3:$S$5001,BD!$A$3:$A$5001,$B24),SUMIFS(BD!$S$3:$S$5001,BD!$A$3:$A$5001,$B24,BD!$B$3:$B$5001,$D$2)))</f>
        <v>0</v>
      </c>
      <c r="T24" s="46">
        <f>IF($B24="","",IF($B$2="Todos",SUMIFS(BD!$T$3:$T$5001,BD!$A$3:$A$5001,$B24),SUMIFS(BD!$T$3:$T$5001,BD!$A$3:$A$5001,$B24,BD!$B$3:$B$5001,$D$2)))</f>
        <v>0</v>
      </c>
      <c r="U24" s="32">
        <f>IF($B24="","",IF($B$2="Todos",SUMIFS(BD!$U$3:$U$5001,BD!$A$3:$A$5001,$B24),SUMIFS(BD!$U$3:$U$5001,BD!$A$3:$A$5001,$B24,BD!$B$3:$B$5001,$D$2)))</f>
        <v>0</v>
      </c>
      <c r="V24" s="32">
        <f>IF($B24="","",IF($B$2="Todos",SUMIFS(BD!$V$3:$V$5001,BD!$A$3:$A$5001,$B24),SUMIFS(BD!$V$3:$V$5001,BD!$A$3:$A$5001,$B24,BD!$B$3:$B$5001,$D$2)))</f>
        <v>0</v>
      </c>
      <c r="W24" s="32" t="str">
        <f>IF($B$2="Todos",IF(COUNT($C$151:$L$151)=0,"",SUM($C$151:$L$151)),IFERROR(INDEX($C$151:$L$151,MATCH($D$2,$C$138:$L$138,0)),""))</f>
        <v/>
      </c>
      <c r="X24" s="47" t="str">
        <f>IF(Y24="","",IF($B$2="Todos",IF($B$4&gt;0,$B$4,IF($B$2="Todos",IF(COUNT($C$221:$L$221)=0,"",SUM($C$221:$L$221)),IFERROR(INDEX($C$221:$L$221,MATCH($D$2,$C$208:$L$208,0)),""))),IFERROR(INDEX($C$221:$L$221,MATCH($D$2,$C$208:$L$208,0)),"")))</f>
        <v/>
      </c>
      <c r="Y24" s="32" t="str">
        <f>IF($B$2="Todos",IF(COUNT($C$186:$L$186)=0,"",SUM($C$186:$L$186)),IFERROR(INDEX($C$186:$L$186,MATCH($D$2,$C$173:$L$173,0)),""))</f>
        <v/>
      </c>
      <c r="Z24" s="48" t="str">
        <f>IF(AND(ISNUMBER(Y24),ISNUMBER(X24)),IF(X24&gt;0,Y24/X24,""),"")</f>
        <v/>
      </c>
      <c r="AA24" s="32" t="str">
        <f>IF($B$2="Todos",IF(COUNT($C$256:$L$256)=0,"",SUM($C$256:$L$256)),IFERROR(INDEX($C$256:$L$256,MATCH($D$2,$C$243:$L$243,0)),""))</f>
        <v/>
      </c>
      <c r="AB24" s="32">
        <f>IF($B24="","",IF($B$2="Todos",SUMIFS(BD!$AA$3:$AA$5001,BD!$A$3:$A$5001,$B24),SUMIFS(BD!$AA$3:$AA$5001,BD!$A$3:$A$5001,$B24,BD!$B$3:$B$5001,$D$2)))</f>
        <v>0</v>
      </c>
      <c r="AC24" s="32">
        <f>IF($B24="","",IF($B$2="Todos",SUMIFS(BD!$AB$3:$AB$5001,BD!$A$3:$A$5001,$B24),SUMIFS(BD!$AB$3:$AB$5001,BD!$A$3:$A$5001,$B24,BD!$B$3:$B$5001,$D$2)))</f>
        <v>0</v>
      </c>
      <c r="AD24" s="32">
        <f>IF($B24="","",IF($B$2="Todos",SUMIFS(BD!$AC$3:$AC$5001,BD!$A$3:$A$5001,$B24),SUMIFS(BD!$AC$3:$AC$5001,BD!$A$3:$A$5001,$B24,BD!$B$3:$B$5001,$D$2)))</f>
        <v>0</v>
      </c>
      <c r="AE24" s="32">
        <f>IF($B24="","",IF($B$2="Todos",SUMIFS(BD!$AD$3:$AD$5001,BD!$A$3:$A$5001,$B24),SUMIFS(BD!$AD$3:$AD$5001,BD!$A$3:$A$5001,$B24,BD!$B$3:$B$5001,$D$2)))</f>
        <v>0</v>
      </c>
      <c r="AF24" s="32">
        <f>IF($B24="","",IF($B$2="Todos",SUMIFS(BD!$AE$3:$AE$5001,BD!$A$3:$A$5001,$B24),SUMIFS(BD!$AE$3:$AE$5001,BD!$A$3:$A$5001,$B24,BD!$B$3:$B$5001,$D$2)))</f>
        <v>0</v>
      </c>
      <c r="AG24" s="32">
        <f>IF($B24="","",IF($B$2="Todos",SUMIFS(BD!$AF$3:$AF$5001,BD!$A$3:$A$5001,$B24),SUMIFS(BD!$AF$3:$AF$5001,BD!$A$3:$A$5001,$B24,BD!$B$3:$B$5001,$D$2)))</f>
        <v>0</v>
      </c>
      <c r="AH24" s="32">
        <f>IF($B24="","",IF($B$2="Todos",SUMIFS(BD!$AG$3:$AG$5001,BD!$A$3:$A$5001,$B24),SUMIFS(BD!$AG$3:$AG$5001,BD!$A$3:$A$5001,$B24,BD!$B$3:$B$5001,$D$2)))</f>
        <v>0</v>
      </c>
      <c r="AI24" s="49">
        <f>$B$5</f>
        <v>0.7</v>
      </c>
      <c r="AJ24" s="49">
        <f>$B$6</f>
        <v>0.9</v>
      </c>
    </row>
    <row r="25">
      <c r="A25" s="28">
        <v>14</v>
      </c>
      <c r="B25" s="45">
        <f>IF($A25&lt;=DAY($D$7),$C$7+$A25-1,"")</f>
        <v>46309</v>
      </c>
      <c r="C25" s="32">
        <f>IF($B25="","",IF($B$2="Todos",SUMIFS(BD!$C$3:$C$5001,BD!$A$3:$A$5001,$B25),SUMIFS(BD!$C$3:$C$5001,BD!$A$3:$A$5001,$B25,BD!$B$3:$B$5001,$D$2)))</f>
        <v>0</v>
      </c>
      <c r="D25" s="32">
        <f>IF($B25="","",IF($B$2="Todos",SUMIFS(BD!$D$3:$D$5001,BD!$A$3:$A$5001,$B25),SUMIFS(BD!$D$3:$D$5001,BD!$A$3:$A$5001,$B25,BD!$B$3:$B$5001,$D$2)))</f>
        <v>0</v>
      </c>
      <c r="E25" s="46">
        <f>IF($B25="","",IF($B$2="Todos",SUMIFS(BD!$E$3:$E$5001,BD!$A$3:$A$5001,$B25),SUMIFS(BD!$E$3:$E$5001,BD!$A$3:$A$5001,$B25,BD!$B$3:$B$5001,$D$2)))</f>
        <v>0</v>
      </c>
      <c r="F25" s="32">
        <f>IF($B25="","",IF($B$2="Todos",SUMIFS(BD!$F$3:$F$5001,BD!$A$3:$A$5001,$B25),SUMIFS(BD!$F$3:$F$5001,BD!$A$3:$A$5001,$B25,BD!$B$3:$B$5001,$D$2)))</f>
        <v>0</v>
      </c>
      <c r="G25" s="32">
        <f>IF($B25="","",IF($B$2="Todos",SUMIFS(BD!$G$3:$G$5001,BD!$A$3:$A$5001,$B25),SUMIFS(BD!$G$3:$G$5001,BD!$A$3:$A$5001,$B25,BD!$B$3:$B$5001,$D$2)))</f>
        <v>0</v>
      </c>
      <c r="H25" s="32">
        <f>IF($B25="","",IF($B$2="Todos",SUMIFS(BD!$H$3:$H$5001,BD!$A$3:$A$5001,$B25),SUMIFS(BD!$H$3:$H$5001,BD!$A$3:$A$5001,$B25,BD!$B$3:$B$5001,$D$2)))</f>
        <v>0</v>
      </c>
      <c r="I25" s="32">
        <f>IF($B25="","",IF($B$2="Todos",SUMIFS(BD!$I$3:$I$5001,BD!$A$3:$A$5001,$B25),SUMIFS(BD!$I$3:$I$5001,BD!$A$3:$A$5001,$B25,BD!$B$3:$B$5001,$D$2)))</f>
        <v>0</v>
      </c>
      <c r="J25" s="32">
        <f>IF($B25="","",IF($B$2="Todos",SUMIFS(BD!$J$3:$J$5001,BD!$A$3:$A$5001,$B25),SUMIFS(BD!$J$3:$J$5001,BD!$A$3:$A$5001,$B25,BD!$B$3:$B$5001,$D$2)))</f>
        <v>0</v>
      </c>
      <c r="K25" s="32">
        <f>IF($B25="","",IF($B$2="Todos",SUMIFS(BD!$K$3:$K$5001,BD!$A$3:$A$5001,$B25),SUMIFS(BD!$K$3:$K$5001,BD!$A$3:$A$5001,$B25,BD!$B$3:$B$5001,$D$2)))</f>
        <v>0</v>
      </c>
      <c r="L25" s="32">
        <f>IF($B25="","",IF($B$2="Todos",SUMIFS(BD!$L$3:$L$5001,BD!$A$3:$A$5001,$B25),SUMIFS(BD!$L$3:$L$5001,BD!$A$3:$A$5001,$B25,BD!$B$3:$B$5001,$D$2)))</f>
        <v>0</v>
      </c>
      <c r="M25" s="32">
        <f>IF($B25="","",IF($B$2="Todos",SUMIFS(BD!$M$3:$M$5001,BD!$A$3:$A$5001,$B25),SUMIFS(BD!$M$3:$M$5001,BD!$A$3:$A$5001,$B25,BD!$B$3:$B$5001,$D$2)))</f>
        <v>0</v>
      </c>
      <c r="N25" s="32">
        <f>IF($B25="","",IF($B$2="Todos",SUMIFS(BD!$N$3:$N$5001,BD!$A$3:$A$5001,$B25),SUMIFS(BD!$N$3:$N$5001,BD!$A$3:$A$5001,$B25,BD!$B$3:$B$5001,$D$2)))</f>
        <v>0</v>
      </c>
      <c r="O25" s="32">
        <f>IF($B25="","",IF($B$2="Todos",SUMIFS(BD!$O$3:$O$5001,BD!$A$3:$A$5001,$B25),SUMIFS(BD!$O$3:$O$5001,BD!$A$3:$A$5001,$B25,BD!$B$3:$B$5001,$D$2)))</f>
        <v>0</v>
      </c>
      <c r="P25" s="32">
        <f>IF($B25="","",IF($B$2="Todos",SUMIFS(BD!$P$3:$P$5001,BD!$A$3:$A$5001,$B25),SUMIFS(BD!$P$3:$P$5001,BD!$A$3:$A$5001,$B25,BD!$B$3:$B$5001,$D$2)))</f>
        <v>0</v>
      </c>
      <c r="Q25" s="32">
        <f>IF($B25="","",IF($B$2="Todos",SUMIFS(BD!$Q$3:$Q$5001,BD!$A$3:$A$5001,$B25),SUMIFS(BD!$Q$3:$Q$5001,BD!$A$3:$A$5001,$B25,BD!$B$3:$B$5001,$D$2)))</f>
        <v>0</v>
      </c>
      <c r="R25" s="32">
        <f>IF($B25="","",IF($B$2="Todos",SUMIFS(BD!$R$3:$R$5001,BD!$A$3:$A$5001,$B25),SUMIFS(BD!$R$3:$R$5001,BD!$A$3:$A$5001,$B25,BD!$B$3:$B$5001,$D$2)))</f>
        <v>0</v>
      </c>
      <c r="S25" s="32">
        <f>IF($B25="","",IF($B$2="Todos",SUMIFS(BD!$S$3:$S$5001,BD!$A$3:$A$5001,$B25),SUMIFS(BD!$S$3:$S$5001,BD!$A$3:$A$5001,$B25,BD!$B$3:$B$5001,$D$2)))</f>
        <v>0</v>
      </c>
      <c r="T25" s="46">
        <f>IF($B25="","",IF($B$2="Todos",SUMIFS(BD!$T$3:$T$5001,BD!$A$3:$A$5001,$B25),SUMIFS(BD!$T$3:$T$5001,BD!$A$3:$A$5001,$B25,BD!$B$3:$B$5001,$D$2)))</f>
        <v>0</v>
      </c>
      <c r="U25" s="32">
        <f>IF($B25="","",IF($B$2="Todos",SUMIFS(BD!$U$3:$U$5001,BD!$A$3:$A$5001,$B25),SUMIFS(BD!$U$3:$U$5001,BD!$A$3:$A$5001,$B25,BD!$B$3:$B$5001,$D$2)))</f>
        <v>0</v>
      </c>
      <c r="V25" s="32">
        <f>IF($B25="","",IF($B$2="Todos",SUMIFS(BD!$V$3:$V$5001,BD!$A$3:$A$5001,$B25),SUMIFS(BD!$V$3:$V$5001,BD!$A$3:$A$5001,$B25,BD!$B$3:$B$5001,$D$2)))</f>
        <v>0</v>
      </c>
      <c r="W25" s="32" t="str">
        <f>IF($B$2="Todos",IF(COUNT($C$152:$L$152)=0,"",SUM($C$152:$L$152)),IFERROR(INDEX($C$152:$L$152,MATCH($D$2,$C$138:$L$138,0)),""))</f>
        <v/>
      </c>
      <c r="X25" s="47" t="str">
        <f>IF(Y25="","",IF($B$2="Todos",IF($B$4&gt;0,$B$4,IF($B$2="Todos",IF(COUNT($C$222:$L$222)=0,"",SUM($C$222:$L$222)),IFERROR(INDEX($C$222:$L$222,MATCH($D$2,$C$208:$L$208,0)),""))),IFERROR(INDEX($C$222:$L$222,MATCH($D$2,$C$208:$L$208,0)),"")))</f>
        <v/>
      </c>
      <c r="Y25" s="32" t="str">
        <f>IF($B$2="Todos",IF(COUNT($C$187:$L$187)=0,"",SUM($C$187:$L$187)),IFERROR(INDEX($C$187:$L$187,MATCH($D$2,$C$173:$L$173,0)),""))</f>
        <v/>
      </c>
      <c r="Z25" s="48" t="str">
        <f>IF(AND(ISNUMBER(Y25),ISNUMBER(X25)),IF(X25&gt;0,Y25/X25,""),"")</f>
        <v/>
      </c>
      <c r="AA25" s="32" t="str">
        <f>IF($B$2="Todos",IF(COUNT($C$257:$L$257)=0,"",SUM($C$257:$L$257)),IFERROR(INDEX($C$257:$L$257,MATCH($D$2,$C$243:$L$243,0)),""))</f>
        <v/>
      </c>
      <c r="AB25" s="32">
        <f>IF($B25="","",IF($B$2="Todos",SUMIFS(BD!$AA$3:$AA$5001,BD!$A$3:$A$5001,$B25),SUMIFS(BD!$AA$3:$AA$5001,BD!$A$3:$A$5001,$B25,BD!$B$3:$B$5001,$D$2)))</f>
        <v>0</v>
      </c>
      <c r="AC25" s="32">
        <f>IF($B25="","",IF($B$2="Todos",SUMIFS(BD!$AB$3:$AB$5001,BD!$A$3:$A$5001,$B25),SUMIFS(BD!$AB$3:$AB$5001,BD!$A$3:$A$5001,$B25,BD!$B$3:$B$5001,$D$2)))</f>
        <v>0</v>
      </c>
      <c r="AD25" s="32">
        <f>IF($B25="","",IF($B$2="Todos",SUMIFS(BD!$AC$3:$AC$5001,BD!$A$3:$A$5001,$B25),SUMIFS(BD!$AC$3:$AC$5001,BD!$A$3:$A$5001,$B25,BD!$B$3:$B$5001,$D$2)))</f>
        <v>0</v>
      </c>
      <c r="AE25" s="32">
        <f>IF($B25="","",IF($B$2="Todos",SUMIFS(BD!$AD$3:$AD$5001,BD!$A$3:$A$5001,$B25),SUMIFS(BD!$AD$3:$AD$5001,BD!$A$3:$A$5001,$B25,BD!$B$3:$B$5001,$D$2)))</f>
        <v>0</v>
      </c>
      <c r="AF25" s="32">
        <f>IF($B25="","",IF($B$2="Todos",SUMIFS(BD!$AE$3:$AE$5001,BD!$A$3:$A$5001,$B25),SUMIFS(BD!$AE$3:$AE$5001,BD!$A$3:$A$5001,$B25,BD!$B$3:$B$5001,$D$2)))</f>
        <v>0</v>
      </c>
      <c r="AG25" s="32">
        <f>IF($B25="","",IF($B$2="Todos",SUMIFS(BD!$AF$3:$AF$5001,BD!$A$3:$A$5001,$B25),SUMIFS(BD!$AF$3:$AF$5001,BD!$A$3:$A$5001,$B25,BD!$B$3:$B$5001,$D$2)))</f>
        <v>0</v>
      </c>
      <c r="AH25" s="32">
        <f>IF($B25="","",IF($B$2="Todos",SUMIFS(BD!$AG$3:$AG$5001,BD!$A$3:$A$5001,$B25),SUMIFS(BD!$AG$3:$AG$5001,BD!$A$3:$A$5001,$B25,BD!$B$3:$B$5001,$D$2)))</f>
        <v>0</v>
      </c>
      <c r="AI25" s="49">
        <f>$B$5</f>
        <v>0.7</v>
      </c>
      <c r="AJ25" s="49">
        <f>$B$6</f>
        <v>0.9</v>
      </c>
    </row>
    <row r="26">
      <c r="A26" s="28">
        <v>15</v>
      </c>
      <c r="B26" s="45">
        <f>IF($A26&lt;=DAY($D$7),$C$7+$A26-1,"")</f>
        <v>46310</v>
      </c>
      <c r="C26" s="32">
        <f>IF($B26="","",IF($B$2="Todos",SUMIFS(BD!$C$3:$C$5001,BD!$A$3:$A$5001,$B26),SUMIFS(BD!$C$3:$C$5001,BD!$A$3:$A$5001,$B26,BD!$B$3:$B$5001,$D$2)))</f>
        <v>0</v>
      </c>
      <c r="D26" s="32">
        <f>IF($B26="","",IF($B$2="Todos",SUMIFS(BD!$D$3:$D$5001,BD!$A$3:$A$5001,$B26),SUMIFS(BD!$D$3:$D$5001,BD!$A$3:$A$5001,$B26,BD!$B$3:$B$5001,$D$2)))</f>
        <v>0</v>
      </c>
      <c r="E26" s="46">
        <f>IF($B26="","",IF($B$2="Todos",SUMIFS(BD!$E$3:$E$5001,BD!$A$3:$A$5001,$B26),SUMIFS(BD!$E$3:$E$5001,BD!$A$3:$A$5001,$B26,BD!$B$3:$B$5001,$D$2)))</f>
        <v>0</v>
      </c>
      <c r="F26" s="32">
        <f>IF($B26="","",IF($B$2="Todos",SUMIFS(BD!$F$3:$F$5001,BD!$A$3:$A$5001,$B26),SUMIFS(BD!$F$3:$F$5001,BD!$A$3:$A$5001,$B26,BD!$B$3:$B$5001,$D$2)))</f>
        <v>0</v>
      </c>
      <c r="G26" s="32">
        <f>IF($B26="","",IF($B$2="Todos",SUMIFS(BD!$G$3:$G$5001,BD!$A$3:$A$5001,$B26),SUMIFS(BD!$G$3:$G$5001,BD!$A$3:$A$5001,$B26,BD!$B$3:$B$5001,$D$2)))</f>
        <v>0</v>
      </c>
      <c r="H26" s="32">
        <f>IF($B26="","",IF($B$2="Todos",SUMIFS(BD!$H$3:$H$5001,BD!$A$3:$A$5001,$B26),SUMIFS(BD!$H$3:$H$5001,BD!$A$3:$A$5001,$B26,BD!$B$3:$B$5001,$D$2)))</f>
        <v>0</v>
      </c>
      <c r="I26" s="32">
        <f>IF($B26="","",IF($B$2="Todos",SUMIFS(BD!$I$3:$I$5001,BD!$A$3:$A$5001,$B26),SUMIFS(BD!$I$3:$I$5001,BD!$A$3:$A$5001,$B26,BD!$B$3:$B$5001,$D$2)))</f>
        <v>0</v>
      </c>
      <c r="J26" s="32">
        <f>IF($B26="","",IF($B$2="Todos",SUMIFS(BD!$J$3:$J$5001,BD!$A$3:$A$5001,$B26),SUMIFS(BD!$J$3:$J$5001,BD!$A$3:$A$5001,$B26,BD!$B$3:$B$5001,$D$2)))</f>
        <v>0</v>
      </c>
      <c r="K26" s="32">
        <f>IF($B26="","",IF($B$2="Todos",SUMIFS(BD!$K$3:$K$5001,BD!$A$3:$A$5001,$B26),SUMIFS(BD!$K$3:$K$5001,BD!$A$3:$A$5001,$B26,BD!$B$3:$B$5001,$D$2)))</f>
        <v>0</v>
      </c>
      <c r="L26" s="32">
        <f>IF($B26="","",IF($B$2="Todos",SUMIFS(BD!$L$3:$L$5001,BD!$A$3:$A$5001,$B26),SUMIFS(BD!$L$3:$L$5001,BD!$A$3:$A$5001,$B26,BD!$B$3:$B$5001,$D$2)))</f>
        <v>0</v>
      </c>
      <c r="M26" s="32">
        <f>IF($B26="","",IF($B$2="Todos",SUMIFS(BD!$M$3:$M$5001,BD!$A$3:$A$5001,$B26),SUMIFS(BD!$M$3:$M$5001,BD!$A$3:$A$5001,$B26,BD!$B$3:$B$5001,$D$2)))</f>
        <v>0</v>
      </c>
      <c r="N26" s="32">
        <f>IF($B26="","",IF($B$2="Todos",SUMIFS(BD!$N$3:$N$5001,BD!$A$3:$A$5001,$B26),SUMIFS(BD!$N$3:$N$5001,BD!$A$3:$A$5001,$B26,BD!$B$3:$B$5001,$D$2)))</f>
        <v>0</v>
      </c>
      <c r="O26" s="32">
        <f>IF($B26="","",IF($B$2="Todos",SUMIFS(BD!$O$3:$O$5001,BD!$A$3:$A$5001,$B26),SUMIFS(BD!$O$3:$O$5001,BD!$A$3:$A$5001,$B26,BD!$B$3:$B$5001,$D$2)))</f>
        <v>0</v>
      </c>
      <c r="P26" s="32">
        <f>IF($B26="","",IF($B$2="Todos",SUMIFS(BD!$P$3:$P$5001,BD!$A$3:$A$5001,$B26),SUMIFS(BD!$P$3:$P$5001,BD!$A$3:$A$5001,$B26,BD!$B$3:$B$5001,$D$2)))</f>
        <v>0</v>
      </c>
      <c r="Q26" s="32">
        <f>IF($B26="","",IF($B$2="Todos",SUMIFS(BD!$Q$3:$Q$5001,BD!$A$3:$A$5001,$B26),SUMIFS(BD!$Q$3:$Q$5001,BD!$A$3:$A$5001,$B26,BD!$B$3:$B$5001,$D$2)))</f>
        <v>0</v>
      </c>
      <c r="R26" s="32">
        <f>IF($B26="","",IF($B$2="Todos",SUMIFS(BD!$R$3:$R$5001,BD!$A$3:$A$5001,$B26),SUMIFS(BD!$R$3:$R$5001,BD!$A$3:$A$5001,$B26,BD!$B$3:$B$5001,$D$2)))</f>
        <v>0</v>
      </c>
      <c r="S26" s="32">
        <f>IF($B26="","",IF($B$2="Todos",SUMIFS(BD!$S$3:$S$5001,BD!$A$3:$A$5001,$B26),SUMIFS(BD!$S$3:$S$5001,BD!$A$3:$A$5001,$B26,BD!$B$3:$B$5001,$D$2)))</f>
        <v>0</v>
      </c>
      <c r="T26" s="46">
        <f>IF($B26="","",IF($B$2="Todos",SUMIFS(BD!$T$3:$T$5001,BD!$A$3:$A$5001,$B26),SUMIFS(BD!$T$3:$T$5001,BD!$A$3:$A$5001,$B26,BD!$B$3:$B$5001,$D$2)))</f>
        <v>0</v>
      </c>
      <c r="U26" s="32">
        <f>IF($B26="","",IF($B$2="Todos",SUMIFS(BD!$U$3:$U$5001,BD!$A$3:$A$5001,$B26),SUMIFS(BD!$U$3:$U$5001,BD!$A$3:$A$5001,$B26,BD!$B$3:$B$5001,$D$2)))</f>
        <v>0</v>
      </c>
      <c r="V26" s="32">
        <f>IF($B26="","",IF($B$2="Todos",SUMIFS(BD!$V$3:$V$5001,BD!$A$3:$A$5001,$B26),SUMIFS(BD!$V$3:$V$5001,BD!$A$3:$A$5001,$B26,BD!$B$3:$B$5001,$D$2)))</f>
        <v>0</v>
      </c>
      <c r="W26" s="32" t="str">
        <f>IF($B$2="Todos",IF(COUNT($C$153:$L$153)=0,"",SUM($C$153:$L$153)),IFERROR(INDEX($C$153:$L$153,MATCH($D$2,$C$138:$L$138,0)),""))</f>
        <v/>
      </c>
      <c r="X26" s="47" t="str">
        <f>IF(Y26="","",IF($B$2="Todos",IF($B$4&gt;0,$B$4,IF($B$2="Todos",IF(COUNT($C$223:$L$223)=0,"",SUM($C$223:$L$223)),IFERROR(INDEX($C$223:$L$223,MATCH($D$2,$C$208:$L$208,0)),""))),IFERROR(INDEX($C$223:$L$223,MATCH($D$2,$C$208:$L$208,0)),"")))</f>
        <v/>
      </c>
      <c r="Y26" s="32" t="str">
        <f>IF($B$2="Todos",IF(COUNT($C$188:$L$188)=0,"",SUM($C$188:$L$188)),IFERROR(INDEX($C$188:$L$188,MATCH($D$2,$C$173:$L$173,0)),""))</f>
        <v/>
      </c>
      <c r="Z26" s="48" t="str">
        <f>IF(AND(ISNUMBER(Y26),ISNUMBER(X26)),IF(X26&gt;0,Y26/X26,""),"")</f>
        <v/>
      </c>
      <c r="AA26" s="32" t="str">
        <f>IF($B$2="Todos",IF(COUNT($C$258:$L$258)=0,"",SUM($C$258:$L$258)),IFERROR(INDEX($C$258:$L$258,MATCH($D$2,$C$243:$L$243,0)),""))</f>
        <v/>
      </c>
      <c r="AB26" s="32">
        <f>IF($B26="","",IF($B$2="Todos",SUMIFS(BD!$AA$3:$AA$5001,BD!$A$3:$A$5001,$B26),SUMIFS(BD!$AA$3:$AA$5001,BD!$A$3:$A$5001,$B26,BD!$B$3:$B$5001,$D$2)))</f>
        <v>0</v>
      </c>
      <c r="AC26" s="32">
        <f>IF($B26="","",IF($B$2="Todos",SUMIFS(BD!$AB$3:$AB$5001,BD!$A$3:$A$5001,$B26),SUMIFS(BD!$AB$3:$AB$5001,BD!$A$3:$A$5001,$B26,BD!$B$3:$B$5001,$D$2)))</f>
        <v>0</v>
      </c>
      <c r="AD26" s="32">
        <f>IF($B26="","",IF($B$2="Todos",SUMIFS(BD!$AC$3:$AC$5001,BD!$A$3:$A$5001,$B26),SUMIFS(BD!$AC$3:$AC$5001,BD!$A$3:$A$5001,$B26,BD!$B$3:$B$5001,$D$2)))</f>
        <v>0</v>
      </c>
      <c r="AE26" s="32">
        <f>IF($B26="","",IF($B$2="Todos",SUMIFS(BD!$AD$3:$AD$5001,BD!$A$3:$A$5001,$B26),SUMIFS(BD!$AD$3:$AD$5001,BD!$A$3:$A$5001,$B26,BD!$B$3:$B$5001,$D$2)))</f>
        <v>0</v>
      </c>
      <c r="AF26" s="32">
        <f>IF($B26="","",IF($B$2="Todos",SUMIFS(BD!$AE$3:$AE$5001,BD!$A$3:$A$5001,$B26),SUMIFS(BD!$AE$3:$AE$5001,BD!$A$3:$A$5001,$B26,BD!$B$3:$B$5001,$D$2)))</f>
        <v>0</v>
      </c>
      <c r="AG26" s="32">
        <f>IF($B26="","",IF($B$2="Todos",SUMIFS(BD!$AF$3:$AF$5001,BD!$A$3:$A$5001,$B26),SUMIFS(BD!$AF$3:$AF$5001,BD!$A$3:$A$5001,$B26,BD!$B$3:$B$5001,$D$2)))</f>
        <v>0</v>
      </c>
      <c r="AH26" s="32">
        <f>IF($B26="","",IF($B$2="Todos",SUMIFS(BD!$AG$3:$AG$5001,BD!$A$3:$A$5001,$B26),SUMIFS(BD!$AG$3:$AG$5001,BD!$A$3:$A$5001,$B26,BD!$B$3:$B$5001,$D$2)))</f>
        <v>0</v>
      </c>
      <c r="AI26" s="49">
        <f>$B$5</f>
        <v>0.7</v>
      </c>
      <c r="AJ26" s="49">
        <f>$B$6</f>
        <v>0.9</v>
      </c>
    </row>
    <row r="27">
      <c r="A27" s="28">
        <v>16</v>
      </c>
      <c r="B27" s="45">
        <f>IF($A27&lt;=DAY($D$7),$C$7+$A27-1,"")</f>
        <v>46311</v>
      </c>
      <c r="C27" s="32">
        <f>IF($B27="","",IF($B$2="Todos",SUMIFS(BD!$C$3:$C$5001,BD!$A$3:$A$5001,$B27),SUMIFS(BD!$C$3:$C$5001,BD!$A$3:$A$5001,$B27,BD!$B$3:$B$5001,$D$2)))</f>
        <v>0</v>
      </c>
      <c r="D27" s="32">
        <f>IF($B27="","",IF($B$2="Todos",SUMIFS(BD!$D$3:$D$5001,BD!$A$3:$A$5001,$B27),SUMIFS(BD!$D$3:$D$5001,BD!$A$3:$A$5001,$B27,BD!$B$3:$B$5001,$D$2)))</f>
        <v>0</v>
      </c>
      <c r="E27" s="46">
        <f>IF($B27="","",IF($B$2="Todos",SUMIFS(BD!$E$3:$E$5001,BD!$A$3:$A$5001,$B27),SUMIFS(BD!$E$3:$E$5001,BD!$A$3:$A$5001,$B27,BD!$B$3:$B$5001,$D$2)))</f>
        <v>0</v>
      </c>
      <c r="F27" s="32">
        <f>IF($B27="","",IF($B$2="Todos",SUMIFS(BD!$F$3:$F$5001,BD!$A$3:$A$5001,$B27),SUMIFS(BD!$F$3:$F$5001,BD!$A$3:$A$5001,$B27,BD!$B$3:$B$5001,$D$2)))</f>
        <v>0</v>
      </c>
      <c r="G27" s="32">
        <f>IF($B27="","",IF($B$2="Todos",SUMIFS(BD!$G$3:$G$5001,BD!$A$3:$A$5001,$B27),SUMIFS(BD!$G$3:$G$5001,BD!$A$3:$A$5001,$B27,BD!$B$3:$B$5001,$D$2)))</f>
        <v>0</v>
      </c>
      <c r="H27" s="32">
        <f>IF($B27="","",IF($B$2="Todos",SUMIFS(BD!$H$3:$H$5001,BD!$A$3:$A$5001,$B27),SUMIFS(BD!$H$3:$H$5001,BD!$A$3:$A$5001,$B27,BD!$B$3:$B$5001,$D$2)))</f>
        <v>0</v>
      </c>
      <c r="I27" s="32">
        <f>IF($B27="","",IF($B$2="Todos",SUMIFS(BD!$I$3:$I$5001,BD!$A$3:$A$5001,$B27),SUMIFS(BD!$I$3:$I$5001,BD!$A$3:$A$5001,$B27,BD!$B$3:$B$5001,$D$2)))</f>
        <v>0</v>
      </c>
      <c r="J27" s="32">
        <f>IF($B27="","",IF($B$2="Todos",SUMIFS(BD!$J$3:$J$5001,BD!$A$3:$A$5001,$B27),SUMIFS(BD!$J$3:$J$5001,BD!$A$3:$A$5001,$B27,BD!$B$3:$B$5001,$D$2)))</f>
        <v>0</v>
      </c>
      <c r="K27" s="32">
        <f>IF($B27="","",IF($B$2="Todos",SUMIFS(BD!$K$3:$K$5001,BD!$A$3:$A$5001,$B27),SUMIFS(BD!$K$3:$K$5001,BD!$A$3:$A$5001,$B27,BD!$B$3:$B$5001,$D$2)))</f>
        <v>0</v>
      </c>
      <c r="L27" s="32">
        <f>IF($B27="","",IF($B$2="Todos",SUMIFS(BD!$L$3:$L$5001,BD!$A$3:$A$5001,$B27),SUMIFS(BD!$L$3:$L$5001,BD!$A$3:$A$5001,$B27,BD!$B$3:$B$5001,$D$2)))</f>
        <v>0</v>
      </c>
      <c r="M27" s="32">
        <f>IF($B27="","",IF($B$2="Todos",SUMIFS(BD!$M$3:$M$5001,BD!$A$3:$A$5001,$B27),SUMIFS(BD!$M$3:$M$5001,BD!$A$3:$A$5001,$B27,BD!$B$3:$B$5001,$D$2)))</f>
        <v>0</v>
      </c>
      <c r="N27" s="32">
        <f>IF($B27="","",IF($B$2="Todos",SUMIFS(BD!$N$3:$N$5001,BD!$A$3:$A$5001,$B27),SUMIFS(BD!$N$3:$N$5001,BD!$A$3:$A$5001,$B27,BD!$B$3:$B$5001,$D$2)))</f>
        <v>0</v>
      </c>
      <c r="O27" s="32">
        <f>IF($B27="","",IF($B$2="Todos",SUMIFS(BD!$O$3:$O$5001,BD!$A$3:$A$5001,$B27),SUMIFS(BD!$O$3:$O$5001,BD!$A$3:$A$5001,$B27,BD!$B$3:$B$5001,$D$2)))</f>
        <v>0</v>
      </c>
      <c r="P27" s="32">
        <f>IF($B27="","",IF($B$2="Todos",SUMIFS(BD!$P$3:$P$5001,BD!$A$3:$A$5001,$B27),SUMIFS(BD!$P$3:$P$5001,BD!$A$3:$A$5001,$B27,BD!$B$3:$B$5001,$D$2)))</f>
        <v>0</v>
      </c>
      <c r="Q27" s="32">
        <f>IF($B27="","",IF($B$2="Todos",SUMIFS(BD!$Q$3:$Q$5001,BD!$A$3:$A$5001,$B27),SUMIFS(BD!$Q$3:$Q$5001,BD!$A$3:$A$5001,$B27,BD!$B$3:$B$5001,$D$2)))</f>
        <v>0</v>
      </c>
      <c r="R27" s="32">
        <f>IF($B27="","",IF($B$2="Todos",SUMIFS(BD!$R$3:$R$5001,BD!$A$3:$A$5001,$B27),SUMIFS(BD!$R$3:$R$5001,BD!$A$3:$A$5001,$B27,BD!$B$3:$B$5001,$D$2)))</f>
        <v>0</v>
      </c>
      <c r="S27" s="32">
        <f>IF($B27="","",IF($B$2="Todos",SUMIFS(BD!$S$3:$S$5001,BD!$A$3:$A$5001,$B27),SUMIFS(BD!$S$3:$S$5001,BD!$A$3:$A$5001,$B27,BD!$B$3:$B$5001,$D$2)))</f>
        <v>0</v>
      </c>
      <c r="T27" s="46">
        <f>IF($B27="","",IF($B$2="Todos",SUMIFS(BD!$T$3:$T$5001,BD!$A$3:$A$5001,$B27),SUMIFS(BD!$T$3:$T$5001,BD!$A$3:$A$5001,$B27,BD!$B$3:$B$5001,$D$2)))</f>
        <v>0</v>
      </c>
      <c r="U27" s="32">
        <f>IF($B27="","",IF($B$2="Todos",SUMIFS(BD!$U$3:$U$5001,BD!$A$3:$A$5001,$B27),SUMIFS(BD!$U$3:$U$5001,BD!$A$3:$A$5001,$B27,BD!$B$3:$B$5001,$D$2)))</f>
        <v>0</v>
      </c>
      <c r="V27" s="32">
        <f>IF($B27="","",IF($B$2="Todos",SUMIFS(BD!$V$3:$V$5001,BD!$A$3:$A$5001,$B27),SUMIFS(BD!$V$3:$V$5001,BD!$A$3:$A$5001,$B27,BD!$B$3:$B$5001,$D$2)))</f>
        <v>0</v>
      </c>
      <c r="W27" s="32" t="str">
        <f>IF($B$2="Todos",IF(COUNT($C$154:$L$154)=0,"",SUM($C$154:$L$154)),IFERROR(INDEX($C$154:$L$154,MATCH($D$2,$C$138:$L$138,0)),""))</f>
        <v/>
      </c>
      <c r="X27" s="47" t="str">
        <f>IF(Y27="","",IF($B$2="Todos",IF($B$4&gt;0,$B$4,IF($B$2="Todos",IF(COUNT($C$224:$L$224)=0,"",SUM($C$224:$L$224)),IFERROR(INDEX($C$224:$L$224,MATCH($D$2,$C$208:$L$208,0)),""))),IFERROR(INDEX($C$224:$L$224,MATCH($D$2,$C$208:$L$208,0)),"")))</f>
        <v/>
      </c>
      <c r="Y27" s="32" t="str">
        <f>IF($B$2="Todos",IF(COUNT($C$189:$L$189)=0,"",SUM($C$189:$L$189)),IFERROR(INDEX($C$189:$L$189,MATCH($D$2,$C$173:$L$173,0)),""))</f>
        <v/>
      </c>
      <c r="Z27" s="48" t="str">
        <f>IF(AND(ISNUMBER(Y27),ISNUMBER(X27)),IF(X27&gt;0,Y27/X27,""),"")</f>
        <v/>
      </c>
      <c r="AA27" s="32" t="str">
        <f>IF($B$2="Todos",IF(COUNT($C$259:$L$259)=0,"",SUM($C$259:$L$259)),IFERROR(INDEX($C$259:$L$259,MATCH($D$2,$C$243:$L$243,0)),""))</f>
        <v/>
      </c>
      <c r="AB27" s="32">
        <f>IF($B27="","",IF($B$2="Todos",SUMIFS(BD!$AA$3:$AA$5001,BD!$A$3:$A$5001,$B27),SUMIFS(BD!$AA$3:$AA$5001,BD!$A$3:$A$5001,$B27,BD!$B$3:$B$5001,$D$2)))</f>
        <v>0</v>
      </c>
      <c r="AC27" s="32">
        <f>IF($B27="","",IF($B$2="Todos",SUMIFS(BD!$AB$3:$AB$5001,BD!$A$3:$A$5001,$B27),SUMIFS(BD!$AB$3:$AB$5001,BD!$A$3:$A$5001,$B27,BD!$B$3:$B$5001,$D$2)))</f>
        <v>0</v>
      </c>
      <c r="AD27" s="32">
        <f>IF($B27="","",IF($B$2="Todos",SUMIFS(BD!$AC$3:$AC$5001,BD!$A$3:$A$5001,$B27),SUMIFS(BD!$AC$3:$AC$5001,BD!$A$3:$A$5001,$B27,BD!$B$3:$B$5001,$D$2)))</f>
        <v>0</v>
      </c>
      <c r="AE27" s="32">
        <f>IF($B27="","",IF($B$2="Todos",SUMIFS(BD!$AD$3:$AD$5001,BD!$A$3:$A$5001,$B27),SUMIFS(BD!$AD$3:$AD$5001,BD!$A$3:$A$5001,$B27,BD!$B$3:$B$5001,$D$2)))</f>
        <v>0</v>
      </c>
      <c r="AF27" s="32">
        <f>IF($B27="","",IF($B$2="Todos",SUMIFS(BD!$AE$3:$AE$5001,BD!$A$3:$A$5001,$B27),SUMIFS(BD!$AE$3:$AE$5001,BD!$A$3:$A$5001,$B27,BD!$B$3:$B$5001,$D$2)))</f>
        <v>0</v>
      </c>
      <c r="AG27" s="32">
        <f>IF($B27="","",IF($B$2="Todos",SUMIFS(BD!$AF$3:$AF$5001,BD!$A$3:$A$5001,$B27),SUMIFS(BD!$AF$3:$AF$5001,BD!$A$3:$A$5001,$B27,BD!$B$3:$B$5001,$D$2)))</f>
        <v>0</v>
      </c>
      <c r="AH27" s="32">
        <f>IF($B27="","",IF($B$2="Todos",SUMIFS(BD!$AG$3:$AG$5001,BD!$A$3:$A$5001,$B27),SUMIFS(BD!$AG$3:$AG$5001,BD!$A$3:$A$5001,$B27,BD!$B$3:$B$5001,$D$2)))</f>
        <v>0</v>
      </c>
      <c r="AI27" s="49">
        <f>$B$5</f>
        <v>0.7</v>
      </c>
      <c r="AJ27" s="49">
        <f>$B$6</f>
        <v>0.9</v>
      </c>
    </row>
    <row r="28">
      <c r="A28" s="28">
        <v>17</v>
      </c>
      <c r="B28" s="45">
        <f>IF($A28&lt;=DAY($D$7),$C$7+$A28-1,"")</f>
        <v>46312</v>
      </c>
      <c r="C28" s="32">
        <f>IF($B28="","",IF($B$2="Todos",SUMIFS(BD!$C$3:$C$5001,BD!$A$3:$A$5001,$B28),SUMIFS(BD!$C$3:$C$5001,BD!$A$3:$A$5001,$B28,BD!$B$3:$B$5001,$D$2)))</f>
        <v>0</v>
      </c>
      <c r="D28" s="32">
        <f>IF($B28="","",IF($B$2="Todos",SUMIFS(BD!$D$3:$D$5001,BD!$A$3:$A$5001,$B28),SUMIFS(BD!$D$3:$D$5001,BD!$A$3:$A$5001,$B28,BD!$B$3:$B$5001,$D$2)))</f>
        <v>0</v>
      </c>
      <c r="E28" s="46">
        <f>IF($B28="","",IF($B$2="Todos",SUMIFS(BD!$E$3:$E$5001,BD!$A$3:$A$5001,$B28),SUMIFS(BD!$E$3:$E$5001,BD!$A$3:$A$5001,$B28,BD!$B$3:$B$5001,$D$2)))</f>
        <v>0</v>
      </c>
      <c r="F28" s="32">
        <f>IF($B28="","",IF($B$2="Todos",SUMIFS(BD!$F$3:$F$5001,BD!$A$3:$A$5001,$B28),SUMIFS(BD!$F$3:$F$5001,BD!$A$3:$A$5001,$B28,BD!$B$3:$B$5001,$D$2)))</f>
        <v>0</v>
      </c>
      <c r="G28" s="32">
        <f>IF($B28="","",IF($B$2="Todos",SUMIFS(BD!$G$3:$G$5001,BD!$A$3:$A$5001,$B28),SUMIFS(BD!$G$3:$G$5001,BD!$A$3:$A$5001,$B28,BD!$B$3:$B$5001,$D$2)))</f>
        <v>0</v>
      </c>
      <c r="H28" s="32">
        <f>IF($B28="","",IF($B$2="Todos",SUMIFS(BD!$H$3:$H$5001,BD!$A$3:$A$5001,$B28),SUMIFS(BD!$H$3:$H$5001,BD!$A$3:$A$5001,$B28,BD!$B$3:$B$5001,$D$2)))</f>
        <v>0</v>
      </c>
      <c r="I28" s="32">
        <f>IF($B28="","",IF($B$2="Todos",SUMIFS(BD!$I$3:$I$5001,BD!$A$3:$A$5001,$B28),SUMIFS(BD!$I$3:$I$5001,BD!$A$3:$A$5001,$B28,BD!$B$3:$B$5001,$D$2)))</f>
        <v>0</v>
      </c>
      <c r="J28" s="32">
        <f>IF($B28="","",IF($B$2="Todos",SUMIFS(BD!$J$3:$J$5001,BD!$A$3:$A$5001,$B28),SUMIFS(BD!$J$3:$J$5001,BD!$A$3:$A$5001,$B28,BD!$B$3:$B$5001,$D$2)))</f>
        <v>0</v>
      </c>
      <c r="K28" s="32">
        <f>IF($B28="","",IF($B$2="Todos",SUMIFS(BD!$K$3:$K$5001,BD!$A$3:$A$5001,$B28),SUMIFS(BD!$K$3:$K$5001,BD!$A$3:$A$5001,$B28,BD!$B$3:$B$5001,$D$2)))</f>
        <v>0</v>
      </c>
      <c r="L28" s="32">
        <f>IF($B28="","",IF($B$2="Todos",SUMIFS(BD!$L$3:$L$5001,BD!$A$3:$A$5001,$B28),SUMIFS(BD!$L$3:$L$5001,BD!$A$3:$A$5001,$B28,BD!$B$3:$B$5001,$D$2)))</f>
        <v>0</v>
      </c>
      <c r="M28" s="32">
        <f>IF($B28="","",IF($B$2="Todos",SUMIFS(BD!$M$3:$M$5001,BD!$A$3:$A$5001,$B28),SUMIFS(BD!$M$3:$M$5001,BD!$A$3:$A$5001,$B28,BD!$B$3:$B$5001,$D$2)))</f>
        <v>0</v>
      </c>
      <c r="N28" s="32">
        <f>IF($B28="","",IF($B$2="Todos",SUMIFS(BD!$N$3:$N$5001,BD!$A$3:$A$5001,$B28),SUMIFS(BD!$N$3:$N$5001,BD!$A$3:$A$5001,$B28,BD!$B$3:$B$5001,$D$2)))</f>
        <v>0</v>
      </c>
      <c r="O28" s="32">
        <f>IF($B28="","",IF($B$2="Todos",SUMIFS(BD!$O$3:$O$5001,BD!$A$3:$A$5001,$B28),SUMIFS(BD!$O$3:$O$5001,BD!$A$3:$A$5001,$B28,BD!$B$3:$B$5001,$D$2)))</f>
        <v>0</v>
      </c>
      <c r="P28" s="32">
        <f>IF($B28="","",IF($B$2="Todos",SUMIFS(BD!$P$3:$P$5001,BD!$A$3:$A$5001,$B28),SUMIFS(BD!$P$3:$P$5001,BD!$A$3:$A$5001,$B28,BD!$B$3:$B$5001,$D$2)))</f>
        <v>0</v>
      </c>
      <c r="Q28" s="32">
        <f>IF($B28="","",IF($B$2="Todos",SUMIFS(BD!$Q$3:$Q$5001,BD!$A$3:$A$5001,$B28),SUMIFS(BD!$Q$3:$Q$5001,BD!$A$3:$A$5001,$B28,BD!$B$3:$B$5001,$D$2)))</f>
        <v>0</v>
      </c>
      <c r="R28" s="32">
        <f>IF($B28="","",IF($B$2="Todos",SUMIFS(BD!$R$3:$R$5001,BD!$A$3:$A$5001,$B28),SUMIFS(BD!$R$3:$R$5001,BD!$A$3:$A$5001,$B28,BD!$B$3:$B$5001,$D$2)))</f>
        <v>0</v>
      </c>
      <c r="S28" s="32">
        <f>IF($B28="","",IF($B$2="Todos",SUMIFS(BD!$S$3:$S$5001,BD!$A$3:$A$5001,$B28),SUMIFS(BD!$S$3:$S$5001,BD!$A$3:$A$5001,$B28,BD!$B$3:$B$5001,$D$2)))</f>
        <v>0</v>
      </c>
      <c r="T28" s="46">
        <f>IF($B28="","",IF($B$2="Todos",SUMIFS(BD!$T$3:$T$5001,BD!$A$3:$A$5001,$B28),SUMIFS(BD!$T$3:$T$5001,BD!$A$3:$A$5001,$B28,BD!$B$3:$B$5001,$D$2)))</f>
        <v>0</v>
      </c>
      <c r="U28" s="32">
        <f>IF($B28="","",IF($B$2="Todos",SUMIFS(BD!$U$3:$U$5001,BD!$A$3:$A$5001,$B28),SUMIFS(BD!$U$3:$U$5001,BD!$A$3:$A$5001,$B28,BD!$B$3:$B$5001,$D$2)))</f>
        <v>0</v>
      </c>
      <c r="V28" s="32">
        <f>IF($B28="","",IF($B$2="Todos",SUMIFS(BD!$V$3:$V$5001,BD!$A$3:$A$5001,$B28),SUMIFS(BD!$V$3:$V$5001,BD!$A$3:$A$5001,$B28,BD!$B$3:$B$5001,$D$2)))</f>
        <v>0</v>
      </c>
      <c r="W28" s="32" t="str">
        <f>IF($B$2="Todos",IF(COUNT($C$155:$L$155)=0,"",SUM($C$155:$L$155)),IFERROR(INDEX($C$155:$L$155,MATCH($D$2,$C$138:$L$138,0)),""))</f>
        <v/>
      </c>
      <c r="X28" s="47" t="str">
        <f>IF(Y28="","",IF($B$2="Todos",IF($B$4&gt;0,$B$4,IF($B$2="Todos",IF(COUNT($C$225:$L$225)=0,"",SUM($C$225:$L$225)),IFERROR(INDEX($C$225:$L$225,MATCH($D$2,$C$208:$L$208,0)),""))),IFERROR(INDEX($C$225:$L$225,MATCH($D$2,$C$208:$L$208,0)),"")))</f>
        <v/>
      </c>
      <c r="Y28" s="32" t="str">
        <f>IF($B$2="Todos",IF(COUNT($C$190:$L$190)=0,"",SUM($C$190:$L$190)),IFERROR(INDEX($C$190:$L$190,MATCH($D$2,$C$173:$L$173,0)),""))</f>
        <v/>
      </c>
      <c r="Z28" s="48" t="str">
        <f>IF(AND(ISNUMBER(Y28),ISNUMBER(X28)),IF(X28&gt;0,Y28/X28,""),"")</f>
        <v/>
      </c>
      <c r="AA28" s="32" t="str">
        <f>IF($B$2="Todos",IF(COUNT($C$260:$L$260)=0,"",SUM($C$260:$L$260)),IFERROR(INDEX($C$260:$L$260,MATCH($D$2,$C$243:$L$243,0)),""))</f>
        <v/>
      </c>
      <c r="AB28" s="32">
        <f>IF($B28="","",IF($B$2="Todos",SUMIFS(BD!$AA$3:$AA$5001,BD!$A$3:$A$5001,$B28),SUMIFS(BD!$AA$3:$AA$5001,BD!$A$3:$A$5001,$B28,BD!$B$3:$B$5001,$D$2)))</f>
        <v>0</v>
      </c>
      <c r="AC28" s="32">
        <f>IF($B28="","",IF($B$2="Todos",SUMIFS(BD!$AB$3:$AB$5001,BD!$A$3:$A$5001,$B28),SUMIFS(BD!$AB$3:$AB$5001,BD!$A$3:$A$5001,$B28,BD!$B$3:$B$5001,$D$2)))</f>
        <v>0</v>
      </c>
      <c r="AD28" s="32">
        <f>IF($B28="","",IF($B$2="Todos",SUMIFS(BD!$AC$3:$AC$5001,BD!$A$3:$A$5001,$B28),SUMIFS(BD!$AC$3:$AC$5001,BD!$A$3:$A$5001,$B28,BD!$B$3:$B$5001,$D$2)))</f>
        <v>0</v>
      </c>
      <c r="AE28" s="32">
        <f>IF($B28="","",IF($B$2="Todos",SUMIFS(BD!$AD$3:$AD$5001,BD!$A$3:$A$5001,$B28),SUMIFS(BD!$AD$3:$AD$5001,BD!$A$3:$A$5001,$B28,BD!$B$3:$B$5001,$D$2)))</f>
        <v>0</v>
      </c>
      <c r="AF28" s="32">
        <f>IF($B28="","",IF($B$2="Todos",SUMIFS(BD!$AE$3:$AE$5001,BD!$A$3:$A$5001,$B28),SUMIFS(BD!$AE$3:$AE$5001,BD!$A$3:$A$5001,$B28,BD!$B$3:$B$5001,$D$2)))</f>
        <v>0</v>
      </c>
      <c r="AG28" s="32">
        <f>IF($B28="","",IF($B$2="Todos",SUMIFS(BD!$AF$3:$AF$5001,BD!$A$3:$A$5001,$B28),SUMIFS(BD!$AF$3:$AF$5001,BD!$A$3:$A$5001,$B28,BD!$B$3:$B$5001,$D$2)))</f>
        <v>0</v>
      </c>
      <c r="AH28" s="32">
        <f>IF($B28="","",IF($B$2="Todos",SUMIFS(BD!$AG$3:$AG$5001,BD!$A$3:$A$5001,$B28),SUMIFS(BD!$AG$3:$AG$5001,BD!$A$3:$A$5001,$B28,BD!$B$3:$B$5001,$D$2)))</f>
        <v>0</v>
      </c>
      <c r="AI28" s="49">
        <f>$B$5</f>
        <v>0.7</v>
      </c>
      <c r="AJ28" s="49">
        <f>$B$6</f>
        <v>0.9</v>
      </c>
    </row>
    <row r="29">
      <c r="A29" s="28">
        <v>18</v>
      </c>
      <c r="B29" s="45">
        <f>IF($A29&lt;=DAY($D$7),$C$7+$A29-1,"")</f>
        <v>46313</v>
      </c>
      <c r="C29" s="32">
        <f>IF($B29="","",IF($B$2="Todos",SUMIFS(BD!$C$3:$C$5001,BD!$A$3:$A$5001,$B29),SUMIFS(BD!$C$3:$C$5001,BD!$A$3:$A$5001,$B29,BD!$B$3:$B$5001,$D$2)))</f>
        <v>0</v>
      </c>
      <c r="D29" s="32">
        <f>IF($B29="","",IF($B$2="Todos",SUMIFS(BD!$D$3:$D$5001,BD!$A$3:$A$5001,$B29),SUMIFS(BD!$D$3:$D$5001,BD!$A$3:$A$5001,$B29,BD!$B$3:$B$5001,$D$2)))</f>
        <v>0</v>
      </c>
      <c r="E29" s="46">
        <f>IF($B29="","",IF($B$2="Todos",SUMIFS(BD!$E$3:$E$5001,BD!$A$3:$A$5001,$B29),SUMIFS(BD!$E$3:$E$5001,BD!$A$3:$A$5001,$B29,BD!$B$3:$B$5001,$D$2)))</f>
        <v>0</v>
      </c>
      <c r="F29" s="32">
        <f>IF($B29="","",IF($B$2="Todos",SUMIFS(BD!$F$3:$F$5001,BD!$A$3:$A$5001,$B29),SUMIFS(BD!$F$3:$F$5001,BD!$A$3:$A$5001,$B29,BD!$B$3:$B$5001,$D$2)))</f>
        <v>0</v>
      </c>
      <c r="G29" s="32">
        <f>IF($B29="","",IF($B$2="Todos",SUMIFS(BD!$G$3:$G$5001,BD!$A$3:$A$5001,$B29),SUMIFS(BD!$G$3:$G$5001,BD!$A$3:$A$5001,$B29,BD!$B$3:$B$5001,$D$2)))</f>
        <v>0</v>
      </c>
      <c r="H29" s="32">
        <f>IF($B29="","",IF($B$2="Todos",SUMIFS(BD!$H$3:$H$5001,BD!$A$3:$A$5001,$B29),SUMIFS(BD!$H$3:$H$5001,BD!$A$3:$A$5001,$B29,BD!$B$3:$B$5001,$D$2)))</f>
        <v>0</v>
      </c>
      <c r="I29" s="32">
        <f>IF($B29="","",IF($B$2="Todos",SUMIFS(BD!$I$3:$I$5001,BD!$A$3:$A$5001,$B29),SUMIFS(BD!$I$3:$I$5001,BD!$A$3:$A$5001,$B29,BD!$B$3:$B$5001,$D$2)))</f>
        <v>0</v>
      </c>
      <c r="J29" s="32">
        <f>IF($B29="","",IF($B$2="Todos",SUMIFS(BD!$J$3:$J$5001,BD!$A$3:$A$5001,$B29),SUMIFS(BD!$J$3:$J$5001,BD!$A$3:$A$5001,$B29,BD!$B$3:$B$5001,$D$2)))</f>
        <v>0</v>
      </c>
      <c r="K29" s="32">
        <f>IF($B29="","",IF($B$2="Todos",SUMIFS(BD!$K$3:$K$5001,BD!$A$3:$A$5001,$B29),SUMIFS(BD!$K$3:$K$5001,BD!$A$3:$A$5001,$B29,BD!$B$3:$B$5001,$D$2)))</f>
        <v>0</v>
      </c>
      <c r="L29" s="32">
        <f>IF($B29="","",IF($B$2="Todos",SUMIFS(BD!$L$3:$L$5001,BD!$A$3:$A$5001,$B29),SUMIFS(BD!$L$3:$L$5001,BD!$A$3:$A$5001,$B29,BD!$B$3:$B$5001,$D$2)))</f>
        <v>0</v>
      </c>
      <c r="M29" s="32">
        <f>IF($B29="","",IF($B$2="Todos",SUMIFS(BD!$M$3:$M$5001,BD!$A$3:$A$5001,$B29),SUMIFS(BD!$M$3:$M$5001,BD!$A$3:$A$5001,$B29,BD!$B$3:$B$5001,$D$2)))</f>
        <v>0</v>
      </c>
      <c r="N29" s="32">
        <f>IF($B29="","",IF($B$2="Todos",SUMIFS(BD!$N$3:$N$5001,BD!$A$3:$A$5001,$B29),SUMIFS(BD!$N$3:$N$5001,BD!$A$3:$A$5001,$B29,BD!$B$3:$B$5001,$D$2)))</f>
        <v>0</v>
      </c>
      <c r="O29" s="32">
        <f>IF($B29="","",IF($B$2="Todos",SUMIFS(BD!$O$3:$O$5001,BD!$A$3:$A$5001,$B29),SUMIFS(BD!$O$3:$O$5001,BD!$A$3:$A$5001,$B29,BD!$B$3:$B$5001,$D$2)))</f>
        <v>0</v>
      </c>
      <c r="P29" s="32">
        <f>IF($B29="","",IF($B$2="Todos",SUMIFS(BD!$P$3:$P$5001,BD!$A$3:$A$5001,$B29),SUMIFS(BD!$P$3:$P$5001,BD!$A$3:$A$5001,$B29,BD!$B$3:$B$5001,$D$2)))</f>
        <v>0</v>
      </c>
      <c r="Q29" s="32">
        <f>IF($B29="","",IF($B$2="Todos",SUMIFS(BD!$Q$3:$Q$5001,BD!$A$3:$A$5001,$B29),SUMIFS(BD!$Q$3:$Q$5001,BD!$A$3:$A$5001,$B29,BD!$B$3:$B$5001,$D$2)))</f>
        <v>0</v>
      </c>
      <c r="R29" s="32">
        <f>IF($B29="","",IF($B$2="Todos",SUMIFS(BD!$R$3:$R$5001,BD!$A$3:$A$5001,$B29),SUMIFS(BD!$R$3:$R$5001,BD!$A$3:$A$5001,$B29,BD!$B$3:$B$5001,$D$2)))</f>
        <v>0</v>
      </c>
      <c r="S29" s="32">
        <f>IF($B29="","",IF($B$2="Todos",SUMIFS(BD!$S$3:$S$5001,BD!$A$3:$A$5001,$B29),SUMIFS(BD!$S$3:$S$5001,BD!$A$3:$A$5001,$B29,BD!$B$3:$B$5001,$D$2)))</f>
        <v>0</v>
      </c>
      <c r="T29" s="46">
        <f>IF($B29="","",IF($B$2="Todos",SUMIFS(BD!$T$3:$T$5001,BD!$A$3:$A$5001,$B29),SUMIFS(BD!$T$3:$T$5001,BD!$A$3:$A$5001,$B29,BD!$B$3:$B$5001,$D$2)))</f>
        <v>0</v>
      </c>
      <c r="U29" s="32">
        <f>IF($B29="","",IF($B$2="Todos",SUMIFS(BD!$U$3:$U$5001,BD!$A$3:$A$5001,$B29),SUMIFS(BD!$U$3:$U$5001,BD!$A$3:$A$5001,$B29,BD!$B$3:$B$5001,$D$2)))</f>
        <v>0</v>
      </c>
      <c r="V29" s="32">
        <f>IF($B29="","",IF($B$2="Todos",SUMIFS(BD!$V$3:$V$5001,BD!$A$3:$A$5001,$B29),SUMIFS(BD!$V$3:$V$5001,BD!$A$3:$A$5001,$B29,BD!$B$3:$B$5001,$D$2)))</f>
        <v>0</v>
      </c>
      <c r="W29" s="32" t="str">
        <f>IF($B$2="Todos",IF(COUNT($C$156:$L$156)=0,"",SUM($C$156:$L$156)),IFERROR(INDEX($C$156:$L$156,MATCH($D$2,$C$138:$L$138,0)),""))</f>
        <v/>
      </c>
      <c r="X29" s="47" t="str">
        <f>IF(Y29="","",IF($B$2="Todos",IF($B$4&gt;0,$B$4,IF($B$2="Todos",IF(COUNT($C$226:$L$226)=0,"",SUM($C$226:$L$226)),IFERROR(INDEX($C$226:$L$226,MATCH($D$2,$C$208:$L$208,0)),""))),IFERROR(INDEX($C$226:$L$226,MATCH($D$2,$C$208:$L$208,0)),"")))</f>
        <v/>
      </c>
      <c r="Y29" s="32" t="str">
        <f>IF($B$2="Todos",IF(COUNT($C$191:$L$191)=0,"",SUM($C$191:$L$191)),IFERROR(INDEX($C$191:$L$191,MATCH($D$2,$C$173:$L$173,0)),""))</f>
        <v/>
      </c>
      <c r="Z29" s="48" t="str">
        <f>IF(AND(ISNUMBER(Y29),ISNUMBER(X29)),IF(X29&gt;0,Y29/X29,""),"")</f>
        <v/>
      </c>
      <c r="AA29" s="32" t="str">
        <f>IF($B$2="Todos",IF(COUNT($C$261:$L$261)=0,"",SUM($C$261:$L$261)),IFERROR(INDEX($C$261:$L$261,MATCH($D$2,$C$243:$L$243,0)),""))</f>
        <v/>
      </c>
      <c r="AB29" s="32">
        <f>IF($B29="","",IF($B$2="Todos",SUMIFS(BD!$AA$3:$AA$5001,BD!$A$3:$A$5001,$B29),SUMIFS(BD!$AA$3:$AA$5001,BD!$A$3:$A$5001,$B29,BD!$B$3:$B$5001,$D$2)))</f>
        <v>0</v>
      </c>
      <c r="AC29" s="32">
        <f>IF($B29="","",IF($B$2="Todos",SUMIFS(BD!$AB$3:$AB$5001,BD!$A$3:$A$5001,$B29),SUMIFS(BD!$AB$3:$AB$5001,BD!$A$3:$A$5001,$B29,BD!$B$3:$B$5001,$D$2)))</f>
        <v>0</v>
      </c>
      <c r="AD29" s="32">
        <f>IF($B29="","",IF($B$2="Todos",SUMIFS(BD!$AC$3:$AC$5001,BD!$A$3:$A$5001,$B29),SUMIFS(BD!$AC$3:$AC$5001,BD!$A$3:$A$5001,$B29,BD!$B$3:$B$5001,$D$2)))</f>
        <v>0</v>
      </c>
      <c r="AE29" s="32">
        <f>IF($B29="","",IF($B$2="Todos",SUMIFS(BD!$AD$3:$AD$5001,BD!$A$3:$A$5001,$B29),SUMIFS(BD!$AD$3:$AD$5001,BD!$A$3:$A$5001,$B29,BD!$B$3:$B$5001,$D$2)))</f>
        <v>0</v>
      </c>
      <c r="AF29" s="32">
        <f>IF($B29="","",IF($B$2="Todos",SUMIFS(BD!$AE$3:$AE$5001,BD!$A$3:$A$5001,$B29),SUMIFS(BD!$AE$3:$AE$5001,BD!$A$3:$A$5001,$B29,BD!$B$3:$B$5001,$D$2)))</f>
        <v>0</v>
      </c>
      <c r="AG29" s="32">
        <f>IF($B29="","",IF($B$2="Todos",SUMIFS(BD!$AF$3:$AF$5001,BD!$A$3:$A$5001,$B29),SUMIFS(BD!$AF$3:$AF$5001,BD!$A$3:$A$5001,$B29,BD!$B$3:$B$5001,$D$2)))</f>
        <v>0</v>
      </c>
      <c r="AH29" s="32">
        <f>IF($B29="","",IF($B$2="Todos",SUMIFS(BD!$AG$3:$AG$5001,BD!$A$3:$A$5001,$B29),SUMIFS(BD!$AG$3:$AG$5001,BD!$A$3:$A$5001,$B29,BD!$B$3:$B$5001,$D$2)))</f>
        <v>0</v>
      </c>
      <c r="AI29" s="49">
        <f>$B$5</f>
        <v>0.7</v>
      </c>
      <c r="AJ29" s="49">
        <f>$B$6</f>
        <v>0.9</v>
      </c>
    </row>
    <row r="30">
      <c r="A30" s="28">
        <v>19</v>
      </c>
      <c r="B30" s="45">
        <f>IF($A30&lt;=DAY($D$7),$C$7+$A30-1,"")</f>
        <v>46314</v>
      </c>
      <c r="C30" s="32">
        <f>IF($B30="","",IF($B$2="Todos",SUMIFS(BD!$C$3:$C$5001,BD!$A$3:$A$5001,$B30),SUMIFS(BD!$C$3:$C$5001,BD!$A$3:$A$5001,$B30,BD!$B$3:$B$5001,$D$2)))</f>
        <v>0</v>
      </c>
      <c r="D30" s="32">
        <f>IF($B30="","",IF($B$2="Todos",SUMIFS(BD!$D$3:$D$5001,BD!$A$3:$A$5001,$B30),SUMIFS(BD!$D$3:$D$5001,BD!$A$3:$A$5001,$B30,BD!$B$3:$B$5001,$D$2)))</f>
        <v>0</v>
      </c>
      <c r="E30" s="46">
        <f>IF($B30="","",IF($B$2="Todos",SUMIFS(BD!$E$3:$E$5001,BD!$A$3:$A$5001,$B30),SUMIFS(BD!$E$3:$E$5001,BD!$A$3:$A$5001,$B30,BD!$B$3:$B$5001,$D$2)))</f>
        <v>0</v>
      </c>
      <c r="F30" s="32">
        <f>IF($B30="","",IF($B$2="Todos",SUMIFS(BD!$F$3:$F$5001,BD!$A$3:$A$5001,$B30),SUMIFS(BD!$F$3:$F$5001,BD!$A$3:$A$5001,$B30,BD!$B$3:$B$5001,$D$2)))</f>
        <v>0</v>
      </c>
      <c r="G30" s="32">
        <f>IF($B30="","",IF($B$2="Todos",SUMIFS(BD!$G$3:$G$5001,BD!$A$3:$A$5001,$B30),SUMIFS(BD!$G$3:$G$5001,BD!$A$3:$A$5001,$B30,BD!$B$3:$B$5001,$D$2)))</f>
        <v>0</v>
      </c>
      <c r="H30" s="32">
        <f>IF($B30="","",IF($B$2="Todos",SUMIFS(BD!$H$3:$H$5001,BD!$A$3:$A$5001,$B30),SUMIFS(BD!$H$3:$H$5001,BD!$A$3:$A$5001,$B30,BD!$B$3:$B$5001,$D$2)))</f>
        <v>0</v>
      </c>
      <c r="I30" s="32">
        <f>IF($B30="","",IF($B$2="Todos",SUMIFS(BD!$I$3:$I$5001,BD!$A$3:$A$5001,$B30),SUMIFS(BD!$I$3:$I$5001,BD!$A$3:$A$5001,$B30,BD!$B$3:$B$5001,$D$2)))</f>
        <v>0</v>
      </c>
      <c r="J30" s="32">
        <f>IF($B30="","",IF($B$2="Todos",SUMIFS(BD!$J$3:$J$5001,BD!$A$3:$A$5001,$B30),SUMIFS(BD!$J$3:$J$5001,BD!$A$3:$A$5001,$B30,BD!$B$3:$B$5001,$D$2)))</f>
        <v>0</v>
      </c>
      <c r="K30" s="32">
        <f>IF($B30="","",IF($B$2="Todos",SUMIFS(BD!$K$3:$K$5001,BD!$A$3:$A$5001,$B30),SUMIFS(BD!$K$3:$K$5001,BD!$A$3:$A$5001,$B30,BD!$B$3:$B$5001,$D$2)))</f>
        <v>0</v>
      </c>
      <c r="L30" s="32">
        <f>IF($B30="","",IF($B$2="Todos",SUMIFS(BD!$L$3:$L$5001,BD!$A$3:$A$5001,$B30),SUMIFS(BD!$L$3:$L$5001,BD!$A$3:$A$5001,$B30,BD!$B$3:$B$5001,$D$2)))</f>
        <v>0</v>
      </c>
      <c r="M30" s="32">
        <f>IF($B30="","",IF($B$2="Todos",SUMIFS(BD!$M$3:$M$5001,BD!$A$3:$A$5001,$B30),SUMIFS(BD!$M$3:$M$5001,BD!$A$3:$A$5001,$B30,BD!$B$3:$B$5001,$D$2)))</f>
        <v>0</v>
      </c>
      <c r="N30" s="32">
        <f>IF($B30="","",IF($B$2="Todos",SUMIFS(BD!$N$3:$N$5001,BD!$A$3:$A$5001,$B30),SUMIFS(BD!$N$3:$N$5001,BD!$A$3:$A$5001,$B30,BD!$B$3:$B$5001,$D$2)))</f>
        <v>0</v>
      </c>
      <c r="O30" s="32">
        <f>IF($B30="","",IF($B$2="Todos",SUMIFS(BD!$O$3:$O$5001,BD!$A$3:$A$5001,$B30),SUMIFS(BD!$O$3:$O$5001,BD!$A$3:$A$5001,$B30,BD!$B$3:$B$5001,$D$2)))</f>
        <v>0</v>
      </c>
      <c r="P30" s="32">
        <f>IF($B30="","",IF($B$2="Todos",SUMIFS(BD!$P$3:$P$5001,BD!$A$3:$A$5001,$B30),SUMIFS(BD!$P$3:$P$5001,BD!$A$3:$A$5001,$B30,BD!$B$3:$B$5001,$D$2)))</f>
        <v>0</v>
      </c>
      <c r="Q30" s="32">
        <f>IF($B30="","",IF($B$2="Todos",SUMIFS(BD!$Q$3:$Q$5001,BD!$A$3:$A$5001,$B30),SUMIFS(BD!$Q$3:$Q$5001,BD!$A$3:$A$5001,$B30,BD!$B$3:$B$5001,$D$2)))</f>
        <v>0</v>
      </c>
      <c r="R30" s="32">
        <f>IF($B30="","",IF($B$2="Todos",SUMIFS(BD!$R$3:$R$5001,BD!$A$3:$A$5001,$B30),SUMIFS(BD!$R$3:$R$5001,BD!$A$3:$A$5001,$B30,BD!$B$3:$B$5001,$D$2)))</f>
        <v>0</v>
      </c>
      <c r="S30" s="32">
        <f>IF($B30="","",IF($B$2="Todos",SUMIFS(BD!$S$3:$S$5001,BD!$A$3:$A$5001,$B30),SUMIFS(BD!$S$3:$S$5001,BD!$A$3:$A$5001,$B30,BD!$B$3:$B$5001,$D$2)))</f>
        <v>0</v>
      </c>
      <c r="T30" s="46">
        <f>IF($B30="","",IF($B$2="Todos",SUMIFS(BD!$T$3:$T$5001,BD!$A$3:$A$5001,$B30),SUMIFS(BD!$T$3:$T$5001,BD!$A$3:$A$5001,$B30,BD!$B$3:$B$5001,$D$2)))</f>
        <v>0</v>
      </c>
      <c r="U30" s="32">
        <f>IF($B30="","",IF($B$2="Todos",SUMIFS(BD!$U$3:$U$5001,BD!$A$3:$A$5001,$B30),SUMIFS(BD!$U$3:$U$5001,BD!$A$3:$A$5001,$B30,BD!$B$3:$B$5001,$D$2)))</f>
        <v>0</v>
      </c>
      <c r="V30" s="32">
        <f>IF($B30="","",IF($B$2="Todos",SUMIFS(BD!$V$3:$V$5001,BD!$A$3:$A$5001,$B30),SUMIFS(BD!$V$3:$V$5001,BD!$A$3:$A$5001,$B30,BD!$B$3:$B$5001,$D$2)))</f>
        <v>0</v>
      </c>
      <c r="W30" s="32" t="str">
        <f>IF($B$2="Todos",IF(COUNT($C$157:$L$157)=0,"",SUM($C$157:$L$157)),IFERROR(INDEX($C$157:$L$157,MATCH($D$2,$C$138:$L$138,0)),""))</f>
        <v/>
      </c>
      <c r="X30" s="47" t="str">
        <f>IF(Y30="","",IF($B$2="Todos",IF($B$4&gt;0,$B$4,IF($B$2="Todos",IF(COUNT($C$227:$L$227)=0,"",SUM($C$227:$L$227)),IFERROR(INDEX($C$227:$L$227,MATCH($D$2,$C$208:$L$208,0)),""))),IFERROR(INDEX($C$227:$L$227,MATCH($D$2,$C$208:$L$208,0)),"")))</f>
        <v/>
      </c>
      <c r="Y30" s="32" t="str">
        <f>IF($B$2="Todos",IF(COUNT($C$192:$L$192)=0,"",SUM($C$192:$L$192)),IFERROR(INDEX($C$192:$L$192,MATCH($D$2,$C$173:$L$173,0)),""))</f>
        <v/>
      </c>
      <c r="Z30" s="48" t="str">
        <f>IF(AND(ISNUMBER(Y30),ISNUMBER(X30)),IF(X30&gt;0,Y30/X30,""),"")</f>
        <v/>
      </c>
      <c r="AA30" s="32" t="str">
        <f>IF($B$2="Todos",IF(COUNT($C$262:$L$262)=0,"",SUM($C$262:$L$262)),IFERROR(INDEX($C$262:$L$262,MATCH($D$2,$C$243:$L$243,0)),""))</f>
        <v/>
      </c>
      <c r="AB30" s="32">
        <f>IF($B30="","",IF($B$2="Todos",SUMIFS(BD!$AA$3:$AA$5001,BD!$A$3:$A$5001,$B30),SUMIFS(BD!$AA$3:$AA$5001,BD!$A$3:$A$5001,$B30,BD!$B$3:$B$5001,$D$2)))</f>
        <v>0</v>
      </c>
      <c r="AC30" s="32">
        <f>IF($B30="","",IF($B$2="Todos",SUMIFS(BD!$AB$3:$AB$5001,BD!$A$3:$A$5001,$B30),SUMIFS(BD!$AB$3:$AB$5001,BD!$A$3:$A$5001,$B30,BD!$B$3:$B$5001,$D$2)))</f>
        <v>0</v>
      </c>
      <c r="AD30" s="32">
        <f>IF($B30="","",IF($B$2="Todos",SUMIFS(BD!$AC$3:$AC$5001,BD!$A$3:$A$5001,$B30),SUMIFS(BD!$AC$3:$AC$5001,BD!$A$3:$A$5001,$B30,BD!$B$3:$B$5001,$D$2)))</f>
        <v>0</v>
      </c>
      <c r="AE30" s="32">
        <f>IF($B30="","",IF($B$2="Todos",SUMIFS(BD!$AD$3:$AD$5001,BD!$A$3:$A$5001,$B30),SUMIFS(BD!$AD$3:$AD$5001,BD!$A$3:$A$5001,$B30,BD!$B$3:$B$5001,$D$2)))</f>
        <v>0</v>
      </c>
      <c r="AF30" s="32">
        <f>IF($B30="","",IF($B$2="Todos",SUMIFS(BD!$AE$3:$AE$5001,BD!$A$3:$A$5001,$B30),SUMIFS(BD!$AE$3:$AE$5001,BD!$A$3:$A$5001,$B30,BD!$B$3:$B$5001,$D$2)))</f>
        <v>0</v>
      </c>
      <c r="AG30" s="32">
        <f>IF($B30="","",IF($B$2="Todos",SUMIFS(BD!$AF$3:$AF$5001,BD!$A$3:$A$5001,$B30),SUMIFS(BD!$AF$3:$AF$5001,BD!$A$3:$A$5001,$B30,BD!$B$3:$B$5001,$D$2)))</f>
        <v>0</v>
      </c>
      <c r="AH30" s="32">
        <f>IF($B30="","",IF($B$2="Todos",SUMIFS(BD!$AG$3:$AG$5001,BD!$A$3:$A$5001,$B30),SUMIFS(BD!$AG$3:$AG$5001,BD!$A$3:$A$5001,$B30,BD!$B$3:$B$5001,$D$2)))</f>
        <v>0</v>
      </c>
      <c r="AI30" s="49">
        <f>$B$5</f>
        <v>0.7</v>
      </c>
      <c r="AJ30" s="49">
        <f>$B$6</f>
        <v>0.9</v>
      </c>
    </row>
    <row r="31">
      <c r="A31" s="28">
        <v>20</v>
      </c>
      <c r="B31" s="45">
        <f>IF($A31&lt;=DAY($D$7),$C$7+$A31-1,"")</f>
        <v>46315</v>
      </c>
      <c r="C31" s="32">
        <f>IF($B31="","",IF($B$2="Todos",SUMIFS(BD!$C$3:$C$5001,BD!$A$3:$A$5001,$B31),SUMIFS(BD!$C$3:$C$5001,BD!$A$3:$A$5001,$B31,BD!$B$3:$B$5001,$D$2)))</f>
        <v>0</v>
      </c>
      <c r="D31" s="32">
        <f>IF($B31="","",IF($B$2="Todos",SUMIFS(BD!$D$3:$D$5001,BD!$A$3:$A$5001,$B31),SUMIFS(BD!$D$3:$D$5001,BD!$A$3:$A$5001,$B31,BD!$B$3:$B$5001,$D$2)))</f>
        <v>0</v>
      </c>
      <c r="E31" s="46">
        <f>IF($B31="","",IF($B$2="Todos",SUMIFS(BD!$E$3:$E$5001,BD!$A$3:$A$5001,$B31),SUMIFS(BD!$E$3:$E$5001,BD!$A$3:$A$5001,$B31,BD!$B$3:$B$5001,$D$2)))</f>
        <v>0</v>
      </c>
      <c r="F31" s="32">
        <f>IF($B31="","",IF($B$2="Todos",SUMIFS(BD!$F$3:$F$5001,BD!$A$3:$A$5001,$B31),SUMIFS(BD!$F$3:$F$5001,BD!$A$3:$A$5001,$B31,BD!$B$3:$B$5001,$D$2)))</f>
        <v>0</v>
      </c>
      <c r="G31" s="32">
        <f>IF($B31="","",IF($B$2="Todos",SUMIFS(BD!$G$3:$G$5001,BD!$A$3:$A$5001,$B31),SUMIFS(BD!$G$3:$G$5001,BD!$A$3:$A$5001,$B31,BD!$B$3:$B$5001,$D$2)))</f>
        <v>0</v>
      </c>
      <c r="H31" s="32">
        <f>IF($B31="","",IF($B$2="Todos",SUMIFS(BD!$H$3:$H$5001,BD!$A$3:$A$5001,$B31),SUMIFS(BD!$H$3:$H$5001,BD!$A$3:$A$5001,$B31,BD!$B$3:$B$5001,$D$2)))</f>
        <v>0</v>
      </c>
      <c r="I31" s="32">
        <f>IF($B31="","",IF($B$2="Todos",SUMIFS(BD!$I$3:$I$5001,BD!$A$3:$A$5001,$B31),SUMIFS(BD!$I$3:$I$5001,BD!$A$3:$A$5001,$B31,BD!$B$3:$B$5001,$D$2)))</f>
        <v>0</v>
      </c>
      <c r="J31" s="32">
        <f>IF($B31="","",IF($B$2="Todos",SUMIFS(BD!$J$3:$J$5001,BD!$A$3:$A$5001,$B31),SUMIFS(BD!$J$3:$J$5001,BD!$A$3:$A$5001,$B31,BD!$B$3:$B$5001,$D$2)))</f>
        <v>0</v>
      </c>
      <c r="K31" s="32">
        <f>IF($B31="","",IF($B$2="Todos",SUMIFS(BD!$K$3:$K$5001,BD!$A$3:$A$5001,$B31),SUMIFS(BD!$K$3:$K$5001,BD!$A$3:$A$5001,$B31,BD!$B$3:$B$5001,$D$2)))</f>
        <v>0</v>
      </c>
      <c r="L31" s="32">
        <f>IF($B31="","",IF($B$2="Todos",SUMIFS(BD!$L$3:$L$5001,BD!$A$3:$A$5001,$B31),SUMIFS(BD!$L$3:$L$5001,BD!$A$3:$A$5001,$B31,BD!$B$3:$B$5001,$D$2)))</f>
        <v>0</v>
      </c>
      <c r="M31" s="32">
        <f>IF($B31="","",IF($B$2="Todos",SUMIFS(BD!$M$3:$M$5001,BD!$A$3:$A$5001,$B31),SUMIFS(BD!$M$3:$M$5001,BD!$A$3:$A$5001,$B31,BD!$B$3:$B$5001,$D$2)))</f>
        <v>0</v>
      </c>
      <c r="N31" s="32">
        <f>IF($B31="","",IF($B$2="Todos",SUMIFS(BD!$N$3:$N$5001,BD!$A$3:$A$5001,$B31),SUMIFS(BD!$N$3:$N$5001,BD!$A$3:$A$5001,$B31,BD!$B$3:$B$5001,$D$2)))</f>
        <v>0</v>
      </c>
      <c r="O31" s="32">
        <f>IF($B31="","",IF($B$2="Todos",SUMIFS(BD!$O$3:$O$5001,BD!$A$3:$A$5001,$B31),SUMIFS(BD!$O$3:$O$5001,BD!$A$3:$A$5001,$B31,BD!$B$3:$B$5001,$D$2)))</f>
        <v>0</v>
      </c>
      <c r="P31" s="32">
        <f>IF($B31="","",IF($B$2="Todos",SUMIFS(BD!$P$3:$P$5001,BD!$A$3:$A$5001,$B31),SUMIFS(BD!$P$3:$P$5001,BD!$A$3:$A$5001,$B31,BD!$B$3:$B$5001,$D$2)))</f>
        <v>0</v>
      </c>
      <c r="Q31" s="32">
        <f>IF($B31="","",IF($B$2="Todos",SUMIFS(BD!$Q$3:$Q$5001,BD!$A$3:$A$5001,$B31),SUMIFS(BD!$Q$3:$Q$5001,BD!$A$3:$A$5001,$B31,BD!$B$3:$B$5001,$D$2)))</f>
        <v>0</v>
      </c>
      <c r="R31" s="32">
        <f>IF($B31="","",IF($B$2="Todos",SUMIFS(BD!$R$3:$R$5001,BD!$A$3:$A$5001,$B31),SUMIFS(BD!$R$3:$R$5001,BD!$A$3:$A$5001,$B31,BD!$B$3:$B$5001,$D$2)))</f>
        <v>0</v>
      </c>
      <c r="S31" s="32">
        <f>IF($B31="","",IF($B$2="Todos",SUMIFS(BD!$S$3:$S$5001,BD!$A$3:$A$5001,$B31),SUMIFS(BD!$S$3:$S$5001,BD!$A$3:$A$5001,$B31,BD!$B$3:$B$5001,$D$2)))</f>
        <v>0</v>
      </c>
      <c r="T31" s="46">
        <f>IF($B31="","",IF($B$2="Todos",SUMIFS(BD!$T$3:$T$5001,BD!$A$3:$A$5001,$B31),SUMIFS(BD!$T$3:$T$5001,BD!$A$3:$A$5001,$B31,BD!$B$3:$B$5001,$D$2)))</f>
        <v>0</v>
      </c>
      <c r="U31" s="32">
        <f>IF($B31="","",IF($B$2="Todos",SUMIFS(BD!$U$3:$U$5001,BD!$A$3:$A$5001,$B31),SUMIFS(BD!$U$3:$U$5001,BD!$A$3:$A$5001,$B31,BD!$B$3:$B$5001,$D$2)))</f>
        <v>0</v>
      </c>
      <c r="V31" s="32">
        <f>IF($B31="","",IF($B$2="Todos",SUMIFS(BD!$V$3:$V$5001,BD!$A$3:$A$5001,$B31),SUMIFS(BD!$V$3:$V$5001,BD!$A$3:$A$5001,$B31,BD!$B$3:$B$5001,$D$2)))</f>
        <v>0</v>
      </c>
      <c r="W31" s="32" t="str">
        <f>IF($B$2="Todos",IF(COUNT($C$158:$L$158)=0,"",SUM($C$158:$L$158)),IFERROR(INDEX($C$158:$L$158,MATCH($D$2,$C$138:$L$138,0)),""))</f>
        <v/>
      </c>
      <c r="X31" s="47" t="str">
        <f>IF(Y31="","",IF($B$2="Todos",IF($B$4&gt;0,$B$4,IF($B$2="Todos",IF(COUNT($C$228:$L$228)=0,"",SUM($C$228:$L$228)),IFERROR(INDEX($C$228:$L$228,MATCH($D$2,$C$208:$L$208,0)),""))),IFERROR(INDEX($C$228:$L$228,MATCH($D$2,$C$208:$L$208,0)),"")))</f>
        <v/>
      </c>
      <c r="Y31" s="32" t="str">
        <f>IF($B$2="Todos",IF(COUNT($C$193:$L$193)=0,"",SUM($C$193:$L$193)),IFERROR(INDEX($C$193:$L$193,MATCH($D$2,$C$173:$L$173,0)),""))</f>
        <v/>
      </c>
      <c r="Z31" s="48" t="str">
        <f>IF(AND(ISNUMBER(Y31),ISNUMBER(X31)),IF(X31&gt;0,Y31/X31,""),"")</f>
        <v/>
      </c>
      <c r="AA31" s="32" t="str">
        <f>IF($B$2="Todos",IF(COUNT($C$263:$L$263)=0,"",SUM($C$263:$L$263)),IFERROR(INDEX($C$263:$L$263,MATCH($D$2,$C$243:$L$243,0)),""))</f>
        <v/>
      </c>
      <c r="AB31" s="32">
        <f>IF($B31="","",IF($B$2="Todos",SUMIFS(BD!$AA$3:$AA$5001,BD!$A$3:$A$5001,$B31),SUMIFS(BD!$AA$3:$AA$5001,BD!$A$3:$A$5001,$B31,BD!$B$3:$B$5001,$D$2)))</f>
        <v>0</v>
      </c>
      <c r="AC31" s="32">
        <f>IF($B31="","",IF($B$2="Todos",SUMIFS(BD!$AB$3:$AB$5001,BD!$A$3:$A$5001,$B31),SUMIFS(BD!$AB$3:$AB$5001,BD!$A$3:$A$5001,$B31,BD!$B$3:$B$5001,$D$2)))</f>
        <v>0</v>
      </c>
      <c r="AD31" s="32">
        <f>IF($B31="","",IF($B$2="Todos",SUMIFS(BD!$AC$3:$AC$5001,BD!$A$3:$A$5001,$B31),SUMIFS(BD!$AC$3:$AC$5001,BD!$A$3:$A$5001,$B31,BD!$B$3:$B$5001,$D$2)))</f>
        <v>0</v>
      </c>
      <c r="AE31" s="32">
        <f>IF($B31="","",IF($B$2="Todos",SUMIFS(BD!$AD$3:$AD$5001,BD!$A$3:$A$5001,$B31),SUMIFS(BD!$AD$3:$AD$5001,BD!$A$3:$A$5001,$B31,BD!$B$3:$B$5001,$D$2)))</f>
        <v>0</v>
      </c>
      <c r="AF31" s="32">
        <f>IF($B31="","",IF($B$2="Todos",SUMIFS(BD!$AE$3:$AE$5001,BD!$A$3:$A$5001,$B31),SUMIFS(BD!$AE$3:$AE$5001,BD!$A$3:$A$5001,$B31,BD!$B$3:$B$5001,$D$2)))</f>
        <v>0</v>
      </c>
      <c r="AG31" s="32">
        <f>IF($B31="","",IF($B$2="Todos",SUMIFS(BD!$AF$3:$AF$5001,BD!$A$3:$A$5001,$B31),SUMIFS(BD!$AF$3:$AF$5001,BD!$A$3:$A$5001,$B31,BD!$B$3:$B$5001,$D$2)))</f>
        <v>0</v>
      </c>
      <c r="AH31" s="32">
        <f>IF($B31="","",IF($B$2="Todos",SUMIFS(BD!$AG$3:$AG$5001,BD!$A$3:$A$5001,$B31),SUMIFS(BD!$AG$3:$AG$5001,BD!$A$3:$A$5001,$B31,BD!$B$3:$B$5001,$D$2)))</f>
        <v>0</v>
      </c>
      <c r="AI31" s="49">
        <f>$B$5</f>
        <v>0.7</v>
      </c>
      <c r="AJ31" s="49">
        <f>$B$6</f>
        <v>0.9</v>
      </c>
    </row>
    <row r="32">
      <c r="A32" s="28">
        <v>21</v>
      </c>
      <c r="B32" s="45">
        <f>IF($A32&lt;=DAY($D$7),$C$7+$A32-1,"")</f>
        <v>46316</v>
      </c>
      <c r="C32" s="32">
        <f>IF($B32="","",IF($B$2="Todos",SUMIFS(BD!$C$3:$C$5001,BD!$A$3:$A$5001,$B32),SUMIFS(BD!$C$3:$C$5001,BD!$A$3:$A$5001,$B32,BD!$B$3:$B$5001,$D$2)))</f>
        <v>0</v>
      </c>
      <c r="D32" s="32">
        <f>IF($B32="","",IF($B$2="Todos",SUMIFS(BD!$D$3:$D$5001,BD!$A$3:$A$5001,$B32),SUMIFS(BD!$D$3:$D$5001,BD!$A$3:$A$5001,$B32,BD!$B$3:$B$5001,$D$2)))</f>
        <v>0</v>
      </c>
      <c r="E32" s="46">
        <f>IF($B32="","",IF($B$2="Todos",SUMIFS(BD!$E$3:$E$5001,BD!$A$3:$A$5001,$B32),SUMIFS(BD!$E$3:$E$5001,BD!$A$3:$A$5001,$B32,BD!$B$3:$B$5001,$D$2)))</f>
        <v>0</v>
      </c>
      <c r="F32" s="32">
        <f>IF($B32="","",IF($B$2="Todos",SUMIFS(BD!$F$3:$F$5001,BD!$A$3:$A$5001,$B32),SUMIFS(BD!$F$3:$F$5001,BD!$A$3:$A$5001,$B32,BD!$B$3:$B$5001,$D$2)))</f>
        <v>0</v>
      </c>
      <c r="G32" s="32">
        <f>IF($B32="","",IF($B$2="Todos",SUMIFS(BD!$G$3:$G$5001,BD!$A$3:$A$5001,$B32),SUMIFS(BD!$G$3:$G$5001,BD!$A$3:$A$5001,$B32,BD!$B$3:$B$5001,$D$2)))</f>
        <v>0</v>
      </c>
      <c r="H32" s="32">
        <f>IF($B32="","",IF($B$2="Todos",SUMIFS(BD!$H$3:$H$5001,BD!$A$3:$A$5001,$B32),SUMIFS(BD!$H$3:$H$5001,BD!$A$3:$A$5001,$B32,BD!$B$3:$B$5001,$D$2)))</f>
        <v>0</v>
      </c>
      <c r="I32" s="32">
        <f>IF($B32="","",IF($B$2="Todos",SUMIFS(BD!$I$3:$I$5001,BD!$A$3:$A$5001,$B32),SUMIFS(BD!$I$3:$I$5001,BD!$A$3:$A$5001,$B32,BD!$B$3:$B$5001,$D$2)))</f>
        <v>0</v>
      </c>
      <c r="J32" s="32">
        <f>IF($B32="","",IF($B$2="Todos",SUMIFS(BD!$J$3:$J$5001,BD!$A$3:$A$5001,$B32),SUMIFS(BD!$J$3:$J$5001,BD!$A$3:$A$5001,$B32,BD!$B$3:$B$5001,$D$2)))</f>
        <v>0</v>
      </c>
      <c r="K32" s="32">
        <f>IF($B32="","",IF($B$2="Todos",SUMIFS(BD!$K$3:$K$5001,BD!$A$3:$A$5001,$B32),SUMIFS(BD!$K$3:$K$5001,BD!$A$3:$A$5001,$B32,BD!$B$3:$B$5001,$D$2)))</f>
        <v>0</v>
      </c>
      <c r="L32" s="32">
        <f>IF($B32="","",IF($B$2="Todos",SUMIFS(BD!$L$3:$L$5001,BD!$A$3:$A$5001,$B32),SUMIFS(BD!$L$3:$L$5001,BD!$A$3:$A$5001,$B32,BD!$B$3:$B$5001,$D$2)))</f>
        <v>0</v>
      </c>
      <c r="M32" s="32">
        <f>IF($B32="","",IF($B$2="Todos",SUMIFS(BD!$M$3:$M$5001,BD!$A$3:$A$5001,$B32),SUMIFS(BD!$M$3:$M$5001,BD!$A$3:$A$5001,$B32,BD!$B$3:$B$5001,$D$2)))</f>
        <v>0</v>
      </c>
      <c r="N32" s="32">
        <f>IF($B32="","",IF($B$2="Todos",SUMIFS(BD!$N$3:$N$5001,BD!$A$3:$A$5001,$B32),SUMIFS(BD!$N$3:$N$5001,BD!$A$3:$A$5001,$B32,BD!$B$3:$B$5001,$D$2)))</f>
        <v>0</v>
      </c>
      <c r="O32" s="32">
        <f>IF($B32="","",IF($B$2="Todos",SUMIFS(BD!$O$3:$O$5001,BD!$A$3:$A$5001,$B32),SUMIFS(BD!$O$3:$O$5001,BD!$A$3:$A$5001,$B32,BD!$B$3:$B$5001,$D$2)))</f>
        <v>0</v>
      </c>
      <c r="P32" s="32">
        <f>IF($B32="","",IF($B$2="Todos",SUMIFS(BD!$P$3:$P$5001,BD!$A$3:$A$5001,$B32),SUMIFS(BD!$P$3:$P$5001,BD!$A$3:$A$5001,$B32,BD!$B$3:$B$5001,$D$2)))</f>
        <v>0</v>
      </c>
      <c r="Q32" s="32">
        <f>IF($B32="","",IF($B$2="Todos",SUMIFS(BD!$Q$3:$Q$5001,BD!$A$3:$A$5001,$B32),SUMIFS(BD!$Q$3:$Q$5001,BD!$A$3:$A$5001,$B32,BD!$B$3:$B$5001,$D$2)))</f>
        <v>0</v>
      </c>
      <c r="R32" s="32">
        <f>IF($B32="","",IF($B$2="Todos",SUMIFS(BD!$R$3:$R$5001,BD!$A$3:$A$5001,$B32),SUMIFS(BD!$R$3:$R$5001,BD!$A$3:$A$5001,$B32,BD!$B$3:$B$5001,$D$2)))</f>
        <v>0</v>
      </c>
      <c r="S32" s="32">
        <f>IF($B32="","",IF($B$2="Todos",SUMIFS(BD!$S$3:$S$5001,BD!$A$3:$A$5001,$B32),SUMIFS(BD!$S$3:$S$5001,BD!$A$3:$A$5001,$B32,BD!$B$3:$B$5001,$D$2)))</f>
        <v>0</v>
      </c>
      <c r="T32" s="46">
        <f>IF($B32="","",IF($B$2="Todos",SUMIFS(BD!$T$3:$T$5001,BD!$A$3:$A$5001,$B32),SUMIFS(BD!$T$3:$T$5001,BD!$A$3:$A$5001,$B32,BD!$B$3:$B$5001,$D$2)))</f>
        <v>0</v>
      </c>
      <c r="U32" s="32">
        <f>IF($B32="","",IF($B$2="Todos",SUMIFS(BD!$U$3:$U$5001,BD!$A$3:$A$5001,$B32),SUMIFS(BD!$U$3:$U$5001,BD!$A$3:$A$5001,$B32,BD!$B$3:$B$5001,$D$2)))</f>
        <v>0</v>
      </c>
      <c r="V32" s="32">
        <f>IF($B32="","",IF($B$2="Todos",SUMIFS(BD!$V$3:$V$5001,BD!$A$3:$A$5001,$B32),SUMIFS(BD!$V$3:$V$5001,BD!$A$3:$A$5001,$B32,BD!$B$3:$B$5001,$D$2)))</f>
        <v>0</v>
      </c>
      <c r="W32" s="32" t="str">
        <f>IF($B$2="Todos",IF(COUNT($C$159:$L$159)=0,"",SUM($C$159:$L$159)),IFERROR(INDEX($C$159:$L$159,MATCH($D$2,$C$138:$L$138,0)),""))</f>
        <v/>
      </c>
      <c r="X32" s="47" t="str">
        <f>IF(Y32="","",IF($B$2="Todos",IF($B$4&gt;0,$B$4,IF($B$2="Todos",IF(COUNT($C$229:$L$229)=0,"",SUM($C$229:$L$229)),IFERROR(INDEX($C$229:$L$229,MATCH($D$2,$C$208:$L$208,0)),""))),IFERROR(INDEX($C$229:$L$229,MATCH($D$2,$C$208:$L$208,0)),"")))</f>
        <v/>
      </c>
      <c r="Y32" s="32" t="str">
        <f>IF($B$2="Todos",IF(COUNT($C$194:$L$194)=0,"",SUM($C$194:$L$194)),IFERROR(INDEX($C$194:$L$194,MATCH($D$2,$C$173:$L$173,0)),""))</f>
        <v/>
      </c>
      <c r="Z32" s="48" t="str">
        <f>IF(AND(ISNUMBER(Y32),ISNUMBER(X32)),IF(X32&gt;0,Y32/X32,""),"")</f>
        <v/>
      </c>
      <c r="AA32" s="32" t="str">
        <f>IF($B$2="Todos",IF(COUNT($C$264:$L$264)=0,"",SUM($C$264:$L$264)),IFERROR(INDEX($C$264:$L$264,MATCH($D$2,$C$243:$L$243,0)),""))</f>
        <v/>
      </c>
      <c r="AB32" s="32">
        <f>IF($B32="","",IF($B$2="Todos",SUMIFS(BD!$AA$3:$AA$5001,BD!$A$3:$A$5001,$B32),SUMIFS(BD!$AA$3:$AA$5001,BD!$A$3:$A$5001,$B32,BD!$B$3:$B$5001,$D$2)))</f>
        <v>0</v>
      </c>
      <c r="AC32" s="32">
        <f>IF($B32="","",IF($B$2="Todos",SUMIFS(BD!$AB$3:$AB$5001,BD!$A$3:$A$5001,$B32),SUMIFS(BD!$AB$3:$AB$5001,BD!$A$3:$A$5001,$B32,BD!$B$3:$B$5001,$D$2)))</f>
        <v>0</v>
      </c>
      <c r="AD32" s="32">
        <f>IF($B32="","",IF($B$2="Todos",SUMIFS(BD!$AC$3:$AC$5001,BD!$A$3:$A$5001,$B32),SUMIFS(BD!$AC$3:$AC$5001,BD!$A$3:$A$5001,$B32,BD!$B$3:$B$5001,$D$2)))</f>
        <v>0</v>
      </c>
      <c r="AE32" s="32">
        <f>IF($B32="","",IF($B$2="Todos",SUMIFS(BD!$AD$3:$AD$5001,BD!$A$3:$A$5001,$B32),SUMIFS(BD!$AD$3:$AD$5001,BD!$A$3:$A$5001,$B32,BD!$B$3:$B$5001,$D$2)))</f>
        <v>0</v>
      </c>
      <c r="AF32" s="32">
        <f>IF($B32="","",IF($B$2="Todos",SUMIFS(BD!$AE$3:$AE$5001,BD!$A$3:$A$5001,$B32),SUMIFS(BD!$AE$3:$AE$5001,BD!$A$3:$A$5001,$B32,BD!$B$3:$B$5001,$D$2)))</f>
        <v>0</v>
      </c>
      <c r="AG32" s="32">
        <f>IF($B32="","",IF($B$2="Todos",SUMIFS(BD!$AF$3:$AF$5001,BD!$A$3:$A$5001,$B32),SUMIFS(BD!$AF$3:$AF$5001,BD!$A$3:$A$5001,$B32,BD!$B$3:$B$5001,$D$2)))</f>
        <v>0</v>
      </c>
      <c r="AH32" s="32">
        <f>IF($B32="","",IF($B$2="Todos",SUMIFS(BD!$AG$3:$AG$5001,BD!$A$3:$A$5001,$B32),SUMIFS(BD!$AG$3:$AG$5001,BD!$A$3:$A$5001,$B32,BD!$B$3:$B$5001,$D$2)))</f>
        <v>0</v>
      </c>
      <c r="AI32" s="49">
        <f>$B$5</f>
        <v>0.7</v>
      </c>
      <c r="AJ32" s="49">
        <f>$B$6</f>
        <v>0.9</v>
      </c>
    </row>
    <row r="33">
      <c r="A33" s="28">
        <v>22</v>
      </c>
      <c r="B33" s="45">
        <f>IF($A33&lt;=DAY($D$7),$C$7+$A33-1,"")</f>
        <v>46317</v>
      </c>
      <c r="C33" s="32">
        <f>IF($B33="","",IF($B$2="Todos",SUMIFS(BD!$C$3:$C$5001,BD!$A$3:$A$5001,$B33),SUMIFS(BD!$C$3:$C$5001,BD!$A$3:$A$5001,$B33,BD!$B$3:$B$5001,$D$2)))</f>
        <v>0</v>
      </c>
      <c r="D33" s="32">
        <f>IF($B33="","",IF($B$2="Todos",SUMIFS(BD!$D$3:$D$5001,BD!$A$3:$A$5001,$B33),SUMIFS(BD!$D$3:$D$5001,BD!$A$3:$A$5001,$B33,BD!$B$3:$B$5001,$D$2)))</f>
        <v>0</v>
      </c>
      <c r="E33" s="46">
        <f>IF($B33="","",IF($B$2="Todos",SUMIFS(BD!$E$3:$E$5001,BD!$A$3:$A$5001,$B33),SUMIFS(BD!$E$3:$E$5001,BD!$A$3:$A$5001,$B33,BD!$B$3:$B$5001,$D$2)))</f>
        <v>0</v>
      </c>
      <c r="F33" s="32">
        <f>IF($B33="","",IF($B$2="Todos",SUMIFS(BD!$F$3:$F$5001,BD!$A$3:$A$5001,$B33),SUMIFS(BD!$F$3:$F$5001,BD!$A$3:$A$5001,$B33,BD!$B$3:$B$5001,$D$2)))</f>
        <v>0</v>
      </c>
      <c r="G33" s="32">
        <f>IF($B33="","",IF($B$2="Todos",SUMIFS(BD!$G$3:$G$5001,BD!$A$3:$A$5001,$B33),SUMIFS(BD!$G$3:$G$5001,BD!$A$3:$A$5001,$B33,BD!$B$3:$B$5001,$D$2)))</f>
        <v>0</v>
      </c>
      <c r="H33" s="32">
        <f>IF($B33="","",IF($B$2="Todos",SUMIFS(BD!$H$3:$H$5001,BD!$A$3:$A$5001,$B33),SUMIFS(BD!$H$3:$H$5001,BD!$A$3:$A$5001,$B33,BD!$B$3:$B$5001,$D$2)))</f>
        <v>0</v>
      </c>
      <c r="I33" s="32">
        <f>IF($B33="","",IF($B$2="Todos",SUMIFS(BD!$I$3:$I$5001,BD!$A$3:$A$5001,$B33),SUMIFS(BD!$I$3:$I$5001,BD!$A$3:$A$5001,$B33,BD!$B$3:$B$5001,$D$2)))</f>
        <v>0</v>
      </c>
      <c r="J33" s="32">
        <f>IF($B33="","",IF($B$2="Todos",SUMIFS(BD!$J$3:$J$5001,BD!$A$3:$A$5001,$B33),SUMIFS(BD!$J$3:$J$5001,BD!$A$3:$A$5001,$B33,BD!$B$3:$B$5001,$D$2)))</f>
        <v>0</v>
      </c>
      <c r="K33" s="32">
        <f>IF($B33="","",IF($B$2="Todos",SUMIFS(BD!$K$3:$K$5001,BD!$A$3:$A$5001,$B33),SUMIFS(BD!$K$3:$K$5001,BD!$A$3:$A$5001,$B33,BD!$B$3:$B$5001,$D$2)))</f>
        <v>0</v>
      </c>
      <c r="L33" s="32">
        <f>IF($B33="","",IF($B$2="Todos",SUMIFS(BD!$L$3:$L$5001,BD!$A$3:$A$5001,$B33),SUMIFS(BD!$L$3:$L$5001,BD!$A$3:$A$5001,$B33,BD!$B$3:$B$5001,$D$2)))</f>
        <v>0</v>
      </c>
      <c r="M33" s="32">
        <f>IF($B33="","",IF($B$2="Todos",SUMIFS(BD!$M$3:$M$5001,BD!$A$3:$A$5001,$B33),SUMIFS(BD!$M$3:$M$5001,BD!$A$3:$A$5001,$B33,BD!$B$3:$B$5001,$D$2)))</f>
        <v>0</v>
      </c>
      <c r="N33" s="32">
        <f>IF($B33="","",IF($B$2="Todos",SUMIFS(BD!$N$3:$N$5001,BD!$A$3:$A$5001,$B33),SUMIFS(BD!$N$3:$N$5001,BD!$A$3:$A$5001,$B33,BD!$B$3:$B$5001,$D$2)))</f>
        <v>0</v>
      </c>
      <c r="O33" s="32">
        <f>IF($B33="","",IF($B$2="Todos",SUMIFS(BD!$O$3:$O$5001,BD!$A$3:$A$5001,$B33),SUMIFS(BD!$O$3:$O$5001,BD!$A$3:$A$5001,$B33,BD!$B$3:$B$5001,$D$2)))</f>
        <v>0</v>
      </c>
      <c r="P33" s="32">
        <f>IF($B33="","",IF($B$2="Todos",SUMIFS(BD!$P$3:$P$5001,BD!$A$3:$A$5001,$B33),SUMIFS(BD!$P$3:$P$5001,BD!$A$3:$A$5001,$B33,BD!$B$3:$B$5001,$D$2)))</f>
        <v>0</v>
      </c>
      <c r="Q33" s="32">
        <f>IF($B33="","",IF($B$2="Todos",SUMIFS(BD!$Q$3:$Q$5001,BD!$A$3:$A$5001,$B33),SUMIFS(BD!$Q$3:$Q$5001,BD!$A$3:$A$5001,$B33,BD!$B$3:$B$5001,$D$2)))</f>
        <v>0</v>
      </c>
      <c r="R33" s="32">
        <f>IF($B33="","",IF($B$2="Todos",SUMIFS(BD!$R$3:$R$5001,BD!$A$3:$A$5001,$B33),SUMIFS(BD!$R$3:$R$5001,BD!$A$3:$A$5001,$B33,BD!$B$3:$B$5001,$D$2)))</f>
        <v>0</v>
      </c>
      <c r="S33" s="32">
        <f>IF($B33="","",IF($B$2="Todos",SUMIFS(BD!$S$3:$S$5001,BD!$A$3:$A$5001,$B33),SUMIFS(BD!$S$3:$S$5001,BD!$A$3:$A$5001,$B33,BD!$B$3:$B$5001,$D$2)))</f>
        <v>0</v>
      </c>
      <c r="T33" s="46">
        <f>IF($B33="","",IF($B$2="Todos",SUMIFS(BD!$T$3:$T$5001,BD!$A$3:$A$5001,$B33),SUMIFS(BD!$T$3:$T$5001,BD!$A$3:$A$5001,$B33,BD!$B$3:$B$5001,$D$2)))</f>
        <v>0</v>
      </c>
      <c r="U33" s="32">
        <f>IF($B33="","",IF($B$2="Todos",SUMIFS(BD!$U$3:$U$5001,BD!$A$3:$A$5001,$B33),SUMIFS(BD!$U$3:$U$5001,BD!$A$3:$A$5001,$B33,BD!$B$3:$B$5001,$D$2)))</f>
        <v>0</v>
      </c>
      <c r="V33" s="32">
        <f>IF($B33="","",IF($B$2="Todos",SUMIFS(BD!$V$3:$V$5001,BD!$A$3:$A$5001,$B33),SUMIFS(BD!$V$3:$V$5001,BD!$A$3:$A$5001,$B33,BD!$B$3:$B$5001,$D$2)))</f>
        <v>0</v>
      </c>
      <c r="W33" s="32" t="str">
        <f>IF($B$2="Todos",IF(COUNT($C$160:$L$160)=0,"",SUM($C$160:$L$160)),IFERROR(INDEX($C$160:$L$160,MATCH($D$2,$C$138:$L$138,0)),""))</f>
        <v/>
      </c>
      <c r="X33" s="47" t="str">
        <f>IF(Y33="","",IF($B$2="Todos",IF($B$4&gt;0,$B$4,IF($B$2="Todos",IF(COUNT($C$230:$L$230)=0,"",SUM($C$230:$L$230)),IFERROR(INDEX($C$230:$L$230,MATCH($D$2,$C$208:$L$208,0)),""))),IFERROR(INDEX($C$230:$L$230,MATCH($D$2,$C$208:$L$208,0)),"")))</f>
        <v/>
      </c>
      <c r="Y33" s="32" t="str">
        <f>IF($B$2="Todos",IF(COUNT($C$195:$L$195)=0,"",SUM($C$195:$L$195)),IFERROR(INDEX($C$195:$L$195,MATCH($D$2,$C$173:$L$173,0)),""))</f>
        <v/>
      </c>
      <c r="Z33" s="48" t="str">
        <f>IF(AND(ISNUMBER(Y33),ISNUMBER(X33)),IF(X33&gt;0,Y33/X33,""),"")</f>
        <v/>
      </c>
      <c r="AA33" s="32" t="str">
        <f>IF($B$2="Todos",IF(COUNT($C$265:$L$265)=0,"",SUM($C$265:$L$265)),IFERROR(INDEX($C$265:$L$265,MATCH($D$2,$C$243:$L$243,0)),""))</f>
        <v/>
      </c>
      <c r="AB33" s="32">
        <f>IF($B33="","",IF($B$2="Todos",SUMIFS(BD!$AA$3:$AA$5001,BD!$A$3:$A$5001,$B33),SUMIFS(BD!$AA$3:$AA$5001,BD!$A$3:$A$5001,$B33,BD!$B$3:$B$5001,$D$2)))</f>
        <v>0</v>
      </c>
      <c r="AC33" s="32">
        <f>IF($B33="","",IF($B$2="Todos",SUMIFS(BD!$AB$3:$AB$5001,BD!$A$3:$A$5001,$B33),SUMIFS(BD!$AB$3:$AB$5001,BD!$A$3:$A$5001,$B33,BD!$B$3:$B$5001,$D$2)))</f>
        <v>0</v>
      </c>
      <c r="AD33" s="32">
        <f>IF($B33="","",IF($B$2="Todos",SUMIFS(BD!$AC$3:$AC$5001,BD!$A$3:$A$5001,$B33),SUMIFS(BD!$AC$3:$AC$5001,BD!$A$3:$A$5001,$B33,BD!$B$3:$B$5001,$D$2)))</f>
        <v>0</v>
      </c>
      <c r="AE33" s="32">
        <f>IF($B33="","",IF($B$2="Todos",SUMIFS(BD!$AD$3:$AD$5001,BD!$A$3:$A$5001,$B33),SUMIFS(BD!$AD$3:$AD$5001,BD!$A$3:$A$5001,$B33,BD!$B$3:$B$5001,$D$2)))</f>
        <v>0</v>
      </c>
      <c r="AF33" s="32">
        <f>IF($B33="","",IF($B$2="Todos",SUMIFS(BD!$AE$3:$AE$5001,BD!$A$3:$A$5001,$B33),SUMIFS(BD!$AE$3:$AE$5001,BD!$A$3:$A$5001,$B33,BD!$B$3:$B$5001,$D$2)))</f>
        <v>0</v>
      </c>
      <c r="AG33" s="32">
        <f>IF($B33="","",IF($B$2="Todos",SUMIFS(BD!$AF$3:$AF$5001,BD!$A$3:$A$5001,$B33),SUMIFS(BD!$AF$3:$AF$5001,BD!$A$3:$A$5001,$B33,BD!$B$3:$B$5001,$D$2)))</f>
        <v>0</v>
      </c>
      <c r="AH33" s="32">
        <f>IF($B33="","",IF($B$2="Todos",SUMIFS(BD!$AG$3:$AG$5001,BD!$A$3:$A$5001,$B33),SUMIFS(BD!$AG$3:$AG$5001,BD!$A$3:$A$5001,$B33,BD!$B$3:$B$5001,$D$2)))</f>
        <v>0</v>
      </c>
      <c r="AI33" s="49">
        <f>$B$5</f>
        <v>0.7</v>
      </c>
      <c r="AJ33" s="49">
        <f>$B$6</f>
        <v>0.9</v>
      </c>
    </row>
    <row r="34">
      <c r="A34" s="28">
        <v>23</v>
      </c>
      <c r="B34" s="45">
        <f>IF($A34&lt;=DAY($D$7),$C$7+$A34-1,"")</f>
        <v>46318</v>
      </c>
      <c r="C34" s="32">
        <f>IF($B34="","",IF($B$2="Todos",SUMIFS(BD!$C$3:$C$5001,BD!$A$3:$A$5001,$B34),SUMIFS(BD!$C$3:$C$5001,BD!$A$3:$A$5001,$B34,BD!$B$3:$B$5001,$D$2)))</f>
        <v>0</v>
      </c>
      <c r="D34" s="32">
        <f>IF($B34="","",IF($B$2="Todos",SUMIFS(BD!$D$3:$D$5001,BD!$A$3:$A$5001,$B34),SUMIFS(BD!$D$3:$D$5001,BD!$A$3:$A$5001,$B34,BD!$B$3:$B$5001,$D$2)))</f>
        <v>0</v>
      </c>
      <c r="E34" s="46">
        <f>IF($B34="","",IF($B$2="Todos",SUMIFS(BD!$E$3:$E$5001,BD!$A$3:$A$5001,$B34),SUMIFS(BD!$E$3:$E$5001,BD!$A$3:$A$5001,$B34,BD!$B$3:$B$5001,$D$2)))</f>
        <v>0</v>
      </c>
      <c r="F34" s="32">
        <f>IF($B34="","",IF($B$2="Todos",SUMIFS(BD!$F$3:$F$5001,BD!$A$3:$A$5001,$B34),SUMIFS(BD!$F$3:$F$5001,BD!$A$3:$A$5001,$B34,BD!$B$3:$B$5001,$D$2)))</f>
        <v>0</v>
      </c>
      <c r="G34" s="32">
        <f>IF($B34="","",IF($B$2="Todos",SUMIFS(BD!$G$3:$G$5001,BD!$A$3:$A$5001,$B34),SUMIFS(BD!$G$3:$G$5001,BD!$A$3:$A$5001,$B34,BD!$B$3:$B$5001,$D$2)))</f>
        <v>0</v>
      </c>
      <c r="H34" s="32">
        <f>IF($B34="","",IF($B$2="Todos",SUMIFS(BD!$H$3:$H$5001,BD!$A$3:$A$5001,$B34),SUMIFS(BD!$H$3:$H$5001,BD!$A$3:$A$5001,$B34,BD!$B$3:$B$5001,$D$2)))</f>
        <v>0</v>
      </c>
      <c r="I34" s="32">
        <f>IF($B34="","",IF($B$2="Todos",SUMIFS(BD!$I$3:$I$5001,BD!$A$3:$A$5001,$B34),SUMIFS(BD!$I$3:$I$5001,BD!$A$3:$A$5001,$B34,BD!$B$3:$B$5001,$D$2)))</f>
        <v>0</v>
      </c>
      <c r="J34" s="32">
        <f>IF($B34="","",IF($B$2="Todos",SUMIFS(BD!$J$3:$J$5001,BD!$A$3:$A$5001,$B34),SUMIFS(BD!$J$3:$J$5001,BD!$A$3:$A$5001,$B34,BD!$B$3:$B$5001,$D$2)))</f>
        <v>0</v>
      </c>
      <c r="K34" s="32">
        <f>IF($B34="","",IF($B$2="Todos",SUMIFS(BD!$K$3:$K$5001,BD!$A$3:$A$5001,$B34),SUMIFS(BD!$K$3:$K$5001,BD!$A$3:$A$5001,$B34,BD!$B$3:$B$5001,$D$2)))</f>
        <v>0</v>
      </c>
      <c r="L34" s="32">
        <f>IF($B34="","",IF($B$2="Todos",SUMIFS(BD!$L$3:$L$5001,BD!$A$3:$A$5001,$B34),SUMIFS(BD!$L$3:$L$5001,BD!$A$3:$A$5001,$B34,BD!$B$3:$B$5001,$D$2)))</f>
        <v>0</v>
      </c>
      <c r="M34" s="32">
        <f>IF($B34="","",IF($B$2="Todos",SUMIFS(BD!$M$3:$M$5001,BD!$A$3:$A$5001,$B34),SUMIFS(BD!$M$3:$M$5001,BD!$A$3:$A$5001,$B34,BD!$B$3:$B$5001,$D$2)))</f>
        <v>0</v>
      </c>
      <c r="N34" s="32">
        <f>IF($B34="","",IF($B$2="Todos",SUMIFS(BD!$N$3:$N$5001,BD!$A$3:$A$5001,$B34),SUMIFS(BD!$N$3:$N$5001,BD!$A$3:$A$5001,$B34,BD!$B$3:$B$5001,$D$2)))</f>
        <v>0</v>
      </c>
      <c r="O34" s="32">
        <f>IF($B34="","",IF($B$2="Todos",SUMIFS(BD!$O$3:$O$5001,BD!$A$3:$A$5001,$B34),SUMIFS(BD!$O$3:$O$5001,BD!$A$3:$A$5001,$B34,BD!$B$3:$B$5001,$D$2)))</f>
        <v>0</v>
      </c>
      <c r="P34" s="32">
        <f>IF($B34="","",IF($B$2="Todos",SUMIFS(BD!$P$3:$P$5001,BD!$A$3:$A$5001,$B34),SUMIFS(BD!$P$3:$P$5001,BD!$A$3:$A$5001,$B34,BD!$B$3:$B$5001,$D$2)))</f>
        <v>0</v>
      </c>
      <c r="Q34" s="32">
        <f>IF($B34="","",IF($B$2="Todos",SUMIFS(BD!$Q$3:$Q$5001,BD!$A$3:$A$5001,$B34),SUMIFS(BD!$Q$3:$Q$5001,BD!$A$3:$A$5001,$B34,BD!$B$3:$B$5001,$D$2)))</f>
        <v>0</v>
      </c>
      <c r="R34" s="32">
        <f>IF($B34="","",IF($B$2="Todos",SUMIFS(BD!$R$3:$R$5001,BD!$A$3:$A$5001,$B34),SUMIFS(BD!$R$3:$R$5001,BD!$A$3:$A$5001,$B34,BD!$B$3:$B$5001,$D$2)))</f>
        <v>0</v>
      </c>
      <c r="S34" s="32">
        <f>IF($B34="","",IF($B$2="Todos",SUMIFS(BD!$S$3:$S$5001,BD!$A$3:$A$5001,$B34),SUMIFS(BD!$S$3:$S$5001,BD!$A$3:$A$5001,$B34,BD!$B$3:$B$5001,$D$2)))</f>
        <v>0</v>
      </c>
      <c r="T34" s="46">
        <f>IF($B34="","",IF($B$2="Todos",SUMIFS(BD!$T$3:$T$5001,BD!$A$3:$A$5001,$B34),SUMIFS(BD!$T$3:$T$5001,BD!$A$3:$A$5001,$B34,BD!$B$3:$B$5001,$D$2)))</f>
        <v>0</v>
      </c>
      <c r="U34" s="32">
        <f>IF($B34="","",IF($B$2="Todos",SUMIFS(BD!$U$3:$U$5001,BD!$A$3:$A$5001,$B34),SUMIFS(BD!$U$3:$U$5001,BD!$A$3:$A$5001,$B34,BD!$B$3:$B$5001,$D$2)))</f>
        <v>0</v>
      </c>
      <c r="V34" s="32">
        <f>IF($B34="","",IF($B$2="Todos",SUMIFS(BD!$V$3:$V$5001,BD!$A$3:$A$5001,$B34),SUMIFS(BD!$V$3:$V$5001,BD!$A$3:$A$5001,$B34,BD!$B$3:$B$5001,$D$2)))</f>
        <v>0</v>
      </c>
      <c r="W34" s="32" t="str">
        <f>IF($B$2="Todos",IF(COUNT($C$161:$L$161)=0,"",SUM($C$161:$L$161)),IFERROR(INDEX($C$161:$L$161,MATCH($D$2,$C$138:$L$138,0)),""))</f>
        <v/>
      </c>
      <c r="X34" s="47" t="str">
        <f>IF(Y34="","",IF($B$2="Todos",IF($B$4&gt;0,$B$4,IF($B$2="Todos",IF(COUNT($C$231:$L$231)=0,"",SUM($C$231:$L$231)),IFERROR(INDEX($C$231:$L$231,MATCH($D$2,$C$208:$L$208,0)),""))),IFERROR(INDEX($C$231:$L$231,MATCH($D$2,$C$208:$L$208,0)),"")))</f>
        <v/>
      </c>
      <c r="Y34" s="32" t="str">
        <f>IF($B$2="Todos",IF(COUNT($C$196:$L$196)=0,"",SUM($C$196:$L$196)),IFERROR(INDEX($C$196:$L$196,MATCH($D$2,$C$173:$L$173,0)),""))</f>
        <v/>
      </c>
      <c r="Z34" s="48" t="str">
        <f>IF(AND(ISNUMBER(Y34),ISNUMBER(X34)),IF(X34&gt;0,Y34/X34,""),"")</f>
        <v/>
      </c>
      <c r="AA34" s="32" t="str">
        <f>IF($B$2="Todos",IF(COUNT($C$266:$L$266)=0,"",SUM($C$266:$L$266)),IFERROR(INDEX($C$266:$L$266,MATCH($D$2,$C$243:$L$243,0)),""))</f>
        <v/>
      </c>
      <c r="AB34" s="32">
        <f>IF($B34="","",IF($B$2="Todos",SUMIFS(BD!$AA$3:$AA$5001,BD!$A$3:$A$5001,$B34),SUMIFS(BD!$AA$3:$AA$5001,BD!$A$3:$A$5001,$B34,BD!$B$3:$B$5001,$D$2)))</f>
        <v>0</v>
      </c>
      <c r="AC34" s="32">
        <f>IF($B34="","",IF($B$2="Todos",SUMIFS(BD!$AB$3:$AB$5001,BD!$A$3:$A$5001,$B34),SUMIFS(BD!$AB$3:$AB$5001,BD!$A$3:$A$5001,$B34,BD!$B$3:$B$5001,$D$2)))</f>
        <v>0</v>
      </c>
      <c r="AD34" s="32">
        <f>IF($B34="","",IF($B$2="Todos",SUMIFS(BD!$AC$3:$AC$5001,BD!$A$3:$A$5001,$B34),SUMIFS(BD!$AC$3:$AC$5001,BD!$A$3:$A$5001,$B34,BD!$B$3:$B$5001,$D$2)))</f>
        <v>0</v>
      </c>
      <c r="AE34" s="32">
        <f>IF($B34="","",IF($B$2="Todos",SUMIFS(BD!$AD$3:$AD$5001,BD!$A$3:$A$5001,$B34),SUMIFS(BD!$AD$3:$AD$5001,BD!$A$3:$A$5001,$B34,BD!$B$3:$B$5001,$D$2)))</f>
        <v>0</v>
      </c>
      <c r="AF34" s="32">
        <f>IF($B34="","",IF($B$2="Todos",SUMIFS(BD!$AE$3:$AE$5001,BD!$A$3:$A$5001,$B34),SUMIFS(BD!$AE$3:$AE$5001,BD!$A$3:$A$5001,$B34,BD!$B$3:$B$5001,$D$2)))</f>
        <v>0</v>
      </c>
      <c r="AG34" s="32">
        <f>IF($B34="","",IF($B$2="Todos",SUMIFS(BD!$AF$3:$AF$5001,BD!$A$3:$A$5001,$B34),SUMIFS(BD!$AF$3:$AF$5001,BD!$A$3:$A$5001,$B34,BD!$B$3:$B$5001,$D$2)))</f>
        <v>0</v>
      </c>
      <c r="AH34" s="32">
        <f>IF($B34="","",IF($B$2="Todos",SUMIFS(BD!$AG$3:$AG$5001,BD!$A$3:$A$5001,$B34),SUMIFS(BD!$AG$3:$AG$5001,BD!$A$3:$A$5001,$B34,BD!$B$3:$B$5001,$D$2)))</f>
        <v>0</v>
      </c>
      <c r="AI34" s="49">
        <f>$B$5</f>
        <v>0.7</v>
      </c>
      <c r="AJ34" s="49">
        <f>$B$6</f>
        <v>0.9</v>
      </c>
    </row>
    <row r="35">
      <c r="A35" s="28">
        <v>24</v>
      </c>
      <c r="B35" s="45">
        <f>IF($A35&lt;=DAY($D$7),$C$7+$A35-1,"")</f>
        <v>46319</v>
      </c>
      <c r="C35" s="32">
        <f>IF($B35="","",IF($B$2="Todos",SUMIFS(BD!$C$3:$C$5001,BD!$A$3:$A$5001,$B35),SUMIFS(BD!$C$3:$C$5001,BD!$A$3:$A$5001,$B35,BD!$B$3:$B$5001,$D$2)))</f>
        <v>0</v>
      </c>
      <c r="D35" s="32">
        <f>IF($B35="","",IF($B$2="Todos",SUMIFS(BD!$D$3:$D$5001,BD!$A$3:$A$5001,$B35),SUMIFS(BD!$D$3:$D$5001,BD!$A$3:$A$5001,$B35,BD!$B$3:$B$5001,$D$2)))</f>
        <v>0</v>
      </c>
      <c r="E35" s="46">
        <f>IF($B35="","",IF($B$2="Todos",SUMIFS(BD!$E$3:$E$5001,BD!$A$3:$A$5001,$B35),SUMIFS(BD!$E$3:$E$5001,BD!$A$3:$A$5001,$B35,BD!$B$3:$B$5001,$D$2)))</f>
        <v>0</v>
      </c>
      <c r="F35" s="32">
        <f>IF($B35="","",IF($B$2="Todos",SUMIFS(BD!$F$3:$F$5001,BD!$A$3:$A$5001,$B35),SUMIFS(BD!$F$3:$F$5001,BD!$A$3:$A$5001,$B35,BD!$B$3:$B$5001,$D$2)))</f>
        <v>0</v>
      </c>
      <c r="G35" s="32">
        <f>IF($B35="","",IF($B$2="Todos",SUMIFS(BD!$G$3:$G$5001,BD!$A$3:$A$5001,$B35),SUMIFS(BD!$G$3:$G$5001,BD!$A$3:$A$5001,$B35,BD!$B$3:$B$5001,$D$2)))</f>
        <v>0</v>
      </c>
      <c r="H35" s="32">
        <f>IF($B35="","",IF($B$2="Todos",SUMIFS(BD!$H$3:$H$5001,BD!$A$3:$A$5001,$B35),SUMIFS(BD!$H$3:$H$5001,BD!$A$3:$A$5001,$B35,BD!$B$3:$B$5001,$D$2)))</f>
        <v>0</v>
      </c>
      <c r="I35" s="32">
        <f>IF($B35="","",IF($B$2="Todos",SUMIFS(BD!$I$3:$I$5001,BD!$A$3:$A$5001,$B35),SUMIFS(BD!$I$3:$I$5001,BD!$A$3:$A$5001,$B35,BD!$B$3:$B$5001,$D$2)))</f>
        <v>0</v>
      </c>
      <c r="J35" s="32">
        <f>IF($B35="","",IF($B$2="Todos",SUMIFS(BD!$J$3:$J$5001,BD!$A$3:$A$5001,$B35),SUMIFS(BD!$J$3:$J$5001,BD!$A$3:$A$5001,$B35,BD!$B$3:$B$5001,$D$2)))</f>
        <v>0</v>
      </c>
      <c r="K35" s="32">
        <f>IF($B35="","",IF($B$2="Todos",SUMIFS(BD!$K$3:$K$5001,BD!$A$3:$A$5001,$B35),SUMIFS(BD!$K$3:$K$5001,BD!$A$3:$A$5001,$B35,BD!$B$3:$B$5001,$D$2)))</f>
        <v>0</v>
      </c>
      <c r="L35" s="32">
        <f>IF($B35="","",IF($B$2="Todos",SUMIFS(BD!$L$3:$L$5001,BD!$A$3:$A$5001,$B35),SUMIFS(BD!$L$3:$L$5001,BD!$A$3:$A$5001,$B35,BD!$B$3:$B$5001,$D$2)))</f>
        <v>0</v>
      </c>
      <c r="M35" s="32">
        <f>IF($B35="","",IF($B$2="Todos",SUMIFS(BD!$M$3:$M$5001,BD!$A$3:$A$5001,$B35),SUMIFS(BD!$M$3:$M$5001,BD!$A$3:$A$5001,$B35,BD!$B$3:$B$5001,$D$2)))</f>
        <v>0</v>
      </c>
      <c r="N35" s="32">
        <f>IF($B35="","",IF($B$2="Todos",SUMIFS(BD!$N$3:$N$5001,BD!$A$3:$A$5001,$B35),SUMIFS(BD!$N$3:$N$5001,BD!$A$3:$A$5001,$B35,BD!$B$3:$B$5001,$D$2)))</f>
        <v>0</v>
      </c>
      <c r="O35" s="32">
        <f>IF($B35="","",IF($B$2="Todos",SUMIFS(BD!$O$3:$O$5001,BD!$A$3:$A$5001,$B35),SUMIFS(BD!$O$3:$O$5001,BD!$A$3:$A$5001,$B35,BD!$B$3:$B$5001,$D$2)))</f>
        <v>0</v>
      </c>
      <c r="P35" s="32">
        <f>IF($B35="","",IF($B$2="Todos",SUMIFS(BD!$P$3:$P$5001,BD!$A$3:$A$5001,$B35),SUMIFS(BD!$P$3:$P$5001,BD!$A$3:$A$5001,$B35,BD!$B$3:$B$5001,$D$2)))</f>
        <v>0</v>
      </c>
      <c r="Q35" s="32">
        <f>IF($B35="","",IF($B$2="Todos",SUMIFS(BD!$Q$3:$Q$5001,BD!$A$3:$A$5001,$B35),SUMIFS(BD!$Q$3:$Q$5001,BD!$A$3:$A$5001,$B35,BD!$B$3:$B$5001,$D$2)))</f>
        <v>0</v>
      </c>
      <c r="R35" s="32">
        <f>IF($B35="","",IF($B$2="Todos",SUMIFS(BD!$R$3:$R$5001,BD!$A$3:$A$5001,$B35),SUMIFS(BD!$R$3:$R$5001,BD!$A$3:$A$5001,$B35,BD!$B$3:$B$5001,$D$2)))</f>
        <v>0</v>
      </c>
      <c r="S35" s="32">
        <f>IF($B35="","",IF($B$2="Todos",SUMIFS(BD!$S$3:$S$5001,BD!$A$3:$A$5001,$B35),SUMIFS(BD!$S$3:$S$5001,BD!$A$3:$A$5001,$B35,BD!$B$3:$B$5001,$D$2)))</f>
        <v>0</v>
      </c>
      <c r="T35" s="46">
        <f>IF($B35="","",IF($B$2="Todos",SUMIFS(BD!$T$3:$T$5001,BD!$A$3:$A$5001,$B35),SUMIFS(BD!$T$3:$T$5001,BD!$A$3:$A$5001,$B35,BD!$B$3:$B$5001,$D$2)))</f>
        <v>0</v>
      </c>
      <c r="U35" s="32">
        <f>IF($B35="","",IF($B$2="Todos",SUMIFS(BD!$U$3:$U$5001,BD!$A$3:$A$5001,$B35),SUMIFS(BD!$U$3:$U$5001,BD!$A$3:$A$5001,$B35,BD!$B$3:$B$5001,$D$2)))</f>
        <v>0</v>
      </c>
      <c r="V35" s="32">
        <f>IF($B35="","",IF($B$2="Todos",SUMIFS(BD!$V$3:$V$5001,BD!$A$3:$A$5001,$B35),SUMIFS(BD!$V$3:$V$5001,BD!$A$3:$A$5001,$B35,BD!$B$3:$B$5001,$D$2)))</f>
        <v>0</v>
      </c>
      <c r="W35" s="32" t="str">
        <f>IF($B$2="Todos",IF(COUNT($C$162:$L$162)=0,"",SUM($C$162:$L$162)),IFERROR(INDEX($C$162:$L$162,MATCH($D$2,$C$138:$L$138,0)),""))</f>
        <v/>
      </c>
      <c r="X35" s="47" t="str">
        <f>IF(Y35="","",IF($B$2="Todos",IF($B$4&gt;0,$B$4,IF($B$2="Todos",IF(COUNT($C$232:$L$232)=0,"",SUM($C$232:$L$232)),IFERROR(INDEX($C$232:$L$232,MATCH($D$2,$C$208:$L$208,0)),""))),IFERROR(INDEX($C$232:$L$232,MATCH($D$2,$C$208:$L$208,0)),"")))</f>
        <v/>
      </c>
      <c r="Y35" s="32" t="str">
        <f>IF($B$2="Todos",IF(COUNT($C$197:$L$197)=0,"",SUM($C$197:$L$197)),IFERROR(INDEX($C$197:$L$197,MATCH($D$2,$C$173:$L$173,0)),""))</f>
        <v/>
      </c>
      <c r="Z35" s="48" t="str">
        <f>IF(AND(ISNUMBER(Y35),ISNUMBER(X35)),IF(X35&gt;0,Y35/X35,""),"")</f>
        <v/>
      </c>
      <c r="AA35" s="32" t="str">
        <f>IF($B$2="Todos",IF(COUNT($C$267:$L$267)=0,"",SUM($C$267:$L$267)),IFERROR(INDEX($C$267:$L$267,MATCH($D$2,$C$243:$L$243,0)),""))</f>
        <v/>
      </c>
      <c r="AB35" s="32">
        <f>IF($B35="","",IF($B$2="Todos",SUMIFS(BD!$AA$3:$AA$5001,BD!$A$3:$A$5001,$B35),SUMIFS(BD!$AA$3:$AA$5001,BD!$A$3:$A$5001,$B35,BD!$B$3:$B$5001,$D$2)))</f>
        <v>0</v>
      </c>
      <c r="AC35" s="32">
        <f>IF($B35="","",IF($B$2="Todos",SUMIFS(BD!$AB$3:$AB$5001,BD!$A$3:$A$5001,$B35),SUMIFS(BD!$AB$3:$AB$5001,BD!$A$3:$A$5001,$B35,BD!$B$3:$B$5001,$D$2)))</f>
        <v>0</v>
      </c>
      <c r="AD35" s="32">
        <f>IF($B35="","",IF($B$2="Todos",SUMIFS(BD!$AC$3:$AC$5001,BD!$A$3:$A$5001,$B35),SUMIFS(BD!$AC$3:$AC$5001,BD!$A$3:$A$5001,$B35,BD!$B$3:$B$5001,$D$2)))</f>
        <v>0</v>
      </c>
      <c r="AE35" s="32">
        <f>IF($B35="","",IF($B$2="Todos",SUMIFS(BD!$AD$3:$AD$5001,BD!$A$3:$A$5001,$B35),SUMIFS(BD!$AD$3:$AD$5001,BD!$A$3:$A$5001,$B35,BD!$B$3:$B$5001,$D$2)))</f>
        <v>0</v>
      </c>
      <c r="AF35" s="32">
        <f>IF($B35="","",IF($B$2="Todos",SUMIFS(BD!$AE$3:$AE$5001,BD!$A$3:$A$5001,$B35),SUMIFS(BD!$AE$3:$AE$5001,BD!$A$3:$A$5001,$B35,BD!$B$3:$B$5001,$D$2)))</f>
        <v>0</v>
      </c>
      <c r="AG35" s="32">
        <f>IF($B35="","",IF($B$2="Todos",SUMIFS(BD!$AF$3:$AF$5001,BD!$A$3:$A$5001,$B35),SUMIFS(BD!$AF$3:$AF$5001,BD!$A$3:$A$5001,$B35,BD!$B$3:$B$5001,$D$2)))</f>
        <v>0</v>
      </c>
      <c r="AH35" s="32">
        <f>IF($B35="","",IF($B$2="Todos",SUMIFS(BD!$AG$3:$AG$5001,BD!$A$3:$A$5001,$B35),SUMIFS(BD!$AG$3:$AG$5001,BD!$A$3:$A$5001,$B35,BD!$B$3:$B$5001,$D$2)))</f>
        <v>0</v>
      </c>
      <c r="AI35" s="49">
        <f>$B$5</f>
        <v>0.7</v>
      </c>
      <c r="AJ35" s="49">
        <f>$B$6</f>
        <v>0.9</v>
      </c>
    </row>
    <row r="36">
      <c r="A36" s="28">
        <v>25</v>
      </c>
      <c r="B36" s="45">
        <f>IF($A36&lt;=DAY($D$7),$C$7+$A36-1,"")</f>
        <v>46320</v>
      </c>
      <c r="C36" s="32">
        <f>IF($B36="","",IF($B$2="Todos",SUMIFS(BD!$C$3:$C$5001,BD!$A$3:$A$5001,$B36),SUMIFS(BD!$C$3:$C$5001,BD!$A$3:$A$5001,$B36,BD!$B$3:$B$5001,$D$2)))</f>
        <v>0</v>
      </c>
      <c r="D36" s="32">
        <f>IF($B36="","",IF($B$2="Todos",SUMIFS(BD!$D$3:$D$5001,BD!$A$3:$A$5001,$B36),SUMIFS(BD!$D$3:$D$5001,BD!$A$3:$A$5001,$B36,BD!$B$3:$B$5001,$D$2)))</f>
        <v>0</v>
      </c>
      <c r="E36" s="46">
        <f>IF($B36="","",IF($B$2="Todos",SUMIFS(BD!$E$3:$E$5001,BD!$A$3:$A$5001,$B36),SUMIFS(BD!$E$3:$E$5001,BD!$A$3:$A$5001,$B36,BD!$B$3:$B$5001,$D$2)))</f>
        <v>0</v>
      </c>
      <c r="F36" s="32">
        <f>IF($B36="","",IF($B$2="Todos",SUMIFS(BD!$F$3:$F$5001,BD!$A$3:$A$5001,$B36),SUMIFS(BD!$F$3:$F$5001,BD!$A$3:$A$5001,$B36,BD!$B$3:$B$5001,$D$2)))</f>
        <v>0</v>
      </c>
      <c r="G36" s="32">
        <f>IF($B36="","",IF($B$2="Todos",SUMIFS(BD!$G$3:$G$5001,BD!$A$3:$A$5001,$B36),SUMIFS(BD!$G$3:$G$5001,BD!$A$3:$A$5001,$B36,BD!$B$3:$B$5001,$D$2)))</f>
        <v>0</v>
      </c>
      <c r="H36" s="32">
        <f>IF($B36="","",IF($B$2="Todos",SUMIFS(BD!$H$3:$H$5001,BD!$A$3:$A$5001,$B36),SUMIFS(BD!$H$3:$H$5001,BD!$A$3:$A$5001,$B36,BD!$B$3:$B$5001,$D$2)))</f>
        <v>0</v>
      </c>
      <c r="I36" s="32">
        <f>IF($B36="","",IF($B$2="Todos",SUMIFS(BD!$I$3:$I$5001,BD!$A$3:$A$5001,$B36),SUMIFS(BD!$I$3:$I$5001,BD!$A$3:$A$5001,$B36,BD!$B$3:$B$5001,$D$2)))</f>
        <v>0</v>
      </c>
      <c r="J36" s="32">
        <f>IF($B36="","",IF($B$2="Todos",SUMIFS(BD!$J$3:$J$5001,BD!$A$3:$A$5001,$B36),SUMIFS(BD!$J$3:$J$5001,BD!$A$3:$A$5001,$B36,BD!$B$3:$B$5001,$D$2)))</f>
        <v>0</v>
      </c>
      <c r="K36" s="32">
        <f>IF($B36="","",IF($B$2="Todos",SUMIFS(BD!$K$3:$K$5001,BD!$A$3:$A$5001,$B36),SUMIFS(BD!$K$3:$K$5001,BD!$A$3:$A$5001,$B36,BD!$B$3:$B$5001,$D$2)))</f>
        <v>0</v>
      </c>
      <c r="L36" s="32">
        <f>IF($B36="","",IF($B$2="Todos",SUMIFS(BD!$L$3:$L$5001,BD!$A$3:$A$5001,$B36),SUMIFS(BD!$L$3:$L$5001,BD!$A$3:$A$5001,$B36,BD!$B$3:$B$5001,$D$2)))</f>
        <v>0</v>
      </c>
      <c r="M36" s="32">
        <f>IF($B36="","",IF($B$2="Todos",SUMIFS(BD!$M$3:$M$5001,BD!$A$3:$A$5001,$B36),SUMIFS(BD!$M$3:$M$5001,BD!$A$3:$A$5001,$B36,BD!$B$3:$B$5001,$D$2)))</f>
        <v>0</v>
      </c>
      <c r="N36" s="32">
        <f>IF($B36="","",IF($B$2="Todos",SUMIFS(BD!$N$3:$N$5001,BD!$A$3:$A$5001,$B36),SUMIFS(BD!$N$3:$N$5001,BD!$A$3:$A$5001,$B36,BD!$B$3:$B$5001,$D$2)))</f>
        <v>0</v>
      </c>
      <c r="O36" s="32">
        <f>IF($B36="","",IF($B$2="Todos",SUMIFS(BD!$O$3:$O$5001,BD!$A$3:$A$5001,$B36),SUMIFS(BD!$O$3:$O$5001,BD!$A$3:$A$5001,$B36,BD!$B$3:$B$5001,$D$2)))</f>
        <v>0</v>
      </c>
      <c r="P36" s="32">
        <f>IF($B36="","",IF($B$2="Todos",SUMIFS(BD!$P$3:$P$5001,BD!$A$3:$A$5001,$B36),SUMIFS(BD!$P$3:$P$5001,BD!$A$3:$A$5001,$B36,BD!$B$3:$B$5001,$D$2)))</f>
        <v>0</v>
      </c>
      <c r="Q36" s="32">
        <f>IF($B36="","",IF($B$2="Todos",SUMIFS(BD!$Q$3:$Q$5001,BD!$A$3:$A$5001,$B36),SUMIFS(BD!$Q$3:$Q$5001,BD!$A$3:$A$5001,$B36,BD!$B$3:$B$5001,$D$2)))</f>
        <v>0</v>
      </c>
      <c r="R36" s="32">
        <f>IF($B36="","",IF($B$2="Todos",SUMIFS(BD!$R$3:$R$5001,BD!$A$3:$A$5001,$B36),SUMIFS(BD!$R$3:$R$5001,BD!$A$3:$A$5001,$B36,BD!$B$3:$B$5001,$D$2)))</f>
        <v>0</v>
      </c>
      <c r="S36" s="32">
        <f>IF($B36="","",IF($B$2="Todos",SUMIFS(BD!$S$3:$S$5001,BD!$A$3:$A$5001,$B36),SUMIFS(BD!$S$3:$S$5001,BD!$A$3:$A$5001,$B36,BD!$B$3:$B$5001,$D$2)))</f>
        <v>0</v>
      </c>
      <c r="T36" s="46">
        <f>IF($B36="","",IF($B$2="Todos",SUMIFS(BD!$T$3:$T$5001,BD!$A$3:$A$5001,$B36),SUMIFS(BD!$T$3:$T$5001,BD!$A$3:$A$5001,$B36,BD!$B$3:$B$5001,$D$2)))</f>
        <v>0</v>
      </c>
      <c r="U36" s="32">
        <f>IF($B36="","",IF($B$2="Todos",SUMIFS(BD!$U$3:$U$5001,BD!$A$3:$A$5001,$B36),SUMIFS(BD!$U$3:$U$5001,BD!$A$3:$A$5001,$B36,BD!$B$3:$B$5001,$D$2)))</f>
        <v>0</v>
      </c>
      <c r="V36" s="32">
        <f>IF($B36="","",IF($B$2="Todos",SUMIFS(BD!$V$3:$V$5001,BD!$A$3:$A$5001,$B36),SUMIFS(BD!$V$3:$V$5001,BD!$A$3:$A$5001,$B36,BD!$B$3:$B$5001,$D$2)))</f>
        <v>0</v>
      </c>
      <c r="W36" s="32" t="str">
        <f>IF($B$2="Todos",IF(COUNT($C$163:$L$163)=0,"",SUM($C$163:$L$163)),IFERROR(INDEX($C$163:$L$163,MATCH($D$2,$C$138:$L$138,0)),""))</f>
        <v/>
      </c>
      <c r="X36" s="47" t="str">
        <f>IF(Y36="","",IF($B$2="Todos",IF($B$4&gt;0,$B$4,IF($B$2="Todos",IF(COUNT($C$233:$L$233)=0,"",SUM($C$233:$L$233)),IFERROR(INDEX($C$233:$L$233,MATCH($D$2,$C$208:$L$208,0)),""))),IFERROR(INDEX($C$233:$L$233,MATCH($D$2,$C$208:$L$208,0)),"")))</f>
        <v/>
      </c>
      <c r="Y36" s="32" t="str">
        <f>IF($B$2="Todos",IF(COUNT($C$198:$L$198)=0,"",SUM($C$198:$L$198)),IFERROR(INDEX($C$198:$L$198,MATCH($D$2,$C$173:$L$173,0)),""))</f>
        <v/>
      </c>
      <c r="Z36" s="48" t="str">
        <f>IF(AND(ISNUMBER(Y36),ISNUMBER(X36)),IF(X36&gt;0,Y36/X36,""),"")</f>
        <v/>
      </c>
      <c r="AA36" s="32" t="str">
        <f>IF($B$2="Todos",IF(COUNT($C$268:$L$268)=0,"",SUM($C$268:$L$268)),IFERROR(INDEX($C$268:$L$268,MATCH($D$2,$C$243:$L$243,0)),""))</f>
        <v/>
      </c>
      <c r="AB36" s="32">
        <f>IF($B36="","",IF($B$2="Todos",SUMIFS(BD!$AA$3:$AA$5001,BD!$A$3:$A$5001,$B36),SUMIFS(BD!$AA$3:$AA$5001,BD!$A$3:$A$5001,$B36,BD!$B$3:$B$5001,$D$2)))</f>
        <v>0</v>
      </c>
      <c r="AC36" s="32">
        <f>IF($B36="","",IF($B$2="Todos",SUMIFS(BD!$AB$3:$AB$5001,BD!$A$3:$A$5001,$B36),SUMIFS(BD!$AB$3:$AB$5001,BD!$A$3:$A$5001,$B36,BD!$B$3:$B$5001,$D$2)))</f>
        <v>0</v>
      </c>
      <c r="AD36" s="32">
        <f>IF($B36="","",IF($B$2="Todos",SUMIFS(BD!$AC$3:$AC$5001,BD!$A$3:$A$5001,$B36),SUMIFS(BD!$AC$3:$AC$5001,BD!$A$3:$A$5001,$B36,BD!$B$3:$B$5001,$D$2)))</f>
        <v>0</v>
      </c>
      <c r="AE36" s="32">
        <f>IF($B36="","",IF($B$2="Todos",SUMIFS(BD!$AD$3:$AD$5001,BD!$A$3:$A$5001,$B36),SUMIFS(BD!$AD$3:$AD$5001,BD!$A$3:$A$5001,$B36,BD!$B$3:$B$5001,$D$2)))</f>
        <v>0</v>
      </c>
      <c r="AF36" s="32">
        <f>IF($B36="","",IF($B$2="Todos",SUMIFS(BD!$AE$3:$AE$5001,BD!$A$3:$A$5001,$B36),SUMIFS(BD!$AE$3:$AE$5001,BD!$A$3:$A$5001,$B36,BD!$B$3:$B$5001,$D$2)))</f>
        <v>0</v>
      </c>
      <c r="AG36" s="32">
        <f>IF($B36="","",IF($B$2="Todos",SUMIFS(BD!$AF$3:$AF$5001,BD!$A$3:$A$5001,$B36),SUMIFS(BD!$AF$3:$AF$5001,BD!$A$3:$A$5001,$B36,BD!$B$3:$B$5001,$D$2)))</f>
        <v>0</v>
      </c>
      <c r="AH36" s="32">
        <f>IF($B36="","",IF($B$2="Todos",SUMIFS(BD!$AG$3:$AG$5001,BD!$A$3:$A$5001,$B36),SUMIFS(BD!$AG$3:$AG$5001,BD!$A$3:$A$5001,$B36,BD!$B$3:$B$5001,$D$2)))</f>
        <v>0</v>
      </c>
      <c r="AI36" s="49">
        <f>$B$5</f>
        <v>0.7</v>
      </c>
      <c r="AJ36" s="49">
        <f>$B$6</f>
        <v>0.9</v>
      </c>
    </row>
    <row r="37">
      <c r="A37" s="28">
        <v>26</v>
      </c>
      <c r="B37" s="45">
        <f>IF($A37&lt;=DAY($D$7),$C$7+$A37-1,"")</f>
        <v>46321</v>
      </c>
      <c r="C37" s="32">
        <f>IF($B37="","",IF($B$2="Todos",SUMIFS(BD!$C$3:$C$5001,BD!$A$3:$A$5001,$B37),SUMIFS(BD!$C$3:$C$5001,BD!$A$3:$A$5001,$B37,BD!$B$3:$B$5001,$D$2)))</f>
        <v>0</v>
      </c>
      <c r="D37" s="32">
        <f>IF($B37="","",IF($B$2="Todos",SUMIFS(BD!$D$3:$D$5001,BD!$A$3:$A$5001,$B37),SUMIFS(BD!$D$3:$D$5001,BD!$A$3:$A$5001,$B37,BD!$B$3:$B$5001,$D$2)))</f>
        <v>0</v>
      </c>
      <c r="E37" s="46">
        <f>IF($B37="","",IF($B$2="Todos",SUMIFS(BD!$E$3:$E$5001,BD!$A$3:$A$5001,$B37),SUMIFS(BD!$E$3:$E$5001,BD!$A$3:$A$5001,$B37,BD!$B$3:$B$5001,$D$2)))</f>
        <v>0</v>
      </c>
      <c r="F37" s="32">
        <f>IF($B37="","",IF($B$2="Todos",SUMIFS(BD!$F$3:$F$5001,BD!$A$3:$A$5001,$B37),SUMIFS(BD!$F$3:$F$5001,BD!$A$3:$A$5001,$B37,BD!$B$3:$B$5001,$D$2)))</f>
        <v>0</v>
      </c>
      <c r="G37" s="32">
        <f>IF($B37="","",IF($B$2="Todos",SUMIFS(BD!$G$3:$G$5001,BD!$A$3:$A$5001,$B37),SUMIFS(BD!$G$3:$G$5001,BD!$A$3:$A$5001,$B37,BD!$B$3:$B$5001,$D$2)))</f>
        <v>0</v>
      </c>
      <c r="H37" s="32">
        <f>IF($B37="","",IF($B$2="Todos",SUMIFS(BD!$H$3:$H$5001,BD!$A$3:$A$5001,$B37),SUMIFS(BD!$H$3:$H$5001,BD!$A$3:$A$5001,$B37,BD!$B$3:$B$5001,$D$2)))</f>
        <v>0</v>
      </c>
      <c r="I37" s="32">
        <f>IF($B37="","",IF($B$2="Todos",SUMIFS(BD!$I$3:$I$5001,BD!$A$3:$A$5001,$B37),SUMIFS(BD!$I$3:$I$5001,BD!$A$3:$A$5001,$B37,BD!$B$3:$B$5001,$D$2)))</f>
        <v>0</v>
      </c>
      <c r="J37" s="32">
        <f>IF($B37="","",IF($B$2="Todos",SUMIFS(BD!$J$3:$J$5001,BD!$A$3:$A$5001,$B37),SUMIFS(BD!$J$3:$J$5001,BD!$A$3:$A$5001,$B37,BD!$B$3:$B$5001,$D$2)))</f>
        <v>0</v>
      </c>
      <c r="K37" s="32">
        <f>IF($B37="","",IF($B$2="Todos",SUMIFS(BD!$K$3:$K$5001,BD!$A$3:$A$5001,$B37),SUMIFS(BD!$K$3:$K$5001,BD!$A$3:$A$5001,$B37,BD!$B$3:$B$5001,$D$2)))</f>
        <v>0</v>
      </c>
      <c r="L37" s="32">
        <f>IF($B37="","",IF($B$2="Todos",SUMIFS(BD!$L$3:$L$5001,BD!$A$3:$A$5001,$B37),SUMIFS(BD!$L$3:$L$5001,BD!$A$3:$A$5001,$B37,BD!$B$3:$B$5001,$D$2)))</f>
        <v>0</v>
      </c>
      <c r="M37" s="32">
        <f>IF($B37="","",IF($B$2="Todos",SUMIFS(BD!$M$3:$M$5001,BD!$A$3:$A$5001,$B37),SUMIFS(BD!$M$3:$M$5001,BD!$A$3:$A$5001,$B37,BD!$B$3:$B$5001,$D$2)))</f>
        <v>0</v>
      </c>
      <c r="N37" s="32">
        <f>IF($B37="","",IF($B$2="Todos",SUMIFS(BD!$N$3:$N$5001,BD!$A$3:$A$5001,$B37),SUMIFS(BD!$N$3:$N$5001,BD!$A$3:$A$5001,$B37,BD!$B$3:$B$5001,$D$2)))</f>
        <v>0</v>
      </c>
      <c r="O37" s="32">
        <f>IF($B37="","",IF($B$2="Todos",SUMIFS(BD!$O$3:$O$5001,BD!$A$3:$A$5001,$B37),SUMIFS(BD!$O$3:$O$5001,BD!$A$3:$A$5001,$B37,BD!$B$3:$B$5001,$D$2)))</f>
        <v>0</v>
      </c>
      <c r="P37" s="32">
        <f>IF($B37="","",IF($B$2="Todos",SUMIFS(BD!$P$3:$P$5001,BD!$A$3:$A$5001,$B37),SUMIFS(BD!$P$3:$P$5001,BD!$A$3:$A$5001,$B37,BD!$B$3:$B$5001,$D$2)))</f>
        <v>0</v>
      </c>
      <c r="Q37" s="32">
        <f>IF($B37="","",IF($B$2="Todos",SUMIFS(BD!$Q$3:$Q$5001,BD!$A$3:$A$5001,$B37),SUMIFS(BD!$Q$3:$Q$5001,BD!$A$3:$A$5001,$B37,BD!$B$3:$B$5001,$D$2)))</f>
        <v>0</v>
      </c>
      <c r="R37" s="32">
        <f>IF($B37="","",IF($B$2="Todos",SUMIFS(BD!$R$3:$R$5001,BD!$A$3:$A$5001,$B37),SUMIFS(BD!$R$3:$R$5001,BD!$A$3:$A$5001,$B37,BD!$B$3:$B$5001,$D$2)))</f>
        <v>0</v>
      </c>
      <c r="S37" s="32">
        <f>IF($B37="","",IF($B$2="Todos",SUMIFS(BD!$S$3:$S$5001,BD!$A$3:$A$5001,$B37),SUMIFS(BD!$S$3:$S$5001,BD!$A$3:$A$5001,$B37,BD!$B$3:$B$5001,$D$2)))</f>
        <v>0</v>
      </c>
      <c r="T37" s="46">
        <f>IF($B37="","",IF($B$2="Todos",SUMIFS(BD!$T$3:$T$5001,BD!$A$3:$A$5001,$B37),SUMIFS(BD!$T$3:$T$5001,BD!$A$3:$A$5001,$B37,BD!$B$3:$B$5001,$D$2)))</f>
        <v>0</v>
      </c>
      <c r="U37" s="32">
        <f>IF($B37="","",IF($B$2="Todos",SUMIFS(BD!$U$3:$U$5001,BD!$A$3:$A$5001,$B37),SUMIFS(BD!$U$3:$U$5001,BD!$A$3:$A$5001,$B37,BD!$B$3:$B$5001,$D$2)))</f>
        <v>0</v>
      </c>
      <c r="V37" s="32">
        <f>IF($B37="","",IF($B$2="Todos",SUMIFS(BD!$V$3:$V$5001,BD!$A$3:$A$5001,$B37),SUMIFS(BD!$V$3:$V$5001,BD!$A$3:$A$5001,$B37,BD!$B$3:$B$5001,$D$2)))</f>
        <v>0</v>
      </c>
      <c r="W37" s="32" t="str">
        <f>IF($B$2="Todos",IF(COUNT($C$164:$L$164)=0,"",SUM($C$164:$L$164)),IFERROR(INDEX($C$164:$L$164,MATCH($D$2,$C$138:$L$138,0)),""))</f>
        <v/>
      </c>
      <c r="X37" s="47" t="str">
        <f>IF(Y37="","",IF($B$2="Todos",IF($B$4&gt;0,$B$4,IF($B$2="Todos",IF(COUNT($C$234:$L$234)=0,"",SUM($C$234:$L$234)),IFERROR(INDEX($C$234:$L$234,MATCH($D$2,$C$208:$L$208,0)),""))),IFERROR(INDEX($C$234:$L$234,MATCH($D$2,$C$208:$L$208,0)),"")))</f>
        <v/>
      </c>
      <c r="Y37" s="32" t="str">
        <f>IF($B$2="Todos",IF(COUNT($C$199:$L$199)=0,"",SUM($C$199:$L$199)),IFERROR(INDEX($C$199:$L$199,MATCH($D$2,$C$173:$L$173,0)),""))</f>
        <v/>
      </c>
      <c r="Z37" s="48" t="str">
        <f>IF(AND(ISNUMBER(Y37),ISNUMBER(X37)),IF(X37&gt;0,Y37/X37,""),"")</f>
        <v/>
      </c>
      <c r="AA37" s="32" t="str">
        <f>IF($B$2="Todos",IF(COUNT($C$269:$L$269)=0,"",SUM($C$269:$L$269)),IFERROR(INDEX($C$269:$L$269,MATCH($D$2,$C$243:$L$243,0)),""))</f>
        <v/>
      </c>
      <c r="AB37" s="32">
        <f>IF($B37="","",IF($B$2="Todos",SUMIFS(BD!$AA$3:$AA$5001,BD!$A$3:$A$5001,$B37),SUMIFS(BD!$AA$3:$AA$5001,BD!$A$3:$A$5001,$B37,BD!$B$3:$B$5001,$D$2)))</f>
        <v>0</v>
      </c>
      <c r="AC37" s="32">
        <f>IF($B37="","",IF($B$2="Todos",SUMIFS(BD!$AB$3:$AB$5001,BD!$A$3:$A$5001,$B37),SUMIFS(BD!$AB$3:$AB$5001,BD!$A$3:$A$5001,$B37,BD!$B$3:$B$5001,$D$2)))</f>
        <v>0</v>
      </c>
      <c r="AD37" s="32">
        <f>IF($B37="","",IF($B$2="Todos",SUMIFS(BD!$AC$3:$AC$5001,BD!$A$3:$A$5001,$B37),SUMIFS(BD!$AC$3:$AC$5001,BD!$A$3:$A$5001,$B37,BD!$B$3:$B$5001,$D$2)))</f>
        <v>0</v>
      </c>
      <c r="AE37" s="32">
        <f>IF($B37="","",IF($B$2="Todos",SUMIFS(BD!$AD$3:$AD$5001,BD!$A$3:$A$5001,$B37),SUMIFS(BD!$AD$3:$AD$5001,BD!$A$3:$A$5001,$B37,BD!$B$3:$B$5001,$D$2)))</f>
        <v>0</v>
      </c>
      <c r="AF37" s="32">
        <f>IF($B37="","",IF($B$2="Todos",SUMIFS(BD!$AE$3:$AE$5001,BD!$A$3:$A$5001,$B37),SUMIFS(BD!$AE$3:$AE$5001,BD!$A$3:$A$5001,$B37,BD!$B$3:$B$5001,$D$2)))</f>
        <v>0</v>
      </c>
      <c r="AG37" s="32">
        <f>IF($B37="","",IF($B$2="Todos",SUMIFS(BD!$AF$3:$AF$5001,BD!$A$3:$A$5001,$B37),SUMIFS(BD!$AF$3:$AF$5001,BD!$A$3:$A$5001,$B37,BD!$B$3:$B$5001,$D$2)))</f>
        <v>0</v>
      </c>
      <c r="AH37" s="32">
        <f>IF($B37="","",IF($B$2="Todos",SUMIFS(BD!$AG$3:$AG$5001,BD!$A$3:$A$5001,$B37),SUMIFS(BD!$AG$3:$AG$5001,BD!$A$3:$A$5001,$B37,BD!$B$3:$B$5001,$D$2)))</f>
        <v>0</v>
      </c>
      <c r="AI37" s="49">
        <f>$B$5</f>
        <v>0.7</v>
      </c>
      <c r="AJ37" s="49">
        <f>$B$6</f>
        <v>0.9</v>
      </c>
    </row>
    <row r="38">
      <c r="A38" s="28">
        <v>27</v>
      </c>
      <c r="B38" s="45">
        <f>IF($A38&lt;=DAY($D$7),$C$7+$A38-1,"")</f>
        <v>46322</v>
      </c>
      <c r="C38" s="32">
        <f>IF($B38="","",IF($B$2="Todos",SUMIFS(BD!$C$3:$C$5001,BD!$A$3:$A$5001,$B38),SUMIFS(BD!$C$3:$C$5001,BD!$A$3:$A$5001,$B38,BD!$B$3:$B$5001,$D$2)))</f>
        <v>0</v>
      </c>
      <c r="D38" s="32">
        <f>IF($B38="","",IF($B$2="Todos",SUMIFS(BD!$D$3:$D$5001,BD!$A$3:$A$5001,$B38),SUMIFS(BD!$D$3:$D$5001,BD!$A$3:$A$5001,$B38,BD!$B$3:$B$5001,$D$2)))</f>
        <v>0</v>
      </c>
      <c r="E38" s="46">
        <f>IF($B38="","",IF($B$2="Todos",SUMIFS(BD!$E$3:$E$5001,BD!$A$3:$A$5001,$B38),SUMIFS(BD!$E$3:$E$5001,BD!$A$3:$A$5001,$B38,BD!$B$3:$B$5001,$D$2)))</f>
        <v>0</v>
      </c>
      <c r="F38" s="32">
        <f>IF($B38="","",IF($B$2="Todos",SUMIFS(BD!$F$3:$F$5001,BD!$A$3:$A$5001,$B38),SUMIFS(BD!$F$3:$F$5001,BD!$A$3:$A$5001,$B38,BD!$B$3:$B$5001,$D$2)))</f>
        <v>0</v>
      </c>
      <c r="G38" s="32">
        <f>IF($B38="","",IF($B$2="Todos",SUMIFS(BD!$G$3:$G$5001,BD!$A$3:$A$5001,$B38),SUMIFS(BD!$G$3:$G$5001,BD!$A$3:$A$5001,$B38,BD!$B$3:$B$5001,$D$2)))</f>
        <v>0</v>
      </c>
      <c r="H38" s="32">
        <f>IF($B38="","",IF($B$2="Todos",SUMIFS(BD!$H$3:$H$5001,BD!$A$3:$A$5001,$B38),SUMIFS(BD!$H$3:$H$5001,BD!$A$3:$A$5001,$B38,BD!$B$3:$B$5001,$D$2)))</f>
        <v>0</v>
      </c>
      <c r="I38" s="32">
        <f>IF($B38="","",IF($B$2="Todos",SUMIFS(BD!$I$3:$I$5001,BD!$A$3:$A$5001,$B38),SUMIFS(BD!$I$3:$I$5001,BD!$A$3:$A$5001,$B38,BD!$B$3:$B$5001,$D$2)))</f>
        <v>0</v>
      </c>
      <c r="J38" s="32">
        <f>IF($B38="","",IF($B$2="Todos",SUMIFS(BD!$J$3:$J$5001,BD!$A$3:$A$5001,$B38),SUMIFS(BD!$J$3:$J$5001,BD!$A$3:$A$5001,$B38,BD!$B$3:$B$5001,$D$2)))</f>
        <v>0</v>
      </c>
      <c r="K38" s="32">
        <f>IF($B38="","",IF($B$2="Todos",SUMIFS(BD!$K$3:$K$5001,BD!$A$3:$A$5001,$B38),SUMIFS(BD!$K$3:$K$5001,BD!$A$3:$A$5001,$B38,BD!$B$3:$B$5001,$D$2)))</f>
        <v>0</v>
      </c>
      <c r="L38" s="32">
        <f>IF($B38="","",IF($B$2="Todos",SUMIFS(BD!$L$3:$L$5001,BD!$A$3:$A$5001,$B38),SUMIFS(BD!$L$3:$L$5001,BD!$A$3:$A$5001,$B38,BD!$B$3:$B$5001,$D$2)))</f>
        <v>0</v>
      </c>
      <c r="M38" s="32">
        <f>IF($B38="","",IF($B$2="Todos",SUMIFS(BD!$M$3:$M$5001,BD!$A$3:$A$5001,$B38),SUMIFS(BD!$M$3:$M$5001,BD!$A$3:$A$5001,$B38,BD!$B$3:$B$5001,$D$2)))</f>
        <v>0</v>
      </c>
      <c r="N38" s="32">
        <f>IF($B38="","",IF($B$2="Todos",SUMIFS(BD!$N$3:$N$5001,BD!$A$3:$A$5001,$B38),SUMIFS(BD!$N$3:$N$5001,BD!$A$3:$A$5001,$B38,BD!$B$3:$B$5001,$D$2)))</f>
        <v>0</v>
      </c>
      <c r="O38" s="32">
        <f>IF($B38="","",IF($B$2="Todos",SUMIFS(BD!$O$3:$O$5001,BD!$A$3:$A$5001,$B38),SUMIFS(BD!$O$3:$O$5001,BD!$A$3:$A$5001,$B38,BD!$B$3:$B$5001,$D$2)))</f>
        <v>0</v>
      </c>
      <c r="P38" s="32">
        <f>IF($B38="","",IF($B$2="Todos",SUMIFS(BD!$P$3:$P$5001,BD!$A$3:$A$5001,$B38),SUMIFS(BD!$P$3:$P$5001,BD!$A$3:$A$5001,$B38,BD!$B$3:$B$5001,$D$2)))</f>
        <v>0</v>
      </c>
      <c r="Q38" s="32">
        <f>IF($B38="","",IF($B$2="Todos",SUMIFS(BD!$Q$3:$Q$5001,BD!$A$3:$A$5001,$B38),SUMIFS(BD!$Q$3:$Q$5001,BD!$A$3:$A$5001,$B38,BD!$B$3:$B$5001,$D$2)))</f>
        <v>0</v>
      </c>
      <c r="R38" s="32">
        <f>IF($B38="","",IF($B$2="Todos",SUMIFS(BD!$R$3:$R$5001,BD!$A$3:$A$5001,$B38),SUMIFS(BD!$R$3:$R$5001,BD!$A$3:$A$5001,$B38,BD!$B$3:$B$5001,$D$2)))</f>
        <v>0</v>
      </c>
      <c r="S38" s="32">
        <f>IF($B38="","",IF($B$2="Todos",SUMIFS(BD!$S$3:$S$5001,BD!$A$3:$A$5001,$B38),SUMIFS(BD!$S$3:$S$5001,BD!$A$3:$A$5001,$B38,BD!$B$3:$B$5001,$D$2)))</f>
        <v>0</v>
      </c>
      <c r="T38" s="46">
        <f>IF($B38="","",IF($B$2="Todos",SUMIFS(BD!$T$3:$T$5001,BD!$A$3:$A$5001,$B38),SUMIFS(BD!$T$3:$T$5001,BD!$A$3:$A$5001,$B38,BD!$B$3:$B$5001,$D$2)))</f>
        <v>0</v>
      </c>
      <c r="U38" s="32">
        <f>IF($B38="","",IF($B$2="Todos",SUMIFS(BD!$U$3:$U$5001,BD!$A$3:$A$5001,$B38),SUMIFS(BD!$U$3:$U$5001,BD!$A$3:$A$5001,$B38,BD!$B$3:$B$5001,$D$2)))</f>
        <v>0</v>
      </c>
      <c r="V38" s="32">
        <f>IF($B38="","",IF($B$2="Todos",SUMIFS(BD!$V$3:$V$5001,BD!$A$3:$A$5001,$B38),SUMIFS(BD!$V$3:$V$5001,BD!$A$3:$A$5001,$B38,BD!$B$3:$B$5001,$D$2)))</f>
        <v>0</v>
      </c>
      <c r="W38" s="32" t="str">
        <f>IF($B$2="Todos",IF(COUNT($C$165:$L$165)=0,"",SUM($C$165:$L$165)),IFERROR(INDEX($C$165:$L$165,MATCH($D$2,$C$138:$L$138,0)),""))</f>
        <v/>
      </c>
      <c r="X38" s="47" t="str">
        <f>IF(Y38="","",IF($B$2="Todos",IF($B$4&gt;0,$B$4,IF($B$2="Todos",IF(COUNT($C$235:$L$235)=0,"",SUM($C$235:$L$235)),IFERROR(INDEX($C$235:$L$235,MATCH($D$2,$C$208:$L$208,0)),""))),IFERROR(INDEX($C$235:$L$235,MATCH($D$2,$C$208:$L$208,0)),"")))</f>
        <v/>
      </c>
      <c r="Y38" s="32" t="str">
        <f>IF($B$2="Todos",IF(COUNT($C$200:$L$200)=0,"",SUM($C$200:$L$200)),IFERROR(INDEX($C$200:$L$200,MATCH($D$2,$C$173:$L$173,0)),""))</f>
        <v/>
      </c>
      <c r="Z38" s="48" t="str">
        <f>IF(AND(ISNUMBER(Y38),ISNUMBER(X38)),IF(X38&gt;0,Y38/X38,""),"")</f>
        <v/>
      </c>
      <c r="AA38" s="32" t="str">
        <f>IF($B$2="Todos",IF(COUNT($C$270:$L$270)=0,"",SUM($C$270:$L$270)),IFERROR(INDEX($C$270:$L$270,MATCH($D$2,$C$243:$L$243,0)),""))</f>
        <v/>
      </c>
      <c r="AB38" s="32">
        <f>IF($B38="","",IF($B$2="Todos",SUMIFS(BD!$AA$3:$AA$5001,BD!$A$3:$A$5001,$B38),SUMIFS(BD!$AA$3:$AA$5001,BD!$A$3:$A$5001,$B38,BD!$B$3:$B$5001,$D$2)))</f>
        <v>0</v>
      </c>
      <c r="AC38" s="32">
        <f>IF($B38="","",IF($B$2="Todos",SUMIFS(BD!$AB$3:$AB$5001,BD!$A$3:$A$5001,$B38),SUMIFS(BD!$AB$3:$AB$5001,BD!$A$3:$A$5001,$B38,BD!$B$3:$B$5001,$D$2)))</f>
        <v>0</v>
      </c>
      <c r="AD38" s="32">
        <f>IF($B38="","",IF($B$2="Todos",SUMIFS(BD!$AC$3:$AC$5001,BD!$A$3:$A$5001,$B38),SUMIFS(BD!$AC$3:$AC$5001,BD!$A$3:$A$5001,$B38,BD!$B$3:$B$5001,$D$2)))</f>
        <v>0</v>
      </c>
      <c r="AE38" s="32">
        <f>IF($B38="","",IF($B$2="Todos",SUMIFS(BD!$AD$3:$AD$5001,BD!$A$3:$A$5001,$B38),SUMIFS(BD!$AD$3:$AD$5001,BD!$A$3:$A$5001,$B38,BD!$B$3:$B$5001,$D$2)))</f>
        <v>0</v>
      </c>
      <c r="AF38" s="32">
        <f>IF($B38="","",IF($B$2="Todos",SUMIFS(BD!$AE$3:$AE$5001,BD!$A$3:$A$5001,$B38),SUMIFS(BD!$AE$3:$AE$5001,BD!$A$3:$A$5001,$B38,BD!$B$3:$B$5001,$D$2)))</f>
        <v>0</v>
      </c>
      <c r="AG38" s="32">
        <f>IF($B38="","",IF($B$2="Todos",SUMIFS(BD!$AF$3:$AF$5001,BD!$A$3:$A$5001,$B38),SUMIFS(BD!$AF$3:$AF$5001,BD!$A$3:$A$5001,$B38,BD!$B$3:$B$5001,$D$2)))</f>
        <v>0</v>
      </c>
      <c r="AH38" s="32">
        <f>IF($B38="","",IF($B$2="Todos",SUMIFS(BD!$AG$3:$AG$5001,BD!$A$3:$A$5001,$B38),SUMIFS(BD!$AG$3:$AG$5001,BD!$A$3:$A$5001,$B38,BD!$B$3:$B$5001,$D$2)))</f>
        <v>0</v>
      </c>
      <c r="AI38" s="49">
        <f>$B$5</f>
        <v>0.7</v>
      </c>
      <c r="AJ38" s="49">
        <f>$B$6</f>
        <v>0.9</v>
      </c>
    </row>
    <row r="39">
      <c r="A39" s="28">
        <v>28</v>
      </c>
      <c r="B39" s="45">
        <f>IF($A39&lt;=DAY($D$7),$C$7+$A39-1,"")</f>
        <v>46323</v>
      </c>
      <c r="C39" s="32">
        <f>IF($B39="","",IF($B$2="Todos",SUMIFS(BD!$C$3:$C$5001,BD!$A$3:$A$5001,$B39),SUMIFS(BD!$C$3:$C$5001,BD!$A$3:$A$5001,$B39,BD!$B$3:$B$5001,$D$2)))</f>
        <v>0</v>
      </c>
      <c r="D39" s="32">
        <f>IF($B39="","",IF($B$2="Todos",SUMIFS(BD!$D$3:$D$5001,BD!$A$3:$A$5001,$B39),SUMIFS(BD!$D$3:$D$5001,BD!$A$3:$A$5001,$B39,BD!$B$3:$B$5001,$D$2)))</f>
        <v>0</v>
      </c>
      <c r="E39" s="46">
        <f>IF($B39="","",IF($B$2="Todos",SUMIFS(BD!$E$3:$E$5001,BD!$A$3:$A$5001,$B39),SUMIFS(BD!$E$3:$E$5001,BD!$A$3:$A$5001,$B39,BD!$B$3:$B$5001,$D$2)))</f>
        <v>0</v>
      </c>
      <c r="F39" s="32">
        <f>IF($B39="","",IF($B$2="Todos",SUMIFS(BD!$F$3:$F$5001,BD!$A$3:$A$5001,$B39),SUMIFS(BD!$F$3:$F$5001,BD!$A$3:$A$5001,$B39,BD!$B$3:$B$5001,$D$2)))</f>
        <v>0</v>
      </c>
      <c r="G39" s="32">
        <f>IF($B39="","",IF($B$2="Todos",SUMIFS(BD!$G$3:$G$5001,BD!$A$3:$A$5001,$B39),SUMIFS(BD!$G$3:$G$5001,BD!$A$3:$A$5001,$B39,BD!$B$3:$B$5001,$D$2)))</f>
        <v>0</v>
      </c>
      <c r="H39" s="32">
        <f>IF($B39="","",IF($B$2="Todos",SUMIFS(BD!$H$3:$H$5001,BD!$A$3:$A$5001,$B39),SUMIFS(BD!$H$3:$H$5001,BD!$A$3:$A$5001,$B39,BD!$B$3:$B$5001,$D$2)))</f>
        <v>0</v>
      </c>
      <c r="I39" s="32">
        <f>IF($B39="","",IF($B$2="Todos",SUMIFS(BD!$I$3:$I$5001,BD!$A$3:$A$5001,$B39),SUMIFS(BD!$I$3:$I$5001,BD!$A$3:$A$5001,$B39,BD!$B$3:$B$5001,$D$2)))</f>
        <v>0</v>
      </c>
      <c r="J39" s="32">
        <f>IF($B39="","",IF($B$2="Todos",SUMIFS(BD!$J$3:$J$5001,BD!$A$3:$A$5001,$B39),SUMIFS(BD!$J$3:$J$5001,BD!$A$3:$A$5001,$B39,BD!$B$3:$B$5001,$D$2)))</f>
        <v>0</v>
      </c>
      <c r="K39" s="32">
        <f>IF($B39="","",IF($B$2="Todos",SUMIFS(BD!$K$3:$K$5001,BD!$A$3:$A$5001,$B39),SUMIFS(BD!$K$3:$K$5001,BD!$A$3:$A$5001,$B39,BD!$B$3:$B$5001,$D$2)))</f>
        <v>0</v>
      </c>
      <c r="L39" s="32">
        <f>IF($B39="","",IF($B$2="Todos",SUMIFS(BD!$L$3:$L$5001,BD!$A$3:$A$5001,$B39),SUMIFS(BD!$L$3:$L$5001,BD!$A$3:$A$5001,$B39,BD!$B$3:$B$5001,$D$2)))</f>
        <v>0</v>
      </c>
      <c r="M39" s="32">
        <f>IF($B39="","",IF($B$2="Todos",SUMIFS(BD!$M$3:$M$5001,BD!$A$3:$A$5001,$B39),SUMIFS(BD!$M$3:$M$5001,BD!$A$3:$A$5001,$B39,BD!$B$3:$B$5001,$D$2)))</f>
        <v>0</v>
      </c>
      <c r="N39" s="32">
        <f>IF($B39="","",IF($B$2="Todos",SUMIFS(BD!$N$3:$N$5001,BD!$A$3:$A$5001,$B39),SUMIFS(BD!$N$3:$N$5001,BD!$A$3:$A$5001,$B39,BD!$B$3:$B$5001,$D$2)))</f>
        <v>0</v>
      </c>
      <c r="O39" s="32">
        <f>IF($B39="","",IF($B$2="Todos",SUMIFS(BD!$O$3:$O$5001,BD!$A$3:$A$5001,$B39),SUMIFS(BD!$O$3:$O$5001,BD!$A$3:$A$5001,$B39,BD!$B$3:$B$5001,$D$2)))</f>
        <v>0</v>
      </c>
      <c r="P39" s="32">
        <f>IF($B39="","",IF($B$2="Todos",SUMIFS(BD!$P$3:$P$5001,BD!$A$3:$A$5001,$B39),SUMIFS(BD!$P$3:$P$5001,BD!$A$3:$A$5001,$B39,BD!$B$3:$B$5001,$D$2)))</f>
        <v>0</v>
      </c>
      <c r="Q39" s="32">
        <f>IF($B39="","",IF($B$2="Todos",SUMIFS(BD!$Q$3:$Q$5001,BD!$A$3:$A$5001,$B39),SUMIFS(BD!$Q$3:$Q$5001,BD!$A$3:$A$5001,$B39,BD!$B$3:$B$5001,$D$2)))</f>
        <v>0</v>
      </c>
      <c r="R39" s="32">
        <f>IF($B39="","",IF($B$2="Todos",SUMIFS(BD!$R$3:$R$5001,BD!$A$3:$A$5001,$B39),SUMIFS(BD!$R$3:$R$5001,BD!$A$3:$A$5001,$B39,BD!$B$3:$B$5001,$D$2)))</f>
        <v>0</v>
      </c>
      <c r="S39" s="32">
        <f>IF($B39="","",IF($B$2="Todos",SUMIFS(BD!$S$3:$S$5001,BD!$A$3:$A$5001,$B39),SUMIFS(BD!$S$3:$S$5001,BD!$A$3:$A$5001,$B39,BD!$B$3:$B$5001,$D$2)))</f>
        <v>0</v>
      </c>
      <c r="T39" s="46">
        <f>IF($B39="","",IF($B$2="Todos",SUMIFS(BD!$T$3:$T$5001,BD!$A$3:$A$5001,$B39),SUMIFS(BD!$T$3:$T$5001,BD!$A$3:$A$5001,$B39,BD!$B$3:$B$5001,$D$2)))</f>
        <v>0</v>
      </c>
      <c r="U39" s="32">
        <f>IF($B39="","",IF($B$2="Todos",SUMIFS(BD!$U$3:$U$5001,BD!$A$3:$A$5001,$B39),SUMIFS(BD!$U$3:$U$5001,BD!$A$3:$A$5001,$B39,BD!$B$3:$B$5001,$D$2)))</f>
        <v>0</v>
      </c>
      <c r="V39" s="32">
        <f>IF($B39="","",IF($B$2="Todos",SUMIFS(BD!$V$3:$V$5001,BD!$A$3:$A$5001,$B39),SUMIFS(BD!$V$3:$V$5001,BD!$A$3:$A$5001,$B39,BD!$B$3:$B$5001,$D$2)))</f>
        <v>0</v>
      </c>
      <c r="W39" s="32" t="str">
        <f>IF($B$2="Todos",IF(COUNT($C$166:$L$166)=0,"",SUM($C$166:$L$166)),IFERROR(INDEX($C$166:$L$166,MATCH($D$2,$C$138:$L$138,0)),""))</f>
        <v/>
      </c>
      <c r="X39" s="47" t="str">
        <f>IF(Y39="","",IF($B$2="Todos",IF($B$4&gt;0,$B$4,IF($B$2="Todos",IF(COUNT($C$236:$L$236)=0,"",SUM($C$236:$L$236)),IFERROR(INDEX($C$236:$L$236,MATCH($D$2,$C$208:$L$208,0)),""))),IFERROR(INDEX($C$236:$L$236,MATCH($D$2,$C$208:$L$208,0)),"")))</f>
        <v/>
      </c>
      <c r="Y39" s="32" t="str">
        <f>IF($B$2="Todos",IF(COUNT($C$201:$L$201)=0,"",SUM($C$201:$L$201)),IFERROR(INDEX($C$201:$L$201,MATCH($D$2,$C$173:$L$173,0)),""))</f>
        <v/>
      </c>
      <c r="Z39" s="48" t="str">
        <f>IF(AND(ISNUMBER(Y39),ISNUMBER(X39)),IF(X39&gt;0,Y39/X39,""),"")</f>
        <v/>
      </c>
      <c r="AA39" s="32" t="str">
        <f>IF($B$2="Todos",IF(COUNT($C$271:$L$271)=0,"",SUM($C$271:$L$271)),IFERROR(INDEX($C$271:$L$271,MATCH($D$2,$C$243:$L$243,0)),""))</f>
        <v/>
      </c>
      <c r="AB39" s="32">
        <f>IF($B39="","",IF($B$2="Todos",SUMIFS(BD!$AA$3:$AA$5001,BD!$A$3:$A$5001,$B39),SUMIFS(BD!$AA$3:$AA$5001,BD!$A$3:$A$5001,$B39,BD!$B$3:$B$5001,$D$2)))</f>
        <v>0</v>
      </c>
      <c r="AC39" s="32">
        <f>IF($B39="","",IF($B$2="Todos",SUMIFS(BD!$AB$3:$AB$5001,BD!$A$3:$A$5001,$B39),SUMIFS(BD!$AB$3:$AB$5001,BD!$A$3:$A$5001,$B39,BD!$B$3:$B$5001,$D$2)))</f>
        <v>0</v>
      </c>
      <c r="AD39" s="32">
        <f>IF($B39="","",IF($B$2="Todos",SUMIFS(BD!$AC$3:$AC$5001,BD!$A$3:$A$5001,$B39),SUMIFS(BD!$AC$3:$AC$5001,BD!$A$3:$A$5001,$B39,BD!$B$3:$B$5001,$D$2)))</f>
        <v>0</v>
      </c>
      <c r="AE39" s="32">
        <f>IF($B39="","",IF($B$2="Todos",SUMIFS(BD!$AD$3:$AD$5001,BD!$A$3:$A$5001,$B39),SUMIFS(BD!$AD$3:$AD$5001,BD!$A$3:$A$5001,$B39,BD!$B$3:$B$5001,$D$2)))</f>
        <v>0</v>
      </c>
      <c r="AF39" s="32">
        <f>IF($B39="","",IF($B$2="Todos",SUMIFS(BD!$AE$3:$AE$5001,BD!$A$3:$A$5001,$B39),SUMIFS(BD!$AE$3:$AE$5001,BD!$A$3:$A$5001,$B39,BD!$B$3:$B$5001,$D$2)))</f>
        <v>0</v>
      </c>
      <c r="AG39" s="32">
        <f>IF($B39="","",IF($B$2="Todos",SUMIFS(BD!$AF$3:$AF$5001,BD!$A$3:$A$5001,$B39),SUMIFS(BD!$AF$3:$AF$5001,BD!$A$3:$A$5001,$B39,BD!$B$3:$B$5001,$D$2)))</f>
        <v>0</v>
      </c>
      <c r="AH39" s="32">
        <f>IF($B39="","",IF($B$2="Todos",SUMIFS(BD!$AG$3:$AG$5001,BD!$A$3:$A$5001,$B39),SUMIFS(BD!$AG$3:$AG$5001,BD!$A$3:$A$5001,$B39,BD!$B$3:$B$5001,$D$2)))</f>
        <v>0</v>
      </c>
      <c r="AI39" s="49">
        <f>$B$5</f>
        <v>0.7</v>
      </c>
      <c r="AJ39" s="49">
        <f>$B$6</f>
        <v>0.9</v>
      </c>
    </row>
    <row r="40">
      <c r="A40" s="28">
        <v>29</v>
      </c>
      <c r="B40" s="45">
        <f>IF($A40&lt;=DAY($D$7),$C$7+$A40-1,"")</f>
        <v>46324</v>
      </c>
      <c r="C40" s="32">
        <f>IF($B40="","",IF($B$2="Todos",SUMIFS(BD!$C$3:$C$5001,BD!$A$3:$A$5001,$B40),SUMIFS(BD!$C$3:$C$5001,BD!$A$3:$A$5001,$B40,BD!$B$3:$B$5001,$D$2)))</f>
        <v>0</v>
      </c>
      <c r="D40" s="32">
        <f>IF($B40="","",IF($B$2="Todos",SUMIFS(BD!$D$3:$D$5001,BD!$A$3:$A$5001,$B40),SUMIFS(BD!$D$3:$D$5001,BD!$A$3:$A$5001,$B40,BD!$B$3:$B$5001,$D$2)))</f>
        <v>0</v>
      </c>
      <c r="E40" s="46">
        <f>IF($B40="","",IF($B$2="Todos",SUMIFS(BD!$E$3:$E$5001,BD!$A$3:$A$5001,$B40),SUMIFS(BD!$E$3:$E$5001,BD!$A$3:$A$5001,$B40,BD!$B$3:$B$5001,$D$2)))</f>
        <v>0</v>
      </c>
      <c r="F40" s="32">
        <f>IF($B40="","",IF($B$2="Todos",SUMIFS(BD!$F$3:$F$5001,BD!$A$3:$A$5001,$B40),SUMIFS(BD!$F$3:$F$5001,BD!$A$3:$A$5001,$B40,BD!$B$3:$B$5001,$D$2)))</f>
        <v>0</v>
      </c>
      <c r="G40" s="32">
        <f>IF($B40="","",IF($B$2="Todos",SUMIFS(BD!$G$3:$G$5001,BD!$A$3:$A$5001,$B40),SUMIFS(BD!$G$3:$G$5001,BD!$A$3:$A$5001,$B40,BD!$B$3:$B$5001,$D$2)))</f>
        <v>0</v>
      </c>
      <c r="H40" s="32">
        <f>IF($B40="","",IF($B$2="Todos",SUMIFS(BD!$H$3:$H$5001,BD!$A$3:$A$5001,$B40),SUMIFS(BD!$H$3:$H$5001,BD!$A$3:$A$5001,$B40,BD!$B$3:$B$5001,$D$2)))</f>
        <v>0</v>
      </c>
      <c r="I40" s="32">
        <f>IF($B40="","",IF($B$2="Todos",SUMIFS(BD!$I$3:$I$5001,BD!$A$3:$A$5001,$B40),SUMIFS(BD!$I$3:$I$5001,BD!$A$3:$A$5001,$B40,BD!$B$3:$B$5001,$D$2)))</f>
        <v>0</v>
      </c>
      <c r="J40" s="32">
        <f>IF($B40="","",IF($B$2="Todos",SUMIFS(BD!$J$3:$J$5001,BD!$A$3:$A$5001,$B40),SUMIFS(BD!$J$3:$J$5001,BD!$A$3:$A$5001,$B40,BD!$B$3:$B$5001,$D$2)))</f>
        <v>0</v>
      </c>
      <c r="K40" s="32">
        <f>IF($B40="","",IF($B$2="Todos",SUMIFS(BD!$K$3:$K$5001,BD!$A$3:$A$5001,$B40),SUMIFS(BD!$K$3:$K$5001,BD!$A$3:$A$5001,$B40,BD!$B$3:$B$5001,$D$2)))</f>
        <v>0</v>
      </c>
      <c r="L40" s="32">
        <f>IF($B40="","",IF($B$2="Todos",SUMIFS(BD!$L$3:$L$5001,BD!$A$3:$A$5001,$B40),SUMIFS(BD!$L$3:$L$5001,BD!$A$3:$A$5001,$B40,BD!$B$3:$B$5001,$D$2)))</f>
        <v>0</v>
      </c>
      <c r="M40" s="32">
        <f>IF($B40="","",IF($B$2="Todos",SUMIFS(BD!$M$3:$M$5001,BD!$A$3:$A$5001,$B40),SUMIFS(BD!$M$3:$M$5001,BD!$A$3:$A$5001,$B40,BD!$B$3:$B$5001,$D$2)))</f>
        <v>0</v>
      </c>
      <c r="N40" s="32">
        <f>IF($B40="","",IF($B$2="Todos",SUMIFS(BD!$N$3:$N$5001,BD!$A$3:$A$5001,$B40),SUMIFS(BD!$N$3:$N$5001,BD!$A$3:$A$5001,$B40,BD!$B$3:$B$5001,$D$2)))</f>
        <v>0</v>
      </c>
      <c r="O40" s="32">
        <f>IF($B40="","",IF($B$2="Todos",SUMIFS(BD!$O$3:$O$5001,BD!$A$3:$A$5001,$B40),SUMIFS(BD!$O$3:$O$5001,BD!$A$3:$A$5001,$B40,BD!$B$3:$B$5001,$D$2)))</f>
        <v>0</v>
      </c>
      <c r="P40" s="32">
        <f>IF($B40="","",IF($B$2="Todos",SUMIFS(BD!$P$3:$P$5001,BD!$A$3:$A$5001,$B40),SUMIFS(BD!$P$3:$P$5001,BD!$A$3:$A$5001,$B40,BD!$B$3:$B$5001,$D$2)))</f>
        <v>0</v>
      </c>
      <c r="Q40" s="32">
        <f>IF($B40="","",IF($B$2="Todos",SUMIFS(BD!$Q$3:$Q$5001,BD!$A$3:$A$5001,$B40),SUMIFS(BD!$Q$3:$Q$5001,BD!$A$3:$A$5001,$B40,BD!$B$3:$B$5001,$D$2)))</f>
        <v>0</v>
      </c>
      <c r="R40" s="32">
        <f>IF($B40="","",IF($B$2="Todos",SUMIFS(BD!$R$3:$R$5001,BD!$A$3:$A$5001,$B40),SUMIFS(BD!$R$3:$R$5001,BD!$A$3:$A$5001,$B40,BD!$B$3:$B$5001,$D$2)))</f>
        <v>0</v>
      </c>
      <c r="S40" s="32">
        <f>IF($B40="","",IF($B$2="Todos",SUMIFS(BD!$S$3:$S$5001,BD!$A$3:$A$5001,$B40),SUMIFS(BD!$S$3:$S$5001,BD!$A$3:$A$5001,$B40,BD!$B$3:$B$5001,$D$2)))</f>
        <v>0</v>
      </c>
      <c r="T40" s="46">
        <f>IF($B40="","",IF($B$2="Todos",SUMIFS(BD!$T$3:$T$5001,BD!$A$3:$A$5001,$B40),SUMIFS(BD!$T$3:$T$5001,BD!$A$3:$A$5001,$B40,BD!$B$3:$B$5001,$D$2)))</f>
        <v>0</v>
      </c>
      <c r="U40" s="32">
        <f>IF($B40="","",IF($B$2="Todos",SUMIFS(BD!$U$3:$U$5001,BD!$A$3:$A$5001,$B40),SUMIFS(BD!$U$3:$U$5001,BD!$A$3:$A$5001,$B40,BD!$B$3:$B$5001,$D$2)))</f>
        <v>0</v>
      </c>
      <c r="V40" s="32">
        <f>IF($B40="","",IF($B$2="Todos",SUMIFS(BD!$V$3:$V$5001,BD!$A$3:$A$5001,$B40),SUMIFS(BD!$V$3:$V$5001,BD!$A$3:$A$5001,$B40,BD!$B$3:$B$5001,$D$2)))</f>
        <v>0</v>
      </c>
      <c r="W40" s="32" t="str">
        <f>IF($B$2="Todos",IF(COUNT($C$167:$L$167)=0,"",SUM($C$167:$L$167)),IFERROR(INDEX($C$167:$L$167,MATCH($D$2,$C$138:$L$138,0)),""))</f>
        <v/>
      </c>
      <c r="X40" s="47" t="str">
        <f>IF(Y40="","",IF($B$2="Todos",IF($B$4&gt;0,$B$4,IF($B$2="Todos",IF(COUNT($C$237:$L$237)=0,"",SUM($C$237:$L$237)),IFERROR(INDEX($C$237:$L$237,MATCH($D$2,$C$208:$L$208,0)),""))),IFERROR(INDEX($C$237:$L$237,MATCH($D$2,$C$208:$L$208,0)),"")))</f>
        <v/>
      </c>
      <c r="Y40" s="32" t="str">
        <f>IF($B$2="Todos",IF(COUNT($C$202:$L$202)=0,"",SUM($C$202:$L$202)),IFERROR(INDEX($C$202:$L$202,MATCH($D$2,$C$173:$L$173,0)),""))</f>
        <v/>
      </c>
      <c r="Z40" s="48" t="str">
        <f>IF(AND(ISNUMBER(Y40),ISNUMBER(X40)),IF(X40&gt;0,Y40/X40,""),"")</f>
        <v/>
      </c>
      <c r="AA40" s="32" t="str">
        <f>IF($B$2="Todos",IF(COUNT($C$272:$L$272)=0,"",SUM($C$272:$L$272)),IFERROR(INDEX($C$272:$L$272,MATCH($D$2,$C$243:$L$243,0)),""))</f>
        <v/>
      </c>
      <c r="AB40" s="32">
        <f>IF($B40="","",IF($B$2="Todos",SUMIFS(BD!$AA$3:$AA$5001,BD!$A$3:$A$5001,$B40),SUMIFS(BD!$AA$3:$AA$5001,BD!$A$3:$A$5001,$B40,BD!$B$3:$B$5001,$D$2)))</f>
        <v>0</v>
      </c>
      <c r="AC40" s="32">
        <f>IF($B40="","",IF($B$2="Todos",SUMIFS(BD!$AB$3:$AB$5001,BD!$A$3:$A$5001,$B40),SUMIFS(BD!$AB$3:$AB$5001,BD!$A$3:$A$5001,$B40,BD!$B$3:$B$5001,$D$2)))</f>
        <v>0</v>
      </c>
      <c r="AD40" s="32">
        <f>IF($B40="","",IF($B$2="Todos",SUMIFS(BD!$AC$3:$AC$5001,BD!$A$3:$A$5001,$B40),SUMIFS(BD!$AC$3:$AC$5001,BD!$A$3:$A$5001,$B40,BD!$B$3:$B$5001,$D$2)))</f>
        <v>0</v>
      </c>
      <c r="AE40" s="32">
        <f>IF($B40="","",IF($B$2="Todos",SUMIFS(BD!$AD$3:$AD$5001,BD!$A$3:$A$5001,$B40),SUMIFS(BD!$AD$3:$AD$5001,BD!$A$3:$A$5001,$B40,BD!$B$3:$B$5001,$D$2)))</f>
        <v>0</v>
      </c>
      <c r="AF40" s="32">
        <f>IF($B40="","",IF($B$2="Todos",SUMIFS(BD!$AE$3:$AE$5001,BD!$A$3:$A$5001,$B40),SUMIFS(BD!$AE$3:$AE$5001,BD!$A$3:$A$5001,$B40,BD!$B$3:$B$5001,$D$2)))</f>
        <v>0</v>
      </c>
      <c r="AG40" s="32">
        <f>IF($B40="","",IF($B$2="Todos",SUMIFS(BD!$AF$3:$AF$5001,BD!$A$3:$A$5001,$B40),SUMIFS(BD!$AF$3:$AF$5001,BD!$A$3:$A$5001,$B40,BD!$B$3:$B$5001,$D$2)))</f>
        <v>0</v>
      </c>
      <c r="AH40" s="32">
        <f>IF($B40="","",IF($B$2="Todos",SUMIFS(BD!$AG$3:$AG$5001,BD!$A$3:$A$5001,$B40),SUMIFS(BD!$AG$3:$AG$5001,BD!$A$3:$A$5001,$B40,BD!$B$3:$B$5001,$D$2)))</f>
        <v>0</v>
      </c>
      <c r="AI40" s="49">
        <f>$B$5</f>
        <v>0.7</v>
      </c>
      <c r="AJ40" s="49">
        <f>$B$6</f>
        <v>0.9</v>
      </c>
    </row>
    <row r="41">
      <c r="A41" s="28">
        <v>30</v>
      </c>
      <c r="B41" s="45">
        <f>IF($A41&lt;=DAY($D$7),$C$7+$A41-1,"")</f>
        <v>46325</v>
      </c>
      <c r="C41" s="32">
        <f>IF($B41="","",IF($B$2="Todos",SUMIFS(BD!$C$3:$C$5001,BD!$A$3:$A$5001,$B41),SUMIFS(BD!$C$3:$C$5001,BD!$A$3:$A$5001,$B41,BD!$B$3:$B$5001,$D$2)))</f>
        <v>0</v>
      </c>
      <c r="D41" s="32">
        <f>IF($B41="","",IF($B$2="Todos",SUMIFS(BD!$D$3:$D$5001,BD!$A$3:$A$5001,$B41),SUMIFS(BD!$D$3:$D$5001,BD!$A$3:$A$5001,$B41,BD!$B$3:$B$5001,$D$2)))</f>
        <v>0</v>
      </c>
      <c r="E41" s="46">
        <f>IF($B41="","",IF($B$2="Todos",SUMIFS(BD!$E$3:$E$5001,BD!$A$3:$A$5001,$B41),SUMIFS(BD!$E$3:$E$5001,BD!$A$3:$A$5001,$B41,BD!$B$3:$B$5001,$D$2)))</f>
        <v>0</v>
      </c>
      <c r="F41" s="32">
        <f>IF($B41="","",IF($B$2="Todos",SUMIFS(BD!$F$3:$F$5001,BD!$A$3:$A$5001,$B41),SUMIFS(BD!$F$3:$F$5001,BD!$A$3:$A$5001,$B41,BD!$B$3:$B$5001,$D$2)))</f>
        <v>0</v>
      </c>
      <c r="G41" s="32">
        <f>IF($B41="","",IF($B$2="Todos",SUMIFS(BD!$G$3:$G$5001,BD!$A$3:$A$5001,$B41),SUMIFS(BD!$G$3:$G$5001,BD!$A$3:$A$5001,$B41,BD!$B$3:$B$5001,$D$2)))</f>
        <v>0</v>
      </c>
      <c r="H41" s="32">
        <f>IF($B41="","",IF($B$2="Todos",SUMIFS(BD!$H$3:$H$5001,BD!$A$3:$A$5001,$B41),SUMIFS(BD!$H$3:$H$5001,BD!$A$3:$A$5001,$B41,BD!$B$3:$B$5001,$D$2)))</f>
        <v>0</v>
      </c>
      <c r="I41" s="32">
        <f>IF($B41="","",IF($B$2="Todos",SUMIFS(BD!$I$3:$I$5001,BD!$A$3:$A$5001,$B41),SUMIFS(BD!$I$3:$I$5001,BD!$A$3:$A$5001,$B41,BD!$B$3:$B$5001,$D$2)))</f>
        <v>0</v>
      </c>
      <c r="J41" s="32">
        <f>IF($B41="","",IF($B$2="Todos",SUMIFS(BD!$J$3:$J$5001,BD!$A$3:$A$5001,$B41),SUMIFS(BD!$J$3:$J$5001,BD!$A$3:$A$5001,$B41,BD!$B$3:$B$5001,$D$2)))</f>
        <v>0</v>
      </c>
      <c r="K41" s="32">
        <f>IF($B41="","",IF($B$2="Todos",SUMIFS(BD!$K$3:$K$5001,BD!$A$3:$A$5001,$B41),SUMIFS(BD!$K$3:$K$5001,BD!$A$3:$A$5001,$B41,BD!$B$3:$B$5001,$D$2)))</f>
        <v>0</v>
      </c>
      <c r="L41" s="32">
        <f>IF($B41="","",IF($B$2="Todos",SUMIFS(BD!$L$3:$L$5001,BD!$A$3:$A$5001,$B41),SUMIFS(BD!$L$3:$L$5001,BD!$A$3:$A$5001,$B41,BD!$B$3:$B$5001,$D$2)))</f>
        <v>0</v>
      </c>
      <c r="M41" s="32">
        <f>IF($B41="","",IF($B$2="Todos",SUMIFS(BD!$M$3:$M$5001,BD!$A$3:$A$5001,$B41),SUMIFS(BD!$M$3:$M$5001,BD!$A$3:$A$5001,$B41,BD!$B$3:$B$5001,$D$2)))</f>
        <v>0</v>
      </c>
      <c r="N41" s="32">
        <f>IF($B41="","",IF($B$2="Todos",SUMIFS(BD!$N$3:$N$5001,BD!$A$3:$A$5001,$B41),SUMIFS(BD!$N$3:$N$5001,BD!$A$3:$A$5001,$B41,BD!$B$3:$B$5001,$D$2)))</f>
        <v>0</v>
      </c>
      <c r="O41" s="32">
        <f>IF($B41="","",IF($B$2="Todos",SUMIFS(BD!$O$3:$O$5001,BD!$A$3:$A$5001,$B41),SUMIFS(BD!$O$3:$O$5001,BD!$A$3:$A$5001,$B41,BD!$B$3:$B$5001,$D$2)))</f>
        <v>0</v>
      </c>
      <c r="P41" s="32">
        <f>IF($B41="","",IF($B$2="Todos",SUMIFS(BD!$P$3:$P$5001,BD!$A$3:$A$5001,$B41),SUMIFS(BD!$P$3:$P$5001,BD!$A$3:$A$5001,$B41,BD!$B$3:$B$5001,$D$2)))</f>
        <v>0</v>
      </c>
      <c r="Q41" s="32">
        <f>IF($B41="","",IF($B$2="Todos",SUMIFS(BD!$Q$3:$Q$5001,BD!$A$3:$A$5001,$B41),SUMIFS(BD!$Q$3:$Q$5001,BD!$A$3:$A$5001,$B41,BD!$B$3:$B$5001,$D$2)))</f>
        <v>0</v>
      </c>
      <c r="R41" s="32">
        <f>IF($B41="","",IF($B$2="Todos",SUMIFS(BD!$R$3:$R$5001,BD!$A$3:$A$5001,$B41),SUMIFS(BD!$R$3:$R$5001,BD!$A$3:$A$5001,$B41,BD!$B$3:$B$5001,$D$2)))</f>
        <v>0</v>
      </c>
      <c r="S41" s="32">
        <f>IF($B41="","",IF($B$2="Todos",SUMIFS(BD!$S$3:$S$5001,BD!$A$3:$A$5001,$B41),SUMIFS(BD!$S$3:$S$5001,BD!$A$3:$A$5001,$B41,BD!$B$3:$B$5001,$D$2)))</f>
        <v>0</v>
      </c>
      <c r="T41" s="46">
        <f>IF($B41="","",IF($B$2="Todos",SUMIFS(BD!$T$3:$T$5001,BD!$A$3:$A$5001,$B41),SUMIFS(BD!$T$3:$T$5001,BD!$A$3:$A$5001,$B41,BD!$B$3:$B$5001,$D$2)))</f>
        <v>0</v>
      </c>
      <c r="U41" s="32">
        <f>IF($B41="","",IF($B$2="Todos",SUMIFS(BD!$U$3:$U$5001,BD!$A$3:$A$5001,$B41),SUMIFS(BD!$U$3:$U$5001,BD!$A$3:$A$5001,$B41,BD!$B$3:$B$5001,$D$2)))</f>
        <v>0</v>
      </c>
      <c r="V41" s="32">
        <f>IF($B41="","",IF($B$2="Todos",SUMIFS(BD!$V$3:$V$5001,BD!$A$3:$A$5001,$B41),SUMIFS(BD!$V$3:$V$5001,BD!$A$3:$A$5001,$B41,BD!$B$3:$B$5001,$D$2)))</f>
        <v>0</v>
      </c>
      <c r="W41" s="32" t="str">
        <f>IF($B$2="Todos",IF(COUNT($C$168:$L$168)=0,"",SUM($C$168:$L$168)),IFERROR(INDEX($C$168:$L$168,MATCH($D$2,$C$138:$L$138,0)),""))</f>
        <v/>
      </c>
      <c r="X41" s="47" t="str">
        <f>IF(Y41="","",IF($B$2="Todos",IF($B$4&gt;0,$B$4,IF($B$2="Todos",IF(COUNT($C$238:$L$238)=0,"",SUM($C$238:$L$238)),IFERROR(INDEX($C$238:$L$238,MATCH($D$2,$C$208:$L$208,0)),""))),IFERROR(INDEX($C$238:$L$238,MATCH($D$2,$C$208:$L$208,0)),"")))</f>
        <v/>
      </c>
      <c r="Y41" s="32" t="str">
        <f>IF($B$2="Todos",IF(COUNT($C$203:$L$203)=0,"",SUM($C$203:$L$203)),IFERROR(INDEX($C$203:$L$203,MATCH($D$2,$C$173:$L$173,0)),""))</f>
        <v/>
      </c>
      <c r="Z41" s="48" t="str">
        <f>IF(AND(ISNUMBER(Y41),ISNUMBER(X41)),IF(X41&gt;0,Y41/X41,""),"")</f>
        <v/>
      </c>
      <c r="AA41" s="32" t="str">
        <f>IF($B$2="Todos",IF(COUNT($C$273:$L$273)=0,"",SUM($C$273:$L$273)),IFERROR(INDEX($C$273:$L$273,MATCH($D$2,$C$243:$L$243,0)),""))</f>
        <v/>
      </c>
      <c r="AB41" s="32">
        <f>IF($B41="","",IF($B$2="Todos",SUMIFS(BD!$AA$3:$AA$5001,BD!$A$3:$A$5001,$B41),SUMIFS(BD!$AA$3:$AA$5001,BD!$A$3:$A$5001,$B41,BD!$B$3:$B$5001,$D$2)))</f>
        <v>0</v>
      </c>
      <c r="AC41" s="32">
        <f>IF($B41="","",IF($B$2="Todos",SUMIFS(BD!$AB$3:$AB$5001,BD!$A$3:$A$5001,$B41),SUMIFS(BD!$AB$3:$AB$5001,BD!$A$3:$A$5001,$B41,BD!$B$3:$B$5001,$D$2)))</f>
        <v>0</v>
      </c>
      <c r="AD41" s="32">
        <f>IF($B41="","",IF($B$2="Todos",SUMIFS(BD!$AC$3:$AC$5001,BD!$A$3:$A$5001,$B41),SUMIFS(BD!$AC$3:$AC$5001,BD!$A$3:$A$5001,$B41,BD!$B$3:$B$5001,$D$2)))</f>
        <v>0</v>
      </c>
      <c r="AE41" s="32">
        <f>IF($B41="","",IF($B$2="Todos",SUMIFS(BD!$AD$3:$AD$5001,BD!$A$3:$A$5001,$B41),SUMIFS(BD!$AD$3:$AD$5001,BD!$A$3:$A$5001,$B41,BD!$B$3:$B$5001,$D$2)))</f>
        <v>0</v>
      </c>
      <c r="AF41" s="32">
        <f>IF($B41="","",IF($B$2="Todos",SUMIFS(BD!$AE$3:$AE$5001,BD!$A$3:$A$5001,$B41),SUMIFS(BD!$AE$3:$AE$5001,BD!$A$3:$A$5001,$B41,BD!$B$3:$B$5001,$D$2)))</f>
        <v>0</v>
      </c>
      <c r="AG41" s="32">
        <f>IF($B41="","",IF($B$2="Todos",SUMIFS(BD!$AF$3:$AF$5001,BD!$A$3:$A$5001,$B41),SUMIFS(BD!$AF$3:$AF$5001,BD!$A$3:$A$5001,$B41,BD!$B$3:$B$5001,$D$2)))</f>
        <v>0</v>
      </c>
      <c r="AH41" s="32">
        <f>IF($B41="","",IF($B$2="Todos",SUMIFS(BD!$AG$3:$AG$5001,BD!$A$3:$A$5001,$B41),SUMIFS(BD!$AG$3:$AG$5001,BD!$A$3:$A$5001,$B41,BD!$B$3:$B$5001,$D$2)))</f>
        <v>0</v>
      </c>
      <c r="AI41" s="49">
        <f>$B$5</f>
        <v>0.7</v>
      </c>
      <c r="AJ41" s="49">
        <f>$B$6</f>
        <v>0.9</v>
      </c>
    </row>
    <row r="42">
      <c r="A42" s="28">
        <v>31</v>
      </c>
      <c r="B42" s="45">
        <f>IF($A42&lt;=DAY($D$7),$C$7+$A42-1,"")</f>
        <v>46326</v>
      </c>
      <c r="C42" s="32">
        <f>IF($B42="","",IF($B$2="Todos",SUMIFS(BD!$C$3:$C$5001,BD!$A$3:$A$5001,$B42),SUMIFS(BD!$C$3:$C$5001,BD!$A$3:$A$5001,$B42,BD!$B$3:$B$5001,$D$2)))</f>
        <v>0</v>
      </c>
      <c r="D42" s="32">
        <f>IF($B42="","",IF($B$2="Todos",SUMIFS(BD!$D$3:$D$5001,BD!$A$3:$A$5001,$B42),SUMIFS(BD!$D$3:$D$5001,BD!$A$3:$A$5001,$B42,BD!$B$3:$B$5001,$D$2)))</f>
        <v>0</v>
      </c>
      <c r="E42" s="46">
        <f>IF($B42="","",IF($B$2="Todos",SUMIFS(BD!$E$3:$E$5001,BD!$A$3:$A$5001,$B42),SUMIFS(BD!$E$3:$E$5001,BD!$A$3:$A$5001,$B42,BD!$B$3:$B$5001,$D$2)))</f>
        <v>0</v>
      </c>
      <c r="F42" s="32">
        <f>IF($B42="","",IF($B$2="Todos",SUMIFS(BD!$F$3:$F$5001,BD!$A$3:$A$5001,$B42),SUMIFS(BD!$F$3:$F$5001,BD!$A$3:$A$5001,$B42,BD!$B$3:$B$5001,$D$2)))</f>
        <v>0</v>
      </c>
      <c r="G42" s="32">
        <f>IF($B42="","",IF($B$2="Todos",SUMIFS(BD!$G$3:$G$5001,BD!$A$3:$A$5001,$B42),SUMIFS(BD!$G$3:$G$5001,BD!$A$3:$A$5001,$B42,BD!$B$3:$B$5001,$D$2)))</f>
        <v>0</v>
      </c>
      <c r="H42" s="32">
        <f>IF($B42="","",IF($B$2="Todos",SUMIFS(BD!$H$3:$H$5001,BD!$A$3:$A$5001,$B42),SUMIFS(BD!$H$3:$H$5001,BD!$A$3:$A$5001,$B42,BD!$B$3:$B$5001,$D$2)))</f>
        <v>0</v>
      </c>
      <c r="I42" s="32">
        <f>IF($B42="","",IF($B$2="Todos",SUMIFS(BD!$I$3:$I$5001,BD!$A$3:$A$5001,$B42),SUMIFS(BD!$I$3:$I$5001,BD!$A$3:$A$5001,$B42,BD!$B$3:$B$5001,$D$2)))</f>
        <v>0</v>
      </c>
      <c r="J42" s="32">
        <f>IF($B42="","",IF($B$2="Todos",SUMIFS(BD!$J$3:$J$5001,BD!$A$3:$A$5001,$B42),SUMIFS(BD!$J$3:$J$5001,BD!$A$3:$A$5001,$B42,BD!$B$3:$B$5001,$D$2)))</f>
        <v>0</v>
      </c>
      <c r="K42" s="32">
        <f>IF($B42="","",IF($B$2="Todos",SUMIFS(BD!$K$3:$K$5001,BD!$A$3:$A$5001,$B42),SUMIFS(BD!$K$3:$K$5001,BD!$A$3:$A$5001,$B42,BD!$B$3:$B$5001,$D$2)))</f>
        <v>0</v>
      </c>
      <c r="L42" s="32">
        <f>IF($B42="","",IF($B$2="Todos",SUMIFS(BD!$L$3:$L$5001,BD!$A$3:$A$5001,$B42),SUMIFS(BD!$L$3:$L$5001,BD!$A$3:$A$5001,$B42,BD!$B$3:$B$5001,$D$2)))</f>
        <v>0</v>
      </c>
      <c r="M42" s="32">
        <f>IF($B42="","",IF($B$2="Todos",SUMIFS(BD!$M$3:$M$5001,BD!$A$3:$A$5001,$B42),SUMIFS(BD!$M$3:$M$5001,BD!$A$3:$A$5001,$B42,BD!$B$3:$B$5001,$D$2)))</f>
        <v>0</v>
      </c>
      <c r="N42" s="32">
        <f>IF($B42="","",IF($B$2="Todos",SUMIFS(BD!$N$3:$N$5001,BD!$A$3:$A$5001,$B42),SUMIFS(BD!$N$3:$N$5001,BD!$A$3:$A$5001,$B42,BD!$B$3:$B$5001,$D$2)))</f>
        <v>0</v>
      </c>
      <c r="O42" s="32">
        <f>IF($B42="","",IF($B$2="Todos",SUMIFS(BD!$O$3:$O$5001,BD!$A$3:$A$5001,$B42),SUMIFS(BD!$O$3:$O$5001,BD!$A$3:$A$5001,$B42,BD!$B$3:$B$5001,$D$2)))</f>
        <v>0</v>
      </c>
      <c r="P42" s="32">
        <f>IF($B42="","",IF($B$2="Todos",SUMIFS(BD!$P$3:$P$5001,BD!$A$3:$A$5001,$B42),SUMIFS(BD!$P$3:$P$5001,BD!$A$3:$A$5001,$B42,BD!$B$3:$B$5001,$D$2)))</f>
        <v>0</v>
      </c>
      <c r="Q42" s="32">
        <f>IF($B42="","",IF($B$2="Todos",SUMIFS(BD!$Q$3:$Q$5001,BD!$A$3:$A$5001,$B42),SUMIFS(BD!$Q$3:$Q$5001,BD!$A$3:$A$5001,$B42,BD!$B$3:$B$5001,$D$2)))</f>
        <v>0</v>
      </c>
      <c r="R42" s="32">
        <f>IF($B42="","",IF($B$2="Todos",SUMIFS(BD!$R$3:$R$5001,BD!$A$3:$A$5001,$B42),SUMIFS(BD!$R$3:$R$5001,BD!$A$3:$A$5001,$B42,BD!$B$3:$B$5001,$D$2)))</f>
        <v>0</v>
      </c>
      <c r="S42" s="32">
        <f>IF($B42="","",IF($B$2="Todos",SUMIFS(BD!$S$3:$S$5001,BD!$A$3:$A$5001,$B42),SUMIFS(BD!$S$3:$S$5001,BD!$A$3:$A$5001,$B42,BD!$B$3:$B$5001,$D$2)))</f>
        <v>0</v>
      </c>
      <c r="T42" s="46">
        <f>IF($B42="","",IF($B$2="Todos",SUMIFS(BD!$T$3:$T$5001,BD!$A$3:$A$5001,$B42),SUMIFS(BD!$T$3:$T$5001,BD!$A$3:$A$5001,$B42,BD!$B$3:$B$5001,$D$2)))</f>
        <v>0</v>
      </c>
      <c r="U42" s="32">
        <f>IF($B42="","",IF($B$2="Todos",SUMIFS(BD!$U$3:$U$5001,BD!$A$3:$A$5001,$B42),SUMIFS(BD!$U$3:$U$5001,BD!$A$3:$A$5001,$B42,BD!$B$3:$B$5001,$D$2)))</f>
        <v>0</v>
      </c>
      <c r="V42" s="32">
        <f>IF($B42="","",IF($B$2="Todos",SUMIFS(BD!$V$3:$V$5001,BD!$A$3:$A$5001,$B42),SUMIFS(BD!$V$3:$V$5001,BD!$A$3:$A$5001,$B42,BD!$B$3:$B$5001,$D$2)))</f>
        <v>0</v>
      </c>
      <c r="W42" s="32" t="str">
        <f>IF($B$2="Todos",IF(COUNT($C$169:$L$169)=0,"",SUM($C$169:$L$169)),IFERROR(INDEX($C$169:$L$169,MATCH($D$2,$C$138:$L$138,0)),""))</f>
        <v/>
      </c>
      <c r="X42" s="47" t="str">
        <f>IF(Y42="","",IF($B$2="Todos",IF($B$4&gt;0,$B$4,IF($B$2="Todos",IF(COUNT($C$239:$L$239)=0,"",SUM($C$239:$L$239)),IFERROR(INDEX($C$239:$L$239,MATCH($D$2,$C$208:$L$208,0)),""))),IFERROR(INDEX($C$239:$L$239,MATCH($D$2,$C$208:$L$208,0)),"")))</f>
        <v/>
      </c>
      <c r="Y42" s="32" t="str">
        <f>IF($B$2="Todos",IF(COUNT($C$204:$L$204)=0,"",SUM($C$204:$L$204)),IFERROR(INDEX($C$204:$L$204,MATCH($D$2,$C$173:$L$173,0)),""))</f>
        <v/>
      </c>
      <c r="Z42" s="48" t="str">
        <f>IF(AND(ISNUMBER(Y42),ISNUMBER(X42)),IF(X42&gt;0,Y42/X42,""),"")</f>
        <v/>
      </c>
      <c r="AA42" s="32" t="str">
        <f>IF($B$2="Todos",IF(COUNT($C$274:$L$274)=0,"",SUM($C$274:$L$274)),IFERROR(INDEX($C$274:$L$274,MATCH($D$2,$C$243:$L$243,0)),""))</f>
        <v/>
      </c>
      <c r="AB42" s="32">
        <f>IF($B42="","",IF($B$2="Todos",SUMIFS(BD!$AA$3:$AA$5001,BD!$A$3:$A$5001,$B42),SUMIFS(BD!$AA$3:$AA$5001,BD!$A$3:$A$5001,$B42,BD!$B$3:$B$5001,$D$2)))</f>
        <v>0</v>
      </c>
      <c r="AC42" s="32">
        <f>IF($B42="","",IF($B$2="Todos",SUMIFS(BD!$AB$3:$AB$5001,BD!$A$3:$A$5001,$B42),SUMIFS(BD!$AB$3:$AB$5001,BD!$A$3:$A$5001,$B42,BD!$B$3:$B$5001,$D$2)))</f>
        <v>0</v>
      </c>
      <c r="AD42" s="32">
        <f>IF($B42="","",IF($B$2="Todos",SUMIFS(BD!$AC$3:$AC$5001,BD!$A$3:$A$5001,$B42),SUMIFS(BD!$AC$3:$AC$5001,BD!$A$3:$A$5001,$B42,BD!$B$3:$B$5001,$D$2)))</f>
        <v>0</v>
      </c>
      <c r="AE42" s="32">
        <f>IF($B42="","",IF($B$2="Todos",SUMIFS(BD!$AD$3:$AD$5001,BD!$A$3:$A$5001,$B42),SUMIFS(BD!$AD$3:$AD$5001,BD!$A$3:$A$5001,$B42,BD!$B$3:$B$5001,$D$2)))</f>
        <v>0</v>
      </c>
      <c r="AF42" s="32">
        <f>IF($B42="","",IF($B$2="Todos",SUMIFS(BD!$AE$3:$AE$5001,BD!$A$3:$A$5001,$B42),SUMIFS(BD!$AE$3:$AE$5001,BD!$A$3:$A$5001,$B42,BD!$B$3:$B$5001,$D$2)))</f>
        <v>0</v>
      </c>
      <c r="AG42" s="32">
        <f>IF($B42="","",IF($B$2="Todos",SUMIFS(BD!$AF$3:$AF$5001,BD!$A$3:$A$5001,$B42),SUMIFS(BD!$AF$3:$AF$5001,BD!$A$3:$A$5001,$B42,BD!$B$3:$B$5001,$D$2)))</f>
        <v>0</v>
      </c>
      <c r="AH42" s="32">
        <f>IF($B42="","",IF($B$2="Todos",SUMIFS(BD!$AG$3:$AG$5001,BD!$A$3:$A$5001,$B42),SUMIFS(BD!$AG$3:$AG$5001,BD!$A$3:$A$5001,$B42,BD!$B$3:$B$5001,$D$2)))</f>
        <v>0</v>
      </c>
      <c r="AI42" s="49">
        <f>$B$5</f>
        <v>0.7</v>
      </c>
      <c r="AJ42" s="49">
        <f>$B$6</f>
        <v>0.9</v>
      </c>
    </row>
    <row r="43">
      <c r="A43" s="50" t="inlineStr">
        <is>
          <t xml:space="preserve">Realizado no mês (soma · último valor em estoque)</t>
        </is>
      </c>
      <c r="C43" s="52">
        <f>SUM(C12:C42)</f>
        <v>0</v>
      </c>
      <c r="D43" s="52">
        <f>SUM(D12:D42)</f>
        <v>0</v>
      </c>
      <c r="E43" s="58">
        <f>SUM(E12:E42)</f>
        <v>0</v>
      </c>
      <c r="F43" s="52">
        <f>SUM(F12:F42)</f>
        <v>0</v>
      </c>
      <c r="G43" s="52">
        <f>SUM(G12:G42)</f>
        <v>0</v>
      </c>
      <c r="H43" s="52">
        <f>SUM(H12:H42)</f>
        <v>0</v>
      </c>
      <c r="I43" s="52">
        <f>SUM(I12:I42)</f>
        <v>0</v>
      </c>
      <c r="J43" s="52">
        <f>SUM(J12:J42)</f>
        <v>0</v>
      </c>
      <c r="K43" s="52">
        <f>SUM(K12:K42)</f>
        <v>0</v>
      </c>
      <c r="L43" s="52">
        <f>SUM(L12:L42)</f>
        <v>0</v>
      </c>
      <c r="M43" s="52">
        <f>SUM(M12:M42)</f>
        <v>0</v>
      </c>
      <c r="N43" s="52">
        <f>SUM(N12:N42)</f>
        <v>0</v>
      </c>
      <c r="O43" s="52">
        <f>SUM(O12:O42)</f>
        <v>0</v>
      </c>
      <c r="P43" s="52">
        <f>SUM(P12:P42)</f>
        <v>0</v>
      </c>
      <c r="Q43" s="52">
        <f>SUM(Q12:Q42)</f>
        <v>0</v>
      </c>
      <c r="R43" s="52">
        <f>SUM(R12:R42)</f>
        <v>0</v>
      </c>
      <c r="S43" s="52">
        <f>SUM(S12:S42)</f>
        <v>0</v>
      </c>
      <c r="T43" s="58">
        <f>SUM(T12:T42)</f>
        <v>0</v>
      </c>
      <c r="U43" s="52">
        <f>SUM(U12:U42)</f>
        <v>0</v>
      </c>
      <c r="V43" s="52">
        <f>SUM(V12:V42)</f>
        <v>0</v>
      </c>
      <c r="W43" s="52" t="str">
        <f>IFERROR(LOOKUP(9.99E+307,W12:W42),"")</f>
        <v/>
      </c>
      <c r="X43" s="52" t="str">
        <f>IFERROR(LOOKUP(9.99E+307,X12:X42),"")</f>
        <v/>
      </c>
      <c r="Y43" s="52" t="str">
        <f>IFERROR(LOOKUP(9.99E+307,Y12:Y42),"")</f>
        <v/>
      </c>
      <c r="Z43" s="59" t="str">
        <f>IFERROR(LOOKUP(9.99E+307,Z12:Z42),"")</f>
        <v/>
      </c>
      <c r="AA43" s="52" t="str">
        <f>IFERROR(LOOKUP(9.99E+307,AA12:AA42),"")</f>
        <v/>
      </c>
      <c r="AB43" s="52">
        <f>SUM(AB12:AB42)</f>
        <v>0</v>
      </c>
      <c r="AC43" s="52">
        <f>SUM(AC12:AC42)</f>
        <v>0</v>
      </c>
      <c r="AD43" s="52">
        <f>SUM(AD12:AD42)</f>
        <v>0</v>
      </c>
      <c r="AE43" s="52">
        <f>SUM(AE12:AE42)</f>
        <v>0</v>
      </c>
      <c r="AF43" s="52">
        <f>SUM(AF12:AF42)</f>
        <v>0</v>
      </c>
      <c r="AG43" s="52">
        <f>SUM(AG12:AG42)</f>
        <v>0</v>
      </c>
      <c r="AH43" s="52">
        <f>SUM(AH12:AH42)</f>
        <v>0</v>
      </c>
    </row>
    <row r="44">
      <c r="A44" s="51" t="inlineStr">
        <is>
          <t xml:space="preserve">Média por dia</t>
        </is>
      </c>
      <c r="C44" s="53" t="str">
        <f>IFERROR(AVERAGEIF(C12:C42,"&gt;0"),"")</f>
        <v/>
      </c>
      <c r="D44" s="53" t="str">
        <f>IFERROR(AVERAGEIF(D12:D42,"&gt;0"),"")</f>
        <v/>
      </c>
      <c r="E44" s="53" t="str">
        <f>IFERROR(AVERAGEIF(E12:E42,"&gt;0"),"")</f>
        <v/>
      </c>
      <c r="F44" s="53" t="str">
        <f>IFERROR(AVERAGEIF(F12:F42,"&gt;0"),"")</f>
        <v/>
      </c>
      <c r="G44" s="53" t="str">
        <f>IFERROR(AVERAGEIF(G12:G42,"&gt;0"),"")</f>
        <v/>
      </c>
      <c r="H44" s="53" t="str">
        <f>IFERROR(AVERAGEIF(H12:H42,"&gt;0"),"")</f>
        <v/>
      </c>
      <c r="I44" s="53" t="str">
        <f>IFERROR(AVERAGEIF(I12:I42,"&gt;0"),"")</f>
        <v/>
      </c>
      <c r="J44" s="53" t="str">
        <f>IFERROR(AVERAGEIF(J12:J42,"&gt;0"),"")</f>
        <v/>
      </c>
      <c r="K44" s="53" t="str">
        <f>IFERROR(AVERAGEIF(K12:K42,"&gt;0"),"")</f>
        <v/>
      </c>
      <c r="L44" s="53" t="str">
        <f>IFERROR(AVERAGEIF(L12:L42,"&gt;0"),"")</f>
        <v/>
      </c>
      <c r="M44" s="53" t="str">
        <f>IFERROR(AVERAGEIF(M12:M42,"&gt;0"),"")</f>
        <v/>
      </c>
      <c r="N44" s="53" t="str">
        <f>IFERROR(AVERAGEIF(N12:N42,"&gt;0"),"")</f>
        <v/>
      </c>
      <c r="O44" s="53" t="str">
        <f>IFERROR(AVERAGEIF(O12:O42,"&gt;0"),"")</f>
        <v/>
      </c>
      <c r="P44" s="53" t="str">
        <f>IFERROR(AVERAGEIF(P12:P42,"&gt;0"),"")</f>
        <v/>
      </c>
      <c r="Q44" s="53" t="str">
        <f>IFERROR(AVERAGEIF(Q12:Q42,"&gt;0"),"")</f>
        <v/>
      </c>
      <c r="R44" s="53" t="str">
        <f>IFERROR(AVERAGEIF(R12:R42,"&gt;0"),"")</f>
        <v/>
      </c>
      <c r="S44" s="53" t="str">
        <f>IFERROR(AVERAGEIF(S12:S42,"&gt;0"),"")</f>
        <v/>
      </c>
      <c r="T44" s="53" t="str">
        <f>IFERROR(AVERAGEIF(T12:T42,"&gt;0"),"")</f>
        <v/>
      </c>
      <c r="U44" s="53" t="str">
        <f>IFERROR(AVERAGEIF(U12:U42,"&gt;0"),"")</f>
        <v/>
      </c>
      <c r="V44" s="53" t="str">
        <f>IFERROR(AVERAGEIF(V12:V42,"&gt;0"),"")</f>
        <v/>
      </c>
      <c r="W44" s="53" t="str">
        <f>IFERROR(AVERAGE(W12:W42),"")</f>
        <v/>
      </c>
      <c r="X44" s="53" t="str">
        <f>IFERROR(AVERAGE(X12:X42),"")</f>
        <v/>
      </c>
      <c r="Y44" s="53" t="str">
        <f>IFERROR(AVERAGE(Y12:Y42),"")</f>
        <v/>
      </c>
      <c r="Z44" s="55" t="str">
        <f>IFERROR(AVERAGE(Z12:Z42),"")</f>
        <v/>
      </c>
      <c r="AA44" s="53" t="str">
        <f>IFERROR(AVERAGE(AA12:AA42),"")</f>
        <v/>
      </c>
      <c r="AB44" s="53" t="str">
        <f>IFERROR(AVERAGEIF(AB12:AB42,"&gt;0"),"")</f>
        <v/>
      </c>
      <c r="AC44" s="53" t="str">
        <f>IFERROR(AVERAGEIF(AC12:AC42,"&gt;0"),"")</f>
        <v/>
      </c>
      <c r="AD44" s="53" t="str">
        <f>IFERROR(AVERAGEIF(AD12:AD42,"&gt;0"),"")</f>
        <v/>
      </c>
      <c r="AE44" s="53" t="str">
        <f>IFERROR(AVERAGEIF(AE12:AE42,"&gt;0"),"")</f>
        <v/>
      </c>
      <c r="AF44" s="53" t="str">
        <f>IFERROR(AVERAGEIF(AF12:AF42,"&gt;0"),"")</f>
        <v/>
      </c>
      <c r="AG44" s="53" t="str">
        <f>IFERROR(AVERAGEIF(AG12:AG42,"&gt;0"),"")</f>
        <v/>
      </c>
      <c r="AH44" s="53" t="str">
        <f>IFERROR(AVERAGEIF(AH12:AH42,"&gt;0"),"")</f>
        <v/>
      </c>
    </row>
    <row r="45">
      <c r="A45" s="51" t="inlineStr">
        <is>
          <t xml:space="preserve">Máximo em um dia</t>
        </is>
      </c>
      <c r="C45" s="54">
        <f>IF(COUNT(C12:C42)=0,"",MAX(C12:C42))</f>
        <v>0</v>
      </c>
      <c r="D45" s="54">
        <f>IF(COUNT(D12:D42)=0,"",MAX(D12:D42))</f>
        <v>0</v>
      </c>
      <c r="E45" s="53">
        <f>IF(COUNT(E12:E42)=0,"",MAX(E12:E42))</f>
        <v>0</v>
      </c>
      <c r="F45" s="54">
        <f>IF(COUNT(F12:F42)=0,"",MAX(F12:F42))</f>
        <v>0</v>
      </c>
      <c r="G45" s="54">
        <f>IF(COUNT(G12:G42)=0,"",MAX(G12:G42))</f>
        <v>0</v>
      </c>
      <c r="H45" s="54">
        <f>IF(COUNT(H12:H42)=0,"",MAX(H12:H42))</f>
        <v>0</v>
      </c>
      <c r="I45" s="54">
        <f>IF(COUNT(I12:I42)=0,"",MAX(I12:I42))</f>
        <v>0</v>
      </c>
      <c r="J45" s="54">
        <f>IF(COUNT(J12:J42)=0,"",MAX(J12:J42))</f>
        <v>0</v>
      </c>
      <c r="K45" s="54">
        <f>IF(COUNT(K12:K42)=0,"",MAX(K12:K42))</f>
        <v>0</v>
      </c>
      <c r="L45" s="54">
        <f>IF(COUNT(L12:L42)=0,"",MAX(L12:L42))</f>
        <v>0</v>
      </c>
      <c r="M45" s="54">
        <f>IF(COUNT(M12:M42)=0,"",MAX(M12:M42))</f>
        <v>0</v>
      </c>
      <c r="N45" s="54">
        <f>IF(COUNT(N12:N42)=0,"",MAX(N12:N42))</f>
        <v>0</v>
      </c>
      <c r="O45" s="54">
        <f>IF(COUNT(O12:O42)=0,"",MAX(O12:O42))</f>
        <v>0</v>
      </c>
      <c r="P45" s="54">
        <f>IF(COUNT(P12:P42)=0,"",MAX(P12:P42))</f>
        <v>0</v>
      </c>
      <c r="Q45" s="54">
        <f>IF(COUNT(Q12:Q42)=0,"",MAX(Q12:Q42))</f>
        <v>0</v>
      </c>
      <c r="R45" s="54">
        <f>IF(COUNT(R12:R42)=0,"",MAX(R12:R42))</f>
        <v>0</v>
      </c>
      <c r="S45" s="54">
        <f>IF(COUNT(S12:S42)=0,"",MAX(S12:S42))</f>
        <v>0</v>
      </c>
      <c r="T45" s="53">
        <f>IF(COUNT(T12:T42)=0,"",MAX(T12:T42))</f>
        <v>0</v>
      </c>
      <c r="U45" s="54">
        <f>IF(COUNT(U12:U42)=0,"",MAX(U12:U42))</f>
        <v>0</v>
      </c>
      <c r="V45" s="54">
        <f>IF(COUNT(V12:V42)=0,"",MAX(V12:V42))</f>
        <v>0</v>
      </c>
      <c r="W45" s="54" t="str">
        <f>IF(COUNT(W12:W42)=0,"",MAX(W12:W42))</f>
        <v/>
      </c>
      <c r="X45" s="54" t="str">
        <f>IF(COUNT(X12:X42)=0,"",MAX(X12:X42))</f>
        <v/>
      </c>
      <c r="Y45" s="54" t="str">
        <f>IF(COUNT(Y12:Y42)=0,"",MAX(Y12:Y42))</f>
        <v/>
      </c>
      <c r="Z45" s="55" t="str">
        <f>IF(COUNT(Z12:Z42)=0,"",MAX(Z12:Z42))</f>
        <v/>
      </c>
      <c r="AA45" s="54" t="str">
        <f>IF(COUNT(AA12:AA42)=0,"",MAX(AA12:AA42))</f>
        <v/>
      </c>
      <c r="AB45" s="54">
        <f>IF(COUNT(AB12:AB42)=0,"",MAX(AB12:AB42))</f>
        <v>0</v>
      </c>
      <c r="AC45" s="54">
        <f>IF(COUNT(AC12:AC42)=0,"",MAX(AC12:AC42))</f>
        <v>0</v>
      </c>
      <c r="AD45" s="54">
        <f>IF(COUNT(AD12:AD42)=0,"",MAX(AD12:AD42))</f>
        <v>0</v>
      </c>
      <c r="AE45" s="54">
        <f>IF(COUNT(AE12:AE42)=0,"",MAX(AE12:AE42))</f>
        <v>0</v>
      </c>
      <c r="AF45" s="54">
        <f>IF(COUNT(AF12:AF42)=0,"",MAX(AF12:AF42))</f>
        <v>0</v>
      </c>
      <c r="AG45" s="54">
        <f>IF(COUNT(AG12:AG42)=0,"",MAX(AG12:AG42))</f>
        <v>0</v>
      </c>
      <c r="AH45" s="54">
        <f>IF(COUNT(AH12:AH42)=0,"",MAX(AH12:AH42))</f>
        <v>0</v>
      </c>
    </row>
    <row r="46">
      <c r="A46" s="51" t="inlineStr">
        <is>
          <t xml:space="preserve">Mês anterior (mesmo intervalo)</t>
        </is>
      </c>
      <c r="C46" s="54" t="str">
        <f>IF($B$9=0,"",IF($B$2="Todos",SUMIFS(BD!$C$3:$C$5001,BD!$A$3:$A$5001,"&gt;="&amp;$C$8,BD!$A$3:$A$5001,"&lt;="&amp;$D$8),SUMIFS(BD!$C$3:$C$5001,BD!$A$3:$A$5001,"&gt;="&amp;$C$8,BD!$A$3:$A$5001,"&lt;="&amp;$D$8,BD!$B$3:$B$5001,$D$2)))</f>
        <v/>
      </c>
      <c r="D46" s="54" t="str">
        <f>IF($B$9=0,"",IF($B$2="Todos",SUMIFS(BD!$D$3:$D$5001,BD!$A$3:$A$5001,"&gt;="&amp;$C$8,BD!$A$3:$A$5001,"&lt;="&amp;$D$8),SUMIFS(BD!$D$3:$D$5001,BD!$A$3:$A$5001,"&gt;="&amp;$C$8,BD!$A$3:$A$5001,"&lt;="&amp;$D$8,BD!$B$3:$B$5001,$D$2)))</f>
        <v/>
      </c>
      <c r="E46" s="53" t="str">
        <f>IF($B$9=0,"",IF($B$2="Todos",SUMIFS(BD!$E$3:$E$5001,BD!$A$3:$A$5001,"&gt;="&amp;$C$8,BD!$A$3:$A$5001,"&lt;="&amp;$D$8),SUMIFS(BD!$E$3:$E$5001,BD!$A$3:$A$5001,"&gt;="&amp;$C$8,BD!$A$3:$A$5001,"&lt;="&amp;$D$8,BD!$B$3:$B$5001,$D$2)))</f>
        <v/>
      </c>
      <c r="F46" s="54" t="str">
        <f>IF($B$9=0,"",IF($B$2="Todos",SUMIFS(BD!$F$3:$F$5001,BD!$A$3:$A$5001,"&gt;="&amp;$C$8,BD!$A$3:$A$5001,"&lt;="&amp;$D$8),SUMIFS(BD!$F$3:$F$5001,BD!$A$3:$A$5001,"&gt;="&amp;$C$8,BD!$A$3:$A$5001,"&lt;="&amp;$D$8,BD!$B$3:$B$5001,$D$2)))</f>
        <v/>
      </c>
      <c r="G46" s="54" t="str">
        <f>IF($B$9=0,"",IF($B$2="Todos",SUMIFS(BD!$G$3:$G$5001,BD!$A$3:$A$5001,"&gt;="&amp;$C$8,BD!$A$3:$A$5001,"&lt;="&amp;$D$8),SUMIFS(BD!$G$3:$G$5001,BD!$A$3:$A$5001,"&gt;="&amp;$C$8,BD!$A$3:$A$5001,"&lt;="&amp;$D$8,BD!$B$3:$B$5001,$D$2)))</f>
        <v/>
      </c>
      <c r="H46" s="54" t="str">
        <f>IF($B$9=0,"",IF($B$2="Todos",SUMIFS(BD!$H$3:$H$5001,BD!$A$3:$A$5001,"&gt;="&amp;$C$8,BD!$A$3:$A$5001,"&lt;="&amp;$D$8),SUMIFS(BD!$H$3:$H$5001,BD!$A$3:$A$5001,"&gt;="&amp;$C$8,BD!$A$3:$A$5001,"&lt;="&amp;$D$8,BD!$B$3:$B$5001,$D$2)))</f>
        <v/>
      </c>
      <c r="I46" s="54" t="str">
        <f>IF($B$9=0,"",IF($B$2="Todos",SUMIFS(BD!$I$3:$I$5001,BD!$A$3:$A$5001,"&gt;="&amp;$C$8,BD!$A$3:$A$5001,"&lt;="&amp;$D$8),SUMIFS(BD!$I$3:$I$5001,BD!$A$3:$A$5001,"&gt;="&amp;$C$8,BD!$A$3:$A$5001,"&lt;="&amp;$D$8,BD!$B$3:$B$5001,$D$2)))</f>
        <v/>
      </c>
      <c r="J46" s="54" t="str">
        <f>IF($B$9=0,"",IF($B$2="Todos",SUMIFS(BD!$J$3:$J$5001,BD!$A$3:$A$5001,"&gt;="&amp;$C$8,BD!$A$3:$A$5001,"&lt;="&amp;$D$8),SUMIFS(BD!$J$3:$J$5001,BD!$A$3:$A$5001,"&gt;="&amp;$C$8,BD!$A$3:$A$5001,"&lt;="&amp;$D$8,BD!$B$3:$B$5001,$D$2)))</f>
        <v/>
      </c>
      <c r="K46" s="54" t="str">
        <f>IF($B$9=0,"",IF($B$2="Todos",SUMIFS(BD!$K$3:$K$5001,BD!$A$3:$A$5001,"&gt;="&amp;$C$8,BD!$A$3:$A$5001,"&lt;="&amp;$D$8),SUMIFS(BD!$K$3:$K$5001,BD!$A$3:$A$5001,"&gt;="&amp;$C$8,BD!$A$3:$A$5001,"&lt;="&amp;$D$8,BD!$B$3:$B$5001,$D$2)))</f>
        <v/>
      </c>
      <c r="L46" s="54" t="str">
        <f>IF($B$9=0,"",IF($B$2="Todos",SUMIFS(BD!$L$3:$L$5001,BD!$A$3:$A$5001,"&gt;="&amp;$C$8,BD!$A$3:$A$5001,"&lt;="&amp;$D$8),SUMIFS(BD!$L$3:$L$5001,BD!$A$3:$A$5001,"&gt;="&amp;$C$8,BD!$A$3:$A$5001,"&lt;="&amp;$D$8,BD!$B$3:$B$5001,$D$2)))</f>
        <v/>
      </c>
      <c r="M46" s="54" t="str">
        <f>IF($B$9=0,"",IF($B$2="Todos",SUMIFS(BD!$M$3:$M$5001,BD!$A$3:$A$5001,"&gt;="&amp;$C$8,BD!$A$3:$A$5001,"&lt;="&amp;$D$8),SUMIFS(BD!$M$3:$M$5001,BD!$A$3:$A$5001,"&gt;="&amp;$C$8,BD!$A$3:$A$5001,"&lt;="&amp;$D$8,BD!$B$3:$B$5001,$D$2)))</f>
        <v/>
      </c>
      <c r="N46" s="54" t="str">
        <f>IF($B$9=0,"",IF($B$2="Todos",SUMIFS(BD!$N$3:$N$5001,BD!$A$3:$A$5001,"&gt;="&amp;$C$8,BD!$A$3:$A$5001,"&lt;="&amp;$D$8),SUMIFS(BD!$N$3:$N$5001,BD!$A$3:$A$5001,"&gt;="&amp;$C$8,BD!$A$3:$A$5001,"&lt;="&amp;$D$8,BD!$B$3:$B$5001,$D$2)))</f>
        <v/>
      </c>
      <c r="O46" s="54" t="str">
        <f>IF($B$9=0,"",IF($B$2="Todos",SUMIFS(BD!$O$3:$O$5001,BD!$A$3:$A$5001,"&gt;="&amp;$C$8,BD!$A$3:$A$5001,"&lt;="&amp;$D$8),SUMIFS(BD!$O$3:$O$5001,BD!$A$3:$A$5001,"&gt;="&amp;$C$8,BD!$A$3:$A$5001,"&lt;="&amp;$D$8,BD!$B$3:$B$5001,$D$2)))</f>
        <v/>
      </c>
      <c r="P46" s="54" t="str">
        <f>IF($B$9=0,"",IF($B$2="Todos",SUMIFS(BD!$P$3:$P$5001,BD!$A$3:$A$5001,"&gt;="&amp;$C$8,BD!$A$3:$A$5001,"&lt;="&amp;$D$8),SUMIFS(BD!$P$3:$P$5001,BD!$A$3:$A$5001,"&gt;="&amp;$C$8,BD!$A$3:$A$5001,"&lt;="&amp;$D$8,BD!$B$3:$B$5001,$D$2)))</f>
        <v/>
      </c>
      <c r="Q46" s="54" t="str">
        <f>IF($B$9=0,"",IF($B$2="Todos",SUMIFS(BD!$Q$3:$Q$5001,BD!$A$3:$A$5001,"&gt;="&amp;$C$8,BD!$A$3:$A$5001,"&lt;="&amp;$D$8),SUMIFS(BD!$Q$3:$Q$5001,BD!$A$3:$A$5001,"&gt;="&amp;$C$8,BD!$A$3:$A$5001,"&lt;="&amp;$D$8,BD!$B$3:$B$5001,$D$2)))</f>
        <v/>
      </c>
      <c r="R46" s="54" t="str">
        <f>IF($B$9=0,"",IF($B$2="Todos",SUMIFS(BD!$R$3:$R$5001,BD!$A$3:$A$5001,"&gt;="&amp;$C$8,BD!$A$3:$A$5001,"&lt;="&amp;$D$8),SUMIFS(BD!$R$3:$R$5001,BD!$A$3:$A$5001,"&gt;="&amp;$C$8,BD!$A$3:$A$5001,"&lt;="&amp;$D$8,BD!$B$3:$B$5001,$D$2)))</f>
        <v/>
      </c>
      <c r="S46" s="54" t="str">
        <f>IF($B$9=0,"",IF($B$2="Todos",SUMIFS(BD!$S$3:$S$5001,BD!$A$3:$A$5001,"&gt;="&amp;$C$8,BD!$A$3:$A$5001,"&lt;="&amp;$D$8),SUMIFS(BD!$S$3:$S$5001,BD!$A$3:$A$5001,"&gt;="&amp;$C$8,BD!$A$3:$A$5001,"&lt;="&amp;$D$8,BD!$B$3:$B$5001,$D$2)))</f>
        <v/>
      </c>
      <c r="T46" s="53" t="str">
        <f>IF($B$9=0,"",IF($B$2="Todos",SUMIFS(BD!$T$3:$T$5001,BD!$A$3:$A$5001,"&gt;="&amp;$C$8,BD!$A$3:$A$5001,"&lt;="&amp;$D$8),SUMIFS(BD!$T$3:$T$5001,BD!$A$3:$A$5001,"&gt;="&amp;$C$8,BD!$A$3:$A$5001,"&lt;="&amp;$D$8,BD!$B$3:$B$5001,$D$2)))</f>
        <v/>
      </c>
      <c r="U46" s="54" t="str">
        <f>IF($B$9=0,"",IF($B$2="Todos",SUMIFS(BD!$U$3:$U$5001,BD!$A$3:$A$5001,"&gt;="&amp;$C$8,BD!$A$3:$A$5001,"&lt;="&amp;$D$8),SUMIFS(BD!$U$3:$U$5001,BD!$A$3:$A$5001,"&gt;="&amp;$C$8,BD!$A$3:$A$5001,"&lt;="&amp;$D$8,BD!$B$3:$B$5001,$D$2)))</f>
        <v/>
      </c>
      <c r="V46" s="54" t="str">
        <f>IF($B$9=0,"",IF($B$2="Todos",SUMIFS(BD!$V$3:$V$5001,BD!$A$3:$A$5001,"&gt;="&amp;$C$8,BD!$A$3:$A$5001,"&lt;="&amp;$D$8),SUMIFS(BD!$V$3:$V$5001,BD!$A$3:$A$5001,"&gt;="&amp;$C$8,BD!$A$3:$A$5001,"&lt;="&amp;$D$8,BD!$B$3:$B$5001,$D$2)))</f>
        <v/>
      </c>
      <c r="W46" s="54" t="str">
        <f>IF($B$9=0,"",IF($B$2="Todos",IF(COUNT($C$170:$L$170)=0,"",SUM($C$170:$L$170)),IFERROR(INDEX($C$170:$L$170,MATCH($D$2,$C$138:$L$138,0)),"")))</f>
        <v/>
      </c>
      <c r="X46" s="54" t="str">
        <f>IF(Y46="","",IF($B$2="Todos",IF($B$4&gt;0,$B$4,IF($B$2="Todos",IF(COUNT($C$240:$L$240)=0,"",SUM($C$240:$L$240)),IFERROR(INDEX($C$240:$L$240,MATCH($D$2,$C$208:$L$208,0)),""))),IFERROR(INDEX($C$240:$L$240,MATCH($D$2,$C$208:$L$208,0)),"")))</f>
        <v/>
      </c>
      <c r="Y46" s="54" t="str">
        <f>IF($B$9=0,"",IF($B$2="Todos",IF(COUNT($C$205:$L$205)=0,"",SUM($C$205:$L$205)),IFERROR(INDEX($C$205:$L$205,MATCH($D$2,$C$173:$L$173,0)),"")))</f>
        <v/>
      </c>
      <c r="Z46" s="55" t="str">
        <f>IF(AND(ISNUMBER(Y46),ISNUMBER(X46)),IF(X46&gt;0,Y46/X46,""),"")</f>
        <v/>
      </c>
      <c r="AA46" s="54" t="str">
        <f>IF($B$9=0,"",IF($B$2="Todos",IF(COUNT($C$275:$L$275)=0,"",SUM($C$275:$L$275)),IFERROR(INDEX($C$275:$L$275,MATCH($D$2,$C$243:$L$243,0)),"")))</f>
        <v/>
      </c>
      <c r="AB46" s="54" t="str">
        <f>IF($B$9=0,"",IF($B$2="Todos",SUMIFS(BD!$AA$3:$AA$5001,BD!$A$3:$A$5001,"&gt;="&amp;$C$8,BD!$A$3:$A$5001,"&lt;="&amp;$D$8),SUMIFS(BD!$AA$3:$AA$5001,BD!$A$3:$A$5001,"&gt;="&amp;$C$8,BD!$A$3:$A$5001,"&lt;="&amp;$D$8,BD!$B$3:$B$5001,$D$2)))</f>
        <v/>
      </c>
      <c r="AC46" s="54" t="str">
        <f>IF($B$9=0,"",IF($B$2="Todos",SUMIFS(BD!$AB$3:$AB$5001,BD!$A$3:$A$5001,"&gt;="&amp;$C$8,BD!$A$3:$A$5001,"&lt;="&amp;$D$8),SUMIFS(BD!$AB$3:$AB$5001,BD!$A$3:$A$5001,"&gt;="&amp;$C$8,BD!$A$3:$A$5001,"&lt;="&amp;$D$8,BD!$B$3:$B$5001,$D$2)))</f>
        <v/>
      </c>
      <c r="AD46" s="54" t="str">
        <f>IF($B$9=0,"",IF($B$2="Todos",SUMIFS(BD!$AC$3:$AC$5001,BD!$A$3:$A$5001,"&gt;="&amp;$C$8,BD!$A$3:$A$5001,"&lt;="&amp;$D$8),SUMIFS(BD!$AC$3:$AC$5001,BD!$A$3:$A$5001,"&gt;="&amp;$C$8,BD!$A$3:$A$5001,"&lt;="&amp;$D$8,BD!$B$3:$B$5001,$D$2)))</f>
        <v/>
      </c>
      <c r="AE46" s="54" t="str">
        <f>IF($B$9=0,"",IF($B$2="Todos",SUMIFS(BD!$AD$3:$AD$5001,BD!$A$3:$A$5001,"&gt;="&amp;$C$8,BD!$A$3:$A$5001,"&lt;="&amp;$D$8),SUMIFS(BD!$AD$3:$AD$5001,BD!$A$3:$A$5001,"&gt;="&amp;$C$8,BD!$A$3:$A$5001,"&lt;="&amp;$D$8,BD!$B$3:$B$5001,$D$2)))</f>
        <v/>
      </c>
      <c r="AF46" s="54" t="str">
        <f>IF($B$9=0,"",IF($B$2="Todos",SUMIFS(BD!$AE$3:$AE$5001,BD!$A$3:$A$5001,"&gt;="&amp;$C$8,BD!$A$3:$A$5001,"&lt;="&amp;$D$8),SUMIFS(BD!$AE$3:$AE$5001,BD!$A$3:$A$5001,"&gt;="&amp;$C$8,BD!$A$3:$A$5001,"&lt;="&amp;$D$8,BD!$B$3:$B$5001,$D$2)))</f>
        <v/>
      </c>
      <c r="AG46" s="54" t="str">
        <f>IF($B$9=0,"",IF($B$2="Todos",SUMIFS(BD!$AF$3:$AF$5001,BD!$A$3:$A$5001,"&gt;="&amp;$C$8,BD!$A$3:$A$5001,"&lt;="&amp;$D$8),SUMIFS(BD!$AF$3:$AF$5001,BD!$A$3:$A$5001,"&gt;="&amp;$C$8,BD!$A$3:$A$5001,"&lt;="&amp;$D$8,BD!$B$3:$B$5001,$D$2)))</f>
        <v/>
      </c>
      <c r="AH46" s="54" t="str">
        <f>IF($B$9=0,"",IF($B$2="Todos",SUMIFS(BD!$AG$3:$AG$5001,BD!$A$3:$A$5001,"&gt;="&amp;$C$8,BD!$A$3:$A$5001,"&lt;="&amp;$D$8),SUMIFS(BD!$AG$3:$AG$5001,BD!$A$3:$A$5001,"&gt;="&amp;$C$8,BD!$A$3:$A$5001,"&lt;="&amp;$D$8,BD!$B$3:$B$5001,$D$2)))</f>
        <v/>
      </c>
    </row>
    <row r="47">
      <c r="A47" s="51" t="inlineStr">
        <is>
          <t xml:space="preserve">Variação vs mês anterior</t>
        </is>
      </c>
      <c r="C47" s="55" t="str">
        <f>IF(AND(ISNUMBER(C43),ISNUMBER(C46)),IF(C46&lt;&gt;0,C43/C46-1,""),"")</f>
        <v/>
      </c>
      <c r="D47" s="55" t="str">
        <f>IF(AND(ISNUMBER(D43),ISNUMBER(D46)),IF(D46&lt;&gt;0,D43/D46-1,""),"")</f>
        <v/>
      </c>
      <c r="E47" s="55" t="str">
        <f>IF(AND(ISNUMBER(E43),ISNUMBER(E46)),IF(E46&lt;&gt;0,E43/E46-1,""),"")</f>
        <v/>
      </c>
      <c r="F47" s="55" t="str">
        <f>IF(AND(ISNUMBER(F43),ISNUMBER(F46)),IF(F46&lt;&gt;0,F43/F46-1,""),"")</f>
        <v/>
      </c>
      <c r="G47" s="55" t="str">
        <f>IF(AND(ISNUMBER(G43),ISNUMBER(G46)),IF(G46&lt;&gt;0,G43/G46-1,""),"")</f>
        <v/>
      </c>
      <c r="H47" s="55" t="str">
        <f>IF(AND(ISNUMBER(H43),ISNUMBER(H46)),IF(H46&lt;&gt;0,H43/H46-1,""),"")</f>
        <v/>
      </c>
      <c r="I47" s="55" t="str">
        <f>IF(AND(ISNUMBER(I43),ISNUMBER(I46)),IF(I46&lt;&gt;0,I43/I46-1,""),"")</f>
        <v/>
      </c>
      <c r="J47" s="55" t="str">
        <f>IF(AND(ISNUMBER(J43),ISNUMBER(J46)),IF(J46&lt;&gt;0,J43/J46-1,""),"")</f>
        <v/>
      </c>
      <c r="K47" s="55" t="str">
        <f>IF(AND(ISNUMBER(K43),ISNUMBER(K46)),IF(K46&lt;&gt;0,K43/K46-1,""),"")</f>
        <v/>
      </c>
      <c r="L47" s="55" t="str">
        <f>IF(AND(ISNUMBER(L43),ISNUMBER(L46)),IF(L46&lt;&gt;0,L43/L46-1,""),"")</f>
        <v/>
      </c>
      <c r="M47" s="55" t="str">
        <f>IF(AND(ISNUMBER(M43),ISNUMBER(M46)),IF(M46&lt;&gt;0,M43/M46-1,""),"")</f>
        <v/>
      </c>
      <c r="N47" s="55" t="str">
        <f>IF(AND(ISNUMBER(N43),ISNUMBER(N46)),IF(N46&lt;&gt;0,N43/N46-1,""),"")</f>
        <v/>
      </c>
      <c r="O47" s="55" t="str">
        <f>IF(AND(ISNUMBER(O43),ISNUMBER(O46)),IF(O46&lt;&gt;0,O43/O46-1,""),"")</f>
        <v/>
      </c>
      <c r="P47" s="55" t="str">
        <f>IF(AND(ISNUMBER(P43),ISNUMBER(P46)),IF(P46&lt;&gt;0,P43/P46-1,""),"")</f>
        <v/>
      </c>
      <c r="Q47" s="55" t="str">
        <f>IF(AND(ISNUMBER(Q43),ISNUMBER(Q46)),IF(Q46&lt;&gt;0,Q43/Q46-1,""),"")</f>
        <v/>
      </c>
      <c r="R47" s="55" t="str">
        <f>IF(AND(ISNUMBER(R43),ISNUMBER(R46)),IF(R46&lt;&gt;0,R43/R46-1,""),"")</f>
        <v/>
      </c>
      <c r="S47" s="55" t="str">
        <f>IF(AND(ISNUMBER(S43),ISNUMBER(S46)),IF(S46&lt;&gt;0,S43/S46-1,""),"")</f>
        <v/>
      </c>
      <c r="T47" s="55" t="str">
        <f>IF(AND(ISNUMBER(T43),ISNUMBER(T46)),IF(T46&lt;&gt;0,T43/T46-1,""),"")</f>
        <v/>
      </c>
      <c r="U47" s="55" t="str">
        <f>IF(AND(ISNUMBER(U43),ISNUMBER(U46)),IF(U46&lt;&gt;0,U43/U46-1,""),"")</f>
        <v/>
      </c>
      <c r="V47" s="55" t="str">
        <f>IF(AND(ISNUMBER(V43),ISNUMBER(V46)),IF(V46&lt;&gt;0,V43/V46-1,""),"")</f>
        <v/>
      </c>
      <c r="W47" s="55" t="str">
        <f>IF(AND(ISNUMBER(W43),ISNUMBER(W46)),IF(W46&lt;&gt;0,W43/W46-1,""),"")</f>
        <v/>
      </c>
      <c r="X47" s="55" t="str">
        <f>IF(AND(ISNUMBER(X43),ISNUMBER(X46)),IF(X46&lt;&gt;0,X43/X46-1,""),"")</f>
        <v/>
      </c>
      <c r="Y47" s="55" t="str">
        <f>IF(AND(ISNUMBER(Y43),ISNUMBER(Y46)),IF(Y46&lt;&gt;0,Y43/Y46-1,""),"")</f>
        <v/>
      </c>
      <c r="Z47" s="55" t="str">
        <f>IF(AND(ISNUMBER(Z43),ISNUMBER(Z46)),IF(Z46&lt;&gt;0,Z43/Z46-1,""),"")</f>
        <v/>
      </c>
      <c r="AA47" s="55" t="str">
        <f>IF(AND(ISNUMBER(AA43),ISNUMBER(AA46)),IF(AA46&lt;&gt;0,AA43/AA46-1,""),"")</f>
        <v/>
      </c>
      <c r="AB47" s="55" t="str">
        <f>IF(AND(ISNUMBER(AB43),ISNUMBER(AB46)),IF(AB46&lt;&gt;0,AB43/AB46-1,""),"")</f>
        <v/>
      </c>
      <c r="AC47" s="55" t="str">
        <f>IF(AND(ISNUMBER(AC43),ISNUMBER(AC46)),IF(AC46&lt;&gt;0,AC43/AC46-1,""),"")</f>
        <v/>
      </c>
      <c r="AD47" s="55" t="str">
        <f>IF(AND(ISNUMBER(AD43),ISNUMBER(AD46)),IF(AD46&lt;&gt;0,AD43/AD46-1,""),"")</f>
        <v/>
      </c>
      <c r="AE47" s="55" t="str">
        <f>IF(AND(ISNUMBER(AE43),ISNUMBER(AE46)),IF(AE46&lt;&gt;0,AE43/AE46-1,""),"")</f>
        <v/>
      </c>
      <c r="AF47" s="55" t="str">
        <f>IF(AND(ISNUMBER(AF43),ISNUMBER(AF46)),IF(AF46&lt;&gt;0,AF43/AF46-1,""),"")</f>
        <v/>
      </c>
      <c r="AG47" s="55" t="str">
        <f>IF(AND(ISNUMBER(AG43),ISNUMBER(AG46)),IF(AG46&lt;&gt;0,AG43/AG46-1,""),"")</f>
        <v/>
      </c>
      <c r="AH47" s="55" t="str">
        <f>IF(AND(ISNUMBER(AH43),ISNUMBER(AH46)),IF(AH46&lt;&gt;0,AH43/AH46-1,""),"")</f>
        <v/>
      </c>
    </row>
    <row r="48">
      <c r="A48" s="51" t="inlineStr">
        <is>
          <t xml:space="preserve">Meta (seleção)</t>
        </is>
      </c>
      <c r="C48" s="54" t="str">
        <f>IFERROR(1/(1/INDEX(BD!$AK$23:$AU$23,MATCH($B$2,BD!$AK$22:$AU$22,0))),"")</f>
        <v/>
      </c>
      <c r="D48" s="54" t="str">
        <f>IFERROR(1/(1/INDEX(BD!$AK$24:$AU$24,MATCH($B$2,BD!$AK$22:$AU$22,0))),"")</f>
        <v/>
      </c>
      <c r="E48" s="54" t="str">
        <f>IFERROR(1/(1/INDEX(BD!$AK$25:$AU$25,MATCH($B$2,BD!$AK$22:$AU$22,0))),"")</f>
        <v/>
      </c>
      <c r="F48" s="54" t="str">
        <f>IFERROR(1/(1/INDEX(BD!$AK$26:$AU$26,MATCH($B$2,BD!$AK$22:$AU$22,0))),"")</f>
        <v/>
      </c>
      <c r="G48" s="54" t="str">
        <f>IFERROR(1/(1/INDEX(BD!$AK$27:$AU$27,MATCH($B$2,BD!$AK$22:$AU$22,0))),"")</f>
        <v/>
      </c>
      <c r="H48" s="54" t="str">
        <f>IFERROR(1/(1/INDEX(BD!$AK$28:$AU$28,MATCH($B$2,BD!$AK$22:$AU$22,0))),"")</f>
        <v/>
      </c>
      <c r="I48" s="54" t="str">
        <f>IFERROR(1/(1/INDEX(BD!$AK$29:$AU$29,MATCH($B$2,BD!$AK$22:$AU$22,0))),"")</f>
        <v/>
      </c>
      <c r="J48" s="54" t="str">
        <f>IFERROR(1/(1/INDEX(BD!$AK$30:$AU$30,MATCH($B$2,BD!$AK$22:$AU$22,0))),"")</f>
        <v/>
      </c>
      <c r="K48" s="54" t="str">
        <f>IFERROR(1/(1/INDEX(BD!$AK$31:$AU$31,MATCH($B$2,BD!$AK$22:$AU$22,0))),"")</f>
        <v/>
      </c>
      <c r="L48" s="54" t="str">
        <f>IFERROR(1/(1/INDEX(BD!$AK$32:$AU$32,MATCH($B$2,BD!$AK$22:$AU$22,0))),"")</f>
        <v/>
      </c>
      <c r="M48" s="54" t="str">
        <f>IFERROR(1/(1/INDEX(BD!$AK$33:$AU$33,MATCH($B$2,BD!$AK$22:$AU$22,0))),"")</f>
        <v/>
      </c>
      <c r="N48" s="54" t="str">
        <f>IFERROR(1/(1/INDEX(BD!$AK$34:$AU$34,MATCH($B$2,BD!$AK$22:$AU$22,0))),"")</f>
        <v/>
      </c>
      <c r="O48" s="54" t="str">
        <f>IFERROR(1/(1/INDEX(BD!$AK$35:$AU$35,MATCH($B$2,BD!$AK$22:$AU$22,0))),"")</f>
        <v/>
      </c>
      <c r="P48" s="54" t="str">
        <f>IFERROR(1/(1/INDEX(BD!$AK$36:$AU$36,MATCH($B$2,BD!$AK$22:$AU$22,0))),"")</f>
        <v/>
      </c>
      <c r="Q48" s="54" t="str">
        <f>IFERROR(1/(1/INDEX(BD!$AK$37:$AU$37,MATCH($B$2,BD!$AK$22:$AU$22,0))),"")</f>
        <v/>
      </c>
      <c r="R48" s="54" t="str">
        <f>IFERROR(1/(1/INDEX(BD!$AK$38:$AU$38,MATCH($B$2,BD!$AK$22:$AU$22,0))),"")</f>
        <v/>
      </c>
      <c r="S48" s="54" t="str">
        <f>IFERROR(1/(1/INDEX(BD!$AK$39:$AU$39,MATCH($B$2,BD!$AK$22:$AU$22,0))),"")</f>
        <v/>
      </c>
      <c r="T48" s="54" t="str">
        <f>IFERROR(1/(1/INDEX(BD!$AK$40:$AU$40,MATCH($B$2,BD!$AK$22:$AU$22,0))),"")</f>
        <v/>
      </c>
      <c r="U48" s="54" t="str">
        <f>IFERROR(1/(1/INDEX(BD!$AK$41:$AU$41,MATCH($B$2,BD!$AK$22:$AU$22,0))),"")</f>
        <v/>
      </c>
      <c r="V48" s="54" t="str">
        <f>IFERROR(1/(1/INDEX(BD!$AK$42:$AU$42,MATCH($B$2,BD!$AK$22:$AU$22,0))),"")</f>
        <v/>
      </c>
      <c r="W48" s="54" t="str">
        <f>IFERROR(1/(1/INDEX(BD!$AK$43:$AU$43,MATCH($B$2,BD!$AK$22:$AU$22,0))),"")</f>
        <v/>
      </c>
      <c r="X48" s="54" t="str">
        <f>IFERROR(1/(1/INDEX(BD!$AK$44:$AU$44,MATCH($B$2,BD!$AK$22:$AU$22,0))),"")</f>
        <v/>
      </c>
      <c r="Y48" s="54" t="str">
        <f>IFERROR(1/(1/INDEX(BD!$AK$45:$AU$45,MATCH($B$2,BD!$AK$22:$AU$22,0))),"")</f>
        <v/>
      </c>
      <c r="Z48" s="56" t="str">
        <f>IFERROR(1/(1/INDEX(BD!$AK$46:$AU$46,MATCH($B$2,BD!$AK$22:$AU$22,0))),"")</f>
        <v/>
      </c>
      <c r="AA48" s="54" t="str">
        <f>IFERROR(1/(1/INDEX(BD!$AK$47:$AU$47,MATCH($B$2,BD!$AK$22:$AU$22,0))),"")</f>
        <v/>
      </c>
      <c r="AB48" s="54" t="str">
        <f>IFERROR(1/(1/INDEX(BD!$AK$48:$AU$48,MATCH($B$2,BD!$AK$22:$AU$22,0))),"")</f>
        <v/>
      </c>
      <c r="AC48" s="54" t="str">
        <f>IFERROR(1/(1/INDEX(BD!$AK$49:$AU$49,MATCH($B$2,BD!$AK$22:$AU$22,0))),"")</f>
        <v/>
      </c>
      <c r="AD48" s="54" t="str">
        <f>IFERROR(1/(1/INDEX(BD!$AK$50:$AU$50,MATCH($B$2,BD!$AK$22:$AU$22,0))),"")</f>
        <v/>
      </c>
      <c r="AE48" s="54" t="str">
        <f>IFERROR(1/(1/INDEX(BD!$AK$51:$AU$51,MATCH($B$2,BD!$AK$22:$AU$22,0))),"")</f>
        <v/>
      </c>
      <c r="AF48" s="54" t="str">
        <f>IFERROR(1/(1/INDEX(BD!$AK$52:$AU$52,MATCH($B$2,BD!$AK$22:$AU$22,0))),"")</f>
        <v/>
      </c>
      <c r="AG48" s="54" t="str">
        <f>IFERROR(1/(1/INDEX(BD!$AK$53:$AU$53,MATCH($B$2,BD!$AK$22:$AU$22,0))),"")</f>
        <v/>
      </c>
      <c r="AH48" s="54" t="str">
        <f>IFERROR(1/(1/INDEX(BD!$AK$54:$AU$54,MATCH($B$2,BD!$AK$22:$AU$22,0))),"")</f>
        <v/>
      </c>
    </row>
    <row r="49">
      <c r="A49" s="51" t="inlineStr">
        <is>
          <t xml:space="preserve">% da meta</t>
        </is>
      </c>
      <c r="C49" s="56" t="str">
        <f>IF(AND(ISNUMBER(C48),ISNUMBER(C43)),IF(C48&gt;0,C43/C48,""),"")</f>
        <v/>
      </c>
      <c r="D49" s="56" t="str">
        <f>IF(AND(ISNUMBER(D48),ISNUMBER(D43)),IF(D48&gt;0,D43/D48,""),"")</f>
        <v/>
      </c>
      <c r="E49" s="56" t="str">
        <f>IF(AND(ISNUMBER(E48),ISNUMBER(E43)),IF(E48&gt;0,E43/E48,""),"")</f>
        <v/>
      </c>
      <c r="F49" s="56" t="str">
        <f>IF(AND(ISNUMBER(F48),ISNUMBER(F43)),IF(F48&gt;0,F43/F48,""),"")</f>
        <v/>
      </c>
      <c r="G49" s="56" t="str">
        <f>IF(AND(ISNUMBER(G48),ISNUMBER(G43)),IF(G48&gt;0,G43/G48,""),"")</f>
        <v/>
      </c>
      <c r="H49" s="56" t="str">
        <f>IF(AND(ISNUMBER(H48),ISNUMBER(H43)),IF(H48&gt;0,H43/H48,""),"")</f>
        <v/>
      </c>
      <c r="I49" s="56" t="str">
        <f>IF(AND(ISNUMBER(I48),ISNUMBER(I43)),IF(I48&gt;0,I43/I48,""),"")</f>
        <v/>
      </c>
      <c r="J49" s="56" t="str">
        <f>IF(AND(ISNUMBER(J48),ISNUMBER(J43)),IF(J48&gt;0,J43/J48,""),"")</f>
        <v/>
      </c>
      <c r="K49" s="56" t="str">
        <f>IF(AND(ISNUMBER(K48),ISNUMBER(K43)),IF(K48&gt;0,K43/K48,""),"")</f>
        <v/>
      </c>
      <c r="L49" s="56" t="str">
        <f>IF(AND(ISNUMBER(L48),ISNUMBER(L43)),IF(L48&gt;0,L43/L48,""),"")</f>
        <v/>
      </c>
      <c r="M49" s="56" t="str">
        <f>IF(AND(ISNUMBER(M48),ISNUMBER(M43)),IF(M48&gt;0,M43/M48,""),"")</f>
        <v/>
      </c>
      <c r="N49" s="56" t="str">
        <f>IF(AND(ISNUMBER(N48),ISNUMBER(N43)),IF(N48&gt;0,N43/N48,""),"")</f>
        <v/>
      </c>
      <c r="O49" s="56" t="str">
        <f>IF(AND(ISNUMBER(O48),ISNUMBER(O43)),IF(O48&gt;0,O43/O48,""),"")</f>
        <v/>
      </c>
      <c r="P49" s="56" t="str">
        <f>IF(AND(ISNUMBER(P48),ISNUMBER(P43)),IF(P48&gt;0,P43/P48,""),"")</f>
        <v/>
      </c>
      <c r="Q49" s="56" t="str">
        <f>IF(AND(ISNUMBER(Q48),ISNUMBER(Q43)),IF(Q48&gt;0,Q43/Q48,""),"")</f>
        <v/>
      </c>
      <c r="R49" s="56" t="str">
        <f>IF(AND(ISNUMBER(R48),ISNUMBER(R43)),IF(R48&gt;0,R43/R48,""),"")</f>
        <v/>
      </c>
      <c r="S49" s="56" t="str">
        <f>IF(AND(ISNUMBER(S48),ISNUMBER(S43)),IF(S48&gt;0,S43/S48,""),"")</f>
        <v/>
      </c>
      <c r="T49" s="56" t="str">
        <f>IF(AND(ISNUMBER(T48),ISNUMBER(T43)),IF(T48&gt;0,T43/T48,""),"")</f>
        <v/>
      </c>
      <c r="U49" s="56" t="str">
        <f>IF(AND(ISNUMBER(U48),ISNUMBER(U43)),IF(U48&gt;0,U43/U48,""),"")</f>
        <v/>
      </c>
      <c r="V49" s="56" t="str">
        <f>IF(AND(ISNUMBER(V48),ISNUMBER(V43)),IF(V48&gt;0,V43/V48,""),"")</f>
        <v/>
      </c>
      <c r="W49" s="56" t="str">
        <f>IF(AND(ISNUMBER(W48),ISNUMBER(W43)),IF(W48&gt;0,W43/W48,""),"")</f>
        <v/>
      </c>
      <c r="X49" s="56" t="str">
        <f>IF(AND(ISNUMBER(X48),ISNUMBER(X43)),IF(X48&gt;0,X43/X48,""),"")</f>
        <v/>
      </c>
      <c r="Y49" s="56" t="str">
        <f>IF(AND(ISNUMBER(Y48),ISNUMBER(Y43)),IF(Y48&gt;0,Y43/Y48,""),"")</f>
        <v/>
      </c>
      <c r="Z49" s="56" t="str">
        <f>IF(AND(ISNUMBER(Z48),ISNUMBER(Z43)),IF(Z48&gt;0,Z43/Z48,""),"")</f>
        <v/>
      </c>
      <c r="AA49" s="56" t="str">
        <f>IF(AND(ISNUMBER(AA48),ISNUMBER(AA43)),IF(AA48&gt;0,AA43/AA48,""),"")</f>
        <v/>
      </c>
      <c r="AB49" s="56" t="str">
        <f>IF(AND(ISNUMBER(AB48),ISNUMBER(AB43)),IF(AB48&gt;0,AB43/AB48,""),"")</f>
        <v/>
      </c>
      <c r="AC49" s="56" t="str">
        <f>IF(AND(ISNUMBER(AC48),ISNUMBER(AC43)),IF(AC48&gt;0,AC43/AC48,""),"")</f>
        <v/>
      </c>
      <c r="AD49" s="56" t="str">
        <f>IF(AND(ISNUMBER(AD48),ISNUMBER(AD43)),IF(AD48&gt;0,AD43/AD48,""),"")</f>
        <v/>
      </c>
      <c r="AE49" s="56" t="str">
        <f>IF(AND(ISNUMBER(AE48),ISNUMBER(AE43)),IF(AE48&gt;0,AE43/AE48,""),"")</f>
        <v/>
      </c>
      <c r="AF49" s="56" t="str">
        <f>IF(AND(ISNUMBER(AF48),ISNUMBER(AF43)),IF(AF48&gt;0,AF43/AF48,""),"")</f>
        <v/>
      </c>
      <c r="AG49" s="56" t="str">
        <f>IF(AND(ISNUMBER(AG48),ISNUMBER(AG43)),IF(AG48&gt;0,AG43/AG48,""),"")</f>
        <v/>
      </c>
      <c r="AH49" s="56" t="str">
        <f>IF(AND(ISNUMBER(AH48),ISNUMBER(AH43)),IF(AH48&gt;0,AH43/AH48,""),"")</f>
        <v/>
      </c>
    </row>
    <row r="50">
      <c r="A50" s="51" t="inlineStr">
        <is>
          <t xml:space="preserve">Status</t>
        </is>
      </c>
      <c r="C50" s="57" t="str">
        <f>IF(ISNUMBER(C49),IF(C49&gt;=1,"meta atingida","abaixo da meta"),"")</f>
        <v/>
      </c>
      <c r="D50" s="57" t="str">
        <f>IF(ISNUMBER(D49),IF(D49&gt;=1,"meta atingida","abaixo da meta"),"")</f>
        <v/>
      </c>
      <c r="E50" s="57" t="str">
        <f>IF(ISNUMBER(E49),IF(E49&gt;=1,"meta atingida","abaixo da meta"),"")</f>
        <v/>
      </c>
      <c r="F50" s="57" t="str">
        <f>IF(ISNUMBER(F49),IF(F49&gt;=1,"meta atingida","abaixo da meta"),"")</f>
        <v/>
      </c>
      <c r="G50" s="57" t="str">
        <f>IF(ISNUMBER(G49),IF(G49&gt;=1,"meta atingida","abaixo da meta"),"")</f>
        <v/>
      </c>
      <c r="H50" s="57" t="str">
        <f>IF(ISNUMBER(H49),IF(H49&gt;=1,"meta atingida","abaixo da meta"),"")</f>
        <v/>
      </c>
      <c r="I50" s="57" t="str">
        <f>IF(ISNUMBER(I49),IF(I49&gt;=1,"meta atingida","abaixo da meta"),"")</f>
        <v/>
      </c>
      <c r="J50" s="57" t="str">
        <f>IF(ISNUMBER(J49),IF(J49&gt;=1,"meta atingida","abaixo da meta"),"")</f>
        <v/>
      </c>
      <c r="K50" s="57" t="str">
        <f>IF(ISNUMBER(K49),IF(K49&gt;=1,"meta atingida","abaixo da meta"),"")</f>
        <v/>
      </c>
      <c r="L50" s="57" t="str">
        <f>IF(ISNUMBER(L49),IF(L49&gt;=1,"meta atingida","abaixo da meta"),"")</f>
        <v/>
      </c>
      <c r="M50" s="57" t="str">
        <f>IF(ISNUMBER(M49),IF(M49&gt;=1,"meta atingida","abaixo da meta"),"")</f>
        <v/>
      </c>
      <c r="N50" s="57" t="str">
        <f>IF(ISNUMBER(N49),IF(N49&gt;=1,"meta atingida","abaixo da meta"),"")</f>
        <v/>
      </c>
      <c r="O50" s="57" t="str">
        <f>IF(ISNUMBER(O49),IF(O49&gt;=1,"meta atingida","abaixo da meta"),"")</f>
        <v/>
      </c>
      <c r="P50" s="57" t="str">
        <f>IF(ISNUMBER(P49),IF(P49&gt;=1,"meta atingida","abaixo da meta"),"")</f>
        <v/>
      </c>
      <c r="Q50" s="57" t="str">
        <f>IF(ISNUMBER(Q49),IF(Q49&gt;=1,"meta atingida","abaixo da meta"),"")</f>
        <v/>
      </c>
      <c r="R50" s="57" t="str">
        <f>IF(ISNUMBER(R49),IF(R49&gt;=1,"meta atingida","abaixo da meta"),"")</f>
        <v/>
      </c>
      <c r="S50" s="57" t="str">
        <f>IF(ISNUMBER(S49),IF(S49&gt;=1,"meta atingida","abaixo da meta"),"")</f>
        <v/>
      </c>
      <c r="T50" s="57" t="str">
        <f>IF(ISNUMBER(T49),IF(T49&gt;=1,"meta atingida","abaixo da meta"),"")</f>
        <v/>
      </c>
      <c r="U50" s="57" t="str">
        <f>IF(AND(ISNUMBER(U48),ISNUMBER(U43)),IF(U43&lt;=U48,"dentro do limite","acima do limite"),"")</f>
        <v/>
      </c>
      <c r="V50" s="57" t="str">
        <f>IF(AND(ISNUMBER(V48),ISNUMBER(V43)),IF(V43&lt;=V48,"dentro do limite","acima do limite"),"")</f>
        <v/>
      </c>
      <c r="W50" s="57" t="str">
        <f>IF(AND(ISNUMBER(W48),ISNUMBER(W43)),IF(W43&lt;=W48,"dentro do limite","acima do limite"),"")</f>
        <v/>
      </c>
      <c r="X50" s="57" t="str">
        <f>IF(ISNUMBER(X49),IF(X49&gt;=1,"meta atingida","abaixo da meta"),"")</f>
        <v/>
      </c>
      <c r="Y50" s="57" t="str">
        <f>IF(ISNUMBER(Y49),IF(Y49&gt;=1,"meta atingida","abaixo da meta"),"")</f>
        <v/>
      </c>
      <c r="Z50" s="57" t="str">
        <f>IF(ISNUMBER(Z43),IF(Z43&gt;1,"excede o contratado",IF(Z43&gt;=$B$6,"ocupação alta",IF(Z43&gt;=$B$5,"ocupação média","ociosidade alta"))),"")</f>
        <v/>
      </c>
      <c r="AA50" s="57" t="str">
        <f>IF(ISNUMBER(AA49),IF(AA49&gt;=1,"meta atingida","abaixo da meta"),"")</f>
        <v/>
      </c>
      <c r="AB50" s="57" t="str">
        <f>IF(AND(ISNUMBER(AB48),ISNUMBER(AB43)),IF(AB43&lt;=AB48,"dentro do limite","acima do limite"),"")</f>
        <v/>
      </c>
      <c r="AC50" s="57" t="str">
        <f>IF(ISNUMBER(AC49),IF(AC49&gt;=1,"meta atingida","abaixo da meta"),"")</f>
        <v/>
      </c>
      <c r="AD50" s="57" t="str">
        <f>IF(ISNUMBER(AD49),IF(AD49&gt;=1,"meta atingida","abaixo da meta"),"")</f>
        <v/>
      </c>
      <c r="AE50" s="57" t="str">
        <f>IF(AND(ISNUMBER(AE48),ISNUMBER(AE43)),IF(AE43&lt;=AE48,"dentro do limite","acima do limite"),"")</f>
        <v/>
      </c>
      <c r="AF50" s="57" t="str">
        <f>IF(AND(ISNUMBER(AF48),ISNUMBER(AF43)),IF(AF43&lt;=AF48,"dentro do limite","acima do limite"),"")</f>
        <v/>
      </c>
      <c r="AG50" s="57" t="str">
        <f>IF(AND(ISNUMBER(AG48),ISNUMBER(AG43)),IF(AG43&lt;=AG48,"dentro do limite","acima do limite"),"")</f>
        <v/>
      </c>
      <c r="AH50" s="57" t="str">
        <f>IF(AND(ISNUMBER(AH48),ISNUMBER(AH43)),IF(AH43&lt;=AH48,"dentro do limite","acima do limite"),"")</f>
        <v/>
      </c>
    </row>
    <row r="90">
      <c r="A90" s="19" t="inlineStr">
        <is>
          <t xml:space="preserve">ACUMULADO SEMANAL — toneladas e pallets (seguem o filtro; mês do gráfico)</t>
        </is>
      </c>
    </row>
    <row r="91">
      <c r="A91" s="37" t="inlineStr">
        <is>
          <t xml:space="preserve">Semana</t>
        </is>
      </c>
      <c r="B91" s="37" t="inlineStr">
        <is>
          <t xml:space="preserve">Do dia</t>
        </is>
      </c>
      <c r="C91" s="37" t="inlineStr">
        <is>
          <t xml:space="preserve">Ao dia</t>
        </is>
      </c>
      <c r="D91" s="37" t="inlineStr">
        <is>
          <t xml:space="preserve">IN tons</t>
        </is>
      </c>
      <c r="E91" s="37" t="inlineStr">
        <is>
          <t xml:space="preserve">OUT tons</t>
        </is>
      </c>
      <c r="F91" s="37" t="inlineStr">
        <is>
          <t xml:space="preserve">IN pallets</t>
        </is>
      </c>
      <c r="G91" s="37" t="inlineStr">
        <is>
          <t xml:space="preserve">OUT pallets</t>
        </is>
      </c>
    </row>
    <row r="92">
      <c r="A92" s="29" t="inlineStr">
        <is>
          <t xml:space="preserve">Sem 1 (01–07)</t>
        </is>
      </c>
      <c r="B92" s="28">
        <v>1</v>
      </c>
      <c r="C92" s="28">
        <v>7</v>
      </c>
      <c r="D92" s="60">
        <f>SUMIFS(E12:E42,A12:A42,"&gt;="&amp;$B92,A12:A42,"&lt;="&amp;$C92)</f>
        <v>0</v>
      </c>
      <c r="E92" s="60">
        <f>SUMIFS(T12:T42,A12:A42,"&gt;="&amp;$B92,A12:A42,"&lt;="&amp;$C92)</f>
        <v>0</v>
      </c>
      <c r="F92" s="32">
        <f>SUMIFS(D12:D42,A12:A42,"&gt;="&amp;$B92,A12:A42,"&lt;="&amp;$C92)</f>
        <v>0</v>
      </c>
      <c r="G92" s="32">
        <f>SUMIFS(S12:S42,A12:A42,"&gt;="&amp;$B92,A12:A42,"&lt;="&amp;$C92)</f>
        <v>0</v>
      </c>
    </row>
    <row r="93">
      <c r="A93" s="29" t="inlineStr">
        <is>
          <t xml:space="preserve">Sem 2 (08–14)</t>
        </is>
      </c>
      <c r="B93" s="28">
        <v>8</v>
      </c>
      <c r="C93" s="28">
        <v>14</v>
      </c>
      <c r="D93" s="60">
        <f>SUMIFS(E12:E42,A12:A42,"&gt;="&amp;$B93,A12:A42,"&lt;="&amp;$C93)</f>
        <v>0</v>
      </c>
      <c r="E93" s="60">
        <f>SUMIFS(T12:T42,A12:A42,"&gt;="&amp;$B93,A12:A42,"&lt;="&amp;$C93)</f>
        <v>0</v>
      </c>
      <c r="F93" s="32">
        <f>SUMIFS(D12:D42,A12:A42,"&gt;="&amp;$B93,A12:A42,"&lt;="&amp;$C93)</f>
        <v>0</v>
      </c>
      <c r="G93" s="32">
        <f>SUMIFS(S12:S42,A12:A42,"&gt;="&amp;$B93,A12:A42,"&lt;="&amp;$C93)</f>
        <v>0</v>
      </c>
    </row>
    <row r="94">
      <c r="A94" s="29" t="inlineStr">
        <is>
          <t xml:space="preserve">Sem 3 (15–21)</t>
        </is>
      </c>
      <c r="B94" s="28">
        <v>15</v>
      </c>
      <c r="C94" s="28">
        <v>21</v>
      </c>
      <c r="D94" s="60">
        <f>SUMIFS(E12:E42,A12:A42,"&gt;="&amp;$B94,A12:A42,"&lt;="&amp;$C94)</f>
        <v>0</v>
      </c>
      <c r="E94" s="60">
        <f>SUMIFS(T12:T42,A12:A42,"&gt;="&amp;$B94,A12:A42,"&lt;="&amp;$C94)</f>
        <v>0</v>
      </c>
      <c r="F94" s="32">
        <f>SUMIFS(D12:D42,A12:A42,"&gt;="&amp;$B94,A12:A42,"&lt;="&amp;$C94)</f>
        <v>0</v>
      </c>
      <c r="G94" s="32">
        <f>SUMIFS(S12:S42,A12:A42,"&gt;="&amp;$B94,A12:A42,"&lt;="&amp;$C94)</f>
        <v>0</v>
      </c>
    </row>
    <row r="95">
      <c r="A95" s="29" t="inlineStr">
        <is>
          <t xml:space="preserve">Sem 4 (22–28)</t>
        </is>
      </c>
      <c r="B95" s="28">
        <v>22</v>
      </c>
      <c r="C95" s="28">
        <v>28</v>
      </c>
      <c r="D95" s="60">
        <f>SUMIFS(E12:E42,A12:A42,"&gt;="&amp;$B95,A12:A42,"&lt;="&amp;$C95)</f>
        <v>0</v>
      </c>
      <c r="E95" s="60">
        <f>SUMIFS(T12:T42,A12:A42,"&gt;="&amp;$B95,A12:A42,"&lt;="&amp;$C95)</f>
        <v>0</v>
      </c>
      <c r="F95" s="32">
        <f>SUMIFS(D12:D42,A12:A42,"&gt;="&amp;$B95,A12:A42,"&lt;="&amp;$C95)</f>
        <v>0</v>
      </c>
      <c r="G95" s="32">
        <f>SUMIFS(S12:S42,A12:A42,"&gt;="&amp;$B95,A12:A42,"&lt;="&amp;$C95)</f>
        <v>0</v>
      </c>
    </row>
    <row r="96">
      <c r="A96" s="29" t="inlineStr">
        <is>
          <t xml:space="preserve">Sem 5 (29–fim)</t>
        </is>
      </c>
      <c r="B96" s="28">
        <v>29</v>
      </c>
      <c r="C96" s="28">
        <v>31</v>
      </c>
      <c r="D96" s="60">
        <f>SUMIFS(E12:E42,A12:A42,"&gt;="&amp;$B96,A12:A42,"&lt;="&amp;$C96)</f>
        <v>0</v>
      </c>
      <c r="E96" s="60">
        <f>SUMIFS(T12:T42,A12:A42,"&gt;="&amp;$B96,A12:A42,"&lt;="&amp;$C96)</f>
        <v>0</v>
      </c>
      <c r="F96" s="32">
        <f>SUMIFS(D12:D42,A12:A42,"&gt;="&amp;$B96,A12:A42,"&lt;="&amp;$C96)</f>
        <v>0</v>
      </c>
      <c r="G96" s="32">
        <f>SUMIFS(S12:S42,A12:A42,"&gt;="&amp;$B96,A12:A42,"&lt;="&amp;$C96)</f>
        <v>0</v>
      </c>
    </row>
    <row r="100">
      <c r="A100" s="19" t="inlineStr">
        <is>
          <t xml:space="preserve">POR CLIENTE — mês inteiro (todos os clientes). Estoque = último valor do mês.</t>
        </is>
      </c>
    </row>
    <row r="101" ht="30" customHeight="1">
      <c r="A101" s="37" t="inlineStr">
        <is>
          <t xml:space="preserve">Indicador</t>
        </is>
      </c>
      <c r="B101" s="37" t="inlineStr">
        <is>
          <t xml:space="preserve">Alpargatas</t>
        </is>
      </c>
      <c r="C101" s="37" t="inlineStr">
        <is>
          <t xml:space="preserve">Basf</t>
        </is>
      </c>
      <c r="D101" s="37" t="inlineStr">
        <is>
          <t xml:space="preserve">Beautybiz</t>
        </is>
      </c>
      <c r="E101" s="37" t="inlineStr">
        <is>
          <t xml:space="preserve">Boticário</t>
        </is>
      </c>
      <c r="F101" s="37" t="inlineStr">
        <is>
          <t xml:space="preserve">Confiance</t>
        </is>
      </c>
      <c r="G101" s="37" t="inlineStr">
        <is>
          <t xml:space="preserve">GE Vernova</t>
        </is>
      </c>
      <c r="H101" s="37" t="inlineStr">
        <is>
          <t xml:space="preserve">Omnilife</t>
        </is>
      </c>
      <c r="I101" s="37" t="inlineStr">
        <is>
          <t xml:space="preserve">Supply</t>
        </is>
      </c>
      <c r="J101" s="37" t="inlineStr">
        <is>
          <t xml:space="preserve">Vedacit</t>
        </is>
      </c>
      <c r="K101" s="37" t="inlineStr">
        <is>
          <t xml:space="preserve">Vestas</t>
        </is>
      </c>
      <c r="L101" s="37" t="inlineStr">
        <is>
          <t xml:space="preserve">TOTAL</t>
        </is>
      </c>
    </row>
    <row r="102">
      <c r="A102" s="29" t="inlineStr">
        <is>
          <t xml:space="preserve">IN · Veículos Recebidos</t>
        </is>
      </c>
      <c r="B102" s="32">
        <f>SUMIFS(BD!$C$3:$C$5001,BD!$B$3:$B$5001,B$101,BD!$A$3:$A$5001,"&gt;="&amp;$C$7,BD!$A$3:$A$5001,"&lt;="&amp;$D$7)</f>
        <v>0</v>
      </c>
      <c r="C102" s="32">
        <f>SUMIFS(BD!$C$3:$C$5001,BD!$B$3:$B$5001,C$101,BD!$A$3:$A$5001,"&gt;="&amp;$C$7,BD!$A$3:$A$5001,"&lt;="&amp;$D$7)</f>
        <v>0</v>
      </c>
      <c r="D102" s="32">
        <f>SUMIFS(BD!$C$3:$C$5001,BD!$B$3:$B$5001,D$101,BD!$A$3:$A$5001,"&gt;="&amp;$C$7,BD!$A$3:$A$5001,"&lt;="&amp;$D$7)</f>
        <v>0</v>
      </c>
      <c r="E102" s="32">
        <f>SUMIFS(BD!$C$3:$C$5001,BD!$B$3:$B$5001,E$101,BD!$A$3:$A$5001,"&gt;="&amp;$C$7,BD!$A$3:$A$5001,"&lt;="&amp;$D$7)</f>
        <v>0</v>
      </c>
      <c r="F102" s="32">
        <f>SUMIFS(BD!$C$3:$C$5001,BD!$B$3:$B$5001,F$101,BD!$A$3:$A$5001,"&gt;="&amp;$C$7,BD!$A$3:$A$5001,"&lt;="&amp;$D$7)</f>
        <v>0</v>
      </c>
      <c r="G102" s="32">
        <f>SUMIFS(BD!$C$3:$C$5001,BD!$B$3:$B$5001,G$101,BD!$A$3:$A$5001,"&gt;="&amp;$C$7,BD!$A$3:$A$5001,"&lt;="&amp;$D$7)</f>
        <v>0</v>
      </c>
      <c r="H102" s="32">
        <f>SUMIFS(BD!$C$3:$C$5001,BD!$B$3:$B$5001,H$101,BD!$A$3:$A$5001,"&gt;="&amp;$C$7,BD!$A$3:$A$5001,"&lt;="&amp;$D$7)</f>
        <v>0</v>
      </c>
      <c r="I102" s="32">
        <f>SUMIFS(BD!$C$3:$C$5001,BD!$B$3:$B$5001,I$101,BD!$A$3:$A$5001,"&gt;="&amp;$C$7,BD!$A$3:$A$5001,"&lt;="&amp;$D$7)</f>
        <v>0</v>
      </c>
      <c r="J102" s="32">
        <f>SUMIFS(BD!$C$3:$C$5001,BD!$B$3:$B$5001,J$101,BD!$A$3:$A$5001,"&gt;="&amp;$C$7,BD!$A$3:$A$5001,"&lt;="&amp;$D$7)</f>
        <v>0</v>
      </c>
      <c r="K102" s="32">
        <f>SUMIFS(BD!$C$3:$C$5001,BD!$B$3:$B$5001,K$101,BD!$A$3:$A$5001,"&gt;="&amp;$C$7,BD!$A$3:$A$5001,"&lt;="&amp;$D$7)</f>
        <v>0</v>
      </c>
      <c r="L102" s="61">
        <f>SUM(B102:K102)</f>
        <v>0</v>
      </c>
    </row>
    <row r="103">
      <c r="A103" s="29" t="inlineStr">
        <is>
          <t xml:space="preserve">IN · Pallets Movimentados</t>
        </is>
      </c>
      <c r="B103" s="32" t="inlineStr">
        <is>
          <t xml:space="preserve">—</t>
        </is>
      </c>
      <c r="C103" s="32">
        <f>SUMIFS(BD!$D$3:$D$5001,BD!$B$3:$B$5001,C$101,BD!$A$3:$A$5001,"&gt;="&amp;$C$7,BD!$A$3:$A$5001,"&lt;="&amp;$D$7)</f>
        <v>0</v>
      </c>
      <c r="D103" s="32">
        <f>SUMIFS(BD!$D$3:$D$5001,BD!$B$3:$B$5001,D$101,BD!$A$3:$A$5001,"&gt;="&amp;$C$7,BD!$A$3:$A$5001,"&lt;="&amp;$D$7)</f>
        <v>0</v>
      </c>
      <c r="E103" s="32" t="inlineStr">
        <is>
          <t xml:space="preserve">—</t>
        </is>
      </c>
      <c r="F103" s="32">
        <f>SUMIFS(BD!$D$3:$D$5001,BD!$B$3:$B$5001,F$101,BD!$A$3:$A$5001,"&gt;="&amp;$C$7,BD!$A$3:$A$5001,"&lt;="&amp;$D$7)</f>
        <v>0</v>
      </c>
      <c r="G103" s="32">
        <f>SUMIFS(BD!$D$3:$D$5001,BD!$B$3:$B$5001,G$101,BD!$A$3:$A$5001,"&gt;="&amp;$C$7,BD!$A$3:$A$5001,"&lt;="&amp;$D$7)</f>
        <v>0</v>
      </c>
      <c r="H103" s="32">
        <f>SUMIFS(BD!$D$3:$D$5001,BD!$B$3:$B$5001,H$101,BD!$A$3:$A$5001,"&gt;="&amp;$C$7,BD!$A$3:$A$5001,"&lt;="&amp;$D$7)</f>
        <v>0</v>
      </c>
      <c r="I103" s="32">
        <f>SUMIFS(BD!$D$3:$D$5001,BD!$B$3:$B$5001,I$101,BD!$A$3:$A$5001,"&gt;="&amp;$C$7,BD!$A$3:$A$5001,"&lt;="&amp;$D$7)</f>
        <v>0</v>
      </c>
      <c r="J103" s="32">
        <f>SUMIFS(BD!$D$3:$D$5001,BD!$B$3:$B$5001,J$101,BD!$A$3:$A$5001,"&gt;="&amp;$C$7,BD!$A$3:$A$5001,"&lt;="&amp;$D$7)</f>
        <v>0</v>
      </c>
      <c r="K103" s="32" t="inlineStr">
        <is>
          <t xml:space="preserve">—</t>
        </is>
      </c>
      <c r="L103" s="61">
        <f>SUM(B103:K103)</f>
        <v>0</v>
      </c>
    </row>
    <row r="104">
      <c r="A104" s="29" t="inlineStr">
        <is>
          <t xml:space="preserve">IN · Toneladas Movimentadas</t>
        </is>
      </c>
      <c r="B104" s="60" t="inlineStr">
        <is>
          <t xml:space="preserve">—</t>
        </is>
      </c>
      <c r="C104" s="60">
        <f>SUMIFS(BD!$E$3:$E$5001,BD!$B$3:$B$5001,C$101,BD!$A$3:$A$5001,"&gt;="&amp;$C$7,BD!$A$3:$A$5001,"&lt;="&amp;$D$7)</f>
        <v>0</v>
      </c>
      <c r="D104" s="60" t="inlineStr">
        <is>
          <t xml:space="preserve">—</t>
        </is>
      </c>
      <c r="E104" s="60" t="inlineStr">
        <is>
          <t xml:space="preserve">—</t>
        </is>
      </c>
      <c r="F104" s="60">
        <f>SUMIFS(BD!$E$3:$E$5001,BD!$B$3:$B$5001,F$101,BD!$A$3:$A$5001,"&gt;="&amp;$C$7,BD!$A$3:$A$5001,"&lt;="&amp;$D$7)</f>
        <v>0</v>
      </c>
      <c r="G104" s="60" t="inlineStr">
        <is>
          <t xml:space="preserve">—</t>
        </is>
      </c>
      <c r="H104" s="60" t="inlineStr">
        <is>
          <t xml:space="preserve">—</t>
        </is>
      </c>
      <c r="I104" s="60">
        <f>SUMIFS(BD!$E$3:$E$5001,BD!$B$3:$B$5001,I$101,BD!$A$3:$A$5001,"&gt;="&amp;$C$7,BD!$A$3:$A$5001,"&lt;="&amp;$D$7)</f>
        <v>0</v>
      </c>
      <c r="J104" s="60" t="inlineStr">
        <is>
          <t xml:space="preserve">—</t>
        </is>
      </c>
      <c r="K104" s="60" t="inlineStr">
        <is>
          <t xml:space="preserve">—</t>
        </is>
      </c>
      <c r="L104" s="62">
        <f>SUM(B104:K104)</f>
        <v>0</v>
      </c>
    </row>
    <row r="105">
      <c r="A105" s="29" t="inlineStr">
        <is>
          <t xml:space="preserve">IN · Linhas NF</t>
        </is>
      </c>
      <c r="B105" s="32" t="inlineStr">
        <is>
          <t xml:space="preserve">—</t>
        </is>
      </c>
      <c r="C105" s="32" t="inlineStr">
        <is>
          <t xml:space="preserve">—</t>
        </is>
      </c>
      <c r="D105" s="32" t="inlineStr">
        <is>
          <t xml:space="preserve">—</t>
        </is>
      </c>
      <c r="E105" s="32" t="inlineStr">
        <is>
          <t xml:space="preserve">—</t>
        </is>
      </c>
      <c r="F105" s="32" t="inlineStr">
        <is>
          <t xml:space="preserve">—</t>
        </is>
      </c>
      <c r="G105" s="32">
        <f>SUMIFS(BD!$F$3:$F$5001,BD!$B$3:$B$5001,G$101,BD!$A$3:$A$5001,"&gt;="&amp;$C$7,BD!$A$3:$A$5001,"&lt;="&amp;$D$7)</f>
        <v>0</v>
      </c>
      <c r="H105" s="32" t="inlineStr">
        <is>
          <t xml:space="preserve">—</t>
        </is>
      </c>
      <c r="I105" s="32" t="inlineStr">
        <is>
          <t xml:space="preserve">—</t>
        </is>
      </c>
      <c r="J105" s="32" t="inlineStr">
        <is>
          <t xml:space="preserve">—</t>
        </is>
      </c>
      <c r="K105" s="32">
        <f>SUMIFS(BD!$F$3:$F$5001,BD!$B$3:$B$5001,K$101,BD!$A$3:$A$5001,"&gt;="&amp;$C$7,BD!$A$3:$A$5001,"&lt;="&amp;$D$7)</f>
        <v>0</v>
      </c>
      <c r="L105" s="61">
        <f>SUM(B105:K105)</f>
        <v>0</v>
      </c>
    </row>
    <row r="106">
      <c r="A106" s="29" t="inlineStr">
        <is>
          <t xml:space="preserve">IN · Caixas Movimentadas</t>
        </is>
      </c>
      <c r="B106" s="32">
        <f>SUMIFS(BD!$G$3:$G$5001,BD!$B$3:$B$5001,B$101,BD!$A$3:$A$5001,"&gt;="&amp;$C$7,BD!$A$3:$A$5001,"&lt;="&amp;$D$7)</f>
        <v>0</v>
      </c>
      <c r="C106" s="32" t="inlineStr">
        <is>
          <t xml:space="preserve">—</t>
        </is>
      </c>
      <c r="D106" s="32">
        <f>SUMIFS(BD!$G$3:$G$5001,BD!$B$3:$B$5001,D$101,BD!$A$3:$A$5001,"&gt;="&amp;$C$7,BD!$A$3:$A$5001,"&lt;="&amp;$D$7)</f>
        <v>0</v>
      </c>
      <c r="E106" s="32" t="inlineStr">
        <is>
          <t xml:space="preserve">—</t>
        </is>
      </c>
      <c r="F106" s="32" t="inlineStr">
        <is>
          <t xml:space="preserve">—</t>
        </is>
      </c>
      <c r="G106" s="32" t="inlineStr">
        <is>
          <t xml:space="preserve">—</t>
        </is>
      </c>
      <c r="H106" s="32" t="inlineStr">
        <is>
          <t xml:space="preserve">—</t>
        </is>
      </c>
      <c r="I106" s="32" t="inlineStr">
        <is>
          <t xml:space="preserve">—</t>
        </is>
      </c>
      <c r="J106" s="32" t="inlineStr">
        <is>
          <t xml:space="preserve">—</t>
        </is>
      </c>
      <c r="K106" s="32" t="inlineStr">
        <is>
          <t xml:space="preserve">—</t>
        </is>
      </c>
      <c r="L106" s="61">
        <f>SUM(B106:K106)</f>
        <v>0</v>
      </c>
    </row>
    <row r="107">
      <c r="A107" s="29" t="inlineStr">
        <is>
          <t xml:space="preserve">IN · Peças Movimentadas</t>
        </is>
      </c>
      <c r="B107" s="32" t="inlineStr">
        <is>
          <t xml:space="preserve">—</t>
        </is>
      </c>
      <c r="C107" s="32" t="inlineStr">
        <is>
          <t xml:space="preserve">—</t>
        </is>
      </c>
      <c r="D107" s="32" t="inlineStr">
        <is>
          <t xml:space="preserve">—</t>
        </is>
      </c>
      <c r="E107" s="32" t="inlineStr">
        <is>
          <t xml:space="preserve">—</t>
        </is>
      </c>
      <c r="F107" s="32" t="inlineStr">
        <is>
          <t xml:space="preserve">—</t>
        </is>
      </c>
      <c r="G107" s="32">
        <f>SUMIFS(BD!$H$3:$H$5001,BD!$B$3:$B$5001,G$101,BD!$A$3:$A$5001,"&gt;="&amp;$C$7,BD!$A$3:$A$5001,"&lt;="&amp;$D$7)</f>
        <v>0</v>
      </c>
      <c r="H107" s="32" t="inlineStr">
        <is>
          <t xml:space="preserve">—</t>
        </is>
      </c>
      <c r="I107" s="32" t="inlineStr">
        <is>
          <t xml:space="preserve">—</t>
        </is>
      </c>
      <c r="J107" s="32" t="inlineStr">
        <is>
          <t xml:space="preserve">—</t>
        </is>
      </c>
      <c r="K107" s="32" t="inlineStr">
        <is>
          <t xml:space="preserve">—</t>
        </is>
      </c>
      <c r="L107" s="61">
        <f>SUM(B107:K107)</f>
        <v>0</v>
      </c>
    </row>
    <row r="108">
      <c r="A108" s="29" t="inlineStr">
        <is>
          <t xml:space="preserve">IN · Itens Recebidos CX Mista</t>
        </is>
      </c>
      <c r="B108" s="32" t="inlineStr">
        <is>
          <t xml:space="preserve">—</t>
        </is>
      </c>
      <c r="C108" s="32" t="inlineStr">
        <is>
          <t xml:space="preserve">—</t>
        </is>
      </c>
      <c r="D108" s="32" t="inlineStr">
        <is>
          <t xml:space="preserve">—</t>
        </is>
      </c>
      <c r="E108" s="32">
        <f>SUMIFS(BD!$I$3:$I$5001,BD!$B$3:$B$5001,E$101,BD!$A$3:$A$5001,"&gt;="&amp;$C$7,BD!$A$3:$A$5001,"&lt;="&amp;$D$7)</f>
        <v>0</v>
      </c>
      <c r="F108" s="32" t="inlineStr">
        <is>
          <t xml:space="preserve">—</t>
        </is>
      </c>
      <c r="G108" s="32" t="inlineStr">
        <is>
          <t xml:space="preserve">—</t>
        </is>
      </c>
      <c r="H108" s="32" t="inlineStr">
        <is>
          <t xml:space="preserve">—</t>
        </is>
      </c>
      <c r="I108" s="32" t="inlineStr">
        <is>
          <t xml:space="preserve">—</t>
        </is>
      </c>
      <c r="J108" s="32" t="inlineStr">
        <is>
          <t xml:space="preserve">—</t>
        </is>
      </c>
      <c r="K108" s="32" t="inlineStr">
        <is>
          <t xml:space="preserve">—</t>
        </is>
      </c>
      <c r="L108" s="61">
        <f>SUM(B108:K108)</f>
        <v>0</v>
      </c>
    </row>
    <row r="109">
      <c r="A109" s="29" t="inlineStr">
        <is>
          <t xml:space="preserve">IN · Caixas Fechadas</t>
        </is>
      </c>
      <c r="B109" s="32" t="inlineStr">
        <is>
          <t xml:space="preserve">—</t>
        </is>
      </c>
      <c r="C109" s="32" t="inlineStr">
        <is>
          <t xml:space="preserve">—</t>
        </is>
      </c>
      <c r="D109" s="32" t="inlineStr">
        <is>
          <t xml:space="preserve">—</t>
        </is>
      </c>
      <c r="E109" s="32">
        <f>SUMIFS(BD!$J$3:$J$5001,BD!$B$3:$B$5001,E$101,BD!$A$3:$A$5001,"&gt;="&amp;$C$7,BD!$A$3:$A$5001,"&lt;="&amp;$D$7)</f>
        <v>0</v>
      </c>
      <c r="F109" s="32" t="inlineStr">
        <is>
          <t xml:space="preserve">—</t>
        </is>
      </c>
      <c r="G109" s="32" t="inlineStr">
        <is>
          <t xml:space="preserve">—</t>
        </is>
      </c>
      <c r="H109" s="32" t="inlineStr">
        <is>
          <t xml:space="preserve">—</t>
        </is>
      </c>
      <c r="I109" s="32" t="inlineStr">
        <is>
          <t xml:space="preserve">—</t>
        </is>
      </c>
      <c r="J109" s="32" t="inlineStr">
        <is>
          <t xml:space="preserve">—</t>
        </is>
      </c>
      <c r="K109" s="32" t="inlineStr">
        <is>
          <t xml:space="preserve">—</t>
        </is>
      </c>
      <c r="L109" s="61">
        <f>SUM(B109:K109)</f>
        <v>0</v>
      </c>
    </row>
    <row r="110">
      <c r="A110" s="29" t="inlineStr">
        <is>
          <t xml:space="preserve">IN · Caixas Mistas Recebidas</t>
        </is>
      </c>
      <c r="B110" s="32" t="inlineStr">
        <is>
          <t xml:space="preserve">—</t>
        </is>
      </c>
      <c r="C110" s="32" t="inlineStr">
        <is>
          <t xml:space="preserve">—</t>
        </is>
      </c>
      <c r="D110" s="32" t="inlineStr">
        <is>
          <t xml:space="preserve">—</t>
        </is>
      </c>
      <c r="E110" s="32">
        <f>SUMIFS(BD!$K$3:$K$5001,BD!$B$3:$B$5001,E$101,BD!$A$3:$A$5001,"&gt;="&amp;$C$7,BD!$A$3:$A$5001,"&lt;="&amp;$D$7)</f>
        <v>0</v>
      </c>
      <c r="F110" s="32" t="inlineStr">
        <is>
          <t xml:space="preserve">—</t>
        </is>
      </c>
      <c r="G110" s="32" t="inlineStr">
        <is>
          <t xml:space="preserve">—</t>
        </is>
      </c>
      <c r="H110" s="32" t="inlineStr">
        <is>
          <t xml:space="preserve">—</t>
        </is>
      </c>
      <c r="I110" s="32" t="inlineStr">
        <is>
          <t xml:space="preserve">—</t>
        </is>
      </c>
      <c r="J110" s="32" t="inlineStr">
        <is>
          <t xml:space="preserve">—</t>
        </is>
      </c>
      <c r="K110" s="32" t="inlineStr">
        <is>
          <t xml:space="preserve">—</t>
        </is>
      </c>
      <c r="L110" s="61">
        <f>SUM(B110:K110)</f>
        <v>0</v>
      </c>
    </row>
    <row r="111">
      <c r="A111" s="29" t="inlineStr">
        <is>
          <t xml:space="preserve">OUT · Veículos Expedidos</t>
        </is>
      </c>
      <c r="B111" s="32">
        <f>SUMIFS(BD!$L$3:$L$5001,BD!$B$3:$B$5001,B$101,BD!$A$3:$A$5001,"&gt;="&amp;$C$7,BD!$A$3:$A$5001,"&lt;="&amp;$D$7)</f>
        <v>0</v>
      </c>
      <c r="C111" s="32">
        <f>SUMIFS(BD!$L$3:$L$5001,BD!$B$3:$B$5001,C$101,BD!$A$3:$A$5001,"&gt;="&amp;$C$7,BD!$A$3:$A$5001,"&lt;="&amp;$D$7)</f>
        <v>0</v>
      </c>
      <c r="D111" s="32">
        <f>SUMIFS(BD!$L$3:$L$5001,BD!$B$3:$B$5001,D$101,BD!$A$3:$A$5001,"&gt;="&amp;$C$7,BD!$A$3:$A$5001,"&lt;="&amp;$D$7)</f>
        <v>0</v>
      </c>
      <c r="E111" s="32">
        <f>SUMIFS(BD!$L$3:$L$5001,BD!$B$3:$B$5001,E$101,BD!$A$3:$A$5001,"&gt;="&amp;$C$7,BD!$A$3:$A$5001,"&lt;="&amp;$D$7)</f>
        <v>0</v>
      </c>
      <c r="F111" s="32">
        <f>SUMIFS(BD!$L$3:$L$5001,BD!$B$3:$B$5001,F$101,BD!$A$3:$A$5001,"&gt;="&amp;$C$7,BD!$A$3:$A$5001,"&lt;="&amp;$D$7)</f>
        <v>0</v>
      </c>
      <c r="G111" s="32">
        <f>SUMIFS(BD!$L$3:$L$5001,BD!$B$3:$B$5001,G$101,BD!$A$3:$A$5001,"&gt;="&amp;$C$7,BD!$A$3:$A$5001,"&lt;="&amp;$D$7)</f>
        <v>0</v>
      </c>
      <c r="H111" s="32">
        <f>SUMIFS(BD!$L$3:$L$5001,BD!$B$3:$B$5001,H$101,BD!$A$3:$A$5001,"&gt;="&amp;$C$7,BD!$A$3:$A$5001,"&lt;="&amp;$D$7)</f>
        <v>0</v>
      </c>
      <c r="I111" s="32">
        <f>SUMIFS(BD!$L$3:$L$5001,BD!$B$3:$B$5001,I$101,BD!$A$3:$A$5001,"&gt;="&amp;$C$7,BD!$A$3:$A$5001,"&lt;="&amp;$D$7)</f>
        <v>0</v>
      </c>
      <c r="J111" s="32">
        <f>SUMIFS(BD!$L$3:$L$5001,BD!$B$3:$B$5001,J$101,BD!$A$3:$A$5001,"&gt;="&amp;$C$7,BD!$A$3:$A$5001,"&lt;="&amp;$D$7)</f>
        <v>0</v>
      </c>
      <c r="K111" s="32">
        <f>SUMIFS(BD!$L$3:$L$5001,BD!$B$3:$B$5001,K$101,BD!$A$3:$A$5001,"&gt;="&amp;$C$7,BD!$A$3:$A$5001,"&lt;="&amp;$D$7)</f>
        <v>0</v>
      </c>
      <c r="L111" s="61">
        <f>SUM(B111:K111)</f>
        <v>0</v>
      </c>
    </row>
    <row r="112">
      <c r="A112" s="29" t="inlineStr">
        <is>
          <t xml:space="preserve">OUT · Pedidos Expedidos</t>
        </is>
      </c>
      <c r="B112" s="32" t="inlineStr">
        <is>
          <t xml:space="preserve">—</t>
        </is>
      </c>
      <c r="C112" s="32" t="inlineStr">
        <is>
          <t xml:space="preserve">—</t>
        </is>
      </c>
      <c r="D112" s="32">
        <f>SUMIFS(BD!$M$3:$M$5001,BD!$B$3:$B$5001,D$101,BD!$A$3:$A$5001,"&gt;="&amp;$C$7,BD!$A$3:$A$5001,"&lt;="&amp;$D$7)</f>
        <v>0</v>
      </c>
      <c r="E112" s="32" t="inlineStr">
        <is>
          <t xml:space="preserve">—</t>
        </is>
      </c>
      <c r="F112" s="32" t="inlineStr">
        <is>
          <t xml:space="preserve">—</t>
        </is>
      </c>
      <c r="G112" s="32" t="inlineStr">
        <is>
          <t xml:space="preserve">—</t>
        </is>
      </c>
      <c r="H112" s="32" t="inlineStr">
        <is>
          <t xml:space="preserve">—</t>
        </is>
      </c>
      <c r="I112" s="32" t="inlineStr">
        <is>
          <t xml:space="preserve">—</t>
        </is>
      </c>
      <c r="J112" s="32" t="inlineStr">
        <is>
          <t xml:space="preserve">—</t>
        </is>
      </c>
      <c r="K112" s="32" t="inlineStr">
        <is>
          <t xml:space="preserve">—</t>
        </is>
      </c>
      <c r="L112" s="61">
        <f>SUM(B112:K112)</f>
        <v>0</v>
      </c>
    </row>
    <row r="113">
      <c r="A113" s="29" t="inlineStr">
        <is>
          <t xml:space="preserve">OUT · Pedidos Faturados</t>
        </is>
      </c>
      <c r="B113" s="32" t="inlineStr">
        <is>
          <t xml:space="preserve">—</t>
        </is>
      </c>
      <c r="C113" s="32" t="inlineStr">
        <is>
          <t xml:space="preserve">—</t>
        </is>
      </c>
      <c r="D113" s="32" t="inlineStr">
        <is>
          <t xml:space="preserve">—</t>
        </is>
      </c>
      <c r="E113" s="32">
        <f>SUMIFS(BD!$N$3:$N$5001,BD!$B$3:$B$5001,E$101,BD!$A$3:$A$5001,"&gt;="&amp;$C$7,BD!$A$3:$A$5001,"&lt;="&amp;$D$7)</f>
        <v>0</v>
      </c>
      <c r="F113" s="32" t="inlineStr">
        <is>
          <t xml:space="preserve">—</t>
        </is>
      </c>
      <c r="G113" s="32" t="inlineStr">
        <is>
          <t xml:space="preserve">—</t>
        </is>
      </c>
      <c r="H113" s="32" t="inlineStr">
        <is>
          <t xml:space="preserve">—</t>
        </is>
      </c>
      <c r="I113" s="32" t="inlineStr">
        <is>
          <t xml:space="preserve">—</t>
        </is>
      </c>
      <c r="J113" s="32" t="inlineStr">
        <is>
          <t xml:space="preserve">—</t>
        </is>
      </c>
      <c r="K113" s="32" t="inlineStr">
        <is>
          <t xml:space="preserve">—</t>
        </is>
      </c>
      <c r="L113" s="61">
        <f>SUM(B113:K113)</f>
        <v>0</v>
      </c>
    </row>
    <row r="114">
      <c r="A114" s="29" t="inlineStr">
        <is>
          <t xml:space="preserve">OUT · Itens Expedidos</t>
        </is>
      </c>
      <c r="B114" s="32" t="inlineStr">
        <is>
          <t xml:space="preserve">—</t>
        </is>
      </c>
      <c r="C114" s="32" t="inlineStr">
        <is>
          <t xml:space="preserve">—</t>
        </is>
      </c>
      <c r="D114" s="32" t="inlineStr">
        <is>
          <t xml:space="preserve">—</t>
        </is>
      </c>
      <c r="E114" s="32">
        <f>SUMIFS(BD!$O$3:$O$5001,BD!$B$3:$B$5001,E$101,BD!$A$3:$A$5001,"&gt;="&amp;$C$7,BD!$A$3:$A$5001,"&lt;="&amp;$D$7)</f>
        <v>0</v>
      </c>
      <c r="F114" s="32" t="inlineStr">
        <is>
          <t xml:space="preserve">—</t>
        </is>
      </c>
      <c r="G114" s="32" t="inlineStr">
        <is>
          <t xml:space="preserve">—</t>
        </is>
      </c>
      <c r="H114" s="32" t="inlineStr">
        <is>
          <t xml:space="preserve">—</t>
        </is>
      </c>
      <c r="I114" s="32" t="inlineStr">
        <is>
          <t xml:space="preserve">—</t>
        </is>
      </c>
      <c r="J114" s="32" t="inlineStr">
        <is>
          <t xml:space="preserve">—</t>
        </is>
      </c>
      <c r="K114" s="32" t="inlineStr">
        <is>
          <t xml:space="preserve">—</t>
        </is>
      </c>
      <c r="L114" s="61">
        <f>SUM(B114:K114)</f>
        <v>0</v>
      </c>
    </row>
    <row r="115">
      <c r="A115" s="29" t="inlineStr">
        <is>
          <t xml:space="preserve">OUT · Peças Movimentadas</t>
        </is>
      </c>
      <c r="B115" s="32" t="inlineStr">
        <is>
          <t xml:space="preserve">—</t>
        </is>
      </c>
      <c r="C115" s="32" t="inlineStr">
        <is>
          <t xml:space="preserve">—</t>
        </is>
      </c>
      <c r="D115" s="32" t="inlineStr">
        <is>
          <t xml:space="preserve">—</t>
        </is>
      </c>
      <c r="E115" s="32" t="inlineStr">
        <is>
          <t xml:space="preserve">—</t>
        </is>
      </c>
      <c r="F115" s="32" t="inlineStr">
        <is>
          <t xml:space="preserve">—</t>
        </is>
      </c>
      <c r="G115" s="32">
        <f>SUMIFS(BD!$P$3:$P$5001,BD!$B$3:$B$5001,G$101,BD!$A$3:$A$5001,"&gt;="&amp;$C$7,BD!$A$3:$A$5001,"&lt;="&amp;$D$7)</f>
        <v>0</v>
      </c>
      <c r="H115" s="32" t="inlineStr">
        <is>
          <t xml:space="preserve">—</t>
        </is>
      </c>
      <c r="I115" s="32" t="inlineStr">
        <is>
          <t xml:space="preserve">—</t>
        </is>
      </c>
      <c r="J115" s="32" t="inlineStr">
        <is>
          <t xml:space="preserve">—</t>
        </is>
      </c>
      <c r="K115" s="32" t="inlineStr">
        <is>
          <t xml:space="preserve">—</t>
        </is>
      </c>
      <c r="L115" s="61">
        <f>SUM(B115:K115)</f>
        <v>0</v>
      </c>
    </row>
    <row r="116">
      <c r="A116" s="29" t="inlineStr">
        <is>
          <t xml:space="preserve">OUT · Linhas NF</t>
        </is>
      </c>
      <c r="B116" s="32" t="inlineStr">
        <is>
          <t xml:space="preserve">—</t>
        </is>
      </c>
      <c r="C116" s="32" t="inlineStr">
        <is>
          <t xml:space="preserve">—</t>
        </is>
      </c>
      <c r="D116" s="32" t="inlineStr">
        <is>
          <t xml:space="preserve">—</t>
        </is>
      </c>
      <c r="E116" s="32" t="inlineStr">
        <is>
          <t xml:space="preserve">—</t>
        </is>
      </c>
      <c r="F116" s="32" t="inlineStr">
        <is>
          <t xml:space="preserve">—</t>
        </is>
      </c>
      <c r="G116" s="32">
        <f>SUMIFS(BD!$Q$3:$Q$5001,BD!$B$3:$B$5001,G$101,BD!$A$3:$A$5001,"&gt;="&amp;$C$7,BD!$A$3:$A$5001,"&lt;="&amp;$D$7)</f>
        <v>0</v>
      </c>
      <c r="H116" s="32" t="inlineStr">
        <is>
          <t xml:space="preserve">—</t>
        </is>
      </c>
      <c r="I116" s="32" t="inlineStr">
        <is>
          <t xml:space="preserve">—</t>
        </is>
      </c>
      <c r="J116" s="32" t="inlineStr">
        <is>
          <t xml:space="preserve">—</t>
        </is>
      </c>
      <c r="K116" s="32">
        <f>SUMIFS(BD!$Q$3:$Q$5001,BD!$B$3:$B$5001,K$101,BD!$A$3:$A$5001,"&gt;="&amp;$C$7,BD!$A$3:$A$5001,"&lt;="&amp;$D$7)</f>
        <v>0</v>
      </c>
      <c r="L116" s="61">
        <f>SUM(B116:K116)</f>
        <v>0</v>
      </c>
    </row>
    <row r="117">
      <c r="A117" s="29" t="inlineStr">
        <is>
          <t xml:space="preserve">OUT · Caixas Expedidas</t>
        </is>
      </c>
      <c r="B117" s="32">
        <f>SUMIFS(BD!$R$3:$R$5001,BD!$B$3:$B$5001,B$101,BD!$A$3:$A$5001,"&gt;="&amp;$C$7,BD!$A$3:$A$5001,"&lt;="&amp;$D$7)</f>
        <v>0</v>
      </c>
      <c r="C117" s="32" t="inlineStr">
        <is>
          <t xml:space="preserve">—</t>
        </is>
      </c>
      <c r="D117" s="32" t="inlineStr">
        <is>
          <t xml:space="preserve">—</t>
        </is>
      </c>
      <c r="E117" s="32" t="inlineStr">
        <is>
          <t xml:space="preserve">—</t>
        </is>
      </c>
      <c r="F117" s="32" t="inlineStr">
        <is>
          <t xml:space="preserve">—</t>
        </is>
      </c>
      <c r="G117" s="32" t="inlineStr">
        <is>
          <t xml:space="preserve">—</t>
        </is>
      </c>
      <c r="H117" s="32" t="inlineStr">
        <is>
          <t xml:space="preserve">—</t>
        </is>
      </c>
      <c r="I117" s="32" t="inlineStr">
        <is>
          <t xml:space="preserve">—</t>
        </is>
      </c>
      <c r="J117" s="32" t="inlineStr">
        <is>
          <t xml:space="preserve">—</t>
        </is>
      </c>
      <c r="K117" s="32" t="inlineStr">
        <is>
          <t xml:space="preserve">—</t>
        </is>
      </c>
      <c r="L117" s="61">
        <f>SUM(B117:K117)</f>
        <v>0</v>
      </c>
    </row>
    <row r="118">
      <c r="A118" s="29" t="inlineStr">
        <is>
          <t xml:space="preserve">OUT · Pallets Movimentados</t>
        </is>
      </c>
      <c r="B118" s="32" t="inlineStr">
        <is>
          <t xml:space="preserve">—</t>
        </is>
      </c>
      <c r="C118" s="32">
        <f>SUMIFS(BD!$S$3:$S$5001,BD!$B$3:$B$5001,C$101,BD!$A$3:$A$5001,"&gt;="&amp;$C$7,BD!$A$3:$A$5001,"&lt;="&amp;$D$7)</f>
        <v>0</v>
      </c>
      <c r="D118" s="32">
        <f>SUMIFS(BD!$S$3:$S$5001,BD!$B$3:$B$5001,D$101,BD!$A$3:$A$5001,"&gt;="&amp;$C$7,BD!$A$3:$A$5001,"&lt;="&amp;$D$7)</f>
        <v>0</v>
      </c>
      <c r="E118" s="32">
        <f>SUMIFS(BD!$S$3:$S$5001,BD!$B$3:$B$5001,E$101,BD!$A$3:$A$5001,"&gt;="&amp;$C$7,BD!$A$3:$A$5001,"&lt;="&amp;$D$7)</f>
        <v>0</v>
      </c>
      <c r="F118" s="32">
        <f>SUMIFS(BD!$S$3:$S$5001,BD!$B$3:$B$5001,F$101,BD!$A$3:$A$5001,"&gt;="&amp;$C$7,BD!$A$3:$A$5001,"&lt;="&amp;$D$7)</f>
        <v>0</v>
      </c>
      <c r="G118" s="32">
        <f>SUMIFS(BD!$S$3:$S$5001,BD!$B$3:$B$5001,G$101,BD!$A$3:$A$5001,"&gt;="&amp;$C$7,BD!$A$3:$A$5001,"&lt;="&amp;$D$7)</f>
        <v>0</v>
      </c>
      <c r="H118" s="32">
        <f>SUMIFS(BD!$S$3:$S$5001,BD!$B$3:$B$5001,H$101,BD!$A$3:$A$5001,"&gt;="&amp;$C$7,BD!$A$3:$A$5001,"&lt;="&amp;$D$7)</f>
        <v>0</v>
      </c>
      <c r="I118" s="32">
        <f>SUMIFS(BD!$S$3:$S$5001,BD!$B$3:$B$5001,I$101,BD!$A$3:$A$5001,"&gt;="&amp;$C$7,BD!$A$3:$A$5001,"&lt;="&amp;$D$7)</f>
        <v>0</v>
      </c>
      <c r="J118" s="32">
        <f>SUMIFS(BD!$S$3:$S$5001,BD!$B$3:$B$5001,J$101,BD!$A$3:$A$5001,"&gt;="&amp;$C$7,BD!$A$3:$A$5001,"&lt;="&amp;$D$7)</f>
        <v>0</v>
      </c>
      <c r="K118" s="32" t="inlineStr">
        <is>
          <t xml:space="preserve">—</t>
        </is>
      </c>
      <c r="L118" s="61">
        <f>SUM(B118:K118)</f>
        <v>0</v>
      </c>
    </row>
    <row r="119">
      <c r="A119" s="29" t="inlineStr">
        <is>
          <t xml:space="preserve">OUT · Toneladas Movimentadas</t>
        </is>
      </c>
      <c r="B119" s="60" t="inlineStr">
        <is>
          <t xml:space="preserve">—</t>
        </is>
      </c>
      <c r="C119" s="60">
        <f>SUMIFS(BD!$T$3:$T$5001,BD!$B$3:$B$5001,C$101,BD!$A$3:$A$5001,"&gt;="&amp;$C$7,BD!$A$3:$A$5001,"&lt;="&amp;$D$7)</f>
        <v>0</v>
      </c>
      <c r="D119" s="60" t="inlineStr">
        <is>
          <t xml:space="preserve">—</t>
        </is>
      </c>
      <c r="E119" s="60" t="inlineStr">
        <is>
          <t xml:space="preserve">—</t>
        </is>
      </c>
      <c r="F119" s="60">
        <f>SUMIFS(BD!$T$3:$T$5001,BD!$B$3:$B$5001,F$101,BD!$A$3:$A$5001,"&gt;="&amp;$C$7,BD!$A$3:$A$5001,"&lt;="&amp;$D$7)</f>
        <v>0</v>
      </c>
      <c r="G119" s="60" t="inlineStr">
        <is>
          <t xml:space="preserve">—</t>
        </is>
      </c>
      <c r="H119" s="60" t="inlineStr">
        <is>
          <t xml:space="preserve">—</t>
        </is>
      </c>
      <c r="I119" s="60">
        <f>SUMIFS(BD!$T$3:$T$5001,BD!$B$3:$B$5001,I$101,BD!$A$3:$A$5001,"&gt;="&amp;$C$7,BD!$A$3:$A$5001,"&lt;="&amp;$D$7)</f>
        <v>0</v>
      </c>
      <c r="J119" s="60" t="inlineStr">
        <is>
          <t xml:space="preserve">—</t>
        </is>
      </c>
      <c r="K119" s="60" t="inlineStr">
        <is>
          <t xml:space="preserve">—</t>
        </is>
      </c>
      <c r="L119" s="62">
        <f>SUM(B119:K119)</f>
        <v>0</v>
      </c>
    </row>
    <row r="120">
      <c r="A120" s="29" t="inlineStr">
        <is>
          <t xml:space="preserve">NC · Incidentes</t>
        </is>
      </c>
      <c r="B120" s="32">
        <f>SUMIFS(BD!$U$3:$U$5001,BD!$B$3:$B$5001,B$101,BD!$A$3:$A$5001,"&gt;="&amp;$C$7,BD!$A$3:$A$5001,"&lt;="&amp;$D$7)</f>
        <v>0</v>
      </c>
      <c r="C120" s="32">
        <f>SUMIFS(BD!$U$3:$U$5001,BD!$B$3:$B$5001,C$101,BD!$A$3:$A$5001,"&gt;="&amp;$C$7,BD!$A$3:$A$5001,"&lt;="&amp;$D$7)</f>
        <v>0</v>
      </c>
      <c r="D120" s="32">
        <f>SUMIFS(BD!$U$3:$U$5001,BD!$B$3:$B$5001,D$101,BD!$A$3:$A$5001,"&gt;="&amp;$C$7,BD!$A$3:$A$5001,"&lt;="&amp;$D$7)</f>
        <v>0</v>
      </c>
      <c r="E120" s="32">
        <f>SUMIFS(BD!$U$3:$U$5001,BD!$B$3:$B$5001,E$101,BD!$A$3:$A$5001,"&gt;="&amp;$C$7,BD!$A$3:$A$5001,"&lt;="&amp;$D$7)</f>
        <v>0</v>
      </c>
      <c r="F120" s="32">
        <f>SUMIFS(BD!$U$3:$U$5001,BD!$B$3:$B$5001,F$101,BD!$A$3:$A$5001,"&gt;="&amp;$C$7,BD!$A$3:$A$5001,"&lt;="&amp;$D$7)</f>
        <v>0</v>
      </c>
      <c r="G120" s="32">
        <f>SUMIFS(BD!$U$3:$U$5001,BD!$B$3:$B$5001,G$101,BD!$A$3:$A$5001,"&gt;="&amp;$C$7,BD!$A$3:$A$5001,"&lt;="&amp;$D$7)</f>
        <v>0</v>
      </c>
      <c r="H120" s="32">
        <f>SUMIFS(BD!$U$3:$U$5001,BD!$B$3:$B$5001,H$101,BD!$A$3:$A$5001,"&gt;="&amp;$C$7,BD!$A$3:$A$5001,"&lt;="&amp;$D$7)</f>
        <v>0</v>
      </c>
      <c r="I120" s="32">
        <f>SUMIFS(BD!$U$3:$U$5001,BD!$B$3:$B$5001,I$101,BD!$A$3:$A$5001,"&gt;="&amp;$C$7,BD!$A$3:$A$5001,"&lt;="&amp;$D$7)</f>
        <v>0</v>
      </c>
      <c r="J120" s="32">
        <f>SUMIFS(BD!$U$3:$U$5001,BD!$B$3:$B$5001,J$101,BD!$A$3:$A$5001,"&gt;="&amp;$C$7,BD!$A$3:$A$5001,"&lt;="&amp;$D$7)</f>
        <v>0</v>
      </c>
      <c r="K120" s="32">
        <f>SUMIFS(BD!$U$3:$U$5001,BD!$B$3:$B$5001,K$101,BD!$A$3:$A$5001,"&gt;="&amp;$C$7,BD!$A$3:$A$5001,"&lt;="&amp;$D$7)</f>
        <v>0</v>
      </c>
      <c r="L120" s="61">
        <f>SUM(B120:K120)</f>
        <v>0</v>
      </c>
    </row>
    <row r="121">
      <c r="A121" s="29" t="inlineStr">
        <is>
          <t xml:space="preserve">NC · No show</t>
        </is>
      </c>
      <c r="B121" s="32">
        <f>SUMIFS(BD!$V$3:$V$5001,BD!$B$3:$B$5001,B$101,BD!$A$3:$A$5001,"&gt;="&amp;$C$7,BD!$A$3:$A$5001,"&lt;="&amp;$D$7)</f>
        <v>0</v>
      </c>
      <c r="C121" s="32">
        <f>SUMIFS(BD!$V$3:$V$5001,BD!$B$3:$B$5001,C$101,BD!$A$3:$A$5001,"&gt;="&amp;$C$7,BD!$A$3:$A$5001,"&lt;="&amp;$D$7)</f>
        <v>0</v>
      </c>
      <c r="D121" s="32">
        <f>SUMIFS(BD!$V$3:$V$5001,BD!$B$3:$B$5001,D$101,BD!$A$3:$A$5001,"&gt;="&amp;$C$7,BD!$A$3:$A$5001,"&lt;="&amp;$D$7)</f>
        <v>0</v>
      </c>
      <c r="E121" s="32">
        <f>SUMIFS(BD!$V$3:$V$5001,BD!$B$3:$B$5001,E$101,BD!$A$3:$A$5001,"&gt;="&amp;$C$7,BD!$A$3:$A$5001,"&lt;="&amp;$D$7)</f>
        <v>0</v>
      </c>
      <c r="F121" s="32">
        <f>SUMIFS(BD!$V$3:$V$5001,BD!$B$3:$B$5001,F$101,BD!$A$3:$A$5001,"&gt;="&amp;$C$7,BD!$A$3:$A$5001,"&lt;="&amp;$D$7)</f>
        <v>0</v>
      </c>
      <c r="G121" s="32">
        <f>SUMIFS(BD!$V$3:$V$5001,BD!$B$3:$B$5001,G$101,BD!$A$3:$A$5001,"&gt;="&amp;$C$7,BD!$A$3:$A$5001,"&lt;="&amp;$D$7)</f>
        <v>0</v>
      </c>
      <c r="H121" s="32">
        <f>SUMIFS(BD!$V$3:$V$5001,BD!$B$3:$B$5001,H$101,BD!$A$3:$A$5001,"&gt;="&amp;$C$7,BD!$A$3:$A$5001,"&lt;="&amp;$D$7)</f>
        <v>0</v>
      </c>
      <c r="I121" s="32">
        <f>SUMIFS(BD!$V$3:$V$5001,BD!$B$3:$B$5001,I$101,BD!$A$3:$A$5001,"&gt;="&amp;$C$7,BD!$A$3:$A$5001,"&lt;="&amp;$D$7)</f>
        <v>0</v>
      </c>
      <c r="J121" s="32">
        <f>SUMIFS(BD!$V$3:$V$5001,BD!$B$3:$B$5001,J$101,BD!$A$3:$A$5001,"&gt;="&amp;$C$7,BD!$A$3:$A$5001,"&lt;="&amp;$D$7)</f>
        <v>0</v>
      </c>
      <c r="K121" s="32">
        <f>SUMIFS(BD!$V$3:$V$5001,BD!$B$3:$B$5001,K$101,BD!$A$3:$A$5001,"&gt;="&amp;$C$7,BD!$A$3:$A$5001,"&lt;="&amp;$D$7)</f>
        <v>0</v>
      </c>
      <c r="L121" s="61">
        <f>SUM(B121:K121)</f>
        <v>0</v>
      </c>
    </row>
    <row r="122">
      <c r="A122" s="29" t="inlineStr">
        <is>
          <t xml:space="preserve">NC · Backlog</t>
        </is>
      </c>
      <c r="B122" s="32" t="str">
        <f>IF(COUNTIFS(BD!$B$3:$B$5001,B$101,BD!$A$3:$A$5001,"&gt;="&amp;$C$7,BD!$A$3:$A$5001,"&lt;="&amp;$D$7,BD!$W$3:$W$5001,"&lt;&gt;")=0,"",SUMIFS(BD!$W$3:$W$5001,BD!$B$3:$B$5001,B$101,BD!$A$3:$A$5001,_xlfn.MAXIFS(BD!$A$3:$A$5001,BD!$B$3:$B$5001,B$101,BD!$A$3:$A$5001,"&gt;="&amp;$C$7,BD!$A$3:$A$5001,"&lt;="&amp;$D$7,BD!$W$3:$W$5001,"&lt;&gt;")))</f>
        <v/>
      </c>
      <c r="C122" s="32" t="str">
        <f>IF(COUNTIFS(BD!$B$3:$B$5001,C$101,BD!$A$3:$A$5001,"&gt;="&amp;$C$7,BD!$A$3:$A$5001,"&lt;="&amp;$D$7,BD!$W$3:$W$5001,"&lt;&gt;")=0,"",SUMIFS(BD!$W$3:$W$5001,BD!$B$3:$B$5001,C$101,BD!$A$3:$A$5001,_xlfn.MAXIFS(BD!$A$3:$A$5001,BD!$B$3:$B$5001,C$101,BD!$A$3:$A$5001,"&gt;="&amp;$C$7,BD!$A$3:$A$5001,"&lt;="&amp;$D$7,BD!$W$3:$W$5001,"&lt;&gt;")))</f>
        <v/>
      </c>
      <c r="D122" s="32" t="str">
        <f>IF(COUNTIFS(BD!$B$3:$B$5001,D$101,BD!$A$3:$A$5001,"&gt;="&amp;$C$7,BD!$A$3:$A$5001,"&lt;="&amp;$D$7,BD!$W$3:$W$5001,"&lt;&gt;")=0,"",SUMIFS(BD!$W$3:$W$5001,BD!$B$3:$B$5001,D$101,BD!$A$3:$A$5001,_xlfn.MAXIFS(BD!$A$3:$A$5001,BD!$B$3:$B$5001,D$101,BD!$A$3:$A$5001,"&gt;="&amp;$C$7,BD!$A$3:$A$5001,"&lt;="&amp;$D$7,BD!$W$3:$W$5001,"&lt;&gt;")))</f>
        <v/>
      </c>
      <c r="E122" s="32" t="str">
        <f>IF(COUNTIFS(BD!$B$3:$B$5001,E$101,BD!$A$3:$A$5001,"&gt;="&amp;$C$7,BD!$A$3:$A$5001,"&lt;="&amp;$D$7,BD!$W$3:$W$5001,"&lt;&gt;")=0,"",SUMIFS(BD!$W$3:$W$5001,BD!$B$3:$B$5001,E$101,BD!$A$3:$A$5001,_xlfn.MAXIFS(BD!$A$3:$A$5001,BD!$B$3:$B$5001,E$101,BD!$A$3:$A$5001,"&gt;="&amp;$C$7,BD!$A$3:$A$5001,"&lt;="&amp;$D$7,BD!$W$3:$W$5001,"&lt;&gt;")))</f>
        <v/>
      </c>
      <c r="F122" s="32" t="str">
        <f>IF(COUNTIFS(BD!$B$3:$B$5001,F$101,BD!$A$3:$A$5001,"&gt;="&amp;$C$7,BD!$A$3:$A$5001,"&lt;="&amp;$D$7,BD!$W$3:$W$5001,"&lt;&gt;")=0,"",SUMIFS(BD!$W$3:$W$5001,BD!$B$3:$B$5001,F$101,BD!$A$3:$A$5001,_xlfn.MAXIFS(BD!$A$3:$A$5001,BD!$B$3:$B$5001,F$101,BD!$A$3:$A$5001,"&gt;="&amp;$C$7,BD!$A$3:$A$5001,"&lt;="&amp;$D$7,BD!$W$3:$W$5001,"&lt;&gt;")))</f>
        <v/>
      </c>
      <c r="G122" s="32" t="str">
        <f>IF(COUNTIFS(BD!$B$3:$B$5001,G$101,BD!$A$3:$A$5001,"&gt;="&amp;$C$7,BD!$A$3:$A$5001,"&lt;="&amp;$D$7,BD!$W$3:$W$5001,"&lt;&gt;")=0,"",SUMIFS(BD!$W$3:$W$5001,BD!$B$3:$B$5001,G$101,BD!$A$3:$A$5001,_xlfn.MAXIFS(BD!$A$3:$A$5001,BD!$B$3:$B$5001,G$101,BD!$A$3:$A$5001,"&gt;="&amp;$C$7,BD!$A$3:$A$5001,"&lt;="&amp;$D$7,BD!$W$3:$W$5001,"&lt;&gt;")))</f>
        <v/>
      </c>
      <c r="H122" s="32" t="str">
        <f>IF(COUNTIFS(BD!$B$3:$B$5001,H$101,BD!$A$3:$A$5001,"&gt;="&amp;$C$7,BD!$A$3:$A$5001,"&lt;="&amp;$D$7,BD!$W$3:$W$5001,"&lt;&gt;")=0,"",SUMIFS(BD!$W$3:$W$5001,BD!$B$3:$B$5001,H$101,BD!$A$3:$A$5001,_xlfn.MAXIFS(BD!$A$3:$A$5001,BD!$B$3:$B$5001,H$101,BD!$A$3:$A$5001,"&gt;="&amp;$C$7,BD!$A$3:$A$5001,"&lt;="&amp;$D$7,BD!$W$3:$W$5001,"&lt;&gt;")))</f>
        <v/>
      </c>
      <c r="I122" s="32" t="str">
        <f>IF(COUNTIFS(BD!$B$3:$B$5001,I$101,BD!$A$3:$A$5001,"&gt;="&amp;$C$7,BD!$A$3:$A$5001,"&lt;="&amp;$D$7,BD!$W$3:$W$5001,"&lt;&gt;")=0,"",SUMIFS(BD!$W$3:$W$5001,BD!$B$3:$B$5001,I$101,BD!$A$3:$A$5001,_xlfn.MAXIFS(BD!$A$3:$A$5001,BD!$B$3:$B$5001,I$101,BD!$A$3:$A$5001,"&gt;="&amp;$C$7,BD!$A$3:$A$5001,"&lt;="&amp;$D$7,BD!$W$3:$W$5001,"&lt;&gt;")))</f>
        <v/>
      </c>
      <c r="J122" s="32" t="str">
        <f>IF(COUNTIFS(BD!$B$3:$B$5001,J$101,BD!$A$3:$A$5001,"&gt;="&amp;$C$7,BD!$A$3:$A$5001,"&lt;="&amp;$D$7,BD!$W$3:$W$5001,"&lt;&gt;")=0,"",SUMIFS(BD!$W$3:$W$5001,BD!$B$3:$B$5001,J$101,BD!$A$3:$A$5001,_xlfn.MAXIFS(BD!$A$3:$A$5001,BD!$B$3:$B$5001,J$101,BD!$A$3:$A$5001,"&gt;="&amp;$C$7,BD!$A$3:$A$5001,"&lt;="&amp;$D$7,BD!$W$3:$W$5001,"&lt;&gt;")))</f>
        <v/>
      </c>
      <c r="K122" s="32" t="str">
        <f>IF(COUNTIFS(BD!$B$3:$B$5001,K$101,BD!$A$3:$A$5001,"&gt;="&amp;$C$7,BD!$A$3:$A$5001,"&lt;="&amp;$D$7,BD!$W$3:$W$5001,"&lt;&gt;")=0,"",SUMIFS(BD!$W$3:$W$5001,BD!$B$3:$B$5001,K$101,BD!$A$3:$A$5001,_xlfn.MAXIFS(BD!$A$3:$A$5001,BD!$B$3:$B$5001,K$101,BD!$A$3:$A$5001,"&gt;="&amp;$C$7,BD!$A$3:$A$5001,"&lt;="&amp;$D$7,BD!$W$3:$W$5001,"&lt;&gt;")))</f>
        <v/>
      </c>
      <c r="L122" s="61">
        <f>SUM(B122:K122)</f>
        <v>0</v>
      </c>
    </row>
    <row r="123">
      <c r="A123" s="29" t="inlineStr">
        <is>
          <t xml:space="preserve">OCUPAÇÃO (P.P) · Posições Disponíveis</t>
        </is>
      </c>
      <c r="B123" s="32" t="str">
        <f>IF(COUNTIFS(BD!$B$3:$B$5001,B$101,BD!$A$3:$A$5001,"&gt;="&amp;$C$7,BD!$A$3:$A$5001,"&lt;="&amp;$D$7,BD!$Y$3:$Y$5001,"&lt;&gt;")=0,"",SUMIFS(BD!$X$3:$X$5001,BD!$B$3:$B$5001,B$101,BD!$A$3:$A$5001,_xlfn.MAXIFS(BD!$A$3:$A$5001,BD!$B$3:$B$5001,B$101,BD!$A$3:$A$5001,"&gt;="&amp;$C$7,BD!$A$3:$A$5001,"&lt;="&amp;$D$7,BD!$Y$3:$Y$5001,"&lt;&gt;")))</f>
        <v/>
      </c>
      <c r="C123" s="32" t="str">
        <f>IF(COUNTIFS(BD!$B$3:$B$5001,C$101,BD!$A$3:$A$5001,"&gt;="&amp;$C$7,BD!$A$3:$A$5001,"&lt;="&amp;$D$7,BD!$Y$3:$Y$5001,"&lt;&gt;")=0,"",SUMIFS(BD!$X$3:$X$5001,BD!$B$3:$B$5001,C$101,BD!$A$3:$A$5001,_xlfn.MAXIFS(BD!$A$3:$A$5001,BD!$B$3:$B$5001,C$101,BD!$A$3:$A$5001,"&gt;="&amp;$C$7,BD!$A$3:$A$5001,"&lt;="&amp;$D$7,BD!$Y$3:$Y$5001,"&lt;&gt;")))</f>
        <v/>
      </c>
      <c r="D123" s="32" t="str">
        <f>IF(COUNTIFS(BD!$B$3:$B$5001,D$101,BD!$A$3:$A$5001,"&gt;="&amp;$C$7,BD!$A$3:$A$5001,"&lt;="&amp;$D$7,BD!$Y$3:$Y$5001,"&lt;&gt;")=0,"",SUMIFS(BD!$X$3:$X$5001,BD!$B$3:$B$5001,D$101,BD!$A$3:$A$5001,_xlfn.MAXIFS(BD!$A$3:$A$5001,BD!$B$3:$B$5001,D$101,BD!$A$3:$A$5001,"&gt;="&amp;$C$7,BD!$A$3:$A$5001,"&lt;="&amp;$D$7,BD!$Y$3:$Y$5001,"&lt;&gt;")))</f>
        <v/>
      </c>
      <c r="E123" s="32" t="str">
        <f>IF(COUNTIFS(BD!$B$3:$B$5001,E$101,BD!$A$3:$A$5001,"&gt;="&amp;$C$7,BD!$A$3:$A$5001,"&lt;="&amp;$D$7,BD!$Y$3:$Y$5001,"&lt;&gt;")=0,"",SUMIFS(BD!$X$3:$X$5001,BD!$B$3:$B$5001,E$101,BD!$A$3:$A$5001,_xlfn.MAXIFS(BD!$A$3:$A$5001,BD!$B$3:$B$5001,E$101,BD!$A$3:$A$5001,"&gt;="&amp;$C$7,BD!$A$3:$A$5001,"&lt;="&amp;$D$7,BD!$Y$3:$Y$5001,"&lt;&gt;")))</f>
        <v/>
      </c>
      <c r="F123" s="32" t="str">
        <f>IF(COUNTIFS(BD!$B$3:$B$5001,F$101,BD!$A$3:$A$5001,"&gt;="&amp;$C$7,BD!$A$3:$A$5001,"&lt;="&amp;$D$7,BD!$Y$3:$Y$5001,"&lt;&gt;")=0,"",SUMIFS(BD!$X$3:$X$5001,BD!$B$3:$B$5001,F$101,BD!$A$3:$A$5001,_xlfn.MAXIFS(BD!$A$3:$A$5001,BD!$B$3:$B$5001,F$101,BD!$A$3:$A$5001,"&gt;="&amp;$C$7,BD!$A$3:$A$5001,"&lt;="&amp;$D$7,BD!$Y$3:$Y$5001,"&lt;&gt;")))</f>
        <v/>
      </c>
      <c r="G123" s="32" t="str">
        <f>IF(COUNTIFS(BD!$B$3:$B$5001,G$101,BD!$A$3:$A$5001,"&gt;="&amp;$C$7,BD!$A$3:$A$5001,"&lt;="&amp;$D$7,BD!$Y$3:$Y$5001,"&lt;&gt;")=0,"",SUMIFS(BD!$X$3:$X$5001,BD!$B$3:$B$5001,G$101,BD!$A$3:$A$5001,_xlfn.MAXIFS(BD!$A$3:$A$5001,BD!$B$3:$B$5001,G$101,BD!$A$3:$A$5001,"&gt;="&amp;$C$7,BD!$A$3:$A$5001,"&lt;="&amp;$D$7,BD!$Y$3:$Y$5001,"&lt;&gt;")))</f>
        <v/>
      </c>
      <c r="H123" s="32" t="str">
        <f>IF(COUNTIFS(BD!$B$3:$B$5001,H$101,BD!$A$3:$A$5001,"&gt;="&amp;$C$7,BD!$A$3:$A$5001,"&lt;="&amp;$D$7,BD!$Y$3:$Y$5001,"&lt;&gt;")=0,"",SUMIFS(BD!$X$3:$X$5001,BD!$B$3:$B$5001,H$101,BD!$A$3:$A$5001,_xlfn.MAXIFS(BD!$A$3:$A$5001,BD!$B$3:$B$5001,H$101,BD!$A$3:$A$5001,"&gt;="&amp;$C$7,BD!$A$3:$A$5001,"&lt;="&amp;$D$7,BD!$Y$3:$Y$5001,"&lt;&gt;")))</f>
        <v/>
      </c>
      <c r="I123" s="32" t="str">
        <f>IF(COUNTIFS(BD!$B$3:$B$5001,I$101,BD!$A$3:$A$5001,"&gt;="&amp;$C$7,BD!$A$3:$A$5001,"&lt;="&amp;$D$7,BD!$Y$3:$Y$5001,"&lt;&gt;")=0,"",SUMIFS(BD!$X$3:$X$5001,BD!$B$3:$B$5001,I$101,BD!$A$3:$A$5001,_xlfn.MAXIFS(BD!$A$3:$A$5001,BD!$B$3:$B$5001,I$101,BD!$A$3:$A$5001,"&gt;="&amp;$C$7,BD!$A$3:$A$5001,"&lt;="&amp;$D$7,BD!$Y$3:$Y$5001,"&lt;&gt;")))</f>
        <v/>
      </c>
      <c r="J123" s="32" t="str">
        <f>IF(COUNTIFS(BD!$B$3:$B$5001,J$101,BD!$A$3:$A$5001,"&gt;="&amp;$C$7,BD!$A$3:$A$5001,"&lt;="&amp;$D$7,BD!$Y$3:$Y$5001,"&lt;&gt;")=0,"",SUMIFS(BD!$X$3:$X$5001,BD!$B$3:$B$5001,J$101,BD!$A$3:$A$5001,_xlfn.MAXIFS(BD!$A$3:$A$5001,BD!$B$3:$B$5001,J$101,BD!$A$3:$A$5001,"&gt;="&amp;$C$7,BD!$A$3:$A$5001,"&lt;="&amp;$D$7,BD!$Y$3:$Y$5001,"&lt;&gt;")))</f>
        <v/>
      </c>
      <c r="K123" s="32" t="str">
        <f>IF(COUNTIFS(BD!$B$3:$B$5001,K$101,BD!$A$3:$A$5001,"&gt;="&amp;$C$7,BD!$A$3:$A$5001,"&lt;="&amp;$D$7,BD!$Y$3:$Y$5001,"&lt;&gt;")=0,"",SUMIFS(BD!$X$3:$X$5001,BD!$B$3:$B$5001,K$101,BD!$A$3:$A$5001,_xlfn.MAXIFS(BD!$A$3:$A$5001,BD!$B$3:$B$5001,K$101,BD!$A$3:$A$5001,"&gt;="&amp;$C$7,BD!$A$3:$A$5001,"&lt;="&amp;$D$7,BD!$Y$3:$Y$5001,"&lt;&gt;")))</f>
        <v/>
      </c>
      <c r="L123" s="61">
        <f>IF($B$4&gt;0,$B$4,SUM(B123:K123))</f>
        <v>23040</v>
      </c>
    </row>
    <row r="124">
      <c r="A124" s="29" t="inlineStr">
        <is>
          <t xml:space="preserve">OCUPAÇÃO (P.P) · Posições Ocupadas</t>
        </is>
      </c>
      <c r="B124" s="32" t="str">
        <f>IF(COUNTIFS(BD!$B$3:$B$5001,B$101,BD!$A$3:$A$5001,"&gt;="&amp;$C$7,BD!$A$3:$A$5001,"&lt;="&amp;$D$7,BD!$Y$3:$Y$5001,"&lt;&gt;")=0,"",SUMIFS(BD!$Y$3:$Y$5001,BD!$B$3:$B$5001,B$101,BD!$A$3:$A$5001,_xlfn.MAXIFS(BD!$A$3:$A$5001,BD!$B$3:$B$5001,B$101,BD!$A$3:$A$5001,"&gt;="&amp;$C$7,BD!$A$3:$A$5001,"&lt;="&amp;$D$7,BD!$Y$3:$Y$5001,"&lt;&gt;")))</f>
        <v/>
      </c>
      <c r="C124" s="32" t="str">
        <f>IF(COUNTIFS(BD!$B$3:$B$5001,C$101,BD!$A$3:$A$5001,"&gt;="&amp;$C$7,BD!$A$3:$A$5001,"&lt;="&amp;$D$7,BD!$Y$3:$Y$5001,"&lt;&gt;")=0,"",SUMIFS(BD!$Y$3:$Y$5001,BD!$B$3:$B$5001,C$101,BD!$A$3:$A$5001,_xlfn.MAXIFS(BD!$A$3:$A$5001,BD!$B$3:$B$5001,C$101,BD!$A$3:$A$5001,"&gt;="&amp;$C$7,BD!$A$3:$A$5001,"&lt;="&amp;$D$7,BD!$Y$3:$Y$5001,"&lt;&gt;")))</f>
        <v/>
      </c>
      <c r="D124" s="32" t="str">
        <f>IF(COUNTIFS(BD!$B$3:$B$5001,D$101,BD!$A$3:$A$5001,"&gt;="&amp;$C$7,BD!$A$3:$A$5001,"&lt;="&amp;$D$7,BD!$Y$3:$Y$5001,"&lt;&gt;")=0,"",SUMIFS(BD!$Y$3:$Y$5001,BD!$B$3:$B$5001,D$101,BD!$A$3:$A$5001,_xlfn.MAXIFS(BD!$A$3:$A$5001,BD!$B$3:$B$5001,D$101,BD!$A$3:$A$5001,"&gt;="&amp;$C$7,BD!$A$3:$A$5001,"&lt;="&amp;$D$7,BD!$Y$3:$Y$5001,"&lt;&gt;")))</f>
        <v/>
      </c>
      <c r="E124" s="32" t="str">
        <f>IF(COUNTIFS(BD!$B$3:$B$5001,E$101,BD!$A$3:$A$5001,"&gt;="&amp;$C$7,BD!$A$3:$A$5001,"&lt;="&amp;$D$7,BD!$Y$3:$Y$5001,"&lt;&gt;")=0,"",SUMIFS(BD!$Y$3:$Y$5001,BD!$B$3:$B$5001,E$101,BD!$A$3:$A$5001,_xlfn.MAXIFS(BD!$A$3:$A$5001,BD!$B$3:$B$5001,E$101,BD!$A$3:$A$5001,"&gt;="&amp;$C$7,BD!$A$3:$A$5001,"&lt;="&amp;$D$7,BD!$Y$3:$Y$5001,"&lt;&gt;")))</f>
        <v/>
      </c>
      <c r="F124" s="32" t="str">
        <f>IF(COUNTIFS(BD!$B$3:$B$5001,F$101,BD!$A$3:$A$5001,"&gt;="&amp;$C$7,BD!$A$3:$A$5001,"&lt;="&amp;$D$7,BD!$Y$3:$Y$5001,"&lt;&gt;")=0,"",SUMIFS(BD!$Y$3:$Y$5001,BD!$B$3:$B$5001,F$101,BD!$A$3:$A$5001,_xlfn.MAXIFS(BD!$A$3:$A$5001,BD!$B$3:$B$5001,F$101,BD!$A$3:$A$5001,"&gt;="&amp;$C$7,BD!$A$3:$A$5001,"&lt;="&amp;$D$7,BD!$Y$3:$Y$5001,"&lt;&gt;")))</f>
        <v/>
      </c>
      <c r="G124" s="32" t="str">
        <f>IF(COUNTIFS(BD!$B$3:$B$5001,G$101,BD!$A$3:$A$5001,"&gt;="&amp;$C$7,BD!$A$3:$A$5001,"&lt;="&amp;$D$7,BD!$Y$3:$Y$5001,"&lt;&gt;")=0,"",SUMIFS(BD!$Y$3:$Y$5001,BD!$B$3:$B$5001,G$101,BD!$A$3:$A$5001,_xlfn.MAXIFS(BD!$A$3:$A$5001,BD!$B$3:$B$5001,G$101,BD!$A$3:$A$5001,"&gt;="&amp;$C$7,BD!$A$3:$A$5001,"&lt;="&amp;$D$7,BD!$Y$3:$Y$5001,"&lt;&gt;")))</f>
        <v/>
      </c>
      <c r="H124" s="32" t="str">
        <f>IF(COUNTIFS(BD!$B$3:$B$5001,H$101,BD!$A$3:$A$5001,"&gt;="&amp;$C$7,BD!$A$3:$A$5001,"&lt;="&amp;$D$7,BD!$Y$3:$Y$5001,"&lt;&gt;")=0,"",SUMIFS(BD!$Y$3:$Y$5001,BD!$B$3:$B$5001,H$101,BD!$A$3:$A$5001,_xlfn.MAXIFS(BD!$A$3:$A$5001,BD!$B$3:$B$5001,H$101,BD!$A$3:$A$5001,"&gt;="&amp;$C$7,BD!$A$3:$A$5001,"&lt;="&amp;$D$7,BD!$Y$3:$Y$5001,"&lt;&gt;")))</f>
        <v/>
      </c>
      <c r="I124" s="32" t="str">
        <f>IF(COUNTIFS(BD!$B$3:$B$5001,I$101,BD!$A$3:$A$5001,"&gt;="&amp;$C$7,BD!$A$3:$A$5001,"&lt;="&amp;$D$7,BD!$Y$3:$Y$5001,"&lt;&gt;")=0,"",SUMIFS(BD!$Y$3:$Y$5001,BD!$B$3:$B$5001,I$101,BD!$A$3:$A$5001,_xlfn.MAXIFS(BD!$A$3:$A$5001,BD!$B$3:$B$5001,I$101,BD!$A$3:$A$5001,"&gt;="&amp;$C$7,BD!$A$3:$A$5001,"&lt;="&amp;$D$7,BD!$Y$3:$Y$5001,"&lt;&gt;")))</f>
        <v/>
      </c>
      <c r="J124" s="32" t="str">
        <f>IF(COUNTIFS(BD!$B$3:$B$5001,J$101,BD!$A$3:$A$5001,"&gt;="&amp;$C$7,BD!$A$3:$A$5001,"&lt;="&amp;$D$7,BD!$Y$3:$Y$5001,"&lt;&gt;")=0,"",SUMIFS(BD!$Y$3:$Y$5001,BD!$B$3:$B$5001,J$101,BD!$A$3:$A$5001,_xlfn.MAXIFS(BD!$A$3:$A$5001,BD!$B$3:$B$5001,J$101,BD!$A$3:$A$5001,"&gt;="&amp;$C$7,BD!$A$3:$A$5001,"&lt;="&amp;$D$7,BD!$Y$3:$Y$5001,"&lt;&gt;")))</f>
        <v/>
      </c>
      <c r="K124" s="32" t="str">
        <f>IF(COUNTIFS(BD!$B$3:$B$5001,K$101,BD!$A$3:$A$5001,"&gt;="&amp;$C$7,BD!$A$3:$A$5001,"&lt;="&amp;$D$7,BD!$Y$3:$Y$5001,"&lt;&gt;")=0,"",SUMIFS(BD!$Y$3:$Y$5001,BD!$B$3:$B$5001,K$101,BD!$A$3:$A$5001,_xlfn.MAXIFS(BD!$A$3:$A$5001,BD!$B$3:$B$5001,K$101,BD!$A$3:$A$5001,"&gt;="&amp;$C$7,BD!$A$3:$A$5001,"&lt;="&amp;$D$7,BD!$Y$3:$Y$5001,"&lt;&gt;")))</f>
        <v/>
      </c>
      <c r="L124" s="61">
        <f>SUM(B124:K124)</f>
        <v>0</v>
      </c>
    </row>
    <row r="125">
      <c r="A125" s="29" t="inlineStr">
        <is>
          <t xml:space="preserve">OCUPAÇÃO (P.P) · Taxa de Ocupação</t>
        </is>
      </c>
      <c r="B125" s="49" t="str">
        <f>IF(AND(ISNUMBER(B124),ISNUMBER(B123)),IF(B123&gt;0,B124/B123,""),"")</f>
        <v/>
      </c>
      <c r="C125" s="49" t="str">
        <f>IF(AND(ISNUMBER(C124),ISNUMBER(C123)),IF(C123&gt;0,C124/C123,""),"")</f>
        <v/>
      </c>
      <c r="D125" s="49" t="str">
        <f>IF(AND(ISNUMBER(D124),ISNUMBER(D123)),IF(D123&gt;0,D124/D123,""),"")</f>
        <v/>
      </c>
      <c r="E125" s="49" t="str">
        <f>IF(AND(ISNUMBER(E124),ISNUMBER(E123)),IF(E123&gt;0,E124/E123,""),"")</f>
        <v/>
      </c>
      <c r="F125" s="49" t="str">
        <f>IF(AND(ISNUMBER(F124),ISNUMBER(F123)),IF(F123&gt;0,F124/F123,""),"")</f>
        <v/>
      </c>
      <c r="G125" s="49" t="str">
        <f>IF(AND(ISNUMBER(G124),ISNUMBER(G123)),IF(G123&gt;0,G124/G123,""),"")</f>
        <v/>
      </c>
      <c r="H125" s="49" t="str">
        <f>IF(AND(ISNUMBER(H124),ISNUMBER(H123)),IF(H123&gt;0,H124/H123,""),"")</f>
        <v/>
      </c>
      <c r="I125" s="49" t="str">
        <f>IF(AND(ISNUMBER(I124),ISNUMBER(I123)),IF(I123&gt;0,I124/I123,""),"")</f>
        <v/>
      </c>
      <c r="J125" s="49" t="str">
        <f>IF(AND(ISNUMBER(J124),ISNUMBER(J123)),IF(J123&gt;0,J124/J123,""),"")</f>
        <v/>
      </c>
      <c r="K125" s="49" t="str">
        <f>IF(AND(ISNUMBER(K124),ISNUMBER(K123)),IF(K123&gt;0,K124/K123,""),"")</f>
        <v/>
      </c>
      <c r="L125" s="63">
        <f>IFERROR(L124/L123,"")</f>
        <v>0</v>
      </c>
    </row>
    <row r="126">
      <c r="A126" s="29" t="inlineStr">
        <is>
          <t xml:space="preserve">GENTE · Efetivo Op.</t>
        </is>
      </c>
      <c r="B126" s="32" t="str">
        <f>IF(COUNTIFS(BD!$B$3:$B$5001,B$101,BD!$A$3:$A$5001,"&gt;="&amp;$C$7,BD!$A$3:$A$5001,"&lt;="&amp;$D$7,BD!$Z$3:$Z$5001,"&lt;&gt;")=0,"",SUMIFS(BD!$Z$3:$Z$5001,BD!$B$3:$B$5001,B$101,BD!$A$3:$A$5001,_xlfn.MAXIFS(BD!$A$3:$A$5001,BD!$B$3:$B$5001,B$101,BD!$A$3:$A$5001,"&gt;="&amp;$C$7,BD!$A$3:$A$5001,"&lt;="&amp;$D$7,BD!$Z$3:$Z$5001,"&lt;&gt;")))</f>
        <v/>
      </c>
      <c r="C126" s="32" t="str">
        <f>IF(COUNTIFS(BD!$B$3:$B$5001,C$101,BD!$A$3:$A$5001,"&gt;="&amp;$C$7,BD!$A$3:$A$5001,"&lt;="&amp;$D$7,BD!$Z$3:$Z$5001,"&lt;&gt;")=0,"",SUMIFS(BD!$Z$3:$Z$5001,BD!$B$3:$B$5001,C$101,BD!$A$3:$A$5001,_xlfn.MAXIFS(BD!$A$3:$A$5001,BD!$B$3:$B$5001,C$101,BD!$A$3:$A$5001,"&gt;="&amp;$C$7,BD!$A$3:$A$5001,"&lt;="&amp;$D$7,BD!$Z$3:$Z$5001,"&lt;&gt;")))</f>
        <v/>
      </c>
      <c r="D126" s="32" t="str">
        <f>IF(COUNTIFS(BD!$B$3:$B$5001,D$101,BD!$A$3:$A$5001,"&gt;="&amp;$C$7,BD!$A$3:$A$5001,"&lt;="&amp;$D$7,BD!$Z$3:$Z$5001,"&lt;&gt;")=0,"",SUMIFS(BD!$Z$3:$Z$5001,BD!$B$3:$B$5001,D$101,BD!$A$3:$A$5001,_xlfn.MAXIFS(BD!$A$3:$A$5001,BD!$B$3:$B$5001,D$101,BD!$A$3:$A$5001,"&gt;="&amp;$C$7,BD!$A$3:$A$5001,"&lt;="&amp;$D$7,BD!$Z$3:$Z$5001,"&lt;&gt;")))</f>
        <v/>
      </c>
      <c r="E126" s="32" t="str">
        <f>IF(COUNTIFS(BD!$B$3:$B$5001,E$101,BD!$A$3:$A$5001,"&gt;="&amp;$C$7,BD!$A$3:$A$5001,"&lt;="&amp;$D$7,BD!$Z$3:$Z$5001,"&lt;&gt;")=0,"",SUMIFS(BD!$Z$3:$Z$5001,BD!$B$3:$B$5001,E$101,BD!$A$3:$A$5001,_xlfn.MAXIFS(BD!$A$3:$A$5001,BD!$B$3:$B$5001,E$101,BD!$A$3:$A$5001,"&gt;="&amp;$C$7,BD!$A$3:$A$5001,"&lt;="&amp;$D$7,BD!$Z$3:$Z$5001,"&lt;&gt;")))</f>
        <v/>
      </c>
      <c r="F126" s="32" t="str">
        <f>IF(COUNTIFS(BD!$B$3:$B$5001,F$101,BD!$A$3:$A$5001,"&gt;="&amp;$C$7,BD!$A$3:$A$5001,"&lt;="&amp;$D$7,BD!$Z$3:$Z$5001,"&lt;&gt;")=0,"",SUMIFS(BD!$Z$3:$Z$5001,BD!$B$3:$B$5001,F$101,BD!$A$3:$A$5001,_xlfn.MAXIFS(BD!$A$3:$A$5001,BD!$B$3:$B$5001,F$101,BD!$A$3:$A$5001,"&gt;="&amp;$C$7,BD!$A$3:$A$5001,"&lt;="&amp;$D$7,BD!$Z$3:$Z$5001,"&lt;&gt;")))</f>
        <v/>
      </c>
      <c r="G126" s="32" t="str">
        <f>IF(COUNTIFS(BD!$B$3:$B$5001,G$101,BD!$A$3:$A$5001,"&gt;="&amp;$C$7,BD!$A$3:$A$5001,"&lt;="&amp;$D$7,BD!$Z$3:$Z$5001,"&lt;&gt;")=0,"",SUMIFS(BD!$Z$3:$Z$5001,BD!$B$3:$B$5001,G$101,BD!$A$3:$A$5001,_xlfn.MAXIFS(BD!$A$3:$A$5001,BD!$B$3:$B$5001,G$101,BD!$A$3:$A$5001,"&gt;="&amp;$C$7,BD!$A$3:$A$5001,"&lt;="&amp;$D$7,BD!$Z$3:$Z$5001,"&lt;&gt;")))</f>
        <v/>
      </c>
      <c r="H126" s="32" t="str">
        <f>IF(COUNTIFS(BD!$B$3:$B$5001,H$101,BD!$A$3:$A$5001,"&gt;="&amp;$C$7,BD!$A$3:$A$5001,"&lt;="&amp;$D$7,BD!$Z$3:$Z$5001,"&lt;&gt;")=0,"",SUMIFS(BD!$Z$3:$Z$5001,BD!$B$3:$B$5001,H$101,BD!$A$3:$A$5001,_xlfn.MAXIFS(BD!$A$3:$A$5001,BD!$B$3:$B$5001,H$101,BD!$A$3:$A$5001,"&gt;="&amp;$C$7,BD!$A$3:$A$5001,"&lt;="&amp;$D$7,BD!$Z$3:$Z$5001,"&lt;&gt;")))</f>
        <v/>
      </c>
      <c r="I126" s="32" t="str">
        <f>IF(COUNTIFS(BD!$B$3:$B$5001,I$101,BD!$A$3:$A$5001,"&gt;="&amp;$C$7,BD!$A$3:$A$5001,"&lt;="&amp;$D$7,BD!$Z$3:$Z$5001,"&lt;&gt;")=0,"",SUMIFS(BD!$Z$3:$Z$5001,BD!$B$3:$B$5001,I$101,BD!$A$3:$A$5001,_xlfn.MAXIFS(BD!$A$3:$A$5001,BD!$B$3:$B$5001,I$101,BD!$A$3:$A$5001,"&gt;="&amp;$C$7,BD!$A$3:$A$5001,"&lt;="&amp;$D$7,BD!$Z$3:$Z$5001,"&lt;&gt;")))</f>
        <v/>
      </c>
      <c r="J126" s="32" t="str">
        <f>IF(COUNTIFS(BD!$B$3:$B$5001,J$101,BD!$A$3:$A$5001,"&gt;="&amp;$C$7,BD!$A$3:$A$5001,"&lt;="&amp;$D$7,BD!$Z$3:$Z$5001,"&lt;&gt;")=0,"",SUMIFS(BD!$Z$3:$Z$5001,BD!$B$3:$B$5001,J$101,BD!$A$3:$A$5001,_xlfn.MAXIFS(BD!$A$3:$A$5001,BD!$B$3:$B$5001,J$101,BD!$A$3:$A$5001,"&gt;="&amp;$C$7,BD!$A$3:$A$5001,"&lt;="&amp;$D$7,BD!$Z$3:$Z$5001,"&lt;&gt;")))</f>
        <v/>
      </c>
      <c r="K126" s="32" t="str">
        <f>IF(COUNTIFS(BD!$B$3:$B$5001,K$101,BD!$A$3:$A$5001,"&gt;="&amp;$C$7,BD!$A$3:$A$5001,"&lt;="&amp;$D$7,BD!$Z$3:$Z$5001,"&lt;&gt;")=0,"",SUMIFS(BD!$Z$3:$Z$5001,BD!$B$3:$B$5001,K$101,BD!$A$3:$A$5001,_xlfn.MAXIFS(BD!$A$3:$A$5001,BD!$B$3:$B$5001,K$101,BD!$A$3:$A$5001,"&gt;="&amp;$C$7,BD!$A$3:$A$5001,"&lt;="&amp;$D$7,BD!$Z$3:$Z$5001,"&lt;&gt;")))</f>
        <v/>
      </c>
      <c r="L126" s="61">
        <f>SUM(B126:K126)</f>
        <v>0</v>
      </c>
    </row>
    <row r="127">
      <c r="A127" s="29" t="inlineStr">
        <is>
          <t xml:space="preserve">GENTE · Falta</t>
        </is>
      </c>
      <c r="B127" s="32">
        <f>SUMIFS(BD!$AA$3:$AA$5001,BD!$B$3:$B$5001,B$101,BD!$A$3:$A$5001,"&gt;="&amp;$C$7,BD!$A$3:$A$5001,"&lt;="&amp;$D$7)</f>
        <v>0</v>
      </c>
      <c r="C127" s="32">
        <f>SUMIFS(BD!$AA$3:$AA$5001,BD!$B$3:$B$5001,C$101,BD!$A$3:$A$5001,"&gt;="&amp;$C$7,BD!$A$3:$A$5001,"&lt;="&amp;$D$7)</f>
        <v>0</v>
      </c>
      <c r="D127" s="32">
        <f>SUMIFS(BD!$AA$3:$AA$5001,BD!$B$3:$B$5001,D$101,BD!$A$3:$A$5001,"&gt;="&amp;$C$7,BD!$A$3:$A$5001,"&lt;="&amp;$D$7)</f>
        <v>0</v>
      </c>
      <c r="E127" s="32">
        <f>SUMIFS(BD!$AA$3:$AA$5001,BD!$B$3:$B$5001,E$101,BD!$A$3:$A$5001,"&gt;="&amp;$C$7,BD!$A$3:$A$5001,"&lt;="&amp;$D$7)</f>
        <v>0</v>
      </c>
      <c r="F127" s="32">
        <f>SUMIFS(BD!$AA$3:$AA$5001,BD!$B$3:$B$5001,F$101,BD!$A$3:$A$5001,"&gt;="&amp;$C$7,BD!$A$3:$A$5001,"&lt;="&amp;$D$7)</f>
        <v>0</v>
      </c>
      <c r="G127" s="32">
        <f>SUMIFS(BD!$AA$3:$AA$5001,BD!$B$3:$B$5001,G$101,BD!$A$3:$A$5001,"&gt;="&amp;$C$7,BD!$A$3:$A$5001,"&lt;="&amp;$D$7)</f>
        <v>0</v>
      </c>
      <c r="H127" s="32">
        <f>SUMIFS(BD!$AA$3:$AA$5001,BD!$B$3:$B$5001,H$101,BD!$A$3:$A$5001,"&gt;="&amp;$C$7,BD!$A$3:$A$5001,"&lt;="&amp;$D$7)</f>
        <v>0</v>
      </c>
      <c r="I127" s="32">
        <f>SUMIFS(BD!$AA$3:$AA$5001,BD!$B$3:$B$5001,I$101,BD!$A$3:$A$5001,"&gt;="&amp;$C$7,BD!$A$3:$A$5001,"&lt;="&amp;$D$7)</f>
        <v>0</v>
      </c>
      <c r="J127" s="32">
        <f>SUMIFS(BD!$AA$3:$AA$5001,BD!$B$3:$B$5001,J$101,BD!$A$3:$A$5001,"&gt;="&amp;$C$7,BD!$A$3:$A$5001,"&lt;="&amp;$D$7)</f>
        <v>0</v>
      </c>
      <c r="K127" s="32">
        <f>SUMIFS(BD!$AA$3:$AA$5001,BD!$B$3:$B$5001,K$101,BD!$A$3:$A$5001,"&gt;="&amp;$C$7,BD!$A$3:$A$5001,"&lt;="&amp;$D$7)</f>
        <v>0</v>
      </c>
      <c r="L127" s="61">
        <f>SUM(B127:K127)</f>
        <v>0</v>
      </c>
    </row>
    <row r="128">
      <c r="A128" s="29" t="inlineStr">
        <is>
          <t xml:space="preserve">GENTE · Folga</t>
        </is>
      </c>
      <c r="B128" s="32">
        <f>SUMIFS(BD!$AB$3:$AB$5001,BD!$B$3:$B$5001,B$101,BD!$A$3:$A$5001,"&gt;="&amp;$C$7,BD!$A$3:$A$5001,"&lt;="&amp;$D$7)</f>
        <v>0</v>
      </c>
      <c r="C128" s="32">
        <f>SUMIFS(BD!$AB$3:$AB$5001,BD!$B$3:$B$5001,C$101,BD!$A$3:$A$5001,"&gt;="&amp;$C$7,BD!$A$3:$A$5001,"&lt;="&amp;$D$7)</f>
        <v>0</v>
      </c>
      <c r="D128" s="32">
        <f>SUMIFS(BD!$AB$3:$AB$5001,BD!$B$3:$B$5001,D$101,BD!$A$3:$A$5001,"&gt;="&amp;$C$7,BD!$A$3:$A$5001,"&lt;="&amp;$D$7)</f>
        <v>0</v>
      </c>
      <c r="E128" s="32">
        <f>SUMIFS(BD!$AB$3:$AB$5001,BD!$B$3:$B$5001,E$101,BD!$A$3:$A$5001,"&gt;="&amp;$C$7,BD!$A$3:$A$5001,"&lt;="&amp;$D$7)</f>
        <v>0</v>
      </c>
      <c r="F128" s="32">
        <f>SUMIFS(BD!$AB$3:$AB$5001,BD!$B$3:$B$5001,F$101,BD!$A$3:$A$5001,"&gt;="&amp;$C$7,BD!$A$3:$A$5001,"&lt;="&amp;$D$7)</f>
        <v>0</v>
      </c>
      <c r="G128" s="32">
        <f>SUMIFS(BD!$AB$3:$AB$5001,BD!$B$3:$B$5001,G$101,BD!$A$3:$A$5001,"&gt;="&amp;$C$7,BD!$A$3:$A$5001,"&lt;="&amp;$D$7)</f>
        <v>0</v>
      </c>
      <c r="H128" s="32">
        <f>SUMIFS(BD!$AB$3:$AB$5001,BD!$B$3:$B$5001,H$101,BD!$A$3:$A$5001,"&gt;="&amp;$C$7,BD!$A$3:$A$5001,"&lt;="&amp;$D$7)</f>
        <v>0</v>
      </c>
      <c r="I128" s="32">
        <f>SUMIFS(BD!$AB$3:$AB$5001,BD!$B$3:$B$5001,I$101,BD!$A$3:$A$5001,"&gt;="&amp;$C$7,BD!$A$3:$A$5001,"&lt;="&amp;$D$7)</f>
        <v>0</v>
      </c>
      <c r="J128" s="32">
        <f>SUMIFS(BD!$AB$3:$AB$5001,BD!$B$3:$B$5001,J$101,BD!$A$3:$A$5001,"&gt;="&amp;$C$7,BD!$A$3:$A$5001,"&lt;="&amp;$D$7)</f>
        <v>0</v>
      </c>
      <c r="K128" s="32">
        <f>SUMIFS(BD!$AB$3:$AB$5001,BD!$B$3:$B$5001,K$101,BD!$A$3:$A$5001,"&gt;="&amp;$C$7,BD!$A$3:$A$5001,"&lt;="&amp;$D$7)</f>
        <v>0</v>
      </c>
      <c r="L128" s="61">
        <f>SUM(B128:K128)</f>
        <v>0</v>
      </c>
    </row>
    <row r="129">
      <c r="A129" s="29" t="inlineStr">
        <is>
          <t xml:space="preserve">GENTE · Férias</t>
        </is>
      </c>
      <c r="B129" s="32">
        <f>SUMIFS(BD!$AC$3:$AC$5001,BD!$B$3:$B$5001,B$101,BD!$A$3:$A$5001,"&gt;="&amp;$C$7,BD!$A$3:$A$5001,"&lt;="&amp;$D$7)</f>
        <v>0</v>
      </c>
      <c r="C129" s="32">
        <f>SUMIFS(BD!$AC$3:$AC$5001,BD!$B$3:$B$5001,C$101,BD!$A$3:$A$5001,"&gt;="&amp;$C$7,BD!$A$3:$A$5001,"&lt;="&amp;$D$7)</f>
        <v>0</v>
      </c>
      <c r="D129" s="32">
        <f>SUMIFS(BD!$AC$3:$AC$5001,BD!$B$3:$B$5001,D$101,BD!$A$3:$A$5001,"&gt;="&amp;$C$7,BD!$A$3:$A$5001,"&lt;="&amp;$D$7)</f>
        <v>0</v>
      </c>
      <c r="E129" s="32">
        <f>SUMIFS(BD!$AC$3:$AC$5001,BD!$B$3:$B$5001,E$101,BD!$A$3:$A$5001,"&gt;="&amp;$C$7,BD!$A$3:$A$5001,"&lt;="&amp;$D$7)</f>
        <v>0</v>
      </c>
      <c r="F129" s="32">
        <f>SUMIFS(BD!$AC$3:$AC$5001,BD!$B$3:$B$5001,F$101,BD!$A$3:$A$5001,"&gt;="&amp;$C$7,BD!$A$3:$A$5001,"&lt;="&amp;$D$7)</f>
        <v>0</v>
      </c>
      <c r="G129" s="32">
        <f>SUMIFS(BD!$AC$3:$AC$5001,BD!$B$3:$B$5001,G$101,BD!$A$3:$A$5001,"&gt;="&amp;$C$7,BD!$A$3:$A$5001,"&lt;="&amp;$D$7)</f>
        <v>0</v>
      </c>
      <c r="H129" s="32">
        <f>SUMIFS(BD!$AC$3:$AC$5001,BD!$B$3:$B$5001,H$101,BD!$A$3:$A$5001,"&gt;="&amp;$C$7,BD!$A$3:$A$5001,"&lt;="&amp;$D$7)</f>
        <v>0</v>
      </c>
      <c r="I129" s="32">
        <f>SUMIFS(BD!$AC$3:$AC$5001,BD!$B$3:$B$5001,I$101,BD!$A$3:$A$5001,"&gt;="&amp;$C$7,BD!$A$3:$A$5001,"&lt;="&amp;$D$7)</f>
        <v>0</v>
      </c>
      <c r="J129" s="32">
        <f>SUMIFS(BD!$AC$3:$AC$5001,BD!$B$3:$B$5001,J$101,BD!$A$3:$A$5001,"&gt;="&amp;$C$7,BD!$A$3:$A$5001,"&lt;="&amp;$D$7)</f>
        <v>0</v>
      </c>
      <c r="K129" s="32">
        <f>SUMIFS(BD!$AC$3:$AC$5001,BD!$B$3:$B$5001,K$101,BD!$A$3:$A$5001,"&gt;="&amp;$C$7,BD!$A$3:$A$5001,"&lt;="&amp;$D$7)</f>
        <v>0</v>
      </c>
      <c r="L129" s="61">
        <f>SUM(B129:K129)</f>
        <v>0</v>
      </c>
    </row>
    <row r="130">
      <c r="A130" s="29" t="inlineStr">
        <is>
          <t xml:space="preserve">GENTE · Desligamento</t>
        </is>
      </c>
      <c r="B130" s="32">
        <f>SUMIFS(BD!$AD$3:$AD$5001,BD!$B$3:$B$5001,B$101,BD!$A$3:$A$5001,"&gt;="&amp;$C$7,BD!$A$3:$A$5001,"&lt;="&amp;$D$7)</f>
        <v>0</v>
      </c>
      <c r="C130" s="32">
        <f>SUMIFS(BD!$AD$3:$AD$5001,BD!$B$3:$B$5001,C$101,BD!$A$3:$A$5001,"&gt;="&amp;$C$7,BD!$A$3:$A$5001,"&lt;="&amp;$D$7)</f>
        <v>0</v>
      </c>
      <c r="D130" s="32">
        <f>SUMIFS(BD!$AD$3:$AD$5001,BD!$B$3:$B$5001,D$101,BD!$A$3:$A$5001,"&gt;="&amp;$C$7,BD!$A$3:$A$5001,"&lt;="&amp;$D$7)</f>
        <v>0</v>
      </c>
      <c r="E130" s="32">
        <f>SUMIFS(BD!$AD$3:$AD$5001,BD!$B$3:$B$5001,E$101,BD!$A$3:$A$5001,"&gt;="&amp;$C$7,BD!$A$3:$A$5001,"&lt;="&amp;$D$7)</f>
        <v>0</v>
      </c>
      <c r="F130" s="32">
        <f>SUMIFS(BD!$AD$3:$AD$5001,BD!$B$3:$B$5001,F$101,BD!$A$3:$A$5001,"&gt;="&amp;$C$7,BD!$A$3:$A$5001,"&lt;="&amp;$D$7)</f>
        <v>0</v>
      </c>
      <c r="G130" s="32">
        <f>SUMIFS(BD!$AD$3:$AD$5001,BD!$B$3:$B$5001,G$101,BD!$A$3:$A$5001,"&gt;="&amp;$C$7,BD!$A$3:$A$5001,"&lt;="&amp;$D$7)</f>
        <v>0</v>
      </c>
      <c r="H130" s="32">
        <f>SUMIFS(BD!$AD$3:$AD$5001,BD!$B$3:$B$5001,H$101,BD!$A$3:$A$5001,"&gt;="&amp;$C$7,BD!$A$3:$A$5001,"&lt;="&amp;$D$7)</f>
        <v>0</v>
      </c>
      <c r="I130" s="32">
        <f>SUMIFS(BD!$AD$3:$AD$5001,BD!$B$3:$B$5001,I$101,BD!$A$3:$A$5001,"&gt;="&amp;$C$7,BD!$A$3:$A$5001,"&lt;="&amp;$D$7)</f>
        <v>0</v>
      </c>
      <c r="J130" s="32">
        <f>SUMIFS(BD!$AD$3:$AD$5001,BD!$B$3:$B$5001,J$101,BD!$A$3:$A$5001,"&gt;="&amp;$C$7,BD!$A$3:$A$5001,"&lt;="&amp;$D$7)</f>
        <v>0</v>
      </c>
      <c r="K130" s="32">
        <f>SUMIFS(BD!$AD$3:$AD$5001,BD!$B$3:$B$5001,K$101,BD!$A$3:$A$5001,"&gt;="&amp;$C$7,BD!$A$3:$A$5001,"&lt;="&amp;$D$7)</f>
        <v>0</v>
      </c>
      <c r="L130" s="61">
        <f>SUM(B130:K130)</f>
        <v>0</v>
      </c>
    </row>
    <row r="131">
      <c r="A131" s="29" t="inlineStr">
        <is>
          <t xml:space="preserve">GENTE · Desvios Comportamentais</t>
        </is>
      </c>
      <c r="B131" s="32">
        <f>SUMIFS(BD!$AE$3:$AE$5001,BD!$B$3:$B$5001,B$101,BD!$A$3:$A$5001,"&gt;="&amp;$C$7,BD!$A$3:$A$5001,"&lt;="&amp;$D$7)</f>
        <v>0</v>
      </c>
      <c r="C131" s="32">
        <f>SUMIFS(BD!$AE$3:$AE$5001,BD!$B$3:$B$5001,C$101,BD!$A$3:$A$5001,"&gt;="&amp;$C$7,BD!$A$3:$A$5001,"&lt;="&amp;$D$7)</f>
        <v>0</v>
      </c>
      <c r="D131" s="32">
        <f>SUMIFS(BD!$AE$3:$AE$5001,BD!$B$3:$B$5001,D$101,BD!$A$3:$A$5001,"&gt;="&amp;$C$7,BD!$A$3:$A$5001,"&lt;="&amp;$D$7)</f>
        <v>0</v>
      </c>
      <c r="E131" s="32">
        <f>SUMIFS(BD!$AE$3:$AE$5001,BD!$B$3:$B$5001,E$101,BD!$A$3:$A$5001,"&gt;="&amp;$C$7,BD!$A$3:$A$5001,"&lt;="&amp;$D$7)</f>
        <v>0</v>
      </c>
      <c r="F131" s="32">
        <f>SUMIFS(BD!$AE$3:$AE$5001,BD!$B$3:$B$5001,F$101,BD!$A$3:$A$5001,"&gt;="&amp;$C$7,BD!$A$3:$A$5001,"&lt;="&amp;$D$7)</f>
        <v>0</v>
      </c>
      <c r="G131" s="32">
        <f>SUMIFS(BD!$AE$3:$AE$5001,BD!$B$3:$B$5001,G$101,BD!$A$3:$A$5001,"&gt;="&amp;$C$7,BD!$A$3:$A$5001,"&lt;="&amp;$D$7)</f>
        <v>0</v>
      </c>
      <c r="H131" s="32">
        <f>SUMIFS(BD!$AE$3:$AE$5001,BD!$B$3:$B$5001,H$101,BD!$A$3:$A$5001,"&gt;="&amp;$C$7,BD!$A$3:$A$5001,"&lt;="&amp;$D$7)</f>
        <v>0</v>
      </c>
      <c r="I131" s="32">
        <f>SUMIFS(BD!$AE$3:$AE$5001,BD!$B$3:$B$5001,I$101,BD!$A$3:$A$5001,"&gt;="&amp;$C$7,BD!$A$3:$A$5001,"&lt;="&amp;$D$7)</f>
        <v>0</v>
      </c>
      <c r="J131" s="32">
        <f>SUMIFS(BD!$AE$3:$AE$5001,BD!$B$3:$B$5001,J$101,BD!$A$3:$A$5001,"&gt;="&amp;$C$7,BD!$A$3:$A$5001,"&lt;="&amp;$D$7)</f>
        <v>0</v>
      </c>
      <c r="K131" s="32">
        <f>SUMIFS(BD!$AE$3:$AE$5001,BD!$B$3:$B$5001,K$101,BD!$A$3:$A$5001,"&gt;="&amp;$C$7,BD!$A$3:$A$5001,"&lt;="&amp;$D$7)</f>
        <v>0</v>
      </c>
      <c r="L131" s="61">
        <f>SUM(B131:K131)</f>
        <v>0</v>
      </c>
    </row>
    <row r="132">
      <c r="A132" s="29" t="inlineStr">
        <is>
          <t xml:space="preserve">GENTE · Acidentes CAF</t>
        </is>
      </c>
      <c r="B132" s="32">
        <f>SUMIFS(BD!$AF$3:$AF$5001,BD!$B$3:$B$5001,B$101,BD!$A$3:$A$5001,"&gt;="&amp;$C$7,BD!$A$3:$A$5001,"&lt;="&amp;$D$7)</f>
        <v>0</v>
      </c>
      <c r="C132" s="32">
        <f>SUMIFS(BD!$AF$3:$AF$5001,BD!$B$3:$B$5001,C$101,BD!$A$3:$A$5001,"&gt;="&amp;$C$7,BD!$A$3:$A$5001,"&lt;="&amp;$D$7)</f>
        <v>0</v>
      </c>
      <c r="D132" s="32">
        <f>SUMIFS(BD!$AF$3:$AF$5001,BD!$B$3:$B$5001,D$101,BD!$A$3:$A$5001,"&gt;="&amp;$C$7,BD!$A$3:$A$5001,"&lt;="&amp;$D$7)</f>
        <v>0</v>
      </c>
      <c r="E132" s="32">
        <f>SUMIFS(BD!$AF$3:$AF$5001,BD!$B$3:$B$5001,E$101,BD!$A$3:$A$5001,"&gt;="&amp;$C$7,BD!$A$3:$A$5001,"&lt;="&amp;$D$7)</f>
        <v>0</v>
      </c>
      <c r="F132" s="32">
        <f>SUMIFS(BD!$AF$3:$AF$5001,BD!$B$3:$B$5001,F$101,BD!$A$3:$A$5001,"&gt;="&amp;$C$7,BD!$A$3:$A$5001,"&lt;="&amp;$D$7)</f>
        <v>0</v>
      </c>
      <c r="G132" s="32">
        <f>SUMIFS(BD!$AF$3:$AF$5001,BD!$B$3:$B$5001,G$101,BD!$A$3:$A$5001,"&gt;="&amp;$C$7,BD!$A$3:$A$5001,"&lt;="&amp;$D$7)</f>
        <v>0</v>
      </c>
      <c r="H132" s="32">
        <f>SUMIFS(BD!$AF$3:$AF$5001,BD!$B$3:$B$5001,H$101,BD!$A$3:$A$5001,"&gt;="&amp;$C$7,BD!$A$3:$A$5001,"&lt;="&amp;$D$7)</f>
        <v>0</v>
      </c>
      <c r="I132" s="32">
        <f>SUMIFS(BD!$AF$3:$AF$5001,BD!$B$3:$B$5001,I$101,BD!$A$3:$A$5001,"&gt;="&amp;$C$7,BD!$A$3:$A$5001,"&lt;="&amp;$D$7)</f>
        <v>0</v>
      </c>
      <c r="J132" s="32">
        <f>SUMIFS(BD!$AF$3:$AF$5001,BD!$B$3:$B$5001,J$101,BD!$A$3:$A$5001,"&gt;="&amp;$C$7,BD!$A$3:$A$5001,"&lt;="&amp;$D$7)</f>
        <v>0</v>
      </c>
      <c r="K132" s="32">
        <f>SUMIFS(BD!$AF$3:$AF$5001,BD!$B$3:$B$5001,K$101,BD!$A$3:$A$5001,"&gt;="&amp;$C$7,BD!$A$3:$A$5001,"&lt;="&amp;$D$7)</f>
        <v>0</v>
      </c>
      <c r="L132" s="61">
        <f>SUM(B132:K132)</f>
        <v>0</v>
      </c>
    </row>
    <row r="133">
      <c r="A133" s="29" t="inlineStr">
        <is>
          <t xml:space="preserve">GENTE · Acidentes SAF</t>
        </is>
      </c>
      <c r="B133" s="32">
        <f>SUMIFS(BD!$AG$3:$AG$5001,BD!$B$3:$B$5001,B$101,BD!$A$3:$A$5001,"&gt;="&amp;$C$7,BD!$A$3:$A$5001,"&lt;="&amp;$D$7)</f>
        <v>0</v>
      </c>
      <c r="C133" s="32">
        <f>SUMIFS(BD!$AG$3:$AG$5001,BD!$B$3:$B$5001,C$101,BD!$A$3:$A$5001,"&gt;="&amp;$C$7,BD!$A$3:$A$5001,"&lt;="&amp;$D$7)</f>
        <v>0</v>
      </c>
      <c r="D133" s="32">
        <f>SUMIFS(BD!$AG$3:$AG$5001,BD!$B$3:$B$5001,D$101,BD!$A$3:$A$5001,"&gt;="&amp;$C$7,BD!$A$3:$A$5001,"&lt;="&amp;$D$7)</f>
        <v>0</v>
      </c>
      <c r="E133" s="32">
        <f>SUMIFS(BD!$AG$3:$AG$5001,BD!$B$3:$B$5001,E$101,BD!$A$3:$A$5001,"&gt;="&amp;$C$7,BD!$A$3:$A$5001,"&lt;="&amp;$D$7)</f>
        <v>0</v>
      </c>
      <c r="F133" s="32">
        <f>SUMIFS(BD!$AG$3:$AG$5001,BD!$B$3:$B$5001,F$101,BD!$A$3:$A$5001,"&gt;="&amp;$C$7,BD!$A$3:$A$5001,"&lt;="&amp;$D$7)</f>
        <v>0</v>
      </c>
      <c r="G133" s="32">
        <f>SUMIFS(BD!$AG$3:$AG$5001,BD!$B$3:$B$5001,G$101,BD!$A$3:$A$5001,"&gt;="&amp;$C$7,BD!$A$3:$A$5001,"&lt;="&amp;$D$7)</f>
        <v>0</v>
      </c>
      <c r="H133" s="32">
        <f>SUMIFS(BD!$AG$3:$AG$5001,BD!$B$3:$B$5001,H$101,BD!$A$3:$A$5001,"&gt;="&amp;$C$7,BD!$A$3:$A$5001,"&lt;="&amp;$D$7)</f>
        <v>0</v>
      </c>
      <c r="I133" s="32">
        <f>SUMIFS(BD!$AG$3:$AG$5001,BD!$B$3:$B$5001,I$101,BD!$A$3:$A$5001,"&gt;="&amp;$C$7,BD!$A$3:$A$5001,"&lt;="&amp;$D$7)</f>
        <v>0</v>
      </c>
      <c r="J133" s="32">
        <f>SUMIFS(BD!$AG$3:$AG$5001,BD!$B$3:$B$5001,J$101,BD!$A$3:$A$5001,"&gt;="&amp;$C$7,BD!$A$3:$A$5001,"&lt;="&amp;$D$7)</f>
        <v>0</v>
      </c>
      <c r="K133" s="32">
        <f>SUMIFS(BD!$AG$3:$AG$5001,BD!$B$3:$B$5001,K$101,BD!$A$3:$A$5001,"&gt;="&amp;$C$7,BD!$A$3:$A$5001,"&lt;="&amp;$D$7)</f>
        <v>0</v>
      </c>
      <c r="L133" s="61">
        <f>SUM(B133:K133)</f>
        <v>0</v>
      </c>
    </row>
    <row r="137">
      <c r="A137" s="19" t="inlineStr">
        <is>
          <t xml:space="preserve">ESTOQUES POR CLIENTE — último valor informado até cada dia (Backlog, Posições e Efetivo)</t>
        </is>
      </c>
    </row>
    <row r="138">
      <c r="A138" s="37" t="inlineStr">
        <is>
          <t xml:space="preserve">Backlog</t>
        </is>
      </c>
      <c r="B138" s="37" t="inlineStr">
        <is>
          <t xml:space="preserve">Data</t>
        </is>
      </c>
      <c r="C138" s="37" t="inlineStr">
        <is>
          <t xml:space="preserve">Alpargatas</t>
        </is>
      </c>
      <c r="D138" s="37" t="inlineStr">
        <is>
          <t xml:space="preserve">Basf</t>
        </is>
      </c>
      <c r="E138" s="37" t="inlineStr">
        <is>
          <t xml:space="preserve">Beautybiz</t>
        </is>
      </c>
      <c r="F138" s="37" t="inlineStr">
        <is>
          <t xml:space="preserve">Boticário</t>
        </is>
      </c>
      <c r="G138" s="37" t="inlineStr">
        <is>
          <t xml:space="preserve">Confiance</t>
        </is>
      </c>
      <c r="H138" s="37" t="inlineStr">
        <is>
          <t xml:space="preserve">GE Vernova</t>
        </is>
      </c>
      <c r="I138" s="37" t="inlineStr">
        <is>
          <t xml:space="preserve">Omnilife</t>
        </is>
      </c>
      <c r="J138" s="37" t="inlineStr">
        <is>
          <t xml:space="preserve">Supply</t>
        </is>
      </c>
      <c r="K138" s="37" t="inlineStr">
        <is>
          <t xml:space="preserve">Vedacit</t>
        </is>
      </c>
      <c r="L138" s="37" t="inlineStr">
        <is>
          <t xml:space="preserve">Vestas</t>
        </is>
      </c>
    </row>
    <row r="139">
      <c r="A139" s="40">
        <v>1</v>
      </c>
      <c r="B139" s="41">
        <f>$B$12</f>
        <v>46296</v>
      </c>
      <c r="C139" s="42" t="str">
        <f>IF(OR($B139="",$A139&gt;$B$9),"",IF(COUNTIFS(BD!$B$3:$B$5001,C$138,BD!$A$3:$A$5001,"&gt;="&amp;$C$7,BD!$A$3:$A$5001,"&lt;="&amp;$B139,BD!$W$3:$W$5001,"&lt;&gt;")=0,"",SUMIFS(BD!$W$3:$W$5001,BD!$B$3:$B$5001,C$138,BD!$A$3:$A$5001,_xlfn.MAXIFS(BD!$A$3:$A$5001,BD!$B$3:$B$5001,C$138,BD!$A$3:$A$5001,"&gt;="&amp;$C$7,BD!$A$3:$A$5001,"&lt;="&amp;$B139,BD!$W$3:$W$5001,"&lt;&gt;"))))</f>
        <v/>
      </c>
      <c r="D139" s="42" t="str">
        <f>IF(OR($B139="",$A139&gt;$B$9),"",IF(COUNTIFS(BD!$B$3:$B$5001,D$138,BD!$A$3:$A$5001,"&gt;="&amp;$C$7,BD!$A$3:$A$5001,"&lt;="&amp;$B139,BD!$W$3:$W$5001,"&lt;&gt;")=0,"",SUMIFS(BD!$W$3:$W$5001,BD!$B$3:$B$5001,D$138,BD!$A$3:$A$5001,_xlfn.MAXIFS(BD!$A$3:$A$5001,BD!$B$3:$B$5001,D$138,BD!$A$3:$A$5001,"&gt;="&amp;$C$7,BD!$A$3:$A$5001,"&lt;="&amp;$B139,BD!$W$3:$W$5001,"&lt;&gt;"))))</f>
        <v/>
      </c>
      <c r="E139" s="42" t="str">
        <f>IF(OR($B139="",$A139&gt;$B$9),"",IF(COUNTIFS(BD!$B$3:$B$5001,E$138,BD!$A$3:$A$5001,"&gt;="&amp;$C$7,BD!$A$3:$A$5001,"&lt;="&amp;$B139,BD!$W$3:$W$5001,"&lt;&gt;")=0,"",SUMIFS(BD!$W$3:$W$5001,BD!$B$3:$B$5001,E$138,BD!$A$3:$A$5001,_xlfn.MAXIFS(BD!$A$3:$A$5001,BD!$B$3:$B$5001,E$138,BD!$A$3:$A$5001,"&gt;="&amp;$C$7,BD!$A$3:$A$5001,"&lt;="&amp;$B139,BD!$W$3:$W$5001,"&lt;&gt;"))))</f>
        <v/>
      </c>
      <c r="F139" s="42" t="str">
        <f>IF(OR($B139="",$A139&gt;$B$9),"",IF(COUNTIFS(BD!$B$3:$B$5001,F$138,BD!$A$3:$A$5001,"&gt;="&amp;$C$7,BD!$A$3:$A$5001,"&lt;="&amp;$B139,BD!$W$3:$W$5001,"&lt;&gt;")=0,"",SUMIFS(BD!$W$3:$W$5001,BD!$B$3:$B$5001,F$138,BD!$A$3:$A$5001,_xlfn.MAXIFS(BD!$A$3:$A$5001,BD!$B$3:$B$5001,F$138,BD!$A$3:$A$5001,"&gt;="&amp;$C$7,BD!$A$3:$A$5001,"&lt;="&amp;$B139,BD!$W$3:$W$5001,"&lt;&gt;"))))</f>
        <v/>
      </c>
      <c r="G139" s="42" t="str">
        <f>IF(OR($B139="",$A139&gt;$B$9),"",IF(COUNTIFS(BD!$B$3:$B$5001,G$138,BD!$A$3:$A$5001,"&gt;="&amp;$C$7,BD!$A$3:$A$5001,"&lt;="&amp;$B139,BD!$W$3:$W$5001,"&lt;&gt;")=0,"",SUMIFS(BD!$W$3:$W$5001,BD!$B$3:$B$5001,G$138,BD!$A$3:$A$5001,_xlfn.MAXIFS(BD!$A$3:$A$5001,BD!$B$3:$B$5001,G$138,BD!$A$3:$A$5001,"&gt;="&amp;$C$7,BD!$A$3:$A$5001,"&lt;="&amp;$B139,BD!$W$3:$W$5001,"&lt;&gt;"))))</f>
        <v/>
      </c>
      <c r="H139" s="42" t="str">
        <f>IF(OR($B139="",$A139&gt;$B$9),"",IF(COUNTIFS(BD!$B$3:$B$5001,H$138,BD!$A$3:$A$5001,"&gt;="&amp;$C$7,BD!$A$3:$A$5001,"&lt;="&amp;$B139,BD!$W$3:$W$5001,"&lt;&gt;")=0,"",SUMIFS(BD!$W$3:$W$5001,BD!$B$3:$B$5001,H$138,BD!$A$3:$A$5001,_xlfn.MAXIFS(BD!$A$3:$A$5001,BD!$B$3:$B$5001,H$138,BD!$A$3:$A$5001,"&gt;="&amp;$C$7,BD!$A$3:$A$5001,"&lt;="&amp;$B139,BD!$W$3:$W$5001,"&lt;&gt;"))))</f>
        <v/>
      </c>
      <c r="I139" s="42" t="str">
        <f>IF(OR($B139="",$A139&gt;$B$9),"",IF(COUNTIFS(BD!$B$3:$B$5001,I$138,BD!$A$3:$A$5001,"&gt;="&amp;$C$7,BD!$A$3:$A$5001,"&lt;="&amp;$B139,BD!$W$3:$W$5001,"&lt;&gt;")=0,"",SUMIFS(BD!$W$3:$W$5001,BD!$B$3:$B$5001,I$138,BD!$A$3:$A$5001,_xlfn.MAXIFS(BD!$A$3:$A$5001,BD!$B$3:$B$5001,I$138,BD!$A$3:$A$5001,"&gt;="&amp;$C$7,BD!$A$3:$A$5001,"&lt;="&amp;$B139,BD!$W$3:$W$5001,"&lt;&gt;"))))</f>
        <v/>
      </c>
      <c r="J139" s="42" t="str">
        <f>IF(OR($B139="",$A139&gt;$B$9),"",IF(COUNTIFS(BD!$B$3:$B$5001,J$138,BD!$A$3:$A$5001,"&gt;="&amp;$C$7,BD!$A$3:$A$5001,"&lt;="&amp;$B139,BD!$W$3:$W$5001,"&lt;&gt;")=0,"",SUMIFS(BD!$W$3:$W$5001,BD!$B$3:$B$5001,J$138,BD!$A$3:$A$5001,_xlfn.MAXIFS(BD!$A$3:$A$5001,BD!$B$3:$B$5001,J$138,BD!$A$3:$A$5001,"&gt;="&amp;$C$7,BD!$A$3:$A$5001,"&lt;="&amp;$B139,BD!$W$3:$W$5001,"&lt;&gt;"))))</f>
        <v/>
      </c>
      <c r="K139" s="42" t="str">
        <f>IF(OR($B139="",$A139&gt;$B$9),"",IF(COUNTIFS(BD!$B$3:$B$5001,K$138,BD!$A$3:$A$5001,"&gt;="&amp;$C$7,BD!$A$3:$A$5001,"&lt;="&amp;$B139,BD!$W$3:$W$5001,"&lt;&gt;")=0,"",SUMIFS(BD!$W$3:$W$5001,BD!$B$3:$B$5001,K$138,BD!$A$3:$A$5001,_xlfn.MAXIFS(BD!$A$3:$A$5001,BD!$B$3:$B$5001,K$138,BD!$A$3:$A$5001,"&gt;="&amp;$C$7,BD!$A$3:$A$5001,"&lt;="&amp;$B139,BD!$W$3:$W$5001,"&lt;&gt;"))))</f>
        <v/>
      </c>
      <c r="L139" s="42" t="str">
        <f>IF(OR($B139="",$A139&gt;$B$9),"",IF(COUNTIFS(BD!$B$3:$B$5001,L$138,BD!$A$3:$A$5001,"&gt;="&amp;$C$7,BD!$A$3:$A$5001,"&lt;="&amp;$B139,BD!$W$3:$W$5001,"&lt;&gt;")=0,"",SUMIFS(BD!$W$3:$W$5001,BD!$B$3:$B$5001,L$138,BD!$A$3:$A$5001,_xlfn.MAXIFS(BD!$A$3:$A$5001,BD!$B$3:$B$5001,L$138,BD!$A$3:$A$5001,"&gt;="&amp;$C$7,BD!$A$3:$A$5001,"&lt;="&amp;$B139,BD!$W$3:$W$5001,"&lt;&gt;"))))</f>
        <v/>
      </c>
    </row>
    <row r="140">
      <c r="A140" s="40">
        <v>2</v>
      </c>
      <c r="B140" s="41">
        <f>$B$13</f>
        <v>46297</v>
      </c>
      <c r="C140" s="42" t="str">
        <f>IF(OR($B140="",$A140&gt;$B$9),"",IF(COUNTIFS(BD!$B$3:$B$5001,C$138,BD!$A$3:$A$5001,"&gt;="&amp;$C$7,BD!$A$3:$A$5001,"&lt;="&amp;$B140,BD!$W$3:$W$5001,"&lt;&gt;")=0,"",SUMIFS(BD!$W$3:$W$5001,BD!$B$3:$B$5001,C$138,BD!$A$3:$A$5001,_xlfn.MAXIFS(BD!$A$3:$A$5001,BD!$B$3:$B$5001,C$138,BD!$A$3:$A$5001,"&gt;="&amp;$C$7,BD!$A$3:$A$5001,"&lt;="&amp;$B140,BD!$W$3:$W$5001,"&lt;&gt;"))))</f>
        <v/>
      </c>
      <c r="D140" s="42" t="str">
        <f>IF(OR($B140="",$A140&gt;$B$9),"",IF(COUNTIFS(BD!$B$3:$B$5001,D$138,BD!$A$3:$A$5001,"&gt;="&amp;$C$7,BD!$A$3:$A$5001,"&lt;="&amp;$B140,BD!$W$3:$W$5001,"&lt;&gt;")=0,"",SUMIFS(BD!$W$3:$W$5001,BD!$B$3:$B$5001,D$138,BD!$A$3:$A$5001,_xlfn.MAXIFS(BD!$A$3:$A$5001,BD!$B$3:$B$5001,D$138,BD!$A$3:$A$5001,"&gt;="&amp;$C$7,BD!$A$3:$A$5001,"&lt;="&amp;$B140,BD!$W$3:$W$5001,"&lt;&gt;"))))</f>
        <v/>
      </c>
      <c r="E140" s="42" t="str">
        <f>IF(OR($B140="",$A140&gt;$B$9),"",IF(COUNTIFS(BD!$B$3:$B$5001,E$138,BD!$A$3:$A$5001,"&gt;="&amp;$C$7,BD!$A$3:$A$5001,"&lt;="&amp;$B140,BD!$W$3:$W$5001,"&lt;&gt;")=0,"",SUMIFS(BD!$W$3:$W$5001,BD!$B$3:$B$5001,E$138,BD!$A$3:$A$5001,_xlfn.MAXIFS(BD!$A$3:$A$5001,BD!$B$3:$B$5001,E$138,BD!$A$3:$A$5001,"&gt;="&amp;$C$7,BD!$A$3:$A$5001,"&lt;="&amp;$B140,BD!$W$3:$W$5001,"&lt;&gt;"))))</f>
        <v/>
      </c>
      <c r="F140" s="42" t="str">
        <f>IF(OR($B140="",$A140&gt;$B$9),"",IF(COUNTIFS(BD!$B$3:$B$5001,F$138,BD!$A$3:$A$5001,"&gt;="&amp;$C$7,BD!$A$3:$A$5001,"&lt;="&amp;$B140,BD!$W$3:$W$5001,"&lt;&gt;")=0,"",SUMIFS(BD!$W$3:$W$5001,BD!$B$3:$B$5001,F$138,BD!$A$3:$A$5001,_xlfn.MAXIFS(BD!$A$3:$A$5001,BD!$B$3:$B$5001,F$138,BD!$A$3:$A$5001,"&gt;="&amp;$C$7,BD!$A$3:$A$5001,"&lt;="&amp;$B140,BD!$W$3:$W$5001,"&lt;&gt;"))))</f>
        <v/>
      </c>
      <c r="G140" s="42" t="str">
        <f>IF(OR($B140="",$A140&gt;$B$9),"",IF(COUNTIFS(BD!$B$3:$B$5001,G$138,BD!$A$3:$A$5001,"&gt;="&amp;$C$7,BD!$A$3:$A$5001,"&lt;="&amp;$B140,BD!$W$3:$W$5001,"&lt;&gt;")=0,"",SUMIFS(BD!$W$3:$W$5001,BD!$B$3:$B$5001,G$138,BD!$A$3:$A$5001,_xlfn.MAXIFS(BD!$A$3:$A$5001,BD!$B$3:$B$5001,G$138,BD!$A$3:$A$5001,"&gt;="&amp;$C$7,BD!$A$3:$A$5001,"&lt;="&amp;$B140,BD!$W$3:$W$5001,"&lt;&gt;"))))</f>
        <v/>
      </c>
      <c r="H140" s="42" t="str">
        <f>IF(OR($B140="",$A140&gt;$B$9),"",IF(COUNTIFS(BD!$B$3:$B$5001,H$138,BD!$A$3:$A$5001,"&gt;="&amp;$C$7,BD!$A$3:$A$5001,"&lt;="&amp;$B140,BD!$W$3:$W$5001,"&lt;&gt;")=0,"",SUMIFS(BD!$W$3:$W$5001,BD!$B$3:$B$5001,H$138,BD!$A$3:$A$5001,_xlfn.MAXIFS(BD!$A$3:$A$5001,BD!$B$3:$B$5001,H$138,BD!$A$3:$A$5001,"&gt;="&amp;$C$7,BD!$A$3:$A$5001,"&lt;="&amp;$B140,BD!$W$3:$W$5001,"&lt;&gt;"))))</f>
        <v/>
      </c>
      <c r="I140" s="42" t="str">
        <f>IF(OR($B140="",$A140&gt;$B$9),"",IF(COUNTIFS(BD!$B$3:$B$5001,I$138,BD!$A$3:$A$5001,"&gt;="&amp;$C$7,BD!$A$3:$A$5001,"&lt;="&amp;$B140,BD!$W$3:$W$5001,"&lt;&gt;")=0,"",SUMIFS(BD!$W$3:$W$5001,BD!$B$3:$B$5001,I$138,BD!$A$3:$A$5001,_xlfn.MAXIFS(BD!$A$3:$A$5001,BD!$B$3:$B$5001,I$138,BD!$A$3:$A$5001,"&gt;="&amp;$C$7,BD!$A$3:$A$5001,"&lt;="&amp;$B140,BD!$W$3:$W$5001,"&lt;&gt;"))))</f>
        <v/>
      </c>
      <c r="J140" s="42" t="str">
        <f>IF(OR($B140="",$A140&gt;$B$9),"",IF(COUNTIFS(BD!$B$3:$B$5001,J$138,BD!$A$3:$A$5001,"&gt;="&amp;$C$7,BD!$A$3:$A$5001,"&lt;="&amp;$B140,BD!$W$3:$W$5001,"&lt;&gt;")=0,"",SUMIFS(BD!$W$3:$W$5001,BD!$B$3:$B$5001,J$138,BD!$A$3:$A$5001,_xlfn.MAXIFS(BD!$A$3:$A$5001,BD!$B$3:$B$5001,J$138,BD!$A$3:$A$5001,"&gt;="&amp;$C$7,BD!$A$3:$A$5001,"&lt;="&amp;$B140,BD!$W$3:$W$5001,"&lt;&gt;"))))</f>
        <v/>
      </c>
      <c r="K140" s="42" t="str">
        <f>IF(OR($B140="",$A140&gt;$B$9),"",IF(COUNTIFS(BD!$B$3:$B$5001,K$138,BD!$A$3:$A$5001,"&gt;="&amp;$C$7,BD!$A$3:$A$5001,"&lt;="&amp;$B140,BD!$W$3:$W$5001,"&lt;&gt;")=0,"",SUMIFS(BD!$W$3:$W$5001,BD!$B$3:$B$5001,K$138,BD!$A$3:$A$5001,_xlfn.MAXIFS(BD!$A$3:$A$5001,BD!$B$3:$B$5001,K$138,BD!$A$3:$A$5001,"&gt;="&amp;$C$7,BD!$A$3:$A$5001,"&lt;="&amp;$B140,BD!$W$3:$W$5001,"&lt;&gt;"))))</f>
        <v/>
      </c>
      <c r="L140" s="42" t="str">
        <f>IF(OR($B140="",$A140&gt;$B$9),"",IF(COUNTIFS(BD!$B$3:$B$5001,L$138,BD!$A$3:$A$5001,"&gt;="&amp;$C$7,BD!$A$3:$A$5001,"&lt;="&amp;$B140,BD!$W$3:$W$5001,"&lt;&gt;")=0,"",SUMIFS(BD!$W$3:$W$5001,BD!$B$3:$B$5001,L$138,BD!$A$3:$A$5001,_xlfn.MAXIFS(BD!$A$3:$A$5001,BD!$B$3:$B$5001,L$138,BD!$A$3:$A$5001,"&gt;="&amp;$C$7,BD!$A$3:$A$5001,"&lt;="&amp;$B140,BD!$W$3:$W$5001,"&lt;&gt;"))))</f>
        <v/>
      </c>
    </row>
    <row r="141">
      <c r="A141" s="40">
        <v>3</v>
      </c>
      <c r="B141" s="41">
        <f>$B$14</f>
        <v>46298</v>
      </c>
      <c r="C141" s="42" t="str">
        <f>IF(OR($B141="",$A141&gt;$B$9),"",IF(COUNTIFS(BD!$B$3:$B$5001,C$138,BD!$A$3:$A$5001,"&gt;="&amp;$C$7,BD!$A$3:$A$5001,"&lt;="&amp;$B141,BD!$W$3:$W$5001,"&lt;&gt;")=0,"",SUMIFS(BD!$W$3:$W$5001,BD!$B$3:$B$5001,C$138,BD!$A$3:$A$5001,_xlfn.MAXIFS(BD!$A$3:$A$5001,BD!$B$3:$B$5001,C$138,BD!$A$3:$A$5001,"&gt;="&amp;$C$7,BD!$A$3:$A$5001,"&lt;="&amp;$B141,BD!$W$3:$W$5001,"&lt;&gt;"))))</f>
        <v/>
      </c>
      <c r="D141" s="42" t="str">
        <f>IF(OR($B141="",$A141&gt;$B$9),"",IF(COUNTIFS(BD!$B$3:$B$5001,D$138,BD!$A$3:$A$5001,"&gt;="&amp;$C$7,BD!$A$3:$A$5001,"&lt;="&amp;$B141,BD!$W$3:$W$5001,"&lt;&gt;")=0,"",SUMIFS(BD!$W$3:$W$5001,BD!$B$3:$B$5001,D$138,BD!$A$3:$A$5001,_xlfn.MAXIFS(BD!$A$3:$A$5001,BD!$B$3:$B$5001,D$138,BD!$A$3:$A$5001,"&gt;="&amp;$C$7,BD!$A$3:$A$5001,"&lt;="&amp;$B141,BD!$W$3:$W$5001,"&lt;&gt;"))))</f>
        <v/>
      </c>
      <c r="E141" s="42" t="str">
        <f>IF(OR($B141="",$A141&gt;$B$9),"",IF(COUNTIFS(BD!$B$3:$B$5001,E$138,BD!$A$3:$A$5001,"&gt;="&amp;$C$7,BD!$A$3:$A$5001,"&lt;="&amp;$B141,BD!$W$3:$W$5001,"&lt;&gt;")=0,"",SUMIFS(BD!$W$3:$W$5001,BD!$B$3:$B$5001,E$138,BD!$A$3:$A$5001,_xlfn.MAXIFS(BD!$A$3:$A$5001,BD!$B$3:$B$5001,E$138,BD!$A$3:$A$5001,"&gt;="&amp;$C$7,BD!$A$3:$A$5001,"&lt;="&amp;$B141,BD!$W$3:$W$5001,"&lt;&gt;"))))</f>
        <v/>
      </c>
      <c r="F141" s="42" t="str">
        <f>IF(OR($B141="",$A141&gt;$B$9),"",IF(COUNTIFS(BD!$B$3:$B$5001,F$138,BD!$A$3:$A$5001,"&gt;="&amp;$C$7,BD!$A$3:$A$5001,"&lt;="&amp;$B141,BD!$W$3:$W$5001,"&lt;&gt;")=0,"",SUMIFS(BD!$W$3:$W$5001,BD!$B$3:$B$5001,F$138,BD!$A$3:$A$5001,_xlfn.MAXIFS(BD!$A$3:$A$5001,BD!$B$3:$B$5001,F$138,BD!$A$3:$A$5001,"&gt;="&amp;$C$7,BD!$A$3:$A$5001,"&lt;="&amp;$B141,BD!$W$3:$W$5001,"&lt;&gt;"))))</f>
        <v/>
      </c>
      <c r="G141" s="42" t="str">
        <f>IF(OR($B141="",$A141&gt;$B$9),"",IF(COUNTIFS(BD!$B$3:$B$5001,G$138,BD!$A$3:$A$5001,"&gt;="&amp;$C$7,BD!$A$3:$A$5001,"&lt;="&amp;$B141,BD!$W$3:$W$5001,"&lt;&gt;")=0,"",SUMIFS(BD!$W$3:$W$5001,BD!$B$3:$B$5001,G$138,BD!$A$3:$A$5001,_xlfn.MAXIFS(BD!$A$3:$A$5001,BD!$B$3:$B$5001,G$138,BD!$A$3:$A$5001,"&gt;="&amp;$C$7,BD!$A$3:$A$5001,"&lt;="&amp;$B141,BD!$W$3:$W$5001,"&lt;&gt;"))))</f>
        <v/>
      </c>
      <c r="H141" s="42" t="str">
        <f>IF(OR($B141="",$A141&gt;$B$9),"",IF(COUNTIFS(BD!$B$3:$B$5001,H$138,BD!$A$3:$A$5001,"&gt;="&amp;$C$7,BD!$A$3:$A$5001,"&lt;="&amp;$B141,BD!$W$3:$W$5001,"&lt;&gt;")=0,"",SUMIFS(BD!$W$3:$W$5001,BD!$B$3:$B$5001,H$138,BD!$A$3:$A$5001,_xlfn.MAXIFS(BD!$A$3:$A$5001,BD!$B$3:$B$5001,H$138,BD!$A$3:$A$5001,"&gt;="&amp;$C$7,BD!$A$3:$A$5001,"&lt;="&amp;$B141,BD!$W$3:$W$5001,"&lt;&gt;"))))</f>
        <v/>
      </c>
      <c r="I141" s="42" t="str">
        <f>IF(OR($B141="",$A141&gt;$B$9),"",IF(COUNTIFS(BD!$B$3:$B$5001,I$138,BD!$A$3:$A$5001,"&gt;="&amp;$C$7,BD!$A$3:$A$5001,"&lt;="&amp;$B141,BD!$W$3:$W$5001,"&lt;&gt;")=0,"",SUMIFS(BD!$W$3:$W$5001,BD!$B$3:$B$5001,I$138,BD!$A$3:$A$5001,_xlfn.MAXIFS(BD!$A$3:$A$5001,BD!$B$3:$B$5001,I$138,BD!$A$3:$A$5001,"&gt;="&amp;$C$7,BD!$A$3:$A$5001,"&lt;="&amp;$B141,BD!$W$3:$W$5001,"&lt;&gt;"))))</f>
        <v/>
      </c>
      <c r="J141" s="42" t="str">
        <f>IF(OR($B141="",$A141&gt;$B$9),"",IF(COUNTIFS(BD!$B$3:$B$5001,J$138,BD!$A$3:$A$5001,"&gt;="&amp;$C$7,BD!$A$3:$A$5001,"&lt;="&amp;$B141,BD!$W$3:$W$5001,"&lt;&gt;")=0,"",SUMIFS(BD!$W$3:$W$5001,BD!$B$3:$B$5001,J$138,BD!$A$3:$A$5001,_xlfn.MAXIFS(BD!$A$3:$A$5001,BD!$B$3:$B$5001,J$138,BD!$A$3:$A$5001,"&gt;="&amp;$C$7,BD!$A$3:$A$5001,"&lt;="&amp;$B141,BD!$W$3:$W$5001,"&lt;&gt;"))))</f>
        <v/>
      </c>
      <c r="K141" s="42" t="str">
        <f>IF(OR($B141="",$A141&gt;$B$9),"",IF(COUNTIFS(BD!$B$3:$B$5001,K$138,BD!$A$3:$A$5001,"&gt;="&amp;$C$7,BD!$A$3:$A$5001,"&lt;="&amp;$B141,BD!$W$3:$W$5001,"&lt;&gt;")=0,"",SUMIFS(BD!$W$3:$W$5001,BD!$B$3:$B$5001,K$138,BD!$A$3:$A$5001,_xlfn.MAXIFS(BD!$A$3:$A$5001,BD!$B$3:$B$5001,K$138,BD!$A$3:$A$5001,"&gt;="&amp;$C$7,BD!$A$3:$A$5001,"&lt;="&amp;$B141,BD!$W$3:$W$5001,"&lt;&gt;"))))</f>
        <v/>
      </c>
      <c r="L141" s="42" t="str">
        <f>IF(OR($B141="",$A141&gt;$B$9),"",IF(COUNTIFS(BD!$B$3:$B$5001,L$138,BD!$A$3:$A$5001,"&gt;="&amp;$C$7,BD!$A$3:$A$5001,"&lt;="&amp;$B141,BD!$W$3:$W$5001,"&lt;&gt;")=0,"",SUMIFS(BD!$W$3:$W$5001,BD!$B$3:$B$5001,L$138,BD!$A$3:$A$5001,_xlfn.MAXIFS(BD!$A$3:$A$5001,BD!$B$3:$B$5001,L$138,BD!$A$3:$A$5001,"&gt;="&amp;$C$7,BD!$A$3:$A$5001,"&lt;="&amp;$B141,BD!$W$3:$W$5001,"&lt;&gt;"))))</f>
        <v/>
      </c>
    </row>
    <row r="142">
      <c r="A142" s="40">
        <v>4</v>
      </c>
      <c r="B142" s="41">
        <f>$B$15</f>
        <v>46299</v>
      </c>
      <c r="C142" s="42" t="str">
        <f>IF(OR($B142="",$A142&gt;$B$9),"",IF(COUNTIFS(BD!$B$3:$B$5001,C$138,BD!$A$3:$A$5001,"&gt;="&amp;$C$7,BD!$A$3:$A$5001,"&lt;="&amp;$B142,BD!$W$3:$W$5001,"&lt;&gt;")=0,"",SUMIFS(BD!$W$3:$W$5001,BD!$B$3:$B$5001,C$138,BD!$A$3:$A$5001,_xlfn.MAXIFS(BD!$A$3:$A$5001,BD!$B$3:$B$5001,C$138,BD!$A$3:$A$5001,"&gt;="&amp;$C$7,BD!$A$3:$A$5001,"&lt;="&amp;$B142,BD!$W$3:$W$5001,"&lt;&gt;"))))</f>
        <v/>
      </c>
      <c r="D142" s="42" t="str">
        <f>IF(OR($B142="",$A142&gt;$B$9),"",IF(COUNTIFS(BD!$B$3:$B$5001,D$138,BD!$A$3:$A$5001,"&gt;="&amp;$C$7,BD!$A$3:$A$5001,"&lt;="&amp;$B142,BD!$W$3:$W$5001,"&lt;&gt;")=0,"",SUMIFS(BD!$W$3:$W$5001,BD!$B$3:$B$5001,D$138,BD!$A$3:$A$5001,_xlfn.MAXIFS(BD!$A$3:$A$5001,BD!$B$3:$B$5001,D$138,BD!$A$3:$A$5001,"&gt;="&amp;$C$7,BD!$A$3:$A$5001,"&lt;="&amp;$B142,BD!$W$3:$W$5001,"&lt;&gt;"))))</f>
        <v/>
      </c>
      <c r="E142" s="42" t="str">
        <f>IF(OR($B142="",$A142&gt;$B$9),"",IF(COUNTIFS(BD!$B$3:$B$5001,E$138,BD!$A$3:$A$5001,"&gt;="&amp;$C$7,BD!$A$3:$A$5001,"&lt;="&amp;$B142,BD!$W$3:$W$5001,"&lt;&gt;")=0,"",SUMIFS(BD!$W$3:$W$5001,BD!$B$3:$B$5001,E$138,BD!$A$3:$A$5001,_xlfn.MAXIFS(BD!$A$3:$A$5001,BD!$B$3:$B$5001,E$138,BD!$A$3:$A$5001,"&gt;="&amp;$C$7,BD!$A$3:$A$5001,"&lt;="&amp;$B142,BD!$W$3:$W$5001,"&lt;&gt;"))))</f>
        <v/>
      </c>
      <c r="F142" s="42" t="str">
        <f>IF(OR($B142="",$A142&gt;$B$9),"",IF(COUNTIFS(BD!$B$3:$B$5001,F$138,BD!$A$3:$A$5001,"&gt;="&amp;$C$7,BD!$A$3:$A$5001,"&lt;="&amp;$B142,BD!$W$3:$W$5001,"&lt;&gt;")=0,"",SUMIFS(BD!$W$3:$W$5001,BD!$B$3:$B$5001,F$138,BD!$A$3:$A$5001,_xlfn.MAXIFS(BD!$A$3:$A$5001,BD!$B$3:$B$5001,F$138,BD!$A$3:$A$5001,"&gt;="&amp;$C$7,BD!$A$3:$A$5001,"&lt;="&amp;$B142,BD!$W$3:$W$5001,"&lt;&gt;"))))</f>
        <v/>
      </c>
      <c r="G142" s="42" t="str">
        <f>IF(OR($B142="",$A142&gt;$B$9),"",IF(COUNTIFS(BD!$B$3:$B$5001,G$138,BD!$A$3:$A$5001,"&gt;="&amp;$C$7,BD!$A$3:$A$5001,"&lt;="&amp;$B142,BD!$W$3:$W$5001,"&lt;&gt;")=0,"",SUMIFS(BD!$W$3:$W$5001,BD!$B$3:$B$5001,G$138,BD!$A$3:$A$5001,_xlfn.MAXIFS(BD!$A$3:$A$5001,BD!$B$3:$B$5001,G$138,BD!$A$3:$A$5001,"&gt;="&amp;$C$7,BD!$A$3:$A$5001,"&lt;="&amp;$B142,BD!$W$3:$W$5001,"&lt;&gt;"))))</f>
        <v/>
      </c>
      <c r="H142" s="42" t="str">
        <f>IF(OR($B142="",$A142&gt;$B$9),"",IF(COUNTIFS(BD!$B$3:$B$5001,H$138,BD!$A$3:$A$5001,"&gt;="&amp;$C$7,BD!$A$3:$A$5001,"&lt;="&amp;$B142,BD!$W$3:$W$5001,"&lt;&gt;")=0,"",SUMIFS(BD!$W$3:$W$5001,BD!$B$3:$B$5001,H$138,BD!$A$3:$A$5001,_xlfn.MAXIFS(BD!$A$3:$A$5001,BD!$B$3:$B$5001,H$138,BD!$A$3:$A$5001,"&gt;="&amp;$C$7,BD!$A$3:$A$5001,"&lt;="&amp;$B142,BD!$W$3:$W$5001,"&lt;&gt;"))))</f>
        <v/>
      </c>
      <c r="I142" s="42" t="str">
        <f>IF(OR($B142="",$A142&gt;$B$9),"",IF(COUNTIFS(BD!$B$3:$B$5001,I$138,BD!$A$3:$A$5001,"&gt;="&amp;$C$7,BD!$A$3:$A$5001,"&lt;="&amp;$B142,BD!$W$3:$W$5001,"&lt;&gt;")=0,"",SUMIFS(BD!$W$3:$W$5001,BD!$B$3:$B$5001,I$138,BD!$A$3:$A$5001,_xlfn.MAXIFS(BD!$A$3:$A$5001,BD!$B$3:$B$5001,I$138,BD!$A$3:$A$5001,"&gt;="&amp;$C$7,BD!$A$3:$A$5001,"&lt;="&amp;$B142,BD!$W$3:$W$5001,"&lt;&gt;"))))</f>
        <v/>
      </c>
      <c r="J142" s="42" t="str">
        <f>IF(OR($B142="",$A142&gt;$B$9),"",IF(COUNTIFS(BD!$B$3:$B$5001,J$138,BD!$A$3:$A$5001,"&gt;="&amp;$C$7,BD!$A$3:$A$5001,"&lt;="&amp;$B142,BD!$W$3:$W$5001,"&lt;&gt;")=0,"",SUMIFS(BD!$W$3:$W$5001,BD!$B$3:$B$5001,J$138,BD!$A$3:$A$5001,_xlfn.MAXIFS(BD!$A$3:$A$5001,BD!$B$3:$B$5001,J$138,BD!$A$3:$A$5001,"&gt;="&amp;$C$7,BD!$A$3:$A$5001,"&lt;="&amp;$B142,BD!$W$3:$W$5001,"&lt;&gt;"))))</f>
        <v/>
      </c>
      <c r="K142" s="42" t="str">
        <f>IF(OR($B142="",$A142&gt;$B$9),"",IF(COUNTIFS(BD!$B$3:$B$5001,K$138,BD!$A$3:$A$5001,"&gt;="&amp;$C$7,BD!$A$3:$A$5001,"&lt;="&amp;$B142,BD!$W$3:$W$5001,"&lt;&gt;")=0,"",SUMIFS(BD!$W$3:$W$5001,BD!$B$3:$B$5001,K$138,BD!$A$3:$A$5001,_xlfn.MAXIFS(BD!$A$3:$A$5001,BD!$B$3:$B$5001,K$138,BD!$A$3:$A$5001,"&gt;="&amp;$C$7,BD!$A$3:$A$5001,"&lt;="&amp;$B142,BD!$W$3:$W$5001,"&lt;&gt;"))))</f>
        <v/>
      </c>
      <c r="L142" s="42" t="str">
        <f>IF(OR($B142="",$A142&gt;$B$9),"",IF(COUNTIFS(BD!$B$3:$B$5001,L$138,BD!$A$3:$A$5001,"&gt;="&amp;$C$7,BD!$A$3:$A$5001,"&lt;="&amp;$B142,BD!$W$3:$W$5001,"&lt;&gt;")=0,"",SUMIFS(BD!$W$3:$W$5001,BD!$B$3:$B$5001,L$138,BD!$A$3:$A$5001,_xlfn.MAXIFS(BD!$A$3:$A$5001,BD!$B$3:$B$5001,L$138,BD!$A$3:$A$5001,"&gt;="&amp;$C$7,BD!$A$3:$A$5001,"&lt;="&amp;$B142,BD!$W$3:$W$5001,"&lt;&gt;"))))</f>
        <v/>
      </c>
    </row>
    <row r="143">
      <c r="A143" s="40">
        <v>5</v>
      </c>
      <c r="B143" s="41">
        <f>$B$16</f>
        <v>46300</v>
      </c>
      <c r="C143" s="42" t="str">
        <f>IF(OR($B143="",$A143&gt;$B$9),"",IF(COUNTIFS(BD!$B$3:$B$5001,C$138,BD!$A$3:$A$5001,"&gt;="&amp;$C$7,BD!$A$3:$A$5001,"&lt;="&amp;$B143,BD!$W$3:$W$5001,"&lt;&gt;")=0,"",SUMIFS(BD!$W$3:$W$5001,BD!$B$3:$B$5001,C$138,BD!$A$3:$A$5001,_xlfn.MAXIFS(BD!$A$3:$A$5001,BD!$B$3:$B$5001,C$138,BD!$A$3:$A$5001,"&gt;="&amp;$C$7,BD!$A$3:$A$5001,"&lt;="&amp;$B143,BD!$W$3:$W$5001,"&lt;&gt;"))))</f>
        <v/>
      </c>
      <c r="D143" s="42" t="str">
        <f>IF(OR($B143="",$A143&gt;$B$9),"",IF(COUNTIFS(BD!$B$3:$B$5001,D$138,BD!$A$3:$A$5001,"&gt;="&amp;$C$7,BD!$A$3:$A$5001,"&lt;="&amp;$B143,BD!$W$3:$W$5001,"&lt;&gt;")=0,"",SUMIFS(BD!$W$3:$W$5001,BD!$B$3:$B$5001,D$138,BD!$A$3:$A$5001,_xlfn.MAXIFS(BD!$A$3:$A$5001,BD!$B$3:$B$5001,D$138,BD!$A$3:$A$5001,"&gt;="&amp;$C$7,BD!$A$3:$A$5001,"&lt;="&amp;$B143,BD!$W$3:$W$5001,"&lt;&gt;"))))</f>
        <v/>
      </c>
      <c r="E143" s="42" t="str">
        <f>IF(OR($B143="",$A143&gt;$B$9),"",IF(COUNTIFS(BD!$B$3:$B$5001,E$138,BD!$A$3:$A$5001,"&gt;="&amp;$C$7,BD!$A$3:$A$5001,"&lt;="&amp;$B143,BD!$W$3:$W$5001,"&lt;&gt;")=0,"",SUMIFS(BD!$W$3:$W$5001,BD!$B$3:$B$5001,E$138,BD!$A$3:$A$5001,_xlfn.MAXIFS(BD!$A$3:$A$5001,BD!$B$3:$B$5001,E$138,BD!$A$3:$A$5001,"&gt;="&amp;$C$7,BD!$A$3:$A$5001,"&lt;="&amp;$B143,BD!$W$3:$W$5001,"&lt;&gt;"))))</f>
        <v/>
      </c>
      <c r="F143" s="42" t="str">
        <f>IF(OR($B143="",$A143&gt;$B$9),"",IF(COUNTIFS(BD!$B$3:$B$5001,F$138,BD!$A$3:$A$5001,"&gt;="&amp;$C$7,BD!$A$3:$A$5001,"&lt;="&amp;$B143,BD!$W$3:$W$5001,"&lt;&gt;")=0,"",SUMIFS(BD!$W$3:$W$5001,BD!$B$3:$B$5001,F$138,BD!$A$3:$A$5001,_xlfn.MAXIFS(BD!$A$3:$A$5001,BD!$B$3:$B$5001,F$138,BD!$A$3:$A$5001,"&gt;="&amp;$C$7,BD!$A$3:$A$5001,"&lt;="&amp;$B143,BD!$W$3:$W$5001,"&lt;&gt;"))))</f>
        <v/>
      </c>
      <c r="G143" s="42" t="str">
        <f>IF(OR($B143="",$A143&gt;$B$9),"",IF(COUNTIFS(BD!$B$3:$B$5001,G$138,BD!$A$3:$A$5001,"&gt;="&amp;$C$7,BD!$A$3:$A$5001,"&lt;="&amp;$B143,BD!$W$3:$W$5001,"&lt;&gt;")=0,"",SUMIFS(BD!$W$3:$W$5001,BD!$B$3:$B$5001,G$138,BD!$A$3:$A$5001,_xlfn.MAXIFS(BD!$A$3:$A$5001,BD!$B$3:$B$5001,G$138,BD!$A$3:$A$5001,"&gt;="&amp;$C$7,BD!$A$3:$A$5001,"&lt;="&amp;$B143,BD!$W$3:$W$5001,"&lt;&gt;"))))</f>
        <v/>
      </c>
      <c r="H143" s="42" t="str">
        <f>IF(OR($B143="",$A143&gt;$B$9),"",IF(COUNTIFS(BD!$B$3:$B$5001,H$138,BD!$A$3:$A$5001,"&gt;="&amp;$C$7,BD!$A$3:$A$5001,"&lt;="&amp;$B143,BD!$W$3:$W$5001,"&lt;&gt;")=0,"",SUMIFS(BD!$W$3:$W$5001,BD!$B$3:$B$5001,H$138,BD!$A$3:$A$5001,_xlfn.MAXIFS(BD!$A$3:$A$5001,BD!$B$3:$B$5001,H$138,BD!$A$3:$A$5001,"&gt;="&amp;$C$7,BD!$A$3:$A$5001,"&lt;="&amp;$B143,BD!$W$3:$W$5001,"&lt;&gt;"))))</f>
        <v/>
      </c>
      <c r="I143" s="42" t="str">
        <f>IF(OR($B143="",$A143&gt;$B$9),"",IF(COUNTIFS(BD!$B$3:$B$5001,I$138,BD!$A$3:$A$5001,"&gt;="&amp;$C$7,BD!$A$3:$A$5001,"&lt;="&amp;$B143,BD!$W$3:$W$5001,"&lt;&gt;")=0,"",SUMIFS(BD!$W$3:$W$5001,BD!$B$3:$B$5001,I$138,BD!$A$3:$A$5001,_xlfn.MAXIFS(BD!$A$3:$A$5001,BD!$B$3:$B$5001,I$138,BD!$A$3:$A$5001,"&gt;="&amp;$C$7,BD!$A$3:$A$5001,"&lt;="&amp;$B143,BD!$W$3:$W$5001,"&lt;&gt;"))))</f>
        <v/>
      </c>
      <c r="J143" s="42" t="str">
        <f>IF(OR($B143="",$A143&gt;$B$9),"",IF(COUNTIFS(BD!$B$3:$B$5001,J$138,BD!$A$3:$A$5001,"&gt;="&amp;$C$7,BD!$A$3:$A$5001,"&lt;="&amp;$B143,BD!$W$3:$W$5001,"&lt;&gt;")=0,"",SUMIFS(BD!$W$3:$W$5001,BD!$B$3:$B$5001,J$138,BD!$A$3:$A$5001,_xlfn.MAXIFS(BD!$A$3:$A$5001,BD!$B$3:$B$5001,J$138,BD!$A$3:$A$5001,"&gt;="&amp;$C$7,BD!$A$3:$A$5001,"&lt;="&amp;$B143,BD!$W$3:$W$5001,"&lt;&gt;"))))</f>
        <v/>
      </c>
      <c r="K143" s="42" t="str">
        <f>IF(OR($B143="",$A143&gt;$B$9),"",IF(COUNTIFS(BD!$B$3:$B$5001,K$138,BD!$A$3:$A$5001,"&gt;="&amp;$C$7,BD!$A$3:$A$5001,"&lt;="&amp;$B143,BD!$W$3:$W$5001,"&lt;&gt;")=0,"",SUMIFS(BD!$W$3:$W$5001,BD!$B$3:$B$5001,K$138,BD!$A$3:$A$5001,_xlfn.MAXIFS(BD!$A$3:$A$5001,BD!$B$3:$B$5001,K$138,BD!$A$3:$A$5001,"&gt;="&amp;$C$7,BD!$A$3:$A$5001,"&lt;="&amp;$B143,BD!$W$3:$W$5001,"&lt;&gt;"))))</f>
        <v/>
      </c>
      <c r="L143" s="42" t="str">
        <f>IF(OR($B143="",$A143&gt;$B$9),"",IF(COUNTIFS(BD!$B$3:$B$5001,L$138,BD!$A$3:$A$5001,"&gt;="&amp;$C$7,BD!$A$3:$A$5001,"&lt;="&amp;$B143,BD!$W$3:$W$5001,"&lt;&gt;")=0,"",SUMIFS(BD!$W$3:$W$5001,BD!$B$3:$B$5001,L$138,BD!$A$3:$A$5001,_xlfn.MAXIFS(BD!$A$3:$A$5001,BD!$B$3:$B$5001,L$138,BD!$A$3:$A$5001,"&gt;="&amp;$C$7,BD!$A$3:$A$5001,"&lt;="&amp;$B143,BD!$W$3:$W$5001,"&lt;&gt;"))))</f>
        <v/>
      </c>
    </row>
    <row r="144">
      <c r="A144" s="40">
        <v>6</v>
      </c>
      <c r="B144" s="41">
        <f>$B$17</f>
        <v>46301</v>
      </c>
      <c r="C144" s="42" t="str">
        <f>IF(OR($B144="",$A144&gt;$B$9),"",IF(COUNTIFS(BD!$B$3:$B$5001,C$138,BD!$A$3:$A$5001,"&gt;="&amp;$C$7,BD!$A$3:$A$5001,"&lt;="&amp;$B144,BD!$W$3:$W$5001,"&lt;&gt;")=0,"",SUMIFS(BD!$W$3:$W$5001,BD!$B$3:$B$5001,C$138,BD!$A$3:$A$5001,_xlfn.MAXIFS(BD!$A$3:$A$5001,BD!$B$3:$B$5001,C$138,BD!$A$3:$A$5001,"&gt;="&amp;$C$7,BD!$A$3:$A$5001,"&lt;="&amp;$B144,BD!$W$3:$W$5001,"&lt;&gt;"))))</f>
        <v/>
      </c>
      <c r="D144" s="42" t="str">
        <f>IF(OR($B144="",$A144&gt;$B$9),"",IF(COUNTIFS(BD!$B$3:$B$5001,D$138,BD!$A$3:$A$5001,"&gt;="&amp;$C$7,BD!$A$3:$A$5001,"&lt;="&amp;$B144,BD!$W$3:$W$5001,"&lt;&gt;")=0,"",SUMIFS(BD!$W$3:$W$5001,BD!$B$3:$B$5001,D$138,BD!$A$3:$A$5001,_xlfn.MAXIFS(BD!$A$3:$A$5001,BD!$B$3:$B$5001,D$138,BD!$A$3:$A$5001,"&gt;="&amp;$C$7,BD!$A$3:$A$5001,"&lt;="&amp;$B144,BD!$W$3:$W$5001,"&lt;&gt;"))))</f>
        <v/>
      </c>
      <c r="E144" s="42" t="str">
        <f>IF(OR($B144="",$A144&gt;$B$9),"",IF(COUNTIFS(BD!$B$3:$B$5001,E$138,BD!$A$3:$A$5001,"&gt;="&amp;$C$7,BD!$A$3:$A$5001,"&lt;="&amp;$B144,BD!$W$3:$W$5001,"&lt;&gt;")=0,"",SUMIFS(BD!$W$3:$W$5001,BD!$B$3:$B$5001,E$138,BD!$A$3:$A$5001,_xlfn.MAXIFS(BD!$A$3:$A$5001,BD!$B$3:$B$5001,E$138,BD!$A$3:$A$5001,"&gt;="&amp;$C$7,BD!$A$3:$A$5001,"&lt;="&amp;$B144,BD!$W$3:$W$5001,"&lt;&gt;"))))</f>
        <v/>
      </c>
      <c r="F144" s="42" t="str">
        <f>IF(OR($B144="",$A144&gt;$B$9),"",IF(COUNTIFS(BD!$B$3:$B$5001,F$138,BD!$A$3:$A$5001,"&gt;="&amp;$C$7,BD!$A$3:$A$5001,"&lt;="&amp;$B144,BD!$W$3:$W$5001,"&lt;&gt;")=0,"",SUMIFS(BD!$W$3:$W$5001,BD!$B$3:$B$5001,F$138,BD!$A$3:$A$5001,_xlfn.MAXIFS(BD!$A$3:$A$5001,BD!$B$3:$B$5001,F$138,BD!$A$3:$A$5001,"&gt;="&amp;$C$7,BD!$A$3:$A$5001,"&lt;="&amp;$B144,BD!$W$3:$W$5001,"&lt;&gt;"))))</f>
        <v/>
      </c>
      <c r="G144" s="42" t="str">
        <f>IF(OR($B144="",$A144&gt;$B$9),"",IF(COUNTIFS(BD!$B$3:$B$5001,G$138,BD!$A$3:$A$5001,"&gt;="&amp;$C$7,BD!$A$3:$A$5001,"&lt;="&amp;$B144,BD!$W$3:$W$5001,"&lt;&gt;")=0,"",SUMIFS(BD!$W$3:$W$5001,BD!$B$3:$B$5001,G$138,BD!$A$3:$A$5001,_xlfn.MAXIFS(BD!$A$3:$A$5001,BD!$B$3:$B$5001,G$138,BD!$A$3:$A$5001,"&gt;="&amp;$C$7,BD!$A$3:$A$5001,"&lt;="&amp;$B144,BD!$W$3:$W$5001,"&lt;&gt;"))))</f>
        <v/>
      </c>
      <c r="H144" s="42" t="str">
        <f>IF(OR($B144="",$A144&gt;$B$9),"",IF(COUNTIFS(BD!$B$3:$B$5001,H$138,BD!$A$3:$A$5001,"&gt;="&amp;$C$7,BD!$A$3:$A$5001,"&lt;="&amp;$B144,BD!$W$3:$W$5001,"&lt;&gt;")=0,"",SUMIFS(BD!$W$3:$W$5001,BD!$B$3:$B$5001,H$138,BD!$A$3:$A$5001,_xlfn.MAXIFS(BD!$A$3:$A$5001,BD!$B$3:$B$5001,H$138,BD!$A$3:$A$5001,"&gt;="&amp;$C$7,BD!$A$3:$A$5001,"&lt;="&amp;$B144,BD!$W$3:$W$5001,"&lt;&gt;"))))</f>
        <v/>
      </c>
      <c r="I144" s="42" t="str">
        <f>IF(OR($B144="",$A144&gt;$B$9),"",IF(COUNTIFS(BD!$B$3:$B$5001,I$138,BD!$A$3:$A$5001,"&gt;="&amp;$C$7,BD!$A$3:$A$5001,"&lt;="&amp;$B144,BD!$W$3:$W$5001,"&lt;&gt;")=0,"",SUMIFS(BD!$W$3:$W$5001,BD!$B$3:$B$5001,I$138,BD!$A$3:$A$5001,_xlfn.MAXIFS(BD!$A$3:$A$5001,BD!$B$3:$B$5001,I$138,BD!$A$3:$A$5001,"&gt;="&amp;$C$7,BD!$A$3:$A$5001,"&lt;="&amp;$B144,BD!$W$3:$W$5001,"&lt;&gt;"))))</f>
        <v/>
      </c>
      <c r="J144" s="42" t="str">
        <f>IF(OR($B144="",$A144&gt;$B$9),"",IF(COUNTIFS(BD!$B$3:$B$5001,J$138,BD!$A$3:$A$5001,"&gt;="&amp;$C$7,BD!$A$3:$A$5001,"&lt;="&amp;$B144,BD!$W$3:$W$5001,"&lt;&gt;")=0,"",SUMIFS(BD!$W$3:$W$5001,BD!$B$3:$B$5001,J$138,BD!$A$3:$A$5001,_xlfn.MAXIFS(BD!$A$3:$A$5001,BD!$B$3:$B$5001,J$138,BD!$A$3:$A$5001,"&gt;="&amp;$C$7,BD!$A$3:$A$5001,"&lt;="&amp;$B144,BD!$W$3:$W$5001,"&lt;&gt;"))))</f>
        <v/>
      </c>
      <c r="K144" s="42" t="str">
        <f>IF(OR($B144="",$A144&gt;$B$9),"",IF(COUNTIFS(BD!$B$3:$B$5001,K$138,BD!$A$3:$A$5001,"&gt;="&amp;$C$7,BD!$A$3:$A$5001,"&lt;="&amp;$B144,BD!$W$3:$W$5001,"&lt;&gt;")=0,"",SUMIFS(BD!$W$3:$W$5001,BD!$B$3:$B$5001,K$138,BD!$A$3:$A$5001,_xlfn.MAXIFS(BD!$A$3:$A$5001,BD!$B$3:$B$5001,K$138,BD!$A$3:$A$5001,"&gt;="&amp;$C$7,BD!$A$3:$A$5001,"&lt;="&amp;$B144,BD!$W$3:$W$5001,"&lt;&gt;"))))</f>
        <v/>
      </c>
      <c r="L144" s="42" t="str">
        <f>IF(OR($B144="",$A144&gt;$B$9),"",IF(COUNTIFS(BD!$B$3:$B$5001,L$138,BD!$A$3:$A$5001,"&gt;="&amp;$C$7,BD!$A$3:$A$5001,"&lt;="&amp;$B144,BD!$W$3:$W$5001,"&lt;&gt;")=0,"",SUMIFS(BD!$W$3:$W$5001,BD!$B$3:$B$5001,L$138,BD!$A$3:$A$5001,_xlfn.MAXIFS(BD!$A$3:$A$5001,BD!$B$3:$B$5001,L$138,BD!$A$3:$A$5001,"&gt;="&amp;$C$7,BD!$A$3:$A$5001,"&lt;="&amp;$B144,BD!$W$3:$W$5001,"&lt;&gt;"))))</f>
        <v/>
      </c>
    </row>
    <row r="145">
      <c r="A145" s="40">
        <v>7</v>
      </c>
      <c r="B145" s="41">
        <f>$B$18</f>
        <v>46302</v>
      </c>
      <c r="C145" s="42" t="str">
        <f>IF(OR($B145="",$A145&gt;$B$9),"",IF(COUNTIFS(BD!$B$3:$B$5001,C$138,BD!$A$3:$A$5001,"&gt;="&amp;$C$7,BD!$A$3:$A$5001,"&lt;="&amp;$B145,BD!$W$3:$W$5001,"&lt;&gt;")=0,"",SUMIFS(BD!$W$3:$W$5001,BD!$B$3:$B$5001,C$138,BD!$A$3:$A$5001,_xlfn.MAXIFS(BD!$A$3:$A$5001,BD!$B$3:$B$5001,C$138,BD!$A$3:$A$5001,"&gt;="&amp;$C$7,BD!$A$3:$A$5001,"&lt;="&amp;$B145,BD!$W$3:$W$5001,"&lt;&gt;"))))</f>
        <v/>
      </c>
      <c r="D145" s="42" t="str">
        <f>IF(OR($B145="",$A145&gt;$B$9),"",IF(COUNTIFS(BD!$B$3:$B$5001,D$138,BD!$A$3:$A$5001,"&gt;="&amp;$C$7,BD!$A$3:$A$5001,"&lt;="&amp;$B145,BD!$W$3:$W$5001,"&lt;&gt;")=0,"",SUMIFS(BD!$W$3:$W$5001,BD!$B$3:$B$5001,D$138,BD!$A$3:$A$5001,_xlfn.MAXIFS(BD!$A$3:$A$5001,BD!$B$3:$B$5001,D$138,BD!$A$3:$A$5001,"&gt;="&amp;$C$7,BD!$A$3:$A$5001,"&lt;="&amp;$B145,BD!$W$3:$W$5001,"&lt;&gt;"))))</f>
        <v/>
      </c>
      <c r="E145" s="42" t="str">
        <f>IF(OR($B145="",$A145&gt;$B$9),"",IF(COUNTIFS(BD!$B$3:$B$5001,E$138,BD!$A$3:$A$5001,"&gt;="&amp;$C$7,BD!$A$3:$A$5001,"&lt;="&amp;$B145,BD!$W$3:$W$5001,"&lt;&gt;")=0,"",SUMIFS(BD!$W$3:$W$5001,BD!$B$3:$B$5001,E$138,BD!$A$3:$A$5001,_xlfn.MAXIFS(BD!$A$3:$A$5001,BD!$B$3:$B$5001,E$138,BD!$A$3:$A$5001,"&gt;="&amp;$C$7,BD!$A$3:$A$5001,"&lt;="&amp;$B145,BD!$W$3:$W$5001,"&lt;&gt;"))))</f>
        <v/>
      </c>
      <c r="F145" s="42" t="str">
        <f>IF(OR($B145="",$A145&gt;$B$9),"",IF(COUNTIFS(BD!$B$3:$B$5001,F$138,BD!$A$3:$A$5001,"&gt;="&amp;$C$7,BD!$A$3:$A$5001,"&lt;="&amp;$B145,BD!$W$3:$W$5001,"&lt;&gt;")=0,"",SUMIFS(BD!$W$3:$W$5001,BD!$B$3:$B$5001,F$138,BD!$A$3:$A$5001,_xlfn.MAXIFS(BD!$A$3:$A$5001,BD!$B$3:$B$5001,F$138,BD!$A$3:$A$5001,"&gt;="&amp;$C$7,BD!$A$3:$A$5001,"&lt;="&amp;$B145,BD!$W$3:$W$5001,"&lt;&gt;"))))</f>
        <v/>
      </c>
      <c r="G145" s="42" t="str">
        <f>IF(OR($B145="",$A145&gt;$B$9),"",IF(COUNTIFS(BD!$B$3:$B$5001,G$138,BD!$A$3:$A$5001,"&gt;="&amp;$C$7,BD!$A$3:$A$5001,"&lt;="&amp;$B145,BD!$W$3:$W$5001,"&lt;&gt;")=0,"",SUMIFS(BD!$W$3:$W$5001,BD!$B$3:$B$5001,G$138,BD!$A$3:$A$5001,_xlfn.MAXIFS(BD!$A$3:$A$5001,BD!$B$3:$B$5001,G$138,BD!$A$3:$A$5001,"&gt;="&amp;$C$7,BD!$A$3:$A$5001,"&lt;="&amp;$B145,BD!$W$3:$W$5001,"&lt;&gt;"))))</f>
        <v/>
      </c>
      <c r="H145" s="42" t="str">
        <f>IF(OR($B145="",$A145&gt;$B$9),"",IF(COUNTIFS(BD!$B$3:$B$5001,H$138,BD!$A$3:$A$5001,"&gt;="&amp;$C$7,BD!$A$3:$A$5001,"&lt;="&amp;$B145,BD!$W$3:$W$5001,"&lt;&gt;")=0,"",SUMIFS(BD!$W$3:$W$5001,BD!$B$3:$B$5001,H$138,BD!$A$3:$A$5001,_xlfn.MAXIFS(BD!$A$3:$A$5001,BD!$B$3:$B$5001,H$138,BD!$A$3:$A$5001,"&gt;="&amp;$C$7,BD!$A$3:$A$5001,"&lt;="&amp;$B145,BD!$W$3:$W$5001,"&lt;&gt;"))))</f>
        <v/>
      </c>
      <c r="I145" s="42" t="str">
        <f>IF(OR($B145="",$A145&gt;$B$9),"",IF(COUNTIFS(BD!$B$3:$B$5001,I$138,BD!$A$3:$A$5001,"&gt;="&amp;$C$7,BD!$A$3:$A$5001,"&lt;="&amp;$B145,BD!$W$3:$W$5001,"&lt;&gt;")=0,"",SUMIFS(BD!$W$3:$W$5001,BD!$B$3:$B$5001,I$138,BD!$A$3:$A$5001,_xlfn.MAXIFS(BD!$A$3:$A$5001,BD!$B$3:$B$5001,I$138,BD!$A$3:$A$5001,"&gt;="&amp;$C$7,BD!$A$3:$A$5001,"&lt;="&amp;$B145,BD!$W$3:$W$5001,"&lt;&gt;"))))</f>
        <v/>
      </c>
      <c r="J145" s="42" t="str">
        <f>IF(OR($B145="",$A145&gt;$B$9),"",IF(COUNTIFS(BD!$B$3:$B$5001,J$138,BD!$A$3:$A$5001,"&gt;="&amp;$C$7,BD!$A$3:$A$5001,"&lt;="&amp;$B145,BD!$W$3:$W$5001,"&lt;&gt;")=0,"",SUMIFS(BD!$W$3:$W$5001,BD!$B$3:$B$5001,J$138,BD!$A$3:$A$5001,_xlfn.MAXIFS(BD!$A$3:$A$5001,BD!$B$3:$B$5001,J$138,BD!$A$3:$A$5001,"&gt;="&amp;$C$7,BD!$A$3:$A$5001,"&lt;="&amp;$B145,BD!$W$3:$W$5001,"&lt;&gt;"))))</f>
        <v/>
      </c>
      <c r="K145" s="42" t="str">
        <f>IF(OR($B145="",$A145&gt;$B$9),"",IF(COUNTIFS(BD!$B$3:$B$5001,K$138,BD!$A$3:$A$5001,"&gt;="&amp;$C$7,BD!$A$3:$A$5001,"&lt;="&amp;$B145,BD!$W$3:$W$5001,"&lt;&gt;")=0,"",SUMIFS(BD!$W$3:$W$5001,BD!$B$3:$B$5001,K$138,BD!$A$3:$A$5001,_xlfn.MAXIFS(BD!$A$3:$A$5001,BD!$B$3:$B$5001,K$138,BD!$A$3:$A$5001,"&gt;="&amp;$C$7,BD!$A$3:$A$5001,"&lt;="&amp;$B145,BD!$W$3:$W$5001,"&lt;&gt;"))))</f>
        <v/>
      </c>
      <c r="L145" s="42" t="str">
        <f>IF(OR($B145="",$A145&gt;$B$9),"",IF(COUNTIFS(BD!$B$3:$B$5001,L$138,BD!$A$3:$A$5001,"&gt;="&amp;$C$7,BD!$A$3:$A$5001,"&lt;="&amp;$B145,BD!$W$3:$W$5001,"&lt;&gt;")=0,"",SUMIFS(BD!$W$3:$W$5001,BD!$B$3:$B$5001,L$138,BD!$A$3:$A$5001,_xlfn.MAXIFS(BD!$A$3:$A$5001,BD!$B$3:$B$5001,L$138,BD!$A$3:$A$5001,"&gt;="&amp;$C$7,BD!$A$3:$A$5001,"&lt;="&amp;$B145,BD!$W$3:$W$5001,"&lt;&gt;"))))</f>
        <v/>
      </c>
    </row>
    <row r="146">
      <c r="A146" s="40">
        <v>8</v>
      </c>
      <c r="B146" s="41">
        <f>$B$19</f>
        <v>46303</v>
      </c>
      <c r="C146" s="42" t="str">
        <f>IF(OR($B146="",$A146&gt;$B$9),"",IF(COUNTIFS(BD!$B$3:$B$5001,C$138,BD!$A$3:$A$5001,"&gt;="&amp;$C$7,BD!$A$3:$A$5001,"&lt;="&amp;$B146,BD!$W$3:$W$5001,"&lt;&gt;")=0,"",SUMIFS(BD!$W$3:$W$5001,BD!$B$3:$B$5001,C$138,BD!$A$3:$A$5001,_xlfn.MAXIFS(BD!$A$3:$A$5001,BD!$B$3:$B$5001,C$138,BD!$A$3:$A$5001,"&gt;="&amp;$C$7,BD!$A$3:$A$5001,"&lt;="&amp;$B146,BD!$W$3:$W$5001,"&lt;&gt;"))))</f>
        <v/>
      </c>
      <c r="D146" s="42" t="str">
        <f>IF(OR($B146="",$A146&gt;$B$9),"",IF(COUNTIFS(BD!$B$3:$B$5001,D$138,BD!$A$3:$A$5001,"&gt;="&amp;$C$7,BD!$A$3:$A$5001,"&lt;="&amp;$B146,BD!$W$3:$W$5001,"&lt;&gt;")=0,"",SUMIFS(BD!$W$3:$W$5001,BD!$B$3:$B$5001,D$138,BD!$A$3:$A$5001,_xlfn.MAXIFS(BD!$A$3:$A$5001,BD!$B$3:$B$5001,D$138,BD!$A$3:$A$5001,"&gt;="&amp;$C$7,BD!$A$3:$A$5001,"&lt;="&amp;$B146,BD!$W$3:$W$5001,"&lt;&gt;"))))</f>
        <v/>
      </c>
      <c r="E146" s="42" t="str">
        <f>IF(OR($B146="",$A146&gt;$B$9),"",IF(COUNTIFS(BD!$B$3:$B$5001,E$138,BD!$A$3:$A$5001,"&gt;="&amp;$C$7,BD!$A$3:$A$5001,"&lt;="&amp;$B146,BD!$W$3:$W$5001,"&lt;&gt;")=0,"",SUMIFS(BD!$W$3:$W$5001,BD!$B$3:$B$5001,E$138,BD!$A$3:$A$5001,_xlfn.MAXIFS(BD!$A$3:$A$5001,BD!$B$3:$B$5001,E$138,BD!$A$3:$A$5001,"&gt;="&amp;$C$7,BD!$A$3:$A$5001,"&lt;="&amp;$B146,BD!$W$3:$W$5001,"&lt;&gt;"))))</f>
        <v/>
      </c>
      <c r="F146" s="42" t="str">
        <f>IF(OR($B146="",$A146&gt;$B$9),"",IF(COUNTIFS(BD!$B$3:$B$5001,F$138,BD!$A$3:$A$5001,"&gt;="&amp;$C$7,BD!$A$3:$A$5001,"&lt;="&amp;$B146,BD!$W$3:$W$5001,"&lt;&gt;")=0,"",SUMIFS(BD!$W$3:$W$5001,BD!$B$3:$B$5001,F$138,BD!$A$3:$A$5001,_xlfn.MAXIFS(BD!$A$3:$A$5001,BD!$B$3:$B$5001,F$138,BD!$A$3:$A$5001,"&gt;="&amp;$C$7,BD!$A$3:$A$5001,"&lt;="&amp;$B146,BD!$W$3:$W$5001,"&lt;&gt;"))))</f>
        <v/>
      </c>
      <c r="G146" s="42" t="str">
        <f>IF(OR($B146="",$A146&gt;$B$9),"",IF(COUNTIFS(BD!$B$3:$B$5001,G$138,BD!$A$3:$A$5001,"&gt;="&amp;$C$7,BD!$A$3:$A$5001,"&lt;="&amp;$B146,BD!$W$3:$W$5001,"&lt;&gt;")=0,"",SUMIFS(BD!$W$3:$W$5001,BD!$B$3:$B$5001,G$138,BD!$A$3:$A$5001,_xlfn.MAXIFS(BD!$A$3:$A$5001,BD!$B$3:$B$5001,G$138,BD!$A$3:$A$5001,"&gt;="&amp;$C$7,BD!$A$3:$A$5001,"&lt;="&amp;$B146,BD!$W$3:$W$5001,"&lt;&gt;"))))</f>
        <v/>
      </c>
      <c r="H146" s="42" t="str">
        <f>IF(OR($B146="",$A146&gt;$B$9),"",IF(COUNTIFS(BD!$B$3:$B$5001,H$138,BD!$A$3:$A$5001,"&gt;="&amp;$C$7,BD!$A$3:$A$5001,"&lt;="&amp;$B146,BD!$W$3:$W$5001,"&lt;&gt;")=0,"",SUMIFS(BD!$W$3:$W$5001,BD!$B$3:$B$5001,H$138,BD!$A$3:$A$5001,_xlfn.MAXIFS(BD!$A$3:$A$5001,BD!$B$3:$B$5001,H$138,BD!$A$3:$A$5001,"&gt;="&amp;$C$7,BD!$A$3:$A$5001,"&lt;="&amp;$B146,BD!$W$3:$W$5001,"&lt;&gt;"))))</f>
        <v/>
      </c>
      <c r="I146" s="42" t="str">
        <f>IF(OR($B146="",$A146&gt;$B$9),"",IF(COUNTIFS(BD!$B$3:$B$5001,I$138,BD!$A$3:$A$5001,"&gt;="&amp;$C$7,BD!$A$3:$A$5001,"&lt;="&amp;$B146,BD!$W$3:$W$5001,"&lt;&gt;")=0,"",SUMIFS(BD!$W$3:$W$5001,BD!$B$3:$B$5001,I$138,BD!$A$3:$A$5001,_xlfn.MAXIFS(BD!$A$3:$A$5001,BD!$B$3:$B$5001,I$138,BD!$A$3:$A$5001,"&gt;="&amp;$C$7,BD!$A$3:$A$5001,"&lt;="&amp;$B146,BD!$W$3:$W$5001,"&lt;&gt;"))))</f>
        <v/>
      </c>
      <c r="J146" s="42" t="str">
        <f>IF(OR($B146="",$A146&gt;$B$9),"",IF(COUNTIFS(BD!$B$3:$B$5001,J$138,BD!$A$3:$A$5001,"&gt;="&amp;$C$7,BD!$A$3:$A$5001,"&lt;="&amp;$B146,BD!$W$3:$W$5001,"&lt;&gt;")=0,"",SUMIFS(BD!$W$3:$W$5001,BD!$B$3:$B$5001,J$138,BD!$A$3:$A$5001,_xlfn.MAXIFS(BD!$A$3:$A$5001,BD!$B$3:$B$5001,J$138,BD!$A$3:$A$5001,"&gt;="&amp;$C$7,BD!$A$3:$A$5001,"&lt;="&amp;$B146,BD!$W$3:$W$5001,"&lt;&gt;"))))</f>
        <v/>
      </c>
      <c r="K146" s="42" t="str">
        <f>IF(OR($B146="",$A146&gt;$B$9),"",IF(COUNTIFS(BD!$B$3:$B$5001,K$138,BD!$A$3:$A$5001,"&gt;="&amp;$C$7,BD!$A$3:$A$5001,"&lt;="&amp;$B146,BD!$W$3:$W$5001,"&lt;&gt;")=0,"",SUMIFS(BD!$W$3:$W$5001,BD!$B$3:$B$5001,K$138,BD!$A$3:$A$5001,_xlfn.MAXIFS(BD!$A$3:$A$5001,BD!$B$3:$B$5001,K$138,BD!$A$3:$A$5001,"&gt;="&amp;$C$7,BD!$A$3:$A$5001,"&lt;="&amp;$B146,BD!$W$3:$W$5001,"&lt;&gt;"))))</f>
        <v/>
      </c>
      <c r="L146" s="42" t="str">
        <f>IF(OR($B146="",$A146&gt;$B$9),"",IF(COUNTIFS(BD!$B$3:$B$5001,L$138,BD!$A$3:$A$5001,"&gt;="&amp;$C$7,BD!$A$3:$A$5001,"&lt;="&amp;$B146,BD!$W$3:$W$5001,"&lt;&gt;")=0,"",SUMIFS(BD!$W$3:$W$5001,BD!$B$3:$B$5001,L$138,BD!$A$3:$A$5001,_xlfn.MAXIFS(BD!$A$3:$A$5001,BD!$B$3:$B$5001,L$138,BD!$A$3:$A$5001,"&gt;="&amp;$C$7,BD!$A$3:$A$5001,"&lt;="&amp;$B146,BD!$W$3:$W$5001,"&lt;&gt;"))))</f>
        <v/>
      </c>
    </row>
    <row r="147">
      <c r="A147" s="40">
        <v>9</v>
      </c>
      <c r="B147" s="41">
        <f>$B$20</f>
        <v>46304</v>
      </c>
      <c r="C147" s="42" t="str">
        <f>IF(OR($B147="",$A147&gt;$B$9),"",IF(COUNTIFS(BD!$B$3:$B$5001,C$138,BD!$A$3:$A$5001,"&gt;="&amp;$C$7,BD!$A$3:$A$5001,"&lt;="&amp;$B147,BD!$W$3:$W$5001,"&lt;&gt;")=0,"",SUMIFS(BD!$W$3:$W$5001,BD!$B$3:$B$5001,C$138,BD!$A$3:$A$5001,_xlfn.MAXIFS(BD!$A$3:$A$5001,BD!$B$3:$B$5001,C$138,BD!$A$3:$A$5001,"&gt;="&amp;$C$7,BD!$A$3:$A$5001,"&lt;="&amp;$B147,BD!$W$3:$W$5001,"&lt;&gt;"))))</f>
        <v/>
      </c>
      <c r="D147" s="42" t="str">
        <f>IF(OR($B147="",$A147&gt;$B$9),"",IF(COUNTIFS(BD!$B$3:$B$5001,D$138,BD!$A$3:$A$5001,"&gt;="&amp;$C$7,BD!$A$3:$A$5001,"&lt;="&amp;$B147,BD!$W$3:$W$5001,"&lt;&gt;")=0,"",SUMIFS(BD!$W$3:$W$5001,BD!$B$3:$B$5001,D$138,BD!$A$3:$A$5001,_xlfn.MAXIFS(BD!$A$3:$A$5001,BD!$B$3:$B$5001,D$138,BD!$A$3:$A$5001,"&gt;="&amp;$C$7,BD!$A$3:$A$5001,"&lt;="&amp;$B147,BD!$W$3:$W$5001,"&lt;&gt;"))))</f>
        <v/>
      </c>
      <c r="E147" s="42" t="str">
        <f>IF(OR($B147="",$A147&gt;$B$9),"",IF(COUNTIFS(BD!$B$3:$B$5001,E$138,BD!$A$3:$A$5001,"&gt;="&amp;$C$7,BD!$A$3:$A$5001,"&lt;="&amp;$B147,BD!$W$3:$W$5001,"&lt;&gt;")=0,"",SUMIFS(BD!$W$3:$W$5001,BD!$B$3:$B$5001,E$138,BD!$A$3:$A$5001,_xlfn.MAXIFS(BD!$A$3:$A$5001,BD!$B$3:$B$5001,E$138,BD!$A$3:$A$5001,"&gt;="&amp;$C$7,BD!$A$3:$A$5001,"&lt;="&amp;$B147,BD!$W$3:$W$5001,"&lt;&gt;"))))</f>
        <v/>
      </c>
      <c r="F147" s="42" t="str">
        <f>IF(OR($B147="",$A147&gt;$B$9),"",IF(COUNTIFS(BD!$B$3:$B$5001,F$138,BD!$A$3:$A$5001,"&gt;="&amp;$C$7,BD!$A$3:$A$5001,"&lt;="&amp;$B147,BD!$W$3:$W$5001,"&lt;&gt;")=0,"",SUMIFS(BD!$W$3:$W$5001,BD!$B$3:$B$5001,F$138,BD!$A$3:$A$5001,_xlfn.MAXIFS(BD!$A$3:$A$5001,BD!$B$3:$B$5001,F$138,BD!$A$3:$A$5001,"&gt;="&amp;$C$7,BD!$A$3:$A$5001,"&lt;="&amp;$B147,BD!$W$3:$W$5001,"&lt;&gt;"))))</f>
        <v/>
      </c>
      <c r="G147" s="42" t="str">
        <f>IF(OR($B147="",$A147&gt;$B$9),"",IF(COUNTIFS(BD!$B$3:$B$5001,G$138,BD!$A$3:$A$5001,"&gt;="&amp;$C$7,BD!$A$3:$A$5001,"&lt;="&amp;$B147,BD!$W$3:$W$5001,"&lt;&gt;")=0,"",SUMIFS(BD!$W$3:$W$5001,BD!$B$3:$B$5001,G$138,BD!$A$3:$A$5001,_xlfn.MAXIFS(BD!$A$3:$A$5001,BD!$B$3:$B$5001,G$138,BD!$A$3:$A$5001,"&gt;="&amp;$C$7,BD!$A$3:$A$5001,"&lt;="&amp;$B147,BD!$W$3:$W$5001,"&lt;&gt;"))))</f>
        <v/>
      </c>
      <c r="H147" s="42" t="str">
        <f>IF(OR($B147="",$A147&gt;$B$9),"",IF(COUNTIFS(BD!$B$3:$B$5001,H$138,BD!$A$3:$A$5001,"&gt;="&amp;$C$7,BD!$A$3:$A$5001,"&lt;="&amp;$B147,BD!$W$3:$W$5001,"&lt;&gt;")=0,"",SUMIFS(BD!$W$3:$W$5001,BD!$B$3:$B$5001,H$138,BD!$A$3:$A$5001,_xlfn.MAXIFS(BD!$A$3:$A$5001,BD!$B$3:$B$5001,H$138,BD!$A$3:$A$5001,"&gt;="&amp;$C$7,BD!$A$3:$A$5001,"&lt;="&amp;$B147,BD!$W$3:$W$5001,"&lt;&gt;"))))</f>
        <v/>
      </c>
      <c r="I147" s="42" t="str">
        <f>IF(OR($B147="",$A147&gt;$B$9),"",IF(COUNTIFS(BD!$B$3:$B$5001,I$138,BD!$A$3:$A$5001,"&gt;="&amp;$C$7,BD!$A$3:$A$5001,"&lt;="&amp;$B147,BD!$W$3:$W$5001,"&lt;&gt;")=0,"",SUMIFS(BD!$W$3:$W$5001,BD!$B$3:$B$5001,I$138,BD!$A$3:$A$5001,_xlfn.MAXIFS(BD!$A$3:$A$5001,BD!$B$3:$B$5001,I$138,BD!$A$3:$A$5001,"&gt;="&amp;$C$7,BD!$A$3:$A$5001,"&lt;="&amp;$B147,BD!$W$3:$W$5001,"&lt;&gt;"))))</f>
        <v/>
      </c>
      <c r="J147" s="42" t="str">
        <f>IF(OR($B147="",$A147&gt;$B$9),"",IF(COUNTIFS(BD!$B$3:$B$5001,J$138,BD!$A$3:$A$5001,"&gt;="&amp;$C$7,BD!$A$3:$A$5001,"&lt;="&amp;$B147,BD!$W$3:$W$5001,"&lt;&gt;")=0,"",SUMIFS(BD!$W$3:$W$5001,BD!$B$3:$B$5001,J$138,BD!$A$3:$A$5001,_xlfn.MAXIFS(BD!$A$3:$A$5001,BD!$B$3:$B$5001,J$138,BD!$A$3:$A$5001,"&gt;="&amp;$C$7,BD!$A$3:$A$5001,"&lt;="&amp;$B147,BD!$W$3:$W$5001,"&lt;&gt;"))))</f>
        <v/>
      </c>
      <c r="K147" s="42" t="str">
        <f>IF(OR($B147="",$A147&gt;$B$9),"",IF(COUNTIFS(BD!$B$3:$B$5001,K$138,BD!$A$3:$A$5001,"&gt;="&amp;$C$7,BD!$A$3:$A$5001,"&lt;="&amp;$B147,BD!$W$3:$W$5001,"&lt;&gt;")=0,"",SUMIFS(BD!$W$3:$W$5001,BD!$B$3:$B$5001,K$138,BD!$A$3:$A$5001,_xlfn.MAXIFS(BD!$A$3:$A$5001,BD!$B$3:$B$5001,K$138,BD!$A$3:$A$5001,"&gt;="&amp;$C$7,BD!$A$3:$A$5001,"&lt;="&amp;$B147,BD!$W$3:$W$5001,"&lt;&gt;"))))</f>
        <v/>
      </c>
      <c r="L147" s="42" t="str">
        <f>IF(OR($B147="",$A147&gt;$B$9),"",IF(COUNTIFS(BD!$B$3:$B$5001,L$138,BD!$A$3:$A$5001,"&gt;="&amp;$C$7,BD!$A$3:$A$5001,"&lt;="&amp;$B147,BD!$W$3:$W$5001,"&lt;&gt;")=0,"",SUMIFS(BD!$W$3:$W$5001,BD!$B$3:$B$5001,L$138,BD!$A$3:$A$5001,_xlfn.MAXIFS(BD!$A$3:$A$5001,BD!$B$3:$B$5001,L$138,BD!$A$3:$A$5001,"&gt;="&amp;$C$7,BD!$A$3:$A$5001,"&lt;="&amp;$B147,BD!$W$3:$W$5001,"&lt;&gt;"))))</f>
        <v/>
      </c>
    </row>
    <row r="148">
      <c r="A148" s="40">
        <v>10</v>
      </c>
      <c r="B148" s="41">
        <f>$B$21</f>
        <v>46305</v>
      </c>
      <c r="C148" s="42" t="str">
        <f>IF(OR($B148="",$A148&gt;$B$9),"",IF(COUNTIFS(BD!$B$3:$B$5001,C$138,BD!$A$3:$A$5001,"&gt;="&amp;$C$7,BD!$A$3:$A$5001,"&lt;="&amp;$B148,BD!$W$3:$W$5001,"&lt;&gt;")=0,"",SUMIFS(BD!$W$3:$W$5001,BD!$B$3:$B$5001,C$138,BD!$A$3:$A$5001,_xlfn.MAXIFS(BD!$A$3:$A$5001,BD!$B$3:$B$5001,C$138,BD!$A$3:$A$5001,"&gt;="&amp;$C$7,BD!$A$3:$A$5001,"&lt;="&amp;$B148,BD!$W$3:$W$5001,"&lt;&gt;"))))</f>
        <v/>
      </c>
      <c r="D148" s="42" t="str">
        <f>IF(OR($B148="",$A148&gt;$B$9),"",IF(COUNTIFS(BD!$B$3:$B$5001,D$138,BD!$A$3:$A$5001,"&gt;="&amp;$C$7,BD!$A$3:$A$5001,"&lt;="&amp;$B148,BD!$W$3:$W$5001,"&lt;&gt;")=0,"",SUMIFS(BD!$W$3:$W$5001,BD!$B$3:$B$5001,D$138,BD!$A$3:$A$5001,_xlfn.MAXIFS(BD!$A$3:$A$5001,BD!$B$3:$B$5001,D$138,BD!$A$3:$A$5001,"&gt;="&amp;$C$7,BD!$A$3:$A$5001,"&lt;="&amp;$B148,BD!$W$3:$W$5001,"&lt;&gt;"))))</f>
        <v/>
      </c>
      <c r="E148" s="42" t="str">
        <f>IF(OR($B148="",$A148&gt;$B$9),"",IF(COUNTIFS(BD!$B$3:$B$5001,E$138,BD!$A$3:$A$5001,"&gt;="&amp;$C$7,BD!$A$3:$A$5001,"&lt;="&amp;$B148,BD!$W$3:$W$5001,"&lt;&gt;")=0,"",SUMIFS(BD!$W$3:$W$5001,BD!$B$3:$B$5001,E$138,BD!$A$3:$A$5001,_xlfn.MAXIFS(BD!$A$3:$A$5001,BD!$B$3:$B$5001,E$138,BD!$A$3:$A$5001,"&gt;="&amp;$C$7,BD!$A$3:$A$5001,"&lt;="&amp;$B148,BD!$W$3:$W$5001,"&lt;&gt;"))))</f>
        <v/>
      </c>
      <c r="F148" s="42" t="str">
        <f>IF(OR($B148="",$A148&gt;$B$9),"",IF(COUNTIFS(BD!$B$3:$B$5001,F$138,BD!$A$3:$A$5001,"&gt;="&amp;$C$7,BD!$A$3:$A$5001,"&lt;="&amp;$B148,BD!$W$3:$W$5001,"&lt;&gt;")=0,"",SUMIFS(BD!$W$3:$W$5001,BD!$B$3:$B$5001,F$138,BD!$A$3:$A$5001,_xlfn.MAXIFS(BD!$A$3:$A$5001,BD!$B$3:$B$5001,F$138,BD!$A$3:$A$5001,"&gt;="&amp;$C$7,BD!$A$3:$A$5001,"&lt;="&amp;$B148,BD!$W$3:$W$5001,"&lt;&gt;"))))</f>
        <v/>
      </c>
      <c r="G148" s="42" t="str">
        <f>IF(OR($B148="",$A148&gt;$B$9),"",IF(COUNTIFS(BD!$B$3:$B$5001,G$138,BD!$A$3:$A$5001,"&gt;="&amp;$C$7,BD!$A$3:$A$5001,"&lt;="&amp;$B148,BD!$W$3:$W$5001,"&lt;&gt;")=0,"",SUMIFS(BD!$W$3:$W$5001,BD!$B$3:$B$5001,G$138,BD!$A$3:$A$5001,_xlfn.MAXIFS(BD!$A$3:$A$5001,BD!$B$3:$B$5001,G$138,BD!$A$3:$A$5001,"&gt;="&amp;$C$7,BD!$A$3:$A$5001,"&lt;="&amp;$B148,BD!$W$3:$W$5001,"&lt;&gt;"))))</f>
        <v/>
      </c>
      <c r="H148" s="42" t="str">
        <f>IF(OR($B148="",$A148&gt;$B$9),"",IF(COUNTIFS(BD!$B$3:$B$5001,H$138,BD!$A$3:$A$5001,"&gt;="&amp;$C$7,BD!$A$3:$A$5001,"&lt;="&amp;$B148,BD!$W$3:$W$5001,"&lt;&gt;")=0,"",SUMIFS(BD!$W$3:$W$5001,BD!$B$3:$B$5001,H$138,BD!$A$3:$A$5001,_xlfn.MAXIFS(BD!$A$3:$A$5001,BD!$B$3:$B$5001,H$138,BD!$A$3:$A$5001,"&gt;="&amp;$C$7,BD!$A$3:$A$5001,"&lt;="&amp;$B148,BD!$W$3:$W$5001,"&lt;&gt;"))))</f>
        <v/>
      </c>
      <c r="I148" s="42" t="str">
        <f>IF(OR($B148="",$A148&gt;$B$9),"",IF(COUNTIFS(BD!$B$3:$B$5001,I$138,BD!$A$3:$A$5001,"&gt;="&amp;$C$7,BD!$A$3:$A$5001,"&lt;="&amp;$B148,BD!$W$3:$W$5001,"&lt;&gt;")=0,"",SUMIFS(BD!$W$3:$W$5001,BD!$B$3:$B$5001,I$138,BD!$A$3:$A$5001,_xlfn.MAXIFS(BD!$A$3:$A$5001,BD!$B$3:$B$5001,I$138,BD!$A$3:$A$5001,"&gt;="&amp;$C$7,BD!$A$3:$A$5001,"&lt;="&amp;$B148,BD!$W$3:$W$5001,"&lt;&gt;"))))</f>
        <v/>
      </c>
      <c r="J148" s="42" t="str">
        <f>IF(OR($B148="",$A148&gt;$B$9),"",IF(COUNTIFS(BD!$B$3:$B$5001,J$138,BD!$A$3:$A$5001,"&gt;="&amp;$C$7,BD!$A$3:$A$5001,"&lt;="&amp;$B148,BD!$W$3:$W$5001,"&lt;&gt;")=0,"",SUMIFS(BD!$W$3:$W$5001,BD!$B$3:$B$5001,J$138,BD!$A$3:$A$5001,_xlfn.MAXIFS(BD!$A$3:$A$5001,BD!$B$3:$B$5001,J$138,BD!$A$3:$A$5001,"&gt;="&amp;$C$7,BD!$A$3:$A$5001,"&lt;="&amp;$B148,BD!$W$3:$W$5001,"&lt;&gt;"))))</f>
        <v/>
      </c>
      <c r="K148" s="42" t="str">
        <f>IF(OR($B148="",$A148&gt;$B$9),"",IF(COUNTIFS(BD!$B$3:$B$5001,K$138,BD!$A$3:$A$5001,"&gt;="&amp;$C$7,BD!$A$3:$A$5001,"&lt;="&amp;$B148,BD!$W$3:$W$5001,"&lt;&gt;")=0,"",SUMIFS(BD!$W$3:$W$5001,BD!$B$3:$B$5001,K$138,BD!$A$3:$A$5001,_xlfn.MAXIFS(BD!$A$3:$A$5001,BD!$B$3:$B$5001,K$138,BD!$A$3:$A$5001,"&gt;="&amp;$C$7,BD!$A$3:$A$5001,"&lt;="&amp;$B148,BD!$W$3:$W$5001,"&lt;&gt;"))))</f>
        <v/>
      </c>
      <c r="L148" s="42" t="str">
        <f>IF(OR($B148="",$A148&gt;$B$9),"",IF(COUNTIFS(BD!$B$3:$B$5001,L$138,BD!$A$3:$A$5001,"&gt;="&amp;$C$7,BD!$A$3:$A$5001,"&lt;="&amp;$B148,BD!$W$3:$W$5001,"&lt;&gt;")=0,"",SUMIFS(BD!$W$3:$W$5001,BD!$B$3:$B$5001,L$138,BD!$A$3:$A$5001,_xlfn.MAXIFS(BD!$A$3:$A$5001,BD!$B$3:$B$5001,L$138,BD!$A$3:$A$5001,"&gt;="&amp;$C$7,BD!$A$3:$A$5001,"&lt;="&amp;$B148,BD!$W$3:$W$5001,"&lt;&gt;"))))</f>
        <v/>
      </c>
    </row>
    <row r="149">
      <c r="A149" s="40">
        <v>11</v>
      </c>
      <c r="B149" s="41">
        <f>$B$22</f>
        <v>46306</v>
      </c>
      <c r="C149" s="42" t="str">
        <f>IF(OR($B149="",$A149&gt;$B$9),"",IF(COUNTIFS(BD!$B$3:$B$5001,C$138,BD!$A$3:$A$5001,"&gt;="&amp;$C$7,BD!$A$3:$A$5001,"&lt;="&amp;$B149,BD!$W$3:$W$5001,"&lt;&gt;")=0,"",SUMIFS(BD!$W$3:$W$5001,BD!$B$3:$B$5001,C$138,BD!$A$3:$A$5001,_xlfn.MAXIFS(BD!$A$3:$A$5001,BD!$B$3:$B$5001,C$138,BD!$A$3:$A$5001,"&gt;="&amp;$C$7,BD!$A$3:$A$5001,"&lt;="&amp;$B149,BD!$W$3:$W$5001,"&lt;&gt;"))))</f>
        <v/>
      </c>
      <c r="D149" s="42" t="str">
        <f>IF(OR($B149="",$A149&gt;$B$9),"",IF(COUNTIFS(BD!$B$3:$B$5001,D$138,BD!$A$3:$A$5001,"&gt;="&amp;$C$7,BD!$A$3:$A$5001,"&lt;="&amp;$B149,BD!$W$3:$W$5001,"&lt;&gt;")=0,"",SUMIFS(BD!$W$3:$W$5001,BD!$B$3:$B$5001,D$138,BD!$A$3:$A$5001,_xlfn.MAXIFS(BD!$A$3:$A$5001,BD!$B$3:$B$5001,D$138,BD!$A$3:$A$5001,"&gt;="&amp;$C$7,BD!$A$3:$A$5001,"&lt;="&amp;$B149,BD!$W$3:$W$5001,"&lt;&gt;"))))</f>
        <v/>
      </c>
      <c r="E149" s="42" t="str">
        <f>IF(OR($B149="",$A149&gt;$B$9),"",IF(COUNTIFS(BD!$B$3:$B$5001,E$138,BD!$A$3:$A$5001,"&gt;="&amp;$C$7,BD!$A$3:$A$5001,"&lt;="&amp;$B149,BD!$W$3:$W$5001,"&lt;&gt;")=0,"",SUMIFS(BD!$W$3:$W$5001,BD!$B$3:$B$5001,E$138,BD!$A$3:$A$5001,_xlfn.MAXIFS(BD!$A$3:$A$5001,BD!$B$3:$B$5001,E$138,BD!$A$3:$A$5001,"&gt;="&amp;$C$7,BD!$A$3:$A$5001,"&lt;="&amp;$B149,BD!$W$3:$W$5001,"&lt;&gt;"))))</f>
        <v/>
      </c>
      <c r="F149" s="42" t="str">
        <f>IF(OR($B149="",$A149&gt;$B$9),"",IF(COUNTIFS(BD!$B$3:$B$5001,F$138,BD!$A$3:$A$5001,"&gt;="&amp;$C$7,BD!$A$3:$A$5001,"&lt;="&amp;$B149,BD!$W$3:$W$5001,"&lt;&gt;")=0,"",SUMIFS(BD!$W$3:$W$5001,BD!$B$3:$B$5001,F$138,BD!$A$3:$A$5001,_xlfn.MAXIFS(BD!$A$3:$A$5001,BD!$B$3:$B$5001,F$138,BD!$A$3:$A$5001,"&gt;="&amp;$C$7,BD!$A$3:$A$5001,"&lt;="&amp;$B149,BD!$W$3:$W$5001,"&lt;&gt;"))))</f>
        <v/>
      </c>
      <c r="G149" s="42" t="str">
        <f>IF(OR($B149="",$A149&gt;$B$9),"",IF(COUNTIFS(BD!$B$3:$B$5001,G$138,BD!$A$3:$A$5001,"&gt;="&amp;$C$7,BD!$A$3:$A$5001,"&lt;="&amp;$B149,BD!$W$3:$W$5001,"&lt;&gt;")=0,"",SUMIFS(BD!$W$3:$W$5001,BD!$B$3:$B$5001,G$138,BD!$A$3:$A$5001,_xlfn.MAXIFS(BD!$A$3:$A$5001,BD!$B$3:$B$5001,G$138,BD!$A$3:$A$5001,"&gt;="&amp;$C$7,BD!$A$3:$A$5001,"&lt;="&amp;$B149,BD!$W$3:$W$5001,"&lt;&gt;"))))</f>
        <v/>
      </c>
      <c r="H149" s="42" t="str">
        <f>IF(OR($B149="",$A149&gt;$B$9),"",IF(COUNTIFS(BD!$B$3:$B$5001,H$138,BD!$A$3:$A$5001,"&gt;="&amp;$C$7,BD!$A$3:$A$5001,"&lt;="&amp;$B149,BD!$W$3:$W$5001,"&lt;&gt;")=0,"",SUMIFS(BD!$W$3:$W$5001,BD!$B$3:$B$5001,H$138,BD!$A$3:$A$5001,_xlfn.MAXIFS(BD!$A$3:$A$5001,BD!$B$3:$B$5001,H$138,BD!$A$3:$A$5001,"&gt;="&amp;$C$7,BD!$A$3:$A$5001,"&lt;="&amp;$B149,BD!$W$3:$W$5001,"&lt;&gt;"))))</f>
        <v/>
      </c>
      <c r="I149" s="42" t="str">
        <f>IF(OR($B149="",$A149&gt;$B$9),"",IF(COUNTIFS(BD!$B$3:$B$5001,I$138,BD!$A$3:$A$5001,"&gt;="&amp;$C$7,BD!$A$3:$A$5001,"&lt;="&amp;$B149,BD!$W$3:$W$5001,"&lt;&gt;")=0,"",SUMIFS(BD!$W$3:$W$5001,BD!$B$3:$B$5001,I$138,BD!$A$3:$A$5001,_xlfn.MAXIFS(BD!$A$3:$A$5001,BD!$B$3:$B$5001,I$138,BD!$A$3:$A$5001,"&gt;="&amp;$C$7,BD!$A$3:$A$5001,"&lt;="&amp;$B149,BD!$W$3:$W$5001,"&lt;&gt;"))))</f>
        <v/>
      </c>
      <c r="J149" s="42" t="str">
        <f>IF(OR($B149="",$A149&gt;$B$9),"",IF(COUNTIFS(BD!$B$3:$B$5001,J$138,BD!$A$3:$A$5001,"&gt;="&amp;$C$7,BD!$A$3:$A$5001,"&lt;="&amp;$B149,BD!$W$3:$W$5001,"&lt;&gt;")=0,"",SUMIFS(BD!$W$3:$W$5001,BD!$B$3:$B$5001,J$138,BD!$A$3:$A$5001,_xlfn.MAXIFS(BD!$A$3:$A$5001,BD!$B$3:$B$5001,J$138,BD!$A$3:$A$5001,"&gt;="&amp;$C$7,BD!$A$3:$A$5001,"&lt;="&amp;$B149,BD!$W$3:$W$5001,"&lt;&gt;"))))</f>
        <v/>
      </c>
      <c r="K149" s="42" t="str">
        <f>IF(OR($B149="",$A149&gt;$B$9),"",IF(COUNTIFS(BD!$B$3:$B$5001,K$138,BD!$A$3:$A$5001,"&gt;="&amp;$C$7,BD!$A$3:$A$5001,"&lt;="&amp;$B149,BD!$W$3:$W$5001,"&lt;&gt;")=0,"",SUMIFS(BD!$W$3:$W$5001,BD!$B$3:$B$5001,K$138,BD!$A$3:$A$5001,_xlfn.MAXIFS(BD!$A$3:$A$5001,BD!$B$3:$B$5001,K$138,BD!$A$3:$A$5001,"&gt;="&amp;$C$7,BD!$A$3:$A$5001,"&lt;="&amp;$B149,BD!$W$3:$W$5001,"&lt;&gt;"))))</f>
        <v/>
      </c>
      <c r="L149" s="42" t="str">
        <f>IF(OR($B149="",$A149&gt;$B$9),"",IF(COUNTIFS(BD!$B$3:$B$5001,L$138,BD!$A$3:$A$5001,"&gt;="&amp;$C$7,BD!$A$3:$A$5001,"&lt;="&amp;$B149,BD!$W$3:$W$5001,"&lt;&gt;")=0,"",SUMIFS(BD!$W$3:$W$5001,BD!$B$3:$B$5001,L$138,BD!$A$3:$A$5001,_xlfn.MAXIFS(BD!$A$3:$A$5001,BD!$B$3:$B$5001,L$138,BD!$A$3:$A$5001,"&gt;="&amp;$C$7,BD!$A$3:$A$5001,"&lt;="&amp;$B149,BD!$W$3:$W$5001,"&lt;&gt;"))))</f>
        <v/>
      </c>
    </row>
    <row r="150">
      <c r="A150" s="40">
        <v>12</v>
      </c>
      <c r="B150" s="41">
        <f>$B$23</f>
        <v>46307</v>
      </c>
      <c r="C150" s="42" t="str">
        <f>IF(OR($B150="",$A150&gt;$B$9),"",IF(COUNTIFS(BD!$B$3:$B$5001,C$138,BD!$A$3:$A$5001,"&gt;="&amp;$C$7,BD!$A$3:$A$5001,"&lt;="&amp;$B150,BD!$W$3:$W$5001,"&lt;&gt;")=0,"",SUMIFS(BD!$W$3:$W$5001,BD!$B$3:$B$5001,C$138,BD!$A$3:$A$5001,_xlfn.MAXIFS(BD!$A$3:$A$5001,BD!$B$3:$B$5001,C$138,BD!$A$3:$A$5001,"&gt;="&amp;$C$7,BD!$A$3:$A$5001,"&lt;="&amp;$B150,BD!$W$3:$W$5001,"&lt;&gt;"))))</f>
        <v/>
      </c>
      <c r="D150" s="42" t="str">
        <f>IF(OR($B150="",$A150&gt;$B$9),"",IF(COUNTIFS(BD!$B$3:$B$5001,D$138,BD!$A$3:$A$5001,"&gt;="&amp;$C$7,BD!$A$3:$A$5001,"&lt;="&amp;$B150,BD!$W$3:$W$5001,"&lt;&gt;")=0,"",SUMIFS(BD!$W$3:$W$5001,BD!$B$3:$B$5001,D$138,BD!$A$3:$A$5001,_xlfn.MAXIFS(BD!$A$3:$A$5001,BD!$B$3:$B$5001,D$138,BD!$A$3:$A$5001,"&gt;="&amp;$C$7,BD!$A$3:$A$5001,"&lt;="&amp;$B150,BD!$W$3:$W$5001,"&lt;&gt;"))))</f>
        <v/>
      </c>
      <c r="E150" s="42" t="str">
        <f>IF(OR($B150="",$A150&gt;$B$9),"",IF(COUNTIFS(BD!$B$3:$B$5001,E$138,BD!$A$3:$A$5001,"&gt;="&amp;$C$7,BD!$A$3:$A$5001,"&lt;="&amp;$B150,BD!$W$3:$W$5001,"&lt;&gt;")=0,"",SUMIFS(BD!$W$3:$W$5001,BD!$B$3:$B$5001,E$138,BD!$A$3:$A$5001,_xlfn.MAXIFS(BD!$A$3:$A$5001,BD!$B$3:$B$5001,E$138,BD!$A$3:$A$5001,"&gt;="&amp;$C$7,BD!$A$3:$A$5001,"&lt;="&amp;$B150,BD!$W$3:$W$5001,"&lt;&gt;"))))</f>
        <v/>
      </c>
      <c r="F150" s="42" t="str">
        <f>IF(OR($B150="",$A150&gt;$B$9),"",IF(COUNTIFS(BD!$B$3:$B$5001,F$138,BD!$A$3:$A$5001,"&gt;="&amp;$C$7,BD!$A$3:$A$5001,"&lt;="&amp;$B150,BD!$W$3:$W$5001,"&lt;&gt;")=0,"",SUMIFS(BD!$W$3:$W$5001,BD!$B$3:$B$5001,F$138,BD!$A$3:$A$5001,_xlfn.MAXIFS(BD!$A$3:$A$5001,BD!$B$3:$B$5001,F$138,BD!$A$3:$A$5001,"&gt;="&amp;$C$7,BD!$A$3:$A$5001,"&lt;="&amp;$B150,BD!$W$3:$W$5001,"&lt;&gt;"))))</f>
        <v/>
      </c>
      <c r="G150" s="42" t="str">
        <f>IF(OR($B150="",$A150&gt;$B$9),"",IF(COUNTIFS(BD!$B$3:$B$5001,G$138,BD!$A$3:$A$5001,"&gt;="&amp;$C$7,BD!$A$3:$A$5001,"&lt;="&amp;$B150,BD!$W$3:$W$5001,"&lt;&gt;")=0,"",SUMIFS(BD!$W$3:$W$5001,BD!$B$3:$B$5001,G$138,BD!$A$3:$A$5001,_xlfn.MAXIFS(BD!$A$3:$A$5001,BD!$B$3:$B$5001,G$138,BD!$A$3:$A$5001,"&gt;="&amp;$C$7,BD!$A$3:$A$5001,"&lt;="&amp;$B150,BD!$W$3:$W$5001,"&lt;&gt;"))))</f>
        <v/>
      </c>
      <c r="H150" s="42" t="str">
        <f>IF(OR($B150="",$A150&gt;$B$9),"",IF(COUNTIFS(BD!$B$3:$B$5001,H$138,BD!$A$3:$A$5001,"&gt;="&amp;$C$7,BD!$A$3:$A$5001,"&lt;="&amp;$B150,BD!$W$3:$W$5001,"&lt;&gt;")=0,"",SUMIFS(BD!$W$3:$W$5001,BD!$B$3:$B$5001,H$138,BD!$A$3:$A$5001,_xlfn.MAXIFS(BD!$A$3:$A$5001,BD!$B$3:$B$5001,H$138,BD!$A$3:$A$5001,"&gt;="&amp;$C$7,BD!$A$3:$A$5001,"&lt;="&amp;$B150,BD!$W$3:$W$5001,"&lt;&gt;"))))</f>
        <v/>
      </c>
      <c r="I150" s="42" t="str">
        <f>IF(OR($B150="",$A150&gt;$B$9),"",IF(COUNTIFS(BD!$B$3:$B$5001,I$138,BD!$A$3:$A$5001,"&gt;="&amp;$C$7,BD!$A$3:$A$5001,"&lt;="&amp;$B150,BD!$W$3:$W$5001,"&lt;&gt;")=0,"",SUMIFS(BD!$W$3:$W$5001,BD!$B$3:$B$5001,I$138,BD!$A$3:$A$5001,_xlfn.MAXIFS(BD!$A$3:$A$5001,BD!$B$3:$B$5001,I$138,BD!$A$3:$A$5001,"&gt;="&amp;$C$7,BD!$A$3:$A$5001,"&lt;="&amp;$B150,BD!$W$3:$W$5001,"&lt;&gt;"))))</f>
        <v/>
      </c>
      <c r="J150" s="42" t="str">
        <f>IF(OR($B150="",$A150&gt;$B$9),"",IF(COUNTIFS(BD!$B$3:$B$5001,J$138,BD!$A$3:$A$5001,"&gt;="&amp;$C$7,BD!$A$3:$A$5001,"&lt;="&amp;$B150,BD!$W$3:$W$5001,"&lt;&gt;")=0,"",SUMIFS(BD!$W$3:$W$5001,BD!$B$3:$B$5001,J$138,BD!$A$3:$A$5001,_xlfn.MAXIFS(BD!$A$3:$A$5001,BD!$B$3:$B$5001,J$138,BD!$A$3:$A$5001,"&gt;="&amp;$C$7,BD!$A$3:$A$5001,"&lt;="&amp;$B150,BD!$W$3:$W$5001,"&lt;&gt;"))))</f>
        <v/>
      </c>
      <c r="K150" s="42" t="str">
        <f>IF(OR($B150="",$A150&gt;$B$9),"",IF(COUNTIFS(BD!$B$3:$B$5001,K$138,BD!$A$3:$A$5001,"&gt;="&amp;$C$7,BD!$A$3:$A$5001,"&lt;="&amp;$B150,BD!$W$3:$W$5001,"&lt;&gt;")=0,"",SUMIFS(BD!$W$3:$W$5001,BD!$B$3:$B$5001,K$138,BD!$A$3:$A$5001,_xlfn.MAXIFS(BD!$A$3:$A$5001,BD!$B$3:$B$5001,K$138,BD!$A$3:$A$5001,"&gt;="&amp;$C$7,BD!$A$3:$A$5001,"&lt;="&amp;$B150,BD!$W$3:$W$5001,"&lt;&gt;"))))</f>
        <v/>
      </c>
      <c r="L150" s="42" t="str">
        <f>IF(OR($B150="",$A150&gt;$B$9),"",IF(COUNTIFS(BD!$B$3:$B$5001,L$138,BD!$A$3:$A$5001,"&gt;="&amp;$C$7,BD!$A$3:$A$5001,"&lt;="&amp;$B150,BD!$W$3:$W$5001,"&lt;&gt;")=0,"",SUMIFS(BD!$W$3:$W$5001,BD!$B$3:$B$5001,L$138,BD!$A$3:$A$5001,_xlfn.MAXIFS(BD!$A$3:$A$5001,BD!$B$3:$B$5001,L$138,BD!$A$3:$A$5001,"&gt;="&amp;$C$7,BD!$A$3:$A$5001,"&lt;="&amp;$B150,BD!$W$3:$W$5001,"&lt;&gt;"))))</f>
        <v/>
      </c>
    </row>
    <row r="151">
      <c r="A151" s="40">
        <v>13</v>
      </c>
      <c r="B151" s="41">
        <f>$B$24</f>
        <v>46308</v>
      </c>
      <c r="C151" s="42" t="str">
        <f>IF(OR($B151="",$A151&gt;$B$9),"",IF(COUNTIFS(BD!$B$3:$B$5001,C$138,BD!$A$3:$A$5001,"&gt;="&amp;$C$7,BD!$A$3:$A$5001,"&lt;="&amp;$B151,BD!$W$3:$W$5001,"&lt;&gt;")=0,"",SUMIFS(BD!$W$3:$W$5001,BD!$B$3:$B$5001,C$138,BD!$A$3:$A$5001,_xlfn.MAXIFS(BD!$A$3:$A$5001,BD!$B$3:$B$5001,C$138,BD!$A$3:$A$5001,"&gt;="&amp;$C$7,BD!$A$3:$A$5001,"&lt;="&amp;$B151,BD!$W$3:$W$5001,"&lt;&gt;"))))</f>
        <v/>
      </c>
      <c r="D151" s="42" t="str">
        <f>IF(OR($B151="",$A151&gt;$B$9),"",IF(COUNTIFS(BD!$B$3:$B$5001,D$138,BD!$A$3:$A$5001,"&gt;="&amp;$C$7,BD!$A$3:$A$5001,"&lt;="&amp;$B151,BD!$W$3:$W$5001,"&lt;&gt;")=0,"",SUMIFS(BD!$W$3:$W$5001,BD!$B$3:$B$5001,D$138,BD!$A$3:$A$5001,_xlfn.MAXIFS(BD!$A$3:$A$5001,BD!$B$3:$B$5001,D$138,BD!$A$3:$A$5001,"&gt;="&amp;$C$7,BD!$A$3:$A$5001,"&lt;="&amp;$B151,BD!$W$3:$W$5001,"&lt;&gt;"))))</f>
        <v/>
      </c>
      <c r="E151" s="42" t="str">
        <f>IF(OR($B151="",$A151&gt;$B$9),"",IF(COUNTIFS(BD!$B$3:$B$5001,E$138,BD!$A$3:$A$5001,"&gt;="&amp;$C$7,BD!$A$3:$A$5001,"&lt;="&amp;$B151,BD!$W$3:$W$5001,"&lt;&gt;")=0,"",SUMIFS(BD!$W$3:$W$5001,BD!$B$3:$B$5001,E$138,BD!$A$3:$A$5001,_xlfn.MAXIFS(BD!$A$3:$A$5001,BD!$B$3:$B$5001,E$138,BD!$A$3:$A$5001,"&gt;="&amp;$C$7,BD!$A$3:$A$5001,"&lt;="&amp;$B151,BD!$W$3:$W$5001,"&lt;&gt;"))))</f>
        <v/>
      </c>
      <c r="F151" s="42" t="str">
        <f>IF(OR($B151="",$A151&gt;$B$9),"",IF(COUNTIFS(BD!$B$3:$B$5001,F$138,BD!$A$3:$A$5001,"&gt;="&amp;$C$7,BD!$A$3:$A$5001,"&lt;="&amp;$B151,BD!$W$3:$W$5001,"&lt;&gt;")=0,"",SUMIFS(BD!$W$3:$W$5001,BD!$B$3:$B$5001,F$138,BD!$A$3:$A$5001,_xlfn.MAXIFS(BD!$A$3:$A$5001,BD!$B$3:$B$5001,F$138,BD!$A$3:$A$5001,"&gt;="&amp;$C$7,BD!$A$3:$A$5001,"&lt;="&amp;$B151,BD!$W$3:$W$5001,"&lt;&gt;"))))</f>
        <v/>
      </c>
      <c r="G151" s="42" t="str">
        <f>IF(OR($B151="",$A151&gt;$B$9),"",IF(COUNTIFS(BD!$B$3:$B$5001,G$138,BD!$A$3:$A$5001,"&gt;="&amp;$C$7,BD!$A$3:$A$5001,"&lt;="&amp;$B151,BD!$W$3:$W$5001,"&lt;&gt;")=0,"",SUMIFS(BD!$W$3:$W$5001,BD!$B$3:$B$5001,G$138,BD!$A$3:$A$5001,_xlfn.MAXIFS(BD!$A$3:$A$5001,BD!$B$3:$B$5001,G$138,BD!$A$3:$A$5001,"&gt;="&amp;$C$7,BD!$A$3:$A$5001,"&lt;="&amp;$B151,BD!$W$3:$W$5001,"&lt;&gt;"))))</f>
        <v/>
      </c>
      <c r="H151" s="42" t="str">
        <f>IF(OR($B151="",$A151&gt;$B$9),"",IF(COUNTIFS(BD!$B$3:$B$5001,H$138,BD!$A$3:$A$5001,"&gt;="&amp;$C$7,BD!$A$3:$A$5001,"&lt;="&amp;$B151,BD!$W$3:$W$5001,"&lt;&gt;")=0,"",SUMIFS(BD!$W$3:$W$5001,BD!$B$3:$B$5001,H$138,BD!$A$3:$A$5001,_xlfn.MAXIFS(BD!$A$3:$A$5001,BD!$B$3:$B$5001,H$138,BD!$A$3:$A$5001,"&gt;="&amp;$C$7,BD!$A$3:$A$5001,"&lt;="&amp;$B151,BD!$W$3:$W$5001,"&lt;&gt;"))))</f>
        <v/>
      </c>
      <c r="I151" s="42" t="str">
        <f>IF(OR($B151="",$A151&gt;$B$9),"",IF(COUNTIFS(BD!$B$3:$B$5001,I$138,BD!$A$3:$A$5001,"&gt;="&amp;$C$7,BD!$A$3:$A$5001,"&lt;="&amp;$B151,BD!$W$3:$W$5001,"&lt;&gt;")=0,"",SUMIFS(BD!$W$3:$W$5001,BD!$B$3:$B$5001,I$138,BD!$A$3:$A$5001,_xlfn.MAXIFS(BD!$A$3:$A$5001,BD!$B$3:$B$5001,I$138,BD!$A$3:$A$5001,"&gt;="&amp;$C$7,BD!$A$3:$A$5001,"&lt;="&amp;$B151,BD!$W$3:$W$5001,"&lt;&gt;"))))</f>
        <v/>
      </c>
      <c r="J151" s="42" t="str">
        <f>IF(OR($B151="",$A151&gt;$B$9),"",IF(COUNTIFS(BD!$B$3:$B$5001,J$138,BD!$A$3:$A$5001,"&gt;="&amp;$C$7,BD!$A$3:$A$5001,"&lt;="&amp;$B151,BD!$W$3:$W$5001,"&lt;&gt;")=0,"",SUMIFS(BD!$W$3:$W$5001,BD!$B$3:$B$5001,J$138,BD!$A$3:$A$5001,_xlfn.MAXIFS(BD!$A$3:$A$5001,BD!$B$3:$B$5001,J$138,BD!$A$3:$A$5001,"&gt;="&amp;$C$7,BD!$A$3:$A$5001,"&lt;="&amp;$B151,BD!$W$3:$W$5001,"&lt;&gt;"))))</f>
        <v/>
      </c>
      <c r="K151" s="42" t="str">
        <f>IF(OR($B151="",$A151&gt;$B$9),"",IF(COUNTIFS(BD!$B$3:$B$5001,K$138,BD!$A$3:$A$5001,"&gt;="&amp;$C$7,BD!$A$3:$A$5001,"&lt;="&amp;$B151,BD!$W$3:$W$5001,"&lt;&gt;")=0,"",SUMIFS(BD!$W$3:$W$5001,BD!$B$3:$B$5001,K$138,BD!$A$3:$A$5001,_xlfn.MAXIFS(BD!$A$3:$A$5001,BD!$B$3:$B$5001,K$138,BD!$A$3:$A$5001,"&gt;="&amp;$C$7,BD!$A$3:$A$5001,"&lt;="&amp;$B151,BD!$W$3:$W$5001,"&lt;&gt;"))))</f>
        <v/>
      </c>
      <c r="L151" s="42" t="str">
        <f>IF(OR($B151="",$A151&gt;$B$9),"",IF(COUNTIFS(BD!$B$3:$B$5001,L$138,BD!$A$3:$A$5001,"&gt;="&amp;$C$7,BD!$A$3:$A$5001,"&lt;="&amp;$B151,BD!$W$3:$W$5001,"&lt;&gt;")=0,"",SUMIFS(BD!$W$3:$W$5001,BD!$B$3:$B$5001,L$138,BD!$A$3:$A$5001,_xlfn.MAXIFS(BD!$A$3:$A$5001,BD!$B$3:$B$5001,L$138,BD!$A$3:$A$5001,"&gt;="&amp;$C$7,BD!$A$3:$A$5001,"&lt;="&amp;$B151,BD!$W$3:$W$5001,"&lt;&gt;"))))</f>
        <v/>
      </c>
    </row>
    <row r="152">
      <c r="A152" s="40">
        <v>14</v>
      </c>
      <c r="B152" s="41">
        <f>$B$25</f>
        <v>46309</v>
      </c>
      <c r="C152" s="42" t="str">
        <f>IF(OR($B152="",$A152&gt;$B$9),"",IF(COUNTIFS(BD!$B$3:$B$5001,C$138,BD!$A$3:$A$5001,"&gt;="&amp;$C$7,BD!$A$3:$A$5001,"&lt;="&amp;$B152,BD!$W$3:$W$5001,"&lt;&gt;")=0,"",SUMIFS(BD!$W$3:$W$5001,BD!$B$3:$B$5001,C$138,BD!$A$3:$A$5001,_xlfn.MAXIFS(BD!$A$3:$A$5001,BD!$B$3:$B$5001,C$138,BD!$A$3:$A$5001,"&gt;="&amp;$C$7,BD!$A$3:$A$5001,"&lt;="&amp;$B152,BD!$W$3:$W$5001,"&lt;&gt;"))))</f>
        <v/>
      </c>
      <c r="D152" s="42" t="str">
        <f>IF(OR($B152="",$A152&gt;$B$9),"",IF(COUNTIFS(BD!$B$3:$B$5001,D$138,BD!$A$3:$A$5001,"&gt;="&amp;$C$7,BD!$A$3:$A$5001,"&lt;="&amp;$B152,BD!$W$3:$W$5001,"&lt;&gt;")=0,"",SUMIFS(BD!$W$3:$W$5001,BD!$B$3:$B$5001,D$138,BD!$A$3:$A$5001,_xlfn.MAXIFS(BD!$A$3:$A$5001,BD!$B$3:$B$5001,D$138,BD!$A$3:$A$5001,"&gt;="&amp;$C$7,BD!$A$3:$A$5001,"&lt;="&amp;$B152,BD!$W$3:$W$5001,"&lt;&gt;"))))</f>
        <v/>
      </c>
      <c r="E152" s="42" t="str">
        <f>IF(OR($B152="",$A152&gt;$B$9),"",IF(COUNTIFS(BD!$B$3:$B$5001,E$138,BD!$A$3:$A$5001,"&gt;="&amp;$C$7,BD!$A$3:$A$5001,"&lt;="&amp;$B152,BD!$W$3:$W$5001,"&lt;&gt;")=0,"",SUMIFS(BD!$W$3:$W$5001,BD!$B$3:$B$5001,E$138,BD!$A$3:$A$5001,_xlfn.MAXIFS(BD!$A$3:$A$5001,BD!$B$3:$B$5001,E$138,BD!$A$3:$A$5001,"&gt;="&amp;$C$7,BD!$A$3:$A$5001,"&lt;="&amp;$B152,BD!$W$3:$W$5001,"&lt;&gt;"))))</f>
        <v/>
      </c>
      <c r="F152" s="42" t="str">
        <f>IF(OR($B152="",$A152&gt;$B$9),"",IF(COUNTIFS(BD!$B$3:$B$5001,F$138,BD!$A$3:$A$5001,"&gt;="&amp;$C$7,BD!$A$3:$A$5001,"&lt;="&amp;$B152,BD!$W$3:$W$5001,"&lt;&gt;")=0,"",SUMIFS(BD!$W$3:$W$5001,BD!$B$3:$B$5001,F$138,BD!$A$3:$A$5001,_xlfn.MAXIFS(BD!$A$3:$A$5001,BD!$B$3:$B$5001,F$138,BD!$A$3:$A$5001,"&gt;="&amp;$C$7,BD!$A$3:$A$5001,"&lt;="&amp;$B152,BD!$W$3:$W$5001,"&lt;&gt;"))))</f>
        <v/>
      </c>
      <c r="G152" s="42" t="str">
        <f>IF(OR($B152="",$A152&gt;$B$9),"",IF(COUNTIFS(BD!$B$3:$B$5001,G$138,BD!$A$3:$A$5001,"&gt;="&amp;$C$7,BD!$A$3:$A$5001,"&lt;="&amp;$B152,BD!$W$3:$W$5001,"&lt;&gt;")=0,"",SUMIFS(BD!$W$3:$W$5001,BD!$B$3:$B$5001,G$138,BD!$A$3:$A$5001,_xlfn.MAXIFS(BD!$A$3:$A$5001,BD!$B$3:$B$5001,G$138,BD!$A$3:$A$5001,"&gt;="&amp;$C$7,BD!$A$3:$A$5001,"&lt;="&amp;$B152,BD!$W$3:$W$5001,"&lt;&gt;"))))</f>
        <v/>
      </c>
      <c r="H152" s="42" t="str">
        <f>IF(OR($B152="",$A152&gt;$B$9),"",IF(COUNTIFS(BD!$B$3:$B$5001,H$138,BD!$A$3:$A$5001,"&gt;="&amp;$C$7,BD!$A$3:$A$5001,"&lt;="&amp;$B152,BD!$W$3:$W$5001,"&lt;&gt;")=0,"",SUMIFS(BD!$W$3:$W$5001,BD!$B$3:$B$5001,H$138,BD!$A$3:$A$5001,_xlfn.MAXIFS(BD!$A$3:$A$5001,BD!$B$3:$B$5001,H$138,BD!$A$3:$A$5001,"&gt;="&amp;$C$7,BD!$A$3:$A$5001,"&lt;="&amp;$B152,BD!$W$3:$W$5001,"&lt;&gt;"))))</f>
        <v/>
      </c>
      <c r="I152" s="42" t="str">
        <f>IF(OR($B152="",$A152&gt;$B$9),"",IF(COUNTIFS(BD!$B$3:$B$5001,I$138,BD!$A$3:$A$5001,"&gt;="&amp;$C$7,BD!$A$3:$A$5001,"&lt;="&amp;$B152,BD!$W$3:$W$5001,"&lt;&gt;")=0,"",SUMIFS(BD!$W$3:$W$5001,BD!$B$3:$B$5001,I$138,BD!$A$3:$A$5001,_xlfn.MAXIFS(BD!$A$3:$A$5001,BD!$B$3:$B$5001,I$138,BD!$A$3:$A$5001,"&gt;="&amp;$C$7,BD!$A$3:$A$5001,"&lt;="&amp;$B152,BD!$W$3:$W$5001,"&lt;&gt;"))))</f>
        <v/>
      </c>
      <c r="J152" s="42" t="str">
        <f>IF(OR($B152="",$A152&gt;$B$9),"",IF(COUNTIFS(BD!$B$3:$B$5001,J$138,BD!$A$3:$A$5001,"&gt;="&amp;$C$7,BD!$A$3:$A$5001,"&lt;="&amp;$B152,BD!$W$3:$W$5001,"&lt;&gt;")=0,"",SUMIFS(BD!$W$3:$W$5001,BD!$B$3:$B$5001,J$138,BD!$A$3:$A$5001,_xlfn.MAXIFS(BD!$A$3:$A$5001,BD!$B$3:$B$5001,J$138,BD!$A$3:$A$5001,"&gt;="&amp;$C$7,BD!$A$3:$A$5001,"&lt;="&amp;$B152,BD!$W$3:$W$5001,"&lt;&gt;"))))</f>
        <v/>
      </c>
      <c r="K152" s="42" t="str">
        <f>IF(OR($B152="",$A152&gt;$B$9),"",IF(COUNTIFS(BD!$B$3:$B$5001,K$138,BD!$A$3:$A$5001,"&gt;="&amp;$C$7,BD!$A$3:$A$5001,"&lt;="&amp;$B152,BD!$W$3:$W$5001,"&lt;&gt;")=0,"",SUMIFS(BD!$W$3:$W$5001,BD!$B$3:$B$5001,K$138,BD!$A$3:$A$5001,_xlfn.MAXIFS(BD!$A$3:$A$5001,BD!$B$3:$B$5001,K$138,BD!$A$3:$A$5001,"&gt;="&amp;$C$7,BD!$A$3:$A$5001,"&lt;="&amp;$B152,BD!$W$3:$W$5001,"&lt;&gt;"))))</f>
        <v/>
      </c>
      <c r="L152" s="42" t="str">
        <f>IF(OR($B152="",$A152&gt;$B$9),"",IF(COUNTIFS(BD!$B$3:$B$5001,L$138,BD!$A$3:$A$5001,"&gt;="&amp;$C$7,BD!$A$3:$A$5001,"&lt;="&amp;$B152,BD!$W$3:$W$5001,"&lt;&gt;")=0,"",SUMIFS(BD!$W$3:$W$5001,BD!$B$3:$B$5001,L$138,BD!$A$3:$A$5001,_xlfn.MAXIFS(BD!$A$3:$A$5001,BD!$B$3:$B$5001,L$138,BD!$A$3:$A$5001,"&gt;="&amp;$C$7,BD!$A$3:$A$5001,"&lt;="&amp;$B152,BD!$W$3:$W$5001,"&lt;&gt;"))))</f>
        <v/>
      </c>
    </row>
    <row r="153">
      <c r="A153" s="40">
        <v>15</v>
      </c>
      <c r="B153" s="41">
        <f>$B$26</f>
        <v>46310</v>
      </c>
      <c r="C153" s="42" t="str">
        <f>IF(OR($B153="",$A153&gt;$B$9),"",IF(COUNTIFS(BD!$B$3:$B$5001,C$138,BD!$A$3:$A$5001,"&gt;="&amp;$C$7,BD!$A$3:$A$5001,"&lt;="&amp;$B153,BD!$W$3:$W$5001,"&lt;&gt;")=0,"",SUMIFS(BD!$W$3:$W$5001,BD!$B$3:$B$5001,C$138,BD!$A$3:$A$5001,_xlfn.MAXIFS(BD!$A$3:$A$5001,BD!$B$3:$B$5001,C$138,BD!$A$3:$A$5001,"&gt;="&amp;$C$7,BD!$A$3:$A$5001,"&lt;="&amp;$B153,BD!$W$3:$W$5001,"&lt;&gt;"))))</f>
        <v/>
      </c>
      <c r="D153" s="42" t="str">
        <f>IF(OR($B153="",$A153&gt;$B$9),"",IF(COUNTIFS(BD!$B$3:$B$5001,D$138,BD!$A$3:$A$5001,"&gt;="&amp;$C$7,BD!$A$3:$A$5001,"&lt;="&amp;$B153,BD!$W$3:$W$5001,"&lt;&gt;")=0,"",SUMIFS(BD!$W$3:$W$5001,BD!$B$3:$B$5001,D$138,BD!$A$3:$A$5001,_xlfn.MAXIFS(BD!$A$3:$A$5001,BD!$B$3:$B$5001,D$138,BD!$A$3:$A$5001,"&gt;="&amp;$C$7,BD!$A$3:$A$5001,"&lt;="&amp;$B153,BD!$W$3:$W$5001,"&lt;&gt;"))))</f>
        <v/>
      </c>
      <c r="E153" s="42" t="str">
        <f>IF(OR($B153="",$A153&gt;$B$9),"",IF(COUNTIFS(BD!$B$3:$B$5001,E$138,BD!$A$3:$A$5001,"&gt;="&amp;$C$7,BD!$A$3:$A$5001,"&lt;="&amp;$B153,BD!$W$3:$W$5001,"&lt;&gt;")=0,"",SUMIFS(BD!$W$3:$W$5001,BD!$B$3:$B$5001,E$138,BD!$A$3:$A$5001,_xlfn.MAXIFS(BD!$A$3:$A$5001,BD!$B$3:$B$5001,E$138,BD!$A$3:$A$5001,"&gt;="&amp;$C$7,BD!$A$3:$A$5001,"&lt;="&amp;$B153,BD!$W$3:$W$5001,"&lt;&gt;"))))</f>
        <v/>
      </c>
      <c r="F153" s="42" t="str">
        <f>IF(OR($B153="",$A153&gt;$B$9),"",IF(COUNTIFS(BD!$B$3:$B$5001,F$138,BD!$A$3:$A$5001,"&gt;="&amp;$C$7,BD!$A$3:$A$5001,"&lt;="&amp;$B153,BD!$W$3:$W$5001,"&lt;&gt;")=0,"",SUMIFS(BD!$W$3:$W$5001,BD!$B$3:$B$5001,F$138,BD!$A$3:$A$5001,_xlfn.MAXIFS(BD!$A$3:$A$5001,BD!$B$3:$B$5001,F$138,BD!$A$3:$A$5001,"&gt;="&amp;$C$7,BD!$A$3:$A$5001,"&lt;="&amp;$B153,BD!$W$3:$W$5001,"&lt;&gt;"))))</f>
        <v/>
      </c>
      <c r="G153" s="42" t="str">
        <f>IF(OR($B153="",$A153&gt;$B$9),"",IF(COUNTIFS(BD!$B$3:$B$5001,G$138,BD!$A$3:$A$5001,"&gt;="&amp;$C$7,BD!$A$3:$A$5001,"&lt;="&amp;$B153,BD!$W$3:$W$5001,"&lt;&gt;")=0,"",SUMIFS(BD!$W$3:$W$5001,BD!$B$3:$B$5001,G$138,BD!$A$3:$A$5001,_xlfn.MAXIFS(BD!$A$3:$A$5001,BD!$B$3:$B$5001,G$138,BD!$A$3:$A$5001,"&gt;="&amp;$C$7,BD!$A$3:$A$5001,"&lt;="&amp;$B153,BD!$W$3:$W$5001,"&lt;&gt;"))))</f>
        <v/>
      </c>
      <c r="H153" s="42" t="str">
        <f>IF(OR($B153="",$A153&gt;$B$9),"",IF(COUNTIFS(BD!$B$3:$B$5001,H$138,BD!$A$3:$A$5001,"&gt;="&amp;$C$7,BD!$A$3:$A$5001,"&lt;="&amp;$B153,BD!$W$3:$W$5001,"&lt;&gt;")=0,"",SUMIFS(BD!$W$3:$W$5001,BD!$B$3:$B$5001,H$138,BD!$A$3:$A$5001,_xlfn.MAXIFS(BD!$A$3:$A$5001,BD!$B$3:$B$5001,H$138,BD!$A$3:$A$5001,"&gt;="&amp;$C$7,BD!$A$3:$A$5001,"&lt;="&amp;$B153,BD!$W$3:$W$5001,"&lt;&gt;"))))</f>
        <v/>
      </c>
      <c r="I153" s="42" t="str">
        <f>IF(OR($B153="",$A153&gt;$B$9),"",IF(COUNTIFS(BD!$B$3:$B$5001,I$138,BD!$A$3:$A$5001,"&gt;="&amp;$C$7,BD!$A$3:$A$5001,"&lt;="&amp;$B153,BD!$W$3:$W$5001,"&lt;&gt;")=0,"",SUMIFS(BD!$W$3:$W$5001,BD!$B$3:$B$5001,I$138,BD!$A$3:$A$5001,_xlfn.MAXIFS(BD!$A$3:$A$5001,BD!$B$3:$B$5001,I$138,BD!$A$3:$A$5001,"&gt;="&amp;$C$7,BD!$A$3:$A$5001,"&lt;="&amp;$B153,BD!$W$3:$W$5001,"&lt;&gt;"))))</f>
        <v/>
      </c>
      <c r="J153" s="42" t="str">
        <f>IF(OR($B153="",$A153&gt;$B$9),"",IF(COUNTIFS(BD!$B$3:$B$5001,J$138,BD!$A$3:$A$5001,"&gt;="&amp;$C$7,BD!$A$3:$A$5001,"&lt;="&amp;$B153,BD!$W$3:$W$5001,"&lt;&gt;")=0,"",SUMIFS(BD!$W$3:$W$5001,BD!$B$3:$B$5001,J$138,BD!$A$3:$A$5001,_xlfn.MAXIFS(BD!$A$3:$A$5001,BD!$B$3:$B$5001,J$138,BD!$A$3:$A$5001,"&gt;="&amp;$C$7,BD!$A$3:$A$5001,"&lt;="&amp;$B153,BD!$W$3:$W$5001,"&lt;&gt;"))))</f>
        <v/>
      </c>
      <c r="K153" s="42" t="str">
        <f>IF(OR($B153="",$A153&gt;$B$9),"",IF(COUNTIFS(BD!$B$3:$B$5001,K$138,BD!$A$3:$A$5001,"&gt;="&amp;$C$7,BD!$A$3:$A$5001,"&lt;="&amp;$B153,BD!$W$3:$W$5001,"&lt;&gt;")=0,"",SUMIFS(BD!$W$3:$W$5001,BD!$B$3:$B$5001,K$138,BD!$A$3:$A$5001,_xlfn.MAXIFS(BD!$A$3:$A$5001,BD!$B$3:$B$5001,K$138,BD!$A$3:$A$5001,"&gt;="&amp;$C$7,BD!$A$3:$A$5001,"&lt;="&amp;$B153,BD!$W$3:$W$5001,"&lt;&gt;"))))</f>
        <v/>
      </c>
      <c r="L153" s="42" t="str">
        <f>IF(OR($B153="",$A153&gt;$B$9),"",IF(COUNTIFS(BD!$B$3:$B$5001,L$138,BD!$A$3:$A$5001,"&gt;="&amp;$C$7,BD!$A$3:$A$5001,"&lt;="&amp;$B153,BD!$W$3:$W$5001,"&lt;&gt;")=0,"",SUMIFS(BD!$W$3:$W$5001,BD!$B$3:$B$5001,L$138,BD!$A$3:$A$5001,_xlfn.MAXIFS(BD!$A$3:$A$5001,BD!$B$3:$B$5001,L$138,BD!$A$3:$A$5001,"&gt;="&amp;$C$7,BD!$A$3:$A$5001,"&lt;="&amp;$B153,BD!$W$3:$W$5001,"&lt;&gt;"))))</f>
        <v/>
      </c>
    </row>
    <row r="154">
      <c r="A154" s="40">
        <v>16</v>
      </c>
      <c r="B154" s="41">
        <f>$B$27</f>
        <v>46311</v>
      </c>
      <c r="C154" s="42" t="str">
        <f>IF(OR($B154="",$A154&gt;$B$9),"",IF(COUNTIFS(BD!$B$3:$B$5001,C$138,BD!$A$3:$A$5001,"&gt;="&amp;$C$7,BD!$A$3:$A$5001,"&lt;="&amp;$B154,BD!$W$3:$W$5001,"&lt;&gt;")=0,"",SUMIFS(BD!$W$3:$W$5001,BD!$B$3:$B$5001,C$138,BD!$A$3:$A$5001,_xlfn.MAXIFS(BD!$A$3:$A$5001,BD!$B$3:$B$5001,C$138,BD!$A$3:$A$5001,"&gt;="&amp;$C$7,BD!$A$3:$A$5001,"&lt;="&amp;$B154,BD!$W$3:$W$5001,"&lt;&gt;"))))</f>
        <v/>
      </c>
      <c r="D154" s="42" t="str">
        <f>IF(OR($B154="",$A154&gt;$B$9),"",IF(COUNTIFS(BD!$B$3:$B$5001,D$138,BD!$A$3:$A$5001,"&gt;="&amp;$C$7,BD!$A$3:$A$5001,"&lt;="&amp;$B154,BD!$W$3:$W$5001,"&lt;&gt;")=0,"",SUMIFS(BD!$W$3:$W$5001,BD!$B$3:$B$5001,D$138,BD!$A$3:$A$5001,_xlfn.MAXIFS(BD!$A$3:$A$5001,BD!$B$3:$B$5001,D$138,BD!$A$3:$A$5001,"&gt;="&amp;$C$7,BD!$A$3:$A$5001,"&lt;="&amp;$B154,BD!$W$3:$W$5001,"&lt;&gt;"))))</f>
        <v/>
      </c>
      <c r="E154" s="42" t="str">
        <f>IF(OR($B154="",$A154&gt;$B$9),"",IF(COUNTIFS(BD!$B$3:$B$5001,E$138,BD!$A$3:$A$5001,"&gt;="&amp;$C$7,BD!$A$3:$A$5001,"&lt;="&amp;$B154,BD!$W$3:$W$5001,"&lt;&gt;")=0,"",SUMIFS(BD!$W$3:$W$5001,BD!$B$3:$B$5001,E$138,BD!$A$3:$A$5001,_xlfn.MAXIFS(BD!$A$3:$A$5001,BD!$B$3:$B$5001,E$138,BD!$A$3:$A$5001,"&gt;="&amp;$C$7,BD!$A$3:$A$5001,"&lt;="&amp;$B154,BD!$W$3:$W$5001,"&lt;&gt;"))))</f>
        <v/>
      </c>
      <c r="F154" s="42" t="str">
        <f>IF(OR($B154="",$A154&gt;$B$9),"",IF(COUNTIFS(BD!$B$3:$B$5001,F$138,BD!$A$3:$A$5001,"&gt;="&amp;$C$7,BD!$A$3:$A$5001,"&lt;="&amp;$B154,BD!$W$3:$W$5001,"&lt;&gt;")=0,"",SUMIFS(BD!$W$3:$W$5001,BD!$B$3:$B$5001,F$138,BD!$A$3:$A$5001,_xlfn.MAXIFS(BD!$A$3:$A$5001,BD!$B$3:$B$5001,F$138,BD!$A$3:$A$5001,"&gt;="&amp;$C$7,BD!$A$3:$A$5001,"&lt;="&amp;$B154,BD!$W$3:$W$5001,"&lt;&gt;"))))</f>
        <v/>
      </c>
      <c r="G154" s="42" t="str">
        <f>IF(OR($B154="",$A154&gt;$B$9),"",IF(COUNTIFS(BD!$B$3:$B$5001,G$138,BD!$A$3:$A$5001,"&gt;="&amp;$C$7,BD!$A$3:$A$5001,"&lt;="&amp;$B154,BD!$W$3:$W$5001,"&lt;&gt;")=0,"",SUMIFS(BD!$W$3:$W$5001,BD!$B$3:$B$5001,G$138,BD!$A$3:$A$5001,_xlfn.MAXIFS(BD!$A$3:$A$5001,BD!$B$3:$B$5001,G$138,BD!$A$3:$A$5001,"&gt;="&amp;$C$7,BD!$A$3:$A$5001,"&lt;="&amp;$B154,BD!$W$3:$W$5001,"&lt;&gt;"))))</f>
        <v/>
      </c>
      <c r="H154" s="42" t="str">
        <f>IF(OR($B154="",$A154&gt;$B$9),"",IF(COUNTIFS(BD!$B$3:$B$5001,H$138,BD!$A$3:$A$5001,"&gt;="&amp;$C$7,BD!$A$3:$A$5001,"&lt;="&amp;$B154,BD!$W$3:$W$5001,"&lt;&gt;")=0,"",SUMIFS(BD!$W$3:$W$5001,BD!$B$3:$B$5001,H$138,BD!$A$3:$A$5001,_xlfn.MAXIFS(BD!$A$3:$A$5001,BD!$B$3:$B$5001,H$138,BD!$A$3:$A$5001,"&gt;="&amp;$C$7,BD!$A$3:$A$5001,"&lt;="&amp;$B154,BD!$W$3:$W$5001,"&lt;&gt;"))))</f>
        <v/>
      </c>
      <c r="I154" s="42" t="str">
        <f>IF(OR($B154="",$A154&gt;$B$9),"",IF(COUNTIFS(BD!$B$3:$B$5001,I$138,BD!$A$3:$A$5001,"&gt;="&amp;$C$7,BD!$A$3:$A$5001,"&lt;="&amp;$B154,BD!$W$3:$W$5001,"&lt;&gt;")=0,"",SUMIFS(BD!$W$3:$W$5001,BD!$B$3:$B$5001,I$138,BD!$A$3:$A$5001,_xlfn.MAXIFS(BD!$A$3:$A$5001,BD!$B$3:$B$5001,I$138,BD!$A$3:$A$5001,"&gt;="&amp;$C$7,BD!$A$3:$A$5001,"&lt;="&amp;$B154,BD!$W$3:$W$5001,"&lt;&gt;"))))</f>
        <v/>
      </c>
      <c r="J154" s="42" t="str">
        <f>IF(OR($B154="",$A154&gt;$B$9),"",IF(COUNTIFS(BD!$B$3:$B$5001,J$138,BD!$A$3:$A$5001,"&gt;="&amp;$C$7,BD!$A$3:$A$5001,"&lt;="&amp;$B154,BD!$W$3:$W$5001,"&lt;&gt;")=0,"",SUMIFS(BD!$W$3:$W$5001,BD!$B$3:$B$5001,J$138,BD!$A$3:$A$5001,_xlfn.MAXIFS(BD!$A$3:$A$5001,BD!$B$3:$B$5001,J$138,BD!$A$3:$A$5001,"&gt;="&amp;$C$7,BD!$A$3:$A$5001,"&lt;="&amp;$B154,BD!$W$3:$W$5001,"&lt;&gt;"))))</f>
        <v/>
      </c>
      <c r="K154" s="42" t="str">
        <f>IF(OR($B154="",$A154&gt;$B$9),"",IF(COUNTIFS(BD!$B$3:$B$5001,K$138,BD!$A$3:$A$5001,"&gt;="&amp;$C$7,BD!$A$3:$A$5001,"&lt;="&amp;$B154,BD!$W$3:$W$5001,"&lt;&gt;")=0,"",SUMIFS(BD!$W$3:$W$5001,BD!$B$3:$B$5001,K$138,BD!$A$3:$A$5001,_xlfn.MAXIFS(BD!$A$3:$A$5001,BD!$B$3:$B$5001,K$138,BD!$A$3:$A$5001,"&gt;="&amp;$C$7,BD!$A$3:$A$5001,"&lt;="&amp;$B154,BD!$W$3:$W$5001,"&lt;&gt;"))))</f>
        <v/>
      </c>
      <c r="L154" s="42" t="str">
        <f>IF(OR($B154="",$A154&gt;$B$9),"",IF(COUNTIFS(BD!$B$3:$B$5001,L$138,BD!$A$3:$A$5001,"&gt;="&amp;$C$7,BD!$A$3:$A$5001,"&lt;="&amp;$B154,BD!$W$3:$W$5001,"&lt;&gt;")=0,"",SUMIFS(BD!$W$3:$W$5001,BD!$B$3:$B$5001,L$138,BD!$A$3:$A$5001,_xlfn.MAXIFS(BD!$A$3:$A$5001,BD!$B$3:$B$5001,L$138,BD!$A$3:$A$5001,"&gt;="&amp;$C$7,BD!$A$3:$A$5001,"&lt;="&amp;$B154,BD!$W$3:$W$5001,"&lt;&gt;"))))</f>
        <v/>
      </c>
    </row>
    <row r="155">
      <c r="A155" s="40">
        <v>17</v>
      </c>
      <c r="B155" s="41">
        <f>$B$28</f>
        <v>46312</v>
      </c>
      <c r="C155" s="42" t="str">
        <f>IF(OR($B155="",$A155&gt;$B$9),"",IF(COUNTIFS(BD!$B$3:$B$5001,C$138,BD!$A$3:$A$5001,"&gt;="&amp;$C$7,BD!$A$3:$A$5001,"&lt;="&amp;$B155,BD!$W$3:$W$5001,"&lt;&gt;")=0,"",SUMIFS(BD!$W$3:$W$5001,BD!$B$3:$B$5001,C$138,BD!$A$3:$A$5001,_xlfn.MAXIFS(BD!$A$3:$A$5001,BD!$B$3:$B$5001,C$138,BD!$A$3:$A$5001,"&gt;="&amp;$C$7,BD!$A$3:$A$5001,"&lt;="&amp;$B155,BD!$W$3:$W$5001,"&lt;&gt;"))))</f>
        <v/>
      </c>
      <c r="D155" s="42" t="str">
        <f>IF(OR($B155="",$A155&gt;$B$9),"",IF(COUNTIFS(BD!$B$3:$B$5001,D$138,BD!$A$3:$A$5001,"&gt;="&amp;$C$7,BD!$A$3:$A$5001,"&lt;="&amp;$B155,BD!$W$3:$W$5001,"&lt;&gt;")=0,"",SUMIFS(BD!$W$3:$W$5001,BD!$B$3:$B$5001,D$138,BD!$A$3:$A$5001,_xlfn.MAXIFS(BD!$A$3:$A$5001,BD!$B$3:$B$5001,D$138,BD!$A$3:$A$5001,"&gt;="&amp;$C$7,BD!$A$3:$A$5001,"&lt;="&amp;$B155,BD!$W$3:$W$5001,"&lt;&gt;"))))</f>
        <v/>
      </c>
      <c r="E155" s="42" t="str">
        <f>IF(OR($B155="",$A155&gt;$B$9),"",IF(COUNTIFS(BD!$B$3:$B$5001,E$138,BD!$A$3:$A$5001,"&gt;="&amp;$C$7,BD!$A$3:$A$5001,"&lt;="&amp;$B155,BD!$W$3:$W$5001,"&lt;&gt;")=0,"",SUMIFS(BD!$W$3:$W$5001,BD!$B$3:$B$5001,E$138,BD!$A$3:$A$5001,_xlfn.MAXIFS(BD!$A$3:$A$5001,BD!$B$3:$B$5001,E$138,BD!$A$3:$A$5001,"&gt;="&amp;$C$7,BD!$A$3:$A$5001,"&lt;="&amp;$B155,BD!$W$3:$W$5001,"&lt;&gt;"))))</f>
        <v/>
      </c>
      <c r="F155" s="42" t="str">
        <f>IF(OR($B155="",$A155&gt;$B$9),"",IF(COUNTIFS(BD!$B$3:$B$5001,F$138,BD!$A$3:$A$5001,"&gt;="&amp;$C$7,BD!$A$3:$A$5001,"&lt;="&amp;$B155,BD!$W$3:$W$5001,"&lt;&gt;")=0,"",SUMIFS(BD!$W$3:$W$5001,BD!$B$3:$B$5001,F$138,BD!$A$3:$A$5001,_xlfn.MAXIFS(BD!$A$3:$A$5001,BD!$B$3:$B$5001,F$138,BD!$A$3:$A$5001,"&gt;="&amp;$C$7,BD!$A$3:$A$5001,"&lt;="&amp;$B155,BD!$W$3:$W$5001,"&lt;&gt;"))))</f>
        <v/>
      </c>
      <c r="G155" s="42" t="str">
        <f>IF(OR($B155="",$A155&gt;$B$9),"",IF(COUNTIFS(BD!$B$3:$B$5001,G$138,BD!$A$3:$A$5001,"&gt;="&amp;$C$7,BD!$A$3:$A$5001,"&lt;="&amp;$B155,BD!$W$3:$W$5001,"&lt;&gt;")=0,"",SUMIFS(BD!$W$3:$W$5001,BD!$B$3:$B$5001,G$138,BD!$A$3:$A$5001,_xlfn.MAXIFS(BD!$A$3:$A$5001,BD!$B$3:$B$5001,G$138,BD!$A$3:$A$5001,"&gt;="&amp;$C$7,BD!$A$3:$A$5001,"&lt;="&amp;$B155,BD!$W$3:$W$5001,"&lt;&gt;"))))</f>
        <v/>
      </c>
      <c r="H155" s="42" t="str">
        <f>IF(OR($B155="",$A155&gt;$B$9),"",IF(COUNTIFS(BD!$B$3:$B$5001,H$138,BD!$A$3:$A$5001,"&gt;="&amp;$C$7,BD!$A$3:$A$5001,"&lt;="&amp;$B155,BD!$W$3:$W$5001,"&lt;&gt;")=0,"",SUMIFS(BD!$W$3:$W$5001,BD!$B$3:$B$5001,H$138,BD!$A$3:$A$5001,_xlfn.MAXIFS(BD!$A$3:$A$5001,BD!$B$3:$B$5001,H$138,BD!$A$3:$A$5001,"&gt;="&amp;$C$7,BD!$A$3:$A$5001,"&lt;="&amp;$B155,BD!$W$3:$W$5001,"&lt;&gt;"))))</f>
        <v/>
      </c>
      <c r="I155" s="42" t="str">
        <f>IF(OR($B155="",$A155&gt;$B$9),"",IF(COUNTIFS(BD!$B$3:$B$5001,I$138,BD!$A$3:$A$5001,"&gt;="&amp;$C$7,BD!$A$3:$A$5001,"&lt;="&amp;$B155,BD!$W$3:$W$5001,"&lt;&gt;")=0,"",SUMIFS(BD!$W$3:$W$5001,BD!$B$3:$B$5001,I$138,BD!$A$3:$A$5001,_xlfn.MAXIFS(BD!$A$3:$A$5001,BD!$B$3:$B$5001,I$138,BD!$A$3:$A$5001,"&gt;="&amp;$C$7,BD!$A$3:$A$5001,"&lt;="&amp;$B155,BD!$W$3:$W$5001,"&lt;&gt;"))))</f>
        <v/>
      </c>
      <c r="J155" s="42" t="str">
        <f>IF(OR($B155="",$A155&gt;$B$9),"",IF(COUNTIFS(BD!$B$3:$B$5001,J$138,BD!$A$3:$A$5001,"&gt;="&amp;$C$7,BD!$A$3:$A$5001,"&lt;="&amp;$B155,BD!$W$3:$W$5001,"&lt;&gt;")=0,"",SUMIFS(BD!$W$3:$W$5001,BD!$B$3:$B$5001,J$138,BD!$A$3:$A$5001,_xlfn.MAXIFS(BD!$A$3:$A$5001,BD!$B$3:$B$5001,J$138,BD!$A$3:$A$5001,"&gt;="&amp;$C$7,BD!$A$3:$A$5001,"&lt;="&amp;$B155,BD!$W$3:$W$5001,"&lt;&gt;"))))</f>
        <v/>
      </c>
      <c r="K155" s="42" t="str">
        <f>IF(OR($B155="",$A155&gt;$B$9),"",IF(COUNTIFS(BD!$B$3:$B$5001,K$138,BD!$A$3:$A$5001,"&gt;="&amp;$C$7,BD!$A$3:$A$5001,"&lt;="&amp;$B155,BD!$W$3:$W$5001,"&lt;&gt;")=0,"",SUMIFS(BD!$W$3:$W$5001,BD!$B$3:$B$5001,K$138,BD!$A$3:$A$5001,_xlfn.MAXIFS(BD!$A$3:$A$5001,BD!$B$3:$B$5001,K$138,BD!$A$3:$A$5001,"&gt;="&amp;$C$7,BD!$A$3:$A$5001,"&lt;="&amp;$B155,BD!$W$3:$W$5001,"&lt;&gt;"))))</f>
        <v/>
      </c>
      <c r="L155" s="42" t="str">
        <f>IF(OR($B155="",$A155&gt;$B$9),"",IF(COUNTIFS(BD!$B$3:$B$5001,L$138,BD!$A$3:$A$5001,"&gt;="&amp;$C$7,BD!$A$3:$A$5001,"&lt;="&amp;$B155,BD!$W$3:$W$5001,"&lt;&gt;")=0,"",SUMIFS(BD!$W$3:$W$5001,BD!$B$3:$B$5001,L$138,BD!$A$3:$A$5001,_xlfn.MAXIFS(BD!$A$3:$A$5001,BD!$B$3:$B$5001,L$138,BD!$A$3:$A$5001,"&gt;="&amp;$C$7,BD!$A$3:$A$5001,"&lt;="&amp;$B155,BD!$W$3:$W$5001,"&lt;&gt;"))))</f>
        <v/>
      </c>
    </row>
    <row r="156">
      <c r="A156" s="40">
        <v>18</v>
      </c>
      <c r="B156" s="41">
        <f>$B$29</f>
        <v>46313</v>
      </c>
      <c r="C156" s="42" t="str">
        <f>IF(OR($B156="",$A156&gt;$B$9),"",IF(COUNTIFS(BD!$B$3:$B$5001,C$138,BD!$A$3:$A$5001,"&gt;="&amp;$C$7,BD!$A$3:$A$5001,"&lt;="&amp;$B156,BD!$W$3:$W$5001,"&lt;&gt;")=0,"",SUMIFS(BD!$W$3:$W$5001,BD!$B$3:$B$5001,C$138,BD!$A$3:$A$5001,_xlfn.MAXIFS(BD!$A$3:$A$5001,BD!$B$3:$B$5001,C$138,BD!$A$3:$A$5001,"&gt;="&amp;$C$7,BD!$A$3:$A$5001,"&lt;="&amp;$B156,BD!$W$3:$W$5001,"&lt;&gt;"))))</f>
        <v/>
      </c>
      <c r="D156" s="42" t="str">
        <f>IF(OR($B156="",$A156&gt;$B$9),"",IF(COUNTIFS(BD!$B$3:$B$5001,D$138,BD!$A$3:$A$5001,"&gt;="&amp;$C$7,BD!$A$3:$A$5001,"&lt;="&amp;$B156,BD!$W$3:$W$5001,"&lt;&gt;")=0,"",SUMIFS(BD!$W$3:$W$5001,BD!$B$3:$B$5001,D$138,BD!$A$3:$A$5001,_xlfn.MAXIFS(BD!$A$3:$A$5001,BD!$B$3:$B$5001,D$138,BD!$A$3:$A$5001,"&gt;="&amp;$C$7,BD!$A$3:$A$5001,"&lt;="&amp;$B156,BD!$W$3:$W$5001,"&lt;&gt;"))))</f>
        <v/>
      </c>
      <c r="E156" s="42" t="str">
        <f>IF(OR($B156="",$A156&gt;$B$9),"",IF(COUNTIFS(BD!$B$3:$B$5001,E$138,BD!$A$3:$A$5001,"&gt;="&amp;$C$7,BD!$A$3:$A$5001,"&lt;="&amp;$B156,BD!$W$3:$W$5001,"&lt;&gt;")=0,"",SUMIFS(BD!$W$3:$W$5001,BD!$B$3:$B$5001,E$138,BD!$A$3:$A$5001,_xlfn.MAXIFS(BD!$A$3:$A$5001,BD!$B$3:$B$5001,E$138,BD!$A$3:$A$5001,"&gt;="&amp;$C$7,BD!$A$3:$A$5001,"&lt;="&amp;$B156,BD!$W$3:$W$5001,"&lt;&gt;"))))</f>
        <v/>
      </c>
      <c r="F156" s="42" t="str">
        <f>IF(OR($B156="",$A156&gt;$B$9),"",IF(COUNTIFS(BD!$B$3:$B$5001,F$138,BD!$A$3:$A$5001,"&gt;="&amp;$C$7,BD!$A$3:$A$5001,"&lt;="&amp;$B156,BD!$W$3:$W$5001,"&lt;&gt;")=0,"",SUMIFS(BD!$W$3:$W$5001,BD!$B$3:$B$5001,F$138,BD!$A$3:$A$5001,_xlfn.MAXIFS(BD!$A$3:$A$5001,BD!$B$3:$B$5001,F$138,BD!$A$3:$A$5001,"&gt;="&amp;$C$7,BD!$A$3:$A$5001,"&lt;="&amp;$B156,BD!$W$3:$W$5001,"&lt;&gt;"))))</f>
        <v/>
      </c>
      <c r="G156" s="42" t="str">
        <f>IF(OR($B156="",$A156&gt;$B$9),"",IF(COUNTIFS(BD!$B$3:$B$5001,G$138,BD!$A$3:$A$5001,"&gt;="&amp;$C$7,BD!$A$3:$A$5001,"&lt;="&amp;$B156,BD!$W$3:$W$5001,"&lt;&gt;")=0,"",SUMIFS(BD!$W$3:$W$5001,BD!$B$3:$B$5001,G$138,BD!$A$3:$A$5001,_xlfn.MAXIFS(BD!$A$3:$A$5001,BD!$B$3:$B$5001,G$138,BD!$A$3:$A$5001,"&gt;="&amp;$C$7,BD!$A$3:$A$5001,"&lt;="&amp;$B156,BD!$W$3:$W$5001,"&lt;&gt;"))))</f>
        <v/>
      </c>
      <c r="H156" s="42" t="str">
        <f>IF(OR($B156="",$A156&gt;$B$9),"",IF(COUNTIFS(BD!$B$3:$B$5001,H$138,BD!$A$3:$A$5001,"&gt;="&amp;$C$7,BD!$A$3:$A$5001,"&lt;="&amp;$B156,BD!$W$3:$W$5001,"&lt;&gt;")=0,"",SUMIFS(BD!$W$3:$W$5001,BD!$B$3:$B$5001,H$138,BD!$A$3:$A$5001,_xlfn.MAXIFS(BD!$A$3:$A$5001,BD!$B$3:$B$5001,H$138,BD!$A$3:$A$5001,"&gt;="&amp;$C$7,BD!$A$3:$A$5001,"&lt;="&amp;$B156,BD!$W$3:$W$5001,"&lt;&gt;"))))</f>
        <v/>
      </c>
      <c r="I156" s="42" t="str">
        <f>IF(OR($B156="",$A156&gt;$B$9),"",IF(COUNTIFS(BD!$B$3:$B$5001,I$138,BD!$A$3:$A$5001,"&gt;="&amp;$C$7,BD!$A$3:$A$5001,"&lt;="&amp;$B156,BD!$W$3:$W$5001,"&lt;&gt;")=0,"",SUMIFS(BD!$W$3:$W$5001,BD!$B$3:$B$5001,I$138,BD!$A$3:$A$5001,_xlfn.MAXIFS(BD!$A$3:$A$5001,BD!$B$3:$B$5001,I$138,BD!$A$3:$A$5001,"&gt;="&amp;$C$7,BD!$A$3:$A$5001,"&lt;="&amp;$B156,BD!$W$3:$W$5001,"&lt;&gt;"))))</f>
        <v/>
      </c>
      <c r="J156" s="42" t="str">
        <f>IF(OR($B156="",$A156&gt;$B$9),"",IF(COUNTIFS(BD!$B$3:$B$5001,J$138,BD!$A$3:$A$5001,"&gt;="&amp;$C$7,BD!$A$3:$A$5001,"&lt;="&amp;$B156,BD!$W$3:$W$5001,"&lt;&gt;")=0,"",SUMIFS(BD!$W$3:$W$5001,BD!$B$3:$B$5001,J$138,BD!$A$3:$A$5001,_xlfn.MAXIFS(BD!$A$3:$A$5001,BD!$B$3:$B$5001,J$138,BD!$A$3:$A$5001,"&gt;="&amp;$C$7,BD!$A$3:$A$5001,"&lt;="&amp;$B156,BD!$W$3:$W$5001,"&lt;&gt;"))))</f>
        <v/>
      </c>
      <c r="K156" s="42" t="str">
        <f>IF(OR($B156="",$A156&gt;$B$9),"",IF(COUNTIFS(BD!$B$3:$B$5001,K$138,BD!$A$3:$A$5001,"&gt;="&amp;$C$7,BD!$A$3:$A$5001,"&lt;="&amp;$B156,BD!$W$3:$W$5001,"&lt;&gt;")=0,"",SUMIFS(BD!$W$3:$W$5001,BD!$B$3:$B$5001,K$138,BD!$A$3:$A$5001,_xlfn.MAXIFS(BD!$A$3:$A$5001,BD!$B$3:$B$5001,K$138,BD!$A$3:$A$5001,"&gt;="&amp;$C$7,BD!$A$3:$A$5001,"&lt;="&amp;$B156,BD!$W$3:$W$5001,"&lt;&gt;"))))</f>
        <v/>
      </c>
      <c r="L156" s="42" t="str">
        <f>IF(OR($B156="",$A156&gt;$B$9),"",IF(COUNTIFS(BD!$B$3:$B$5001,L$138,BD!$A$3:$A$5001,"&gt;="&amp;$C$7,BD!$A$3:$A$5001,"&lt;="&amp;$B156,BD!$W$3:$W$5001,"&lt;&gt;")=0,"",SUMIFS(BD!$W$3:$W$5001,BD!$B$3:$B$5001,L$138,BD!$A$3:$A$5001,_xlfn.MAXIFS(BD!$A$3:$A$5001,BD!$B$3:$B$5001,L$138,BD!$A$3:$A$5001,"&gt;="&amp;$C$7,BD!$A$3:$A$5001,"&lt;="&amp;$B156,BD!$W$3:$W$5001,"&lt;&gt;"))))</f>
        <v/>
      </c>
    </row>
    <row r="157">
      <c r="A157" s="40">
        <v>19</v>
      </c>
      <c r="B157" s="41">
        <f>$B$30</f>
        <v>46314</v>
      </c>
      <c r="C157" s="42" t="str">
        <f>IF(OR($B157="",$A157&gt;$B$9),"",IF(COUNTIFS(BD!$B$3:$B$5001,C$138,BD!$A$3:$A$5001,"&gt;="&amp;$C$7,BD!$A$3:$A$5001,"&lt;="&amp;$B157,BD!$W$3:$W$5001,"&lt;&gt;")=0,"",SUMIFS(BD!$W$3:$W$5001,BD!$B$3:$B$5001,C$138,BD!$A$3:$A$5001,_xlfn.MAXIFS(BD!$A$3:$A$5001,BD!$B$3:$B$5001,C$138,BD!$A$3:$A$5001,"&gt;="&amp;$C$7,BD!$A$3:$A$5001,"&lt;="&amp;$B157,BD!$W$3:$W$5001,"&lt;&gt;"))))</f>
        <v/>
      </c>
      <c r="D157" s="42" t="str">
        <f>IF(OR($B157="",$A157&gt;$B$9),"",IF(COUNTIFS(BD!$B$3:$B$5001,D$138,BD!$A$3:$A$5001,"&gt;="&amp;$C$7,BD!$A$3:$A$5001,"&lt;="&amp;$B157,BD!$W$3:$W$5001,"&lt;&gt;")=0,"",SUMIFS(BD!$W$3:$W$5001,BD!$B$3:$B$5001,D$138,BD!$A$3:$A$5001,_xlfn.MAXIFS(BD!$A$3:$A$5001,BD!$B$3:$B$5001,D$138,BD!$A$3:$A$5001,"&gt;="&amp;$C$7,BD!$A$3:$A$5001,"&lt;="&amp;$B157,BD!$W$3:$W$5001,"&lt;&gt;"))))</f>
        <v/>
      </c>
      <c r="E157" s="42" t="str">
        <f>IF(OR($B157="",$A157&gt;$B$9),"",IF(COUNTIFS(BD!$B$3:$B$5001,E$138,BD!$A$3:$A$5001,"&gt;="&amp;$C$7,BD!$A$3:$A$5001,"&lt;="&amp;$B157,BD!$W$3:$W$5001,"&lt;&gt;")=0,"",SUMIFS(BD!$W$3:$W$5001,BD!$B$3:$B$5001,E$138,BD!$A$3:$A$5001,_xlfn.MAXIFS(BD!$A$3:$A$5001,BD!$B$3:$B$5001,E$138,BD!$A$3:$A$5001,"&gt;="&amp;$C$7,BD!$A$3:$A$5001,"&lt;="&amp;$B157,BD!$W$3:$W$5001,"&lt;&gt;"))))</f>
        <v/>
      </c>
      <c r="F157" s="42" t="str">
        <f>IF(OR($B157="",$A157&gt;$B$9),"",IF(COUNTIFS(BD!$B$3:$B$5001,F$138,BD!$A$3:$A$5001,"&gt;="&amp;$C$7,BD!$A$3:$A$5001,"&lt;="&amp;$B157,BD!$W$3:$W$5001,"&lt;&gt;")=0,"",SUMIFS(BD!$W$3:$W$5001,BD!$B$3:$B$5001,F$138,BD!$A$3:$A$5001,_xlfn.MAXIFS(BD!$A$3:$A$5001,BD!$B$3:$B$5001,F$138,BD!$A$3:$A$5001,"&gt;="&amp;$C$7,BD!$A$3:$A$5001,"&lt;="&amp;$B157,BD!$W$3:$W$5001,"&lt;&gt;"))))</f>
        <v/>
      </c>
      <c r="G157" s="42" t="str">
        <f>IF(OR($B157="",$A157&gt;$B$9),"",IF(COUNTIFS(BD!$B$3:$B$5001,G$138,BD!$A$3:$A$5001,"&gt;="&amp;$C$7,BD!$A$3:$A$5001,"&lt;="&amp;$B157,BD!$W$3:$W$5001,"&lt;&gt;")=0,"",SUMIFS(BD!$W$3:$W$5001,BD!$B$3:$B$5001,G$138,BD!$A$3:$A$5001,_xlfn.MAXIFS(BD!$A$3:$A$5001,BD!$B$3:$B$5001,G$138,BD!$A$3:$A$5001,"&gt;="&amp;$C$7,BD!$A$3:$A$5001,"&lt;="&amp;$B157,BD!$W$3:$W$5001,"&lt;&gt;"))))</f>
        <v/>
      </c>
      <c r="H157" s="42" t="str">
        <f>IF(OR($B157="",$A157&gt;$B$9),"",IF(COUNTIFS(BD!$B$3:$B$5001,H$138,BD!$A$3:$A$5001,"&gt;="&amp;$C$7,BD!$A$3:$A$5001,"&lt;="&amp;$B157,BD!$W$3:$W$5001,"&lt;&gt;")=0,"",SUMIFS(BD!$W$3:$W$5001,BD!$B$3:$B$5001,H$138,BD!$A$3:$A$5001,_xlfn.MAXIFS(BD!$A$3:$A$5001,BD!$B$3:$B$5001,H$138,BD!$A$3:$A$5001,"&gt;="&amp;$C$7,BD!$A$3:$A$5001,"&lt;="&amp;$B157,BD!$W$3:$W$5001,"&lt;&gt;"))))</f>
        <v/>
      </c>
      <c r="I157" s="42" t="str">
        <f>IF(OR($B157="",$A157&gt;$B$9),"",IF(COUNTIFS(BD!$B$3:$B$5001,I$138,BD!$A$3:$A$5001,"&gt;="&amp;$C$7,BD!$A$3:$A$5001,"&lt;="&amp;$B157,BD!$W$3:$W$5001,"&lt;&gt;")=0,"",SUMIFS(BD!$W$3:$W$5001,BD!$B$3:$B$5001,I$138,BD!$A$3:$A$5001,_xlfn.MAXIFS(BD!$A$3:$A$5001,BD!$B$3:$B$5001,I$138,BD!$A$3:$A$5001,"&gt;="&amp;$C$7,BD!$A$3:$A$5001,"&lt;="&amp;$B157,BD!$W$3:$W$5001,"&lt;&gt;"))))</f>
        <v/>
      </c>
      <c r="J157" s="42" t="str">
        <f>IF(OR($B157="",$A157&gt;$B$9),"",IF(COUNTIFS(BD!$B$3:$B$5001,J$138,BD!$A$3:$A$5001,"&gt;="&amp;$C$7,BD!$A$3:$A$5001,"&lt;="&amp;$B157,BD!$W$3:$W$5001,"&lt;&gt;")=0,"",SUMIFS(BD!$W$3:$W$5001,BD!$B$3:$B$5001,J$138,BD!$A$3:$A$5001,_xlfn.MAXIFS(BD!$A$3:$A$5001,BD!$B$3:$B$5001,J$138,BD!$A$3:$A$5001,"&gt;="&amp;$C$7,BD!$A$3:$A$5001,"&lt;="&amp;$B157,BD!$W$3:$W$5001,"&lt;&gt;"))))</f>
        <v/>
      </c>
      <c r="K157" s="42" t="str">
        <f>IF(OR($B157="",$A157&gt;$B$9),"",IF(COUNTIFS(BD!$B$3:$B$5001,K$138,BD!$A$3:$A$5001,"&gt;="&amp;$C$7,BD!$A$3:$A$5001,"&lt;="&amp;$B157,BD!$W$3:$W$5001,"&lt;&gt;")=0,"",SUMIFS(BD!$W$3:$W$5001,BD!$B$3:$B$5001,K$138,BD!$A$3:$A$5001,_xlfn.MAXIFS(BD!$A$3:$A$5001,BD!$B$3:$B$5001,K$138,BD!$A$3:$A$5001,"&gt;="&amp;$C$7,BD!$A$3:$A$5001,"&lt;="&amp;$B157,BD!$W$3:$W$5001,"&lt;&gt;"))))</f>
        <v/>
      </c>
      <c r="L157" s="42" t="str">
        <f>IF(OR($B157="",$A157&gt;$B$9),"",IF(COUNTIFS(BD!$B$3:$B$5001,L$138,BD!$A$3:$A$5001,"&gt;="&amp;$C$7,BD!$A$3:$A$5001,"&lt;="&amp;$B157,BD!$W$3:$W$5001,"&lt;&gt;")=0,"",SUMIFS(BD!$W$3:$W$5001,BD!$B$3:$B$5001,L$138,BD!$A$3:$A$5001,_xlfn.MAXIFS(BD!$A$3:$A$5001,BD!$B$3:$B$5001,L$138,BD!$A$3:$A$5001,"&gt;="&amp;$C$7,BD!$A$3:$A$5001,"&lt;="&amp;$B157,BD!$W$3:$W$5001,"&lt;&gt;"))))</f>
        <v/>
      </c>
    </row>
    <row r="158">
      <c r="A158" s="40">
        <v>20</v>
      </c>
      <c r="B158" s="41">
        <f>$B$31</f>
        <v>46315</v>
      </c>
      <c r="C158" s="42" t="str">
        <f>IF(OR($B158="",$A158&gt;$B$9),"",IF(COUNTIFS(BD!$B$3:$B$5001,C$138,BD!$A$3:$A$5001,"&gt;="&amp;$C$7,BD!$A$3:$A$5001,"&lt;="&amp;$B158,BD!$W$3:$W$5001,"&lt;&gt;")=0,"",SUMIFS(BD!$W$3:$W$5001,BD!$B$3:$B$5001,C$138,BD!$A$3:$A$5001,_xlfn.MAXIFS(BD!$A$3:$A$5001,BD!$B$3:$B$5001,C$138,BD!$A$3:$A$5001,"&gt;="&amp;$C$7,BD!$A$3:$A$5001,"&lt;="&amp;$B158,BD!$W$3:$W$5001,"&lt;&gt;"))))</f>
        <v/>
      </c>
      <c r="D158" s="42" t="str">
        <f>IF(OR($B158="",$A158&gt;$B$9),"",IF(COUNTIFS(BD!$B$3:$B$5001,D$138,BD!$A$3:$A$5001,"&gt;="&amp;$C$7,BD!$A$3:$A$5001,"&lt;="&amp;$B158,BD!$W$3:$W$5001,"&lt;&gt;")=0,"",SUMIFS(BD!$W$3:$W$5001,BD!$B$3:$B$5001,D$138,BD!$A$3:$A$5001,_xlfn.MAXIFS(BD!$A$3:$A$5001,BD!$B$3:$B$5001,D$138,BD!$A$3:$A$5001,"&gt;="&amp;$C$7,BD!$A$3:$A$5001,"&lt;="&amp;$B158,BD!$W$3:$W$5001,"&lt;&gt;"))))</f>
        <v/>
      </c>
      <c r="E158" s="42" t="str">
        <f>IF(OR($B158="",$A158&gt;$B$9),"",IF(COUNTIFS(BD!$B$3:$B$5001,E$138,BD!$A$3:$A$5001,"&gt;="&amp;$C$7,BD!$A$3:$A$5001,"&lt;="&amp;$B158,BD!$W$3:$W$5001,"&lt;&gt;")=0,"",SUMIFS(BD!$W$3:$W$5001,BD!$B$3:$B$5001,E$138,BD!$A$3:$A$5001,_xlfn.MAXIFS(BD!$A$3:$A$5001,BD!$B$3:$B$5001,E$138,BD!$A$3:$A$5001,"&gt;="&amp;$C$7,BD!$A$3:$A$5001,"&lt;="&amp;$B158,BD!$W$3:$W$5001,"&lt;&gt;"))))</f>
        <v/>
      </c>
      <c r="F158" s="42" t="str">
        <f>IF(OR($B158="",$A158&gt;$B$9),"",IF(COUNTIFS(BD!$B$3:$B$5001,F$138,BD!$A$3:$A$5001,"&gt;="&amp;$C$7,BD!$A$3:$A$5001,"&lt;="&amp;$B158,BD!$W$3:$W$5001,"&lt;&gt;")=0,"",SUMIFS(BD!$W$3:$W$5001,BD!$B$3:$B$5001,F$138,BD!$A$3:$A$5001,_xlfn.MAXIFS(BD!$A$3:$A$5001,BD!$B$3:$B$5001,F$138,BD!$A$3:$A$5001,"&gt;="&amp;$C$7,BD!$A$3:$A$5001,"&lt;="&amp;$B158,BD!$W$3:$W$5001,"&lt;&gt;"))))</f>
        <v/>
      </c>
      <c r="G158" s="42" t="str">
        <f>IF(OR($B158="",$A158&gt;$B$9),"",IF(COUNTIFS(BD!$B$3:$B$5001,G$138,BD!$A$3:$A$5001,"&gt;="&amp;$C$7,BD!$A$3:$A$5001,"&lt;="&amp;$B158,BD!$W$3:$W$5001,"&lt;&gt;")=0,"",SUMIFS(BD!$W$3:$W$5001,BD!$B$3:$B$5001,G$138,BD!$A$3:$A$5001,_xlfn.MAXIFS(BD!$A$3:$A$5001,BD!$B$3:$B$5001,G$138,BD!$A$3:$A$5001,"&gt;="&amp;$C$7,BD!$A$3:$A$5001,"&lt;="&amp;$B158,BD!$W$3:$W$5001,"&lt;&gt;"))))</f>
        <v/>
      </c>
      <c r="H158" s="42" t="str">
        <f>IF(OR($B158="",$A158&gt;$B$9),"",IF(COUNTIFS(BD!$B$3:$B$5001,H$138,BD!$A$3:$A$5001,"&gt;="&amp;$C$7,BD!$A$3:$A$5001,"&lt;="&amp;$B158,BD!$W$3:$W$5001,"&lt;&gt;")=0,"",SUMIFS(BD!$W$3:$W$5001,BD!$B$3:$B$5001,H$138,BD!$A$3:$A$5001,_xlfn.MAXIFS(BD!$A$3:$A$5001,BD!$B$3:$B$5001,H$138,BD!$A$3:$A$5001,"&gt;="&amp;$C$7,BD!$A$3:$A$5001,"&lt;="&amp;$B158,BD!$W$3:$W$5001,"&lt;&gt;"))))</f>
        <v/>
      </c>
      <c r="I158" s="42" t="str">
        <f>IF(OR($B158="",$A158&gt;$B$9),"",IF(COUNTIFS(BD!$B$3:$B$5001,I$138,BD!$A$3:$A$5001,"&gt;="&amp;$C$7,BD!$A$3:$A$5001,"&lt;="&amp;$B158,BD!$W$3:$W$5001,"&lt;&gt;")=0,"",SUMIFS(BD!$W$3:$W$5001,BD!$B$3:$B$5001,I$138,BD!$A$3:$A$5001,_xlfn.MAXIFS(BD!$A$3:$A$5001,BD!$B$3:$B$5001,I$138,BD!$A$3:$A$5001,"&gt;="&amp;$C$7,BD!$A$3:$A$5001,"&lt;="&amp;$B158,BD!$W$3:$W$5001,"&lt;&gt;"))))</f>
        <v/>
      </c>
      <c r="J158" s="42" t="str">
        <f>IF(OR($B158="",$A158&gt;$B$9),"",IF(COUNTIFS(BD!$B$3:$B$5001,J$138,BD!$A$3:$A$5001,"&gt;="&amp;$C$7,BD!$A$3:$A$5001,"&lt;="&amp;$B158,BD!$W$3:$W$5001,"&lt;&gt;")=0,"",SUMIFS(BD!$W$3:$W$5001,BD!$B$3:$B$5001,J$138,BD!$A$3:$A$5001,_xlfn.MAXIFS(BD!$A$3:$A$5001,BD!$B$3:$B$5001,J$138,BD!$A$3:$A$5001,"&gt;="&amp;$C$7,BD!$A$3:$A$5001,"&lt;="&amp;$B158,BD!$W$3:$W$5001,"&lt;&gt;"))))</f>
        <v/>
      </c>
      <c r="K158" s="42" t="str">
        <f>IF(OR($B158="",$A158&gt;$B$9),"",IF(COUNTIFS(BD!$B$3:$B$5001,K$138,BD!$A$3:$A$5001,"&gt;="&amp;$C$7,BD!$A$3:$A$5001,"&lt;="&amp;$B158,BD!$W$3:$W$5001,"&lt;&gt;")=0,"",SUMIFS(BD!$W$3:$W$5001,BD!$B$3:$B$5001,K$138,BD!$A$3:$A$5001,_xlfn.MAXIFS(BD!$A$3:$A$5001,BD!$B$3:$B$5001,K$138,BD!$A$3:$A$5001,"&gt;="&amp;$C$7,BD!$A$3:$A$5001,"&lt;="&amp;$B158,BD!$W$3:$W$5001,"&lt;&gt;"))))</f>
        <v/>
      </c>
      <c r="L158" s="42" t="str">
        <f>IF(OR($B158="",$A158&gt;$B$9),"",IF(COUNTIFS(BD!$B$3:$B$5001,L$138,BD!$A$3:$A$5001,"&gt;="&amp;$C$7,BD!$A$3:$A$5001,"&lt;="&amp;$B158,BD!$W$3:$W$5001,"&lt;&gt;")=0,"",SUMIFS(BD!$W$3:$W$5001,BD!$B$3:$B$5001,L$138,BD!$A$3:$A$5001,_xlfn.MAXIFS(BD!$A$3:$A$5001,BD!$B$3:$B$5001,L$138,BD!$A$3:$A$5001,"&gt;="&amp;$C$7,BD!$A$3:$A$5001,"&lt;="&amp;$B158,BD!$W$3:$W$5001,"&lt;&gt;"))))</f>
        <v/>
      </c>
    </row>
    <row r="159">
      <c r="A159" s="40">
        <v>21</v>
      </c>
      <c r="B159" s="41">
        <f>$B$32</f>
        <v>46316</v>
      </c>
      <c r="C159" s="42" t="str">
        <f>IF(OR($B159="",$A159&gt;$B$9),"",IF(COUNTIFS(BD!$B$3:$B$5001,C$138,BD!$A$3:$A$5001,"&gt;="&amp;$C$7,BD!$A$3:$A$5001,"&lt;="&amp;$B159,BD!$W$3:$W$5001,"&lt;&gt;")=0,"",SUMIFS(BD!$W$3:$W$5001,BD!$B$3:$B$5001,C$138,BD!$A$3:$A$5001,_xlfn.MAXIFS(BD!$A$3:$A$5001,BD!$B$3:$B$5001,C$138,BD!$A$3:$A$5001,"&gt;="&amp;$C$7,BD!$A$3:$A$5001,"&lt;="&amp;$B159,BD!$W$3:$W$5001,"&lt;&gt;"))))</f>
        <v/>
      </c>
      <c r="D159" s="42" t="str">
        <f>IF(OR($B159="",$A159&gt;$B$9),"",IF(COUNTIFS(BD!$B$3:$B$5001,D$138,BD!$A$3:$A$5001,"&gt;="&amp;$C$7,BD!$A$3:$A$5001,"&lt;="&amp;$B159,BD!$W$3:$W$5001,"&lt;&gt;")=0,"",SUMIFS(BD!$W$3:$W$5001,BD!$B$3:$B$5001,D$138,BD!$A$3:$A$5001,_xlfn.MAXIFS(BD!$A$3:$A$5001,BD!$B$3:$B$5001,D$138,BD!$A$3:$A$5001,"&gt;="&amp;$C$7,BD!$A$3:$A$5001,"&lt;="&amp;$B159,BD!$W$3:$W$5001,"&lt;&gt;"))))</f>
        <v/>
      </c>
      <c r="E159" s="42" t="str">
        <f>IF(OR($B159="",$A159&gt;$B$9),"",IF(COUNTIFS(BD!$B$3:$B$5001,E$138,BD!$A$3:$A$5001,"&gt;="&amp;$C$7,BD!$A$3:$A$5001,"&lt;="&amp;$B159,BD!$W$3:$W$5001,"&lt;&gt;")=0,"",SUMIFS(BD!$W$3:$W$5001,BD!$B$3:$B$5001,E$138,BD!$A$3:$A$5001,_xlfn.MAXIFS(BD!$A$3:$A$5001,BD!$B$3:$B$5001,E$138,BD!$A$3:$A$5001,"&gt;="&amp;$C$7,BD!$A$3:$A$5001,"&lt;="&amp;$B159,BD!$W$3:$W$5001,"&lt;&gt;"))))</f>
        <v/>
      </c>
      <c r="F159" s="42" t="str">
        <f>IF(OR($B159="",$A159&gt;$B$9),"",IF(COUNTIFS(BD!$B$3:$B$5001,F$138,BD!$A$3:$A$5001,"&gt;="&amp;$C$7,BD!$A$3:$A$5001,"&lt;="&amp;$B159,BD!$W$3:$W$5001,"&lt;&gt;")=0,"",SUMIFS(BD!$W$3:$W$5001,BD!$B$3:$B$5001,F$138,BD!$A$3:$A$5001,_xlfn.MAXIFS(BD!$A$3:$A$5001,BD!$B$3:$B$5001,F$138,BD!$A$3:$A$5001,"&gt;="&amp;$C$7,BD!$A$3:$A$5001,"&lt;="&amp;$B159,BD!$W$3:$W$5001,"&lt;&gt;"))))</f>
        <v/>
      </c>
      <c r="G159" s="42" t="str">
        <f>IF(OR($B159="",$A159&gt;$B$9),"",IF(COUNTIFS(BD!$B$3:$B$5001,G$138,BD!$A$3:$A$5001,"&gt;="&amp;$C$7,BD!$A$3:$A$5001,"&lt;="&amp;$B159,BD!$W$3:$W$5001,"&lt;&gt;")=0,"",SUMIFS(BD!$W$3:$W$5001,BD!$B$3:$B$5001,G$138,BD!$A$3:$A$5001,_xlfn.MAXIFS(BD!$A$3:$A$5001,BD!$B$3:$B$5001,G$138,BD!$A$3:$A$5001,"&gt;="&amp;$C$7,BD!$A$3:$A$5001,"&lt;="&amp;$B159,BD!$W$3:$W$5001,"&lt;&gt;"))))</f>
        <v/>
      </c>
      <c r="H159" s="42" t="str">
        <f>IF(OR($B159="",$A159&gt;$B$9),"",IF(COUNTIFS(BD!$B$3:$B$5001,H$138,BD!$A$3:$A$5001,"&gt;="&amp;$C$7,BD!$A$3:$A$5001,"&lt;="&amp;$B159,BD!$W$3:$W$5001,"&lt;&gt;")=0,"",SUMIFS(BD!$W$3:$W$5001,BD!$B$3:$B$5001,H$138,BD!$A$3:$A$5001,_xlfn.MAXIFS(BD!$A$3:$A$5001,BD!$B$3:$B$5001,H$138,BD!$A$3:$A$5001,"&gt;="&amp;$C$7,BD!$A$3:$A$5001,"&lt;="&amp;$B159,BD!$W$3:$W$5001,"&lt;&gt;"))))</f>
        <v/>
      </c>
      <c r="I159" s="42" t="str">
        <f>IF(OR($B159="",$A159&gt;$B$9),"",IF(COUNTIFS(BD!$B$3:$B$5001,I$138,BD!$A$3:$A$5001,"&gt;="&amp;$C$7,BD!$A$3:$A$5001,"&lt;="&amp;$B159,BD!$W$3:$W$5001,"&lt;&gt;")=0,"",SUMIFS(BD!$W$3:$W$5001,BD!$B$3:$B$5001,I$138,BD!$A$3:$A$5001,_xlfn.MAXIFS(BD!$A$3:$A$5001,BD!$B$3:$B$5001,I$138,BD!$A$3:$A$5001,"&gt;="&amp;$C$7,BD!$A$3:$A$5001,"&lt;="&amp;$B159,BD!$W$3:$W$5001,"&lt;&gt;"))))</f>
        <v/>
      </c>
      <c r="J159" s="42" t="str">
        <f>IF(OR($B159="",$A159&gt;$B$9),"",IF(COUNTIFS(BD!$B$3:$B$5001,J$138,BD!$A$3:$A$5001,"&gt;="&amp;$C$7,BD!$A$3:$A$5001,"&lt;="&amp;$B159,BD!$W$3:$W$5001,"&lt;&gt;")=0,"",SUMIFS(BD!$W$3:$W$5001,BD!$B$3:$B$5001,J$138,BD!$A$3:$A$5001,_xlfn.MAXIFS(BD!$A$3:$A$5001,BD!$B$3:$B$5001,J$138,BD!$A$3:$A$5001,"&gt;="&amp;$C$7,BD!$A$3:$A$5001,"&lt;="&amp;$B159,BD!$W$3:$W$5001,"&lt;&gt;"))))</f>
        <v/>
      </c>
      <c r="K159" s="42" t="str">
        <f>IF(OR($B159="",$A159&gt;$B$9),"",IF(COUNTIFS(BD!$B$3:$B$5001,K$138,BD!$A$3:$A$5001,"&gt;="&amp;$C$7,BD!$A$3:$A$5001,"&lt;="&amp;$B159,BD!$W$3:$W$5001,"&lt;&gt;")=0,"",SUMIFS(BD!$W$3:$W$5001,BD!$B$3:$B$5001,K$138,BD!$A$3:$A$5001,_xlfn.MAXIFS(BD!$A$3:$A$5001,BD!$B$3:$B$5001,K$138,BD!$A$3:$A$5001,"&gt;="&amp;$C$7,BD!$A$3:$A$5001,"&lt;="&amp;$B159,BD!$W$3:$W$5001,"&lt;&gt;"))))</f>
        <v/>
      </c>
      <c r="L159" s="42" t="str">
        <f>IF(OR($B159="",$A159&gt;$B$9),"",IF(COUNTIFS(BD!$B$3:$B$5001,L$138,BD!$A$3:$A$5001,"&gt;="&amp;$C$7,BD!$A$3:$A$5001,"&lt;="&amp;$B159,BD!$W$3:$W$5001,"&lt;&gt;")=0,"",SUMIFS(BD!$W$3:$W$5001,BD!$B$3:$B$5001,L$138,BD!$A$3:$A$5001,_xlfn.MAXIFS(BD!$A$3:$A$5001,BD!$B$3:$B$5001,L$138,BD!$A$3:$A$5001,"&gt;="&amp;$C$7,BD!$A$3:$A$5001,"&lt;="&amp;$B159,BD!$W$3:$W$5001,"&lt;&gt;"))))</f>
        <v/>
      </c>
    </row>
    <row r="160">
      <c r="A160" s="40">
        <v>22</v>
      </c>
      <c r="B160" s="41">
        <f>$B$33</f>
        <v>46317</v>
      </c>
      <c r="C160" s="42" t="str">
        <f>IF(OR($B160="",$A160&gt;$B$9),"",IF(COUNTIFS(BD!$B$3:$B$5001,C$138,BD!$A$3:$A$5001,"&gt;="&amp;$C$7,BD!$A$3:$A$5001,"&lt;="&amp;$B160,BD!$W$3:$W$5001,"&lt;&gt;")=0,"",SUMIFS(BD!$W$3:$W$5001,BD!$B$3:$B$5001,C$138,BD!$A$3:$A$5001,_xlfn.MAXIFS(BD!$A$3:$A$5001,BD!$B$3:$B$5001,C$138,BD!$A$3:$A$5001,"&gt;="&amp;$C$7,BD!$A$3:$A$5001,"&lt;="&amp;$B160,BD!$W$3:$W$5001,"&lt;&gt;"))))</f>
        <v/>
      </c>
      <c r="D160" s="42" t="str">
        <f>IF(OR($B160="",$A160&gt;$B$9),"",IF(COUNTIFS(BD!$B$3:$B$5001,D$138,BD!$A$3:$A$5001,"&gt;="&amp;$C$7,BD!$A$3:$A$5001,"&lt;="&amp;$B160,BD!$W$3:$W$5001,"&lt;&gt;")=0,"",SUMIFS(BD!$W$3:$W$5001,BD!$B$3:$B$5001,D$138,BD!$A$3:$A$5001,_xlfn.MAXIFS(BD!$A$3:$A$5001,BD!$B$3:$B$5001,D$138,BD!$A$3:$A$5001,"&gt;="&amp;$C$7,BD!$A$3:$A$5001,"&lt;="&amp;$B160,BD!$W$3:$W$5001,"&lt;&gt;"))))</f>
        <v/>
      </c>
      <c r="E160" s="42" t="str">
        <f>IF(OR($B160="",$A160&gt;$B$9),"",IF(COUNTIFS(BD!$B$3:$B$5001,E$138,BD!$A$3:$A$5001,"&gt;="&amp;$C$7,BD!$A$3:$A$5001,"&lt;="&amp;$B160,BD!$W$3:$W$5001,"&lt;&gt;")=0,"",SUMIFS(BD!$W$3:$W$5001,BD!$B$3:$B$5001,E$138,BD!$A$3:$A$5001,_xlfn.MAXIFS(BD!$A$3:$A$5001,BD!$B$3:$B$5001,E$138,BD!$A$3:$A$5001,"&gt;="&amp;$C$7,BD!$A$3:$A$5001,"&lt;="&amp;$B160,BD!$W$3:$W$5001,"&lt;&gt;"))))</f>
        <v/>
      </c>
      <c r="F160" s="42" t="str">
        <f>IF(OR($B160="",$A160&gt;$B$9),"",IF(COUNTIFS(BD!$B$3:$B$5001,F$138,BD!$A$3:$A$5001,"&gt;="&amp;$C$7,BD!$A$3:$A$5001,"&lt;="&amp;$B160,BD!$W$3:$W$5001,"&lt;&gt;")=0,"",SUMIFS(BD!$W$3:$W$5001,BD!$B$3:$B$5001,F$138,BD!$A$3:$A$5001,_xlfn.MAXIFS(BD!$A$3:$A$5001,BD!$B$3:$B$5001,F$138,BD!$A$3:$A$5001,"&gt;="&amp;$C$7,BD!$A$3:$A$5001,"&lt;="&amp;$B160,BD!$W$3:$W$5001,"&lt;&gt;"))))</f>
        <v/>
      </c>
      <c r="G160" s="42" t="str">
        <f>IF(OR($B160="",$A160&gt;$B$9),"",IF(COUNTIFS(BD!$B$3:$B$5001,G$138,BD!$A$3:$A$5001,"&gt;="&amp;$C$7,BD!$A$3:$A$5001,"&lt;="&amp;$B160,BD!$W$3:$W$5001,"&lt;&gt;")=0,"",SUMIFS(BD!$W$3:$W$5001,BD!$B$3:$B$5001,G$138,BD!$A$3:$A$5001,_xlfn.MAXIFS(BD!$A$3:$A$5001,BD!$B$3:$B$5001,G$138,BD!$A$3:$A$5001,"&gt;="&amp;$C$7,BD!$A$3:$A$5001,"&lt;="&amp;$B160,BD!$W$3:$W$5001,"&lt;&gt;"))))</f>
        <v/>
      </c>
      <c r="H160" s="42" t="str">
        <f>IF(OR($B160="",$A160&gt;$B$9),"",IF(COUNTIFS(BD!$B$3:$B$5001,H$138,BD!$A$3:$A$5001,"&gt;="&amp;$C$7,BD!$A$3:$A$5001,"&lt;="&amp;$B160,BD!$W$3:$W$5001,"&lt;&gt;")=0,"",SUMIFS(BD!$W$3:$W$5001,BD!$B$3:$B$5001,H$138,BD!$A$3:$A$5001,_xlfn.MAXIFS(BD!$A$3:$A$5001,BD!$B$3:$B$5001,H$138,BD!$A$3:$A$5001,"&gt;="&amp;$C$7,BD!$A$3:$A$5001,"&lt;="&amp;$B160,BD!$W$3:$W$5001,"&lt;&gt;"))))</f>
        <v/>
      </c>
      <c r="I160" s="42" t="str">
        <f>IF(OR($B160="",$A160&gt;$B$9),"",IF(COUNTIFS(BD!$B$3:$B$5001,I$138,BD!$A$3:$A$5001,"&gt;="&amp;$C$7,BD!$A$3:$A$5001,"&lt;="&amp;$B160,BD!$W$3:$W$5001,"&lt;&gt;")=0,"",SUMIFS(BD!$W$3:$W$5001,BD!$B$3:$B$5001,I$138,BD!$A$3:$A$5001,_xlfn.MAXIFS(BD!$A$3:$A$5001,BD!$B$3:$B$5001,I$138,BD!$A$3:$A$5001,"&gt;="&amp;$C$7,BD!$A$3:$A$5001,"&lt;="&amp;$B160,BD!$W$3:$W$5001,"&lt;&gt;"))))</f>
        <v/>
      </c>
      <c r="J160" s="42" t="str">
        <f>IF(OR($B160="",$A160&gt;$B$9),"",IF(COUNTIFS(BD!$B$3:$B$5001,J$138,BD!$A$3:$A$5001,"&gt;="&amp;$C$7,BD!$A$3:$A$5001,"&lt;="&amp;$B160,BD!$W$3:$W$5001,"&lt;&gt;")=0,"",SUMIFS(BD!$W$3:$W$5001,BD!$B$3:$B$5001,J$138,BD!$A$3:$A$5001,_xlfn.MAXIFS(BD!$A$3:$A$5001,BD!$B$3:$B$5001,J$138,BD!$A$3:$A$5001,"&gt;="&amp;$C$7,BD!$A$3:$A$5001,"&lt;="&amp;$B160,BD!$W$3:$W$5001,"&lt;&gt;"))))</f>
        <v/>
      </c>
      <c r="K160" s="42" t="str">
        <f>IF(OR($B160="",$A160&gt;$B$9),"",IF(COUNTIFS(BD!$B$3:$B$5001,K$138,BD!$A$3:$A$5001,"&gt;="&amp;$C$7,BD!$A$3:$A$5001,"&lt;="&amp;$B160,BD!$W$3:$W$5001,"&lt;&gt;")=0,"",SUMIFS(BD!$W$3:$W$5001,BD!$B$3:$B$5001,K$138,BD!$A$3:$A$5001,_xlfn.MAXIFS(BD!$A$3:$A$5001,BD!$B$3:$B$5001,K$138,BD!$A$3:$A$5001,"&gt;="&amp;$C$7,BD!$A$3:$A$5001,"&lt;="&amp;$B160,BD!$W$3:$W$5001,"&lt;&gt;"))))</f>
        <v/>
      </c>
      <c r="L160" s="42" t="str">
        <f>IF(OR($B160="",$A160&gt;$B$9),"",IF(COUNTIFS(BD!$B$3:$B$5001,L$138,BD!$A$3:$A$5001,"&gt;="&amp;$C$7,BD!$A$3:$A$5001,"&lt;="&amp;$B160,BD!$W$3:$W$5001,"&lt;&gt;")=0,"",SUMIFS(BD!$W$3:$W$5001,BD!$B$3:$B$5001,L$138,BD!$A$3:$A$5001,_xlfn.MAXIFS(BD!$A$3:$A$5001,BD!$B$3:$B$5001,L$138,BD!$A$3:$A$5001,"&gt;="&amp;$C$7,BD!$A$3:$A$5001,"&lt;="&amp;$B160,BD!$W$3:$W$5001,"&lt;&gt;"))))</f>
        <v/>
      </c>
    </row>
    <row r="161">
      <c r="A161" s="40">
        <v>23</v>
      </c>
      <c r="B161" s="41">
        <f>$B$34</f>
        <v>46318</v>
      </c>
      <c r="C161" s="42" t="str">
        <f>IF(OR($B161="",$A161&gt;$B$9),"",IF(COUNTIFS(BD!$B$3:$B$5001,C$138,BD!$A$3:$A$5001,"&gt;="&amp;$C$7,BD!$A$3:$A$5001,"&lt;="&amp;$B161,BD!$W$3:$W$5001,"&lt;&gt;")=0,"",SUMIFS(BD!$W$3:$W$5001,BD!$B$3:$B$5001,C$138,BD!$A$3:$A$5001,_xlfn.MAXIFS(BD!$A$3:$A$5001,BD!$B$3:$B$5001,C$138,BD!$A$3:$A$5001,"&gt;="&amp;$C$7,BD!$A$3:$A$5001,"&lt;="&amp;$B161,BD!$W$3:$W$5001,"&lt;&gt;"))))</f>
        <v/>
      </c>
      <c r="D161" s="42" t="str">
        <f>IF(OR($B161="",$A161&gt;$B$9),"",IF(COUNTIFS(BD!$B$3:$B$5001,D$138,BD!$A$3:$A$5001,"&gt;="&amp;$C$7,BD!$A$3:$A$5001,"&lt;="&amp;$B161,BD!$W$3:$W$5001,"&lt;&gt;")=0,"",SUMIFS(BD!$W$3:$W$5001,BD!$B$3:$B$5001,D$138,BD!$A$3:$A$5001,_xlfn.MAXIFS(BD!$A$3:$A$5001,BD!$B$3:$B$5001,D$138,BD!$A$3:$A$5001,"&gt;="&amp;$C$7,BD!$A$3:$A$5001,"&lt;="&amp;$B161,BD!$W$3:$W$5001,"&lt;&gt;"))))</f>
        <v/>
      </c>
      <c r="E161" s="42" t="str">
        <f>IF(OR($B161="",$A161&gt;$B$9),"",IF(COUNTIFS(BD!$B$3:$B$5001,E$138,BD!$A$3:$A$5001,"&gt;="&amp;$C$7,BD!$A$3:$A$5001,"&lt;="&amp;$B161,BD!$W$3:$W$5001,"&lt;&gt;")=0,"",SUMIFS(BD!$W$3:$W$5001,BD!$B$3:$B$5001,E$138,BD!$A$3:$A$5001,_xlfn.MAXIFS(BD!$A$3:$A$5001,BD!$B$3:$B$5001,E$138,BD!$A$3:$A$5001,"&gt;="&amp;$C$7,BD!$A$3:$A$5001,"&lt;="&amp;$B161,BD!$W$3:$W$5001,"&lt;&gt;"))))</f>
        <v/>
      </c>
      <c r="F161" s="42" t="str">
        <f>IF(OR($B161="",$A161&gt;$B$9),"",IF(COUNTIFS(BD!$B$3:$B$5001,F$138,BD!$A$3:$A$5001,"&gt;="&amp;$C$7,BD!$A$3:$A$5001,"&lt;="&amp;$B161,BD!$W$3:$W$5001,"&lt;&gt;")=0,"",SUMIFS(BD!$W$3:$W$5001,BD!$B$3:$B$5001,F$138,BD!$A$3:$A$5001,_xlfn.MAXIFS(BD!$A$3:$A$5001,BD!$B$3:$B$5001,F$138,BD!$A$3:$A$5001,"&gt;="&amp;$C$7,BD!$A$3:$A$5001,"&lt;="&amp;$B161,BD!$W$3:$W$5001,"&lt;&gt;"))))</f>
        <v/>
      </c>
      <c r="G161" s="42" t="str">
        <f>IF(OR($B161="",$A161&gt;$B$9),"",IF(COUNTIFS(BD!$B$3:$B$5001,G$138,BD!$A$3:$A$5001,"&gt;="&amp;$C$7,BD!$A$3:$A$5001,"&lt;="&amp;$B161,BD!$W$3:$W$5001,"&lt;&gt;")=0,"",SUMIFS(BD!$W$3:$W$5001,BD!$B$3:$B$5001,G$138,BD!$A$3:$A$5001,_xlfn.MAXIFS(BD!$A$3:$A$5001,BD!$B$3:$B$5001,G$138,BD!$A$3:$A$5001,"&gt;="&amp;$C$7,BD!$A$3:$A$5001,"&lt;="&amp;$B161,BD!$W$3:$W$5001,"&lt;&gt;"))))</f>
        <v/>
      </c>
      <c r="H161" s="42" t="str">
        <f>IF(OR($B161="",$A161&gt;$B$9),"",IF(COUNTIFS(BD!$B$3:$B$5001,H$138,BD!$A$3:$A$5001,"&gt;="&amp;$C$7,BD!$A$3:$A$5001,"&lt;="&amp;$B161,BD!$W$3:$W$5001,"&lt;&gt;")=0,"",SUMIFS(BD!$W$3:$W$5001,BD!$B$3:$B$5001,H$138,BD!$A$3:$A$5001,_xlfn.MAXIFS(BD!$A$3:$A$5001,BD!$B$3:$B$5001,H$138,BD!$A$3:$A$5001,"&gt;="&amp;$C$7,BD!$A$3:$A$5001,"&lt;="&amp;$B161,BD!$W$3:$W$5001,"&lt;&gt;"))))</f>
        <v/>
      </c>
      <c r="I161" s="42" t="str">
        <f>IF(OR($B161="",$A161&gt;$B$9),"",IF(COUNTIFS(BD!$B$3:$B$5001,I$138,BD!$A$3:$A$5001,"&gt;="&amp;$C$7,BD!$A$3:$A$5001,"&lt;="&amp;$B161,BD!$W$3:$W$5001,"&lt;&gt;")=0,"",SUMIFS(BD!$W$3:$W$5001,BD!$B$3:$B$5001,I$138,BD!$A$3:$A$5001,_xlfn.MAXIFS(BD!$A$3:$A$5001,BD!$B$3:$B$5001,I$138,BD!$A$3:$A$5001,"&gt;="&amp;$C$7,BD!$A$3:$A$5001,"&lt;="&amp;$B161,BD!$W$3:$W$5001,"&lt;&gt;"))))</f>
        <v/>
      </c>
      <c r="J161" s="42" t="str">
        <f>IF(OR($B161="",$A161&gt;$B$9),"",IF(COUNTIFS(BD!$B$3:$B$5001,J$138,BD!$A$3:$A$5001,"&gt;="&amp;$C$7,BD!$A$3:$A$5001,"&lt;="&amp;$B161,BD!$W$3:$W$5001,"&lt;&gt;")=0,"",SUMIFS(BD!$W$3:$W$5001,BD!$B$3:$B$5001,J$138,BD!$A$3:$A$5001,_xlfn.MAXIFS(BD!$A$3:$A$5001,BD!$B$3:$B$5001,J$138,BD!$A$3:$A$5001,"&gt;="&amp;$C$7,BD!$A$3:$A$5001,"&lt;="&amp;$B161,BD!$W$3:$W$5001,"&lt;&gt;"))))</f>
        <v/>
      </c>
      <c r="K161" s="42" t="str">
        <f>IF(OR($B161="",$A161&gt;$B$9),"",IF(COUNTIFS(BD!$B$3:$B$5001,K$138,BD!$A$3:$A$5001,"&gt;="&amp;$C$7,BD!$A$3:$A$5001,"&lt;="&amp;$B161,BD!$W$3:$W$5001,"&lt;&gt;")=0,"",SUMIFS(BD!$W$3:$W$5001,BD!$B$3:$B$5001,K$138,BD!$A$3:$A$5001,_xlfn.MAXIFS(BD!$A$3:$A$5001,BD!$B$3:$B$5001,K$138,BD!$A$3:$A$5001,"&gt;="&amp;$C$7,BD!$A$3:$A$5001,"&lt;="&amp;$B161,BD!$W$3:$W$5001,"&lt;&gt;"))))</f>
        <v/>
      </c>
      <c r="L161" s="42" t="str">
        <f>IF(OR($B161="",$A161&gt;$B$9),"",IF(COUNTIFS(BD!$B$3:$B$5001,L$138,BD!$A$3:$A$5001,"&gt;="&amp;$C$7,BD!$A$3:$A$5001,"&lt;="&amp;$B161,BD!$W$3:$W$5001,"&lt;&gt;")=0,"",SUMIFS(BD!$W$3:$W$5001,BD!$B$3:$B$5001,L$138,BD!$A$3:$A$5001,_xlfn.MAXIFS(BD!$A$3:$A$5001,BD!$B$3:$B$5001,L$138,BD!$A$3:$A$5001,"&gt;="&amp;$C$7,BD!$A$3:$A$5001,"&lt;="&amp;$B161,BD!$W$3:$W$5001,"&lt;&gt;"))))</f>
        <v/>
      </c>
    </row>
    <row r="162">
      <c r="A162" s="40">
        <v>24</v>
      </c>
      <c r="B162" s="41">
        <f>$B$35</f>
        <v>46319</v>
      </c>
      <c r="C162" s="42" t="str">
        <f>IF(OR($B162="",$A162&gt;$B$9),"",IF(COUNTIFS(BD!$B$3:$B$5001,C$138,BD!$A$3:$A$5001,"&gt;="&amp;$C$7,BD!$A$3:$A$5001,"&lt;="&amp;$B162,BD!$W$3:$W$5001,"&lt;&gt;")=0,"",SUMIFS(BD!$W$3:$W$5001,BD!$B$3:$B$5001,C$138,BD!$A$3:$A$5001,_xlfn.MAXIFS(BD!$A$3:$A$5001,BD!$B$3:$B$5001,C$138,BD!$A$3:$A$5001,"&gt;="&amp;$C$7,BD!$A$3:$A$5001,"&lt;="&amp;$B162,BD!$W$3:$W$5001,"&lt;&gt;"))))</f>
        <v/>
      </c>
      <c r="D162" s="42" t="str">
        <f>IF(OR($B162="",$A162&gt;$B$9),"",IF(COUNTIFS(BD!$B$3:$B$5001,D$138,BD!$A$3:$A$5001,"&gt;="&amp;$C$7,BD!$A$3:$A$5001,"&lt;="&amp;$B162,BD!$W$3:$W$5001,"&lt;&gt;")=0,"",SUMIFS(BD!$W$3:$W$5001,BD!$B$3:$B$5001,D$138,BD!$A$3:$A$5001,_xlfn.MAXIFS(BD!$A$3:$A$5001,BD!$B$3:$B$5001,D$138,BD!$A$3:$A$5001,"&gt;="&amp;$C$7,BD!$A$3:$A$5001,"&lt;="&amp;$B162,BD!$W$3:$W$5001,"&lt;&gt;"))))</f>
        <v/>
      </c>
      <c r="E162" s="42" t="str">
        <f>IF(OR($B162="",$A162&gt;$B$9),"",IF(COUNTIFS(BD!$B$3:$B$5001,E$138,BD!$A$3:$A$5001,"&gt;="&amp;$C$7,BD!$A$3:$A$5001,"&lt;="&amp;$B162,BD!$W$3:$W$5001,"&lt;&gt;")=0,"",SUMIFS(BD!$W$3:$W$5001,BD!$B$3:$B$5001,E$138,BD!$A$3:$A$5001,_xlfn.MAXIFS(BD!$A$3:$A$5001,BD!$B$3:$B$5001,E$138,BD!$A$3:$A$5001,"&gt;="&amp;$C$7,BD!$A$3:$A$5001,"&lt;="&amp;$B162,BD!$W$3:$W$5001,"&lt;&gt;"))))</f>
        <v/>
      </c>
      <c r="F162" s="42" t="str">
        <f>IF(OR($B162="",$A162&gt;$B$9),"",IF(COUNTIFS(BD!$B$3:$B$5001,F$138,BD!$A$3:$A$5001,"&gt;="&amp;$C$7,BD!$A$3:$A$5001,"&lt;="&amp;$B162,BD!$W$3:$W$5001,"&lt;&gt;")=0,"",SUMIFS(BD!$W$3:$W$5001,BD!$B$3:$B$5001,F$138,BD!$A$3:$A$5001,_xlfn.MAXIFS(BD!$A$3:$A$5001,BD!$B$3:$B$5001,F$138,BD!$A$3:$A$5001,"&gt;="&amp;$C$7,BD!$A$3:$A$5001,"&lt;="&amp;$B162,BD!$W$3:$W$5001,"&lt;&gt;"))))</f>
        <v/>
      </c>
      <c r="G162" s="42" t="str">
        <f>IF(OR($B162="",$A162&gt;$B$9),"",IF(COUNTIFS(BD!$B$3:$B$5001,G$138,BD!$A$3:$A$5001,"&gt;="&amp;$C$7,BD!$A$3:$A$5001,"&lt;="&amp;$B162,BD!$W$3:$W$5001,"&lt;&gt;")=0,"",SUMIFS(BD!$W$3:$W$5001,BD!$B$3:$B$5001,G$138,BD!$A$3:$A$5001,_xlfn.MAXIFS(BD!$A$3:$A$5001,BD!$B$3:$B$5001,G$138,BD!$A$3:$A$5001,"&gt;="&amp;$C$7,BD!$A$3:$A$5001,"&lt;="&amp;$B162,BD!$W$3:$W$5001,"&lt;&gt;"))))</f>
        <v/>
      </c>
      <c r="H162" s="42" t="str">
        <f>IF(OR($B162="",$A162&gt;$B$9),"",IF(COUNTIFS(BD!$B$3:$B$5001,H$138,BD!$A$3:$A$5001,"&gt;="&amp;$C$7,BD!$A$3:$A$5001,"&lt;="&amp;$B162,BD!$W$3:$W$5001,"&lt;&gt;")=0,"",SUMIFS(BD!$W$3:$W$5001,BD!$B$3:$B$5001,H$138,BD!$A$3:$A$5001,_xlfn.MAXIFS(BD!$A$3:$A$5001,BD!$B$3:$B$5001,H$138,BD!$A$3:$A$5001,"&gt;="&amp;$C$7,BD!$A$3:$A$5001,"&lt;="&amp;$B162,BD!$W$3:$W$5001,"&lt;&gt;"))))</f>
        <v/>
      </c>
      <c r="I162" s="42" t="str">
        <f>IF(OR($B162="",$A162&gt;$B$9),"",IF(COUNTIFS(BD!$B$3:$B$5001,I$138,BD!$A$3:$A$5001,"&gt;="&amp;$C$7,BD!$A$3:$A$5001,"&lt;="&amp;$B162,BD!$W$3:$W$5001,"&lt;&gt;")=0,"",SUMIFS(BD!$W$3:$W$5001,BD!$B$3:$B$5001,I$138,BD!$A$3:$A$5001,_xlfn.MAXIFS(BD!$A$3:$A$5001,BD!$B$3:$B$5001,I$138,BD!$A$3:$A$5001,"&gt;="&amp;$C$7,BD!$A$3:$A$5001,"&lt;="&amp;$B162,BD!$W$3:$W$5001,"&lt;&gt;"))))</f>
        <v/>
      </c>
      <c r="J162" s="42" t="str">
        <f>IF(OR($B162="",$A162&gt;$B$9),"",IF(COUNTIFS(BD!$B$3:$B$5001,J$138,BD!$A$3:$A$5001,"&gt;="&amp;$C$7,BD!$A$3:$A$5001,"&lt;="&amp;$B162,BD!$W$3:$W$5001,"&lt;&gt;")=0,"",SUMIFS(BD!$W$3:$W$5001,BD!$B$3:$B$5001,J$138,BD!$A$3:$A$5001,_xlfn.MAXIFS(BD!$A$3:$A$5001,BD!$B$3:$B$5001,J$138,BD!$A$3:$A$5001,"&gt;="&amp;$C$7,BD!$A$3:$A$5001,"&lt;="&amp;$B162,BD!$W$3:$W$5001,"&lt;&gt;"))))</f>
        <v/>
      </c>
      <c r="K162" s="42" t="str">
        <f>IF(OR($B162="",$A162&gt;$B$9),"",IF(COUNTIFS(BD!$B$3:$B$5001,K$138,BD!$A$3:$A$5001,"&gt;="&amp;$C$7,BD!$A$3:$A$5001,"&lt;="&amp;$B162,BD!$W$3:$W$5001,"&lt;&gt;")=0,"",SUMIFS(BD!$W$3:$W$5001,BD!$B$3:$B$5001,K$138,BD!$A$3:$A$5001,_xlfn.MAXIFS(BD!$A$3:$A$5001,BD!$B$3:$B$5001,K$138,BD!$A$3:$A$5001,"&gt;="&amp;$C$7,BD!$A$3:$A$5001,"&lt;="&amp;$B162,BD!$W$3:$W$5001,"&lt;&gt;"))))</f>
        <v/>
      </c>
      <c r="L162" s="42" t="str">
        <f>IF(OR($B162="",$A162&gt;$B$9),"",IF(COUNTIFS(BD!$B$3:$B$5001,L$138,BD!$A$3:$A$5001,"&gt;="&amp;$C$7,BD!$A$3:$A$5001,"&lt;="&amp;$B162,BD!$W$3:$W$5001,"&lt;&gt;")=0,"",SUMIFS(BD!$W$3:$W$5001,BD!$B$3:$B$5001,L$138,BD!$A$3:$A$5001,_xlfn.MAXIFS(BD!$A$3:$A$5001,BD!$B$3:$B$5001,L$138,BD!$A$3:$A$5001,"&gt;="&amp;$C$7,BD!$A$3:$A$5001,"&lt;="&amp;$B162,BD!$W$3:$W$5001,"&lt;&gt;"))))</f>
        <v/>
      </c>
    </row>
    <row r="163">
      <c r="A163" s="40">
        <v>25</v>
      </c>
      <c r="B163" s="41">
        <f>$B$36</f>
        <v>46320</v>
      </c>
      <c r="C163" s="42" t="str">
        <f>IF(OR($B163="",$A163&gt;$B$9),"",IF(COUNTIFS(BD!$B$3:$B$5001,C$138,BD!$A$3:$A$5001,"&gt;="&amp;$C$7,BD!$A$3:$A$5001,"&lt;="&amp;$B163,BD!$W$3:$W$5001,"&lt;&gt;")=0,"",SUMIFS(BD!$W$3:$W$5001,BD!$B$3:$B$5001,C$138,BD!$A$3:$A$5001,_xlfn.MAXIFS(BD!$A$3:$A$5001,BD!$B$3:$B$5001,C$138,BD!$A$3:$A$5001,"&gt;="&amp;$C$7,BD!$A$3:$A$5001,"&lt;="&amp;$B163,BD!$W$3:$W$5001,"&lt;&gt;"))))</f>
        <v/>
      </c>
      <c r="D163" s="42" t="str">
        <f>IF(OR($B163="",$A163&gt;$B$9),"",IF(COUNTIFS(BD!$B$3:$B$5001,D$138,BD!$A$3:$A$5001,"&gt;="&amp;$C$7,BD!$A$3:$A$5001,"&lt;="&amp;$B163,BD!$W$3:$W$5001,"&lt;&gt;")=0,"",SUMIFS(BD!$W$3:$W$5001,BD!$B$3:$B$5001,D$138,BD!$A$3:$A$5001,_xlfn.MAXIFS(BD!$A$3:$A$5001,BD!$B$3:$B$5001,D$138,BD!$A$3:$A$5001,"&gt;="&amp;$C$7,BD!$A$3:$A$5001,"&lt;="&amp;$B163,BD!$W$3:$W$5001,"&lt;&gt;"))))</f>
        <v/>
      </c>
      <c r="E163" s="42" t="str">
        <f>IF(OR($B163="",$A163&gt;$B$9),"",IF(COUNTIFS(BD!$B$3:$B$5001,E$138,BD!$A$3:$A$5001,"&gt;="&amp;$C$7,BD!$A$3:$A$5001,"&lt;="&amp;$B163,BD!$W$3:$W$5001,"&lt;&gt;")=0,"",SUMIFS(BD!$W$3:$W$5001,BD!$B$3:$B$5001,E$138,BD!$A$3:$A$5001,_xlfn.MAXIFS(BD!$A$3:$A$5001,BD!$B$3:$B$5001,E$138,BD!$A$3:$A$5001,"&gt;="&amp;$C$7,BD!$A$3:$A$5001,"&lt;="&amp;$B163,BD!$W$3:$W$5001,"&lt;&gt;"))))</f>
        <v/>
      </c>
      <c r="F163" s="42" t="str">
        <f>IF(OR($B163="",$A163&gt;$B$9),"",IF(COUNTIFS(BD!$B$3:$B$5001,F$138,BD!$A$3:$A$5001,"&gt;="&amp;$C$7,BD!$A$3:$A$5001,"&lt;="&amp;$B163,BD!$W$3:$W$5001,"&lt;&gt;")=0,"",SUMIFS(BD!$W$3:$W$5001,BD!$B$3:$B$5001,F$138,BD!$A$3:$A$5001,_xlfn.MAXIFS(BD!$A$3:$A$5001,BD!$B$3:$B$5001,F$138,BD!$A$3:$A$5001,"&gt;="&amp;$C$7,BD!$A$3:$A$5001,"&lt;="&amp;$B163,BD!$W$3:$W$5001,"&lt;&gt;"))))</f>
        <v/>
      </c>
      <c r="G163" s="42" t="str">
        <f>IF(OR($B163="",$A163&gt;$B$9),"",IF(COUNTIFS(BD!$B$3:$B$5001,G$138,BD!$A$3:$A$5001,"&gt;="&amp;$C$7,BD!$A$3:$A$5001,"&lt;="&amp;$B163,BD!$W$3:$W$5001,"&lt;&gt;")=0,"",SUMIFS(BD!$W$3:$W$5001,BD!$B$3:$B$5001,G$138,BD!$A$3:$A$5001,_xlfn.MAXIFS(BD!$A$3:$A$5001,BD!$B$3:$B$5001,G$138,BD!$A$3:$A$5001,"&gt;="&amp;$C$7,BD!$A$3:$A$5001,"&lt;="&amp;$B163,BD!$W$3:$W$5001,"&lt;&gt;"))))</f>
        <v/>
      </c>
      <c r="H163" s="42" t="str">
        <f>IF(OR($B163="",$A163&gt;$B$9),"",IF(COUNTIFS(BD!$B$3:$B$5001,H$138,BD!$A$3:$A$5001,"&gt;="&amp;$C$7,BD!$A$3:$A$5001,"&lt;="&amp;$B163,BD!$W$3:$W$5001,"&lt;&gt;")=0,"",SUMIFS(BD!$W$3:$W$5001,BD!$B$3:$B$5001,H$138,BD!$A$3:$A$5001,_xlfn.MAXIFS(BD!$A$3:$A$5001,BD!$B$3:$B$5001,H$138,BD!$A$3:$A$5001,"&gt;="&amp;$C$7,BD!$A$3:$A$5001,"&lt;="&amp;$B163,BD!$W$3:$W$5001,"&lt;&gt;"))))</f>
        <v/>
      </c>
      <c r="I163" s="42" t="str">
        <f>IF(OR($B163="",$A163&gt;$B$9),"",IF(COUNTIFS(BD!$B$3:$B$5001,I$138,BD!$A$3:$A$5001,"&gt;="&amp;$C$7,BD!$A$3:$A$5001,"&lt;="&amp;$B163,BD!$W$3:$W$5001,"&lt;&gt;")=0,"",SUMIFS(BD!$W$3:$W$5001,BD!$B$3:$B$5001,I$138,BD!$A$3:$A$5001,_xlfn.MAXIFS(BD!$A$3:$A$5001,BD!$B$3:$B$5001,I$138,BD!$A$3:$A$5001,"&gt;="&amp;$C$7,BD!$A$3:$A$5001,"&lt;="&amp;$B163,BD!$W$3:$W$5001,"&lt;&gt;"))))</f>
        <v/>
      </c>
      <c r="J163" s="42" t="str">
        <f>IF(OR($B163="",$A163&gt;$B$9),"",IF(COUNTIFS(BD!$B$3:$B$5001,J$138,BD!$A$3:$A$5001,"&gt;="&amp;$C$7,BD!$A$3:$A$5001,"&lt;="&amp;$B163,BD!$W$3:$W$5001,"&lt;&gt;")=0,"",SUMIFS(BD!$W$3:$W$5001,BD!$B$3:$B$5001,J$138,BD!$A$3:$A$5001,_xlfn.MAXIFS(BD!$A$3:$A$5001,BD!$B$3:$B$5001,J$138,BD!$A$3:$A$5001,"&gt;="&amp;$C$7,BD!$A$3:$A$5001,"&lt;="&amp;$B163,BD!$W$3:$W$5001,"&lt;&gt;"))))</f>
        <v/>
      </c>
      <c r="K163" s="42" t="str">
        <f>IF(OR($B163="",$A163&gt;$B$9),"",IF(COUNTIFS(BD!$B$3:$B$5001,K$138,BD!$A$3:$A$5001,"&gt;="&amp;$C$7,BD!$A$3:$A$5001,"&lt;="&amp;$B163,BD!$W$3:$W$5001,"&lt;&gt;")=0,"",SUMIFS(BD!$W$3:$W$5001,BD!$B$3:$B$5001,K$138,BD!$A$3:$A$5001,_xlfn.MAXIFS(BD!$A$3:$A$5001,BD!$B$3:$B$5001,K$138,BD!$A$3:$A$5001,"&gt;="&amp;$C$7,BD!$A$3:$A$5001,"&lt;="&amp;$B163,BD!$W$3:$W$5001,"&lt;&gt;"))))</f>
        <v/>
      </c>
      <c r="L163" s="42" t="str">
        <f>IF(OR($B163="",$A163&gt;$B$9),"",IF(COUNTIFS(BD!$B$3:$B$5001,L$138,BD!$A$3:$A$5001,"&gt;="&amp;$C$7,BD!$A$3:$A$5001,"&lt;="&amp;$B163,BD!$W$3:$W$5001,"&lt;&gt;")=0,"",SUMIFS(BD!$W$3:$W$5001,BD!$B$3:$B$5001,L$138,BD!$A$3:$A$5001,_xlfn.MAXIFS(BD!$A$3:$A$5001,BD!$B$3:$B$5001,L$138,BD!$A$3:$A$5001,"&gt;="&amp;$C$7,BD!$A$3:$A$5001,"&lt;="&amp;$B163,BD!$W$3:$W$5001,"&lt;&gt;"))))</f>
        <v/>
      </c>
    </row>
    <row r="164">
      <c r="A164" s="40">
        <v>26</v>
      </c>
      <c r="B164" s="41">
        <f>$B$37</f>
        <v>46321</v>
      </c>
      <c r="C164" s="42" t="str">
        <f>IF(OR($B164="",$A164&gt;$B$9),"",IF(COUNTIFS(BD!$B$3:$B$5001,C$138,BD!$A$3:$A$5001,"&gt;="&amp;$C$7,BD!$A$3:$A$5001,"&lt;="&amp;$B164,BD!$W$3:$W$5001,"&lt;&gt;")=0,"",SUMIFS(BD!$W$3:$W$5001,BD!$B$3:$B$5001,C$138,BD!$A$3:$A$5001,_xlfn.MAXIFS(BD!$A$3:$A$5001,BD!$B$3:$B$5001,C$138,BD!$A$3:$A$5001,"&gt;="&amp;$C$7,BD!$A$3:$A$5001,"&lt;="&amp;$B164,BD!$W$3:$W$5001,"&lt;&gt;"))))</f>
        <v/>
      </c>
      <c r="D164" s="42" t="str">
        <f>IF(OR($B164="",$A164&gt;$B$9),"",IF(COUNTIFS(BD!$B$3:$B$5001,D$138,BD!$A$3:$A$5001,"&gt;="&amp;$C$7,BD!$A$3:$A$5001,"&lt;="&amp;$B164,BD!$W$3:$W$5001,"&lt;&gt;")=0,"",SUMIFS(BD!$W$3:$W$5001,BD!$B$3:$B$5001,D$138,BD!$A$3:$A$5001,_xlfn.MAXIFS(BD!$A$3:$A$5001,BD!$B$3:$B$5001,D$138,BD!$A$3:$A$5001,"&gt;="&amp;$C$7,BD!$A$3:$A$5001,"&lt;="&amp;$B164,BD!$W$3:$W$5001,"&lt;&gt;"))))</f>
        <v/>
      </c>
      <c r="E164" s="42" t="str">
        <f>IF(OR($B164="",$A164&gt;$B$9),"",IF(COUNTIFS(BD!$B$3:$B$5001,E$138,BD!$A$3:$A$5001,"&gt;="&amp;$C$7,BD!$A$3:$A$5001,"&lt;="&amp;$B164,BD!$W$3:$W$5001,"&lt;&gt;")=0,"",SUMIFS(BD!$W$3:$W$5001,BD!$B$3:$B$5001,E$138,BD!$A$3:$A$5001,_xlfn.MAXIFS(BD!$A$3:$A$5001,BD!$B$3:$B$5001,E$138,BD!$A$3:$A$5001,"&gt;="&amp;$C$7,BD!$A$3:$A$5001,"&lt;="&amp;$B164,BD!$W$3:$W$5001,"&lt;&gt;"))))</f>
        <v/>
      </c>
      <c r="F164" s="42" t="str">
        <f>IF(OR($B164="",$A164&gt;$B$9),"",IF(COUNTIFS(BD!$B$3:$B$5001,F$138,BD!$A$3:$A$5001,"&gt;="&amp;$C$7,BD!$A$3:$A$5001,"&lt;="&amp;$B164,BD!$W$3:$W$5001,"&lt;&gt;")=0,"",SUMIFS(BD!$W$3:$W$5001,BD!$B$3:$B$5001,F$138,BD!$A$3:$A$5001,_xlfn.MAXIFS(BD!$A$3:$A$5001,BD!$B$3:$B$5001,F$138,BD!$A$3:$A$5001,"&gt;="&amp;$C$7,BD!$A$3:$A$5001,"&lt;="&amp;$B164,BD!$W$3:$W$5001,"&lt;&gt;"))))</f>
        <v/>
      </c>
      <c r="G164" s="42" t="str">
        <f>IF(OR($B164="",$A164&gt;$B$9),"",IF(COUNTIFS(BD!$B$3:$B$5001,G$138,BD!$A$3:$A$5001,"&gt;="&amp;$C$7,BD!$A$3:$A$5001,"&lt;="&amp;$B164,BD!$W$3:$W$5001,"&lt;&gt;")=0,"",SUMIFS(BD!$W$3:$W$5001,BD!$B$3:$B$5001,G$138,BD!$A$3:$A$5001,_xlfn.MAXIFS(BD!$A$3:$A$5001,BD!$B$3:$B$5001,G$138,BD!$A$3:$A$5001,"&gt;="&amp;$C$7,BD!$A$3:$A$5001,"&lt;="&amp;$B164,BD!$W$3:$W$5001,"&lt;&gt;"))))</f>
        <v/>
      </c>
      <c r="H164" s="42" t="str">
        <f>IF(OR($B164="",$A164&gt;$B$9),"",IF(COUNTIFS(BD!$B$3:$B$5001,H$138,BD!$A$3:$A$5001,"&gt;="&amp;$C$7,BD!$A$3:$A$5001,"&lt;="&amp;$B164,BD!$W$3:$W$5001,"&lt;&gt;")=0,"",SUMIFS(BD!$W$3:$W$5001,BD!$B$3:$B$5001,H$138,BD!$A$3:$A$5001,_xlfn.MAXIFS(BD!$A$3:$A$5001,BD!$B$3:$B$5001,H$138,BD!$A$3:$A$5001,"&gt;="&amp;$C$7,BD!$A$3:$A$5001,"&lt;="&amp;$B164,BD!$W$3:$W$5001,"&lt;&gt;"))))</f>
        <v/>
      </c>
      <c r="I164" s="42" t="str">
        <f>IF(OR($B164="",$A164&gt;$B$9),"",IF(COUNTIFS(BD!$B$3:$B$5001,I$138,BD!$A$3:$A$5001,"&gt;="&amp;$C$7,BD!$A$3:$A$5001,"&lt;="&amp;$B164,BD!$W$3:$W$5001,"&lt;&gt;")=0,"",SUMIFS(BD!$W$3:$W$5001,BD!$B$3:$B$5001,I$138,BD!$A$3:$A$5001,_xlfn.MAXIFS(BD!$A$3:$A$5001,BD!$B$3:$B$5001,I$138,BD!$A$3:$A$5001,"&gt;="&amp;$C$7,BD!$A$3:$A$5001,"&lt;="&amp;$B164,BD!$W$3:$W$5001,"&lt;&gt;"))))</f>
        <v/>
      </c>
      <c r="J164" s="42" t="str">
        <f>IF(OR($B164="",$A164&gt;$B$9),"",IF(COUNTIFS(BD!$B$3:$B$5001,J$138,BD!$A$3:$A$5001,"&gt;="&amp;$C$7,BD!$A$3:$A$5001,"&lt;="&amp;$B164,BD!$W$3:$W$5001,"&lt;&gt;")=0,"",SUMIFS(BD!$W$3:$W$5001,BD!$B$3:$B$5001,J$138,BD!$A$3:$A$5001,_xlfn.MAXIFS(BD!$A$3:$A$5001,BD!$B$3:$B$5001,J$138,BD!$A$3:$A$5001,"&gt;="&amp;$C$7,BD!$A$3:$A$5001,"&lt;="&amp;$B164,BD!$W$3:$W$5001,"&lt;&gt;"))))</f>
        <v/>
      </c>
      <c r="K164" s="42" t="str">
        <f>IF(OR($B164="",$A164&gt;$B$9),"",IF(COUNTIFS(BD!$B$3:$B$5001,K$138,BD!$A$3:$A$5001,"&gt;="&amp;$C$7,BD!$A$3:$A$5001,"&lt;="&amp;$B164,BD!$W$3:$W$5001,"&lt;&gt;")=0,"",SUMIFS(BD!$W$3:$W$5001,BD!$B$3:$B$5001,K$138,BD!$A$3:$A$5001,_xlfn.MAXIFS(BD!$A$3:$A$5001,BD!$B$3:$B$5001,K$138,BD!$A$3:$A$5001,"&gt;="&amp;$C$7,BD!$A$3:$A$5001,"&lt;="&amp;$B164,BD!$W$3:$W$5001,"&lt;&gt;"))))</f>
        <v/>
      </c>
      <c r="L164" s="42" t="str">
        <f>IF(OR($B164="",$A164&gt;$B$9),"",IF(COUNTIFS(BD!$B$3:$B$5001,L$138,BD!$A$3:$A$5001,"&gt;="&amp;$C$7,BD!$A$3:$A$5001,"&lt;="&amp;$B164,BD!$W$3:$W$5001,"&lt;&gt;")=0,"",SUMIFS(BD!$W$3:$W$5001,BD!$B$3:$B$5001,L$138,BD!$A$3:$A$5001,_xlfn.MAXIFS(BD!$A$3:$A$5001,BD!$B$3:$B$5001,L$138,BD!$A$3:$A$5001,"&gt;="&amp;$C$7,BD!$A$3:$A$5001,"&lt;="&amp;$B164,BD!$W$3:$W$5001,"&lt;&gt;"))))</f>
        <v/>
      </c>
    </row>
    <row r="165">
      <c r="A165" s="40">
        <v>27</v>
      </c>
      <c r="B165" s="41">
        <f>$B$38</f>
        <v>46322</v>
      </c>
      <c r="C165" s="42" t="str">
        <f>IF(OR($B165="",$A165&gt;$B$9),"",IF(COUNTIFS(BD!$B$3:$B$5001,C$138,BD!$A$3:$A$5001,"&gt;="&amp;$C$7,BD!$A$3:$A$5001,"&lt;="&amp;$B165,BD!$W$3:$W$5001,"&lt;&gt;")=0,"",SUMIFS(BD!$W$3:$W$5001,BD!$B$3:$B$5001,C$138,BD!$A$3:$A$5001,_xlfn.MAXIFS(BD!$A$3:$A$5001,BD!$B$3:$B$5001,C$138,BD!$A$3:$A$5001,"&gt;="&amp;$C$7,BD!$A$3:$A$5001,"&lt;="&amp;$B165,BD!$W$3:$W$5001,"&lt;&gt;"))))</f>
        <v/>
      </c>
      <c r="D165" s="42" t="str">
        <f>IF(OR($B165="",$A165&gt;$B$9),"",IF(COUNTIFS(BD!$B$3:$B$5001,D$138,BD!$A$3:$A$5001,"&gt;="&amp;$C$7,BD!$A$3:$A$5001,"&lt;="&amp;$B165,BD!$W$3:$W$5001,"&lt;&gt;")=0,"",SUMIFS(BD!$W$3:$W$5001,BD!$B$3:$B$5001,D$138,BD!$A$3:$A$5001,_xlfn.MAXIFS(BD!$A$3:$A$5001,BD!$B$3:$B$5001,D$138,BD!$A$3:$A$5001,"&gt;="&amp;$C$7,BD!$A$3:$A$5001,"&lt;="&amp;$B165,BD!$W$3:$W$5001,"&lt;&gt;"))))</f>
        <v/>
      </c>
      <c r="E165" s="42" t="str">
        <f>IF(OR($B165="",$A165&gt;$B$9),"",IF(COUNTIFS(BD!$B$3:$B$5001,E$138,BD!$A$3:$A$5001,"&gt;="&amp;$C$7,BD!$A$3:$A$5001,"&lt;="&amp;$B165,BD!$W$3:$W$5001,"&lt;&gt;")=0,"",SUMIFS(BD!$W$3:$W$5001,BD!$B$3:$B$5001,E$138,BD!$A$3:$A$5001,_xlfn.MAXIFS(BD!$A$3:$A$5001,BD!$B$3:$B$5001,E$138,BD!$A$3:$A$5001,"&gt;="&amp;$C$7,BD!$A$3:$A$5001,"&lt;="&amp;$B165,BD!$W$3:$W$5001,"&lt;&gt;"))))</f>
        <v/>
      </c>
      <c r="F165" s="42" t="str">
        <f>IF(OR($B165="",$A165&gt;$B$9),"",IF(COUNTIFS(BD!$B$3:$B$5001,F$138,BD!$A$3:$A$5001,"&gt;="&amp;$C$7,BD!$A$3:$A$5001,"&lt;="&amp;$B165,BD!$W$3:$W$5001,"&lt;&gt;")=0,"",SUMIFS(BD!$W$3:$W$5001,BD!$B$3:$B$5001,F$138,BD!$A$3:$A$5001,_xlfn.MAXIFS(BD!$A$3:$A$5001,BD!$B$3:$B$5001,F$138,BD!$A$3:$A$5001,"&gt;="&amp;$C$7,BD!$A$3:$A$5001,"&lt;="&amp;$B165,BD!$W$3:$W$5001,"&lt;&gt;"))))</f>
        <v/>
      </c>
      <c r="G165" s="42" t="str">
        <f>IF(OR($B165="",$A165&gt;$B$9),"",IF(COUNTIFS(BD!$B$3:$B$5001,G$138,BD!$A$3:$A$5001,"&gt;="&amp;$C$7,BD!$A$3:$A$5001,"&lt;="&amp;$B165,BD!$W$3:$W$5001,"&lt;&gt;")=0,"",SUMIFS(BD!$W$3:$W$5001,BD!$B$3:$B$5001,G$138,BD!$A$3:$A$5001,_xlfn.MAXIFS(BD!$A$3:$A$5001,BD!$B$3:$B$5001,G$138,BD!$A$3:$A$5001,"&gt;="&amp;$C$7,BD!$A$3:$A$5001,"&lt;="&amp;$B165,BD!$W$3:$W$5001,"&lt;&gt;"))))</f>
        <v/>
      </c>
      <c r="H165" s="42" t="str">
        <f>IF(OR($B165="",$A165&gt;$B$9),"",IF(COUNTIFS(BD!$B$3:$B$5001,H$138,BD!$A$3:$A$5001,"&gt;="&amp;$C$7,BD!$A$3:$A$5001,"&lt;="&amp;$B165,BD!$W$3:$W$5001,"&lt;&gt;")=0,"",SUMIFS(BD!$W$3:$W$5001,BD!$B$3:$B$5001,H$138,BD!$A$3:$A$5001,_xlfn.MAXIFS(BD!$A$3:$A$5001,BD!$B$3:$B$5001,H$138,BD!$A$3:$A$5001,"&gt;="&amp;$C$7,BD!$A$3:$A$5001,"&lt;="&amp;$B165,BD!$W$3:$W$5001,"&lt;&gt;"))))</f>
        <v/>
      </c>
      <c r="I165" s="42" t="str">
        <f>IF(OR($B165="",$A165&gt;$B$9),"",IF(COUNTIFS(BD!$B$3:$B$5001,I$138,BD!$A$3:$A$5001,"&gt;="&amp;$C$7,BD!$A$3:$A$5001,"&lt;="&amp;$B165,BD!$W$3:$W$5001,"&lt;&gt;")=0,"",SUMIFS(BD!$W$3:$W$5001,BD!$B$3:$B$5001,I$138,BD!$A$3:$A$5001,_xlfn.MAXIFS(BD!$A$3:$A$5001,BD!$B$3:$B$5001,I$138,BD!$A$3:$A$5001,"&gt;="&amp;$C$7,BD!$A$3:$A$5001,"&lt;="&amp;$B165,BD!$W$3:$W$5001,"&lt;&gt;"))))</f>
        <v/>
      </c>
      <c r="J165" s="42" t="str">
        <f>IF(OR($B165="",$A165&gt;$B$9),"",IF(COUNTIFS(BD!$B$3:$B$5001,J$138,BD!$A$3:$A$5001,"&gt;="&amp;$C$7,BD!$A$3:$A$5001,"&lt;="&amp;$B165,BD!$W$3:$W$5001,"&lt;&gt;")=0,"",SUMIFS(BD!$W$3:$W$5001,BD!$B$3:$B$5001,J$138,BD!$A$3:$A$5001,_xlfn.MAXIFS(BD!$A$3:$A$5001,BD!$B$3:$B$5001,J$138,BD!$A$3:$A$5001,"&gt;="&amp;$C$7,BD!$A$3:$A$5001,"&lt;="&amp;$B165,BD!$W$3:$W$5001,"&lt;&gt;"))))</f>
        <v/>
      </c>
      <c r="K165" s="42" t="str">
        <f>IF(OR($B165="",$A165&gt;$B$9),"",IF(COUNTIFS(BD!$B$3:$B$5001,K$138,BD!$A$3:$A$5001,"&gt;="&amp;$C$7,BD!$A$3:$A$5001,"&lt;="&amp;$B165,BD!$W$3:$W$5001,"&lt;&gt;")=0,"",SUMIFS(BD!$W$3:$W$5001,BD!$B$3:$B$5001,K$138,BD!$A$3:$A$5001,_xlfn.MAXIFS(BD!$A$3:$A$5001,BD!$B$3:$B$5001,K$138,BD!$A$3:$A$5001,"&gt;="&amp;$C$7,BD!$A$3:$A$5001,"&lt;="&amp;$B165,BD!$W$3:$W$5001,"&lt;&gt;"))))</f>
        <v/>
      </c>
      <c r="L165" s="42" t="str">
        <f>IF(OR($B165="",$A165&gt;$B$9),"",IF(COUNTIFS(BD!$B$3:$B$5001,L$138,BD!$A$3:$A$5001,"&gt;="&amp;$C$7,BD!$A$3:$A$5001,"&lt;="&amp;$B165,BD!$W$3:$W$5001,"&lt;&gt;")=0,"",SUMIFS(BD!$W$3:$W$5001,BD!$B$3:$B$5001,L$138,BD!$A$3:$A$5001,_xlfn.MAXIFS(BD!$A$3:$A$5001,BD!$B$3:$B$5001,L$138,BD!$A$3:$A$5001,"&gt;="&amp;$C$7,BD!$A$3:$A$5001,"&lt;="&amp;$B165,BD!$W$3:$W$5001,"&lt;&gt;"))))</f>
        <v/>
      </c>
    </row>
    <row r="166">
      <c r="A166" s="40">
        <v>28</v>
      </c>
      <c r="B166" s="41">
        <f>$B$39</f>
        <v>46323</v>
      </c>
      <c r="C166" s="42" t="str">
        <f>IF(OR($B166="",$A166&gt;$B$9),"",IF(COUNTIFS(BD!$B$3:$B$5001,C$138,BD!$A$3:$A$5001,"&gt;="&amp;$C$7,BD!$A$3:$A$5001,"&lt;="&amp;$B166,BD!$W$3:$W$5001,"&lt;&gt;")=0,"",SUMIFS(BD!$W$3:$W$5001,BD!$B$3:$B$5001,C$138,BD!$A$3:$A$5001,_xlfn.MAXIFS(BD!$A$3:$A$5001,BD!$B$3:$B$5001,C$138,BD!$A$3:$A$5001,"&gt;="&amp;$C$7,BD!$A$3:$A$5001,"&lt;="&amp;$B166,BD!$W$3:$W$5001,"&lt;&gt;"))))</f>
        <v/>
      </c>
      <c r="D166" s="42" t="str">
        <f>IF(OR($B166="",$A166&gt;$B$9),"",IF(COUNTIFS(BD!$B$3:$B$5001,D$138,BD!$A$3:$A$5001,"&gt;="&amp;$C$7,BD!$A$3:$A$5001,"&lt;="&amp;$B166,BD!$W$3:$W$5001,"&lt;&gt;")=0,"",SUMIFS(BD!$W$3:$W$5001,BD!$B$3:$B$5001,D$138,BD!$A$3:$A$5001,_xlfn.MAXIFS(BD!$A$3:$A$5001,BD!$B$3:$B$5001,D$138,BD!$A$3:$A$5001,"&gt;="&amp;$C$7,BD!$A$3:$A$5001,"&lt;="&amp;$B166,BD!$W$3:$W$5001,"&lt;&gt;"))))</f>
        <v/>
      </c>
      <c r="E166" s="42" t="str">
        <f>IF(OR($B166="",$A166&gt;$B$9),"",IF(COUNTIFS(BD!$B$3:$B$5001,E$138,BD!$A$3:$A$5001,"&gt;="&amp;$C$7,BD!$A$3:$A$5001,"&lt;="&amp;$B166,BD!$W$3:$W$5001,"&lt;&gt;")=0,"",SUMIFS(BD!$W$3:$W$5001,BD!$B$3:$B$5001,E$138,BD!$A$3:$A$5001,_xlfn.MAXIFS(BD!$A$3:$A$5001,BD!$B$3:$B$5001,E$138,BD!$A$3:$A$5001,"&gt;="&amp;$C$7,BD!$A$3:$A$5001,"&lt;="&amp;$B166,BD!$W$3:$W$5001,"&lt;&gt;"))))</f>
        <v/>
      </c>
      <c r="F166" s="42" t="str">
        <f>IF(OR($B166="",$A166&gt;$B$9),"",IF(COUNTIFS(BD!$B$3:$B$5001,F$138,BD!$A$3:$A$5001,"&gt;="&amp;$C$7,BD!$A$3:$A$5001,"&lt;="&amp;$B166,BD!$W$3:$W$5001,"&lt;&gt;")=0,"",SUMIFS(BD!$W$3:$W$5001,BD!$B$3:$B$5001,F$138,BD!$A$3:$A$5001,_xlfn.MAXIFS(BD!$A$3:$A$5001,BD!$B$3:$B$5001,F$138,BD!$A$3:$A$5001,"&gt;="&amp;$C$7,BD!$A$3:$A$5001,"&lt;="&amp;$B166,BD!$W$3:$W$5001,"&lt;&gt;"))))</f>
        <v/>
      </c>
      <c r="G166" s="42" t="str">
        <f>IF(OR($B166="",$A166&gt;$B$9),"",IF(COUNTIFS(BD!$B$3:$B$5001,G$138,BD!$A$3:$A$5001,"&gt;="&amp;$C$7,BD!$A$3:$A$5001,"&lt;="&amp;$B166,BD!$W$3:$W$5001,"&lt;&gt;")=0,"",SUMIFS(BD!$W$3:$W$5001,BD!$B$3:$B$5001,G$138,BD!$A$3:$A$5001,_xlfn.MAXIFS(BD!$A$3:$A$5001,BD!$B$3:$B$5001,G$138,BD!$A$3:$A$5001,"&gt;="&amp;$C$7,BD!$A$3:$A$5001,"&lt;="&amp;$B166,BD!$W$3:$W$5001,"&lt;&gt;"))))</f>
        <v/>
      </c>
      <c r="H166" s="42" t="str">
        <f>IF(OR($B166="",$A166&gt;$B$9),"",IF(COUNTIFS(BD!$B$3:$B$5001,H$138,BD!$A$3:$A$5001,"&gt;="&amp;$C$7,BD!$A$3:$A$5001,"&lt;="&amp;$B166,BD!$W$3:$W$5001,"&lt;&gt;")=0,"",SUMIFS(BD!$W$3:$W$5001,BD!$B$3:$B$5001,H$138,BD!$A$3:$A$5001,_xlfn.MAXIFS(BD!$A$3:$A$5001,BD!$B$3:$B$5001,H$138,BD!$A$3:$A$5001,"&gt;="&amp;$C$7,BD!$A$3:$A$5001,"&lt;="&amp;$B166,BD!$W$3:$W$5001,"&lt;&gt;"))))</f>
        <v/>
      </c>
      <c r="I166" s="42" t="str">
        <f>IF(OR($B166="",$A166&gt;$B$9),"",IF(COUNTIFS(BD!$B$3:$B$5001,I$138,BD!$A$3:$A$5001,"&gt;="&amp;$C$7,BD!$A$3:$A$5001,"&lt;="&amp;$B166,BD!$W$3:$W$5001,"&lt;&gt;")=0,"",SUMIFS(BD!$W$3:$W$5001,BD!$B$3:$B$5001,I$138,BD!$A$3:$A$5001,_xlfn.MAXIFS(BD!$A$3:$A$5001,BD!$B$3:$B$5001,I$138,BD!$A$3:$A$5001,"&gt;="&amp;$C$7,BD!$A$3:$A$5001,"&lt;="&amp;$B166,BD!$W$3:$W$5001,"&lt;&gt;"))))</f>
        <v/>
      </c>
      <c r="J166" s="42" t="str">
        <f>IF(OR($B166="",$A166&gt;$B$9),"",IF(COUNTIFS(BD!$B$3:$B$5001,J$138,BD!$A$3:$A$5001,"&gt;="&amp;$C$7,BD!$A$3:$A$5001,"&lt;="&amp;$B166,BD!$W$3:$W$5001,"&lt;&gt;")=0,"",SUMIFS(BD!$W$3:$W$5001,BD!$B$3:$B$5001,J$138,BD!$A$3:$A$5001,_xlfn.MAXIFS(BD!$A$3:$A$5001,BD!$B$3:$B$5001,J$138,BD!$A$3:$A$5001,"&gt;="&amp;$C$7,BD!$A$3:$A$5001,"&lt;="&amp;$B166,BD!$W$3:$W$5001,"&lt;&gt;"))))</f>
        <v/>
      </c>
      <c r="K166" s="42" t="str">
        <f>IF(OR($B166="",$A166&gt;$B$9),"",IF(COUNTIFS(BD!$B$3:$B$5001,K$138,BD!$A$3:$A$5001,"&gt;="&amp;$C$7,BD!$A$3:$A$5001,"&lt;="&amp;$B166,BD!$W$3:$W$5001,"&lt;&gt;")=0,"",SUMIFS(BD!$W$3:$W$5001,BD!$B$3:$B$5001,K$138,BD!$A$3:$A$5001,_xlfn.MAXIFS(BD!$A$3:$A$5001,BD!$B$3:$B$5001,K$138,BD!$A$3:$A$5001,"&gt;="&amp;$C$7,BD!$A$3:$A$5001,"&lt;="&amp;$B166,BD!$W$3:$W$5001,"&lt;&gt;"))))</f>
        <v/>
      </c>
      <c r="L166" s="42" t="str">
        <f>IF(OR($B166="",$A166&gt;$B$9),"",IF(COUNTIFS(BD!$B$3:$B$5001,L$138,BD!$A$3:$A$5001,"&gt;="&amp;$C$7,BD!$A$3:$A$5001,"&lt;="&amp;$B166,BD!$W$3:$W$5001,"&lt;&gt;")=0,"",SUMIFS(BD!$W$3:$W$5001,BD!$B$3:$B$5001,L$138,BD!$A$3:$A$5001,_xlfn.MAXIFS(BD!$A$3:$A$5001,BD!$B$3:$B$5001,L$138,BD!$A$3:$A$5001,"&gt;="&amp;$C$7,BD!$A$3:$A$5001,"&lt;="&amp;$B166,BD!$W$3:$W$5001,"&lt;&gt;"))))</f>
        <v/>
      </c>
    </row>
    <row r="167">
      <c r="A167" s="40">
        <v>29</v>
      </c>
      <c r="B167" s="41">
        <f>$B$40</f>
        <v>46324</v>
      </c>
      <c r="C167" s="42" t="str">
        <f>IF(OR($B167="",$A167&gt;$B$9),"",IF(COUNTIFS(BD!$B$3:$B$5001,C$138,BD!$A$3:$A$5001,"&gt;="&amp;$C$7,BD!$A$3:$A$5001,"&lt;="&amp;$B167,BD!$W$3:$W$5001,"&lt;&gt;")=0,"",SUMIFS(BD!$W$3:$W$5001,BD!$B$3:$B$5001,C$138,BD!$A$3:$A$5001,_xlfn.MAXIFS(BD!$A$3:$A$5001,BD!$B$3:$B$5001,C$138,BD!$A$3:$A$5001,"&gt;="&amp;$C$7,BD!$A$3:$A$5001,"&lt;="&amp;$B167,BD!$W$3:$W$5001,"&lt;&gt;"))))</f>
        <v/>
      </c>
      <c r="D167" s="42" t="str">
        <f>IF(OR($B167="",$A167&gt;$B$9),"",IF(COUNTIFS(BD!$B$3:$B$5001,D$138,BD!$A$3:$A$5001,"&gt;="&amp;$C$7,BD!$A$3:$A$5001,"&lt;="&amp;$B167,BD!$W$3:$W$5001,"&lt;&gt;")=0,"",SUMIFS(BD!$W$3:$W$5001,BD!$B$3:$B$5001,D$138,BD!$A$3:$A$5001,_xlfn.MAXIFS(BD!$A$3:$A$5001,BD!$B$3:$B$5001,D$138,BD!$A$3:$A$5001,"&gt;="&amp;$C$7,BD!$A$3:$A$5001,"&lt;="&amp;$B167,BD!$W$3:$W$5001,"&lt;&gt;"))))</f>
        <v/>
      </c>
      <c r="E167" s="42" t="str">
        <f>IF(OR($B167="",$A167&gt;$B$9),"",IF(COUNTIFS(BD!$B$3:$B$5001,E$138,BD!$A$3:$A$5001,"&gt;="&amp;$C$7,BD!$A$3:$A$5001,"&lt;="&amp;$B167,BD!$W$3:$W$5001,"&lt;&gt;")=0,"",SUMIFS(BD!$W$3:$W$5001,BD!$B$3:$B$5001,E$138,BD!$A$3:$A$5001,_xlfn.MAXIFS(BD!$A$3:$A$5001,BD!$B$3:$B$5001,E$138,BD!$A$3:$A$5001,"&gt;="&amp;$C$7,BD!$A$3:$A$5001,"&lt;="&amp;$B167,BD!$W$3:$W$5001,"&lt;&gt;"))))</f>
        <v/>
      </c>
      <c r="F167" s="42" t="str">
        <f>IF(OR($B167="",$A167&gt;$B$9),"",IF(COUNTIFS(BD!$B$3:$B$5001,F$138,BD!$A$3:$A$5001,"&gt;="&amp;$C$7,BD!$A$3:$A$5001,"&lt;="&amp;$B167,BD!$W$3:$W$5001,"&lt;&gt;")=0,"",SUMIFS(BD!$W$3:$W$5001,BD!$B$3:$B$5001,F$138,BD!$A$3:$A$5001,_xlfn.MAXIFS(BD!$A$3:$A$5001,BD!$B$3:$B$5001,F$138,BD!$A$3:$A$5001,"&gt;="&amp;$C$7,BD!$A$3:$A$5001,"&lt;="&amp;$B167,BD!$W$3:$W$5001,"&lt;&gt;"))))</f>
        <v/>
      </c>
      <c r="G167" s="42" t="str">
        <f>IF(OR($B167="",$A167&gt;$B$9),"",IF(COUNTIFS(BD!$B$3:$B$5001,G$138,BD!$A$3:$A$5001,"&gt;="&amp;$C$7,BD!$A$3:$A$5001,"&lt;="&amp;$B167,BD!$W$3:$W$5001,"&lt;&gt;")=0,"",SUMIFS(BD!$W$3:$W$5001,BD!$B$3:$B$5001,G$138,BD!$A$3:$A$5001,_xlfn.MAXIFS(BD!$A$3:$A$5001,BD!$B$3:$B$5001,G$138,BD!$A$3:$A$5001,"&gt;="&amp;$C$7,BD!$A$3:$A$5001,"&lt;="&amp;$B167,BD!$W$3:$W$5001,"&lt;&gt;"))))</f>
        <v/>
      </c>
      <c r="H167" s="42" t="str">
        <f>IF(OR($B167="",$A167&gt;$B$9),"",IF(COUNTIFS(BD!$B$3:$B$5001,H$138,BD!$A$3:$A$5001,"&gt;="&amp;$C$7,BD!$A$3:$A$5001,"&lt;="&amp;$B167,BD!$W$3:$W$5001,"&lt;&gt;")=0,"",SUMIFS(BD!$W$3:$W$5001,BD!$B$3:$B$5001,H$138,BD!$A$3:$A$5001,_xlfn.MAXIFS(BD!$A$3:$A$5001,BD!$B$3:$B$5001,H$138,BD!$A$3:$A$5001,"&gt;="&amp;$C$7,BD!$A$3:$A$5001,"&lt;="&amp;$B167,BD!$W$3:$W$5001,"&lt;&gt;"))))</f>
        <v/>
      </c>
      <c r="I167" s="42" t="str">
        <f>IF(OR($B167="",$A167&gt;$B$9),"",IF(COUNTIFS(BD!$B$3:$B$5001,I$138,BD!$A$3:$A$5001,"&gt;="&amp;$C$7,BD!$A$3:$A$5001,"&lt;="&amp;$B167,BD!$W$3:$W$5001,"&lt;&gt;")=0,"",SUMIFS(BD!$W$3:$W$5001,BD!$B$3:$B$5001,I$138,BD!$A$3:$A$5001,_xlfn.MAXIFS(BD!$A$3:$A$5001,BD!$B$3:$B$5001,I$138,BD!$A$3:$A$5001,"&gt;="&amp;$C$7,BD!$A$3:$A$5001,"&lt;="&amp;$B167,BD!$W$3:$W$5001,"&lt;&gt;"))))</f>
        <v/>
      </c>
      <c r="J167" s="42" t="str">
        <f>IF(OR($B167="",$A167&gt;$B$9),"",IF(COUNTIFS(BD!$B$3:$B$5001,J$138,BD!$A$3:$A$5001,"&gt;="&amp;$C$7,BD!$A$3:$A$5001,"&lt;="&amp;$B167,BD!$W$3:$W$5001,"&lt;&gt;")=0,"",SUMIFS(BD!$W$3:$W$5001,BD!$B$3:$B$5001,J$138,BD!$A$3:$A$5001,_xlfn.MAXIFS(BD!$A$3:$A$5001,BD!$B$3:$B$5001,J$138,BD!$A$3:$A$5001,"&gt;="&amp;$C$7,BD!$A$3:$A$5001,"&lt;="&amp;$B167,BD!$W$3:$W$5001,"&lt;&gt;"))))</f>
        <v/>
      </c>
      <c r="K167" s="42" t="str">
        <f>IF(OR($B167="",$A167&gt;$B$9),"",IF(COUNTIFS(BD!$B$3:$B$5001,K$138,BD!$A$3:$A$5001,"&gt;="&amp;$C$7,BD!$A$3:$A$5001,"&lt;="&amp;$B167,BD!$W$3:$W$5001,"&lt;&gt;")=0,"",SUMIFS(BD!$W$3:$W$5001,BD!$B$3:$B$5001,K$138,BD!$A$3:$A$5001,_xlfn.MAXIFS(BD!$A$3:$A$5001,BD!$B$3:$B$5001,K$138,BD!$A$3:$A$5001,"&gt;="&amp;$C$7,BD!$A$3:$A$5001,"&lt;="&amp;$B167,BD!$W$3:$W$5001,"&lt;&gt;"))))</f>
        <v/>
      </c>
      <c r="L167" s="42" t="str">
        <f>IF(OR($B167="",$A167&gt;$B$9),"",IF(COUNTIFS(BD!$B$3:$B$5001,L$138,BD!$A$3:$A$5001,"&gt;="&amp;$C$7,BD!$A$3:$A$5001,"&lt;="&amp;$B167,BD!$W$3:$W$5001,"&lt;&gt;")=0,"",SUMIFS(BD!$W$3:$W$5001,BD!$B$3:$B$5001,L$138,BD!$A$3:$A$5001,_xlfn.MAXIFS(BD!$A$3:$A$5001,BD!$B$3:$B$5001,L$138,BD!$A$3:$A$5001,"&gt;="&amp;$C$7,BD!$A$3:$A$5001,"&lt;="&amp;$B167,BD!$W$3:$W$5001,"&lt;&gt;"))))</f>
        <v/>
      </c>
    </row>
    <row r="168">
      <c r="A168" s="40">
        <v>30</v>
      </c>
      <c r="B168" s="41">
        <f>$B$41</f>
        <v>46325</v>
      </c>
      <c r="C168" s="42" t="str">
        <f>IF(OR($B168="",$A168&gt;$B$9),"",IF(COUNTIFS(BD!$B$3:$B$5001,C$138,BD!$A$3:$A$5001,"&gt;="&amp;$C$7,BD!$A$3:$A$5001,"&lt;="&amp;$B168,BD!$W$3:$W$5001,"&lt;&gt;")=0,"",SUMIFS(BD!$W$3:$W$5001,BD!$B$3:$B$5001,C$138,BD!$A$3:$A$5001,_xlfn.MAXIFS(BD!$A$3:$A$5001,BD!$B$3:$B$5001,C$138,BD!$A$3:$A$5001,"&gt;="&amp;$C$7,BD!$A$3:$A$5001,"&lt;="&amp;$B168,BD!$W$3:$W$5001,"&lt;&gt;"))))</f>
        <v/>
      </c>
      <c r="D168" s="42" t="str">
        <f>IF(OR($B168="",$A168&gt;$B$9),"",IF(COUNTIFS(BD!$B$3:$B$5001,D$138,BD!$A$3:$A$5001,"&gt;="&amp;$C$7,BD!$A$3:$A$5001,"&lt;="&amp;$B168,BD!$W$3:$W$5001,"&lt;&gt;")=0,"",SUMIFS(BD!$W$3:$W$5001,BD!$B$3:$B$5001,D$138,BD!$A$3:$A$5001,_xlfn.MAXIFS(BD!$A$3:$A$5001,BD!$B$3:$B$5001,D$138,BD!$A$3:$A$5001,"&gt;="&amp;$C$7,BD!$A$3:$A$5001,"&lt;="&amp;$B168,BD!$W$3:$W$5001,"&lt;&gt;"))))</f>
        <v/>
      </c>
      <c r="E168" s="42" t="str">
        <f>IF(OR($B168="",$A168&gt;$B$9),"",IF(COUNTIFS(BD!$B$3:$B$5001,E$138,BD!$A$3:$A$5001,"&gt;="&amp;$C$7,BD!$A$3:$A$5001,"&lt;="&amp;$B168,BD!$W$3:$W$5001,"&lt;&gt;")=0,"",SUMIFS(BD!$W$3:$W$5001,BD!$B$3:$B$5001,E$138,BD!$A$3:$A$5001,_xlfn.MAXIFS(BD!$A$3:$A$5001,BD!$B$3:$B$5001,E$138,BD!$A$3:$A$5001,"&gt;="&amp;$C$7,BD!$A$3:$A$5001,"&lt;="&amp;$B168,BD!$W$3:$W$5001,"&lt;&gt;"))))</f>
        <v/>
      </c>
      <c r="F168" s="42" t="str">
        <f>IF(OR($B168="",$A168&gt;$B$9),"",IF(COUNTIFS(BD!$B$3:$B$5001,F$138,BD!$A$3:$A$5001,"&gt;="&amp;$C$7,BD!$A$3:$A$5001,"&lt;="&amp;$B168,BD!$W$3:$W$5001,"&lt;&gt;")=0,"",SUMIFS(BD!$W$3:$W$5001,BD!$B$3:$B$5001,F$138,BD!$A$3:$A$5001,_xlfn.MAXIFS(BD!$A$3:$A$5001,BD!$B$3:$B$5001,F$138,BD!$A$3:$A$5001,"&gt;="&amp;$C$7,BD!$A$3:$A$5001,"&lt;="&amp;$B168,BD!$W$3:$W$5001,"&lt;&gt;"))))</f>
        <v/>
      </c>
      <c r="G168" s="42" t="str">
        <f>IF(OR($B168="",$A168&gt;$B$9),"",IF(COUNTIFS(BD!$B$3:$B$5001,G$138,BD!$A$3:$A$5001,"&gt;="&amp;$C$7,BD!$A$3:$A$5001,"&lt;="&amp;$B168,BD!$W$3:$W$5001,"&lt;&gt;")=0,"",SUMIFS(BD!$W$3:$W$5001,BD!$B$3:$B$5001,G$138,BD!$A$3:$A$5001,_xlfn.MAXIFS(BD!$A$3:$A$5001,BD!$B$3:$B$5001,G$138,BD!$A$3:$A$5001,"&gt;="&amp;$C$7,BD!$A$3:$A$5001,"&lt;="&amp;$B168,BD!$W$3:$W$5001,"&lt;&gt;"))))</f>
        <v/>
      </c>
      <c r="H168" s="42" t="str">
        <f>IF(OR($B168="",$A168&gt;$B$9),"",IF(COUNTIFS(BD!$B$3:$B$5001,H$138,BD!$A$3:$A$5001,"&gt;="&amp;$C$7,BD!$A$3:$A$5001,"&lt;="&amp;$B168,BD!$W$3:$W$5001,"&lt;&gt;")=0,"",SUMIFS(BD!$W$3:$W$5001,BD!$B$3:$B$5001,H$138,BD!$A$3:$A$5001,_xlfn.MAXIFS(BD!$A$3:$A$5001,BD!$B$3:$B$5001,H$138,BD!$A$3:$A$5001,"&gt;="&amp;$C$7,BD!$A$3:$A$5001,"&lt;="&amp;$B168,BD!$W$3:$W$5001,"&lt;&gt;"))))</f>
        <v/>
      </c>
      <c r="I168" s="42" t="str">
        <f>IF(OR($B168="",$A168&gt;$B$9),"",IF(COUNTIFS(BD!$B$3:$B$5001,I$138,BD!$A$3:$A$5001,"&gt;="&amp;$C$7,BD!$A$3:$A$5001,"&lt;="&amp;$B168,BD!$W$3:$W$5001,"&lt;&gt;")=0,"",SUMIFS(BD!$W$3:$W$5001,BD!$B$3:$B$5001,I$138,BD!$A$3:$A$5001,_xlfn.MAXIFS(BD!$A$3:$A$5001,BD!$B$3:$B$5001,I$138,BD!$A$3:$A$5001,"&gt;="&amp;$C$7,BD!$A$3:$A$5001,"&lt;="&amp;$B168,BD!$W$3:$W$5001,"&lt;&gt;"))))</f>
        <v/>
      </c>
      <c r="J168" s="42" t="str">
        <f>IF(OR($B168="",$A168&gt;$B$9),"",IF(COUNTIFS(BD!$B$3:$B$5001,J$138,BD!$A$3:$A$5001,"&gt;="&amp;$C$7,BD!$A$3:$A$5001,"&lt;="&amp;$B168,BD!$W$3:$W$5001,"&lt;&gt;")=0,"",SUMIFS(BD!$W$3:$W$5001,BD!$B$3:$B$5001,J$138,BD!$A$3:$A$5001,_xlfn.MAXIFS(BD!$A$3:$A$5001,BD!$B$3:$B$5001,J$138,BD!$A$3:$A$5001,"&gt;="&amp;$C$7,BD!$A$3:$A$5001,"&lt;="&amp;$B168,BD!$W$3:$W$5001,"&lt;&gt;"))))</f>
        <v/>
      </c>
      <c r="K168" s="42" t="str">
        <f>IF(OR($B168="",$A168&gt;$B$9),"",IF(COUNTIFS(BD!$B$3:$B$5001,K$138,BD!$A$3:$A$5001,"&gt;="&amp;$C$7,BD!$A$3:$A$5001,"&lt;="&amp;$B168,BD!$W$3:$W$5001,"&lt;&gt;")=0,"",SUMIFS(BD!$W$3:$W$5001,BD!$B$3:$B$5001,K$138,BD!$A$3:$A$5001,_xlfn.MAXIFS(BD!$A$3:$A$5001,BD!$B$3:$B$5001,K$138,BD!$A$3:$A$5001,"&gt;="&amp;$C$7,BD!$A$3:$A$5001,"&lt;="&amp;$B168,BD!$W$3:$W$5001,"&lt;&gt;"))))</f>
        <v/>
      </c>
      <c r="L168" s="42" t="str">
        <f>IF(OR($B168="",$A168&gt;$B$9),"",IF(COUNTIFS(BD!$B$3:$B$5001,L$138,BD!$A$3:$A$5001,"&gt;="&amp;$C$7,BD!$A$3:$A$5001,"&lt;="&amp;$B168,BD!$W$3:$W$5001,"&lt;&gt;")=0,"",SUMIFS(BD!$W$3:$W$5001,BD!$B$3:$B$5001,L$138,BD!$A$3:$A$5001,_xlfn.MAXIFS(BD!$A$3:$A$5001,BD!$B$3:$B$5001,L$138,BD!$A$3:$A$5001,"&gt;="&amp;$C$7,BD!$A$3:$A$5001,"&lt;="&amp;$B168,BD!$W$3:$W$5001,"&lt;&gt;"))))</f>
        <v/>
      </c>
    </row>
    <row r="169">
      <c r="A169" s="40">
        <v>31</v>
      </c>
      <c r="B169" s="41">
        <f>$B$42</f>
        <v>46326</v>
      </c>
      <c r="C169" s="42" t="str">
        <f>IF(OR($B169="",$A169&gt;$B$9),"",IF(COUNTIFS(BD!$B$3:$B$5001,C$138,BD!$A$3:$A$5001,"&gt;="&amp;$C$7,BD!$A$3:$A$5001,"&lt;="&amp;$B169,BD!$W$3:$W$5001,"&lt;&gt;")=0,"",SUMIFS(BD!$W$3:$W$5001,BD!$B$3:$B$5001,C$138,BD!$A$3:$A$5001,_xlfn.MAXIFS(BD!$A$3:$A$5001,BD!$B$3:$B$5001,C$138,BD!$A$3:$A$5001,"&gt;="&amp;$C$7,BD!$A$3:$A$5001,"&lt;="&amp;$B169,BD!$W$3:$W$5001,"&lt;&gt;"))))</f>
        <v/>
      </c>
      <c r="D169" s="42" t="str">
        <f>IF(OR($B169="",$A169&gt;$B$9),"",IF(COUNTIFS(BD!$B$3:$B$5001,D$138,BD!$A$3:$A$5001,"&gt;="&amp;$C$7,BD!$A$3:$A$5001,"&lt;="&amp;$B169,BD!$W$3:$W$5001,"&lt;&gt;")=0,"",SUMIFS(BD!$W$3:$W$5001,BD!$B$3:$B$5001,D$138,BD!$A$3:$A$5001,_xlfn.MAXIFS(BD!$A$3:$A$5001,BD!$B$3:$B$5001,D$138,BD!$A$3:$A$5001,"&gt;="&amp;$C$7,BD!$A$3:$A$5001,"&lt;="&amp;$B169,BD!$W$3:$W$5001,"&lt;&gt;"))))</f>
        <v/>
      </c>
      <c r="E169" s="42" t="str">
        <f>IF(OR($B169="",$A169&gt;$B$9),"",IF(COUNTIFS(BD!$B$3:$B$5001,E$138,BD!$A$3:$A$5001,"&gt;="&amp;$C$7,BD!$A$3:$A$5001,"&lt;="&amp;$B169,BD!$W$3:$W$5001,"&lt;&gt;")=0,"",SUMIFS(BD!$W$3:$W$5001,BD!$B$3:$B$5001,E$138,BD!$A$3:$A$5001,_xlfn.MAXIFS(BD!$A$3:$A$5001,BD!$B$3:$B$5001,E$138,BD!$A$3:$A$5001,"&gt;="&amp;$C$7,BD!$A$3:$A$5001,"&lt;="&amp;$B169,BD!$W$3:$W$5001,"&lt;&gt;"))))</f>
        <v/>
      </c>
      <c r="F169" s="42" t="str">
        <f>IF(OR($B169="",$A169&gt;$B$9),"",IF(COUNTIFS(BD!$B$3:$B$5001,F$138,BD!$A$3:$A$5001,"&gt;="&amp;$C$7,BD!$A$3:$A$5001,"&lt;="&amp;$B169,BD!$W$3:$W$5001,"&lt;&gt;")=0,"",SUMIFS(BD!$W$3:$W$5001,BD!$B$3:$B$5001,F$138,BD!$A$3:$A$5001,_xlfn.MAXIFS(BD!$A$3:$A$5001,BD!$B$3:$B$5001,F$138,BD!$A$3:$A$5001,"&gt;="&amp;$C$7,BD!$A$3:$A$5001,"&lt;="&amp;$B169,BD!$W$3:$W$5001,"&lt;&gt;"))))</f>
        <v/>
      </c>
      <c r="G169" s="42" t="str">
        <f>IF(OR($B169="",$A169&gt;$B$9),"",IF(COUNTIFS(BD!$B$3:$B$5001,G$138,BD!$A$3:$A$5001,"&gt;="&amp;$C$7,BD!$A$3:$A$5001,"&lt;="&amp;$B169,BD!$W$3:$W$5001,"&lt;&gt;")=0,"",SUMIFS(BD!$W$3:$W$5001,BD!$B$3:$B$5001,G$138,BD!$A$3:$A$5001,_xlfn.MAXIFS(BD!$A$3:$A$5001,BD!$B$3:$B$5001,G$138,BD!$A$3:$A$5001,"&gt;="&amp;$C$7,BD!$A$3:$A$5001,"&lt;="&amp;$B169,BD!$W$3:$W$5001,"&lt;&gt;"))))</f>
        <v/>
      </c>
      <c r="H169" s="42" t="str">
        <f>IF(OR($B169="",$A169&gt;$B$9),"",IF(COUNTIFS(BD!$B$3:$B$5001,H$138,BD!$A$3:$A$5001,"&gt;="&amp;$C$7,BD!$A$3:$A$5001,"&lt;="&amp;$B169,BD!$W$3:$W$5001,"&lt;&gt;")=0,"",SUMIFS(BD!$W$3:$W$5001,BD!$B$3:$B$5001,H$138,BD!$A$3:$A$5001,_xlfn.MAXIFS(BD!$A$3:$A$5001,BD!$B$3:$B$5001,H$138,BD!$A$3:$A$5001,"&gt;="&amp;$C$7,BD!$A$3:$A$5001,"&lt;="&amp;$B169,BD!$W$3:$W$5001,"&lt;&gt;"))))</f>
        <v/>
      </c>
      <c r="I169" s="42" t="str">
        <f>IF(OR($B169="",$A169&gt;$B$9),"",IF(COUNTIFS(BD!$B$3:$B$5001,I$138,BD!$A$3:$A$5001,"&gt;="&amp;$C$7,BD!$A$3:$A$5001,"&lt;="&amp;$B169,BD!$W$3:$W$5001,"&lt;&gt;")=0,"",SUMIFS(BD!$W$3:$W$5001,BD!$B$3:$B$5001,I$138,BD!$A$3:$A$5001,_xlfn.MAXIFS(BD!$A$3:$A$5001,BD!$B$3:$B$5001,I$138,BD!$A$3:$A$5001,"&gt;="&amp;$C$7,BD!$A$3:$A$5001,"&lt;="&amp;$B169,BD!$W$3:$W$5001,"&lt;&gt;"))))</f>
        <v/>
      </c>
      <c r="J169" s="42" t="str">
        <f>IF(OR($B169="",$A169&gt;$B$9),"",IF(COUNTIFS(BD!$B$3:$B$5001,J$138,BD!$A$3:$A$5001,"&gt;="&amp;$C$7,BD!$A$3:$A$5001,"&lt;="&amp;$B169,BD!$W$3:$W$5001,"&lt;&gt;")=0,"",SUMIFS(BD!$W$3:$W$5001,BD!$B$3:$B$5001,J$138,BD!$A$3:$A$5001,_xlfn.MAXIFS(BD!$A$3:$A$5001,BD!$B$3:$B$5001,J$138,BD!$A$3:$A$5001,"&gt;="&amp;$C$7,BD!$A$3:$A$5001,"&lt;="&amp;$B169,BD!$W$3:$W$5001,"&lt;&gt;"))))</f>
        <v/>
      </c>
      <c r="K169" s="42" t="str">
        <f>IF(OR($B169="",$A169&gt;$B$9),"",IF(COUNTIFS(BD!$B$3:$B$5001,K$138,BD!$A$3:$A$5001,"&gt;="&amp;$C$7,BD!$A$3:$A$5001,"&lt;="&amp;$B169,BD!$W$3:$W$5001,"&lt;&gt;")=0,"",SUMIFS(BD!$W$3:$W$5001,BD!$B$3:$B$5001,K$138,BD!$A$3:$A$5001,_xlfn.MAXIFS(BD!$A$3:$A$5001,BD!$B$3:$B$5001,K$138,BD!$A$3:$A$5001,"&gt;="&amp;$C$7,BD!$A$3:$A$5001,"&lt;="&amp;$B169,BD!$W$3:$W$5001,"&lt;&gt;"))))</f>
        <v/>
      </c>
      <c r="L169" s="42" t="str">
        <f>IF(OR($B169="",$A169&gt;$B$9),"",IF(COUNTIFS(BD!$B$3:$B$5001,L$138,BD!$A$3:$A$5001,"&gt;="&amp;$C$7,BD!$A$3:$A$5001,"&lt;="&amp;$B169,BD!$W$3:$W$5001,"&lt;&gt;")=0,"",SUMIFS(BD!$W$3:$W$5001,BD!$B$3:$B$5001,L$138,BD!$A$3:$A$5001,_xlfn.MAXIFS(BD!$A$3:$A$5001,BD!$B$3:$B$5001,L$138,BD!$A$3:$A$5001,"&gt;="&amp;$C$7,BD!$A$3:$A$5001,"&lt;="&amp;$B169,BD!$W$3:$W$5001,"&lt;&gt;"))))</f>
        <v/>
      </c>
    </row>
    <row r="170">
      <c r="A170" s="43" t="inlineStr">
        <is>
          <t xml:space="preserve">Mês anterior (último)</t>
        </is>
      </c>
      <c r="C170" s="44" t="str">
        <f>IF(COUNTIFS(BD!$B$3:$B$5001,C$138,BD!$A$3:$A$5001,"&gt;="&amp;$C$8,BD!$A$3:$A$5001,"&lt;="&amp;$D$8,BD!$W$3:$W$5001,"&lt;&gt;")=0,"",SUMIFS(BD!$W$3:$W$5001,BD!$B$3:$B$5001,C$138,BD!$A$3:$A$5001,_xlfn.MAXIFS(BD!$A$3:$A$5001,BD!$B$3:$B$5001,C$138,BD!$A$3:$A$5001,"&gt;="&amp;$C$8,BD!$A$3:$A$5001,"&lt;="&amp;$D$8,BD!$W$3:$W$5001,"&lt;&gt;")))</f>
        <v/>
      </c>
      <c r="D170" s="44" t="str">
        <f>IF(COUNTIFS(BD!$B$3:$B$5001,D$138,BD!$A$3:$A$5001,"&gt;="&amp;$C$8,BD!$A$3:$A$5001,"&lt;="&amp;$D$8,BD!$W$3:$W$5001,"&lt;&gt;")=0,"",SUMIFS(BD!$W$3:$W$5001,BD!$B$3:$B$5001,D$138,BD!$A$3:$A$5001,_xlfn.MAXIFS(BD!$A$3:$A$5001,BD!$B$3:$B$5001,D$138,BD!$A$3:$A$5001,"&gt;="&amp;$C$8,BD!$A$3:$A$5001,"&lt;="&amp;$D$8,BD!$W$3:$W$5001,"&lt;&gt;")))</f>
        <v/>
      </c>
      <c r="E170" s="44" t="str">
        <f>IF(COUNTIFS(BD!$B$3:$B$5001,E$138,BD!$A$3:$A$5001,"&gt;="&amp;$C$8,BD!$A$3:$A$5001,"&lt;="&amp;$D$8,BD!$W$3:$W$5001,"&lt;&gt;")=0,"",SUMIFS(BD!$W$3:$W$5001,BD!$B$3:$B$5001,E$138,BD!$A$3:$A$5001,_xlfn.MAXIFS(BD!$A$3:$A$5001,BD!$B$3:$B$5001,E$138,BD!$A$3:$A$5001,"&gt;="&amp;$C$8,BD!$A$3:$A$5001,"&lt;="&amp;$D$8,BD!$W$3:$W$5001,"&lt;&gt;")))</f>
        <v/>
      </c>
      <c r="F170" s="44" t="str">
        <f>IF(COUNTIFS(BD!$B$3:$B$5001,F$138,BD!$A$3:$A$5001,"&gt;="&amp;$C$8,BD!$A$3:$A$5001,"&lt;="&amp;$D$8,BD!$W$3:$W$5001,"&lt;&gt;")=0,"",SUMIFS(BD!$W$3:$W$5001,BD!$B$3:$B$5001,F$138,BD!$A$3:$A$5001,_xlfn.MAXIFS(BD!$A$3:$A$5001,BD!$B$3:$B$5001,F$138,BD!$A$3:$A$5001,"&gt;="&amp;$C$8,BD!$A$3:$A$5001,"&lt;="&amp;$D$8,BD!$W$3:$W$5001,"&lt;&gt;")))</f>
        <v/>
      </c>
      <c r="G170" s="44" t="str">
        <f>IF(COUNTIFS(BD!$B$3:$B$5001,G$138,BD!$A$3:$A$5001,"&gt;="&amp;$C$8,BD!$A$3:$A$5001,"&lt;="&amp;$D$8,BD!$W$3:$W$5001,"&lt;&gt;")=0,"",SUMIFS(BD!$W$3:$W$5001,BD!$B$3:$B$5001,G$138,BD!$A$3:$A$5001,_xlfn.MAXIFS(BD!$A$3:$A$5001,BD!$B$3:$B$5001,G$138,BD!$A$3:$A$5001,"&gt;="&amp;$C$8,BD!$A$3:$A$5001,"&lt;="&amp;$D$8,BD!$W$3:$W$5001,"&lt;&gt;")))</f>
        <v/>
      </c>
      <c r="H170" s="44" t="str">
        <f>IF(COUNTIFS(BD!$B$3:$B$5001,H$138,BD!$A$3:$A$5001,"&gt;="&amp;$C$8,BD!$A$3:$A$5001,"&lt;="&amp;$D$8,BD!$W$3:$W$5001,"&lt;&gt;")=0,"",SUMIFS(BD!$W$3:$W$5001,BD!$B$3:$B$5001,H$138,BD!$A$3:$A$5001,_xlfn.MAXIFS(BD!$A$3:$A$5001,BD!$B$3:$B$5001,H$138,BD!$A$3:$A$5001,"&gt;="&amp;$C$8,BD!$A$3:$A$5001,"&lt;="&amp;$D$8,BD!$W$3:$W$5001,"&lt;&gt;")))</f>
        <v/>
      </c>
      <c r="I170" s="44" t="str">
        <f>IF(COUNTIFS(BD!$B$3:$B$5001,I$138,BD!$A$3:$A$5001,"&gt;="&amp;$C$8,BD!$A$3:$A$5001,"&lt;="&amp;$D$8,BD!$W$3:$W$5001,"&lt;&gt;")=0,"",SUMIFS(BD!$W$3:$W$5001,BD!$B$3:$B$5001,I$138,BD!$A$3:$A$5001,_xlfn.MAXIFS(BD!$A$3:$A$5001,BD!$B$3:$B$5001,I$138,BD!$A$3:$A$5001,"&gt;="&amp;$C$8,BD!$A$3:$A$5001,"&lt;="&amp;$D$8,BD!$W$3:$W$5001,"&lt;&gt;")))</f>
        <v/>
      </c>
      <c r="J170" s="44" t="str">
        <f>IF(COUNTIFS(BD!$B$3:$B$5001,J$138,BD!$A$3:$A$5001,"&gt;="&amp;$C$8,BD!$A$3:$A$5001,"&lt;="&amp;$D$8,BD!$W$3:$W$5001,"&lt;&gt;")=0,"",SUMIFS(BD!$W$3:$W$5001,BD!$B$3:$B$5001,J$138,BD!$A$3:$A$5001,_xlfn.MAXIFS(BD!$A$3:$A$5001,BD!$B$3:$B$5001,J$138,BD!$A$3:$A$5001,"&gt;="&amp;$C$8,BD!$A$3:$A$5001,"&lt;="&amp;$D$8,BD!$W$3:$W$5001,"&lt;&gt;")))</f>
        <v/>
      </c>
      <c r="K170" s="44" t="str">
        <f>IF(COUNTIFS(BD!$B$3:$B$5001,K$138,BD!$A$3:$A$5001,"&gt;="&amp;$C$8,BD!$A$3:$A$5001,"&lt;="&amp;$D$8,BD!$W$3:$W$5001,"&lt;&gt;")=0,"",SUMIFS(BD!$W$3:$W$5001,BD!$B$3:$B$5001,K$138,BD!$A$3:$A$5001,_xlfn.MAXIFS(BD!$A$3:$A$5001,BD!$B$3:$B$5001,K$138,BD!$A$3:$A$5001,"&gt;="&amp;$C$8,BD!$A$3:$A$5001,"&lt;="&amp;$D$8,BD!$W$3:$W$5001,"&lt;&gt;")))</f>
        <v/>
      </c>
      <c r="L170" s="44" t="str">
        <f>IF(COUNTIFS(BD!$B$3:$B$5001,L$138,BD!$A$3:$A$5001,"&gt;="&amp;$C$8,BD!$A$3:$A$5001,"&lt;="&amp;$D$8,BD!$W$3:$W$5001,"&lt;&gt;")=0,"",SUMIFS(BD!$W$3:$W$5001,BD!$B$3:$B$5001,L$138,BD!$A$3:$A$5001,_xlfn.MAXIFS(BD!$A$3:$A$5001,BD!$B$3:$B$5001,L$138,BD!$A$3:$A$5001,"&gt;="&amp;$C$8,BD!$A$3:$A$5001,"&lt;="&amp;$D$8,BD!$W$3:$W$5001,"&lt;&gt;")))</f>
        <v/>
      </c>
    </row>
    <row r="171">
      <c r="A171" s="43" t="inlineStr">
        <is>
          <t xml:space="preserve">Depósito</t>
        </is>
      </c>
      <c r="C171" s="40" t="inlineStr">
        <is>
          <t xml:space="preserve">TPC</t>
        </is>
      </c>
      <c r="D171" s="40" t="inlineStr">
        <is>
          <t xml:space="preserve">TPC</t>
        </is>
      </c>
      <c r="E171" s="40" t="inlineStr">
        <is>
          <t xml:space="preserve">TPC</t>
        </is>
      </c>
      <c r="F171" s="40" t="inlineStr">
        <is>
          <t xml:space="preserve">TPC</t>
        </is>
      </c>
      <c r="G171" s="40" t="inlineStr">
        <is>
          <t xml:space="preserve">TPC</t>
        </is>
      </c>
      <c r="H171" s="40" t="inlineStr">
        <is>
          <t xml:space="preserve">TPC</t>
        </is>
      </c>
      <c r="I171" s="40" t="inlineStr">
        <is>
          <t xml:space="preserve">TPC</t>
        </is>
      </c>
      <c r="J171" s="40" t="inlineStr">
        <is>
          <t xml:space="preserve">TPC</t>
        </is>
      </c>
      <c r="K171" s="40" t="inlineStr">
        <is>
          <t xml:space="preserve">TPC</t>
        </is>
      </c>
      <c r="L171" s="40" t="inlineStr">
        <is>
          <t xml:space="preserve">TPC</t>
        </is>
      </c>
    </row>
    <row r="173">
      <c r="A173" s="37" t="inlineStr">
        <is>
          <t xml:space="preserve">Posições Ocupadas</t>
        </is>
      </c>
      <c r="B173" s="37" t="inlineStr">
        <is>
          <t xml:space="preserve">Data</t>
        </is>
      </c>
      <c r="C173" s="37" t="inlineStr">
        <is>
          <t xml:space="preserve">Alpargatas</t>
        </is>
      </c>
      <c r="D173" s="37" t="inlineStr">
        <is>
          <t xml:space="preserve">Basf</t>
        </is>
      </c>
      <c r="E173" s="37" t="inlineStr">
        <is>
          <t xml:space="preserve">Beautybiz</t>
        </is>
      </c>
      <c r="F173" s="37" t="inlineStr">
        <is>
          <t xml:space="preserve">Boticário</t>
        </is>
      </c>
      <c r="G173" s="37" t="inlineStr">
        <is>
          <t xml:space="preserve">Confiance</t>
        </is>
      </c>
      <c r="H173" s="37" t="inlineStr">
        <is>
          <t xml:space="preserve">GE Vernova</t>
        </is>
      </c>
      <c r="I173" s="37" t="inlineStr">
        <is>
          <t xml:space="preserve">Omnilife</t>
        </is>
      </c>
      <c r="J173" s="37" t="inlineStr">
        <is>
          <t xml:space="preserve">Supply</t>
        </is>
      </c>
      <c r="K173" s="37" t="inlineStr">
        <is>
          <t xml:space="preserve">Vedacit</t>
        </is>
      </c>
      <c r="L173" s="37" t="inlineStr">
        <is>
          <t xml:space="preserve">Vestas</t>
        </is>
      </c>
    </row>
    <row r="174">
      <c r="A174" s="40">
        <v>1</v>
      </c>
      <c r="B174" s="41">
        <f>$B$12</f>
        <v>46296</v>
      </c>
      <c r="C174" s="42" t="str">
        <f>IF(OR($B174="",$A174&gt;$B$9),"",IF(COUNTIFS(BD!$B$3:$B$5001,C$173,BD!$A$3:$A$5001,"&gt;="&amp;$C$7,BD!$A$3:$A$5001,"&lt;="&amp;$B174,BD!$Y$3:$Y$5001,"&lt;&gt;")=0,"",SUMIFS(BD!$Y$3:$Y$5001,BD!$B$3:$B$5001,C$173,BD!$A$3:$A$5001,_xlfn.MAXIFS(BD!$A$3:$A$5001,BD!$B$3:$B$5001,C$173,BD!$A$3:$A$5001,"&gt;="&amp;$C$7,BD!$A$3:$A$5001,"&lt;="&amp;$B174,BD!$Y$3:$Y$5001,"&lt;&gt;"))))</f>
        <v/>
      </c>
      <c r="D174" s="42" t="str">
        <f>IF(OR($B174="",$A174&gt;$B$9),"",IF(COUNTIFS(BD!$B$3:$B$5001,D$173,BD!$A$3:$A$5001,"&gt;="&amp;$C$7,BD!$A$3:$A$5001,"&lt;="&amp;$B174,BD!$Y$3:$Y$5001,"&lt;&gt;")=0,"",SUMIFS(BD!$Y$3:$Y$5001,BD!$B$3:$B$5001,D$173,BD!$A$3:$A$5001,_xlfn.MAXIFS(BD!$A$3:$A$5001,BD!$B$3:$B$5001,D$173,BD!$A$3:$A$5001,"&gt;="&amp;$C$7,BD!$A$3:$A$5001,"&lt;="&amp;$B174,BD!$Y$3:$Y$5001,"&lt;&gt;"))))</f>
        <v/>
      </c>
      <c r="E174" s="42" t="str">
        <f>IF(OR($B174="",$A174&gt;$B$9),"",IF(COUNTIFS(BD!$B$3:$B$5001,E$173,BD!$A$3:$A$5001,"&gt;="&amp;$C$7,BD!$A$3:$A$5001,"&lt;="&amp;$B174,BD!$Y$3:$Y$5001,"&lt;&gt;")=0,"",SUMIFS(BD!$Y$3:$Y$5001,BD!$B$3:$B$5001,E$173,BD!$A$3:$A$5001,_xlfn.MAXIFS(BD!$A$3:$A$5001,BD!$B$3:$B$5001,E$173,BD!$A$3:$A$5001,"&gt;="&amp;$C$7,BD!$A$3:$A$5001,"&lt;="&amp;$B174,BD!$Y$3:$Y$5001,"&lt;&gt;"))))</f>
        <v/>
      </c>
      <c r="F174" s="42" t="str">
        <f>IF(OR($B174="",$A174&gt;$B$9),"",IF(COUNTIFS(BD!$B$3:$B$5001,F$173,BD!$A$3:$A$5001,"&gt;="&amp;$C$7,BD!$A$3:$A$5001,"&lt;="&amp;$B174,BD!$Y$3:$Y$5001,"&lt;&gt;")=0,"",SUMIFS(BD!$Y$3:$Y$5001,BD!$B$3:$B$5001,F$173,BD!$A$3:$A$5001,_xlfn.MAXIFS(BD!$A$3:$A$5001,BD!$B$3:$B$5001,F$173,BD!$A$3:$A$5001,"&gt;="&amp;$C$7,BD!$A$3:$A$5001,"&lt;="&amp;$B174,BD!$Y$3:$Y$5001,"&lt;&gt;"))))</f>
        <v/>
      </c>
      <c r="G174" s="42" t="str">
        <f>IF(OR($B174="",$A174&gt;$B$9),"",IF(COUNTIFS(BD!$B$3:$B$5001,G$173,BD!$A$3:$A$5001,"&gt;="&amp;$C$7,BD!$A$3:$A$5001,"&lt;="&amp;$B174,BD!$Y$3:$Y$5001,"&lt;&gt;")=0,"",SUMIFS(BD!$Y$3:$Y$5001,BD!$B$3:$B$5001,G$173,BD!$A$3:$A$5001,_xlfn.MAXIFS(BD!$A$3:$A$5001,BD!$B$3:$B$5001,G$173,BD!$A$3:$A$5001,"&gt;="&amp;$C$7,BD!$A$3:$A$5001,"&lt;="&amp;$B174,BD!$Y$3:$Y$5001,"&lt;&gt;"))))</f>
        <v/>
      </c>
      <c r="H174" s="42" t="str">
        <f>IF(OR($B174="",$A174&gt;$B$9),"",IF(COUNTIFS(BD!$B$3:$B$5001,H$173,BD!$A$3:$A$5001,"&gt;="&amp;$C$7,BD!$A$3:$A$5001,"&lt;="&amp;$B174,BD!$Y$3:$Y$5001,"&lt;&gt;")=0,"",SUMIFS(BD!$Y$3:$Y$5001,BD!$B$3:$B$5001,H$173,BD!$A$3:$A$5001,_xlfn.MAXIFS(BD!$A$3:$A$5001,BD!$B$3:$B$5001,H$173,BD!$A$3:$A$5001,"&gt;="&amp;$C$7,BD!$A$3:$A$5001,"&lt;="&amp;$B174,BD!$Y$3:$Y$5001,"&lt;&gt;"))))</f>
        <v/>
      </c>
      <c r="I174" s="42" t="str">
        <f>IF(OR($B174="",$A174&gt;$B$9),"",IF(COUNTIFS(BD!$B$3:$B$5001,I$173,BD!$A$3:$A$5001,"&gt;="&amp;$C$7,BD!$A$3:$A$5001,"&lt;="&amp;$B174,BD!$Y$3:$Y$5001,"&lt;&gt;")=0,"",SUMIFS(BD!$Y$3:$Y$5001,BD!$B$3:$B$5001,I$173,BD!$A$3:$A$5001,_xlfn.MAXIFS(BD!$A$3:$A$5001,BD!$B$3:$B$5001,I$173,BD!$A$3:$A$5001,"&gt;="&amp;$C$7,BD!$A$3:$A$5001,"&lt;="&amp;$B174,BD!$Y$3:$Y$5001,"&lt;&gt;"))))</f>
        <v/>
      </c>
      <c r="J174" s="42" t="str">
        <f>IF(OR($B174="",$A174&gt;$B$9),"",IF(COUNTIFS(BD!$B$3:$B$5001,J$173,BD!$A$3:$A$5001,"&gt;="&amp;$C$7,BD!$A$3:$A$5001,"&lt;="&amp;$B174,BD!$Y$3:$Y$5001,"&lt;&gt;")=0,"",SUMIFS(BD!$Y$3:$Y$5001,BD!$B$3:$B$5001,J$173,BD!$A$3:$A$5001,_xlfn.MAXIFS(BD!$A$3:$A$5001,BD!$B$3:$B$5001,J$173,BD!$A$3:$A$5001,"&gt;="&amp;$C$7,BD!$A$3:$A$5001,"&lt;="&amp;$B174,BD!$Y$3:$Y$5001,"&lt;&gt;"))))</f>
        <v/>
      </c>
      <c r="K174" s="42" t="str">
        <f>IF(OR($B174="",$A174&gt;$B$9),"",IF(COUNTIFS(BD!$B$3:$B$5001,K$173,BD!$A$3:$A$5001,"&gt;="&amp;$C$7,BD!$A$3:$A$5001,"&lt;="&amp;$B174,BD!$Y$3:$Y$5001,"&lt;&gt;")=0,"",SUMIFS(BD!$Y$3:$Y$5001,BD!$B$3:$B$5001,K$173,BD!$A$3:$A$5001,_xlfn.MAXIFS(BD!$A$3:$A$5001,BD!$B$3:$B$5001,K$173,BD!$A$3:$A$5001,"&gt;="&amp;$C$7,BD!$A$3:$A$5001,"&lt;="&amp;$B174,BD!$Y$3:$Y$5001,"&lt;&gt;"))))</f>
        <v/>
      </c>
      <c r="L174" s="42" t="str">
        <f>IF(OR($B174="",$A174&gt;$B$9),"",IF(COUNTIFS(BD!$B$3:$B$5001,L$173,BD!$A$3:$A$5001,"&gt;="&amp;$C$7,BD!$A$3:$A$5001,"&lt;="&amp;$B174,BD!$Y$3:$Y$5001,"&lt;&gt;")=0,"",SUMIFS(BD!$Y$3:$Y$5001,BD!$B$3:$B$5001,L$173,BD!$A$3:$A$5001,_xlfn.MAXIFS(BD!$A$3:$A$5001,BD!$B$3:$B$5001,L$173,BD!$A$3:$A$5001,"&gt;="&amp;$C$7,BD!$A$3:$A$5001,"&lt;="&amp;$B174,BD!$Y$3:$Y$5001,"&lt;&gt;"))))</f>
        <v/>
      </c>
    </row>
    <row r="175">
      <c r="A175" s="40">
        <v>2</v>
      </c>
      <c r="B175" s="41">
        <f>$B$13</f>
        <v>46297</v>
      </c>
      <c r="C175" s="42" t="str">
        <f>IF(OR($B175="",$A175&gt;$B$9),"",IF(COUNTIFS(BD!$B$3:$B$5001,C$173,BD!$A$3:$A$5001,"&gt;="&amp;$C$7,BD!$A$3:$A$5001,"&lt;="&amp;$B175,BD!$Y$3:$Y$5001,"&lt;&gt;")=0,"",SUMIFS(BD!$Y$3:$Y$5001,BD!$B$3:$B$5001,C$173,BD!$A$3:$A$5001,_xlfn.MAXIFS(BD!$A$3:$A$5001,BD!$B$3:$B$5001,C$173,BD!$A$3:$A$5001,"&gt;="&amp;$C$7,BD!$A$3:$A$5001,"&lt;="&amp;$B175,BD!$Y$3:$Y$5001,"&lt;&gt;"))))</f>
        <v/>
      </c>
      <c r="D175" s="42" t="str">
        <f>IF(OR($B175="",$A175&gt;$B$9),"",IF(COUNTIFS(BD!$B$3:$B$5001,D$173,BD!$A$3:$A$5001,"&gt;="&amp;$C$7,BD!$A$3:$A$5001,"&lt;="&amp;$B175,BD!$Y$3:$Y$5001,"&lt;&gt;")=0,"",SUMIFS(BD!$Y$3:$Y$5001,BD!$B$3:$B$5001,D$173,BD!$A$3:$A$5001,_xlfn.MAXIFS(BD!$A$3:$A$5001,BD!$B$3:$B$5001,D$173,BD!$A$3:$A$5001,"&gt;="&amp;$C$7,BD!$A$3:$A$5001,"&lt;="&amp;$B175,BD!$Y$3:$Y$5001,"&lt;&gt;"))))</f>
        <v/>
      </c>
      <c r="E175" s="42" t="str">
        <f>IF(OR($B175="",$A175&gt;$B$9),"",IF(COUNTIFS(BD!$B$3:$B$5001,E$173,BD!$A$3:$A$5001,"&gt;="&amp;$C$7,BD!$A$3:$A$5001,"&lt;="&amp;$B175,BD!$Y$3:$Y$5001,"&lt;&gt;")=0,"",SUMIFS(BD!$Y$3:$Y$5001,BD!$B$3:$B$5001,E$173,BD!$A$3:$A$5001,_xlfn.MAXIFS(BD!$A$3:$A$5001,BD!$B$3:$B$5001,E$173,BD!$A$3:$A$5001,"&gt;="&amp;$C$7,BD!$A$3:$A$5001,"&lt;="&amp;$B175,BD!$Y$3:$Y$5001,"&lt;&gt;"))))</f>
        <v/>
      </c>
      <c r="F175" s="42" t="str">
        <f>IF(OR($B175="",$A175&gt;$B$9),"",IF(COUNTIFS(BD!$B$3:$B$5001,F$173,BD!$A$3:$A$5001,"&gt;="&amp;$C$7,BD!$A$3:$A$5001,"&lt;="&amp;$B175,BD!$Y$3:$Y$5001,"&lt;&gt;")=0,"",SUMIFS(BD!$Y$3:$Y$5001,BD!$B$3:$B$5001,F$173,BD!$A$3:$A$5001,_xlfn.MAXIFS(BD!$A$3:$A$5001,BD!$B$3:$B$5001,F$173,BD!$A$3:$A$5001,"&gt;="&amp;$C$7,BD!$A$3:$A$5001,"&lt;="&amp;$B175,BD!$Y$3:$Y$5001,"&lt;&gt;"))))</f>
        <v/>
      </c>
      <c r="G175" s="42" t="str">
        <f>IF(OR($B175="",$A175&gt;$B$9),"",IF(COUNTIFS(BD!$B$3:$B$5001,G$173,BD!$A$3:$A$5001,"&gt;="&amp;$C$7,BD!$A$3:$A$5001,"&lt;="&amp;$B175,BD!$Y$3:$Y$5001,"&lt;&gt;")=0,"",SUMIFS(BD!$Y$3:$Y$5001,BD!$B$3:$B$5001,G$173,BD!$A$3:$A$5001,_xlfn.MAXIFS(BD!$A$3:$A$5001,BD!$B$3:$B$5001,G$173,BD!$A$3:$A$5001,"&gt;="&amp;$C$7,BD!$A$3:$A$5001,"&lt;="&amp;$B175,BD!$Y$3:$Y$5001,"&lt;&gt;"))))</f>
        <v/>
      </c>
      <c r="H175" s="42" t="str">
        <f>IF(OR($B175="",$A175&gt;$B$9),"",IF(COUNTIFS(BD!$B$3:$B$5001,H$173,BD!$A$3:$A$5001,"&gt;="&amp;$C$7,BD!$A$3:$A$5001,"&lt;="&amp;$B175,BD!$Y$3:$Y$5001,"&lt;&gt;")=0,"",SUMIFS(BD!$Y$3:$Y$5001,BD!$B$3:$B$5001,H$173,BD!$A$3:$A$5001,_xlfn.MAXIFS(BD!$A$3:$A$5001,BD!$B$3:$B$5001,H$173,BD!$A$3:$A$5001,"&gt;="&amp;$C$7,BD!$A$3:$A$5001,"&lt;="&amp;$B175,BD!$Y$3:$Y$5001,"&lt;&gt;"))))</f>
        <v/>
      </c>
      <c r="I175" s="42" t="str">
        <f>IF(OR($B175="",$A175&gt;$B$9),"",IF(COUNTIFS(BD!$B$3:$B$5001,I$173,BD!$A$3:$A$5001,"&gt;="&amp;$C$7,BD!$A$3:$A$5001,"&lt;="&amp;$B175,BD!$Y$3:$Y$5001,"&lt;&gt;")=0,"",SUMIFS(BD!$Y$3:$Y$5001,BD!$B$3:$B$5001,I$173,BD!$A$3:$A$5001,_xlfn.MAXIFS(BD!$A$3:$A$5001,BD!$B$3:$B$5001,I$173,BD!$A$3:$A$5001,"&gt;="&amp;$C$7,BD!$A$3:$A$5001,"&lt;="&amp;$B175,BD!$Y$3:$Y$5001,"&lt;&gt;"))))</f>
        <v/>
      </c>
      <c r="J175" s="42" t="str">
        <f>IF(OR($B175="",$A175&gt;$B$9),"",IF(COUNTIFS(BD!$B$3:$B$5001,J$173,BD!$A$3:$A$5001,"&gt;="&amp;$C$7,BD!$A$3:$A$5001,"&lt;="&amp;$B175,BD!$Y$3:$Y$5001,"&lt;&gt;")=0,"",SUMIFS(BD!$Y$3:$Y$5001,BD!$B$3:$B$5001,J$173,BD!$A$3:$A$5001,_xlfn.MAXIFS(BD!$A$3:$A$5001,BD!$B$3:$B$5001,J$173,BD!$A$3:$A$5001,"&gt;="&amp;$C$7,BD!$A$3:$A$5001,"&lt;="&amp;$B175,BD!$Y$3:$Y$5001,"&lt;&gt;"))))</f>
        <v/>
      </c>
      <c r="K175" s="42" t="str">
        <f>IF(OR($B175="",$A175&gt;$B$9),"",IF(COUNTIFS(BD!$B$3:$B$5001,K$173,BD!$A$3:$A$5001,"&gt;="&amp;$C$7,BD!$A$3:$A$5001,"&lt;="&amp;$B175,BD!$Y$3:$Y$5001,"&lt;&gt;")=0,"",SUMIFS(BD!$Y$3:$Y$5001,BD!$B$3:$B$5001,K$173,BD!$A$3:$A$5001,_xlfn.MAXIFS(BD!$A$3:$A$5001,BD!$B$3:$B$5001,K$173,BD!$A$3:$A$5001,"&gt;="&amp;$C$7,BD!$A$3:$A$5001,"&lt;="&amp;$B175,BD!$Y$3:$Y$5001,"&lt;&gt;"))))</f>
        <v/>
      </c>
      <c r="L175" s="42" t="str">
        <f>IF(OR($B175="",$A175&gt;$B$9),"",IF(COUNTIFS(BD!$B$3:$B$5001,L$173,BD!$A$3:$A$5001,"&gt;="&amp;$C$7,BD!$A$3:$A$5001,"&lt;="&amp;$B175,BD!$Y$3:$Y$5001,"&lt;&gt;")=0,"",SUMIFS(BD!$Y$3:$Y$5001,BD!$B$3:$B$5001,L$173,BD!$A$3:$A$5001,_xlfn.MAXIFS(BD!$A$3:$A$5001,BD!$B$3:$B$5001,L$173,BD!$A$3:$A$5001,"&gt;="&amp;$C$7,BD!$A$3:$A$5001,"&lt;="&amp;$B175,BD!$Y$3:$Y$5001,"&lt;&gt;"))))</f>
        <v/>
      </c>
    </row>
    <row r="176">
      <c r="A176" s="40">
        <v>3</v>
      </c>
      <c r="B176" s="41">
        <f>$B$14</f>
        <v>46298</v>
      </c>
      <c r="C176" s="42" t="str">
        <f>IF(OR($B176="",$A176&gt;$B$9),"",IF(COUNTIFS(BD!$B$3:$B$5001,C$173,BD!$A$3:$A$5001,"&gt;="&amp;$C$7,BD!$A$3:$A$5001,"&lt;="&amp;$B176,BD!$Y$3:$Y$5001,"&lt;&gt;")=0,"",SUMIFS(BD!$Y$3:$Y$5001,BD!$B$3:$B$5001,C$173,BD!$A$3:$A$5001,_xlfn.MAXIFS(BD!$A$3:$A$5001,BD!$B$3:$B$5001,C$173,BD!$A$3:$A$5001,"&gt;="&amp;$C$7,BD!$A$3:$A$5001,"&lt;="&amp;$B176,BD!$Y$3:$Y$5001,"&lt;&gt;"))))</f>
        <v/>
      </c>
      <c r="D176" s="42" t="str">
        <f>IF(OR($B176="",$A176&gt;$B$9),"",IF(COUNTIFS(BD!$B$3:$B$5001,D$173,BD!$A$3:$A$5001,"&gt;="&amp;$C$7,BD!$A$3:$A$5001,"&lt;="&amp;$B176,BD!$Y$3:$Y$5001,"&lt;&gt;")=0,"",SUMIFS(BD!$Y$3:$Y$5001,BD!$B$3:$B$5001,D$173,BD!$A$3:$A$5001,_xlfn.MAXIFS(BD!$A$3:$A$5001,BD!$B$3:$B$5001,D$173,BD!$A$3:$A$5001,"&gt;="&amp;$C$7,BD!$A$3:$A$5001,"&lt;="&amp;$B176,BD!$Y$3:$Y$5001,"&lt;&gt;"))))</f>
        <v/>
      </c>
      <c r="E176" s="42" t="str">
        <f>IF(OR($B176="",$A176&gt;$B$9),"",IF(COUNTIFS(BD!$B$3:$B$5001,E$173,BD!$A$3:$A$5001,"&gt;="&amp;$C$7,BD!$A$3:$A$5001,"&lt;="&amp;$B176,BD!$Y$3:$Y$5001,"&lt;&gt;")=0,"",SUMIFS(BD!$Y$3:$Y$5001,BD!$B$3:$B$5001,E$173,BD!$A$3:$A$5001,_xlfn.MAXIFS(BD!$A$3:$A$5001,BD!$B$3:$B$5001,E$173,BD!$A$3:$A$5001,"&gt;="&amp;$C$7,BD!$A$3:$A$5001,"&lt;="&amp;$B176,BD!$Y$3:$Y$5001,"&lt;&gt;"))))</f>
        <v/>
      </c>
      <c r="F176" s="42" t="str">
        <f>IF(OR($B176="",$A176&gt;$B$9),"",IF(COUNTIFS(BD!$B$3:$B$5001,F$173,BD!$A$3:$A$5001,"&gt;="&amp;$C$7,BD!$A$3:$A$5001,"&lt;="&amp;$B176,BD!$Y$3:$Y$5001,"&lt;&gt;")=0,"",SUMIFS(BD!$Y$3:$Y$5001,BD!$B$3:$B$5001,F$173,BD!$A$3:$A$5001,_xlfn.MAXIFS(BD!$A$3:$A$5001,BD!$B$3:$B$5001,F$173,BD!$A$3:$A$5001,"&gt;="&amp;$C$7,BD!$A$3:$A$5001,"&lt;="&amp;$B176,BD!$Y$3:$Y$5001,"&lt;&gt;"))))</f>
        <v/>
      </c>
      <c r="G176" s="42" t="str">
        <f>IF(OR($B176="",$A176&gt;$B$9),"",IF(COUNTIFS(BD!$B$3:$B$5001,G$173,BD!$A$3:$A$5001,"&gt;="&amp;$C$7,BD!$A$3:$A$5001,"&lt;="&amp;$B176,BD!$Y$3:$Y$5001,"&lt;&gt;")=0,"",SUMIFS(BD!$Y$3:$Y$5001,BD!$B$3:$B$5001,G$173,BD!$A$3:$A$5001,_xlfn.MAXIFS(BD!$A$3:$A$5001,BD!$B$3:$B$5001,G$173,BD!$A$3:$A$5001,"&gt;="&amp;$C$7,BD!$A$3:$A$5001,"&lt;="&amp;$B176,BD!$Y$3:$Y$5001,"&lt;&gt;"))))</f>
        <v/>
      </c>
      <c r="H176" s="42" t="str">
        <f>IF(OR($B176="",$A176&gt;$B$9),"",IF(COUNTIFS(BD!$B$3:$B$5001,H$173,BD!$A$3:$A$5001,"&gt;="&amp;$C$7,BD!$A$3:$A$5001,"&lt;="&amp;$B176,BD!$Y$3:$Y$5001,"&lt;&gt;")=0,"",SUMIFS(BD!$Y$3:$Y$5001,BD!$B$3:$B$5001,H$173,BD!$A$3:$A$5001,_xlfn.MAXIFS(BD!$A$3:$A$5001,BD!$B$3:$B$5001,H$173,BD!$A$3:$A$5001,"&gt;="&amp;$C$7,BD!$A$3:$A$5001,"&lt;="&amp;$B176,BD!$Y$3:$Y$5001,"&lt;&gt;"))))</f>
        <v/>
      </c>
      <c r="I176" s="42" t="str">
        <f>IF(OR($B176="",$A176&gt;$B$9),"",IF(COUNTIFS(BD!$B$3:$B$5001,I$173,BD!$A$3:$A$5001,"&gt;="&amp;$C$7,BD!$A$3:$A$5001,"&lt;="&amp;$B176,BD!$Y$3:$Y$5001,"&lt;&gt;")=0,"",SUMIFS(BD!$Y$3:$Y$5001,BD!$B$3:$B$5001,I$173,BD!$A$3:$A$5001,_xlfn.MAXIFS(BD!$A$3:$A$5001,BD!$B$3:$B$5001,I$173,BD!$A$3:$A$5001,"&gt;="&amp;$C$7,BD!$A$3:$A$5001,"&lt;="&amp;$B176,BD!$Y$3:$Y$5001,"&lt;&gt;"))))</f>
        <v/>
      </c>
      <c r="J176" s="42" t="str">
        <f>IF(OR($B176="",$A176&gt;$B$9),"",IF(COUNTIFS(BD!$B$3:$B$5001,J$173,BD!$A$3:$A$5001,"&gt;="&amp;$C$7,BD!$A$3:$A$5001,"&lt;="&amp;$B176,BD!$Y$3:$Y$5001,"&lt;&gt;")=0,"",SUMIFS(BD!$Y$3:$Y$5001,BD!$B$3:$B$5001,J$173,BD!$A$3:$A$5001,_xlfn.MAXIFS(BD!$A$3:$A$5001,BD!$B$3:$B$5001,J$173,BD!$A$3:$A$5001,"&gt;="&amp;$C$7,BD!$A$3:$A$5001,"&lt;="&amp;$B176,BD!$Y$3:$Y$5001,"&lt;&gt;"))))</f>
        <v/>
      </c>
      <c r="K176" s="42" t="str">
        <f>IF(OR($B176="",$A176&gt;$B$9),"",IF(COUNTIFS(BD!$B$3:$B$5001,K$173,BD!$A$3:$A$5001,"&gt;="&amp;$C$7,BD!$A$3:$A$5001,"&lt;="&amp;$B176,BD!$Y$3:$Y$5001,"&lt;&gt;")=0,"",SUMIFS(BD!$Y$3:$Y$5001,BD!$B$3:$B$5001,K$173,BD!$A$3:$A$5001,_xlfn.MAXIFS(BD!$A$3:$A$5001,BD!$B$3:$B$5001,K$173,BD!$A$3:$A$5001,"&gt;="&amp;$C$7,BD!$A$3:$A$5001,"&lt;="&amp;$B176,BD!$Y$3:$Y$5001,"&lt;&gt;"))))</f>
        <v/>
      </c>
      <c r="L176" s="42" t="str">
        <f>IF(OR($B176="",$A176&gt;$B$9),"",IF(COUNTIFS(BD!$B$3:$B$5001,L$173,BD!$A$3:$A$5001,"&gt;="&amp;$C$7,BD!$A$3:$A$5001,"&lt;="&amp;$B176,BD!$Y$3:$Y$5001,"&lt;&gt;")=0,"",SUMIFS(BD!$Y$3:$Y$5001,BD!$B$3:$B$5001,L$173,BD!$A$3:$A$5001,_xlfn.MAXIFS(BD!$A$3:$A$5001,BD!$B$3:$B$5001,L$173,BD!$A$3:$A$5001,"&gt;="&amp;$C$7,BD!$A$3:$A$5001,"&lt;="&amp;$B176,BD!$Y$3:$Y$5001,"&lt;&gt;"))))</f>
        <v/>
      </c>
    </row>
    <row r="177">
      <c r="A177" s="40">
        <v>4</v>
      </c>
      <c r="B177" s="41">
        <f>$B$15</f>
        <v>46299</v>
      </c>
      <c r="C177" s="42" t="str">
        <f>IF(OR($B177="",$A177&gt;$B$9),"",IF(COUNTIFS(BD!$B$3:$B$5001,C$173,BD!$A$3:$A$5001,"&gt;="&amp;$C$7,BD!$A$3:$A$5001,"&lt;="&amp;$B177,BD!$Y$3:$Y$5001,"&lt;&gt;")=0,"",SUMIFS(BD!$Y$3:$Y$5001,BD!$B$3:$B$5001,C$173,BD!$A$3:$A$5001,_xlfn.MAXIFS(BD!$A$3:$A$5001,BD!$B$3:$B$5001,C$173,BD!$A$3:$A$5001,"&gt;="&amp;$C$7,BD!$A$3:$A$5001,"&lt;="&amp;$B177,BD!$Y$3:$Y$5001,"&lt;&gt;"))))</f>
        <v/>
      </c>
      <c r="D177" s="42" t="str">
        <f>IF(OR($B177="",$A177&gt;$B$9),"",IF(COUNTIFS(BD!$B$3:$B$5001,D$173,BD!$A$3:$A$5001,"&gt;="&amp;$C$7,BD!$A$3:$A$5001,"&lt;="&amp;$B177,BD!$Y$3:$Y$5001,"&lt;&gt;")=0,"",SUMIFS(BD!$Y$3:$Y$5001,BD!$B$3:$B$5001,D$173,BD!$A$3:$A$5001,_xlfn.MAXIFS(BD!$A$3:$A$5001,BD!$B$3:$B$5001,D$173,BD!$A$3:$A$5001,"&gt;="&amp;$C$7,BD!$A$3:$A$5001,"&lt;="&amp;$B177,BD!$Y$3:$Y$5001,"&lt;&gt;"))))</f>
        <v/>
      </c>
      <c r="E177" s="42" t="str">
        <f>IF(OR($B177="",$A177&gt;$B$9),"",IF(COUNTIFS(BD!$B$3:$B$5001,E$173,BD!$A$3:$A$5001,"&gt;="&amp;$C$7,BD!$A$3:$A$5001,"&lt;="&amp;$B177,BD!$Y$3:$Y$5001,"&lt;&gt;")=0,"",SUMIFS(BD!$Y$3:$Y$5001,BD!$B$3:$B$5001,E$173,BD!$A$3:$A$5001,_xlfn.MAXIFS(BD!$A$3:$A$5001,BD!$B$3:$B$5001,E$173,BD!$A$3:$A$5001,"&gt;="&amp;$C$7,BD!$A$3:$A$5001,"&lt;="&amp;$B177,BD!$Y$3:$Y$5001,"&lt;&gt;"))))</f>
        <v/>
      </c>
      <c r="F177" s="42" t="str">
        <f>IF(OR($B177="",$A177&gt;$B$9),"",IF(COUNTIFS(BD!$B$3:$B$5001,F$173,BD!$A$3:$A$5001,"&gt;="&amp;$C$7,BD!$A$3:$A$5001,"&lt;="&amp;$B177,BD!$Y$3:$Y$5001,"&lt;&gt;")=0,"",SUMIFS(BD!$Y$3:$Y$5001,BD!$B$3:$B$5001,F$173,BD!$A$3:$A$5001,_xlfn.MAXIFS(BD!$A$3:$A$5001,BD!$B$3:$B$5001,F$173,BD!$A$3:$A$5001,"&gt;="&amp;$C$7,BD!$A$3:$A$5001,"&lt;="&amp;$B177,BD!$Y$3:$Y$5001,"&lt;&gt;"))))</f>
        <v/>
      </c>
      <c r="G177" s="42" t="str">
        <f>IF(OR($B177="",$A177&gt;$B$9),"",IF(COUNTIFS(BD!$B$3:$B$5001,G$173,BD!$A$3:$A$5001,"&gt;="&amp;$C$7,BD!$A$3:$A$5001,"&lt;="&amp;$B177,BD!$Y$3:$Y$5001,"&lt;&gt;")=0,"",SUMIFS(BD!$Y$3:$Y$5001,BD!$B$3:$B$5001,G$173,BD!$A$3:$A$5001,_xlfn.MAXIFS(BD!$A$3:$A$5001,BD!$B$3:$B$5001,G$173,BD!$A$3:$A$5001,"&gt;="&amp;$C$7,BD!$A$3:$A$5001,"&lt;="&amp;$B177,BD!$Y$3:$Y$5001,"&lt;&gt;"))))</f>
        <v/>
      </c>
      <c r="H177" s="42" t="str">
        <f>IF(OR($B177="",$A177&gt;$B$9),"",IF(COUNTIFS(BD!$B$3:$B$5001,H$173,BD!$A$3:$A$5001,"&gt;="&amp;$C$7,BD!$A$3:$A$5001,"&lt;="&amp;$B177,BD!$Y$3:$Y$5001,"&lt;&gt;")=0,"",SUMIFS(BD!$Y$3:$Y$5001,BD!$B$3:$B$5001,H$173,BD!$A$3:$A$5001,_xlfn.MAXIFS(BD!$A$3:$A$5001,BD!$B$3:$B$5001,H$173,BD!$A$3:$A$5001,"&gt;="&amp;$C$7,BD!$A$3:$A$5001,"&lt;="&amp;$B177,BD!$Y$3:$Y$5001,"&lt;&gt;"))))</f>
        <v/>
      </c>
      <c r="I177" s="42" t="str">
        <f>IF(OR($B177="",$A177&gt;$B$9),"",IF(COUNTIFS(BD!$B$3:$B$5001,I$173,BD!$A$3:$A$5001,"&gt;="&amp;$C$7,BD!$A$3:$A$5001,"&lt;="&amp;$B177,BD!$Y$3:$Y$5001,"&lt;&gt;")=0,"",SUMIFS(BD!$Y$3:$Y$5001,BD!$B$3:$B$5001,I$173,BD!$A$3:$A$5001,_xlfn.MAXIFS(BD!$A$3:$A$5001,BD!$B$3:$B$5001,I$173,BD!$A$3:$A$5001,"&gt;="&amp;$C$7,BD!$A$3:$A$5001,"&lt;="&amp;$B177,BD!$Y$3:$Y$5001,"&lt;&gt;"))))</f>
        <v/>
      </c>
      <c r="J177" s="42" t="str">
        <f>IF(OR($B177="",$A177&gt;$B$9),"",IF(COUNTIFS(BD!$B$3:$B$5001,J$173,BD!$A$3:$A$5001,"&gt;="&amp;$C$7,BD!$A$3:$A$5001,"&lt;="&amp;$B177,BD!$Y$3:$Y$5001,"&lt;&gt;")=0,"",SUMIFS(BD!$Y$3:$Y$5001,BD!$B$3:$B$5001,J$173,BD!$A$3:$A$5001,_xlfn.MAXIFS(BD!$A$3:$A$5001,BD!$B$3:$B$5001,J$173,BD!$A$3:$A$5001,"&gt;="&amp;$C$7,BD!$A$3:$A$5001,"&lt;="&amp;$B177,BD!$Y$3:$Y$5001,"&lt;&gt;"))))</f>
        <v/>
      </c>
      <c r="K177" s="42" t="str">
        <f>IF(OR($B177="",$A177&gt;$B$9),"",IF(COUNTIFS(BD!$B$3:$B$5001,K$173,BD!$A$3:$A$5001,"&gt;="&amp;$C$7,BD!$A$3:$A$5001,"&lt;="&amp;$B177,BD!$Y$3:$Y$5001,"&lt;&gt;")=0,"",SUMIFS(BD!$Y$3:$Y$5001,BD!$B$3:$B$5001,K$173,BD!$A$3:$A$5001,_xlfn.MAXIFS(BD!$A$3:$A$5001,BD!$B$3:$B$5001,K$173,BD!$A$3:$A$5001,"&gt;="&amp;$C$7,BD!$A$3:$A$5001,"&lt;="&amp;$B177,BD!$Y$3:$Y$5001,"&lt;&gt;"))))</f>
        <v/>
      </c>
      <c r="L177" s="42" t="str">
        <f>IF(OR($B177="",$A177&gt;$B$9),"",IF(COUNTIFS(BD!$B$3:$B$5001,L$173,BD!$A$3:$A$5001,"&gt;="&amp;$C$7,BD!$A$3:$A$5001,"&lt;="&amp;$B177,BD!$Y$3:$Y$5001,"&lt;&gt;")=0,"",SUMIFS(BD!$Y$3:$Y$5001,BD!$B$3:$B$5001,L$173,BD!$A$3:$A$5001,_xlfn.MAXIFS(BD!$A$3:$A$5001,BD!$B$3:$B$5001,L$173,BD!$A$3:$A$5001,"&gt;="&amp;$C$7,BD!$A$3:$A$5001,"&lt;="&amp;$B177,BD!$Y$3:$Y$5001,"&lt;&gt;"))))</f>
        <v/>
      </c>
    </row>
    <row r="178">
      <c r="A178" s="40">
        <v>5</v>
      </c>
      <c r="B178" s="41">
        <f>$B$16</f>
        <v>46300</v>
      </c>
      <c r="C178" s="42" t="str">
        <f>IF(OR($B178="",$A178&gt;$B$9),"",IF(COUNTIFS(BD!$B$3:$B$5001,C$173,BD!$A$3:$A$5001,"&gt;="&amp;$C$7,BD!$A$3:$A$5001,"&lt;="&amp;$B178,BD!$Y$3:$Y$5001,"&lt;&gt;")=0,"",SUMIFS(BD!$Y$3:$Y$5001,BD!$B$3:$B$5001,C$173,BD!$A$3:$A$5001,_xlfn.MAXIFS(BD!$A$3:$A$5001,BD!$B$3:$B$5001,C$173,BD!$A$3:$A$5001,"&gt;="&amp;$C$7,BD!$A$3:$A$5001,"&lt;="&amp;$B178,BD!$Y$3:$Y$5001,"&lt;&gt;"))))</f>
        <v/>
      </c>
      <c r="D178" s="42" t="str">
        <f>IF(OR($B178="",$A178&gt;$B$9),"",IF(COUNTIFS(BD!$B$3:$B$5001,D$173,BD!$A$3:$A$5001,"&gt;="&amp;$C$7,BD!$A$3:$A$5001,"&lt;="&amp;$B178,BD!$Y$3:$Y$5001,"&lt;&gt;")=0,"",SUMIFS(BD!$Y$3:$Y$5001,BD!$B$3:$B$5001,D$173,BD!$A$3:$A$5001,_xlfn.MAXIFS(BD!$A$3:$A$5001,BD!$B$3:$B$5001,D$173,BD!$A$3:$A$5001,"&gt;="&amp;$C$7,BD!$A$3:$A$5001,"&lt;="&amp;$B178,BD!$Y$3:$Y$5001,"&lt;&gt;"))))</f>
        <v/>
      </c>
      <c r="E178" s="42" t="str">
        <f>IF(OR($B178="",$A178&gt;$B$9),"",IF(COUNTIFS(BD!$B$3:$B$5001,E$173,BD!$A$3:$A$5001,"&gt;="&amp;$C$7,BD!$A$3:$A$5001,"&lt;="&amp;$B178,BD!$Y$3:$Y$5001,"&lt;&gt;")=0,"",SUMIFS(BD!$Y$3:$Y$5001,BD!$B$3:$B$5001,E$173,BD!$A$3:$A$5001,_xlfn.MAXIFS(BD!$A$3:$A$5001,BD!$B$3:$B$5001,E$173,BD!$A$3:$A$5001,"&gt;="&amp;$C$7,BD!$A$3:$A$5001,"&lt;="&amp;$B178,BD!$Y$3:$Y$5001,"&lt;&gt;"))))</f>
        <v/>
      </c>
      <c r="F178" s="42" t="str">
        <f>IF(OR($B178="",$A178&gt;$B$9),"",IF(COUNTIFS(BD!$B$3:$B$5001,F$173,BD!$A$3:$A$5001,"&gt;="&amp;$C$7,BD!$A$3:$A$5001,"&lt;="&amp;$B178,BD!$Y$3:$Y$5001,"&lt;&gt;")=0,"",SUMIFS(BD!$Y$3:$Y$5001,BD!$B$3:$B$5001,F$173,BD!$A$3:$A$5001,_xlfn.MAXIFS(BD!$A$3:$A$5001,BD!$B$3:$B$5001,F$173,BD!$A$3:$A$5001,"&gt;="&amp;$C$7,BD!$A$3:$A$5001,"&lt;="&amp;$B178,BD!$Y$3:$Y$5001,"&lt;&gt;"))))</f>
        <v/>
      </c>
      <c r="G178" s="42" t="str">
        <f>IF(OR($B178="",$A178&gt;$B$9),"",IF(COUNTIFS(BD!$B$3:$B$5001,G$173,BD!$A$3:$A$5001,"&gt;="&amp;$C$7,BD!$A$3:$A$5001,"&lt;="&amp;$B178,BD!$Y$3:$Y$5001,"&lt;&gt;")=0,"",SUMIFS(BD!$Y$3:$Y$5001,BD!$B$3:$B$5001,G$173,BD!$A$3:$A$5001,_xlfn.MAXIFS(BD!$A$3:$A$5001,BD!$B$3:$B$5001,G$173,BD!$A$3:$A$5001,"&gt;="&amp;$C$7,BD!$A$3:$A$5001,"&lt;="&amp;$B178,BD!$Y$3:$Y$5001,"&lt;&gt;"))))</f>
        <v/>
      </c>
      <c r="H178" s="42" t="str">
        <f>IF(OR($B178="",$A178&gt;$B$9),"",IF(COUNTIFS(BD!$B$3:$B$5001,H$173,BD!$A$3:$A$5001,"&gt;="&amp;$C$7,BD!$A$3:$A$5001,"&lt;="&amp;$B178,BD!$Y$3:$Y$5001,"&lt;&gt;")=0,"",SUMIFS(BD!$Y$3:$Y$5001,BD!$B$3:$B$5001,H$173,BD!$A$3:$A$5001,_xlfn.MAXIFS(BD!$A$3:$A$5001,BD!$B$3:$B$5001,H$173,BD!$A$3:$A$5001,"&gt;="&amp;$C$7,BD!$A$3:$A$5001,"&lt;="&amp;$B178,BD!$Y$3:$Y$5001,"&lt;&gt;"))))</f>
        <v/>
      </c>
      <c r="I178" s="42" t="str">
        <f>IF(OR($B178="",$A178&gt;$B$9),"",IF(COUNTIFS(BD!$B$3:$B$5001,I$173,BD!$A$3:$A$5001,"&gt;="&amp;$C$7,BD!$A$3:$A$5001,"&lt;="&amp;$B178,BD!$Y$3:$Y$5001,"&lt;&gt;")=0,"",SUMIFS(BD!$Y$3:$Y$5001,BD!$B$3:$B$5001,I$173,BD!$A$3:$A$5001,_xlfn.MAXIFS(BD!$A$3:$A$5001,BD!$B$3:$B$5001,I$173,BD!$A$3:$A$5001,"&gt;="&amp;$C$7,BD!$A$3:$A$5001,"&lt;="&amp;$B178,BD!$Y$3:$Y$5001,"&lt;&gt;"))))</f>
        <v/>
      </c>
      <c r="J178" s="42" t="str">
        <f>IF(OR($B178="",$A178&gt;$B$9),"",IF(COUNTIFS(BD!$B$3:$B$5001,J$173,BD!$A$3:$A$5001,"&gt;="&amp;$C$7,BD!$A$3:$A$5001,"&lt;="&amp;$B178,BD!$Y$3:$Y$5001,"&lt;&gt;")=0,"",SUMIFS(BD!$Y$3:$Y$5001,BD!$B$3:$B$5001,J$173,BD!$A$3:$A$5001,_xlfn.MAXIFS(BD!$A$3:$A$5001,BD!$B$3:$B$5001,J$173,BD!$A$3:$A$5001,"&gt;="&amp;$C$7,BD!$A$3:$A$5001,"&lt;="&amp;$B178,BD!$Y$3:$Y$5001,"&lt;&gt;"))))</f>
        <v/>
      </c>
      <c r="K178" s="42" t="str">
        <f>IF(OR($B178="",$A178&gt;$B$9),"",IF(COUNTIFS(BD!$B$3:$B$5001,K$173,BD!$A$3:$A$5001,"&gt;="&amp;$C$7,BD!$A$3:$A$5001,"&lt;="&amp;$B178,BD!$Y$3:$Y$5001,"&lt;&gt;")=0,"",SUMIFS(BD!$Y$3:$Y$5001,BD!$B$3:$B$5001,K$173,BD!$A$3:$A$5001,_xlfn.MAXIFS(BD!$A$3:$A$5001,BD!$B$3:$B$5001,K$173,BD!$A$3:$A$5001,"&gt;="&amp;$C$7,BD!$A$3:$A$5001,"&lt;="&amp;$B178,BD!$Y$3:$Y$5001,"&lt;&gt;"))))</f>
        <v/>
      </c>
      <c r="L178" s="42" t="str">
        <f>IF(OR($B178="",$A178&gt;$B$9),"",IF(COUNTIFS(BD!$B$3:$B$5001,L$173,BD!$A$3:$A$5001,"&gt;="&amp;$C$7,BD!$A$3:$A$5001,"&lt;="&amp;$B178,BD!$Y$3:$Y$5001,"&lt;&gt;")=0,"",SUMIFS(BD!$Y$3:$Y$5001,BD!$B$3:$B$5001,L$173,BD!$A$3:$A$5001,_xlfn.MAXIFS(BD!$A$3:$A$5001,BD!$B$3:$B$5001,L$173,BD!$A$3:$A$5001,"&gt;="&amp;$C$7,BD!$A$3:$A$5001,"&lt;="&amp;$B178,BD!$Y$3:$Y$5001,"&lt;&gt;"))))</f>
        <v/>
      </c>
    </row>
    <row r="179">
      <c r="A179" s="40">
        <v>6</v>
      </c>
      <c r="B179" s="41">
        <f>$B$17</f>
        <v>46301</v>
      </c>
      <c r="C179" s="42" t="str">
        <f>IF(OR($B179="",$A179&gt;$B$9),"",IF(COUNTIFS(BD!$B$3:$B$5001,C$173,BD!$A$3:$A$5001,"&gt;="&amp;$C$7,BD!$A$3:$A$5001,"&lt;="&amp;$B179,BD!$Y$3:$Y$5001,"&lt;&gt;")=0,"",SUMIFS(BD!$Y$3:$Y$5001,BD!$B$3:$B$5001,C$173,BD!$A$3:$A$5001,_xlfn.MAXIFS(BD!$A$3:$A$5001,BD!$B$3:$B$5001,C$173,BD!$A$3:$A$5001,"&gt;="&amp;$C$7,BD!$A$3:$A$5001,"&lt;="&amp;$B179,BD!$Y$3:$Y$5001,"&lt;&gt;"))))</f>
        <v/>
      </c>
      <c r="D179" s="42" t="str">
        <f>IF(OR($B179="",$A179&gt;$B$9),"",IF(COUNTIFS(BD!$B$3:$B$5001,D$173,BD!$A$3:$A$5001,"&gt;="&amp;$C$7,BD!$A$3:$A$5001,"&lt;="&amp;$B179,BD!$Y$3:$Y$5001,"&lt;&gt;")=0,"",SUMIFS(BD!$Y$3:$Y$5001,BD!$B$3:$B$5001,D$173,BD!$A$3:$A$5001,_xlfn.MAXIFS(BD!$A$3:$A$5001,BD!$B$3:$B$5001,D$173,BD!$A$3:$A$5001,"&gt;="&amp;$C$7,BD!$A$3:$A$5001,"&lt;="&amp;$B179,BD!$Y$3:$Y$5001,"&lt;&gt;"))))</f>
        <v/>
      </c>
      <c r="E179" s="42" t="str">
        <f>IF(OR($B179="",$A179&gt;$B$9),"",IF(COUNTIFS(BD!$B$3:$B$5001,E$173,BD!$A$3:$A$5001,"&gt;="&amp;$C$7,BD!$A$3:$A$5001,"&lt;="&amp;$B179,BD!$Y$3:$Y$5001,"&lt;&gt;")=0,"",SUMIFS(BD!$Y$3:$Y$5001,BD!$B$3:$B$5001,E$173,BD!$A$3:$A$5001,_xlfn.MAXIFS(BD!$A$3:$A$5001,BD!$B$3:$B$5001,E$173,BD!$A$3:$A$5001,"&gt;="&amp;$C$7,BD!$A$3:$A$5001,"&lt;="&amp;$B179,BD!$Y$3:$Y$5001,"&lt;&gt;"))))</f>
        <v/>
      </c>
      <c r="F179" s="42" t="str">
        <f>IF(OR($B179="",$A179&gt;$B$9),"",IF(COUNTIFS(BD!$B$3:$B$5001,F$173,BD!$A$3:$A$5001,"&gt;="&amp;$C$7,BD!$A$3:$A$5001,"&lt;="&amp;$B179,BD!$Y$3:$Y$5001,"&lt;&gt;")=0,"",SUMIFS(BD!$Y$3:$Y$5001,BD!$B$3:$B$5001,F$173,BD!$A$3:$A$5001,_xlfn.MAXIFS(BD!$A$3:$A$5001,BD!$B$3:$B$5001,F$173,BD!$A$3:$A$5001,"&gt;="&amp;$C$7,BD!$A$3:$A$5001,"&lt;="&amp;$B179,BD!$Y$3:$Y$5001,"&lt;&gt;"))))</f>
        <v/>
      </c>
      <c r="G179" s="42" t="str">
        <f>IF(OR($B179="",$A179&gt;$B$9),"",IF(COUNTIFS(BD!$B$3:$B$5001,G$173,BD!$A$3:$A$5001,"&gt;="&amp;$C$7,BD!$A$3:$A$5001,"&lt;="&amp;$B179,BD!$Y$3:$Y$5001,"&lt;&gt;")=0,"",SUMIFS(BD!$Y$3:$Y$5001,BD!$B$3:$B$5001,G$173,BD!$A$3:$A$5001,_xlfn.MAXIFS(BD!$A$3:$A$5001,BD!$B$3:$B$5001,G$173,BD!$A$3:$A$5001,"&gt;="&amp;$C$7,BD!$A$3:$A$5001,"&lt;="&amp;$B179,BD!$Y$3:$Y$5001,"&lt;&gt;"))))</f>
        <v/>
      </c>
      <c r="H179" s="42" t="str">
        <f>IF(OR($B179="",$A179&gt;$B$9),"",IF(COUNTIFS(BD!$B$3:$B$5001,H$173,BD!$A$3:$A$5001,"&gt;="&amp;$C$7,BD!$A$3:$A$5001,"&lt;="&amp;$B179,BD!$Y$3:$Y$5001,"&lt;&gt;")=0,"",SUMIFS(BD!$Y$3:$Y$5001,BD!$B$3:$B$5001,H$173,BD!$A$3:$A$5001,_xlfn.MAXIFS(BD!$A$3:$A$5001,BD!$B$3:$B$5001,H$173,BD!$A$3:$A$5001,"&gt;="&amp;$C$7,BD!$A$3:$A$5001,"&lt;="&amp;$B179,BD!$Y$3:$Y$5001,"&lt;&gt;"))))</f>
        <v/>
      </c>
      <c r="I179" s="42" t="str">
        <f>IF(OR($B179="",$A179&gt;$B$9),"",IF(COUNTIFS(BD!$B$3:$B$5001,I$173,BD!$A$3:$A$5001,"&gt;="&amp;$C$7,BD!$A$3:$A$5001,"&lt;="&amp;$B179,BD!$Y$3:$Y$5001,"&lt;&gt;")=0,"",SUMIFS(BD!$Y$3:$Y$5001,BD!$B$3:$B$5001,I$173,BD!$A$3:$A$5001,_xlfn.MAXIFS(BD!$A$3:$A$5001,BD!$B$3:$B$5001,I$173,BD!$A$3:$A$5001,"&gt;="&amp;$C$7,BD!$A$3:$A$5001,"&lt;="&amp;$B179,BD!$Y$3:$Y$5001,"&lt;&gt;"))))</f>
        <v/>
      </c>
      <c r="J179" s="42" t="str">
        <f>IF(OR($B179="",$A179&gt;$B$9),"",IF(COUNTIFS(BD!$B$3:$B$5001,J$173,BD!$A$3:$A$5001,"&gt;="&amp;$C$7,BD!$A$3:$A$5001,"&lt;="&amp;$B179,BD!$Y$3:$Y$5001,"&lt;&gt;")=0,"",SUMIFS(BD!$Y$3:$Y$5001,BD!$B$3:$B$5001,J$173,BD!$A$3:$A$5001,_xlfn.MAXIFS(BD!$A$3:$A$5001,BD!$B$3:$B$5001,J$173,BD!$A$3:$A$5001,"&gt;="&amp;$C$7,BD!$A$3:$A$5001,"&lt;="&amp;$B179,BD!$Y$3:$Y$5001,"&lt;&gt;"))))</f>
        <v/>
      </c>
      <c r="K179" s="42" t="str">
        <f>IF(OR($B179="",$A179&gt;$B$9),"",IF(COUNTIFS(BD!$B$3:$B$5001,K$173,BD!$A$3:$A$5001,"&gt;="&amp;$C$7,BD!$A$3:$A$5001,"&lt;="&amp;$B179,BD!$Y$3:$Y$5001,"&lt;&gt;")=0,"",SUMIFS(BD!$Y$3:$Y$5001,BD!$B$3:$B$5001,K$173,BD!$A$3:$A$5001,_xlfn.MAXIFS(BD!$A$3:$A$5001,BD!$B$3:$B$5001,K$173,BD!$A$3:$A$5001,"&gt;="&amp;$C$7,BD!$A$3:$A$5001,"&lt;="&amp;$B179,BD!$Y$3:$Y$5001,"&lt;&gt;"))))</f>
        <v/>
      </c>
      <c r="L179" s="42" t="str">
        <f>IF(OR($B179="",$A179&gt;$B$9),"",IF(COUNTIFS(BD!$B$3:$B$5001,L$173,BD!$A$3:$A$5001,"&gt;="&amp;$C$7,BD!$A$3:$A$5001,"&lt;="&amp;$B179,BD!$Y$3:$Y$5001,"&lt;&gt;")=0,"",SUMIFS(BD!$Y$3:$Y$5001,BD!$B$3:$B$5001,L$173,BD!$A$3:$A$5001,_xlfn.MAXIFS(BD!$A$3:$A$5001,BD!$B$3:$B$5001,L$173,BD!$A$3:$A$5001,"&gt;="&amp;$C$7,BD!$A$3:$A$5001,"&lt;="&amp;$B179,BD!$Y$3:$Y$5001,"&lt;&gt;"))))</f>
        <v/>
      </c>
    </row>
    <row r="180">
      <c r="A180" s="40">
        <v>7</v>
      </c>
      <c r="B180" s="41">
        <f>$B$18</f>
        <v>46302</v>
      </c>
      <c r="C180" s="42" t="str">
        <f>IF(OR($B180="",$A180&gt;$B$9),"",IF(COUNTIFS(BD!$B$3:$B$5001,C$173,BD!$A$3:$A$5001,"&gt;="&amp;$C$7,BD!$A$3:$A$5001,"&lt;="&amp;$B180,BD!$Y$3:$Y$5001,"&lt;&gt;")=0,"",SUMIFS(BD!$Y$3:$Y$5001,BD!$B$3:$B$5001,C$173,BD!$A$3:$A$5001,_xlfn.MAXIFS(BD!$A$3:$A$5001,BD!$B$3:$B$5001,C$173,BD!$A$3:$A$5001,"&gt;="&amp;$C$7,BD!$A$3:$A$5001,"&lt;="&amp;$B180,BD!$Y$3:$Y$5001,"&lt;&gt;"))))</f>
        <v/>
      </c>
      <c r="D180" s="42" t="str">
        <f>IF(OR($B180="",$A180&gt;$B$9),"",IF(COUNTIFS(BD!$B$3:$B$5001,D$173,BD!$A$3:$A$5001,"&gt;="&amp;$C$7,BD!$A$3:$A$5001,"&lt;="&amp;$B180,BD!$Y$3:$Y$5001,"&lt;&gt;")=0,"",SUMIFS(BD!$Y$3:$Y$5001,BD!$B$3:$B$5001,D$173,BD!$A$3:$A$5001,_xlfn.MAXIFS(BD!$A$3:$A$5001,BD!$B$3:$B$5001,D$173,BD!$A$3:$A$5001,"&gt;="&amp;$C$7,BD!$A$3:$A$5001,"&lt;="&amp;$B180,BD!$Y$3:$Y$5001,"&lt;&gt;"))))</f>
        <v/>
      </c>
      <c r="E180" s="42" t="str">
        <f>IF(OR($B180="",$A180&gt;$B$9),"",IF(COUNTIFS(BD!$B$3:$B$5001,E$173,BD!$A$3:$A$5001,"&gt;="&amp;$C$7,BD!$A$3:$A$5001,"&lt;="&amp;$B180,BD!$Y$3:$Y$5001,"&lt;&gt;")=0,"",SUMIFS(BD!$Y$3:$Y$5001,BD!$B$3:$B$5001,E$173,BD!$A$3:$A$5001,_xlfn.MAXIFS(BD!$A$3:$A$5001,BD!$B$3:$B$5001,E$173,BD!$A$3:$A$5001,"&gt;="&amp;$C$7,BD!$A$3:$A$5001,"&lt;="&amp;$B180,BD!$Y$3:$Y$5001,"&lt;&gt;"))))</f>
        <v/>
      </c>
      <c r="F180" s="42" t="str">
        <f>IF(OR($B180="",$A180&gt;$B$9),"",IF(COUNTIFS(BD!$B$3:$B$5001,F$173,BD!$A$3:$A$5001,"&gt;="&amp;$C$7,BD!$A$3:$A$5001,"&lt;="&amp;$B180,BD!$Y$3:$Y$5001,"&lt;&gt;")=0,"",SUMIFS(BD!$Y$3:$Y$5001,BD!$B$3:$B$5001,F$173,BD!$A$3:$A$5001,_xlfn.MAXIFS(BD!$A$3:$A$5001,BD!$B$3:$B$5001,F$173,BD!$A$3:$A$5001,"&gt;="&amp;$C$7,BD!$A$3:$A$5001,"&lt;="&amp;$B180,BD!$Y$3:$Y$5001,"&lt;&gt;"))))</f>
        <v/>
      </c>
      <c r="G180" s="42" t="str">
        <f>IF(OR($B180="",$A180&gt;$B$9),"",IF(COUNTIFS(BD!$B$3:$B$5001,G$173,BD!$A$3:$A$5001,"&gt;="&amp;$C$7,BD!$A$3:$A$5001,"&lt;="&amp;$B180,BD!$Y$3:$Y$5001,"&lt;&gt;")=0,"",SUMIFS(BD!$Y$3:$Y$5001,BD!$B$3:$B$5001,G$173,BD!$A$3:$A$5001,_xlfn.MAXIFS(BD!$A$3:$A$5001,BD!$B$3:$B$5001,G$173,BD!$A$3:$A$5001,"&gt;="&amp;$C$7,BD!$A$3:$A$5001,"&lt;="&amp;$B180,BD!$Y$3:$Y$5001,"&lt;&gt;"))))</f>
        <v/>
      </c>
      <c r="H180" s="42" t="str">
        <f>IF(OR($B180="",$A180&gt;$B$9),"",IF(COUNTIFS(BD!$B$3:$B$5001,H$173,BD!$A$3:$A$5001,"&gt;="&amp;$C$7,BD!$A$3:$A$5001,"&lt;="&amp;$B180,BD!$Y$3:$Y$5001,"&lt;&gt;")=0,"",SUMIFS(BD!$Y$3:$Y$5001,BD!$B$3:$B$5001,H$173,BD!$A$3:$A$5001,_xlfn.MAXIFS(BD!$A$3:$A$5001,BD!$B$3:$B$5001,H$173,BD!$A$3:$A$5001,"&gt;="&amp;$C$7,BD!$A$3:$A$5001,"&lt;="&amp;$B180,BD!$Y$3:$Y$5001,"&lt;&gt;"))))</f>
        <v/>
      </c>
      <c r="I180" s="42" t="str">
        <f>IF(OR($B180="",$A180&gt;$B$9),"",IF(COUNTIFS(BD!$B$3:$B$5001,I$173,BD!$A$3:$A$5001,"&gt;="&amp;$C$7,BD!$A$3:$A$5001,"&lt;="&amp;$B180,BD!$Y$3:$Y$5001,"&lt;&gt;")=0,"",SUMIFS(BD!$Y$3:$Y$5001,BD!$B$3:$B$5001,I$173,BD!$A$3:$A$5001,_xlfn.MAXIFS(BD!$A$3:$A$5001,BD!$B$3:$B$5001,I$173,BD!$A$3:$A$5001,"&gt;="&amp;$C$7,BD!$A$3:$A$5001,"&lt;="&amp;$B180,BD!$Y$3:$Y$5001,"&lt;&gt;"))))</f>
        <v/>
      </c>
      <c r="J180" s="42" t="str">
        <f>IF(OR($B180="",$A180&gt;$B$9),"",IF(COUNTIFS(BD!$B$3:$B$5001,J$173,BD!$A$3:$A$5001,"&gt;="&amp;$C$7,BD!$A$3:$A$5001,"&lt;="&amp;$B180,BD!$Y$3:$Y$5001,"&lt;&gt;")=0,"",SUMIFS(BD!$Y$3:$Y$5001,BD!$B$3:$B$5001,J$173,BD!$A$3:$A$5001,_xlfn.MAXIFS(BD!$A$3:$A$5001,BD!$B$3:$B$5001,J$173,BD!$A$3:$A$5001,"&gt;="&amp;$C$7,BD!$A$3:$A$5001,"&lt;="&amp;$B180,BD!$Y$3:$Y$5001,"&lt;&gt;"))))</f>
        <v/>
      </c>
      <c r="K180" s="42" t="str">
        <f>IF(OR($B180="",$A180&gt;$B$9),"",IF(COUNTIFS(BD!$B$3:$B$5001,K$173,BD!$A$3:$A$5001,"&gt;="&amp;$C$7,BD!$A$3:$A$5001,"&lt;="&amp;$B180,BD!$Y$3:$Y$5001,"&lt;&gt;")=0,"",SUMIFS(BD!$Y$3:$Y$5001,BD!$B$3:$B$5001,K$173,BD!$A$3:$A$5001,_xlfn.MAXIFS(BD!$A$3:$A$5001,BD!$B$3:$B$5001,K$173,BD!$A$3:$A$5001,"&gt;="&amp;$C$7,BD!$A$3:$A$5001,"&lt;="&amp;$B180,BD!$Y$3:$Y$5001,"&lt;&gt;"))))</f>
        <v/>
      </c>
      <c r="L180" s="42" t="str">
        <f>IF(OR($B180="",$A180&gt;$B$9),"",IF(COUNTIFS(BD!$B$3:$B$5001,L$173,BD!$A$3:$A$5001,"&gt;="&amp;$C$7,BD!$A$3:$A$5001,"&lt;="&amp;$B180,BD!$Y$3:$Y$5001,"&lt;&gt;")=0,"",SUMIFS(BD!$Y$3:$Y$5001,BD!$B$3:$B$5001,L$173,BD!$A$3:$A$5001,_xlfn.MAXIFS(BD!$A$3:$A$5001,BD!$B$3:$B$5001,L$173,BD!$A$3:$A$5001,"&gt;="&amp;$C$7,BD!$A$3:$A$5001,"&lt;="&amp;$B180,BD!$Y$3:$Y$5001,"&lt;&gt;"))))</f>
        <v/>
      </c>
    </row>
    <row r="181">
      <c r="A181" s="40">
        <v>8</v>
      </c>
      <c r="B181" s="41">
        <f>$B$19</f>
        <v>46303</v>
      </c>
      <c r="C181" s="42" t="str">
        <f>IF(OR($B181="",$A181&gt;$B$9),"",IF(COUNTIFS(BD!$B$3:$B$5001,C$173,BD!$A$3:$A$5001,"&gt;="&amp;$C$7,BD!$A$3:$A$5001,"&lt;="&amp;$B181,BD!$Y$3:$Y$5001,"&lt;&gt;")=0,"",SUMIFS(BD!$Y$3:$Y$5001,BD!$B$3:$B$5001,C$173,BD!$A$3:$A$5001,_xlfn.MAXIFS(BD!$A$3:$A$5001,BD!$B$3:$B$5001,C$173,BD!$A$3:$A$5001,"&gt;="&amp;$C$7,BD!$A$3:$A$5001,"&lt;="&amp;$B181,BD!$Y$3:$Y$5001,"&lt;&gt;"))))</f>
        <v/>
      </c>
      <c r="D181" s="42" t="str">
        <f>IF(OR($B181="",$A181&gt;$B$9),"",IF(COUNTIFS(BD!$B$3:$B$5001,D$173,BD!$A$3:$A$5001,"&gt;="&amp;$C$7,BD!$A$3:$A$5001,"&lt;="&amp;$B181,BD!$Y$3:$Y$5001,"&lt;&gt;")=0,"",SUMIFS(BD!$Y$3:$Y$5001,BD!$B$3:$B$5001,D$173,BD!$A$3:$A$5001,_xlfn.MAXIFS(BD!$A$3:$A$5001,BD!$B$3:$B$5001,D$173,BD!$A$3:$A$5001,"&gt;="&amp;$C$7,BD!$A$3:$A$5001,"&lt;="&amp;$B181,BD!$Y$3:$Y$5001,"&lt;&gt;"))))</f>
        <v/>
      </c>
      <c r="E181" s="42" t="str">
        <f>IF(OR($B181="",$A181&gt;$B$9),"",IF(COUNTIFS(BD!$B$3:$B$5001,E$173,BD!$A$3:$A$5001,"&gt;="&amp;$C$7,BD!$A$3:$A$5001,"&lt;="&amp;$B181,BD!$Y$3:$Y$5001,"&lt;&gt;")=0,"",SUMIFS(BD!$Y$3:$Y$5001,BD!$B$3:$B$5001,E$173,BD!$A$3:$A$5001,_xlfn.MAXIFS(BD!$A$3:$A$5001,BD!$B$3:$B$5001,E$173,BD!$A$3:$A$5001,"&gt;="&amp;$C$7,BD!$A$3:$A$5001,"&lt;="&amp;$B181,BD!$Y$3:$Y$5001,"&lt;&gt;"))))</f>
        <v/>
      </c>
      <c r="F181" s="42" t="str">
        <f>IF(OR($B181="",$A181&gt;$B$9),"",IF(COUNTIFS(BD!$B$3:$B$5001,F$173,BD!$A$3:$A$5001,"&gt;="&amp;$C$7,BD!$A$3:$A$5001,"&lt;="&amp;$B181,BD!$Y$3:$Y$5001,"&lt;&gt;")=0,"",SUMIFS(BD!$Y$3:$Y$5001,BD!$B$3:$B$5001,F$173,BD!$A$3:$A$5001,_xlfn.MAXIFS(BD!$A$3:$A$5001,BD!$B$3:$B$5001,F$173,BD!$A$3:$A$5001,"&gt;="&amp;$C$7,BD!$A$3:$A$5001,"&lt;="&amp;$B181,BD!$Y$3:$Y$5001,"&lt;&gt;"))))</f>
        <v/>
      </c>
      <c r="G181" s="42" t="str">
        <f>IF(OR($B181="",$A181&gt;$B$9),"",IF(COUNTIFS(BD!$B$3:$B$5001,G$173,BD!$A$3:$A$5001,"&gt;="&amp;$C$7,BD!$A$3:$A$5001,"&lt;="&amp;$B181,BD!$Y$3:$Y$5001,"&lt;&gt;")=0,"",SUMIFS(BD!$Y$3:$Y$5001,BD!$B$3:$B$5001,G$173,BD!$A$3:$A$5001,_xlfn.MAXIFS(BD!$A$3:$A$5001,BD!$B$3:$B$5001,G$173,BD!$A$3:$A$5001,"&gt;="&amp;$C$7,BD!$A$3:$A$5001,"&lt;="&amp;$B181,BD!$Y$3:$Y$5001,"&lt;&gt;"))))</f>
        <v/>
      </c>
      <c r="H181" s="42" t="str">
        <f>IF(OR($B181="",$A181&gt;$B$9),"",IF(COUNTIFS(BD!$B$3:$B$5001,H$173,BD!$A$3:$A$5001,"&gt;="&amp;$C$7,BD!$A$3:$A$5001,"&lt;="&amp;$B181,BD!$Y$3:$Y$5001,"&lt;&gt;")=0,"",SUMIFS(BD!$Y$3:$Y$5001,BD!$B$3:$B$5001,H$173,BD!$A$3:$A$5001,_xlfn.MAXIFS(BD!$A$3:$A$5001,BD!$B$3:$B$5001,H$173,BD!$A$3:$A$5001,"&gt;="&amp;$C$7,BD!$A$3:$A$5001,"&lt;="&amp;$B181,BD!$Y$3:$Y$5001,"&lt;&gt;"))))</f>
        <v/>
      </c>
      <c r="I181" s="42" t="str">
        <f>IF(OR($B181="",$A181&gt;$B$9),"",IF(COUNTIFS(BD!$B$3:$B$5001,I$173,BD!$A$3:$A$5001,"&gt;="&amp;$C$7,BD!$A$3:$A$5001,"&lt;="&amp;$B181,BD!$Y$3:$Y$5001,"&lt;&gt;")=0,"",SUMIFS(BD!$Y$3:$Y$5001,BD!$B$3:$B$5001,I$173,BD!$A$3:$A$5001,_xlfn.MAXIFS(BD!$A$3:$A$5001,BD!$B$3:$B$5001,I$173,BD!$A$3:$A$5001,"&gt;="&amp;$C$7,BD!$A$3:$A$5001,"&lt;="&amp;$B181,BD!$Y$3:$Y$5001,"&lt;&gt;"))))</f>
        <v/>
      </c>
      <c r="J181" s="42" t="str">
        <f>IF(OR($B181="",$A181&gt;$B$9),"",IF(COUNTIFS(BD!$B$3:$B$5001,J$173,BD!$A$3:$A$5001,"&gt;="&amp;$C$7,BD!$A$3:$A$5001,"&lt;="&amp;$B181,BD!$Y$3:$Y$5001,"&lt;&gt;")=0,"",SUMIFS(BD!$Y$3:$Y$5001,BD!$B$3:$B$5001,J$173,BD!$A$3:$A$5001,_xlfn.MAXIFS(BD!$A$3:$A$5001,BD!$B$3:$B$5001,J$173,BD!$A$3:$A$5001,"&gt;="&amp;$C$7,BD!$A$3:$A$5001,"&lt;="&amp;$B181,BD!$Y$3:$Y$5001,"&lt;&gt;"))))</f>
        <v/>
      </c>
      <c r="K181" s="42" t="str">
        <f>IF(OR($B181="",$A181&gt;$B$9),"",IF(COUNTIFS(BD!$B$3:$B$5001,K$173,BD!$A$3:$A$5001,"&gt;="&amp;$C$7,BD!$A$3:$A$5001,"&lt;="&amp;$B181,BD!$Y$3:$Y$5001,"&lt;&gt;")=0,"",SUMIFS(BD!$Y$3:$Y$5001,BD!$B$3:$B$5001,K$173,BD!$A$3:$A$5001,_xlfn.MAXIFS(BD!$A$3:$A$5001,BD!$B$3:$B$5001,K$173,BD!$A$3:$A$5001,"&gt;="&amp;$C$7,BD!$A$3:$A$5001,"&lt;="&amp;$B181,BD!$Y$3:$Y$5001,"&lt;&gt;"))))</f>
        <v/>
      </c>
      <c r="L181" s="42" t="str">
        <f>IF(OR($B181="",$A181&gt;$B$9),"",IF(COUNTIFS(BD!$B$3:$B$5001,L$173,BD!$A$3:$A$5001,"&gt;="&amp;$C$7,BD!$A$3:$A$5001,"&lt;="&amp;$B181,BD!$Y$3:$Y$5001,"&lt;&gt;")=0,"",SUMIFS(BD!$Y$3:$Y$5001,BD!$B$3:$B$5001,L$173,BD!$A$3:$A$5001,_xlfn.MAXIFS(BD!$A$3:$A$5001,BD!$B$3:$B$5001,L$173,BD!$A$3:$A$5001,"&gt;="&amp;$C$7,BD!$A$3:$A$5001,"&lt;="&amp;$B181,BD!$Y$3:$Y$5001,"&lt;&gt;"))))</f>
        <v/>
      </c>
    </row>
    <row r="182">
      <c r="A182" s="40">
        <v>9</v>
      </c>
      <c r="B182" s="41">
        <f>$B$20</f>
        <v>46304</v>
      </c>
      <c r="C182" s="42" t="str">
        <f>IF(OR($B182="",$A182&gt;$B$9),"",IF(COUNTIFS(BD!$B$3:$B$5001,C$173,BD!$A$3:$A$5001,"&gt;="&amp;$C$7,BD!$A$3:$A$5001,"&lt;="&amp;$B182,BD!$Y$3:$Y$5001,"&lt;&gt;")=0,"",SUMIFS(BD!$Y$3:$Y$5001,BD!$B$3:$B$5001,C$173,BD!$A$3:$A$5001,_xlfn.MAXIFS(BD!$A$3:$A$5001,BD!$B$3:$B$5001,C$173,BD!$A$3:$A$5001,"&gt;="&amp;$C$7,BD!$A$3:$A$5001,"&lt;="&amp;$B182,BD!$Y$3:$Y$5001,"&lt;&gt;"))))</f>
        <v/>
      </c>
      <c r="D182" s="42" t="str">
        <f>IF(OR($B182="",$A182&gt;$B$9),"",IF(COUNTIFS(BD!$B$3:$B$5001,D$173,BD!$A$3:$A$5001,"&gt;="&amp;$C$7,BD!$A$3:$A$5001,"&lt;="&amp;$B182,BD!$Y$3:$Y$5001,"&lt;&gt;")=0,"",SUMIFS(BD!$Y$3:$Y$5001,BD!$B$3:$B$5001,D$173,BD!$A$3:$A$5001,_xlfn.MAXIFS(BD!$A$3:$A$5001,BD!$B$3:$B$5001,D$173,BD!$A$3:$A$5001,"&gt;="&amp;$C$7,BD!$A$3:$A$5001,"&lt;="&amp;$B182,BD!$Y$3:$Y$5001,"&lt;&gt;"))))</f>
        <v/>
      </c>
      <c r="E182" s="42" t="str">
        <f>IF(OR($B182="",$A182&gt;$B$9),"",IF(COUNTIFS(BD!$B$3:$B$5001,E$173,BD!$A$3:$A$5001,"&gt;="&amp;$C$7,BD!$A$3:$A$5001,"&lt;="&amp;$B182,BD!$Y$3:$Y$5001,"&lt;&gt;")=0,"",SUMIFS(BD!$Y$3:$Y$5001,BD!$B$3:$B$5001,E$173,BD!$A$3:$A$5001,_xlfn.MAXIFS(BD!$A$3:$A$5001,BD!$B$3:$B$5001,E$173,BD!$A$3:$A$5001,"&gt;="&amp;$C$7,BD!$A$3:$A$5001,"&lt;="&amp;$B182,BD!$Y$3:$Y$5001,"&lt;&gt;"))))</f>
        <v/>
      </c>
      <c r="F182" s="42" t="str">
        <f>IF(OR($B182="",$A182&gt;$B$9),"",IF(COUNTIFS(BD!$B$3:$B$5001,F$173,BD!$A$3:$A$5001,"&gt;="&amp;$C$7,BD!$A$3:$A$5001,"&lt;="&amp;$B182,BD!$Y$3:$Y$5001,"&lt;&gt;")=0,"",SUMIFS(BD!$Y$3:$Y$5001,BD!$B$3:$B$5001,F$173,BD!$A$3:$A$5001,_xlfn.MAXIFS(BD!$A$3:$A$5001,BD!$B$3:$B$5001,F$173,BD!$A$3:$A$5001,"&gt;="&amp;$C$7,BD!$A$3:$A$5001,"&lt;="&amp;$B182,BD!$Y$3:$Y$5001,"&lt;&gt;"))))</f>
        <v/>
      </c>
      <c r="G182" s="42" t="str">
        <f>IF(OR($B182="",$A182&gt;$B$9),"",IF(COUNTIFS(BD!$B$3:$B$5001,G$173,BD!$A$3:$A$5001,"&gt;="&amp;$C$7,BD!$A$3:$A$5001,"&lt;="&amp;$B182,BD!$Y$3:$Y$5001,"&lt;&gt;")=0,"",SUMIFS(BD!$Y$3:$Y$5001,BD!$B$3:$B$5001,G$173,BD!$A$3:$A$5001,_xlfn.MAXIFS(BD!$A$3:$A$5001,BD!$B$3:$B$5001,G$173,BD!$A$3:$A$5001,"&gt;="&amp;$C$7,BD!$A$3:$A$5001,"&lt;="&amp;$B182,BD!$Y$3:$Y$5001,"&lt;&gt;"))))</f>
        <v/>
      </c>
      <c r="H182" s="42" t="str">
        <f>IF(OR($B182="",$A182&gt;$B$9),"",IF(COUNTIFS(BD!$B$3:$B$5001,H$173,BD!$A$3:$A$5001,"&gt;="&amp;$C$7,BD!$A$3:$A$5001,"&lt;="&amp;$B182,BD!$Y$3:$Y$5001,"&lt;&gt;")=0,"",SUMIFS(BD!$Y$3:$Y$5001,BD!$B$3:$B$5001,H$173,BD!$A$3:$A$5001,_xlfn.MAXIFS(BD!$A$3:$A$5001,BD!$B$3:$B$5001,H$173,BD!$A$3:$A$5001,"&gt;="&amp;$C$7,BD!$A$3:$A$5001,"&lt;="&amp;$B182,BD!$Y$3:$Y$5001,"&lt;&gt;"))))</f>
        <v/>
      </c>
      <c r="I182" s="42" t="str">
        <f>IF(OR($B182="",$A182&gt;$B$9),"",IF(COUNTIFS(BD!$B$3:$B$5001,I$173,BD!$A$3:$A$5001,"&gt;="&amp;$C$7,BD!$A$3:$A$5001,"&lt;="&amp;$B182,BD!$Y$3:$Y$5001,"&lt;&gt;")=0,"",SUMIFS(BD!$Y$3:$Y$5001,BD!$B$3:$B$5001,I$173,BD!$A$3:$A$5001,_xlfn.MAXIFS(BD!$A$3:$A$5001,BD!$B$3:$B$5001,I$173,BD!$A$3:$A$5001,"&gt;="&amp;$C$7,BD!$A$3:$A$5001,"&lt;="&amp;$B182,BD!$Y$3:$Y$5001,"&lt;&gt;"))))</f>
        <v/>
      </c>
      <c r="J182" s="42" t="str">
        <f>IF(OR($B182="",$A182&gt;$B$9),"",IF(COUNTIFS(BD!$B$3:$B$5001,J$173,BD!$A$3:$A$5001,"&gt;="&amp;$C$7,BD!$A$3:$A$5001,"&lt;="&amp;$B182,BD!$Y$3:$Y$5001,"&lt;&gt;")=0,"",SUMIFS(BD!$Y$3:$Y$5001,BD!$B$3:$B$5001,J$173,BD!$A$3:$A$5001,_xlfn.MAXIFS(BD!$A$3:$A$5001,BD!$B$3:$B$5001,J$173,BD!$A$3:$A$5001,"&gt;="&amp;$C$7,BD!$A$3:$A$5001,"&lt;="&amp;$B182,BD!$Y$3:$Y$5001,"&lt;&gt;"))))</f>
        <v/>
      </c>
      <c r="K182" s="42" t="str">
        <f>IF(OR($B182="",$A182&gt;$B$9),"",IF(COUNTIFS(BD!$B$3:$B$5001,K$173,BD!$A$3:$A$5001,"&gt;="&amp;$C$7,BD!$A$3:$A$5001,"&lt;="&amp;$B182,BD!$Y$3:$Y$5001,"&lt;&gt;")=0,"",SUMIFS(BD!$Y$3:$Y$5001,BD!$B$3:$B$5001,K$173,BD!$A$3:$A$5001,_xlfn.MAXIFS(BD!$A$3:$A$5001,BD!$B$3:$B$5001,K$173,BD!$A$3:$A$5001,"&gt;="&amp;$C$7,BD!$A$3:$A$5001,"&lt;="&amp;$B182,BD!$Y$3:$Y$5001,"&lt;&gt;"))))</f>
        <v/>
      </c>
      <c r="L182" s="42" t="str">
        <f>IF(OR($B182="",$A182&gt;$B$9),"",IF(COUNTIFS(BD!$B$3:$B$5001,L$173,BD!$A$3:$A$5001,"&gt;="&amp;$C$7,BD!$A$3:$A$5001,"&lt;="&amp;$B182,BD!$Y$3:$Y$5001,"&lt;&gt;")=0,"",SUMIFS(BD!$Y$3:$Y$5001,BD!$B$3:$B$5001,L$173,BD!$A$3:$A$5001,_xlfn.MAXIFS(BD!$A$3:$A$5001,BD!$B$3:$B$5001,L$173,BD!$A$3:$A$5001,"&gt;="&amp;$C$7,BD!$A$3:$A$5001,"&lt;="&amp;$B182,BD!$Y$3:$Y$5001,"&lt;&gt;"))))</f>
        <v/>
      </c>
    </row>
    <row r="183">
      <c r="A183" s="40">
        <v>10</v>
      </c>
      <c r="B183" s="41">
        <f>$B$21</f>
        <v>46305</v>
      </c>
      <c r="C183" s="42" t="str">
        <f>IF(OR($B183="",$A183&gt;$B$9),"",IF(COUNTIFS(BD!$B$3:$B$5001,C$173,BD!$A$3:$A$5001,"&gt;="&amp;$C$7,BD!$A$3:$A$5001,"&lt;="&amp;$B183,BD!$Y$3:$Y$5001,"&lt;&gt;")=0,"",SUMIFS(BD!$Y$3:$Y$5001,BD!$B$3:$B$5001,C$173,BD!$A$3:$A$5001,_xlfn.MAXIFS(BD!$A$3:$A$5001,BD!$B$3:$B$5001,C$173,BD!$A$3:$A$5001,"&gt;="&amp;$C$7,BD!$A$3:$A$5001,"&lt;="&amp;$B183,BD!$Y$3:$Y$5001,"&lt;&gt;"))))</f>
        <v/>
      </c>
      <c r="D183" s="42" t="str">
        <f>IF(OR($B183="",$A183&gt;$B$9),"",IF(COUNTIFS(BD!$B$3:$B$5001,D$173,BD!$A$3:$A$5001,"&gt;="&amp;$C$7,BD!$A$3:$A$5001,"&lt;="&amp;$B183,BD!$Y$3:$Y$5001,"&lt;&gt;")=0,"",SUMIFS(BD!$Y$3:$Y$5001,BD!$B$3:$B$5001,D$173,BD!$A$3:$A$5001,_xlfn.MAXIFS(BD!$A$3:$A$5001,BD!$B$3:$B$5001,D$173,BD!$A$3:$A$5001,"&gt;="&amp;$C$7,BD!$A$3:$A$5001,"&lt;="&amp;$B183,BD!$Y$3:$Y$5001,"&lt;&gt;"))))</f>
        <v/>
      </c>
      <c r="E183" s="42" t="str">
        <f>IF(OR($B183="",$A183&gt;$B$9),"",IF(COUNTIFS(BD!$B$3:$B$5001,E$173,BD!$A$3:$A$5001,"&gt;="&amp;$C$7,BD!$A$3:$A$5001,"&lt;="&amp;$B183,BD!$Y$3:$Y$5001,"&lt;&gt;")=0,"",SUMIFS(BD!$Y$3:$Y$5001,BD!$B$3:$B$5001,E$173,BD!$A$3:$A$5001,_xlfn.MAXIFS(BD!$A$3:$A$5001,BD!$B$3:$B$5001,E$173,BD!$A$3:$A$5001,"&gt;="&amp;$C$7,BD!$A$3:$A$5001,"&lt;="&amp;$B183,BD!$Y$3:$Y$5001,"&lt;&gt;"))))</f>
        <v/>
      </c>
      <c r="F183" s="42" t="str">
        <f>IF(OR($B183="",$A183&gt;$B$9),"",IF(COUNTIFS(BD!$B$3:$B$5001,F$173,BD!$A$3:$A$5001,"&gt;="&amp;$C$7,BD!$A$3:$A$5001,"&lt;="&amp;$B183,BD!$Y$3:$Y$5001,"&lt;&gt;")=0,"",SUMIFS(BD!$Y$3:$Y$5001,BD!$B$3:$B$5001,F$173,BD!$A$3:$A$5001,_xlfn.MAXIFS(BD!$A$3:$A$5001,BD!$B$3:$B$5001,F$173,BD!$A$3:$A$5001,"&gt;="&amp;$C$7,BD!$A$3:$A$5001,"&lt;="&amp;$B183,BD!$Y$3:$Y$5001,"&lt;&gt;"))))</f>
        <v/>
      </c>
      <c r="G183" s="42" t="str">
        <f>IF(OR($B183="",$A183&gt;$B$9),"",IF(COUNTIFS(BD!$B$3:$B$5001,G$173,BD!$A$3:$A$5001,"&gt;="&amp;$C$7,BD!$A$3:$A$5001,"&lt;="&amp;$B183,BD!$Y$3:$Y$5001,"&lt;&gt;")=0,"",SUMIFS(BD!$Y$3:$Y$5001,BD!$B$3:$B$5001,G$173,BD!$A$3:$A$5001,_xlfn.MAXIFS(BD!$A$3:$A$5001,BD!$B$3:$B$5001,G$173,BD!$A$3:$A$5001,"&gt;="&amp;$C$7,BD!$A$3:$A$5001,"&lt;="&amp;$B183,BD!$Y$3:$Y$5001,"&lt;&gt;"))))</f>
        <v/>
      </c>
      <c r="H183" s="42" t="str">
        <f>IF(OR($B183="",$A183&gt;$B$9),"",IF(COUNTIFS(BD!$B$3:$B$5001,H$173,BD!$A$3:$A$5001,"&gt;="&amp;$C$7,BD!$A$3:$A$5001,"&lt;="&amp;$B183,BD!$Y$3:$Y$5001,"&lt;&gt;")=0,"",SUMIFS(BD!$Y$3:$Y$5001,BD!$B$3:$B$5001,H$173,BD!$A$3:$A$5001,_xlfn.MAXIFS(BD!$A$3:$A$5001,BD!$B$3:$B$5001,H$173,BD!$A$3:$A$5001,"&gt;="&amp;$C$7,BD!$A$3:$A$5001,"&lt;="&amp;$B183,BD!$Y$3:$Y$5001,"&lt;&gt;"))))</f>
        <v/>
      </c>
      <c r="I183" s="42" t="str">
        <f>IF(OR($B183="",$A183&gt;$B$9),"",IF(COUNTIFS(BD!$B$3:$B$5001,I$173,BD!$A$3:$A$5001,"&gt;="&amp;$C$7,BD!$A$3:$A$5001,"&lt;="&amp;$B183,BD!$Y$3:$Y$5001,"&lt;&gt;")=0,"",SUMIFS(BD!$Y$3:$Y$5001,BD!$B$3:$B$5001,I$173,BD!$A$3:$A$5001,_xlfn.MAXIFS(BD!$A$3:$A$5001,BD!$B$3:$B$5001,I$173,BD!$A$3:$A$5001,"&gt;="&amp;$C$7,BD!$A$3:$A$5001,"&lt;="&amp;$B183,BD!$Y$3:$Y$5001,"&lt;&gt;"))))</f>
        <v/>
      </c>
      <c r="J183" s="42" t="str">
        <f>IF(OR($B183="",$A183&gt;$B$9),"",IF(COUNTIFS(BD!$B$3:$B$5001,J$173,BD!$A$3:$A$5001,"&gt;="&amp;$C$7,BD!$A$3:$A$5001,"&lt;="&amp;$B183,BD!$Y$3:$Y$5001,"&lt;&gt;")=0,"",SUMIFS(BD!$Y$3:$Y$5001,BD!$B$3:$B$5001,J$173,BD!$A$3:$A$5001,_xlfn.MAXIFS(BD!$A$3:$A$5001,BD!$B$3:$B$5001,J$173,BD!$A$3:$A$5001,"&gt;="&amp;$C$7,BD!$A$3:$A$5001,"&lt;="&amp;$B183,BD!$Y$3:$Y$5001,"&lt;&gt;"))))</f>
        <v/>
      </c>
      <c r="K183" s="42" t="str">
        <f>IF(OR($B183="",$A183&gt;$B$9),"",IF(COUNTIFS(BD!$B$3:$B$5001,K$173,BD!$A$3:$A$5001,"&gt;="&amp;$C$7,BD!$A$3:$A$5001,"&lt;="&amp;$B183,BD!$Y$3:$Y$5001,"&lt;&gt;")=0,"",SUMIFS(BD!$Y$3:$Y$5001,BD!$B$3:$B$5001,K$173,BD!$A$3:$A$5001,_xlfn.MAXIFS(BD!$A$3:$A$5001,BD!$B$3:$B$5001,K$173,BD!$A$3:$A$5001,"&gt;="&amp;$C$7,BD!$A$3:$A$5001,"&lt;="&amp;$B183,BD!$Y$3:$Y$5001,"&lt;&gt;"))))</f>
        <v/>
      </c>
      <c r="L183" s="42" t="str">
        <f>IF(OR($B183="",$A183&gt;$B$9),"",IF(COUNTIFS(BD!$B$3:$B$5001,L$173,BD!$A$3:$A$5001,"&gt;="&amp;$C$7,BD!$A$3:$A$5001,"&lt;="&amp;$B183,BD!$Y$3:$Y$5001,"&lt;&gt;")=0,"",SUMIFS(BD!$Y$3:$Y$5001,BD!$B$3:$B$5001,L$173,BD!$A$3:$A$5001,_xlfn.MAXIFS(BD!$A$3:$A$5001,BD!$B$3:$B$5001,L$173,BD!$A$3:$A$5001,"&gt;="&amp;$C$7,BD!$A$3:$A$5001,"&lt;="&amp;$B183,BD!$Y$3:$Y$5001,"&lt;&gt;"))))</f>
        <v/>
      </c>
    </row>
    <row r="184">
      <c r="A184" s="40">
        <v>11</v>
      </c>
      <c r="B184" s="41">
        <f>$B$22</f>
        <v>46306</v>
      </c>
      <c r="C184" s="42" t="str">
        <f>IF(OR($B184="",$A184&gt;$B$9),"",IF(COUNTIFS(BD!$B$3:$B$5001,C$173,BD!$A$3:$A$5001,"&gt;="&amp;$C$7,BD!$A$3:$A$5001,"&lt;="&amp;$B184,BD!$Y$3:$Y$5001,"&lt;&gt;")=0,"",SUMIFS(BD!$Y$3:$Y$5001,BD!$B$3:$B$5001,C$173,BD!$A$3:$A$5001,_xlfn.MAXIFS(BD!$A$3:$A$5001,BD!$B$3:$B$5001,C$173,BD!$A$3:$A$5001,"&gt;="&amp;$C$7,BD!$A$3:$A$5001,"&lt;="&amp;$B184,BD!$Y$3:$Y$5001,"&lt;&gt;"))))</f>
        <v/>
      </c>
      <c r="D184" s="42" t="str">
        <f>IF(OR($B184="",$A184&gt;$B$9),"",IF(COUNTIFS(BD!$B$3:$B$5001,D$173,BD!$A$3:$A$5001,"&gt;="&amp;$C$7,BD!$A$3:$A$5001,"&lt;="&amp;$B184,BD!$Y$3:$Y$5001,"&lt;&gt;")=0,"",SUMIFS(BD!$Y$3:$Y$5001,BD!$B$3:$B$5001,D$173,BD!$A$3:$A$5001,_xlfn.MAXIFS(BD!$A$3:$A$5001,BD!$B$3:$B$5001,D$173,BD!$A$3:$A$5001,"&gt;="&amp;$C$7,BD!$A$3:$A$5001,"&lt;="&amp;$B184,BD!$Y$3:$Y$5001,"&lt;&gt;"))))</f>
        <v/>
      </c>
      <c r="E184" s="42" t="str">
        <f>IF(OR($B184="",$A184&gt;$B$9),"",IF(COUNTIFS(BD!$B$3:$B$5001,E$173,BD!$A$3:$A$5001,"&gt;="&amp;$C$7,BD!$A$3:$A$5001,"&lt;="&amp;$B184,BD!$Y$3:$Y$5001,"&lt;&gt;")=0,"",SUMIFS(BD!$Y$3:$Y$5001,BD!$B$3:$B$5001,E$173,BD!$A$3:$A$5001,_xlfn.MAXIFS(BD!$A$3:$A$5001,BD!$B$3:$B$5001,E$173,BD!$A$3:$A$5001,"&gt;="&amp;$C$7,BD!$A$3:$A$5001,"&lt;="&amp;$B184,BD!$Y$3:$Y$5001,"&lt;&gt;"))))</f>
        <v/>
      </c>
      <c r="F184" s="42" t="str">
        <f>IF(OR($B184="",$A184&gt;$B$9),"",IF(COUNTIFS(BD!$B$3:$B$5001,F$173,BD!$A$3:$A$5001,"&gt;="&amp;$C$7,BD!$A$3:$A$5001,"&lt;="&amp;$B184,BD!$Y$3:$Y$5001,"&lt;&gt;")=0,"",SUMIFS(BD!$Y$3:$Y$5001,BD!$B$3:$B$5001,F$173,BD!$A$3:$A$5001,_xlfn.MAXIFS(BD!$A$3:$A$5001,BD!$B$3:$B$5001,F$173,BD!$A$3:$A$5001,"&gt;="&amp;$C$7,BD!$A$3:$A$5001,"&lt;="&amp;$B184,BD!$Y$3:$Y$5001,"&lt;&gt;"))))</f>
        <v/>
      </c>
      <c r="G184" s="42" t="str">
        <f>IF(OR($B184="",$A184&gt;$B$9),"",IF(COUNTIFS(BD!$B$3:$B$5001,G$173,BD!$A$3:$A$5001,"&gt;="&amp;$C$7,BD!$A$3:$A$5001,"&lt;="&amp;$B184,BD!$Y$3:$Y$5001,"&lt;&gt;")=0,"",SUMIFS(BD!$Y$3:$Y$5001,BD!$B$3:$B$5001,G$173,BD!$A$3:$A$5001,_xlfn.MAXIFS(BD!$A$3:$A$5001,BD!$B$3:$B$5001,G$173,BD!$A$3:$A$5001,"&gt;="&amp;$C$7,BD!$A$3:$A$5001,"&lt;="&amp;$B184,BD!$Y$3:$Y$5001,"&lt;&gt;"))))</f>
        <v/>
      </c>
      <c r="H184" s="42" t="str">
        <f>IF(OR($B184="",$A184&gt;$B$9),"",IF(COUNTIFS(BD!$B$3:$B$5001,H$173,BD!$A$3:$A$5001,"&gt;="&amp;$C$7,BD!$A$3:$A$5001,"&lt;="&amp;$B184,BD!$Y$3:$Y$5001,"&lt;&gt;")=0,"",SUMIFS(BD!$Y$3:$Y$5001,BD!$B$3:$B$5001,H$173,BD!$A$3:$A$5001,_xlfn.MAXIFS(BD!$A$3:$A$5001,BD!$B$3:$B$5001,H$173,BD!$A$3:$A$5001,"&gt;="&amp;$C$7,BD!$A$3:$A$5001,"&lt;="&amp;$B184,BD!$Y$3:$Y$5001,"&lt;&gt;"))))</f>
        <v/>
      </c>
      <c r="I184" s="42" t="str">
        <f>IF(OR($B184="",$A184&gt;$B$9),"",IF(COUNTIFS(BD!$B$3:$B$5001,I$173,BD!$A$3:$A$5001,"&gt;="&amp;$C$7,BD!$A$3:$A$5001,"&lt;="&amp;$B184,BD!$Y$3:$Y$5001,"&lt;&gt;")=0,"",SUMIFS(BD!$Y$3:$Y$5001,BD!$B$3:$B$5001,I$173,BD!$A$3:$A$5001,_xlfn.MAXIFS(BD!$A$3:$A$5001,BD!$B$3:$B$5001,I$173,BD!$A$3:$A$5001,"&gt;="&amp;$C$7,BD!$A$3:$A$5001,"&lt;="&amp;$B184,BD!$Y$3:$Y$5001,"&lt;&gt;"))))</f>
        <v/>
      </c>
      <c r="J184" s="42" t="str">
        <f>IF(OR($B184="",$A184&gt;$B$9),"",IF(COUNTIFS(BD!$B$3:$B$5001,J$173,BD!$A$3:$A$5001,"&gt;="&amp;$C$7,BD!$A$3:$A$5001,"&lt;="&amp;$B184,BD!$Y$3:$Y$5001,"&lt;&gt;")=0,"",SUMIFS(BD!$Y$3:$Y$5001,BD!$B$3:$B$5001,J$173,BD!$A$3:$A$5001,_xlfn.MAXIFS(BD!$A$3:$A$5001,BD!$B$3:$B$5001,J$173,BD!$A$3:$A$5001,"&gt;="&amp;$C$7,BD!$A$3:$A$5001,"&lt;="&amp;$B184,BD!$Y$3:$Y$5001,"&lt;&gt;"))))</f>
        <v/>
      </c>
      <c r="K184" s="42" t="str">
        <f>IF(OR($B184="",$A184&gt;$B$9),"",IF(COUNTIFS(BD!$B$3:$B$5001,K$173,BD!$A$3:$A$5001,"&gt;="&amp;$C$7,BD!$A$3:$A$5001,"&lt;="&amp;$B184,BD!$Y$3:$Y$5001,"&lt;&gt;")=0,"",SUMIFS(BD!$Y$3:$Y$5001,BD!$B$3:$B$5001,K$173,BD!$A$3:$A$5001,_xlfn.MAXIFS(BD!$A$3:$A$5001,BD!$B$3:$B$5001,K$173,BD!$A$3:$A$5001,"&gt;="&amp;$C$7,BD!$A$3:$A$5001,"&lt;="&amp;$B184,BD!$Y$3:$Y$5001,"&lt;&gt;"))))</f>
        <v/>
      </c>
      <c r="L184" s="42" t="str">
        <f>IF(OR($B184="",$A184&gt;$B$9),"",IF(COUNTIFS(BD!$B$3:$B$5001,L$173,BD!$A$3:$A$5001,"&gt;="&amp;$C$7,BD!$A$3:$A$5001,"&lt;="&amp;$B184,BD!$Y$3:$Y$5001,"&lt;&gt;")=0,"",SUMIFS(BD!$Y$3:$Y$5001,BD!$B$3:$B$5001,L$173,BD!$A$3:$A$5001,_xlfn.MAXIFS(BD!$A$3:$A$5001,BD!$B$3:$B$5001,L$173,BD!$A$3:$A$5001,"&gt;="&amp;$C$7,BD!$A$3:$A$5001,"&lt;="&amp;$B184,BD!$Y$3:$Y$5001,"&lt;&gt;"))))</f>
        <v/>
      </c>
    </row>
    <row r="185">
      <c r="A185" s="40">
        <v>12</v>
      </c>
      <c r="B185" s="41">
        <f>$B$23</f>
        <v>46307</v>
      </c>
      <c r="C185" s="42" t="str">
        <f>IF(OR($B185="",$A185&gt;$B$9),"",IF(COUNTIFS(BD!$B$3:$B$5001,C$173,BD!$A$3:$A$5001,"&gt;="&amp;$C$7,BD!$A$3:$A$5001,"&lt;="&amp;$B185,BD!$Y$3:$Y$5001,"&lt;&gt;")=0,"",SUMIFS(BD!$Y$3:$Y$5001,BD!$B$3:$B$5001,C$173,BD!$A$3:$A$5001,_xlfn.MAXIFS(BD!$A$3:$A$5001,BD!$B$3:$B$5001,C$173,BD!$A$3:$A$5001,"&gt;="&amp;$C$7,BD!$A$3:$A$5001,"&lt;="&amp;$B185,BD!$Y$3:$Y$5001,"&lt;&gt;"))))</f>
        <v/>
      </c>
      <c r="D185" s="42" t="str">
        <f>IF(OR($B185="",$A185&gt;$B$9),"",IF(COUNTIFS(BD!$B$3:$B$5001,D$173,BD!$A$3:$A$5001,"&gt;="&amp;$C$7,BD!$A$3:$A$5001,"&lt;="&amp;$B185,BD!$Y$3:$Y$5001,"&lt;&gt;")=0,"",SUMIFS(BD!$Y$3:$Y$5001,BD!$B$3:$B$5001,D$173,BD!$A$3:$A$5001,_xlfn.MAXIFS(BD!$A$3:$A$5001,BD!$B$3:$B$5001,D$173,BD!$A$3:$A$5001,"&gt;="&amp;$C$7,BD!$A$3:$A$5001,"&lt;="&amp;$B185,BD!$Y$3:$Y$5001,"&lt;&gt;"))))</f>
        <v/>
      </c>
      <c r="E185" s="42" t="str">
        <f>IF(OR($B185="",$A185&gt;$B$9),"",IF(COUNTIFS(BD!$B$3:$B$5001,E$173,BD!$A$3:$A$5001,"&gt;="&amp;$C$7,BD!$A$3:$A$5001,"&lt;="&amp;$B185,BD!$Y$3:$Y$5001,"&lt;&gt;")=0,"",SUMIFS(BD!$Y$3:$Y$5001,BD!$B$3:$B$5001,E$173,BD!$A$3:$A$5001,_xlfn.MAXIFS(BD!$A$3:$A$5001,BD!$B$3:$B$5001,E$173,BD!$A$3:$A$5001,"&gt;="&amp;$C$7,BD!$A$3:$A$5001,"&lt;="&amp;$B185,BD!$Y$3:$Y$5001,"&lt;&gt;"))))</f>
        <v/>
      </c>
      <c r="F185" s="42" t="str">
        <f>IF(OR($B185="",$A185&gt;$B$9),"",IF(COUNTIFS(BD!$B$3:$B$5001,F$173,BD!$A$3:$A$5001,"&gt;="&amp;$C$7,BD!$A$3:$A$5001,"&lt;="&amp;$B185,BD!$Y$3:$Y$5001,"&lt;&gt;")=0,"",SUMIFS(BD!$Y$3:$Y$5001,BD!$B$3:$B$5001,F$173,BD!$A$3:$A$5001,_xlfn.MAXIFS(BD!$A$3:$A$5001,BD!$B$3:$B$5001,F$173,BD!$A$3:$A$5001,"&gt;="&amp;$C$7,BD!$A$3:$A$5001,"&lt;="&amp;$B185,BD!$Y$3:$Y$5001,"&lt;&gt;"))))</f>
        <v/>
      </c>
      <c r="G185" s="42" t="str">
        <f>IF(OR($B185="",$A185&gt;$B$9),"",IF(COUNTIFS(BD!$B$3:$B$5001,G$173,BD!$A$3:$A$5001,"&gt;="&amp;$C$7,BD!$A$3:$A$5001,"&lt;="&amp;$B185,BD!$Y$3:$Y$5001,"&lt;&gt;")=0,"",SUMIFS(BD!$Y$3:$Y$5001,BD!$B$3:$B$5001,G$173,BD!$A$3:$A$5001,_xlfn.MAXIFS(BD!$A$3:$A$5001,BD!$B$3:$B$5001,G$173,BD!$A$3:$A$5001,"&gt;="&amp;$C$7,BD!$A$3:$A$5001,"&lt;="&amp;$B185,BD!$Y$3:$Y$5001,"&lt;&gt;"))))</f>
        <v/>
      </c>
      <c r="H185" s="42" t="str">
        <f>IF(OR($B185="",$A185&gt;$B$9),"",IF(COUNTIFS(BD!$B$3:$B$5001,H$173,BD!$A$3:$A$5001,"&gt;="&amp;$C$7,BD!$A$3:$A$5001,"&lt;="&amp;$B185,BD!$Y$3:$Y$5001,"&lt;&gt;")=0,"",SUMIFS(BD!$Y$3:$Y$5001,BD!$B$3:$B$5001,H$173,BD!$A$3:$A$5001,_xlfn.MAXIFS(BD!$A$3:$A$5001,BD!$B$3:$B$5001,H$173,BD!$A$3:$A$5001,"&gt;="&amp;$C$7,BD!$A$3:$A$5001,"&lt;="&amp;$B185,BD!$Y$3:$Y$5001,"&lt;&gt;"))))</f>
        <v/>
      </c>
      <c r="I185" s="42" t="str">
        <f>IF(OR($B185="",$A185&gt;$B$9),"",IF(COUNTIFS(BD!$B$3:$B$5001,I$173,BD!$A$3:$A$5001,"&gt;="&amp;$C$7,BD!$A$3:$A$5001,"&lt;="&amp;$B185,BD!$Y$3:$Y$5001,"&lt;&gt;")=0,"",SUMIFS(BD!$Y$3:$Y$5001,BD!$B$3:$B$5001,I$173,BD!$A$3:$A$5001,_xlfn.MAXIFS(BD!$A$3:$A$5001,BD!$B$3:$B$5001,I$173,BD!$A$3:$A$5001,"&gt;="&amp;$C$7,BD!$A$3:$A$5001,"&lt;="&amp;$B185,BD!$Y$3:$Y$5001,"&lt;&gt;"))))</f>
        <v/>
      </c>
      <c r="J185" s="42" t="str">
        <f>IF(OR($B185="",$A185&gt;$B$9),"",IF(COUNTIFS(BD!$B$3:$B$5001,J$173,BD!$A$3:$A$5001,"&gt;="&amp;$C$7,BD!$A$3:$A$5001,"&lt;="&amp;$B185,BD!$Y$3:$Y$5001,"&lt;&gt;")=0,"",SUMIFS(BD!$Y$3:$Y$5001,BD!$B$3:$B$5001,J$173,BD!$A$3:$A$5001,_xlfn.MAXIFS(BD!$A$3:$A$5001,BD!$B$3:$B$5001,J$173,BD!$A$3:$A$5001,"&gt;="&amp;$C$7,BD!$A$3:$A$5001,"&lt;="&amp;$B185,BD!$Y$3:$Y$5001,"&lt;&gt;"))))</f>
        <v/>
      </c>
      <c r="K185" s="42" t="str">
        <f>IF(OR($B185="",$A185&gt;$B$9),"",IF(COUNTIFS(BD!$B$3:$B$5001,K$173,BD!$A$3:$A$5001,"&gt;="&amp;$C$7,BD!$A$3:$A$5001,"&lt;="&amp;$B185,BD!$Y$3:$Y$5001,"&lt;&gt;")=0,"",SUMIFS(BD!$Y$3:$Y$5001,BD!$B$3:$B$5001,K$173,BD!$A$3:$A$5001,_xlfn.MAXIFS(BD!$A$3:$A$5001,BD!$B$3:$B$5001,K$173,BD!$A$3:$A$5001,"&gt;="&amp;$C$7,BD!$A$3:$A$5001,"&lt;="&amp;$B185,BD!$Y$3:$Y$5001,"&lt;&gt;"))))</f>
        <v/>
      </c>
      <c r="L185" s="42" t="str">
        <f>IF(OR($B185="",$A185&gt;$B$9),"",IF(COUNTIFS(BD!$B$3:$B$5001,L$173,BD!$A$3:$A$5001,"&gt;="&amp;$C$7,BD!$A$3:$A$5001,"&lt;="&amp;$B185,BD!$Y$3:$Y$5001,"&lt;&gt;")=0,"",SUMIFS(BD!$Y$3:$Y$5001,BD!$B$3:$B$5001,L$173,BD!$A$3:$A$5001,_xlfn.MAXIFS(BD!$A$3:$A$5001,BD!$B$3:$B$5001,L$173,BD!$A$3:$A$5001,"&gt;="&amp;$C$7,BD!$A$3:$A$5001,"&lt;="&amp;$B185,BD!$Y$3:$Y$5001,"&lt;&gt;"))))</f>
        <v/>
      </c>
    </row>
    <row r="186">
      <c r="A186" s="40">
        <v>13</v>
      </c>
      <c r="B186" s="41">
        <f>$B$24</f>
        <v>46308</v>
      </c>
      <c r="C186" s="42" t="str">
        <f>IF(OR($B186="",$A186&gt;$B$9),"",IF(COUNTIFS(BD!$B$3:$B$5001,C$173,BD!$A$3:$A$5001,"&gt;="&amp;$C$7,BD!$A$3:$A$5001,"&lt;="&amp;$B186,BD!$Y$3:$Y$5001,"&lt;&gt;")=0,"",SUMIFS(BD!$Y$3:$Y$5001,BD!$B$3:$B$5001,C$173,BD!$A$3:$A$5001,_xlfn.MAXIFS(BD!$A$3:$A$5001,BD!$B$3:$B$5001,C$173,BD!$A$3:$A$5001,"&gt;="&amp;$C$7,BD!$A$3:$A$5001,"&lt;="&amp;$B186,BD!$Y$3:$Y$5001,"&lt;&gt;"))))</f>
        <v/>
      </c>
      <c r="D186" s="42" t="str">
        <f>IF(OR($B186="",$A186&gt;$B$9),"",IF(COUNTIFS(BD!$B$3:$B$5001,D$173,BD!$A$3:$A$5001,"&gt;="&amp;$C$7,BD!$A$3:$A$5001,"&lt;="&amp;$B186,BD!$Y$3:$Y$5001,"&lt;&gt;")=0,"",SUMIFS(BD!$Y$3:$Y$5001,BD!$B$3:$B$5001,D$173,BD!$A$3:$A$5001,_xlfn.MAXIFS(BD!$A$3:$A$5001,BD!$B$3:$B$5001,D$173,BD!$A$3:$A$5001,"&gt;="&amp;$C$7,BD!$A$3:$A$5001,"&lt;="&amp;$B186,BD!$Y$3:$Y$5001,"&lt;&gt;"))))</f>
        <v/>
      </c>
      <c r="E186" s="42" t="str">
        <f>IF(OR($B186="",$A186&gt;$B$9),"",IF(COUNTIFS(BD!$B$3:$B$5001,E$173,BD!$A$3:$A$5001,"&gt;="&amp;$C$7,BD!$A$3:$A$5001,"&lt;="&amp;$B186,BD!$Y$3:$Y$5001,"&lt;&gt;")=0,"",SUMIFS(BD!$Y$3:$Y$5001,BD!$B$3:$B$5001,E$173,BD!$A$3:$A$5001,_xlfn.MAXIFS(BD!$A$3:$A$5001,BD!$B$3:$B$5001,E$173,BD!$A$3:$A$5001,"&gt;="&amp;$C$7,BD!$A$3:$A$5001,"&lt;="&amp;$B186,BD!$Y$3:$Y$5001,"&lt;&gt;"))))</f>
        <v/>
      </c>
      <c r="F186" s="42" t="str">
        <f>IF(OR($B186="",$A186&gt;$B$9),"",IF(COUNTIFS(BD!$B$3:$B$5001,F$173,BD!$A$3:$A$5001,"&gt;="&amp;$C$7,BD!$A$3:$A$5001,"&lt;="&amp;$B186,BD!$Y$3:$Y$5001,"&lt;&gt;")=0,"",SUMIFS(BD!$Y$3:$Y$5001,BD!$B$3:$B$5001,F$173,BD!$A$3:$A$5001,_xlfn.MAXIFS(BD!$A$3:$A$5001,BD!$B$3:$B$5001,F$173,BD!$A$3:$A$5001,"&gt;="&amp;$C$7,BD!$A$3:$A$5001,"&lt;="&amp;$B186,BD!$Y$3:$Y$5001,"&lt;&gt;"))))</f>
        <v/>
      </c>
      <c r="G186" s="42" t="str">
        <f>IF(OR($B186="",$A186&gt;$B$9),"",IF(COUNTIFS(BD!$B$3:$B$5001,G$173,BD!$A$3:$A$5001,"&gt;="&amp;$C$7,BD!$A$3:$A$5001,"&lt;="&amp;$B186,BD!$Y$3:$Y$5001,"&lt;&gt;")=0,"",SUMIFS(BD!$Y$3:$Y$5001,BD!$B$3:$B$5001,G$173,BD!$A$3:$A$5001,_xlfn.MAXIFS(BD!$A$3:$A$5001,BD!$B$3:$B$5001,G$173,BD!$A$3:$A$5001,"&gt;="&amp;$C$7,BD!$A$3:$A$5001,"&lt;="&amp;$B186,BD!$Y$3:$Y$5001,"&lt;&gt;"))))</f>
        <v/>
      </c>
      <c r="H186" s="42" t="str">
        <f>IF(OR($B186="",$A186&gt;$B$9),"",IF(COUNTIFS(BD!$B$3:$B$5001,H$173,BD!$A$3:$A$5001,"&gt;="&amp;$C$7,BD!$A$3:$A$5001,"&lt;="&amp;$B186,BD!$Y$3:$Y$5001,"&lt;&gt;")=0,"",SUMIFS(BD!$Y$3:$Y$5001,BD!$B$3:$B$5001,H$173,BD!$A$3:$A$5001,_xlfn.MAXIFS(BD!$A$3:$A$5001,BD!$B$3:$B$5001,H$173,BD!$A$3:$A$5001,"&gt;="&amp;$C$7,BD!$A$3:$A$5001,"&lt;="&amp;$B186,BD!$Y$3:$Y$5001,"&lt;&gt;"))))</f>
        <v/>
      </c>
      <c r="I186" s="42" t="str">
        <f>IF(OR($B186="",$A186&gt;$B$9),"",IF(COUNTIFS(BD!$B$3:$B$5001,I$173,BD!$A$3:$A$5001,"&gt;="&amp;$C$7,BD!$A$3:$A$5001,"&lt;="&amp;$B186,BD!$Y$3:$Y$5001,"&lt;&gt;")=0,"",SUMIFS(BD!$Y$3:$Y$5001,BD!$B$3:$B$5001,I$173,BD!$A$3:$A$5001,_xlfn.MAXIFS(BD!$A$3:$A$5001,BD!$B$3:$B$5001,I$173,BD!$A$3:$A$5001,"&gt;="&amp;$C$7,BD!$A$3:$A$5001,"&lt;="&amp;$B186,BD!$Y$3:$Y$5001,"&lt;&gt;"))))</f>
        <v/>
      </c>
      <c r="J186" s="42" t="str">
        <f>IF(OR($B186="",$A186&gt;$B$9),"",IF(COUNTIFS(BD!$B$3:$B$5001,J$173,BD!$A$3:$A$5001,"&gt;="&amp;$C$7,BD!$A$3:$A$5001,"&lt;="&amp;$B186,BD!$Y$3:$Y$5001,"&lt;&gt;")=0,"",SUMIFS(BD!$Y$3:$Y$5001,BD!$B$3:$B$5001,J$173,BD!$A$3:$A$5001,_xlfn.MAXIFS(BD!$A$3:$A$5001,BD!$B$3:$B$5001,J$173,BD!$A$3:$A$5001,"&gt;="&amp;$C$7,BD!$A$3:$A$5001,"&lt;="&amp;$B186,BD!$Y$3:$Y$5001,"&lt;&gt;"))))</f>
        <v/>
      </c>
      <c r="K186" s="42" t="str">
        <f>IF(OR($B186="",$A186&gt;$B$9),"",IF(COUNTIFS(BD!$B$3:$B$5001,K$173,BD!$A$3:$A$5001,"&gt;="&amp;$C$7,BD!$A$3:$A$5001,"&lt;="&amp;$B186,BD!$Y$3:$Y$5001,"&lt;&gt;")=0,"",SUMIFS(BD!$Y$3:$Y$5001,BD!$B$3:$B$5001,K$173,BD!$A$3:$A$5001,_xlfn.MAXIFS(BD!$A$3:$A$5001,BD!$B$3:$B$5001,K$173,BD!$A$3:$A$5001,"&gt;="&amp;$C$7,BD!$A$3:$A$5001,"&lt;="&amp;$B186,BD!$Y$3:$Y$5001,"&lt;&gt;"))))</f>
        <v/>
      </c>
      <c r="L186" s="42" t="str">
        <f>IF(OR($B186="",$A186&gt;$B$9),"",IF(COUNTIFS(BD!$B$3:$B$5001,L$173,BD!$A$3:$A$5001,"&gt;="&amp;$C$7,BD!$A$3:$A$5001,"&lt;="&amp;$B186,BD!$Y$3:$Y$5001,"&lt;&gt;")=0,"",SUMIFS(BD!$Y$3:$Y$5001,BD!$B$3:$B$5001,L$173,BD!$A$3:$A$5001,_xlfn.MAXIFS(BD!$A$3:$A$5001,BD!$B$3:$B$5001,L$173,BD!$A$3:$A$5001,"&gt;="&amp;$C$7,BD!$A$3:$A$5001,"&lt;="&amp;$B186,BD!$Y$3:$Y$5001,"&lt;&gt;"))))</f>
        <v/>
      </c>
    </row>
    <row r="187">
      <c r="A187" s="40">
        <v>14</v>
      </c>
      <c r="B187" s="41">
        <f>$B$25</f>
        <v>46309</v>
      </c>
      <c r="C187" s="42" t="str">
        <f>IF(OR($B187="",$A187&gt;$B$9),"",IF(COUNTIFS(BD!$B$3:$B$5001,C$173,BD!$A$3:$A$5001,"&gt;="&amp;$C$7,BD!$A$3:$A$5001,"&lt;="&amp;$B187,BD!$Y$3:$Y$5001,"&lt;&gt;")=0,"",SUMIFS(BD!$Y$3:$Y$5001,BD!$B$3:$B$5001,C$173,BD!$A$3:$A$5001,_xlfn.MAXIFS(BD!$A$3:$A$5001,BD!$B$3:$B$5001,C$173,BD!$A$3:$A$5001,"&gt;="&amp;$C$7,BD!$A$3:$A$5001,"&lt;="&amp;$B187,BD!$Y$3:$Y$5001,"&lt;&gt;"))))</f>
        <v/>
      </c>
      <c r="D187" s="42" t="str">
        <f>IF(OR($B187="",$A187&gt;$B$9),"",IF(COUNTIFS(BD!$B$3:$B$5001,D$173,BD!$A$3:$A$5001,"&gt;="&amp;$C$7,BD!$A$3:$A$5001,"&lt;="&amp;$B187,BD!$Y$3:$Y$5001,"&lt;&gt;")=0,"",SUMIFS(BD!$Y$3:$Y$5001,BD!$B$3:$B$5001,D$173,BD!$A$3:$A$5001,_xlfn.MAXIFS(BD!$A$3:$A$5001,BD!$B$3:$B$5001,D$173,BD!$A$3:$A$5001,"&gt;="&amp;$C$7,BD!$A$3:$A$5001,"&lt;="&amp;$B187,BD!$Y$3:$Y$5001,"&lt;&gt;"))))</f>
        <v/>
      </c>
      <c r="E187" s="42" t="str">
        <f>IF(OR($B187="",$A187&gt;$B$9),"",IF(COUNTIFS(BD!$B$3:$B$5001,E$173,BD!$A$3:$A$5001,"&gt;="&amp;$C$7,BD!$A$3:$A$5001,"&lt;="&amp;$B187,BD!$Y$3:$Y$5001,"&lt;&gt;")=0,"",SUMIFS(BD!$Y$3:$Y$5001,BD!$B$3:$B$5001,E$173,BD!$A$3:$A$5001,_xlfn.MAXIFS(BD!$A$3:$A$5001,BD!$B$3:$B$5001,E$173,BD!$A$3:$A$5001,"&gt;="&amp;$C$7,BD!$A$3:$A$5001,"&lt;="&amp;$B187,BD!$Y$3:$Y$5001,"&lt;&gt;"))))</f>
        <v/>
      </c>
      <c r="F187" s="42" t="str">
        <f>IF(OR($B187="",$A187&gt;$B$9),"",IF(COUNTIFS(BD!$B$3:$B$5001,F$173,BD!$A$3:$A$5001,"&gt;="&amp;$C$7,BD!$A$3:$A$5001,"&lt;="&amp;$B187,BD!$Y$3:$Y$5001,"&lt;&gt;")=0,"",SUMIFS(BD!$Y$3:$Y$5001,BD!$B$3:$B$5001,F$173,BD!$A$3:$A$5001,_xlfn.MAXIFS(BD!$A$3:$A$5001,BD!$B$3:$B$5001,F$173,BD!$A$3:$A$5001,"&gt;="&amp;$C$7,BD!$A$3:$A$5001,"&lt;="&amp;$B187,BD!$Y$3:$Y$5001,"&lt;&gt;"))))</f>
        <v/>
      </c>
      <c r="G187" s="42" t="str">
        <f>IF(OR($B187="",$A187&gt;$B$9),"",IF(COUNTIFS(BD!$B$3:$B$5001,G$173,BD!$A$3:$A$5001,"&gt;="&amp;$C$7,BD!$A$3:$A$5001,"&lt;="&amp;$B187,BD!$Y$3:$Y$5001,"&lt;&gt;")=0,"",SUMIFS(BD!$Y$3:$Y$5001,BD!$B$3:$B$5001,G$173,BD!$A$3:$A$5001,_xlfn.MAXIFS(BD!$A$3:$A$5001,BD!$B$3:$B$5001,G$173,BD!$A$3:$A$5001,"&gt;="&amp;$C$7,BD!$A$3:$A$5001,"&lt;="&amp;$B187,BD!$Y$3:$Y$5001,"&lt;&gt;"))))</f>
        <v/>
      </c>
      <c r="H187" s="42" t="str">
        <f>IF(OR($B187="",$A187&gt;$B$9),"",IF(COUNTIFS(BD!$B$3:$B$5001,H$173,BD!$A$3:$A$5001,"&gt;="&amp;$C$7,BD!$A$3:$A$5001,"&lt;="&amp;$B187,BD!$Y$3:$Y$5001,"&lt;&gt;")=0,"",SUMIFS(BD!$Y$3:$Y$5001,BD!$B$3:$B$5001,H$173,BD!$A$3:$A$5001,_xlfn.MAXIFS(BD!$A$3:$A$5001,BD!$B$3:$B$5001,H$173,BD!$A$3:$A$5001,"&gt;="&amp;$C$7,BD!$A$3:$A$5001,"&lt;="&amp;$B187,BD!$Y$3:$Y$5001,"&lt;&gt;"))))</f>
        <v/>
      </c>
      <c r="I187" s="42" t="str">
        <f>IF(OR($B187="",$A187&gt;$B$9),"",IF(COUNTIFS(BD!$B$3:$B$5001,I$173,BD!$A$3:$A$5001,"&gt;="&amp;$C$7,BD!$A$3:$A$5001,"&lt;="&amp;$B187,BD!$Y$3:$Y$5001,"&lt;&gt;")=0,"",SUMIFS(BD!$Y$3:$Y$5001,BD!$B$3:$B$5001,I$173,BD!$A$3:$A$5001,_xlfn.MAXIFS(BD!$A$3:$A$5001,BD!$B$3:$B$5001,I$173,BD!$A$3:$A$5001,"&gt;="&amp;$C$7,BD!$A$3:$A$5001,"&lt;="&amp;$B187,BD!$Y$3:$Y$5001,"&lt;&gt;"))))</f>
        <v/>
      </c>
      <c r="J187" s="42" t="str">
        <f>IF(OR($B187="",$A187&gt;$B$9),"",IF(COUNTIFS(BD!$B$3:$B$5001,J$173,BD!$A$3:$A$5001,"&gt;="&amp;$C$7,BD!$A$3:$A$5001,"&lt;="&amp;$B187,BD!$Y$3:$Y$5001,"&lt;&gt;")=0,"",SUMIFS(BD!$Y$3:$Y$5001,BD!$B$3:$B$5001,J$173,BD!$A$3:$A$5001,_xlfn.MAXIFS(BD!$A$3:$A$5001,BD!$B$3:$B$5001,J$173,BD!$A$3:$A$5001,"&gt;="&amp;$C$7,BD!$A$3:$A$5001,"&lt;="&amp;$B187,BD!$Y$3:$Y$5001,"&lt;&gt;"))))</f>
        <v/>
      </c>
      <c r="K187" s="42" t="str">
        <f>IF(OR($B187="",$A187&gt;$B$9),"",IF(COUNTIFS(BD!$B$3:$B$5001,K$173,BD!$A$3:$A$5001,"&gt;="&amp;$C$7,BD!$A$3:$A$5001,"&lt;="&amp;$B187,BD!$Y$3:$Y$5001,"&lt;&gt;")=0,"",SUMIFS(BD!$Y$3:$Y$5001,BD!$B$3:$B$5001,K$173,BD!$A$3:$A$5001,_xlfn.MAXIFS(BD!$A$3:$A$5001,BD!$B$3:$B$5001,K$173,BD!$A$3:$A$5001,"&gt;="&amp;$C$7,BD!$A$3:$A$5001,"&lt;="&amp;$B187,BD!$Y$3:$Y$5001,"&lt;&gt;"))))</f>
        <v/>
      </c>
      <c r="L187" s="42" t="str">
        <f>IF(OR($B187="",$A187&gt;$B$9),"",IF(COUNTIFS(BD!$B$3:$B$5001,L$173,BD!$A$3:$A$5001,"&gt;="&amp;$C$7,BD!$A$3:$A$5001,"&lt;="&amp;$B187,BD!$Y$3:$Y$5001,"&lt;&gt;")=0,"",SUMIFS(BD!$Y$3:$Y$5001,BD!$B$3:$B$5001,L$173,BD!$A$3:$A$5001,_xlfn.MAXIFS(BD!$A$3:$A$5001,BD!$B$3:$B$5001,L$173,BD!$A$3:$A$5001,"&gt;="&amp;$C$7,BD!$A$3:$A$5001,"&lt;="&amp;$B187,BD!$Y$3:$Y$5001,"&lt;&gt;"))))</f>
        <v/>
      </c>
    </row>
    <row r="188">
      <c r="A188" s="40">
        <v>15</v>
      </c>
      <c r="B188" s="41">
        <f>$B$26</f>
        <v>46310</v>
      </c>
      <c r="C188" s="42" t="str">
        <f>IF(OR($B188="",$A188&gt;$B$9),"",IF(COUNTIFS(BD!$B$3:$B$5001,C$173,BD!$A$3:$A$5001,"&gt;="&amp;$C$7,BD!$A$3:$A$5001,"&lt;="&amp;$B188,BD!$Y$3:$Y$5001,"&lt;&gt;")=0,"",SUMIFS(BD!$Y$3:$Y$5001,BD!$B$3:$B$5001,C$173,BD!$A$3:$A$5001,_xlfn.MAXIFS(BD!$A$3:$A$5001,BD!$B$3:$B$5001,C$173,BD!$A$3:$A$5001,"&gt;="&amp;$C$7,BD!$A$3:$A$5001,"&lt;="&amp;$B188,BD!$Y$3:$Y$5001,"&lt;&gt;"))))</f>
        <v/>
      </c>
      <c r="D188" s="42" t="str">
        <f>IF(OR($B188="",$A188&gt;$B$9),"",IF(COUNTIFS(BD!$B$3:$B$5001,D$173,BD!$A$3:$A$5001,"&gt;="&amp;$C$7,BD!$A$3:$A$5001,"&lt;="&amp;$B188,BD!$Y$3:$Y$5001,"&lt;&gt;")=0,"",SUMIFS(BD!$Y$3:$Y$5001,BD!$B$3:$B$5001,D$173,BD!$A$3:$A$5001,_xlfn.MAXIFS(BD!$A$3:$A$5001,BD!$B$3:$B$5001,D$173,BD!$A$3:$A$5001,"&gt;="&amp;$C$7,BD!$A$3:$A$5001,"&lt;="&amp;$B188,BD!$Y$3:$Y$5001,"&lt;&gt;"))))</f>
        <v/>
      </c>
      <c r="E188" s="42" t="str">
        <f>IF(OR($B188="",$A188&gt;$B$9),"",IF(COUNTIFS(BD!$B$3:$B$5001,E$173,BD!$A$3:$A$5001,"&gt;="&amp;$C$7,BD!$A$3:$A$5001,"&lt;="&amp;$B188,BD!$Y$3:$Y$5001,"&lt;&gt;")=0,"",SUMIFS(BD!$Y$3:$Y$5001,BD!$B$3:$B$5001,E$173,BD!$A$3:$A$5001,_xlfn.MAXIFS(BD!$A$3:$A$5001,BD!$B$3:$B$5001,E$173,BD!$A$3:$A$5001,"&gt;="&amp;$C$7,BD!$A$3:$A$5001,"&lt;="&amp;$B188,BD!$Y$3:$Y$5001,"&lt;&gt;"))))</f>
        <v/>
      </c>
      <c r="F188" s="42" t="str">
        <f>IF(OR($B188="",$A188&gt;$B$9),"",IF(COUNTIFS(BD!$B$3:$B$5001,F$173,BD!$A$3:$A$5001,"&gt;="&amp;$C$7,BD!$A$3:$A$5001,"&lt;="&amp;$B188,BD!$Y$3:$Y$5001,"&lt;&gt;")=0,"",SUMIFS(BD!$Y$3:$Y$5001,BD!$B$3:$B$5001,F$173,BD!$A$3:$A$5001,_xlfn.MAXIFS(BD!$A$3:$A$5001,BD!$B$3:$B$5001,F$173,BD!$A$3:$A$5001,"&gt;="&amp;$C$7,BD!$A$3:$A$5001,"&lt;="&amp;$B188,BD!$Y$3:$Y$5001,"&lt;&gt;"))))</f>
        <v/>
      </c>
      <c r="G188" s="42" t="str">
        <f>IF(OR($B188="",$A188&gt;$B$9),"",IF(COUNTIFS(BD!$B$3:$B$5001,G$173,BD!$A$3:$A$5001,"&gt;="&amp;$C$7,BD!$A$3:$A$5001,"&lt;="&amp;$B188,BD!$Y$3:$Y$5001,"&lt;&gt;")=0,"",SUMIFS(BD!$Y$3:$Y$5001,BD!$B$3:$B$5001,G$173,BD!$A$3:$A$5001,_xlfn.MAXIFS(BD!$A$3:$A$5001,BD!$B$3:$B$5001,G$173,BD!$A$3:$A$5001,"&gt;="&amp;$C$7,BD!$A$3:$A$5001,"&lt;="&amp;$B188,BD!$Y$3:$Y$5001,"&lt;&gt;"))))</f>
        <v/>
      </c>
      <c r="H188" s="42" t="str">
        <f>IF(OR($B188="",$A188&gt;$B$9),"",IF(COUNTIFS(BD!$B$3:$B$5001,H$173,BD!$A$3:$A$5001,"&gt;="&amp;$C$7,BD!$A$3:$A$5001,"&lt;="&amp;$B188,BD!$Y$3:$Y$5001,"&lt;&gt;")=0,"",SUMIFS(BD!$Y$3:$Y$5001,BD!$B$3:$B$5001,H$173,BD!$A$3:$A$5001,_xlfn.MAXIFS(BD!$A$3:$A$5001,BD!$B$3:$B$5001,H$173,BD!$A$3:$A$5001,"&gt;="&amp;$C$7,BD!$A$3:$A$5001,"&lt;="&amp;$B188,BD!$Y$3:$Y$5001,"&lt;&gt;"))))</f>
        <v/>
      </c>
      <c r="I188" s="42" t="str">
        <f>IF(OR($B188="",$A188&gt;$B$9),"",IF(COUNTIFS(BD!$B$3:$B$5001,I$173,BD!$A$3:$A$5001,"&gt;="&amp;$C$7,BD!$A$3:$A$5001,"&lt;="&amp;$B188,BD!$Y$3:$Y$5001,"&lt;&gt;")=0,"",SUMIFS(BD!$Y$3:$Y$5001,BD!$B$3:$B$5001,I$173,BD!$A$3:$A$5001,_xlfn.MAXIFS(BD!$A$3:$A$5001,BD!$B$3:$B$5001,I$173,BD!$A$3:$A$5001,"&gt;="&amp;$C$7,BD!$A$3:$A$5001,"&lt;="&amp;$B188,BD!$Y$3:$Y$5001,"&lt;&gt;"))))</f>
        <v/>
      </c>
      <c r="J188" s="42" t="str">
        <f>IF(OR($B188="",$A188&gt;$B$9),"",IF(COUNTIFS(BD!$B$3:$B$5001,J$173,BD!$A$3:$A$5001,"&gt;="&amp;$C$7,BD!$A$3:$A$5001,"&lt;="&amp;$B188,BD!$Y$3:$Y$5001,"&lt;&gt;")=0,"",SUMIFS(BD!$Y$3:$Y$5001,BD!$B$3:$B$5001,J$173,BD!$A$3:$A$5001,_xlfn.MAXIFS(BD!$A$3:$A$5001,BD!$B$3:$B$5001,J$173,BD!$A$3:$A$5001,"&gt;="&amp;$C$7,BD!$A$3:$A$5001,"&lt;="&amp;$B188,BD!$Y$3:$Y$5001,"&lt;&gt;"))))</f>
        <v/>
      </c>
      <c r="K188" s="42" t="str">
        <f>IF(OR($B188="",$A188&gt;$B$9),"",IF(COUNTIFS(BD!$B$3:$B$5001,K$173,BD!$A$3:$A$5001,"&gt;="&amp;$C$7,BD!$A$3:$A$5001,"&lt;="&amp;$B188,BD!$Y$3:$Y$5001,"&lt;&gt;")=0,"",SUMIFS(BD!$Y$3:$Y$5001,BD!$B$3:$B$5001,K$173,BD!$A$3:$A$5001,_xlfn.MAXIFS(BD!$A$3:$A$5001,BD!$B$3:$B$5001,K$173,BD!$A$3:$A$5001,"&gt;="&amp;$C$7,BD!$A$3:$A$5001,"&lt;="&amp;$B188,BD!$Y$3:$Y$5001,"&lt;&gt;"))))</f>
        <v/>
      </c>
      <c r="L188" s="42" t="str">
        <f>IF(OR($B188="",$A188&gt;$B$9),"",IF(COUNTIFS(BD!$B$3:$B$5001,L$173,BD!$A$3:$A$5001,"&gt;="&amp;$C$7,BD!$A$3:$A$5001,"&lt;="&amp;$B188,BD!$Y$3:$Y$5001,"&lt;&gt;")=0,"",SUMIFS(BD!$Y$3:$Y$5001,BD!$B$3:$B$5001,L$173,BD!$A$3:$A$5001,_xlfn.MAXIFS(BD!$A$3:$A$5001,BD!$B$3:$B$5001,L$173,BD!$A$3:$A$5001,"&gt;="&amp;$C$7,BD!$A$3:$A$5001,"&lt;="&amp;$B188,BD!$Y$3:$Y$5001,"&lt;&gt;"))))</f>
        <v/>
      </c>
    </row>
    <row r="189">
      <c r="A189" s="40">
        <v>16</v>
      </c>
      <c r="B189" s="41">
        <f>$B$27</f>
        <v>46311</v>
      </c>
      <c r="C189" s="42" t="str">
        <f>IF(OR($B189="",$A189&gt;$B$9),"",IF(COUNTIFS(BD!$B$3:$B$5001,C$173,BD!$A$3:$A$5001,"&gt;="&amp;$C$7,BD!$A$3:$A$5001,"&lt;="&amp;$B189,BD!$Y$3:$Y$5001,"&lt;&gt;")=0,"",SUMIFS(BD!$Y$3:$Y$5001,BD!$B$3:$B$5001,C$173,BD!$A$3:$A$5001,_xlfn.MAXIFS(BD!$A$3:$A$5001,BD!$B$3:$B$5001,C$173,BD!$A$3:$A$5001,"&gt;="&amp;$C$7,BD!$A$3:$A$5001,"&lt;="&amp;$B189,BD!$Y$3:$Y$5001,"&lt;&gt;"))))</f>
        <v/>
      </c>
      <c r="D189" s="42" t="str">
        <f>IF(OR($B189="",$A189&gt;$B$9),"",IF(COUNTIFS(BD!$B$3:$B$5001,D$173,BD!$A$3:$A$5001,"&gt;="&amp;$C$7,BD!$A$3:$A$5001,"&lt;="&amp;$B189,BD!$Y$3:$Y$5001,"&lt;&gt;")=0,"",SUMIFS(BD!$Y$3:$Y$5001,BD!$B$3:$B$5001,D$173,BD!$A$3:$A$5001,_xlfn.MAXIFS(BD!$A$3:$A$5001,BD!$B$3:$B$5001,D$173,BD!$A$3:$A$5001,"&gt;="&amp;$C$7,BD!$A$3:$A$5001,"&lt;="&amp;$B189,BD!$Y$3:$Y$5001,"&lt;&gt;"))))</f>
        <v/>
      </c>
      <c r="E189" s="42" t="str">
        <f>IF(OR($B189="",$A189&gt;$B$9),"",IF(COUNTIFS(BD!$B$3:$B$5001,E$173,BD!$A$3:$A$5001,"&gt;="&amp;$C$7,BD!$A$3:$A$5001,"&lt;="&amp;$B189,BD!$Y$3:$Y$5001,"&lt;&gt;")=0,"",SUMIFS(BD!$Y$3:$Y$5001,BD!$B$3:$B$5001,E$173,BD!$A$3:$A$5001,_xlfn.MAXIFS(BD!$A$3:$A$5001,BD!$B$3:$B$5001,E$173,BD!$A$3:$A$5001,"&gt;="&amp;$C$7,BD!$A$3:$A$5001,"&lt;="&amp;$B189,BD!$Y$3:$Y$5001,"&lt;&gt;"))))</f>
        <v/>
      </c>
      <c r="F189" s="42" t="str">
        <f>IF(OR($B189="",$A189&gt;$B$9),"",IF(COUNTIFS(BD!$B$3:$B$5001,F$173,BD!$A$3:$A$5001,"&gt;="&amp;$C$7,BD!$A$3:$A$5001,"&lt;="&amp;$B189,BD!$Y$3:$Y$5001,"&lt;&gt;")=0,"",SUMIFS(BD!$Y$3:$Y$5001,BD!$B$3:$B$5001,F$173,BD!$A$3:$A$5001,_xlfn.MAXIFS(BD!$A$3:$A$5001,BD!$B$3:$B$5001,F$173,BD!$A$3:$A$5001,"&gt;="&amp;$C$7,BD!$A$3:$A$5001,"&lt;="&amp;$B189,BD!$Y$3:$Y$5001,"&lt;&gt;"))))</f>
        <v/>
      </c>
      <c r="G189" s="42" t="str">
        <f>IF(OR($B189="",$A189&gt;$B$9),"",IF(COUNTIFS(BD!$B$3:$B$5001,G$173,BD!$A$3:$A$5001,"&gt;="&amp;$C$7,BD!$A$3:$A$5001,"&lt;="&amp;$B189,BD!$Y$3:$Y$5001,"&lt;&gt;")=0,"",SUMIFS(BD!$Y$3:$Y$5001,BD!$B$3:$B$5001,G$173,BD!$A$3:$A$5001,_xlfn.MAXIFS(BD!$A$3:$A$5001,BD!$B$3:$B$5001,G$173,BD!$A$3:$A$5001,"&gt;="&amp;$C$7,BD!$A$3:$A$5001,"&lt;="&amp;$B189,BD!$Y$3:$Y$5001,"&lt;&gt;"))))</f>
        <v/>
      </c>
      <c r="H189" s="42" t="str">
        <f>IF(OR($B189="",$A189&gt;$B$9),"",IF(COUNTIFS(BD!$B$3:$B$5001,H$173,BD!$A$3:$A$5001,"&gt;="&amp;$C$7,BD!$A$3:$A$5001,"&lt;="&amp;$B189,BD!$Y$3:$Y$5001,"&lt;&gt;")=0,"",SUMIFS(BD!$Y$3:$Y$5001,BD!$B$3:$B$5001,H$173,BD!$A$3:$A$5001,_xlfn.MAXIFS(BD!$A$3:$A$5001,BD!$B$3:$B$5001,H$173,BD!$A$3:$A$5001,"&gt;="&amp;$C$7,BD!$A$3:$A$5001,"&lt;="&amp;$B189,BD!$Y$3:$Y$5001,"&lt;&gt;"))))</f>
        <v/>
      </c>
      <c r="I189" s="42" t="str">
        <f>IF(OR($B189="",$A189&gt;$B$9),"",IF(COUNTIFS(BD!$B$3:$B$5001,I$173,BD!$A$3:$A$5001,"&gt;="&amp;$C$7,BD!$A$3:$A$5001,"&lt;="&amp;$B189,BD!$Y$3:$Y$5001,"&lt;&gt;")=0,"",SUMIFS(BD!$Y$3:$Y$5001,BD!$B$3:$B$5001,I$173,BD!$A$3:$A$5001,_xlfn.MAXIFS(BD!$A$3:$A$5001,BD!$B$3:$B$5001,I$173,BD!$A$3:$A$5001,"&gt;="&amp;$C$7,BD!$A$3:$A$5001,"&lt;="&amp;$B189,BD!$Y$3:$Y$5001,"&lt;&gt;"))))</f>
        <v/>
      </c>
      <c r="J189" s="42" t="str">
        <f>IF(OR($B189="",$A189&gt;$B$9),"",IF(COUNTIFS(BD!$B$3:$B$5001,J$173,BD!$A$3:$A$5001,"&gt;="&amp;$C$7,BD!$A$3:$A$5001,"&lt;="&amp;$B189,BD!$Y$3:$Y$5001,"&lt;&gt;")=0,"",SUMIFS(BD!$Y$3:$Y$5001,BD!$B$3:$B$5001,J$173,BD!$A$3:$A$5001,_xlfn.MAXIFS(BD!$A$3:$A$5001,BD!$B$3:$B$5001,J$173,BD!$A$3:$A$5001,"&gt;="&amp;$C$7,BD!$A$3:$A$5001,"&lt;="&amp;$B189,BD!$Y$3:$Y$5001,"&lt;&gt;"))))</f>
        <v/>
      </c>
      <c r="K189" s="42" t="str">
        <f>IF(OR($B189="",$A189&gt;$B$9),"",IF(COUNTIFS(BD!$B$3:$B$5001,K$173,BD!$A$3:$A$5001,"&gt;="&amp;$C$7,BD!$A$3:$A$5001,"&lt;="&amp;$B189,BD!$Y$3:$Y$5001,"&lt;&gt;")=0,"",SUMIFS(BD!$Y$3:$Y$5001,BD!$B$3:$B$5001,K$173,BD!$A$3:$A$5001,_xlfn.MAXIFS(BD!$A$3:$A$5001,BD!$B$3:$B$5001,K$173,BD!$A$3:$A$5001,"&gt;="&amp;$C$7,BD!$A$3:$A$5001,"&lt;="&amp;$B189,BD!$Y$3:$Y$5001,"&lt;&gt;"))))</f>
        <v/>
      </c>
      <c r="L189" s="42" t="str">
        <f>IF(OR($B189="",$A189&gt;$B$9),"",IF(COUNTIFS(BD!$B$3:$B$5001,L$173,BD!$A$3:$A$5001,"&gt;="&amp;$C$7,BD!$A$3:$A$5001,"&lt;="&amp;$B189,BD!$Y$3:$Y$5001,"&lt;&gt;")=0,"",SUMIFS(BD!$Y$3:$Y$5001,BD!$B$3:$B$5001,L$173,BD!$A$3:$A$5001,_xlfn.MAXIFS(BD!$A$3:$A$5001,BD!$B$3:$B$5001,L$173,BD!$A$3:$A$5001,"&gt;="&amp;$C$7,BD!$A$3:$A$5001,"&lt;="&amp;$B189,BD!$Y$3:$Y$5001,"&lt;&gt;"))))</f>
        <v/>
      </c>
    </row>
    <row r="190">
      <c r="A190" s="40">
        <v>17</v>
      </c>
      <c r="B190" s="41">
        <f>$B$28</f>
        <v>46312</v>
      </c>
      <c r="C190" s="42" t="str">
        <f>IF(OR($B190="",$A190&gt;$B$9),"",IF(COUNTIFS(BD!$B$3:$B$5001,C$173,BD!$A$3:$A$5001,"&gt;="&amp;$C$7,BD!$A$3:$A$5001,"&lt;="&amp;$B190,BD!$Y$3:$Y$5001,"&lt;&gt;")=0,"",SUMIFS(BD!$Y$3:$Y$5001,BD!$B$3:$B$5001,C$173,BD!$A$3:$A$5001,_xlfn.MAXIFS(BD!$A$3:$A$5001,BD!$B$3:$B$5001,C$173,BD!$A$3:$A$5001,"&gt;="&amp;$C$7,BD!$A$3:$A$5001,"&lt;="&amp;$B190,BD!$Y$3:$Y$5001,"&lt;&gt;"))))</f>
        <v/>
      </c>
      <c r="D190" s="42" t="str">
        <f>IF(OR($B190="",$A190&gt;$B$9),"",IF(COUNTIFS(BD!$B$3:$B$5001,D$173,BD!$A$3:$A$5001,"&gt;="&amp;$C$7,BD!$A$3:$A$5001,"&lt;="&amp;$B190,BD!$Y$3:$Y$5001,"&lt;&gt;")=0,"",SUMIFS(BD!$Y$3:$Y$5001,BD!$B$3:$B$5001,D$173,BD!$A$3:$A$5001,_xlfn.MAXIFS(BD!$A$3:$A$5001,BD!$B$3:$B$5001,D$173,BD!$A$3:$A$5001,"&gt;="&amp;$C$7,BD!$A$3:$A$5001,"&lt;="&amp;$B190,BD!$Y$3:$Y$5001,"&lt;&gt;"))))</f>
        <v/>
      </c>
      <c r="E190" s="42" t="str">
        <f>IF(OR($B190="",$A190&gt;$B$9),"",IF(COUNTIFS(BD!$B$3:$B$5001,E$173,BD!$A$3:$A$5001,"&gt;="&amp;$C$7,BD!$A$3:$A$5001,"&lt;="&amp;$B190,BD!$Y$3:$Y$5001,"&lt;&gt;")=0,"",SUMIFS(BD!$Y$3:$Y$5001,BD!$B$3:$B$5001,E$173,BD!$A$3:$A$5001,_xlfn.MAXIFS(BD!$A$3:$A$5001,BD!$B$3:$B$5001,E$173,BD!$A$3:$A$5001,"&gt;="&amp;$C$7,BD!$A$3:$A$5001,"&lt;="&amp;$B190,BD!$Y$3:$Y$5001,"&lt;&gt;"))))</f>
        <v/>
      </c>
      <c r="F190" s="42" t="str">
        <f>IF(OR($B190="",$A190&gt;$B$9),"",IF(COUNTIFS(BD!$B$3:$B$5001,F$173,BD!$A$3:$A$5001,"&gt;="&amp;$C$7,BD!$A$3:$A$5001,"&lt;="&amp;$B190,BD!$Y$3:$Y$5001,"&lt;&gt;")=0,"",SUMIFS(BD!$Y$3:$Y$5001,BD!$B$3:$B$5001,F$173,BD!$A$3:$A$5001,_xlfn.MAXIFS(BD!$A$3:$A$5001,BD!$B$3:$B$5001,F$173,BD!$A$3:$A$5001,"&gt;="&amp;$C$7,BD!$A$3:$A$5001,"&lt;="&amp;$B190,BD!$Y$3:$Y$5001,"&lt;&gt;"))))</f>
        <v/>
      </c>
      <c r="G190" s="42" t="str">
        <f>IF(OR($B190="",$A190&gt;$B$9),"",IF(COUNTIFS(BD!$B$3:$B$5001,G$173,BD!$A$3:$A$5001,"&gt;="&amp;$C$7,BD!$A$3:$A$5001,"&lt;="&amp;$B190,BD!$Y$3:$Y$5001,"&lt;&gt;")=0,"",SUMIFS(BD!$Y$3:$Y$5001,BD!$B$3:$B$5001,G$173,BD!$A$3:$A$5001,_xlfn.MAXIFS(BD!$A$3:$A$5001,BD!$B$3:$B$5001,G$173,BD!$A$3:$A$5001,"&gt;="&amp;$C$7,BD!$A$3:$A$5001,"&lt;="&amp;$B190,BD!$Y$3:$Y$5001,"&lt;&gt;"))))</f>
        <v/>
      </c>
      <c r="H190" s="42" t="str">
        <f>IF(OR($B190="",$A190&gt;$B$9),"",IF(COUNTIFS(BD!$B$3:$B$5001,H$173,BD!$A$3:$A$5001,"&gt;="&amp;$C$7,BD!$A$3:$A$5001,"&lt;="&amp;$B190,BD!$Y$3:$Y$5001,"&lt;&gt;")=0,"",SUMIFS(BD!$Y$3:$Y$5001,BD!$B$3:$B$5001,H$173,BD!$A$3:$A$5001,_xlfn.MAXIFS(BD!$A$3:$A$5001,BD!$B$3:$B$5001,H$173,BD!$A$3:$A$5001,"&gt;="&amp;$C$7,BD!$A$3:$A$5001,"&lt;="&amp;$B190,BD!$Y$3:$Y$5001,"&lt;&gt;"))))</f>
        <v/>
      </c>
      <c r="I190" s="42" t="str">
        <f>IF(OR($B190="",$A190&gt;$B$9),"",IF(COUNTIFS(BD!$B$3:$B$5001,I$173,BD!$A$3:$A$5001,"&gt;="&amp;$C$7,BD!$A$3:$A$5001,"&lt;="&amp;$B190,BD!$Y$3:$Y$5001,"&lt;&gt;")=0,"",SUMIFS(BD!$Y$3:$Y$5001,BD!$B$3:$B$5001,I$173,BD!$A$3:$A$5001,_xlfn.MAXIFS(BD!$A$3:$A$5001,BD!$B$3:$B$5001,I$173,BD!$A$3:$A$5001,"&gt;="&amp;$C$7,BD!$A$3:$A$5001,"&lt;="&amp;$B190,BD!$Y$3:$Y$5001,"&lt;&gt;"))))</f>
        <v/>
      </c>
      <c r="J190" s="42" t="str">
        <f>IF(OR($B190="",$A190&gt;$B$9),"",IF(COUNTIFS(BD!$B$3:$B$5001,J$173,BD!$A$3:$A$5001,"&gt;="&amp;$C$7,BD!$A$3:$A$5001,"&lt;="&amp;$B190,BD!$Y$3:$Y$5001,"&lt;&gt;")=0,"",SUMIFS(BD!$Y$3:$Y$5001,BD!$B$3:$B$5001,J$173,BD!$A$3:$A$5001,_xlfn.MAXIFS(BD!$A$3:$A$5001,BD!$B$3:$B$5001,J$173,BD!$A$3:$A$5001,"&gt;="&amp;$C$7,BD!$A$3:$A$5001,"&lt;="&amp;$B190,BD!$Y$3:$Y$5001,"&lt;&gt;"))))</f>
        <v/>
      </c>
      <c r="K190" s="42" t="str">
        <f>IF(OR($B190="",$A190&gt;$B$9),"",IF(COUNTIFS(BD!$B$3:$B$5001,K$173,BD!$A$3:$A$5001,"&gt;="&amp;$C$7,BD!$A$3:$A$5001,"&lt;="&amp;$B190,BD!$Y$3:$Y$5001,"&lt;&gt;")=0,"",SUMIFS(BD!$Y$3:$Y$5001,BD!$B$3:$B$5001,K$173,BD!$A$3:$A$5001,_xlfn.MAXIFS(BD!$A$3:$A$5001,BD!$B$3:$B$5001,K$173,BD!$A$3:$A$5001,"&gt;="&amp;$C$7,BD!$A$3:$A$5001,"&lt;="&amp;$B190,BD!$Y$3:$Y$5001,"&lt;&gt;"))))</f>
        <v/>
      </c>
      <c r="L190" s="42" t="str">
        <f>IF(OR($B190="",$A190&gt;$B$9),"",IF(COUNTIFS(BD!$B$3:$B$5001,L$173,BD!$A$3:$A$5001,"&gt;="&amp;$C$7,BD!$A$3:$A$5001,"&lt;="&amp;$B190,BD!$Y$3:$Y$5001,"&lt;&gt;")=0,"",SUMIFS(BD!$Y$3:$Y$5001,BD!$B$3:$B$5001,L$173,BD!$A$3:$A$5001,_xlfn.MAXIFS(BD!$A$3:$A$5001,BD!$B$3:$B$5001,L$173,BD!$A$3:$A$5001,"&gt;="&amp;$C$7,BD!$A$3:$A$5001,"&lt;="&amp;$B190,BD!$Y$3:$Y$5001,"&lt;&gt;"))))</f>
        <v/>
      </c>
    </row>
    <row r="191">
      <c r="A191" s="40">
        <v>18</v>
      </c>
      <c r="B191" s="41">
        <f>$B$29</f>
        <v>46313</v>
      </c>
      <c r="C191" s="42" t="str">
        <f>IF(OR($B191="",$A191&gt;$B$9),"",IF(COUNTIFS(BD!$B$3:$B$5001,C$173,BD!$A$3:$A$5001,"&gt;="&amp;$C$7,BD!$A$3:$A$5001,"&lt;="&amp;$B191,BD!$Y$3:$Y$5001,"&lt;&gt;")=0,"",SUMIFS(BD!$Y$3:$Y$5001,BD!$B$3:$B$5001,C$173,BD!$A$3:$A$5001,_xlfn.MAXIFS(BD!$A$3:$A$5001,BD!$B$3:$B$5001,C$173,BD!$A$3:$A$5001,"&gt;="&amp;$C$7,BD!$A$3:$A$5001,"&lt;="&amp;$B191,BD!$Y$3:$Y$5001,"&lt;&gt;"))))</f>
        <v/>
      </c>
      <c r="D191" s="42" t="str">
        <f>IF(OR($B191="",$A191&gt;$B$9),"",IF(COUNTIFS(BD!$B$3:$B$5001,D$173,BD!$A$3:$A$5001,"&gt;="&amp;$C$7,BD!$A$3:$A$5001,"&lt;="&amp;$B191,BD!$Y$3:$Y$5001,"&lt;&gt;")=0,"",SUMIFS(BD!$Y$3:$Y$5001,BD!$B$3:$B$5001,D$173,BD!$A$3:$A$5001,_xlfn.MAXIFS(BD!$A$3:$A$5001,BD!$B$3:$B$5001,D$173,BD!$A$3:$A$5001,"&gt;="&amp;$C$7,BD!$A$3:$A$5001,"&lt;="&amp;$B191,BD!$Y$3:$Y$5001,"&lt;&gt;"))))</f>
        <v/>
      </c>
      <c r="E191" s="42" t="str">
        <f>IF(OR($B191="",$A191&gt;$B$9),"",IF(COUNTIFS(BD!$B$3:$B$5001,E$173,BD!$A$3:$A$5001,"&gt;="&amp;$C$7,BD!$A$3:$A$5001,"&lt;="&amp;$B191,BD!$Y$3:$Y$5001,"&lt;&gt;")=0,"",SUMIFS(BD!$Y$3:$Y$5001,BD!$B$3:$B$5001,E$173,BD!$A$3:$A$5001,_xlfn.MAXIFS(BD!$A$3:$A$5001,BD!$B$3:$B$5001,E$173,BD!$A$3:$A$5001,"&gt;="&amp;$C$7,BD!$A$3:$A$5001,"&lt;="&amp;$B191,BD!$Y$3:$Y$5001,"&lt;&gt;"))))</f>
        <v/>
      </c>
      <c r="F191" s="42" t="str">
        <f>IF(OR($B191="",$A191&gt;$B$9),"",IF(COUNTIFS(BD!$B$3:$B$5001,F$173,BD!$A$3:$A$5001,"&gt;="&amp;$C$7,BD!$A$3:$A$5001,"&lt;="&amp;$B191,BD!$Y$3:$Y$5001,"&lt;&gt;")=0,"",SUMIFS(BD!$Y$3:$Y$5001,BD!$B$3:$B$5001,F$173,BD!$A$3:$A$5001,_xlfn.MAXIFS(BD!$A$3:$A$5001,BD!$B$3:$B$5001,F$173,BD!$A$3:$A$5001,"&gt;="&amp;$C$7,BD!$A$3:$A$5001,"&lt;="&amp;$B191,BD!$Y$3:$Y$5001,"&lt;&gt;"))))</f>
        <v/>
      </c>
      <c r="G191" s="42" t="str">
        <f>IF(OR($B191="",$A191&gt;$B$9),"",IF(COUNTIFS(BD!$B$3:$B$5001,G$173,BD!$A$3:$A$5001,"&gt;="&amp;$C$7,BD!$A$3:$A$5001,"&lt;="&amp;$B191,BD!$Y$3:$Y$5001,"&lt;&gt;")=0,"",SUMIFS(BD!$Y$3:$Y$5001,BD!$B$3:$B$5001,G$173,BD!$A$3:$A$5001,_xlfn.MAXIFS(BD!$A$3:$A$5001,BD!$B$3:$B$5001,G$173,BD!$A$3:$A$5001,"&gt;="&amp;$C$7,BD!$A$3:$A$5001,"&lt;="&amp;$B191,BD!$Y$3:$Y$5001,"&lt;&gt;"))))</f>
        <v/>
      </c>
      <c r="H191" s="42" t="str">
        <f>IF(OR($B191="",$A191&gt;$B$9),"",IF(COUNTIFS(BD!$B$3:$B$5001,H$173,BD!$A$3:$A$5001,"&gt;="&amp;$C$7,BD!$A$3:$A$5001,"&lt;="&amp;$B191,BD!$Y$3:$Y$5001,"&lt;&gt;")=0,"",SUMIFS(BD!$Y$3:$Y$5001,BD!$B$3:$B$5001,H$173,BD!$A$3:$A$5001,_xlfn.MAXIFS(BD!$A$3:$A$5001,BD!$B$3:$B$5001,H$173,BD!$A$3:$A$5001,"&gt;="&amp;$C$7,BD!$A$3:$A$5001,"&lt;="&amp;$B191,BD!$Y$3:$Y$5001,"&lt;&gt;"))))</f>
        <v/>
      </c>
      <c r="I191" s="42" t="str">
        <f>IF(OR($B191="",$A191&gt;$B$9),"",IF(COUNTIFS(BD!$B$3:$B$5001,I$173,BD!$A$3:$A$5001,"&gt;="&amp;$C$7,BD!$A$3:$A$5001,"&lt;="&amp;$B191,BD!$Y$3:$Y$5001,"&lt;&gt;")=0,"",SUMIFS(BD!$Y$3:$Y$5001,BD!$B$3:$B$5001,I$173,BD!$A$3:$A$5001,_xlfn.MAXIFS(BD!$A$3:$A$5001,BD!$B$3:$B$5001,I$173,BD!$A$3:$A$5001,"&gt;="&amp;$C$7,BD!$A$3:$A$5001,"&lt;="&amp;$B191,BD!$Y$3:$Y$5001,"&lt;&gt;"))))</f>
        <v/>
      </c>
      <c r="J191" s="42" t="str">
        <f>IF(OR($B191="",$A191&gt;$B$9),"",IF(COUNTIFS(BD!$B$3:$B$5001,J$173,BD!$A$3:$A$5001,"&gt;="&amp;$C$7,BD!$A$3:$A$5001,"&lt;="&amp;$B191,BD!$Y$3:$Y$5001,"&lt;&gt;")=0,"",SUMIFS(BD!$Y$3:$Y$5001,BD!$B$3:$B$5001,J$173,BD!$A$3:$A$5001,_xlfn.MAXIFS(BD!$A$3:$A$5001,BD!$B$3:$B$5001,J$173,BD!$A$3:$A$5001,"&gt;="&amp;$C$7,BD!$A$3:$A$5001,"&lt;="&amp;$B191,BD!$Y$3:$Y$5001,"&lt;&gt;"))))</f>
        <v/>
      </c>
      <c r="K191" s="42" t="str">
        <f>IF(OR($B191="",$A191&gt;$B$9),"",IF(COUNTIFS(BD!$B$3:$B$5001,K$173,BD!$A$3:$A$5001,"&gt;="&amp;$C$7,BD!$A$3:$A$5001,"&lt;="&amp;$B191,BD!$Y$3:$Y$5001,"&lt;&gt;")=0,"",SUMIFS(BD!$Y$3:$Y$5001,BD!$B$3:$B$5001,K$173,BD!$A$3:$A$5001,_xlfn.MAXIFS(BD!$A$3:$A$5001,BD!$B$3:$B$5001,K$173,BD!$A$3:$A$5001,"&gt;="&amp;$C$7,BD!$A$3:$A$5001,"&lt;="&amp;$B191,BD!$Y$3:$Y$5001,"&lt;&gt;"))))</f>
        <v/>
      </c>
      <c r="L191" s="42" t="str">
        <f>IF(OR($B191="",$A191&gt;$B$9),"",IF(COUNTIFS(BD!$B$3:$B$5001,L$173,BD!$A$3:$A$5001,"&gt;="&amp;$C$7,BD!$A$3:$A$5001,"&lt;="&amp;$B191,BD!$Y$3:$Y$5001,"&lt;&gt;")=0,"",SUMIFS(BD!$Y$3:$Y$5001,BD!$B$3:$B$5001,L$173,BD!$A$3:$A$5001,_xlfn.MAXIFS(BD!$A$3:$A$5001,BD!$B$3:$B$5001,L$173,BD!$A$3:$A$5001,"&gt;="&amp;$C$7,BD!$A$3:$A$5001,"&lt;="&amp;$B191,BD!$Y$3:$Y$5001,"&lt;&gt;"))))</f>
        <v/>
      </c>
    </row>
    <row r="192">
      <c r="A192" s="40">
        <v>19</v>
      </c>
      <c r="B192" s="41">
        <f>$B$30</f>
        <v>46314</v>
      </c>
      <c r="C192" s="42" t="str">
        <f>IF(OR($B192="",$A192&gt;$B$9),"",IF(COUNTIFS(BD!$B$3:$B$5001,C$173,BD!$A$3:$A$5001,"&gt;="&amp;$C$7,BD!$A$3:$A$5001,"&lt;="&amp;$B192,BD!$Y$3:$Y$5001,"&lt;&gt;")=0,"",SUMIFS(BD!$Y$3:$Y$5001,BD!$B$3:$B$5001,C$173,BD!$A$3:$A$5001,_xlfn.MAXIFS(BD!$A$3:$A$5001,BD!$B$3:$B$5001,C$173,BD!$A$3:$A$5001,"&gt;="&amp;$C$7,BD!$A$3:$A$5001,"&lt;="&amp;$B192,BD!$Y$3:$Y$5001,"&lt;&gt;"))))</f>
        <v/>
      </c>
      <c r="D192" s="42" t="str">
        <f>IF(OR($B192="",$A192&gt;$B$9),"",IF(COUNTIFS(BD!$B$3:$B$5001,D$173,BD!$A$3:$A$5001,"&gt;="&amp;$C$7,BD!$A$3:$A$5001,"&lt;="&amp;$B192,BD!$Y$3:$Y$5001,"&lt;&gt;")=0,"",SUMIFS(BD!$Y$3:$Y$5001,BD!$B$3:$B$5001,D$173,BD!$A$3:$A$5001,_xlfn.MAXIFS(BD!$A$3:$A$5001,BD!$B$3:$B$5001,D$173,BD!$A$3:$A$5001,"&gt;="&amp;$C$7,BD!$A$3:$A$5001,"&lt;="&amp;$B192,BD!$Y$3:$Y$5001,"&lt;&gt;"))))</f>
        <v/>
      </c>
      <c r="E192" s="42" t="str">
        <f>IF(OR($B192="",$A192&gt;$B$9),"",IF(COUNTIFS(BD!$B$3:$B$5001,E$173,BD!$A$3:$A$5001,"&gt;="&amp;$C$7,BD!$A$3:$A$5001,"&lt;="&amp;$B192,BD!$Y$3:$Y$5001,"&lt;&gt;")=0,"",SUMIFS(BD!$Y$3:$Y$5001,BD!$B$3:$B$5001,E$173,BD!$A$3:$A$5001,_xlfn.MAXIFS(BD!$A$3:$A$5001,BD!$B$3:$B$5001,E$173,BD!$A$3:$A$5001,"&gt;="&amp;$C$7,BD!$A$3:$A$5001,"&lt;="&amp;$B192,BD!$Y$3:$Y$5001,"&lt;&gt;"))))</f>
        <v/>
      </c>
      <c r="F192" s="42" t="str">
        <f>IF(OR($B192="",$A192&gt;$B$9),"",IF(COUNTIFS(BD!$B$3:$B$5001,F$173,BD!$A$3:$A$5001,"&gt;="&amp;$C$7,BD!$A$3:$A$5001,"&lt;="&amp;$B192,BD!$Y$3:$Y$5001,"&lt;&gt;")=0,"",SUMIFS(BD!$Y$3:$Y$5001,BD!$B$3:$B$5001,F$173,BD!$A$3:$A$5001,_xlfn.MAXIFS(BD!$A$3:$A$5001,BD!$B$3:$B$5001,F$173,BD!$A$3:$A$5001,"&gt;="&amp;$C$7,BD!$A$3:$A$5001,"&lt;="&amp;$B192,BD!$Y$3:$Y$5001,"&lt;&gt;"))))</f>
        <v/>
      </c>
      <c r="G192" s="42" t="str">
        <f>IF(OR($B192="",$A192&gt;$B$9),"",IF(COUNTIFS(BD!$B$3:$B$5001,G$173,BD!$A$3:$A$5001,"&gt;="&amp;$C$7,BD!$A$3:$A$5001,"&lt;="&amp;$B192,BD!$Y$3:$Y$5001,"&lt;&gt;")=0,"",SUMIFS(BD!$Y$3:$Y$5001,BD!$B$3:$B$5001,G$173,BD!$A$3:$A$5001,_xlfn.MAXIFS(BD!$A$3:$A$5001,BD!$B$3:$B$5001,G$173,BD!$A$3:$A$5001,"&gt;="&amp;$C$7,BD!$A$3:$A$5001,"&lt;="&amp;$B192,BD!$Y$3:$Y$5001,"&lt;&gt;"))))</f>
        <v/>
      </c>
      <c r="H192" s="42" t="str">
        <f>IF(OR($B192="",$A192&gt;$B$9),"",IF(COUNTIFS(BD!$B$3:$B$5001,H$173,BD!$A$3:$A$5001,"&gt;="&amp;$C$7,BD!$A$3:$A$5001,"&lt;="&amp;$B192,BD!$Y$3:$Y$5001,"&lt;&gt;")=0,"",SUMIFS(BD!$Y$3:$Y$5001,BD!$B$3:$B$5001,H$173,BD!$A$3:$A$5001,_xlfn.MAXIFS(BD!$A$3:$A$5001,BD!$B$3:$B$5001,H$173,BD!$A$3:$A$5001,"&gt;="&amp;$C$7,BD!$A$3:$A$5001,"&lt;="&amp;$B192,BD!$Y$3:$Y$5001,"&lt;&gt;"))))</f>
        <v/>
      </c>
      <c r="I192" s="42" t="str">
        <f>IF(OR($B192="",$A192&gt;$B$9),"",IF(COUNTIFS(BD!$B$3:$B$5001,I$173,BD!$A$3:$A$5001,"&gt;="&amp;$C$7,BD!$A$3:$A$5001,"&lt;="&amp;$B192,BD!$Y$3:$Y$5001,"&lt;&gt;")=0,"",SUMIFS(BD!$Y$3:$Y$5001,BD!$B$3:$B$5001,I$173,BD!$A$3:$A$5001,_xlfn.MAXIFS(BD!$A$3:$A$5001,BD!$B$3:$B$5001,I$173,BD!$A$3:$A$5001,"&gt;="&amp;$C$7,BD!$A$3:$A$5001,"&lt;="&amp;$B192,BD!$Y$3:$Y$5001,"&lt;&gt;"))))</f>
        <v/>
      </c>
      <c r="J192" s="42" t="str">
        <f>IF(OR($B192="",$A192&gt;$B$9),"",IF(COUNTIFS(BD!$B$3:$B$5001,J$173,BD!$A$3:$A$5001,"&gt;="&amp;$C$7,BD!$A$3:$A$5001,"&lt;="&amp;$B192,BD!$Y$3:$Y$5001,"&lt;&gt;")=0,"",SUMIFS(BD!$Y$3:$Y$5001,BD!$B$3:$B$5001,J$173,BD!$A$3:$A$5001,_xlfn.MAXIFS(BD!$A$3:$A$5001,BD!$B$3:$B$5001,J$173,BD!$A$3:$A$5001,"&gt;="&amp;$C$7,BD!$A$3:$A$5001,"&lt;="&amp;$B192,BD!$Y$3:$Y$5001,"&lt;&gt;"))))</f>
        <v/>
      </c>
      <c r="K192" s="42" t="str">
        <f>IF(OR($B192="",$A192&gt;$B$9),"",IF(COUNTIFS(BD!$B$3:$B$5001,K$173,BD!$A$3:$A$5001,"&gt;="&amp;$C$7,BD!$A$3:$A$5001,"&lt;="&amp;$B192,BD!$Y$3:$Y$5001,"&lt;&gt;")=0,"",SUMIFS(BD!$Y$3:$Y$5001,BD!$B$3:$B$5001,K$173,BD!$A$3:$A$5001,_xlfn.MAXIFS(BD!$A$3:$A$5001,BD!$B$3:$B$5001,K$173,BD!$A$3:$A$5001,"&gt;="&amp;$C$7,BD!$A$3:$A$5001,"&lt;="&amp;$B192,BD!$Y$3:$Y$5001,"&lt;&gt;"))))</f>
        <v/>
      </c>
      <c r="L192" s="42" t="str">
        <f>IF(OR($B192="",$A192&gt;$B$9),"",IF(COUNTIFS(BD!$B$3:$B$5001,L$173,BD!$A$3:$A$5001,"&gt;="&amp;$C$7,BD!$A$3:$A$5001,"&lt;="&amp;$B192,BD!$Y$3:$Y$5001,"&lt;&gt;")=0,"",SUMIFS(BD!$Y$3:$Y$5001,BD!$B$3:$B$5001,L$173,BD!$A$3:$A$5001,_xlfn.MAXIFS(BD!$A$3:$A$5001,BD!$B$3:$B$5001,L$173,BD!$A$3:$A$5001,"&gt;="&amp;$C$7,BD!$A$3:$A$5001,"&lt;="&amp;$B192,BD!$Y$3:$Y$5001,"&lt;&gt;"))))</f>
        <v/>
      </c>
    </row>
    <row r="193">
      <c r="A193" s="40">
        <v>20</v>
      </c>
      <c r="B193" s="41">
        <f>$B$31</f>
        <v>46315</v>
      </c>
      <c r="C193" s="42" t="str">
        <f>IF(OR($B193="",$A193&gt;$B$9),"",IF(COUNTIFS(BD!$B$3:$B$5001,C$173,BD!$A$3:$A$5001,"&gt;="&amp;$C$7,BD!$A$3:$A$5001,"&lt;="&amp;$B193,BD!$Y$3:$Y$5001,"&lt;&gt;")=0,"",SUMIFS(BD!$Y$3:$Y$5001,BD!$B$3:$B$5001,C$173,BD!$A$3:$A$5001,_xlfn.MAXIFS(BD!$A$3:$A$5001,BD!$B$3:$B$5001,C$173,BD!$A$3:$A$5001,"&gt;="&amp;$C$7,BD!$A$3:$A$5001,"&lt;="&amp;$B193,BD!$Y$3:$Y$5001,"&lt;&gt;"))))</f>
        <v/>
      </c>
      <c r="D193" s="42" t="str">
        <f>IF(OR($B193="",$A193&gt;$B$9),"",IF(COUNTIFS(BD!$B$3:$B$5001,D$173,BD!$A$3:$A$5001,"&gt;="&amp;$C$7,BD!$A$3:$A$5001,"&lt;="&amp;$B193,BD!$Y$3:$Y$5001,"&lt;&gt;")=0,"",SUMIFS(BD!$Y$3:$Y$5001,BD!$B$3:$B$5001,D$173,BD!$A$3:$A$5001,_xlfn.MAXIFS(BD!$A$3:$A$5001,BD!$B$3:$B$5001,D$173,BD!$A$3:$A$5001,"&gt;="&amp;$C$7,BD!$A$3:$A$5001,"&lt;="&amp;$B193,BD!$Y$3:$Y$5001,"&lt;&gt;"))))</f>
        <v/>
      </c>
      <c r="E193" s="42" t="str">
        <f>IF(OR($B193="",$A193&gt;$B$9),"",IF(COUNTIFS(BD!$B$3:$B$5001,E$173,BD!$A$3:$A$5001,"&gt;="&amp;$C$7,BD!$A$3:$A$5001,"&lt;="&amp;$B193,BD!$Y$3:$Y$5001,"&lt;&gt;")=0,"",SUMIFS(BD!$Y$3:$Y$5001,BD!$B$3:$B$5001,E$173,BD!$A$3:$A$5001,_xlfn.MAXIFS(BD!$A$3:$A$5001,BD!$B$3:$B$5001,E$173,BD!$A$3:$A$5001,"&gt;="&amp;$C$7,BD!$A$3:$A$5001,"&lt;="&amp;$B193,BD!$Y$3:$Y$5001,"&lt;&gt;"))))</f>
        <v/>
      </c>
      <c r="F193" s="42" t="str">
        <f>IF(OR($B193="",$A193&gt;$B$9),"",IF(COUNTIFS(BD!$B$3:$B$5001,F$173,BD!$A$3:$A$5001,"&gt;="&amp;$C$7,BD!$A$3:$A$5001,"&lt;="&amp;$B193,BD!$Y$3:$Y$5001,"&lt;&gt;")=0,"",SUMIFS(BD!$Y$3:$Y$5001,BD!$B$3:$B$5001,F$173,BD!$A$3:$A$5001,_xlfn.MAXIFS(BD!$A$3:$A$5001,BD!$B$3:$B$5001,F$173,BD!$A$3:$A$5001,"&gt;="&amp;$C$7,BD!$A$3:$A$5001,"&lt;="&amp;$B193,BD!$Y$3:$Y$5001,"&lt;&gt;"))))</f>
        <v/>
      </c>
      <c r="G193" s="42" t="str">
        <f>IF(OR($B193="",$A193&gt;$B$9),"",IF(COUNTIFS(BD!$B$3:$B$5001,G$173,BD!$A$3:$A$5001,"&gt;="&amp;$C$7,BD!$A$3:$A$5001,"&lt;="&amp;$B193,BD!$Y$3:$Y$5001,"&lt;&gt;")=0,"",SUMIFS(BD!$Y$3:$Y$5001,BD!$B$3:$B$5001,G$173,BD!$A$3:$A$5001,_xlfn.MAXIFS(BD!$A$3:$A$5001,BD!$B$3:$B$5001,G$173,BD!$A$3:$A$5001,"&gt;="&amp;$C$7,BD!$A$3:$A$5001,"&lt;="&amp;$B193,BD!$Y$3:$Y$5001,"&lt;&gt;"))))</f>
        <v/>
      </c>
      <c r="H193" s="42" t="str">
        <f>IF(OR($B193="",$A193&gt;$B$9),"",IF(COUNTIFS(BD!$B$3:$B$5001,H$173,BD!$A$3:$A$5001,"&gt;="&amp;$C$7,BD!$A$3:$A$5001,"&lt;="&amp;$B193,BD!$Y$3:$Y$5001,"&lt;&gt;")=0,"",SUMIFS(BD!$Y$3:$Y$5001,BD!$B$3:$B$5001,H$173,BD!$A$3:$A$5001,_xlfn.MAXIFS(BD!$A$3:$A$5001,BD!$B$3:$B$5001,H$173,BD!$A$3:$A$5001,"&gt;="&amp;$C$7,BD!$A$3:$A$5001,"&lt;="&amp;$B193,BD!$Y$3:$Y$5001,"&lt;&gt;"))))</f>
        <v/>
      </c>
      <c r="I193" s="42" t="str">
        <f>IF(OR($B193="",$A193&gt;$B$9),"",IF(COUNTIFS(BD!$B$3:$B$5001,I$173,BD!$A$3:$A$5001,"&gt;="&amp;$C$7,BD!$A$3:$A$5001,"&lt;="&amp;$B193,BD!$Y$3:$Y$5001,"&lt;&gt;")=0,"",SUMIFS(BD!$Y$3:$Y$5001,BD!$B$3:$B$5001,I$173,BD!$A$3:$A$5001,_xlfn.MAXIFS(BD!$A$3:$A$5001,BD!$B$3:$B$5001,I$173,BD!$A$3:$A$5001,"&gt;="&amp;$C$7,BD!$A$3:$A$5001,"&lt;="&amp;$B193,BD!$Y$3:$Y$5001,"&lt;&gt;"))))</f>
        <v/>
      </c>
      <c r="J193" s="42" t="str">
        <f>IF(OR($B193="",$A193&gt;$B$9),"",IF(COUNTIFS(BD!$B$3:$B$5001,J$173,BD!$A$3:$A$5001,"&gt;="&amp;$C$7,BD!$A$3:$A$5001,"&lt;="&amp;$B193,BD!$Y$3:$Y$5001,"&lt;&gt;")=0,"",SUMIFS(BD!$Y$3:$Y$5001,BD!$B$3:$B$5001,J$173,BD!$A$3:$A$5001,_xlfn.MAXIFS(BD!$A$3:$A$5001,BD!$B$3:$B$5001,J$173,BD!$A$3:$A$5001,"&gt;="&amp;$C$7,BD!$A$3:$A$5001,"&lt;="&amp;$B193,BD!$Y$3:$Y$5001,"&lt;&gt;"))))</f>
        <v/>
      </c>
      <c r="K193" s="42" t="str">
        <f>IF(OR($B193="",$A193&gt;$B$9),"",IF(COUNTIFS(BD!$B$3:$B$5001,K$173,BD!$A$3:$A$5001,"&gt;="&amp;$C$7,BD!$A$3:$A$5001,"&lt;="&amp;$B193,BD!$Y$3:$Y$5001,"&lt;&gt;")=0,"",SUMIFS(BD!$Y$3:$Y$5001,BD!$B$3:$B$5001,K$173,BD!$A$3:$A$5001,_xlfn.MAXIFS(BD!$A$3:$A$5001,BD!$B$3:$B$5001,K$173,BD!$A$3:$A$5001,"&gt;="&amp;$C$7,BD!$A$3:$A$5001,"&lt;="&amp;$B193,BD!$Y$3:$Y$5001,"&lt;&gt;"))))</f>
        <v/>
      </c>
      <c r="L193" s="42" t="str">
        <f>IF(OR($B193="",$A193&gt;$B$9),"",IF(COUNTIFS(BD!$B$3:$B$5001,L$173,BD!$A$3:$A$5001,"&gt;="&amp;$C$7,BD!$A$3:$A$5001,"&lt;="&amp;$B193,BD!$Y$3:$Y$5001,"&lt;&gt;")=0,"",SUMIFS(BD!$Y$3:$Y$5001,BD!$B$3:$B$5001,L$173,BD!$A$3:$A$5001,_xlfn.MAXIFS(BD!$A$3:$A$5001,BD!$B$3:$B$5001,L$173,BD!$A$3:$A$5001,"&gt;="&amp;$C$7,BD!$A$3:$A$5001,"&lt;="&amp;$B193,BD!$Y$3:$Y$5001,"&lt;&gt;"))))</f>
        <v/>
      </c>
    </row>
    <row r="194">
      <c r="A194" s="40">
        <v>21</v>
      </c>
      <c r="B194" s="41">
        <f>$B$32</f>
        <v>46316</v>
      </c>
      <c r="C194" s="42" t="str">
        <f>IF(OR($B194="",$A194&gt;$B$9),"",IF(COUNTIFS(BD!$B$3:$B$5001,C$173,BD!$A$3:$A$5001,"&gt;="&amp;$C$7,BD!$A$3:$A$5001,"&lt;="&amp;$B194,BD!$Y$3:$Y$5001,"&lt;&gt;")=0,"",SUMIFS(BD!$Y$3:$Y$5001,BD!$B$3:$B$5001,C$173,BD!$A$3:$A$5001,_xlfn.MAXIFS(BD!$A$3:$A$5001,BD!$B$3:$B$5001,C$173,BD!$A$3:$A$5001,"&gt;="&amp;$C$7,BD!$A$3:$A$5001,"&lt;="&amp;$B194,BD!$Y$3:$Y$5001,"&lt;&gt;"))))</f>
        <v/>
      </c>
      <c r="D194" s="42" t="str">
        <f>IF(OR($B194="",$A194&gt;$B$9),"",IF(COUNTIFS(BD!$B$3:$B$5001,D$173,BD!$A$3:$A$5001,"&gt;="&amp;$C$7,BD!$A$3:$A$5001,"&lt;="&amp;$B194,BD!$Y$3:$Y$5001,"&lt;&gt;")=0,"",SUMIFS(BD!$Y$3:$Y$5001,BD!$B$3:$B$5001,D$173,BD!$A$3:$A$5001,_xlfn.MAXIFS(BD!$A$3:$A$5001,BD!$B$3:$B$5001,D$173,BD!$A$3:$A$5001,"&gt;="&amp;$C$7,BD!$A$3:$A$5001,"&lt;="&amp;$B194,BD!$Y$3:$Y$5001,"&lt;&gt;"))))</f>
        <v/>
      </c>
      <c r="E194" s="42" t="str">
        <f>IF(OR($B194="",$A194&gt;$B$9),"",IF(COUNTIFS(BD!$B$3:$B$5001,E$173,BD!$A$3:$A$5001,"&gt;="&amp;$C$7,BD!$A$3:$A$5001,"&lt;="&amp;$B194,BD!$Y$3:$Y$5001,"&lt;&gt;")=0,"",SUMIFS(BD!$Y$3:$Y$5001,BD!$B$3:$B$5001,E$173,BD!$A$3:$A$5001,_xlfn.MAXIFS(BD!$A$3:$A$5001,BD!$B$3:$B$5001,E$173,BD!$A$3:$A$5001,"&gt;="&amp;$C$7,BD!$A$3:$A$5001,"&lt;="&amp;$B194,BD!$Y$3:$Y$5001,"&lt;&gt;"))))</f>
        <v/>
      </c>
      <c r="F194" s="42" t="str">
        <f>IF(OR($B194="",$A194&gt;$B$9),"",IF(COUNTIFS(BD!$B$3:$B$5001,F$173,BD!$A$3:$A$5001,"&gt;="&amp;$C$7,BD!$A$3:$A$5001,"&lt;="&amp;$B194,BD!$Y$3:$Y$5001,"&lt;&gt;")=0,"",SUMIFS(BD!$Y$3:$Y$5001,BD!$B$3:$B$5001,F$173,BD!$A$3:$A$5001,_xlfn.MAXIFS(BD!$A$3:$A$5001,BD!$B$3:$B$5001,F$173,BD!$A$3:$A$5001,"&gt;="&amp;$C$7,BD!$A$3:$A$5001,"&lt;="&amp;$B194,BD!$Y$3:$Y$5001,"&lt;&gt;"))))</f>
        <v/>
      </c>
      <c r="G194" s="42" t="str">
        <f>IF(OR($B194="",$A194&gt;$B$9),"",IF(COUNTIFS(BD!$B$3:$B$5001,G$173,BD!$A$3:$A$5001,"&gt;="&amp;$C$7,BD!$A$3:$A$5001,"&lt;="&amp;$B194,BD!$Y$3:$Y$5001,"&lt;&gt;")=0,"",SUMIFS(BD!$Y$3:$Y$5001,BD!$B$3:$B$5001,G$173,BD!$A$3:$A$5001,_xlfn.MAXIFS(BD!$A$3:$A$5001,BD!$B$3:$B$5001,G$173,BD!$A$3:$A$5001,"&gt;="&amp;$C$7,BD!$A$3:$A$5001,"&lt;="&amp;$B194,BD!$Y$3:$Y$5001,"&lt;&gt;"))))</f>
        <v/>
      </c>
      <c r="H194" s="42" t="str">
        <f>IF(OR($B194="",$A194&gt;$B$9),"",IF(COUNTIFS(BD!$B$3:$B$5001,H$173,BD!$A$3:$A$5001,"&gt;="&amp;$C$7,BD!$A$3:$A$5001,"&lt;="&amp;$B194,BD!$Y$3:$Y$5001,"&lt;&gt;")=0,"",SUMIFS(BD!$Y$3:$Y$5001,BD!$B$3:$B$5001,H$173,BD!$A$3:$A$5001,_xlfn.MAXIFS(BD!$A$3:$A$5001,BD!$B$3:$B$5001,H$173,BD!$A$3:$A$5001,"&gt;="&amp;$C$7,BD!$A$3:$A$5001,"&lt;="&amp;$B194,BD!$Y$3:$Y$5001,"&lt;&gt;"))))</f>
        <v/>
      </c>
      <c r="I194" s="42" t="str">
        <f>IF(OR($B194="",$A194&gt;$B$9),"",IF(COUNTIFS(BD!$B$3:$B$5001,I$173,BD!$A$3:$A$5001,"&gt;="&amp;$C$7,BD!$A$3:$A$5001,"&lt;="&amp;$B194,BD!$Y$3:$Y$5001,"&lt;&gt;")=0,"",SUMIFS(BD!$Y$3:$Y$5001,BD!$B$3:$B$5001,I$173,BD!$A$3:$A$5001,_xlfn.MAXIFS(BD!$A$3:$A$5001,BD!$B$3:$B$5001,I$173,BD!$A$3:$A$5001,"&gt;="&amp;$C$7,BD!$A$3:$A$5001,"&lt;="&amp;$B194,BD!$Y$3:$Y$5001,"&lt;&gt;"))))</f>
        <v/>
      </c>
      <c r="J194" s="42" t="str">
        <f>IF(OR($B194="",$A194&gt;$B$9),"",IF(COUNTIFS(BD!$B$3:$B$5001,J$173,BD!$A$3:$A$5001,"&gt;="&amp;$C$7,BD!$A$3:$A$5001,"&lt;="&amp;$B194,BD!$Y$3:$Y$5001,"&lt;&gt;")=0,"",SUMIFS(BD!$Y$3:$Y$5001,BD!$B$3:$B$5001,J$173,BD!$A$3:$A$5001,_xlfn.MAXIFS(BD!$A$3:$A$5001,BD!$B$3:$B$5001,J$173,BD!$A$3:$A$5001,"&gt;="&amp;$C$7,BD!$A$3:$A$5001,"&lt;="&amp;$B194,BD!$Y$3:$Y$5001,"&lt;&gt;"))))</f>
        <v/>
      </c>
      <c r="K194" s="42" t="str">
        <f>IF(OR($B194="",$A194&gt;$B$9),"",IF(COUNTIFS(BD!$B$3:$B$5001,K$173,BD!$A$3:$A$5001,"&gt;="&amp;$C$7,BD!$A$3:$A$5001,"&lt;="&amp;$B194,BD!$Y$3:$Y$5001,"&lt;&gt;")=0,"",SUMIFS(BD!$Y$3:$Y$5001,BD!$B$3:$B$5001,K$173,BD!$A$3:$A$5001,_xlfn.MAXIFS(BD!$A$3:$A$5001,BD!$B$3:$B$5001,K$173,BD!$A$3:$A$5001,"&gt;="&amp;$C$7,BD!$A$3:$A$5001,"&lt;="&amp;$B194,BD!$Y$3:$Y$5001,"&lt;&gt;"))))</f>
        <v/>
      </c>
      <c r="L194" s="42" t="str">
        <f>IF(OR($B194="",$A194&gt;$B$9),"",IF(COUNTIFS(BD!$B$3:$B$5001,L$173,BD!$A$3:$A$5001,"&gt;="&amp;$C$7,BD!$A$3:$A$5001,"&lt;="&amp;$B194,BD!$Y$3:$Y$5001,"&lt;&gt;")=0,"",SUMIFS(BD!$Y$3:$Y$5001,BD!$B$3:$B$5001,L$173,BD!$A$3:$A$5001,_xlfn.MAXIFS(BD!$A$3:$A$5001,BD!$B$3:$B$5001,L$173,BD!$A$3:$A$5001,"&gt;="&amp;$C$7,BD!$A$3:$A$5001,"&lt;="&amp;$B194,BD!$Y$3:$Y$5001,"&lt;&gt;"))))</f>
        <v/>
      </c>
    </row>
    <row r="195">
      <c r="A195" s="40">
        <v>22</v>
      </c>
      <c r="B195" s="41">
        <f>$B$33</f>
        <v>46317</v>
      </c>
      <c r="C195" s="42" t="str">
        <f>IF(OR($B195="",$A195&gt;$B$9),"",IF(COUNTIFS(BD!$B$3:$B$5001,C$173,BD!$A$3:$A$5001,"&gt;="&amp;$C$7,BD!$A$3:$A$5001,"&lt;="&amp;$B195,BD!$Y$3:$Y$5001,"&lt;&gt;")=0,"",SUMIFS(BD!$Y$3:$Y$5001,BD!$B$3:$B$5001,C$173,BD!$A$3:$A$5001,_xlfn.MAXIFS(BD!$A$3:$A$5001,BD!$B$3:$B$5001,C$173,BD!$A$3:$A$5001,"&gt;="&amp;$C$7,BD!$A$3:$A$5001,"&lt;="&amp;$B195,BD!$Y$3:$Y$5001,"&lt;&gt;"))))</f>
        <v/>
      </c>
      <c r="D195" s="42" t="str">
        <f>IF(OR($B195="",$A195&gt;$B$9),"",IF(COUNTIFS(BD!$B$3:$B$5001,D$173,BD!$A$3:$A$5001,"&gt;="&amp;$C$7,BD!$A$3:$A$5001,"&lt;="&amp;$B195,BD!$Y$3:$Y$5001,"&lt;&gt;")=0,"",SUMIFS(BD!$Y$3:$Y$5001,BD!$B$3:$B$5001,D$173,BD!$A$3:$A$5001,_xlfn.MAXIFS(BD!$A$3:$A$5001,BD!$B$3:$B$5001,D$173,BD!$A$3:$A$5001,"&gt;="&amp;$C$7,BD!$A$3:$A$5001,"&lt;="&amp;$B195,BD!$Y$3:$Y$5001,"&lt;&gt;"))))</f>
        <v/>
      </c>
      <c r="E195" s="42" t="str">
        <f>IF(OR($B195="",$A195&gt;$B$9),"",IF(COUNTIFS(BD!$B$3:$B$5001,E$173,BD!$A$3:$A$5001,"&gt;="&amp;$C$7,BD!$A$3:$A$5001,"&lt;="&amp;$B195,BD!$Y$3:$Y$5001,"&lt;&gt;")=0,"",SUMIFS(BD!$Y$3:$Y$5001,BD!$B$3:$B$5001,E$173,BD!$A$3:$A$5001,_xlfn.MAXIFS(BD!$A$3:$A$5001,BD!$B$3:$B$5001,E$173,BD!$A$3:$A$5001,"&gt;="&amp;$C$7,BD!$A$3:$A$5001,"&lt;="&amp;$B195,BD!$Y$3:$Y$5001,"&lt;&gt;"))))</f>
        <v/>
      </c>
      <c r="F195" s="42" t="str">
        <f>IF(OR($B195="",$A195&gt;$B$9),"",IF(COUNTIFS(BD!$B$3:$B$5001,F$173,BD!$A$3:$A$5001,"&gt;="&amp;$C$7,BD!$A$3:$A$5001,"&lt;="&amp;$B195,BD!$Y$3:$Y$5001,"&lt;&gt;")=0,"",SUMIFS(BD!$Y$3:$Y$5001,BD!$B$3:$B$5001,F$173,BD!$A$3:$A$5001,_xlfn.MAXIFS(BD!$A$3:$A$5001,BD!$B$3:$B$5001,F$173,BD!$A$3:$A$5001,"&gt;="&amp;$C$7,BD!$A$3:$A$5001,"&lt;="&amp;$B195,BD!$Y$3:$Y$5001,"&lt;&gt;"))))</f>
        <v/>
      </c>
      <c r="G195" s="42" t="str">
        <f>IF(OR($B195="",$A195&gt;$B$9),"",IF(COUNTIFS(BD!$B$3:$B$5001,G$173,BD!$A$3:$A$5001,"&gt;="&amp;$C$7,BD!$A$3:$A$5001,"&lt;="&amp;$B195,BD!$Y$3:$Y$5001,"&lt;&gt;")=0,"",SUMIFS(BD!$Y$3:$Y$5001,BD!$B$3:$B$5001,G$173,BD!$A$3:$A$5001,_xlfn.MAXIFS(BD!$A$3:$A$5001,BD!$B$3:$B$5001,G$173,BD!$A$3:$A$5001,"&gt;="&amp;$C$7,BD!$A$3:$A$5001,"&lt;="&amp;$B195,BD!$Y$3:$Y$5001,"&lt;&gt;"))))</f>
        <v/>
      </c>
      <c r="H195" s="42" t="str">
        <f>IF(OR($B195="",$A195&gt;$B$9),"",IF(COUNTIFS(BD!$B$3:$B$5001,H$173,BD!$A$3:$A$5001,"&gt;="&amp;$C$7,BD!$A$3:$A$5001,"&lt;="&amp;$B195,BD!$Y$3:$Y$5001,"&lt;&gt;")=0,"",SUMIFS(BD!$Y$3:$Y$5001,BD!$B$3:$B$5001,H$173,BD!$A$3:$A$5001,_xlfn.MAXIFS(BD!$A$3:$A$5001,BD!$B$3:$B$5001,H$173,BD!$A$3:$A$5001,"&gt;="&amp;$C$7,BD!$A$3:$A$5001,"&lt;="&amp;$B195,BD!$Y$3:$Y$5001,"&lt;&gt;"))))</f>
        <v/>
      </c>
      <c r="I195" s="42" t="str">
        <f>IF(OR($B195="",$A195&gt;$B$9),"",IF(COUNTIFS(BD!$B$3:$B$5001,I$173,BD!$A$3:$A$5001,"&gt;="&amp;$C$7,BD!$A$3:$A$5001,"&lt;="&amp;$B195,BD!$Y$3:$Y$5001,"&lt;&gt;")=0,"",SUMIFS(BD!$Y$3:$Y$5001,BD!$B$3:$B$5001,I$173,BD!$A$3:$A$5001,_xlfn.MAXIFS(BD!$A$3:$A$5001,BD!$B$3:$B$5001,I$173,BD!$A$3:$A$5001,"&gt;="&amp;$C$7,BD!$A$3:$A$5001,"&lt;="&amp;$B195,BD!$Y$3:$Y$5001,"&lt;&gt;"))))</f>
        <v/>
      </c>
      <c r="J195" s="42" t="str">
        <f>IF(OR($B195="",$A195&gt;$B$9),"",IF(COUNTIFS(BD!$B$3:$B$5001,J$173,BD!$A$3:$A$5001,"&gt;="&amp;$C$7,BD!$A$3:$A$5001,"&lt;="&amp;$B195,BD!$Y$3:$Y$5001,"&lt;&gt;")=0,"",SUMIFS(BD!$Y$3:$Y$5001,BD!$B$3:$B$5001,J$173,BD!$A$3:$A$5001,_xlfn.MAXIFS(BD!$A$3:$A$5001,BD!$B$3:$B$5001,J$173,BD!$A$3:$A$5001,"&gt;="&amp;$C$7,BD!$A$3:$A$5001,"&lt;="&amp;$B195,BD!$Y$3:$Y$5001,"&lt;&gt;"))))</f>
        <v/>
      </c>
      <c r="K195" s="42" t="str">
        <f>IF(OR($B195="",$A195&gt;$B$9),"",IF(COUNTIFS(BD!$B$3:$B$5001,K$173,BD!$A$3:$A$5001,"&gt;="&amp;$C$7,BD!$A$3:$A$5001,"&lt;="&amp;$B195,BD!$Y$3:$Y$5001,"&lt;&gt;")=0,"",SUMIFS(BD!$Y$3:$Y$5001,BD!$B$3:$B$5001,K$173,BD!$A$3:$A$5001,_xlfn.MAXIFS(BD!$A$3:$A$5001,BD!$B$3:$B$5001,K$173,BD!$A$3:$A$5001,"&gt;="&amp;$C$7,BD!$A$3:$A$5001,"&lt;="&amp;$B195,BD!$Y$3:$Y$5001,"&lt;&gt;"))))</f>
        <v/>
      </c>
      <c r="L195" s="42" t="str">
        <f>IF(OR($B195="",$A195&gt;$B$9),"",IF(COUNTIFS(BD!$B$3:$B$5001,L$173,BD!$A$3:$A$5001,"&gt;="&amp;$C$7,BD!$A$3:$A$5001,"&lt;="&amp;$B195,BD!$Y$3:$Y$5001,"&lt;&gt;")=0,"",SUMIFS(BD!$Y$3:$Y$5001,BD!$B$3:$B$5001,L$173,BD!$A$3:$A$5001,_xlfn.MAXIFS(BD!$A$3:$A$5001,BD!$B$3:$B$5001,L$173,BD!$A$3:$A$5001,"&gt;="&amp;$C$7,BD!$A$3:$A$5001,"&lt;="&amp;$B195,BD!$Y$3:$Y$5001,"&lt;&gt;"))))</f>
        <v/>
      </c>
    </row>
    <row r="196">
      <c r="A196" s="40">
        <v>23</v>
      </c>
      <c r="B196" s="41">
        <f>$B$34</f>
        <v>46318</v>
      </c>
      <c r="C196" s="42" t="str">
        <f>IF(OR($B196="",$A196&gt;$B$9),"",IF(COUNTIFS(BD!$B$3:$B$5001,C$173,BD!$A$3:$A$5001,"&gt;="&amp;$C$7,BD!$A$3:$A$5001,"&lt;="&amp;$B196,BD!$Y$3:$Y$5001,"&lt;&gt;")=0,"",SUMIFS(BD!$Y$3:$Y$5001,BD!$B$3:$B$5001,C$173,BD!$A$3:$A$5001,_xlfn.MAXIFS(BD!$A$3:$A$5001,BD!$B$3:$B$5001,C$173,BD!$A$3:$A$5001,"&gt;="&amp;$C$7,BD!$A$3:$A$5001,"&lt;="&amp;$B196,BD!$Y$3:$Y$5001,"&lt;&gt;"))))</f>
        <v/>
      </c>
      <c r="D196" s="42" t="str">
        <f>IF(OR($B196="",$A196&gt;$B$9),"",IF(COUNTIFS(BD!$B$3:$B$5001,D$173,BD!$A$3:$A$5001,"&gt;="&amp;$C$7,BD!$A$3:$A$5001,"&lt;="&amp;$B196,BD!$Y$3:$Y$5001,"&lt;&gt;")=0,"",SUMIFS(BD!$Y$3:$Y$5001,BD!$B$3:$B$5001,D$173,BD!$A$3:$A$5001,_xlfn.MAXIFS(BD!$A$3:$A$5001,BD!$B$3:$B$5001,D$173,BD!$A$3:$A$5001,"&gt;="&amp;$C$7,BD!$A$3:$A$5001,"&lt;="&amp;$B196,BD!$Y$3:$Y$5001,"&lt;&gt;"))))</f>
        <v/>
      </c>
      <c r="E196" s="42" t="str">
        <f>IF(OR($B196="",$A196&gt;$B$9),"",IF(COUNTIFS(BD!$B$3:$B$5001,E$173,BD!$A$3:$A$5001,"&gt;="&amp;$C$7,BD!$A$3:$A$5001,"&lt;="&amp;$B196,BD!$Y$3:$Y$5001,"&lt;&gt;")=0,"",SUMIFS(BD!$Y$3:$Y$5001,BD!$B$3:$B$5001,E$173,BD!$A$3:$A$5001,_xlfn.MAXIFS(BD!$A$3:$A$5001,BD!$B$3:$B$5001,E$173,BD!$A$3:$A$5001,"&gt;="&amp;$C$7,BD!$A$3:$A$5001,"&lt;="&amp;$B196,BD!$Y$3:$Y$5001,"&lt;&gt;"))))</f>
        <v/>
      </c>
      <c r="F196" s="42" t="str">
        <f>IF(OR($B196="",$A196&gt;$B$9),"",IF(COUNTIFS(BD!$B$3:$B$5001,F$173,BD!$A$3:$A$5001,"&gt;="&amp;$C$7,BD!$A$3:$A$5001,"&lt;="&amp;$B196,BD!$Y$3:$Y$5001,"&lt;&gt;")=0,"",SUMIFS(BD!$Y$3:$Y$5001,BD!$B$3:$B$5001,F$173,BD!$A$3:$A$5001,_xlfn.MAXIFS(BD!$A$3:$A$5001,BD!$B$3:$B$5001,F$173,BD!$A$3:$A$5001,"&gt;="&amp;$C$7,BD!$A$3:$A$5001,"&lt;="&amp;$B196,BD!$Y$3:$Y$5001,"&lt;&gt;"))))</f>
        <v/>
      </c>
      <c r="G196" s="42" t="str">
        <f>IF(OR($B196="",$A196&gt;$B$9),"",IF(COUNTIFS(BD!$B$3:$B$5001,G$173,BD!$A$3:$A$5001,"&gt;="&amp;$C$7,BD!$A$3:$A$5001,"&lt;="&amp;$B196,BD!$Y$3:$Y$5001,"&lt;&gt;")=0,"",SUMIFS(BD!$Y$3:$Y$5001,BD!$B$3:$B$5001,G$173,BD!$A$3:$A$5001,_xlfn.MAXIFS(BD!$A$3:$A$5001,BD!$B$3:$B$5001,G$173,BD!$A$3:$A$5001,"&gt;="&amp;$C$7,BD!$A$3:$A$5001,"&lt;="&amp;$B196,BD!$Y$3:$Y$5001,"&lt;&gt;"))))</f>
        <v/>
      </c>
      <c r="H196" s="42" t="str">
        <f>IF(OR($B196="",$A196&gt;$B$9),"",IF(COUNTIFS(BD!$B$3:$B$5001,H$173,BD!$A$3:$A$5001,"&gt;="&amp;$C$7,BD!$A$3:$A$5001,"&lt;="&amp;$B196,BD!$Y$3:$Y$5001,"&lt;&gt;")=0,"",SUMIFS(BD!$Y$3:$Y$5001,BD!$B$3:$B$5001,H$173,BD!$A$3:$A$5001,_xlfn.MAXIFS(BD!$A$3:$A$5001,BD!$B$3:$B$5001,H$173,BD!$A$3:$A$5001,"&gt;="&amp;$C$7,BD!$A$3:$A$5001,"&lt;="&amp;$B196,BD!$Y$3:$Y$5001,"&lt;&gt;"))))</f>
        <v/>
      </c>
      <c r="I196" s="42" t="str">
        <f>IF(OR($B196="",$A196&gt;$B$9),"",IF(COUNTIFS(BD!$B$3:$B$5001,I$173,BD!$A$3:$A$5001,"&gt;="&amp;$C$7,BD!$A$3:$A$5001,"&lt;="&amp;$B196,BD!$Y$3:$Y$5001,"&lt;&gt;")=0,"",SUMIFS(BD!$Y$3:$Y$5001,BD!$B$3:$B$5001,I$173,BD!$A$3:$A$5001,_xlfn.MAXIFS(BD!$A$3:$A$5001,BD!$B$3:$B$5001,I$173,BD!$A$3:$A$5001,"&gt;="&amp;$C$7,BD!$A$3:$A$5001,"&lt;="&amp;$B196,BD!$Y$3:$Y$5001,"&lt;&gt;"))))</f>
        <v/>
      </c>
      <c r="J196" s="42" t="str">
        <f>IF(OR($B196="",$A196&gt;$B$9),"",IF(COUNTIFS(BD!$B$3:$B$5001,J$173,BD!$A$3:$A$5001,"&gt;="&amp;$C$7,BD!$A$3:$A$5001,"&lt;="&amp;$B196,BD!$Y$3:$Y$5001,"&lt;&gt;")=0,"",SUMIFS(BD!$Y$3:$Y$5001,BD!$B$3:$B$5001,J$173,BD!$A$3:$A$5001,_xlfn.MAXIFS(BD!$A$3:$A$5001,BD!$B$3:$B$5001,J$173,BD!$A$3:$A$5001,"&gt;="&amp;$C$7,BD!$A$3:$A$5001,"&lt;="&amp;$B196,BD!$Y$3:$Y$5001,"&lt;&gt;"))))</f>
        <v/>
      </c>
      <c r="K196" s="42" t="str">
        <f>IF(OR($B196="",$A196&gt;$B$9),"",IF(COUNTIFS(BD!$B$3:$B$5001,K$173,BD!$A$3:$A$5001,"&gt;="&amp;$C$7,BD!$A$3:$A$5001,"&lt;="&amp;$B196,BD!$Y$3:$Y$5001,"&lt;&gt;")=0,"",SUMIFS(BD!$Y$3:$Y$5001,BD!$B$3:$B$5001,K$173,BD!$A$3:$A$5001,_xlfn.MAXIFS(BD!$A$3:$A$5001,BD!$B$3:$B$5001,K$173,BD!$A$3:$A$5001,"&gt;="&amp;$C$7,BD!$A$3:$A$5001,"&lt;="&amp;$B196,BD!$Y$3:$Y$5001,"&lt;&gt;"))))</f>
        <v/>
      </c>
      <c r="L196" s="42" t="str">
        <f>IF(OR($B196="",$A196&gt;$B$9),"",IF(COUNTIFS(BD!$B$3:$B$5001,L$173,BD!$A$3:$A$5001,"&gt;="&amp;$C$7,BD!$A$3:$A$5001,"&lt;="&amp;$B196,BD!$Y$3:$Y$5001,"&lt;&gt;")=0,"",SUMIFS(BD!$Y$3:$Y$5001,BD!$B$3:$B$5001,L$173,BD!$A$3:$A$5001,_xlfn.MAXIFS(BD!$A$3:$A$5001,BD!$B$3:$B$5001,L$173,BD!$A$3:$A$5001,"&gt;="&amp;$C$7,BD!$A$3:$A$5001,"&lt;="&amp;$B196,BD!$Y$3:$Y$5001,"&lt;&gt;"))))</f>
        <v/>
      </c>
    </row>
    <row r="197">
      <c r="A197" s="40">
        <v>24</v>
      </c>
      <c r="B197" s="41">
        <f>$B$35</f>
        <v>46319</v>
      </c>
      <c r="C197" s="42" t="str">
        <f>IF(OR($B197="",$A197&gt;$B$9),"",IF(COUNTIFS(BD!$B$3:$B$5001,C$173,BD!$A$3:$A$5001,"&gt;="&amp;$C$7,BD!$A$3:$A$5001,"&lt;="&amp;$B197,BD!$Y$3:$Y$5001,"&lt;&gt;")=0,"",SUMIFS(BD!$Y$3:$Y$5001,BD!$B$3:$B$5001,C$173,BD!$A$3:$A$5001,_xlfn.MAXIFS(BD!$A$3:$A$5001,BD!$B$3:$B$5001,C$173,BD!$A$3:$A$5001,"&gt;="&amp;$C$7,BD!$A$3:$A$5001,"&lt;="&amp;$B197,BD!$Y$3:$Y$5001,"&lt;&gt;"))))</f>
        <v/>
      </c>
      <c r="D197" s="42" t="str">
        <f>IF(OR($B197="",$A197&gt;$B$9),"",IF(COUNTIFS(BD!$B$3:$B$5001,D$173,BD!$A$3:$A$5001,"&gt;="&amp;$C$7,BD!$A$3:$A$5001,"&lt;="&amp;$B197,BD!$Y$3:$Y$5001,"&lt;&gt;")=0,"",SUMIFS(BD!$Y$3:$Y$5001,BD!$B$3:$B$5001,D$173,BD!$A$3:$A$5001,_xlfn.MAXIFS(BD!$A$3:$A$5001,BD!$B$3:$B$5001,D$173,BD!$A$3:$A$5001,"&gt;="&amp;$C$7,BD!$A$3:$A$5001,"&lt;="&amp;$B197,BD!$Y$3:$Y$5001,"&lt;&gt;"))))</f>
        <v/>
      </c>
      <c r="E197" s="42" t="str">
        <f>IF(OR($B197="",$A197&gt;$B$9),"",IF(COUNTIFS(BD!$B$3:$B$5001,E$173,BD!$A$3:$A$5001,"&gt;="&amp;$C$7,BD!$A$3:$A$5001,"&lt;="&amp;$B197,BD!$Y$3:$Y$5001,"&lt;&gt;")=0,"",SUMIFS(BD!$Y$3:$Y$5001,BD!$B$3:$B$5001,E$173,BD!$A$3:$A$5001,_xlfn.MAXIFS(BD!$A$3:$A$5001,BD!$B$3:$B$5001,E$173,BD!$A$3:$A$5001,"&gt;="&amp;$C$7,BD!$A$3:$A$5001,"&lt;="&amp;$B197,BD!$Y$3:$Y$5001,"&lt;&gt;"))))</f>
        <v/>
      </c>
      <c r="F197" s="42" t="str">
        <f>IF(OR($B197="",$A197&gt;$B$9),"",IF(COUNTIFS(BD!$B$3:$B$5001,F$173,BD!$A$3:$A$5001,"&gt;="&amp;$C$7,BD!$A$3:$A$5001,"&lt;="&amp;$B197,BD!$Y$3:$Y$5001,"&lt;&gt;")=0,"",SUMIFS(BD!$Y$3:$Y$5001,BD!$B$3:$B$5001,F$173,BD!$A$3:$A$5001,_xlfn.MAXIFS(BD!$A$3:$A$5001,BD!$B$3:$B$5001,F$173,BD!$A$3:$A$5001,"&gt;="&amp;$C$7,BD!$A$3:$A$5001,"&lt;="&amp;$B197,BD!$Y$3:$Y$5001,"&lt;&gt;"))))</f>
        <v/>
      </c>
      <c r="G197" s="42" t="str">
        <f>IF(OR($B197="",$A197&gt;$B$9),"",IF(COUNTIFS(BD!$B$3:$B$5001,G$173,BD!$A$3:$A$5001,"&gt;="&amp;$C$7,BD!$A$3:$A$5001,"&lt;="&amp;$B197,BD!$Y$3:$Y$5001,"&lt;&gt;")=0,"",SUMIFS(BD!$Y$3:$Y$5001,BD!$B$3:$B$5001,G$173,BD!$A$3:$A$5001,_xlfn.MAXIFS(BD!$A$3:$A$5001,BD!$B$3:$B$5001,G$173,BD!$A$3:$A$5001,"&gt;="&amp;$C$7,BD!$A$3:$A$5001,"&lt;="&amp;$B197,BD!$Y$3:$Y$5001,"&lt;&gt;"))))</f>
        <v/>
      </c>
      <c r="H197" s="42" t="str">
        <f>IF(OR($B197="",$A197&gt;$B$9),"",IF(COUNTIFS(BD!$B$3:$B$5001,H$173,BD!$A$3:$A$5001,"&gt;="&amp;$C$7,BD!$A$3:$A$5001,"&lt;="&amp;$B197,BD!$Y$3:$Y$5001,"&lt;&gt;")=0,"",SUMIFS(BD!$Y$3:$Y$5001,BD!$B$3:$B$5001,H$173,BD!$A$3:$A$5001,_xlfn.MAXIFS(BD!$A$3:$A$5001,BD!$B$3:$B$5001,H$173,BD!$A$3:$A$5001,"&gt;="&amp;$C$7,BD!$A$3:$A$5001,"&lt;="&amp;$B197,BD!$Y$3:$Y$5001,"&lt;&gt;"))))</f>
        <v/>
      </c>
      <c r="I197" s="42" t="str">
        <f>IF(OR($B197="",$A197&gt;$B$9),"",IF(COUNTIFS(BD!$B$3:$B$5001,I$173,BD!$A$3:$A$5001,"&gt;="&amp;$C$7,BD!$A$3:$A$5001,"&lt;="&amp;$B197,BD!$Y$3:$Y$5001,"&lt;&gt;")=0,"",SUMIFS(BD!$Y$3:$Y$5001,BD!$B$3:$B$5001,I$173,BD!$A$3:$A$5001,_xlfn.MAXIFS(BD!$A$3:$A$5001,BD!$B$3:$B$5001,I$173,BD!$A$3:$A$5001,"&gt;="&amp;$C$7,BD!$A$3:$A$5001,"&lt;="&amp;$B197,BD!$Y$3:$Y$5001,"&lt;&gt;"))))</f>
        <v/>
      </c>
      <c r="J197" s="42" t="str">
        <f>IF(OR($B197="",$A197&gt;$B$9),"",IF(COUNTIFS(BD!$B$3:$B$5001,J$173,BD!$A$3:$A$5001,"&gt;="&amp;$C$7,BD!$A$3:$A$5001,"&lt;="&amp;$B197,BD!$Y$3:$Y$5001,"&lt;&gt;")=0,"",SUMIFS(BD!$Y$3:$Y$5001,BD!$B$3:$B$5001,J$173,BD!$A$3:$A$5001,_xlfn.MAXIFS(BD!$A$3:$A$5001,BD!$B$3:$B$5001,J$173,BD!$A$3:$A$5001,"&gt;="&amp;$C$7,BD!$A$3:$A$5001,"&lt;="&amp;$B197,BD!$Y$3:$Y$5001,"&lt;&gt;"))))</f>
        <v/>
      </c>
      <c r="K197" s="42" t="str">
        <f>IF(OR($B197="",$A197&gt;$B$9),"",IF(COUNTIFS(BD!$B$3:$B$5001,K$173,BD!$A$3:$A$5001,"&gt;="&amp;$C$7,BD!$A$3:$A$5001,"&lt;="&amp;$B197,BD!$Y$3:$Y$5001,"&lt;&gt;")=0,"",SUMIFS(BD!$Y$3:$Y$5001,BD!$B$3:$B$5001,K$173,BD!$A$3:$A$5001,_xlfn.MAXIFS(BD!$A$3:$A$5001,BD!$B$3:$B$5001,K$173,BD!$A$3:$A$5001,"&gt;="&amp;$C$7,BD!$A$3:$A$5001,"&lt;="&amp;$B197,BD!$Y$3:$Y$5001,"&lt;&gt;"))))</f>
        <v/>
      </c>
      <c r="L197" s="42" t="str">
        <f>IF(OR($B197="",$A197&gt;$B$9),"",IF(COUNTIFS(BD!$B$3:$B$5001,L$173,BD!$A$3:$A$5001,"&gt;="&amp;$C$7,BD!$A$3:$A$5001,"&lt;="&amp;$B197,BD!$Y$3:$Y$5001,"&lt;&gt;")=0,"",SUMIFS(BD!$Y$3:$Y$5001,BD!$B$3:$B$5001,L$173,BD!$A$3:$A$5001,_xlfn.MAXIFS(BD!$A$3:$A$5001,BD!$B$3:$B$5001,L$173,BD!$A$3:$A$5001,"&gt;="&amp;$C$7,BD!$A$3:$A$5001,"&lt;="&amp;$B197,BD!$Y$3:$Y$5001,"&lt;&gt;"))))</f>
        <v/>
      </c>
    </row>
    <row r="198">
      <c r="A198" s="40">
        <v>25</v>
      </c>
      <c r="B198" s="41">
        <f>$B$36</f>
        <v>46320</v>
      </c>
      <c r="C198" s="42" t="str">
        <f>IF(OR($B198="",$A198&gt;$B$9),"",IF(COUNTIFS(BD!$B$3:$B$5001,C$173,BD!$A$3:$A$5001,"&gt;="&amp;$C$7,BD!$A$3:$A$5001,"&lt;="&amp;$B198,BD!$Y$3:$Y$5001,"&lt;&gt;")=0,"",SUMIFS(BD!$Y$3:$Y$5001,BD!$B$3:$B$5001,C$173,BD!$A$3:$A$5001,_xlfn.MAXIFS(BD!$A$3:$A$5001,BD!$B$3:$B$5001,C$173,BD!$A$3:$A$5001,"&gt;="&amp;$C$7,BD!$A$3:$A$5001,"&lt;="&amp;$B198,BD!$Y$3:$Y$5001,"&lt;&gt;"))))</f>
        <v/>
      </c>
      <c r="D198" s="42" t="str">
        <f>IF(OR($B198="",$A198&gt;$B$9),"",IF(COUNTIFS(BD!$B$3:$B$5001,D$173,BD!$A$3:$A$5001,"&gt;="&amp;$C$7,BD!$A$3:$A$5001,"&lt;="&amp;$B198,BD!$Y$3:$Y$5001,"&lt;&gt;")=0,"",SUMIFS(BD!$Y$3:$Y$5001,BD!$B$3:$B$5001,D$173,BD!$A$3:$A$5001,_xlfn.MAXIFS(BD!$A$3:$A$5001,BD!$B$3:$B$5001,D$173,BD!$A$3:$A$5001,"&gt;="&amp;$C$7,BD!$A$3:$A$5001,"&lt;="&amp;$B198,BD!$Y$3:$Y$5001,"&lt;&gt;"))))</f>
        <v/>
      </c>
      <c r="E198" s="42" t="str">
        <f>IF(OR($B198="",$A198&gt;$B$9),"",IF(COUNTIFS(BD!$B$3:$B$5001,E$173,BD!$A$3:$A$5001,"&gt;="&amp;$C$7,BD!$A$3:$A$5001,"&lt;="&amp;$B198,BD!$Y$3:$Y$5001,"&lt;&gt;")=0,"",SUMIFS(BD!$Y$3:$Y$5001,BD!$B$3:$B$5001,E$173,BD!$A$3:$A$5001,_xlfn.MAXIFS(BD!$A$3:$A$5001,BD!$B$3:$B$5001,E$173,BD!$A$3:$A$5001,"&gt;="&amp;$C$7,BD!$A$3:$A$5001,"&lt;="&amp;$B198,BD!$Y$3:$Y$5001,"&lt;&gt;"))))</f>
        <v/>
      </c>
      <c r="F198" s="42" t="str">
        <f>IF(OR($B198="",$A198&gt;$B$9),"",IF(COUNTIFS(BD!$B$3:$B$5001,F$173,BD!$A$3:$A$5001,"&gt;="&amp;$C$7,BD!$A$3:$A$5001,"&lt;="&amp;$B198,BD!$Y$3:$Y$5001,"&lt;&gt;")=0,"",SUMIFS(BD!$Y$3:$Y$5001,BD!$B$3:$B$5001,F$173,BD!$A$3:$A$5001,_xlfn.MAXIFS(BD!$A$3:$A$5001,BD!$B$3:$B$5001,F$173,BD!$A$3:$A$5001,"&gt;="&amp;$C$7,BD!$A$3:$A$5001,"&lt;="&amp;$B198,BD!$Y$3:$Y$5001,"&lt;&gt;"))))</f>
        <v/>
      </c>
      <c r="G198" s="42" t="str">
        <f>IF(OR($B198="",$A198&gt;$B$9),"",IF(COUNTIFS(BD!$B$3:$B$5001,G$173,BD!$A$3:$A$5001,"&gt;="&amp;$C$7,BD!$A$3:$A$5001,"&lt;="&amp;$B198,BD!$Y$3:$Y$5001,"&lt;&gt;")=0,"",SUMIFS(BD!$Y$3:$Y$5001,BD!$B$3:$B$5001,G$173,BD!$A$3:$A$5001,_xlfn.MAXIFS(BD!$A$3:$A$5001,BD!$B$3:$B$5001,G$173,BD!$A$3:$A$5001,"&gt;="&amp;$C$7,BD!$A$3:$A$5001,"&lt;="&amp;$B198,BD!$Y$3:$Y$5001,"&lt;&gt;"))))</f>
        <v/>
      </c>
      <c r="H198" s="42" t="str">
        <f>IF(OR($B198="",$A198&gt;$B$9),"",IF(COUNTIFS(BD!$B$3:$B$5001,H$173,BD!$A$3:$A$5001,"&gt;="&amp;$C$7,BD!$A$3:$A$5001,"&lt;="&amp;$B198,BD!$Y$3:$Y$5001,"&lt;&gt;")=0,"",SUMIFS(BD!$Y$3:$Y$5001,BD!$B$3:$B$5001,H$173,BD!$A$3:$A$5001,_xlfn.MAXIFS(BD!$A$3:$A$5001,BD!$B$3:$B$5001,H$173,BD!$A$3:$A$5001,"&gt;="&amp;$C$7,BD!$A$3:$A$5001,"&lt;="&amp;$B198,BD!$Y$3:$Y$5001,"&lt;&gt;"))))</f>
        <v/>
      </c>
      <c r="I198" s="42" t="str">
        <f>IF(OR($B198="",$A198&gt;$B$9),"",IF(COUNTIFS(BD!$B$3:$B$5001,I$173,BD!$A$3:$A$5001,"&gt;="&amp;$C$7,BD!$A$3:$A$5001,"&lt;="&amp;$B198,BD!$Y$3:$Y$5001,"&lt;&gt;")=0,"",SUMIFS(BD!$Y$3:$Y$5001,BD!$B$3:$B$5001,I$173,BD!$A$3:$A$5001,_xlfn.MAXIFS(BD!$A$3:$A$5001,BD!$B$3:$B$5001,I$173,BD!$A$3:$A$5001,"&gt;="&amp;$C$7,BD!$A$3:$A$5001,"&lt;="&amp;$B198,BD!$Y$3:$Y$5001,"&lt;&gt;"))))</f>
        <v/>
      </c>
      <c r="J198" s="42" t="str">
        <f>IF(OR($B198="",$A198&gt;$B$9),"",IF(COUNTIFS(BD!$B$3:$B$5001,J$173,BD!$A$3:$A$5001,"&gt;="&amp;$C$7,BD!$A$3:$A$5001,"&lt;="&amp;$B198,BD!$Y$3:$Y$5001,"&lt;&gt;")=0,"",SUMIFS(BD!$Y$3:$Y$5001,BD!$B$3:$B$5001,J$173,BD!$A$3:$A$5001,_xlfn.MAXIFS(BD!$A$3:$A$5001,BD!$B$3:$B$5001,J$173,BD!$A$3:$A$5001,"&gt;="&amp;$C$7,BD!$A$3:$A$5001,"&lt;="&amp;$B198,BD!$Y$3:$Y$5001,"&lt;&gt;"))))</f>
        <v/>
      </c>
      <c r="K198" s="42" t="str">
        <f>IF(OR($B198="",$A198&gt;$B$9),"",IF(COUNTIFS(BD!$B$3:$B$5001,K$173,BD!$A$3:$A$5001,"&gt;="&amp;$C$7,BD!$A$3:$A$5001,"&lt;="&amp;$B198,BD!$Y$3:$Y$5001,"&lt;&gt;")=0,"",SUMIFS(BD!$Y$3:$Y$5001,BD!$B$3:$B$5001,K$173,BD!$A$3:$A$5001,_xlfn.MAXIFS(BD!$A$3:$A$5001,BD!$B$3:$B$5001,K$173,BD!$A$3:$A$5001,"&gt;="&amp;$C$7,BD!$A$3:$A$5001,"&lt;="&amp;$B198,BD!$Y$3:$Y$5001,"&lt;&gt;"))))</f>
        <v/>
      </c>
      <c r="L198" s="42" t="str">
        <f>IF(OR($B198="",$A198&gt;$B$9),"",IF(COUNTIFS(BD!$B$3:$B$5001,L$173,BD!$A$3:$A$5001,"&gt;="&amp;$C$7,BD!$A$3:$A$5001,"&lt;="&amp;$B198,BD!$Y$3:$Y$5001,"&lt;&gt;")=0,"",SUMIFS(BD!$Y$3:$Y$5001,BD!$B$3:$B$5001,L$173,BD!$A$3:$A$5001,_xlfn.MAXIFS(BD!$A$3:$A$5001,BD!$B$3:$B$5001,L$173,BD!$A$3:$A$5001,"&gt;="&amp;$C$7,BD!$A$3:$A$5001,"&lt;="&amp;$B198,BD!$Y$3:$Y$5001,"&lt;&gt;"))))</f>
        <v/>
      </c>
    </row>
    <row r="199">
      <c r="A199" s="40">
        <v>26</v>
      </c>
      <c r="B199" s="41">
        <f>$B$37</f>
        <v>46321</v>
      </c>
      <c r="C199" s="42" t="str">
        <f>IF(OR($B199="",$A199&gt;$B$9),"",IF(COUNTIFS(BD!$B$3:$B$5001,C$173,BD!$A$3:$A$5001,"&gt;="&amp;$C$7,BD!$A$3:$A$5001,"&lt;="&amp;$B199,BD!$Y$3:$Y$5001,"&lt;&gt;")=0,"",SUMIFS(BD!$Y$3:$Y$5001,BD!$B$3:$B$5001,C$173,BD!$A$3:$A$5001,_xlfn.MAXIFS(BD!$A$3:$A$5001,BD!$B$3:$B$5001,C$173,BD!$A$3:$A$5001,"&gt;="&amp;$C$7,BD!$A$3:$A$5001,"&lt;="&amp;$B199,BD!$Y$3:$Y$5001,"&lt;&gt;"))))</f>
        <v/>
      </c>
      <c r="D199" s="42" t="str">
        <f>IF(OR($B199="",$A199&gt;$B$9),"",IF(COUNTIFS(BD!$B$3:$B$5001,D$173,BD!$A$3:$A$5001,"&gt;="&amp;$C$7,BD!$A$3:$A$5001,"&lt;="&amp;$B199,BD!$Y$3:$Y$5001,"&lt;&gt;")=0,"",SUMIFS(BD!$Y$3:$Y$5001,BD!$B$3:$B$5001,D$173,BD!$A$3:$A$5001,_xlfn.MAXIFS(BD!$A$3:$A$5001,BD!$B$3:$B$5001,D$173,BD!$A$3:$A$5001,"&gt;="&amp;$C$7,BD!$A$3:$A$5001,"&lt;="&amp;$B199,BD!$Y$3:$Y$5001,"&lt;&gt;"))))</f>
        <v/>
      </c>
      <c r="E199" s="42" t="str">
        <f>IF(OR($B199="",$A199&gt;$B$9),"",IF(COUNTIFS(BD!$B$3:$B$5001,E$173,BD!$A$3:$A$5001,"&gt;="&amp;$C$7,BD!$A$3:$A$5001,"&lt;="&amp;$B199,BD!$Y$3:$Y$5001,"&lt;&gt;")=0,"",SUMIFS(BD!$Y$3:$Y$5001,BD!$B$3:$B$5001,E$173,BD!$A$3:$A$5001,_xlfn.MAXIFS(BD!$A$3:$A$5001,BD!$B$3:$B$5001,E$173,BD!$A$3:$A$5001,"&gt;="&amp;$C$7,BD!$A$3:$A$5001,"&lt;="&amp;$B199,BD!$Y$3:$Y$5001,"&lt;&gt;"))))</f>
        <v/>
      </c>
      <c r="F199" s="42" t="str">
        <f>IF(OR($B199="",$A199&gt;$B$9),"",IF(COUNTIFS(BD!$B$3:$B$5001,F$173,BD!$A$3:$A$5001,"&gt;="&amp;$C$7,BD!$A$3:$A$5001,"&lt;="&amp;$B199,BD!$Y$3:$Y$5001,"&lt;&gt;")=0,"",SUMIFS(BD!$Y$3:$Y$5001,BD!$B$3:$B$5001,F$173,BD!$A$3:$A$5001,_xlfn.MAXIFS(BD!$A$3:$A$5001,BD!$B$3:$B$5001,F$173,BD!$A$3:$A$5001,"&gt;="&amp;$C$7,BD!$A$3:$A$5001,"&lt;="&amp;$B199,BD!$Y$3:$Y$5001,"&lt;&gt;"))))</f>
        <v/>
      </c>
      <c r="G199" s="42" t="str">
        <f>IF(OR($B199="",$A199&gt;$B$9),"",IF(COUNTIFS(BD!$B$3:$B$5001,G$173,BD!$A$3:$A$5001,"&gt;="&amp;$C$7,BD!$A$3:$A$5001,"&lt;="&amp;$B199,BD!$Y$3:$Y$5001,"&lt;&gt;")=0,"",SUMIFS(BD!$Y$3:$Y$5001,BD!$B$3:$B$5001,G$173,BD!$A$3:$A$5001,_xlfn.MAXIFS(BD!$A$3:$A$5001,BD!$B$3:$B$5001,G$173,BD!$A$3:$A$5001,"&gt;="&amp;$C$7,BD!$A$3:$A$5001,"&lt;="&amp;$B199,BD!$Y$3:$Y$5001,"&lt;&gt;"))))</f>
        <v/>
      </c>
      <c r="H199" s="42" t="str">
        <f>IF(OR($B199="",$A199&gt;$B$9),"",IF(COUNTIFS(BD!$B$3:$B$5001,H$173,BD!$A$3:$A$5001,"&gt;="&amp;$C$7,BD!$A$3:$A$5001,"&lt;="&amp;$B199,BD!$Y$3:$Y$5001,"&lt;&gt;")=0,"",SUMIFS(BD!$Y$3:$Y$5001,BD!$B$3:$B$5001,H$173,BD!$A$3:$A$5001,_xlfn.MAXIFS(BD!$A$3:$A$5001,BD!$B$3:$B$5001,H$173,BD!$A$3:$A$5001,"&gt;="&amp;$C$7,BD!$A$3:$A$5001,"&lt;="&amp;$B199,BD!$Y$3:$Y$5001,"&lt;&gt;"))))</f>
        <v/>
      </c>
      <c r="I199" s="42" t="str">
        <f>IF(OR($B199="",$A199&gt;$B$9),"",IF(COUNTIFS(BD!$B$3:$B$5001,I$173,BD!$A$3:$A$5001,"&gt;="&amp;$C$7,BD!$A$3:$A$5001,"&lt;="&amp;$B199,BD!$Y$3:$Y$5001,"&lt;&gt;")=0,"",SUMIFS(BD!$Y$3:$Y$5001,BD!$B$3:$B$5001,I$173,BD!$A$3:$A$5001,_xlfn.MAXIFS(BD!$A$3:$A$5001,BD!$B$3:$B$5001,I$173,BD!$A$3:$A$5001,"&gt;="&amp;$C$7,BD!$A$3:$A$5001,"&lt;="&amp;$B199,BD!$Y$3:$Y$5001,"&lt;&gt;"))))</f>
        <v/>
      </c>
      <c r="J199" s="42" t="str">
        <f>IF(OR($B199="",$A199&gt;$B$9),"",IF(COUNTIFS(BD!$B$3:$B$5001,J$173,BD!$A$3:$A$5001,"&gt;="&amp;$C$7,BD!$A$3:$A$5001,"&lt;="&amp;$B199,BD!$Y$3:$Y$5001,"&lt;&gt;")=0,"",SUMIFS(BD!$Y$3:$Y$5001,BD!$B$3:$B$5001,J$173,BD!$A$3:$A$5001,_xlfn.MAXIFS(BD!$A$3:$A$5001,BD!$B$3:$B$5001,J$173,BD!$A$3:$A$5001,"&gt;="&amp;$C$7,BD!$A$3:$A$5001,"&lt;="&amp;$B199,BD!$Y$3:$Y$5001,"&lt;&gt;"))))</f>
        <v/>
      </c>
      <c r="K199" s="42" t="str">
        <f>IF(OR($B199="",$A199&gt;$B$9),"",IF(COUNTIFS(BD!$B$3:$B$5001,K$173,BD!$A$3:$A$5001,"&gt;="&amp;$C$7,BD!$A$3:$A$5001,"&lt;="&amp;$B199,BD!$Y$3:$Y$5001,"&lt;&gt;")=0,"",SUMIFS(BD!$Y$3:$Y$5001,BD!$B$3:$B$5001,K$173,BD!$A$3:$A$5001,_xlfn.MAXIFS(BD!$A$3:$A$5001,BD!$B$3:$B$5001,K$173,BD!$A$3:$A$5001,"&gt;="&amp;$C$7,BD!$A$3:$A$5001,"&lt;="&amp;$B199,BD!$Y$3:$Y$5001,"&lt;&gt;"))))</f>
        <v/>
      </c>
      <c r="L199" s="42" t="str">
        <f>IF(OR($B199="",$A199&gt;$B$9),"",IF(COUNTIFS(BD!$B$3:$B$5001,L$173,BD!$A$3:$A$5001,"&gt;="&amp;$C$7,BD!$A$3:$A$5001,"&lt;="&amp;$B199,BD!$Y$3:$Y$5001,"&lt;&gt;")=0,"",SUMIFS(BD!$Y$3:$Y$5001,BD!$B$3:$B$5001,L$173,BD!$A$3:$A$5001,_xlfn.MAXIFS(BD!$A$3:$A$5001,BD!$B$3:$B$5001,L$173,BD!$A$3:$A$5001,"&gt;="&amp;$C$7,BD!$A$3:$A$5001,"&lt;="&amp;$B199,BD!$Y$3:$Y$5001,"&lt;&gt;"))))</f>
        <v/>
      </c>
    </row>
    <row r="200">
      <c r="A200" s="40">
        <v>27</v>
      </c>
      <c r="B200" s="41">
        <f>$B$38</f>
        <v>46322</v>
      </c>
      <c r="C200" s="42" t="str">
        <f>IF(OR($B200="",$A200&gt;$B$9),"",IF(COUNTIFS(BD!$B$3:$B$5001,C$173,BD!$A$3:$A$5001,"&gt;="&amp;$C$7,BD!$A$3:$A$5001,"&lt;="&amp;$B200,BD!$Y$3:$Y$5001,"&lt;&gt;")=0,"",SUMIFS(BD!$Y$3:$Y$5001,BD!$B$3:$B$5001,C$173,BD!$A$3:$A$5001,_xlfn.MAXIFS(BD!$A$3:$A$5001,BD!$B$3:$B$5001,C$173,BD!$A$3:$A$5001,"&gt;="&amp;$C$7,BD!$A$3:$A$5001,"&lt;="&amp;$B200,BD!$Y$3:$Y$5001,"&lt;&gt;"))))</f>
        <v/>
      </c>
      <c r="D200" s="42" t="str">
        <f>IF(OR($B200="",$A200&gt;$B$9),"",IF(COUNTIFS(BD!$B$3:$B$5001,D$173,BD!$A$3:$A$5001,"&gt;="&amp;$C$7,BD!$A$3:$A$5001,"&lt;="&amp;$B200,BD!$Y$3:$Y$5001,"&lt;&gt;")=0,"",SUMIFS(BD!$Y$3:$Y$5001,BD!$B$3:$B$5001,D$173,BD!$A$3:$A$5001,_xlfn.MAXIFS(BD!$A$3:$A$5001,BD!$B$3:$B$5001,D$173,BD!$A$3:$A$5001,"&gt;="&amp;$C$7,BD!$A$3:$A$5001,"&lt;="&amp;$B200,BD!$Y$3:$Y$5001,"&lt;&gt;"))))</f>
        <v/>
      </c>
      <c r="E200" s="42" t="str">
        <f>IF(OR($B200="",$A200&gt;$B$9),"",IF(COUNTIFS(BD!$B$3:$B$5001,E$173,BD!$A$3:$A$5001,"&gt;="&amp;$C$7,BD!$A$3:$A$5001,"&lt;="&amp;$B200,BD!$Y$3:$Y$5001,"&lt;&gt;")=0,"",SUMIFS(BD!$Y$3:$Y$5001,BD!$B$3:$B$5001,E$173,BD!$A$3:$A$5001,_xlfn.MAXIFS(BD!$A$3:$A$5001,BD!$B$3:$B$5001,E$173,BD!$A$3:$A$5001,"&gt;="&amp;$C$7,BD!$A$3:$A$5001,"&lt;="&amp;$B200,BD!$Y$3:$Y$5001,"&lt;&gt;"))))</f>
        <v/>
      </c>
      <c r="F200" s="42" t="str">
        <f>IF(OR($B200="",$A200&gt;$B$9),"",IF(COUNTIFS(BD!$B$3:$B$5001,F$173,BD!$A$3:$A$5001,"&gt;="&amp;$C$7,BD!$A$3:$A$5001,"&lt;="&amp;$B200,BD!$Y$3:$Y$5001,"&lt;&gt;")=0,"",SUMIFS(BD!$Y$3:$Y$5001,BD!$B$3:$B$5001,F$173,BD!$A$3:$A$5001,_xlfn.MAXIFS(BD!$A$3:$A$5001,BD!$B$3:$B$5001,F$173,BD!$A$3:$A$5001,"&gt;="&amp;$C$7,BD!$A$3:$A$5001,"&lt;="&amp;$B200,BD!$Y$3:$Y$5001,"&lt;&gt;"))))</f>
        <v/>
      </c>
      <c r="G200" s="42" t="str">
        <f>IF(OR($B200="",$A200&gt;$B$9),"",IF(COUNTIFS(BD!$B$3:$B$5001,G$173,BD!$A$3:$A$5001,"&gt;="&amp;$C$7,BD!$A$3:$A$5001,"&lt;="&amp;$B200,BD!$Y$3:$Y$5001,"&lt;&gt;")=0,"",SUMIFS(BD!$Y$3:$Y$5001,BD!$B$3:$B$5001,G$173,BD!$A$3:$A$5001,_xlfn.MAXIFS(BD!$A$3:$A$5001,BD!$B$3:$B$5001,G$173,BD!$A$3:$A$5001,"&gt;="&amp;$C$7,BD!$A$3:$A$5001,"&lt;="&amp;$B200,BD!$Y$3:$Y$5001,"&lt;&gt;"))))</f>
        <v/>
      </c>
      <c r="H200" s="42" t="str">
        <f>IF(OR($B200="",$A200&gt;$B$9),"",IF(COUNTIFS(BD!$B$3:$B$5001,H$173,BD!$A$3:$A$5001,"&gt;="&amp;$C$7,BD!$A$3:$A$5001,"&lt;="&amp;$B200,BD!$Y$3:$Y$5001,"&lt;&gt;")=0,"",SUMIFS(BD!$Y$3:$Y$5001,BD!$B$3:$B$5001,H$173,BD!$A$3:$A$5001,_xlfn.MAXIFS(BD!$A$3:$A$5001,BD!$B$3:$B$5001,H$173,BD!$A$3:$A$5001,"&gt;="&amp;$C$7,BD!$A$3:$A$5001,"&lt;="&amp;$B200,BD!$Y$3:$Y$5001,"&lt;&gt;"))))</f>
        <v/>
      </c>
      <c r="I200" s="42" t="str">
        <f>IF(OR($B200="",$A200&gt;$B$9),"",IF(COUNTIFS(BD!$B$3:$B$5001,I$173,BD!$A$3:$A$5001,"&gt;="&amp;$C$7,BD!$A$3:$A$5001,"&lt;="&amp;$B200,BD!$Y$3:$Y$5001,"&lt;&gt;")=0,"",SUMIFS(BD!$Y$3:$Y$5001,BD!$B$3:$B$5001,I$173,BD!$A$3:$A$5001,_xlfn.MAXIFS(BD!$A$3:$A$5001,BD!$B$3:$B$5001,I$173,BD!$A$3:$A$5001,"&gt;="&amp;$C$7,BD!$A$3:$A$5001,"&lt;="&amp;$B200,BD!$Y$3:$Y$5001,"&lt;&gt;"))))</f>
        <v/>
      </c>
      <c r="J200" s="42" t="str">
        <f>IF(OR($B200="",$A200&gt;$B$9),"",IF(COUNTIFS(BD!$B$3:$B$5001,J$173,BD!$A$3:$A$5001,"&gt;="&amp;$C$7,BD!$A$3:$A$5001,"&lt;="&amp;$B200,BD!$Y$3:$Y$5001,"&lt;&gt;")=0,"",SUMIFS(BD!$Y$3:$Y$5001,BD!$B$3:$B$5001,J$173,BD!$A$3:$A$5001,_xlfn.MAXIFS(BD!$A$3:$A$5001,BD!$B$3:$B$5001,J$173,BD!$A$3:$A$5001,"&gt;="&amp;$C$7,BD!$A$3:$A$5001,"&lt;="&amp;$B200,BD!$Y$3:$Y$5001,"&lt;&gt;"))))</f>
        <v/>
      </c>
      <c r="K200" s="42" t="str">
        <f>IF(OR($B200="",$A200&gt;$B$9),"",IF(COUNTIFS(BD!$B$3:$B$5001,K$173,BD!$A$3:$A$5001,"&gt;="&amp;$C$7,BD!$A$3:$A$5001,"&lt;="&amp;$B200,BD!$Y$3:$Y$5001,"&lt;&gt;")=0,"",SUMIFS(BD!$Y$3:$Y$5001,BD!$B$3:$B$5001,K$173,BD!$A$3:$A$5001,_xlfn.MAXIFS(BD!$A$3:$A$5001,BD!$B$3:$B$5001,K$173,BD!$A$3:$A$5001,"&gt;="&amp;$C$7,BD!$A$3:$A$5001,"&lt;="&amp;$B200,BD!$Y$3:$Y$5001,"&lt;&gt;"))))</f>
        <v/>
      </c>
      <c r="L200" s="42" t="str">
        <f>IF(OR($B200="",$A200&gt;$B$9),"",IF(COUNTIFS(BD!$B$3:$B$5001,L$173,BD!$A$3:$A$5001,"&gt;="&amp;$C$7,BD!$A$3:$A$5001,"&lt;="&amp;$B200,BD!$Y$3:$Y$5001,"&lt;&gt;")=0,"",SUMIFS(BD!$Y$3:$Y$5001,BD!$B$3:$B$5001,L$173,BD!$A$3:$A$5001,_xlfn.MAXIFS(BD!$A$3:$A$5001,BD!$B$3:$B$5001,L$173,BD!$A$3:$A$5001,"&gt;="&amp;$C$7,BD!$A$3:$A$5001,"&lt;="&amp;$B200,BD!$Y$3:$Y$5001,"&lt;&gt;"))))</f>
        <v/>
      </c>
    </row>
    <row r="201">
      <c r="A201" s="40">
        <v>28</v>
      </c>
      <c r="B201" s="41">
        <f>$B$39</f>
        <v>46323</v>
      </c>
      <c r="C201" s="42" t="str">
        <f>IF(OR($B201="",$A201&gt;$B$9),"",IF(COUNTIFS(BD!$B$3:$B$5001,C$173,BD!$A$3:$A$5001,"&gt;="&amp;$C$7,BD!$A$3:$A$5001,"&lt;="&amp;$B201,BD!$Y$3:$Y$5001,"&lt;&gt;")=0,"",SUMIFS(BD!$Y$3:$Y$5001,BD!$B$3:$B$5001,C$173,BD!$A$3:$A$5001,_xlfn.MAXIFS(BD!$A$3:$A$5001,BD!$B$3:$B$5001,C$173,BD!$A$3:$A$5001,"&gt;="&amp;$C$7,BD!$A$3:$A$5001,"&lt;="&amp;$B201,BD!$Y$3:$Y$5001,"&lt;&gt;"))))</f>
        <v/>
      </c>
      <c r="D201" s="42" t="str">
        <f>IF(OR($B201="",$A201&gt;$B$9),"",IF(COUNTIFS(BD!$B$3:$B$5001,D$173,BD!$A$3:$A$5001,"&gt;="&amp;$C$7,BD!$A$3:$A$5001,"&lt;="&amp;$B201,BD!$Y$3:$Y$5001,"&lt;&gt;")=0,"",SUMIFS(BD!$Y$3:$Y$5001,BD!$B$3:$B$5001,D$173,BD!$A$3:$A$5001,_xlfn.MAXIFS(BD!$A$3:$A$5001,BD!$B$3:$B$5001,D$173,BD!$A$3:$A$5001,"&gt;="&amp;$C$7,BD!$A$3:$A$5001,"&lt;="&amp;$B201,BD!$Y$3:$Y$5001,"&lt;&gt;"))))</f>
        <v/>
      </c>
      <c r="E201" s="42" t="str">
        <f>IF(OR($B201="",$A201&gt;$B$9),"",IF(COUNTIFS(BD!$B$3:$B$5001,E$173,BD!$A$3:$A$5001,"&gt;="&amp;$C$7,BD!$A$3:$A$5001,"&lt;="&amp;$B201,BD!$Y$3:$Y$5001,"&lt;&gt;")=0,"",SUMIFS(BD!$Y$3:$Y$5001,BD!$B$3:$B$5001,E$173,BD!$A$3:$A$5001,_xlfn.MAXIFS(BD!$A$3:$A$5001,BD!$B$3:$B$5001,E$173,BD!$A$3:$A$5001,"&gt;="&amp;$C$7,BD!$A$3:$A$5001,"&lt;="&amp;$B201,BD!$Y$3:$Y$5001,"&lt;&gt;"))))</f>
        <v/>
      </c>
      <c r="F201" s="42" t="str">
        <f>IF(OR($B201="",$A201&gt;$B$9),"",IF(COUNTIFS(BD!$B$3:$B$5001,F$173,BD!$A$3:$A$5001,"&gt;="&amp;$C$7,BD!$A$3:$A$5001,"&lt;="&amp;$B201,BD!$Y$3:$Y$5001,"&lt;&gt;")=0,"",SUMIFS(BD!$Y$3:$Y$5001,BD!$B$3:$B$5001,F$173,BD!$A$3:$A$5001,_xlfn.MAXIFS(BD!$A$3:$A$5001,BD!$B$3:$B$5001,F$173,BD!$A$3:$A$5001,"&gt;="&amp;$C$7,BD!$A$3:$A$5001,"&lt;="&amp;$B201,BD!$Y$3:$Y$5001,"&lt;&gt;"))))</f>
        <v/>
      </c>
      <c r="G201" s="42" t="str">
        <f>IF(OR($B201="",$A201&gt;$B$9),"",IF(COUNTIFS(BD!$B$3:$B$5001,G$173,BD!$A$3:$A$5001,"&gt;="&amp;$C$7,BD!$A$3:$A$5001,"&lt;="&amp;$B201,BD!$Y$3:$Y$5001,"&lt;&gt;")=0,"",SUMIFS(BD!$Y$3:$Y$5001,BD!$B$3:$B$5001,G$173,BD!$A$3:$A$5001,_xlfn.MAXIFS(BD!$A$3:$A$5001,BD!$B$3:$B$5001,G$173,BD!$A$3:$A$5001,"&gt;="&amp;$C$7,BD!$A$3:$A$5001,"&lt;="&amp;$B201,BD!$Y$3:$Y$5001,"&lt;&gt;"))))</f>
        <v/>
      </c>
      <c r="H201" s="42" t="str">
        <f>IF(OR($B201="",$A201&gt;$B$9),"",IF(COUNTIFS(BD!$B$3:$B$5001,H$173,BD!$A$3:$A$5001,"&gt;="&amp;$C$7,BD!$A$3:$A$5001,"&lt;="&amp;$B201,BD!$Y$3:$Y$5001,"&lt;&gt;")=0,"",SUMIFS(BD!$Y$3:$Y$5001,BD!$B$3:$B$5001,H$173,BD!$A$3:$A$5001,_xlfn.MAXIFS(BD!$A$3:$A$5001,BD!$B$3:$B$5001,H$173,BD!$A$3:$A$5001,"&gt;="&amp;$C$7,BD!$A$3:$A$5001,"&lt;="&amp;$B201,BD!$Y$3:$Y$5001,"&lt;&gt;"))))</f>
        <v/>
      </c>
      <c r="I201" s="42" t="str">
        <f>IF(OR($B201="",$A201&gt;$B$9),"",IF(COUNTIFS(BD!$B$3:$B$5001,I$173,BD!$A$3:$A$5001,"&gt;="&amp;$C$7,BD!$A$3:$A$5001,"&lt;="&amp;$B201,BD!$Y$3:$Y$5001,"&lt;&gt;")=0,"",SUMIFS(BD!$Y$3:$Y$5001,BD!$B$3:$B$5001,I$173,BD!$A$3:$A$5001,_xlfn.MAXIFS(BD!$A$3:$A$5001,BD!$B$3:$B$5001,I$173,BD!$A$3:$A$5001,"&gt;="&amp;$C$7,BD!$A$3:$A$5001,"&lt;="&amp;$B201,BD!$Y$3:$Y$5001,"&lt;&gt;"))))</f>
        <v/>
      </c>
      <c r="J201" s="42" t="str">
        <f>IF(OR($B201="",$A201&gt;$B$9),"",IF(COUNTIFS(BD!$B$3:$B$5001,J$173,BD!$A$3:$A$5001,"&gt;="&amp;$C$7,BD!$A$3:$A$5001,"&lt;="&amp;$B201,BD!$Y$3:$Y$5001,"&lt;&gt;")=0,"",SUMIFS(BD!$Y$3:$Y$5001,BD!$B$3:$B$5001,J$173,BD!$A$3:$A$5001,_xlfn.MAXIFS(BD!$A$3:$A$5001,BD!$B$3:$B$5001,J$173,BD!$A$3:$A$5001,"&gt;="&amp;$C$7,BD!$A$3:$A$5001,"&lt;="&amp;$B201,BD!$Y$3:$Y$5001,"&lt;&gt;"))))</f>
        <v/>
      </c>
      <c r="K201" s="42" t="str">
        <f>IF(OR($B201="",$A201&gt;$B$9),"",IF(COUNTIFS(BD!$B$3:$B$5001,K$173,BD!$A$3:$A$5001,"&gt;="&amp;$C$7,BD!$A$3:$A$5001,"&lt;="&amp;$B201,BD!$Y$3:$Y$5001,"&lt;&gt;")=0,"",SUMIFS(BD!$Y$3:$Y$5001,BD!$B$3:$B$5001,K$173,BD!$A$3:$A$5001,_xlfn.MAXIFS(BD!$A$3:$A$5001,BD!$B$3:$B$5001,K$173,BD!$A$3:$A$5001,"&gt;="&amp;$C$7,BD!$A$3:$A$5001,"&lt;="&amp;$B201,BD!$Y$3:$Y$5001,"&lt;&gt;"))))</f>
        <v/>
      </c>
      <c r="L201" s="42" t="str">
        <f>IF(OR($B201="",$A201&gt;$B$9),"",IF(COUNTIFS(BD!$B$3:$B$5001,L$173,BD!$A$3:$A$5001,"&gt;="&amp;$C$7,BD!$A$3:$A$5001,"&lt;="&amp;$B201,BD!$Y$3:$Y$5001,"&lt;&gt;")=0,"",SUMIFS(BD!$Y$3:$Y$5001,BD!$B$3:$B$5001,L$173,BD!$A$3:$A$5001,_xlfn.MAXIFS(BD!$A$3:$A$5001,BD!$B$3:$B$5001,L$173,BD!$A$3:$A$5001,"&gt;="&amp;$C$7,BD!$A$3:$A$5001,"&lt;="&amp;$B201,BD!$Y$3:$Y$5001,"&lt;&gt;"))))</f>
        <v/>
      </c>
    </row>
    <row r="202">
      <c r="A202" s="40">
        <v>29</v>
      </c>
      <c r="B202" s="41">
        <f>$B$40</f>
        <v>46324</v>
      </c>
      <c r="C202" s="42" t="str">
        <f>IF(OR($B202="",$A202&gt;$B$9),"",IF(COUNTIFS(BD!$B$3:$B$5001,C$173,BD!$A$3:$A$5001,"&gt;="&amp;$C$7,BD!$A$3:$A$5001,"&lt;="&amp;$B202,BD!$Y$3:$Y$5001,"&lt;&gt;")=0,"",SUMIFS(BD!$Y$3:$Y$5001,BD!$B$3:$B$5001,C$173,BD!$A$3:$A$5001,_xlfn.MAXIFS(BD!$A$3:$A$5001,BD!$B$3:$B$5001,C$173,BD!$A$3:$A$5001,"&gt;="&amp;$C$7,BD!$A$3:$A$5001,"&lt;="&amp;$B202,BD!$Y$3:$Y$5001,"&lt;&gt;"))))</f>
        <v/>
      </c>
      <c r="D202" s="42" t="str">
        <f>IF(OR($B202="",$A202&gt;$B$9),"",IF(COUNTIFS(BD!$B$3:$B$5001,D$173,BD!$A$3:$A$5001,"&gt;="&amp;$C$7,BD!$A$3:$A$5001,"&lt;="&amp;$B202,BD!$Y$3:$Y$5001,"&lt;&gt;")=0,"",SUMIFS(BD!$Y$3:$Y$5001,BD!$B$3:$B$5001,D$173,BD!$A$3:$A$5001,_xlfn.MAXIFS(BD!$A$3:$A$5001,BD!$B$3:$B$5001,D$173,BD!$A$3:$A$5001,"&gt;="&amp;$C$7,BD!$A$3:$A$5001,"&lt;="&amp;$B202,BD!$Y$3:$Y$5001,"&lt;&gt;"))))</f>
        <v/>
      </c>
      <c r="E202" s="42" t="str">
        <f>IF(OR($B202="",$A202&gt;$B$9),"",IF(COUNTIFS(BD!$B$3:$B$5001,E$173,BD!$A$3:$A$5001,"&gt;="&amp;$C$7,BD!$A$3:$A$5001,"&lt;="&amp;$B202,BD!$Y$3:$Y$5001,"&lt;&gt;")=0,"",SUMIFS(BD!$Y$3:$Y$5001,BD!$B$3:$B$5001,E$173,BD!$A$3:$A$5001,_xlfn.MAXIFS(BD!$A$3:$A$5001,BD!$B$3:$B$5001,E$173,BD!$A$3:$A$5001,"&gt;="&amp;$C$7,BD!$A$3:$A$5001,"&lt;="&amp;$B202,BD!$Y$3:$Y$5001,"&lt;&gt;"))))</f>
        <v/>
      </c>
      <c r="F202" s="42" t="str">
        <f>IF(OR($B202="",$A202&gt;$B$9),"",IF(COUNTIFS(BD!$B$3:$B$5001,F$173,BD!$A$3:$A$5001,"&gt;="&amp;$C$7,BD!$A$3:$A$5001,"&lt;="&amp;$B202,BD!$Y$3:$Y$5001,"&lt;&gt;")=0,"",SUMIFS(BD!$Y$3:$Y$5001,BD!$B$3:$B$5001,F$173,BD!$A$3:$A$5001,_xlfn.MAXIFS(BD!$A$3:$A$5001,BD!$B$3:$B$5001,F$173,BD!$A$3:$A$5001,"&gt;="&amp;$C$7,BD!$A$3:$A$5001,"&lt;="&amp;$B202,BD!$Y$3:$Y$5001,"&lt;&gt;"))))</f>
        <v/>
      </c>
      <c r="G202" s="42" t="str">
        <f>IF(OR($B202="",$A202&gt;$B$9),"",IF(COUNTIFS(BD!$B$3:$B$5001,G$173,BD!$A$3:$A$5001,"&gt;="&amp;$C$7,BD!$A$3:$A$5001,"&lt;="&amp;$B202,BD!$Y$3:$Y$5001,"&lt;&gt;")=0,"",SUMIFS(BD!$Y$3:$Y$5001,BD!$B$3:$B$5001,G$173,BD!$A$3:$A$5001,_xlfn.MAXIFS(BD!$A$3:$A$5001,BD!$B$3:$B$5001,G$173,BD!$A$3:$A$5001,"&gt;="&amp;$C$7,BD!$A$3:$A$5001,"&lt;="&amp;$B202,BD!$Y$3:$Y$5001,"&lt;&gt;"))))</f>
        <v/>
      </c>
      <c r="H202" s="42" t="str">
        <f>IF(OR($B202="",$A202&gt;$B$9),"",IF(COUNTIFS(BD!$B$3:$B$5001,H$173,BD!$A$3:$A$5001,"&gt;="&amp;$C$7,BD!$A$3:$A$5001,"&lt;="&amp;$B202,BD!$Y$3:$Y$5001,"&lt;&gt;")=0,"",SUMIFS(BD!$Y$3:$Y$5001,BD!$B$3:$B$5001,H$173,BD!$A$3:$A$5001,_xlfn.MAXIFS(BD!$A$3:$A$5001,BD!$B$3:$B$5001,H$173,BD!$A$3:$A$5001,"&gt;="&amp;$C$7,BD!$A$3:$A$5001,"&lt;="&amp;$B202,BD!$Y$3:$Y$5001,"&lt;&gt;"))))</f>
        <v/>
      </c>
      <c r="I202" s="42" t="str">
        <f>IF(OR($B202="",$A202&gt;$B$9),"",IF(COUNTIFS(BD!$B$3:$B$5001,I$173,BD!$A$3:$A$5001,"&gt;="&amp;$C$7,BD!$A$3:$A$5001,"&lt;="&amp;$B202,BD!$Y$3:$Y$5001,"&lt;&gt;")=0,"",SUMIFS(BD!$Y$3:$Y$5001,BD!$B$3:$B$5001,I$173,BD!$A$3:$A$5001,_xlfn.MAXIFS(BD!$A$3:$A$5001,BD!$B$3:$B$5001,I$173,BD!$A$3:$A$5001,"&gt;="&amp;$C$7,BD!$A$3:$A$5001,"&lt;="&amp;$B202,BD!$Y$3:$Y$5001,"&lt;&gt;"))))</f>
        <v/>
      </c>
      <c r="J202" s="42" t="str">
        <f>IF(OR($B202="",$A202&gt;$B$9),"",IF(COUNTIFS(BD!$B$3:$B$5001,J$173,BD!$A$3:$A$5001,"&gt;="&amp;$C$7,BD!$A$3:$A$5001,"&lt;="&amp;$B202,BD!$Y$3:$Y$5001,"&lt;&gt;")=0,"",SUMIFS(BD!$Y$3:$Y$5001,BD!$B$3:$B$5001,J$173,BD!$A$3:$A$5001,_xlfn.MAXIFS(BD!$A$3:$A$5001,BD!$B$3:$B$5001,J$173,BD!$A$3:$A$5001,"&gt;="&amp;$C$7,BD!$A$3:$A$5001,"&lt;="&amp;$B202,BD!$Y$3:$Y$5001,"&lt;&gt;"))))</f>
        <v/>
      </c>
      <c r="K202" s="42" t="str">
        <f>IF(OR($B202="",$A202&gt;$B$9),"",IF(COUNTIFS(BD!$B$3:$B$5001,K$173,BD!$A$3:$A$5001,"&gt;="&amp;$C$7,BD!$A$3:$A$5001,"&lt;="&amp;$B202,BD!$Y$3:$Y$5001,"&lt;&gt;")=0,"",SUMIFS(BD!$Y$3:$Y$5001,BD!$B$3:$B$5001,K$173,BD!$A$3:$A$5001,_xlfn.MAXIFS(BD!$A$3:$A$5001,BD!$B$3:$B$5001,K$173,BD!$A$3:$A$5001,"&gt;="&amp;$C$7,BD!$A$3:$A$5001,"&lt;="&amp;$B202,BD!$Y$3:$Y$5001,"&lt;&gt;"))))</f>
        <v/>
      </c>
      <c r="L202" s="42" t="str">
        <f>IF(OR($B202="",$A202&gt;$B$9),"",IF(COUNTIFS(BD!$B$3:$B$5001,L$173,BD!$A$3:$A$5001,"&gt;="&amp;$C$7,BD!$A$3:$A$5001,"&lt;="&amp;$B202,BD!$Y$3:$Y$5001,"&lt;&gt;")=0,"",SUMIFS(BD!$Y$3:$Y$5001,BD!$B$3:$B$5001,L$173,BD!$A$3:$A$5001,_xlfn.MAXIFS(BD!$A$3:$A$5001,BD!$B$3:$B$5001,L$173,BD!$A$3:$A$5001,"&gt;="&amp;$C$7,BD!$A$3:$A$5001,"&lt;="&amp;$B202,BD!$Y$3:$Y$5001,"&lt;&gt;"))))</f>
        <v/>
      </c>
    </row>
    <row r="203">
      <c r="A203" s="40">
        <v>30</v>
      </c>
      <c r="B203" s="41">
        <f>$B$41</f>
        <v>46325</v>
      </c>
      <c r="C203" s="42" t="str">
        <f>IF(OR($B203="",$A203&gt;$B$9),"",IF(COUNTIFS(BD!$B$3:$B$5001,C$173,BD!$A$3:$A$5001,"&gt;="&amp;$C$7,BD!$A$3:$A$5001,"&lt;="&amp;$B203,BD!$Y$3:$Y$5001,"&lt;&gt;")=0,"",SUMIFS(BD!$Y$3:$Y$5001,BD!$B$3:$B$5001,C$173,BD!$A$3:$A$5001,_xlfn.MAXIFS(BD!$A$3:$A$5001,BD!$B$3:$B$5001,C$173,BD!$A$3:$A$5001,"&gt;="&amp;$C$7,BD!$A$3:$A$5001,"&lt;="&amp;$B203,BD!$Y$3:$Y$5001,"&lt;&gt;"))))</f>
        <v/>
      </c>
      <c r="D203" s="42" t="str">
        <f>IF(OR($B203="",$A203&gt;$B$9),"",IF(COUNTIFS(BD!$B$3:$B$5001,D$173,BD!$A$3:$A$5001,"&gt;="&amp;$C$7,BD!$A$3:$A$5001,"&lt;="&amp;$B203,BD!$Y$3:$Y$5001,"&lt;&gt;")=0,"",SUMIFS(BD!$Y$3:$Y$5001,BD!$B$3:$B$5001,D$173,BD!$A$3:$A$5001,_xlfn.MAXIFS(BD!$A$3:$A$5001,BD!$B$3:$B$5001,D$173,BD!$A$3:$A$5001,"&gt;="&amp;$C$7,BD!$A$3:$A$5001,"&lt;="&amp;$B203,BD!$Y$3:$Y$5001,"&lt;&gt;"))))</f>
        <v/>
      </c>
      <c r="E203" s="42" t="str">
        <f>IF(OR($B203="",$A203&gt;$B$9),"",IF(COUNTIFS(BD!$B$3:$B$5001,E$173,BD!$A$3:$A$5001,"&gt;="&amp;$C$7,BD!$A$3:$A$5001,"&lt;="&amp;$B203,BD!$Y$3:$Y$5001,"&lt;&gt;")=0,"",SUMIFS(BD!$Y$3:$Y$5001,BD!$B$3:$B$5001,E$173,BD!$A$3:$A$5001,_xlfn.MAXIFS(BD!$A$3:$A$5001,BD!$B$3:$B$5001,E$173,BD!$A$3:$A$5001,"&gt;="&amp;$C$7,BD!$A$3:$A$5001,"&lt;="&amp;$B203,BD!$Y$3:$Y$5001,"&lt;&gt;"))))</f>
        <v/>
      </c>
      <c r="F203" s="42" t="str">
        <f>IF(OR($B203="",$A203&gt;$B$9),"",IF(COUNTIFS(BD!$B$3:$B$5001,F$173,BD!$A$3:$A$5001,"&gt;="&amp;$C$7,BD!$A$3:$A$5001,"&lt;="&amp;$B203,BD!$Y$3:$Y$5001,"&lt;&gt;")=0,"",SUMIFS(BD!$Y$3:$Y$5001,BD!$B$3:$B$5001,F$173,BD!$A$3:$A$5001,_xlfn.MAXIFS(BD!$A$3:$A$5001,BD!$B$3:$B$5001,F$173,BD!$A$3:$A$5001,"&gt;="&amp;$C$7,BD!$A$3:$A$5001,"&lt;="&amp;$B203,BD!$Y$3:$Y$5001,"&lt;&gt;"))))</f>
        <v/>
      </c>
      <c r="G203" s="42" t="str">
        <f>IF(OR($B203="",$A203&gt;$B$9),"",IF(COUNTIFS(BD!$B$3:$B$5001,G$173,BD!$A$3:$A$5001,"&gt;="&amp;$C$7,BD!$A$3:$A$5001,"&lt;="&amp;$B203,BD!$Y$3:$Y$5001,"&lt;&gt;")=0,"",SUMIFS(BD!$Y$3:$Y$5001,BD!$B$3:$B$5001,G$173,BD!$A$3:$A$5001,_xlfn.MAXIFS(BD!$A$3:$A$5001,BD!$B$3:$B$5001,G$173,BD!$A$3:$A$5001,"&gt;="&amp;$C$7,BD!$A$3:$A$5001,"&lt;="&amp;$B203,BD!$Y$3:$Y$5001,"&lt;&gt;"))))</f>
        <v/>
      </c>
      <c r="H203" s="42" t="str">
        <f>IF(OR($B203="",$A203&gt;$B$9),"",IF(COUNTIFS(BD!$B$3:$B$5001,H$173,BD!$A$3:$A$5001,"&gt;="&amp;$C$7,BD!$A$3:$A$5001,"&lt;="&amp;$B203,BD!$Y$3:$Y$5001,"&lt;&gt;")=0,"",SUMIFS(BD!$Y$3:$Y$5001,BD!$B$3:$B$5001,H$173,BD!$A$3:$A$5001,_xlfn.MAXIFS(BD!$A$3:$A$5001,BD!$B$3:$B$5001,H$173,BD!$A$3:$A$5001,"&gt;="&amp;$C$7,BD!$A$3:$A$5001,"&lt;="&amp;$B203,BD!$Y$3:$Y$5001,"&lt;&gt;"))))</f>
        <v/>
      </c>
      <c r="I203" s="42" t="str">
        <f>IF(OR($B203="",$A203&gt;$B$9),"",IF(COUNTIFS(BD!$B$3:$B$5001,I$173,BD!$A$3:$A$5001,"&gt;="&amp;$C$7,BD!$A$3:$A$5001,"&lt;="&amp;$B203,BD!$Y$3:$Y$5001,"&lt;&gt;")=0,"",SUMIFS(BD!$Y$3:$Y$5001,BD!$B$3:$B$5001,I$173,BD!$A$3:$A$5001,_xlfn.MAXIFS(BD!$A$3:$A$5001,BD!$B$3:$B$5001,I$173,BD!$A$3:$A$5001,"&gt;="&amp;$C$7,BD!$A$3:$A$5001,"&lt;="&amp;$B203,BD!$Y$3:$Y$5001,"&lt;&gt;"))))</f>
        <v/>
      </c>
      <c r="J203" s="42" t="str">
        <f>IF(OR($B203="",$A203&gt;$B$9),"",IF(COUNTIFS(BD!$B$3:$B$5001,J$173,BD!$A$3:$A$5001,"&gt;="&amp;$C$7,BD!$A$3:$A$5001,"&lt;="&amp;$B203,BD!$Y$3:$Y$5001,"&lt;&gt;")=0,"",SUMIFS(BD!$Y$3:$Y$5001,BD!$B$3:$B$5001,J$173,BD!$A$3:$A$5001,_xlfn.MAXIFS(BD!$A$3:$A$5001,BD!$B$3:$B$5001,J$173,BD!$A$3:$A$5001,"&gt;="&amp;$C$7,BD!$A$3:$A$5001,"&lt;="&amp;$B203,BD!$Y$3:$Y$5001,"&lt;&gt;"))))</f>
        <v/>
      </c>
      <c r="K203" s="42" t="str">
        <f>IF(OR($B203="",$A203&gt;$B$9),"",IF(COUNTIFS(BD!$B$3:$B$5001,K$173,BD!$A$3:$A$5001,"&gt;="&amp;$C$7,BD!$A$3:$A$5001,"&lt;="&amp;$B203,BD!$Y$3:$Y$5001,"&lt;&gt;")=0,"",SUMIFS(BD!$Y$3:$Y$5001,BD!$B$3:$B$5001,K$173,BD!$A$3:$A$5001,_xlfn.MAXIFS(BD!$A$3:$A$5001,BD!$B$3:$B$5001,K$173,BD!$A$3:$A$5001,"&gt;="&amp;$C$7,BD!$A$3:$A$5001,"&lt;="&amp;$B203,BD!$Y$3:$Y$5001,"&lt;&gt;"))))</f>
        <v/>
      </c>
      <c r="L203" s="42" t="str">
        <f>IF(OR($B203="",$A203&gt;$B$9),"",IF(COUNTIFS(BD!$B$3:$B$5001,L$173,BD!$A$3:$A$5001,"&gt;="&amp;$C$7,BD!$A$3:$A$5001,"&lt;="&amp;$B203,BD!$Y$3:$Y$5001,"&lt;&gt;")=0,"",SUMIFS(BD!$Y$3:$Y$5001,BD!$B$3:$B$5001,L$173,BD!$A$3:$A$5001,_xlfn.MAXIFS(BD!$A$3:$A$5001,BD!$B$3:$B$5001,L$173,BD!$A$3:$A$5001,"&gt;="&amp;$C$7,BD!$A$3:$A$5001,"&lt;="&amp;$B203,BD!$Y$3:$Y$5001,"&lt;&gt;"))))</f>
        <v/>
      </c>
    </row>
    <row r="204">
      <c r="A204" s="40">
        <v>31</v>
      </c>
      <c r="B204" s="41">
        <f>$B$42</f>
        <v>46326</v>
      </c>
      <c r="C204" s="42" t="str">
        <f>IF(OR($B204="",$A204&gt;$B$9),"",IF(COUNTIFS(BD!$B$3:$B$5001,C$173,BD!$A$3:$A$5001,"&gt;="&amp;$C$7,BD!$A$3:$A$5001,"&lt;="&amp;$B204,BD!$Y$3:$Y$5001,"&lt;&gt;")=0,"",SUMIFS(BD!$Y$3:$Y$5001,BD!$B$3:$B$5001,C$173,BD!$A$3:$A$5001,_xlfn.MAXIFS(BD!$A$3:$A$5001,BD!$B$3:$B$5001,C$173,BD!$A$3:$A$5001,"&gt;="&amp;$C$7,BD!$A$3:$A$5001,"&lt;="&amp;$B204,BD!$Y$3:$Y$5001,"&lt;&gt;"))))</f>
        <v/>
      </c>
      <c r="D204" s="42" t="str">
        <f>IF(OR($B204="",$A204&gt;$B$9),"",IF(COUNTIFS(BD!$B$3:$B$5001,D$173,BD!$A$3:$A$5001,"&gt;="&amp;$C$7,BD!$A$3:$A$5001,"&lt;="&amp;$B204,BD!$Y$3:$Y$5001,"&lt;&gt;")=0,"",SUMIFS(BD!$Y$3:$Y$5001,BD!$B$3:$B$5001,D$173,BD!$A$3:$A$5001,_xlfn.MAXIFS(BD!$A$3:$A$5001,BD!$B$3:$B$5001,D$173,BD!$A$3:$A$5001,"&gt;="&amp;$C$7,BD!$A$3:$A$5001,"&lt;="&amp;$B204,BD!$Y$3:$Y$5001,"&lt;&gt;"))))</f>
        <v/>
      </c>
      <c r="E204" s="42" t="str">
        <f>IF(OR($B204="",$A204&gt;$B$9),"",IF(COUNTIFS(BD!$B$3:$B$5001,E$173,BD!$A$3:$A$5001,"&gt;="&amp;$C$7,BD!$A$3:$A$5001,"&lt;="&amp;$B204,BD!$Y$3:$Y$5001,"&lt;&gt;")=0,"",SUMIFS(BD!$Y$3:$Y$5001,BD!$B$3:$B$5001,E$173,BD!$A$3:$A$5001,_xlfn.MAXIFS(BD!$A$3:$A$5001,BD!$B$3:$B$5001,E$173,BD!$A$3:$A$5001,"&gt;="&amp;$C$7,BD!$A$3:$A$5001,"&lt;="&amp;$B204,BD!$Y$3:$Y$5001,"&lt;&gt;"))))</f>
        <v/>
      </c>
      <c r="F204" s="42" t="str">
        <f>IF(OR($B204="",$A204&gt;$B$9),"",IF(COUNTIFS(BD!$B$3:$B$5001,F$173,BD!$A$3:$A$5001,"&gt;="&amp;$C$7,BD!$A$3:$A$5001,"&lt;="&amp;$B204,BD!$Y$3:$Y$5001,"&lt;&gt;")=0,"",SUMIFS(BD!$Y$3:$Y$5001,BD!$B$3:$B$5001,F$173,BD!$A$3:$A$5001,_xlfn.MAXIFS(BD!$A$3:$A$5001,BD!$B$3:$B$5001,F$173,BD!$A$3:$A$5001,"&gt;="&amp;$C$7,BD!$A$3:$A$5001,"&lt;="&amp;$B204,BD!$Y$3:$Y$5001,"&lt;&gt;"))))</f>
        <v/>
      </c>
      <c r="G204" s="42" t="str">
        <f>IF(OR($B204="",$A204&gt;$B$9),"",IF(COUNTIFS(BD!$B$3:$B$5001,G$173,BD!$A$3:$A$5001,"&gt;="&amp;$C$7,BD!$A$3:$A$5001,"&lt;="&amp;$B204,BD!$Y$3:$Y$5001,"&lt;&gt;")=0,"",SUMIFS(BD!$Y$3:$Y$5001,BD!$B$3:$B$5001,G$173,BD!$A$3:$A$5001,_xlfn.MAXIFS(BD!$A$3:$A$5001,BD!$B$3:$B$5001,G$173,BD!$A$3:$A$5001,"&gt;="&amp;$C$7,BD!$A$3:$A$5001,"&lt;="&amp;$B204,BD!$Y$3:$Y$5001,"&lt;&gt;"))))</f>
        <v/>
      </c>
      <c r="H204" s="42" t="str">
        <f>IF(OR($B204="",$A204&gt;$B$9),"",IF(COUNTIFS(BD!$B$3:$B$5001,H$173,BD!$A$3:$A$5001,"&gt;="&amp;$C$7,BD!$A$3:$A$5001,"&lt;="&amp;$B204,BD!$Y$3:$Y$5001,"&lt;&gt;")=0,"",SUMIFS(BD!$Y$3:$Y$5001,BD!$B$3:$B$5001,H$173,BD!$A$3:$A$5001,_xlfn.MAXIFS(BD!$A$3:$A$5001,BD!$B$3:$B$5001,H$173,BD!$A$3:$A$5001,"&gt;="&amp;$C$7,BD!$A$3:$A$5001,"&lt;="&amp;$B204,BD!$Y$3:$Y$5001,"&lt;&gt;"))))</f>
        <v/>
      </c>
      <c r="I204" s="42" t="str">
        <f>IF(OR($B204="",$A204&gt;$B$9),"",IF(COUNTIFS(BD!$B$3:$B$5001,I$173,BD!$A$3:$A$5001,"&gt;="&amp;$C$7,BD!$A$3:$A$5001,"&lt;="&amp;$B204,BD!$Y$3:$Y$5001,"&lt;&gt;")=0,"",SUMIFS(BD!$Y$3:$Y$5001,BD!$B$3:$B$5001,I$173,BD!$A$3:$A$5001,_xlfn.MAXIFS(BD!$A$3:$A$5001,BD!$B$3:$B$5001,I$173,BD!$A$3:$A$5001,"&gt;="&amp;$C$7,BD!$A$3:$A$5001,"&lt;="&amp;$B204,BD!$Y$3:$Y$5001,"&lt;&gt;"))))</f>
        <v/>
      </c>
      <c r="J204" s="42" t="str">
        <f>IF(OR($B204="",$A204&gt;$B$9),"",IF(COUNTIFS(BD!$B$3:$B$5001,J$173,BD!$A$3:$A$5001,"&gt;="&amp;$C$7,BD!$A$3:$A$5001,"&lt;="&amp;$B204,BD!$Y$3:$Y$5001,"&lt;&gt;")=0,"",SUMIFS(BD!$Y$3:$Y$5001,BD!$B$3:$B$5001,J$173,BD!$A$3:$A$5001,_xlfn.MAXIFS(BD!$A$3:$A$5001,BD!$B$3:$B$5001,J$173,BD!$A$3:$A$5001,"&gt;="&amp;$C$7,BD!$A$3:$A$5001,"&lt;="&amp;$B204,BD!$Y$3:$Y$5001,"&lt;&gt;"))))</f>
        <v/>
      </c>
      <c r="K204" s="42" t="str">
        <f>IF(OR($B204="",$A204&gt;$B$9),"",IF(COUNTIFS(BD!$B$3:$B$5001,K$173,BD!$A$3:$A$5001,"&gt;="&amp;$C$7,BD!$A$3:$A$5001,"&lt;="&amp;$B204,BD!$Y$3:$Y$5001,"&lt;&gt;")=0,"",SUMIFS(BD!$Y$3:$Y$5001,BD!$B$3:$B$5001,K$173,BD!$A$3:$A$5001,_xlfn.MAXIFS(BD!$A$3:$A$5001,BD!$B$3:$B$5001,K$173,BD!$A$3:$A$5001,"&gt;="&amp;$C$7,BD!$A$3:$A$5001,"&lt;="&amp;$B204,BD!$Y$3:$Y$5001,"&lt;&gt;"))))</f>
        <v/>
      </c>
      <c r="L204" s="42" t="str">
        <f>IF(OR($B204="",$A204&gt;$B$9),"",IF(COUNTIFS(BD!$B$3:$B$5001,L$173,BD!$A$3:$A$5001,"&gt;="&amp;$C$7,BD!$A$3:$A$5001,"&lt;="&amp;$B204,BD!$Y$3:$Y$5001,"&lt;&gt;")=0,"",SUMIFS(BD!$Y$3:$Y$5001,BD!$B$3:$B$5001,L$173,BD!$A$3:$A$5001,_xlfn.MAXIFS(BD!$A$3:$A$5001,BD!$B$3:$B$5001,L$173,BD!$A$3:$A$5001,"&gt;="&amp;$C$7,BD!$A$3:$A$5001,"&lt;="&amp;$B204,BD!$Y$3:$Y$5001,"&lt;&gt;"))))</f>
        <v/>
      </c>
    </row>
    <row r="205">
      <c r="A205" s="43" t="inlineStr">
        <is>
          <t xml:space="preserve">Mês anterior (último)</t>
        </is>
      </c>
      <c r="C205" s="44" t="str">
        <f>IF(COUNTIFS(BD!$B$3:$B$5001,C$173,BD!$A$3:$A$5001,"&gt;="&amp;$C$8,BD!$A$3:$A$5001,"&lt;="&amp;$D$8,BD!$Y$3:$Y$5001,"&lt;&gt;")=0,"",SUMIFS(BD!$Y$3:$Y$5001,BD!$B$3:$B$5001,C$173,BD!$A$3:$A$5001,_xlfn.MAXIFS(BD!$A$3:$A$5001,BD!$B$3:$B$5001,C$173,BD!$A$3:$A$5001,"&gt;="&amp;$C$8,BD!$A$3:$A$5001,"&lt;="&amp;$D$8,BD!$Y$3:$Y$5001,"&lt;&gt;")))</f>
        <v/>
      </c>
      <c r="D205" s="44" t="str">
        <f>IF(COUNTIFS(BD!$B$3:$B$5001,D$173,BD!$A$3:$A$5001,"&gt;="&amp;$C$8,BD!$A$3:$A$5001,"&lt;="&amp;$D$8,BD!$Y$3:$Y$5001,"&lt;&gt;")=0,"",SUMIFS(BD!$Y$3:$Y$5001,BD!$B$3:$B$5001,D$173,BD!$A$3:$A$5001,_xlfn.MAXIFS(BD!$A$3:$A$5001,BD!$B$3:$B$5001,D$173,BD!$A$3:$A$5001,"&gt;="&amp;$C$8,BD!$A$3:$A$5001,"&lt;="&amp;$D$8,BD!$Y$3:$Y$5001,"&lt;&gt;")))</f>
        <v/>
      </c>
      <c r="E205" s="44" t="str">
        <f>IF(COUNTIFS(BD!$B$3:$B$5001,E$173,BD!$A$3:$A$5001,"&gt;="&amp;$C$8,BD!$A$3:$A$5001,"&lt;="&amp;$D$8,BD!$Y$3:$Y$5001,"&lt;&gt;")=0,"",SUMIFS(BD!$Y$3:$Y$5001,BD!$B$3:$B$5001,E$173,BD!$A$3:$A$5001,_xlfn.MAXIFS(BD!$A$3:$A$5001,BD!$B$3:$B$5001,E$173,BD!$A$3:$A$5001,"&gt;="&amp;$C$8,BD!$A$3:$A$5001,"&lt;="&amp;$D$8,BD!$Y$3:$Y$5001,"&lt;&gt;")))</f>
        <v/>
      </c>
      <c r="F205" s="44" t="str">
        <f>IF(COUNTIFS(BD!$B$3:$B$5001,F$173,BD!$A$3:$A$5001,"&gt;="&amp;$C$8,BD!$A$3:$A$5001,"&lt;="&amp;$D$8,BD!$Y$3:$Y$5001,"&lt;&gt;")=0,"",SUMIFS(BD!$Y$3:$Y$5001,BD!$B$3:$B$5001,F$173,BD!$A$3:$A$5001,_xlfn.MAXIFS(BD!$A$3:$A$5001,BD!$B$3:$B$5001,F$173,BD!$A$3:$A$5001,"&gt;="&amp;$C$8,BD!$A$3:$A$5001,"&lt;="&amp;$D$8,BD!$Y$3:$Y$5001,"&lt;&gt;")))</f>
        <v/>
      </c>
      <c r="G205" s="44" t="str">
        <f>IF(COUNTIFS(BD!$B$3:$B$5001,G$173,BD!$A$3:$A$5001,"&gt;="&amp;$C$8,BD!$A$3:$A$5001,"&lt;="&amp;$D$8,BD!$Y$3:$Y$5001,"&lt;&gt;")=0,"",SUMIFS(BD!$Y$3:$Y$5001,BD!$B$3:$B$5001,G$173,BD!$A$3:$A$5001,_xlfn.MAXIFS(BD!$A$3:$A$5001,BD!$B$3:$B$5001,G$173,BD!$A$3:$A$5001,"&gt;="&amp;$C$8,BD!$A$3:$A$5001,"&lt;="&amp;$D$8,BD!$Y$3:$Y$5001,"&lt;&gt;")))</f>
        <v/>
      </c>
      <c r="H205" s="44" t="str">
        <f>IF(COUNTIFS(BD!$B$3:$B$5001,H$173,BD!$A$3:$A$5001,"&gt;="&amp;$C$8,BD!$A$3:$A$5001,"&lt;="&amp;$D$8,BD!$Y$3:$Y$5001,"&lt;&gt;")=0,"",SUMIFS(BD!$Y$3:$Y$5001,BD!$B$3:$B$5001,H$173,BD!$A$3:$A$5001,_xlfn.MAXIFS(BD!$A$3:$A$5001,BD!$B$3:$B$5001,H$173,BD!$A$3:$A$5001,"&gt;="&amp;$C$8,BD!$A$3:$A$5001,"&lt;="&amp;$D$8,BD!$Y$3:$Y$5001,"&lt;&gt;")))</f>
        <v/>
      </c>
      <c r="I205" s="44" t="str">
        <f>IF(COUNTIFS(BD!$B$3:$B$5001,I$173,BD!$A$3:$A$5001,"&gt;="&amp;$C$8,BD!$A$3:$A$5001,"&lt;="&amp;$D$8,BD!$Y$3:$Y$5001,"&lt;&gt;")=0,"",SUMIFS(BD!$Y$3:$Y$5001,BD!$B$3:$B$5001,I$173,BD!$A$3:$A$5001,_xlfn.MAXIFS(BD!$A$3:$A$5001,BD!$B$3:$B$5001,I$173,BD!$A$3:$A$5001,"&gt;="&amp;$C$8,BD!$A$3:$A$5001,"&lt;="&amp;$D$8,BD!$Y$3:$Y$5001,"&lt;&gt;")))</f>
        <v/>
      </c>
      <c r="J205" s="44" t="str">
        <f>IF(COUNTIFS(BD!$B$3:$B$5001,J$173,BD!$A$3:$A$5001,"&gt;="&amp;$C$8,BD!$A$3:$A$5001,"&lt;="&amp;$D$8,BD!$Y$3:$Y$5001,"&lt;&gt;")=0,"",SUMIFS(BD!$Y$3:$Y$5001,BD!$B$3:$B$5001,J$173,BD!$A$3:$A$5001,_xlfn.MAXIFS(BD!$A$3:$A$5001,BD!$B$3:$B$5001,J$173,BD!$A$3:$A$5001,"&gt;="&amp;$C$8,BD!$A$3:$A$5001,"&lt;="&amp;$D$8,BD!$Y$3:$Y$5001,"&lt;&gt;")))</f>
        <v/>
      </c>
      <c r="K205" s="44" t="str">
        <f>IF(COUNTIFS(BD!$B$3:$B$5001,K$173,BD!$A$3:$A$5001,"&gt;="&amp;$C$8,BD!$A$3:$A$5001,"&lt;="&amp;$D$8,BD!$Y$3:$Y$5001,"&lt;&gt;")=0,"",SUMIFS(BD!$Y$3:$Y$5001,BD!$B$3:$B$5001,K$173,BD!$A$3:$A$5001,_xlfn.MAXIFS(BD!$A$3:$A$5001,BD!$B$3:$B$5001,K$173,BD!$A$3:$A$5001,"&gt;="&amp;$C$8,BD!$A$3:$A$5001,"&lt;="&amp;$D$8,BD!$Y$3:$Y$5001,"&lt;&gt;")))</f>
        <v/>
      </c>
      <c r="L205" s="44" t="str">
        <f>IF(COUNTIFS(BD!$B$3:$B$5001,L$173,BD!$A$3:$A$5001,"&gt;="&amp;$C$8,BD!$A$3:$A$5001,"&lt;="&amp;$D$8,BD!$Y$3:$Y$5001,"&lt;&gt;")=0,"",SUMIFS(BD!$Y$3:$Y$5001,BD!$B$3:$B$5001,L$173,BD!$A$3:$A$5001,_xlfn.MAXIFS(BD!$A$3:$A$5001,BD!$B$3:$B$5001,L$173,BD!$A$3:$A$5001,"&gt;="&amp;$C$8,BD!$A$3:$A$5001,"&lt;="&amp;$D$8,BD!$Y$3:$Y$5001,"&lt;&gt;")))</f>
        <v/>
      </c>
    </row>
    <row r="206">
      <c r="A206" s="43" t="inlineStr">
        <is>
          <t xml:space="preserve">Depósito</t>
        </is>
      </c>
      <c r="C206" s="40" t="inlineStr">
        <is>
          <t xml:space="preserve">TPC</t>
        </is>
      </c>
      <c r="D206" s="40" t="inlineStr">
        <is>
          <t xml:space="preserve">TPC</t>
        </is>
      </c>
      <c r="E206" s="40" t="inlineStr">
        <is>
          <t xml:space="preserve">TPC</t>
        </is>
      </c>
      <c r="F206" s="40" t="inlineStr">
        <is>
          <t xml:space="preserve">TPC</t>
        </is>
      </c>
      <c r="G206" s="40" t="inlineStr">
        <is>
          <t xml:space="preserve">TPC</t>
        </is>
      </c>
      <c r="H206" s="40" t="inlineStr">
        <is>
          <t xml:space="preserve">TPC</t>
        </is>
      </c>
      <c r="I206" s="40" t="inlineStr">
        <is>
          <t xml:space="preserve">TPC</t>
        </is>
      </c>
      <c r="J206" s="40" t="inlineStr">
        <is>
          <t xml:space="preserve">TPC</t>
        </is>
      </c>
      <c r="K206" s="40" t="inlineStr">
        <is>
          <t xml:space="preserve">TPC</t>
        </is>
      </c>
      <c r="L206" s="40" t="inlineStr">
        <is>
          <t xml:space="preserve">TPC</t>
        </is>
      </c>
    </row>
    <row r="208">
      <c r="A208" s="37" t="inlineStr">
        <is>
          <t xml:space="preserve">Posições Disponíveis</t>
        </is>
      </c>
      <c r="B208" s="37" t="inlineStr">
        <is>
          <t xml:space="preserve">Data</t>
        </is>
      </c>
      <c r="C208" s="37" t="inlineStr">
        <is>
          <t xml:space="preserve">Alpargatas</t>
        </is>
      </c>
      <c r="D208" s="37" t="inlineStr">
        <is>
          <t xml:space="preserve">Basf</t>
        </is>
      </c>
      <c r="E208" s="37" t="inlineStr">
        <is>
          <t xml:space="preserve">Beautybiz</t>
        </is>
      </c>
      <c r="F208" s="37" t="inlineStr">
        <is>
          <t xml:space="preserve">Boticário</t>
        </is>
      </c>
      <c r="G208" s="37" t="inlineStr">
        <is>
          <t xml:space="preserve">Confiance</t>
        </is>
      </c>
      <c r="H208" s="37" t="inlineStr">
        <is>
          <t xml:space="preserve">GE Vernova</t>
        </is>
      </c>
      <c r="I208" s="37" t="inlineStr">
        <is>
          <t xml:space="preserve">Omnilife</t>
        </is>
      </c>
      <c r="J208" s="37" t="inlineStr">
        <is>
          <t xml:space="preserve">Supply</t>
        </is>
      </c>
      <c r="K208" s="37" t="inlineStr">
        <is>
          <t xml:space="preserve">Vedacit</t>
        </is>
      </c>
      <c r="L208" s="37" t="inlineStr">
        <is>
          <t xml:space="preserve">Vestas</t>
        </is>
      </c>
    </row>
    <row r="209">
      <c r="A209" s="40">
        <v>1</v>
      </c>
      <c r="B209" s="41">
        <f>$B$12</f>
        <v>46296</v>
      </c>
      <c r="C209" s="42" t="str">
        <f>IF(OR($B209="",$A209&gt;$B$9),"",IF(COUNTIFS(BD!$B$3:$B$5001,C$208,BD!$A$3:$A$5001,"&gt;="&amp;$C$7,BD!$A$3:$A$5001,"&lt;="&amp;$B209,BD!$X$3:$X$5001,"&lt;&gt;")=0,"",SUMIFS(BD!$X$3:$X$5001,BD!$B$3:$B$5001,C$208,BD!$A$3:$A$5001,_xlfn.MAXIFS(BD!$A$3:$A$5001,BD!$B$3:$B$5001,C$208,BD!$A$3:$A$5001,"&gt;="&amp;$C$7,BD!$A$3:$A$5001,"&lt;="&amp;$B209,BD!$X$3:$X$5001,"&lt;&gt;"))))</f>
        <v/>
      </c>
      <c r="D209" s="42" t="str">
        <f>IF(OR($B209="",$A209&gt;$B$9),"",IF(COUNTIFS(BD!$B$3:$B$5001,D$208,BD!$A$3:$A$5001,"&gt;="&amp;$C$7,BD!$A$3:$A$5001,"&lt;="&amp;$B209,BD!$X$3:$X$5001,"&lt;&gt;")=0,"",SUMIFS(BD!$X$3:$X$5001,BD!$B$3:$B$5001,D$208,BD!$A$3:$A$5001,_xlfn.MAXIFS(BD!$A$3:$A$5001,BD!$B$3:$B$5001,D$208,BD!$A$3:$A$5001,"&gt;="&amp;$C$7,BD!$A$3:$A$5001,"&lt;="&amp;$B209,BD!$X$3:$X$5001,"&lt;&gt;"))))</f>
        <v/>
      </c>
      <c r="E209" s="42" t="str">
        <f>IF(OR($B209="",$A209&gt;$B$9),"",IF(COUNTIFS(BD!$B$3:$B$5001,E$208,BD!$A$3:$A$5001,"&gt;="&amp;$C$7,BD!$A$3:$A$5001,"&lt;="&amp;$B209,BD!$X$3:$X$5001,"&lt;&gt;")=0,"",SUMIFS(BD!$X$3:$X$5001,BD!$B$3:$B$5001,E$208,BD!$A$3:$A$5001,_xlfn.MAXIFS(BD!$A$3:$A$5001,BD!$B$3:$B$5001,E$208,BD!$A$3:$A$5001,"&gt;="&amp;$C$7,BD!$A$3:$A$5001,"&lt;="&amp;$B209,BD!$X$3:$X$5001,"&lt;&gt;"))))</f>
        <v/>
      </c>
      <c r="F209" s="42" t="str">
        <f>IF(OR($B209="",$A209&gt;$B$9),"",IF(COUNTIFS(BD!$B$3:$B$5001,F$208,BD!$A$3:$A$5001,"&gt;="&amp;$C$7,BD!$A$3:$A$5001,"&lt;="&amp;$B209,BD!$X$3:$X$5001,"&lt;&gt;")=0,"",SUMIFS(BD!$X$3:$X$5001,BD!$B$3:$B$5001,F$208,BD!$A$3:$A$5001,_xlfn.MAXIFS(BD!$A$3:$A$5001,BD!$B$3:$B$5001,F$208,BD!$A$3:$A$5001,"&gt;="&amp;$C$7,BD!$A$3:$A$5001,"&lt;="&amp;$B209,BD!$X$3:$X$5001,"&lt;&gt;"))))</f>
        <v/>
      </c>
      <c r="G209" s="42" t="str">
        <f>IF(OR($B209="",$A209&gt;$B$9),"",IF(COUNTIFS(BD!$B$3:$B$5001,G$208,BD!$A$3:$A$5001,"&gt;="&amp;$C$7,BD!$A$3:$A$5001,"&lt;="&amp;$B209,BD!$X$3:$X$5001,"&lt;&gt;")=0,"",SUMIFS(BD!$X$3:$X$5001,BD!$B$3:$B$5001,G$208,BD!$A$3:$A$5001,_xlfn.MAXIFS(BD!$A$3:$A$5001,BD!$B$3:$B$5001,G$208,BD!$A$3:$A$5001,"&gt;="&amp;$C$7,BD!$A$3:$A$5001,"&lt;="&amp;$B209,BD!$X$3:$X$5001,"&lt;&gt;"))))</f>
        <v/>
      </c>
      <c r="H209" s="42" t="str">
        <f>IF(OR($B209="",$A209&gt;$B$9),"",IF(COUNTIFS(BD!$B$3:$B$5001,H$208,BD!$A$3:$A$5001,"&gt;="&amp;$C$7,BD!$A$3:$A$5001,"&lt;="&amp;$B209,BD!$X$3:$X$5001,"&lt;&gt;")=0,"",SUMIFS(BD!$X$3:$X$5001,BD!$B$3:$B$5001,H$208,BD!$A$3:$A$5001,_xlfn.MAXIFS(BD!$A$3:$A$5001,BD!$B$3:$B$5001,H$208,BD!$A$3:$A$5001,"&gt;="&amp;$C$7,BD!$A$3:$A$5001,"&lt;="&amp;$B209,BD!$X$3:$X$5001,"&lt;&gt;"))))</f>
        <v/>
      </c>
      <c r="I209" s="42" t="str">
        <f>IF(OR($B209="",$A209&gt;$B$9),"",IF(COUNTIFS(BD!$B$3:$B$5001,I$208,BD!$A$3:$A$5001,"&gt;="&amp;$C$7,BD!$A$3:$A$5001,"&lt;="&amp;$B209,BD!$X$3:$X$5001,"&lt;&gt;")=0,"",SUMIFS(BD!$X$3:$X$5001,BD!$B$3:$B$5001,I$208,BD!$A$3:$A$5001,_xlfn.MAXIFS(BD!$A$3:$A$5001,BD!$B$3:$B$5001,I$208,BD!$A$3:$A$5001,"&gt;="&amp;$C$7,BD!$A$3:$A$5001,"&lt;="&amp;$B209,BD!$X$3:$X$5001,"&lt;&gt;"))))</f>
        <v/>
      </c>
      <c r="J209" s="42" t="str">
        <f>IF(OR($B209="",$A209&gt;$B$9),"",IF(COUNTIFS(BD!$B$3:$B$5001,J$208,BD!$A$3:$A$5001,"&gt;="&amp;$C$7,BD!$A$3:$A$5001,"&lt;="&amp;$B209,BD!$X$3:$X$5001,"&lt;&gt;")=0,"",SUMIFS(BD!$X$3:$X$5001,BD!$B$3:$B$5001,J$208,BD!$A$3:$A$5001,_xlfn.MAXIFS(BD!$A$3:$A$5001,BD!$B$3:$B$5001,J$208,BD!$A$3:$A$5001,"&gt;="&amp;$C$7,BD!$A$3:$A$5001,"&lt;="&amp;$B209,BD!$X$3:$X$5001,"&lt;&gt;"))))</f>
        <v/>
      </c>
      <c r="K209" s="42" t="str">
        <f>IF(OR($B209="",$A209&gt;$B$9),"",IF(COUNTIFS(BD!$B$3:$B$5001,K$208,BD!$A$3:$A$5001,"&gt;="&amp;$C$7,BD!$A$3:$A$5001,"&lt;="&amp;$B209,BD!$X$3:$X$5001,"&lt;&gt;")=0,"",SUMIFS(BD!$X$3:$X$5001,BD!$B$3:$B$5001,K$208,BD!$A$3:$A$5001,_xlfn.MAXIFS(BD!$A$3:$A$5001,BD!$B$3:$B$5001,K$208,BD!$A$3:$A$5001,"&gt;="&amp;$C$7,BD!$A$3:$A$5001,"&lt;="&amp;$B209,BD!$X$3:$X$5001,"&lt;&gt;"))))</f>
        <v/>
      </c>
      <c r="L209" s="42" t="str">
        <f>IF(OR($B209="",$A209&gt;$B$9),"",IF(COUNTIFS(BD!$B$3:$B$5001,L$208,BD!$A$3:$A$5001,"&gt;="&amp;$C$7,BD!$A$3:$A$5001,"&lt;="&amp;$B209,BD!$X$3:$X$5001,"&lt;&gt;")=0,"",SUMIFS(BD!$X$3:$X$5001,BD!$B$3:$B$5001,L$208,BD!$A$3:$A$5001,_xlfn.MAXIFS(BD!$A$3:$A$5001,BD!$B$3:$B$5001,L$208,BD!$A$3:$A$5001,"&gt;="&amp;$C$7,BD!$A$3:$A$5001,"&lt;="&amp;$B209,BD!$X$3:$X$5001,"&lt;&gt;"))))</f>
        <v/>
      </c>
    </row>
    <row r="210">
      <c r="A210" s="40">
        <v>2</v>
      </c>
      <c r="B210" s="41">
        <f>$B$13</f>
        <v>46297</v>
      </c>
      <c r="C210" s="42" t="str">
        <f>IF(OR($B210="",$A210&gt;$B$9),"",IF(COUNTIFS(BD!$B$3:$B$5001,C$208,BD!$A$3:$A$5001,"&gt;="&amp;$C$7,BD!$A$3:$A$5001,"&lt;="&amp;$B210,BD!$X$3:$X$5001,"&lt;&gt;")=0,"",SUMIFS(BD!$X$3:$X$5001,BD!$B$3:$B$5001,C$208,BD!$A$3:$A$5001,_xlfn.MAXIFS(BD!$A$3:$A$5001,BD!$B$3:$B$5001,C$208,BD!$A$3:$A$5001,"&gt;="&amp;$C$7,BD!$A$3:$A$5001,"&lt;="&amp;$B210,BD!$X$3:$X$5001,"&lt;&gt;"))))</f>
        <v/>
      </c>
      <c r="D210" s="42" t="str">
        <f>IF(OR($B210="",$A210&gt;$B$9),"",IF(COUNTIFS(BD!$B$3:$B$5001,D$208,BD!$A$3:$A$5001,"&gt;="&amp;$C$7,BD!$A$3:$A$5001,"&lt;="&amp;$B210,BD!$X$3:$X$5001,"&lt;&gt;")=0,"",SUMIFS(BD!$X$3:$X$5001,BD!$B$3:$B$5001,D$208,BD!$A$3:$A$5001,_xlfn.MAXIFS(BD!$A$3:$A$5001,BD!$B$3:$B$5001,D$208,BD!$A$3:$A$5001,"&gt;="&amp;$C$7,BD!$A$3:$A$5001,"&lt;="&amp;$B210,BD!$X$3:$X$5001,"&lt;&gt;"))))</f>
        <v/>
      </c>
      <c r="E210" s="42" t="str">
        <f>IF(OR($B210="",$A210&gt;$B$9),"",IF(COUNTIFS(BD!$B$3:$B$5001,E$208,BD!$A$3:$A$5001,"&gt;="&amp;$C$7,BD!$A$3:$A$5001,"&lt;="&amp;$B210,BD!$X$3:$X$5001,"&lt;&gt;")=0,"",SUMIFS(BD!$X$3:$X$5001,BD!$B$3:$B$5001,E$208,BD!$A$3:$A$5001,_xlfn.MAXIFS(BD!$A$3:$A$5001,BD!$B$3:$B$5001,E$208,BD!$A$3:$A$5001,"&gt;="&amp;$C$7,BD!$A$3:$A$5001,"&lt;="&amp;$B210,BD!$X$3:$X$5001,"&lt;&gt;"))))</f>
        <v/>
      </c>
      <c r="F210" s="42" t="str">
        <f>IF(OR($B210="",$A210&gt;$B$9),"",IF(COUNTIFS(BD!$B$3:$B$5001,F$208,BD!$A$3:$A$5001,"&gt;="&amp;$C$7,BD!$A$3:$A$5001,"&lt;="&amp;$B210,BD!$X$3:$X$5001,"&lt;&gt;")=0,"",SUMIFS(BD!$X$3:$X$5001,BD!$B$3:$B$5001,F$208,BD!$A$3:$A$5001,_xlfn.MAXIFS(BD!$A$3:$A$5001,BD!$B$3:$B$5001,F$208,BD!$A$3:$A$5001,"&gt;="&amp;$C$7,BD!$A$3:$A$5001,"&lt;="&amp;$B210,BD!$X$3:$X$5001,"&lt;&gt;"))))</f>
        <v/>
      </c>
      <c r="G210" s="42" t="str">
        <f>IF(OR($B210="",$A210&gt;$B$9),"",IF(COUNTIFS(BD!$B$3:$B$5001,G$208,BD!$A$3:$A$5001,"&gt;="&amp;$C$7,BD!$A$3:$A$5001,"&lt;="&amp;$B210,BD!$X$3:$X$5001,"&lt;&gt;")=0,"",SUMIFS(BD!$X$3:$X$5001,BD!$B$3:$B$5001,G$208,BD!$A$3:$A$5001,_xlfn.MAXIFS(BD!$A$3:$A$5001,BD!$B$3:$B$5001,G$208,BD!$A$3:$A$5001,"&gt;="&amp;$C$7,BD!$A$3:$A$5001,"&lt;="&amp;$B210,BD!$X$3:$X$5001,"&lt;&gt;"))))</f>
        <v/>
      </c>
      <c r="H210" s="42" t="str">
        <f>IF(OR($B210="",$A210&gt;$B$9),"",IF(COUNTIFS(BD!$B$3:$B$5001,H$208,BD!$A$3:$A$5001,"&gt;="&amp;$C$7,BD!$A$3:$A$5001,"&lt;="&amp;$B210,BD!$X$3:$X$5001,"&lt;&gt;")=0,"",SUMIFS(BD!$X$3:$X$5001,BD!$B$3:$B$5001,H$208,BD!$A$3:$A$5001,_xlfn.MAXIFS(BD!$A$3:$A$5001,BD!$B$3:$B$5001,H$208,BD!$A$3:$A$5001,"&gt;="&amp;$C$7,BD!$A$3:$A$5001,"&lt;="&amp;$B210,BD!$X$3:$X$5001,"&lt;&gt;"))))</f>
        <v/>
      </c>
      <c r="I210" s="42" t="str">
        <f>IF(OR($B210="",$A210&gt;$B$9),"",IF(COUNTIFS(BD!$B$3:$B$5001,I$208,BD!$A$3:$A$5001,"&gt;="&amp;$C$7,BD!$A$3:$A$5001,"&lt;="&amp;$B210,BD!$X$3:$X$5001,"&lt;&gt;")=0,"",SUMIFS(BD!$X$3:$X$5001,BD!$B$3:$B$5001,I$208,BD!$A$3:$A$5001,_xlfn.MAXIFS(BD!$A$3:$A$5001,BD!$B$3:$B$5001,I$208,BD!$A$3:$A$5001,"&gt;="&amp;$C$7,BD!$A$3:$A$5001,"&lt;="&amp;$B210,BD!$X$3:$X$5001,"&lt;&gt;"))))</f>
        <v/>
      </c>
      <c r="J210" s="42" t="str">
        <f>IF(OR($B210="",$A210&gt;$B$9),"",IF(COUNTIFS(BD!$B$3:$B$5001,J$208,BD!$A$3:$A$5001,"&gt;="&amp;$C$7,BD!$A$3:$A$5001,"&lt;="&amp;$B210,BD!$X$3:$X$5001,"&lt;&gt;")=0,"",SUMIFS(BD!$X$3:$X$5001,BD!$B$3:$B$5001,J$208,BD!$A$3:$A$5001,_xlfn.MAXIFS(BD!$A$3:$A$5001,BD!$B$3:$B$5001,J$208,BD!$A$3:$A$5001,"&gt;="&amp;$C$7,BD!$A$3:$A$5001,"&lt;="&amp;$B210,BD!$X$3:$X$5001,"&lt;&gt;"))))</f>
        <v/>
      </c>
      <c r="K210" s="42" t="str">
        <f>IF(OR($B210="",$A210&gt;$B$9),"",IF(COUNTIFS(BD!$B$3:$B$5001,K$208,BD!$A$3:$A$5001,"&gt;="&amp;$C$7,BD!$A$3:$A$5001,"&lt;="&amp;$B210,BD!$X$3:$X$5001,"&lt;&gt;")=0,"",SUMIFS(BD!$X$3:$X$5001,BD!$B$3:$B$5001,K$208,BD!$A$3:$A$5001,_xlfn.MAXIFS(BD!$A$3:$A$5001,BD!$B$3:$B$5001,K$208,BD!$A$3:$A$5001,"&gt;="&amp;$C$7,BD!$A$3:$A$5001,"&lt;="&amp;$B210,BD!$X$3:$X$5001,"&lt;&gt;"))))</f>
        <v/>
      </c>
      <c r="L210" s="42" t="str">
        <f>IF(OR($B210="",$A210&gt;$B$9),"",IF(COUNTIFS(BD!$B$3:$B$5001,L$208,BD!$A$3:$A$5001,"&gt;="&amp;$C$7,BD!$A$3:$A$5001,"&lt;="&amp;$B210,BD!$X$3:$X$5001,"&lt;&gt;")=0,"",SUMIFS(BD!$X$3:$X$5001,BD!$B$3:$B$5001,L$208,BD!$A$3:$A$5001,_xlfn.MAXIFS(BD!$A$3:$A$5001,BD!$B$3:$B$5001,L$208,BD!$A$3:$A$5001,"&gt;="&amp;$C$7,BD!$A$3:$A$5001,"&lt;="&amp;$B210,BD!$X$3:$X$5001,"&lt;&gt;"))))</f>
        <v/>
      </c>
    </row>
    <row r="211">
      <c r="A211" s="40">
        <v>3</v>
      </c>
      <c r="B211" s="41">
        <f>$B$14</f>
        <v>46298</v>
      </c>
      <c r="C211" s="42" t="str">
        <f>IF(OR($B211="",$A211&gt;$B$9),"",IF(COUNTIFS(BD!$B$3:$B$5001,C$208,BD!$A$3:$A$5001,"&gt;="&amp;$C$7,BD!$A$3:$A$5001,"&lt;="&amp;$B211,BD!$X$3:$X$5001,"&lt;&gt;")=0,"",SUMIFS(BD!$X$3:$X$5001,BD!$B$3:$B$5001,C$208,BD!$A$3:$A$5001,_xlfn.MAXIFS(BD!$A$3:$A$5001,BD!$B$3:$B$5001,C$208,BD!$A$3:$A$5001,"&gt;="&amp;$C$7,BD!$A$3:$A$5001,"&lt;="&amp;$B211,BD!$X$3:$X$5001,"&lt;&gt;"))))</f>
        <v/>
      </c>
      <c r="D211" s="42" t="str">
        <f>IF(OR($B211="",$A211&gt;$B$9),"",IF(COUNTIFS(BD!$B$3:$B$5001,D$208,BD!$A$3:$A$5001,"&gt;="&amp;$C$7,BD!$A$3:$A$5001,"&lt;="&amp;$B211,BD!$X$3:$X$5001,"&lt;&gt;")=0,"",SUMIFS(BD!$X$3:$X$5001,BD!$B$3:$B$5001,D$208,BD!$A$3:$A$5001,_xlfn.MAXIFS(BD!$A$3:$A$5001,BD!$B$3:$B$5001,D$208,BD!$A$3:$A$5001,"&gt;="&amp;$C$7,BD!$A$3:$A$5001,"&lt;="&amp;$B211,BD!$X$3:$X$5001,"&lt;&gt;"))))</f>
        <v/>
      </c>
      <c r="E211" s="42" t="str">
        <f>IF(OR($B211="",$A211&gt;$B$9),"",IF(COUNTIFS(BD!$B$3:$B$5001,E$208,BD!$A$3:$A$5001,"&gt;="&amp;$C$7,BD!$A$3:$A$5001,"&lt;="&amp;$B211,BD!$X$3:$X$5001,"&lt;&gt;")=0,"",SUMIFS(BD!$X$3:$X$5001,BD!$B$3:$B$5001,E$208,BD!$A$3:$A$5001,_xlfn.MAXIFS(BD!$A$3:$A$5001,BD!$B$3:$B$5001,E$208,BD!$A$3:$A$5001,"&gt;="&amp;$C$7,BD!$A$3:$A$5001,"&lt;="&amp;$B211,BD!$X$3:$X$5001,"&lt;&gt;"))))</f>
        <v/>
      </c>
      <c r="F211" s="42" t="str">
        <f>IF(OR($B211="",$A211&gt;$B$9),"",IF(COUNTIFS(BD!$B$3:$B$5001,F$208,BD!$A$3:$A$5001,"&gt;="&amp;$C$7,BD!$A$3:$A$5001,"&lt;="&amp;$B211,BD!$X$3:$X$5001,"&lt;&gt;")=0,"",SUMIFS(BD!$X$3:$X$5001,BD!$B$3:$B$5001,F$208,BD!$A$3:$A$5001,_xlfn.MAXIFS(BD!$A$3:$A$5001,BD!$B$3:$B$5001,F$208,BD!$A$3:$A$5001,"&gt;="&amp;$C$7,BD!$A$3:$A$5001,"&lt;="&amp;$B211,BD!$X$3:$X$5001,"&lt;&gt;"))))</f>
        <v/>
      </c>
      <c r="G211" s="42" t="str">
        <f>IF(OR($B211="",$A211&gt;$B$9),"",IF(COUNTIFS(BD!$B$3:$B$5001,G$208,BD!$A$3:$A$5001,"&gt;="&amp;$C$7,BD!$A$3:$A$5001,"&lt;="&amp;$B211,BD!$X$3:$X$5001,"&lt;&gt;")=0,"",SUMIFS(BD!$X$3:$X$5001,BD!$B$3:$B$5001,G$208,BD!$A$3:$A$5001,_xlfn.MAXIFS(BD!$A$3:$A$5001,BD!$B$3:$B$5001,G$208,BD!$A$3:$A$5001,"&gt;="&amp;$C$7,BD!$A$3:$A$5001,"&lt;="&amp;$B211,BD!$X$3:$X$5001,"&lt;&gt;"))))</f>
        <v/>
      </c>
      <c r="H211" s="42" t="str">
        <f>IF(OR($B211="",$A211&gt;$B$9),"",IF(COUNTIFS(BD!$B$3:$B$5001,H$208,BD!$A$3:$A$5001,"&gt;="&amp;$C$7,BD!$A$3:$A$5001,"&lt;="&amp;$B211,BD!$X$3:$X$5001,"&lt;&gt;")=0,"",SUMIFS(BD!$X$3:$X$5001,BD!$B$3:$B$5001,H$208,BD!$A$3:$A$5001,_xlfn.MAXIFS(BD!$A$3:$A$5001,BD!$B$3:$B$5001,H$208,BD!$A$3:$A$5001,"&gt;="&amp;$C$7,BD!$A$3:$A$5001,"&lt;="&amp;$B211,BD!$X$3:$X$5001,"&lt;&gt;"))))</f>
        <v/>
      </c>
      <c r="I211" s="42" t="str">
        <f>IF(OR($B211="",$A211&gt;$B$9),"",IF(COUNTIFS(BD!$B$3:$B$5001,I$208,BD!$A$3:$A$5001,"&gt;="&amp;$C$7,BD!$A$3:$A$5001,"&lt;="&amp;$B211,BD!$X$3:$X$5001,"&lt;&gt;")=0,"",SUMIFS(BD!$X$3:$X$5001,BD!$B$3:$B$5001,I$208,BD!$A$3:$A$5001,_xlfn.MAXIFS(BD!$A$3:$A$5001,BD!$B$3:$B$5001,I$208,BD!$A$3:$A$5001,"&gt;="&amp;$C$7,BD!$A$3:$A$5001,"&lt;="&amp;$B211,BD!$X$3:$X$5001,"&lt;&gt;"))))</f>
        <v/>
      </c>
      <c r="J211" s="42" t="str">
        <f>IF(OR($B211="",$A211&gt;$B$9),"",IF(COUNTIFS(BD!$B$3:$B$5001,J$208,BD!$A$3:$A$5001,"&gt;="&amp;$C$7,BD!$A$3:$A$5001,"&lt;="&amp;$B211,BD!$X$3:$X$5001,"&lt;&gt;")=0,"",SUMIFS(BD!$X$3:$X$5001,BD!$B$3:$B$5001,J$208,BD!$A$3:$A$5001,_xlfn.MAXIFS(BD!$A$3:$A$5001,BD!$B$3:$B$5001,J$208,BD!$A$3:$A$5001,"&gt;="&amp;$C$7,BD!$A$3:$A$5001,"&lt;="&amp;$B211,BD!$X$3:$X$5001,"&lt;&gt;"))))</f>
        <v/>
      </c>
      <c r="K211" s="42" t="str">
        <f>IF(OR($B211="",$A211&gt;$B$9),"",IF(COUNTIFS(BD!$B$3:$B$5001,K$208,BD!$A$3:$A$5001,"&gt;="&amp;$C$7,BD!$A$3:$A$5001,"&lt;="&amp;$B211,BD!$X$3:$X$5001,"&lt;&gt;")=0,"",SUMIFS(BD!$X$3:$X$5001,BD!$B$3:$B$5001,K$208,BD!$A$3:$A$5001,_xlfn.MAXIFS(BD!$A$3:$A$5001,BD!$B$3:$B$5001,K$208,BD!$A$3:$A$5001,"&gt;="&amp;$C$7,BD!$A$3:$A$5001,"&lt;="&amp;$B211,BD!$X$3:$X$5001,"&lt;&gt;"))))</f>
        <v/>
      </c>
      <c r="L211" s="42" t="str">
        <f>IF(OR($B211="",$A211&gt;$B$9),"",IF(COUNTIFS(BD!$B$3:$B$5001,L$208,BD!$A$3:$A$5001,"&gt;="&amp;$C$7,BD!$A$3:$A$5001,"&lt;="&amp;$B211,BD!$X$3:$X$5001,"&lt;&gt;")=0,"",SUMIFS(BD!$X$3:$X$5001,BD!$B$3:$B$5001,L$208,BD!$A$3:$A$5001,_xlfn.MAXIFS(BD!$A$3:$A$5001,BD!$B$3:$B$5001,L$208,BD!$A$3:$A$5001,"&gt;="&amp;$C$7,BD!$A$3:$A$5001,"&lt;="&amp;$B211,BD!$X$3:$X$5001,"&lt;&gt;"))))</f>
        <v/>
      </c>
    </row>
    <row r="212">
      <c r="A212" s="40">
        <v>4</v>
      </c>
      <c r="B212" s="41">
        <f>$B$15</f>
        <v>46299</v>
      </c>
      <c r="C212" s="42" t="str">
        <f>IF(OR($B212="",$A212&gt;$B$9),"",IF(COUNTIFS(BD!$B$3:$B$5001,C$208,BD!$A$3:$A$5001,"&gt;="&amp;$C$7,BD!$A$3:$A$5001,"&lt;="&amp;$B212,BD!$X$3:$X$5001,"&lt;&gt;")=0,"",SUMIFS(BD!$X$3:$X$5001,BD!$B$3:$B$5001,C$208,BD!$A$3:$A$5001,_xlfn.MAXIFS(BD!$A$3:$A$5001,BD!$B$3:$B$5001,C$208,BD!$A$3:$A$5001,"&gt;="&amp;$C$7,BD!$A$3:$A$5001,"&lt;="&amp;$B212,BD!$X$3:$X$5001,"&lt;&gt;"))))</f>
        <v/>
      </c>
      <c r="D212" s="42" t="str">
        <f>IF(OR($B212="",$A212&gt;$B$9),"",IF(COUNTIFS(BD!$B$3:$B$5001,D$208,BD!$A$3:$A$5001,"&gt;="&amp;$C$7,BD!$A$3:$A$5001,"&lt;="&amp;$B212,BD!$X$3:$X$5001,"&lt;&gt;")=0,"",SUMIFS(BD!$X$3:$X$5001,BD!$B$3:$B$5001,D$208,BD!$A$3:$A$5001,_xlfn.MAXIFS(BD!$A$3:$A$5001,BD!$B$3:$B$5001,D$208,BD!$A$3:$A$5001,"&gt;="&amp;$C$7,BD!$A$3:$A$5001,"&lt;="&amp;$B212,BD!$X$3:$X$5001,"&lt;&gt;"))))</f>
        <v/>
      </c>
      <c r="E212" s="42" t="str">
        <f>IF(OR($B212="",$A212&gt;$B$9),"",IF(COUNTIFS(BD!$B$3:$B$5001,E$208,BD!$A$3:$A$5001,"&gt;="&amp;$C$7,BD!$A$3:$A$5001,"&lt;="&amp;$B212,BD!$X$3:$X$5001,"&lt;&gt;")=0,"",SUMIFS(BD!$X$3:$X$5001,BD!$B$3:$B$5001,E$208,BD!$A$3:$A$5001,_xlfn.MAXIFS(BD!$A$3:$A$5001,BD!$B$3:$B$5001,E$208,BD!$A$3:$A$5001,"&gt;="&amp;$C$7,BD!$A$3:$A$5001,"&lt;="&amp;$B212,BD!$X$3:$X$5001,"&lt;&gt;"))))</f>
        <v/>
      </c>
      <c r="F212" s="42" t="str">
        <f>IF(OR($B212="",$A212&gt;$B$9),"",IF(COUNTIFS(BD!$B$3:$B$5001,F$208,BD!$A$3:$A$5001,"&gt;="&amp;$C$7,BD!$A$3:$A$5001,"&lt;="&amp;$B212,BD!$X$3:$X$5001,"&lt;&gt;")=0,"",SUMIFS(BD!$X$3:$X$5001,BD!$B$3:$B$5001,F$208,BD!$A$3:$A$5001,_xlfn.MAXIFS(BD!$A$3:$A$5001,BD!$B$3:$B$5001,F$208,BD!$A$3:$A$5001,"&gt;="&amp;$C$7,BD!$A$3:$A$5001,"&lt;="&amp;$B212,BD!$X$3:$X$5001,"&lt;&gt;"))))</f>
        <v/>
      </c>
      <c r="G212" s="42" t="str">
        <f>IF(OR($B212="",$A212&gt;$B$9),"",IF(COUNTIFS(BD!$B$3:$B$5001,G$208,BD!$A$3:$A$5001,"&gt;="&amp;$C$7,BD!$A$3:$A$5001,"&lt;="&amp;$B212,BD!$X$3:$X$5001,"&lt;&gt;")=0,"",SUMIFS(BD!$X$3:$X$5001,BD!$B$3:$B$5001,G$208,BD!$A$3:$A$5001,_xlfn.MAXIFS(BD!$A$3:$A$5001,BD!$B$3:$B$5001,G$208,BD!$A$3:$A$5001,"&gt;="&amp;$C$7,BD!$A$3:$A$5001,"&lt;="&amp;$B212,BD!$X$3:$X$5001,"&lt;&gt;"))))</f>
        <v/>
      </c>
      <c r="H212" s="42" t="str">
        <f>IF(OR($B212="",$A212&gt;$B$9),"",IF(COUNTIFS(BD!$B$3:$B$5001,H$208,BD!$A$3:$A$5001,"&gt;="&amp;$C$7,BD!$A$3:$A$5001,"&lt;="&amp;$B212,BD!$X$3:$X$5001,"&lt;&gt;")=0,"",SUMIFS(BD!$X$3:$X$5001,BD!$B$3:$B$5001,H$208,BD!$A$3:$A$5001,_xlfn.MAXIFS(BD!$A$3:$A$5001,BD!$B$3:$B$5001,H$208,BD!$A$3:$A$5001,"&gt;="&amp;$C$7,BD!$A$3:$A$5001,"&lt;="&amp;$B212,BD!$X$3:$X$5001,"&lt;&gt;"))))</f>
        <v/>
      </c>
      <c r="I212" s="42" t="str">
        <f>IF(OR($B212="",$A212&gt;$B$9),"",IF(COUNTIFS(BD!$B$3:$B$5001,I$208,BD!$A$3:$A$5001,"&gt;="&amp;$C$7,BD!$A$3:$A$5001,"&lt;="&amp;$B212,BD!$X$3:$X$5001,"&lt;&gt;")=0,"",SUMIFS(BD!$X$3:$X$5001,BD!$B$3:$B$5001,I$208,BD!$A$3:$A$5001,_xlfn.MAXIFS(BD!$A$3:$A$5001,BD!$B$3:$B$5001,I$208,BD!$A$3:$A$5001,"&gt;="&amp;$C$7,BD!$A$3:$A$5001,"&lt;="&amp;$B212,BD!$X$3:$X$5001,"&lt;&gt;"))))</f>
        <v/>
      </c>
      <c r="J212" s="42" t="str">
        <f>IF(OR($B212="",$A212&gt;$B$9),"",IF(COUNTIFS(BD!$B$3:$B$5001,J$208,BD!$A$3:$A$5001,"&gt;="&amp;$C$7,BD!$A$3:$A$5001,"&lt;="&amp;$B212,BD!$X$3:$X$5001,"&lt;&gt;")=0,"",SUMIFS(BD!$X$3:$X$5001,BD!$B$3:$B$5001,J$208,BD!$A$3:$A$5001,_xlfn.MAXIFS(BD!$A$3:$A$5001,BD!$B$3:$B$5001,J$208,BD!$A$3:$A$5001,"&gt;="&amp;$C$7,BD!$A$3:$A$5001,"&lt;="&amp;$B212,BD!$X$3:$X$5001,"&lt;&gt;"))))</f>
        <v/>
      </c>
      <c r="K212" s="42" t="str">
        <f>IF(OR($B212="",$A212&gt;$B$9),"",IF(COUNTIFS(BD!$B$3:$B$5001,K$208,BD!$A$3:$A$5001,"&gt;="&amp;$C$7,BD!$A$3:$A$5001,"&lt;="&amp;$B212,BD!$X$3:$X$5001,"&lt;&gt;")=0,"",SUMIFS(BD!$X$3:$X$5001,BD!$B$3:$B$5001,K$208,BD!$A$3:$A$5001,_xlfn.MAXIFS(BD!$A$3:$A$5001,BD!$B$3:$B$5001,K$208,BD!$A$3:$A$5001,"&gt;="&amp;$C$7,BD!$A$3:$A$5001,"&lt;="&amp;$B212,BD!$X$3:$X$5001,"&lt;&gt;"))))</f>
        <v/>
      </c>
      <c r="L212" s="42" t="str">
        <f>IF(OR($B212="",$A212&gt;$B$9),"",IF(COUNTIFS(BD!$B$3:$B$5001,L$208,BD!$A$3:$A$5001,"&gt;="&amp;$C$7,BD!$A$3:$A$5001,"&lt;="&amp;$B212,BD!$X$3:$X$5001,"&lt;&gt;")=0,"",SUMIFS(BD!$X$3:$X$5001,BD!$B$3:$B$5001,L$208,BD!$A$3:$A$5001,_xlfn.MAXIFS(BD!$A$3:$A$5001,BD!$B$3:$B$5001,L$208,BD!$A$3:$A$5001,"&gt;="&amp;$C$7,BD!$A$3:$A$5001,"&lt;="&amp;$B212,BD!$X$3:$X$5001,"&lt;&gt;"))))</f>
        <v/>
      </c>
    </row>
    <row r="213">
      <c r="A213" s="40">
        <v>5</v>
      </c>
      <c r="B213" s="41">
        <f>$B$16</f>
        <v>46300</v>
      </c>
      <c r="C213" s="42" t="str">
        <f>IF(OR($B213="",$A213&gt;$B$9),"",IF(COUNTIFS(BD!$B$3:$B$5001,C$208,BD!$A$3:$A$5001,"&gt;="&amp;$C$7,BD!$A$3:$A$5001,"&lt;="&amp;$B213,BD!$X$3:$X$5001,"&lt;&gt;")=0,"",SUMIFS(BD!$X$3:$X$5001,BD!$B$3:$B$5001,C$208,BD!$A$3:$A$5001,_xlfn.MAXIFS(BD!$A$3:$A$5001,BD!$B$3:$B$5001,C$208,BD!$A$3:$A$5001,"&gt;="&amp;$C$7,BD!$A$3:$A$5001,"&lt;="&amp;$B213,BD!$X$3:$X$5001,"&lt;&gt;"))))</f>
        <v/>
      </c>
      <c r="D213" s="42" t="str">
        <f>IF(OR($B213="",$A213&gt;$B$9),"",IF(COUNTIFS(BD!$B$3:$B$5001,D$208,BD!$A$3:$A$5001,"&gt;="&amp;$C$7,BD!$A$3:$A$5001,"&lt;="&amp;$B213,BD!$X$3:$X$5001,"&lt;&gt;")=0,"",SUMIFS(BD!$X$3:$X$5001,BD!$B$3:$B$5001,D$208,BD!$A$3:$A$5001,_xlfn.MAXIFS(BD!$A$3:$A$5001,BD!$B$3:$B$5001,D$208,BD!$A$3:$A$5001,"&gt;="&amp;$C$7,BD!$A$3:$A$5001,"&lt;="&amp;$B213,BD!$X$3:$X$5001,"&lt;&gt;"))))</f>
        <v/>
      </c>
      <c r="E213" s="42" t="str">
        <f>IF(OR($B213="",$A213&gt;$B$9),"",IF(COUNTIFS(BD!$B$3:$B$5001,E$208,BD!$A$3:$A$5001,"&gt;="&amp;$C$7,BD!$A$3:$A$5001,"&lt;="&amp;$B213,BD!$X$3:$X$5001,"&lt;&gt;")=0,"",SUMIFS(BD!$X$3:$X$5001,BD!$B$3:$B$5001,E$208,BD!$A$3:$A$5001,_xlfn.MAXIFS(BD!$A$3:$A$5001,BD!$B$3:$B$5001,E$208,BD!$A$3:$A$5001,"&gt;="&amp;$C$7,BD!$A$3:$A$5001,"&lt;="&amp;$B213,BD!$X$3:$X$5001,"&lt;&gt;"))))</f>
        <v/>
      </c>
      <c r="F213" s="42" t="str">
        <f>IF(OR($B213="",$A213&gt;$B$9),"",IF(COUNTIFS(BD!$B$3:$B$5001,F$208,BD!$A$3:$A$5001,"&gt;="&amp;$C$7,BD!$A$3:$A$5001,"&lt;="&amp;$B213,BD!$X$3:$X$5001,"&lt;&gt;")=0,"",SUMIFS(BD!$X$3:$X$5001,BD!$B$3:$B$5001,F$208,BD!$A$3:$A$5001,_xlfn.MAXIFS(BD!$A$3:$A$5001,BD!$B$3:$B$5001,F$208,BD!$A$3:$A$5001,"&gt;="&amp;$C$7,BD!$A$3:$A$5001,"&lt;="&amp;$B213,BD!$X$3:$X$5001,"&lt;&gt;"))))</f>
        <v/>
      </c>
      <c r="G213" s="42" t="str">
        <f>IF(OR($B213="",$A213&gt;$B$9),"",IF(COUNTIFS(BD!$B$3:$B$5001,G$208,BD!$A$3:$A$5001,"&gt;="&amp;$C$7,BD!$A$3:$A$5001,"&lt;="&amp;$B213,BD!$X$3:$X$5001,"&lt;&gt;")=0,"",SUMIFS(BD!$X$3:$X$5001,BD!$B$3:$B$5001,G$208,BD!$A$3:$A$5001,_xlfn.MAXIFS(BD!$A$3:$A$5001,BD!$B$3:$B$5001,G$208,BD!$A$3:$A$5001,"&gt;="&amp;$C$7,BD!$A$3:$A$5001,"&lt;="&amp;$B213,BD!$X$3:$X$5001,"&lt;&gt;"))))</f>
        <v/>
      </c>
      <c r="H213" s="42" t="str">
        <f>IF(OR($B213="",$A213&gt;$B$9),"",IF(COUNTIFS(BD!$B$3:$B$5001,H$208,BD!$A$3:$A$5001,"&gt;="&amp;$C$7,BD!$A$3:$A$5001,"&lt;="&amp;$B213,BD!$X$3:$X$5001,"&lt;&gt;")=0,"",SUMIFS(BD!$X$3:$X$5001,BD!$B$3:$B$5001,H$208,BD!$A$3:$A$5001,_xlfn.MAXIFS(BD!$A$3:$A$5001,BD!$B$3:$B$5001,H$208,BD!$A$3:$A$5001,"&gt;="&amp;$C$7,BD!$A$3:$A$5001,"&lt;="&amp;$B213,BD!$X$3:$X$5001,"&lt;&gt;"))))</f>
        <v/>
      </c>
      <c r="I213" s="42" t="str">
        <f>IF(OR($B213="",$A213&gt;$B$9),"",IF(COUNTIFS(BD!$B$3:$B$5001,I$208,BD!$A$3:$A$5001,"&gt;="&amp;$C$7,BD!$A$3:$A$5001,"&lt;="&amp;$B213,BD!$X$3:$X$5001,"&lt;&gt;")=0,"",SUMIFS(BD!$X$3:$X$5001,BD!$B$3:$B$5001,I$208,BD!$A$3:$A$5001,_xlfn.MAXIFS(BD!$A$3:$A$5001,BD!$B$3:$B$5001,I$208,BD!$A$3:$A$5001,"&gt;="&amp;$C$7,BD!$A$3:$A$5001,"&lt;="&amp;$B213,BD!$X$3:$X$5001,"&lt;&gt;"))))</f>
        <v/>
      </c>
      <c r="J213" s="42" t="str">
        <f>IF(OR($B213="",$A213&gt;$B$9),"",IF(COUNTIFS(BD!$B$3:$B$5001,J$208,BD!$A$3:$A$5001,"&gt;="&amp;$C$7,BD!$A$3:$A$5001,"&lt;="&amp;$B213,BD!$X$3:$X$5001,"&lt;&gt;")=0,"",SUMIFS(BD!$X$3:$X$5001,BD!$B$3:$B$5001,J$208,BD!$A$3:$A$5001,_xlfn.MAXIFS(BD!$A$3:$A$5001,BD!$B$3:$B$5001,J$208,BD!$A$3:$A$5001,"&gt;="&amp;$C$7,BD!$A$3:$A$5001,"&lt;="&amp;$B213,BD!$X$3:$X$5001,"&lt;&gt;"))))</f>
        <v/>
      </c>
      <c r="K213" s="42" t="str">
        <f>IF(OR($B213="",$A213&gt;$B$9),"",IF(COUNTIFS(BD!$B$3:$B$5001,K$208,BD!$A$3:$A$5001,"&gt;="&amp;$C$7,BD!$A$3:$A$5001,"&lt;="&amp;$B213,BD!$X$3:$X$5001,"&lt;&gt;")=0,"",SUMIFS(BD!$X$3:$X$5001,BD!$B$3:$B$5001,K$208,BD!$A$3:$A$5001,_xlfn.MAXIFS(BD!$A$3:$A$5001,BD!$B$3:$B$5001,K$208,BD!$A$3:$A$5001,"&gt;="&amp;$C$7,BD!$A$3:$A$5001,"&lt;="&amp;$B213,BD!$X$3:$X$5001,"&lt;&gt;"))))</f>
        <v/>
      </c>
      <c r="L213" s="42" t="str">
        <f>IF(OR($B213="",$A213&gt;$B$9),"",IF(COUNTIFS(BD!$B$3:$B$5001,L$208,BD!$A$3:$A$5001,"&gt;="&amp;$C$7,BD!$A$3:$A$5001,"&lt;="&amp;$B213,BD!$X$3:$X$5001,"&lt;&gt;")=0,"",SUMIFS(BD!$X$3:$X$5001,BD!$B$3:$B$5001,L$208,BD!$A$3:$A$5001,_xlfn.MAXIFS(BD!$A$3:$A$5001,BD!$B$3:$B$5001,L$208,BD!$A$3:$A$5001,"&gt;="&amp;$C$7,BD!$A$3:$A$5001,"&lt;="&amp;$B213,BD!$X$3:$X$5001,"&lt;&gt;"))))</f>
        <v/>
      </c>
    </row>
    <row r="214">
      <c r="A214" s="40">
        <v>6</v>
      </c>
      <c r="B214" s="41">
        <f>$B$17</f>
        <v>46301</v>
      </c>
      <c r="C214" s="42" t="str">
        <f>IF(OR($B214="",$A214&gt;$B$9),"",IF(COUNTIFS(BD!$B$3:$B$5001,C$208,BD!$A$3:$A$5001,"&gt;="&amp;$C$7,BD!$A$3:$A$5001,"&lt;="&amp;$B214,BD!$X$3:$X$5001,"&lt;&gt;")=0,"",SUMIFS(BD!$X$3:$X$5001,BD!$B$3:$B$5001,C$208,BD!$A$3:$A$5001,_xlfn.MAXIFS(BD!$A$3:$A$5001,BD!$B$3:$B$5001,C$208,BD!$A$3:$A$5001,"&gt;="&amp;$C$7,BD!$A$3:$A$5001,"&lt;="&amp;$B214,BD!$X$3:$X$5001,"&lt;&gt;"))))</f>
        <v/>
      </c>
      <c r="D214" s="42" t="str">
        <f>IF(OR($B214="",$A214&gt;$B$9),"",IF(COUNTIFS(BD!$B$3:$B$5001,D$208,BD!$A$3:$A$5001,"&gt;="&amp;$C$7,BD!$A$3:$A$5001,"&lt;="&amp;$B214,BD!$X$3:$X$5001,"&lt;&gt;")=0,"",SUMIFS(BD!$X$3:$X$5001,BD!$B$3:$B$5001,D$208,BD!$A$3:$A$5001,_xlfn.MAXIFS(BD!$A$3:$A$5001,BD!$B$3:$B$5001,D$208,BD!$A$3:$A$5001,"&gt;="&amp;$C$7,BD!$A$3:$A$5001,"&lt;="&amp;$B214,BD!$X$3:$X$5001,"&lt;&gt;"))))</f>
        <v/>
      </c>
      <c r="E214" s="42" t="str">
        <f>IF(OR($B214="",$A214&gt;$B$9),"",IF(COUNTIFS(BD!$B$3:$B$5001,E$208,BD!$A$3:$A$5001,"&gt;="&amp;$C$7,BD!$A$3:$A$5001,"&lt;="&amp;$B214,BD!$X$3:$X$5001,"&lt;&gt;")=0,"",SUMIFS(BD!$X$3:$X$5001,BD!$B$3:$B$5001,E$208,BD!$A$3:$A$5001,_xlfn.MAXIFS(BD!$A$3:$A$5001,BD!$B$3:$B$5001,E$208,BD!$A$3:$A$5001,"&gt;="&amp;$C$7,BD!$A$3:$A$5001,"&lt;="&amp;$B214,BD!$X$3:$X$5001,"&lt;&gt;"))))</f>
        <v/>
      </c>
      <c r="F214" s="42" t="str">
        <f>IF(OR($B214="",$A214&gt;$B$9),"",IF(COUNTIFS(BD!$B$3:$B$5001,F$208,BD!$A$3:$A$5001,"&gt;="&amp;$C$7,BD!$A$3:$A$5001,"&lt;="&amp;$B214,BD!$X$3:$X$5001,"&lt;&gt;")=0,"",SUMIFS(BD!$X$3:$X$5001,BD!$B$3:$B$5001,F$208,BD!$A$3:$A$5001,_xlfn.MAXIFS(BD!$A$3:$A$5001,BD!$B$3:$B$5001,F$208,BD!$A$3:$A$5001,"&gt;="&amp;$C$7,BD!$A$3:$A$5001,"&lt;="&amp;$B214,BD!$X$3:$X$5001,"&lt;&gt;"))))</f>
        <v/>
      </c>
      <c r="G214" s="42" t="str">
        <f>IF(OR($B214="",$A214&gt;$B$9),"",IF(COUNTIFS(BD!$B$3:$B$5001,G$208,BD!$A$3:$A$5001,"&gt;="&amp;$C$7,BD!$A$3:$A$5001,"&lt;="&amp;$B214,BD!$X$3:$X$5001,"&lt;&gt;")=0,"",SUMIFS(BD!$X$3:$X$5001,BD!$B$3:$B$5001,G$208,BD!$A$3:$A$5001,_xlfn.MAXIFS(BD!$A$3:$A$5001,BD!$B$3:$B$5001,G$208,BD!$A$3:$A$5001,"&gt;="&amp;$C$7,BD!$A$3:$A$5001,"&lt;="&amp;$B214,BD!$X$3:$X$5001,"&lt;&gt;"))))</f>
        <v/>
      </c>
      <c r="H214" s="42" t="str">
        <f>IF(OR($B214="",$A214&gt;$B$9),"",IF(COUNTIFS(BD!$B$3:$B$5001,H$208,BD!$A$3:$A$5001,"&gt;="&amp;$C$7,BD!$A$3:$A$5001,"&lt;="&amp;$B214,BD!$X$3:$X$5001,"&lt;&gt;")=0,"",SUMIFS(BD!$X$3:$X$5001,BD!$B$3:$B$5001,H$208,BD!$A$3:$A$5001,_xlfn.MAXIFS(BD!$A$3:$A$5001,BD!$B$3:$B$5001,H$208,BD!$A$3:$A$5001,"&gt;="&amp;$C$7,BD!$A$3:$A$5001,"&lt;="&amp;$B214,BD!$X$3:$X$5001,"&lt;&gt;"))))</f>
        <v/>
      </c>
      <c r="I214" s="42" t="str">
        <f>IF(OR($B214="",$A214&gt;$B$9),"",IF(COUNTIFS(BD!$B$3:$B$5001,I$208,BD!$A$3:$A$5001,"&gt;="&amp;$C$7,BD!$A$3:$A$5001,"&lt;="&amp;$B214,BD!$X$3:$X$5001,"&lt;&gt;")=0,"",SUMIFS(BD!$X$3:$X$5001,BD!$B$3:$B$5001,I$208,BD!$A$3:$A$5001,_xlfn.MAXIFS(BD!$A$3:$A$5001,BD!$B$3:$B$5001,I$208,BD!$A$3:$A$5001,"&gt;="&amp;$C$7,BD!$A$3:$A$5001,"&lt;="&amp;$B214,BD!$X$3:$X$5001,"&lt;&gt;"))))</f>
        <v/>
      </c>
      <c r="J214" s="42" t="str">
        <f>IF(OR($B214="",$A214&gt;$B$9),"",IF(COUNTIFS(BD!$B$3:$B$5001,J$208,BD!$A$3:$A$5001,"&gt;="&amp;$C$7,BD!$A$3:$A$5001,"&lt;="&amp;$B214,BD!$X$3:$X$5001,"&lt;&gt;")=0,"",SUMIFS(BD!$X$3:$X$5001,BD!$B$3:$B$5001,J$208,BD!$A$3:$A$5001,_xlfn.MAXIFS(BD!$A$3:$A$5001,BD!$B$3:$B$5001,J$208,BD!$A$3:$A$5001,"&gt;="&amp;$C$7,BD!$A$3:$A$5001,"&lt;="&amp;$B214,BD!$X$3:$X$5001,"&lt;&gt;"))))</f>
        <v/>
      </c>
      <c r="K214" s="42" t="str">
        <f>IF(OR($B214="",$A214&gt;$B$9),"",IF(COUNTIFS(BD!$B$3:$B$5001,K$208,BD!$A$3:$A$5001,"&gt;="&amp;$C$7,BD!$A$3:$A$5001,"&lt;="&amp;$B214,BD!$X$3:$X$5001,"&lt;&gt;")=0,"",SUMIFS(BD!$X$3:$X$5001,BD!$B$3:$B$5001,K$208,BD!$A$3:$A$5001,_xlfn.MAXIFS(BD!$A$3:$A$5001,BD!$B$3:$B$5001,K$208,BD!$A$3:$A$5001,"&gt;="&amp;$C$7,BD!$A$3:$A$5001,"&lt;="&amp;$B214,BD!$X$3:$X$5001,"&lt;&gt;"))))</f>
        <v/>
      </c>
      <c r="L214" s="42" t="str">
        <f>IF(OR($B214="",$A214&gt;$B$9),"",IF(COUNTIFS(BD!$B$3:$B$5001,L$208,BD!$A$3:$A$5001,"&gt;="&amp;$C$7,BD!$A$3:$A$5001,"&lt;="&amp;$B214,BD!$X$3:$X$5001,"&lt;&gt;")=0,"",SUMIFS(BD!$X$3:$X$5001,BD!$B$3:$B$5001,L$208,BD!$A$3:$A$5001,_xlfn.MAXIFS(BD!$A$3:$A$5001,BD!$B$3:$B$5001,L$208,BD!$A$3:$A$5001,"&gt;="&amp;$C$7,BD!$A$3:$A$5001,"&lt;="&amp;$B214,BD!$X$3:$X$5001,"&lt;&gt;"))))</f>
        <v/>
      </c>
    </row>
    <row r="215">
      <c r="A215" s="40">
        <v>7</v>
      </c>
      <c r="B215" s="41">
        <f>$B$18</f>
        <v>46302</v>
      </c>
      <c r="C215" s="42" t="str">
        <f>IF(OR($B215="",$A215&gt;$B$9),"",IF(COUNTIFS(BD!$B$3:$B$5001,C$208,BD!$A$3:$A$5001,"&gt;="&amp;$C$7,BD!$A$3:$A$5001,"&lt;="&amp;$B215,BD!$X$3:$X$5001,"&lt;&gt;")=0,"",SUMIFS(BD!$X$3:$X$5001,BD!$B$3:$B$5001,C$208,BD!$A$3:$A$5001,_xlfn.MAXIFS(BD!$A$3:$A$5001,BD!$B$3:$B$5001,C$208,BD!$A$3:$A$5001,"&gt;="&amp;$C$7,BD!$A$3:$A$5001,"&lt;="&amp;$B215,BD!$X$3:$X$5001,"&lt;&gt;"))))</f>
        <v/>
      </c>
      <c r="D215" s="42" t="str">
        <f>IF(OR($B215="",$A215&gt;$B$9),"",IF(COUNTIFS(BD!$B$3:$B$5001,D$208,BD!$A$3:$A$5001,"&gt;="&amp;$C$7,BD!$A$3:$A$5001,"&lt;="&amp;$B215,BD!$X$3:$X$5001,"&lt;&gt;")=0,"",SUMIFS(BD!$X$3:$X$5001,BD!$B$3:$B$5001,D$208,BD!$A$3:$A$5001,_xlfn.MAXIFS(BD!$A$3:$A$5001,BD!$B$3:$B$5001,D$208,BD!$A$3:$A$5001,"&gt;="&amp;$C$7,BD!$A$3:$A$5001,"&lt;="&amp;$B215,BD!$X$3:$X$5001,"&lt;&gt;"))))</f>
        <v/>
      </c>
      <c r="E215" s="42" t="str">
        <f>IF(OR($B215="",$A215&gt;$B$9),"",IF(COUNTIFS(BD!$B$3:$B$5001,E$208,BD!$A$3:$A$5001,"&gt;="&amp;$C$7,BD!$A$3:$A$5001,"&lt;="&amp;$B215,BD!$X$3:$X$5001,"&lt;&gt;")=0,"",SUMIFS(BD!$X$3:$X$5001,BD!$B$3:$B$5001,E$208,BD!$A$3:$A$5001,_xlfn.MAXIFS(BD!$A$3:$A$5001,BD!$B$3:$B$5001,E$208,BD!$A$3:$A$5001,"&gt;="&amp;$C$7,BD!$A$3:$A$5001,"&lt;="&amp;$B215,BD!$X$3:$X$5001,"&lt;&gt;"))))</f>
        <v/>
      </c>
      <c r="F215" s="42" t="str">
        <f>IF(OR($B215="",$A215&gt;$B$9),"",IF(COUNTIFS(BD!$B$3:$B$5001,F$208,BD!$A$3:$A$5001,"&gt;="&amp;$C$7,BD!$A$3:$A$5001,"&lt;="&amp;$B215,BD!$X$3:$X$5001,"&lt;&gt;")=0,"",SUMIFS(BD!$X$3:$X$5001,BD!$B$3:$B$5001,F$208,BD!$A$3:$A$5001,_xlfn.MAXIFS(BD!$A$3:$A$5001,BD!$B$3:$B$5001,F$208,BD!$A$3:$A$5001,"&gt;="&amp;$C$7,BD!$A$3:$A$5001,"&lt;="&amp;$B215,BD!$X$3:$X$5001,"&lt;&gt;"))))</f>
        <v/>
      </c>
      <c r="G215" s="42" t="str">
        <f>IF(OR($B215="",$A215&gt;$B$9),"",IF(COUNTIFS(BD!$B$3:$B$5001,G$208,BD!$A$3:$A$5001,"&gt;="&amp;$C$7,BD!$A$3:$A$5001,"&lt;="&amp;$B215,BD!$X$3:$X$5001,"&lt;&gt;")=0,"",SUMIFS(BD!$X$3:$X$5001,BD!$B$3:$B$5001,G$208,BD!$A$3:$A$5001,_xlfn.MAXIFS(BD!$A$3:$A$5001,BD!$B$3:$B$5001,G$208,BD!$A$3:$A$5001,"&gt;="&amp;$C$7,BD!$A$3:$A$5001,"&lt;="&amp;$B215,BD!$X$3:$X$5001,"&lt;&gt;"))))</f>
        <v/>
      </c>
      <c r="H215" s="42" t="str">
        <f>IF(OR($B215="",$A215&gt;$B$9),"",IF(COUNTIFS(BD!$B$3:$B$5001,H$208,BD!$A$3:$A$5001,"&gt;="&amp;$C$7,BD!$A$3:$A$5001,"&lt;="&amp;$B215,BD!$X$3:$X$5001,"&lt;&gt;")=0,"",SUMIFS(BD!$X$3:$X$5001,BD!$B$3:$B$5001,H$208,BD!$A$3:$A$5001,_xlfn.MAXIFS(BD!$A$3:$A$5001,BD!$B$3:$B$5001,H$208,BD!$A$3:$A$5001,"&gt;="&amp;$C$7,BD!$A$3:$A$5001,"&lt;="&amp;$B215,BD!$X$3:$X$5001,"&lt;&gt;"))))</f>
        <v/>
      </c>
      <c r="I215" s="42" t="str">
        <f>IF(OR($B215="",$A215&gt;$B$9),"",IF(COUNTIFS(BD!$B$3:$B$5001,I$208,BD!$A$3:$A$5001,"&gt;="&amp;$C$7,BD!$A$3:$A$5001,"&lt;="&amp;$B215,BD!$X$3:$X$5001,"&lt;&gt;")=0,"",SUMIFS(BD!$X$3:$X$5001,BD!$B$3:$B$5001,I$208,BD!$A$3:$A$5001,_xlfn.MAXIFS(BD!$A$3:$A$5001,BD!$B$3:$B$5001,I$208,BD!$A$3:$A$5001,"&gt;="&amp;$C$7,BD!$A$3:$A$5001,"&lt;="&amp;$B215,BD!$X$3:$X$5001,"&lt;&gt;"))))</f>
        <v/>
      </c>
      <c r="J215" s="42" t="str">
        <f>IF(OR($B215="",$A215&gt;$B$9),"",IF(COUNTIFS(BD!$B$3:$B$5001,J$208,BD!$A$3:$A$5001,"&gt;="&amp;$C$7,BD!$A$3:$A$5001,"&lt;="&amp;$B215,BD!$X$3:$X$5001,"&lt;&gt;")=0,"",SUMIFS(BD!$X$3:$X$5001,BD!$B$3:$B$5001,J$208,BD!$A$3:$A$5001,_xlfn.MAXIFS(BD!$A$3:$A$5001,BD!$B$3:$B$5001,J$208,BD!$A$3:$A$5001,"&gt;="&amp;$C$7,BD!$A$3:$A$5001,"&lt;="&amp;$B215,BD!$X$3:$X$5001,"&lt;&gt;"))))</f>
        <v/>
      </c>
      <c r="K215" s="42" t="str">
        <f>IF(OR($B215="",$A215&gt;$B$9),"",IF(COUNTIFS(BD!$B$3:$B$5001,K$208,BD!$A$3:$A$5001,"&gt;="&amp;$C$7,BD!$A$3:$A$5001,"&lt;="&amp;$B215,BD!$X$3:$X$5001,"&lt;&gt;")=0,"",SUMIFS(BD!$X$3:$X$5001,BD!$B$3:$B$5001,K$208,BD!$A$3:$A$5001,_xlfn.MAXIFS(BD!$A$3:$A$5001,BD!$B$3:$B$5001,K$208,BD!$A$3:$A$5001,"&gt;="&amp;$C$7,BD!$A$3:$A$5001,"&lt;="&amp;$B215,BD!$X$3:$X$5001,"&lt;&gt;"))))</f>
        <v/>
      </c>
      <c r="L215" s="42" t="str">
        <f>IF(OR($B215="",$A215&gt;$B$9),"",IF(COUNTIFS(BD!$B$3:$B$5001,L$208,BD!$A$3:$A$5001,"&gt;="&amp;$C$7,BD!$A$3:$A$5001,"&lt;="&amp;$B215,BD!$X$3:$X$5001,"&lt;&gt;")=0,"",SUMIFS(BD!$X$3:$X$5001,BD!$B$3:$B$5001,L$208,BD!$A$3:$A$5001,_xlfn.MAXIFS(BD!$A$3:$A$5001,BD!$B$3:$B$5001,L$208,BD!$A$3:$A$5001,"&gt;="&amp;$C$7,BD!$A$3:$A$5001,"&lt;="&amp;$B215,BD!$X$3:$X$5001,"&lt;&gt;"))))</f>
        <v/>
      </c>
    </row>
    <row r="216">
      <c r="A216" s="40">
        <v>8</v>
      </c>
      <c r="B216" s="41">
        <f>$B$19</f>
        <v>46303</v>
      </c>
      <c r="C216" s="42" t="str">
        <f>IF(OR($B216="",$A216&gt;$B$9),"",IF(COUNTIFS(BD!$B$3:$B$5001,C$208,BD!$A$3:$A$5001,"&gt;="&amp;$C$7,BD!$A$3:$A$5001,"&lt;="&amp;$B216,BD!$X$3:$X$5001,"&lt;&gt;")=0,"",SUMIFS(BD!$X$3:$X$5001,BD!$B$3:$B$5001,C$208,BD!$A$3:$A$5001,_xlfn.MAXIFS(BD!$A$3:$A$5001,BD!$B$3:$B$5001,C$208,BD!$A$3:$A$5001,"&gt;="&amp;$C$7,BD!$A$3:$A$5001,"&lt;="&amp;$B216,BD!$X$3:$X$5001,"&lt;&gt;"))))</f>
        <v/>
      </c>
      <c r="D216" s="42" t="str">
        <f>IF(OR($B216="",$A216&gt;$B$9),"",IF(COUNTIFS(BD!$B$3:$B$5001,D$208,BD!$A$3:$A$5001,"&gt;="&amp;$C$7,BD!$A$3:$A$5001,"&lt;="&amp;$B216,BD!$X$3:$X$5001,"&lt;&gt;")=0,"",SUMIFS(BD!$X$3:$X$5001,BD!$B$3:$B$5001,D$208,BD!$A$3:$A$5001,_xlfn.MAXIFS(BD!$A$3:$A$5001,BD!$B$3:$B$5001,D$208,BD!$A$3:$A$5001,"&gt;="&amp;$C$7,BD!$A$3:$A$5001,"&lt;="&amp;$B216,BD!$X$3:$X$5001,"&lt;&gt;"))))</f>
        <v/>
      </c>
      <c r="E216" s="42" t="str">
        <f>IF(OR($B216="",$A216&gt;$B$9),"",IF(COUNTIFS(BD!$B$3:$B$5001,E$208,BD!$A$3:$A$5001,"&gt;="&amp;$C$7,BD!$A$3:$A$5001,"&lt;="&amp;$B216,BD!$X$3:$X$5001,"&lt;&gt;")=0,"",SUMIFS(BD!$X$3:$X$5001,BD!$B$3:$B$5001,E$208,BD!$A$3:$A$5001,_xlfn.MAXIFS(BD!$A$3:$A$5001,BD!$B$3:$B$5001,E$208,BD!$A$3:$A$5001,"&gt;="&amp;$C$7,BD!$A$3:$A$5001,"&lt;="&amp;$B216,BD!$X$3:$X$5001,"&lt;&gt;"))))</f>
        <v/>
      </c>
      <c r="F216" s="42" t="str">
        <f>IF(OR($B216="",$A216&gt;$B$9),"",IF(COUNTIFS(BD!$B$3:$B$5001,F$208,BD!$A$3:$A$5001,"&gt;="&amp;$C$7,BD!$A$3:$A$5001,"&lt;="&amp;$B216,BD!$X$3:$X$5001,"&lt;&gt;")=0,"",SUMIFS(BD!$X$3:$X$5001,BD!$B$3:$B$5001,F$208,BD!$A$3:$A$5001,_xlfn.MAXIFS(BD!$A$3:$A$5001,BD!$B$3:$B$5001,F$208,BD!$A$3:$A$5001,"&gt;="&amp;$C$7,BD!$A$3:$A$5001,"&lt;="&amp;$B216,BD!$X$3:$X$5001,"&lt;&gt;"))))</f>
        <v/>
      </c>
      <c r="G216" s="42" t="str">
        <f>IF(OR($B216="",$A216&gt;$B$9),"",IF(COUNTIFS(BD!$B$3:$B$5001,G$208,BD!$A$3:$A$5001,"&gt;="&amp;$C$7,BD!$A$3:$A$5001,"&lt;="&amp;$B216,BD!$X$3:$X$5001,"&lt;&gt;")=0,"",SUMIFS(BD!$X$3:$X$5001,BD!$B$3:$B$5001,G$208,BD!$A$3:$A$5001,_xlfn.MAXIFS(BD!$A$3:$A$5001,BD!$B$3:$B$5001,G$208,BD!$A$3:$A$5001,"&gt;="&amp;$C$7,BD!$A$3:$A$5001,"&lt;="&amp;$B216,BD!$X$3:$X$5001,"&lt;&gt;"))))</f>
        <v/>
      </c>
      <c r="H216" s="42" t="str">
        <f>IF(OR($B216="",$A216&gt;$B$9),"",IF(COUNTIFS(BD!$B$3:$B$5001,H$208,BD!$A$3:$A$5001,"&gt;="&amp;$C$7,BD!$A$3:$A$5001,"&lt;="&amp;$B216,BD!$X$3:$X$5001,"&lt;&gt;")=0,"",SUMIFS(BD!$X$3:$X$5001,BD!$B$3:$B$5001,H$208,BD!$A$3:$A$5001,_xlfn.MAXIFS(BD!$A$3:$A$5001,BD!$B$3:$B$5001,H$208,BD!$A$3:$A$5001,"&gt;="&amp;$C$7,BD!$A$3:$A$5001,"&lt;="&amp;$B216,BD!$X$3:$X$5001,"&lt;&gt;"))))</f>
        <v/>
      </c>
      <c r="I216" s="42" t="str">
        <f>IF(OR($B216="",$A216&gt;$B$9),"",IF(COUNTIFS(BD!$B$3:$B$5001,I$208,BD!$A$3:$A$5001,"&gt;="&amp;$C$7,BD!$A$3:$A$5001,"&lt;="&amp;$B216,BD!$X$3:$X$5001,"&lt;&gt;")=0,"",SUMIFS(BD!$X$3:$X$5001,BD!$B$3:$B$5001,I$208,BD!$A$3:$A$5001,_xlfn.MAXIFS(BD!$A$3:$A$5001,BD!$B$3:$B$5001,I$208,BD!$A$3:$A$5001,"&gt;="&amp;$C$7,BD!$A$3:$A$5001,"&lt;="&amp;$B216,BD!$X$3:$X$5001,"&lt;&gt;"))))</f>
        <v/>
      </c>
      <c r="J216" s="42" t="str">
        <f>IF(OR($B216="",$A216&gt;$B$9),"",IF(COUNTIFS(BD!$B$3:$B$5001,J$208,BD!$A$3:$A$5001,"&gt;="&amp;$C$7,BD!$A$3:$A$5001,"&lt;="&amp;$B216,BD!$X$3:$X$5001,"&lt;&gt;")=0,"",SUMIFS(BD!$X$3:$X$5001,BD!$B$3:$B$5001,J$208,BD!$A$3:$A$5001,_xlfn.MAXIFS(BD!$A$3:$A$5001,BD!$B$3:$B$5001,J$208,BD!$A$3:$A$5001,"&gt;="&amp;$C$7,BD!$A$3:$A$5001,"&lt;="&amp;$B216,BD!$X$3:$X$5001,"&lt;&gt;"))))</f>
        <v/>
      </c>
      <c r="K216" s="42" t="str">
        <f>IF(OR($B216="",$A216&gt;$B$9),"",IF(COUNTIFS(BD!$B$3:$B$5001,K$208,BD!$A$3:$A$5001,"&gt;="&amp;$C$7,BD!$A$3:$A$5001,"&lt;="&amp;$B216,BD!$X$3:$X$5001,"&lt;&gt;")=0,"",SUMIFS(BD!$X$3:$X$5001,BD!$B$3:$B$5001,K$208,BD!$A$3:$A$5001,_xlfn.MAXIFS(BD!$A$3:$A$5001,BD!$B$3:$B$5001,K$208,BD!$A$3:$A$5001,"&gt;="&amp;$C$7,BD!$A$3:$A$5001,"&lt;="&amp;$B216,BD!$X$3:$X$5001,"&lt;&gt;"))))</f>
        <v/>
      </c>
      <c r="L216" s="42" t="str">
        <f>IF(OR($B216="",$A216&gt;$B$9),"",IF(COUNTIFS(BD!$B$3:$B$5001,L$208,BD!$A$3:$A$5001,"&gt;="&amp;$C$7,BD!$A$3:$A$5001,"&lt;="&amp;$B216,BD!$X$3:$X$5001,"&lt;&gt;")=0,"",SUMIFS(BD!$X$3:$X$5001,BD!$B$3:$B$5001,L$208,BD!$A$3:$A$5001,_xlfn.MAXIFS(BD!$A$3:$A$5001,BD!$B$3:$B$5001,L$208,BD!$A$3:$A$5001,"&gt;="&amp;$C$7,BD!$A$3:$A$5001,"&lt;="&amp;$B216,BD!$X$3:$X$5001,"&lt;&gt;"))))</f>
        <v/>
      </c>
    </row>
    <row r="217">
      <c r="A217" s="40">
        <v>9</v>
      </c>
      <c r="B217" s="41">
        <f>$B$20</f>
        <v>46304</v>
      </c>
      <c r="C217" s="42" t="str">
        <f>IF(OR($B217="",$A217&gt;$B$9),"",IF(COUNTIFS(BD!$B$3:$B$5001,C$208,BD!$A$3:$A$5001,"&gt;="&amp;$C$7,BD!$A$3:$A$5001,"&lt;="&amp;$B217,BD!$X$3:$X$5001,"&lt;&gt;")=0,"",SUMIFS(BD!$X$3:$X$5001,BD!$B$3:$B$5001,C$208,BD!$A$3:$A$5001,_xlfn.MAXIFS(BD!$A$3:$A$5001,BD!$B$3:$B$5001,C$208,BD!$A$3:$A$5001,"&gt;="&amp;$C$7,BD!$A$3:$A$5001,"&lt;="&amp;$B217,BD!$X$3:$X$5001,"&lt;&gt;"))))</f>
        <v/>
      </c>
      <c r="D217" s="42" t="str">
        <f>IF(OR($B217="",$A217&gt;$B$9),"",IF(COUNTIFS(BD!$B$3:$B$5001,D$208,BD!$A$3:$A$5001,"&gt;="&amp;$C$7,BD!$A$3:$A$5001,"&lt;="&amp;$B217,BD!$X$3:$X$5001,"&lt;&gt;")=0,"",SUMIFS(BD!$X$3:$X$5001,BD!$B$3:$B$5001,D$208,BD!$A$3:$A$5001,_xlfn.MAXIFS(BD!$A$3:$A$5001,BD!$B$3:$B$5001,D$208,BD!$A$3:$A$5001,"&gt;="&amp;$C$7,BD!$A$3:$A$5001,"&lt;="&amp;$B217,BD!$X$3:$X$5001,"&lt;&gt;"))))</f>
        <v/>
      </c>
      <c r="E217" s="42" t="str">
        <f>IF(OR($B217="",$A217&gt;$B$9),"",IF(COUNTIFS(BD!$B$3:$B$5001,E$208,BD!$A$3:$A$5001,"&gt;="&amp;$C$7,BD!$A$3:$A$5001,"&lt;="&amp;$B217,BD!$X$3:$X$5001,"&lt;&gt;")=0,"",SUMIFS(BD!$X$3:$X$5001,BD!$B$3:$B$5001,E$208,BD!$A$3:$A$5001,_xlfn.MAXIFS(BD!$A$3:$A$5001,BD!$B$3:$B$5001,E$208,BD!$A$3:$A$5001,"&gt;="&amp;$C$7,BD!$A$3:$A$5001,"&lt;="&amp;$B217,BD!$X$3:$X$5001,"&lt;&gt;"))))</f>
        <v/>
      </c>
      <c r="F217" s="42" t="str">
        <f>IF(OR($B217="",$A217&gt;$B$9),"",IF(COUNTIFS(BD!$B$3:$B$5001,F$208,BD!$A$3:$A$5001,"&gt;="&amp;$C$7,BD!$A$3:$A$5001,"&lt;="&amp;$B217,BD!$X$3:$X$5001,"&lt;&gt;")=0,"",SUMIFS(BD!$X$3:$X$5001,BD!$B$3:$B$5001,F$208,BD!$A$3:$A$5001,_xlfn.MAXIFS(BD!$A$3:$A$5001,BD!$B$3:$B$5001,F$208,BD!$A$3:$A$5001,"&gt;="&amp;$C$7,BD!$A$3:$A$5001,"&lt;="&amp;$B217,BD!$X$3:$X$5001,"&lt;&gt;"))))</f>
        <v/>
      </c>
      <c r="G217" s="42" t="str">
        <f>IF(OR($B217="",$A217&gt;$B$9),"",IF(COUNTIFS(BD!$B$3:$B$5001,G$208,BD!$A$3:$A$5001,"&gt;="&amp;$C$7,BD!$A$3:$A$5001,"&lt;="&amp;$B217,BD!$X$3:$X$5001,"&lt;&gt;")=0,"",SUMIFS(BD!$X$3:$X$5001,BD!$B$3:$B$5001,G$208,BD!$A$3:$A$5001,_xlfn.MAXIFS(BD!$A$3:$A$5001,BD!$B$3:$B$5001,G$208,BD!$A$3:$A$5001,"&gt;="&amp;$C$7,BD!$A$3:$A$5001,"&lt;="&amp;$B217,BD!$X$3:$X$5001,"&lt;&gt;"))))</f>
        <v/>
      </c>
      <c r="H217" s="42" t="str">
        <f>IF(OR($B217="",$A217&gt;$B$9),"",IF(COUNTIFS(BD!$B$3:$B$5001,H$208,BD!$A$3:$A$5001,"&gt;="&amp;$C$7,BD!$A$3:$A$5001,"&lt;="&amp;$B217,BD!$X$3:$X$5001,"&lt;&gt;")=0,"",SUMIFS(BD!$X$3:$X$5001,BD!$B$3:$B$5001,H$208,BD!$A$3:$A$5001,_xlfn.MAXIFS(BD!$A$3:$A$5001,BD!$B$3:$B$5001,H$208,BD!$A$3:$A$5001,"&gt;="&amp;$C$7,BD!$A$3:$A$5001,"&lt;="&amp;$B217,BD!$X$3:$X$5001,"&lt;&gt;"))))</f>
        <v/>
      </c>
      <c r="I217" s="42" t="str">
        <f>IF(OR($B217="",$A217&gt;$B$9),"",IF(COUNTIFS(BD!$B$3:$B$5001,I$208,BD!$A$3:$A$5001,"&gt;="&amp;$C$7,BD!$A$3:$A$5001,"&lt;="&amp;$B217,BD!$X$3:$X$5001,"&lt;&gt;")=0,"",SUMIFS(BD!$X$3:$X$5001,BD!$B$3:$B$5001,I$208,BD!$A$3:$A$5001,_xlfn.MAXIFS(BD!$A$3:$A$5001,BD!$B$3:$B$5001,I$208,BD!$A$3:$A$5001,"&gt;="&amp;$C$7,BD!$A$3:$A$5001,"&lt;="&amp;$B217,BD!$X$3:$X$5001,"&lt;&gt;"))))</f>
        <v/>
      </c>
      <c r="J217" s="42" t="str">
        <f>IF(OR($B217="",$A217&gt;$B$9),"",IF(COUNTIFS(BD!$B$3:$B$5001,J$208,BD!$A$3:$A$5001,"&gt;="&amp;$C$7,BD!$A$3:$A$5001,"&lt;="&amp;$B217,BD!$X$3:$X$5001,"&lt;&gt;")=0,"",SUMIFS(BD!$X$3:$X$5001,BD!$B$3:$B$5001,J$208,BD!$A$3:$A$5001,_xlfn.MAXIFS(BD!$A$3:$A$5001,BD!$B$3:$B$5001,J$208,BD!$A$3:$A$5001,"&gt;="&amp;$C$7,BD!$A$3:$A$5001,"&lt;="&amp;$B217,BD!$X$3:$X$5001,"&lt;&gt;"))))</f>
        <v/>
      </c>
      <c r="K217" s="42" t="str">
        <f>IF(OR($B217="",$A217&gt;$B$9),"",IF(COUNTIFS(BD!$B$3:$B$5001,K$208,BD!$A$3:$A$5001,"&gt;="&amp;$C$7,BD!$A$3:$A$5001,"&lt;="&amp;$B217,BD!$X$3:$X$5001,"&lt;&gt;")=0,"",SUMIFS(BD!$X$3:$X$5001,BD!$B$3:$B$5001,K$208,BD!$A$3:$A$5001,_xlfn.MAXIFS(BD!$A$3:$A$5001,BD!$B$3:$B$5001,K$208,BD!$A$3:$A$5001,"&gt;="&amp;$C$7,BD!$A$3:$A$5001,"&lt;="&amp;$B217,BD!$X$3:$X$5001,"&lt;&gt;"))))</f>
        <v/>
      </c>
      <c r="L217" s="42" t="str">
        <f>IF(OR($B217="",$A217&gt;$B$9),"",IF(COUNTIFS(BD!$B$3:$B$5001,L$208,BD!$A$3:$A$5001,"&gt;="&amp;$C$7,BD!$A$3:$A$5001,"&lt;="&amp;$B217,BD!$X$3:$X$5001,"&lt;&gt;")=0,"",SUMIFS(BD!$X$3:$X$5001,BD!$B$3:$B$5001,L$208,BD!$A$3:$A$5001,_xlfn.MAXIFS(BD!$A$3:$A$5001,BD!$B$3:$B$5001,L$208,BD!$A$3:$A$5001,"&gt;="&amp;$C$7,BD!$A$3:$A$5001,"&lt;="&amp;$B217,BD!$X$3:$X$5001,"&lt;&gt;"))))</f>
        <v/>
      </c>
    </row>
    <row r="218">
      <c r="A218" s="40">
        <v>10</v>
      </c>
      <c r="B218" s="41">
        <f>$B$21</f>
        <v>46305</v>
      </c>
      <c r="C218" s="42" t="str">
        <f>IF(OR($B218="",$A218&gt;$B$9),"",IF(COUNTIFS(BD!$B$3:$B$5001,C$208,BD!$A$3:$A$5001,"&gt;="&amp;$C$7,BD!$A$3:$A$5001,"&lt;="&amp;$B218,BD!$X$3:$X$5001,"&lt;&gt;")=0,"",SUMIFS(BD!$X$3:$X$5001,BD!$B$3:$B$5001,C$208,BD!$A$3:$A$5001,_xlfn.MAXIFS(BD!$A$3:$A$5001,BD!$B$3:$B$5001,C$208,BD!$A$3:$A$5001,"&gt;="&amp;$C$7,BD!$A$3:$A$5001,"&lt;="&amp;$B218,BD!$X$3:$X$5001,"&lt;&gt;"))))</f>
        <v/>
      </c>
      <c r="D218" s="42" t="str">
        <f>IF(OR($B218="",$A218&gt;$B$9),"",IF(COUNTIFS(BD!$B$3:$B$5001,D$208,BD!$A$3:$A$5001,"&gt;="&amp;$C$7,BD!$A$3:$A$5001,"&lt;="&amp;$B218,BD!$X$3:$X$5001,"&lt;&gt;")=0,"",SUMIFS(BD!$X$3:$X$5001,BD!$B$3:$B$5001,D$208,BD!$A$3:$A$5001,_xlfn.MAXIFS(BD!$A$3:$A$5001,BD!$B$3:$B$5001,D$208,BD!$A$3:$A$5001,"&gt;="&amp;$C$7,BD!$A$3:$A$5001,"&lt;="&amp;$B218,BD!$X$3:$X$5001,"&lt;&gt;"))))</f>
        <v/>
      </c>
      <c r="E218" s="42" t="str">
        <f>IF(OR($B218="",$A218&gt;$B$9),"",IF(COUNTIFS(BD!$B$3:$B$5001,E$208,BD!$A$3:$A$5001,"&gt;="&amp;$C$7,BD!$A$3:$A$5001,"&lt;="&amp;$B218,BD!$X$3:$X$5001,"&lt;&gt;")=0,"",SUMIFS(BD!$X$3:$X$5001,BD!$B$3:$B$5001,E$208,BD!$A$3:$A$5001,_xlfn.MAXIFS(BD!$A$3:$A$5001,BD!$B$3:$B$5001,E$208,BD!$A$3:$A$5001,"&gt;="&amp;$C$7,BD!$A$3:$A$5001,"&lt;="&amp;$B218,BD!$X$3:$X$5001,"&lt;&gt;"))))</f>
        <v/>
      </c>
      <c r="F218" s="42" t="str">
        <f>IF(OR($B218="",$A218&gt;$B$9),"",IF(COUNTIFS(BD!$B$3:$B$5001,F$208,BD!$A$3:$A$5001,"&gt;="&amp;$C$7,BD!$A$3:$A$5001,"&lt;="&amp;$B218,BD!$X$3:$X$5001,"&lt;&gt;")=0,"",SUMIFS(BD!$X$3:$X$5001,BD!$B$3:$B$5001,F$208,BD!$A$3:$A$5001,_xlfn.MAXIFS(BD!$A$3:$A$5001,BD!$B$3:$B$5001,F$208,BD!$A$3:$A$5001,"&gt;="&amp;$C$7,BD!$A$3:$A$5001,"&lt;="&amp;$B218,BD!$X$3:$X$5001,"&lt;&gt;"))))</f>
        <v/>
      </c>
      <c r="G218" s="42" t="str">
        <f>IF(OR($B218="",$A218&gt;$B$9),"",IF(COUNTIFS(BD!$B$3:$B$5001,G$208,BD!$A$3:$A$5001,"&gt;="&amp;$C$7,BD!$A$3:$A$5001,"&lt;="&amp;$B218,BD!$X$3:$X$5001,"&lt;&gt;")=0,"",SUMIFS(BD!$X$3:$X$5001,BD!$B$3:$B$5001,G$208,BD!$A$3:$A$5001,_xlfn.MAXIFS(BD!$A$3:$A$5001,BD!$B$3:$B$5001,G$208,BD!$A$3:$A$5001,"&gt;="&amp;$C$7,BD!$A$3:$A$5001,"&lt;="&amp;$B218,BD!$X$3:$X$5001,"&lt;&gt;"))))</f>
        <v/>
      </c>
      <c r="H218" s="42" t="str">
        <f>IF(OR($B218="",$A218&gt;$B$9),"",IF(COUNTIFS(BD!$B$3:$B$5001,H$208,BD!$A$3:$A$5001,"&gt;="&amp;$C$7,BD!$A$3:$A$5001,"&lt;="&amp;$B218,BD!$X$3:$X$5001,"&lt;&gt;")=0,"",SUMIFS(BD!$X$3:$X$5001,BD!$B$3:$B$5001,H$208,BD!$A$3:$A$5001,_xlfn.MAXIFS(BD!$A$3:$A$5001,BD!$B$3:$B$5001,H$208,BD!$A$3:$A$5001,"&gt;="&amp;$C$7,BD!$A$3:$A$5001,"&lt;="&amp;$B218,BD!$X$3:$X$5001,"&lt;&gt;"))))</f>
        <v/>
      </c>
      <c r="I218" s="42" t="str">
        <f>IF(OR($B218="",$A218&gt;$B$9),"",IF(COUNTIFS(BD!$B$3:$B$5001,I$208,BD!$A$3:$A$5001,"&gt;="&amp;$C$7,BD!$A$3:$A$5001,"&lt;="&amp;$B218,BD!$X$3:$X$5001,"&lt;&gt;")=0,"",SUMIFS(BD!$X$3:$X$5001,BD!$B$3:$B$5001,I$208,BD!$A$3:$A$5001,_xlfn.MAXIFS(BD!$A$3:$A$5001,BD!$B$3:$B$5001,I$208,BD!$A$3:$A$5001,"&gt;="&amp;$C$7,BD!$A$3:$A$5001,"&lt;="&amp;$B218,BD!$X$3:$X$5001,"&lt;&gt;"))))</f>
        <v/>
      </c>
      <c r="J218" s="42" t="str">
        <f>IF(OR($B218="",$A218&gt;$B$9),"",IF(COUNTIFS(BD!$B$3:$B$5001,J$208,BD!$A$3:$A$5001,"&gt;="&amp;$C$7,BD!$A$3:$A$5001,"&lt;="&amp;$B218,BD!$X$3:$X$5001,"&lt;&gt;")=0,"",SUMIFS(BD!$X$3:$X$5001,BD!$B$3:$B$5001,J$208,BD!$A$3:$A$5001,_xlfn.MAXIFS(BD!$A$3:$A$5001,BD!$B$3:$B$5001,J$208,BD!$A$3:$A$5001,"&gt;="&amp;$C$7,BD!$A$3:$A$5001,"&lt;="&amp;$B218,BD!$X$3:$X$5001,"&lt;&gt;"))))</f>
        <v/>
      </c>
      <c r="K218" s="42" t="str">
        <f>IF(OR($B218="",$A218&gt;$B$9),"",IF(COUNTIFS(BD!$B$3:$B$5001,K$208,BD!$A$3:$A$5001,"&gt;="&amp;$C$7,BD!$A$3:$A$5001,"&lt;="&amp;$B218,BD!$X$3:$X$5001,"&lt;&gt;")=0,"",SUMIFS(BD!$X$3:$X$5001,BD!$B$3:$B$5001,K$208,BD!$A$3:$A$5001,_xlfn.MAXIFS(BD!$A$3:$A$5001,BD!$B$3:$B$5001,K$208,BD!$A$3:$A$5001,"&gt;="&amp;$C$7,BD!$A$3:$A$5001,"&lt;="&amp;$B218,BD!$X$3:$X$5001,"&lt;&gt;"))))</f>
        <v/>
      </c>
      <c r="L218" s="42" t="str">
        <f>IF(OR($B218="",$A218&gt;$B$9),"",IF(COUNTIFS(BD!$B$3:$B$5001,L$208,BD!$A$3:$A$5001,"&gt;="&amp;$C$7,BD!$A$3:$A$5001,"&lt;="&amp;$B218,BD!$X$3:$X$5001,"&lt;&gt;")=0,"",SUMIFS(BD!$X$3:$X$5001,BD!$B$3:$B$5001,L$208,BD!$A$3:$A$5001,_xlfn.MAXIFS(BD!$A$3:$A$5001,BD!$B$3:$B$5001,L$208,BD!$A$3:$A$5001,"&gt;="&amp;$C$7,BD!$A$3:$A$5001,"&lt;="&amp;$B218,BD!$X$3:$X$5001,"&lt;&gt;"))))</f>
        <v/>
      </c>
    </row>
    <row r="219">
      <c r="A219" s="40">
        <v>11</v>
      </c>
      <c r="B219" s="41">
        <f>$B$22</f>
        <v>46306</v>
      </c>
      <c r="C219" s="42" t="str">
        <f>IF(OR($B219="",$A219&gt;$B$9),"",IF(COUNTIFS(BD!$B$3:$B$5001,C$208,BD!$A$3:$A$5001,"&gt;="&amp;$C$7,BD!$A$3:$A$5001,"&lt;="&amp;$B219,BD!$X$3:$X$5001,"&lt;&gt;")=0,"",SUMIFS(BD!$X$3:$X$5001,BD!$B$3:$B$5001,C$208,BD!$A$3:$A$5001,_xlfn.MAXIFS(BD!$A$3:$A$5001,BD!$B$3:$B$5001,C$208,BD!$A$3:$A$5001,"&gt;="&amp;$C$7,BD!$A$3:$A$5001,"&lt;="&amp;$B219,BD!$X$3:$X$5001,"&lt;&gt;"))))</f>
        <v/>
      </c>
      <c r="D219" s="42" t="str">
        <f>IF(OR($B219="",$A219&gt;$B$9),"",IF(COUNTIFS(BD!$B$3:$B$5001,D$208,BD!$A$3:$A$5001,"&gt;="&amp;$C$7,BD!$A$3:$A$5001,"&lt;="&amp;$B219,BD!$X$3:$X$5001,"&lt;&gt;")=0,"",SUMIFS(BD!$X$3:$X$5001,BD!$B$3:$B$5001,D$208,BD!$A$3:$A$5001,_xlfn.MAXIFS(BD!$A$3:$A$5001,BD!$B$3:$B$5001,D$208,BD!$A$3:$A$5001,"&gt;="&amp;$C$7,BD!$A$3:$A$5001,"&lt;="&amp;$B219,BD!$X$3:$X$5001,"&lt;&gt;"))))</f>
        <v/>
      </c>
      <c r="E219" s="42" t="str">
        <f>IF(OR($B219="",$A219&gt;$B$9),"",IF(COUNTIFS(BD!$B$3:$B$5001,E$208,BD!$A$3:$A$5001,"&gt;="&amp;$C$7,BD!$A$3:$A$5001,"&lt;="&amp;$B219,BD!$X$3:$X$5001,"&lt;&gt;")=0,"",SUMIFS(BD!$X$3:$X$5001,BD!$B$3:$B$5001,E$208,BD!$A$3:$A$5001,_xlfn.MAXIFS(BD!$A$3:$A$5001,BD!$B$3:$B$5001,E$208,BD!$A$3:$A$5001,"&gt;="&amp;$C$7,BD!$A$3:$A$5001,"&lt;="&amp;$B219,BD!$X$3:$X$5001,"&lt;&gt;"))))</f>
        <v/>
      </c>
      <c r="F219" s="42" t="str">
        <f>IF(OR($B219="",$A219&gt;$B$9),"",IF(COUNTIFS(BD!$B$3:$B$5001,F$208,BD!$A$3:$A$5001,"&gt;="&amp;$C$7,BD!$A$3:$A$5001,"&lt;="&amp;$B219,BD!$X$3:$X$5001,"&lt;&gt;")=0,"",SUMIFS(BD!$X$3:$X$5001,BD!$B$3:$B$5001,F$208,BD!$A$3:$A$5001,_xlfn.MAXIFS(BD!$A$3:$A$5001,BD!$B$3:$B$5001,F$208,BD!$A$3:$A$5001,"&gt;="&amp;$C$7,BD!$A$3:$A$5001,"&lt;="&amp;$B219,BD!$X$3:$X$5001,"&lt;&gt;"))))</f>
        <v/>
      </c>
      <c r="G219" s="42" t="str">
        <f>IF(OR($B219="",$A219&gt;$B$9),"",IF(COUNTIFS(BD!$B$3:$B$5001,G$208,BD!$A$3:$A$5001,"&gt;="&amp;$C$7,BD!$A$3:$A$5001,"&lt;="&amp;$B219,BD!$X$3:$X$5001,"&lt;&gt;")=0,"",SUMIFS(BD!$X$3:$X$5001,BD!$B$3:$B$5001,G$208,BD!$A$3:$A$5001,_xlfn.MAXIFS(BD!$A$3:$A$5001,BD!$B$3:$B$5001,G$208,BD!$A$3:$A$5001,"&gt;="&amp;$C$7,BD!$A$3:$A$5001,"&lt;="&amp;$B219,BD!$X$3:$X$5001,"&lt;&gt;"))))</f>
        <v/>
      </c>
      <c r="H219" s="42" t="str">
        <f>IF(OR($B219="",$A219&gt;$B$9),"",IF(COUNTIFS(BD!$B$3:$B$5001,H$208,BD!$A$3:$A$5001,"&gt;="&amp;$C$7,BD!$A$3:$A$5001,"&lt;="&amp;$B219,BD!$X$3:$X$5001,"&lt;&gt;")=0,"",SUMIFS(BD!$X$3:$X$5001,BD!$B$3:$B$5001,H$208,BD!$A$3:$A$5001,_xlfn.MAXIFS(BD!$A$3:$A$5001,BD!$B$3:$B$5001,H$208,BD!$A$3:$A$5001,"&gt;="&amp;$C$7,BD!$A$3:$A$5001,"&lt;="&amp;$B219,BD!$X$3:$X$5001,"&lt;&gt;"))))</f>
        <v/>
      </c>
      <c r="I219" s="42" t="str">
        <f>IF(OR($B219="",$A219&gt;$B$9),"",IF(COUNTIFS(BD!$B$3:$B$5001,I$208,BD!$A$3:$A$5001,"&gt;="&amp;$C$7,BD!$A$3:$A$5001,"&lt;="&amp;$B219,BD!$X$3:$X$5001,"&lt;&gt;")=0,"",SUMIFS(BD!$X$3:$X$5001,BD!$B$3:$B$5001,I$208,BD!$A$3:$A$5001,_xlfn.MAXIFS(BD!$A$3:$A$5001,BD!$B$3:$B$5001,I$208,BD!$A$3:$A$5001,"&gt;="&amp;$C$7,BD!$A$3:$A$5001,"&lt;="&amp;$B219,BD!$X$3:$X$5001,"&lt;&gt;"))))</f>
        <v/>
      </c>
      <c r="J219" s="42" t="str">
        <f>IF(OR($B219="",$A219&gt;$B$9),"",IF(COUNTIFS(BD!$B$3:$B$5001,J$208,BD!$A$3:$A$5001,"&gt;="&amp;$C$7,BD!$A$3:$A$5001,"&lt;="&amp;$B219,BD!$X$3:$X$5001,"&lt;&gt;")=0,"",SUMIFS(BD!$X$3:$X$5001,BD!$B$3:$B$5001,J$208,BD!$A$3:$A$5001,_xlfn.MAXIFS(BD!$A$3:$A$5001,BD!$B$3:$B$5001,J$208,BD!$A$3:$A$5001,"&gt;="&amp;$C$7,BD!$A$3:$A$5001,"&lt;="&amp;$B219,BD!$X$3:$X$5001,"&lt;&gt;"))))</f>
        <v/>
      </c>
      <c r="K219" s="42" t="str">
        <f>IF(OR($B219="",$A219&gt;$B$9),"",IF(COUNTIFS(BD!$B$3:$B$5001,K$208,BD!$A$3:$A$5001,"&gt;="&amp;$C$7,BD!$A$3:$A$5001,"&lt;="&amp;$B219,BD!$X$3:$X$5001,"&lt;&gt;")=0,"",SUMIFS(BD!$X$3:$X$5001,BD!$B$3:$B$5001,K$208,BD!$A$3:$A$5001,_xlfn.MAXIFS(BD!$A$3:$A$5001,BD!$B$3:$B$5001,K$208,BD!$A$3:$A$5001,"&gt;="&amp;$C$7,BD!$A$3:$A$5001,"&lt;="&amp;$B219,BD!$X$3:$X$5001,"&lt;&gt;"))))</f>
        <v/>
      </c>
      <c r="L219" s="42" t="str">
        <f>IF(OR($B219="",$A219&gt;$B$9),"",IF(COUNTIFS(BD!$B$3:$B$5001,L$208,BD!$A$3:$A$5001,"&gt;="&amp;$C$7,BD!$A$3:$A$5001,"&lt;="&amp;$B219,BD!$X$3:$X$5001,"&lt;&gt;")=0,"",SUMIFS(BD!$X$3:$X$5001,BD!$B$3:$B$5001,L$208,BD!$A$3:$A$5001,_xlfn.MAXIFS(BD!$A$3:$A$5001,BD!$B$3:$B$5001,L$208,BD!$A$3:$A$5001,"&gt;="&amp;$C$7,BD!$A$3:$A$5001,"&lt;="&amp;$B219,BD!$X$3:$X$5001,"&lt;&gt;"))))</f>
        <v/>
      </c>
    </row>
    <row r="220">
      <c r="A220" s="40">
        <v>12</v>
      </c>
      <c r="B220" s="41">
        <f>$B$23</f>
        <v>46307</v>
      </c>
      <c r="C220" s="42" t="str">
        <f>IF(OR($B220="",$A220&gt;$B$9),"",IF(COUNTIFS(BD!$B$3:$B$5001,C$208,BD!$A$3:$A$5001,"&gt;="&amp;$C$7,BD!$A$3:$A$5001,"&lt;="&amp;$B220,BD!$X$3:$X$5001,"&lt;&gt;")=0,"",SUMIFS(BD!$X$3:$X$5001,BD!$B$3:$B$5001,C$208,BD!$A$3:$A$5001,_xlfn.MAXIFS(BD!$A$3:$A$5001,BD!$B$3:$B$5001,C$208,BD!$A$3:$A$5001,"&gt;="&amp;$C$7,BD!$A$3:$A$5001,"&lt;="&amp;$B220,BD!$X$3:$X$5001,"&lt;&gt;"))))</f>
        <v/>
      </c>
      <c r="D220" s="42" t="str">
        <f>IF(OR($B220="",$A220&gt;$B$9),"",IF(COUNTIFS(BD!$B$3:$B$5001,D$208,BD!$A$3:$A$5001,"&gt;="&amp;$C$7,BD!$A$3:$A$5001,"&lt;="&amp;$B220,BD!$X$3:$X$5001,"&lt;&gt;")=0,"",SUMIFS(BD!$X$3:$X$5001,BD!$B$3:$B$5001,D$208,BD!$A$3:$A$5001,_xlfn.MAXIFS(BD!$A$3:$A$5001,BD!$B$3:$B$5001,D$208,BD!$A$3:$A$5001,"&gt;="&amp;$C$7,BD!$A$3:$A$5001,"&lt;="&amp;$B220,BD!$X$3:$X$5001,"&lt;&gt;"))))</f>
        <v/>
      </c>
      <c r="E220" s="42" t="str">
        <f>IF(OR($B220="",$A220&gt;$B$9),"",IF(COUNTIFS(BD!$B$3:$B$5001,E$208,BD!$A$3:$A$5001,"&gt;="&amp;$C$7,BD!$A$3:$A$5001,"&lt;="&amp;$B220,BD!$X$3:$X$5001,"&lt;&gt;")=0,"",SUMIFS(BD!$X$3:$X$5001,BD!$B$3:$B$5001,E$208,BD!$A$3:$A$5001,_xlfn.MAXIFS(BD!$A$3:$A$5001,BD!$B$3:$B$5001,E$208,BD!$A$3:$A$5001,"&gt;="&amp;$C$7,BD!$A$3:$A$5001,"&lt;="&amp;$B220,BD!$X$3:$X$5001,"&lt;&gt;"))))</f>
        <v/>
      </c>
      <c r="F220" s="42" t="str">
        <f>IF(OR($B220="",$A220&gt;$B$9),"",IF(COUNTIFS(BD!$B$3:$B$5001,F$208,BD!$A$3:$A$5001,"&gt;="&amp;$C$7,BD!$A$3:$A$5001,"&lt;="&amp;$B220,BD!$X$3:$X$5001,"&lt;&gt;")=0,"",SUMIFS(BD!$X$3:$X$5001,BD!$B$3:$B$5001,F$208,BD!$A$3:$A$5001,_xlfn.MAXIFS(BD!$A$3:$A$5001,BD!$B$3:$B$5001,F$208,BD!$A$3:$A$5001,"&gt;="&amp;$C$7,BD!$A$3:$A$5001,"&lt;="&amp;$B220,BD!$X$3:$X$5001,"&lt;&gt;"))))</f>
        <v/>
      </c>
      <c r="G220" s="42" t="str">
        <f>IF(OR($B220="",$A220&gt;$B$9),"",IF(COUNTIFS(BD!$B$3:$B$5001,G$208,BD!$A$3:$A$5001,"&gt;="&amp;$C$7,BD!$A$3:$A$5001,"&lt;="&amp;$B220,BD!$X$3:$X$5001,"&lt;&gt;")=0,"",SUMIFS(BD!$X$3:$X$5001,BD!$B$3:$B$5001,G$208,BD!$A$3:$A$5001,_xlfn.MAXIFS(BD!$A$3:$A$5001,BD!$B$3:$B$5001,G$208,BD!$A$3:$A$5001,"&gt;="&amp;$C$7,BD!$A$3:$A$5001,"&lt;="&amp;$B220,BD!$X$3:$X$5001,"&lt;&gt;"))))</f>
        <v/>
      </c>
      <c r="H220" s="42" t="str">
        <f>IF(OR($B220="",$A220&gt;$B$9),"",IF(COUNTIFS(BD!$B$3:$B$5001,H$208,BD!$A$3:$A$5001,"&gt;="&amp;$C$7,BD!$A$3:$A$5001,"&lt;="&amp;$B220,BD!$X$3:$X$5001,"&lt;&gt;")=0,"",SUMIFS(BD!$X$3:$X$5001,BD!$B$3:$B$5001,H$208,BD!$A$3:$A$5001,_xlfn.MAXIFS(BD!$A$3:$A$5001,BD!$B$3:$B$5001,H$208,BD!$A$3:$A$5001,"&gt;="&amp;$C$7,BD!$A$3:$A$5001,"&lt;="&amp;$B220,BD!$X$3:$X$5001,"&lt;&gt;"))))</f>
        <v/>
      </c>
      <c r="I220" s="42" t="str">
        <f>IF(OR($B220="",$A220&gt;$B$9),"",IF(COUNTIFS(BD!$B$3:$B$5001,I$208,BD!$A$3:$A$5001,"&gt;="&amp;$C$7,BD!$A$3:$A$5001,"&lt;="&amp;$B220,BD!$X$3:$X$5001,"&lt;&gt;")=0,"",SUMIFS(BD!$X$3:$X$5001,BD!$B$3:$B$5001,I$208,BD!$A$3:$A$5001,_xlfn.MAXIFS(BD!$A$3:$A$5001,BD!$B$3:$B$5001,I$208,BD!$A$3:$A$5001,"&gt;="&amp;$C$7,BD!$A$3:$A$5001,"&lt;="&amp;$B220,BD!$X$3:$X$5001,"&lt;&gt;"))))</f>
        <v/>
      </c>
      <c r="J220" s="42" t="str">
        <f>IF(OR($B220="",$A220&gt;$B$9),"",IF(COUNTIFS(BD!$B$3:$B$5001,J$208,BD!$A$3:$A$5001,"&gt;="&amp;$C$7,BD!$A$3:$A$5001,"&lt;="&amp;$B220,BD!$X$3:$X$5001,"&lt;&gt;")=0,"",SUMIFS(BD!$X$3:$X$5001,BD!$B$3:$B$5001,J$208,BD!$A$3:$A$5001,_xlfn.MAXIFS(BD!$A$3:$A$5001,BD!$B$3:$B$5001,J$208,BD!$A$3:$A$5001,"&gt;="&amp;$C$7,BD!$A$3:$A$5001,"&lt;="&amp;$B220,BD!$X$3:$X$5001,"&lt;&gt;"))))</f>
        <v/>
      </c>
      <c r="K220" s="42" t="str">
        <f>IF(OR($B220="",$A220&gt;$B$9),"",IF(COUNTIFS(BD!$B$3:$B$5001,K$208,BD!$A$3:$A$5001,"&gt;="&amp;$C$7,BD!$A$3:$A$5001,"&lt;="&amp;$B220,BD!$X$3:$X$5001,"&lt;&gt;")=0,"",SUMIFS(BD!$X$3:$X$5001,BD!$B$3:$B$5001,K$208,BD!$A$3:$A$5001,_xlfn.MAXIFS(BD!$A$3:$A$5001,BD!$B$3:$B$5001,K$208,BD!$A$3:$A$5001,"&gt;="&amp;$C$7,BD!$A$3:$A$5001,"&lt;="&amp;$B220,BD!$X$3:$X$5001,"&lt;&gt;"))))</f>
        <v/>
      </c>
      <c r="L220" s="42" t="str">
        <f>IF(OR($B220="",$A220&gt;$B$9),"",IF(COUNTIFS(BD!$B$3:$B$5001,L$208,BD!$A$3:$A$5001,"&gt;="&amp;$C$7,BD!$A$3:$A$5001,"&lt;="&amp;$B220,BD!$X$3:$X$5001,"&lt;&gt;")=0,"",SUMIFS(BD!$X$3:$X$5001,BD!$B$3:$B$5001,L$208,BD!$A$3:$A$5001,_xlfn.MAXIFS(BD!$A$3:$A$5001,BD!$B$3:$B$5001,L$208,BD!$A$3:$A$5001,"&gt;="&amp;$C$7,BD!$A$3:$A$5001,"&lt;="&amp;$B220,BD!$X$3:$X$5001,"&lt;&gt;"))))</f>
        <v/>
      </c>
    </row>
    <row r="221">
      <c r="A221" s="40">
        <v>13</v>
      </c>
      <c r="B221" s="41">
        <f>$B$24</f>
        <v>46308</v>
      </c>
      <c r="C221" s="42" t="str">
        <f>IF(OR($B221="",$A221&gt;$B$9),"",IF(COUNTIFS(BD!$B$3:$B$5001,C$208,BD!$A$3:$A$5001,"&gt;="&amp;$C$7,BD!$A$3:$A$5001,"&lt;="&amp;$B221,BD!$X$3:$X$5001,"&lt;&gt;")=0,"",SUMIFS(BD!$X$3:$X$5001,BD!$B$3:$B$5001,C$208,BD!$A$3:$A$5001,_xlfn.MAXIFS(BD!$A$3:$A$5001,BD!$B$3:$B$5001,C$208,BD!$A$3:$A$5001,"&gt;="&amp;$C$7,BD!$A$3:$A$5001,"&lt;="&amp;$B221,BD!$X$3:$X$5001,"&lt;&gt;"))))</f>
        <v/>
      </c>
      <c r="D221" s="42" t="str">
        <f>IF(OR($B221="",$A221&gt;$B$9),"",IF(COUNTIFS(BD!$B$3:$B$5001,D$208,BD!$A$3:$A$5001,"&gt;="&amp;$C$7,BD!$A$3:$A$5001,"&lt;="&amp;$B221,BD!$X$3:$X$5001,"&lt;&gt;")=0,"",SUMIFS(BD!$X$3:$X$5001,BD!$B$3:$B$5001,D$208,BD!$A$3:$A$5001,_xlfn.MAXIFS(BD!$A$3:$A$5001,BD!$B$3:$B$5001,D$208,BD!$A$3:$A$5001,"&gt;="&amp;$C$7,BD!$A$3:$A$5001,"&lt;="&amp;$B221,BD!$X$3:$X$5001,"&lt;&gt;"))))</f>
        <v/>
      </c>
      <c r="E221" s="42" t="str">
        <f>IF(OR($B221="",$A221&gt;$B$9),"",IF(COUNTIFS(BD!$B$3:$B$5001,E$208,BD!$A$3:$A$5001,"&gt;="&amp;$C$7,BD!$A$3:$A$5001,"&lt;="&amp;$B221,BD!$X$3:$X$5001,"&lt;&gt;")=0,"",SUMIFS(BD!$X$3:$X$5001,BD!$B$3:$B$5001,E$208,BD!$A$3:$A$5001,_xlfn.MAXIFS(BD!$A$3:$A$5001,BD!$B$3:$B$5001,E$208,BD!$A$3:$A$5001,"&gt;="&amp;$C$7,BD!$A$3:$A$5001,"&lt;="&amp;$B221,BD!$X$3:$X$5001,"&lt;&gt;"))))</f>
        <v/>
      </c>
      <c r="F221" s="42" t="str">
        <f>IF(OR($B221="",$A221&gt;$B$9),"",IF(COUNTIFS(BD!$B$3:$B$5001,F$208,BD!$A$3:$A$5001,"&gt;="&amp;$C$7,BD!$A$3:$A$5001,"&lt;="&amp;$B221,BD!$X$3:$X$5001,"&lt;&gt;")=0,"",SUMIFS(BD!$X$3:$X$5001,BD!$B$3:$B$5001,F$208,BD!$A$3:$A$5001,_xlfn.MAXIFS(BD!$A$3:$A$5001,BD!$B$3:$B$5001,F$208,BD!$A$3:$A$5001,"&gt;="&amp;$C$7,BD!$A$3:$A$5001,"&lt;="&amp;$B221,BD!$X$3:$X$5001,"&lt;&gt;"))))</f>
        <v/>
      </c>
      <c r="G221" s="42" t="str">
        <f>IF(OR($B221="",$A221&gt;$B$9),"",IF(COUNTIFS(BD!$B$3:$B$5001,G$208,BD!$A$3:$A$5001,"&gt;="&amp;$C$7,BD!$A$3:$A$5001,"&lt;="&amp;$B221,BD!$X$3:$X$5001,"&lt;&gt;")=0,"",SUMIFS(BD!$X$3:$X$5001,BD!$B$3:$B$5001,G$208,BD!$A$3:$A$5001,_xlfn.MAXIFS(BD!$A$3:$A$5001,BD!$B$3:$B$5001,G$208,BD!$A$3:$A$5001,"&gt;="&amp;$C$7,BD!$A$3:$A$5001,"&lt;="&amp;$B221,BD!$X$3:$X$5001,"&lt;&gt;"))))</f>
        <v/>
      </c>
      <c r="H221" s="42" t="str">
        <f>IF(OR($B221="",$A221&gt;$B$9),"",IF(COUNTIFS(BD!$B$3:$B$5001,H$208,BD!$A$3:$A$5001,"&gt;="&amp;$C$7,BD!$A$3:$A$5001,"&lt;="&amp;$B221,BD!$X$3:$X$5001,"&lt;&gt;")=0,"",SUMIFS(BD!$X$3:$X$5001,BD!$B$3:$B$5001,H$208,BD!$A$3:$A$5001,_xlfn.MAXIFS(BD!$A$3:$A$5001,BD!$B$3:$B$5001,H$208,BD!$A$3:$A$5001,"&gt;="&amp;$C$7,BD!$A$3:$A$5001,"&lt;="&amp;$B221,BD!$X$3:$X$5001,"&lt;&gt;"))))</f>
        <v/>
      </c>
      <c r="I221" s="42" t="str">
        <f>IF(OR($B221="",$A221&gt;$B$9),"",IF(COUNTIFS(BD!$B$3:$B$5001,I$208,BD!$A$3:$A$5001,"&gt;="&amp;$C$7,BD!$A$3:$A$5001,"&lt;="&amp;$B221,BD!$X$3:$X$5001,"&lt;&gt;")=0,"",SUMIFS(BD!$X$3:$X$5001,BD!$B$3:$B$5001,I$208,BD!$A$3:$A$5001,_xlfn.MAXIFS(BD!$A$3:$A$5001,BD!$B$3:$B$5001,I$208,BD!$A$3:$A$5001,"&gt;="&amp;$C$7,BD!$A$3:$A$5001,"&lt;="&amp;$B221,BD!$X$3:$X$5001,"&lt;&gt;"))))</f>
        <v/>
      </c>
      <c r="J221" s="42" t="str">
        <f>IF(OR($B221="",$A221&gt;$B$9),"",IF(COUNTIFS(BD!$B$3:$B$5001,J$208,BD!$A$3:$A$5001,"&gt;="&amp;$C$7,BD!$A$3:$A$5001,"&lt;="&amp;$B221,BD!$X$3:$X$5001,"&lt;&gt;")=0,"",SUMIFS(BD!$X$3:$X$5001,BD!$B$3:$B$5001,J$208,BD!$A$3:$A$5001,_xlfn.MAXIFS(BD!$A$3:$A$5001,BD!$B$3:$B$5001,J$208,BD!$A$3:$A$5001,"&gt;="&amp;$C$7,BD!$A$3:$A$5001,"&lt;="&amp;$B221,BD!$X$3:$X$5001,"&lt;&gt;"))))</f>
        <v/>
      </c>
      <c r="K221" s="42" t="str">
        <f>IF(OR($B221="",$A221&gt;$B$9),"",IF(COUNTIFS(BD!$B$3:$B$5001,K$208,BD!$A$3:$A$5001,"&gt;="&amp;$C$7,BD!$A$3:$A$5001,"&lt;="&amp;$B221,BD!$X$3:$X$5001,"&lt;&gt;")=0,"",SUMIFS(BD!$X$3:$X$5001,BD!$B$3:$B$5001,K$208,BD!$A$3:$A$5001,_xlfn.MAXIFS(BD!$A$3:$A$5001,BD!$B$3:$B$5001,K$208,BD!$A$3:$A$5001,"&gt;="&amp;$C$7,BD!$A$3:$A$5001,"&lt;="&amp;$B221,BD!$X$3:$X$5001,"&lt;&gt;"))))</f>
        <v/>
      </c>
      <c r="L221" s="42" t="str">
        <f>IF(OR($B221="",$A221&gt;$B$9),"",IF(COUNTIFS(BD!$B$3:$B$5001,L$208,BD!$A$3:$A$5001,"&gt;="&amp;$C$7,BD!$A$3:$A$5001,"&lt;="&amp;$B221,BD!$X$3:$X$5001,"&lt;&gt;")=0,"",SUMIFS(BD!$X$3:$X$5001,BD!$B$3:$B$5001,L$208,BD!$A$3:$A$5001,_xlfn.MAXIFS(BD!$A$3:$A$5001,BD!$B$3:$B$5001,L$208,BD!$A$3:$A$5001,"&gt;="&amp;$C$7,BD!$A$3:$A$5001,"&lt;="&amp;$B221,BD!$X$3:$X$5001,"&lt;&gt;"))))</f>
        <v/>
      </c>
    </row>
    <row r="222">
      <c r="A222" s="40">
        <v>14</v>
      </c>
      <c r="B222" s="41">
        <f>$B$25</f>
        <v>46309</v>
      </c>
      <c r="C222" s="42" t="str">
        <f>IF(OR($B222="",$A222&gt;$B$9),"",IF(COUNTIFS(BD!$B$3:$B$5001,C$208,BD!$A$3:$A$5001,"&gt;="&amp;$C$7,BD!$A$3:$A$5001,"&lt;="&amp;$B222,BD!$X$3:$X$5001,"&lt;&gt;")=0,"",SUMIFS(BD!$X$3:$X$5001,BD!$B$3:$B$5001,C$208,BD!$A$3:$A$5001,_xlfn.MAXIFS(BD!$A$3:$A$5001,BD!$B$3:$B$5001,C$208,BD!$A$3:$A$5001,"&gt;="&amp;$C$7,BD!$A$3:$A$5001,"&lt;="&amp;$B222,BD!$X$3:$X$5001,"&lt;&gt;"))))</f>
        <v/>
      </c>
      <c r="D222" s="42" t="str">
        <f>IF(OR($B222="",$A222&gt;$B$9),"",IF(COUNTIFS(BD!$B$3:$B$5001,D$208,BD!$A$3:$A$5001,"&gt;="&amp;$C$7,BD!$A$3:$A$5001,"&lt;="&amp;$B222,BD!$X$3:$X$5001,"&lt;&gt;")=0,"",SUMIFS(BD!$X$3:$X$5001,BD!$B$3:$B$5001,D$208,BD!$A$3:$A$5001,_xlfn.MAXIFS(BD!$A$3:$A$5001,BD!$B$3:$B$5001,D$208,BD!$A$3:$A$5001,"&gt;="&amp;$C$7,BD!$A$3:$A$5001,"&lt;="&amp;$B222,BD!$X$3:$X$5001,"&lt;&gt;"))))</f>
        <v/>
      </c>
      <c r="E222" s="42" t="str">
        <f>IF(OR($B222="",$A222&gt;$B$9),"",IF(COUNTIFS(BD!$B$3:$B$5001,E$208,BD!$A$3:$A$5001,"&gt;="&amp;$C$7,BD!$A$3:$A$5001,"&lt;="&amp;$B222,BD!$X$3:$X$5001,"&lt;&gt;")=0,"",SUMIFS(BD!$X$3:$X$5001,BD!$B$3:$B$5001,E$208,BD!$A$3:$A$5001,_xlfn.MAXIFS(BD!$A$3:$A$5001,BD!$B$3:$B$5001,E$208,BD!$A$3:$A$5001,"&gt;="&amp;$C$7,BD!$A$3:$A$5001,"&lt;="&amp;$B222,BD!$X$3:$X$5001,"&lt;&gt;"))))</f>
        <v/>
      </c>
      <c r="F222" s="42" t="str">
        <f>IF(OR($B222="",$A222&gt;$B$9),"",IF(COUNTIFS(BD!$B$3:$B$5001,F$208,BD!$A$3:$A$5001,"&gt;="&amp;$C$7,BD!$A$3:$A$5001,"&lt;="&amp;$B222,BD!$X$3:$X$5001,"&lt;&gt;")=0,"",SUMIFS(BD!$X$3:$X$5001,BD!$B$3:$B$5001,F$208,BD!$A$3:$A$5001,_xlfn.MAXIFS(BD!$A$3:$A$5001,BD!$B$3:$B$5001,F$208,BD!$A$3:$A$5001,"&gt;="&amp;$C$7,BD!$A$3:$A$5001,"&lt;="&amp;$B222,BD!$X$3:$X$5001,"&lt;&gt;"))))</f>
        <v/>
      </c>
      <c r="G222" s="42" t="str">
        <f>IF(OR($B222="",$A222&gt;$B$9),"",IF(COUNTIFS(BD!$B$3:$B$5001,G$208,BD!$A$3:$A$5001,"&gt;="&amp;$C$7,BD!$A$3:$A$5001,"&lt;="&amp;$B222,BD!$X$3:$X$5001,"&lt;&gt;")=0,"",SUMIFS(BD!$X$3:$X$5001,BD!$B$3:$B$5001,G$208,BD!$A$3:$A$5001,_xlfn.MAXIFS(BD!$A$3:$A$5001,BD!$B$3:$B$5001,G$208,BD!$A$3:$A$5001,"&gt;="&amp;$C$7,BD!$A$3:$A$5001,"&lt;="&amp;$B222,BD!$X$3:$X$5001,"&lt;&gt;"))))</f>
        <v/>
      </c>
      <c r="H222" s="42" t="str">
        <f>IF(OR($B222="",$A222&gt;$B$9),"",IF(COUNTIFS(BD!$B$3:$B$5001,H$208,BD!$A$3:$A$5001,"&gt;="&amp;$C$7,BD!$A$3:$A$5001,"&lt;="&amp;$B222,BD!$X$3:$X$5001,"&lt;&gt;")=0,"",SUMIFS(BD!$X$3:$X$5001,BD!$B$3:$B$5001,H$208,BD!$A$3:$A$5001,_xlfn.MAXIFS(BD!$A$3:$A$5001,BD!$B$3:$B$5001,H$208,BD!$A$3:$A$5001,"&gt;="&amp;$C$7,BD!$A$3:$A$5001,"&lt;="&amp;$B222,BD!$X$3:$X$5001,"&lt;&gt;"))))</f>
        <v/>
      </c>
      <c r="I222" s="42" t="str">
        <f>IF(OR($B222="",$A222&gt;$B$9),"",IF(COUNTIFS(BD!$B$3:$B$5001,I$208,BD!$A$3:$A$5001,"&gt;="&amp;$C$7,BD!$A$3:$A$5001,"&lt;="&amp;$B222,BD!$X$3:$X$5001,"&lt;&gt;")=0,"",SUMIFS(BD!$X$3:$X$5001,BD!$B$3:$B$5001,I$208,BD!$A$3:$A$5001,_xlfn.MAXIFS(BD!$A$3:$A$5001,BD!$B$3:$B$5001,I$208,BD!$A$3:$A$5001,"&gt;="&amp;$C$7,BD!$A$3:$A$5001,"&lt;="&amp;$B222,BD!$X$3:$X$5001,"&lt;&gt;"))))</f>
        <v/>
      </c>
      <c r="J222" s="42" t="str">
        <f>IF(OR($B222="",$A222&gt;$B$9),"",IF(COUNTIFS(BD!$B$3:$B$5001,J$208,BD!$A$3:$A$5001,"&gt;="&amp;$C$7,BD!$A$3:$A$5001,"&lt;="&amp;$B222,BD!$X$3:$X$5001,"&lt;&gt;")=0,"",SUMIFS(BD!$X$3:$X$5001,BD!$B$3:$B$5001,J$208,BD!$A$3:$A$5001,_xlfn.MAXIFS(BD!$A$3:$A$5001,BD!$B$3:$B$5001,J$208,BD!$A$3:$A$5001,"&gt;="&amp;$C$7,BD!$A$3:$A$5001,"&lt;="&amp;$B222,BD!$X$3:$X$5001,"&lt;&gt;"))))</f>
        <v/>
      </c>
      <c r="K222" s="42" t="str">
        <f>IF(OR($B222="",$A222&gt;$B$9),"",IF(COUNTIFS(BD!$B$3:$B$5001,K$208,BD!$A$3:$A$5001,"&gt;="&amp;$C$7,BD!$A$3:$A$5001,"&lt;="&amp;$B222,BD!$X$3:$X$5001,"&lt;&gt;")=0,"",SUMIFS(BD!$X$3:$X$5001,BD!$B$3:$B$5001,K$208,BD!$A$3:$A$5001,_xlfn.MAXIFS(BD!$A$3:$A$5001,BD!$B$3:$B$5001,K$208,BD!$A$3:$A$5001,"&gt;="&amp;$C$7,BD!$A$3:$A$5001,"&lt;="&amp;$B222,BD!$X$3:$X$5001,"&lt;&gt;"))))</f>
        <v/>
      </c>
      <c r="L222" s="42" t="str">
        <f>IF(OR($B222="",$A222&gt;$B$9),"",IF(COUNTIFS(BD!$B$3:$B$5001,L$208,BD!$A$3:$A$5001,"&gt;="&amp;$C$7,BD!$A$3:$A$5001,"&lt;="&amp;$B222,BD!$X$3:$X$5001,"&lt;&gt;")=0,"",SUMIFS(BD!$X$3:$X$5001,BD!$B$3:$B$5001,L$208,BD!$A$3:$A$5001,_xlfn.MAXIFS(BD!$A$3:$A$5001,BD!$B$3:$B$5001,L$208,BD!$A$3:$A$5001,"&gt;="&amp;$C$7,BD!$A$3:$A$5001,"&lt;="&amp;$B222,BD!$X$3:$X$5001,"&lt;&gt;"))))</f>
        <v/>
      </c>
    </row>
    <row r="223">
      <c r="A223" s="40">
        <v>15</v>
      </c>
      <c r="B223" s="41">
        <f>$B$26</f>
        <v>46310</v>
      </c>
      <c r="C223" s="42" t="str">
        <f>IF(OR($B223="",$A223&gt;$B$9),"",IF(COUNTIFS(BD!$B$3:$B$5001,C$208,BD!$A$3:$A$5001,"&gt;="&amp;$C$7,BD!$A$3:$A$5001,"&lt;="&amp;$B223,BD!$X$3:$X$5001,"&lt;&gt;")=0,"",SUMIFS(BD!$X$3:$X$5001,BD!$B$3:$B$5001,C$208,BD!$A$3:$A$5001,_xlfn.MAXIFS(BD!$A$3:$A$5001,BD!$B$3:$B$5001,C$208,BD!$A$3:$A$5001,"&gt;="&amp;$C$7,BD!$A$3:$A$5001,"&lt;="&amp;$B223,BD!$X$3:$X$5001,"&lt;&gt;"))))</f>
        <v/>
      </c>
      <c r="D223" s="42" t="str">
        <f>IF(OR($B223="",$A223&gt;$B$9),"",IF(COUNTIFS(BD!$B$3:$B$5001,D$208,BD!$A$3:$A$5001,"&gt;="&amp;$C$7,BD!$A$3:$A$5001,"&lt;="&amp;$B223,BD!$X$3:$X$5001,"&lt;&gt;")=0,"",SUMIFS(BD!$X$3:$X$5001,BD!$B$3:$B$5001,D$208,BD!$A$3:$A$5001,_xlfn.MAXIFS(BD!$A$3:$A$5001,BD!$B$3:$B$5001,D$208,BD!$A$3:$A$5001,"&gt;="&amp;$C$7,BD!$A$3:$A$5001,"&lt;="&amp;$B223,BD!$X$3:$X$5001,"&lt;&gt;"))))</f>
        <v/>
      </c>
      <c r="E223" s="42" t="str">
        <f>IF(OR($B223="",$A223&gt;$B$9),"",IF(COUNTIFS(BD!$B$3:$B$5001,E$208,BD!$A$3:$A$5001,"&gt;="&amp;$C$7,BD!$A$3:$A$5001,"&lt;="&amp;$B223,BD!$X$3:$X$5001,"&lt;&gt;")=0,"",SUMIFS(BD!$X$3:$X$5001,BD!$B$3:$B$5001,E$208,BD!$A$3:$A$5001,_xlfn.MAXIFS(BD!$A$3:$A$5001,BD!$B$3:$B$5001,E$208,BD!$A$3:$A$5001,"&gt;="&amp;$C$7,BD!$A$3:$A$5001,"&lt;="&amp;$B223,BD!$X$3:$X$5001,"&lt;&gt;"))))</f>
        <v/>
      </c>
      <c r="F223" s="42" t="str">
        <f>IF(OR($B223="",$A223&gt;$B$9),"",IF(COUNTIFS(BD!$B$3:$B$5001,F$208,BD!$A$3:$A$5001,"&gt;="&amp;$C$7,BD!$A$3:$A$5001,"&lt;="&amp;$B223,BD!$X$3:$X$5001,"&lt;&gt;")=0,"",SUMIFS(BD!$X$3:$X$5001,BD!$B$3:$B$5001,F$208,BD!$A$3:$A$5001,_xlfn.MAXIFS(BD!$A$3:$A$5001,BD!$B$3:$B$5001,F$208,BD!$A$3:$A$5001,"&gt;="&amp;$C$7,BD!$A$3:$A$5001,"&lt;="&amp;$B223,BD!$X$3:$X$5001,"&lt;&gt;"))))</f>
        <v/>
      </c>
      <c r="G223" s="42" t="str">
        <f>IF(OR($B223="",$A223&gt;$B$9),"",IF(COUNTIFS(BD!$B$3:$B$5001,G$208,BD!$A$3:$A$5001,"&gt;="&amp;$C$7,BD!$A$3:$A$5001,"&lt;="&amp;$B223,BD!$X$3:$X$5001,"&lt;&gt;")=0,"",SUMIFS(BD!$X$3:$X$5001,BD!$B$3:$B$5001,G$208,BD!$A$3:$A$5001,_xlfn.MAXIFS(BD!$A$3:$A$5001,BD!$B$3:$B$5001,G$208,BD!$A$3:$A$5001,"&gt;="&amp;$C$7,BD!$A$3:$A$5001,"&lt;="&amp;$B223,BD!$X$3:$X$5001,"&lt;&gt;"))))</f>
        <v/>
      </c>
      <c r="H223" s="42" t="str">
        <f>IF(OR($B223="",$A223&gt;$B$9),"",IF(COUNTIFS(BD!$B$3:$B$5001,H$208,BD!$A$3:$A$5001,"&gt;="&amp;$C$7,BD!$A$3:$A$5001,"&lt;="&amp;$B223,BD!$X$3:$X$5001,"&lt;&gt;")=0,"",SUMIFS(BD!$X$3:$X$5001,BD!$B$3:$B$5001,H$208,BD!$A$3:$A$5001,_xlfn.MAXIFS(BD!$A$3:$A$5001,BD!$B$3:$B$5001,H$208,BD!$A$3:$A$5001,"&gt;="&amp;$C$7,BD!$A$3:$A$5001,"&lt;="&amp;$B223,BD!$X$3:$X$5001,"&lt;&gt;"))))</f>
        <v/>
      </c>
      <c r="I223" s="42" t="str">
        <f>IF(OR($B223="",$A223&gt;$B$9),"",IF(COUNTIFS(BD!$B$3:$B$5001,I$208,BD!$A$3:$A$5001,"&gt;="&amp;$C$7,BD!$A$3:$A$5001,"&lt;="&amp;$B223,BD!$X$3:$X$5001,"&lt;&gt;")=0,"",SUMIFS(BD!$X$3:$X$5001,BD!$B$3:$B$5001,I$208,BD!$A$3:$A$5001,_xlfn.MAXIFS(BD!$A$3:$A$5001,BD!$B$3:$B$5001,I$208,BD!$A$3:$A$5001,"&gt;="&amp;$C$7,BD!$A$3:$A$5001,"&lt;="&amp;$B223,BD!$X$3:$X$5001,"&lt;&gt;"))))</f>
        <v/>
      </c>
      <c r="J223" s="42" t="str">
        <f>IF(OR($B223="",$A223&gt;$B$9),"",IF(COUNTIFS(BD!$B$3:$B$5001,J$208,BD!$A$3:$A$5001,"&gt;="&amp;$C$7,BD!$A$3:$A$5001,"&lt;="&amp;$B223,BD!$X$3:$X$5001,"&lt;&gt;")=0,"",SUMIFS(BD!$X$3:$X$5001,BD!$B$3:$B$5001,J$208,BD!$A$3:$A$5001,_xlfn.MAXIFS(BD!$A$3:$A$5001,BD!$B$3:$B$5001,J$208,BD!$A$3:$A$5001,"&gt;="&amp;$C$7,BD!$A$3:$A$5001,"&lt;="&amp;$B223,BD!$X$3:$X$5001,"&lt;&gt;"))))</f>
        <v/>
      </c>
      <c r="K223" s="42" t="str">
        <f>IF(OR($B223="",$A223&gt;$B$9),"",IF(COUNTIFS(BD!$B$3:$B$5001,K$208,BD!$A$3:$A$5001,"&gt;="&amp;$C$7,BD!$A$3:$A$5001,"&lt;="&amp;$B223,BD!$X$3:$X$5001,"&lt;&gt;")=0,"",SUMIFS(BD!$X$3:$X$5001,BD!$B$3:$B$5001,K$208,BD!$A$3:$A$5001,_xlfn.MAXIFS(BD!$A$3:$A$5001,BD!$B$3:$B$5001,K$208,BD!$A$3:$A$5001,"&gt;="&amp;$C$7,BD!$A$3:$A$5001,"&lt;="&amp;$B223,BD!$X$3:$X$5001,"&lt;&gt;"))))</f>
        <v/>
      </c>
      <c r="L223" s="42" t="str">
        <f>IF(OR($B223="",$A223&gt;$B$9),"",IF(COUNTIFS(BD!$B$3:$B$5001,L$208,BD!$A$3:$A$5001,"&gt;="&amp;$C$7,BD!$A$3:$A$5001,"&lt;="&amp;$B223,BD!$X$3:$X$5001,"&lt;&gt;")=0,"",SUMIFS(BD!$X$3:$X$5001,BD!$B$3:$B$5001,L$208,BD!$A$3:$A$5001,_xlfn.MAXIFS(BD!$A$3:$A$5001,BD!$B$3:$B$5001,L$208,BD!$A$3:$A$5001,"&gt;="&amp;$C$7,BD!$A$3:$A$5001,"&lt;="&amp;$B223,BD!$X$3:$X$5001,"&lt;&gt;"))))</f>
        <v/>
      </c>
    </row>
    <row r="224">
      <c r="A224" s="40">
        <v>16</v>
      </c>
      <c r="B224" s="41">
        <f>$B$27</f>
        <v>46311</v>
      </c>
      <c r="C224" s="42" t="str">
        <f>IF(OR($B224="",$A224&gt;$B$9),"",IF(COUNTIFS(BD!$B$3:$B$5001,C$208,BD!$A$3:$A$5001,"&gt;="&amp;$C$7,BD!$A$3:$A$5001,"&lt;="&amp;$B224,BD!$X$3:$X$5001,"&lt;&gt;")=0,"",SUMIFS(BD!$X$3:$X$5001,BD!$B$3:$B$5001,C$208,BD!$A$3:$A$5001,_xlfn.MAXIFS(BD!$A$3:$A$5001,BD!$B$3:$B$5001,C$208,BD!$A$3:$A$5001,"&gt;="&amp;$C$7,BD!$A$3:$A$5001,"&lt;="&amp;$B224,BD!$X$3:$X$5001,"&lt;&gt;"))))</f>
        <v/>
      </c>
      <c r="D224" s="42" t="str">
        <f>IF(OR($B224="",$A224&gt;$B$9),"",IF(COUNTIFS(BD!$B$3:$B$5001,D$208,BD!$A$3:$A$5001,"&gt;="&amp;$C$7,BD!$A$3:$A$5001,"&lt;="&amp;$B224,BD!$X$3:$X$5001,"&lt;&gt;")=0,"",SUMIFS(BD!$X$3:$X$5001,BD!$B$3:$B$5001,D$208,BD!$A$3:$A$5001,_xlfn.MAXIFS(BD!$A$3:$A$5001,BD!$B$3:$B$5001,D$208,BD!$A$3:$A$5001,"&gt;="&amp;$C$7,BD!$A$3:$A$5001,"&lt;="&amp;$B224,BD!$X$3:$X$5001,"&lt;&gt;"))))</f>
        <v/>
      </c>
      <c r="E224" s="42" t="str">
        <f>IF(OR($B224="",$A224&gt;$B$9),"",IF(COUNTIFS(BD!$B$3:$B$5001,E$208,BD!$A$3:$A$5001,"&gt;="&amp;$C$7,BD!$A$3:$A$5001,"&lt;="&amp;$B224,BD!$X$3:$X$5001,"&lt;&gt;")=0,"",SUMIFS(BD!$X$3:$X$5001,BD!$B$3:$B$5001,E$208,BD!$A$3:$A$5001,_xlfn.MAXIFS(BD!$A$3:$A$5001,BD!$B$3:$B$5001,E$208,BD!$A$3:$A$5001,"&gt;="&amp;$C$7,BD!$A$3:$A$5001,"&lt;="&amp;$B224,BD!$X$3:$X$5001,"&lt;&gt;"))))</f>
        <v/>
      </c>
      <c r="F224" s="42" t="str">
        <f>IF(OR($B224="",$A224&gt;$B$9),"",IF(COUNTIFS(BD!$B$3:$B$5001,F$208,BD!$A$3:$A$5001,"&gt;="&amp;$C$7,BD!$A$3:$A$5001,"&lt;="&amp;$B224,BD!$X$3:$X$5001,"&lt;&gt;")=0,"",SUMIFS(BD!$X$3:$X$5001,BD!$B$3:$B$5001,F$208,BD!$A$3:$A$5001,_xlfn.MAXIFS(BD!$A$3:$A$5001,BD!$B$3:$B$5001,F$208,BD!$A$3:$A$5001,"&gt;="&amp;$C$7,BD!$A$3:$A$5001,"&lt;="&amp;$B224,BD!$X$3:$X$5001,"&lt;&gt;"))))</f>
        <v/>
      </c>
      <c r="G224" s="42" t="str">
        <f>IF(OR($B224="",$A224&gt;$B$9),"",IF(COUNTIFS(BD!$B$3:$B$5001,G$208,BD!$A$3:$A$5001,"&gt;="&amp;$C$7,BD!$A$3:$A$5001,"&lt;="&amp;$B224,BD!$X$3:$X$5001,"&lt;&gt;")=0,"",SUMIFS(BD!$X$3:$X$5001,BD!$B$3:$B$5001,G$208,BD!$A$3:$A$5001,_xlfn.MAXIFS(BD!$A$3:$A$5001,BD!$B$3:$B$5001,G$208,BD!$A$3:$A$5001,"&gt;="&amp;$C$7,BD!$A$3:$A$5001,"&lt;="&amp;$B224,BD!$X$3:$X$5001,"&lt;&gt;"))))</f>
        <v/>
      </c>
      <c r="H224" s="42" t="str">
        <f>IF(OR($B224="",$A224&gt;$B$9),"",IF(COUNTIFS(BD!$B$3:$B$5001,H$208,BD!$A$3:$A$5001,"&gt;="&amp;$C$7,BD!$A$3:$A$5001,"&lt;="&amp;$B224,BD!$X$3:$X$5001,"&lt;&gt;")=0,"",SUMIFS(BD!$X$3:$X$5001,BD!$B$3:$B$5001,H$208,BD!$A$3:$A$5001,_xlfn.MAXIFS(BD!$A$3:$A$5001,BD!$B$3:$B$5001,H$208,BD!$A$3:$A$5001,"&gt;="&amp;$C$7,BD!$A$3:$A$5001,"&lt;="&amp;$B224,BD!$X$3:$X$5001,"&lt;&gt;"))))</f>
        <v/>
      </c>
      <c r="I224" s="42" t="str">
        <f>IF(OR($B224="",$A224&gt;$B$9),"",IF(COUNTIFS(BD!$B$3:$B$5001,I$208,BD!$A$3:$A$5001,"&gt;="&amp;$C$7,BD!$A$3:$A$5001,"&lt;="&amp;$B224,BD!$X$3:$X$5001,"&lt;&gt;")=0,"",SUMIFS(BD!$X$3:$X$5001,BD!$B$3:$B$5001,I$208,BD!$A$3:$A$5001,_xlfn.MAXIFS(BD!$A$3:$A$5001,BD!$B$3:$B$5001,I$208,BD!$A$3:$A$5001,"&gt;="&amp;$C$7,BD!$A$3:$A$5001,"&lt;="&amp;$B224,BD!$X$3:$X$5001,"&lt;&gt;"))))</f>
        <v/>
      </c>
      <c r="J224" s="42" t="str">
        <f>IF(OR($B224="",$A224&gt;$B$9),"",IF(COUNTIFS(BD!$B$3:$B$5001,J$208,BD!$A$3:$A$5001,"&gt;="&amp;$C$7,BD!$A$3:$A$5001,"&lt;="&amp;$B224,BD!$X$3:$X$5001,"&lt;&gt;")=0,"",SUMIFS(BD!$X$3:$X$5001,BD!$B$3:$B$5001,J$208,BD!$A$3:$A$5001,_xlfn.MAXIFS(BD!$A$3:$A$5001,BD!$B$3:$B$5001,J$208,BD!$A$3:$A$5001,"&gt;="&amp;$C$7,BD!$A$3:$A$5001,"&lt;="&amp;$B224,BD!$X$3:$X$5001,"&lt;&gt;"))))</f>
        <v/>
      </c>
      <c r="K224" s="42" t="str">
        <f>IF(OR($B224="",$A224&gt;$B$9),"",IF(COUNTIFS(BD!$B$3:$B$5001,K$208,BD!$A$3:$A$5001,"&gt;="&amp;$C$7,BD!$A$3:$A$5001,"&lt;="&amp;$B224,BD!$X$3:$X$5001,"&lt;&gt;")=0,"",SUMIFS(BD!$X$3:$X$5001,BD!$B$3:$B$5001,K$208,BD!$A$3:$A$5001,_xlfn.MAXIFS(BD!$A$3:$A$5001,BD!$B$3:$B$5001,K$208,BD!$A$3:$A$5001,"&gt;="&amp;$C$7,BD!$A$3:$A$5001,"&lt;="&amp;$B224,BD!$X$3:$X$5001,"&lt;&gt;"))))</f>
        <v/>
      </c>
      <c r="L224" s="42" t="str">
        <f>IF(OR($B224="",$A224&gt;$B$9),"",IF(COUNTIFS(BD!$B$3:$B$5001,L$208,BD!$A$3:$A$5001,"&gt;="&amp;$C$7,BD!$A$3:$A$5001,"&lt;="&amp;$B224,BD!$X$3:$X$5001,"&lt;&gt;")=0,"",SUMIFS(BD!$X$3:$X$5001,BD!$B$3:$B$5001,L$208,BD!$A$3:$A$5001,_xlfn.MAXIFS(BD!$A$3:$A$5001,BD!$B$3:$B$5001,L$208,BD!$A$3:$A$5001,"&gt;="&amp;$C$7,BD!$A$3:$A$5001,"&lt;="&amp;$B224,BD!$X$3:$X$5001,"&lt;&gt;"))))</f>
        <v/>
      </c>
    </row>
    <row r="225">
      <c r="A225" s="40">
        <v>17</v>
      </c>
      <c r="B225" s="41">
        <f>$B$28</f>
        <v>46312</v>
      </c>
      <c r="C225" s="42" t="str">
        <f>IF(OR($B225="",$A225&gt;$B$9),"",IF(COUNTIFS(BD!$B$3:$B$5001,C$208,BD!$A$3:$A$5001,"&gt;="&amp;$C$7,BD!$A$3:$A$5001,"&lt;="&amp;$B225,BD!$X$3:$X$5001,"&lt;&gt;")=0,"",SUMIFS(BD!$X$3:$X$5001,BD!$B$3:$B$5001,C$208,BD!$A$3:$A$5001,_xlfn.MAXIFS(BD!$A$3:$A$5001,BD!$B$3:$B$5001,C$208,BD!$A$3:$A$5001,"&gt;="&amp;$C$7,BD!$A$3:$A$5001,"&lt;="&amp;$B225,BD!$X$3:$X$5001,"&lt;&gt;"))))</f>
        <v/>
      </c>
      <c r="D225" s="42" t="str">
        <f>IF(OR($B225="",$A225&gt;$B$9),"",IF(COUNTIFS(BD!$B$3:$B$5001,D$208,BD!$A$3:$A$5001,"&gt;="&amp;$C$7,BD!$A$3:$A$5001,"&lt;="&amp;$B225,BD!$X$3:$X$5001,"&lt;&gt;")=0,"",SUMIFS(BD!$X$3:$X$5001,BD!$B$3:$B$5001,D$208,BD!$A$3:$A$5001,_xlfn.MAXIFS(BD!$A$3:$A$5001,BD!$B$3:$B$5001,D$208,BD!$A$3:$A$5001,"&gt;="&amp;$C$7,BD!$A$3:$A$5001,"&lt;="&amp;$B225,BD!$X$3:$X$5001,"&lt;&gt;"))))</f>
        <v/>
      </c>
      <c r="E225" s="42" t="str">
        <f>IF(OR($B225="",$A225&gt;$B$9),"",IF(COUNTIFS(BD!$B$3:$B$5001,E$208,BD!$A$3:$A$5001,"&gt;="&amp;$C$7,BD!$A$3:$A$5001,"&lt;="&amp;$B225,BD!$X$3:$X$5001,"&lt;&gt;")=0,"",SUMIFS(BD!$X$3:$X$5001,BD!$B$3:$B$5001,E$208,BD!$A$3:$A$5001,_xlfn.MAXIFS(BD!$A$3:$A$5001,BD!$B$3:$B$5001,E$208,BD!$A$3:$A$5001,"&gt;="&amp;$C$7,BD!$A$3:$A$5001,"&lt;="&amp;$B225,BD!$X$3:$X$5001,"&lt;&gt;"))))</f>
        <v/>
      </c>
      <c r="F225" s="42" t="str">
        <f>IF(OR($B225="",$A225&gt;$B$9),"",IF(COUNTIFS(BD!$B$3:$B$5001,F$208,BD!$A$3:$A$5001,"&gt;="&amp;$C$7,BD!$A$3:$A$5001,"&lt;="&amp;$B225,BD!$X$3:$X$5001,"&lt;&gt;")=0,"",SUMIFS(BD!$X$3:$X$5001,BD!$B$3:$B$5001,F$208,BD!$A$3:$A$5001,_xlfn.MAXIFS(BD!$A$3:$A$5001,BD!$B$3:$B$5001,F$208,BD!$A$3:$A$5001,"&gt;="&amp;$C$7,BD!$A$3:$A$5001,"&lt;="&amp;$B225,BD!$X$3:$X$5001,"&lt;&gt;"))))</f>
        <v/>
      </c>
      <c r="G225" s="42" t="str">
        <f>IF(OR($B225="",$A225&gt;$B$9),"",IF(COUNTIFS(BD!$B$3:$B$5001,G$208,BD!$A$3:$A$5001,"&gt;="&amp;$C$7,BD!$A$3:$A$5001,"&lt;="&amp;$B225,BD!$X$3:$X$5001,"&lt;&gt;")=0,"",SUMIFS(BD!$X$3:$X$5001,BD!$B$3:$B$5001,G$208,BD!$A$3:$A$5001,_xlfn.MAXIFS(BD!$A$3:$A$5001,BD!$B$3:$B$5001,G$208,BD!$A$3:$A$5001,"&gt;="&amp;$C$7,BD!$A$3:$A$5001,"&lt;="&amp;$B225,BD!$X$3:$X$5001,"&lt;&gt;"))))</f>
        <v/>
      </c>
      <c r="H225" s="42" t="str">
        <f>IF(OR($B225="",$A225&gt;$B$9),"",IF(COUNTIFS(BD!$B$3:$B$5001,H$208,BD!$A$3:$A$5001,"&gt;="&amp;$C$7,BD!$A$3:$A$5001,"&lt;="&amp;$B225,BD!$X$3:$X$5001,"&lt;&gt;")=0,"",SUMIFS(BD!$X$3:$X$5001,BD!$B$3:$B$5001,H$208,BD!$A$3:$A$5001,_xlfn.MAXIFS(BD!$A$3:$A$5001,BD!$B$3:$B$5001,H$208,BD!$A$3:$A$5001,"&gt;="&amp;$C$7,BD!$A$3:$A$5001,"&lt;="&amp;$B225,BD!$X$3:$X$5001,"&lt;&gt;"))))</f>
        <v/>
      </c>
      <c r="I225" s="42" t="str">
        <f>IF(OR($B225="",$A225&gt;$B$9),"",IF(COUNTIFS(BD!$B$3:$B$5001,I$208,BD!$A$3:$A$5001,"&gt;="&amp;$C$7,BD!$A$3:$A$5001,"&lt;="&amp;$B225,BD!$X$3:$X$5001,"&lt;&gt;")=0,"",SUMIFS(BD!$X$3:$X$5001,BD!$B$3:$B$5001,I$208,BD!$A$3:$A$5001,_xlfn.MAXIFS(BD!$A$3:$A$5001,BD!$B$3:$B$5001,I$208,BD!$A$3:$A$5001,"&gt;="&amp;$C$7,BD!$A$3:$A$5001,"&lt;="&amp;$B225,BD!$X$3:$X$5001,"&lt;&gt;"))))</f>
        <v/>
      </c>
      <c r="J225" s="42" t="str">
        <f>IF(OR($B225="",$A225&gt;$B$9),"",IF(COUNTIFS(BD!$B$3:$B$5001,J$208,BD!$A$3:$A$5001,"&gt;="&amp;$C$7,BD!$A$3:$A$5001,"&lt;="&amp;$B225,BD!$X$3:$X$5001,"&lt;&gt;")=0,"",SUMIFS(BD!$X$3:$X$5001,BD!$B$3:$B$5001,J$208,BD!$A$3:$A$5001,_xlfn.MAXIFS(BD!$A$3:$A$5001,BD!$B$3:$B$5001,J$208,BD!$A$3:$A$5001,"&gt;="&amp;$C$7,BD!$A$3:$A$5001,"&lt;="&amp;$B225,BD!$X$3:$X$5001,"&lt;&gt;"))))</f>
        <v/>
      </c>
      <c r="K225" s="42" t="str">
        <f>IF(OR($B225="",$A225&gt;$B$9),"",IF(COUNTIFS(BD!$B$3:$B$5001,K$208,BD!$A$3:$A$5001,"&gt;="&amp;$C$7,BD!$A$3:$A$5001,"&lt;="&amp;$B225,BD!$X$3:$X$5001,"&lt;&gt;")=0,"",SUMIFS(BD!$X$3:$X$5001,BD!$B$3:$B$5001,K$208,BD!$A$3:$A$5001,_xlfn.MAXIFS(BD!$A$3:$A$5001,BD!$B$3:$B$5001,K$208,BD!$A$3:$A$5001,"&gt;="&amp;$C$7,BD!$A$3:$A$5001,"&lt;="&amp;$B225,BD!$X$3:$X$5001,"&lt;&gt;"))))</f>
        <v/>
      </c>
      <c r="L225" s="42" t="str">
        <f>IF(OR($B225="",$A225&gt;$B$9),"",IF(COUNTIFS(BD!$B$3:$B$5001,L$208,BD!$A$3:$A$5001,"&gt;="&amp;$C$7,BD!$A$3:$A$5001,"&lt;="&amp;$B225,BD!$X$3:$X$5001,"&lt;&gt;")=0,"",SUMIFS(BD!$X$3:$X$5001,BD!$B$3:$B$5001,L$208,BD!$A$3:$A$5001,_xlfn.MAXIFS(BD!$A$3:$A$5001,BD!$B$3:$B$5001,L$208,BD!$A$3:$A$5001,"&gt;="&amp;$C$7,BD!$A$3:$A$5001,"&lt;="&amp;$B225,BD!$X$3:$X$5001,"&lt;&gt;"))))</f>
        <v/>
      </c>
    </row>
    <row r="226">
      <c r="A226" s="40">
        <v>18</v>
      </c>
      <c r="B226" s="41">
        <f>$B$29</f>
        <v>46313</v>
      </c>
      <c r="C226" s="42" t="str">
        <f>IF(OR($B226="",$A226&gt;$B$9),"",IF(COUNTIFS(BD!$B$3:$B$5001,C$208,BD!$A$3:$A$5001,"&gt;="&amp;$C$7,BD!$A$3:$A$5001,"&lt;="&amp;$B226,BD!$X$3:$X$5001,"&lt;&gt;")=0,"",SUMIFS(BD!$X$3:$X$5001,BD!$B$3:$B$5001,C$208,BD!$A$3:$A$5001,_xlfn.MAXIFS(BD!$A$3:$A$5001,BD!$B$3:$B$5001,C$208,BD!$A$3:$A$5001,"&gt;="&amp;$C$7,BD!$A$3:$A$5001,"&lt;="&amp;$B226,BD!$X$3:$X$5001,"&lt;&gt;"))))</f>
        <v/>
      </c>
      <c r="D226" s="42" t="str">
        <f>IF(OR($B226="",$A226&gt;$B$9),"",IF(COUNTIFS(BD!$B$3:$B$5001,D$208,BD!$A$3:$A$5001,"&gt;="&amp;$C$7,BD!$A$3:$A$5001,"&lt;="&amp;$B226,BD!$X$3:$X$5001,"&lt;&gt;")=0,"",SUMIFS(BD!$X$3:$X$5001,BD!$B$3:$B$5001,D$208,BD!$A$3:$A$5001,_xlfn.MAXIFS(BD!$A$3:$A$5001,BD!$B$3:$B$5001,D$208,BD!$A$3:$A$5001,"&gt;="&amp;$C$7,BD!$A$3:$A$5001,"&lt;="&amp;$B226,BD!$X$3:$X$5001,"&lt;&gt;"))))</f>
        <v/>
      </c>
      <c r="E226" s="42" t="str">
        <f>IF(OR($B226="",$A226&gt;$B$9),"",IF(COUNTIFS(BD!$B$3:$B$5001,E$208,BD!$A$3:$A$5001,"&gt;="&amp;$C$7,BD!$A$3:$A$5001,"&lt;="&amp;$B226,BD!$X$3:$X$5001,"&lt;&gt;")=0,"",SUMIFS(BD!$X$3:$X$5001,BD!$B$3:$B$5001,E$208,BD!$A$3:$A$5001,_xlfn.MAXIFS(BD!$A$3:$A$5001,BD!$B$3:$B$5001,E$208,BD!$A$3:$A$5001,"&gt;="&amp;$C$7,BD!$A$3:$A$5001,"&lt;="&amp;$B226,BD!$X$3:$X$5001,"&lt;&gt;"))))</f>
        <v/>
      </c>
      <c r="F226" s="42" t="str">
        <f>IF(OR($B226="",$A226&gt;$B$9),"",IF(COUNTIFS(BD!$B$3:$B$5001,F$208,BD!$A$3:$A$5001,"&gt;="&amp;$C$7,BD!$A$3:$A$5001,"&lt;="&amp;$B226,BD!$X$3:$X$5001,"&lt;&gt;")=0,"",SUMIFS(BD!$X$3:$X$5001,BD!$B$3:$B$5001,F$208,BD!$A$3:$A$5001,_xlfn.MAXIFS(BD!$A$3:$A$5001,BD!$B$3:$B$5001,F$208,BD!$A$3:$A$5001,"&gt;="&amp;$C$7,BD!$A$3:$A$5001,"&lt;="&amp;$B226,BD!$X$3:$X$5001,"&lt;&gt;"))))</f>
        <v/>
      </c>
      <c r="G226" s="42" t="str">
        <f>IF(OR($B226="",$A226&gt;$B$9),"",IF(COUNTIFS(BD!$B$3:$B$5001,G$208,BD!$A$3:$A$5001,"&gt;="&amp;$C$7,BD!$A$3:$A$5001,"&lt;="&amp;$B226,BD!$X$3:$X$5001,"&lt;&gt;")=0,"",SUMIFS(BD!$X$3:$X$5001,BD!$B$3:$B$5001,G$208,BD!$A$3:$A$5001,_xlfn.MAXIFS(BD!$A$3:$A$5001,BD!$B$3:$B$5001,G$208,BD!$A$3:$A$5001,"&gt;="&amp;$C$7,BD!$A$3:$A$5001,"&lt;="&amp;$B226,BD!$X$3:$X$5001,"&lt;&gt;"))))</f>
        <v/>
      </c>
      <c r="H226" s="42" t="str">
        <f>IF(OR($B226="",$A226&gt;$B$9),"",IF(COUNTIFS(BD!$B$3:$B$5001,H$208,BD!$A$3:$A$5001,"&gt;="&amp;$C$7,BD!$A$3:$A$5001,"&lt;="&amp;$B226,BD!$X$3:$X$5001,"&lt;&gt;")=0,"",SUMIFS(BD!$X$3:$X$5001,BD!$B$3:$B$5001,H$208,BD!$A$3:$A$5001,_xlfn.MAXIFS(BD!$A$3:$A$5001,BD!$B$3:$B$5001,H$208,BD!$A$3:$A$5001,"&gt;="&amp;$C$7,BD!$A$3:$A$5001,"&lt;="&amp;$B226,BD!$X$3:$X$5001,"&lt;&gt;"))))</f>
        <v/>
      </c>
      <c r="I226" s="42" t="str">
        <f>IF(OR($B226="",$A226&gt;$B$9),"",IF(COUNTIFS(BD!$B$3:$B$5001,I$208,BD!$A$3:$A$5001,"&gt;="&amp;$C$7,BD!$A$3:$A$5001,"&lt;="&amp;$B226,BD!$X$3:$X$5001,"&lt;&gt;")=0,"",SUMIFS(BD!$X$3:$X$5001,BD!$B$3:$B$5001,I$208,BD!$A$3:$A$5001,_xlfn.MAXIFS(BD!$A$3:$A$5001,BD!$B$3:$B$5001,I$208,BD!$A$3:$A$5001,"&gt;="&amp;$C$7,BD!$A$3:$A$5001,"&lt;="&amp;$B226,BD!$X$3:$X$5001,"&lt;&gt;"))))</f>
        <v/>
      </c>
      <c r="J226" s="42" t="str">
        <f>IF(OR($B226="",$A226&gt;$B$9),"",IF(COUNTIFS(BD!$B$3:$B$5001,J$208,BD!$A$3:$A$5001,"&gt;="&amp;$C$7,BD!$A$3:$A$5001,"&lt;="&amp;$B226,BD!$X$3:$X$5001,"&lt;&gt;")=0,"",SUMIFS(BD!$X$3:$X$5001,BD!$B$3:$B$5001,J$208,BD!$A$3:$A$5001,_xlfn.MAXIFS(BD!$A$3:$A$5001,BD!$B$3:$B$5001,J$208,BD!$A$3:$A$5001,"&gt;="&amp;$C$7,BD!$A$3:$A$5001,"&lt;="&amp;$B226,BD!$X$3:$X$5001,"&lt;&gt;"))))</f>
        <v/>
      </c>
      <c r="K226" s="42" t="str">
        <f>IF(OR($B226="",$A226&gt;$B$9),"",IF(COUNTIFS(BD!$B$3:$B$5001,K$208,BD!$A$3:$A$5001,"&gt;="&amp;$C$7,BD!$A$3:$A$5001,"&lt;="&amp;$B226,BD!$X$3:$X$5001,"&lt;&gt;")=0,"",SUMIFS(BD!$X$3:$X$5001,BD!$B$3:$B$5001,K$208,BD!$A$3:$A$5001,_xlfn.MAXIFS(BD!$A$3:$A$5001,BD!$B$3:$B$5001,K$208,BD!$A$3:$A$5001,"&gt;="&amp;$C$7,BD!$A$3:$A$5001,"&lt;="&amp;$B226,BD!$X$3:$X$5001,"&lt;&gt;"))))</f>
        <v/>
      </c>
      <c r="L226" s="42" t="str">
        <f>IF(OR($B226="",$A226&gt;$B$9),"",IF(COUNTIFS(BD!$B$3:$B$5001,L$208,BD!$A$3:$A$5001,"&gt;="&amp;$C$7,BD!$A$3:$A$5001,"&lt;="&amp;$B226,BD!$X$3:$X$5001,"&lt;&gt;")=0,"",SUMIFS(BD!$X$3:$X$5001,BD!$B$3:$B$5001,L$208,BD!$A$3:$A$5001,_xlfn.MAXIFS(BD!$A$3:$A$5001,BD!$B$3:$B$5001,L$208,BD!$A$3:$A$5001,"&gt;="&amp;$C$7,BD!$A$3:$A$5001,"&lt;="&amp;$B226,BD!$X$3:$X$5001,"&lt;&gt;"))))</f>
        <v/>
      </c>
    </row>
    <row r="227">
      <c r="A227" s="40">
        <v>19</v>
      </c>
      <c r="B227" s="41">
        <f>$B$30</f>
        <v>46314</v>
      </c>
      <c r="C227" s="42" t="str">
        <f>IF(OR($B227="",$A227&gt;$B$9),"",IF(COUNTIFS(BD!$B$3:$B$5001,C$208,BD!$A$3:$A$5001,"&gt;="&amp;$C$7,BD!$A$3:$A$5001,"&lt;="&amp;$B227,BD!$X$3:$X$5001,"&lt;&gt;")=0,"",SUMIFS(BD!$X$3:$X$5001,BD!$B$3:$B$5001,C$208,BD!$A$3:$A$5001,_xlfn.MAXIFS(BD!$A$3:$A$5001,BD!$B$3:$B$5001,C$208,BD!$A$3:$A$5001,"&gt;="&amp;$C$7,BD!$A$3:$A$5001,"&lt;="&amp;$B227,BD!$X$3:$X$5001,"&lt;&gt;"))))</f>
        <v/>
      </c>
      <c r="D227" s="42" t="str">
        <f>IF(OR($B227="",$A227&gt;$B$9),"",IF(COUNTIFS(BD!$B$3:$B$5001,D$208,BD!$A$3:$A$5001,"&gt;="&amp;$C$7,BD!$A$3:$A$5001,"&lt;="&amp;$B227,BD!$X$3:$X$5001,"&lt;&gt;")=0,"",SUMIFS(BD!$X$3:$X$5001,BD!$B$3:$B$5001,D$208,BD!$A$3:$A$5001,_xlfn.MAXIFS(BD!$A$3:$A$5001,BD!$B$3:$B$5001,D$208,BD!$A$3:$A$5001,"&gt;="&amp;$C$7,BD!$A$3:$A$5001,"&lt;="&amp;$B227,BD!$X$3:$X$5001,"&lt;&gt;"))))</f>
        <v/>
      </c>
      <c r="E227" s="42" t="str">
        <f>IF(OR($B227="",$A227&gt;$B$9),"",IF(COUNTIFS(BD!$B$3:$B$5001,E$208,BD!$A$3:$A$5001,"&gt;="&amp;$C$7,BD!$A$3:$A$5001,"&lt;="&amp;$B227,BD!$X$3:$X$5001,"&lt;&gt;")=0,"",SUMIFS(BD!$X$3:$X$5001,BD!$B$3:$B$5001,E$208,BD!$A$3:$A$5001,_xlfn.MAXIFS(BD!$A$3:$A$5001,BD!$B$3:$B$5001,E$208,BD!$A$3:$A$5001,"&gt;="&amp;$C$7,BD!$A$3:$A$5001,"&lt;="&amp;$B227,BD!$X$3:$X$5001,"&lt;&gt;"))))</f>
        <v/>
      </c>
      <c r="F227" s="42" t="str">
        <f>IF(OR($B227="",$A227&gt;$B$9),"",IF(COUNTIFS(BD!$B$3:$B$5001,F$208,BD!$A$3:$A$5001,"&gt;="&amp;$C$7,BD!$A$3:$A$5001,"&lt;="&amp;$B227,BD!$X$3:$X$5001,"&lt;&gt;")=0,"",SUMIFS(BD!$X$3:$X$5001,BD!$B$3:$B$5001,F$208,BD!$A$3:$A$5001,_xlfn.MAXIFS(BD!$A$3:$A$5001,BD!$B$3:$B$5001,F$208,BD!$A$3:$A$5001,"&gt;="&amp;$C$7,BD!$A$3:$A$5001,"&lt;="&amp;$B227,BD!$X$3:$X$5001,"&lt;&gt;"))))</f>
        <v/>
      </c>
      <c r="G227" s="42" t="str">
        <f>IF(OR($B227="",$A227&gt;$B$9),"",IF(COUNTIFS(BD!$B$3:$B$5001,G$208,BD!$A$3:$A$5001,"&gt;="&amp;$C$7,BD!$A$3:$A$5001,"&lt;="&amp;$B227,BD!$X$3:$X$5001,"&lt;&gt;")=0,"",SUMIFS(BD!$X$3:$X$5001,BD!$B$3:$B$5001,G$208,BD!$A$3:$A$5001,_xlfn.MAXIFS(BD!$A$3:$A$5001,BD!$B$3:$B$5001,G$208,BD!$A$3:$A$5001,"&gt;="&amp;$C$7,BD!$A$3:$A$5001,"&lt;="&amp;$B227,BD!$X$3:$X$5001,"&lt;&gt;"))))</f>
        <v/>
      </c>
      <c r="H227" s="42" t="str">
        <f>IF(OR($B227="",$A227&gt;$B$9),"",IF(COUNTIFS(BD!$B$3:$B$5001,H$208,BD!$A$3:$A$5001,"&gt;="&amp;$C$7,BD!$A$3:$A$5001,"&lt;="&amp;$B227,BD!$X$3:$X$5001,"&lt;&gt;")=0,"",SUMIFS(BD!$X$3:$X$5001,BD!$B$3:$B$5001,H$208,BD!$A$3:$A$5001,_xlfn.MAXIFS(BD!$A$3:$A$5001,BD!$B$3:$B$5001,H$208,BD!$A$3:$A$5001,"&gt;="&amp;$C$7,BD!$A$3:$A$5001,"&lt;="&amp;$B227,BD!$X$3:$X$5001,"&lt;&gt;"))))</f>
        <v/>
      </c>
      <c r="I227" s="42" t="str">
        <f>IF(OR($B227="",$A227&gt;$B$9),"",IF(COUNTIFS(BD!$B$3:$B$5001,I$208,BD!$A$3:$A$5001,"&gt;="&amp;$C$7,BD!$A$3:$A$5001,"&lt;="&amp;$B227,BD!$X$3:$X$5001,"&lt;&gt;")=0,"",SUMIFS(BD!$X$3:$X$5001,BD!$B$3:$B$5001,I$208,BD!$A$3:$A$5001,_xlfn.MAXIFS(BD!$A$3:$A$5001,BD!$B$3:$B$5001,I$208,BD!$A$3:$A$5001,"&gt;="&amp;$C$7,BD!$A$3:$A$5001,"&lt;="&amp;$B227,BD!$X$3:$X$5001,"&lt;&gt;"))))</f>
        <v/>
      </c>
      <c r="J227" s="42" t="str">
        <f>IF(OR($B227="",$A227&gt;$B$9),"",IF(COUNTIFS(BD!$B$3:$B$5001,J$208,BD!$A$3:$A$5001,"&gt;="&amp;$C$7,BD!$A$3:$A$5001,"&lt;="&amp;$B227,BD!$X$3:$X$5001,"&lt;&gt;")=0,"",SUMIFS(BD!$X$3:$X$5001,BD!$B$3:$B$5001,J$208,BD!$A$3:$A$5001,_xlfn.MAXIFS(BD!$A$3:$A$5001,BD!$B$3:$B$5001,J$208,BD!$A$3:$A$5001,"&gt;="&amp;$C$7,BD!$A$3:$A$5001,"&lt;="&amp;$B227,BD!$X$3:$X$5001,"&lt;&gt;"))))</f>
        <v/>
      </c>
      <c r="K227" s="42" t="str">
        <f>IF(OR($B227="",$A227&gt;$B$9),"",IF(COUNTIFS(BD!$B$3:$B$5001,K$208,BD!$A$3:$A$5001,"&gt;="&amp;$C$7,BD!$A$3:$A$5001,"&lt;="&amp;$B227,BD!$X$3:$X$5001,"&lt;&gt;")=0,"",SUMIFS(BD!$X$3:$X$5001,BD!$B$3:$B$5001,K$208,BD!$A$3:$A$5001,_xlfn.MAXIFS(BD!$A$3:$A$5001,BD!$B$3:$B$5001,K$208,BD!$A$3:$A$5001,"&gt;="&amp;$C$7,BD!$A$3:$A$5001,"&lt;="&amp;$B227,BD!$X$3:$X$5001,"&lt;&gt;"))))</f>
        <v/>
      </c>
      <c r="L227" s="42" t="str">
        <f>IF(OR($B227="",$A227&gt;$B$9),"",IF(COUNTIFS(BD!$B$3:$B$5001,L$208,BD!$A$3:$A$5001,"&gt;="&amp;$C$7,BD!$A$3:$A$5001,"&lt;="&amp;$B227,BD!$X$3:$X$5001,"&lt;&gt;")=0,"",SUMIFS(BD!$X$3:$X$5001,BD!$B$3:$B$5001,L$208,BD!$A$3:$A$5001,_xlfn.MAXIFS(BD!$A$3:$A$5001,BD!$B$3:$B$5001,L$208,BD!$A$3:$A$5001,"&gt;="&amp;$C$7,BD!$A$3:$A$5001,"&lt;="&amp;$B227,BD!$X$3:$X$5001,"&lt;&gt;"))))</f>
        <v/>
      </c>
    </row>
    <row r="228">
      <c r="A228" s="40">
        <v>20</v>
      </c>
      <c r="B228" s="41">
        <f>$B$31</f>
        <v>46315</v>
      </c>
      <c r="C228" s="42" t="str">
        <f>IF(OR($B228="",$A228&gt;$B$9),"",IF(COUNTIFS(BD!$B$3:$B$5001,C$208,BD!$A$3:$A$5001,"&gt;="&amp;$C$7,BD!$A$3:$A$5001,"&lt;="&amp;$B228,BD!$X$3:$X$5001,"&lt;&gt;")=0,"",SUMIFS(BD!$X$3:$X$5001,BD!$B$3:$B$5001,C$208,BD!$A$3:$A$5001,_xlfn.MAXIFS(BD!$A$3:$A$5001,BD!$B$3:$B$5001,C$208,BD!$A$3:$A$5001,"&gt;="&amp;$C$7,BD!$A$3:$A$5001,"&lt;="&amp;$B228,BD!$X$3:$X$5001,"&lt;&gt;"))))</f>
        <v/>
      </c>
      <c r="D228" s="42" t="str">
        <f>IF(OR($B228="",$A228&gt;$B$9),"",IF(COUNTIFS(BD!$B$3:$B$5001,D$208,BD!$A$3:$A$5001,"&gt;="&amp;$C$7,BD!$A$3:$A$5001,"&lt;="&amp;$B228,BD!$X$3:$X$5001,"&lt;&gt;")=0,"",SUMIFS(BD!$X$3:$X$5001,BD!$B$3:$B$5001,D$208,BD!$A$3:$A$5001,_xlfn.MAXIFS(BD!$A$3:$A$5001,BD!$B$3:$B$5001,D$208,BD!$A$3:$A$5001,"&gt;="&amp;$C$7,BD!$A$3:$A$5001,"&lt;="&amp;$B228,BD!$X$3:$X$5001,"&lt;&gt;"))))</f>
        <v/>
      </c>
      <c r="E228" s="42" t="str">
        <f>IF(OR($B228="",$A228&gt;$B$9),"",IF(COUNTIFS(BD!$B$3:$B$5001,E$208,BD!$A$3:$A$5001,"&gt;="&amp;$C$7,BD!$A$3:$A$5001,"&lt;="&amp;$B228,BD!$X$3:$X$5001,"&lt;&gt;")=0,"",SUMIFS(BD!$X$3:$X$5001,BD!$B$3:$B$5001,E$208,BD!$A$3:$A$5001,_xlfn.MAXIFS(BD!$A$3:$A$5001,BD!$B$3:$B$5001,E$208,BD!$A$3:$A$5001,"&gt;="&amp;$C$7,BD!$A$3:$A$5001,"&lt;="&amp;$B228,BD!$X$3:$X$5001,"&lt;&gt;"))))</f>
        <v/>
      </c>
      <c r="F228" s="42" t="str">
        <f>IF(OR($B228="",$A228&gt;$B$9),"",IF(COUNTIFS(BD!$B$3:$B$5001,F$208,BD!$A$3:$A$5001,"&gt;="&amp;$C$7,BD!$A$3:$A$5001,"&lt;="&amp;$B228,BD!$X$3:$X$5001,"&lt;&gt;")=0,"",SUMIFS(BD!$X$3:$X$5001,BD!$B$3:$B$5001,F$208,BD!$A$3:$A$5001,_xlfn.MAXIFS(BD!$A$3:$A$5001,BD!$B$3:$B$5001,F$208,BD!$A$3:$A$5001,"&gt;="&amp;$C$7,BD!$A$3:$A$5001,"&lt;="&amp;$B228,BD!$X$3:$X$5001,"&lt;&gt;"))))</f>
        <v/>
      </c>
      <c r="G228" s="42" t="str">
        <f>IF(OR($B228="",$A228&gt;$B$9),"",IF(COUNTIFS(BD!$B$3:$B$5001,G$208,BD!$A$3:$A$5001,"&gt;="&amp;$C$7,BD!$A$3:$A$5001,"&lt;="&amp;$B228,BD!$X$3:$X$5001,"&lt;&gt;")=0,"",SUMIFS(BD!$X$3:$X$5001,BD!$B$3:$B$5001,G$208,BD!$A$3:$A$5001,_xlfn.MAXIFS(BD!$A$3:$A$5001,BD!$B$3:$B$5001,G$208,BD!$A$3:$A$5001,"&gt;="&amp;$C$7,BD!$A$3:$A$5001,"&lt;="&amp;$B228,BD!$X$3:$X$5001,"&lt;&gt;"))))</f>
        <v/>
      </c>
      <c r="H228" s="42" t="str">
        <f>IF(OR($B228="",$A228&gt;$B$9),"",IF(COUNTIFS(BD!$B$3:$B$5001,H$208,BD!$A$3:$A$5001,"&gt;="&amp;$C$7,BD!$A$3:$A$5001,"&lt;="&amp;$B228,BD!$X$3:$X$5001,"&lt;&gt;")=0,"",SUMIFS(BD!$X$3:$X$5001,BD!$B$3:$B$5001,H$208,BD!$A$3:$A$5001,_xlfn.MAXIFS(BD!$A$3:$A$5001,BD!$B$3:$B$5001,H$208,BD!$A$3:$A$5001,"&gt;="&amp;$C$7,BD!$A$3:$A$5001,"&lt;="&amp;$B228,BD!$X$3:$X$5001,"&lt;&gt;"))))</f>
        <v/>
      </c>
      <c r="I228" s="42" t="str">
        <f>IF(OR($B228="",$A228&gt;$B$9),"",IF(COUNTIFS(BD!$B$3:$B$5001,I$208,BD!$A$3:$A$5001,"&gt;="&amp;$C$7,BD!$A$3:$A$5001,"&lt;="&amp;$B228,BD!$X$3:$X$5001,"&lt;&gt;")=0,"",SUMIFS(BD!$X$3:$X$5001,BD!$B$3:$B$5001,I$208,BD!$A$3:$A$5001,_xlfn.MAXIFS(BD!$A$3:$A$5001,BD!$B$3:$B$5001,I$208,BD!$A$3:$A$5001,"&gt;="&amp;$C$7,BD!$A$3:$A$5001,"&lt;="&amp;$B228,BD!$X$3:$X$5001,"&lt;&gt;"))))</f>
        <v/>
      </c>
      <c r="J228" s="42" t="str">
        <f>IF(OR($B228="",$A228&gt;$B$9),"",IF(COUNTIFS(BD!$B$3:$B$5001,J$208,BD!$A$3:$A$5001,"&gt;="&amp;$C$7,BD!$A$3:$A$5001,"&lt;="&amp;$B228,BD!$X$3:$X$5001,"&lt;&gt;")=0,"",SUMIFS(BD!$X$3:$X$5001,BD!$B$3:$B$5001,J$208,BD!$A$3:$A$5001,_xlfn.MAXIFS(BD!$A$3:$A$5001,BD!$B$3:$B$5001,J$208,BD!$A$3:$A$5001,"&gt;="&amp;$C$7,BD!$A$3:$A$5001,"&lt;="&amp;$B228,BD!$X$3:$X$5001,"&lt;&gt;"))))</f>
        <v/>
      </c>
      <c r="K228" s="42" t="str">
        <f>IF(OR($B228="",$A228&gt;$B$9),"",IF(COUNTIFS(BD!$B$3:$B$5001,K$208,BD!$A$3:$A$5001,"&gt;="&amp;$C$7,BD!$A$3:$A$5001,"&lt;="&amp;$B228,BD!$X$3:$X$5001,"&lt;&gt;")=0,"",SUMIFS(BD!$X$3:$X$5001,BD!$B$3:$B$5001,K$208,BD!$A$3:$A$5001,_xlfn.MAXIFS(BD!$A$3:$A$5001,BD!$B$3:$B$5001,K$208,BD!$A$3:$A$5001,"&gt;="&amp;$C$7,BD!$A$3:$A$5001,"&lt;="&amp;$B228,BD!$X$3:$X$5001,"&lt;&gt;"))))</f>
        <v/>
      </c>
      <c r="L228" s="42" t="str">
        <f>IF(OR($B228="",$A228&gt;$B$9),"",IF(COUNTIFS(BD!$B$3:$B$5001,L$208,BD!$A$3:$A$5001,"&gt;="&amp;$C$7,BD!$A$3:$A$5001,"&lt;="&amp;$B228,BD!$X$3:$X$5001,"&lt;&gt;")=0,"",SUMIFS(BD!$X$3:$X$5001,BD!$B$3:$B$5001,L$208,BD!$A$3:$A$5001,_xlfn.MAXIFS(BD!$A$3:$A$5001,BD!$B$3:$B$5001,L$208,BD!$A$3:$A$5001,"&gt;="&amp;$C$7,BD!$A$3:$A$5001,"&lt;="&amp;$B228,BD!$X$3:$X$5001,"&lt;&gt;"))))</f>
        <v/>
      </c>
    </row>
    <row r="229">
      <c r="A229" s="40">
        <v>21</v>
      </c>
      <c r="B229" s="41">
        <f>$B$32</f>
        <v>46316</v>
      </c>
      <c r="C229" s="42" t="str">
        <f>IF(OR($B229="",$A229&gt;$B$9),"",IF(COUNTIFS(BD!$B$3:$B$5001,C$208,BD!$A$3:$A$5001,"&gt;="&amp;$C$7,BD!$A$3:$A$5001,"&lt;="&amp;$B229,BD!$X$3:$X$5001,"&lt;&gt;")=0,"",SUMIFS(BD!$X$3:$X$5001,BD!$B$3:$B$5001,C$208,BD!$A$3:$A$5001,_xlfn.MAXIFS(BD!$A$3:$A$5001,BD!$B$3:$B$5001,C$208,BD!$A$3:$A$5001,"&gt;="&amp;$C$7,BD!$A$3:$A$5001,"&lt;="&amp;$B229,BD!$X$3:$X$5001,"&lt;&gt;"))))</f>
        <v/>
      </c>
      <c r="D229" s="42" t="str">
        <f>IF(OR($B229="",$A229&gt;$B$9),"",IF(COUNTIFS(BD!$B$3:$B$5001,D$208,BD!$A$3:$A$5001,"&gt;="&amp;$C$7,BD!$A$3:$A$5001,"&lt;="&amp;$B229,BD!$X$3:$X$5001,"&lt;&gt;")=0,"",SUMIFS(BD!$X$3:$X$5001,BD!$B$3:$B$5001,D$208,BD!$A$3:$A$5001,_xlfn.MAXIFS(BD!$A$3:$A$5001,BD!$B$3:$B$5001,D$208,BD!$A$3:$A$5001,"&gt;="&amp;$C$7,BD!$A$3:$A$5001,"&lt;="&amp;$B229,BD!$X$3:$X$5001,"&lt;&gt;"))))</f>
        <v/>
      </c>
      <c r="E229" s="42" t="str">
        <f>IF(OR($B229="",$A229&gt;$B$9),"",IF(COUNTIFS(BD!$B$3:$B$5001,E$208,BD!$A$3:$A$5001,"&gt;="&amp;$C$7,BD!$A$3:$A$5001,"&lt;="&amp;$B229,BD!$X$3:$X$5001,"&lt;&gt;")=0,"",SUMIFS(BD!$X$3:$X$5001,BD!$B$3:$B$5001,E$208,BD!$A$3:$A$5001,_xlfn.MAXIFS(BD!$A$3:$A$5001,BD!$B$3:$B$5001,E$208,BD!$A$3:$A$5001,"&gt;="&amp;$C$7,BD!$A$3:$A$5001,"&lt;="&amp;$B229,BD!$X$3:$X$5001,"&lt;&gt;"))))</f>
        <v/>
      </c>
      <c r="F229" s="42" t="str">
        <f>IF(OR($B229="",$A229&gt;$B$9),"",IF(COUNTIFS(BD!$B$3:$B$5001,F$208,BD!$A$3:$A$5001,"&gt;="&amp;$C$7,BD!$A$3:$A$5001,"&lt;="&amp;$B229,BD!$X$3:$X$5001,"&lt;&gt;")=0,"",SUMIFS(BD!$X$3:$X$5001,BD!$B$3:$B$5001,F$208,BD!$A$3:$A$5001,_xlfn.MAXIFS(BD!$A$3:$A$5001,BD!$B$3:$B$5001,F$208,BD!$A$3:$A$5001,"&gt;="&amp;$C$7,BD!$A$3:$A$5001,"&lt;="&amp;$B229,BD!$X$3:$X$5001,"&lt;&gt;"))))</f>
        <v/>
      </c>
      <c r="G229" s="42" t="str">
        <f>IF(OR($B229="",$A229&gt;$B$9),"",IF(COUNTIFS(BD!$B$3:$B$5001,G$208,BD!$A$3:$A$5001,"&gt;="&amp;$C$7,BD!$A$3:$A$5001,"&lt;="&amp;$B229,BD!$X$3:$X$5001,"&lt;&gt;")=0,"",SUMIFS(BD!$X$3:$X$5001,BD!$B$3:$B$5001,G$208,BD!$A$3:$A$5001,_xlfn.MAXIFS(BD!$A$3:$A$5001,BD!$B$3:$B$5001,G$208,BD!$A$3:$A$5001,"&gt;="&amp;$C$7,BD!$A$3:$A$5001,"&lt;="&amp;$B229,BD!$X$3:$X$5001,"&lt;&gt;"))))</f>
        <v/>
      </c>
      <c r="H229" s="42" t="str">
        <f>IF(OR($B229="",$A229&gt;$B$9),"",IF(COUNTIFS(BD!$B$3:$B$5001,H$208,BD!$A$3:$A$5001,"&gt;="&amp;$C$7,BD!$A$3:$A$5001,"&lt;="&amp;$B229,BD!$X$3:$X$5001,"&lt;&gt;")=0,"",SUMIFS(BD!$X$3:$X$5001,BD!$B$3:$B$5001,H$208,BD!$A$3:$A$5001,_xlfn.MAXIFS(BD!$A$3:$A$5001,BD!$B$3:$B$5001,H$208,BD!$A$3:$A$5001,"&gt;="&amp;$C$7,BD!$A$3:$A$5001,"&lt;="&amp;$B229,BD!$X$3:$X$5001,"&lt;&gt;"))))</f>
        <v/>
      </c>
      <c r="I229" s="42" t="str">
        <f>IF(OR($B229="",$A229&gt;$B$9),"",IF(COUNTIFS(BD!$B$3:$B$5001,I$208,BD!$A$3:$A$5001,"&gt;="&amp;$C$7,BD!$A$3:$A$5001,"&lt;="&amp;$B229,BD!$X$3:$X$5001,"&lt;&gt;")=0,"",SUMIFS(BD!$X$3:$X$5001,BD!$B$3:$B$5001,I$208,BD!$A$3:$A$5001,_xlfn.MAXIFS(BD!$A$3:$A$5001,BD!$B$3:$B$5001,I$208,BD!$A$3:$A$5001,"&gt;="&amp;$C$7,BD!$A$3:$A$5001,"&lt;="&amp;$B229,BD!$X$3:$X$5001,"&lt;&gt;"))))</f>
        <v/>
      </c>
      <c r="J229" s="42" t="str">
        <f>IF(OR($B229="",$A229&gt;$B$9),"",IF(COUNTIFS(BD!$B$3:$B$5001,J$208,BD!$A$3:$A$5001,"&gt;="&amp;$C$7,BD!$A$3:$A$5001,"&lt;="&amp;$B229,BD!$X$3:$X$5001,"&lt;&gt;")=0,"",SUMIFS(BD!$X$3:$X$5001,BD!$B$3:$B$5001,J$208,BD!$A$3:$A$5001,_xlfn.MAXIFS(BD!$A$3:$A$5001,BD!$B$3:$B$5001,J$208,BD!$A$3:$A$5001,"&gt;="&amp;$C$7,BD!$A$3:$A$5001,"&lt;="&amp;$B229,BD!$X$3:$X$5001,"&lt;&gt;"))))</f>
        <v/>
      </c>
      <c r="K229" s="42" t="str">
        <f>IF(OR($B229="",$A229&gt;$B$9),"",IF(COUNTIFS(BD!$B$3:$B$5001,K$208,BD!$A$3:$A$5001,"&gt;="&amp;$C$7,BD!$A$3:$A$5001,"&lt;="&amp;$B229,BD!$X$3:$X$5001,"&lt;&gt;")=0,"",SUMIFS(BD!$X$3:$X$5001,BD!$B$3:$B$5001,K$208,BD!$A$3:$A$5001,_xlfn.MAXIFS(BD!$A$3:$A$5001,BD!$B$3:$B$5001,K$208,BD!$A$3:$A$5001,"&gt;="&amp;$C$7,BD!$A$3:$A$5001,"&lt;="&amp;$B229,BD!$X$3:$X$5001,"&lt;&gt;"))))</f>
        <v/>
      </c>
      <c r="L229" s="42" t="str">
        <f>IF(OR($B229="",$A229&gt;$B$9),"",IF(COUNTIFS(BD!$B$3:$B$5001,L$208,BD!$A$3:$A$5001,"&gt;="&amp;$C$7,BD!$A$3:$A$5001,"&lt;="&amp;$B229,BD!$X$3:$X$5001,"&lt;&gt;")=0,"",SUMIFS(BD!$X$3:$X$5001,BD!$B$3:$B$5001,L$208,BD!$A$3:$A$5001,_xlfn.MAXIFS(BD!$A$3:$A$5001,BD!$B$3:$B$5001,L$208,BD!$A$3:$A$5001,"&gt;="&amp;$C$7,BD!$A$3:$A$5001,"&lt;="&amp;$B229,BD!$X$3:$X$5001,"&lt;&gt;"))))</f>
        <v/>
      </c>
    </row>
    <row r="230">
      <c r="A230" s="40">
        <v>22</v>
      </c>
      <c r="B230" s="41">
        <f>$B$33</f>
        <v>46317</v>
      </c>
      <c r="C230" s="42" t="str">
        <f>IF(OR($B230="",$A230&gt;$B$9),"",IF(COUNTIFS(BD!$B$3:$B$5001,C$208,BD!$A$3:$A$5001,"&gt;="&amp;$C$7,BD!$A$3:$A$5001,"&lt;="&amp;$B230,BD!$X$3:$X$5001,"&lt;&gt;")=0,"",SUMIFS(BD!$X$3:$X$5001,BD!$B$3:$B$5001,C$208,BD!$A$3:$A$5001,_xlfn.MAXIFS(BD!$A$3:$A$5001,BD!$B$3:$B$5001,C$208,BD!$A$3:$A$5001,"&gt;="&amp;$C$7,BD!$A$3:$A$5001,"&lt;="&amp;$B230,BD!$X$3:$X$5001,"&lt;&gt;"))))</f>
        <v/>
      </c>
      <c r="D230" s="42" t="str">
        <f>IF(OR($B230="",$A230&gt;$B$9),"",IF(COUNTIFS(BD!$B$3:$B$5001,D$208,BD!$A$3:$A$5001,"&gt;="&amp;$C$7,BD!$A$3:$A$5001,"&lt;="&amp;$B230,BD!$X$3:$X$5001,"&lt;&gt;")=0,"",SUMIFS(BD!$X$3:$X$5001,BD!$B$3:$B$5001,D$208,BD!$A$3:$A$5001,_xlfn.MAXIFS(BD!$A$3:$A$5001,BD!$B$3:$B$5001,D$208,BD!$A$3:$A$5001,"&gt;="&amp;$C$7,BD!$A$3:$A$5001,"&lt;="&amp;$B230,BD!$X$3:$X$5001,"&lt;&gt;"))))</f>
        <v/>
      </c>
      <c r="E230" s="42" t="str">
        <f>IF(OR($B230="",$A230&gt;$B$9),"",IF(COUNTIFS(BD!$B$3:$B$5001,E$208,BD!$A$3:$A$5001,"&gt;="&amp;$C$7,BD!$A$3:$A$5001,"&lt;="&amp;$B230,BD!$X$3:$X$5001,"&lt;&gt;")=0,"",SUMIFS(BD!$X$3:$X$5001,BD!$B$3:$B$5001,E$208,BD!$A$3:$A$5001,_xlfn.MAXIFS(BD!$A$3:$A$5001,BD!$B$3:$B$5001,E$208,BD!$A$3:$A$5001,"&gt;="&amp;$C$7,BD!$A$3:$A$5001,"&lt;="&amp;$B230,BD!$X$3:$X$5001,"&lt;&gt;"))))</f>
        <v/>
      </c>
      <c r="F230" s="42" t="str">
        <f>IF(OR($B230="",$A230&gt;$B$9),"",IF(COUNTIFS(BD!$B$3:$B$5001,F$208,BD!$A$3:$A$5001,"&gt;="&amp;$C$7,BD!$A$3:$A$5001,"&lt;="&amp;$B230,BD!$X$3:$X$5001,"&lt;&gt;")=0,"",SUMIFS(BD!$X$3:$X$5001,BD!$B$3:$B$5001,F$208,BD!$A$3:$A$5001,_xlfn.MAXIFS(BD!$A$3:$A$5001,BD!$B$3:$B$5001,F$208,BD!$A$3:$A$5001,"&gt;="&amp;$C$7,BD!$A$3:$A$5001,"&lt;="&amp;$B230,BD!$X$3:$X$5001,"&lt;&gt;"))))</f>
        <v/>
      </c>
      <c r="G230" s="42" t="str">
        <f>IF(OR($B230="",$A230&gt;$B$9),"",IF(COUNTIFS(BD!$B$3:$B$5001,G$208,BD!$A$3:$A$5001,"&gt;="&amp;$C$7,BD!$A$3:$A$5001,"&lt;="&amp;$B230,BD!$X$3:$X$5001,"&lt;&gt;")=0,"",SUMIFS(BD!$X$3:$X$5001,BD!$B$3:$B$5001,G$208,BD!$A$3:$A$5001,_xlfn.MAXIFS(BD!$A$3:$A$5001,BD!$B$3:$B$5001,G$208,BD!$A$3:$A$5001,"&gt;="&amp;$C$7,BD!$A$3:$A$5001,"&lt;="&amp;$B230,BD!$X$3:$X$5001,"&lt;&gt;"))))</f>
        <v/>
      </c>
      <c r="H230" s="42" t="str">
        <f>IF(OR($B230="",$A230&gt;$B$9),"",IF(COUNTIFS(BD!$B$3:$B$5001,H$208,BD!$A$3:$A$5001,"&gt;="&amp;$C$7,BD!$A$3:$A$5001,"&lt;="&amp;$B230,BD!$X$3:$X$5001,"&lt;&gt;")=0,"",SUMIFS(BD!$X$3:$X$5001,BD!$B$3:$B$5001,H$208,BD!$A$3:$A$5001,_xlfn.MAXIFS(BD!$A$3:$A$5001,BD!$B$3:$B$5001,H$208,BD!$A$3:$A$5001,"&gt;="&amp;$C$7,BD!$A$3:$A$5001,"&lt;="&amp;$B230,BD!$X$3:$X$5001,"&lt;&gt;"))))</f>
        <v/>
      </c>
      <c r="I230" s="42" t="str">
        <f>IF(OR($B230="",$A230&gt;$B$9),"",IF(COUNTIFS(BD!$B$3:$B$5001,I$208,BD!$A$3:$A$5001,"&gt;="&amp;$C$7,BD!$A$3:$A$5001,"&lt;="&amp;$B230,BD!$X$3:$X$5001,"&lt;&gt;")=0,"",SUMIFS(BD!$X$3:$X$5001,BD!$B$3:$B$5001,I$208,BD!$A$3:$A$5001,_xlfn.MAXIFS(BD!$A$3:$A$5001,BD!$B$3:$B$5001,I$208,BD!$A$3:$A$5001,"&gt;="&amp;$C$7,BD!$A$3:$A$5001,"&lt;="&amp;$B230,BD!$X$3:$X$5001,"&lt;&gt;"))))</f>
        <v/>
      </c>
      <c r="J230" s="42" t="str">
        <f>IF(OR($B230="",$A230&gt;$B$9),"",IF(COUNTIFS(BD!$B$3:$B$5001,J$208,BD!$A$3:$A$5001,"&gt;="&amp;$C$7,BD!$A$3:$A$5001,"&lt;="&amp;$B230,BD!$X$3:$X$5001,"&lt;&gt;")=0,"",SUMIFS(BD!$X$3:$X$5001,BD!$B$3:$B$5001,J$208,BD!$A$3:$A$5001,_xlfn.MAXIFS(BD!$A$3:$A$5001,BD!$B$3:$B$5001,J$208,BD!$A$3:$A$5001,"&gt;="&amp;$C$7,BD!$A$3:$A$5001,"&lt;="&amp;$B230,BD!$X$3:$X$5001,"&lt;&gt;"))))</f>
        <v/>
      </c>
      <c r="K230" s="42" t="str">
        <f>IF(OR($B230="",$A230&gt;$B$9),"",IF(COUNTIFS(BD!$B$3:$B$5001,K$208,BD!$A$3:$A$5001,"&gt;="&amp;$C$7,BD!$A$3:$A$5001,"&lt;="&amp;$B230,BD!$X$3:$X$5001,"&lt;&gt;")=0,"",SUMIFS(BD!$X$3:$X$5001,BD!$B$3:$B$5001,K$208,BD!$A$3:$A$5001,_xlfn.MAXIFS(BD!$A$3:$A$5001,BD!$B$3:$B$5001,K$208,BD!$A$3:$A$5001,"&gt;="&amp;$C$7,BD!$A$3:$A$5001,"&lt;="&amp;$B230,BD!$X$3:$X$5001,"&lt;&gt;"))))</f>
        <v/>
      </c>
      <c r="L230" s="42" t="str">
        <f>IF(OR($B230="",$A230&gt;$B$9),"",IF(COUNTIFS(BD!$B$3:$B$5001,L$208,BD!$A$3:$A$5001,"&gt;="&amp;$C$7,BD!$A$3:$A$5001,"&lt;="&amp;$B230,BD!$X$3:$X$5001,"&lt;&gt;")=0,"",SUMIFS(BD!$X$3:$X$5001,BD!$B$3:$B$5001,L$208,BD!$A$3:$A$5001,_xlfn.MAXIFS(BD!$A$3:$A$5001,BD!$B$3:$B$5001,L$208,BD!$A$3:$A$5001,"&gt;="&amp;$C$7,BD!$A$3:$A$5001,"&lt;="&amp;$B230,BD!$X$3:$X$5001,"&lt;&gt;"))))</f>
        <v/>
      </c>
    </row>
    <row r="231">
      <c r="A231" s="40">
        <v>23</v>
      </c>
      <c r="B231" s="41">
        <f>$B$34</f>
        <v>46318</v>
      </c>
      <c r="C231" s="42" t="str">
        <f>IF(OR($B231="",$A231&gt;$B$9),"",IF(COUNTIFS(BD!$B$3:$B$5001,C$208,BD!$A$3:$A$5001,"&gt;="&amp;$C$7,BD!$A$3:$A$5001,"&lt;="&amp;$B231,BD!$X$3:$X$5001,"&lt;&gt;")=0,"",SUMIFS(BD!$X$3:$X$5001,BD!$B$3:$B$5001,C$208,BD!$A$3:$A$5001,_xlfn.MAXIFS(BD!$A$3:$A$5001,BD!$B$3:$B$5001,C$208,BD!$A$3:$A$5001,"&gt;="&amp;$C$7,BD!$A$3:$A$5001,"&lt;="&amp;$B231,BD!$X$3:$X$5001,"&lt;&gt;"))))</f>
        <v/>
      </c>
      <c r="D231" s="42" t="str">
        <f>IF(OR($B231="",$A231&gt;$B$9),"",IF(COUNTIFS(BD!$B$3:$B$5001,D$208,BD!$A$3:$A$5001,"&gt;="&amp;$C$7,BD!$A$3:$A$5001,"&lt;="&amp;$B231,BD!$X$3:$X$5001,"&lt;&gt;")=0,"",SUMIFS(BD!$X$3:$X$5001,BD!$B$3:$B$5001,D$208,BD!$A$3:$A$5001,_xlfn.MAXIFS(BD!$A$3:$A$5001,BD!$B$3:$B$5001,D$208,BD!$A$3:$A$5001,"&gt;="&amp;$C$7,BD!$A$3:$A$5001,"&lt;="&amp;$B231,BD!$X$3:$X$5001,"&lt;&gt;"))))</f>
        <v/>
      </c>
      <c r="E231" s="42" t="str">
        <f>IF(OR($B231="",$A231&gt;$B$9),"",IF(COUNTIFS(BD!$B$3:$B$5001,E$208,BD!$A$3:$A$5001,"&gt;="&amp;$C$7,BD!$A$3:$A$5001,"&lt;="&amp;$B231,BD!$X$3:$X$5001,"&lt;&gt;")=0,"",SUMIFS(BD!$X$3:$X$5001,BD!$B$3:$B$5001,E$208,BD!$A$3:$A$5001,_xlfn.MAXIFS(BD!$A$3:$A$5001,BD!$B$3:$B$5001,E$208,BD!$A$3:$A$5001,"&gt;="&amp;$C$7,BD!$A$3:$A$5001,"&lt;="&amp;$B231,BD!$X$3:$X$5001,"&lt;&gt;"))))</f>
        <v/>
      </c>
      <c r="F231" s="42" t="str">
        <f>IF(OR($B231="",$A231&gt;$B$9),"",IF(COUNTIFS(BD!$B$3:$B$5001,F$208,BD!$A$3:$A$5001,"&gt;="&amp;$C$7,BD!$A$3:$A$5001,"&lt;="&amp;$B231,BD!$X$3:$X$5001,"&lt;&gt;")=0,"",SUMIFS(BD!$X$3:$X$5001,BD!$B$3:$B$5001,F$208,BD!$A$3:$A$5001,_xlfn.MAXIFS(BD!$A$3:$A$5001,BD!$B$3:$B$5001,F$208,BD!$A$3:$A$5001,"&gt;="&amp;$C$7,BD!$A$3:$A$5001,"&lt;="&amp;$B231,BD!$X$3:$X$5001,"&lt;&gt;"))))</f>
        <v/>
      </c>
      <c r="G231" s="42" t="str">
        <f>IF(OR($B231="",$A231&gt;$B$9),"",IF(COUNTIFS(BD!$B$3:$B$5001,G$208,BD!$A$3:$A$5001,"&gt;="&amp;$C$7,BD!$A$3:$A$5001,"&lt;="&amp;$B231,BD!$X$3:$X$5001,"&lt;&gt;")=0,"",SUMIFS(BD!$X$3:$X$5001,BD!$B$3:$B$5001,G$208,BD!$A$3:$A$5001,_xlfn.MAXIFS(BD!$A$3:$A$5001,BD!$B$3:$B$5001,G$208,BD!$A$3:$A$5001,"&gt;="&amp;$C$7,BD!$A$3:$A$5001,"&lt;="&amp;$B231,BD!$X$3:$X$5001,"&lt;&gt;"))))</f>
        <v/>
      </c>
      <c r="H231" s="42" t="str">
        <f>IF(OR($B231="",$A231&gt;$B$9),"",IF(COUNTIFS(BD!$B$3:$B$5001,H$208,BD!$A$3:$A$5001,"&gt;="&amp;$C$7,BD!$A$3:$A$5001,"&lt;="&amp;$B231,BD!$X$3:$X$5001,"&lt;&gt;")=0,"",SUMIFS(BD!$X$3:$X$5001,BD!$B$3:$B$5001,H$208,BD!$A$3:$A$5001,_xlfn.MAXIFS(BD!$A$3:$A$5001,BD!$B$3:$B$5001,H$208,BD!$A$3:$A$5001,"&gt;="&amp;$C$7,BD!$A$3:$A$5001,"&lt;="&amp;$B231,BD!$X$3:$X$5001,"&lt;&gt;"))))</f>
        <v/>
      </c>
      <c r="I231" s="42" t="str">
        <f>IF(OR($B231="",$A231&gt;$B$9),"",IF(COUNTIFS(BD!$B$3:$B$5001,I$208,BD!$A$3:$A$5001,"&gt;="&amp;$C$7,BD!$A$3:$A$5001,"&lt;="&amp;$B231,BD!$X$3:$X$5001,"&lt;&gt;")=0,"",SUMIFS(BD!$X$3:$X$5001,BD!$B$3:$B$5001,I$208,BD!$A$3:$A$5001,_xlfn.MAXIFS(BD!$A$3:$A$5001,BD!$B$3:$B$5001,I$208,BD!$A$3:$A$5001,"&gt;="&amp;$C$7,BD!$A$3:$A$5001,"&lt;="&amp;$B231,BD!$X$3:$X$5001,"&lt;&gt;"))))</f>
        <v/>
      </c>
      <c r="J231" s="42" t="str">
        <f>IF(OR($B231="",$A231&gt;$B$9),"",IF(COUNTIFS(BD!$B$3:$B$5001,J$208,BD!$A$3:$A$5001,"&gt;="&amp;$C$7,BD!$A$3:$A$5001,"&lt;="&amp;$B231,BD!$X$3:$X$5001,"&lt;&gt;")=0,"",SUMIFS(BD!$X$3:$X$5001,BD!$B$3:$B$5001,J$208,BD!$A$3:$A$5001,_xlfn.MAXIFS(BD!$A$3:$A$5001,BD!$B$3:$B$5001,J$208,BD!$A$3:$A$5001,"&gt;="&amp;$C$7,BD!$A$3:$A$5001,"&lt;="&amp;$B231,BD!$X$3:$X$5001,"&lt;&gt;"))))</f>
        <v/>
      </c>
      <c r="K231" s="42" t="str">
        <f>IF(OR($B231="",$A231&gt;$B$9),"",IF(COUNTIFS(BD!$B$3:$B$5001,K$208,BD!$A$3:$A$5001,"&gt;="&amp;$C$7,BD!$A$3:$A$5001,"&lt;="&amp;$B231,BD!$X$3:$X$5001,"&lt;&gt;")=0,"",SUMIFS(BD!$X$3:$X$5001,BD!$B$3:$B$5001,K$208,BD!$A$3:$A$5001,_xlfn.MAXIFS(BD!$A$3:$A$5001,BD!$B$3:$B$5001,K$208,BD!$A$3:$A$5001,"&gt;="&amp;$C$7,BD!$A$3:$A$5001,"&lt;="&amp;$B231,BD!$X$3:$X$5001,"&lt;&gt;"))))</f>
        <v/>
      </c>
      <c r="L231" s="42" t="str">
        <f>IF(OR($B231="",$A231&gt;$B$9),"",IF(COUNTIFS(BD!$B$3:$B$5001,L$208,BD!$A$3:$A$5001,"&gt;="&amp;$C$7,BD!$A$3:$A$5001,"&lt;="&amp;$B231,BD!$X$3:$X$5001,"&lt;&gt;")=0,"",SUMIFS(BD!$X$3:$X$5001,BD!$B$3:$B$5001,L$208,BD!$A$3:$A$5001,_xlfn.MAXIFS(BD!$A$3:$A$5001,BD!$B$3:$B$5001,L$208,BD!$A$3:$A$5001,"&gt;="&amp;$C$7,BD!$A$3:$A$5001,"&lt;="&amp;$B231,BD!$X$3:$X$5001,"&lt;&gt;"))))</f>
        <v/>
      </c>
    </row>
    <row r="232">
      <c r="A232" s="40">
        <v>24</v>
      </c>
      <c r="B232" s="41">
        <f>$B$35</f>
        <v>46319</v>
      </c>
      <c r="C232" s="42" t="str">
        <f>IF(OR($B232="",$A232&gt;$B$9),"",IF(COUNTIFS(BD!$B$3:$B$5001,C$208,BD!$A$3:$A$5001,"&gt;="&amp;$C$7,BD!$A$3:$A$5001,"&lt;="&amp;$B232,BD!$X$3:$X$5001,"&lt;&gt;")=0,"",SUMIFS(BD!$X$3:$X$5001,BD!$B$3:$B$5001,C$208,BD!$A$3:$A$5001,_xlfn.MAXIFS(BD!$A$3:$A$5001,BD!$B$3:$B$5001,C$208,BD!$A$3:$A$5001,"&gt;="&amp;$C$7,BD!$A$3:$A$5001,"&lt;="&amp;$B232,BD!$X$3:$X$5001,"&lt;&gt;"))))</f>
        <v/>
      </c>
      <c r="D232" s="42" t="str">
        <f>IF(OR($B232="",$A232&gt;$B$9),"",IF(COUNTIFS(BD!$B$3:$B$5001,D$208,BD!$A$3:$A$5001,"&gt;="&amp;$C$7,BD!$A$3:$A$5001,"&lt;="&amp;$B232,BD!$X$3:$X$5001,"&lt;&gt;")=0,"",SUMIFS(BD!$X$3:$X$5001,BD!$B$3:$B$5001,D$208,BD!$A$3:$A$5001,_xlfn.MAXIFS(BD!$A$3:$A$5001,BD!$B$3:$B$5001,D$208,BD!$A$3:$A$5001,"&gt;="&amp;$C$7,BD!$A$3:$A$5001,"&lt;="&amp;$B232,BD!$X$3:$X$5001,"&lt;&gt;"))))</f>
        <v/>
      </c>
      <c r="E232" s="42" t="str">
        <f>IF(OR($B232="",$A232&gt;$B$9),"",IF(COUNTIFS(BD!$B$3:$B$5001,E$208,BD!$A$3:$A$5001,"&gt;="&amp;$C$7,BD!$A$3:$A$5001,"&lt;="&amp;$B232,BD!$X$3:$X$5001,"&lt;&gt;")=0,"",SUMIFS(BD!$X$3:$X$5001,BD!$B$3:$B$5001,E$208,BD!$A$3:$A$5001,_xlfn.MAXIFS(BD!$A$3:$A$5001,BD!$B$3:$B$5001,E$208,BD!$A$3:$A$5001,"&gt;="&amp;$C$7,BD!$A$3:$A$5001,"&lt;="&amp;$B232,BD!$X$3:$X$5001,"&lt;&gt;"))))</f>
        <v/>
      </c>
      <c r="F232" s="42" t="str">
        <f>IF(OR($B232="",$A232&gt;$B$9),"",IF(COUNTIFS(BD!$B$3:$B$5001,F$208,BD!$A$3:$A$5001,"&gt;="&amp;$C$7,BD!$A$3:$A$5001,"&lt;="&amp;$B232,BD!$X$3:$X$5001,"&lt;&gt;")=0,"",SUMIFS(BD!$X$3:$X$5001,BD!$B$3:$B$5001,F$208,BD!$A$3:$A$5001,_xlfn.MAXIFS(BD!$A$3:$A$5001,BD!$B$3:$B$5001,F$208,BD!$A$3:$A$5001,"&gt;="&amp;$C$7,BD!$A$3:$A$5001,"&lt;="&amp;$B232,BD!$X$3:$X$5001,"&lt;&gt;"))))</f>
        <v/>
      </c>
      <c r="G232" s="42" t="str">
        <f>IF(OR($B232="",$A232&gt;$B$9),"",IF(COUNTIFS(BD!$B$3:$B$5001,G$208,BD!$A$3:$A$5001,"&gt;="&amp;$C$7,BD!$A$3:$A$5001,"&lt;="&amp;$B232,BD!$X$3:$X$5001,"&lt;&gt;")=0,"",SUMIFS(BD!$X$3:$X$5001,BD!$B$3:$B$5001,G$208,BD!$A$3:$A$5001,_xlfn.MAXIFS(BD!$A$3:$A$5001,BD!$B$3:$B$5001,G$208,BD!$A$3:$A$5001,"&gt;="&amp;$C$7,BD!$A$3:$A$5001,"&lt;="&amp;$B232,BD!$X$3:$X$5001,"&lt;&gt;"))))</f>
        <v/>
      </c>
      <c r="H232" s="42" t="str">
        <f>IF(OR($B232="",$A232&gt;$B$9),"",IF(COUNTIFS(BD!$B$3:$B$5001,H$208,BD!$A$3:$A$5001,"&gt;="&amp;$C$7,BD!$A$3:$A$5001,"&lt;="&amp;$B232,BD!$X$3:$X$5001,"&lt;&gt;")=0,"",SUMIFS(BD!$X$3:$X$5001,BD!$B$3:$B$5001,H$208,BD!$A$3:$A$5001,_xlfn.MAXIFS(BD!$A$3:$A$5001,BD!$B$3:$B$5001,H$208,BD!$A$3:$A$5001,"&gt;="&amp;$C$7,BD!$A$3:$A$5001,"&lt;="&amp;$B232,BD!$X$3:$X$5001,"&lt;&gt;"))))</f>
        <v/>
      </c>
      <c r="I232" s="42" t="str">
        <f>IF(OR($B232="",$A232&gt;$B$9),"",IF(COUNTIFS(BD!$B$3:$B$5001,I$208,BD!$A$3:$A$5001,"&gt;="&amp;$C$7,BD!$A$3:$A$5001,"&lt;="&amp;$B232,BD!$X$3:$X$5001,"&lt;&gt;")=0,"",SUMIFS(BD!$X$3:$X$5001,BD!$B$3:$B$5001,I$208,BD!$A$3:$A$5001,_xlfn.MAXIFS(BD!$A$3:$A$5001,BD!$B$3:$B$5001,I$208,BD!$A$3:$A$5001,"&gt;="&amp;$C$7,BD!$A$3:$A$5001,"&lt;="&amp;$B232,BD!$X$3:$X$5001,"&lt;&gt;"))))</f>
        <v/>
      </c>
      <c r="J232" s="42" t="str">
        <f>IF(OR($B232="",$A232&gt;$B$9),"",IF(COUNTIFS(BD!$B$3:$B$5001,J$208,BD!$A$3:$A$5001,"&gt;="&amp;$C$7,BD!$A$3:$A$5001,"&lt;="&amp;$B232,BD!$X$3:$X$5001,"&lt;&gt;")=0,"",SUMIFS(BD!$X$3:$X$5001,BD!$B$3:$B$5001,J$208,BD!$A$3:$A$5001,_xlfn.MAXIFS(BD!$A$3:$A$5001,BD!$B$3:$B$5001,J$208,BD!$A$3:$A$5001,"&gt;="&amp;$C$7,BD!$A$3:$A$5001,"&lt;="&amp;$B232,BD!$X$3:$X$5001,"&lt;&gt;"))))</f>
        <v/>
      </c>
      <c r="K232" s="42" t="str">
        <f>IF(OR($B232="",$A232&gt;$B$9),"",IF(COUNTIFS(BD!$B$3:$B$5001,K$208,BD!$A$3:$A$5001,"&gt;="&amp;$C$7,BD!$A$3:$A$5001,"&lt;="&amp;$B232,BD!$X$3:$X$5001,"&lt;&gt;")=0,"",SUMIFS(BD!$X$3:$X$5001,BD!$B$3:$B$5001,K$208,BD!$A$3:$A$5001,_xlfn.MAXIFS(BD!$A$3:$A$5001,BD!$B$3:$B$5001,K$208,BD!$A$3:$A$5001,"&gt;="&amp;$C$7,BD!$A$3:$A$5001,"&lt;="&amp;$B232,BD!$X$3:$X$5001,"&lt;&gt;"))))</f>
        <v/>
      </c>
      <c r="L232" s="42" t="str">
        <f>IF(OR($B232="",$A232&gt;$B$9),"",IF(COUNTIFS(BD!$B$3:$B$5001,L$208,BD!$A$3:$A$5001,"&gt;="&amp;$C$7,BD!$A$3:$A$5001,"&lt;="&amp;$B232,BD!$X$3:$X$5001,"&lt;&gt;")=0,"",SUMIFS(BD!$X$3:$X$5001,BD!$B$3:$B$5001,L$208,BD!$A$3:$A$5001,_xlfn.MAXIFS(BD!$A$3:$A$5001,BD!$B$3:$B$5001,L$208,BD!$A$3:$A$5001,"&gt;="&amp;$C$7,BD!$A$3:$A$5001,"&lt;="&amp;$B232,BD!$X$3:$X$5001,"&lt;&gt;"))))</f>
        <v/>
      </c>
    </row>
    <row r="233">
      <c r="A233" s="40">
        <v>25</v>
      </c>
      <c r="B233" s="41">
        <f>$B$36</f>
        <v>46320</v>
      </c>
      <c r="C233" s="42" t="str">
        <f>IF(OR($B233="",$A233&gt;$B$9),"",IF(COUNTIFS(BD!$B$3:$B$5001,C$208,BD!$A$3:$A$5001,"&gt;="&amp;$C$7,BD!$A$3:$A$5001,"&lt;="&amp;$B233,BD!$X$3:$X$5001,"&lt;&gt;")=0,"",SUMIFS(BD!$X$3:$X$5001,BD!$B$3:$B$5001,C$208,BD!$A$3:$A$5001,_xlfn.MAXIFS(BD!$A$3:$A$5001,BD!$B$3:$B$5001,C$208,BD!$A$3:$A$5001,"&gt;="&amp;$C$7,BD!$A$3:$A$5001,"&lt;="&amp;$B233,BD!$X$3:$X$5001,"&lt;&gt;"))))</f>
        <v/>
      </c>
      <c r="D233" s="42" t="str">
        <f>IF(OR($B233="",$A233&gt;$B$9),"",IF(COUNTIFS(BD!$B$3:$B$5001,D$208,BD!$A$3:$A$5001,"&gt;="&amp;$C$7,BD!$A$3:$A$5001,"&lt;="&amp;$B233,BD!$X$3:$X$5001,"&lt;&gt;")=0,"",SUMIFS(BD!$X$3:$X$5001,BD!$B$3:$B$5001,D$208,BD!$A$3:$A$5001,_xlfn.MAXIFS(BD!$A$3:$A$5001,BD!$B$3:$B$5001,D$208,BD!$A$3:$A$5001,"&gt;="&amp;$C$7,BD!$A$3:$A$5001,"&lt;="&amp;$B233,BD!$X$3:$X$5001,"&lt;&gt;"))))</f>
        <v/>
      </c>
      <c r="E233" s="42" t="str">
        <f>IF(OR($B233="",$A233&gt;$B$9),"",IF(COUNTIFS(BD!$B$3:$B$5001,E$208,BD!$A$3:$A$5001,"&gt;="&amp;$C$7,BD!$A$3:$A$5001,"&lt;="&amp;$B233,BD!$X$3:$X$5001,"&lt;&gt;")=0,"",SUMIFS(BD!$X$3:$X$5001,BD!$B$3:$B$5001,E$208,BD!$A$3:$A$5001,_xlfn.MAXIFS(BD!$A$3:$A$5001,BD!$B$3:$B$5001,E$208,BD!$A$3:$A$5001,"&gt;="&amp;$C$7,BD!$A$3:$A$5001,"&lt;="&amp;$B233,BD!$X$3:$X$5001,"&lt;&gt;"))))</f>
        <v/>
      </c>
      <c r="F233" s="42" t="str">
        <f>IF(OR($B233="",$A233&gt;$B$9),"",IF(COUNTIFS(BD!$B$3:$B$5001,F$208,BD!$A$3:$A$5001,"&gt;="&amp;$C$7,BD!$A$3:$A$5001,"&lt;="&amp;$B233,BD!$X$3:$X$5001,"&lt;&gt;")=0,"",SUMIFS(BD!$X$3:$X$5001,BD!$B$3:$B$5001,F$208,BD!$A$3:$A$5001,_xlfn.MAXIFS(BD!$A$3:$A$5001,BD!$B$3:$B$5001,F$208,BD!$A$3:$A$5001,"&gt;="&amp;$C$7,BD!$A$3:$A$5001,"&lt;="&amp;$B233,BD!$X$3:$X$5001,"&lt;&gt;"))))</f>
        <v/>
      </c>
      <c r="G233" s="42" t="str">
        <f>IF(OR($B233="",$A233&gt;$B$9),"",IF(COUNTIFS(BD!$B$3:$B$5001,G$208,BD!$A$3:$A$5001,"&gt;="&amp;$C$7,BD!$A$3:$A$5001,"&lt;="&amp;$B233,BD!$X$3:$X$5001,"&lt;&gt;")=0,"",SUMIFS(BD!$X$3:$X$5001,BD!$B$3:$B$5001,G$208,BD!$A$3:$A$5001,_xlfn.MAXIFS(BD!$A$3:$A$5001,BD!$B$3:$B$5001,G$208,BD!$A$3:$A$5001,"&gt;="&amp;$C$7,BD!$A$3:$A$5001,"&lt;="&amp;$B233,BD!$X$3:$X$5001,"&lt;&gt;"))))</f>
        <v/>
      </c>
      <c r="H233" s="42" t="str">
        <f>IF(OR($B233="",$A233&gt;$B$9),"",IF(COUNTIFS(BD!$B$3:$B$5001,H$208,BD!$A$3:$A$5001,"&gt;="&amp;$C$7,BD!$A$3:$A$5001,"&lt;="&amp;$B233,BD!$X$3:$X$5001,"&lt;&gt;")=0,"",SUMIFS(BD!$X$3:$X$5001,BD!$B$3:$B$5001,H$208,BD!$A$3:$A$5001,_xlfn.MAXIFS(BD!$A$3:$A$5001,BD!$B$3:$B$5001,H$208,BD!$A$3:$A$5001,"&gt;="&amp;$C$7,BD!$A$3:$A$5001,"&lt;="&amp;$B233,BD!$X$3:$X$5001,"&lt;&gt;"))))</f>
        <v/>
      </c>
      <c r="I233" s="42" t="str">
        <f>IF(OR($B233="",$A233&gt;$B$9),"",IF(COUNTIFS(BD!$B$3:$B$5001,I$208,BD!$A$3:$A$5001,"&gt;="&amp;$C$7,BD!$A$3:$A$5001,"&lt;="&amp;$B233,BD!$X$3:$X$5001,"&lt;&gt;")=0,"",SUMIFS(BD!$X$3:$X$5001,BD!$B$3:$B$5001,I$208,BD!$A$3:$A$5001,_xlfn.MAXIFS(BD!$A$3:$A$5001,BD!$B$3:$B$5001,I$208,BD!$A$3:$A$5001,"&gt;="&amp;$C$7,BD!$A$3:$A$5001,"&lt;="&amp;$B233,BD!$X$3:$X$5001,"&lt;&gt;"))))</f>
        <v/>
      </c>
      <c r="J233" s="42" t="str">
        <f>IF(OR($B233="",$A233&gt;$B$9),"",IF(COUNTIFS(BD!$B$3:$B$5001,J$208,BD!$A$3:$A$5001,"&gt;="&amp;$C$7,BD!$A$3:$A$5001,"&lt;="&amp;$B233,BD!$X$3:$X$5001,"&lt;&gt;")=0,"",SUMIFS(BD!$X$3:$X$5001,BD!$B$3:$B$5001,J$208,BD!$A$3:$A$5001,_xlfn.MAXIFS(BD!$A$3:$A$5001,BD!$B$3:$B$5001,J$208,BD!$A$3:$A$5001,"&gt;="&amp;$C$7,BD!$A$3:$A$5001,"&lt;="&amp;$B233,BD!$X$3:$X$5001,"&lt;&gt;"))))</f>
        <v/>
      </c>
      <c r="K233" s="42" t="str">
        <f>IF(OR($B233="",$A233&gt;$B$9),"",IF(COUNTIFS(BD!$B$3:$B$5001,K$208,BD!$A$3:$A$5001,"&gt;="&amp;$C$7,BD!$A$3:$A$5001,"&lt;="&amp;$B233,BD!$X$3:$X$5001,"&lt;&gt;")=0,"",SUMIFS(BD!$X$3:$X$5001,BD!$B$3:$B$5001,K$208,BD!$A$3:$A$5001,_xlfn.MAXIFS(BD!$A$3:$A$5001,BD!$B$3:$B$5001,K$208,BD!$A$3:$A$5001,"&gt;="&amp;$C$7,BD!$A$3:$A$5001,"&lt;="&amp;$B233,BD!$X$3:$X$5001,"&lt;&gt;"))))</f>
        <v/>
      </c>
      <c r="L233" s="42" t="str">
        <f>IF(OR($B233="",$A233&gt;$B$9),"",IF(COUNTIFS(BD!$B$3:$B$5001,L$208,BD!$A$3:$A$5001,"&gt;="&amp;$C$7,BD!$A$3:$A$5001,"&lt;="&amp;$B233,BD!$X$3:$X$5001,"&lt;&gt;")=0,"",SUMIFS(BD!$X$3:$X$5001,BD!$B$3:$B$5001,L$208,BD!$A$3:$A$5001,_xlfn.MAXIFS(BD!$A$3:$A$5001,BD!$B$3:$B$5001,L$208,BD!$A$3:$A$5001,"&gt;="&amp;$C$7,BD!$A$3:$A$5001,"&lt;="&amp;$B233,BD!$X$3:$X$5001,"&lt;&gt;"))))</f>
        <v/>
      </c>
    </row>
    <row r="234">
      <c r="A234" s="40">
        <v>26</v>
      </c>
      <c r="B234" s="41">
        <f>$B$37</f>
        <v>46321</v>
      </c>
      <c r="C234" s="42" t="str">
        <f>IF(OR($B234="",$A234&gt;$B$9),"",IF(COUNTIFS(BD!$B$3:$B$5001,C$208,BD!$A$3:$A$5001,"&gt;="&amp;$C$7,BD!$A$3:$A$5001,"&lt;="&amp;$B234,BD!$X$3:$X$5001,"&lt;&gt;")=0,"",SUMIFS(BD!$X$3:$X$5001,BD!$B$3:$B$5001,C$208,BD!$A$3:$A$5001,_xlfn.MAXIFS(BD!$A$3:$A$5001,BD!$B$3:$B$5001,C$208,BD!$A$3:$A$5001,"&gt;="&amp;$C$7,BD!$A$3:$A$5001,"&lt;="&amp;$B234,BD!$X$3:$X$5001,"&lt;&gt;"))))</f>
        <v/>
      </c>
      <c r="D234" s="42" t="str">
        <f>IF(OR($B234="",$A234&gt;$B$9),"",IF(COUNTIFS(BD!$B$3:$B$5001,D$208,BD!$A$3:$A$5001,"&gt;="&amp;$C$7,BD!$A$3:$A$5001,"&lt;="&amp;$B234,BD!$X$3:$X$5001,"&lt;&gt;")=0,"",SUMIFS(BD!$X$3:$X$5001,BD!$B$3:$B$5001,D$208,BD!$A$3:$A$5001,_xlfn.MAXIFS(BD!$A$3:$A$5001,BD!$B$3:$B$5001,D$208,BD!$A$3:$A$5001,"&gt;="&amp;$C$7,BD!$A$3:$A$5001,"&lt;="&amp;$B234,BD!$X$3:$X$5001,"&lt;&gt;"))))</f>
        <v/>
      </c>
      <c r="E234" s="42" t="str">
        <f>IF(OR($B234="",$A234&gt;$B$9),"",IF(COUNTIFS(BD!$B$3:$B$5001,E$208,BD!$A$3:$A$5001,"&gt;="&amp;$C$7,BD!$A$3:$A$5001,"&lt;="&amp;$B234,BD!$X$3:$X$5001,"&lt;&gt;")=0,"",SUMIFS(BD!$X$3:$X$5001,BD!$B$3:$B$5001,E$208,BD!$A$3:$A$5001,_xlfn.MAXIFS(BD!$A$3:$A$5001,BD!$B$3:$B$5001,E$208,BD!$A$3:$A$5001,"&gt;="&amp;$C$7,BD!$A$3:$A$5001,"&lt;="&amp;$B234,BD!$X$3:$X$5001,"&lt;&gt;"))))</f>
        <v/>
      </c>
      <c r="F234" s="42" t="str">
        <f>IF(OR($B234="",$A234&gt;$B$9),"",IF(COUNTIFS(BD!$B$3:$B$5001,F$208,BD!$A$3:$A$5001,"&gt;="&amp;$C$7,BD!$A$3:$A$5001,"&lt;="&amp;$B234,BD!$X$3:$X$5001,"&lt;&gt;")=0,"",SUMIFS(BD!$X$3:$X$5001,BD!$B$3:$B$5001,F$208,BD!$A$3:$A$5001,_xlfn.MAXIFS(BD!$A$3:$A$5001,BD!$B$3:$B$5001,F$208,BD!$A$3:$A$5001,"&gt;="&amp;$C$7,BD!$A$3:$A$5001,"&lt;="&amp;$B234,BD!$X$3:$X$5001,"&lt;&gt;"))))</f>
        <v/>
      </c>
      <c r="G234" s="42" t="str">
        <f>IF(OR($B234="",$A234&gt;$B$9),"",IF(COUNTIFS(BD!$B$3:$B$5001,G$208,BD!$A$3:$A$5001,"&gt;="&amp;$C$7,BD!$A$3:$A$5001,"&lt;="&amp;$B234,BD!$X$3:$X$5001,"&lt;&gt;")=0,"",SUMIFS(BD!$X$3:$X$5001,BD!$B$3:$B$5001,G$208,BD!$A$3:$A$5001,_xlfn.MAXIFS(BD!$A$3:$A$5001,BD!$B$3:$B$5001,G$208,BD!$A$3:$A$5001,"&gt;="&amp;$C$7,BD!$A$3:$A$5001,"&lt;="&amp;$B234,BD!$X$3:$X$5001,"&lt;&gt;"))))</f>
        <v/>
      </c>
      <c r="H234" s="42" t="str">
        <f>IF(OR($B234="",$A234&gt;$B$9),"",IF(COUNTIFS(BD!$B$3:$B$5001,H$208,BD!$A$3:$A$5001,"&gt;="&amp;$C$7,BD!$A$3:$A$5001,"&lt;="&amp;$B234,BD!$X$3:$X$5001,"&lt;&gt;")=0,"",SUMIFS(BD!$X$3:$X$5001,BD!$B$3:$B$5001,H$208,BD!$A$3:$A$5001,_xlfn.MAXIFS(BD!$A$3:$A$5001,BD!$B$3:$B$5001,H$208,BD!$A$3:$A$5001,"&gt;="&amp;$C$7,BD!$A$3:$A$5001,"&lt;="&amp;$B234,BD!$X$3:$X$5001,"&lt;&gt;"))))</f>
        <v/>
      </c>
      <c r="I234" s="42" t="str">
        <f>IF(OR($B234="",$A234&gt;$B$9),"",IF(COUNTIFS(BD!$B$3:$B$5001,I$208,BD!$A$3:$A$5001,"&gt;="&amp;$C$7,BD!$A$3:$A$5001,"&lt;="&amp;$B234,BD!$X$3:$X$5001,"&lt;&gt;")=0,"",SUMIFS(BD!$X$3:$X$5001,BD!$B$3:$B$5001,I$208,BD!$A$3:$A$5001,_xlfn.MAXIFS(BD!$A$3:$A$5001,BD!$B$3:$B$5001,I$208,BD!$A$3:$A$5001,"&gt;="&amp;$C$7,BD!$A$3:$A$5001,"&lt;="&amp;$B234,BD!$X$3:$X$5001,"&lt;&gt;"))))</f>
        <v/>
      </c>
      <c r="J234" s="42" t="str">
        <f>IF(OR($B234="",$A234&gt;$B$9),"",IF(COUNTIFS(BD!$B$3:$B$5001,J$208,BD!$A$3:$A$5001,"&gt;="&amp;$C$7,BD!$A$3:$A$5001,"&lt;="&amp;$B234,BD!$X$3:$X$5001,"&lt;&gt;")=0,"",SUMIFS(BD!$X$3:$X$5001,BD!$B$3:$B$5001,J$208,BD!$A$3:$A$5001,_xlfn.MAXIFS(BD!$A$3:$A$5001,BD!$B$3:$B$5001,J$208,BD!$A$3:$A$5001,"&gt;="&amp;$C$7,BD!$A$3:$A$5001,"&lt;="&amp;$B234,BD!$X$3:$X$5001,"&lt;&gt;"))))</f>
        <v/>
      </c>
      <c r="K234" s="42" t="str">
        <f>IF(OR($B234="",$A234&gt;$B$9),"",IF(COUNTIFS(BD!$B$3:$B$5001,K$208,BD!$A$3:$A$5001,"&gt;="&amp;$C$7,BD!$A$3:$A$5001,"&lt;="&amp;$B234,BD!$X$3:$X$5001,"&lt;&gt;")=0,"",SUMIFS(BD!$X$3:$X$5001,BD!$B$3:$B$5001,K$208,BD!$A$3:$A$5001,_xlfn.MAXIFS(BD!$A$3:$A$5001,BD!$B$3:$B$5001,K$208,BD!$A$3:$A$5001,"&gt;="&amp;$C$7,BD!$A$3:$A$5001,"&lt;="&amp;$B234,BD!$X$3:$X$5001,"&lt;&gt;"))))</f>
        <v/>
      </c>
      <c r="L234" s="42" t="str">
        <f>IF(OR($B234="",$A234&gt;$B$9),"",IF(COUNTIFS(BD!$B$3:$B$5001,L$208,BD!$A$3:$A$5001,"&gt;="&amp;$C$7,BD!$A$3:$A$5001,"&lt;="&amp;$B234,BD!$X$3:$X$5001,"&lt;&gt;")=0,"",SUMIFS(BD!$X$3:$X$5001,BD!$B$3:$B$5001,L$208,BD!$A$3:$A$5001,_xlfn.MAXIFS(BD!$A$3:$A$5001,BD!$B$3:$B$5001,L$208,BD!$A$3:$A$5001,"&gt;="&amp;$C$7,BD!$A$3:$A$5001,"&lt;="&amp;$B234,BD!$X$3:$X$5001,"&lt;&gt;"))))</f>
        <v/>
      </c>
    </row>
    <row r="235">
      <c r="A235" s="40">
        <v>27</v>
      </c>
      <c r="B235" s="41">
        <f>$B$38</f>
        <v>46322</v>
      </c>
      <c r="C235" s="42" t="str">
        <f>IF(OR($B235="",$A235&gt;$B$9),"",IF(COUNTIFS(BD!$B$3:$B$5001,C$208,BD!$A$3:$A$5001,"&gt;="&amp;$C$7,BD!$A$3:$A$5001,"&lt;="&amp;$B235,BD!$X$3:$X$5001,"&lt;&gt;")=0,"",SUMIFS(BD!$X$3:$X$5001,BD!$B$3:$B$5001,C$208,BD!$A$3:$A$5001,_xlfn.MAXIFS(BD!$A$3:$A$5001,BD!$B$3:$B$5001,C$208,BD!$A$3:$A$5001,"&gt;="&amp;$C$7,BD!$A$3:$A$5001,"&lt;="&amp;$B235,BD!$X$3:$X$5001,"&lt;&gt;"))))</f>
        <v/>
      </c>
      <c r="D235" s="42" t="str">
        <f>IF(OR($B235="",$A235&gt;$B$9),"",IF(COUNTIFS(BD!$B$3:$B$5001,D$208,BD!$A$3:$A$5001,"&gt;="&amp;$C$7,BD!$A$3:$A$5001,"&lt;="&amp;$B235,BD!$X$3:$X$5001,"&lt;&gt;")=0,"",SUMIFS(BD!$X$3:$X$5001,BD!$B$3:$B$5001,D$208,BD!$A$3:$A$5001,_xlfn.MAXIFS(BD!$A$3:$A$5001,BD!$B$3:$B$5001,D$208,BD!$A$3:$A$5001,"&gt;="&amp;$C$7,BD!$A$3:$A$5001,"&lt;="&amp;$B235,BD!$X$3:$X$5001,"&lt;&gt;"))))</f>
        <v/>
      </c>
      <c r="E235" s="42" t="str">
        <f>IF(OR($B235="",$A235&gt;$B$9),"",IF(COUNTIFS(BD!$B$3:$B$5001,E$208,BD!$A$3:$A$5001,"&gt;="&amp;$C$7,BD!$A$3:$A$5001,"&lt;="&amp;$B235,BD!$X$3:$X$5001,"&lt;&gt;")=0,"",SUMIFS(BD!$X$3:$X$5001,BD!$B$3:$B$5001,E$208,BD!$A$3:$A$5001,_xlfn.MAXIFS(BD!$A$3:$A$5001,BD!$B$3:$B$5001,E$208,BD!$A$3:$A$5001,"&gt;="&amp;$C$7,BD!$A$3:$A$5001,"&lt;="&amp;$B235,BD!$X$3:$X$5001,"&lt;&gt;"))))</f>
        <v/>
      </c>
      <c r="F235" s="42" t="str">
        <f>IF(OR($B235="",$A235&gt;$B$9),"",IF(COUNTIFS(BD!$B$3:$B$5001,F$208,BD!$A$3:$A$5001,"&gt;="&amp;$C$7,BD!$A$3:$A$5001,"&lt;="&amp;$B235,BD!$X$3:$X$5001,"&lt;&gt;")=0,"",SUMIFS(BD!$X$3:$X$5001,BD!$B$3:$B$5001,F$208,BD!$A$3:$A$5001,_xlfn.MAXIFS(BD!$A$3:$A$5001,BD!$B$3:$B$5001,F$208,BD!$A$3:$A$5001,"&gt;="&amp;$C$7,BD!$A$3:$A$5001,"&lt;="&amp;$B235,BD!$X$3:$X$5001,"&lt;&gt;"))))</f>
        <v/>
      </c>
      <c r="G235" s="42" t="str">
        <f>IF(OR($B235="",$A235&gt;$B$9),"",IF(COUNTIFS(BD!$B$3:$B$5001,G$208,BD!$A$3:$A$5001,"&gt;="&amp;$C$7,BD!$A$3:$A$5001,"&lt;="&amp;$B235,BD!$X$3:$X$5001,"&lt;&gt;")=0,"",SUMIFS(BD!$X$3:$X$5001,BD!$B$3:$B$5001,G$208,BD!$A$3:$A$5001,_xlfn.MAXIFS(BD!$A$3:$A$5001,BD!$B$3:$B$5001,G$208,BD!$A$3:$A$5001,"&gt;="&amp;$C$7,BD!$A$3:$A$5001,"&lt;="&amp;$B235,BD!$X$3:$X$5001,"&lt;&gt;"))))</f>
        <v/>
      </c>
      <c r="H235" s="42" t="str">
        <f>IF(OR($B235="",$A235&gt;$B$9),"",IF(COUNTIFS(BD!$B$3:$B$5001,H$208,BD!$A$3:$A$5001,"&gt;="&amp;$C$7,BD!$A$3:$A$5001,"&lt;="&amp;$B235,BD!$X$3:$X$5001,"&lt;&gt;")=0,"",SUMIFS(BD!$X$3:$X$5001,BD!$B$3:$B$5001,H$208,BD!$A$3:$A$5001,_xlfn.MAXIFS(BD!$A$3:$A$5001,BD!$B$3:$B$5001,H$208,BD!$A$3:$A$5001,"&gt;="&amp;$C$7,BD!$A$3:$A$5001,"&lt;="&amp;$B235,BD!$X$3:$X$5001,"&lt;&gt;"))))</f>
        <v/>
      </c>
      <c r="I235" s="42" t="str">
        <f>IF(OR($B235="",$A235&gt;$B$9),"",IF(COUNTIFS(BD!$B$3:$B$5001,I$208,BD!$A$3:$A$5001,"&gt;="&amp;$C$7,BD!$A$3:$A$5001,"&lt;="&amp;$B235,BD!$X$3:$X$5001,"&lt;&gt;")=0,"",SUMIFS(BD!$X$3:$X$5001,BD!$B$3:$B$5001,I$208,BD!$A$3:$A$5001,_xlfn.MAXIFS(BD!$A$3:$A$5001,BD!$B$3:$B$5001,I$208,BD!$A$3:$A$5001,"&gt;="&amp;$C$7,BD!$A$3:$A$5001,"&lt;="&amp;$B235,BD!$X$3:$X$5001,"&lt;&gt;"))))</f>
        <v/>
      </c>
      <c r="J235" s="42" t="str">
        <f>IF(OR($B235="",$A235&gt;$B$9),"",IF(COUNTIFS(BD!$B$3:$B$5001,J$208,BD!$A$3:$A$5001,"&gt;="&amp;$C$7,BD!$A$3:$A$5001,"&lt;="&amp;$B235,BD!$X$3:$X$5001,"&lt;&gt;")=0,"",SUMIFS(BD!$X$3:$X$5001,BD!$B$3:$B$5001,J$208,BD!$A$3:$A$5001,_xlfn.MAXIFS(BD!$A$3:$A$5001,BD!$B$3:$B$5001,J$208,BD!$A$3:$A$5001,"&gt;="&amp;$C$7,BD!$A$3:$A$5001,"&lt;="&amp;$B235,BD!$X$3:$X$5001,"&lt;&gt;"))))</f>
        <v/>
      </c>
      <c r="K235" s="42" t="str">
        <f>IF(OR($B235="",$A235&gt;$B$9),"",IF(COUNTIFS(BD!$B$3:$B$5001,K$208,BD!$A$3:$A$5001,"&gt;="&amp;$C$7,BD!$A$3:$A$5001,"&lt;="&amp;$B235,BD!$X$3:$X$5001,"&lt;&gt;")=0,"",SUMIFS(BD!$X$3:$X$5001,BD!$B$3:$B$5001,K$208,BD!$A$3:$A$5001,_xlfn.MAXIFS(BD!$A$3:$A$5001,BD!$B$3:$B$5001,K$208,BD!$A$3:$A$5001,"&gt;="&amp;$C$7,BD!$A$3:$A$5001,"&lt;="&amp;$B235,BD!$X$3:$X$5001,"&lt;&gt;"))))</f>
        <v/>
      </c>
      <c r="L235" s="42" t="str">
        <f>IF(OR($B235="",$A235&gt;$B$9),"",IF(COUNTIFS(BD!$B$3:$B$5001,L$208,BD!$A$3:$A$5001,"&gt;="&amp;$C$7,BD!$A$3:$A$5001,"&lt;="&amp;$B235,BD!$X$3:$X$5001,"&lt;&gt;")=0,"",SUMIFS(BD!$X$3:$X$5001,BD!$B$3:$B$5001,L$208,BD!$A$3:$A$5001,_xlfn.MAXIFS(BD!$A$3:$A$5001,BD!$B$3:$B$5001,L$208,BD!$A$3:$A$5001,"&gt;="&amp;$C$7,BD!$A$3:$A$5001,"&lt;="&amp;$B235,BD!$X$3:$X$5001,"&lt;&gt;"))))</f>
        <v/>
      </c>
    </row>
    <row r="236">
      <c r="A236" s="40">
        <v>28</v>
      </c>
      <c r="B236" s="41">
        <f>$B$39</f>
        <v>46323</v>
      </c>
      <c r="C236" s="42" t="str">
        <f>IF(OR($B236="",$A236&gt;$B$9),"",IF(COUNTIFS(BD!$B$3:$B$5001,C$208,BD!$A$3:$A$5001,"&gt;="&amp;$C$7,BD!$A$3:$A$5001,"&lt;="&amp;$B236,BD!$X$3:$X$5001,"&lt;&gt;")=0,"",SUMIFS(BD!$X$3:$X$5001,BD!$B$3:$B$5001,C$208,BD!$A$3:$A$5001,_xlfn.MAXIFS(BD!$A$3:$A$5001,BD!$B$3:$B$5001,C$208,BD!$A$3:$A$5001,"&gt;="&amp;$C$7,BD!$A$3:$A$5001,"&lt;="&amp;$B236,BD!$X$3:$X$5001,"&lt;&gt;"))))</f>
        <v/>
      </c>
      <c r="D236" s="42" t="str">
        <f>IF(OR($B236="",$A236&gt;$B$9),"",IF(COUNTIFS(BD!$B$3:$B$5001,D$208,BD!$A$3:$A$5001,"&gt;="&amp;$C$7,BD!$A$3:$A$5001,"&lt;="&amp;$B236,BD!$X$3:$X$5001,"&lt;&gt;")=0,"",SUMIFS(BD!$X$3:$X$5001,BD!$B$3:$B$5001,D$208,BD!$A$3:$A$5001,_xlfn.MAXIFS(BD!$A$3:$A$5001,BD!$B$3:$B$5001,D$208,BD!$A$3:$A$5001,"&gt;="&amp;$C$7,BD!$A$3:$A$5001,"&lt;="&amp;$B236,BD!$X$3:$X$5001,"&lt;&gt;"))))</f>
        <v/>
      </c>
      <c r="E236" s="42" t="str">
        <f>IF(OR($B236="",$A236&gt;$B$9),"",IF(COUNTIFS(BD!$B$3:$B$5001,E$208,BD!$A$3:$A$5001,"&gt;="&amp;$C$7,BD!$A$3:$A$5001,"&lt;="&amp;$B236,BD!$X$3:$X$5001,"&lt;&gt;")=0,"",SUMIFS(BD!$X$3:$X$5001,BD!$B$3:$B$5001,E$208,BD!$A$3:$A$5001,_xlfn.MAXIFS(BD!$A$3:$A$5001,BD!$B$3:$B$5001,E$208,BD!$A$3:$A$5001,"&gt;="&amp;$C$7,BD!$A$3:$A$5001,"&lt;="&amp;$B236,BD!$X$3:$X$5001,"&lt;&gt;"))))</f>
        <v/>
      </c>
      <c r="F236" s="42" t="str">
        <f>IF(OR($B236="",$A236&gt;$B$9),"",IF(COUNTIFS(BD!$B$3:$B$5001,F$208,BD!$A$3:$A$5001,"&gt;="&amp;$C$7,BD!$A$3:$A$5001,"&lt;="&amp;$B236,BD!$X$3:$X$5001,"&lt;&gt;")=0,"",SUMIFS(BD!$X$3:$X$5001,BD!$B$3:$B$5001,F$208,BD!$A$3:$A$5001,_xlfn.MAXIFS(BD!$A$3:$A$5001,BD!$B$3:$B$5001,F$208,BD!$A$3:$A$5001,"&gt;="&amp;$C$7,BD!$A$3:$A$5001,"&lt;="&amp;$B236,BD!$X$3:$X$5001,"&lt;&gt;"))))</f>
        <v/>
      </c>
      <c r="G236" s="42" t="str">
        <f>IF(OR($B236="",$A236&gt;$B$9),"",IF(COUNTIFS(BD!$B$3:$B$5001,G$208,BD!$A$3:$A$5001,"&gt;="&amp;$C$7,BD!$A$3:$A$5001,"&lt;="&amp;$B236,BD!$X$3:$X$5001,"&lt;&gt;")=0,"",SUMIFS(BD!$X$3:$X$5001,BD!$B$3:$B$5001,G$208,BD!$A$3:$A$5001,_xlfn.MAXIFS(BD!$A$3:$A$5001,BD!$B$3:$B$5001,G$208,BD!$A$3:$A$5001,"&gt;="&amp;$C$7,BD!$A$3:$A$5001,"&lt;="&amp;$B236,BD!$X$3:$X$5001,"&lt;&gt;"))))</f>
        <v/>
      </c>
      <c r="H236" s="42" t="str">
        <f>IF(OR($B236="",$A236&gt;$B$9),"",IF(COUNTIFS(BD!$B$3:$B$5001,H$208,BD!$A$3:$A$5001,"&gt;="&amp;$C$7,BD!$A$3:$A$5001,"&lt;="&amp;$B236,BD!$X$3:$X$5001,"&lt;&gt;")=0,"",SUMIFS(BD!$X$3:$X$5001,BD!$B$3:$B$5001,H$208,BD!$A$3:$A$5001,_xlfn.MAXIFS(BD!$A$3:$A$5001,BD!$B$3:$B$5001,H$208,BD!$A$3:$A$5001,"&gt;="&amp;$C$7,BD!$A$3:$A$5001,"&lt;="&amp;$B236,BD!$X$3:$X$5001,"&lt;&gt;"))))</f>
        <v/>
      </c>
      <c r="I236" s="42" t="str">
        <f>IF(OR($B236="",$A236&gt;$B$9),"",IF(COUNTIFS(BD!$B$3:$B$5001,I$208,BD!$A$3:$A$5001,"&gt;="&amp;$C$7,BD!$A$3:$A$5001,"&lt;="&amp;$B236,BD!$X$3:$X$5001,"&lt;&gt;")=0,"",SUMIFS(BD!$X$3:$X$5001,BD!$B$3:$B$5001,I$208,BD!$A$3:$A$5001,_xlfn.MAXIFS(BD!$A$3:$A$5001,BD!$B$3:$B$5001,I$208,BD!$A$3:$A$5001,"&gt;="&amp;$C$7,BD!$A$3:$A$5001,"&lt;="&amp;$B236,BD!$X$3:$X$5001,"&lt;&gt;"))))</f>
        <v/>
      </c>
      <c r="J236" s="42" t="str">
        <f>IF(OR($B236="",$A236&gt;$B$9),"",IF(COUNTIFS(BD!$B$3:$B$5001,J$208,BD!$A$3:$A$5001,"&gt;="&amp;$C$7,BD!$A$3:$A$5001,"&lt;="&amp;$B236,BD!$X$3:$X$5001,"&lt;&gt;")=0,"",SUMIFS(BD!$X$3:$X$5001,BD!$B$3:$B$5001,J$208,BD!$A$3:$A$5001,_xlfn.MAXIFS(BD!$A$3:$A$5001,BD!$B$3:$B$5001,J$208,BD!$A$3:$A$5001,"&gt;="&amp;$C$7,BD!$A$3:$A$5001,"&lt;="&amp;$B236,BD!$X$3:$X$5001,"&lt;&gt;"))))</f>
        <v/>
      </c>
      <c r="K236" s="42" t="str">
        <f>IF(OR($B236="",$A236&gt;$B$9),"",IF(COUNTIFS(BD!$B$3:$B$5001,K$208,BD!$A$3:$A$5001,"&gt;="&amp;$C$7,BD!$A$3:$A$5001,"&lt;="&amp;$B236,BD!$X$3:$X$5001,"&lt;&gt;")=0,"",SUMIFS(BD!$X$3:$X$5001,BD!$B$3:$B$5001,K$208,BD!$A$3:$A$5001,_xlfn.MAXIFS(BD!$A$3:$A$5001,BD!$B$3:$B$5001,K$208,BD!$A$3:$A$5001,"&gt;="&amp;$C$7,BD!$A$3:$A$5001,"&lt;="&amp;$B236,BD!$X$3:$X$5001,"&lt;&gt;"))))</f>
        <v/>
      </c>
      <c r="L236" s="42" t="str">
        <f>IF(OR($B236="",$A236&gt;$B$9),"",IF(COUNTIFS(BD!$B$3:$B$5001,L$208,BD!$A$3:$A$5001,"&gt;="&amp;$C$7,BD!$A$3:$A$5001,"&lt;="&amp;$B236,BD!$X$3:$X$5001,"&lt;&gt;")=0,"",SUMIFS(BD!$X$3:$X$5001,BD!$B$3:$B$5001,L$208,BD!$A$3:$A$5001,_xlfn.MAXIFS(BD!$A$3:$A$5001,BD!$B$3:$B$5001,L$208,BD!$A$3:$A$5001,"&gt;="&amp;$C$7,BD!$A$3:$A$5001,"&lt;="&amp;$B236,BD!$X$3:$X$5001,"&lt;&gt;"))))</f>
        <v/>
      </c>
    </row>
    <row r="237">
      <c r="A237" s="40">
        <v>29</v>
      </c>
      <c r="B237" s="41">
        <f>$B$40</f>
        <v>46324</v>
      </c>
      <c r="C237" s="42" t="str">
        <f>IF(OR($B237="",$A237&gt;$B$9),"",IF(COUNTIFS(BD!$B$3:$B$5001,C$208,BD!$A$3:$A$5001,"&gt;="&amp;$C$7,BD!$A$3:$A$5001,"&lt;="&amp;$B237,BD!$X$3:$X$5001,"&lt;&gt;")=0,"",SUMIFS(BD!$X$3:$X$5001,BD!$B$3:$B$5001,C$208,BD!$A$3:$A$5001,_xlfn.MAXIFS(BD!$A$3:$A$5001,BD!$B$3:$B$5001,C$208,BD!$A$3:$A$5001,"&gt;="&amp;$C$7,BD!$A$3:$A$5001,"&lt;="&amp;$B237,BD!$X$3:$X$5001,"&lt;&gt;"))))</f>
        <v/>
      </c>
      <c r="D237" s="42" t="str">
        <f>IF(OR($B237="",$A237&gt;$B$9),"",IF(COUNTIFS(BD!$B$3:$B$5001,D$208,BD!$A$3:$A$5001,"&gt;="&amp;$C$7,BD!$A$3:$A$5001,"&lt;="&amp;$B237,BD!$X$3:$X$5001,"&lt;&gt;")=0,"",SUMIFS(BD!$X$3:$X$5001,BD!$B$3:$B$5001,D$208,BD!$A$3:$A$5001,_xlfn.MAXIFS(BD!$A$3:$A$5001,BD!$B$3:$B$5001,D$208,BD!$A$3:$A$5001,"&gt;="&amp;$C$7,BD!$A$3:$A$5001,"&lt;="&amp;$B237,BD!$X$3:$X$5001,"&lt;&gt;"))))</f>
        <v/>
      </c>
      <c r="E237" s="42" t="str">
        <f>IF(OR($B237="",$A237&gt;$B$9),"",IF(COUNTIFS(BD!$B$3:$B$5001,E$208,BD!$A$3:$A$5001,"&gt;="&amp;$C$7,BD!$A$3:$A$5001,"&lt;="&amp;$B237,BD!$X$3:$X$5001,"&lt;&gt;")=0,"",SUMIFS(BD!$X$3:$X$5001,BD!$B$3:$B$5001,E$208,BD!$A$3:$A$5001,_xlfn.MAXIFS(BD!$A$3:$A$5001,BD!$B$3:$B$5001,E$208,BD!$A$3:$A$5001,"&gt;="&amp;$C$7,BD!$A$3:$A$5001,"&lt;="&amp;$B237,BD!$X$3:$X$5001,"&lt;&gt;"))))</f>
        <v/>
      </c>
      <c r="F237" s="42" t="str">
        <f>IF(OR($B237="",$A237&gt;$B$9),"",IF(COUNTIFS(BD!$B$3:$B$5001,F$208,BD!$A$3:$A$5001,"&gt;="&amp;$C$7,BD!$A$3:$A$5001,"&lt;="&amp;$B237,BD!$X$3:$X$5001,"&lt;&gt;")=0,"",SUMIFS(BD!$X$3:$X$5001,BD!$B$3:$B$5001,F$208,BD!$A$3:$A$5001,_xlfn.MAXIFS(BD!$A$3:$A$5001,BD!$B$3:$B$5001,F$208,BD!$A$3:$A$5001,"&gt;="&amp;$C$7,BD!$A$3:$A$5001,"&lt;="&amp;$B237,BD!$X$3:$X$5001,"&lt;&gt;"))))</f>
        <v/>
      </c>
      <c r="G237" s="42" t="str">
        <f>IF(OR($B237="",$A237&gt;$B$9),"",IF(COUNTIFS(BD!$B$3:$B$5001,G$208,BD!$A$3:$A$5001,"&gt;="&amp;$C$7,BD!$A$3:$A$5001,"&lt;="&amp;$B237,BD!$X$3:$X$5001,"&lt;&gt;")=0,"",SUMIFS(BD!$X$3:$X$5001,BD!$B$3:$B$5001,G$208,BD!$A$3:$A$5001,_xlfn.MAXIFS(BD!$A$3:$A$5001,BD!$B$3:$B$5001,G$208,BD!$A$3:$A$5001,"&gt;="&amp;$C$7,BD!$A$3:$A$5001,"&lt;="&amp;$B237,BD!$X$3:$X$5001,"&lt;&gt;"))))</f>
        <v/>
      </c>
      <c r="H237" s="42" t="str">
        <f>IF(OR($B237="",$A237&gt;$B$9),"",IF(COUNTIFS(BD!$B$3:$B$5001,H$208,BD!$A$3:$A$5001,"&gt;="&amp;$C$7,BD!$A$3:$A$5001,"&lt;="&amp;$B237,BD!$X$3:$X$5001,"&lt;&gt;")=0,"",SUMIFS(BD!$X$3:$X$5001,BD!$B$3:$B$5001,H$208,BD!$A$3:$A$5001,_xlfn.MAXIFS(BD!$A$3:$A$5001,BD!$B$3:$B$5001,H$208,BD!$A$3:$A$5001,"&gt;="&amp;$C$7,BD!$A$3:$A$5001,"&lt;="&amp;$B237,BD!$X$3:$X$5001,"&lt;&gt;"))))</f>
        <v/>
      </c>
      <c r="I237" s="42" t="str">
        <f>IF(OR($B237="",$A237&gt;$B$9),"",IF(COUNTIFS(BD!$B$3:$B$5001,I$208,BD!$A$3:$A$5001,"&gt;="&amp;$C$7,BD!$A$3:$A$5001,"&lt;="&amp;$B237,BD!$X$3:$X$5001,"&lt;&gt;")=0,"",SUMIFS(BD!$X$3:$X$5001,BD!$B$3:$B$5001,I$208,BD!$A$3:$A$5001,_xlfn.MAXIFS(BD!$A$3:$A$5001,BD!$B$3:$B$5001,I$208,BD!$A$3:$A$5001,"&gt;="&amp;$C$7,BD!$A$3:$A$5001,"&lt;="&amp;$B237,BD!$X$3:$X$5001,"&lt;&gt;"))))</f>
        <v/>
      </c>
      <c r="J237" s="42" t="str">
        <f>IF(OR($B237="",$A237&gt;$B$9),"",IF(COUNTIFS(BD!$B$3:$B$5001,J$208,BD!$A$3:$A$5001,"&gt;="&amp;$C$7,BD!$A$3:$A$5001,"&lt;="&amp;$B237,BD!$X$3:$X$5001,"&lt;&gt;")=0,"",SUMIFS(BD!$X$3:$X$5001,BD!$B$3:$B$5001,J$208,BD!$A$3:$A$5001,_xlfn.MAXIFS(BD!$A$3:$A$5001,BD!$B$3:$B$5001,J$208,BD!$A$3:$A$5001,"&gt;="&amp;$C$7,BD!$A$3:$A$5001,"&lt;="&amp;$B237,BD!$X$3:$X$5001,"&lt;&gt;"))))</f>
        <v/>
      </c>
      <c r="K237" s="42" t="str">
        <f>IF(OR($B237="",$A237&gt;$B$9),"",IF(COUNTIFS(BD!$B$3:$B$5001,K$208,BD!$A$3:$A$5001,"&gt;="&amp;$C$7,BD!$A$3:$A$5001,"&lt;="&amp;$B237,BD!$X$3:$X$5001,"&lt;&gt;")=0,"",SUMIFS(BD!$X$3:$X$5001,BD!$B$3:$B$5001,K$208,BD!$A$3:$A$5001,_xlfn.MAXIFS(BD!$A$3:$A$5001,BD!$B$3:$B$5001,K$208,BD!$A$3:$A$5001,"&gt;="&amp;$C$7,BD!$A$3:$A$5001,"&lt;="&amp;$B237,BD!$X$3:$X$5001,"&lt;&gt;"))))</f>
        <v/>
      </c>
      <c r="L237" s="42" t="str">
        <f>IF(OR($B237="",$A237&gt;$B$9),"",IF(COUNTIFS(BD!$B$3:$B$5001,L$208,BD!$A$3:$A$5001,"&gt;="&amp;$C$7,BD!$A$3:$A$5001,"&lt;="&amp;$B237,BD!$X$3:$X$5001,"&lt;&gt;")=0,"",SUMIFS(BD!$X$3:$X$5001,BD!$B$3:$B$5001,L$208,BD!$A$3:$A$5001,_xlfn.MAXIFS(BD!$A$3:$A$5001,BD!$B$3:$B$5001,L$208,BD!$A$3:$A$5001,"&gt;="&amp;$C$7,BD!$A$3:$A$5001,"&lt;="&amp;$B237,BD!$X$3:$X$5001,"&lt;&gt;"))))</f>
        <v/>
      </c>
    </row>
    <row r="238">
      <c r="A238" s="40">
        <v>30</v>
      </c>
      <c r="B238" s="41">
        <f>$B$41</f>
        <v>46325</v>
      </c>
      <c r="C238" s="42" t="str">
        <f>IF(OR($B238="",$A238&gt;$B$9),"",IF(COUNTIFS(BD!$B$3:$B$5001,C$208,BD!$A$3:$A$5001,"&gt;="&amp;$C$7,BD!$A$3:$A$5001,"&lt;="&amp;$B238,BD!$X$3:$X$5001,"&lt;&gt;")=0,"",SUMIFS(BD!$X$3:$X$5001,BD!$B$3:$B$5001,C$208,BD!$A$3:$A$5001,_xlfn.MAXIFS(BD!$A$3:$A$5001,BD!$B$3:$B$5001,C$208,BD!$A$3:$A$5001,"&gt;="&amp;$C$7,BD!$A$3:$A$5001,"&lt;="&amp;$B238,BD!$X$3:$X$5001,"&lt;&gt;"))))</f>
        <v/>
      </c>
      <c r="D238" s="42" t="str">
        <f>IF(OR($B238="",$A238&gt;$B$9),"",IF(COUNTIFS(BD!$B$3:$B$5001,D$208,BD!$A$3:$A$5001,"&gt;="&amp;$C$7,BD!$A$3:$A$5001,"&lt;="&amp;$B238,BD!$X$3:$X$5001,"&lt;&gt;")=0,"",SUMIFS(BD!$X$3:$X$5001,BD!$B$3:$B$5001,D$208,BD!$A$3:$A$5001,_xlfn.MAXIFS(BD!$A$3:$A$5001,BD!$B$3:$B$5001,D$208,BD!$A$3:$A$5001,"&gt;="&amp;$C$7,BD!$A$3:$A$5001,"&lt;="&amp;$B238,BD!$X$3:$X$5001,"&lt;&gt;"))))</f>
        <v/>
      </c>
      <c r="E238" s="42" t="str">
        <f>IF(OR($B238="",$A238&gt;$B$9),"",IF(COUNTIFS(BD!$B$3:$B$5001,E$208,BD!$A$3:$A$5001,"&gt;="&amp;$C$7,BD!$A$3:$A$5001,"&lt;="&amp;$B238,BD!$X$3:$X$5001,"&lt;&gt;")=0,"",SUMIFS(BD!$X$3:$X$5001,BD!$B$3:$B$5001,E$208,BD!$A$3:$A$5001,_xlfn.MAXIFS(BD!$A$3:$A$5001,BD!$B$3:$B$5001,E$208,BD!$A$3:$A$5001,"&gt;="&amp;$C$7,BD!$A$3:$A$5001,"&lt;="&amp;$B238,BD!$X$3:$X$5001,"&lt;&gt;"))))</f>
        <v/>
      </c>
      <c r="F238" s="42" t="str">
        <f>IF(OR($B238="",$A238&gt;$B$9),"",IF(COUNTIFS(BD!$B$3:$B$5001,F$208,BD!$A$3:$A$5001,"&gt;="&amp;$C$7,BD!$A$3:$A$5001,"&lt;="&amp;$B238,BD!$X$3:$X$5001,"&lt;&gt;")=0,"",SUMIFS(BD!$X$3:$X$5001,BD!$B$3:$B$5001,F$208,BD!$A$3:$A$5001,_xlfn.MAXIFS(BD!$A$3:$A$5001,BD!$B$3:$B$5001,F$208,BD!$A$3:$A$5001,"&gt;="&amp;$C$7,BD!$A$3:$A$5001,"&lt;="&amp;$B238,BD!$X$3:$X$5001,"&lt;&gt;"))))</f>
        <v/>
      </c>
      <c r="G238" s="42" t="str">
        <f>IF(OR($B238="",$A238&gt;$B$9),"",IF(COUNTIFS(BD!$B$3:$B$5001,G$208,BD!$A$3:$A$5001,"&gt;="&amp;$C$7,BD!$A$3:$A$5001,"&lt;="&amp;$B238,BD!$X$3:$X$5001,"&lt;&gt;")=0,"",SUMIFS(BD!$X$3:$X$5001,BD!$B$3:$B$5001,G$208,BD!$A$3:$A$5001,_xlfn.MAXIFS(BD!$A$3:$A$5001,BD!$B$3:$B$5001,G$208,BD!$A$3:$A$5001,"&gt;="&amp;$C$7,BD!$A$3:$A$5001,"&lt;="&amp;$B238,BD!$X$3:$X$5001,"&lt;&gt;"))))</f>
        <v/>
      </c>
      <c r="H238" s="42" t="str">
        <f>IF(OR($B238="",$A238&gt;$B$9),"",IF(COUNTIFS(BD!$B$3:$B$5001,H$208,BD!$A$3:$A$5001,"&gt;="&amp;$C$7,BD!$A$3:$A$5001,"&lt;="&amp;$B238,BD!$X$3:$X$5001,"&lt;&gt;")=0,"",SUMIFS(BD!$X$3:$X$5001,BD!$B$3:$B$5001,H$208,BD!$A$3:$A$5001,_xlfn.MAXIFS(BD!$A$3:$A$5001,BD!$B$3:$B$5001,H$208,BD!$A$3:$A$5001,"&gt;="&amp;$C$7,BD!$A$3:$A$5001,"&lt;="&amp;$B238,BD!$X$3:$X$5001,"&lt;&gt;"))))</f>
        <v/>
      </c>
      <c r="I238" s="42" t="str">
        <f>IF(OR($B238="",$A238&gt;$B$9),"",IF(COUNTIFS(BD!$B$3:$B$5001,I$208,BD!$A$3:$A$5001,"&gt;="&amp;$C$7,BD!$A$3:$A$5001,"&lt;="&amp;$B238,BD!$X$3:$X$5001,"&lt;&gt;")=0,"",SUMIFS(BD!$X$3:$X$5001,BD!$B$3:$B$5001,I$208,BD!$A$3:$A$5001,_xlfn.MAXIFS(BD!$A$3:$A$5001,BD!$B$3:$B$5001,I$208,BD!$A$3:$A$5001,"&gt;="&amp;$C$7,BD!$A$3:$A$5001,"&lt;="&amp;$B238,BD!$X$3:$X$5001,"&lt;&gt;"))))</f>
        <v/>
      </c>
      <c r="J238" s="42" t="str">
        <f>IF(OR($B238="",$A238&gt;$B$9),"",IF(COUNTIFS(BD!$B$3:$B$5001,J$208,BD!$A$3:$A$5001,"&gt;="&amp;$C$7,BD!$A$3:$A$5001,"&lt;="&amp;$B238,BD!$X$3:$X$5001,"&lt;&gt;")=0,"",SUMIFS(BD!$X$3:$X$5001,BD!$B$3:$B$5001,J$208,BD!$A$3:$A$5001,_xlfn.MAXIFS(BD!$A$3:$A$5001,BD!$B$3:$B$5001,J$208,BD!$A$3:$A$5001,"&gt;="&amp;$C$7,BD!$A$3:$A$5001,"&lt;="&amp;$B238,BD!$X$3:$X$5001,"&lt;&gt;"))))</f>
        <v/>
      </c>
      <c r="K238" s="42" t="str">
        <f>IF(OR($B238="",$A238&gt;$B$9),"",IF(COUNTIFS(BD!$B$3:$B$5001,K$208,BD!$A$3:$A$5001,"&gt;="&amp;$C$7,BD!$A$3:$A$5001,"&lt;="&amp;$B238,BD!$X$3:$X$5001,"&lt;&gt;")=0,"",SUMIFS(BD!$X$3:$X$5001,BD!$B$3:$B$5001,K$208,BD!$A$3:$A$5001,_xlfn.MAXIFS(BD!$A$3:$A$5001,BD!$B$3:$B$5001,K$208,BD!$A$3:$A$5001,"&gt;="&amp;$C$7,BD!$A$3:$A$5001,"&lt;="&amp;$B238,BD!$X$3:$X$5001,"&lt;&gt;"))))</f>
        <v/>
      </c>
      <c r="L238" s="42" t="str">
        <f>IF(OR($B238="",$A238&gt;$B$9),"",IF(COUNTIFS(BD!$B$3:$B$5001,L$208,BD!$A$3:$A$5001,"&gt;="&amp;$C$7,BD!$A$3:$A$5001,"&lt;="&amp;$B238,BD!$X$3:$X$5001,"&lt;&gt;")=0,"",SUMIFS(BD!$X$3:$X$5001,BD!$B$3:$B$5001,L$208,BD!$A$3:$A$5001,_xlfn.MAXIFS(BD!$A$3:$A$5001,BD!$B$3:$B$5001,L$208,BD!$A$3:$A$5001,"&gt;="&amp;$C$7,BD!$A$3:$A$5001,"&lt;="&amp;$B238,BD!$X$3:$X$5001,"&lt;&gt;"))))</f>
        <v/>
      </c>
    </row>
    <row r="239">
      <c r="A239" s="40">
        <v>31</v>
      </c>
      <c r="B239" s="41">
        <f>$B$42</f>
        <v>46326</v>
      </c>
      <c r="C239" s="42" t="str">
        <f>IF(OR($B239="",$A239&gt;$B$9),"",IF(COUNTIFS(BD!$B$3:$B$5001,C$208,BD!$A$3:$A$5001,"&gt;="&amp;$C$7,BD!$A$3:$A$5001,"&lt;="&amp;$B239,BD!$X$3:$X$5001,"&lt;&gt;")=0,"",SUMIFS(BD!$X$3:$X$5001,BD!$B$3:$B$5001,C$208,BD!$A$3:$A$5001,_xlfn.MAXIFS(BD!$A$3:$A$5001,BD!$B$3:$B$5001,C$208,BD!$A$3:$A$5001,"&gt;="&amp;$C$7,BD!$A$3:$A$5001,"&lt;="&amp;$B239,BD!$X$3:$X$5001,"&lt;&gt;"))))</f>
        <v/>
      </c>
      <c r="D239" s="42" t="str">
        <f>IF(OR($B239="",$A239&gt;$B$9),"",IF(COUNTIFS(BD!$B$3:$B$5001,D$208,BD!$A$3:$A$5001,"&gt;="&amp;$C$7,BD!$A$3:$A$5001,"&lt;="&amp;$B239,BD!$X$3:$X$5001,"&lt;&gt;")=0,"",SUMIFS(BD!$X$3:$X$5001,BD!$B$3:$B$5001,D$208,BD!$A$3:$A$5001,_xlfn.MAXIFS(BD!$A$3:$A$5001,BD!$B$3:$B$5001,D$208,BD!$A$3:$A$5001,"&gt;="&amp;$C$7,BD!$A$3:$A$5001,"&lt;="&amp;$B239,BD!$X$3:$X$5001,"&lt;&gt;"))))</f>
        <v/>
      </c>
      <c r="E239" s="42" t="str">
        <f>IF(OR($B239="",$A239&gt;$B$9),"",IF(COUNTIFS(BD!$B$3:$B$5001,E$208,BD!$A$3:$A$5001,"&gt;="&amp;$C$7,BD!$A$3:$A$5001,"&lt;="&amp;$B239,BD!$X$3:$X$5001,"&lt;&gt;")=0,"",SUMIFS(BD!$X$3:$X$5001,BD!$B$3:$B$5001,E$208,BD!$A$3:$A$5001,_xlfn.MAXIFS(BD!$A$3:$A$5001,BD!$B$3:$B$5001,E$208,BD!$A$3:$A$5001,"&gt;="&amp;$C$7,BD!$A$3:$A$5001,"&lt;="&amp;$B239,BD!$X$3:$X$5001,"&lt;&gt;"))))</f>
        <v/>
      </c>
      <c r="F239" s="42" t="str">
        <f>IF(OR($B239="",$A239&gt;$B$9),"",IF(COUNTIFS(BD!$B$3:$B$5001,F$208,BD!$A$3:$A$5001,"&gt;="&amp;$C$7,BD!$A$3:$A$5001,"&lt;="&amp;$B239,BD!$X$3:$X$5001,"&lt;&gt;")=0,"",SUMIFS(BD!$X$3:$X$5001,BD!$B$3:$B$5001,F$208,BD!$A$3:$A$5001,_xlfn.MAXIFS(BD!$A$3:$A$5001,BD!$B$3:$B$5001,F$208,BD!$A$3:$A$5001,"&gt;="&amp;$C$7,BD!$A$3:$A$5001,"&lt;="&amp;$B239,BD!$X$3:$X$5001,"&lt;&gt;"))))</f>
        <v/>
      </c>
      <c r="G239" s="42" t="str">
        <f>IF(OR($B239="",$A239&gt;$B$9),"",IF(COUNTIFS(BD!$B$3:$B$5001,G$208,BD!$A$3:$A$5001,"&gt;="&amp;$C$7,BD!$A$3:$A$5001,"&lt;="&amp;$B239,BD!$X$3:$X$5001,"&lt;&gt;")=0,"",SUMIFS(BD!$X$3:$X$5001,BD!$B$3:$B$5001,G$208,BD!$A$3:$A$5001,_xlfn.MAXIFS(BD!$A$3:$A$5001,BD!$B$3:$B$5001,G$208,BD!$A$3:$A$5001,"&gt;="&amp;$C$7,BD!$A$3:$A$5001,"&lt;="&amp;$B239,BD!$X$3:$X$5001,"&lt;&gt;"))))</f>
        <v/>
      </c>
      <c r="H239" s="42" t="str">
        <f>IF(OR($B239="",$A239&gt;$B$9),"",IF(COUNTIFS(BD!$B$3:$B$5001,H$208,BD!$A$3:$A$5001,"&gt;="&amp;$C$7,BD!$A$3:$A$5001,"&lt;="&amp;$B239,BD!$X$3:$X$5001,"&lt;&gt;")=0,"",SUMIFS(BD!$X$3:$X$5001,BD!$B$3:$B$5001,H$208,BD!$A$3:$A$5001,_xlfn.MAXIFS(BD!$A$3:$A$5001,BD!$B$3:$B$5001,H$208,BD!$A$3:$A$5001,"&gt;="&amp;$C$7,BD!$A$3:$A$5001,"&lt;="&amp;$B239,BD!$X$3:$X$5001,"&lt;&gt;"))))</f>
        <v/>
      </c>
      <c r="I239" s="42" t="str">
        <f>IF(OR($B239="",$A239&gt;$B$9),"",IF(COUNTIFS(BD!$B$3:$B$5001,I$208,BD!$A$3:$A$5001,"&gt;="&amp;$C$7,BD!$A$3:$A$5001,"&lt;="&amp;$B239,BD!$X$3:$X$5001,"&lt;&gt;")=0,"",SUMIFS(BD!$X$3:$X$5001,BD!$B$3:$B$5001,I$208,BD!$A$3:$A$5001,_xlfn.MAXIFS(BD!$A$3:$A$5001,BD!$B$3:$B$5001,I$208,BD!$A$3:$A$5001,"&gt;="&amp;$C$7,BD!$A$3:$A$5001,"&lt;="&amp;$B239,BD!$X$3:$X$5001,"&lt;&gt;"))))</f>
        <v/>
      </c>
      <c r="J239" s="42" t="str">
        <f>IF(OR($B239="",$A239&gt;$B$9),"",IF(COUNTIFS(BD!$B$3:$B$5001,J$208,BD!$A$3:$A$5001,"&gt;="&amp;$C$7,BD!$A$3:$A$5001,"&lt;="&amp;$B239,BD!$X$3:$X$5001,"&lt;&gt;")=0,"",SUMIFS(BD!$X$3:$X$5001,BD!$B$3:$B$5001,J$208,BD!$A$3:$A$5001,_xlfn.MAXIFS(BD!$A$3:$A$5001,BD!$B$3:$B$5001,J$208,BD!$A$3:$A$5001,"&gt;="&amp;$C$7,BD!$A$3:$A$5001,"&lt;="&amp;$B239,BD!$X$3:$X$5001,"&lt;&gt;"))))</f>
        <v/>
      </c>
      <c r="K239" s="42" t="str">
        <f>IF(OR($B239="",$A239&gt;$B$9),"",IF(COUNTIFS(BD!$B$3:$B$5001,K$208,BD!$A$3:$A$5001,"&gt;="&amp;$C$7,BD!$A$3:$A$5001,"&lt;="&amp;$B239,BD!$X$3:$X$5001,"&lt;&gt;")=0,"",SUMIFS(BD!$X$3:$X$5001,BD!$B$3:$B$5001,K$208,BD!$A$3:$A$5001,_xlfn.MAXIFS(BD!$A$3:$A$5001,BD!$B$3:$B$5001,K$208,BD!$A$3:$A$5001,"&gt;="&amp;$C$7,BD!$A$3:$A$5001,"&lt;="&amp;$B239,BD!$X$3:$X$5001,"&lt;&gt;"))))</f>
        <v/>
      </c>
      <c r="L239" s="42" t="str">
        <f>IF(OR($B239="",$A239&gt;$B$9),"",IF(COUNTIFS(BD!$B$3:$B$5001,L$208,BD!$A$3:$A$5001,"&gt;="&amp;$C$7,BD!$A$3:$A$5001,"&lt;="&amp;$B239,BD!$X$3:$X$5001,"&lt;&gt;")=0,"",SUMIFS(BD!$X$3:$X$5001,BD!$B$3:$B$5001,L$208,BD!$A$3:$A$5001,_xlfn.MAXIFS(BD!$A$3:$A$5001,BD!$B$3:$B$5001,L$208,BD!$A$3:$A$5001,"&gt;="&amp;$C$7,BD!$A$3:$A$5001,"&lt;="&amp;$B239,BD!$X$3:$X$5001,"&lt;&gt;"))))</f>
        <v/>
      </c>
    </row>
    <row r="240">
      <c r="A240" s="43" t="inlineStr">
        <is>
          <t xml:space="preserve">Mês anterior (último)</t>
        </is>
      </c>
      <c r="C240" s="44" t="str">
        <f>IF(COUNTIFS(BD!$B$3:$B$5001,C$208,BD!$A$3:$A$5001,"&gt;="&amp;$C$8,BD!$A$3:$A$5001,"&lt;="&amp;$D$8,BD!$X$3:$X$5001,"&lt;&gt;")=0,"",SUMIFS(BD!$X$3:$X$5001,BD!$B$3:$B$5001,C$208,BD!$A$3:$A$5001,_xlfn.MAXIFS(BD!$A$3:$A$5001,BD!$B$3:$B$5001,C$208,BD!$A$3:$A$5001,"&gt;="&amp;$C$8,BD!$A$3:$A$5001,"&lt;="&amp;$D$8,BD!$X$3:$X$5001,"&lt;&gt;")))</f>
        <v/>
      </c>
      <c r="D240" s="44" t="str">
        <f>IF(COUNTIFS(BD!$B$3:$B$5001,D$208,BD!$A$3:$A$5001,"&gt;="&amp;$C$8,BD!$A$3:$A$5001,"&lt;="&amp;$D$8,BD!$X$3:$X$5001,"&lt;&gt;")=0,"",SUMIFS(BD!$X$3:$X$5001,BD!$B$3:$B$5001,D$208,BD!$A$3:$A$5001,_xlfn.MAXIFS(BD!$A$3:$A$5001,BD!$B$3:$B$5001,D$208,BD!$A$3:$A$5001,"&gt;="&amp;$C$8,BD!$A$3:$A$5001,"&lt;="&amp;$D$8,BD!$X$3:$X$5001,"&lt;&gt;")))</f>
        <v/>
      </c>
      <c r="E240" s="44" t="str">
        <f>IF(COUNTIFS(BD!$B$3:$B$5001,E$208,BD!$A$3:$A$5001,"&gt;="&amp;$C$8,BD!$A$3:$A$5001,"&lt;="&amp;$D$8,BD!$X$3:$X$5001,"&lt;&gt;")=0,"",SUMIFS(BD!$X$3:$X$5001,BD!$B$3:$B$5001,E$208,BD!$A$3:$A$5001,_xlfn.MAXIFS(BD!$A$3:$A$5001,BD!$B$3:$B$5001,E$208,BD!$A$3:$A$5001,"&gt;="&amp;$C$8,BD!$A$3:$A$5001,"&lt;="&amp;$D$8,BD!$X$3:$X$5001,"&lt;&gt;")))</f>
        <v/>
      </c>
      <c r="F240" s="44" t="str">
        <f>IF(COUNTIFS(BD!$B$3:$B$5001,F$208,BD!$A$3:$A$5001,"&gt;="&amp;$C$8,BD!$A$3:$A$5001,"&lt;="&amp;$D$8,BD!$X$3:$X$5001,"&lt;&gt;")=0,"",SUMIFS(BD!$X$3:$X$5001,BD!$B$3:$B$5001,F$208,BD!$A$3:$A$5001,_xlfn.MAXIFS(BD!$A$3:$A$5001,BD!$B$3:$B$5001,F$208,BD!$A$3:$A$5001,"&gt;="&amp;$C$8,BD!$A$3:$A$5001,"&lt;="&amp;$D$8,BD!$X$3:$X$5001,"&lt;&gt;")))</f>
        <v/>
      </c>
      <c r="G240" s="44" t="str">
        <f>IF(COUNTIFS(BD!$B$3:$B$5001,G$208,BD!$A$3:$A$5001,"&gt;="&amp;$C$8,BD!$A$3:$A$5001,"&lt;="&amp;$D$8,BD!$X$3:$X$5001,"&lt;&gt;")=0,"",SUMIFS(BD!$X$3:$X$5001,BD!$B$3:$B$5001,G$208,BD!$A$3:$A$5001,_xlfn.MAXIFS(BD!$A$3:$A$5001,BD!$B$3:$B$5001,G$208,BD!$A$3:$A$5001,"&gt;="&amp;$C$8,BD!$A$3:$A$5001,"&lt;="&amp;$D$8,BD!$X$3:$X$5001,"&lt;&gt;")))</f>
        <v/>
      </c>
      <c r="H240" s="44" t="str">
        <f>IF(COUNTIFS(BD!$B$3:$B$5001,H$208,BD!$A$3:$A$5001,"&gt;="&amp;$C$8,BD!$A$3:$A$5001,"&lt;="&amp;$D$8,BD!$X$3:$X$5001,"&lt;&gt;")=0,"",SUMIFS(BD!$X$3:$X$5001,BD!$B$3:$B$5001,H$208,BD!$A$3:$A$5001,_xlfn.MAXIFS(BD!$A$3:$A$5001,BD!$B$3:$B$5001,H$208,BD!$A$3:$A$5001,"&gt;="&amp;$C$8,BD!$A$3:$A$5001,"&lt;="&amp;$D$8,BD!$X$3:$X$5001,"&lt;&gt;")))</f>
        <v/>
      </c>
      <c r="I240" s="44" t="str">
        <f>IF(COUNTIFS(BD!$B$3:$B$5001,I$208,BD!$A$3:$A$5001,"&gt;="&amp;$C$8,BD!$A$3:$A$5001,"&lt;="&amp;$D$8,BD!$X$3:$X$5001,"&lt;&gt;")=0,"",SUMIFS(BD!$X$3:$X$5001,BD!$B$3:$B$5001,I$208,BD!$A$3:$A$5001,_xlfn.MAXIFS(BD!$A$3:$A$5001,BD!$B$3:$B$5001,I$208,BD!$A$3:$A$5001,"&gt;="&amp;$C$8,BD!$A$3:$A$5001,"&lt;="&amp;$D$8,BD!$X$3:$X$5001,"&lt;&gt;")))</f>
        <v/>
      </c>
      <c r="J240" s="44" t="str">
        <f>IF(COUNTIFS(BD!$B$3:$B$5001,J$208,BD!$A$3:$A$5001,"&gt;="&amp;$C$8,BD!$A$3:$A$5001,"&lt;="&amp;$D$8,BD!$X$3:$X$5001,"&lt;&gt;")=0,"",SUMIFS(BD!$X$3:$X$5001,BD!$B$3:$B$5001,J$208,BD!$A$3:$A$5001,_xlfn.MAXIFS(BD!$A$3:$A$5001,BD!$B$3:$B$5001,J$208,BD!$A$3:$A$5001,"&gt;="&amp;$C$8,BD!$A$3:$A$5001,"&lt;="&amp;$D$8,BD!$X$3:$X$5001,"&lt;&gt;")))</f>
        <v/>
      </c>
      <c r="K240" s="44" t="str">
        <f>IF(COUNTIFS(BD!$B$3:$B$5001,K$208,BD!$A$3:$A$5001,"&gt;="&amp;$C$8,BD!$A$3:$A$5001,"&lt;="&amp;$D$8,BD!$X$3:$X$5001,"&lt;&gt;")=0,"",SUMIFS(BD!$X$3:$X$5001,BD!$B$3:$B$5001,K$208,BD!$A$3:$A$5001,_xlfn.MAXIFS(BD!$A$3:$A$5001,BD!$B$3:$B$5001,K$208,BD!$A$3:$A$5001,"&gt;="&amp;$C$8,BD!$A$3:$A$5001,"&lt;="&amp;$D$8,BD!$X$3:$X$5001,"&lt;&gt;")))</f>
        <v/>
      </c>
      <c r="L240" s="44" t="str">
        <f>IF(COUNTIFS(BD!$B$3:$B$5001,L$208,BD!$A$3:$A$5001,"&gt;="&amp;$C$8,BD!$A$3:$A$5001,"&lt;="&amp;$D$8,BD!$X$3:$X$5001,"&lt;&gt;")=0,"",SUMIFS(BD!$X$3:$X$5001,BD!$B$3:$B$5001,L$208,BD!$A$3:$A$5001,_xlfn.MAXIFS(BD!$A$3:$A$5001,BD!$B$3:$B$5001,L$208,BD!$A$3:$A$5001,"&gt;="&amp;$C$8,BD!$A$3:$A$5001,"&lt;="&amp;$D$8,BD!$X$3:$X$5001,"&lt;&gt;")))</f>
        <v/>
      </c>
    </row>
    <row r="241">
      <c r="A241" s="43" t="inlineStr">
        <is>
          <t xml:space="preserve">Depósito</t>
        </is>
      </c>
      <c r="C241" s="40" t="inlineStr">
        <is>
          <t xml:space="preserve">TPC</t>
        </is>
      </c>
      <c r="D241" s="40" t="inlineStr">
        <is>
          <t xml:space="preserve">TPC</t>
        </is>
      </c>
      <c r="E241" s="40" t="inlineStr">
        <is>
          <t xml:space="preserve">TPC</t>
        </is>
      </c>
      <c r="F241" s="40" t="inlineStr">
        <is>
          <t xml:space="preserve">TPC</t>
        </is>
      </c>
      <c r="G241" s="40" t="inlineStr">
        <is>
          <t xml:space="preserve">TPC</t>
        </is>
      </c>
      <c r="H241" s="40" t="inlineStr">
        <is>
          <t xml:space="preserve">TPC</t>
        </is>
      </c>
      <c r="I241" s="40" t="inlineStr">
        <is>
          <t xml:space="preserve">TPC</t>
        </is>
      </c>
      <c r="J241" s="40" t="inlineStr">
        <is>
          <t xml:space="preserve">TPC</t>
        </is>
      </c>
      <c r="K241" s="40" t="inlineStr">
        <is>
          <t xml:space="preserve">TPC</t>
        </is>
      </c>
      <c r="L241" s="40" t="inlineStr">
        <is>
          <t xml:space="preserve">TPC</t>
        </is>
      </c>
    </row>
    <row r="243">
      <c r="A243" s="37" t="inlineStr">
        <is>
          <t xml:space="preserve">Efetivo Op.</t>
        </is>
      </c>
      <c r="B243" s="37" t="inlineStr">
        <is>
          <t xml:space="preserve">Data</t>
        </is>
      </c>
      <c r="C243" s="37" t="inlineStr">
        <is>
          <t xml:space="preserve">Alpargatas</t>
        </is>
      </c>
      <c r="D243" s="37" t="inlineStr">
        <is>
          <t xml:space="preserve">Basf</t>
        </is>
      </c>
      <c r="E243" s="37" t="inlineStr">
        <is>
          <t xml:space="preserve">Beautybiz</t>
        </is>
      </c>
      <c r="F243" s="37" t="inlineStr">
        <is>
          <t xml:space="preserve">Boticário</t>
        </is>
      </c>
      <c r="G243" s="37" t="inlineStr">
        <is>
          <t xml:space="preserve">Confiance</t>
        </is>
      </c>
      <c r="H243" s="37" t="inlineStr">
        <is>
          <t xml:space="preserve">GE Vernova</t>
        </is>
      </c>
      <c r="I243" s="37" t="inlineStr">
        <is>
          <t xml:space="preserve">Omnilife</t>
        </is>
      </c>
      <c r="J243" s="37" t="inlineStr">
        <is>
          <t xml:space="preserve">Supply</t>
        </is>
      </c>
      <c r="K243" s="37" t="inlineStr">
        <is>
          <t xml:space="preserve">Vedacit</t>
        </is>
      </c>
      <c r="L243" s="37" t="inlineStr">
        <is>
          <t xml:space="preserve">Vestas</t>
        </is>
      </c>
    </row>
    <row r="244">
      <c r="A244" s="40">
        <v>1</v>
      </c>
      <c r="B244" s="41">
        <f>$B$12</f>
        <v>46296</v>
      </c>
      <c r="C244" s="42" t="str">
        <f>IF(OR($B244="",$A244&gt;$B$9),"",IF(COUNTIFS(BD!$B$3:$B$5001,C$243,BD!$A$3:$A$5001,"&gt;="&amp;$C$7,BD!$A$3:$A$5001,"&lt;="&amp;$B244,BD!$Z$3:$Z$5001,"&lt;&gt;")=0,"",SUMIFS(BD!$Z$3:$Z$5001,BD!$B$3:$B$5001,C$243,BD!$A$3:$A$5001,_xlfn.MAXIFS(BD!$A$3:$A$5001,BD!$B$3:$B$5001,C$243,BD!$A$3:$A$5001,"&gt;="&amp;$C$7,BD!$A$3:$A$5001,"&lt;="&amp;$B244,BD!$Z$3:$Z$5001,"&lt;&gt;"))))</f>
        <v/>
      </c>
      <c r="D244" s="42" t="str">
        <f>IF(OR($B244="",$A244&gt;$B$9),"",IF(COUNTIFS(BD!$B$3:$B$5001,D$243,BD!$A$3:$A$5001,"&gt;="&amp;$C$7,BD!$A$3:$A$5001,"&lt;="&amp;$B244,BD!$Z$3:$Z$5001,"&lt;&gt;")=0,"",SUMIFS(BD!$Z$3:$Z$5001,BD!$B$3:$B$5001,D$243,BD!$A$3:$A$5001,_xlfn.MAXIFS(BD!$A$3:$A$5001,BD!$B$3:$B$5001,D$243,BD!$A$3:$A$5001,"&gt;="&amp;$C$7,BD!$A$3:$A$5001,"&lt;="&amp;$B244,BD!$Z$3:$Z$5001,"&lt;&gt;"))))</f>
        <v/>
      </c>
      <c r="E244" s="42" t="str">
        <f>IF(OR($B244="",$A244&gt;$B$9),"",IF(COUNTIFS(BD!$B$3:$B$5001,E$243,BD!$A$3:$A$5001,"&gt;="&amp;$C$7,BD!$A$3:$A$5001,"&lt;="&amp;$B244,BD!$Z$3:$Z$5001,"&lt;&gt;")=0,"",SUMIFS(BD!$Z$3:$Z$5001,BD!$B$3:$B$5001,E$243,BD!$A$3:$A$5001,_xlfn.MAXIFS(BD!$A$3:$A$5001,BD!$B$3:$B$5001,E$243,BD!$A$3:$A$5001,"&gt;="&amp;$C$7,BD!$A$3:$A$5001,"&lt;="&amp;$B244,BD!$Z$3:$Z$5001,"&lt;&gt;"))))</f>
        <v/>
      </c>
      <c r="F244" s="42" t="str">
        <f>IF(OR($B244="",$A244&gt;$B$9),"",IF(COUNTIFS(BD!$B$3:$B$5001,F$243,BD!$A$3:$A$5001,"&gt;="&amp;$C$7,BD!$A$3:$A$5001,"&lt;="&amp;$B244,BD!$Z$3:$Z$5001,"&lt;&gt;")=0,"",SUMIFS(BD!$Z$3:$Z$5001,BD!$B$3:$B$5001,F$243,BD!$A$3:$A$5001,_xlfn.MAXIFS(BD!$A$3:$A$5001,BD!$B$3:$B$5001,F$243,BD!$A$3:$A$5001,"&gt;="&amp;$C$7,BD!$A$3:$A$5001,"&lt;="&amp;$B244,BD!$Z$3:$Z$5001,"&lt;&gt;"))))</f>
        <v/>
      </c>
      <c r="G244" s="42" t="str">
        <f>IF(OR($B244="",$A244&gt;$B$9),"",IF(COUNTIFS(BD!$B$3:$B$5001,G$243,BD!$A$3:$A$5001,"&gt;="&amp;$C$7,BD!$A$3:$A$5001,"&lt;="&amp;$B244,BD!$Z$3:$Z$5001,"&lt;&gt;")=0,"",SUMIFS(BD!$Z$3:$Z$5001,BD!$B$3:$B$5001,G$243,BD!$A$3:$A$5001,_xlfn.MAXIFS(BD!$A$3:$A$5001,BD!$B$3:$B$5001,G$243,BD!$A$3:$A$5001,"&gt;="&amp;$C$7,BD!$A$3:$A$5001,"&lt;="&amp;$B244,BD!$Z$3:$Z$5001,"&lt;&gt;"))))</f>
        <v/>
      </c>
      <c r="H244" s="42" t="str">
        <f>IF(OR($B244="",$A244&gt;$B$9),"",IF(COUNTIFS(BD!$B$3:$B$5001,H$243,BD!$A$3:$A$5001,"&gt;="&amp;$C$7,BD!$A$3:$A$5001,"&lt;="&amp;$B244,BD!$Z$3:$Z$5001,"&lt;&gt;")=0,"",SUMIFS(BD!$Z$3:$Z$5001,BD!$B$3:$B$5001,H$243,BD!$A$3:$A$5001,_xlfn.MAXIFS(BD!$A$3:$A$5001,BD!$B$3:$B$5001,H$243,BD!$A$3:$A$5001,"&gt;="&amp;$C$7,BD!$A$3:$A$5001,"&lt;="&amp;$B244,BD!$Z$3:$Z$5001,"&lt;&gt;"))))</f>
        <v/>
      </c>
      <c r="I244" s="42" t="str">
        <f>IF(OR($B244="",$A244&gt;$B$9),"",IF(COUNTIFS(BD!$B$3:$B$5001,I$243,BD!$A$3:$A$5001,"&gt;="&amp;$C$7,BD!$A$3:$A$5001,"&lt;="&amp;$B244,BD!$Z$3:$Z$5001,"&lt;&gt;")=0,"",SUMIFS(BD!$Z$3:$Z$5001,BD!$B$3:$B$5001,I$243,BD!$A$3:$A$5001,_xlfn.MAXIFS(BD!$A$3:$A$5001,BD!$B$3:$B$5001,I$243,BD!$A$3:$A$5001,"&gt;="&amp;$C$7,BD!$A$3:$A$5001,"&lt;="&amp;$B244,BD!$Z$3:$Z$5001,"&lt;&gt;"))))</f>
        <v/>
      </c>
      <c r="J244" s="42" t="str">
        <f>IF(OR($B244="",$A244&gt;$B$9),"",IF(COUNTIFS(BD!$B$3:$B$5001,J$243,BD!$A$3:$A$5001,"&gt;="&amp;$C$7,BD!$A$3:$A$5001,"&lt;="&amp;$B244,BD!$Z$3:$Z$5001,"&lt;&gt;")=0,"",SUMIFS(BD!$Z$3:$Z$5001,BD!$B$3:$B$5001,J$243,BD!$A$3:$A$5001,_xlfn.MAXIFS(BD!$A$3:$A$5001,BD!$B$3:$B$5001,J$243,BD!$A$3:$A$5001,"&gt;="&amp;$C$7,BD!$A$3:$A$5001,"&lt;="&amp;$B244,BD!$Z$3:$Z$5001,"&lt;&gt;"))))</f>
        <v/>
      </c>
      <c r="K244" s="42" t="str">
        <f>IF(OR($B244="",$A244&gt;$B$9),"",IF(COUNTIFS(BD!$B$3:$B$5001,K$243,BD!$A$3:$A$5001,"&gt;="&amp;$C$7,BD!$A$3:$A$5001,"&lt;="&amp;$B244,BD!$Z$3:$Z$5001,"&lt;&gt;")=0,"",SUMIFS(BD!$Z$3:$Z$5001,BD!$B$3:$B$5001,K$243,BD!$A$3:$A$5001,_xlfn.MAXIFS(BD!$A$3:$A$5001,BD!$B$3:$B$5001,K$243,BD!$A$3:$A$5001,"&gt;="&amp;$C$7,BD!$A$3:$A$5001,"&lt;="&amp;$B244,BD!$Z$3:$Z$5001,"&lt;&gt;"))))</f>
        <v/>
      </c>
      <c r="L244" s="42" t="str">
        <f>IF(OR($B244="",$A244&gt;$B$9),"",IF(COUNTIFS(BD!$B$3:$B$5001,L$243,BD!$A$3:$A$5001,"&gt;="&amp;$C$7,BD!$A$3:$A$5001,"&lt;="&amp;$B244,BD!$Z$3:$Z$5001,"&lt;&gt;")=0,"",SUMIFS(BD!$Z$3:$Z$5001,BD!$B$3:$B$5001,L$243,BD!$A$3:$A$5001,_xlfn.MAXIFS(BD!$A$3:$A$5001,BD!$B$3:$B$5001,L$243,BD!$A$3:$A$5001,"&gt;="&amp;$C$7,BD!$A$3:$A$5001,"&lt;="&amp;$B244,BD!$Z$3:$Z$5001,"&lt;&gt;"))))</f>
        <v/>
      </c>
    </row>
    <row r="245">
      <c r="A245" s="40">
        <v>2</v>
      </c>
      <c r="B245" s="41">
        <f>$B$13</f>
        <v>46297</v>
      </c>
      <c r="C245" s="42" t="str">
        <f>IF(OR($B245="",$A245&gt;$B$9),"",IF(COUNTIFS(BD!$B$3:$B$5001,C$243,BD!$A$3:$A$5001,"&gt;="&amp;$C$7,BD!$A$3:$A$5001,"&lt;="&amp;$B245,BD!$Z$3:$Z$5001,"&lt;&gt;")=0,"",SUMIFS(BD!$Z$3:$Z$5001,BD!$B$3:$B$5001,C$243,BD!$A$3:$A$5001,_xlfn.MAXIFS(BD!$A$3:$A$5001,BD!$B$3:$B$5001,C$243,BD!$A$3:$A$5001,"&gt;="&amp;$C$7,BD!$A$3:$A$5001,"&lt;="&amp;$B245,BD!$Z$3:$Z$5001,"&lt;&gt;"))))</f>
        <v/>
      </c>
      <c r="D245" s="42" t="str">
        <f>IF(OR($B245="",$A245&gt;$B$9),"",IF(COUNTIFS(BD!$B$3:$B$5001,D$243,BD!$A$3:$A$5001,"&gt;="&amp;$C$7,BD!$A$3:$A$5001,"&lt;="&amp;$B245,BD!$Z$3:$Z$5001,"&lt;&gt;")=0,"",SUMIFS(BD!$Z$3:$Z$5001,BD!$B$3:$B$5001,D$243,BD!$A$3:$A$5001,_xlfn.MAXIFS(BD!$A$3:$A$5001,BD!$B$3:$B$5001,D$243,BD!$A$3:$A$5001,"&gt;="&amp;$C$7,BD!$A$3:$A$5001,"&lt;="&amp;$B245,BD!$Z$3:$Z$5001,"&lt;&gt;"))))</f>
        <v/>
      </c>
      <c r="E245" s="42" t="str">
        <f>IF(OR($B245="",$A245&gt;$B$9),"",IF(COUNTIFS(BD!$B$3:$B$5001,E$243,BD!$A$3:$A$5001,"&gt;="&amp;$C$7,BD!$A$3:$A$5001,"&lt;="&amp;$B245,BD!$Z$3:$Z$5001,"&lt;&gt;")=0,"",SUMIFS(BD!$Z$3:$Z$5001,BD!$B$3:$B$5001,E$243,BD!$A$3:$A$5001,_xlfn.MAXIFS(BD!$A$3:$A$5001,BD!$B$3:$B$5001,E$243,BD!$A$3:$A$5001,"&gt;="&amp;$C$7,BD!$A$3:$A$5001,"&lt;="&amp;$B245,BD!$Z$3:$Z$5001,"&lt;&gt;"))))</f>
        <v/>
      </c>
      <c r="F245" s="42" t="str">
        <f>IF(OR($B245="",$A245&gt;$B$9),"",IF(COUNTIFS(BD!$B$3:$B$5001,F$243,BD!$A$3:$A$5001,"&gt;="&amp;$C$7,BD!$A$3:$A$5001,"&lt;="&amp;$B245,BD!$Z$3:$Z$5001,"&lt;&gt;")=0,"",SUMIFS(BD!$Z$3:$Z$5001,BD!$B$3:$B$5001,F$243,BD!$A$3:$A$5001,_xlfn.MAXIFS(BD!$A$3:$A$5001,BD!$B$3:$B$5001,F$243,BD!$A$3:$A$5001,"&gt;="&amp;$C$7,BD!$A$3:$A$5001,"&lt;="&amp;$B245,BD!$Z$3:$Z$5001,"&lt;&gt;"))))</f>
        <v/>
      </c>
      <c r="G245" s="42" t="str">
        <f>IF(OR($B245="",$A245&gt;$B$9),"",IF(COUNTIFS(BD!$B$3:$B$5001,G$243,BD!$A$3:$A$5001,"&gt;="&amp;$C$7,BD!$A$3:$A$5001,"&lt;="&amp;$B245,BD!$Z$3:$Z$5001,"&lt;&gt;")=0,"",SUMIFS(BD!$Z$3:$Z$5001,BD!$B$3:$B$5001,G$243,BD!$A$3:$A$5001,_xlfn.MAXIFS(BD!$A$3:$A$5001,BD!$B$3:$B$5001,G$243,BD!$A$3:$A$5001,"&gt;="&amp;$C$7,BD!$A$3:$A$5001,"&lt;="&amp;$B245,BD!$Z$3:$Z$5001,"&lt;&gt;"))))</f>
        <v/>
      </c>
      <c r="H245" s="42" t="str">
        <f>IF(OR($B245="",$A245&gt;$B$9),"",IF(COUNTIFS(BD!$B$3:$B$5001,H$243,BD!$A$3:$A$5001,"&gt;="&amp;$C$7,BD!$A$3:$A$5001,"&lt;="&amp;$B245,BD!$Z$3:$Z$5001,"&lt;&gt;")=0,"",SUMIFS(BD!$Z$3:$Z$5001,BD!$B$3:$B$5001,H$243,BD!$A$3:$A$5001,_xlfn.MAXIFS(BD!$A$3:$A$5001,BD!$B$3:$B$5001,H$243,BD!$A$3:$A$5001,"&gt;="&amp;$C$7,BD!$A$3:$A$5001,"&lt;="&amp;$B245,BD!$Z$3:$Z$5001,"&lt;&gt;"))))</f>
        <v/>
      </c>
      <c r="I245" s="42" t="str">
        <f>IF(OR($B245="",$A245&gt;$B$9),"",IF(COUNTIFS(BD!$B$3:$B$5001,I$243,BD!$A$3:$A$5001,"&gt;="&amp;$C$7,BD!$A$3:$A$5001,"&lt;="&amp;$B245,BD!$Z$3:$Z$5001,"&lt;&gt;")=0,"",SUMIFS(BD!$Z$3:$Z$5001,BD!$B$3:$B$5001,I$243,BD!$A$3:$A$5001,_xlfn.MAXIFS(BD!$A$3:$A$5001,BD!$B$3:$B$5001,I$243,BD!$A$3:$A$5001,"&gt;="&amp;$C$7,BD!$A$3:$A$5001,"&lt;="&amp;$B245,BD!$Z$3:$Z$5001,"&lt;&gt;"))))</f>
        <v/>
      </c>
      <c r="J245" s="42" t="str">
        <f>IF(OR($B245="",$A245&gt;$B$9),"",IF(COUNTIFS(BD!$B$3:$B$5001,J$243,BD!$A$3:$A$5001,"&gt;="&amp;$C$7,BD!$A$3:$A$5001,"&lt;="&amp;$B245,BD!$Z$3:$Z$5001,"&lt;&gt;")=0,"",SUMIFS(BD!$Z$3:$Z$5001,BD!$B$3:$B$5001,J$243,BD!$A$3:$A$5001,_xlfn.MAXIFS(BD!$A$3:$A$5001,BD!$B$3:$B$5001,J$243,BD!$A$3:$A$5001,"&gt;="&amp;$C$7,BD!$A$3:$A$5001,"&lt;="&amp;$B245,BD!$Z$3:$Z$5001,"&lt;&gt;"))))</f>
        <v/>
      </c>
      <c r="K245" s="42" t="str">
        <f>IF(OR($B245="",$A245&gt;$B$9),"",IF(COUNTIFS(BD!$B$3:$B$5001,K$243,BD!$A$3:$A$5001,"&gt;="&amp;$C$7,BD!$A$3:$A$5001,"&lt;="&amp;$B245,BD!$Z$3:$Z$5001,"&lt;&gt;")=0,"",SUMIFS(BD!$Z$3:$Z$5001,BD!$B$3:$B$5001,K$243,BD!$A$3:$A$5001,_xlfn.MAXIFS(BD!$A$3:$A$5001,BD!$B$3:$B$5001,K$243,BD!$A$3:$A$5001,"&gt;="&amp;$C$7,BD!$A$3:$A$5001,"&lt;="&amp;$B245,BD!$Z$3:$Z$5001,"&lt;&gt;"))))</f>
        <v/>
      </c>
      <c r="L245" s="42" t="str">
        <f>IF(OR($B245="",$A245&gt;$B$9),"",IF(COUNTIFS(BD!$B$3:$B$5001,L$243,BD!$A$3:$A$5001,"&gt;="&amp;$C$7,BD!$A$3:$A$5001,"&lt;="&amp;$B245,BD!$Z$3:$Z$5001,"&lt;&gt;")=0,"",SUMIFS(BD!$Z$3:$Z$5001,BD!$B$3:$B$5001,L$243,BD!$A$3:$A$5001,_xlfn.MAXIFS(BD!$A$3:$A$5001,BD!$B$3:$B$5001,L$243,BD!$A$3:$A$5001,"&gt;="&amp;$C$7,BD!$A$3:$A$5001,"&lt;="&amp;$B245,BD!$Z$3:$Z$5001,"&lt;&gt;"))))</f>
        <v/>
      </c>
    </row>
    <row r="246">
      <c r="A246" s="40">
        <v>3</v>
      </c>
      <c r="B246" s="41">
        <f>$B$14</f>
        <v>46298</v>
      </c>
      <c r="C246" s="42" t="str">
        <f>IF(OR($B246="",$A246&gt;$B$9),"",IF(COUNTIFS(BD!$B$3:$B$5001,C$243,BD!$A$3:$A$5001,"&gt;="&amp;$C$7,BD!$A$3:$A$5001,"&lt;="&amp;$B246,BD!$Z$3:$Z$5001,"&lt;&gt;")=0,"",SUMIFS(BD!$Z$3:$Z$5001,BD!$B$3:$B$5001,C$243,BD!$A$3:$A$5001,_xlfn.MAXIFS(BD!$A$3:$A$5001,BD!$B$3:$B$5001,C$243,BD!$A$3:$A$5001,"&gt;="&amp;$C$7,BD!$A$3:$A$5001,"&lt;="&amp;$B246,BD!$Z$3:$Z$5001,"&lt;&gt;"))))</f>
        <v/>
      </c>
      <c r="D246" s="42" t="str">
        <f>IF(OR($B246="",$A246&gt;$B$9),"",IF(COUNTIFS(BD!$B$3:$B$5001,D$243,BD!$A$3:$A$5001,"&gt;="&amp;$C$7,BD!$A$3:$A$5001,"&lt;="&amp;$B246,BD!$Z$3:$Z$5001,"&lt;&gt;")=0,"",SUMIFS(BD!$Z$3:$Z$5001,BD!$B$3:$B$5001,D$243,BD!$A$3:$A$5001,_xlfn.MAXIFS(BD!$A$3:$A$5001,BD!$B$3:$B$5001,D$243,BD!$A$3:$A$5001,"&gt;="&amp;$C$7,BD!$A$3:$A$5001,"&lt;="&amp;$B246,BD!$Z$3:$Z$5001,"&lt;&gt;"))))</f>
        <v/>
      </c>
      <c r="E246" s="42" t="str">
        <f>IF(OR($B246="",$A246&gt;$B$9),"",IF(COUNTIFS(BD!$B$3:$B$5001,E$243,BD!$A$3:$A$5001,"&gt;="&amp;$C$7,BD!$A$3:$A$5001,"&lt;="&amp;$B246,BD!$Z$3:$Z$5001,"&lt;&gt;")=0,"",SUMIFS(BD!$Z$3:$Z$5001,BD!$B$3:$B$5001,E$243,BD!$A$3:$A$5001,_xlfn.MAXIFS(BD!$A$3:$A$5001,BD!$B$3:$B$5001,E$243,BD!$A$3:$A$5001,"&gt;="&amp;$C$7,BD!$A$3:$A$5001,"&lt;="&amp;$B246,BD!$Z$3:$Z$5001,"&lt;&gt;"))))</f>
        <v/>
      </c>
      <c r="F246" s="42" t="str">
        <f>IF(OR($B246="",$A246&gt;$B$9),"",IF(COUNTIFS(BD!$B$3:$B$5001,F$243,BD!$A$3:$A$5001,"&gt;="&amp;$C$7,BD!$A$3:$A$5001,"&lt;="&amp;$B246,BD!$Z$3:$Z$5001,"&lt;&gt;")=0,"",SUMIFS(BD!$Z$3:$Z$5001,BD!$B$3:$B$5001,F$243,BD!$A$3:$A$5001,_xlfn.MAXIFS(BD!$A$3:$A$5001,BD!$B$3:$B$5001,F$243,BD!$A$3:$A$5001,"&gt;="&amp;$C$7,BD!$A$3:$A$5001,"&lt;="&amp;$B246,BD!$Z$3:$Z$5001,"&lt;&gt;"))))</f>
        <v/>
      </c>
      <c r="G246" s="42" t="str">
        <f>IF(OR($B246="",$A246&gt;$B$9),"",IF(COUNTIFS(BD!$B$3:$B$5001,G$243,BD!$A$3:$A$5001,"&gt;="&amp;$C$7,BD!$A$3:$A$5001,"&lt;="&amp;$B246,BD!$Z$3:$Z$5001,"&lt;&gt;")=0,"",SUMIFS(BD!$Z$3:$Z$5001,BD!$B$3:$B$5001,G$243,BD!$A$3:$A$5001,_xlfn.MAXIFS(BD!$A$3:$A$5001,BD!$B$3:$B$5001,G$243,BD!$A$3:$A$5001,"&gt;="&amp;$C$7,BD!$A$3:$A$5001,"&lt;="&amp;$B246,BD!$Z$3:$Z$5001,"&lt;&gt;"))))</f>
        <v/>
      </c>
      <c r="H246" s="42" t="str">
        <f>IF(OR($B246="",$A246&gt;$B$9),"",IF(COUNTIFS(BD!$B$3:$B$5001,H$243,BD!$A$3:$A$5001,"&gt;="&amp;$C$7,BD!$A$3:$A$5001,"&lt;="&amp;$B246,BD!$Z$3:$Z$5001,"&lt;&gt;")=0,"",SUMIFS(BD!$Z$3:$Z$5001,BD!$B$3:$B$5001,H$243,BD!$A$3:$A$5001,_xlfn.MAXIFS(BD!$A$3:$A$5001,BD!$B$3:$B$5001,H$243,BD!$A$3:$A$5001,"&gt;="&amp;$C$7,BD!$A$3:$A$5001,"&lt;="&amp;$B246,BD!$Z$3:$Z$5001,"&lt;&gt;"))))</f>
        <v/>
      </c>
      <c r="I246" s="42" t="str">
        <f>IF(OR($B246="",$A246&gt;$B$9),"",IF(COUNTIFS(BD!$B$3:$B$5001,I$243,BD!$A$3:$A$5001,"&gt;="&amp;$C$7,BD!$A$3:$A$5001,"&lt;="&amp;$B246,BD!$Z$3:$Z$5001,"&lt;&gt;")=0,"",SUMIFS(BD!$Z$3:$Z$5001,BD!$B$3:$B$5001,I$243,BD!$A$3:$A$5001,_xlfn.MAXIFS(BD!$A$3:$A$5001,BD!$B$3:$B$5001,I$243,BD!$A$3:$A$5001,"&gt;="&amp;$C$7,BD!$A$3:$A$5001,"&lt;="&amp;$B246,BD!$Z$3:$Z$5001,"&lt;&gt;"))))</f>
        <v/>
      </c>
      <c r="J246" s="42" t="str">
        <f>IF(OR($B246="",$A246&gt;$B$9),"",IF(COUNTIFS(BD!$B$3:$B$5001,J$243,BD!$A$3:$A$5001,"&gt;="&amp;$C$7,BD!$A$3:$A$5001,"&lt;="&amp;$B246,BD!$Z$3:$Z$5001,"&lt;&gt;")=0,"",SUMIFS(BD!$Z$3:$Z$5001,BD!$B$3:$B$5001,J$243,BD!$A$3:$A$5001,_xlfn.MAXIFS(BD!$A$3:$A$5001,BD!$B$3:$B$5001,J$243,BD!$A$3:$A$5001,"&gt;="&amp;$C$7,BD!$A$3:$A$5001,"&lt;="&amp;$B246,BD!$Z$3:$Z$5001,"&lt;&gt;"))))</f>
        <v/>
      </c>
      <c r="K246" s="42" t="str">
        <f>IF(OR($B246="",$A246&gt;$B$9),"",IF(COUNTIFS(BD!$B$3:$B$5001,K$243,BD!$A$3:$A$5001,"&gt;="&amp;$C$7,BD!$A$3:$A$5001,"&lt;="&amp;$B246,BD!$Z$3:$Z$5001,"&lt;&gt;")=0,"",SUMIFS(BD!$Z$3:$Z$5001,BD!$B$3:$B$5001,K$243,BD!$A$3:$A$5001,_xlfn.MAXIFS(BD!$A$3:$A$5001,BD!$B$3:$B$5001,K$243,BD!$A$3:$A$5001,"&gt;="&amp;$C$7,BD!$A$3:$A$5001,"&lt;="&amp;$B246,BD!$Z$3:$Z$5001,"&lt;&gt;"))))</f>
        <v/>
      </c>
      <c r="L246" s="42" t="str">
        <f>IF(OR($B246="",$A246&gt;$B$9),"",IF(COUNTIFS(BD!$B$3:$B$5001,L$243,BD!$A$3:$A$5001,"&gt;="&amp;$C$7,BD!$A$3:$A$5001,"&lt;="&amp;$B246,BD!$Z$3:$Z$5001,"&lt;&gt;")=0,"",SUMIFS(BD!$Z$3:$Z$5001,BD!$B$3:$B$5001,L$243,BD!$A$3:$A$5001,_xlfn.MAXIFS(BD!$A$3:$A$5001,BD!$B$3:$B$5001,L$243,BD!$A$3:$A$5001,"&gt;="&amp;$C$7,BD!$A$3:$A$5001,"&lt;="&amp;$B246,BD!$Z$3:$Z$5001,"&lt;&gt;"))))</f>
        <v/>
      </c>
    </row>
    <row r="247">
      <c r="A247" s="40">
        <v>4</v>
      </c>
      <c r="B247" s="41">
        <f>$B$15</f>
        <v>46299</v>
      </c>
      <c r="C247" s="42" t="str">
        <f>IF(OR($B247="",$A247&gt;$B$9),"",IF(COUNTIFS(BD!$B$3:$B$5001,C$243,BD!$A$3:$A$5001,"&gt;="&amp;$C$7,BD!$A$3:$A$5001,"&lt;="&amp;$B247,BD!$Z$3:$Z$5001,"&lt;&gt;")=0,"",SUMIFS(BD!$Z$3:$Z$5001,BD!$B$3:$B$5001,C$243,BD!$A$3:$A$5001,_xlfn.MAXIFS(BD!$A$3:$A$5001,BD!$B$3:$B$5001,C$243,BD!$A$3:$A$5001,"&gt;="&amp;$C$7,BD!$A$3:$A$5001,"&lt;="&amp;$B247,BD!$Z$3:$Z$5001,"&lt;&gt;"))))</f>
        <v/>
      </c>
      <c r="D247" s="42" t="str">
        <f>IF(OR($B247="",$A247&gt;$B$9),"",IF(COUNTIFS(BD!$B$3:$B$5001,D$243,BD!$A$3:$A$5001,"&gt;="&amp;$C$7,BD!$A$3:$A$5001,"&lt;="&amp;$B247,BD!$Z$3:$Z$5001,"&lt;&gt;")=0,"",SUMIFS(BD!$Z$3:$Z$5001,BD!$B$3:$B$5001,D$243,BD!$A$3:$A$5001,_xlfn.MAXIFS(BD!$A$3:$A$5001,BD!$B$3:$B$5001,D$243,BD!$A$3:$A$5001,"&gt;="&amp;$C$7,BD!$A$3:$A$5001,"&lt;="&amp;$B247,BD!$Z$3:$Z$5001,"&lt;&gt;"))))</f>
        <v/>
      </c>
      <c r="E247" s="42" t="str">
        <f>IF(OR($B247="",$A247&gt;$B$9),"",IF(COUNTIFS(BD!$B$3:$B$5001,E$243,BD!$A$3:$A$5001,"&gt;="&amp;$C$7,BD!$A$3:$A$5001,"&lt;="&amp;$B247,BD!$Z$3:$Z$5001,"&lt;&gt;")=0,"",SUMIFS(BD!$Z$3:$Z$5001,BD!$B$3:$B$5001,E$243,BD!$A$3:$A$5001,_xlfn.MAXIFS(BD!$A$3:$A$5001,BD!$B$3:$B$5001,E$243,BD!$A$3:$A$5001,"&gt;="&amp;$C$7,BD!$A$3:$A$5001,"&lt;="&amp;$B247,BD!$Z$3:$Z$5001,"&lt;&gt;"))))</f>
        <v/>
      </c>
      <c r="F247" s="42" t="str">
        <f>IF(OR($B247="",$A247&gt;$B$9),"",IF(COUNTIFS(BD!$B$3:$B$5001,F$243,BD!$A$3:$A$5001,"&gt;="&amp;$C$7,BD!$A$3:$A$5001,"&lt;="&amp;$B247,BD!$Z$3:$Z$5001,"&lt;&gt;")=0,"",SUMIFS(BD!$Z$3:$Z$5001,BD!$B$3:$B$5001,F$243,BD!$A$3:$A$5001,_xlfn.MAXIFS(BD!$A$3:$A$5001,BD!$B$3:$B$5001,F$243,BD!$A$3:$A$5001,"&gt;="&amp;$C$7,BD!$A$3:$A$5001,"&lt;="&amp;$B247,BD!$Z$3:$Z$5001,"&lt;&gt;"))))</f>
        <v/>
      </c>
      <c r="G247" s="42" t="str">
        <f>IF(OR($B247="",$A247&gt;$B$9),"",IF(COUNTIFS(BD!$B$3:$B$5001,G$243,BD!$A$3:$A$5001,"&gt;="&amp;$C$7,BD!$A$3:$A$5001,"&lt;="&amp;$B247,BD!$Z$3:$Z$5001,"&lt;&gt;")=0,"",SUMIFS(BD!$Z$3:$Z$5001,BD!$B$3:$B$5001,G$243,BD!$A$3:$A$5001,_xlfn.MAXIFS(BD!$A$3:$A$5001,BD!$B$3:$B$5001,G$243,BD!$A$3:$A$5001,"&gt;="&amp;$C$7,BD!$A$3:$A$5001,"&lt;="&amp;$B247,BD!$Z$3:$Z$5001,"&lt;&gt;"))))</f>
        <v/>
      </c>
      <c r="H247" s="42" t="str">
        <f>IF(OR($B247="",$A247&gt;$B$9),"",IF(COUNTIFS(BD!$B$3:$B$5001,H$243,BD!$A$3:$A$5001,"&gt;="&amp;$C$7,BD!$A$3:$A$5001,"&lt;="&amp;$B247,BD!$Z$3:$Z$5001,"&lt;&gt;")=0,"",SUMIFS(BD!$Z$3:$Z$5001,BD!$B$3:$B$5001,H$243,BD!$A$3:$A$5001,_xlfn.MAXIFS(BD!$A$3:$A$5001,BD!$B$3:$B$5001,H$243,BD!$A$3:$A$5001,"&gt;="&amp;$C$7,BD!$A$3:$A$5001,"&lt;="&amp;$B247,BD!$Z$3:$Z$5001,"&lt;&gt;"))))</f>
        <v/>
      </c>
      <c r="I247" s="42" t="str">
        <f>IF(OR($B247="",$A247&gt;$B$9),"",IF(COUNTIFS(BD!$B$3:$B$5001,I$243,BD!$A$3:$A$5001,"&gt;="&amp;$C$7,BD!$A$3:$A$5001,"&lt;="&amp;$B247,BD!$Z$3:$Z$5001,"&lt;&gt;")=0,"",SUMIFS(BD!$Z$3:$Z$5001,BD!$B$3:$B$5001,I$243,BD!$A$3:$A$5001,_xlfn.MAXIFS(BD!$A$3:$A$5001,BD!$B$3:$B$5001,I$243,BD!$A$3:$A$5001,"&gt;="&amp;$C$7,BD!$A$3:$A$5001,"&lt;="&amp;$B247,BD!$Z$3:$Z$5001,"&lt;&gt;"))))</f>
        <v/>
      </c>
      <c r="J247" s="42" t="str">
        <f>IF(OR($B247="",$A247&gt;$B$9),"",IF(COUNTIFS(BD!$B$3:$B$5001,J$243,BD!$A$3:$A$5001,"&gt;="&amp;$C$7,BD!$A$3:$A$5001,"&lt;="&amp;$B247,BD!$Z$3:$Z$5001,"&lt;&gt;")=0,"",SUMIFS(BD!$Z$3:$Z$5001,BD!$B$3:$B$5001,J$243,BD!$A$3:$A$5001,_xlfn.MAXIFS(BD!$A$3:$A$5001,BD!$B$3:$B$5001,J$243,BD!$A$3:$A$5001,"&gt;="&amp;$C$7,BD!$A$3:$A$5001,"&lt;="&amp;$B247,BD!$Z$3:$Z$5001,"&lt;&gt;"))))</f>
        <v/>
      </c>
      <c r="K247" s="42" t="str">
        <f>IF(OR($B247="",$A247&gt;$B$9),"",IF(COUNTIFS(BD!$B$3:$B$5001,K$243,BD!$A$3:$A$5001,"&gt;="&amp;$C$7,BD!$A$3:$A$5001,"&lt;="&amp;$B247,BD!$Z$3:$Z$5001,"&lt;&gt;")=0,"",SUMIFS(BD!$Z$3:$Z$5001,BD!$B$3:$B$5001,K$243,BD!$A$3:$A$5001,_xlfn.MAXIFS(BD!$A$3:$A$5001,BD!$B$3:$B$5001,K$243,BD!$A$3:$A$5001,"&gt;="&amp;$C$7,BD!$A$3:$A$5001,"&lt;="&amp;$B247,BD!$Z$3:$Z$5001,"&lt;&gt;"))))</f>
        <v/>
      </c>
      <c r="L247" s="42" t="str">
        <f>IF(OR($B247="",$A247&gt;$B$9),"",IF(COUNTIFS(BD!$B$3:$B$5001,L$243,BD!$A$3:$A$5001,"&gt;="&amp;$C$7,BD!$A$3:$A$5001,"&lt;="&amp;$B247,BD!$Z$3:$Z$5001,"&lt;&gt;")=0,"",SUMIFS(BD!$Z$3:$Z$5001,BD!$B$3:$B$5001,L$243,BD!$A$3:$A$5001,_xlfn.MAXIFS(BD!$A$3:$A$5001,BD!$B$3:$B$5001,L$243,BD!$A$3:$A$5001,"&gt;="&amp;$C$7,BD!$A$3:$A$5001,"&lt;="&amp;$B247,BD!$Z$3:$Z$5001,"&lt;&gt;"))))</f>
        <v/>
      </c>
    </row>
    <row r="248">
      <c r="A248" s="40">
        <v>5</v>
      </c>
      <c r="B248" s="41">
        <f>$B$16</f>
        <v>46300</v>
      </c>
      <c r="C248" s="42" t="str">
        <f>IF(OR($B248="",$A248&gt;$B$9),"",IF(COUNTIFS(BD!$B$3:$B$5001,C$243,BD!$A$3:$A$5001,"&gt;="&amp;$C$7,BD!$A$3:$A$5001,"&lt;="&amp;$B248,BD!$Z$3:$Z$5001,"&lt;&gt;")=0,"",SUMIFS(BD!$Z$3:$Z$5001,BD!$B$3:$B$5001,C$243,BD!$A$3:$A$5001,_xlfn.MAXIFS(BD!$A$3:$A$5001,BD!$B$3:$B$5001,C$243,BD!$A$3:$A$5001,"&gt;="&amp;$C$7,BD!$A$3:$A$5001,"&lt;="&amp;$B248,BD!$Z$3:$Z$5001,"&lt;&gt;"))))</f>
        <v/>
      </c>
      <c r="D248" s="42" t="str">
        <f>IF(OR($B248="",$A248&gt;$B$9),"",IF(COUNTIFS(BD!$B$3:$B$5001,D$243,BD!$A$3:$A$5001,"&gt;="&amp;$C$7,BD!$A$3:$A$5001,"&lt;="&amp;$B248,BD!$Z$3:$Z$5001,"&lt;&gt;")=0,"",SUMIFS(BD!$Z$3:$Z$5001,BD!$B$3:$B$5001,D$243,BD!$A$3:$A$5001,_xlfn.MAXIFS(BD!$A$3:$A$5001,BD!$B$3:$B$5001,D$243,BD!$A$3:$A$5001,"&gt;="&amp;$C$7,BD!$A$3:$A$5001,"&lt;="&amp;$B248,BD!$Z$3:$Z$5001,"&lt;&gt;"))))</f>
        <v/>
      </c>
      <c r="E248" s="42" t="str">
        <f>IF(OR($B248="",$A248&gt;$B$9),"",IF(COUNTIFS(BD!$B$3:$B$5001,E$243,BD!$A$3:$A$5001,"&gt;="&amp;$C$7,BD!$A$3:$A$5001,"&lt;="&amp;$B248,BD!$Z$3:$Z$5001,"&lt;&gt;")=0,"",SUMIFS(BD!$Z$3:$Z$5001,BD!$B$3:$B$5001,E$243,BD!$A$3:$A$5001,_xlfn.MAXIFS(BD!$A$3:$A$5001,BD!$B$3:$B$5001,E$243,BD!$A$3:$A$5001,"&gt;="&amp;$C$7,BD!$A$3:$A$5001,"&lt;="&amp;$B248,BD!$Z$3:$Z$5001,"&lt;&gt;"))))</f>
        <v/>
      </c>
      <c r="F248" s="42" t="str">
        <f>IF(OR($B248="",$A248&gt;$B$9),"",IF(COUNTIFS(BD!$B$3:$B$5001,F$243,BD!$A$3:$A$5001,"&gt;="&amp;$C$7,BD!$A$3:$A$5001,"&lt;="&amp;$B248,BD!$Z$3:$Z$5001,"&lt;&gt;")=0,"",SUMIFS(BD!$Z$3:$Z$5001,BD!$B$3:$B$5001,F$243,BD!$A$3:$A$5001,_xlfn.MAXIFS(BD!$A$3:$A$5001,BD!$B$3:$B$5001,F$243,BD!$A$3:$A$5001,"&gt;="&amp;$C$7,BD!$A$3:$A$5001,"&lt;="&amp;$B248,BD!$Z$3:$Z$5001,"&lt;&gt;"))))</f>
        <v/>
      </c>
      <c r="G248" s="42" t="str">
        <f>IF(OR($B248="",$A248&gt;$B$9),"",IF(COUNTIFS(BD!$B$3:$B$5001,G$243,BD!$A$3:$A$5001,"&gt;="&amp;$C$7,BD!$A$3:$A$5001,"&lt;="&amp;$B248,BD!$Z$3:$Z$5001,"&lt;&gt;")=0,"",SUMIFS(BD!$Z$3:$Z$5001,BD!$B$3:$B$5001,G$243,BD!$A$3:$A$5001,_xlfn.MAXIFS(BD!$A$3:$A$5001,BD!$B$3:$B$5001,G$243,BD!$A$3:$A$5001,"&gt;="&amp;$C$7,BD!$A$3:$A$5001,"&lt;="&amp;$B248,BD!$Z$3:$Z$5001,"&lt;&gt;"))))</f>
        <v/>
      </c>
      <c r="H248" s="42" t="str">
        <f>IF(OR($B248="",$A248&gt;$B$9),"",IF(COUNTIFS(BD!$B$3:$B$5001,H$243,BD!$A$3:$A$5001,"&gt;="&amp;$C$7,BD!$A$3:$A$5001,"&lt;="&amp;$B248,BD!$Z$3:$Z$5001,"&lt;&gt;")=0,"",SUMIFS(BD!$Z$3:$Z$5001,BD!$B$3:$B$5001,H$243,BD!$A$3:$A$5001,_xlfn.MAXIFS(BD!$A$3:$A$5001,BD!$B$3:$B$5001,H$243,BD!$A$3:$A$5001,"&gt;="&amp;$C$7,BD!$A$3:$A$5001,"&lt;="&amp;$B248,BD!$Z$3:$Z$5001,"&lt;&gt;"))))</f>
        <v/>
      </c>
      <c r="I248" s="42" t="str">
        <f>IF(OR($B248="",$A248&gt;$B$9),"",IF(COUNTIFS(BD!$B$3:$B$5001,I$243,BD!$A$3:$A$5001,"&gt;="&amp;$C$7,BD!$A$3:$A$5001,"&lt;="&amp;$B248,BD!$Z$3:$Z$5001,"&lt;&gt;")=0,"",SUMIFS(BD!$Z$3:$Z$5001,BD!$B$3:$B$5001,I$243,BD!$A$3:$A$5001,_xlfn.MAXIFS(BD!$A$3:$A$5001,BD!$B$3:$B$5001,I$243,BD!$A$3:$A$5001,"&gt;="&amp;$C$7,BD!$A$3:$A$5001,"&lt;="&amp;$B248,BD!$Z$3:$Z$5001,"&lt;&gt;"))))</f>
        <v/>
      </c>
      <c r="J248" s="42" t="str">
        <f>IF(OR($B248="",$A248&gt;$B$9),"",IF(COUNTIFS(BD!$B$3:$B$5001,J$243,BD!$A$3:$A$5001,"&gt;="&amp;$C$7,BD!$A$3:$A$5001,"&lt;="&amp;$B248,BD!$Z$3:$Z$5001,"&lt;&gt;")=0,"",SUMIFS(BD!$Z$3:$Z$5001,BD!$B$3:$B$5001,J$243,BD!$A$3:$A$5001,_xlfn.MAXIFS(BD!$A$3:$A$5001,BD!$B$3:$B$5001,J$243,BD!$A$3:$A$5001,"&gt;="&amp;$C$7,BD!$A$3:$A$5001,"&lt;="&amp;$B248,BD!$Z$3:$Z$5001,"&lt;&gt;"))))</f>
        <v/>
      </c>
      <c r="K248" s="42" t="str">
        <f>IF(OR($B248="",$A248&gt;$B$9),"",IF(COUNTIFS(BD!$B$3:$B$5001,K$243,BD!$A$3:$A$5001,"&gt;="&amp;$C$7,BD!$A$3:$A$5001,"&lt;="&amp;$B248,BD!$Z$3:$Z$5001,"&lt;&gt;")=0,"",SUMIFS(BD!$Z$3:$Z$5001,BD!$B$3:$B$5001,K$243,BD!$A$3:$A$5001,_xlfn.MAXIFS(BD!$A$3:$A$5001,BD!$B$3:$B$5001,K$243,BD!$A$3:$A$5001,"&gt;="&amp;$C$7,BD!$A$3:$A$5001,"&lt;="&amp;$B248,BD!$Z$3:$Z$5001,"&lt;&gt;"))))</f>
        <v/>
      </c>
      <c r="L248" s="42" t="str">
        <f>IF(OR($B248="",$A248&gt;$B$9),"",IF(COUNTIFS(BD!$B$3:$B$5001,L$243,BD!$A$3:$A$5001,"&gt;="&amp;$C$7,BD!$A$3:$A$5001,"&lt;="&amp;$B248,BD!$Z$3:$Z$5001,"&lt;&gt;")=0,"",SUMIFS(BD!$Z$3:$Z$5001,BD!$B$3:$B$5001,L$243,BD!$A$3:$A$5001,_xlfn.MAXIFS(BD!$A$3:$A$5001,BD!$B$3:$B$5001,L$243,BD!$A$3:$A$5001,"&gt;="&amp;$C$7,BD!$A$3:$A$5001,"&lt;="&amp;$B248,BD!$Z$3:$Z$5001,"&lt;&gt;"))))</f>
        <v/>
      </c>
    </row>
    <row r="249">
      <c r="A249" s="40">
        <v>6</v>
      </c>
      <c r="B249" s="41">
        <f>$B$17</f>
        <v>46301</v>
      </c>
      <c r="C249" s="42" t="str">
        <f>IF(OR($B249="",$A249&gt;$B$9),"",IF(COUNTIFS(BD!$B$3:$B$5001,C$243,BD!$A$3:$A$5001,"&gt;="&amp;$C$7,BD!$A$3:$A$5001,"&lt;="&amp;$B249,BD!$Z$3:$Z$5001,"&lt;&gt;")=0,"",SUMIFS(BD!$Z$3:$Z$5001,BD!$B$3:$B$5001,C$243,BD!$A$3:$A$5001,_xlfn.MAXIFS(BD!$A$3:$A$5001,BD!$B$3:$B$5001,C$243,BD!$A$3:$A$5001,"&gt;="&amp;$C$7,BD!$A$3:$A$5001,"&lt;="&amp;$B249,BD!$Z$3:$Z$5001,"&lt;&gt;"))))</f>
        <v/>
      </c>
      <c r="D249" s="42" t="str">
        <f>IF(OR($B249="",$A249&gt;$B$9),"",IF(COUNTIFS(BD!$B$3:$B$5001,D$243,BD!$A$3:$A$5001,"&gt;="&amp;$C$7,BD!$A$3:$A$5001,"&lt;="&amp;$B249,BD!$Z$3:$Z$5001,"&lt;&gt;")=0,"",SUMIFS(BD!$Z$3:$Z$5001,BD!$B$3:$B$5001,D$243,BD!$A$3:$A$5001,_xlfn.MAXIFS(BD!$A$3:$A$5001,BD!$B$3:$B$5001,D$243,BD!$A$3:$A$5001,"&gt;="&amp;$C$7,BD!$A$3:$A$5001,"&lt;="&amp;$B249,BD!$Z$3:$Z$5001,"&lt;&gt;"))))</f>
        <v/>
      </c>
      <c r="E249" s="42" t="str">
        <f>IF(OR($B249="",$A249&gt;$B$9),"",IF(COUNTIFS(BD!$B$3:$B$5001,E$243,BD!$A$3:$A$5001,"&gt;="&amp;$C$7,BD!$A$3:$A$5001,"&lt;="&amp;$B249,BD!$Z$3:$Z$5001,"&lt;&gt;")=0,"",SUMIFS(BD!$Z$3:$Z$5001,BD!$B$3:$B$5001,E$243,BD!$A$3:$A$5001,_xlfn.MAXIFS(BD!$A$3:$A$5001,BD!$B$3:$B$5001,E$243,BD!$A$3:$A$5001,"&gt;="&amp;$C$7,BD!$A$3:$A$5001,"&lt;="&amp;$B249,BD!$Z$3:$Z$5001,"&lt;&gt;"))))</f>
        <v/>
      </c>
      <c r="F249" s="42" t="str">
        <f>IF(OR($B249="",$A249&gt;$B$9),"",IF(COUNTIFS(BD!$B$3:$B$5001,F$243,BD!$A$3:$A$5001,"&gt;="&amp;$C$7,BD!$A$3:$A$5001,"&lt;="&amp;$B249,BD!$Z$3:$Z$5001,"&lt;&gt;")=0,"",SUMIFS(BD!$Z$3:$Z$5001,BD!$B$3:$B$5001,F$243,BD!$A$3:$A$5001,_xlfn.MAXIFS(BD!$A$3:$A$5001,BD!$B$3:$B$5001,F$243,BD!$A$3:$A$5001,"&gt;="&amp;$C$7,BD!$A$3:$A$5001,"&lt;="&amp;$B249,BD!$Z$3:$Z$5001,"&lt;&gt;"))))</f>
        <v/>
      </c>
      <c r="G249" s="42" t="str">
        <f>IF(OR($B249="",$A249&gt;$B$9),"",IF(COUNTIFS(BD!$B$3:$B$5001,G$243,BD!$A$3:$A$5001,"&gt;="&amp;$C$7,BD!$A$3:$A$5001,"&lt;="&amp;$B249,BD!$Z$3:$Z$5001,"&lt;&gt;")=0,"",SUMIFS(BD!$Z$3:$Z$5001,BD!$B$3:$B$5001,G$243,BD!$A$3:$A$5001,_xlfn.MAXIFS(BD!$A$3:$A$5001,BD!$B$3:$B$5001,G$243,BD!$A$3:$A$5001,"&gt;="&amp;$C$7,BD!$A$3:$A$5001,"&lt;="&amp;$B249,BD!$Z$3:$Z$5001,"&lt;&gt;"))))</f>
        <v/>
      </c>
      <c r="H249" s="42" t="str">
        <f>IF(OR($B249="",$A249&gt;$B$9),"",IF(COUNTIFS(BD!$B$3:$B$5001,H$243,BD!$A$3:$A$5001,"&gt;="&amp;$C$7,BD!$A$3:$A$5001,"&lt;="&amp;$B249,BD!$Z$3:$Z$5001,"&lt;&gt;")=0,"",SUMIFS(BD!$Z$3:$Z$5001,BD!$B$3:$B$5001,H$243,BD!$A$3:$A$5001,_xlfn.MAXIFS(BD!$A$3:$A$5001,BD!$B$3:$B$5001,H$243,BD!$A$3:$A$5001,"&gt;="&amp;$C$7,BD!$A$3:$A$5001,"&lt;="&amp;$B249,BD!$Z$3:$Z$5001,"&lt;&gt;"))))</f>
        <v/>
      </c>
      <c r="I249" s="42" t="str">
        <f>IF(OR($B249="",$A249&gt;$B$9),"",IF(COUNTIFS(BD!$B$3:$B$5001,I$243,BD!$A$3:$A$5001,"&gt;="&amp;$C$7,BD!$A$3:$A$5001,"&lt;="&amp;$B249,BD!$Z$3:$Z$5001,"&lt;&gt;")=0,"",SUMIFS(BD!$Z$3:$Z$5001,BD!$B$3:$B$5001,I$243,BD!$A$3:$A$5001,_xlfn.MAXIFS(BD!$A$3:$A$5001,BD!$B$3:$B$5001,I$243,BD!$A$3:$A$5001,"&gt;="&amp;$C$7,BD!$A$3:$A$5001,"&lt;="&amp;$B249,BD!$Z$3:$Z$5001,"&lt;&gt;"))))</f>
        <v/>
      </c>
      <c r="J249" s="42" t="str">
        <f>IF(OR($B249="",$A249&gt;$B$9),"",IF(COUNTIFS(BD!$B$3:$B$5001,J$243,BD!$A$3:$A$5001,"&gt;="&amp;$C$7,BD!$A$3:$A$5001,"&lt;="&amp;$B249,BD!$Z$3:$Z$5001,"&lt;&gt;")=0,"",SUMIFS(BD!$Z$3:$Z$5001,BD!$B$3:$B$5001,J$243,BD!$A$3:$A$5001,_xlfn.MAXIFS(BD!$A$3:$A$5001,BD!$B$3:$B$5001,J$243,BD!$A$3:$A$5001,"&gt;="&amp;$C$7,BD!$A$3:$A$5001,"&lt;="&amp;$B249,BD!$Z$3:$Z$5001,"&lt;&gt;"))))</f>
        <v/>
      </c>
      <c r="K249" s="42" t="str">
        <f>IF(OR($B249="",$A249&gt;$B$9),"",IF(COUNTIFS(BD!$B$3:$B$5001,K$243,BD!$A$3:$A$5001,"&gt;="&amp;$C$7,BD!$A$3:$A$5001,"&lt;="&amp;$B249,BD!$Z$3:$Z$5001,"&lt;&gt;")=0,"",SUMIFS(BD!$Z$3:$Z$5001,BD!$B$3:$B$5001,K$243,BD!$A$3:$A$5001,_xlfn.MAXIFS(BD!$A$3:$A$5001,BD!$B$3:$B$5001,K$243,BD!$A$3:$A$5001,"&gt;="&amp;$C$7,BD!$A$3:$A$5001,"&lt;="&amp;$B249,BD!$Z$3:$Z$5001,"&lt;&gt;"))))</f>
        <v/>
      </c>
      <c r="L249" s="42" t="str">
        <f>IF(OR($B249="",$A249&gt;$B$9),"",IF(COUNTIFS(BD!$B$3:$B$5001,L$243,BD!$A$3:$A$5001,"&gt;="&amp;$C$7,BD!$A$3:$A$5001,"&lt;="&amp;$B249,BD!$Z$3:$Z$5001,"&lt;&gt;")=0,"",SUMIFS(BD!$Z$3:$Z$5001,BD!$B$3:$B$5001,L$243,BD!$A$3:$A$5001,_xlfn.MAXIFS(BD!$A$3:$A$5001,BD!$B$3:$B$5001,L$243,BD!$A$3:$A$5001,"&gt;="&amp;$C$7,BD!$A$3:$A$5001,"&lt;="&amp;$B249,BD!$Z$3:$Z$5001,"&lt;&gt;"))))</f>
        <v/>
      </c>
    </row>
    <row r="250">
      <c r="A250" s="40">
        <v>7</v>
      </c>
      <c r="B250" s="41">
        <f>$B$18</f>
        <v>46302</v>
      </c>
      <c r="C250" s="42" t="str">
        <f>IF(OR($B250="",$A250&gt;$B$9),"",IF(COUNTIFS(BD!$B$3:$B$5001,C$243,BD!$A$3:$A$5001,"&gt;="&amp;$C$7,BD!$A$3:$A$5001,"&lt;="&amp;$B250,BD!$Z$3:$Z$5001,"&lt;&gt;")=0,"",SUMIFS(BD!$Z$3:$Z$5001,BD!$B$3:$B$5001,C$243,BD!$A$3:$A$5001,_xlfn.MAXIFS(BD!$A$3:$A$5001,BD!$B$3:$B$5001,C$243,BD!$A$3:$A$5001,"&gt;="&amp;$C$7,BD!$A$3:$A$5001,"&lt;="&amp;$B250,BD!$Z$3:$Z$5001,"&lt;&gt;"))))</f>
        <v/>
      </c>
      <c r="D250" s="42" t="str">
        <f>IF(OR($B250="",$A250&gt;$B$9),"",IF(COUNTIFS(BD!$B$3:$B$5001,D$243,BD!$A$3:$A$5001,"&gt;="&amp;$C$7,BD!$A$3:$A$5001,"&lt;="&amp;$B250,BD!$Z$3:$Z$5001,"&lt;&gt;")=0,"",SUMIFS(BD!$Z$3:$Z$5001,BD!$B$3:$B$5001,D$243,BD!$A$3:$A$5001,_xlfn.MAXIFS(BD!$A$3:$A$5001,BD!$B$3:$B$5001,D$243,BD!$A$3:$A$5001,"&gt;="&amp;$C$7,BD!$A$3:$A$5001,"&lt;="&amp;$B250,BD!$Z$3:$Z$5001,"&lt;&gt;"))))</f>
        <v/>
      </c>
      <c r="E250" s="42" t="str">
        <f>IF(OR($B250="",$A250&gt;$B$9),"",IF(COUNTIFS(BD!$B$3:$B$5001,E$243,BD!$A$3:$A$5001,"&gt;="&amp;$C$7,BD!$A$3:$A$5001,"&lt;="&amp;$B250,BD!$Z$3:$Z$5001,"&lt;&gt;")=0,"",SUMIFS(BD!$Z$3:$Z$5001,BD!$B$3:$B$5001,E$243,BD!$A$3:$A$5001,_xlfn.MAXIFS(BD!$A$3:$A$5001,BD!$B$3:$B$5001,E$243,BD!$A$3:$A$5001,"&gt;="&amp;$C$7,BD!$A$3:$A$5001,"&lt;="&amp;$B250,BD!$Z$3:$Z$5001,"&lt;&gt;"))))</f>
        <v/>
      </c>
      <c r="F250" s="42" t="str">
        <f>IF(OR($B250="",$A250&gt;$B$9),"",IF(COUNTIFS(BD!$B$3:$B$5001,F$243,BD!$A$3:$A$5001,"&gt;="&amp;$C$7,BD!$A$3:$A$5001,"&lt;="&amp;$B250,BD!$Z$3:$Z$5001,"&lt;&gt;")=0,"",SUMIFS(BD!$Z$3:$Z$5001,BD!$B$3:$B$5001,F$243,BD!$A$3:$A$5001,_xlfn.MAXIFS(BD!$A$3:$A$5001,BD!$B$3:$B$5001,F$243,BD!$A$3:$A$5001,"&gt;="&amp;$C$7,BD!$A$3:$A$5001,"&lt;="&amp;$B250,BD!$Z$3:$Z$5001,"&lt;&gt;"))))</f>
        <v/>
      </c>
      <c r="G250" s="42" t="str">
        <f>IF(OR($B250="",$A250&gt;$B$9),"",IF(COUNTIFS(BD!$B$3:$B$5001,G$243,BD!$A$3:$A$5001,"&gt;="&amp;$C$7,BD!$A$3:$A$5001,"&lt;="&amp;$B250,BD!$Z$3:$Z$5001,"&lt;&gt;")=0,"",SUMIFS(BD!$Z$3:$Z$5001,BD!$B$3:$B$5001,G$243,BD!$A$3:$A$5001,_xlfn.MAXIFS(BD!$A$3:$A$5001,BD!$B$3:$B$5001,G$243,BD!$A$3:$A$5001,"&gt;="&amp;$C$7,BD!$A$3:$A$5001,"&lt;="&amp;$B250,BD!$Z$3:$Z$5001,"&lt;&gt;"))))</f>
        <v/>
      </c>
      <c r="H250" s="42" t="str">
        <f>IF(OR($B250="",$A250&gt;$B$9),"",IF(COUNTIFS(BD!$B$3:$B$5001,H$243,BD!$A$3:$A$5001,"&gt;="&amp;$C$7,BD!$A$3:$A$5001,"&lt;="&amp;$B250,BD!$Z$3:$Z$5001,"&lt;&gt;")=0,"",SUMIFS(BD!$Z$3:$Z$5001,BD!$B$3:$B$5001,H$243,BD!$A$3:$A$5001,_xlfn.MAXIFS(BD!$A$3:$A$5001,BD!$B$3:$B$5001,H$243,BD!$A$3:$A$5001,"&gt;="&amp;$C$7,BD!$A$3:$A$5001,"&lt;="&amp;$B250,BD!$Z$3:$Z$5001,"&lt;&gt;"))))</f>
        <v/>
      </c>
      <c r="I250" s="42" t="str">
        <f>IF(OR($B250="",$A250&gt;$B$9),"",IF(COUNTIFS(BD!$B$3:$B$5001,I$243,BD!$A$3:$A$5001,"&gt;="&amp;$C$7,BD!$A$3:$A$5001,"&lt;="&amp;$B250,BD!$Z$3:$Z$5001,"&lt;&gt;")=0,"",SUMIFS(BD!$Z$3:$Z$5001,BD!$B$3:$B$5001,I$243,BD!$A$3:$A$5001,_xlfn.MAXIFS(BD!$A$3:$A$5001,BD!$B$3:$B$5001,I$243,BD!$A$3:$A$5001,"&gt;="&amp;$C$7,BD!$A$3:$A$5001,"&lt;="&amp;$B250,BD!$Z$3:$Z$5001,"&lt;&gt;"))))</f>
        <v/>
      </c>
      <c r="J250" s="42" t="str">
        <f>IF(OR($B250="",$A250&gt;$B$9),"",IF(COUNTIFS(BD!$B$3:$B$5001,J$243,BD!$A$3:$A$5001,"&gt;="&amp;$C$7,BD!$A$3:$A$5001,"&lt;="&amp;$B250,BD!$Z$3:$Z$5001,"&lt;&gt;")=0,"",SUMIFS(BD!$Z$3:$Z$5001,BD!$B$3:$B$5001,J$243,BD!$A$3:$A$5001,_xlfn.MAXIFS(BD!$A$3:$A$5001,BD!$B$3:$B$5001,J$243,BD!$A$3:$A$5001,"&gt;="&amp;$C$7,BD!$A$3:$A$5001,"&lt;="&amp;$B250,BD!$Z$3:$Z$5001,"&lt;&gt;"))))</f>
        <v/>
      </c>
      <c r="K250" s="42" t="str">
        <f>IF(OR($B250="",$A250&gt;$B$9),"",IF(COUNTIFS(BD!$B$3:$B$5001,K$243,BD!$A$3:$A$5001,"&gt;="&amp;$C$7,BD!$A$3:$A$5001,"&lt;="&amp;$B250,BD!$Z$3:$Z$5001,"&lt;&gt;")=0,"",SUMIFS(BD!$Z$3:$Z$5001,BD!$B$3:$B$5001,K$243,BD!$A$3:$A$5001,_xlfn.MAXIFS(BD!$A$3:$A$5001,BD!$B$3:$B$5001,K$243,BD!$A$3:$A$5001,"&gt;="&amp;$C$7,BD!$A$3:$A$5001,"&lt;="&amp;$B250,BD!$Z$3:$Z$5001,"&lt;&gt;"))))</f>
        <v/>
      </c>
      <c r="L250" s="42" t="str">
        <f>IF(OR($B250="",$A250&gt;$B$9),"",IF(COUNTIFS(BD!$B$3:$B$5001,L$243,BD!$A$3:$A$5001,"&gt;="&amp;$C$7,BD!$A$3:$A$5001,"&lt;="&amp;$B250,BD!$Z$3:$Z$5001,"&lt;&gt;")=0,"",SUMIFS(BD!$Z$3:$Z$5001,BD!$B$3:$B$5001,L$243,BD!$A$3:$A$5001,_xlfn.MAXIFS(BD!$A$3:$A$5001,BD!$B$3:$B$5001,L$243,BD!$A$3:$A$5001,"&gt;="&amp;$C$7,BD!$A$3:$A$5001,"&lt;="&amp;$B250,BD!$Z$3:$Z$5001,"&lt;&gt;"))))</f>
        <v/>
      </c>
    </row>
    <row r="251">
      <c r="A251" s="40">
        <v>8</v>
      </c>
      <c r="B251" s="41">
        <f>$B$19</f>
        <v>46303</v>
      </c>
      <c r="C251" s="42" t="str">
        <f>IF(OR($B251="",$A251&gt;$B$9),"",IF(COUNTIFS(BD!$B$3:$B$5001,C$243,BD!$A$3:$A$5001,"&gt;="&amp;$C$7,BD!$A$3:$A$5001,"&lt;="&amp;$B251,BD!$Z$3:$Z$5001,"&lt;&gt;")=0,"",SUMIFS(BD!$Z$3:$Z$5001,BD!$B$3:$B$5001,C$243,BD!$A$3:$A$5001,_xlfn.MAXIFS(BD!$A$3:$A$5001,BD!$B$3:$B$5001,C$243,BD!$A$3:$A$5001,"&gt;="&amp;$C$7,BD!$A$3:$A$5001,"&lt;="&amp;$B251,BD!$Z$3:$Z$5001,"&lt;&gt;"))))</f>
        <v/>
      </c>
      <c r="D251" s="42" t="str">
        <f>IF(OR($B251="",$A251&gt;$B$9),"",IF(COUNTIFS(BD!$B$3:$B$5001,D$243,BD!$A$3:$A$5001,"&gt;="&amp;$C$7,BD!$A$3:$A$5001,"&lt;="&amp;$B251,BD!$Z$3:$Z$5001,"&lt;&gt;")=0,"",SUMIFS(BD!$Z$3:$Z$5001,BD!$B$3:$B$5001,D$243,BD!$A$3:$A$5001,_xlfn.MAXIFS(BD!$A$3:$A$5001,BD!$B$3:$B$5001,D$243,BD!$A$3:$A$5001,"&gt;="&amp;$C$7,BD!$A$3:$A$5001,"&lt;="&amp;$B251,BD!$Z$3:$Z$5001,"&lt;&gt;"))))</f>
        <v/>
      </c>
      <c r="E251" s="42" t="str">
        <f>IF(OR($B251="",$A251&gt;$B$9),"",IF(COUNTIFS(BD!$B$3:$B$5001,E$243,BD!$A$3:$A$5001,"&gt;="&amp;$C$7,BD!$A$3:$A$5001,"&lt;="&amp;$B251,BD!$Z$3:$Z$5001,"&lt;&gt;")=0,"",SUMIFS(BD!$Z$3:$Z$5001,BD!$B$3:$B$5001,E$243,BD!$A$3:$A$5001,_xlfn.MAXIFS(BD!$A$3:$A$5001,BD!$B$3:$B$5001,E$243,BD!$A$3:$A$5001,"&gt;="&amp;$C$7,BD!$A$3:$A$5001,"&lt;="&amp;$B251,BD!$Z$3:$Z$5001,"&lt;&gt;"))))</f>
        <v/>
      </c>
      <c r="F251" s="42" t="str">
        <f>IF(OR($B251="",$A251&gt;$B$9),"",IF(COUNTIFS(BD!$B$3:$B$5001,F$243,BD!$A$3:$A$5001,"&gt;="&amp;$C$7,BD!$A$3:$A$5001,"&lt;="&amp;$B251,BD!$Z$3:$Z$5001,"&lt;&gt;")=0,"",SUMIFS(BD!$Z$3:$Z$5001,BD!$B$3:$B$5001,F$243,BD!$A$3:$A$5001,_xlfn.MAXIFS(BD!$A$3:$A$5001,BD!$B$3:$B$5001,F$243,BD!$A$3:$A$5001,"&gt;="&amp;$C$7,BD!$A$3:$A$5001,"&lt;="&amp;$B251,BD!$Z$3:$Z$5001,"&lt;&gt;"))))</f>
        <v/>
      </c>
      <c r="G251" s="42" t="str">
        <f>IF(OR($B251="",$A251&gt;$B$9),"",IF(COUNTIFS(BD!$B$3:$B$5001,G$243,BD!$A$3:$A$5001,"&gt;="&amp;$C$7,BD!$A$3:$A$5001,"&lt;="&amp;$B251,BD!$Z$3:$Z$5001,"&lt;&gt;")=0,"",SUMIFS(BD!$Z$3:$Z$5001,BD!$B$3:$B$5001,G$243,BD!$A$3:$A$5001,_xlfn.MAXIFS(BD!$A$3:$A$5001,BD!$B$3:$B$5001,G$243,BD!$A$3:$A$5001,"&gt;="&amp;$C$7,BD!$A$3:$A$5001,"&lt;="&amp;$B251,BD!$Z$3:$Z$5001,"&lt;&gt;"))))</f>
        <v/>
      </c>
      <c r="H251" s="42" t="str">
        <f>IF(OR($B251="",$A251&gt;$B$9),"",IF(COUNTIFS(BD!$B$3:$B$5001,H$243,BD!$A$3:$A$5001,"&gt;="&amp;$C$7,BD!$A$3:$A$5001,"&lt;="&amp;$B251,BD!$Z$3:$Z$5001,"&lt;&gt;")=0,"",SUMIFS(BD!$Z$3:$Z$5001,BD!$B$3:$B$5001,H$243,BD!$A$3:$A$5001,_xlfn.MAXIFS(BD!$A$3:$A$5001,BD!$B$3:$B$5001,H$243,BD!$A$3:$A$5001,"&gt;="&amp;$C$7,BD!$A$3:$A$5001,"&lt;="&amp;$B251,BD!$Z$3:$Z$5001,"&lt;&gt;"))))</f>
        <v/>
      </c>
      <c r="I251" s="42" t="str">
        <f>IF(OR($B251="",$A251&gt;$B$9),"",IF(COUNTIFS(BD!$B$3:$B$5001,I$243,BD!$A$3:$A$5001,"&gt;="&amp;$C$7,BD!$A$3:$A$5001,"&lt;="&amp;$B251,BD!$Z$3:$Z$5001,"&lt;&gt;")=0,"",SUMIFS(BD!$Z$3:$Z$5001,BD!$B$3:$B$5001,I$243,BD!$A$3:$A$5001,_xlfn.MAXIFS(BD!$A$3:$A$5001,BD!$B$3:$B$5001,I$243,BD!$A$3:$A$5001,"&gt;="&amp;$C$7,BD!$A$3:$A$5001,"&lt;="&amp;$B251,BD!$Z$3:$Z$5001,"&lt;&gt;"))))</f>
        <v/>
      </c>
      <c r="J251" s="42" t="str">
        <f>IF(OR($B251="",$A251&gt;$B$9),"",IF(COUNTIFS(BD!$B$3:$B$5001,J$243,BD!$A$3:$A$5001,"&gt;="&amp;$C$7,BD!$A$3:$A$5001,"&lt;="&amp;$B251,BD!$Z$3:$Z$5001,"&lt;&gt;")=0,"",SUMIFS(BD!$Z$3:$Z$5001,BD!$B$3:$B$5001,J$243,BD!$A$3:$A$5001,_xlfn.MAXIFS(BD!$A$3:$A$5001,BD!$B$3:$B$5001,J$243,BD!$A$3:$A$5001,"&gt;="&amp;$C$7,BD!$A$3:$A$5001,"&lt;="&amp;$B251,BD!$Z$3:$Z$5001,"&lt;&gt;"))))</f>
        <v/>
      </c>
      <c r="K251" s="42" t="str">
        <f>IF(OR($B251="",$A251&gt;$B$9),"",IF(COUNTIFS(BD!$B$3:$B$5001,K$243,BD!$A$3:$A$5001,"&gt;="&amp;$C$7,BD!$A$3:$A$5001,"&lt;="&amp;$B251,BD!$Z$3:$Z$5001,"&lt;&gt;")=0,"",SUMIFS(BD!$Z$3:$Z$5001,BD!$B$3:$B$5001,K$243,BD!$A$3:$A$5001,_xlfn.MAXIFS(BD!$A$3:$A$5001,BD!$B$3:$B$5001,K$243,BD!$A$3:$A$5001,"&gt;="&amp;$C$7,BD!$A$3:$A$5001,"&lt;="&amp;$B251,BD!$Z$3:$Z$5001,"&lt;&gt;"))))</f>
        <v/>
      </c>
      <c r="L251" s="42" t="str">
        <f>IF(OR($B251="",$A251&gt;$B$9),"",IF(COUNTIFS(BD!$B$3:$B$5001,L$243,BD!$A$3:$A$5001,"&gt;="&amp;$C$7,BD!$A$3:$A$5001,"&lt;="&amp;$B251,BD!$Z$3:$Z$5001,"&lt;&gt;")=0,"",SUMIFS(BD!$Z$3:$Z$5001,BD!$B$3:$B$5001,L$243,BD!$A$3:$A$5001,_xlfn.MAXIFS(BD!$A$3:$A$5001,BD!$B$3:$B$5001,L$243,BD!$A$3:$A$5001,"&gt;="&amp;$C$7,BD!$A$3:$A$5001,"&lt;="&amp;$B251,BD!$Z$3:$Z$5001,"&lt;&gt;"))))</f>
        <v/>
      </c>
    </row>
    <row r="252">
      <c r="A252" s="40">
        <v>9</v>
      </c>
      <c r="B252" s="41">
        <f>$B$20</f>
        <v>46304</v>
      </c>
      <c r="C252" s="42" t="str">
        <f>IF(OR($B252="",$A252&gt;$B$9),"",IF(COUNTIFS(BD!$B$3:$B$5001,C$243,BD!$A$3:$A$5001,"&gt;="&amp;$C$7,BD!$A$3:$A$5001,"&lt;="&amp;$B252,BD!$Z$3:$Z$5001,"&lt;&gt;")=0,"",SUMIFS(BD!$Z$3:$Z$5001,BD!$B$3:$B$5001,C$243,BD!$A$3:$A$5001,_xlfn.MAXIFS(BD!$A$3:$A$5001,BD!$B$3:$B$5001,C$243,BD!$A$3:$A$5001,"&gt;="&amp;$C$7,BD!$A$3:$A$5001,"&lt;="&amp;$B252,BD!$Z$3:$Z$5001,"&lt;&gt;"))))</f>
        <v/>
      </c>
      <c r="D252" s="42" t="str">
        <f>IF(OR($B252="",$A252&gt;$B$9),"",IF(COUNTIFS(BD!$B$3:$B$5001,D$243,BD!$A$3:$A$5001,"&gt;="&amp;$C$7,BD!$A$3:$A$5001,"&lt;="&amp;$B252,BD!$Z$3:$Z$5001,"&lt;&gt;")=0,"",SUMIFS(BD!$Z$3:$Z$5001,BD!$B$3:$B$5001,D$243,BD!$A$3:$A$5001,_xlfn.MAXIFS(BD!$A$3:$A$5001,BD!$B$3:$B$5001,D$243,BD!$A$3:$A$5001,"&gt;="&amp;$C$7,BD!$A$3:$A$5001,"&lt;="&amp;$B252,BD!$Z$3:$Z$5001,"&lt;&gt;"))))</f>
        <v/>
      </c>
      <c r="E252" s="42" t="str">
        <f>IF(OR($B252="",$A252&gt;$B$9),"",IF(COUNTIFS(BD!$B$3:$B$5001,E$243,BD!$A$3:$A$5001,"&gt;="&amp;$C$7,BD!$A$3:$A$5001,"&lt;="&amp;$B252,BD!$Z$3:$Z$5001,"&lt;&gt;")=0,"",SUMIFS(BD!$Z$3:$Z$5001,BD!$B$3:$B$5001,E$243,BD!$A$3:$A$5001,_xlfn.MAXIFS(BD!$A$3:$A$5001,BD!$B$3:$B$5001,E$243,BD!$A$3:$A$5001,"&gt;="&amp;$C$7,BD!$A$3:$A$5001,"&lt;="&amp;$B252,BD!$Z$3:$Z$5001,"&lt;&gt;"))))</f>
        <v/>
      </c>
      <c r="F252" s="42" t="str">
        <f>IF(OR($B252="",$A252&gt;$B$9),"",IF(COUNTIFS(BD!$B$3:$B$5001,F$243,BD!$A$3:$A$5001,"&gt;="&amp;$C$7,BD!$A$3:$A$5001,"&lt;="&amp;$B252,BD!$Z$3:$Z$5001,"&lt;&gt;")=0,"",SUMIFS(BD!$Z$3:$Z$5001,BD!$B$3:$B$5001,F$243,BD!$A$3:$A$5001,_xlfn.MAXIFS(BD!$A$3:$A$5001,BD!$B$3:$B$5001,F$243,BD!$A$3:$A$5001,"&gt;="&amp;$C$7,BD!$A$3:$A$5001,"&lt;="&amp;$B252,BD!$Z$3:$Z$5001,"&lt;&gt;"))))</f>
        <v/>
      </c>
      <c r="G252" s="42" t="str">
        <f>IF(OR($B252="",$A252&gt;$B$9),"",IF(COUNTIFS(BD!$B$3:$B$5001,G$243,BD!$A$3:$A$5001,"&gt;="&amp;$C$7,BD!$A$3:$A$5001,"&lt;="&amp;$B252,BD!$Z$3:$Z$5001,"&lt;&gt;")=0,"",SUMIFS(BD!$Z$3:$Z$5001,BD!$B$3:$B$5001,G$243,BD!$A$3:$A$5001,_xlfn.MAXIFS(BD!$A$3:$A$5001,BD!$B$3:$B$5001,G$243,BD!$A$3:$A$5001,"&gt;="&amp;$C$7,BD!$A$3:$A$5001,"&lt;="&amp;$B252,BD!$Z$3:$Z$5001,"&lt;&gt;"))))</f>
        <v/>
      </c>
      <c r="H252" s="42" t="str">
        <f>IF(OR($B252="",$A252&gt;$B$9),"",IF(COUNTIFS(BD!$B$3:$B$5001,H$243,BD!$A$3:$A$5001,"&gt;="&amp;$C$7,BD!$A$3:$A$5001,"&lt;="&amp;$B252,BD!$Z$3:$Z$5001,"&lt;&gt;")=0,"",SUMIFS(BD!$Z$3:$Z$5001,BD!$B$3:$B$5001,H$243,BD!$A$3:$A$5001,_xlfn.MAXIFS(BD!$A$3:$A$5001,BD!$B$3:$B$5001,H$243,BD!$A$3:$A$5001,"&gt;="&amp;$C$7,BD!$A$3:$A$5001,"&lt;="&amp;$B252,BD!$Z$3:$Z$5001,"&lt;&gt;"))))</f>
        <v/>
      </c>
      <c r="I252" s="42" t="str">
        <f>IF(OR($B252="",$A252&gt;$B$9),"",IF(COUNTIFS(BD!$B$3:$B$5001,I$243,BD!$A$3:$A$5001,"&gt;="&amp;$C$7,BD!$A$3:$A$5001,"&lt;="&amp;$B252,BD!$Z$3:$Z$5001,"&lt;&gt;")=0,"",SUMIFS(BD!$Z$3:$Z$5001,BD!$B$3:$B$5001,I$243,BD!$A$3:$A$5001,_xlfn.MAXIFS(BD!$A$3:$A$5001,BD!$B$3:$B$5001,I$243,BD!$A$3:$A$5001,"&gt;="&amp;$C$7,BD!$A$3:$A$5001,"&lt;="&amp;$B252,BD!$Z$3:$Z$5001,"&lt;&gt;"))))</f>
        <v/>
      </c>
      <c r="J252" s="42" t="str">
        <f>IF(OR($B252="",$A252&gt;$B$9),"",IF(COUNTIFS(BD!$B$3:$B$5001,J$243,BD!$A$3:$A$5001,"&gt;="&amp;$C$7,BD!$A$3:$A$5001,"&lt;="&amp;$B252,BD!$Z$3:$Z$5001,"&lt;&gt;")=0,"",SUMIFS(BD!$Z$3:$Z$5001,BD!$B$3:$B$5001,J$243,BD!$A$3:$A$5001,_xlfn.MAXIFS(BD!$A$3:$A$5001,BD!$B$3:$B$5001,J$243,BD!$A$3:$A$5001,"&gt;="&amp;$C$7,BD!$A$3:$A$5001,"&lt;="&amp;$B252,BD!$Z$3:$Z$5001,"&lt;&gt;"))))</f>
        <v/>
      </c>
      <c r="K252" s="42" t="str">
        <f>IF(OR($B252="",$A252&gt;$B$9),"",IF(COUNTIFS(BD!$B$3:$B$5001,K$243,BD!$A$3:$A$5001,"&gt;="&amp;$C$7,BD!$A$3:$A$5001,"&lt;="&amp;$B252,BD!$Z$3:$Z$5001,"&lt;&gt;")=0,"",SUMIFS(BD!$Z$3:$Z$5001,BD!$B$3:$B$5001,K$243,BD!$A$3:$A$5001,_xlfn.MAXIFS(BD!$A$3:$A$5001,BD!$B$3:$B$5001,K$243,BD!$A$3:$A$5001,"&gt;="&amp;$C$7,BD!$A$3:$A$5001,"&lt;="&amp;$B252,BD!$Z$3:$Z$5001,"&lt;&gt;"))))</f>
        <v/>
      </c>
      <c r="L252" s="42" t="str">
        <f>IF(OR($B252="",$A252&gt;$B$9),"",IF(COUNTIFS(BD!$B$3:$B$5001,L$243,BD!$A$3:$A$5001,"&gt;="&amp;$C$7,BD!$A$3:$A$5001,"&lt;="&amp;$B252,BD!$Z$3:$Z$5001,"&lt;&gt;")=0,"",SUMIFS(BD!$Z$3:$Z$5001,BD!$B$3:$B$5001,L$243,BD!$A$3:$A$5001,_xlfn.MAXIFS(BD!$A$3:$A$5001,BD!$B$3:$B$5001,L$243,BD!$A$3:$A$5001,"&gt;="&amp;$C$7,BD!$A$3:$A$5001,"&lt;="&amp;$B252,BD!$Z$3:$Z$5001,"&lt;&gt;"))))</f>
        <v/>
      </c>
    </row>
    <row r="253">
      <c r="A253" s="40">
        <v>10</v>
      </c>
      <c r="B253" s="41">
        <f>$B$21</f>
        <v>46305</v>
      </c>
      <c r="C253" s="42" t="str">
        <f>IF(OR($B253="",$A253&gt;$B$9),"",IF(COUNTIFS(BD!$B$3:$B$5001,C$243,BD!$A$3:$A$5001,"&gt;="&amp;$C$7,BD!$A$3:$A$5001,"&lt;="&amp;$B253,BD!$Z$3:$Z$5001,"&lt;&gt;")=0,"",SUMIFS(BD!$Z$3:$Z$5001,BD!$B$3:$B$5001,C$243,BD!$A$3:$A$5001,_xlfn.MAXIFS(BD!$A$3:$A$5001,BD!$B$3:$B$5001,C$243,BD!$A$3:$A$5001,"&gt;="&amp;$C$7,BD!$A$3:$A$5001,"&lt;="&amp;$B253,BD!$Z$3:$Z$5001,"&lt;&gt;"))))</f>
        <v/>
      </c>
      <c r="D253" s="42" t="str">
        <f>IF(OR($B253="",$A253&gt;$B$9),"",IF(COUNTIFS(BD!$B$3:$B$5001,D$243,BD!$A$3:$A$5001,"&gt;="&amp;$C$7,BD!$A$3:$A$5001,"&lt;="&amp;$B253,BD!$Z$3:$Z$5001,"&lt;&gt;")=0,"",SUMIFS(BD!$Z$3:$Z$5001,BD!$B$3:$B$5001,D$243,BD!$A$3:$A$5001,_xlfn.MAXIFS(BD!$A$3:$A$5001,BD!$B$3:$B$5001,D$243,BD!$A$3:$A$5001,"&gt;="&amp;$C$7,BD!$A$3:$A$5001,"&lt;="&amp;$B253,BD!$Z$3:$Z$5001,"&lt;&gt;"))))</f>
        <v/>
      </c>
      <c r="E253" s="42" t="str">
        <f>IF(OR($B253="",$A253&gt;$B$9),"",IF(COUNTIFS(BD!$B$3:$B$5001,E$243,BD!$A$3:$A$5001,"&gt;="&amp;$C$7,BD!$A$3:$A$5001,"&lt;="&amp;$B253,BD!$Z$3:$Z$5001,"&lt;&gt;")=0,"",SUMIFS(BD!$Z$3:$Z$5001,BD!$B$3:$B$5001,E$243,BD!$A$3:$A$5001,_xlfn.MAXIFS(BD!$A$3:$A$5001,BD!$B$3:$B$5001,E$243,BD!$A$3:$A$5001,"&gt;="&amp;$C$7,BD!$A$3:$A$5001,"&lt;="&amp;$B253,BD!$Z$3:$Z$5001,"&lt;&gt;"))))</f>
        <v/>
      </c>
      <c r="F253" s="42" t="str">
        <f>IF(OR($B253="",$A253&gt;$B$9),"",IF(COUNTIFS(BD!$B$3:$B$5001,F$243,BD!$A$3:$A$5001,"&gt;="&amp;$C$7,BD!$A$3:$A$5001,"&lt;="&amp;$B253,BD!$Z$3:$Z$5001,"&lt;&gt;")=0,"",SUMIFS(BD!$Z$3:$Z$5001,BD!$B$3:$B$5001,F$243,BD!$A$3:$A$5001,_xlfn.MAXIFS(BD!$A$3:$A$5001,BD!$B$3:$B$5001,F$243,BD!$A$3:$A$5001,"&gt;="&amp;$C$7,BD!$A$3:$A$5001,"&lt;="&amp;$B253,BD!$Z$3:$Z$5001,"&lt;&gt;"))))</f>
        <v/>
      </c>
      <c r="G253" s="42" t="str">
        <f>IF(OR($B253="",$A253&gt;$B$9),"",IF(COUNTIFS(BD!$B$3:$B$5001,G$243,BD!$A$3:$A$5001,"&gt;="&amp;$C$7,BD!$A$3:$A$5001,"&lt;="&amp;$B253,BD!$Z$3:$Z$5001,"&lt;&gt;")=0,"",SUMIFS(BD!$Z$3:$Z$5001,BD!$B$3:$B$5001,G$243,BD!$A$3:$A$5001,_xlfn.MAXIFS(BD!$A$3:$A$5001,BD!$B$3:$B$5001,G$243,BD!$A$3:$A$5001,"&gt;="&amp;$C$7,BD!$A$3:$A$5001,"&lt;="&amp;$B253,BD!$Z$3:$Z$5001,"&lt;&gt;"))))</f>
        <v/>
      </c>
      <c r="H253" s="42" t="str">
        <f>IF(OR($B253="",$A253&gt;$B$9),"",IF(COUNTIFS(BD!$B$3:$B$5001,H$243,BD!$A$3:$A$5001,"&gt;="&amp;$C$7,BD!$A$3:$A$5001,"&lt;="&amp;$B253,BD!$Z$3:$Z$5001,"&lt;&gt;")=0,"",SUMIFS(BD!$Z$3:$Z$5001,BD!$B$3:$B$5001,H$243,BD!$A$3:$A$5001,_xlfn.MAXIFS(BD!$A$3:$A$5001,BD!$B$3:$B$5001,H$243,BD!$A$3:$A$5001,"&gt;="&amp;$C$7,BD!$A$3:$A$5001,"&lt;="&amp;$B253,BD!$Z$3:$Z$5001,"&lt;&gt;"))))</f>
        <v/>
      </c>
      <c r="I253" s="42" t="str">
        <f>IF(OR($B253="",$A253&gt;$B$9),"",IF(COUNTIFS(BD!$B$3:$B$5001,I$243,BD!$A$3:$A$5001,"&gt;="&amp;$C$7,BD!$A$3:$A$5001,"&lt;="&amp;$B253,BD!$Z$3:$Z$5001,"&lt;&gt;")=0,"",SUMIFS(BD!$Z$3:$Z$5001,BD!$B$3:$B$5001,I$243,BD!$A$3:$A$5001,_xlfn.MAXIFS(BD!$A$3:$A$5001,BD!$B$3:$B$5001,I$243,BD!$A$3:$A$5001,"&gt;="&amp;$C$7,BD!$A$3:$A$5001,"&lt;="&amp;$B253,BD!$Z$3:$Z$5001,"&lt;&gt;"))))</f>
        <v/>
      </c>
      <c r="J253" s="42" t="str">
        <f>IF(OR($B253="",$A253&gt;$B$9),"",IF(COUNTIFS(BD!$B$3:$B$5001,J$243,BD!$A$3:$A$5001,"&gt;="&amp;$C$7,BD!$A$3:$A$5001,"&lt;="&amp;$B253,BD!$Z$3:$Z$5001,"&lt;&gt;")=0,"",SUMIFS(BD!$Z$3:$Z$5001,BD!$B$3:$B$5001,J$243,BD!$A$3:$A$5001,_xlfn.MAXIFS(BD!$A$3:$A$5001,BD!$B$3:$B$5001,J$243,BD!$A$3:$A$5001,"&gt;="&amp;$C$7,BD!$A$3:$A$5001,"&lt;="&amp;$B253,BD!$Z$3:$Z$5001,"&lt;&gt;"))))</f>
        <v/>
      </c>
      <c r="K253" s="42" t="str">
        <f>IF(OR($B253="",$A253&gt;$B$9),"",IF(COUNTIFS(BD!$B$3:$B$5001,K$243,BD!$A$3:$A$5001,"&gt;="&amp;$C$7,BD!$A$3:$A$5001,"&lt;="&amp;$B253,BD!$Z$3:$Z$5001,"&lt;&gt;")=0,"",SUMIFS(BD!$Z$3:$Z$5001,BD!$B$3:$B$5001,K$243,BD!$A$3:$A$5001,_xlfn.MAXIFS(BD!$A$3:$A$5001,BD!$B$3:$B$5001,K$243,BD!$A$3:$A$5001,"&gt;="&amp;$C$7,BD!$A$3:$A$5001,"&lt;="&amp;$B253,BD!$Z$3:$Z$5001,"&lt;&gt;"))))</f>
        <v/>
      </c>
      <c r="L253" s="42" t="str">
        <f>IF(OR($B253="",$A253&gt;$B$9),"",IF(COUNTIFS(BD!$B$3:$B$5001,L$243,BD!$A$3:$A$5001,"&gt;="&amp;$C$7,BD!$A$3:$A$5001,"&lt;="&amp;$B253,BD!$Z$3:$Z$5001,"&lt;&gt;")=0,"",SUMIFS(BD!$Z$3:$Z$5001,BD!$B$3:$B$5001,L$243,BD!$A$3:$A$5001,_xlfn.MAXIFS(BD!$A$3:$A$5001,BD!$B$3:$B$5001,L$243,BD!$A$3:$A$5001,"&gt;="&amp;$C$7,BD!$A$3:$A$5001,"&lt;="&amp;$B253,BD!$Z$3:$Z$5001,"&lt;&gt;"))))</f>
        <v/>
      </c>
    </row>
    <row r="254">
      <c r="A254" s="40">
        <v>11</v>
      </c>
      <c r="B254" s="41">
        <f>$B$22</f>
        <v>46306</v>
      </c>
      <c r="C254" s="42" t="str">
        <f>IF(OR($B254="",$A254&gt;$B$9),"",IF(COUNTIFS(BD!$B$3:$B$5001,C$243,BD!$A$3:$A$5001,"&gt;="&amp;$C$7,BD!$A$3:$A$5001,"&lt;="&amp;$B254,BD!$Z$3:$Z$5001,"&lt;&gt;")=0,"",SUMIFS(BD!$Z$3:$Z$5001,BD!$B$3:$B$5001,C$243,BD!$A$3:$A$5001,_xlfn.MAXIFS(BD!$A$3:$A$5001,BD!$B$3:$B$5001,C$243,BD!$A$3:$A$5001,"&gt;="&amp;$C$7,BD!$A$3:$A$5001,"&lt;="&amp;$B254,BD!$Z$3:$Z$5001,"&lt;&gt;"))))</f>
        <v/>
      </c>
      <c r="D254" s="42" t="str">
        <f>IF(OR($B254="",$A254&gt;$B$9),"",IF(COUNTIFS(BD!$B$3:$B$5001,D$243,BD!$A$3:$A$5001,"&gt;="&amp;$C$7,BD!$A$3:$A$5001,"&lt;="&amp;$B254,BD!$Z$3:$Z$5001,"&lt;&gt;")=0,"",SUMIFS(BD!$Z$3:$Z$5001,BD!$B$3:$B$5001,D$243,BD!$A$3:$A$5001,_xlfn.MAXIFS(BD!$A$3:$A$5001,BD!$B$3:$B$5001,D$243,BD!$A$3:$A$5001,"&gt;="&amp;$C$7,BD!$A$3:$A$5001,"&lt;="&amp;$B254,BD!$Z$3:$Z$5001,"&lt;&gt;"))))</f>
        <v/>
      </c>
      <c r="E254" s="42" t="str">
        <f>IF(OR($B254="",$A254&gt;$B$9),"",IF(COUNTIFS(BD!$B$3:$B$5001,E$243,BD!$A$3:$A$5001,"&gt;="&amp;$C$7,BD!$A$3:$A$5001,"&lt;="&amp;$B254,BD!$Z$3:$Z$5001,"&lt;&gt;")=0,"",SUMIFS(BD!$Z$3:$Z$5001,BD!$B$3:$B$5001,E$243,BD!$A$3:$A$5001,_xlfn.MAXIFS(BD!$A$3:$A$5001,BD!$B$3:$B$5001,E$243,BD!$A$3:$A$5001,"&gt;="&amp;$C$7,BD!$A$3:$A$5001,"&lt;="&amp;$B254,BD!$Z$3:$Z$5001,"&lt;&gt;"))))</f>
        <v/>
      </c>
      <c r="F254" s="42" t="str">
        <f>IF(OR($B254="",$A254&gt;$B$9),"",IF(COUNTIFS(BD!$B$3:$B$5001,F$243,BD!$A$3:$A$5001,"&gt;="&amp;$C$7,BD!$A$3:$A$5001,"&lt;="&amp;$B254,BD!$Z$3:$Z$5001,"&lt;&gt;")=0,"",SUMIFS(BD!$Z$3:$Z$5001,BD!$B$3:$B$5001,F$243,BD!$A$3:$A$5001,_xlfn.MAXIFS(BD!$A$3:$A$5001,BD!$B$3:$B$5001,F$243,BD!$A$3:$A$5001,"&gt;="&amp;$C$7,BD!$A$3:$A$5001,"&lt;="&amp;$B254,BD!$Z$3:$Z$5001,"&lt;&gt;"))))</f>
        <v/>
      </c>
      <c r="G254" s="42" t="str">
        <f>IF(OR($B254="",$A254&gt;$B$9),"",IF(COUNTIFS(BD!$B$3:$B$5001,G$243,BD!$A$3:$A$5001,"&gt;="&amp;$C$7,BD!$A$3:$A$5001,"&lt;="&amp;$B254,BD!$Z$3:$Z$5001,"&lt;&gt;")=0,"",SUMIFS(BD!$Z$3:$Z$5001,BD!$B$3:$B$5001,G$243,BD!$A$3:$A$5001,_xlfn.MAXIFS(BD!$A$3:$A$5001,BD!$B$3:$B$5001,G$243,BD!$A$3:$A$5001,"&gt;="&amp;$C$7,BD!$A$3:$A$5001,"&lt;="&amp;$B254,BD!$Z$3:$Z$5001,"&lt;&gt;"))))</f>
        <v/>
      </c>
      <c r="H254" s="42" t="str">
        <f>IF(OR($B254="",$A254&gt;$B$9),"",IF(COUNTIFS(BD!$B$3:$B$5001,H$243,BD!$A$3:$A$5001,"&gt;="&amp;$C$7,BD!$A$3:$A$5001,"&lt;="&amp;$B254,BD!$Z$3:$Z$5001,"&lt;&gt;")=0,"",SUMIFS(BD!$Z$3:$Z$5001,BD!$B$3:$B$5001,H$243,BD!$A$3:$A$5001,_xlfn.MAXIFS(BD!$A$3:$A$5001,BD!$B$3:$B$5001,H$243,BD!$A$3:$A$5001,"&gt;="&amp;$C$7,BD!$A$3:$A$5001,"&lt;="&amp;$B254,BD!$Z$3:$Z$5001,"&lt;&gt;"))))</f>
        <v/>
      </c>
      <c r="I254" s="42" t="str">
        <f>IF(OR($B254="",$A254&gt;$B$9),"",IF(COUNTIFS(BD!$B$3:$B$5001,I$243,BD!$A$3:$A$5001,"&gt;="&amp;$C$7,BD!$A$3:$A$5001,"&lt;="&amp;$B254,BD!$Z$3:$Z$5001,"&lt;&gt;")=0,"",SUMIFS(BD!$Z$3:$Z$5001,BD!$B$3:$B$5001,I$243,BD!$A$3:$A$5001,_xlfn.MAXIFS(BD!$A$3:$A$5001,BD!$B$3:$B$5001,I$243,BD!$A$3:$A$5001,"&gt;="&amp;$C$7,BD!$A$3:$A$5001,"&lt;="&amp;$B254,BD!$Z$3:$Z$5001,"&lt;&gt;"))))</f>
        <v/>
      </c>
      <c r="J254" s="42" t="str">
        <f>IF(OR($B254="",$A254&gt;$B$9),"",IF(COUNTIFS(BD!$B$3:$B$5001,J$243,BD!$A$3:$A$5001,"&gt;="&amp;$C$7,BD!$A$3:$A$5001,"&lt;="&amp;$B254,BD!$Z$3:$Z$5001,"&lt;&gt;")=0,"",SUMIFS(BD!$Z$3:$Z$5001,BD!$B$3:$B$5001,J$243,BD!$A$3:$A$5001,_xlfn.MAXIFS(BD!$A$3:$A$5001,BD!$B$3:$B$5001,J$243,BD!$A$3:$A$5001,"&gt;="&amp;$C$7,BD!$A$3:$A$5001,"&lt;="&amp;$B254,BD!$Z$3:$Z$5001,"&lt;&gt;"))))</f>
        <v/>
      </c>
      <c r="K254" s="42" t="str">
        <f>IF(OR($B254="",$A254&gt;$B$9),"",IF(COUNTIFS(BD!$B$3:$B$5001,K$243,BD!$A$3:$A$5001,"&gt;="&amp;$C$7,BD!$A$3:$A$5001,"&lt;="&amp;$B254,BD!$Z$3:$Z$5001,"&lt;&gt;")=0,"",SUMIFS(BD!$Z$3:$Z$5001,BD!$B$3:$B$5001,K$243,BD!$A$3:$A$5001,_xlfn.MAXIFS(BD!$A$3:$A$5001,BD!$B$3:$B$5001,K$243,BD!$A$3:$A$5001,"&gt;="&amp;$C$7,BD!$A$3:$A$5001,"&lt;="&amp;$B254,BD!$Z$3:$Z$5001,"&lt;&gt;"))))</f>
        <v/>
      </c>
      <c r="L254" s="42" t="str">
        <f>IF(OR($B254="",$A254&gt;$B$9),"",IF(COUNTIFS(BD!$B$3:$B$5001,L$243,BD!$A$3:$A$5001,"&gt;="&amp;$C$7,BD!$A$3:$A$5001,"&lt;="&amp;$B254,BD!$Z$3:$Z$5001,"&lt;&gt;")=0,"",SUMIFS(BD!$Z$3:$Z$5001,BD!$B$3:$B$5001,L$243,BD!$A$3:$A$5001,_xlfn.MAXIFS(BD!$A$3:$A$5001,BD!$B$3:$B$5001,L$243,BD!$A$3:$A$5001,"&gt;="&amp;$C$7,BD!$A$3:$A$5001,"&lt;="&amp;$B254,BD!$Z$3:$Z$5001,"&lt;&gt;"))))</f>
        <v/>
      </c>
    </row>
    <row r="255">
      <c r="A255" s="40">
        <v>12</v>
      </c>
      <c r="B255" s="41">
        <f>$B$23</f>
        <v>46307</v>
      </c>
      <c r="C255" s="42" t="str">
        <f>IF(OR($B255="",$A255&gt;$B$9),"",IF(COUNTIFS(BD!$B$3:$B$5001,C$243,BD!$A$3:$A$5001,"&gt;="&amp;$C$7,BD!$A$3:$A$5001,"&lt;="&amp;$B255,BD!$Z$3:$Z$5001,"&lt;&gt;")=0,"",SUMIFS(BD!$Z$3:$Z$5001,BD!$B$3:$B$5001,C$243,BD!$A$3:$A$5001,_xlfn.MAXIFS(BD!$A$3:$A$5001,BD!$B$3:$B$5001,C$243,BD!$A$3:$A$5001,"&gt;="&amp;$C$7,BD!$A$3:$A$5001,"&lt;="&amp;$B255,BD!$Z$3:$Z$5001,"&lt;&gt;"))))</f>
        <v/>
      </c>
      <c r="D255" s="42" t="str">
        <f>IF(OR($B255="",$A255&gt;$B$9),"",IF(COUNTIFS(BD!$B$3:$B$5001,D$243,BD!$A$3:$A$5001,"&gt;="&amp;$C$7,BD!$A$3:$A$5001,"&lt;="&amp;$B255,BD!$Z$3:$Z$5001,"&lt;&gt;")=0,"",SUMIFS(BD!$Z$3:$Z$5001,BD!$B$3:$B$5001,D$243,BD!$A$3:$A$5001,_xlfn.MAXIFS(BD!$A$3:$A$5001,BD!$B$3:$B$5001,D$243,BD!$A$3:$A$5001,"&gt;="&amp;$C$7,BD!$A$3:$A$5001,"&lt;="&amp;$B255,BD!$Z$3:$Z$5001,"&lt;&gt;"))))</f>
        <v/>
      </c>
      <c r="E255" s="42" t="str">
        <f>IF(OR($B255="",$A255&gt;$B$9),"",IF(COUNTIFS(BD!$B$3:$B$5001,E$243,BD!$A$3:$A$5001,"&gt;="&amp;$C$7,BD!$A$3:$A$5001,"&lt;="&amp;$B255,BD!$Z$3:$Z$5001,"&lt;&gt;")=0,"",SUMIFS(BD!$Z$3:$Z$5001,BD!$B$3:$B$5001,E$243,BD!$A$3:$A$5001,_xlfn.MAXIFS(BD!$A$3:$A$5001,BD!$B$3:$B$5001,E$243,BD!$A$3:$A$5001,"&gt;="&amp;$C$7,BD!$A$3:$A$5001,"&lt;="&amp;$B255,BD!$Z$3:$Z$5001,"&lt;&gt;"))))</f>
        <v/>
      </c>
      <c r="F255" s="42" t="str">
        <f>IF(OR($B255="",$A255&gt;$B$9),"",IF(COUNTIFS(BD!$B$3:$B$5001,F$243,BD!$A$3:$A$5001,"&gt;="&amp;$C$7,BD!$A$3:$A$5001,"&lt;="&amp;$B255,BD!$Z$3:$Z$5001,"&lt;&gt;")=0,"",SUMIFS(BD!$Z$3:$Z$5001,BD!$B$3:$B$5001,F$243,BD!$A$3:$A$5001,_xlfn.MAXIFS(BD!$A$3:$A$5001,BD!$B$3:$B$5001,F$243,BD!$A$3:$A$5001,"&gt;="&amp;$C$7,BD!$A$3:$A$5001,"&lt;="&amp;$B255,BD!$Z$3:$Z$5001,"&lt;&gt;"))))</f>
        <v/>
      </c>
      <c r="G255" s="42" t="str">
        <f>IF(OR($B255="",$A255&gt;$B$9),"",IF(COUNTIFS(BD!$B$3:$B$5001,G$243,BD!$A$3:$A$5001,"&gt;="&amp;$C$7,BD!$A$3:$A$5001,"&lt;="&amp;$B255,BD!$Z$3:$Z$5001,"&lt;&gt;")=0,"",SUMIFS(BD!$Z$3:$Z$5001,BD!$B$3:$B$5001,G$243,BD!$A$3:$A$5001,_xlfn.MAXIFS(BD!$A$3:$A$5001,BD!$B$3:$B$5001,G$243,BD!$A$3:$A$5001,"&gt;="&amp;$C$7,BD!$A$3:$A$5001,"&lt;="&amp;$B255,BD!$Z$3:$Z$5001,"&lt;&gt;"))))</f>
        <v/>
      </c>
      <c r="H255" s="42" t="str">
        <f>IF(OR($B255="",$A255&gt;$B$9),"",IF(COUNTIFS(BD!$B$3:$B$5001,H$243,BD!$A$3:$A$5001,"&gt;="&amp;$C$7,BD!$A$3:$A$5001,"&lt;="&amp;$B255,BD!$Z$3:$Z$5001,"&lt;&gt;")=0,"",SUMIFS(BD!$Z$3:$Z$5001,BD!$B$3:$B$5001,H$243,BD!$A$3:$A$5001,_xlfn.MAXIFS(BD!$A$3:$A$5001,BD!$B$3:$B$5001,H$243,BD!$A$3:$A$5001,"&gt;="&amp;$C$7,BD!$A$3:$A$5001,"&lt;="&amp;$B255,BD!$Z$3:$Z$5001,"&lt;&gt;"))))</f>
        <v/>
      </c>
      <c r="I255" s="42" t="str">
        <f>IF(OR($B255="",$A255&gt;$B$9),"",IF(COUNTIFS(BD!$B$3:$B$5001,I$243,BD!$A$3:$A$5001,"&gt;="&amp;$C$7,BD!$A$3:$A$5001,"&lt;="&amp;$B255,BD!$Z$3:$Z$5001,"&lt;&gt;")=0,"",SUMIFS(BD!$Z$3:$Z$5001,BD!$B$3:$B$5001,I$243,BD!$A$3:$A$5001,_xlfn.MAXIFS(BD!$A$3:$A$5001,BD!$B$3:$B$5001,I$243,BD!$A$3:$A$5001,"&gt;="&amp;$C$7,BD!$A$3:$A$5001,"&lt;="&amp;$B255,BD!$Z$3:$Z$5001,"&lt;&gt;"))))</f>
        <v/>
      </c>
      <c r="J255" s="42" t="str">
        <f>IF(OR($B255="",$A255&gt;$B$9),"",IF(COUNTIFS(BD!$B$3:$B$5001,J$243,BD!$A$3:$A$5001,"&gt;="&amp;$C$7,BD!$A$3:$A$5001,"&lt;="&amp;$B255,BD!$Z$3:$Z$5001,"&lt;&gt;")=0,"",SUMIFS(BD!$Z$3:$Z$5001,BD!$B$3:$B$5001,J$243,BD!$A$3:$A$5001,_xlfn.MAXIFS(BD!$A$3:$A$5001,BD!$B$3:$B$5001,J$243,BD!$A$3:$A$5001,"&gt;="&amp;$C$7,BD!$A$3:$A$5001,"&lt;="&amp;$B255,BD!$Z$3:$Z$5001,"&lt;&gt;"))))</f>
        <v/>
      </c>
      <c r="K255" s="42" t="str">
        <f>IF(OR($B255="",$A255&gt;$B$9),"",IF(COUNTIFS(BD!$B$3:$B$5001,K$243,BD!$A$3:$A$5001,"&gt;="&amp;$C$7,BD!$A$3:$A$5001,"&lt;="&amp;$B255,BD!$Z$3:$Z$5001,"&lt;&gt;")=0,"",SUMIFS(BD!$Z$3:$Z$5001,BD!$B$3:$B$5001,K$243,BD!$A$3:$A$5001,_xlfn.MAXIFS(BD!$A$3:$A$5001,BD!$B$3:$B$5001,K$243,BD!$A$3:$A$5001,"&gt;="&amp;$C$7,BD!$A$3:$A$5001,"&lt;="&amp;$B255,BD!$Z$3:$Z$5001,"&lt;&gt;"))))</f>
        <v/>
      </c>
      <c r="L255" s="42" t="str">
        <f>IF(OR($B255="",$A255&gt;$B$9),"",IF(COUNTIFS(BD!$B$3:$B$5001,L$243,BD!$A$3:$A$5001,"&gt;="&amp;$C$7,BD!$A$3:$A$5001,"&lt;="&amp;$B255,BD!$Z$3:$Z$5001,"&lt;&gt;")=0,"",SUMIFS(BD!$Z$3:$Z$5001,BD!$B$3:$B$5001,L$243,BD!$A$3:$A$5001,_xlfn.MAXIFS(BD!$A$3:$A$5001,BD!$B$3:$B$5001,L$243,BD!$A$3:$A$5001,"&gt;="&amp;$C$7,BD!$A$3:$A$5001,"&lt;="&amp;$B255,BD!$Z$3:$Z$5001,"&lt;&gt;"))))</f>
        <v/>
      </c>
    </row>
    <row r="256">
      <c r="A256" s="40">
        <v>13</v>
      </c>
      <c r="B256" s="41">
        <f>$B$24</f>
        <v>46308</v>
      </c>
      <c r="C256" s="42" t="str">
        <f>IF(OR($B256="",$A256&gt;$B$9),"",IF(COUNTIFS(BD!$B$3:$B$5001,C$243,BD!$A$3:$A$5001,"&gt;="&amp;$C$7,BD!$A$3:$A$5001,"&lt;="&amp;$B256,BD!$Z$3:$Z$5001,"&lt;&gt;")=0,"",SUMIFS(BD!$Z$3:$Z$5001,BD!$B$3:$B$5001,C$243,BD!$A$3:$A$5001,_xlfn.MAXIFS(BD!$A$3:$A$5001,BD!$B$3:$B$5001,C$243,BD!$A$3:$A$5001,"&gt;="&amp;$C$7,BD!$A$3:$A$5001,"&lt;="&amp;$B256,BD!$Z$3:$Z$5001,"&lt;&gt;"))))</f>
        <v/>
      </c>
      <c r="D256" s="42" t="str">
        <f>IF(OR($B256="",$A256&gt;$B$9),"",IF(COUNTIFS(BD!$B$3:$B$5001,D$243,BD!$A$3:$A$5001,"&gt;="&amp;$C$7,BD!$A$3:$A$5001,"&lt;="&amp;$B256,BD!$Z$3:$Z$5001,"&lt;&gt;")=0,"",SUMIFS(BD!$Z$3:$Z$5001,BD!$B$3:$B$5001,D$243,BD!$A$3:$A$5001,_xlfn.MAXIFS(BD!$A$3:$A$5001,BD!$B$3:$B$5001,D$243,BD!$A$3:$A$5001,"&gt;="&amp;$C$7,BD!$A$3:$A$5001,"&lt;="&amp;$B256,BD!$Z$3:$Z$5001,"&lt;&gt;"))))</f>
        <v/>
      </c>
      <c r="E256" s="42" t="str">
        <f>IF(OR($B256="",$A256&gt;$B$9),"",IF(COUNTIFS(BD!$B$3:$B$5001,E$243,BD!$A$3:$A$5001,"&gt;="&amp;$C$7,BD!$A$3:$A$5001,"&lt;="&amp;$B256,BD!$Z$3:$Z$5001,"&lt;&gt;")=0,"",SUMIFS(BD!$Z$3:$Z$5001,BD!$B$3:$B$5001,E$243,BD!$A$3:$A$5001,_xlfn.MAXIFS(BD!$A$3:$A$5001,BD!$B$3:$B$5001,E$243,BD!$A$3:$A$5001,"&gt;="&amp;$C$7,BD!$A$3:$A$5001,"&lt;="&amp;$B256,BD!$Z$3:$Z$5001,"&lt;&gt;"))))</f>
        <v/>
      </c>
      <c r="F256" s="42" t="str">
        <f>IF(OR($B256="",$A256&gt;$B$9),"",IF(COUNTIFS(BD!$B$3:$B$5001,F$243,BD!$A$3:$A$5001,"&gt;="&amp;$C$7,BD!$A$3:$A$5001,"&lt;="&amp;$B256,BD!$Z$3:$Z$5001,"&lt;&gt;")=0,"",SUMIFS(BD!$Z$3:$Z$5001,BD!$B$3:$B$5001,F$243,BD!$A$3:$A$5001,_xlfn.MAXIFS(BD!$A$3:$A$5001,BD!$B$3:$B$5001,F$243,BD!$A$3:$A$5001,"&gt;="&amp;$C$7,BD!$A$3:$A$5001,"&lt;="&amp;$B256,BD!$Z$3:$Z$5001,"&lt;&gt;"))))</f>
        <v/>
      </c>
      <c r="G256" s="42" t="str">
        <f>IF(OR($B256="",$A256&gt;$B$9),"",IF(COUNTIFS(BD!$B$3:$B$5001,G$243,BD!$A$3:$A$5001,"&gt;="&amp;$C$7,BD!$A$3:$A$5001,"&lt;="&amp;$B256,BD!$Z$3:$Z$5001,"&lt;&gt;")=0,"",SUMIFS(BD!$Z$3:$Z$5001,BD!$B$3:$B$5001,G$243,BD!$A$3:$A$5001,_xlfn.MAXIFS(BD!$A$3:$A$5001,BD!$B$3:$B$5001,G$243,BD!$A$3:$A$5001,"&gt;="&amp;$C$7,BD!$A$3:$A$5001,"&lt;="&amp;$B256,BD!$Z$3:$Z$5001,"&lt;&gt;"))))</f>
        <v/>
      </c>
      <c r="H256" s="42" t="str">
        <f>IF(OR($B256="",$A256&gt;$B$9),"",IF(COUNTIFS(BD!$B$3:$B$5001,H$243,BD!$A$3:$A$5001,"&gt;="&amp;$C$7,BD!$A$3:$A$5001,"&lt;="&amp;$B256,BD!$Z$3:$Z$5001,"&lt;&gt;")=0,"",SUMIFS(BD!$Z$3:$Z$5001,BD!$B$3:$B$5001,H$243,BD!$A$3:$A$5001,_xlfn.MAXIFS(BD!$A$3:$A$5001,BD!$B$3:$B$5001,H$243,BD!$A$3:$A$5001,"&gt;="&amp;$C$7,BD!$A$3:$A$5001,"&lt;="&amp;$B256,BD!$Z$3:$Z$5001,"&lt;&gt;"))))</f>
        <v/>
      </c>
      <c r="I256" s="42" t="str">
        <f>IF(OR($B256="",$A256&gt;$B$9),"",IF(COUNTIFS(BD!$B$3:$B$5001,I$243,BD!$A$3:$A$5001,"&gt;="&amp;$C$7,BD!$A$3:$A$5001,"&lt;="&amp;$B256,BD!$Z$3:$Z$5001,"&lt;&gt;")=0,"",SUMIFS(BD!$Z$3:$Z$5001,BD!$B$3:$B$5001,I$243,BD!$A$3:$A$5001,_xlfn.MAXIFS(BD!$A$3:$A$5001,BD!$B$3:$B$5001,I$243,BD!$A$3:$A$5001,"&gt;="&amp;$C$7,BD!$A$3:$A$5001,"&lt;="&amp;$B256,BD!$Z$3:$Z$5001,"&lt;&gt;"))))</f>
        <v/>
      </c>
      <c r="J256" s="42" t="str">
        <f>IF(OR($B256="",$A256&gt;$B$9),"",IF(COUNTIFS(BD!$B$3:$B$5001,J$243,BD!$A$3:$A$5001,"&gt;="&amp;$C$7,BD!$A$3:$A$5001,"&lt;="&amp;$B256,BD!$Z$3:$Z$5001,"&lt;&gt;")=0,"",SUMIFS(BD!$Z$3:$Z$5001,BD!$B$3:$B$5001,J$243,BD!$A$3:$A$5001,_xlfn.MAXIFS(BD!$A$3:$A$5001,BD!$B$3:$B$5001,J$243,BD!$A$3:$A$5001,"&gt;="&amp;$C$7,BD!$A$3:$A$5001,"&lt;="&amp;$B256,BD!$Z$3:$Z$5001,"&lt;&gt;"))))</f>
        <v/>
      </c>
      <c r="K256" s="42" t="str">
        <f>IF(OR($B256="",$A256&gt;$B$9),"",IF(COUNTIFS(BD!$B$3:$B$5001,K$243,BD!$A$3:$A$5001,"&gt;="&amp;$C$7,BD!$A$3:$A$5001,"&lt;="&amp;$B256,BD!$Z$3:$Z$5001,"&lt;&gt;")=0,"",SUMIFS(BD!$Z$3:$Z$5001,BD!$B$3:$B$5001,K$243,BD!$A$3:$A$5001,_xlfn.MAXIFS(BD!$A$3:$A$5001,BD!$B$3:$B$5001,K$243,BD!$A$3:$A$5001,"&gt;="&amp;$C$7,BD!$A$3:$A$5001,"&lt;="&amp;$B256,BD!$Z$3:$Z$5001,"&lt;&gt;"))))</f>
        <v/>
      </c>
      <c r="L256" s="42" t="str">
        <f>IF(OR($B256="",$A256&gt;$B$9),"",IF(COUNTIFS(BD!$B$3:$B$5001,L$243,BD!$A$3:$A$5001,"&gt;="&amp;$C$7,BD!$A$3:$A$5001,"&lt;="&amp;$B256,BD!$Z$3:$Z$5001,"&lt;&gt;")=0,"",SUMIFS(BD!$Z$3:$Z$5001,BD!$B$3:$B$5001,L$243,BD!$A$3:$A$5001,_xlfn.MAXIFS(BD!$A$3:$A$5001,BD!$B$3:$B$5001,L$243,BD!$A$3:$A$5001,"&gt;="&amp;$C$7,BD!$A$3:$A$5001,"&lt;="&amp;$B256,BD!$Z$3:$Z$5001,"&lt;&gt;"))))</f>
        <v/>
      </c>
    </row>
    <row r="257">
      <c r="A257" s="40">
        <v>14</v>
      </c>
      <c r="B257" s="41">
        <f>$B$25</f>
        <v>46309</v>
      </c>
      <c r="C257" s="42" t="str">
        <f>IF(OR($B257="",$A257&gt;$B$9),"",IF(COUNTIFS(BD!$B$3:$B$5001,C$243,BD!$A$3:$A$5001,"&gt;="&amp;$C$7,BD!$A$3:$A$5001,"&lt;="&amp;$B257,BD!$Z$3:$Z$5001,"&lt;&gt;")=0,"",SUMIFS(BD!$Z$3:$Z$5001,BD!$B$3:$B$5001,C$243,BD!$A$3:$A$5001,_xlfn.MAXIFS(BD!$A$3:$A$5001,BD!$B$3:$B$5001,C$243,BD!$A$3:$A$5001,"&gt;="&amp;$C$7,BD!$A$3:$A$5001,"&lt;="&amp;$B257,BD!$Z$3:$Z$5001,"&lt;&gt;"))))</f>
        <v/>
      </c>
      <c r="D257" s="42" t="str">
        <f>IF(OR($B257="",$A257&gt;$B$9),"",IF(COUNTIFS(BD!$B$3:$B$5001,D$243,BD!$A$3:$A$5001,"&gt;="&amp;$C$7,BD!$A$3:$A$5001,"&lt;="&amp;$B257,BD!$Z$3:$Z$5001,"&lt;&gt;")=0,"",SUMIFS(BD!$Z$3:$Z$5001,BD!$B$3:$B$5001,D$243,BD!$A$3:$A$5001,_xlfn.MAXIFS(BD!$A$3:$A$5001,BD!$B$3:$B$5001,D$243,BD!$A$3:$A$5001,"&gt;="&amp;$C$7,BD!$A$3:$A$5001,"&lt;="&amp;$B257,BD!$Z$3:$Z$5001,"&lt;&gt;"))))</f>
        <v/>
      </c>
      <c r="E257" s="42" t="str">
        <f>IF(OR($B257="",$A257&gt;$B$9),"",IF(COUNTIFS(BD!$B$3:$B$5001,E$243,BD!$A$3:$A$5001,"&gt;="&amp;$C$7,BD!$A$3:$A$5001,"&lt;="&amp;$B257,BD!$Z$3:$Z$5001,"&lt;&gt;")=0,"",SUMIFS(BD!$Z$3:$Z$5001,BD!$B$3:$B$5001,E$243,BD!$A$3:$A$5001,_xlfn.MAXIFS(BD!$A$3:$A$5001,BD!$B$3:$B$5001,E$243,BD!$A$3:$A$5001,"&gt;="&amp;$C$7,BD!$A$3:$A$5001,"&lt;="&amp;$B257,BD!$Z$3:$Z$5001,"&lt;&gt;"))))</f>
        <v/>
      </c>
      <c r="F257" s="42" t="str">
        <f>IF(OR($B257="",$A257&gt;$B$9),"",IF(COUNTIFS(BD!$B$3:$B$5001,F$243,BD!$A$3:$A$5001,"&gt;="&amp;$C$7,BD!$A$3:$A$5001,"&lt;="&amp;$B257,BD!$Z$3:$Z$5001,"&lt;&gt;")=0,"",SUMIFS(BD!$Z$3:$Z$5001,BD!$B$3:$B$5001,F$243,BD!$A$3:$A$5001,_xlfn.MAXIFS(BD!$A$3:$A$5001,BD!$B$3:$B$5001,F$243,BD!$A$3:$A$5001,"&gt;="&amp;$C$7,BD!$A$3:$A$5001,"&lt;="&amp;$B257,BD!$Z$3:$Z$5001,"&lt;&gt;"))))</f>
        <v/>
      </c>
      <c r="G257" s="42" t="str">
        <f>IF(OR($B257="",$A257&gt;$B$9),"",IF(COUNTIFS(BD!$B$3:$B$5001,G$243,BD!$A$3:$A$5001,"&gt;="&amp;$C$7,BD!$A$3:$A$5001,"&lt;="&amp;$B257,BD!$Z$3:$Z$5001,"&lt;&gt;")=0,"",SUMIFS(BD!$Z$3:$Z$5001,BD!$B$3:$B$5001,G$243,BD!$A$3:$A$5001,_xlfn.MAXIFS(BD!$A$3:$A$5001,BD!$B$3:$B$5001,G$243,BD!$A$3:$A$5001,"&gt;="&amp;$C$7,BD!$A$3:$A$5001,"&lt;="&amp;$B257,BD!$Z$3:$Z$5001,"&lt;&gt;"))))</f>
        <v/>
      </c>
      <c r="H257" s="42" t="str">
        <f>IF(OR($B257="",$A257&gt;$B$9),"",IF(COUNTIFS(BD!$B$3:$B$5001,H$243,BD!$A$3:$A$5001,"&gt;="&amp;$C$7,BD!$A$3:$A$5001,"&lt;="&amp;$B257,BD!$Z$3:$Z$5001,"&lt;&gt;")=0,"",SUMIFS(BD!$Z$3:$Z$5001,BD!$B$3:$B$5001,H$243,BD!$A$3:$A$5001,_xlfn.MAXIFS(BD!$A$3:$A$5001,BD!$B$3:$B$5001,H$243,BD!$A$3:$A$5001,"&gt;="&amp;$C$7,BD!$A$3:$A$5001,"&lt;="&amp;$B257,BD!$Z$3:$Z$5001,"&lt;&gt;"))))</f>
        <v/>
      </c>
      <c r="I257" s="42" t="str">
        <f>IF(OR($B257="",$A257&gt;$B$9),"",IF(COUNTIFS(BD!$B$3:$B$5001,I$243,BD!$A$3:$A$5001,"&gt;="&amp;$C$7,BD!$A$3:$A$5001,"&lt;="&amp;$B257,BD!$Z$3:$Z$5001,"&lt;&gt;")=0,"",SUMIFS(BD!$Z$3:$Z$5001,BD!$B$3:$B$5001,I$243,BD!$A$3:$A$5001,_xlfn.MAXIFS(BD!$A$3:$A$5001,BD!$B$3:$B$5001,I$243,BD!$A$3:$A$5001,"&gt;="&amp;$C$7,BD!$A$3:$A$5001,"&lt;="&amp;$B257,BD!$Z$3:$Z$5001,"&lt;&gt;"))))</f>
        <v/>
      </c>
      <c r="J257" s="42" t="str">
        <f>IF(OR($B257="",$A257&gt;$B$9),"",IF(COUNTIFS(BD!$B$3:$B$5001,J$243,BD!$A$3:$A$5001,"&gt;="&amp;$C$7,BD!$A$3:$A$5001,"&lt;="&amp;$B257,BD!$Z$3:$Z$5001,"&lt;&gt;")=0,"",SUMIFS(BD!$Z$3:$Z$5001,BD!$B$3:$B$5001,J$243,BD!$A$3:$A$5001,_xlfn.MAXIFS(BD!$A$3:$A$5001,BD!$B$3:$B$5001,J$243,BD!$A$3:$A$5001,"&gt;="&amp;$C$7,BD!$A$3:$A$5001,"&lt;="&amp;$B257,BD!$Z$3:$Z$5001,"&lt;&gt;"))))</f>
        <v/>
      </c>
      <c r="K257" s="42" t="str">
        <f>IF(OR($B257="",$A257&gt;$B$9),"",IF(COUNTIFS(BD!$B$3:$B$5001,K$243,BD!$A$3:$A$5001,"&gt;="&amp;$C$7,BD!$A$3:$A$5001,"&lt;="&amp;$B257,BD!$Z$3:$Z$5001,"&lt;&gt;")=0,"",SUMIFS(BD!$Z$3:$Z$5001,BD!$B$3:$B$5001,K$243,BD!$A$3:$A$5001,_xlfn.MAXIFS(BD!$A$3:$A$5001,BD!$B$3:$B$5001,K$243,BD!$A$3:$A$5001,"&gt;="&amp;$C$7,BD!$A$3:$A$5001,"&lt;="&amp;$B257,BD!$Z$3:$Z$5001,"&lt;&gt;"))))</f>
        <v/>
      </c>
      <c r="L257" s="42" t="str">
        <f>IF(OR($B257="",$A257&gt;$B$9),"",IF(COUNTIFS(BD!$B$3:$B$5001,L$243,BD!$A$3:$A$5001,"&gt;="&amp;$C$7,BD!$A$3:$A$5001,"&lt;="&amp;$B257,BD!$Z$3:$Z$5001,"&lt;&gt;")=0,"",SUMIFS(BD!$Z$3:$Z$5001,BD!$B$3:$B$5001,L$243,BD!$A$3:$A$5001,_xlfn.MAXIFS(BD!$A$3:$A$5001,BD!$B$3:$B$5001,L$243,BD!$A$3:$A$5001,"&gt;="&amp;$C$7,BD!$A$3:$A$5001,"&lt;="&amp;$B257,BD!$Z$3:$Z$5001,"&lt;&gt;"))))</f>
        <v/>
      </c>
    </row>
    <row r="258">
      <c r="A258" s="40">
        <v>15</v>
      </c>
      <c r="B258" s="41">
        <f>$B$26</f>
        <v>46310</v>
      </c>
      <c r="C258" s="42" t="str">
        <f>IF(OR($B258="",$A258&gt;$B$9),"",IF(COUNTIFS(BD!$B$3:$B$5001,C$243,BD!$A$3:$A$5001,"&gt;="&amp;$C$7,BD!$A$3:$A$5001,"&lt;="&amp;$B258,BD!$Z$3:$Z$5001,"&lt;&gt;")=0,"",SUMIFS(BD!$Z$3:$Z$5001,BD!$B$3:$B$5001,C$243,BD!$A$3:$A$5001,_xlfn.MAXIFS(BD!$A$3:$A$5001,BD!$B$3:$B$5001,C$243,BD!$A$3:$A$5001,"&gt;="&amp;$C$7,BD!$A$3:$A$5001,"&lt;="&amp;$B258,BD!$Z$3:$Z$5001,"&lt;&gt;"))))</f>
        <v/>
      </c>
      <c r="D258" s="42" t="str">
        <f>IF(OR($B258="",$A258&gt;$B$9),"",IF(COUNTIFS(BD!$B$3:$B$5001,D$243,BD!$A$3:$A$5001,"&gt;="&amp;$C$7,BD!$A$3:$A$5001,"&lt;="&amp;$B258,BD!$Z$3:$Z$5001,"&lt;&gt;")=0,"",SUMIFS(BD!$Z$3:$Z$5001,BD!$B$3:$B$5001,D$243,BD!$A$3:$A$5001,_xlfn.MAXIFS(BD!$A$3:$A$5001,BD!$B$3:$B$5001,D$243,BD!$A$3:$A$5001,"&gt;="&amp;$C$7,BD!$A$3:$A$5001,"&lt;="&amp;$B258,BD!$Z$3:$Z$5001,"&lt;&gt;"))))</f>
        <v/>
      </c>
      <c r="E258" s="42" t="str">
        <f>IF(OR($B258="",$A258&gt;$B$9),"",IF(COUNTIFS(BD!$B$3:$B$5001,E$243,BD!$A$3:$A$5001,"&gt;="&amp;$C$7,BD!$A$3:$A$5001,"&lt;="&amp;$B258,BD!$Z$3:$Z$5001,"&lt;&gt;")=0,"",SUMIFS(BD!$Z$3:$Z$5001,BD!$B$3:$B$5001,E$243,BD!$A$3:$A$5001,_xlfn.MAXIFS(BD!$A$3:$A$5001,BD!$B$3:$B$5001,E$243,BD!$A$3:$A$5001,"&gt;="&amp;$C$7,BD!$A$3:$A$5001,"&lt;="&amp;$B258,BD!$Z$3:$Z$5001,"&lt;&gt;"))))</f>
        <v/>
      </c>
      <c r="F258" s="42" t="str">
        <f>IF(OR($B258="",$A258&gt;$B$9),"",IF(COUNTIFS(BD!$B$3:$B$5001,F$243,BD!$A$3:$A$5001,"&gt;="&amp;$C$7,BD!$A$3:$A$5001,"&lt;="&amp;$B258,BD!$Z$3:$Z$5001,"&lt;&gt;")=0,"",SUMIFS(BD!$Z$3:$Z$5001,BD!$B$3:$B$5001,F$243,BD!$A$3:$A$5001,_xlfn.MAXIFS(BD!$A$3:$A$5001,BD!$B$3:$B$5001,F$243,BD!$A$3:$A$5001,"&gt;="&amp;$C$7,BD!$A$3:$A$5001,"&lt;="&amp;$B258,BD!$Z$3:$Z$5001,"&lt;&gt;"))))</f>
        <v/>
      </c>
      <c r="G258" s="42" t="str">
        <f>IF(OR($B258="",$A258&gt;$B$9),"",IF(COUNTIFS(BD!$B$3:$B$5001,G$243,BD!$A$3:$A$5001,"&gt;="&amp;$C$7,BD!$A$3:$A$5001,"&lt;="&amp;$B258,BD!$Z$3:$Z$5001,"&lt;&gt;")=0,"",SUMIFS(BD!$Z$3:$Z$5001,BD!$B$3:$B$5001,G$243,BD!$A$3:$A$5001,_xlfn.MAXIFS(BD!$A$3:$A$5001,BD!$B$3:$B$5001,G$243,BD!$A$3:$A$5001,"&gt;="&amp;$C$7,BD!$A$3:$A$5001,"&lt;="&amp;$B258,BD!$Z$3:$Z$5001,"&lt;&gt;"))))</f>
        <v/>
      </c>
      <c r="H258" s="42" t="str">
        <f>IF(OR($B258="",$A258&gt;$B$9),"",IF(COUNTIFS(BD!$B$3:$B$5001,H$243,BD!$A$3:$A$5001,"&gt;="&amp;$C$7,BD!$A$3:$A$5001,"&lt;="&amp;$B258,BD!$Z$3:$Z$5001,"&lt;&gt;")=0,"",SUMIFS(BD!$Z$3:$Z$5001,BD!$B$3:$B$5001,H$243,BD!$A$3:$A$5001,_xlfn.MAXIFS(BD!$A$3:$A$5001,BD!$B$3:$B$5001,H$243,BD!$A$3:$A$5001,"&gt;="&amp;$C$7,BD!$A$3:$A$5001,"&lt;="&amp;$B258,BD!$Z$3:$Z$5001,"&lt;&gt;"))))</f>
        <v/>
      </c>
      <c r="I258" s="42" t="str">
        <f>IF(OR($B258="",$A258&gt;$B$9),"",IF(COUNTIFS(BD!$B$3:$B$5001,I$243,BD!$A$3:$A$5001,"&gt;="&amp;$C$7,BD!$A$3:$A$5001,"&lt;="&amp;$B258,BD!$Z$3:$Z$5001,"&lt;&gt;")=0,"",SUMIFS(BD!$Z$3:$Z$5001,BD!$B$3:$B$5001,I$243,BD!$A$3:$A$5001,_xlfn.MAXIFS(BD!$A$3:$A$5001,BD!$B$3:$B$5001,I$243,BD!$A$3:$A$5001,"&gt;="&amp;$C$7,BD!$A$3:$A$5001,"&lt;="&amp;$B258,BD!$Z$3:$Z$5001,"&lt;&gt;"))))</f>
        <v/>
      </c>
      <c r="J258" s="42" t="str">
        <f>IF(OR($B258="",$A258&gt;$B$9),"",IF(COUNTIFS(BD!$B$3:$B$5001,J$243,BD!$A$3:$A$5001,"&gt;="&amp;$C$7,BD!$A$3:$A$5001,"&lt;="&amp;$B258,BD!$Z$3:$Z$5001,"&lt;&gt;")=0,"",SUMIFS(BD!$Z$3:$Z$5001,BD!$B$3:$B$5001,J$243,BD!$A$3:$A$5001,_xlfn.MAXIFS(BD!$A$3:$A$5001,BD!$B$3:$B$5001,J$243,BD!$A$3:$A$5001,"&gt;="&amp;$C$7,BD!$A$3:$A$5001,"&lt;="&amp;$B258,BD!$Z$3:$Z$5001,"&lt;&gt;"))))</f>
        <v/>
      </c>
      <c r="K258" s="42" t="str">
        <f>IF(OR($B258="",$A258&gt;$B$9),"",IF(COUNTIFS(BD!$B$3:$B$5001,K$243,BD!$A$3:$A$5001,"&gt;="&amp;$C$7,BD!$A$3:$A$5001,"&lt;="&amp;$B258,BD!$Z$3:$Z$5001,"&lt;&gt;")=0,"",SUMIFS(BD!$Z$3:$Z$5001,BD!$B$3:$B$5001,K$243,BD!$A$3:$A$5001,_xlfn.MAXIFS(BD!$A$3:$A$5001,BD!$B$3:$B$5001,K$243,BD!$A$3:$A$5001,"&gt;="&amp;$C$7,BD!$A$3:$A$5001,"&lt;="&amp;$B258,BD!$Z$3:$Z$5001,"&lt;&gt;"))))</f>
        <v/>
      </c>
      <c r="L258" s="42" t="str">
        <f>IF(OR($B258="",$A258&gt;$B$9),"",IF(COUNTIFS(BD!$B$3:$B$5001,L$243,BD!$A$3:$A$5001,"&gt;="&amp;$C$7,BD!$A$3:$A$5001,"&lt;="&amp;$B258,BD!$Z$3:$Z$5001,"&lt;&gt;")=0,"",SUMIFS(BD!$Z$3:$Z$5001,BD!$B$3:$B$5001,L$243,BD!$A$3:$A$5001,_xlfn.MAXIFS(BD!$A$3:$A$5001,BD!$B$3:$B$5001,L$243,BD!$A$3:$A$5001,"&gt;="&amp;$C$7,BD!$A$3:$A$5001,"&lt;="&amp;$B258,BD!$Z$3:$Z$5001,"&lt;&gt;"))))</f>
        <v/>
      </c>
    </row>
    <row r="259">
      <c r="A259" s="40">
        <v>16</v>
      </c>
      <c r="B259" s="41">
        <f>$B$27</f>
        <v>46311</v>
      </c>
      <c r="C259" s="42" t="str">
        <f>IF(OR($B259="",$A259&gt;$B$9),"",IF(COUNTIFS(BD!$B$3:$B$5001,C$243,BD!$A$3:$A$5001,"&gt;="&amp;$C$7,BD!$A$3:$A$5001,"&lt;="&amp;$B259,BD!$Z$3:$Z$5001,"&lt;&gt;")=0,"",SUMIFS(BD!$Z$3:$Z$5001,BD!$B$3:$B$5001,C$243,BD!$A$3:$A$5001,_xlfn.MAXIFS(BD!$A$3:$A$5001,BD!$B$3:$B$5001,C$243,BD!$A$3:$A$5001,"&gt;="&amp;$C$7,BD!$A$3:$A$5001,"&lt;="&amp;$B259,BD!$Z$3:$Z$5001,"&lt;&gt;"))))</f>
        <v/>
      </c>
      <c r="D259" s="42" t="str">
        <f>IF(OR($B259="",$A259&gt;$B$9),"",IF(COUNTIFS(BD!$B$3:$B$5001,D$243,BD!$A$3:$A$5001,"&gt;="&amp;$C$7,BD!$A$3:$A$5001,"&lt;="&amp;$B259,BD!$Z$3:$Z$5001,"&lt;&gt;")=0,"",SUMIFS(BD!$Z$3:$Z$5001,BD!$B$3:$B$5001,D$243,BD!$A$3:$A$5001,_xlfn.MAXIFS(BD!$A$3:$A$5001,BD!$B$3:$B$5001,D$243,BD!$A$3:$A$5001,"&gt;="&amp;$C$7,BD!$A$3:$A$5001,"&lt;="&amp;$B259,BD!$Z$3:$Z$5001,"&lt;&gt;"))))</f>
        <v/>
      </c>
      <c r="E259" s="42" t="str">
        <f>IF(OR($B259="",$A259&gt;$B$9),"",IF(COUNTIFS(BD!$B$3:$B$5001,E$243,BD!$A$3:$A$5001,"&gt;="&amp;$C$7,BD!$A$3:$A$5001,"&lt;="&amp;$B259,BD!$Z$3:$Z$5001,"&lt;&gt;")=0,"",SUMIFS(BD!$Z$3:$Z$5001,BD!$B$3:$B$5001,E$243,BD!$A$3:$A$5001,_xlfn.MAXIFS(BD!$A$3:$A$5001,BD!$B$3:$B$5001,E$243,BD!$A$3:$A$5001,"&gt;="&amp;$C$7,BD!$A$3:$A$5001,"&lt;="&amp;$B259,BD!$Z$3:$Z$5001,"&lt;&gt;"))))</f>
        <v/>
      </c>
      <c r="F259" s="42" t="str">
        <f>IF(OR($B259="",$A259&gt;$B$9),"",IF(COUNTIFS(BD!$B$3:$B$5001,F$243,BD!$A$3:$A$5001,"&gt;="&amp;$C$7,BD!$A$3:$A$5001,"&lt;="&amp;$B259,BD!$Z$3:$Z$5001,"&lt;&gt;")=0,"",SUMIFS(BD!$Z$3:$Z$5001,BD!$B$3:$B$5001,F$243,BD!$A$3:$A$5001,_xlfn.MAXIFS(BD!$A$3:$A$5001,BD!$B$3:$B$5001,F$243,BD!$A$3:$A$5001,"&gt;="&amp;$C$7,BD!$A$3:$A$5001,"&lt;="&amp;$B259,BD!$Z$3:$Z$5001,"&lt;&gt;"))))</f>
        <v/>
      </c>
      <c r="G259" s="42" t="str">
        <f>IF(OR($B259="",$A259&gt;$B$9),"",IF(COUNTIFS(BD!$B$3:$B$5001,G$243,BD!$A$3:$A$5001,"&gt;="&amp;$C$7,BD!$A$3:$A$5001,"&lt;="&amp;$B259,BD!$Z$3:$Z$5001,"&lt;&gt;")=0,"",SUMIFS(BD!$Z$3:$Z$5001,BD!$B$3:$B$5001,G$243,BD!$A$3:$A$5001,_xlfn.MAXIFS(BD!$A$3:$A$5001,BD!$B$3:$B$5001,G$243,BD!$A$3:$A$5001,"&gt;="&amp;$C$7,BD!$A$3:$A$5001,"&lt;="&amp;$B259,BD!$Z$3:$Z$5001,"&lt;&gt;"))))</f>
        <v/>
      </c>
      <c r="H259" s="42" t="str">
        <f>IF(OR($B259="",$A259&gt;$B$9),"",IF(COUNTIFS(BD!$B$3:$B$5001,H$243,BD!$A$3:$A$5001,"&gt;="&amp;$C$7,BD!$A$3:$A$5001,"&lt;="&amp;$B259,BD!$Z$3:$Z$5001,"&lt;&gt;")=0,"",SUMIFS(BD!$Z$3:$Z$5001,BD!$B$3:$B$5001,H$243,BD!$A$3:$A$5001,_xlfn.MAXIFS(BD!$A$3:$A$5001,BD!$B$3:$B$5001,H$243,BD!$A$3:$A$5001,"&gt;="&amp;$C$7,BD!$A$3:$A$5001,"&lt;="&amp;$B259,BD!$Z$3:$Z$5001,"&lt;&gt;"))))</f>
        <v/>
      </c>
      <c r="I259" s="42" t="str">
        <f>IF(OR($B259="",$A259&gt;$B$9),"",IF(COUNTIFS(BD!$B$3:$B$5001,I$243,BD!$A$3:$A$5001,"&gt;="&amp;$C$7,BD!$A$3:$A$5001,"&lt;="&amp;$B259,BD!$Z$3:$Z$5001,"&lt;&gt;")=0,"",SUMIFS(BD!$Z$3:$Z$5001,BD!$B$3:$B$5001,I$243,BD!$A$3:$A$5001,_xlfn.MAXIFS(BD!$A$3:$A$5001,BD!$B$3:$B$5001,I$243,BD!$A$3:$A$5001,"&gt;="&amp;$C$7,BD!$A$3:$A$5001,"&lt;="&amp;$B259,BD!$Z$3:$Z$5001,"&lt;&gt;"))))</f>
        <v/>
      </c>
      <c r="J259" s="42" t="str">
        <f>IF(OR($B259="",$A259&gt;$B$9),"",IF(COUNTIFS(BD!$B$3:$B$5001,J$243,BD!$A$3:$A$5001,"&gt;="&amp;$C$7,BD!$A$3:$A$5001,"&lt;="&amp;$B259,BD!$Z$3:$Z$5001,"&lt;&gt;")=0,"",SUMIFS(BD!$Z$3:$Z$5001,BD!$B$3:$B$5001,J$243,BD!$A$3:$A$5001,_xlfn.MAXIFS(BD!$A$3:$A$5001,BD!$B$3:$B$5001,J$243,BD!$A$3:$A$5001,"&gt;="&amp;$C$7,BD!$A$3:$A$5001,"&lt;="&amp;$B259,BD!$Z$3:$Z$5001,"&lt;&gt;"))))</f>
        <v/>
      </c>
      <c r="K259" s="42" t="str">
        <f>IF(OR($B259="",$A259&gt;$B$9),"",IF(COUNTIFS(BD!$B$3:$B$5001,K$243,BD!$A$3:$A$5001,"&gt;="&amp;$C$7,BD!$A$3:$A$5001,"&lt;="&amp;$B259,BD!$Z$3:$Z$5001,"&lt;&gt;")=0,"",SUMIFS(BD!$Z$3:$Z$5001,BD!$B$3:$B$5001,K$243,BD!$A$3:$A$5001,_xlfn.MAXIFS(BD!$A$3:$A$5001,BD!$B$3:$B$5001,K$243,BD!$A$3:$A$5001,"&gt;="&amp;$C$7,BD!$A$3:$A$5001,"&lt;="&amp;$B259,BD!$Z$3:$Z$5001,"&lt;&gt;"))))</f>
        <v/>
      </c>
      <c r="L259" s="42" t="str">
        <f>IF(OR($B259="",$A259&gt;$B$9),"",IF(COUNTIFS(BD!$B$3:$B$5001,L$243,BD!$A$3:$A$5001,"&gt;="&amp;$C$7,BD!$A$3:$A$5001,"&lt;="&amp;$B259,BD!$Z$3:$Z$5001,"&lt;&gt;")=0,"",SUMIFS(BD!$Z$3:$Z$5001,BD!$B$3:$B$5001,L$243,BD!$A$3:$A$5001,_xlfn.MAXIFS(BD!$A$3:$A$5001,BD!$B$3:$B$5001,L$243,BD!$A$3:$A$5001,"&gt;="&amp;$C$7,BD!$A$3:$A$5001,"&lt;="&amp;$B259,BD!$Z$3:$Z$5001,"&lt;&gt;"))))</f>
        <v/>
      </c>
    </row>
    <row r="260">
      <c r="A260" s="40">
        <v>17</v>
      </c>
      <c r="B260" s="41">
        <f>$B$28</f>
        <v>46312</v>
      </c>
      <c r="C260" s="42" t="str">
        <f>IF(OR($B260="",$A260&gt;$B$9),"",IF(COUNTIFS(BD!$B$3:$B$5001,C$243,BD!$A$3:$A$5001,"&gt;="&amp;$C$7,BD!$A$3:$A$5001,"&lt;="&amp;$B260,BD!$Z$3:$Z$5001,"&lt;&gt;")=0,"",SUMIFS(BD!$Z$3:$Z$5001,BD!$B$3:$B$5001,C$243,BD!$A$3:$A$5001,_xlfn.MAXIFS(BD!$A$3:$A$5001,BD!$B$3:$B$5001,C$243,BD!$A$3:$A$5001,"&gt;="&amp;$C$7,BD!$A$3:$A$5001,"&lt;="&amp;$B260,BD!$Z$3:$Z$5001,"&lt;&gt;"))))</f>
        <v/>
      </c>
      <c r="D260" s="42" t="str">
        <f>IF(OR($B260="",$A260&gt;$B$9),"",IF(COUNTIFS(BD!$B$3:$B$5001,D$243,BD!$A$3:$A$5001,"&gt;="&amp;$C$7,BD!$A$3:$A$5001,"&lt;="&amp;$B260,BD!$Z$3:$Z$5001,"&lt;&gt;")=0,"",SUMIFS(BD!$Z$3:$Z$5001,BD!$B$3:$B$5001,D$243,BD!$A$3:$A$5001,_xlfn.MAXIFS(BD!$A$3:$A$5001,BD!$B$3:$B$5001,D$243,BD!$A$3:$A$5001,"&gt;="&amp;$C$7,BD!$A$3:$A$5001,"&lt;="&amp;$B260,BD!$Z$3:$Z$5001,"&lt;&gt;"))))</f>
        <v/>
      </c>
      <c r="E260" s="42" t="str">
        <f>IF(OR($B260="",$A260&gt;$B$9),"",IF(COUNTIFS(BD!$B$3:$B$5001,E$243,BD!$A$3:$A$5001,"&gt;="&amp;$C$7,BD!$A$3:$A$5001,"&lt;="&amp;$B260,BD!$Z$3:$Z$5001,"&lt;&gt;")=0,"",SUMIFS(BD!$Z$3:$Z$5001,BD!$B$3:$B$5001,E$243,BD!$A$3:$A$5001,_xlfn.MAXIFS(BD!$A$3:$A$5001,BD!$B$3:$B$5001,E$243,BD!$A$3:$A$5001,"&gt;="&amp;$C$7,BD!$A$3:$A$5001,"&lt;="&amp;$B260,BD!$Z$3:$Z$5001,"&lt;&gt;"))))</f>
        <v/>
      </c>
      <c r="F260" s="42" t="str">
        <f>IF(OR($B260="",$A260&gt;$B$9),"",IF(COUNTIFS(BD!$B$3:$B$5001,F$243,BD!$A$3:$A$5001,"&gt;="&amp;$C$7,BD!$A$3:$A$5001,"&lt;="&amp;$B260,BD!$Z$3:$Z$5001,"&lt;&gt;")=0,"",SUMIFS(BD!$Z$3:$Z$5001,BD!$B$3:$B$5001,F$243,BD!$A$3:$A$5001,_xlfn.MAXIFS(BD!$A$3:$A$5001,BD!$B$3:$B$5001,F$243,BD!$A$3:$A$5001,"&gt;="&amp;$C$7,BD!$A$3:$A$5001,"&lt;="&amp;$B260,BD!$Z$3:$Z$5001,"&lt;&gt;"))))</f>
        <v/>
      </c>
      <c r="G260" s="42" t="str">
        <f>IF(OR($B260="",$A260&gt;$B$9),"",IF(COUNTIFS(BD!$B$3:$B$5001,G$243,BD!$A$3:$A$5001,"&gt;="&amp;$C$7,BD!$A$3:$A$5001,"&lt;="&amp;$B260,BD!$Z$3:$Z$5001,"&lt;&gt;")=0,"",SUMIFS(BD!$Z$3:$Z$5001,BD!$B$3:$B$5001,G$243,BD!$A$3:$A$5001,_xlfn.MAXIFS(BD!$A$3:$A$5001,BD!$B$3:$B$5001,G$243,BD!$A$3:$A$5001,"&gt;="&amp;$C$7,BD!$A$3:$A$5001,"&lt;="&amp;$B260,BD!$Z$3:$Z$5001,"&lt;&gt;"))))</f>
        <v/>
      </c>
      <c r="H260" s="42" t="str">
        <f>IF(OR($B260="",$A260&gt;$B$9),"",IF(COUNTIFS(BD!$B$3:$B$5001,H$243,BD!$A$3:$A$5001,"&gt;="&amp;$C$7,BD!$A$3:$A$5001,"&lt;="&amp;$B260,BD!$Z$3:$Z$5001,"&lt;&gt;")=0,"",SUMIFS(BD!$Z$3:$Z$5001,BD!$B$3:$B$5001,H$243,BD!$A$3:$A$5001,_xlfn.MAXIFS(BD!$A$3:$A$5001,BD!$B$3:$B$5001,H$243,BD!$A$3:$A$5001,"&gt;="&amp;$C$7,BD!$A$3:$A$5001,"&lt;="&amp;$B260,BD!$Z$3:$Z$5001,"&lt;&gt;"))))</f>
        <v/>
      </c>
      <c r="I260" s="42" t="str">
        <f>IF(OR($B260="",$A260&gt;$B$9),"",IF(COUNTIFS(BD!$B$3:$B$5001,I$243,BD!$A$3:$A$5001,"&gt;="&amp;$C$7,BD!$A$3:$A$5001,"&lt;="&amp;$B260,BD!$Z$3:$Z$5001,"&lt;&gt;")=0,"",SUMIFS(BD!$Z$3:$Z$5001,BD!$B$3:$B$5001,I$243,BD!$A$3:$A$5001,_xlfn.MAXIFS(BD!$A$3:$A$5001,BD!$B$3:$B$5001,I$243,BD!$A$3:$A$5001,"&gt;="&amp;$C$7,BD!$A$3:$A$5001,"&lt;="&amp;$B260,BD!$Z$3:$Z$5001,"&lt;&gt;"))))</f>
        <v/>
      </c>
      <c r="J260" s="42" t="str">
        <f>IF(OR($B260="",$A260&gt;$B$9),"",IF(COUNTIFS(BD!$B$3:$B$5001,J$243,BD!$A$3:$A$5001,"&gt;="&amp;$C$7,BD!$A$3:$A$5001,"&lt;="&amp;$B260,BD!$Z$3:$Z$5001,"&lt;&gt;")=0,"",SUMIFS(BD!$Z$3:$Z$5001,BD!$B$3:$B$5001,J$243,BD!$A$3:$A$5001,_xlfn.MAXIFS(BD!$A$3:$A$5001,BD!$B$3:$B$5001,J$243,BD!$A$3:$A$5001,"&gt;="&amp;$C$7,BD!$A$3:$A$5001,"&lt;="&amp;$B260,BD!$Z$3:$Z$5001,"&lt;&gt;"))))</f>
        <v/>
      </c>
      <c r="K260" s="42" t="str">
        <f>IF(OR($B260="",$A260&gt;$B$9),"",IF(COUNTIFS(BD!$B$3:$B$5001,K$243,BD!$A$3:$A$5001,"&gt;="&amp;$C$7,BD!$A$3:$A$5001,"&lt;="&amp;$B260,BD!$Z$3:$Z$5001,"&lt;&gt;")=0,"",SUMIFS(BD!$Z$3:$Z$5001,BD!$B$3:$B$5001,K$243,BD!$A$3:$A$5001,_xlfn.MAXIFS(BD!$A$3:$A$5001,BD!$B$3:$B$5001,K$243,BD!$A$3:$A$5001,"&gt;="&amp;$C$7,BD!$A$3:$A$5001,"&lt;="&amp;$B260,BD!$Z$3:$Z$5001,"&lt;&gt;"))))</f>
        <v/>
      </c>
      <c r="L260" s="42" t="str">
        <f>IF(OR($B260="",$A260&gt;$B$9),"",IF(COUNTIFS(BD!$B$3:$B$5001,L$243,BD!$A$3:$A$5001,"&gt;="&amp;$C$7,BD!$A$3:$A$5001,"&lt;="&amp;$B260,BD!$Z$3:$Z$5001,"&lt;&gt;")=0,"",SUMIFS(BD!$Z$3:$Z$5001,BD!$B$3:$B$5001,L$243,BD!$A$3:$A$5001,_xlfn.MAXIFS(BD!$A$3:$A$5001,BD!$B$3:$B$5001,L$243,BD!$A$3:$A$5001,"&gt;="&amp;$C$7,BD!$A$3:$A$5001,"&lt;="&amp;$B260,BD!$Z$3:$Z$5001,"&lt;&gt;"))))</f>
        <v/>
      </c>
    </row>
    <row r="261">
      <c r="A261" s="40">
        <v>18</v>
      </c>
      <c r="B261" s="41">
        <f>$B$29</f>
        <v>46313</v>
      </c>
      <c r="C261" s="42" t="str">
        <f>IF(OR($B261="",$A261&gt;$B$9),"",IF(COUNTIFS(BD!$B$3:$B$5001,C$243,BD!$A$3:$A$5001,"&gt;="&amp;$C$7,BD!$A$3:$A$5001,"&lt;="&amp;$B261,BD!$Z$3:$Z$5001,"&lt;&gt;")=0,"",SUMIFS(BD!$Z$3:$Z$5001,BD!$B$3:$B$5001,C$243,BD!$A$3:$A$5001,_xlfn.MAXIFS(BD!$A$3:$A$5001,BD!$B$3:$B$5001,C$243,BD!$A$3:$A$5001,"&gt;="&amp;$C$7,BD!$A$3:$A$5001,"&lt;="&amp;$B261,BD!$Z$3:$Z$5001,"&lt;&gt;"))))</f>
        <v/>
      </c>
      <c r="D261" s="42" t="str">
        <f>IF(OR($B261="",$A261&gt;$B$9),"",IF(COUNTIFS(BD!$B$3:$B$5001,D$243,BD!$A$3:$A$5001,"&gt;="&amp;$C$7,BD!$A$3:$A$5001,"&lt;="&amp;$B261,BD!$Z$3:$Z$5001,"&lt;&gt;")=0,"",SUMIFS(BD!$Z$3:$Z$5001,BD!$B$3:$B$5001,D$243,BD!$A$3:$A$5001,_xlfn.MAXIFS(BD!$A$3:$A$5001,BD!$B$3:$B$5001,D$243,BD!$A$3:$A$5001,"&gt;="&amp;$C$7,BD!$A$3:$A$5001,"&lt;="&amp;$B261,BD!$Z$3:$Z$5001,"&lt;&gt;"))))</f>
        <v/>
      </c>
      <c r="E261" s="42" t="str">
        <f>IF(OR($B261="",$A261&gt;$B$9),"",IF(COUNTIFS(BD!$B$3:$B$5001,E$243,BD!$A$3:$A$5001,"&gt;="&amp;$C$7,BD!$A$3:$A$5001,"&lt;="&amp;$B261,BD!$Z$3:$Z$5001,"&lt;&gt;")=0,"",SUMIFS(BD!$Z$3:$Z$5001,BD!$B$3:$B$5001,E$243,BD!$A$3:$A$5001,_xlfn.MAXIFS(BD!$A$3:$A$5001,BD!$B$3:$B$5001,E$243,BD!$A$3:$A$5001,"&gt;="&amp;$C$7,BD!$A$3:$A$5001,"&lt;="&amp;$B261,BD!$Z$3:$Z$5001,"&lt;&gt;"))))</f>
        <v/>
      </c>
      <c r="F261" s="42" t="str">
        <f>IF(OR($B261="",$A261&gt;$B$9),"",IF(COUNTIFS(BD!$B$3:$B$5001,F$243,BD!$A$3:$A$5001,"&gt;="&amp;$C$7,BD!$A$3:$A$5001,"&lt;="&amp;$B261,BD!$Z$3:$Z$5001,"&lt;&gt;")=0,"",SUMIFS(BD!$Z$3:$Z$5001,BD!$B$3:$B$5001,F$243,BD!$A$3:$A$5001,_xlfn.MAXIFS(BD!$A$3:$A$5001,BD!$B$3:$B$5001,F$243,BD!$A$3:$A$5001,"&gt;="&amp;$C$7,BD!$A$3:$A$5001,"&lt;="&amp;$B261,BD!$Z$3:$Z$5001,"&lt;&gt;"))))</f>
        <v/>
      </c>
      <c r="G261" s="42" t="str">
        <f>IF(OR($B261="",$A261&gt;$B$9),"",IF(COUNTIFS(BD!$B$3:$B$5001,G$243,BD!$A$3:$A$5001,"&gt;="&amp;$C$7,BD!$A$3:$A$5001,"&lt;="&amp;$B261,BD!$Z$3:$Z$5001,"&lt;&gt;")=0,"",SUMIFS(BD!$Z$3:$Z$5001,BD!$B$3:$B$5001,G$243,BD!$A$3:$A$5001,_xlfn.MAXIFS(BD!$A$3:$A$5001,BD!$B$3:$B$5001,G$243,BD!$A$3:$A$5001,"&gt;="&amp;$C$7,BD!$A$3:$A$5001,"&lt;="&amp;$B261,BD!$Z$3:$Z$5001,"&lt;&gt;"))))</f>
        <v/>
      </c>
      <c r="H261" s="42" t="str">
        <f>IF(OR($B261="",$A261&gt;$B$9),"",IF(COUNTIFS(BD!$B$3:$B$5001,H$243,BD!$A$3:$A$5001,"&gt;="&amp;$C$7,BD!$A$3:$A$5001,"&lt;="&amp;$B261,BD!$Z$3:$Z$5001,"&lt;&gt;")=0,"",SUMIFS(BD!$Z$3:$Z$5001,BD!$B$3:$B$5001,H$243,BD!$A$3:$A$5001,_xlfn.MAXIFS(BD!$A$3:$A$5001,BD!$B$3:$B$5001,H$243,BD!$A$3:$A$5001,"&gt;="&amp;$C$7,BD!$A$3:$A$5001,"&lt;="&amp;$B261,BD!$Z$3:$Z$5001,"&lt;&gt;"))))</f>
        <v/>
      </c>
      <c r="I261" s="42" t="str">
        <f>IF(OR($B261="",$A261&gt;$B$9),"",IF(COUNTIFS(BD!$B$3:$B$5001,I$243,BD!$A$3:$A$5001,"&gt;="&amp;$C$7,BD!$A$3:$A$5001,"&lt;="&amp;$B261,BD!$Z$3:$Z$5001,"&lt;&gt;")=0,"",SUMIFS(BD!$Z$3:$Z$5001,BD!$B$3:$B$5001,I$243,BD!$A$3:$A$5001,_xlfn.MAXIFS(BD!$A$3:$A$5001,BD!$B$3:$B$5001,I$243,BD!$A$3:$A$5001,"&gt;="&amp;$C$7,BD!$A$3:$A$5001,"&lt;="&amp;$B261,BD!$Z$3:$Z$5001,"&lt;&gt;"))))</f>
        <v/>
      </c>
      <c r="J261" s="42" t="str">
        <f>IF(OR($B261="",$A261&gt;$B$9),"",IF(COUNTIFS(BD!$B$3:$B$5001,J$243,BD!$A$3:$A$5001,"&gt;="&amp;$C$7,BD!$A$3:$A$5001,"&lt;="&amp;$B261,BD!$Z$3:$Z$5001,"&lt;&gt;")=0,"",SUMIFS(BD!$Z$3:$Z$5001,BD!$B$3:$B$5001,J$243,BD!$A$3:$A$5001,_xlfn.MAXIFS(BD!$A$3:$A$5001,BD!$B$3:$B$5001,J$243,BD!$A$3:$A$5001,"&gt;="&amp;$C$7,BD!$A$3:$A$5001,"&lt;="&amp;$B261,BD!$Z$3:$Z$5001,"&lt;&gt;"))))</f>
        <v/>
      </c>
      <c r="K261" s="42" t="str">
        <f>IF(OR($B261="",$A261&gt;$B$9),"",IF(COUNTIFS(BD!$B$3:$B$5001,K$243,BD!$A$3:$A$5001,"&gt;="&amp;$C$7,BD!$A$3:$A$5001,"&lt;="&amp;$B261,BD!$Z$3:$Z$5001,"&lt;&gt;")=0,"",SUMIFS(BD!$Z$3:$Z$5001,BD!$B$3:$B$5001,K$243,BD!$A$3:$A$5001,_xlfn.MAXIFS(BD!$A$3:$A$5001,BD!$B$3:$B$5001,K$243,BD!$A$3:$A$5001,"&gt;="&amp;$C$7,BD!$A$3:$A$5001,"&lt;="&amp;$B261,BD!$Z$3:$Z$5001,"&lt;&gt;"))))</f>
        <v/>
      </c>
      <c r="L261" s="42" t="str">
        <f>IF(OR($B261="",$A261&gt;$B$9),"",IF(COUNTIFS(BD!$B$3:$B$5001,L$243,BD!$A$3:$A$5001,"&gt;="&amp;$C$7,BD!$A$3:$A$5001,"&lt;="&amp;$B261,BD!$Z$3:$Z$5001,"&lt;&gt;")=0,"",SUMIFS(BD!$Z$3:$Z$5001,BD!$B$3:$B$5001,L$243,BD!$A$3:$A$5001,_xlfn.MAXIFS(BD!$A$3:$A$5001,BD!$B$3:$B$5001,L$243,BD!$A$3:$A$5001,"&gt;="&amp;$C$7,BD!$A$3:$A$5001,"&lt;="&amp;$B261,BD!$Z$3:$Z$5001,"&lt;&gt;"))))</f>
        <v/>
      </c>
    </row>
    <row r="262">
      <c r="A262" s="40">
        <v>19</v>
      </c>
      <c r="B262" s="41">
        <f>$B$30</f>
        <v>46314</v>
      </c>
      <c r="C262" s="42" t="str">
        <f>IF(OR($B262="",$A262&gt;$B$9),"",IF(COUNTIFS(BD!$B$3:$B$5001,C$243,BD!$A$3:$A$5001,"&gt;="&amp;$C$7,BD!$A$3:$A$5001,"&lt;="&amp;$B262,BD!$Z$3:$Z$5001,"&lt;&gt;")=0,"",SUMIFS(BD!$Z$3:$Z$5001,BD!$B$3:$B$5001,C$243,BD!$A$3:$A$5001,_xlfn.MAXIFS(BD!$A$3:$A$5001,BD!$B$3:$B$5001,C$243,BD!$A$3:$A$5001,"&gt;="&amp;$C$7,BD!$A$3:$A$5001,"&lt;="&amp;$B262,BD!$Z$3:$Z$5001,"&lt;&gt;"))))</f>
        <v/>
      </c>
      <c r="D262" s="42" t="str">
        <f>IF(OR($B262="",$A262&gt;$B$9),"",IF(COUNTIFS(BD!$B$3:$B$5001,D$243,BD!$A$3:$A$5001,"&gt;="&amp;$C$7,BD!$A$3:$A$5001,"&lt;="&amp;$B262,BD!$Z$3:$Z$5001,"&lt;&gt;")=0,"",SUMIFS(BD!$Z$3:$Z$5001,BD!$B$3:$B$5001,D$243,BD!$A$3:$A$5001,_xlfn.MAXIFS(BD!$A$3:$A$5001,BD!$B$3:$B$5001,D$243,BD!$A$3:$A$5001,"&gt;="&amp;$C$7,BD!$A$3:$A$5001,"&lt;="&amp;$B262,BD!$Z$3:$Z$5001,"&lt;&gt;"))))</f>
        <v/>
      </c>
      <c r="E262" s="42" t="str">
        <f>IF(OR($B262="",$A262&gt;$B$9),"",IF(COUNTIFS(BD!$B$3:$B$5001,E$243,BD!$A$3:$A$5001,"&gt;="&amp;$C$7,BD!$A$3:$A$5001,"&lt;="&amp;$B262,BD!$Z$3:$Z$5001,"&lt;&gt;")=0,"",SUMIFS(BD!$Z$3:$Z$5001,BD!$B$3:$B$5001,E$243,BD!$A$3:$A$5001,_xlfn.MAXIFS(BD!$A$3:$A$5001,BD!$B$3:$B$5001,E$243,BD!$A$3:$A$5001,"&gt;="&amp;$C$7,BD!$A$3:$A$5001,"&lt;="&amp;$B262,BD!$Z$3:$Z$5001,"&lt;&gt;"))))</f>
        <v/>
      </c>
      <c r="F262" s="42" t="str">
        <f>IF(OR($B262="",$A262&gt;$B$9),"",IF(COUNTIFS(BD!$B$3:$B$5001,F$243,BD!$A$3:$A$5001,"&gt;="&amp;$C$7,BD!$A$3:$A$5001,"&lt;="&amp;$B262,BD!$Z$3:$Z$5001,"&lt;&gt;")=0,"",SUMIFS(BD!$Z$3:$Z$5001,BD!$B$3:$B$5001,F$243,BD!$A$3:$A$5001,_xlfn.MAXIFS(BD!$A$3:$A$5001,BD!$B$3:$B$5001,F$243,BD!$A$3:$A$5001,"&gt;="&amp;$C$7,BD!$A$3:$A$5001,"&lt;="&amp;$B262,BD!$Z$3:$Z$5001,"&lt;&gt;"))))</f>
        <v/>
      </c>
      <c r="G262" s="42" t="str">
        <f>IF(OR($B262="",$A262&gt;$B$9),"",IF(COUNTIFS(BD!$B$3:$B$5001,G$243,BD!$A$3:$A$5001,"&gt;="&amp;$C$7,BD!$A$3:$A$5001,"&lt;="&amp;$B262,BD!$Z$3:$Z$5001,"&lt;&gt;")=0,"",SUMIFS(BD!$Z$3:$Z$5001,BD!$B$3:$B$5001,G$243,BD!$A$3:$A$5001,_xlfn.MAXIFS(BD!$A$3:$A$5001,BD!$B$3:$B$5001,G$243,BD!$A$3:$A$5001,"&gt;="&amp;$C$7,BD!$A$3:$A$5001,"&lt;="&amp;$B262,BD!$Z$3:$Z$5001,"&lt;&gt;"))))</f>
        <v/>
      </c>
      <c r="H262" s="42" t="str">
        <f>IF(OR($B262="",$A262&gt;$B$9),"",IF(COUNTIFS(BD!$B$3:$B$5001,H$243,BD!$A$3:$A$5001,"&gt;="&amp;$C$7,BD!$A$3:$A$5001,"&lt;="&amp;$B262,BD!$Z$3:$Z$5001,"&lt;&gt;")=0,"",SUMIFS(BD!$Z$3:$Z$5001,BD!$B$3:$B$5001,H$243,BD!$A$3:$A$5001,_xlfn.MAXIFS(BD!$A$3:$A$5001,BD!$B$3:$B$5001,H$243,BD!$A$3:$A$5001,"&gt;="&amp;$C$7,BD!$A$3:$A$5001,"&lt;="&amp;$B262,BD!$Z$3:$Z$5001,"&lt;&gt;"))))</f>
        <v/>
      </c>
      <c r="I262" s="42" t="str">
        <f>IF(OR($B262="",$A262&gt;$B$9),"",IF(COUNTIFS(BD!$B$3:$B$5001,I$243,BD!$A$3:$A$5001,"&gt;="&amp;$C$7,BD!$A$3:$A$5001,"&lt;="&amp;$B262,BD!$Z$3:$Z$5001,"&lt;&gt;")=0,"",SUMIFS(BD!$Z$3:$Z$5001,BD!$B$3:$B$5001,I$243,BD!$A$3:$A$5001,_xlfn.MAXIFS(BD!$A$3:$A$5001,BD!$B$3:$B$5001,I$243,BD!$A$3:$A$5001,"&gt;="&amp;$C$7,BD!$A$3:$A$5001,"&lt;="&amp;$B262,BD!$Z$3:$Z$5001,"&lt;&gt;"))))</f>
        <v/>
      </c>
      <c r="J262" s="42" t="str">
        <f>IF(OR($B262="",$A262&gt;$B$9),"",IF(COUNTIFS(BD!$B$3:$B$5001,J$243,BD!$A$3:$A$5001,"&gt;="&amp;$C$7,BD!$A$3:$A$5001,"&lt;="&amp;$B262,BD!$Z$3:$Z$5001,"&lt;&gt;")=0,"",SUMIFS(BD!$Z$3:$Z$5001,BD!$B$3:$B$5001,J$243,BD!$A$3:$A$5001,_xlfn.MAXIFS(BD!$A$3:$A$5001,BD!$B$3:$B$5001,J$243,BD!$A$3:$A$5001,"&gt;="&amp;$C$7,BD!$A$3:$A$5001,"&lt;="&amp;$B262,BD!$Z$3:$Z$5001,"&lt;&gt;"))))</f>
        <v/>
      </c>
      <c r="K262" s="42" t="str">
        <f>IF(OR($B262="",$A262&gt;$B$9),"",IF(COUNTIFS(BD!$B$3:$B$5001,K$243,BD!$A$3:$A$5001,"&gt;="&amp;$C$7,BD!$A$3:$A$5001,"&lt;="&amp;$B262,BD!$Z$3:$Z$5001,"&lt;&gt;")=0,"",SUMIFS(BD!$Z$3:$Z$5001,BD!$B$3:$B$5001,K$243,BD!$A$3:$A$5001,_xlfn.MAXIFS(BD!$A$3:$A$5001,BD!$B$3:$B$5001,K$243,BD!$A$3:$A$5001,"&gt;="&amp;$C$7,BD!$A$3:$A$5001,"&lt;="&amp;$B262,BD!$Z$3:$Z$5001,"&lt;&gt;"))))</f>
        <v/>
      </c>
      <c r="L262" s="42" t="str">
        <f>IF(OR($B262="",$A262&gt;$B$9),"",IF(COUNTIFS(BD!$B$3:$B$5001,L$243,BD!$A$3:$A$5001,"&gt;="&amp;$C$7,BD!$A$3:$A$5001,"&lt;="&amp;$B262,BD!$Z$3:$Z$5001,"&lt;&gt;")=0,"",SUMIFS(BD!$Z$3:$Z$5001,BD!$B$3:$B$5001,L$243,BD!$A$3:$A$5001,_xlfn.MAXIFS(BD!$A$3:$A$5001,BD!$B$3:$B$5001,L$243,BD!$A$3:$A$5001,"&gt;="&amp;$C$7,BD!$A$3:$A$5001,"&lt;="&amp;$B262,BD!$Z$3:$Z$5001,"&lt;&gt;"))))</f>
        <v/>
      </c>
    </row>
    <row r="263">
      <c r="A263" s="40">
        <v>20</v>
      </c>
      <c r="B263" s="41">
        <f>$B$31</f>
        <v>46315</v>
      </c>
      <c r="C263" s="42" t="str">
        <f>IF(OR($B263="",$A263&gt;$B$9),"",IF(COUNTIFS(BD!$B$3:$B$5001,C$243,BD!$A$3:$A$5001,"&gt;="&amp;$C$7,BD!$A$3:$A$5001,"&lt;="&amp;$B263,BD!$Z$3:$Z$5001,"&lt;&gt;")=0,"",SUMIFS(BD!$Z$3:$Z$5001,BD!$B$3:$B$5001,C$243,BD!$A$3:$A$5001,_xlfn.MAXIFS(BD!$A$3:$A$5001,BD!$B$3:$B$5001,C$243,BD!$A$3:$A$5001,"&gt;="&amp;$C$7,BD!$A$3:$A$5001,"&lt;="&amp;$B263,BD!$Z$3:$Z$5001,"&lt;&gt;"))))</f>
        <v/>
      </c>
      <c r="D263" s="42" t="str">
        <f>IF(OR($B263="",$A263&gt;$B$9),"",IF(COUNTIFS(BD!$B$3:$B$5001,D$243,BD!$A$3:$A$5001,"&gt;="&amp;$C$7,BD!$A$3:$A$5001,"&lt;="&amp;$B263,BD!$Z$3:$Z$5001,"&lt;&gt;")=0,"",SUMIFS(BD!$Z$3:$Z$5001,BD!$B$3:$B$5001,D$243,BD!$A$3:$A$5001,_xlfn.MAXIFS(BD!$A$3:$A$5001,BD!$B$3:$B$5001,D$243,BD!$A$3:$A$5001,"&gt;="&amp;$C$7,BD!$A$3:$A$5001,"&lt;="&amp;$B263,BD!$Z$3:$Z$5001,"&lt;&gt;"))))</f>
        <v/>
      </c>
      <c r="E263" s="42" t="str">
        <f>IF(OR($B263="",$A263&gt;$B$9),"",IF(COUNTIFS(BD!$B$3:$B$5001,E$243,BD!$A$3:$A$5001,"&gt;="&amp;$C$7,BD!$A$3:$A$5001,"&lt;="&amp;$B263,BD!$Z$3:$Z$5001,"&lt;&gt;")=0,"",SUMIFS(BD!$Z$3:$Z$5001,BD!$B$3:$B$5001,E$243,BD!$A$3:$A$5001,_xlfn.MAXIFS(BD!$A$3:$A$5001,BD!$B$3:$B$5001,E$243,BD!$A$3:$A$5001,"&gt;="&amp;$C$7,BD!$A$3:$A$5001,"&lt;="&amp;$B263,BD!$Z$3:$Z$5001,"&lt;&gt;"))))</f>
        <v/>
      </c>
      <c r="F263" s="42" t="str">
        <f>IF(OR($B263="",$A263&gt;$B$9),"",IF(COUNTIFS(BD!$B$3:$B$5001,F$243,BD!$A$3:$A$5001,"&gt;="&amp;$C$7,BD!$A$3:$A$5001,"&lt;="&amp;$B263,BD!$Z$3:$Z$5001,"&lt;&gt;")=0,"",SUMIFS(BD!$Z$3:$Z$5001,BD!$B$3:$B$5001,F$243,BD!$A$3:$A$5001,_xlfn.MAXIFS(BD!$A$3:$A$5001,BD!$B$3:$B$5001,F$243,BD!$A$3:$A$5001,"&gt;="&amp;$C$7,BD!$A$3:$A$5001,"&lt;="&amp;$B263,BD!$Z$3:$Z$5001,"&lt;&gt;"))))</f>
        <v/>
      </c>
      <c r="G263" s="42" t="str">
        <f>IF(OR($B263="",$A263&gt;$B$9),"",IF(COUNTIFS(BD!$B$3:$B$5001,G$243,BD!$A$3:$A$5001,"&gt;="&amp;$C$7,BD!$A$3:$A$5001,"&lt;="&amp;$B263,BD!$Z$3:$Z$5001,"&lt;&gt;")=0,"",SUMIFS(BD!$Z$3:$Z$5001,BD!$B$3:$B$5001,G$243,BD!$A$3:$A$5001,_xlfn.MAXIFS(BD!$A$3:$A$5001,BD!$B$3:$B$5001,G$243,BD!$A$3:$A$5001,"&gt;="&amp;$C$7,BD!$A$3:$A$5001,"&lt;="&amp;$B263,BD!$Z$3:$Z$5001,"&lt;&gt;"))))</f>
        <v/>
      </c>
      <c r="H263" s="42" t="str">
        <f>IF(OR($B263="",$A263&gt;$B$9),"",IF(COUNTIFS(BD!$B$3:$B$5001,H$243,BD!$A$3:$A$5001,"&gt;="&amp;$C$7,BD!$A$3:$A$5001,"&lt;="&amp;$B263,BD!$Z$3:$Z$5001,"&lt;&gt;")=0,"",SUMIFS(BD!$Z$3:$Z$5001,BD!$B$3:$B$5001,H$243,BD!$A$3:$A$5001,_xlfn.MAXIFS(BD!$A$3:$A$5001,BD!$B$3:$B$5001,H$243,BD!$A$3:$A$5001,"&gt;="&amp;$C$7,BD!$A$3:$A$5001,"&lt;="&amp;$B263,BD!$Z$3:$Z$5001,"&lt;&gt;"))))</f>
        <v/>
      </c>
      <c r="I263" s="42" t="str">
        <f>IF(OR($B263="",$A263&gt;$B$9),"",IF(COUNTIFS(BD!$B$3:$B$5001,I$243,BD!$A$3:$A$5001,"&gt;="&amp;$C$7,BD!$A$3:$A$5001,"&lt;="&amp;$B263,BD!$Z$3:$Z$5001,"&lt;&gt;")=0,"",SUMIFS(BD!$Z$3:$Z$5001,BD!$B$3:$B$5001,I$243,BD!$A$3:$A$5001,_xlfn.MAXIFS(BD!$A$3:$A$5001,BD!$B$3:$B$5001,I$243,BD!$A$3:$A$5001,"&gt;="&amp;$C$7,BD!$A$3:$A$5001,"&lt;="&amp;$B263,BD!$Z$3:$Z$5001,"&lt;&gt;"))))</f>
        <v/>
      </c>
      <c r="J263" s="42" t="str">
        <f>IF(OR($B263="",$A263&gt;$B$9),"",IF(COUNTIFS(BD!$B$3:$B$5001,J$243,BD!$A$3:$A$5001,"&gt;="&amp;$C$7,BD!$A$3:$A$5001,"&lt;="&amp;$B263,BD!$Z$3:$Z$5001,"&lt;&gt;")=0,"",SUMIFS(BD!$Z$3:$Z$5001,BD!$B$3:$B$5001,J$243,BD!$A$3:$A$5001,_xlfn.MAXIFS(BD!$A$3:$A$5001,BD!$B$3:$B$5001,J$243,BD!$A$3:$A$5001,"&gt;="&amp;$C$7,BD!$A$3:$A$5001,"&lt;="&amp;$B263,BD!$Z$3:$Z$5001,"&lt;&gt;"))))</f>
        <v/>
      </c>
      <c r="K263" s="42" t="str">
        <f>IF(OR($B263="",$A263&gt;$B$9),"",IF(COUNTIFS(BD!$B$3:$B$5001,K$243,BD!$A$3:$A$5001,"&gt;="&amp;$C$7,BD!$A$3:$A$5001,"&lt;="&amp;$B263,BD!$Z$3:$Z$5001,"&lt;&gt;")=0,"",SUMIFS(BD!$Z$3:$Z$5001,BD!$B$3:$B$5001,K$243,BD!$A$3:$A$5001,_xlfn.MAXIFS(BD!$A$3:$A$5001,BD!$B$3:$B$5001,K$243,BD!$A$3:$A$5001,"&gt;="&amp;$C$7,BD!$A$3:$A$5001,"&lt;="&amp;$B263,BD!$Z$3:$Z$5001,"&lt;&gt;"))))</f>
        <v/>
      </c>
      <c r="L263" s="42" t="str">
        <f>IF(OR($B263="",$A263&gt;$B$9),"",IF(COUNTIFS(BD!$B$3:$B$5001,L$243,BD!$A$3:$A$5001,"&gt;="&amp;$C$7,BD!$A$3:$A$5001,"&lt;="&amp;$B263,BD!$Z$3:$Z$5001,"&lt;&gt;")=0,"",SUMIFS(BD!$Z$3:$Z$5001,BD!$B$3:$B$5001,L$243,BD!$A$3:$A$5001,_xlfn.MAXIFS(BD!$A$3:$A$5001,BD!$B$3:$B$5001,L$243,BD!$A$3:$A$5001,"&gt;="&amp;$C$7,BD!$A$3:$A$5001,"&lt;="&amp;$B263,BD!$Z$3:$Z$5001,"&lt;&gt;"))))</f>
        <v/>
      </c>
    </row>
    <row r="264">
      <c r="A264" s="40">
        <v>21</v>
      </c>
      <c r="B264" s="41">
        <f>$B$32</f>
        <v>46316</v>
      </c>
      <c r="C264" s="42" t="str">
        <f>IF(OR($B264="",$A264&gt;$B$9),"",IF(COUNTIFS(BD!$B$3:$B$5001,C$243,BD!$A$3:$A$5001,"&gt;="&amp;$C$7,BD!$A$3:$A$5001,"&lt;="&amp;$B264,BD!$Z$3:$Z$5001,"&lt;&gt;")=0,"",SUMIFS(BD!$Z$3:$Z$5001,BD!$B$3:$B$5001,C$243,BD!$A$3:$A$5001,_xlfn.MAXIFS(BD!$A$3:$A$5001,BD!$B$3:$B$5001,C$243,BD!$A$3:$A$5001,"&gt;="&amp;$C$7,BD!$A$3:$A$5001,"&lt;="&amp;$B264,BD!$Z$3:$Z$5001,"&lt;&gt;"))))</f>
        <v/>
      </c>
      <c r="D264" s="42" t="str">
        <f>IF(OR($B264="",$A264&gt;$B$9),"",IF(COUNTIFS(BD!$B$3:$B$5001,D$243,BD!$A$3:$A$5001,"&gt;="&amp;$C$7,BD!$A$3:$A$5001,"&lt;="&amp;$B264,BD!$Z$3:$Z$5001,"&lt;&gt;")=0,"",SUMIFS(BD!$Z$3:$Z$5001,BD!$B$3:$B$5001,D$243,BD!$A$3:$A$5001,_xlfn.MAXIFS(BD!$A$3:$A$5001,BD!$B$3:$B$5001,D$243,BD!$A$3:$A$5001,"&gt;="&amp;$C$7,BD!$A$3:$A$5001,"&lt;="&amp;$B264,BD!$Z$3:$Z$5001,"&lt;&gt;"))))</f>
        <v/>
      </c>
      <c r="E264" s="42" t="str">
        <f>IF(OR($B264="",$A264&gt;$B$9),"",IF(COUNTIFS(BD!$B$3:$B$5001,E$243,BD!$A$3:$A$5001,"&gt;="&amp;$C$7,BD!$A$3:$A$5001,"&lt;="&amp;$B264,BD!$Z$3:$Z$5001,"&lt;&gt;")=0,"",SUMIFS(BD!$Z$3:$Z$5001,BD!$B$3:$B$5001,E$243,BD!$A$3:$A$5001,_xlfn.MAXIFS(BD!$A$3:$A$5001,BD!$B$3:$B$5001,E$243,BD!$A$3:$A$5001,"&gt;="&amp;$C$7,BD!$A$3:$A$5001,"&lt;="&amp;$B264,BD!$Z$3:$Z$5001,"&lt;&gt;"))))</f>
        <v/>
      </c>
      <c r="F264" s="42" t="str">
        <f>IF(OR($B264="",$A264&gt;$B$9),"",IF(COUNTIFS(BD!$B$3:$B$5001,F$243,BD!$A$3:$A$5001,"&gt;="&amp;$C$7,BD!$A$3:$A$5001,"&lt;="&amp;$B264,BD!$Z$3:$Z$5001,"&lt;&gt;")=0,"",SUMIFS(BD!$Z$3:$Z$5001,BD!$B$3:$B$5001,F$243,BD!$A$3:$A$5001,_xlfn.MAXIFS(BD!$A$3:$A$5001,BD!$B$3:$B$5001,F$243,BD!$A$3:$A$5001,"&gt;="&amp;$C$7,BD!$A$3:$A$5001,"&lt;="&amp;$B264,BD!$Z$3:$Z$5001,"&lt;&gt;"))))</f>
        <v/>
      </c>
      <c r="G264" s="42" t="str">
        <f>IF(OR($B264="",$A264&gt;$B$9),"",IF(COUNTIFS(BD!$B$3:$B$5001,G$243,BD!$A$3:$A$5001,"&gt;="&amp;$C$7,BD!$A$3:$A$5001,"&lt;="&amp;$B264,BD!$Z$3:$Z$5001,"&lt;&gt;")=0,"",SUMIFS(BD!$Z$3:$Z$5001,BD!$B$3:$B$5001,G$243,BD!$A$3:$A$5001,_xlfn.MAXIFS(BD!$A$3:$A$5001,BD!$B$3:$B$5001,G$243,BD!$A$3:$A$5001,"&gt;="&amp;$C$7,BD!$A$3:$A$5001,"&lt;="&amp;$B264,BD!$Z$3:$Z$5001,"&lt;&gt;"))))</f>
        <v/>
      </c>
      <c r="H264" s="42" t="str">
        <f>IF(OR($B264="",$A264&gt;$B$9),"",IF(COUNTIFS(BD!$B$3:$B$5001,H$243,BD!$A$3:$A$5001,"&gt;="&amp;$C$7,BD!$A$3:$A$5001,"&lt;="&amp;$B264,BD!$Z$3:$Z$5001,"&lt;&gt;")=0,"",SUMIFS(BD!$Z$3:$Z$5001,BD!$B$3:$B$5001,H$243,BD!$A$3:$A$5001,_xlfn.MAXIFS(BD!$A$3:$A$5001,BD!$B$3:$B$5001,H$243,BD!$A$3:$A$5001,"&gt;="&amp;$C$7,BD!$A$3:$A$5001,"&lt;="&amp;$B264,BD!$Z$3:$Z$5001,"&lt;&gt;"))))</f>
        <v/>
      </c>
      <c r="I264" s="42" t="str">
        <f>IF(OR($B264="",$A264&gt;$B$9),"",IF(COUNTIFS(BD!$B$3:$B$5001,I$243,BD!$A$3:$A$5001,"&gt;="&amp;$C$7,BD!$A$3:$A$5001,"&lt;="&amp;$B264,BD!$Z$3:$Z$5001,"&lt;&gt;")=0,"",SUMIFS(BD!$Z$3:$Z$5001,BD!$B$3:$B$5001,I$243,BD!$A$3:$A$5001,_xlfn.MAXIFS(BD!$A$3:$A$5001,BD!$B$3:$B$5001,I$243,BD!$A$3:$A$5001,"&gt;="&amp;$C$7,BD!$A$3:$A$5001,"&lt;="&amp;$B264,BD!$Z$3:$Z$5001,"&lt;&gt;"))))</f>
        <v/>
      </c>
      <c r="J264" s="42" t="str">
        <f>IF(OR($B264="",$A264&gt;$B$9),"",IF(COUNTIFS(BD!$B$3:$B$5001,J$243,BD!$A$3:$A$5001,"&gt;="&amp;$C$7,BD!$A$3:$A$5001,"&lt;="&amp;$B264,BD!$Z$3:$Z$5001,"&lt;&gt;")=0,"",SUMIFS(BD!$Z$3:$Z$5001,BD!$B$3:$B$5001,J$243,BD!$A$3:$A$5001,_xlfn.MAXIFS(BD!$A$3:$A$5001,BD!$B$3:$B$5001,J$243,BD!$A$3:$A$5001,"&gt;="&amp;$C$7,BD!$A$3:$A$5001,"&lt;="&amp;$B264,BD!$Z$3:$Z$5001,"&lt;&gt;"))))</f>
        <v/>
      </c>
      <c r="K264" s="42" t="str">
        <f>IF(OR($B264="",$A264&gt;$B$9),"",IF(COUNTIFS(BD!$B$3:$B$5001,K$243,BD!$A$3:$A$5001,"&gt;="&amp;$C$7,BD!$A$3:$A$5001,"&lt;="&amp;$B264,BD!$Z$3:$Z$5001,"&lt;&gt;")=0,"",SUMIFS(BD!$Z$3:$Z$5001,BD!$B$3:$B$5001,K$243,BD!$A$3:$A$5001,_xlfn.MAXIFS(BD!$A$3:$A$5001,BD!$B$3:$B$5001,K$243,BD!$A$3:$A$5001,"&gt;="&amp;$C$7,BD!$A$3:$A$5001,"&lt;="&amp;$B264,BD!$Z$3:$Z$5001,"&lt;&gt;"))))</f>
        <v/>
      </c>
      <c r="L264" s="42" t="str">
        <f>IF(OR($B264="",$A264&gt;$B$9),"",IF(COUNTIFS(BD!$B$3:$B$5001,L$243,BD!$A$3:$A$5001,"&gt;="&amp;$C$7,BD!$A$3:$A$5001,"&lt;="&amp;$B264,BD!$Z$3:$Z$5001,"&lt;&gt;")=0,"",SUMIFS(BD!$Z$3:$Z$5001,BD!$B$3:$B$5001,L$243,BD!$A$3:$A$5001,_xlfn.MAXIFS(BD!$A$3:$A$5001,BD!$B$3:$B$5001,L$243,BD!$A$3:$A$5001,"&gt;="&amp;$C$7,BD!$A$3:$A$5001,"&lt;="&amp;$B264,BD!$Z$3:$Z$5001,"&lt;&gt;"))))</f>
        <v/>
      </c>
    </row>
    <row r="265">
      <c r="A265" s="40">
        <v>22</v>
      </c>
      <c r="B265" s="41">
        <f>$B$33</f>
        <v>46317</v>
      </c>
      <c r="C265" s="42" t="str">
        <f>IF(OR($B265="",$A265&gt;$B$9),"",IF(COUNTIFS(BD!$B$3:$B$5001,C$243,BD!$A$3:$A$5001,"&gt;="&amp;$C$7,BD!$A$3:$A$5001,"&lt;="&amp;$B265,BD!$Z$3:$Z$5001,"&lt;&gt;")=0,"",SUMIFS(BD!$Z$3:$Z$5001,BD!$B$3:$B$5001,C$243,BD!$A$3:$A$5001,_xlfn.MAXIFS(BD!$A$3:$A$5001,BD!$B$3:$B$5001,C$243,BD!$A$3:$A$5001,"&gt;="&amp;$C$7,BD!$A$3:$A$5001,"&lt;="&amp;$B265,BD!$Z$3:$Z$5001,"&lt;&gt;"))))</f>
        <v/>
      </c>
      <c r="D265" s="42" t="str">
        <f>IF(OR($B265="",$A265&gt;$B$9),"",IF(COUNTIFS(BD!$B$3:$B$5001,D$243,BD!$A$3:$A$5001,"&gt;="&amp;$C$7,BD!$A$3:$A$5001,"&lt;="&amp;$B265,BD!$Z$3:$Z$5001,"&lt;&gt;")=0,"",SUMIFS(BD!$Z$3:$Z$5001,BD!$B$3:$B$5001,D$243,BD!$A$3:$A$5001,_xlfn.MAXIFS(BD!$A$3:$A$5001,BD!$B$3:$B$5001,D$243,BD!$A$3:$A$5001,"&gt;="&amp;$C$7,BD!$A$3:$A$5001,"&lt;="&amp;$B265,BD!$Z$3:$Z$5001,"&lt;&gt;"))))</f>
        <v/>
      </c>
      <c r="E265" s="42" t="str">
        <f>IF(OR($B265="",$A265&gt;$B$9),"",IF(COUNTIFS(BD!$B$3:$B$5001,E$243,BD!$A$3:$A$5001,"&gt;="&amp;$C$7,BD!$A$3:$A$5001,"&lt;="&amp;$B265,BD!$Z$3:$Z$5001,"&lt;&gt;")=0,"",SUMIFS(BD!$Z$3:$Z$5001,BD!$B$3:$B$5001,E$243,BD!$A$3:$A$5001,_xlfn.MAXIFS(BD!$A$3:$A$5001,BD!$B$3:$B$5001,E$243,BD!$A$3:$A$5001,"&gt;="&amp;$C$7,BD!$A$3:$A$5001,"&lt;="&amp;$B265,BD!$Z$3:$Z$5001,"&lt;&gt;"))))</f>
        <v/>
      </c>
      <c r="F265" s="42" t="str">
        <f>IF(OR($B265="",$A265&gt;$B$9),"",IF(COUNTIFS(BD!$B$3:$B$5001,F$243,BD!$A$3:$A$5001,"&gt;="&amp;$C$7,BD!$A$3:$A$5001,"&lt;="&amp;$B265,BD!$Z$3:$Z$5001,"&lt;&gt;")=0,"",SUMIFS(BD!$Z$3:$Z$5001,BD!$B$3:$B$5001,F$243,BD!$A$3:$A$5001,_xlfn.MAXIFS(BD!$A$3:$A$5001,BD!$B$3:$B$5001,F$243,BD!$A$3:$A$5001,"&gt;="&amp;$C$7,BD!$A$3:$A$5001,"&lt;="&amp;$B265,BD!$Z$3:$Z$5001,"&lt;&gt;"))))</f>
        <v/>
      </c>
      <c r="G265" s="42" t="str">
        <f>IF(OR($B265="",$A265&gt;$B$9),"",IF(COUNTIFS(BD!$B$3:$B$5001,G$243,BD!$A$3:$A$5001,"&gt;="&amp;$C$7,BD!$A$3:$A$5001,"&lt;="&amp;$B265,BD!$Z$3:$Z$5001,"&lt;&gt;")=0,"",SUMIFS(BD!$Z$3:$Z$5001,BD!$B$3:$B$5001,G$243,BD!$A$3:$A$5001,_xlfn.MAXIFS(BD!$A$3:$A$5001,BD!$B$3:$B$5001,G$243,BD!$A$3:$A$5001,"&gt;="&amp;$C$7,BD!$A$3:$A$5001,"&lt;="&amp;$B265,BD!$Z$3:$Z$5001,"&lt;&gt;"))))</f>
        <v/>
      </c>
      <c r="H265" s="42" t="str">
        <f>IF(OR($B265="",$A265&gt;$B$9),"",IF(COUNTIFS(BD!$B$3:$B$5001,H$243,BD!$A$3:$A$5001,"&gt;="&amp;$C$7,BD!$A$3:$A$5001,"&lt;="&amp;$B265,BD!$Z$3:$Z$5001,"&lt;&gt;")=0,"",SUMIFS(BD!$Z$3:$Z$5001,BD!$B$3:$B$5001,H$243,BD!$A$3:$A$5001,_xlfn.MAXIFS(BD!$A$3:$A$5001,BD!$B$3:$B$5001,H$243,BD!$A$3:$A$5001,"&gt;="&amp;$C$7,BD!$A$3:$A$5001,"&lt;="&amp;$B265,BD!$Z$3:$Z$5001,"&lt;&gt;"))))</f>
        <v/>
      </c>
      <c r="I265" s="42" t="str">
        <f>IF(OR($B265="",$A265&gt;$B$9),"",IF(COUNTIFS(BD!$B$3:$B$5001,I$243,BD!$A$3:$A$5001,"&gt;="&amp;$C$7,BD!$A$3:$A$5001,"&lt;="&amp;$B265,BD!$Z$3:$Z$5001,"&lt;&gt;")=0,"",SUMIFS(BD!$Z$3:$Z$5001,BD!$B$3:$B$5001,I$243,BD!$A$3:$A$5001,_xlfn.MAXIFS(BD!$A$3:$A$5001,BD!$B$3:$B$5001,I$243,BD!$A$3:$A$5001,"&gt;="&amp;$C$7,BD!$A$3:$A$5001,"&lt;="&amp;$B265,BD!$Z$3:$Z$5001,"&lt;&gt;"))))</f>
        <v/>
      </c>
      <c r="J265" s="42" t="str">
        <f>IF(OR($B265="",$A265&gt;$B$9),"",IF(COUNTIFS(BD!$B$3:$B$5001,J$243,BD!$A$3:$A$5001,"&gt;="&amp;$C$7,BD!$A$3:$A$5001,"&lt;="&amp;$B265,BD!$Z$3:$Z$5001,"&lt;&gt;")=0,"",SUMIFS(BD!$Z$3:$Z$5001,BD!$B$3:$B$5001,J$243,BD!$A$3:$A$5001,_xlfn.MAXIFS(BD!$A$3:$A$5001,BD!$B$3:$B$5001,J$243,BD!$A$3:$A$5001,"&gt;="&amp;$C$7,BD!$A$3:$A$5001,"&lt;="&amp;$B265,BD!$Z$3:$Z$5001,"&lt;&gt;"))))</f>
        <v/>
      </c>
      <c r="K265" s="42" t="str">
        <f>IF(OR($B265="",$A265&gt;$B$9),"",IF(COUNTIFS(BD!$B$3:$B$5001,K$243,BD!$A$3:$A$5001,"&gt;="&amp;$C$7,BD!$A$3:$A$5001,"&lt;="&amp;$B265,BD!$Z$3:$Z$5001,"&lt;&gt;")=0,"",SUMIFS(BD!$Z$3:$Z$5001,BD!$B$3:$B$5001,K$243,BD!$A$3:$A$5001,_xlfn.MAXIFS(BD!$A$3:$A$5001,BD!$B$3:$B$5001,K$243,BD!$A$3:$A$5001,"&gt;="&amp;$C$7,BD!$A$3:$A$5001,"&lt;="&amp;$B265,BD!$Z$3:$Z$5001,"&lt;&gt;"))))</f>
        <v/>
      </c>
      <c r="L265" s="42" t="str">
        <f>IF(OR($B265="",$A265&gt;$B$9),"",IF(COUNTIFS(BD!$B$3:$B$5001,L$243,BD!$A$3:$A$5001,"&gt;="&amp;$C$7,BD!$A$3:$A$5001,"&lt;="&amp;$B265,BD!$Z$3:$Z$5001,"&lt;&gt;")=0,"",SUMIFS(BD!$Z$3:$Z$5001,BD!$B$3:$B$5001,L$243,BD!$A$3:$A$5001,_xlfn.MAXIFS(BD!$A$3:$A$5001,BD!$B$3:$B$5001,L$243,BD!$A$3:$A$5001,"&gt;="&amp;$C$7,BD!$A$3:$A$5001,"&lt;="&amp;$B265,BD!$Z$3:$Z$5001,"&lt;&gt;"))))</f>
        <v/>
      </c>
    </row>
    <row r="266">
      <c r="A266" s="40">
        <v>23</v>
      </c>
      <c r="B266" s="41">
        <f>$B$34</f>
        <v>46318</v>
      </c>
      <c r="C266" s="42" t="str">
        <f>IF(OR($B266="",$A266&gt;$B$9),"",IF(COUNTIFS(BD!$B$3:$B$5001,C$243,BD!$A$3:$A$5001,"&gt;="&amp;$C$7,BD!$A$3:$A$5001,"&lt;="&amp;$B266,BD!$Z$3:$Z$5001,"&lt;&gt;")=0,"",SUMIFS(BD!$Z$3:$Z$5001,BD!$B$3:$B$5001,C$243,BD!$A$3:$A$5001,_xlfn.MAXIFS(BD!$A$3:$A$5001,BD!$B$3:$B$5001,C$243,BD!$A$3:$A$5001,"&gt;="&amp;$C$7,BD!$A$3:$A$5001,"&lt;="&amp;$B266,BD!$Z$3:$Z$5001,"&lt;&gt;"))))</f>
        <v/>
      </c>
      <c r="D266" s="42" t="str">
        <f>IF(OR($B266="",$A266&gt;$B$9),"",IF(COUNTIFS(BD!$B$3:$B$5001,D$243,BD!$A$3:$A$5001,"&gt;="&amp;$C$7,BD!$A$3:$A$5001,"&lt;="&amp;$B266,BD!$Z$3:$Z$5001,"&lt;&gt;")=0,"",SUMIFS(BD!$Z$3:$Z$5001,BD!$B$3:$B$5001,D$243,BD!$A$3:$A$5001,_xlfn.MAXIFS(BD!$A$3:$A$5001,BD!$B$3:$B$5001,D$243,BD!$A$3:$A$5001,"&gt;="&amp;$C$7,BD!$A$3:$A$5001,"&lt;="&amp;$B266,BD!$Z$3:$Z$5001,"&lt;&gt;"))))</f>
        <v/>
      </c>
      <c r="E266" s="42" t="str">
        <f>IF(OR($B266="",$A266&gt;$B$9),"",IF(COUNTIFS(BD!$B$3:$B$5001,E$243,BD!$A$3:$A$5001,"&gt;="&amp;$C$7,BD!$A$3:$A$5001,"&lt;="&amp;$B266,BD!$Z$3:$Z$5001,"&lt;&gt;")=0,"",SUMIFS(BD!$Z$3:$Z$5001,BD!$B$3:$B$5001,E$243,BD!$A$3:$A$5001,_xlfn.MAXIFS(BD!$A$3:$A$5001,BD!$B$3:$B$5001,E$243,BD!$A$3:$A$5001,"&gt;="&amp;$C$7,BD!$A$3:$A$5001,"&lt;="&amp;$B266,BD!$Z$3:$Z$5001,"&lt;&gt;"))))</f>
        <v/>
      </c>
      <c r="F266" s="42" t="str">
        <f>IF(OR($B266="",$A266&gt;$B$9),"",IF(COUNTIFS(BD!$B$3:$B$5001,F$243,BD!$A$3:$A$5001,"&gt;="&amp;$C$7,BD!$A$3:$A$5001,"&lt;="&amp;$B266,BD!$Z$3:$Z$5001,"&lt;&gt;")=0,"",SUMIFS(BD!$Z$3:$Z$5001,BD!$B$3:$B$5001,F$243,BD!$A$3:$A$5001,_xlfn.MAXIFS(BD!$A$3:$A$5001,BD!$B$3:$B$5001,F$243,BD!$A$3:$A$5001,"&gt;="&amp;$C$7,BD!$A$3:$A$5001,"&lt;="&amp;$B266,BD!$Z$3:$Z$5001,"&lt;&gt;"))))</f>
        <v/>
      </c>
      <c r="G266" s="42" t="str">
        <f>IF(OR($B266="",$A266&gt;$B$9),"",IF(COUNTIFS(BD!$B$3:$B$5001,G$243,BD!$A$3:$A$5001,"&gt;="&amp;$C$7,BD!$A$3:$A$5001,"&lt;="&amp;$B266,BD!$Z$3:$Z$5001,"&lt;&gt;")=0,"",SUMIFS(BD!$Z$3:$Z$5001,BD!$B$3:$B$5001,G$243,BD!$A$3:$A$5001,_xlfn.MAXIFS(BD!$A$3:$A$5001,BD!$B$3:$B$5001,G$243,BD!$A$3:$A$5001,"&gt;="&amp;$C$7,BD!$A$3:$A$5001,"&lt;="&amp;$B266,BD!$Z$3:$Z$5001,"&lt;&gt;"))))</f>
        <v/>
      </c>
      <c r="H266" s="42" t="str">
        <f>IF(OR($B266="",$A266&gt;$B$9),"",IF(COUNTIFS(BD!$B$3:$B$5001,H$243,BD!$A$3:$A$5001,"&gt;="&amp;$C$7,BD!$A$3:$A$5001,"&lt;="&amp;$B266,BD!$Z$3:$Z$5001,"&lt;&gt;")=0,"",SUMIFS(BD!$Z$3:$Z$5001,BD!$B$3:$B$5001,H$243,BD!$A$3:$A$5001,_xlfn.MAXIFS(BD!$A$3:$A$5001,BD!$B$3:$B$5001,H$243,BD!$A$3:$A$5001,"&gt;="&amp;$C$7,BD!$A$3:$A$5001,"&lt;="&amp;$B266,BD!$Z$3:$Z$5001,"&lt;&gt;"))))</f>
        <v/>
      </c>
      <c r="I266" s="42" t="str">
        <f>IF(OR($B266="",$A266&gt;$B$9),"",IF(COUNTIFS(BD!$B$3:$B$5001,I$243,BD!$A$3:$A$5001,"&gt;="&amp;$C$7,BD!$A$3:$A$5001,"&lt;="&amp;$B266,BD!$Z$3:$Z$5001,"&lt;&gt;")=0,"",SUMIFS(BD!$Z$3:$Z$5001,BD!$B$3:$B$5001,I$243,BD!$A$3:$A$5001,_xlfn.MAXIFS(BD!$A$3:$A$5001,BD!$B$3:$B$5001,I$243,BD!$A$3:$A$5001,"&gt;="&amp;$C$7,BD!$A$3:$A$5001,"&lt;="&amp;$B266,BD!$Z$3:$Z$5001,"&lt;&gt;"))))</f>
        <v/>
      </c>
      <c r="J266" s="42" t="str">
        <f>IF(OR($B266="",$A266&gt;$B$9),"",IF(COUNTIFS(BD!$B$3:$B$5001,J$243,BD!$A$3:$A$5001,"&gt;="&amp;$C$7,BD!$A$3:$A$5001,"&lt;="&amp;$B266,BD!$Z$3:$Z$5001,"&lt;&gt;")=0,"",SUMIFS(BD!$Z$3:$Z$5001,BD!$B$3:$B$5001,J$243,BD!$A$3:$A$5001,_xlfn.MAXIFS(BD!$A$3:$A$5001,BD!$B$3:$B$5001,J$243,BD!$A$3:$A$5001,"&gt;="&amp;$C$7,BD!$A$3:$A$5001,"&lt;="&amp;$B266,BD!$Z$3:$Z$5001,"&lt;&gt;"))))</f>
        <v/>
      </c>
      <c r="K266" s="42" t="str">
        <f>IF(OR($B266="",$A266&gt;$B$9),"",IF(COUNTIFS(BD!$B$3:$B$5001,K$243,BD!$A$3:$A$5001,"&gt;="&amp;$C$7,BD!$A$3:$A$5001,"&lt;="&amp;$B266,BD!$Z$3:$Z$5001,"&lt;&gt;")=0,"",SUMIFS(BD!$Z$3:$Z$5001,BD!$B$3:$B$5001,K$243,BD!$A$3:$A$5001,_xlfn.MAXIFS(BD!$A$3:$A$5001,BD!$B$3:$B$5001,K$243,BD!$A$3:$A$5001,"&gt;="&amp;$C$7,BD!$A$3:$A$5001,"&lt;="&amp;$B266,BD!$Z$3:$Z$5001,"&lt;&gt;"))))</f>
        <v/>
      </c>
      <c r="L266" s="42" t="str">
        <f>IF(OR($B266="",$A266&gt;$B$9),"",IF(COUNTIFS(BD!$B$3:$B$5001,L$243,BD!$A$3:$A$5001,"&gt;="&amp;$C$7,BD!$A$3:$A$5001,"&lt;="&amp;$B266,BD!$Z$3:$Z$5001,"&lt;&gt;")=0,"",SUMIFS(BD!$Z$3:$Z$5001,BD!$B$3:$B$5001,L$243,BD!$A$3:$A$5001,_xlfn.MAXIFS(BD!$A$3:$A$5001,BD!$B$3:$B$5001,L$243,BD!$A$3:$A$5001,"&gt;="&amp;$C$7,BD!$A$3:$A$5001,"&lt;="&amp;$B266,BD!$Z$3:$Z$5001,"&lt;&gt;"))))</f>
        <v/>
      </c>
    </row>
    <row r="267">
      <c r="A267" s="40">
        <v>24</v>
      </c>
      <c r="B267" s="41">
        <f>$B$35</f>
        <v>46319</v>
      </c>
      <c r="C267" s="42" t="str">
        <f>IF(OR($B267="",$A267&gt;$B$9),"",IF(COUNTIFS(BD!$B$3:$B$5001,C$243,BD!$A$3:$A$5001,"&gt;="&amp;$C$7,BD!$A$3:$A$5001,"&lt;="&amp;$B267,BD!$Z$3:$Z$5001,"&lt;&gt;")=0,"",SUMIFS(BD!$Z$3:$Z$5001,BD!$B$3:$B$5001,C$243,BD!$A$3:$A$5001,_xlfn.MAXIFS(BD!$A$3:$A$5001,BD!$B$3:$B$5001,C$243,BD!$A$3:$A$5001,"&gt;="&amp;$C$7,BD!$A$3:$A$5001,"&lt;="&amp;$B267,BD!$Z$3:$Z$5001,"&lt;&gt;"))))</f>
        <v/>
      </c>
      <c r="D267" s="42" t="str">
        <f>IF(OR($B267="",$A267&gt;$B$9),"",IF(COUNTIFS(BD!$B$3:$B$5001,D$243,BD!$A$3:$A$5001,"&gt;="&amp;$C$7,BD!$A$3:$A$5001,"&lt;="&amp;$B267,BD!$Z$3:$Z$5001,"&lt;&gt;")=0,"",SUMIFS(BD!$Z$3:$Z$5001,BD!$B$3:$B$5001,D$243,BD!$A$3:$A$5001,_xlfn.MAXIFS(BD!$A$3:$A$5001,BD!$B$3:$B$5001,D$243,BD!$A$3:$A$5001,"&gt;="&amp;$C$7,BD!$A$3:$A$5001,"&lt;="&amp;$B267,BD!$Z$3:$Z$5001,"&lt;&gt;"))))</f>
        <v/>
      </c>
      <c r="E267" s="42" t="str">
        <f>IF(OR($B267="",$A267&gt;$B$9),"",IF(COUNTIFS(BD!$B$3:$B$5001,E$243,BD!$A$3:$A$5001,"&gt;="&amp;$C$7,BD!$A$3:$A$5001,"&lt;="&amp;$B267,BD!$Z$3:$Z$5001,"&lt;&gt;")=0,"",SUMIFS(BD!$Z$3:$Z$5001,BD!$B$3:$B$5001,E$243,BD!$A$3:$A$5001,_xlfn.MAXIFS(BD!$A$3:$A$5001,BD!$B$3:$B$5001,E$243,BD!$A$3:$A$5001,"&gt;="&amp;$C$7,BD!$A$3:$A$5001,"&lt;="&amp;$B267,BD!$Z$3:$Z$5001,"&lt;&gt;"))))</f>
        <v/>
      </c>
      <c r="F267" s="42" t="str">
        <f>IF(OR($B267="",$A267&gt;$B$9),"",IF(COUNTIFS(BD!$B$3:$B$5001,F$243,BD!$A$3:$A$5001,"&gt;="&amp;$C$7,BD!$A$3:$A$5001,"&lt;="&amp;$B267,BD!$Z$3:$Z$5001,"&lt;&gt;")=0,"",SUMIFS(BD!$Z$3:$Z$5001,BD!$B$3:$B$5001,F$243,BD!$A$3:$A$5001,_xlfn.MAXIFS(BD!$A$3:$A$5001,BD!$B$3:$B$5001,F$243,BD!$A$3:$A$5001,"&gt;="&amp;$C$7,BD!$A$3:$A$5001,"&lt;="&amp;$B267,BD!$Z$3:$Z$5001,"&lt;&gt;"))))</f>
        <v/>
      </c>
      <c r="G267" s="42" t="str">
        <f>IF(OR($B267="",$A267&gt;$B$9),"",IF(COUNTIFS(BD!$B$3:$B$5001,G$243,BD!$A$3:$A$5001,"&gt;="&amp;$C$7,BD!$A$3:$A$5001,"&lt;="&amp;$B267,BD!$Z$3:$Z$5001,"&lt;&gt;")=0,"",SUMIFS(BD!$Z$3:$Z$5001,BD!$B$3:$B$5001,G$243,BD!$A$3:$A$5001,_xlfn.MAXIFS(BD!$A$3:$A$5001,BD!$B$3:$B$5001,G$243,BD!$A$3:$A$5001,"&gt;="&amp;$C$7,BD!$A$3:$A$5001,"&lt;="&amp;$B267,BD!$Z$3:$Z$5001,"&lt;&gt;"))))</f>
        <v/>
      </c>
      <c r="H267" s="42" t="str">
        <f>IF(OR($B267="",$A267&gt;$B$9),"",IF(COUNTIFS(BD!$B$3:$B$5001,H$243,BD!$A$3:$A$5001,"&gt;="&amp;$C$7,BD!$A$3:$A$5001,"&lt;="&amp;$B267,BD!$Z$3:$Z$5001,"&lt;&gt;")=0,"",SUMIFS(BD!$Z$3:$Z$5001,BD!$B$3:$B$5001,H$243,BD!$A$3:$A$5001,_xlfn.MAXIFS(BD!$A$3:$A$5001,BD!$B$3:$B$5001,H$243,BD!$A$3:$A$5001,"&gt;="&amp;$C$7,BD!$A$3:$A$5001,"&lt;="&amp;$B267,BD!$Z$3:$Z$5001,"&lt;&gt;"))))</f>
        <v/>
      </c>
      <c r="I267" s="42" t="str">
        <f>IF(OR($B267="",$A267&gt;$B$9),"",IF(COUNTIFS(BD!$B$3:$B$5001,I$243,BD!$A$3:$A$5001,"&gt;="&amp;$C$7,BD!$A$3:$A$5001,"&lt;="&amp;$B267,BD!$Z$3:$Z$5001,"&lt;&gt;")=0,"",SUMIFS(BD!$Z$3:$Z$5001,BD!$B$3:$B$5001,I$243,BD!$A$3:$A$5001,_xlfn.MAXIFS(BD!$A$3:$A$5001,BD!$B$3:$B$5001,I$243,BD!$A$3:$A$5001,"&gt;="&amp;$C$7,BD!$A$3:$A$5001,"&lt;="&amp;$B267,BD!$Z$3:$Z$5001,"&lt;&gt;"))))</f>
        <v/>
      </c>
      <c r="J267" s="42" t="str">
        <f>IF(OR($B267="",$A267&gt;$B$9),"",IF(COUNTIFS(BD!$B$3:$B$5001,J$243,BD!$A$3:$A$5001,"&gt;="&amp;$C$7,BD!$A$3:$A$5001,"&lt;="&amp;$B267,BD!$Z$3:$Z$5001,"&lt;&gt;")=0,"",SUMIFS(BD!$Z$3:$Z$5001,BD!$B$3:$B$5001,J$243,BD!$A$3:$A$5001,_xlfn.MAXIFS(BD!$A$3:$A$5001,BD!$B$3:$B$5001,J$243,BD!$A$3:$A$5001,"&gt;="&amp;$C$7,BD!$A$3:$A$5001,"&lt;="&amp;$B267,BD!$Z$3:$Z$5001,"&lt;&gt;"))))</f>
        <v/>
      </c>
      <c r="K267" s="42" t="str">
        <f>IF(OR($B267="",$A267&gt;$B$9),"",IF(COUNTIFS(BD!$B$3:$B$5001,K$243,BD!$A$3:$A$5001,"&gt;="&amp;$C$7,BD!$A$3:$A$5001,"&lt;="&amp;$B267,BD!$Z$3:$Z$5001,"&lt;&gt;")=0,"",SUMIFS(BD!$Z$3:$Z$5001,BD!$B$3:$B$5001,K$243,BD!$A$3:$A$5001,_xlfn.MAXIFS(BD!$A$3:$A$5001,BD!$B$3:$B$5001,K$243,BD!$A$3:$A$5001,"&gt;="&amp;$C$7,BD!$A$3:$A$5001,"&lt;="&amp;$B267,BD!$Z$3:$Z$5001,"&lt;&gt;"))))</f>
        <v/>
      </c>
      <c r="L267" s="42" t="str">
        <f>IF(OR($B267="",$A267&gt;$B$9),"",IF(COUNTIFS(BD!$B$3:$B$5001,L$243,BD!$A$3:$A$5001,"&gt;="&amp;$C$7,BD!$A$3:$A$5001,"&lt;="&amp;$B267,BD!$Z$3:$Z$5001,"&lt;&gt;")=0,"",SUMIFS(BD!$Z$3:$Z$5001,BD!$B$3:$B$5001,L$243,BD!$A$3:$A$5001,_xlfn.MAXIFS(BD!$A$3:$A$5001,BD!$B$3:$B$5001,L$243,BD!$A$3:$A$5001,"&gt;="&amp;$C$7,BD!$A$3:$A$5001,"&lt;="&amp;$B267,BD!$Z$3:$Z$5001,"&lt;&gt;"))))</f>
        <v/>
      </c>
    </row>
    <row r="268">
      <c r="A268" s="40">
        <v>25</v>
      </c>
      <c r="B268" s="41">
        <f>$B$36</f>
        <v>46320</v>
      </c>
      <c r="C268" s="42" t="str">
        <f>IF(OR($B268="",$A268&gt;$B$9),"",IF(COUNTIFS(BD!$B$3:$B$5001,C$243,BD!$A$3:$A$5001,"&gt;="&amp;$C$7,BD!$A$3:$A$5001,"&lt;="&amp;$B268,BD!$Z$3:$Z$5001,"&lt;&gt;")=0,"",SUMIFS(BD!$Z$3:$Z$5001,BD!$B$3:$B$5001,C$243,BD!$A$3:$A$5001,_xlfn.MAXIFS(BD!$A$3:$A$5001,BD!$B$3:$B$5001,C$243,BD!$A$3:$A$5001,"&gt;="&amp;$C$7,BD!$A$3:$A$5001,"&lt;="&amp;$B268,BD!$Z$3:$Z$5001,"&lt;&gt;"))))</f>
        <v/>
      </c>
      <c r="D268" s="42" t="str">
        <f>IF(OR($B268="",$A268&gt;$B$9),"",IF(COUNTIFS(BD!$B$3:$B$5001,D$243,BD!$A$3:$A$5001,"&gt;="&amp;$C$7,BD!$A$3:$A$5001,"&lt;="&amp;$B268,BD!$Z$3:$Z$5001,"&lt;&gt;")=0,"",SUMIFS(BD!$Z$3:$Z$5001,BD!$B$3:$B$5001,D$243,BD!$A$3:$A$5001,_xlfn.MAXIFS(BD!$A$3:$A$5001,BD!$B$3:$B$5001,D$243,BD!$A$3:$A$5001,"&gt;="&amp;$C$7,BD!$A$3:$A$5001,"&lt;="&amp;$B268,BD!$Z$3:$Z$5001,"&lt;&gt;"))))</f>
        <v/>
      </c>
      <c r="E268" s="42" t="str">
        <f>IF(OR($B268="",$A268&gt;$B$9),"",IF(COUNTIFS(BD!$B$3:$B$5001,E$243,BD!$A$3:$A$5001,"&gt;="&amp;$C$7,BD!$A$3:$A$5001,"&lt;="&amp;$B268,BD!$Z$3:$Z$5001,"&lt;&gt;")=0,"",SUMIFS(BD!$Z$3:$Z$5001,BD!$B$3:$B$5001,E$243,BD!$A$3:$A$5001,_xlfn.MAXIFS(BD!$A$3:$A$5001,BD!$B$3:$B$5001,E$243,BD!$A$3:$A$5001,"&gt;="&amp;$C$7,BD!$A$3:$A$5001,"&lt;="&amp;$B268,BD!$Z$3:$Z$5001,"&lt;&gt;"))))</f>
        <v/>
      </c>
      <c r="F268" s="42" t="str">
        <f>IF(OR($B268="",$A268&gt;$B$9),"",IF(COUNTIFS(BD!$B$3:$B$5001,F$243,BD!$A$3:$A$5001,"&gt;="&amp;$C$7,BD!$A$3:$A$5001,"&lt;="&amp;$B268,BD!$Z$3:$Z$5001,"&lt;&gt;")=0,"",SUMIFS(BD!$Z$3:$Z$5001,BD!$B$3:$B$5001,F$243,BD!$A$3:$A$5001,_xlfn.MAXIFS(BD!$A$3:$A$5001,BD!$B$3:$B$5001,F$243,BD!$A$3:$A$5001,"&gt;="&amp;$C$7,BD!$A$3:$A$5001,"&lt;="&amp;$B268,BD!$Z$3:$Z$5001,"&lt;&gt;"))))</f>
        <v/>
      </c>
      <c r="G268" s="42" t="str">
        <f>IF(OR($B268="",$A268&gt;$B$9),"",IF(COUNTIFS(BD!$B$3:$B$5001,G$243,BD!$A$3:$A$5001,"&gt;="&amp;$C$7,BD!$A$3:$A$5001,"&lt;="&amp;$B268,BD!$Z$3:$Z$5001,"&lt;&gt;")=0,"",SUMIFS(BD!$Z$3:$Z$5001,BD!$B$3:$B$5001,G$243,BD!$A$3:$A$5001,_xlfn.MAXIFS(BD!$A$3:$A$5001,BD!$B$3:$B$5001,G$243,BD!$A$3:$A$5001,"&gt;="&amp;$C$7,BD!$A$3:$A$5001,"&lt;="&amp;$B268,BD!$Z$3:$Z$5001,"&lt;&gt;"))))</f>
        <v/>
      </c>
      <c r="H268" s="42" t="str">
        <f>IF(OR($B268="",$A268&gt;$B$9),"",IF(COUNTIFS(BD!$B$3:$B$5001,H$243,BD!$A$3:$A$5001,"&gt;="&amp;$C$7,BD!$A$3:$A$5001,"&lt;="&amp;$B268,BD!$Z$3:$Z$5001,"&lt;&gt;")=0,"",SUMIFS(BD!$Z$3:$Z$5001,BD!$B$3:$B$5001,H$243,BD!$A$3:$A$5001,_xlfn.MAXIFS(BD!$A$3:$A$5001,BD!$B$3:$B$5001,H$243,BD!$A$3:$A$5001,"&gt;="&amp;$C$7,BD!$A$3:$A$5001,"&lt;="&amp;$B268,BD!$Z$3:$Z$5001,"&lt;&gt;"))))</f>
        <v/>
      </c>
      <c r="I268" s="42" t="str">
        <f>IF(OR($B268="",$A268&gt;$B$9),"",IF(COUNTIFS(BD!$B$3:$B$5001,I$243,BD!$A$3:$A$5001,"&gt;="&amp;$C$7,BD!$A$3:$A$5001,"&lt;="&amp;$B268,BD!$Z$3:$Z$5001,"&lt;&gt;")=0,"",SUMIFS(BD!$Z$3:$Z$5001,BD!$B$3:$B$5001,I$243,BD!$A$3:$A$5001,_xlfn.MAXIFS(BD!$A$3:$A$5001,BD!$B$3:$B$5001,I$243,BD!$A$3:$A$5001,"&gt;="&amp;$C$7,BD!$A$3:$A$5001,"&lt;="&amp;$B268,BD!$Z$3:$Z$5001,"&lt;&gt;"))))</f>
        <v/>
      </c>
      <c r="J268" s="42" t="str">
        <f>IF(OR($B268="",$A268&gt;$B$9),"",IF(COUNTIFS(BD!$B$3:$B$5001,J$243,BD!$A$3:$A$5001,"&gt;="&amp;$C$7,BD!$A$3:$A$5001,"&lt;="&amp;$B268,BD!$Z$3:$Z$5001,"&lt;&gt;")=0,"",SUMIFS(BD!$Z$3:$Z$5001,BD!$B$3:$B$5001,J$243,BD!$A$3:$A$5001,_xlfn.MAXIFS(BD!$A$3:$A$5001,BD!$B$3:$B$5001,J$243,BD!$A$3:$A$5001,"&gt;="&amp;$C$7,BD!$A$3:$A$5001,"&lt;="&amp;$B268,BD!$Z$3:$Z$5001,"&lt;&gt;"))))</f>
        <v/>
      </c>
      <c r="K268" s="42" t="str">
        <f>IF(OR($B268="",$A268&gt;$B$9),"",IF(COUNTIFS(BD!$B$3:$B$5001,K$243,BD!$A$3:$A$5001,"&gt;="&amp;$C$7,BD!$A$3:$A$5001,"&lt;="&amp;$B268,BD!$Z$3:$Z$5001,"&lt;&gt;")=0,"",SUMIFS(BD!$Z$3:$Z$5001,BD!$B$3:$B$5001,K$243,BD!$A$3:$A$5001,_xlfn.MAXIFS(BD!$A$3:$A$5001,BD!$B$3:$B$5001,K$243,BD!$A$3:$A$5001,"&gt;="&amp;$C$7,BD!$A$3:$A$5001,"&lt;="&amp;$B268,BD!$Z$3:$Z$5001,"&lt;&gt;"))))</f>
        <v/>
      </c>
      <c r="L268" s="42" t="str">
        <f>IF(OR($B268="",$A268&gt;$B$9),"",IF(COUNTIFS(BD!$B$3:$B$5001,L$243,BD!$A$3:$A$5001,"&gt;="&amp;$C$7,BD!$A$3:$A$5001,"&lt;="&amp;$B268,BD!$Z$3:$Z$5001,"&lt;&gt;")=0,"",SUMIFS(BD!$Z$3:$Z$5001,BD!$B$3:$B$5001,L$243,BD!$A$3:$A$5001,_xlfn.MAXIFS(BD!$A$3:$A$5001,BD!$B$3:$B$5001,L$243,BD!$A$3:$A$5001,"&gt;="&amp;$C$7,BD!$A$3:$A$5001,"&lt;="&amp;$B268,BD!$Z$3:$Z$5001,"&lt;&gt;"))))</f>
        <v/>
      </c>
    </row>
    <row r="269">
      <c r="A269" s="40">
        <v>26</v>
      </c>
      <c r="B269" s="41">
        <f>$B$37</f>
        <v>46321</v>
      </c>
      <c r="C269" s="42" t="str">
        <f>IF(OR($B269="",$A269&gt;$B$9),"",IF(COUNTIFS(BD!$B$3:$B$5001,C$243,BD!$A$3:$A$5001,"&gt;="&amp;$C$7,BD!$A$3:$A$5001,"&lt;="&amp;$B269,BD!$Z$3:$Z$5001,"&lt;&gt;")=0,"",SUMIFS(BD!$Z$3:$Z$5001,BD!$B$3:$B$5001,C$243,BD!$A$3:$A$5001,_xlfn.MAXIFS(BD!$A$3:$A$5001,BD!$B$3:$B$5001,C$243,BD!$A$3:$A$5001,"&gt;="&amp;$C$7,BD!$A$3:$A$5001,"&lt;="&amp;$B269,BD!$Z$3:$Z$5001,"&lt;&gt;"))))</f>
        <v/>
      </c>
      <c r="D269" s="42" t="str">
        <f>IF(OR($B269="",$A269&gt;$B$9),"",IF(COUNTIFS(BD!$B$3:$B$5001,D$243,BD!$A$3:$A$5001,"&gt;="&amp;$C$7,BD!$A$3:$A$5001,"&lt;="&amp;$B269,BD!$Z$3:$Z$5001,"&lt;&gt;")=0,"",SUMIFS(BD!$Z$3:$Z$5001,BD!$B$3:$B$5001,D$243,BD!$A$3:$A$5001,_xlfn.MAXIFS(BD!$A$3:$A$5001,BD!$B$3:$B$5001,D$243,BD!$A$3:$A$5001,"&gt;="&amp;$C$7,BD!$A$3:$A$5001,"&lt;="&amp;$B269,BD!$Z$3:$Z$5001,"&lt;&gt;"))))</f>
        <v/>
      </c>
      <c r="E269" s="42" t="str">
        <f>IF(OR($B269="",$A269&gt;$B$9),"",IF(COUNTIFS(BD!$B$3:$B$5001,E$243,BD!$A$3:$A$5001,"&gt;="&amp;$C$7,BD!$A$3:$A$5001,"&lt;="&amp;$B269,BD!$Z$3:$Z$5001,"&lt;&gt;")=0,"",SUMIFS(BD!$Z$3:$Z$5001,BD!$B$3:$B$5001,E$243,BD!$A$3:$A$5001,_xlfn.MAXIFS(BD!$A$3:$A$5001,BD!$B$3:$B$5001,E$243,BD!$A$3:$A$5001,"&gt;="&amp;$C$7,BD!$A$3:$A$5001,"&lt;="&amp;$B269,BD!$Z$3:$Z$5001,"&lt;&gt;"))))</f>
        <v/>
      </c>
      <c r="F269" s="42" t="str">
        <f>IF(OR($B269="",$A269&gt;$B$9),"",IF(COUNTIFS(BD!$B$3:$B$5001,F$243,BD!$A$3:$A$5001,"&gt;="&amp;$C$7,BD!$A$3:$A$5001,"&lt;="&amp;$B269,BD!$Z$3:$Z$5001,"&lt;&gt;")=0,"",SUMIFS(BD!$Z$3:$Z$5001,BD!$B$3:$B$5001,F$243,BD!$A$3:$A$5001,_xlfn.MAXIFS(BD!$A$3:$A$5001,BD!$B$3:$B$5001,F$243,BD!$A$3:$A$5001,"&gt;="&amp;$C$7,BD!$A$3:$A$5001,"&lt;="&amp;$B269,BD!$Z$3:$Z$5001,"&lt;&gt;"))))</f>
        <v/>
      </c>
      <c r="G269" s="42" t="str">
        <f>IF(OR($B269="",$A269&gt;$B$9),"",IF(COUNTIFS(BD!$B$3:$B$5001,G$243,BD!$A$3:$A$5001,"&gt;="&amp;$C$7,BD!$A$3:$A$5001,"&lt;="&amp;$B269,BD!$Z$3:$Z$5001,"&lt;&gt;")=0,"",SUMIFS(BD!$Z$3:$Z$5001,BD!$B$3:$B$5001,G$243,BD!$A$3:$A$5001,_xlfn.MAXIFS(BD!$A$3:$A$5001,BD!$B$3:$B$5001,G$243,BD!$A$3:$A$5001,"&gt;="&amp;$C$7,BD!$A$3:$A$5001,"&lt;="&amp;$B269,BD!$Z$3:$Z$5001,"&lt;&gt;"))))</f>
        <v/>
      </c>
      <c r="H269" s="42" t="str">
        <f>IF(OR($B269="",$A269&gt;$B$9),"",IF(COUNTIFS(BD!$B$3:$B$5001,H$243,BD!$A$3:$A$5001,"&gt;="&amp;$C$7,BD!$A$3:$A$5001,"&lt;="&amp;$B269,BD!$Z$3:$Z$5001,"&lt;&gt;")=0,"",SUMIFS(BD!$Z$3:$Z$5001,BD!$B$3:$B$5001,H$243,BD!$A$3:$A$5001,_xlfn.MAXIFS(BD!$A$3:$A$5001,BD!$B$3:$B$5001,H$243,BD!$A$3:$A$5001,"&gt;="&amp;$C$7,BD!$A$3:$A$5001,"&lt;="&amp;$B269,BD!$Z$3:$Z$5001,"&lt;&gt;"))))</f>
        <v/>
      </c>
      <c r="I269" s="42" t="str">
        <f>IF(OR($B269="",$A269&gt;$B$9),"",IF(COUNTIFS(BD!$B$3:$B$5001,I$243,BD!$A$3:$A$5001,"&gt;="&amp;$C$7,BD!$A$3:$A$5001,"&lt;="&amp;$B269,BD!$Z$3:$Z$5001,"&lt;&gt;")=0,"",SUMIFS(BD!$Z$3:$Z$5001,BD!$B$3:$B$5001,I$243,BD!$A$3:$A$5001,_xlfn.MAXIFS(BD!$A$3:$A$5001,BD!$B$3:$B$5001,I$243,BD!$A$3:$A$5001,"&gt;="&amp;$C$7,BD!$A$3:$A$5001,"&lt;="&amp;$B269,BD!$Z$3:$Z$5001,"&lt;&gt;"))))</f>
        <v/>
      </c>
      <c r="J269" s="42" t="str">
        <f>IF(OR($B269="",$A269&gt;$B$9),"",IF(COUNTIFS(BD!$B$3:$B$5001,J$243,BD!$A$3:$A$5001,"&gt;="&amp;$C$7,BD!$A$3:$A$5001,"&lt;="&amp;$B269,BD!$Z$3:$Z$5001,"&lt;&gt;")=0,"",SUMIFS(BD!$Z$3:$Z$5001,BD!$B$3:$B$5001,J$243,BD!$A$3:$A$5001,_xlfn.MAXIFS(BD!$A$3:$A$5001,BD!$B$3:$B$5001,J$243,BD!$A$3:$A$5001,"&gt;="&amp;$C$7,BD!$A$3:$A$5001,"&lt;="&amp;$B269,BD!$Z$3:$Z$5001,"&lt;&gt;"))))</f>
        <v/>
      </c>
      <c r="K269" s="42" t="str">
        <f>IF(OR($B269="",$A269&gt;$B$9),"",IF(COUNTIFS(BD!$B$3:$B$5001,K$243,BD!$A$3:$A$5001,"&gt;="&amp;$C$7,BD!$A$3:$A$5001,"&lt;="&amp;$B269,BD!$Z$3:$Z$5001,"&lt;&gt;")=0,"",SUMIFS(BD!$Z$3:$Z$5001,BD!$B$3:$B$5001,K$243,BD!$A$3:$A$5001,_xlfn.MAXIFS(BD!$A$3:$A$5001,BD!$B$3:$B$5001,K$243,BD!$A$3:$A$5001,"&gt;="&amp;$C$7,BD!$A$3:$A$5001,"&lt;="&amp;$B269,BD!$Z$3:$Z$5001,"&lt;&gt;"))))</f>
        <v/>
      </c>
      <c r="L269" s="42" t="str">
        <f>IF(OR($B269="",$A269&gt;$B$9),"",IF(COUNTIFS(BD!$B$3:$B$5001,L$243,BD!$A$3:$A$5001,"&gt;="&amp;$C$7,BD!$A$3:$A$5001,"&lt;="&amp;$B269,BD!$Z$3:$Z$5001,"&lt;&gt;")=0,"",SUMIFS(BD!$Z$3:$Z$5001,BD!$B$3:$B$5001,L$243,BD!$A$3:$A$5001,_xlfn.MAXIFS(BD!$A$3:$A$5001,BD!$B$3:$B$5001,L$243,BD!$A$3:$A$5001,"&gt;="&amp;$C$7,BD!$A$3:$A$5001,"&lt;="&amp;$B269,BD!$Z$3:$Z$5001,"&lt;&gt;"))))</f>
        <v/>
      </c>
    </row>
    <row r="270">
      <c r="A270" s="40">
        <v>27</v>
      </c>
      <c r="B270" s="41">
        <f>$B$38</f>
        <v>46322</v>
      </c>
      <c r="C270" s="42" t="str">
        <f>IF(OR($B270="",$A270&gt;$B$9),"",IF(COUNTIFS(BD!$B$3:$B$5001,C$243,BD!$A$3:$A$5001,"&gt;="&amp;$C$7,BD!$A$3:$A$5001,"&lt;="&amp;$B270,BD!$Z$3:$Z$5001,"&lt;&gt;")=0,"",SUMIFS(BD!$Z$3:$Z$5001,BD!$B$3:$B$5001,C$243,BD!$A$3:$A$5001,_xlfn.MAXIFS(BD!$A$3:$A$5001,BD!$B$3:$B$5001,C$243,BD!$A$3:$A$5001,"&gt;="&amp;$C$7,BD!$A$3:$A$5001,"&lt;="&amp;$B270,BD!$Z$3:$Z$5001,"&lt;&gt;"))))</f>
        <v/>
      </c>
      <c r="D270" s="42" t="str">
        <f>IF(OR($B270="",$A270&gt;$B$9),"",IF(COUNTIFS(BD!$B$3:$B$5001,D$243,BD!$A$3:$A$5001,"&gt;="&amp;$C$7,BD!$A$3:$A$5001,"&lt;="&amp;$B270,BD!$Z$3:$Z$5001,"&lt;&gt;")=0,"",SUMIFS(BD!$Z$3:$Z$5001,BD!$B$3:$B$5001,D$243,BD!$A$3:$A$5001,_xlfn.MAXIFS(BD!$A$3:$A$5001,BD!$B$3:$B$5001,D$243,BD!$A$3:$A$5001,"&gt;="&amp;$C$7,BD!$A$3:$A$5001,"&lt;="&amp;$B270,BD!$Z$3:$Z$5001,"&lt;&gt;"))))</f>
        <v/>
      </c>
      <c r="E270" s="42" t="str">
        <f>IF(OR($B270="",$A270&gt;$B$9),"",IF(COUNTIFS(BD!$B$3:$B$5001,E$243,BD!$A$3:$A$5001,"&gt;="&amp;$C$7,BD!$A$3:$A$5001,"&lt;="&amp;$B270,BD!$Z$3:$Z$5001,"&lt;&gt;")=0,"",SUMIFS(BD!$Z$3:$Z$5001,BD!$B$3:$B$5001,E$243,BD!$A$3:$A$5001,_xlfn.MAXIFS(BD!$A$3:$A$5001,BD!$B$3:$B$5001,E$243,BD!$A$3:$A$5001,"&gt;="&amp;$C$7,BD!$A$3:$A$5001,"&lt;="&amp;$B270,BD!$Z$3:$Z$5001,"&lt;&gt;"))))</f>
        <v/>
      </c>
      <c r="F270" s="42" t="str">
        <f>IF(OR($B270="",$A270&gt;$B$9),"",IF(COUNTIFS(BD!$B$3:$B$5001,F$243,BD!$A$3:$A$5001,"&gt;="&amp;$C$7,BD!$A$3:$A$5001,"&lt;="&amp;$B270,BD!$Z$3:$Z$5001,"&lt;&gt;")=0,"",SUMIFS(BD!$Z$3:$Z$5001,BD!$B$3:$B$5001,F$243,BD!$A$3:$A$5001,_xlfn.MAXIFS(BD!$A$3:$A$5001,BD!$B$3:$B$5001,F$243,BD!$A$3:$A$5001,"&gt;="&amp;$C$7,BD!$A$3:$A$5001,"&lt;="&amp;$B270,BD!$Z$3:$Z$5001,"&lt;&gt;"))))</f>
        <v/>
      </c>
      <c r="G270" s="42" t="str">
        <f>IF(OR($B270="",$A270&gt;$B$9),"",IF(COUNTIFS(BD!$B$3:$B$5001,G$243,BD!$A$3:$A$5001,"&gt;="&amp;$C$7,BD!$A$3:$A$5001,"&lt;="&amp;$B270,BD!$Z$3:$Z$5001,"&lt;&gt;")=0,"",SUMIFS(BD!$Z$3:$Z$5001,BD!$B$3:$B$5001,G$243,BD!$A$3:$A$5001,_xlfn.MAXIFS(BD!$A$3:$A$5001,BD!$B$3:$B$5001,G$243,BD!$A$3:$A$5001,"&gt;="&amp;$C$7,BD!$A$3:$A$5001,"&lt;="&amp;$B270,BD!$Z$3:$Z$5001,"&lt;&gt;"))))</f>
        <v/>
      </c>
      <c r="H270" s="42" t="str">
        <f>IF(OR($B270="",$A270&gt;$B$9),"",IF(COUNTIFS(BD!$B$3:$B$5001,H$243,BD!$A$3:$A$5001,"&gt;="&amp;$C$7,BD!$A$3:$A$5001,"&lt;="&amp;$B270,BD!$Z$3:$Z$5001,"&lt;&gt;")=0,"",SUMIFS(BD!$Z$3:$Z$5001,BD!$B$3:$B$5001,H$243,BD!$A$3:$A$5001,_xlfn.MAXIFS(BD!$A$3:$A$5001,BD!$B$3:$B$5001,H$243,BD!$A$3:$A$5001,"&gt;="&amp;$C$7,BD!$A$3:$A$5001,"&lt;="&amp;$B270,BD!$Z$3:$Z$5001,"&lt;&gt;"))))</f>
        <v/>
      </c>
      <c r="I270" s="42" t="str">
        <f>IF(OR($B270="",$A270&gt;$B$9),"",IF(COUNTIFS(BD!$B$3:$B$5001,I$243,BD!$A$3:$A$5001,"&gt;="&amp;$C$7,BD!$A$3:$A$5001,"&lt;="&amp;$B270,BD!$Z$3:$Z$5001,"&lt;&gt;")=0,"",SUMIFS(BD!$Z$3:$Z$5001,BD!$B$3:$B$5001,I$243,BD!$A$3:$A$5001,_xlfn.MAXIFS(BD!$A$3:$A$5001,BD!$B$3:$B$5001,I$243,BD!$A$3:$A$5001,"&gt;="&amp;$C$7,BD!$A$3:$A$5001,"&lt;="&amp;$B270,BD!$Z$3:$Z$5001,"&lt;&gt;"))))</f>
        <v/>
      </c>
      <c r="J270" s="42" t="str">
        <f>IF(OR($B270="",$A270&gt;$B$9),"",IF(COUNTIFS(BD!$B$3:$B$5001,J$243,BD!$A$3:$A$5001,"&gt;="&amp;$C$7,BD!$A$3:$A$5001,"&lt;="&amp;$B270,BD!$Z$3:$Z$5001,"&lt;&gt;")=0,"",SUMIFS(BD!$Z$3:$Z$5001,BD!$B$3:$B$5001,J$243,BD!$A$3:$A$5001,_xlfn.MAXIFS(BD!$A$3:$A$5001,BD!$B$3:$B$5001,J$243,BD!$A$3:$A$5001,"&gt;="&amp;$C$7,BD!$A$3:$A$5001,"&lt;="&amp;$B270,BD!$Z$3:$Z$5001,"&lt;&gt;"))))</f>
        <v/>
      </c>
      <c r="K270" s="42" t="str">
        <f>IF(OR($B270="",$A270&gt;$B$9),"",IF(COUNTIFS(BD!$B$3:$B$5001,K$243,BD!$A$3:$A$5001,"&gt;="&amp;$C$7,BD!$A$3:$A$5001,"&lt;="&amp;$B270,BD!$Z$3:$Z$5001,"&lt;&gt;")=0,"",SUMIFS(BD!$Z$3:$Z$5001,BD!$B$3:$B$5001,K$243,BD!$A$3:$A$5001,_xlfn.MAXIFS(BD!$A$3:$A$5001,BD!$B$3:$B$5001,K$243,BD!$A$3:$A$5001,"&gt;="&amp;$C$7,BD!$A$3:$A$5001,"&lt;="&amp;$B270,BD!$Z$3:$Z$5001,"&lt;&gt;"))))</f>
        <v/>
      </c>
      <c r="L270" s="42" t="str">
        <f>IF(OR($B270="",$A270&gt;$B$9),"",IF(COUNTIFS(BD!$B$3:$B$5001,L$243,BD!$A$3:$A$5001,"&gt;="&amp;$C$7,BD!$A$3:$A$5001,"&lt;="&amp;$B270,BD!$Z$3:$Z$5001,"&lt;&gt;")=0,"",SUMIFS(BD!$Z$3:$Z$5001,BD!$B$3:$B$5001,L$243,BD!$A$3:$A$5001,_xlfn.MAXIFS(BD!$A$3:$A$5001,BD!$B$3:$B$5001,L$243,BD!$A$3:$A$5001,"&gt;="&amp;$C$7,BD!$A$3:$A$5001,"&lt;="&amp;$B270,BD!$Z$3:$Z$5001,"&lt;&gt;"))))</f>
        <v/>
      </c>
    </row>
    <row r="271">
      <c r="A271" s="40">
        <v>28</v>
      </c>
      <c r="B271" s="41">
        <f>$B$39</f>
        <v>46323</v>
      </c>
      <c r="C271" s="42" t="str">
        <f>IF(OR($B271="",$A271&gt;$B$9),"",IF(COUNTIFS(BD!$B$3:$B$5001,C$243,BD!$A$3:$A$5001,"&gt;="&amp;$C$7,BD!$A$3:$A$5001,"&lt;="&amp;$B271,BD!$Z$3:$Z$5001,"&lt;&gt;")=0,"",SUMIFS(BD!$Z$3:$Z$5001,BD!$B$3:$B$5001,C$243,BD!$A$3:$A$5001,_xlfn.MAXIFS(BD!$A$3:$A$5001,BD!$B$3:$B$5001,C$243,BD!$A$3:$A$5001,"&gt;="&amp;$C$7,BD!$A$3:$A$5001,"&lt;="&amp;$B271,BD!$Z$3:$Z$5001,"&lt;&gt;"))))</f>
        <v/>
      </c>
      <c r="D271" s="42" t="str">
        <f>IF(OR($B271="",$A271&gt;$B$9),"",IF(COUNTIFS(BD!$B$3:$B$5001,D$243,BD!$A$3:$A$5001,"&gt;="&amp;$C$7,BD!$A$3:$A$5001,"&lt;="&amp;$B271,BD!$Z$3:$Z$5001,"&lt;&gt;")=0,"",SUMIFS(BD!$Z$3:$Z$5001,BD!$B$3:$B$5001,D$243,BD!$A$3:$A$5001,_xlfn.MAXIFS(BD!$A$3:$A$5001,BD!$B$3:$B$5001,D$243,BD!$A$3:$A$5001,"&gt;="&amp;$C$7,BD!$A$3:$A$5001,"&lt;="&amp;$B271,BD!$Z$3:$Z$5001,"&lt;&gt;"))))</f>
        <v/>
      </c>
      <c r="E271" s="42" t="str">
        <f>IF(OR($B271="",$A271&gt;$B$9),"",IF(COUNTIFS(BD!$B$3:$B$5001,E$243,BD!$A$3:$A$5001,"&gt;="&amp;$C$7,BD!$A$3:$A$5001,"&lt;="&amp;$B271,BD!$Z$3:$Z$5001,"&lt;&gt;")=0,"",SUMIFS(BD!$Z$3:$Z$5001,BD!$B$3:$B$5001,E$243,BD!$A$3:$A$5001,_xlfn.MAXIFS(BD!$A$3:$A$5001,BD!$B$3:$B$5001,E$243,BD!$A$3:$A$5001,"&gt;="&amp;$C$7,BD!$A$3:$A$5001,"&lt;="&amp;$B271,BD!$Z$3:$Z$5001,"&lt;&gt;"))))</f>
        <v/>
      </c>
      <c r="F271" s="42" t="str">
        <f>IF(OR($B271="",$A271&gt;$B$9),"",IF(COUNTIFS(BD!$B$3:$B$5001,F$243,BD!$A$3:$A$5001,"&gt;="&amp;$C$7,BD!$A$3:$A$5001,"&lt;="&amp;$B271,BD!$Z$3:$Z$5001,"&lt;&gt;")=0,"",SUMIFS(BD!$Z$3:$Z$5001,BD!$B$3:$B$5001,F$243,BD!$A$3:$A$5001,_xlfn.MAXIFS(BD!$A$3:$A$5001,BD!$B$3:$B$5001,F$243,BD!$A$3:$A$5001,"&gt;="&amp;$C$7,BD!$A$3:$A$5001,"&lt;="&amp;$B271,BD!$Z$3:$Z$5001,"&lt;&gt;"))))</f>
        <v/>
      </c>
      <c r="G271" s="42" t="str">
        <f>IF(OR($B271="",$A271&gt;$B$9),"",IF(COUNTIFS(BD!$B$3:$B$5001,G$243,BD!$A$3:$A$5001,"&gt;="&amp;$C$7,BD!$A$3:$A$5001,"&lt;="&amp;$B271,BD!$Z$3:$Z$5001,"&lt;&gt;")=0,"",SUMIFS(BD!$Z$3:$Z$5001,BD!$B$3:$B$5001,G$243,BD!$A$3:$A$5001,_xlfn.MAXIFS(BD!$A$3:$A$5001,BD!$B$3:$B$5001,G$243,BD!$A$3:$A$5001,"&gt;="&amp;$C$7,BD!$A$3:$A$5001,"&lt;="&amp;$B271,BD!$Z$3:$Z$5001,"&lt;&gt;"))))</f>
        <v/>
      </c>
      <c r="H271" s="42" t="str">
        <f>IF(OR($B271="",$A271&gt;$B$9),"",IF(COUNTIFS(BD!$B$3:$B$5001,H$243,BD!$A$3:$A$5001,"&gt;="&amp;$C$7,BD!$A$3:$A$5001,"&lt;="&amp;$B271,BD!$Z$3:$Z$5001,"&lt;&gt;")=0,"",SUMIFS(BD!$Z$3:$Z$5001,BD!$B$3:$B$5001,H$243,BD!$A$3:$A$5001,_xlfn.MAXIFS(BD!$A$3:$A$5001,BD!$B$3:$B$5001,H$243,BD!$A$3:$A$5001,"&gt;="&amp;$C$7,BD!$A$3:$A$5001,"&lt;="&amp;$B271,BD!$Z$3:$Z$5001,"&lt;&gt;"))))</f>
        <v/>
      </c>
      <c r="I271" s="42" t="str">
        <f>IF(OR($B271="",$A271&gt;$B$9),"",IF(COUNTIFS(BD!$B$3:$B$5001,I$243,BD!$A$3:$A$5001,"&gt;="&amp;$C$7,BD!$A$3:$A$5001,"&lt;="&amp;$B271,BD!$Z$3:$Z$5001,"&lt;&gt;")=0,"",SUMIFS(BD!$Z$3:$Z$5001,BD!$B$3:$B$5001,I$243,BD!$A$3:$A$5001,_xlfn.MAXIFS(BD!$A$3:$A$5001,BD!$B$3:$B$5001,I$243,BD!$A$3:$A$5001,"&gt;="&amp;$C$7,BD!$A$3:$A$5001,"&lt;="&amp;$B271,BD!$Z$3:$Z$5001,"&lt;&gt;"))))</f>
        <v/>
      </c>
      <c r="J271" s="42" t="str">
        <f>IF(OR($B271="",$A271&gt;$B$9),"",IF(COUNTIFS(BD!$B$3:$B$5001,J$243,BD!$A$3:$A$5001,"&gt;="&amp;$C$7,BD!$A$3:$A$5001,"&lt;="&amp;$B271,BD!$Z$3:$Z$5001,"&lt;&gt;")=0,"",SUMIFS(BD!$Z$3:$Z$5001,BD!$B$3:$B$5001,J$243,BD!$A$3:$A$5001,_xlfn.MAXIFS(BD!$A$3:$A$5001,BD!$B$3:$B$5001,J$243,BD!$A$3:$A$5001,"&gt;="&amp;$C$7,BD!$A$3:$A$5001,"&lt;="&amp;$B271,BD!$Z$3:$Z$5001,"&lt;&gt;"))))</f>
        <v/>
      </c>
      <c r="K271" s="42" t="str">
        <f>IF(OR($B271="",$A271&gt;$B$9),"",IF(COUNTIFS(BD!$B$3:$B$5001,K$243,BD!$A$3:$A$5001,"&gt;="&amp;$C$7,BD!$A$3:$A$5001,"&lt;="&amp;$B271,BD!$Z$3:$Z$5001,"&lt;&gt;")=0,"",SUMIFS(BD!$Z$3:$Z$5001,BD!$B$3:$B$5001,K$243,BD!$A$3:$A$5001,_xlfn.MAXIFS(BD!$A$3:$A$5001,BD!$B$3:$B$5001,K$243,BD!$A$3:$A$5001,"&gt;="&amp;$C$7,BD!$A$3:$A$5001,"&lt;="&amp;$B271,BD!$Z$3:$Z$5001,"&lt;&gt;"))))</f>
        <v/>
      </c>
      <c r="L271" s="42" t="str">
        <f>IF(OR($B271="",$A271&gt;$B$9),"",IF(COUNTIFS(BD!$B$3:$B$5001,L$243,BD!$A$3:$A$5001,"&gt;="&amp;$C$7,BD!$A$3:$A$5001,"&lt;="&amp;$B271,BD!$Z$3:$Z$5001,"&lt;&gt;")=0,"",SUMIFS(BD!$Z$3:$Z$5001,BD!$B$3:$B$5001,L$243,BD!$A$3:$A$5001,_xlfn.MAXIFS(BD!$A$3:$A$5001,BD!$B$3:$B$5001,L$243,BD!$A$3:$A$5001,"&gt;="&amp;$C$7,BD!$A$3:$A$5001,"&lt;="&amp;$B271,BD!$Z$3:$Z$5001,"&lt;&gt;"))))</f>
        <v/>
      </c>
    </row>
    <row r="272">
      <c r="A272" s="40">
        <v>29</v>
      </c>
      <c r="B272" s="41">
        <f>$B$40</f>
        <v>46324</v>
      </c>
      <c r="C272" s="42" t="str">
        <f>IF(OR($B272="",$A272&gt;$B$9),"",IF(COUNTIFS(BD!$B$3:$B$5001,C$243,BD!$A$3:$A$5001,"&gt;="&amp;$C$7,BD!$A$3:$A$5001,"&lt;="&amp;$B272,BD!$Z$3:$Z$5001,"&lt;&gt;")=0,"",SUMIFS(BD!$Z$3:$Z$5001,BD!$B$3:$B$5001,C$243,BD!$A$3:$A$5001,_xlfn.MAXIFS(BD!$A$3:$A$5001,BD!$B$3:$B$5001,C$243,BD!$A$3:$A$5001,"&gt;="&amp;$C$7,BD!$A$3:$A$5001,"&lt;="&amp;$B272,BD!$Z$3:$Z$5001,"&lt;&gt;"))))</f>
        <v/>
      </c>
      <c r="D272" s="42" t="str">
        <f>IF(OR($B272="",$A272&gt;$B$9),"",IF(COUNTIFS(BD!$B$3:$B$5001,D$243,BD!$A$3:$A$5001,"&gt;="&amp;$C$7,BD!$A$3:$A$5001,"&lt;="&amp;$B272,BD!$Z$3:$Z$5001,"&lt;&gt;")=0,"",SUMIFS(BD!$Z$3:$Z$5001,BD!$B$3:$B$5001,D$243,BD!$A$3:$A$5001,_xlfn.MAXIFS(BD!$A$3:$A$5001,BD!$B$3:$B$5001,D$243,BD!$A$3:$A$5001,"&gt;="&amp;$C$7,BD!$A$3:$A$5001,"&lt;="&amp;$B272,BD!$Z$3:$Z$5001,"&lt;&gt;"))))</f>
        <v/>
      </c>
      <c r="E272" s="42" t="str">
        <f>IF(OR($B272="",$A272&gt;$B$9),"",IF(COUNTIFS(BD!$B$3:$B$5001,E$243,BD!$A$3:$A$5001,"&gt;="&amp;$C$7,BD!$A$3:$A$5001,"&lt;="&amp;$B272,BD!$Z$3:$Z$5001,"&lt;&gt;")=0,"",SUMIFS(BD!$Z$3:$Z$5001,BD!$B$3:$B$5001,E$243,BD!$A$3:$A$5001,_xlfn.MAXIFS(BD!$A$3:$A$5001,BD!$B$3:$B$5001,E$243,BD!$A$3:$A$5001,"&gt;="&amp;$C$7,BD!$A$3:$A$5001,"&lt;="&amp;$B272,BD!$Z$3:$Z$5001,"&lt;&gt;"))))</f>
        <v/>
      </c>
      <c r="F272" s="42" t="str">
        <f>IF(OR($B272="",$A272&gt;$B$9),"",IF(COUNTIFS(BD!$B$3:$B$5001,F$243,BD!$A$3:$A$5001,"&gt;="&amp;$C$7,BD!$A$3:$A$5001,"&lt;="&amp;$B272,BD!$Z$3:$Z$5001,"&lt;&gt;")=0,"",SUMIFS(BD!$Z$3:$Z$5001,BD!$B$3:$B$5001,F$243,BD!$A$3:$A$5001,_xlfn.MAXIFS(BD!$A$3:$A$5001,BD!$B$3:$B$5001,F$243,BD!$A$3:$A$5001,"&gt;="&amp;$C$7,BD!$A$3:$A$5001,"&lt;="&amp;$B272,BD!$Z$3:$Z$5001,"&lt;&gt;"))))</f>
        <v/>
      </c>
      <c r="G272" s="42" t="str">
        <f>IF(OR($B272="",$A272&gt;$B$9),"",IF(COUNTIFS(BD!$B$3:$B$5001,G$243,BD!$A$3:$A$5001,"&gt;="&amp;$C$7,BD!$A$3:$A$5001,"&lt;="&amp;$B272,BD!$Z$3:$Z$5001,"&lt;&gt;")=0,"",SUMIFS(BD!$Z$3:$Z$5001,BD!$B$3:$B$5001,G$243,BD!$A$3:$A$5001,_xlfn.MAXIFS(BD!$A$3:$A$5001,BD!$B$3:$B$5001,G$243,BD!$A$3:$A$5001,"&gt;="&amp;$C$7,BD!$A$3:$A$5001,"&lt;="&amp;$B272,BD!$Z$3:$Z$5001,"&lt;&gt;"))))</f>
        <v/>
      </c>
      <c r="H272" s="42" t="str">
        <f>IF(OR($B272="",$A272&gt;$B$9),"",IF(COUNTIFS(BD!$B$3:$B$5001,H$243,BD!$A$3:$A$5001,"&gt;="&amp;$C$7,BD!$A$3:$A$5001,"&lt;="&amp;$B272,BD!$Z$3:$Z$5001,"&lt;&gt;")=0,"",SUMIFS(BD!$Z$3:$Z$5001,BD!$B$3:$B$5001,H$243,BD!$A$3:$A$5001,_xlfn.MAXIFS(BD!$A$3:$A$5001,BD!$B$3:$B$5001,H$243,BD!$A$3:$A$5001,"&gt;="&amp;$C$7,BD!$A$3:$A$5001,"&lt;="&amp;$B272,BD!$Z$3:$Z$5001,"&lt;&gt;"))))</f>
        <v/>
      </c>
      <c r="I272" s="42" t="str">
        <f>IF(OR($B272="",$A272&gt;$B$9),"",IF(COUNTIFS(BD!$B$3:$B$5001,I$243,BD!$A$3:$A$5001,"&gt;="&amp;$C$7,BD!$A$3:$A$5001,"&lt;="&amp;$B272,BD!$Z$3:$Z$5001,"&lt;&gt;")=0,"",SUMIFS(BD!$Z$3:$Z$5001,BD!$B$3:$B$5001,I$243,BD!$A$3:$A$5001,_xlfn.MAXIFS(BD!$A$3:$A$5001,BD!$B$3:$B$5001,I$243,BD!$A$3:$A$5001,"&gt;="&amp;$C$7,BD!$A$3:$A$5001,"&lt;="&amp;$B272,BD!$Z$3:$Z$5001,"&lt;&gt;"))))</f>
        <v/>
      </c>
      <c r="J272" s="42" t="str">
        <f>IF(OR($B272="",$A272&gt;$B$9),"",IF(COUNTIFS(BD!$B$3:$B$5001,J$243,BD!$A$3:$A$5001,"&gt;="&amp;$C$7,BD!$A$3:$A$5001,"&lt;="&amp;$B272,BD!$Z$3:$Z$5001,"&lt;&gt;")=0,"",SUMIFS(BD!$Z$3:$Z$5001,BD!$B$3:$B$5001,J$243,BD!$A$3:$A$5001,_xlfn.MAXIFS(BD!$A$3:$A$5001,BD!$B$3:$B$5001,J$243,BD!$A$3:$A$5001,"&gt;="&amp;$C$7,BD!$A$3:$A$5001,"&lt;="&amp;$B272,BD!$Z$3:$Z$5001,"&lt;&gt;"))))</f>
        <v/>
      </c>
      <c r="K272" s="42" t="str">
        <f>IF(OR($B272="",$A272&gt;$B$9),"",IF(COUNTIFS(BD!$B$3:$B$5001,K$243,BD!$A$3:$A$5001,"&gt;="&amp;$C$7,BD!$A$3:$A$5001,"&lt;="&amp;$B272,BD!$Z$3:$Z$5001,"&lt;&gt;")=0,"",SUMIFS(BD!$Z$3:$Z$5001,BD!$B$3:$B$5001,K$243,BD!$A$3:$A$5001,_xlfn.MAXIFS(BD!$A$3:$A$5001,BD!$B$3:$B$5001,K$243,BD!$A$3:$A$5001,"&gt;="&amp;$C$7,BD!$A$3:$A$5001,"&lt;="&amp;$B272,BD!$Z$3:$Z$5001,"&lt;&gt;"))))</f>
        <v/>
      </c>
      <c r="L272" s="42" t="str">
        <f>IF(OR($B272="",$A272&gt;$B$9),"",IF(COUNTIFS(BD!$B$3:$B$5001,L$243,BD!$A$3:$A$5001,"&gt;="&amp;$C$7,BD!$A$3:$A$5001,"&lt;="&amp;$B272,BD!$Z$3:$Z$5001,"&lt;&gt;")=0,"",SUMIFS(BD!$Z$3:$Z$5001,BD!$B$3:$B$5001,L$243,BD!$A$3:$A$5001,_xlfn.MAXIFS(BD!$A$3:$A$5001,BD!$B$3:$B$5001,L$243,BD!$A$3:$A$5001,"&gt;="&amp;$C$7,BD!$A$3:$A$5001,"&lt;="&amp;$B272,BD!$Z$3:$Z$5001,"&lt;&gt;"))))</f>
        <v/>
      </c>
    </row>
    <row r="273">
      <c r="A273" s="40">
        <v>30</v>
      </c>
      <c r="B273" s="41">
        <f>$B$41</f>
        <v>46325</v>
      </c>
      <c r="C273" s="42" t="str">
        <f>IF(OR($B273="",$A273&gt;$B$9),"",IF(COUNTIFS(BD!$B$3:$B$5001,C$243,BD!$A$3:$A$5001,"&gt;="&amp;$C$7,BD!$A$3:$A$5001,"&lt;="&amp;$B273,BD!$Z$3:$Z$5001,"&lt;&gt;")=0,"",SUMIFS(BD!$Z$3:$Z$5001,BD!$B$3:$B$5001,C$243,BD!$A$3:$A$5001,_xlfn.MAXIFS(BD!$A$3:$A$5001,BD!$B$3:$B$5001,C$243,BD!$A$3:$A$5001,"&gt;="&amp;$C$7,BD!$A$3:$A$5001,"&lt;="&amp;$B273,BD!$Z$3:$Z$5001,"&lt;&gt;"))))</f>
        <v/>
      </c>
      <c r="D273" s="42" t="str">
        <f>IF(OR($B273="",$A273&gt;$B$9),"",IF(COUNTIFS(BD!$B$3:$B$5001,D$243,BD!$A$3:$A$5001,"&gt;="&amp;$C$7,BD!$A$3:$A$5001,"&lt;="&amp;$B273,BD!$Z$3:$Z$5001,"&lt;&gt;")=0,"",SUMIFS(BD!$Z$3:$Z$5001,BD!$B$3:$B$5001,D$243,BD!$A$3:$A$5001,_xlfn.MAXIFS(BD!$A$3:$A$5001,BD!$B$3:$B$5001,D$243,BD!$A$3:$A$5001,"&gt;="&amp;$C$7,BD!$A$3:$A$5001,"&lt;="&amp;$B273,BD!$Z$3:$Z$5001,"&lt;&gt;"))))</f>
        <v/>
      </c>
      <c r="E273" s="42" t="str">
        <f>IF(OR($B273="",$A273&gt;$B$9),"",IF(COUNTIFS(BD!$B$3:$B$5001,E$243,BD!$A$3:$A$5001,"&gt;="&amp;$C$7,BD!$A$3:$A$5001,"&lt;="&amp;$B273,BD!$Z$3:$Z$5001,"&lt;&gt;")=0,"",SUMIFS(BD!$Z$3:$Z$5001,BD!$B$3:$B$5001,E$243,BD!$A$3:$A$5001,_xlfn.MAXIFS(BD!$A$3:$A$5001,BD!$B$3:$B$5001,E$243,BD!$A$3:$A$5001,"&gt;="&amp;$C$7,BD!$A$3:$A$5001,"&lt;="&amp;$B273,BD!$Z$3:$Z$5001,"&lt;&gt;"))))</f>
        <v/>
      </c>
      <c r="F273" s="42" t="str">
        <f>IF(OR($B273="",$A273&gt;$B$9),"",IF(COUNTIFS(BD!$B$3:$B$5001,F$243,BD!$A$3:$A$5001,"&gt;="&amp;$C$7,BD!$A$3:$A$5001,"&lt;="&amp;$B273,BD!$Z$3:$Z$5001,"&lt;&gt;")=0,"",SUMIFS(BD!$Z$3:$Z$5001,BD!$B$3:$B$5001,F$243,BD!$A$3:$A$5001,_xlfn.MAXIFS(BD!$A$3:$A$5001,BD!$B$3:$B$5001,F$243,BD!$A$3:$A$5001,"&gt;="&amp;$C$7,BD!$A$3:$A$5001,"&lt;="&amp;$B273,BD!$Z$3:$Z$5001,"&lt;&gt;"))))</f>
        <v/>
      </c>
      <c r="G273" s="42" t="str">
        <f>IF(OR($B273="",$A273&gt;$B$9),"",IF(COUNTIFS(BD!$B$3:$B$5001,G$243,BD!$A$3:$A$5001,"&gt;="&amp;$C$7,BD!$A$3:$A$5001,"&lt;="&amp;$B273,BD!$Z$3:$Z$5001,"&lt;&gt;")=0,"",SUMIFS(BD!$Z$3:$Z$5001,BD!$B$3:$B$5001,G$243,BD!$A$3:$A$5001,_xlfn.MAXIFS(BD!$A$3:$A$5001,BD!$B$3:$B$5001,G$243,BD!$A$3:$A$5001,"&gt;="&amp;$C$7,BD!$A$3:$A$5001,"&lt;="&amp;$B273,BD!$Z$3:$Z$5001,"&lt;&gt;"))))</f>
        <v/>
      </c>
      <c r="H273" s="42" t="str">
        <f>IF(OR($B273="",$A273&gt;$B$9),"",IF(COUNTIFS(BD!$B$3:$B$5001,H$243,BD!$A$3:$A$5001,"&gt;="&amp;$C$7,BD!$A$3:$A$5001,"&lt;="&amp;$B273,BD!$Z$3:$Z$5001,"&lt;&gt;")=0,"",SUMIFS(BD!$Z$3:$Z$5001,BD!$B$3:$B$5001,H$243,BD!$A$3:$A$5001,_xlfn.MAXIFS(BD!$A$3:$A$5001,BD!$B$3:$B$5001,H$243,BD!$A$3:$A$5001,"&gt;="&amp;$C$7,BD!$A$3:$A$5001,"&lt;="&amp;$B273,BD!$Z$3:$Z$5001,"&lt;&gt;"))))</f>
        <v/>
      </c>
      <c r="I273" s="42" t="str">
        <f>IF(OR($B273="",$A273&gt;$B$9),"",IF(COUNTIFS(BD!$B$3:$B$5001,I$243,BD!$A$3:$A$5001,"&gt;="&amp;$C$7,BD!$A$3:$A$5001,"&lt;="&amp;$B273,BD!$Z$3:$Z$5001,"&lt;&gt;")=0,"",SUMIFS(BD!$Z$3:$Z$5001,BD!$B$3:$B$5001,I$243,BD!$A$3:$A$5001,_xlfn.MAXIFS(BD!$A$3:$A$5001,BD!$B$3:$B$5001,I$243,BD!$A$3:$A$5001,"&gt;="&amp;$C$7,BD!$A$3:$A$5001,"&lt;="&amp;$B273,BD!$Z$3:$Z$5001,"&lt;&gt;"))))</f>
        <v/>
      </c>
      <c r="J273" s="42" t="str">
        <f>IF(OR($B273="",$A273&gt;$B$9),"",IF(COUNTIFS(BD!$B$3:$B$5001,J$243,BD!$A$3:$A$5001,"&gt;="&amp;$C$7,BD!$A$3:$A$5001,"&lt;="&amp;$B273,BD!$Z$3:$Z$5001,"&lt;&gt;")=0,"",SUMIFS(BD!$Z$3:$Z$5001,BD!$B$3:$B$5001,J$243,BD!$A$3:$A$5001,_xlfn.MAXIFS(BD!$A$3:$A$5001,BD!$B$3:$B$5001,J$243,BD!$A$3:$A$5001,"&gt;="&amp;$C$7,BD!$A$3:$A$5001,"&lt;="&amp;$B273,BD!$Z$3:$Z$5001,"&lt;&gt;"))))</f>
        <v/>
      </c>
      <c r="K273" s="42" t="str">
        <f>IF(OR($B273="",$A273&gt;$B$9),"",IF(COUNTIFS(BD!$B$3:$B$5001,K$243,BD!$A$3:$A$5001,"&gt;="&amp;$C$7,BD!$A$3:$A$5001,"&lt;="&amp;$B273,BD!$Z$3:$Z$5001,"&lt;&gt;")=0,"",SUMIFS(BD!$Z$3:$Z$5001,BD!$B$3:$B$5001,K$243,BD!$A$3:$A$5001,_xlfn.MAXIFS(BD!$A$3:$A$5001,BD!$B$3:$B$5001,K$243,BD!$A$3:$A$5001,"&gt;="&amp;$C$7,BD!$A$3:$A$5001,"&lt;="&amp;$B273,BD!$Z$3:$Z$5001,"&lt;&gt;"))))</f>
        <v/>
      </c>
      <c r="L273" s="42" t="str">
        <f>IF(OR($B273="",$A273&gt;$B$9),"",IF(COUNTIFS(BD!$B$3:$B$5001,L$243,BD!$A$3:$A$5001,"&gt;="&amp;$C$7,BD!$A$3:$A$5001,"&lt;="&amp;$B273,BD!$Z$3:$Z$5001,"&lt;&gt;")=0,"",SUMIFS(BD!$Z$3:$Z$5001,BD!$B$3:$B$5001,L$243,BD!$A$3:$A$5001,_xlfn.MAXIFS(BD!$A$3:$A$5001,BD!$B$3:$B$5001,L$243,BD!$A$3:$A$5001,"&gt;="&amp;$C$7,BD!$A$3:$A$5001,"&lt;="&amp;$B273,BD!$Z$3:$Z$5001,"&lt;&gt;"))))</f>
        <v/>
      </c>
    </row>
    <row r="274">
      <c r="A274" s="40">
        <v>31</v>
      </c>
      <c r="B274" s="41">
        <f>$B$42</f>
        <v>46326</v>
      </c>
      <c r="C274" s="42" t="str">
        <f>IF(OR($B274="",$A274&gt;$B$9),"",IF(COUNTIFS(BD!$B$3:$B$5001,C$243,BD!$A$3:$A$5001,"&gt;="&amp;$C$7,BD!$A$3:$A$5001,"&lt;="&amp;$B274,BD!$Z$3:$Z$5001,"&lt;&gt;")=0,"",SUMIFS(BD!$Z$3:$Z$5001,BD!$B$3:$B$5001,C$243,BD!$A$3:$A$5001,_xlfn.MAXIFS(BD!$A$3:$A$5001,BD!$B$3:$B$5001,C$243,BD!$A$3:$A$5001,"&gt;="&amp;$C$7,BD!$A$3:$A$5001,"&lt;="&amp;$B274,BD!$Z$3:$Z$5001,"&lt;&gt;"))))</f>
        <v/>
      </c>
      <c r="D274" s="42" t="str">
        <f>IF(OR($B274="",$A274&gt;$B$9),"",IF(COUNTIFS(BD!$B$3:$B$5001,D$243,BD!$A$3:$A$5001,"&gt;="&amp;$C$7,BD!$A$3:$A$5001,"&lt;="&amp;$B274,BD!$Z$3:$Z$5001,"&lt;&gt;")=0,"",SUMIFS(BD!$Z$3:$Z$5001,BD!$B$3:$B$5001,D$243,BD!$A$3:$A$5001,_xlfn.MAXIFS(BD!$A$3:$A$5001,BD!$B$3:$B$5001,D$243,BD!$A$3:$A$5001,"&gt;="&amp;$C$7,BD!$A$3:$A$5001,"&lt;="&amp;$B274,BD!$Z$3:$Z$5001,"&lt;&gt;"))))</f>
        <v/>
      </c>
      <c r="E274" s="42" t="str">
        <f>IF(OR($B274="",$A274&gt;$B$9),"",IF(COUNTIFS(BD!$B$3:$B$5001,E$243,BD!$A$3:$A$5001,"&gt;="&amp;$C$7,BD!$A$3:$A$5001,"&lt;="&amp;$B274,BD!$Z$3:$Z$5001,"&lt;&gt;")=0,"",SUMIFS(BD!$Z$3:$Z$5001,BD!$B$3:$B$5001,E$243,BD!$A$3:$A$5001,_xlfn.MAXIFS(BD!$A$3:$A$5001,BD!$B$3:$B$5001,E$243,BD!$A$3:$A$5001,"&gt;="&amp;$C$7,BD!$A$3:$A$5001,"&lt;="&amp;$B274,BD!$Z$3:$Z$5001,"&lt;&gt;"))))</f>
        <v/>
      </c>
      <c r="F274" s="42" t="str">
        <f>IF(OR($B274="",$A274&gt;$B$9),"",IF(COUNTIFS(BD!$B$3:$B$5001,F$243,BD!$A$3:$A$5001,"&gt;="&amp;$C$7,BD!$A$3:$A$5001,"&lt;="&amp;$B274,BD!$Z$3:$Z$5001,"&lt;&gt;")=0,"",SUMIFS(BD!$Z$3:$Z$5001,BD!$B$3:$B$5001,F$243,BD!$A$3:$A$5001,_xlfn.MAXIFS(BD!$A$3:$A$5001,BD!$B$3:$B$5001,F$243,BD!$A$3:$A$5001,"&gt;="&amp;$C$7,BD!$A$3:$A$5001,"&lt;="&amp;$B274,BD!$Z$3:$Z$5001,"&lt;&gt;"))))</f>
        <v/>
      </c>
      <c r="G274" s="42" t="str">
        <f>IF(OR($B274="",$A274&gt;$B$9),"",IF(COUNTIFS(BD!$B$3:$B$5001,G$243,BD!$A$3:$A$5001,"&gt;="&amp;$C$7,BD!$A$3:$A$5001,"&lt;="&amp;$B274,BD!$Z$3:$Z$5001,"&lt;&gt;")=0,"",SUMIFS(BD!$Z$3:$Z$5001,BD!$B$3:$B$5001,G$243,BD!$A$3:$A$5001,_xlfn.MAXIFS(BD!$A$3:$A$5001,BD!$B$3:$B$5001,G$243,BD!$A$3:$A$5001,"&gt;="&amp;$C$7,BD!$A$3:$A$5001,"&lt;="&amp;$B274,BD!$Z$3:$Z$5001,"&lt;&gt;"))))</f>
        <v/>
      </c>
      <c r="H274" s="42" t="str">
        <f>IF(OR($B274="",$A274&gt;$B$9),"",IF(COUNTIFS(BD!$B$3:$B$5001,H$243,BD!$A$3:$A$5001,"&gt;="&amp;$C$7,BD!$A$3:$A$5001,"&lt;="&amp;$B274,BD!$Z$3:$Z$5001,"&lt;&gt;")=0,"",SUMIFS(BD!$Z$3:$Z$5001,BD!$B$3:$B$5001,H$243,BD!$A$3:$A$5001,_xlfn.MAXIFS(BD!$A$3:$A$5001,BD!$B$3:$B$5001,H$243,BD!$A$3:$A$5001,"&gt;="&amp;$C$7,BD!$A$3:$A$5001,"&lt;="&amp;$B274,BD!$Z$3:$Z$5001,"&lt;&gt;"))))</f>
        <v/>
      </c>
      <c r="I274" s="42" t="str">
        <f>IF(OR($B274="",$A274&gt;$B$9),"",IF(COUNTIFS(BD!$B$3:$B$5001,I$243,BD!$A$3:$A$5001,"&gt;="&amp;$C$7,BD!$A$3:$A$5001,"&lt;="&amp;$B274,BD!$Z$3:$Z$5001,"&lt;&gt;")=0,"",SUMIFS(BD!$Z$3:$Z$5001,BD!$B$3:$B$5001,I$243,BD!$A$3:$A$5001,_xlfn.MAXIFS(BD!$A$3:$A$5001,BD!$B$3:$B$5001,I$243,BD!$A$3:$A$5001,"&gt;="&amp;$C$7,BD!$A$3:$A$5001,"&lt;="&amp;$B274,BD!$Z$3:$Z$5001,"&lt;&gt;"))))</f>
        <v/>
      </c>
      <c r="J274" s="42" t="str">
        <f>IF(OR($B274="",$A274&gt;$B$9),"",IF(COUNTIFS(BD!$B$3:$B$5001,J$243,BD!$A$3:$A$5001,"&gt;="&amp;$C$7,BD!$A$3:$A$5001,"&lt;="&amp;$B274,BD!$Z$3:$Z$5001,"&lt;&gt;")=0,"",SUMIFS(BD!$Z$3:$Z$5001,BD!$B$3:$B$5001,J$243,BD!$A$3:$A$5001,_xlfn.MAXIFS(BD!$A$3:$A$5001,BD!$B$3:$B$5001,J$243,BD!$A$3:$A$5001,"&gt;="&amp;$C$7,BD!$A$3:$A$5001,"&lt;="&amp;$B274,BD!$Z$3:$Z$5001,"&lt;&gt;"))))</f>
        <v/>
      </c>
      <c r="K274" s="42" t="str">
        <f>IF(OR($B274="",$A274&gt;$B$9),"",IF(COUNTIFS(BD!$B$3:$B$5001,K$243,BD!$A$3:$A$5001,"&gt;="&amp;$C$7,BD!$A$3:$A$5001,"&lt;="&amp;$B274,BD!$Z$3:$Z$5001,"&lt;&gt;")=0,"",SUMIFS(BD!$Z$3:$Z$5001,BD!$B$3:$B$5001,K$243,BD!$A$3:$A$5001,_xlfn.MAXIFS(BD!$A$3:$A$5001,BD!$B$3:$B$5001,K$243,BD!$A$3:$A$5001,"&gt;="&amp;$C$7,BD!$A$3:$A$5001,"&lt;="&amp;$B274,BD!$Z$3:$Z$5001,"&lt;&gt;"))))</f>
        <v/>
      </c>
      <c r="L274" s="42" t="str">
        <f>IF(OR($B274="",$A274&gt;$B$9),"",IF(COUNTIFS(BD!$B$3:$B$5001,L$243,BD!$A$3:$A$5001,"&gt;="&amp;$C$7,BD!$A$3:$A$5001,"&lt;="&amp;$B274,BD!$Z$3:$Z$5001,"&lt;&gt;")=0,"",SUMIFS(BD!$Z$3:$Z$5001,BD!$B$3:$B$5001,L$243,BD!$A$3:$A$5001,_xlfn.MAXIFS(BD!$A$3:$A$5001,BD!$B$3:$B$5001,L$243,BD!$A$3:$A$5001,"&gt;="&amp;$C$7,BD!$A$3:$A$5001,"&lt;="&amp;$B274,BD!$Z$3:$Z$5001,"&lt;&gt;"))))</f>
        <v/>
      </c>
    </row>
    <row r="275">
      <c r="A275" s="43" t="inlineStr">
        <is>
          <t xml:space="preserve">Mês anterior (último)</t>
        </is>
      </c>
      <c r="C275" s="44" t="str">
        <f>IF(COUNTIFS(BD!$B$3:$B$5001,C$243,BD!$A$3:$A$5001,"&gt;="&amp;$C$8,BD!$A$3:$A$5001,"&lt;="&amp;$D$8,BD!$Z$3:$Z$5001,"&lt;&gt;")=0,"",SUMIFS(BD!$Z$3:$Z$5001,BD!$B$3:$B$5001,C$243,BD!$A$3:$A$5001,_xlfn.MAXIFS(BD!$A$3:$A$5001,BD!$B$3:$B$5001,C$243,BD!$A$3:$A$5001,"&gt;="&amp;$C$8,BD!$A$3:$A$5001,"&lt;="&amp;$D$8,BD!$Z$3:$Z$5001,"&lt;&gt;")))</f>
        <v/>
      </c>
      <c r="D275" s="44" t="str">
        <f>IF(COUNTIFS(BD!$B$3:$B$5001,D$243,BD!$A$3:$A$5001,"&gt;="&amp;$C$8,BD!$A$3:$A$5001,"&lt;="&amp;$D$8,BD!$Z$3:$Z$5001,"&lt;&gt;")=0,"",SUMIFS(BD!$Z$3:$Z$5001,BD!$B$3:$B$5001,D$243,BD!$A$3:$A$5001,_xlfn.MAXIFS(BD!$A$3:$A$5001,BD!$B$3:$B$5001,D$243,BD!$A$3:$A$5001,"&gt;="&amp;$C$8,BD!$A$3:$A$5001,"&lt;="&amp;$D$8,BD!$Z$3:$Z$5001,"&lt;&gt;")))</f>
        <v/>
      </c>
      <c r="E275" s="44" t="str">
        <f>IF(COUNTIFS(BD!$B$3:$B$5001,E$243,BD!$A$3:$A$5001,"&gt;="&amp;$C$8,BD!$A$3:$A$5001,"&lt;="&amp;$D$8,BD!$Z$3:$Z$5001,"&lt;&gt;")=0,"",SUMIFS(BD!$Z$3:$Z$5001,BD!$B$3:$B$5001,E$243,BD!$A$3:$A$5001,_xlfn.MAXIFS(BD!$A$3:$A$5001,BD!$B$3:$B$5001,E$243,BD!$A$3:$A$5001,"&gt;="&amp;$C$8,BD!$A$3:$A$5001,"&lt;="&amp;$D$8,BD!$Z$3:$Z$5001,"&lt;&gt;")))</f>
        <v/>
      </c>
      <c r="F275" s="44" t="str">
        <f>IF(COUNTIFS(BD!$B$3:$B$5001,F$243,BD!$A$3:$A$5001,"&gt;="&amp;$C$8,BD!$A$3:$A$5001,"&lt;="&amp;$D$8,BD!$Z$3:$Z$5001,"&lt;&gt;")=0,"",SUMIFS(BD!$Z$3:$Z$5001,BD!$B$3:$B$5001,F$243,BD!$A$3:$A$5001,_xlfn.MAXIFS(BD!$A$3:$A$5001,BD!$B$3:$B$5001,F$243,BD!$A$3:$A$5001,"&gt;="&amp;$C$8,BD!$A$3:$A$5001,"&lt;="&amp;$D$8,BD!$Z$3:$Z$5001,"&lt;&gt;")))</f>
        <v/>
      </c>
      <c r="G275" s="44" t="str">
        <f>IF(COUNTIFS(BD!$B$3:$B$5001,G$243,BD!$A$3:$A$5001,"&gt;="&amp;$C$8,BD!$A$3:$A$5001,"&lt;="&amp;$D$8,BD!$Z$3:$Z$5001,"&lt;&gt;")=0,"",SUMIFS(BD!$Z$3:$Z$5001,BD!$B$3:$B$5001,G$243,BD!$A$3:$A$5001,_xlfn.MAXIFS(BD!$A$3:$A$5001,BD!$B$3:$B$5001,G$243,BD!$A$3:$A$5001,"&gt;="&amp;$C$8,BD!$A$3:$A$5001,"&lt;="&amp;$D$8,BD!$Z$3:$Z$5001,"&lt;&gt;")))</f>
        <v/>
      </c>
      <c r="H275" s="44" t="str">
        <f>IF(COUNTIFS(BD!$B$3:$B$5001,H$243,BD!$A$3:$A$5001,"&gt;="&amp;$C$8,BD!$A$3:$A$5001,"&lt;="&amp;$D$8,BD!$Z$3:$Z$5001,"&lt;&gt;")=0,"",SUMIFS(BD!$Z$3:$Z$5001,BD!$B$3:$B$5001,H$243,BD!$A$3:$A$5001,_xlfn.MAXIFS(BD!$A$3:$A$5001,BD!$B$3:$B$5001,H$243,BD!$A$3:$A$5001,"&gt;="&amp;$C$8,BD!$A$3:$A$5001,"&lt;="&amp;$D$8,BD!$Z$3:$Z$5001,"&lt;&gt;")))</f>
        <v/>
      </c>
      <c r="I275" s="44" t="str">
        <f>IF(COUNTIFS(BD!$B$3:$B$5001,I$243,BD!$A$3:$A$5001,"&gt;="&amp;$C$8,BD!$A$3:$A$5001,"&lt;="&amp;$D$8,BD!$Z$3:$Z$5001,"&lt;&gt;")=0,"",SUMIFS(BD!$Z$3:$Z$5001,BD!$B$3:$B$5001,I$243,BD!$A$3:$A$5001,_xlfn.MAXIFS(BD!$A$3:$A$5001,BD!$B$3:$B$5001,I$243,BD!$A$3:$A$5001,"&gt;="&amp;$C$8,BD!$A$3:$A$5001,"&lt;="&amp;$D$8,BD!$Z$3:$Z$5001,"&lt;&gt;")))</f>
        <v/>
      </c>
      <c r="J275" s="44" t="str">
        <f>IF(COUNTIFS(BD!$B$3:$B$5001,J$243,BD!$A$3:$A$5001,"&gt;="&amp;$C$8,BD!$A$3:$A$5001,"&lt;="&amp;$D$8,BD!$Z$3:$Z$5001,"&lt;&gt;")=0,"",SUMIFS(BD!$Z$3:$Z$5001,BD!$B$3:$B$5001,J$243,BD!$A$3:$A$5001,_xlfn.MAXIFS(BD!$A$3:$A$5001,BD!$B$3:$B$5001,J$243,BD!$A$3:$A$5001,"&gt;="&amp;$C$8,BD!$A$3:$A$5001,"&lt;="&amp;$D$8,BD!$Z$3:$Z$5001,"&lt;&gt;")))</f>
        <v/>
      </c>
      <c r="K275" s="44" t="str">
        <f>IF(COUNTIFS(BD!$B$3:$B$5001,K$243,BD!$A$3:$A$5001,"&gt;="&amp;$C$8,BD!$A$3:$A$5001,"&lt;="&amp;$D$8,BD!$Z$3:$Z$5001,"&lt;&gt;")=0,"",SUMIFS(BD!$Z$3:$Z$5001,BD!$B$3:$B$5001,K$243,BD!$A$3:$A$5001,_xlfn.MAXIFS(BD!$A$3:$A$5001,BD!$B$3:$B$5001,K$243,BD!$A$3:$A$5001,"&gt;="&amp;$C$8,BD!$A$3:$A$5001,"&lt;="&amp;$D$8,BD!$Z$3:$Z$5001,"&lt;&gt;")))</f>
        <v/>
      </c>
      <c r="L275" s="44" t="str">
        <f>IF(COUNTIFS(BD!$B$3:$B$5001,L$243,BD!$A$3:$A$5001,"&gt;="&amp;$C$8,BD!$A$3:$A$5001,"&lt;="&amp;$D$8,BD!$Z$3:$Z$5001,"&lt;&gt;")=0,"",SUMIFS(BD!$Z$3:$Z$5001,BD!$B$3:$B$5001,L$243,BD!$A$3:$A$5001,_xlfn.MAXIFS(BD!$A$3:$A$5001,BD!$B$3:$B$5001,L$243,BD!$A$3:$A$5001,"&gt;="&amp;$C$8,BD!$A$3:$A$5001,"&lt;="&amp;$D$8,BD!$Z$3:$Z$5001,"&lt;&gt;")))</f>
        <v/>
      </c>
    </row>
    <row r="276">
      <c r="A276" s="43" t="inlineStr">
        <is>
          <t xml:space="preserve">Depósito</t>
        </is>
      </c>
      <c r="C276" s="40" t="inlineStr">
        <is>
          <t xml:space="preserve">TPC</t>
        </is>
      </c>
      <c r="D276" s="40" t="inlineStr">
        <is>
          <t xml:space="preserve">TPC</t>
        </is>
      </c>
      <c r="E276" s="40" t="inlineStr">
        <is>
          <t xml:space="preserve">TPC</t>
        </is>
      </c>
      <c r="F276" s="40" t="inlineStr">
        <is>
          <t xml:space="preserve">TPC</t>
        </is>
      </c>
      <c r="G276" s="40" t="inlineStr">
        <is>
          <t xml:space="preserve">TPC</t>
        </is>
      </c>
      <c r="H276" s="40" t="inlineStr">
        <is>
          <t xml:space="preserve">TPC</t>
        </is>
      </c>
      <c r="I276" s="40" t="inlineStr">
        <is>
          <t xml:space="preserve">TPC</t>
        </is>
      </c>
      <c r="J276" s="40" t="inlineStr">
        <is>
          <t xml:space="preserve">TPC</t>
        </is>
      </c>
      <c r="K276" s="40" t="inlineStr">
        <is>
          <t xml:space="preserve">TPC</t>
        </is>
      </c>
      <c r="L276" s="40" t="inlineStr">
        <is>
          <t xml:space="preserve">TPC</t>
        </is>
      </c>
    </row>
    <row r="280">
      <c r="A280" s="19" t="inlineStr">
        <is>
          <t xml:space="preserve">RESUMO POR CLIENTE — clientes visíveis pelo filtro do Consol Mensal</t>
        </is>
      </c>
    </row>
    <row r="281">
      <c r="A281" s="37" t="inlineStr">
        <is>
          <t xml:space="preserve">Cliente</t>
        </is>
      </c>
      <c r="B281" s="37" t="inlineStr">
        <is>
          <t xml:space="preserve">Depósito</t>
        </is>
      </c>
      <c r="C281" s="37" t="inlineStr">
        <is>
          <t xml:space="preserve">Entra?</t>
        </is>
      </c>
      <c r="D281" s="37" t="inlineStr">
        <is>
          <t xml:space="preserve">Ordem</t>
        </is>
      </c>
      <c r="F281" s="37" t="inlineStr">
        <is>
          <t xml:space="preserve">Posição</t>
        </is>
      </c>
      <c r="G281" s="37" t="inlineStr">
        <is>
          <t xml:space="preserve">Cliente visível</t>
        </is>
      </c>
      <c r="H281" s="37" t="inlineStr">
        <is>
          <t xml:space="preserve">Depósito visível</t>
        </is>
      </c>
    </row>
    <row r="282">
      <c r="A282" s="64" t="inlineStr">
        <is>
          <t xml:space="preserve">Alpargatas</t>
        </is>
      </c>
      <c r="B282" s="40" t="inlineStr">
        <is>
          <t xml:space="preserve">TPC</t>
        </is>
      </c>
      <c r="C282" s="40">
        <f>IF(OR($B$2="Todos",AND($C$2=2,$B282=$D$2),AND($C$2=1,$A282=$D$2)),1,0)</f>
        <v>1</v>
      </c>
      <c r="D282" s="40">
        <f>IF($C282=1,SUM($C$282:$C282),"")</f>
        <v>1</v>
      </c>
      <c r="F282" s="40">
        <v>1</v>
      </c>
      <c r="G282" s="64" t="str">
        <f>IFERROR(INDEX($A$282:$A$291,MATCH($F282,$D$282:$D$291,0)),"")</f>
        <v>Alpargatas</v>
      </c>
      <c r="H282" s="40" t="str">
        <f>IFERROR(INDEX($B$282:$B$291,MATCH($F282,$D$282:$D$291,0)),"")</f>
        <v>TPC</v>
      </c>
    </row>
    <row r="283">
      <c r="A283" s="64" t="inlineStr">
        <is>
          <t xml:space="preserve">Basf</t>
        </is>
      </c>
      <c r="B283" s="40" t="inlineStr">
        <is>
          <t xml:space="preserve">TPC</t>
        </is>
      </c>
      <c r="C283" s="40">
        <f>IF(OR($B$2="Todos",AND($C$2=2,$B283=$D$2),AND($C$2=1,$A283=$D$2)),1,0)</f>
        <v>1</v>
      </c>
      <c r="D283" s="40">
        <f>IF($C283=1,SUM($C$282:$C283),"")</f>
        <v>2</v>
      </c>
      <c r="F283" s="40">
        <v>2</v>
      </c>
      <c r="G283" s="64" t="str">
        <f>IFERROR(INDEX($A$282:$A$291,MATCH($F283,$D$282:$D$291,0)),"")</f>
        <v>Basf</v>
      </c>
      <c r="H283" s="40" t="str">
        <f>IFERROR(INDEX($B$282:$B$291,MATCH($F283,$D$282:$D$291,0)),"")</f>
        <v>TPC</v>
      </c>
    </row>
    <row r="284">
      <c r="A284" s="64" t="inlineStr">
        <is>
          <t xml:space="preserve">Beautybiz</t>
        </is>
      </c>
      <c r="B284" s="40" t="inlineStr">
        <is>
          <t xml:space="preserve">TPC</t>
        </is>
      </c>
      <c r="C284" s="40">
        <f>IF(OR($B$2="Todos",AND($C$2=2,$B284=$D$2),AND($C$2=1,$A284=$D$2)),1,0)</f>
        <v>1</v>
      </c>
      <c r="D284" s="40">
        <f>IF($C284=1,SUM($C$282:$C284),"")</f>
        <v>3</v>
      </c>
      <c r="F284" s="40">
        <v>3</v>
      </c>
      <c r="G284" s="64" t="str">
        <f>IFERROR(INDEX($A$282:$A$291,MATCH($F284,$D$282:$D$291,0)),"")</f>
        <v>Beautybiz</v>
      </c>
      <c r="H284" s="40" t="str">
        <f>IFERROR(INDEX($B$282:$B$291,MATCH($F284,$D$282:$D$291,0)),"")</f>
        <v>TPC</v>
      </c>
    </row>
    <row r="285">
      <c r="A285" s="64" t="inlineStr">
        <is>
          <t xml:space="preserve">Boticário</t>
        </is>
      </c>
      <c r="B285" s="40" t="inlineStr">
        <is>
          <t xml:space="preserve">TPC</t>
        </is>
      </c>
      <c r="C285" s="40">
        <f>IF(OR($B$2="Todos",AND($C$2=2,$B285=$D$2),AND($C$2=1,$A285=$D$2)),1,0)</f>
        <v>1</v>
      </c>
      <c r="D285" s="40">
        <f>IF($C285=1,SUM($C$282:$C285),"")</f>
        <v>4</v>
      </c>
      <c r="F285" s="40">
        <v>4</v>
      </c>
      <c r="G285" s="64" t="str">
        <f>IFERROR(INDEX($A$282:$A$291,MATCH($F285,$D$282:$D$291,0)),"")</f>
        <v>Boticário</v>
      </c>
      <c r="H285" s="40" t="str">
        <f>IFERROR(INDEX($B$282:$B$291,MATCH($F285,$D$282:$D$291,0)),"")</f>
        <v>TPC</v>
      </c>
    </row>
    <row r="286">
      <c r="A286" s="64" t="inlineStr">
        <is>
          <t xml:space="preserve">Confiance</t>
        </is>
      </c>
      <c r="B286" s="40" t="inlineStr">
        <is>
          <t xml:space="preserve">TPC</t>
        </is>
      </c>
      <c r="C286" s="40">
        <f>IF(OR($B$2="Todos",AND($C$2=2,$B286=$D$2),AND($C$2=1,$A286=$D$2)),1,0)</f>
        <v>1</v>
      </c>
      <c r="D286" s="40">
        <f>IF($C286=1,SUM($C$282:$C286),"")</f>
        <v>5</v>
      </c>
      <c r="F286" s="40">
        <v>5</v>
      </c>
      <c r="G286" s="64" t="str">
        <f>IFERROR(INDEX($A$282:$A$291,MATCH($F286,$D$282:$D$291,0)),"")</f>
        <v>Confiance</v>
      </c>
      <c r="H286" s="40" t="str">
        <f>IFERROR(INDEX($B$282:$B$291,MATCH($F286,$D$282:$D$291,0)),"")</f>
        <v>TPC</v>
      </c>
    </row>
    <row r="287">
      <c r="A287" s="64" t="inlineStr">
        <is>
          <t xml:space="preserve">GE Vernova</t>
        </is>
      </c>
      <c r="B287" s="40" t="inlineStr">
        <is>
          <t xml:space="preserve">TPC</t>
        </is>
      </c>
      <c r="C287" s="40">
        <f>IF(OR($B$2="Todos",AND($C$2=2,$B287=$D$2),AND($C$2=1,$A287=$D$2)),1,0)</f>
        <v>1</v>
      </c>
      <c r="D287" s="40">
        <f>IF($C287=1,SUM($C$282:$C287),"")</f>
        <v>6</v>
      </c>
      <c r="F287" s="40">
        <v>6</v>
      </c>
      <c r="G287" s="64" t="str">
        <f>IFERROR(INDEX($A$282:$A$291,MATCH($F287,$D$282:$D$291,0)),"")</f>
        <v>GE Vernova</v>
      </c>
      <c r="H287" s="40" t="str">
        <f>IFERROR(INDEX($B$282:$B$291,MATCH($F287,$D$282:$D$291,0)),"")</f>
        <v>TPC</v>
      </c>
    </row>
    <row r="288">
      <c r="A288" s="64" t="inlineStr">
        <is>
          <t xml:space="preserve">Omnilife</t>
        </is>
      </c>
      <c r="B288" s="40" t="inlineStr">
        <is>
          <t xml:space="preserve">TPC</t>
        </is>
      </c>
      <c r="C288" s="40">
        <f>IF(OR($B$2="Todos",AND($C$2=2,$B288=$D$2),AND($C$2=1,$A288=$D$2)),1,0)</f>
        <v>1</v>
      </c>
      <c r="D288" s="40">
        <f>IF($C288=1,SUM($C$282:$C288),"")</f>
        <v>7</v>
      </c>
      <c r="F288" s="40">
        <v>7</v>
      </c>
      <c r="G288" s="64" t="str">
        <f>IFERROR(INDEX($A$282:$A$291,MATCH($F288,$D$282:$D$291,0)),"")</f>
        <v>Omnilife</v>
      </c>
      <c r="H288" s="40" t="str">
        <f>IFERROR(INDEX($B$282:$B$291,MATCH($F288,$D$282:$D$291,0)),"")</f>
        <v>TPC</v>
      </c>
    </row>
    <row r="289">
      <c r="A289" s="64" t="inlineStr">
        <is>
          <t xml:space="preserve">Supply</t>
        </is>
      </c>
      <c r="B289" s="40" t="inlineStr">
        <is>
          <t xml:space="preserve">TPC</t>
        </is>
      </c>
      <c r="C289" s="40">
        <f>IF(OR($B$2="Todos",AND($C$2=2,$B289=$D$2),AND($C$2=1,$A289=$D$2)),1,0)</f>
        <v>1</v>
      </c>
      <c r="D289" s="40">
        <f>IF($C289=1,SUM($C$282:$C289),"")</f>
        <v>8</v>
      </c>
      <c r="F289" s="40">
        <v>8</v>
      </c>
      <c r="G289" s="64" t="str">
        <f>IFERROR(INDEX($A$282:$A$291,MATCH($F289,$D$282:$D$291,0)),"")</f>
        <v>Supply</v>
      </c>
      <c r="H289" s="40" t="str">
        <f>IFERROR(INDEX($B$282:$B$291,MATCH($F289,$D$282:$D$291,0)),"")</f>
        <v>TPC</v>
      </c>
    </row>
    <row r="290">
      <c r="A290" s="64" t="inlineStr">
        <is>
          <t xml:space="preserve">Vedacit</t>
        </is>
      </c>
      <c r="B290" s="40" t="inlineStr">
        <is>
          <t xml:space="preserve">TPC</t>
        </is>
      </c>
      <c r="C290" s="40">
        <f>IF(OR($B$2="Todos",AND($C$2=2,$B290=$D$2),AND($C$2=1,$A290=$D$2)),1,0)</f>
        <v>1</v>
      </c>
      <c r="D290" s="40">
        <f>IF($C290=1,SUM($C$282:$C290),"")</f>
        <v>9</v>
      </c>
      <c r="F290" s="40">
        <v>9</v>
      </c>
      <c r="G290" s="64" t="str">
        <f>IFERROR(INDEX($A$282:$A$291,MATCH($F290,$D$282:$D$291,0)),"")</f>
        <v>Vedacit</v>
      </c>
      <c r="H290" s="40" t="str">
        <f>IFERROR(INDEX($B$282:$B$291,MATCH($F290,$D$282:$D$291,0)),"")</f>
        <v>TPC</v>
      </c>
    </row>
    <row r="291">
      <c r="A291" s="64" t="inlineStr">
        <is>
          <t xml:space="preserve">Vestas</t>
        </is>
      </c>
      <c r="B291" s="40" t="inlineStr">
        <is>
          <t xml:space="preserve">TPC</t>
        </is>
      </c>
      <c r="C291" s="40">
        <f>IF(OR($B$2="Todos",AND($C$2=2,$B291=$D$2),AND($C$2=1,$A291=$D$2)),1,0)</f>
        <v>1</v>
      </c>
      <c r="D291" s="40">
        <f>IF($C291=1,SUM($C$282:$C291),"")</f>
        <v>10</v>
      </c>
      <c r="F291" s="40">
        <v>10</v>
      </c>
      <c r="G291" s="64" t="str">
        <f>IFERROR(INDEX($A$282:$A$291,MATCH($F291,$D$282:$D$291,0)),"")</f>
        <v>Vestas</v>
      </c>
      <c r="H291" s="40" t="str">
        <f>IFERROR(INDEX($B$282:$B$291,MATCH($F291,$D$282:$D$291,0)),"")</f>
        <v>TPC</v>
      </c>
    </row>
    <row r="293">
      <c r="A293" s="19" t="inlineStr">
        <is>
          <t xml:space="preserve">INDICADORES MEDIDOS POR CLIENTE (1 = mede) — o quadro mostra "—" quando o cliente filtrado não mede</t>
        </is>
      </c>
    </row>
    <row r="294">
      <c r="A294" s="37" t="inlineStr">
        <is>
          <t xml:space="preserve">Indicador</t>
        </is>
      </c>
      <c r="B294" s="37" t="inlineStr">
        <is>
          <t xml:space="preserve">Mede (seleção)</t>
        </is>
      </c>
      <c r="C294" s="37" t="inlineStr">
        <is>
          <t xml:space="preserve">Alpargatas</t>
        </is>
      </c>
      <c r="D294" s="37" t="inlineStr">
        <is>
          <t xml:space="preserve">Basf</t>
        </is>
      </c>
      <c r="E294" s="37" t="inlineStr">
        <is>
          <t xml:space="preserve">Beautybiz</t>
        </is>
      </c>
      <c r="F294" s="37" t="inlineStr">
        <is>
          <t xml:space="preserve">Boticário</t>
        </is>
      </c>
      <c r="G294" s="37" t="inlineStr">
        <is>
          <t xml:space="preserve">Confiance</t>
        </is>
      </c>
      <c r="H294" s="37" t="inlineStr">
        <is>
          <t xml:space="preserve">GE Vernova</t>
        </is>
      </c>
      <c r="I294" s="37" t="inlineStr">
        <is>
          <t xml:space="preserve">Omnilife</t>
        </is>
      </c>
      <c r="J294" s="37" t="inlineStr">
        <is>
          <t xml:space="preserve">Supply</t>
        </is>
      </c>
      <c r="K294" s="37" t="inlineStr">
        <is>
          <t xml:space="preserve">Vedacit</t>
        </is>
      </c>
      <c r="L294" s="37" t="inlineStr">
        <is>
          <t xml:space="preserve">Vestas</t>
        </is>
      </c>
    </row>
    <row r="295">
      <c r="A295" s="64" t="inlineStr">
        <is>
          <t xml:space="preserve">IN · Veículos Recebidos</t>
        </is>
      </c>
      <c r="B295" s="89">
        <f>IF(OR($B$2="Todos",$C$2=2),1,IFERROR(INDEX($C$295:$L$295,MATCH($D$2,$C$294:$L$294,0)),1))</f>
        <v>1</v>
      </c>
      <c r="C295" s="40">
        <v>1</v>
      </c>
      <c r="D295" s="40">
        <v>1</v>
      </c>
      <c r="E295" s="40">
        <v>1</v>
      </c>
      <c r="F295" s="40">
        <v>1</v>
      </c>
      <c r="G295" s="40">
        <v>1</v>
      </c>
      <c r="H295" s="40">
        <v>1</v>
      </c>
      <c r="I295" s="40">
        <v>1</v>
      </c>
      <c r="J295" s="40">
        <v>1</v>
      </c>
      <c r="K295" s="40">
        <v>1</v>
      </c>
      <c r="L295" s="40">
        <v>1</v>
      </c>
    </row>
    <row r="296">
      <c r="A296" s="64" t="inlineStr">
        <is>
          <t xml:space="preserve">IN · Pallets Movimentados</t>
        </is>
      </c>
      <c r="B296" s="89">
        <f>IF(OR($B$2="Todos",$C$2=2),1,IFERROR(INDEX($C$296:$L$296,MATCH($D$2,$C$294:$L$294,0)),1))</f>
        <v>1</v>
      </c>
      <c r="C296" s="40">
        <v>0</v>
      </c>
      <c r="D296" s="40">
        <v>1</v>
      </c>
      <c r="E296" s="40">
        <v>1</v>
      </c>
      <c r="F296" s="40">
        <v>0</v>
      </c>
      <c r="G296" s="40">
        <v>1</v>
      </c>
      <c r="H296" s="40">
        <v>1</v>
      </c>
      <c r="I296" s="40">
        <v>1</v>
      </c>
      <c r="J296" s="40">
        <v>1</v>
      </c>
      <c r="K296" s="40">
        <v>1</v>
      </c>
      <c r="L296" s="40">
        <v>0</v>
      </c>
    </row>
    <row r="297">
      <c r="A297" s="64" t="inlineStr">
        <is>
          <t xml:space="preserve">IN · Toneladas Movimentadas</t>
        </is>
      </c>
      <c r="B297" s="89">
        <f>IF(OR($B$2="Todos",$C$2=2),1,IFERROR(INDEX($C$297:$L$297,MATCH($D$2,$C$294:$L$294,0)),1))</f>
        <v>1</v>
      </c>
      <c r="C297" s="40">
        <v>0</v>
      </c>
      <c r="D297" s="40">
        <v>1</v>
      </c>
      <c r="E297" s="40">
        <v>0</v>
      </c>
      <c r="F297" s="40">
        <v>0</v>
      </c>
      <c r="G297" s="40">
        <v>1</v>
      </c>
      <c r="H297" s="40">
        <v>0</v>
      </c>
      <c r="I297" s="40">
        <v>0</v>
      </c>
      <c r="J297" s="40">
        <v>1</v>
      </c>
      <c r="K297" s="40">
        <v>0</v>
      </c>
      <c r="L297" s="40">
        <v>0</v>
      </c>
    </row>
    <row r="298">
      <c r="A298" s="64" t="inlineStr">
        <is>
          <t xml:space="preserve">IN · Linhas NF</t>
        </is>
      </c>
      <c r="B298" s="89">
        <f>IF(OR($B$2="Todos",$C$2=2),1,IFERROR(INDEX($C$298:$L$298,MATCH($D$2,$C$294:$L$294,0)),1))</f>
        <v>1</v>
      </c>
      <c r="C298" s="40">
        <v>0</v>
      </c>
      <c r="D298" s="40">
        <v>0</v>
      </c>
      <c r="E298" s="40">
        <v>0</v>
      </c>
      <c r="F298" s="40">
        <v>0</v>
      </c>
      <c r="G298" s="40">
        <v>0</v>
      </c>
      <c r="H298" s="40">
        <v>1</v>
      </c>
      <c r="I298" s="40">
        <v>0</v>
      </c>
      <c r="J298" s="40">
        <v>0</v>
      </c>
      <c r="K298" s="40">
        <v>0</v>
      </c>
      <c r="L298" s="40">
        <v>1</v>
      </c>
    </row>
    <row r="299">
      <c r="A299" s="64" t="inlineStr">
        <is>
          <t xml:space="preserve">IN · Caixas Movimentadas</t>
        </is>
      </c>
      <c r="B299" s="89">
        <f>IF(OR($B$2="Todos",$C$2=2),1,IFERROR(INDEX($C$299:$L$299,MATCH($D$2,$C$294:$L$294,0)),1))</f>
        <v>1</v>
      </c>
      <c r="C299" s="40">
        <v>1</v>
      </c>
      <c r="D299" s="40">
        <v>0</v>
      </c>
      <c r="E299" s="40">
        <v>1</v>
      </c>
      <c r="F299" s="40">
        <v>0</v>
      </c>
      <c r="G299" s="40">
        <v>0</v>
      </c>
      <c r="H299" s="40">
        <v>0</v>
      </c>
      <c r="I299" s="40">
        <v>0</v>
      </c>
      <c r="J299" s="40">
        <v>0</v>
      </c>
      <c r="K299" s="40">
        <v>0</v>
      </c>
      <c r="L299" s="40">
        <v>0</v>
      </c>
    </row>
    <row r="300">
      <c r="A300" s="64" t="inlineStr">
        <is>
          <t xml:space="preserve">IN · Peças Movimentadas</t>
        </is>
      </c>
      <c r="B300" s="89">
        <f>IF(OR($B$2="Todos",$C$2=2),1,IFERROR(INDEX($C$300:$L$300,MATCH($D$2,$C$294:$L$294,0)),1))</f>
        <v>1</v>
      </c>
      <c r="C300" s="40">
        <v>0</v>
      </c>
      <c r="D300" s="40">
        <v>0</v>
      </c>
      <c r="E300" s="40">
        <v>0</v>
      </c>
      <c r="F300" s="40">
        <v>0</v>
      </c>
      <c r="G300" s="40">
        <v>0</v>
      </c>
      <c r="H300" s="40">
        <v>1</v>
      </c>
      <c r="I300" s="40">
        <v>0</v>
      </c>
      <c r="J300" s="40">
        <v>0</v>
      </c>
      <c r="K300" s="40">
        <v>0</v>
      </c>
      <c r="L300" s="40">
        <v>0</v>
      </c>
    </row>
    <row r="301">
      <c r="A301" s="64" t="inlineStr">
        <is>
          <t xml:space="preserve">IN · Itens Recebidos CX Mista</t>
        </is>
      </c>
      <c r="B301" s="89">
        <f>IF(OR($B$2="Todos",$C$2=2),1,IFERROR(INDEX($C$301:$L$301,MATCH($D$2,$C$294:$L$294,0)),1))</f>
        <v>1</v>
      </c>
      <c r="C301" s="40">
        <v>0</v>
      </c>
      <c r="D301" s="40">
        <v>0</v>
      </c>
      <c r="E301" s="40">
        <v>0</v>
      </c>
      <c r="F301" s="40">
        <v>1</v>
      </c>
      <c r="G301" s="40">
        <v>0</v>
      </c>
      <c r="H301" s="40">
        <v>0</v>
      </c>
      <c r="I301" s="40">
        <v>0</v>
      </c>
      <c r="J301" s="40">
        <v>0</v>
      </c>
      <c r="K301" s="40">
        <v>0</v>
      </c>
      <c r="L301" s="40">
        <v>0</v>
      </c>
    </row>
    <row r="302">
      <c r="A302" s="64" t="inlineStr">
        <is>
          <t xml:space="preserve">IN · Caixas Fechadas</t>
        </is>
      </c>
      <c r="B302" s="89">
        <f>IF(OR($B$2="Todos",$C$2=2),1,IFERROR(INDEX($C$302:$L$302,MATCH($D$2,$C$294:$L$294,0)),1))</f>
        <v>1</v>
      </c>
      <c r="C302" s="40">
        <v>0</v>
      </c>
      <c r="D302" s="40">
        <v>0</v>
      </c>
      <c r="E302" s="40">
        <v>0</v>
      </c>
      <c r="F302" s="40">
        <v>1</v>
      </c>
      <c r="G302" s="40">
        <v>0</v>
      </c>
      <c r="H302" s="40">
        <v>0</v>
      </c>
      <c r="I302" s="40">
        <v>0</v>
      </c>
      <c r="J302" s="40">
        <v>0</v>
      </c>
      <c r="K302" s="40">
        <v>0</v>
      </c>
      <c r="L302" s="40">
        <v>0</v>
      </c>
    </row>
    <row r="303">
      <c r="A303" s="64" t="inlineStr">
        <is>
          <t xml:space="preserve">IN · Caixas Mistas Recebidas</t>
        </is>
      </c>
      <c r="B303" s="89">
        <f>IF(OR($B$2="Todos",$C$2=2),1,IFERROR(INDEX($C$303:$L$303,MATCH($D$2,$C$294:$L$294,0)),1))</f>
        <v>1</v>
      </c>
      <c r="C303" s="40">
        <v>0</v>
      </c>
      <c r="D303" s="40">
        <v>0</v>
      </c>
      <c r="E303" s="40">
        <v>0</v>
      </c>
      <c r="F303" s="40">
        <v>1</v>
      </c>
      <c r="G303" s="40">
        <v>0</v>
      </c>
      <c r="H303" s="40">
        <v>0</v>
      </c>
      <c r="I303" s="40">
        <v>0</v>
      </c>
      <c r="J303" s="40">
        <v>0</v>
      </c>
      <c r="K303" s="40">
        <v>0</v>
      </c>
      <c r="L303" s="40">
        <v>0</v>
      </c>
    </row>
    <row r="304">
      <c r="A304" s="64" t="inlineStr">
        <is>
          <t xml:space="preserve">OUT · Veículos Expedidos</t>
        </is>
      </c>
      <c r="B304" s="89">
        <f>IF(OR($B$2="Todos",$C$2=2),1,IFERROR(INDEX($C$304:$L$304,MATCH($D$2,$C$294:$L$294,0)),1))</f>
        <v>1</v>
      </c>
      <c r="C304" s="40">
        <v>1</v>
      </c>
      <c r="D304" s="40">
        <v>1</v>
      </c>
      <c r="E304" s="40">
        <v>1</v>
      </c>
      <c r="F304" s="40">
        <v>1</v>
      </c>
      <c r="G304" s="40">
        <v>1</v>
      </c>
      <c r="H304" s="40">
        <v>1</v>
      </c>
      <c r="I304" s="40">
        <v>1</v>
      </c>
      <c r="J304" s="40">
        <v>1</v>
      </c>
      <c r="K304" s="40">
        <v>1</v>
      </c>
      <c r="L304" s="40">
        <v>1</v>
      </c>
    </row>
    <row r="305">
      <c r="A305" s="64" t="inlineStr">
        <is>
          <t xml:space="preserve">OUT · Pedidos Expedidos</t>
        </is>
      </c>
      <c r="B305" s="89">
        <f>IF(OR($B$2="Todos",$C$2=2),1,IFERROR(INDEX($C$305:$L$305,MATCH($D$2,$C$294:$L$294,0)),1))</f>
        <v>1</v>
      </c>
      <c r="C305" s="40">
        <v>0</v>
      </c>
      <c r="D305" s="40">
        <v>0</v>
      </c>
      <c r="E305" s="40">
        <v>1</v>
      </c>
      <c r="F305" s="40">
        <v>0</v>
      </c>
      <c r="G305" s="40">
        <v>0</v>
      </c>
      <c r="H305" s="40">
        <v>0</v>
      </c>
      <c r="I305" s="40">
        <v>0</v>
      </c>
      <c r="J305" s="40">
        <v>0</v>
      </c>
      <c r="K305" s="40">
        <v>0</v>
      </c>
      <c r="L305" s="40">
        <v>0</v>
      </c>
    </row>
    <row r="306">
      <c r="A306" s="64" t="inlineStr">
        <is>
          <t xml:space="preserve">OUT · Pedidos Faturados</t>
        </is>
      </c>
      <c r="B306" s="89">
        <f>IF(OR($B$2="Todos",$C$2=2),1,IFERROR(INDEX($C$306:$L$306,MATCH($D$2,$C$294:$L$294,0)),1))</f>
        <v>1</v>
      </c>
      <c r="C306" s="40">
        <v>0</v>
      </c>
      <c r="D306" s="40">
        <v>0</v>
      </c>
      <c r="E306" s="40">
        <v>0</v>
      </c>
      <c r="F306" s="40">
        <v>1</v>
      </c>
      <c r="G306" s="40">
        <v>0</v>
      </c>
      <c r="H306" s="40">
        <v>0</v>
      </c>
      <c r="I306" s="40">
        <v>0</v>
      </c>
      <c r="J306" s="40">
        <v>0</v>
      </c>
      <c r="K306" s="40">
        <v>0</v>
      </c>
      <c r="L306" s="40">
        <v>0</v>
      </c>
    </row>
    <row r="307">
      <c r="A307" s="64" t="inlineStr">
        <is>
          <t xml:space="preserve">OUT · Itens Expedidos</t>
        </is>
      </c>
      <c r="B307" s="89">
        <f>IF(OR($B$2="Todos",$C$2=2),1,IFERROR(INDEX($C$307:$L$307,MATCH($D$2,$C$294:$L$294,0)),1))</f>
        <v>1</v>
      </c>
      <c r="C307" s="40">
        <v>0</v>
      </c>
      <c r="D307" s="40">
        <v>0</v>
      </c>
      <c r="E307" s="40">
        <v>0</v>
      </c>
      <c r="F307" s="40">
        <v>1</v>
      </c>
      <c r="G307" s="40">
        <v>0</v>
      </c>
      <c r="H307" s="40">
        <v>0</v>
      </c>
      <c r="I307" s="40">
        <v>0</v>
      </c>
      <c r="J307" s="40">
        <v>0</v>
      </c>
      <c r="K307" s="40">
        <v>0</v>
      </c>
      <c r="L307" s="40">
        <v>0</v>
      </c>
    </row>
    <row r="308">
      <c r="A308" s="64" t="inlineStr">
        <is>
          <t xml:space="preserve">OUT · Peças Movimentadas</t>
        </is>
      </c>
      <c r="B308" s="89">
        <f>IF(OR($B$2="Todos",$C$2=2),1,IFERROR(INDEX($C$308:$L$308,MATCH($D$2,$C$294:$L$294,0)),1))</f>
        <v>1</v>
      </c>
      <c r="C308" s="40">
        <v>0</v>
      </c>
      <c r="D308" s="40">
        <v>0</v>
      </c>
      <c r="E308" s="40">
        <v>0</v>
      </c>
      <c r="F308" s="40">
        <v>0</v>
      </c>
      <c r="G308" s="40">
        <v>0</v>
      </c>
      <c r="H308" s="40">
        <v>1</v>
      </c>
      <c r="I308" s="40">
        <v>0</v>
      </c>
      <c r="J308" s="40">
        <v>0</v>
      </c>
      <c r="K308" s="40">
        <v>0</v>
      </c>
      <c r="L308" s="40">
        <v>0</v>
      </c>
    </row>
    <row r="309">
      <c r="A309" s="64" t="inlineStr">
        <is>
          <t xml:space="preserve">OUT · Linhas NF</t>
        </is>
      </c>
      <c r="B309" s="89">
        <f>IF(OR($B$2="Todos",$C$2=2),1,IFERROR(INDEX($C$309:$L$309,MATCH($D$2,$C$294:$L$294,0)),1))</f>
        <v>1</v>
      </c>
      <c r="C309" s="40">
        <v>0</v>
      </c>
      <c r="D309" s="40">
        <v>0</v>
      </c>
      <c r="E309" s="40">
        <v>0</v>
      </c>
      <c r="F309" s="40">
        <v>0</v>
      </c>
      <c r="G309" s="40">
        <v>0</v>
      </c>
      <c r="H309" s="40">
        <v>1</v>
      </c>
      <c r="I309" s="40">
        <v>0</v>
      </c>
      <c r="J309" s="40">
        <v>0</v>
      </c>
      <c r="K309" s="40">
        <v>0</v>
      </c>
      <c r="L309" s="40">
        <v>1</v>
      </c>
    </row>
    <row r="310">
      <c r="A310" s="64" t="inlineStr">
        <is>
          <t xml:space="preserve">OUT · Caixas Expedidas</t>
        </is>
      </c>
      <c r="B310" s="89">
        <f>IF(OR($B$2="Todos",$C$2=2),1,IFERROR(INDEX($C$310:$L$310,MATCH($D$2,$C$294:$L$294,0)),1))</f>
        <v>1</v>
      </c>
      <c r="C310" s="40">
        <v>1</v>
      </c>
      <c r="D310" s="40">
        <v>0</v>
      </c>
      <c r="E310" s="40">
        <v>0</v>
      </c>
      <c r="F310" s="40">
        <v>0</v>
      </c>
      <c r="G310" s="40">
        <v>0</v>
      </c>
      <c r="H310" s="40">
        <v>0</v>
      </c>
      <c r="I310" s="40">
        <v>0</v>
      </c>
      <c r="J310" s="40">
        <v>0</v>
      </c>
      <c r="K310" s="40">
        <v>0</v>
      </c>
      <c r="L310" s="40">
        <v>0</v>
      </c>
    </row>
    <row r="311">
      <c r="A311" s="64" t="inlineStr">
        <is>
          <t xml:space="preserve">OUT · Pallets Movimentados</t>
        </is>
      </c>
      <c r="B311" s="89">
        <f>IF(OR($B$2="Todos",$C$2=2),1,IFERROR(INDEX($C$311:$L$311,MATCH($D$2,$C$294:$L$294,0)),1))</f>
        <v>1</v>
      </c>
      <c r="C311" s="40">
        <v>0</v>
      </c>
      <c r="D311" s="40">
        <v>1</v>
      </c>
      <c r="E311" s="40">
        <v>1</v>
      </c>
      <c r="F311" s="40">
        <v>1</v>
      </c>
      <c r="G311" s="40">
        <v>1</v>
      </c>
      <c r="H311" s="40">
        <v>1</v>
      </c>
      <c r="I311" s="40">
        <v>1</v>
      </c>
      <c r="J311" s="40">
        <v>1</v>
      </c>
      <c r="K311" s="40">
        <v>1</v>
      </c>
      <c r="L311" s="40">
        <v>0</v>
      </c>
    </row>
    <row r="312">
      <c r="A312" s="64" t="inlineStr">
        <is>
          <t xml:space="preserve">OUT · Toneladas Movimentadas</t>
        </is>
      </c>
      <c r="B312" s="89">
        <f>IF(OR($B$2="Todos",$C$2=2),1,IFERROR(INDEX($C$312:$L$312,MATCH($D$2,$C$294:$L$294,0)),1))</f>
        <v>1</v>
      </c>
      <c r="C312" s="40">
        <v>0</v>
      </c>
      <c r="D312" s="40">
        <v>1</v>
      </c>
      <c r="E312" s="40">
        <v>0</v>
      </c>
      <c r="F312" s="40">
        <v>0</v>
      </c>
      <c r="G312" s="40">
        <v>1</v>
      </c>
      <c r="H312" s="40">
        <v>0</v>
      </c>
      <c r="I312" s="40">
        <v>0</v>
      </c>
      <c r="J312" s="40">
        <v>1</v>
      </c>
      <c r="K312" s="40">
        <v>0</v>
      </c>
      <c r="L312" s="40">
        <v>0</v>
      </c>
    </row>
    <row r="313">
      <c r="A313" s="64" t="inlineStr">
        <is>
          <t xml:space="preserve">NC · Incidentes</t>
        </is>
      </c>
      <c r="B313" s="89">
        <f>IF(OR($B$2="Todos",$C$2=2),1,IFERROR(INDEX($C$313:$L$313,MATCH($D$2,$C$294:$L$294,0)),1))</f>
        <v>1</v>
      </c>
      <c r="C313" s="40">
        <v>1</v>
      </c>
      <c r="D313" s="40">
        <v>1</v>
      </c>
      <c r="E313" s="40">
        <v>1</v>
      </c>
      <c r="F313" s="40">
        <v>1</v>
      </c>
      <c r="G313" s="40">
        <v>1</v>
      </c>
      <c r="H313" s="40">
        <v>1</v>
      </c>
      <c r="I313" s="40">
        <v>1</v>
      </c>
      <c r="J313" s="40">
        <v>1</v>
      </c>
      <c r="K313" s="40">
        <v>1</v>
      </c>
      <c r="L313" s="40">
        <v>1</v>
      </c>
    </row>
    <row r="314">
      <c r="A314" s="64" t="inlineStr">
        <is>
          <t xml:space="preserve">NC · No show</t>
        </is>
      </c>
      <c r="B314" s="89">
        <f>IF(OR($B$2="Todos",$C$2=2),1,IFERROR(INDEX($C$314:$L$314,MATCH($D$2,$C$294:$L$294,0)),1))</f>
        <v>1</v>
      </c>
      <c r="C314" s="40">
        <v>1</v>
      </c>
      <c r="D314" s="40">
        <v>1</v>
      </c>
      <c r="E314" s="40">
        <v>1</v>
      </c>
      <c r="F314" s="40">
        <v>1</v>
      </c>
      <c r="G314" s="40">
        <v>1</v>
      </c>
      <c r="H314" s="40">
        <v>1</v>
      </c>
      <c r="I314" s="40">
        <v>1</v>
      </c>
      <c r="J314" s="40">
        <v>1</v>
      </c>
      <c r="K314" s="40">
        <v>1</v>
      </c>
      <c r="L314" s="40">
        <v>1</v>
      </c>
    </row>
    <row r="315">
      <c r="A315" s="64" t="inlineStr">
        <is>
          <t xml:space="preserve">NC · Backlog</t>
        </is>
      </c>
      <c r="B315" s="89">
        <f>IF(OR($B$2="Todos",$C$2=2),1,IFERROR(INDEX($C$315:$L$315,MATCH($D$2,$C$294:$L$294,0)),1))</f>
        <v>1</v>
      </c>
      <c r="C315" s="40">
        <v>1</v>
      </c>
      <c r="D315" s="40">
        <v>1</v>
      </c>
      <c r="E315" s="40">
        <v>1</v>
      </c>
      <c r="F315" s="40">
        <v>1</v>
      </c>
      <c r="G315" s="40">
        <v>1</v>
      </c>
      <c r="H315" s="40">
        <v>1</v>
      </c>
      <c r="I315" s="40">
        <v>1</v>
      </c>
      <c r="J315" s="40">
        <v>1</v>
      </c>
      <c r="K315" s="40">
        <v>1</v>
      </c>
      <c r="L315" s="40">
        <v>1</v>
      </c>
    </row>
    <row r="316">
      <c r="A316" s="64" t="inlineStr">
        <is>
          <t xml:space="preserve">OCUPAÇÃO (P.P) · Posições Disponíveis</t>
        </is>
      </c>
      <c r="B316" s="89">
        <f>IF(OR($B$2="Todos",$C$2=2),1,IFERROR(INDEX($C$316:$L$316,MATCH($D$2,$C$294:$L$294,0)),1))</f>
        <v>1</v>
      </c>
      <c r="C316" s="40">
        <v>1</v>
      </c>
      <c r="D316" s="40">
        <v>1</v>
      </c>
      <c r="E316" s="40">
        <v>1</v>
      </c>
      <c r="F316" s="40">
        <v>1</v>
      </c>
      <c r="G316" s="40">
        <v>1</v>
      </c>
      <c r="H316" s="40">
        <v>1</v>
      </c>
      <c r="I316" s="40">
        <v>1</v>
      </c>
      <c r="J316" s="40">
        <v>1</v>
      </c>
      <c r="K316" s="40">
        <v>1</v>
      </c>
      <c r="L316" s="40">
        <v>1</v>
      </c>
    </row>
    <row r="317">
      <c r="A317" s="64" t="inlineStr">
        <is>
          <t xml:space="preserve">OCUPAÇÃO (P.P) · Posições Ocupadas</t>
        </is>
      </c>
      <c r="B317" s="89">
        <f>IF(OR($B$2="Todos",$C$2=2),1,IFERROR(INDEX($C$317:$L$317,MATCH($D$2,$C$294:$L$294,0)),1))</f>
        <v>1</v>
      </c>
      <c r="C317" s="40">
        <v>1</v>
      </c>
      <c r="D317" s="40">
        <v>1</v>
      </c>
      <c r="E317" s="40">
        <v>1</v>
      </c>
      <c r="F317" s="40">
        <v>1</v>
      </c>
      <c r="G317" s="40">
        <v>1</v>
      </c>
      <c r="H317" s="40">
        <v>1</v>
      </c>
      <c r="I317" s="40">
        <v>1</v>
      </c>
      <c r="J317" s="40">
        <v>1</v>
      </c>
      <c r="K317" s="40">
        <v>1</v>
      </c>
      <c r="L317" s="40">
        <v>1</v>
      </c>
    </row>
    <row r="318">
      <c r="A318" s="64" t="inlineStr">
        <is>
          <t xml:space="preserve">OCUPAÇÃO (P.P) · Taxa de Ocupação</t>
        </is>
      </c>
      <c r="B318" s="89">
        <f>IF(OR($B$2="Todos",$C$2=2),1,IFERROR(INDEX($C$318:$L$318,MATCH($D$2,$C$294:$L$294,0)),1))</f>
        <v>1</v>
      </c>
      <c r="C318" s="40">
        <v>1</v>
      </c>
      <c r="D318" s="40">
        <v>1</v>
      </c>
      <c r="E318" s="40">
        <v>1</v>
      </c>
      <c r="F318" s="40">
        <v>1</v>
      </c>
      <c r="G318" s="40">
        <v>1</v>
      </c>
      <c r="H318" s="40">
        <v>1</v>
      </c>
      <c r="I318" s="40">
        <v>1</v>
      </c>
      <c r="J318" s="40">
        <v>1</v>
      </c>
      <c r="K318" s="40">
        <v>1</v>
      </c>
      <c r="L318" s="40">
        <v>1</v>
      </c>
    </row>
    <row r="319">
      <c r="A319" s="64" t="inlineStr">
        <is>
          <t xml:space="preserve">GENTE · Efetivo Op.</t>
        </is>
      </c>
      <c r="B319" s="89">
        <f>IF(OR($B$2="Todos",$C$2=2),1,IFERROR(INDEX($C$319:$L$319,MATCH($D$2,$C$294:$L$294,0)),1))</f>
        <v>1</v>
      </c>
      <c r="C319" s="40">
        <v>1</v>
      </c>
      <c r="D319" s="40">
        <v>1</v>
      </c>
      <c r="E319" s="40">
        <v>1</v>
      </c>
      <c r="F319" s="40">
        <v>1</v>
      </c>
      <c r="G319" s="40">
        <v>1</v>
      </c>
      <c r="H319" s="40">
        <v>1</v>
      </c>
      <c r="I319" s="40">
        <v>1</v>
      </c>
      <c r="J319" s="40">
        <v>1</v>
      </c>
      <c r="K319" s="40">
        <v>1</v>
      </c>
      <c r="L319" s="40">
        <v>1</v>
      </c>
    </row>
    <row r="320">
      <c r="A320" s="64" t="inlineStr">
        <is>
          <t xml:space="preserve">GENTE · Falta</t>
        </is>
      </c>
      <c r="B320" s="89">
        <f>IF(OR($B$2="Todos",$C$2=2),1,IFERROR(INDEX($C$320:$L$320,MATCH($D$2,$C$294:$L$294,0)),1))</f>
        <v>1</v>
      </c>
      <c r="C320" s="40">
        <v>1</v>
      </c>
      <c r="D320" s="40">
        <v>1</v>
      </c>
      <c r="E320" s="40">
        <v>1</v>
      </c>
      <c r="F320" s="40">
        <v>1</v>
      </c>
      <c r="G320" s="40">
        <v>1</v>
      </c>
      <c r="H320" s="40">
        <v>1</v>
      </c>
      <c r="I320" s="40">
        <v>1</v>
      </c>
      <c r="J320" s="40">
        <v>1</v>
      </c>
      <c r="K320" s="40">
        <v>1</v>
      </c>
      <c r="L320" s="40">
        <v>1</v>
      </c>
    </row>
    <row r="321">
      <c r="A321" s="64" t="inlineStr">
        <is>
          <t xml:space="preserve">GENTE · Folga</t>
        </is>
      </c>
      <c r="B321" s="89">
        <f>IF(OR($B$2="Todos",$C$2=2),1,IFERROR(INDEX($C$321:$L$321,MATCH($D$2,$C$294:$L$294,0)),1))</f>
        <v>1</v>
      </c>
      <c r="C321" s="40">
        <v>1</v>
      </c>
      <c r="D321" s="40">
        <v>1</v>
      </c>
      <c r="E321" s="40">
        <v>1</v>
      </c>
      <c r="F321" s="40">
        <v>1</v>
      </c>
      <c r="G321" s="40">
        <v>1</v>
      </c>
      <c r="H321" s="40">
        <v>1</v>
      </c>
      <c r="I321" s="40">
        <v>1</v>
      </c>
      <c r="J321" s="40">
        <v>1</v>
      </c>
      <c r="K321" s="40">
        <v>1</v>
      </c>
      <c r="L321" s="40">
        <v>1</v>
      </c>
    </row>
    <row r="322">
      <c r="A322" s="64" t="inlineStr">
        <is>
          <t xml:space="preserve">GENTE · Férias</t>
        </is>
      </c>
      <c r="B322" s="89">
        <f>IF(OR($B$2="Todos",$C$2=2),1,IFERROR(INDEX($C$322:$L$322,MATCH($D$2,$C$294:$L$294,0)),1))</f>
        <v>1</v>
      </c>
      <c r="C322" s="40">
        <v>1</v>
      </c>
      <c r="D322" s="40">
        <v>1</v>
      </c>
      <c r="E322" s="40">
        <v>1</v>
      </c>
      <c r="F322" s="40">
        <v>1</v>
      </c>
      <c r="G322" s="40">
        <v>1</v>
      </c>
      <c r="H322" s="40">
        <v>1</v>
      </c>
      <c r="I322" s="40">
        <v>1</v>
      </c>
      <c r="J322" s="40">
        <v>1</v>
      </c>
      <c r="K322" s="40">
        <v>1</v>
      </c>
      <c r="L322" s="40">
        <v>1</v>
      </c>
    </row>
    <row r="323">
      <c r="A323" s="64" t="inlineStr">
        <is>
          <t xml:space="preserve">GENTE · Desligamento</t>
        </is>
      </c>
      <c r="B323" s="89">
        <f>IF(OR($B$2="Todos",$C$2=2),1,IFERROR(INDEX($C$323:$L$323,MATCH($D$2,$C$294:$L$294,0)),1))</f>
        <v>1</v>
      </c>
      <c r="C323" s="40">
        <v>1</v>
      </c>
      <c r="D323" s="40">
        <v>1</v>
      </c>
      <c r="E323" s="40">
        <v>1</v>
      </c>
      <c r="F323" s="40">
        <v>1</v>
      </c>
      <c r="G323" s="40">
        <v>1</v>
      </c>
      <c r="H323" s="40">
        <v>1</v>
      </c>
      <c r="I323" s="40">
        <v>1</v>
      </c>
      <c r="J323" s="40">
        <v>1</v>
      </c>
      <c r="K323" s="40">
        <v>1</v>
      </c>
      <c r="L323" s="40">
        <v>1</v>
      </c>
    </row>
    <row r="324">
      <c r="A324" s="64" t="inlineStr">
        <is>
          <t xml:space="preserve">GENTE · Desvios Comportamentais</t>
        </is>
      </c>
      <c r="B324" s="89">
        <f>IF(OR($B$2="Todos",$C$2=2),1,IFERROR(INDEX($C$324:$L$324,MATCH($D$2,$C$294:$L$294,0)),1))</f>
        <v>1</v>
      </c>
      <c r="C324" s="40">
        <v>1</v>
      </c>
      <c r="D324" s="40">
        <v>1</v>
      </c>
      <c r="E324" s="40">
        <v>1</v>
      </c>
      <c r="F324" s="40">
        <v>1</v>
      </c>
      <c r="G324" s="40">
        <v>1</v>
      </c>
      <c r="H324" s="40">
        <v>1</v>
      </c>
      <c r="I324" s="40">
        <v>1</v>
      </c>
      <c r="J324" s="40">
        <v>1</v>
      </c>
      <c r="K324" s="40">
        <v>1</v>
      </c>
      <c r="L324" s="40">
        <v>1</v>
      </c>
    </row>
    <row r="325">
      <c r="A325" s="64" t="inlineStr">
        <is>
          <t xml:space="preserve">GENTE · Acidentes CAF</t>
        </is>
      </c>
      <c r="B325" s="89">
        <f>IF(OR($B$2="Todos",$C$2=2),1,IFERROR(INDEX($C$325:$L$325,MATCH($D$2,$C$294:$L$294,0)),1))</f>
        <v>1</v>
      </c>
      <c r="C325" s="40">
        <v>1</v>
      </c>
      <c r="D325" s="40">
        <v>1</v>
      </c>
      <c r="E325" s="40">
        <v>1</v>
      </c>
      <c r="F325" s="40">
        <v>1</v>
      </c>
      <c r="G325" s="40">
        <v>1</v>
      </c>
      <c r="H325" s="40">
        <v>1</v>
      </c>
      <c r="I325" s="40">
        <v>1</v>
      </c>
      <c r="J325" s="40">
        <v>1</v>
      </c>
      <c r="K325" s="40">
        <v>1</v>
      </c>
      <c r="L325" s="40">
        <v>1</v>
      </c>
    </row>
    <row r="326">
      <c r="A326" s="64" t="inlineStr">
        <is>
          <t xml:space="preserve">GENTE · Acidentes SAF</t>
        </is>
      </c>
      <c r="B326" s="89">
        <f>IF(OR($B$2="Todos",$C$2=2),1,IFERROR(INDEX($C$326:$L$326,MATCH($D$2,$C$294:$L$294,0)),1))</f>
        <v>1</v>
      </c>
      <c r="C326" s="40">
        <v>1</v>
      </c>
      <c r="D326" s="40">
        <v>1</v>
      </c>
      <c r="E326" s="40">
        <v>1</v>
      </c>
      <c r="F326" s="40">
        <v>1</v>
      </c>
      <c r="G326" s="40">
        <v>1</v>
      </c>
      <c r="H326" s="40">
        <v>1</v>
      </c>
      <c r="I326" s="40">
        <v>1</v>
      </c>
      <c r="J326" s="40">
        <v>1</v>
      </c>
      <c r="K326" s="40">
        <v>1</v>
      </c>
      <c r="L326" s="40">
        <v>1</v>
      </c>
    </row>
  </sheetData>
  <sheetProtection password="CC78" sheet="1" objects="1" scenarios="1"/>
  <pageMargins left="0.25" right="0.25" top="0.4" bottom="0.4" header="0.2" footer="0.2"/>
  <pageSetup paperSize="9" orientation="landscape" fitToWidth="1" fitToHeight="0"/>
</worksheet>
</file>

<file path=docProps/app.xml><?xml version="1.0" encoding="utf-8"?>
<Properties xmlns="http://schemas.openxmlformats.org/officeDocument/2006/extended-properti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Monitoramento diário de performance</dc:title>
  <dc:creator>IntraLog · Resumo operacional</dc:creator>
  <dcterms:created xsi:type="dcterms:W3CDTF">2026-10-02T13:46:46Z</dcterms:created>
</cp:coreProperties>
</file>